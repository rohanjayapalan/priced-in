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<sst xmlns="http://schemas.openxmlformats.org/spreadsheetml/2006/main" count="832" uniqueCount="240">
  <si>
    <t xml:space="preserve">Priced In: Thomson Reuters (TRI)</t>
  </si>
  <si>
    <t xml:space="preserve">Reverse DCF, model v1.0. Inputs as of the Oct 13, 2026 close; model locked Oct 14, 2026 (commit 0735af0).</t>
  </si>
  <si>
    <t xml:space="preserve">Data and software | Canada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</si>
  <si>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</si>
  <si>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</si>
  <si>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</si>
  <si>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</si>
  <si>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</si>
  <si>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</si>
  <si>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</si>
  <si>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</si>
  <si>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</si>
  <si>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</si>
  <si>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</si>
  <si>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</si>
  <si>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</si>
  <si>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</si>
  <si>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</si>
  <si>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</si>
  <si>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</si>
  <si>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</si>
  <si>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</si>
  <si>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</si>
  <si>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</si>
  <si>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</si>
  <si>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</si>
  <si>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</si>
  <si>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</si>
  <si>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</si>
  <si>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</si>
  <si>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Thomson Reuters (TRI):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</si>
  <si>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</si>
  <si>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</si>
  <si>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</si>
  <si>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</si>
  <si>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</si>
  <si>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</si>
  <si>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</si>
  <si>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</si>
  <si>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</si>
  <si>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</si>
  <si>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</si>
  <si>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</si>
  <si>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</si>
  <si>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</si>
  <si>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</si>
  <si>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</si>
  <si>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</si>
  <si>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</si>
  <si>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</si>
  <si>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</si>
  <si>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</si>
  <si>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</si>
  <si>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</si>
  <si>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</si>
  <si>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</si>
  <si>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</si>
  <si>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</si>
  <si>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</si>
  <si>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</si>
  <si>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</si>
  <si>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</si>
  <si>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</si>
  <si>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</si>
  <si>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</si>
  <si>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</si>
  <si>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</si>
  <si>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</si>
  <si>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</si>
  <si>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</si>
  <si>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</si>
  <si>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</si>
  <si>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</si>
  <si>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</si>
  <si>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</si>
  <si>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</si>
  <si>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</si>
  <si>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</si>
  <si>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</si>
  <si>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</si>
  <si>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</si>
  <si>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</si>
  <si>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</si>
  <si>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</si>
  <si>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</si>
  <si>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</si>
  <si>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</si>
  <si>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</si>
  <si>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</si>
  <si>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</si>
  <si>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</si>
  <si>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</si>
  <si>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</si>
  <si>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</si>
  <si>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Thomson Reuters (TRI):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</si>
  <si>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</si>
  <si>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</si>
  <si>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</si>
  <si>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</si>
  <si>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</si>
  <si>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</si>
  <si>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</si>
  <si>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</si>
  <si>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</si>
  <si>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</si>
  <si>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</si>
  <si>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</si>
  <si>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</si>
  <si>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</si>
  <si>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Thomson Reuters (TRI):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</si>
  <si>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</si>
  <si>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</si>
  <si>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</si>
  <si>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</si>
  <si>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</si>
  <si>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</si>
  <si>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FactSet (FDS)</t>
  </si>
  <si>
    <t xml:space="preserve">Raw betas: 60 monthly returns to Sep 2026 against the S&amp;P 500 (S&amp;P/TSX for TMX); Cboe uses Stock Analysis's 5-year beta. Debt and equity from Stock Analysis, Oct 13, 2026.</t>
  </si>
  <si>
    <t xml:space="preserve">Thomson Reuters (TRI)</t>
  </si>
  <si>
    <t xml:space="preserve">Broadridge (BR)</t>
  </si>
  <si>
    <t xml:space="preserve">SS&amp;C Technologies (SSNC)</t>
  </si>
  <si>
    <t xml:space="preserve">Verisk (VRSK)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</si>
  <si>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</si>
  <si>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</si>
  <si>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</si>
  <si>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</si>
  <si>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</si>
  <si>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</si>
  <si>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</si>
  <si>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</si>
  <si>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</si>
  <si>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</si>
  <si>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</si>
  <si>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</si>
  <si>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</si>
  <si>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</si>
  <si>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</si>
  <si>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</si>
  <si>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</si>
  <si>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</si>
  <si>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</si>
  <si>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</si>
  <si>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</si>
  <si>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</si>
  <si>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</si>
  <si>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</si>
  <si>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</si>
  <si>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</si>
  <si>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</si>
  <si>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</si>
  <si>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</si>
  <si>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</si>
  <si>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</si>
  <si>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</si>
  <si>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</si>
  <si>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</si>
  <si>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</si>
  <si>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</si>
  <si>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</si>
  <si>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</si>
  <si>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</si>
  <si>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</si>
  <si>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</si>
  <si>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</si>
  <si>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</si>
  <si>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</si>
  <si>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</si>
  <si>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</si>
  <si>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</si>
  <si>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</si>
  <si>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</si>
  <si>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</si>
  <si>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</si>
  <si>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</si>
  <si>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</si>
  <si>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</si>
  <si>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</si>
  <si>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</si>
  <si>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</si>
  <si>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</si>
  <si>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</si>
  <si>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</si>
  <si>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</si>
  <si>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</si>
  <si>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</si>
  <si>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</si>
  <si>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</si>
  <si>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</si>
  <si>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</si>
  <si>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</si>
  <si>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</si>
  <si>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</si>
  <si>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</si>
  <si>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</si>
  <si>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</si>
  <si>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</si>
  <si>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</si>
  <si>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</si>
  <si>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Thomson Reuters (TRI):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</si>
  <si>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</si>
  <si>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</si>
  <si>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</si>
  <si>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</si>
  <si>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</si>
  <si>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</si>
  <si>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</si>
  <si>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</si>
  <si>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</si>
  <si>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</si>
  <si>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</si>
  <si>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</si>
  <si>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</si>
  <si>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</si>
  <si>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</si>
  <si>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</si>
  <si>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</si>
  <si>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Thomson Reuters (TRI):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</si>
  <si>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</si>
  <si>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</si>
  <si>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</si>
  <si>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</si>
  <si>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</si>
  <si>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</si>
  <si>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</si>
  <si>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$105.26.</t>
  </si>
  <si>
    <t xml:space="preserve">Helper: revenue paths for each growth view (years 1 to 10)</t>
  </si>
  <si>
    <t xml:space="preserve">Thomson Reuters (TRI):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</si>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</sst>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105.258298324177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0.0493228058917339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0.0654954393655854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-0.0161726334738515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About right</v>
      </c>
    </row>
    <row r="15" customFormat="false" ht="15" hidden="false" customHeight="false" outlineLevel="0" collapsed="false">
      <c r="B15" s="5" t="s">
        <v>11</v>
      </c>
      <c r="C15" s="12" t="n">
        <f aca="false">WACC!$C$35</f>
        <v>0.0821529104257703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0.284802043422733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0.0654954393655853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116.130402550764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0.103289758619342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7830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0.0654954393655853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105.258298324177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433.22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45600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7830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7830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2230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2230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2230</v>
      </c>
    </row>
    <row r="17" customFormat="false" ht="15" hidden="false" customHeight="false" outlineLevel="0" collapsed="false">
      <c r="B17" s="5" t="s">
        <v>50</v>
      </c>
      <c r="C17" s="14" t="n">
        <v>2150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2160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2230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0.284802043422733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2290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3210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693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2517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0.0477908787311707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0.0832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0.0654954393655854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0.0654954393655853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6348</v>
      </c>
      <c r="D6" s="14" t="n">
        <v>6627</v>
      </c>
      <c r="E6" s="14" t="n">
        <v>6794</v>
      </c>
      <c r="F6" s="14" t="n">
        <v>7258</v>
      </c>
      <c r="G6" s="14" t="n">
        <v>7476</v>
      </c>
      <c r="H6" s="14" t="n">
        <v>7832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0.0439508506616257</v>
      </c>
      <c r="E7" s="23" t="n">
        <f aca="false">E6/D6-1</f>
        <v>0.0251999396408631</v>
      </c>
      <c r="F7" s="23" t="n">
        <f aca="false">F6/E6-1</f>
        <v>0.0682955549013835</v>
      </c>
      <c r="G7" s="23" t="n">
        <f aca="false">G6/F6-1</f>
        <v>0.0300358225406447</v>
      </c>
    </row>
    <row r="10" customFormat="false" ht="15" hidden="false" customHeight="false" outlineLevel="0" collapsed="false">
      <c r="B10" s="3" t="s">
        <v>105</v>
      </c>
    </row>
    <row r="11" customFormat="false" ht="15" hidden="false" customHeight="false" outlineLevel="0" collapsed="false">
      <c r="B11" s="5" t="s">
        <v>106</v>
      </c>
      <c r="C11" s="29" t="s">
        <v>97</v>
      </c>
      <c r="E11" s="5" t="s">
        <v>107</v>
      </c>
      <c r="G11" s="30" t="n">
        <v>4.5</v>
      </c>
    </row>
    <row r="12" customFormat="false" ht="15" hidden="false" customHeight="false" outlineLevel="0" collapsed="false">
      <c r="B12" s="5" t="s">
        <v>108</v>
      </c>
      <c r="C12" s="23" t="n">
        <f aca="false">(H6/INDEX(C6:H6,MATCH(C11,C5:H5,0)))^(1/G11)-1</f>
        <v>0.0477908787311707</v>
      </c>
      <c r="I12" s="19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109</v>
      </c>
    </row>
    <row r="3" customFormat="false" ht="15" hidden="false" customHeight="false" outlineLevel="0" collapsed="false">
      <c r="B3" s="2" t="s">
        <v>110</v>
      </c>
    </row>
    <row r="5" customFormat="false" ht="15" hidden="false" customHeight="false" outlineLevel="0" collapsed="false">
      <c r="B5" s="28" t="s">
        <v>111</v>
      </c>
      <c r="C5" s="28" t="s">
        <v>112</v>
      </c>
      <c r="D5" s="28" t="s">
        <v>113</v>
      </c>
      <c r="E5" s="28" t="s">
        <v>114</v>
      </c>
      <c r="F5" s="28" t="s">
        <v>55</v>
      </c>
      <c r="G5" s="28" t="s">
        <v>115</v>
      </c>
    </row>
    <row r="6" customFormat="false" ht="15" hidden="false" customHeight="false" outlineLevel="0" collapsed="false">
      <c r="B6" s="5" t="s">
        <v>116</v>
      </c>
      <c r="C6" s="31" t="n">
        <v>0.769330232518927</v>
      </c>
      <c r="D6" s="14" t="n">
        <v>1540</v>
      </c>
      <c r="E6" s="14" t="n">
        <v>10290</v>
      </c>
      <c r="F6" s="22" t="n">
        <v>0.25</v>
      </c>
      <c r="G6" s="32" t="n">
        <f aca="false">C6/(1+(1-F6)*D6/E6)</f>
        <v>0.691691401714264</v>
      </c>
      <c r="H6" s="19" t="s">
        <v>117</v>
      </c>
    </row>
    <row r="7" customFormat="false" ht="15" hidden="false" customHeight="false" outlineLevel="0" collapsed="false">
      <c r="B7" s="7" t="s">
        <v>118</v>
      </c>
      <c r="C7" s="31" t="n">
        <v>0.766558343640791</v>
      </c>
      <c r="D7" s="14" t="n">
        <v>3210</v>
      </c>
      <c r="E7" s="14" t="n">
        <v>45600</v>
      </c>
      <c r="F7" s="22" t="n">
        <v>0.25</v>
      </c>
      <c r="G7" s="32" t="n">
        <f aca="false">C7/(1+(1-F7)*D7/E7)</f>
        <v>0.728116658230903</v>
      </c>
    </row>
    <row r="8" customFormat="false" ht="15" hidden="false" customHeight="false" outlineLevel="0" collapsed="false">
      <c r="B8" s="5" t="s">
        <v>119</v>
      </c>
      <c r="C8" s="31" t="n">
        <v>0.923134711556654</v>
      </c>
      <c r="D8" s="14" t="n">
        <v>3520</v>
      </c>
      <c r="E8" s="14" t="n">
        <v>19020</v>
      </c>
      <c r="F8" s="22" t="n">
        <v>0.25</v>
      </c>
      <c r="G8" s="32" t="n">
        <f aca="false">C8/(1+(1-F8)*D8/E8)</f>
        <v>0.810619677461106</v>
      </c>
    </row>
    <row r="9" customFormat="false" ht="15" hidden="false" customHeight="false" outlineLevel="0" collapsed="false">
      <c r="B9" s="5" t="s">
        <v>120</v>
      </c>
      <c r="C9" s="31" t="n">
        <v>1.08729648487927</v>
      </c>
      <c r="D9" s="14" t="n">
        <v>7780</v>
      </c>
      <c r="E9" s="14" t="n">
        <v>19010</v>
      </c>
      <c r="F9" s="22" t="n">
        <v>0.25</v>
      </c>
      <c r="G9" s="32" t="n">
        <f aca="false">C9/(1+(1-F9)*D9/E9)</f>
        <v>0.83193826434111</v>
      </c>
    </row>
    <row r="10" customFormat="false" ht="15" hidden="false" customHeight="false" outlineLevel="0" collapsed="false">
      <c r="B10" s="5" t="s">
        <v>121</v>
      </c>
      <c r="C10" s="31" t="n">
        <v>0.687897840873463</v>
      </c>
      <c r="D10" s="14" t="n">
        <v>4620</v>
      </c>
      <c r="E10" s="14" t="n">
        <v>22990</v>
      </c>
      <c r="F10" s="22" t="n">
        <v>0.25</v>
      </c>
      <c r="G10" s="32" t="n">
        <f aca="false">C10/(1+(1-F10)*D10/E10)</f>
        <v>0.597798955270493</v>
      </c>
    </row>
    <row r="12" customFormat="false" ht="15" hidden="false" customHeight="false" outlineLevel="0" collapsed="false">
      <c r="B12" s="5" t="s">
        <v>122</v>
      </c>
      <c r="C12" s="32" t="n">
        <f aca="false">MEDIAN(G6:G10)</f>
        <v>0.728116658230903</v>
      </c>
    </row>
    <row r="13" customFormat="false" ht="15" hidden="false" customHeight="false" outlineLevel="0" collapsed="false">
      <c r="B13" s="5" t="s">
        <v>113</v>
      </c>
      <c r="C13" s="16" t="n">
        <f aca="false">Inputs!$C$27</f>
        <v>3210</v>
      </c>
    </row>
    <row r="14" customFormat="false" ht="15" hidden="false" customHeight="false" outlineLevel="0" collapsed="false">
      <c r="B14" s="5" t="s">
        <v>37</v>
      </c>
      <c r="C14" s="16" t="n">
        <f aca="false">Inputs!$C$8</f>
        <v>45600</v>
      </c>
    </row>
    <row r="15" customFormat="false" ht="15" hidden="false" customHeight="false" outlineLevel="0" collapsed="false">
      <c r="B15" s="5" t="s">
        <v>55</v>
      </c>
      <c r="C15" s="9" t="n">
        <f aca="false">Inputs!$C$20</f>
        <v>0.25</v>
      </c>
    </row>
    <row r="16" customFormat="false" ht="15" hidden="false" customHeight="false" outlineLevel="0" collapsed="false">
      <c r="B16" s="5" t="s">
        <v>123</v>
      </c>
      <c r="C16" s="32" t="n">
        <f aca="false">WACC!$C$12*(1+(1-WACC!$C$15)*WACC!$C$13/WACC!$C$14)</f>
        <v>0.766558343640791</v>
      </c>
      <c r="H16" s="19" t="s">
        <v>124</v>
      </c>
    </row>
    <row r="17" customFormat="false" ht="15" hidden="false" customHeight="false" outlineLevel="0" collapsed="false">
      <c r="B17" s="5" t="s">
        <v>125</v>
      </c>
      <c r="C17" s="12" t="n">
        <f aca="false">Inputs!$C$35</f>
        <v>0.0521</v>
      </c>
    </row>
    <row r="18" customFormat="false" ht="15" hidden="false" customHeight="false" outlineLevel="0" collapsed="false">
      <c r="B18" s="5" t="s">
        <v>77</v>
      </c>
      <c r="C18" s="12" t="n">
        <f aca="false">Inputs!$C$38</f>
        <v>0.0423</v>
      </c>
    </row>
    <row r="19" customFormat="false" ht="15" hidden="false" customHeight="false" outlineLevel="0" collapsed="false">
      <c r="B19" s="5" t="s">
        <v>126</v>
      </c>
      <c r="C19" s="25" t="n">
        <f aca="false">WACC!$C$17+WACC!$C$16*WACC!$C$18</f>
        <v>0.0845254179360055</v>
      </c>
      <c r="H19" s="19" t="s">
        <v>127</v>
      </c>
    </row>
    <row r="21" customFormat="false" ht="15" hidden="false" customHeight="false" outlineLevel="0" collapsed="false">
      <c r="B21" s="3" t="s">
        <v>128</v>
      </c>
    </row>
    <row r="22" customFormat="false" ht="15" hidden="false" customHeight="false" outlineLevel="0" collapsed="false">
      <c r="B22" s="28" t="s">
        <v>129</v>
      </c>
      <c r="C22" s="28" t="s">
        <v>130</v>
      </c>
    </row>
    <row r="23" customFormat="false" ht="15" hidden="false" customHeight="false" outlineLevel="0" collapsed="false">
      <c r="B23" s="33" t="n">
        <v>1</v>
      </c>
      <c r="C23" s="24" t="n">
        <v>0.01</v>
      </c>
      <c r="H23" s="19" t="s">
        <v>131</v>
      </c>
    </row>
    <row r="24" customFormat="false" ht="15" hidden="false" customHeight="false" outlineLevel="0" collapsed="false">
      <c r="B24" s="33" t="n">
        <v>2</v>
      </c>
      <c r="C24" s="24" t="n">
        <v>0.0125</v>
      </c>
    </row>
    <row r="25" customFormat="false" ht="15" hidden="false" customHeight="false" outlineLevel="0" collapsed="false">
      <c r="B25" s="33" t="n">
        <v>3</v>
      </c>
      <c r="C25" s="24" t="n">
        <v>0.016</v>
      </c>
    </row>
    <row r="26" customFormat="false" ht="15" hidden="false" customHeight="false" outlineLevel="0" collapsed="false">
      <c r="B26" s="33" t="n">
        <v>4</v>
      </c>
      <c r="C26" s="24" t="n">
        <v>0.02</v>
      </c>
    </row>
    <row r="27" customFormat="false" ht="15" hidden="false" customHeight="false" outlineLevel="0" collapsed="false">
      <c r="B27" s="33" t="n">
        <v>99</v>
      </c>
      <c r="C27" s="24" t="n">
        <v>0.0275</v>
      </c>
    </row>
    <row r="29" customFormat="false" ht="15" hidden="false" customHeight="false" outlineLevel="0" collapsed="false">
      <c r="B29" s="5" t="s">
        <v>132</v>
      </c>
      <c r="C29" s="34" t="n">
        <f aca="false">Inputs!$C$27/Inputs!$C$24</f>
        <v>1.40174672489083</v>
      </c>
    </row>
    <row r="30" customFormat="false" ht="15" hidden="false" customHeight="false" outlineLevel="0" collapsed="false">
      <c r="B30" s="5" t="s">
        <v>133</v>
      </c>
      <c r="C30" s="25" t="n">
        <f aca="false">INDEX(C23:C27,COUNTIF(B23:B27,"&lt;="&amp;WACC!$C$29)+1)</f>
        <v>0.0125</v>
      </c>
      <c r="H30" s="19" t="s">
        <v>134</v>
      </c>
    </row>
    <row r="31" customFormat="false" ht="15" hidden="false" customHeight="false" outlineLevel="0" collapsed="false">
      <c r="B31" s="5" t="s">
        <v>135</v>
      </c>
      <c r="C31" s="25" t="n">
        <f aca="false">WACC!$C$17+WACC!$C$30</f>
        <v>0.0646</v>
      </c>
    </row>
    <row r="32" customFormat="false" ht="15" hidden="false" customHeight="false" outlineLevel="0" collapsed="false">
      <c r="B32" s="5" t="s">
        <v>136</v>
      </c>
      <c r="C32" s="25" t="n">
        <f aca="false">WACC!$C$31*(1-WACC!$C$15)</f>
        <v>0.04845</v>
      </c>
    </row>
    <row r="33" customFormat="false" ht="15" hidden="false" customHeight="false" outlineLevel="0" collapsed="false">
      <c r="B33" s="5" t="s">
        <v>137</v>
      </c>
      <c r="C33" s="23" t="n">
        <f aca="false">WACC!$C$13/(WACC!$C$13+WACC!$C$14)</f>
        <v>0.0657652120467117</v>
      </c>
      <c r="H33" s="19" t="s">
        <v>138</v>
      </c>
    </row>
    <row r="34" customFormat="false" ht="15" hidden="false" customHeight="false" outlineLevel="0" collapsed="false">
      <c r="B34" s="5" t="s">
        <v>139</v>
      </c>
      <c r="C34" s="23" t="n">
        <f aca="false">1-WACC!$C$33</f>
        <v>0.934234787953288</v>
      </c>
    </row>
    <row r="35" customFormat="false" ht="15" hidden="false" customHeight="false" outlineLevel="0" collapsed="false">
      <c r="B35" s="5" t="s">
        <v>11</v>
      </c>
      <c r="C35" s="35" t="n">
        <f aca="false">WACC!$C$34*WACC!$C$19+WACC!$C$33*WACC!$C$32</f>
        <v>0.0821529104257703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140</v>
      </c>
    </row>
    <row r="2" customFormat="false" ht="15" hidden="false" customHeight="false" outlineLevel="0" collapsed="false">
      <c r="B2" s="5" t="s">
        <v>141</v>
      </c>
      <c r="C2" s="16" t="n">
        <f aca="false">Inputs!$C$12</f>
        <v>7830</v>
      </c>
      <c r="D2" s="5" t="s">
        <v>142</v>
      </c>
      <c r="E2" s="9" t="n">
        <f aca="false">Inputs!$C$23</f>
        <v>0.284802043422733</v>
      </c>
      <c r="F2" s="5" t="s">
        <v>143</v>
      </c>
      <c r="G2" s="16" t="n">
        <f aca="false">Inputs!$C$27</f>
        <v>3210</v>
      </c>
      <c r="H2" s="5" t="s">
        <v>144</v>
      </c>
      <c r="I2" s="16" t="n">
        <f aca="false">Inputs!$C$28</f>
        <v>693</v>
      </c>
      <c r="J2" s="5" t="s">
        <v>145</v>
      </c>
      <c r="K2" s="36" t="n">
        <f aca="false">Inputs!$C$7</f>
        <v>433.22</v>
      </c>
      <c r="L2" s="5" t="s">
        <v>146</v>
      </c>
      <c r="M2" s="6" t="n">
        <f aca="false">Inputs!$C$6</f>
        <v>105.258298324177</v>
      </c>
      <c r="N2" s="5" t="s">
        <v>147</v>
      </c>
      <c r="O2" s="37" t="n">
        <f aca="false">Inputs!$C$46</f>
        <v>5</v>
      </c>
      <c r="P2" s="5" t="s">
        <v>148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149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150</v>
      </c>
    </row>
    <row r="6" customFormat="false" ht="15" hidden="false" customHeight="false" outlineLevel="0" collapsed="false">
      <c r="A6" s="38" t="s">
        <v>151</v>
      </c>
      <c r="E6" s="5" t="s">
        <v>11</v>
      </c>
      <c r="F6" s="12" t="n">
        <f aca="false">WACC!$C$35</f>
        <v>0.0821529104257703</v>
      </c>
      <c r="G6" s="5" t="s">
        <v>12</v>
      </c>
      <c r="I6" s="12" t="n">
        <f aca="false">Inputs!$C$37</f>
        <v>0.0283</v>
      </c>
      <c r="W6" s="38" t="s">
        <v>152</v>
      </c>
    </row>
    <row r="7" customFormat="false" ht="23.85" hidden="false" customHeight="false" outlineLevel="0" collapsed="false">
      <c r="A7" s="38" t="s">
        <v>153</v>
      </c>
      <c r="B7" s="28" t="s">
        <v>154</v>
      </c>
      <c r="C7" s="28" t="s">
        <v>155</v>
      </c>
      <c r="D7" s="28" t="s">
        <v>156</v>
      </c>
      <c r="E7" s="28" t="s">
        <v>157</v>
      </c>
      <c r="F7" s="28" t="s">
        <v>158</v>
      </c>
      <c r="G7" s="28" t="s">
        <v>159</v>
      </c>
      <c r="H7" s="28" t="s">
        <v>160</v>
      </c>
      <c r="I7" s="28" t="s">
        <v>161</v>
      </c>
      <c r="J7" s="28" t="s">
        <v>162</v>
      </c>
      <c r="K7" s="28" t="s">
        <v>163</v>
      </c>
      <c r="L7" s="28" t="s">
        <v>164</v>
      </c>
      <c r="M7" s="28" t="s">
        <v>165</v>
      </c>
      <c r="N7" s="28" t="s">
        <v>166</v>
      </c>
      <c r="O7" s="28" t="s">
        <v>167</v>
      </c>
      <c r="P7" s="28" t="s">
        <v>168</v>
      </c>
      <c r="Q7" s="28" t="s">
        <v>169</v>
      </c>
      <c r="R7" s="28" t="s">
        <v>170</v>
      </c>
      <c r="S7" s="28" t="s">
        <v>171</v>
      </c>
      <c r="T7" s="28" t="s">
        <v>172</v>
      </c>
      <c r="W7" s="40" t="n">
        <f aca="false">$D$47</f>
        <v>0.0493228058917339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9787.5</v>
      </c>
      <c r="F8" s="15" t="n">
        <f aca="false">E8*(1+IF(F$3&lt;=$O$2,$D8,$D8-($D8-$I$6)*MIN(F$3-$O$2,$Q$2)/$Q$2))</f>
        <v>12234.375</v>
      </c>
      <c r="G8" s="15" t="n">
        <f aca="false">F8*(1+IF(G$3&lt;=$O$2,$D8,$D8-($D8-$I$6)*MIN(G$3-$O$2,$Q$2)/$Q$2))</f>
        <v>15292.96875</v>
      </c>
      <c r="H8" s="15" t="n">
        <f aca="false">G8*(1+IF(H$3&lt;=$O$2,$D8,$D8-($D8-$I$6)*MIN(H$3-$O$2,$Q$2)/$Q$2))</f>
        <v>19116.2109375</v>
      </c>
      <c r="I8" s="15" t="n">
        <f aca="false">H8*(1+IF(I$3&lt;=$O$2,$D8,$D8-($D8-$I$6)*MIN(I$3-$O$2,$Q$2)/$Q$2))</f>
        <v>23895.263671875</v>
      </c>
      <c r="J8" s="15" t="n">
        <f aca="false">I8*(1+IF(J$3&lt;=$O$2,$D8,$D8-($D8-$I$6)*MIN(J$3-$O$2,$Q$2)/$Q$2))</f>
        <v>28809.5635986328</v>
      </c>
      <c r="K8" s="15" t="n">
        <f aca="false">J8*(1+IF(K$3&lt;=$O$2,$D8,$D8-($D8-$I$6)*MIN(K$3-$O$2,$Q$2)/$Q$2))</f>
        <v>33457.1223983643</v>
      </c>
      <c r="L8" s="15" t="n">
        <f aca="false">K8*(1+IF(L$3&lt;=$O$2,$D8,$D8-($D8-$I$6)*MIN(L$3-$O$2,$Q$2)/$Q$2))</f>
        <v>37370.9365765249</v>
      </c>
      <c r="M8" s="15" t="n">
        <f aca="false">L8*(1+IF(M$3&lt;=$O$2,$D8,$D8-($D8-$I$6)*MIN(M$3-$O$2,$Q$2)/$Q$2))</f>
        <v>40085.5614094437</v>
      </c>
      <c r="N8" s="15" t="n">
        <f aca="false">M8*(1+IF(N$3&lt;=$O$2,$D8,$D8-($D8-$I$6)*MIN(N$3-$O$2,$Q$2)/$Q$2))</f>
        <v>41219.9827973309</v>
      </c>
      <c r="O8" s="15" t="n">
        <f aca="false">SUMPRODUCT(E8:N8,1/(1+$F$6)^$E$3:$N$3)*$E$2</f>
        <v>44735.480825139</v>
      </c>
      <c r="P8" s="15" t="n">
        <f aca="false">N8*$E$2*(1+$I$6)/($F$6-$I$6)/(1+$F$6)^$N$3</f>
        <v>101782.999605472</v>
      </c>
      <c r="Q8" s="15" t="n">
        <f aca="false">O8+P8</f>
        <v>146518.480430611</v>
      </c>
      <c r="R8" s="15" t="n">
        <f aca="false">Q8-$G$2+$I$2</f>
        <v>144001.480430611</v>
      </c>
      <c r="S8" s="42" t="n">
        <f aca="false">R8/$K$2</f>
        <v>332.398043558956</v>
      </c>
      <c r="T8" s="43" t="n">
        <f aca="false">S8-$M$2</f>
        <v>227.139745234779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6851.25</v>
      </c>
      <c r="F9" s="15" t="n">
        <f aca="false">E9*(1+IF(F$3&lt;=$O$2,$D9,$D9-($D9-$I$6)*MIN(F$3-$O$2,$Q$2)/$Q$2))</f>
        <v>5994.84375</v>
      </c>
      <c r="G9" s="15" t="n">
        <f aca="false">F9*(1+IF(G$3&lt;=$O$2,$D9,$D9-($D9-$I$6)*MIN(G$3-$O$2,$Q$2)/$Q$2))</f>
        <v>5245.48828125</v>
      </c>
      <c r="H9" s="15" t="n">
        <f aca="false">G9*(1+IF(H$3&lt;=$O$2,$D9,$D9-($D9-$I$6)*MIN(H$3-$O$2,$Q$2)/$Q$2))</f>
        <v>4589.80224609375</v>
      </c>
      <c r="I9" s="15" t="n">
        <f aca="false">H9*(1+IF(I$3&lt;=$O$2,$D9,$D9-($D9-$I$6)*MIN(I$3-$O$2,$Q$2)/$Q$2))</f>
        <v>4016.07696533203</v>
      </c>
      <c r="J9" s="15" t="n">
        <f aca="false">I9*(1+IF(J$3&lt;=$O$2,$D9,$D9-($D9-$I$6)*MIN(J$3-$O$2,$Q$2)/$Q$2))</f>
        <v>3637.20026442261</v>
      </c>
      <c r="K9" s="15" t="n">
        <f aca="false">J9*(1+IF(K$3&lt;=$O$2,$D9,$D9-($D9-$I$6)*MIN(K$3-$O$2,$Q$2)/$Q$2))</f>
        <v>3405.58335158418</v>
      </c>
      <c r="L9" s="15" t="n">
        <f aca="false">K9*(1+IF(L$3&lt;=$O$2,$D9,$D9-($D9-$I$6)*MIN(L$3-$O$2,$Q$2)/$Q$2))</f>
        <v>3293.13098931487</v>
      </c>
      <c r="M9" s="15" t="n">
        <f aca="false">L9*(1+IF(M$3&lt;=$O$2,$D9,$D9-($D9-$I$6)*MIN(M$3-$O$2,$Q$2)/$Q$2))</f>
        <v>3285.35920018008</v>
      </c>
      <c r="N9" s="15" t="n">
        <f aca="false">M9*(1+IF(N$3&lt;=$O$2,$D9,$D9-($D9-$I$6)*MIN(N$3-$O$2,$Q$2)/$Q$2))</f>
        <v>3378.33486554518</v>
      </c>
      <c r="O9" s="15" t="n">
        <f aca="false">SUMPRODUCT(E9:N9,1/(1+$F$6)^$E$3:$N$3)*$E$2</f>
        <v>8762.32998981421</v>
      </c>
      <c r="P9" s="15" t="n">
        <f aca="false">N9*$E$2*(1+$I$6)/($F$6-$I$6)/(1+$F$6)^$N$3</f>
        <v>8341.99902454113</v>
      </c>
      <c r="Q9" s="15" t="n">
        <f aca="false">O9+P9</f>
        <v>17104.3290143553</v>
      </c>
      <c r="R9" s="15" t="n">
        <f aca="false">Q9-$G$2+$I$2</f>
        <v>14587.3290143553</v>
      </c>
      <c r="S9" s="42" t="n">
        <f aca="false">R9/$K$2</f>
        <v>33.6718734461829</v>
      </c>
      <c r="T9" s="43" t="n">
        <f aca="false">S9-$M$2</f>
        <v>-71.5864248779943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8319.375</v>
      </c>
      <c r="F10" s="15" t="n">
        <f aca="false">E10*(1+IF(F$3&lt;=$O$2,$D10,$D10-($D10-$I$6)*MIN(F$3-$O$2,$Q$2)/$Q$2))</f>
        <v>8839.3359375</v>
      </c>
      <c r="G10" s="15" t="n">
        <f aca="false">F10*(1+IF(G$3&lt;=$O$2,$D10,$D10-($D10-$I$6)*MIN(G$3-$O$2,$Q$2)/$Q$2))</f>
        <v>9391.79443359375</v>
      </c>
      <c r="H10" s="15" t="n">
        <f aca="false">G10*(1+IF(H$3&lt;=$O$2,$D10,$D10-($D10-$I$6)*MIN(H$3-$O$2,$Q$2)/$Q$2))</f>
        <v>9978.78158569336</v>
      </c>
      <c r="I10" s="15" t="n">
        <f aca="false">H10*(1+IF(I$3&lt;=$O$2,$D10,$D10-($D10-$I$6)*MIN(I$3-$O$2,$Q$2)/$Q$2))</f>
        <v>10602.4554347992</v>
      </c>
      <c r="J10" s="15" t="n">
        <f aca="false">I10*(1+IF(J$3&lt;=$O$2,$D10,$D10-($D10-$I$6)*MIN(J$3-$O$2,$Q$2)/$Q$2))</f>
        <v>11192.5881043001</v>
      </c>
      <c r="K10" s="15" t="n">
        <f aca="false">J10*(1+IF(K$3&lt;=$O$2,$D10,$D10-($D10-$I$6)*MIN(K$3-$O$2,$Q$2)/$Q$2))</f>
        <v>11739.0102555521</v>
      </c>
      <c r="L10" s="15" t="n">
        <f aca="false">K10*(1+IF(L$3&lt;=$O$2,$D10,$D10-($D10-$I$6)*MIN(L$3-$O$2,$Q$2)/$Q$2))</f>
        <v>12231.8139060801</v>
      </c>
      <c r="M10" s="15" t="n">
        <f aca="false">L10*(1+IF(M$3&lt;=$O$2,$D10,$D10-($D10-$I$6)*MIN(M$3-$O$2,$Q$2)/$Q$2))</f>
        <v>12661.6398467398</v>
      </c>
      <c r="N10" s="15" t="n">
        <f aca="false">M10*(1+IF(N$3&lt;=$O$2,$D10,$D10-($D10-$I$6)*MIN(N$3-$O$2,$Q$2)/$Q$2))</f>
        <v>13019.9642544025</v>
      </c>
      <c r="O10" s="15" t="n">
        <f aca="false">SUMPRODUCT(E10:N10,1/(1+$F$6)^$E$3:$N$3)*$E$2</f>
        <v>19773.6663347293</v>
      </c>
      <c r="P10" s="15" t="n">
        <f aca="false">N10*$E$2*(1+$I$6)/($F$6-$I$6)/(1+$F$6)^$N$3</f>
        <v>32149.722698451</v>
      </c>
      <c r="Q10" s="15" t="n">
        <f aca="false">O10+P10</f>
        <v>51923.3890331803</v>
      </c>
      <c r="R10" s="15" t="n">
        <f aca="false">Q10-$G$2+$I$2</f>
        <v>49406.3890331803</v>
      </c>
      <c r="S10" s="42" t="n">
        <f aca="false">R10/$K$2</f>
        <v>114.044570964361</v>
      </c>
      <c r="T10" s="43" t="n">
        <f aca="false">S10-$M$2</f>
        <v>8.78627264018351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7585.3125</v>
      </c>
      <c r="F11" s="15" t="n">
        <f aca="false">E11*(1+IF(F$3&lt;=$O$2,$D11,$D11-($D11-$I$6)*MIN(F$3-$O$2,$Q$2)/$Q$2))</f>
        <v>7348.271484375</v>
      </c>
      <c r="G11" s="15" t="n">
        <f aca="false">F11*(1+IF(G$3&lt;=$O$2,$D11,$D11-($D11-$I$6)*MIN(G$3-$O$2,$Q$2)/$Q$2))</f>
        <v>7118.63800048828</v>
      </c>
      <c r="H11" s="15" t="n">
        <f aca="false">G11*(1+IF(H$3&lt;=$O$2,$D11,$D11-($D11-$I$6)*MIN(H$3-$O$2,$Q$2)/$Q$2))</f>
        <v>6896.18056297302</v>
      </c>
      <c r="I11" s="15" t="n">
        <f aca="false">H11*(1+IF(I$3&lt;=$O$2,$D11,$D11-($D11-$I$6)*MIN(I$3-$O$2,$Q$2)/$Q$2))</f>
        <v>6680.67492038012</v>
      </c>
      <c r="J11" s="15" t="n">
        <f aca="false">I11*(1+IF(J$3&lt;=$O$2,$D11,$D11-($D11-$I$6)*MIN(J$3-$O$2,$Q$2)/$Q$2))</f>
        <v>6551.47066741996</v>
      </c>
      <c r="K11" s="15" t="n">
        <f aca="false">J11*(1+IF(K$3&lt;=$O$2,$D11,$D11-($D11-$I$6)*MIN(K$3-$O$2,$Q$2)/$Q$2))</f>
        <v>6502.79324036103</v>
      </c>
      <c r="L11" s="15" t="n">
        <f aca="false">K11*(1+IF(L$3&lt;=$O$2,$D11,$D11-($D11-$I$6)*MIN(L$3-$O$2,$Q$2)/$Q$2))</f>
        <v>6531.92575407785</v>
      </c>
      <c r="M11" s="15" t="n">
        <f aca="false">L11*(1+IF(M$3&lt;=$O$2,$D11,$D11-($D11-$I$6)*MIN(M$3-$O$2,$Q$2)/$Q$2))</f>
        <v>6638.98401718719</v>
      </c>
      <c r="N11" s="15" t="n">
        <f aca="false">M11*(1+IF(N$3&lt;=$O$2,$D11,$D11-($D11-$I$6)*MIN(N$3-$O$2,$Q$2)/$Q$2))</f>
        <v>6826.86726487359</v>
      </c>
      <c r="O11" s="15" t="n">
        <f aca="false">SUMPRODUCT(E11:N11,1/(1+$F$6)^$E$3:$N$3)*$E$2</f>
        <v>13126.1228092796</v>
      </c>
      <c r="P11" s="15" t="n">
        <f aca="false">N11*$E$2*(1+$I$6)/($F$6-$I$6)/(1+$F$6)^$N$3</f>
        <v>16857.3342580878</v>
      </c>
      <c r="Q11" s="15" t="n">
        <f aca="false">O11+P11</f>
        <v>29983.4570673674</v>
      </c>
      <c r="R11" s="15" t="n">
        <f aca="false">Q11-$G$2+$I$2</f>
        <v>27466.4570673674</v>
      </c>
      <c r="S11" s="42" t="n">
        <f aca="false">R11/$K$2</f>
        <v>63.4007134189727</v>
      </c>
      <c r="T11" s="43" t="n">
        <f aca="false">S11-$M$2</f>
        <v>-41.8575849052044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7952.34375</v>
      </c>
      <c r="F12" s="15" t="n">
        <f aca="false">E12*(1+IF(F$3&lt;=$O$2,$D12,$D12-($D12-$I$6)*MIN(F$3-$O$2,$Q$2)/$Q$2))</f>
        <v>8076.59912109375</v>
      </c>
      <c r="G12" s="15" t="n">
        <f aca="false">F12*(1+IF(G$3&lt;=$O$2,$D12,$D12-($D12-$I$6)*MIN(G$3-$O$2,$Q$2)/$Q$2))</f>
        <v>8202.79598236084</v>
      </c>
      <c r="H12" s="15" t="n">
        <f aca="false">G12*(1+IF(H$3&lt;=$O$2,$D12,$D12-($D12-$I$6)*MIN(H$3-$O$2,$Q$2)/$Q$2))</f>
        <v>8330.96466958523</v>
      </c>
      <c r="I12" s="15" t="n">
        <f aca="false">H12*(1+IF(I$3&lt;=$O$2,$D12,$D12-($D12-$I$6)*MIN(I$3-$O$2,$Q$2)/$Q$2))</f>
        <v>8461.1359925475</v>
      </c>
      <c r="J12" s="15" t="n">
        <f aca="false">I12*(1+IF(J$3&lt;=$O$2,$D12,$D12-($D12-$I$6)*MIN(J$3-$O$2,$Q$2)/$Q$2))</f>
        <v>8614.79022217216</v>
      </c>
      <c r="K12" s="15" t="n">
        <f aca="false">J12*(1+IF(K$3&lt;=$O$2,$D12,$D12-($D12-$I$6)*MIN(K$3-$O$2,$Q$2)/$Q$2))</f>
        <v>8793.07330582001</v>
      </c>
      <c r="L12" s="15" t="n">
        <f aca="false">K12*(1+IF(L$3&lt;=$O$2,$D12,$D12-($D12-$I$6)*MIN(L$3-$O$2,$Q$2)/$Q$2))</f>
        <v>8997.33639871421</v>
      </c>
      <c r="M12" s="15" t="n">
        <f aca="false">L12*(1+IF(M$3&lt;=$O$2,$D12,$D12-($D12-$I$6)*MIN(M$3-$O$2,$Q$2)/$Q$2))</f>
        <v>9229.15277102708</v>
      </c>
      <c r="N12" s="15" t="n">
        <f aca="false">M12*(1+IF(N$3&lt;=$O$2,$D12,$D12-($D12-$I$6)*MIN(N$3-$O$2,$Q$2)/$Q$2))</f>
        <v>9490.33779444715</v>
      </c>
      <c r="O12" s="15" t="n">
        <f aca="false">SUMPRODUCT(E12:N12,1/(1+$F$6)^$E$3:$N$3)*$E$2</f>
        <v>16104.663941069</v>
      </c>
      <c r="P12" s="15" t="n">
        <f aca="false">N12*$E$2*(1+$I$6)/($F$6-$I$6)/(1+$F$6)^$N$3</f>
        <v>23434.1448597246</v>
      </c>
      <c r="Q12" s="15" t="n">
        <f aca="false">O12+P12</f>
        <v>39538.8088007936</v>
      </c>
      <c r="R12" s="15" t="n">
        <f aca="false">Q12-$G$2+$I$2</f>
        <v>37021.8088007936</v>
      </c>
      <c r="S12" s="42" t="n">
        <f aca="false">R12/$K$2</f>
        <v>85.4572937555828</v>
      </c>
      <c r="T12" s="43" t="n">
        <f aca="false">S12-$M$2</f>
        <v>-19.8010045685943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41" t="n">
        <f aca="false">(B13+C13)/2</f>
        <v>0.0390625</v>
      </c>
      <c r="E13" s="15" t="n">
        <f aca="false">$C$2*(1+IF(E$3&lt;=$O$2,$D13,$D13-($D13-$I$6)*MIN(E$3-$O$2,$Q$2)/$Q$2))</f>
        <v>8135.859375</v>
      </c>
      <c r="F13" s="15" t="n">
        <f aca="false">E13*(1+IF(F$3&lt;=$O$2,$D13,$D13-($D13-$I$6)*MIN(F$3-$O$2,$Q$2)/$Q$2))</f>
        <v>8453.66638183594</v>
      </c>
      <c r="G13" s="15" t="n">
        <f aca="false">F13*(1+IF(G$3&lt;=$O$2,$D13,$D13-($D13-$I$6)*MIN(G$3-$O$2,$Q$2)/$Q$2))</f>
        <v>8783.8877248764</v>
      </c>
      <c r="H13" s="15" t="n">
        <f aca="false">G13*(1+IF(H$3&lt;=$O$2,$D13,$D13-($D13-$I$6)*MIN(H$3-$O$2,$Q$2)/$Q$2))</f>
        <v>9127.00833912939</v>
      </c>
      <c r="I13" s="15" t="n">
        <f aca="false">H13*(1+IF(I$3&lt;=$O$2,$D13,$D13-($D13-$I$6)*MIN(I$3-$O$2,$Q$2)/$Q$2))</f>
        <v>9483.53210237663</v>
      </c>
      <c r="J13" s="15" t="n">
        <f aca="false">I13*(1+IF(J$3&lt;=$O$2,$D13,$D13-($D13-$I$6)*MIN(J$3-$O$2,$Q$2)/$Q$2))</f>
        <v>9833.56927227535</v>
      </c>
      <c r="K13" s="15" t="n">
        <f aca="false">J13*(1+IF(K$3&lt;=$O$2,$D13,$D13-($D13-$I$6)*MIN(K$3-$O$2,$Q$2)/$Q$2))</f>
        <v>10175.3595562565</v>
      </c>
      <c r="L13" s="15" t="n">
        <f aca="false">K13*(1+IF(L$3&lt;=$O$2,$D13,$D13-($D13-$I$6)*MIN(L$3-$O$2,$Q$2)/$Q$2))</f>
        <v>10507.1271545882</v>
      </c>
      <c r="M13" s="15" t="n">
        <f aca="false">L13*(1+IF(M$3&lt;=$O$2,$D13,$D13-($D13-$I$6)*MIN(M$3-$O$2,$Q$2)/$Q$2))</f>
        <v>10827.0954442633</v>
      </c>
      <c r="N13" s="15" t="n">
        <f aca="false">M13*(1+IF(N$3&lt;=$O$2,$D13,$D13-($D13-$I$6)*MIN(N$3-$O$2,$Q$2)/$Q$2))</f>
        <v>11133.502245336</v>
      </c>
      <c r="O13" s="15" t="n">
        <f aca="false">SUMPRODUCT(E13:N13,1/(1+$F$6)^$E$3:$N$3)*$E$2</f>
        <v>17844.202501417</v>
      </c>
      <c r="P13" s="15" t="n">
        <f aca="false">N13*$E$2*(1+$I$6)/($F$6-$I$6)/(1+$F$6)^$N$3</f>
        <v>27491.5508872538</v>
      </c>
      <c r="Q13" s="15" t="n">
        <f aca="false">O13+P13</f>
        <v>45335.7533886708</v>
      </c>
      <c r="R13" s="15" t="n">
        <f aca="false">Q13-$G$2+$I$2</f>
        <v>42818.7533886708</v>
      </c>
      <c r="S13" s="42" t="n">
        <f aca="false">R13/$K$2</f>
        <v>98.838357852063</v>
      </c>
      <c r="T13" s="43" t="n">
        <f aca="false">S13-$M$2</f>
        <v>-6.41994047211406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0.0390625</v>
      </c>
      <c r="C14" s="25" t="n">
        <f aca="false">IF(T13&gt;0,D13,C13)</f>
        <v>0.0625</v>
      </c>
      <c r="D14" s="41" t="n">
        <f aca="false">(B14+C14)/2</f>
        <v>0.05078125</v>
      </c>
      <c r="E14" s="15" t="n">
        <f aca="false">$C$2*(1+IF(E$3&lt;=$O$2,$D14,$D14-($D14-$I$6)*MIN(E$3-$O$2,$Q$2)/$Q$2))</f>
        <v>8227.6171875</v>
      </c>
      <c r="F14" s="15" t="n">
        <f aca="false">E14*(1+IF(F$3&lt;=$O$2,$D14,$D14-($D14-$I$6)*MIN(F$3-$O$2,$Q$2)/$Q$2))</f>
        <v>8645.42587280273</v>
      </c>
      <c r="G14" s="15" t="n">
        <f aca="false">F14*(1+IF(G$3&lt;=$O$2,$D14,$D14-($D14-$I$6)*MIN(G$3-$O$2,$Q$2)/$Q$2))</f>
        <v>9084.451405406</v>
      </c>
      <c r="H14" s="15" t="n">
        <f aca="false">G14*(1+IF(H$3&lt;=$O$2,$D14,$D14-($D14-$I$6)*MIN(H$3-$O$2,$Q$2)/$Q$2))</f>
        <v>9545.77120333677</v>
      </c>
      <c r="I14" s="15" t="n">
        <f aca="false">H14*(1+IF(I$3&lt;=$O$2,$D14,$D14-($D14-$I$6)*MIN(I$3-$O$2,$Q$2)/$Q$2))</f>
        <v>10030.5173972562</v>
      </c>
      <c r="J14" s="15" t="n">
        <f aca="false">I14*(1+IF(J$3&lt;=$O$2,$D14,$D14-($D14-$I$6)*MIN(J$3-$O$2,$Q$2)/$Q$2))</f>
        <v>10494.7798949882</v>
      </c>
      <c r="K14" s="15" t="n">
        <f aca="false">J14*(1+IF(K$3&lt;=$O$2,$D14,$D14-($D14-$I$6)*MIN(K$3-$O$2,$Q$2)/$Q$2))</f>
        <v>10933.3436283249</v>
      </c>
      <c r="L14" s="15" t="n">
        <f aca="false">K14*(1+IF(L$3&lt;=$O$2,$D14,$D14-($D14-$I$6)*MIN(L$3-$O$2,$Q$2)/$Q$2))</f>
        <v>11341.0753455842</v>
      </c>
      <c r="M14" s="15" t="n">
        <f aca="false">L14*(1+IF(M$3&lt;=$O$2,$D14,$D14-($D14-$I$6)*MIN(M$3-$O$2,$Q$2)/$Q$2))</f>
        <v>11713.0200878868</v>
      </c>
      <c r="N14" s="15" t="n">
        <f aca="false">M14*(1+IF(N$3&lt;=$O$2,$D14,$D14-($D14-$I$6)*MIN(N$3-$O$2,$Q$2)/$Q$2))</f>
        <v>12044.498556374</v>
      </c>
      <c r="O14" s="15" t="n">
        <f aca="false">SUMPRODUCT(E14:N14,1/(1+$F$6)^$E$3:$N$3)*$E$2</f>
        <v>18784.0296809808</v>
      </c>
      <c r="P14" s="15" t="n">
        <f aca="false">N14*$E$2*(1+$I$6)/($F$6-$I$6)/(1+$F$6)^$N$3</f>
        <v>29741.0408402913</v>
      </c>
      <c r="Q14" s="15" t="n">
        <f aca="false">O14+P14</f>
        <v>48525.0705212721</v>
      </c>
      <c r="R14" s="15" t="n">
        <f aca="false">Q14-$G$2+$I$2</f>
        <v>46008.0705212721</v>
      </c>
      <c r="S14" s="42" t="n">
        <f aca="false">R14/$K$2</f>
        <v>106.200245882628</v>
      </c>
      <c r="T14" s="43" t="n">
        <f aca="false">S14-$M$2</f>
        <v>0.941947558450949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0.0390625</v>
      </c>
      <c r="C15" s="25" t="n">
        <f aca="false">IF(T14&gt;0,D14,C14)</f>
        <v>0.05078125</v>
      </c>
      <c r="D15" s="41" t="n">
        <f aca="false">(B15+C15)/2</f>
        <v>0.044921875</v>
      </c>
      <c r="E15" s="15" t="n">
        <f aca="false">$C$2*(1+IF(E$3&lt;=$O$2,$D15,$D15-($D15-$I$6)*MIN(E$3-$O$2,$Q$2)/$Q$2))</f>
        <v>8181.73828125</v>
      </c>
      <c r="F15" s="15" t="n">
        <f aca="false">E15*(1+IF(F$3&lt;=$O$2,$D15,$D15-($D15-$I$6)*MIN(F$3-$O$2,$Q$2)/$Q$2))</f>
        <v>8549.27730560303</v>
      </c>
      <c r="G15" s="15" t="n">
        <f aca="false">F15*(1+IF(G$3&lt;=$O$2,$D15,$D15-($D15-$I$6)*MIN(G$3-$O$2,$Q$2)/$Q$2))</f>
        <v>8933.32687206566</v>
      </c>
      <c r="H15" s="15" t="n">
        <f aca="false">G15*(1+IF(H$3&lt;=$O$2,$D15,$D15-($D15-$I$6)*MIN(H$3-$O$2,$Q$2)/$Q$2))</f>
        <v>9334.62866514674</v>
      </c>
      <c r="I15" s="15" t="n">
        <f aca="false">H15*(1+IF(I$3&lt;=$O$2,$D15,$D15-($D15-$I$6)*MIN(I$3-$O$2,$Q$2)/$Q$2))</f>
        <v>9753.95768721388</v>
      </c>
      <c r="J15" s="15" t="n">
        <f aca="false">I15*(1+IF(J$3&lt;=$O$2,$D15,$D15-($D15-$I$6)*MIN(J$3-$O$2,$Q$2)/$Q$2))</f>
        <v>10159.6979421078</v>
      </c>
      <c r="K15" s="15" t="n">
        <f aca="false">J15*(1+IF(K$3&lt;=$O$2,$D15,$D15-($D15-$I$6)*MIN(K$3-$O$2,$Q$2)/$Q$2))</f>
        <v>10548.5413314083</v>
      </c>
      <c r="L15" s="15" t="n">
        <f aca="false">K15*(1+IF(L$3&lt;=$O$2,$D15,$D15-($D15-$I$6)*MIN(L$3-$O$2,$Q$2)/$Q$2))</f>
        <v>10917.1996652643</v>
      </c>
      <c r="M15" s="15" t="n">
        <f aca="false">L15*(1+IF(M$3&lt;=$O$2,$D15,$D15-($D15-$I$6)*MIN(M$3-$O$2,$Q$2)/$Q$2))</f>
        <v>11262.4492814285</v>
      </c>
      <c r="N15" s="15" t="n">
        <f aca="false">M15*(1+IF(N$3&lt;=$O$2,$D15,$D15-($D15-$I$6)*MIN(N$3-$O$2,$Q$2)/$Q$2))</f>
        <v>11581.176596093</v>
      </c>
      <c r="O15" s="15" t="n">
        <f aca="false">SUMPRODUCT(E15:N15,1/(1+$F$6)^$E$3:$N$3)*$E$2</f>
        <v>18308.0392551044</v>
      </c>
      <c r="P15" s="15" t="n">
        <f aca="false">N15*$E$2*(1+$I$6)/($F$6-$I$6)/(1+$F$6)^$N$3</f>
        <v>28596.9768281261</v>
      </c>
      <c r="Q15" s="15" t="n">
        <f aca="false">O15+P15</f>
        <v>46905.0160832306</v>
      </c>
      <c r="R15" s="15" t="n">
        <f aca="false">Q15-$G$2+$I$2</f>
        <v>44388.0160832306</v>
      </c>
      <c r="S15" s="42" t="n">
        <f aca="false">R15/$K$2</f>
        <v>102.460680677786</v>
      </c>
      <c r="T15" s="43" t="n">
        <f aca="false">S15-$M$2</f>
        <v>-2.79761764639083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0.044921875</v>
      </c>
      <c r="C16" s="25" t="n">
        <f aca="false">IF(T15&gt;0,D15,C15)</f>
        <v>0.05078125</v>
      </c>
      <c r="D16" s="41" t="n">
        <f aca="false">(B16+C16)/2</f>
        <v>0.0478515625</v>
      </c>
      <c r="E16" s="15" t="n">
        <f aca="false">$C$2*(1+IF(E$3&lt;=$O$2,$D16,$D16-($D16-$I$6)*MIN(E$3-$O$2,$Q$2)/$Q$2))</f>
        <v>8204.677734375</v>
      </c>
      <c r="F16" s="15" t="n">
        <f aca="false">E16*(1+IF(F$3&lt;=$O$2,$D16,$D16-($D16-$I$6)*MIN(F$3-$O$2,$Q$2)/$Q$2))</f>
        <v>8597.2843837738</v>
      </c>
      <c r="G16" s="15" t="n">
        <f aca="false">F16*(1+IF(G$3&lt;=$O$2,$D16,$D16-($D16-$I$6)*MIN(G$3-$O$2,$Q$2)/$Q$2))</f>
        <v>9008.67787479423</v>
      </c>
      <c r="H16" s="15" t="n">
        <f aca="false">G16*(1+IF(H$3&lt;=$O$2,$D16,$D16-($D16-$I$6)*MIN(H$3-$O$2,$Q$2)/$Q$2))</f>
        <v>9439.75718716231</v>
      </c>
      <c r="I16" s="15" t="n">
        <f aca="false">H16*(1+IF(I$3&lt;=$O$2,$D16,$D16-($D16-$I$6)*MIN(I$3-$O$2,$Q$2)/$Q$2))</f>
        <v>9891.46431818864</v>
      </c>
      <c r="J16" s="15" t="n">
        <f aca="false">I16*(1+IF(J$3&lt;=$O$2,$D16,$D16-($D16-$I$6)*MIN(J$3-$O$2,$Q$2)/$Q$2))</f>
        <v>10326.1076246602</v>
      </c>
      <c r="K16" s="15" t="n">
        <f aca="false">J16*(1+IF(K$3&lt;=$O$2,$D16,$D16-($D16-$I$6)*MIN(K$3-$O$2,$Q$2)/$Q$2))</f>
        <v>10739.4713936013</v>
      </c>
      <c r="L16" s="15" t="n">
        <f aca="false">K16*(1+IF(L$3&lt;=$O$2,$D16,$D16-($D16-$I$6)*MIN(L$3-$O$2,$Q$2)/$Q$2))</f>
        <v>11127.3878125078</v>
      </c>
      <c r="M16" s="15" t="n">
        <f aca="false">L16*(1+IF(M$3&lt;=$O$2,$D16,$D16-($D16-$I$6)*MIN(M$3-$O$2,$Q$2)/$Q$2))</f>
        <v>11485.8044512574</v>
      </c>
      <c r="N16" s="15" t="n">
        <f aca="false">M16*(1+IF(N$3&lt;=$O$2,$D16,$D16-($D16-$I$6)*MIN(N$3-$O$2,$Q$2)/$Q$2))</f>
        <v>11810.8527172279</v>
      </c>
      <c r="O16" s="15" t="n">
        <f aca="false">SUMPRODUCT(E16:N16,1/(1+$F$6)^$E$3:$N$3)*$E$2</f>
        <v>18544.4968349926</v>
      </c>
      <c r="P16" s="15" t="n">
        <f aca="false">N16*$E$2*(1+$I$6)/($F$6-$I$6)/(1+$F$6)^$N$3</f>
        <v>29164.1076942841</v>
      </c>
      <c r="Q16" s="15" t="n">
        <f aca="false">O16+P16</f>
        <v>47708.6045292767</v>
      </c>
      <c r="R16" s="15" t="n">
        <f aca="false">Q16-$G$2+$I$2</f>
        <v>45191.6045292767</v>
      </c>
      <c r="S16" s="42" t="n">
        <f aca="false">R16/$K$2</f>
        <v>104.315600686203</v>
      </c>
      <c r="T16" s="43" t="n">
        <f aca="false">S16-$M$2</f>
        <v>-0.942697637974405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0.0478515625</v>
      </c>
      <c r="C17" s="25" t="n">
        <f aca="false">IF(T16&gt;0,D16,C16)</f>
        <v>0.05078125</v>
      </c>
      <c r="D17" s="41" t="n">
        <f aca="false">(B17+C17)/2</f>
        <v>0.04931640625</v>
      </c>
      <c r="E17" s="15" t="n">
        <f aca="false">$C$2*(1+IF(E$3&lt;=$O$2,$D17,$D17-($D17-$I$6)*MIN(E$3-$O$2,$Q$2)/$Q$2))</f>
        <v>8216.1474609375</v>
      </c>
      <c r="F17" s="15" t="n">
        <f aca="false">E17*(1+IF(F$3&lt;=$O$2,$D17,$D17-($D17-$I$6)*MIN(F$3-$O$2,$Q$2)/$Q$2))</f>
        <v>8621.338326931</v>
      </c>
      <c r="G17" s="15" t="n">
        <f aca="false">F17*(1+IF(G$3&lt;=$O$2,$D17,$D17-($D17-$I$6)*MIN(G$3-$O$2,$Q$2)/$Q$2))</f>
        <v>9046.51175028062</v>
      </c>
      <c r="H17" s="15" t="n">
        <f aca="false">G17*(1+IF(H$3&lt;=$O$2,$D17,$D17-($D17-$I$6)*MIN(H$3-$O$2,$Q$2)/$Q$2))</f>
        <v>9492.65319890286</v>
      </c>
      <c r="I17" s="15" t="n">
        <f aca="false">H17*(1+IF(I$3&lt;=$O$2,$D17,$D17-($D17-$I$6)*MIN(I$3-$O$2,$Q$2)/$Q$2))</f>
        <v>9960.79674045032</v>
      </c>
      <c r="J17" s="15" t="n">
        <f aca="false">I17*(1+IF(J$3&lt;=$O$2,$D17,$D17-($D17-$I$6)*MIN(J$3-$O$2,$Q$2)/$Q$2))</f>
        <v>10410.1594089018</v>
      </c>
      <c r="K17" s="15" t="n">
        <f aca="false">J17*(1+IF(K$3&lt;=$O$2,$D17,$D17-($D17-$I$6)*MIN(K$3-$O$2,$Q$2)/$Q$2))</f>
        <v>10836.0374037326</v>
      </c>
      <c r="L17" s="15" t="n">
        <f aca="false">K17*(1+IF(L$3&lt;=$O$2,$D17,$D17-($D17-$I$6)*MIN(L$3-$O$2,$Q$2)/$Q$2))</f>
        <v>11233.7910879451</v>
      </c>
      <c r="M17" s="15" t="n">
        <f aca="false">L17*(1+IF(M$3&lt;=$O$2,$D17,$D17-($D17-$I$6)*MIN(M$3-$O$2,$Q$2)/$Q$2))</f>
        <v>11598.9261591803</v>
      </c>
      <c r="N17" s="15" t="n">
        <f aca="false">M17*(1+IF(N$3&lt;=$O$2,$D17,$D17-($D17-$I$6)*MIN(N$3-$O$2,$Q$2)/$Q$2))</f>
        <v>11927.1757694851</v>
      </c>
      <c r="O17" s="15" t="n">
        <f aca="false">SUMPRODUCT(E17:N17,1/(1+$F$6)^$E$3:$N$3)*$E$2</f>
        <v>18663.8765254941</v>
      </c>
      <c r="P17" s="15" t="n">
        <f aca="false">N17*$E$2*(1+$I$6)/($F$6-$I$6)/(1+$F$6)^$N$3</f>
        <v>29451.3399631623</v>
      </c>
      <c r="Q17" s="15" t="n">
        <f aca="false">O17+P17</f>
        <v>48115.2164886564</v>
      </c>
      <c r="R17" s="15" t="n">
        <f aca="false">Q17-$G$2+$I$2</f>
        <v>45598.2164886564</v>
      </c>
      <c r="S17" s="42" t="n">
        <f aca="false">R17/$K$2</f>
        <v>105.254181452048</v>
      </c>
      <c r="T17" s="43" t="n">
        <f aca="false">S17-$M$2</f>
        <v>-0.00411687212873346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0.04931640625</v>
      </c>
      <c r="C18" s="25" t="n">
        <f aca="false">IF(T17&gt;0,D17,C17)</f>
        <v>0.05078125</v>
      </c>
      <c r="D18" s="41" t="n">
        <f aca="false">(B18+C18)/2</f>
        <v>0.050048828125</v>
      </c>
      <c r="E18" s="15" t="n">
        <f aca="false">$C$2*(1+IF(E$3&lt;=$O$2,$D18,$D18-($D18-$I$6)*MIN(E$3-$O$2,$Q$2)/$Q$2))</f>
        <v>8221.88232421875</v>
      </c>
      <c r="F18" s="15" t="n">
        <f aca="false">E18*(1+IF(F$3&lt;=$O$2,$D18,$D18-($D18-$I$6)*MIN(F$3-$O$2,$Q$2)/$Q$2))</f>
        <v>8633.37789952755</v>
      </c>
      <c r="G18" s="15" t="n">
        <f aca="false">F18*(1+IF(G$3&lt;=$O$2,$D18,$D18-($D18-$I$6)*MIN(G$3-$O$2,$Q$2)/$Q$2))</f>
        <v>9065.46834615918</v>
      </c>
      <c r="H18" s="15" t="n">
        <f aca="false">G18*(1+IF(H$3&lt;=$O$2,$D18,$D18-($D18-$I$6)*MIN(H$3-$O$2,$Q$2)/$Q$2))</f>
        <v>9519.18441328873</v>
      </c>
      <c r="I18" s="15" t="n">
        <f aca="false">H18*(1+IF(I$3&lt;=$O$2,$D18,$D18-($D18-$I$6)*MIN(I$3-$O$2,$Q$2)/$Q$2))</f>
        <v>9995.60843787959</v>
      </c>
      <c r="J18" s="15" t="n">
        <f aca="false">I18*(1+IF(J$3&lt;=$O$2,$D18,$D18-($D18-$I$6)*MIN(J$3-$O$2,$Q$2)/$Q$2))</f>
        <v>10452.3983726078</v>
      </c>
      <c r="K18" s="15" t="n">
        <f aca="false">J18*(1+IF(K$3&lt;=$O$2,$D18,$D18-($D18-$I$6)*MIN(K$3-$O$2,$Q$2)/$Q$2))</f>
        <v>10884.5976959725</v>
      </c>
      <c r="L18" s="15" t="n">
        <f aca="false">K18*(1+IF(L$3&lt;=$O$2,$D18,$D18-($D18-$I$6)*MIN(L$3-$O$2,$Q$2)/$Q$2))</f>
        <v>11287.3227085683</v>
      </c>
      <c r="M18" s="15" t="n">
        <f aca="false">L18*(1+IF(M$3&lt;=$O$2,$D18,$D18-($D18-$I$6)*MIN(M$3-$O$2,$Q$2)/$Q$2))</f>
        <v>11655.8511495368</v>
      </c>
      <c r="N18" s="15" t="n">
        <f aca="false">M18*(1+IF(N$3&lt;=$O$2,$D18,$D18-($D18-$I$6)*MIN(N$3-$O$2,$Q$2)/$Q$2))</f>
        <v>11985.7117370687</v>
      </c>
      <c r="O18" s="15" t="n">
        <f aca="false">SUMPRODUCT(E18:N18,1/(1+$F$6)^$E$3:$N$3)*$E$2</f>
        <v>18723.8561282502</v>
      </c>
      <c r="P18" s="15" t="n">
        <f aca="false">N18*$E$2*(1+$I$6)/($F$6-$I$6)/(1+$F$6)^$N$3</f>
        <v>29595.8806922248</v>
      </c>
      <c r="Q18" s="15" t="n">
        <f aca="false">O18+P18</f>
        <v>48319.736820475</v>
      </c>
      <c r="R18" s="15" t="n">
        <f aca="false">Q18-$G$2+$I$2</f>
        <v>45802.736820475</v>
      </c>
      <c r="S18" s="42" t="n">
        <f aca="false">R18/$K$2</f>
        <v>105.726274919152</v>
      </c>
      <c r="T18" s="43" t="n">
        <f aca="false">S18-$M$2</f>
        <v>0.467976594974843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0.04931640625</v>
      </c>
      <c r="C19" s="25" t="n">
        <f aca="false">IF(T18&gt;0,D18,C18)</f>
        <v>0.050048828125</v>
      </c>
      <c r="D19" s="41" t="n">
        <f aca="false">(B19+C19)/2</f>
        <v>0.0496826171875</v>
      </c>
      <c r="E19" s="15" t="n">
        <f aca="false">$C$2*(1+IF(E$3&lt;=$O$2,$D19,$D19-($D19-$I$6)*MIN(E$3-$O$2,$Q$2)/$Q$2))</f>
        <v>8219.01489257813</v>
      </c>
      <c r="F19" s="15" t="n">
        <f aca="false">E19*(1+IF(F$3&lt;=$O$2,$D19,$D19-($D19-$I$6)*MIN(F$3-$O$2,$Q$2)/$Q$2))</f>
        <v>8627.35706314445</v>
      </c>
      <c r="G19" s="15" t="n">
        <f aca="false">F19*(1+IF(G$3&lt;=$O$2,$D19,$D19-($D19-$I$6)*MIN(G$3-$O$2,$Q$2)/$Q$2))</f>
        <v>9055.98674145253</v>
      </c>
      <c r="H19" s="15" t="n">
        <f aca="false">G19*(1+IF(H$3&lt;=$O$2,$D19,$D19-($D19-$I$6)*MIN(H$3-$O$2,$Q$2)/$Q$2))</f>
        <v>9505.91186398319</v>
      </c>
      <c r="I19" s="15" t="n">
        <f aca="false">H19*(1+IF(I$3&lt;=$O$2,$D19,$D19-($D19-$I$6)*MIN(I$3-$O$2,$Q$2)/$Q$2))</f>
        <v>9978.19044413958</v>
      </c>
      <c r="J19" s="15" t="n">
        <f aca="false">I19*(1+IF(J$3&lt;=$O$2,$D19,$D19-($D19-$I$6)*MIN(J$3-$O$2,$Q$2)/$Q$2))</f>
        <v>10431.2610949015</v>
      </c>
      <c r="K19" s="15" t="n">
        <f aca="false">J19*(1+IF(K$3&lt;=$O$2,$D19,$D19-($D19-$I$6)*MIN(K$3-$O$2,$Q$2)/$Q$2))</f>
        <v>10860.2943815523</v>
      </c>
      <c r="L19" s="15" t="n">
        <f aca="false">K19*(1+IF(L$3&lt;=$O$2,$D19,$D19-($D19-$I$6)*MIN(L$3-$O$2,$Q$2)/$Q$2))</f>
        <v>11260.529319472</v>
      </c>
      <c r="M19" s="15" t="n">
        <f aca="false">L19*(1+IF(M$3&lt;=$O$2,$D19,$D19-($D19-$I$6)*MIN(M$3-$O$2,$Q$2)/$Q$2))</f>
        <v>11627.3582167664</v>
      </c>
      <c r="N19" s="15" t="n">
        <f aca="false">M19*(1+IF(N$3&lt;=$O$2,$D19,$D19-($D19-$I$6)*MIN(N$3-$O$2,$Q$2)/$Q$2))</f>
        <v>11956.4124543009</v>
      </c>
      <c r="O19" s="15" t="n">
        <f aca="false">SUMPRODUCT(E19:N19,1/(1+$F$6)^$E$3:$N$3)*$E$2</f>
        <v>18693.8421196682</v>
      </c>
      <c r="P19" s="15" t="n">
        <f aca="false">N19*$E$2*(1+$I$6)/($F$6-$I$6)/(1+$F$6)^$N$3</f>
        <v>29523.5330422741</v>
      </c>
      <c r="Q19" s="15" t="n">
        <f aca="false">O19+P19</f>
        <v>48217.3751619422</v>
      </c>
      <c r="R19" s="15" t="n">
        <f aca="false">Q19-$G$2+$I$2</f>
        <v>45700.3751619422</v>
      </c>
      <c r="S19" s="42" t="n">
        <f aca="false">R19/$K$2</f>
        <v>105.489993910582</v>
      </c>
      <c r="T19" s="43" t="n">
        <f aca="false">S19-$M$2</f>
        <v>0.231695586404598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0.04931640625</v>
      </c>
      <c r="C20" s="25" t="n">
        <f aca="false">IF(T19&gt;0,D19,C19)</f>
        <v>0.0496826171875</v>
      </c>
      <c r="D20" s="41" t="n">
        <f aca="false">(B20+C20)/2</f>
        <v>0.04949951171875</v>
      </c>
      <c r="E20" s="15" t="n">
        <f aca="false">$C$2*(1+IF(E$3&lt;=$O$2,$D20,$D20-($D20-$I$6)*MIN(E$3-$O$2,$Q$2)/$Q$2))</f>
        <v>8217.58117675781</v>
      </c>
      <c r="F20" s="15" t="n">
        <f aca="false">E20*(1+IF(F$3&lt;=$O$2,$D20,$D20-($D20-$I$6)*MIN(F$3-$O$2,$Q$2)/$Q$2))</f>
        <v>8624.34743251652</v>
      </c>
      <c r="G20" s="15" t="n">
        <f aca="false">F20*(1+IF(G$3&lt;=$O$2,$D20,$D20-($D20-$I$6)*MIN(G$3-$O$2,$Q$2)/$Q$2))</f>
        <v>9051.24841931894</v>
      </c>
      <c r="H20" s="15" t="n">
        <f aca="false">G20*(1+IF(H$3&lt;=$O$2,$D20,$D20-($D20-$I$6)*MIN(H$3-$O$2,$Q$2)/$Q$2))</f>
        <v>9499.28079652033</v>
      </c>
      <c r="I20" s="15" t="n">
        <f aca="false">H20*(1+IF(I$3&lt;=$O$2,$D20,$D20-($D20-$I$6)*MIN(I$3-$O$2,$Q$2)/$Q$2))</f>
        <v>9969.49055762739</v>
      </c>
      <c r="J20" s="15" t="n">
        <f aca="false">I20*(1+IF(J$3&lt;=$O$2,$D20,$D20-($D20-$I$6)*MIN(J$3-$O$2,$Q$2)/$Q$2))</f>
        <v>10420.7058059334</v>
      </c>
      <c r="K20" s="15" t="n">
        <f aca="false">J20*(1+IF(K$3&lt;=$O$2,$D20,$D20-($D20-$I$6)*MIN(K$3-$O$2,$Q$2)/$Q$2))</f>
        <v>10848.1601051516</v>
      </c>
      <c r="L20" s="15" t="n">
        <f aca="false">K20*(1+IF(L$3&lt;=$O$2,$D20,$D20-($D20-$I$6)*MIN(L$3-$O$2,$Q$2)/$Q$2))</f>
        <v>11247.1533150378</v>
      </c>
      <c r="M20" s="15" t="n">
        <f aca="false">L20*(1+IF(M$3&lt;=$O$2,$D20,$D20-($D20-$I$6)*MIN(M$3-$O$2,$Q$2)/$Q$2))</f>
        <v>11613.1345855543</v>
      </c>
      <c r="N20" s="15" t="n">
        <f aca="false">M20*(1+IF(N$3&lt;=$O$2,$D20,$D20-($D20-$I$6)*MIN(N$3-$O$2,$Q$2)/$Q$2))</f>
        <v>11941.7862943255</v>
      </c>
      <c r="O20" s="15" t="n">
        <f aca="false">SUMPRODUCT(E20:N20,1/(1+$F$6)^$E$3:$N$3)*$E$2</f>
        <v>18678.8532753427</v>
      </c>
      <c r="P20" s="15" t="n">
        <f aca="false">N20*$E$2*(1+$I$6)/($F$6-$I$6)/(1+$F$6)^$N$3</f>
        <v>29487.417199084</v>
      </c>
      <c r="Q20" s="15" t="n">
        <f aca="false">O20+P20</f>
        <v>48166.2704744267</v>
      </c>
      <c r="R20" s="15" t="n">
        <f aca="false">Q20-$G$2+$I$2</f>
        <v>45649.2704744267</v>
      </c>
      <c r="S20" s="42" t="n">
        <f aca="false">R20/$K$2</f>
        <v>105.372029163997</v>
      </c>
      <c r="T20" s="43" t="n">
        <f aca="false">S20-$M$2</f>
        <v>0.113730839819695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0.04931640625</v>
      </c>
      <c r="C21" s="25" t="n">
        <f aca="false">IF(T20&gt;0,D20,C20)</f>
        <v>0.04949951171875</v>
      </c>
      <c r="D21" s="41" t="n">
        <f aca="false">(B21+C21)/2</f>
        <v>0.049407958984375</v>
      </c>
      <c r="E21" s="15" t="n">
        <f aca="false">$C$2*(1+IF(E$3&lt;=$O$2,$D21,$D21-($D21-$I$6)*MIN(E$3-$O$2,$Q$2)/$Q$2))</f>
        <v>8216.86431884766</v>
      </c>
      <c r="F21" s="15" t="n">
        <f aca="false">E21*(1+IF(F$3&lt;=$O$2,$D21,$D21-($D21-$I$6)*MIN(F$3-$O$2,$Q$2)/$Q$2))</f>
        <v>8622.84281409346</v>
      </c>
      <c r="G21" s="15" t="n">
        <f aca="false">F21*(1+IF(G$3&lt;=$O$2,$D21,$D21-($D21-$I$6)*MIN(G$3-$O$2,$Q$2)/$Q$2))</f>
        <v>9048.8798781809</v>
      </c>
      <c r="H21" s="15" t="n">
        <f aca="false">G21*(1+IF(H$3&lt;=$O$2,$D21,$D21-($D21-$I$6)*MIN(H$3-$O$2,$Q$2)/$Q$2))</f>
        <v>9495.9665640566</v>
      </c>
      <c r="I21" s="15" t="n">
        <f aca="false">H21*(1+IF(I$3&lt;=$O$2,$D21,$D21-($D21-$I$6)*MIN(I$3-$O$2,$Q$2)/$Q$2))</f>
        <v>9965.1428905705</v>
      </c>
      <c r="J21" s="15" t="n">
        <f aca="false">I21*(1+IF(J$3&lt;=$O$2,$D21,$D21-($D21-$I$6)*MIN(J$3-$O$2,$Q$2)/$Q$2))</f>
        <v>10415.4314962997</v>
      </c>
      <c r="K21" s="15" t="n">
        <f aca="false">J21*(1+IF(K$3&lt;=$O$2,$D21,$D21-($D21-$I$6)*MIN(K$3-$O$2,$Q$2)/$Q$2))</f>
        <v>10842.0973081421</v>
      </c>
      <c r="L21" s="15" t="n">
        <f aca="false">K21*(1+IF(L$3&lt;=$O$2,$D21,$D21-($D21-$I$6)*MIN(L$3-$O$2,$Q$2)/$Q$2))</f>
        <v>11240.4704800765</v>
      </c>
      <c r="M21" s="15" t="n">
        <f aca="false">L21*(1+IF(M$3&lt;=$O$2,$D21,$D21-($D21-$I$6)*MIN(M$3-$O$2,$Q$2)/$Q$2))</f>
        <v>11606.0284726343</v>
      </c>
      <c r="N21" s="15" t="n">
        <f aca="false">M21*(1+IF(N$3&lt;=$O$2,$D21,$D21-($D21-$I$6)*MIN(N$3-$O$2,$Q$2)/$Q$2))</f>
        <v>11934.4790784099</v>
      </c>
      <c r="O21" s="15" t="n">
        <f aca="false">SUMPRODUCT(E21:N21,1/(1+$F$6)^$E$3:$N$3)*$E$2</f>
        <v>18671.3633891788</v>
      </c>
      <c r="P21" s="15" t="n">
        <f aca="false">N21*$E$2*(1+$I$6)/($F$6-$I$6)/(1+$F$6)^$N$3</f>
        <v>29469.3737574282</v>
      </c>
      <c r="Q21" s="15" t="n">
        <f aca="false">O21+P21</f>
        <v>48140.737146607</v>
      </c>
      <c r="R21" s="15" t="n">
        <f aca="false">Q21-$G$2+$I$2</f>
        <v>45623.737146607</v>
      </c>
      <c r="S21" s="42" t="n">
        <f aca="false">R21/$K$2</f>
        <v>105.313090685118</v>
      </c>
      <c r="T21" s="43" t="n">
        <f aca="false">S21-$M$2</f>
        <v>0.0547923609413061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0.04931640625</v>
      </c>
      <c r="C22" s="25" t="n">
        <f aca="false">IF(T21&gt;0,D21,C21)</f>
        <v>0.049407958984375</v>
      </c>
      <c r="D22" s="41" t="n">
        <f aca="false">(B22+C22)/2</f>
        <v>0.0493621826171875</v>
      </c>
      <c r="E22" s="15" t="n">
        <f aca="false">$C$2*(1+IF(E$3&lt;=$O$2,$D22,$D22-($D22-$I$6)*MIN(E$3-$O$2,$Q$2)/$Q$2))</f>
        <v>8216.50588989258</v>
      </c>
      <c r="F22" s="15" t="n">
        <f aca="false">E22*(1+IF(F$3&lt;=$O$2,$D22,$D22-($D22-$I$6)*MIN(F$3-$O$2,$Q$2)/$Q$2))</f>
        <v>8622.09055410465</v>
      </c>
      <c r="G22" s="15" t="n">
        <f aca="false">F22*(1+IF(G$3&lt;=$O$2,$D22,$D22-($D22-$I$6)*MIN(G$3-$O$2,$Q$2)/$Q$2))</f>
        <v>9047.69576257829</v>
      </c>
      <c r="H22" s="15" t="n">
        <f aca="false">G22*(1+IF(H$3&lt;=$O$2,$D22,$D22-($D22-$I$6)*MIN(H$3-$O$2,$Q$2)/$Q$2))</f>
        <v>9494.30977307544</v>
      </c>
      <c r="I22" s="15" t="n">
        <f aca="false">H22*(1+IF(I$3&lt;=$O$2,$D22,$D22-($D22-$I$6)*MIN(I$3-$O$2,$Q$2)/$Q$2))</f>
        <v>9962.96962591814</v>
      </c>
      <c r="J22" s="15" t="n">
        <f aca="false">I22*(1+IF(J$3&lt;=$O$2,$D22,$D22-($D22-$I$6)*MIN(J$3-$O$2,$Q$2)/$Q$2))</f>
        <v>10412.7951748681</v>
      </c>
      <c r="K22" s="15" t="n">
        <f aca="false">J22*(1+IF(K$3&lt;=$O$2,$D22,$D22-($D22-$I$6)*MIN(K$3-$O$2,$Q$2)/$Q$2))</f>
        <v>10839.0669944339</v>
      </c>
      <c r="L22" s="15" t="n">
        <f aca="false">K22*(1+IF(L$3&lt;=$O$2,$D22,$D22-($D22-$I$6)*MIN(L$3-$O$2,$Q$2)/$Q$2))</f>
        <v>11237.1303537511</v>
      </c>
      <c r="M22" s="15" t="n">
        <f aca="false">L22*(1+IF(M$3&lt;=$O$2,$D22,$D22-($D22-$I$6)*MIN(M$3-$O$2,$Q$2)/$Q$2))</f>
        <v>11602.476841083</v>
      </c>
      <c r="N22" s="15" t="n">
        <f aca="false">M22*(1+IF(N$3&lt;=$O$2,$D22,$D22-($D22-$I$6)*MIN(N$3-$O$2,$Q$2)/$Q$2))</f>
        <v>11930.8269356856</v>
      </c>
      <c r="O22" s="15" t="n">
        <f aca="false">SUMPRODUCT(E22:N22,1/(1+$F$6)^$E$3:$N$3)*$E$2</f>
        <v>18667.6195795978</v>
      </c>
      <c r="P22" s="15" t="n">
        <f aca="false">N22*$E$2*(1+$I$6)/($F$6-$I$6)/(1+$F$6)^$N$3</f>
        <v>29460.3556546481</v>
      </c>
      <c r="Q22" s="15" t="n">
        <f aca="false">O22+P22</f>
        <v>48127.9752342459</v>
      </c>
      <c r="R22" s="15" t="n">
        <f aca="false">Q22-$G$2+$I$2</f>
        <v>45610.9752342459</v>
      </c>
      <c r="S22" s="42" t="n">
        <f aca="false">R22/$K$2</f>
        <v>105.28363241366</v>
      </c>
      <c r="T22" s="43" t="n">
        <f aca="false">S22-$M$2</f>
        <v>0.0253340894831382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0.04931640625</v>
      </c>
      <c r="C23" s="25" t="n">
        <f aca="false">IF(T22&gt;0,D22,C22)</f>
        <v>0.0493621826171875</v>
      </c>
      <c r="D23" s="41" t="n">
        <f aca="false">(B23+C23)/2</f>
        <v>0.0493392944335938</v>
      </c>
      <c r="E23" s="15" t="n">
        <f aca="false">$C$2*(1+IF(E$3&lt;=$O$2,$D23,$D23-($D23-$I$6)*MIN(E$3-$O$2,$Q$2)/$Q$2))</f>
        <v>8216.32667541504</v>
      </c>
      <c r="F23" s="15" t="n">
        <f aca="false">E23*(1+IF(F$3&lt;=$O$2,$D23,$D23-($D23-$I$6)*MIN(F$3-$O$2,$Q$2)/$Q$2))</f>
        <v>8621.71443641593</v>
      </c>
      <c r="G23" s="15" t="n">
        <f aca="false">F23*(1+IF(G$3&lt;=$O$2,$D23,$D23-($D23-$I$6)*MIN(G$3-$O$2,$Q$2)/$Q$2))</f>
        <v>9047.10374351662</v>
      </c>
      <c r="H23" s="15" t="n">
        <f aca="false">G23*(1+IF(H$3&lt;=$O$2,$D23,$D23-($D23-$I$6)*MIN(H$3-$O$2,$Q$2)/$Q$2))</f>
        <v>9493.48145888926</v>
      </c>
      <c r="I23" s="15" t="n">
        <f aca="false">H23*(1+IF(I$3&lt;=$O$2,$D23,$D23-($D23-$I$6)*MIN(I$3-$O$2,$Q$2)/$Q$2))</f>
        <v>9961.88313578926</v>
      </c>
      <c r="J23" s="15" t="n">
        <f aca="false">I23*(1+IF(J$3&lt;=$O$2,$D23,$D23-($D23-$I$6)*MIN(J$3-$O$2,$Q$2)/$Q$2))</f>
        <v>10411.4772224576</v>
      </c>
      <c r="K23" s="15" t="n">
        <f aca="false">J23*(1+IF(K$3&lt;=$O$2,$D23,$D23-($D23-$I$6)*MIN(K$3-$O$2,$Q$2)/$Q$2))</f>
        <v>10837.5521087164</v>
      </c>
      <c r="L23" s="15" t="n">
        <f aca="false">K23*(1+IF(L$3&lt;=$O$2,$D23,$D23-($D23-$I$6)*MIN(L$3-$O$2,$Q$2)/$Q$2))</f>
        <v>11235.4606132949</v>
      </c>
      <c r="M23" s="15" t="n">
        <f aca="false">L23*(1+IF(M$3&lt;=$O$2,$D23,$D23-($D23-$I$6)*MIN(M$3-$O$2,$Q$2)/$Q$2))</f>
        <v>11600.7013814392</v>
      </c>
      <c r="N23" s="15" t="n">
        <f aca="false">M23*(1+IF(N$3&lt;=$O$2,$D23,$D23-($D23-$I$6)*MIN(N$3-$O$2,$Q$2)/$Q$2))</f>
        <v>11929.0012305339</v>
      </c>
      <c r="O23" s="15" t="n">
        <f aca="false">SUMPRODUCT(E23:N23,1/(1+$F$6)^$E$3:$N$3)*$E$2</f>
        <v>18665.7479581202</v>
      </c>
      <c r="P23" s="15" t="n">
        <f aca="false">N23*$E$2*(1+$I$6)/($F$6-$I$6)/(1+$F$6)^$N$3</f>
        <v>29455.847507528</v>
      </c>
      <c r="Q23" s="15" t="n">
        <f aca="false">O23+P23</f>
        <v>48121.5954656482</v>
      </c>
      <c r="R23" s="15" t="n">
        <f aca="false">Q23-$G$2+$I$2</f>
        <v>45604.5954656482</v>
      </c>
      <c r="S23" s="42" t="n">
        <f aca="false">R23/$K$2</f>
        <v>105.268906019224</v>
      </c>
      <c r="T23" s="43" t="n">
        <f aca="false">S23-$M$2</f>
        <v>0.0106076950467582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0.04931640625</v>
      </c>
      <c r="C24" s="25" t="n">
        <f aca="false">IF(T23&gt;0,D23,C23)</f>
        <v>0.0493392944335938</v>
      </c>
      <c r="D24" s="41" t="n">
        <f aca="false">(B24+C24)/2</f>
        <v>0.0493278503417969</v>
      </c>
      <c r="E24" s="15" t="n">
        <f aca="false">$C$2*(1+IF(E$3&lt;=$O$2,$D24,$D24-($D24-$I$6)*MIN(E$3-$O$2,$Q$2)/$Q$2))</f>
        <v>8216.23706817627</v>
      </c>
      <c r="F24" s="15" t="n">
        <f aca="false">E24*(1+IF(F$3&lt;=$O$2,$D24,$D24-($D24-$I$6)*MIN(F$3-$O$2,$Q$2)/$Q$2))</f>
        <v>8621.52638064799</v>
      </c>
      <c r="G24" s="15" t="n">
        <f aca="false">F24*(1+IF(G$3&lt;=$O$2,$D24,$D24-($D24-$I$6)*MIN(G$3-$O$2,$Q$2)/$Q$2))</f>
        <v>9046.80774367045</v>
      </c>
      <c r="H24" s="15" t="n">
        <f aca="false">G24*(1+IF(H$3&lt;=$O$2,$D24,$D24-($D24-$I$6)*MIN(H$3-$O$2,$Q$2)/$Q$2))</f>
        <v>9493.06732212124</v>
      </c>
      <c r="I24" s="15" t="n">
        <f aca="false">H24*(1+IF(I$3&lt;=$O$2,$D24,$D24-($D24-$I$6)*MIN(I$3-$O$2,$Q$2)/$Q$2))</f>
        <v>9961.33992627143</v>
      </c>
      <c r="J24" s="15" t="n">
        <f aca="false">I24*(1+IF(J$3&lt;=$O$2,$D24,$D24-($D24-$I$6)*MIN(J$3-$O$2,$Q$2)/$Q$2))</f>
        <v>10410.8182983236</v>
      </c>
      <c r="K24" s="15" t="n">
        <f aca="false">J24*(1+IF(K$3&lt;=$O$2,$D24,$D24-($D24-$I$6)*MIN(K$3-$O$2,$Q$2)/$Q$2))</f>
        <v>10836.7947336339</v>
      </c>
      <c r="L24" s="15" t="n">
        <f aca="false">K24*(1+IF(L$3&lt;=$O$2,$D24,$D24-($D24-$I$6)*MIN(L$3-$O$2,$Q$2)/$Q$2))</f>
        <v>11234.6258237332</v>
      </c>
      <c r="M24" s="15" t="n">
        <f aca="false">L24*(1+IF(M$3&lt;=$O$2,$D24,$D24-($D24-$I$6)*MIN(M$3-$O$2,$Q$2)/$Q$2))</f>
        <v>11599.8137406383</v>
      </c>
      <c r="N24" s="15" t="n">
        <f aca="false">M24*(1+IF(N$3&lt;=$O$2,$D24,$D24-($D24-$I$6)*MIN(N$3-$O$2,$Q$2)/$Q$2))</f>
        <v>11928.0884694984</v>
      </c>
      <c r="O24" s="15" t="n">
        <f aca="false">SUMPRODUCT(E24:N24,1/(1+$F$6)^$E$3:$N$3)*$E$2</f>
        <v>18664.8122182018</v>
      </c>
      <c r="P24" s="15" t="n">
        <f aca="false">N24*$E$2*(1+$I$6)/($F$6-$I$6)/(1+$F$6)^$N$3</f>
        <v>29453.5936600051</v>
      </c>
      <c r="Q24" s="15" t="n">
        <f aca="false">O24+P24</f>
        <v>48118.405878207</v>
      </c>
      <c r="R24" s="15" t="n">
        <f aca="false">Q24-$G$2+$I$2</f>
        <v>45601.405878207</v>
      </c>
      <c r="S24" s="42" t="n">
        <f aca="false">R24/$K$2</f>
        <v>105.261543507241</v>
      </c>
      <c r="T24" s="43" t="n">
        <f aca="false">S24-$M$2</f>
        <v>0.00324518306392463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0.04931640625</v>
      </c>
      <c r="C25" s="25" t="n">
        <f aca="false">IF(T24&gt;0,D24,C24)</f>
        <v>0.0493278503417969</v>
      </c>
      <c r="D25" s="41" t="n">
        <f aca="false">(B25+C25)/2</f>
        <v>0.0493221282958984</v>
      </c>
      <c r="E25" s="15" t="n">
        <f aca="false">$C$2*(1+IF(E$3&lt;=$O$2,$D25,$D25-($D25-$I$6)*MIN(E$3-$O$2,$Q$2)/$Q$2))</f>
        <v>8216.19226455689</v>
      </c>
      <c r="F25" s="15" t="n">
        <f aca="false">E25*(1+IF(F$3&lt;=$O$2,$D25,$D25-($D25-$I$6)*MIN(F$3-$O$2,$Q$2)/$Q$2))</f>
        <v>8621.43235353313</v>
      </c>
      <c r="G25" s="15" t="n">
        <f aca="false">F25*(1+IF(G$3&lt;=$O$2,$D25,$D25-($D25-$I$6)*MIN(G$3-$O$2,$Q$2)/$Q$2))</f>
        <v>9046.6597461685</v>
      </c>
      <c r="H25" s="15" t="n">
        <f aca="false">G25*(1+IF(H$3&lt;=$O$2,$D25,$D25-($D25-$I$6)*MIN(H$3-$O$2,$Q$2)/$Q$2))</f>
        <v>9492.86025881836</v>
      </c>
      <c r="I25" s="15" t="n">
        <f aca="false">H25*(1+IF(I$3&lt;=$O$2,$D25,$D25-($D25-$I$6)*MIN(I$3-$O$2,$Q$2)/$Q$2))</f>
        <v>9961.06833039884</v>
      </c>
      <c r="J25" s="15" t="n">
        <f aca="false">I25*(1+IF(J$3&lt;=$O$2,$D25,$D25-($D25-$I$6)*MIN(J$3-$O$2,$Q$2)/$Q$2))</f>
        <v>10410.4888492738</v>
      </c>
      <c r="K25" s="15" t="n">
        <f aca="false">J25*(1+IF(K$3&lt;=$O$2,$D25,$D25-($D25-$I$6)*MIN(K$3-$O$2,$Q$2)/$Q$2))</f>
        <v>10836.4160630357</v>
      </c>
      <c r="L25" s="15" t="n">
        <f aca="false">K25*(1+IF(L$3&lt;=$O$2,$D25,$D25-($D25-$I$6)*MIN(L$3-$O$2,$Q$2)/$Q$2))</f>
        <v>11234.2084491176</v>
      </c>
      <c r="M25" s="15" t="n">
        <f aca="false">L25*(1+IF(M$3&lt;=$O$2,$D25,$D25-($D25-$I$6)*MIN(M$3-$O$2,$Q$2)/$Q$2))</f>
        <v>11599.3699424917</v>
      </c>
      <c r="N25" s="15" t="n">
        <f aca="false">M25*(1+IF(N$3&lt;=$O$2,$D25,$D25-($D25-$I$6)*MIN(N$3-$O$2,$Q$2)/$Q$2))</f>
        <v>11927.6321118642</v>
      </c>
      <c r="O25" s="15" t="n">
        <f aca="false">SUMPRODUCT(E25:N25,1/(1+$F$6)^$E$3:$N$3)*$E$2</f>
        <v>18664.3443659468</v>
      </c>
      <c r="P25" s="15" t="n">
        <f aca="false">N25*$E$2*(1+$I$6)/($F$6-$I$6)/(1+$F$6)^$N$3</f>
        <v>29452.4667927493</v>
      </c>
      <c r="Q25" s="15" t="n">
        <f aca="false">O25+P25</f>
        <v>48116.811158696</v>
      </c>
      <c r="R25" s="15" t="n">
        <f aca="false">Q25-$G$2+$I$2</f>
        <v>45599.811158696</v>
      </c>
      <c r="S25" s="42" t="n">
        <f aca="false">R25/$K$2</f>
        <v>105.257862422548</v>
      </c>
      <c r="T25" s="43" t="n">
        <f aca="false">S25-$M$2</f>
        <v>-0.000435901629600721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0.0493221282958984</v>
      </c>
      <c r="C26" s="25" t="n">
        <f aca="false">IF(T25&gt;0,D25,C25)</f>
        <v>0.0493278503417969</v>
      </c>
      <c r="D26" s="41" t="n">
        <f aca="false">(B26+C26)/2</f>
        <v>0.0493249893188477</v>
      </c>
      <c r="E26" s="15" t="n">
        <f aca="false">$C$2*(1+IF(E$3&lt;=$O$2,$D26,$D26-($D26-$I$6)*MIN(E$3-$O$2,$Q$2)/$Q$2))</f>
        <v>8216.21466636658</v>
      </c>
      <c r="F26" s="15" t="n">
        <f aca="false">E26*(1+IF(F$3&lt;=$O$2,$D26,$D26-($D26-$I$6)*MIN(F$3-$O$2,$Q$2)/$Q$2))</f>
        <v>8621.47936702647</v>
      </c>
      <c r="G26" s="15" t="n">
        <f aca="false">F26*(1+IF(G$3&lt;=$O$2,$D26,$D26-($D26-$I$6)*MIN(G$3-$O$2,$Q$2)/$Q$2))</f>
        <v>9046.73374471771</v>
      </c>
      <c r="H26" s="15" t="n">
        <f aca="false">G26*(1+IF(H$3&lt;=$O$2,$D26,$D26-($D26-$I$6)*MIN(H$3-$O$2,$Q$2)/$Q$2))</f>
        <v>9492.96379004638</v>
      </c>
      <c r="I26" s="15" t="n">
        <f aca="false">H26*(1+IF(I$3&lt;=$O$2,$D26,$D26-($D26-$I$6)*MIN(I$3-$O$2,$Q$2)/$Q$2))</f>
        <v>9961.20412759462</v>
      </c>
      <c r="J26" s="15" t="n">
        <f aca="false">I26*(1+IF(J$3&lt;=$O$2,$D26,$D26-($D26-$I$6)*MIN(J$3-$O$2,$Q$2)/$Q$2))</f>
        <v>10410.653572714</v>
      </c>
      <c r="K26" s="15" t="n">
        <f aca="false">J26*(1+IF(K$3&lt;=$O$2,$D26,$D26-($D26-$I$6)*MIN(K$3-$O$2,$Q$2)/$Q$2))</f>
        <v>10836.6053969229</v>
      </c>
      <c r="L26" s="15" t="n">
        <f aca="false">K26*(1+IF(L$3&lt;=$O$2,$D26,$D26-($D26-$I$6)*MIN(L$3-$O$2,$Q$2)/$Q$2))</f>
        <v>11234.417134745</v>
      </c>
      <c r="M26" s="15" t="n">
        <f aca="false">L26*(1+IF(M$3&lt;=$O$2,$D26,$D26-($D26-$I$6)*MIN(M$3-$O$2,$Q$2)/$Q$2))</f>
        <v>11599.5918397106</v>
      </c>
      <c r="N26" s="15" t="n">
        <f aca="false">M26*(1+IF(N$3&lt;=$O$2,$D26,$D26-($D26-$I$6)*MIN(N$3-$O$2,$Q$2)/$Q$2))</f>
        <v>11927.8602887744</v>
      </c>
      <c r="O26" s="15" t="n">
        <f aca="false">SUMPRODUCT(E26:N26,1/(1+$F$6)^$E$3:$N$3)*$E$2</f>
        <v>18664.578290599</v>
      </c>
      <c r="P26" s="15" t="n">
        <f aca="false">N26*$E$2*(1+$I$6)/($F$6-$I$6)/(1+$F$6)^$N$3</f>
        <v>29453.0302216685</v>
      </c>
      <c r="Q26" s="15" t="n">
        <f aca="false">O26+P26</f>
        <v>48117.6085122675</v>
      </c>
      <c r="R26" s="15" t="n">
        <f aca="false">Q26-$G$2+$I$2</f>
        <v>45600.6085122675</v>
      </c>
      <c r="S26" s="42" t="n">
        <f aca="false">R26/$K$2</f>
        <v>105.25970295062</v>
      </c>
      <c r="T26" s="43" t="n">
        <f aca="false">S26-$M$2</f>
        <v>0.00140462644267814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0.0493221282958984</v>
      </c>
      <c r="C27" s="25" t="n">
        <f aca="false">IF(T26&gt;0,D26,C26)</f>
        <v>0.0493249893188477</v>
      </c>
      <c r="D27" s="41" t="n">
        <f aca="false">(B27+C27)/2</f>
        <v>0.0493235588073731</v>
      </c>
      <c r="E27" s="15" t="n">
        <f aca="false">$C$2*(1+IF(E$3&lt;=$O$2,$D27,$D27-($D27-$I$6)*MIN(E$3-$O$2,$Q$2)/$Q$2))</f>
        <v>8216.20346546173</v>
      </c>
      <c r="F27" s="15" t="n">
        <f aca="false">E27*(1+IF(F$3&lt;=$O$2,$D27,$D27-($D27-$I$6)*MIN(F$3-$O$2,$Q$2)/$Q$2))</f>
        <v>8621.45586026378</v>
      </c>
      <c r="G27" s="15" t="n">
        <f aca="false">F27*(1+IF(G$3&lt;=$O$2,$D27,$D27-($D27-$I$6)*MIN(G$3-$O$2,$Q$2)/$Q$2))</f>
        <v>9046.69674539267</v>
      </c>
      <c r="H27" s="15" t="n">
        <f aca="false">G27*(1+IF(H$3&lt;=$O$2,$D27,$D27-($D27-$I$6)*MIN(H$3-$O$2,$Q$2)/$Q$2))</f>
        <v>9492.91202432651</v>
      </c>
      <c r="I27" s="15" t="n">
        <f aca="false">H27*(1+IF(I$3&lt;=$O$2,$D27,$D27-($D27-$I$6)*MIN(I$3-$O$2,$Q$2)/$Q$2))</f>
        <v>9961.1362288116</v>
      </c>
      <c r="J27" s="15" t="n">
        <f aca="false">I27*(1+IF(J$3&lt;=$O$2,$D27,$D27-($D27-$I$6)*MIN(J$3-$O$2,$Q$2)/$Q$2))</f>
        <v>10410.5712107227</v>
      </c>
      <c r="K27" s="15" t="n">
        <f aca="false">J27*(1+IF(K$3&lt;=$O$2,$D27,$D27-($D27-$I$6)*MIN(K$3-$O$2,$Q$2)/$Q$2))</f>
        <v>10836.5107296263</v>
      </c>
      <c r="L27" s="15" t="n">
        <f aca="false">K27*(1+IF(L$3&lt;=$O$2,$D27,$D27-($D27-$I$6)*MIN(L$3-$O$2,$Q$2)/$Q$2))</f>
        <v>11234.3127915112</v>
      </c>
      <c r="M27" s="15" t="n">
        <f aca="false">L27*(1+IF(M$3&lt;=$O$2,$D27,$D27-($D27-$I$6)*MIN(M$3-$O$2,$Q$2)/$Q$2))</f>
        <v>11599.4808906375</v>
      </c>
      <c r="N27" s="15" t="n">
        <f aca="false">M27*(1+IF(N$3&lt;=$O$2,$D27,$D27-($D27-$I$6)*MIN(N$3-$O$2,$Q$2)/$Q$2))</f>
        <v>11927.7461998425</v>
      </c>
      <c r="O27" s="15" t="n">
        <f aca="false">SUMPRODUCT(E27:N27,1/(1+$F$6)^$E$3:$N$3)*$E$2</f>
        <v>18664.4613279041</v>
      </c>
      <c r="P27" s="15" t="n">
        <f aca="false">N27*$E$2*(1+$I$6)/($F$6-$I$6)/(1+$F$6)^$N$3</f>
        <v>29452.7485060317</v>
      </c>
      <c r="Q27" s="15" t="n">
        <f aca="false">O27+P27</f>
        <v>48117.2098339358</v>
      </c>
      <c r="R27" s="15" t="n">
        <f aca="false">Q27-$G$2+$I$2</f>
        <v>45600.2098339358</v>
      </c>
      <c r="S27" s="42" t="n">
        <f aca="false">R27/$K$2</f>
        <v>105.258782683015</v>
      </c>
      <c r="T27" s="43" t="n">
        <f aca="false">S27-$M$2</f>
        <v>0.000484358837937293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0.0493221282958984</v>
      </c>
      <c r="C28" s="25" t="n">
        <f aca="false">IF(T27&gt;0,D27,C27)</f>
        <v>0.0493235588073731</v>
      </c>
      <c r="D28" s="41" t="n">
        <f aca="false">(B28+C28)/2</f>
        <v>0.0493228435516357</v>
      </c>
      <c r="E28" s="15" t="n">
        <f aca="false">$C$2*(1+IF(E$3&lt;=$O$2,$D28,$D28-($D28-$I$6)*MIN(E$3-$O$2,$Q$2)/$Q$2))</f>
        <v>8216.19786500931</v>
      </c>
      <c r="F28" s="15" t="n">
        <f aca="false">E28*(1+IF(F$3&lt;=$O$2,$D28,$D28-($D28-$I$6)*MIN(F$3-$O$2,$Q$2)/$Q$2))</f>
        <v>8621.44410689445</v>
      </c>
      <c r="G28" s="15" t="n">
        <f aca="false">F28*(1+IF(G$3&lt;=$O$2,$D28,$D28-($D28-$I$6)*MIN(G$3-$O$2,$Q$2)/$Q$2))</f>
        <v>9046.67824576797</v>
      </c>
      <c r="H28" s="15" t="n">
        <f aca="false">G28*(1+IF(H$3&lt;=$O$2,$D28,$D28-($D28-$I$6)*MIN(H$3-$O$2,$Q$2)/$Q$2))</f>
        <v>9492.88614154597</v>
      </c>
      <c r="I28" s="15" t="n">
        <f aca="false">H28*(1+IF(I$3&lt;=$O$2,$D28,$D28-($D28-$I$6)*MIN(I$3-$O$2,$Q$2)/$Q$2))</f>
        <v>9961.10227955893</v>
      </c>
      <c r="J28" s="15" t="n">
        <f aca="false">I28*(1+IF(J$3&lt;=$O$2,$D28,$D28-($D28-$I$6)*MIN(J$3-$O$2,$Q$2)/$Q$2))</f>
        <v>10410.5300299305</v>
      </c>
      <c r="K28" s="15" t="n">
        <f aca="false">J28*(1+IF(K$3&lt;=$O$2,$D28,$D28-($D28-$I$6)*MIN(K$3-$O$2,$Q$2)/$Q$2))</f>
        <v>10836.4633962428</v>
      </c>
      <c r="L28" s="15" t="n">
        <f aca="false">K28*(1+IF(L$3&lt;=$O$2,$D28,$D28-($D28-$I$6)*MIN(L$3-$O$2,$Q$2)/$Q$2))</f>
        <v>11234.2606202094</v>
      </c>
      <c r="M28" s="15" t="n">
        <f aca="false">L28*(1+IF(M$3&lt;=$O$2,$D28,$D28-($D28-$I$6)*MIN(M$3-$O$2,$Q$2)/$Q$2))</f>
        <v>11599.4254164487</v>
      </c>
      <c r="N28" s="15" t="n">
        <f aca="false">M28*(1+IF(N$3&lt;=$O$2,$D28,$D28-($D28-$I$6)*MIN(N$3-$O$2,$Q$2)/$Q$2))</f>
        <v>11927.6891557342</v>
      </c>
      <c r="O28" s="15" t="n">
        <f aca="false">SUMPRODUCT(E28:N28,1/(1+$F$6)^$E$3:$N$3)*$E$2</f>
        <v>18664.4028468332</v>
      </c>
      <c r="P28" s="15" t="n">
        <f aca="false">N28*$E$2*(1+$I$6)/($F$6-$I$6)/(1+$F$6)^$N$3</f>
        <v>29452.6076490962</v>
      </c>
      <c r="Q28" s="15" t="n">
        <f aca="false">O28+P28</f>
        <v>48117.0104959294</v>
      </c>
      <c r="R28" s="15" t="n">
        <f aca="false">Q28-$G$2+$I$2</f>
        <v>45600.0104959294</v>
      </c>
      <c r="S28" s="42" t="n">
        <f aca="false">R28/$K$2</f>
        <v>105.258322551889</v>
      </c>
      <c r="T28" s="43" t="n">
        <f aca="false">S28-$M$2</f>
        <v>2.42277120037215E-005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0.0493221282958984</v>
      </c>
      <c r="C29" s="25" t="n">
        <f aca="false">IF(T28&gt;0,D28,C28)</f>
        <v>0.0493228435516357</v>
      </c>
      <c r="D29" s="41" t="n">
        <f aca="false">(B29+C29)/2</f>
        <v>0.0493224859237671</v>
      </c>
      <c r="E29" s="15" t="n">
        <f aca="false">$C$2*(1+IF(E$3&lt;=$O$2,$D29,$D29-($D29-$I$6)*MIN(E$3-$O$2,$Q$2)/$Q$2))</f>
        <v>8216.1950647831</v>
      </c>
      <c r="F29" s="15" t="n">
        <f aca="false">E29*(1+IF(F$3&lt;=$O$2,$D29,$D29-($D29-$I$6)*MIN(F$3-$O$2,$Q$2)/$Q$2))</f>
        <v>8621.43823021279</v>
      </c>
      <c r="G29" s="15" t="n">
        <f aca="false">F29*(1+IF(G$3&lt;=$O$2,$D29,$D29-($D29-$I$6)*MIN(G$3-$O$2,$Q$2)/$Q$2))</f>
        <v>9046.66899596508</v>
      </c>
      <c r="H29" s="15" t="n">
        <f aca="false">G29*(1+IF(H$3&lt;=$O$2,$D29,$D29-($D29-$I$6)*MIN(H$3-$O$2,$Q$2)/$Q$2))</f>
        <v>9492.87320017555</v>
      </c>
      <c r="I29" s="15" t="n">
        <f aca="false">H29*(1+IF(I$3&lt;=$O$2,$D29,$D29-($D29-$I$6)*MIN(I$3-$O$2,$Q$2)/$Q$2))</f>
        <v>9961.08530496732</v>
      </c>
      <c r="J29" s="15" t="n">
        <f aca="false">I29*(1+IF(J$3&lt;=$O$2,$D29,$D29-($D29-$I$6)*MIN(J$3-$O$2,$Q$2)/$Q$2))</f>
        <v>10410.5094395852</v>
      </c>
      <c r="K29" s="15" t="n">
        <f aca="false">J29*(1+IF(K$3&lt;=$O$2,$D29,$D29-($D29-$I$6)*MIN(K$3-$O$2,$Q$2)/$Q$2))</f>
        <v>10836.4397296172</v>
      </c>
      <c r="L29" s="15" t="n">
        <f aca="false">K29*(1+IF(L$3&lt;=$O$2,$D29,$D29-($D29-$I$6)*MIN(L$3-$O$2,$Q$2)/$Q$2))</f>
        <v>11234.2345346372</v>
      </c>
      <c r="M29" s="15" t="n">
        <f aca="false">L29*(1+IF(M$3&lt;=$O$2,$D29,$D29-($D29-$I$6)*MIN(M$3-$O$2,$Q$2)/$Q$2))</f>
        <v>11599.3976794412</v>
      </c>
      <c r="N29" s="15" t="n">
        <f aca="false">M29*(1+IF(N$3&lt;=$O$2,$D29,$D29-($D29-$I$6)*MIN(N$3-$O$2,$Q$2)/$Q$2))</f>
        <v>11927.6606337694</v>
      </c>
      <c r="O29" s="15" t="n">
        <f aca="false">SUMPRODUCT(E29:N29,1/(1+$F$6)^$E$3:$N$3)*$E$2</f>
        <v>18664.3736063669</v>
      </c>
      <c r="P29" s="15" t="n">
        <f aca="false">N29*$E$2*(1+$I$6)/($F$6-$I$6)/(1+$F$6)^$N$3</f>
        <v>29452.5372208492</v>
      </c>
      <c r="Q29" s="15" t="n">
        <f aca="false">O29+P29</f>
        <v>48116.9108272161</v>
      </c>
      <c r="R29" s="15" t="n">
        <f aca="false">Q29-$G$2+$I$2</f>
        <v>45599.9108272161</v>
      </c>
      <c r="S29" s="42" t="n">
        <f aca="false">R29/$K$2</f>
        <v>105.258092486995</v>
      </c>
      <c r="T29" s="43" t="n">
        <f aca="false">S29-$M$2</f>
        <v>-0.000205837181823654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0.0493224859237671</v>
      </c>
      <c r="C30" s="25" t="n">
        <f aca="false">IF(T29&gt;0,D29,C29)</f>
        <v>0.0493228435516357</v>
      </c>
      <c r="D30" s="41" t="n">
        <f aca="false">(B30+C30)/2</f>
        <v>0.0493226647377014</v>
      </c>
      <c r="E30" s="15" t="n">
        <f aca="false">$C$2*(1+IF(E$3&lt;=$O$2,$D30,$D30-($D30-$I$6)*MIN(E$3-$O$2,$Q$2)/$Q$2))</f>
        <v>8216.1964648962</v>
      </c>
      <c r="F30" s="15" t="n">
        <f aca="false">E30*(1+IF(F$3&lt;=$O$2,$D30,$D30-($D30-$I$6)*MIN(F$3-$O$2,$Q$2)/$Q$2))</f>
        <v>8621.44116855337</v>
      </c>
      <c r="G30" s="15" t="n">
        <f aca="false">F30*(1+IF(G$3&lt;=$O$2,$D30,$D30-($D30-$I$6)*MIN(G$3-$O$2,$Q$2)/$Q$2))</f>
        <v>9046.67362086574</v>
      </c>
      <c r="H30" s="15" t="n">
        <f aca="false">G30*(1+IF(H$3&lt;=$O$2,$D30,$D30-($D30-$I$6)*MIN(H$3-$O$2,$Q$2)/$Q$2))</f>
        <v>9492.87967085911</v>
      </c>
      <c r="I30" s="15" t="n">
        <f aca="false">H30*(1+IF(I$3&lt;=$O$2,$D30,$D30-($D30-$I$6)*MIN(I$3-$O$2,$Q$2)/$Q$2))</f>
        <v>9961.09379226023</v>
      </c>
      <c r="J30" s="15" t="n">
        <f aca="false">I30*(1+IF(J$3&lt;=$O$2,$D30,$D30-($D30-$I$6)*MIN(J$3-$O$2,$Q$2)/$Q$2))</f>
        <v>10410.5197347536</v>
      </c>
      <c r="K30" s="15" t="n">
        <f aca="false">J30*(1+IF(K$3&lt;=$O$2,$D30,$D30-($D30-$I$6)*MIN(K$3-$O$2,$Q$2)/$Q$2))</f>
        <v>10836.4515629245</v>
      </c>
      <c r="L30" s="15" t="n">
        <f aca="false">K30*(1+IF(L$3&lt;=$O$2,$D30,$D30-($D30-$I$6)*MIN(L$3-$O$2,$Q$2)/$Q$2))</f>
        <v>11234.2475774167</v>
      </c>
      <c r="M30" s="15" t="n">
        <f aca="false">L30*(1+IF(M$3&lt;=$O$2,$D30,$D30-($D30-$I$6)*MIN(M$3-$O$2,$Q$2)/$Q$2))</f>
        <v>11599.4115479377</v>
      </c>
      <c r="N30" s="15" t="n">
        <f aca="false">M30*(1+IF(N$3&lt;=$O$2,$D30,$D30-($D30-$I$6)*MIN(N$3-$O$2,$Q$2)/$Q$2))</f>
        <v>11927.6748947443</v>
      </c>
      <c r="O30" s="15" t="n">
        <f aca="false">SUMPRODUCT(E30:N30,1/(1+$F$6)^$E$3:$N$3)*$E$2</f>
        <v>18664.3882265943</v>
      </c>
      <c r="P30" s="15" t="n">
        <f aca="false">N30*$E$2*(1+$I$6)/($F$6-$I$6)/(1+$F$6)^$N$3</f>
        <v>29452.5724349543</v>
      </c>
      <c r="Q30" s="15" t="n">
        <f aca="false">O30+P30</f>
        <v>48116.9606615486</v>
      </c>
      <c r="R30" s="15" t="n">
        <f aca="false">Q30-$G$2+$I$2</f>
        <v>45599.9606615486</v>
      </c>
      <c r="S30" s="42" t="n">
        <f aca="false">R30/$K$2</f>
        <v>105.258207519386</v>
      </c>
      <c r="T30" s="43" t="n">
        <f aca="false">S30-$M$2</f>
        <v>-9.08047907017817E-005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0.0493226647377014</v>
      </c>
      <c r="C31" s="25" t="n">
        <f aca="false">IF(T30&gt;0,D30,C30)</f>
        <v>0.0493228435516357</v>
      </c>
      <c r="D31" s="41" t="n">
        <f aca="false">(B31+C31)/2</f>
        <v>0.0493227541446686</v>
      </c>
      <c r="E31" s="15" t="n">
        <f aca="false">$C$2*(1+IF(E$3&lt;=$O$2,$D31,$D31-($D31-$I$6)*MIN(E$3-$O$2,$Q$2)/$Q$2))</f>
        <v>8216.19716495276</v>
      </c>
      <c r="F31" s="15" t="n">
        <f aca="false">E31*(1+IF(F$3&lt;=$O$2,$D31,$D31-($D31-$I$6)*MIN(F$3-$O$2,$Q$2)/$Q$2))</f>
        <v>8621.44263772384</v>
      </c>
      <c r="G31" s="15" t="n">
        <f aca="false">F31*(1+IF(G$3&lt;=$O$2,$D31,$D31-($D31-$I$6)*MIN(G$3-$O$2,$Q$2)/$Q$2))</f>
        <v>9046.67593331666</v>
      </c>
      <c r="H31" s="15" t="n">
        <f aca="false">G31*(1+IF(H$3&lt;=$O$2,$D31,$D31-($D31-$I$6)*MIN(H$3-$O$2,$Q$2)/$Q$2))</f>
        <v>9492.88290620213</v>
      </c>
      <c r="I31" s="15" t="n">
        <f aca="false">H31*(1+IF(I$3&lt;=$O$2,$D31,$D31-($D31-$I$6)*MIN(I$3-$O$2,$Q$2)/$Q$2))</f>
        <v>9961.09803590886</v>
      </c>
      <c r="J31" s="15" t="n">
        <f aca="false">I31*(1+IF(J$3&lt;=$O$2,$D31,$D31-($D31-$I$6)*MIN(J$3-$O$2,$Q$2)/$Q$2))</f>
        <v>10410.524882341</v>
      </c>
      <c r="K31" s="15" t="n">
        <f aca="false">J31*(1+IF(K$3&lt;=$O$2,$D31,$D31-($D31-$I$6)*MIN(K$3-$O$2,$Q$2)/$Q$2))</f>
        <v>10836.4574795823</v>
      </c>
      <c r="L31" s="15" t="n">
        <f aca="false">K31*(1+IF(L$3&lt;=$O$2,$D31,$D31-($D31-$I$6)*MIN(L$3-$O$2,$Q$2)/$Q$2))</f>
        <v>11234.2540988114</v>
      </c>
      <c r="M31" s="15" t="n">
        <f aca="false">L31*(1+IF(M$3&lt;=$O$2,$D31,$D31-($D31-$I$6)*MIN(M$3-$O$2,$Q$2)/$Q$2))</f>
        <v>11599.4184821914</v>
      </c>
      <c r="N31" s="15" t="n">
        <f aca="false">M31*(1+IF(N$3&lt;=$O$2,$D31,$D31-($D31-$I$6)*MIN(N$3-$O$2,$Q$2)/$Q$2))</f>
        <v>11927.6820252374</v>
      </c>
      <c r="O31" s="15" t="n">
        <f aca="false">SUMPRODUCT(E31:N31,1/(1+$F$6)^$E$3:$N$3)*$E$2</f>
        <v>18664.3955367123</v>
      </c>
      <c r="P31" s="15" t="n">
        <f aca="false">N31*$E$2*(1+$I$6)/($F$6-$I$6)/(1+$F$6)^$N$3</f>
        <v>29452.5900420206</v>
      </c>
      <c r="Q31" s="15" t="n">
        <f aca="false">O31+P31</f>
        <v>48116.985578733</v>
      </c>
      <c r="R31" s="15" t="n">
        <f aca="false">Q31-$G$2+$I$2</f>
        <v>45599.985578733</v>
      </c>
      <c r="S31" s="42" t="n">
        <f aca="false">R31/$K$2</f>
        <v>105.258265035624</v>
      </c>
      <c r="T31" s="43" t="n">
        <f aca="false">S31-$M$2</f>
        <v>-3.32885532827731E-005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0.0493227541446686</v>
      </c>
      <c r="C32" s="25" t="n">
        <f aca="false">IF(T31&gt;0,D31,C31)</f>
        <v>0.0493228435516357</v>
      </c>
      <c r="D32" s="41" t="n">
        <f aca="false">(B32+C32)/2</f>
        <v>0.0493227988481522</v>
      </c>
      <c r="E32" s="15" t="n">
        <f aca="false">$C$2*(1+IF(E$3&lt;=$O$2,$D32,$D32-($D32-$I$6)*MIN(E$3-$O$2,$Q$2)/$Q$2))</f>
        <v>8216.19751498103</v>
      </c>
      <c r="F32" s="15" t="n">
        <f aca="false">E32*(1+IF(F$3&lt;=$O$2,$D32,$D32-($D32-$I$6)*MIN(F$3-$O$2,$Q$2)/$Q$2))</f>
        <v>8621.44337230913</v>
      </c>
      <c r="G32" s="15" t="n">
        <f aca="false">F32*(1+IF(G$3&lt;=$O$2,$D32,$D32-($D32-$I$6)*MIN(G$3-$O$2,$Q$2)/$Q$2))</f>
        <v>9046.67708954227</v>
      </c>
      <c r="H32" s="15" t="n">
        <f aca="false">G32*(1+IF(H$3&lt;=$O$2,$D32,$D32-($D32-$I$6)*MIN(H$3-$O$2,$Q$2)/$Q$2))</f>
        <v>9492.88452387395</v>
      </c>
      <c r="I32" s="15" t="n">
        <f aca="false">H32*(1+IF(I$3&lt;=$O$2,$D32,$D32-($D32-$I$6)*MIN(I$3-$O$2,$Q$2)/$Q$2))</f>
        <v>9961.10015773372</v>
      </c>
      <c r="J32" s="15" t="n">
        <f aca="false">I32*(1+IF(J$3&lt;=$O$2,$D32,$D32-($D32-$I$6)*MIN(J$3-$O$2,$Q$2)/$Q$2))</f>
        <v>10410.5274561354</v>
      </c>
      <c r="K32" s="15" t="n">
        <f aca="false">J32*(1+IF(K$3&lt;=$O$2,$D32,$D32-($D32-$I$6)*MIN(K$3-$O$2,$Q$2)/$Q$2))</f>
        <v>10836.4604379122</v>
      </c>
      <c r="L32" s="15" t="n">
        <f aca="false">K32*(1+IF(L$3&lt;=$O$2,$D32,$D32-($D32-$I$6)*MIN(L$3-$O$2,$Q$2)/$Q$2))</f>
        <v>11234.25735951</v>
      </c>
      <c r="M32" s="15" t="n">
        <f aca="false">L32*(1+IF(M$3&lt;=$O$2,$D32,$D32-($D32-$I$6)*MIN(M$3-$O$2,$Q$2)/$Q$2))</f>
        <v>11599.4219493196</v>
      </c>
      <c r="N32" s="15" t="n">
        <f aca="false">M32*(1+IF(N$3&lt;=$O$2,$D32,$D32-($D32-$I$6)*MIN(N$3-$O$2,$Q$2)/$Q$2))</f>
        <v>11927.6855904853</v>
      </c>
      <c r="O32" s="15" t="n">
        <f aca="false">SUMPRODUCT(E32:N32,1/(1+$F$6)^$E$3:$N$3)*$E$2</f>
        <v>18664.3991917724</v>
      </c>
      <c r="P32" s="15" t="n">
        <f aca="false">N32*$E$2*(1+$I$6)/($F$6-$I$6)/(1+$F$6)^$N$3</f>
        <v>29452.5988455573</v>
      </c>
      <c r="Q32" s="15" t="n">
        <f aca="false">O32+P32</f>
        <v>48116.9980373297</v>
      </c>
      <c r="R32" s="15" t="n">
        <f aca="false">Q32-$G$2+$I$2</f>
        <v>45599.9980373297</v>
      </c>
      <c r="S32" s="42" t="n">
        <f aca="false">R32/$K$2</f>
        <v>105.258293793753</v>
      </c>
      <c r="T32" s="43" t="n">
        <f aca="false">S32-$M$2</f>
        <v>-4.53042412118521E-006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0.0493227988481522</v>
      </c>
      <c r="C33" s="25" t="n">
        <f aca="false">IF(T32&gt;0,D32,C32)</f>
        <v>0.0493228435516357</v>
      </c>
      <c r="D33" s="41" t="n">
        <f aca="false">(B33+C33)/2</f>
        <v>0.049322821199894</v>
      </c>
      <c r="E33" s="15" t="n">
        <f aca="false">$C$2*(1+IF(E$3&lt;=$O$2,$D33,$D33-($D33-$I$6)*MIN(E$3-$O$2,$Q$2)/$Q$2))</f>
        <v>8216.19768999517</v>
      </c>
      <c r="F33" s="15" t="n">
        <f aca="false">E33*(1+IF(F$3&lt;=$O$2,$D33,$D33-($D33-$I$6)*MIN(F$3-$O$2,$Q$2)/$Q$2))</f>
        <v>8621.44373960178</v>
      </c>
      <c r="G33" s="15" t="n">
        <f aca="false">F33*(1+IF(G$3&lt;=$O$2,$D33,$D33-($D33-$I$6)*MIN(G$3-$O$2,$Q$2)/$Q$2))</f>
        <v>9046.67766765511</v>
      </c>
      <c r="H33" s="15" t="n">
        <f aca="false">G33*(1+IF(H$3&lt;=$O$2,$D33,$D33-($D33-$I$6)*MIN(H$3-$O$2,$Q$2)/$Q$2))</f>
        <v>9492.88533270993</v>
      </c>
      <c r="I33" s="15" t="n">
        <f aca="false">H33*(1+IF(I$3&lt;=$O$2,$D33,$D33-($D33-$I$6)*MIN(I$3-$O$2,$Q$2)/$Q$2))</f>
        <v>9961.10121864628</v>
      </c>
      <c r="J33" s="15" t="n">
        <f aca="false">I33*(1+IF(J$3&lt;=$O$2,$D33,$D33-($D33-$I$6)*MIN(J$3-$O$2,$Q$2)/$Q$2))</f>
        <v>10410.5287430329</v>
      </c>
      <c r="K33" s="15" t="n">
        <f aca="false">J33*(1+IF(K$3&lt;=$O$2,$D33,$D33-($D33-$I$6)*MIN(K$3-$O$2,$Q$2)/$Q$2))</f>
        <v>10836.4619170774</v>
      </c>
      <c r="L33" s="15" t="n">
        <f aca="false">K33*(1+IF(L$3&lt;=$O$2,$D33,$D33-($D33-$I$6)*MIN(L$3-$O$2,$Q$2)/$Q$2))</f>
        <v>11234.2589898596</v>
      </c>
      <c r="M33" s="15" t="n">
        <f aca="false">L33*(1+IF(M$3&lt;=$O$2,$D33,$D33-($D33-$I$6)*MIN(M$3-$O$2,$Q$2)/$Q$2))</f>
        <v>11599.423682884</v>
      </c>
      <c r="N33" s="15" t="n">
        <f aca="false">M33*(1+IF(N$3&lt;=$O$2,$D33,$D33-($D33-$I$6)*MIN(N$3-$O$2,$Q$2)/$Q$2))</f>
        <v>11927.6873731096</v>
      </c>
      <c r="O33" s="15" t="n">
        <f aca="false">SUMPRODUCT(E33:N33,1/(1+$F$6)^$E$3:$N$3)*$E$2</f>
        <v>18664.4010193027</v>
      </c>
      <c r="P33" s="15" t="n">
        <f aca="false">N33*$E$2*(1+$I$6)/($F$6-$I$6)/(1+$F$6)^$N$3</f>
        <v>29452.6032473265</v>
      </c>
      <c r="Q33" s="15" t="n">
        <f aca="false">O33+P33</f>
        <v>48117.0042666292</v>
      </c>
      <c r="R33" s="15" t="n">
        <f aca="false">Q33-$G$2+$I$2</f>
        <v>45600.0042666292</v>
      </c>
      <c r="S33" s="42" t="n">
        <f aca="false">R33/$K$2</f>
        <v>105.25830817282</v>
      </c>
      <c r="T33" s="43" t="n">
        <f aca="false">S33-$M$2</f>
        <v>9.84864310282774E-006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0.0493227988481522</v>
      </c>
      <c r="C34" s="25" t="n">
        <f aca="false">IF(T33&gt;0,D33,C33)</f>
        <v>0.049322821199894</v>
      </c>
      <c r="D34" s="41" t="n">
        <f aca="false">(B34+C34)/2</f>
        <v>0.0493228100240231</v>
      </c>
      <c r="E34" s="15" t="n">
        <f aca="false">$C$2*(1+IF(E$3&lt;=$O$2,$D34,$D34-($D34-$I$6)*MIN(E$3-$O$2,$Q$2)/$Q$2))</f>
        <v>8216.1976024881</v>
      </c>
      <c r="F34" s="15" t="n">
        <f aca="false">E34*(1+IF(F$3&lt;=$O$2,$D34,$D34-($D34-$I$6)*MIN(F$3-$O$2,$Q$2)/$Q$2))</f>
        <v>8621.44355595546</v>
      </c>
      <c r="G34" s="15" t="n">
        <f aca="false">F34*(1+IF(G$3&lt;=$O$2,$D34,$D34-($D34-$I$6)*MIN(G$3-$O$2,$Q$2)/$Q$2))</f>
        <v>9046.67737859868</v>
      </c>
      <c r="H34" s="15" t="n">
        <f aca="false">G34*(1+IF(H$3&lt;=$O$2,$D34,$D34-($D34-$I$6)*MIN(H$3-$O$2,$Q$2)/$Q$2))</f>
        <v>9492.88492829194</v>
      </c>
      <c r="I34" s="15" t="n">
        <f aca="false">H34*(1+IF(I$3&lt;=$O$2,$D34,$D34-($D34-$I$6)*MIN(I$3-$O$2,$Q$2)/$Q$2))</f>
        <v>9961.10068818999</v>
      </c>
      <c r="J34" s="15" t="n">
        <f aca="false">I34*(1+IF(J$3&lt;=$O$2,$D34,$D34-($D34-$I$6)*MIN(J$3-$O$2,$Q$2)/$Q$2))</f>
        <v>10410.5280995842</v>
      </c>
      <c r="K34" s="15" t="n">
        <f aca="false">J34*(1+IF(K$3&lt;=$O$2,$D34,$D34-($D34-$I$6)*MIN(K$3-$O$2,$Q$2)/$Q$2))</f>
        <v>10836.4611774948</v>
      </c>
      <c r="L34" s="15" t="n">
        <f aca="false">K34*(1+IF(L$3&lt;=$O$2,$D34,$D34-($D34-$I$6)*MIN(L$3-$O$2,$Q$2)/$Q$2))</f>
        <v>11234.2581746847</v>
      </c>
      <c r="M34" s="15" t="n">
        <f aca="false">L34*(1+IF(M$3&lt;=$O$2,$D34,$D34-($D34-$I$6)*MIN(M$3-$O$2,$Q$2)/$Q$2))</f>
        <v>11599.4228161018</v>
      </c>
      <c r="N34" s="15" t="n">
        <f aca="false">M34*(1+IF(N$3&lt;=$O$2,$D34,$D34-($D34-$I$6)*MIN(N$3-$O$2,$Q$2)/$Q$2))</f>
        <v>11927.6864817974</v>
      </c>
      <c r="O34" s="15" t="n">
        <f aca="false">SUMPRODUCT(E34:N34,1/(1+$F$6)^$E$3:$N$3)*$E$2</f>
        <v>18664.4001055375</v>
      </c>
      <c r="P34" s="15" t="n">
        <f aca="false">N34*$E$2*(1+$I$6)/($F$6-$I$6)/(1+$F$6)^$N$3</f>
        <v>29452.6010464418</v>
      </c>
      <c r="Q34" s="15" t="n">
        <f aca="false">O34+P34</f>
        <v>48117.0011519793</v>
      </c>
      <c r="R34" s="15" t="n">
        <f aca="false">Q34-$G$2+$I$2</f>
        <v>45600.0011519793</v>
      </c>
      <c r="S34" s="42" t="n">
        <f aca="false">R34/$K$2</f>
        <v>105.258300983286</v>
      </c>
      <c r="T34" s="43" t="n">
        <f aca="false">S34-$M$2</f>
        <v>2.65910928476387E-006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0.0493227988481522</v>
      </c>
      <c r="C35" s="25" t="n">
        <f aca="false">IF(T34&gt;0,D34,C34)</f>
        <v>0.0493228100240231</v>
      </c>
      <c r="D35" s="41" t="n">
        <f aca="false">(B35+C35)/2</f>
        <v>0.0493228044360876</v>
      </c>
      <c r="E35" s="15" t="n">
        <f aca="false">$C$2*(1+IF(E$3&lt;=$O$2,$D35,$D35-($D35-$I$6)*MIN(E$3-$O$2,$Q$2)/$Q$2))</f>
        <v>8216.19755873457</v>
      </c>
      <c r="F35" s="15" t="n">
        <f aca="false">E35*(1+IF(F$3&lt;=$O$2,$D35,$D35-($D35-$I$6)*MIN(F$3-$O$2,$Q$2)/$Q$2))</f>
        <v>8621.44346413229</v>
      </c>
      <c r="G35" s="15" t="n">
        <f aca="false">F35*(1+IF(G$3&lt;=$O$2,$D35,$D35-($D35-$I$6)*MIN(G$3-$O$2,$Q$2)/$Q$2))</f>
        <v>9046.67723407047</v>
      </c>
      <c r="H35" s="15" t="n">
        <f aca="false">G35*(1+IF(H$3&lt;=$O$2,$D35,$D35-($D35-$I$6)*MIN(H$3-$O$2,$Q$2)/$Q$2))</f>
        <v>9492.88472608294</v>
      </c>
      <c r="I35" s="15" t="n">
        <f aca="false">H35*(1+IF(I$3&lt;=$O$2,$D35,$D35-($D35-$I$6)*MIN(I$3-$O$2,$Q$2)/$Q$2))</f>
        <v>9961.10042296185</v>
      </c>
      <c r="J35" s="15" t="n">
        <f aca="false">I35*(1+IF(J$3&lt;=$O$2,$D35,$D35-($D35-$I$6)*MIN(J$3-$O$2,$Q$2)/$Q$2))</f>
        <v>10410.5277778598</v>
      </c>
      <c r="K35" s="15" t="n">
        <f aca="false">J35*(1+IF(K$3&lt;=$O$2,$D35,$D35-($D35-$I$6)*MIN(K$3-$O$2,$Q$2)/$Q$2))</f>
        <v>10836.4608077035</v>
      </c>
      <c r="L35" s="15" t="n">
        <f aca="false">K35*(1+IF(L$3&lt;=$O$2,$D35,$D35-($D35-$I$6)*MIN(L$3-$O$2,$Q$2)/$Q$2))</f>
        <v>11234.2577670974</v>
      </c>
      <c r="M35" s="15" t="n">
        <f aca="false">L35*(1+IF(M$3&lt;=$O$2,$D35,$D35-($D35-$I$6)*MIN(M$3-$O$2,$Q$2)/$Q$2))</f>
        <v>11599.4223827107</v>
      </c>
      <c r="N35" s="15" t="n">
        <f aca="false">M35*(1+IF(N$3&lt;=$O$2,$D35,$D35-($D35-$I$6)*MIN(N$3-$O$2,$Q$2)/$Q$2))</f>
        <v>11927.6860361414</v>
      </c>
      <c r="O35" s="15" t="n">
        <f aca="false">SUMPRODUCT(E35:N35,1/(1+$F$6)^$E$3:$N$3)*$E$2</f>
        <v>18664.399648655</v>
      </c>
      <c r="P35" s="15" t="n">
        <f aca="false">N35*$E$2*(1+$I$6)/($F$6-$I$6)/(1+$F$6)^$N$3</f>
        <v>29452.5999459995</v>
      </c>
      <c r="Q35" s="15" t="n">
        <f aca="false">O35+P35</f>
        <v>48116.9995946545</v>
      </c>
      <c r="R35" s="15" t="n">
        <f aca="false">Q35-$G$2+$I$2</f>
        <v>45599.9995946545</v>
      </c>
      <c r="S35" s="42" t="n">
        <f aca="false">R35/$K$2</f>
        <v>105.25829738852</v>
      </c>
      <c r="T35" s="43" t="n">
        <f aca="false">S35-$M$2</f>
        <v>-9.35657482159513E-007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0.0493228044360876</v>
      </c>
      <c r="C36" s="25" t="n">
        <f aca="false">IF(T35&gt;0,D35,C35)</f>
        <v>0.0493228100240231</v>
      </c>
      <c r="D36" s="41" t="n">
        <f aca="false">(B36+C36)/2</f>
        <v>0.0493228072300553</v>
      </c>
      <c r="E36" s="15" t="n">
        <f aca="false">$C$2*(1+IF(E$3&lt;=$O$2,$D36,$D36-($D36-$I$6)*MIN(E$3-$O$2,$Q$2)/$Q$2))</f>
        <v>8216.19758061133</v>
      </c>
      <c r="F36" s="15" t="n">
        <f aca="false">E36*(1+IF(F$3&lt;=$O$2,$D36,$D36-($D36-$I$6)*MIN(F$3-$O$2,$Q$2)/$Q$2))</f>
        <v>8621.44351004387</v>
      </c>
      <c r="G36" s="15" t="n">
        <f aca="false">F36*(1+IF(G$3&lt;=$O$2,$D36,$D36-($D36-$I$6)*MIN(G$3-$O$2,$Q$2)/$Q$2))</f>
        <v>9046.67730633458</v>
      </c>
      <c r="H36" s="15" t="n">
        <f aca="false">G36*(1+IF(H$3&lt;=$O$2,$D36,$D36-($D36-$I$6)*MIN(H$3-$O$2,$Q$2)/$Q$2))</f>
        <v>9492.88482718744</v>
      </c>
      <c r="I36" s="15" t="n">
        <f aca="false">H36*(1+IF(I$3&lt;=$O$2,$D36,$D36-($D36-$I$6)*MIN(I$3-$O$2,$Q$2)/$Q$2))</f>
        <v>9961.10055557592</v>
      </c>
      <c r="J36" s="15" t="n">
        <f aca="false">I36*(1+IF(J$3&lt;=$O$2,$D36,$D36-($D36-$I$6)*MIN(J$3-$O$2,$Q$2)/$Q$2))</f>
        <v>10410.527938722</v>
      </c>
      <c r="K36" s="15" t="n">
        <f aca="false">J36*(1+IF(K$3&lt;=$O$2,$D36,$D36-($D36-$I$6)*MIN(K$3-$O$2,$Q$2)/$Q$2))</f>
        <v>10836.4609925991</v>
      </c>
      <c r="L36" s="15" t="n">
        <f aca="false">K36*(1+IF(L$3&lt;=$O$2,$D36,$D36-($D36-$I$6)*MIN(L$3-$O$2,$Q$2)/$Q$2))</f>
        <v>11234.257970891</v>
      </c>
      <c r="M36" s="15" t="n">
        <f aca="false">L36*(1+IF(M$3&lt;=$O$2,$D36,$D36-($D36-$I$6)*MIN(M$3-$O$2,$Q$2)/$Q$2))</f>
        <v>11599.4225994062</v>
      </c>
      <c r="N36" s="15" t="n">
        <f aca="false">M36*(1+IF(N$3&lt;=$O$2,$D36,$D36-($D36-$I$6)*MIN(N$3-$O$2,$Q$2)/$Q$2))</f>
        <v>11927.6862589694</v>
      </c>
      <c r="O36" s="15" t="n">
        <f aca="false">SUMPRODUCT(E36:N36,1/(1+$F$6)^$E$3:$N$3)*$E$2</f>
        <v>18664.3998770963</v>
      </c>
      <c r="P36" s="15" t="n">
        <f aca="false">N36*$E$2*(1+$I$6)/($F$6-$I$6)/(1+$F$6)^$N$3</f>
        <v>29452.6004962206</v>
      </c>
      <c r="Q36" s="15" t="n">
        <f aca="false">O36+P36</f>
        <v>48117.0003733169</v>
      </c>
      <c r="R36" s="15" t="n">
        <f aca="false">Q36-$G$2+$I$2</f>
        <v>45600.0003733169</v>
      </c>
      <c r="S36" s="42" t="n">
        <f aca="false">R36/$K$2</f>
        <v>105.258299185903</v>
      </c>
      <c r="T36" s="43" t="n">
        <f aca="false">S36-$M$2</f>
        <v>8.61725894196752E-007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0.0493228044360876</v>
      </c>
      <c r="C37" s="25" t="n">
        <f aca="false">IF(T36&gt;0,D36,C36)</f>
        <v>0.0493228072300553</v>
      </c>
      <c r="D37" s="41" t="n">
        <f aca="false">(B37+C37)/2</f>
        <v>0.0493228058330715</v>
      </c>
      <c r="E37" s="15" t="n">
        <f aca="false">$C$2*(1+IF(E$3&lt;=$O$2,$D37,$D37-($D37-$I$6)*MIN(E$3-$O$2,$Q$2)/$Q$2))</f>
        <v>8216.19756967295</v>
      </c>
      <c r="F37" s="15" t="n">
        <f aca="false">E37*(1+IF(F$3&lt;=$O$2,$D37,$D37-($D37-$I$6)*MIN(F$3-$O$2,$Q$2)/$Q$2))</f>
        <v>8621.44348708808</v>
      </c>
      <c r="G37" s="15" t="n">
        <f aca="false">F37*(1+IF(G$3&lt;=$O$2,$D37,$D37-($D37-$I$6)*MIN(G$3-$O$2,$Q$2)/$Q$2))</f>
        <v>9046.67727020253</v>
      </c>
      <c r="H37" s="15" t="n">
        <f aca="false">G37*(1+IF(H$3&lt;=$O$2,$D37,$D37-($D37-$I$6)*MIN(H$3-$O$2,$Q$2)/$Q$2))</f>
        <v>9492.88477663519</v>
      </c>
      <c r="I37" s="15" t="n">
        <f aca="false">H37*(1+IF(I$3&lt;=$O$2,$D37,$D37-($D37-$I$6)*MIN(I$3-$O$2,$Q$2)/$Q$2))</f>
        <v>9961.10048926888</v>
      </c>
      <c r="J37" s="15" t="n">
        <f aca="false">I37*(1+IF(J$3&lt;=$O$2,$D37,$D37-($D37-$I$6)*MIN(J$3-$O$2,$Q$2)/$Q$2))</f>
        <v>10410.5278582909</v>
      </c>
      <c r="K37" s="15" t="n">
        <f aca="false">J37*(1+IF(K$3&lt;=$O$2,$D37,$D37-($D37-$I$6)*MIN(K$3-$O$2,$Q$2)/$Q$2))</f>
        <v>10836.4609001513</v>
      </c>
      <c r="L37" s="15" t="n">
        <f aca="false">K37*(1+IF(L$3&lt;=$O$2,$D37,$D37-($D37-$I$6)*MIN(L$3-$O$2,$Q$2)/$Q$2))</f>
        <v>11234.2578689942</v>
      </c>
      <c r="M37" s="15" t="n">
        <f aca="false">L37*(1+IF(M$3&lt;=$O$2,$D37,$D37-($D37-$I$6)*MIN(M$3-$O$2,$Q$2)/$Q$2))</f>
        <v>11599.4224910584</v>
      </c>
      <c r="N37" s="15" t="n">
        <f aca="false">M37*(1+IF(N$3&lt;=$O$2,$D37,$D37-($D37-$I$6)*MIN(N$3-$O$2,$Q$2)/$Q$2))</f>
        <v>11927.6861475554</v>
      </c>
      <c r="O37" s="15" t="n">
        <f aca="false">SUMPRODUCT(E37:N37,1/(1+$F$6)^$E$3:$N$3)*$E$2</f>
        <v>18664.3997628756</v>
      </c>
      <c r="P37" s="15" t="n">
        <f aca="false">N37*$E$2*(1+$I$6)/($F$6-$I$6)/(1+$F$6)^$N$3</f>
        <v>29452.6002211101</v>
      </c>
      <c r="Q37" s="15" t="n">
        <f aca="false">O37+P37</f>
        <v>48116.9999839857</v>
      </c>
      <c r="R37" s="15" t="n">
        <f aca="false">Q37-$G$2+$I$2</f>
        <v>45599.9999839857</v>
      </c>
      <c r="S37" s="42" t="n">
        <f aca="false">R37/$K$2</f>
        <v>105.258298287211</v>
      </c>
      <c r="T37" s="43" t="n">
        <f aca="false">S37-$M$2</f>
        <v>-3.69658152976626E-008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0.0493228058330715</v>
      </c>
      <c r="C38" s="25" t="n">
        <f aca="false">IF(T37&gt;0,D37,C37)</f>
        <v>0.0493228072300553</v>
      </c>
      <c r="D38" s="41" t="n">
        <f aca="false">(B38+C38)/2</f>
        <v>0.0493228065315634</v>
      </c>
      <c r="E38" s="15" t="n">
        <f aca="false">$C$2*(1+IF(E$3&lt;=$O$2,$D38,$D38-($D38-$I$6)*MIN(E$3-$O$2,$Q$2)/$Q$2))</f>
        <v>8216.19757514214</v>
      </c>
      <c r="F38" s="15" t="n">
        <f aca="false">E38*(1+IF(F$3&lt;=$O$2,$D38,$D38-($D38-$I$6)*MIN(F$3-$O$2,$Q$2)/$Q$2))</f>
        <v>8621.44349856598</v>
      </c>
      <c r="G38" s="15" t="n">
        <f aca="false">F38*(1+IF(G$3&lt;=$O$2,$D38,$D38-($D38-$I$6)*MIN(G$3-$O$2,$Q$2)/$Q$2))</f>
        <v>9046.67728826855</v>
      </c>
      <c r="H38" s="15" t="n">
        <f aca="false">G38*(1+IF(H$3&lt;=$O$2,$D38,$D38-($D38-$I$6)*MIN(H$3-$O$2,$Q$2)/$Q$2))</f>
        <v>9492.88480191131</v>
      </c>
      <c r="I38" s="15" t="n">
        <f aca="false">H38*(1+IF(I$3&lt;=$O$2,$D38,$D38-($D38-$I$6)*MIN(I$3-$O$2,$Q$2)/$Q$2))</f>
        <v>9961.1005224224</v>
      </c>
      <c r="J38" s="15" t="n">
        <f aca="false">I38*(1+IF(J$3&lt;=$O$2,$D38,$D38-($D38-$I$6)*MIN(J$3-$O$2,$Q$2)/$Q$2))</f>
        <v>10410.5278985064</v>
      </c>
      <c r="K38" s="15" t="n">
        <f aca="false">J38*(1+IF(K$3&lt;=$O$2,$D38,$D38-($D38-$I$6)*MIN(K$3-$O$2,$Q$2)/$Q$2))</f>
        <v>10836.4609463752</v>
      </c>
      <c r="L38" s="15" t="n">
        <f aca="false">K38*(1+IF(L$3&lt;=$O$2,$D38,$D38-($D38-$I$6)*MIN(L$3-$O$2,$Q$2)/$Q$2))</f>
        <v>11234.2579199426</v>
      </c>
      <c r="M38" s="15" t="n">
        <f aca="false">L38*(1+IF(M$3&lt;=$O$2,$D38,$D38-($D38-$I$6)*MIN(M$3-$O$2,$Q$2)/$Q$2))</f>
        <v>11599.4225452323</v>
      </c>
      <c r="N38" s="15" t="n">
        <f aca="false">M38*(1+IF(N$3&lt;=$O$2,$D38,$D38-($D38-$I$6)*MIN(N$3-$O$2,$Q$2)/$Q$2))</f>
        <v>11927.6862032624</v>
      </c>
      <c r="O38" s="15" t="n">
        <f aca="false">SUMPRODUCT(E38:N38,1/(1+$F$6)^$E$3:$N$3)*$E$2</f>
        <v>18664.3998199859</v>
      </c>
      <c r="P38" s="15" t="n">
        <f aca="false">N38*$E$2*(1+$I$6)/($F$6-$I$6)/(1+$F$6)^$N$3</f>
        <v>29452.6003586654</v>
      </c>
      <c r="Q38" s="15" t="n">
        <f aca="false">O38+P38</f>
        <v>48117.0001786513</v>
      </c>
      <c r="R38" s="15" t="n">
        <f aca="false">Q38-$G$2+$I$2</f>
        <v>45600.0001786513</v>
      </c>
      <c r="S38" s="42" t="n">
        <f aca="false">R38/$K$2</f>
        <v>105.258298736557</v>
      </c>
      <c r="T38" s="43" t="n">
        <f aca="false">S38-$M$2</f>
        <v>4.12380046554972E-007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0.0493228058330715</v>
      </c>
      <c r="C39" s="25" t="n">
        <f aca="false">IF(T38&gt;0,D38,C38)</f>
        <v>0.0493228065315634</v>
      </c>
      <c r="D39" s="41" t="n">
        <f aca="false">(B39+C39)/2</f>
        <v>0.0493228061823174</v>
      </c>
      <c r="E39" s="15" t="n">
        <f aca="false">$C$2*(1+IF(E$3&lt;=$O$2,$D39,$D39-($D39-$I$6)*MIN(E$3-$O$2,$Q$2)/$Q$2))</f>
        <v>8216.19757240755</v>
      </c>
      <c r="F39" s="15" t="n">
        <f aca="false">E39*(1+IF(F$3&lt;=$O$2,$D39,$D39-($D39-$I$6)*MIN(F$3-$O$2,$Q$2)/$Q$2))</f>
        <v>8621.44349282703</v>
      </c>
      <c r="G39" s="15" t="n">
        <f aca="false">F39*(1+IF(G$3&lt;=$O$2,$D39,$D39-($D39-$I$6)*MIN(G$3-$O$2,$Q$2)/$Q$2))</f>
        <v>9046.67727923554</v>
      </c>
      <c r="H39" s="15" t="n">
        <f aca="false">G39*(1+IF(H$3&lt;=$O$2,$D39,$D39-($D39-$I$6)*MIN(H$3-$O$2,$Q$2)/$Q$2))</f>
        <v>9492.88478927325</v>
      </c>
      <c r="I39" s="15" t="n">
        <f aca="false">H39*(1+IF(I$3&lt;=$O$2,$D39,$D39-($D39-$I$6)*MIN(I$3-$O$2,$Q$2)/$Q$2))</f>
        <v>9961.10050584564</v>
      </c>
      <c r="J39" s="15" t="n">
        <f aca="false">I39*(1+IF(J$3&lt;=$O$2,$D39,$D39-($D39-$I$6)*MIN(J$3-$O$2,$Q$2)/$Q$2))</f>
        <v>10410.5278783987</v>
      </c>
      <c r="K39" s="15" t="n">
        <f aca="false">J39*(1+IF(K$3&lt;=$O$2,$D39,$D39-($D39-$I$6)*MIN(K$3-$O$2,$Q$2)/$Q$2))</f>
        <v>10836.4609232633</v>
      </c>
      <c r="L39" s="15" t="n">
        <f aca="false">K39*(1+IF(L$3&lt;=$O$2,$D39,$D39-($D39-$I$6)*MIN(L$3-$O$2,$Q$2)/$Q$2))</f>
        <v>11234.2578944684</v>
      </c>
      <c r="M39" s="15" t="n">
        <f aca="false">L39*(1+IF(M$3&lt;=$O$2,$D39,$D39-($D39-$I$6)*MIN(M$3-$O$2,$Q$2)/$Q$2))</f>
        <v>11599.4225181454</v>
      </c>
      <c r="N39" s="15" t="n">
        <f aca="false">M39*(1+IF(N$3&lt;=$O$2,$D39,$D39-($D39-$I$6)*MIN(N$3-$O$2,$Q$2)/$Q$2))</f>
        <v>11927.6861754089</v>
      </c>
      <c r="O39" s="15" t="n">
        <f aca="false">SUMPRODUCT(E39:N39,1/(1+$F$6)^$E$3:$N$3)*$E$2</f>
        <v>18664.3997914308</v>
      </c>
      <c r="P39" s="15" t="n">
        <f aca="false">N39*$E$2*(1+$I$6)/($F$6-$I$6)/(1+$F$6)^$N$3</f>
        <v>29452.6002898877</v>
      </c>
      <c r="Q39" s="15" t="n">
        <f aca="false">O39+P39</f>
        <v>48117.0000813185</v>
      </c>
      <c r="R39" s="15" t="n">
        <f aca="false">Q39-$G$2+$I$2</f>
        <v>45600.0000813185</v>
      </c>
      <c r="S39" s="42" t="n">
        <f aca="false">R39/$K$2</f>
        <v>105.258298511884</v>
      </c>
      <c r="T39" s="43" t="n">
        <f aca="false">S39-$M$2</f>
        <v>1.877071014178E-007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0.0493228058330715</v>
      </c>
      <c r="C40" s="25" t="n">
        <f aca="false">IF(T39&gt;0,D39,C39)</f>
        <v>0.0493228061823174</v>
      </c>
      <c r="D40" s="41" t="n">
        <f aca="false">(B40+C40)/2</f>
        <v>0.0493228060076945</v>
      </c>
      <c r="E40" s="15" t="n">
        <f aca="false">$C$2*(1+IF(E$3&lt;=$O$2,$D40,$D40-($D40-$I$6)*MIN(E$3-$O$2,$Q$2)/$Q$2))</f>
        <v>8216.19757104025</v>
      </c>
      <c r="F40" s="15" t="n">
        <f aca="false">E40*(1+IF(F$3&lt;=$O$2,$D40,$D40-($D40-$I$6)*MIN(F$3-$O$2,$Q$2)/$Q$2))</f>
        <v>8621.44348995756</v>
      </c>
      <c r="G40" s="15" t="n">
        <f aca="false">F40*(1+IF(G$3&lt;=$O$2,$D40,$D40-($D40-$I$6)*MIN(G$3-$O$2,$Q$2)/$Q$2))</f>
        <v>9046.67727471903</v>
      </c>
      <c r="H40" s="15" t="n">
        <f aca="false">G40*(1+IF(H$3&lt;=$O$2,$D40,$D40-($D40-$I$6)*MIN(H$3-$O$2,$Q$2)/$Q$2))</f>
        <v>9492.88478295422</v>
      </c>
      <c r="I40" s="15" t="n">
        <f aca="false">H40*(1+IF(I$3&lt;=$O$2,$D40,$D40-($D40-$I$6)*MIN(I$3-$O$2,$Q$2)/$Q$2))</f>
        <v>9961.10049755726</v>
      </c>
      <c r="J40" s="15" t="n">
        <f aca="false">I40*(1+IF(J$3&lt;=$O$2,$D40,$D40-($D40-$I$6)*MIN(J$3-$O$2,$Q$2)/$Q$2))</f>
        <v>10410.5278683448</v>
      </c>
      <c r="K40" s="15" t="n">
        <f aca="false">J40*(1+IF(K$3&lt;=$O$2,$D40,$D40-($D40-$I$6)*MIN(K$3-$O$2,$Q$2)/$Q$2))</f>
        <v>10836.4609117073</v>
      </c>
      <c r="L40" s="15" t="n">
        <f aca="false">K40*(1+IF(L$3&lt;=$O$2,$D40,$D40-($D40-$I$6)*MIN(L$3-$O$2,$Q$2)/$Q$2))</f>
        <v>11234.2578817313</v>
      </c>
      <c r="M40" s="15" t="n">
        <f aca="false">L40*(1+IF(M$3&lt;=$O$2,$D40,$D40-($D40-$I$6)*MIN(M$3-$O$2,$Q$2)/$Q$2))</f>
        <v>11599.4225046019</v>
      </c>
      <c r="N40" s="15" t="n">
        <f aca="false">M40*(1+IF(N$3&lt;=$O$2,$D40,$D40-($D40-$I$6)*MIN(N$3-$O$2,$Q$2)/$Q$2))</f>
        <v>11927.6861614821</v>
      </c>
      <c r="O40" s="15" t="n">
        <f aca="false">SUMPRODUCT(E40:N40,1/(1+$F$6)^$E$3:$N$3)*$E$2</f>
        <v>18664.3997771532</v>
      </c>
      <c r="P40" s="15" t="n">
        <f aca="false">N40*$E$2*(1+$I$6)/($F$6-$I$6)/(1+$F$6)^$N$3</f>
        <v>29452.6002554989</v>
      </c>
      <c r="Q40" s="15" t="n">
        <f aca="false">O40+P40</f>
        <v>48117.0000326521</v>
      </c>
      <c r="R40" s="15" t="n">
        <f aca="false">Q40-$G$2+$I$2</f>
        <v>45600.0000326521</v>
      </c>
      <c r="S40" s="42" t="n">
        <f aca="false">R40/$K$2</f>
        <v>105.258298399548</v>
      </c>
      <c r="T40" s="43" t="n">
        <f aca="false">S40-$M$2</f>
        <v>7.5370650165496E-008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0.0493228058330715</v>
      </c>
      <c r="C41" s="25" t="n">
        <f aca="false">IF(T40&gt;0,D40,C40)</f>
        <v>0.0493228060076945</v>
      </c>
      <c r="D41" s="41" t="n">
        <f aca="false">(B41+C41)/2</f>
        <v>0.049322805920383</v>
      </c>
      <c r="E41" s="15" t="n">
        <f aca="false">$C$2*(1+IF(E$3&lt;=$O$2,$D41,$D41-($D41-$I$6)*MIN(E$3-$O$2,$Q$2)/$Q$2))</f>
        <v>8216.1975703566</v>
      </c>
      <c r="F41" s="15" t="n">
        <f aca="false">E41*(1+IF(F$3&lt;=$O$2,$D41,$D41-($D41-$I$6)*MIN(F$3-$O$2,$Q$2)/$Q$2))</f>
        <v>8621.44348852282</v>
      </c>
      <c r="G41" s="15" t="n">
        <f aca="false">F41*(1+IF(G$3&lt;=$O$2,$D41,$D41-($D41-$I$6)*MIN(G$3-$O$2,$Q$2)/$Q$2))</f>
        <v>9046.67727246078</v>
      </c>
      <c r="H41" s="15" t="n">
        <f aca="false">G41*(1+IF(H$3&lt;=$O$2,$D41,$D41-($D41-$I$6)*MIN(H$3-$O$2,$Q$2)/$Q$2))</f>
        <v>9492.8847797947</v>
      </c>
      <c r="I41" s="15" t="n">
        <f aca="false">H41*(1+IF(I$3&lt;=$O$2,$D41,$D41-($D41-$I$6)*MIN(I$3-$O$2,$Q$2)/$Q$2))</f>
        <v>9961.10049341307</v>
      </c>
      <c r="J41" s="15" t="n">
        <f aca="false">I41*(1+IF(J$3&lt;=$O$2,$D41,$D41-($D41-$I$6)*MIN(J$3-$O$2,$Q$2)/$Q$2))</f>
        <v>10410.5278633178</v>
      </c>
      <c r="K41" s="15" t="n">
        <f aca="false">J41*(1+IF(K$3&lt;=$O$2,$D41,$D41-($D41-$I$6)*MIN(K$3-$O$2,$Q$2)/$Q$2))</f>
        <v>10836.4609059293</v>
      </c>
      <c r="L41" s="15" t="n">
        <f aca="false">K41*(1+IF(L$3&lt;=$O$2,$D41,$D41-($D41-$I$6)*MIN(L$3-$O$2,$Q$2)/$Q$2))</f>
        <v>11234.2578753627</v>
      </c>
      <c r="M41" s="15" t="n">
        <f aca="false">L41*(1+IF(M$3&lt;=$O$2,$D41,$D41-($D41-$I$6)*MIN(M$3-$O$2,$Q$2)/$Q$2))</f>
        <v>11599.4224978302</v>
      </c>
      <c r="N41" s="15" t="n">
        <f aca="false">M41*(1+IF(N$3&lt;=$O$2,$D41,$D41-($D41-$I$6)*MIN(N$3-$O$2,$Q$2)/$Q$2))</f>
        <v>11927.6861545188</v>
      </c>
      <c r="O41" s="15" t="n">
        <f aca="false">SUMPRODUCT(E41:N41,1/(1+$F$6)^$E$3:$N$3)*$E$2</f>
        <v>18664.3997700144</v>
      </c>
      <c r="P41" s="15" t="n">
        <f aca="false">N41*$E$2*(1+$I$6)/($F$6-$I$6)/(1+$F$6)^$N$3</f>
        <v>29452.6002383045</v>
      </c>
      <c r="Q41" s="15" t="n">
        <f aca="false">O41+P41</f>
        <v>48117.0000083189</v>
      </c>
      <c r="R41" s="15" t="n">
        <f aca="false">Q41-$G$2+$I$2</f>
        <v>45600.0000083189</v>
      </c>
      <c r="S41" s="42" t="n">
        <f aca="false">R41/$K$2</f>
        <v>105.25829834338</v>
      </c>
      <c r="T41" s="43" t="n">
        <f aca="false">S41-$M$2</f>
        <v>1.92023890122073E-008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0.0493228058330715</v>
      </c>
      <c r="C42" s="25" t="n">
        <f aca="false">IF(T41&gt;0,D41,C41)</f>
        <v>0.049322805920383</v>
      </c>
      <c r="D42" s="41" t="n">
        <f aca="false">(B42+C42)/2</f>
        <v>0.0493228058767272</v>
      </c>
      <c r="E42" s="15" t="n">
        <f aca="false">$C$2*(1+IF(E$3&lt;=$O$2,$D42,$D42-($D42-$I$6)*MIN(E$3-$O$2,$Q$2)/$Q$2))</f>
        <v>8216.19757001477</v>
      </c>
      <c r="F42" s="15" t="n">
        <f aca="false">E42*(1+IF(F$3&lt;=$O$2,$D42,$D42-($D42-$I$6)*MIN(F$3-$O$2,$Q$2)/$Q$2))</f>
        <v>8621.44348780545</v>
      </c>
      <c r="G42" s="15" t="n">
        <f aca="false">F42*(1+IF(G$3&lt;=$O$2,$D42,$D42-($D42-$I$6)*MIN(G$3-$O$2,$Q$2)/$Q$2))</f>
        <v>9046.67727133165</v>
      </c>
      <c r="H42" s="15" t="n">
        <f aca="false">G42*(1+IF(H$3&lt;=$O$2,$D42,$D42-($D42-$I$6)*MIN(H$3-$O$2,$Q$2)/$Q$2))</f>
        <v>9492.88477821494</v>
      </c>
      <c r="I42" s="15" t="n">
        <f aca="false">H42*(1+IF(I$3&lt;=$O$2,$D42,$D42-($D42-$I$6)*MIN(I$3-$O$2,$Q$2)/$Q$2))</f>
        <v>9961.10049134098</v>
      </c>
      <c r="J42" s="15" t="n">
        <f aca="false">I42*(1+IF(J$3&lt;=$O$2,$D42,$D42-($D42-$I$6)*MIN(J$3-$O$2,$Q$2)/$Q$2))</f>
        <v>10410.5278608044</v>
      </c>
      <c r="K42" s="15" t="n">
        <f aca="false">J42*(1+IF(K$3&lt;=$O$2,$D42,$D42-($D42-$I$6)*MIN(K$3-$O$2,$Q$2)/$Q$2))</f>
        <v>10836.4609030403</v>
      </c>
      <c r="L42" s="15" t="n">
        <f aca="false">K42*(1+IF(L$3&lt;=$O$2,$D42,$D42-($D42-$I$6)*MIN(L$3-$O$2,$Q$2)/$Q$2))</f>
        <v>11234.2578721785</v>
      </c>
      <c r="M42" s="15" t="n">
        <f aca="false">L42*(1+IF(M$3&lt;=$O$2,$D42,$D42-($D42-$I$6)*MIN(M$3-$O$2,$Q$2)/$Q$2))</f>
        <v>11599.4224944443</v>
      </c>
      <c r="N42" s="15" t="n">
        <f aca="false">M42*(1+IF(N$3&lt;=$O$2,$D42,$D42-($D42-$I$6)*MIN(N$3-$O$2,$Q$2)/$Q$2))</f>
        <v>11927.6861510371</v>
      </c>
      <c r="O42" s="15" t="n">
        <f aca="false">SUMPRODUCT(E42:N42,1/(1+$F$6)^$E$3:$N$3)*$E$2</f>
        <v>18664.399766445</v>
      </c>
      <c r="P42" s="15" t="n">
        <f aca="false">N42*$E$2*(1+$I$6)/($F$6-$I$6)/(1+$F$6)^$N$3</f>
        <v>29452.6002297073</v>
      </c>
      <c r="Q42" s="15" t="n">
        <f aca="false">O42+P42</f>
        <v>48116.9999961523</v>
      </c>
      <c r="R42" s="15" t="n">
        <f aca="false">Q42-$G$2+$I$2</f>
        <v>45599.9999961523</v>
      </c>
      <c r="S42" s="42" t="n">
        <f aca="false">R42/$K$2</f>
        <v>105.258298315295</v>
      </c>
      <c r="T42" s="43" t="n">
        <f aca="false">S42-$M$2</f>
        <v>-8.88168472101825E-009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0.0493228058767272</v>
      </c>
      <c r="C43" s="25" t="n">
        <f aca="false">IF(T42&gt;0,D42,C42)</f>
        <v>0.049322805920383</v>
      </c>
      <c r="D43" s="41" t="n">
        <f aca="false">(B43+C43)/2</f>
        <v>0.0493228058985551</v>
      </c>
      <c r="E43" s="15" t="n">
        <f aca="false">$C$2*(1+IF(E$3&lt;=$O$2,$D43,$D43-($D43-$I$6)*MIN(E$3-$O$2,$Q$2)/$Q$2))</f>
        <v>8216.19757018569</v>
      </c>
      <c r="F43" s="15" t="n">
        <f aca="false">E43*(1+IF(F$3&lt;=$O$2,$D43,$D43-($D43-$I$6)*MIN(F$3-$O$2,$Q$2)/$Q$2))</f>
        <v>8621.44348816414</v>
      </c>
      <c r="G43" s="15" t="n">
        <f aca="false">F43*(1+IF(G$3&lt;=$O$2,$D43,$D43-($D43-$I$6)*MIN(G$3-$O$2,$Q$2)/$Q$2))</f>
        <v>9046.67727189622</v>
      </c>
      <c r="H43" s="15" t="n">
        <f aca="false">G43*(1+IF(H$3&lt;=$O$2,$D43,$D43-($D43-$I$6)*MIN(H$3-$O$2,$Q$2)/$Q$2))</f>
        <v>9492.88477900482</v>
      </c>
      <c r="I43" s="15" t="n">
        <f aca="false">H43*(1+IF(I$3&lt;=$O$2,$D43,$D43-($D43-$I$6)*MIN(I$3-$O$2,$Q$2)/$Q$2))</f>
        <v>9961.10049237703</v>
      </c>
      <c r="J43" s="15" t="n">
        <f aca="false">I43*(1+IF(J$3&lt;=$O$2,$D43,$D43-($D43-$I$6)*MIN(J$3-$O$2,$Q$2)/$Q$2))</f>
        <v>10410.5278620611</v>
      </c>
      <c r="K43" s="15" t="n">
        <f aca="false">J43*(1+IF(K$3&lt;=$O$2,$D43,$D43-($D43-$I$6)*MIN(K$3-$O$2,$Q$2)/$Q$2))</f>
        <v>10836.4609044848</v>
      </c>
      <c r="L43" s="15" t="n">
        <f aca="false">K43*(1+IF(L$3&lt;=$O$2,$D43,$D43-($D43-$I$6)*MIN(L$3-$O$2,$Q$2)/$Q$2))</f>
        <v>11234.2578737706</v>
      </c>
      <c r="M43" s="15" t="n">
        <f aca="false">L43*(1+IF(M$3&lt;=$O$2,$D43,$D43-($D43-$I$6)*MIN(M$3-$O$2,$Q$2)/$Q$2))</f>
        <v>11599.4224961372</v>
      </c>
      <c r="N43" s="15" t="n">
        <f aca="false">M43*(1+IF(N$3&lt;=$O$2,$D43,$D43-($D43-$I$6)*MIN(N$3-$O$2,$Q$2)/$Q$2))</f>
        <v>11927.6861527779</v>
      </c>
      <c r="O43" s="15" t="n">
        <f aca="false">SUMPRODUCT(E43:N43,1/(1+$F$6)^$E$3:$N$3)*$E$2</f>
        <v>18664.3997682297</v>
      </c>
      <c r="P43" s="15" t="n">
        <f aca="false">N43*$E$2*(1+$I$6)/($F$6-$I$6)/(1+$F$6)^$N$3</f>
        <v>29452.6002340059</v>
      </c>
      <c r="Q43" s="15" t="n">
        <f aca="false">O43+P43</f>
        <v>48117.0000022356</v>
      </c>
      <c r="R43" s="15" t="n">
        <f aca="false">Q43-$G$2+$I$2</f>
        <v>45600.0000022356</v>
      </c>
      <c r="S43" s="42" t="n">
        <f aca="false">R43/$K$2</f>
        <v>105.258298329337</v>
      </c>
      <c r="T43" s="43" t="n">
        <f aca="false">S43-$M$2</f>
        <v>5.16035925102187E-009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0.0493228058767272</v>
      </c>
      <c r="C44" s="25" t="n">
        <f aca="false">IF(T43&gt;0,D43,C43)</f>
        <v>0.0493228058985551</v>
      </c>
      <c r="D44" s="41" t="n">
        <f aca="false">(B44+C44)/2</f>
        <v>0.0493228058876412</v>
      </c>
      <c r="E44" s="15" t="n">
        <f aca="false">$C$2*(1+IF(E$3&lt;=$O$2,$D44,$D44-($D44-$I$6)*MIN(E$3-$O$2,$Q$2)/$Q$2))</f>
        <v>8216.19757010023</v>
      </c>
      <c r="F44" s="15" t="n">
        <f aca="false">E44*(1+IF(F$3&lt;=$O$2,$D44,$D44-($D44-$I$6)*MIN(F$3-$O$2,$Q$2)/$Q$2))</f>
        <v>8621.44348798479</v>
      </c>
      <c r="G44" s="15" t="n">
        <f aca="false">F44*(1+IF(G$3&lt;=$O$2,$D44,$D44-($D44-$I$6)*MIN(G$3-$O$2,$Q$2)/$Q$2))</f>
        <v>9046.67727161394</v>
      </c>
      <c r="H44" s="15" t="n">
        <f aca="false">G44*(1+IF(H$3&lt;=$O$2,$D44,$D44-($D44-$I$6)*MIN(H$3-$O$2,$Q$2)/$Q$2))</f>
        <v>9492.88477860988</v>
      </c>
      <c r="I44" s="15" t="n">
        <f aca="false">H44*(1+IF(I$3&lt;=$O$2,$D44,$D44-($D44-$I$6)*MIN(I$3-$O$2,$Q$2)/$Q$2))</f>
        <v>9961.100491859</v>
      </c>
      <c r="J44" s="15" t="n">
        <f aca="false">I44*(1+IF(J$3&lt;=$O$2,$D44,$D44-($D44-$I$6)*MIN(J$3-$O$2,$Q$2)/$Q$2))</f>
        <v>10410.5278614327</v>
      </c>
      <c r="K44" s="15" t="n">
        <f aca="false">J44*(1+IF(K$3&lt;=$O$2,$D44,$D44-($D44-$I$6)*MIN(K$3-$O$2,$Q$2)/$Q$2))</f>
        <v>10836.4609037625</v>
      </c>
      <c r="L44" s="15" t="n">
        <f aca="false">K44*(1+IF(L$3&lt;=$O$2,$D44,$D44-($D44-$I$6)*MIN(L$3-$O$2,$Q$2)/$Q$2))</f>
        <v>11234.2578729745</v>
      </c>
      <c r="M44" s="15" t="n">
        <f aca="false">L44*(1+IF(M$3&lt;=$O$2,$D44,$D44-($D44-$I$6)*MIN(M$3-$O$2,$Q$2)/$Q$2))</f>
        <v>11599.4224952908</v>
      </c>
      <c r="N44" s="15" t="n">
        <f aca="false">M44*(1+IF(N$3&lt;=$O$2,$D44,$D44-($D44-$I$6)*MIN(N$3-$O$2,$Q$2)/$Q$2))</f>
        <v>11927.6861519075</v>
      </c>
      <c r="O44" s="15" t="n">
        <f aca="false">SUMPRODUCT(E44:N44,1/(1+$F$6)^$E$3:$N$3)*$E$2</f>
        <v>18664.3997673374</v>
      </c>
      <c r="P44" s="15" t="n">
        <f aca="false">N44*$E$2*(1+$I$6)/($F$6-$I$6)/(1+$F$6)^$N$3</f>
        <v>29452.6002318566</v>
      </c>
      <c r="Q44" s="15" t="n">
        <f aca="false">O44+P44</f>
        <v>48116.9999991939</v>
      </c>
      <c r="R44" s="15" t="n">
        <f aca="false">Q44-$G$2+$I$2</f>
        <v>45599.9999991939</v>
      </c>
      <c r="S44" s="42" t="n">
        <f aca="false">R44/$K$2</f>
        <v>105.258298322316</v>
      </c>
      <c r="T44" s="43" t="n">
        <f aca="false">S44-$M$2</f>
        <v>-1.86065562957083E-009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0.0493228058876412</v>
      </c>
      <c r="C45" s="25" t="n">
        <f aca="false">IF(T44&gt;0,D44,C44)</f>
        <v>0.0493228058985551</v>
      </c>
      <c r="D45" s="41" t="n">
        <f aca="false">(B45+C45)/2</f>
        <v>0.0493228058930981</v>
      </c>
      <c r="E45" s="15" t="n">
        <f aca="false">$C$2*(1+IF(E$3&lt;=$O$2,$D45,$D45-($D45-$I$6)*MIN(E$3-$O$2,$Q$2)/$Q$2))</f>
        <v>8216.19757014296</v>
      </c>
      <c r="F45" s="15" t="n">
        <f aca="false">E45*(1+IF(F$3&lt;=$O$2,$D45,$D45-($D45-$I$6)*MIN(F$3-$O$2,$Q$2)/$Q$2))</f>
        <v>8621.44348807446</v>
      </c>
      <c r="G45" s="15" t="n">
        <f aca="false">F45*(1+IF(G$3&lt;=$O$2,$D45,$D45-($D45-$I$6)*MIN(G$3-$O$2,$Q$2)/$Q$2))</f>
        <v>9046.67727175507</v>
      </c>
      <c r="H45" s="15" t="n">
        <f aca="false">G45*(1+IF(H$3&lt;=$O$2,$D45,$D45-($D45-$I$6)*MIN(H$3-$O$2,$Q$2)/$Q$2))</f>
        <v>9492.88477880735</v>
      </c>
      <c r="I45" s="15" t="n">
        <f aca="false">H45*(1+IF(I$3&lt;=$O$2,$D45,$D45-($D45-$I$6)*MIN(I$3-$O$2,$Q$2)/$Q$2))</f>
        <v>9961.10049211801</v>
      </c>
      <c r="J45" s="15" t="n">
        <f aca="false">I45*(1+IF(J$3&lt;=$O$2,$D45,$D45-($D45-$I$6)*MIN(J$3-$O$2,$Q$2)/$Q$2))</f>
        <v>10410.5278617469</v>
      </c>
      <c r="K45" s="15" t="n">
        <f aca="false">J45*(1+IF(K$3&lt;=$O$2,$D45,$D45-($D45-$I$6)*MIN(K$3-$O$2,$Q$2)/$Q$2))</f>
        <v>10836.4609041237</v>
      </c>
      <c r="L45" s="15" t="n">
        <f aca="false">K45*(1+IF(L$3&lt;=$O$2,$D45,$D45-($D45-$I$6)*MIN(L$3-$O$2,$Q$2)/$Q$2))</f>
        <v>11234.2578733726</v>
      </c>
      <c r="M45" s="15" t="n">
        <f aca="false">L45*(1+IF(M$3&lt;=$O$2,$D45,$D45-($D45-$I$6)*MIN(M$3-$O$2,$Q$2)/$Q$2))</f>
        <v>11599.422495714</v>
      </c>
      <c r="N45" s="15" t="n">
        <f aca="false">M45*(1+IF(N$3&lt;=$O$2,$D45,$D45-($D45-$I$6)*MIN(N$3-$O$2,$Q$2)/$Q$2))</f>
        <v>11927.6861523427</v>
      </c>
      <c r="O45" s="15" t="n">
        <f aca="false">SUMPRODUCT(E45:N45,1/(1+$F$6)^$E$3:$N$3)*$E$2</f>
        <v>18664.3997677835</v>
      </c>
      <c r="P45" s="15" t="n">
        <f aca="false">N45*$E$2*(1+$I$6)/($F$6-$I$6)/(1+$F$6)^$N$3</f>
        <v>29452.6002329312</v>
      </c>
      <c r="Q45" s="15" t="n">
        <f aca="false">O45+P45</f>
        <v>48117.0000007148</v>
      </c>
      <c r="R45" s="15" t="n">
        <f aca="false">Q45-$G$2+$I$2</f>
        <v>45600.0000007148</v>
      </c>
      <c r="S45" s="42" t="n">
        <f aca="false">R45/$K$2</f>
        <v>105.258298325827</v>
      </c>
      <c r="T45" s="43" t="n">
        <f aca="false">S45-$M$2</f>
        <v>1.64982338901609E-009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0.0493228058876412</v>
      </c>
      <c r="C46" s="25" t="n">
        <f aca="false">IF(T45&gt;0,D45,C45)</f>
        <v>0.0493228058930981</v>
      </c>
      <c r="D46" s="41" t="n">
        <f aca="false">(B46+C46)/2</f>
        <v>0.0493228058903696</v>
      </c>
      <c r="E46" s="15" t="n">
        <f aca="false">$C$2*(1+IF(E$3&lt;=$O$2,$D46,$D46-($D46-$I$6)*MIN(E$3-$O$2,$Q$2)/$Q$2))</f>
        <v>8216.19757012159</v>
      </c>
      <c r="F46" s="15" t="n">
        <f aca="false">E46*(1+IF(F$3&lt;=$O$2,$D46,$D46-($D46-$I$6)*MIN(F$3-$O$2,$Q$2)/$Q$2))</f>
        <v>8621.44348802963</v>
      </c>
      <c r="G46" s="15" t="n">
        <f aca="false">F46*(1+IF(G$3&lt;=$O$2,$D46,$D46-($D46-$I$6)*MIN(G$3-$O$2,$Q$2)/$Q$2))</f>
        <v>9046.6772716845</v>
      </c>
      <c r="H46" s="15" t="n">
        <f aca="false">G46*(1+IF(H$3&lt;=$O$2,$D46,$D46-($D46-$I$6)*MIN(H$3-$O$2,$Q$2)/$Q$2))</f>
        <v>9492.88477870862</v>
      </c>
      <c r="I46" s="15" t="n">
        <f aca="false">H46*(1+IF(I$3&lt;=$O$2,$D46,$D46-($D46-$I$6)*MIN(I$3-$O$2,$Q$2)/$Q$2))</f>
        <v>9961.10049198851</v>
      </c>
      <c r="J46" s="15" t="n">
        <f aca="false">I46*(1+IF(J$3&lt;=$O$2,$D46,$D46-($D46-$I$6)*MIN(J$3-$O$2,$Q$2)/$Q$2))</f>
        <v>10410.5278615898</v>
      </c>
      <c r="K46" s="15" t="n">
        <f aca="false">J46*(1+IF(K$3&lt;=$O$2,$D46,$D46-($D46-$I$6)*MIN(K$3-$O$2,$Q$2)/$Q$2))</f>
        <v>10836.4609039431</v>
      </c>
      <c r="L46" s="15" t="n">
        <f aca="false">K46*(1+IF(L$3&lt;=$O$2,$D46,$D46-($D46-$I$6)*MIN(L$3-$O$2,$Q$2)/$Q$2))</f>
        <v>11234.2578731736</v>
      </c>
      <c r="M46" s="15" t="n">
        <f aca="false">L46*(1+IF(M$3&lt;=$O$2,$D46,$D46-($D46-$I$6)*MIN(M$3-$O$2,$Q$2)/$Q$2))</f>
        <v>11599.4224955024</v>
      </c>
      <c r="N46" s="15" t="n">
        <f aca="false">M46*(1+IF(N$3&lt;=$O$2,$D46,$D46-($D46-$I$6)*MIN(N$3-$O$2,$Q$2)/$Q$2))</f>
        <v>11927.6861521251</v>
      </c>
      <c r="O46" s="15" t="n">
        <f aca="false">SUMPRODUCT(E46:N46,1/(1+$F$6)^$E$3:$N$3)*$E$2</f>
        <v>18664.3997675604</v>
      </c>
      <c r="P46" s="15" t="n">
        <f aca="false">N46*$E$2*(1+$I$6)/($F$6-$I$6)/(1+$F$6)^$N$3</f>
        <v>29452.6002323939</v>
      </c>
      <c r="Q46" s="15" t="n">
        <f aca="false">O46+P46</f>
        <v>48116.9999999544</v>
      </c>
      <c r="R46" s="15" t="n">
        <f aca="false">Q46-$G$2+$I$2</f>
        <v>45599.9999999544</v>
      </c>
      <c r="S46" s="42" t="n">
        <f aca="false">R46/$K$2</f>
        <v>105.258298324072</v>
      </c>
      <c r="T46" s="43" t="n">
        <f aca="false">S46-$M$2</f>
        <v>-1.05387698567938E-010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0.0493228058903696</v>
      </c>
      <c r="C47" s="25" t="n">
        <f aca="false">IF(T46&gt;0,D46,C46)</f>
        <v>0.0493228058930981</v>
      </c>
      <c r="D47" s="41" t="n">
        <f aca="false">(B47+C47)/2</f>
        <v>0.0493228058917339</v>
      </c>
      <c r="E47" s="15" t="n">
        <f aca="false">$C$2*(1+IF(E$3&lt;=$O$2,$D47,$D47-($D47-$I$6)*MIN(E$3-$O$2,$Q$2)/$Q$2))</f>
        <v>8216.19757013228</v>
      </c>
      <c r="F47" s="15" t="n">
        <f aca="false">E47*(1+IF(F$3&lt;=$O$2,$D47,$D47-($D47-$I$6)*MIN(F$3-$O$2,$Q$2)/$Q$2))</f>
        <v>8621.44348805205</v>
      </c>
      <c r="G47" s="15" t="n">
        <f aca="false">F47*(1+IF(G$3&lt;=$O$2,$D47,$D47-($D47-$I$6)*MIN(G$3-$O$2,$Q$2)/$Q$2))</f>
        <v>9046.67727171979</v>
      </c>
      <c r="H47" s="15" t="n">
        <f aca="false">G47*(1+IF(H$3&lt;=$O$2,$D47,$D47-($D47-$I$6)*MIN(H$3-$O$2,$Q$2)/$Q$2))</f>
        <v>9492.88477875799</v>
      </c>
      <c r="I47" s="15" t="n">
        <f aca="false">H47*(1+IF(I$3&lt;=$O$2,$D47,$D47-($D47-$I$6)*MIN(I$3-$O$2,$Q$2)/$Q$2))</f>
        <v>9961.10049205326</v>
      </c>
      <c r="J47" s="15" t="n">
        <f aca="false">I47*(1+IF(J$3&lt;=$O$2,$D47,$D47-($D47-$I$6)*MIN(J$3-$O$2,$Q$2)/$Q$2))</f>
        <v>10410.5278616684</v>
      </c>
      <c r="K47" s="15" t="n">
        <f aca="false">J47*(1+IF(K$3&lt;=$O$2,$D47,$D47-($D47-$I$6)*MIN(K$3-$O$2,$Q$2)/$Q$2))</f>
        <v>10836.4609040334</v>
      </c>
      <c r="L47" s="15" t="n">
        <f aca="false">K47*(1+IF(L$3&lt;=$O$2,$D47,$D47-($D47-$I$6)*MIN(L$3-$O$2,$Q$2)/$Q$2))</f>
        <v>11234.2578732731</v>
      </c>
      <c r="M47" s="15" t="n">
        <f aca="false">L47*(1+IF(M$3&lt;=$O$2,$D47,$D47-($D47-$I$6)*MIN(M$3-$O$2,$Q$2)/$Q$2))</f>
        <v>11599.4224956082</v>
      </c>
      <c r="N47" s="15" t="n">
        <f aca="false">M47*(1+IF(N$3&lt;=$O$2,$D47,$D47-($D47-$I$6)*MIN(N$3-$O$2,$Q$2)/$Q$2))</f>
        <v>11927.6861522339</v>
      </c>
      <c r="O47" s="15" t="n">
        <f aca="false">SUMPRODUCT(E47:N47,1/(1+$F$6)^$E$3:$N$3)*$E$2</f>
        <v>18664.399767672</v>
      </c>
      <c r="P47" s="15" t="n">
        <f aca="false">N47*$E$2*(1+$I$6)/($F$6-$I$6)/(1+$F$6)^$N$3</f>
        <v>29452.6002326626</v>
      </c>
      <c r="Q47" s="15" t="n">
        <f aca="false">O47+P47</f>
        <v>48117.0000003346</v>
      </c>
      <c r="R47" s="15" t="n">
        <f aca="false">Q47-$G$2+$I$2</f>
        <v>45600.0000003346</v>
      </c>
      <c r="S47" s="42" t="n">
        <f aca="false">R47/$K$2</f>
        <v>105.258298324949</v>
      </c>
      <c r="T47" s="43" t="n">
        <f aca="false">S47-$M$2</f>
        <v>7.72246266933507E-010</v>
      </c>
    </row>
    <row r="49" customFormat="false" ht="15" hidden="false" customHeight="false" outlineLevel="0" collapsed="false">
      <c r="A49" s="38" t="s">
        <v>173</v>
      </c>
      <c r="E49" s="5" t="s">
        <v>11</v>
      </c>
      <c r="F49" s="12" t="n">
        <f aca="false">Sensitivity!$B$10</f>
        <v>0.0721529104257703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153</v>
      </c>
      <c r="B50" s="28" t="s">
        <v>154</v>
      </c>
      <c r="C50" s="28" t="s">
        <v>155</v>
      </c>
      <c r="D50" s="28" t="s">
        <v>156</v>
      </c>
      <c r="E50" s="28" t="s">
        <v>157</v>
      </c>
      <c r="F50" s="28" t="s">
        <v>158</v>
      </c>
      <c r="G50" s="28" t="s">
        <v>159</v>
      </c>
      <c r="H50" s="28" t="s">
        <v>160</v>
      </c>
      <c r="I50" s="28" t="s">
        <v>161</v>
      </c>
      <c r="J50" s="28" t="s">
        <v>162</v>
      </c>
      <c r="K50" s="28" t="s">
        <v>163</v>
      </c>
      <c r="L50" s="28" t="s">
        <v>164</v>
      </c>
      <c r="M50" s="28" t="s">
        <v>165</v>
      </c>
      <c r="N50" s="28" t="s">
        <v>166</v>
      </c>
      <c r="O50" s="28" t="s">
        <v>167</v>
      </c>
      <c r="P50" s="28" t="s">
        <v>168</v>
      </c>
      <c r="Q50" s="28" t="s">
        <v>169</v>
      </c>
      <c r="R50" s="28" t="s">
        <v>170</v>
      </c>
      <c r="S50" s="28" t="s">
        <v>171</v>
      </c>
      <c r="T50" s="28" t="s">
        <v>172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9787.5</v>
      </c>
      <c r="F51" s="15" t="n">
        <f aca="false">E51*(1+IF(F$3&lt;=$O$2,$D51,$D51-($D51-$I$49)*MIN(F$3-$O$2,$Q$2)/$Q$2))</f>
        <v>12234.375</v>
      </c>
      <c r="G51" s="15" t="n">
        <f aca="false">F51*(1+IF(G$3&lt;=$O$2,$D51,$D51-($D51-$I$49)*MIN(G$3-$O$2,$Q$2)/$Q$2))</f>
        <v>15292.96875</v>
      </c>
      <c r="H51" s="15" t="n">
        <f aca="false">G51*(1+IF(H$3&lt;=$O$2,$D51,$D51-($D51-$I$49)*MIN(H$3-$O$2,$Q$2)/$Q$2))</f>
        <v>19116.2109375</v>
      </c>
      <c r="I51" s="15" t="n">
        <f aca="false">H51*(1+IF(I$3&lt;=$O$2,$D51,$D51-($D51-$I$49)*MIN(I$3-$O$2,$Q$2)/$Q$2))</f>
        <v>23895.263671875</v>
      </c>
      <c r="J51" s="15" t="n">
        <f aca="false">I51*(1+IF(J$3&lt;=$O$2,$D51,$D51-($D51-$I$49)*MIN(J$3-$O$2,$Q$2)/$Q$2))</f>
        <v>28761.7730712891</v>
      </c>
      <c r="K51" s="15" t="n">
        <f aca="false">J51*(1+IF(K$3&lt;=$O$2,$D51,$D51-($D51-$I$49)*MIN(K$3-$O$2,$Q$2)/$Q$2))</f>
        <v>33286.5752108643</v>
      </c>
      <c r="L51" s="15" t="n">
        <f aca="false">K51*(1+IF(L$3&lt;=$O$2,$D51,$D51-($D51-$I$49)*MIN(L$3-$O$2,$Q$2)/$Q$2))</f>
        <v>36980.719327766</v>
      </c>
      <c r="M51" s="15" t="n">
        <f aca="false">L51*(1+IF(M$3&lt;=$O$2,$D51,$D51-($D51-$I$49)*MIN(M$3-$O$2,$Q$2)/$Q$2))</f>
        <v>39371.1530251128</v>
      </c>
      <c r="N51" s="15" t="n">
        <f aca="false">M51*(1+IF(N$3&lt;=$O$2,$D51,$D51-($D51-$I$49)*MIN(N$3-$O$2,$Q$2)/$Q$2))</f>
        <v>40091.6451254723</v>
      </c>
      <c r="O51" s="15" t="n">
        <f aca="false">SUMPRODUCT(E51:N51,1/(1+$F$49)^$E$3:$N$3)*$E$2</f>
        <v>47013.74491779</v>
      </c>
      <c r="P51" s="15" t="n">
        <f aca="false">N51*$E$2*(1+$I$49)/($F$49-$I$49)/(1+$F$49)^$N$3</f>
        <v>107571.259736634</v>
      </c>
      <c r="Q51" s="15" t="n">
        <f aca="false">O51+P51</f>
        <v>154585.004654424</v>
      </c>
      <c r="R51" s="15" t="n">
        <f aca="false">Q51-$G$2+$I$2</f>
        <v>152068.004654424</v>
      </c>
      <c r="S51" s="42" t="n">
        <f aca="false">R51/$K$2</f>
        <v>351.017969286791</v>
      </c>
      <c r="T51" s="43" t="n">
        <f aca="false">S51-$M$2</f>
        <v>245.759670962614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6851.25</v>
      </c>
      <c r="F52" s="15" t="n">
        <f aca="false">E52*(1+IF(F$3&lt;=$O$2,$D52,$D52-($D52-$I$49)*MIN(F$3-$O$2,$Q$2)/$Q$2))</f>
        <v>5994.84375</v>
      </c>
      <c r="G52" s="15" t="n">
        <f aca="false">F52*(1+IF(G$3&lt;=$O$2,$D52,$D52-($D52-$I$49)*MIN(G$3-$O$2,$Q$2)/$Q$2))</f>
        <v>5245.48828125</v>
      </c>
      <c r="H52" s="15" t="n">
        <f aca="false">G52*(1+IF(H$3&lt;=$O$2,$D52,$D52-($D52-$I$49)*MIN(H$3-$O$2,$Q$2)/$Q$2))</f>
        <v>4589.80224609375</v>
      </c>
      <c r="I52" s="15" t="n">
        <f aca="false">H52*(1+IF(I$3&lt;=$O$2,$D52,$D52-($D52-$I$49)*MIN(I$3-$O$2,$Q$2)/$Q$2))</f>
        <v>4016.07696533203</v>
      </c>
      <c r="J52" s="15" t="n">
        <f aca="false">I52*(1+IF(J$3&lt;=$O$2,$D52,$D52-($D52-$I$49)*MIN(J$3-$O$2,$Q$2)/$Q$2))</f>
        <v>3629.16811049194</v>
      </c>
      <c r="K52" s="15" t="n">
        <f aca="false">J52*(1+IF(K$3&lt;=$O$2,$D52,$D52-($D52-$I$49)*MIN(K$3-$O$2,$Q$2)/$Q$2))</f>
        <v>3383.54601277385</v>
      </c>
      <c r="L52" s="15" t="n">
        <f aca="false">K52*(1+IF(L$3&lt;=$O$2,$D52,$D52-($D52-$I$49)*MIN(L$3-$O$2,$Q$2)/$Q$2))</f>
        <v>3251.52004735541</v>
      </c>
      <c r="M52" s="15" t="n">
        <f aca="false">L52*(1+IF(M$3&lt;=$O$2,$D52,$D52-($D52-$I$49)*MIN(M$3-$O$2,$Q$2)/$Q$2))</f>
        <v>3217.83429966481</v>
      </c>
      <c r="N52" s="15" t="n">
        <f aca="false">M52*(1+IF(N$3&lt;=$O$2,$D52,$D52-($D52-$I$49)*MIN(N$3-$O$2,$Q$2)/$Q$2))</f>
        <v>3276.72066734868</v>
      </c>
      <c r="O52" s="15" t="n">
        <f aca="false">SUMPRODUCT(E52:N52,1/(1+$F$49)^$E$3:$N$3)*$E$2</f>
        <v>9071.04755830888</v>
      </c>
      <c r="P52" s="15" t="n">
        <f aca="false">N52*$E$2*(1+$I$49)/($F$49-$I$49)/(1+$F$49)^$N$3</f>
        <v>8791.88092403349</v>
      </c>
      <c r="Q52" s="15" t="n">
        <f aca="false">O52+P52</f>
        <v>17862.9284823424</v>
      </c>
      <c r="R52" s="15" t="n">
        <f aca="false">Q52-$G$2+$I$2</f>
        <v>15345.9284823424</v>
      </c>
      <c r="S52" s="42" t="n">
        <f aca="false">R52/$K$2</f>
        <v>35.4229455757868</v>
      </c>
      <c r="T52" s="43" t="n">
        <f aca="false">S52-$M$2</f>
        <v>-69.8353527483903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8319.375</v>
      </c>
      <c r="F53" s="15" t="n">
        <f aca="false">E53*(1+IF(F$3&lt;=$O$2,$D53,$D53-($D53-$I$49)*MIN(F$3-$O$2,$Q$2)/$Q$2))</f>
        <v>8839.3359375</v>
      </c>
      <c r="G53" s="15" t="n">
        <f aca="false">F53*(1+IF(G$3&lt;=$O$2,$D53,$D53-($D53-$I$49)*MIN(G$3-$O$2,$Q$2)/$Q$2))</f>
        <v>9391.79443359375</v>
      </c>
      <c r="H53" s="15" t="n">
        <f aca="false">G53*(1+IF(H$3&lt;=$O$2,$D53,$D53-($D53-$I$49)*MIN(H$3-$O$2,$Q$2)/$Q$2))</f>
        <v>9978.78158569336</v>
      </c>
      <c r="I53" s="15" t="n">
        <f aca="false">H53*(1+IF(I$3&lt;=$O$2,$D53,$D53-($D53-$I$49)*MIN(I$3-$O$2,$Q$2)/$Q$2))</f>
        <v>10602.4554347992</v>
      </c>
      <c r="J53" s="15" t="n">
        <f aca="false">I53*(1+IF(J$3&lt;=$O$2,$D53,$D53-($D53-$I$49)*MIN(J$3-$O$2,$Q$2)/$Q$2))</f>
        <v>11171.3831934305</v>
      </c>
      <c r="K53" s="15" t="n">
        <f aca="false">J53*(1+IF(K$3&lt;=$O$2,$D53,$D53-($D53-$I$49)*MIN(K$3-$O$2,$Q$2)/$Q$2))</f>
        <v>11672.0845881601</v>
      </c>
      <c r="L53" s="15" t="n">
        <f aca="false">K53*(1+IF(L$3&lt;=$O$2,$D53,$D53-($D53-$I$49)*MIN(L$3-$O$2,$Q$2)/$Q$2))</f>
        <v>12092.0461916421</v>
      </c>
      <c r="M53" s="15" t="n">
        <f aca="false">L53*(1+IF(M$3&lt;=$O$2,$D53,$D53-($D53-$I$49)*MIN(M$3-$O$2,$Q$2)/$Q$2))</f>
        <v>12420.2243252832</v>
      </c>
      <c r="N53" s="15" t="n">
        <f aca="false">M53*(1+IF(N$3&lt;=$O$2,$D53,$D53-($D53-$I$49)*MIN(N$3-$O$2,$Q$2)/$Q$2))</f>
        <v>12647.5144304359</v>
      </c>
      <c r="O53" s="15" t="n">
        <f aca="false">SUMPRODUCT(E53:N53,1/(1+$F$49)^$E$3:$N$3)*$E$2</f>
        <v>20644.9075110313</v>
      </c>
      <c r="P53" s="15" t="n">
        <f aca="false">N53*$E$2*(1+$I$49)/($F$49-$I$49)/(1+$F$49)^$N$3</f>
        <v>33934.977114592</v>
      </c>
      <c r="Q53" s="15" t="n">
        <f aca="false">O53+P53</f>
        <v>54579.8846256233</v>
      </c>
      <c r="R53" s="15" t="n">
        <f aca="false">Q53-$G$2+$I$2</f>
        <v>52062.8846256233</v>
      </c>
      <c r="S53" s="42" t="n">
        <f aca="false">R53/$K$2</f>
        <v>120.176549156602</v>
      </c>
      <c r="T53" s="43" t="n">
        <f aca="false">S53-$M$2</f>
        <v>14.9182508324252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7585.3125</v>
      </c>
      <c r="F54" s="15" t="n">
        <f aca="false">E54*(1+IF(F$3&lt;=$O$2,$D54,$D54-($D54-$I$49)*MIN(F$3-$O$2,$Q$2)/$Q$2))</f>
        <v>7348.271484375</v>
      </c>
      <c r="G54" s="15" t="n">
        <f aca="false">F54*(1+IF(G$3&lt;=$O$2,$D54,$D54-($D54-$I$49)*MIN(G$3-$O$2,$Q$2)/$Q$2))</f>
        <v>7118.63800048828</v>
      </c>
      <c r="H54" s="15" t="n">
        <f aca="false">G54*(1+IF(H$3&lt;=$O$2,$D54,$D54-($D54-$I$49)*MIN(H$3-$O$2,$Q$2)/$Q$2))</f>
        <v>6896.18056297302</v>
      </c>
      <c r="I54" s="15" t="n">
        <f aca="false">H54*(1+IF(I$3&lt;=$O$2,$D54,$D54-($D54-$I$49)*MIN(I$3-$O$2,$Q$2)/$Q$2))</f>
        <v>6680.67492038012</v>
      </c>
      <c r="J54" s="15" t="n">
        <f aca="false">I54*(1+IF(J$3&lt;=$O$2,$D54,$D54-($D54-$I$49)*MIN(J$3-$O$2,$Q$2)/$Q$2))</f>
        <v>6538.1093175792</v>
      </c>
      <c r="K54" s="15" t="n">
        <f aca="false">J54*(1+IF(K$3&lt;=$O$2,$D54,$D54-($D54-$I$49)*MIN(K$3-$O$2,$Q$2)/$Q$2))</f>
        <v>6463.37872807927</v>
      </c>
      <c r="L54" s="15" t="n">
        <f aca="false">K54*(1+IF(L$3&lt;=$O$2,$D54,$D54-($D54-$I$49)*MIN(L$3-$O$2,$Q$2)/$Q$2))</f>
        <v>6453.55439241259</v>
      </c>
      <c r="M54" s="15" t="n">
        <f aca="false">L54*(1+IF(M$3&lt;=$O$2,$D54,$D54-($D54-$I$49)*MIN(M$3-$O$2,$Q$2)/$Q$2))</f>
        <v>6507.69971376493</v>
      </c>
      <c r="N54" s="15" t="n">
        <f aca="false">M54*(1+IF(N$3&lt;=$O$2,$D54,$D54-($D54-$I$49)*MIN(N$3-$O$2,$Q$2)/$Q$2))</f>
        <v>6626.79061852683</v>
      </c>
      <c r="O54" s="15" t="n">
        <f aca="false">SUMPRODUCT(E54:N54,1/(1+$F$49)^$E$3:$N$3)*$E$2</f>
        <v>13649.1948201077</v>
      </c>
      <c r="P54" s="15" t="n">
        <f aca="false">N54*$E$2*(1+$I$49)/($F$49-$I$49)/(1+$F$49)^$N$3</f>
        <v>17780.5678119436</v>
      </c>
      <c r="Q54" s="15" t="n">
        <f aca="false">O54+P54</f>
        <v>31429.7626320512</v>
      </c>
      <c r="R54" s="15" t="n">
        <f aca="false">Q54-$G$2+$I$2</f>
        <v>28912.7626320512</v>
      </c>
      <c r="S54" s="42" t="n">
        <f aca="false">R54/$K$2</f>
        <v>66.7392147916791</v>
      </c>
      <c r="T54" s="43" t="n">
        <f aca="false">S54-$M$2</f>
        <v>-38.519083532498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7952.34375</v>
      </c>
      <c r="F55" s="15" t="n">
        <f aca="false">E55*(1+IF(F$3&lt;=$O$2,$D55,$D55-($D55-$I$49)*MIN(F$3-$O$2,$Q$2)/$Q$2))</f>
        <v>8076.59912109375</v>
      </c>
      <c r="G55" s="15" t="n">
        <f aca="false">F55*(1+IF(G$3&lt;=$O$2,$D55,$D55-($D55-$I$49)*MIN(G$3-$O$2,$Q$2)/$Q$2))</f>
        <v>8202.79598236084</v>
      </c>
      <c r="H55" s="15" t="n">
        <f aca="false">G55*(1+IF(H$3&lt;=$O$2,$D55,$D55-($D55-$I$49)*MIN(H$3-$O$2,$Q$2)/$Q$2))</f>
        <v>8330.96466958523</v>
      </c>
      <c r="I55" s="15" t="n">
        <f aca="false">H55*(1+IF(I$3&lt;=$O$2,$D55,$D55-($D55-$I$49)*MIN(I$3-$O$2,$Q$2)/$Q$2))</f>
        <v>8461.1359925475</v>
      </c>
      <c r="J55" s="15" t="n">
        <f aca="false">I55*(1+IF(J$3&lt;=$O$2,$D55,$D55-($D55-$I$49)*MIN(J$3-$O$2,$Q$2)/$Q$2))</f>
        <v>8597.86795018707</v>
      </c>
      <c r="K55" s="15" t="n">
        <f aca="false">J55*(1+IF(K$3&lt;=$O$2,$D55,$D55-($D55-$I$49)*MIN(K$3-$O$2,$Q$2)/$Q$2))</f>
        <v>8741.40935561544</v>
      </c>
      <c r="L55" s="15" t="n">
        <f aca="false">K55*(1+IF(L$3&lt;=$O$2,$D55,$D55-($D55-$I$49)*MIN(L$3-$O$2,$Q$2)/$Q$2))</f>
        <v>8892.02383881269</v>
      </c>
      <c r="M55" s="15" t="n">
        <f aca="false">L55*(1+IF(M$3&lt;=$O$2,$D55,$D55-($D55-$I$49)*MIN(M$3-$O$2,$Q$2)/$Q$2))</f>
        <v>9049.9906423092</v>
      </c>
      <c r="N55" s="15" t="n">
        <f aca="false">M55*(1+IF(N$3&lt;=$O$2,$D55,$D55-($D55-$I$49)*MIN(N$3-$O$2,$Q$2)/$Q$2))</f>
        <v>9215.60547106346</v>
      </c>
      <c r="O55" s="15" t="n">
        <f aca="false">SUMPRODUCT(E55:N55,1/(1+$F$49)^$E$3:$N$3)*$E$2</f>
        <v>16781.3063254364</v>
      </c>
      <c r="P55" s="15" t="n">
        <f aca="false">N55*$E$2*(1+$I$49)/($F$49-$I$49)/(1+$F$49)^$N$3</f>
        <v>24726.7051939523</v>
      </c>
      <c r="Q55" s="15" t="n">
        <f aca="false">O55+P55</f>
        <v>41508.0115193887</v>
      </c>
      <c r="R55" s="15" t="n">
        <f aca="false">Q55-$G$2+$I$2</f>
        <v>38991.0115193887</v>
      </c>
      <c r="S55" s="42" t="n">
        <f aca="false">R55/$K$2</f>
        <v>90.0027965453782</v>
      </c>
      <c r="T55" s="43" t="n">
        <f aca="false">S55-$M$2</f>
        <v>-15.2555017787989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8135.859375</v>
      </c>
      <c r="F56" s="15" t="n">
        <f aca="false">E56*(1+IF(F$3&lt;=$O$2,$D56,$D56-($D56-$I$49)*MIN(F$3-$O$2,$Q$2)/$Q$2))</f>
        <v>8453.66638183594</v>
      </c>
      <c r="G56" s="15" t="n">
        <f aca="false">F56*(1+IF(G$3&lt;=$O$2,$D56,$D56-($D56-$I$49)*MIN(G$3-$O$2,$Q$2)/$Q$2))</f>
        <v>8783.8877248764</v>
      </c>
      <c r="H56" s="15" t="n">
        <f aca="false">G56*(1+IF(H$3&lt;=$O$2,$D56,$D56-($D56-$I$49)*MIN(H$3-$O$2,$Q$2)/$Q$2))</f>
        <v>9127.00833912939</v>
      </c>
      <c r="I56" s="15" t="n">
        <f aca="false">H56*(1+IF(I$3&lt;=$O$2,$D56,$D56-($D56-$I$49)*MIN(I$3-$O$2,$Q$2)/$Q$2))</f>
        <v>9483.53210237663</v>
      </c>
      <c r="J56" s="15" t="n">
        <f aca="false">I56*(1+IF(J$3&lt;=$O$2,$D56,$D56-($D56-$I$49)*MIN(J$3-$O$2,$Q$2)/$Q$2))</f>
        <v>9814.6022080706</v>
      </c>
      <c r="K56" s="15" t="n">
        <f aca="false">J56*(1+IF(K$3&lt;=$O$2,$D56,$D56-($D56-$I$49)*MIN(K$3-$O$2,$Q$2)/$Q$2))</f>
        <v>10116.4748354853</v>
      </c>
      <c r="L56" s="15" t="n">
        <f aca="false">K56*(1+IF(L$3&lt;=$O$2,$D56,$D56-($D56-$I$49)*MIN(L$3-$O$2,$Q$2)/$Q$2))</f>
        <v>10385.6236484834</v>
      </c>
      <c r="M56" s="15" t="n">
        <f aca="false">L56*(1+IF(M$3&lt;=$O$2,$D56,$D56-($D56-$I$49)*MIN(M$3-$O$2,$Q$2)/$Q$2))</f>
        <v>10618.806863451</v>
      </c>
      <c r="N56" s="15" t="n">
        <f aca="false">M56*(1+IF(N$3&lt;=$O$2,$D56,$D56-($D56-$I$49)*MIN(N$3-$O$2,$Q$2)/$Q$2))</f>
        <v>10813.1310290521</v>
      </c>
      <c r="O56" s="15" t="n">
        <f aca="false">SUMPRODUCT(E56:N56,1/(1+$F$49)^$E$3:$N$3)*$E$2</f>
        <v>18612.462899742</v>
      </c>
      <c r="P56" s="15" t="n">
        <f aca="false">N56*$E$2*(1+$I$49)/($F$49-$I$49)/(1+$F$49)^$N$3</f>
        <v>29013.0804772935</v>
      </c>
      <c r="Q56" s="15" t="n">
        <f aca="false">O56+P56</f>
        <v>47625.5433770356</v>
      </c>
      <c r="R56" s="15" t="n">
        <f aca="false">Q56-$G$2+$I$2</f>
        <v>45108.5433770356</v>
      </c>
      <c r="S56" s="42" t="n">
        <f aca="false">R56/$K$2</f>
        <v>104.12387095941</v>
      </c>
      <c r="T56" s="43" t="n">
        <f aca="false">S56-$M$2</f>
        <v>-1.13442736476718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0.0390625</v>
      </c>
      <c r="C57" s="25" t="n">
        <f aca="false">IF(T56&gt;0,D56,C56)</f>
        <v>0.0625</v>
      </c>
      <c r="D57" s="41" t="n">
        <f aca="false">(B57+C57)/2</f>
        <v>0.05078125</v>
      </c>
      <c r="E57" s="15" t="n">
        <f aca="false">$C$2*(1+IF(E$3&lt;=$O$2,$D57,$D57-($D57-$I$49)*MIN(E$3-$O$2,$Q$2)/$Q$2))</f>
        <v>8227.6171875</v>
      </c>
      <c r="F57" s="15" t="n">
        <f aca="false">E57*(1+IF(F$3&lt;=$O$2,$D57,$D57-($D57-$I$49)*MIN(F$3-$O$2,$Q$2)/$Q$2))</f>
        <v>8645.42587280273</v>
      </c>
      <c r="G57" s="15" t="n">
        <f aca="false">F57*(1+IF(G$3&lt;=$O$2,$D57,$D57-($D57-$I$49)*MIN(G$3-$O$2,$Q$2)/$Q$2))</f>
        <v>9084.451405406</v>
      </c>
      <c r="H57" s="15" t="n">
        <f aca="false">G57*(1+IF(H$3&lt;=$O$2,$D57,$D57-($D57-$I$49)*MIN(H$3-$O$2,$Q$2)/$Q$2))</f>
        <v>9545.77120333677</v>
      </c>
      <c r="I57" s="15" t="n">
        <f aca="false">H57*(1+IF(I$3&lt;=$O$2,$D57,$D57-($D57-$I$49)*MIN(I$3-$O$2,$Q$2)/$Q$2))</f>
        <v>10030.5173972562</v>
      </c>
      <c r="J57" s="15" t="n">
        <f aca="false">I57*(1+IF(J$3&lt;=$O$2,$D57,$D57-($D57-$I$49)*MIN(J$3-$O$2,$Q$2)/$Q$2))</f>
        <v>10474.7188601937</v>
      </c>
      <c r="K57" s="15" t="n">
        <f aca="false">J57*(1+IF(K$3&lt;=$O$2,$D57,$D57-($D57-$I$49)*MIN(K$3-$O$2,$Q$2)/$Q$2))</f>
        <v>10870.5453925219</v>
      </c>
      <c r="L57" s="15" t="n">
        <f aca="false">K57*(1+IF(L$3&lt;=$O$2,$D57,$D57-($D57-$I$49)*MIN(L$3-$O$2,$Q$2)/$Q$2))</f>
        <v>11210.7119342173</v>
      </c>
      <c r="M57" s="15" t="n">
        <f aca="false">L57*(1+IF(M$3&lt;=$O$2,$D57,$D57-($D57-$I$49)*MIN(M$3-$O$2,$Q$2)/$Q$2))</f>
        <v>11488.6955500162</v>
      </c>
      <c r="N57" s="15" t="n">
        <f aca="false">M57*(1+IF(N$3&lt;=$O$2,$D57,$D57-($D57-$I$49)*MIN(N$3-$O$2,$Q$2)/$Q$2))</f>
        <v>11698.9386785815</v>
      </c>
      <c r="O57" s="15" t="n">
        <f aca="false">SUMPRODUCT(E57:N57,1/(1+$F$49)^$E$3:$N$3)*$E$2</f>
        <v>19602.2854821816</v>
      </c>
      <c r="P57" s="15" t="n">
        <f aca="false">N57*$E$2*(1+$I$49)/($F$49-$I$49)/(1+$F$49)^$N$3</f>
        <v>31389.8211784047</v>
      </c>
      <c r="Q57" s="15" t="n">
        <f aca="false">O57+P57</f>
        <v>50992.1066605863</v>
      </c>
      <c r="R57" s="15" t="n">
        <f aca="false">Q57-$G$2+$I$2</f>
        <v>48475.1066605863</v>
      </c>
      <c r="S57" s="42" t="n">
        <f aca="false">R57/$K$2</f>
        <v>111.894895574042</v>
      </c>
      <c r="T57" s="43" t="n">
        <f aca="false">S57-$M$2</f>
        <v>6.63659724986459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0.0390625</v>
      </c>
      <c r="C58" s="25" t="n">
        <f aca="false">IF(T57&gt;0,D57,C57)</f>
        <v>0.05078125</v>
      </c>
      <c r="D58" s="41" t="n">
        <f aca="false">(B58+C58)/2</f>
        <v>0.044921875</v>
      </c>
      <c r="E58" s="15" t="n">
        <f aca="false">$C$2*(1+IF(E$3&lt;=$O$2,$D58,$D58-($D58-$I$49)*MIN(E$3-$O$2,$Q$2)/$Q$2))</f>
        <v>8181.73828125</v>
      </c>
      <c r="F58" s="15" t="n">
        <f aca="false">E58*(1+IF(F$3&lt;=$O$2,$D58,$D58-($D58-$I$49)*MIN(F$3-$O$2,$Q$2)/$Q$2))</f>
        <v>8549.27730560303</v>
      </c>
      <c r="G58" s="15" t="n">
        <f aca="false">F58*(1+IF(G$3&lt;=$O$2,$D58,$D58-($D58-$I$49)*MIN(G$3-$O$2,$Q$2)/$Q$2))</f>
        <v>8933.32687206566</v>
      </c>
      <c r="H58" s="15" t="n">
        <f aca="false">G58*(1+IF(H$3&lt;=$O$2,$D58,$D58-($D58-$I$49)*MIN(H$3-$O$2,$Q$2)/$Q$2))</f>
        <v>9334.62866514674</v>
      </c>
      <c r="I58" s="15" t="n">
        <f aca="false">H58*(1+IF(I$3&lt;=$O$2,$D58,$D58-($D58-$I$49)*MIN(I$3-$O$2,$Q$2)/$Q$2))</f>
        <v>9753.95768721388</v>
      </c>
      <c r="J58" s="15" t="n">
        <f aca="false">I58*(1+IF(J$3&lt;=$O$2,$D58,$D58-($D58-$I$49)*MIN(J$3-$O$2,$Q$2)/$Q$2))</f>
        <v>10140.1900267333</v>
      </c>
      <c r="K58" s="15" t="n">
        <f aca="false">J58*(1+IF(K$3&lt;=$O$2,$D58,$D58-($D58-$I$49)*MIN(K$3-$O$2,$Q$2)/$Q$2))</f>
        <v>10487.7260270433</v>
      </c>
      <c r="L58" s="15" t="n">
        <f aca="false">K58*(1+IF(L$3&lt;=$O$2,$D58,$D58-($D58-$I$49)*MIN(L$3-$O$2,$Q$2)/$Q$2))</f>
        <v>10791.3325858687</v>
      </c>
      <c r="M58" s="15" t="n">
        <f aca="false">L58*(1+IF(M$3&lt;=$O$2,$D58,$D58-($D58-$I$49)*MIN(M$3-$O$2,$Q$2)/$Q$2))</f>
        <v>11046.271073627</v>
      </c>
      <c r="N58" s="15" t="n">
        <f aca="false">M58*(1+IF(N$3&lt;=$O$2,$D58,$D58-($D58-$I$49)*MIN(N$3-$O$2,$Q$2)/$Q$2))</f>
        <v>11248.4178342743</v>
      </c>
      <c r="O58" s="15" t="n">
        <f aca="false">SUMPRODUCT(E58:N58,1/(1+$F$49)^$E$3:$N$3)*$E$2</f>
        <v>19100.9331974892</v>
      </c>
      <c r="P58" s="15" t="n">
        <f aca="false">N58*$E$2*(1+$I$49)/($F$49-$I$49)/(1+$F$49)^$N$3</f>
        <v>30181.013343055</v>
      </c>
      <c r="Q58" s="15" t="n">
        <f aca="false">O58+P58</f>
        <v>49281.9465405442</v>
      </c>
      <c r="R58" s="15" t="n">
        <f aca="false">Q58-$G$2+$I$2</f>
        <v>46764.9465405442</v>
      </c>
      <c r="S58" s="42" t="n">
        <f aca="false">R58/$K$2</f>
        <v>107.94733978243</v>
      </c>
      <c r="T58" s="43" t="n">
        <f aca="false">S58-$M$2</f>
        <v>2.6890414582526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0.0390625</v>
      </c>
      <c r="C59" s="25" t="n">
        <f aca="false">IF(T58&gt;0,D58,C58)</f>
        <v>0.044921875</v>
      </c>
      <c r="D59" s="41" t="n">
        <f aca="false">(B59+C59)/2</f>
        <v>0.0419921875</v>
      </c>
      <c r="E59" s="15" t="n">
        <f aca="false">$C$2*(1+IF(E$3&lt;=$O$2,$D59,$D59-($D59-$I$49)*MIN(E$3-$O$2,$Q$2)/$Q$2))</f>
        <v>8158.798828125</v>
      </c>
      <c r="F59" s="15" t="n">
        <f aca="false">E59*(1+IF(F$3&lt;=$O$2,$D59,$D59-($D59-$I$49)*MIN(F$3-$O$2,$Q$2)/$Q$2))</f>
        <v>8501.40463829041</v>
      </c>
      <c r="G59" s="15" t="n">
        <f aca="false">F59*(1+IF(G$3&lt;=$O$2,$D59,$D59-($D59-$I$49)*MIN(G$3-$O$2,$Q$2)/$Q$2))</f>
        <v>8858.39721587487</v>
      </c>
      <c r="H59" s="15" t="n">
        <f aca="false">G59*(1+IF(H$3&lt;=$O$2,$D59,$D59-($D59-$I$49)*MIN(H$3-$O$2,$Q$2)/$Q$2))</f>
        <v>9230.38069271336</v>
      </c>
      <c r="I59" s="15" t="n">
        <f aca="false">H59*(1+IF(I$3&lt;=$O$2,$D59,$D59-($D59-$I$49)*MIN(I$3-$O$2,$Q$2)/$Q$2))</f>
        <v>9617.98456945816</v>
      </c>
      <c r="J59" s="15" t="n">
        <f aca="false">I59*(1+IF(J$3&lt;=$O$2,$D59,$D59-($D59-$I$49)*MIN(J$3-$O$2,$Q$2)/$Q$2))</f>
        <v>9976.29056211261</v>
      </c>
      <c r="K59" s="15" t="n">
        <f aca="false">J59*(1+IF(K$3&lt;=$O$2,$D59,$D59-($D59-$I$49)*MIN(K$3-$O$2,$Q$2)/$Q$2))</f>
        <v>10300.6727673305</v>
      </c>
      <c r="L59" s="15" t="n">
        <f aca="false">K59*(1+IF(L$3&lt;=$O$2,$D59,$D59-($D59-$I$49)*MIN(L$3-$O$2,$Q$2)/$Q$2))</f>
        <v>10586.7932672045</v>
      </c>
      <c r="M59" s="15" t="n">
        <f aca="false">L59*(1+IF(M$3&lt;=$O$2,$D59,$D59-($D59-$I$49)*MIN(M$3-$O$2,$Q$2)/$Q$2))</f>
        <v>10830.6964422165</v>
      </c>
      <c r="N59" s="15" t="n">
        <f aca="false">M59*(1+IF(N$3&lt;=$O$2,$D59,$D59-($D59-$I$49)*MIN(N$3-$O$2,$Q$2)/$Q$2))</f>
        <v>11028.898187109</v>
      </c>
      <c r="O59" s="15" t="n">
        <f aca="false">SUMPRODUCT(E59:N59,1/(1+$F$49)^$E$3:$N$3)*$E$2</f>
        <v>18855.1073032606</v>
      </c>
      <c r="P59" s="15" t="n">
        <f aca="false">N59*$E$2*(1+$I$49)/($F$49-$I$49)/(1+$F$49)^$N$3</f>
        <v>29592.0126944508</v>
      </c>
      <c r="Q59" s="15" t="n">
        <f aca="false">O59+P59</f>
        <v>48447.1199977114</v>
      </c>
      <c r="R59" s="15" t="n">
        <f aca="false">Q59-$G$2+$I$2</f>
        <v>45930.1199977114</v>
      </c>
      <c r="S59" s="42" t="n">
        <f aca="false">R59/$K$2</f>
        <v>106.020312999657</v>
      </c>
      <c r="T59" s="43" t="n">
        <f aca="false">S59-$M$2</f>
        <v>0.762014675479776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0.0390625</v>
      </c>
      <c r="C60" s="25" t="n">
        <f aca="false">IF(T59&gt;0,D59,C59)</f>
        <v>0.0419921875</v>
      </c>
      <c r="D60" s="41" t="n">
        <f aca="false">(B60+C60)/2</f>
        <v>0.04052734375</v>
      </c>
      <c r="E60" s="15" t="n">
        <f aca="false">$C$2*(1+IF(E$3&lt;=$O$2,$D60,$D60-($D60-$I$49)*MIN(E$3-$O$2,$Q$2)/$Q$2))</f>
        <v>8147.3291015625</v>
      </c>
      <c r="F60" s="15" t="n">
        <f aca="false">E60*(1+IF(F$3&lt;=$O$2,$D60,$D60-($D60-$I$49)*MIN(F$3-$O$2,$Q$2)/$Q$2))</f>
        <v>8477.5187087059</v>
      </c>
      <c r="G60" s="15" t="n">
        <f aca="false">F60*(1+IF(G$3&lt;=$O$2,$D60,$D60-($D60-$I$49)*MIN(G$3-$O$2,$Q$2)/$Q$2))</f>
        <v>8821.09002356068</v>
      </c>
      <c r="H60" s="15" t="n">
        <f aca="false">G60*(1+IF(H$3&lt;=$O$2,$D60,$D60-($D60-$I$49)*MIN(H$3-$O$2,$Q$2)/$Q$2))</f>
        <v>9178.58537119522</v>
      </c>
      <c r="I60" s="15" t="n">
        <f aca="false">H60*(1+IF(I$3&lt;=$O$2,$D60,$D60-($D60-$I$49)*MIN(I$3-$O$2,$Q$2)/$Q$2))</f>
        <v>9550.56905567237</v>
      </c>
      <c r="J60" s="15" t="n">
        <f aca="false">I60*(1+IF(J$3&lt;=$O$2,$D60,$D60-($D60-$I$49)*MIN(J$3-$O$2,$Q$2)/$Q$2))</f>
        <v>9895.17149451801</v>
      </c>
      <c r="K60" s="15" t="n">
        <f aca="false">J60*(1+IF(K$3&lt;=$O$2,$D60,$D60-($D60-$I$49)*MIN(K$3-$O$2,$Q$2)/$Q$2))</f>
        <v>10208.219159832</v>
      </c>
      <c r="L60" s="15" t="n">
        <f aca="false">K60*(1+IF(L$3&lt;=$O$2,$D60,$D60-($D60-$I$49)*MIN(L$3-$O$2,$Q$2)/$Q$2))</f>
        <v>10485.7902089933</v>
      </c>
      <c r="M60" s="15" t="n">
        <f aca="false">L60*(1+IF(M$3&lt;=$O$2,$D60,$D60-($D60-$I$49)*MIN(M$3-$O$2,$Q$2)/$Q$2))</f>
        <v>10724.294422511</v>
      </c>
      <c r="N60" s="15" t="n">
        <f aca="false">M60*(1+IF(N$3&lt;=$O$2,$D60,$D60-($D60-$I$49)*MIN(N$3-$O$2,$Q$2)/$Q$2))</f>
        <v>10920.549010443</v>
      </c>
      <c r="O60" s="15" t="n">
        <f aca="false">SUMPRODUCT(E60:N60,1/(1+$F$49)^$E$3:$N$3)*$E$2</f>
        <v>18733.3898305752</v>
      </c>
      <c r="P60" s="15" t="n">
        <f aca="false">N60*$E$2*(1+$I$49)/($F$49-$I$49)/(1+$F$49)^$N$3</f>
        <v>29301.2973249787</v>
      </c>
      <c r="Q60" s="15" t="n">
        <f aca="false">O60+P60</f>
        <v>48034.6871555539</v>
      </c>
      <c r="R60" s="15" t="n">
        <f aca="false">Q60-$G$2+$I$2</f>
        <v>45517.6871555539</v>
      </c>
      <c r="S60" s="42" t="n">
        <f aca="false">R60/$K$2</f>
        <v>105.068295913286</v>
      </c>
      <c r="T60" s="43" t="n">
        <f aca="false">S60-$M$2</f>
        <v>-0.190002410890727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0.04052734375</v>
      </c>
      <c r="C61" s="25" t="n">
        <f aca="false">IF(T60&gt;0,D60,C60)</f>
        <v>0.0419921875</v>
      </c>
      <c r="D61" s="41" t="n">
        <f aca="false">(B61+C61)/2</f>
        <v>0.041259765625</v>
      </c>
      <c r="E61" s="15" t="n">
        <f aca="false">$C$2*(1+IF(E$3&lt;=$O$2,$D61,$D61-($D61-$I$49)*MIN(E$3-$O$2,$Q$2)/$Q$2))</f>
        <v>8153.06396484375</v>
      </c>
      <c r="F61" s="15" t="n">
        <f aca="false">E61*(1+IF(F$3&lt;=$O$2,$D61,$D61-($D61-$I$49)*MIN(F$3-$O$2,$Q$2)/$Q$2))</f>
        <v>8489.45747315884</v>
      </c>
      <c r="G61" s="15" t="n">
        <f aca="false">F61*(1+IF(G$3&lt;=$O$2,$D61,$D61-($D61-$I$49)*MIN(G$3-$O$2,$Q$2)/$Q$2))</f>
        <v>8839.73049878478</v>
      </c>
      <c r="H61" s="15" t="n">
        <f aca="false">G61*(1+IF(H$3&lt;=$O$2,$D61,$D61-($D61-$I$49)*MIN(H$3-$O$2,$Q$2)/$Q$2))</f>
        <v>9204.4557073528</v>
      </c>
      <c r="I61" s="15" t="n">
        <f aca="false">H61*(1+IF(I$3&lt;=$O$2,$D61,$D61-($D61-$I$49)*MIN(I$3-$O$2,$Q$2)/$Q$2))</f>
        <v>9584.22939254387</v>
      </c>
      <c r="J61" s="15" t="n">
        <f aca="false">I61*(1+IF(J$3&lt;=$O$2,$D61,$D61-($D61-$I$49)*MIN(J$3-$O$2,$Q$2)/$Q$2))</f>
        <v>9935.66211886666</v>
      </c>
      <c r="K61" s="15" t="n">
        <f aca="false">J61*(1+IF(K$3&lt;=$O$2,$D61,$D61-($D61-$I$49)*MIN(K$3-$O$2,$Q$2)/$Q$2))</f>
        <v>10254.3570197889</v>
      </c>
      <c r="L61" s="15" t="n">
        <f aca="false">K61*(1+IF(L$3&lt;=$O$2,$D61,$D61-($D61-$I$49)*MIN(L$3-$O$2,$Q$2)/$Q$2))</f>
        <v>10536.1868067748</v>
      </c>
      <c r="M61" s="15" t="n">
        <f aca="false">L61*(1+IF(M$3&lt;=$O$2,$D61,$D61-($D61-$I$49)*MIN(M$3-$O$2,$Q$2)/$Q$2))</f>
        <v>10777.3807012718</v>
      </c>
      <c r="N61" s="15" t="n">
        <f aca="false">M61*(1+IF(N$3&lt;=$O$2,$D61,$D61-($D61-$I$49)*MIN(N$3-$O$2,$Q$2)/$Q$2))</f>
        <v>10974.6067681051</v>
      </c>
      <c r="O61" s="15" t="n">
        <f aca="false">SUMPRODUCT(E61:N61,1/(1+$F$49)^$E$3:$N$3)*$E$2</f>
        <v>18794.149448257</v>
      </c>
      <c r="P61" s="15" t="n">
        <f aca="false">N61*$E$2*(1+$I$49)/($F$49-$I$49)/(1+$F$49)^$N$3</f>
        <v>29446.3415373589</v>
      </c>
      <c r="Q61" s="15" t="n">
        <f aca="false">O61+P61</f>
        <v>48240.4909856158</v>
      </c>
      <c r="R61" s="15" t="n">
        <f aca="false">Q61-$G$2+$I$2</f>
        <v>45723.4909856158</v>
      </c>
      <c r="S61" s="42" t="n">
        <f aca="false">R61/$K$2</f>
        <v>105.543352074271</v>
      </c>
      <c r="T61" s="43" t="n">
        <f aca="false">S61-$M$2</f>
        <v>0.285053750094235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0.04052734375</v>
      </c>
      <c r="C62" s="25" t="n">
        <f aca="false">IF(T61&gt;0,D61,C61)</f>
        <v>0.041259765625</v>
      </c>
      <c r="D62" s="41" t="n">
        <f aca="false">(B62+C62)/2</f>
        <v>0.0408935546875</v>
      </c>
      <c r="E62" s="15" t="n">
        <f aca="false">$C$2*(1+IF(E$3&lt;=$O$2,$D62,$D62-($D62-$I$49)*MIN(E$3-$O$2,$Q$2)/$Q$2))</f>
        <v>8150.19653320313</v>
      </c>
      <c r="F62" s="15" t="n">
        <f aca="false">E62*(1+IF(F$3&lt;=$O$2,$D62,$D62-($D62-$I$49)*MIN(F$3-$O$2,$Q$2)/$Q$2))</f>
        <v>8483.48704084754</v>
      </c>
      <c r="G62" s="15" t="n">
        <f aca="false">F62*(1+IF(G$3&lt;=$O$2,$D62,$D62-($D62-$I$49)*MIN(G$3-$O$2,$Q$2)/$Q$2))</f>
        <v>8830.40698209314</v>
      </c>
      <c r="H62" s="15" t="n">
        <f aca="false">G62*(1+IF(H$3&lt;=$O$2,$D62,$D62-($D62-$I$49)*MIN(H$3-$O$2,$Q$2)/$Q$2))</f>
        <v>9191.51371292824</v>
      </c>
      <c r="I62" s="15" t="n">
        <f aca="false">H62*(1+IF(I$3&lt;=$O$2,$D62,$D62-($D62-$I$49)*MIN(I$3-$O$2,$Q$2)/$Q$2))</f>
        <v>9567.38738160878</v>
      </c>
      <c r="J62" s="15" t="n">
        <f aca="false">I62*(1+IF(J$3&lt;=$O$2,$D62,$D62-($D62-$I$49)*MIN(J$3-$O$2,$Q$2)/$Q$2))</f>
        <v>9915.39960271052</v>
      </c>
      <c r="K62" s="15" t="n">
        <f aca="false">J62*(1+IF(K$3&lt;=$O$2,$D62,$D62-($D62-$I$49)*MIN(K$3-$O$2,$Q$2)/$Q$2))</f>
        <v>10231.2658893435</v>
      </c>
      <c r="L62" s="15" t="n">
        <f aca="false">K62*(1+IF(L$3&lt;=$O$2,$D62,$D62-($D62-$I$49)*MIN(L$3-$O$2,$Q$2)/$Q$2))</f>
        <v>10510.9623212758</v>
      </c>
      <c r="M62" s="15" t="n">
        <f aca="false">L62*(1+IF(M$3&lt;=$O$2,$D62,$D62-($D62-$I$49)*MIN(M$3-$O$2,$Q$2)/$Q$2))</f>
        <v>10750.8089321599</v>
      </c>
      <c r="N62" s="15" t="n">
        <f aca="false">M62*(1+IF(N$3&lt;=$O$2,$D62,$D62-($D62-$I$49)*MIN(N$3-$O$2,$Q$2)/$Q$2))</f>
        <v>10947.5487356184</v>
      </c>
      <c r="O62" s="15" t="n">
        <f aca="false">SUMPRODUCT(E62:N62,1/(1+$F$49)^$E$3:$N$3)*$E$2</f>
        <v>18763.7448974292</v>
      </c>
      <c r="P62" s="15" t="n">
        <f aca="false">N62*$E$2*(1+$I$49)/($F$49-$I$49)/(1+$F$49)^$N$3</f>
        <v>29373.7412080017</v>
      </c>
      <c r="Q62" s="15" t="n">
        <f aca="false">O62+P62</f>
        <v>48137.4861054309</v>
      </c>
      <c r="R62" s="15" t="n">
        <f aca="false">Q62-$G$2+$I$2</f>
        <v>45620.4861054309</v>
      </c>
      <c r="S62" s="42" t="n">
        <f aca="false">R62/$K$2</f>
        <v>105.305586319724</v>
      </c>
      <c r="T62" s="43" t="n">
        <f aca="false">S62-$M$2</f>
        <v>0.0472879955470091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0.04052734375</v>
      </c>
      <c r="C63" s="25" t="n">
        <f aca="false">IF(T62&gt;0,D62,C62)</f>
        <v>0.0408935546875</v>
      </c>
      <c r="D63" s="41" t="n">
        <f aca="false">(B63+C63)/2</f>
        <v>0.04071044921875</v>
      </c>
      <c r="E63" s="15" t="n">
        <f aca="false">$C$2*(1+IF(E$3&lt;=$O$2,$D63,$D63-($D63-$I$49)*MIN(E$3-$O$2,$Q$2)/$Q$2))</f>
        <v>8148.76281738281</v>
      </c>
      <c r="F63" s="15" t="n">
        <f aca="false">E63*(1+IF(F$3&lt;=$O$2,$D63,$D63-($D63-$I$49)*MIN(F$3-$O$2,$Q$2)/$Q$2))</f>
        <v>8480.50261225551</v>
      </c>
      <c r="G63" s="15" t="n">
        <f aca="false">F63*(1+IF(G$3&lt;=$O$2,$D63,$D63-($D63-$I$49)*MIN(G$3-$O$2,$Q$2)/$Q$2))</f>
        <v>8825.74768320122</v>
      </c>
      <c r="H63" s="15" t="n">
        <f aca="false">G63*(1+IF(H$3&lt;=$O$2,$D63,$D63-($D63-$I$49)*MIN(H$3-$O$2,$Q$2)/$Q$2))</f>
        <v>9185.04783607568</v>
      </c>
      <c r="I63" s="15" t="n">
        <f aca="false">H63*(1+IF(I$3&lt;=$O$2,$D63,$D63-($D63-$I$49)*MIN(I$3-$O$2,$Q$2)/$Q$2))</f>
        <v>9558.97525957803</v>
      </c>
      <c r="J63" s="15" t="n">
        <f aca="false">I63*(1+IF(J$3&lt;=$O$2,$D63,$D63-($D63-$I$49)*MIN(J$3-$O$2,$Q$2)/$Q$2))</f>
        <v>9905.28125053876</v>
      </c>
      <c r="K63" s="15" t="n">
        <f aca="false">J63*(1+IF(K$3&lt;=$O$2,$D63,$D63-($D63-$I$49)*MIN(K$3-$O$2,$Q$2)/$Q$2))</f>
        <v>10219.7369789012</v>
      </c>
      <c r="L63" s="15" t="n">
        <f aca="false">K63*(1+IF(L$3&lt;=$O$2,$D63,$D63-($D63-$I$49)*MIN(L$3-$O$2,$Q$2)/$Q$2))</f>
        <v>10498.3697242529</v>
      </c>
      <c r="M63" s="15" t="n">
        <f aca="false">L63*(1+IF(M$3&lt;=$O$2,$D63,$D63-($D63-$I$49)*MIN(M$3-$O$2,$Q$2)/$Q$2))</f>
        <v>10737.5445265238</v>
      </c>
      <c r="N63" s="15" t="n">
        <f aca="false">M63*(1+IF(N$3&lt;=$O$2,$D63,$D63-($D63-$I$49)*MIN(N$3-$O$2,$Q$2)/$Q$2))</f>
        <v>10934.0415913592</v>
      </c>
      <c r="O63" s="15" t="n">
        <f aca="false">SUMPRODUCT(E63:N63,1/(1+$F$49)^$E$3:$N$3)*$E$2</f>
        <v>18748.5611832098</v>
      </c>
      <c r="P63" s="15" t="n">
        <f aca="false">N63*$E$2*(1+$I$49)/($F$49-$I$49)/(1+$F$49)^$N$3</f>
        <v>29337.4997287891</v>
      </c>
      <c r="Q63" s="15" t="n">
        <f aca="false">O63+P63</f>
        <v>48086.0609119989</v>
      </c>
      <c r="R63" s="15" t="n">
        <f aca="false">Q63-$G$2+$I$2</f>
        <v>45569.0609119989</v>
      </c>
      <c r="S63" s="42" t="n">
        <f aca="false">R63/$K$2</f>
        <v>105.186881750609</v>
      </c>
      <c r="T63" s="43" t="n">
        <f aca="false">S63-$M$2</f>
        <v>-0.0714165735678733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0.04071044921875</v>
      </c>
      <c r="C64" s="25" t="n">
        <f aca="false">IF(T63&gt;0,D63,C63)</f>
        <v>0.0408935546875</v>
      </c>
      <c r="D64" s="41" t="n">
        <f aca="false">(B64+C64)/2</f>
        <v>0.040802001953125</v>
      </c>
      <c r="E64" s="15" t="n">
        <f aca="false">$C$2*(1+IF(E$3&lt;=$O$2,$D64,$D64-($D64-$I$49)*MIN(E$3-$O$2,$Q$2)/$Q$2))</f>
        <v>8149.47967529297</v>
      </c>
      <c r="F64" s="15" t="n">
        <f aca="false">E64*(1+IF(F$3&lt;=$O$2,$D64,$D64-($D64-$I$49)*MIN(F$3-$O$2,$Q$2)/$Q$2))</f>
        <v>8481.99476092123</v>
      </c>
      <c r="G64" s="15" t="n">
        <f aca="false">F64*(1+IF(G$3&lt;=$O$2,$D64,$D64-($D64-$I$49)*MIN(G$3-$O$2,$Q$2)/$Q$2))</f>
        <v>8828.07712772273</v>
      </c>
      <c r="H64" s="15" t="n">
        <f aca="false">G64*(1+IF(H$3&lt;=$O$2,$D64,$D64-($D64-$I$49)*MIN(H$3-$O$2,$Q$2)/$Q$2))</f>
        <v>9188.28034793041</v>
      </c>
      <c r="I64" s="15" t="n">
        <f aca="false">H64*(1+IF(I$3&lt;=$O$2,$D64,$D64-($D64-$I$49)*MIN(I$3-$O$2,$Q$2)/$Q$2))</f>
        <v>9563.18058063253</v>
      </c>
      <c r="J64" s="15" t="n">
        <f aca="false">I64*(1+IF(J$3&lt;=$O$2,$D64,$D64-($D64-$I$49)*MIN(J$3-$O$2,$Q$2)/$Q$2))</f>
        <v>9910.33935174089</v>
      </c>
      <c r="K64" s="15" t="n">
        <f aca="false">J64*(1+IF(K$3&lt;=$O$2,$D64,$D64-($D64-$I$49)*MIN(K$3-$O$2,$Q$2)/$Q$2))</f>
        <v>10225.5000471471</v>
      </c>
      <c r="L64" s="15" t="n">
        <f aca="false">K64*(1+IF(L$3&lt;=$O$2,$D64,$D64-($D64-$I$49)*MIN(L$3-$O$2,$Q$2)/$Q$2))</f>
        <v>10504.664386823</v>
      </c>
      <c r="M64" s="15" t="n">
        <f aca="false">L64*(1+IF(M$3&lt;=$O$2,$D64,$D64-($D64-$I$49)*MIN(M$3-$O$2,$Q$2)/$Q$2))</f>
        <v>10744.1749408117</v>
      </c>
      <c r="N64" s="15" t="n">
        <f aca="false">M64*(1+IF(N$3&lt;=$O$2,$D64,$D64-($D64-$I$49)*MIN(N$3-$O$2,$Q$2)/$Q$2))</f>
        <v>10940.7933422285</v>
      </c>
      <c r="O64" s="15" t="n">
        <f aca="false">SUMPRODUCT(E64:N64,1/(1+$F$49)^$E$3:$N$3)*$E$2</f>
        <v>18756.1514945336</v>
      </c>
      <c r="P64" s="15" t="n">
        <f aca="false">N64*$E$2*(1+$I$49)/($F$49-$I$49)/(1+$F$49)^$N$3</f>
        <v>29355.6155817099</v>
      </c>
      <c r="Q64" s="15" t="n">
        <f aca="false">O64+P64</f>
        <v>48111.7670762435</v>
      </c>
      <c r="R64" s="15" t="n">
        <f aca="false">Q64-$G$2+$I$2</f>
        <v>45594.7670762435</v>
      </c>
      <c r="S64" s="42" t="n">
        <f aca="false">R64/$K$2</f>
        <v>105.246219187119</v>
      </c>
      <c r="T64" s="43" t="n">
        <f aca="false">S64-$M$2</f>
        <v>-0.0120791370585351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0.040802001953125</v>
      </c>
      <c r="C65" s="25" t="n">
        <f aca="false">IF(T64&gt;0,D64,C64)</f>
        <v>0.0408935546875</v>
      </c>
      <c r="D65" s="41" t="n">
        <f aca="false">(B65+C65)/2</f>
        <v>0.0408477783203125</v>
      </c>
      <c r="E65" s="15" t="n">
        <f aca="false">$C$2*(1+IF(E$3&lt;=$O$2,$D65,$D65-($D65-$I$49)*MIN(E$3-$O$2,$Q$2)/$Q$2))</f>
        <v>8149.83810424805</v>
      </c>
      <c r="F65" s="15" t="n">
        <f aca="false">E65*(1+IF(F$3&lt;=$O$2,$D65,$D65-($D65-$I$49)*MIN(F$3-$O$2,$Q$2)/$Q$2))</f>
        <v>8482.74088447681</v>
      </c>
      <c r="G65" s="15" t="n">
        <f aca="false">F65*(1+IF(G$3&lt;=$O$2,$D65,$D65-($D65-$I$49)*MIN(G$3-$O$2,$Q$2)/$Q$2))</f>
        <v>8829.24200367457</v>
      </c>
      <c r="H65" s="15" t="n">
        <f aca="false">G65*(1+IF(H$3&lt;=$O$2,$D65,$D65-($D65-$I$49)*MIN(H$3-$O$2,$Q$2)/$Q$2))</f>
        <v>9189.89692377706</v>
      </c>
      <c r="I65" s="15" t="n">
        <f aca="false">H65*(1+IF(I$3&lt;=$O$2,$D65,$D65-($D65-$I$49)*MIN(I$3-$O$2,$Q$2)/$Q$2))</f>
        <v>9565.28379610603</v>
      </c>
      <c r="J65" s="15" t="n">
        <f aca="false">I65*(1+IF(J$3&lt;=$O$2,$D65,$D65-($D65-$I$49)*MIN(J$3-$O$2,$Q$2)/$Q$2))</f>
        <v>9912.86920845915</v>
      </c>
      <c r="K65" s="15" t="n">
        <f aca="false">J65*(1+IF(K$3&lt;=$O$2,$D65,$D65-($D65-$I$49)*MIN(K$3-$O$2,$Q$2)/$Q$2))</f>
        <v>10228.3826214323</v>
      </c>
      <c r="L65" s="15" t="n">
        <f aca="false">K65*(1+IF(L$3&lt;=$O$2,$D65,$D65-($D65-$I$49)*MIN(L$3-$O$2,$Q$2)/$Q$2))</f>
        <v>10507.8129449739</v>
      </c>
      <c r="M65" s="15" t="n">
        <f aca="false">L65*(1+IF(M$3&lt;=$O$2,$D65,$D65-($D65-$I$49)*MIN(M$3-$O$2,$Q$2)/$Q$2))</f>
        <v>10747.4914892498</v>
      </c>
      <c r="N65" s="15" t="n">
        <f aca="false">M65*(1+IF(N$3&lt;=$O$2,$D65,$D65-($D65-$I$49)*MIN(N$3-$O$2,$Q$2)/$Q$2))</f>
        <v>10944.1705835031</v>
      </c>
      <c r="O65" s="15" t="n">
        <f aca="false">SUMPRODUCT(E65:N65,1/(1+$F$49)^$E$3:$N$3)*$E$2</f>
        <v>18759.9478094614</v>
      </c>
      <c r="P65" s="15" t="n">
        <f aca="false">N65*$E$2*(1+$I$49)/($F$49-$I$49)/(1+$F$49)^$N$3</f>
        <v>29364.6771729018</v>
      </c>
      <c r="Q65" s="15" t="n">
        <f aca="false">O65+P65</f>
        <v>48124.6249823632</v>
      </c>
      <c r="R65" s="15" t="n">
        <f aca="false">Q65-$G$2+$I$2</f>
        <v>45607.6249823632</v>
      </c>
      <c r="S65" s="42" t="n">
        <f aca="false">R65/$K$2</f>
        <v>105.275899040587</v>
      </c>
      <c r="T65" s="43" t="n">
        <f aca="false">S65-$M$2</f>
        <v>0.0176007164101719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0.040802001953125</v>
      </c>
      <c r="C66" s="25" t="n">
        <f aca="false">IF(T65&gt;0,D65,C65)</f>
        <v>0.0408477783203125</v>
      </c>
      <c r="D66" s="41" t="n">
        <f aca="false">(B66+C66)/2</f>
        <v>0.0408248901367188</v>
      </c>
      <c r="E66" s="15" t="n">
        <f aca="false">$C$2*(1+IF(E$3&lt;=$O$2,$D66,$D66-($D66-$I$49)*MIN(E$3-$O$2,$Q$2)/$Q$2))</f>
        <v>8149.65888977051</v>
      </c>
      <c r="F66" s="15" t="n">
        <f aca="false">E66*(1+IF(F$3&lt;=$O$2,$D66,$D66-($D66-$I$49)*MIN(F$3-$O$2,$Q$2)/$Q$2))</f>
        <v>8482.36781859712</v>
      </c>
      <c r="G66" s="15" t="n">
        <f aca="false">F66*(1+IF(G$3&lt;=$O$2,$D66,$D66-($D66-$I$49)*MIN(G$3-$O$2,$Q$2)/$Q$2))</f>
        <v>8828.65955289059</v>
      </c>
      <c r="H66" s="15" t="n">
        <f aca="false">G66*(1+IF(H$3&lt;=$O$2,$D66,$D66-($D66-$I$49)*MIN(H$3-$O$2,$Q$2)/$Q$2))</f>
        <v>9189.08860919184</v>
      </c>
      <c r="I66" s="15" t="n">
        <f aca="false">H66*(1+IF(I$3&lt;=$O$2,$D66,$D66-($D66-$I$49)*MIN(I$3-$O$2,$Q$2)/$Q$2))</f>
        <v>9564.23214211867</v>
      </c>
      <c r="J66" s="15" t="n">
        <f aca="false">I66*(1+IF(J$3&lt;=$O$2,$D66,$D66-($D66-$I$49)*MIN(J$3-$O$2,$Q$2)/$Q$2))</f>
        <v>9911.60421291408</v>
      </c>
      <c r="K66" s="15" t="n">
        <f aca="false">J66*(1+IF(K$3&lt;=$O$2,$D66,$D66-($D66-$I$49)*MIN(K$3-$O$2,$Q$2)/$Q$2))</f>
        <v>10226.9412475951</v>
      </c>
      <c r="L66" s="15" t="n">
        <f aca="false">K66*(1+IF(L$3&lt;=$O$2,$D66,$D66-($D66-$I$49)*MIN(L$3-$O$2,$Q$2)/$Q$2))</f>
        <v>10506.2385636408</v>
      </c>
      <c r="M66" s="15" t="n">
        <f aca="false">L66*(1+IF(M$3&lt;=$O$2,$D66,$D66-($D66-$I$49)*MIN(M$3-$O$2,$Q$2)/$Q$2))</f>
        <v>10745.8331032347</v>
      </c>
      <c r="N66" s="15" t="n">
        <f aca="false">M66*(1+IF(N$3&lt;=$O$2,$D66,$D66-($D66-$I$49)*MIN(N$3-$O$2,$Q$2)/$Q$2))</f>
        <v>10942.4818490239</v>
      </c>
      <c r="O66" s="15" t="n">
        <f aca="false">SUMPRODUCT(E66:N66,1/(1+$F$49)^$E$3:$N$3)*$E$2</f>
        <v>18758.0495553767</v>
      </c>
      <c r="P66" s="15" t="n">
        <f aca="false">N66*$E$2*(1+$I$49)/($F$49-$I$49)/(1+$F$49)^$N$3</f>
        <v>29360.1460718527</v>
      </c>
      <c r="Q66" s="15" t="n">
        <f aca="false">O66+P66</f>
        <v>48118.1956272294</v>
      </c>
      <c r="R66" s="15" t="n">
        <f aca="false">Q66-$G$2+$I$2</f>
        <v>45601.1956272294</v>
      </c>
      <c r="S66" s="42" t="n">
        <f aca="false">R66/$K$2</f>
        <v>105.261058185747</v>
      </c>
      <c r="T66" s="43" t="n">
        <f aca="false">S66-$M$2</f>
        <v>0.00275986157005548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0.040802001953125</v>
      </c>
      <c r="C67" s="25" t="n">
        <f aca="false">IF(T66&gt;0,D66,C66)</f>
        <v>0.0408248901367188</v>
      </c>
      <c r="D67" s="41" t="n">
        <f aca="false">(B67+C67)/2</f>
        <v>0.0408134460449219</v>
      </c>
      <c r="E67" s="15" t="n">
        <f aca="false">$C$2*(1+IF(E$3&lt;=$O$2,$D67,$D67-($D67-$I$49)*MIN(E$3-$O$2,$Q$2)/$Q$2))</f>
        <v>8149.56928253174</v>
      </c>
      <c r="F67" s="15" t="n">
        <f aca="false">E67*(1+IF(F$3&lt;=$O$2,$D67,$D67-($D67-$I$49)*MIN(F$3-$O$2,$Q$2)/$Q$2))</f>
        <v>8482.1812887337</v>
      </c>
      <c r="G67" s="15" t="n">
        <f aca="false">F67*(1+IF(G$3&lt;=$O$2,$D67,$D67-($D67-$I$49)*MIN(G$3-$O$2,$Q$2)/$Q$2))</f>
        <v>8828.36833710468</v>
      </c>
      <c r="H67" s="15" t="n">
        <f aca="false">G67*(1+IF(H$3&lt;=$O$2,$D67,$D67-($D67-$I$49)*MIN(H$3-$O$2,$Q$2)/$Q$2))</f>
        <v>9188.6844718958</v>
      </c>
      <c r="I67" s="15" t="n">
        <f aca="false">H67*(1+IF(I$3&lt;=$O$2,$D67,$D67-($D67-$I$49)*MIN(I$3-$O$2,$Q$2)/$Q$2))</f>
        <v>9563.70634981333</v>
      </c>
      <c r="J67" s="15" t="n">
        <f aca="false">I67*(1+IF(J$3&lt;=$O$2,$D67,$D67-($D67-$I$49)*MIN(J$3-$O$2,$Q$2)/$Q$2))</f>
        <v>9910.97176553171</v>
      </c>
      <c r="K67" s="15" t="n">
        <f aca="false">J67*(1+IF(K$3&lt;=$O$2,$D67,$D67-($D67-$I$49)*MIN(K$3-$O$2,$Q$2)/$Q$2))</f>
        <v>10226.2206256986</v>
      </c>
      <c r="L67" s="15" t="n">
        <f aca="false">K67*(1+IF(L$3&lt;=$O$2,$D67,$D67-($D67-$I$49)*MIN(L$3-$O$2,$Q$2)/$Q$2))</f>
        <v>10505.4514496689</v>
      </c>
      <c r="M67" s="15" t="n">
        <f aca="false">L67*(1+IF(M$3&lt;=$O$2,$D67,$D67-($D67-$I$49)*MIN(M$3-$O$2,$Q$2)/$Q$2))</f>
        <v>10745.0039940758</v>
      </c>
      <c r="N67" s="15" t="n">
        <f aca="false">M67*(1+IF(N$3&lt;=$O$2,$D67,$D67-($D67-$I$49)*MIN(N$3-$O$2,$Q$2)/$Q$2))</f>
        <v>10941.6375671674</v>
      </c>
      <c r="O67" s="15" t="n">
        <f aca="false">SUMPRODUCT(E67:N67,1/(1+$F$49)^$E$3:$N$3)*$E$2</f>
        <v>18757.1005008011</v>
      </c>
      <c r="P67" s="15" t="n">
        <f aca="false">N67*$E$2*(1+$I$49)/($F$49-$I$49)/(1+$F$49)^$N$3</f>
        <v>29357.8807504224</v>
      </c>
      <c r="Q67" s="15" t="n">
        <f aca="false">O67+P67</f>
        <v>48114.9812512235</v>
      </c>
      <c r="R67" s="15" t="n">
        <f aca="false">Q67-$G$2+$I$2</f>
        <v>45597.9812512235</v>
      </c>
      <c r="S67" s="42" t="n">
        <f aca="false">R67/$K$2</f>
        <v>105.253638454419</v>
      </c>
      <c r="T67" s="43" t="n">
        <f aca="false">S67-$M$2</f>
        <v>-0.00465986975781618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0.0408134460449219</v>
      </c>
      <c r="C68" s="25" t="n">
        <f aca="false">IF(T67&gt;0,D67,C67)</f>
        <v>0.0408248901367188</v>
      </c>
      <c r="D68" s="41" t="n">
        <f aca="false">(B68+C68)/2</f>
        <v>0.0408191680908203</v>
      </c>
      <c r="E68" s="15" t="n">
        <f aca="false">$C$2*(1+IF(E$3&lt;=$O$2,$D68,$D68-($D68-$I$49)*MIN(E$3-$O$2,$Q$2)/$Q$2))</f>
        <v>8149.61408615112</v>
      </c>
      <c r="F68" s="15" t="n">
        <f aca="false">E68*(1+IF(F$3&lt;=$O$2,$D68,$D68-($D68-$I$49)*MIN(F$3-$O$2,$Q$2)/$Q$2))</f>
        <v>8482.27455340904</v>
      </c>
      <c r="G68" s="15" t="n">
        <f aca="false">F68*(1+IF(G$3&lt;=$O$2,$D68,$D68-($D68-$I$49)*MIN(G$3-$O$2,$Q$2)/$Q$2))</f>
        <v>8828.51394419714</v>
      </c>
      <c r="H68" s="15" t="n">
        <f aca="false">G68*(1+IF(H$3&lt;=$O$2,$D68,$D68-($D68-$I$49)*MIN(H$3-$O$2,$Q$2)/$Q$2))</f>
        <v>9188.88653887747</v>
      </c>
      <c r="I68" s="15" t="n">
        <f aca="false">H68*(1+IF(I$3&lt;=$O$2,$D68,$D68-($D68-$I$49)*MIN(I$3-$O$2,$Q$2)/$Q$2))</f>
        <v>9563.96924307538</v>
      </c>
      <c r="J68" s="15" t="n">
        <f aca="false">I68*(1+IF(J$3&lt;=$O$2,$D68,$D68-($D68-$I$49)*MIN(J$3-$O$2,$Q$2)/$Q$2))</f>
        <v>9911.28798502386</v>
      </c>
      <c r="K68" s="15" t="n">
        <f aca="false">J68*(1+IF(K$3&lt;=$O$2,$D68,$D68-($D68-$I$49)*MIN(K$3-$O$2,$Q$2)/$Q$2))</f>
        <v>10226.5809312286</v>
      </c>
      <c r="L68" s="15" t="n">
        <f aca="false">K68*(1+IF(L$3&lt;=$O$2,$D68,$D68-($D68-$I$49)*MIN(L$3-$O$2,$Q$2)/$Q$2))</f>
        <v>10505.8450002639</v>
      </c>
      <c r="M68" s="15" t="n">
        <f aca="false">L68*(1+IF(M$3&lt;=$O$2,$D68,$D68-($D68-$I$49)*MIN(M$3-$O$2,$Q$2)/$Q$2))</f>
        <v>10745.4185416682</v>
      </c>
      <c r="N68" s="15" t="n">
        <f aca="false">M68*(1+IF(N$3&lt;=$O$2,$D68,$D68-($D68-$I$49)*MIN(N$3-$O$2,$Q$2)/$Q$2))</f>
        <v>10942.0597009807</v>
      </c>
      <c r="O68" s="15" t="n">
        <f aca="false">SUMPRODUCT(E68:N68,1/(1+$F$49)^$E$3:$N$3)*$E$2</f>
        <v>18757.5750220503</v>
      </c>
      <c r="P68" s="15" t="n">
        <f aca="false">N68*$E$2*(1+$I$49)/($F$49-$I$49)/(1+$F$49)^$N$3</f>
        <v>29359.0133920473</v>
      </c>
      <c r="Q68" s="15" t="n">
        <f aca="false">O68+P68</f>
        <v>48116.5884140975</v>
      </c>
      <c r="R68" s="15" t="n">
        <f aca="false">Q68-$G$2+$I$2</f>
        <v>45599.5884140975</v>
      </c>
      <c r="S68" s="42" t="n">
        <f aca="false">R68/$K$2</f>
        <v>105.257348262078</v>
      </c>
      <c r="T68" s="43" t="n">
        <f aca="false">S68-$M$2</f>
        <v>-0.000950062098880267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0.0408191680908203</v>
      </c>
      <c r="C69" s="25" t="n">
        <f aca="false">IF(T68&gt;0,D68,C68)</f>
        <v>0.0408248901367188</v>
      </c>
      <c r="D69" s="41" t="n">
        <f aca="false">(B69+C69)/2</f>
        <v>0.0408220291137695</v>
      </c>
      <c r="E69" s="15" t="n">
        <f aca="false">$C$2*(1+IF(E$3&lt;=$O$2,$D69,$D69-($D69-$I$49)*MIN(E$3-$O$2,$Q$2)/$Q$2))</f>
        <v>8149.63648796082</v>
      </c>
      <c r="F69" s="15" t="n">
        <f aca="false">E69*(1+IF(F$3&lt;=$O$2,$D69,$D69-($D69-$I$49)*MIN(F$3-$O$2,$Q$2)/$Q$2))</f>
        <v>8482.32118593899</v>
      </c>
      <c r="G69" s="15" t="n">
        <f aca="false">F69*(1+IF(G$3&lt;=$O$2,$D69,$D69-($D69-$I$49)*MIN(G$3-$O$2,$Q$2)/$Q$2))</f>
        <v>8828.58674834374</v>
      </c>
      <c r="H69" s="15" t="n">
        <f aca="false">G69*(1+IF(H$3&lt;=$O$2,$D69,$D69-($D69-$I$49)*MIN(H$3-$O$2,$Q$2)/$Q$2))</f>
        <v>9188.98757361806</v>
      </c>
      <c r="I69" s="15" t="n">
        <f aca="false">H69*(1+IF(I$3&lt;=$O$2,$D69,$D69-($D69-$I$49)*MIN(I$3-$O$2,$Q$2)/$Q$2))</f>
        <v>9564.10069187437</v>
      </c>
      <c r="J69" s="15" t="n">
        <f aca="false">I69*(1+IF(J$3&lt;=$O$2,$D69,$D69-($D69-$I$49)*MIN(J$3-$O$2,$Q$2)/$Q$2))</f>
        <v>9911.4460979192</v>
      </c>
      <c r="K69" s="15" t="n">
        <f aca="false">J69*(1+IF(K$3&lt;=$O$2,$D69,$D69-($D69-$I$49)*MIN(K$3-$O$2,$Q$2)/$Q$2))</f>
        <v>10226.7610880573</v>
      </c>
      <c r="L69" s="15" t="n">
        <f aca="false">K69*(1+IF(L$3&lt;=$O$2,$D69,$D69-($D69-$I$49)*MIN(L$3-$O$2,$Q$2)/$Q$2))</f>
        <v>10506.0417803546</v>
      </c>
      <c r="M69" s="15" t="n">
        <f aca="false">L69*(1+IF(M$3&lt;=$O$2,$D69,$D69-($D69-$I$49)*MIN(M$3-$O$2,$Q$2)/$Q$2))</f>
        <v>10745.6258207046</v>
      </c>
      <c r="N69" s="15" t="n">
        <f aca="false">M69*(1+IF(N$3&lt;=$O$2,$D69,$D69-($D69-$I$49)*MIN(N$3-$O$2,$Q$2)/$Q$2))</f>
        <v>10942.2707732235</v>
      </c>
      <c r="O69" s="15" t="n">
        <f aca="false">SUMPRODUCT(E69:N69,1/(1+$F$49)^$E$3:$N$3)*$E$2</f>
        <v>18757.8122872038</v>
      </c>
      <c r="P69" s="15" t="n">
        <f aca="false">N69*$E$2*(1+$I$49)/($F$49-$I$49)/(1+$F$49)^$N$3</f>
        <v>29359.5797271773</v>
      </c>
      <c r="Q69" s="15" t="n">
        <f aca="false">O69+P69</f>
        <v>48117.3920143811</v>
      </c>
      <c r="R69" s="15" t="n">
        <f aca="false">Q69-$G$2+$I$2</f>
        <v>45600.3920143811</v>
      </c>
      <c r="S69" s="42" t="n">
        <f aca="false">R69/$K$2</f>
        <v>105.259203209411</v>
      </c>
      <c r="T69" s="43" t="n">
        <f aca="false">S69-$M$2</f>
        <v>0.0009048852341067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0.0408191680908203</v>
      </c>
      <c r="C70" s="25" t="n">
        <f aca="false">IF(T69&gt;0,D69,C69)</f>
        <v>0.0408220291137695</v>
      </c>
      <c r="D70" s="41" t="n">
        <f aca="false">(B70+C70)/2</f>
        <v>0.0408205986022949</v>
      </c>
      <c r="E70" s="15" t="n">
        <f aca="false">$C$2*(1+IF(E$3&lt;=$O$2,$D70,$D70-($D70-$I$49)*MIN(E$3-$O$2,$Q$2)/$Q$2))</f>
        <v>8149.62528705597</v>
      </c>
      <c r="F70" s="15" t="n">
        <f aca="false">E70*(1+IF(F$3&lt;=$O$2,$D70,$D70-($D70-$I$49)*MIN(F$3-$O$2,$Q$2)/$Q$2))</f>
        <v>8482.29786965799</v>
      </c>
      <c r="G70" s="15" t="n">
        <f aca="false">F70*(1+IF(G$3&lt;=$O$2,$D70,$D70-($D70-$I$49)*MIN(G$3-$O$2,$Q$2)/$Q$2))</f>
        <v>8828.55034622041</v>
      </c>
      <c r="H70" s="15" t="n">
        <f aca="false">G70*(1+IF(H$3&lt;=$O$2,$D70,$D70-($D70-$I$49)*MIN(H$3-$O$2,$Q$2)/$Q$2))</f>
        <v>9188.93705614362</v>
      </c>
      <c r="I70" s="15" t="n">
        <f aca="false">H70*(1+IF(I$3&lt;=$O$2,$D70,$D70-($D70-$I$49)*MIN(I$3-$O$2,$Q$2)/$Q$2))</f>
        <v>9564.03496729421</v>
      </c>
      <c r="J70" s="15" t="n">
        <f aca="false">I70*(1+IF(J$3&lt;=$O$2,$D70,$D70-($D70-$I$49)*MIN(J$3-$O$2,$Q$2)/$Q$2))</f>
        <v>9911.36704120909</v>
      </c>
      <c r="K70" s="15" t="n">
        <f aca="false">J70*(1+IF(K$3&lt;=$O$2,$D70,$D70-($D70-$I$49)*MIN(K$3-$O$2,$Q$2)/$Q$2))</f>
        <v>10226.6710093043</v>
      </c>
      <c r="L70" s="15" t="n">
        <f aca="false">K70*(1+IF(L$3&lt;=$O$2,$D70,$D70-($D70-$I$49)*MIN(L$3-$O$2,$Q$2)/$Q$2))</f>
        <v>10505.9433899098</v>
      </c>
      <c r="M70" s="15" t="n">
        <f aca="false">L70*(1+IF(M$3&lt;=$O$2,$D70,$D70-($D70-$I$49)*MIN(M$3-$O$2,$Q$2)/$Q$2))</f>
        <v>10745.5221807497</v>
      </c>
      <c r="N70" s="15" t="n">
        <f aca="false">M70*(1+IF(N$3&lt;=$O$2,$D70,$D70-($D70-$I$49)*MIN(N$3-$O$2,$Q$2)/$Q$2))</f>
        <v>10942.1652366574</v>
      </c>
      <c r="O70" s="15" t="n">
        <f aca="false">SUMPRODUCT(E70:N70,1/(1+$F$49)^$E$3:$N$3)*$E$2</f>
        <v>18757.6936542496</v>
      </c>
      <c r="P70" s="15" t="n">
        <f aca="false">N70*$E$2*(1+$I$49)/($F$49-$I$49)/(1+$F$49)^$N$3</f>
        <v>29359.2965584192</v>
      </c>
      <c r="Q70" s="15" t="n">
        <f aca="false">O70+P70</f>
        <v>48116.9902126688</v>
      </c>
      <c r="R70" s="15" t="n">
        <f aca="false">Q70-$G$2+$I$2</f>
        <v>45599.9902126688</v>
      </c>
      <c r="S70" s="42" t="n">
        <f aca="false">R70/$K$2</f>
        <v>105.258275732119</v>
      </c>
      <c r="T70" s="43" t="n">
        <f aca="false">S70-$M$2</f>
        <v>-2.25920576752969E-005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0.0408205986022949</v>
      </c>
      <c r="C71" s="25" t="n">
        <f aca="false">IF(T70&gt;0,D70,C70)</f>
        <v>0.0408220291137695</v>
      </c>
      <c r="D71" s="41" t="n">
        <f aca="false">(B71+C71)/2</f>
        <v>0.0408213138580322</v>
      </c>
      <c r="E71" s="15" t="n">
        <f aca="false">$C$2*(1+IF(E$3&lt;=$O$2,$D71,$D71-($D71-$I$49)*MIN(E$3-$O$2,$Q$2)/$Q$2))</f>
        <v>8149.63088750839</v>
      </c>
      <c r="F71" s="15" t="n">
        <f aca="false">E71*(1+IF(F$3&lt;=$O$2,$D71,$D71-($D71-$I$49)*MIN(F$3-$O$2,$Q$2)/$Q$2))</f>
        <v>8482.30952779449</v>
      </c>
      <c r="G71" s="15" t="n">
        <f aca="false">F71*(1+IF(G$3&lt;=$O$2,$D71,$D71-($D71-$I$49)*MIN(G$3-$O$2,$Q$2)/$Q$2))</f>
        <v>8828.56854726956</v>
      </c>
      <c r="H71" s="15" t="n">
        <f aca="false">G71*(1+IF(H$3&lt;=$O$2,$D71,$D71-($D71-$I$49)*MIN(H$3-$O$2,$Q$2)/$Q$2))</f>
        <v>9188.96231485481</v>
      </c>
      <c r="I71" s="15" t="n">
        <f aca="false">H71*(1+IF(I$3&lt;=$O$2,$D71,$D71-($D71-$I$49)*MIN(I$3-$O$2,$Q$2)/$Q$2))</f>
        <v>9564.06782953912</v>
      </c>
      <c r="J71" s="15" t="n">
        <f aca="false">I71*(1+IF(J$3&lt;=$O$2,$D71,$D71-($D71-$I$49)*MIN(J$3-$O$2,$Q$2)/$Q$2))</f>
        <v>9911.40656949854</v>
      </c>
      <c r="K71" s="15" t="n">
        <f aca="false">J71*(1+IF(K$3&lt;=$O$2,$D71,$D71-($D71-$I$49)*MIN(K$3-$O$2,$Q$2)/$Q$2))</f>
        <v>10226.7160485961</v>
      </c>
      <c r="L71" s="15" t="n">
        <f aca="false">K71*(1+IF(L$3&lt;=$O$2,$D71,$D71-($D71-$I$49)*MIN(L$3-$O$2,$Q$2)/$Q$2))</f>
        <v>10505.9925850324</v>
      </c>
      <c r="M71" s="15" t="n">
        <f aca="false">L71*(1+IF(M$3&lt;=$O$2,$D71,$D71-($D71-$I$49)*MIN(M$3-$O$2,$Q$2)/$Q$2))</f>
        <v>10745.574000618</v>
      </c>
      <c r="N71" s="15" t="n">
        <f aca="false">M71*(1+IF(N$3&lt;=$O$2,$D71,$D71-($D71-$I$49)*MIN(N$3-$O$2,$Q$2)/$Q$2))</f>
        <v>10942.2180048293</v>
      </c>
      <c r="O71" s="15" t="n">
        <f aca="false">SUMPRODUCT(E71:N71,1/(1+$F$49)^$E$3:$N$3)*$E$2</f>
        <v>18757.7529706324</v>
      </c>
      <c r="P71" s="15" t="n">
        <f aca="false">N71*$E$2*(1+$I$49)/($F$49-$I$49)/(1+$F$49)^$N$3</f>
        <v>29359.4381424999</v>
      </c>
      <c r="Q71" s="15" t="n">
        <f aca="false">O71+P71</f>
        <v>48117.1911131323</v>
      </c>
      <c r="R71" s="15" t="n">
        <f aca="false">Q71-$G$2+$I$2</f>
        <v>45600.1911131323</v>
      </c>
      <c r="S71" s="42" t="n">
        <f aca="false">R71/$K$2</f>
        <v>105.258739469859</v>
      </c>
      <c r="T71" s="43" t="n">
        <f aca="false">S71-$M$2</f>
        <v>0.000441145681890021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0.0408205986022949</v>
      </c>
      <c r="C72" s="25" t="n">
        <f aca="false">IF(T71&gt;0,D71,C71)</f>
        <v>0.0408213138580322</v>
      </c>
      <c r="D72" s="41" t="n">
        <f aca="false">(B72+C72)/2</f>
        <v>0.0408209562301636</v>
      </c>
      <c r="E72" s="15" t="n">
        <f aca="false">$C$2*(1+IF(E$3&lt;=$O$2,$D72,$D72-($D72-$I$49)*MIN(E$3-$O$2,$Q$2)/$Q$2))</f>
        <v>8149.62808728218</v>
      </c>
      <c r="F72" s="15" t="n">
        <f aca="false">E72*(1+IF(F$3&lt;=$O$2,$D72,$D72-($D72-$I$49)*MIN(F$3-$O$2,$Q$2)/$Q$2))</f>
        <v>8482.30369872524</v>
      </c>
      <c r="G72" s="15" t="n">
        <f aca="false">F72*(1+IF(G$3&lt;=$O$2,$D72,$D72-($D72-$I$49)*MIN(G$3-$O$2,$Q$2)/$Q$2))</f>
        <v>8828.55944674186</v>
      </c>
      <c r="H72" s="15" t="n">
        <f aca="false">G72*(1+IF(H$3&lt;=$O$2,$D72,$D72-($D72-$I$49)*MIN(H$3-$O$2,$Q$2)/$Q$2))</f>
        <v>9188.9496854927</v>
      </c>
      <c r="I72" s="15" t="n">
        <f aca="false">H72*(1+IF(I$3&lt;=$O$2,$D72,$D72-($D72-$I$49)*MIN(I$3-$O$2,$Q$2)/$Q$2))</f>
        <v>9564.05139840537</v>
      </c>
      <c r="J72" s="15" t="n">
        <f aca="false">I72*(1+IF(J$3&lt;=$O$2,$D72,$D72-($D72-$I$49)*MIN(J$3-$O$2,$Q$2)/$Q$2))</f>
        <v>9911.38680533741</v>
      </c>
      <c r="K72" s="15" t="n">
        <f aca="false">J72*(1+IF(K$3&lt;=$O$2,$D72,$D72-($D72-$I$49)*MIN(K$3-$O$2,$Q$2)/$Q$2))</f>
        <v>10226.693528929</v>
      </c>
      <c r="L72" s="15" t="n">
        <f aca="false">K72*(1+IF(L$3&lt;=$O$2,$D72,$D72-($D72-$I$49)*MIN(L$3-$O$2,$Q$2)/$Q$2))</f>
        <v>10505.9679874461</v>
      </c>
      <c r="M72" s="15" t="n">
        <f aca="false">L72*(1+IF(M$3&lt;=$O$2,$D72,$D72-($D72-$I$49)*MIN(M$3-$O$2,$Q$2)/$Q$2))</f>
        <v>10745.5480906566</v>
      </c>
      <c r="N72" s="15" t="n">
        <f aca="false">M72*(1+IF(N$3&lt;=$O$2,$D72,$D72-($D72-$I$49)*MIN(N$3-$O$2,$Q$2)/$Q$2))</f>
        <v>10942.1916207156</v>
      </c>
      <c r="O72" s="15" t="n">
        <f aca="false">SUMPRODUCT(E72:N72,1/(1+$F$49)^$E$3:$N$3)*$E$2</f>
        <v>18757.7233124174</v>
      </c>
      <c r="P72" s="15" t="n">
        <f aca="false">N72*$E$2*(1+$I$49)/($F$49-$I$49)/(1+$F$49)^$N$3</f>
        <v>29359.367350385</v>
      </c>
      <c r="Q72" s="15" t="n">
        <f aca="false">O72+P72</f>
        <v>48117.0906628024</v>
      </c>
      <c r="R72" s="15" t="n">
        <f aca="false">Q72-$G$2+$I$2</f>
        <v>45600.0906628024</v>
      </c>
      <c r="S72" s="42" t="n">
        <f aca="false">R72/$K$2</f>
        <v>105.258507600763</v>
      </c>
      <c r="T72" s="43" t="n">
        <f aca="false">S72-$M$2</f>
        <v>0.000209276585508178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0.0408205986022949</v>
      </c>
      <c r="C73" s="25" t="n">
        <f aca="false">IF(T72&gt;0,D72,C72)</f>
        <v>0.0408209562301636</v>
      </c>
      <c r="D73" s="41" t="n">
        <f aca="false">(B73+C73)/2</f>
        <v>0.0408207774162293</v>
      </c>
      <c r="E73" s="15" t="n">
        <f aca="false">$C$2*(1+IF(E$3&lt;=$O$2,$D73,$D73-($D73-$I$49)*MIN(E$3-$O$2,$Q$2)/$Q$2))</f>
        <v>8149.62668716908</v>
      </c>
      <c r="F73" s="15" t="n">
        <f aca="false">E73*(1+IF(F$3&lt;=$O$2,$D73,$D73-($D73-$I$49)*MIN(F$3-$O$2,$Q$2)/$Q$2))</f>
        <v>8482.30078419137</v>
      </c>
      <c r="G73" s="15" t="n">
        <f aca="false">F73*(1+IF(G$3&lt;=$O$2,$D73,$D73-($D73-$I$49)*MIN(G$3-$O$2,$Q$2)/$Q$2))</f>
        <v>8828.55489648035</v>
      </c>
      <c r="H73" s="15" t="n">
        <f aca="false">G73*(1+IF(H$3&lt;=$O$2,$D73,$D73-($D73-$I$49)*MIN(H$3-$O$2,$Q$2)/$Q$2))</f>
        <v>9188.94337081653</v>
      </c>
      <c r="I73" s="15" t="n">
        <f aca="false">H73*(1+IF(I$3&lt;=$O$2,$D73,$D73-($D73-$I$49)*MIN(I$3-$O$2,$Q$2)/$Q$2))</f>
        <v>9564.04318284697</v>
      </c>
      <c r="J73" s="15" t="n">
        <f aca="false">I73*(1+IF(J$3&lt;=$O$2,$D73,$D73-($D73-$I$49)*MIN(J$3-$O$2,$Q$2)/$Q$2))</f>
        <v>9911.37692326915</v>
      </c>
      <c r="K73" s="15" t="n">
        <f aca="false">J73*(1+IF(K$3&lt;=$O$2,$D73,$D73-($D73-$I$49)*MIN(K$3-$O$2,$Q$2)/$Q$2))</f>
        <v>10226.6822691114</v>
      </c>
      <c r="L73" s="15" t="n">
        <f aca="false">K73*(1+IF(L$3&lt;=$O$2,$D73,$D73-($D73-$I$49)*MIN(L$3-$O$2,$Q$2)/$Q$2))</f>
        <v>10505.9556886718</v>
      </c>
      <c r="M73" s="15" t="n">
        <f aca="false">L73*(1+IF(M$3&lt;=$O$2,$D73,$D73-($D73-$I$49)*MIN(M$3-$O$2,$Q$2)/$Q$2))</f>
        <v>10745.5351356963</v>
      </c>
      <c r="N73" s="15" t="n">
        <f aca="false">M73*(1+IF(N$3&lt;=$O$2,$D73,$D73-($D73-$I$49)*MIN(N$3-$O$2,$Q$2)/$Q$2))</f>
        <v>10942.1784286796</v>
      </c>
      <c r="O73" s="15" t="n">
        <f aca="false">SUMPRODUCT(E73:N73,1/(1+$F$49)^$E$3:$N$3)*$E$2</f>
        <v>18757.7084833276</v>
      </c>
      <c r="P73" s="15" t="n">
        <f aca="false">N73*$E$2*(1+$I$49)/($F$49-$I$49)/(1+$F$49)^$N$3</f>
        <v>29359.3319543834</v>
      </c>
      <c r="Q73" s="15" t="n">
        <f aca="false">O73+P73</f>
        <v>48117.040437711</v>
      </c>
      <c r="R73" s="15" t="n">
        <f aca="false">Q73-$G$2+$I$2</f>
        <v>45600.040437711</v>
      </c>
      <c r="S73" s="42" t="n">
        <f aca="false">R73/$K$2</f>
        <v>105.258391666384</v>
      </c>
      <c r="T73" s="43" t="n">
        <f aca="false">S73-$M$2</f>
        <v>9.33422072648682E-005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0.0408205986022949</v>
      </c>
      <c r="C74" s="25" t="n">
        <f aca="false">IF(T73&gt;0,D73,C73)</f>
        <v>0.0408207774162293</v>
      </c>
      <c r="D74" s="41" t="n">
        <f aca="false">(B74+C74)/2</f>
        <v>0.0408206880092621</v>
      </c>
      <c r="E74" s="15" t="n">
        <f aca="false">$C$2*(1+IF(E$3&lt;=$O$2,$D74,$D74-($D74-$I$49)*MIN(E$3-$O$2,$Q$2)/$Q$2))</f>
        <v>8149.62598711252</v>
      </c>
      <c r="F74" s="15" t="n">
        <f aca="false">E74*(1+IF(F$3&lt;=$O$2,$D74,$D74-($D74-$I$49)*MIN(F$3-$O$2,$Q$2)/$Q$2))</f>
        <v>8482.29932692462</v>
      </c>
      <c r="G74" s="15" t="n">
        <f aca="false">F74*(1+IF(G$3&lt;=$O$2,$D74,$D74-($D74-$I$49)*MIN(G$3-$O$2,$Q$2)/$Q$2))</f>
        <v>8828.55262135018</v>
      </c>
      <c r="H74" s="15" t="n">
        <f aca="false">G74*(1+IF(H$3&lt;=$O$2,$D74,$D74-($D74-$I$49)*MIN(H$3-$O$2,$Q$2)/$Q$2))</f>
        <v>9188.94021347967</v>
      </c>
      <c r="I74" s="15" t="n">
        <f aca="false">H74*(1+IF(I$3&lt;=$O$2,$D74,$D74-($D74-$I$49)*MIN(I$3-$O$2,$Q$2)/$Q$2))</f>
        <v>9564.03907506988</v>
      </c>
      <c r="J74" s="15" t="n">
        <f aca="false">I74*(1+IF(J$3&lt;=$O$2,$D74,$D74-($D74-$I$49)*MIN(J$3-$O$2,$Q$2)/$Q$2))</f>
        <v>9911.3719822381</v>
      </c>
      <c r="K74" s="15" t="n">
        <f aca="false">J74*(1+IF(K$3&lt;=$O$2,$D74,$D74-($D74-$I$49)*MIN(K$3-$O$2,$Q$2)/$Q$2))</f>
        <v>10226.6766392065</v>
      </c>
      <c r="L74" s="15" t="n">
        <f aca="false">K74*(1+IF(L$3&lt;=$O$2,$D74,$D74-($D74-$I$49)*MIN(L$3-$O$2,$Q$2)/$Q$2))</f>
        <v>10505.9495392892</v>
      </c>
      <c r="M74" s="15" t="n">
        <f aca="false">L74*(1+IF(M$3&lt;=$O$2,$D74,$D74-($D74-$I$49)*MIN(M$3-$O$2,$Q$2)/$Q$2))</f>
        <v>10745.5286582213</v>
      </c>
      <c r="N74" s="15" t="n">
        <f aca="false">M74*(1+IF(N$3&lt;=$O$2,$D74,$D74-($D74-$I$49)*MIN(N$3-$O$2,$Q$2)/$Q$2))</f>
        <v>10942.1718326668</v>
      </c>
      <c r="O74" s="15" t="n">
        <f aca="false">SUMPRODUCT(E74:N74,1/(1+$F$49)^$E$3:$N$3)*$E$2</f>
        <v>18757.7010687871</v>
      </c>
      <c r="P74" s="15" t="n">
        <f aca="false">N74*$E$2*(1+$I$49)/($F$49-$I$49)/(1+$F$49)^$N$3</f>
        <v>29359.3142563966</v>
      </c>
      <c r="Q74" s="15" t="n">
        <f aca="false">O74+P74</f>
        <v>48117.0153251838</v>
      </c>
      <c r="R74" s="15" t="n">
        <f aca="false">Q74-$G$2+$I$2</f>
        <v>45600.0153251838</v>
      </c>
      <c r="S74" s="42" t="n">
        <f aca="false">R74/$K$2</f>
        <v>105.258333699238</v>
      </c>
      <c r="T74" s="43" t="n">
        <f aca="false">S74-$M$2</f>
        <v>3.53750606052472E-005</v>
      </c>
    </row>
    <row r="76" customFormat="false" ht="15" hidden="false" customHeight="false" outlineLevel="0" collapsed="false">
      <c r="A76" s="38" t="s">
        <v>174</v>
      </c>
      <c r="E76" s="5" t="s">
        <v>11</v>
      </c>
      <c r="F76" s="12" t="n">
        <f aca="false">Sensitivity!$B$10</f>
        <v>0.0721529104257703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153</v>
      </c>
      <c r="B77" s="28" t="s">
        <v>154</v>
      </c>
      <c r="C77" s="28" t="s">
        <v>155</v>
      </c>
      <c r="D77" s="28" t="s">
        <v>156</v>
      </c>
      <c r="E77" s="28" t="s">
        <v>157</v>
      </c>
      <c r="F77" s="28" t="s">
        <v>158</v>
      </c>
      <c r="G77" s="28" t="s">
        <v>159</v>
      </c>
      <c r="H77" s="28" t="s">
        <v>160</v>
      </c>
      <c r="I77" s="28" t="s">
        <v>161</v>
      </c>
      <c r="J77" s="28" t="s">
        <v>162</v>
      </c>
      <c r="K77" s="28" t="s">
        <v>163</v>
      </c>
      <c r="L77" s="28" t="s">
        <v>164</v>
      </c>
      <c r="M77" s="28" t="s">
        <v>165</v>
      </c>
      <c r="N77" s="28" t="s">
        <v>166</v>
      </c>
      <c r="O77" s="28" t="s">
        <v>167</v>
      </c>
      <c r="P77" s="28" t="s">
        <v>168</v>
      </c>
      <c r="Q77" s="28" t="s">
        <v>169</v>
      </c>
      <c r="R77" s="28" t="s">
        <v>170</v>
      </c>
      <c r="S77" s="28" t="s">
        <v>171</v>
      </c>
      <c r="T77" s="28" t="s">
        <v>172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9787.5</v>
      </c>
      <c r="F78" s="15" t="n">
        <f aca="false">E78*(1+IF(F$3&lt;=$O$2,$D78,$D78-($D78-$I$76)*MIN(F$3-$O$2,$Q$2)/$Q$2))</f>
        <v>12234.375</v>
      </c>
      <c r="G78" s="15" t="n">
        <f aca="false">F78*(1+IF(G$3&lt;=$O$2,$D78,$D78-($D78-$I$76)*MIN(G$3-$O$2,$Q$2)/$Q$2))</f>
        <v>15292.96875</v>
      </c>
      <c r="H78" s="15" t="n">
        <f aca="false">G78*(1+IF(H$3&lt;=$O$2,$D78,$D78-($D78-$I$76)*MIN(H$3-$O$2,$Q$2)/$Q$2))</f>
        <v>19116.2109375</v>
      </c>
      <c r="I78" s="15" t="n">
        <f aca="false">H78*(1+IF(I$3&lt;=$O$2,$D78,$D78-($D78-$I$76)*MIN(I$3-$O$2,$Q$2)/$Q$2))</f>
        <v>23895.263671875</v>
      </c>
      <c r="J78" s="15" t="n">
        <f aca="false">I78*(1+IF(J$3&lt;=$O$2,$D78,$D78-($D78-$I$76)*MIN(J$3-$O$2,$Q$2)/$Q$2))</f>
        <v>28785.6683349609</v>
      </c>
      <c r="K78" s="15" t="n">
        <f aca="false">J78*(1+IF(K$3&lt;=$O$2,$D78,$D78-($D78-$I$76)*MIN(K$3-$O$2,$Q$2)/$Q$2))</f>
        <v>33371.8010140869</v>
      </c>
      <c r="L78" s="15" t="n">
        <f aca="false">K78*(1+IF(L$3&lt;=$O$2,$D78,$D78-($D78-$I$76)*MIN(L$3-$O$2,$Q$2)/$Q$2))</f>
        <v>37175.5188936725</v>
      </c>
      <c r="M78" s="15" t="n">
        <f aca="false">L78*(1+IF(M$3&lt;=$O$2,$D78,$D78-($D78-$I$76)*MIN(M$3-$O$2,$Q$2)/$Q$2))</f>
        <v>39727.2465105342</v>
      </c>
      <c r="N78" s="15" t="n">
        <f aca="false">M78*(1+IF(N$3&lt;=$O$2,$D78,$D78-($D78-$I$76)*MIN(N$3-$O$2,$Q$2)/$Q$2))</f>
        <v>40652.8913542297</v>
      </c>
      <c r="O78" s="15" t="n">
        <f aca="false">SUMPRODUCT(E78:N78,1/(1+$F$76)^$E$3:$N$3)*$E$2</f>
        <v>47198.7185161056</v>
      </c>
      <c r="P78" s="15" t="n">
        <f aca="false">N78*$E$2*(1+$I$76)/($F$76-$I$76)/(1+$F$76)^$N$3</f>
        <v>120831.393477598</v>
      </c>
      <c r="Q78" s="15" t="n">
        <f aca="false">O78+P78</f>
        <v>168030.111993704</v>
      </c>
      <c r="R78" s="15" t="n">
        <f aca="false">Q78-$G$2+$I$2</f>
        <v>165513.111993704</v>
      </c>
      <c r="S78" s="42" t="n">
        <f aca="false">R78/$K$2</f>
        <v>382.053256991145</v>
      </c>
      <c r="T78" s="43" t="n">
        <f aca="false">S78-$M$2</f>
        <v>276.794958666968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6851.25</v>
      </c>
      <c r="F79" s="15" t="n">
        <f aca="false">E79*(1+IF(F$3&lt;=$O$2,$D79,$D79-($D79-$I$76)*MIN(F$3-$O$2,$Q$2)/$Q$2))</f>
        <v>5994.84375</v>
      </c>
      <c r="G79" s="15" t="n">
        <f aca="false">F79*(1+IF(G$3&lt;=$O$2,$D79,$D79-($D79-$I$76)*MIN(G$3-$O$2,$Q$2)/$Q$2))</f>
        <v>5245.48828125</v>
      </c>
      <c r="H79" s="15" t="n">
        <f aca="false">G79*(1+IF(H$3&lt;=$O$2,$D79,$D79-($D79-$I$76)*MIN(H$3-$O$2,$Q$2)/$Q$2))</f>
        <v>4589.80224609375</v>
      </c>
      <c r="I79" s="15" t="n">
        <f aca="false">H79*(1+IF(I$3&lt;=$O$2,$D79,$D79-($D79-$I$76)*MIN(I$3-$O$2,$Q$2)/$Q$2))</f>
        <v>4016.07696533203</v>
      </c>
      <c r="J79" s="15" t="n">
        <f aca="false">I79*(1+IF(J$3&lt;=$O$2,$D79,$D79-($D79-$I$76)*MIN(J$3-$O$2,$Q$2)/$Q$2))</f>
        <v>3633.18418745728</v>
      </c>
      <c r="K79" s="15" t="n">
        <f aca="false">J79*(1+IF(K$3&lt;=$O$2,$D79,$D79-($D79-$I$76)*MIN(K$3-$O$2,$Q$2)/$Q$2))</f>
        <v>3394.55665002508</v>
      </c>
      <c r="L79" s="15" t="n">
        <f aca="false">K79*(1+IF(L$3&lt;=$O$2,$D79,$D79-($D79-$I$76)*MIN(L$3-$O$2,$Q$2)/$Q$2))</f>
        <v>3272.28471949118</v>
      </c>
      <c r="M79" s="15" t="n">
        <f aca="false">L79*(1+IF(M$3&lt;=$O$2,$D79,$D79-($D79-$I$76)*MIN(M$3-$O$2,$Q$2)/$Q$2))</f>
        <v>3251.47298867521</v>
      </c>
      <c r="N79" s="15" t="n">
        <f aca="false">M79*(1+IF(N$3&lt;=$O$2,$D79,$D79-($D79-$I$76)*MIN(N$3-$O$2,$Q$2)/$Q$2))</f>
        <v>3327.23230931135</v>
      </c>
      <c r="O79" s="15" t="n">
        <f aca="false">SUMPRODUCT(E79:N79,1/(1+$F$76)^$E$3:$N$3)*$E$2</f>
        <v>9089.39829024762</v>
      </c>
      <c r="P79" s="15" t="n">
        <f aca="false">N79*$E$2*(1+$I$76)/($F$76-$I$76)/(1+$F$76)^$N$3</f>
        <v>9889.43474781771</v>
      </c>
      <c r="Q79" s="15" t="n">
        <f aca="false">O79+P79</f>
        <v>18978.8330380653</v>
      </c>
      <c r="R79" s="15" t="n">
        <f aca="false">Q79-$G$2+$I$2</f>
        <v>16461.8330380653</v>
      </c>
      <c r="S79" s="42" t="n">
        <f aca="false">R79/$K$2</f>
        <v>37.9987836158657</v>
      </c>
      <c r="T79" s="43" t="n">
        <f aca="false">S79-$M$2</f>
        <v>-67.2595147083114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8319.375</v>
      </c>
      <c r="F80" s="15" t="n">
        <f aca="false">E80*(1+IF(F$3&lt;=$O$2,$D80,$D80-($D80-$I$76)*MIN(F$3-$O$2,$Q$2)/$Q$2))</f>
        <v>8839.3359375</v>
      </c>
      <c r="G80" s="15" t="n">
        <f aca="false">F80*(1+IF(G$3&lt;=$O$2,$D80,$D80-($D80-$I$76)*MIN(G$3-$O$2,$Q$2)/$Q$2))</f>
        <v>9391.79443359375</v>
      </c>
      <c r="H80" s="15" t="n">
        <f aca="false">G80*(1+IF(H$3&lt;=$O$2,$D80,$D80-($D80-$I$76)*MIN(H$3-$O$2,$Q$2)/$Q$2))</f>
        <v>9978.78158569336</v>
      </c>
      <c r="I80" s="15" t="n">
        <f aca="false">H80*(1+IF(I$3&lt;=$O$2,$D80,$D80-($D80-$I$76)*MIN(I$3-$O$2,$Q$2)/$Q$2))</f>
        <v>10602.4554347992</v>
      </c>
      <c r="J80" s="15" t="n">
        <f aca="false">I80*(1+IF(J$3&lt;=$O$2,$D80,$D80-($D80-$I$76)*MIN(J$3-$O$2,$Q$2)/$Q$2))</f>
        <v>11181.9856488653</v>
      </c>
      <c r="K80" s="15" t="n">
        <f aca="false">J80*(1+IF(K$3&lt;=$O$2,$D80,$D80-($D80-$I$76)*MIN(K$3-$O$2,$Q$2)/$Q$2))</f>
        <v>11705.5262169452</v>
      </c>
      <c r="L80" s="15" t="n">
        <f aca="false">K80*(1+IF(L$3&lt;=$O$2,$D80,$D80-($D80-$I$76)*MIN(L$3-$O$2,$Q$2)/$Q$2))</f>
        <v>12161.8076288817</v>
      </c>
      <c r="M80" s="15" t="n">
        <f aca="false">L80*(1+IF(M$3&lt;=$O$2,$D80,$D80-($D80-$I$76)*MIN(M$3-$O$2,$Q$2)/$Q$2))</f>
        <v>12540.5263184451</v>
      </c>
      <c r="N80" s="15" t="n">
        <f aca="false">M80*(1+IF(N$3&lt;=$O$2,$D80,$D80-($D80-$I$76)*MIN(N$3-$O$2,$Q$2)/$Q$2))</f>
        <v>12832.7205816649</v>
      </c>
      <c r="O80" s="15" t="n">
        <f aca="false">SUMPRODUCT(E80:N80,1/(1+$F$76)^$E$3:$N$3)*$E$2</f>
        <v>20708.7054861155</v>
      </c>
      <c r="P80" s="15" t="n">
        <f aca="false">N80*$E$2*(1+$I$76)/($F$76-$I$76)/(1+$F$76)^$N$3</f>
        <v>38142.3180083325</v>
      </c>
      <c r="Q80" s="15" t="n">
        <f aca="false">O80+P80</f>
        <v>58851.023494448</v>
      </c>
      <c r="R80" s="15" t="n">
        <f aca="false">Q80-$G$2+$I$2</f>
        <v>56334.023494448</v>
      </c>
      <c r="S80" s="42" t="n">
        <f aca="false">R80/$K$2</f>
        <v>130.035601990785</v>
      </c>
      <c r="T80" s="43" t="n">
        <f aca="false">S80-$M$2</f>
        <v>24.7773036666082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7585.3125</v>
      </c>
      <c r="F81" s="15" t="n">
        <f aca="false">E81*(1+IF(F$3&lt;=$O$2,$D81,$D81-($D81-$I$76)*MIN(F$3-$O$2,$Q$2)/$Q$2))</f>
        <v>7348.271484375</v>
      </c>
      <c r="G81" s="15" t="n">
        <f aca="false">F81*(1+IF(G$3&lt;=$O$2,$D81,$D81-($D81-$I$76)*MIN(G$3-$O$2,$Q$2)/$Q$2))</f>
        <v>7118.63800048828</v>
      </c>
      <c r="H81" s="15" t="n">
        <f aca="false">G81*(1+IF(H$3&lt;=$O$2,$D81,$D81-($D81-$I$76)*MIN(H$3-$O$2,$Q$2)/$Q$2))</f>
        <v>6896.18056297302</v>
      </c>
      <c r="I81" s="15" t="n">
        <f aca="false">H81*(1+IF(I$3&lt;=$O$2,$D81,$D81-($D81-$I$76)*MIN(I$3-$O$2,$Q$2)/$Q$2))</f>
        <v>6680.67492038012</v>
      </c>
      <c r="J81" s="15" t="n">
        <f aca="false">I81*(1+IF(J$3&lt;=$O$2,$D81,$D81-($D81-$I$76)*MIN(J$3-$O$2,$Q$2)/$Q$2))</f>
        <v>6544.78999249958</v>
      </c>
      <c r="K81" s="15" t="n">
        <f aca="false">J81*(1+IF(K$3&lt;=$O$2,$D81,$D81-($D81-$I$76)*MIN(K$3-$O$2,$Q$2)/$Q$2))</f>
        <v>6483.07262287031</v>
      </c>
      <c r="L81" s="15" t="n">
        <f aca="false">K81*(1+IF(L$3&lt;=$O$2,$D81,$D81-($D81-$I$76)*MIN(L$3-$O$2,$Q$2)/$Q$2))</f>
        <v>6492.66757035216</v>
      </c>
      <c r="M81" s="15" t="n">
        <f aca="false">L81*(1+IF(M$3&lt;=$O$2,$D81,$D81-($D81-$I$76)*MIN(M$3-$O$2,$Q$2)/$Q$2))</f>
        <v>6573.11172154882</v>
      </c>
      <c r="N81" s="15" t="n">
        <f aca="false">M81*(1+IF(N$3&lt;=$O$2,$D81,$D81-($D81-$I$76)*MIN(N$3-$O$2,$Q$2)/$Q$2))</f>
        <v>6726.26522466091</v>
      </c>
      <c r="O81" s="15" t="n">
        <f aca="false">SUMPRODUCT(E81:N81,1/(1+$F$76)^$E$3:$N$3)*$E$2</f>
        <v>13684.3382100291</v>
      </c>
      <c r="P81" s="15" t="n">
        <f aca="false">N81*$E$2*(1+$I$76)/($F$76-$I$76)/(1+$F$76)^$N$3</f>
        <v>19992.2803254959</v>
      </c>
      <c r="Q81" s="15" t="n">
        <f aca="false">O81+P81</f>
        <v>33676.618535525</v>
      </c>
      <c r="R81" s="15" t="n">
        <f aca="false">Q81-$G$2+$I$2</f>
        <v>31159.618535525</v>
      </c>
      <c r="S81" s="42" t="n">
        <f aca="false">R81/$K$2</f>
        <v>71.9256233219266</v>
      </c>
      <c r="T81" s="43" t="n">
        <f aca="false">S81-$M$2</f>
        <v>-33.3326750022505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7952.34375</v>
      </c>
      <c r="F82" s="15" t="n">
        <f aca="false">E82*(1+IF(F$3&lt;=$O$2,$D82,$D82-($D82-$I$76)*MIN(F$3-$O$2,$Q$2)/$Q$2))</f>
        <v>8076.59912109375</v>
      </c>
      <c r="G82" s="15" t="n">
        <f aca="false">F82*(1+IF(G$3&lt;=$O$2,$D82,$D82-($D82-$I$76)*MIN(G$3-$O$2,$Q$2)/$Q$2))</f>
        <v>8202.79598236084</v>
      </c>
      <c r="H82" s="15" t="n">
        <f aca="false">G82*(1+IF(H$3&lt;=$O$2,$D82,$D82-($D82-$I$76)*MIN(H$3-$O$2,$Q$2)/$Q$2))</f>
        <v>8330.96466958523</v>
      </c>
      <c r="I82" s="15" t="n">
        <f aca="false">H82*(1+IF(I$3&lt;=$O$2,$D82,$D82-($D82-$I$76)*MIN(I$3-$O$2,$Q$2)/$Q$2))</f>
        <v>8461.1359925475</v>
      </c>
      <c r="J82" s="15" t="n">
        <f aca="false">I82*(1+IF(J$3&lt;=$O$2,$D82,$D82-($D82-$I$76)*MIN(J$3-$O$2,$Q$2)/$Q$2))</f>
        <v>8606.32908617961</v>
      </c>
      <c r="K82" s="15" t="n">
        <f aca="false">J82*(1+IF(K$3&lt;=$O$2,$D82,$D82-($D82-$I$76)*MIN(K$3-$O$2,$Q$2)/$Q$2))</f>
        <v>8767.22440844574</v>
      </c>
      <c r="L82" s="15" t="n">
        <f aca="false">K82*(1+IF(L$3&lt;=$O$2,$D82,$D82-($D82-$I$76)*MIN(L$3-$O$2,$Q$2)/$Q$2))</f>
        <v>8944.5853582286</v>
      </c>
      <c r="M82" s="15" t="n">
        <f aca="false">L82*(1+IF(M$3&lt;=$O$2,$D82,$D82-($D82-$I$76)*MIN(M$3-$O$2,$Q$2)/$Q$2))</f>
        <v>9139.26425855044</v>
      </c>
      <c r="N82" s="15" t="n">
        <f aca="false">M82*(1+IF(N$3&lt;=$O$2,$D82,$D82-($D82-$I$76)*MIN(N$3-$O$2,$Q$2)/$Q$2))</f>
        <v>9352.20911577467</v>
      </c>
      <c r="O82" s="15" t="n">
        <f aca="false">SUMPRODUCT(E82:N82,1/(1+$F$76)^$E$3:$N$3)*$E$2</f>
        <v>16828.946383268</v>
      </c>
      <c r="P82" s="15" t="n">
        <f aca="false">N82*$E$2*(1+$I$76)/($F$76-$I$76)/(1+$F$76)^$N$3</f>
        <v>27797.2961309522</v>
      </c>
      <c r="Q82" s="15" t="n">
        <f aca="false">O82+P82</f>
        <v>44626.2425142202</v>
      </c>
      <c r="R82" s="15" t="n">
        <f aca="false">Q82-$G$2+$I$2</f>
        <v>42109.2425142202</v>
      </c>
      <c r="S82" s="42" t="n">
        <f aca="false">R82/$K$2</f>
        <v>97.2005967273446</v>
      </c>
      <c r="T82" s="43" t="n">
        <f aca="false">S82-$M$2</f>
        <v>-8.05770159683247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41" t="n">
        <f aca="false">(B83+C83)/2</f>
        <v>0.0390625</v>
      </c>
      <c r="E83" s="15" t="n">
        <f aca="false">$C$2*(1+IF(E$3&lt;=$O$2,$D83,$D83-($D83-$I$76)*MIN(E$3-$O$2,$Q$2)/$Q$2))</f>
        <v>8135.859375</v>
      </c>
      <c r="F83" s="15" t="n">
        <f aca="false">E83*(1+IF(F$3&lt;=$O$2,$D83,$D83-($D83-$I$76)*MIN(F$3-$O$2,$Q$2)/$Q$2))</f>
        <v>8453.66638183594</v>
      </c>
      <c r="G83" s="15" t="n">
        <f aca="false">F83*(1+IF(G$3&lt;=$O$2,$D83,$D83-($D83-$I$76)*MIN(G$3-$O$2,$Q$2)/$Q$2))</f>
        <v>8783.8877248764</v>
      </c>
      <c r="H83" s="15" t="n">
        <f aca="false">G83*(1+IF(H$3&lt;=$O$2,$D83,$D83-($D83-$I$76)*MIN(H$3-$O$2,$Q$2)/$Q$2))</f>
        <v>9127.00833912939</v>
      </c>
      <c r="I83" s="15" t="n">
        <f aca="false">H83*(1+IF(I$3&lt;=$O$2,$D83,$D83-($D83-$I$76)*MIN(I$3-$O$2,$Q$2)/$Q$2))</f>
        <v>9483.53210237663</v>
      </c>
      <c r="J83" s="15" t="n">
        <f aca="false">I83*(1+IF(J$3&lt;=$O$2,$D83,$D83-($D83-$I$76)*MIN(J$3-$O$2,$Q$2)/$Q$2))</f>
        <v>9824.08574017297</v>
      </c>
      <c r="K83" s="15" t="n">
        <f aca="false">J83*(1+IF(K$3&lt;=$O$2,$D83,$D83-($D83-$I$76)*MIN(K$3-$O$2,$Q$2)/$Q$2))</f>
        <v>10145.8982288067</v>
      </c>
      <c r="L83" s="15" t="n">
        <f aca="false">K83*(1+IF(L$3&lt;=$O$2,$D83,$D83-($D83-$I$76)*MIN(L$3-$O$2,$Q$2)/$Q$2))</f>
        <v>10446.2675458705</v>
      </c>
      <c r="M83" s="15" t="n">
        <f aca="false">L83*(1+IF(M$3&lt;=$O$2,$D83,$D83-($D83-$I$76)*MIN(M$3-$O$2,$Q$2)/$Q$2))</f>
        <v>10722.5974381277</v>
      </c>
      <c r="N83" s="15" t="n">
        <f aca="false">M83*(1+IF(N$3&lt;=$O$2,$D83,$D83-($D83-$I$76)*MIN(N$3-$O$2,$Q$2)/$Q$2))</f>
        <v>10972.433958436</v>
      </c>
      <c r="O83" s="15" t="n">
        <f aca="false">SUMPRODUCT(E83:N83,1/(1+$F$76)^$E$3:$N$3)*$E$2</f>
        <v>18667.6735700526</v>
      </c>
      <c r="P83" s="15" t="n">
        <f aca="false">N83*$E$2*(1+$I$76)/($F$76-$I$76)/(1+$F$76)^$N$3</f>
        <v>32613.0427842447</v>
      </c>
      <c r="Q83" s="15" t="n">
        <f aca="false">O83+P83</f>
        <v>51280.7163542973</v>
      </c>
      <c r="R83" s="15" t="n">
        <f aca="false">Q83-$G$2+$I$2</f>
        <v>48763.7163542973</v>
      </c>
      <c r="S83" s="42" t="n">
        <f aca="false">R83/$K$2</f>
        <v>112.561092180179</v>
      </c>
      <c r="T83" s="43" t="n">
        <f aca="false">S83-$M$2</f>
        <v>7.30279385600234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0.015625</v>
      </c>
      <c r="C84" s="25" t="n">
        <f aca="false">IF(T83&gt;0,D83,C83)</f>
        <v>0.0390625</v>
      </c>
      <c r="D84" s="41" t="n">
        <f aca="false">(B84+C84)/2</f>
        <v>0.02734375</v>
      </c>
      <c r="E84" s="15" t="n">
        <f aca="false">$C$2*(1+IF(E$3&lt;=$O$2,$D84,$D84-($D84-$I$76)*MIN(E$3-$O$2,$Q$2)/$Q$2))</f>
        <v>8044.1015625</v>
      </c>
      <c r="F84" s="15" t="n">
        <f aca="false">E84*(1+IF(F$3&lt;=$O$2,$D84,$D84-($D84-$I$76)*MIN(F$3-$O$2,$Q$2)/$Q$2))</f>
        <v>8264.05746459961</v>
      </c>
      <c r="G84" s="15" t="n">
        <f aca="false">F84*(1+IF(G$3&lt;=$O$2,$D84,$D84-($D84-$I$76)*MIN(G$3-$O$2,$Q$2)/$Q$2))</f>
        <v>8490.02778589726</v>
      </c>
      <c r="H84" s="15" t="n">
        <f aca="false">G84*(1+IF(H$3&lt;=$O$2,$D84,$D84-($D84-$I$76)*MIN(H$3-$O$2,$Q$2)/$Q$2))</f>
        <v>8722.17698316788</v>
      </c>
      <c r="I84" s="15" t="n">
        <f aca="false">H84*(1+IF(I$3&lt;=$O$2,$D84,$D84-($D84-$I$76)*MIN(I$3-$O$2,$Q$2)/$Q$2))</f>
        <v>8960.67401005138</v>
      </c>
      <c r="J84" s="15" t="n">
        <f aca="false">I84*(1+IF(J$3&lt;=$O$2,$D84,$D84-($D84-$I$76)*MIN(J$3-$O$2,$Q$2)/$Q$2))</f>
        <v>9198.44549490809</v>
      </c>
      <c r="K84" s="15" t="n">
        <f aca="false">J84*(1+IF(K$3&lt;=$O$2,$D84,$D84-($D84-$I$76)*MIN(K$3-$O$2,$Q$2)/$Q$2))</f>
        <v>9435.08700332147</v>
      </c>
      <c r="L84" s="15" t="n">
        <f aca="false">K84*(1+IF(L$3&lt;=$O$2,$D84,$D84-($D84-$I$76)*MIN(L$3-$O$2,$Q$2)/$Q$2))</f>
        <v>9670.18578372673</v>
      </c>
      <c r="M84" s="15" t="n">
        <f aca="false">L84*(1+IF(M$3&lt;=$O$2,$D84,$D84-($D84-$I$76)*MIN(M$3-$O$2,$Q$2)/$Q$2))</f>
        <v>9903.32187524016</v>
      </c>
      <c r="N84" s="15" t="n">
        <f aca="false">M84*(1+IF(N$3&lt;=$O$2,$D84,$D84-($D84-$I$76)*MIN(N$3-$O$2,$Q$2)/$Q$2))</f>
        <v>10134.0692749333</v>
      </c>
      <c r="O84" s="15" t="n">
        <f aca="false">SUMPRODUCT(E84:N84,1/(1+$F$76)^$E$3:$N$3)*$E$2</f>
        <v>17724.2413407131</v>
      </c>
      <c r="P84" s="15" t="n">
        <f aca="false">N84*$E$2*(1+$I$76)/($F$76-$I$76)/(1+$F$76)^$N$3</f>
        <v>30121.1960895691</v>
      </c>
      <c r="Q84" s="15" t="n">
        <f aca="false">O84+P84</f>
        <v>47845.4374302821</v>
      </c>
      <c r="R84" s="15" t="n">
        <f aca="false">Q84-$G$2+$I$2</f>
        <v>45328.4374302821</v>
      </c>
      <c r="S84" s="42" t="n">
        <f aca="false">R84/$K$2</f>
        <v>104.631451526435</v>
      </c>
      <c r="T84" s="43" t="n">
        <f aca="false">S84-$M$2</f>
        <v>-0.626846797742218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0.02734375</v>
      </c>
      <c r="C85" s="25" t="n">
        <f aca="false">IF(T84&gt;0,D84,C84)</f>
        <v>0.0390625</v>
      </c>
      <c r="D85" s="41" t="n">
        <f aca="false">(B85+C85)/2</f>
        <v>0.033203125</v>
      </c>
      <c r="E85" s="15" t="n">
        <f aca="false">$C$2*(1+IF(E$3&lt;=$O$2,$D85,$D85-($D85-$I$76)*MIN(E$3-$O$2,$Q$2)/$Q$2))</f>
        <v>8089.98046875</v>
      </c>
      <c r="F85" s="15" t="n">
        <f aca="false">E85*(1+IF(F$3&lt;=$O$2,$D85,$D85-($D85-$I$76)*MIN(F$3-$O$2,$Q$2)/$Q$2))</f>
        <v>8358.59310150147</v>
      </c>
      <c r="G85" s="15" t="n">
        <f aca="false">F85*(1+IF(G$3&lt;=$O$2,$D85,$D85-($D85-$I$76)*MIN(G$3-$O$2,$Q$2)/$Q$2))</f>
        <v>8636.12451307476</v>
      </c>
      <c r="H85" s="15" t="n">
        <f aca="false">G85*(1+IF(H$3&lt;=$O$2,$D85,$D85-($D85-$I$76)*MIN(H$3-$O$2,$Q$2)/$Q$2))</f>
        <v>8922.87083479794</v>
      </c>
      <c r="I85" s="15" t="n">
        <f aca="false">H85*(1+IF(I$3&lt;=$O$2,$D85,$D85-($D85-$I$76)*MIN(I$3-$O$2,$Q$2)/$Q$2))</f>
        <v>9219.13803048459</v>
      </c>
      <c r="J85" s="15" t="n">
        <f aca="false">I85*(1+IF(J$3&lt;=$O$2,$D85,$D85-($D85-$I$76)*MIN(J$3-$O$2,$Q$2)/$Q$2))</f>
        <v>9506.9825676414</v>
      </c>
      <c r="K85" s="15" t="n">
        <f aca="false">J85*(1+IF(K$3&lt;=$O$2,$D85,$D85-($D85-$I$76)*MIN(K$3-$O$2,$Q$2)/$Q$2))</f>
        <v>9784.98456351155</v>
      </c>
      <c r="L85" s="15" t="n">
        <f aca="false">K85*(1+IF(L$3&lt;=$O$2,$D85,$D85-($D85-$I$76)*MIN(L$3-$O$2,$Q$2)/$Q$2))</f>
        <v>10051.7354739436</v>
      </c>
      <c r="M85" s="15" t="n">
        <f aca="false">L85*(1+IF(M$3&lt;=$O$2,$D85,$D85-($D85-$I$76)*MIN(M$3-$O$2,$Q$2)/$Q$2))</f>
        <v>10305.8496290595</v>
      </c>
      <c r="N85" s="15" t="n">
        <f aca="false">M85*(1+IF(N$3&lt;=$O$2,$D85,$D85-($D85-$I$76)*MIN(N$3-$O$2,$Q$2)/$Q$2))</f>
        <v>10545.9759254166</v>
      </c>
      <c r="O85" s="15" t="n">
        <f aca="false">SUMPRODUCT(E85:N85,1/(1+$F$76)^$E$3:$N$3)*$E$2</f>
        <v>18189.791899859</v>
      </c>
      <c r="P85" s="15" t="n">
        <f aca="false">N85*$E$2*(1+$I$76)/($F$76-$I$76)/(1+$F$76)^$N$3</f>
        <v>31345.4941137099</v>
      </c>
      <c r="Q85" s="15" t="n">
        <f aca="false">O85+P85</f>
        <v>49535.2860135689</v>
      </c>
      <c r="R85" s="15" t="n">
        <f aca="false">Q85-$G$2+$I$2</f>
        <v>47018.2860135689</v>
      </c>
      <c r="S85" s="42" t="n">
        <f aca="false">R85/$K$2</f>
        <v>108.532122278678</v>
      </c>
      <c r="T85" s="43" t="n">
        <f aca="false">S85-$M$2</f>
        <v>3.27382395450081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0.02734375</v>
      </c>
      <c r="C86" s="25" t="n">
        <f aca="false">IF(T85&gt;0,D85,C85)</f>
        <v>0.033203125</v>
      </c>
      <c r="D86" s="41" t="n">
        <f aca="false">(B86+C86)/2</f>
        <v>0.0302734375</v>
      </c>
      <c r="E86" s="15" t="n">
        <f aca="false">$C$2*(1+IF(E$3&lt;=$O$2,$D86,$D86-($D86-$I$76)*MIN(E$3-$O$2,$Q$2)/$Q$2))</f>
        <v>8067.041015625</v>
      </c>
      <c r="F86" s="15" t="n">
        <f aca="false">E86*(1+IF(F$3&lt;=$O$2,$D86,$D86-($D86-$I$76)*MIN(F$3-$O$2,$Q$2)/$Q$2))</f>
        <v>8311.25807762146</v>
      </c>
      <c r="G86" s="15" t="n">
        <f aca="false">F86*(1+IF(G$3&lt;=$O$2,$D86,$D86-($D86-$I$76)*MIN(G$3-$O$2,$Q$2)/$Q$2))</f>
        <v>8562.8684295807</v>
      </c>
      <c r="H86" s="15" t="n">
        <f aca="false">G86*(1+IF(H$3&lt;=$O$2,$D86,$D86-($D86-$I$76)*MIN(H$3-$O$2,$Q$2)/$Q$2))</f>
        <v>8822.09589180434</v>
      </c>
      <c r="I86" s="15" t="n">
        <f aca="false">H86*(1+IF(I$3&lt;=$O$2,$D86,$D86-($D86-$I$76)*MIN(I$3-$O$2,$Q$2)/$Q$2))</f>
        <v>9089.17106040388</v>
      </c>
      <c r="J86" s="15" t="n">
        <f aca="false">I86*(1+IF(J$3&lt;=$O$2,$D86,$D86-($D86-$I$76)*MIN(J$3-$O$2,$Q$2)/$Q$2))</f>
        <v>9351.65495916452</v>
      </c>
      <c r="K86" s="15" t="n">
        <f aca="false">J86*(1+IF(K$3&lt;=$O$2,$D86,$D86-($D86-$I$76)*MIN(K$3-$O$2,$Q$2)/$Q$2))</f>
        <v>9608.67642854064</v>
      </c>
      <c r="L86" s="15" t="n">
        <f aca="false">K86*(1+IF(L$3&lt;=$O$2,$D86,$D86-($D86-$I$76)*MIN(L$3-$O$2,$Q$2)/$Q$2))</f>
        <v>9859.36079113849</v>
      </c>
      <c r="M86" s="15" t="n">
        <f aca="false">L86*(1+IF(M$3&lt;=$O$2,$D86,$D86-($D86-$I$76)*MIN(M$3-$O$2,$Q$2)/$Q$2))</f>
        <v>10102.8346248254</v>
      </c>
      <c r="N86" s="15" t="n">
        <f aca="false">M86*(1+IF(N$3&lt;=$O$2,$D86,$D86-($D86-$I$76)*MIN(N$3-$O$2,$Q$2)/$Q$2))</f>
        <v>10338.2306715838</v>
      </c>
      <c r="O86" s="15" t="n">
        <f aca="false">SUMPRODUCT(E86:N86,1/(1+$F$76)^$E$3:$N$3)*$E$2</f>
        <v>17955.4940283363</v>
      </c>
      <c r="P86" s="15" t="n">
        <f aca="false">N86*$E$2*(1+$I$76)/($F$76-$I$76)/(1+$F$76)^$N$3</f>
        <v>30728.0190049841</v>
      </c>
      <c r="Q86" s="15" t="n">
        <f aca="false">O86+P86</f>
        <v>48683.5130333203</v>
      </c>
      <c r="R86" s="15" t="n">
        <f aca="false">Q86-$G$2+$I$2</f>
        <v>46166.5130333203</v>
      </c>
      <c r="S86" s="42" t="n">
        <f aca="false">R86/$K$2</f>
        <v>106.565978101935</v>
      </c>
      <c r="T86" s="43" t="n">
        <f aca="false">S86-$M$2</f>
        <v>1.307679777758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0.02734375</v>
      </c>
      <c r="C87" s="25" t="n">
        <f aca="false">IF(T86&gt;0,D86,C86)</f>
        <v>0.0302734375</v>
      </c>
      <c r="D87" s="41" t="n">
        <f aca="false">(B87+C87)/2</f>
        <v>0.02880859375</v>
      </c>
      <c r="E87" s="15" t="n">
        <f aca="false">$C$2*(1+IF(E$3&lt;=$O$2,$D87,$D87-($D87-$I$76)*MIN(E$3-$O$2,$Q$2)/$Q$2))</f>
        <v>8055.5712890625</v>
      </c>
      <c r="F87" s="15" t="n">
        <f aca="false">E87*(1+IF(F$3&lt;=$O$2,$D87,$D87-($D87-$I$76)*MIN(F$3-$O$2,$Q$2)/$Q$2))</f>
        <v>8287.64096975327</v>
      </c>
      <c r="G87" s="15" t="n">
        <f aca="false">F87*(1+IF(G$3&lt;=$O$2,$D87,$D87-($D87-$I$76)*MIN(G$3-$O$2,$Q$2)/$Q$2))</f>
        <v>8526.39625159674</v>
      </c>
      <c r="H87" s="15" t="n">
        <f aca="false">G87*(1+IF(H$3&lt;=$O$2,$D87,$D87-($D87-$I$76)*MIN(H$3-$O$2,$Q$2)/$Q$2))</f>
        <v>8772.02973736052</v>
      </c>
      <c r="I87" s="15" t="n">
        <f aca="false">H87*(1+IF(I$3&lt;=$O$2,$D87,$D87-($D87-$I$76)*MIN(I$3-$O$2,$Q$2)/$Q$2))</f>
        <v>9024.73957842706</v>
      </c>
      <c r="J87" s="15" t="n">
        <f aca="false">I87*(1+IF(J$3&lt;=$O$2,$D87,$D87-($D87-$I$76)*MIN(J$3-$O$2,$Q$2)/$Q$2))</f>
        <v>9274.78690983409</v>
      </c>
      <c r="K87" s="15" t="n">
        <f aca="false">J87*(1+IF(K$3&lt;=$O$2,$D87,$D87-($D87-$I$76)*MIN(K$3-$O$2,$Q$2)/$Q$2))</f>
        <v>9521.54406475568</v>
      </c>
      <c r="L87" s="15" t="n">
        <f aca="false">K87*(1+IF(L$3&lt;=$O$2,$D87,$D87-($D87-$I$76)*MIN(L$3-$O$2,$Q$2)/$Q$2))</f>
        <v>9764.37616871467</v>
      </c>
      <c r="M87" s="15" t="n">
        <f aca="false">L87*(1+IF(M$3&lt;=$O$2,$D87,$D87-($D87-$I$76)*MIN(M$3-$O$2,$Q$2)/$Q$2))</f>
        <v>10002.6437297529</v>
      </c>
      <c r="N87" s="15" t="n">
        <f aca="false">M87*(1+IF(N$3&lt;=$O$2,$D87,$D87-($D87-$I$76)*MIN(N$3-$O$2,$Q$2)/$Q$2))</f>
        <v>10235.7053286561</v>
      </c>
      <c r="O87" s="15" t="n">
        <f aca="false">SUMPRODUCT(E87:N87,1/(1+$F$76)^$E$3:$N$3)*$E$2</f>
        <v>17839.4893643381</v>
      </c>
      <c r="P87" s="15" t="n">
        <f aca="false">N87*$E$2*(1+$I$76)/($F$76-$I$76)/(1+$F$76)^$N$3</f>
        <v>30423.2859432005</v>
      </c>
      <c r="Q87" s="15" t="n">
        <f aca="false">O87+P87</f>
        <v>48262.7753075386</v>
      </c>
      <c r="R87" s="15" t="n">
        <f aca="false">Q87-$G$2+$I$2</f>
        <v>45745.7753075386</v>
      </c>
      <c r="S87" s="42" t="n">
        <f aca="false">R87/$K$2</f>
        <v>105.594790885782</v>
      </c>
      <c r="T87" s="43" t="n">
        <f aca="false">S87-$M$2</f>
        <v>0.336492561605141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0.02734375</v>
      </c>
      <c r="C88" s="25" t="n">
        <f aca="false">IF(T87&gt;0,D87,C87)</f>
        <v>0.02880859375</v>
      </c>
      <c r="D88" s="41" t="n">
        <f aca="false">(B88+C88)/2</f>
        <v>0.028076171875</v>
      </c>
      <c r="E88" s="15" t="n">
        <f aca="false">$C$2*(1+IF(E$3&lt;=$O$2,$D88,$D88-($D88-$I$76)*MIN(E$3-$O$2,$Q$2)/$Q$2))</f>
        <v>8049.83642578125</v>
      </c>
      <c r="F88" s="15" t="n">
        <f aca="false">E88*(1+IF(F$3&lt;=$O$2,$D88,$D88-($D88-$I$76)*MIN(F$3-$O$2,$Q$2)/$Q$2))</f>
        <v>8275.84501683712</v>
      </c>
      <c r="G88" s="15" t="n">
        <f aca="false">F88*(1+IF(G$3&lt;=$O$2,$D88,$D88-($D88-$I$76)*MIN(G$3-$O$2,$Q$2)/$Q$2))</f>
        <v>8508.1990639407</v>
      </c>
      <c r="H88" s="15" t="n">
        <f aca="false">G88*(1+IF(H$3&lt;=$O$2,$D88,$D88-($D88-$I$76)*MIN(H$3-$O$2,$Q$2)/$Q$2))</f>
        <v>8747.07672320661</v>
      </c>
      <c r="I88" s="15" t="n">
        <f aca="false">H88*(1+IF(I$3&lt;=$O$2,$D88,$D88-($D88-$I$76)*MIN(I$3-$O$2,$Q$2)/$Q$2))</f>
        <v>8992.66115269118</v>
      </c>
      <c r="J88" s="15" t="n">
        <f aca="false">I88*(1+IF(J$3&lt;=$O$2,$D88,$D88-($D88-$I$76)*MIN(J$3-$O$2,$Q$2)/$Q$2))</f>
        <v>9236.55055377199</v>
      </c>
      <c r="K88" s="15" t="n">
        <f aca="false">J88*(1+IF(K$3&lt;=$O$2,$D88,$D88-($D88-$I$76)*MIN(K$3-$O$2,$Q$2)/$Q$2))</f>
        <v>9478.23139346104</v>
      </c>
      <c r="L88" s="15" t="n">
        <f aca="false">K88*(1+IF(L$3&lt;=$O$2,$D88,$D88-($D88-$I$76)*MIN(L$3-$O$2,$Q$2)/$Q$2))</f>
        <v>9717.18204981116</v>
      </c>
      <c r="M88" s="15" t="n">
        <f aca="false">L88*(1+IF(M$3&lt;=$O$2,$D88,$D88-($D88-$I$76)*MIN(M$3-$O$2,$Q$2)/$Q$2))</f>
        <v>9952.87457789388</v>
      </c>
      <c r="N88" s="15" t="n">
        <f aca="false">M88*(1+IF(N$3&lt;=$O$2,$D88,$D88-($D88-$I$76)*MIN(N$3-$O$2,$Q$2)/$Q$2))</f>
        <v>10184.7765555588</v>
      </c>
      <c r="O88" s="15" t="n">
        <f aca="false">SUMPRODUCT(E88:N88,1/(1+$F$76)^$E$3:$N$3)*$E$2</f>
        <v>17781.7710620995</v>
      </c>
      <c r="P88" s="15" t="n">
        <f aca="false">N88*$E$2*(1+$I$76)/($F$76-$I$76)/(1+$F$76)^$N$3</f>
        <v>30271.9118486047</v>
      </c>
      <c r="Q88" s="15" t="n">
        <f aca="false">O88+P88</f>
        <v>48053.6829107042</v>
      </c>
      <c r="R88" s="15" t="n">
        <f aca="false">Q88-$G$2+$I$2</f>
        <v>45536.6829107042</v>
      </c>
      <c r="S88" s="42" t="n">
        <f aca="false">R88/$K$2</f>
        <v>105.112143739218</v>
      </c>
      <c r="T88" s="43" t="n">
        <f aca="false">S88-$M$2</f>
        <v>-0.146154584958765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0.028076171875</v>
      </c>
      <c r="C89" s="25" t="n">
        <f aca="false">IF(T88&gt;0,D88,C88)</f>
        <v>0.02880859375</v>
      </c>
      <c r="D89" s="41" t="n">
        <f aca="false">(B89+C89)/2</f>
        <v>0.0284423828125</v>
      </c>
      <c r="E89" s="15" t="n">
        <f aca="false">$C$2*(1+IF(E$3&lt;=$O$2,$D89,$D89-($D89-$I$76)*MIN(E$3-$O$2,$Q$2)/$Q$2))</f>
        <v>8052.70385742188</v>
      </c>
      <c r="F89" s="15" t="n">
        <f aca="false">E89*(1+IF(F$3&lt;=$O$2,$D89,$D89-($D89-$I$76)*MIN(F$3-$O$2,$Q$2)/$Q$2))</f>
        <v>8281.74194321036</v>
      </c>
      <c r="G89" s="15" t="n">
        <f aca="false">F89*(1+IF(G$3&lt;=$O$2,$D89,$D89-($D89-$I$76)*MIN(G$3-$O$2,$Q$2)/$Q$2))</f>
        <v>8517.29441791349</v>
      </c>
      <c r="H89" s="15" t="n">
        <f aca="false">G89*(1+IF(H$3&lt;=$O$2,$D89,$D89-($D89-$I$76)*MIN(H$3-$O$2,$Q$2)/$Q$2))</f>
        <v>8759.54656627456</v>
      </c>
      <c r="I89" s="15" t="n">
        <f aca="false">H89*(1+IF(I$3&lt;=$O$2,$D89,$D89-($D89-$I$76)*MIN(I$3-$O$2,$Q$2)/$Q$2))</f>
        <v>9008.68894297646</v>
      </c>
      <c r="J89" s="15" t="n">
        <f aca="false">I89*(1+IF(J$3&lt;=$O$2,$D89,$D89-($D89-$I$76)*MIN(J$3-$O$2,$Q$2)/$Q$2))</f>
        <v>9255.65229709462</v>
      </c>
      <c r="K89" s="15" t="n">
        <f aca="false">J89*(1+IF(K$3&lt;=$O$2,$D89,$D89-($D89-$I$76)*MIN(K$3-$O$2,$Q$2)/$Q$2))</f>
        <v>9499.86665999156</v>
      </c>
      <c r="L89" s="15" t="n">
        <f aca="false">K89*(1+IF(L$3&lt;=$O$2,$D89,$D89-($D89-$I$76)*MIN(L$3-$O$2,$Q$2)/$Q$2))</f>
        <v>9740.75433358272</v>
      </c>
      <c r="M89" s="15" t="n">
        <f aca="false">L89*(1+IF(M$3&lt;=$O$2,$D89,$D89-($D89-$I$76)*MIN(M$3-$O$2,$Q$2)/$Q$2))</f>
        <v>9977.73204708836</v>
      </c>
      <c r="N89" s="15" t="n">
        <f aca="false">M89*(1+IF(N$3&lt;=$O$2,$D89,$D89-($D89-$I$76)*MIN(N$3-$O$2,$Q$2)/$Q$2))</f>
        <v>10210.2132037855</v>
      </c>
      <c r="O89" s="15" t="n">
        <f aca="false">SUMPRODUCT(E89:N89,1/(1+$F$76)^$E$3:$N$3)*$E$2</f>
        <v>17810.60660447</v>
      </c>
      <c r="P89" s="15" t="n">
        <f aca="false">N89*$E$2*(1+$I$76)/($F$76-$I$76)/(1+$F$76)^$N$3</f>
        <v>30347.516450104</v>
      </c>
      <c r="Q89" s="15" t="n">
        <f aca="false">O89+P89</f>
        <v>48158.123054574</v>
      </c>
      <c r="R89" s="15" t="n">
        <f aca="false">Q89-$G$2+$I$2</f>
        <v>45641.123054574</v>
      </c>
      <c r="S89" s="42" t="n">
        <f aca="false">R89/$K$2</f>
        <v>105.353222507211</v>
      </c>
      <c r="T89" s="43" t="n">
        <f aca="false">S89-$M$2</f>
        <v>0.0949241830340242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0.028076171875</v>
      </c>
      <c r="C90" s="25" t="n">
        <f aca="false">IF(T89&gt;0,D89,C89)</f>
        <v>0.0284423828125</v>
      </c>
      <c r="D90" s="41" t="n">
        <f aca="false">(B90+C90)/2</f>
        <v>0.02825927734375</v>
      </c>
      <c r="E90" s="15" t="n">
        <f aca="false">$C$2*(1+IF(E$3&lt;=$O$2,$D90,$D90-($D90-$I$76)*MIN(E$3-$O$2,$Q$2)/$Q$2))</f>
        <v>8051.27014160156</v>
      </c>
      <c r="F90" s="15" t="n">
        <f aca="false">E90*(1+IF(F$3&lt;=$O$2,$D90,$D90-($D90-$I$76)*MIN(F$3-$O$2,$Q$2)/$Q$2))</f>
        <v>8278.79321750253</v>
      </c>
      <c r="G90" s="15" t="n">
        <f aca="false">F90*(1+IF(G$3&lt;=$O$2,$D90,$D90-($D90-$I$76)*MIN(G$3-$O$2,$Q$2)/$Q$2))</f>
        <v>8512.74593110749</v>
      </c>
      <c r="H90" s="15" t="n">
        <f aca="false">G90*(1+IF(H$3&lt;=$O$2,$D90,$D90-($D90-$I$76)*MIN(H$3-$O$2,$Q$2)/$Q$2))</f>
        <v>8753.30997933154</v>
      </c>
      <c r="I90" s="15" t="n">
        <f aca="false">H90*(1+IF(I$3&lt;=$O$2,$D90,$D90-($D90-$I$76)*MIN(I$3-$O$2,$Q$2)/$Q$2))</f>
        <v>9000.67219371328</v>
      </c>
      <c r="J90" s="15" t="n">
        <f aca="false">I90*(1+IF(J$3&lt;=$O$2,$D90,$D90-($D90-$I$76)*MIN(J$3-$O$2,$Q$2)/$Q$2))</f>
        <v>9246.09731957785</v>
      </c>
      <c r="K90" s="15" t="n">
        <f aca="false">J90*(1+IF(K$3&lt;=$O$2,$D90,$D90-($D90-$I$76)*MIN(K$3-$O$2,$Q$2)/$Q$2))</f>
        <v>9489.04376369706</v>
      </c>
      <c r="L90" s="15" t="n">
        <f aca="false">K90*(1+IF(L$3&lt;=$O$2,$D90,$D90-($D90-$I$76)*MIN(L$3-$O$2,$Q$2)/$Q$2))</f>
        <v>9728.96200329167</v>
      </c>
      <c r="M90" s="15" t="n">
        <f aca="false">L90*(1+IF(M$3&lt;=$O$2,$D90,$D90-($D90-$I$76)*MIN(M$3-$O$2,$Q$2)/$Q$2))</f>
        <v>9965.29654213659</v>
      </c>
      <c r="N90" s="15" t="n">
        <f aca="false">M90*(1+IF(N$3&lt;=$O$2,$D90,$D90-($D90-$I$76)*MIN(N$3-$O$2,$Q$2)/$Q$2))</f>
        <v>10197.4879515684</v>
      </c>
      <c r="O90" s="15" t="n">
        <f aca="false">SUMPRODUCT(E90:N90,1/(1+$F$76)^$E$3:$N$3)*$E$2</f>
        <v>17796.1829356191</v>
      </c>
      <c r="P90" s="15" t="n">
        <f aca="false">N90*$E$2*(1+$I$76)/($F$76-$I$76)/(1+$F$76)^$N$3</f>
        <v>30309.6935571552</v>
      </c>
      <c r="Q90" s="15" t="n">
        <f aca="false">O90+P90</f>
        <v>48105.8764927743</v>
      </c>
      <c r="R90" s="15" t="n">
        <f aca="false">Q90-$G$2+$I$2</f>
        <v>45588.8764927743</v>
      </c>
      <c r="S90" s="42" t="n">
        <f aca="false">R90/$K$2</f>
        <v>105.232621976765</v>
      </c>
      <c r="T90" s="43" t="n">
        <f aca="false">S90-$M$2</f>
        <v>-0.0256763474117321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0.02825927734375</v>
      </c>
      <c r="C91" s="25" t="n">
        <f aca="false">IF(T90&gt;0,D90,C90)</f>
        <v>0.0284423828125</v>
      </c>
      <c r="D91" s="41" t="n">
        <f aca="false">(B91+C91)/2</f>
        <v>0.028350830078125</v>
      </c>
      <c r="E91" s="15" t="n">
        <f aca="false">$C$2*(1+IF(E$3&lt;=$O$2,$D91,$D91-($D91-$I$76)*MIN(E$3-$O$2,$Q$2)/$Q$2))</f>
        <v>8051.98699951172</v>
      </c>
      <c r="F91" s="15" t="n">
        <f aca="false">E91*(1+IF(F$3&lt;=$O$2,$D91,$D91-($D91-$I$76)*MIN(F$3-$O$2,$Q$2)/$Q$2))</f>
        <v>8280.26751472615</v>
      </c>
      <c r="G91" s="15" t="n">
        <f aca="false">F91*(1+IF(G$3&lt;=$O$2,$D91,$D91-($D91-$I$76)*MIN(G$3-$O$2,$Q$2)/$Q$2))</f>
        <v>8515.01997203757</v>
      </c>
      <c r="H91" s="15" t="n">
        <f aca="false">G91*(1+IF(H$3&lt;=$O$2,$D91,$D91-($D91-$I$76)*MIN(H$3-$O$2,$Q$2)/$Q$2))</f>
        <v>8756.42785637664</v>
      </c>
      <c r="I91" s="15" t="n">
        <f aca="false">H91*(1+IF(I$3&lt;=$O$2,$D91,$D91-($D91-$I$76)*MIN(I$3-$O$2,$Q$2)/$Q$2))</f>
        <v>9004.67985462414</v>
      </c>
      <c r="J91" s="15" t="n">
        <f aca="false">I91*(1+IF(J$3&lt;=$O$2,$D91,$D91-($D91-$I$76)*MIN(J$3-$O$2,$Q$2)/$Q$2))</f>
        <v>9250.87378151978</v>
      </c>
      <c r="K91" s="15" t="n">
        <f aca="false">J91*(1+IF(K$3&lt;=$O$2,$D91,$D91-($D91-$I$76)*MIN(K$3-$O$2,$Q$2)/$Q$2))</f>
        <v>9494.45389555597</v>
      </c>
      <c r="L91" s="15" t="n">
        <f aca="false">K91*(1+IF(L$3&lt;=$O$2,$D91,$D91-($D91-$I$76)*MIN(L$3-$O$2,$Q$2)/$Q$2))</f>
        <v>9734.85662064685</v>
      </c>
      <c r="M91" s="15" t="n">
        <f aca="false">L91*(1+IF(M$3&lt;=$O$2,$D91,$D91-($D91-$I$76)*MIN(M$3-$O$2,$Q$2)/$Q$2))</f>
        <v>9971.51260123308</v>
      </c>
      <c r="N91" s="15" t="n">
        <f aca="false">M91*(1+IF(N$3&lt;=$O$2,$D91,$D91-($D91-$I$76)*MIN(N$3-$O$2,$Q$2)/$Q$2))</f>
        <v>10203.8488448418</v>
      </c>
      <c r="O91" s="15" t="n">
        <f aca="false">SUMPRODUCT(E91:N91,1/(1+$F$76)^$E$3:$N$3)*$E$2</f>
        <v>17803.3932950632</v>
      </c>
      <c r="P91" s="15" t="n">
        <f aca="false">N91*$E$2*(1+$I$76)/($F$76-$I$76)/(1+$F$76)^$N$3</f>
        <v>30328.5998531747</v>
      </c>
      <c r="Q91" s="15" t="n">
        <f aca="false">O91+P91</f>
        <v>48131.9931482379</v>
      </c>
      <c r="R91" s="15" t="n">
        <f aca="false">Q91-$G$2+$I$2</f>
        <v>45614.9931482379</v>
      </c>
      <c r="S91" s="42" t="n">
        <f aca="false">R91/$K$2</f>
        <v>105.29290694852</v>
      </c>
      <c r="T91" s="43" t="n">
        <f aca="false">S91-$M$2</f>
        <v>0.0346086243429795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0.02825927734375</v>
      </c>
      <c r="C92" s="25" t="n">
        <f aca="false">IF(T91&gt;0,D91,C91)</f>
        <v>0.028350830078125</v>
      </c>
      <c r="D92" s="41" t="n">
        <f aca="false">(B92+C92)/2</f>
        <v>0.0283050537109375</v>
      </c>
      <c r="E92" s="15" t="n">
        <f aca="false">$C$2*(1+IF(E$3&lt;=$O$2,$D92,$D92-($D92-$I$76)*MIN(E$3-$O$2,$Q$2)/$Q$2))</f>
        <v>8051.62857055664</v>
      </c>
      <c r="F92" s="15" t="n">
        <f aca="false">E92*(1+IF(F$3&lt;=$O$2,$D92,$D92-($D92-$I$76)*MIN(F$3-$O$2,$Q$2)/$Q$2))</f>
        <v>8279.53034970677</v>
      </c>
      <c r="G92" s="15" t="n">
        <f aca="false">F92*(1+IF(G$3&lt;=$O$2,$D92,$D92-($D92-$I$76)*MIN(G$3-$O$2,$Q$2)/$Q$2))</f>
        <v>8513.88290095655</v>
      </c>
      <c r="H92" s="15" t="n">
        <f aca="false">G92*(1+IF(H$3&lt;=$O$2,$D92,$D92-($D92-$I$76)*MIN(H$3-$O$2,$Q$2)/$Q$2))</f>
        <v>8754.86881375676</v>
      </c>
      <c r="I92" s="15" t="n">
        <f aca="false">H92*(1+IF(I$3&lt;=$O$2,$D92,$D92-($D92-$I$76)*MIN(I$3-$O$2,$Q$2)/$Q$2))</f>
        <v>9002.67584576236</v>
      </c>
      <c r="J92" s="15" t="n">
        <f aca="false">I92*(1+IF(J$3&lt;=$O$2,$D92,$D92-($D92-$I$76)*MIN(J$3-$O$2,$Q$2)/$Q$2))</f>
        <v>9248.48529388878</v>
      </c>
      <c r="K92" s="15" t="n">
        <f aca="false">J92*(1+IF(K$3&lt;=$O$2,$D92,$D92-($D92-$I$76)*MIN(K$3-$O$2,$Q$2)/$Q$2))</f>
        <v>9491.74850062083</v>
      </c>
      <c r="L92" s="15" t="n">
        <f aca="false">K92*(1+IF(L$3&lt;=$O$2,$D92,$D92-($D92-$I$76)*MIN(L$3-$O$2,$Q$2)/$Q$2))</f>
        <v>9731.90892510782</v>
      </c>
      <c r="M92" s="15" t="n">
        <f aca="false">L92*(1+IF(M$3&lt;=$O$2,$D92,$D92-($D92-$I$76)*MIN(M$3-$O$2,$Q$2)/$Q$2))</f>
        <v>9968.40414843886</v>
      </c>
      <c r="N92" s="15" t="n">
        <f aca="false">M92*(1+IF(N$3&lt;=$O$2,$D92,$D92-($D92-$I$76)*MIN(N$3-$O$2,$Q$2)/$Q$2))</f>
        <v>10200.6679650975</v>
      </c>
      <c r="O92" s="15" t="n">
        <f aca="false">SUMPRODUCT(E92:N92,1/(1+$F$76)^$E$3:$N$3)*$E$2</f>
        <v>17799.7877466664</v>
      </c>
      <c r="P92" s="15" t="n">
        <f aca="false">N92*$E$2*(1+$I$76)/($F$76-$I$76)/(1+$F$76)^$N$3</f>
        <v>30319.1454178519</v>
      </c>
      <c r="Q92" s="15" t="n">
        <f aca="false">O92+P92</f>
        <v>48118.9331645184</v>
      </c>
      <c r="R92" s="15" t="n">
        <f aca="false">Q92-$G$2+$I$2</f>
        <v>45601.9331645184</v>
      </c>
      <c r="S92" s="42" t="n">
        <f aca="false">R92/$K$2</f>
        <v>105.262760640133</v>
      </c>
      <c r="T92" s="43" t="n">
        <f aca="false">S92-$M$2</f>
        <v>0.0044623159557915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0.02825927734375</v>
      </c>
      <c r="C93" s="25" t="n">
        <f aca="false">IF(T92&gt;0,D92,C92)</f>
        <v>0.0283050537109375</v>
      </c>
      <c r="D93" s="41" t="n">
        <f aca="false">(B93+C93)/2</f>
        <v>0.0282821655273438</v>
      </c>
      <c r="E93" s="15" t="n">
        <f aca="false">$C$2*(1+IF(E$3&lt;=$O$2,$D93,$D93-($D93-$I$76)*MIN(E$3-$O$2,$Q$2)/$Q$2))</f>
        <v>8051.4493560791</v>
      </c>
      <c r="F93" s="15" t="n">
        <f aca="false">E93*(1+IF(F$3&lt;=$O$2,$D93,$D93-($D93-$I$76)*MIN(F$3-$O$2,$Q$2)/$Q$2))</f>
        <v>8279.16177950276</v>
      </c>
      <c r="G93" s="15" t="n">
        <f aca="false">F93*(1+IF(G$3&lt;=$O$2,$D93,$D93-($D93-$I$76)*MIN(G$3-$O$2,$Q$2)/$Q$2))</f>
        <v>8513.31440337831</v>
      </c>
      <c r="H93" s="15" t="n">
        <f aca="false">G93*(1+IF(H$3&lt;=$O$2,$D93,$D93-($D93-$I$76)*MIN(H$3-$O$2,$Q$2)/$Q$2))</f>
        <v>8754.08937052098</v>
      </c>
      <c r="I93" s="15" t="n">
        <f aca="false">H93*(1+IF(I$3&lt;=$O$2,$D93,$D93-($D93-$I$76)*MIN(I$3-$O$2,$Q$2)/$Q$2))</f>
        <v>9001.67397513921</v>
      </c>
      <c r="J93" s="15" t="n">
        <f aca="false">I93*(1+IF(J$3&lt;=$O$2,$D93,$D93-($D93-$I$76)*MIN(J$3-$O$2,$Q$2)/$Q$2))</f>
        <v>9247.29124257381</v>
      </c>
      <c r="K93" s="15" t="n">
        <f aca="false">J93*(1+IF(K$3&lt;=$O$2,$D93,$D93-($D93-$I$76)*MIN(K$3-$O$2,$Q$2)/$Q$2))</f>
        <v>9490.39604991582</v>
      </c>
      <c r="L93" s="15" t="n">
        <f aca="false">K93*(1+IF(L$3&lt;=$O$2,$D93,$D93-($D93-$I$76)*MIN(L$3-$O$2,$Q$2)/$Q$2))</f>
        <v>9730.43536749515</v>
      </c>
      <c r="M93" s="15" t="n">
        <f aca="false">L93*(1+IF(M$3&lt;=$O$2,$D93,$D93-($D93-$I$76)*MIN(M$3-$O$2,$Q$2)/$Q$2))</f>
        <v>9966.85023948858</v>
      </c>
      <c r="N93" s="15" t="n">
        <f aca="false">M93*(1+IF(N$3&lt;=$O$2,$D93,$D93-($D93-$I$76)*MIN(N$3-$O$2,$Q$2)/$Q$2))</f>
        <v>10199.0778500687</v>
      </c>
      <c r="O93" s="15" t="n">
        <f aca="false">SUMPRODUCT(E93:N93,1/(1+$F$76)^$E$3:$N$3)*$E$2</f>
        <v>17797.9852489829</v>
      </c>
      <c r="P93" s="15" t="n">
        <f aca="false">N93*$E$2*(1+$I$76)/($F$76-$I$76)/(1+$F$76)^$N$3</f>
        <v>30314.4191657129</v>
      </c>
      <c r="Q93" s="15" t="n">
        <f aca="false">O93+P93</f>
        <v>48112.4044146958</v>
      </c>
      <c r="R93" s="15" t="n">
        <f aca="false">Q93-$G$2+$I$2</f>
        <v>45595.4044146958</v>
      </c>
      <c r="S93" s="42" t="n">
        <f aca="false">R93/$K$2</f>
        <v>105.247690352929</v>
      </c>
      <c r="T93" s="43" t="n">
        <f aca="false">S93-$M$2</f>
        <v>-0.0106079712483336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0.0282821655273438</v>
      </c>
      <c r="C94" s="25" t="n">
        <f aca="false">IF(T93&gt;0,D93,C93)</f>
        <v>0.0283050537109375</v>
      </c>
      <c r="D94" s="41" t="n">
        <f aca="false">(B94+C94)/2</f>
        <v>0.0282936096191406</v>
      </c>
      <c r="E94" s="15" t="n">
        <f aca="false">$C$2*(1+IF(E$3&lt;=$O$2,$D94,$D94-($D94-$I$76)*MIN(E$3-$O$2,$Q$2)/$Q$2))</f>
        <v>8051.53896331787</v>
      </c>
      <c r="F94" s="15" t="n">
        <f aca="false">E94*(1+IF(F$3&lt;=$O$2,$D94,$D94-($D94-$I$76)*MIN(F$3-$O$2,$Q$2)/$Q$2))</f>
        <v>8279.34606357929</v>
      </c>
      <c r="G94" s="15" t="n">
        <f aca="false">F94*(1+IF(G$3&lt;=$O$2,$D94,$D94-($D94-$I$76)*MIN(G$3-$O$2,$Q$2)/$Q$2))</f>
        <v>8513.59864900397</v>
      </c>
      <c r="H94" s="15" t="n">
        <f aca="false">G94*(1+IF(H$3&lt;=$O$2,$D94,$D94-($D94-$I$76)*MIN(H$3-$O$2,$Q$2)/$Q$2))</f>
        <v>8754.47908563293</v>
      </c>
      <c r="I94" s="15" t="n">
        <f aca="false">H94*(1+IF(I$3&lt;=$O$2,$D94,$D94-($D94-$I$76)*MIN(I$3-$O$2,$Q$2)/$Q$2))</f>
        <v>9002.17489930076</v>
      </c>
      <c r="J94" s="15" t="n">
        <f aca="false">I94*(1+IF(J$3&lt;=$O$2,$D94,$D94-($D94-$I$76)*MIN(J$3-$O$2,$Q$2)/$Q$2))</f>
        <v>9247.88825219073</v>
      </c>
      <c r="K94" s="15" t="n">
        <f aca="false">J94*(1+IF(K$3&lt;=$O$2,$D94,$D94-($D94-$I$76)*MIN(K$3-$O$2,$Q$2)/$Q$2))</f>
        <v>9491.07225470651</v>
      </c>
      <c r="L94" s="15" t="n">
        <f aca="false">K94*(1+IF(L$3&lt;=$O$2,$D94,$D94-($D94-$I$76)*MIN(L$3-$O$2,$Q$2)/$Q$2))</f>
        <v>9731.17212212399</v>
      </c>
      <c r="M94" s="15" t="n">
        <f aca="false">L94*(1+IF(M$3&lt;=$O$2,$D94,$D94-($D94-$I$76)*MIN(M$3-$O$2,$Q$2)/$Q$2))</f>
        <v>9967.62716751239</v>
      </c>
      <c r="N94" s="15" t="n">
        <f aca="false">M94*(1+IF(N$3&lt;=$O$2,$D94,$D94-($D94-$I$76)*MIN(N$3-$O$2,$Q$2)/$Q$2))</f>
        <v>10199.8728805154</v>
      </c>
      <c r="O94" s="15" t="n">
        <f aca="false">SUMPRODUCT(E94:N94,1/(1+$F$76)^$E$3:$N$3)*$E$2</f>
        <v>17798.8864747836</v>
      </c>
      <c r="P94" s="15" t="n">
        <f aca="false">N94*$E$2*(1+$I$76)/($F$76-$I$76)/(1+$F$76)^$N$3</f>
        <v>30316.78221133</v>
      </c>
      <c r="Q94" s="15" t="n">
        <f aca="false">O94+P94</f>
        <v>48115.6686861137</v>
      </c>
      <c r="R94" s="15" t="n">
        <f aca="false">Q94-$G$2+$I$2</f>
        <v>45598.6686861137</v>
      </c>
      <c r="S94" s="42" t="n">
        <f aca="false">R94/$K$2</f>
        <v>105.255225257637</v>
      </c>
      <c r="T94" s="43" t="n">
        <f aca="false">S94-$M$2</f>
        <v>-0.00307306653972717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0.0282936096191406</v>
      </c>
      <c r="C95" s="25" t="n">
        <f aca="false">IF(T94&gt;0,D94,C94)</f>
        <v>0.0283050537109375</v>
      </c>
      <c r="D95" s="41" t="n">
        <f aca="false">(B95+C95)/2</f>
        <v>0.0282993316650391</v>
      </c>
      <c r="E95" s="15" t="n">
        <f aca="false">$C$2*(1+IF(E$3&lt;=$O$2,$D95,$D95-($D95-$I$76)*MIN(E$3-$O$2,$Q$2)/$Q$2))</f>
        <v>8051.58376693726</v>
      </c>
      <c r="F95" s="15" t="n">
        <f aca="false">E95*(1+IF(F$3&lt;=$O$2,$D95,$D95-($D95-$I$76)*MIN(F$3-$O$2,$Q$2)/$Q$2))</f>
        <v>8279.43820638666</v>
      </c>
      <c r="G95" s="15" t="n">
        <f aca="false">F95*(1+IF(G$3&lt;=$O$2,$D95,$D95-($D95-$I$76)*MIN(G$3-$O$2,$Q$2)/$Q$2))</f>
        <v>8513.74077418939</v>
      </c>
      <c r="H95" s="15" t="n">
        <f aca="false">G95*(1+IF(H$3&lt;=$O$2,$D95,$D95-($D95-$I$76)*MIN(H$3-$O$2,$Q$2)/$Q$2))</f>
        <v>8754.67394806834</v>
      </c>
      <c r="I95" s="15" t="n">
        <f aca="false">H95*(1+IF(I$3&lt;=$O$2,$D95,$D95-($D95-$I$76)*MIN(I$3-$O$2,$Q$2)/$Q$2))</f>
        <v>9002.425369744</v>
      </c>
      <c r="J95" s="15" t="n">
        <f aca="false">I95*(1+IF(J$3&lt;=$O$2,$D95,$D95-($D95-$I$76)*MIN(J$3-$O$2,$Q$2)/$Q$2))</f>
        <v>9248.18676902953</v>
      </c>
      <c r="K95" s="15" t="n">
        <f aca="false">J95*(1+IF(K$3&lt;=$O$2,$D95,$D95-($D95-$I$76)*MIN(K$3-$O$2,$Q$2)/$Q$2))</f>
        <v>9491.41037252308</v>
      </c>
      <c r="L95" s="15" t="n">
        <f aca="false">K95*(1+IF(L$3&lt;=$O$2,$D95,$D95-($D95-$I$76)*MIN(L$3-$O$2,$Q$2)/$Q$2))</f>
        <v>9731.54051757136</v>
      </c>
      <c r="M95" s="15" t="n">
        <f aca="false">L95*(1+IF(M$3&lt;=$O$2,$D95,$D95-($D95-$I$76)*MIN(M$3-$O$2,$Q$2)/$Q$2))</f>
        <v>9968.0156513626</v>
      </c>
      <c r="N95" s="15" t="n">
        <f aca="false">M95*(1+IF(N$3&lt;=$O$2,$D95,$D95-($D95-$I$76)*MIN(N$3-$O$2,$Q$2)/$Q$2))</f>
        <v>10200.2704160393</v>
      </c>
      <c r="O95" s="15" t="n">
        <f aca="false">SUMPRODUCT(E95:N95,1/(1+$F$76)^$E$3:$N$3)*$E$2</f>
        <v>17799.3371049646</v>
      </c>
      <c r="P95" s="15" t="n">
        <f aca="false">N95*$E$2*(1+$I$76)/($F$76-$I$76)/(1+$F$76)^$N$3</f>
        <v>30317.9637944773</v>
      </c>
      <c r="Q95" s="15" t="n">
        <f aca="false">O95+P95</f>
        <v>48117.3008994419</v>
      </c>
      <c r="R95" s="15" t="n">
        <f aca="false">Q95-$G$2+$I$2</f>
        <v>45600.3008994419</v>
      </c>
      <c r="S95" s="42" t="n">
        <f aca="false">R95/$K$2</f>
        <v>105.25899288916</v>
      </c>
      <c r="T95" s="43" t="n">
        <f aca="false">S95-$M$2</f>
        <v>0.000694564982950396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0.0282936096191406</v>
      </c>
      <c r="C96" s="25" t="n">
        <f aca="false">IF(T95&gt;0,D95,C95)</f>
        <v>0.0282993316650391</v>
      </c>
      <c r="D96" s="41" t="n">
        <f aca="false">(B96+C96)/2</f>
        <v>0.0282964706420898</v>
      </c>
      <c r="E96" s="15" t="n">
        <f aca="false">$C$2*(1+IF(E$3&lt;=$O$2,$D96,$D96-($D96-$I$76)*MIN(E$3-$O$2,$Q$2)/$Q$2))</f>
        <v>8051.56136512756</v>
      </c>
      <c r="F96" s="15" t="n">
        <f aca="false">E96*(1+IF(F$3&lt;=$O$2,$D96,$D96-($D96-$I$76)*MIN(F$3-$O$2,$Q$2)/$Q$2))</f>
        <v>8279.39213491888</v>
      </c>
      <c r="G96" s="15" t="n">
        <f aca="false">F96*(1+IF(G$3&lt;=$O$2,$D96,$D96-($D96-$I$76)*MIN(G$3-$O$2,$Q$2)/$Q$2))</f>
        <v>8513.66971139896</v>
      </c>
      <c r="H96" s="15" t="n">
        <f aca="false">G96*(1+IF(H$3&lt;=$O$2,$D96,$D96-($D96-$I$76)*MIN(H$3-$O$2,$Q$2)/$Q$2))</f>
        <v>8754.57651644401</v>
      </c>
      <c r="I96" s="15" t="n">
        <f aca="false">H96*(1+IF(I$3&lt;=$O$2,$D96,$D96-($D96-$I$76)*MIN(I$3-$O$2,$Q$2)/$Q$2))</f>
        <v>9002.3001338255</v>
      </c>
      <c r="J96" s="15" t="n">
        <f aca="false">I96*(1+IF(J$3&lt;=$O$2,$D96,$D96-($D96-$I$76)*MIN(J$3-$O$2,$Q$2)/$Q$2))</f>
        <v>9248.03750960758</v>
      </c>
      <c r="K96" s="15" t="n">
        <f aca="false">J96*(1+IF(K$3&lt;=$O$2,$D96,$D96-($D96-$I$76)*MIN(K$3-$O$2,$Q$2)/$Q$2))</f>
        <v>9491.24131232966</v>
      </c>
      <c r="L96" s="15" t="n">
        <f aca="false">K96*(1+IF(L$3&lt;=$O$2,$D96,$D96-($D96-$I$76)*MIN(L$3-$O$2,$Q$2)/$Q$2))</f>
        <v>9731.35631833656</v>
      </c>
      <c r="M96" s="15" t="n">
        <f aca="false">L96*(1+IF(M$3&lt;=$O$2,$D96,$D96-($D96-$I$76)*MIN(M$3-$O$2,$Q$2)/$Q$2))</f>
        <v>9967.82140778426</v>
      </c>
      <c r="N96" s="15" t="n">
        <f aca="false">M96*(1+IF(N$3&lt;=$O$2,$D96,$D96-($D96-$I$76)*MIN(N$3-$O$2,$Q$2)/$Q$2))</f>
        <v>10200.0716465856</v>
      </c>
      <c r="O96" s="15" t="n">
        <f aca="false">SUMPRODUCT(E96:N96,1/(1+$F$76)^$E$3:$N$3)*$E$2</f>
        <v>17799.111788434</v>
      </c>
      <c r="P96" s="15" t="n">
        <f aca="false">N96*$E$2*(1+$I$76)/($F$76-$I$76)/(1+$F$76)^$N$3</f>
        <v>30317.3729978753</v>
      </c>
      <c r="Q96" s="15" t="n">
        <f aca="false">O96+P96</f>
        <v>48116.4847863094</v>
      </c>
      <c r="R96" s="15" t="n">
        <f aca="false">Q96-$G$2+$I$2</f>
        <v>45599.4847863094</v>
      </c>
      <c r="S96" s="42" t="n">
        <f aca="false">R96/$K$2</f>
        <v>105.257109058468</v>
      </c>
      <c r="T96" s="43" t="n">
        <f aca="false">S96-$M$2</f>
        <v>-0.00118926570945632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0.0282964706420898</v>
      </c>
      <c r="C97" s="25" t="n">
        <f aca="false">IF(T96&gt;0,D96,C96)</f>
        <v>0.0282993316650391</v>
      </c>
      <c r="D97" s="41" t="n">
        <f aca="false">(B97+C97)/2</f>
        <v>0.0282979011535645</v>
      </c>
      <c r="E97" s="15" t="n">
        <f aca="false">$C$2*(1+IF(E$3&lt;=$O$2,$D97,$D97-($D97-$I$76)*MIN(E$3-$O$2,$Q$2)/$Q$2))</f>
        <v>8051.57256603241</v>
      </c>
      <c r="F97" s="15" t="n">
        <f aca="false">E97*(1+IF(F$3&lt;=$O$2,$D97,$D97-($D97-$I$76)*MIN(F$3-$O$2,$Q$2)/$Q$2))</f>
        <v>8279.41517063675</v>
      </c>
      <c r="G97" s="15" t="n">
        <f aca="false">F97*(1+IF(G$3&lt;=$O$2,$D97,$D97-($D97-$I$76)*MIN(G$3-$O$2,$Q$2)/$Q$2))</f>
        <v>8513.70524274475</v>
      </c>
      <c r="H97" s="15" t="n">
        <f aca="false">G97*(1+IF(H$3&lt;=$O$2,$D97,$D97-($D97-$I$76)*MIN(H$3-$O$2,$Q$2)/$Q$2))</f>
        <v>8754.62523215452</v>
      </c>
      <c r="I97" s="15" t="n">
        <f aca="false">H97*(1+IF(I$3&lt;=$O$2,$D97,$D97-($D97-$I$76)*MIN(I$3-$O$2,$Q$2)/$Q$2))</f>
        <v>9002.36275161053</v>
      </c>
      <c r="J97" s="15" t="n">
        <f aca="false">I97*(1+IF(J$3&lt;=$O$2,$D97,$D97-($D97-$I$76)*MIN(J$3-$O$2,$Q$2)/$Q$2))</f>
        <v>9248.11213906792</v>
      </c>
      <c r="K97" s="15" t="n">
        <f aca="false">J97*(1+IF(K$3&lt;=$O$2,$D97,$D97-($D97-$I$76)*MIN(K$3-$O$2,$Q$2)/$Q$2))</f>
        <v>9491.32584210509</v>
      </c>
      <c r="L97" s="15" t="n">
        <f aca="false">K97*(1+IF(L$3&lt;=$O$2,$D97,$D97-($D97-$I$76)*MIN(L$3-$O$2,$Q$2)/$Q$2))</f>
        <v>9731.44841757618</v>
      </c>
      <c r="M97" s="15" t="n">
        <f aca="false">L97*(1+IF(M$3&lt;=$O$2,$D97,$D97-($D97-$I$76)*MIN(M$3-$O$2,$Q$2)/$Q$2))</f>
        <v>9967.91852916012</v>
      </c>
      <c r="N97" s="15" t="n">
        <f aca="false">M97*(1+IF(N$3&lt;=$O$2,$D97,$D97-($D97-$I$76)*MIN(N$3-$O$2,$Q$2)/$Q$2))</f>
        <v>10200.1710308896</v>
      </c>
      <c r="O97" s="15" t="n">
        <f aca="false">SUMPRODUCT(E97:N97,1/(1+$F$76)^$E$3:$N$3)*$E$2</f>
        <v>17799.2244463393</v>
      </c>
      <c r="P97" s="15" t="n">
        <f aca="false">N97*$E$2*(1+$I$76)/($F$76-$I$76)/(1+$F$76)^$N$3</f>
        <v>30317.6683949192</v>
      </c>
      <c r="Q97" s="15" t="n">
        <f aca="false">O97+P97</f>
        <v>48116.8928412585</v>
      </c>
      <c r="R97" s="15" t="n">
        <f aca="false">Q97-$G$2+$I$2</f>
        <v>45599.8928412585</v>
      </c>
      <c r="S97" s="42" t="n">
        <f aca="false">R97/$K$2</f>
        <v>105.258050970081</v>
      </c>
      <c r="T97" s="43" t="n">
        <f aca="false">S97-$M$2</f>
        <v>-0.000247354096018171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0.0282979011535645</v>
      </c>
      <c r="C98" s="25" t="n">
        <f aca="false">IF(T97&gt;0,D97,C97)</f>
        <v>0.0282993316650391</v>
      </c>
      <c r="D98" s="41" t="n">
        <f aca="false">(B98+C98)/2</f>
        <v>0.0282986164093018</v>
      </c>
      <c r="E98" s="15" t="n">
        <f aca="false">$C$2*(1+IF(E$3&lt;=$O$2,$D98,$D98-($D98-$I$76)*MIN(E$3-$O$2,$Q$2)/$Q$2))</f>
        <v>8051.57816648483</v>
      </c>
      <c r="F98" s="15" t="n">
        <f aca="false">E98*(1+IF(F$3&lt;=$O$2,$D98,$D98-($D98-$I$76)*MIN(F$3-$O$2,$Q$2)/$Q$2))</f>
        <v>8279.4266885077</v>
      </c>
      <c r="G98" s="15" t="n">
        <f aca="false">F98*(1+IF(G$3&lt;=$O$2,$D98,$D98-($D98-$I$76)*MIN(G$3-$O$2,$Q$2)/$Q$2))</f>
        <v>8513.72300845471</v>
      </c>
      <c r="H98" s="15" t="n">
        <f aca="false">G98*(1+IF(H$3&lt;=$O$2,$D98,$D98-($D98-$I$76)*MIN(H$3-$O$2,$Q$2)/$Q$2))</f>
        <v>8754.64959008602</v>
      </c>
      <c r="I98" s="15" t="n">
        <f aca="false">H98*(1+IF(I$3&lt;=$O$2,$D98,$D98-($D98-$I$76)*MIN(I$3-$O$2,$Q$2)/$Q$2))</f>
        <v>9002.39406063371</v>
      </c>
      <c r="J98" s="15" t="n">
        <f aca="false">I98*(1+IF(J$3&lt;=$O$2,$D98,$D98-($D98-$I$76)*MIN(J$3-$O$2,$Q$2)/$Q$2))</f>
        <v>9248.14945398607</v>
      </c>
      <c r="K98" s="15" t="n">
        <f aca="false">J98*(1+IF(K$3&lt;=$O$2,$D98,$D98-($D98-$I$76)*MIN(K$3-$O$2,$Q$2)/$Q$2))</f>
        <v>9491.36810723376</v>
      </c>
      <c r="L98" s="15" t="n">
        <f aca="false">K98*(1+IF(L$3&lt;=$O$2,$D98,$D98-($D98-$I$76)*MIN(L$3-$O$2,$Q$2)/$Q$2))</f>
        <v>9731.49446747932</v>
      </c>
      <c r="M98" s="15" t="n">
        <f aca="false">L98*(1+IF(M$3&lt;=$O$2,$D98,$D98-($D98-$I$76)*MIN(M$3-$O$2,$Q$2)/$Q$2))</f>
        <v>9967.96709015803</v>
      </c>
      <c r="N98" s="15" t="n">
        <f aca="false">M98*(1+IF(N$3&lt;=$O$2,$D98,$D98-($D98-$I$76)*MIN(N$3-$O$2,$Q$2)/$Q$2))</f>
        <v>10200.2207233587</v>
      </c>
      <c r="O98" s="15" t="n">
        <f aca="false">SUMPRODUCT(E98:N98,1/(1+$F$76)^$E$3:$N$3)*$E$2</f>
        <v>17799.280775562</v>
      </c>
      <c r="P98" s="15" t="n">
        <f aca="false">N98*$E$2*(1+$I$76)/($F$76-$I$76)/(1+$F$76)^$N$3</f>
        <v>30317.816094384</v>
      </c>
      <c r="Q98" s="15" t="n">
        <f aca="false">O98+P98</f>
        <v>48117.0968699459</v>
      </c>
      <c r="R98" s="15" t="n">
        <f aca="false">Q98-$G$2+$I$2</f>
        <v>45600.0968699459</v>
      </c>
      <c r="S98" s="42" t="n">
        <f aca="false">R98/$K$2</f>
        <v>105.258521928687</v>
      </c>
      <c r="T98" s="43" t="n">
        <f aca="false">S98-$M$2</f>
        <v>0.000223604510253494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0.0282979011535645</v>
      </c>
      <c r="C99" s="25" t="n">
        <f aca="false">IF(T98&gt;0,D98,C98)</f>
        <v>0.0282986164093018</v>
      </c>
      <c r="D99" s="41" t="n">
        <f aca="false">(B99+C99)/2</f>
        <v>0.0282982587814331</v>
      </c>
      <c r="E99" s="15" t="n">
        <f aca="false">$C$2*(1+IF(E$3&lt;=$O$2,$D99,$D99-($D99-$I$76)*MIN(E$3-$O$2,$Q$2)/$Q$2))</f>
        <v>8051.57536625862</v>
      </c>
      <c r="F99" s="15" t="n">
        <f aca="false">E99*(1+IF(F$3&lt;=$O$2,$D99,$D99-($D99-$I$76)*MIN(F$3-$O$2,$Q$2)/$Q$2))</f>
        <v>8279.42092957122</v>
      </c>
      <c r="G99" s="15" t="n">
        <f aca="false">F99*(1+IF(G$3&lt;=$O$2,$D99,$D99-($D99-$I$76)*MIN(G$3-$O$2,$Q$2)/$Q$2))</f>
        <v>8513.71412559664</v>
      </c>
      <c r="H99" s="15" t="n">
        <f aca="false">G99*(1+IF(H$3&lt;=$O$2,$D99,$D99-($D99-$I$76)*MIN(H$3-$O$2,$Q$2)/$Q$2))</f>
        <v>8754.63741111391</v>
      </c>
      <c r="I99" s="15" t="n">
        <f aca="false">H99*(1+IF(I$3&lt;=$O$2,$D99,$D99-($D99-$I$76)*MIN(I$3-$O$2,$Q$2)/$Q$2))</f>
        <v>9002.37840611123</v>
      </c>
      <c r="J99" s="15" t="n">
        <f aca="false">I99*(1+IF(J$3&lt;=$O$2,$D99,$D99-($D99-$I$76)*MIN(J$3-$O$2,$Q$2)/$Q$2))</f>
        <v>9248.13079651133</v>
      </c>
      <c r="K99" s="15" t="n">
        <f aca="false">J99*(1+IF(K$3&lt;=$O$2,$D99,$D99-($D99-$I$76)*MIN(K$3-$O$2,$Q$2)/$Q$2))</f>
        <v>9491.34697464934</v>
      </c>
      <c r="L99" s="15" t="n">
        <f aca="false">K99*(1+IF(L$3&lt;=$O$2,$D99,$D99-($D99-$I$76)*MIN(L$3-$O$2,$Q$2)/$Q$2))</f>
        <v>9731.47144250414</v>
      </c>
      <c r="M99" s="15" t="n">
        <f aca="false">L99*(1+IF(M$3&lt;=$O$2,$D99,$D99-($D99-$I$76)*MIN(M$3-$O$2,$Q$2)/$Q$2))</f>
        <v>9967.94280963324</v>
      </c>
      <c r="N99" s="15" t="n">
        <f aca="false">M99*(1+IF(N$3&lt;=$O$2,$D99,$D99-($D99-$I$76)*MIN(N$3-$O$2,$Q$2)/$Q$2))</f>
        <v>10200.1958770977</v>
      </c>
      <c r="O99" s="15" t="n">
        <f aca="false">SUMPRODUCT(E99:N99,1/(1+$F$76)^$E$3:$N$3)*$E$2</f>
        <v>17799.2526109281</v>
      </c>
      <c r="P99" s="15" t="n">
        <f aca="false">N99*$E$2*(1+$I$76)/($F$76-$I$76)/(1+$F$76)^$N$3</f>
        <v>30317.742244573</v>
      </c>
      <c r="Q99" s="15" t="n">
        <f aca="false">O99+P99</f>
        <v>48116.9948555011</v>
      </c>
      <c r="R99" s="15" t="n">
        <f aca="false">Q99-$G$2+$I$2</f>
        <v>45599.9948555011</v>
      </c>
      <c r="S99" s="42" t="n">
        <f aca="false">R99/$K$2</f>
        <v>105.258286449151</v>
      </c>
      <c r="T99" s="43" t="n">
        <f aca="false">S99-$M$2</f>
        <v>-1.1875026231678E-005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0.0282982587814331</v>
      </c>
      <c r="C100" s="25" t="n">
        <f aca="false">IF(T99&gt;0,D99,C99)</f>
        <v>0.0282986164093018</v>
      </c>
      <c r="D100" s="41" t="n">
        <f aca="false">(B100+C100)/2</f>
        <v>0.0282984375953674</v>
      </c>
      <c r="E100" s="15" t="n">
        <f aca="false">$C$2*(1+IF(E$3&lt;=$O$2,$D100,$D100-($D100-$I$76)*MIN(E$3-$O$2,$Q$2)/$Q$2))</f>
        <v>8051.57676637173</v>
      </c>
      <c r="F100" s="15" t="n">
        <f aca="false">E100*(1+IF(F$3&lt;=$O$2,$D100,$D100-($D100-$I$76)*MIN(F$3-$O$2,$Q$2)/$Q$2))</f>
        <v>8279.42380903921</v>
      </c>
      <c r="G100" s="15" t="n">
        <f aca="false">F100*(1+IF(G$3&lt;=$O$2,$D100,$D100-($D100-$I$76)*MIN(G$3-$O$2,$Q$2)/$Q$2))</f>
        <v>8513.7185670249</v>
      </c>
      <c r="H100" s="15" t="n">
        <f aca="false">G100*(1+IF(H$3&lt;=$O$2,$D100,$D100-($D100-$I$76)*MIN(H$3-$O$2,$Q$2)/$Q$2))</f>
        <v>8754.64350059838</v>
      </c>
      <c r="I100" s="15" t="n">
        <f aca="false">H100*(1+IF(I$3&lt;=$O$2,$D100,$D100-($D100-$I$76)*MIN(I$3-$O$2,$Q$2)/$Q$2))</f>
        <v>9002.38623336975</v>
      </c>
      <c r="J100" s="15" t="n">
        <f aca="false">I100*(1+IF(J$3&lt;=$O$2,$D100,$D100-($D100-$I$76)*MIN(J$3-$O$2,$Q$2)/$Q$2))</f>
        <v>9248.14012524478</v>
      </c>
      <c r="K100" s="15" t="n">
        <f aca="false">J100*(1+IF(K$3&lt;=$O$2,$D100,$D100-($D100-$I$76)*MIN(K$3-$O$2,$Q$2)/$Q$2))</f>
        <v>9491.35754093653</v>
      </c>
      <c r="L100" s="15" t="n">
        <f aca="false">K100*(1+IF(L$3&lt;=$O$2,$D100,$D100-($D100-$I$76)*MIN(L$3-$O$2,$Q$2)/$Q$2))</f>
        <v>9731.48295498583</v>
      </c>
      <c r="M100" s="15" t="n">
        <f aca="false">L100*(1+IF(M$3&lt;=$O$2,$D100,$D100-($D100-$I$76)*MIN(M$3-$O$2,$Q$2)/$Q$2))</f>
        <v>9967.95494988918</v>
      </c>
      <c r="N100" s="15" t="n">
        <f aca="false">M100*(1+IF(N$3&lt;=$O$2,$D100,$D100-($D100-$I$76)*MIN(N$3-$O$2,$Q$2)/$Q$2))</f>
        <v>10200.2083002216</v>
      </c>
      <c r="O100" s="15" t="n">
        <f aca="false">SUMPRODUCT(E100:N100,1/(1+$F$76)^$E$3:$N$3)*$E$2</f>
        <v>17799.2666932394</v>
      </c>
      <c r="P100" s="15" t="n">
        <f aca="false">N100*$E$2*(1+$I$76)/($F$76-$I$76)/(1+$F$76)^$N$3</f>
        <v>30317.7791694589</v>
      </c>
      <c r="Q100" s="15" t="n">
        <f aca="false">O100+P100</f>
        <v>48117.0458626983</v>
      </c>
      <c r="R100" s="15" t="n">
        <f aca="false">Q100-$G$2+$I$2</f>
        <v>45600.0458626983</v>
      </c>
      <c r="S100" s="42" t="n">
        <f aca="false">R100/$K$2</f>
        <v>105.258404188861</v>
      </c>
      <c r="T100" s="43" t="n">
        <f aca="false">S100-$M$2</f>
        <v>0.000105864683732193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0.0282982587814331</v>
      </c>
      <c r="C101" s="25" t="n">
        <f aca="false">IF(T100&gt;0,D100,C100)</f>
        <v>0.0282984375953674</v>
      </c>
      <c r="D101" s="41" t="n">
        <f aca="false">(B101+C101)/2</f>
        <v>0.0282983481884003</v>
      </c>
      <c r="E101" s="15" t="n">
        <f aca="false">$C$2*(1+IF(E$3&lt;=$O$2,$D101,$D101-($D101-$I$76)*MIN(E$3-$O$2,$Q$2)/$Q$2))</f>
        <v>8051.57606631517</v>
      </c>
      <c r="F101" s="15" t="n">
        <f aca="false">E101*(1+IF(F$3&lt;=$O$2,$D101,$D101-($D101-$I$76)*MIN(F$3-$O$2,$Q$2)/$Q$2))</f>
        <v>8279.42236930515</v>
      </c>
      <c r="G101" s="15" t="n">
        <f aca="false">F101*(1+IF(G$3&lt;=$O$2,$D101,$D101-($D101-$I$76)*MIN(G$3-$O$2,$Q$2)/$Q$2))</f>
        <v>8513.71634631058</v>
      </c>
      <c r="H101" s="15" t="n">
        <f aca="false">G101*(1+IF(H$3&lt;=$O$2,$D101,$D101-($D101-$I$76)*MIN(H$3-$O$2,$Q$2)/$Q$2))</f>
        <v>8754.64045585575</v>
      </c>
      <c r="I101" s="15" t="n">
        <f aca="false">H101*(1+IF(I$3&lt;=$O$2,$D101,$D101-($D101-$I$76)*MIN(I$3-$O$2,$Q$2)/$Q$2))</f>
        <v>9002.38231973981</v>
      </c>
      <c r="J101" s="15" t="n">
        <f aca="false">I101*(1+IF(J$3&lt;=$O$2,$D101,$D101-($D101-$I$76)*MIN(J$3-$O$2,$Q$2)/$Q$2))</f>
        <v>9248.13546087708</v>
      </c>
      <c r="K101" s="15" t="n">
        <f aca="false">J101*(1+IF(K$3&lt;=$O$2,$D101,$D101-($D101-$I$76)*MIN(K$3-$O$2,$Q$2)/$Q$2))</f>
        <v>9491.35225779169</v>
      </c>
      <c r="L101" s="15" t="n">
        <f aca="false">K101*(1+IF(L$3&lt;=$O$2,$D101,$D101-($D101-$I$76)*MIN(L$3-$O$2,$Q$2)/$Q$2))</f>
        <v>9731.47719874351</v>
      </c>
      <c r="M101" s="15" t="n">
        <f aca="false">L101*(1+IF(M$3&lt;=$O$2,$D101,$D101-($D101-$I$76)*MIN(M$3-$O$2,$Q$2)/$Q$2))</f>
        <v>9967.9488797596</v>
      </c>
      <c r="N101" s="15" t="n">
        <f aca="false">M101*(1+IF(N$3&lt;=$O$2,$D101,$D101-($D101-$I$76)*MIN(N$3-$O$2,$Q$2)/$Q$2))</f>
        <v>10200.202088658</v>
      </c>
      <c r="O101" s="15" t="n">
        <f aca="false">SUMPRODUCT(E101:N101,1/(1+$F$76)^$E$3:$N$3)*$E$2</f>
        <v>17799.2596520824</v>
      </c>
      <c r="P101" s="15" t="n">
        <f aca="false">N101*$E$2*(1+$I$76)/($F$76-$I$76)/(1+$F$76)^$N$3</f>
        <v>30317.760707011</v>
      </c>
      <c r="Q101" s="15" t="n">
        <f aca="false">O101+P101</f>
        <v>48117.0203590934</v>
      </c>
      <c r="R101" s="15" t="n">
        <f aca="false">Q101-$G$2+$I$2</f>
        <v>45600.0203590934</v>
      </c>
      <c r="S101" s="42" t="n">
        <f aca="false">R101/$K$2</f>
        <v>105.258345318991</v>
      </c>
      <c r="T101" s="43" t="n">
        <f aca="false">S101-$M$2</f>
        <v>4.69948141841314E-005</v>
      </c>
    </row>
    <row r="103" customFormat="false" ht="15" hidden="false" customHeight="false" outlineLevel="0" collapsed="false">
      <c r="A103" s="38" t="s">
        <v>175</v>
      </c>
      <c r="E103" s="5" t="s">
        <v>11</v>
      </c>
      <c r="F103" s="12" t="n">
        <f aca="false">Sensitivity!$B$10</f>
        <v>0.0721529104257703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153</v>
      </c>
      <c r="B104" s="28" t="s">
        <v>154</v>
      </c>
      <c r="C104" s="28" t="s">
        <v>155</v>
      </c>
      <c r="D104" s="28" t="s">
        <v>156</v>
      </c>
      <c r="E104" s="28" t="s">
        <v>157</v>
      </c>
      <c r="F104" s="28" t="s">
        <v>158</v>
      </c>
      <c r="G104" s="28" t="s">
        <v>159</v>
      </c>
      <c r="H104" s="28" t="s">
        <v>160</v>
      </c>
      <c r="I104" s="28" t="s">
        <v>161</v>
      </c>
      <c r="J104" s="28" t="s">
        <v>162</v>
      </c>
      <c r="K104" s="28" t="s">
        <v>163</v>
      </c>
      <c r="L104" s="28" t="s">
        <v>164</v>
      </c>
      <c r="M104" s="28" t="s">
        <v>165</v>
      </c>
      <c r="N104" s="28" t="s">
        <v>166</v>
      </c>
      <c r="O104" s="28" t="s">
        <v>167</v>
      </c>
      <c r="P104" s="28" t="s">
        <v>168</v>
      </c>
      <c r="Q104" s="28" t="s">
        <v>169</v>
      </c>
      <c r="R104" s="28" t="s">
        <v>170</v>
      </c>
      <c r="S104" s="28" t="s">
        <v>171</v>
      </c>
      <c r="T104" s="28" t="s">
        <v>172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9787.5</v>
      </c>
      <c r="F105" s="15" t="n">
        <f aca="false">E105*(1+IF(F$3&lt;=$O$2,$D105,$D105-($D105-$I$103)*MIN(F$3-$O$2,$Q$2)/$Q$2))</f>
        <v>12234.375</v>
      </c>
      <c r="G105" s="15" t="n">
        <f aca="false">F105*(1+IF(G$3&lt;=$O$2,$D105,$D105-($D105-$I$103)*MIN(G$3-$O$2,$Q$2)/$Q$2))</f>
        <v>15292.96875</v>
      </c>
      <c r="H105" s="15" t="n">
        <f aca="false">G105*(1+IF(H$3&lt;=$O$2,$D105,$D105-($D105-$I$103)*MIN(H$3-$O$2,$Q$2)/$Q$2))</f>
        <v>19116.2109375</v>
      </c>
      <c r="I105" s="15" t="n">
        <f aca="false">H105*(1+IF(I$3&lt;=$O$2,$D105,$D105-($D105-$I$103)*MIN(I$3-$O$2,$Q$2)/$Q$2))</f>
        <v>23895.263671875</v>
      </c>
      <c r="J105" s="15" t="n">
        <f aca="false">I105*(1+IF(J$3&lt;=$O$2,$D105,$D105-($D105-$I$103)*MIN(J$3-$O$2,$Q$2)/$Q$2))</f>
        <v>28809.5635986328</v>
      </c>
      <c r="K105" s="15" t="n">
        <f aca="false">J105*(1+IF(K$3&lt;=$O$2,$D105,$D105-($D105-$I$103)*MIN(K$3-$O$2,$Q$2)/$Q$2))</f>
        <v>33457.1223983643</v>
      </c>
      <c r="L105" s="15" t="n">
        <f aca="false">K105*(1+IF(L$3&lt;=$O$2,$D105,$D105-($D105-$I$103)*MIN(L$3-$O$2,$Q$2)/$Q$2))</f>
        <v>37370.9365765249</v>
      </c>
      <c r="M105" s="15" t="n">
        <f aca="false">L105*(1+IF(M$3&lt;=$O$2,$D105,$D105-($D105-$I$103)*MIN(M$3-$O$2,$Q$2)/$Q$2))</f>
        <v>40085.5614094437</v>
      </c>
      <c r="N105" s="15" t="n">
        <f aca="false">M105*(1+IF(N$3&lt;=$O$2,$D105,$D105-($D105-$I$103)*MIN(N$3-$O$2,$Q$2)/$Q$2))</f>
        <v>41219.9827973309</v>
      </c>
      <c r="O105" s="15" t="n">
        <f aca="false">SUMPRODUCT(E105:N105,1/(1+$F$103)^$E$3:$N$3)*$E$2</f>
        <v>47384.977033664</v>
      </c>
      <c r="P105" s="15" t="n">
        <f aca="false">N105*$E$2*(1+$I$103)/($F$103-$I$103)/(1+$F$103)^$N$3</f>
        <v>137152.911935265</v>
      </c>
      <c r="Q105" s="15" t="n">
        <f aca="false">O105+P105</f>
        <v>184537.888968929</v>
      </c>
      <c r="R105" s="15" t="n">
        <f aca="false">Q105-$G$2+$I$2</f>
        <v>182020.888968929</v>
      </c>
      <c r="S105" s="42" t="n">
        <f aca="false">R105/$K$2</f>
        <v>420.158092814111</v>
      </c>
      <c r="T105" s="43" t="n">
        <f aca="false">S105-$M$2</f>
        <v>314.899794489934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6851.25</v>
      </c>
      <c r="F106" s="15" t="n">
        <f aca="false">E106*(1+IF(F$3&lt;=$O$2,$D106,$D106-($D106-$I$103)*MIN(F$3-$O$2,$Q$2)/$Q$2))</f>
        <v>5994.84375</v>
      </c>
      <c r="G106" s="15" t="n">
        <f aca="false">F106*(1+IF(G$3&lt;=$O$2,$D106,$D106-($D106-$I$103)*MIN(G$3-$O$2,$Q$2)/$Q$2))</f>
        <v>5245.48828125</v>
      </c>
      <c r="H106" s="15" t="n">
        <f aca="false">G106*(1+IF(H$3&lt;=$O$2,$D106,$D106-($D106-$I$103)*MIN(H$3-$O$2,$Q$2)/$Q$2))</f>
        <v>4589.80224609375</v>
      </c>
      <c r="I106" s="15" t="n">
        <f aca="false">H106*(1+IF(I$3&lt;=$O$2,$D106,$D106-($D106-$I$103)*MIN(I$3-$O$2,$Q$2)/$Q$2))</f>
        <v>4016.07696533203</v>
      </c>
      <c r="J106" s="15" t="n">
        <f aca="false">I106*(1+IF(J$3&lt;=$O$2,$D106,$D106-($D106-$I$103)*MIN(J$3-$O$2,$Q$2)/$Q$2))</f>
        <v>3637.20026442261</v>
      </c>
      <c r="K106" s="15" t="n">
        <f aca="false">J106*(1+IF(K$3&lt;=$O$2,$D106,$D106-($D106-$I$103)*MIN(K$3-$O$2,$Q$2)/$Q$2))</f>
        <v>3405.58335158418</v>
      </c>
      <c r="L106" s="15" t="n">
        <f aca="false">K106*(1+IF(L$3&lt;=$O$2,$D106,$D106-($D106-$I$103)*MIN(L$3-$O$2,$Q$2)/$Q$2))</f>
        <v>3293.13098931487</v>
      </c>
      <c r="M106" s="15" t="n">
        <f aca="false">L106*(1+IF(M$3&lt;=$O$2,$D106,$D106-($D106-$I$103)*MIN(M$3-$O$2,$Q$2)/$Q$2))</f>
        <v>3285.35920018008</v>
      </c>
      <c r="N106" s="15" t="n">
        <f aca="false">M106*(1+IF(N$3&lt;=$O$2,$D106,$D106-($D106-$I$103)*MIN(N$3-$O$2,$Q$2)/$Q$2))</f>
        <v>3378.33486554518</v>
      </c>
      <c r="O106" s="15" t="n">
        <f aca="false">SUMPRODUCT(E106:N106,1/(1+$F$103)^$E$3:$N$3)*$E$2</f>
        <v>9107.88664780918</v>
      </c>
      <c r="P106" s="15" t="n">
        <f aca="false">N106*$E$2*(1+$I$103)/($F$103-$I$103)/(1+$F$103)^$N$3</f>
        <v>11240.8699096293</v>
      </c>
      <c r="Q106" s="15" t="n">
        <f aca="false">O106+P106</f>
        <v>20348.7565574385</v>
      </c>
      <c r="R106" s="15" t="n">
        <f aca="false">Q106-$G$2+$I$2</f>
        <v>17831.7565574385</v>
      </c>
      <c r="S106" s="42" t="n">
        <f aca="false">R106/$K$2</f>
        <v>41.1609726176965</v>
      </c>
      <c r="T106" s="43" t="n">
        <f aca="false">S106-$M$2</f>
        <v>-64.0973257064806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8319.375</v>
      </c>
      <c r="F107" s="15" t="n">
        <f aca="false">E107*(1+IF(F$3&lt;=$O$2,$D107,$D107-($D107-$I$103)*MIN(F$3-$O$2,$Q$2)/$Q$2))</f>
        <v>8839.3359375</v>
      </c>
      <c r="G107" s="15" t="n">
        <f aca="false">F107*(1+IF(G$3&lt;=$O$2,$D107,$D107-($D107-$I$103)*MIN(G$3-$O$2,$Q$2)/$Q$2))</f>
        <v>9391.79443359375</v>
      </c>
      <c r="H107" s="15" t="n">
        <f aca="false">G107*(1+IF(H$3&lt;=$O$2,$D107,$D107-($D107-$I$103)*MIN(H$3-$O$2,$Q$2)/$Q$2))</f>
        <v>9978.78158569336</v>
      </c>
      <c r="I107" s="15" t="n">
        <f aca="false">H107*(1+IF(I$3&lt;=$O$2,$D107,$D107-($D107-$I$103)*MIN(I$3-$O$2,$Q$2)/$Q$2))</f>
        <v>10602.4554347992</v>
      </c>
      <c r="J107" s="15" t="n">
        <f aca="false">I107*(1+IF(J$3&lt;=$O$2,$D107,$D107-($D107-$I$103)*MIN(J$3-$O$2,$Q$2)/$Q$2))</f>
        <v>11192.5881043001</v>
      </c>
      <c r="K107" s="15" t="n">
        <f aca="false">J107*(1+IF(K$3&lt;=$O$2,$D107,$D107-($D107-$I$103)*MIN(K$3-$O$2,$Q$2)/$Q$2))</f>
        <v>11739.0102555521</v>
      </c>
      <c r="L107" s="15" t="n">
        <f aca="false">K107*(1+IF(L$3&lt;=$O$2,$D107,$D107-($D107-$I$103)*MIN(L$3-$O$2,$Q$2)/$Q$2))</f>
        <v>12231.8139060801</v>
      </c>
      <c r="M107" s="15" t="n">
        <f aca="false">L107*(1+IF(M$3&lt;=$O$2,$D107,$D107-($D107-$I$103)*MIN(M$3-$O$2,$Q$2)/$Q$2))</f>
        <v>12661.6398467398</v>
      </c>
      <c r="N107" s="15" t="n">
        <f aca="false">M107*(1+IF(N$3&lt;=$O$2,$D107,$D107-($D107-$I$103)*MIN(N$3-$O$2,$Q$2)/$Q$2))</f>
        <v>13019.9642544025</v>
      </c>
      <c r="O107" s="15" t="n">
        <f aca="false">SUMPRODUCT(E107:N107,1/(1+$F$103)^$E$3:$N$3)*$E$2</f>
        <v>20772.9633983578</v>
      </c>
      <c r="P107" s="15" t="n">
        <f aca="false">N107*$E$2*(1+$I$103)/($F$103-$I$103)/(1+$F$103)^$N$3</f>
        <v>43321.8524026167</v>
      </c>
      <c r="Q107" s="15" t="n">
        <f aca="false">O107+P107</f>
        <v>64094.8158009745</v>
      </c>
      <c r="R107" s="15" t="n">
        <f aca="false">Q107-$G$2+$I$2</f>
        <v>61577.8158009745</v>
      </c>
      <c r="S107" s="42" t="n">
        <f aca="false">R107/$K$2</f>
        <v>142.139826880048</v>
      </c>
      <c r="T107" s="43" t="n">
        <f aca="false">S107-$M$2</f>
        <v>36.8815285558711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7585.3125</v>
      </c>
      <c r="F108" s="15" t="n">
        <f aca="false">E108*(1+IF(F$3&lt;=$O$2,$D108,$D108-($D108-$I$103)*MIN(F$3-$O$2,$Q$2)/$Q$2))</f>
        <v>7348.271484375</v>
      </c>
      <c r="G108" s="15" t="n">
        <f aca="false">F108*(1+IF(G$3&lt;=$O$2,$D108,$D108-($D108-$I$103)*MIN(G$3-$O$2,$Q$2)/$Q$2))</f>
        <v>7118.63800048828</v>
      </c>
      <c r="H108" s="15" t="n">
        <f aca="false">G108*(1+IF(H$3&lt;=$O$2,$D108,$D108-($D108-$I$103)*MIN(H$3-$O$2,$Q$2)/$Q$2))</f>
        <v>6896.18056297302</v>
      </c>
      <c r="I108" s="15" t="n">
        <f aca="false">H108*(1+IF(I$3&lt;=$O$2,$D108,$D108-($D108-$I$103)*MIN(I$3-$O$2,$Q$2)/$Q$2))</f>
        <v>6680.67492038012</v>
      </c>
      <c r="J108" s="15" t="n">
        <f aca="false">I108*(1+IF(J$3&lt;=$O$2,$D108,$D108-($D108-$I$103)*MIN(J$3-$O$2,$Q$2)/$Q$2))</f>
        <v>6551.47066741996</v>
      </c>
      <c r="K108" s="15" t="n">
        <f aca="false">J108*(1+IF(K$3&lt;=$O$2,$D108,$D108-($D108-$I$103)*MIN(K$3-$O$2,$Q$2)/$Q$2))</f>
        <v>6502.79324036103</v>
      </c>
      <c r="L108" s="15" t="n">
        <f aca="false">K108*(1+IF(L$3&lt;=$O$2,$D108,$D108-($D108-$I$103)*MIN(L$3-$O$2,$Q$2)/$Q$2))</f>
        <v>6531.92575407785</v>
      </c>
      <c r="M108" s="15" t="n">
        <f aca="false">L108*(1+IF(M$3&lt;=$O$2,$D108,$D108-($D108-$I$103)*MIN(M$3-$O$2,$Q$2)/$Q$2))</f>
        <v>6638.98401718719</v>
      </c>
      <c r="N108" s="15" t="n">
        <f aca="false">M108*(1+IF(N$3&lt;=$O$2,$D108,$D108-($D108-$I$103)*MIN(N$3-$O$2,$Q$2)/$Q$2))</f>
        <v>6826.86726487359</v>
      </c>
      <c r="O108" s="15" t="n">
        <f aca="false">SUMPRODUCT(E108:N108,1/(1+$F$103)^$E$3:$N$3)*$E$2</f>
        <v>13719.7399325582</v>
      </c>
      <c r="P108" s="15" t="n">
        <f aca="false">N108*$E$2*(1+$I$103)/($F$103-$I$103)/(1+$F$103)^$N$3</f>
        <v>22715.3109057964</v>
      </c>
      <c r="Q108" s="15" t="n">
        <f aca="false">O108+P108</f>
        <v>36435.0508383546</v>
      </c>
      <c r="R108" s="15" t="n">
        <f aca="false">Q108-$G$2+$I$2</f>
        <v>33918.0508383546</v>
      </c>
      <c r="S108" s="42" t="n">
        <f aca="false">R108/$K$2</f>
        <v>78.2929016166257</v>
      </c>
      <c r="T108" s="43" t="n">
        <f aca="false">S108-$M$2</f>
        <v>-26.9653967075514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7952.34375</v>
      </c>
      <c r="F109" s="15" t="n">
        <f aca="false">E109*(1+IF(F$3&lt;=$O$2,$D109,$D109-($D109-$I$103)*MIN(F$3-$O$2,$Q$2)/$Q$2))</f>
        <v>8076.59912109375</v>
      </c>
      <c r="G109" s="15" t="n">
        <f aca="false">F109*(1+IF(G$3&lt;=$O$2,$D109,$D109-($D109-$I$103)*MIN(G$3-$O$2,$Q$2)/$Q$2))</f>
        <v>8202.79598236084</v>
      </c>
      <c r="H109" s="15" t="n">
        <f aca="false">G109*(1+IF(H$3&lt;=$O$2,$D109,$D109-($D109-$I$103)*MIN(H$3-$O$2,$Q$2)/$Q$2))</f>
        <v>8330.96466958523</v>
      </c>
      <c r="I109" s="15" t="n">
        <f aca="false">H109*(1+IF(I$3&lt;=$O$2,$D109,$D109-($D109-$I$103)*MIN(I$3-$O$2,$Q$2)/$Q$2))</f>
        <v>8461.1359925475</v>
      </c>
      <c r="J109" s="15" t="n">
        <f aca="false">I109*(1+IF(J$3&lt;=$O$2,$D109,$D109-($D109-$I$103)*MIN(J$3-$O$2,$Q$2)/$Q$2))</f>
        <v>8614.79022217216</v>
      </c>
      <c r="K109" s="15" t="n">
        <f aca="false">J109*(1+IF(K$3&lt;=$O$2,$D109,$D109-($D109-$I$103)*MIN(K$3-$O$2,$Q$2)/$Q$2))</f>
        <v>8793.07330582001</v>
      </c>
      <c r="L109" s="15" t="n">
        <f aca="false">K109*(1+IF(L$3&lt;=$O$2,$D109,$D109-($D109-$I$103)*MIN(L$3-$O$2,$Q$2)/$Q$2))</f>
        <v>8997.33639871421</v>
      </c>
      <c r="M109" s="15" t="n">
        <f aca="false">L109*(1+IF(M$3&lt;=$O$2,$D109,$D109-($D109-$I$103)*MIN(M$3-$O$2,$Q$2)/$Q$2))</f>
        <v>9229.15277102708</v>
      </c>
      <c r="N109" s="15" t="n">
        <f aca="false">M109*(1+IF(N$3&lt;=$O$2,$D109,$D109-($D109-$I$103)*MIN(N$3-$O$2,$Q$2)/$Q$2))</f>
        <v>9490.33779444715</v>
      </c>
      <c r="O109" s="15" t="n">
        <f aca="false">SUMPRODUCT(E109:N109,1/(1+$F$103)^$E$3:$N$3)*$E$2</f>
        <v>16876.9332203236</v>
      </c>
      <c r="P109" s="15" t="n">
        <f aca="false">N109*$E$2*(1+$I$103)/($F$103-$I$103)/(1+$F$103)^$N$3</f>
        <v>31577.5838664836</v>
      </c>
      <c r="Q109" s="15" t="n">
        <f aca="false">O109+P109</f>
        <v>48454.5170868073</v>
      </c>
      <c r="R109" s="15" t="n">
        <f aca="false">Q109-$G$2+$I$2</f>
        <v>45937.5170868073</v>
      </c>
      <c r="S109" s="42" t="n">
        <f aca="false">R109/$K$2</f>
        <v>106.037387670946</v>
      </c>
      <c r="T109" s="43" t="n">
        <f aca="false">S109-$M$2</f>
        <v>0.779089346768998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-0.03125</v>
      </c>
      <c r="C110" s="25" t="n">
        <f aca="false">IF(T109&gt;0,D109,C109)</f>
        <v>0.015625</v>
      </c>
      <c r="D110" s="41" t="n">
        <f aca="false">(B110+C110)/2</f>
        <v>-0.0078125</v>
      </c>
      <c r="E110" s="15" t="n">
        <f aca="false">$C$2*(1+IF(E$3&lt;=$O$2,$D110,$D110-($D110-$I$103)*MIN(E$3-$O$2,$Q$2)/$Q$2))</f>
        <v>7768.828125</v>
      </c>
      <c r="F110" s="15" t="n">
        <f aca="false">E110*(1+IF(F$3&lt;=$O$2,$D110,$D110-($D110-$I$103)*MIN(F$3-$O$2,$Q$2)/$Q$2))</f>
        <v>7708.13415527344</v>
      </c>
      <c r="G110" s="15" t="n">
        <f aca="false">F110*(1+IF(G$3&lt;=$O$2,$D110,$D110-($D110-$I$103)*MIN(G$3-$O$2,$Q$2)/$Q$2))</f>
        <v>7647.91435718536</v>
      </c>
      <c r="H110" s="15" t="n">
        <f aca="false">G110*(1+IF(H$3&lt;=$O$2,$D110,$D110-($D110-$I$103)*MIN(H$3-$O$2,$Q$2)/$Q$2))</f>
        <v>7588.16502626985</v>
      </c>
      <c r="I110" s="15" t="n">
        <f aca="false">H110*(1+IF(I$3&lt;=$O$2,$D110,$D110-($D110-$I$103)*MIN(I$3-$O$2,$Q$2)/$Q$2))</f>
        <v>7528.88248700212</v>
      </c>
      <c r="J110" s="15" t="n">
        <f aca="false">I110*(1+IF(J$3&lt;=$O$2,$D110,$D110-($D110-$I$103)*MIN(J$3-$O$2,$Q$2)/$Q$2))</f>
        <v>7524.44044633479</v>
      </c>
      <c r="K110" s="15" t="n">
        <f aca="false">J110*(1+IF(K$3&lt;=$O$2,$D110,$D110-($D110-$I$103)*MIN(K$3-$O$2,$Q$2)/$Q$2))</f>
        <v>7574.34629759511</v>
      </c>
      <c r="L110" s="15" t="n">
        <f aca="false">K110*(1+IF(L$3&lt;=$O$2,$D110,$D110-($D110-$I$103)*MIN(L$3-$O$2,$Q$2)/$Q$2))</f>
        <v>7679.28886554829</v>
      </c>
      <c r="M110" s="15" t="n">
        <f aca="false">L110*(1+IF(M$3&lt;=$O$2,$D110,$D110-($D110-$I$103)*MIN(M$3-$O$2,$Q$2)/$Q$2))</f>
        <v>7841.14907661188</v>
      </c>
      <c r="N110" s="15" t="n">
        <f aca="false">M110*(1+IF(N$3&lt;=$O$2,$D110,$D110-($D110-$I$103)*MIN(N$3-$O$2,$Q$2)/$Q$2))</f>
        <v>8063.05359548</v>
      </c>
      <c r="O110" s="15" t="n">
        <f aca="false">SUMPRODUCT(E110:N110,1/(1+$F$103)^$E$3:$N$3)*$E$2</f>
        <v>15214.899867771</v>
      </c>
      <c r="P110" s="15" t="n">
        <f aca="false">N110*$E$2*(1+$I$103)/($F$103-$I$103)/(1+$F$103)^$N$3</f>
        <v>26828.5235621641</v>
      </c>
      <c r="Q110" s="15" t="n">
        <f aca="false">O110+P110</f>
        <v>42043.4234299351</v>
      </c>
      <c r="R110" s="15" t="n">
        <f aca="false">Q110-$G$2+$I$2</f>
        <v>39526.4234299351</v>
      </c>
      <c r="S110" s="42" t="n">
        <f aca="false">R110/$K$2</f>
        <v>91.2386857253476</v>
      </c>
      <c r="T110" s="43" t="n">
        <f aca="false">S110-$M$2</f>
        <v>-14.0196125988295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-0.0078125</v>
      </c>
      <c r="C111" s="25" t="n">
        <f aca="false">IF(T110&gt;0,D110,C110)</f>
        <v>0.015625</v>
      </c>
      <c r="D111" s="41" t="n">
        <f aca="false">(B111+C111)/2</f>
        <v>0.00390625</v>
      </c>
      <c r="E111" s="15" t="n">
        <f aca="false">$C$2*(1+IF(E$3&lt;=$O$2,$D111,$D111-($D111-$I$103)*MIN(E$3-$O$2,$Q$2)/$Q$2))</f>
        <v>7860.5859375</v>
      </c>
      <c r="F111" s="15" t="n">
        <f aca="false">E111*(1+IF(F$3&lt;=$O$2,$D111,$D111-($D111-$I$103)*MIN(F$3-$O$2,$Q$2)/$Q$2))</f>
        <v>7891.29135131836</v>
      </c>
      <c r="G111" s="15" t="n">
        <f aca="false">F111*(1+IF(G$3&lt;=$O$2,$D111,$D111-($D111-$I$103)*MIN(G$3-$O$2,$Q$2)/$Q$2))</f>
        <v>7922.11670815945</v>
      </c>
      <c r="H111" s="15" t="n">
        <f aca="false">G111*(1+IF(H$3&lt;=$O$2,$D111,$D111-($D111-$I$103)*MIN(H$3-$O$2,$Q$2)/$Q$2))</f>
        <v>7953.0624765507</v>
      </c>
      <c r="I111" s="15" t="n">
        <f aca="false">H111*(1+IF(I$3&lt;=$O$2,$D111,$D111-($D111-$I$103)*MIN(I$3-$O$2,$Q$2)/$Q$2))</f>
        <v>7984.12912684972</v>
      </c>
      <c r="J111" s="15" t="n">
        <f aca="false">I111*(1+IF(J$3&lt;=$O$2,$D111,$D111-($D111-$I$103)*MIN(J$3-$O$2,$Q$2)/$Q$2))</f>
        <v>8054.2697012291</v>
      </c>
      <c r="K111" s="15" t="n">
        <f aca="false">J111*(1+IF(K$3&lt;=$O$2,$D111,$D111-($D111-$I$103)*MIN(K$3-$O$2,$Q$2)/$Q$2))</f>
        <v>8164.32122885927</v>
      </c>
      <c r="L111" s="15" t="n">
        <f aca="false">K111*(1+IF(L$3&lt;=$O$2,$D111,$D111-($D111-$I$103)*MIN(L$3-$O$2,$Q$2)/$Q$2))</f>
        <v>8315.70815524539</v>
      </c>
      <c r="M111" s="15" t="n">
        <f aca="false">L111*(1+IF(M$3&lt;=$O$2,$D111,$D111-($D111-$I$103)*MIN(M$3-$O$2,$Q$2)/$Q$2))</f>
        <v>8510.47243487643</v>
      </c>
      <c r="N111" s="15" t="n">
        <f aca="false">M111*(1+IF(N$3&lt;=$O$2,$D111,$D111-($D111-$I$103)*MIN(N$3-$O$2,$Q$2)/$Q$2))</f>
        <v>8751.31880478343</v>
      </c>
      <c r="O111" s="15" t="n">
        <f aca="false">SUMPRODUCT(E111:N111,1/(1+$F$103)^$E$3:$N$3)*$E$2</f>
        <v>16024.0025220947</v>
      </c>
      <c r="P111" s="15" t="n">
        <f aca="false">N111*$E$2*(1+$I$103)/($F$103-$I$103)/(1+$F$103)^$N$3</f>
        <v>29118.6161637023</v>
      </c>
      <c r="Q111" s="15" t="n">
        <f aca="false">O111+P111</f>
        <v>45142.618685797</v>
      </c>
      <c r="R111" s="15" t="n">
        <f aca="false">Q111-$G$2+$I$2</f>
        <v>42625.618685797</v>
      </c>
      <c r="S111" s="42" t="n">
        <f aca="false">R111/$K$2</f>
        <v>98.3925457868912</v>
      </c>
      <c r="T111" s="43" t="n">
        <f aca="false">S111-$M$2</f>
        <v>-6.86575253728591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0.00390625</v>
      </c>
      <c r="C112" s="25" t="n">
        <f aca="false">IF(T111&gt;0,D111,C111)</f>
        <v>0.015625</v>
      </c>
      <c r="D112" s="41" t="n">
        <f aca="false">(B112+C112)/2</f>
        <v>0.009765625</v>
      </c>
      <c r="E112" s="15" t="n">
        <f aca="false">$C$2*(1+IF(E$3&lt;=$O$2,$D112,$D112-($D112-$I$103)*MIN(E$3-$O$2,$Q$2)/$Q$2))</f>
        <v>7906.46484375</v>
      </c>
      <c r="F112" s="15" t="n">
        <f aca="false">E112*(1+IF(F$3&lt;=$O$2,$D112,$D112-($D112-$I$103)*MIN(F$3-$O$2,$Q$2)/$Q$2))</f>
        <v>7983.67641448975</v>
      </c>
      <c r="G112" s="15" t="n">
        <f aca="false">F112*(1+IF(G$3&lt;=$O$2,$D112,$D112-($D112-$I$103)*MIN(G$3-$O$2,$Q$2)/$Q$2))</f>
        <v>8061.642004475</v>
      </c>
      <c r="H112" s="15" t="n">
        <f aca="false">G112*(1+IF(H$3&lt;=$O$2,$D112,$D112-($D112-$I$103)*MIN(H$3-$O$2,$Q$2)/$Q$2))</f>
        <v>8140.36897717495</v>
      </c>
      <c r="I112" s="15" t="n">
        <f aca="false">H112*(1+IF(I$3&lt;=$O$2,$D112,$D112-($D112-$I$103)*MIN(I$3-$O$2,$Q$2)/$Q$2))</f>
        <v>8219.86476796767</v>
      </c>
      <c r="J112" s="15" t="n">
        <f aca="false">I112*(1+IF(J$3&lt;=$O$2,$D112,$D112-($D112-$I$103)*MIN(J$3-$O$2,$Q$2)/$Q$2))</f>
        <v>8330.60689605412</v>
      </c>
      <c r="K112" s="15" t="n">
        <f aca="false">J112*(1+IF(K$3&lt;=$O$2,$D112,$D112-($D112-$I$103)*MIN(K$3-$O$2,$Q$2)/$Q$2))</f>
        <v>8473.72151589902</v>
      </c>
      <c r="L112" s="15" t="n">
        <f aca="false">K112*(1+IF(L$3&lt;=$O$2,$D112,$D112-($D112-$I$103)*MIN(L$3-$O$2,$Q$2)/$Q$2))</f>
        <v>8650.70578191046</v>
      </c>
      <c r="M112" s="15" t="n">
        <f aca="false">L112*(1+IF(M$3&lt;=$O$2,$D112,$D112-($D112-$I$103)*MIN(M$3-$O$2,$Q$2)/$Q$2))</f>
        <v>8863.45367054321</v>
      </c>
      <c r="N112" s="15" t="n">
        <f aca="false">M112*(1+IF(N$3&lt;=$O$2,$D112,$D112-($D112-$I$103)*MIN(N$3-$O$2,$Q$2)/$Q$2))</f>
        <v>9114.28940941958</v>
      </c>
      <c r="O112" s="15" t="n">
        <f aca="false">SUMPRODUCT(E112:N112,1/(1+$F$103)^$E$3:$N$3)*$E$2</f>
        <v>16444.8524376124</v>
      </c>
      <c r="P112" s="15" t="n">
        <f aca="false">N112*$E$2*(1+$I$103)/($F$103-$I$103)/(1+$F$103)^$N$3</f>
        <v>30326.3429019089</v>
      </c>
      <c r="Q112" s="15" t="n">
        <f aca="false">O112+P112</f>
        <v>46771.1953395214</v>
      </c>
      <c r="R112" s="15" t="n">
        <f aca="false">Q112-$G$2+$I$2</f>
        <v>44254.1953395214</v>
      </c>
      <c r="S112" s="42" t="n">
        <f aca="false">R112/$K$2</f>
        <v>102.15178278824</v>
      </c>
      <c r="T112" s="43" t="n">
        <f aca="false">S112-$M$2</f>
        <v>-3.10651553593708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0.009765625</v>
      </c>
      <c r="C113" s="25" t="n">
        <f aca="false">IF(T112&gt;0,D112,C112)</f>
        <v>0.015625</v>
      </c>
      <c r="D113" s="41" t="n">
        <f aca="false">(B113+C113)/2</f>
        <v>0.0126953125</v>
      </c>
      <c r="E113" s="15" t="n">
        <f aca="false">$C$2*(1+IF(E$3&lt;=$O$2,$D113,$D113-($D113-$I$103)*MIN(E$3-$O$2,$Q$2)/$Q$2))</f>
        <v>7929.404296875</v>
      </c>
      <c r="F113" s="15" t="n">
        <f aca="false">E113*(1+IF(F$3&lt;=$O$2,$D113,$D113-($D113-$I$103)*MIN(F$3-$O$2,$Q$2)/$Q$2))</f>
        <v>8030.07056236267</v>
      </c>
      <c r="G113" s="15" t="n">
        <f aca="false">F113*(1+IF(G$3&lt;=$O$2,$D113,$D113-($D113-$I$103)*MIN(G$3-$O$2,$Q$2)/$Q$2))</f>
        <v>8132.01481754892</v>
      </c>
      <c r="H113" s="15" t="n">
        <f aca="false">G113*(1+IF(H$3&lt;=$O$2,$D113,$D113-($D113-$I$103)*MIN(H$3-$O$2,$Q$2)/$Q$2))</f>
        <v>8235.25328691233</v>
      </c>
      <c r="I113" s="15" t="n">
        <f aca="false">H113*(1+IF(I$3&lt;=$O$2,$D113,$D113-($D113-$I$103)*MIN(I$3-$O$2,$Q$2)/$Q$2))</f>
        <v>8339.80240090633</v>
      </c>
      <c r="J113" s="15" t="n">
        <f aca="false">I113*(1+IF(J$3&lt;=$O$2,$D113,$D113-($D113-$I$103)*MIN(J$3-$O$2,$Q$2)/$Q$2))</f>
        <v>8471.70680062967</v>
      </c>
      <c r="K113" s="15" t="n">
        <f aca="false">J113*(1+IF(K$3&lt;=$O$2,$D113,$D113-($D113-$I$103)*MIN(K$3-$O$2,$Q$2)/$Q$2))</f>
        <v>8632.13710075822</v>
      </c>
      <c r="L113" s="15" t="n">
        <f aca="false">K113*(1+IF(L$3&lt;=$O$2,$D113,$D113-($D113-$I$103)*MIN(L$3-$O$2,$Q$2)/$Q$2))</f>
        <v>8822.54585994388</v>
      </c>
      <c r="M113" s="15" t="n">
        <f aca="false">L113*(1+IF(M$3&lt;=$O$2,$D113,$D113-($D113-$I$103)*MIN(M$3-$O$2,$Q$2)/$Q$2))</f>
        <v>9044.68929356052</v>
      </c>
      <c r="N113" s="15" t="n">
        <f aca="false">M113*(1+IF(N$3&lt;=$O$2,$D113,$D113-($D113-$I$103)*MIN(N$3-$O$2,$Q$2)/$Q$2))</f>
        <v>9300.65400056828</v>
      </c>
      <c r="O113" s="15" t="n">
        <f aca="false">SUMPRODUCT(E113:N113,1/(1+$F$103)^$E$3:$N$3)*$E$2</f>
        <v>16659.4715289389</v>
      </c>
      <c r="P113" s="15" t="n">
        <f aca="false">N113*$E$2*(1+$I$103)/($F$103-$I$103)/(1+$F$103)^$N$3</f>
        <v>30946.4413256114</v>
      </c>
      <c r="Q113" s="15" t="n">
        <f aca="false">O113+P113</f>
        <v>47605.9128545503</v>
      </c>
      <c r="R113" s="15" t="n">
        <f aca="false">Q113-$G$2+$I$2</f>
        <v>45088.9128545503</v>
      </c>
      <c r="S113" s="42" t="n">
        <f aca="false">R113/$K$2</f>
        <v>104.078557902567</v>
      </c>
      <c r="T113" s="43" t="n">
        <f aca="false">S113-$M$2</f>
        <v>-1.17974042160962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0.0126953125</v>
      </c>
      <c r="C114" s="25" t="n">
        <f aca="false">IF(T113&gt;0,D113,C113)</f>
        <v>0.015625</v>
      </c>
      <c r="D114" s="41" t="n">
        <f aca="false">(B114+C114)/2</f>
        <v>0.01416015625</v>
      </c>
      <c r="E114" s="15" t="n">
        <f aca="false">$C$2*(1+IF(E$3&lt;=$O$2,$D114,$D114-($D114-$I$103)*MIN(E$3-$O$2,$Q$2)/$Q$2))</f>
        <v>7940.8740234375</v>
      </c>
      <c r="F114" s="15" t="n">
        <f aca="false">E114*(1+IF(F$3&lt;=$O$2,$D114,$D114-($D114-$I$103)*MIN(F$3-$O$2,$Q$2)/$Q$2))</f>
        <v>8053.31804037094</v>
      </c>
      <c r="G114" s="15" t="n">
        <f aca="false">F114*(1+IF(G$3&lt;=$O$2,$D114,$D114-($D114-$I$103)*MIN(G$3-$O$2,$Q$2)/$Q$2))</f>
        <v>8167.35428215354</v>
      </c>
      <c r="H114" s="15" t="n">
        <f aca="false">G114*(1+IF(H$3&lt;=$O$2,$D114,$D114-($D114-$I$103)*MIN(H$3-$O$2,$Q$2)/$Q$2))</f>
        <v>8283.00529493794</v>
      </c>
      <c r="I114" s="15" t="n">
        <f aca="false">H114*(1+IF(I$3&lt;=$O$2,$D114,$D114-($D114-$I$103)*MIN(I$3-$O$2,$Q$2)/$Q$2))</f>
        <v>8400.29394413384</v>
      </c>
      <c r="J114" s="15" t="n">
        <f aca="false">I114*(1+IF(J$3&lt;=$O$2,$D114,$D114-($D114-$I$103)*MIN(J$3-$O$2,$Q$2)/$Q$2))</f>
        <v>8542.99918769352</v>
      </c>
      <c r="K114" s="15" t="n">
        <f aca="false">J114*(1+IF(K$3&lt;=$O$2,$D114,$D114-($D114-$I$103)*MIN(K$3-$O$2,$Q$2)/$Q$2))</f>
        <v>8712.28806050303</v>
      </c>
      <c r="L114" s="15" t="n">
        <f aca="false">K114*(1+IF(L$3&lt;=$O$2,$D114,$D114-($D114-$I$103)*MIN(L$3-$O$2,$Q$2)/$Q$2))</f>
        <v>8909.56965586307</v>
      </c>
      <c r="M114" s="15" t="n">
        <f aca="false">L114*(1+IF(M$3&lt;=$O$2,$D114,$D114-($D114-$I$103)*MIN(M$3-$O$2,$Q$2)/$Q$2))</f>
        <v>9136.51449256126</v>
      </c>
      <c r="N114" s="15" t="n">
        <f aca="false">M114*(1+IF(N$3&lt;=$O$2,$D114,$D114-($D114-$I$103)*MIN(N$3-$O$2,$Q$2)/$Q$2))</f>
        <v>9395.07785270075</v>
      </c>
      <c r="O114" s="15" t="n">
        <f aca="false">SUMPRODUCT(E114:N114,1/(1+$F$103)^$E$3:$N$3)*$E$2</f>
        <v>16767.8448487961</v>
      </c>
      <c r="P114" s="15" t="n">
        <f aca="false">N114*$E$2*(1+$I$103)/($F$103-$I$103)/(1+$F$103)^$N$3</f>
        <v>31260.6216186937</v>
      </c>
      <c r="Q114" s="15" t="n">
        <f aca="false">O114+P114</f>
        <v>48028.4664674898</v>
      </c>
      <c r="R114" s="15" t="n">
        <f aca="false">Q114-$G$2+$I$2</f>
        <v>45511.4664674898</v>
      </c>
      <c r="S114" s="42" t="n">
        <f aca="false">R114/$K$2</f>
        <v>105.053936723812</v>
      </c>
      <c r="T114" s="43" t="n">
        <f aca="false">S114-$M$2</f>
        <v>-0.204361600365218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0.01416015625</v>
      </c>
      <c r="C115" s="25" t="n">
        <f aca="false">IF(T114&gt;0,D114,C114)</f>
        <v>0.015625</v>
      </c>
      <c r="D115" s="41" t="n">
        <f aca="false">(B115+C115)/2</f>
        <v>0.014892578125</v>
      </c>
      <c r="E115" s="15" t="n">
        <f aca="false">$C$2*(1+IF(E$3&lt;=$O$2,$D115,$D115-($D115-$I$103)*MIN(E$3-$O$2,$Q$2)/$Q$2))</f>
        <v>7946.60888671875</v>
      </c>
      <c r="F115" s="15" t="n">
        <f aca="false">E115*(1+IF(F$3&lt;=$O$2,$D115,$D115-($D115-$I$103)*MIN(F$3-$O$2,$Q$2)/$Q$2))</f>
        <v>8064.95438039303</v>
      </c>
      <c r="G115" s="15" t="n">
        <f aca="false">F115*(1+IF(G$3&lt;=$O$2,$D115,$D115-($D115-$I$103)*MIN(G$3-$O$2,$Q$2)/$Q$2))</f>
        <v>8185.06234357759</v>
      </c>
      <c r="H115" s="15" t="n">
        <f aca="false">G115*(1+IF(H$3&lt;=$O$2,$D115,$D115-($D115-$I$103)*MIN(H$3-$O$2,$Q$2)/$Q$2))</f>
        <v>8306.95902398732</v>
      </c>
      <c r="I115" s="15" t="n">
        <f aca="false">H115*(1+IF(I$3&lt;=$O$2,$D115,$D115-($D115-$I$103)*MIN(I$3-$O$2,$Q$2)/$Q$2))</f>
        <v>8430.67106023322</v>
      </c>
      <c r="J115" s="15" t="n">
        <f aca="false">I115*(1+IF(J$3&lt;=$O$2,$D115,$D115-($D115-$I$103)*MIN(J$3-$O$2,$Q$2)/$Q$2))</f>
        <v>8578.8322003627</v>
      </c>
      <c r="K115" s="15" t="n">
        <f aca="false">J115*(1+IF(K$3&lt;=$O$2,$D115,$D115-($D115-$I$103)*MIN(K$3-$O$2,$Q$2)/$Q$2))</f>
        <v>8752.60113812991</v>
      </c>
      <c r="L115" s="15" t="n">
        <f aca="false">K115*(1+IF(L$3&lt;=$O$2,$D115,$D115-($D115-$I$103)*MIN(L$3-$O$2,$Q$2)/$Q$2))</f>
        <v>8953.35982395398</v>
      </c>
      <c r="M115" s="15" t="n">
        <f aca="false">L115*(1+IF(M$3&lt;=$O$2,$D115,$D115-($D115-$I$103)*MIN(M$3-$O$2,$Q$2)/$Q$2))</f>
        <v>9182.73161250019</v>
      </c>
      <c r="N115" s="15" t="n">
        <f aca="false">M115*(1+IF(N$3&lt;=$O$2,$D115,$D115-($D115-$I$103)*MIN(N$3-$O$2,$Q$2)/$Q$2))</f>
        <v>9442.60291713395</v>
      </c>
      <c r="O115" s="15" t="n">
        <f aca="false">SUMPRODUCT(E115:N115,1/(1+$F$103)^$E$3:$N$3)*$E$2</f>
        <v>16822.2993766999</v>
      </c>
      <c r="P115" s="15" t="n">
        <f aca="false">N115*$E$2*(1+$I$103)/($F$103-$I$103)/(1+$F$103)^$N$3</f>
        <v>31418.753683158</v>
      </c>
      <c r="Q115" s="15" t="n">
        <f aca="false">O115+P115</f>
        <v>48241.053059858</v>
      </c>
      <c r="R115" s="15" t="n">
        <f aca="false">Q115-$G$2+$I$2</f>
        <v>45724.053059858</v>
      </c>
      <c r="S115" s="42" t="n">
        <f aca="false">R115/$K$2</f>
        <v>105.544649508005</v>
      </c>
      <c r="T115" s="43" t="n">
        <f aca="false">S115-$M$2</f>
        <v>0.286351183827975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0.01416015625</v>
      </c>
      <c r="C116" s="25" t="n">
        <f aca="false">IF(T115&gt;0,D115,C115)</f>
        <v>0.014892578125</v>
      </c>
      <c r="D116" s="41" t="n">
        <f aca="false">(B116+C116)/2</f>
        <v>0.0145263671875</v>
      </c>
      <c r="E116" s="15" t="n">
        <f aca="false">$C$2*(1+IF(E$3&lt;=$O$2,$D116,$D116-($D116-$I$103)*MIN(E$3-$O$2,$Q$2)/$Q$2))</f>
        <v>7943.74145507813</v>
      </c>
      <c r="F116" s="15" t="n">
        <f aca="false">E116*(1+IF(F$3&lt;=$O$2,$D116,$D116-($D116-$I$103)*MIN(F$3-$O$2,$Q$2)/$Q$2))</f>
        <v>8059.13516029716</v>
      </c>
      <c r="G116" s="15" t="n">
        <f aca="false">F116*(1+IF(G$3&lt;=$O$2,$D116,$D116-($D116-$I$103)*MIN(G$3-$O$2,$Q$2)/$Q$2))</f>
        <v>8176.20511684932</v>
      </c>
      <c r="H116" s="15" t="n">
        <f aca="false">G116*(1+IF(H$3&lt;=$O$2,$D116,$D116-($D116-$I$103)*MIN(H$3-$O$2,$Q$2)/$Q$2))</f>
        <v>8294.97567457699</v>
      </c>
      <c r="I116" s="15" t="n">
        <f aca="false">H116*(1+IF(I$3&lt;=$O$2,$D116,$D116-($D116-$I$103)*MIN(I$3-$O$2,$Q$2)/$Q$2))</f>
        <v>8415.47153703728</v>
      </c>
      <c r="J116" s="15" t="n">
        <f aca="false">I116*(1+IF(J$3&lt;=$O$2,$D116,$D116-($D116-$I$103)*MIN(J$3-$O$2,$Q$2)/$Q$2))</f>
        <v>8560.90008961928</v>
      </c>
      <c r="K116" s="15" t="n">
        <f aca="false">J116*(1+IF(K$3&lt;=$O$2,$D116,$D116-($D116-$I$103)*MIN(K$3-$O$2,$Q$2)/$Q$2))</f>
        <v>8732.42474552816</v>
      </c>
      <c r="L116" s="15" t="n">
        <f aca="false">K116*(1+IF(L$3&lt;=$O$2,$D116,$D116-($D116-$I$103)*MIN(L$3-$O$2,$Q$2)/$Q$2))</f>
        <v>8931.44148102353</v>
      </c>
      <c r="M116" s="15" t="n">
        <f aca="false">L116*(1+IF(M$3&lt;=$O$2,$D116,$D116-($D116-$I$103)*MIN(M$3-$O$2,$Q$2)/$Q$2))</f>
        <v>9159.5975958473</v>
      </c>
      <c r="N116" s="15" t="n">
        <f aca="false">M116*(1+IF(N$3&lt;=$O$2,$D116,$D116-($D116-$I$103)*MIN(N$3-$O$2,$Q$2)/$Q$2))</f>
        <v>9418.81420780978</v>
      </c>
      <c r="O116" s="15" t="n">
        <f aca="false">SUMPRODUCT(E116:N116,1/(1+$F$103)^$E$3:$N$3)*$E$2</f>
        <v>16795.0497328913</v>
      </c>
      <c r="P116" s="15" t="n">
        <f aca="false">N116*$E$2*(1+$I$103)/($F$103-$I$103)/(1+$F$103)^$N$3</f>
        <v>31339.6005507796</v>
      </c>
      <c r="Q116" s="15" t="n">
        <f aca="false">O116+P116</f>
        <v>48134.6502836709</v>
      </c>
      <c r="R116" s="15" t="n">
        <f aca="false">Q116-$G$2+$I$2</f>
        <v>45617.6502836709</v>
      </c>
      <c r="S116" s="42" t="n">
        <f aca="false">R116/$K$2</f>
        <v>105.299040403654</v>
      </c>
      <c r="T116" s="43" t="n">
        <f aca="false">S116-$M$2</f>
        <v>0.0407420794767148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0.01416015625</v>
      </c>
      <c r="C117" s="25" t="n">
        <f aca="false">IF(T116&gt;0,D116,C116)</f>
        <v>0.0145263671875</v>
      </c>
      <c r="D117" s="41" t="n">
        <f aca="false">(B117+C117)/2</f>
        <v>0.01434326171875</v>
      </c>
      <c r="E117" s="15" t="n">
        <f aca="false">$C$2*(1+IF(E$3&lt;=$O$2,$D117,$D117-($D117-$I$103)*MIN(E$3-$O$2,$Q$2)/$Q$2))</f>
        <v>7942.30773925781</v>
      </c>
      <c r="F117" s="15" t="n">
        <f aca="false">E117*(1+IF(F$3&lt;=$O$2,$D117,$D117-($D117-$I$103)*MIN(F$3-$O$2,$Q$2)/$Q$2))</f>
        <v>8056.22633781284</v>
      </c>
      <c r="G117" s="15" t="n">
        <f aca="false">F117*(1+IF(G$3&lt;=$O$2,$D117,$D117-($D117-$I$103)*MIN(G$3-$O$2,$Q$2)/$Q$2))</f>
        <v>8171.77890064158</v>
      </c>
      <c r="H117" s="15" t="n">
        <f aca="false">G117*(1+IF(H$3&lt;=$O$2,$D117,$D117-($D117-$I$103)*MIN(H$3-$O$2,$Q$2)/$Q$2))</f>
        <v>8288.98886412124</v>
      </c>
      <c r="I117" s="15" t="n">
        <f aca="false">H117*(1+IF(I$3&lt;=$O$2,$D117,$D117-($D117-$I$103)*MIN(I$3-$O$2,$Q$2)/$Q$2))</f>
        <v>8407.88000078313</v>
      </c>
      <c r="J117" s="15" t="n">
        <f aca="false">I117*(1+IF(J$3&lt;=$O$2,$D117,$D117-($D117-$I$103)*MIN(J$3-$O$2,$Q$2)/$Q$2))</f>
        <v>8551.94574026843</v>
      </c>
      <c r="K117" s="15" t="n">
        <f aca="false">J117*(1+IF(K$3&lt;=$O$2,$D117,$D117-($D117-$I$103)*MIN(K$3-$O$2,$Q$2)/$Q$2))</f>
        <v>8722.3514436226</v>
      </c>
      <c r="L117" s="15" t="n">
        <f aca="false">K117*(1+IF(L$3&lt;=$O$2,$D117,$D117-($D117-$I$103)*MIN(L$3-$O$2,$Q$2)/$Q$2))</f>
        <v>8920.49975895883</v>
      </c>
      <c r="M117" s="15" t="n">
        <f aca="false">L117*(1+IF(M$3&lt;=$O$2,$D117,$D117-($D117-$I$103)*MIN(M$3-$O$2,$Q$2)/$Q$2))</f>
        <v>9148.04968604261</v>
      </c>
      <c r="N117" s="15" t="n">
        <f aca="false">M117*(1+IF(N$3&lt;=$O$2,$D117,$D117-($D117-$I$103)*MIN(N$3-$O$2,$Q$2)/$Q$2))</f>
        <v>9406.93949215762</v>
      </c>
      <c r="O117" s="15" t="n">
        <f aca="false">SUMPRODUCT(E117:N117,1/(1+$F$103)^$E$3:$N$3)*$E$2</f>
        <v>16781.4417002004</v>
      </c>
      <c r="P117" s="15" t="n">
        <f aca="false">N117*$E$2*(1+$I$103)/($F$103-$I$103)/(1+$F$103)^$N$3</f>
        <v>31300.0893302606</v>
      </c>
      <c r="Q117" s="15" t="n">
        <f aca="false">O117+P117</f>
        <v>48081.531030461</v>
      </c>
      <c r="R117" s="15" t="n">
        <f aca="false">Q117-$G$2+$I$2</f>
        <v>45564.531030461</v>
      </c>
      <c r="S117" s="42" t="n">
        <f aca="false">R117/$K$2</f>
        <v>105.176425443103</v>
      </c>
      <c r="T117" s="43" t="n">
        <f aca="false">S117-$M$2</f>
        <v>-0.0818728810742613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0.01434326171875</v>
      </c>
      <c r="C118" s="25" t="n">
        <f aca="false">IF(T117&gt;0,D117,C117)</f>
        <v>0.0145263671875</v>
      </c>
      <c r="D118" s="41" t="n">
        <f aca="false">(B118+C118)/2</f>
        <v>0.014434814453125</v>
      </c>
      <c r="E118" s="15" t="n">
        <f aca="false">$C$2*(1+IF(E$3&lt;=$O$2,$D118,$D118-($D118-$I$103)*MIN(E$3-$O$2,$Q$2)/$Q$2))</f>
        <v>7943.02459716797</v>
      </c>
      <c r="F118" s="15" t="n">
        <f aca="false">E118*(1+IF(F$3&lt;=$O$2,$D118,$D118-($D118-$I$103)*MIN(F$3-$O$2,$Q$2)/$Q$2))</f>
        <v>8057.6806834247</v>
      </c>
      <c r="G118" s="15" t="n">
        <f aca="false">F118*(1+IF(G$3&lt;=$O$2,$D118,$D118-($D118-$I$103)*MIN(G$3-$O$2,$Q$2)/$Q$2))</f>
        <v>8173.99180901246</v>
      </c>
      <c r="H118" s="15" t="n">
        <f aca="false">G118*(1+IF(H$3&lt;=$O$2,$D118,$D118-($D118-$I$103)*MIN(H$3-$O$2,$Q$2)/$Q$2))</f>
        <v>8291.98186411692</v>
      </c>
      <c r="I118" s="15" t="n">
        <f aca="false">H118*(1+IF(I$3&lt;=$O$2,$D118,$D118-($D118-$I$103)*MIN(I$3-$O$2,$Q$2)/$Q$2))</f>
        <v>8411.67508377413</v>
      </c>
      <c r="J118" s="15" t="n">
        <f aca="false">I118*(1+IF(J$3&lt;=$O$2,$D118,$D118-($D118-$I$103)*MIN(J$3-$O$2,$Q$2)/$Q$2))</f>
        <v>8556.42194000769</v>
      </c>
      <c r="K118" s="15" t="n">
        <f aca="false">J118*(1+IF(K$3&lt;=$O$2,$D118,$D118-($D118-$I$103)*MIN(K$3-$O$2,$Q$2)/$Q$2))</f>
        <v>8727.38685422058</v>
      </c>
      <c r="L118" s="15" t="n">
        <f aca="false">K118*(1+IF(L$3&lt;=$O$2,$D118,$D118-($D118-$I$103)*MIN(L$3-$O$2,$Q$2)/$Q$2))</f>
        <v>8925.96916696577</v>
      </c>
      <c r="M118" s="15" t="n">
        <f aca="false">L118*(1+IF(M$3&lt;=$O$2,$D118,$D118-($D118-$I$103)*MIN(M$3-$O$2,$Q$2)/$Q$2))</f>
        <v>9153.82205065376</v>
      </c>
      <c r="N118" s="15" t="n">
        <f aca="false">M118*(1+IF(N$3&lt;=$O$2,$D118,$D118-($D118-$I$103)*MIN(N$3-$O$2,$Q$2)/$Q$2))</f>
        <v>9412.87521468727</v>
      </c>
      <c r="O118" s="15" t="n">
        <f aca="false">SUMPRODUCT(E118:N118,1/(1+$F$103)^$E$3:$N$3)*$E$2</f>
        <v>16788.2443183451</v>
      </c>
      <c r="P118" s="15" t="n">
        <f aca="false">N118*$E$2*(1+$I$103)/($F$103-$I$103)/(1+$F$103)^$N$3</f>
        <v>31319.8394993323</v>
      </c>
      <c r="Q118" s="15" t="n">
        <f aca="false">O118+P118</f>
        <v>48108.0838176775</v>
      </c>
      <c r="R118" s="15" t="n">
        <f aca="false">Q118-$G$2+$I$2</f>
        <v>45591.0838176775</v>
      </c>
      <c r="S118" s="42" t="n">
        <f aca="false">R118/$K$2</f>
        <v>105.237717136045</v>
      </c>
      <c r="T118" s="43" t="n">
        <f aca="false">S118-$M$2</f>
        <v>-0.0205811881320273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0.014434814453125</v>
      </c>
      <c r="C119" s="25" t="n">
        <f aca="false">IF(T118&gt;0,D118,C118)</f>
        <v>0.0145263671875</v>
      </c>
      <c r="D119" s="41" t="n">
        <f aca="false">(B119+C119)/2</f>
        <v>0.0144805908203125</v>
      </c>
      <c r="E119" s="15" t="n">
        <f aca="false">$C$2*(1+IF(E$3&lt;=$O$2,$D119,$D119-($D119-$I$103)*MIN(E$3-$O$2,$Q$2)/$Q$2))</f>
        <v>7943.38302612305</v>
      </c>
      <c r="F119" s="15" t="n">
        <f aca="false">E119*(1+IF(F$3&lt;=$O$2,$D119,$D119-($D119-$I$103)*MIN(F$3-$O$2,$Q$2)/$Q$2))</f>
        <v>8058.40790545335</v>
      </c>
      <c r="G119" s="15" t="n">
        <f aca="false">F119*(1+IF(G$3&lt;=$O$2,$D119,$D119-($D119-$I$103)*MIN(G$3-$O$2,$Q$2)/$Q$2))</f>
        <v>8175.09841299539</v>
      </c>
      <c r="H119" s="15" t="n">
        <f aca="false">G119*(1+IF(H$3&lt;=$O$2,$D119,$D119-($D119-$I$103)*MIN(H$3-$O$2,$Q$2)/$Q$2))</f>
        <v>8293.47866802976</v>
      </c>
      <c r="I119" s="15" t="n">
        <f aca="false">H119*(1+IF(I$3&lt;=$O$2,$D119,$D119-($D119-$I$103)*MIN(I$3-$O$2,$Q$2)/$Q$2))</f>
        <v>8413.57313909849</v>
      </c>
      <c r="J119" s="15" t="n">
        <f aca="false">I119*(1+IF(J$3&lt;=$O$2,$D119,$D119-($D119-$I$103)*MIN(J$3-$O$2,$Q$2)/$Q$2))</f>
        <v>8558.66077103704</v>
      </c>
      <c r="K119" s="15" t="n">
        <f aca="false">J119*(1+IF(K$3&lt;=$O$2,$D119,$D119-($D119-$I$103)*MIN(K$3-$O$2,$Q$2)/$Q$2))</f>
        <v>8729.90548972232</v>
      </c>
      <c r="L119" s="15" t="n">
        <f aca="false">K119*(1+IF(L$3&lt;=$O$2,$D119,$D119-($D119-$I$103)*MIN(L$3-$O$2,$Q$2)/$Q$2))</f>
        <v>8928.70496065648</v>
      </c>
      <c r="M119" s="15" t="n">
        <f aca="false">L119*(1+IF(M$3&lt;=$O$2,$D119,$D119-($D119-$I$103)*MIN(M$3-$O$2,$Q$2)/$Q$2))</f>
        <v>9156.70942558385</v>
      </c>
      <c r="N119" s="15" t="n">
        <f aca="false">M119*(1+IF(N$3&lt;=$O$2,$D119,$D119-($D119-$I$103)*MIN(N$3-$O$2,$Q$2)/$Q$2))</f>
        <v>9415.84430232787</v>
      </c>
      <c r="O119" s="15" t="n">
        <f aca="false">SUMPRODUCT(E119:N119,1/(1+$F$103)^$E$3:$N$3)*$E$2</f>
        <v>16791.6466760005</v>
      </c>
      <c r="P119" s="15" t="n">
        <f aca="false">N119*$E$2*(1+$I$103)/($F$103-$I$103)/(1+$F$103)^$N$3</f>
        <v>31329.7186644378</v>
      </c>
      <c r="Q119" s="15" t="n">
        <f aca="false">O119+P119</f>
        <v>48121.3653404383</v>
      </c>
      <c r="R119" s="15" t="n">
        <f aca="false">Q119-$G$2+$I$2</f>
        <v>45604.3653404383</v>
      </c>
      <c r="S119" s="42" t="n">
        <f aca="false">R119/$K$2</f>
        <v>105.268374822119</v>
      </c>
      <c r="T119" s="43" t="n">
        <f aca="false">S119-$M$2</f>
        <v>0.0100764979417391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0.014434814453125</v>
      </c>
      <c r="C120" s="25" t="n">
        <f aca="false">IF(T119&gt;0,D119,C119)</f>
        <v>0.0144805908203125</v>
      </c>
      <c r="D120" s="41" t="n">
        <f aca="false">(B120+C120)/2</f>
        <v>0.0144577026367188</v>
      </c>
      <c r="E120" s="15" t="n">
        <f aca="false">$C$2*(1+IF(E$3&lt;=$O$2,$D120,$D120-($D120-$I$103)*MIN(E$3-$O$2,$Q$2)/$Q$2))</f>
        <v>7943.20381164551</v>
      </c>
      <c r="F120" s="15" t="n">
        <f aca="false">E120*(1+IF(F$3&lt;=$O$2,$D120,$D120-($D120-$I$103)*MIN(F$3-$O$2,$Q$2)/$Q$2))</f>
        <v>8058.04429033713</v>
      </c>
      <c r="G120" s="15" t="n">
        <f aca="false">F120*(1+IF(G$3&lt;=$O$2,$D120,$D120-($D120-$I$103)*MIN(G$3-$O$2,$Q$2)/$Q$2))</f>
        <v>8174.54509852033</v>
      </c>
      <c r="H120" s="15" t="n">
        <f aca="false">G120*(1+IF(H$3&lt;=$O$2,$D120,$D120-($D120-$I$103)*MIN(H$3-$O$2,$Q$2)/$Q$2))</f>
        <v>8292.73024074519</v>
      </c>
      <c r="I120" s="15" t="n">
        <f aca="false">H120*(1+IF(I$3&lt;=$O$2,$D120,$D120-($D120-$I$103)*MIN(I$3-$O$2,$Q$2)/$Q$2))</f>
        <v>8412.62406861241</v>
      </c>
      <c r="J120" s="15" t="n">
        <f aca="false">I120*(1+IF(J$3&lt;=$O$2,$D120,$D120-($D120-$I$103)*MIN(J$3-$O$2,$Q$2)/$Q$2))</f>
        <v>8557.54129458355</v>
      </c>
      <c r="K120" s="15" t="n">
        <f aca="false">J120*(1+IF(K$3&lt;=$O$2,$D120,$D120-($D120-$I$103)*MIN(K$3-$O$2,$Q$2)/$Q$2))</f>
        <v>8728.64609444136</v>
      </c>
      <c r="L120" s="15" t="n">
        <f aca="false">K120*(1+IF(L$3&lt;=$O$2,$D120,$D120-($D120-$I$103)*MIN(L$3-$O$2,$Q$2)/$Q$2))</f>
        <v>8927.33697298681</v>
      </c>
      <c r="M120" s="15" t="n">
        <f aca="false">L120*(1+IF(M$3&lt;=$O$2,$D120,$D120-($D120-$I$103)*MIN(M$3-$O$2,$Q$2)/$Q$2))</f>
        <v>9155.26563871388</v>
      </c>
      <c r="N120" s="15" t="n">
        <f aca="false">M120*(1+IF(N$3&lt;=$O$2,$D120,$D120-($D120-$I$103)*MIN(N$3-$O$2,$Q$2)/$Q$2))</f>
        <v>9414.35965628948</v>
      </c>
      <c r="O120" s="15" t="n">
        <f aca="false">SUMPRODUCT(E120:N120,1/(1+$F$103)^$E$3:$N$3)*$E$2</f>
        <v>16789.9454097768</v>
      </c>
      <c r="P120" s="15" t="n">
        <f aca="false">N120*$E$2*(1+$I$103)/($F$103-$I$103)/(1+$F$103)^$N$3</f>
        <v>31324.7787417707</v>
      </c>
      <c r="Q120" s="15" t="n">
        <f aca="false">O120+P120</f>
        <v>48114.7241515475</v>
      </c>
      <c r="R120" s="15" t="n">
        <f aca="false">Q120-$G$2+$I$2</f>
        <v>45597.7241515475</v>
      </c>
      <c r="S120" s="42" t="n">
        <f aca="false">R120/$K$2</f>
        <v>105.253044992262</v>
      </c>
      <c r="T120" s="43" t="n">
        <f aca="false">S120-$M$2</f>
        <v>-0.00525333191559696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0.0144577026367188</v>
      </c>
      <c r="C121" s="25" t="n">
        <f aca="false">IF(T120&gt;0,D120,C120)</f>
        <v>0.0144805908203125</v>
      </c>
      <c r="D121" s="41" t="n">
        <f aca="false">(B121+C121)/2</f>
        <v>0.0144691467285156</v>
      </c>
      <c r="E121" s="15" t="n">
        <f aca="false">$C$2*(1+IF(E$3&lt;=$O$2,$D121,$D121-($D121-$I$103)*MIN(E$3-$O$2,$Q$2)/$Q$2))</f>
        <v>7943.29341888428</v>
      </c>
      <c r="F121" s="15" t="n">
        <f aca="false">E121*(1+IF(F$3&lt;=$O$2,$D121,$D121-($D121-$I$103)*MIN(F$3-$O$2,$Q$2)/$Q$2))</f>
        <v>8058.22609686977</v>
      </c>
      <c r="G121" s="15" t="n">
        <f aca="false">F121*(1+IF(G$3&lt;=$O$2,$D121,$D121-($D121-$I$103)*MIN(G$3-$O$2,$Q$2)/$Q$2))</f>
        <v>8174.82175263693</v>
      </c>
      <c r="H121" s="15" t="n">
        <f aca="false">G121*(1+IF(H$3&lt;=$O$2,$D121,$D121-($D121-$I$103)*MIN(H$3-$O$2,$Q$2)/$Q$2))</f>
        <v>8293.10444805529</v>
      </c>
      <c r="I121" s="15" t="n">
        <f aca="false">H121*(1+IF(I$3&lt;=$O$2,$D121,$D121-($D121-$I$103)*MIN(I$3-$O$2,$Q$2)/$Q$2))</f>
        <v>8413.09859314911</v>
      </c>
      <c r="J121" s="15" t="n">
        <f aca="false">I121*(1+IF(J$3&lt;=$O$2,$D121,$D121-($D121-$I$103)*MIN(J$3-$O$2,$Q$2)/$Q$2))</f>
        <v>8558.10101757493</v>
      </c>
      <c r="K121" s="15" t="n">
        <f aca="false">J121*(1+IF(K$3&lt;=$O$2,$D121,$D121-($D121-$I$103)*MIN(K$3-$O$2,$Q$2)/$Q$2))</f>
        <v>8729.27577269833</v>
      </c>
      <c r="L121" s="15" t="n">
        <f aca="false">K121*(1+IF(L$3&lt;=$O$2,$D121,$D121-($D121-$I$103)*MIN(L$3-$O$2,$Q$2)/$Q$2))</f>
        <v>8928.02094411429</v>
      </c>
      <c r="M121" s="15" t="n">
        <f aca="false">L121*(1+IF(M$3&lt;=$O$2,$D121,$D121-($D121-$I$103)*MIN(M$3-$O$2,$Q$2)/$Q$2))</f>
        <v>9155.98750729616</v>
      </c>
      <c r="N121" s="15" t="n">
        <f aca="false">M121*(1+IF(N$3&lt;=$O$2,$D121,$D121-($D121-$I$103)*MIN(N$3-$O$2,$Q$2)/$Q$2))</f>
        <v>9415.10195375264</v>
      </c>
      <c r="O121" s="15" t="n">
        <f aca="false">SUMPRODUCT(E121:N121,1/(1+$F$103)^$E$3:$N$3)*$E$2</f>
        <v>16790.7960210386</v>
      </c>
      <c r="P121" s="15" t="n">
        <f aca="false">N121*$E$2*(1+$I$103)/($F$103-$I$103)/(1+$F$103)^$N$3</f>
        <v>31327.2486180706</v>
      </c>
      <c r="Q121" s="15" t="n">
        <f aca="false">O121+P121</f>
        <v>48118.0446391093</v>
      </c>
      <c r="R121" s="15" t="n">
        <f aca="false">Q121-$G$2+$I$2</f>
        <v>45601.0446391093</v>
      </c>
      <c r="S121" s="42" t="n">
        <f aca="false">R121/$K$2</f>
        <v>105.260709660471</v>
      </c>
      <c r="T121" s="43" t="n">
        <f aca="false">S121-$M$2</f>
        <v>0.00241133629390333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0.0144577026367188</v>
      </c>
      <c r="C122" s="25" t="n">
        <f aca="false">IF(T121&gt;0,D121,C121)</f>
        <v>0.0144691467285156</v>
      </c>
      <c r="D122" s="41" t="n">
        <f aca="false">(B122+C122)/2</f>
        <v>0.0144634246826172</v>
      </c>
      <c r="E122" s="15" t="n">
        <f aca="false">$C$2*(1+IF(E$3&lt;=$O$2,$D122,$D122-($D122-$I$103)*MIN(E$3-$O$2,$Q$2)/$Q$2))</f>
        <v>7943.24861526489</v>
      </c>
      <c r="F122" s="15" t="n">
        <f aca="false">E122*(1+IF(F$3&lt;=$O$2,$D122,$D122-($D122-$I$103)*MIN(F$3-$O$2,$Q$2)/$Q$2))</f>
        <v>8058.13519334708</v>
      </c>
      <c r="G122" s="15" t="n">
        <f aca="false">F122*(1+IF(G$3&lt;=$O$2,$D122,$D122-($D122-$I$103)*MIN(G$3-$O$2,$Q$2)/$Q$2))</f>
        <v>8174.6834247984</v>
      </c>
      <c r="H122" s="15" t="n">
        <f aca="false">G122*(1+IF(H$3&lt;=$O$2,$D122,$D122-($D122-$I$103)*MIN(H$3-$O$2,$Q$2)/$Q$2))</f>
        <v>8292.91734281721</v>
      </c>
      <c r="I122" s="15" t="n">
        <f aca="false">H122*(1+IF(I$3&lt;=$O$2,$D122,$D122-($D122-$I$103)*MIN(I$3-$O$2,$Q$2)/$Q$2))</f>
        <v>8412.86132820422</v>
      </c>
      <c r="J122" s="15" t="n">
        <f aca="false">I122*(1+IF(J$3&lt;=$O$2,$D122,$D122-($D122-$I$103)*MIN(J$3-$O$2,$Q$2)/$Q$2))</f>
        <v>8557.82115227048</v>
      </c>
      <c r="K122" s="15" t="n">
        <f aca="false">J122*(1+IF(K$3&lt;=$O$2,$D122,$D122-($D122-$I$103)*MIN(K$3-$O$2,$Q$2)/$Q$2))</f>
        <v>8728.96092872409</v>
      </c>
      <c r="L122" s="15" t="n">
        <f aca="false">K122*(1+IF(L$3&lt;=$O$2,$D122,$D122-($D122-$I$103)*MIN(L$3-$O$2,$Q$2)/$Q$2))</f>
        <v>8927.67895287387</v>
      </c>
      <c r="M122" s="15" t="n">
        <f aca="false">L122*(1+IF(M$3&lt;=$O$2,$D122,$D122-($D122-$I$103)*MIN(M$3-$O$2,$Q$2)/$Q$2))</f>
        <v>9155.62656679203</v>
      </c>
      <c r="N122" s="15" t="n">
        <f aca="false">M122*(1+IF(N$3&lt;=$O$2,$D122,$D122-($D122-$I$103)*MIN(N$3-$O$2,$Q$2)/$Q$2))</f>
        <v>9414.73079863224</v>
      </c>
      <c r="O122" s="15" t="n">
        <f aca="false">SUMPRODUCT(E122:N122,1/(1+$F$103)^$E$3:$N$3)*$E$2</f>
        <v>16790.3707099454</v>
      </c>
      <c r="P122" s="15" t="n">
        <f aca="false">N122*$E$2*(1+$I$103)/($F$103-$I$103)/(1+$F$103)^$N$3</f>
        <v>31326.0136586629</v>
      </c>
      <c r="Q122" s="15" t="n">
        <f aca="false">O122+P122</f>
        <v>48116.3843686082</v>
      </c>
      <c r="R122" s="15" t="n">
        <f aca="false">Q122-$G$2+$I$2</f>
        <v>45599.3843686082</v>
      </c>
      <c r="S122" s="42" t="n">
        <f aca="false">R122/$K$2</f>
        <v>105.256877264688</v>
      </c>
      <c r="T122" s="43" t="n">
        <f aca="false">S122-$M$2</f>
        <v>-0.00142105948890503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0.0144634246826172</v>
      </c>
      <c r="C123" s="25" t="n">
        <f aca="false">IF(T122&gt;0,D122,C122)</f>
        <v>0.0144691467285156</v>
      </c>
      <c r="D123" s="41" t="n">
        <f aca="false">(B123+C123)/2</f>
        <v>0.0144662857055664</v>
      </c>
      <c r="E123" s="15" t="n">
        <f aca="false">$C$2*(1+IF(E$3&lt;=$O$2,$D123,$D123-($D123-$I$103)*MIN(E$3-$O$2,$Q$2)/$Q$2))</f>
        <v>7943.27101707459</v>
      </c>
      <c r="F123" s="15" t="n">
        <f aca="false">E123*(1+IF(F$3&lt;=$O$2,$D123,$D123-($D123-$I$103)*MIN(F$3-$O$2,$Q$2)/$Q$2))</f>
        <v>8058.18064504433</v>
      </c>
      <c r="G123" s="15" t="n">
        <f aca="false">F123*(1+IF(G$3&lt;=$O$2,$D123,$D123-($D123-$I$103)*MIN(G$3-$O$2,$Q$2)/$Q$2))</f>
        <v>8174.75258852261</v>
      </c>
      <c r="H123" s="15" t="n">
        <f aca="false">G123*(1+IF(H$3&lt;=$O$2,$D123,$D123-($D123-$I$103)*MIN(H$3-$O$2,$Q$2)/$Q$2))</f>
        <v>8293.01089504049</v>
      </c>
      <c r="I123" s="15" t="n">
        <f aca="false">H123*(1+IF(I$3&lt;=$O$2,$D123,$D123-($D123-$I$103)*MIN(I$3-$O$2,$Q$2)/$Q$2))</f>
        <v>8412.97996000752</v>
      </c>
      <c r="J123" s="15" t="n">
        <f aca="false">I123*(1+IF(J$3&lt;=$O$2,$D123,$D123-($D123-$I$103)*MIN(J$3-$O$2,$Q$2)/$Q$2))</f>
        <v>8557.96108397051</v>
      </c>
      <c r="K123" s="15" t="n">
        <f aca="false">J123*(1+IF(K$3&lt;=$O$2,$D123,$D123-($D123-$I$103)*MIN(K$3-$O$2,$Q$2)/$Q$2))</f>
        <v>8729.11834949975</v>
      </c>
      <c r="L123" s="15" t="n">
        <f aca="false">K123*(1+IF(L$3&lt;=$O$2,$D123,$D123-($D123-$I$103)*MIN(L$3-$O$2,$Q$2)/$Q$2))</f>
        <v>8927.84994707489</v>
      </c>
      <c r="M123" s="15" t="n">
        <f aca="false">L123*(1+IF(M$3&lt;=$O$2,$D123,$D123-($D123-$I$103)*MIN(M$3-$O$2,$Q$2)/$Q$2))</f>
        <v>9155.80703549083</v>
      </c>
      <c r="N123" s="15" t="n">
        <f aca="false">M123*(1+IF(N$3&lt;=$O$2,$D123,$D123-($D123-$I$103)*MIN(N$3-$O$2,$Q$2)/$Q$2))</f>
        <v>9414.91637459522</v>
      </c>
      <c r="O123" s="15" t="n">
        <f aca="false">SUMPRODUCT(E123:N123,1/(1+$F$103)^$E$3:$N$3)*$E$2</f>
        <v>16790.5833641264</v>
      </c>
      <c r="P123" s="15" t="n">
        <f aca="false">N123*$E$2*(1+$I$103)/($F$103-$I$103)/(1+$F$103)^$N$3</f>
        <v>31326.6311330522</v>
      </c>
      <c r="Q123" s="15" t="n">
        <f aca="false">O123+P123</f>
        <v>48117.2144971786</v>
      </c>
      <c r="R123" s="15" t="n">
        <f aca="false">Q123-$G$2+$I$2</f>
        <v>45600.2144971786</v>
      </c>
      <c r="S123" s="42" t="n">
        <f aca="false">R123/$K$2</f>
        <v>105.25879344716</v>
      </c>
      <c r="T123" s="43" t="n">
        <f aca="false">S123-$M$2</f>
        <v>0.00049512298279808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0.0144634246826172</v>
      </c>
      <c r="C124" s="25" t="n">
        <f aca="false">IF(T123&gt;0,D123,C123)</f>
        <v>0.0144662857055664</v>
      </c>
      <c r="D124" s="41" t="n">
        <f aca="false">(B124+C124)/2</f>
        <v>0.0144648551940918</v>
      </c>
      <c r="E124" s="15" t="n">
        <f aca="false">$C$2*(1+IF(E$3&lt;=$O$2,$D124,$D124-($D124-$I$103)*MIN(E$3-$O$2,$Q$2)/$Q$2))</f>
        <v>7943.25981616974</v>
      </c>
      <c r="F124" s="15" t="n">
        <f aca="false">E124*(1+IF(F$3&lt;=$O$2,$D124,$D124-($D124-$I$103)*MIN(F$3-$O$2,$Q$2)/$Q$2))</f>
        <v>8058.15791917968</v>
      </c>
      <c r="G124" s="15" t="n">
        <f aca="false">F124*(1+IF(G$3&lt;=$O$2,$D124,$D124-($D124-$I$103)*MIN(G$3-$O$2,$Q$2)/$Q$2))</f>
        <v>8174.71800661174</v>
      </c>
      <c r="H124" s="15" t="n">
        <f aca="false">G124*(1+IF(H$3&lt;=$O$2,$D124,$D124-($D124-$I$103)*MIN(H$3-$O$2,$Q$2)/$Q$2))</f>
        <v>8292.96411882991</v>
      </c>
      <c r="I124" s="15" t="n">
        <f aca="false">H124*(1+IF(I$3&lt;=$O$2,$D124,$D124-($D124-$I$103)*MIN(I$3-$O$2,$Q$2)/$Q$2))</f>
        <v>8412.92064393859</v>
      </c>
      <c r="J124" s="15" t="n">
        <f aca="false">I124*(1+IF(J$3&lt;=$O$2,$D124,$D124-($D124-$I$103)*MIN(J$3-$O$2,$Q$2)/$Q$2))</f>
        <v>8557.89111788245</v>
      </c>
      <c r="K124" s="15" t="n">
        <f aca="false">J124*(1+IF(K$3&lt;=$O$2,$D124,$D124-($D124-$I$103)*MIN(K$3-$O$2,$Q$2)/$Q$2))</f>
        <v>8729.03963880906</v>
      </c>
      <c r="L124" s="15" t="n">
        <f aca="false">K124*(1+IF(L$3&lt;=$O$2,$D124,$D124-($D124-$I$103)*MIN(L$3-$O$2,$Q$2)/$Q$2))</f>
        <v>8927.76444961958</v>
      </c>
      <c r="M124" s="15" t="n">
        <f aca="false">L124*(1+IF(M$3&lt;=$O$2,$D124,$D124-($D124-$I$103)*MIN(M$3-$O$2,$Q$2)/$Q$2))</f>
        <v>9155.71680075311</v>
      </c>
      <c r="N124" s="15" t="n">
        <f aca="false">M124*(1+IF(N$3&lt;=$O$2,$D124,$D124-($D124-$I$103)*MIN(N$3-$O$2,$Q$2)/$Q$2))</f>
        <v>9414.82358621442</v>
      </c>
      <c r="O124" s="15" t="n">
        <f aca="false">SUMPRODUCT(E124:N124,1/(1+$F$103)^$E$3:$N$3)*$E$2</f>
        <v>16790.4770366945</v>
      </c>
      <c r="P124" s="15" t="n">
        <f aca="false">N124*$E$2*(1+$I$103)/($F$103-$I$103)/(1+$F$103)^$N$3</f>
        <v>31326.3223945289</v>
      </c>
      <c r="Q124" s="15" t="n">
        <f aca="false">O124+P124</f>
        <v>48116.7994312234</v>
      </c>
      <c r="R124" s="15" t="n">
        <f aca="false">Q124-$G$2+$I$2</f>
        <v>45599.7994312234</v>
      </c>
      <c r="S124" s="42" t="n">
        <f aca="false">R124/$K$2</f>
        <v>105.257835352069</v>
      </c>
      <c r="T124" s="43" t="n">
        <f aca="false">S124-$M$2</f>
        <v>-0.000462972107968085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0.0144648551940918</v>
      </c>
      <c r="C125" s="25" t="n">
        <f aca="false">IF(T124&gt;0,D124,C124)</f>
        <v>0.0144662857055664</v>
      </c>
      <c r="D125" s="41" t="n">
        <f aca="false">(B125+C125)/2</f>
        <v>0.0144655704498291</v>
      </c>
      <c r="E125" s="15" t="n">
        <f aca="false">$C$2*(1+IF(E$3&lt;=$O$2,$D125,$D125-($D125-$I$103)*MIN(E$3-$O$2,$Q$2)/$Q$2))</f>
        <v>7943.26541662216</v>
      </c>
      <c r="F125" s="15" t="n">
        <f aca="false">E125*(1+IF(F$3&lt;=$O$2,$D125,$D125-($D125-$I$103)*MIN(F$3-$O$2,$Q$2)/$Q$2))</f>
        <v>8058.169282108</v>
      </c>
      <c r="G125" s="15" t="n">
        <f aca="false">F125*(1+IF(G$3&lt;=$O$2,$D125,$D125-($D125-$I$103)*MIN(G$3-$O$2,$Q$2)/$Q$2))</f>
        <v>8174.73529755498</v>
      </c>
      <c r="H125" s="15" t="n">
        <f aca="false">G125*(1+IF(H$3&lt;=$O$2,$D125,$D125-($D125-$I$103)*MIN(H$3-$O$2,$Q$2)/$Q$2))</f>
        <v>8292.98750691047</v>
      </c>
      <c r="I125" s="15" t="n">
        <f aca="false">H125*(1+IF(I$3&lt;=$O$2,$D125,$D125-($D125-$I$103)*MIN(I$3-$O$2,$Q$2)/$Q$2))</f>
        <v>8412.95030193124</v>
      </c>
      <c r="J125" s="15" t="n">
        <f aca="false">I125*(1+IF(J$3&lt;=$O$2,$D125,$D125-($D125-$I$103)*MIN(J$3-$O$2,$Q$2)/$Q$2))</f>
        <v>8557.92610086697</v>
      </c>
      <c r="K125" s="15" t="n">
        <f aca="false">J125*(1+IF(K$3&lt;=$O$2,$D125,$D125-($D125-$I$103)*MIN(K$3-$O$2,$Q$2)/$Q$2))</f>
        <v>8729.07899407869</v>
      </c>
      <c r="L125" s="15" t="n">
        <f aca="false">K125*(1+IF(L$3&lt;=$O$2,$D125,$D125-($D125-$I$103)*MIN(L$3-$O$2,$Q$2)/$Q$2))</f>
        <v>8927.80719825854</v>
      </c>
      <c r="M125" s="15" t="n">
        <f aca="false">L125*(1+IF(M$3&lt;=$O$2,$D125,$D125-($D125-$I$103)*MIN(M$3-$O$2,$Q$2)/$Q$2))</f>
        <v>9155.76191802489</v>
      </c>
      <c r="N125" s="15" t="n">
        <f aca="false">M125*(1+IF(N$3&lt;=$O$2,$D125,$D125-($D125-$I$103)*MIN(N$3-$O$2,$Q$2)/$Q$2))</f>
        <v>9414.86998030499</v>
      </c>
      <c r="O125" s="15" t="n">
        <f aca="false">SUMPRODUCT(E125:N125,1/(1+$F$103)^$E$3:$N$3)*$E$2</f>
        <v>16790.5302003251</v>
      </c>
      <c r="P125" s="15" t="n">
        <f aca="false">N125*$E$2*(1+$I$103)/($F$103-$I$103)/(1+$F$103)^$N$3</f>
        <v>31326.4767634584</v>
      </c>
      <c r="Q125" s="15" t="n">
        <f aca="false">O125+P125</f>
        <v>48117.0069637835</v>
      </c>
      <c r="R125" s="15" t="n">
        <f aca="false">Q125-$G$2+$I$2</f>
        <v>45600.0069637835</v>
      </c>
      <c r="S125" s="42" t="n">
        <f aca="false">R125/$K$2</f>
        <v>105.258314398651</v>
      </c>
      <c r="T125" s="43" t="n">
        <f aca="false">S125-$M$2</f>
        <v>1.60744737200957E-005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0.0144648551940918</v>
      </c>
      <c r="C126" s="25" t="n">
        <f aca="false">IF(T125&gt;0,D125,C125)</f>
        <v>0.0144655704498291</v>
      </c>
      <c r="D126" s="41" t="n">
        <f aca="false">(B126+C126)/2</f>
        <v>0.0144652128219605</v>
      </c>
      <c r="E126" s="15" t="n">
        <f aca="false">$C$2*(1+IF(E$3&lt;=$O$2,$D126,$D126-($D126-$I$103)*MIN(E$3-$O$2,$Q$2)/$Q$2))</f>
        <v>7943.26261639595</v>
      </c>
      <c r="F126" s="15" t="n">
        <f aca="false">E126*(1+IF(F$3&lt;=$O$2,$D126,$D126-($D126-$I$103)*MIN(F$3-$O$2,$Q$2)/$Q$2))</f>
        <v>8058.16360064284</v>
      </c>
      <c r="G126" s="15" t="n">
        <f aca="false">F126*(1+IF(G$3&lt;=$O$2,$D126,$D126-($D126-$I$103)*MIN(G$3-$O$2,$Q$2)/$Q$2))</f>
        <v>8174.72665208031</v>
      </c>
      <c r="H126" s="15" t="n">
        <f aca="false">G126*(1+IF(H$3&lt;=$O$2,$D126,$D126-($D126-$I$103)*MIN(H$3-$O$2,$Q$2)/$Q$2))</f>
        <v>8292.97581286401</v>
      </c>
      <c r="I126" s="15" t="n">
        <f aca="false">H126*(1+IF(I$3&lt;=$O$2,$D126,$D126-($D126-$I$103)*MIN(I$3-$O$2,$Q$2)/$Q$2))</f>
        <v>8412.93547292446</v>
      </c>
      <c r="J126" s="15" t="n">
        <f aca="false">I126*(1+IF(J$3&lt;=$O$2,$D126,$D126-($D126-$I$103)*MIN(J$3-$O$2,$Q$2)/$Q$2))</f>
        <v>8557.90860935983</v>
      </c>
      <c r="K126" s="15" t="n">
        <f aca="false">J126*(1+IF(K$3&lt;=$O$2,$D126,$D126-($D126-$I$103)*MIN(K$3-$O$2,$Q$2)/$Q$2))</f>
        <v>8729.05931642495</v>
      </c>
      <c r="L126" s="15" t="n">
        <f aca="false">K126*(1+IF(L$3&lt;=$O$2,$D126,$D126-($D126-$I$103)*MIN(L$3-$O$2,$Q$2)/$Q$2))</f>
        <v>8927.78582391688</v>
      </c>
      <c r="M126" s="15" t="n">
        <f aca="false">L126*(1+IF(M$3&lt;=$O$2,$D126,$D126-($D126-$I$103)*MIN(M$3-$O$2,$Q$2)/$Q$2))</f>
        <v>9155.73935936473</v>
      </c>
      <c r="N126" s="15" t="n">
        <f aca="false">M126*(1+IF(N$3&lt;=$O$2,$D126,$D126-($D126-$I$103)*MIN(N$3-$O$2,$Q$2)/$Q$2))</f>
        <v>9414.84678323475</v>
      </c>
      <c r="O126" s="15" t="n">
        <f aca="false">SUMPRODUCT(E126:N126,1/(1+$F$103)^$E$3:$N$3)*$E$2</f>
        <v>16790.5036184884</v>
      </c>
      <c r="P126" s="15" t="n">
        <f aca="false">N126*$E$2*(1+$I$103)/($F$103-$I$103)/(1+$F$103)^$N$3</f>
        <v>31326.3995789106</v>
      </c>
      <c r="Q126" s="15" t="n">
        <f aca="false">O126+P126</f>
        <v>48116.9031973991</v>
      </c>
      <c r="R126" s="15" t="n">
        <f aca="false">Q126-$G$2+$I$2</f>
        <v>45599.9031973991</v>
      </c>
      <c r="S126" s="42" t="n">
        <f aca="false">R126/$K$2</f>
        <v>105.258074875119</v>
      </c>
      <c r="T126" s="43" t="n">
        <f aca="false">S126-$M$2</f>
        <v>-0.000223449058069036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0.0144652128219605</v>
      </c>
      <c r="C127" s="25" t="n">
        <f aca="false">IF(T126&gt;0,D126,C126)</f>
        <v>0.0144655704498291</v>
      </c>
      <c r="D127" s="41" t="n">
        <f aca="false">(B127+C127)/2</f>
        <v>0.0144653916358948</v>
      </c>
      <c r="E127" s="15" t="n">
        <f aca="false">$C$2*(1+IF(E$3&lt;=$O$2,$D127,$D127-($D127-$I$103)*MIN(E$3-$O$2,$Q$2)/$Q$2))</f>
        <v>7943.26401650906</v>
      </c>
      <c r="F127" s="15" t="n">
        <f aca="false">E127*(1+IF(F$3&lt;=$O$2,$D127,$D127-($D127-$I$103)*MIN(F$3-$O$2,$Q$2)/$Q$2))</f>
        <v>8058.16644137517</v>
      </c>
      <c r="G127" s="15" t="n">
        <f aca="false">F127*(1+IF(G$3&lt;=$O$2,$D127,$D127-($D127-$I$103)*MIN(G$3-$O$2,$Q$2)/$Q$2))</f>
        <v>8174.73097481689</v>
      </c>
      <c r="H127" s="15" t="n">
        <f aca="false">G127*(1+IF(H$3&lt;=$O$2,$D127,$D127-($D127-$I$103)*MIN(H$3-$O$2,$Q$2)/$Q$2))</f>
        <v>8292.98165988569</v>
      </c>
      <c r="I127" s="15" t="n">
        <f aca="false">H127*(1+IF(I$3&lt;=$O$2,$D127,$D127-($D127-$I$103)*MIN(I$3-$O$2,$Q$2)/$Q$2))</f>
        <v>8412.94288742523</v>
      </c>
      <c r="J127" s="15" t="n">
        <f aca="false">I127*(1+IF(J$3&lt;=$O$2,$D127,$D127-($D127-$I$103)*MIN(J$3-$O$2,$Q$2)/$Q$2))</f>
        <v>8557.91735510968</v>
      </c>
      <c r="K127" s="15" t="n">
        <f aca="false">J127*(1+IF(K$3&lt;=$O$2,$D127,$D127-($D127-$I$103)*MIN(K$3-$O$2,$Q$2)/$Q$2))</f>
        <v>8729.06915524709</v>
      </c>
      <c r="L127" s="15" t="n">
        <f aca="false">K127*(1+IF(L$3&lt;=$O$2,$D127,$D127-($D127-$I$103)*MIN(L$3-$O$2,$Q$2)/$Q$2))</f>
        <v>8927.79651108217</v>
      </c>
      <c r="M127" s="15" t="n">
        <f aca="false">L127*(1+IF(M$3&lt;=$O$2,$D127,$D127-($D127-$I$103)*MIN(M$3-$O$2,$Q$2)/$Q$2))</f>
        <v>9155.75063868874</v>
      </c>
      <c r="N127" s="15" t="n">
        <f aca="false">M127*(1+IF(N$3&lt;=$O$2,$D127,$D127-($D127-$I$103)*MIN(N$3-$O$2,$Q$2)/$Q$2))</f>
        <v>9414.85838176363</v>
      </c>
      <c r="O127" s="15" t="n">
        <f aca="false">SUMPRODUCT(E127:N127,1/(1+$F$103)^$E$3:$N$3)*$E$2</f>
        <v>16790.5169094014</v>
      </c>
      <c r="P127" s="15" t="n">
        <f aca="false">N127*$E$2*(1+$I$103)/($F$103-$I$103)/(1+$F$103)^$N$3</f>
        <v>31326.4381711638</v>
      </c>
      <c r="Q127" s="15" t="n">
        <f aca="false">O127+P127</f>
        <v>48116.9550805652</v>
      </c>
      <c r="R127" s="15" t="n">
        <f aca="false">Q127-$G$2+$I$2</f>
        <v>45599.9550805652</v>
      </c>
      <c r="S127" s="42" t="n">
        <f aca="false">R127/$K$2</f>
        <v>105.258194636825</v>
      </c>
      <c r="T127" s="43" t="n">
        <f aca="false">S127-$M$2</f>
        <v>-0.000103687352407178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0.0144653916358948</v>
      </c>
      <c r="C128" s="25" t="n">
        <f aca="false">IF(T127&gt;0,D127,C127)</f>
        <v>0.0144655704498291</v>
      </c>
      <c r="D128" s="41" t="n">
        <f aca="false">(B128+C128)/2</f>
        <v>0.0144654810428619</v>
      </c>
      <c r="E128" s="15" t="n">
        <f aca="false">$C$2*(1+IF(E$3&lt;=$O$2,$D128,$D128-($D128-$I$103)*MIN(E$3-$O$2,$Q$2)/$Q$2))</f>
        <v>7943.26471656561</v>
      </c>
      <c r="F128" s="15" t="n">
        <f aca="false">E128*(1+IF(F$3&lt;=$O$2,$D128,$D128-($D128-$I$103)*MIN(F$3-$O$2,$Q$2)/$Q$2))</f>
        <v>8058.16786174152</v>
      </c>
      <c r="G128" s="15" t="n">
        <f aca="false">F128*(1+IF(G$3&lt;=$O$2,$D128,$D128-($D128-$I$103)*MIN(G$3-$O$2,$Q$2)/$Q$2))</f>
        <v>8174.73313618574</v>
      </c>
      <c r="H128" s="15" t="n">
        <f aca="false">G128*(1+IF(H$3&lt;=$O$2,$D128,$D128-($D128-$I$103)*MIN(H$3-$O$2,$Q$2)/$Q$2))</f>
        <v>8292.98458339769</v>
      </c>
      <c r="I128" s="15" t="n">
        <f aca="false">H128*(1+IF(I$3&lt;=$O$2,$D128,$D128-($D128-$I$103)*MIN(I$3-$O$2,$Q$2)/$Q$2))</f>
        <v>8412.94659467758</v>
      </c>
      <c r="J128" s="15" t="n">
        <f aca="false">I128*(1+IF(J$3&lt;=$O$2,$D128,$D128-($D128-$I$103)*MIN(J$3-$O$2,$Q$2)/$Q$2))</f>
        <v>8557.92172798739</v>
      </c>
      <c r="K128" s="15" t="n">
        <f aca="false">J128*(1+IF(K$3&lt;=$O$2,$D128,$D128-($D128-$I$103)*MIN(K$3-$O$2,$Q$2)/$Q$2))</f>
        <v>8729.07407466171</v>
      </c>
      <c r="L128" s="15" t="n">
        <f aca="false">K128*(1+IF(L$3&lt;=$O$2,$D128,$D128-($D128-$I$103)*MIN(L$3-$O$2,$Q$2)/$Q$2))</f>
        <v>8927.80185466896</v>
      </c>
      <c r="M128" s="15" t="n">
        <f aca="false">L128*(1+IF(M$3&lt;=$O$2,$D128,$D128-($D128-$I$103)*MIN(M$3-$O$2,$Q$2)/$Q$2))</f>
        <v>9155.7562783553</v>
      </c>
      <c r="N128" s="15" t="n">
        <f aca="false">M128*(1+IF(N$3&lt;=$O$2,$D128,$D128-($D128-$I$103)*MIN(N$3-$O$2,$Q$2)/$Q$2))</f>
        <v>9414.86418103275</v>
      </c>
      <c r="O128" s="15" t="n">
        <f aca="false">SUMPRODUCT(E128:N128,1/(1+$F$103)^$E$3:$N$3)*$E$2</f>
        <v>16790.5235548619</v>
      </c>
      <c r="P128" s="15" t="n">
        <f aca="false">N128*$E$2*(1+$I$103)/($F$103-$I$103)/(1+$F$103)^$N$3</f>
        <v>31326.4574673059</v>
      </c>
      <c r="Q128" s="15" t="n">
        <f aca="false">O128+P128</f>
        <v>48116.9810221678</v>
      </c>
      <c r="R128" s="15" t="n">
        <f aca="false">Q128-$G$2+$I$2</f>
        <v>45599.9810221678</v>
      </c>
      <c r="S128" s="42" t="n">
        <f aca="false">R128/$K$2</f>
        <v>105.258254517723</v>
      </c>
      <c r="T128" s="43" t="n">
        <f aca="false">S128-$M$2</f>
        <v>-4.38064544283634E-005</v>
      </c>
    </row>
    <row r="130" customFormat="false" ht="15" hidden="false" customHeight="false" outlineLevel="0" collapsed="false">
      <c r="A130" s="38" t="s">
        <v>176</v>
      </c>
      <c r="E130" s="5" t="s">
        <v>11</v>
      </c>
      <c r="F130" s="12" t="n">
        <f aca="false">Sensitivity!$B$10</f>
        <v>0.0721529104257703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153</v>
      </c>
      <c r="B131" s="28" t="s">
        <v>154</v>
      </c>
      <c r="C131" s="28" t="s">
        <v>155</v>
      </c>
      <c r="D131" s="28" t="s">
        <v>156</v>
      </c>
      <c r="E131" s="28" t="s">
        <v>157</v>
      </c>
      <c r="F131" s="28" t="s">
        <v>158</v>
      </c>
      <c r="G131" s="28" t="s">
        <v>159</v>
      </c>
      <c r="H131" s="28" t="s">
        <v>160</v>
      </c>
      <c r="I131" s="28" t="s">
        <v>161</v>
      </c>
      <c r="J131" s="28" t="s">
        <v>162</v>
      </c>
      <c r="K131" s="28" t="s">
        <v>163</v>
      </c>
      <c r="L131" s="28" t="s">
        <v>164</v>
      </c>
      <c r="M131" s="28" t="s">
        <v>165</v>
      </c>
      <c r="N131" s="28" t="s">
        <v>166</v>
      </c>
      <c r="O131" s="28" t="s">
        <v>167</v>
      </c>
      <c r="P131" s="28" t="s">
        <v>168</v>
      </c>
      <c r="Q131" s="28" t="s">
        <v>169</v>
      </c>
      <c r="R131" s="28" t="s">
        <v>170</v>
      </c>
      <c r="S131" s="28" t="s">
        <v>171</v>
      </c>
      <c r="T131" s="28" t="s">
        <v>172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9787.5</v>
      </c>
      <c r="F132" s="15" t="n">
        <f aca="false">E132*(1+IF(F$3&lt;=$O$2,$D132,$D132-($D132-$I$130)*MIN(F$3-$O$2,$Q$2)/$Q$2))</f>
        <v>12234.375</v>
      </c>
      <c r="G132" s="15" t="n">
        <f aca="false">F132*(1+IF(G$3&lt;=$O$2,$D132,$D132-($D132-$I$130)*MIN(G$3-$O$2,$Q$2)/$Q$2))</f>
        <v>15292.96875</v>
      </c>
      <c r="H132" s="15" t="n">
        <f aca="false">G132*(1+IF(H$3&lt;=$O$2,$D132,$D132-($D132-$I$130)*MIN(H$3-$O$2,$Q$2)/$Q$2))</f>
        <v>19116.2109375</v>
      </c>
      <c r="I132" s="15" t="n">
        <f aca="false">H132*(1+IF(I$3&lt;=$O$2,$D132,$D132-($D132-$I$130)*MIN(I$3-$O$2,$Q$2)/$Q$2))</f>
        <v>23895.263671875</v>
      </c>
      <c r="J132" s="15" t="n">
        <f aca="false">I132*(1+IF(J$3&lt;=$O$2,$D132,$D132-($D132-$I$130)*MIN(J$3-$O$2,$Q$2)/$Q$2))</f>
        <v>28833.4588623047</v>
      </c>
      <c r="K132" s="15" t="n">
        <f aca="false">J132*(1+IF(K$3&lt;=$O$2,$D132,$D132-($D132-$I$130)*MIN(K$3-$O$2,$Q$2)/$Q$2))</f>
        <v>33542.5393636963</v>
      </c>
      <c r="L132" s="15" t="n">
        <f aca="false">K132*(1+IF(L$3&lt;=$O$2,$D132,$D132-($D132-$I$130)*MIN(L$3-$O$2,$Q$2)/$Q$2))</f>
        <v>37566.9732365526</v>
      </c>
      <c r="M132" s="15" t="n">
        <f aca="false">L132*(1+IF(M$3&lt;=$O$2,$D132,$D132-($D132-$I$130)*MIN(M$3-$O$2,$Q$2)/$Q$2))</f>
        <v>40446.106065402</v>
      </c>
      <c r="N132" s="15" t="n">
        <f aca="false">M132*(1+IF(N$3&lt;=$O$2,$D132,$D132-($D132-$I$130)*MIN(N$3-$O$2,$Q$2)/$Q$2))</f>
        <v>41792.9613973798</v>
      </c>
      <c r="O132" s="15" t="n">
        <f aca="false">SUMPRODUCT(E132:N132,1/(1+$F$130)^$E$3:$N$3)*$E$2</f>
        <v>47572.5278317028</v>
      </c>
      <c r="P132" s="15" t="n">
        <f aca="false">N132*$E$2*(1+$I$130)/($F$130-$I$130)/(1+$F$130)^$N$3</f>
        <v>157718.206888002</v>
      </c>
      <c r="Q132" s="15" t="n">
        <f aca="false">O132+P132</f>
        <v>205290.734719705</v>
      </c>
      <c r="R132" s="15" t="n">
        <f aca="false">Q132-$G$2+$I$2</f>
        <v>202773.734719705</v>
      </c>
      <c r="S132" s="42" t="n">
        <f aca="false">R132/$K$2</f>
        <v>468.061803978821</v>
      </c>
      <c r="T132" s="43" t="n">
        <f aca="false">S132-$M$2</f>
        <v>362.803505654644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6851.25</v>
      </c>
      <c r="F133" s="15" t="n">
        <f aca="false">E133*(1+IF(F$3&lt;=$O$2,$D133,$D133-($D133-$I$130)*MIN(F$3-$O$2,$Q$2)/$Q$2))</f>
        <v>5994.84375</v>
      </c>
      <c r="G133" s="15" t="n">
        <f aca="false">F133*(1+IF(G$3&lt;=$O$2,$D133,$D133-($D133-$I$130)*MIN(G$3-$O$2,$Q$2)/$Q$2))</f>
        <v>5245.48828125</v>
      </c>
      <c r="H133" s="15" t="n">
        <f aca="false">G133*(1+IF(H$3&lt;=$O$2,$D133,$D133-($D133-$I$130)*MIN(H$3-$O$2,$Q$2)/$Q$2))</f>
        <v>4589.80224609375</v>
      </c>
      <c r="I133" s="15" t="n">
        <f aca="false">H133*(1+IF(I$3&lt;=$O$2,$D133,$D133-($D133-$I$130)*MIN(I$3-$O$2,$Q$2)/$Q$2))</f>
        <v>4016.07696533203</v>
      </c>
      <c r="J133" s="15" t="n">
        <f aca="false">I133*(1+IF(J$3&lt;=$O$2,$D133,$D133-($D133-$I$130)*MIN(J$3-$O$2,$Q$2)/$Q$2))</f>
        <v>3641.21634138794</v>
      </c>
      <c r="K133" s="15" t="n">
        <f aca="false">J133*(1+IF(K$3&lt;=$O$2,$D133,$D133-($D133-$I$130)*MIN(K$3-$O$2,$Q$2)/$Q$2))</f>
        <v>3416.62611745113</v>
      </c>
      <c r="L133" s="15" t="n">
        <f aca="false">K133*(1+IF(L$3&lt;=$O$2,$D133,$D133-($D133-$I$130)*MIN(L$3-$O$2,$Q$2)/$Q$2))</f>
        <v>3314.05900140525</v>
      </c>
      <c r="M133" s="15" t="n">
        <f aca="false">L133*(1+IF(M$3&lt;=$O$2,$D133,$D133-($D133-$I$130)*MIN(M$3-$O$2,$Q$2)/$Q$2))</f>
        <v>3319.49405816755</v>
      </c>
      <c r="N133" s="15" t="n">
        <f aca="false">M133*(1+IF(N$3&lt;=$O$2,$D133,$D133-($D133-$I$130)*MIN(N$3-$O$2,$Q$2)/$Q$2))</f>
        <v>3430.03321030453</v>
      </c>
      <c r="O133" s="15" t="n">
        <f aca="false">SUMPRODUCT(E133:N133,1/(1+$F$130)^$E$3:$N$3)*$E$2</f>
        <v>9126.51351722177</v>
      </c>
      <c r="P133" s="15" t="n">
        <f aca="false">N133*$E$2*(1+$I$130)/($F$130-$I$130)/(1+$F$130)^$N$3</f>
        <v>12944.2535156038</v>
      </c>
      <c r="Q133" s="15" t="n">
        <f aca="false">O133+P133</f>
        <v>22070.7670328256</v>
      </c>
      <c r="R133" s="15" t="n">
        <f aca="false">Q133-$G$2+$I$2</f>
        <v>19553.7670328256</v>
      </c>
      <c r="S133" s="42" t="n">
        <f aca="false">R133/$K$2</f>
        <v>45.1358825373381</v>
      </c>
      <c r="T133" s="43" t="n">
        <f aca="false">S133-$M$2</f>
        <v>-60.1224157868391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8319.375</v>
      </c>
      <c r="F134" s="15" t="n">
        <f aca="false">E134*(1+IF(F$3&lt;=$O$2,$D134,$D134-($D134-$I$130)*MIN(F$3-$O$2,$Q$2)/$Q$2))</f>
        <v>8839.3359375</v>
      </c>
      <c r="G134" s="15" t="n">
        <f aca="false">F134*(1+IF(G$3&lt;=$O$2,$D134,$D134-($D134-$I$130)*MIN(G$3-$O$2,$Q$2)/$Q$2))</f>
        <v>9391.79443359375</v>
      </c>
      <c r="H134" s="15" t="n">
        <f aca="false">G134*(1+IF(H$3&lt;=$O$2,$D134,$D134-($D134-$I$130)*MIN(H$3-$O$2,$Q$2)/$Q$2))</f>
        <v>9978.78158569336</v>
      </c>
      <c r="I134" s="15" t="n">
        <f aca="false">H134*(1+IF(I$3&lt;=$O$2,$D134,$D134-($D134-$I$130)*MIN(I$3-$O$2,$Q$2)/$Q$2))</f>
        <v>10602.4554347992</v>
      </c>
      <c r="J134" s="15" t="n">
        <f aca="false">I134*(1+IF(J$3&lt;=$O$2,$D134,$D134-($D134-$I$130)*MIN(J$3-$O$2,$Q$2)/$Q$2))</f>
        <v>11203.1905597349</v>
      </c>
      <c r="K134" s="15" t="n">
        <f aca="false">J134*(1+IF(K$3&lt;=$O$2,$D134,$D134-($D134-$I$130)*MIN(K$3-$O$2,$Q$2)/$Q$2))</f>
        <v>11772.5367039806</v>
      </c>
      <c r="L134" s="15" t="n">
        <f aca="false">K134*(1+IF(L$3&lt;=$O$2,$D134,$D134-($D134-$I$130)*MIN(L$3-$O$2,$Q$2)/$Q$2))</f>
        <v>12302.0654049257</v>
      </c>
      <c r="M134" s="15" t="n">
        <f aca="false">L134*(1+IF(M$3&lt;=$O$2,$D134,$D134-($D134-$I$130)*MIN(M$3-$O$2,$Q$2)/$Q$2))</f>
        <v>12783.5682448745</v>
      </c>
      <c r="N134" s="15" t="n">
        <f aca="false">M134*(1+IF(N$3&lt;=$O$2,$D134,$D134-($D134-$I$130)*MIN(N$3-$O$2,$Q$2)/$Q$2))</f>
        <v>13209.2610674288</v>
      </c>
      <c r="O134" s="15" t="n">
        <f aca="false">SUMPRODUCT(E134:N134,1/(1+$F$130)^$E$3:$N$3)*$E$2</f>
        <v>20837.6840336176</v>
      </c>
      <c r="P134" s="15" t="n">
        <f aca="false">N134*$E$2*(1+$I$130)/($F$130-$I$130)/(1+$F$130)^$N$3</f>
        <v>49849.0870283479</v>
      </c>
      <c r="Q134" s="15" t="n">
        <f aca="false">O134+P134</f>
        <v>70686.7710619654</v>
      </c>
      <c r="R134" s="15" t="n">
        <f aca="false">Q134-$G$2+$I$2</f>
        <v>68169.7710619654</v>
      </c>
      <c r="S134" s="42" t="n">
        <f aca="false">R134/$K$2</f>
        <v>157.35601094586</v>
      </c>
      <c r="T134" s="43" t="n">
        <f aca="false">S134-$M$2</f>
        <v>52.0977126216827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7585.3125</v>
      </c>
      <c r="F135" s="15" t="n">
        <f aca="false">E135*(1+IF(F$3&lt;=$O$2,$D135,$D135-($D135-$I$130)*MIN(F$3-$O$2,$Q$2)/$Q$2))</f>
        <v>7348.271484375</v>
      </c>
      <c r="G135" s="15" t="n">
        <f aca="false">F135*(1+IF(G$3&lt;=$O$2,$D135,$D135-($D135-$I$130)*MIN(G$3-$O$2,$Q$2)/$Q$2))</f>
        <v>7118.63800048828</v>
      </c>
      <c r="H135" s="15" t="n">
        <f aca="false">G135*(1+IF(H$3&lt;=$O$2,$D135,$D135-($D135-$I$130)*MIN(H$3-$O$2,$Q$2)/$Q$2))</f>
        <v>6896.18056297302</v>
      </c>
      <c r="I135" s="15" t="n">
        <f aca="false">H135*(1+IF(I$3&lt;=$O$2,$D135,$D135-($D135-$I$130)*MIN(I$3-$O$2,$Q$2)/$Q$2))</f>
        <v>6680.67492038012</v>
      </c>
      <c r="J135" s="15" t="n">
        <f aca="false">I135*(1+IF(J$3&lt;=$O$2,$D135,$D135-($D135-$I$130)*MIN(J$3-$O$2,$Q$2)/$Q$2))</f>
        <v>6558.15134234034</v>
      </c>
      <c r="K135" s="15" t="n">
        <f aca="false">J135*(1+IF(K$3&lt;=$O$2,$D135,$D135-($D135-$I$130)*MIN(K$3-$O$2,$Q$2)/$Q$2))</f>
        <v>6522.54058055144</v>
      </c>
      <c r="L135" s="15" t="n">
        <f aca="false">K135*(1+IF(L$3&lt;=$O$2,$D135,$D135-($D135-$I$130)*MIN(L$3-$O$2,$Q$2)/$Q$2))</f>
        <v>6571.32918409396</v>
      </c>
      <c r="M135" s="15" t="n">
        <f aca="false">L135*(1+IF(M$3&lt;=$O$2,$D135,$D135-($D135-$I$130)*MIN(M$3-$O$2,$Q$2)/$Q$2))</f>
        <v>6705.31858615764</v>
      </c>
      <c r="N135" s="15" t="n">
        <f aca="false">M135*(1+IF(N$3&lt;=$O$2,$D135,$D135-($D135-$I$130)*MIN(N$3-$O$2,$Q$2)/$Q$2))</f>
        <v>6928.60569507669</v>
      </c>
      <c r="O135" s="15" t="n">
        <f aca="false">SUMPRODUCT(E135:N135,1/(1+$F$130)^$E$3:$N$3)*$E$2</f>
        <v>13755.4015998118</v>
      </c>
      <c r="P135" s="15" t="n">
        <f aca="false">N135*$E$2*(1+$I$130)/($F$130-$I$130)/(1+$F$130)^$N$3</f>
        <v>26147.1604290287</v>
      </c>
      <c r="Q135" s="15" t="n">
        <f aca="false">O135+P135</f>
        <v>39902.5620288405</v>
      </c>
      <c r="R135" s="15" t="n">
        <f aca="false">Q135-$G$2+$I$2</f>
        <v>37385.5620288405</v>
      </c>
      <c r="S135" s="42" t="n">
        <f aca="false">R135/$K$2</f>
        <v>86.2969438826473</v>
      </c>
      <c r="T135" s="43" t="n">
        <f aca="false">S135-$M$2</f>
        <v>-18.9613544415298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7952.34375</v>
      </c>
      <c r="F136" s="15" t="n">
        <f aca="false">E136*(1+IF(F$3&lt;=$O$2,$D136,$D136-($D136-$I$130)*MIN(F$3-$O$2,$Q$2)/$Q$2))</f>
        <v>8076.59912109375</v>
      </c>
      <c r="G136" s="15" t="n">
        <f aca="false">F136*(1+IF(G$3&lt;=$O$2,$D136,$D136-($D136-$I$130)*MIN(G$3-$O$2,$Q$2)/$Q$2))</f>
        <v>8202.79598236084</v>
      </c>
      <c r="H136" s="15" t="n">
        <f aca="false">G136*(1+IF(H$3&lt;=$O$2,$D136,$D136-($D136-$I$130)*MIN(H$3-$O$2,$Q$2)/$Q$2))</f>
        <v>8330.96466958523</v>
      </c>
      <c r="I136" s="15" t="n">
        <f aca="false">H136*(1+IF(I$3&lt;=$O$2,$D136,$D136-($D136-$I$130)*MIN(I$3-$O$2,$Q$2)/$Q$2))</f>
        <v>8461.1359925475</v>
      </c>
      <c r="J136" s="15" t="n">
        <f aca="false">I136*(1+IF(J$3&lt;=$O$2,$D136,$D136-($D136-$I$130)*MIN(J$3-$O$2,$Q$2)/$Q$2))</f>
        <v>8623.25135816471</v>
      </c>
      <c r="K136" s="15" t="n">
        <f aca="false">J136*(1+IF(K$3&lt;=$O$2,$D136,$D136-($D136-$I$130)*MIN(K$3-$O$2,$Q$2)/$Q$2))</f>
        <v>8818.95604773826</v>
      </c>
      <c r="L136" s="15" t="n">
        <f aca="false">K136*(1+IF(L$3&lt;=$O$2,$D136,$D136-($D136-$I$130)*MIN(L$3-$O$2,$Q$2)/$Q$2))</f>
        <v>9050.27726487043</v>
      </c>
      <c r="M136" s="15" t="n">
        <f aca="false">L136*(1+IF(M$3&lt;=$O$2,$D136,$D136-($D136-$I$130)*MIN(M$3-$O$2,$Q$2)/$Q$2))</f>
        <v>9319.6587676593</v>
      </c>
      <c r="N136" s="15" t="n">
        <f aca="false">M136*(1+IF(N$3&lt;=$O$2,$D136,$D136-($D136-$I$130)*MIN(N$3-$O$2,$Q$2)/$Q$2))</f>
        <v>9630.00340462235</v>
      </c>
      <c r="O136" s="15" t="n">
        <f aca="false">SUMPRODUCT(E136:N136,1/(1+$F$130)^$E$3:$N$3)*$E$2</f>
        <v>16925.2689682396</v>
      </c>
      <c r="P136" s="15" t="n">
        <f aca="false">N136*$E$2*(1+$I$130)/($F$130-$I$130)/(1+$F$130)^$N$3</f>
        <v>36341.6905268076</v>
      </c>
      <c r="Q136" s="15" t="n">
        <f aca="false">O136+P136</f>
        <v>53266.9594950471</v>
      </c>
      <c r="R136" s="15" t="n">
        <f aca="false">Q136-$G$2+$I$2</f>
        <v>50749.9594950471</v>
      </c>
      <c r="S136" s="42" t="n">
        <f aca="false">R136/$K$2</f>
        <v>117.145929308543</v>
      </c>
      <c r="T136" s="43" t="n">
        <f aca="false">S136-$M$2</f>
        <v>11.8876309843662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-0.03125</v>
      </c>
      <c r="C137" s="25" t="n">
        <f aca="false">IF(T136&gt;0,D136,C136)</f>
        <v>0.015625</v>
      </c>
      <c r="D137" s="41" t="n">
        <f aca="false">(B137+C137)/2</f>
        <v>-0.0078125</v>
      </c>
      <c r="E137" s="15" t="n">
        <f aca="false">$C$2*(1+IF(E$3&lt;=$O$2,$D137,$D137-($D137-$I$130)*MIN(E$3-$O$2,$Q$2)/$Q$2))</f>
        <v>7768.828125</v>
      </c>
      <c r="F137" s="15" t="n">
        <f aca="false">E137*(1+IF(F$3&lt;=$O$2,$D137,$D137-($D137-$I$130)*MIN(F$3-$O$2,$Q$2)/$Q$2))</f>
        <v>7708.13415527344</v>
      </c>
      <c r="G137" s="15" t="n">
        <f aca="false">F137*(1+IF(G$3&lt;=$O$2,$D137,$D137-($D137-$I$130)*MIN(G$3-$O$2,$Q$2)/$Q$2))</f>
        <v>7647.91435718536</v>
      </c>
      <c r="H137" s="15" t="n">
        <f aca="false">G137*(1+IF(H$3&lt;=$O$2,$D137,$D137-($D137-$I$130)*MIN(H$3-$O$2,$Q$2)/$Q$2))</f>
        <v>7588.16502626985</v>
      </c>
      <c r="I137" s="15" t="n">
        <f aca="false">H137*(1+IF(I$3&lt;=$O$2,$D137,$D137-($D137-$I$130)*MIN(I$3-$O$2,$Q$2)/$Q$2))</f>
        <v>7528.88248700212</v>
      </c>
      <c r="J137" s="15" t="n">
        <f aca="false">I137*(1+IF(J$3&lt;=$O$2,$D137,$D137-($D137-$I$130)*MIN(J$3-$O$2,$Q$2)/$Q$2))</f>
        <v>7531.96932882179</v>
      </c>
      <c r="K137" s="15" t="n">
        <f aca="false">J137*(1+IF(K$3&lt;=$O$2,$D137,$D137-($D137-$I$130)*MIN(K$3-$O$2,$Q$2)/$Q$2))</f>
        <v>7596.98905405285</v>
      </c>
      <c r="L137" s="15" t="n">
        <f aca="false">K137*(1+IF(L$3&lt;=$O$2,$D137,$D137-($D137-$I$130)*MIN(L$3-$O$2,$Q$2)/$Q$2))</f>
        <v>7725.03630455891</v>
      </c>
      <c r="M137" s="15" t="n">
        <f aca="false">L137*(1+IF(M$3&lt;=$O$2,$D137,$D137-($D137-$I$130)*MIN(M$3-$O$2,$Q$2)/$Q$2))</f>
        <v>7918.76090248648</v>
      </c>
      <c r="N137" s="15" t="n">
        <f aca="false">M137*(1+IF(N$3&lt;=$O$2,$D137,$D137-($D137-$I$130)*MIN(N$3-$O$2,$Q$2)/$Q$2))</f>
        <v>8182.45564053929</v>
      </c>
      <c r="O137" s="15" t="n">
        <f aca="false">SUMPRODUCT(E137:N137,1/(1+$F$130)^$E$3:$N$3)*$E$2</f>
        <v>15256.4838315708</v>
      </c>
      <c r="P137" s="15" t="n">
        <f aca="false">N137*$E$2*(1+$I$130)/($F$130-$I$130)/(1+$F$130)^$N$3</f>
        <v>30878.937228109</v>
      </c>
      <c r="Q137" s="15" t="n">
        <f aca="false">O137+P137</f>
        <v>46135.4210596799</v>
      </c>
      <c r="R137" s="15" t="n">
        <f aca="false">Q137-$G$2+$I$2</f>
        <v>43618.4210596799</v>
      </c>
      <c r="S137" s="42" t="n">
        <f aca="false">R137/$K$2</f>
        <v>100.684227551082</v>
      </c>
      <c r="T137" s="43" t="n">
        <f aca="false">S137-$M$2</f>
        <v>-4.57407077309483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-0.0078125</v>
      </c>
      <c r="C138" s="25" t="n">
        <f aca="false">IF(T137&gt;0,D137,C137)</f>
        <v>0.015625</v>
      </c>
      <c r="D138" s="41" t="n">
        <f aca="false">(B138+C138)/2</f>
        <v>0.00390625</v>
      </c>
      <c r="E138" s="15" t="n">
        <f aca="false">$C$2*(1+IF(E$3&lt;=$O$2,$D138,$D138-($D138-$I$130)*MIN(E$3-$O$2,$Q$2)/$Q$2))</f>
        <v>7860.5859375</v>
      </c>
      <c r="F138" s="15" t="n">
        <f aca="false">E138*(1+IF(F$3&lt;=$O$2,$D138,$D138-($D138-$I$130)*MIN(F$3-$O$2,$Q$2)/$Q$2))</f>
        <v>7891.29135131836</v>
      </c>
      <c r="G138" s="15" t="n">
        <f aca="false">F138*(1+IF(G$3&lt;=$O$2,$D138,$D138-($D138-$I$130)*MIN(G$3-$O$2,$Q$2)/$Q$2))</f>
        <v>7922.11670815945</v>
      </c>
      <c r="H138" s="15" t="n">
        <f aca="false">G138*(1+IF(H$3&lt;=$O$2,$D138,$D138-($D138-$I$130)*MIN(H$3-$O$2,$Q$2)/$Q$2))</f>
        <v>7953.0624765507</v>
      </c>
      <c r="I138" s="15" t="n">
        <f aca="false">H138*(1+IF(I$3&lt;=$O$2,$D138,$D138-($D138-$I$130)*MIN(I$3-$O$2,$Q$2)/$Q$2))</f>
        <v>7984.12912684972</v>
      </c>
      <c r="J138" s="15" t="n">
        <f aca="false">I138*(1+IF(J$3&lt;=$O$2,$D138,$D138-($D138-$I$130)*MIN(J$3-$O$2,$Q$2)/$Q$2))</f>
        <v>8062.25383035595</v>
      </c>
      <c r="K138" s="15" t="n">
        <f aca="false">J138*(1+IF(K$3&lt;=$O$2,$D138,$D138-($D138-$I$130)*MIN(K$3-$O$2,$Q$2)/$Q$2))</f>
        <v>8188.53895879118</v>
      </c>
      <c r="L138" s="15" t="n">
        <f aca="false">K138*(1+IF(L$3&lt;=$O$2,$D138,$D138-($D138-$I$130)*MIN(L$3-$O$2,$Q$2)/$Q$2))</f>
        <v>8364.94055931094</v>
      </c>
      <c r="M138" s="15" t="n">
        <f aca="false">L138*(1+IF(M$3&lt;=$O$2,$D138,$D138-($D138-$I$130)*MIN(M$3-$O$2,$Q$2)/$Q$2))</f>
        <v>8594.31768562295</v>
      </c>
      <c r="N138" s="15" t="n">
        <f aca="false">M138*(1+IF(N$3&lt;=$O$2,$D138,$D138-($D138-$I$130)*MIN(N$3-$O$2,$Q$2)/$Q$2))</f>
        <v>8880.50846455419</v>
      </c>
      <c r="O138" s="15" t="n">
        <f aca="false">SUMPRODUCT(E138:N138,1/(1+$F$130)^$E$3:$N$3)*$E$2</f>
        <v>16068.8528950127</v>
      </c>
      <c r="P138" s="15" t="n">
        <f aca="false">N138*$E$2*(1+$I$130)/($F$130-$I$130)/(1+$F$130)^$N$3</f>
        <v>33513.2477922711</v>
      </c>
      <c r="Q138" s="15" t="n">
        <f aca="false">O138+P138</f>
        <v>49582.1006872838</v>
      </c>
      <c r="R138" s="15" t="n">
        <f aca="false">Q138-$G$2+$I$2</f>
        <v>47065.1006872838</v>
      </c>
      <c r="S138" s="42" t="n">
        <f aca="false">R138/$K$2</f>
        <v>108.640184403499</v>
      </c>
      <c r="T138" s="43" t="n">
        <f aca="false">S138-$M$2</f>
        <v>3.3818860793219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-0.0078125</v>
      </c>
      <c r="C139" s="25" t="n">
        <f aca="false">IF(T138&gt;0,D138,C138)</f>
        <v>0.00390625</v>
      </c>
      <c r="D139" s="41" t="n">
        <f aca="false">(B139+C139)/2</f>
        <v>-0.001953125</v>
      </c>
      <c r="E139" s="15" t="n">
        <f aca="false">$C$2*(1+IF(E$3&lt;=$O$2,$D139,$D139-($D139-$I$130)*MIN(E$3-$O$2,$Q$2)/$Q$2))</f>
        <v>7814.70703125</v>
      </c>
      <c r="F139" s="15" t="n">
        <f aca="false">E139*(1+IF(F$3&lt;=$O$2,$D139,$D139-($D139-$I$130)*MIN(F$3-$O$2,$Q$2)/$Q$2))</f>
        <v>7799.44393157959</v>
      </c>
      <c r="G139" s="15" t="n">
        <f aca="false">F139*(1+IF(G$3&lt;=$O$2,$D139,$D139-($D139-$I$130)*MIN(G$3-$O$2,$Q$2)/$Q$2))</f>
        <v>7784.21064265072</v>
      </c>
      <c r="H139" s="15" t="n">
        <f aca="false">G139*(1+IF(H$3&lt;=$O$2,$D139,$D139-($D139-$I$130)*MIN(H$3-$O$2,$Q$2)/$Q$2))</f>
        <v>7769.0071062393</v>
      </c>
      <c r="I139" s="15" t="n">
        <f aca="false">H139*(1+IF(I$3&lt;=$O$2,$D139,$D139-($D139-$I$130)*MIN(I$3-$O$2,$Q$2)/$Q$2))</f>
        <v>7753.83326423492</v>
      </c>
      <c r="J139" s="15" t="n">
        <f aca="false">I139*(1+IF(J$3&lt;=$O$2,$D139,$D139-($D139-$I$130)*MIN(J$3-$O$2,$Q$2)/$Q$2))</f>
        <v>7793.35842929936</v>
      </c>
      <c r="K139" s="15" t="n">
        <f aca="false">J139*(1+IF(K$3&lt;=$O$2,$D139,$D139-($D139-$I$130)*MIN(K$3-$O$2,$Q$2)/$Q$2))</f>
        <v>7888.03312166829</v>
      </c>
      <c r="L139" s="15" t="n">
        <f aca="false">K139*(1+IF(L$3&lt;=$O$2,$D139,$D139-($D139-$I$130)*MIN(L$3-$O$2,$Q$2)/$Q$2))</f>
        <v>8039.47349756292</v>
      </c>
      <c r="M139" s="15" t="n">
        <f aca="false">L139*(1+IF(M$3&lt;=$O$2,$D139,$D139-($D139-$I$130)*MIN(M$3-$O$2,$Q$2)/$Q$2))</f>
        <v>8250.50465220301</v>
      </c>
      <c r="N139" s="15" t="n">
        <f aca="false">M139*(1+IF(N$3&lt;=$O$2,$D139,$D139-($D139-$I$130)*MIN(N$3-$O$2,$Q$2)/$Q$2))</f>
        <v>8525.24645712137</v>
      </c>
      <c r="O139" s="15" t="n">
        <f aca="false">SUMPRODUCT(E139:N139,1/(1+$F$130)^$E$3:$N$3)*$E$2</f>
        <v>15657.2986850154</v>
      </c>
      <c r="P139" s="15" t="n">
        <f aca="false">N139*$E$2*(1+$I$130)/($F$130-$I$130)/(1+$F$130)^$N$3</f>
        <v>32172.5606307423</v>
      </c>
      <c r="Q139" s="15" t="n">
        <f aca="false">O139+P139</f>
        <v>47829.8593157577</v>
      </c>
      <c r="R139" s="15" t="n">
        <f aca="false">Q139-$G$2+$I$2</f>
        <v>45312.8593157577</v>
      </c>
      <c r="S139" s="42" t="n">
        <f aca="false">R139/$K$2</f>
        <v>104.595492626743</v>
      </c>
      <c r="T139" s="43" t="n">
        <f aca="false">S139-$M$2</f>
        <v>-0.662805697433797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-0.001953125</v>
      </c>
      <c r="C140" s="25" t="n">
        <f aca="false">IF(T139&gt;0,D139,C139)</f>
        <v>0.00390625</v>
      </c>
      <c r="D140" s="41" t="n">
        <f aca="false">(B140+C140)/2</f>
        <v>0.0009765625</v>
      </c>
      <c r="E140" s="15" t="n">
        <f aca="false">$C$2*(1+IF(E$3&lt;=$O$2,$D140,$D140-($D140-$I$130)*MIN(E$3-$O$2,$Q$2)/$Q$2))</f>
        <v>7837.646484375</v>
      </c>
      <c r="F140" s="15" t="n">
        <f aca="false">E140*(1+IF(F$3&lt;=$O$2,$D140,$D140-($D140-$I$130)*MIN(F$3-$O$2,$Q$2)/$Q$2))</f>
        <v>7845.3004360199</v>
      </c>
      <c r="G140" s="15" t="n">
        <f aca="false">F140*(1+IF(G$3&lt;=$O$2,$D140,$D140-($D140-$I$130)*MIN(G$3-$O$2,$Q$2)/$Q$2))</f>
        <v>7852.96186222695</v>
      </c>
      <c r="H140" s="15" t="n">
        <f aca="false">G140*(1+IF(H$3&lt;=$O$2,$D140,$D140-($D140-$I$130)*MIN(H$3-$O$2,$Q$2)/$Q$2))</f>
        <v>7860.63077029553</v>
      </c>
      <c r="I140" s="15" t="n">
        <f aca="false">H140*(1+IF(I$3&lt;=$O$2,$D140,$D140-($D140-$I$130)*MIN(I$3-$O$2,$Q$2)/$Q$2))</f>
        <v>7868.30716753215</v>
      </c>
      <c r="J140" s="15" t="n">
        <f aca="false">I140*(1+IF(J$3&lt;=$O$2,$D140,$D140-($D140-$I$130)*MIN(J$3-$O$2,$Q$2)/$Q$2))</f>
        <v>7926.85720824255</v>
      </c>
      <c r="K140" s="15" t="n">
        <f aca="false">J140*(1+IF(K$3&lt;=$O$2,$D140,$D140-($D140-$I$130)*MIN(K$3-$O$2,$Q$2)/$Q$2))</f>
        <v>8037.08758915179</v>
      </c>
      <c r="L140" s="15" t="n">
        <f aca="false">K140*(1+IF(L$3&lt;=$O$2,$D140,$D140-($D140-$I$130)*MIN(L$3-$O$2,$Q$2)/$Q$2))</f>
        <v>8200.80808652256</v>
      </c>
      <c r="M140" s="15" t="n">
        <f aca="false">L140*(1+IF(M$3&lt;=$O$2,$D140,$D140-($D140-$I$130)*MIN(M$3-$O$2,$Q$2)/$Q$2))</f>
        <v>8420.87933427692</v>
      </c>
      <c r="N140" s="15" t="n">
        <f aca="false">M140*(1+IF(N$3&lt;=$O$2,$D140,$D140-($D140-$I$130)*MIN(N$3-$O$2,$Q$2)/$Q$2))</f>
        <v>8701.29461610834</v>
      </c>
      <c r="O140" s="15" t="n">
        <f aca="false">SUMPRODUCT(E140:N140,1/(1+$F$130)^$E$3:$N$3)*$E$2</f>
        <v>15861.7165762895</v>
      </c>
      <c r="P140" s="15" t="n">
        <f aca="false">N140*$E$2*(1+$I$130)/($F$130-$I$130)/(1+$F$130)^$N$3</f>
        <v>32836.9308747495</v>
      </c>
      <c r="Q140" s="15" t="n">
        <f aca="false">O140+P140</f>
        <v>48698.6474510389</v>
      </c>
      <c r="R140" s="15" t="n">
        <f aca="false">Q140-$G$2+$I$2</f>
        <v>46181.6474510389</v>
      </c>
      <c r="S140" s="42" t="n">
        <f aca="false">R140/$K$2</f>
        <v>106.600912818058</v>
      </c>
      <c r="T140" s="43" t="n">
        <f aca="false">S140-$M$2</f>
        <v>1.34261449388048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-0.001953125</v>
      </c>
      <c r="C141" s="25" t="n">
        <f aca="false">IF(T140&gt;0,D140,C140)</f>
        <v>0.0009765625</v>
      </c>
      <c r="D141" s="41" t="n">
        <f aca="false">(B141+C141)/2</f>
        <v>-0.00048828125</v>
      </c>
      <c r="E141" s="15" t="n">
        <f aca="false">$C$2*(1+IF(E$3&lt;=$O$2,$D141,$D141-($D141-$I$130)*MIN(E$3-$O$2,$Q$2)/$Q$2))</f>
        <v>7826.1767578125</v>
      </c>
      <c r="F141" s="15" t="n">
        <f aca="false">E141*(1+IF(F$3&lt;=$O$2,$D141,$D141-($D141-$I$130)*MIN(F$3-$O$2,$Q$2)/$Q$2))</f>
        <v>7822.35538244247</v>
      </c>
      <c r="G141" s="15" t="n">
        <f aca="false">F141*(1+IF(G$3&lt;=$O$2,$D141,$D141-($D141-$I$130)*MIN(G$3-$O$2,$Q$2)/$Q$2))</f>
        <v>7818.53587297839</v>
      </c>
      <c r="H141" s="15" t="n">
        <f aca="false">G141*(1+IF(H$3&lt;=$O$2,$D141,$D141-($D141-$I$130)*MIN(H$3-$O$2,$Q$2)/$Q$2))</f>
        <v>7814.71822850916</v>
      </c>
      <c r="I141" s="15" t="n">
        <f aca="false">H141*(1+IF(I$3&lt;=$O$2,$D141,$D141-($D141-$I$130)*MIN(I$3-$O$2,$Q$2)/$Q$2))</f>
        <v>7810.90244812415</v>
      </c>
      <c r="J141" s="15" t="n">
        <f aca="false">I141*(1+IF(J$3&lt;=$O$2,$D141,$D141-($D141-$I$130)*MIN(J$3-$O$2,$Q$2)/$Q$2))</f>
        <v>7859.87192465986</v>
      </c>
      <c r="K141" s="15" t="n">
        <f aca="false">J141*(1+IF(K$3&lt;=$O$2,$D141,$D141-($D141-$I$130)*MIN(K$3-$O$2,$Q$2)/$Q$2))</f>
        <v>7962.2627218434</v>
      </c>
      <c r="L141" s="15" t="n">
        <f aca="false">K141*(1+IF(L$3&lt;=$O$2,$D141,$D141-($D141-$I$130)*MIN(L$3-$O$2,$Q$2)/$Q$2))</f>
        <v>8119.79360158797</v>
      </c>
      <c r="M141" s="15" t="n">
        <f aca="false">L141*(1+IF(M$3&lt;=$O$2,$D141,$D141-($D141-$I$130)*MIN(M$3-$O$2,$Q$2)/$Q$2))</f>
        <v>8335.31195454037</v>
      </c>
      <c r="N141" s="15" t="n">
        <f aca="false">M141*(1+IF(N$3&lt;=$O$2,$D141,$D141-($D141-$I$130)*MIN(N$3-$O$2,$Q$2)/$Q$2))</f>
        <v>8612.87784262656</v>
      </c>
      <c r="O141" s="15" t="n">
        <f aca="false">SUMPRODUCT(E141:N141,1/(1+$F$130)^$E$3:$N$3)*$E$2</f>
        <v>15759.1699407607</v>
      </c>
      <c r="P141" s="15" t="n">
        <f aca="false">N141*$E$2*(1+$I$130)/($F$130-$I$130)/(1+$F$130)^$N$3</f>
        <v>32503.2638048384</v>
      </c>
      <c r="Q141" s="15" t="n">
        <f aca="false">O141+P141</f>
        <v>48262.4337455992</v>
      </c>
      <c r="R141" s="15" t="n">
        <f aca="false">Q141-$G$2+$I$2</f>
        <v>45745.4337455992</v>
      </c>
      <c r="S141" s="42" t="n">
        <f aca="false">R141/$K$2</f>
        <v>105.594002459718</v>
      </c>
      <c r="T141" s="43" t="n">
        <f aca="false">S141-$M$2</f>
        <v>0.335704135541263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-0.001953125</v>
      </c>
      <c r="C142" s="25" t="n">
        <f aca="false">IF(T141&gt;0,D141,C141)</f>
        <v>-0.00048828125</v>
      </c>
      <c r="D142" s="41" t="n">
        <f aca="false">(B142+C142)/2</f>
        <v>-0.001220703125</v>
      </c>
      <c r="E142" s="15" t="n">
        <f aca="false">$C$2*(1+IF(E$3&lt;=$O$2,$D142,$D142-($D142-$I$130)*MIN(E$3-$O$2,$Q$2)/$Q$2))</f>
        <v>7820.44189453125</v>
      </c>
      <c r="F142" s="15" t="n">
        <f aca="false">E142*(1+IF(F$3&lt;=$O$2,$D142,$D142-($D142-$I$130)*MIN(F$3-$O$2,$Q$2)/$Q$2))</f>
        <v>7810.89545667172</v>
      </c>
      <c r="G142" s="15" t="n">
        <f aca="false">F142*(1+IF(G$3&lt;=$O$2,$D142,$D142-($D142-$I$130)*MIN(G$3-$O$2,$Q$2)/$Q$2))</f>
        <v>7801.36067217871</v>
      </c>
      <c r="H142" s="15" t="n">
        <f aca="false">G142*(1+IF(H$3&lt;=$O$2,$D142,$D142-($D142-$I$130)*MIN(H$3-$O$2,$Q$2)/$Q$2))</f>
        <v>7791.83752682693</v>
      </c>
      <c r="I142" s="15" t="n">
        <f aca="false">H142*(1+IF(I$3&lt;=$O$2,$D142,$D142-($D142-$I$130)*MIN(I$3-$O$2,$Q$2)/$Q$2))</f>
        <v>7782.32600640844</v>
      </c>
      <c r="J142" s="15" t="n">
        <f aca="false">I142*(1+IF(J$3&lt;=$O$2,$D142,$D142-($D142-$I$130)*MIN(J$3-$O$2,$Q$2)/$Q$2))</f>
        <v>7826.55636987049</v>
      </c>
      <c r="K142" s="15" t="n">
        <f aca="false">J142*(1+IF(K$3&lt;=$O$2,$D142,$D142-($D142-$I$130)*MIN(K$3-$O$2,$Q$2)/$Q$2))</f>
        <v>7925.07375962595</v>
      </c>
      <c r="L142" s="15" t="n">
        <f aca="false">K142*(1+IF(L$3&lt;=$O$2,$D142,$D142-($D142-$I$130)*MIN(L$3-$O$2,$Q$2)/$Q$2))</f>
        <v>8079.54706842158</v>
      </c>
      <c r="M142" s="15" t="n">
        <f aca="false">L142*(1+IF(M$3&lt;=$O$2,$D142,$D142-($D142-$I$130)*MIN(M$3-$O$2,$Q$2)/$Q$2))</f>
        <v>8292.81365665333</v>
      </c>
      <c r="N142" s="15" t="n">
        <f aca="false">M142*(1+IF(N$3&lt;=$O$2,$D142,$D142-($D142-$I$130)*MIN(N$3-$O$2,$Q$2)/$Q$2))</f>
        <v>8568.96435141989</v>
      </c>
      <c r="O142" s="15" t="n">
        <f aca="false">SUMPRODUCT(E142:N142,1/(1+$F$130)^$E$3:$N$3)*$E$2</f>
        <v>15708.1501533539</v>
      </c>
      <c r="P142" s="15" t="n">
        <f aca="false">N142*$E$2*(1+$I$130)/($F$130-$I$130)/(1+$F$130)^$N$3</f>
        <v>32337.5431461501</v>
      </c>
      <c r="Q142" s="15" t="n">
        <f aca="false">O142+P142</f>
        <v>48045.6932995041</v>
      </c>
      <c r="R142" s="15" t="n">
        <f aca="false">Q142-$G$2+$I$2</f>
        <v>45528.6932995041</v>
      </c>
      <c r="S142" s="42" t="n">
        <f aca="false">R142/$K$2</f>
        <v>105.093701351517</v>
      </c>
      <c r="T142" s="43" t="n">
        <f aca="false">S142-$M$2</f>
        <v>-0.164596972660434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-0.001220703125</v>
      </c>
      <c r="C143" s="25" t="n">
        <f aca="false">IF(T142&gt;0,D142,C142)</f>
        <v>-0.00048828125</v>
      </c>
      <c r="D143" s="41" t="n">
        <f aca="false">(B143+C143)/2</f>
        <v>-0.0008544921875</v>
      </c>
      <c r="E143" s="15" t="n">
        <f aca="false">$C$2*(1+IF(E$3&lt;=$O$2,$D143,$D143-($D143-$I$130)*MIN(E$3-$O$2,$Q$2)/$Q$2))</f>
        <v>7823.30932617188</v>
      </c>
      <c r="F143" s="15" t="n">
        <f aca="false">E143*(1+IF(F$3&lt;=$O$2,$D143,$D143-($D143-$I$130)*MIN(F$3-$O$2,$Q$2)/$Q$2))</f>
        <v>7816.62436947227</v>
      </c>
      <c r="G143" s="15" t="n">
        <f aca="false">F143*(1+IF(G$3&lt;=$O$2,$D143,$D143-($D143-$I$130)*MIN(G$3-$O$2,$Q$2)/$Q$2))</f>
        <v>7809.94512501593</v>
      </c>
      <c r="H143" s="15" t="n">
        <f aca="false">G143*(1+IF(H$3&lt;=$O$2,$D143,$D143-($D143-$I$130)*MIN(H$3-$O$2,$Q$2)/$Q$2))</f>
        <v>7803.2715879218</v>
      </c>
      <c r="I143" s="15" t="n">
        <f aca="false">H143*(1+IF(I$3&lt;=$O$2,$D143,$D143-($D143-$I$130)*MIN(I$3-$O$2,$Q$2)/$Q$2))</f>
        <v>7796.60375331298</v>
      </c>
      <c r="J143" s="15" t="n">
        <f aca="false">I143*(1+IF(J$3&lt;=$O$2,$D143,$D143-($D143-$I$130)*MIN(J$3-$O$2,$Q$2)/$Q$2))</f>
        <v>7843.19942471305</v>
      </c>
      <c r="K143" s="15" t="n">
        <f aca="false">J143*(1+IF(K$3&lt;=$O$2,$D143,$D143-($D143-$I$130)*MIN(K$3-$O$2,$Q$2)/$Q$2))</f>
        <v>7943.64966947018</v>
      </c>
      <c r="L143" s="15" t="n">
        <f aca="false">K143*(1+IF(L$3&lt;=$O$2,$D143,$D143-($D143-$I$130)*MIN(L$3-$O$2,$Q$2)/$Q$2))</f>
        <v>8099.64867523307</v>
      </c>
      <c r="M143" s="15" t="n">
        <f aca="false">L143*(1+IF(M$3&lt;=$O$2,$D143,$D143-($D143-$I$130)*MIN(M$3-$O$2,$Q$2)/$Q$2))</f>
        <v>8314.03909863839</v>
      </c>
      <c r="N143" s="15" t="n">
        <f aca="false">M143*(1+IF(N$3&lt;=$O$2,$D143,$D143-($D143-$I$130)*MIN(N$3-$O$2,$Q$2)/$Q$2))</f>
        <v>8590.89660062304</v>
      </c>
      <c r="O143" s="15" t="n">
        <f aca="false">SUMPRODUCT(E143:N143,1/(1+$F$130)^$E$3:$N$3)*$E$2</f>
        <v>15733.6389743623</v>
      </c>
      <c r="P143" s="15" t="n">
        <f aca="false">N143*$E$2*(1+$I$130)/($F$130-$I$130)/(1+$F$130)^$N$3</f>
        <v>32420.3110310208</v>
      </c>
      <c r="Q143" s="15" t="n">
        <f aca="false">O143+P143</f>
        <v>48153.9500053831</v>
      </c>
      <c r="R143" s="15" t="n">
        <f aca="false">Q143-$G$2+$I$2</f>
        <v>45636.9500053831</v>
      </c>
      <c r="S143" s="42" t="n">
        <f aca="false">R143/$K$2</f>
        <v>105.34358987439</v>
      </c>
      <c r="T143" s="43" t="n">
        <f aca="false">S143-$M$2</f>
        <v>0.0852915502124745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-0.001220703125</v>
      </c>
      <c r="C144" s="25" t="n">
        <f aca="false">IF(T143&gt;0,D143,C143)</f>
        <v>-0.0008544921875</v>
      </c>
      <c r="D144" s="41" t="n">
        <f aca="false">(B144+C144)/2</f>
        <v>-0.00103759765625</v>
      </c>
      <c r="E144" s="15" t="n">
        <f aca="false">$C$2*(1+IF(E$3&lt;=$O$2,$D144,$D144-($D144-$I$130)*MIN(E$3-$O$2,$Q$2)/$Q$2))</f>
        <v>7821.87561035156</v>
      </c>
      <c r="F144" s="15" t="n">
        <f aca="false">E144*(1+IF(F$3&lt;=$O$2,$D144,$D144-($D144-$I$130)*MIN(F$3-$O$2,$Q$2)/$Q$2))</f>
        <v>7813.75965055078</v>
      </c>
      <c r="G144" s="15" t="n">
        <f aca="false">F144*(1+IF(G$3&lt;=$O$2,$D144,$D144-($D144-$I$130)*MIN(G$3-$O$2,$Q$2)/$Q$2))</f>
        <v>7805.65211185087</v>
      </c>
      <c r="H144" s="15" t="n">
        <f aca="false">G144*(1+IF(H$3&lt;=$O$2,$D144,$D144-($D144-$I$130)*MIN(H$3-$O$2,$Q$2)/$Q$2))</f>
        <v>7797.55298551411</v>
      </c>
      <c r="I144" s="15" t="n">
        <f aca="false">H144*(1+IF(I$3&lt;=$O$2,$D144,$D144-($D144-$I$130)*MIN(I$3-$O$2,$Q$2)/$Q$2))</f>
        <v>7789.46226281186</v>
      </c>
      <c r="J144" s="15" t="n">
        <f aca="false">I144*(1+IF(J$3&lt;=$O$2,$D144,$D144-($D144-$I$130)*MIN(J$3-$O$2,$Q$2)/$Q$2))</f>
        <v>7834.87421925231</v>
      </c>
      <c r="K144" s="15" t="n">
        <f aca="false">J144*(1+IF(K$3&lt;=$O$2,$D144,$D144-($D144-$I$130)*MIN(K$3-$O$2,$Q$2)/$Q$2))</f>
        <v>7934.3570755766</v>
      </c>
      <c r="L144" s="15" t="n">
        <f aca="false">K144*(1+IF(L$3&lt;=$O$2,$D144,$D144-($D144-$I$130)*MIN(L$3-$O$2,$Q$2)/$Q$2))</f>
        <v>8089.59246182444</v>
      </c>
      <c r="M144" s="15" t="n">
        <f aca="false">L144*(1+IF(M$3&lt;=$O$2,$D144,$D144-($D144-$I$130)*MIN(M$3-$O$2,$Q$2)/$Q$2))</f>
        <v>8303.42045657176</v>
      </c>
      <c r="N144" s="15" t="n">
        <f aca="false">M144*(1+IF(N$3&lt;=$O$2,$D144,$D144-($D144-$I$130)*MIN(N$3-$O$2,$Q$2)/$Q$2))</f>
        <v>8579.9243577756</v>
      </c>
      <c r="O144" s="15" t="n">
        <f aca="false">SUMPRODUCT(E144:N144,1/(1+$F$130)^$E$3:$N$3)*$E$2</f>
        <v>15720.8892997892</v>
      </c>
      <c r="P144" s="15" t="n">
        <f aca="false">N144*$E$2*(1+$I$130)/($F$130-$I$130)/(1+$F$130)^$N$3</f>
        <v>32378.9039995596</v>
      </c>
      <c r="Q144" s="15" t="n">
        <f aca="false">O144+P144</f>
        <v>48099.7932993488</v>
      </c>
      <c r="R144" s="15" t="n">
        <f aca="false">Q144-$G$2+$I$2</f>
        <v>45582.7932993488</v>
      </c>
      <c r="S144" s="42" t="n">
        <f aca="false">R144/$K$2</f>
        <v>105.218580165618</v>
      </c>
      <c r="T144" s="43" t="n">
        <f aca="false">S144-$M$2</f>
        <v>-0.0397181585595945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-0.00103759765625</v>
      </c>
      <c r="C145" s="25" t="n">
        <f aca="false">IF(T144&gt;0,D144,C144)</f>
        <v>-0.0008544921875</v>
      </c>
      <c r="D145" s="41" t="n">
        <f aca="false">(B145+C145)/2</f>
        <v>-0.000946044921875</v>
      </c>
      <c r="E145" s="15" t="n">
        <f aca="false">$C$2*(1+IF(E$3&lt;=$O$2,$D145,$D145-($D145-$I$130)*MIN(E$3-$O$2,$Q$2)/$Q$2))</f>
        <v>7822.59246826172</v>
      </c>
      <c r="F145" s="15" t="n">
        <f aca="false">E145*(1+IF(F$3&lt;=$O$2,$D145,$D145-($D145-$I$130)*MIN(F$3-$O$2,$Q$2)/$Q$2))</f>
        <v>7815.19194438122</v>
      </c>
      <c r="G145" s="15" t="n">
        <f aca="false">F145*(1+IF(G$3&lt;=$O$2,$D145,$D145-($D145-$I$130)*MIN(G$3-$O$2,$Q$2)/$Q$2))</f>
        <v>7807.79842172876</v>
      </c>
      <c r="H145" s="15" t="n">
        <f aca="false">G145*(1+IF(H$3&lt;=$O$2,$D145,$D145-($D145-$I$130)*MIN(H$3-$O$2,$Q$2)/$Q$2))</f>
        <v>7800.41189368086</v>
      </c>
      <c r="I145" s="15" t="n">
        <f aca="false">H145*(1+IF(I$3&lt;=$O$2,$D145,$D145-($D145-$I$130)*MIN(I$3-$O$2,$Q$2)/$Q$2))</f>
        <v>7793.03235362031</v>
      </c>
      <c r="J145" s="15" t="n">
        <f aca="false">I145*(1+IF(J$3&lt;=$O$2,$D145,$D145-($D145-$I$130)*MIN(J$3-$O$2,$Q$2)/$Q$2))</f>
        <v>7839.0359021481</v>
      </c>
      <c r="K145" s="15" t="n">
        <f aca="false">J145*(1+IF(K$3&lt;=$O$2,$D145,$D145-($D145-$I$130)*MIN(K$3-$O$2,$Q$2)/$Q$2))</f>
        <v>7939.00221230014</v>
      </c>
      <c r="L145" s="15" t="n">
        <f aca="false">K145*(1+IF(L$3&lt;=$O$2,$D145,$D145-($D145-$I$130)*MIN(L$3-$O$2,$Q$2)/$Q$2))</f>
        <v>8094.61921541082</v>
      </c>
      <c r="M145" s="15" t="n">
        <f aca="false">L145*(1+IF(M$3&lt;=$O$2,$D145,$D145-($D145-$I$130)*MIN(M$3-$O$2,$Q$2)/$Q$2))</f>
        <v>8308.72829662871</v>
      </c>
      <c r="N145" s="15" t="n">
        <f aca="false">M145*(1+IF(N$3&lt;=$O$2,$D145,$D145-($D145-$I$130)*MIN(N$3-$O$2,$Q$2)/$Q$2))</f>
        <v>8585.40894890645</v>
      </c>
      <c r="O145" s="15" t="n">
        <f aca="false">SUMPRODUCT(E145:N145,1/(1+$F$130)^$E$3:$N$3)*$E$2</f>
        <v>15727.2628205456</v>
      </c>
      <c r="P145" s="15" t="n">
        <f aca="false">N145*$E$2*(1+$I$130)/($F$130-$I$130)/(1+$F$130)^$N$3</f>
        <v>32399.6017402735</v>
      </c>
      <c r="Q145" s="15" t="n">
        <f aca="false">O145+P145</f>
        <v>48126.8645608192</v>
      </c>
      <c r="R145" s="15" t="n">
        <f aca="false">Q145-$G$2+$I$2</f>
        <v>45609.8645608192</v>
      </c>
      <c r="S145" s="42" t="n">
        <f aca="false">R145/$K$2</f>
        <v>105.281068650614</v>
      </c>
      <c r="T145" s="43" t="n">
        <f aca="false">S145-$M$2</f>
        <v>0.0227703264373247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-0.00103759765625</v>
      </c>
      <c r="C146" s="25" t="n">
        <f aca="false">IF(T145&gt;0,D145,C145)</f>
        <v>-0.000946044921875</v>
      </c>
      <c r="D146" s="41" t="n">
        <f aca="false">(B146+C146)/2</f>
        <v>-0.0009918212890625</v>
      </c>
      <c r="E146" s="15" t="n">
        <f aca="false">$C$2*(1+IF(E$3&lt;=$O$2,$D146,$D146-($D146-$I$130)*MIN(E$3-$O$2,$Q$2)/$Q$2))</f>
        <v>7822.23403930664</v>
      </c>
      <c r="F146" s="15" t="n">
        <f aca="false">E146*(1+IF(F$3&lt;=$O$2,$D146,$D146-($D146-$I$130)*MIN(F$3-$O$2,$Q$2)/$Q$2))</f>
        <v>7814.47578105843</v>
      </c>
      <c r="G146" s="15" t="n">
        <f aca="false">F146*(1+IF(G$3&lt;=$O$2,$D146,$D146-($D146-$I$130)*MIN(G$3-$O$2,$Q$2)/$Q$2))</f>
        <v>7806.72521761591</v>
      </c>
      <c r="H146" s="15" t="n">
        <f aca="false">G146*(1+IF(H$3&lt;=$O$2,$D146,$D146-($D146-$I$130)*MIN(H$3-$O$2,$Q$2)/$Q$2))</f>
        <v>7798.98234134722</v>
      </c>
      <c r="I146" s="15" t="n">
        <f aca="false">H146*(1+IF(I$3&lt;=$O$2,$D146,$D146-($D146-$I$130)*MIN(I$3-$O$2,$Q$2)/$Q$2))</f>
        <v>7791.24714462805</v>
      </c>
      <c r="J146" s="15" t="n">
        <f aca="false">I146*(1+IF(J$3&lt;=$O$2,$D146,$D146-($D146-$I$130)*MIN(J$3-$O$2,$Q$2)/$Q$2))</f>
        <v>7836.95483078216</v>
      </c>
      <c r="K146" s="15" t="n">
        <f aca="false">J146*(1+IF(K$3&lt;=$O$2,$D146,$D146-($D146-$I$130)*MIN(K$3-$O$2,$Q$2)/$Q$2))</f>
        <v>7936.67935394262</v>
      </c>
      <c r="L146" s="15" t="n">
        <f aca="false">K146*(1+IF(L$3&lt;=$O$2,$D146,$D146-($D146-$I$130)*MIN(L$3-$O$2,$Q$2)/$Q$2))</f>
        <v>8092.10550041532</v>
      </c>
      <c r="M146" s="15" t="n">
        <f aca="false">L146*(1+IF(M$3&lt;=$O$2,$D146,$D146-($D146-$I$130)*MIN(M$3-$O$2,$Q$2)/$Q$2))</f>
        <v>8306.07400644465</v>
      </c>
      <c r="N146" s="15" t="n">
        <f aca="false">M146*(1+IF(N$3&lt;=$O$2,$D146,$D146-($D146-$I$130)*MIN(N$3-$O$2,$Q$2)/$Q$2))</f>
        <v>8582.66627085926</v>
      </c>
      <c r="O146" s="15" t="n">
        <f aca="false">SUMPRODUCT(E146:N146,1/(1+$F$130)^$E$3:$N$3)*$E$2</f>
        <v>15724.075731099</v>
      </c>
      <c r="P146" s="15" t="n">
        <f aca="false">N146*$E$2*(1+$I$130)/($F$130-$I$130)/(1+$F$130)^$N$3</f>
        <v>32389.2514265075</v>
      </c>
      <c r="Q146" s="15" t="n">
        <f aca="false">O146+P146</f>
        <v>48113.3271576066</v>
      </c>
      <c r="R146" s="15" t="n">
        <f aca="false">Q146-$G$2+$I$2</f>
        <v>45596.3271576066</v>
      </c>
      <c r="S146" s="42" t="n">
        <f aca="false">R146/$K$2</f>
        <v>105.249820316713</v>
      </c>
      <c r="T146" s="43" t="n">
        <f aca="false">S146-$M$2</f>
        <v>-0.00847800746375071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-0.0009918212890625</v>
      </c>
      <c r="C147" s="25" t="n">
        <f aca="false">IF(T146&gt;0,D146,C146)</f>
        <v>-0.000946044921875</v>
      </c>
      <c r="D147" s="41" t="n">
        <f aca="false">(B147+C147)/2</f>
        <v>-0.00096893310546875</v>
      </c>
      <c r="E147" s="15" t="n">
        <f aca="false">$C$2*(1+IF(E$3&lt;=$O$2,$D147,$D147-($D147-$I$130)*MIN(E$3-$O$2,$Q$2)/$Q$2))</f>
        <v>7822.41325378418</v>
      </c>
      <c r="F147" s="15" t="n">
        <f aca="false">E147*(1+IF(F$3&lt;=$O$2,$D147,$D147-($D147-$I$130)*MIN(F$3-$O$2,$Q$2)/$Q$2))</f>
        <v>7814.83385861793</v>
      </c>
      <c r="G147" s="15" t="n">
        <f aca="false">F147*(1+IF(G$3&lt;=$O$2,$D147,$D147-($D147-$I$130)*MIN(G$3-$O$2,$Q$2)/$Q$2))</f>
        <v>7807.26180737858</v>
      </c>
      <c r="H147" s="15" t="n">
        <f aca="false">G147*(1+IF(H$3&lt;=$O$2,$D147,$D147-($D147-$I$130)*MIN(H$3-$O$2,$Q$2)/$Q$2))</f>
        <v>7799.69709295035</v>
      </c>
      <c r="I147" s="15" t="n">
        <f aca="false">H147*(1+IF(I$3&lt;=$O$2,$D147,$D147-($D147-$I$130)*MIN(I$3-$O$2,$Q$2)/$Q$2))</f>
        <v>7792.13970822436</v>
      </c>
      <c r="J147" s="15" t="n">
        <f aca="false">I147*(1+IF(J$3&lt;=$O$2,$D147,$D147-($D147-$I$130)*MIN(J$3-$O$2,$Q$2)/$Q$2))</f>
        <v>7837.99530898054</v>
      </c>
      <c r="K147" s="15" t="n">
        <f aca="false">J147*(1+IF(K$3&lt;=$O$2,$D147,$D147-($D147-$I$130)*MIN(K$3-$O$2,$Q$2)/$Q$2))</f>
        <v>7937.84071061494</v>
      </c>
      <c r="L147" s="15" t="n">
        <f aca="false">K147*(1+IF(L$3&lt;=$O$2,$D147,$D147-($D147-$I$130)*MIN(L$3-$O$2,$Q$2)/$Q$2))</f>
        <v>8093.36227335284</v>
      </c>
      <c r="M147" s="15" t="n">
        <f aca="false">L147*(1+IF(M$3&lt;=$O$2,$D147,$D147-($D147-$I$130)*MIN(M$3-$O$2,$Q$2)/$Q$2))</f>
        <v>8307.40105898672</v>
      </c>
      <c r="N147" s="15" t="n">
        <f aca="false">M147*(1+IF(N$3&lt;=$O$2,$D147,$D147-($D147-$I$130)*MIN(N$3-$O$2,$Q$2)/$Q$2))</f>
        <v>8584.03751425098</v>
      </c>
      <c r="O147" s="15" t="n">
        <f aca="false">SUMPRODUCT(E147:N147,1/(1+$F$130)^$E$3:$N$3)*$E$2</f>
        <v>15725.6691935472</v>
      </c>
      <c r="P147" s="15" t="n">
        <f aca="false">N147*$E$2*(1+$I$130)/($F$130-$I$130)/(1+$F$130)^$N$3</f>
        <v>32394.4262224951</v>
      </c>
      <c r="Q147" s="15" t="n">
        <f aca="false">O147+P147</f>
        <v>48120.0954160424</v>
      </c>
      <c r="R147" s="15" t="n">
        <f aca="false">Q147-$G$2+$I$2</f>
        <v>45603.0954160424</v>
      </c>
      <c r="S147" s="42" t="n">
        <f aca="false">R147/$K$2</f>
        <v>105.265443460695</v>
      </c>
      <c r="T147" s="43" t="n">
        <f aca="false">S147-$M$2</f>
        <v>0.00714513651804793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-0.0009918212890625</v>
      </c>
      <c r="C148" s="25" t="n">
        <f aca="false">IF(T147&gt;0,D147,C147)</f>
        <v>-0.00096893310546875</v>
      </c>
      <c r="D148" s="41" t="n">
        <f aca="false">(B148+C148)/2</f>
        <v>-0.000980377197265625</v>
      </c>
      <c r="E148" s="15" t="n">
        <f aca="false">$C$2*(1+IF(E$3&lt;=$O$2,$D148,$D148-($D148-$I$130)*MIN(E$3-$O$2,$Q$2)/$Q$2))</f>
        <v>7822.32364654541</v>
      </c>
      <c r="F148" s="15" t="n">
        <f aca="false">E148*(1+IF(F$3&lt;=$O$2,$D148,$D148-($D148-$I$130)*MIN(F$3-$O$2,$Q$2)/$Q$2))</f>
        <v>7814.65481881271</v>
      </c>
      <c r="G148" s="15" t="n">
        <f aca="false">F148*(1+IF(G$3&lt;=$O$2,$D148,$D148-($D148-$I$130)*MIN(G$3-$O$2,$Q$2)/$Q$2))</f>
        <v>7806.99350942384</v>
      </c>
      <c r="H148" s="15" t="n">
        <f aca="false">G148*(1+IF(H$3&lt;=$O$2,$D148,$D148-($D148-$I$130)*MIN(H$3-$O$2,$Q$2)/$Q$2))</f>
        <v>7799.339711008</v>
      </c>
      <c r="I148" s="15" t="n">
        <f aca="false">H148*(1+IF(I$3&lt;=$O$2,$D148,$D148-($D148-$I$130)*MIN(I$3-$O$2,$Q$2)/$Q$2))</f>
        <v>7791.6934162016</v>
      </c>
      <c r="J148" s="15" t="n">
        <f aca="false">I148*(1+IF(J$3&lt;=$O$2,$D148,$D148-($D148-$I$130)*MIN(J$3-$O$2,$Q$2)/$Q$2))</f>
        <v>7837.47505551084</v>
      </c>
      <c r="K148" s="15" t="n">
        <f aca="false">J148*(1+IF(K$3&lt;=$O$2,$D148,$D148-($D148-$I$130)*MIN(K$3-$O$2,$Q$2)/$Q$2))</f>
        <v>7937.26001415311</v>
      </c>
      <c r="L148" s="15" t="n">
        <f aca="false">K148*(1+IF(L$3&lt;=$O$2,$D148,$D148-($D148-$I$130)*MIN(L$3-$O$2,$Q$2)/$Q$2))</f>
        <v>8092.73386574523</v>
      </c>
      <c r="M148" s="15" t="n">
        <f aca="false">L148*(1+IF(M$3&lt;=$O$2,$D148,$D148-($D148-$I$130)*MIN(M$3-$O$2,$Q$2)/$Q$2))</f>
        <v>8306.73750957958</v>
      </c>
      <c r="N148" s="15" t="n">
        <f aca="false">M148*(1+IF(N$3&lt;=$O$2,$D148,$D148-($D148-$I$130)*MIN(N$3-$O$2,$Q$2)/$Q$2))</f>
        <v>8583.35186864858</v>
      </c>
      <c r="O148" s="15" t="n">
        <f aca="false">SUMPRODUCT(E148:N148,1/(1+$F$130)^$E$3:$N$3)*$E$2</f>
        <v>15724.8724417554</v>
      </c>
      <c r="P148" s="15" t="n">
        <f aca="false">N148*$E$2*(1+$I$130)/($F$130-$I$130)/(1+$F$130)^$N$3</f>
        <v>32391.8387342829</v>
      </c>
      <c r="Q148" s="15" t="n">
        <f aca="false">O148+P148</f>
        <v>48116.7111760382</v>
      </c>
      <c r="R148" s="15" t="n">
        <f aca="false">Q148-$G$2+$I$2</f>
        <v>45599.7111760382</v>
      </c>
      <c r="S148" s="42" t="n">
        <f aca="false">R148/$K$2</f>
        <v>105.257631632977</v>
      </c>
      <c r="T148" s="43" t="n">
        <f aca="false">S148-$M$2</f>
        <v>-0.000666691200294167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-0.000980377197265625</v>
      </c>
      <c r="C149" s="25" t="n">
        <f aca="false">IF(T148&gt;0,D148,C148)</f>
        <v>-0.00096893310546875</v>
      </c>
      <c r="D149" s="41" t="n">
        <f aca="false">(B149+C149)/2</f>
        <v>-0.000974655151367188</v>
      </c>
      <c r="E149" s="15" t="n">
        <f aca="false">$C$2*(1+IF(E$3&lt;=$O$2,$D149,$D149-($D149-$I$130)*MIN(E$3-$O$2,$Q$2)/$Q$2))</f>
        <v>7822.3684501648</v>
      </c>
      <c r="F149" s="15" t="n">
        <f aca="false">E149*(1+IF(F$3&lt;=$O$2,$D149,$D149-($D149-$I$130)*MIN(F$3-$O$2,$Q$2)/$Q$2))</f>
        <v>7814.74433845895</v>
      </c>
      <c r="G149" s="15" t="n">
        <f aca="false">F149*(1+IF(G$3&lt;=$O$2,$D149,$D149-($D149-$I$130)*MIN(G$3-$O$2,$Q$2)/$Q$2))</f>
        <v>7807.12765763285</v>
      </c>
      <c r="H149" s="15" t="n">
        <f aca="false">G149*(1+IF(H$3&lt;=$O$2,$D149,$D149-($D149-$I$130)*MIN(H$3-$O$2,$Q$2)/$Q$2))</f>
        <v>7799.51840044396</v>
      </c>
      <c r="I149" s="15" t="n">
        <f aca="false">H149*(1+IF(I$3&lt;=$O$2,$D149,$D149-($D149-$I$130)*MIN(I$3-$O$2,$Q$2)/$Q$2))</f>
        <v>7791.91655965678</v>
      </c>
      <c r="J149" s="15" t="n">
        <f aca="false">I149*(1+IF(J$3&lt;=$O$2,$D149,$D149-($D149-$I$130)*MIN(J$3-$O$2,$Q$2)/$Q$2))</f>
        <v>7837.73517865298</v>
      </c>
      <c r="K149" s="15" t="n">
        <f aca="false">J149*(1+IF(K$3&lt;=$O$2,$D149,$D149-($D149-$I$130)*MIN(K$3-$O$2,$Q$2)/$Q$2))</f>
        <v>7937.55035785249</v>
      </c>
      <c r="L149" s="15" t="n">
        <f aca="false">K149*(1+IF(L$3&lt;=$O$2,$D149,$D149-($D149-$I$130)*MIN(L$3-$O$2,$Q$2)/$Q$2))</f>
        <v>8093.04806426417</v>
      </c>
      <c r="M149" s="15" t="n">
        <f aca="false">L149*(1+IF(M$3&lt;=$O$2,$D149,$D149-($D149-$I$130)*MIN(M$3-$O$2,$Q$2)/$Q$2))</f>
        <v>8307.06927849895</v>
      </c>
      <c r="N149" s="15" t="n">
        <f aca="false">M149*(1+IF(N$3&lt;=$O$2,$D149,$D149-($D149-$I$130)*MIN(N$3-$O$2,$Q$2)/$Q$2))</f>
        <v>8583.69468547297</v>
      </c>
      <c r="O149" s="15" t="n">
        <f aca="false">SUMPRODUCT(E149:N149,1/(1+$F$130)^$E$3:$N$3)*$E$2</f>
        <v>15725.2708125092</v>
      </c>
      <c r="P149" s="15" t="n">
        <f aca="false">N149*$E$2*(1+$I$130)/($F$130-$I$130)/(1+$F$130)^$N$3</f>
        <v>32393.1324558337</v>
      </c>
      <c r="Q149" s="15" t="n">
        <f aca="false">O149+P149</f>
        <v>48118.4032683429</v>
      </c>
      <c r="R149" s="15" t="n">
        <f aca="false">Q149-$G$2+$I$2</f>
        <v>45601.4032683429</v>
      </c>
      <c r="S149" s="42" t="n">
        <f aca="false">R149/$K$2</f>
        <v>105.261537482902</v>
      </c>
      <c r="T149" s="43" t="n">
        <f aca="false">S149-$M$2</f>
        <v>0.00323915872519365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-0.000980377197265625</v>
      </c>
      <c r="C150" s="25" t="n">
        <f aca="false">IF(T149&gt;0,D149,C149)</f>
        <v>-0.000974655151367188</v>
      </c>
      <c r="D150" s="41" t="n">
        <f aca="false">(B150+C150)/2</f>
        <v>-0.000977516174316406</v>
      </c>
      <c r="E150" s="15" t="n">
        <f aca="false">$C$2*(1+IF(E$3&lt;=$O$2,$D150,$D150-($D150-$I$130)*MIN(E$3-$O$2,$Q$2)/$Q$2))</f>
        <v>7822.3460483551</v>
      </c>
      <c r="F150" s="15" t="n">
        <f aca="false">E150*(1+IF(F$3&lt;=$O$2,$D150,$D150-($D150-$I$130)*MIN(F$3-$O$2,$Q$2)/$Q$2))</f>
        <v>7814.69957857174</v>
      </c>
      <c r="G150" s="15" t="n">
        <f aca="false">F150*(1+IF(G$3&lt;=$O$2,$D150,$D150-($D150-$I$130)*MIN(G$3-$O$2,$Q$2)/$Q$2))</f>
        <v>7807.06058333626</v>
      </c>
      <c r="H150" s="15" t="n">
        <f aca="false">G150*(1+IF(H$3&lt;=$O$2,$D150,$D150-($D150-$I$130)*MIN(H$3-$O$2,$Q$2)/$Q$2))</f>
        <v>7799.42905534218</v>
      </c>
      <c r="I150" s="15" t="n">
        <f aca="false">H150*(1+IF(I$3&lt;=$O$2,$D150,$D150-($D150-$I$130)*MIN(I$3-$O$2,$Q$2)/$Q$2))</f>
        <v>7791.80498729015</v>
      </c>
      <c r="J150" s="15" t="n">
        <f aca="false">I150*(1+IF(J$3&lt;=$O$2,$D150,$D150-($D150-$I$130)*MIN(J$3-$O$2,$Q$2)/$Q$2))</f>
        <v>7837.60511618375</v>
      </c>
      <c r="K150" s="15" t="n">
        <f aca="false">J150*(1+IF(K$3&lt;=$O$2,$D150,$D150-($D150-$I$130)*MIN(K$3-$O$2,$Q$2)/$Q$2))</f>
        <v>7937.40518486993</v>
      </c>
      <c r="L150" s="15" t="n">
        <f aca="false">K150*(1+IF(L$3&lt;=$O$2,$D150,$D150-($D150-$I$130)*MIN(L$3-$O$2,$Q$2)/$Q$2))</f>
        <v>8092.8909636835</v>
      </c>
      <c r="M150" s="15" t="n">
        <f aca="false">L150*(1+IF(M$3&lt;=$O$2,$D150,$D150-($D150-$I$130)*MIN(M$3-$O$2,$Q$2)/$Q$2))</f>
        <v>8306.90339259324</v>
      </c>
      <c r="N150" s="15" t="n">
        <f aca="false">M150*(1+IF(N$3&lt;=$O$2,$D150,$D150-($D150-$I$130)*MIN(N$3-$O$2,$Q$2)/$Q$2))</f>
        <v>8583.52327556659</v>
      </c>
      <c r="O150" s="15" t="n">
        <f aca="false">SUMPRODUCT(E150:N150,1/(1+$F$130)^$E$3:$N$3)*$E$2</f>
        <v>15725.0716258468</v>
      </c>
      <c r="P150" s="15" t="n">
        <f aca="false">N150*$E$2*(1+$I$130)/($F$130-$I$130)/(1+$F$130)^$N$3</f>
        <v>32392.4855894196</v>
      </c>
      <c r="Q150" s="15" t="n">
        <f aca="false">O150+P150</f>
        <v>48117.5572152663</v>
      </c>
      <c r="R150" s="15" t="n">
        <f aca="false">Q150-$G$2+$I$2</f>
        <v>45600.5572152663</v>
      </c>
      <c r="S150" s="42" t="n">
        <f aca="false">R150/$K$2</f>
        <v>105.259584541956</v>
      </c>
      <c r="T150" s="43" t="n">
        <f aca="false">S150-$M$2</f>
        <v>0.00128621777925275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-0.000980377197265625</v>
      </c>
      <c r="C151" s="25" t="n">
        <f aca="false">IF(T150&gt;0,D150,C150)</f>
        <v>-0.000977516174316406</v>
      </c>
      <c r="D151" s="41" t="n">
        <f aca="false">(B151+C151)/2</f>
        <v>-0.000978946685791016</v>
      </c>
      <c r="E151" s="15" t="n">
        <f aca="false">$C$2*(1+IF(E$3&lt;=$O$2,$D151,$D151-($D151-$I$130)*MIN(E$3-$O$2,$Q$2)/$Q$2))</f>
        <v>7822.33484745026</v>
      </c>
      <c r="F151" s="15" t="n">
        <f aca="false">E151*(1+IF(F$3&lt;=$O$2,$D151,$D151-($D151-$I$130)*MIN(F$3-$O$2,$Q$2)/$Q$2))</f>
        <v>7814.6771986762</v>
      </c>
      <c r="G151" s="15" t="n">
        <f aca="false">F151*(1+IF(G$3&lt;=$O$2,$D151,$D151-($D151-$I$130)*MIN(G$3-$O$2,$Q$2)/$Q$2))</f>
        <v>7807.02704633203</v>
      </c>
      <c r="H151" s="15" t="n">
        <f aca="false">G151*(1+IF(H$3&lt;=$O$2,$D151,$D151-($D151-$I$130)*MIN(H$3-$O$2,$Q$2)/$Q$2))</f>
        <v>7799.38438307914</v>
      </c>
      <c r="I151" s="15" t="n">
        <f aca="false">H151*(1+IF(I$3&lt;=$O$2,$D151,$D151-($D151-$I$130)*MIN(I$3-$O$2,$Q$2)/$Q$2))</f>
        <v>7791.74920158611</v>
      </c>
      <c r="J151" s="15" t="n">
        <f aca="false">I151*(1+IF(J$3&lt;=$O$2,$D151,$D151-($D151-$I$130)*MIN(J$3-$O$2,$Q$2)/$Q$2))</f>
        <v>7837.54008562275</v>
      </c>
      <c r="K151" s="15" t="n">
        <f aca="false">J151*(1+IF(K$3&lt;=$O$2,$D151,$D151-($D151-$I$130)*MIN(K$3-$O$2,$Q$2)/$Q$2))</f>
        <v>7937.3325992283</v>
      </c>
      <c r="L151" s="15" t="n">
        <f aca="false">K151*(1+IF(L$3&lt;=$O$2,$D151,$D151-($D151-$I$130)*MIN(L$3-$O$2,$Q$2)/$Q$2))</f>
        <v>8092.81241438407</v>
      </c>
      <c r="M151" s="15" t="n">
        <f aca="false">L151*(1+IF(M$3&lt;=$O$2,$D151,$D151-($D151-$I$130)*MIN(M$3-$O$2,$Q$2)/$Q$2))</f>
        <v>8306.8204507249</v>
      </c>
      <c r="N151" s="15" t="n">
        <f aca="false">M151*(1+IF(N$3&lt;=$O$2,$D151,$D151-($D151-$I$130)*MIN(N$3-$O$2,$Q$2)/$Q$2))</f>
        <v>8583.43757173404</v>
      </c>
      <c r="O151" s="15" t="n">
        <f aca="false">SUMPRODUCT(E151:N151,1/(1+$F$130)^$E$3:$N$3)*$E$2</f>
        <v>15724.9720334797</v>
      </c>
      <c r="P151" s="15" t="n">
        <f aca="false">N151*$E$2*(1+$I$130)/($F$130-$I$130)/(1+$F$130)^$N$3</f>
        <v>32392.1621604415</v>
      </c>
      <c r="Q151" s="15" t="n">
        <f aca="false">O151+P151</f>
        <v>48117.1341939212</v>
      </c>
      <c r="R151" s="15" t="n">
        <f aca="false">Q151-$G$2+$I$2</f>
        <v>45600.1341939212</v>
      </c>
      <c r="S151" s="42" t="n">
        <f aca="false">R151/$K$2</f>
        <v>105.258608083471</v>
      </c>
      <c r="T151" s="43" t="n">
        <f aca="false">S151-$M$2</f>
        <v>0.000309759293728007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-0.000980377197265625</v>
      </c>
      <c r="C152" s="25" t="n">
        <f aca="false">IF(T151&gt;0,D151,C151)</f>
        <v>-0.000978946685791016</v>
      </c>
      <c r="D152" s="41" t="n">
        <f aca="false">(B152+C152)/2</f>
        <v>-0.00097966194152832</v>
      </c>
      <c r="E152" s="15" t="n">
        <f aca="false">$C$2*(1+IF(E$3&lt;=$O$2,$D152,$D152-($D152-$I$130)*MIN(E$3-$O$2,$Q$2)/$Q$2))</f>
        <v>7822.32924699783</v>
      </c>
      <c r="F152" s="15" t="n">
        <f aca="false">E152*(1+IF(F$3&lt;=$O$2,$D152,$D152-($D152-$I$130)*MIN(F$3-$O$2,$Q$2)/$Q$2))</f>
        <v>7814.66600874045</v>
      </c>
      <c r="G152" s="15" t="n">
        <f aca="false">F152*(1+IF(G$3&lt;=$O$2,$D152,$D152-($D152-$I$130)*MIN(G$3-$O$2,$Q$2)/$Q$2))</f>
        <v>7807.01027786593</v>
      </c>
      <c r="H152" s="15" t="n">
        <f aca="false">G152*(1+IF(H$3&lt;=$O$2,$D152,$D152-($D152-$I$130)*MIN(H$3-$O$2,$Q$2)/$Q$2))</f>
        <v>7799.36204701958</v>
      </c>
      <c r="I152" s="15" t="n">
        <f aca="false">H152*(1+IF(I$3&lt;=$O$2,$D152,$D152-($D152-$I$130)*MIN(I$3-$O$2,$Q$2)/$Q$2))</f>
        <v>7791.72130885392</v>
      </c>
      <c r="J152" s="15" t="n">
        <f aca="false">I152*(1+IF(J$3&lt;=$O$2,$D152,$D152-($D152-$I$130)*MIN(J$3-$O$2,$Q$2)/$Q$2))</f>
        <v>7837.50757051066</v>
      </c>
      <c r="K152" s="15" t="n">
        <f aca="false">J152*(1+IF(K$3&lt;=$O$2,$D152,$D152-($D152-$I$130)*MIN(K$3-$O$2,$Q$2)/$Q$2))</f>
        <v>7937.2963066199</v>
      </c>
      <c r="L152" s="15" t="n">
        <f aca="false">K152*(1+IF(L$3&lt;=$O$2,$D152,$D152-($D152-$I$130)*MIN(L$3-$O$2,$Q$2)/$Q$2))</f>
        <v>8092.77313998208</v>
      </c>
      <c r="M152" s="15" t="n">
        <f aca="false">L152*(1+IF(M$3&lt;=$O$2,$D152,$D152-($D152-$I$130)*MIN(M$3-$O$2,$Q$2)/$Q$2))</f>
        <v>8306.77898006187</v>
      </c>
      <c r="N152" s="15" t="n">
        <f aca="false">M152*(1+IF(N$3&lt;=$O$2,$D152,$D152-($D152-$I$130)*MIN(N$3-$O$2,$Q$2)/$Q$2))</f>
        <v>8583.39472009793</v>
      </c>
      <c r="O152" s="15" t="n">
        <f aca="false">SUMPRODUCT(E152:N152,1/(1+$F$130)^$E$3:$N$3)*$E$2</f>
        <v>15724.9222375372</v>
      </c>
      <c r="P152" s="15" t="n">
        <f aca="false">N152*$E$2*(1+$I$130)/($F$130-$I$130)/(1+$F$130)^$N$3</f>
        <v>32392.0004470098</v>
      </c>
      <c r="Q152" s="15" t="n">
        <f aca="false">O152+P152</f>
        <v>48116.922684547</v>
      </c>
      <c r="R152" s="15" t="n">
        <f aca="false">Q152-$G$2+$I$2</f>
        <v>45599.922684547</v>
      </c>
      <c r="S152" s="42" t="n">
        <f aca="false">R152/$K$2</f>
        <v>105.258119857225</v>
      </c>
      <c r="T152" s="43" t="n">
        <f aca="false">S152-$M$2</f>
        <v>-0.000178466952220901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-0.00097966194152832</v>
      </c>
      <c r="C153" s="25" t="n">
        <f aca="false">IF(T152&gt;0,D152,C152)</f>
        <v>-0.000978946685791016</v>
      </c>
      <c r="D153" s="41" t="n">
        <f aca="false">(B153+C153)/2</f>
        <v>-0.000979304313659668</v>
      </c>
      <c r="E153" s="15" t="n">
        <f aca="false">$C$2*(1+IF(E$3&lt;=$O$2,$D153,$D153-($D153-$I$130)*MIN(E$3-$O$2,$Q$2)/$Q$2))</f>
        <v>7822.33204722405</v>
      </c>
      <c r="F153" s="15" t="n">
        <f aca="false">E153*(1+IF(F$3&lt;=$O$2,$D153,$D153-($D153-$I$130)*MIN(F$3-$O$2,$Q$2)/$Q$2))</f>
        <v>7814.67160370732</v>
      </c>
      <c r="G153" s="15" t="n">
        <f aca="false">F153*(1+IF(G$3&lt;=$O$2,$D153,$D153-($D153-$I$130)*MIN(G$3-$O$2,$Q$2)/$Q$2))</f>
        <v>7807.01866209598</v>
      </c>
      <c r="H153" s="15" t="n">
        <f aca="false">G153*(1+IF(H$3&lt;=$O$2,$D153,$D153-($D153-$I$130)*MIN(H$3-$O$2,$Q$2)/$Q$2))</f>
        <v>7799.37321504336</v>
      </c>
      <c r="I153" s="15" t="n">
        <f aca="false">H153*(1+IF(I$3&lt;=$O$2,$D153,$D153-($D153-$I$130)*MIN(I$3-$O$2,$Q$2)/$Q$2))</f>
        <v>7791.73525521003</v>
      </c>
      <c r="J153" s="15" t="n">
        <f aca="false">I153*(1+IF(J$3&lt;=$O$2,$D153,$D153-($D153-$I$130)*MIN(J$3-$O$2,$Q$2)/$Q$2))</f>
        <v>7837.52382805267</v>
      </c>
      <c r="K153" s="15" t="n">
        <f aca="false">J153*(1+IF(K$3&lt;=$O$2,$D153,$D153-($D153-$I$130)*MIN(K$3-$O$2,$Q$2)/$Q$2))</f>
        <v>7937.3144529064</v>
      </c>
      <c r="L153" s="15" t="n">
        <f aca="false">K153*(1+IF(L$3&lt;=$O$2,$D153,$D153-($D153-$I$130)*MIN(L$3-$O$2,$Q$2)/$Q$2))</f>
        <v>8092.79277716243</v>
      </c>
      <c r="M153" s="15" t="n">
        <f aca="false">L153*(1+IF(M$3&lt;=$O$2,$D153,$D153-($D153-$I$130)*MIN(M$3-$O$2,$Q$2)/$Q$2))</f>
        <v>8306.79971537079</v>
      </c>
      <c r="N153" s="15" t="n">
        <f aca="false">M153*(1+IF(N$3&lt;=$O$2,$D153,$D153-($D153-$I$130)*MIN(N$3-$O$2,$Q$2)/$Q$2))</f>
        <v>8583.41614589264</v>
      </c>
      <c r="O153" s="15" t="n">
        <f aca="false">SUMPRODUCT(E153:N153,1/(1+$F$130)^$E$3:$N$3)*$E$2</f>
        <v>15724.9471354884</v>
      </c>
      <c r="P153" s="15" t="n">
        <f aca="false">N153*$E$2*(1+$I$130)/($F$130-$I$130)/(1+$F$130)^$N$3</f>
        <v>32392.0813036376</v>
      </c>
      <c r="Q153" s="15" t="n">
        <f aca="false">O153+P153</f>
        <v>48117.0284391259</v>
      </c>
      <c r="R153" s="15" t="n">
        <f aca="false">Q153-$G$2+$I$2</f>
        <v>45600.0284391259</v>
      </c>
      <c r="S153" s="42" t="n">
        <f aca="false">R153/$K$2</f>
        <v>105.258363970098</v>
      </c>
      <c r="T153" s="43" t="n">
        <f aca="false">S153-$M$2</f>
        <v>6.56459210546245E-005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-0.00097966194152832</v>
      </c>
      <c r="C154" s="25" t="n">
        <f aca="false">IF(T153&gt;0,D153,C153)</f>
        <v>-0.000979304313659668</v>
      </c>
      <c r="D154" s="41" t="n">
        <f aca="false">(B154+C154)/2</f>
        <v>-0.000979483127593994</v>
      </c>
      <c r="E154" s="15" t="n">
        <f aca="false">$C$2*(1+IF(E$3&lt;=$O$2,$D154,$D154-($D154-$I$130)*MIN(E$3-$O$2,$Q$2)/$Q$2))</f>
        <v>7822.33064711094</v>
      </c>
      <c r="F154" s="15" t="n">
        <f aca="false">E154*(1+IF(F$3&lt;=$O$2,$D154,$D154-($D154-$I$130)*MIN(F$3-$O$2,$Q$2)/$Q$2))</f>
        <v>7814.66880622363</v>
      </c>
      <c r="G154" s="15" t="n">
        <f aca="false">F154*(1+IF(G$3&lt;=$O$2,$D154,$D154-($D154-$I$130)*MIN(G$3-$O$2,$Q$2)/$Q$2))</f>
        <v>7807.0144699802</v>
      </c>
      <c r="H154" s="15" t="n">
        <f aca="false">G154*(1+IF(H$3&lt;=$O$2,$D154,$D154-($D154-$I$130)*MIN(H$3-$O$2,$Q$2)/$Q$2))</f>
        <v>7799.36763102997</v>
      </c>
      <c r="I154" s="15" t="n">
        <f aca="false">H154*(1+IF(I$3&lt;=$O$2,$D154,$D154-($D154-$I$130)*MIN(I$3-$O$2,$Q$2)/$Q$2))</f>
        <v>7791.72828202948</v>
      </c>
      <c r="J154" s="15" t="n">
        <f aca="false">I154*(1+IF(J$3&lt;=$O$2,$D154,$D154-($D154-$I$130)*MIN(J$3-$O$2,$Q$2)/$Q$2))</f>
        <v>7837.51569927816</v>
      </c>
      <c r="K154" s="15" t="n">
        <f aca="false">J154*(1+IF(K$3&lt;=$O$2,$D154,$D154-($D154-$I$130)*MIN(K$3-$O$2,$Q$2)/$Q$2))</f>
        <v>7937.30537975872</v>
      </c>
      <c r="L154" s="15" t="n">
        <f aca="false">K154*(1+IF(L$3&lt;=$O$2,$D154,$D154-($D154-$I$130)*MIN(L$3-$O$2,$Q$2)/$Q$2))</f>
        <v>8092.78295856709</v>
      </c>
      <c r="M154" s="15" t="n">
        <f aca="false">L154*(1+IF(M$3&lt;=$O$2,$D154,$D154-($D154-$I$130)*MIN(M$3-$O$2,$Q$2)/$Q$2))</f>
        <v>8306.78934771068</v>
      </c>
      <c r="N154" s="15" t="n">
        <f aca="false">M154*(1+IF(N$3&lt;=$O$2,$D154,$D154-($D154-$I$130)*MIN(N$3-$O$2,$Q$2)/$Q$2))</f>
        <v>8583.40543298944</v>
      </c>
      <c r="O154" s="15" t="n">
        <f aca="false">SUMPRODUCT(E154:N154,1/(1+$F$130)^$E$3:$N$3)*$E$2</f>
        <v>15724.9346865077</v>
      </c>
      <c r="P154" s="15" t="n">
        <f aca="false">N154*$E$2*(1+$I$130)/($F$130-$I$130)/(1+$F$130)^$N$3</f>
        <v>32392.0408753016</v>
      </c>
      <c r="Q154" s="15" t="n">
        <f aca="false">O154+P154</f>
        <v>48116.9755618094</v>
      </c>
      <c r="R154" s="15" t="n">
        <f aca="false">Q154-$G$2+$I$2</f>
        <v>45599.9755618094</v>
      </c>
      <c r="S154" s="42" t="n">
        <f aca="false">R154/$K$2</f>
        <v>105.258241913599</v>
      </c>
      <c r="T154" s="43" t="n">
        <f aca="false">S154-$M$2</f>
        <v>-5.64105780540558E-005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-0.000979483127593994</v>
      </c>
      <c r="C155" s="25" t="n">
        <f aca="false">IF(T154&gt;0,D154,C154)</f>
        <v>-0.000979304313659668</v>
      </c>
      <c r="D155" s="41" t="n">
        <f aca="false">(B155+C155)/2</f>
        <v>-0.000979393720626831</v>
      </c>
      <c r="E155" s="15" t="n">
        <f aca="false">$C$2*(1+IF(E$3&lt;=$O$2,$D155,$D155-($D155-$I$130)*MIN(E$3-$O$2,$Q$2)/$Q$2))</f>
        <v>7822.33134716749</v>
      </c>
      <c r="F155" s="15" t="n">
        <f aca="false">E155*(1+IF(F$3&lt;=$O$2,$D155,$D155-($D155-$I$130)*MIN(F$3-$O$2,$Q$2)/$Q$2))</f>
        <v>7814.67020496541</v>
      </c>
      <c r="G155" s="15" t="n">
        <f aca="false">F155*(1+IF(G$3&lt;=$O$2,$D155,$D155-($D155-$I$130)*MIN(G$3-$O$2,$Q$2)/$Q$2))</f>
        <v>7807.0165660379</v>
      </c>
      <c r="H155" s="15" t="n">
        <f aca="false">G155*(1+IF(H$3&lt;=$O$2,$D155,$D155-($D155-$I$130)*MIN(H$3-$O$2,$Q$2)/$Q$2))</f>
        <v>7799.3704230363</v>
      </c>
      <c r="I155" s="15" t="n">
        <f aca="false">H155*(1+IF(I$3&lt;=$O$2,$D155,$D155-($D155-$I$130)*MIN(I$3-$O$2,$Q$2)/$Q$2))</f>
        <v>7791.73176861913</v>
      </c>
      <c r="J155" s="15" t="n">
        <f aca="false">I155*(1+IF(J$3&lt;=$O$2,$D155,$D155-($D155-$I$130)*MIN(J$3-$O$2,$Q$2)/$Q$2))</f>
        <v>7837.51976366454</v>
      </c>
      <c r="K155" s="15" t="n">
        <f aca="false">J155*(1+IF(K$3&lt;=$O$2,$D155,$D155-($D155-$I$130)*MIN(K$3-$O$2,$Q$2)/$Q$2))</f>
        <v>7937.30991633146</v>
      </c>
      <c r="L155" s="15" t="n">
        <f aca="false">K155*(1+IF(L$3&lt;=$O$2,$D155,$D155-($D155-$I$130)*MIN(L$3-$O$2,$Q$2)/$Q$2))</f>
        <v>8092.78786786347</v>
      </c>
      <c r="M155" s="15" t="n">
        <f aca="false">L155*(1+IF(M$3&lt;=$O$2,$D155,$D155-($D155-$I$130)*MIN(M$3-$O$2,$Q$2)/$Q$2))</f>
        <v>8306.79453153932</v>
      </c>
      <c r="N155" s="15" t="n">
        <f aca="false">M155*(1+IF(N$3&lt;=$O$2,$D155,$D155-($D155-$I$130)*MIN(N$3-$O$2,$Q$2)/$Q$2))</f>
        <v>8583.41078943958</v>
      </c>
      <c r="O155" s="15" t="n">
        <f aca="false">SUMPRODUCT(E155:N155,1/(1+$F$130)^$E$3:$N$3)*$E$2</f>
        <v>15724.9409109968</v>
      </c>
      <c r="P155" s="15" t="n">
        <f aca="false">N155*$E$2*(1+$I$130)/($F$130-$I$130)/(1+$F$130)^$N$3</f>
        <v>32392.0610894641</v>
      </c>
      <c r="Q155" s="15" t="n">
        <f aca="false">O155+P155</f>
        <v>48117.0020004609</v>
      </c>
      <c r="R155" s="15" t="n">
        <f aca="false">Q155-$G$2+$I$2</f>
        <v>45600.0020004609</v>
      </c>
      <c r="S155" s="42" t="n">
        <f aca="false">R155/$K$2</f>
        <v>105.258302941833</v>
      </c>
      <c r="T155" s="43" t="n">
        <f aca="false">S155-$M$2</f>
        <v>4.61765590387131E-006</v>
      </c>
    </row>
    <row r="157" customFormat="false" ht="15" hidden="false" customHeight="false" outlineLevel="0" collapsed="false">
      <c r="A157" s="38" t="s">
        <v>177</v>
      </c>
      <c r="E157" s="5" t="s">
        <v>11</v>
      </c>
      <c r="F157" s="12" t="n">
        <f aca="false">Sensitivity!$B$10</f>
        <v>0.0721529104257703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153</v>
      </c>
      <c r="B158" s="28" t="s">
        <v>154</v>
      </c>
      <c r="C158" s="28" t="s">
        <v>155</v>
      </c>
      <c r="D158" s="28" t="s">
        <v>156</v>
      </c>
      <c r="E158" s="28" t="s">
        <v>157</v>
      </c>
      <c r="F158" s="28" t="s">
        <v>158</v>
      </c>
      <c r="G158" s="28" t="s">
        <v>159</v>
      </c>
      <c r="H158" s="28" t="s">
        <v>160</v>
      </c>
      <c r="I158" s="28" t="s">
        <v>161</v>
      </c>
      <c r="J158" s="28" t="s">
        <v>162</v>
      </c>
      <c r="K158" s="28" t="s">
        <v>163</v>
      </c>
      <c r="L158" s="28" t="s">
        <v>164</v>
      </c>
      <c r="M158" s="28" t="s">
        <v>165</v>
      </c>
      <c r="N158" s="28" t="s">
        <v>166</v>
      </c>
      <c r="O158" s="28" t="s">
        <v>167</v>
      </c>
      <c r="P158" s="28" t="s">
        <v>168</v>
      </c>
      <c r="Q158" s="28" t="s">
        <v>169</v>
      </c>
      <c r="R158" s="28" t="s">
        <v>170</v>
      </c>
      <c r="S158" s="28" t="s">
        <v>171</v>
      </c>
      <c r="T158" s="28" t="s">
        <v>172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9787.5</v>
      </c>
      <c r="F159" s="15" t="n">
        <f aca="false">E159*(1+IF(F$3&lt;=$O$2,$D159,$D159-($D159-$I$157)*MIN(F$3-$O$2,$Q$2)/$Q$2))</f>
        <v>12234.375</v>
      </c>
      <c r="G159" s="15" t="n">
        <f aca="false">F159*(1+IF(G$3&lt;=$O$2,$D159,$D159-($D159-$I$157)*MIN(G$3-$O$2,$Q$2)/$Q$2))</f>
        <v>15292.96875</v>
      </c>
      <c r="H159" s="15" t="n">
        <f aca="false">G159*(1+IF(H$3&lt;=$O$2,$D159,$D159-($D159-$I$157)*MIN(H$3-$O$2,$Q$2)/$Q$2))</f>
        <v>19116.2109375</v>
      </c>
      <c r="I159" s="15" t="n">
        <f aca="false">H159*(1+IF(I$3&lt;=$O$2,$D159,$D159-($D159-$I$157)*MIN(I$3-$O$2,$Q$2)/$Q$2))</f>
        <v>23895.263671875</v>
      </c>
      <c r="J159" s="15" t="n">
        <f aca="false">I159*(1+IF(J$3&lt;=$O$2,$D159,$D159-($D159-$I$157)*MIN(J$3-$O$2,$Q$2)/$Q$2))</f>
        <v>28857.3541259766</v>
      </c>
      <c r="K159" s="15" t="n">
        <f aca="false">J159*(1+IF(K$3&lt;=$O$2,$D159,$D159-($D159-$I$157)*MIN(K$3-$O$2,$Q$2)/$Q$2))</f>
        <v>33628.051910083</v>
      </c>
      <c r="L159" s="15" t="n">
        <f aca="false">K159*(1+IF(L$3&lt;=$O$2,$D159,$D159-($D159-$I$157)*MIN(L$3-$O$2,$Q$2)/$Q$2))</f>
        <v>37763.629733985</v>
      </c>
      <c r="M159" s="15" t="n">
        <f aca="false">L159*(1+IF(M$3&lt;=$O$2,$D159,$D159-($D159-$I$157)*MIN(M$3-$O$2,$Q$2)/$Q$2))</f>
        <v>40808.8888357336</v>
      </c>
      <c r="N159" s="15" t="n">
        <f aca="false">M159*(1+IF(N$3&lt;=$O$2,$D159,$D159-($D159-$I$157)*MIN(N$3-$O$2,$Q$2)/$Q$2))</f>
        <v>42371.8692781422</v>
      </c>
      <c r="O159" s="15" t="n">
        <f aca="false">SUMPRODUCT(E159:N159,1/(1+$F$157)^$E$3:$N$3)*$E$2</f>
        <v>47761.3782992602</v>
      </c>
      <c r="P159" s="15" t="n">
        <f aca="false">N159*$E$2*(1+$I$157)/($F$157-$I$157)/(1+$F$157)^$N$3</f>
        <v>184408.221021389</v>
      </c>
      <c r="Q159" s="15" t="n">
        <f aca="false">O159+P159</f>
        <v>232169.599320649</v>
      </c>
      <c r="R159" s="15" t="n">
        <f aca="false">Q159-$G$2+$I$2</f>
        <v>229652.599320649</v>
      </c>
      <c r="S159" s="42" t="n">
        <f aca="false">R159/$K$2</f>
        <v>530.106180048587</v>
      </c>
      <c r="T159" s="43" t="n">
        <f aca="false">S159-$M$2</f>
        <v>424.84788172441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6851.25</v>
      </c>
      <c r="F160" s="15" t="n">
        <f aca="false">E160*(1+IF(F$3&lt;=$O$2,$D160,$D160-($D160-$I$157)*MIN(F$3-$O$2,$Q$2)/$Q$2))</f>
        <v>5994.84375</v>
      </c>
      <c r="G160" s="15" t="n">
        <f aca="false">F160*(1+IF(G$3&lt;=$O$2,$D160,$D160-($D160-$I$157)*MIN(G$3-$O$2,$Q$2)/$Q$2))</f>
        <v>5245.48828125</v>
      </c>
      <c r="H160" s="15" t="n">
        <f aca="false">G160*(1+IF(H$3&lt;=$O$2,$D160,$D160-($D160-$I$157)*MIN(H$3-$O$2,$Q$2)/$Q$2))</f>
        <v>4589.80224609375</v>
      </c>
      <c r="I160" s="15" t="n">
        <f aca="false">H160*(1+IF(I$3&lt;=$O$2,$D160,$D160-($D160-$I$157)*MIN(I$3-$O$2,$Q$2)/$Q$2))</f>
        <v>4016.07696533203</v>
      </c>
      <c r="J160" s="15" t="n">
        <f aca="false">I160*(1+IF(J$3&lt;=$O$2,$D160,$D160-($D160-$I$157)*MIN(J$3-$O$2,$Q$2)/$Q$2))</f>
        <v>3645.23241835327</v>
      </c>
      <c r="K160" s="15" t="n">
        <f aca="false">J160*(1+IF(K$3&lt;=$O$2,$D160,$D160-($D160-$I$157)*MIN(K$3-$O$2,$Q$2)/$Q$2))</f>
        <v>3427.68494762595</v>
      </c>
      <c r="L160" s="15" t="n">
        <f aca="false">K160*(1+IF(L$3&lt;=$O$2,$D160,$D160-($D160-$I$157)*MIN(L$3-$O$2,$Q$2)/$Q$2))</f>
        <v>3335.0689003411</v>
      </c>
      <c r="M160" s="15" t="n">
        <f aca="false">L160*(1+IF(M$3&lt;=$O$2,$D160,$D160-($D160-$I$157)*MIN(M$3-$O$2,$Q$2)/$Q$2))</f>
        <v>3353.87868893902</v>
      </c>
      <c r="N160" s="15" t="n">
        <f aca="false">M160*(1+IF(N$3&lt;=$O$2,$D160,$D160-($D160-$I$157)*MIN(N$3-$O$2,$Q$2)/$Q$2))</f>
        <v>3482.33224272538</v>
      </c>
      <c r="O160" s="15" t="n">
        <f aca="false">SUMPRODUCT(E160:N160,1/(1+$F$157)^$E$3:$N$3)*$E$2</f>
        <v>9145.27978859616</v>
      </c>
      <c r="P160" s="15" t="n">
        <f aca="false">N160*$E$2*(1+$I$157)/($F$157-$I$157)/(1+$F$157)^$N$3</f>
        <v>15155.5903675385</v>
      </c>
      <c r="Q160" s="15" t="n">
        <f aca="false">O160+P160</f>
        <v>24300.8701561346</v>
      </c>
      <c r="R160" s="15" t="n">
        <f aca="false">Q160-$G$2+$I$2</f>
        <v>21783.8701561346</v>
      </c>
      <c r="S160" s="42" t="n">
        <f aca="false">R160/$K$2</f>
        <v>50.2836206918763</v>
      </c>
      <c r="T160" s="43" t="n">
        <f aca="false">S160-$M$2</f>
        <v>-54.9746776323009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8319.375</v>
      </c>
      <c r="F161" s="15" t="n">
        <f aca="false">E161*(1+IF(F$3&lt;=$O$2,$D161,$D161-($D161-$I$157)*MIN(F$3-$O$2,$Q$2)/$Q$2))</f>
        <v>8839.3359375</v>
      </c>
      <c r="G161" s="15" t="n">
        <f aca="false">F161*(1+IF(G$3&lt;=$O$2,$D161,$D161-($D161-$I$157)*MIN(G$3-$O$2,$Q$2)/$Q$2))</f>
        <v>9391.79443359375</v>
      </c>
      <c r="H161" s="15" t="n">
        <f aca="false">G161*(1+IF(H$3&lt;=$O$2,$D161,$D161-($D161-$I$157)*MIN(H$3-$O$2,$Q$2)/$Q$2))</f>
        <v>9978.78158569336</v>
      </c>
      <c r="I161" s="15" t="n">
        <f aca="false">H161*(1+IF(I$3&lt;=$O$2,$D161,$D161-($D161-$I$157)*MIN(I$3-$O$2,$Q$2)/$Q$2))</f>
        <v>10602.4554347992</v>
      </c>
      <c r="J161" s="15" t="n">
        <f aca="false">I161*(1+IF(J$3&lt;=$O$2,$D161,$D161-($D161-$I$157)*MIN(J$3-$O$2,$Q$2)/$Q$2))</f>
        <v>11213.7930151697</v>
      </c>
      <c r="K161" s="15" t="n">
        <f aca="false">J161*(1+IF(K$3&lt;=$O$2,$D161,$D161-($D161-$I$157)*MIN(K$3-$O$2,$Q$2)/$Q$2))</f>
        <v>11806.105562231</v>
      </c>
      <c r="L161" s="15" t="n">
        <f aca="false">K161*(1+IF(L$3&lt;=$O$2,$D161,$D161-($D161-$I$157)*MIN(L$3-$O$2,$Q$2)/$Q$2))</f>
        <v>12372.5625071068</v>
      </c>
      <c r="M161" s="15" t="n">
        <f aca="false">L161*(1+IF(M$3&lt;=$O$2,$D161,$D161-($D161-$I$157)*MIN(M$3-$O$2,$Q$2)/$Q$2))</f>
        <v>12906.3148536634</v>
      </c>
      <c r="N161" s="15" t="n">
        <f aca="false">M161*(1+IF(N$3&lt;=$O$2,$D161,$D161-($D161-$I$157)*MIN(N$3-$O$2,$Q$2)/$Q$2))</f>
        <v>13400.6267125587</v>
      </c>
      <c r="O161" s="15" t="n">
        <f aca="false">SUMPRODUCT(E161:N161,1/(1+$F$157)^$E$3:$N$3)*$E$2</f>
        <v>20902.8701890468</v>
      </c>
      <c r="P161" s="15" t="n">
        <f aca="false">N161*$E$2*(1+$I$157)/($F$157-$I$157)/(1+$F$157)^$N$3</f>
        <v>58321.3762983412</v>
      </c>
      <c r="Q161" s="15" t="n">
        <f aca="false">O161+P161</f>
        <v>79224.246487388</v>
      </c>
      <c r="R161" s="15" t="n">
        <f aca="false">Q161-$G$2+$I$2</f>
        <v>76707.246487388</v>
      </c>
      <c r="S161" s="42" t="n">
        <f aca="false">R161/$K$2</f>
        <v>177.063031456045</v>
      </c>
      <c r="T161" s="43" t="n">
        <f aca="false">S161-$M$2</f>
        <v>71.8047331318684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7585.3125</v>
      </c>
      <c r="F162" s="15" t="n">
        <f aca="false">E162*(1+IF(F$3&lt;=$O$2,$D162,$D162-($D162-$I$157)*MIN(F$3-$O$2,$Q$2)/$Q$2))</f>
        <v>7348.271484375</v>
      </c>
      <c r="G162" s="15" t="n">
        <f aca="false">F162*(1+IF(G$3&lt;=$O$2,$D162,$D162-($D162-$I$157)*MIN(G$3-$O$2,$Q$2)/$Q$2))</f>
        <v>7118.63800048828</v>
      </c>
      <c r="H162" s="15" t="n">
        <f aca="false">G162*(1+IF(H$3&lt;=$O$2,$D162,$D162-($D162-$I$157)*MIN(H$3-$O$2,$Q$2)/$Q$2))</f>
        <v>6896.18056297302</v>
      </c>
      <c r="I162" s="15" t="n">
        <f aca="false">H162*(1+IF(I$3&lt;=$O$2,$D162,$D162-($D162-$I$157)*MIN(I$3-$O$2,$Q$2)/$Q$2))</f>
        <v>6680.67492038012</v>
      </c>
      <c r="J162" s="15" t="n">
        <f aca="false">I162*(1+IF(J$3&lt;=$O$2,$D162,$D162-($D162-$I$157)*MIN(J$3-$O$2,$Q$2)/$Q$2))</f>
        <v>6564.83201726073</v>
      </c>
      <c r="K162" s="15" t="n">
        <f aca="false">J162*(1+IF(K$3&lt;=$O$2,$D162,$D162-($D162-$I$157)*MIN(K$3-$O$2,$Q$2)/$Q$2))</f>
        <v>6542.31464344152</v>
      </c>
      <c r="L162" s="15" t="n">
        <f aca="false">K162*(1+IF(L$3&lt;=$O$2,$D162,$D162-($D162-$I$157)*MIN(L$3-$O$2,$Q$2)/$Q$2))</f>
        <v>6610.87810090479</v>
      </c>
      <c r="M162" s="15" t="n">
        <f aca="false">L162*(1+IF(M$3&lt;=$O$2,$D162,$D162-($D162-$I$157)*MIN(M$3-$O$2,$Q$2)/$Q$2))</f>
        <v>6772.11741778586</v>
      </c>
      <c r="N162" s="15" t="n">
        <f aca="false">M162*(1+IF(N$3&lt;=$O$2,$D162,$D162-($D162-$I$157)*MIN(N$3-$O$2,$Q$2)/$Q$2))</f>
        <v>7031.48951488705</v>
      </c>
      <c r="O162" s="15" t="n">
        <f aca="false">SUMPRODUCT(E162:N162,1/(1+$F$157)^$E$3:$N$3)*$E$2</f>
        <v>13791.3248306941</v>
      </c>
      <c r="P162" s="15" t="n">
        <f aca="false">N162*$E$2*(1+$I$157)/($F$157-$I$157)/(1+$F$157)^$N$3</f>
        <v>30602.0124828376</v>
      </c>
      <c r="Q162" s="15" t="n">
        <f aca="false">O162+P162</f>
        <v>44393.3373135317</v>
      </c>
      <c r="R162" s="15" t="n">
        <f aca="false">Q162-$G$2+$I$2</f>
        <v>41876.3373135317</v>
      </c>
      <c r="S162" s="42" t="n">
        <f aca="false">R162/$K$2</f>
        <v>96.6629825805172</v>
      </c>
      <c r="T162" s="43" t="n">
        <f aca="false">S162-$M$2</f>
        <v>-8.59531574365987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7952.34375</v>
      </c>
      <c r="F163" s="15" t="n">
        <f aca="false">E163*(1+IF(F$3&lt;=$O$2,$D163,$D163-($D163-$I$157)*MIN(F$3-$O$2,$Q$2)/$Q$2))</f>
        <v>8076.59912109375</v>
      </c>
      <c r="G163" s="15" t="n">
        <f aca="false">F163*(1+IF(G$3&lt;=$O$2,$D163,$D163-($D163-$I$157)*MIN(G$3-$O$2,$Q$2)/$Q$2))</f>
        <v>8202.79598236084</v>
      </c>
      <c r="H163" s="15" t="n">
        <f aca="false">G163*(1+IF(H$3&lt;=$O$2,$D163,$D163-($D163-$I$157)*MIN(H$3-$O$2,$Q$2)/$Q$2))</f>
        <v>8330.96466958523</v>
      </c>
      <c r="I163" s="15" t="n">
        <f aca="false">H163*(1+IF(I$3&lt;=$O$2,$D163,$D163-($D163-$I$157)*MIN(I$3-$O$2,$Q$2)/$Q$2))</f>
        <v>8461.1359925475</v>
      </c>
      <c r="J163" s="15" t="n">
        <f aca="false">I163*(1+IF(J$3&lt;=$O$2,$D163,$D163-($D163-$I$157)*MIN(J$3-$O$2,$Q$2)/$Q$2))</f>
        <v>8631.71249415726</v>
      </c>
      <c r="K163" s="15" t="n">
        <f aca="false">J163*(1+IF(K$3&lt;=$O$2,$D163,$D163-($D163-$I$157)*MIN(K$3-$O$2,$Q$2)/$Q$2))</f>
        <v>8844.87263420047</v>
      </c>
      <c r="L163" s="15" t="n">
        <f aca="false">K163*(1+IF(L$3&lt;=$O$2,$D163,$D163-($D163-$I$157)*MIN(L$3-$O$2,$Q$2)/$Q$2))</f>
        <v>9103.40826129815</v>
      </c>
      <c r="M163" s="15" t="n">
        <f aca="false">L163*(1+IF(M$3&lt;=$O$2,$D163,$D163-($D163-$I$157)*MIN(M$3-$O$2,$Q$2)/$Q$2))</f>
        <v>9410.78484124088</v>
      </c>
      <c r="N163" s="15" t="n">
        <f aca="false">M163*(1+IF(N$3&lt;=$O$2,$D163,$D163-($D163-$I$157)*MIN(N$3-$O$2,$Q$2)/$Q$2))</f>
        <v>9771.21790066041</v>
      </c>
      <c r="O163" s="15" t="n">
        <f aca="false">SUMPRODUCT(E163:N163,1/(1+$F$157)^$E$3:$N$3)*$E$2</f>
        <v>16973.955767456</v>
      </c>
      <c r="P163" s="15" t="n">
        <f aca="false">N163*$E$2*(1+$I$157)/($F$157-$I$157)/(1+$F$157)^$N$3</f>
        <v>42525.688410038</v>
      </c>
      <c r="Q163" s="15" t="n">
        <f aca="false">O163+P163</f>
        <v>59499.644177494</v>
      </c>
      <c r="R163" s="15" t="n">
        <f aca="false">Q163-$G$2+$I$2</f>
        <v>56982.644177494</v>
      </c>
      <c r="S163" s="42" t="n">
        <f aca="false">R163/$K$2</f>
        <v>131.532810529278</v>
      </c>
      <c r="T163" s="43" t="n">
        <f aca="false">S163-$M$2</f>
        <v>26.2745122051012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41" t="n">
        <f aca="false">(B164+C164)/2</f>
        <v>-0.0078125</v>
      </c>
      <c r="E164" s="15" t="n">
        <f aca="false">$C$2*(1+IF(E$3&lt;=$O$2,$D164,$D164-($D164-$I$157)*MIN(E$3-$O$2,$Q$2)/$Q$2))</f>
        <v>7768.828125</v>
      </c>
      <c r="F164" s="15" t="n">
        <f aca="false">E164*(1+IF(F$3&lt;=$O$2,$D164,$D164-($D164-$I$157)*MIN(F$3-$O$2,$Q$2)/$Q$2))</f>
        <v>7708.13415527344</v>
      </c>
      <c r="G164" s="15" t="n">
        <f aca="false">F164*(1+IF(G$3&lt;=$O$2,$D164,$D164-($D164-$I$157)*MIN(G$3-$O$2,$Q$2)/$Q$2))</f>
        <v>7647.91435718536</v>
      </c>
      <c r="H164" s="15" t="n">
        <f aca="false">G164*(1+IF(H$3&lt;=$O$2,$D164,$D164-($D164-$I$157)*MIN(H$3-$O$2,$Q$2)/$Q$2))</f>
        <v>7588.16502626985</v>
      </c>
      <c r="I164" s="15" t="n">
        <f aca="false">H164*(1+IF(I$3&lt;=$O$2,$D164,$D164-($D164-$I$157)*MIN(I$3-$O$2,$Q$2)/$Q$2))</f>
        <v>7528.88248700212</v>
      </c>
      <c r="J164" s="15" t="n">
        <f aca="false">I164*(1+IF(J$3&lt;=$O$2,$D164,$D164-($D164-$I$157)*MIN(J$3-$O$2,$Q$2)/$Q$2))</f>
        <v>7539.49821130879</v>
      </c>
      <c r="K164" s="15" t="n">
        <f aca="false">J164*(1+IF(K$3&lt;=$O$2,$D164,$D164-($D164-$I$157)*MIN(K$3-$O$2,$Q$2)/$Q$2))</f>
        <v>7619.66192604053</v>
      </c>
      <c r="L164" s="15" t="n">
        <f aca="false">K164*(1+IF(L$3&lt;=$O$2,$D164,$D164-($D164-$I$157)*MIN(L$3-$O$2,$Q$2)/$Q$2))</f>
        <v>7770.95031358207</v>
      </c>
      <c r="M164" s="15" t="n">
        <f aca="false">L164*(1+IF(M$3&lt;=$O$2,$D164,$D164-($D164-$I$157)*MIN(M$3-$O$2,$Q$2)/$Q$2))</f>
        <v>7996.91012132525</v>
      </c>
      <c r="N164" s="15" t="n">
        <f aca="false">M164*(1+IF(N$3&lt;=$O$2,$D164,$D164-($D164-$I$157)*MIN(N$3-$O$2,$Q$2)/$Q$2))</f>
        <v>8303.19177897201</v>
      </c>
      <c r="O164" s="15" t="n">
        <f aca="false">SUMPRODUCT(E164:N164,1/(1+$F$157)^$E$3:$N$3)*$E$2</f>
        <v>15298.3712937229</v>
      </c>
      <c r="P164" s="15" t="n">
        <f aca="false">N164*$E$2*(1+$I$157)/($F$157-$I$157)/(1+$F$157)^$N$3</f>
        <v>36136.6361891784</v>
      </c>
      <c r="Q164" s="15" t="n">
        <f aca="false">O164+P164</f>
        <v>51435.0074829013</v>
      </c>
      <c r="R164" s="15" t="n">
        <f aca="false">Q164-$G$2+$I$2</f>
        <v>48918.0074829013</v>
      </c>
      <c r="S164" s="42" t="n">
        <f aca="false">R164/$K$2</f>
        <v>112.917241777622</v>
      </c>
      <c r="T164" s="43" t="n">
        <f aca="false">S164-$M$2</f>
        <v>7.65894345344455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-0.03125</v>
      </c>
      <c r="C165" s="25" t="n">
        <f aca="false">IF(T164&gt;0,D164,C164)</f>
        <v>-0.0078125</v>
      </c>
      <c r="D165" s="41" t="n">
        <f aca="false">(B165+C165)/2</f>
        <v>-0.01953125</v>
      </c>
      <c r="E165" s="15" t="n">
        <f aca="false">$C$2*(1+IF(E$3&lt;=$O$2,$D165,$D165-($D165-$I$157)*MIN(E$3-$O$2,$Q$2)/$Q$2))</f>
        <v>7677.0703125</v>
      </c>
      <c r="F165" s="15" t="n">
        <f aca="false">E165*(1+IF(F$3&lt;=$O$2,$D165,$D165-($D165-$I$157)*MIN(F$3-$O$2,$Q$2)/$Q$2))</f>
        <v>7527.12753295898</v>
      </c>
      <c r="G165" s="15" t="n">
        <f aca="false">F165*(1+IF(G$3&lt;=$O$2,$D165,$D165-($D165-$I$157)*MIN(G$3-$O$2,$Q$2)/$Q$2))</f>
        <v>7380.11332333088</v>
      </c>
      <c r="H165" s="15" t="n">
        <f aca="false">G165*(1+IF(H$3&lt;=$O$2,$D165,$D165-($D165-$I$157)*MIN(H$3-$O$2,$Q$2)/$Q$2))</f>
        <v>7235.97048498457</v>
      </c>
      <c r="I165" s="15" t="n">
        <f aca="false">H165*(1+IF(I$3&lt;=$O$2,$D165,$D165-($D165-$I$157)*MIN(I$3-$O$2,$Q$2)/$Q$2))</f>
        <v>7094.64293644972</v>
      </c>
      <c r="J165" s="15" t="n">
        <f aca="false">I165*(1+IF(J$3&lt;=$O$2,$D165,$D165-($D165-$I$157)*MIN(J$3-$O$2,$Q$2)/$Q$2))</f>
        <v>7038.1341054609</v>
      </c>
      <c r="K165" s="15" t="n">
        <f aca="false">J165*(1+IF(K$3&lt;=$O$2,$D165,$D165-($D165-$I$157)*MIN(K$3-$O$2,$Q$2)/$Q$2))</f>
        <v>7063.48018590819</v>
      </c>
      <c r="L165" s="15" t="n">
        <f aca="false">K165*(1+IF(L$3&lt;=$O$2,$D165,$D165-($D165-$I$157)*MIN(L$3-$O$2,$Q$2)/$Q$2))</f>
        <v>7170.61552162795</v>
      </c>
      <c r="M165" s="15" t="n">
        <f aca="false">L165*(1+IF(M$3&lt;=$O$2,$D165,$D165-($D165-$I$157)*MIN(M$3-$O$2,$Q$2)/$Q$2))</f>
        <v>7362.31296432927</v>
      </c>
      <c r="N165" s="15" t="n">
        <f aca="false">M165*(1+IF(N$3&lt;=$O$2,$D165,$D165-($D165-$I$157)*MIN(N$3-$O$2,$Q$2)/$Q$2))</f>
        <v>7644.28955086308</v>
      </c>
      <c r="O165" s="15" t="n">
        <f aca="false">SUMPRODUCT(E165:N165,1/(1+$F$157)^$E$3:$N$3)*$E$2</f>
        <v>14524.8242509048</v>
      </c>
      <c r="P165" s="15" t="n">
        <f aca="false">N165*$E$2*(1+$I$157)/($F$157-$I$157)/(1+$F$157)^$N$3</f>
        <v>33269.0027856345</v>
      </c>
      <c r="Q165" s="15" t="n">
        <f aca="false">O165+P165</f>
        <v>47793.8270365393</v>
      </c>
      <c r="R165" s="15" t="n">
        <f aca="false">Q165-$G$2+$I$2</f>
        <v>45276.8270365393</v>
      </c>
      <c r="S165" s="42" t="n">
        <f aca="false">R165/$K$2</f>
        <v>104.51231946018</v>
      </c>
      <c r="T165" s="43" t="n">
        <f aca="false">S165-$M$2</f>
        <v>-0.745978863996882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-0.01953125</v>
      </c>
      <c r="C166" s="25" t="n">
        <f aca="false">IF(T165&gt;0,D165,C165)</f>
        <v>-0.0078125</v>
      </c>
      <c r="D166" s="41" t="n">
        <f aca="false">(B166+C166)/2</f>
        <v>-0.013671875</v>
      </c>
      <c r="E166" s="15" t="n">
        <f aca="false">$C$2*(1+IF(E$3&lt;=$O$2,$D166,$D166-($D166-$I$157)*MIN(E$3-$O$2,$Q$2)/$Q$2))</f>
        <v>7722.94921875</v>
      </c>
      <c r="F166" s="15" t="n">
        <f aca="false">E166*(1+IF(F$3&lt;=$O$2,$D166,$D166-($D166-$I$157)*MIN(F$3-$O$2,$Q$2)/$Q$2))</f>
        <v>7617.3620223999</v>
      </c>
      <c r="G166" s="15" t="n">
        <f aca="false">F166*(1+IF(G$3&lt;=$O$2,$D166,$D166-($D166-$I$157)*MIN(G$3-$O$2,$Q$2)/$Q$2))</f>
        <v>7513.2184009999</v>
      </c>
      <c r="H166" s="15" t="n">
        <f aca="false">G166*(1+IF(H$3&lt;=$O$2,$D166,$D166-($D166-$I$157)*MIN(H$3-$O$2,$Q$2)/$Q$2))</f>
        <v>7410.49861817373</v>
      </c>
      <c r="I166" s="15" t="n">
        <f aca="false">H166*(1+IF(I$3&lt;=$O$2,$D166,$D166-($D166-$I$157)*MIN(I$3-$O$2,$Q$2)/$Q$2))</f>
        <v>7309.18320737839</v>
      </c>
      <c r="J166" s="15" t="n">
        <f aca="false">I166*(1+IF(J$3&lt;=$O$2,$D166,$D166-($D166-$I$157)*MIN(J$3-$O$2,$Q$2)/$Q$2))</f>
        <v>7285.22735941621</v>
      </c>
      <c r="K166" s="15" t="n">
        <f aca="false">J166*(1+IF(K$3&lt;=$O$2,$D166,$D166-($D166-$I$157)*MIN(K$3-$O$2,$Q$2)/$Q$2))</f>
        <v>7337.07541187975</v>
      </c>
      <c r="L166" s="15" t="n">
        <f aca="false">K166*(1+IF(L$3&lt;=$O$2,$D166,$D166-($D166-$I$157)*MIN(L$3-$O$2,$Q$2)/$Q$2))</f>
        <v>7465.55677368603</v>
      </c>
      <c r="M166" s="15" t="n">
        <f aca="false">L166*(1+IF(M$3&lt;=$O$2,$D166,$D166-($D166-$I$157)*MIN(M$3-$O$2,$Q$2)/$Q$2))</f>
        <v>7673.88780142872</v>
      </c>
      <c r="N166" s="15" t="n">
        <f aca="false">M166*(1+IF(N$3&lt;=$O$2,$D166,$D166-($D166-$I$157)*MIN(N$3-$O$2,$Q$2)/$Q$2))</f>
        <v>7967.79770422344</v>
      </c>
      <c r="O166" s="15" t="n">
        <f aca="false">SUMPRODUCT(E166:N166,1/(1+$F$157)^$E$3:$N$3)*$E$2</f>
        <v>14906.4649500255</v>
      </c>
      <c r="P166" s="15" t="n">
        <f aca="false">N166*$E$2*(1+$I$157)/($F$157-$I$157)/(1+$F$157)^$N$3</f>
        <v>34676.9549025328</v>
      </c>
      <c r="Q166" s="15" t="n">
        <f aca="false">O166+P166</f>
        <v>49583.4198525583</v>
      </c>
      <c r="R166" s="15" t="n">
        <f aca="false">Q166-$G$2+$I$2</f>
        <v>47066.4198525583</v>
      </c>
      <c r="S166" s="42" t="n">
        <f aca="false">R166/$K$2</f>
        <v>108.643229427446</v>
      </c>
      <c r="T166" s="43" t="n">
        <f aca="false">S166-$M$2</f>
        <v>3.38493110326911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-0.01953125</v>
      </c>
      <c r="C167" s="25" t="n">
        <f aca="false">IF(T166&gt;0,D166,C166)</f>
        <v>-0.013671875</v>
      </c>
      <c r="D167" s="41" t="n">
        <f aca="false">(B167+C167)/2</f>
        <v>-0.0166015625</v>
      </c>
      <c r="E167" s="15" t="n">
        <f aca="false">$C$2*(1+IF(E$3&lt;=$O$2,$D167,$D167-($D167-$I$157)*MIN(E$3-$O$2,$Q$2)/$Q$2))</f>
        <v>7700.009765625</v>
      </c>
      <c r="F167" s="15" t="n">
        <f aca="false">E167*(1+IF(F$3&lt;=$O$2,$D167,$D167-($D167-$I$157)*MIN(F$3-$O$2,$Q$2)/$Q$2))</f>
        <v>7572.17757225037</v>
      </c>
      <c r="G167" s="15" t="n">
        <f aca="false">F167*(1+IF(G$3&lt;=$O$2,$D167,$D167-($D167-$I$157)*MIN(G$3-$O$2,$Q$2)/$Q$2))</f>
        <v>7446.46759302355</v>
      </c>
      <c r="H167" s="15" t="n">
        <f aca="false">G167*(1+IF(H$3&lt;=$O$2,$D167,$D167-($D167-$I$157)*MIN(H$3-$O$2,$Q$2)/$Q$2))</f>
        <v>7322.84459587375</v>
      </c>
      <c r="I167" s="15" t="n">
        <f aca="false">H167*(1+IF(I$3&lt;=$O$2,$D167,$D167-($D167-$I$157)*MIN(I$3-$O$2,$Q$2)/$Q$2))</f>
        <v>7201.27393363756</v>
      </c>
      <c r="J167" s="15" t="n">
        <f aca="false">I167*(1+IF(J$3&lt;=$O$2,$D167,$D167-($D167-$I$157)*MIN(J$3-$O$2,$Q$2)/$Q$2))</f>
        <v>7160.7937725381</v>
      </c>
      <c r="K167" s="15" t="n">
        <f aca="false">J167*(1+IF(K$3&lt;=$O$2,$D167,$D167-($D167-$I$157)*MIN(K$3-$O$2,$Q$2)/$Q$2))</f>
        <v>7199.16891391475</v>
      </c>
      <c r="L167" s="15" t="n">
        <f aca="false">K167*(1+IF(L$3&lt;=$O$2,$D167,$D167-($D167-$I$157)*MIN(L$3-$O$2,$Q$2)/$Q$2))</f>
        <v>7316.79883448754</v>
      </c>
      <c r="M167" s="15" t="n">
        <f aca="false">L167*(1+IF(M$3&lt;=$O$2,$D167,$D167-($D167-$I$157)*MIN(M$3-$O$2,$Q$2)/$Q$2))</f>
        <v>7516.69149214611</v>
      </c>
      <c r="N167" s="15" t="n">
        <f aca="false">M167*(1+IF(N$3&lt;=$O$2,$D167,$D167-($D167-$I$157)*MIN(N$3-$O$2,$Q$2)/$Q$2))</f>
        <v>7804.5807762953</v>
      </c>
      <c r="O167" s="15" t="n">
        <f aca="false">SUMPRODUCT(E167:N167,1/(1+$F$157)^$E$3:$N$3)*$E$2</f>
        <v>14714.3774716982</v>
      </c>
      <c r="P167" s="15" t="n">
        <f aca="false">N167*$E$2*(1+$I$157)/($F$157-$I$157)/(1+$F$157)^$N$3</f>
        <v>33966.6123136272</v>
      </c>
      <c r="Q167" s="15" t="n">
        <f aca="false">O167+P167</f>
        <v>48680.9897853254</v>
      </c>
      <c r="R167" s="15" t="n">
        <f aca="false">Q167-$G$2+$I$2</f>
        <v>46163.9897853254</v>
      </c>
      <c r="S167" s="42" t="n">
        <f aca="false">R167/$K$2</f>
        <v>106.560153698641</v>
      </c>
      <c r="T167" s="43" t="n">
        <f aca="false">S167-$M$2</f>
        <v>1.30185537446413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-0.01953125</v>
      </c>
      <c r="C168" s="25" t="n">
        <f aca="false">IF(T167&gt;0,D167,C167)</f>
        <v>-0.0166015625</v>
      </c>
      <c r="D168" s="41" t="n">
        <f aca="false">(B168+C168)/2</f>
        <v>-0.01806640625</v>
      </c>
      <c r="E168" s="15" t="n">
        <f aca="false">$C$2*(1+IF(E$3&lt;=$O$2,$D168,$D168-($D168-$I$157)*MIN(E$3-$O$2,$Q$2)/$Q$2))</f>
        <v>7688.5400390625</v>
      </c>
      <c r="F168" s="15" t="n">
        <f aca="false">E168*(1+IF(F$3&lt;=$O$2,$D168,$D168-($D168-$I$157)*MIN(F$3-$O$2,$Q$2)/$Q$2))</f>
        <v>7549.63575124741</v>
      </c>
      <c r="G168" s="15" t="n">
        <f aca="false">F168*(1+IF(G$3&lt;=$O$2,$D168,$D168-($D168-$I$157)*MIN(G$3-$O$2,$Q$2)/$Q$2))</f>
        <v>7413.24096472585</v>
      </c>
      <c r="H168" s="15" t="n">
        <f aca="false">G168*(1+IF(H$3&lt;=$O$2,$D168,$D168-($D168-$I$157)*MIN(H$3-$O$2,$Q$2)/$Q$2))</f>
        <v>7279.31034182797</v>
      </c>
      <c r="I168" s="15" t="n">
        <f aca="false">H168*(1+IF(I$3&lt;=$O$2,$D168,$D168-($D168-$I$157)*MIN(I$3-$O$2,$Q$2)/$Q$2))</f>
        <v>7147.79936397268</v>
      </c>
      <c r="J168" s="15" t="n">
        <f aca="false">I168*(1+IF(J$3&lt;=$O$2,$D168,$D168-($D168-$I$157)*MIN(J$3-$O$2,$Q$2)/$Q$2))</f>
        <v>7099.24346941829</v>
      </c>
      <c r="K168" s="15" t="n">
        <f aca="false">J168*(1+IF(K$3&lt;=$O$2,$D168,$D168-($D168-$I$157)*MIN(K$3-$O$2,$Q$2)/$Q$2))</f>
        <v>7131.04918941808</v>
      </c>
      <c r="L168" s="15" t="n">
        <f aca="false">K168*(1+IF(L$3&lt;=$O$2,$D168,$D168-($D168-$I$157)*MIN(L$3-$O$2,$Q$2)/$Q$2))</f>
        <v>7243.387727133</v>
      </c>
      <c r="M168" s="15" t="n">
        <f aca="false">L168*(1+IF(M$3&lt;=$O$2,$D168,$D168-($D168-$I$157)*MIN(M$3-$O$2,$Q$2)/$Q$2))</f>
        <v>7439.15273003143</v>
      </c>
      <c r="N168" s="15" t="n">
        <f aca="false">M168*(1+IF(N$3&lt;=$O$2,$D168,$D168-($D168-$I$157)*MIN(N$3-$O$2,$Q$2)/$Q$2))</f>
        <v>7724.07227959163</v>
      </c>
      <c r="O168" s="15" t="n">
        <f aca="false">SUMPRODUCT(E168:N168,1/(1+$F$157)^$E$3:$N$3)*$E$2</f>
        <v>14619.2860694689</v>
      </c>
      <c r="P168" s="15" t="n">
        <f aca="false">N168*$E$2*(1+$I$157)/($F$157-$I$157)/(1+$F$157)^$N$3</f>
        <v>33616.2282284509</v>
      </c>
      <c r="Q168" s="15" t="n">
        <f aca="false">O168+P168</f>
        <v>48235.5142979198</v>
      </c>
      <c r="R168" s="15" t="n">
        <f aca="false">Q168-$G$2+$I$2</f>
        <v>45718.5142979198</v>
      </c>
      <c r="S168" s="42" t="n">
        <f aca="false">R168/$K$2</f>
        <v>105.53186440589</v>
      </c>
      <c r="T168" s="43" t="n">
        <f aca="false">S168-$M$2</f>
        <v>0.273566081713199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-0.01953125</v>
      </c>
      <c r="C169" s="25" t="n">
        <f aca="false">IF(T168&gt;0,D168,C168)</f>
        <v>-0.01806640625</v>
      </c>
      <c r="D169" s="41" t="n">
        <f aca="false">(B169+C169)/2</f>
        <v>-0.018798828125</v>
      </c>
      <c r="E169" s="15" t="n">
        <f aca="false">$C$2*(1+IF(E$3&lt;=$O$2,$D169,$D169-($D169-$I$157)*MIN(E$3-$O$2,$Q$2)/$Q$2))</f>
        <v>7682.80517578125</v>
      </c>
      <c r="F169" s="15" t="n">
        <f aca="false">E169*(1+IF(F$3&lt;=$O$2,$D169,$D169-($D169-$I$157)*MIN(F$3-$O$2,$Q$2)/$Q$2))</f>
        <v>7538.37744176388</v>
      </c>
      <c r="G169" s="15" t="n">
        <f aca="false">F169*(1+IF(G$3&lt;=$O$2,$D169,$D169-($D169-$I$157)*MIN(G$3-$O$2,$Q$2)/$Q$2))</f>
        <v>7396.66477989478</v>
      </c>
      <c r="H169" s="15" t="n">
        <f aca="false">G169*(1+IF(H$3&lt;=$O$2,$D169,$D169-($D169-$I$157)*MIN(H$3-$O$2,$Q$2)/$Q$2))</f>
        <v>7257.6161499993</v>
      </c>
      <c r="I169" s="15" t="n">
        <f aca="false">H169*(1+IF(I$3&lt;=$O$2,$D169,$D169-($D169-$I$157)*MIN(I$3-$O$2,$Q$2)/$Q$2))</f>
        <v>7121.18147139824</v>
      </c>
      <c r="J169" s="15" t="n">
        <f aca="false">I169*(1+IF(J$3&lt;=$O$2,$D169,$D169-($D169-$I$157)*MIN(J$3-$O$2,$Q$2)/$Q$2))</f>
        <v>7068.63382824695</v>
      </c>
      <c r="K169" s="15" t="n">
        <f aca="false">J169*(1+IF(K$3&lt;=$O$2,$D169,$D169-($D169-$I$157)*MIN(K$3-$O$2,$Q$2)/$Q$2))</f>
        <v>7097.19607904623</v>
      </c>
      <c r="L169" s="15" t="n">
        <f aca="false">K169*(1+IF(L$3&lt;=$O$2,$D169,$D169-($D169-$I$157)*MIN(L$3-$O$2,$Q$2)/$Q$2))</f>
        <v>7206.92205723894</v>
      </c>
      <c r="M169" s="15" t="n">
        <f aca="false">L169*(1+IF(M$3&lt;=$O$2,$D169,$D169-($D169-$I$157)*MIN(M$3-$O$2,$Q$2)/$Q$2))</f>
        <v>7400.64581125988</v>
      </c>
      <c r="N169" s="15" t="n">
        <f aca="false">M169*(1+IF(N$3&lt;=$O$2,$D169,$D169-($D169-$I$157)*MIN(N$3-$O$2,$Q$2)/$Q$2))</f>
        <v>7684.09054583114</v>
      </c>
      <c r="O169" s="15" t="n">
        <f aca="false">SUMPRODUCT(E169:N169,1/(1+$F$157)^$E$3:$N$3)*$E$2</f>
        <v>14571.9767098292</v>
      </c>
      <c r="P169" s="15" t="n">
        <f aca="false">N169*$E$2*(1+$I$157)/($F$157-$I$157)/(1+$F$157)^$N$3</f>
        <v>33442.2222069623</v>
      </c>
      <c r="Q169" s="15" t="n">
        <f aca="false">O169+P169</f>
        <v>48014.1989167915</v>
      </c>
      <c r="R169" s="15" t="n">
        <f aca="false">Q169-$G$2+$I$2</f>
        <v>45497.1989167915</v>
      </c>
      <c r="S169" s="42" t="n">
        <f aca="false">R169/$K$2</f>
        <v>105.021002993379</v>
      </c>
      <c r="T169" s="43" t="n">
        <f aca="false">S169-$M$2</f>
        <v>-0.237295330798474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-0.018798828125</v>
      </c>
      <c r="C170" s="25" t="n">
        <f aca="false">IF(T169&gt;0,D169,C169)</f>
        <v>-0.01806640625</v>
      </c>
      <c r="D170" s="41" t="n">
        <f aca="false">(B170+C170)/2</f>
        <v>-0.0184326171875</v>
      </c>
      <c r="E170" s="15" t="n">
        <f aca="false">$C$2*(1+IF(E$3&lt;=$O$2,$D170,$D170-($D170-$I$157)*MIN(E$3-$O$2,$Q$2)/$Q$2))</f>
        <v>7685.67260742188</v>
      </c>
      <c r="F170" s="15" t="n">
        <f aca="false">E170*(1+IF(F$3&lt;=$O$2,$D170,$D170-($D170-$I$157)*MIN(F$3-$O$2,$Q$2)/$Q$2))</f>
        <v>7544.00554642081</v>
      </c>
      <c r="G170" s="15" t="n">
        <f aca="false">F170*(1+IF(G$3&lt;=$O$2,$D170,$D170-($D170-$I$157)*MIN(G$3-$O$2,$Q$2)/$Q$2))</f>
        <v>7404.94978012326</v>
      </c>
      <c r="H170" s="15" t="n">
        <f aca="false">G170*(1+IF(H$3&lt;=$O$2,$D170,$D170-($D170-$I$157)*MIN(H$3-$O$2,$Q$2)/$Q$2))</f>
        <v>7268.45717553359</v>
      </c>
      <c r="I170" s="15" t="n">
        <f aca="false">H170*(1+IF(I$3&lt;=$O$2,$D170,$D170-($D170-$I$157)*MIN(I$3-$O$2,$Q$2)/$Q$2))</f>
        <v>7134.48048687324</v>
      </c>
      <c r="J170" s="15" t="n">
        <f aca="false">I170*(1+IF(J$3&lt;=$O$2,$D170,$D170-($D170-$I$157)*MIN(J$3-$O$2,$Q$2)/$Q$2))</f>
        <v>7083.92488928571</v>
      </c>
      <c r="K170" s="15" t="n">
        <f aca="false">J170*(1+IF(K$3&lt;=$O$2,$D170,$D170-($D170-$I$157)*MIN(K$3-$O$2,$Q$2)/$Q$2))</f>
        <v>7114.10545318804</v>
      </c>
      <c r="L170" s="15" t="n">
        <f aca="false">K170*(1+IF(L$3&lt;=$O$2,$D170,$D170-($D170-$I$157)*MIN(L$3-$O$2,$Q$2)/$Q$2))</f>
        <v>7225.13496352225</v>
      </c>
      <c r="M170" s="15" t="n">
        <f aca="false">L170*(1+IF(M$3&lt;=$O$2,$D170,$D170-($D170-$I$157)*MIN(M$3-$O$2,$Q$2)/$Q$2))</f>
        <v>7419.87746942245</v>
      </c>
      <c r="N170" s="15" t="n">
        <f aca="false">M170*(1+IF(N$3&lt;=$O$2,$D170,$D170-($D170-$I$157)*MIN(N$3-$O$2,$Q$2)/$Q$2))</f>
        <v>7704.05877650133</v>
      </c>
      <c r="O170" s="15" t="n">
        <f aca="false">SUMPRODUCT(E170:N170,1/(1+$F$157)^$E$3:$N$3)*$E$2</f>
        <v>14595.6117461627</v>
      </c>
      <c r="P170" s="15" t="n">
        <f aca="false">N170*$E$2*(1+$I$157)/($F$157-$I$157)/(1+$F$157)^$N$3</f>
        <v>33529.1267017974</v>
      </c>
      <c r="Q170" s="15" t="n">
        <f aca="false">O170+P170</f>
        <v>48124.7384479601</v>
      </c>
      <c r="R170" s="15" t="n">
        <f aca="false">Q170-$G$2+$I$2</f>
        <v>45607.7384479601</v>
      </c>
      <c r="S170" s="42" t="n">
        <f aca="false">R170/$K$2</f>
        <v>105.276160952773</v>
      </c>
      <c r="T170" s="43" t="n">
        <f aca="false">S170-$M$2</f>
        <v>0.0178626285954522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-0.018798828125</v>
      </c>
      <c r="C171" s="25" t="n">
        <f aca="false">IF(T170&gt;0,D170,C170)</f>
        <v>-0.0184326171875</v>
      </c>
      <c r="D171" s="41" t="n">
        <f aca="false">(B171+C171)/2</f>
        <v>-0.01861572265625</v>
      </c>
      <c r="E171" s="15" t="n">
        <f aca="false">$C$2*(1+IF(E$3&lt;=$O$2,$D171,$D171-($D171-$I$157)*MIN(E$3-$O$2,$Q$2)/$Q$2))</f>
        <v>7684.23889160156</v>
      </c>
      <c r="F171" s="15" t="n">
        <f aca="false">E171*(1+IF(F$3&lt;=$O$2,$D171,$D171-($D171-$I$157)*MIN(F$3-$O$2,$Q$2)/$Q$2))</f>
        <v>7541.19123157114</v>
      </c>
      <c r="G171" s="15" t="n">
        <f aca="false">F171*(1+IF(G$3&lt;=$O$2,$D171,$D171-($D171-$I$157)*MIN(G$3-$O$2,$Q$2)/$Q$2))</f>
        <v>7400.80650710647</v>
      </c>
      <c r="H171" s="15" t="n">
        <f aca="false">G171*(1+IF(H$3&lt;=$O$2,$D171,$D171-($D171-$I$157)*MIN(H$3-$O$2,$Q$2)/$Q$2))</f>
        <v>7263.0351457376</v>
      </c>
      <c r="I171" s="15" t="n">
        <f aca="false">H171*(1+IF(I$3&lt;=$O$2,$D171,$D171-($D171-$I$157)*MIN(I$3-$O$2,$Q$2)/$Q$2))</f>
        <v>7127.82849782195</v>
      </c>
      <c r="J171" s="15" t="n">
        <f aca="false">I171*(1+IF(J$3&lt;=$O$2,$D171,$D171-($D171-$I$157)*MIN(J$3-$O$2,$Q$2)/$Q$2))</f>
        <v>7076.27592134986</v>
      </c>
      <c r="K171" s="15" t="n">
        <f aca="false">J171*(1+IF(K$3&lt;=$O$2,$D171,$D171-($D171-$I$157)*MIN(K$3-$O$2,$Q$2)/$Q$2))</f>
        <v>7105.64647447037</v>
      </c>
      <c r="L171" s="15" t="n">
        <f aca="false">K171*(1+IF(L$3&lt;=$O$2,$D171,$D171-($D171-$I$157)*MIN(L$3-$O$2,$Q$2)/$Q$2))</f>
        <v>7216.02353282885</v>
      </c>
      <c r="M171" s="15" t="n">
        <f aca="false">L171*(1+IF(M$3&lt;=$O$2,$D171,$D171-($D171-$I$157)*MIN(M$3-$O$2,$Q$2)/$Q$2))</f>
        <v>7410.25619532111</v>
      </c>
      <c r="N171" s="15" t="n">
        <f aca="false">M171*(1+IF(N$3&lt;=$O$2,$D171,$D171-($D171-$I$157)*MIN(N$3-$O$2,$Q$2)/$Q$2))</f>
        <v>7694.06900760191</v>
      </c>
      <c r="O171" s="15" t="n">
        <f aca="false">SUMPRODUCT(E171:N171,1/(1+$F$157)^$E$3:$N$3)*$E$2</f>
        <v>14583.7893209898</v>
      </c>
      <c r="P171" s="15" t="n">
        <f aca="false">N171*$E$2*(1+$I$157)/($F$157-$I$157)/(1+$F$157)^$N$3</f>
        <v>33485.6498492879</v>
      </c>
      <c r="Q171" s="15" t="n">
        <f aca="false">O171+P171</f>
        <v>48069.4391702777</v>
      </c>
      <c r="R171" s="15" t="n">
        <f aca="false">Q171-$G$2+$I$2</f>
        <v>45552.4391702777</v>
      </c>
      <c r="S171" s="42" t="n">
        <f aca="false">R171/$K$2</f>
        <v>105.148513850417</v>
      </c>
      <c r="T171" s="43" t="n">
        <f aca="false">S171-$M$2</f>
        <v>-0.109784473759987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-0.01861572265625</v>
      </c>
      <c r="C172" s="25" t="n">
        <f aca="false">IF(T171&gt;0,D171,C171)</f>
        <v>-0.0184326171875</v>
      </c>
      <c r="D172" s="41" t="n">
        <f aca="false">(B172+C172)/2</f>
        <v>-0.018524169921875</v>
      </c>
      <c r="E172" s="15" t="n">
        <f aca="false">$C$2*(1+IF(E$3&lt;=$O$2,$D172,$D172-($D172-$I$157)*MIN(E$3-$O$2,$Q$2)/$Q$2))</f>
        <v>7684.95574951172</v>
      </c>
      <c r="F172" s="15" t="n">
        <f aca="false">E172*(1+IF(F$3&lt;=$O$2,$D172,$D172-($D172-$I$157)*MIN(F$3-$O$2,$Q$2)/$Q$2))</f>
        <v>7542.59832336567</v>
      </c>
      <c r="G172" s="15" t="n">
        <f aca="false">F172*(1+IF(G$3&lt;=$O$2,$D172,$D172-($D172-$I$157)*MIN(G$3-$O$2,$Q$2)/$Q$2))</f>
        <v>7402.8779503712</v>
      </c>
      <c r="H172" s="15" t="n">
        <f aca="false">G172*(1+IF(H$3&lt;=$O$2,$D172,$D172-($D172-$I$157)*MIN(H$3-$O$2,$Q$2)/$Q$2))</f>
        <v>7265.74578130762</v>
      </c>
      <c r="I172" s="15" t="n">
        <f aca="false">H172*(1+IF(I$3&lt;=$O$2,$D172,$D172-($D172-$I$157)*MIN(I$3-$O$2,$Q$2)/$Q$2))</f>
        <v>7131.15387184553</v>
      </c>
      <c r="J172" s="15" t="n">
        <f aca="false">I172*(1+IF(J$3&lt;=$O$2,$D172,$D172-($D172-$I$157)*MIN(J$3-$O$2,$Q$2)/$Q$2))</f>
        <v>7080.09954565499</v>
      </c>
      <c r="K172" s="15" t="n">
        <f aca="false">J172*(1+IF(K$3&lt;=$O$2,$D172,$D172-($D172-$I$157)*MIN(K$3-$O$2,$Q$2)/$Q$2))</f>
        <v>7109.87489046592</v>
      </c>
      <c r="L172" s="15" t="n">
        <f aca="false">K172*(1+IF(L$3&lt;=$O$2,$D172,$D172-($D172-$I$157)*MIN(L$3-$O$2,$Q$2)/$Q$2))</f>
        <v>7220.57800321112</v>
      </c>
      <c r="M172" s="15" t="n">
        <f aca="false">L172*(1+IF(M$3&lt;=$O$2,$D172,$D172-($D172-$I$157)*MIN(M$3-$O$2,$Q$2)/$Q$2))</f>
        <v>7415.06547045638</v>
      </c>
      <c r="N172" s="15" t="n">
        <f aca="false">M172*(1+IF(N$3&lt;=$O$2,$D172,$D172-($D172-$I$157)*MIN(N$3-$O$2,$Q$2)/$Q$2))</f>
        <v>7699.06247797486</v>
      </c>
      <c r="O172" s="15" t="n">
        <f aca="false">SUMPRODUCT(E172:N172,1/(1+$F$157)^$E$3:$N$3)*$E$2</f>
        <v>14589.6993063417</v>
      </c>
      <c r="P172" s="15" t="n">
        <f aca="false">N172*$E$2*(1+$I$157)/($F$157-$I$157)/(1+$F$157)^$N$3</f>
        <v>33507.3821212855</v>
      </c>
      <c r="Q172" s="15" t="n">
        <f aca="false">O172+P172</f>
        <v>48097.0814276273</v>
      </c>
      <c r="R172" s="15" t="n">
        <f aca="false">Q172-$G$2+$I$2</f>
        <v>45580.0814276273</v>
      </c>
      <c r="S172" s="42" t="n">
        <f aca="false">R172/$K$2</f>
        <v>105.212320362927</v>
      </c>
      <c r="T172" s="43" t="n">
        <f aca="false">S172-$M$2</f>
        <v>-0.0459779612500313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-0.018524169921875</v>
      </c>
      <c r="C173" s="25" t="n">
        <f aca="false">IF(T172&gt;0,D172,C172)</f>
        <v>-0.0184326171875</v>
      </c>
      <c r="D173" s="41" t="n">
        <f aca="false">(B173+C173)/2</f>
        <v>-0.0184783935546875</v>
      </c>
      <c r="E173" s="15" t="n">
        <f aca="false">$C$2*(1+IF(E$3&lt;=$O$2,$D173,$D173-($D173-$I$157)*MIN(E$3-$O$2,$Q$2)/$Q$2))</f>
        <v>7685.3141784668</v>
      </c>
      <c r="F173" s="15" t="n">
        <f aca="false">E173*(1+IF(F$3&lt;=$O$2,$D173,$D173-($D173-$I$157)*MIN(F$3-$O$2,$Q$2)/$Q$2))</f>
        <v>7543.30191848567</v>
      </c>
      <c r="G173" s="15" t="n">
        <f aca="false">F173*(1+IF(G$3&lt;=$O$2,$D173,$D173-($D173-$I$157)*MIN(G$3-$O$2,$Q$2)/$Q$2))</f>
        <v>7403.91381693406</v>
      </c>
      <c r="H173" s="15" t="n">
        <f aca="false">G173*(1+IF(H$3&lt;=$O$2,$D173,$D173-($D173-$I$157)*MIN(H$3-$O$2,$Q$2)/$Q$2))</f>
        <v>7267.10138357976</v>
      </c>
      <c r="I173" s="15" t="n">
        <f aca="false">H173*(1+IF(I$3&lt;=$O$2,$D173,$D173-($D173-$I$157)*MIN(I$3-$O$2,$Q$2)/$Q$2))</f>
        <v>7132.81702421216</v>
      </c>
      <c r="J173" s="15" t="n">
        <f aca="false">I173*(1+IF(J$3&lt;=$O$2,$D173,$D173-($D173-$I$157)*MIN(J$3-$O$2,$Q$2)/$Q$2))</f>
        <v>7082.01200251605</v>
      </c>
      <c r="K173" s="15" t="n">
        <f aca="false">J173*(1+IF(K$3&lt;=$O$2,$D173,$D173-($D173-$I$157)*MIN(K$3-$O$2,$Q$2)/$Q$2))</f>
        <v>7111.98990342969</v>
      </c>
      <c r="L173" s="15" t="n">
        <f aca="false">K173*(1+IF(L$3&lt;=$O$2,$D173,$D173-($D173-$I$157)*MIN(L$3-$O$2,$Q$2)/$Q$2))</f>
        <v>7222.85617205349</v>
      </c>
      <c r="M173" s="15" t="n">
        <f aca="false">L173*(1+IF(M$3&lt;=$O$2,$D173,$D173-($D173-$I$157)*MIN(M$3-$O$2,$Q$2)/$Q$2))</f>
        <v>7417.47112937799</v>
      </c>
      <c r="N173" s="15" t="n">
        <f aca="false">M173*(1+IF(N$3&lt;=$O$2,$D173,$D173-($D173-$I$157)*MIN(N$3-$O$2,$Q$2)/$Q$2))</f>
        <v>7701.56027363317</v>
      </c>
      <c r="O173" s="15" t="n">
        <f aca="false">SUMPRODUCT(E173:N173,1/(1+$F$157)^$E$3:$N$3)*$E$2</f>
        <v>14592.6552193832</v>
      </c>
      <c r="P173" s="15" t="n">
        <f aca="false">N173*$E$2*(1+$I$157)/($F$157-$I$157)/(1+$F$157)^$N$3</f>
        <v>33518.2528726041</v>
      </c>
      <c r="Q173" s="15" t="n">
        <f aca="false">O173+P173</f>
        <v>48110.9080919873</v>
      </c>
      <c r="R173" s="15" t="n">
        <f aca="false">Q173-$G$2+$I$2</f>
        <v>45593.9080919873</v>
      </c>
      <c r="S173" s="42" t="n">
        <f aca="false">R173/$K$2</f>
        <v>105.244236397182</v>
      </c>
      <c r="T173" s="43" t="n">
        <f aca="false">S173-$M$2</f>
        <v>-0.0140619269949696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-0.0184783935546875</v>
      </c>
      <c r="C174" s="25" t="n">
        <f aca="false">IF(T173&gt;0,D173,C173)</f>
        <v>-0.0184326171875</v>
      </c>
      <c r="D174" s="41" t="n">
        <f aca="false">(B174+C174)/2</f>
        <v>-0.0184555053710938</v>
      </c>
      <c r="E174" s="15" t="n">
        <f aca="false">$C$2*(1+IF(E$3&lt;=$O$2,$D174,$D174-($D174-$I$157)*MIN(E$3-$O$2,$Q$2)/$Q$2))</f>
        <v>7685.49339294434</v>
      </c>
      <c r="F174" s="15" t="n">
        <f aca="false">E174*(1+IF(F$3&lt;=$O$2,$D174,$D174-($D174-$I$157)*MIN(F$3-$O$2,$Q$2)/$Q$2))</f>
        <v>7543.65372835135</v>
      </c>
      <c r="G174" s="15" t="n">
        <f aca="false">F174*(1+IF(G$3&lt;=$O$2,$D174,$D174-($D174-$I$157)*MIN(G$3-$O$2,$Q$2)/$Q$2))</f>
        <v>7404.43178645009</v>
      </c>
      <c r="H174" s="15" t="n">
        <f aca="false">G174*(1+IF(H$3&lt;=$O$2,$D174,$D174-($D174-$I$157)*MIN(H$3-$O$2,$Q$2)/$Q$2))</f>
        <v>7267.77925584536</v>
      </c>
      <c r="I174" s="15" t="n">
        <f aca="false">H174*(1+IF(I$3&lt;=$O$2,$D174,$D174-($D174-$I$157)*MIN(I$3-$O$2,$Q$2)/$Q$2))</f>
        <v>7133.64871675318</v>
      </c>
      <c r="J174" s="15" t="n">
        <f aca="false">I174*(1+IF(J$3&lt;=$O$2,$D174,$D174-($D174-$I$157)*MIN(J$3-$O$2,$Q$2)/$Q$2))</f>
        <v>7082.96839215748</v>
      </c>
      <c r="K174" s="15" t="n">
        <f aca="false">J174*(1+IF(K$3&lt;=$O$2,$D174,$D174-($D174-$I$157)*MIN(K$3-$O$2,$Q$2)/$Q$2))</f>
        <v>7113.04761120249</v>
      </c>
      <c r="L174" s="15" t="n">
        <f aca="false">K174*(1+IF(L$3&lt;=$O$2,$D174,$D174-($D174-$I$157)*MIN(L$3-$O$2,$Q$2)/$Q$2))</f>
        <v>7223.99548995056</v>
      </c>
      <c r="M174" s="15" t="n">
        <f aca="false">L174*(1+IF(M$3&lt;=$O$2,$D174,$D174-($D174-$I$157)*MIN(M$3-$O$2,$Q$2)/$Q$2))</f>
        <v>7418.67421424954</v>
      </c>
      <c r="N174" s="15" t="n">
        <f aca="false">M174*(1+IF(N$3&lt;=$O$2,$D174,$D174-($D174-$I$157)*MIN(N$3-$O$2,$Q$2)/$Q$2))</f>
        <v>7702.8094366553</v>
      </c>
      <c r="O174" s="15" t="n">
        <f aca="false">SUMPRODUCT(E174:N174,1/(1+$F$157)^$E$3:$N$3)*$E$2</f>
        <v>14594.1334060482</v>
      </c>
      <c r="P174" s="15" t="n">
        <f aca="false">N174*$E$2*(1+$I$157)/($F$157-$I$157)/(1+$F$157)^$N$3</f>
        <v>33523.6894024197</v>
      </c>
      <c r="Q174" s="15" t="n">
        <f aca="false">O174+P174</f>
        <v>48117.8228084679</v>
      </c>
      <c r="R174" s="15" t="n">
        <f aca="false">Q174-$G$2+$I$2</f>
        <v>45600.8228084679</v>
      </c>
      <c r="S174" s="42" t="n">
        <f aca="false">R174/$K$2</f>
        <v>105.260197609685</v>
      </c>
      <c r="T174" s="43" t="n">
        <f aca="false">S174-$M$2</f>
        <v>0.00189928550823026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-0.0184783935546875</v>
      </c>
      <c r="C175" s="25" t="n">
        <f aca="false">IF(T174&gt;0,D174,C174)</f>
        <v>-0.0184555053710938</v>
      </c>
      <c r="D175" s="41" t="n">
        <f aca="false">(B175+C175)/2</f>
        <v>-0.0184669494628906</v>
      </c>
      <c r="E175" s="15" t="n">
        <f aca="false">$C$2*(1+IF(E$3&lt;=$O$2,$D175,$D175-($D175-$I$157)*MIN(E$3-$O$2,$Q$2)/$Q$2))</f>
        <v>7685.40378570557</v>
      </c>
      <c r="F175" s="15" t="n">
        <f aca="false">E175*(1+IF(F$3&lt;=$O$2,$D175,$D175-($D175-$I$157)*MIN(F$3-$O$2,$Q$2)/$Q$2))</f>
        <v>7543.47782239303</v>
      </c>
      <c r="G175" s="15" t="n">
        <f aca="false">F175*(1+IF(G$3&lt;=$O$2,$D175,$D175-($D175-$I$157)*MIN(G$3-$O$2,$Q$2)/$Q$2))</f>
        <v>7404.17279867247</v>
      </c>
      <c r="H175" s="15" t="n">
        <f aca="false">G175*(1+IF(H$3&lt;=$O$2,$D175,$D175-($D175-$I$157)*MIN(H$3-$O$2,$Q$2)/$Q$2))</f>
        <v>7267.44031378487</v>
      </c>
      <c r="I175" s="15" t="n">
        <f aca="false">H175*(1+IF(I$3&lt;=$O$2,$D175,$D175-($D175-$I$157)*MIN(I$3-$O$2,$Q$2)/$Q$2))</f>
        <v>7133.23286078563</v>
      </c>
      <c r="J175" s="15" t="n">
        <f aca="false">I175*(1+IF(J$3&lt;=$O$2,$D175,$D175-($D175-$I$157)*MIN(J$3-$O$2,$Q$2)/$Q$2))</f>
        <v>7082.49018390152</v>
      </c>
      <c r="K175" s="15" t="n">
        <f aca="false">J175*(1+IF(K$3&lt;=$O$2,$D175,$D175-($D175-$I$157)*MIN(K$3-$O$2,$Q$2)/$Q$2))</f>
        <v>7112.51874054038</v>
      </c>
      <c r="L175" s="15" t="n">
        <f aca="false">K175*(1+IF(L$3&lt;=$O$2,$D175,$D175-($D175-$I$157)*MIN(L$3-$O$2,$Q$2)/$Q$2))</f>
        <v>7223.42581154383</v>
      </c>
      <c r="M175" s="15" t="n">
        <f aca="false">L175*(1+IF(M$3&lt;=$O$2,$D175,$D175-($D175-$I$157)*MIN(M$3-$O$2,$Q$2)/$Q$2))</f>
        <v>7418.07265052738</v>
      </c>
      <c r="N175" s="15" t="n">
        <f aca="false">M175*(1+IF(N$3&lt;=$O$2,$D175,$D175-($D175-$I$157)*MIN(N$3-$O$2,$Q$2)/$Q$2))</f>
        <v>7702.18483304258</v>
      </c>
      <c r="O175" s="15" t="n">
        <f aca="false">SUMPRODUCT(E175:N175,1/(1+$F$157)^$E$3:$N$3)*$E$2</f>
        <v>14593.3942935354</v>
      </c>
      <c r="P175" s="15" t="n">
        <f aca="false">N175*$E$2*(1+$I$157)/($F$157-$I$157)/(1+$F$157)^$N$3</f>
        <v>33520.9710413225</v>
      </c>
      <c r="Q175" s="15" t="n">
        <f aca="false">O175+P175</f>
        <v>48114.3653348579</v>
      </c>
      <c r="R175" s="15" t="n">
        <f aca="false">Q175-$G$2+$I$2</f>
        <v>45597.3653348579</v>
      </c>
      <c r="S175" s="42" t="n">
        <f aca="false">R175/$K$2</f>
        <v>105.252216737126</v>
      </c>
      <c r="T175" s="43" t="n">
        <f aca="false">S175-$M$2</f>
        <v>-0.00608158705075823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-0.0184669494628906</v>
      </c>
      <c r="C176" s="25" t="n">
        <f aca="false">IF(T175&gt;0,D175,C175)</f>
        <v>-0.0184555053710938</v>
      </c>
      <c r="D176" s="41" t="n">
        <f aca="false">(B176+C176)/2</f>
        <v>-0.0184612274169922</v>
      </c>
      <c r="E176" s="15" t="n">
        <f aca="false">$C$2*(1+IF(E$3&lt;=$O$2,$D176,$D176-($D176-$I$157)*MIN(E$3-$O$2,$Q$2)/$Q$2))</f>
        <v>7685.44858932495</v>
      </c>
      <c r="F176" s="15" t="n">
        <f aca="false">E176*(1+IF(F$3&lt;=$O$2,$D176,$D176-($D176-$I$157)*MIN(F$3-$O$2,$Q$2)/$Q$2))</f>
        <v>7543.56577511582</v>
      </c>
      <c r="G176" s="15" t="n">
        <f aca="false">F176*(1+IF(G$3&lt;=$O$2,$D176,$D176-($D176-$I$157)*MIN(G$3-$O$2,$Q$2)/$Q$2))</f>
        <v>7404.30229180637</v>
      </c>
      <c r="H176" s="15" t="n">
        <f aca="false">G176*(1+IF(H$3&lt;=$O$2,$D176,$D176-($D176-$I$157)*MIN(H$3-$O$2,$Q$2)/$Q$2))</f>
        <v>7267.60978333318</v>
      </c>
      <c r="I176" s="15" t="n">
        <f aca="false">H176*(1+IF(I$3&lt;=$O$2,$D176,$D176-($D176-$I$157)*MIN(I$3-$O$2,$Q$2)/$Q$2))</f>
        <v>7133.4407863451</v>
      </c>
      <c r="J176" s="15" t="n">
        <f aca="false">I176*(1+IF(J$3&lt;=$O$2,$D176,$D176-($D176-$I$157)*MIN(J$3-$O$2,$Q$2)/$Q$2))</f>
        <v>7082.72928467062</v>
      </c>
      <c r="K176" s="15" t="n">
        <f aca="false">J176*(1+IF(K$3&lt;=$O$2,$D176,$D176-($D176-$I$157)*MIN(K$3-$O$2,$Q$2)/$Q$2))</f>
        <v>7112.78317167739</v>
      </c>
      <c r="L176" s="15" t="n">
        <f aca="false">K176*(1+IF(L$3&lt;=$O$2,$D176,$D176-($D176-$I$157)*MIN(L$3-$O$2,$Q$2)/$Q$2))</f>
        <v>7223.7106458825</v>
      </c>
      <c r="M176" s="15" t="n">
        <f aca="false">L176*(1+IF(M$3&lt;=$O$2,$D176,$D176-($D176-$I$157)*MIN(M$3-$O$2,$Q$2)/$Q$2))</f>
        <v>7418.37342706671</v>
      </c>
      <c r="N176" s="15" t="n">
        <f aca="false">M176*(1+IF(N$3&lt;=$O$2,$D176,$D176-($D176-$I$157)*MIN(N$3-$O$2,$Q$2)/$Q$2))</f>
        <v>7702.49712932336</v>
      </c>
      <c r="O176" s="15" t="n">
        <f aca="false">SUMPRODUCT(E176:N176,1/(1+$F$157)^$E$3:$N$3)*$E$2</f>
        <v>14593.7638449966</v>
      </c>
      <c r="P176" s="15" t="n">
        <f aca="false">N176*$E$2*(1+$I$157)/($F$157-$I$157)/(1+$F$157)^$N$3</f>
        <v>33522.330197823</v>
      </c>
      <c r="Q176" s="15" t="n">
        <f aca="false">O176+P176</f>
        <v>48116.0940428196</v>
      </c>
      <c r="R176" s="15" t="n">
        <f aca="false">Q176-$G$2+$I$2</f>
        <v>45599.0940428196</v>
      </c>
      <c r="S176" s="42" t="n">
        <f aca="false">R176/$K$2</f>
        <v>105.256207106827</v>
      </c>
      <c r="T176" s="43" t="n">
        <f aca="false">S176-$M$2</f>
        <v>-0.00209121735007045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-0.0184612274169922</v>
      </c>
      <c r="C177" s="25" t="n">
        <f aca="false">IF(T176&gt;0,D176,C176)</f>
        <v>-0.0184555053710938</v>
      </c>
      <c r="D177" s="41" t="n">
        <f aca="false">(B177+C177)/2</f>
        <v>-0.018458366394043</v>
      </c>
      <c r="E177" s="15" t="n">
        <f aca="false">$C$2*(1+IF(E$3&lt;=$O$2,$D177,$D177-($D177-$I$157)*MIN(E$3-$O$2,$Q$2)/$Q$2))</f>
        <v>7685.47099113464</v>
      </c>
      <c r="F177" s="15" t="n">
        <f aca="false">E177*(1+IF(F$3&lt;=$O$2,$D177,$D177-($D177-$I$157)*MIN(F$3-$O$2,$Q$2)/$Q$2))</f>
        <v>7543.60975166949</v>
      </c>
      <c r="G177" s="15" t="n">
        <f aca="false">F177*(1+IF(G$3&lt;=$O$2,$D177,$D177-($D177-$I$157)*MIN(G$3-$O$2,$Q$2)/$Q$2))</f>
        <v>7404.3670389395</v>
      </c>
      <c r="H177" s="15" t="n">
        <f aca="false">G177*(1+IF(H$3&lt;=$O$2,$D177,$D177-($D177-$I$157)*MIN(H$3-$O$2,$Q$2)/$Q$2))</f>
        <v>7267.69451921878</v>
      </c>
      <c r="I177" s="15" t="n">
        <f aca="false">H177*(1+IF(I$3&lt;=$O$2,$D177,$D177-($D177-$I$157)*MIN(I$3-$O$2,$Q$2)/$Q$2))</f>
        <v>7133.54475094306</v>
      </c>
      <c r="J177" s="15" t="n">
        <f aca="false">I177*(1+IF(J$3&lt;=$O$2,$D177,$D177-($D177-$I$157)*MIN(J$3-$O$2,$Q$2)/$Q$2))</f>
        <v>7082.84883757432</v>
      </c>
      <c r="K177" s="15" t="n">
        <f aca="false">J177*(1+IF(K$3&lt;=$O$2,$D177,$D177-($D177-$I$157)*MIN(K$3-$O$2,$Q$2)/$Q$2))</f>
        <v>7112.91539039142</v>
      </c>
      <c r="L177" s="15" t="n">
        <f aca="false">K177*(1+IF(L$3&lt;=$O$2,$D177,$D177-($D177-$I$157)*MIN(L$3-$O$2,$Q$2)/$Q$2))</f>
        <v>7223.85306670034</v>
      </c>
      <c r="M177" s="15" t="n">
        <f aca="false">L177*(1+IF(M$3&lt;=$O$2,$D177,$D177-($D177-$I$157)*MIN(M$3-$O$2,$Q$2)/$Q$2))</f>
        <v>7418.52381932766</v>
      </c>
      <c r="N177" s="15" t="n">
        <f aca="false">M177*(1+IF(N$3&lt;=$O$2,$D177,$D177-($D177-$I$157)*MIN(N$3-$O$2,$Q$2)/$Q$2))</f>
        <v>7702.65328160791</v>
      </c>
      <c r="O177" s="15" t="n">
        <f aca="false">SUMPRODUCT(E177:N177,1/(1+$F$157)^$E$3:$N$3)*$E$2</f>
        <v>14593.9486243236</v>
      </c>
      <c r="P177" s="15" t="n">
        <f aca="false">N177*$E$2*(1+$I$157)/($F$157-$I$157)/(1+$F$157)^$N$3</f>
        <v>33523.0097941093</v>
      </c>
      <c r="Q177" s="15" t="n">
        <f aca="false">O177+P177</f>
        <v>48116.9584184328</v>
      </c>
      <c r="R177" s="15" t="n">
        <f aca="false">Q177-$G$2+$I$2</f>
        <v>45599.9584184328</v>
      </c>
      <c r="S177" s="42" t="n">
        <f aca="false">R177/$K$2</f>
        <v>105.258202341611</v>
      </c>
      <c r="T177" s="43" t="n">
        <f aca="false">S177-$M$2</f>
        <v>-9.5982565852637E-005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-0.018458366394043</v>
      </c>
      <c r="C178" s="25" t="n">
        <f aca="false">IF(T177&gt;0,D177,C177)</f>
        <v>-0.0184555053710938</v>
      </c>
      <c r="D178" s="41" t="n">
        <f aca="false">(B178+C178)/2</f>
        <v>-0.0184569358825684</v>
      </c>
      <c r="E178" s="15" t="n">
        <f aca="false">$C$2*(1+IF(E$3&lt;=$O$2,$D178,$D178-($D178-$I$157)*MIN(E$3-$O$2,$Q$2)/$Q$2))</f>
        <v>7685.48219203949</v>
      </c>
      <c r="F178" s="15" t="n">
        <f aca="false">E178*(1+IF(F$3&lt;=$O$2,$D178,$D178-($D178-$I$157)*MIN(F$3-$O$2,$Q$2)/$Q$2))</f>
        <v>7543.6317399944</v>
      </c>
      <c r="G178" s="15" t="n">
        <f aca="false">F178*(1+IF(G$3&lt;=$O$2,$D178,$D178-($D178-$I$157)*MIN(G$3-$O$2,$Q$2)/$Q$2))</f>
        <v>7404.39941264761</v>
      </c>
      <c r="H178" s="15" t="n">
        <f aca="false">G178*(1+IF(H$3&lt;=$O$2,$D178,$D178-($D178-$I$157)*MIN(H$3-$O$2,$Q$2)/$Q$2))</f>
        <v>7267.73688743945</v>
      </c>
      <c r="I178" s="15" t="n">
        <f aca="false">H178*(1+IF(I$3&lt;=$O$2,$D178,$D178-($D178-$I$157)*MIN(I$3-$O$2,$Q$2)/$Q$2))</f>
        <v>7133.5967336966</v>
      </c>
      <c r="J178" s="15" t="n">
        <f aca="false">I178*(1+IF(J$3&lt;=$O$2,$D178,$D178-($D178-$I$157)*MIN(J$3-$O$2,$Q$2)/$Q$2))</f>
        <v>7082.90861465597</v>
      </c>
      <c r="K178" s="15" t="n">
        <f aca="false">J178*(1+IF(K$3&lt;=$O$2,$D178,$D178-($D178-$I$157)*MIN(K$3-$O$2,$Q$2)/$Q$2))</f>
        <v>7112.98150053482</v>
      </c>
      <c r="L178" s="15" t="n">
        <f aca="false">K178*(1+IF(L$3&lt;=$O$2,$D178,$D178-($D178-$I$157)*MIN(L$3-$O$2,$Q$2)/$Q$2))</f>
        <v>7223.9242780214</v>
      </c>
      <c r="M178" s="15" t="n">
        <f aca="false">L178*(1+IF(M$3&lt;=$O$2,$D178,$D178-($D178-$I$157)*MIN(M$3-$O$2,$Q$2)/$Q$2))</f>
        <v>7418.59901645598</v>
      </c>
      <c r="N178" s="15" t="n">
        <f aca="false">M178*(1+IF(N$3&lt;=$O$2,$D178,$D178-($D178-$I$157)*MIN(N$3-$O$2,$Q$2)/$Q$2))</f>
        <v>7702.73135878625</v>
      </c>
      <c r="O178" s="15" t="n">
        <f aca="false">SUMPRODUCT(E178:N178,1/(1+$F$157)^$E$3:$N$3)*$E$2</f>
        <v>14594.0410148862</v>
      </c>
      <c r="P178" s="15" t="n">
        <f aca="false">N178*$E$2*(1+$I$157)/($F$157-$I$157)/(1+$F$157)^$N$3</f>
        <v>33523.3495967615</v>
      </c>
      <c r="Q178" s="15" t="n">
        <f aca="false">O178+P178</f>
        <v>48117.3906116476</v>
      </c>
      <c r="R178" s="15" t="n">
        <f aca="false">Q178-$G$2+$I$2</f>
        <v>45600.3906116476</v>
      </c>
      <c r="S178" s="42" t="n">
        <f aca="false">R178/$K$2</f>
        <v>105.259199971487</v>
      </c>
      <c r="T178" s="43" t="n">
        <f aca="false">S178-$M$2</f>
        <v>0.000901647309930809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-0.018458366394043</v>
      </c>
      <c r="C179" s="25" t="n">
        <f aca="false">IF(T178&gt;0,D178,C178)</f>
        <v>-0.0184569358825684</v>
      </c>
      <c r="D179" s="41" t="n">
        <f aca="false">(B179+C179)/2</f>
        <v>-0.0184576511383057</v>
      </c>
      <c r="E179" s="15" t="n">
        <f aca="false">$C$2*(1+IF(E$3&lt;=$O$2,$D179,$D179-($D179-$I$157)*MIN(E$3-$O$2,$Q$2)/$Q$2))</f>
        <v>7685.47659158707</v>
      </c>
      <c r="F179" s="15" t="n">
        <f aca="false">E179*(1+IF(F$3&lt;=$O$2,$D179,$D179-($D179-$I$157)*MIN(F$3-$O$2,$Q$2)/$Q$2))</f>
        <v>7543.62074582794</v>
      </c>
      <c r="G179" s="15" t="n">
        <f aca="false">F179*(1+IF(G$3&lt;=$O$2,$D179,$D179-($D179-$I$157)*MIN(G$3-$O$2,$Q$2)/$Q$2))</f>
        <v>7404.38322578176</v>
      </c>
      <c r="H179" s="15" t="n">
        <f aca="false">G179*(1+IF(H$3&lt;=$O$2,$D179,$D179-($D179-$I$157)*MIN(H$3-$O$2,$Q$2)/$Q$2))</f>
        <v>7267.71570330596</v>
      </c>
      <c r="I179" s="15" t="n">
        <f aca="false">H179*(1+IF(I$3&lt;=$O$2,$D179,$D179-($D179-$I$157)*MIN(I$3-$O$2,$Q$2)/$Q$2))</f>
        <v>7133.57074228195</v>
      </c>
      <c r="J179" s="15" t="n">
        <f aca="false">I179*(1+IF(J$3&lt;=$O$2,$D179,$D179-($D179-$I$157)*MIN(J$3-$O$2,$Q$2)/$Q$2))</f>
        <v>7082.87872606266</v>
      </c>
      <c r="K179" s="15" t="n">
        <f aca="false">J179*(1+IF(K$3&lt;=$O$2,$D179,$D179-($D179-$I$157)*MIN(K$3-$O$2,$Q$2)/$Q$2))</f>
        <v>7112.94844539759</v>
      </c>
      <c r="L179" s="15" t="n">
        <f aca="false">K179*(1+IF(L$3&lt;=$O$2,$D179,$D179-($D179-$I$157)*MIN(L$3-$O$2,$Q$2)/$Q$2))</f>
        <v>7223.88867228486</v>
      </c>
      <c r="M179" s="15" t="n">
        <f aca="false">L179*(1+IF(M$3&lt;=$O$2,$D179,$D179-($D179-$I$157)*MIN(M$3-$O$2,$Q$2)/$Q$2))</f>
        <v>7418.56141780867</v>
      </c>
      <c r="N179" s="15" t="n">
        <f aca="false">M179*(1+IF(N$3&lt;=$O$2,$D179,$D179-($D179-$I$157)*MIN(N$3-$O$2,$Q$2)/$Q$2))</f>
        <v>7702.69232011074</v>
      </c>
      <c r="O179" s="15" t="n">
        <f aca="false">SUMPRODUCT(E179:N179,1/(1+$F$157)^$E$3:$N$3)*$E$2</f>
        <v>14593.9948195299</v>
      </c>
      <c r="P179" s="15" t="n">
        <f aca="false">N179*$E$2*(1+$I$157)/($F$157-$I$157)/(1+$F$157)^$N$3</f>
        <v>33523.1796950596</v>
      </c>
      <c r="Q179" s="15" t="n">
        <f aca="false">O179+P179</f>
        <v>48117.1745145895</v>
      </c>
      <c r="R179" s="15" t="n">
        <f aca="false">Q179-$G$2+$I$2</f>
        <v>45600.1745145895</v>
      </c>
      <c r="S179" s="42" t="n">
        <f aca="false">R179/$K$2</f>
        <v>105.258701155509</v>
      </c>
      <c r="T179" s="43" t="n">
        <f aca="false">S179-$M$2</f>
        <v>0.00040283133171215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-0.018458366394043</v>
      </c>
      <c r="C180" s="25" t="n">
        <f aca="false">IF(T179&gt;0,D179,C179)</f>
        <v>-0.0184576511383057</v>
      </c>
      <c r="D180" s="41" t="n">
        <f aca="false">(B180+C180)/2</f>
        <v>-0.0184580087661743</v>
      </c>
      <c r="E180" s="15" t="n">
        <f aca="false">$C$2*(1+IF(E$3&lt;=$O$2,$D180,$D180-($D180-$I$157)*MIN(E$3-$O$2,$Q$2)/$Q$2))</f>
        <v>7685.47379136086</v>
      </c>
      <c r="F180" s="15" t="n">
        <f aca="false">E180*(1+IF(F$3&lt;=$O$2,$D180,$D180-($D180-$I$157)*MIN(F$3-$O$2,$Q$2)/$Q$2))</f>
        <v>7543.61524874771</v>
      </c>
      <c r="G180" s="15" t="n">
        <f aca="false">F180*(1+IF(G$3&lt;=$O$2,$D180,$D180-($D180-$I$157)*MIN(G$3-$O$2,$Q$2)/$Q$2))</f>
        <v>7404.37513235768</v>
      </c>
      <c r="H180" s="15" t="n">
        <f aca="false">G180*(1+IF(H$3&lt;=$O$2,$D180,$D180-($D180-$I$157)*MIN(H$3-$O$2,$Q$2)/$Q$2))</f>
        <v>7267.70511125658</v>
      </c>
      <c r="I180" s="15" t="n">
        <f aca="false">H180*(1+IF(I$3&lt;=$O$2,$D180,$D180-($D180-$I$157)*MIN(I$3-$O$2,$Q$2)/$Q$2))</f>
        <v>7133.55774660304</v>
      </c>
      <c r="J180" s="15" t="n">
        <f aca="false">I180*(1+IF(J$3&lt;=$O$2,$D180,$D180-($D180-$I$157)*MIN(J$3-$O$2,$Q$2)/$Q$2))</f>
        <v>7082.86378180537</v>
      </c>
      <c r="K180" s="15" t="n">
        <f aca="false">J180*(1+IF(K$3&lt;=$O$2,$D180,$D180-($D180-$I$157)*MIN(K$3-$O$2,$Q$2)/$Q$2))</f>
        <v>7112.93191787812</v>
      </c>
      <c r="L180" s="15" t="n">
        <f aca="false">K180*(1+IF(L$3&lt;=$O$2,$D180,$D180-($D180-$I$157)*MIN(L$3-$O$2,$Q$2)/$Q$2))</f>
        <v>7223.8708694736</v>
      </c>
      <c r="M180" s="15" t="n">
        <f aca="false">L180*(1+IF(M$3&lt;=$O$2,$D180,$D180-($D180-$I$157)*MIN(M$3-$O$2,$Q$2)/$Q$2))</f>
        <v>7418.54261854738</v>
      </c>
      <c r="N180" s="15" t="n">
        <f aca="false">M180*(1+IF(N$3&lt;=$O$2,$D180,$D180-($D180-$I$157)*MIN(N$3-$O$2,$Q$2)/$Q$2))</f>
        <v>7702.67280083774</v>
      </c>
      <c r="O180" s="15" t="n">
        <f aca="false">SUMPRODUCT(E180:N180,1/(1+$F$157)^$E$3:$N$3)*$E$2</f>
        <v>14593.971721908</v>
      </c>
      <c r="P180" s="15" t="n">
        <f aca="false">N180*$E$2*(1+$I$157)/($F$157-$I$157)/(1+$F$157)^$N$3</f>
        <v>33523.0947444905</v>
      </c>
      <c r="Q180" s="15" t="n">
        <f aca="false">O180+P180</f>
        <v>48117.0664663985</v>
      </c>
      <c r="R180" s="15" t="n">
        <f aca="false">Q180-$G$2+$I$2</f>
        <v>45600.0664663985</v>
      </c>
      <c r="S180" s="42" t="n">
        <f aca="false">R180/$K$2</f>
        <v>105.2584517483</v>
      </c>
      <c r="T180" s="43" t="n">
        <f aca="false">S180-$M$2</f>
        <v>0.000153424122871115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-0.018458366394043</v>
      </c>
      <c r="C181" s="25" t="n">
        <f aca="false">IF(T180&gt;0,D180,C180)</f>
        <v>-0.0184580087661743</v>
      </c>
      <c r="D181" s="41" t="n">
        <f aca="false">(B181+C181)/2</f>
        <v>-0.0184581875801086</v>
      </c>
      <c r="E181" s="15" t="n">
        <f aca="false">$C$2*(1+IF(E$3&lt;=$O$2,$D181,$D181-($D181-$I$157)*MIN(E$3-$O$2,$Q$2)/$Q$2))</f>
        <v>7685.47239124775</v>
      </c>
      <c r="F181" s="15" t="n">
        <f aca="false">E181*(1+IF(F$3&lt;=$O$2,$D181,$D181-($D181-$I$157)*MIN(F$3-$O$2,$Q$2)/$Q$2))</f>
        <v>7543.61250020835</v>
      </c>
      <c r="G181" s="15" t="n">
        <f aca="false">F181*(1+IF(G$3&lt;=$O$2,$D181,$D181-($D181-$I$157)*MIN(G$3-$O$2,$Q$2)/$Q$2))</f>
        <v>7404.37108564786</v>
      </c>
      <c r="H181" s="15" t="n">
        <f aca="false">G181*(1+IF(H$3&lt;=$O$2,$D181,$D181-($D181-$I$157)*MIN(H$3-$O$2,$Q$2)/$Q$2))</f>
        <v>7267.69981523623</v>
      </c>
      <c r="I181" s="15" t="n">
        <f aca="false">H181*(1+IF(I$3&lt;=$O$2,$D181,$D181-($D181-$I$157)*MIN(I$3-$O$2,$Q$2)/$Q$2))</f>
        <v>7133.55124877068</v>
      </c>
      <c r="J181" s="15" t="n">
        <f aca="false">I181*(1+IF(J$3&lt;=$O$2,$D181,$D181-($D181-$I$157)*MIN(J$3-$O$2,$Q$2)/$Q$2))</f>
        <v>7082.85630968657</v>
      </c>
      <c r="K181" s="15" t="n">
        <f aca="false">J181*(1+IF(K$3&lt;=$O$2,$D181,$D181-($D181-$I$157)*MIN(K$3-$O$2,$Q$2)/$Q$2))</f>
        <v>7112.92365413067</v>
      </c>
      <c r="L181" s="15" t="n">
        <f aca="false">K181*(1+IF(L$3&lt;=$O$2,$D181,$D181-($D181-$I$157)*MIN(L$3-$O$2,$Q$2)/$Q$2))</f>
        <v>7223.86196808222</v>
      </c>
      <c r="M181" s="15" t="n">
        <f aca="false">L181*(1+IF(M$3&lt;=$O$2,$D181,$D181-($D181-$I$157)*MIN(M$3-$O$2,$Q$2)/$Q$2))</f>
        <v>7418.53321893233</v>
      </c>
      <c r="N181" s="15" t="n">
        <f aca="false">M181*(1+IF(N$3&lt;=$O$2,$D181,$D181-($D181-$I$157)*MIN(N$3-$O$2,$Q$2)/$Q$2))</f>
        <v>7702.66304121743</v>
      </c>
      <c r="O181" s="15" t="n">
        <f aca="false">SUMPRODUCT(E181:N181,1/(1+$F$157)^$E$3:$N$3)*$E$2</f>
        <v>14593.9601731111</v>
      </c>
      <c r="P181" s="15" t="n">
        <f aca="false">N181*$E$2*(1+$I$157)/($F$157-$I$157)/(1+$F$157)^$N$3</f>
        <v>33523.0522692764</v>
      </c>
      <c r="Q181" s="15" t="n">
        <f aca="false">O181+P181</f>
        <v>48117.0124423875</v>
      </c>
      <c r="R181" s="15" t="n">
        <f aca="false">Q181-$G$2+$I$2</f>
        <v>45600.0124423875</v>
      </c>
      <c r="S181" s="42" t="n">
        <f aca="false">R181/$K$2</f>
        <v>105.258327044891</v>
      </c>
      <c r="T181" s="43" t="n">
        <f aca="false">S181-$M$2</f>
        <v>2.87207135016843E-005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-0.018458366394043</v>
      </c>
      <c r="C182" s="25" t="n">
        <f aca="false">IF(T181&gt;0,D181,C181)</f>
        <v>-0.0184581875801086</v>
      </c>
      <c r="D182" s="41" t="n">
        <f aca="false">(B182+C182)/2</f>
        <v>-0.0184582769870758</v>
      </c>
      <c r="E182" s="15" t="n">
        <f aca="false">$C$2*(1+IF(E$3&lt;=$O$2,$D182,$D182-($D182-$I$157)*MIN(E$3-$O$2,$Q$2)/$Q$2))</f>
        <v>7685.4716911912</v>
      </c>
      <c r="F182" s="15" t="n">
        <f aca="false">E182*(1+IF(F$3&lt;=$O$2,$D182,$D182-($D182-$I$157)*MIN(F$3-$O$2,$Q$2)/$Q$2))</f>
        <v>7543.61112593886</v>
      </c>
      <c r="G182" s="15" t="n">
        <f aca="false">F182*(1+IF(G$3&lt;=$O$2,$D182,$D182-($D182-$I$157)*MIN(G$3-$O$2,$Q$2)/$Q$2))</f>
        <v>7404.36906229349</v>
      </c>
      <c r="H182" s="15" t="n">
        <f aca="false">G182*(1+IF(H$3&lt;=$O$2,$D182,$D182-($D182-$I$157)*MIN(H$3-$O$2,$Q$2)/$Q$2))</f>
        <v>7267.69716722715</v>
      </c>
      <c r="I182" s="15" t="n">
        <f aca="false">H182*(1+IF(I$3&lt;=$O$2,$D182,$D182-($D182-$I$157)*MIN(I$3-$O$2,$Q$2)/$Q$2))</f>
        <v>7133.54799985628</v>
      </c>
      <c r="J182" s="15" t="n">
        <f aca="false">I182*(1+IF(J$3&lt;=$O$2,$D182,$D182-($D182-$I$157)*MIN(J$3-$O$2,$Q$2)/$Q$2))</f>
        <v>7082.85257362962</v>
      </c>
      <c r="K182" s="15" t="n">
        <f aca="false">J182*(1+IF(K$3&lt;=$O$2,$D182,$D182-($D182-$I$157)*MIN(K$3-$O$2,$Q$2)/$Q$2))</f>
        <v>7112.91952226002</v>
      </c>
      <c r="L182" s="15" t="n">
        <f aca="false">K182*(1+IF(L$3&lt;=$O$2,$D182,$D182-($D182-$I$157)*MIN(L$3-$O$2,$Q$2)/$Q$2))</f>
        <v>7223.85751739009</v>
      </c>
      <c r="M182" s="15" t="n">
        <f aca="false">L182*(1+IF(M$3&lt;=$O$2,$D182,$D182-($D182-$I$157)*MIN(M$3-$O$2,$Q$2)/$Q$2))</f>
        <v>7418.52851912869</v>
      </c>
      <c r="N182" s="15" t="n">
        <f aca="false">M182*(1+IF(N$3&lt;=$O$2,$D182,$D182-($D182-$I$157)*MIN(N$3-$O$2,$Q$2)/$Q$2))</f>
        <v>7702.65816141132</v>
      </c>
      <c r="O182" s="15" t="n">
        <f aca="false">SUMPRODUCT(E182:N182,1/(1+$F$157)^$E$3:$N$3)*$E$2</f>
        <v>14593.9543987162</v>
      </c>
      <c r="P182" s="15" t="n">
        <f aca="false">N182*$E$2*(1+$I$157)/($F$157-$I$157)/(1+$F$157)^$N$3</f>
        <v>33523.031031687</v>
      </c>
      <c r="Q182" s="15" t="n">
        <f aca="false">O182+P182</f>
        <v>48116.9854304031</v>
      </c>
      <c r="R182" s="15" t="n">
        <f aca="false">Q182-$G$2+$I$2</f>
        <v>45599.9854304031</v>
      </c>
      <c r="S182" s="42" t="n">
        <f aca="false">R182/$K$2</f>
        <v>105.258264693235</v>
      </c>
      <c r="T182" s="43" t="n">
        <f aca="false">S182-$M$2</f>
        <v>-3.36309424540104E-005</v>
      </c>
    </row>
    <row r="184" customFormat="false" ht="15" hidden="false" customHeight="false" outlineLevel="0" collapsed="false">
      <c r="A184" s="38" t="s">
        <v>178</v>
      </c>
      <c r="E184" s="5" t="s">
        <v>11</v>
      </c>
      <c r="F184" s="12" t="n">
        <f aca="false">Sensitivity!$B$11</f>
        <v>0.0771529104257703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153</v>
      </c>
      <c r="B185" s="28" t="s">
        <v>154</v>
      </c>
      <c r="C185" s="28" t="s">
        <v>155</v>
      </c>
      <c r="D185" s="28" t="s">
        <v>156</v>
      </c>
      <c r="E185" s="28" t="s">
        <v>157</v>
      </c>
      <c r="F185" s="28" t="s">
        <v>158</v>
      </c>
      <c r="G185" s="28" t="s">
        <v>159</v>
      </c>
      <c r="H185" s="28" t="s">
        <v>160</v>
      </c>
      <c r="I185" s="28" t="s">
        <v>161</v>
      </c>
      <c r="J185" s="28" t="s">
        <v>162</v>
      </c>
      <c r="K185" s="28" t="s">
        <v>163</v>
      </c>
      <c r="L185" s="28" t="s">
        <v>164</v>
      </c>
      <c r="M185" s="28" t="s">
        <v>165</v>
      </c>
      <c r="N185" s="28" t="s">
        <v>166</v>
      </c>
      <c r="O185" s="28" t="s">
        <v>167</v>
      </c>
      <c r="P185" s="28" t="s">
        <v>168</v>
      </c>
      <c r="Q185" s="28" t="s">
        <v>169</v>
      </c>
      <c r="R185" s="28" t="s">
        <v>170</v>
      </c>
      <c r="S185" s="28" t="s">
        <v>171</v>
      </c>
      <c r="T185" s="28" t="s">
        <v>172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9787.5</v>
      </c>
      <c r="F186" s="15" t="n">
        <f aca="false">E186*(1+IF(F$3&lt;=$O$2,$D186,$D186-($D186-$I$184)*MIN(F$3-$O$2,$Q$2)/$Q$2))</f>
        <v>12234.375</v>
      </c>
      <c r="G186" s="15" t="n">
        <f aca="false">F186*(1+IF(G$3&lt;=$O$2,$D186,$D186-($D186-$I$184)*MIN(G$3-$O$2,$Q$2)/$Q$2))</f>
        <v>15292.96875</v>
      </c>
      <c r="H186" s="15" t="n">
        <f aca="false">G186*(1+IF(H$3&lt;=$O$2,$D186,$D186-($D186-$I$184)*MIN(H$3-$O$2,$Q$2)/$Q$2))</f>
        <v>19116.2109375</v>
      </c>
      <c r="I186" s="15" t="n">
        <f aca="false">H186*(1+IF(I$3&lt;=$O$2,$D186,$D186-($D186-$I$184)*MIN(I$3-$O$2,$Q$2)/$Q$2))</f>
        <v>23895.263671875</v>
      </c>
      <c r="J186" s="15" t="n">
        <f aca="false">I186*(1+IF(J$3&lt;=$O$2,$D186,$D186-($D186-$I$184)*MIN(J$3-$O$2,$Q$2)/$Q$2))</f>
        <v>28761.7730712891</v>
      </c>
      <c r="K186" s="15" t="n">
        <f aca="false">J186*(1+IF(K$3&lt;=$O$2,$D186,$D186-($D186-$I$184)*MIN(K$3-$O$2,$Q$2)/$Q$2))</f>
        <v>33286.5752108643</v>
      </c>
      <c r="L186" s="15" t="n">
        <f aca="false">K186*(1+IF(L$3&lt;=$O$2,$D186,$D186-($D186-$I$184)*MIN(L$3-$O$2,$Q$2)/$Q$2))</f>
        <v>36980.719327766</v>
      </c>
      <c r="M186" s="15" t="n">
        <f aca="false">L186*(1+IF(M$3&lt;=$O$2,$D186,$D186-($D186-$I$184)*MIN(M$3-$O$2,$Q$2)/$Q$2))</f>
        <v>39371.1530251128</v>
      </c>
      <c r="N186" s="15" t="n">
        <f aca="false">M186*(1+IF(N$3&lt;=$O$2,$D186,$D186-($D186-$I$184)*MIN(N$3-$O$2,$Q$2)/$Q$2))</f>
        <v>40091.6451254723</v>
      </c>
      <c r="O186" s="15" t="n">
        <f aca="false">SUMPRODUCT(E186:N186,1/(1+$F$184)^$E$3:$N$3)*$E$2</f>
        <v>45678.5302541756</v>
      </c>
      <c r="P186" s="15" t="n">
        <f aca="false">N186*$E$2*(1+$I$184)/($F$184-$I$184)/(1+$F$184)^$N$3</f>
        <v>93957.4421554364</v>
      </c>
      <c r="Q186" s="15" t="n">
        <f aca="false">O186+P186</f>
        <v>139635.972409612</v>
      </c>
      <c r="R186" s="15" t="n">
        <f aca="false">Q186-$G$2+$I$2</f>
        <v>137118.972409612</v>
      </c>
      <c r="S186" s="42" t="n">
        <f aca="false">R186/$K$2</f>
        <v>316.511177714815</v>
      </c>
      <c r="T186" s="43" t="n">
        <f aca="false">S186-$M$2</f>
        <v>211.252879390637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6851.25</v>
      </c>
      <c r="F187" s="15" t="n">
        <f aca="false">E187*(1+IF(F$3&lt;=$O$2,$D187,$D187-($D187-$I$184)*MIN(F$3-$O$2,$Q$2)/$Q$2))</f>
        <v>5994.84375</v>
      </c>
      <c r="G187" s="15" t="n">
        <f aca="false">F187*(1+IF(G$3&lt;=$O$2,$D187,$D187-($D187-$I$184)*MIN(G$3-$O$2,$Q$2)/$Q$2))</f>
        <v>5245.48828125</v>
      </c>
      <c r="H187" s="15" t="n">
        <f aca="false">G187*(1+IF(H$3&lt;=$O$2,$D187,$D187-($D187-$I$184)*MIN(H$3-$O$2,$Q$2)/$Q$2))</f>
        <v>4589.80224609375</v>
      </c>
      <c r="I187" s="15" t="n">
        <f aca="false">H187*(1+IF(I$3&lt;=$O$2,$D187,$D187-($D187-$I$184)*MIN(I$3-$O$2,$Q$2)/$Q$2))</f>
        <v>4016.07696533203</v>
      </c>
      <c r="J187" s="15" t="n">
        <f aca="false">I187*(1+IF(J$3&lt;=$O$2,$D187,$D187-($D187-$I$184)*MIN(J$3-$O$2,$Q$2)/$Q$2))</f>
        <v>3629.16811049194</v>
      </c>
      <c r="K187" s="15" t="n">
        <f aca="false">J187*(1+IF(K$3&lt;=$O$2,$D187,$D187-($D187-$I$184)*MIN(K$3-$O$2,$Q$2)/$Q$2))</f>
        <v>3383.54601277385</v>
      </c>
      <c r="L187" s="15" t="n">
        <f aca="false">K187*(1+IF(L$3&lt;=$O$2,$D187,$D187-($D187-$I$184)*MIN(L$3-$O$2,$Q$2)/$Q$2))</f>
        <v>3251.52004735541</v>
      </c>
      <c r="M187" s="15" t="n">
        <f aca="false">L187*(1+IF(M$3&lt;=$O$2,$D187,$D187-($D187-$I$184)*MIN(M$3-$O$2,$Q$2)/$Q$2))</f>
        <v>3217.83429966481</v>
      </c>
      <c r="N187" s="15" t="n">
        <f aca="false">M187*(1+IF(N$3&lt;=$O$2,$D187,$D187-($D187-$I$184)*MIN(N$3-$O$2,$Q$2)/$Q$2))</f>
        <v>3276.72066734868</v>
      </c>
      <c r="O187" s="15" t="n">
        <f aca="false">SUMPRODUCT(E187:N187,1/(1+$F$184)^$E$3:$N$3)*$E$2</f>
        <v>8896.94924594686</v>
      </c>
      <c r="P187" s="15" t="n">
        <f aca="false">N187*$E$2*(1+$I$184)/($F$184-$I$184)/(1+$F$184)^$N$3</f>
        <v>7679.21325249706</v>
      </c>
      <c r="Q187" s="15" t="n">
        <f aca="false">O187+P187</f>
        <v>16576.1624984439</v>
      </c>
      <c r="R187" s="15" t="n">
        <f aca="false">Q187-$G$2+$I$2</f>
        <v>14059.1624984439</v>
      </c>
      <c r="S187" s="42" t="n">
        <f aca="false">R187/$K$2</f>
        <v>32.4527087817827</v>
      </c>
      <c r="T187" s="43" t="n">
        <f aca="false">S187-$M$2</f>
        <v>-72.8055895423944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8319.375</v>
      </c>
      <c r="F188" s="15" t="n">
        <f aca="false">E188*(1+IF(F$3&lt;=$O$2,$D188,$D188-($D188-$I$184)*MIN(F$3-$O$2,$Q$2)/$Q$2))</f>
        <v>8839.3359375</v>
      </c>
      <c r="G188" s="15" t="n">
        <f aca="false">F188*(1+IF(G$3&lt;=$O$2,$D188,$D188-($D188-$I$184)*MIN(G$3-$O$2,$Q$2)/$Q$2))</f>
        <v>9391.79443359375</v>
      </c>
      <c r="H188" s="15" t="n">
        <f aca="false">G188*(1+IF(H$3&lt;=$O$2,$D188,$D188-($D188-$I$184)*MIN(H$3-$O$2,$Q$2)/$Q$2))</f>
        <v>9978.78158569336</v>
      </c>
      <c r="I188" s="15" t="n">
        <f aca="false">H188*(1+IF(I$3&lt;=$O$2,$D188,$D188-($D188-$I$184)*MIN(I$3-$O$2,$Q$2)/$Q$2))</f>
        <v>10602.4554347992</v>
      </c>
      <c r="J188" s="15" t="n">
        <f aca="false">I188*(1+IF(J$3&lt;=$O$2,$D188,$D188-($D188-$I$184)*MIN(J$3-$O$2,$Q$2)/$Q$2))</f>
        <v>11171.3831934305</v>
      </c>
      <c r="K188" s="15" t="n">
        <f aca="false">J188*(1+IF(K$3&lt;=$O$2,$D188,$D188-($D188-$I$184)*MIN(K$3-$O$2,$Q$2)/$Q$2))</f>
        <v>11672.0845881601</v>
      </c>
      <c r="L188" s="15" t="n">
        <f aca="false">K188*(1+IF(L$3&lt;=$O$2,$D188,$D188-($D188-$I$184)*MIN(L$3-$O$2,$Q$2)/$Q$2))</f>
        <v>12092.0461916421</v>
      </c>
      <c r="M188" s="15" t="n">
        <f aca="false">L188*(1+IF(M$3&lt;=$O$2,$D188,$D188-($D188-$I$184)*MIN(M$3-$O$2,$Q$2)/$Q$2))</f>
        <v>12420.2243252832</v>
      </c>
      <c r="N188" s="15" t="n">
        <f aca="false">M188*(1+IF(N$3&lt;=$O$2,$D188,$D188-($D188-$I$184)*MIN(N$3-$O$2,$Q$2)/$Q$2))</f>
        <v>12647.5144304359</v>
      </c>
      <c r="O188" s="15" t="n">
        <f aca="false">SUMPRODUCT(E188:N188,1/(1+$F$184)^$E$3:$N$3)*$E$2</f>
        <v>20141.396769487</v>
      </c>
      <c r="P188" s="15" t="n">
        <f aca="false">N188*$E$2*(1+$I$184)/($F$184-$I$184)/(1+$F$184)^$N$3</f>
        <v>29640.2929285813</v>
      </c>
      <c r="Q188" s="15" t="n">
        <f aca="false">O188+P188</f>
        <v>49781.6896980683</v>
      </c>
      <c r="R188" s="15" t="n">
        <f aca="false">Q188-$G$2+$I$2</f>
        <v>47264.6896980683</v>
      </c>
      <c r="S188" s="42" t="n">
        <f aca="false">R188/$K$2</f>
        <v>109.100894921907</v>
      </c>
      <c r="T188" s="43" t="n">
        <f aca="false">S188-$M$2</f>
        <v>3.8425965977294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7585.3125</v>
      </c>
      <c r="F189" s="15" t="n">
        <f aca="false">E189*(1+IF(F$3&lt;=$O$2,$D189,$D189-($D189-$I$184)*MIN(F$3-$O$2,$Q$2)/$Q$2))</f>
        <v>7348.271484375</v>
      </c>
      <c r="G189" s="15" t="n">
        <f aca="false">F189*(1+IF(G$3&lt;=$O$2,$D189,$D189-($D189-$I$184)*MIN(G$3-$O$2,$Q$2)/$Q$2))</f>
        <v>7118.63800048828</v>
      </c>
      <c r="H189" s="15" t="n">
        <f aca="false">G189*(1+IF(H$3&lt;=$O$2,$D189,$D189-($D189-$I$184)*MIN(H$3-$O$2,$Q$2)/$Q$2))</f>
        <v>6896.18056297302</v>
      </c>
      <c r="I189" s="15" t="n">
        <f aca="false">H189*(1+IF(I$3&lt;=$O$2,$D189,$D189-($D189-$I$184)*MIN(I$3-$O$2,$Q$2)/$Q$2))</f>
        <v>6680.67492038012</v>
      </c>
      <c r="J189" s="15" t="n">
        <f aca="false">I189*(1+IF(J$3&lt;=$O$2,$D189,$D189-($D189-$I$184)*MIN(J$3-$O$2,$Q$2)/$Q$2))</f>
        <v>6538.1093175792</v>
      </c>
      <c r="K189" s="15" t="n">
        <f aca="false">J189*(1+IF(K$3&lt;=$O$2,$D189,$D189-($D189-$I$184)*MIN(K$3-$O$2,$Q$2)/$Q$2))</f>
        <v>6463.37872807927</v>
      </c>
      <c r="L189" s="15" t="n">
        <f aca="false">K189*(1+IF(L$3&lt;=$O$2,$D189,$D189-($D189-$I$184)*MIN(L$3-$O$2,$Q$2)/$Q$2))</f>
        <v>6453.55439241259</v>
      </c>
      <c r="M189" s="15" t="n">
        <f aca="false">L189*(1+IF(M$3&lt;=$O$2,$D189,$D189-($D189-$I$184)*MIN(M$3-$O$2,$Q$2)/$Q$2))</f>
        <v>6507.69971376493</v>
      </c>
      <c r="N189" s="15" t="n">
        <f aca="false">M189*(1+IF(N$3&lt;=$O$2,$D189,$D189-($D189-$I$184)*MIN(N$3-$O$2,$Q$2)/$Q$2))</f>
        <v>6626.79061852683</v>
      </c>
      <c r="O189" s="15" t="n">
        <f aca="false">SUMPRODUCT(E189:N189,1/(1+$F$184)^$E$3:$N$3)*$E$2</f>
        <v>13350.1080921895</v>
      </c>
      <c r="P189" s="15" t="n">
        <f aca="false">N189*$E$2*(1+$I$184)/($F$184-$I$184)/(1+$F$184)^$N$3</f>
        <v>15530.3254398216</v>
      </c>
      <c r="Q189" s="15" t="n">
        <f aca="false">O189+P189</f>
        <v>28880.4335320111</v>
      </c>
      <c r="R189" s="15" t="n">
        <f aca="false">Q189-$G$2+$I$2</f>
        <v>26363.4335320111</v>
      </c>
      <c r="S189" s="42" t="n">
        <f aca="false">R189/$K$2</f>
        <v>60.8546085868868</v>
      </c>
      <c r="T189" s="43" t="n">
        <f aca="false">S189-$M$2</f>
        <v>-44.4036897372903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7952.34375</v>
      </c>
      <c r="F190" s="15" t="n">
        <f aca="false">E190*(1+IF(F$3&lt;=$O$2,$D190,$D190-($D190-$I$184)*MIN(F$3-$O$2,$Q$2)/$Q$2))</f>
        <v>8076.59912109375</v>
      </c>
      <c r="G190" s="15" t="n">
        <f aca="false">F190*(1+IF(G$3&lt;=$O$2,$D190,$D190-($D190-$I$184)*MIN(G$3-$O$2,$Q$2)/$Q$2))</f>
        <v>8202.79598236084</v>
      </c>
      <c r="H190" s="15" t="n">
        <f aca="false">G190*(1+IF(H$3&lt;=$O$2,$D190,$D190-($D190-$I$184)*MIN(H$3-$O$2,$Q$2)/$Q$2))</f>
        <v>8330.96466958523</v>
      </c>
      <c r="I190" s="15" t="n">
        <f aca="false">H190*(1+IF(I$3&lt;=$O$2,$D190,$D190-($D190-$I$184)*MIN(I$3-$O$2,$Q$2)/$Q$2))</f>
        <v>8461.1359925475</v>
      </c>
      <c r="J190" s="15" t="n">
        <f aca="false">I190*(1+IF(J$3&lt;=$O$2,$D190,$D190-($D190-$I$184)*MIN(J$3-$O$2,$Q$2)/$Q$2))</f>
        <v>8597.86795018707</v>
      </c>
      <c r="K190" s="15" t="n">
        <f aca="false">J190*(1+IF(K$3&lt;=$O$2,$D190,$D190-($D190-$I$184)*MIN(K$3-$O$2,$Q$2)/$Q$2))</f>
        <v>8741.40935561544</v>
      </c>
      <c r="L190" s="15" t="n">
        <f aca="false">K190*(1+IF(L$3&lt;=$O$2,$D190,$D190-($D190-$I$184)*MIN(L$3-$O$2,$Q$2)/$Q$2))</f>
        <v>8892.02383881269</v>
      </c>
      <c r="M190" s="15" t="n">
        <f aca="false">L190*(1+IF(M$3&lt;=$O$2,$D190,$D190-($D190-$I$184)*MIN(M$3-$O$2,$Q$2)/$Q$2))</f>
        <v>9049.9906423092</v>
      </c>
      <c r="N190" s="15" t="n">
        <f aca="false">M190*(1+IF(N$3&lt;=$O$2,$D190,$D190-($D190-$I$184)*MIN(N$3-$O$2,$Q$2)/$Q$2))</f>
        <v>9215.60547106346</v>
      </c>
      <c r="O190" s="15" t="n">
        <f aca="false">SUMPRODUCT(E190:N190,1/(1+$F$184)^$E$3:$N$3)*$E$2</f>
        <v>16392.1984290055</v>
      </c>
      <c r="P190" s="15" t="n">
        <f aca="false">N190*$E$2*(1+$I$184)/($F$184-$I$184)/(1+$F$184)^$N$3</f>
        <v>21597.3855716046</v>
      </c>
      <c r="Q190" s="15" t="n">
        <f aca="false">O190+P190</f>
        <v>37989.5840006101</v>
      </c>
      <c r="R190" s="15" t="n">
        <f aca="false">Q190-$G$2+$I$2</f>
        <v>35472.5840006101</v>
      </c>
      <c r="S190" s="42" t="n">
        <f aca="false">R190/$K$2</f>
        <v>81.881224321615</v>
      </c>
      <c r="T190" s="43" t="n">
        <f aca="false">S190-$M$2</f>
        <v>-23.3770740025621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41" t="n">
        <f aca="false">(B191+C191)/2</f>
        <v>0.0390625</v>
      </c>
      <c r="E191" s="15" t="n">
        <f aca="false">$C$2*(1+IF(E$3&lt;=$O$2,$D191,$D191-($D191-$I$184)*MIN(E$3-$O$2,$Q$2)/$Q$2))</f>
        <v>8135.859375</v>
      </c>
      <c r="F191" s="15" t="n">
        <f aca="false">E191*(1+IF(F$3&lt;=$O$2,$D191,$D191-($D191-$I$184)*MIN(F$3-$O$2,$Q$2)/$Q$2))</f>
        <v>8453.66638183594</v>
      </c>
      <c r="G191" s="15" t="n">
        <f aca="false">F191*(1+IF(G$3&lt;=$O$2,$D191,$D191-($D191-$I$184)*MIN(G$3-$O$2,$Q$2)/$Q$2))</f>
        <v>8783.8877248764</v>
      </c>
      <c r="H191" s="15" t="n">
        <f aca="false">G191*(1+IF(H$3&lt;=$O$2,$D191,$D191-($D191-$I$184)*MIN(H$3-$O$2,$Q$2)/$Q$2))</f>
        <v>9127.00833912939</v>
      </c>
      <c r="I191" s="15" t="n">
        <f aca="false">H191*(1+IF(I$3&lt;=$O$2,$D191,$D191-($D191-$I$184)*MIN(I$3-$O$2,$Q$2)/$Q$2))</f>
        <v>9483.53210237663</v>
      </c>
      <c r="J191" s="15" t="n">
        <f aca="false">I191*(1+IF(J$3&lt;=$O$2,$D191,$D191-($D191-$I$184)*MIN(J$3-$O$2,$Q$2)/$Q$2))</f>
        <v>9814.6022080706</v>
      </c>
      <c r="K191" s="15" t="n">
        <f aca="false">J191*(1+IF(K$3&lt;=$O$2,$D191,$D191-($D191-$I$184)*MIN(K$3-$O$2,$Q$2)/$Q$2))</f>
        <v>10116.4748354853</v>
      </c>
      <c r="L191" s="15" t="n">
        <f aca="false">K191*(1+IF(L$3&lt;=$O$2,$D191,$D191-($D191-$I$184)*MIN(L$3-$O$2,$Q$2)/$Q$2))</f>
        <v>10385.6236484834</v>
      </c>
      <c r="M191" s="15" t="n">
        <f aca="false">L191*(1+IF(M$3&lt;=$O$2,$D191,$D191-($D191-$I$184)*MIN(M$3-$O$2,$Q$2)/$Q$2))</f>
        <v>10618.806863451</v>
      </c>
      <c r="N191" s="15" t="n">
        <f aca="false">M191*(1+IF(N$3&lt;=$O$2,$D191,$D191-($D191-$I$184)*MIN(N$3-$O$2,$Q$2)/$Q$2))</f>
        <v>10813.1310290521</v>
      </c>
      <c r="O191" s="15" t="n">
        <f aca="false">SUMPRODUCT(E191:N191,1/(1+$F$184)^$E$3:$N$3)*$E$2</f>
        <v>18169.5313178207</v>
      </c>
      <c r="P191" s="15" t="n">
        <f aca="false">N191*$E$2*(1+$I$184)/($F$184-$I$184)/(1+$F$184)^$N$3</f>
        <v>25341.2931797059</v>
      </c>
      <c r="Q191" s="15" t="n">
        <f aca="false">O191+P191</f>
        <v>43510.8244975266</v>
      </c>
      <c r="R191" s="15" t="n">
        <f aca="false">Q191-$G$2+$I$2</f>
        <v>40993.8244975266</v>
      </c>
      <c r="S191" s="42" t="n">
        <f aca="false">R191/$K$2</f>
        <v>94.6258817633687</v>
      </c>
      <c r="T191" s="43" t="n">
        <f aca="false">S191-$M$2</f>
        <v>-10.6324165608084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0.0390625</v>
      </c>
      <c r="C192" s="25" t="n">
        <f aca="false">IF(T191&gt;0,D191,C191)</f>
        <v>0.0625</v>
      </c>
      <c r="D192" s="41" t="n">
        <f aca="false">(B192+C192)/2</f>
        <v>0.05078125</v>
      </c>
      <c r="E192" s="15" t="n">
        <f aca="false">$C$2*(1+IF(E$3&lt;=$O$2,$D192,$D192-($D192-$I$184)*MIN(E$3-$O$2,$Q$2)/$Q$2))</f>
        <v>8227.6171875</v>
      </c>
      <c r="F192" s="15" t="n">
        <f aca="false">E192*(1+IF(F$3&lt;=$O$2,$D192,$D192-($D192-$I$184)*MIN(F$3-$O$2,$Q$2)/$Q$2))</f>
        <v>8645.42587280273</v>
      </c>
      <c r="G192" s="15" t="n">
        <f aca="false">F192*(1+IF(G$3&lt;=$O$2,$D192,$D192-($D192-$I$184)*MIN(G$3-$O$2,$Q$2)/$Q$2))</f>
        <v>9084.451405406</v>
      </c>
      <c r="H192" s="15" t="n">
        <f aca="false">G192*(1+IF(H$3&lt;=$O$2,$D192,$D192-($D192-$I$184)*MIN(H$3-$O$2,$Q$2)/$Q$2))</f>
        <v>9545.77120333677</v>
      </c>
      <c r="I192" s="15" t="n">
        <f aca="false">H192*(1+IF(I$3&lt;=$O$2,$D192,$D192-($D192-$I$184)*MIN(I$3-$O$2,$Q$2)/$Q$2))</f>
        <v>10030.5173972562</v>
      </c>
      <c r="J192" s="15" t="n">
        <f aca="false">I192*(1+IF(J$3&lt;=$O$2,$D192,$D192-($D192-$I$184)*MIN(J$3-$O$2,$Q$2)/$Q$2))</f>
        <v>10474.7188601937</v>
      </c>
      <c r="K192" s="15" t="n">
        <f aca="false">J192*(1+IF(K$3&lt;=$O$2,$D192,$D192-($D192-$I$184)*MIN(K$3-$O$2,$Q$2)/$Q$2))</f>
        <v>10870.5453925219</v>
      </c>
      <c r="L192" s="15" t="n">
        <f aca="false">K192*(1+IF(L$3&lt;=$O$2,$D192,$D192-($D192-$I$184)*MIN(L$3-$O$2,$Q$2)/$Q$2))</f>
        <v>11210.7119342173</v>
      </c>
      <c r="M192" s="15" t="n">
        <f aca="false">L192*(1+IF(M$3&lt;=$O$2,$D192,$D192-($D192-$I$184)*MIN(M$3-$O$2,$Q$2)/$Q$2))</f>
        <v>11488.6955500162</v>
      </c>
      <c r="N192" s="15" t="n">
        <f aca="false">M192*(1+IF(N$3&lt;=$O$2,$D192,$D192-($D192-$I$184)*MIN(N$3-$O$2,$Q$2)/$Q$2))</f>
        <v>11698.9386785815</v>
      </c>
      <c r="O192" s="15" t="n">
        <f aca="false">SUMPRODUCT(E192:N192,1/(1+$F$184)^$E$3:$N$3)*$E$2</f>
        <v>19129.9533074907</v>
      </c>
      <c r="P192" s="15" t="n">
        <f aca="false">N192*$E$2*(1+$I$184)/($F$184-$I$184)/(1+$F$184)^$N$3</f>
        <v>27417.2424387353</v>
      </c>
      <c r="Q192" s="15" t="n">
        <f aca="false">O192+P192</f>
        <v>46547.195746226</v>
      </c>
      <c r="R192" s="15" t="n">
        <f aca="false">Q192-$G$2+$I$2</f>
        <v>44030.195746226</v>
      </c>
      <c r="S192" s="42" t="n">
        <f aca="false">R192/$K$2</f>
        <v>101.634725419477</v>
      </c>
      <c r="T192" s="43" t="n">
        <f aca="false">S192-$M$2</f>
        <v>-3.62357290469967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0.05078125</v>
      </c>
      <c r="C193" s="25" t="n">
        <f aca="false">IF(T192&gt;0,D192,C192)</f>
        <v>0.0625</v>
      </c>
      <c r="D193" s="41" t="n">
        <f aca="false">(B193+C193)/2</f>
        <v>0.056640625</v>
      </c>
      <c r="E193" s="15" t="n">
        <f aca="false">$C$2*(1+IF(E$3&lt;=$O$2,$D193,$D193-($D193-$I$184)*MIN(E$3-$O$2,$Q$2)/$Q$2))</f>
        <v>8273.49609375</v>
      </c>
      <c r="F193" s="15" t="n">
        <f aca="false">E193*(1+IF(F$3&lt;=$O$2,$D193,$D193-($D193-$I$184)*MIN(F$3-$O$2,$Q$2)/$Q$2))</f>
        <v>8742.11208343506</v>
      </c>
      <c r="G193" s="15" t="n">
        <f aca="false">F193*(1+IF(G$3&lt;=$O$2,$D193,$D193-($D193-$I$184)*MIN(G$3-$O$2,$Q$2)/$Q$2))</f>
        <v>9237.27077566087</v>
      </c>
      <c r="H193" s="15" t="n">
        <f aca="false">G193*(1+IF(H$3&lt;=$O$2,$D193,$D193-($D193-$I$184)*MIN(H$3-$O$2,$Q$2)/$Q$2))</f>
        <v>9760.47556568854</v>
      </c>
      <c r="I193" s="15" t="n">
        <f aca="false">H193*(1+IF(I$3&lt;=$O$2,$D193,$D193-($D193-$I$184)*MIN(I$3-$O$2,$Q$2)/$Q$2))</f>
        <v>10313.3150020264</v>
      </c>
      <c r="J193" s="15" t="n">
        <f aca="false">I193*(1+IF(J$3&lt;=$O$2,$D193,$D193-($D193-$I$184)*MIN(J$3-$O$2,$Q$2)/$Q$2))</f>
        <v>10818.3838209631</v>
      </c>
      <c r="K193" s="15" t="n">
        <f aca="false">J193*(1+IF(K$3&lt;=$O$2,$D193,$D193-($D193-$I$184)*MIN(K$3-$O$2,$Q$2)/$Q$2))</f>
        <v>11265.2304031981</v>
      </c>
      <c r="L193" s="15" t="n">
        <f aca="false">K193*(1+IF(L$3&lt;=$O$2,$D193,$D193-($D193-$I$184)*MIN(L$3-$O$2,$Q$2)/$Q$2))</f>
        <v>11644.1505093477</v>
      </c>
      <c r="M193" s="15" t="n">
        <f aca="false">L193*(1+IF(M$3&lt;=$O$2,$D193,$D193-($D193-$I$184)*MIN(M$3-$O$2,$Q$2)/$Q$2))</f>
        <v>11946.5272652932</v>
      </c>
      <c r="N193" s="15" t="n">
        <f aca="false">M193*(1+IF(N$3&lt;=$O$2,$D193,$D193-($D193-$I$184)*MIN(N$3-$O$2,$Q$2)/$Q$2))</f>
        <v>12165.1487142481</v>
      </c>
      <c r="O193" s="15" t="n">
        <f aca="false">SUMPRODUCT(E193:N193,1/(1+$F$184)^$E$3:$N$3)*$E$2</f>
        <v>19629.142524638</v>
      </c>
      <c r="P193" s="15" t="n">
        <f aca="false">N193*$E$2*(1+$I$184)/($F$184-$I$184)/(1+$F$184)^$N$3</f>
        <v>28509.8367266808</v>
      </c>
      <c r="Q193" s="15" t="n">
        <f aca="false">O193+P193</f>
        <v>48138.9792513188</v>
      </c>
      <c r="R193" s="15" t="n">
        <f aca="false">Q193-$G$2+$I$2</f>
        <v>45621.9792513188</v>
      </c>
      <c r="S193" s="42" t="n">
        <f aca="false">R193/$K$2</f>
        <v>105.309032942428</v>
      </c>
      <c r="T193" s="43" t="n">
        <f aca="false">S193-$M$2</f>
        <v>0.0507346182512833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0.05078125</v>
      </c>
      <c r="C194" s="25" t="n">
        <f aca="false">IF(T193&gt;0,D193,C193)</f>
        <v>0.056640625</v>
      </c>
      <c r="D194" s="41" t="n">
        <f aca="false">(B194+C194)/2</f>
        <v>0.0537109375</v>
      </c>
      <c r="E194" s="15" t="n">
        <f aca="false">$C$2*(1+IF(E$3&lt;=$O$2,$D194,$D194-($D194-$I$184)*MIN(E$3-$O$2,$Q$2)/$Q$2))</f>
        <v>8250.556640625</v>
      </c>
      <c r="F194" s="15" t="n">
        <f aca="false">E194*(1+IF(F$3&lt;=$O$2,$D194,$D194-($D194-$I$184)*MIN(F$3-$O$2,$Q$2)/$Q$2))</f>
        <v>8693.70177268982</v>
      </c>
      <c r="G194" s="15" t="n">
        <f aca="false">F194*(1+IF(G$3&lt;=$O$2,$D194,$D194-($D194-$I$184)*MIN(G$3-$O$2,$Q$2)/$Q$2))</f>
        <v>9160.6486452464</v>
      </c>
      <c r="H194" s="15" t="n">
        <f aca="false">G194*(1+IF(H$3&lt;=$O$2,$D194,$D194-($D194-$I$184)*MIN(H$3-$O$2,$Q$2)/$Q$2))</f>
        <v>9652.67567209069</v>
      </c>
      <c r="I194" s="15" t="n">
        <f aca="false">H194*(1+IF(I$3&lt;=$O$2,$D194,$D194-($D194-$I$184)*MIN(I$3-$O$2,$Q$2)/$Q$2))</f>
        <v>10171.1299318221</v>
      </c>
      <c r="J194" s="15" t="n">
        <f aca="false">I194*(1+IF(J$3&lt;=$O$2,$D194,$D194-($D194-$I$184)*MIN(J$3-$O$2,$Q$2)/$Q$2))</f>
        <v>10645.3970066306</v>
      </c>
      <c r="K194" s="15" t="n">
        <f aca="false">J194*(1+IF(K$3&lt;=$O$2,$D194,$D194-($D194-$I$184)*MIN(K$3-$O$2,$Q$2)/$Q$2))</f>
        <v>11066.3858646906</v>
      </c>
      <c r="L194" s="15" t="n">
        <f aca="false">K194*(1+IF(L$3&lt;=$O$2,$D194,$D194-($D194-$I$184)*MIN(L$3-$O$2,$Q$2)/$Q$2))</f>
        <v>11425.6491652966</v>
      </c>
      <c r="M194" s="15" t="n">
        <f aca="false">L194*(1+IF(M$3&lt;=$O$2,$D194,$D194-($D194-$I$184)*MIN(M$3-$O$2,$Q$2)/$Q$2))</f>
        <v>11715.6571347194</v>
      </c>
      <c r="N194" s="15" t="n">
        <f aca="false">M194*(1+IF(N$3&lt;=$O$2,$D194,$D194-($D194-$I$184)*MIN(N$3-$O$2,$Q$2)/$Q$2))</f>
        <v>11930.0536602848</v>
      </c>
      <c r="O194" s="15" t="n">
        <f aca="false">SUMPRODUCT(E194:N194,1/(1+$F$184)^$E$3:$N$3)*$E$2</f>
        <v>19377.9343951253</v>
      </c>
      <c r="P194" s="15" t="n">
        <f aca="false">N194*$E$2*(1+$I$184)/($F$184-$I$184)/(1+$F$184)^$N$3</f>
        <v>27958.8758004166</v>
      </c>
      <c r="Q194" s="15" t="n">
        <f aca="false">O194+P194</f>
        <v>47336.8101955419</v>
      </c>
      <c r="R194" s="15" t="n">
        <f aca="false">Q194-$G$2+$I$2</f>
        <v>44819.8101955419</v>
      </c>
      <c r="S194" s="42" t="n">
        <f aca="false">R194/$K$2</f>
        <v>103.457389306915</v>
      </c>
      <c r="T194" s="43" t="n">
        <f aca="false">S194-$M$2</f>
        <v>-1.80090901726176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0.0537109375</v>
      </c>
      <c r="C195" s="25" t="n">
        <f aca="false">IF(T194&gt;0,D194,C194)</f>
        <v>0.056640625</v>
      </c>
      <c r="D195" s="41" t="n">
        <f aca="false">(B195+C195)/2</f>
        <v>0.05517578125</v>
      </c>
      <c r="E195" s="15" t="n">
        <f aca="false">$C$2*(1+IF(E$3&lt;=$O$2,$D195,$D195-($D195-$I$184)*MIN(E$3-$O$2,$Q$2)/$Q$2))</f>
        <v>8262.0263671875</v>
      </c>
      <c r="F195" s="15" t="n">
        <f aca="false">E195*(1+IF(F$3&lt;=$O$2,$D195,$D195-($D195-$I$184)*MIN(F$3-$O$2,$Q$2)/$Q$2))</f>
        <v>8717.89012670517</v>
      </c>
      <c r="G195" s="15" t="n">
        <f aca="false">F195*(1+IF(G$3&lt;=$O$2,$D195,$D195-($D195-$I$184)*MIN(G$3-$O$2,$Q$2)/$Q$2))</f>
        <v>9198.90652529779</v>
      </c>
      <c r="H195" s="15" t="n">
        <f aca="false">G195*(1+IF(H$3&lt;=$O$2,$D195,$D195-($D195-$I$184)*MIN(H$3-$O$2,$Q$2)/$Q$2))</f>
        <v>9706.46337947682</v>
      </c>
      <c r="I195" s="15" t="n">
        <f aca="false">H195*(1+IF(I$3&lt;=$O$2,$D195,$D195-($D195-$I$184)*MIN(I$3-$O$2,$Q$2)/$Q$2))</f>
        <v>10242.025079614</v>
      </c>
      <c r="J195" s="15" t="n">
        <f aca="false">I195*(1+IF(J$3&lt;=$O$2,$D195,$D195-($D195-$I$184)*MIN(J$3-$O$2,$Q$2)/$Q$2))</f>
        <v>10731.6002796852</v>
      </c>
      <c r="K195" s="15" t="n">
        <f aca="false">J195*(1+IF(K$3&lt;=$O$2,$D195,$D195-($D195-$I$184)*MIN(K$3-$O$2,$Q$2)/$Q$2))</f>
        <v>11165.4302514291</v>
      </c>
      <c r="L195" s="15" t="n">
        <f aca="false">K195*(1+IF(L$3&lt;=$O$2,$D195,$D195-($D195-$I$184)*MIN(L$3-$O$2,$Q$2)/$Q$2))</f>
        <v>11534.4512104358</v>
      </c>
      <c r="M195" s="15" t="n">
        <f aca="false">L195*(1+IF(M$3&lt;=$O$2,$D195,$D195-($D195-$I$184)*MIN(M$3-$O$2,$Q$2)/$Q$2))</f>
        <v>11830.6000475217</v>
      </c>
      <c r="N195" s="15" t="n">
        <f aca="false">M195*(1+IF(N$3&lt;=$O$2,$D195,$D195-($D195-$I$184)*MIN(N$3-$O$2,$Q$2)/$Q$2))</f>
        <v>12047.1000283914</v>
      </c>
      <c r="O195" s="15" t="n">
        <f aca="false">SUMPRODUCT(E195:N195,1/(1+$F$184)^$E$3:$N$3)*$E$2</f>
        <v>19503.1326447198</v>
      </c>
      <c r="P195" s="15" t="n">
        <f aca="false">N195*$E$2*(1+$I$184)/($F$184-$I$184)/(1+$F$184)^$N$3</f>
        <v>28233.1817643266</v>
      </c>
      <c r="Q195" s="15" t="n">
        <f aca="false">O195+P195</f>
        <v>47736.3144090463</v>
      </c>
      <c r="R195" s="15" t="n">
        <f aca="false">Q195-$G$2+$I$2</f>
        <v>45219.3144090463</v>
      </c>
      <c r="S195" s="42" t="n">
        <f aca="false">R195/$K$2</f>
        <v>104.379563291275</v>
      </c>
      <c r="T195" s="43" t="n">
        <f aca="false">S195-$M$2</f>
        <v>-0.878735032901744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0.05517578125</v>
      </c>
      <c r="C196" s="25" t="n">
        <f aca="false">IF(T195&gt;0,D195,C195)</f>
        <v>0.056640625</v>
      </c>
      <c r="D196" s="41" t="n">
        <f aca="false">(B196+C196)/2</f>
        <v>0.055908203125</v>
      </c>
      <c r="E196" s="15" t="n">
        <f aca="false">$C$2*(1+IF(E$3&lt;=$O$2,$D196,$D196-($D196-$I$184)*MIN(E$3-$O$2,$Q$2)/$Q$2))</f>
        <v>8267.76123046875</v>
      </c>
      <c r="F196" s="15" t="n">
        <f aca="false">E196*(1+IF(F$3&lt;=$O$2,$D196,$D196-($D196-$I$184)*MIN(F$3-$O$2,$Q$2)/$Q$2))</f>
        <v>8729.9969047308</v>
      </c>
      <c r="G196" s="15" t="n">
        <f aca="false">F196*(1+IF(G$3&lt;=$O$2,$D196,$D196-($D196-$I$184)*MIN(G$3-$O$2,$Q$2)/$Q$2))</f>
        <v>9218.07534496111</v>
      </c>
      <c r="H196" s="15" t="n">
        <f aca="false">G196*(1+IF(H$3&lt;=$O$2,$D196,$D196-($D196-$I$184)*MIN(H$3-$O$2,$Q$2)/$Q$2))</f>
        <v>9733.44137376875</v>
      </c>
      <c r="I196" s="15" t="n">
        <f aca="false">H196*(1+IF(I$3&lt;=$O$2,$D196,$D196-($D196-$I$184)*MIN(I$3-$O$2,$Q$2)/$Q$2))</f>
        <v>10277.6205911987</v>
      </c>
      <c r="J196" s="15" t="n">
        <f aca="false">I196*(1+IF(J$3&lt;=$O$2,$D196,$D196-($D196-$I$184)*MIN(J$3-$O$2,$Q$2)/$Q$2))</f>
        <v>10774.919322286</v>
      </c>
      <c r="K196" s="15" t="n">
        <f aca="false">J196*(1+IF(K$3&lt;=$O$2,$D196,$D196-($D196-$I$184)*MIN(K$3-$O$2,$Q$2)/$Q$2))</f>
        <v>11215.2355586007</v>
      </c>
      <c r="L196" s="15" t="n">
        <f aca="false">K196*(1+IF(L$3&lt;=$O$2,$D196,$D196-($D196-$I$184)*MIN(L$3-$O$2,$Q$2)/$Q$2))</f>
        <v>11589.1883121161</v>
      </c>
      <c r="M196" s="15" t="n">
        <f aca="false">L196*(1+IF(M$3&lt;=$O$2,$D196,$D196-($D196-$I$184)*MIN(M$3-$O$2,$Q$2)/$Q$2))</f>
        <v>11888.440167847</v>
      </c>
      <c r="N196" s="15" t="n">
        <f aca="false">M196*(1+IF(N$3&lt;=$O$2,$D196,$D196-($D196-$I$184)*MIN(N$3-$O$2,$Q$2)/$Q$2))</f>
        <v>12105.9986229186</v>
      </c>
      <c r="O196" s="15" t="n">
        <f aca="false">SUMPRODUCT(E196:N196,1/(1+$F$184)^$E$3:$N$3)*$E$2</f>
        <v>19566.0358251268</v>
      </c>
      <c r="P196" s="15" t="n">
        <f aca="false">N196*$E$2*(1+$I$184)/($F$184-$I$184)/(1+$F$184)^$N$3</f>
        <v>28371.2145457455</v>
      </c>
      <c r="Q196" s="15" t="n">
        <f aca="false">O196+P196</f>
        <v>47937.2503708722</v>
      </c>
      <c r="R196" s="15" t="n">
        <f aca="false">Q196-$G$2+$I$2</f>
        <v>45420.2503708722</v>
      </c>
      <c r="S196" s="42" t="n">
        <f aca="false">R196/$K$2</f>
        <v>104.843382971405</v>
      </c>
      <c r="T196" s="43" t="n">
        <f aca="false">S196-$M$2</f>
        <v>-0.414915352771715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0.055908203125</v>
      </c>
      <c r="C197" s="25" t="n">
        <f aca="false">IF(T196&gt;0,D196,C196)</f>
        <v>0.056640625</v>
      </c>
      <c r="D197" s="41" t="n">
        <f aca="false">(B197+C197)/2</f>
        <v>0.0562744140625</v>
      </c>
      <c r="E197" s="15" t="n">
        <f aca="false">$C$2*(1+IF(E$3&lt;=$O$2,$D197,$D197-($D197-$I$184)*MIN(E$3-$O$2,$Q$2)/$Q$2))</f>
        <v>8270.62866210938</v>
      </c>
      <c r="F197" s="15" t="n">
        <f aca="false">E197*(1+IF(F$3&lt;=$O$2,$D197,$D197-($D197-$I$184)*MIN(F$3-$O$2,$Q$2)/$Q$2))</f>
        <v>8736.0534439981</v>
      </c>
      <c r="G197" s="15" t="n">
        <f aca="false">F197*(1+IF(G$3&lt;=$O$2,$D197,$D197-($D197-$I$184)*MIN(G$3-$O$2,$Q$2)/$Q$2))</f>
        <v>9227.66973277778</v>
      </c>
      <c r="H197" s="15" t="n">
        <f aca="false">G197*(1+IF(H$3&lt;=$O$2,$D197,$D197-($D197-$I$184)*MIN(H$3-$O$2,$Q$2)/$Q$2))</f>
        <v>9746.95144015211</v>
      </c>
      <c r="I197" s="15" t="n">
        <f aca="false">H197*(1+IF(I$3&lt;=$O$2,$D197,$D197-($D197-$I$184)*MIN(I$3-$O$2,$Q$2)/$Q$2))</f>
        <v>10295.4554213423</v>
      </c>
      <c r="J197" s="15" t="n">
        <f aca="false">I197*(1+IF(J$3&lt;=$O$2,$D197,$D197-($D197-$I$184)*MIN(J$3-$O$2,$Q$2)/$Q$2))</f>
        <v>10796.6333652585</v>
      </c>
      <c r="K197" s="15" t="n">
        <f aca="false">J197*(1+IF(K$3&lt;=$O$2,$D197,$D197-($D197-$I$184)*MIN(K$3-$O$2,$Q$2)/$Q$2))</f>
        <v>11240.2092513788</v>
      </c>
      <c r="L197" s="15" t="n">
        <f aca="false">K197*(1+IF(L$3&lt;=$O$2,$D197,$D197-($D197-$I$184)*MIN(L$3-$O$2,$Q$2)/$Q$2))</f>
        <v>11616.6412247834</v>
      </c>
      <c r="M197" s="15" t="n">
        <f aca="false">L197*(1+IF(M$3&lt;=$O$2,$D197,$D197-($D197-$I$184)*MIN(M$3-$O$2,$Q$2)/$Q$2))</f>
        <v>11917.452787974</v>
      </c>
      <c r="N197" s="15" t="n">
        <f aca="false">M197*(1+IF(N$3&lt;=$O$2,$D197,$D197-($D197-$I$184)*MIN(N$3-$O$2,$Q$2)/$Q$2))</f>
        <v>12135.5421739939</v>
      </c>
      <c r="O197" s="15" t="n">
        <f aca="false">SUMPRODUCT(E197:N197,1/(1+$F$184)^$E$3:$N$3)*$E$2</f>
        <v>19597.5636966867</v>
      </c>
      <c r="P197" s="15" t="n">
        <f aca="false">N197*$E$2*(1+$I$184)/($F$184-$I$184)/(1+$F$184)^$N$3</f>
        <v>28440.451826544</v>
      </c>
      <c r="Q197" s="15" t="n">
        <f aca="false">O197+P197</f>
        <v>48038.0155232307</v>
      </c>
      <c r="R197" s="15" t="n">
        <f aca="false">Q197-$G$2+$I$2</f>
        <v>45521.0155232307</v>
      </c>
      <c r="S197" s="42" t="n">
        <f aca="false">R197/$K$2</f>
        <v>105.075978771134</v>
      </c>
      <c r="T197" s="43" t="n">
        <f aca="false">S197-$M$2</f>
        <v>-0.182319553043143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0.0562744140625</v>
      </c>
      <c r="C198" s="25" t="n">
        <f aca="false">IF(T197&gt;0,D197,C197)</f>
        <v>0.056640625</v>
      </c>
      <c r="D198" s="41" t="n">
        <f aca="false">(B198+C198)/2</f>
        <v>0.05645751953125</v>
      </c>
      <c r="E198" s="15" t="n">
        <f aca="false">$C$2*(1+IF(E$3&lt;=$O$2,$D198,$D198-($D198-$I$184)*MIN(E$3-$O$2,$Q$2)/$Q$2))</f>
        <v>8272.06237792969</v>
      </c>
      <c r="F198" s="15" t="n">
        <f aca="false">E198*(1+IF(F$3&lt;=$O$2,$D198,$D198-($D198-$I$184)*MIN(F$3-$O$2,$Q$2)/$Q$2))</f>
        <v>8739.08250119537</v>
      </c>
      <c r="G198" s="15" t="n">
        <f aca="false">F198*(1+IF(G$3&lt;=$O$2,$D198,$D198-($D198-$I$184)*MIN(G$3-$O$2,$Q$2)/$Q$2))</f>
        <v>9232.46942219181</v>
      </c>
      <c r="H198" s="15" t="n">
        <f aca="false">G198*(1+IF(H$3&lt;=$O$2,$D198,$D198-($D198-$I$184)*MIN(H$3-$O$2,$Q$2)/$Q$2))</f>
        <v>9753.71174491688</v>
      </c>
      <c r="I198" s="15" t="n">
        <f aca="false">H198*(1+IF(I$3&lt;=$O$2,$D198,$D198-($D198-$I$184)*MIN(I$3-$O$2,$Q$2)/$Q$2))</f>
        <v>10304.3821162577</v>
      </c>
      <c r="J198" s="15" t="n">
        <f aca="false">I198*(1+IF(J$3&lt;=$O$2,$D198,$D198-($D198-$I$184)*MIN(J$3-$O$2,$Q$2)/$Q$2))</f>
        <v>10807.5040384721</v>
      </c>
      <c r="K198" s="15" t="n">
        <f aca="false">J198*(1+IF(K$3&lt;=$O$2,$D198,$D198-($D198-$I$184)*MIN(K$3-$O$2,$Q$2)/$Q$2))</f>
        <v>11252.7138902353</v>
      </c>
      <c r="L198" s="15" t="n">
        <f aca="false">K198*(1+IF(L$3&lt;=$O$2,$D198,$D198-($D198-$I$184)*MIN(L$3-$O$2,$Q$2)/$Q$2))</f>
        <v>11630.3888144451</v>
      </c>
      <c r="M198" s="15" t="n">
        <f aca="false">L198*(1+IF(M$3&lt;=$O$2,$D198,$D198-($D198-$I$184)*MIN(M$3-$O$2,$Q$2)/$Q$2))</f>
        <v>11931.9822874181</v>
      </c>
      <c r="N198" s="15" t="n">
        <f aca="false">M198*(1+IF(N$3&lt;=$O$2,$D198,$D198-($D198-$I$184)*MIN(N$3-$O$2,$Q$2)/$Q$2))</f>
        <v>12150.3375632779</v>
      </c>
      <c r="O198" s="15" t="n">
        <f aca="false">SUMPRODUCT(E198:N198,1/(1+$F$184)^$E$3:$N$3)*$E$2</f>
        <v>19613.3467363195</v>
      </c>
      <c r="P198" s="15" t="n">
        <f aca="false">N198*$E$2*(1+$I$184)/($F$184-$I$184)/(1+$F$184)^$N$3</f>
        <v>28475.1258073314</v>
      </c>
      <c r="Q198" s="15" t="n">
        <f aca="false">O198+P198</f>
        <v>48088.4725436508</v>
      </c>
      <c r="R198" s="15" t="n">
        <f aca="false">Q198-$G$2+$I$2</f>
        <v>45571.4725436508</v>
      </c>
      <c r="S198" s="42" t="n">
        <f aca="false">R198/$K$2</f>
        <v>105.192448510343</v>
      </c>
      <c r="T198" s="43" t="n">
        <f aca="false">S198-$M$2</f>
        <v>-0.0658498138340633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0.05645751953125</v>
      </c>
      <c r="C199" s="25" t="n">
        <f aca="false">IF(T198&gt;0,D198,C198)</f>
        <v>0.056640625</v>
      </c>
      <c r="D199" s="41" t="n">
        <f aca="false">(B199+C199)/2</f>
        <v>0.056549072265625</v>
      </c>
      <c r="E199" s="15" t="n">
        <f aca="false">$C$2*(1+IF(E$3&lt;=$O$2,$D199,$D199-($D199-$I$184)*MIN(E$3-$O$2,$Q$2)/$Q$2))</f>
        <v>8272.77923583984</v>
      </c>
      <c r="F199" s="15" t="n">
        <f aca="false">E199*(1+IF(F$3&lt;=$O$2,$D199,$D199-($D199-$I$184)*MIN(F$3-$O$2,$Q$2)/$Q$2))</f>
        <v>8740.59722668491</v>
      </c>
      <c r="G199" s="15" t="n">
        <f aca="false">F199*(1+IF(G$3&lt;=$O$2,$D199,$D199-($D199-$I$184)*MIN(G$3-$O$2,$Q$2)/$Q$2))</f>
        <v>9234.86989090144</v>
      </c>
      <c r="H199" s="15" t="n">
        <f aca="false">G199*(1+IF(H$3&lt;=$O$2,$D199,$D199-($D199-$I$184)*MIN(H$3-$O$2,$Q$2)/$Q$2))</f>
        <v>9757.09321572567</v>
      </c>
      <c r="I199" s="15" t="n">
        <f aca="false">H199*(1+IF(I$3&lt;=$O$2,$D199,$D199-($D199-$I$184)*MIN(I$3-$O$2,$Q$2)/$Q$2))</f>
        <v>10308.8477850842</v>
      </c>
      <c r="J199" s="15" t="n">
        <f aca="false">I199*(1+IF(J$3&lt;=$O$2,$D199,$D199-($D199-$I$184)*MIN(J$3-$O$2,$Q$2)/$Q$2))</f>
        <v>10812.9427906768</v>
      </c>
      <c r="K199" s="15" t="n">
        <f aca="false">J199*(1+IF(K$3&lt;=$O$2,$D199,$D199-($D199-$I$184)*MIN(K$3-$O$2,$Q$2)/$Q$2))</f>
        <v>11258.970661869</v>
      </c>
      <c r="L199" s="15" t="n">
        <f aca="false">K199*(1+IF(L$3&lt;=$O$2,$D199,$D199-($D199-$I$184)*MIN(L$3-$O$2,$Q$2)/$Q$2))</f>
        <v>11637.2678979742</v>
      </c>
      <c r="M199" s="15" t="n">
        <f aca="false">L199*(1+IF(M$3&lt;=$O$2,$D199,$D199-($D199-$I$184)*MIN(M$3-$O$2,$Q$2)/$Q$2))</f>
        <v>11939.2528406679</v>
      </c>
      <c r="N199" s="15" t="n">
        <f aca="false">M199*(1+IF(N$3&lt;=$O$2,$D199,$D199-($D199-$I$184)*MIN(N$3-$O$2,$Q$2)/$Q$2))</f>
        <v>12157.7411676521</v>
      </c>
      <c r="O199" s="15" t="n">
        <f aca="false">SUMPRODUCT(E199:N199,1/(1+$F$184)^$E$3:$N$3)*$E$2</f>
        <v>19621.2430362934</v>
      </c>
      <c r="P199" s="15" t="n">
        <f aca="false">N199*$E$2*(1+$I$184)/($F$184-$I$184)/(1+$F$184)^$N$3</f>
        <v>28492.4766475764</v>
      </c>
      <c r="Q199" s="15" t="n">
        <f aca="false">O199+P199</f>
        <v>48113.7196838699</v>
      </c>
      <c r="R199" s="15" t="n">
        <f aca="false">Q199-$G$2+$I$2</f>
        <v>45596.7196838699</v>
      </c>
      <c r="S199" s="42" t="n">
        <f aca="false">R199/$K$2</f>
        <v>105.250726383523</v>
      </c>
      <c r="T199" s="43" t="n">
        <f aca="false">S199-$M$2</f>
        <v>-0.00757194065401734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0.056549072265625</v>
      </c>
      <c r="C200" s="25" t="n">
        <f aca="false">IF(T199&gt;0,D199,C199)</f>
        <v>0.056640625</v>
      </c>
      <c r="D200" s="41" t="n">
        <f aca="false">(B200+C200)/2</f>
        <v>0.0565948486328125</v>
      </c>
      <c r="E200" s="15" t="n">
        <f aca="false">$C$2*(1+IF(E$3&lt;=$O$2,$D200,$D200-($D200-$I$184)*MIN(E$3-$O$2,$Q$2)/$Q$2))</f>
        <v>8273.13766479492</v>
      </c>
      <c r="F200" s="15" t="n">
        <f aca="false">E200*(1+IF(F$3&lt;=$O$2,$D200,$D200-($D200-$I$184)*MIN(F$3-$O$2,$Q$2)/$Q$2))</f>
        <v>8741.35463865241</v>
      </c>
      <c r="G200" s="15" t="n">
        <f aca="false">F200*(1+IF(G$3&lt;=$O$2,$D200,$D200-($D200-$I$184)*MIN(G$3-$O$2,$Q$2)/$Q$2))</f>
        <v>9236.07028127268</v>
      </c>
      <c r="H200" s="15" t="n">
        <f aca="false">G200*(1+IF(H$3&lt;=$O$2,$D200,$D200-($D200-$I$184)*MIN(H$3-$O$2,$Q$2)/$Q$2))</f>
        <v>9758.78428080332</v>
      </c>
      <c r="I200" s="15" t="n">
        <f aca="false">H200*(1+IF(I$3&lt;=$O$2,$D200,$D200-($D200-$I$184)*MIN(I$3-$O$2,$Q$2)/$Q$2))</f>
        <v>10311.0812000157</v>
      </c>
      <c r="J200" s="15" t="n">
        <f aca="false">I200*(1+IF(J$3&lt;=$O$2,$D200,$D200-($D200-$I$184)*MIN(J$3-$O$2,$Q$2)/$Q$2))</f>
        <v>10815.6630210121</v>
      </c>
      <c r="K200" s="15" t="n">
        <f aca="false">J200*(1+IF(K$3&lt;=$O$2,$D200,$D200-($D200-$I$184)*MIN(K$3-$O$2,$Q$2)/$Q$2))</f>
        <v>11262.1001612486</v>
      </c>
      <c r="L200" s="15" t="n">
        <f aca="false">K200*(1+IF(L$3&lt;=$O$2,$D200,$D200-($D200-$I$184)*MIN(L$3-$O$2,$Q$2)/$Q$2))</f>
        <v>11640.7087625844</v>
      </c>
      <c r="M200" s="15" t="n">
        <f aca="false">L200*(1+IF(M$3&lt;=$O$2,$D200,$D200-($D200-$I$184)*MIN(M$3-$O$2,$Q$2)/$Q$2))</f>
        <v>11942.8895689481</v>
      </c>
      <c r="N200" s="15" t="n">
        <f aca="false">M200*(1+IF(N$3&lt;=$O$2,$D200,$D200-($D200-$I$184)*MIN(N$3-$O$2,$Q$2)/$Q$2))</f>
        <v>12161.4444480598</v>
      </c>
      <c r="O200" s="15" t="n">
        <f aca="false">SUMPRODUCT(E200:N200,1/(1+$F$184)^$E$3:$N$3)*$E$2</f>
        <v>19625.1923818444</v>
      </c>
      <c r="P200" s="15" t="n">
        <f aca="false">N200*$E$2*(1+$I$184)/($F$184-$I$184)/(1+$F$184)^$N$3</f>
        <v>28501.1555320075</v>
      </c>
      <c r="Q200" s="15" t="n">
        <f aca="false">O200+P200</f>
        <v>48126.3479138519</v>
      </c>
      <c r="R200" s="15" t="n">
        <f aca="false">Q200-$G$2+$I$2</f>
        <v>45609.3479138519</v>
      </c>
      <c r="S200" s="42" t="n">
        <f aca="false">R200/$K$2</f>
        <v>105.279876076478</v>
      </c>
      <c r="T200" s="43" t="n">
        <f aca="false">S200-$M$2</f>
        <v>0.0215777523010985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0.056549072265625</v>
      </c>
      <c r="C201" s="25" t="n">
        <f aca="false">IF(T200&gt;0,D200,C200)</f>
        <v>0.0565948486328125</v>
      </c>
      <c r="D201" s="41" t="n">
        <f aca="false">(B201+C201)/2</f>
        <v>0.0565719604492188</v>
      </c>
      <c r="E201" s="15" t="n">
        <f aca="false">$C$2*(1+IF(E$3&lt;=$O$2,$D201,$D201-($D201-$I$184)*MIN(E$3-$O$2,$Q$2)/$Q$2))</f>
        <v>8272.95845031738</v>
      </c>
      <c r="F201" s="15" t="n">
        <f aca="false">E201*(1+IF(F$3&lt;=$O$2,$D201,$D201-($D201-$I$184)*MIN(F$3-$O$2,$Q$2)/$Q$2))</f>
        <v>8740.97592856677</v>
      </c>
      <c r="G201" s="15" t="n">
        <f aca="false">F201*(1+IF(G$3&lt;=$O$2,$D201,$D201-($D201-$I$184)*MIN(G$3-$O$2,$Q$2)/$Q$2))</f>
        <v>9235.47007308522</v>
      </c>
      <c r="H201" s="15" t="n">
        <f aca="false">G201*(1+IF(H$3&lt;=$O$2,$D201,$D201-($D201-$I$184)*MIN(H$3-$O$2,$Q$2)/$Q$2))</f>
        <v>9757.93872078974</v>
      </c>
      <c r="I201" s="15" t="n">
        <f aca="false">H201*(1+IF(I$3&lt;=$O$2,$D201,$D201-($D201-$I$184)*MIN(I$3-$O$2,$Q$2)/$Q$2))</f>
        <v>10309.9644441682</v>
      </c>
      <c r="J201" s="15" t="n">
        <f aca="false">I201*(1+IF(J$3&lt;=$O$2,$D201,$D201-($D201-$I$184)*MIN(J$3-$O$2,$Q$2)/$Q$2))</f>
        <v>10814.3028346485</v>
      </c>
      <c r="K201" s="15" t="n">
        <f aca="false">J201*(1+IF(K$3&lt;=$O$2,$D201,$D201-($D201-$I$184)*MIN(K$3-$O$2,$Q$2)/$Q$2))</f>
        <v>11260.5353187467</v>
      </c>
      <c r="L201" s="15" t="n">
        <f aca="false">K201*(1+IF(L$3&lt;=$O$2,$D201,$D201-($D201-$I$184)*MIN(L$3-$O$2,$Q$2)/$Q$2))</f>
        <v>11638.9882200222</v>
      </c>
      <c r="M201" s="15" t="n">
        <f aca="false">L201*(1+IF(M$3&lt;=$O$2,$D201,$D201-($D201-$I$184)*MIN(M$3-$O$2,$Q$2)/$Q$2))</f>
        <v>11941.0710838137</v>
      </c>
      <c r="N201" s="15" t="n">
        <f aca="false">M201*(1+IF(N$3&lt;=$O$2,$D201,$D201-($D201-$I$184)*MIN(N$3-$O$2,$Q$2)/$Q$2))</f>
        <v>12159.5926846475</v>
      </c>
      <c r="O201" s="15" t="n">
        <f aca="false">SUMPRODUCT(E201:N201,1/(1+$F$184)^$E$3:$N$3)*$E$2</f>
        <v>19623.217609423</v>
      </c>
      <c r="P201" s="15" t="n">
        <f aca="false">N201*$E$2*(1+$I$184)/($F$184-$I$184)/(1+$F$184)^$N$3</f>
        <v>28496.8158010446</v>
      </c>
      <c r="Q201" s="15" t="n">
        <f aca="false">O201+P201</f>
        <v>48120.0334104676</v>
      </c>
      <c r="R201" s="15" t="n">
        <f aca="false">Q201-$G$2+$I$2</f>
        <v>45603.0334104676</v>
      </c>
      <c r="S201" s="42" t="n">
        <f aca="false">R201/$K$2</f>
        <v>105.265300333474</v>
      </c>
      <c r="T201" s="43" t="n">
        <f aca="false">S201-$M$2</f>
        <v>0.00700200929686901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0.056549072265625</v>
      </c>
      <c r="C202" s="25" t="n">
        <f aca="false">IF(T201&gt;0,D201,C201)</f>
        <v>0.0565719604492188</v>
      </c>
      <c r="D202" s="41" t="n">
        <f aca="false">(B202+C202)/2</f>
        <v>0.0565605163574219</v>
      </c>
      <c r="E202" s="15" t="n">
        <f aca="false">$C$2*(1+IF(E$3&lt;=$O$2,$D202,$D202-($D202-$I$184)*MIN(E$3-$O$2,$Q$2)/$Q$2))</f>
        <v>8272.86884307861</v>
      </c>
      <c r="F202" s="15" t="n">
        <f aca="false">E202*(1+IF(F$3&lt;=$O$2,$D202,$D202-($D202-$I$184)*MIN(F$3-$O$2,$Q$2)/$Q$2))</f>
        <v>8740.78657660037</v>
      </c>
      <c r="G202" s="15" t="n">
        <f aca="false">F202*(1+IF(G$3&lt;=$O$2,$D202,$D202-($D202-$I$184)*MIN(G$3-$O$2,$Q$2)/$Q$2))</f>
        <v>9235.16997874291</v>
      </c>
      <c r="H202" s="15" t="n">
        <f aca="false">G202*(1+IF(H$3&lt;=$O$2,$D202,$D202-($D202-$I$184)*MIN(H$3-$O$2,$Q$2)/$Q$2))</f>
        <v>9757.51596138917</v>
      </c>
      <c r="I202" s="15" t="n">
        <f aca="false">H202*(1+IF(I$3&lt;=$O$2,$D202,$D202-($D202-$I$184)*MIN(I$3-$O$2,$Q$2)/$Q$2))</f>
        <v>10309.4061025311</v>
      </c>
      <c r="J202" s="15" t="n">
        <f aca="false">I202*(1+IF(J$3&lt;=$O$2,$D202,$D202-($D202-$I$184)*MIN(J$3-$O$2,$Q$2)/$Q$2))</f>
        <v>10813.6227948644</v>
      </c>
      <c r="K202" s="15" t="n">
        <f aca="false">J202*(1+IF(K$3&lt;=$O$2,$D202,$D202-($D202-$I$184)*MIN(K$3-$O$2,$Q$2)/$Q$2))</f>
        <v>11259.752967106</v>
      </c>
      <c r="L202" s="15" t="n">
        <f aca="false">K202*(1+IF(L$3&lt;=$O$2,$D202,$D202-($D202-$I$184)*MIN(L$3-$O$2,$Q$2)/$Q$2))</f>
        <v>11638.1280314354</v>
      </c>
      <c r="M202" s="15" t="n">
        <f aca="false">L202*(1+IF(M$3&lt;=$O$2,$D202,$D202-($D202-$I$184)*MIN(M$3-$O$2,$Q$2)/$Q$2))</f>
        <v>11940.161931994</v>
      </c>
      <c r="N202" s="15" t="n">
        <f aca="false">M202*(1+IF(N$3&lt;=$O$2,$D202,$D202-($D202-$I$184)*MIN(N$3-$O$2,$Q$2)/$Q$2))</f>
        <v>12158.6668953495</v>
      </c>
      <c r="O202" s="15" t="n">
        <f aca="false">SUMPRODUCT(E202:N202,1/(1+$F$184)^$E$3:$N$3)*$E$2</f>
        <v>19622.2302979479</v>
      </c>
      <c r="P202" s="15" t="n">
        <f aca="false">N202*$E$2*(1+$I$184)/($F$184-$I$184)/(1+$F$184)^$N$3</f>
        <v>28494.6461521278</v>
      </c>
      <c r="Q202" s="15" t="n">
        <f aca="false">O202+P202</f>
        <v>48116.8764500757</v>
      </c>
      <c r="R202" s="15" t="n">
        <f aca="false">Q202-$G$2+$I$2</f>
        <v>45599.8764500757</v>
      </c>
      <c r="S202" s="42" t="n">
        <f aca="false">R202/$K$2</f>
        <v>105.258013134379</v>
      </c>
      <c r="T202" s="43" t="n">
        <f aca="false">S202-$M$2</f>
        <v>-0.000285189797992302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0.0565605163574219</v>
      </c>
      <c r="C203" s="25" t="n">
        <f aca="false">IF(T202&gt;0,D202,C202)</f>
        <v>0.0565719604492188</v>
      </c>
      <c r="D203" s="41" t="n">
        <f aca="false">(B203+C203)/2</f>
        <v>0.0565662384033203</v>
      </c>
      <c r="E203" s="15" t="n">
        <f aca="false">$C$2*(1+IF(E$3&lt;=$O$2,$D203,$D203-($D203-$I$184)*MIN(E$3-$O$2,$Q$2)/$Q$2))</f>
        <v>8272.913646698</v>
      </c>
      <c r="F203" s="15" t="n">
        <f aca="false">E203*(1+IF(F$3&lt;=$O$2,$D203,$D203-($D203-$I$184)*MIN(F$3-$O$2,$Q$2)/$Q$2))</f>
        <v>8740.8812523272</v>
      </c>
      <c r="G203" s="15" t="n">
        <f aca="false">F203*(1+IF(G$3&lt;=$O$2,$D203,$D203-($D203-$I$184)*MIN(G$3-$O$2,$Q$2)/$Q$2))</f>
        <v>9235.32002510145</v>
      </c>
      <c r="H203" s="15" t="n">
        <f aca="false">G203*(1+IF(H$3&lt;=$O$2,$D203,$D203-($D203-$I$184)*MIN(H$3-$O$2,$Q$2)/$Q$2))</f>
        <v>9757.7273393723</v>
      </c>
      <c r="I203" s="15" t="n">
        <f aca="false">H203*(1+IF(I$3&lt;=$O$2,$D203,$D203-($D203-$I$184)*MIN(I$3-$O$2,$Q$2)/$Q$2))</f>
        <v>10309.6852703258</v>
      </c>
      <c r="J203" s="15" t="n">
        <f aca="false">I203*(1+IF(J$3&lt;=$O$2,$D203,$D203-($D203-$I$184)*MIN(J$3-$O$2,$Q$2)/$Q$2))</f>
        <v>10813.9628103068</v>
      </c>
      <c r="K203" s="15" t="n">
        <f aca="false">J203*(1+IF(K$3&lt;=$O$2,$D203,$D203-($D203-$I$184)*MIN(K$3-$O$2,$Q$2)/$Q$2))</f>
        <v>11260.1441371257</v>
      </c>
      <c r="L203" s="15" t="n">
        <f aca="false">K203*(1+IF(L$3&lt;=$O$2,$D203,$D203-($D203-$I$184)*MIN(L$3-$O$2,$Q$2)/$Q$2))</f>
        <v>11638.5581188379</v>
      </c>
      <c r="M203" s="15" t="n">
        <f aca="false">L203*(1+IF(M$3&lt;=$O$2,$D203,$D203-($D203-$I$184)*MIN(M$3-$O$2,$Q$2)/$Q$2))</f>
        <v>11940.6165003419</v>
      </c>
      <c r="N203" s="15" t="n">
        <f aca="false">M203*(1+IF(N$3&lt;=$O$2,$D203,$D203-($D203-$I$184)*MIN(N$3-$O$2,$Q$2)/$Q$2))</f>
        <v>12159.1297822982</v>
      </c>
      <c r="O203" s="15" t="n">
        <f aca="false">SUMPRODUCT(E203:N203,1/(1+$F$184)^$E$3:$N$3)*$E$2</f>
        <v>19622.7239474577</v>
      </c>
      <c r="P203" s="15" t="n">
        <f aca="false">N203*$E$2*(1+$I$184)/($F$184-$I$184)/(1+$F$184)^$N$3</f>
        <v>28495.73095854</v>
      </c>
      <c r="Q203" s="15" t="n">
        <f aca="false">O203+P203</f>
        <v>48118.4549059977</v>
      </c>
      <c r="R203" s="15" t="n">
        <f aca="false">Q203-$G$2+$I$2</f>
        <v>45601.4549059977</v>
      </c>
      <c r="S203" s="42" t="n">
        <f aca="false">R203/$K$2</f>
        <v>105.261656677895</v>
      </c>
      <c r="T203" s="43" t="n">
        <f aca="false">S203-$M$2</f>
        <v>0.00335835371805615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0.0565605163574219</v>
      </c>
      <c r="C204" s="25" t="n">
        <f aca="false">IF(T203&gt;0,D203,C203)</f>
        <v>0.0565662384033203</v>
      </c>
      <c r="D204" s="41" t="n">
        <f aca="false">(B204+C204)/2</f>
        <v>0.0565633773803711</v>
      </c>
      <c r="E204" s="15" t="n">
        <f aca="false">$C$2*(1+IF(E$3&lt;=$O$2,$D204,$D204-($D204-$I$184)*MIN(E$3-$O$2,$Q$2)/$Q$2))</f>
        <v>8272.89124488831</v>
      </c>
      <c r="F204" s="15" t="n">
        <f aca="false">E204*(1+IF(F$3&lt;=$O$2,$D204,$D204-($D204-$I$184)*MIN(F$3-$O$2,$Q$2)/$Q$2))</f>
        <v>8740.83391439969</v>
      </c>
      <c r="G204" s="15" t="n">
        <f aca="false">F204*(1+IF(G$3&lt;=$O$2,$D204,$D204-($D204-$I$184)*MIN(G$3-$O$2,$Q$2)/$Q$2))</f>
        <v>9235.24500171903</v>
      </c>
      <c r="H204" s="15" t="n">
        <f aca="false">G204*(1+IF(H$3&lt;=$O$2,$D204,$D204-($D204-$I$184)*MIN(H$3-$O$2,$Q$2)/$Q$2))</f>
        <v>9757.62164995145</v>
      </c>
      <c r="I204" s="15" t="n">
        <f aca="false">H204*(1+IF(I$3&lt;=$O$2,$D204,$D204-($D204-$I$184)*MIN(I$3-$O$2,$Q$2)/$Q$2))</f>
        <v>10309.5456856725</v>
      </c>
      <c r="J204" s="15" t="n">
        <f aca="false">I204*(1+IF(J$3&lt;=$O$2,$D204,$D204-($D204-$I$184)*MIN(J$3-$O$2,$Q$2)/$Q$2))</f>
        <v>10813.7928014732</v>
      </c>
      <c r="K204" s="15" t="n">
        <f aca="false">J204*(1+IF(K$3&lt;=$O$2,$D204,$D204-($D204-$I$184)*MIN(K$3-$O$2,$Q$2)/$Q$2))</f>
        <v>11259.9485506657</v>
      </c>
      <c r="L204" s="15" t="n">
        <f aca="false">K204*(1+IF(L$3&lt;=$O$2,$D204,$D204-($D204-$I$184)*MIN(L$3-$O$2,$Q$2)/$Q$2))</f>
        <v>11638.343073414</v>
      </c>
      <c r="M204" s="15" t="n">
        <f aca="false">L204*(1+IF(M$3&lt;=$O$2,$D204,$D204-($D204-$I$184)*MIN(M$3-$O$2,$Q$2)/$Q$2))</f>
        <v>11940.3892142775</v>
      </c>
      <c r="N204" s="15" t="n">
        <f aca="false">M204*(1+IF(N$3&lt;=$O$2,$D204,$D204-($D204-$I$184)*MIN(N$3-$O$2,$Q$2)/$Q$2))</f>
        <v>12158.8983368988</v>
      </c>
      <c r="O204" s="15" t="n">
        <f aca="false">SUMPRODUCT(E204:N204,1/(1+$F$184)^$E$3:$N$3)*$E$2</f>
        <v>19622.4771211459</v>
      </c>
      <c r="P204" s="15" t="n">
        <f aca="false">N204*$E$2*(1+$I$184)/($F$184-$I$184)/(1+$F$184)^$N$3</f>
        <v>28495.1885508224</v>
      </c>
      <c r="Q204" s="15" t="n">
        <f aca="false">O204+P204</f>
        <v>48117.6656719683</v>
      </c>
      <c r="R204" s="15" t="n">
        <f aca="false">Q204-$G$2+$I$2</f>
        <v>45600.6656719683</v>
      </c>
      <c r="S204" s="42" t="n">
        <f aca="false">R204/$K$2</f>
        <v>105.259834892129</v>
      </c>
      <c r="T204" s="43" t="n">
        <f aca="false">S204-$M$2</f>
        <v>0.00153656795234269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0.0565605163574219</v>
      </c>
      <c r="C205" s="25" t="n">
        <f aca="false">IF(T204&gt;0,D204,C204)</f>
        <v>0.0565633773803711</v>
      </c>
      <c r="D205" s="41" t="n">
        <f aca="false">(B205+C205)/2</f>
        <v>0.0565619468688965</v>
      </c>
      <c r="E205" s="15" t="n">
        <f aca="false">$C$2*(1+IF(E$3&lt;=$O$2,$D205,$D205-($D205-$I$184)*MIN(E$3-$O$2,$Q$2)/$Q$2))</f>
        <v>8272.88004398346</v>
      </c>
      <c r="F205" s="15" t="n">
        <f aca="false">E205*(1+IF(F$3&lt;=$O$2,$D205,$D205-($D205-$I$184)*MIN(F$3-$O$2,$Q$2)/$Q$2))</f>
        <v>8740.81024548401</v>
      </c>
      <c r="G205" s="15" t="n">
        <f aca="false">F205*(1+IF(G$3&lt;=$O$2,$D205,$D205-($D205-$I$184)*MIN(G$3-$O$2,$Q$2)/$Q$2))</f>
        <v>9235.20749018018</v>
      </c>
      <c r="H205" s="15" t="n">
        <f aca="false">G205*(1+IF(H$3&lt;=$O$2,$D205,$D205-($D205-$I$184)*MIN(H$3-$O$2,$Q$2)/$Q$2))</f>
        <v>9757.56880556299</v>
      </c>
      <c r="I205" s="15" t="n">
        <f aca="false">H205*(1+IF(I$3&lt;=$O$2,$D205,$D205-($D205-$I$184)*MIN(I$3-$O$2,$Q$2)/$Q$2))</f>
        <v>10309.4758939128</v>
      </c>
      <c r="J205" s="15" t="n">
        <f aca="false">I205*(1+IF(J$3&lt;=$O$2,$D205,$D205-($D205-$I$184)*MIN(J$3-$O$2,$Q$2)/$Q$2))</f>
        <v>10813.7077978907</v>
      </c>
      <c r="K205" s="15" t="n">
        <f aca="false">J205*(1+IF(K$3&lt;=$O$2,$D205,$D205-($D205-$I$184)*MIN(K$3-$O$2,$Q$2)/$Q$2))</f>
        <v>11259.8507585233</v>
      </c>
      <c r="L205" s="15" t="n">
        <f aca="false">K205*(1+IF(L$3&lt;=$O$2,$D205,$D205-($D205-$I$184)*MIN(L$3-$O$2,$Q$2)/$Q$2))</f>
        <v>11638.235551994</v>
      </c>
      <c r="M205" s="15" t="n">
        <f aca="false">L205*(1+IF(M$3&lt;=$O$2,$D205,$D205-($D205-$I$184)*MIN(M$3-$O$2,$Q$2)/$Q$2))</f>
        <v>11940.2755726631</v>
      </c>
      <c r="N205" s="15" t="n">
        <f aca="false">M205*(1+IF(N$3&lt;=$O$2,$D205,$D205-($D205-$I$184)*MIN(N$3-$O$2,$Q$2)/$Q$2))</f>
        <v>12158.7826156428</v>
      </c>
      <c r="O205" s="15" t="n">
        <f aca="false">SUMPRODUCT(E205:N205,1/(1+$F$184)^$E$3:$N$3)*$E$2</f>
        <v>19622.3537091577</v>
      </c>
      <c r="P205" s="15" t="n">
        <f aca="false">N205*$E$2*(1+$I$184)/($F$184-$I$184)/(1+$F$184)^$N$3</f>
        <v>28494.9173503473</v>
      </c>
      <c r="Q205" s="15" t="n">
        <f aca="false">O205+P205</f>
        <v>48117.2710595049</v>
      </c>
      <c r="R205" s="15" t="n">
        <f aca="false">Q205-$G$2+$I$2</f>
        <v>45600.2710595049</v>
      </c>
      <c r="S205" s="42" t="n">
        <f aca="false">R205/$K$2</f>
        <v>105.258924009752</v>
      </c>
      <c r="T205" s="43" t="n">
        <f aca="false">S205-$M$2</f>
        <v>0.000625685575286639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0.0565605163574219</v>
      </c>
      <c r="C206" s="25" t="n">
        <f aca="false">IF(T205&gt;0,D205,C205)</f>
        <v>0.0565619468688965</v>
      </c>
      <c r="D206" s="41" t="n">
        <f aca="false">(B206+C206)/2</f>
        <v>0.0565612316131592</v>
      </c>
      <c r="E206" s="15" t="n">
        <f aca="false">$C$2*(1+IF(E$3&lt;=$O$2,$D206,$D206-($D206-$I$184)*MIN(E$3-$O$2,$Q$2)/$Q$2))</f>
        <v>8272.87444353104</v>
      </c>
      <c r="F206" s="15" t="n">
        <f aca="false">E206*(1+IF(F$3&lt;=$O$2,$D206,$D206-($D206-$I$184)*MIN(F$3-$O$2,$Q$2)/$Q$2))</f>
        <v>8740.79841103818</v>
      </c>
      <c r="G206" s="15" t="n">
        <f aca="false">F206*(1+IF(G$3&lt;=$O$2,$D206,$D206-($D206-$I$184)*MIN(G$3-$O$2,$Q$2)/$Q$2))</f>
        <v>9235.18873444884</v>
      </c>
      <c r="H206" s="15" t="n">
        <f aca="false">G206*(1+IF(H$3&lt;=$O$2,$D206,$D206-($D206-$I$184)*MIN(H$3-$O$2,$Q$2)/$Q$2))</f>
        <v>9757.54238344924</v>
      </c>
      <c r="I206" s="15" t="n">
        <f aca="false">H206*(1+IF(I$3&lt;=$O$2,$D206,$D206-($D206-$I$184)*MIN(I$3-$O$2,$Q$2)/$Q$2))</f>
        <v>10309.4409981747</v>
      </c>
      <c r="J206" s="15" t="n">
        <f aca="false">I206*(1+IF(J$3&lt;=$O$2,$D206,$D206-($D206-$I$184)*MIN(J$3-$O$2,$Q$2)/$Q$2))</f>
        <v>10813.665296308</v>
      </c>
      <c r="K206" s="15" t="n">
        <f aca="false">J206*(1+IF(K$3&lt;=$O$2,$D206,$D206-($D206-$I$184)*MIN(K$3-$O$2,$Q$2)/$Q$2))</f>
        <v>11259.801862724</v>
      </c>
      <c r="L206" s="15" t="n">
        <f aca="false">K206*(1+IF(L$3&lt;=$O$2,$D206,$D206-($D206-$I$184)*MIN(L$3-$O$2,$Q$2)/$Q$2))</f>
        <v>11638.181791607</v>
      </c>
      <c r="M206" s="15" t="n">
        <f aca="false">L206*(1+IF(M$3&lt;=$O$2,$D206,$D206-($D206-$I$184)*MIN(M$3-$O$2,$Q$2)/$Q$2))</f>
        <v>11940.2187522104</v>
      </c>
      <c r="N206" s="15" t="n">
        <f aca="false">M206*(1+IF(N$3&lt;=$O$2,$D206,$D206-($D206-$I$184)*MIN(N$3-$O$2,$Q$2)/$Q$2))</f>
        <v>12158.7247553758</v>
      </c>
      <c r="O206" s="15" t="n">
        <f aca="false">SUMPRODUCT(E206:N206,1/(1+$F$184)^$E$3:$N$3)*$E$2</f>
        <v>19622.2920034555</v>
      </c>
      <c r="P206" s="15" t="n">
        <f aca="false">N206*$E$2*(1+$I$184)/($F$184-$I$184)/(1+$F$184)^$N$3</f>
        <v>28494.7817509556</v>
      </c>
      <c r="Q206" s="15" t="n">
        <f aca="false">O206+P206</f>
        <v>48117.073754411</v>
      </c>
      <c r="R206" s="15" t="n">
        <f aca="false">Q206-$G$2+$I$2</f>
        <v>45600.073754411</v>
      </c>
      <c r="S206" s="42" t="n">
        <f aca="false">R206/$K$2</f>
        <v>105.25846857119</v>
      </c>
      <c r="T206" s="43" t="n">
        <f aca="false">S206-$M$2</f>
        <v>0.000170247013144831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0.0565605163574219</v>
      </c>
      <c r="C207" s="25" t="n">
        <f aca="false">IF(T206&gt;0,D206,C206)</f>
        <v>0.0565612316131592</v>
      </c>
      <c r="D207" s="41" t="n">
        <f aca="false">(B207+C207)/2</f>
        <v>0.0565608739852905</v>
      </c>
      <c r="E207" s="15" t="n">
        <f aca="false">$C$2*(1+IF(E$3&lt;=$O$2,$D207,$D207-($D207-$I$184)*MIN(E$3-$O$2,$Q$2)/$Q$2))</f>
        <v>8272.87164330483</v>
      </c>
      <c r="F207" s="15" t="n">
        <f aca="false">E207*(1+IF(F$3&lt;=$O$2,$D207,$D207-($D207-$I$184)*MIN(F$3-$O$2,$Q$2)/$Q$2))</f>
        <v>8740.79249381827</v>
      </c>
      <c r="G207" s="15" t="n">
        <f aca="false">F207*(1+IF(G$3&lt;=$O$2,$D207,$D207-($D207-$I$184)*MIN(G$3-$O$2,$Q$2)/$Q$2))</f>
        <v>9235.1793565927</v>
      </c>
      <c r="H207" s="15" t="n">
        <f aca="false">G207*(1+IF(H$3&lt;=$O$2,$D207,$D207-($D207-$I$184)*MIN(H$3-$O$2,$Q$2)/$Q$2))</f>
        <v>9757.5291724125</v>
      </c>
      <c r="I207" s="15" t="n">
        <f aca="false">H207*(1+IF(I$3&lt;=$O$2,$D207,$D207-($D207-$I$184)*MIN(I$3-$O$2,$Q$2)/$Q$2))</f>
        <v>10309.4235503411</v>
      </c>
      <c r="J207" s="15" t="n">
        <f aca="false">I207*(1+IF(J$3&lt;=$O$2,$D207,$D207-($D207-$I$184)*MIN(J$3-$O$2,$Q$2)/$Q$2))</f>
        <v>10813.6440455688</v>
      </c>
      <c r="K207" s="15" t="n">
        <f aca="false">J207*(1+IF(K$3&lt;=$O$2,$D207,$D207-($D207-$I$184)*MIN(K$3-$O$2,$Q$2)/$Q$2))</f>
        <v>11259.7774148923</v>
      </c>
      <c r="L207" s="15" t="n">
        <f aca="false">K207*(1+IF(L$3&lt;=$O$2,$D207,$D207-($D207-$I$184)*MIN(L$3-$O$2,$Q$2)/$Q$2))</f>
        <v>11638.1549114943</v>
      </c>
      <c r="M207" s="15" t="n">
        <f aca="false">L207*(1+IF(M$3&lt;=$O$2,$D207,$D207-($D207-$I$184)*MIN(M$3-$O$2,$Q$2)/$Q$2))</f>
        <v>11940.1903420726</v>
      </c>
      <c r="N207" s="15" t="n">
        <f aca="false">M207*(1+IF(N$3&lt;=$O$2,$D207,$D207-($D207-$I$184)*MIN(N$3-$O$2,$Q$2)/$Q$2))</f>
        <v>12158.6958253326</v>
      </c>
      <c r="O207" s="15" t="n">
        <f aca="false">SUMPRODUCT(E207:N207,1/(1+$F$184)^$E$3:$N$3)*$E$2</f>
        <v>19622.2611506773</v>
      </c>
      <c r="P207" s="15" t="n">
        <f aca="false">N207*$E$2*(1+$I$184)/($F$184-$I$184)/(1+$F$184)^$N$3</f>
        <v>28494.7139514712</v>
      </c>
      <c r="Q207" s="15" t="n">
        <f aca="false">O207+P207</f>
        <v>48116.9751021486</v>
      </c>
      <c r="R207" s="15" t="n">
        <f aca="false">Q207-$G$2+$I$2</f>
        <v>45599.9751021486</v>
      </c>
      <c r="S207" s="42" t="n">
        <f aca="false">R207/$K$2</f>
        <v>105.258240852566</v>
      </c>
      <c r="T207" s="43" t="n">
        <f aca="false">S207-$M$2</f>
        <v>-5.74716112851093E-005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0.0565608739852905</v>
      </c>
      <c r="C208" s="25" t="n">
        <f aca="false">IF(T207&gt;0,D207,C207)</f>
        <v>0.0565612316131592</v>
      </c>
      <c r="D208" s="41" t="n">
        <f aca="false">(B208+C208)/2</f>
        <v>0.0565610527992249</v>
      </c>
      <c r="E208" s="15" t="n">
        <f aca="false">$C$2*(1+IF(E$3&lt;=$O$2,$D208,$D208-($D208-$I$184)*MIN(E$3-$O$2,$Q$2)/$Q$2))</f>
        <v>8272.87304341793</v>
      </c>
      <c r="F208" s="15" t="n">
        <f aca="false">E208*(1+IF(F$3&lt;=$O$2,$D208,$D208-($D208-$I$184)*MIN(F$3-$O$2,$Q$2)/$Q$2))</f>
        <v>8740.79545242798</v>
      </c>
      <c r="G208" s="15" t="n">
        <f aca="false">F208*(1+IF(G$3&lt;=$O$2,$D208,$D208-($D208-$I$184)*MIN(G$3-$O$2,$Q$2)/$Q$2))</f>
        <v>9235.18404551998</v>
      </c>
      <c r="H208" s="15" t="n">
        <f aca="false">G208*(1+IF(H$3&lt;=$O$2,$D208,$D208-($D208-$I$184)*MIN(H$3-$O$2,$Q$2)/$Q$2))</f>
        <v>9757.53577792919</v>
      </c>
      <c r="I208" s="15" t="n">
        <f aca="false">H208*(1+IF(I$3&lt;=$O$2,$D208,$D208-($D208-$I$184)*MIN(I$3-$O$2,$Q$2)/$Q$2))</f>
        <v>10309.432274255</v>
      </c>
      <c r="J208" s="15" t="n">
        <f aca="false">I208*(1+IF(J$3&lt;=$O$2,$D208,$D208-($D208-$I$184)*MIN(J$3-$O$2,$Q$2)/$Q$2))</f>
        <v>10813.6546709341</v>
      </c>
      <c r="K208" s="15" t="n">
        <f aca="false">J208*(1+IF(K$3&lt;=$O$2,$D208,$D208-($D208-$I$184)*MIN(K$3-$O$2,$Q$2)/$Q$2))</f>
        <v>11259.7896388025</v>
      </c>
      <c r="L208" s="15" t="n">
        <f aca="false">K208*(1+IF(L$3&lt;=$O$2,$D208,$D208-($D208-$I$184)*MIN(L$3-$O$2,$Q$2)/$Q$2))</f>
        <v>11638.1683515439</v>
      </c>
      <c r="M208" s="15" t="n">
        <f aca="false">L208*(1+IF(M$3&lt;=$O$2,$D208,$D208-($D208-$I$184)*MIN(M$3-$O$2,$Q$2)/$Q$2))</f>
        <v>11940.2045471341</v>
      </c>
      <c r="N208" s="15" t="n">
        <f aca="false">M208*(1+IF(N$3&lt;=$O$2,$D208,$D208-($D208-$I$184)*MIN(N$3-$O$2,$Q$2)/$Q$2))</f>
        <v>12158.7102903467</v>
      </c>
      <c r="O208" s="15" t="n">
        <f aca="false">SUMPRODUCT(E208:N208,1/(1+$F$184)^$E$3:$N$3)*$E$2</f>
        <v>19622.2765770603</v>
      </c>
      <c r="P208" s="15" t="n">
        <f aca="false">N208*$E$2*(1+$I$184)/($F$184-$I$184)/(1+$F$184)^$N$3</f>
        <v>28494.7478511958</v>
      </c>
      <c r="Q208" s="15" t="n">
        <f aca="false">O208+P208</f>
        <v>48117.0244282561</v>
      </c>
      <c r="R208" s="15" t="n">
        <f aca="false">Q208-$G$2+$I$2</f>
        <v>45600.0244282561</v>
      </c>
      <c r="S208" s="42" t="n">
        <f aca="false">R208/$K$2</f>
        <v>105.258354711823</v>
      </c>
      <c r="T208" s="43" t="n">
        <f aca="false">S208-$M$2</f>
        <v>5.6387646182543E-005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0.0565608739852905</v>
      </c>
      <c r="C209" s="25" t="n">
        <f aca="false">IF(T208&gt;0,D208,C208)</f>
        <v>0.0565610527992249</v>
      </c>
      <c r="D209" s="41" t="n">
        <f aca="false">(B209+C209)/2</f>
        <v>0.0565609633922577</v>
      </c>
      <c r="E209" s="15" t="n">
        <f aca="false">$C$2*(1+IF(E$3&lt;=$O$2,$D209,$D209-($D209-$I$184)*MIN(E$3-$O$2,$Q$2)/$Q$2))</f>
        <v>8272.87234336138</v>
      </c>
      <c r="F209" s="15" t="n">
        <f aca="false">E209*(1+IF(F$3&lt;=$O$2,$D209,$D209-($D209-$I$184)*MIN(F$3-$O$2,$Q$2)/$Q$2))</f>
        <v>8740.79397312306</v>
      </c>
      <c r="G209" s="15" t="n">
        <f aca="false">F209*(1+IF(G$3&lt;=$O$2,$D209,$D209-($D209-$I$184)*MIN(G$3-$O$2,$Q$2)/$Q$2))</f>
        <v>9235.18170105614</v>
      </c>
      <c r="H209" s="15" t="n">
        <f aca="false">G209*(1+IF(H$3&lt;=$O$2,$D209,$D209-($D209-$I$184)*MIN(H$3-$O$2,$Q$2)/$Q$2))</f>
        <v>9757.53247517043</v>
      </c>
      <c r="I209" s="15" t="n">
        <f aca="false">H209*(1+IF(I$3&lt;=$O$2,$D209,$D209-($D209-$I$184)*MIN(I$3-$O$2,$Q$2)/$Q$2))</f>
        <v>10309.4279122973</v>
      </c>
      <c r="J209" s="15" t="n">
        <f aca="false">I209*(1+IF(J$3&lt;=$O$2,$D209,$D209-($D209-$I$184)*MIN(J$3-$O$2,$Q$2)/$Q$2))</f>
        <v>10813.6493582504</v>
      </c>
      <c r="K209" s="15" t="n">
        <f aca="false">J209*(1+IF(K$3&lt;=$O$2,$D209,$D209-($D209-$I$184)*MIN(K$3-$O$2,$Q$2)/$Q$2))</f>
        <v>11259.783526846</v>
      </c>
      <c r="L209" s="15" t="n">
        <f aca="false">K209*(1+IF(L$3&lt;=$O$2,$D209,$D209-($D209-$I$184)*MIN(L$3-$O$2,$Q$2)/$Q$2))</f>
        <v>11638.1616315174</v>
      </c>
      <c r="M209" s="15" t="n">
        <f aca="false">L209*(1+IF(M$3&lt;=$O$2,$D209,$D209-($D209-$I$184)*MIN(M$3-$O$2,$Q$2)/$Q$2))</f>
        <v>11940.1974446015</v>
      </c>
      <c r="N209" s="15" t="n">
        <f aca="false">M209*(1+IF(N$3&lt;=$O$2,$D209,$D209-($D209-$I$184)*MIN(N$3-$O$2,$Q$2)/$Q$2))</f>
        <v>12158.7030578377</v>
      </c>
      <c r="O209" s="15" t="n">
        <f aca="false">SUMPRODUCT(E209:N209,1/(1+$F$184)^$E$3:$N$3)*$E$2</f>
        <v>19622.2688638673</v>
      </c>
      <c r="P209" s="15" t="n">
        <f aca="false">N209*$E$2*(1+$I$184)/($F$184-$I$184)/(1+$F$184)^$N$3</f>
        <v>28494.7309013291</v>
      </c>
      <c r="Q209" s="15" t="n">
        <f aca="false">O209+P209</f>
        <v>48116.9997651964</v>
      </c>
      <c r="R209" s="15" t="n">
        <f aca="false">Q209-$G$2+$I$2</f>
        <v>45599.9997651964</v>
      </c>
      <c r="S209" s="42" t="n">
        <f aca="false">R209/$K$2</f>
        <v>105.258297782181</v>
      </c>
      <c r="T209" s="43" t="n">
        <f aca="false">S209-$M$2</f>
        <v>-5.41996215019935E-007</v>
      </c>
    </row>
    <row r="211" customFormat="false" ht="15" hidden="false" customHeight="false" outlineLevel="0" collapsed="false">
      <c r="A211" s="38" t="s">
        <v>179</v>
      </c>
      <c r="E211" s="5" t="s">
        <v>11</v>
      </c>
      <c r="F211" s="12" t="n">
        <f aca="false">Sensitivity!$B$11</f>
        <v>0.0771529104257703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153</v>
      </c>
      <c r="B212" s="28" t="s">
        <v>154</v>
      </c>
      <c r="C212" s="28" t="s">
        <v>155</v>
      </c>
      <c r="D212" s="28" t="s">
        <v>156</v>
      </c>
      <c r="E212" s="28" t="s">
        <v>157</v>
      </c>
      <c r="F212" s="28" t="s">
        <v>158</v>
      </c>
      <c r="G212" s="28" t="s">
        <v>159</v>
      </c>
      <c r="H212" s="28" t="s">
        <v>160</v>
      </c>
      <c r="I212" s="28" t="s">
        <v>161</v>
      </c>
      <c r="J212" s="28" t="s">
        <v>162</v>
      </c>
      <c r="K212" s="28" t="s">
        <v>163</v>
      </c>
      <c r="L212" s="28" t="s">
        <v>164</v>
      </c>
      <c r="M212" s="28" t="s">
        <v>165</v>
      </c>
      <c r="N212" s="28" t="s">
        <v>166</v>
      </c>
      <c r="O212" s="28" t="s">
        <v>167</v>
      </c>
      <c r="P212" s="28" t="s">
        <v>168</v>
      </c>
      <c r="Q212" s="28" t="s">
        <v>169</v>
      </c>
      <c r="R212" s="28" t="s">
        <v>170</v>
      </c>
      <c r="S212" s="28" t="s">
        <v>171</v>
      </c>
      <c r="T212" s="28" t="s">
        <v>172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9787.5</v>
      </c>
      <c r="F213" s="15" t="n">
        <f aca="false">E213*(1+IF(F$3&lt;=$O$2,$D213,$D213-($D213-$I$211)*MIN(F$3-$O$2,$Q$2)/$Q$2))</f>
        <v>12234.375</v>
      </c>
      <c r="G213" s="15" t="n">
        <f aca="false">F213*(1+IF(G$3&lt;=$O$2,$D213,$D213-($D213-$I$211)*MIN(G$3-$O$2,$Q$2)/$Q$2))</f>
        <v>15292.96875</v>
      </c>
      <c r="H213" s="15" t="n">
        <f aca="false">G213*(1+IF(H$3&lt;=$O$2,$D213,$D213-($D213-$I$211)*MIN(H$3-$O$2,$Q$2)/$Q$2))</f>
        <v>19116.2109375</v>
      </c>
      <c r="I213" s="15" t="n">
        <f aca="false">H213*(1+IF(I$3&lt;=$O$2,$D213,$D213-($D213-$I$211)*MIN(I$3-$O$2,$Q$2)/$Q$2))</f>
        <v>23895.263671875</v>
      </c>
      <c r="J213" s="15" t="n">
        <f aca="false">I213*(1+IF(J$3&lt;=$O$2,$D213,$D213-($D213-$I$211)*MIN(J$3-$O$2,$Q$2)/$Q$2))</f>
        <v>28785.6683349609</v>
      </c>
      <c r="K213" s="15" t="n">
        <f aca="false">J213*(1+IF(K$3&lt;=$O$2,$D213,$D213-($D213-$I$211)*MIN(K$3-$O$2,$Q$2)/$Q$2))</f>
        <v>33371.8010140869</v>
      </c>
      <c r="L213" s="15" t="n">
        <f aca="false">K213*(1+IF(L$3&lt;=$O$2,$D213,$D213-($D213-$I$211)*MIN(L$3-$O$2,$Q$2)/$Q$2))</f>
        <v>37175.5188936725</v>
      </c>
      <c r="M213" s="15" t="n">
        <f aca="false">L213*(1+IF(M$3&lt;=$O$2,$D213,$D213-($D213-$I$211)*MIN(M$3-$O$2,$Q$2)/$Q$2))</f>
        <v>39727.2465105342</v>
      </c>
      <c r="N213" s="15" t="n">
        <f aca="false">M213*(1+IF(N$3&lt;=$O$2,$D213,$D213-($D213-$I$211)*MIN(N$3-$O$2,$Q$2)/$Q$2))</f>
        <v>40652.8913542297</v>
      </c>
      <c r="O213" s="15" t="n">
        <f aca="false">SUMPRODUCT(E213:N213,1/(1+$F$211)^$E$3:$N$3)*$E$2</f>
        <v>45855.8997913402</v>
      </c>
      <c r="P213" s="15" t="n">
        <f aca="false">N213*$E$2*(1+$I$211)/($F$211-$I$211)/(1+$F$211)^$N$3</f>
        <v>104629.64285006</v>
      </c>
      <c r="Q213" s="15" t="n">
        <f aca="false">O213+P213</f>
        <v>150485.5426414</v>
      </c>
      <c r="R213" s="15" t="n">
        <f aca="false">Q213-$G$2+$I$2</f>
        <v>147968.5426414</v>
      </c>
      <c r="S213" s="42" t="n">
        <f aca="false">R213/$K$2</f>
        <v>341.555197454874</v>
      </c>
      <c r="T213" s="43" t="n">
        <f aca="false">S213-$M$2</f>
        <v>236.296899130697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6851.25</v>
      </c>
      <c r="F214" s="15" t="n">
        <f aca="false">E214*(1+IF(F$3&lt;=$O$2,$D214,$D214-($D214-$I$211)*MIN(F$3-$O$2,$Q$2)/$Q$2))</f>
        <v>5994.84375</v>
      </c>
      <c r="G214" s="15" t="n">
        <f aca="false">F214*(1+IF(G$3&lt;=$O$2,$D214,$D214-($D214-$I$211)*MIN(G$3-$O$2,$Q$2)/$Q$2))</f>
        <v>5245.48828125</v>
      </c>
      <c r="H214" s="15" t="n">
        <f aca="false">G214*(1+IF(H$3&lt;=$O$2,$D214,$D214-($D214-$I$211)*MIN(H$3-$O$2,$Q$2)/$Q$2))</f>
        <v>4589.80224609375</v>
      </c>
      <c r="I214" s="15" t="n">
        <f aca="false">H214*(1+IF(I$3&lt;=$O$2,$D214,$D214-($D214-$I$211)*MIN(I$3-$O$2,$Q$2)/$Q$2))</f>
        <v>4016.07696533203</v>
      </c>
      <c r="J214" s="15" t="n">
        <f aca="false">I214*(1+IF(J$3&lt;=$O$2,$D214,$D214-($D214-$I$211)*MIN(J$3-$O$2,$Q$2)/$Q$2))</f>
        <v>3633.18418745728</v>
      </c>
      <c r="K214" s="15" t="n">
        <f aca="false">J214*(1+IF(K$3&lt;=$O$2,$D214,$D214-($D214-$I$211)*MIN(K$3-$O$2,$Q$2)/$Q$2))</f>
        <v>3394.55665002508</v>
      </c>
      <c r="L214" s="15" t="n">
        <f aca="false">K214*(1+IF(L$3&lt;=$O$2,$D214,$D214-($D214-$I$211)*MIN(L$3-$O$2,$Q$2)/$Q$2))</f>
        <v>3272.28471949118</v>
      </c>
      <c r="M214" s="15" t="n">
        <f aca="false">L214*(1+IF(M$3&lt;=$O$2,$D214,$D214-($D214-$I$211)*MIN(M$3-$O$2,$Q$2)/$Q$2))</f>
        <v>3251.47298867521</v>
      </c>
      <c r="N214" s="15" t="n">
        <f aca="false">M214*(1+IF(N$3&lt;=$O$2,$D214,$D214-($D214-$I$211)*MIN(N$3-$O$2,$Q$2)/$Q$2))</f>
        <v>3327.23230931135</v>
      </c>
      <c r="O214" s="15" t="n">
        <f aca="false">SUMPRODUCT(E214:N214,1/(1+$F$211)^$E$3:$N$3)*$E$2</f>
        <v>8914.55807952459</v>
      </c>
      <c r="P214" s="15" t="n">
        <f aca="false">N214*$E$2*(1+$I$211)/($F$211-$I$211)/(1+$F$211)^$N$3</f>
        <v>8563.40389590043</v>
      </c>
      <c r="Q214" s="15" t="n">
        <f aca="false">O214+P214</f>
        <v>17477.961975425</v>
      </c>
      <c r="R214" s="15" t="n">
        <f aca="false">Q214-$G$2+$I$2</f>
        <v>14960.961975425</v>
      </c>
      <c r="S214" s="42" t="n">
        <f aca="false">R214/$K$2</f>
        <v>34.5343289216218</v>
      </c>
      <c r="T214" s="43" t="n">
        <f aca="false">S214-$M$2</f>
        <v>-70.7239694025553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8319.375</v>
      </c>
      <c r="F215" s="15" t="n">
        <f aca="false">E215*(1+IF(F$3&lt;=$O$2,$D215,$D215-($D215-$I$211)*MIN(F$3-$O$2,$Q$2)/$Q$2))</f>
        <v>8839.3359375</v>
      </c>
      <c r="G215" s="15" t="n">
        <f aca="false">F215*(1+IF(G$3&lt;=$O$2,$D215,$D215-($D215-$I$211)*MIN(G$3-$O$2,$Q$2)/$Q$2))</f>
        <v>9391.79443359375</v>
      </c>
      <c r="H215" s="15" t="n">
        <f aca="false">G215*(1+IF(H$3&lt;=$O$2,$D215,$D215-($D215-$I$211)*MIN(H$3-$O$2,$Q$2)/$Q$2))</f>
        <v>9978.78158569336</v>
      </c>
      <c r="I215" s="15" t="n">
        <f aca="false">H215*(1+IF(I$3&lt;=$O$2,$D215,$D215-($D215-$I$211)*MIN(I$3-$O$2,$Q$2)/$Q$2))</f>
        <v>10602.4554347992</v>
      </c>
      <c r="J215" s="15" t="n">
        <f aca="false">I215*(1+IF(J$3&lt;=$O$2,$D215,$D215-($D215-$I$211)*MIN(J$3-$O$2,$Q$2)/$Q$2))</f>
        <v>11181.9856488653</v>
      </c>
      <c r="K215" s="15" t="n">
        <f aca="false">J215*(1+IF(K$3&lt;=$O$2,$D215,$D215-($D215-$I$211)*MIN(K$3-$O$2,$Q$2)/$Q$2))</f>
        <v>11705.5262169452</v>
      </c>
      <c r="L215" s="15" t="n">
        <f aca="false">K215*(1+IF(L$3&lt;=$O$2,$D215,$D215-($D215-$I$211)*MIN(L$3-$O$2,$Q$2)/$Q$2))</f>
        <v>12161.8076288817</v>
      </c>
      <c r="M215" s="15" t="n">
        <f aca="false">L215*(1+IF(M$3&lt;=$O$2,$D215,$D215-($D215-$I$211)*MIN(M$3-$O$2,$Q$2)/$Q$2))</f>
        <v>12540.5263184451</v>
      </c>
      <c r="N215" s="15" t="n">
        <f aca="false">M215*(1+IF(N$3&lt;=$O$2,$D215,$D215-($D215-$I$211)*MIN(N$3-$O$2,$Q$2)/$Q$2))</f>
        <v>12832.7205816649</v>
      </c>
      <c r="O215" s="15" t="n">
        <f aca="false">SUMPRODUCT(E215:N215,1/(1+$F$211)^$E$3:$N$3)*$E$2</f>
        <v>20202.5915568362</v>
      </c>
      <c r="P215" s="15" t="n">
        <f aca="false">N215*$E$2*(1+$I$211)/($F$211-$I$211)/(1+$F$211)^$N$3</f>
        <v>33027.9821810144</v>
      </c>
      <c r="Q215" s="15" t="n">
        <f aca="false">O215+P215</f>
        <v>53230.5737378506</v>
      </c>
      <c r="R215" s="15" t="n">
        <f aca="false">Q215-$G$2+$I$2</f>
        <v>50713.5737378506</v>
      </c>
      <c r="S215" s="42" t="n">
        <f aca="false">R215/$K$2</f>
        <v>117.061940210172</v>
      </c>
      <c r="T215" s="43" t="n">
        <f aca="false">S215-$M$2</f>
        <v>11.8036418859946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7585.3125</v>
      </c>
      <c r="F216" s="15" t="n">
        <f aca="false">E216*(1+IF(F$3&lt;=$O$2,$D216,$D216-($D216-$I$211)*MIN(F$3-$O$2,$Q$2)/$Q$2))</f>
        <v>7348.271484375</v>
      </c>
      <c r="G216" s="15" t="n">
        <f aca="false">F216*(1+IF(G$3&lt;=$O$2,$D216,$D216-($D216-$I$211)*MIN(G$3-$O$2,$Q$2)/$Q$2))</f>
        <v>7118.63800048828</v>
      </c>
      <c r="H216" s="15" t="n">
        <f aca="false">G216*(1+IF(H$3&lt;=$O$2,$D216,$D216-($D216-$I$211)*MIN(H$3-$O$2,$Q$2)/$Q$2))</f>
        <v>6896.18056297302</v>
      </c>
      <c r="I216" s="15" t="n">
        <f aca="false">H216*(1+IF(I$3&lt;=$O$2,$D216,$D216-($D216-$I$211)*MIN(I$3-$O$2,$Q$2)/$Q$2))</f>
        <v>6680.67492038012</v>
      </c>
      <c r="J216" s="15" t="n">
        <f aca="false">I216*(1+IF(J$3&lt;=$O$2,$D216,$D216-($D216-$I$211)*MIN(J$3-$O$2,$Q$2)/$Q$2))</f>
        <v>6544.78999249958</v>
      </c>
      <c r="K216" s="15" t="n">
        <f aca="false">J216*(1+IF(K$3&lt;=$O$2,$D216,$D216-($D216-$I$211)*MIN(K$3-$O$2,$Q$2)/$Q$2))</f>
        <v>6483.07262287031</v>
      </c>
      <c r="L216" s="15" t="n">
        <f aca="false">K216*(1+IF(L$3&lt;=$O$2,$D216,$D216-($D216-$I$211)*MIN(L$3-$O$2,$Q$2)/$Q$2))</f>
        <v>6492.66757035216</v>
      </c>
      <c r="M216" s="15" t="n">
        <f aca="false">L216*(1+IF(M$3&lt;=$O$2,$D216,$D216-($D216-$I$211)*MIN(M$3-$O$2,$Q$2)/$Q$2))</f>
        <v>6573.11172154882</v>
      </c>
      <c r="N216" s="15" t="n">
        <f aca="false">M216*(1+IF(N$3&lt;=$O$2,$D216,$D216-($D216-$I$211)*MIN(N$3-$O$2,$Q$2)/$Q$2))</f>
        <v>6726.26522466091</v>
      </c>
      <c r="O216" s="15" t="n">
        <f aca="false">SUMPRODUCT(E216:N216,1/(1+$F$211)^$E$3:$N$3)*$E$2</f>
        <v>13383.8237320161</v>
      </c>
      <c r="P216" s="15" t="n">
        <f aca="false">N216*$E$2*(1+$I$211)/($F$211-$I$211)/(1+$F$211)^$N$3</f>
        <v>17311.6033011962</v>
      </c>
      <c r="Q216" s="15" t="n">
        <f aca="false">O216+P216</f>
        <v>30695.4270332122</v>
      </c>
      <c r="R216" s="15" t="n">
        <f aca="false">Q216-$G$2+$I$2</f>
        <v>28178.4270332122</v>
      </c>
      <c r="S216" s="42" t="n">
        <f aca="false">R216/$K$2</f>
        <v>65.0441508545594</v>
      </c>
      <c r="T216" s="43" t="n">
        <f aca="false">S216-$M$2</f>
        <v>-40.2141474696177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7952.34375</v>
      </c>
      <c r="F217" s="15" t="n">
        <f aca="false">E217*(1+IF(F$3&lt;=$O$2,$D217,$D217-($D217-$I$211)*MIN(F$3-$O$2,$Q$2)/$Q$2))</f>
        <v>8076.59912109375</v>
      </c>
      <c r="G217" s="15" t="n">
        <f aca="false">F217*(1+IF(G$3&lt;=$O$2,$D217,$D217-($D217-$I$211)*MIN(G$3-$O$2,$Q$2)/$Q$2))</f>
        <v>8202.79598236084</v>
      </c>
      <c r="H217" s="15" t="n">
        <f aca="false">G217*(1+IF(H$3&lt;=$O$2,$D217,$D217-($D217-$I$211)*MIN(H$3-$O$2,$Q$2)/$Q$2))</f>
        <v>8330.96466958523</v>
      </c>
      <c r="I217" s="15" t="n">
        <f aca="false">H217*(1+IF(I$3&lt;=$O$2,$D217,$D217-($D217-$I$211)*MIN(I$3-$O$2,$Q$2)/$Q$2))</f>
        <v>8461.1359925475</v>
      </c>
      <c r="J217" s="15" t="n">
        <f aca="false">I217*(1+IF(J$3&lt;=$O$2,$D217,$D217-($D217-$I$211)*MIN(J$3-$O$2,$Q$2)/$Q$2))</f>
        <v>8606.32908617961</v>
      </c>
      <c r="K217" s="15" t="n">
        <f aca="false">J217*(1+IF(K$3&lt;=$O$2,$D217,$D217-($D217-$I$211)*MIN(K$3-$O$2,$Q$2)/$Q$2))</f>
        <v>8767.22440844574</v>
      </c>
      <c r="L217" s="15" t="n">
        <f aca="false">K217*(1+IF(L$3&lt;=$O$2,$D217,$D217-($D217-$I$211)*MIN(L$3-$O$2,$Q$2)/$Q$2))</f>
        <v>8944.5853582286</v>
      </c>
      <c r="M217" s="15" t="n">
        <f aca="false">L217*(1+IF(M$3&lt;=$O$2,$D217,$D217-($D217-$I$211)*MIN(M$3-$O$2,$Q$2)/$Q$2))</f>
        <v>9139.26425855044</v>
      </c>
      <c r="N217" s="15" t="n">
        <f aca="false">M217*(1+IF(N$3&lt;=$O$2,$D217,$D217-($D217-$I$211)*MIN(N$3-$O$2,$Q$2)/$Q$2))</f>
        <v>9352.20911577467</v>
      </c>
      <c r="O217" s="15" t="n">
        <f aca="false">SUMPRODUCT(E217:N217,1/(1+$F$211)^$E$3:$N$3)*$E$2</f>
        <v>16437.8987099553</v>
      </c>
      <c r="P217" s="15" t="n">
        <f aca="false">N217*$E$2*(1+$I$211)/($F$211-$I$211)/(1+$F$211)^$N$3</f>
        <v>24070.0788319395</v>
      </c>
      <c r="Q217" s="15" t="n">
        <f aca="false">O217+P217</f>
        <v>40507.9775418949</v>
      </c>
      <c r="R217" s="15" t="n">
        <f aca="false">Q217-$G$2+$I$2</f>
        <v>37990.9775418949</v>
      </c>
      <c r="S217" s="42" t="n">
        <f aca="false">R217/$K$2</f>
        <v>87.6944220993834</v>
      </c>
      <c r="T217" s="43" t="n">
        <f aca="false">S217-$M$2</f>
        <v>-17.5638762247937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41" t="n">
        <f aca="false">(B218+C218)/2</f>
        <v>0.0390625</v>
      </c>
      <c r="E218" s="15" t="n">
        <f aca="false">$C$2*(1+IF(E$3&lt;=$O$2,$D218,$D218-($D218-$I$211)*MIN(E$3-$O$2,$Q$2)/$Q$2))</f>
        <v>8135.859375</v>
      </c>
      <c r="F218" s="15" t="n">
        <f aca="false">E218*(1+IF(F$3&lt;=$O$2,$D218,$D218-($D218-$I$211)*MIN(F$3-$O$2,$Q$2)/$Q$2))</f>
        <v>8453.66638183594</v>
      </c>
      <c r="G218" s="15" t="n">
        <f aca="false">F218*(1+IF(G$3&lt;=$O$2,$D218,$D218-($D218-$I$211)*MIN(G$3-$O$2,$Q$2)/$Q$2))</f>
        <v>8783.8877248764</v>
      </c>
      <c r="H218" s="15" t="n">
        <f aca="false">G218*(1+IF(H$3&lt;=$O$2,$D218,$D218-($D218-$I$211)*MIN(H$3-$O$2,$Q$2)/$Q$2))</f>
        <v>9127.00833912939</v>
      </c>
      <c r="I218" s="15" t="n">
        <f aca="false">H218*(1+IF(I$3&lt;=$O$2,$D218,$D218-($D218-$I$211)*MIN(I$3-$O$2,$Q$2)/$Q$2))</f>
        <v>9483.53210237663</v>
      </c>
      <c r="J218" s="15" t="n">
        <f aca="false">I218*(1+IF(J$3&lt;=$O$2,$D218,$D218-($D218-$I$211)*MIN(J$3-$O$2,$Q$2)/$Q$2))</f>
        <v>9824.08574017297</v>
      </c>
      <c r="K218" s="15" t="n">
        <f aca="false">J218*(1+IF(K$3&lt;=$O$2,$D218,$D218-($D218-$I$211)*MIN(K$3-$O$2,$Q$2)/$Q$2))</f>
        <v>10145.8982288067</v>
      </c>
      <c r="L218" s="15" t="n">
        <f aca="false">K218*(1+IF(L$3&lt;=$O$2,$D218,$D218-($D218-$I$211)*MIN(L$3-$O$2,$Q$2)/$Q$2))</f>
        <v>10446.2675458705</v>
      </c>
      <c r="M218" s="15" t="n">
        <f aca="false">L218*(1+IF(M$3&lt;=$O$2,$D218,$D218-($D218-$I$211)*MIN(M$3-$O$2,$Q$2)/$Q$2))</f>
        <v>10722.5974381277</v>
      </c>
      <c r="N218" s="15" t="n">
        <f aca="false">M218*(1+IF(N$3&lt;=$O$2,$D218,$D218-($D218-$I$211)*MIN(N$3-$O$2,$Q$2)/$Q$2))</f>
        <v>10972.433958436</v>
      </c>
      <c r="O218" s="15" t="n">
        <f aca="false">SUMPRODUCT(E218:N218,1/(1+$F$211)^$E$3:$N$3)*$E$2</f>
        <v>18222.4915438336</v>
      </c>
      <c r="P218" s="15" t="n">
        <f aca="false">N218*$E$2*(1+$I$211)/($F$211-$I$211)/(1+$F$211)^$N$3</f>
        <v>28240.1031765134</v>
      </c>
      <c r="Q218" s="15" t="n">
        <f aca="false">O218+P218</f>
        <v>46462.594720347</v>
      </c>
      <c r="R218" s="15" t="n">
        <f aca="false">Q218-$G$2+$I$2</f>
        <v>43945.594720347</v>
      </c>
      <c r="S218" s="42" t="n">
        <f aca="false">R218/$K$2</f>
        <v>101.439441208501</v>
      </c>
      <c r="T218" s="43" t="n">
        <f aca="false">S218-$M$2</f>
        <v>-3.81885711567573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0.0390625</v>
      </c>
      <c r="C219" s="25" t="n">
        <f aca="false">IF(T218&gt;0,D218,C218)</f>
        <v>0.0625</v>
      </c>
      <c r="D219" s="41" t="n">
        <f aca="false">(B219+C219)/2</f>
        <v>0.05078125</v>
      </c>
      <c r="E219" s="15" t="n">
        <f aca="false">$C$2*(1+IF(E$3&lt;=$O$2,$D219,$D219-($D219-$I$211)*MIN(E$3-$O$2,$Q$2)/$Q$2))</f>
        <v>8227.6171875</v>
      </c>
      <c r="F219" s="15" t="n">
        <f aca="false">E219*(1+IF(F$3&lt;=$O$2,$D219,$D219-($D219-$I$211)*MIN(F$3-$O$2,$Q$2)/$Q$2))</f>
        <v>8645.42587280273</v>
      </c>
      <c r="G219" s="15" t="n">
        <f aca="false">F219*(1+IF(G$3&lt;=$O$2,$D219,$D219-($D219-$I$211)*MIN(G$3-$O$2,$Q$2)/$Q$2))</f>
        <v>9084.451405406</v>
      </c>
      <c r="H219" s="15" t="n">
        <f aca="false">G219*(1+IF(H$3&lt;=$O$2,$D219,$D219-($D219-$I$211)*MIN(H$3-$O$2,$Q$2)/$Q$2))</f>
        <v>9545.77120333677</v>
      </c>
      <c r="I219" s="15" t="n">
        <f aca="false">H219*(1+IF(I$3&lt;=$O$2,$D219,$D219-($D219-$I$211)*MIN(I$3-$O$2,$Q$2)/$Q$2))</f>
        <v>10030.5173972562</v>
      </c>
      <c r="J219" s="15" t="n">
        <f aca="false">I219*(1+IF(J$3&lt;=$O$2,$D219,$D219-($D219-$I$211)*MIN(J$3-$O$2,$Q$2)/$Q$2))</f>
        <v>10484.749377591</v>
      </c>
      <c r="K219" s="15" t="n">
        <f aca="false">J219*(1+IF(K$3&lt;=$O$2,$D219,$D219-($D219-$I$211)*MIN(K$3-$O$2,$Q$2)/$Q$2))</f>
        <v>10901.9244493886</v>
      </c>
      <c r="L219" s="15" t="n">
        <f aca="false">K219*(1+IF(L$3&lt;=$O$2,$D219,$D219-($D219-$I$211)*MIN(L$3-$O$2,$Q$2)/$Q$2))</f>
        <v>11275.7786935692</v>
      </c>
      <c r="M219" s="15" t="n">
        <f aca="false">L219*(1+IF(M$3&lt;=$O$2,$D219,$D219-($D219-$I$211)*MIN(M$3-$O$2,$Q$2)/$Q$2))</f>
        <v>11600.4788357739</v>
      </c>
      <c r="N219" s="15" t="n">
        <f aca="false">M219*(1+IF(N$3&lt;=$O$2,$D219,$D219-($D219-$I$211)*MIN(N$3-$O$2,$Q$2)/$Q$2))</f>
        <v>11870.7699926475</v>
      </c>
      <c r="O219" s="15" t="n">
        <f aca="false">SUMPRODUCT(E219:N219,1/(1+$F$211)^$E$3:$N$3)*$E$2</f>
        <v>19186.9024367581</v>
      </c>
      <c r="P219" s="15" t="n">
        <f aca="false">N219*$E$2*(1+$I$211)/($F$211-$I$211)/(1+$F$211)^$N$3</f>
        <v>30552.1792746161</v>
      </c>
      <c r="Q219" s="15" t="n">
        <f aca="false">O219+P219</f>
        <v>49739.0817113742</v>
      </c>
      <c r="R219" s="15" t="n">
        <f aca="false">Q219-$G$2+$I$2</f>
        <v>47222.0817113742</v>
      </c>
      <c r="S219" s="42" t="n">
        <f aca="false">R219/$K$2</f>
        <v>109.002543075976</v>
      </c>
      <c r="T219" s="43" t="n">
        <f aca="false">S219-$M$2</f>
        <v>3.74424475179865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0.0390625</v>
      </c>
      <c r="C220" s="25" t="n">
        <f aca="false">IF(T219&gt;0,D219,C219)</f>
        <v>0.05078125</v>
      </c>
      <c r="D220" s="41" t="n">
        <f aca="false">(B220+C220)/2</f>
        <v>0.044921875</v>
      </c>
      <c r="E220" s="15" t="n">
        <f aca="false">$C$2*(1+IF(E$3&lt;=$O$2,$D220,$D220-($D220-$I$211)*MIN(E$3-$O$2,$Q$2)/$Q$2))</f>
        <v>8181.73828125</v>
      </c>
      <c r="F220" s="15" t="n">
        <f aca="false">E220*(1+IF(F$3&lt;=$O$2,$D220,$D220-($D220-$I$211)*MIN(F$3-$O$2,$Q$2)/$Q$2))</f>
        <v>8549.27730560303</v>
      </c>
      <c r="G220" s="15" t="n">
        <f aca="false">F220*(1+IF(G$3&lt;=$O$2,$D220,$D220-($D220-$I$211)*MIN(G$3-$O$2,$Q$2)/$Q$2))</f>
        <v>8933.32687206566</v>
      </c>
      <c r="H220" s="15" t="n">
        <f aca="false">G220*(1+IF(H$3&lt;=$O$2,$D220,$D220-($D220-$I$211)*MIN(H$3-$O$2,$Q$2)/$Q$2))</f>
        <v>9334.62866514674</v>
      </c>
      <c r="I220" s="15" t="n">
        <f aca="false">H220*(1+IF(I$3&lt;=$O$2,$D220,$D220-($D220-$I$211)*MIN(I$3-$O$2,$Q$2)/$Q$2))</f>
        <v>9753.95768721388</v>
      </c>
      <c r="J220" s="15" t="n">
        <f aca="false">I220*(1+IF(J$3&lt;=$O$2,$D220,$D220-($D220-$I$211)*MIN(J$3-$O$2,$Q$2)/$Q$2))</f>
        <v>10149.9439844205</v>
      </c>
      <c r="K220" s="15" t="n">
        <f aca="false">J220*(1+IF(K$3&lt;=$O$2,$D220,$D220-($D220-$I$211)*MIN(K$3-$O$2,$Q$2)/$Q$2))</f>
        <v>10518.1141713104</v>
      </c>
      <c r="L220" s="15" t="n">
        <f aca="false">K220*(1+IF(L$3&lt;=$O$2,$D220,$D220-($D220-$I$211)*MIN(L$3-$O$2,$Q$2)/$Q$2))</f>
        <v>10854.1547714411</v>
      </c>
      <c r="M220" s="15" t="n">
        <f aca="false">L220*(1+IF(M$3&lt;=$O$2,$D220,$D220-($D220-$I$211)*MIN(M$3-$O$2,$Q$2)/$Q$2))</f>
        <v>11153.9940131554</v>
      </c>
      <c r="N220" s="15" t="n">
        <f aca="false">M220*(1+IF(N$3&lt;=$O$2,$D220,$D220-($D220-$I$211)*MIN(N$3-$O$2,$Q$2)/$Q$2))</f>
        <v>11413.8820736619</v>
      </c>
      <c r="O220" s="15" t="n">
        <f aca="false">SUMPRODUCT(E220:N220,1/(1+$F$211)^$E$3:$N$3)*$E$2</f>
        <v>18698.4412669389</v>
      </c>
      <c r="P220" s="15" t="n">
        <f aca="false">N220*$E$2*(1+$I$211)/($F$211-$I$211)/(1+$F$211)^$N$3</f>
        <v>29376.2722679183</v>
      </c>
      <c r="Q220" s="15" t="n">
        <f aca="false">O220+P220</f>
        <v>48074.7135348572</v>
      </c>
      <c r="R220" s="15" t="n">
        <f aca="false">Q220-$G$2+$I$2</f>
        <v>45557.7135348572</v>
      </c>
      <c r="S220" s="42" t="n">
        <f aca="false">R220/$K$2</f>
        <v>105.160688645162</v>
      </c>
      <c r="T220" s="43" t="n">
        <f aca="false">S220-$M$2</f>
        <v>-0.0976096790148944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0.044921875</v>
      </c>
      <c r="C221" s="25" t="n">
        <f aca="false">IF(T220&gt;0,D220,C220)</f>
        <v>0.05078125</v>
      </c>
      <c r="D221" s="41" t="n">
        <f aca="false">(B221+C221)/2</f>
        <v>0.0478515625</v>
      </c>
      <c r="E221" s="15" t="n">
        <f aca="false">$C$2*(1+IF(E$3&lt;=$O$2,$D221,$D221-($D221-$I$211)*MIN(E$3-$O$2,$Q$2)/$Q$2))</f>
        <v>8204.677734375</v>
      </c>
      <c r="F221" s="15" t="n">
        <f aca="false">E221*(1+IF(F$3&lt;=$O$2,$D221,$D221-($D221-$I$211)*MIN(F$3-$O$2,$Q$2)/$Q$2))</f>
        <v>8597.2843837738</v>
      </c>
      <c r="G221" s="15" t="n">
        <f aca="false">F221*(1+IF(G$3&lt;=$O$2,$D221,$D221-($D221-$I$211)*MIN(G$3-$O$2,$Q$2)/$Q$2))</f>
        <v>9008.67787479423</v>
      </c>
      <c r="H221" s="15" t="n">
        <f aca="false">G221*(1+IF(H$3&lt;=$O$2,$D221,$D221-($D221-$I$211)*MIN(H$3-$O$2,$Q$2)/$Q$2))</f>
        <v>9439.75718716231</v>
      </c>
      <c r="I221" s="15" t="n">
        <f aca="false">H221*(1+IF(I$3&lt;=$O$2,$D221,$D221-($D221-$I$211)*MIN(I$3-$O$2,$Q$2)/$Q$2))</f>
        <v>9891.46431818864</v>
      </c>
      <c r="J221" s="15" t="n">
        <f aca="false">I221*(1+IF(J$3&lt;=$O$2,$D221,$D221-($D221-$I$211)*MIN(J$3-$O$2,$Q$2)/$Q$2))</f>
        <v>10316.2161603421</v>
      </c>
      <c r="K221" s="15" t="n">
        <f aca="false">J221*(1+IF(K$3&lt;=$O$2,$D221,$D221-($D221-$I$211)*MIN(K$3-$O$2,$Q$2)/$Q$2))</f>
        <v>10708.5515323725</v>
      </c>
      <c r="L221" s="15" t="n">
        <f aca="false">K221*(1+IF(L$3&lt;=$O$2,$D221,$D221-($D221-$I$211)*MIN(L$3-$O$2,$Q$2)/$Q$2))</f>
        <v>11063.2254519694</v>
      </c>
      <c r="M221" s="15" t="n">
        <f aca="false">L221*(1+IF(M$3&lt;=$O$2,$D221,$D221-($D221-$I$211)*MIN(M$3-$O$2,$Q$2)/$Q$2))</f>
        <v>11375.3224992274</v>
      </c>
      <c r="N221" s="15" t="n">
        <f aca="false">M221*(1+IF(N$3&lt;=$O$2,$D221,$D221-($D221-$I$211)*MIN(N$3-$O$2,$Q$2)/$Q$2))</f>
        <v>11640.3675134594</v>
      </c>
      <c r="O221" s="15" t="n">
        <f aca="false">SUMPRODUCT(E221:N221,1/(1+$F$211)^$E$3:$N$3)*$E$2</f>
        <v>18941.0889167272</v>
      </c>
      <c r="P221" s="15" t="n">
        <f aca="false">N221*$E$2*(1+$I$211)/($F$211-$I$211)/(1+$F$211)^$N$3</f>
        <v>29959.1850666726</v>
      </c>
      <c r="Q221" s="15" t="n">
        <f aca="false">O221+P221</f>
        <v>48900.2739833999</v>
      </c>
      <c r="R221" s="15" t="n">
        <f aca="false">Q221-$G$2+$I$2</f>
        <v>46383.2739833999</v>
      </c>
      <c r="S221" s="42" t="n">
        <f aca="false">R221/$K$2</f>
        <v>107.066326539402</v>
      </c>
      <c r="T221" s="43" t="n">
        <f aca="false">S221-$M$2</f>
        <v>1.80802821522515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0.044921875</v>
      </c>
      <c r="C222" s="25" t="n">
        <f aca="false">IF(T221&gt;0,D221,C221)</f>
        <v>0.0478515625</v>
      </c>
      <c r="D222" s="41" t="n">
        <f aca="false">(B222+C222)/2</f>
        <v>0.04638671875</v>
      </c>
      <c r="E222" s="15" t="n">
        <f aca="false">$C$2*(1+IF(E$3&lt;=$O$2,$D222,$D222-($D222-$I$211)*MIN(E$3-$O$2,$Q$2)/$Q$2))</f>
        <v>8193.2080078125</v>
      </c>
      <c r="F222" s="15" t="n">
        <f aca="false">E222*(1+IF(F$3&lt;=$O$2,$D222,$D222-($D222-$I$211)*MIN(F$3-$O$2,$Q$2)/$Q$2))</f>
        <v>8573.26404333115</v>
      </c>
      <c r="G222" s="15" t="n">
        <f aca="false">F222*(1+IF(G$3&lt;=$O$2,$D222,$D222-($D222-$I$211)*MIN(G$3-$O$2,$Q$2)/$Q$2))</f>
        <v>8970.94963127864</v>
      </c>
      <c r="H222" s="15" t="n">
        <f aca="false">G222*(1+IF(H$3&lt;=$O$2,$D222,$D222-($D222-$I$211)*MIN(H$3-$O$2,$Q$2)/$Q$2))</f>
        <v>9387.08254874518</v>
      </c>
      <c r="I222" s="15" t="n">
        <f aca="false">H222*(1+IF(I$3&lt;=$O$2,$D222,$D222-($D222-$I$211)*MIN(I$3-$O$2,$Q$2)/$Q$2))</f>
        <v>9822.51850681685</v>
      </c>
      <c r="J222" s="15" t="n">
        <f aca="false">I222*(1+IF(J$3&lt;=$O$2,$D222,$D222-($D222-$I$211)*MIN(J$3-$O$2,$Q$2)/$Q$2))</f>
        <v>10232.7989657725</v>
      </c>
      <c r="K222" s="15" t="n">
        <f aca="false">J222*(1+IF(K$3&lt;=$O$2,$D222,$D222-($D222-$I$211)*MIN(K$3-$O$2,$Q$2)/$Q$2))</f>
        <v>10612.9682327239</v>
      </c>
      <c r="L222" s="15" t="n">
        <f aca="false">K222*(1+IF(L$3&lt;=$O$2,$D222,$D222-($D222-$I$211)*MIN(L$3-$O$2,$Q$2)/$Q$2))</f>
        <v>10958.257837623</v>
      </c>
      <c r="M222" s="15" t="n">
        <f aca="false">L222*(1+IF(M$3&lt;=$O$2,$D222,$D222-($D222-$I$211)*MIN(M$3-$O$2,$Q$2)/$Q$2))</f>
        <v>11264.183288577</v>
      </c>
      <c r="N222" s="15" t="n">
        <f aca="false">M222*(1+IF(N$3&lt;=$O$2,$D222,$D222-($D222-$I$211)*MIN(N$3-$O$2,$Q$2)/$Q$2))</f>
        <v>11526.6387592009</v>
      </c>
      <c r="O222" s="15" t="n">
        <f aca="false">SUMPRODUCT(E222:N222,1/(1+$F$211)^$E$3:$N$3)*$E$2</f>
        <v>18819.3717492251</v>
      </c>
      <c r="P222" s="15" t="n">
        <f aca="false">N222*$E$2*(1+$I$211)/($F$211-$I$211)/(1+$F$211)^$N$3</f>
        <v>29666.4777451646</v>
      </c>
      <c r="Q222" s="15" t="n">
        <f aca="false">O222+P222</f>
        <v>48485.8494943896</v>
      </c>
      <c r="R222" s="15" t="n">
        <f aca="false">Q222-$G$2+$I$2</f>
        <v>45968.8494943896</v>
      </c>
      <c r="S222" s="42" t="n">
        <f aca="false">R222/$K$2</f>
        <v>106.109712142536</v>
      </c>
      <c r="T222" s="43" t="n">
        <f aca="false">S222-$M$2</f>
        <v>0.851413818359333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0.044921875</v>
      </c>
      <c r="C223" s="25" t="n">
        <f aca="false">IF(T222&gt;0,D222,C222)</f>
        <v>0.04638671875</v>
      </c>
      <c r="D223" s="41" t="n">
        <f aca="false">(B223+C223)/2</f>
        <v>0.045654296875</v>
      </c>
      <c r="E223" s="15" t="n">
        <f aca="false">$C$2*(1+IF(E$3&lt;=$O$2,$D223,$D223-($D223-$I$211)*MIN(E$3-$O$2,$Q$2)/$Q$2))</f>
        <v>8187.47314453125</v>
      </c>
      <c r="F223" s="15" t="n">
        <f aca="false">E223*(1+IF(F$3&lt;=$O$2,$D223,$D223-($D223-$I$211)*MIN(F$3-$O$2,$Q$2)/$Q$2))</f>
        <v>8561.26647412777</v>
      </c>
      <c r="G223" s="15" t="n">
        <f aca="false">F223*(1+IF(G$3&lt;=$O$2,$D223,$D223-($D223-$I$211)*MIN(G$3-$O$2,$Q$2)/$Q$2))</f>
        <v>8952.12507536358</v>
      </c>
      <c r="H223" s="15" t="n">
        <f aca="false">G223*(1+IF(H$3&lt;=$O$2,$D223,$D223-($D223-$I$211)*MIN(H$3-$O$2,$Q$2)/$Q$2))</f>
        <v>9360.82805121636</v>
      </c>
      <c r="I223" s="15" t="n">
        <f aca="false">H223*(1+IF(I$3&lt;=$O$2,$D223,$D223-($D223-$I$211)*MIN(I$3-$O$2,$Q$2)/$Q$2))</f>
        <v>9788.19007406242</v>
      </c>
      <c r="J223" s="15" t="n">
        <f aca="false">I223*(1+IF(J$3&lt;=$O$2,$D223,$D223-($D223-$I$211)*MIN(J$3-$O$2,$Q$2)/$Q$2))</f>
        <v>10191.3013882157</v>
      </c>
      <c r="K223" s="15" t="n">
        <f aca="false">J223*(1+IF(K$3&lt;=$O$2,$D223,$D223-($D223-$I$211)*MIN(K$3-$O$2,$Q$2)/$Q$2))</f>
        <v>10565.450336626</v>
      </c>
      <c r="L223" s="15" t="n">
        <f aca="false">K223*(1+IF(L$3&lt;=$O$2,$D223,$D223-($D223-$I$211)*MIN(L$3-$O$2,$Q$2)/$Q$2))</f>
        <v>10906.0986148466</v>
      </c>
      <c r="M223" s="15" t="n">
        <f aca="false">L223*(1+IF(M$3&lt;=$O$2,$D223,$D223-($D223-$I$211)*MIN(M$3-$O$2,$Q$2)/$Q$2))</f>
        <v>11208.9703458094</v>
      </c>
      <c r="N223" s="15" t="n">
        <f aca="false">M223*(1+IF(N$3&lt;=$O$2,$D223,$D223-($D223-$I$211)*MIN(N$3-$O$2,$Q$2)/$Q$2))</f>
        <v>11470.1393548667</v>
      </c>
      <c r="O223" s="15" t="n">
        <f aca="false">SUMPRODUCT(E223:N223,1/(1+$F$211)^$E$3:$N$3)*$E$2</f>
        <v>18758.8084699529</v>
      </c>
      <c r="P223" s="15" t="n">
        <f aca="false">N223*$E$2*(1+$I$211)/($F$211-$I$211)/(1+$F$211)^$N$3</f>
        <v>29521.0634265319</v>
      </c>
      <c r="Q223" s="15" t="n">
        <f aca="false">O223+P223</f>
        <v>48279.8718964848</v>
      </c>
      <c r="R223" s="15" t="n">
        <f aca="false">Q223-$G$2+$I$2</f>
        <v>45762.8718964848</v>
      </c>
      <c r="S223" s="42" t="n">
        <f aca="false">R223/$K$2</f>
        <v>105.634254873932</v>
      </c>
      <c r="T223" s="43" t="n">
        <f aca="false">S223-$M$2</f>
        <v>0.375956549754889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0.044921875</v>
      </c>
      <c r="C224" s="25" t="n">
        <f aca="false">IF(T223&gt;0,D223,C223)</f>
        <v>0.045654296875</v>
      </c>
      <c r="D224" s="41" t="n">
        <f aca="false">(B224+C224)/2</f>
        <v>0.0452880859375</v>
      </c>
      <c r="E224" s="15" t="n">
        <f aca="false">$C$2*(1+IF(E$3&lt;=$O$2,$D224,$D224-($D224-$I$211)*MIN(E$3-$O$2,$Q$2)/$Q$2))</f>
        <v>8184.60571289063</v>
      </c>
      <c r="F224" s="15" t="n">
        <f aca="false">E224*(1+IF(F$3&lt;=$O$2,$D224,$D224-($D224-$I$211)*MIN(F$3-$O$2,$Q$2)/$Q$2))</f>
        <v>8555.27083978057</v>
      </c>
      <c r="G224" s="15" t="n">
        <f aca="false">F224*(1+IF(G$3&lt;=$O$2,$D224,$D224-($D224-$I$211)*MIN(G$3-$O$2,$Q$2)/$Q$2))</f>
        <v>8942.72268079114</v>
      </c>
      <c r="H224" s="15" t="n">
        <f aca="false">G224*(1+IF(H$3&lt;=$O$2,$D224,$D224-($D224-$I$211)*MIN(H$3-$O$2,$Q$2)/$Q$2))</f>
        <v>9347.72147407404</v>
      </c>
      <c r="I224" s="15" t="n">
        <f aca="false">H224*(1+IF(I$3&lt;=$O$2,$D224,$D224-($D224-$I$211)*MIN(I$3-$O$2,$Q$2)/$Q$2))</f>
        <v>9771.06188751172</v>
      </c>
      <c r="J224" s="15" t="n">
        <f aca="false">I224*(1+IF(J$3&lt;=$O$2,$D224,$D224-($D224-$I$211)*MIN(J$3-$O$2,$Q$2)/$Q$2))</f>
        <v>10170.6051882773</v>
      </c>
      <c r="K224" s="15" t="n">
        <f aca="false">J224*(1+IF(K$3&lt;=$O$2,$D224,$D224-($D224-$I$211)*MIN(K$3-$O$2,$Q$2)/$Q$2))</f>
        <v>10541.7595737139</v>
      </c>
      <c r="L224" s="15" t="n">
        <f aca="false">K224*(1+IF(L$3&lt;=$O$2,$D224,$D224-($D224-$I$211)*MIN(L$3-$O$2,$Q$2)/$Q$2))</f>
        <v>10880.0998179572</v>
      </c>
      <c r="M224" s="15" t="n">
        <f aca="false">L224*(1+IF(M$3&lt;=$O$2,$D224,$D224-($D224-$I$211)*MIN(M$3-$O$2,$Q$2)/$Q$2))</f>
        <v>11181.4526576767</v>
      </c>
      <c r="N224" s="15" t="n">
        <f aca="false">M224*(1+IF(N$3&lt;=$O$2,$D224,$D224-($D224-$I$211)*MIN(N$3-$O$2,$Q$2)/$Q$2))</f>
        <v>11441.9805046006</v>
      </c>
      <c r="O224" s="15" t="n">
        <f aca="false">SUMPRODUCT(E224:N224,1/(1+$F$211)^$E$3:$N$3)*$E$2</f>
        <v>18728.6003960184</v>
      </c>
      <c r="P224" s="15" t="n">
        <f aca="false">N224*$E$2*(1+$I$211)/($F$211-$I$211)/(1+$F$211)^$N$3</f>
        <v>29448.5900956503</v>
      </c>
      <c r="Q224" s="15" t="n">
        <f aca="false">O224+P224</f>
        <v>48177.1904916687</v>
      </c>
      <c r="R224" s="15" t="n">
        <f aca="false">Q224-$G$2+$I$2</f>
        <v>45660.1904916687</v>
      </c>
      <c r="S224" s="42" t="n">
        <f aca="false">R224/$K$2</f>
        <v>105.39723579629</v>
      </c>
      <c r="T224" s="43" t="n">
        <f aca="false">S224-$M$2</f>
        <v>0.138937472112772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0.044921875</v>
      </c>
      <c r="C225" s="25" t="n">
        <f aca="false">IF(T224&gt;0,D224,C224)</f>
        <v>0.0452880859375</v>
      </c>
      <c r="D225" s="41" t="n">
        <f aca="false">(B225+C225)/2</f>
        <v>0.04510498046875</v>
      </c>
      <c r="E225" s="15" t="n">
        <f aca="false">$C$2*(1+IF(E$3&lt;=$O$2,$D225,$D225-($D225-$I$211)*MIN(E$3-$O$2,$Q$2)/$Q$2))</f>
        <v>8183.17199707031</v>
      </c>
      <c r="F225" s="15" t="n">
        <f aca="false">E225*(1+IF(F$3&lt;=$O$2,$D225,$D225-($D225-$I$211)*MIN(F$3-$O$2,$Q$2)/$Q$2))</f>
        <v>8552.27381017059</v>
      </c>
      <c r="G225" s="15" t="n">
        <f aca="false">F225*(1+IF(G$3&lt;=$O$2,$D225,$D225-($D225-$I$211)*MIN(G$3-$O$2,$Q$2)/$Q$2))</f>
        <v>8938.02395334174</v>
      </c>
      <c r="H225" s="15" t="n">
        <f aca="false">G225*(1+IF(H$3&lt;=$O$2,$D225,$D225-($D225-$I$211)*MIN(H$3-$O$2,$Q$2)/$Q$2))</f>
        <v>9341.17334918644</v>
      </c>
      <c r="I225" s="15" t="n">
        <f aca="false">H225*(1+IF(I$3&lt;=$O$2,$D225,$D225-($D225-$I$211)*MIN(I$3-$O$2,$Q$2)/$Q$2))</f>
        <v>9762.5067906567</v>
      </c>
      <c r="J225" s="15" t="n">
        <f aca="false">I225*(1+IF(J$3&lt;=$O$2,$D225,$D225-($D225-$I$211)*MIN(J$3-$O$2,$Q$2)/$Q$2))</f>
        <v>10160.270214796</v>
      </c>
      <c r="K225" s="15" t="n">
        <f aca="false">J225*(1+IF(K$3&lt;=$O$2,$D225,$D225-($D225-$I$211)*MIN(K$3-$O$2,$Q$2)/$Q$2))</f>
        <v>10529.9312069553</v>
      </c>
      <c r="L225" s="15" t="n">
        <f aca="false">K225*(1+IF(L$3&lt;=$O$2,$D225,$D225-($D225-$I$211)*MIN(L$3-$O$2,$Q$2)/$Q$2))</f>
        <v>10867.1205817993</v>
      </c>
      <c r="M225" s="15" t="n">
        <f aca="false">L225*(1+IF(M$3&lt;=$O$2,$D225,$D225-($D225-$I$211)*MIN(M$3-$O$2,$Q$2)/$Q$2))</f>
        <v>11167.7159617628</v>
      </c>
      <c r="N225" s="15" t="n">
        <f aca="false">M225*(1+IF(N$3&lt;=$O$2,$D225,$D225-($D225-$I$211)*MIN(N$3-$O$2,$Q$2)/$Q$2))</f>
        <v>11427.9237436719</v>
      </c>
      <c r="O225" s="15" t="n">
        <f aca="false">SUMPRODUCT(E225:N225,1/(1+$F$211)^$E$3:$N$3)*$E$2</f>
        <v>18713.5147180046</v>
      </c>
      <c r="P225" s="15" t="n">
        <f aca="false">N225*$E$2*(1+$I$211)/($F$211-$I$211)/(1+$F$211)^$N$3</f>
        <v>29412.4117617948</v>
      </c>
      <c r="Q225" s="15" t="n">
        <f aca="false">O225+P225</f>
        <v>48125.9264797994</v>
      </c>
      <c r="R225" s="15" t="n">
        <f aca="false">Q225-$G$2+$I$2</f>
        <v>45608.9264797994</v>
      </c>
      <c r="S225" s="42" t="n">
        <f aca="false">R225/$K$2</f>
        <v>105.278903281934</v>
      </c>
      <c r="T225" s="43" t="n">
        <f aca="false">S225-$M$2</f>
        <v>0.0206049577567029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0.044921875</v>
      </c>
      <c r="C226" s="25" t="n">
        <f aca="false">IF(T225&gt;0,D225,C225)</f>
        <v>0.04510498046875</v>
      </c>
      <c r="D226" s="41" t="n">
        <f aca="false">(B226+C226)/2</f>
        <v>0.045013427734375</v>
      </c>
      <c r="E226" s="15" t="n">
        <f aca="false">$C$2*(1+IF(E$3&lt;=$O$2,$D226,$D226-($D226-$I$211)*MIN(E$3-$O$2,$Q$2)/$Q$2))</f>
        <v>8182.45513916016</v>
      </c>
      <c r="F226" s="15" t="n">
        <f aca="false">E226*(1+IF(F$3&lt;=$O$2,$D226,$D226-($D226-$I$211)*MIN(F$3-$O$2,$Q$2)/$Q$2))</f>
        <v>8550.77549225651</v>
      </c>
      <c r="G226" s="15" t="n">
        <f aca="false">F226*(1+IF(G$3&lt;=$O$2,$D226,$D226-($D226-$I$211)*MIN(G$3-$O$2,$Q$2)/$Q$2))</f>
        <v>8935.67520695006</v>
      </c>
      <c r="H226" s="15" t="n">
        <f aca="false">G226*(1+IF(H$3&lt;=$O$2,$D226,$D226-($D226-$I$211)*MIN(H$3-$O$2,$Q$2)/$Q$2))</f>
        <v>9337.90057713595</v>
      </c>
      <c r="I226" s="15" t="n">
        <f aca="false">H226*(1+IF(I$3&lt;=$O$2,$D226,$D226-($D226-$I$211)*MIN(I$3-$O$2,$Q$2)/$Q$2))</f>
        <v>9758.23148995564</v>
      </c>
      <c r="J226" s="15" t="n">
        <f aca="false">I226*(1+IF(J$3&lt;=$O$2,$D226,$D226-($D226-$I$211)*MIN(J$3-$O$2,$Q$2)/$Q$2))</f>
        <v>10155.1060070896</v>
      </c>
      <c r="K226" s="15" t="n">
        <f aca="false">J226*(1+IF(K$3&lt;=$O$2,$D226,$D226-($D226-$I$211)*MIN(K$3-$O$2,$Q$2)/$Q$2))</f>
        <v>10524.0212733067</v>
      </c>
      <c r="L226" s="15" t="n">
        <f aca="false">K226*(1+IF(L$3&lt;=$O$2,$D226,$D226-($D226-$I$211)*MIN(L$3-$O$2,$Q$2)/$Q$2))</f>
        <v>10860.6359991319</v>
      </c>
      <c r="M226" s="15" t="n">
        <f aca="false">L226*(1+IF(M$3&lt;=$O$2,$D226,$D226-($D226-$I$211)*MIN(M$3-$O$2,$Q$2)/$Q$2))</f>
        <v>11160.853144895</v>
      </c>
      <c r="N226" s="15" t="n">
        <f aca="false">M226*(1+IF(N$3&lt;=$O$2,$D226,$D226-($D226-$I$211)*MIN(N$3-$O$2,$Q$2)/$Q$2))</f>
        <v>11420.901023171</v>
      </c>
      <c r="O226" s="15" t="n">
        <f aca="false">SUMPRODUCT(E226:N226,1/(1+$F$211)^$E$3:$N$3)*$E$2</f>
        <v>18705.976464682</v>
      </c>
      <c r="P226" s="15" t="n">
        <f aca="false">N226*$E$2*(1+$I$211)/($F$211-$I$211)/(1+$F$211)^$N$3</f>
        <v>29394.3371620957</v>
      </c>
      <c r="Q226" s="15" t="n">
        <f aca="false">O226+P226</f>
        <v>48100.3136267777</v>
      </c>
      <c r="R226" s="15" t="n">
        <f aca="false">Q226-$G$2+$I$2</f>
        <v>45583.3136267777</v>
      </c>
      <c r="S226" s="42" t="n">
        <f aca="false">R226/$K$2</f>
        <v>105.219781235348</v>
      </c>
      <c r="T226" s="43" t="n">
        <f aca="false">S226-$M$2</f>
        <v>-0.0385170888286268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0.045013427734375</v>
      </c>
      <c r="C227" s="25" t="n">
        <f aca="false">IF(T226&gt;0,D226,C226)</f>
        <v>0.04510498046875</v>
      </c>
      <c r="D227" s="41" t="n">
        <f aca="false">(B227+C227)/2</f>
        <v>0.0450592041015625</v>
      </c>
      <c r="E227" s="15" t="n">
        <f aca="false">$C$2*(1+IF(E$3&lt;=$O$2,$D227,$D227-($D227-$I$211)*MIN(E$3-$O$2,$Q$2)/$Q$2))</f>
        <v>8182.81356811523</v>
      </c>
      <c r="F227" s="15" t="n">
        <f aca="false">E227*(1+IF(F$3&lt;=$O$2,$D227,$D227-($D227-$I$211)*MIN(F$3-$O$2,$Q$2)/$Q$2))</f>
        <v>8551.52463480597</v>
      </c>
      <c r="G227" s="15" t="n">
        <f aca="false">F227*(1+IF(G$3&lt;=$O$2,$D227,$D227-($D227-$I$211)*MIN(G$3-$O$2,$Q$2)/$Q$2))</f>
        <v>8936.84952870524</v>
      </c>
      <c r="H227" s="15" t="n">
        <f aca="false">G227*(1+IF(H$3&lt;=$O$2,$D227,$D227-($D227-$I$211)*MIN(H$3-$O$2,$Q$2)/$Q$2))</f>
        <v>9339.53685564412</v>
      </c>
      <c r="I227" s="15" t="n">
        <f aca="false">H227*(1+IF(I$3&lt;=$O$2,$D227,$D227-($D227-$I$211)*MIN(I$3-$O$2,$Q$2)/$Q$2))</f>
        <v>9760.36895303665</v>
      </c>
      <c r="J227" s="15" t="n">
        <f aca="false">I227*(1+IF(J$3&lt;=$O$2,$D227,$D227-($D227-$I$211)*MIN(J$3-$O$2,$Q$2)/$Q$2))</f>
        <v>10157.6878377669</v>
      </c>
      <c r="K227" s="15" t="n">
        <f aca="false">J227*(1+IF(K$3&lt;=$O$2,$D227,$D227-($D227-$I$211)*MIN(K$3-$O$2,$Q$2)/$Q$2))</f>
        <v>10526.9758861041</v>
      </c>
      <c r="L227" s="15" t="n">
        <f aca="false">K227*(1+IF(L$3&lt;=$O$2,$D227,$D227-($D227-$I$211)*MIN(L$3-$O$2,$Q$2)/$Q$2))</f>
        <v>10863.8778710015</v>
      </c>
      <c r="M227" s="15" t="n">
        <f aca="false">L227*(1+IF(M$3&lt;=$O$2,$D227,$D227-($D227-$I$211)*MIN(M$3-$O$2,$Q$2)/$Q$2))</f>
        <v>11164.2840925817</v>
      </c>
      <c r="N227" s="15" t="n">
        <f aca="false">M227*(1+IF(N$3&lt;=$O$2,$D227,$D227-($D227-$I$211)*MIN(N$3-$O$2,$Q$2)/$Q$2))</f>
        <v>11424.4119119389</v>
      </c>
      <c r="O227" s="15" t="n">
        <f aca="false">SUMPRODUCT(E227:N227,1/(1+$F$211)^$E$3:$N$3)*$E$2</f>
        <v>18709.7452093235</v>
      </c>
      <c r="P227" s="15" t="n">
        <f aca="false">N227*$E$2*(1+$I$211)/($F$211-$I$211)/(1+$F$211)^$N$3</f>
        <v>29403.3732484756</v>
      </c>
      <c r="Q227" s="15" t="n">
        <f aca="false">O227+P227</f>
        <v>48113.118457799</v>
      </c>
      <c r="R227" s="15" t="n">
        <f aca="false">Q227-$G$2+$I$2</f>
        <v>45596.118457799</v>
      </c>
      <c r="S227" s="42" t="n">
        <f aca="false">R227/$K$2</f>
        <v>105.249338575779</v>
      </c>
      <c r="T227" s="43" t="n">
        <f aca="false">S227-$M$2</f>
        <v>-0.00895974839798441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0.0450592041015625</v>
      </c>
      <c r="C228" s="25" t="n">
        <f aca="false">IF(T227&gt;0,D227,C227)</f>
        <v>0.04510498046875</v>
      </c>
      <c r="D228" s="41" t="n">
        <f aca="false">(B228+C228)/2</f>
        <v>0.0450820922851563</v>
      </c>
      <c r="E228" s="15" t="n">
        <f aca="false">$C$2*(1+IF(E$3&lt;=$O$2,$D228,$D228-($D228-$I$211)*MIN(E$3-$O$2,$Q$2)/$Q$2))</f>
        <v>8182.99278259277</v>
      </c>
      <c r="F228" s="15" t="n">
        <f aca="false">E228*(1+IF(F$3&lt;=$O$2,$D228,$D228-($D228-$I$211)*MIN(F$3-$O$2,$Q$2)/$Q$2))</f>
        <v>8551.89921838639</v>
      </c>
      <c r="G228" s="15" t="n">
        <f aca="false">F228*(1+IF(G$3&lt;=$O$2,$D228,$D228-($D228-$I$211)*MIN(G$3-$O$2,$Q$2)/$Q$2))</f>
        <v>8937.43672816304</v>
      </c>
      <c r="H228" s="15" t="n">
        <f aca="false">G228*(1+IF(H$3&lt;=$O$2,$D228,$D228-($D228-$I$211)*MIN(H$3-$O$2,$Q$2)/$Q$2))</f>
        <v>9340.35507553483</v>
      </c>
      <c r="I228" s="15" t="n">
        <f aca="false">H228*(1+IF(I$3&lt;=$O$2,$D228,$D228-($D228-$I$211)*MIN(I$3-$O$2,$Q$2)/$Q$2))</f>
        <v>9761.43782502622</v>
      </c>
      <c r="J228" s="15" t="n">
        <f aca="false">I228*(1+IF(J$3&lt;=$O$2,$D228,$D228-($D228-$I$211)*MIN(J$3-$O$2,$Q$2)/$Q$2))</f>
        <v>10158.9789579818</v>
      </c>
      <c r="K228" s="15" t="n">
        <f aca="false">J228*(1+IF(K$3&lt;=$O$2,$D228,$D228-($D228-$I$211)*MIN(K$3-$O$2,$Q$2)/$Q$2))</f>
        <v>10528.4534580142</v>
      </c>
      <c r="L228" s="15" t="n">
        <f aca="false">K228*(1+IF(L$3&lt;=$O$2,$D228,$D228-($D228-$I$211)*MIN(L$3-$O$2,$Q$2)/$Q$2))</f>
        <v>10865.4991215229</v>
      </c>
      <c r="M228" s="15" t="n">
        <f aca="false">L228*(1+IF(M$3&lt;=$O$2,$D228,$D228-($D228-$I$211)*MIN(M$3-$O$2,$Q$2)/$Q$2))</f>
        <v>11165.9999119722</v>
      </c>
      <c r="N228" s="15" t="n">
        <f aca="false">M228*(1+IF(N$3&lt;=$O$2,$D228,$D228-($D228-$I$211)*MIN(N$3-$O$2,$Q$2)/$Q$2))</f>
        <v>11426.1677099212</v>
      </c>
      <c r="O228" s="15" t="n">
        <f aca="false">SUMPRODUCT(E228:N228,1/(1+$F$211)^$E$3:$N$3)*$E$2</f>
        <v>18711.62986815</v>
      </c>
      <c r="P228" s="15" t="n">
        <f aca="false">N228*$E$2*(1+$I$211)/($F$211-$I$211)/(1+$F$211)^$N$3</f>
        <v>29407.8922017328</v>
      </c>
      <c r="Q228" s="15" t="n">
        <f aca="false">O228+P228</f>
        <v>48119.5220698828</v>
      </c>
      <c r="R228" s="15" t="n">
        <f aca="false">Q228-$G$2+$I$2</f>
        <v>45602.5220698828</v>
      </c>
      <c r="S228" s="42" t="n">
        <f aca="false">R228/$K$2</f>
        <v>105.264120008039</v>
      </c>
      <c r="T228" s="43" t="n">
        <f aca="false">S228-$M$2</f>
        <v>0.00582168386230819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0.0450592041015625</v>
      </c>
      <c r="C229" s="25" t="n">
        <f aca="false">IF(T228&gt;0,D228,C228)</f>
        <v>0.0450820922851563</v>
      </c>
      <c r="D229" s="41" t="n">
        <f aca="false">(B229+C229)/2</f>
        <v>0.0450706481933594</v>
      </c>
      <c r="E229" s="15" t="n">
        <f aca="false">$C$2*(1+IF(E$3&lt;=$O$2,$D229,$D229-($D229-$I$211)*MIN(E$3-$O$2,$Q$2)/$Q$2))</f>
        <v>8182.903175354</v>
      </c>
      <c r="F229" s="15" t="n">
        <f aca="false">E229*(1+IF(F$3&lt;=$O$2,$D229,$D229-($D229-$I$211)*MIN(F$3-$O$2,$Q$2)/$Q$2))</f>
        <v>8551.71192557071</v>
      </c>
      <c r="G229" s="15" t="n">
        <f aca="false">F229*(1+IF(G$3&lt;=$O$2,$D229,$D229-($D229-$I$211)*MIN(G$3-$O$2,$Q$2)/$Q$2))</f>
        <v>8937.14312521906</v>
      </c>
      <c r="H229" s="15" t="n">
        <f aca="false">G229*(1+IF(H$3&lt;=$O$2,$D229,$D229-($D229-$I$211)*MIN(H$3-$O$2,$Q$2)/$Q$2))</f>
        <v>9339.94595886951</v>
      </c>
      <c r="I229" s="15" t="n">
        <f aca="false">H229*(1+IF(I$3&lt;=$O$2,$D229,$D229-($D229-$I$211)*MIN(I$3-$O$2,$Q$2)/$Q$2))</f>
        <v>9760.90337732671</v>
      </c>
      <c r="J229" s="15" t="n">
        <f aca="false">I229*(1+IF(J$3&lt;=$O$2,$D229,$D229-($D229-$I$211)*MIN(J$3-$O$2,$Q$2)/$Q$2))</f>
        <v>10158.3333808001</v>
      </c>
      <c r="K229" s="15" t="n">
        <f aca="false">J229*(1+IF(K$3&lt;=$O$2,$D229,$D229-($D229-$I$211)*MIN(K$3-$O$2,$Q$2)/$Q$2))</f>
        <v>10527.7146499313</v>
      </c>
      <c r="L229" s="15" t="n">
        <f aca="false">K229*(1+IF(L$3&lt;=$O$2,$D229,$D229-($D229-$I$211)*MIN(L$3-$O$2,$Q$2)/$Q$2))</f>
        <v>10864.6884700442</v>
      </c>
      <c r="M229" s="15" t="n">
        <f aca="false">L229*(1+IF(M$3&lt;=$O$2,$D229,$D229-($D229-$I$211)*MIN(M$3-$O$2,$Q$2)/$Q$2))</f>
        <v>11165.1419734786</v>
      </c>
      <c r="N229" s="15" t="n">
        <f aca="false">M229*(1+IF(N$3&lt;=$O$2,$D229,$D229-($D229-$I$211)*MIN(N$3-$O$2,$Q$2)/$Q$2))</f>
        <v>11425.2897814607</v>
      </c>
      <c r="O229" s="15" t="n">
        <f aca="false">SUMPRODUCT(E229:N229,1/(1+$F$211)^$E$3:$N$3)*$E$2</f>
        <v>18710.6875148594</v>
      </c>
      <c r="P229" s="15" t="n">
        <f aca="false">N229*$E$2*(1+$I$211)/($F$211-$I$211)/(1+$F$211)^$N$3</f>
        <v>29405.632649258</v>
      </c>
      <c r="Q229" s="15" t="n">
        <f aca="false">O229+P229</f>
        <v>48116.3201641173</v>
      </c>
      <c r="R229" s="15" t="n">
        <f aca="false">Q229-$G$2+$I$2</f>
        <v>45599.3201641173</v>
      </c>
      <c r="S229" s="42" t="n">
        <f aca="false">R229/$K$2</f>
        <v>105.256729061718</v>
      </c>
      <c r="T229" s="43" t="n">
        <f aca="false">S229-$M$2</f>
        <v>-0.00156926245942657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0.0450706481933594</v>
      </c>
      <c r="C230" s="25" t="n">
        <f aca="false">IF(T229&gt;0,D229,C229)</f>
        <v>0.0450820922851563</v>
      </c>
      <c r="D230" s="41" t="n">
        <f aca="false">(B230+C230)/2</f>
        <v>0.0450763702392578</v>
      </c>
      <c r="E230" s="15" t="n">
        <f aca="false">$C$2*(1+IF(E$3&lt;=$O$2,$D230,$D230-($D230-$I$211)*MIN(E$3-$O$2,$Q$2)/$Q$2))</f>
        <v>8182.94797897339</v>
      </c>
      <c r="F230" s="15" t="n">
        <f aca="false">E230*(1+IF(F$3&lt;=$O$2,$D230,$D230-($D230-$I$211)*MIN(F$3-$O$2,$Q$2)/$Q$2))</f>
        <v>8551.80557172218</v>
      </c>
      <c r="G230" s="15" t="n">
        <f aca="false">F230*(1+IF(G$3&lt;=$O$2,$D230,$D230-($D230-$I$211)*MIN(G$3-$O$2,$Q$2)/$Q$2))</f>
        <v>8937.28992588728</v>
      </c>
      <c r="H230" s="15" t="n">
        <f aca="false">G230*(1+IF(H$3&lt;=$O$2,$D230,$D230-($D230-$I$211)*MIN(H$3-$O$2,$Q$2)/$Q$2))</f>
        <v>9340.15051552216</v>
      </c>
      <c r="I230" s="15" t="n">
        <f aca="false">H230*(1+IF(I$3&lt;=$O$2,$D230,$D230-($D230-$I$211)*MIN(I$3-$O$2,$Q$2)/$Q$2))</f>
        <v>9761.17059825023</v>
      </c>
      <c r="J230" s="15" t="n">
        <f aca="false">I230*(1+IF(J$3&lt;=$O$2,$D230,$D230-($D230-$I$211)*MIN(J$3-$O$2,$Q$2)/$Q$2))</f>
        <v>10158.6561651223</v>
      </c>
      <c r="K230" s="15" t="n">
        <f aca="false">J230*(1+IF(K$3&lt;=$O$2,$D230,$D230-($D230-$I$211)*MIN(K$3-$O$2,$Q$2)/$Q$2))</f>
        <v>10528.0840484407</v>
      </c>
      <c r="L230" s="15" t="n">
        <f aca="false">K230*(1+IF(L$3&lt;=$O$2,$D230,$D230-($D230-$I$211)*MIN(L$3-$O$2,$Q$2)/$Q$2))</f>
        <v>10865.0937892289</v>
      </c>
      <c r="M230" s="15" t="n">
        <f aca="false">L230*(1+IF(M$3&lt;=$O$2,$D230,$D230-($D230-$I$211)*MIN(M$3-$O$2,$Q$2)/$Q$2))</f>
        <v>11165.5709355256</v>
      </c>
      <c r="N230" s="15" t="n">
        <f aca="false">M230*(1+IF(N$3&lt;=$O$2,$D230,$D230-($D230-$I$211)*MIN(N$3-$O$2,$Q$2)/$Q$2))</f>
        <v>11425.7287383234</v>
      </c>
      <c r="O230" s="15" t="n">
        <f aca="false">SUMPRODUCT(E230:N230,1/(1+$F$211)^$E$3:$N$3)*$E$2</f>
        <v>18711.1586855352</v>
      </c>
      <c r="P230" s="15" t="n">
        <f aca="false">N230*$E$2*(1+$I$211)/($F$211-$I$211)/(1+$F$211)^$N$3</f>
        <v>29406.7624065333</v>
      </c>
      <c r="Q230" s="15" t="n">
        <f aca="false">O230+P230</f>
        <v>48117.9210920685</v>
      </c>
      <c r="R230" s="15" t="n">
        <f aca="false">Q230-$G$2+$I$2</f>
        <v>45600.9210920685</v>
      </c>
      <c r="S230" s="42" t="n">
        <f aca="false">R230/$K$2</f>
        <v>105.260424477329</v>
      </c>
      <c r="T230" s="43" t="n">
        <f aca="false">S230-$M$2</f>
        <v>0.00212615315199116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0.0450706481933594</v>
      </c>
      <c r="C231" s="25" t="n">
        <f aca="false">IF(T230&gt;0,D230,C230)</f>
        <v>0.0450763702392578</v>
      </c>
      <c r="D231" s="41" t="n">
        <f aca="false">(B231+C231)/2</f>
        <v>0.0450735092163086</v>
      </c>
      <c r="E231" s="15" t="n">
        <f aca="false">$C$2*(1+IF(E$3&lt;=$O$2,$D231,$D231-($D231-$I$211)*MIN(E$3-$O$2,$Q$2)/$Q$2))</f>
        <v>8182.9255771637</v>
      </c>
      <c r="F231" s="15" t="n">
        <f aca="false">E231*(1+IF(F$3&lt;=$O$2,$D231,$D231-($D231-$I$211)*MIN(F$3-$O$2,$Q$2)/$Q$2))</f>
        <v>8551.75874858235</v>
      </c>
      <c r="G231" s="15" t="n">
        <f aca="false">F231*(1+IF(G$3&lt;=$O$2,$D231,$D231-($D231-$I$211)*MIN(G$3-$O$2,$Q$2)/$Q$2))</f>
        <v>8937.21652535223</v>
      </c>
      <c r="H231" s="15" t="n">
        <f aca="false">G231*(1+IF(H$3&lt;=$O$2,$D231,$D231-($D231-$I$211)*MIN(H$3-$O$2,$Q$2)/$Q$2))</f>
        <v>9340.04823677583</v>
      </c>
      <c r="I231" s="15" t="n">
        <f aca="false">H231*(1+IF(I$3&lt;=$O$2,$D231,$D231-($D231-$I$211)*MIN(I$3-$O$2,$Q$2)/$Q$2))</f>
        <v>9761.03698705692</v>
      </c>
      <c r="J231" s="15" t="n">
        <f aca="false">I231*(1+IF(J$3&lt;=$O$2,$D231,$D231-($D231-$I$211)*MIN(J$3-$O$2,$Q$2)/$Q$2))</f>
        <v>10158.4947718941</v>
      </c>
      <c r="K231" s="15" t="n">
        <f aca="false">J231*(1+IF(K$3&lt;=$O$2,$D231,$D231-($D231-$I$211)*MIN(K$3-$O$2,$Q$2)/$Q$2))</f>
        <v>10527.899347803</v>
      </c>
      <c r="L231" s="15" t="n">
        <f aca="false">K231*(1+IF(L$3&lt;=$O$2,$D231,$D231-($D231-$I$211)*MIN(L$3-$O$2,$Q$2)/$Q$2))</f>
        <v>10864.8911279979</v>
      </c>
      <c r="M231" s="15" t="n">
        <f aca="false">L231*(1+IF(M$3&lt;=$O$2,$D231,$D231-($D231-$I$211)*MIN(M$3-$O$2,$Q$2)/$Q$2))</f>
        <v>11165.3564527022</v>
      </c>
      <c r="N231" s="15" t="n">
        <f aca="false">M231*(1+IF(N$3&lt;=$O$2,$D231,$D231-($D231-$I$211)*MIN(N$3-$O$2,$Q$2)/$Q$2))</f>
        <v>11425.5092580502</v>
      </c>
      <c r="O231" s="15" t="n">
        <f aca="false">SUMPRODUCT(E231:N231,1/(1+$F$211)^$E$3:$N$3)*$E$2</f>
        <v>18710.923098705</v>
      </c>
      <c r="P231" s="15" t="n">
        <f aca="false">N231*$E$2*(1+$I$211)/($F$211-$I$211)/(1+$F$211)^$N$3</f>
        <v>29406.1975231552</v>
      </c>
      <c r="Q231" s="15" t="n">
        <f aca="false">O231+P231</f>
        <v>48117.1206218601</v>
      </c>
      <c r="R231" s="15" t="n">
        <f aca="false">Q231-$G$2+$I$2</f>
        <v>45600.1206218601</v>
      </c>
      <c r="S231" s="42" t="n">
        <f aca="false">R231/$K$2</f>
        <v>105.258576755136</v>
      </c>
      <c r="T231" s="43" t="n">
        <f aca="false">S231-$M$2</f>
        <v>0.000278430959141929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0.0450706481933594</v>
      </c>
      <c r="C232" s="25" t="n">
        <f aca="false">IF(T231&gt;0,D231,C231)</f>
        <v>0.0450735092163086</v>
      </c>
      <c r="D232" s="41" t="n">
        <f aca="false">(B232+C232)/2</f>
        <v>0.045072078704834</v>
      </c>
      <c r="E232" s="15" t="n">
        <f aca="false">$C$2*(1+IF(E$3&lt;=$O$2,$D232,$D232-($D232-$I$211)*MIN(E$3-$O$2,$Q$2)/$Q$2))</f>
        <v>8182.91437625885</v>
      </c>
      <c r="F232" s="15" t="n">
        <f aca="false">E232*(1+IF(F$3&lt;=$O$2,$D232,$D232-($D232-$I$211)*MIN(F$3-$O$2,$Q$2)/$Q$2))</f>
        <v>8551.73533706051</v>
      </c>
      <c r="G232" s="15" t="n">
        <f aca="false">F232*(1+IF(G$3&lt;=$O$2,$D232,$D232-($D232-$I$211)*MIN(G$3-$O$2,$Q$2)/$Q$2))</f>
        <v>8937.17982523541</v>
      </c>
      <c r="H232" s="15" t="n">
        <f aca="false">G232*(1+IF(H$3&lt;=$O$2,$D232,$D232-($D232-$I$211)*MIN(H$3-$O$2,$Q$2)/$Q$2))</f>
        <v>9339.99709771767</v>
      </c>
      <c r="I232" s="15" t="n">
        <f aca="false">H232*(1+IF(I$3&lt;=$O$2,$D232,$D232-($D232-$I$211)*MIN(I$3-$O$2,$Q$2)/$Q$2))</f>
        <v>9760.97018200893</v>
      </c>
      <c r="J232" s="15" t="n">
        <f aca="false">I232*(1+IF(J$3&lt;=$O$2,$D232,$D232-($D232-$I$211)*MIN(J$3-$O$2,$Q$2)/$Q$2))</f>
        <v>10158.4140760803</v>
      </c>
      <c r="K232" s="15" t="n">
        <f aca="false">J232*(1+IF(K$3&lt;=$O$2,$D232,$D232-($D232-$I$211)*MIN(K$3-$O$2,$Q$2)/$Q$2))</f>
        <v>10527.8069985214</v>
      </c>
      <c r="L232" s="15" t="n">
        <f aca="false">K232*(1+IF(L$3&lt;=$O$2,$D232,$D232-($D232-$I$211)*MIN(L$3-$O$2,$Q$2)/$Q$2))</f>
        <v>10864.7897986114</v>
      </c>
      <c r="M232" s="15" t="n">
        <f aca="false">L232*(1+IF(M$3&lt;=$O$2,$D232,$D232-($D232-$I$211)*MIN(M$3-$O$2,$Q$2)/$Q$2))</f>
        <v>11165.2492126404</v>
      </c>
      <c r="N232" s="15" t="n">
        <f aca="false">M232*(1+IF(N$3&lt;=$O$2,$D232,$D232-($D232-$I$211)*MIN(N$3-$O$2,$Q$2)/$Q$2))</f>
        <v>11425.399519295</v>
      </c>
      <c r="O232" s="15" t="n">
        <f aca="false">SUMPRODUCT(E232:N232,1/(1+$F$211)^$E$3:$N$3)*$E$2</f>
        <v>18710.8053064091</v>
      </c>
      <c r="P232" s="15" t="n">
        <f aca="false">N232*$E$2*(1+$I$211)/($F$211-$I$211)/(1+$F$211)^$N$3</f>
        <v>29405.9150850215</v>
      </c>
      <c r="Q232" s="15" t="n">
        <f aca="false">O232+P232</f>
        <v>48116.7203914305</v>
      </c>
      <c r="R232" s="15" t="n">
        <f aca="false">Q232-$G$2+$I$2</f>
        <v>45599.7203914305</v>
      </c>
      <c r="S232" s="42" t="n">
        <f aca="false">R232/$K$2</f>
        <v>105.25765290483</v>
      </c>
      <c r="T232" s="43" t="n">
        <f aca="false">S232-$M$2</f>
        <v>-0.000645419346909648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0.045072078704834</v>
      </c>
      <c r="C233" s="25" t="n">
        <f aca="false">IF(T232&gt;0,D232,C232)</f>
        <v>0.0450735092163086</v>
      </c>
      <c r="D233" s="41" t="n">
        <f aca="false">(B233+C233)/2</f>
        <v>0.0450727939605713</v>
      </c>
      <c r="E233" s="15" t="n">
        <f aca="false">$C$2*(1+IF(E$3&lt;=$O$2,$D233,$D233-($D233-$I$211)*MIN(E$3-$O$2,$Q$2)/$Q$2))</f>
        <v>8182.91997671127</v>
      </c>
      <c r="F233" s="15" t="n">
        <f aca="false">E233*(1+IF(F$3&lt;=$O$2,$D233,$D233-($D233-$I$211)*MIN(F$3-$O$2,$Q$2)/$Q$2))</f>
        <v>8551.74704281742</v>
      </c>
      <c r="G233" s="15" t="n">
        <f aca="false">F233*(1+IF(G$3&lt;=$O$2,$D233,$D233-($D233-$I$211)*MIN(G$3-$O$2,$Q$2)/$Q$2))</f>
        <v>8937.19817528126</v>
      </c>
      <c r="H233" s="15" t="n">
        <f aca="false">G233*(1+IF(H$3&lt;=$O$2,$D233,$D233-($D233-$I$211)*MIN(H$3-$O$2,$Q$2)/$Q$2))</f>
        <v>9340.0226672205</v>
      </c>
      <c r="I233" s="15" t="n">
        <f aca="false">H233*(1+IF(I$3&lt;=$O$2,$D233,$D233-($D233-$I$211)*MIN(I$3-$O$2,$Q$2)/$Q$2))</f>
        <v>9761.0035844872</v>
      </c>
      <c r="J233" s="15" t="n">
        <f aca="false">I233*(1+IF(J$3&lt;=$O$2,$D233,$D233-($D233-$I$211)*MIN(J$3-$O$2,$Q$2)/$Q$2))</f>
        <v>10158.4544239205</v>
      </c>
      <c r="K233" s="15" t="n">
        <f aca="false">J233*(1+IF(K$3&lt;=$O$2,$D233,$D233-($D233-$I$211)*MIN(K$3-$O$2,$Q$2)/$Q$2))</f>
        <v>10527.8531730758</v>
      </c>
      <c r="L233" s="15" t="n">
        <f aca="false">K233*(1+IF(L$3&lt;=$O$2,$D233,$D233-($D233-$I$211)*MIN(L$3-$O$2,$Q$2)/$Q$2))</f>
        <v>10864.8404632023</v>
      </c>
      <c r="M233" s="15" t="n">
        <f aca="false">L233*(1+IF(M$3&lt;=$O$2,$D233,$D233-($D233-$I$211)*MIN(M$3-$O$2,$Q$2)/$Q$2))</f>
        <v>11165.3028325588</v>
      </c>
      <c r="N233" s="15" t="n">
        <f aca="false">M233*(1+IF(N$3&lt;=$O$2,$D233,$D233-($D233-$I$211)*MIN(N$3-$O$2,$Q$2)/$Q$2))</f>
        <v>11425.4543885574</v>
      </c>
      <c r="O233" s="15" t="n">
        <f aca="false">SUMPRODUCT(E233:N233,1/(1+$F$211)^$E$3:$N$3)*$E$2</f>
        <v>18710.8642024638</v>
      </c>
      <c r="P233" s="15" t="n">
        <f aca="false">N233*$E$2*(1+$I$211)/($F$211-$I$211)/(1+$F$211)^$N$3</f>
        <v>29406.056303792</v>
      </c>
      <c r="Q233" s="15" t="n">
        <f aca="false">O233+P233</f>
        <v>48116.9205062558</v>
      </c>
      <c r="R233" s="15" t="n">
        <f aca="false">Q233-$G$2+$I$2</f>
        <v>45599.9205062558</v>
      </c>
      <c r="S233" s="42" t="n">
        <f aca="false">R233/$K$2</f>
        <v>105.258114829084</v>
      </c>
      <c r="T233" s="43" t="n">
        <f aca="false">S233-$M$2</f>
        <v>-0.000183495093068586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0.0450727939605713</v>
      </c>
      <c r="C234" s="25" t="n">
        <f aca="false">IF(T233&gt;0,D233,C233)</f>
        <v>0.0450735092163086</v>
      </c>
      <c r="D234" s="41" t="n">
        <f aca="false">(B234+C234)/2</f>
        <v>0.0450731515884399</v>
      </c>
      <c r="E234" s="15" t="n">
        <f aca="false">$C$2*(1+IF(E$3&lt;=$O$2,$D234,$D234-($D234-$I$211)*MIN(E$3-$O$2,$Q$2)/$Q$2))</f>
        <v>8182.92277693749</v>
      </c>
      <c r="F234" s="15" t="n">
        <f aca="false">E234*(1+IF(F$3&lt;=$O$2,$D234,$D234-($D234-$I$211)*MIN(F$3-$O$2,$Q$2)/$Q$2))</f>
        <v>8551.75289569889</v>
      </c>
      <c r="G234" s="15" t="n">
        <f aca="false">F234*(1+IF(G$3&lt;=$O$2,$D234,$D234-($D234-$I$211)*MIN(G$3-$O$2,$Q$2)/$Q$2))</f>
        <v>8937.2073503136</v>
      </c>
      <c r="H234" s="15" t="n">
        <f aca="false">G234*(1+IF(H$3&lt;=$O$2,$D234,$D234-($D234-$I$211)*MIN(H$3-$O$2,$Q$2)/$Q$2))</f>
        <v>9340.03545199161</v>
      </c>
      <c r="I234" s="15" t="n">
        <f aca="false">H234*(1+IF(I$3&lt;=$O$2,$D234,$D234-($D234-$I$211)*MIN(I$3-$O$2,$Q$2)/$Q$2))</f>
        <v>9761.02028576063</v>
      </c>
      <c r="J234" s="15" t="n">
        <f aca="false">I234*(1+IF(J$3&lt;=$O$2,$D234,$D234-($D234-$I$211)*MIN(J$3-$O$2,$Q$2)/$Q$2))</f>
        <v>10158.4745978906</v>
      </c>
      <c r="K234" s="15" t="n">
        <f aca="false">J234*(1+IF(K$3&lt;=$O$2,$D234,$D234-($D234-$I$211)*MIN(K$3-$O$2,$Q$2)/$Q$2))</f>
        <v>10527.8762604178</v>
      </c>
      <c r="L234" s="15" t="n">
        <f aca="false">K234*(1+IF(L$3&lt;=$O$2,$D234,$D234-($D234-$I$211)*MIN(L$3-$O$2,$Q$2)/$Q$2))</f>
        <v>10864.8657955745</v>
      </c>
      <c r="M234" s="15" t="n">
        <f aca="false">L234*(1+IF(M$3&lt;=$O$2,$D234,$D234-($D234-$I$211)*MIN(M$3-$O$2,$Q$2)/$Q$2))</f>
        <v>11165.3296426024</v>
      </c>
      <c r="N234" s="15" t="n">
        <f aca="false">M234*(1+IF(N$3&lt;=$O$2,$D234,$D234-($D234-$I$211)*MIN(N$3-$O$2,$Q$2)/$Q$2))</f>
        <v>11425.481823275</v>
      </c>
      <c r="O234" s="15" t="n">
        <f aca="false">SUMPRODUCT(E234:N234,1/(1+$F$211)^$E$3:$N$3)*$E$2</f>
        <v>18710.893650561</v>
      </c>
      <c r="P234" s="15" t="n">
        <f aca="false">N234*$E$2*(1+$I$211)/($F$211-$I$211)/(1+$F$211)^$N$3</f>
        <v>29406.1269133995</v>
      </c>
      <c r="Q234" s="15" t="n">
        <f aca="false">O234+P234</f>
        <v>48117.0205639605</v>
      </c>
      <c r="R234" s="15" t="n">
        <f aca="false">Q234-$G$2+$I$2</f>
        <v>45600.0205639605</v>
      </c>
      <c r="S234" s="42" t="n">
        <f aca="false">R234/$K$2</f>
        <v>105.258345791885</v>
      </c>
      <c r="T234" s="43" t="n">
        <f aca="false">S234-$M$2</f>
        <v>4.74677081712116E-005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0.0450727939605713</v>
      </c>
      <c r="C235" s="25" t="n">
        <f aca="false">IF(T234&gt;0,D234,C234)</f>
        <v>0.0450731515884399</v>
      </c>
      <c r="D235" s="41" t="n">
        <f aca="false">(B235+C235)/2</f>
        <v>0.0450729727745056</v>
      </c>
      <c r="E235" s="15" t="n">
        <f aca="false">$C$2*(1+IF(E$3&lt;=$O$2,$D235,$D235-($D235-$I$211)*MIN(E$3-$O$2,$Q$2)/$Q$2))</f>
        <v>8182.92137682438</v>
      </c>
      <c r="F235" s="15" t="n">
        <f aca="false">E235*(1+IF(F$3&lt;=$O$2,$D235,$D235-($D235-$I$211)*MIN(F$3-$O$2,$Q$2)/$Q$2))</f>
        <v>8551.7499692579</v>
      </c>
      <c r="G235" s="15" t="n">
        <f aca="false">F235*(1+IF(G$3&lt;=$O$2,$D235,$D235-($D235-$I$211)*MIN(G$3-$O$2,$Q$2)/$Q$2))</f>
        <v>8937.20276279665</v>
      </c>
      <c r="H235" s="15" t="n">
        <f aca="false">G235*(1+IF(H$3&lt;=$O$2,$D235,$D235-($D235-$I$211)*MIN(H$3-$O$2,$Q$2)/$Q$2))</f>
        <v>9340.02905960441</v>
      </c>
      <c r="I235" s="15" t="n">
        <f aca="false">H235*(1+IF(I$3&lt;=$O$2,$D235,$D235-($D235-$I$211)*MIN(I$3-$O$2,$Q$2)/$Q$2))</f>
        <v>9761.01193512106</v>
      </c>
      <c r="J235" s="15" t="n">
        <f aca="false">I235*(1+IF(J$3&lt;=$O$2,$D235,$D235-($D235-$I$211)*MIN(J$3-$O$2,$Q$2)/$Q$2))</f>
        <v>10158.4645109014</v>
      </c>
      <c r="K235" s="15" t="n">
        <f aca="false">J235*(1+IF(K$3&lt;=$O$2,$D235,$D235-($D235-$I$211)*MIN(K$3-$O$2,$Q$2)/$Q$2))</f>
        <v>10527.8647167414</v>
      </c>
      <c r="L235" s="15" t="n">
        <f aca="false">K235*(1+IF(L$3&lt;=$O$2,$D235,$D235-($D235-$I$211)*MIN(L$3-$O$2,$Q$2)/$Q$2))</f>
        <v>10864.853129382</v>
      </c>
      <c r="M235" s="15" t="n">
        <f aca="false">L235*(1+IF(M$3&lt;=$O$2,$D235,$D235-($D235-$I$211)*MIN(M$3-$O$2,$Q$2)/$Q$2))</f>
        <v>11165.3162375736</v>
      </c>
      <c r="N235" s="15" t="n">
        <f aca="false">M235*(1+IF(N$3&lt;=$O$2,$D235,$D235-($D235-$I$211)*MIN(N$3-$O$2,$Q$2)/$Q$2))</f>
        <v>11425.468105909</v>
      </c>
      <c r="O235" s="15" t="n">
        <f aca="false">SUMPRODUCT(E235:N235,1/(1+$F$211)^$E$3:$N$3)*$E$2</f>
        <v>18710.8789265066</v>
      </c>
      <c r="P235" s="15" t="n">
        <f aca="false">N235*$E$2*(1+$I$211)/($F$211-$I$211)/(1+$F$211)^$N$3</f>
        <v>29406.0916085773</v>
      </c>
      <c r="Q235" s="15" t="n">
        <f aca="false">O235+P235</f>
        <v>48116.9705350838</v>
      </c>
      <c r="R235" s="15" t="n">
        <f aca="false">Q235-$G$2+$I$2</f>
        <v>45599.9705350838</v>
      </c>
      <c r="S235" s="42" t="n">
        <f aca="false">R235/$K$2</f>
        <v>105.258230310428</v>
      </c>
      <c r="T235" s="43" t="n">
        <f aca="false">S235-$M$2</f>
        <v>-6.80137486313015E-005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0.0450729727745056</v>
      </c>
      <c r="C236" s="25" t="n">
        <f aca="false">IF(T235&gt;0,D235,C235)</f>
        <v>0.0450731515884399</v>
      </c>
      <c r="D236" s="41" t="n">
        <f aca="false">(B236+C236)/2</f>
        <v>0.0450730621814728</v>
      </c>
      <c r="E236" s="15" t="n">
        <f aca="false">$C$2*(1+IF(E$3&lt;=$O$2,$D236,$D236-($D236-$I$211)*MIN(E$3-$O$2,$Q$2)/$Q$2))</f>
        <v>8182.92207688093</v>
      </c>
      <c r="F236" s="15" t="n">
        <f aca="false">E236*(1+IF(F$3&lt;=$O$2,$D236,$D236-($D236-$I$211)*MIN(F$3-$O$2,$Q$2)/$Q$2))</f>
        <v>8551.75143247833</v>
      </c>
      <c r="G236" s="15" t="n">
        <f aca="false">F236*(1+IF(G$3&lt;=$O$2,$D236,$D236-($D236-$I$211)*MIN(G$3-$O$2,$Q$2)/$Q$2))</f>
        <v>8937.20505655493</v>
      </c>
      <c r="H236" s="15" t="n">
        <f aca="false">G236*(1+IF(H$3&lt;=$O$2,$D236,$D236-($D236-$I$211)*MIN(H$3-$O$2,$Q$2)/$Q$2))</f>
        <v>9340.0322557976</v>
      </c>
      <c r="I236" s="15" t="n">
        <f aca="false">H236*(1+IF(I$3&lt;=$O$2,$D236,$D236-($D236-$I$211)*MIN(I$3-$O$2,$Q$2)/$Q$2))</f>
        <v>9761.01611044013</v>
      </c>
      <c r="J236" s="15" t="n">
        <f aca="false">I236*(1+IF(J$3&lt;=$O$2,$D236,$D236-($D236-$I$211)*MIN(J$3-$O$2,$Q$2)/$Q$2))</f>
        <v>10158.469554395</v>
      </c>
      <c r="K236" s="15" t="n">
        <f aca="false">J236*(1+IF(K$3&lt;=$O$2,$D236,$D236-($D236-$I$211)*MIN(K$3-$O$2,$Q$2)/$Q$2))</f>
        <v>10527.8704885782</v>
      </c>
      <c r="L236" s="15" t="n">
        <f aca="false">K236*(1+IF(L$3&lt;=$O$2,$D236,$D236-($D236-$I$211)*MIN(L$3-$O$2,$Q$2)/$Q$2))</f>
        <v>10864.8594624766</v>
      </c>
      <c r="M236" s="15" t="n">
        <f aca="false">L236*(1+IF(M$3&lt;=$O$2,$D236,$D236-($D236-$I$211)*MIN(M$3-$O$2,$Q$2)/$Q$2))</f>
        <v>11165.3229400862</v>
      </c>
      <c r="N236" s="15" t="n">
        <f aca="false">M236*(1+IF(N$3&lt;=$O$2,$D236,$D236-($D236-$I$211)*MIN(N$3-$O$2,$Q$2)/$Q$2))</f>
        <v>11425.4749645902</v>
      </c>
      <c r="O236" s="15" t="n">
        <f aca="false">SUMPRODUCT(E236:N236,1/(1+$F$211)^$E$3:$N$3)*$E$2</f>
        <v>18710.8862885323</v>
      </c>
      <c r="P236" s="15" t="n">
        <f aca="false">N236*$E$2*(1+$I$211)/($F$211-$I$211)/(1+$F$211)^$N$3</f>
        <v>29406.1092609838</v>
      </c>
      <c r="Q236" s="15" t="n">
        <f aca="false">O236+P236</f>
        <v>48116.9955495161</v>
      </c>
      <c r="R236" s="15" t="n">
        <f aca="false">Q236-$G$2+$I$2</f>
        <v>45599.9955495161</v>
      </c>
      <c r="S236" s="42" t="n">
        <f aca="false">R236/$K$2</f>
        <v>105.258288051143</v>
      </c>
      <c r="T236" s="43" t="n">
        <f aca="false">S236-$M$2</f>
        <v>-1.02730342490531E-005</v>
      </c>
    </row>
    <row r="238" customFormat="false" ht="15" hidden="false" customHeight="false" outlineLevel="0" collapsed="false">
      <c r="A238" s="38" t="s">
        <v>180</v>
      </c>
      <c r="E238" s="5" t="s">
        <v>11</v>
      </c>
      <c r="F238" s="12" t="n">
        <f aca="false">Sensitivity!$B$11</f>
        <v>0.0771529104257703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153</v>
      </c>
      <c r="B239" s="28" t="s">
        <v>154</v>
      </c>
      <c r="C239" s="28" t="s">
        <v>155</v>
      </c>
      <c r="D239" s="28" t="s">
        <v>156</v>
      </c>
      <c r="E239" s="28" t="s">
        <v>157</v>
      </c>
      <c r="F239" s="28" t="s">
        <v>158</v>
      </c>
      <c r="G239" s="28" t="s">
        <v>159</v>
      </c>
      <c r="H239" s="28" t="s">
        <v>160</v>
      </c>
      <c r="I239" s="28" t="s">
        <v>161</v>
      </c>
      <c r="J239" s="28" t="s">
        <v>162</v>
      </c>
      <c r="K239" s="28" t="s">
        <v>163</v>
      </c>
      <c r="L239" s="28" t="s">
        <v>164</v>
      </c>
      <c r="M239" s="28" t="s">
        <v>165</v>
      </c>
      <c r="N239" s="28" t="s">
        <v>166</v>
      </c>
      <c r="O239" s="28" t="s">
        <v>167</v>
      </c>
      <c r="P239" s="28" t="s">
        <v>168</v>
      </c>
      <c r="Q239" s="28" t="s">
        <v>169</v>
      </c>
      <c r="R239" s="28" t="s">
        <v>170</v>
      </c>
      <c r="S239" s="28" t="s">
        <v>171</v>
      </c>
      <c r="T239" s="28" t="s">
        <v>172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9787.5</v>
      </c>
      <c r="F240" s="15" t="n">
        <f aca="false">E240*(1+IF(F$3&lt;=$O$2,$D240,$D240-($D240-$I$238)*MIN(F$3-$O$2,$Q$2)/$Q$2))</f>
        <v>12234.375</v>
      </c>
      <c r="G240" s="15" t="n">
        <f aca="false">F240*(1+IF(G$3&lt;=$O$2,$D240,$D240-($D240-$I$238)*MIN(G$3-$O$2,$Q$2)/$Q$2))</f>
        <v>15292.96875</v>
      </c>
      <c r="H240" s="15" t="n">
        <f aca="false">G240*(1+IF(H$3&lt;=$O$2,$D240,$D240-($D240-$I$238)*MIN(H$3-$O$2,$Q$2)/$Q$2))</f>
        <v>19116.2109375</v>
      </c>
      <c r="I240" s="15" t="n">
        <f aca="false">H240*(1+IF(I$3&lt;=$O$2,$D240,$D240-($D240-$I$238)*MIN(I$3-$O$2,$Q$2)/$Q$2))</f>
        <v>23895.263671875</v>
      </c>
      <c r="J240" s="15" t="n">
        <f aca="false">I240*(1+IF(J$3&lt;=$O$2,$D240,$D240-($D240-$I$238)*MIN(J$3-$O$2,$Q$2)/$Q$2))</f>
        <v>28809.5635986328</v>
      </c>
      <c r="K240" s="15" t="n">
        <f aca="false">J240*(1+IF(K$3&lt;=$O$2,$D240,$D240-($D240-$I$238)*MIN(K$3-$O$2,$Q$2)/$Q$2))</f>
        <v>33457.1223983643</v>
      </c>
      <c r="L240" s="15" t="n">
        <f aca="false">K240*(1+IF(L$3&lt;=$O$2,$D240,$D240-($D240-$I$238)*MIN(L$3-$O$2,$Q$2)/$Q$2))</f>
        <v>37370.9365765249</v>
      </c>
      <c r="M240" s="15" t="n">
        <f aca="false">L240*(1+IF(M$3&lt;=$O$2,$D240,$D240-($D240-$I$238)*MIN(M$3-$O$2,$Q$2)/$Q$2))</f>
        <v>40085.5614094437</v>
      </c>
      <c r="N240" s="15" t="n">
        <f aca="false">M240*(1+IF(N$3&lt;=$O$2,$D240,$D240-($D240-$I$238)*MIN(N$3-$O$2,$Q$2)/$Q$2))</f>
        <v>41219.9827973309</v>
      </c>
      <c r="O240" s="15" t="n">
        <f aca="false">SUMPRODUCT(E240:N240,1/(1+$F$238)^$E$3:$N$3)*$E$2</f>
        <v>46034.498462498</v>
      </c>
      <c r="P240" s="15" t="n">
        <f aca="false">N240*$E$2*(1+$I$238)/($F$238-$I$238)/(1+$F$238)^$N$3</f>
        <v>117518.626944937</v>
      </c>
      <c r="Q240" s="15" t="n">
        <f aca="false">O240+P240</f>
        <v>163553.125407435</v>
      </c>
      <c r="R240" s="15" t="n">
        <f aca="false">Q240-$G$2+$I$2</f>
        <v>161036.125407435</v>
      </c>
      <c r="S240" s="42" t="n">
        <f aca="false">R240/$K$2</f>
        <v>371.719046690907</v>
      </c>
      <c r="T240" s="43" t="n">
        <f aca="false">S240-$M$2</f>
        <v>266.46074836673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6851.25</v>
      </c>
      <c r="F241" s="15" t="n">
        <f aca="false">E241*(1+IF(F$3&lt;=$O$2,$D241,$D241-($D241-$I$238)*MIN(F$3-$O$2,$Q$2)/$Q$2))</f>
        <v>5994.84375</v>
      </c>
      <c r="G241" s="15" t="n">
        <f aca="false">F241*(1+IF(G$3&lt;=$O$2,$D241,$D241-($D241-$I$238)*MIN(G$3-$O$2,$Q$2)/$Q$2))</f>
        <v>5245.48828125</v>
      </c>
      <c r="H241" s="15" t="n">
        <f aca="false">G241*(1+IF(H$3&lt;=$O$2,$D241,$D241-($D241-$I$238)*MIN(H$3-$O$2,$Q$2)/$Q$2))</f>
        <v>4589.80224609375</v>
      </c>
      <c r="I241" s="15" t="n">
        <f aca="false">H241*(1+IF(I$3&lt;=$O$2,$D241,$D241-($D241-$I$238)*MIN(I$3-$O$2,$Q$2)/$Q$2))</f>
        <v>4016.07696533203</v>
      </c>
      <c r="J241" s="15" t="n">
        <f aca="false">I241*(1+IF(J$3&lt;=$O$2,$D241,$D241-($D241-$I$238)*MIN(J$3-$O$2,$Q$2)/$Q$2))</f>
        <v>3637.20026442261</v>
      </c>
      <c r="K241" s="15" t="n">
        <f aca="false">J241*(1+IF(K$3&lt;=$O$2,$D241,$D241-($D241-$I$238)*MIN(K$3-$O$2,$Q$2)/$Q$2))</f>
        <v>3405.58335158418</v>
      </c>
      <c r="L241" s="15" t="n">
        <f aca="false">K241*(1+IF(L$3&lt;=$O$2,$D241,$D241-($D241-$I$238)*MIN(L$3-$O$2,$Q$2)/$Q$2))</f>
        <v>3293.13098931487</v>
      </c>
      <c r="M241" s="15" t="n">
        <f aca="false">L241*(1+IF(M$3&lt;=$O$2,$D241,$D241-($D241-$I$238)*MIN(M$3-$O$2,$Q$2)/$Q$2))</f>
        <v>3285.35920018008</v>
      </c>
      <c r="N241" s="15" t="n">
        <f aca="false">M241*(1+IF(N$3&lt;=$O$2,$D241,$D241-($D241-$I$238)*MIN(N$3-$O$2,$Q$2)/$Q$2))</f>
        <v>3378.33486554518</v>
      </c>
      <c r="O241" s="15" t="n">
        <f aca="false">SUMPRODUCT(E241:N241,1/(1+$F$238)^$E$3:$N$3)*$E$2</f>
        <v>8932.29860622871</v>
      </c>
      <c r="P241" s="15" t="n">
        <f aca="false">N241*$E$2*(1+$I$238)/($F$238-$I$238)/(1+$F$238)^$N$3</f>
        <v>9631.6700739813</v>
      </c>
      <c r="Q241" s="15" t="n">
        <f aca="false">O241+P241</f>
        <v>18563.96868021</v>
      </c>
      <c r="R241" s="15" t="n">
        <f aca="false">Q241-$G$2+$I$2</f>
        <v>16046.96868021</v>
      </c>
      <c r="S241" s="42" t="n">
        <f aca="false">R241/$K$2</f>
        <v>37.0411538714972</v>
      </c>
      <c r="T241" s="43" t="n">
        <f aca="false">S241-$M$2</f>
        <v>-68.21714445268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8319.375</v>
      </c>
      <c r="F242" s="15" t="n">
        <f aca="false">E242*(1+IF(F$3&lt;=$O$2,$D242,$D242-($D242-$I$238)*MIN(F$3-$O$2,$Q$2)/$Q$2))</f>
        <v>8839.3359375</v>
      </c>
      <c r="G242" s="15" t="n">
        <f aca="false">F242*(1+IF(G$3&lt;=$O$2,$D242,$D242-($D242-$I$238)*MIN(G$3-$O$2,$Q$2)/$Q$2))</f>
        <v>9391.79443359375</v>
      </c>
      <c r="H242" s="15" t="n">
        <f aca="false">G242*(1+IF(H$3&lt;=$O$2,$D242,$D242-($D242-$I$238)*MIN(H$3-$O$2,$Q$2)/$Q$2))</f>
        <v>9978.78158569336</v>
      </c>
      <c r="I242" s="15" t="n">
        <f aca="false">H242*(1+IF(I$3&lt;=$O$2,$D242,$D242-($D242-$I$238)*MIN(I$3-$O$2,$Q$2)/$Q$2))</f>
        <v>10602.4554347992</v>
      </c>
      <c r="J242" s="15" t="n">
        <f aca="false">I242*(1+IF(J$3&lt;=$O$2,$D242,$D242-($D242-$I$238)*MIN(J$3-$O$2,$Q$2)/$Q$2))</f>
        <v>11192.5881043001</v>
      </c>
      <c r="K242" s="15" t="n">
        <f aca="false">J242*(1+IF(K$3&lt;=$O$2,$D242,$D242-($D242-$I$238)*MIN(K$3-$O$2,$Q$2)/$Q$2))</f>
        <v>11739.0102555521</v>
      </c>
      <c r="L242" s="15" t="n">
        <f aca="false">K242*(1+IF(L$3&lt;=$O$2,$D242,$D242-($D242-$I$238)*MIN(L$3-$O$2,$Q$2)/$Q$2))</f>
        <v>12231.8139060801</v>
      </c>
      <c r="M242" s="15" t="n">
        <f aca="false">L242*(1+IF(M$3&lt;=$O$2,$D242,$D242-($D242-$I$238)*MIN(M$3-$O$2,$Q$2)/$Q$2))</f>
        <v>12661.6398467398</v>
      </c>
      <c r="N242" s="15" t="n">
        <f aca="false">M242*(1+IF(N$3&lt;=$O$2,$D242,$D242-($D242-$I$238)*MIN(N$3-$O$2,$Q$2)/$Q$2))</f>
        <v>13019.9642544025</v>
      </c>
      <c r="O242" s="15" t="n">
        <f aca="false">SUMPRODUCT(E242:N242,1/(1+$F$238)^$E$3:$N$3)*$E$2</f>
        <v>20264.2263776545</v>
      </c>
      <c r="P242" s="15" t="n">
        <f aca="false">N242*$E$2*(1+$I$238)/($F$238-$I$238)/(1+$F$238)^$N$3</f>
        <v>37120.0621206619</v>
      </c>
      <c r="Q242" s="15" t="n">
        <f aca="false">O242+P242</f>
        <v>57384.2884983164</v>
      </c>
      <c r="R242" s="15" t="n">
        <f aca="false">Q242-$G$2+$I$2</f>
        <v>54867.2884983164</v>
      </c>
      <c r="S242" s="42" t="n">
        <f aca="false">R242/$K$2</f>
        <v>126.649943442861</v>
      </c>
      <c r="T242" s="43" t="n">
        <f aca="false">S242-$M$2</f>
        <v>21.3916451186843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7585.3125</v>
      </c>
      <c r="F243" s="15" t="n">
        <f aca="false">E243*(1+IF(F$3&lt;=$O$2,$D243,$D243-($D243-$I$238)*MIN(F$3-$O$2,$Q$2)/$Q$2))</f>
        <v>7348.271484375</v>
      </c>
      <c r="G243" s="15" t="n">
        <f aca="false">F243*(1+IF(G$3&lt;=$O$2,$D243,$D243-($D243-$I$238)*MIN(G$3-$O$2,$Q$2)/$Q$2))</f>
        <v>7118.63800048828</v>
      </c>
      <c r="H243" s="15" t="n">
        <f aca="false">G243*(1+IF(H$3&lt;=$O$2,$D243,$D243-($D243-$I$238)*MIN(H$3-$O$2,$Q$2)/$Q$2))</f>
        <v>6896.18056297302</v>
      </c>
      <c r="I243" s="15" t="n">
        <f aca="false">H243*(1+IF(I$3&lt;=$O$2,$D243,$D243-($D243-$I$238)*MIN(I$3-$O$2,$Q$2)/$Q$2))</f>
        <v>6680.67492038012</v>
      </c>
      <c r="J243" s="15" t="n">
        <f aca="false">I243*(1+IF(J$3&lt;=$O$2,$D243,$D243-($D243-$I$238)*MIN(J$3-$O$2,$Q$2)/$Q$2))</f>
        <v>6551.47066741996</v>
      </c>
      <c r="K243" s="15" t="n">
        <f aca="false">J243*(1+IF(K$3&lt;=$O$2,$D243,$D243-($D243-$I$238)*MIN(K$3-$O$2,$Q$2)/$Q$2))</f>
        <v>6502.79324036103</v>
      </c>
      <c r="L243" s="15" t="n">
        <f aca="false">K243*(1+IF(L$3&lt;=$O$2,$D243,$D243-($D243-$I$238)*MIN(L$3-$O$2,$Q$2)/$Q$2))</f>
        <v>6531.92575407785</v>
      </c>
      <c r="M243" s="15" t="n">
        <f aca="false">L243*(1+IF(M$3&lt;=$O$2,$D243,$D243-($D243-$I$238)*MIN(M$3-$O$2,$Q$2)/$Q$2))</f>
        <v>6638.98401718719</v>
      </c>
      <c r="N243" s="15" t="n">
        <f aca="false">M243*(1+IF(N$3&lt;=$O$2,$D243,$D243-($D243-$I$238)*MIN(N$3-$O$2,$Q$2)/$Q$2))</f>
        <v>6826.86726487359</v>
      </c>
      <c r="O243" s="15" t="n">
        <f aca="false">SUMPRODUCT(E243:N243,1/(1+$F$238)^$E$3:$N$3)*$E$2</f>
        <v>13417.7865458952</v>
      </c>
      <c r="P243" s="15" t="n">
        <f aca="false">N243*$E$2*(1+$I$238)/($F$238-$I$238)/(1+$F$238)^$N$3</f>
        <v>19463.474093328</v>
      </c>
      <c r="Q243" s="15" t="n">
        <f aca="false">O243+P243</f>
        <v>32881.2606392233</v>
      </c>
      <c r="R243" s="15" t="n">
        <f aca="false">Q243-$G$2+$I$2</f>
        <v>30364.2606392233</v>
      </c>
      <c r="S243" s="42" t="n">
        <f aca="false">R243/$K$2</f>
        <v>70.0897018586937</v>
      </c>
      <c r="T243" s="43" t="n">
        <f aca="false">S243-$M$2</f>
        <v>-35.1685964654834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7952.34375</v>
      </c>
      <c r="F244" s="15" t="n">
        <f aca="false">E244*(1+IF(F$3&lt;=$O$2,$D244,$D244-($D244-$I$238)*MIN(F$3-$O$2,$Q$2)/$Q$2))</f>
        <v>8076.59912109375</v>
      </c>
      <c r="G244" s="15" t="n">
        <f aca="false">F244*(1+IF(G$3&lt;=$O$2,$D244,$D244-($D244-$I$238)*MIN(G$3-$O$2,$Q$2)/$Q$2))</f>
        <v>8202.79598236084</v>
      </c>
      <c r="H244" s="15" t="n">
        <f aca="false">G244*(1+IF(H$3&lt;=$O$2,$D244,$D244-($D244-$I$238)*MIN(H$3-$O$2,$Q$2)/$Q$2))</f>
        <v>8330.96466958523</v>
      </c>
      <c r="I244" s="15" t="n">
        <f aca="false">H244*(1+IF(I$3&lt;=$O$2,$D244,$D244-($D244-$I$238)*MIN(I$3-$O$2,$Q$2)/$Q$2))</f>
        <v>8461.1359925475</v>
      </c>
      <c r="J244" s="15" t="n">
        <f aca="false">I244*(1+IF(J$3&lt;=$O$2,$D244,$D244-($D244-$I$238)*MIN(J$3-$O$2,$Q$2)/$Q$2))</f>
        <v>8614.79022217216</v>
      </c>
      <c r="K244" s="15" t="n">
        <f aca="false">J244*(1+IF(K$3&lt;=$O$2,$D244,$D244-($D244-$I$238)*MIN(K$3-$O$2,$Q$2)/$Q$2))</f>
        <v>8793.07330582001</v>
      </c>
      <c r="L244" s="15" t="n">
        <f aca="false">K244*(1+IF(L$3&lt;=$O$2,$D244,$D244-($D244-$I$238)*MIN(L$3-$O$2,$Q$2)/$Q$2))</f>
        <v>8997.33639871421</v>
      </c>
      <c r="M244" s="15" t="n">
        <f aca="false">L244*(1+IF(M$3&lt;=$O$2,$D244,$D244-($D244-$I$238)*MIN(M$3-$O$2,$Q$2)/$Q$2))</f>
        <v>9229.15277102708</v>
      </c>
      <c r="N244" s="15" t="n">
        <f aca="false">M244*(1+IF(N$3&lt;=$O$2,$D244,$D244-($D244-$I$238)*MIN(N$3-$O$2,$Q$2)/$Q$2))</f>
        <v>9490.33779444715</v>
      </c>
      <c r="O244" s="15" t="n">
        <f aca="false">SUMPRODUCT(E244:N244,1/(1+$F$238)^$E$3:$N$3)*$E$2</f>
        <v>16483.9307769189</v>
      </c>
      <c r="P244" s="15" t="n">
        <f aca="false">N244*$E$2*(1+$I$238)/($F$238-$I$238)/(1+$F$238)^$N$3</f>
        <v>27057.0580373771</v>
      </c>
      <c r="Q244" s="15" t="n">
        <f aca="false">O244+P244</f>
        <v>43540.9888142959</v>
      </c>
      <c r="R244" s="15" t="n">
        <f aca="false">Q244-$G$2+$I$2</f>
        <v>41023.9888142959</v>
      </c>
      <c r="S244" s="42" t="n">
        <f aca="false">R244/$K$2</f>
        <v>94.6955099355891</v>
      </c>
      <c r="T244" s="43" t="n">
        <f aca="false">S244-$M$2</f>
        <v>-10.562788388588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0.015625</v>
      </c>
      <c r="C245" s="25" t="n">
        <f aca="false">IF(T244&gt;0,D244,C244)</f>
        <v>0.0625</v>
      </c>
      <c r="D245" s="41" t="n">
        <f aca="false">(B245+C245)/2</f>
        <v>0.0390625</v>
      </c>
      <c r="E245" s="15" t="n">
        <f aca="false">$C$2*(1+IF(E$3&lt;=$O$2,$D245,$D245-($D245-$I$238)*MIN(E$3-$O$2,$Q$2)/$Q$2))</f>
        <v>8135.859375</v>
      </c>
      <c r="F245" s="15" t="n">
        <f aca="false">E245*(1+IF(F$3&lt;=$O$2,$D245,$D245-($D245-$I$238)*MIN(F$3-$O$2,$Q$2)/$Q$2))</f>
        <v>8453.66638183594</v>
      </c>
      <c r="G245" s="15" t="n">
        <f aca="false">F245*(1+IF(G$3&lt;=$O$2,$D245,$D245-($D245-$I$238)*MIN(G$3-$O$2,$Q$2)/$Q$2))</f>
        <v>8783.8877248764</v>
      </c>
      <c r="H245" s="15" t="n">
        <f aca="false">G245*(1+IF(H$3&lt;=$O$2,$D245,$D245-($D245-$I$238)*MIN(H$3-$O$2,$Q$2)/$Q$2))</f>
        <v>9127.00833912939</v>
      </c>
      <c r="I245" s="15" t="n">
        <f aca="false">H245*(1+IF(I$3&lt;=$O$2,$D245,$D245-($D245-$I$238)*MIN(I$3-$O$2,$Q$2)/$Q$2))</f>
        <v>9483.53210237663</v>
      </c>
      <c r="J245" s="15" t="n">
        <f aca="false">I245*(1+IF(J$3&lt;=$O$2,$D245,$D245-($D245-$I$238)*MIN(J$3-$O$2,$Q$2)/$Q$2))</f>
        <v>9833.56927227535</v>
      </c>
      <c r="K245" s="15" t="n">
        <f aca="false">J245*(1+IF(K$3&lt;=$O$2,$D245,$D245-($D245-$I$238)*MIN(K$3-$O$2,$Q$2)/$Q$2))</f>
        <v>10175.3595562565</v>
      </c>
      <c r="L245" s="15" t="n">
        <f aca="false">K245*(1+IF(L$3&lt;=$O$2,$D245,$D245-($D245-$I$238)*MIN(L$3-$O$2,$Q$2)/$Q$2))</f>
        <v>10507.1271545882</v>
      </c>
      <c r="M245" s="15" t="n">
        <f aca="false">L245*(1+IF(M$3&lt;=$O$2,$D245,$D245-($D245-$I$238)*MIN(M$3-$O$2,$Q$2)/$Q$2))</f>
        <v>10827.0954442633</v>
      </c>
      <c r="N245" s="15" t="n">
        <f aca="false">M245*(1+IF(N$3&lt;=$O$2,$D245,$D245-($D245-$I$238)*MIN(N$3-$O$2,$Q$2)/$Q$2))</f>
        <v>11133.502245336</v>
      </c>
      <c r="O245" s="15" t="n">
        <f aca="false">SUMPRODUCT(E245:N245,1/(1+$F$238)^$E$3:$N$3)*$E$2</f>
        <v>18275.834415772</v>
      </c>
      <c r="P245" s="15" t="n">
        <f aca="false">N245*$E$2*(1+$I$238)/($F$238-$I$238)/(1+$F$238)^$N$3</f>
        <v>31741.7380641161</v>
      </c>
      <c r="Q245" s="15" t="n">
        <f aca="false">O245+P245</f>
        <v>50017.572479888</v>
      </c>
      <c r="R245" s="15" t="n">
        <f aca="false">Q245-$G$2+$I$2</f>
        <v>47500.572479888</v>
      </c>
      <c r="S245" s="42" t="n">
        <f aca="false">R245/$K$2</f>
        <v>109.645382207396</v>
      </c>
      <c r="T245" s="43" t="n">
        <f aca="false">S245-$M$2</f>
        <v>4.38708388321876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0.015625</v>
      </c>
      <c r="C246" s="25" t="n">
        <f aca="false">IF(T245&gt;0,D245,C245)</f>
        <v>0.0390625</v>
      </c>
      <c r="D246" s="41" t="n">
        <f aca="false">(B246+C246)/2</f>
        <v>0.02734375</v>
      </c>
      <c r="E246" s="15" t="n">
        <f aca="false">$C$2*(1+IF(E$3&lt;=$O$2,$D246,$D246-($D246-$I$238)*MIN(E$3-$O$2,$Q$2)/$Q$2))</f>
        <v>8044.1015625</v>
      </c>
      <c r="F246" s="15" t="n">
        <f aca="false">E246*(1+IF(F$3&lt;=$O$2,$D246,$D246-($D246-$I$238)*MIN(F$3-$O$2,$Q$2)/$Q$2))</f>
        <v>8264.05746459961</v>
      </c>
      <c r="G246" s="15" t="n">
        <f aca="false">F246*(1+IF(G$3&lt;=$O$2,$D246,$D246-($D246-$I$238)*MIN(G$3-$O$2,$Q$2)/$Q$2))</f>
        <v>8490.02778589726</v>
      </c>
      <c r="H246" s="15" t="n">
        <f aca="false">G246*(1+IF(H$3&lt;=$O$2,$D246,$D246-($D246-$I$238)*MIN(H$3-$O$2,$Q$2)/$Q$2))</f>
        <v>8722.17698316788</v>
      </c>
      <c r="I246" s="15" t="n">
        <f aca="false">H246*(1+IF(I$3&lt;=$O$2,$D246,$D246-($D246-$I$238)*MIN(I$3-$O$2,$Q$2)/$Q$2))</f>
        <v>8960.67401005138</v>
      </c>
      <c r="J246" s="15" t="n">
        <f aca="false">I246*(1+IF(J$3&lt;=$O$2,$D246,$D246-($D246-$I$238)*MIN(J$3-$O$2,$Q$2)/$Q$2))</f>
        <v>9207.40616891815</v>
      </c>
      <c r="K246" s="15" t="n">
        <f aca="false">J246*(1+IF(K$3&lt;=$O$2,$D246,$D246-($D246-$I$238)*MIN(K$3-$O$2,$Q$2)/$Q$2))</f>
        <v>9462.69301420911</v>
      </c>
      <c r="L246" s="15" t="n">
        <f aca="false">K246*(1+IF(L$3&lt;=$O$2,$D246,$D246-($D246-$I$238)*MIN(L$3-$O$2,$Q$2)/$Q$2))</f>
        <v>9726.86774643329</v>
      </c>
      <c r="M246" s="15" t="n">
        <f aca="false">L246*(1+IF(M$3&lt;=$O$2,$D246,$D246-($D246-$I$238)*MIN(M$3-$O$2,$Q$2)/$Q$2))</f>
        <v>10000.2778402009</v>
      </c>
      <c r="N246" s="15" t="n">
        <f aca="false">M246*(1+IF(N$3&lt;=$O$2,$D246,$D246-($D246-$I$238)*MIN(N$3-$O$2,$Q$2)/$Q$2))</f>
        <v>10283.2857030785</v>
      </c>
      <c r="O246" s="15" t="n">
        <f aca="false">SUMPRODUCT(E246:N246,1/(1+$F$238)^$E$3:$N$3)*$E$2</f>
        <v>17356.5036058315</v>
      </c>
      <c r="P246" s="15" t="n">
        <f aca="false">N246*$E$2*(1+$I$238)/($F$238-$I$238)/(1+$F$238)^$N$3</f>
        <v>29317.7612967499</v>
      </c>
      <c r="Q246" s="15" t="n">
        <f aca="false">O246+P246</f>
        <v>46674.2649025814</v>
      </c>
      <c r="R246" s="15" t="n">
        <f aca="false">Q246-$G$2+$I$2</f>
        <v>44157.2649025814</v>
      </c>
      <c r="S246" s="42" t="n">
        <f aca="false">R246/$K$2</f>
        <v>101.928038646834</v>
      </c>
      <c r="T246" s="43" t="n">
        <f aca="false">S246-$M$2</f>
        <v>-3.33025967734309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0.02734375</v>
      </c>
      <c r="C247" s="25" t="n">
        <f aca="false">IF(T246&gt;0,D246,C246)</f>
        <v>0.0390625</v>
      </c>
      <c r="D247" s="41" t="n">
        <f aca="false">(B247+C247)/2</f>
        <v>0.033203125</v>
      </c>
      <c r="E247" s="15" t="n">
        <f aca="false">$C$2*(1+IF(E$3&lt;=$O$2,$D247,$D247-($D247-$I$238)*MIN(E$3-$O$2,$Q$2)/$Q$2))</f>
        <v>8089.98046875</v>
      </c>
      <c r="F247" s="15" t="n">
        <f aca="false">E247*(1+IF(F$3&lt;=$O$2,$D247,$D247-($D247-$I$238)*MIN(F$3-$O$2,$Q$2)/$Q$2))</f>
        <v>8358.59310150147</v>
      </c>
      <c r="G247" s="15" t="n">
        <f aca="false">F247*(1+IF(G$3&lt;=$O$2,$D247,$D247-($D247-$I$238)*MIN(G$3-$O$2,$Q$2)/$Q$2))</f>
        <v>8636.12451307476</v>
      </c>
      <c r="H247" s="15" t="n">
        <f aca="false">G247*(1+IF(H$3&lt;=$O$2,$D247,$D247-($D247-$I$238)*MIN(H$3-$O$2,$Q$2)/$Q$2))</f>
        <v>8922.87083479794</v>
      </c>
      <c r="I247" s="15" t="n">
        <f aca="false">H247*(1+IF(I$3&lt;=$O$2,$D247,$D247-($D247-$I$238)*MIN(I$3-$O$2,$Q$2)/$Q$2))</f>
        <v>9219.13803048459</v>
      </c>
      <c r="J247" s="15" t="n">
        <f aca="false">I247*(1+IF(J$3&lt;=$O$2,$D247,$D247-($D247-$I$238)*MIN(J$3-$O$2,$Q$2)/$Q$2))</f>
        <v>9516.20170567188</v>
      </c>
      <c r="K247" s="15" t="n">
        <f aca="false">J247*(1+IF(K$3&lt;=$O$2,$D247,$D247-($D247-$I$238)*MIN(K$3-$O$2,$Q$2)/$Q$2))</f>
        <v>9813.50568983527</v>
      </c>
      <c r="L247" s="15" t="n">
        <f aca="false">K247*(1+IF(L$3&lt;=$O$2,$D247,$D247-($D247-$I$238)*MIN(L$3-$O$2,$Q$2)/$Q$2))</f>
        <v>10110.4746388918</v>
      </c>
      <c r="M247" s="15" t="n">
        <f aca="false">L247*(1+IF(M$3&lt;=$O$2,$D247,$D247-($D247-$I$238)*MIN(M$3-$O$2,$Q$2)/$Q$2))</f>
        <v>10406.5156553652</v>
      </c>
      <c r="N247" s="15" t="n">
        <f aca="false">M247*(1+IF(N$3&lt;=$O$2,$D247,$D247-($D247-$I$238)*MIN(N$3-$O$2,$Q$2)/$Q$2))</f>
        <v>10701.020048412</v>
      </c>
      <c r="O247" s="15" t="n">
        <f aca="false">SUMPRODUCT(E247:N247,1/(1+$F$238)^$E$3:$N$3)*$E$2</f>
        <v>17810.1804123367</v>
      </c>
      <c r="P247" s="15" t="n">
        <f aca="false">N247*$E$2*(1+$I$238)/($F$238-$I$238)/(1+$F$238)^$N$3</f>
        <v>30508.7265364179</v>
      </c>
      <c r="Q247" s="15" t="n">
        <f aca="false">O247+P247</f>
        <v>48318.9069487546</v>
      </c>
      <c r="R247" s="15" t="n">
        <f aca="false">Q247-$G$2+$I$2</f>
        <v>45801.9069487546</v>
      </c>
      <c r="S247" s="42" t="n">
        <f aca="false">R247/$K$2</f>
        <v>105.724359329566</v>
      </c>
      <c r="T247" s="43" t="n">
        <f aca="false">S247-$M$2</f>
        <v>0.466061005388923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0.02734375</v>
      </c>
      <c r="C248" s="25" t="n">
        <f aca="false">IF(T247&gt;0,D247,C247)</f>
        <v>0.033203125</v>
      </c>
      <c r="D248" s="41" t="n">
        <f aca="false">(B248+C248)/2</f>
        <v>0.0302734375</v>
      </c>
      <c r="E248" s="15" t="n">
        <f aca="false">$C$2*(1+IF(E$3&lt;=$O$2,$D248,$D248-($D248-$I$238)*MIN(E$3-$O$2,$Q$2)/$Q$2))</f>
        <v>8067.041015625</v>
      </c>
      <c r="F248" s="15" t="n">
        <f aca="false">E248*(1+IF(F$3&lt;=$O$2,$D248,$D248-($D248-$I$238)*MIN(F$3-$O$2,$Q$2)/$Q$2))</f>
        <v>8311.25807762146</v>
      </c>
      <c r="G248" s="15" t="n">
        <f aca="false">F248*(1+IF(G$3&lt;=$O$2,$D248,$D248-($D248-$I$238)*MIN(G$3-$O$2,$Q$2)/$Q$2))</f>
        <v>8562.8684295807</v>
      </c>
      <c r="H248" s="15" t="n">
        <f aca="false">G248*(1+IF(H$3&lt;=$O$2,$D248,$D248-($D248-$I$238)*MIN(H$3-$O$2,$Q$2)/$Q$2))</f>
        <v>8822.09589180434</v>
      </c>
      <c r="I248" s="15" t="n">
        <f aca="false">H248*(1+IF(I$3&lt;=$O$2,$D248,$D248-($D248-$I$238)*MIN(I$3-$O$2,$Q$2)/$Q$2))</f>
        <v>9089.17106040388</v>
      </c>
      <c r="J248" s="15" t="n">
        <f aca="false">I248*(1+IF(J$3&lt;=$O$2,$D248,$D248-($D248-$I$238)*MIN(J$3-$O$2,$Q$2)/$Q$2))</f>
        <v>9360.74413022493</v>
      </c>
      <c r="K248" s="15" t="n">
        <f aca="false">J248*(1+IF(K$3&lt;=$O$2,$D248,$D248-($D248-$I$238)*MIN(K$3-$O$2,$Q$2)/$Q$2))</f>
        <v>9636.73689520699</v>
      </c>
      <c r="L248" s="15" t="n">
        <f aca="false">K248*(1+IF(L$3&lt;=$O$2,$D248,$D248-($D248-$I$238)*MIN(L$3-$O$2,$Q$2)/$Q$2))</f>
        <v>9917.063548528</v>
      </c>
      <c r="M248" s="15" t="n">
        <f aca="false">L248*(1+IF(M$3&lt;=$O$2,$D248,$D248-($D248-$I$238)*MIN(M$3-$O$2,$Q$2)/$Q$2))</f>
        <v>10201.6305879706</v>
      </c>
      <c r="N248" s="15" t="n">
        <f aca="false">M248*(1+IF(N$3&lt;=$O$2,$D248,$D248-($D248-$I$238)*MIN(N$3-$O$2,$Q$2)/$Q$2))</f>
        <v>10490.3367336102</v>
      </c>
      <c r="O248" s="15" t="n">
        <f aca="false">SUMPRODUCT(E248:N248,1/(1+$F$238)^$E$3:$N$3)*$E$2</f>
        <v>17581.8630802265</v>
      </c>
      <c r="P248" s="15" t="n">
        <f aca="false">N248*$E$2*(1+$I$238)/($F$238-$I$238)/(1+$F$238)^$N$3</f>
        <v>29908.0660752661</v>
      </c>
      <c r="Q248" s="15" t="n">
        <f aca="false">O248+P248</f>
        <v>47489.9291554926</v>
      </c>
      <c r="R248" s="15" t="n">
        <f aca="false">Q248-$G$2+$I$2</f>
        <v>44972.9291554926</v>
      </c>
      <c r="S248" s="42" t="n">
        <f aca="false">R248/$K$2</f>
        <v>103.810833192125</v>
      </c>
      <c r="T248" s="43" t="n">
        <f aca="false">S248-$M$2</f>
        <v>-1.44746513205175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0.0302734375</v>
      </c>
      <c r="C249" s="25" t="n">
        <f aca="false">IF(T248&gt;0,D248,C248)</f>
        <v>0.033203125</v>
      </c>
      <c r="D249" s="41" t="n">
        <f aca="false">(B249+C249)/2</f>
        <v>0.03173828125</v>
      </c>
      <c r="E249" s="15" t="n">
        <f aca="false">$C$2*(1+IF(E$3&lt;=$O$2,$D249,$D249-($D249-$I$238)*MIN(E$3-$O$2,$Q$2)/$Q$2))</f>
        <v>8078.5107421875</v>
      </c>
      <c r="F249" s="15" t="n">
        <f aca="false">E249*(1+IF(F$3&lt;=$O$2,$D249,$D249-($D249-$I$238)*MIN(F$3-$O$2,$Q$2)/$Q$2))</f>
        <v>8334.90878820419</v>
      </c>
      <c r="G249" s="15" t="n">
        <f aca="false">F249*(1+IF(G$3&lt;=$O$2,$D249,$D249-($D249-$I$238)*MIN(G$3-$O$2,$Q$2)/$Q$2))</f>
        <v>8599.44446751731</v>
      </c>
      <c r="H249" s="15" t="n">
        <f aca="false">G249*(1+IF(H$3&lt;=$O$2,$D249,$D249-($D249-$I$238)*MIN(H$3-$O$2,$Q$2)/$Q$2))</f>
        <v>8872.37605462114</v>
      </c>
      <c r="I249" s="15" t="n">
        <f aca="false">H249*(1+IF(I$3&lt;=$O$2,$D249,$D249-($D249-$I$238)*MIN(I$3-$O$2,$Q$2)/$Q$2))</f>
        <v>9153.97002119847</v>
      </c>
      <c r="J249" s="15" t="n">
        <f aca="false">I249*(1+IF(J$3&lt;=$O$2,$D249,$D249-($D249-$I$238)*MIN(J$3-$O$2,$Q$2)/$Q$2))</f>
        <v>9438.20651158794</v>
      </c>
      <c r="K249" s="15" t="n">
        <f aca="false">J249*(1+IF(K$3&lt;=$O$2,$D249,$D249-($D249-$I$238)*MIN(K$3-$O$2,$Q$2)/$Q$2))</f>
        <v>9724.77848095533</v>
      </c>
      <c r="L249" s="15" t="n">
        <f aca="false">K249*(1+IF(L$3&lt;=$O$2,$D249,$D249-($D249-$I$238)*MIN(L$3-$O$2,$Q$2)/$Q$2))</f>
        <v>10013.364321371</v>
      </c>
      <c r="M249" s="15" t="n">
        <f aca="false">L249*(1+IF(M$3&lt;=$O$2,$D249,$D249-($D249-$I$238)*MIN(M$3-$O$2,$Q$2)/$Q$2))</f>
        <v>10303.6282842249</v>
      </c>
      <c r="N249" s="15" t="n">
        <f aca="false">M249*(1+IF(N$3&lt;=$O$2,$D249,$D249-($D249-$I$238)*MIN(N$3-$O$2,$Q$2)/$Q$2))</f>
        <v>10595.2209646684</v>
      </c>
      <c r="O249" s="15" t="n">
        <f aca="false">SUMPRODUCT(E249:N249,1/(1+$F$238)^$E$3:$N$3)*$E$2</f>
        <v>17695.6497515797</v>
      </c>
      <c r="P249" s="15" t="n">
        <f aca="false">N249*$E$2*(1+$I$238)/($F$238-$I$238)/(1+$F$238)^$N$3</f>
        <v>30207.0921782788</v>
      </c>
      <c r="Q249" s="15" t="n">
        <f aca="false">O249+P249</f>
        <v>47902.7419298585</v>
      </c>
      <c r="R249" s="15" t="n">
        <f aca="false">Q249-$G$2+$I$2</f>
        <v>45385.7419298585</v>
      </c>
      <c r="S249" s="42" t="n">
        <f aca="false">R249/$K$2</f>
        <v>104.763727274499</v>
      </c>
      <c r="T249" s="43" t="n">
        <f aca="false">S249-$M$2</f>
        <v>-0.494571049678044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0.03173828125</v>
      </c>
      <c r="C250" s="25" t="n">
        <f aca="false">IF(T249&gt;0,D249,C249)</f>
        <v>0.033203125</v>
      </c>
      <c r="D250" s="41" t="n">
        <f aca="false">(B250+C250)/2</f>
        <v>0.032470703125</v>
      </c>
      <c r="E250" s="15" t="n">
        <f aca="false">$C$2*(1+IF(E$3&lt;=$O$2,$D250,$D250-($D250-$I$238)*MIN(E$3-$O$2,$Q$2)/$Q$2))</f>
        <v>8084.24560546875</v>
      </c>
      <c r="F250" s="15" t="n">
        <f aca="false">E250*(1+IF(F$3&lt;=$O$2,$D250,$D250-($D250-$I$238)*MIN(F$3-$O$2,$Q$2)/$Q$2))</f>
        <v>8346.74674451351</v>
      </c>
      <c r="G250" s="15" t="n">
        <f aca="false">F250*(1+IF(G$3&lt;=$O$2,$D250,$D250-($D250-$I$238)*MIN(G$3-$O$2,$Q$2)/$Q$2))</f>
        <v>8617.77148011417</v>
      </c>
      <c r="H250" s="15" t="n">
        <f aca="false">G250*(1+IF(H$3&lt;=$O$2,$D250,$D250-($D250-$I$238)*MIN(H$3-$O$2,$Q$2)/$Q$2))</f>
        <v>8897.59657944405</v>
      </c>
      <c r="I250" s="15" t="n">
        <f aca="false">H250*(1+IF(I$3&lt;=$O$2,$D250,$D250-($D250-$I$238)*MIN(I$3-$O$2,$Q$2)/$Q$2))</f>
        <v>9186.50779650119</v>
      </c>
      <c r="J250" s="15" t="n">
        <f aca="false">I250*(1+IF(J$3&lt;=$O$2,$D250,$D250-($D250-$I$238)*MIN(J$3-$O$2,$Q$2)/$Q$2))</f>
        <v>9477.13732456194</v>
      </c>
      <c r="K250" s="15" t="n">
        <f aca="false">J250*(1+IF(K$3&lt;=$O$2,$D250,$D250-($D250-$I$238)*MIN(K$3-$O$2,$Q$2)/$Q$2))</f>
        <v>9769.05610660041</v>
      </c>
      <c r="L250" s="15" t="n">
        <f aca="false">K250*(1+IF(L$3&lt;=$O$2,$D250,$D250-($D250-$I$238)*MIN(L$3-$O$2,$Q$2)/$Q$2))</f>
        <v>10061.81792755</v>
      </c>
      <c r="M250" s="15" t="n">
        <f aca="false">L250*(1+IF(M$3&lt;=$O$2,$D250,$D250-($D250-$I$238)*MIN(M$3-$O$2,$Q$2)/$Q$2))</f>
        <v>10354.9603459944</v>
      </c>
      <c r="N250" s="15" t="n">
        <f aca="false">M250*(1+IF(N$3&lt;=$O$2,$D250,$D250-($D250-$I$238)*MIN(N$3-$O$2,$Q$2)/$Q$2))</f>
        <v>10648.0057237861</v>
      </c>
      <c r="O250" s="15" t="n">
        <f aca="false">SUMPRODUCT(E250:N250,1/(1+$F$238)^$E$3:$N$3)*$E$2</f>
        <v>17752.8217991551</v>
      </c>
      <c r="P250" s="15" t="n">
        <f aca="false">N250*$E$2*(1+$I$238)/($F$238-$I$238)/(1+$F$238)^$N$3</f>
        <v>30357.5821104465</v>
      </c>
      <c r="Q250" s="15" t="n">
        <f aca="false">O250+P250</f>
        <v>48110.4039096016</v>
      </c>
      <c r="R250" s="15" t="n">
        <f aca="false">Q250-$G$2+$I$2</f>
        <v>45593.4039096016</v>
      </c>
      <c r="S250" s="42" t="n">
        <f aca="false">R250/$K$2</f>
        <v>105.24307259499</v>
      </c>
      <c r="T250" s="43" t="n">
        <f aca="false">S250-$M$2</f>
        <v>-0.0152257291871223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0.032470703125</v>
      </c>
      <c r="C251" s="25" t="n">
        <f aca="false">IF(T250&gt;0,D250,C250)</f>
        <v>0.033203125</v>
      </c>
      <c r="D251" s="41" t="n">
        <f aca="false">(B251+C251)/2</f>
        <v>0.0328369140625</v>
      </c>
      <c r="E251" s="15" t="n">
        <f aca="false">$C$2*(1+IF(E$3&lt;=$O$2,$D251,$D251-($D251-$I$238)*MIN(E$3-$O$2,$Q$2)/$Q$2))</f>
        <v>8087.11303710938</v>
      </c>
      <c r="F251" s="15" t="n">
        <f aca="false">E251*(1+IF(F$3&lt;=$O$2,$D251,$D251-($D251-$I$238)*MIN(F$3-$O$2,$Q$2)/$Q$2))</f>
        <v>8352.66887292266</v>
      </c>
      <c r="G251" s="15" t="n">
        <f aca="false">F251*(1+IF(G$3&lt;=$O$2,$D251,$D251-($D251-$I$238)*MIN(G$3-$O$2,$Q$2)/$Q$2))</f>
        <v>8626.94474289534</v>
      </c>
      <c r="H251" s="15" t="n">
        <f aca="false">G251*(1+IF(H$3&lt;=$O$2,$D251,$D251-($D251-$I$238)*MIN(H$3-$O$2,$Q$2)/$Q$2))</f>
        <v>8910.22698603973</v>
      </c>
      <c r="I251" s="15" t="n">
        <f aca="false">H251*(1+IF(I$3&lt;=$O$2,$D251,$D251-($D251-$I$238)*MIN(I$3-$O$2,$Q$2)/$Q$2))</f>
        <v>9202.81134385769</v>
      </c>
      <c r="J251" s="15" t="n">
        <f aca="false">I251*(1+IF(J$3&lt;=$O$2,$D251,$D251-($D251-$I$238)*MIN(J$3-$O$2,$Q$2)/$Q$2))</f>
        <v>9496.65279624925</v>
      </c>
      <c r="K251" s="15" t="n">
        <f aca="false">J251*(1+IF(K$3&lt;=$O$2,$D251,$D251-($D251-$I$238)*MIN(K$3-$O$2,$Q$2)/$Q$2))</f>
        <v>9791.25936895389</v>
      </c>
      <c r="L251" s="15" t="n">
        <f aca="false">K251*(1+IF(L$3&lt;=$O$2,$D251,$D251-($D251-$I$238)*MIN(L$3-$O$2,$Q$2)/$Q$2))</f>
        <v>10086.1208500235</v>
      </c>
      <c r="M251" s="15" t="n">
        <f aca="false">L251*(1+IF(M$3&lt;=$O$2,$D251,$D251-($D251-$I$238)*MIN(M$3-$O$2,$Q$2)/$Q$2))</f>
        <v>10380.7100427833</v>
      </c>
      <c r="N251" s="15" t="n">
        <f aca="false">M251*(1+IF(N$3&lt;=$O$2,$D251,$D251-($D251-$I$238)*MIN(N$3-$O$2,$Q$2)/$Q$2))</f>
        <v>10674.4841369941</v>
      </c>
      <c r="O251" s="15" t="n">
        <f aca="false">SUMPRODUCT(E251:N251,1/(1+$F$238)^$E$3:$N$3)*$E$2</f>
        <v>17781.4777494466</v>
      </c>
      <c r="P251" s="15" t="n">
        <f aca="false">N251*$E$2*(1+$I$238)/($F$238-$I$238)/(1+$F$238)^$N$3</f>
        <v>30433.0723594158</v>
      </c>
      <c r="Q251" s="15" t="n">
        <f aca="false">O251+P251</f>
        <v>48214.5501088624</v>
      </c>
      <c r="R251" s="15" t="n">
        <f aca="false">Q251-$G$2+$I$2</f>
        <v>45697.5501088624</v>
      </c>
      <c r="S251" s="42" t="n">
        <f aca="false">R251/$K$2</f>
        <v>105.483472851813</v>
      </c>
      <c r="T251" s="43" t="n">
        <f aca="false">S251-$M$2</f>
        <v>0.225174527635915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0.032470703125</v>
      </c>
      <c r="C252" s="25" t="n">
        <f aca="false">IF(T251&gt;0,D251,C251)</f>
        <v>0.0328369140625</v>
      </c>
      <c r="D252" s="41" t="n">
        <f aca="false">(B252+C252)/2</f>
        <v>0.03265380859375</v>
      </c>
      <c r="E252" s="15" t="n">
        <f aca="false">$C$2*(1+IF(E$3&lt;=$O$2,$D252,$D252-($D252-$I$238)*MIN(E$3-$O$2,$Q$2)/$Q$2))</f>
        <v>8085.67932128906</v>
      </c>
      <c r="F252" s="15" t="n">
        <f aca="false">E252*(1+IF(F$3&lt;=$O$2,$D252,$D252-($D252-$I$238)*MIN(F$3-$O$2,$Q$2)/$Q$2))</f>
        <v>8349.70754619688</v>
      </c>
      <c r="G252" s="15" t="n">
        <f aca="false">F252*(1+IF(G$3&lt;=$O$2,$D252,$D252-($D252-$I$238)*MIN(G$3-$O$2,$Q$2)/$Q$2))</f>
        <v>8622.35729822418</v>
      </c>
      <c r="H252" s="15" t="n">
        <f aca="false">G252*(1+IF(H$3&lt;=$O$2,$D252,$D252-($D252-$I$238)*MIN(H$3-$O$2,$Q$2)/$Q$2))</f>
        <v>8903.91010306732</v>
      </c>
      <c r="I252" s="15" t="n">
        <f aca="false">H252*(1+IF(I$3&lt;=$O$2,$D252,$D252-($D252-$I$238)*MIN(I$3-$O$2,$Q$2)/$Q$2))</f>
        <v>9194.65667930883</v>
      </c>
      <c r="J252" s="15" t="n">
        <f aca="false">I252*(1+IF(J$3&lt;=$O$2,$D252,$D252-($D252-$I$238)*MIN(J$3-$O$2,$Q$2)/$Q$2))</f>
        <v>9486.89088354684</v>
      </c>
      <c r="K252" s="15" t="n">
        <f aca="false">J252*(1+IF(K$3&lt;=$O$2,$D252,$D252-($D252-$I$238)*MIN(K$3-$O$2,$Q$2)/$Q$2))</f>
        <v>9780.15235978527</v>
      </c>
      <c r="L252" s="15" t="n">
        <f aca="false">K252*(1+IF(L$3&lt;=$O$2,$D252,$D252-($D252-$I$238)*MIN(L$3-$O$2,$Q$2)/$Q$2))</f>
        <v>10073.9630361241</v>
      </c>
      <c r="M252" s="15" t="n">
        <f aca="false">L252*(1+IF(M$3&lt;=$O$2,$D252,$D252-($D252-$I$238)*MIN(M$3-$O$2,$Q$2)/$Q$2))</f>
        <v>10367.8282114143</v>
      </c>
      <c r="N252" s="15" t="n">
        <f aca="false">M252*(1+IF(N$3&lt;=$O$2,$D252,$D252-($D252-$I$238)*MIN(N$3-$O$2,$Q$2)/$Q$2))</f>
        <v>10661.2377497974</v>
      </c>
      <c r="O252" s="15" t="n">
        <f aca="false">SUMPRODUCT(E252:N252,1/(1+$F$238)^$E$3:$N$3)*$E$2</f>
        <v>17767.1439396795</v>
      </c>
      <c r="P252" s="15" t="n">
        <f aca="false">N252*$E$2*(1+$I$238)/($F$238-$I$238)/(1+$F$238)^$N$3</f>
        <v>30395.3067629819</v>
      </c>
      <c r="Q252" s="15" t="n">
        <f aca="false">O252+P252</f>
        <v>48162.4507026615</v>
      </c>
      <c r="R252" s="15" t="n">
        <f aca="false">Q252-$G$2+$I$2</f>
        <v>45645.4507026615</v>
      </c>
      <c r="S252" s="42" t="n">
        <f aca="false">R252/$K$2</f>
        <v>105.36321200005</v>
      </c>
      <c r="T252" s="43" t="n">
        <f aca="false">S252-$M$2</f>
        <v>0.104913675872496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0.032470703125</v>
      </c>
      <c r="C253" s="25" t="n">
        <f aca="false">IF(T252&gt;0,D252,C252)</f>
        <v>0.03265380859375</v>
      </c>
      <c r="D253" s="41" t="n">
        <f aca="false">(B253+C253)/2</f>
        <v>0.032562255859375</v>
      </c>
      <c r="E253" s="15" t="n">
        <f aca="false">$C$2*(1+IF(E$3&lt;=$O$2,$D253,$D253-($D253-$I$238)*MIN(E$3-$O$2,$Q$2)/$Q$2))</f>
        <v>8084.96246337891</v>
      </c>
      <c r="F253" s="15" t="n">
        <f aca="false">E253*(1+IF(F$3&lt;=$O$2,$D253,$D253-($D253-$I$238)*MIN(F$3-$O$2,$Q$2)/$Q$2))</f>
        <v>8348.22707972489</v>
      </c>
      <c r="G253" s="15" t="n">
        <f aca="false">F253*(1+IF(G$3&lt;=$O$2,$D253,$D253-($D253-$I$238)*MIN(G$3-$O$2,$Q$2)/$Q$2))</f>
        <v>8620.06418586706</v>
      </c>
      <c r="H253" s="15" t="n">
        <f aca="false">G253*(1+IF(H$3&lt;=$O$2,$D253,$D253-($D253-$I$238)*MIN(H$3-$O$2,$Q$2)/$Q$2))</f>
        <v>8900.7529214115</v>
      </c>
      <c r="I253" s="15" t="n">
        <f aca="false">H253*(1+IF(I$3&lt;=$O$2,$D253,$D253-($D253-$I$238)*MIN(I$3-$O$2,$Q$2)/$Q$2))</f>
        <v>9190.58151537958</v>
      </c>
      <c r="J253" s="15" t="n">
        <f aca="false">I253*(1+IF(J$3&lt;=$O$2,$D253,$D253-($D253-$I$238)*MIN(J$3-$O$2,$Q$2)/$Q$2))</f>
        <v>9482.01306019681</v>
      </c>
      <c r="K253" s="15" t="n">
        <f aca="false">J253*(1+IF(K$3&lt;=$O$2,$D253,$D253-($D253-$I$238)*MIN(K$3-$O$2,$Q$2)/$Q$2))</f>
        <v>9774.60288923508</v>
      </c>
      <c r="L253" s="15" t="n">
        <f aca="false">K253*(1+IF(L$3&lt;=$O$2,$D253,$D253-($D253-$I$238)*MIN(L$3-$O$2,$Q$2)/$Q$2))</f>
        <v>10067.8888943755</v>
      </c>
      <c r="M253" s="15" t="n">
        <f aca="false">L253*(1+IF(M$3&lt;=$O$2,$D253,$D253-($D253-$I$238)*MIN(M$3-$O$2,$Q$2)/$Q$2))</f>
        <v>10361.3925337727</v>
      </c>
      <c r="N253" s="15" t="n">
        <f aca="false">M253*(1+IF(N$3&lt;=$O$2,$D253,$D253-($D253-$I$238)*MIN(N$3-$O$2,$Q$2)/$Q$2))</f>
        <v>10654.6199424784</v>
      </c>
      <c r="O253" s="15" t="n">
        <f aca="false">SUMPRODUCT(E253:N253,1/(1+$F$238)^$E$3:$N$3)*$E$2</f>
        <v>17759.9814113184</v>
      </c>
      <c r="P253" s="15" t="n">
        <f aca="false">N253*$E$2*(1+$I$238)/($F$238-$I$238)/(1+$F$238)^$N$3</f>
        <v>30376.4393211071</v>
      </c>
      <c r="Q253" s="15" t="n">
        <f aca="false">O253+P253</f>
        <v>48136.4207324255</v>
      </c>
      <c r="R253" s="15" t="n">
        <f aca="false">Q253-$G$2+$I$2</f>
        <v>45619.4207324255</v>
      </c>
      <c r="S253" s="42" t="n">
        <f aca="false">R253/$K$2</f>
        <v>105.30312712346</v>
      </c>
      <c r="T253" s="43" t="n">
        <f aca="false">S253-$M$2</f>
        <v>0.0448287992832519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0.032470703125</v>
      </c>
      <c r="C254" s="25" t="n">
        <f aca="false">IF(T253&gt;0,D253,C253)</f>
        <v>0.032562255859375</v>
      </c>
      <c r="D254" s="41" t="n">
        <f aca="false">(B254+C254)/2</f>
        <v>0.0325164794921875</v>
      </c>
      <c r="E254" s="15" t="n">
        <f aca="false">$C$2*(1+IF(E$3&lt;=$O$2,$D254,$D254-($D254-$I$238)*MIN(E$3-$O$2,$Q$2)/$Q$2))</f>
        <v>8084.60403442383</v>
      </c>
      <c r="F254" s="15" t="n">
        <f aca="false">E254*(1+IF(F$3&lt;=$O$2,$D254,$D254-($D254-$I$238)*MIN(F$3-$O$2,$Q$2)/$Q$2))</f>
        <v>8347.48689571163</v>
      </c>
      <c r="G254" s="15" t="n">
        <f aca="false">F254*(1+IF(G$3&lt;=$O$2,$D254,$D254-($D254-$I$238)*MIN(G$3-$O$2,$Q$2)/$Q$2))</f>
        <v>8618.91778216734</v>
      </c>
      <c r="H254" s="15" t="n">
        <f aca="false">G254*(1+IF(H$3&lt;=$O$2,$D254,$D254-($D254-$I$238)*MIN(H$3-$O$2,$Q$2)/$Q$2))</f>
        <v>8899.17464547603</v>
      </c>
      <c r="I254" s="15" t="n">
        <f aca="false">H254*(1+IF(I$3&lt;=$O$2,$D254,$D254-($D254-$I$238)*MIN(I$3-$O$2,$Q$2)/$Q$2))</f>
        <v>9188.54447533305</v>
      </c>
      <c r="J254" s="15" t="n">
        <f aca="false">I254*(1+IF(J$3&lt;=$O$2,$D254,$D254-($D254-$I$238)*MIN(J$3-$O$2,$Q$2)/$Q$2))</f>
        <v>9479.57493145961</v>
      </c>
      <c r="K254" s="15" t="n">
        <f aca="false">J254*(1+IF(K$3&lt;=$O$2,$D254,$D254-($D254-$I$238)*MIN(K$3-$O$2,$Q$2)/$Q$2))</f>
        <v>9771.82916199581</v>
      </c>
      <c r="L254" s="15" t="n">
        <f aca="false">K254*(1+IF(L$3&lt;=$O$2,$D254,$D254-($D254-$I$238)*MIN(L$3-$O$2,$Q$2)/$Q$2))</f>
        <v>10064.8530141854</v>
      </c>
      <c r="M254" s="15" t="n">
        <f aca="false">L254*(1+IF(M$3&lt;=$O$2,$D254,$D254-($D254-$I$238)*MIN(M$3-$O$2,$Q$2)/$Q$2))</f>
        <v>10358.1760037521</v>
      </c>
      <c r="N254" s="15" t="n">
        <f aca="false">M254*(1+IF(N$3&lt;=$O$2,$D254,$D254-($D254-$I$238)*MIN(N$3-$O$2,$Q$2)/$Q$2))</f>
        <v>10651.3123846582</v>
      </c>
      <c r="O254" s="15" t="n">
        <f aca="false">SUMPRODUCT(E254:N254,1/(1+$F$238)^$E$3:$N$3)*$E$2</f>
        <v>17756.4012407815</v>
      </c>
      <c r="P254" s="15" t="n">
        <f aca="false">N254*$E$2*(1+$I$238)/($F$238-$I$238)/(1+$F$238)^$N$3</f>
        <v>30367.0094371725</v>
      </c>
      <c r="Q254" s="15" t="n">
        <f aca="false">O254+P254</f>
        <v>48123.410677954</v>
      </c>
      <c r="R254" s="15" t="n">
        <f aca="false">Q254-$G$2+$I$2</f>
        <v>45606.410677954</v>
      </c>
      <c r="S254" s="42" t="n">
        <f aca="false">R254/$K$2</f>
        <v>105.273096066557</v>
      </c>
      <c r="T254" s="43" t="n">
        <f aca="false">S254-$M$2</f>
        <v>0.014797742380253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0.032470703125</v>
      </c>
      <c r="C255" s="25" t="n">
        <f aca="false">IF(T254&gt;0,D254,C254)</f>
        <v>0.0325164794921875</v>
      </c>
      <c r="D255" s="41" t="n">
        <f aca="false">(B255+C255)/2</f>
        <v>0.0324935913085938</v>
      </c>
      <c r="E255" s="15" t="n">
        <f aca="false">$C$2*(1+IF(E$3&lt;=$O$2,$D255,$D255-($D255-$I$238)*MIN(E$3-$O$2,$Q$2)/$Q$2))</f>
        <v>8084.42481994629</v>
      </c>
      <c r="F255" s="15" t="n">
        <f aca="false">E255*(1+IF(F$3&lt;=$O$2,$D255,$D255-($D255-$I$238)*MIN(F$3-$O$2,$Q$2)/$Q$2))</f>
        <v>8347.11681601068</v>
      </c>
      <c r="G255" s="15" t="n">
        <f aca="false">F255*(1+IF(G$3&lt;=$O$2,$D255,$D255-($D255-$I$238)*MIN(G$3-$O$2,$Q$2)/$Q$2))</f>
        <v>8618.34461843522</v>
      </c>
      <c r="H255" s="15" t="n">
        <f aca="false">G255*(1+IF(H$3&lt;=$O$2,$D255,$D255-($D255-$I$238)*MIN(H$3-$O$2,$Q$2)/$Q$2))</f>
        <v>8898.38558622327</v>
      </c>
      <c r="I255" s="15" t="n">
        <f aca="false">H255*(1+IF(I$3&lt;=$O$2,$D255,$D255-($D255-$I$238)*MIN(I$3-$O$2,$Q$2)/$Q$2))</f>
        <v>9187.52609076829</v>
      </c>
      <c r="J255" s="15" t="n">
        <f aca="false">I255*(1+IF(J$3&lt;=$O$2,$D255,$D255-($D255-$I$238)*MIN(J$3-$O$2,$Q$2)/$Q$2))</f>
        <v>9478.35606278641</v>
      </c>
      <c r="K255" s="15" t="n">
        <f aca="false">J255*(1+IF(K$3&lt;=$O$2,$D255,$D255-($D255-$I$238)*MIN(K$3-$O$2,$Q$2)/$Q$2))</f>
        <v>9770.44255032606</v>
      </c>
      <c r="L255" s="15" t="n">
        <f aca="false">K255*(1+IF(L$3&lt;=$O$2,$D255,$D255-($D255-$I$238)*MIN(L$3-$O$2,$Q$2)/$Q$2))</f>
        <v>10063.3353716844</v>
      </c>
      <c r="M255" s="15" t="n">
        <f aca="false">L255*(1+IF(M$3&lt;=$O$2,$D255,$D255-($D255-$I$238)*MIN(M$3-$O$2,$Q$2)/$Q$2))</f>
        <v>10356.5680658531</v>
      </c>
      <c r="N255" s="15" t="n">
        <f aca="false">M255*(1+IF(N$3&lt;=$O$2,$D255,$D255-($D255-$I$238)*MIN(N$3-$O$2,$Q$2)/$Q$2))</f>
        <v>10649.6589421167</v>
      </c>
      <c r="O255" s="15" t="n">
        <f aca="false">SUMPRODUCT(E255:N255,1/(1+$F$238)^$E$3:$N$3)*$E$2</f>
        <v>17754.6114288632</v>
      </c>
      <c r="P255" s="15" t="n">
        <f aca="false">N255*$E$2*(1+$I$238)/($F$238-$I$238)/(1+$F$238)^$N$3</f>
        <v>30362.2954541955</v>
      </c>
      <c r="Q255" s="15" t="n">
        <f aca="false">O255+P255</f>
        <v>48116.9068830587</v>
      </c>
      <c r="R255" s="15" t="n">
        <f aca="false">Q255-$G$2+$I$2</f>
        <v>45599.9068830587</v>
      </c>
      <c r="S255" s="42" t="n">
        <f aca="false">R255/$K$2</f>
        <v>105.258083382713</v>
      </c>
      <c r="T255" s="43" t="n">
        <f aca="false">S255-$M$2</f>
        <v>-0.000214941464548701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0.0324935913085938</v>
      </c>
      <c r="C256" s="25" t="n">
        <f aca="false">IF(T255&gt;0,D255,C255)</f>
        <v>0.0325164794921875</v>
      </c>
      <c r="D256" s="41" t="n">
        <f aca="false">(B256+C256)/2</f>
        <v>0.0325050354003906</v>
      </c>
      <c r="E256" s="15" t="n">
        <f aca="false">$C$2*(1+IF(E$3&lt;=$O$2,$D256,$D256-($D256-$I$238)*MIN(E$3-$O$2,$Q$2)/$Q$2))</f>
        <v>8084.51442718506</v>
      </c>
      <c r="F256" s="15" t="n">
        <f aca="false">E256*(1+IF(F$3&lt;=$O$2,$D256,$D256-($D256-$I$238)*MIN(F$3-$O$2,$Q$2)/$Q$2))</f>
        <v>8347.30185483568</v>
      </c>
      <c r="G256" s="15" t="n">
        <f aca="false">F256*(1+IF(G$3&lt;=$O$2,$D256,$D256-($D256-$I$238)*MIN(G$3-$O$2,$Q$2)/$Q$2))</f>
        <v>8618.63119712486</v>
      </c>
      <c r="H256" s="15" t="n">
        <f aca="false">G256*(1+IF(H$3&lt;=$O$2,$D256,$D256-($D256-$I$238)*MIN(H$3-$O$2,$Q$2)/$Q$2))</f>
        <v>8898.78010929031</v>
      </c>
      <c r="I256" s="15" t="n">
        <f aca="false">H256*(1+IF(I$3&lt;=$O$2,$D256,$D256-($D256-$I$238)*MIN(I$3-$O$2,$Q$2)/$Q$2))</f>
        <v>9188.03527176309</v>
      </c>
      <c r="J256" s="15" t="n">
        <f aca="false">I256*(1+IF(J$3&lt;=$O$2,$D256,$D256-($D256-$I$238)*MIN(J$3-$O$2,$Q$2)/$Q$2))</f>
        <v>9478.96548081622</v>
      </c>
      <c r="K256" s="15" t="n">
        <f aca="false">J256*(1+IF(K$3&lt;=$O$2,$D256,$D256-($D256-$I$238)*MIN(K$3-$O$2,$Q$2)/$Q$2))</f>
        <v>9771.13583516687</v>
      </c>
      <c r="L256" s="15" t="n">
        <f aca="false">K256*(1+IF(L$3&lt;=$O$2,$D256,$D256-($D256-$I$238)*MIN(L$3-$O$2,$Q$2)/$Q$2))</f>
        <v>10064.0941681377</v>
      </c>
      <c r="M256" s="15" t="n">
        <f aca="false">L256*(1+IF(M$3&lt;=$O$2,$D256,$D256-($D256-$I$238)*MIN(M$3-$O$2,$Q$2)/$Q$2))</f>
        <v>10357.3720075459</v>
      </c>
      <c r="N256" s="15" t="n">
        <f aca="false">M256*(1+IF(N$3&lt;=$O$2,$D256,$D256-($D256-$I$238)*MIN(N$3-$O$2,$Q$2)/$Q$2))</f>
        <v>10650.4856353595</v>
      </c>
      <c r="O256" s="15" t="n">
        <f aca="false">SUMPRODUCT(E256:N256,1/(1+$F$238)^$E$3:$N$3)*$E$2</f>
        <v>17755.506312045</v>
      </c>
      <c r="P256" s="15" t="n">
        <f aca="false">N256*$E$2*(1+$I$238)/($F$238-$I$238)/(1+$F$238)^$N$3</f>
        <v>30364.6523657759</v>
      </c>
      <c r="Q256" s="15" t="n">
        <f aca="false">O256+P256</f>
        <v>48120.1586778209</v>
      </c>
      <c r="R256" s="15" t="n">
        <f aca="false">Q256-$G$2+$I$2</f>
        <v>45603.1586778209</v>
      </c>
      <c r="S256" s="42" t="n">
        <f aca="false">R256/$K$2</f>
        <v>105.265589487606</v>
      </c>
      <c r="T256" s="43" t="n">
        <f aca="false">S256-$M$2</f>
        <v>0.00729116342935754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0.0324935913085938</v>
      </c>
      <c r="C257" s="25" t="n">
        <f aca="false">IF(T256&gt;0,D256,C256)</f>
        <v>0.0325050354003906</v>
      </c>
      <c r="D257" s="41" t="n">
        <f aca="false">(B257+C257)/2</f>
        <v>0.0324993133544922</v>
      </c>
      <c r="E257" s="15" t="n">
        <f aca="false">$C$2*(1+IF(E$3&lt;=$O$2,$D257,$D257-($D257-$I$238)*MIN(E$3-$O$2,$Q$2)/$Q$2))</f>
        <v>8084.46962356567</v>
      </c>
      <c r="F257" s="15" t="n">
        <f aca="false">E257*(1+IF(F$3&lt;=$O$2,$D257,$D257-($D257-$I$238)*MIN(F$3-$O$2,$Q$2)/$Q$2))</f>
        <v>8347.20933516681</v>
      </c>
      <c r="G257" s="15" t="n">
        <f aca="false">F257*(1+IF(G$3&lt;=$O$2,$D257,$D257-($D257-$I$238)*MIN(G$3-$O$2,$Q$2)/$Q$2))</f>
        <v>8618.48790698594</v>
      </c>
      <c r="H257" s="15" t="n">
        <f aca="false">G257*(1+IF(H$3&lt;=$O$2,$D257,$D257-($D257-$I$238)*MIN(H$3-$O$2,$Q$2)/$Q$2))</f>
        <v>8898.58284611697</v>
      </c>
      <c r="I257" s="15" t="n">
        <f aca="false">H257*(1+IF(I$3&lt;=$O$2,$D257,$D257-($D257-$I$238)*MIN(I$3-$O$2,$Q$2)/$Q$2))</f>
        <v>9187.78067844384</v>
      </c>
      <c r="J257" s="15" t="n">
        <f aca="false">I257*(1+IF(J$3&lt;=$O$2,$D257,$D257-($D257-$I$238)*MIN(J$3-$O$2,$Q$2)/$Q$2))</f>
        <v>9478.66076772471</v>
      </c>
      <c r="K257" s="15" t="n">
        <f aca="false">J257*(1+IF(K$3&lt;=$O$2,$D257,$D257-($D257-$I$238)*MIN(K$3-$O$2,$Q$2)/$Q$2))</f>
        <v>9770.78918749808</v>
      </c>
      <c r="L257" s="15" t="n">
        <f aca="false">K257*(1+IF(L$3&lt;=$O$2,$D257,$D257-($D257-$I$238)*MIN(L$3-$O$2,$Q$2)/$Q$2))</f>
        <v>10063.7147637119</v>
      </c>
      <c r="M257" s="15" t="n">
        <f aca="false">L257*(1+IF(M$3&lt;=$O$2,$D257,$D257-($D257-$I$238)*MIN(M$3-$O$2,$Q$2)/$Q$2))</f>
        <v>10356.9700298855</v>
      </c>
      <c r="N257" s="15" t="n">
        <f aca="false">M257*(1+IF(N$3&lt;=$O$2,$D257,$D257-($D257-$I$238)*MIN(N$3-$O$2,$Q$2)/$Q$2))</f>
        <v>10650.0722817313</v>
      </c>
      <c r="O257" s="15" t="n">
        <f aca="false">SUMPRODUCT(E257:N257,1/(1+$F$238)^$E$3:$N$3)*$E$2</f>
        <v>17755.0588647599</v>
      </c>
      <c r="P257" s="15" t="n">
        <f aca="false">N257*$E$2*(1+$I$238)/($F$238-$I$238)/(1+$F$238)^$N$3</f>
        <v>30363.4738900093</v>
      </c>
      <c r="Q257" s="15" t="n">
        <f aca="false">O257+P257</f>
        <v>48118.5327547692</v>
      </c>
      <c r="R257" s="15" t="n">
        <f aca="false">Q257-$G$2+$I$2</f>
        <v>45601.5327547692</v>
      </c>
      <c r="S257" s="42" t="n">
        <f aca="false">R257/$K$2</f>
        <v>105.261836375904</v>
      </c>
      <c r="T257" s="43" t="n">
        <f aca="false">S257-$M$2</f>
        <v>0.00353805172694877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0.0324935913085938</v>
      </c>
      <c r="C258" s="25" t="n">
        <f aca="false">IF(T257&gt;0,D257,C257)</f>
        <v>0.0324993133544922</v>
      </c>
      <c r="D258" s="41" t="n">
        <f aca="false">(B258+C258)/2</f>
        <v>0.032496452331543</v>
      </c>
      <c r="E258" s="15" t="n">
        <f aca="false">$C$2*(1+IF(E$3&lt;=$O$2,$D258,$D258-($D258-$I$238)*MIN(E$3-$O$2,$Q$2)/$Q$2))</f>
        <v>8084.44722175598</v>
      </c>
      <c r="F258" s="15" t="n">
        <f aca="false">E258*(1+IF(F$3&lt;=$O$2,$D258,$D258-($D258-$I$238)*MIN(F$3-$O$2,$Q$2)/$Q$2))</f>
        <v>8347.16307552465</v>
      </c>
      <c r="G258" s="15" t="n">
        <f aca="false">F258*(1+IF(G$3&lt;=$O$2,$D258,$D258-($D258-$I$238)*MIN(G$3-$O$2,$Q$2)/$Q$2))</f>
        <v>8618.41626251205</v>
      </c>
      <c r="H258" s="15" t="n">
        <f aca="false">G258*(1+IF(H$3&lt;=$O$2,$D258,$D258-($D258-$I$238)*MIN(H$3-$O$2,$Q$2)/$Q$2))</f>
        <v>8898.48421576017</v>
      </c>
      <c r="I258" s="15" t="n">
        <f aca="false">H258*(1+IF(I$3&lt;=$O$2,$D258,$D258-($D258-$I$238)*MIN(I$3-$O$2,$Q$2)/$Q$2))</f>
        <v>9187.65338390061</v>
      </c>
      <c r="J258" s="15" t="n">
        <f aca="false">I258*(1+IF(J$3&lt;=$O$2,$D258,$D258-($D258-$I$238)*MIN(J$3-$O$2,$Q$2)/$Q$2))</f>
        <v>9478.50841423642</v>
      </c>
      <c r="K258" s="15" t="n">
        <f aca="false">J258*(1+IF(K$3&lt;=$O$2,$D258,$D258-($D258-$I$238)*MIN(K$3-$O$2,$Q$2)/$Q$2))</f>
        <v>9770.61586759999</v>
      </c>
      <c r="L258" s="15" t="n">
        <f aca="false">K258*(1+IF(L$3&lt;=$O$2,$D258,$D258-($D258-$I$238)*MIN(L$3-$O$2,$Q$2)/$Q$2))</f>
        <v>10063.5250661484</v>
      </c>
      <c r="M258" s="15" t="n">
        <f aca="false">L258*(1+IF(M$3&lt;=$O$2,$D258,$D258-($D258-$I$238)*MIN(M$3-$O$2,$Q$2)/$Q$2))</f>
        <v>10356.7690461658</v>
      </c>
      <c r="N258" s="15" t="n">
        <f aca="false">M258*(1+IF(N$3&lt;=$O$2,$D258,$D258-($D258-$I$238)*MIN(N$3-$O$2,$Q$2)/$Q$2))</f>
        <v>10649.8656101723</v>
      </c>
      <c r="O258" s="15" t="n">
        <f aca="false">SUMPRODUCT(E258:N258,1/(1+$F$238)^$E$3:$N$3)*$E$2</f>
        <v>17754.835145388</v>
      </c>
      <c r="P258" s="15" t="n">
        <f aca="false">N258*$E$2*(1+$I$238)/($F$238-$I$238)/(1+$F$238)^$N$3</f>
        <v>30362.8846671084</v>
      </c>
      <c r="Q258" s="15" t="n">
        <f aca="false">O258+P258</f>
        <v>48117.7198124964</v>
      </c>
      <c r="R258" s="15" t="n">
        <f aca="false">Q258-$G$2+$I$2</f>
        <v>45600.7198124964</v>
      </c>
      <c r="S258" s="42" t="n">
        <f aca="false">R258/$K$2</f>
        <v>105.259959864495</v>
      </c>
      <c r="T258" s="43" t="n">
        <f aca="false">S258-$M$2</f>
        <v>0.00166154031751375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0.0324935913085938</v>
      </c>
      <c r="C259" s="25" t="n">
        <f aca="false">IF(T258&gt;0,D258,C258)</f>
        <v>0.032496452331543</v>
      </c>
      <c r="D259" s="41" t="n">
        <f aca="false">(B259+C259)/2</f>
        <v>0.0324950218200684</v>
      </c>
      <c r="E259" s="15" t="n">
        <f aca="false">$C$2*(1+IF(E$3&lt;=$O$2,$D259,$D259-($D259-$I$238)*MIN(E$3-$O$2,$Q$2)/$Q$2))</f>
        <v>8084.43602085114</v>
      </c>
      <c r="F259" s="15" t="n">
        <f aca="false">E259*(1+IF(F$3&lt;=$O$2,$D259,$D259-($D259-$I$238)*MIN(F$3-$O$2,$Q$2)/$Q$2))</f>
        <v>8347.13994575164</v>
      </c>
      <c r="G259" s="15" t="n">
        <f aca="false">F259*(1+IF(G$3&lt;=$O$2,$D259,$D259-($D259-$I$238)*MIN(G$3-$O$2,$Q$2)/$Q$2))</f>
        <v>8618.380440424</v>
      </c>
      <c r="H259" s="15" t="n">
        <f aca="false">G259*(1+IF(H$3&lt;=$O$2,$D259,$D259-($D259-$I$238)*MIN(H$3-$O$2,$Q$2)/$Q$2))</f>
        <v>8898.43490088923</v>
      </c>
      <c r="I259" s="15" t="n">
        <f aca="false">H259*(1+IF(I$3&lt;=$O$2,$D259,$D259-($D259-$I$238)*MIN(I$3-$O$2,$Q$2)/$Q$2))</f>
        <v>9187.58973715809</v>
      </c>
      <c r="J259" s="15" t="n">
        <f aca="false">I259*(1+IF(J$3&lt;=$O$2,$D259,$D259-($D259-$I$238)*MIN(J$3-$O$2,$Q$2)/$Q$2))</f>
        <v>9478.43223825663</v>
      </c>
      <c r="K259" s="15" t="n">
        <f aca="false">J259*(1+IF(K$3&lt;=$O$2,$D259,$D259-($D259-$I$238)*MIN(K$3-$O$2,$Q$2)/$Q$2))</f>
        <v>9770.52920863501</v>
      </c>
      <c r="L259" s="15" t="n">
        <f aca="false">K259*(1+IF(L$3&lt;=$O$2,$D259,$D259-($D259-$I$238)*MIN(L$3-$O$2,$Q$2)/$Q$2))</f>
        <v>10063.4302185289</v>
      </c>
      <c r="M259" s="15" t="n">
        <f aca="false">L259*(1+IF(M$3&lt;=$O$2,$D259,$D259-($D259-$I$238)*MIN(M$3-$O$2,$Q$2)/$Q$2))</f>
        <v>10356.6685555836</v>
      </c>
      <c r="N259" s="15" t="n">
        <f aca="false">M259*(1+IF(N$3&lt;=$O$2,$D259,$D259-($D259-$I$238)*MIN(N$3-$O$2,$Q$2)/$Q$2))</f>
        <v>10649.7622757066</v>
      </c>
      <c r="O259" s="15" t="n">
        <f aca="false">SUMPRODUCT(E259:N259,1/(1+$F$238)^$E$3:$N$3)*$E$2</f>
        <v>17754.7232867697</v>
      </c>
      <c r="P259" s="15" t="n">
        <f aca="false">N259*$E$2*(1+$I$238)/($F$238-$I$238)/(1+$F$238)^$N$3</f>
        <v>30362.5900594034</v>
      </c>
      <c r="Q259" s="15" t="n">
        <f aca="false">O259+P259</f>
        <v>48117.3133461732</v>
      </c>
      <c r="R259" s="15" t="n">
        <f aca="false">Q259-$G$2+$I$2</f>
        <v>45600.3133461732</v>
      </c>
      <c r="S259" s="42" t="n">
        <f aca="false">R259/$K$2</f>
        <v>105.2590216199</v>
      </c>
      <c r="T259" s="43" t="n">
        <f aca="false">S259-$M$2</f>
        <v>0.000723295723119577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0.0324935913085938</v>
      </c>
      <c r="C260" s="25" t="n">
        <f aca="false">IF(T259&gt;0,D259,C259)</f>
        <v>0.0324950218200684</v>
      </c>
      <c r="D260" s="41" t="n">
        <f aca="false">(B260+C260)/2</f>
        <v>0.0324943065643311</v>
      </c>
      <c r="E260" s="15" t="n">
        <f aca="false">$C$2*(1+IF(E$3&lt;=$O$2,$D260,$D260-($D260-$I$238)*MIN(E$3-$O$2,$Q$2)/$Q$2))</f>
        <v>8084.43042039871</v>
      </c>
      <c r="F260" s="15" t="n">
        <f aca="false">E260*(1+IF(F$3&lt;=$O$2,$D260,$D260-($D260-$I$238)*MIN(F$3-$O$2,$Q$2)/$Q$2))</f>
        <v>8347.12838087715</v>
      </c>
      <c r="G260" s="15" t="n">
        <f aca="false">F260*(1+IF(G$3&lt;=$O$2,$D260,$D260-($D260-$I$238)*MIN(G$3-$O$2,$Q$2)/$Q$2))</f>
        <v>8618.3625294172</v>
      </c>
      <c r="H260" s="15" t="n">
        <f aca="false">G260*(1+IF(H$3&lt;=$O$2,$D260,$D260-($D260-$I$238)*MIN(H$3-$O$2,$Q$2)/$Q$2))</f>
        <v>8898.41024353063</v>
      </c>
      <c r="I260" s="15" t="n">
        <f aca="false">H260*(1+IF(I$3&lt;=$O$2,$D260,$D260-($D260-$I$238)*MIN(I$3-$O$2,$Q$2)/$Q$2))</f>
        <v>9187.5579139191</v>
      </c>
      <c r="J260" s="15" t="n">
        <f aca="false">I260*(1+IF(J$3&lt;=$O$2,$D260,$D260-($D260-$I$238)*MIN(J$3-$O$2,$Q$2)/$Q$2))</f>
        <v>9478.39415045782</v>
      </c>
      <c r="K260" s="15" t="n">
        <f aca="false">J260*(1+IF(K$3&lt;=$O$2,$D260,$D260-($D260-$I$238)*MIN(K$3-$O$2,$Q$2)/$Q$2))</f>
        <v>9770.48587939853</v>
      </c>
      <c r="L260" s="15" t="n">
        <f aca="false">K260*(1+IF(L$3&lt;=$O$2,$D260,$D260-($D260-$I$238)*MIN(L$3-$O$2,$Q$2)/$Q$2))</f>
        <v>10063.3827950098</v>
      </c>
      <c r="M260" s="15" t="n">
        <f aca="false">L260*(1+IF(M$3&lt;=$O$2,$D260,$D260-($D260-$I$238)*MIN(M$3-$O$2,$Q$2)/$Q$2))</f>
        <v>10356.6183106118</v>
      </c>
      <c r="N260" s="15" t="n">
        <f aca="false">M260*(1+IF(N$3&lt;=$O$2,$D260,$D260-($D260-$I$238)*MIN(N$3-$O$2,$Q$2)/$Q$2))</f>
        <v>10649.7106088022</v>
      </c>
      <c r="O260" s="15" t="n">
        <f aca="false">SUMPRODUCT(E260:N260,1/(1+$F$238)^$E$3:$N$3)*$E$2</f>
        <v>17754.6673577275</v>
      </c>
      <c r="P260" s="15" t="n">
        <f aca="false">N260*$E$2*(1+$I$238)/($F$238-$I$238)/(1+$F$238)^$N$3</f>
        <v>30362.4427564874</v>
      </c>
      <c r="Q260" s="15" t="n">
        <f aca="false">O260+P260</f>
        <v>48117.1101142149</v>
      </c>
      <c r="R260" s="15" t="n">
        <f aca="false">Q260-$G$2+$I$2</f>
        <v>45600.1101142149</v>
      </c>
      <c r="S260" s="42" t="n">
        <f aca="false">R260/$K$2</f>
        <v>105.258552500381</v>
      </c>
      <c r="T260" s="43" t="n">
        <f aca="false">S260-$M$2</f>
        <v>0.000254176203426937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0.0324935913085938</v>
      </c>
      <c r="C261" s="25" t="n">
        <f aca="false">IF(T260&gt;0,D260,C260)</f>
        <v>0.0324943065643311</v>
      </c>
      <c r="D261" s="41" t="n">
        <f aca="false">(B261+C261)/2</f>
        <v>0.0324939489364624</v>
      </c>
      <c r="E261" s="15" t="n">
        <f aca="false">$C$2*(1+IF(E$3&lt;=$O$2,$D261,$D261-($D261-$I$238)*MIN(E$3-$O$2,$Q$2)/$Q$2))</f>
        <v>8084.4276201725</v>
      </c>
      <c r="F261" s="15" t="n">
        <f aca="false">E261*(1+IF(F$3&lt;=$O$2,$D261,$D261-($D261-$I$238)*MIN(F$3-$O$2,$Q$2)/$Q$2))</f>
        <v>8347.12259844291</v>
      </c>
      <c r="G261" s="15" t="n">
        <f aca="false">F261*(1+IF(G$3&lt;=$O$2,$D261,$D261-($D261-$I$238)*MIN(G$3-$O$2,$Q$2)/$Q$2))</f>
        <v>8618.35357392311</v>
      </c>
      <c r="H261" s="15" t="n">
        <f aca="false">G261*(1+IF(H$3&lt;=$O$2,$D261,$D261-($D261-$I$238)*MIN(H$3-$O$2,$Q$2)/$Q$2))</f>
        <v>8898.39791487054</v>
      </c>
      <c r="I261" s="15" t="n">
        <f aca="false">H261*(1+IF(I$3&lt;=$O$2,$D261,$D261-($D261-$I$238)*MIN(I$3-$O$2,$Q$2)/$Q$2))</f>
        <v>9187.54200233267</v>
      </c>
      <c r="J261" s="15" t="n">
        <f aca="false">I261*(1+IF(J$3&lt;=$O$2,$D261,$D261-($D261-$I$238)*MIN(J$3-$O$2,$Q$2)/$Q$2))</f>
        <v>9478.37510660619</v>
      </c>
      <c r="K261" s="15" t="n">
        <f aca="false">J261*(1+IF(K$3&lt;=$O$2,$D261,$D261-($D261-$I$238)*MIN(K$3-$O$2,$Q$2)/$Q$2))</f>
        <v>9770.4642148418</v>
      </c>
      <c r="L261" s="15" t="n">
        <f aca="false">K261*(1+IF(L$3&lt;=$O$2,$D261,$D261-($D261-$I$238)*MIN(L$3-$O$2,$Q$2)/$Q$2))</f>
        <v>10063.3590833229</v>
      </c>
      <c r="M261" s="15" t="n">
        <f aca="false">L261*(1+IF(M$3&lt;=$O$2,$D261,$D261-($D261-$I$238)*MIN(M$3-$O$2,$Q$2)/$Q$2))</f>
        <v>10356.5931882058</v>
      </c>
      <c r="N261" s="15" t="n">
        <f aca="false">M261*(1+IF(N$3&lt;=$O$2,$D261,$D261-($D261-$I$238)*MIN(N$3-$O$2,$Q$2)/$Q$2))</f>
        <v>10649.6847754321</v>
      </c>
      <c r="O261" s="15" t="n">
        <f aca="false">SUMPRODUCT(E261:N261,1/(1+$F$238)^$E$3:$N$3)*$E$2</f>
        <v>17754.6393932731</v>
      </c>
      <c r="P261" s="15" t="n">
        <f aca="false">N261*$E$2*(1+$I$238)/($F$238-$I$238)/(1+$F$238)^$N$3</f>
        <v>30362.3691052634</v>
      </c>
      <c r="Q261" s="15" t="n">
        <f aca="false">O261+P261</f>
        <v>48117.0084985365</v>
      </c>
      <c r="R261" s="15" t="n">
        <f aca="false">Q261-$G$2+$I$2</f>
        <v>45600.0084985365</v>
      </c>
      <c r="S261" s="42" t="n">
        <f aca="false">R261/$K$2</f>
        <v>105.258317941315</v>
      </c>
      <c r="T261" s="43" t="n">
        <f aca="false">S261-$M$2</f>
        <v>1.96171379940324E-005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0.0324935913085938</v>
      </c>
      <c r="C262" s="25" t="n">
        <f aca="false">IF(T261&gt;0,D261,C261)</f>
        <v>0.0324939489364624</v>
      </c>
      <c r="D262" s="41" t="n">
        <f aca="false">(B262+C262)/2</f>
        <v>0.0324937701225281</v>
      </c>
      <c r="E262" s="15" t="n">
        <f aca="false">$C$2*(1+IF(E$3&lt;=$O$2,$D262,$D262-($D262-$I$238)*MIN(E$3-$O$2,$Q$2)/$Q$2))</f>
        <v>8084.4262200594</v>
      </c>
      <c r="F262" s="15" t="n">
        <f aca="false">E262*(1+IF(F$3&lt;=$O$2,$D262,$D262-($D262-$I$238)*MIN(F$3-$O$2,$Q$2)/$Q$2))</f>
        <v>8347.11970722654</v>
      </c>
      <c r="G262" s="15" t="n">
        <f aca="false">F262*(1+IF(G$3&lt;=$O$2,$D262,$D262-($D262-$I$238)*MIN(G$3-$O$2,$Q$2)/$Q$2))</f>
        <v>8618.34909617839</v>
      </c>
      <c r="H262" s="15" t="n">
        <f aca="false">G262*(1+IF(H$3&lt;=$O$2,$D262,$D262-($D262-$I$238)*MIN(H$3-$O$2,$Q$2)/$Q$2))</f>
        <v>8898.39175054531</v>
      </c>
      <c r="I262" s="15" t="n">
        <f aca="false">H262*(1+IF(I$3&lt;=$O$2,$D262,$D262-($D262-$I$238)*MIN(I$3-$O$2,$Q$2)/$Q$2))</f>
        <v>9187.53404654772</v>
      </c>
      <c r="J262" s="15" t="n">
        <f aca="false">I262*(1+IF(J$3&lt;=$O$2,$D262,$D262-($D262-$I$238)*MIN(J$3-$O$2,$Q$2)/$Q$2))</f>
        <v>9478.36558469232</v>
      </c>
      <c r="K262" s="15" t="n">
        <f aca="false">J262*(1+IF(K$3&lt;=$O$2,$D262,$D262-($D262-$I$238)*MIN(K$3-$O$2,$Q$2)/$Q$2))</f>
        <v>9770.4533825788</v>
      </c>
      <c r="L262" s="15" t="n">
        <f aca="false">K262*(1+IF(L$3&lt;=$O$2,$D262,$D262-($D262-$I$238)*MIN(L$3-$O$2,$Q$2)/$Q$2))</f>
        <v>10063.3472274975</v>
      </c>
      <c r="M262" s="15" t="n">
        <f aca="false">L262*(1+IF(M$3&lt;=$O$2,$D262,$D262-($D262-$I$238)*MIN(M$3-$O$2,$Q$2)/$Q$2))</f>
        <v>10356.5806270228</v>
      </c>
      <c r="N262" s="15" t="n">
        <f aca="false">M262*(1+IF(N$3&lt;=$O$2,$D262,$D262-($D262-$I$238)*MIN(N$3-$O$2,$Q$2)/$Q$2))</f>
        <v>10649.6718587675</v>
      </c>
      <c r="O262" s="15" t="n">
        <f aca="false">SUMPRODUCT(E262:N262,1/(1+$F$238)^$E$3:$N$3)*$E$2</f>
        <v>17754.6254110626</v>
      </c>
      <c r="P262" s="15" t="n">
        <f aca="false">N262*$E$2*(1+$I$238)/($F$238-$I$238)/(1+$F$238)^$N$3</f>
        <v>30362.33227971</v>
      </c>
      <c r="Q262" s="15" t="n">
        <f aca="false">O262+P262</f>
        <v>48116.9576907726</v>
      </c>
      <c r="R262" s="15" t="n">
        <f aca="false">Q262-$G$2+$I$2</f>
        <v>45599.9576907726</v>
      </c>
      <c r="S262" s="42" t="n">
        <f aca="false">R262/$K$2</f>
        <v>105.258200661956</v>
      </c>
      <c r="T262" s="43" t="n">
        <f aca="false">S262-$M$2</f>
        <v>-9.76622211510403E-005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0.0324937701225281</v>
      </c>
      <c r="C263" s="25" t="n">
        <f aca="false">IF(T262&gt;0,D262,C262)</f>
        <v>0.0324939489364624</v>
      </c>
      <c r="D263" s="41" t="n">
        <f aca="false">(B263+C263)/2</f>
        <v>0.0324938595294952</v>
      </c>
      <c r="E263" s="15" t="n">
        <f aca="false">$C$2*(1+IF(E$3&lt;=$O$2,$D263,$D263-($D263-$I$238)*MIN(E$3-$O$2,$Q$2)/$Q$2))</f>
        <v>8084.42692011595</v>
      </c>
      <c r="F263" s="15" t="n">
        <f aca="false">E263*(1+IF(F$3&lt;=$O$2,$D263,$D263-($D263-$I$238)*MIN(F$3-$O$2,$Q$2)/$Q$2))</f>
        <v>8347.12115283467</v>
      </c>
      <c r="G263" s="15" t="n">
        <f aca="false">F263*(1+IF(G$3&lt;=$O$2,$D263,$D263-($D263-$I$238)*MIN(G$3-$O$2,$Q$2)/$Q$2))</f>
        <v>8618.35133505055</v>
      </c>
      <c r="H263" s="15" t="n">
        <f aca="false">G263*(1+IF(H$3&lt;=$O$2,$D263,$D263-($D263-$I$238)*MIN(H$3-$O$2,$Q$2)/$Q$2))</f>
        <v>8898.39483270752</v>
      </c>
      <c r="I263" s="15" t="n">
        <f aca="false">H263*(1+IF(I$3&lt;=$O$2,$D263,$D263-($D263-$I$238)*MIN(I$3-$O$2,$Q$2)/$Q$2))</f>
        <v>9187.53802443951</v>
      </c>
      <c r="J263" s="15" t="n">
        <f aca="false">I263*(1+IF(J$3&lt;=$O$2,$D263,$D263-($D263-$I$238)*MIN(J$3-$O$2,$Q$2)/$Q$2))</f>
        <v>9478.37034564826</v>
      </c>
      <c r="K263" s="15" t="n">
        <f aca="false">J263*(1+IF(K$3&lt;=$O$2,$D263,$D263-($D263-$I$238)*MIN(K$3-$O$2,$Q$2)/$Q$2))</f>
        <v>9770.45879870902</v>
      </c>
      <c r="L263" s="15" t="n">
        <f aca="false">K263*(1+IF(L$3&lt;=$O$2,$D263,$D263-($D263-$I$238)*MIN(L$3-$O$2,$Q$2)/$Q$2))</f>
        <v>10063.3531554087</v>
      </c>
      <c r="M263" s="15" t="n">
        <f aca="false">L263*(1+IF(M$3&lt;=$O$2,$D263,$D263-($D263-$I$238)*MIN(M$3-$O$2,$Q$2)/$Q$2))</f>
        <v>10356.5869076126</v>
      </c>
      <c r="N263" s="15" t="n">
        <f aca="false">M263*(1+IF(N$3&lt;=$O$2,$D263,$D263-($D263-$I$238)*MIN(N$3-$O$2,$Q$2)/$Q$2))</f>
        <v>10649.6783170981</v>
      </c>
      <c r="O263" s="15" t="n">
        <f aca="false">SUMPRODUCT(E263:N263,1/(1+$F$238)^$E$3:$N$3)*$E$2</f>
        <v>17754.6324021665</v>
      </c>
      <c r="P263" s="15" t="n">
        <f aca="false">N263*$E$2*(1+$I$238)/($F$238-$I$238)/(1+$F$238)^$N$3</f>
        <v>30362.3506924818</v>
      </c>
      <c r="Q263" s="15" t="n">
        <f aca="false">O263+P263</f>
        <v>48116.9830946483</v>
      </c>
      <c r="R263" s="15" t="n">
        <f aca="false">Q263-$G$2+$I$2</f>
        <v>45599.9830946483</v>
      </c>
      <c r="S263" s="42" t="n">
        <f aca="false">R263/$K$2</f>
        <v>105.258259301621</v>
      </c>
      <c r="T263" s="43" t="n">
        <f aca="false">S263-$M$2</f>
        <v>-3.90225560522595E-005</v>
      </c>
    </row>
    <row r="265" customFormat="false" ht="15" hidden="false" customHeight="false" outlineLevel="0" collapsed="false">
      <c r="A265" s="38" t="s">
        <v>181</v>
      </c>
      <c r="E265" s="5" t="s">
        <v>11</v>
      </c>
      <c r="F265" s="12" t="n">
        <f aca="false">Sensitivity!$B$11</f>
        <v>0.0771529104257703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153</v>
      </c>
      <c r="B266" s="28" t="s">
        <v>154</v>
      </c>
      <c r="C266" s="28" t="s">
        <v>155</v>
      </c>
      <c r="D266" s="28" t="s">
        <v>156</v>
      </c>
      <c r="E266" s="28" t="s">
        <v>157</v>
      </c>
      <c r="F266" s="28" t="s">
        <v>158</v>
      </c>
      <c r="G266" s="28" t="s">
        <v>159</v>
      </c>
      <c r="H266" s="28" t="s">
        <v>160</v>
      </c>
      <c r="I266" s="28" t="s">
        <v>161</v>
      </c>
      <c r="J266" s="28" t="s">
        <v>162</v>
      </c>
      <c r="K266" s="28" t="s">
        <v>163</v>
      </c>
      <c r="L266" s="28" t="s">
        <v>164</v>
      </c>
      <c r="M266" s="28" t="s">
        <v>165</v>
      </c>
      <c r="N266" s="28" t="s">
        <v>166</v>
      </c>
      <c r="O266" s="28" t="s">
        <v>167</v>
      </c>
      <c r="P266" s="28" t="s">
        <v>168</v>
      </c>
      <c r="Q266" s="28" t="s">
        <v>169</v>
      </c>
      <c r="R266" s="28" t="s">
        <v>170</v>
      </c>
      <c r="S266" s="28" t="s">
        <v>171</v>
      </c>
      <c r="T266" s="28" t="s">
        <v>172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9787.5</v>
      </c>
      <c r="F267" s="15" t="n">
        <f aca="false">E267*(1+IF(F$3&lt;=$O$2,$D267,$D267-($D267-$I$265)*MIN(F$3-$O$2,$Q$2)/$Q$2))</f>
        <v>12234.375</v>
      </c>
      <c r="G267" s="15" t="n">
        <f aca="false">F267*(1+IF(G$3&lt;=$O$2,$D267,$D267-($D267-$I$265)*MIN(G$3-$O$2,$Q$2)/$Q$2))</f>
        <v>15292.96875</v>
      </c>
      <c r="H267" s="15" t="n">
        <f aca="false">G267*(1+IF(H$3&lt;=$O$2,$D267,$D267-($D267-$I$265)*MIN(H$3-$O$2,$Q$2)/$Q$2))</f>
        <v>19116.2109375</v>
      </c>
      <c r="I267" s="15" t="n">
        <f aca="false">H267*(1+IF(I$3&lt;=$O$2,$D267,$D267-($D267-$I$265)*MIN(I$3-$O$2,$Q$2)/$Q$2))</f>
        <v>23895.263671875</v>
      </c>
      <c r="J267" s="15" t="n">
        <f aca="false">I267*(1+IF(J$3&lt;=$O$2,$D267,$D267-($D267-$I$265)*MIN(J$3-$O$2,$Q$2)/$Q$2))</f>
        <v>28833.4588623047</v>
      </c>
      <c r="K267" s="15" t="n">
        <f aca="false">J267*(1+IF(K$3&lt;=$O$2,$D267,$D267-($D267-$I$265)*MIN(K$3-$O$2,$Q$2)/$Q$2))</f>
        <v>33542.5393636963</v>
      </c>
      <c r="L267" s="15" t="n">
        <f aca="false">K267*(1+IF(L$3&lt;=$O$2,$D267,$D267-($D267-$I$265)*MIN(L$3-$O$2,$Q$2)/$Q$2))</f>
        <v>37566.9732365526</v>
      </c>
      <c r="M267" s="15" t="n">
        <f aca="false">L267*(1+IF(M$3&lt;=$O$2,$D267,$D267-($D267-$I$265)*MIN(M$3-$O$2,$Q$2)/$Q$2))</f>
        <v>40446.106065402</v>
      </c>
      <c r="N267" s="15" t="n">
        <f aca="false">M267*(1+IF(N$3&lt;=$O$2,$D267,$D267-($D267-$I$265)*MIN(N$3-$O$2,$Q$2)/$Q$2))</f>
        <v>41792.9613973798</v>
      </c>
      <c r="O267" s="15" t="n">
        <f aca="false">SUMPRODUCT(E267:N267,1/(1+$F$265)^$E$3:$N$3)*$E$2</f>
        <v>46214.3333011404</v>
      </c>
      <c r="P267" s="15" t="n">
        <f aca="false">N267*$E$2*(1+$I$265)/($F$265-$I$265)/(1+$F$265)^$N$3</f>
        <v>133383.055532658</v>
      </c>
      <c r="Q267" s="15" t="n">
        <f aca="false">O267+P267</f>
        <v>179597.388833798</v>
      </c>
      <c r="R267" s="15" t="n">
        <f aca="false">Q267-$G$2+$I$2</f>
        <v>177080.388833798</v>
      </c>
      <c r="S267" s="42" t="n">
        <f aca="false">R267/$K$2</f>
        <v>408.753956035728</v>
      </c>
      <c r="T267" s="43" t="n">
        <f aca="false">S267-$M$2</f>
        <v>303.495657711551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6851.25</v>
      </c>
      <c r="F268" s="15" t="n">
        <f aca="false">E268*(1+IF(F$3&lt;=$O$2,$D268,$D268-($D268-$I$265)*MIN(F$3-$O$2,$Q$2)/$Q$2))</f>
        <v>5994.84375</v>
      </c>
      <c r="G268" s="15" t="n">
        <f aca="false">F268*(1+IF(G$3&lt;=$O$2,$D268,$D268-($D268-$I$265)*MIN(G$3-$O$2,$Q$2)/$Q$2))</f>
        <v>5245.48828125</v>
      </c>
      <c r="H268" s="15" t="n">
        <f aca="false">G268*(1+IF(H$3&lt;=$O$2,$D268,$D268-($D268-$I$265)*MIN(H$3-$O$2,$Q$2)/$Q$2))</f>
        <v>4589.80224609375</v>
      </c>
      <c r="I268" s="15" t="n">
        <f aca="false">H268*(1+IF(I$3&lt;=$O$2,$D268,$D268-($D268-$I$265)*MIN(I$3-$O$2,$Q$2)/$Q$2))</f>
        <v>4016.07696533203</v>
      </c>
      <c r="J268" s="15" t="n">
        <f aca="false">I268*(1+IF(J$3&lt;=$O$2,$D268,$D268-($D268-$I$265)*MIN(J$3-$O$2,$Q$2)/$Q$2))</f>
        <v>3641.21634138794</v>
      </c>
      <c r="K268" s="15" t="n">
        <f aca="false">J268*(1+IF(K$3&lt;=$O$2,$D268,$D268-($D268-$I$265)*MIN(K$3-$O$2,$Q$2)/$Q$2))</f>
        <v>3416.62611745113</v>
      </c>
      <c r="L268" s="15" t="n">
        <f aca="false">K268*(1+IF(L$3&lt;=$O$2,$D268,$D268-($D268-$I$265)*MIN(L$3-$O$2,$Q$2)/$Q$2))</f>
        <v>3314.05900140525</v>
      </c>
      <c r="M268" s="15" t="n">
        <f aca="false">L268*(1+IF(M$3&lt;=$O$2,$D268,$D268-($D268-$I$265)*MIN(M$3-$O$2,$Q$2)/$Q$2))</f>
        <v>3319.49405816755</v>
      </c>
      <c r="N268" s="15" t="n">
        <f aca="false">M268*(1+IF(N$3&lt;=$O$2,$D268,$D268-($D268-$I$265)*MIN(N$3-$O$2,$Q$2)/$Q$2))</f>
        <v>3430.03321030453</v>
      </c>
      <c r="O268" s="15" t="n">
        <f aca="false">SUMPRODUCT(E268:N268,1/(1+$F$265)^$E$3:$N$3)*$E$2</f>
        <v>8950.17167297028</v>
      </c>
      <c r="P268" s="15" t="n">
        <f aca="false">N268*$E$2*(1+$I$265)/($F$265-$I$265)/(1+$F$265)^$N$3</f>
        <v>10947.0182267963</v>
      </c>
      <c r="Q268" s="15" t="n">
        <f aca="false">O268+P268</f>
        <v>19897.1898997666</v>
      </c>
      <c r="R268" s="15" t="n">
        <f aca="false">Q268-$G$2+$I$2</f>
        <v>17380.1898997666</v>
      </c>
      <c r="S268" s="42" t="n">
        <f aca="false">R268/$K$2</f>
        <v>40.1186231008876</v>
      </c>
      <c r="T268" s="43" t="n">
        <f aca="false">S268-$M$2</f>
        <v>-65.1396752232895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8319.375</v>
      </c>
      <c r="F269" s="15" t="n">
        <f aca="false">E269*(1+IF(F$3&lt;=$O$2,$D269,$D269-($D269-$I$265)*MIN(F$3-$O$2,$Q$2)/$Q$2))</f>
        <v>8839.3359375</v>
      </c>
      <c r="G269" s="15" t="n">
        <f aca="false">F269*(1+IF(G$3&lt;=$O$2,$D269,$D269-($D269-$I$265)*MIN(G$3-$O$2,$Q$2)/$Q$2))</f>
        <v>9391.79443359375</v>
      </c>
      <c r="H269" s="15" t="n">
        <f aca="false">G269*(1+IF(H$3&lt;=$O$2,$D269,$D269-($D269-$I$265)*MIN(H$3-$O$2,$Q$2)/$Q$2))</f>
        <v>9978.78158569336</v>
      </c>
      <c r="I269" s="15" t="n">
        <f aca="false">H269*(1+IF(I$3&lt;=$O$2,$D269,$D269-($D269-$I$265)*MIN(I$3-$O$2,$Q$2)/$Q$2))</f>
        <v>10602.4554347992</v>
      </c>
      <c r="J269" s="15" t="n">
        <f aca="false">I269*(1+IF(J$3&lt;=$O$2,$D269,$D269-($D269-$I$265)*MIN(J$3-$O$2,$Q$2)/$Q$2))</f>
        <v>11203.1905597349</v>
      </c>
      <c r="K269" s="15" t="n">
        <f aca="false">J269*(1+IF(K$3&lt;=$O$2,$D269,$D269-($D269-$I$265)*MIN(K$3-$O$2,$Q$2)/$Q$2))</f>
        <v>11772.5367039806</v>
      </c>
      <c r="L269" s="15" t="n">
        <f aca="false">K269*(1+IF(L$3&lt;=$O$2,$D269,$D269-($D269-$I$265)*MIN(L$3-$O$2,$Q$2)/$Q$2))</f>
        <v>12302.0654049257</v>
      </c>
      <c r="M269" s="15" t="n">
        <f aca="false">L269*(1+IF(M$3&lt;=$O$2,$D269,$D269-($D269-$I$265)*MIN(M$3-$O$2,$Q$2)/$Q$2))</f>
        <v>12783.5682448745</v>
      </c>
      <c r="N269" s="15" t="n">
        <f aca="false">M269*(1+IF(N$3&lt;=$O$2,$D269,$D269-($D269-$I$265)*MIN(N$3-$O$2,$Q$2)/$Q$2))</f>
        <v>13209.2610674288</v>
      </c>
      <c r="O269" s="15" t="n">
        <f aca="false">SUMPRODUCT(E269:N269,1/(1+$F$265)^$E$3:$N$3)*$E$2</f>
        <v>20326.3038939675</v>
      </c>
      <c r="P269" s="15" t="n">
        <f aca="false">N269*$E$2*(1+$I$265)/($F$265-$I$265)/(1+$F$265)^$N$3</f>
        <v>42157.6156269388</v>
      </c>
      <c r="Q269" s="15" t="n">
        <f aca="false">O269+P269</f>
        <v>62483.9195209063</v>
      </c>
      <c r="R269" s="15" t="n">
        <f aca="false">Q269-$G$2+$I$2</f>
        <v>59966.9195209063</v>
      </c>
      <c r="S269" s="42" t="n">
        <f aca="false">R269/$K$2</f>
        <v>138.421401414769</v>
      </c>
      <c r="T269" s="43" t="n">
        <f aca="false">S269-$M$2</f>
        <v>33.1631030905921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7585.3125</v>
      </c>
      <c r="F270" s="15" t="n">
        <f aca="false">E270*(1+IF(F$3&lt;=$O$2,$D270,$D270-($D270-$I$265)*MIN(F$3-$O$2,$Q$2)/$Q$2))</f>
        <v>7348.271484375</v>
      </c>
      <c r="G270" s="15" t="n">
        <f aca="false">F270*(1+IF(G$3&lt;=$O$2,$D270,$D270-($D270-$I$265)*MIN(G$3-$O$2,$Q$2)/$Q$2))</f>
        <v>7118.63800048828</v>
      </c>
      <c r="H270" s="15" t="n">
        <f aca="false">G270*(1+IF(H$3&lt;=$O$2,$D270,$D270-($D270-$I$265)*MIN(H$3-$O$2,$Q$2)/$Q$2))</f>
        <v>6896.18056297302</v>
      </c>
      <c r="I270" s="15" t="n">
        <f aca="false">H270*(1+IF(I$3&lt;=$O$2,$D270,$D270-($D270-$I$265)*MIN(I$3-$O$2,$Q$2)/$Q$2))</f>
        <v>6680.67492038012</v>
      </c>
      <c r="J270" s="15" t="n">
        <f aca="false">I270*(1+IF(J$3&lt;=$O$2,$D270,$D270-($D270-$I$265)*MIN(J$3-$O$2,$Q$2)/$Q$2))</f>
        <v>6558.15134234034</v>
      </c>
      <c r="K270" s="15" t="n">
        <f aca="false">J270*(1+IF(K$3&lt;=$O$2,$D270,$D270-($D270-$I$265)*MIN(K$3-$O$2,$Q$2)/$Q$2))</f>
        <v>6522.54058055144</v>
      </c>
      <c r="L270" s="15" t="n">
        <f aca="false">K270*(1+IF(L$3&lt;=$O$2,$D270,$D270-($D270-$I$265)*MIN(L$3-$O$2,$Q$2)/$Q$2))</f>
        <v>6571.32918409396</v>
      </c>
      <c r="M270" s="15" t="n">
        <f aca="false">L270*(1+IF(M$3&lt;=$O$2,$D270,$D270-($D270-$I$265)*MIN(M$3-$O$2,$Q$2)/$Q$2))</f>
        <v>6705.31858615764</v>
      </c>
      <c r="N270" s="15" t="n">
        <f aca="false">M270*(1+IF(N$3&lt;=$O$2,$D270,$D270-($D270-$I$265)*MIN(N$3-$O$2,$Q$2)/$Q$2))</f>
        <v>6928.60569507669</v>
      </c>
      <c r="O270" s="15" t="n">
        <f aca="false">SUMPRODUCT(E270:N270,1/(1+$F$265)^$E$3:$N$3)*$E$2</f>
        <v>13451.9980743504</v>
      </c>
      <c r="P270" s="15" t="n">
        <f aca="false">N270*$E$2*(1+$I$265)/($F$265-$I$265)/(1+$F$265)^$N$3</f>
        <v>22112.7808915748</v>
      </c>
      <c r="Q270" s="15" t="n">
        <f aca="false">O270+P270</f>
        <v>35564.7789659251</v>
      </c>
      <c r="R270" s="15" t="n">
        <f aca="false">Q270-$G$2+$I$2</f>
        <v>33047.7789659251</v>
      </c>
      <c r="S270" s="42" t="n">
        <f aca="false">R270/$K$2</f>
        <v>76.2840565207634</v>
      </c>
      <c r="T270" s="43" t="n">
        <f aca="false">S270-$M$2</f>
        <v>-28.9742418034137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7952.34375</v>
      </c>
      <c r="F271" s="15" t="n">
        <f aca="false">E271*(1+IF(F$3&lt;=$O$2,$D271,$D271-($D271-$I$265)*MIN(F$3-$O$2,$Q$2)/$Q$2))</f>
        <v>8076.59912109375</v>
      </c>
      <c r="G271" s="15" t="n">
        <f aca="false">F271*(1+IF(G$3&lt;=$O$2,$D271,$D271-($D271-$I$265)*MIN(G$3-$O$2,$Q$2)/$Q$2))</f>
        <v>8202.79598236084</v>
      </c>
      <c r="H271" s="15" t="n">
        <f aca="false">G271*(1+IF(H$3&lt;=$O$2,$D271,$D271-($D271-$I$265)*MIN(H$3-$O$2,$Q$2)/$Q$2))</f>
        <v>8330.96466958523</v>
      </c>
      <c r="I271" s="15" t="n">
        <f aca="false">H271*(1+IF(I$3&lt;=$O$2,$D271,$D271-($D271-$I$265)*MIN(I$3-$O$2,$Q$2)/$Q$2))</f>
        <v>8461.1359925475</v>
      </c>
      <c r="J271" s="15" t="n">
        <f aca="false">I271*(1+IF(J$3&lt;=$O$2,$D271,$D271-($D271-$I$265)*MIN(J$3-$O$2,$Q$2)/$Q$2))</f>
        <v>8623.25135816471</v>
      </c>
      <c r="K271" s="15" t="n">
        <f aca="false">J271*(1+IF(K$3&lt;=$O$2,$D271,$D271-($D271-$I$265)*MIN(K$3-$O$2,$Q$2)/$Q$2))</f>
        <v>8818.95604773826</v>
      </c>
      <c r="L271" s="15" t="n">
        <f aca="false">K271*(1+IF(L$3&lt;=$O$2,$D271,$D271-($D271-$I$265)*MIN(L$3-$O$2,$Q$2)/$Q$2))</f>
        <v>9050.27726487043</v>
      </c>
      <c r="M271" s="15" t="n">
        <f aca="false">L271*(1+IF(M$3&lt;=$O$2,$D271,$D271-($D271-$I$265)*MIN(M$3-$O$2,$Q$2)/$Q$2))</f>
        <v>9319.6587676593</v>
      </c>
      <c r="N271" s="15" t="n">
        <f aca="false">M271*(1+IF(N$3&lt;=$O$2,$D271,$D271-($D271-$I$265)*MIN(N$3-$O$2,$Q$2)/$Q$2))</f>
        <v>9630.00340462235</v>
      </c>
      <c r="O271" s="15" t="n">
        <f aca="false">SUMPRODUCT(E271:N271,1/(1+$F$265)^$E$3:$N$3)*$E$2</f>
        <v>16530.2966668222</v>
      </c>
      <c r="P271" s="15" t="n">
        <f aca="false">N271*$E$2*(1+$I$265)/($F$265-$I$265)/(1+$F$265)^$N$3</f>
        <v>30734.3446348589</v>
      </c>
      <c r="Q271" s="15" t="n">
        <f aca="false">O271+P271</f>
        <v>47264.6413016811</v>
      </c>
      <c r="R271" s="15" t="n">
        <f aca="false">Q271-$G$2+$I$2</f>
        <v>44747.6413016811</v>
      </c>
      <c r="S271" s="42" t="n">
        <f aca="false">R271/$K$2</f>
        <v>103.290802136746</v>
      </c>
      <c r="T271" s="43" t="n">
        <f aca="false">S271-$M$2</f>
        <v>-1.96749618743115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41" t="n">
        <f aca="false">(B272+C272)/2</f>
        <v>0.0390625</v>
      </c>
      <c r="E272" s="15" t="n">
        <f aca="false">$C$2*(1+IF(E$3&lt;=$O$2,$D272,$D272-($D272-$I$265)*MIN(E$3-$O$2,$Q$2)/$Q$2))</f>
        <v>8135.859375</v>
      </c>
      <c r="F272" s="15" t="n">
        <f aca="false">E272*(1+IF(F$3&lt;=$O$2,$D272,$D272-($D272-$I$265)*MIN(F$3-$O$2,$Q$2)/$Q$2))</f>
        <v>8453.66638183594</v>
      </c>
      <c r="G272" s="15" t="n">
        <f aca="false">F272*(1+IF(G$3&lt;=$O$2,$D272,$D272-($D272-$I$265)*MIN(G$3-$O$2,$Q$2)/$Q$2))</f>
        <v>8783.8877248764</v>
      </c>
      <c r="H272" s="15" t="n">
        <f aca="false">G272*(1+IF(H$3&lt;=$O$2,$D272,$D272-($D272-$I$265)*MIN(H$3-$O$2,$Q$2)/$Q$2))</f>
        <v>9127.00833912939</v>
      </c>
      <c r="I272" s="15" t="n">
        <f aca="false">H272*(1+IF(I$3&lt;=$O$2,$D272,$D272-($D272-$I$265)*MIN(I$3-$O$2,$Q$2)/$Q$2))</f>
        <v>9483.53210237663</v>
      </c>
      <c r="J272" s="15" t="n">
        <f aca="false">I272*(1+IF(J$3&lt;=$O$2,$D272,$D272-($D272-$I$265)*MIN(J$3-$O$2,$Q$2)/$Q$2))</f>
        <v>9843.05280437773</v>
      </c>
      <c r="K272" s="15" t="n">
        <f aca="false">J272*(1+IF(K$3&lt;=$O$2,$D272,$D272-($D272-$I$265)*MIN(K$3-$O$2,$Q$2)/$Q$2))</f>
        <v>10204.8588178346</v>
      </c>
      <c r="L272" s="15" t="n">
        <f aca="false">K272*(1+IF(L$3&lt;=$O$2,$D272,$D272-($D272-$I$265)*MIN(L$3-$O$2,$Q$2)/$Q$2))</f>
        <v>10568.2028160436</v>
      </c>
      <c r="M272" s="15" t="n">
        <f aca="false">L272*(1+IF(M$3&lt;=$O$2,$D272,$D272-($D272-$I$265)*MIN(M$3-$O$2,$Q$2)/$Q$2))</f>
        <v>10932.3038235634</v>
      </c>
      <c r="N272" s="15" t="n">
        <f aca="false">M272*(1+IF(N$3&lt;=$O$2,$D272,$D272-($D272-$I$265)*MIN(N$3-$O$2,$Q$2)/$Q$2))</f>
        <v>11296.3495408881</v>
      </c>
      <c r="O272" s="15" t="n">
        <f aca="false">SUMPRODUCT(E272:N272,1/(1+$F$265)^$E$3:$N$3)*$E$2</f>
        <v>18329.5622654816</v>
      </c>
      <c r="P272" s="15" t="n">
        <f aca="false">N272*$E$2*(1+$I$265)/($F$265-$I$265)/(1+$F$265)^$N$3</f>
        <v>36052.5209927585</v>
      </c>
      <c r="Q272" s="15" t="n">
        <f aca="false">O272+P272</f>
        <v>54382.0832582401</v>
      </c>
      <c r="R272" s="15" t="n">
        <f aca="false">Q272-$G$2+$I$2</f>
        <v>51865.0832582401</v>
      </c>
      <c r="S272" s="42" t="n">
        <f aca="false">R272/$K$2</f>
        <v>119.719965048336</v>
      </c>
      <c r="T272" s="43" t="n">
        <f aca="false">S272-$M$2</f>
        <v>14.4616667241588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0.015625</v>
      </c>
      <c r="C273" s="25" t="n">
        <f aca="false">IF(T272&gt;0,D272,C272)</f>
        <v>0.0390625</v>
      </c>
      <c r="D273" s="41" t="n">
        <f aca="false">(B273+C273)/2</f>
        <v>0.02734375</v>
      </c>
      <c r="E273" s="15" t="n">
        <f aca="false">$C$2*(1+IF(E$3&lt;=$O$2,$D273,$D273-($D273-$I$265)*MIN(E$3-$O$2,$Q$2)/$Q$2))</f>
        <v>8044.1015625</v>
      </c>
      <c r="F273" s="15" t="n">
        <f aca="false">E273*(1+IF(F$3&lt;=$O$2,$D273,$D273-($D273-$I$265)*MIN(F$3-$O$2,$Q$2)/$Q$2))</f>
        <v>8264.05746459961</v>
      </c>
      <c r="G273" s="15" t="n">
        <f aca="false">F273*(1+IF(G$3&lt;=$O$2,$D273,$D273-($D273-$I$265)*MIN(G$3-$O$2,$Q$2)/$Q$2))</f>
        <v>8490.02778589726</v>
      </c>
      <c r="H273" s="15" t="n">
        <f aca="false">G273*(1+IF(H$3&lt;=$O$2,$D273,$D273-($D273-$I$265)*MIN(H$3-$O$2,$Q$2)/$Q$2))</f>
        <v>8722.17698316788</v>
      </c>
      <c r="I273" s="15" t="n">
        <f aca="false">H273*(1+IF(I$3&lt;=$O$2,$D273,$D273-($D273-$I$265)*MIN(I$3-$O$2,$Q$2)/$Q$2))</f>
        <v>8960.67401005138</v>
      </c>
      <c r="J273" s="15" t="n">
        <f aca="false">I273*(1+IF(J$3&lt;=$O$2,$D273,$D273-($D273-$I$265)*MIN(J$3-$O$2,$Q$2)/$Q$2))</f>
        <v>9216.3668429282</v>
      </c>
      <c r="K273" s="15" t="n">
        <f aca="false">J273*(1+IF(K$3&lt;=$O$2,$D273,$D273-($D273-$I$265)*MIN(K$3-$O$2,$Q$2)/$Q$2))</f>
        <v>9490.33486779279</v>
      </c>
      <c r="L273" s="15" t="n">
        <f aca="false">K273*(1+IF(L$3&lt;=$O$2,$D273,$D273-($D273-$I$265)*MIN(L$3-$O$2,$Q$2)/$Q$2))</f>
        <v>9783.75229606777</v>
      </c>
      <c r="M273" s="15" t="n">
        <f aca="false">L273*(1+IF(M$3&lt;=$O$2,$D273,$D273-($D273-$I$265)*MIN(M$3-$O$2,$Q$2)/$Q$2))</f>
        <v>10097.8963526041</v>
      </c>
      <c r="N273" s="15" t="n">
        <f aca="false">M273*(1+IF(N$3&lt;=$O$2,$D273,$D273-($D273-$I$265)*MIN(N$3-$O$2,$Q$2)/$Q$2))</f>
        <v>10434.1563011459</v>
      </c>
      <c r="O273" s="15" t="n">
        <f aca="false">SUMPRODUCT(E273:N273,1/(1+$F$265)^$E$3:$N$3)*$E$2</f>
        <v>17406.4335027374</v>
      </c>
      <c r="P273" s="15" t="n">
        <f aca="false">N273*$E$2*(1+$I$265)/($F$265-$I$265)/(1+$F$265)^$N$3</f>
        <v>33300.814367259</v>
      </c>
      <c r="Q273" s="15" t="n">
        <f aca="false">O273+P273</f>
        <v>50707.2478699964</v>
      </c>
      <c r="R273" s="15" t="n">
        <f aca="false">Q273-$G$2+$I$2</f>
        <v>48190.2478699964</v>
      </c>
      <c r="S273" s="42" t="n">
        <f aca="false">R273/$K$2</f>
        <v>111.237357162634</v>
      </c>
      <c r="T273" s="43" t="n">
        <f aca="false">S273-$M$2</f>
        <v>5.97905883845718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0.015625</v>
      </c>
      <c r="C274" s="25" t="n">
        <f aca="false">IF(T273&gt;0,D273,C273)</f>
        <v>0.02734375</v>
      </c>
      <c r="D274" s="41" t="n">
        <f aca="false">(B274+C274)/2</f>
        <v>0.021484375</v>
      </c>
      <c r="E274" s="15" t="n">
        <f aca="false">$C$2*(1+IF(E$3&lt;=$O$2,$D274,$D274-($D274-$I$265)*MIN(E$3-$O$2,$Q$2)/$Q$2))</f>
        <v>7998.22265625</v>
      </c>
      <c r="F274" s="15" t="n">
        <f aca="false">E274*(1+IF(F$3&lt;=$O$2,$D274,$D274-($D274-$I$265)*MIN(F$3-$O$2,$Q$2)/$Q$2))</f>
        <v>8170.05947113037</v>
      </c>
      <c r="G274" s="15" t="n">
        <f aca="false">F274*(1+IF(G$3&lt;=$O$2,$D274,$D274-($D274-$I$265)*MIN(G$3-$O$2,$Q$2)/$Q$2))</f>
        <v>8345.58809258044</v>
      </c>
      <c r="H274" s="15" t="n">
        <f aca="false">G274*(1+IF(H$3&lt;=$O$2,$D274,$D274-($D274-$I$265)*MIN(H$3-$O$2,$Q$2)/$Q$2))</f>
        <v>8524.88783675697</v>
      </c>
      <c r="I274" s="15" t="n">
        <f aca="false">H274*(1+IF(I$3&lt;=$O$2,$D274,$D274-($D274-$I$265)*MIN(I$3-$O$2,$Q$2)/$Q$2))</f>
        <v>8708.0397238748</v>
      </c>
      <c r="J274" s="15" t="n">
        <f aca="false">I274*(1+IF(J$3&lt;=$O$2,$D274,$D274-($D274-$I$265)*MIN(J$3-$O$2,$Q$2)/$Q$2))</f>
        <v>8915.7047011899</v>
      </c>
      <c r="K274" s="15" t="n">
        <f aca="false">J274*(1+IF(K$3&lt;=$O$2,$D274,$D274-($D274-$I$265)*MIN(K$3-$O$2,$Q$2)/$Q$2))</f>
        <v>9149.39089372353</v>
      </c>
      <c r="L274" s="15" t="n">
        <f aca="false">K274*(1+IF(L$3&lt;=$O$2,$D274,$D274-($D274-$I$265)*MIN(L$3-$O$2,$Q$2)/$Q$2))</f>
        <v>9410.82330177306</v>
      </c>
      <c r="M274" s="15" t="n">
        <f aca="false">L274*(1+IF(M$3&lt;=$O$2,$D274,$D274-($D274-$I$265)*MIN(M$3-$O$2,$Q$2)/$Q$2))</f>
        <v>9701.9647659071</v>
      </c>
      <c r="N274" s="15" t="n">
        <f aca="false">M274*(1+IF(N$3&lt;=$O$2,$D274,$D274-($D274-$I$265)*MIN(N$3-$O$2,$Q$2)/$Q$2))</f>
        <v>10025.0401926118</v>
      </c>
      <c r="O274" s="15" t="n">
        <f aca="false">SUMPRODUCT(E274:N274,1/(1+$F$265)^$E$3:$N$3)*$E$2</f>
        <v>16962.6342011514</v>
      </c>
      <c r="P274" s="15" t="n">
        <f aca="false">N274*$E$2*(1+$I$265)/($F$265-$I$265)/(1+$F$265)^$N$3</f>
        <v>31995.1122873073</v>
      </c>
      <c r="Q274" s="15" t="n">
        <f aca="false">O274+P274</f>
        <v>48957.7464884586</v>
      </c>
      <c r="R274" s="15" t="n">
        <f aca="false">Q274-$G$2+$I$2</f>
        <v>46440.7464884586</v>
      </c>
      <c r="S274" s="42" t="n">
        <f aca="false">R274/$K$2</f>
        <v>107.198990093852</v>
      </c>
      <c r="T274" s="43" t="n">
        <f aca="false">S274-$M$2</f>
        <v>1.94069176967504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0.015625</v>
      </c>
      <c r="C275" s="25" t="n">
        <f aca="false">IF(T274&gt;0,D274,C274)</f>
        <v>0.021484375</v>
      </c>
      <c r="D275" s="41" t="n">
        <f aca="false">(B275+C275)/2</f>
        <v>0.0185546875</v>
      </c>
      <c r="E275" s="15" t="n">
        <f aca="false">$C$2*(1+IF(E$3&lt;=$O$2,$D275,$D275-($D275-$I$265)*MIN(E$3-$O$2,$Q$2)/$Q$2))</f>
        <v>7975.283203125</v>
      </c>
      <c r="F275" s="15" t="n">
        <f aca="false">E275*(1+IF(F$3&lt;=$O$2,$D275,$D275-($D275-$I$265)*MIN(F$3-$O$2,$Q$2)/$Q$2))</f>
        <v>8123.26209068298</v>
      </c>
      <c r="G275" s="15" t="n">
        <f aca="false">F275*(1+IF(G$3&lt;=$O$2,$D275,$D275-($D275-$I$265)*MIN(G$3-$O$2,$Q$2)/$Q$2))</f>
        <v>8273.9866802562</v>
      </c>
      <c r="H275" s="15" t="n">
        <f aca="false">G275*(1+IF(H$3&lt;=$O$2,$D275,$D275-($D275-$I$265)*MIN(H$3-$O$2,$Q$2)/$Q$2))</f>
        <v>8427.50791748752</v>
      </c>
      <c r="I275" s="15" t="n">
        <f aca="false">H275*(1+IF(I$3&lt;=$O$2,$D275,$D275-($D275-$I$265)*MIN(I$3-$O$2,$Q$2)/$Q$2))</f>
        <v>8583.87769330028</v>
      </c>
      <c r="J275" s="15" t="n">
        <f aca="false">I275*(1+IF(J$3&lt;=$O$2,$D275,$D275-($D275-$I$265)*MIN(J$3-$O$2,$Q$2)/$Q$2))</f>
        <v>8768.46325324758</v>
      </c>
      <c r="K275" s="15" t="n">
        <f aca="false">J275*(1+IF(K$3&lt;=$O$2,$D275,$D275-($D275-$I$265)*MIN(K$3-$O$2,$Q$2)/$Q$2))</f>
        <v>8982.87684109238</v>
      </c>
      <c r="L275" s="15" t="n">
        <f aca="false">K275*(1+IF(L$3&lt;=$O$2,$D275,$D275-($D275-$I$265)*MIN(L$3-$O$2,$Q$2)/$Q$2))</f>
        <v>9229.02450943239</v>
      </c>
      <c r="M275" s="15" t="n">
        <f aca="false">L275*(1+IF(M$3&lt;=$O$2,$D275,$D275-($D275-$I$265)*MIN(M$3-$O$2,$Q$2)/$Q$2))</f>
        <v>9509.13405550414</v>
      </c>
      <c r="N275" s="15" t="n">
        <f aca="false">M275*(1+IF(N$3&lt;=$O$2,$D275,$D275-($D275-$I$265)*MIN(N$3-$O$2,$Q$2)/$Q$2))</f>
        <v>9825.78821955243</v>
      </c>
      <c r="O275" s="15" t="n">
        <f aca="false">SUMPRODUCT(E275:N275,1/(1+$F$265)^$E$3:$N$3)*$E$2</f>
        <v>16745.0502691226</v>
      </c>
      <c r="P275" s="15" t="n">
        <f aca="false">N275*$E$2*(1+$I$265)/($F$265-$I$265)/(1+$F$265)^$N$3</f>
        <v>31359.1957095163</v>
      </c>
      <c r="Q275" s="15" t="n">
        <f aca="false">O275+P275</f>
        <v>48104.245978639</v>
      </c>
      <c r="R275" s="15" t="n">
        <f aca="false">Q275-$G$2+$I$2</f>
        <v>45587.245978639</v>
      </c>
      <c r="S275" s="42" t="n">
        <f aca="false">R275/$K$2</f>
        <v>105.228858267483</v>
      </c>
      <c r="T275" s="43" t="n">
        <f aca="false">S275-$M$2</f>
        <v>-0.0294400566941846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0.0185546875</v>
      </c>
      <c r="C276" s="25" t="n">
        <f aca="false">IF(T275&gt;0,D275,C275)</f>
        <v>0.021484375</v>
      </c>
      <c r="D276" s="41" t="n">
        <f aca="false">(B276+C276)/2</f>
        <v>0.02001953125</v>
      </c>
      <c r="E276" s="15" t="n">
        <f aca="false">$C$2*(1+IF(E$3&lt;=$O$2,$D276,$D276-($D276-$I$265)*MIN(E$3-$O$2,$Q$2)/$Q$2))</f>
        <v>7986.7529296875</v>
      </c>
      <c r="F276" s="15" t="n">
        <f aca="false">E276*(1+IF(F$3&lt;=$O$2,$D276,$D276-($D276-$I$265)*MIN(F$3-$O$2,$Q$2)/$Q$2))</f>
        <v>8146.64397954941</v>
      </c>
      <c r="G276" s="15" t="n">
        <f aca="false">F276*(1+IF(G$3&lt;=$O$2,$D276,$D276-($D276-$I$265)*MIN(G$3-$O$2,$Q$2)/$Q$2))</f>
        <v>8309.73597328062</v>
      </c>
      <c r="H276" s="15" t="n">
        <f aca="false">G276*(1+IF(H$3&lt;=$O$2,$D276,$D276-($D276-$I$265)*MIN(H$3-$O$2,$Q$2)/$Q$2))</f>
        <v>8476.09299227696</v>
      </c>
      <c r="I276" s="15" t="n">
        <f aca="false">H276*(1+IF(I$3&lt;=$O$2,$D276,$D276-($D276-$I$265)*MIN(I$3-$O$2,$Q$2)/$Q$2))</f>
        <v>8645.78040081376</v>
      </c>
      <c r="J276" s="15" t="n">
        <f aca="false">I276*(1+IF(J$3&lt;=$O$2,$D276,$D276-($D276-$I$265)*MIN(J$3-$O$2,$Q$2)/$Q$2))</f>
        <v>8841.82887501496</v>
      </c>
      <c r="K276" s="15" t="n">
        <f aca="false">J276*(1+IF(K$3&lt;=$O$2,$D276,$D276-($D276-$I$265)*MIN(K$3-$O$2,$Q$2)/$Q$2))</f>
        <v>9065.80759731247</v>
      </c>
      <c r="L276" s="15" t="n">
        <f aca="false">K276*(1+IF(L$3&lt;=$O$2,$D276,$D276-($D276-$I$265)*MIN(L$3-$O$2,$Q$2)/$Q$2))</f>
        <v>9319.53972050713</v>
      </c>
      <c r="M276" s="15" t="n">
        <f aca="false">L276*(1+IF(M$3&lt;=$O$2,$D276,$D276-($D276-$I$265)*MIN(M$3-$O$2,$Q$2)/$Q$2))</f>
        <v>9605.1268219955</v>
      </c>
      <c r="N276" s="15" t="n">
        <f aca="false">M276*(1+IF(N$3&lt;=$O$2,$D276,$D276-($D276-$I$265)*MIN(N$3-$O$2,$Q$2)/$Q$2))</f>
        <v>9924.97754516795</v>
      </c>
      <c r="O276" s="15" t="n">
        <f aca="false">SUMPRODUCT(E276:N276,1/(1+$F$265)^$E$3:$N$3)*$E$2</f>
        <v>16853.4862640836</v>
      </c>
      <c r="P276" s="15" t="n">
        <f aca="false">N276*$E$2*(1+$I$265)/($F$265-$I$265)/(1+$F$265)^$N$3</f>
        <v>31675.7603865447</v>
      </c>
      <c r="Q276" s="15" t="n">
        <f aca="false">O276+P276</f>
        <v>48529.2466506283</v>
      </c>
      <c r="R276" s="15" t="n">
        <f aca="false">Q276-$G$2+$I$2</f>
        <v>46012.2466506283</v>
      </c>
      <c r="S276" s="42" t="n">
        <f aca="false">R276/$K$2</f>
        <v>106.209885625383</v>
      </c>
      <c r="T276" s="43" t="n">
        <f aca="false">S276-$M$2</f>
        <v>0.951587301205606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0.0185546875</v>
      </c>
      <c r="C277" s="25" t="n">
        <f aca="false">IF(T276&gt;0,D276,C276)</f>
        <v>0.02001953125</v>
      </c>
      <c r="D277" s="41" t="n">
        <f aca="false">(B277+C277)/2</f>
        <v>0.019287109375</v>
      </c>
      <c r="E277" s="15" t="n">
        <f aca="false">$C$2*(1+IF(E$3&lt;=$O$2,$D277,$D277-($D277-$I$265)*MIN(E$3-$O$2,$Q$2)/$Q$2))</f>
        <v>7981.01806640625</v>
      </c>
      <c r="F277" s="15" t="n">
        <f aca="false">E277*(1+IF(F$3&lt;=$O$2,$D277,$D277-($D277-$I$265)*MIN(F$3-$O$2,$Q$2)/$Q$2))</f>
        <v>8134.94883477688</v>
      </c>
      <c r="G277" s="15" t="n">
        <f aca="false">F277*(1+IF(G$3&lt;=$O$2,$D277,$D277-($D277-$I$265)*MIN(G$3-$O$2,$Q$2)/$Q$2))</f>
        <v>8291.84848271325</v>
      </c>
      <c r="H277" s="15" t="n">
        <f aca="false">G277*(1+IF(H$3&lt;=$O$2,$D277,$D277-($D277-$I$265)*MIN(H$3-$O$2,$Q$2)/$Q$2))</f>
        <v>8451.77427132027</v>
      </c>
      <c r="I277" s="15" t="n">
        <f aca="false">H277*(1+IF(I$3&lt;=$O$2,$D277,$D277-($D277-$I$265)*MIN(I$3-$O$2,$Q$2)/$Q$2))</f>
        <v>8614.78456610403</v>
      </c>
      <c r="J277" s="15" t="n">
        <f aca="false">I277*(1+IF(J$3&lt;=$O$2,$D277,$D277-($D277-$I$265)*MIN(J$3-$O$2,$Q$2)/$Q$2))</f>
        <v>8805.08246504909</v>
      </c>
      <c r="K277" s="15" t="n">
        <f aca="false">J277*(1+IF(K$3&lt;=$O$2,$D277,$D277-($D277-$I$265)*MIN(K$3-$O$2,$Q$2)/$Q$2))</f>
        <v>9024.26091661913</v>
      </c>
      <c r="L277" s="15" t="n">
        <f aca="false">K277*(1+IF(L$3&lt;=$O$2,$D277,$D277-($D277-$I$265)*MIN(L$3-$O$2,$Q$2)/$Q$2))</f>
        <v>9274.18641266412</v>
      </c>
      <c r="M277" s="15" t="n">
        <f aca="false">L277*(1+IF(M$3&lt;=$O$2,$D277,$D277-($D277-$I$265)*MIN(M$3-$O$2,$Q$2)/$Q$2))</f>
        <v>9557.02518823854</v>
      </c>
      <c r="N277" s="15" t="n">
        <f aca="false">M277*(1+IF(N$3&lt;=$O$2,$D277,$D277-($D277-$I$265)*MIN(N$3-$O$2,$Q$2)/$Q$2))</f>
        <v>9875.27412700688</v>
      </c>
      <c r="O277" s="15" t="n">
        <f aca="false">SUMPRODUCT(E277:N277,1/(1+$F$265)^$E$3:$N$3)*$E$2</f>
        <v>16799.1795472317</v>
      </c>
      <c r="P277" s="15" t="n">
        <f aca="false">N277*$E$2*(1+$I$265)/($F$265-$I$265)/(1+$F$265)^$N$3</f>
        <v>31517.1309531886</v>
      </c>
      <c r="Q277" s="15" t="n">
        <f aca="false">O277+P277</f>
        <v>48316.3105004203</v>
      </c>
      <c r="R277" s="15" t="n">
        <f aca="false">Q277-$G$2+$I$2</f>
        <v>45799.3105004203</v>
      </c>
      <c r="S277" s="42" t="n">
        <f aca="false">R277/$K$2</f>
        <v>105.718365958221</v>
      </c>
      <c r="T277" s="43" t="n">
        <f aca="false">S277-$M$2</f>
        <v>0.46006763404344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0.0185546875</v>
      </c>
      <c r="C278" s="25" t="n">
        <f aca="false">IF(T277&gt;0,D277,C277)</f>
        <v>0.019287109375</v>
      </c>
      <c r="D278" s="41" t="n">
        <f aca="false">(B278+C278)/2</f>
        <v>0.0189208984375</v>
      </c>
      <c r="E278" s="15" t="n">
        <f aca="false">$C$2*(1+IF(E$3&lt;=$O$2,$D278,$D278-($D278-$I$265)*MIN(E$3-$O$2,$Q$2)/$Q$2))</f>
        <v>7978.15063476563</v>
      </c>
      <c r="F278" s="15" t="n">
        <f aca="false">E278*(1+IF(F$3&lt;=$O$2,$D278,$D278-($D278-$I$265)*MIN(F$3-$O$2,$Q$2)/$Q$2))</f>
        <v>8129.1044126451</v>
      </c>
      <c r="G278" s="15" t="n">
        <f aca="false">F278*(1+IF(G$3&lt;=$O$2,$D278,$D278-($D278-$I$265)*MIN(G$3-$O$2,$Q$2)/$Q$2))</f>
        <v>8282.91437162459</v>
      </c>
      <c r="H278" s="15" t="n">
        <f aca="false">G278*(1+IF(H$3&lt;=$O$2,$D278,$D278-($D278-$I$265)*MIN(H$3-$O$2,$Q$2)/$Q$2))</f>
        <v>8439.63455321661</v>
      </c>
      <c r="I278" s="15" t="n">
        <f aca="false">H278*(1+IF(I$3&lt;=$O$2,$D278,$D278-($D278-$I$265)*MIN(I$3-$O$2,$Q$2)/$Q$2))</f>
        <v>8599.32002144764</v>
      </c>
      <c r="J278" s="15" t="n">
        <f aca="false">I278*(1+IF(J$3&lt;=$O$2,$D278,$D278-($D278-$I$265)*MIN(J$3-$O$2,$Q$2)/$Q$2))</f>
        <v>8786.75698139638</v>
      </c>
      <c r="K278" s="15" t="n">
        <f aca="false">J278*(1+IF(K$3&lt;=$O$2,$D278,$D278-($D278-$I$265)*MIN(K$3-$O$2,$Q$2)/$Q$2))</f>
        <v>9003.54858625258</v>
      </c>
      <c r="L278" s="15" t="n">
        <f aca="false">K278*(1+IF(L$3&lt;=$O$2,$D278,$D278-($D278-$I$265)*MIN(L$3-$O$2,$Q$2)/$Q$2))</f>
        <v>9251.58157835693</v>
      </c>
      <c r="M278" s="15" t="n">
        <f aca="false">L278*(1+IF(M$3&lt;=$O$2,$D278,$D278-($D278-$I$265)*MIN(M$3-$O$2,$Q$2)/$Q$2))</f>
        <v>9533.05335869043</v>
      </c>
      <c r="N278" s="15" t="n">
        <f aca="false">M278*(1+IF(N$3&lt;=$O$2,$D278,$D278-($D278-$I$265)*MIN(N$3-$O$2,$Q$2)/$Q$2))</f>
        <v>9850.50403553482</v>
      </c>
      <c r="O278" s="15" t="n">
        <f aca="false">SUMPRODUCT(E278:N278,1/(1+$F$265)^$E$3:$N$3)*$E$2</f>
        <v>16772.0927624283</v>
      </c>
      <c r="P278" s="15" t="n">
        <f aca="false">N278*$E$2*(1+$I$265)/($F$265-$I$265)/(1+$F$265)^$N$3</f>
        <v>31438.0767207079</v>
      </c>
      <c r="Q278" s="15" t="n">
        <f aca="false">O278+P278</f>
        <v>48210.1694831362</v>
      </c>
      <c r="R278" s="15" t="n">
        <f aca="false">Q278-$G$2+$I$2</f>
        <v>45693.1694831362</v>
      </c>
      <c r="S278" s="42" t="n">
        <f aca="false">R278/$K$2</f>
        <v>105.473361070902</v>
      </c>
      <c r="T278" s="43" t="n">
        <f aca="false">S278-$M$2</f>
        <v>0.215062746724996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0.0185546875</v>
      </c>
      <c r="C279" s="25" t="n">
        <f aca="false">IF(T278&gt;0,D278,C278)</f>
        <v>0.0189208984375</v>
      </c>
      <c r="D279" s="41" t="n">
        <f aca="false">(B279+C279)/2</f>
        <v>0.01873779296875</v>
      </c>
      <c r="E279" s="15" t="n">
        <f aca="false">$C$2*(1+IF(E$3&lt;=$O$2,$D279,$D279-($D279-$I$265)*MIN(E$3-$O$2,$Q$2)/$Q$2))</f>
        <v>7976.71691894531</v>
      </c>
      <c r="F279" s="15" t="n">
        <f aca="false">E279*(1+IF(F$3&lt;=$O$2,$D279,$D279-($D279-$I$265)*MIN(F$3-$O$2,$Q$2)/$Q$2))</f>
        <v>8126.18298914284</v>
      </c>
      <c r="G279" s="15" t="n">
        <f aca="false">F279*(1+IF(G$3&lt;=$O$2,$D279,$D279-($D279-$I$265)*MIN(G$3-$O$2,$Q$2)/$Q$2))</f>
        <v>8278.44972361957</v>
      </c>
      <c r="H279" s="15" t="n">
        <f aca="false">G279*(1+IF(H$3&lt;=$O$2,$D279,$D279-($D279-$I$265)*MIN(H$3-$O$2,$Q$2)/$Q$2))</f>
        <v>8433.56960064296</v>
      </c>
      <c r="I279" s="15" t="n">
        <f aca="false">H279*(1+IF(I$3&lt;=$O$2,$D279,$D279-($D279-$I$265)*MIN(I$3-$O$2,$Q$2)/$Q$2))</f>
        <v>8591.59608180735</v>
      </c>
      <c r="J279" s="15" t="n">
        <f aca="false">I279*(1+IF(J$3&lt;=$O$2,$D279,$D279-($D279-$I$265)*MIN(J$3-$O$2,$Q$2)/$Q$2))</f>
        <v>8777.60615063381</v>
      </c>
      <c r="K279" s="15" t="n">
        <f aca="false">J279*(1+IF(K$3&lt;=$O$2,$D279,$D279-($D279-$I$265)*MIN(K$3-$O$2,$Q$2)/$Q$2))</f>
        <v>8993.20764464734</v>
      </c>
      <c r="L279" s="15" t="n">
        <f aca="false">K279*(1+IF(L$3&lt;=$O$2,$D279,$D279-($D279-$I$265)*MIN(L$3-$O$2,$Q$2)/$Q$2))</f>
        <v>9240.29707857555</v>
      </c>
      <c r="M279" s="15" t="n">
        <f aca="false">L279*(1+IF(M$3&lt;=$O$2,$D279,$D279-($D279-$I$265)*MIN(M$3-$O$2,$Q$2)/$Q$2))</f>
        <v>9521.08714747442</v>
      </c>
      <c r="N279" s="15" t="n">
        <f aca="false">M279*(1+IF(N$3&lt;=$O$2,$D279,$D279-($D279-$I$265)*MIN(N$3-$O$2,$Q$2)/$Q$2))</f>
        <v>9838.13934948532</v>
      </c>
      <c r="O279" s="15" t="n">
        <f aca="false">SUMPRODUCT(E279:N279,1/(1+$F$265)^$E$3:$N$3)*$E$2</f>
        <v>16758.565983595</v>
      </c>
      <c r="P279" s="15" t="n">
        <f aca="false">N279*$E$2*(1+$I$265)/($F$265-$I$265)/(1+$F$265)^$N$3</f>
        <v>31398.6145828062</v>
      </c>
      <c r="Q279" s="15" t="n">
        <f aca="false">O279+P279</f>
        <v>48157.1805664012</v>
      </c>
      <c r="R279" s="15" t="n">
        <f aca="false">Q279-$G$2+$I$2</f>
        <v>45640.1805664012</v>
      </c>
      <c r="S279" s="42" t="n">
        <f aca="false">R279/$K$2</f>
        <v>105.351046965517</v>
      </c>
      <c r="T279" s="43" t="n">
        <f aca="false">S279-$M$2</f>
        <v>0.0927486413396679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0.0185546875</v>
      </c>
      <c r="C280" s="25" t="n">
        <f aca="false">IF(T279&gt;0,D279,C279)</f>
        <v>0.01873779296875</v>
      </c>
      <c r="D280" s="41" t="n">
        <f aca="false">(B280+C280)/2</f>
        <v>0.018646240234375</v>
      </c>
      <c r="E280" s="15" t="n">
        <f aca="false">$C$2*(1+IF(E$3&lt;=$O$2,$D280,$D280-($D280-$I$265)*MIN(E$3-$O$2,$Q$2)/$Q$2))</f>
        <v>7976.00006103516</v>
      </c>
      <c r="F280" s="15" t="n">
        <f aca="false">E280*(1+IF(F$3&lt;=$O$2,$D280,$D280-($D280-$I$265)*MIN(F$3-$O$2,$Q$2)/$Q$2))</f>
        <v>8124.72247428261</v>
      </c>
      <c r="G280" s="15" t="n">
        <f aca="false">F280*(1+IF(G$3&lt;=$O$2,$D280,$D280-($D280-$I$265)*MIN(G$3-$O$2,$Q$2)/$Q$2))</f>
        <v>8276.21800137571</v>
      </c>
      <c r="H280" s="15" t="n">
        <f aca="false">G280*(1+IF(H$3&lt;=$O$2,$D280,$D280-($D280-$I$265)*MIN(H$3-$O$2,$Q$2)/$Q$2))</f>
        <v>8430.53835046142</v>
      </c>
      <c r="I280" s="15" t="n">
        <f aca="false">H280*(1+IF(I$3&lt;=$O$2,$D280,$D280-($D280-$I$265)*MIN(I$3-$O$2,$Q$2)/$Q$2))</f>
        <v>8587.73619384923</v>
      </c>
      <c r="J280" s="15" t="n">
        <f aca="false">I280*(1+IF(J$3&lt;=$O$2,$D280,$D280-($D280-$I$265)*MIN(J$3-$O$2,$Q$2)/$Q$2))</f>
        <v>8773.03371061223</v>
      </c>
      <c r="K280" s="15" t="n">
        <f aca="false">J280*(1+IF(K$3&lt;=$O$2,$D280,$D280-($D280-$I$265)*MIN(K$3-$O$2,$Q$2)/$Q$2))</f>
        <v>8988.04097612899</v>
      </c>
      <c r="L280" s="15" t="n">
        <f aca="false">K280*(1+IF(L$3&lt;=$O$2,$D280,$D280-($D280-$I$265)*MIN(L$3-$O$2,$Q$2)/$Q$2))</f>
        <v>9234.65930334297</v>
      </c>
      <c r="M280" s="15" t="n">
        <f aca="false">L280*(1+IF(M$3&lt;=$O$2,$D280,$D280-($D280-$I$265)*MIN(M$3-$O$2,$Q$2)/$Q$2))</f>
        <v>9515.10896235457</v>
      </c>
      <c r="N280" s="15" t="n">
        <f aca="false">M280*(1+IF(N$3&lt;=$O$2,$D280,$D280-($D280-$I$265)*MIN(N$3-$O$2,$Q$2)/$Q$2))</f>
        <v>9831.96209080098</v>
      </c>
      <c r="O280" s="15" t="n">
        <f aca="false">SUMPRODUCT(E280:N280,1/(1+$F$265)^$E$3:$N$3)*$E$2</f>
        <v>16751.8067438455</v>
      </c>
      <c r="P280" s="15" t="n">
        <f aca="false">N280*$E$2*(1+$I$265)/($F$265-$I$265)/(1+$F$265)^$N$3</f>
        <v>31378.8997406274</v>
      </c>
      <c r="Q280" s="15" t="n">
        <f aca="false">O280+P280</f>
        <v>48130.7064844729</v>
      </c>
      <c r="R280" s="15" t="n">
        <f aca="false">Q280-$G$2+$I$2</f>
        <v>45613.7064844729</v>
      </c>
      <c r="S280" s="42" t="n">
        <f aca="false">R280/$K$2</f>
        <v>105.289936947678</v>
      </c>
      <c r="T280" s="43" t="n">
        <f aca="false">S280-$M$2</f>
        <v>0.0316386235004558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0.0185546875</v>
      </c>
      <c r="C281" s="25" t="n">
        <f aca="false">IF(T280&gt;0,D280,C280)</f>
        <v>0.018646240234375</v>
      </c>
      <c r="D281" s="41" t="n">
        <f aca="false">(B281+C281)/2</f>
        <v>0.0186004638671875</v>
      </c>
      <c r="E281" s="15" t="n">
        <f aca="false">$C$2*(1+IF(E$3&lt;=$O$2,$D281,$D281-($D281-$I$265)*MIN(E$3-$O$2,$Q$2)/$Q$2))</f>
        <v>7975.64163208008</v>
      </c>
      <c r="F281" s="15" t="n">
        <f aca="false">E281*(1+IF(F$3&lt;=$O$2,$D281,$D281-($D281-$I$265)*MIN(F$3-$O$2,$Q$2)/$Q$2))</f>
        <v>8123.99226607522</v>
      </c>
      <c r="G281" s="15" t="n">
        <f aca="false">F281*(1+IF(G$3&lt;=$O$2,$D281,$D281-($D281-$I$265)*MIN(G$3-$O$2,$Q$2)/$Q$2))</f>
        <v>8275.10229067766</v>
      </c>
      <c r="H281" s="15" t="n">
        <f aca="false">G281*(1+IF(H$3&lt;=$O$2,$D281,$D281-($D281-$I$265)*MIN(H$3-$O$2,$Q$2)/$Q$2))</f>
        <v>8429.02303183269</v>
      </c>
      <c r="I281" s="15" t="n">
        <f aca="false">H281*(1+IF(I$3&lt;=$O$2,$D281,$D281-($D281-$I$265)*MIN(I$3-$O$2,$Q$2)/$Q$2))</f>
        <v>8585.80677017199</v>
      </c>
      <c r="J281" s="15" t="n">
        <f aca="false">I281*(1+IF(J$3&lt;=$O$2,$D281,$D281-($D281-$I$265)*MIN(J$3-$O$2,$Q$2)/$Q$2))</f>
        <v>8770.74823414073</v>
      </c>
      <c r="K281" s="15" t="n">
        <f aca="false">J281*(1+IF(K$3&lt;=$O$2,$D281,$D281-($D281-$I$265)*MIN(K$3-$O$2,$Q$2)/$Q$2))</f>
        <v>8985.45859198988</v>
      </c>
      <c r="L281" s="15" t="n">
        <f aca="false">K281*(1+IF(L$3&lt;=$O$2,$D281,$D281-($D281-$I$265)*MIN(L$3-$O$2,$Q$2)/$Q$2))</f>
        <v>9231.841533806</v>
      </c>
      <c r="M281" s="15" t="n">
        <f aca="false">L281*(1+IF(M$3&lt;=$O$2,$D281,$D281-($D281-$I$265)*MIN(M$3-$O$2,$Q$2)/$Q$2))</f>
        <v>9512.12109924203</v>
      </c>
      <c r="N281" s="15" t="n">
        <f aca="false">M281*(1+IF(N$3&lt;=$O$2,$D281,$D281-($D281-$I$265)*MIN(N$3-$O$2,$Q$2)/$Q$2))</f>
        <v>9828.87473184679</v>
      </c>
      <c r="O281" s="15" t="n">
        <f aca="false">SUMPRODUCT(E281:N281,1/(1+$F$265)^$E$3:$N$3)*$E$2</f>
        <v>16748.4281609222</v>
      </c>
      <c r="P281" s="15" t="n">
        <f aca="false">N281*$E$2*(1+$I$265)/($F$265-$I$265)/(1+$F$265)^$N$3</f>
        <v>31369.0463740061</v>
      </c>
      <c r="Q281" s="15" t="n">
        <f aca="false">O281+P281</f>
        <v>48117.4745349283</v>
      </c>
      <c r="R281" s="15" t="n">
        <f aca="false">Q281-$G$2+$I$2</f>
        <v>45600.4745349283</v>
      </c>
      <c r="S281" s="42" t="n">
        <f aca="false">R281/$K$2</f>
        <v>105.259393691261</v>
      </c>
      <c r="T281" s="43" t="n">
        <f aca="false">S281-$M$2</f>
        <v>0.00109536708437474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0.0185546875</v>
      </c>
      <c r="C282" s="25" t="n">
        <f aca="false">IF(T281&gt;0,D281,C281)</f>
        <v>0.0186004638671875</v>
      </c>
      <c r="D282" s="41" t="n">
        <f aca="false">(B282+C282)/2</f>
        <v>0.0185775756835938</v>
      </c>
      <c r="E282" s="15" t="n">
        <f aca="false">$C$2*(1+IF(E$3&lt;=$O$2,$D282,$D282-($D282-$I$265)*MIN(E$3-$O$2,$Q$2)/$Q$2))</f>
        <v>7975.46241760254</v>
      </c>
      <c r="F282" s="15" t="n">
        <f aca="false">E282*(1+IF(F$3&lt;=$O$2,$D282,$D282-($D282-$I$265)*MIN(F$3-$O$2,$Q$2)/$Q$2))</f>
        <v>8123.62717427721</v>
      </c>
      <c r="G282" s="15" t="n">
        <f aca="false">F282*(1+IF(G$3&lt;=$O$2,$D282,$D282-($D282-$I$265)*MIN(G$3-$O$2,$Q$2)/$Q$2))</f>
        <v>8274.54447293264</v>
      </c>
      <c r="H282" s="15" t="n">
        <f aca="false">G282*(1+IF(H$3&lt;=$O$2,$D282,$D282-($D282-$I$265)*MIN(H$3-$O$2,$Q$2)/$Q$2))</f>
        <v>8428.26544912581</v>
      </c>
      <c r="I282" s="15" t="n">
        <f aca="false">H282*(1+IF(I$3&lt;=$O$2,$D282,$D282-($D282-$I$265)*MIN(I$3-$O$2,$Q$2)/$Q$2))</f>
        <v>8584.84218838836</v>
      </c>
      <c r="J282" s="15" t="n">
        <f aca="false">I282*(1+IF(J$3&lt;=$O$2,$D282,$D282-($D282-$I$265)*MIN(J$3-$O$2,$Q$2)/$Q$2))</f>
        <v>8769.60568175222</v>
      </c>
      <c r="K282" s="15" t="n">
        <f aca="false">J282*(1+IF(K$3&lt;=$O$2,$D282,$D282-($D282-$I$265)*MIN(K$3-$O$2,$Q$2)/$Q$2))</f>
        <v>8984.16763739398</v>
      </c>
      <c r="L282" s="15" t="n">
        <f aca="false">K282*(1+IF(L$3&lt;=$O$2,$D282,$D282-($D282-$I$265)*MIN(L$3-$O$2,$Q$2)/$Q$2))</f>
        <v>9230.43292848422</v>
      </c>
      <c r="M282" s="15" t="n">
        <f aca="false">L282*(1+IF(M$3&lt;=$O$2,$D282,$D282-($D282-$I$265)*MIN(M$3-$O$2,$Q$2)/$Q$2))</f>
        <v>9510.62747496329</v>
      </c>
      <c r="N282" s="15" t="n">
        <f aca="false">M282*(1+IF(N$3&lt;=$O$2,$D282,$D282-($D282-$I$265)*MIN(N$3-$O$2,$Q$2)/$Q$2))</f>
        <v>9827.33136987957</v>
      </c>
      <c r="O282" s="15" t="n">
        <f aca="false">SUMPRODUCT(E282:N282,1/(1+$F$265)^$E$3:$N$3)*$E$2</f>
        <v>16746.7391286402</v>
      </c>
      <c r="P282" s="15" t="n">
        <f aca="false">N282*$E$2*(1+$I$265)/($F$265-$I$265)/(1+$F$265)^$N$3</f>
        <v>31364.1207040345</v>
      </c>
      <c r="Q282" s="15" t="n">
        <f aca="false">O282+P282</f>
        <v>48110.8598326747</v>
      </c>
      <c r="R282" s="15" t="n">
        <f aca="false">Q282-$G$2+$I$2</f>
        <v>45593.8598326747</v>
      </c>
      <c r="S282" s="42" t="n">
        <f aca="false">R282/$K$2</f>
        <v>105.244125000403</v>
      </c>
      <c r="T282" s="43" t="n">
        <f aca="false">S282-$M$2</f>
        <v>-0.0141733237737469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0.0185775756835938</v>
      </c>
      <c r="C283" s="25" t="n">
        <f aca="false">IF(T282&gt;0,D282,C282)</f>
        <v>0.0186004638671875</v>
      </c>
      <c r="D283" s="41" t="n">
        <f aca="false">(B283+C283)/2</f>
        <v>0.0185890197753906</v>
      </c>
      <c r="E283" s="15" t="n">
        <f aca="false">$C$2*(1+IF(E$3&lt;=$O$2,$D283,$D283-($D283-$I$265)*MIN(E$3-$O$2,$Q$2)/$Q$2))</f>
        <v>7975.55202484131</v>
      </c>
      <c r="F283" s="15" t="n">
        <f aca="false">E283*(1+IF(F$3&lt;=$O$2,$D283,$D283-($D283-$I$265)*MIN(F$3-$O$2,$Q$2)/$Q$2))</f>
        <v>8123.80971915074</v>
      </c>
      <c r="G283" s="15" t="n">
        <f aca="false">F283*(1+IF(G$3&lt;=$O$2,$D283,$D283-($D283-$I$265)*MIN(G$3-$O$2,$Q$2)/$Q$2))</f>
        <v>8274.82337867155</v>
      </c>
      <c r="H283" s="15" t="n">
        <f aca="false">G283*(1+IF(H$3&lt;=$O$2,$D283,$D283-($D283-$I$265)*MIN(H$3-$O$2,$Q$2)/$Q$2))</f>
        <v>8428.64423409554</v>
      </c>
      <c r="I283" s="15" t="n">
        <f aca="false">H283*(1+IF(I$3&lt;=$O$2,$D283,$D283-($D283-$I$265)*MIN(I$3-$O$2,$Q$2)/$Q$2))</f>
        <v>8585.32446844287</v>
      </c>
      <c r="J283" s="15" t="n">
        <f aca="false">I283*(1+IF(J$3&lt;=$O$2,$D283,$D283-($D283-$I$265)*MIN(J$3-$O$2,$Q$2)/$Q$2))</f>
        <v>8770.17694246032</v>
      </c>
      <c r="K283" s="15" t="n">
        <f aca="false">J283*(1+IF(K$3&lt;=$O$2,$D283,$D283-($D283-$I$265)*MIN(K$3-$O$2,$Q$2)/$Q$2))</f>
        <v>8984.81309490413</v>
      </c>
      <c r="L283" s="15" t="n">
        <f aca="false">K283*(1+IF(L$3&lt;=$O$2,$D283,$D283-($D283-$I$265)*MIN(L$3-$O$2,$Q$2)/$Q$2))</f>
        <v>9231.13720786006</v>
      </c>
      <c r="M283" s="15" t="n">
        <f aca="false">L283*(1+IF(M$3&lt;=$O$2,$D283,$D283-($D283-$I$265)*MIN(M$3-$O$2,$Q$2)/$Q$2))</f>
        <v>9511.3742614987</v>
      </c>
      <c r="N283" s="15" t="n">
        <f aca="false">M283*(1+IF(N$3&lt;=$O$2,$D283,$D283-($D283-$I$265)*MIN(N$3-$O$2,$Q$2)/$Q$2))</f>
        <v>9828.10302440661</v>
      </c>
      <c r="O283" s="15" t="n">
        <f aca="false">SUMPRODUCT(E283:N283,1/(1+$F$265)^$E$3:$N$3)*$E$2</f>
        <v>16747.5836231846</v>
      </c>
      <c r="P283" s="15" t="n">
        <f aca="false">N283*$E$2*(1+$I$265)/($F$265-$I$265)/(1+$F$265)^$N$3</f>
        <v>31366.5834545837</v>
      </c>
      <c r="Q283" s="15" t="n">
        <f aca="false">O283+P283</f>
        <v>48114.1670777683</v>
      </c>
      <c r="R283" s="15" t="n">
        <f aca="false">Q283-$G$2+$I$2</f>
        <v>45597.1670777683</v>
      </c>
      <c r="S283" s="42" t="n">
        <f aca="false">R283/$K$2</f>
        <v>105.251759101076</v>
      </c>
      <c r="T283" s="43" t="n">
        <f aca="false">S283-$M$2</f>
        <v>-0.00653922310077348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0.0185890197753906</v>
      </c>
      <c r="C284" s="25" t="n">
        <f aca="false">IF(T283&gt;0,D283,C283)</f>
        <v>0.0186004638671875</v>
      </c>
      <c r="D284" s="41" t="n">
        <f aca="false">(B284+C284)/2</f>
        <v>0.0185947418212891</v>
      </c>
      <c r="E284" s="15" t="n">
        <f aca="false">$C$2*(1+IF(E$3&lt;=$O$2,$D284,$D284-($D284-$I$265)*MIN(E$3-$O$2,$Q$2)/$Q$2))</f>
        <v>7975.59682846069</v>
      </c>
      <c r="F284" s="15" t="n">
        <f aca="false">E284*(1+IF(F$3&lt;=$O$2,$D284,$D284-($D284-$I$265)*MIN(F$3-$O$2,$Q$2)/$Q$2))</f>
        <v>8123.90099235661</v>
      </c>
      <c r="G284" s="15" t="n">
        <f aca="false">F284*(1+IF(G$3&lt;=$O$2,$D284,$D284-($D284-$I$265)*MIN(G$3-$O$2,$Q$2)/$Q$2))</f>
        <v>8274.9628338912</v>
      </c>
      <c r="H284" s="15" t="n">
        <f aca="false">G284*(1+IF(H$3&lt;=$O$2,$D284,$D284-($D284-$I$265)*MIN(H$3-$O$2,$Q$2)/$Q$2))</f>
        <v>8428.83363136817</v>
      </c>
      <c r="I284" s="15" t="n">
        <f aca="false">H284*(1+IF(I$3&lt;=$O$2,$D284,$D284-($D284-$I$265)*MIN(I$3-$O$2,$Q$2)/$Q$2))</f>
        <v>8585.56561659806</v>
      </c>
      <c r="J284" s="15" t="n">
        <f aca="false">I284*(1+IF(J$3&lt;=$O$2,$D284,$D284-($D284-$I$265)*MIN(J$3-$O$2,$Q$2)/$Q$2))</f>
        <v>8770.4625844289</v>
      </c>
      <c r="K284" s="15" t="n">
        <f aca="false">J284*(1+IF(K$3&lt;=$O$2,$D284,$D284-($D284-$I$265)*MIN(K$3-$O$2,$Q$2)/$Q$2))</f>
        <v>8985.13583849994</v>
      </c>
      <c r="L284" s="15" t="n">
        <f aca="false">K284*(1+IF(L$3&lt;=$O$2,$D284,$D284-($D284-$I$265)*MIN(L$3-$O$2,$Q$2)/$Q$2))</f>
        <v>9231.48936501161</v>
      </c>
      <c r="M284" s="15" t="n">
        <f aca="false">L284*(1+IF(M$3&lt;=$O$2,$D284,$D284-($D284-$I$265)*MIN(M$3-$O$2,$Q$2)/$Q$2))</f>
        <v>9511.7476739692</v>
      </c>
      <c r="N284" s="15" t="n">
        <f aca="false">M284*(1+IF(N$3&lt;=$O$2,$D284,$D284-($D284-$I$265)*MIN(N$3-$O$2,$Q$2)/$Q$2))</f>
        <v>9828.48887151237</v>
      </c>
      <c r="O284" s="15" t="n">
        <f aca="false">SUMPRODUCT(E284:N284,1/(1+$F$265)^$E$3:$N$3)*$E$2</f>
        <v>16748.0058866541</v>
      </c>
      <c r="P284" s="15" t="n">
        <f aca="false">N284*$E$2*(1+$I$265)/($F$265-$I$265)/(1+$F$265)^$N$3</f>
        <v>31367.8148931851</v>
      </c>
      <c r="Q284" s="15" t="n">
        <f aca="false">O284+P284</f>
        <v>48115.8207798393</v>
      </c>
      <c r="R284" s="15" t="n">
        <f aca="false">Q284-$G$2+$I$2</f>
        <v>45598.8207798393</v>
      </c>
      <c r="S284" s="42" t="n">
        <f aca="false">R284/$K$2</f>
        <v>105.255576334978</v>
      </c>
      <c r="T284" s="43" t="n">
        <f aca="false">S284-$M$2</f>
        <v>-0.00272198919887501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0.0185947418212891</v>
      </c>
      <c r="C285" s="25" t="n">
        <f aca="false">IF(T284&gt;0,D284,C284)</f>
        <v>0.0186004638671875</v>
      </c>
      <c r="D285" s="41" t="n">
        <f aca="false">(B285+C285)/2</f>
        <v>0.0185976028442383</v>
      </c>
      <c r="E285" s="15" t="n">
        <f aca="false">$C$2*(1+IF(E$3&lt;=$O$2,$D285,$D285-($D285-$I$265)*MIN(E$3-$O$2,$Q$2)/$Q$2))</f>
        <v>7975.61923027039</v>
      </c>
      <c r="F285" s="15" t="n">
        <f aca="false">E285*(1+IF(F$3&lt;=$O$2,$D285,$D285-($D285-$I$265)*MIN(F$3-$O$2,$Q$2)/$Q$2))</f>
        <v>8123.94662915182</v>
      </c>
      <c r="G285" s="15" t="n">
        <f aca="false">F285*(1+IF(G$3&lt;=$O$2,$D285,$D285-($D285-$I$265)*MIN(G$3-$O$2,$Q$2)/$Q$2))</f>
        <v>8275.03256208858</v>
      </c>
      <c r="H285" s="15" t="n">
        <f aca="false">G285*(1+IF(H$3&lt;=$O$2,$D285,$D285-($D285-$I$265)*MIN(H$3-$O$2,$Q$2)/$Q$2))</f>
        <v>8428.92833120144</v>
      </c>
      <c r="I285" s="15" t="n">
        <f aca="false">H285*(1+IF(I$3&lt;=$O$2,$D285,$D285-($D285-$I$265)*MIN(I$3-$O$2,$Q$2)/$Q$2))</f>
        <v>8585.68619270767</v>
      </c>
      <c r="J285" s="15" t="n">
        <f aca="false">I285*(1+IF(J$3&lt;=$O$2,$D285,$D285-($D285-$I$265)*MIN(J$3-$O$2,$Q$2)/$Q$2))</f>
        <v>8770.6054083169</v>
      </c>
      <c r="K285" s="15" t="n">
        <f aca="false">J285*(1+IF(K$3&lt;=$O$2,$D285,$D285-($D285-$I$265)*MIN(K$3-$O$2,$Q$2)/$Q$2))</f>
        <v>8985.29721400812</v>
      </c>
      <c r="L285" s="15" t="n">
        <f aca="false">K285*(1+IF(L$3&lt;=$O$2,$D285,$D285-($D285-$I$265)*MIN(L$3-$O$2,$Q$2)/$Q$2))</f>
        <v>9231.66544795343</v>
      </c>
      <c r="M285" s="15" t="n">
        <f aca="false">L285*(1+IF(M$3&lt;=$O$2,$D285,$D285-($D285-$I$265)*MIN(M$3-$O$2,$Q$2)/$Q$2))</f>
        <v>9511.93438500529</v>
      </c>
      <c r="N285" s="15" t="n">
        <f aca="false">M285*(1+IF(N$3&lt;=$O$2,$D285,$D285-($D285-$I$265)*MIN(N$3-$O$2,$Q$2)/$Q$2))</f>
        <v>9828.68180002597</v>
      </c>
      <c r="O285" s="15" t="n">
        <f aca="false">SUMPRODUCT(E285:N285,1/(1+$F$265)^$E$3:$N$3)*$E$2</f>
        <v>16748.2170224383</v>
      </c>
      <c r="P285" s="15" t="n">
        <f aca="false">N285*$E$2*(1+$I$265)/($F$265-$I$265)/(1+$F$265)^$N$3</f>
        <v>31368.4306283181</v>
      </c>
      <c r="Q285" s="15" t="n">
        <f aca="false">O285+P285</f>
        <v>48116.6476507564</v>
      </c>
      <c r="R285" s="15" t="n">
        <f aca="false">Q285-$G$2+$I$2</f>
        <v>45599.6476507564</v>
      </c>
      <c r="S285" s="42" t="n">
        <f aca="false">R285/$K$2</f>
        <v>105.257484997822</v>
      </c>
      <c r="T285" s="43" t="n">
        <f aca="false">S285-$M$2</f>
        <v>-0.000813326355157074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0.0185976028442383</v>
      </c>
      <c r="C286" s="25" t="n">
        <f aca="false">IF(T285&gt;0,D285,C285)</f>
        <v>0.0186004638671875</v>
      </c>
      <c r="D286" s="41" t="n">
        <f aca="false">(B286+C286)/2</f>
        <v>0.0185990333557129</v>
      </c>
      <c r="E286" s="15" t="n">
        <f aca="false">$C$2*(1+IF(E$3&lt;=$O$2,$D286,$D286-($D286-$I$265)*MIN(E$3-$O$2,$Q$2)/$Q$2))</f>
        <v>7975.63043117523</v>
      </c>
      <c r="F286" s="15" t="n">
        <f aca="false">E286*(1+IF(F$3&lt;=$O$2,$D286,$D286-($D286-$I$265)*MIN(F$3-$O$2,$Q$2)/$Q$2))</f>
        <v>8123.9694475975</v>
      </c>
      <c r="G286" s="15" t="n">
        <f aca="false">F286*(1+IF(G$3&lt;=$O$2,$D286,$D286-($D286-$I$265)*MIN(G$3-$O$2,$Q$2)/$Q$2))</f>
        <v>8275.06742633416</v>
      </c>
      <c r="H286" s="15" t="n">
        <f aca="false">G286*(1+IF(H$3&lt;=$O$2,$D286,$D286-($D286-$I$265)*MIN(H$3-$O$2,$Q$2)/$Q$2))</f>
        <v>8428.97568141732</v>
      </c>
      <c r="I286" s="15" t="n">
        <f aca="false">H286*(1+IF(I$3&lt;=$O$2,$D286,$D286-($D286-$I$265)*MIN(I$3-$O$2,$Q$2)/$Q$2))</f>
        <v>8585.74648127049</v>
      </c>
      <c r="J286" s="15" t="n">
        <f aca="false">I286*(1+IF(J$3&lt;=$O$2,$D286,$D286-($D286-$I$265)*MIN(J$3-$O$2,$Q$2)/$Q$2))</f>
        <v>8770.67682098683</v>
      </c>
      <c r="K286" s="15" t="n">
        <f aca="false">J286*(1+IF(K$3&lt;=$O$2,$D286,$D286-($D286-$I$265)*MIN(K$3-$O$2,$Q$2)/$Q$2))</f>
        <v>8985.3779026898</v>
      </c>
      <c r="L286" s="15" t="n">
        <f aca="false">K286*(1+IF(L$3&lt;=$O$2,$D286,$D286-($D286-$I$265)*MIN(L$3-$O$2,$Q$2)/$Q$2))</f>
        <v>9231.75349051587</v>
      </c>
      <c r="M286" s="15" t="n">
        <f aca="false">L286*(1+IF(M$3&lt;=$O$2,$D286,$D286-($D286-$I$265)*MIN(M$3-$O$2,$Q$2)/$Q$2))</f>
        <v>9512.02774172358</v>
      </c>
      <c r="N286" s="15" t="n">
        <f aca="false">M286*(1+IF(N$3&lt;=$O$2,$D286,$D286-($D286-$I$265)*MIN(N$3-$O$2,$Q$2)/$Q$2))</f>
        <v>9828.77826552298</v>
      </c>
      <c r="O286" s="15" t="n">
        <f aca="false">SUMPRODUCT(E286:N286,1/(1+$F$265)^$E$3:$N$3)*$E$2</f>
        <v>16748.3225913428</v>
      </c>
      <c r="P286" s="15" t="n">
        <f aca="false">N286*$E$2*(1+$I$265)/($F$265-$I$265)/(1+$F$265)^$N$3</f>
        <v>31368.7384998427</v>
      </c>
      <c r="Q286" s="15" t="n">
        <f aca="false">O286+P286</f>
        <v>48117.0610911855</v>
      </c>
      <c r="R286" s="15" t="n">
        <f aca="false">Q286-$G$2+$I$2</f>
        <v>45600.0610911855</v>
      </c>
      <c r="S286" s="42" t="n">
        <f aca="false">R286/$K$2</f>
        <v>105.258439340717</v>
      </c>
      <c r="T286" s="43" t="n">
        <f aca="false">S286-$M$2</f>
        <v>0.00014101654011256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0.0185976028442383</v>
      </c>
      <c r="C287" s="25" t="n">
        <f aca="false">IF(T286&gt;0,D286,C286)</f>
        <v>0.0185990333557129</v>
      </c>
      <c r="D287" s="41" t="n">
        <f aca="false">(B287+C287)/2</f>
        <v>0.0185983180999756</v>
      </c>
      <c r="E287" s="15" t="n">
        <f aca="false">$C$2*(1+IF(E$3&lt;=$O$2,$D287,$D287-($D287-$I$265)*MIN(E$3-$O$2,$Q$2)/$Q$2))</f>
        <v>7975.62483072281</v>
      </c>
      <c r="F287" s="15" t="n">
        <f aca="false">E287*(1+IF(F$3&lt;=$O$2,$D287,$D287-($D287-$I$265)*MIN(F$3-$O$2,$Q$2)/$Q$2))</f>
        <v>8123.95803837066</v>
      </c>
      <c r="G287" s="15" t="n">
        <f aca="false">F287*(1+IF(G$3&lt;=$O$2,$D287,$D287-($D287-$I$265)*MIN(G$3-$O$2,$Q$2)/$Q$2))</f>
        <v>8275.04999419913</v>
      </c>
      <c r="H287" s="15" t="n">
        <f aca="false">G287*(1+IF(H$3&lt;=$O$2,$D287,$D287-($D287-$I$265)*MIN(H$3-$O$2,$Q$2)/$Q$2))</f>
        <v>8428.95200628444</v>
      </c>
      <c r="I287" s="15" t="n">
        <f aca="false">H287*(1+IF(I$3&lt;=$O$2,$D287,$D287-($D287-$I$265)*MIN(I$3-$O$2,$Q$2)/$Q$2))</f>
        <v>8585.71633694675</v>
      </c>
      <c r="J287" s="15" t="n">
        <f aca="false">I287*(1+IF(J$3&lt;=$O$2,$D287,$D287-($D287-$I$265)*MIN(J$3-$O$2,$Q$2)/$Q$2))</f>
        <v>8770.64111459137</v>
      </c>
      <c r="K287" s="15" t="n">
        <f aca="false">J287*(1+IF(K$3&lt;=$O$2,$D287,$D287-($D287-$I$265)*MIN(K$3-$O$2,$Q$2)/$Q$2))</f>
        <v>8985.33755827166</v>
      </c>
      <c r="L287" s="15" t="n">
        <f aca="false">K287*(1+IF(L$3&lt;=$O$2,$D287,$D287-($D287-$I$265)*MIN(L$3-$O$2,$Q$2)/$Q$2))</f>
        <v>9231.70946914369</v>
      </c>
      <c r="M287" s="15" t="n">
        <f aca="false">L287*(1+IF(M$3&lt;=$O$2,$D287,$D287-($D287-$I$265)*MIN(M$3-$O$2,$Q$2)/$Q$2))</f>
        <v>9511.98106326441</v>
      </c>
      <c r="N287" s="15" t="n">
        <f aca="false">M287*(1+IF(N$3&lt;=$O$2,$D287,$D287-($D287-$I$265)*MIN(N$3-$O$2,$Q$2)/$Q$2))</f>
        <v>9828.73003267112</v>
      </c>
      <c r="O287" s="15" t="n">
        <f aca="false">SUMPRODUCT(E287:N287,1/(1+$F$265)^$E$3:$N$3)*$E$2</f>
        <v>16748.2698068062</v>
      </c>
      <c r="P287" s="15" t="n">
        <f aca="false">N287*$E$2*(1+$I$265)/($F$265-$I$265)/(1+$F$265)^$N$3</f>
        <v>31368.5845637506</v>
      </c>
      <c r="Q287" s="15" t="n">
        <f aca="false">O287+P287</f>
        <v>48116.8543705567</v>
      </c>
      <c r="R287" s="15" t="n">
        <f aca="false">Q287-$G$2+$I$2</f>
        <v>45599.8543705567</v>
      </c>
      <c r="S287" s="42" t="n">
        <f aca="false">R287/$K$2</f>
        <v>105.257962168313</v>
      </c>
      <c r="T287" s="43" t="n">
        <f aca="false">S287-$M$2</f>
        <v>-0.0003361558636783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0.0185983180999756</v>
      </c>
      <c r="C288" s="25" t="n">
        <f aca="false">IF(T287&gt;0,D287,C287)</f>
        <v>0.0185990333557129</v>
      </c>
      <c r="D288" s="41" t="n">
        <f aca="false">(B288+C288)/2</f>
        <v>0.0185986757278442</v>
      </c>
      <c r="E288" s="15" t="n">
        <f aca="false">$C$2*(1+IF(E$3&lt;=$O$2,$D288,$D288-($D288-$I$265)*MIN(E$3-$O$2,$Q$2)/$Q$2))</f>
        <v>7975.62763094902</v>
      </c>
      <c r="F288" s="15" t="n">
        <f aca="false">E288*(1+IF(F$3&lt;=$O$2,$D288,$D288-($D288-$I$265)*MIN(F$3-$O$2,$Q$2)/$Q$2))</f>
        <v>8123.96374298308</v>
      </c>
      <c r="G288" s="15" t="n">
        <f aca="false">F288*(1+IF(G$3&lt;=$O$2,$D288,$D288-($D288-$I$265)*MIN(G$3-$O$2,$Q$2)/$Q$2))</f>
        <v>8275.05871026358</v>
      </c>
      <c r="H288" s="15" t="n">
        <f aca="false">G288*(1+IF(H$3&lt;=$O$2,$D288,$D288-($D288-$I$265)*MIN(H$3-$O$2,$Q$2)/$Q$2))</f>
        <v>8428.96384384465</v>
      </c>
      <c r="I288" s="15" t="n">
        <f aca="false">H288*(1+IF(I$3&lt;=$O$2,$D288,$D288-($D288-$I$265)*MIN(I$3-$O$2,$Q$2)/$Q$2))</f>
        <v>8585.73140909804</v>
      </c>
      <c r="J288" s="15" t="n">
        <f aca="false">I288*(1+IF(J$3&lt;=$O$2,$D288,$D288-($D288-$I$265)*MIN(J$3-$O$2,$Q$2)/$Q$2))</f>
        <v>8770.65896777398</v>
      </c>
      <c r="K288" s="15" t="n">
        <f aca="false">J288*(1+IF(K$3&lt;=$O$2,$D288,$D288-($D288-$I$265)*MIN(K$3-$O$2,$Q$2)/$Q$2))</f>
        <v>8985.35773046141</v>
      </c>
      <c r="L288" s="15" t="n">
        <f aca="false">K288*(1+IF(L$3&lt;=$O$2,$D288,$D288-($D288-$I$265)*MIN(L$3-$O$2,$Q$2)/$Q$2))</f>
        <v>9231.73147980704</v>
      </c>
      <c r="M288" s="15" t="n">
        <f aca="false">L288*(1+IF(M$3&lt;=$O$2,$D288,$D288-($D288-$I$265)*MIN(M$3-$O$2,$Q$2)/$Q$2))</f>
        <v>9512.00440246899</v>
      </c>
      <c r="N288" s="15" t="n">
        <f aca="false">M288*(1+IF(N$3&lt;=$O$2,$D288,$D288-($D288-$I$265)*MIN(N$3-$O$2,$Q$2)/$Q$2))</f>
        <v>9828.75414907121</v>
      </c>
      <c r="O288" s="15" t="n">
        <f aca="false">SUMPRODUCT(E288:N288,1/(1+$F$265)^$E$3:$N$3)*$E$2</f>
        <v>16748.2961990534</v>
      </c>
      <c r="P288" s="15" t="n">
        <f aca="false">N288*$E$2*(1+$I$265)/($F$265-$I$265)/(1+$F$265)^$N$3</f>
        <v>31368.6615317142</v>
      </c>
      <c r="Q288" s="15" t="n">
        <f aca="false">O288+P288</f>
        <v>48116.9577307676</v>
      </c>
      <c r="R288" s="15" t="n">
        <f aca="false">Q288-$G$2+$I$2</f>
        <v>45599.9577307676</v>
      </c>
      <c r="S288" s="42" t="n">
        <f aca="false">R288/$K$2</f>
        <v>105.258200754276</v>
      </c>
      <c r="T288" s="43" t="n">
        <f aca="false">S288-$M$2</f>
        <v>-9.75699007881303E-005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0.0185986757278442</v>
      </c>
      <c r="C289" s="25" t="n">
        <f aca="false">IF(T288&gt;0,D288,C288)</f>
        <v>0.0185990333557129</v>
      </c>
      <c r="D289" s="41" t="n">
        <f aca="false">(B289+C289)/2</f>
        <v>0.0185988545417786</v>
      </c>
      <c r="E289" s="15" t="n">
        <f aca="false">$C$2*(1+IF(E$3&lt;=$O$2,$D289,$D289-($D289-$I$265)*MIN(E$3-$O$2,$Q$2)/$Q$2))</f>
        <v>7975.62903106213</v>
      </c>
      <c r="F289" s="15" t="n">
        <f aca="false">E289*(1+IF(F$3&lt;=$O$2,$D289,$D289-($D289-$I$265)*MIN(F$3-$O$2,$Q$2)/$Q$2))</f>
        <v>8123.96659529004</v>
      </c>
      <c r="G289" s="15" t="n">
        <f aca="false">F289*(1+IF(G$3&lt;=$O$2,$D289,$D289-($D289-$I$265)*MIN(G$3-$O$2,$Q$2)/$Q$2))</f>
        <v>8275.06306829811</v>
      </c>
      <c r="H289" s="15" t="n">
        <f aca="false">G289*(1+IF(H$3&lt;=$O$2,$D289,$D289-($D289-$I$265)*MIN(H$3-$O$2,$Q$2)/$Q$2))</f>
        <v>8428.96976262943</v>
      </c>
      <c r="I289" s="15" t="n">
        <f aca="false">H289*(1+IF(I$3&lt;=$O$2,$D289,$D289-($D289-$I$265)*MIN(I$3-$O$2,$Q$2)/$Q$2))</f>
        <v>8585.73894518162</v>
      </c>
      <c r="J289" s="15" t="n">
        <f aca="false">I289*(1+IF(J$3&lt;=$O$2,$D289,$D289-($D289-$I$265)*MIN(J$3-$O$2,$Q$2)/$Q$2))</f>
        <v>8770.66789437662</v>
      </c>
      <c r="K289" s="15" t="n">
        <f aca="false">J289*(1+IF(K$3&lt;=$O$2,$D289,$D289-($D289-$I$265)*MIN(K$3-$O$2,$Q$2)/$Q$2))</f>
        <v>8985.36781657077</v>
      </c>
      <c r="L289" s="15" t="n">
        <f aca="false">K289*(1+IF(L$3&lt;=$O$2,$D289,$D289-($D289-$I$265)*MIN(L$3-$O$2,$Q$2)/$Q$2))</f>
        <v>9231.74248515577</v>
      </c>
      <c r="M289" s="15" t="n">
        <f aca="false">L289*(1+IF(M$3&lt;=$O$2,$D289,$D289-($D289-$I$265)*MIN(M$3-$O$2,$Q$2)/$Q$2))</f>
        <v>9512.01607209003</v>
      </c>
      <c r="N289" s="15" t="n">
        <f aca="false">M289*(1+IF(N$3&lt;=$O$2,$D289,$D289-($D289-$I$265)*MIN(N$3-$O$2,$Q$2)/$Q$2))</f>
        <v>9828.76620729063</v>
      </c>
      <c r="O289" s="15" t="n">
        <f aca="false">SUMPRODUCT(E289:N289,1/(1+$F$265)^$E$3:$N$3)*$E$2</f>
        <v>16748.3093951928</v>
      </c>
      <c r="P289" s="15" t="n">
        <f aca="false">N289*$E$2*(1+$I$265)/($F$265-$I$265)/(1+$F$265)^$N$3</f>
        <v>31368.7000157578</v>
      </c>
      <c r="Q289" s="15" t="n">
        <f aca="false">O289+P289</f>
        <v>48117.0094109506</v>
      </c>
      <c r="R289" s="15" t="n">
        <f aca="false">Q289-$G$2+$I$2</f>
        <v>45600.0094109506</v>
      </c>
      <c r="S289" s="42" t="n">
        <f aca="false">R289/$K$2</f>
        <v>105.258320047437</v>
      </c>
      <c r="T289" s="43" t="n">
        <f aca="false">S289-$M$2</f>
        <v>2.1723259862938E-005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0.0185986757278442</v>
      </c>
      <c r="C290" s="25" t="n">
        <f aca="false">IF(T289&gt;0,D289,C289)</f>
        <v>0.0185988545417786</v>
      </c>
      <c r="D290" s="41" t="n">
        <f aca="false">(B290+C290)/2</f>
        <v>0.0185987651348114</v>
      </c>
      <c r="E290" s="15" t="n">
        <f aca="false">$C$2*(1+IF(E$3&lt;=$O$2,$D290,$D290-($D290-$I$265)*MIN(E$3-$O$2,$Q$2)/$Q$2))</f>
        <v>7975.62833100557</v>
      </c>
      <c r="F290" s="15" t="n">
        <f aca="false">E290*(1+IF(F$3&lt;=$O$2,$D290,$D290-($D290-$I$265)*MIN(F$3-$O$2,$Q$2)/$Q$2))</f>
        <v>8123.96516913649</v>
      </c>
      <c r="G290" s="15" t="n">
        <f aca="false">F290*(1+IF(G$3&lt;=$O$2,$D290,$D290-($D290-$I$265)*MIN(G$3-$O$2,$Q$2)/$Q$2))</f>
        <v>8275.06088928065</v>
      </c>
      <c r="H290" s="15" t="n">
        <f aca="false">G290*(1+IF(H$3&lt;=$O$2,$D290,$D290-($D290-$I$265)*MIN(H$3-$O$2,$Q$2)/$Q$2))</f>
        <v>8428.96680323665</v>
      </c>
      <c r="I290" s="15" t="n">
        <f aca="false">H290*(1+IF(I$3&lt;=$O$2,$D290,$D290-($D290-$I$265)*MIN(I$3-$O$2,$Q$2)/$Q$2))</f>
        <v>8585.73517713917</v>
      </c>
      <c r="J290" s="15" t="n">
        <f aca="false">I290*(1+IF(J$3&lt;=$O$2,$D290,$D290-($D290-$I$265)*MIN(J$3-$O$2,$Q$2)/$Q$2))</f>
        <v>8770.66343107435</v>
      </c>
      <c r="K290" s="15" t="n">
        <f aca="false">J290*(1+IF(K$3&lt;=$O$2,$D290,$D290-($D290-$I$265)*MIN(K$3-$O$2,$Q$2)/$Q$2))</f>
        <v>8985.36277351488</v>
      </c>
      <c r="L290" s="15" t="n">
        <f aca="false">K290*(1+IF(L$3&lt;=$O$2,$D290,$D290-($D290-$I$265)*MIN(L$3-$O$2,$Q$2)/$Q$2))</f>
        <v>9231.73698247998</v>
      </c>
      <c r="M290" s="15" t="n">
        <f aca="false">L290*(1+IF(M$3&lt;=$O$2,$D290,$D290-($D290-$I$265)*MIN(M$3-$O$2,$Q$2)/$Q$2))</f>
        <v>9512.01023727795</v>
      </c>
      <c r="N290" s="15" t="n">
        <f aca="false">M290*(1+IF(N$3&lt;=$O$2,$D290,$D290-($D290-$I$265)*MIN(N$3-$O$2,$Q$2)/$Q$2))</f>
        <v>9828.76017817931</v>
      </c>
      <c r="O290" s="15" t="n">
        <f aca="false">SUMPRODUCT(E290:N290,1/(1+$F$265)^$E$3:$N$3)*$E$2</f>
        <v>16748.3027971218</v>
      </c>
      <c r="P290" s="15" t="n">
        <f aca="false">N290*$E$2*(1+$I$265)/($F$265-$I$265)/(1+$F$265)^$N$3</f>
        <v>31368.6807737309</v>
      </c>
      <c r="Q290" s="15" t="n">
        <f aca="false">O290+P290</f>
        <v>48116.9835708526</v>
      </c>
      <c r="R290" s="15" t="n">
        <f aca="false">Q290-$G$2+$I$2</f>
        <v>45599.9835708526</v>
      </c>
      <c r="S290" s="42" t="n">
        <f aca="false">R290/$K$2</f>
        <v>105.258260400842</v>
      </c>
      <c r="T290" s="43" t="n">
        <f aca="false">S290-$M$2</f>
        <v>-3.79233353982045E-005</v>
      </c>
    </row>
    <row r="292" customFormat="false" ht="15" hidden="false" customHeight="false" outlineLevel="0" collapsed="false">
      <c r="A292" s="38" t="s">
        <v>182</v>
      </c>
      <c r="E292" s="5" t="s">
        <v>11</v>
      </c>
      <c r="F292" s="12" t="n">
        <f aca="false">Sensitivity!$B$11</f>
        <v>0.0771529104257703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153</v>
      </c>
      <c r="B293" s="28" t="s">
        <v>154</v>
      </c>
      <c r="C293" s="28" t="s">
        <v>155</v>
      </c>
      <c r="D293" s="28" t="s">
        <v>156</v>
      </c>
      <c r="E293" s="28" t="s">
        <v>157</v>
      </c>
      <c r="F293" s="28" t="s">
        <v>158</v>
      </c>
      <c r="G293" s="28" t="s">
        <v>159</v>
      </c>
      <c r="H293" s="28" t="s">
        <v>160</v>
      </c>
      <c r="I293" s="28" t="s">
        <v>161</v>
      </c>
      <c r="J293" s="28" t="s">
        <v>162</v>
      </c>
      <c r="K293" s="28" t="s">
        <v>163</v>
      </c>
      <c r="L293" s="28" t="s">
        <v>164</v>
      </c>
      <c r="M293" s="28" t="s">
        <v>165</v>
      </c>
      <c r="N293" s="28" t="s">
        <v>166</v>
      </c>
      <c r="O293" s="28" t="s">
        <v>167</v>
      </c>
      <c r="P293" s="28" t="s">
        <v>168</v>
      </c>
      <c r="Q293" s="28" t="s">
        <v>169</v>
      </c>
      <c r="R293" s="28" t="s">
        <v>170</v>
      </c>
      <c r="S293" s="28" t="s">
        <v>171</v>
      </c>
      <c r="T293" s="28" t="s">
        <v>172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9787.5</v>
      </c>
      <c r="F294" s="15" t="n">
        <f aca="false">E294*(1+IF(F$3&lt;=$O$2,$D294,$D294-($D294-$I$292)*MIN(F$3-$O$2,$Q$2)/$Q$2))</f>
        <v>12234.375</v>
      </c>
      <c r="G294" s="15" t="n">
        <f aca="false">F294*(1+IF(G$3&lt;=$O$2,$D294,$D294-($D294-$I$292)*MIN(G$3-$O$2,$Q$2)/$Q$2))</f>
        <v>15292.96875</v>
      </c>
      <c r="H294" s="15" t="n">
        <f aca="false">G294*(1+IF(H$3&lt;=$O$2,$D294,$D294-($D294-$I$292)*MIN(H$3-$O$2,$Q$2)/$Q$2))</f>
        <v>19116.2109375</v>
      </c>
      <c r="I294" s="15" t="n">
        <f aca="false">H294*(1+IF(I$3&lt;=$O$2,$D294,$D294-($D294-$I$292)*MIN(I$3-$O$2,$Q$2)/$Q$2))</f>
        <v>23895.263671875</v>
      </c>
      <c r="J294" s="15" t="n">
        <f aca="false">I294*(1+IF(J$3&lt;=$O$2,$D294,$D294-($D294-$I$292)*MIN(J$3-$O$2,$Q$2)/$Q$2))</f>
        <v>28857.3541259766</v>
      </c>
      <c r="K294" s="15" t="n">
        <f aca="false">J294*(1+IF(K$3&lt;=$O$2,$D294,$D294-($D294-$I$292)*MIN(K$3-$O$2,$Q$2)/$Q$2))</f>
        <v>33628.051910083</v>
      </c>
      <c r="L294" s="15" t="n">
        <f aca="false">K294*(1+IF(L$3&lt;=$O$2,$D294,$D294-($D294-$I$292)*MIN(L$3-$O$2,$Q$2)/$Q$2))</f>
        <v>37763.629733985</v>
      </c>
      <c r="M294" s="15" t="n">
        <f aca="false">L294*(1+IF(M$3&lt;=$O$2,$D294,$D294-($D294-$I$292)*MIN(M$3-$O$2,$Q$2)/$Q$2))</f>
        <v>40808.8888357336</v>
      </c>
      <c r="N294" s="15" t="n">
        <f aca="false">M294*(1+IF(N$3&lt;=$O$2,$D294,$D294-($D294-$I$292)*MIN(N$3-$O$2,$Q$2)/$Q$2))</f>
        <v>42371.8692781422</v>
      </c>
      <c r="O294" s="15" t="n">
        <f aca="false">SUMPRODUCT(E294:N294,1/(1+$F$292)^$E$3:$N$3)*$E$2</f>
        <v>46395.4113673048</v>
      </c>
      <c r="P294" s="15" t="n">
        <f aca="false">N294*$E$2*(1+$I$292)/($F$292-$I$292)/(1+$F$292)^$N$3</f>
        <v>153372.123150628</v>
      </c>
      <c r="Q294" s="15" t="n">
        <f aca="false">O294+P294</f>
        <v>199767.534517933</v>
      </c>
      <c r="R294" s="15" t="n">
        <f aca="false">Q294-$G$2+$I$2</f>
        <v>197250.534517933</v>
      </c>
      <c r="S294" s="42" t="n">
        <f aca="false">R294/$K$2</f>
        <v>455.312622958157</v>
      </c>
      <c r="T294" s="43" t="n">
        <f aca="false">S294-$M$2</f>
        <v>350.05432463398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6851.25</v>
      </c>
      <c r="F295" s="15" t="n">
        <f aca="false">E295*(1+IF(F$3&lt;=$O$2,$D295,$D295-($D295-$I$292)*MIN(F$3-$O$2,$Q$2)/$Q$2))</f>
        <v>5994.84375</v>
      </c>
      <c r="G295" s="15" t="n">
        <f aca="false">F295*(1+IF(G$3&lt;=$O$2,$D295,$D295-($D295-$I$292)*MIN(G$3-$O$2,$Q$2)/$Q$2))</f>
        <v>5245.48828125</v>
      </c>
      <c r="H295" s="15" t="n">
        <f aca="false">G295*(1+IF(H$3&lt;=$O$2,$D295,$D295-($D295-$I$292)*MIN(H$3-$O$2,$Q$2)/$Q$2))</f>
        <v>4589.80224609375</v>
      </c>
      <c r="I295" s="15" t="n">
        <f aca="false">H295*(1+IF(I$3&lt;=$O$2,$D295,$D295-($D295-$I$292)*MIN(I$3-$O$2,$Q$2)/$Q$2))</f>
        <v>4016.07696533203</v>
      </c>
      <c r="J295" s="15" t="n">
        <f aca="false">I295*(1+IF(J$3&lt;=$O$2,$D295,$D295-($D295-$I$292)*MIN(J$3-$O$2,$Q$2)/$Q$2))</f>
        <v>3645.23241835327</v>
      </c>
      <c r="K295" s="15" t="n">
        <f aca="false">J295*(1+IF(K$3&lt;=$O$2,$D295,$D295-($D295-$I$292)*MIN(K$3-$O$2,$Q$2)/$Q$2))</f>
        <v>3427.68494762595</v>
      </c>
      <c r="L295" s="15" t="n">
        <f aca="false">K295*(1+IF(L$3&lt;=$O$2,$D295,$D295-($D295-$I$292)*MIN(L$3-$O$2,$Q$2)/$Q$2))</f>
        <v>3335.0689003411</v>
      </c>
      <c r="M295" s="15" t="n">
        <f aca="false">L295*(1+IF(M$3&lt;=$O$2,$D295,$D295-($D295-$I$292)*MIN(M$3-$O$2,$Q$2)/$Q$2))</f>
        <v>3353.87868893902</v>
      </c>
      <c r="N295" s="15" t="n">
        <f aca="false">M295*(1+IF(N$3&lt;=$O$2,$D295,$D295-($D295-$I$292)*MIN(N$3-$O$2,$Q$2)/$Q$2))</f>
        <v>3482.33224272538</v>
      </c>
      <c r="O295" s="15" t="n">
        <f aca="false">SUMPRODUCT(E295:N295,1/(1+$F$292)^$E$3:$N$3)*$E$2</f>
        <v>8968.17813036802</v>
      </c>
      <c r="P295" s="15" t="n">
        <f aca="false">N295*$E$2*(1+$I$292)/($F$292-$I$292)/(1+$F$292)^$N$3</f>
        <v>12604.8885423659</v>
      </c>
      <c r="Q295" s="15" t="n">
        <f aca="false">O295+P295</f>
        <v>21573.0666727339</v>
      </c>
      <c r="R295" s="15" t="n">
        <f aca="false">Q295-$G$2+$I$2</f>
        <v>19056.0666727339</v>
      </c>
      <c r="S295" s="42" t="n">
        <f aca="false">R295/$K$2</f>
        <v>43.9870427790359</v>
      </c>
      <c r="T295" s="43" t="n">
        <f aca="false">S295-$M$2</f>
        <v>-61.2712555451412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8319.375</v>
      </c>
      <c r="F296" s="15" t="n">
        <f aca="false">E296*(1+IF(F$3&lt;=$O$2,$D296,$D296-($D296-$I$292)*MIN(F$3-$O$2,$Q$2)/$Q$2))</f>
        <v>8839.3359375</v>
      </c>
      <c r="G296" s="15" t="n">
        <f aca="false">F296*(1+IF(G$3&lt;=$O$2,$D296,$D296-($D296-$I$292)*MIN(G$3-$O$2,$Q$2)/$Q$2))</f>
        <v>9391.79443359375</v>
      </c>
      <c r="H296" s="15" t="n">
        <f aca="false">G296*(1+IF(H$3&lt;=$O$2,$D296,$D296-($D296-$I$292)*MIN(H$3-$O$2,$Q$2)/$Q$2))</f>
        <v>9978.78158569336</v>
      </c>
      <c r="I296" s="15" t="n">
        <f aca="false">H296*(1+IF(I$3&lt;=$O$2,$D296,$D296-($D296-$I$292)*MIN(I$3-$O$2,$Q$2)/$Q$2))</f>
        <v>10602.4554347992</v>
      </c>
      <c r="J296" s="15" t="n">
        <f aca="false">I296*(1+IF(J$3&lt;=$O$2,$D296,$D296-($D296-$I$292)*MIN(J$3-$O$2,$Q$2)/$Q$2))</f>
        <v>11213.7930151697</v>
      </c>
      <c r="K296" s="15" t="n">
        <f aca="false">J296*(1+IF(K$3&lt;=$O$2,$D296,$D296-($D296-$I$292)*MIN(K$3-$O$2,$Q$2)/$Q$2))</f>
        <v>11806.105562231</v>
      </c>
      <c r="L296" s="15" t="n">
        <f aca="false">K296*(1+IF(L$3&lt;=$O$2,$D296,$D296-($D296-$I$292)*MIN(L$3-$O$2,$Q$2)/$Q$2))</f>
        <v>12372.5625071068</v>
      </c>
      <c r="M296" s="15" t="n">
        <f aca="false">L296*(1+IF(M$3&lt;=$O$2,$D296,$D296-($D296-$I$292)*MIN(M$3-$O$2,$Q$2)/$Q$2))</f>
        <v>12906.3148536634</v>
      </c>
      <c r="N296" s="15" t="n">
        <f aca="false">M296*(1+IF(N$3&lt;=$O$2,$D296,$D296-($D296-$I$292)*MIN(N$3-$O$2,$Q$2)/$Q$2))</f>
        <v>13400.6267125587</v>
      </c>
      <c r="O296" s="15" t="n">
        <f aca="false">SUMPRODUCT(E296:N296,1/(1+$F$292)^$E$3:$N$3)*$E$2</f>
        <v>20388.826778584</v>
      </c>
      <c r="P296" s="15" t="n">
        <f aca="false">N296*$E$2*(1+$I$292)/($F$292-$I$292)/(1+$F$292)^$N$3</f>
        <v>48505.82722614</v>
      </c>
      <c r="Q296" s="15" t="n">
        <f aca="false">O296+P296</f>
        <v>68894.654004724</v>
      </c>
      <c r="R296" s="15" t="n">
        <f aca="false">Q296-$G$2+$I$2</f>
        <v>66377.654004724</v>
      </c>
      <c r="S296" s="42" t="n">
        <f aca="false">R296/$K$2</f>
        <v>153.219274282637</v>
      </c>
      <c r="T296" s="43" t="n">
        <f aca="false">S296-$M$2</f>
        <v>47.9609759584598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7585.3125</v>
      </c>
      <c r="F297" s="15" t="n">
        <f aca="false">E297*(1+IF(F$3&lt;=$O$2,$D297,$D297-($D297-$I$292)*MIN(F$3-$O$2,$Q$2)/$Q$2))</f>
        <v>7348.271484375</v>
      </c>
      <c r="G297" s="15" t="n">
        <f aca="false">F297*(1+IF(G$3&lt;=$O$2,$D297,$D297-($D297-$I$292)*MIN(G$3-$O$2,$Q$2)/$Q$2))</f>
        <v>7118.63800048828</v>
      </c>
      <c r="H297" s="15" t="n">
        <f aca="false">G297*(1+IF(H$3&lt;=$O$2,$D297,$D297-($D297-$I$292)*MIN(H$3-$O$2,$Q$2)/$Q$2))</f>
        <v>6896.18056297302</v>
      </c>
      <c r="I297" s="15" t="n">
        <f aca="false">H297*(1+IF(I$3&lt;=$O$2,$D297,$D297-($D297-$I$292)*MIN(I$3-$O$2,$Q$2)/$Q$2))</f>
        <v>6680.67492038012</v>
      </c>
      <c r="J297" s="15" t="n">
        <f aca="false">I297*(1+IF(J$3&lt;=$O$2,$D297,$D297-($D297-$I$292)*MIN(J$3-$O$2,$Q$2)/$Q$2))</f>
        <v>6564.83201726073</v>
      </c>
      <c r="K297" s="15" t="n">
        <f aca="false">J297*(1+IF(K$3&lt;=$O$2,$D297,$D297-($D297-$I$292)*MIN(K$3-$O$2,$Q$2)/$Q$2))</f>
        <v>6542.31464344152</v>
      </c>
      <c r="L297" s="15" t="n">
        <f aca="false">K297*(1+IF(L$3&lt;=$O$2,$D297,$D297-($D297-$I$292)*MIN(L$3-$O$2,$Q$2)/$Q$2))</f>
        <v>6610.87810090479</v>
      </c>
      <c r="M297" s="15" t="n">
        <f aca="false">L297*(1+IF(M$3&lt;=$O$2,$D297,$D297-($D297-$I$292)*MIN(M$3-$O$2,$Q$2)/$Q$2))</f>
        <v>6772.11741778586</v>
      </c>
      <c r="N297" s="15" t="n">
        <f aca="false">M297*(1+IF(N$3&lt;=$O$2,$D297,$D297-($D297-$I$292)*MIN(N$3-$O$2,$Q$2)/$Q$2))</f>
        <v>7031.48951488705</v>
      </c>
      <c r="O297" s="15" t="n">
        <f aca="false">SUMPRODUCT(E297:N297,1/(1+$F$292)^$E$3:$N$3)*$E$2</f>
        <v>13486.459864386</v>
      </c>
      <c r="P297" s="15" t="n">
        <f aca="false">N297*$E$2*(1+$I$292)/($F$292-$I$292)/(1+$F$292)^$N$3</f>
        <v>25451.661542955</v>
      </c>
      <c r="Q297" s="15" t="n">
        <f aca="false">O297+P297</f>
        <v>38938.121407341</v>
      </c>
      <c r="R297" s="15" t="n">
        <f aca="false">Q297-$G$2+$I$2</f>
        <v>36421.121407341</v>
      </c>
      <c r="S297" s="42" t="n">
        <f aca="false">R297/$K$2</f>
        <v>84.0707294384862</v>
      </c>
      <c r="T297" s="43" t="n">
        <f aca="false">S297-$M$2</f>
        <v>-21.1875688856909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7952.34375</v>
      </c>
      <c r="F298" s="15" t="n">
        <f aca="false">E298*(1+IF(F$3&lt;=$O$2,$D298,$D298-($D298-$I$292)*MIN(F$3-$O$2,$Q$2)/$Q$2))</f>
        <v>8076.59912109375</v>
      </c>
      <c r="G298" s="15" t="n">
        <f aca="false">F298*(1+IF(G$3&lt;=$O$2,$D298,$D298-($D298-$I$292)*MIN(G$3-$O$2,$Q$2)/$Q$2))</f>
        <v>8202.79598236084</v>
      </c>
      <c r="H298" s="15" t="n">
        <f aca="false">G298*(1+IF(H$3&lt;=$O$2,$D298,$D298-($D298-$I$292)*MIN(H$3-$O$2,$Q$2)/$Q$2))</f>
        <v>8330.96466958523</v>
      </c>
      <c r="I298" s="15" t="n">
        <f aca="false">H298*(1+IF(I$3&lt;=$O$2,$D298,$D298-($D298-$I$292)*MIN(I$3-$O$2,$Q$2)/$Q$2))</f>
        <v>8461.1359925475</v>
      </c>
      <c r="J298" s="15" t="n">
        <f aca="false">I298*(1+IF(J$3&lt;=$O$2,$D298,$D298-($D298-$I$292)*MIN(J$3-$O$2,$Q$2)/$Q$2))</f>
        <v>8631.71249415726</v>
      </c>
      <c r="K298" s="15" t="n">
        <f aca="false">J298*(1+IF(K$3&lt;=$O$2,$D298,$D298-($D298-$I$292)*MIN(K$3-$O$2,$Q$2)/$Q$2))</f>
        <v>8844.87263420047</v>
      </c>
      <c r="L298" s="15" t="n">
        <f aca="false">K298*(1+IF(L$3&lt;=$O$2,$D298,$D298-($D298-$I$292)*MIN(L$3-$O$2,$Q$2)/$Q$2))</f>
        <v>9103.40826129815</v>
      </c>
      <c r="M298" s="15" t="n">
        <f aca="false">L298*(1+IF(M$3&lt;=$O$2,$D298,$D298-($D298-$I$292)*MIN(M$3-$O$2,$Q$2)/$Q$2))</f>
        <v>9410.78484124088</v>
      </c>
      <c r="N298" s="15" t="n">
        <f aca="false">M298*(1+IF(N$3&lt;=$O$2,$D298,$D298-($D298-$I$292)*MIN(N$3-$O$2,$Q$2)/$Q$2))</f>
        <v>9771.21790066041</v>
      </c>
      <c r="O298" s="15" t="n">
        <f aca="false">SUMPRODUCT(E298:N298,1/(1+$F$292)^$E$3:$N$3)*$E$2</f>
        <v>16576.9984249983</v>
      </c>
      <c r="P298" s="15" t="n">
        <f aca="false">N298*$E$2*(1+$I$292)/($F$292-$I$292)/(1+$F$292)^$N$3</f>
        <v>35368.5702500925</v>
      </c>
      <c r="Q298" s="15" t="n">
        <f aca="false">O298+P298</f>
        <v>51945.5686750908</v>
      </c>
      <c r="R298" s="15" t="n">
        <f aca="false">Q298-$G$2+$I$2</f>
        <v>49428.5686750908</v>
      </c>
      <c r="S298" s="42" t="n">
        <f aca="false">R298/$K$2</f>
        <v>114.095768143416</v>
      </c>
      <c r="T298" s="43" t="n">
        <f aca="false">S298-$M$2</f>
        <v>8.83746981923916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41" t="n">
        <f aca="false">(B299+C299)/2</f>
        <v>-0.0078125</v>
      </c>
      <c r="E299" s="15" t="n">
        <f aca="false">$C$2*(1+IF(E$3&lt;=$O$2,$D299,$D299-($D299-$I$292)*MIN(E$3-$O$2,$Q$2)/$Q$2))</f>
        <v>7768.828125</v>
      </c>
      <c r="F299" s="15" t="n">
        <f aca="false">E299*(1+IF(F$3&lt;=$O$2,$D299,$D299-($D299-$I$292)*MIN(F$3-$O$2,$Q$2)/$Q$2))</f>
        <v>7708.13415527344</v>
      </c>
      <c r="G299" s="15" t="n">
        <f aca="false">F299*(1+IF(G$3&lt;=$O$2,$D299,$D299-($D299-$I$292)*MIN(G$3-$O$2,$Q$2)/$Q$2))</f>
        <v>7647.91435718536</v>
      </c>
      <c r="H299" s="15" t="n">
        <f aca="false">G299*(1+IF(H$3&lt;=$O$2,$D299,$D299-($D299-$I$292)*MIN(H$3-$O$2,$Q$2)/$Q$2))</f>
        <v>7588.16502626985</v>
      </c>
      <c r="I299" s="15" t="n">
        <f aca="false">H299*(1+IF(I$3&lt;=$O$2,$D299,$D299-($D299-$I$292)*MIN(I$3-$O$2,$Q$2)/$Q$2))</f>
        <v>7528.88248700212</v>
      </c>
      <c r="J299" s="15" t="n">
        <f aca="false">I299*(1+IF(J$3&lt;=$O$2,$D299,$D299-($D299-$I$292)*MIN(J$3-$O$2,$Q$2)/$Q$2))</f>
        <v>7539.49821130879</v>
      </c>
      <c r="K299" s="15" t="n">
        <f aca="false">J299*(1+IF(K$3&lt;=$O$2,$D299,$D299-($D299-$I$292)*MIN(K$3-$O$2,$Q$2)/$Q$2))</f>
        <v>7619.66192604053</v>
      </c>
      <c r="L299" s="15" t="n">
        <f aca="false">K299*(1+IF(L$3&lt;=$O$2,$D299,$D299-($D299-$I$292)*MIN(L$3-$O$2,$Q$2)/$Q$2))</f>
        <v>7770.95031358207</v>
      </c>
      <c r="M299" s="15" t="n">
        <f aca="false">L299*(1+IF(M$3&lt;=$O$2,$D299,$D299-($D299-$I$292)*MIN(M$3-$O$2,$Q$2)/$Q$2))</f>
        <v>7996.91012132525</v>
      </c>
      <c r="N299" s="15" t="n">
        <f aca="false">M299*(1+IF(N$3&lt;=$O$2,$D299,$D299-($D299-$I$292)*MIN(N$3-$O$2,$Q$2)/$Q$2))</f>
        <v>8303.19177897201</v>
      </c>
      <c r="O299" s="15" t="n">
        <f aca="false">SUMPRODUCT(E299:N299,1/(1+$F$292)^$E$3:$N$3)*$E$2</f>
        <v>14950.2606935287</v>
      </c>
      <c r="P299" s="15" t="n">
        <f aca="false">N299*$E$2*(1+$I$292)/($F$292-$I$292)/(1+$F$292)^$N$3</f>
        <v>30054.8022488286</v>
      </c>
      <c r="Q299" s="15" t="n">
        <f aca="false">O299+P299</f>
        <v>45005.0629423573</v>
      </c>
      <c r="R299" s="15" t="n">
        <f aca="false">Q299-$G$2+$I$2</f>
        <v>42488.0629423573</v>
      </c>
      <c r="S299" s="42" t="n">
        <f aca="false">R299/$K$2</f>
        <v>98.0750264123477</v>
      </c>
      <c r="T299" s="43" t="n">
        <f aca="false">S299-$M$2</f>
        <v>-7.18327191182942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-0.0078125</v>
      </c>
      <c r="C300" s="25" t="n">
        <f aca="false">IF(T299&gt;0,D299,C299)</f>
        <v>0.015625</v>
      </c>
      <c r="D300" s="41" t="n">
        <f aca="false">(B300+C300)/2</f>
        <v>0.00390625</v>
      </c>
      <c r="E300" s="15" t="n">
        <f aca="false">$C$2*(1+IF(E$3&lt;=$O$2,$D300,$D300-($D300-$I$292)*MIN(E$3-$O$2,$Q$2)/$Q$2))</f>
        <v>7860.5859375</v>
      </c>
      <c r="F300" s="15" t="n">
        <f aca="false">E300*(1+IF(F$3&lt;=$O$2,$D300,$D300-($D300-$I$292)*MIN(F$3-$O$2,$Q$2)/$Q$2))</f>
        <v>7891.29135131836</v>
      </c>
      <c r="G300" s="15" t="n">
        <f aca="false">F300*(1+IF(G$3&lt;=$O$2,$D300,$D300-($D300-$I$292)*MIN(G$3-$O$2,$Q$2)/$Q$2))</f>
        <v>7922.11670815945</v>
      </c>
      <c r="H300" s="15" t="n">
        <f aca="false">G300*(1+IF(H$3&lt;=$O$2,$D300,$D300-($D300-$I$292)*MIN(H$3-$O$2,$Q$2)/$Q$2))</f>
        <v>7953.0624765507</v>
      </c>
      <c r="I300" s="15" t="n">
        <f aca="false">H300*(1+IF(I$3&lt;=$O$2,$D300,$D300-($D300-$I$292)*MIN(I$3-$O$2,$Q$2)/$Q$2))</f>
        <v>7984.12912684972</v>
      </c>
      <c r="J300" s="15" t="n">
        <f aca="false">I300*(1+IF(J$3&lt;=$O$2,$D300,$D300-($D300-$I$292)*MIN(J$3-$O$2,$Q$2)/$Q$2))</f>
        <v>8070.2379594828</v>
      </c>
      <c r="K300" s="15" t="n">
        <f aca="false">J300*(1+IF(K$3&lt;=$O$2,$D300,$D300-($D300-$I$292)*MIN(K$3-$O$2,$Q$2)/$Q$2))</f>
        <v>8212.78862523961</v>
      </c>
      <c r="L300" s="15" t="n">
        <f aca="false">K300*(1+IF(L$3&lt;=$O$2,$D300,$D300-($D300-$I$292)*MIN(L$3-$O$2,$Q$2)/$Q$2))</f>
        <v>8414.35099007455</v>
      </c>
      <c r="M300" s="15" t="n">
        <f aca="false">L300*(1+IF(M$3&lt;=$O$2,$D300,$D300-($D300-$I$292)*MIN(M$3-$O$2,$Q$2)/$Q$2))</f>
        <v>8678.74041612143</v>
      </c>
      <c r="N300" s="15" t="n">
        <f aca="false">M300*(1+IF(N$3&lt;=$O$2,$D300,$D300-($D300-$I$292)*MIN(N$3-$O$2,$Q$2)/$Q$2))</f>
        <v>9011.13617405889</v>
      </c>
      <c r="O300" s="15" t="n">
        <f aca="false">SUMPRODUCT(E300:N300,1/(1+$F$292)^$E$3:$N$3)*$E$2</f>
        <v>15742.2341483023</v>
      </c>
      <c r="P300" s="15" t="n">
        <f aca="false">N300*$E$2*(1+$I$292)/($F$292-$I$292)/(1+$F$292)^$N$3</f>
        <v>32617.3263195585</v>
      </c>
      <c r="Q300" s="15" t="n">
        <f aca="false">O300+P300</f>
        <v>48359.5604678608</v>
      </c>
      <c r="R300" s="15" t="n">
        <f aca="false">Q300-$G$2+$I$2</f>
        <v>45842.5604678608</v>
      </c>
      <c r="S300" s="42" t="n">
        <f aca="false">R300/$K$2</f>
        <v>105.81819968575</v>
      </c>
      <c r="T300" s="43" t="n">
        <f aca="false">S300-$M$2</f>
        <v>0.559901361573253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-0.0078125</v>
      </c>
      <c r="C301" s="25" t="n">
        <f aca="false">IF(T300&gt;0,D300,C300)</f>
        <v>0.00390625</v>
      </c>
      <c r="D301" s="41" t="n">
        <f aca="false">(B301+C301)/2</f>
        <v>-0.001953125</v>
      </c>
      <c r="E301" s="15" t="n">
        <f aca="false">$C$2*(1+IF(E$3&lt;=$O$2,$D301,$D301-($D301-$I$292)*MIN(E$3-$O$2,$Q$2)/$Q$2))</f>
        <v>7814.70703125</v>
      </c>
      <c r="F301" s="15" t="n">
        <f aca="false">E301*(1+IF(F$3&lt;=$O$2,$D301,$D301-($D301-$I$292)*MIN(F$3-$O$2,$Q$2)/$Q$2))</f>
        <v>7799.44393157959</v>
      </c>
      <c r="G301" s="15" t="n">
        <f aca="false">F301*(1+IF(G$3&lt;=$O$2,$D301,$D301-($D301-$I$292)*MIN(G$3-$O$2,$Q$2)/$Q$2))</f>
        <v>7784.21064265072</v>
      </c>
      <c r="H301" s="15" t="n">
        <f aca="false">G301*(1+IF(H$3&lt;=$O$2,$D301,$D301-($D301-$I$292)*MIN(H$3-$O$2,$Q$2)/$Q$2))</f>
        <v>7769.0071062393</v>
      </c>
      <c r="I301" s="15" t="n">
        <f aca="false">H301*(1+IF(I$3&lt;=$O$2,$D301,$D301-($D301-$I$292)*MIN(I$3-$O$2,$Q$2)/$Q$2))</f>
        <v>7753.83326423492</v>
      </c>
      <c r="J301" s="15" t="n">
        <f aca="false">I301*(1+IF(J$3&lt;=$O$2,$D301,$D301-($D301-$I$292)*MIN(J$3-$O$2,$Q$2)/$Q$2))</f>
        <v>7801.1122625636</v>
      </c>
      <c r="K301" s="15" t="n">
        <f aca="false">J301*(1+IF(K$3&lt;=$O$2,$D301,$D301-($D301-$I$292)*MIN(K$3-$O$2,$Q$2)/$Q$2))</f>
        <v>7911.48337399338</v>
      </c>
      <c r="L301" s="15" t="n">
        <f aca="false">K301*(1+IF(L$3&lt;=$O$2,$D301,$D301-($D301-$I$292)*MIN(L$3-$O$2,$Q$2)/$Q$2))</f>
        <v>8087.10841554181</v>
      </c>
      <c r="M301" s="15" t="n">
        <f aca="false">L301*(1+IF(M$3&lt;=$O$2,$D301,$D301-($D301-$I$292)*MIN(M$3-$O$2,$Q$2)/$Q$2))</f>
        <v>8331.73839066919</v>
      </c>
      <c r="N301" s="15" t="n">
        <f aca="false">M301*(1+IF(N$3&lt;=$O$2,$D301,$D301-($D301-$I$292)*MIN(N$3-$O$2,$Q$2)/$Q$2))</f>
        <v>8650.84397103182</v>
      </c>
      <c r="O301" s="15" t="n">
        <f aca="false">SUMPRODUCT(E301:N301,1/(1+$F$292)^$E$3:$N$3)*$E$2</f>
        <v>15341.0306071061</v>
      </c>
      <c r="P301" s="15" t="n">
        <f aca="false">N301*$E$2*(1+$I$292)/($F$292-$I$292)/(1+$F$292)^$N$3</f>
        <v>31313.1879590311</v>
      </c>
      <c r="Q301" s="15" t="n">
        <f aca="false">O301+P301</f>
        <v>46654.2185661372</v>
      </c>
      <c r="R301" s="15" t="n">
        <f aca="false">Q301-$G$2+$I$2</f>
        <v>44137.2185661372</v>
      </c>
      <c r="S301" s="42" t="n">
        <f aca="false">R301/$K$2</f>
        <v>101.881765768287</v>
      </c>
      <c r="T301" s="43" t="n">
        <f aca="false">S301-$M$2</f>
        <v>-3.37653255589035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-0.001953125</v>
      </c>
      <c r="C302" s="25" t="n">
        <f aca="false">IF(T301&gt;0,D301,C301)</f>
        <v>0.00390625</v>
      </c>
      <c r="D302" s="41" t="n">
        <f aca="false">(B302+C302)/2</f>
        <v>0.0009765625</v>
      </c>
      <c r="E302" s="15" t="n">
        <f aca="false">$C$2*(1+IF(E$3&lt;=$O$2,$D302,$D302-($D302-$I$292)*MIN(E$3-$O$2,$Q$2)/$Q$2))</f>
        <v>7837.646484375</v>
      </c>
      <c r="F302" s="15" t="n">
        <f aca="false">E302*(1+IF(F$3&lt;=$O$2,$D302,$D302-($D302-$I$292)*MIN(F$3-$O$2,$Q$2)/$Q$2))</f>
        <v>7845.3004360199</v>
      </c>
      <c r="G302" s="15" t="n">
        <f aca="false">F302*(1+IF(G$3&lt;=$O$2,$D302,$D302-($D302-$I$292)*MIN(G$3-$O$2,$Q$2)/$Q$2))</f>
        <v>7852.96186222695</v>
      </c>
      <c r="H302" s="15" t="n">
        <f aca="false">G302*(1+IF(H$3&lt;=$O$2,$D302,$D302-($D302-$I$292)*MIN(H$3-$O$2,$Q$2)/$Q$2))</f>
        <v>7860.63077029553</v>
      </c>
      <c r="I302" s="15" t="n">
        <f aca="false">H302*(1+IF(I$3&lt;=$O$2,$D302,$D302-($D302-$I$292)*MIN(I$3-$O$2,$Q$2)/$Q$2))</f>
        <v>7868.30716753215</v>
      </c>
      <c r="J302" s="15" t="n">
        <f aca="false">I302*(1+IF(J$3&lt;=$O$2,$D302,$D302-($D302-$I$292)*MIN(J$3-$O$2,$Q$2)/$Q$2))</f>
        <v>7934.72551541008</v>
      </c>
      <c r="K302" s="15" t="n">
        <f aca="false">J302*(1+IF(K$3&lt;=$O$2,$D302,$D302-($D302-$I$292)*MIN(K$3-$O$2,$Q$2)/$Q$2))</f>
        <v>8060.93476353784</v>
      </c>
      <c r="L302" s="15" t="n">
        <f aca="false">K302*(1+IF(L$3&lt;=$O$2,$D302,$D302-($D302-$I$292)*MIN(L$3-$O$2,$Q$2)/$Q$2))</f>
        <v>8249.32384704595</v>
      </c>
      <c r="M302" s="15" t="n">
        <f aca="false">L302*(1+IF(M$3&lt;=$O$2,$D302,$D302-($D302-$I$292)*MIN(M$3-$O$2,$Q$2)/$Q$2))</f>
        <v>8503.69432578332</v>
      </c>
      <c r="N302" s="15" t="n">
        <f aca="false">M302*(1+IF(N$3&lt;=$O$2,$D302,$D302-($D302-$I$292)*MIN(N$3-$O$2,$Q$2)/$Q$2))</f>
        <v>8829.38581846082</v>
      </c>
      <c r="O302" s="15" t="n">
        <f aca="false">SUMPRODUCT(E302:N302,1/(1+$F$292)^$E$3:$N$3)*$E$2</f>
        <v>15540.311892569</v>
      </c>
      <c r="P302" s="15" t="n">
        <f aca="false">N302*$E$2*(1+$I$292)/($F$292-$I$292)/(1+$F$292)^$N$3</f>
        <v>31959.4502712191</v>
      </c>
      <c r="Q302" s="15" t="n">
        <f aca="false">O302+P302</f>
        <v>47499.7621637881</v>
      </c>
      <c r="R302" s="15" t="n">
        <f aca="false">Q302-$G$2+$I$2</f>
        <v>44982.7621637881</v>
      </c>
      <c r="S302" s="42" t="n">
        <f aca="false">R302/$K$2</f>
        <v>103.833530685998</v>
      </c>
      <c r="T302" s="43" t="n">
        <f aca="false">S302-$M$2</f>
        <v>-1.42476763817903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0.0009765625</v>
      </c>
      <c r="C303" s="25" t="n">
        <f aca="false">IF(T302&gt;0,D302,C302)</f>
        <v>0.00390625</v>
      </c>
      <c r="D303" s="41" t="n">
        <f aca="false">(B303+C303)/2</f>
        <v>0.00244140625</v>
      </c>
      <c r="E303" s="15" t="n">
        <f aca="false">$C$2*(1+IF(E$3&lt;=$O$2,$D303,$D303-($D303-$I$292)*MIN(E$3-$O$2,$Q$2)/$Q$2))</f>
        <v>7849.1162109375</v>
      </c>
      <c r="F303" s="15" t="n">
        <f aca="false">E303*(1+IF(F$3&lt;=$O$2,$D303,$D303-($D303-$I$292)*MIN(F$3-$O$2,$Q$2)/$Q$2))</f>
        <v>7868.27909231186</v>
      </c>
      <c r="G303" s="15" t="n">
        <f aca="false">F303*(1+IF(G$3&lt;=$O$2,$D303,$D303-($D303-$I$292)*MIN(G$3-$O$2,$Q$2)/$Q$2))</f>
        <v>7887.48875806457</v>
      </c>
      <c r="H303" s="15" t="n">
        <f aca="false">G303*(1+IF(H$3&lt;=$O$2,$D303,$D303-($D303-$I$292)*MIN(H$3-$O$2,$Q$2)/$Q$2))</f>
        <v>7906.74532241532</v>
      </c>
      <c r="I303" s="15" t="n">
        <f aca="false">H303*(1+IF(I$3&lt;=$O$2,$D303,$D303-($D303-$I$292)*MIN(I$3-$O$2,$Q$2)/$Q$2))</f>
        <v>7926.04889986262</v>
      </c>
      <c r="J303" s="15" t="n">
        <f aca="false">I303*(1+IF(J$3&lt;=$O$2,$D303,$D303-($D303-$I$292)*MIN(J$3-$O$2,$Q$2)/$Q$2))</f>
        <v>8002.24299869311</v>
      </c>
      <c r="K303" s="15" t="n">
        <f aca="false">J303*(1+IF(K$3&lt;=$O$2,$D303,$D303-($D303-$I$292)*MIN(K$3-$O$2,$Q$2)/$Q$2))</f>
        <v>8136.55939707571</v>
      </c>
      <c r="L303" s="15" t="n">
        <f aca="false">K303*(1+IF(L$3&lt;=$O$2,$D303,$D303-($D303-$I$292)*MIN(L$3-$O$2,$Q$2)/$Q$2))</f>
        <v>8331.48339080671</v>
      </c>
      <c r="M303" s="15" t="n">
        <f aca="false">L303*(1+IF(M$3&lt;=$O$2,$D303,$D303-($D303-$I$292)*MIN(M$3-$O$2,$Q$2)/$Q$2))</f>
        <v>8590.82814902545</v>
      </c>
      <c r="N303" s="15" t="n">
        <f aca="false">M303*(1+IF(N$3&lt;=$O$2,$D303,$D303-($D303-$I$292)*MIN(N$3-$O$2,$Q$2)/$Q$2))</f>
        <v>8919.85686713312</v>
      </c>
      <c r="O303" s="15" t="n">
        <f aca="false">SUMPRODUCT(E303:N303,1/(1+$F$292)^$E$3:$N$3)*$E$2</f>
        <v>15640.94084457</v>
      </c>
      <c r="P303" s="15" t="n">
        <f aca="false">N303*$E$2*(1+$I$292)/($F$292-$I$292)/(1+$F$292)^$N$3</f>
        <v>32286.9254818937</v>
      </c>
      <c r="Q303" s="15" t="n">
        <f aca="false">O303+P303</f>
        <v>47927.8663264637</v>
      </c>
      <c r="R303" s="15" t="n">
        <f aca="false">Q303-$G$2+$I$2</f>
        <v>45410.8663264637</v>
      </c>
      <c r="S303" s="42" t="n">
        <f aca="false">R303/$K$2</f>
        <v>104.821721819084</v>
      </c>
      <c r="T303" s="43" t="n">
        <f aca="false">S303-$M$2</f>
        <v>-0.436576505092901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0.00244140625</v>
      </c>
      <c r="C304" s="25" t="n">
        <f aca="false">IF(T303&gt;0,D303,C303)</f>
        <v>0.00390625</v>
      </c>
      <c r="D304" s="41" t="n">
        <f aca="false">(B304+C304)/2</f>
        <v>0.003173828125</v>
      </c>
      <c r="E304" s="15" t="n">
        <f aca="false">$C$2*(1+IF(E$3&lt;=$O$2,$D304,$D304-($D304-$I$292)*MIN(E$3-$O$2,$Q$2)/$Q$2))</f>
        <v>7854.85107421875</v>
      </c>
      <c r="F304" s="15" t="n">
        <f aca="false">E304*(1+IF(F$3&lt;=$O$2,$D304,$D304-($D304-$I$292)*MIN(F$3-$O$2,$Q$2)/$Q$2))</f>
        <v>7879.78102147579</v>
      </c>
      <c r="G304" s="15" t="n">
        <f aca="false">F304*(1+IF(G$3&lt;=$O$2,$D304,$D304-($D304-$I$292)*MIN(G$3-$O$2,$Q$2)/$Q$2))</f>
        <v>7904.79009210059</v>
      </c>
      <c r="H304" s="15" t="n">
        <f aca="false">G304*(1+IF(H$3&lt;=$O$2,$D304,$D304-($D304-$I$292)*MIN(H$3-$O$2,$Q$2)/$Q$2))</f>
        <v>7929.87853721712</v>
      </c>
      <c r="I304" s="15" t="n">
        <f aca="false">H304*(1+IF(I$3&lt;=$O$2,$D304,$D304-($D304-$I$292)*MIN(I$3-$O$2,$Q$2)/$Q$2))</f>
        <v>7955.04660874638</v>
      </c>
      <c r="J304" s="15" t="n">
        <f aca="false">I304*(1+IF(J$3&lt;=$O$2,$D304,$D304-($D304-$I$292)*MIN(J$3-$O$2,$Q$2)/$Q$2))</f>
        <v>8036.18062629939</v>
      </c>
      <c r="K304" s="15" t="n">
        <f aca="false">J304*(1+IF(K$3&lt;=$O$2,$D304,$D304-($D304-$I$292)*MIN(K$3-$O$2,$Q$2)/$Q$2))</f>
        <v>8174.5981871479</v>
      </c>
      <c r="L304" s="15" t="n">
        <f aca="false">K304*(1+IF(L$3&lt;=$O$2,$D304,$D304-($D304-$I$292)*MIN(L$3-$O$2,$Q$2)/$Q$2))</f>
        <v>8372.82836134333</v>
      </c>
      <c r="M304" s="15" t="n">
        <f aca="false">L304*(1+IF(M$3&lt;=$O$2,$D304,$D304-($D304-$I$292)*MIN(M$3-$O$2,$Q$2)/$Q$2))</f>
        <v>8634.6866059627</v>
      </c>
      <c r="N304" s="15" t="n">
        <f aca="false">M304*(1+IF(N$3&lt;=$O$2,$D304,$D304-($D304-$I$292)*MIN(N$3-$O$2,$Q$2)/$Q$2))</f>
        <v>8965.39510297107</v>
      </c>
      <c r="O304" s="15" t="n">
        <f aca="false">SUMPRODUCT(E304:N304,1/(1+$F$292)^$E$3:$N$3)*$E$2</f>
        <v>15691.5041944281</v>
      </c>
      <c r="P304" s="15" t="n">
        <f aca="false">N304*$E$2*(1+$I$292)/($F$292-$I$292)/(1+$F$292)^$N$3</f>
        <v>32451.7588025375</v>
      </c>
      <c r="Q304" s="15" t="n">
        <f aca="false">O304+P304</f>
        <v>48143.2629969656</v>
      </c>
      <c r="R304" s="15" t="n">
        <f aca="false">Q304-$G$2+$I$2</f>
        <v>45626.2629969656</v>
      </c>
      <c r="S304" s="42" t="n">
        <f aca="false">R304/$K$2</f>
        <v>105.318921095438</v>
      </c>
      <c r="T304" s="43" t="n">
        <f aca="false">S304-$M$2</f>
        <v>0.0606227712607392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0.00244140625</v>
      </c>
      <c r="C305" s="25" t="n">
        <f aca="false">IF(T304&gt;0,D304,C304)</f>
        <v>0.003173828125</v>
      </c>
      <c r="D305" s="41" t="n">
        <f aca="false">(B305+C305)/2</f>
        <v>0.0028076171875</v>
      </c>
      <c r="E305" s="15" t="n">
        <f aca="false">$C$2*(1+IF(E$3&lt;=$O$2,$D305,$D305-($D305-$I$292)*MIN(E$3-$O$2,$Q$2)/$Q$2))</f>
        <v>7851.98364257813</v>
      </c>
      <c r="F305" s="15" t="n">
        <f aca="false">E305*(1+IF(F$3&lt;=$O$2,$D305,$D305-($D305-$I$292)*MIN(F$3-$O$2,$Q$2)/$Q$2))</f>
        <v>7874.029006809</v>
      </c>
      <c r="G305" s="15" t="n">
        <f aca="false">F305*(1+IF(G$3&lt;=$O$2,$D305,$D305-($D305-$I$292)*MIN(G$3-$O$2,$Q$2)/$Q$2))</f>
        <v>7896.13626598339</v>
      </c>
      <c r="H305" s="15" t="n">
        <f aca="false">G305*(1+IF(H$3&lt;=$O$2,$D305,$D305-($D305-$I$292)*MIN(H$3-$O$2,$Q$2)/$Q$2))</f>
        <v>7918.3055938786</v>
      </c>
      <c r="I305" s="15" t="n">
        <f aca="false">H305*(1+IF(I$3&lt;=$O$2,$D305,$D305-($D305-$I$292)*MIN(I$3-$O$2,$Q$2)/$Q$2))</f>
        <v>7940.53716475986</v>
      </c>
      <c r="J305" s="15" t="n">
        <f aca="false">I305*(1+IF(J$3&lt;=$O$2,$D305,$D305-($D305-$I$292)*MIN(J$3-$O$2,$Q$2)/$Q$2))</f>
        <v>8019.19687033933</v>
      </c>
      <c r="K305" s="15" t="n">
        <f aca="false">J305*(1+IF(K$3&lt;=$O$2,$D305,$D305-($D305-$I$292)*MIN(K$3-$O$2,$Q$2)/$Q$2))</f>
        <v>8155.55986737079</v>
      </c>
      <c r="L305" s="15" t="n">
        <f aca="false">K305*(1+IF(L$3&lt;=$O$2,$D305,$D305-($D305-$I$292)*MIN(L$3-$O$2,$Q$2)/$Q$2))</f>
        <v>8352.1337091459</v>
      </c>
      <c r="M305" s="15" t="n">
        <f aca="false">L305*(1+IF(M$3&lt;=$O$2,$D305,$D305-($D305-$I$292)*MIN(M$3-$O$2,$Q$2)/$Q$2))</f>
        <v>8612.73300482495</v>
      </c>
      <c r="N305" s="15" t="n">
        <f aca="false">M305*(1+IF(N$3&lt;=$O$2,$D305,$D305-($D305-$I$292)*MIN(N$3-$O$2,$Q$2)/$Q$2))</f>
        <v>8942.60067890974</v>
      </c>
      <c r="O305" s="15" t="n">
        <f aca="false">SUMPRODUCT(E305:N305,1/(1+$F$292)^$E$3:$N$3)*$E$2</f>
        <v>15666.2017263068</v>
      </c>
      <c r="P305" s="15" t="n">
        <f aca="false">N305*$E$2*(1+$I$292)/($F$292-$I$292)/(1+$F$292)^$N$3</f>
        <v>32369.2505423677</v>
      </c>
      <c r="Q305" s="15" t="n">
        <f aca="false">O305+P305</f>
        <v>48035.4522686745</v>
      </c>
      <c r="R305" s="15" t="n">
        <f aca="false">Q305-$G$2+$I$2</f>
        <v>45518.4522686745</v>
      </c>
      <c r="S305" s="42" t="n">
        <f aca="false">R305/$K$2</f>
        <v>105.070062020854</v>
      </c>
      <c r="T305" s="43" t="n">
        <f aca="false">S305-$M$2</f>
        <v>-0.188236303322853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0.0028076171875</v>
      </c>
      <c r="C306" s="25" t="n">
        <f aca="false">IF(T305&gt;0,D305,C305)</f>
        <v>0.003173828125</v>
      </c>
      <c r="D306" s="41" t="n">
        <f aca="false">(B306+C306)/2</f>
        <v>0.00299072265625</v>
      </c>
      <c r="E306" s="15" t="n">
        <f aca="false">$C$2*(1+IF(E$3&lt;=$O$2,$D306,$D306-($D306-$I$292)*MIN(E$3-$O$2,$Q$2)/$Q$2))</f>
        <v>7853.41735839844</v>
      </c>
      <c r="F306" s="15" t="n">
        <f aca="false">E306*(1+IF(F$3&lt;=$O$2,$D306,$D306-($D306-$I$292)*MIN(F$3-$O$2,$Q$2)/$Q$2))</f>
        <v>7876.90475162119</v>
      </c>
      <c r="G306" s="15" t="n">
        <f aca="false">F306*(1+IF(G$3&lt;=$O$2,$D306,$D306-($D306-$I$292)*MIN(G$3-$O$2,$Q$2)/$Q$2))</f>
        <v>7900.46238912298</v>
      </c>
      <c r="H306" s="15" t="n">
        <f aca="false">G306*(1+IF(H$3&lt;=$O$2,$D306,$D306-($D306-$I$292)*MIN(H$3-$O$2,$Q$2)/$Q$2))</f>
        <v>7924.09048098499</v>
      </c>
      <c r="I306" s="15" t="n">
        <f aca="false">H306*(1+IF(I$3&lt;=$O$2,$D306,$D306-($D306-$I$292)*MIN(I$3-$O$2,$Q$2)/$Q$2))</f>
        <v>7947.78923791664</v>
      </c>
      <c r="J306" s="15" t="n">
        <f aca="false">I306*(1+IF(J$3&lt;=$O$2,$D306,$D306-($D306-$I$292)*MIN(J$3-$O$2,$Q$2)/$Q$2))</f>
        <v>8027.68501015183</v>
      </c>
      <c r="K306" s="15" t="n">
        <f aca="false">J306*(1+IF(K$3&lt;=$O$2,$D306,$D306-($D306-$I$292)*MIN(K$3-$O$2,$Q$2)/$Q$2))</f>
        <v>8165.07429216962</v>
      </c>
      <c r="L306" s="15" t="n">
        <f aca="false">K306*(1+IF(L$3&lt;=$O$2,$D306,$D306-($D306-$I$292)*MIN(L$3-$O$2,$Q$2)/$Q$2))</f>
        <v>8362.4754884739</v>
      </c>
      <c r="M306" s="15" t="n">
        <f aca="false">L306*(1+IF(M$3&lt;=$O$2,$D306,$D306-($D306-$I$292)*MIN(M$3-$O$2,$Q$2)/$Q$2))</f>
        <v>8623.70370642188</v>
      </c>
      <c r="N306" s="15" t="n">
        <f aca="false">M306*(1+IF(N$3&lt;=$O$2,$D306,$D306-($D306-$I$292)*MIN(N$3-$O$2,$Q$2)/$Q$2))</f>
        <v>8953.99155837784</v>
      </c>
      <c r="O306" s="15" t="n">
        <f aca="false">SUMPRODUCT(E306:N306,1/(1+$F$292)^$E$3:$N$3)*$E$2</f>
        <v>15678.8477580341</v>
      </c>
      <c r="P306" s="15" t="n">
        <f aca="false">N306*$E$2*(1+$I$292)/($F$292-$I$292)/(1+$F$292)^$N$3</f>
        <v>32410.4817506749</v>
      </c>
      <c r="Q306" s="15" t="n">
        <f aca="false">O306+P306</f>
        <v>48089.329508709</v>
      </c>
      <c r="R306" s="15" t="n">
        <f aca="false">Q306-$G$2+$I$2</f>
        <v>45572.329508709</v>
      </c>
      <c r="S306" s="42" t="n">
        <f aca="false">R306/$K$2</f>
        <v>105.194426639373</v>
      </c>
      <c r="T306" s="43" t="n">
        <f aca="false">S306-$M$2</f>
        <v>-0.0638716848044538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0.00299072265625</v>
      </c>
      <c r="C307" s="25" t="n">
        <f aca="false">IF(T306&gt;0,D306,C306)</f>
        <v>0.003173828125</v>
      </c>
      <c r="D307" s="41" t="n">
        <f aca="false">(B307+C307)/2</f>
        <v>0.003082275390625</v>
      </c>
      <c r="E307" s="15" t="n">
        <f aca="false">$C$2*(1+IF(E$3&lt;=$O$2,$D307,$D307-($D307-$I$292)*MIN(E$3-$O$2,$Q$2)/$Q$2))</f>
        <v>7854.13421630859</v>
      </c>
      <c r="F307" s="15" t="n">
        <f aca="false">E307*(1+IF(F$3&lt;=$O$2,$D307,$D307-($D307-$I$292)*MIN(F$3-$O$2,$Q$2)/$Q$2))</f>
        <v>7878.34282091819</v>
      </c>
      <c r="G307" s="15" t="n">
        <f aca="false">F307*(1+IF(G$3&lt;=$O$2,$D307,$D307-($D307-$I$292)*MIN(G$3-$O$2,$Q$2)/$Q$2))</f>
        <v>7902.62604311401</v>
      </c>
      <c r="H307" s="15" t="n">
        <f aca="false">G307*(1+IF(H$3&lt;=$O$2,$D307,$D307-($D307-$I$292)*MIN(H$3-$O$2,$Q$2)/$Q$2))</f>
        <v>7926.98411288801</v>
      </c>
      <c r="I307" s="15" t="n">
        <f aca="false">H307*(1+IF(I$3&lt;=$O$2,$D307,$D307-($D307-$I$292)*MIN(I$3-$O$2,$Q$2)/$Q$2))</f>
        <v>7951.41726094104</v>
      </c>
      <c r="J307" s="15" t="n">
        <f aca="false">I307*(1+IF(J$3&lt;=$O$2,$D307,$D307-($D307-$I$292)*MIN(J$3-$O$2,$Q$2)/$Q$2))</f>
        <v>8031.93188335504</v>
      </c>
      <c r="K307" s="15" t="n">
        <f aca="false">J307*(1+IF(K$3&lt;=$O$2,$D307,$D307-($D307-$I$292)*MIN(K$3-$O$2,$Q$2)/$Q$2))</f>
        <v>8169.83505539799</v>
      </c>
      <c r="L307" s="15" t="n">
        <f aca="false">K307*(1+IF(L$3&lt;=$O$2,$D307,$D307-($D307-$I$292)*MIN(L$3-$O$2,$Q$2)/$Q$2))</f>
        <v>8367.65053758572</v>
      </c>
      <c r="M307" s="15" t="n">
        <f aca="false">L307*(1+IF(M$3&lt;=$O$2,$D307,$D307-($D307-$I$292)*MIN(M$3-$O$2,$Q$2)/$Q$2))</f>
        <v>8629.19363072322</v>
      </c>
      <c r="N307" s="15" t="n">
        <f aca="false">M307*(1+IF(N$3&lt;=$O$2,$D307,$D307-($D307-$I$292)*MIN(N$3-$O$2,$Q$2)/$Q$2))</f>
        <v>8959.69174677992</v>
      </c>
      <c r="O307" s="15" t="n">
        <f aca="false">SUMPRODUCT(E307:N307,1/(1+$F$292)^$E$3:$N$3)*$E$2</f>
        <v>15685.1746751431</v>
      </c>
      <c r="P307" s="15" t="n">
        <f aca="false">N307*$E$2*(1+$I$292)/($F$292-$I$292)/(1+$F$292)^$N$3</f>
        <v>32431.1145434329</v>
      </c>
      <c r="Q307" s="15" t="n">
        <f aca="false">O307+P307</f>
        <v>48116.289218576</v>
      </c>
      <c r="R307" s="15" t="n">
        <f aca="false">Q307-$G$2+$I$2</f>
        <v>45599.289218576</v>
      </c>
      <c r="S307" s="42" t="n">
        <f aca="false">R307/$K$2</f>
        <v>105.256657630248</v>
      </c>
      <c r="T307" s="43" t="n">
        <f aca="false">S307-$M$2</f>
        <v>-0.0016406939292466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0.003082275390625</v>
      </c>
      <c r="C308" s="25" t="n">
        <f aca="false">IF(T307&gt;0,D307,C307)</f>
        <v>0.003173828125</v>
      </c>
      <c r="D308" s="41" t="n">
        <f aca="false">(B308+C308)/2</f>
        <v>0.0031280517578125</v>
      </c>
      <c r="E308" s="15" t="n">
        <f aca="false">$C$2*(1+IF(E$3&lt;=$O$2,$D308,$D308-($D308-$I$292)*MIN(E$3-$O$2,$Q$2)/$Q$2))</f>
        <v>7854.49264526367</v>
      </c>
      <c r="F308" s="15" t="n">
        <f aca="false">E308*(1+IF(F$3&lt;=$O$2,$D308,$D308-($D308-$I$292)*MIN(F$3-$O$2,$Q$2)/$Q$2))</f>
        <v>7879.06190478941</v>
      </c>
      <c r="G308" s="15" t="n">
        <f aca="false">F308*(1+IF(G$3&lt;=$O$2,$D308,$D308-($D308-$I$292)*MIN(G$3-$O$2,$Q$2)/$Q$2))</f>
        <v>7903.7080182306</v>
      </c>
      <c r="H308" s="15" t="n">
        <f aca="false">G308*(1+IF(H$3&lt;=$O$2,$D308,$D308-($D308-$I$292)*MIN(H$3-$O$2,$Q$2)/$Q$2))</f>
        <v>7928.43122599027</v>
      </c>
      <c r="I308" s="15" t="n">
        <f aca="false">H308*(1+IF(I$3&lt;=$O$2,$D308,$D308-($D308-$I$292)*MIN(I$3-$O$2,$Q$2)/$Q$2))</f>
        <v>7953.23176922342</v>
      </c>
      <c r="J308" s="15" t="n">
        <f aca="false">I308*(1+IF(J$3&lt;=$O$2,$D308,$D308-($D308-$I$292)*MIN(J$3-$O$2,$Q$2)/$Q$2))</f>
        <v>8034.05602106848</v>
      </c>
      <c r="K308" s="15" t="n">
        <f aca="false">J308*(1+IF(K$3&lt;=$O$2,$D308,$D308-($D308-$I$292)*MIN(K$3-$O$2,$Q$2)/$Q$2))</f>
        <v>8172.21632514669</v>
      </c>
      <c r="L308" s="15" t="n">
        <f aca="false">K308*(1+IF(L$3&lt;=$O$2,$D308,$D308-($D308-$I$292)*MIN(L$3-$O$2,$Q$2)/$Q$2))</f>
        <v>8370.239102555</v>
      </c>
      <c r="M308" s="15" t="n">
        <f aca="false">L308*(1+IF(M$3&lt;=$O$2,$D308,$D308-($D308-$I$292)*MIN(M$3-$O$2,$Q$2)/$Q$2))</f>
        <v>8631.9397368849</v>
      </c>
      <c r="N308" s="15" t="n">
        <f aca="false">M308*(1+IF(N$3&lt;=$O$2,$D308,$D308-($D308-$I$292)*MIN(N$3-$O$2,$Q$2)/$Q$2))</f>
        <v>8962.54302880759</v>
      </c>
      <c r="O308" s="15" t="n">
        <f aca="false">SUMPRODUCT(E308:N308,1/(1+$F$292)^$E$3:$N$3)*$E$2</f>
        <v>15688.3391094505</v>
      </c>
      <c r="P308" s="15" t="n">
        <f aca="false">N308*$E$2*(1+$I$292)/($F$292-$I$292)/(1+$F$292)^$N$3</f>
        <v>32441.4352393506</v>
      </c>
      <c r="Q308" s="15" t="n">
        <f aca="false">O308+P308</f>
        <v>48129.7743488011</v>
      </c>
      <c r="R308" s="15" t="n">
        <f aca="false">Q308-$G$2+$I$2</f>
        <v>45612.7743488011</v>
      </c>
      <c r="S308" s="42" t="n">
        <f aca="false">R308/$K$2</f>
        <v>105.28778530262</v>
      </c>
      <c r="T308" s="43" t="n">
        <f aca="false">S308-$M$2</f>
        <v>0.0294869784430603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0.003082275390625</v>
      </c>
      <c r="C309" s="25" t="n">
        <f aca="false">IF(T308&gt;0,D308,C308)</f>
        <v>0.0031280517578125</v>
      </c>
      <c r="D309" s="41" t="n">
        <f aca="false">(B309+C309)/2</f>
        <v>0.00310516357421875</v>
      </c>
      <c r="E309" s="15" t="n">
        <f aca="false">$C$2*(1+IF(E$3&lt;=$O$2,$D309,$D309-($D309-$I$292)*MIN(E$3-$O$2,$Q$2)/$Q$2))</f>
        <v>7854.31343078613</v>
      </c>
      <c r="F309" s="15" t="n">
        <f aca="false">E309*(1+IF(F$3&lt;=$O$2,$D309,$D309-($D309-$I$292)*MIN(F$3-$O$2,$Q$2)/$Q$2))</f>
        <v>7878.70235875191</v>
      </c>
      <c r="G309" s="15" t="n">
        <f aca="false">F309*(1+IF(G$3&lt;=$O$2,$D309,$D309-($D309-$I$292)*MIN(G$3-$O$2,$Q$2)/$Q$2))</f>
        <v>7903.16701832842</v>
      </c>
      <c r="H309" s="15" t="n">
        <f aca="false">G309*(1+IF(H$3&lt;=$O$2,$D309,$D309-($D309-$I$292)*MIN(H$3-$O$2,$Q$2)/$Q$2))</f>
        <v>7927.7076446747</v>
      </c>
      <c r="I309" s="15" t="n">
        <f aca="false">H309*(1+IF(I$3&lt;=$O$2,$D309,$D309-($D309-$I$292)*MIN(I$3-$O$2,$Q$2)/$Q$2))</f>
        <v>7952.32447367999</v>
      </c>
      <c r="J309" s="15" t="n">
        <f aca="false">I309*(1+IF(J$3&lt;=$O$2,$D309,$D309-($D309-$I$292)*MIN(J$3-$O$2,$Q$2)/$Q$2))</f>
        <v>8032.99389377722</v>
      </c>
      <c r="K309" s="15" t="n">
        <f aca="false">J309*(1+IF(K$3&lt;=$O$2,$D309,$D309-($D309-$I$292)*MIN(K$3-$O$2,$Q$2)/$Q$2))</f>
        <v>8171.02561624841</v>
      </c>
      <c r="L309" s="15" t="n">
        <f aca="false">K309*(1+IF(L$3&lt;=$O$2,$D309,$D309-($D309-$I$292)*MIN(L$3-$O$2,$Q$2)/$Q$2))</f>
        <v>8368.94473335283</v>
      </c>
      <c r="M309" s="15" t="n">
        <f aca="false">L309*(1+IF(M$3&lt;=$O$2,$D309,$D309-($D309-$I$292)*MIN(M$3-$O$2,$Q$2)/$Q$2))</f>
        <v>8630.56658845089</v>
      </c>
      <c r="N309" s="15" t="n">
        <f aca="false">M309*(1+IF(N$3&lt;=$O$2,$D309,$D309-($D309-$I$292)*MIN(N$3-$O$2,$Q$2)/$Q$2))</f>
        <v>8961.11728878856</v>
      </c>
      <c r="O309" s="15" t="n">
        <f aca="false">SUMPRODUCT(E309:N309,1/(1+$F$292)^$E$3:$N$3)*$E$2</f>
        <v>15686.7568109709</v>
      </c>
      <c r="P309" s="15" t="n">
        <f aca="false">N309*$E$2*(1+$I$292)/($F$292-$I$292)/(1+$F$292)^$N$3</f>
        <v>32436.2745330258</v>
      </c>
      <c r="Q309" s="15" t="n">
        <f aca="false">O309+P309</f>
        <v>48123.0313439967</v>
      </c>
      <c r="R309" s="15" t="n">
        <f aca="false">Q309-$G$2+$I$2</f>
        <v>45606.0313439967</v>
      </c>
      <c r="S309" s="42" t="n">
        <f aca="false">R309/$K$2</f>
        <v>105.272220451495</v>
      </c>
      <c r="T309" s="43" t="n">
        <f aca="false">S309-$M$2</f>
        <v>0.0139221273179402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0.003082275390625</v>
      </c>
      <c r="C310" s="25" t="n">
        <f aca="false">IF(T309&gt;0,D309,C309)</f>
        <v>0.00310516357421875</v>
      </c>
      <c r="D310" s="41" t="n">
        <f aca="false">(B310+C310)/2</f>
        <v>0.00309371948242188</v>
      </c>
      <c r="E310" s="15" t="n">
        <f aca="false">$C$2*(1+IF(E$3&lt;=$O$2,$D310,$D310-($D310-$I$292)*MIN(E$3-$O$2,$Q$2)/$Q$2))</f>
        <v>7854.22382354736</v>
      </c>
      <c r="F310" s="15" t="n">
        <f aca="false">E310*(1+IF(F$3&lt;=$O$2,$D310,$D310-($D310-$I$292)*MIN(F$3-$O$2,$Q$2)/$Q$2))</f>
        <v>7878.52258880957</v>
      </c>
      <c r="G310" s="15" t="n">
        <f aca="false">F310*(1+IF(G$3&lt;=$O$2,$D310,$D310-($D310-$I$292)*MIN(G$3-$O$2,$Q$2)/$Q$2))</f>
        <v>7902.89652763528</v>
      </c>
      <c r="H310" s="15" t="n">
        <f aca="false">G310*(1+IF(H$3&lt;=$O$2,$D310,$D310-($D310-$I$292)*MIN(H$3-$O$2,$Q$2)/$Q$2))</f>
        <v>7927.34587259038</v>
      </c>
      <c r="I310" s="15" t="n">
        <f aca="false">H310*(1+IF(I$3&lt;=$O$2,$D310,$D310-($D310-$I$292)*MIN(I$3-$O$2,$Q$2)/$Q$2))</f>
        <v>7951.87085696031</v>
      </c>
      <c r="J310" s="15" t="n">
        <f aca="false">I310*(1+IF(J$3&lt;=$O$2,$D310,$D310-($D310-$I$292)*MIN(J$3-$O$2,$Q$2)/$Q$2))</f>
        <v>8032.46287395813</v>
      </c>
      <c r="K310" s="15" t="n">
        <f aca="false">J310*(1+IF(K$3&lt;=$O$2,$D310,$D310-($D310-$I$292)*MIN(K$3-$O$2,$Q$2)/$Q$2))</f>
        <v>8170.43031731817</v>
      </c>
      <c r="L310" s="15" t="n">
        <f aca="false">K310*(1+IF(L$3&lt;=$O$2,$D310,$D310-($D310-$I$292)*MIN(L$3-$O$2,$Q$2)/$Q$2))</f>
        <v>8368.29761379112</v>
      </c>
      <c r="M310" s="15" t="n">
        <f aca="false">L310*(1+IF(M$3&lt;=$O$2,$D310,$D310-($D310-$I$292)*MIN(M$3-$O$2,$Q$2)/$Q$2))</f>
        <v>8629.88008575018</v>
      </c>
      <c r="N310" s="15" t="n">
        <f aca="false">M310*(1+IF(N$3&lt;=$O$2,$D310,$D310-($D310-$I$292)*MIN(N$3-$O$2,$Q$2)/$Q$2))</f>
        <v>8960.40449303441</v>
      </c>
      <c r="O310" s="15" t="n">
        <f aca="false">SUMPRODUCT(E310:N310,1/(1+$F$292)^$E$3:$N$3)*$E$2</f>
        <v>15685.9657227265</v>
      </c>
      <c r="P310" s="15" t="n">
        <f aca="false">N310*$E$2*(1+$I$292)/($F$292-$I$292)/(1+$F$292)^$N$3</f>
        <v>32433.6944486432</v>
      </c>
      <c r="Q310" s="15" t="n">
        <f aca="false">O310+P310</f>
        <v>48119.6601713697</v>
      </c>
      <c r="R310" s="15" t="n">
        <f aca="false">Q310-$G$2+$I$2</f>
        <v>45602.6601713697</v>
      </c>
      <c r="S310" s="42" t="n">
        <f aca="false">R310/$K$2</f>
        <v>105.264438787151</v>
      </c>
      <c r="T310" s="43" t="n">
        <f aca="false">S310-$M$2</f>
        <v>0.00614046297417303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0.003082275390625</v>
      </c>
      <c r="C311" s="25" t="n">
        <f aca="false">IF(T310&gt;0,D310,C310)</f>
        <v>0.00309371948242188</v>
      </c>
      <c r="D311" s="41" t="n">
        <f aca="false">(B311+C311)/2</f>
        <v>0.00308799743652344</v>
      </c>
      <c r="E311" s="15" t="n">
        <f aca="false">$C$2*(1+IF(E$3&lt;=$O$2,$D311,$D311-($D311-$I$292)*MIN(E$3-$O$2,$Q$2)/$Q$2))</f>
        <v>7854.17901992798</v>
      </c>
      <c r="F311" s="15" t="n">
        <f aca="false">E311*(1+IF(F$3&lt;=$O$2,$D311,$D311-($D311-$I$292)*MIN(F$3-$O$2,$Q$2)/$Q$2))</f>
        <v>7878.43270460751</v>
      </c>
      <c r="G311" s="15" t="n">
        <f aca="false">F311*(1+IF(G$3&lt;=$O$2,$D311,$D311-($D311-$I$292)*MIN(G$3-$O$2,$Q$2)/$Q$2))</f>
        <v>7902.76128460316</v>
      </c>
      <c r="H311" s="15" t="n">
        <f aca="false">G311*(1+IF(H$3&lt;=$O$2,$D311,$D311-($D311-$I$292)*MIN(H$3-$O$2,$Q$2)/$Q$2))</f>
        <v>7927.16499119147</v>
      </c>
      <c r="I311" s="15" t="n">
        <f aca="false">H311*(1+IF(I$3&lt;=$O$2,$D311,$D311-($D311-$I$292)*MIN(I$3-$O$2,$Q$2)/$Q$2))</f>
        <v>7951.64405636317</v>
      </c>
      <c r="J311" s="15" t="n">
        <f aca="false">I311*(1+IF(J$3&lt;=$O$2,$D311,$D311-($D311-$I$292)*MIN(J$3-$O$2,$Q$2)/$Q$2))</f>
        <v>8032.19737500467</v>
      </c>
      <c r="K311" s="15" t="n">
        <f aca="false">J311*(1+IF(K$3&lt;=$O$2,$D311,$D311-($D311-$I$292)*MIN(K$3-$O$2,$Q$2)/$Q$2))</f>
        <v>8170.13268173194</v>
      </c>
      <c r="L311" s="15" t="n">
        <f aca="false">K311*(1+IF(L$3&lt;=$O$2,$D311,$D311-($D311-$I$292)*MIN(L$3-$O$2,$Q$2)/$Q$2))</f>
        <v>8367.97407026904</v>
      </c>
      <c r="M311" s="15" t="n">
        <f aca="false">L311*(1+IF(M$3&lt;=$O$2,$D311,$D311-($D311-$I$292)*MIN(M$3-$O$2,$Q$2)/$Q$2))</f>
        <v>8629.53685227766</v>
      </c>
      <c r="N311" s="15" t="n">
        <f aca="false">M311*(1+IF(N$3&lt;=$O$2,$D311,$D311-($D311-$I$292)*MIN(N$3-$O$2,$Q$2)/$Q$2))</f>
        <v>8960.04811371989</v>
      </c>
      <c r="O311" s="15" t="n">
        <f aca="false">SUMPRODUCT(E311:N311,1/(1+$F$292)^$E$3:$N$3)*$E$2</f>
        <v>15685.5701938523</v>
      </c>
      <c r="P311" s="15" t="n">
        <f aca="false">N311*$E$2*(1+$I$292)/($F$292-$I$292)/(1+$F$292)^$N$3</f>
        <v>32432.4044736422</v>
      </c>
      <c r="Q311" s="15" t="n">
        <f aca="false">O311+P311</f>
        <v>48117.9746674945</v>
      </c>
      <c r="R311" s="15" t="n">
        <f aca="false">Q311-$G$2+$I$2</f>
        <v>45600.9746674945</v>
      </c>
      <c r="S311" s="42" t="n">
        <f aca="false">R311/$K$2</f>
        <v>105.260548145271</v>
      </c>
      <c r="T311" s="43" t="n">
        <f aca="false">S311-$M$2</f>
        <v>0.00224982109422456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0.003082275390625</v>
      </c>
      <c r="C312" s="25" t="n">
        <f aca="false">IF(T311&gt;0,D311,C311)</f>
        <v>0.00308799743652344</v>
      </c>
      <c r="D312" s="41" t="n">
        <f aca="false">(B312+C312)/2</f>
        <v>0.00308513641357422</v>
      </c>
      <c r="E312" s="15" t="n">
        <f aca="false">$C$2*(1+IF(E$3&lt;=$O$2,$D312,$D312-($D312-$I$292)*MIN(E$3-$O$2,$Q$2)/$Q$2))</f>
        <v>7854.15661811829</v>
      </c>
      <c r="F312" s="15" t="n">
        <f aca="false">E312*(1+IF(F$3&lt;=$O$2,$D312,$D312-($D312-$I$292)*MIN(F$3-$O$2,$Q$2)/$Q$2))</f>
        <v>7878.38776269876</v>
      </c>
      <c r="G312" s="15" t="n">
        <f aca="false">F312*(1+IF(G$3&lt;=$O$2,$D312,$D312-($D312-$I$292)*MIN(G$3-$O$2,$Q$2)/$Q$2))</f>
        <v>7902.69366366572</v>
      </c>
      <c r="H312" s="15" t="n">
        <f aca="false">G312*(1+IF(H$3&lt;=$O$2,$D312,$D312-($D312-$I$292)*MIN(H$3-$O$2,$Q$2)/$Q$2))</f>
        <v>7927.07455165282</v>
      </c>
      <c r="I312" s="15" t="n">
        <f aca="false">H312*(1+IF(I$3&lt;=$O$2,$D312,$D312-($D312-$I$292)*MIN(I$3-$O$2,$Q$2)/$Q$2))</f>
        <v>7951.53065800524</v>
      </c>
      <c r="J312" s="15" t="n">
        <f aca="false">I312*(1+IF(J$3&lt;=$O$2,$D312,$D312-($D312-$I$292)*MIN(J$3-$O$2,$Q$2)/$Q$2))</f>
        <v>8032.06462826689</v>
      </c>
      <c r="K312" s="15" t="n">
        <f aca="false">J312*(1+IF(K$3&lt;=$O$2,$D312,$D312-($D312-$I$292)*MIN(K$3-$O$2,$Q$2)/$Q$2))</f>
        <v>8169.98386740845</v>
      </c>
      <c r="L312" s="15" t="n">
        <f aca="false">K312*(1+IF(L$3&lt;=$O$2,$D312,$D312-($D312-$I$292)*MIN(L$3-$O$2,$Q$2)/$Q$2))</f>
        <v>8367.81230257255</v>
      </c>
      <c r="M312" s="15" t="n">
        <f aca="false">L312*(1+IF(M$3&lt;=$O$2,$D312,$D312-($D312-$I$292)*MIN(M$3-$O$2,$Q$2)/$Q$2))</f>
        <v>8629.3652400107</v>
      </c>
      <c r="N312" s="15" t="n">
        <f aca="false">M312*(1+IF(N$3&lt;=$O$2,$D312,$D312-($D312-$I$292)*MIN(N$3-$O$2,$Q$2)/$Q$2))</f>
        <v>8959.86992870311</v>
      </c>
      <c r="O312" s="15" t="n">
        <f aca="false">SUMPRODUCT(E312:N312,1/(1+$F$292)^$E$3:$N$3)*$E$2</f>
        <v>15685.3724332271</v>
      </c>
      <c r="P312" s="15" t="n">
        <f aca="false">N312*$E$2*(1+$I$292)/($F$292-$I$292)/(1+$F$292)^$N$3</f>
        <v>32431.7595029387</v>
      </c>
      <c r="Q312" s="15" t="n">
        <f aca="false">O312+P312</f>
        <v>48117.1319361657</v>
      </c>
      <c r="R312" s="15" t="n">
        <f aca="false">Q312-$G$2+$I$2</f>
        <v>45600.1319361657</v>
      </c>
      <c r="S312" s="42" t="n">
        <f aca="false">R312/$K$2</f>
        <v>105.258602871903</v>
      </c>
      <c r="T312" s="43" t="n">
        <f aca="false">S312-$M$2</f>
        <v>0.000304547725662019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0.003082275390625</v>
      </c>
      <c r="C313" s="25" t="n">
        <f aca="false">IF(T312&gt;0,D312,C312)</f>
        <v>0.00308513641357422</v>
      </c>
      <c r="D313" s="41" t="n">
        <f aca="false">(B313+C313)/2</f>
        <v>0.00308370590209961</v>
      </c>
      <c r="E313" s="15" t="n">
        <f aca="false">$C$2*(1+IF(E$3&lt;=$O$2,$D313,$D313-($D313-$I$292)*MIN(E$3-$O$2,$Q$2)/$Q$2))</f>
        <v>7854.14541721344</v>
      </c>
      <c r="F313" s="15" t="n">
        <f aca="false">E313*(1+IF(F$3&lt;=$O$2,$D313,$D313-($D313-$I$292)*MIN(F$3-$O$2,$Q$2)/$Q$2))</f>
        <v>7878.36529179245</v>
      </c>
      <c r="G313" s="15" t="n">
        <f aca="false">F313*(1+IF(G$3&lt;=$O$2,$D313,$D313-($D313-$I$292)*MIN(G$3-$O$2,$Q$2)/$Q$2))</f>
        <v>7902.65985334165</v>
      </c>
      <c r="H313" s="15" t="n">
        <f aca="false">G313*(1+IF(H$3&lt;=$O$2,$D313,$D313-($D313-$I$292)*MIN(H$3-$O$2,$Q$2)/$Q$2))</f>
        <v>7927.02933217368</v>
      </c>
      <c r="I313" s="15" t="n">
        <f aca="false">H313*(1+IF(I$3&lt;=$O$2,$D313,$D313-($D313-$I$292)*MIN(I$3-$O$2,$Q$2)/$Q$2))</f>
        <v>7951.47395931142</v>
      </c>
      <c r="J313" s="15" t="n">
        <f aca="false">I313*(1+IF(J$3&lt;=$O$2,$D313,$D313-($D313-$I$292)*MIN(J$3-$O$2,$Q$2)/$Q$2))</f>
        <v>8031.99825558273</v>
      </c>
      <c r="K313" s="15" t="n">
        <f aca="false">J313*(1+IF(K$3&lt;=$O$2,$D313,$D313-($D313-$I$292)*MIN(K$3-$O$2,$Q$2)/$Q$2))</f>
        <v>8169.90946111409</v>
      </c>
      <c r="L313" s="15" t="n">
        <f aca="false">K313*(1+IF(L$3&lt;=$O$2,$D313,$D313-($D313-$I$292)*MIN(L$3-$O$2,$Q$2)/$Q$2))</f>
        <v>8367.73141974043</v>
      </c>
      <c r="M313" s="15" t="n">
        <f aca="false">L313*(1+IF(M$3&lt;=$O$2,$D313,$D313-($D313-$I$292)*MIN(M$3-$O$2,$Q$2)/$Q$2))</f>
        <v>8629.27943499453</v>
      </c>
      <c r="N313" s="15" t="n">
        <f aca="false">M313*(1+IF(N$3&lt;=$O$2,$D313,$D313-($D313-$I$292)*MIN(N$3-$O$2,$Q$2)/$Q$2))</f>
        <v>8959.78083735482</v>
      </c>
      <c r="O313" s="15" t="n">
        <f aca="false">SUMPRODUCT(E313:N313,1/(1+$F$292)^$E$3:$N$3)*$E$2</f>
        <v>15685.2735538674</v>
      </c>
      <c r="P313" s="15" t="n">
        <f aca="false">N313*$E$2*(1+$I$292)/($F$292-$I$292)/(1+$F$292)^$N$3</f>
        <v>32431.4370217861</v>
      </c>
      <c r="Q313" s="15" t="n">
        <f aca="false">O313+P313</f>
        <v>48116.7105756535</v>
      </c>
      <c r="R313" s="15" t="n">
        <f aca="false">Q313-$G$2+$I$2</f>
        <v>45599.7105756535</v>
      </c>
      <c r="S313" s="42" t="n">
        <f aca="false">R313/$K$2</f>
        <v>105.257630247111</v>
      </c>
      <c r="T313" s="43" t="n">
        <f aca="false">S313-$M$2</f>
        <v>-0.000668077065924422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0.00308370590209961</v>
      </c>
      <c r="C314" s="25" t="n">
        <f aca="false">IF(T313&gt;0,D313,C313)</f>
        <v>0.00308513641357422</v>
      </c>
      <c r="D314" s="41" t="n">
        <f aca="false">(B314+C314)/2</f>
        <v>0.00308442115783691</v>
      </c>
      <c r="E314" s="15" t="n">
        <f aca="false">$C$2*(1+IF(E$3&lt;=$O$2,$D314,$D314-($D314-$I$292)*MIN(E$3-$O$2,$Q$2)/$Q$2))</f>
        <v>7854.15101766586</v>
      </c>
      <c r="F314" s="15" t="n">
        <f aca="false">E314*(1+IF(F$3&lt;=$O$2,$D314,$D314-($D314-$I$292)*MIN(F$3-$O$2,$Q$2)/$Q$2))</f>
        <v>7878.3765272416</v>
      </c>
      <c r="G314" s="15" t="n">
        <f aca="false">F314*(1+IF(G$3&lt;=$O$2,$D314,$D314-($D314-$I$292)*MIN(G$3-$O$2,$Q$2)/$Q$2))</f>
        <v>7902.67675849163</v>
      </c>
      <c r="H314" s="15" t="n">
        <f aca="false">G314*(1+IF(H$3&lt;=$O$2,$D314,$D314-($D314-$I$292)*MIN(H$3-$O$2,$Q$2)/$Q$2))</f>
        <v>7927.05194188906</v>
      </c>
      <c r="I314" s="15" t="n">
        <f aca="false">H314*(1+IF(I$3&lt;=$O$2,$D314,$D314-($D314-$I$292)*MIN(I$3-$O$2,$Q$2)/$Q$2))</f>
        <v>7951.5023086179</v>
      </c>
      <c r="J314" s="15" t="n">
        <f aca="false">I314*(1+IF(J$3&lt;=$O$2,$D314,$D314-($D314-$I$292)*MIN(J$3-$O$2,$Q$2)/$Q$2))</f>
        <v>8032.03144186774</v>
      </c>
      <c r="K314" s="15" t="n">
        <f aca="false">J314*(1+IF(K$3&lt;=$O$2,$D314,$D314-($D314-$I$292)*MIN(K$3-$O$2,$Q$2)/$Q$2))</f>
        <v>8169.94666418898</v>
      </c>
      <c r="L314" s="15" t="n">
        <f aca="false">K314*(1+IF(L$3&lt;=$O$2,$D314,$D314-($D314-$I$292)*MIN(L$3-$O$2,$Q$2)/$Q$2))</f>
        <v>8367.77186107182</v>
      </c>
      <c r="M314" s="15" t="n">
        <f aca="false">L314*(1+IF(M$3&lt;=$O$2,$D314,$D314-($D314-$I$292)*MIN(M$3-$O$2,$Q$2)/$Q$2))</f>
        <v>8629.32233740951</v>
      </c>
      <c r="N314" s="15" t="n">
        <f aca="false">M314*(1+IF(N$3&lt;=$O$2,$D314,$D314-($D314-$I$292)*MIN(N$3-$O$2,$Q$2)/$Q$2))</f>
        <v>8959.82538293229</v>
      </c>
      <c r="O314" s="15" t="n">
        <f aca="false">SUMPRODUCT(E314:N314,1/(1+$F$292)^$E$3:$N$3)*$E$2</f>
        <v>15685.3229934678</v>
      </c>
      <c r="P314" s="15" t="n">
        <f aca="false">N314*$E$2*(1+$I$292)/($F$292-$I$292)/(1+$F$292)^$N$3</f>
        <v>32431.5982620124</v>
      </c>
      <c r="Q314" s="15" t="n">
        <f aca="false">O314+P314</f>
        <v>48116.9212554803</v>
      </c>
      <c r="R314" s="15" t="n">
        <f aca="false">Q314-$G$2+$I$2</f>
        <v>45599.9212554803</v>
      </c>
      <c r="S314" s="42" t="n">
        <f aca="false">R314/$K$2</f>
        <v>105.258116558516</v>
      </c>
      <c r="T314" s="43" t="n">
        <f aca="false">S314-$M$2</f>
        <v>-0.000181765661196209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0.00308442115783691</v>
      </c>
      <c r="C315" s="25" t="n">
        <f aca="false">IF(T314&gt;0,D314,C314)</f>
        <v>0.00308513641357422</v>
      </c>
      <c r="D315" s="41" t="n">
        <f aca="false">(B315+C315)/2</f>
        <v>0.00308477878570557</v>
      </c>
      <c r="E315" s="15" t="n">
        <f aca="false">$C$2*(1+IF(E$3&lt;=$O$2,$D315,$D315-($D315-$I$292)*MIN(E$3-$O$2,$Q$2)/$Q$2))</f>
        <v>7854.15381789208</v>
      </c>
      <c r="F315" s="15" t="n">
        <f aca="false">E315*(1+IF(F$3&lt;=$O$2,$D315,$D315-($D315-$I$292)*MIN(F$3-$O$2,$Q$2)/$Q$2))</f>
        <v>7878.38214496918</v>
      </c>
      <c r="G315" s="15" t="n">
        <f aca="false">F315*(1+IF(G$3&lt;=$O$2,$D315,$D315-($D315-$I$292)*MIN(G$3-$O$2,$Q$2)/$Q$2))</f>
        <v>7902.68521107566</v>
      </c>
      <c r="H315" s="15" t="n">
        <f aca="false">G315*(1+IF(H$3&lt;=$O$2,$D315,$D315-($D315-$I$292)*MIN(H$3-$O$2,$Q$2)/$Q$2))</f>
        <v>7927.0632467649</v>
      </c>
      <c r="I315" s="15" t="n">
        <f aca="false">H315*(1+IF(I$3&lt;=$O$2,$D315,$D315-($D315-$I$292)*MIN(I$3-$O$2,$Q$2)/$Q$2))</f>
        <v>7951.51648330146</v>
      </c>
      <c r="J315" s="15" t="n">
        <f aca="false">I315*(1+IF(J$3&lt;=$O$2,$D315,$D315-($D315-$I$292)*MIN(J$3-$O$2,$Q$2)/$Q$2))</f>
        <v>8032.04803505305</v>
      </c>
      <c r="K315" s="15" t="n">
        <f aca="false">J315*(1+IF(K$3&lt;=$O$2,$D315,$D315-($D315-$I$292)*MIN(K$3-$O$2,$Q$2)/$Q$2))</f>
        <v>8169.96526578064</v>
      </c>
      <c r="L315" s="15" t="n">
        <f aca="false">K315*(1+IF(L$3&lt;=$O$2,$D315,$D315-($D315-$I$292)*MIN(L$3-$O$2,$Q$2)/$Q$2))</f>
        <v>8367.79208180102</v>
      </c>
      <c r="M315" s="15" t="n">
        <f aca="false">L315*(1+IF(M$3&lt;=$O$2,$D315,$D315-($D315-$I$292)*MIN(M$3-$O$2,$Q$2)/$Q$2))</f>
        <v>8629.34378868683</v>
      </c>
      <c r="N315" s="15" t="n">
        <f aca="false">M315*(1+IF(N$3&lt;=$O$2,$D315,$D315-($D315-$I$292)*MIN(N$3-$O$2,$Q$2)/$Q$2))</f>
        <v>8959.84765579353</v>
      </c>
      <c r="O315" s="15" t="n">
        <f aca="false">SUMPRODUCT(E315:N315,1/(1+$F$292)^$E$3:$N$3)*$E$2</f>
        <v>15685.3477133276</v>
      </c>
      <c r="P315" s="15" t="n">
        <f aca="false">N315*$E$2*(1+$I$292)/($F$292-$I$292)/(1+$F$292)^$N$3</f>
        <v>32431.6788823881</v>
      </c>
      <c r="Q315" s="15" t="n">
        <f aca="false">O315+P315</f>
        <v>48117.0265957157</v>
      </c>
      <c r="R315" s="15" t="n">
        <f aca="false">Q315-$G$2+$I$2</f>
        <v>45600.0265957157</v>
      </c>
      <c r="S315" s="42" t="n">
        <f aca="false">R315/$K$2</f>
        <v>105.258359714962</v>
      </c>
      <c r="T315" s="43" t="n">
        <f aca="false">S315-$M$2</f>
        <v>6.13907844950745E-005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0.00308442115783691</v>
      </c>
      <c r="C316" s="25" t="n">
        <f aca="false">IF(T315&gt;0,D315,C315)</f>
        <v>0.00308477878570557</v>
      </c>
      <c r="D316" s="41" t="n">
        <f aca="false">(B316+C316)/2</f>
        <v>0.00308459997177124</v>
      </c>
      <c r="E316" s="15" t="n">
        <f aca="false">$C$2*(1+IF(E$3&lt;=$O$2,$D316,$D316-($D316-$I$292)*MIN(E$3-$O$2,$Q$2)/$Q$2))</f>
        <v>7854.15241777897</v>
      </c>
      <c r="F316" s="15" t="n">
        <f aca="false">E316*(1+IF(F$3&lt;=$O$2,$D316,$D316-($D316-$I$292)*MIN(F$3-$O$2,$Q$2)/$Q$2))</f>
        <v>7878.37933610514</v>
      </c>
      <c r="G316" s="15" t="n">
        <f aca="false">F316*(1+IF(G$3&lt;=$O$2,$D316,$D316-($D316-$I$292)*MIN(G$3-$O$2,$Q$2)/$Q$2))</f>
        <v>7902.68098478289</v>
      </c>
      <c r="H316" s="15" t="n">
        <f aca="false">G316*(1+IF(H$3&lt;=$O$2,$D316,$D316-($D316-$I$292)*MIN(H$3-$O$2,$Q$2)/$Q$2))</f>
        <v>7927.05759432547</v>
      </c>
      <c r="I316" s="15" t="n">
        <f aca="false">H316*(1+IF(I$3&lt;=$O$2,$D316,$D316-($D316-$I$292)*MIN(I$3-$O$2,$Q$2)/$Q$2))</f>
        <v>7951.50939595715</v>
      </c>
      <c r="J316" s="15" t="n">
        <f aca="false">I316*(1+IF(J$3&lt;=$O$2,$D316,$D316-($D316-$I$292)*MIN(J$3-$O$2,$Q$2)/$Q$2))</f>
        <v>8032.03973845683</v>
      </c>
      <c r="K316" s="15" t="n">
        <f aca="false">J316*(1+IF(K$3&lt;=$O$2,$D316,$D316-($D316-$I$292)*MIN(K$3-$O$2,$Q$2)/$Q$2))</f>
        <v>8169.9559649803</v>
      </c>
      <c r="L316" s="15" t="n">
        <f aca="false">K316*(1+IF(L$3&lt;=$O$2,$D316,$D316-($D316-$I$292)*MIN(L$3-$O$2,$Q$2)/$Q$2))</f>
        <v>8367.78197143112</v>
      </c>
      <c r="M316" s="15" t="n">
        <f aca="false">L316*(1+IF(M$3&lt;=$O$2,$D316,$D316-($D316-$I$292)*MIN(M$3-$O$2,$Q$2)/$Q$2))</f>
        <v>8629.33306304235</v>
      </c>
      <c r="N316" s="15" t="n">
        <f aca="false">M316*(1+IF(N$3&lt;=$O$2,$D316,$D316-($D316-$I$292)*MIN(N$3-$O$2,$Q$2)/$Q$2))</f>
        <v>8959.83651935687</v>
      </c>
      <c r="O316" s="15" t="n">
        <f aca="false">SUMPRODUCT(E316:N316,1/(1+$F$292)^$E$3:$N$3)*$E$2</f>
        <v>15685.3353533927</v>
      </c>
      <c r="P316" s="15" t="n">
        <f aca="false">N316*$E$2*(1+$I$292)/($F$292-$I$292)/(1+$F$292)^$N$3</f>
        <v>32431.6385721784</v>
      </c>
      <c r="Q316" s="15" t="n">
        <f aca="false">O316+P316</f>
        <v>48116.9739255711</v>
      </c>
      <c r="R316" s="15" t="n">
        <f aca="false">Q316-$G$2+$I$2</f>
        <v>45599.9739255711</v>
      </c>
      <c r="S316" s="42" t="n">
        <f aca="false">R316/$K$2</f>
        <v>105.258238136677</v>
      </c>
      <c r="T316" s="43" t="n">
        <f aca="false">S316-$M$2</f>
        <v>-6.01875002956831E-005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0.00308459997177124</v>
      </c>
      <c r="C317" s="25" t="n">
        <f aca="false">IF(T316&gt;0,D316,C316)</f>
        <v>0.00308477878570557</v>
      </c>
      <c r="D317" s="41" t="n">
        <f aca="false">(B317+C317)/2</f>
        <v>0.0030846893787384</v>
      </c>
      <c r="E317" s="15" t="n">
        <f aca="false">$C$2*(1+IF(E$3&lt;=$O$2,$D317,$D317-($D317-$I$292)*MIN(E$3-$O$2,$Q$2)/$Q$2))</f>
        <v>7854.15311783552</v>
      </c>
      <c r="F317" s="15" t="n">
        <f aca="false">E317*(1+IF(F$3&lt;=$O$2,$D317,$D317-($D317-$I$292)*MIN(F$3-$O$2,$Q$2)/$Q$2))</f>
        <v>7878.38074053709</v>
      </c>
      <c r="G317" s="15" t="n">
        <f aca="false">F317*(1+IF(G$3&lt;=$O$2,$D317,$D317-($D317-$I$292)*MIN(G$3-$O$2,$Q$2)/$Q$2))</f>
        <v>7902.68309792909</v>
      </c>
      <c r="H317" s="15" t="n">
        <f aca="false">G317*(1+IF(H$3&lt;=$O$2,$D317,$D317-($D317-$I$292)*MIN(H$3-$O$2,$Q$2)/$Q$2))</f>
        <v>7927.0604205448</v>
      </c>
      <c r="I317" s="15" t="n">
        <f aca="false">H317*(1+IF(I$3&lt;=$O$2,$D317,$D317-($D317-$I$292)*MIN(I$3-$O$2,$Q$2)/$Q$2))</f>
        <v>7951.51293962868</v>
      </c>
      <c r="J317" s="15" t="n">
        <f aca="false">I317*(1+IF(J$3&lt;=$O$2,$D317,$D317-($D317-$I$292)*MIN(J$3-$O$2,$Q$2)/$Q$2))</f>
        <v>8032.04388675405</v>
      </c>
      <c r="K317" s="15" t="n">
        <f aca="false">J317*(1+IF(K$3&lt;=$O$2,$D317,$D317-($D317-$I$292)*MIN(K$3-$O$2,$Q$2)/$Q$2))</f>
        <v>8169.96061537934</v>
      </c>
      <c r="L317" s="15" t="n">
        <f aca="false">K317*(1+IF(L$3&lt;=$O$2,$D317,$D317-($D317-$I$292)*MIN(L$3-$O$2,$Q$2)/$Q$2))</f>
        <v>8367.78702661475</v>
      </c>
      <c r="M317" s="15" t="n">
        <f aca="false">L317*(1+IF(M$3&lt;=$O$2,$D317,$D317-($D317-$I$292)*MIN(M$3-$O$2,$Q$2)/$Q$2))</f>
        <v>8629.33842586313</v>
      </c>
      <c r="N317" s="15" t="n">
        <f aca="false">M317*(1+IF(N$3&lt;=$O$2,$D317,$D317-($D317-$I$292)*MIN(N$3-$O$2,$Q$2)/$Q$2))</f>
        <v>8959.84208757369</v>
      </c>
      <c r="O317" s="15" t="n">
        <f aca="false">SUMPRODUCT(E317:N317,1/(1+$F$292)^$E$3:$N$3)*$E$2</f>
        <v>15685.3415333589</v>
      </c>
      <c r="P317" s="15" t="n">
        <f aca="false">N317*$E$2*(1+$I$292)/($F$292-$I$292)/(1+$F$292)^$N$3</f>
        <v>32431.6587272778</v>
      </c>
      <c r="Q317" s="15" t="n">
        <f aca="false">O317+P317</f>
        <v>48117.0002606367</v>
      </c>
      <c r="R317" s="15" t="n">
        <f aca="false">Q317-$G$2+$I$2</f>
        <v>45600.0002606367</v>
      </c>
      <c r="S317" s="42" t="n">
        <f aca="false">R317/$K$2</f>
        <v>105.258298925804</v>
      </c>
      <c r="T317" s="43" t="n">
        <f aca="false">S317-$M$2</f>
        <v>6.0162660986407E-007</v>
      </c>
    </row>
    <row r="319" customFormat="false" ht="15" hidden="false" customHeight="false" outlineLevel="0" collapsed="false">
      <c r="A319" s="38" t="s">
        <v>183</v>
      </c>
      <c r="E319" s="5" t="s">
        <v>11</v>
      </c>
      <c r="F319" s="12" t="n">
        <f aca="false">Sensitivity!$B$12</f>
        <v>0.0821529104257703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153</v>
      </c>
      <c r="B320" s="28" t="s">
        <v>154</v>
      </c>
      <c r="C320" s="28" t="s">
        <v>155</v>
      </c>
      <c r="D320" s="28" t="s">
        <v>156</v>
      </c>
      <c r="E320" s="28" t="s">
        <v>157</v>
      </c>
      <c r="F320" s="28" t="s">
        <v>158</v>
      </c>
      <c r="G320" s="28" t="s">
        <v>159</v>
      </c>
      <c r="H320" s="28" t="s">
        <v>160</v>
      </c>
      <c r="I320" s="28" t="s">
        <v>161</v>
      </c>
      <c r="J320" s="28" t="s">
        <v>162</v>
      </c>
      <c r="K320" s="28" t="s">
        <v>163</v>
      </c>
      <c r="L320" s="28" t="s">
        <v>164</v>
      </c>
      <c r="M320" s="28" t="s">
        <v>165</v>
      </c>
      <c r="N320" s="28" t="s">
        <v>166</v>
      </c>
      <c r="O320" s="28" t="s">
        <v>167</v>
      </c>
      <c r="P320" s="28" t="s">
        <v>168</v>
      </c>
      <c r="Q320" s="28" t="s">
        <v>169</v>
      </c>
      <c r="R320" s="28" t="s">
        <v>170</v>
      </c>
      <c r="S320" s="28" t="s">
        <v>171</v>
      </c>
      <c r="T320" s="28" t="s">
        <v>172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9787.5</v>
      </c>
      <c r="F321" s="15" t="n">
        <f aca="false">E321*(1+IF(F$3&lt;=$O$2,$D321,$D321-($D321-$I$319)*MIN(F$3-$O$2,$Q$2)/$Q$2))</f>
        <v>12234.375</v>
      </c>
      <c r="G321" s="15" t="n">
        <f aca="false">F321*(1+IF(G$3&lt;=$O$2,$D321,$D321-($D321-$I$319)*MIN(G$3-$O$2,$Q$2)/$Q$2))</f>
        <v>15292.96875</v>
      </c>
      <c r="H321" s="15" t="n">
        <f aca="false">G321*(1+IF(H$3&lt;=$O$2,$D321,$D321-($D321-$I$319)*MIN(H$3-$O$2,$Q$2)/$Q$2))</f>
        <v>19116.2109375</v>
      </c>
      <c r="I321" s="15" t="n">
        <f aca="false">H321*(1+IF(I$3&lt;=$O$2,$D321,$D321-($D321-$I$319)*MIN(I$3-$O$2,$Q$2)/$Q$2))</f>
        <v>23895.263671875</v>
      </c>
      <c r="J321" s="15" t="n">
        <f aca="false">I321*(1+IF(J$3&lt;=$O$2,$D321,$D321-($D321-$I$319)*MIN(J$3-$O$2,$Q$2)/$Q$2))</f>
        <v>28761.7730712891</v>
      </c>
      <c r="K321" s="15" t="n">
        <f aca="false">J321*(1+IF(K$3&lt;=$O$2,$D321,$D321-($D321-$I$319)*MIN(K$3-$O$2,$Q$2)/$Q$2))</f>
        <v>33286.5752108643</v>
      </c>
      <c r="L321" s="15" t="n">
        <f aca="false">K321*(1+IF(L$3&lt;=$O$2,$D321,$D321-($D321-$I$319)*MIN(L$3-$O$2,$Q$2)/$Q$2))</f>
        <v>36980.719327766</v>
      </c>
      <c r="M321" s="15" t="n">
        <f aca="false">L321*(1+IF(M$3&lt;=$O$2,$D321,$D321-($D321-$I$319)*MIN(M$3-$O$2,$Q$2)/$Q$2))</f>
        <v>39371.1530251128</v>
      </c>
      <c r="N321" s="15" t="n">
        <f aca="false">M321*(1+IF(N$3&lt;=$O$2,$D321,$D321-($D321-$I$319)*MIN(N$3-$O$2,$Q$2)/$Q$2))</f>
        <v>40091.6451254723</v>
      </c>
      <c r="O321" s="15" t="n">
        <f aca="false">SUMPRODUCT(E321:N321,1/(1+$F$319)^$E$3:$N$3)*$E$2</f>
        <v>44394.0741341326</v>
      </c>
      <c r="P321" s="15" t="n">
        <f aca="false">N321*$E$2*(1+$I$319)/($F$319-$I$319)/(1+$F$319)^$N$3</f>
        <v>82680.9973899369</v>
      </c>
      <c r="Q321" s="15" t="n">
        <f aca="false">O321+P321</f>
        <v>127075.07152407</v>
      </c>
      <c r="R321" s="15" t="n">
        <f aca="false">Q321-$G$2+$I$2</f>
        <v>124558.07152407</v>
      </c>
      <c r="S321" s="42" t="n">
        <f aca="false">R321/$K$2</f>
        <v>287.51690024484</v>
      </c>
      <c r="T321" s="43" t="n">
        <f aca="false">S321-$M$2</f>
        <v>182.258601920663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6851.25</v>
      </c>
      <c r="F322" s="15" t="n">
        <f aca="false">E322*(1+IF(F$3&lt;=$O$2,$D322,$D322-($D322-$I$319)*MIN(F$3-$O$2,$Q$2)/$Q$2))</f>
        <v>5994.84375</v>
      </c>
      <c r="G322" s="15" t="n">
        <f aca="false">F322*(1+IF(G$3&lt;=$O$2,$D322,$D322-($D322-$I$319)*MIN(G$3-$O$2,$Q$2)/$Q$2))</f>
        <v>5245.48828125</v>
      </c>
      <c r="H322" s="15" t="n">
        <f aca="false">G322*(1+IF(H$3&lt;=$O$2,$D322,$D322-($D322-$I$319)*MIN(H$3-$O$2,$Q$2)/$Q$2))</f>
        <v>4589.80224609375</v>
      </c>
      <c r="I322" s="15" t="n">
        <f aca="false">H322*(1+IF(I$3&lt;=$O$2,$D322,$D322-($D322-$I$319)*MIN(I$3-$O$2,$Q$2)/$Q$2))</f>
        <v>4016.07696533203</v>
      </c>
      <c r="J322" s="15" t="n">
        <f aca="false">I322*(1+IF(J$3&lt;=$O$2,$D322,$D322-($D322-$I$319)*MIN(J$3-$O$2,$Q$2)/$Q$2))</f>
        <v>3629.16811049194</v>
      </c>
      <c r="K322" s="15" t="n">
        <f aca="false">J322*(1+IF(K$3&lt;=$O$2,$D322,$D322-($D322-$I$319)*MIN(K$3-$O$2,$Q$2)/$Q$2))</f>
        <v>3383.54601277385</v>
      </c>
      <c r="L322" s="15" t="n">
        <f aca="false">K322*(1+IF(L$3&lt;=$O$2,$D322,$D322-($D322-$I$319)*MIN(L$3-$O$2,$Q$2)/$Q$2))</f>
        <v>3251.52004735541</v>
      </c>
      <c r="M322" s="15" t="n">
        <f aca="false">L322*(1+IF(M$3&lt;=$O$2,$D322,$D322-($D322-$I$319)*MIN(M$3-$O$2,$Q$2)/$Q$2))</f>
        <v>3217.83429966481</v>
      </c>
      <c r="N322" s="15" t="n">
        <f aca="false">M322*(1+IF(N$3&lt;=$O$2,$D322,$D322-($D322-$I$319)*MIN(N$3-$O$2,$Q$2)/$Q$2))</f>
        <v>3276.72066734868</v>
      </c>
      <c r="O322" s="15" t="n">
        <f aca="false">SUMPRODUCT(E322:N322,1/(1+$F$319)^$E$3:$N$3)*$E$2</f>
        <v>8728.40264460765</v>
      </c>
      <c r="P322" s="15" t="n">
        <f aca="false">N322*$E$2*(1+$I$319)/($F$319-$I$319)/(1+$F$319)^$N$3</f>
        <v>6757.58084001589</v>
      </c>
      <c r="Q322" s="15" t="n">
        <f aca="false">O322+P322</f>
        <v>15485.9834846235</v>
      </c>
      <c r="R322" s="15" t="n">
        <f aca="false">Q322-$G$2+$I$2</f>
        <v>12968.9834846235</v>
      </c>
      <c r="S322" s="42" t="n">
        <f aca="false">R322/$K$2</f>
        <v>29.936252907584</v>
      </c>
      <c r="T322" s="43" t="n">
        <f aca="false">S322-$M$2</f>
        <v>-75.3220454165931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8319.375</v>
      </c>
      <c r="F323" s="15" t="n">
        <f aca="false">E323*(1+IF(F$3&lt;=$O$2,$D323,$D323-($D323-$I$319)*MIN(F$3-$O$2,$Q$2)/$Q$2))</f>
        <v>8839.3359375</v>
      </c>
      <c r="G323" s="15" t="n">
        <f aca="false">F323*(1+IF(G$3&lt;=$O$2,$D323,$D323-($D323-$I$319)*MIN(G$3-$O$2,$Q$2)/$Q$2))</f>
        <v>9391.79443359375</v>
      </c>
      <c r="H323" s="15" t="n">
        <f aca="false">G323*(1+IF(H$3&lt;=$O$2,$D323,$D323-($D323-$I$319)*MIN(H$3-$O$2,$Q$2)/$Q$2))</f>
        <v>9978.78158569336</v>
      </c>
      <c r="I323" s="15" t="n">
        <f aca="false">H323*(1+IF(I$3&lt;=$O$2,$D323,$D323-($D323-$I$319)*MIN(I$3-$O$2,$Q$2)/$Q$2))</f>
        <v>10602.4554347992</v>
      </c>
      <c r="J323" s="15" t="n">
        <f aca="false">I323*(1+IF(J$3&lt;=$O$2,$D323,$D323-($D323-$I$319)*MIN(J$3-$O$2,$Q$2)/$Q$2))</f>
        <v>11171.3831934305</v>
      </c>
      <c r="K323" s="15" t="n">
        <f aca="false">J323*(1+IF(K$3&lt;=$O$2,$D323,$D323-($D323-$I$319)*MIN(K$3-$O$2,$Q$2)/$Q$2))</f>
        <v>11672.0845881601</v>
      </c>
      <c r="L323" s="15" t="n">
        <f aca="false">K323*(1+IF(L$3&lt;=$O$2,$D323,$D323-($D323-$I$319)*MIN(L$3-$O$2,$Q$2)/$Q$2))</f>
        <v>12092.0461916421</v>
      </c>
      <c r="M323" s="15" t="n">
        <f aca="false">L323*(1+IF(M$3&lt;=$O$2,$D323,$D323-($D323-$I$319)*MIN(M$3-$O$2,$Q$2)/$Q$2))</f>
        <v>12420.2243252832</v>
      </c>
      <c r="N323" s="15" t="n">
        <f aca="false">M323*(1+IF(N$3&lt;=$O$2,$D323,$D323-($D323-$I$319)*MIN(N$3-$O$2,$Q$2)/$Q$2))</f>
        <v>12647.5144304359</v>
      </c>
      <c r="O323" s="15" t="n">
        <f aca="false">SUMPRODUCT(E323:N323,1/(1+$F$319)^$E$3:$N$3)*$E$2</f>
        <v>19655.8238305056</v>
      </c>
      <c r="P323" s="15" t="n">
        <f aca="false">N323*$E$2*(1+$I$319)/($F$319-$I$319)/(1+$F$319)^$N$3</f>
        <v>26082.9682678117</v>
      </c>
      <c r="Q323" s="15" t="n">
        <f aca="false">O323+P323</f>
        <v>45738.7920983173</v>
      </c>
      <c r="R323" s="15" t="n">
        <f aca="false">Q323-$G$2+$I$2</f>
        <v>43221.7920983173</v>
      </c>
      <c r="S323" s="42" t="n">
        <f aca="false">R323/$K$2</f>
        <v>99.768690499786</v>
      </c>
      <c r="T323" s="43" t="n">
        <f aca="false">S323-$M$2</f>
        <v>-5.48960782439113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9053.4375</v>
      </c>
      <c r="F324" s="15" t="n">
        <f aca="false">E324*(1+IF(F$3&lt;=$O$2,$D324,$D324-($D324-$I$319)*MIN(F$3-$O$2,$Q$2)/$Q$2))</f>
        <v>10468.037109375</v>
      </c>
      <c r="G324" s="15" t="n">
        <f aca="false">F324*(1+IF(G$3&lt;=$O$2,$D324,$D324-($D324-$I$319)*MIN(G$3-$O$2,$Q$2)/$Q$2))</f>
        <v>12103.6679077148</v>
      </c>
      <c r="H324" s="15" t="n">
        <f aca="false">G324*(1+IF(H$3&lt;=$O$2,$D324,$D324-($D324-$I$319)*MIN(H$3-$O$2,$Q$2)/$Q$2))</f>
        <v>13994.8660182953</v>
      </c>
      <c r="I324" s="15" t="n">
        <f aca="false">H324*(1+IF(I$3&lt;=$O$2,$D324,$D324-($D324-$I$319)*MIN(I$3-$O$2,$Q$2)/$Q$2))</f>
        <v>16181.5638336539</v>
      </c>
      <c r="J324" s="15" t="n">
        <f aca="false">I324*(1+IF(J$3&lt;=$O$2,$D324,$D324-($D324-$I$319)*MIN(J$3-$O$2,$Q$2)/$Q$2))</f>
        <v>18263.4838364918</v>
      </c>
      <c r="K324" s="15" t="n">
        <f aca="false">J324*(1+IF(K$3&lt;=$O$2,$D324,$D324-($D324-$I$319)*MIN(K$3-$O$2,$Q$2)/$Q$2))</f>
        <v>20109.3741478461</v>
      </c>
      <c r="L324" s="15" t="n">
        <f aca="false">K324*(1+IF(L$3&lt;=$O$2,$D324,$D324-($D324-$I$319)*MIN(L$3-$O$2,$Q$2)/$Q$2))</f>
        <v>21587.0109602298</v>
      </c>
      <c r="M324" s="15" t="n">
        <f aca="false">L324*(1+IF(M$3&lt;=$O$2,$D324,$D324-($D324-$I$319)*MIN(M$3-$O$2,$Q$2)/$Q$2))</f>
        <v>22577.6388931947</v>
      </c>
      <c r="N324" s="15" t="n">
        <f aca="false">M324*(1+IF(N$3&lt;=$O$2,$D324,$D324-($D324-$I$319)*MIN(N$3-$O$2,$Q$2)/$Q$2))</f>
        <v>22990.8096849402</v>
      </c>
      <c r="O324" s="15" t="n">
        <f aca="false">SUMPRODUCT(E324:N324,1/(1+$F$319)^$E$3:$N$3)*$E$2</f>
        <v>29596.6429421524</v>
      </c>
      <c r="P324" s="15" t="n">
        <f aca="false">N324*$E$2*(1+$I$319)/($F$319-$I$319)/(1+$F$319)^$N$3</f>
        <v>47413.9454642966</v>
      </c>
      <c r="Q324" s="15" t="n">
        <f aca="false">O324+P324</f>
        <v>77010.588406449</v>
      </c>
      <c r="R324" s="15" t="n">
        <f aca="false">Q324-$G$2+$I$2</f>
        <v>74493.588406449</v>
      </c>
      <c r="S324" s="42" t="n">
        <f aca="false">R324/$K$2</f>
        <v>171.953253327291</v>
      </c>
      <c r="T324" s="43" t="n">
        <f aca="false">S324-$M$2</f>
        <v>66.6949550031139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8686.40625</v>
      </c>
      <c r="F325" s="15" t="n">
        <f aca="false">E325*(1+IF(F$3&lt;=$O$2,$D325,$D325-($D325-$I$319)*MIN(F$3-$O$2,$Q$2)/$Q$2))</f>
        <v>9636.48193359375</v>
      </c>
      <c r="G325" s="15" t="n">
        <f aca="false">F325*(1+IF(G$3&lt;=$O$2,$D325,$D325-($D325-$I$319)*MIN(G$3-$O$2,$Q$2)/$Q$2))</f>
        <v>10690.4721450806</v>
      </c>
      <c r="H325" s="15" t="n">
        <f aca="false">G325*(1+IF(H$3&lt;=$O$2,$D325,$D325-($D325-$I$319)*MIN(H$3-$O$2,$Q$2)/$Q$2))</f>
        <v>11859.7425359488</v>
      </c>
      <c r="I325" s="15" t="n">
        <f aca="false">H325*(1+IF(I$3&lt;=$O$2,$D325,$D325-($D325-$I$319)*MIN(I$3-$O$2,$Q$2)/$Q$2))</f>
        <v>13156.9018758181</v>
      </c>
      <c r="J325" s="15" t="n">
        <f aca="false">I325*(1+IF(J$3&lt;=$O$2,$D325,$D325-($D325-$I$319)*MIN(J$3-$O$2,$Q$2)/$Q$2))</f>
        <v>14356.2850508177</v>
      </c>
      <c r="K325" s="15" t="n">
        <f aca="false">J325*(1+IF(K$3&lt;=$O$2,$D325,$D325-($D325-$I$319)*MIN(K$3-$O$2,$Q$2)/$Q$2))</f>
        <v>15403.5042638496</v>
      </c>
      <c r="L325" s="15" t="n">
        <f aca="false">K325*(1+IF(L$3&lt;=$O$2,$D325,$D325-($D325-$I$319)*MIN(L$3-$O$2,$Q$2)/$Q$2))</f>
        <v>16246.5380522101</v>
      </c>
      <c r="M325" s="15" t="n">
        <f aca="false">L325*(1+IF(M$3&lt;=$O$2,$D325,$D325-($D325-$I$319)*MIN(M$3-$O$2,$Q$2)/$Q$2))</f>
        <v>16839.7803891866</v>
      </c>
      <c r="N325" s="15" t="n">
        <f aca="false">M325*(1+IF(N$3&lt;=$O$2,$D325,$D325-($D325-$I$319)*MIN(N$3-$O$2,$Q$2)/$Q$2))</f>
        <v>17147.9483703087</v>
      </c>
      <c r="O325" s="15" t="n">
        <f aca="false">SUMPRODUCT(E325:N325,1/(1+$F$319)^$E$3:$N$3)*$E$2</f>
        <v>24124.9335971261</v>
      </c>
      <c r="P325" s="15" t="n">
        <f aca="false">N325*$E$2*(1+$I$319)/($F$319-$I$319)/(1+$F$319)^$N$3</f>
        <v>35364.2129179542</v>
      </c>
      <c r="Q325" s="15" t="n">
        <f aca="false">O325+P325</f>
        <v>59489.1465150803</v>
      </c>
      <c r="R325" s="15" t="n">
        <f aca="false">Q325-$G$2+$I$2</f>
        <v>56972.1465150803</v>
      </c>
      <c r="S325" s="42" t="n">
        <f aca="false">R325/$K$2</f>
        <v>131.508578816953</v>
      </c>
      <c r="T325" s="43" t="n">
        <f aca="false">S325-$M$2</f>
        <v>26.2502804927757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0.0625</v>
      </c>
      <c r="C326" s="25" t="n">
        <f aca="false">IF(T325&gt;0,D325,C325)</f>
        <v>0.109375</v>
      </c>
      <c r="D326" s="41" t="n">
        <f aca="false">(B326+C326)/2</f>
        <v>0.0859375</v>
      </c>
      <c r="E326" s="15" t="n">
        <f aca="false">$C$2*(1+IF(E$3&lt;=$O$2,$D326,$D326-($D326-$I$319)*MIN(E$3-$O$2,$Q$2)/$Q$2))</f>
        <v>8502.890625</v>
      </c>
      <c r="F326" s="15" t="n">
        <f aca="false">E326*(1+IF(F$3&lt;=$O$2,$D326,$D326-($D326-$I$319)*MIN(F$3-$O$2,$Q$2)/$Q$2))</f>
        <v>9233.60778808594</v>
      </c>
      <c r="G326" s="15" t="n">
        <f aca="false">F326*(1+IF(G$3&lt;=$O$2,$D326,$D326-($D326-$I$319)*MIN(G$3-$O$2,$Q$2)/$Q$2))</f>
        <v>10027.1209573746</v>
      </c>
      <c r="H326" s="15" t="n">
        <f aca="false">G326*(1+IF(H$3&lt;=$O$2,$D326,$D326-($D326-$I$319)*MIN(H$3-$O$2,$Q$2)/$Q$2))</f>
        <v>10888.826664649</v>
      </c>
      <c r="I326" s="15" t="n">
        <f aca="false">H326*(1+IF(I$3&lt;=$O$2,$D326,$D326-($D326-$I$319)*MIN(I$3-$O$2,$Q$2)/$Q$2))</f>
        <v>11824.5852061422</v>
      </c>
      <c r="J326" s="15" t="n">
        <f aca="false">I326*(1+IF(J$3&lt;=$O$2,$D326,$D326-($D326-$I$319)*MIN(J$3-$O$2,$Q$2)/$Q$2))</f>
        <v>12680.803420919</v>
      </c>
      <c r="K326" s="15" t="n">
        <f aca="false">J326*(1+IF(K$3&lt;=$O$2,$D326,$D326-($D326-$I$319)*MIN(K$3-$O$2,$Q$2)/$Q$2))</f>
        <v>13427.4808283512</v>
      </c>
      <c r="L326" s="15" t="n">
        <f aca="false">K326*(1+IF(L$3&lt;=$O$2,$D326,$D326-($D326-$I$319)*MIN(L$3-$O$2,$Q$2)/$Q$2))</f>
        <v>14036.4842213211</v>
      </c>
      <c r="M326" s="15" t="n">
        <f aca="false">L326*(1+IF(M$3&lt;=$O$2,$D326,$D326-($D326-$I$319)*MIN(M$3-$O$2,$Q$2)/$Q$2))</f>
        <v>14483.2304228752</v>
      </c>
      <c r="N326" s="15" t="n">
        <f aca="false">M326*(1+IF(N$3&lt;=$O$2,$D326,$D326-($D326-$I$319)*MIN(N$3-$O$2,$Q$2)/$Q$2))</f>
        <v>14748.2735396138</v>
      </c>
      <c r="O326" s="15" t="n">
        <f aca="false">SUMPRODUCT(E326:N326,1/(1+$F$319)^$E$3:$N$3)*$E$2</f>
        <v>21776.5078581385</v>
      </c>
      <c r="P326" s="15" t="n">
        <f aca="false">N326*$E$2*(1+$I$319)/($F$319-$I$319)/(1+$F$319)^$N$3</f>
        <v>30415.36365541</v>
      </c>
      <c r="Q326" s="15" t="n">
        <f aca="false">O326+P326</f>
        <v>52191.8715135484</v>
      </c>
      <c r="R326" s="15" t="n">
        <f aca="false">Q326-$G$2+$I$2</f>
        <v>49674.8715135484</v>
      </c>
      <c r="S326" s="42" t="n">
        <f aca="false">R326/$K$2</f>
        <v>114.664308004128</v>
      </c>
      <c r="T326" s="43" t="n">
        <f aca="false">S326-$M$2</f>
        <v>9.40600967995113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0.0625</v>
      </c>
      <c r="C327" s="25" t="n">
        <f aca="false">IF(T326&gt;0,D326,C326)</f>
        <v>0.0859375</v>
      </c>
      <c r="D327" s="41" t="n">
        <f aca="false">(B327+C327)/2</f>
        <v>0.07421875</v>
      </c>
      <c r="E327" s="15" t="n">
        <f aca="false">$C$2*(1+IF(E$3&lt;=$O$2,$D327,$D327-($D327-$I$319)*MIN(E$3-$O$2,$Q$2)/$Q$2))</f>
        <v>8411.1328125</v>
      </c>
      <c r="F327" s="15" t="n">
        <f aca="false">E327*(1+IF(F$3&lt;=$O$2,$D327,$D327-($D327-$I$319)*MIN(F$3-$O$2,$Q$2)/$Q$2))</f>
        <v>9035.39657592773</v>
      </c>
      <c r="G327" s="15" t="n">
        <f aca="false">F327*(1+IF(G$3&lt;=$O$2,$D327,$D327-($D327-$I$319)*MIN(G$3-$O$2,$Q$2)/$Q$2))</f>
        <v>9705.99241554737</v>
      </c>
      <c r="H327" s="15" t="n">
        <f aca="false">G327*(1+IF(H$3&lt;=$O$2,$D327,$D327-($D327-$I$319)*MIN(H$3-$O$2,$Q$2)/$Q$2))</f>
        <v>10426.3590401388</v>
      </c>
      <c r="I327" s="15" t="n">
        <f aca="false">H327*(1+IF(I$3&lt;=$O$2,$D327,$D327-($D327-$I$319)*MIN(I$3-$O$2,$Q$2)/$Q$2))</f>
        <v>11200.1903751491</v>
      </c>
      <c r="J327" s="15" t="n">
        <f aca="false">I327*(1+IF(J$3&lt;=$O$2,$D327,$D327-($D327-$I$319)*MIN(J$3-$O$2,$Q$2)/$Q$2))</f>
        <v>11906.1943754466</v>
      </c>
      <c r="K327" s="15" t="n">
        <f aca="false">J327*(1+IF(K$3&lt;=$O$2,$D327,$D327-($D327-$I$319)*MIN(K$3-$O$2,$Q$2)/$Q$2))</f>
        <v>12523.5454365565</v>
      </c>
      <c r="L327" s="15" t="n">
        <f aca="false">K327*(1+IF(L$3&lt;=$O$2,$D327,$D327-($D327-$I$319)*MIN(L$3-$O$2,$Q$2)/$Q$2))</f>
        <v>13032.8467205976</v>
      </c>
      <c r="M327" s="15" t="n">
        <f aca="false">L327*(1+IF(M$3&lt;=$O$2,$D327,$D327-($D327-$I$319)*MIN(M$3-$O$2,$Q$2)/$Q$2))</f>
        <v>13417.1039150961</v>
      </c>
      <c r="N327" s="15" t="n">
        <f aca="false">M327*(1+IF(N$3&lt;=$O$2,$D327,$D327-($D327-$I$319)*MIN(N$3-$O$2,$Q$2)/$Q$2))</f>
        <v>13662.6369167423</v>
      </c>
      <c r="O327" s="15" t="n">
        <f aca="false">SUMPRODUCT(E327:N327,1/(1+$F$319)^$E$3:$N$3)*$E$2</f>
        <v>20689.0300285422</v>
      </c>
      <c r="P327" s="15" t="n">
        <f aca="false">N327*$E$2*(1+$I$319)/($F$319-$I$319)/(1+$F$319)^$N$3</f>
        <v>28176.4553117604</v>
      </c>
      <c r="Q327" s="15" t="n">
        <f aca="false">O327+P327</f>
        <v>48865.4853403026</v>
      </c>
      <c r="R327" s="15" t="n">
        <f aca="false">Q327-$G$2+$I$2</f>
        <v>46348.4853403026</v>
      </c>
      <c r="S327" s="42" t="n">
        <f aca="false">R327/$K$2</f>
        <v>106.986024053143</v>
      </c>
      <c r="T327" s="43" t="n">
        <f aca="false">S327-$M$2</f>
        <v>1.72772572896585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0.0625</v>
      </c>
      <c r="C328" s="25" t="n">
        <f aca="false">IF(T327&gt;0,D327,C327)</f>
        <v>0.07421875</v>
      </c>
      <c r="D328" s="41" t="n">
        <f aca="false">(B328+C328)/2</f>
        <v>0.068359375</v>
      </c>
      <c r="E328" s="15" t="n">
        <f aca="false">$C$2*(1+IF(E$3&lt;=$O$2,$D328,$D328-($D328-$I$319)*MIN(E$3-$O$2,$Q$2)/$Q$2))</f>
        <v>8365.25390625</v>
      </c>
      <c r="F328" s="15" t="n">
        <f aca="false">E328*(1+IF(F$3&lt;=$O$2,$D328,$D328-($D328-$I$319)*MIN(F$3-$O$2,$Q$2)/$Q$2))</f>
        <v>8937.09743499756</v>
      </c>
      <c r="G328" s="15" t="n">
        <f aca="false">F328*(1+IF(G$3&lt;=$O$2,$D328,$D328-($D328-$I$319)*MIN(G$3-$O$2,$Q$2)/$Q$2))</f>
        <v>9548.0318299681</v>
      </c>
      <c r="H328" s="15" t="n">
        <f aca="false">G328*(1+IF(H$3&lt;=$O$2,$D328,$D328-($D328-$I$319)*MIN(H$3-$O$2,$Q$2)/$Q$2))</f>
        <v>10200.7293183448</v>
      </c>
      <c r="I328" s="15" t="n">
        <f aca="false">H328*(1+IF(I$3&lt;=$O$2,$D328,$D328-($D328-$I$319)*MIN(I$3-$O$2,$Q$2)/$Q$2))</f>
        <v>10898.044799091</v>
      </c>
      <c r="J328" s="15" t="n">
        <f aca="false">I328*(1+IF(J$3&lt;=$O$2,$D328,$D328-($D328-$I$319)*MIN(J$3-$O$2,$Q$2)/$Q$2))</f>
        <v>11533.918468006</v>
      </c>
      <c r="K328" s="15" t="n">
        <f aca="false">J328*(1+IF(K$3&lt;=$O$2,$D328,$D328-($D328-$I$319)*MIN(K$3-$O$2,$Q$2)/$Q$2))</f>
        <v>12091.4176258561</v>
      </c>
      <c r="L328" s="15" t="n">
        <f aca="false">K328*(1+IF(L$3&lt;=$O$2,$D328,$D328-($D328-$I$319)*MIN(L$3-$O$2,$Q$2)/$Q$2))</f>
        <v>12554.806092095</v>
      </c>
      <c r="M328" s="15" t="n">
        <f aca="false">L328*(1+IF(M$3&lt;=$O$2,$D328,$D328-($D328-$I$319)*MIN(M$3-$O$2,$Q$2)/$Q$2))</f>
        <v>12910.2561928237</v>
      </c>
      <c r="N328" s="15" t="n">
        <f aca="false">M328*(1+IF(N$3&lt;=$O$2,$D328,$D328-($D328-$I$319)*MIN(N$3-$O$2,$Q$2)/$Q$2))</f>
        <v>13146.5138811523</v>
      </c>
      <c r="O328" s="15" t="n">
        <f aca="false">SUMPRODUCT(E328:N328,1/(1+$F$319)^$E$3:$N$3)*$E$2</f>
        <v>20165.8035319519</v>
      </c>
      <c r="P328" s="15" t="n">
        <f aca="false">N328*$E$2*(1+$I$319)/($F$319-$I$319)/(1+$F$319)^$N$3</f>
        <v>27112.054805746</v>
      </c>
      <c r="Q328" s="15" t="n">
        <f aca="false">O328+P328</f>
        <v>47277.8583376979</v>
      </c>
      <c r="R328" s="15" t="n">
        <f aca="false">Q328-$G$2+$I$2</f>
        <v>44760.8583376979</v>
      </c>
      <c r="S328" s="42" t="n">
        <f aca="false">R328/$K$2</f>
        <v>103.321310968325</v>
      </c>
      <c r="T328" s="43" t="n">
        <f aca="false">S328-$M$2</f>
        <v>-1.93698735585184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0.068359375</v>
      </c>
      <c r="C329" s="25" t="n">
        <f aca="false">IF(T328&gt;0,D328,C328)</f>
        <v>0.07421875</v>
      </c>
      <c r="D329" s="41" t="n">
        <f aca="false">(B329+C329)/2</f>
        <v>0.0712890625</v>
      </c>
      <c r="E329" s="15" t="n">
        <f aca="false">$C$2*(1+IF(E$3&lt;=$O$2,$D329,$D329-($D329-$I$319)*MIN(E$3-$O$2,$Q$2)/$Q$2))</f>
        <v>8388.193359375</v>
      </c>
      <c r="F329" s="15" t="n">
        <f aca="false">E329*(1+IF(F$3&lt;=$O$2,$D329,$D329-($D329-$I$319)*MIN(F$3-$O$2,$Q$2)/$Q$2))</f>
        <v>8986.17980003357</v>
      </c>
      <c r="G329" s="15" t="n">
        <f aca="false">F329*(1+IF(G$3&lt;=$O$2,$D329,$D329-($D329-$I$319)*MIN(G$3-$O$2,$Q$2)/$Q$2))</f>
        <v>9626.7961334344</v>
      </c>
      <c r="H329" s="15" t="n">
        <f aca="false">G329*(1+IF(H$3&lt;=$O$2,$D329,$D329-($D329-$I$319)*MIN(H$3-$O$2,$Q$2)/$Q$2))</f>
        <v>10313.0814046656</v>
      </c>
      <c r="I329" s="15" t="n">
        <f aca="false">H329*(1+IF(I$3&lt;=$O$2,$D329,$D329-($D329-$I$319)*MIN(I$3-$O$2,$Q$2)/$Q$2))</f>
        <v>11048.2913094904</v>
      </c>
      <c r="J329" s="15" t="n">
        <f aca="false">I329*(1+IF(J$3&lt;=$O$2,$D329,$D329-($D329-$I$319)*MIN(J$3-$O$2,$Q$2)/$Q$2))</f>
        <v>11718.8259194275</v>
      </c>
      <c r="K329" s="15" t="n">
        <f aca="false">J329*(1+IF(K$3&lt;=$O$2,$D329,$D329-($D329-$I$319)*MIN(K$3-$O$2,$Q$2)/$Q$2))</f>
        <v>12305.8621931957</v>
      </c>
      <c r="L329" s="15" t="n">
        <f aca="false">K329*(1+IF(L$3&lt;=$O$2,$D329,$D329-($D329-$I$319)*MIN(L$3-$O$2,$Q$2)/$Q$2))</f>
        <v>12791.8899116798</v>
      </c>
      <c r="M329" s="15" t="n">
        <f aca="false">L329*(1+IF(M$3&lt;=$O$2,$D329,$D329-($D329-$I$319)*MIN(M$3-$O$2,$Q$2)/$Q$2))</f>
        <v>13161.5475478682</v>
      </c>
      <c r="N329" s="15" t="n">
        <f aca="false">M329*(1+IF(N$3&lt;=$O$2,$D329,$D329-($D329-$I$319)*MIN(N$3-$O$2,$Q$2)/$Q$2))</f>
        <v>13402.4038679942</v>
      </c>
      <c r="O329" s="15" t="n">
        <f aca="false">SUMPRODUCT(E329:N329,1/(1+$F$319)^$E$3:$N$3)*$E$2</f>
        <v>20425.7411202611</v>
      </c>
      <c r="P329" s="15" t="n">
        <f aca="false">N329*$E$2*(1+$I$319)/($F$319-$I$319)/(1+$F$319)^$N$3</f>
        <v>27639.7767105959</v>
      </c>
      <c r="Q329" s="15" t="n">
        <f aca="false">O329+P329</f>
        <v>48065.517830857</v>
      </c>
      <c r="R329" s="15" t="n">
        <f aca="false">Q329-$G$2+$I$2</f>
        <v>45548.517830857</v>
      </c>
      <c r="S329" s="42" t="n">
        <f aca="false">R329/$K$2</f>
        <v>105.139462238255</v>
      </c>
      <c r="T329" s="43" t="n">
        <f aca="false">S329-$M$2</f>
        <v>-0.118836085921643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0.0712890625</v>
      </c>
      <c r="C330" s="25" t="n">
        <f aca="false">IF(T329&gt;0,D329,C329)</f>
        <v>0.07421875</v>
      </c>
      <c r="D330" s="41" t="n">
        <f aca="false">(B330+C330)/2</f>
        <v>0.07275390625</v>
      </c>
      <c r="E330" s="15" t="n">
        <f aca="false">$C$2*(1+IF(E$3&lt;=$O$2,$D330,$D330-($D330-$I$319)*MIN(E$3-$O$2,$Q$2)/$Q$2))</f>
        <v>8399.6630859375</v>
      </c>
      <c r="F330" s="15" t="n">
        <f aca="false">E330*(1+IF(F$3&lt;=$O$2,$D330,$D330-($D330-$I$319)*MIN(F$3-$O$2,$Q$2)/$Q$2))</f>
        <v>9010.77138662338</v>
      </c>
      <c r="G330" s="15" t="n">
        <f aca="false">F330*(1+IF(G$3&lt;=$O$2,$D330,$D330-($D330-$I$319)*MIN(G$3-$O$2,$Q$2)/$Q$2))</f>
        <v>9666.34020332596</v>
      </c>
      <c r="H330" s="15" t="n">
        <f aca="false">G330*(1+IF(H$3&lt;=$O$2,$D330,$D330-($D330-$I$319)*MIN(H$3-$O$2,$Q$2)/$Q$2))</f>
        <v>10369.6042122593</v>
      </c>
      <c r="I330" s="15" t="n">
        <f aca="false">H330*(1+IF(I$3&lt;=$O$2,$D330,$D330-($D330-$I$319)*MIN(I$3-$O$2,$Q$2)/$Q$2))</f>
        <v>11124.0334249677</v>
      </c>
      <c r="J330" s="15" t="n">
        <f aca="false">I330*(1+IF(J$3&lt;=$O$2,$D330,$D330-($D330-$I$319)*MIN(J$3-$O$2,$Q$2)/$Q$2))</f>
        <v>11812.2008952406</v>
      </c>
      <c r="K330" s="15" t="n">
        <f aca="false">J330*(1+IF(K$3&lt;=$O$2,$D330,$D330-($D330-$I$319)*MIN(K$3-$O$2,$Q$2)/$Q$2))</f>
        <v>12414.2964597169</v>
      </c>
      <c r="L330" s="15" t="n">
        <f aca="false">K330*(1+IF(L$3&lt;=$O$2,$D330,$D330-($D330-$I$319)*MIN(L$3-$O$2,$Q$2)/$Q$2))</f>
        <v>12911.8808591606</v>
      </c>
      <c r="M330" s="15" t="n">
        <f aca="false">L330*(1+IF(M$3&lt;=$O$2,$D330,$D330-($D330-$I$319)*MIN(M$3-$O$2,$Q$2)/$Q$2))</f>
        <v>13288.7887488464</v>
      </c>
      <c r="N330" s="15" t="n">
        <f aca="false">M330*(1+IF(N$3&lt;=$O$2,$D330,$D330-($D330-$I$319)*MIN(N$3-$O$2,$Q$2)/$Q$2))</f>
        <v>13531.9735829503</v>
      </c>
      <c r="O330" s="15" t="n">
        <f aca="false">SUMPRODUCT(E330:N330,1/(1+$F$319)^$E$3:$N$3)*$E$2</f>
        <v>20556.9641605965</v>
      </c>
      <c r="P330" s="15" t="n">
        <f aca="false">N330*$E$2*(1+$I$319)/($F$319-$I$319)/(1+$F$319)^$N$3</f>
        <v>27906.9883261475</v>
      </c>
      <c r="Q330" s="15" t="n">
        <f aca="false">O330+P330</f>
        <v>48463.952486744</v>
      </c>
      <c r="R330" s="15" t="n">
        <f aca="false">Q330-$G$2+$I$2</f>
        <v>45946.952486744</v>
      </c>
      <c r="S330" s="42" t="n">
        <f aca="false">R330/$K$2</f>
        <v>106.059167367028</v>
      </c>
      <c r="T330" s="43" t="n">
        <f aca="false">S330-$M$2</f>
        <v>0.800869042851105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0.0712890625</v>
      </c>
      <c r="C331" s="25" t="n">
        <f aca="false">IF(T330&gt;0,D330,C330)</f>
        <v>0.07275390625</v>
      </c>
      <c r="D331" s="41" t="n">
        <f aca="false">(B331+C331)/2</f>
        <v>0.072021484375</v>
      </c>
      <c r="E331" s="15" t="n">
        <f aca="false">$C$2*(1+IF(E$3&lt;=$O$2,$D331,$D331-($D331-$I$319)*MIN(E$3-$O$2,$Q$2)/$Q$2))</f>
        <v>8393.92822265625</v>
      </c>
      <c r="F331" s="15" t="n">
        <f aca="false">E331*(1+IF(F$3&lt;=$O$2,$D331,$D331-($D331-$I$319)*MIN(F$3-$O$2,$Q$2)/$Q$2))</f>
        <v>8998.47139298916</v>
      </c>
      <c r="G331" s="15" t="n">
        <f aca="false">F331*(1+IF(G$3&lt;=$O$2,$D331,$D331-($D331-$I$319)*MIN(G$3-$O$2,$Q$2)/$Q$2))</f>
        <v>9646.55465981821</v>
      </c>
      <c r="H331" s="15" t="n">
        <f aca="false">G331*(1+IF(H$3&lt;=$O$2,$D331,$D331-($D331-$I$319)*MIN(H$3-$O$2,$Q$2)/$Q$2))</f>
        <v>10341.3138455229</v>
      </c>
      <c r="I331" s="15" t="n">
        <f aca="false">H331*(1+IF(I$3&lt;=$O$2,$D331,$D331-($D331-$I$319)*MIN(I$3-$O$2,$Q$2)/$Q$2))</f>
        <v>11086.1106190652</v>
      </c>
      <c r="J331" s="15" t="n">
        <f aca="false">I331*(1+IF(J$3&lt;=$O$2,$D331,$D331-($D331-$I$319)*MIN(J$3-$O$2,$Q$2)/$Q$2))</f>
        <v>11765.4362981154</v>
      </c>
      <c r="K331" s="15" t="n">
        <f aca="false">J331*(1+IF(K$3&lt;=$O$2,$D331,$D331-($D331-$I$319)*MIN(K$3-$O$2,$Q$2)/$Q$2))</f>
        <v>12359.9778037235</v>
      </c>
      <c r="L331" s="15" t="n">
        <f aca="false">K331*(1+IF(L$3&lt;=$O$2,$D331,$D331-($D331-$I$319)*MIN(L$3-$O$2,$Q$2)/$Q$2))</f>
        <v>12851.7639393148</v>
      </c>
      <c r="M331" s="15" t="n">
        <f aca="false">L331*(1+IF(M$3&lt;=$O$2,$D331,$D331-($D331-$I$319)*MIN(M$3-$O$2,$Q$2)/$Q$2))</f>
        <v>13225.0343865357</v>
      </c>
      <c r="N331" s="15" t="n">
        <f aca="false">M331*(1+IF(N$3&lt;=$O$2,$D331,$D331-($D331-$I$319)*MIN(N$3-$O$2,$Q$2)/$Q$2))</f>
        <v>13467.0525158093</v>
      </c>
      <c r="O331" s="15" t="n">
        <f aca="false">SUMPRODUCT(E331:N331,1/(1+$F$319)^$E$3:$N$3)*$E$2</f>
        <v>20491.2476003379</v>
      </c>
      <c r="P331" s="15" t="n">
        <f aca="false">N331*$E$2*(1+$I$319)/($F$319-$I$319)/(1+$F$319)^$N$3</f>
        <v>27773.1016131919</v>
      </c>
      <c r="Q331" s="15" t="n">
        <f aca="false">O331+P331</f>
        <v>48264.3492135298</v>
      </c>
      <c r="R331" s="15" t="n">
        <f aca="false">Q331-$G$2+$I$2</f>
        <v>45747.3492135298</v>
      </c>
      <c r="S331" s="42" t="n">
        <f aca="false">R331/$K$2</f>
        <v>105.598423926711</v>
      </c>
      <c r="T331" s="43" t="n">
        <f aca="false">S331-$M$2</f>
        <v>0.340125602534101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0.0712890625</v>
      </c>
      <c r="C332" s="25" t="n">
        <f aca="false">IF(T331&gt;0,D331,C331)</f>
        <v>0.072021484375</v>
      </c>
      <c r="D332" s="41" t="n">
        <f aca="false">(B332+C332)/2</f>
        <v>0.0716552734375</v>
      </c>
      <c r="E332" s="15" t="n">
        <f aca="false">$C$2*(1+IF(E$3&lt;=$O$2,$D332,$D332-($D332-$I$319)*MIN(E$3-$O$2,$Q$2)/$Q$2))</f>
        <v>8391.06079101563</v>
      </c>
      <c r="F332" s="15" t="n">
        <f aca="false">E332*(1+IF(F$3&lt;=$O$2,$D332,$D332-($D332-$I$319)*MIN(F$3-$O$2,$Q$2)/$Q$2))</f>
        <v>8992.32454642654</v>
      </c>
      <c r="G332" s="15" t="n">
        <f aca="false">F332*(1+IF(G$3&lt;=$O$2,$D332,$D332-($D332-$I$319)*MIN(G$3-$O$2,$Q$2)/$Q$2))</f>
        <v>9636.67202063947</v>
      </c>
      <c r="H332" s="15" t="n">
        <f aca="false">G332*(1+IF(H$3&lt;=$O$2,$D332,$D332-($D332-$I$319)*MIN(H$3-$O$2,$Q$2)/$Q$2))</f>
        <v>10327.1903893059</v>
      </c>
      <c r="I332" s="15" t="n">
        <f aca="false">H332*(1+IF(I$3&lt;=$O$2,$D332,$D332-($D332-$I$319)*MIN(I$3-$O$2,$Q$2)/$Q$2))</f>
        <v>11067.1880404927</v>
      </c>
      <c r="J332" s="15" t="n">
        <f aca="false">I332*(1+IF(J$3&lt;=$O$2,$D332,$D332-($D332-$I$319)*MIN(J$3-$O$2,$Q$2)/$Q$2))</f>
        <v>11742.1118569015</v>
      </c>
      <c r="K332" s="15" t="n">
        <f aca="false">J332*(1+IF(K$3&lt;=$O$2,$D332,$D332-($D332-$I$319)*MIN(K$3-$O$2,$Q$2)/$Q$2))</f>
        <v>12332.894657198</v>
      </c>
      <c r="L332" s="15" t="n">
        <f aca="false">K332*(1+IF(L$3&lt;=$O$2,$D332,$D332-($D332-$I$319)*MIN(L$3-$O$2,$Q$2)/$Q$2))</f>
        <v>12821.796616109</v>
      </c>
      <c r="M332" s="15" t="n">
        <f aca="false">L332*(1+IF(M$3&lt;=$O$2,$D332,$D332-($D332-$I$319)*MIN(M$3-$O$2,$Q$2)/$Q$2))</f>
        <v>13193.2575870663</v>
      </c>
      <c r="N332" s="15" t="n">
        <f aca="false">M332*(1+IF(N$3&lt;=$O$2,$D332,$D332-($D332-$I$319)*MIN(N$3-$O$2,$Q$2)/$Q$2))</f>
        <v>13434.6942009097</v>
      </c>
      <c r="O332" s="15" t="n">
        <f aca="false">SUMPRODUCT(E332:N332,1/(1+$F$319)^$E$3:$N$3)*$E$2</f>
        <v>20458.4681393584</v>
      </c>
      <c r="P332" s="15" t="n">
        <f aca="false">N332*$E$2*(1+$I$319)/($F$319-$I$319)/(1+$F$319)^$N$3</f>
        <v>27706.3690622729</v>
      </c>
      <c r="Q332" s="15" t="n">
        <f aca="false">O332+P332</f>
        <v>48164.8372016313</v>
      </c>
      <c r="R332" s="15" t="n">
        <f aca="false">Q332-$G$2+$I$2</f>
        <v>45647.8372016313</v>
      </c>
      <c r="S332" s="42" t="n">
        <f aca="false">R332/$K$2</f>
        <v>105.368720746114</v>
      </c>
      <c r="T332" s="43" t="n">
        <f aca="false">S332-$M$2</f>
        <v>0.110422421936391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0.0712890625</v>
      </c>
      <c r="C333" s="25" t="n">
        <f aca="false">IF(T332&gt;0,D332,C332)</f>
        <v>0.0716552734375</v>
      </c>
      <c r="D333" s="41" t="n">
        <f aca="false">(B333+C333)/2</f>
        <v>0.07147216796875</v>
      </c>
      <c r="E333" s="15" t="n">
        <f aca="false">$C$2*(1+IF(E$3&lt;=$O$2,$D333,$D333-($D333-$I$319)*MIN(E$3-$O$2,$Q$2)/$Q$2))</f>
        <v>8389.62707519531</v>
      </c>
      <c r="F333" s="15" t="n">
        <f aca="false">E333*(1+IF(F$3&lt;=$O$2,$D333,$D333-($D333-$I$319)*MIN(F$3-$O$2,$Q$2)/$Q$2))</f>
        <v>8989.25191070885</v>
      </c>
      <c r="G333" s="15" t="n">
        <f aca="false">F333*(1+IF(G$3&lt;=$O$2,$D333,$D333-($D333-$I$319)*MIN(G$3-$O$2,$Q$2)/$Q$2))</f>
        <v>9631.73323318443</v>
      </c>
      <c r="H333" s="15" t="n">
        <f aca="false">G333*(1+IF(H$3&lt;=$O$2,$D333,$D333-($D333-$I$319)*MIN(H$3-$O$2,$Q$2)/$Q$2))</f>
        <v>10320.1340886568</v>
      </c>
      <c r="I333" s="15" t="n">
        <f aca="false">H333*(1+IF(I$3&lt;=$O$2,$D333,$D333-($D333-$I$319)*MIN(I$3-$O$2,$Q$2)/$Q$2))</f>
        <v>11057.7364457013</v>
      </c>
      <c r="J333" s="15" t="n">
        <f aca="false">I333*(1+IF(J$3&lt;=$O$2,$D333,$D333-($D333-$I$319)*MIN(J$3-$O$2,$Q$2)/$Q$2))</f>
        <v>11730.4640783736</v>
      </c>
      <c r="K333" s="15" t="n">
        <f aca="false">J333*(1+IF(K$3&lt;=$O$2,$D333,$D333-($D333-$I$319)*MIN(K$3-$O$2,$Q$2)/$Q$2))</f>
        <v>12319.3720948039</v>
      </c>
      <c r="L333" s="15" t="n">
        <f aca="false">K333*(1+IF(L$3&lt;=$O$2,$D333,$D333-($D333-$I$319)*MIN(L$3-$O$2,$Q$2)/$Q$2))</f>
        <v>12806.8356930565</v>
      </c>
      <c r="M333" s="15" t="n">
        <f aca="false">L333*(1+IF(M$3&lt;=$O$2,$D333,$D333-($D333-$I$319)*MIN(M$3-$O$2,$Q$2)/$Q$2))</f>
        <v>13177.3942299634</v>
      </c>
      <c r="N333" s="15" t="n">
        <f aca="false">M333*(1+IF(N$3&lt;=$O$2,$D333,$D333-($D333-$I$319)*MIN(N$3-$O$2,$Q$2)/$Q$2))</f>
        <v>13418.5405443717</v>
      </c>
      <c r="O333" s="15" t="n">
        <f aca="false">SUMPRODUCT(E333:N333,1/(1+$F$319)^$E$3:$N$3)*$E$2</f>
        <v>20442.0980794542</v>
      </c>
      <c r="P333" s="15" t="n">
        <f aca="false">N333*$E$2*(1+$I$319)/($F$319-$I$319)/(1+$F$319)^$N$3</f>
        <v>27673.0553773425</v>
      </c>
      <c r="Q333" s="15" t="n">
        <f aca="false">O333+P333</f>
        <v>48115.1534567966</v>
      </c>
      <c r="R333" s="15" t="n">
        <f aca="false">Q333-$G$2+$I$2</f>
        <v>45598.1534567966</v>
      </c>
      <c r="S333" s="42" t="n">
        <f aca="false">R333/$K$2</f>
        <v>105.254035955858</v>
      </c>
      <c r="T333" s="43" t="n">
        <f aca="false">S333-$M$2</f>
        <v>-0.00426236831957283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0.07147216796875</v>
      </c>
      <c r="C334" s="25" t="n">
        <f aca="false">IF(T333&gt;0,D333,C333)</f>
        <v>0.0716552734375</v>
      </c>
      <c r="D334" s="41" t="n">
        <f aca="false">(B334+C334)/2</f>
        <v>0.071563720703125</v>
      </c>
      <c r="E334" s="15" t="n">
        <f aca="false">$C$2*(1+IF(E$3&lt;=$O$2,$D334,$D334-($D334-$I$319)*MIN(E$3-$O$2,$Q$2)/$Q$2))</f>
        <v>8390.34393310547</v>
      </c>
      <c r="F334" s="15" t="n">
        <f aca="false">E334*(1+IF(F$3&lt;=$O$2,$D334,$D334-($D334-$I$319)*MIN(F$3-$O$2,$Q$2)/$Q$2))</f>
        <v>8990.78816293739</v>
      </c>
      <c r="G334" s="15" t="n">
        <f aca="false">F334*(1+IF(G$3&lt;=$O$2,$D334,$D334-($D334-$I$319)*MIN(G$3-$O$2,$Q$2)/$Q$2))</f>
        <v>9634.2024159308</v>
      </c>
      <c r="H334" s="15" t="n">
        <f aca="false">G334*(1+IF(H$3&lt;=$O$2,$D334,$D334-($D334-$I$319)*MIN(H$3-$O$2,$Q$2)/$Q$2))</f>
        <v>10323.6617868218</v>
      </c>
      <c r="I334" s="15" t="n">
        <f aca="false">H334*(1+IF(I$3&lt;=$O$2,$D334,$D334-($D334-$I$319)*MIN(I$3-$O$2,$Q$2)/$Q$2))</f>
        <v>11062.4614355675</v>
      </c>
      <c r="J334" s="15" t="n">
        <f aca="false">I334*(1+IF(J$3&lt;=$O$2,$D334,$D334-($D334-$I$319)*MIN(J$3-$O$2,$Q$2)/$Q$2))</f>
        <v>11736.2867647929</v>
      </c>
      <c r="K334" s="15" t="n">
        <f aca="false">J334*(1+IF(K$3&lt;=$O$2,$D334,$D334-($D334-$I$319)*MIN(K$3-$O$2,$Q$2)/$Q$2))</f>
        <v>12326.1317927876</v>
      </c>
      <c r="L334" s="15" t="n">
        <f aca="false">K334*(1+IF(L$3&lt;=$O$2,$D334,$D334-($D334-$I$319)*MIN(L$3-$O$2,$Q$2)/$Q$2))</f>
        <v>12814.31426106</v>
      </c>
      <c r="M334" s="15" t="n">
        <f aca="false">L334*(1+IF(M$3&lt;=$O$2,$D334,$D334-($D334-$I$319)*MIN(M$3-$O$2,$Q$2)/$Q$2))</f>
        <v>13185.3238231981</v>
      </c>
      <c r="N334" s="15" t="n">
        <f aca="false">M334*(1+IF(N$3&lt;=$O$2,$D334,$D334-($D334-$I$319)*MIN(N$3-$O$2,$Q$2)/$Q$2))</f>
        <v>13426.6152491626</v>
      </c>
      <c r="O334" s="15" t="n">
        <f aca="false">SUMPRODUCT(E334:N334,1/(1+$F$319)^$E$3:$N$3)*$E$2</f>
        <v>20450.2814712077</v>
      </c>
      <c r="P334" s="15" t="n">
        <f aca="false">N334*$E$2*(1+$I$319)/($F$319-$I$319)/(1+$F$319)^$N$3</f>
        <v>27689.707840559</v>
      </c>
      <c r="Q334" s="15" t="n">
        <f aca="false">O334+P334</f>
        <v>48139.9893117666</v>
      </c>
      <c r="R334" s="15" t="n">
        <f aca="false">Q334-$G$2+$I$2</f>
        <v>45622.9893117666</v>
      </c>
      <c r="S334" s="42" t="n">
        <f aca="false">R334/$K$2</f>
        <v>105.311364460936</v>
      </c>
      <c r="T334" s="43" t="n">
        <f aca="false">S334-$M$2</f>
        <v>0.0530661367587157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0.07147216796875</v>
      </c>
      <c r="C335" s="25" t="n">
        <f aca="false">IF(T334&gt;0,D334,C334)</f>
        <v>0.071563720703125</v>
      </c>
      <c r="D335" s="41" t="n">
        <f aca="false">(B335+C335)/2</f>
        <v>0.0715179443359375</v>
      </c>
      <c r="E335" s="15" t="n">
        <f aca="false">$C$2*(1+IF(E$3&lt;=$O$2,$D335,$D335-($D335-$I$319)*MIN(E$3-$O$2,$Q$2)/$Q$2))</f>
        <v>8389.98550415039</v>
      </c>
      <c r="F335" s="15" t="n">
        <f aca="false">E335*(1+IF(F$3&lt;=$O$2,$D335,$D335-($D335-$I$319)*MIN(F$3-$O$2,$Q$2)/$Q$2))</f>
        <v>8990.02002041554</v>
      </c>
      <c r="G335" s="15" t="n">
        <f aca="false">F335*(1+IF(G$3&lt;=$O$2,$D335,$D335-($D335-$I$319)*MIN(G$3-$O$2,$Q$2)/$Q$2))</f>
        <v>9632.96777181458</v>
      </c>
      <c r="H335" s="15" t="n">
        <f aca="false">G335*(1+IF(H$3&lt;=$O$2,$D335,$D335-($D335-$I$319)*MIN(H$3-$O$2,$Q$2)/$Q$2))</f>
        <v>10321.8978247091</v>
      </c>
      <c r="I335" s="15" t="n">
        <f aca="false">H335*(1+IF(I$3&lt;=$O$2,$D335,$D335-($D335-$I$319)*MIN(I$3-$O$2,$Q$2)/$Q$2))</f>
        <v>11060.0987387779</v>
      </c>
      <c r="J335" s="15" t="n">
        <f aca="false">I335*(1+IF(J$3&lt;=$O$2,$D335,$D335-($D335-$I$319)*MIN(J$3-$O$2,$Q$2)/$Q$2))</f>
        <v>11733.3751209217</v>
      </c>
      <c r="K335" s="15" t="n">
        <f aca="false">J335*(1+IF(K$3&lt;=$O$2,$D335,$D335-($D335-$I$319)*MIN(K$3-$O$2,$Q$2)/$Q$2))</f>
        <v>12322.7515480693</v>
      </c>
      <c r="L335" s="15" t="n">
        <f aca="false">K335*(1+IF(L$3&lt;=$O$2,$D335,$D335-($D335-$I$319)*MIN(L$3-$O$2,$Q$2)/$Q$2))</f>
        <v>12810.5745037793</v>
      </c>
      <c r="M335" s="15" t="n">
        <f aca="false">L335*(1+IF(M$3&lt;=$O$2,$D335,$D335-($D335-$I$319)*MIN(M$3-$O$2,$Q$2)/$Q$2))</f>
        <v>13181.3585053691</v>
      </c>
      <c r="N335" s="15" t="n">
        <f aca="false">M335*(1+IF(N$3&lt;=$O$2,$D335,$D335-($D335-$I$319)*MIN(N$3-$O$2,$Q$2)/$Q$2))</f>
        <v>13422.5773660174</v>
      </c>
      <c r="O335" s="15" t="n">
        <f aca="false">SUMPRODUCT(E335:N335,1/(1+$F$319)^$E$3:$N$3)*$E$2</f>
        <v>20446.1893658575</v>
      </c>
      <c r="P335" s="15" t="n">
        <f aca="false">N335*$E$2*(1+$I$319)/($F$319-$I$319)/(1+$F$319)^$N$3</f>
        <v>27681.3805143856</v>
      </c>
      <c r="Q335" s="15" t="n">
        <f aca="false">O335+P335</f>
        <v>48127.569880243</v>
      </c>
      <c r="R335" s="15" t="n">
        <f aca="false">Q335-$G$2+$I$2</f>
        <v>45610.569880243</v>
      </c>
      <c r="S335" s="42" t="n">
        <f aca="false">R335/$K$2</f>
        <v>105.28269673663</v>
      </c>
      <c r="T335" s="43" t="n">
        <f aca="false">S335-$M$2</f>
        <v>0.0243984124532943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0.07147216796875</v>
      </c>
      <c r="C336" s="25" t="n">
        <f aca="false">IF(T335&gt;0,D335,C335)</f>
        <v>0.0715179443359375</v>
      </c>
      <c r="D336" s="41" t="n">
        <f aca="false">(B336+C336)/2</f>
        <v>0.0714950561523438</v>
      </c>
      <c r="E336" s="15" t="n">
        <f aca="false">$C$2*(1+IF(E$3&lt;=$O$2,$D336,$D336-($D336-$I$319)*MIN(E$3-$O$2,$Q$2)/$Q$2))</f>
        <v>8389.80628967285</v>
      </c>
      <c r="F336" s="15" t="n">
        <f aca="false">E336*(1+IF(F$3&lt;=$O$2,$D336,$D336-($D336-$I$319)*MIN(F$3-$O$2,$Q$2)/$Q$2))</f>
        <v>8989.6359614603</v>
      </c>
      <c r="G336" s="15" t="n">
        <f aca="false">F336*(1+IF(G$3&lt;=$O$2,$D336,$D336-($D336-$I$319)*MIN(G$3-$O$2,$Q$2)/$Q$2))</f>
        <v>9632.35048931403</v>
      </c>
      <c r="H336" s="15" t="n">
        <f aca="false">G336*(1+IF(H$3&lt;=$O$2,$D336,$D336-($D336-$I$319)*MIN(H$3-$O$2,$Q$2)/$Q$2))</f>
        <v>10321.0159284266</v>
      </c>
      <c r="I336" s="15" t="n">
        <f aca="false">H336*(1+IF(I$3&lt;=$O$2,$D336,$D336-($D336-$I$319)*MIN(I$3-$O$2,$Q$2)/$Q$2))</f>
        <v>11058.9175417787</v>
      </c>
      <c r="J336" s="15" t="n">
        <f aca="false">I336*(1+IF(J$3&lt;=$O$2,$D336,$D336-($D336-$I$319)*MIN(J$3-$O$2,$Q$2)/$Q$2))</f>
        <v>11731.9195244885</v>
      </c>
      <c r="K336" s="15" t="n">
        <f aca="false">J336*(1+IF(K$3&lt;=$O$2,$D336,$D336-($D336-$I$319)*MIN(K$3-$O$2,$Q$2)/$Q$2))</f>
        <v>12321.0617225146</v>
      </c>
      <c r="L336" s="15" t="n">
        <f aca="false">K336*(1+IF(L$3&lt;=$O$2,$D336,$D336-($D336-$I$319)*MIN(L$3-$O$2,$Q$2)/$Q$2))</f>
        <v>12808.7049801109</v>
      </c>
      <c r="M336" s="15" t="n">
        <f aca="false">L336*(1+IF(M$3&lt;=$O$2,$D336,$D336-($D336-$I$319)*MIN(M$3-$O$2,$Q$2)/$Q$2))</f>
        <v>13179.3762373781</v>
      </c>
      <c r="N336" s="15" t="n">
        <f aca="false">M336*(1+IF(N$3&lt;=$O$2,$D336,$D336-($D336-$I$319)*MIN(N$3-$O$2,$Q$2)/$Q$2))</f>
        <v>13420.5588225221</v>
      </c>
      <c r="O336" s="15" t="n">
        <f aca="false">SUMPRODUCT(E336:N336,1/(1+$F$319)^$E$3:$N$3)*$E$2</f>
        <v>20444.143620297</v>
      </c>
      <c r="P336" s="15" t="n">
        <f aca="false">N336*$E$2*(1+$I$319)/($F$319-$I$319)/(1+$F$319)^$N$3</f>
        <v>27677.2176722536</v>
      </c>
      <c r="Q336" s="15" t="n">
        <f aca="false">O336+P336</f>
        <v>48121.3612925506</v>
      </c>
      <c r="R336" s="15" t="n">
        <f aca="false">Q336-$G$2+$I$2</f>
        <v>45604.3612925506</v>
      </c>
      <c r="S336" s="42" t="n">
        <f aca="false">R336/$K$2</f>
        <v>105.268365478396</v>
      </c>
      <c r="T336" s="43" t="n">
        <f aca="false">S336-$M$2</f>
        <v>0.0100671542185893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0.07147216796875</v>
      </c>
      <c r="C337" s="25" t="n">
        <f aca="false">IF(T336&gt;0,D336,C336)</f>
        <v>0.0714950561523438</v>
      </c>
      <c r="D337" s="41" t="n">
        <f aca="false">(B337+C337)/2</f>
        <v>0.0714836120605469</v>
      </c>
      <c r="E337" s="15" t="n">
        <f aca="false">$C$2*(1+IF(E$3&lt;=$O$2,$D337,$D337-($D337-$I$319)*MIN(E$3-$O$2,$Q$2)/$Q$2))</f>
        <v>8389.71668243408</v>
      </c>
      <c r="F337" s="15" t="n">
        <f aca="false">E337*(1+IF(F$3&lt;=$O$2,$D337,$D337-($D337-$I$319)*MIN(F$3-$O$2,$Q$2)/$Q$2))</f>
        <v>8989.4439350591</v>
      </c>
      <c r="G337" s="15" t="n">
        <f aca="false">F337*(1+IF(G$3&lt;=$O$2,$D337,$D337-($D337-$I$319)*MIN(G$3-$O$2,$Q$2)/$Q$2))</f>
        <v>9632.0418579529</v>
      </c>
      <c r="H337" s="15" t="n">
        <f aca="false">G337*(1+IF(H$3&lt;=$O$2,$D337,$D337-($D337-$I$319)*MIN(H$3-$O$2,$Q$2)/$Q$2))</f>
        <v>10320.5750014778</v>
      </c>
      <c r="I337" s="15" t="n">
        <f aca="false">H337*(1+IF(I$3&lt;=$O$2,$D337,$D337-($D337-$I$319)*MIN(I$3-$O$2,$Q$2)/$Q$2))</f>
        <v>11058.3269811252</v>
      </c>
      <c r="J337" s="15" t="n">
        <f aca="false">I337*(1+IF(J$3&lt;=$O$2,$D337,$D337-($D337-$I$319)*MIN(J$3-$O$2,$Q$2)/$Q$2))</f>
        <v>11731.191782642</v>
      </c>
      <c r="K337" s="15" t="n">
        <f aca="false">J337*(1+IF(K$3&lt;=$O$2,$D337,$D337-($D337-$I$319)*MIN(K$3-$O$2,$Q$2)/$Q$2))</f>
        <v>12320.2168839299</v>
      </c>
      <c r="L337" s="15" t="n">
        <f aca="false">K337*(1+IF(L$3&lt;=$O$2,$D337,$D337-($D337-$I$319)*MIN(L$3-$O$2,$Q$2)/$Q$2))</f>
        <v>12807.7703070085</v>
      </c>
      <c r="M337" s="15" t="n">
        <f aca="false">L337*(1+IF(M$3&lt;=$O$2,$D337,$D337-($D337-$I$319)*MIN(M$3-$O$2,$Q$2)/$Q$2))</f>
        <v>13178.3852011005</v>
      </c>
      <c r="N337" s="15" t="n">
        <f aca="false">M337*(1+IF(N$3&lt;=$O$2,$D337,$D337-($D337-$I$319)*MIN(N$3-$O$2,$Q$2)/$Q$2))</f>
        <v>13419.5496502806</v>
      </c>
      <c r="O337" s="15" t="n">
        <f aca="false">SUMPRODUCT(E337:N337,1/(1+$F$319)^$E$3:$N$3)*$E$2</f>
        <v>20443.1208242871</v>
      </c>
      <c r="P337" s="15" t="n">
        <f aca="false">N337*$E$2*(1+$I$319)/($F$319-$I$319)/(1+$F$319)^$N$3</f>
        <v>27675.1364563993</v>
      </c>
      <c r="Q337" s="15" t="n">
        <f aca="false">O337+P337</f>
        <v>48118.2572806863</v>
      </c>
      <c r="R337" s="15" t="n">
        <f aca="false">Q337-$G$2+$I$2</f>
        <v>45601.2572806863</v>
      </c>
      <c r="S337" s="42" t="n">
        <f aca="false">R337/$K$2</f>
        <v>105.261200500176</v>
      </c>
      <c r="T337" s="43" t="n">
        <f aca="false">S337-$M$2</f>
        <v>0.00290217599905418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0.07147216796875</v>
      </c>
      <c r="C338" s="25" t="n">
        <f aca="false">IF(T337&gt;0,D337,C337)</f>
        <v>0.0714836120605469</v>
      </c>
      <c r="D338" s="41" t="n">
        <f aca="false">(B338+C338)/2</f>
        <v>0.0714778900146484</v>
      </c>
      <c r="E338" s="15" t="n">
        <f aca="false">$C$2*(1+IF(E$3&lt;=$O$2,$D338,$D338-($D338-$I$319)*MIN(E$3-$O$2,$Q$2)/$Q$2))</f>
        <v>8389.6718788147</v>
      </c>
      <c r="F338" s="15" t="n">
        <f aca="false">E338*(1+IF(F$3&lt;=$O$2,$D338,$D338-($D338-$I$319)*MIN(F$3-$O$2,$Q$2)/$Q$2))</f>
        <v>8989.3479226276</v>
      </c>
      <c r="G338" s="15" t="n">
        <f aca="false">F338*(1+IF(G$3&lt;=$O$2,$D338,$D338-($D338-$I$319)*MIN(G$3-$O$2,$Q$2)/$Q$2))</f>
        <v>9631.88754474459</v>
      </c>
      <c r="H338" s="15" t="n">
        <f aca="false">G338*(1+IF(H$3&lt;=$O$2,$D338,$D338-($D338-$I$319)*MIN(H$3-$O$2,$Q$2)/$Q$2))</f>
        <v>10320.3545433013</v>
      </c>
      <c r="I338" s="15" t="n">
        <f aca="false">H338*(1+IF(I$3&lt;=$O$2,$D338,$D338-($D338-$I$319)*MIN(I$3-$O$2,$Q$2)/$Q$2))</f>
        <v>11058.0317102596</v>
      </c>
      <c r="J338" s="15" t="n">
        <f aca="false">I338*(1+IF(J$3&lt;=$O$2,$D338,$D338-($D338-$I$319)*MIN(J$3-$O$2,$Q$2)/$Q$2))</f>
        <v>11730.8279258107</v>
      </c>
      <c r="K338" s="15" t="n">
        <f aca="false">J338*(1+IF(K$3&lt;=$O$2,$D338,$D338-($D338-$I$319)*MIN(K$3-$O$2,$Q$2)/$Q$2))</f>
        <v>12319.7944831847</v>
      </c>
      <c r="L338" s="15" t="n">
        <f aca="false">K338*(1+IF(L$3&lt;=$O$2,$D338,$D338-($D338-$I$319)*MIN(L$3-$O$2,$Q$2)/$Q$2))</f>
        <v>12807.3029926389</v>
      </c>
      <c r="M338" s="15" t="n">
        <f aca="false">L338*(1+IF(M$3&lt;=$O$2,$D338,$D338-($D338-$I$319)*MIN(M$3-$O$2,$Q$2)/$Q$2))</f>
        <v>13177.8897073896</v>
      </c>
      <c r="N338" s="15" t="n">
        <f aca="false">M338*(1+IF(N$3&lt;=$O$2,$D338,$D338-($D338-$I$319)*MIN(N$3-$O$2,$Q$2)/$Q$2))</f>
        <v>13419.0450890348</v>
      </c>
      <c r="O338" s="15" t="n">
        <f aca="false">SUMPRODUCT(E338:N338,1/(1+$F$319)^$E$3:$N$3)*$E$2</f>
        <v>20442.6094454736</v>
      </c>
      <c r="P338" s="15" t="n">
        <f aca="false">N338*$E$2*(1+$I$319)/($F$319-$I$319)/(1+$F$319)^$N$3</f>
        <v>27674.0958997717</v>
      </c>
      <c r="Q338" s="15" t="n">
        <f aca="false">O338+P338</f>
        <v>48116.7053452453</v>
      </c>
      <c r="R338" s="15" t="n">
        <f aca="false">Q338-$G$2+$I$2</f>
        <v>45599.7053452453</v>
      </c>
      <c r="S338" s="42" t="n">
        <f aca="false">R338/$K$2</f>
        <v>105.257618173781</v>
      </c>
      <c r="T338" s="43" t="n">
        <f aca="false">S338-$M$2</f>
        <v>-0.000680150396391355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0.0714778900146484</v>
      </c>
      <c r="C339" s="25" t="n">
        <f aca="false">IF(T338&gt;0,D338,C338)</f>
        <v>0.0714836120605469</v>
      </c>
      <c r="D339" s="41" t="n">
        <f aca="false">(B339+C339)/2</f>
        <v>0.0714807510375977</v>
      </c>
      <c r="E339" s="15" t="n">
        <f aca="false">$C$2*(1+IF(E$3&lt;=$O$2,$D339,$D339-($D339-$I$319)*MIN(E$3-$O$2,$Q$2)/$Q$2))</f>
        <v>8389.69428062439</v>
      </c>
      <c r="F339" s="15" t="n">
        <f aca="false">E339*(1+IF(F$3&lt;=$O$2,$D339,$D339-($D339-$I$319)*MIN(F$3-$O$2,$Q$2)/$Q$2))</f>
        <v>8989.39592877926</v>
      </c>
      <c r="G339" s="15" t="n">
        <f aca="false">F339*(1+IF(G$3&lt;=$O$2,$D339,$D339-($D339-$I$319)*MIN(G$3-$O$2,$Q$2)/$Q$2))</f>
        <v>9631.96470114272</v>
      </c>
      <c r="H339" s="15" t="n">
        <f aca="false">G339*(1+IF(H$3&lt;=$O$2,$D339,$D339-($D339-$I$319)*MIN(H$3-$O$2,$Q$2)/$Q$2))</f>
        <v>10320.464771948</v>
      </c>
      <c r="I339" s="15" t="n">
        <f aca="false">H339*(1+IF(I$3&lt;=$O$2,$D339,$D339-($D339-$I$319)*MIN(I$3-$O$2,$Q$2)/$Q$2))</f>
        <v>11058.1793449039</v>
      </c>
      <c r="J339" s="15" t="n">
        <f aca="false">I339*(1+IF(J$3&lt;=$O$2,$D339,$D339-($D339-$I$319)*MIN(J$3-$O$2,$Q$2)/$Q$2))</f>
        <v>11731.009853052</v>
      </c>
      <c r="K339" s="15" t="n">
        <f aca="false">J339*(1+IF(K$3&lt;=$O$2,$D339,$D339-($D339-$I$319)*MIN(K$3-$O$2,$Q$2)/$Q$2))</f>
        <v>12320.0056820118</v>
      </c>
      <c r="L339" s="15" t="n">
        <f aca="false">K339*(1+IF(L$3&lt;=$O$2,$D339,$D339-($D339-$I$319)*MIN(L$3-$O$2,$Q$2)/$Q$2))</f>
        <v>12807.5366479753</v>
      </c>
      <c r="M339" s="15" t="n">
        <f aca="false">L339*(1+IF(M$3&lt;=$O$2,$D339,$D339-($D339-$I$319)*MIN(M$3-$O$2,$Q$2)/$Q$2))</f>
        <v>13178.1374522094</v>
      </c>
      <c r="N339" s="15" t="n">
        <f aca="false">M339*(1+IF(N$3&lt;=$O$2,$D339,$D339-($D339-$I$319)*MIN(N$3-$O$2,$Q$2)/$Q$2))</f>
        <v>13419.2973675849</v>
      </c>
      <c r="O339" s="15" t="n">
        <f aca="false">SUMPRODUCT(E339:N339,1/(1+$F$319)^$E$3:$N$3)*$E$2</f>
        <v>20442.8651332811</v>
      </c>
      <c r="P339" s="15" t="n">
        <f aca="false">N339*$E$2*(1+$I$319)/($F$319-$I$319)/(1+$F$319)^$N$3</f>
        <v>27674.6161738106</v>
      </c>
      <c r="Q339" s="15" t="n">
        <f aca="false">O339+P339</f>
        <v>48117.4813070917</v>
      </c>
      <c r="R339" s="15" t="n">
        <f aca="false">Q339-$G$2+$I$2</f>
        <v>45600.4813070917</v>
      </c>
      <c r="S339" s="42" t="n">
        <f aca="false">R339/$K$2</f>
        <v>105.259409323419</v>
      </c>
      <c r="T339" s="43" t="n">
        <f aca="false">S339-$M$2</f>
        <v>0.00111099924210123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0.0714778900146484</v>
      </c>
      <c r="C340" s="25" t="n">
        <f aca="false">IF(T339&gt;0,D339,C339)</f>
        <v>0.0714807510375977</v>
      </c>
      <c r="D340" s="41" t="n">
        <f aca="false">(B340+C340)/2</f>
        <v>0.0714793205261231</v>
      </c>
      <c r="E340" s="15" t="n">
        <f aca="false">$C$2*(1+IF(E$3&lt;=$O$2,$D340,$D340-($D340-$I$319)*MIN(E$3-$O$2,$Q$2)/$Q$2))</f>
        <v>8389.68307971954</v>
      </c>
      <c r="F340" s="15" t="n">
        <f aca="false">E340*(1+IF(F$3&lt;=$O$2,$D340,$D340-($D340-$I$319)*MIN(F$3-$O$2,$Q$2)/$Q$2))</f>
        <v>8989.37192568741</v>
      </c>
      <c r="G340" s="15" t="n">
        <f aca="false">F340*(1+IF(G$3&lt;=$O$2,$D340,$D340-($D340-$I$319)*MIN(G$3-$O$2,$Q$2)/$Q$2))</f>
        <v>9631.92612289215</v>
      </c>
      <c r="H340" s="15" t="n">
        <f aca="false">G340*(1+IF(H$3&lt;=$O$2,$D340,$D340-($D340-$I$319)*MIN(H$3-$O$2,$Q$2)/$Q$2))</f>
        <v>10320.4096575143</v>
      </c>
      <c r="I340" s="15" t="n">
        <f aca="false">H340*(1+IF(I$3&lt;=$O$2,$D340,$D340-($D340-$I$319)*MIN(I$3-$O$2,$Q$2)/$Q$2))</f>
        <v>11058.1055273847</v>
      </c>
      <c r="J340" s="15" t="n">
        <f aca="false">I340*(1+IF(J$3&lt;=$O$2,$D340,$D340-($D340-$I$319)*MIN(J$3-$O$2,$Q$2)/$Q$2))</f>
        <v>11730.9188891378</v>
      </c>
      <c r="K340" s="15" t="n">
        <f aca="false">J340*(1+IF(K$3&lt;=$O$2,$D340,$D340-($D340-$I$319)*MIN(K$3-$O$2,$Q$2)/$Q$2))</f>
        <v>12319.9000822118</v>
      </c>
      <c r="L340" s="15" t="n">
        <f aca="false">K340*(1+IF(L$3&lt;=$O$2,$D340,$D340-($D340-$I$319)*MIN(L$3-$O$2,$Q$2)/$Q$2))</f>
        <v>12807.419819845</v>
      </c>
      <c r="M340" s="15" t="n">
        <f aca="false">L340*(1+IF(M$3&lt;=$O$2,$D340,$D340-($D340-$I$319)*MIN(M$3-$O$2,$Q$2)/$Q$2))</f>
        <v>13178.0135792906</v>
      </c>
      <c r="N340" s="15" t="n">
        <f aca="false">M340*(1+IF(N$3&lt;=$O$2,$D340,$D340-($D340-$I$319)*MIN(N$3-$O$2,$Q$2)/$Q$2))</f>
        <v>13419.1712277916</v>
      </c>
      <c r="O340" s="15" t="n">
        <f aca="false">SUMPRODUCT(E340:N340,1/(1+$F$319)^$E$3:$N$3)*$E$2</f>
        <v>20442.7372889775</v>
      </c>
      <c r="P340" s="15" t="n">
        <f aca="false">N340*$E$2*(1+$I$319)/($F$319-$I$319)/(1+$F$319)^$N$3</f>
        <v>27674.3560357224</v>
      </c>
      <c r="Q340" s="15" t="n">
        <f aca="false">O340+P340</f>
        <v>48117.0933247</v>
      </c>
      <c r="R340" s="15" t="n">
        <f aca="false">Q340-$G$2+$I$2</f>
        <v>45600.0933247</v>
      </c>
      <c r="S340" s="42" t="n">
        <f aca="false">R340/$K$2</f>
        <v>105.25851374521</v>
      </c>
      <c r="T340" s="43" t="n">
        <f aca="false">S340-$M$2</f>
        <v>0.000215421033090024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0.0714778900146484</v>
      </c>
      <c r="C341" s="25" t="n">
        <f aca="false">IF(T340&gt;0,D340,C340)</f>
        <v>0.0714793205261231</v>
      </c>
      <c r="D341" s="41" t="n">
        <f aca="false">(B341+C341)/2</f>
        <v>0.0714786052703857</v>
      </c>
      <c r="E341" s="15" t="n">
        <f aca="false">$C$2*(1+IF(E$3&lt;=$O$2,$D341,$D341-($D341-$I$319)*MIN(E$3-$O$2,$Q$2)/$Q$2))</f>
        <v>8389.67747926712</v>
      </c>
      <c r="F341" s="15" t="n">
        <f aca="false">E341*(1+IF(F$3&lt;=$O$2,$D341,$D341-($D341-$I$319)*MIN(F$3-$O$2,$Q$2)/$Q$2))</f>
        <v>8989.3599241535</v>
      </c>
      <c r="G341" s="15" t="n">
        <f aca="false">F341*(1+IF(G$3&lt;=$O$2,$D341,$D341-($D341-$I$319)*MIN(G$3-$O$2,$Q$2)/$Q$2))</f>
        <v>9631.90683380549</v>
      </c>
      <c r="H341" s="15" t="n">
        <f aca="false">G341*(1+IF(H$3&lt;=$O$2,$D341,$D341-($D341-$I$319)*MIN(H$3-$O$2,$Q$2)/$Q$2))</f>
        <v>10320.3821003802</v>
      </c>
      <c r="I341" s="15" t="n">
        <f aca="false">H341*(1+IF(I$3&lt;=$O$2,$D341,$D341-($D341-$I$319)*MIN(I$3-$O$2,$Q$2)/$Q$2))</f>
        <v>11058.0686187728</v>
      </c>
      <c r="J341" s="15" t="n">
        <f aca="false">I341*(1+IF(J$3&lt;=$O$2,$D341,$D341-($D341-$I$319)*MIN(J$3-$O$2,$Q$2)/$Q$2))</f>
        <v>11730.8734074008</v>
      </c>
      <c r="K341" s="15" t="n">
        <f aca="false">J341*(1+IF(K$3&lt;=$O$2,$D341,$D341-($D341-$I$319)*MIN(K$3-$O$2,$Q$2)/$Q$2))</f>
        <v>12319.8472826017</v>
      </c>
      <c r="L341" s="15" t="n">
        <f aca="false">K341*(1+IF(L$3&lt;=$O$2,$D341,$D341-($D341-$I$319)*MIN(L$3-$O$2,$Q$2)/$Q$2))</f>
        <v>12807.3614061265</v>
      </c>
      <c r="M341" s="15" t="n">
        <f aca="false">L341*(1+IF(M$3&lt;=$O$2,$D341,$D341-($D341-$I$319)*MIN(M$3-$O$2,$Q$2)/$Q$2))</f>
        <v>13177.9516432129</v>
      </c>
      <c r="N341" s="15" t="n">
        <f aca="false">M341*(1+IF(N$3&lt;=$O$2,$D341,$D341-($D341-$I$319)*MIN(N$3-$O$2,$Q$2)/$Q$2))</f>
        <v>13419.1081582837</v>
      </c>
      <c r="O341" s="15" t="n">
        <f aca="false">SUMPRODUCT(E341:N341,1/(1+$F$319)^$E$3:$N$3)*$E$2</f>
        <v>20442.6733671256</v>
      </c>
      <c r="P341" s="15" t="n">
        <f aca="false">N341*$E$2*(1+$I$319)/($F$319-$I$319)/(1+$F$319)^$N$3</f>
        <v>27674.2259674799</v>
      </c>
      <c r="Q341" s="15" t="n">
        <f aca="false">O341+P341</f>
        <v>48116.8993346055</v>
      </c>
      <c r="R341" s="15" t="n">
        <f aca="false">Q341-$G$2+$I$2</f>
        <v>45599.8993346055</v>
      </c>
      <c r="S341" s="42" t="n">
        <f aca="false">R341/$K$2</f>
        <v>105.258065958648</v>
      </c>
      <c r="T341" s="43" t="n">
        <f aca="false">S341-$M$2</f>
        <v>-0.000232365529100775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0.0714786052703857</v>
      </c>
      <c r="C342" s="25" t="n">
        <f aca="false">IF(T341&gt;0,D341,C341)</f>
        <v>0.0714793205261231</v>
      </c>
      <c r="D342" s="41" t="n">
        <f aca="false">(B342+C342)/2</f>
        <v>0.0714789628982544</v>
      </c>
      <c r="E342" s="15" t="n">
        <f aca="false">$C$2*(1+IF(E$3&lt;=$O$2,$D342,$D342-($D342-$I$319)*MIN(E$3-$O$2,$Q$2)/$Q$2))</f>
        <v>8389.68027949333</v>
      </c>
      <c r="F342" s="15" t="n">
        <f aca="false">E342*(1+IF(F$3&lt;=$O$2,$D342,$D342-($D342-$I$319)*MIN(F$3-$O$2,$Q$2)/$Q$2))</f>
        <v>8989.36592491945</v>
      </c>
      <c r="G342" s="15" t="n">
        <f aca="false">F342*(1+IF(G$3&lt;=$O$2,$D342,$D342-($D342-$I$319)*MIN(G$3-$O$2,$Q$2)/$Q$2))</f>
        <v>9631.9164783456</v>
      </c>
      <c r="H342" s="15" t="n">
        <f aca="false">G342*(1+IF(H$3&lt;=$O$2,$D342,$D342-($D342-$I$319)*MIN(H$3-$O$2,$Q$2)/$Q$2))</f>
        <v>10320.3958789404</v>
      </c>
      <c r="I342" s="15" t="n">
        <f aca="false">H342*(1+IF(I$3&lt;=$O$2,$D342,$D342-($D342-$I$319)*MIN(I$3-$O$2,$Q$2)/$Q$2))</f>
        <v>11058.0870730664</v>
      </c>
      <c r="J342" s="15" t="n">
        <f aca="false">I342*(1+IF(J$3&lt;=$O$2,$D342,$D342-($D342-$I$319)*MIN(J$3-$O$2,$Q$2)/$Q$2))</f>
        <v>11730.896148251</v>
      </c>
      <c r="K342" s="15" t="n">
        <f aca="false">J342*(1+IF(K$3&lt;=$O$2,$D342,$D342-($D342-$I$319)*MIN(K$3-$O$2,$Q$2)/$Q$2))</f>
        <v>12319.8736823826</v>
      </c>
      <c r="L342" s="15" t="n">
        <f aca="false">K342*(1+IF(L$3&lt;=$O$2,$D342,$D342-($D342-$I$319)*MIN(L$3-$O$2,$Q$2)/$Q$2))</f>
        <v>12807.3906129569</v>
      </c>
      <c r="M342" s="15" t="n">
        <f aca="false">L342*(1+IF(M$3&lt;=$O$2,$D342,$D342-($D342-$I$319)*MIN(M$3-$O$2,$Q$2)/$Q$2))</f>
        <v>13177.9826112199</v>
      </c>
      <c r="N342" s="15" t="n">
        <f aca="false">M342*(1+IF(N$3&lt;=$O$2,$D342,$D342-($D342-$I$319)*MIN(N$3-$O$2,$Q$2)/$Q$2))</f>
        <v>13419.1396930053</v>
      </c>
      <c r="O342" s="15" t="n">
        <f aca="false">SUMPRODUCT(E342:N342,1/(1+$F$319)^$E$3:$N$3)*$E$2</f>
        <v>20442.7053280266</v>
      </c>
      <c r="P342" s="15" t="n">
        <f aca="false">N342*$E$2*(1+$I$319)/($F$319-$I$319)/(1+$F$319)^$N$3</f>
        <v>27674.2910015343</v>
      </c>
      <c r="Q342" s="15" t="n">
        <f aca="false">O342+P342</f>
        <v>48116.9963295609</v>
      </c>
      <c r="R342" s="15" t="n">
        <f aca="false">Q342-$G$2+$I$2</f>
        <v>45599.9963295609</v>
      </c>
      <c r="S342" s="42" t="n">
        <f aca="false">R342/$K$2</f>
        <v>105.258289851717</v>
      </c>
      <c r="T342" s="43" t="n">
        <f aca="false">S342-$M$2</f>
        <v>-8.47245989632484E-006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0.0714789628982544</v>
      </c>
      <c r="C343" s="25" t="n">
        <f aca="false">IF(T342&gt;0,D342,C342)</f>
        <v>0.0714793205261231</v>
      </c>
      <c r="D343" s="41" t="n">
        <f aca="false">(B343+C343)/2</f>
        <v>0.0714791417121887</v>
      </c>
      <c r="E343" s="15" t="n">
        <f aca="false">$C$2*(1+IF(E$3&lt;=$O$2,$D343,$D343-($D343-$I$319)*MIN(E$3-$O$2,$Q$2)/$Q$2))</f>
        <v>8389.68167960644</v>
      </c>
      <c r="F343" s="15" t="n">
        <f aca="false">E343*(1+IF(F$3&lt;=$O$2,$D343,$D343-($D343-$I$319)*MIN(F$3-$O$2,$Q$2)/$Q$2))</f>
        <v>8989.36892530318</v>
      </c>
      <c r="G343" s="15" t="n">
        <f aca="false">F343*(1+IF(G$3&lt;=$O$2,$D343,$D343-($D343-$I$319)*MIN(G$3-$O$2,$Q$2)/$Q$2))</f>
        <v>9631.92130061807</v>
      </c>
      <c r="H343" s="15" t="n">
        <f aca="false">G343*(1+IF(H$3&lt;=$O$2,$D343,$D343-($D343-$I$319)*MIN(H$3-$O$2,$Q$2)/$Q$2))</f>
        <v>10320.4027682256</v>
      </c>
      <c r="I343" s="15" t="n">
        <f aca="false">H343*(1+IF(I$3&lt;=$O$2,$D343,$D343-($D343-$I$319)*MIN(I$3-$O$2,$Q$2)/$Q$2))</f>
        <v>11058.0963002225</v>
      </c>
      <c r="J343" s="15" t="n">
        <f aca="false">I343*(1+IF(J$3&lt;=$O$2,$D343,$D343-($D343-$I$319)*MIN(J$3-$O$2,$Q$2)/$Q$2))</f>
        <v>11730.9075186898</v>
      </c>
      <c r="K343" s="15" t="n">
        <f aca="false">J343*(1+IF(K$3&lt;=$O$2,$D343,$D343-($D343-$I$319)*MIN(K$3-$O$2,$Q$2)/$Q$2))</f>
        <v>12319.8868822912</v>
      </c>
      <c r="L343" s="15" t="n">
        <f aca="false">K343*(1+IF(L$3&lt;=$O$2,$D343,$D343-($D343-$I$319)*MIN(L$3-$O$2,$Q$2)/$Q$2))</f>
        <v>12807.4052163937</v>
      </c>
      <c r="M343" s="15" t="n">
        <f aca="false">L343*(1+IF(M$3&lt;=$O$2,$D343,$D343-($D343-$I$319)*MIN(M$3-$O$2,$Q$2)/$Q$2))</f>
        <v>13177.9980952473</v>
      </c>
      <c r="N343" s="15" t="n">
        <f aca="false">M343*(1+IF(N$3&lt;=$O$2,$D343,$D343-($D343-$I$319)*MIN(N$3-$O$2,$Q$2)/$Q$2))</f>
        <v>13419.1554603904</v>
      </c>
      <c r="O343" s="15" t="n">
        <f aca="false">SUMPRODUCT(E343:N343,1/(1+$F$319)^$E$3:$N$3)*$E$2</f>
        <v>20442.7213084958</v>
      </c>
      <c r="P343" s="15" t="n">
        <f aca="false">N343*$E$2*(1+$I$319)/($F$319-$I$319)/(1+$F$319)^$N$3</f>
        <v>27674.3235186117</v>
      </c>
      <c r="Q343" s="15" t="n">
        <f aca="false">O343+P343</f>
        <v>48117.0448271075</v>
      </c>
      <c r="R343" s="15" t="n">
        <f aca="false">Q343-$G$2+$I$2</f>
        <v>45600.0448271075</v>
      </c>
      <c r="S343" s="42" t="n">
        <f aca="false">R343/$K$2</f>
        <v>105.258401798411</v>
      </c>
      <c r="T343" s="43" t="n">
        <f aca="false">S343-$M$2</f>
        <v>0.000103474233611678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0.0714789628982544</v>
      </c>
      <c r="C344" s="25" t="n">
        <f aca="false">IF(T343&gt;0,D343,C343)</f>
        <v>0.0714791417121887</v>
      </c>
      <c r="D344" s="41" t="n">
        <f aca="false">(B344+C344)/2</f>
        <v>0.0714790523052216</v>
      </c>
      <c r="E344" s="15" t="n">
        <f aca="false">$C$2*(1+IF(E$3&lt;=$O$2,$D344,$D344-($D344-$I$319)*MIN(E$3-$O$2,$Q$2)/$Q$2))</f>
        <v>8389.68097954989</v>
      </c>
      <c r="F344" s="15" t="n">
        <f aca="false">E344*(1+IF(F$3&lt;=$O$2,$D344,$D344-($D344-$I$319)*MIN(F$3-$O$2,$Q$2)/$Q$2))</f>
        <v>8989.36742511125</v>
      </c>
      <c r="G344" s="15" t="n">
        <f aca="false">F344*(1+IF(G$3&lt;=$O$2,$D344,$D344-($D344-$I$319)*MIN(G$3-$O$2,$Q$2)/$Q$2))</f>
        <v>9631.91888948164</v>
      </c>
      <c r="H344" s="15" t="n">
        <f aca="false">G344*(1+IF(H$3&lt;=$O$2,$D344,$D344-($D344-$I$319)*MIN(H$3-$O$2,$Q$2)/$Q$2))</f>
        <v>10320.3993235825</v>
      </c>
      <c r="I344" s="15" t="n">
        <f aca="false">H344*(1+IF(I$3&lt;=$O$2,$D344,$D344-($D344-$I$319)*MIN(I$3-$O$2,$Q$2)/$Q$2))</f>
        <v>11058.0916866437</v>
      </c>
      <c r="J344" s="15" t="n">
        <f aca="false">I344*(1+IF(J$3&lt;=$O$2,$D344,$D344-($D344-$I$319)*MIN(J$3-$O$2,$Q$2)/$Q$2))</f>
        <v>11730.9018334692</v>
      </c>
      <c r="K344" s="15" t="n">
        <f aca="false">J344*(1+IF(K$3&lt;=$O$2,$D344,$D344-($D344-$I$319)*MIN(K$3-$O$2,$Q$2)/$Q$2))</f>
        <v>12319.8802823354</v>
      </c>
      <c r="L344" s="15" t="n">
        <f aca="false">K344*(1+IF(L$3&lt;=$O$2,$D344,$D344-($D344-$I$319)*MIN(L$3-$O$2,$Q$2)/$Q$2))</f>
        <v>12807.3979146735</v>
      </c>
      <c r="M344" s="15" t="n">
        <f aca="false">L344*(1+IF(M$3&lt;=$O$2,$D344,$D344-($D344-$I$319)*MIN(M$3-$O$2,$Q$2)/$Q$2))</f>
        <v>13177.9903532317</v>
      </c>
      <c r="N344" s="15" t="n">
        <f aca="false">M344*(1+IF(N$3&lt;=$O$2,$D344,$D344-($D344-$I$319)*MIN(N$3-$O$2,$Q$2)/$Q$2))</f>
        <v>13419.1475766958</v>
      </c>
      <c r="O344" s="15" t="n">
        <f aca="false">SUMPRODUCT(E344:N344,1/(1+$F$319)^$E$3:$N$3)*$E$2</f>
        <v>20442.7133182596</v>
      </c>
      <c r="P344" s="15" t="n">
        <f aca="false">N344*$E$2*(1+$I$319)/($F$319-$I$319)/(1+$F$319)^$N$3</f>
        <v>27674.3072600688</v>
      </c>
      <c r="Q344" s="15" t="n">
        <f aca="false">O344+P344</f>
        <v>48117.0205783285</v>
      </c>
      <c r="R344" s="15" t="n">
        <f aca="false">Q344-$G$2+$I$2</f>
        <v>45600.0205783285</v>
      </c>
      <c r="S344" s="42" t="n">
        <f aca="false">R344/$K$2</f>
        <v>105.258345825051</v>
      </c>
      <c r="T344" s="43" t="n">
        <f aca="false">S344-$M$2</f>
        <v>4.75008736486871E-005</v>
      </c>
    </row>
    <row r="346" customFormat="false" ht="15" hidden="false" customHeight="false" outlineLevel="0" collapsed="false">
      <c r="A346" s="38" t="s">
        <v>184</v>
      </c>
      <c r="E346" s="5" t="s">
        <v>11</v>
      </c>
      <c r="F346" s="12" t="n">
        <f aca="false">Sensitivity!$B$12</f>
        <v>0.0821529104257703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153</v>
      </c>
      <c r="B347" s="28" t="s">
        <v>154</v>
      </c>
      <c r="C347" s="28" t="s">
        <v>155</v>
      </c>
      <c r="D347" s="28" t="s">
        <v>156</v>
      </c>
      <c r="E347" s="28" t="s">
        <v>157</v>
      </c>
      <c r="F347" s="28" t="s">
        <v>158</v>
      </c>
      <c r="G347" s="28" t="s">
        <v>159</v>
      </c>
      <c r="H347" s="28" t="s">
        <v>160</v>
      </c>
      <c r="I347" s="28" t="s">
        <v>161</v>
      </c>
      <c r="J347" s="28" t="s">
        <v>162</v>
      </c>
      <c r="K347" s="28" t="s">
        <v>163</v>
      </c>
      <c r="L347" s="28" t="s">
        <v>164</v>
      </c>
      <c r="M347" s="28" t="s">
        <v>165</v>
      </c>
      <c r="N347" s="28" t="s">
        <v>166</v>
      </c>
      <c r="O347" s="28" t="s">
        <v>167</v>
      </c>
      <c r="P347" s="28" t="s">
        <v>168</v>
      </c>
      <c r="Q347" s="28" t="s">
        <v>169</v>
      </c>
      <c r="R347" s="28" t="s">
        <v>170</v>
      </c>
      <c r="S347" s="28" t="s">
        <v>171</v>
      </c>
      <c r="T347" s="28" t="s">
        <v>172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9787.5</v>
      </c>
      <c r="F348" s="15" t="n">
        <f aca="false">E348*(1+IF(F$3&lt;=$O$2,$D348,$D348-($D348-$I$346)*MIN(F$3-$O$2,$Q$2)/$Q$2))</f>
        <v>12234.375</v>
      </c>
      <c r="G348" s="15" t="n">
        <f aca="false">F348*(1+IF(G$3&lt;=$O$2,$D348,$D348-($D348-$I$346)*MIN(G$3-$O$2,$Q$2)/$Q$2))</f>
        <v>15292.96875</v>
      </c>
      <c r="H348" s="15" t="n">
        <f aca="false">G348*(1+IF(H$3&lt;=$O$2,$D348,$D348-($D348-$I$346)*MIN(H$3-$O$2,$Q$2)/$Q$2))</f>
        <v>19116.2109375</v>
      </c>
      <c r="I348" s="15" t="n">
        <f aca="false">H348*(1+IF(I$3&lt;=$O$2,$D348,$D348-($D348-$I$346)*MIN(I$3-$O$2,$Q$2)/$Q$2))</f>
        <v>23895.263671875</v>
      </c>
      <c r="J348" s="15" t="n">
        <f aca="false">I348*(1+IF(J$3&lt;=$O$2,$D348,$D348-($D348-$I$346)*MIN(J$3-$O$2,$Q$2)/$Q$2))</f>
        <v>28785.6683349609</v>
      </c>
      <c r="K348" s="15" t="n">
        <f aca="false">J348*(1+IF(K$3&lt;=$O$2,$D348,$D348-($D348-$I$346)*MIN(K$3-$O$2,$Q$2)/$Q$2))</f>
        <v>33371.8010140869</v>
      </c>
      <c r="L348" s="15" t="n">
        <f aca="false">K348*(1+IF(L$3&lt;=$O$2,$D348,$D348-($D348-$I$346)*MIN(L$3-$O$2,$Q$2)/$Q$2))</f>
        <v>37175.5188936725</v>
      </c>
      <c r="M348" s="15" t="n">
        <f aca="false">L348*(1+IF(M$3&lt;=$O$2,$D348,$D348-($D348-$I$346)*MIN(M$3-$O$2,$Q$2)/$Q$2))</f>
        <v>39727.2465105342</v>
      </c>
      <c r="N348" s="15" t="n">
        <f aca="false">M348*(1+IF(N$3&lt;=$O$2,$D348,$D348-($D348-$I$346)*MIN(N$3-$O$2,$Q$2)/$Q$2))</f>
        <v>40652.8913542297</v>
      </c>
      <c r="O348" s="15" t="n">
        <f aca="false">SUMPRODUCT(E348:N348,1/(1+$F$346)^$E$3:$N$3)*$E$2</f>
        <v>44564.1894673011</v>
      </c>
      <c r="P348" s="15" t="n">
        <f aca="false">N348*$E$2*(1+$I$346)/($F$346-$I$346)/(1+$F$346)^$N$3</f>
        <v>91407.7989948394</v>
      </c>
      <c r="Q348" s="15" t="n">
        <f aca="false">O348+P348</f>
        <v>135971.988462141</v>
      </c>
      <c r="R348" s="15" t="n">
        <f aca="false">Q348-$G$2+$I$2</f>
        <v>133454.988462141</v>
      </c>
      <c r="S348" s="42" t="n">
        <f aca="false">R348/$K$2</f>
        <v>308.053618166614</v>
      </c>
      <c r="T348" s="43" t="n">
        <f aca="false">S348-$M$2</f>
        <v>202.795319842437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6851.25</v>
      </c>
      <c r="F349" s="15" t="n">
        <f aca="false">E349*(1+IF(F$3&lt;=$O$2,$D349,$D349-($D349-$I$346)*MIN(F$3-$O$2,$Q$2)/$Q$2))</f>
        <v>5994.84375</v>
      </c>
      <c r="G349" s="15" t="n">
        <f aca="false">F349*(1+IF(G$3&lt;=$O$2,$D349,$D349-($D349-$I$346)*MIN(G$3-$O$2,$Q$2)/$Q$2))</f>
        <v>5245.48828125</v>
      </c>
      <c r="H349" s="15" t="n">
        <f aca="false">G349*(1+IF(H$3&lt;=$O$2,$D349,$D349-($D349-$I$346)*MIN(H$3-$O$2,$Q$2)/$Q$2))</f>
        <v>4589.80224609375</v>
      </c>
      <c r="I349" s="15" t="n">
        <f aca="false">H349*(1+IF(I$3&lt;=$O$2,$D349,$D349-($D349-$I$346)*MIN(I$3-$O$2,$Q$2)/$Q$2))</f>
        <v>4016.07696533203</v>
      </c>
      <c r="J349" s="15" t="n">
        <f aca="false">I349*(1+IF(J$3&lt;=$O$2,$D349,$D349-($D349-$I$346)*MIN(J$3-$O$2,$Q$2)/$Q$2))</f>
        <v>3633.18418745728</v>
      </c>
      <c r="K349" s="15" t="n">
        <f aca="false">J349*(1+IF(K$3&lt;=$O$2,$D349,$D349-($D349-$I$346)*MIN(K$3-$O$2,$Q$2)/$Q$2))</f>
        <v>3394.55665002508</v>
      </c>
      <c r="L349" s="15" t="n">
        <f aca="false">K349*(1+IF(L$3&lt;=$O$2,$D349,$D349-($D349-$I$346)*MIN(L$3-$O$2,$Q$2)/$Q$2))</f>
        <v>3272.28471949118</v>
      </c>
      <c r="M349" s="15" t="n">
        <f aca="false">L349*(1+IF(M$3&lt;=$O$2,$D349,$D349-($D349-$I$346)*MIN(M$3-$O$2,$Q$2)/$Q$2))</f>
        <v>3251.47298867521</v>
      </c>
      <c r="N349" s="15" t="n">
        <f aca="false">M349*(1+IF(N$3&lt;=$O$2,$D349,$D349-($D349-$I$346)*MIN(N$3-$O$2,$Q$2)/$Q$2))</f>
        <v>3327.23230931135</v>
      </c>
      <c r="O349" s="15" t="n">
        <f aca="false">SUMPRODUCT(E349:N349,1/(1+$F$346)^$E$3:$N$3)*$E$2</f>
        <v>8745.30329540485</v>
      </c>
      <c r="P349" s="15" t="n">
        <f aca="false">N349*$E$2*(1+$I$346)/($F$346-$I$346)/(1+$F$346)^$N$3</f>
        <v>7481.26325108297</v>
      </c>
      <c r="Q349" s="15" t="n">
        <f aca="false">O349+P349</f>
        <v>16226.5665464878</v>
      </c>
      <c r="R349" s="15" t="n">
        <f aca="false">Q349-$G$2+$I$2</f>
        <v>13709.5665464878</v>
      </c>
      <c r="S349" s="42" t="n">
        <f aca="false">R349/$K$2</f>
        <v>31.6457378387143</v>
      </c>
      <c r="T349" s="43" t="n">
        <f aca="false">S349-$M$2</f>
        <v>-73.6125604854628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8319.375</v>
      </c>
      <c r="F350" s="15" t="n">
        <f aca="false">E350*(1+IF(F$3&lt;=$O$2,$D350,$D350-($D350-$I$346)*MIN(F$3-$O$2,$Q$2)/$Q$2))</f>
        <v>8839.3359375</v>
      </c>
      <c r="G350" s="15" t="n">
        <f aca="false">F350*(1+IF(G$3&lt;=$O$2,$D350,$D350-($D350-$I$346)*MIN(G$3-$O$2,$Q$2)/$Q$2))</f>
        <v>9391.79443359375</v>
      </c>
      <c r="H350" s="15" t="n">
        <f aca="false">G350*(1+IF(H$3&lt;=$O$2,$D350,$D350-($D350-$I$346)*MIN(H$3-$O$2,$Q$2)/$Q$2))</f>
        <v>9978.78158569336</v>
      </c>
      <c r="I350" s="15" t="n">
        <f aca="false">H350*(1+IF(I$3&lt;=$O$2,$D350,$D350-($D350-$I$346)*MIN(I$3-$O$2,$Q$2)/$Q$2))</f>
        <v>10602.4554347992</v>
      </c>
      <c r="J350" s="15" t="n">
        <f aca="false">I350*(1+IF(J$3&lt;=$O$2,$D350,$D350-($D350-$I$346)*MIN(J$3-$O$2,$Q$2)/$Q$2))</f>
        <v>11181.9856488653</v>
      </c>
      <c r="K350" s="15" t="n">
        <f aca="false">J350*(1+IF(K$3&lt;=$O$2,$D350,$D350-($D350-$I$346)*MIN(K$3-$O$2,$Q$2)/$Q$2))</f>
        <v>11705.5262169452</v>
      </c>
      <c r="L350" s="15" t="n">
        <f aca="false">K350*(1+IF(L$3&lt;=$O$2,$D350,$D350-($D350-$I$346)*MIN(L$3-$O$2,$Q$2)/$Q$2))</f>
        <v>12161.8076288817</v>
      </c>
      <c r="M350" s="15" t="n">
        <f aca="false">L350*(1+IF(M$3&lt;=$O$2,$D350,$D350-($D350-$I$346)*MIN(M$3-$O$2,$Q$2)/$Q$2))</f>
        <v>12540.5263184451</v>
      </c>
      <c r="N350" s="15" t="n">
        <f aca="false">M350*(1+IF(N$3&lt;=$O$2,$D350,$D350-($D350-$I$346)*MIN(N$3-$O$2,$Q$2)/$Q$2))</f>
        <v>12832.7205816649</v>
      </c>
      <c r="O350" s="15" t="n">
        <f aca="false">SUMPRODUCT(E350:N350,1/(1+$F$346)^$E$3:$N$3)*$E$2</f>
        <v>19714.5345415673</v>
      </c>
      <c r="P350" s="15" t="n">
        <f aca="false">N350*$E$2*(1+$I$346)/($F$346-$I$346)/(1+$F$346)^$N$3</f>
        <v>28854.3005038611</v>
      </c>
      <c r="Q350" s="15" t="n">
        <f aca="false">O350+P350</f>
        <v>48568.8350454284</v>
      </c>
      <c r="R350" s="15" t="n">
        <f aca="false">Q350-$G$2+$I$2</f>
        <v>46051.8350454284</v>
      </c>
      <c r="S350" s="42" t="n">
        <f aca="false">R350/$K$2</f>
        <v>106.301267359375</v>
      </c>
      <c r="T350" s="43" t="n">
        <f aca="false">S350-$M$2</f>
        <v>1.04296903519786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7585.3125</v>
      </c>
      <c r="F351" s="15" t="n">
        <f aca="false">E351*(1+IF(F$3&lt;=$O$2,$D351,$D351-($D351-$I$346)*MIN(F$3-$O$2,$Q$2)/$Q$2))</f>
        <v>7348.271484375</v>
      </c>
      <c r="G351" s="15" t="n">
        <f aca="false">F351*(1+IF(G$3&lt;=$O$2,$D351,$D351-($D351-$I$346)*MIN(G$3-$O$2,$Q$2)/$Q$2))</f>
        <v>7118.63800048828</v>
      </c>
      <c r="H351" s="15" t="n">
        <f aca="false">G351*(1+IF(H$3&lt;=$O$2,$D351,$D351-($D351-$I$346)*MIN(H$3-$O$2,$Q$2)/$Q$2))</f>
        <v>6896.18056297302</v>
      </c>
      <c r="I351" s="15" t="n">
        <f aca="false">H351*(1+IF(I$3&lt;=$O$2,$D351,$D351-($D351-$I$346)*MIN(I$3-$O$2,$Q$2)/$Q$2))</f>
        <v>6680.67492038012</v>
      </c>
      <c r="J351" s="15" t="n">
        <f aca="false">I351*(1+IF(J$3&lt;=$O$2,$D351,$D351-($D351-$I$346)*MIN(J$3-$O$2,$Q$2)/$Q$2))</f>
        <v>6544.78999249958</v>
      </c>
      <c r="K351" s="15" t="n">
        <f aca="false">J351*(1+IF(K$3&lt;=$O$2,$D351,$D351-($D351-$I$346)*MIN(K$3-$O$2,$Q$2)/$Q$2))</f>
        <v>6483.07262287031</v>
      </c>
      <c r="L351" s="15" t="n">
        <f aca="false">K351*(1+IF(L$3&lt;=$O$2,$D351,$D351-($D351-$I$346)*MIN(L$3-$O$2,$Q$2)/$Q$2))</f>
        <v>6492.66757035216</v>
      </c>
      <c r="M351" s="15" t="n">
        <f aca="false">L351*(1+IF(M$3&lt;=$O$2,$D351,$D351-($D351-$I$346)*MIN(M$3-$O$2,$Q$2)/$Q$2))</f>
        <v>6573.11172154882</v>
      </c>
      <c r="N351" s="15" t="n">
        <f aca="false">M351*(1+IF(N$3&lt;=$O$2,$D351,$D351-($D351-$I$346)*MIN(N$3-$O$2,$Q$2)/$Q$2))</f>
        <v>6726.26522466091</v>
      </c>
      <c r="O351" s="15" t="n">
        <f aca="false">SUMPRODUCT(E351:N351,1/(1+$F$346)^$E$3:$N$3)*$E$2</f>
        <v>13093.5332526558</v>
      </c>
      <c r="P351" s="15" t="n">
        <f aca="false">N351*$E$2*(1+$I$346)/($F$346-$I$346)/(1+$F$346)^$N$3</f>
        <v>15123.9697635385</v>
      </c>
      <c r="Q351" s="15" t="n">
        <f aca="false">O351+P351</f>
        <v>28217.5030161943</v>
      </c>
      <c r="R351" s="15" t="n">
        <f aca="false">Q351-$G$2+$I$2</f>
        <v>25700.5030161943</v>
      </c>
      <c r="S351" s="42" t="n">
        <f aca="false">R351/$K$2</f>
        <v>59.3243687184208</v>
      </c>
      <c r="T351" s="43" t="n">
        <f aca="false">S351-$M$2</f>
        <v>-45.9339296057563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7952.34375</v>
      </c>
      <c r="F352" s="15" t="n">
        <f aca="false">E352*(1+IF(F$3&lt;=$O$2,$D352,$D352-($D352-$I$346)*MIN(F$3-$O$2,$Q$2)/$Q$2))</f>
        <v>8076.59912109375</v>
      </c>
      <c r="G352" s="15" t="n">
        <f aca="false">F352*(1+IF(G$3&lt;=$O$2,$D352,$D352-($D352-$I$346)*MIN(G$3-$O$2,$Q$2)/$Q$2))</f>
        <v>8202.79598236084</v>
      </c>
      <c r="H352" s="15" t="n">
        <f aca="false">G352*(1+IF(H$3&lt;=$O$2,$D352,$D352-($D352-$I$346)*MIN(H$3-$O$2,$Q$2)/$Q$2))</f>
        <v>8330.96466958523</v>
      </c>
      <c r="I352" s="15" t="n">
        <f aca="false">H352*(1+IF(I$3&lt;=$O$2,$D352,$D352-($D352-$I$346)*MIN(I$3-$O$2,$Q$2)/$Q$2))</f>
        <v>8461.1359925475</v>
      </c>
      <c r="J352" s="15" t="n">
        <f aca="false">I352*(1+IF(J$3&lt;=$O$2,$D352,$D352-($D352-$I$346)*MIN(J$3-$O$2,$Q$2)/$Q$2))</f>
        <v>8606.32908617961</v>
      </c>
      <c r="K352" s="15" t="n">
        <f aca="false">J352*(1+IF(K$3&lt;=$O$2,$D352,$D352-($D352-$I$346)*MIN(K$3-$O$2,$Q$2)/$Q$2))</f>
        <v>8767.22440844574</v>
      </c>
      <c r="L352" s="15" t="n">
        <f aca="false">K352*(1+IF(L$3&lt;=$O$2,$D352,$D352-($D352-$I$346)*MIN(L$3-$O$2,$Q$2)/$Q$2))</f>
        <v>8944.5853582286</v>
      </c>
      <c r="M352" s="15" t="n">
        <f aca="false">L352*(1+IF(M$3&lt;=$O$2,$D352,$D352-($D352-$I$346)*MIN(M$3-$O$2,$Q$2)/$Q$2))</f>
        <v>9139.26425855044</v>
      </c>
      <c r="N352" s="15" t="n">
        <f aca="false">M352*(1+IF(N$3&lt;=$O$2,$D352,$D352-($D352-$I$346)*MIN(N$3-$O$2,$Q$2)/$Q$2))</f>
        <v>9352.20911577467</v>
      </c>
      <c r="O352" s="15" t="n">
        <f aca="false">SUMPRODUCT(E352:N352,1/(1+$F$346)^$E$3:$N$3)*$E$2</f>
        <v>16060.4973097026</v>
      </c>
      <c r="P352" s="15" t="n">
        <f aca="false">N352*$E$2*(1+$I$346)/($F$346-$I$346)/(1+$F$346)^$N$3</f>
        <v>21028.389925911</v>
      </c>
      <c r="Q352" s="15" t="n">
        <f aca="false">O352+P352</f>
        <v>37088.8872356136</v>
      </c>
      <c r="R352" s="15" t="n">
        <f aca="false">Q352-$G$2+$I$2</f>
        <v>34571.8872356136</v>
      </c>
      <c r="S352" s="42" t="n">
        <f aca="false">R352/$K$2</f>
        <v>79.8021495674567</v>
      </c>
      <c r="T352" s="43" t="n">
        <f aca="false">S352-$M$2</f>
        <v>-25.4561487567204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41" t="n">
        <f aca="false">(B353+C353)/2</f>
        <v>0.0390625</v>
      </c>
      <c r="E353" s="15" t="n">
        <f aca="false">$C$2*(1+IF(E$3&lt;=$O$2,$D353,$D353-($D353-$I$346)*MIN(E$3-$O$2,$Q$2)/$Q$2))</f>
        <v>8135.859375</v>
      </c>
      <c r="F353" s="15" t="n">
        <f aca="false">E353*(1+IF(F$3&lt;=$O$2,$D353,$D353-($D353-$I$346)*MIN(F$3-$O$2,$Q$2)/$Q$2))</f>
        <v>8453.66638183594</v>
      </c>
      <c r="G353" s="15" t="n">
        <f aca="false">F353*(1+IF(G$3&lt;=$O$2,$D353,$D353-($D353-$I$346)*MIN(G$3-$O$2,$Q$2)/$Q$2))</f>
        <v>8783.8877248764</v>
      </c>
      <c r="H353" s="15" t="n">
        <f aca="false">G353*(1+IF(H$3&lt;=$O$2,$D353,$D353-($D353-$I$346)*MIN(H$3-$O$2,$Q$2)/$Q$2))</f>
        <v>9127.00833912939</v>
      </c>
      <c r="I353" s="15" t="n">
        <f aca="false">H353*(1+IF(I$3&lt;=$O$2,$D353,$D353-($D353-$I$346)*MIN(I$3-$O$2,$Q$2)/$Q$2))</f>
        <v>9483.53210237663</v>
      </c>
      <c r="J353" s="15" t="n">
        <f aca="false">I353*(1+IF(J$3&lt;=$O$2,$D353,$D353-($D353-$I$346)*MIN(J$3-$O$2,$Q$2)/$Q$2))</f>
        <v>9824.08574017297</v>
      </c>
      <c r="K353" s="15" t="n">
        <f aca="false">J353*(1+IF(K$3&lt;=$O$2,$D353,$D353-($D353-$I$346)*MIN(K$3-$O$2,$Q$2)/$Q$2))</f>
        <v>10145.8982288067</v>
      </c>
      <c r="L353" s="15" t="n">
        <f aca="false">K353*(1+IF(L$3&lt;=$O$2,$D353,$D353-($D353-$I$346)*MIN(L$3-$O$2,$Q$2)/$Q$2))</f>
        <v>10446.2675458705</v>
      </c>
      <c r="M353" s="15" t="n">
        <f aca="false">L353*(1+IF(M$3&lt;=$O$2,$D353,$D353-($D353-$I$346)*MIN(M$3-$O$2,$Q$2)/$Q$2))</f>
        <v>10722.5974381277</v>
      </c>
      <c r="N353" s="15" t="n">
        <f aca="false">M353*(1+IF(N$3&lt;=$O$2,$D353,$D353-($D353-$I$346)*MIN(N$3-$O$2,$Q$2)/$Q$2))</f>
        <v>10972.433958436</v>
      </c>
      <c r="O353" s="15" t="n">
        <f aca="false">SUMPRODUCT(E353:N353,1/(1+$F$346)^$E$3:$N$3)*$E$2</f>
        <v>17793.0236543013</v>
      </c>
      <c r="P353" s="15" t="n">
        <f aca="false">N353*$E$2*(1+$I$346)/($F$346-$I$346)/(1+$F$346)^$N$3</f>
        <v>24671.4564289538</v>
      </c>
      <c r="Q353" s="15" t="n">
        <f aca="false">O353+P353</f>
        <v>42464.4800832552</v>
      </c>
      <c r="R353" s="15" t="n">
        <f aca="false">Q353-$G$2+$I$2</f>
        <v>39947.4800832552</v>
      </c>
      <c r="S353" s="42" t="n">
        <f aca="false">R353/$K$2</f>
        <v>92.2106091206666</v>
      </c>
      <c r="T353" s="43" t="n">
        <f aca="false">S353-$M$2</f>
        <v>-13.0476892035105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0.0390625</v>
      </c>
      <c r="C354" s="25" t="n">
        <f aca="false">IF(T353&gt;0,D353,C353)</f>
        <v>0.0625</v>
      </c>
      <c r="D354" s="41" t="n">
        <f aca="false">(B354+C354)/2</f>
        <v>0.05078125</v>
      </c>
      <c r="E354" s="15" t="n">
        <f aca="false">$C$2*(1+IF(E$3&lt;=$O$2,$D354,$D354-($D354-$I$346)*MIN(E$3-$O$2,$Q$2)/$Q$2))</f>
        <v>8227.6171875</v>
      </c>
      <c r="F354" s="15" t="n">
        <f aca="false">E354*(1+IF(F$3&lt;=$O$2,$D354,$D354-($D354-$I$346)*MIN(F$3-$O$2,$Q$2)/$Q$2))</f>
        <v>8645.42587280273</v>
      </c>
      <c r="G354" s="15" t="n">
        <f aca="false">F354*(1+IF(G$3&lt;=$O$2,$D354,$D354-($D354-$I$346)*MIN(G$3-$O$2,$Q$2)/$Q$2))</f>
        <v>9084.451405406</v>
      </c>
      <c r="H354" s="15" t="n">
        <f aca="false">G354*(1+IF(H$3&lt;=$O$2,$D354,$D354-($D354-$I$346)*MIN(H$3-$O$2,$Q$2)/$Q$2))</f>
        <v>9545.77120333677</v>
      </c>
      <c r="I354" s="15" t="n">
        <f aca="false">H354*(1+IF(I$3&lt;=$O$2,$D354,$D354-($D354-$I$346)*MIN(I$3-$O$2,$Q$2)/$Q$2))</f>
        <v>10030.5173972562</v>
      </c>
      <c r="J354" s="15" t="n">
        <f aca="false">I354*(1+IF(J$3&lt;=$O$2,$D354,$D354-($D354-$I$346)*MIN(J$3-$O$2,$Q$2)/$Q$2))</f>
        <v>10484.749377591</v>
      </c>
      <c r="K354" s="15" t="n">
        <f aca="false">J354*(1+IF(K$3&lt;=$O$2,$D354,$D354-($D354-$I$346)*MIN(K$3-$O$2,$Q$2)/$Q$2))</f>
        <v>10901.9244493886</v>
      </c>
      <c r="L354" s="15" t="n">
        <f aca="false">K354*(1+IF(L$3&lt;=$O$2,$D354,$D354-($D354-$I$346)*MIN(L$3-$O$2,$Q$2)/$Q$2))</f>
        <v>11275.7786935692</v>
      </c>
      <c r="M354" s="15" t="n">
        <f aca="false">L354*(1+IF(M$3&lt;=$O$2,$D354,$D354-($D354-$I$346)*MIN(M$3-$O$2,$Q$2)/$Q$2))</f>
        <v>11600.4788357739</v>
      </c>
      <c r="N354" s="15" t="n">
        <f aca="false">M354*(1+IF(N$3&lt;=$O$2,$D354,$D354-($D354-$I$346)*MIN(N$3-$O$2,$Q$2)/$Q$2))</f>
        <v>11870.7699926475</v>
      </c>
      <c r="O354" s="15" t="n">
        <f aca="false">SUMPRODUCT(E354:N354,1/(1+$F$346)^$E$3:$N$3)*$E$2</f>
        <v>18728.9982700588</v>
      </c>
      <c r="P354" s="15" t="n">
        <f aca="false">N354*$E$2*(1+$I$346)/($F$346-$I$346)/(1+$F$346)^$N$3</f>
        <v>26691.3599809426</v>
      </c>
      <c r="Q354" s="15" t="n">
        <f aca="false">O354+P354</f>
        <v>45420.3582510014</v>
      </c>
      <c r="R354" s="15" t="n">
        <f aca="false">Q354-$G$2+$I$2</f>
        <v>42903.3582510014</v>
      </c>
      <c r="S354" s="42" t="n">
        <f aca="false">R354/$K$2</f>
        <v>99.0336509187049</v>
      </c>
      <c r="T354" s="43" t="n">
        <f aca="false">S354-$M$2</f>
        <v>-6.22464740547218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0.05078125</v>
      </c>
      <c r="C355" s="25" t="n">
        <f aca="false">IF(T354&gt;0,D354,C354)</f>
        <v>0.0625</v>
      </c>
      <c r="D355" s="41" t="n">
        <f aca="false">(B355+C355)/2</f>
        <v>0.056640625</v>
      </c>
      <c r="E355" s="15" t="n">
        <f aca="false">$C$2*(1+IF(E$3&lt;=$O$2,$D355,$D355-($D355-$I$346)*MIN(E$3-$O$2,$Q$2)/$Q$2))</f>
        <v>8273.49609375</v>
      </c>
      <c r="F355" s="15" t="n">
        <f aca="false">E355*(1+IF(F$3&lt;=$O$2,$D355,$D355-($D355-$I$346)*MIN(F$3-$O$2,$Q$2)/$Q$2))</f>
        <v>8742.11208343506</v>
      </c>
      <c r="G355" s="15" t="n">
        <f aca="false">F355*(1+IF(G$3&lt;=$O$2,$D355,$D355-($D355-$I$346)*MIN(G$3-$O$2,$Q$2)/$Q$2))</f>
        <v>9237.27077566087</v>
      </c>
      <c r="H355" s="15" t="n">
        <f aca="false">G355*(1+IF(H$3&lt;=$O$2,$D355,$D355-($D355-$I$346)*MIN(H$3-$O$2,$Q$2)/$Q$2))</f>
        <v>9760.47556568854</v>
      </c>
      <c r="I355" s="15" t="n">
        <f aca="false">H355*(1+IF(I$3&lt;=$O$2,$D355,$D355-($D355-$I$346)*MIN(I$3-$O$2,$Q$2)/$Q$2))</f>
        <v>10313.3150020264</v>
      </c>
      <c r="J355" s="15" t="n">
        <f aca="false">I355*(1+IF(J$3&lt;=$O$2,$D355,$D355-($D355-$I$346)*MIN(J$3-$O$2,$Q$2)/$Q$2))</f>
        <v>10828.6971359651</v>
      </c>
      <c r="K355" s="15" t="n">
        <f aca="false">J355*(1+IF(K$3&lt;=$O$2,$D355,$D355-($D355-$I$346)*MIN(K$3-$O$2,$Q$2)/$Q$2))</f>
        <v>11297.6270975024</v>
      </c>
      <c r="L355" s="15" t="n">
        <f aca="false">K355*(1+IF(L$3&lt;=$O$2,$D355,$D355-($D355-$I$346)*MIN(L$3-$O$2,$Q$2)/$Q$2))</f>
        <v>11711.5297882533</v>
      </c>
      <c r="M355" s="15" t="n">
        <f aca="false">L355*(1+IF(M$3&lt;=$O$2,$D355,$D355-($D355-$I$346)*MIN(M$3-$O$2,$Q$2)/$Q$2))</f>
        <v>12062.5023768889</v>
      </c>
      <c r="N355" s="15" t="n">
        <f aca="false">M355*(1+IF(N$3&lt;=$O$2,$D355,$D355-($D355-$I$346)*MIN(N$3-$O$2,$Q$2)/$Q$2))</f>
        <v>12343.5586822704</v>
      </c>
      <c r="O355" s="15" t="n">
        <f aca="false">SUMPRODUCT(E355:N355,1/(1+$F$346)^$E$3:$N$3)*$E$2</f>
        <v>19215.4210978259</v>
      </c>
      <c r="P355" s="15" t="n">
        <f aca="false">N355*$E$2*(1+$I$346)/($F$346-$I$346)/(1+$F$346)^$N$3</f>
        <v>27754.4227070723</v>
      </c>
      <c r="Q355" s="15" t="n">
        <f aca="false">O355+P355</f>
        <v>46969.8438048982</v>
      </c>
      <c r="R355" s="15" t="n">
        <f aca="false">Q355-$G$2+$I$2</f>
        <v>44452.8438048982</v>
      </c>
      <c r="S355" s="42" t="n">
        <f aca="false">R355/$K$2</f>
        <v>102.61032224943</v>
      </c>
      <c r="T355" s="43" t="n">
        <f aca="false">S355-$M$2</f>
        <v>-2.64797607474692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0.056640625</v>
      </c>
      <c r="C356" s="25" t="n">
        <f aca="false">IF(T355&gt;0,D355,C355)</f>
        <v>0.0625</v>
      </c>
      <c r="D356" s="41" t="n">
        <f aca="false">(B356+C356)/2</f>
        <v>0.0595703125</v>
      </c>
      <c r="E356" s="15" t="n">
        <f aca="false">$C$2*(1+IF(E$3&lt;=$O$2,$D356,$D356-($D356-$I$346)*MIN(E$3-$O$2,$Q$2)/$Q$2))</f>
        <v>8296.435546875</v>
      </c>
      <c r="F356" s="15" t="n">
        <f aca="false">E356*(1+IF(F$3&lt;=$O$2,$D356,$D356-($D356-$I$346)*MIN(F$3-$O$2,$Q$2)/$Q$2))</f>
        <v>8790.65680503845</v>
      </c>
      <c r="G356" s="15" t="n">
        <f aca="false">F356*(1+IF(G$3&lt;=$O$2,$D356,$D356-($D356-$I$346)*MIN(G$3-$O$2,$Q$2)/$Q$2))</f>
        <v>9314.31897799484</v>
      </c>
      <c r="H356" s="15" t="n">
        <f aca="false">G356*(1+IF(H$3&lt;=$O$2,$D356,$D356-($D356-$I$346)*MIN(H$3-$O$2,$Q$2)/$Q$2))</f>
        <v>9869.17587023868</v>
      </c>
      <c r="I356" s="15" t="n">
        <f aca="false">H356*(1+IF(I$3&lt;=$O$2,$D356,$D356-($D356-$I$346)*MIN(I$3-$O$2,$Q$2)/$Q$2))</f>
        <v>10457.0857609463</v>
      </c>
      <c r="J356" s="15" t="n">
        <f aca="false">I356*(1+IF(J$3&lt;=$O$2,$D356,$D356-($D356-$I$346)*MIN(J$3-$O$2,$Q$2)/$Q$2))</f>
        <v>11004.1612738874</v>
      </c>
      <c r="K356" s="15" t="n">
        <f aca="false">J356*(1+IF(K$3&lt;=$O$2,$D356,$D356-($D356-$I$346)*MIN(K$3-$O$2,$Q$2)/$Q$2))</f>
        <v>11500.0328524915</v>
      </c>
      <c r="L356" s="15" t="n">
        <f aca="false">K356*(1+IF(L$3&lt;=$O$2,$D356,$D356-($D356-$I$346)*MIN(L$3-$O$2,$Q$2)/$Q$2))</f>
        <v>11934.8275320826</v>
      </c>
      <c r="M356" s="15" t="n">
        <f aca="false">L356*(1+IF(M$3&lt;=$O$2,$D356,$D356-($D356-$I$346)*MIN(M$3-$O$2,$Q$2)/$Q$2))</f>
        <v>12299.4849984246</v>
      </c>
      <c r="N356" s="15" t="n">
        <f aca="false">M356*(1+IF(N$3&lt;=$O$2,$D356,$D356-($D356-$I$346)*MIN(N$3-$O$2,$Q$2)/$Q$2))</f>
        <v>12586.0629988879</v>
      </c>
      <c r="O356" s="15" t="n">
        <f aca="false">SUMPRODUCT(E356:N356,1/(1+$F$346)^$E$3:$N$3)*$E$2</f>
        <v>19463.3723849584</v>
      </c>
      <c r="P356" s="15" t="n">
        <f aca="false">N356*$E$2*(1+$I$346)/($F$346-$I$346)/(1+$F$346)^$N$3</f>
        <v>28299.6923075936</v>
      </c>
      <c r="Q356" s="15" t="n">
        <f aca="false">O356+P356</f>
        <v>47763.064692552</v>
      </c>
      <c r="R356" s="15" t="n">
        <f aca="false">Q356-$G$2+$I$2</f>
        <v>45246.064692552</v>
      </c>
      <c r="S356" s="42" t="n">
        <f aca="false">R356/$K$2</f>
        <v>104.441310864115</v>
      </c>
      <c r="T356" s="43" t="n">
        <f aca="false">S356-$M$2</f>
        <v>-0.816987460061881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0.0595703125</v>
      </c>
      <c r="C357" s="25" t="n">
        <f aca="false">IF(T356&gt;0,D356,C356)</f>
        <v>0.0625</v>
      </c>
      <c r="D357" s="41" t="n">
        <f aca="false">(B357+C357)/2</f>
        <v>0.06103515625</v>
      </c>
      <c r="E357" s="15" t="n">
        <f aca="false">$C$2*(1+IF(E$3&lt;=$O$2,$D357,$D357-($D357-$I$346)*MIN(E$3-$O$2,$Q$2)/$Q$2))</f>
        <v>8307.9052734375</v>
      </c>
      <c r="F357" s="15" t="n">
        <f aca="false">E357*(1+IF(F$3&lt;=$O$2,$D357,$D357-($D357-$I$346)*MIN(F$3-$O$2,$Q$2)/$Q$2))</f>
        <v>8814.97956991196</v>
      </c>
      <c r="G357" s="15" t="n">
        <f aca="false">F357*(1+IF(G$3&lt;=$O$2,$D357,$D357-($D357-$I$346)*MIN(G$3-$O$2,$Q$2)/$Q$2))</f>
        <v>9353.00322530209</v>
      </c>
      <c r="H357" s="15" t="n">
        <f aca="false">G357*(1+IF(H$3&lt;=$O$2,$D357,$D357-($D357-$I$346)*MIN(H$3-$O$2,$Q$2)/$Q$2))</f>
        <v>9923.86523856516</v>
      </c>
      <c r="I357" s="15" t="n">
        <f aca="false">H357*(1+IF(I$3&lt;=$O$2,$D357,$D357-($D357-$I$346)*MIN(I$3-$O$2,$Q$2)/$Q$2))</f>
        <v>10529.5699040049</v>
      </c>
      <c r="J357" s="15" t="n">
        <f aca="false">I357*(1+IF(J$3&lt;=$O$2,$D357,$D357-($D357-$I$346)*MIN(J$3-$O$2,$Q$2)/$Q$2))</f>
        <v>11092.7768552266</v>
      </c>
      <c r="K357" s="15" t="n">
        <f aca="false">J357*(1+IF(K$3&lt;=$O$2,$D357,$D357-($D357-$I$346)*MIN(K$3-$O$2,$Q$2)/$Q$2))</f>
        <v>11602.3911566804</v>
      </c>
      <c r="L357" s="15" t="n">
        <f aca="false">K357*(1+IF(L$3&lt;=$O$2,$D357,$D357-($D357-$I$346)*MIN(L$3-$O$2,$Q$2)/$Q$2))</f>
        <v>12047.8540878994</v>
      </c>
      <c r="M357" s="15" t="n">
        <f aca="false">L357*(1+IF(M$3&lt;=$O$2,$D357,$D357-($D357-$I$346)*MIN(M$3-$O$2,$Q$2)/$Q$2))</f>
        <v>12419.4946194443</v>
      </c>
      <c r="N357" s="15" t="n">
        <f aca="false">M357*(1+IF(N$3&lt;=$O$2,$D357,$D357-($D357-$I$346)*MIN(N$3-$O$2,$Q$2)/$Q$2))</f>
        <v>12708.8688440773</v>
      </c>
      <c r="O357" s="15" t="n">
        <f aca="false">SUMPRODUCT(E357:N357,1/(1+$F$346)^$E$3:$N$3)*$E$2</f>
        <v>19588.5496942612</v>
      </c>
      <c r="P357" s="15" t="n">
        <f aca="false">N357*$E$2*(1+$I$346)/($F$346-$I$346)/(1+$F$346)^$N$3</f>
        <v>28575.8205641216</v>
      </c>
      <c r="Q357" s="15" t="n">
        <f aca="false">O357+P357</f>
        <v>48164.3702583828</v>
      </c>
      <c r="R357" s="15" t="n">
        <f aca="false">Q357-$G$2+$I$2</f>
        <v>45647.3702583828</v>
      </c>
      <c r="S357" s="42" t="n">
        <f aca="false">R357/$K$2</f>
        <v>105.367642902873</v>
      </c>
      <c r="T357" s="43" t="n">
        <f aca="false">S357-$M$2</f>
        <v>0.109344578696323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0.0595703125</v>
      </c>
      <c r="C358" s="25" t="n">
        <f aca="false">IF(T357&gt;0,D357,C357)</f>
        <v>0.06103515625</v>
      </c>
      <c r="D358" s="41" t="n">
        <f aca="false">(B358+C358)/2</f>
        <v>0.060302734375</v>
      </c>
      <c r="E358" s="15" t="n">
        <f aca="false">$C$2*(1+IF(E$3&lt;=$O$2,$D358,$D358-($D358-$I$346)*MIN(E$3-$O$2,$Q$2)/$Q$2))</f>
        <v>8302.17041015625</v>
      </c>
      <c r="F358" s="15" t="n">
        <f aca="false">E358*(1+IF(F$3&lt;=$O$2,$D358,$D358-($D358-$I$346)*MIN(F$3-$O$2,$Q$2)/$Q$2))</f>
        <v>8802.81398713589</v>
      </c>
      <c r="G358" s="15" t="n">
        <f aca="false">F358*(1+IF(G$3&lt;=$O$2,$D358,$D358-($D358-$I$346)*MIN(G$3-$O$2,$Q$2)/$Q$2))</f>
        <v>9333.64774075468</v>
      </c>
      <c r="H358" s="15" t="n">
        <f aca="false">G358*(1+IF(H$3&lt;=$O$2,$D358,$D358-($D358-$I$346)*MIN(H$3-$O$2,$Q$2)/$Q$2))</f>
        <v>9896.49222121523</v>
      </c>
      <c r="I358" s="15" t="n">
        <f aca="false">H358*(1+IF(I$3&lt;=$O$2,$D358,$D358-($D358-$I$346)*MIN(I$3-$O$2,$Q$2)/$Q$2))</f>
        <v>10493.2777628754</v>
      </c>
      <c r="J358" s="15" t="n">
        <f aca="false">I358*(1+IF(J$3&lt;=$O$2,$D358,$D358-($D358-$I$346)*MIN(J$3-$O$2,$Q$2)/$Q$2))</f>
        <v>11048.3951105766</v>
      </c>
      <c r="K358" s="15" t="n">
        <f aca="false">J358*(1+IF(K$3&lt;=$O$2,$D358,$D358-($D358-$I$346)*MIN(K$3-$O$2,$Q$2)/$Q$2))</f>
        <v>11551.1152143811</v>
      </c>
      <c r="L358" s="15" t="n">
        <f aca="false">K358*(1+IF(L$3&lt;=$O$2,$D358,$D358-($D358-$I$346)*MIN(L$3-$O$2,$Q$2)/$Q$2))</f>
        <v>11991.2253380813</v>
      </c>
      <c r="M358" s="15" t="n">
        <f aca="false">L358*(1+IF(M$3&lt;=$O$2,$D358,$D358-($D358-$I$346)*MIN(M$3-$O$2,$Q$2)/$Q$2))</f>
        <v>12359.3625136617</v>
      </c>
      <c r="N358" s="15" t="n">
        <f aca="false">M358*(1+IF(N$3&lt;=$O$2,$D358,$D358-($D358-$I$346)*MIN(N$3-$O$2,$Q$2)/$Q$2))</f>
        <v>12647.3356602301</v>
      </c>
      <c r="O358" s="15" t="n">
        <f aca="false">SUMPRODUCT(E358:N358,1/(1+$F$346)^$E$3:$N$3)*$E$2</f>
        <v>19525.8603996299</v>
      </c>
      <c r="P358" s="15" t="n">
        <f aca="false">N358*$E$2*(1+$I$346)/($F$346-$I$346)/(1+$F$346)^$N$3</f>
        <v>28437.4635441593</v>
      </c>
      <c r="Q358" s="15" t="n">
        <f aca="false">O358+P358</f>
        <v>47963.3239437892</v>
      </c>
      <c r="R358" s="15" t="n">
        <f aca="false">Q358-$G$2+$I$2</f>
        <v>45446.3239437892</v>
      </c>
      <c r="S358" s="42" t="n">
        <f aca="false">R358/$K$2</f>
        <v>104.903568495889</v>
      </c>
      <c r="T358" s="43" t="n">
        <f aca="false">S358-$M$2</f>
        <v>-0.354729828287745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0.060302734375</v>
      </c>
      <c r="C359" s="25" t="n">
        <f aca="false">IF(T358&gt;0,D358,C358)</f>
        <v>0.06103515625</v>
      </c>
      <c r="D359" s="41" t="n">
        <f aca="false">(B359+C359)/2</f>
        <v>0.0606689453125</v>
      </c>
      <c r="E359" s="15" t="n">
        <f aca="false">$C$2*(1+IF(E$3&lt;=$O$2,$D359,$D359-($D359-$I$346)*MIN(E$3-$O$2,$Q$2)/$Q$2))</f>
        <v>8305.03784179688</v>
      </c>
      <c r="F359" s="15" t="n">
        <f aca="false">E359*(1+IF(F$3&lt;=$O$2,$D359,$D359-($D359-$I$346)*MIN(F$3-$O$2,$Q$2)/$Q$2))</f>
        <v>8808.89572843909</v>
      </c>
      <c r="G359" s="15" t="n">
        <f aca="false">F359*(1+IF(G$3&lt;=$O$2,$D359,$D359-($D359-$I$346)*MIN(G$3-$O$2,$Q$2)/$Q$2))</f>
        <v>9343.32214165128</v>
      </c>
      <c r="H359" s="15" t="n">
        <f aca="false">G359*(1+IF(H$3&lt;=$O$2,$D359,$D359-($D359-$I$346)*MIN(H$3-$O$2,$Q$2)/$Q$2))</f>
        <v>9910.17164170019</v>
      </c>
      <c r="I359" s="15" t="n">
        <f aca="false">H359*(1+IF(I$3&lt;=$O$2,$D359,$D359-($D359-$I$346)*MIN(I$3-$O$2,$Q$2)/$Q$2))</f>
        <v>10511.411303068</v>
      </c>
      <c r="J359" s="15" t="n">
        <f aca="false">I359*(1+IF(J$3&lt;=$O$2,$D359,$D359-($D359-$I$346)*MIN(J$3-$O$2,$Q$2)/$Q$2))</f>
        <v>11070.5674697427</v>
      </c>
      <c r="K359" s="15" t="n">
        <f aca="false">J359*(1+IF(K$3&lt;=$O$2,$D359,$D359-($D359-$I$346)*MIN(K$3-$O$2,$Q$2)/$Q$2))</f>
        <v>11576.7289500008</v>
      </c>
      <c r="L359" s="15" t="n">
        <f aca="false">K359*(1+IF(L$3&lt;=$O$2,$D359,$D359-($D359-$I$346)*MIN(L$3-$O$2,$Q$2)/$Q$2))</f>
        <v>12019.5107949479</v>
      </c>
      <c r="M359" s="15" t="n">
        <f aca="false">L359*(1+IF(M$3&lt;=$O$2,$D359,$D359-($D359-$I$346)*MIN(M$3-$O$2,$Q$2)/$Q$2))</f>
        <v>12389.3966847861</v>
      </c>
      <c r="N359" s="15" t="n">
        <f aca="false">M359*(1+IF(N$3&lt;=$O$2,$D359,$D359-($D359-$I$346)*MIN(N$3-$O$2,$Q$2)/$Q$2))</f>
        <v>12678.0696275416</v>
      </c>
      <c r="O359" s="15" t="n">
        <f aca="false">SUMPRODUCT(E359:N359,1/(1+$F$346)^$E$3:$N$3)*$E$2</f>
        <v>19557.1798492282</v>
      </c>
      <c r="P359" s="15" t="n">
        <f aca="false">N359*$E$2*(1+$I$346)/($F$346-$I$346)/(1+$F$346)^$N$3</f>
        <v>28506.5686978825</v>
      </c>
      <c r="Q359" s="15" t="n">
        <f aca="false">O359+P359</f>
        <v>48063.7485471107</v>
      </c>
      <c r="R359" s="15" t="n">
        <f aca="false">Q359-$G$2+$I$2</f>
        <v>45546.7485471107</v>
      </c>
      <c r="S359" s="42" t="n">
        <f aca="false">R359/$K$2</f>
        <v>105.135378207633</v>
      </c>
      <c r="T359" s="43" t="n">
        <f aca="false">S359-$M$2</f>
        <v>-0.12292011654425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0.0606689453125</v>
      </c>
      <c r="C360" s="25" t="n">
        <f aca="false">IF(T359&gt;0,D359,C359)</f>
        <v>0.06103515625</v>
      </c>
      <c r="D360" s="41" t="n">
        <f aca="false">(B360+C360)/2</f>
        <v>0.06085205078125</v>
      </c>
      <c r="E360" s="15" t="n">
        <f aca="false">$C$2*(1+IF(E$3&lt;=$O$2,$D360,$D360-($D360-$I$346)*MIN(E$3-$O$2,$Q$2)/$Q$2))</f>
        <v>8306.47155761719</v>
      </c>
      <c r="F360" s="15" t="n">
        <f aca="false">E360*(1+IF(F$3&lt;=$O$2,$D360,$D360-($D360-$I$346)*MIN(F$3-$O$2,$Q$2)/$Q$2))</f>
        <v>8811.93738665432</v>
      </c>
      <c r="G360" s="15" t="n">
        <f aca="false">F360*(1+IF(G$3&lt;=$O$2,$D360,$D360-($D360-$I$346)*MIN(G$3-$O$2,$Q$2)/$Q$2))</f>
        <v>9348.1618479882</v>
      </c>
      <c r="H360" s="15" t="n">
        <f aca="false">G360*(1+IF(H$3&lt;=$O$2,$D360,$D360-($D360-$I$346)*MIN(H$3-$O$2,$Q$2)/$Q$2))</f>
        <v>9917.01666747333</v>
      </c>
      <c r="I360" s="15" t="n">
        <f aca="false">H360*(1+IF(I$3&lt;=$O$2,$D360,$D360-($D360-$I$346)*MIN(I$3-$O$2,$Q$2)/$Q$2))</f>
        <v>10520.4874693209</v>
      </c>
      <c r="J360" s="15" t="n">
        <f aca="false">I360*(1+IF(J$3&lt;=$O$2,$D360,$D360-($D360-$I$346)*MIN(J$3-$O$2,$Q$2)/$Q$2))</f>
        <v>11081.6675311092</v>
      </c>
      <c r="K360" s="15" t="n">
        <f aca="false">J360*(1+IF(K$3&lt;=$O$2,$D360,$D360-($D360-$I$346)*MIN(K$3-$O$2,$Q$2)/$Q$2))</f>
        <v>11589.5539897056</v>
      </c>
      <c r="L360" s="15" t="n">
        <f aca="false">K360*(1+IF(L$3&lt;=$O$2,$D360,$D360-($D360-$I$346)*MIN(L$3-$O$2,$Q$2)/$Q$2))</f>
        <v>12033.6752056471</v>
      </c>
      <c r="M360" s="15" t="n">
        <f aca="false">L360*(1+IF(M$3&lt;=$O$2,$D360,$D360-($D360-$I$346)*MIN(M$3-$O$2,$Q$2)/$Q$2))</f>
        <v>12404.4376744202</v>
      </c>
      <c r="N360" s="15" t="n">
        <f aca="false">M360*(1+IF(N$3&lt;=$O$2,$D360,$D360-($D360-$I$346)*MIN(N$3-$O$2,$Q$2)/$Q$2))</f>
        <v>12693.4610722342</v>
      </c>
      <c r="O360" s="15" t="n">
        <f aca="false">SUMPRODUCT(E360:N360,1/(1+$F$346)^$E$3:$N$3)*$E$2</f>
        <v>19572.8584675947</v>
      </c>
      <c r="P360" s="15" t="n">
        <f aca="false">N360*$E$2*(1+$I$346)/($F$346-$I$346)/(1+$F$346)^$N$3</f>
        <v>28541.1762752487</v>
      </c>
      <c r="Q360" s="15" t="n">
        <f aca="false">O360+P360</f>
        <v>48114.0347428434</v>
      </c>
      <c r="R360" s="15" t="n">
        <f aca="false">Q360-$G$2+$I$2</f>
        <v>45597.0347428434</v>
      </c>
      <c r="S360" s="42" t="n">
        <f aca="false">R360/$K$2</f>
        <v>105.251453632896</v>
      </c>
      <c r="T360" s="43" t="n">
        <f aca="false">S360-$M$2</f>
        <v>-0.00684469128073317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0.06085205078125</v>
      </c>
      <c r="C361" s="25" t="n">
        <f aca="false">IF(T360&gt;0,D360,C360)</f>
        <v>0.06103515625</v>
      </c>
      <c r="D361" s="41" t="n">
        <f aca="false">(B361+C361)/2</f>
        <v>0.060943603515625</v>
      </c>
      <c r="E361" s="15" t="n">
        <f aca="false">$C$2*(1+IF(E$3&lt;=$O$2,$D361,$D361-($D361-$I$346)*MIN(E$3-$O$2,$Q$2)/$Q$2))</f>
        <v>8307.18841552734</v>
      </c>
      <c r="F361" s="15" t="n">
        <f aca="false">E361*(1+IF(F$3&lt;=$O$2,$D361,$D361-($D361-$I$346)*MIN(F$3-$O$2,$Q$2)/$Q$2))</f>
        <v>8813.45841265284</v>
      </c>
      <c r="G361" s="15" t="n">
        <f aca="false">F361*(1+IF(G$3&lt;=$O$2,$D361,$D361-($D361-$I$346)*MIN(G$3-$O$2,$Q$2)/$Q$2))</f>
        <v>9350.582327755</v>
      </c>
      <c r="H361" s="15" t="n">
        <f aca="false">G361*(1+IF(H$3&lt;=$O$2,$D361,$D361-($D361-$I$346)*MIN(H$3-$O$2,$Q$2)/$Q$2))</f>
        <v>9920.44050977791</v>
      </c>
      <c r="I361" s="15" t="n">
        <f aca="false">H361*(1+IF(I$3&lt;=$O$2,$D361,$D361-($D361-$I$346)*MIN(I$3-$O$2,$Q$2)/$Q$2))</f>
        <v>10525.0279029062</v>
      </c>
      <c r="J361" s="15" t="n">
        <f aca="false">I361*(1+IF(J$3&lt;=$O$2,$D361,$D361-($D361-$I$346)*MIN(J$3-$O$2,$Q$2)/$Q$2))</f>
        <v>11087.2210349382</v>
      </c>
      <c r="K361" s="15" t="n">
        <f aca="false">J361*(1+IF(K$3&lt;=$O$2,$D361,$D361-($D361-$I$346)*MIN(K$3-$O$2,$Q$2)/$Q$2))</f>
        <v>11595.9710566898</v>
      </c>
      <c r="L361" s="15" t="n">
        <f aca="false">K361*(1+IF(L$3&lt;=$O$2,$D361,$D361-($D361-$I$346)*MIN(L$3-$O$2,$Q$2)/$Q$2))</f>
        <v>12040.7628370454</v>
      </c>
      <c r="M361" s="15" t="n">
        <f aca="false">L361*(1+IF(M$3&lt;=$O$2,$D361,$D361-($D361-$I$346)*MIN(M$3-$O$2,$Q$2)/$Q$2))</f>
        <v>12411.9641516012</v>
      </c>
      <c r="N361" s="15" t="n">
        <f aca="false">M361*(1+IF(N$3&lt;=$O$2,$D361,$D361-($D361-$I$346)*MIN(N$3-$O$2,$Q$2)/$Q$2))</f>
        <v>12701.1629163335</v>
      </c>
      <c r="O361" s="15" t="n">
        <f aca="false">SUMPRODUCT(E361:N361,1/(1+$F$346)^$E$3:$N$3)*$E$2</f>
        <v>19580.7025043</v>
      </c>
      <c r="P361" s="15" t="n">
        <f aca="false">N361*$E$2*(1+$I$346)/($F$346-$I$346)/(1+$F$346)^$N$3</f>
        <v>28558.4938286593</v>
      </c>
      <c r="Q361" s="15" t="n">
        <f aca="false">O361+P361</f>
        <v>48139.1963329593</v>
      </c>
      <c r="R361" s="15" t="n">
        <f aca="false">Q361-$G$2+$I$2</f>
        <v>45622.1963329593</v>
      </c>
      <c r="S361" s="42" t="n">
        <f aca="false">R361/$K$2</f>
        <v>105.309534031114</v>
      </c>
      <c r="T361" s="43" t="n">
        <f aca="false">S361-$M$2</f>
        <v>0.0512357069370921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0.06085205078125</v>
      </c>
      <c r="C362" s="25" t="n">
        <f aca="false">IF(T361&gt;0,D361,C361)</f>
        <v>0.060943603515625</v>
      </c>
      <c r="D362" s="41" t="n">
        <f aca="false">(B362+C362)/2</f>
        <v>0.0608978271484375</v>
      </c>
      <c r="E362" s="15" t="n">
        <f aca="false">$C$2*(1+IF(E$3&lt;=$O$2,$D362,$D362-($D362-$I$346)*MIN(E$3-$O$2,$Q$2)/$Q$2))</f>
        <v>8306.82998657227</v>
      </c>
      <c r="F362" s="15" t="n">
        <f aca="false">E362*(1+IF(F$3&lt;=$O$2,$D362,$D362-($D362-$I$346)*MIN(F$3-$O$2,$Q$2)/$Q$2))</f>
        <v>8812.697883246</v>
      </c>
      <c r="G362" s="15" t="n">
        <f aca="false">F362*(1+IF(G$3&lt;=$O$2,$D362,$D362-($D362-$I$346)*MIN(G$3-$O$2,$Q$2)/$Q$2))</f>
        <v>9349.37203565132</v>
      </c>
      <c r="H362" s="15" t="n">
        <f aca="false">G362*(1+IF(H$3&lt;=$O$2,$D362,$D362-($D362-$I$346)*MIN(H$3-$O$2,$Q$2)/$Q$2))</f>
        <v>9918.72847782485</v>
      </c>
      <c r="I362" s="15" t="n">
        <f aca="false">H362*(1+IF(I$3&lt;=$O$2,$D362,$D362-($D362-$I$346)*MIN(I$3-$O$2,$Q$2)/$Q$2))</f>
        <v>10522.7574901997</v>
      </c>
      <c r="J362" s="15" t="n">
        <f aca="false">I362*(1+IF(J$3&lt;=$O$2,$D362,$D362-($D362-$I$346)*MIN(J$3-$O$2,$Q$2)/$Q$2))</f>
        <v>11084.4439935145</v>
      </c>
      <c r="K362" s="15" t="n">
        <f aca="false">J362*(1+IF(K$3&lt;=$O$2,$D362,$D362-($D362-$I$346)*MIN(K$3-$O$2,$Q$2)/$Q$2))</f>
        <v>11592.7621441462</v>
      </c>
      <c r="L362" s="15" t="n">
        <f aca="false">K362*(1+IF(L$3&lt;=$O$2,$D362,$D362-($D362-$I$346)*MIN(L$3-$O$2,$Q$2)/$Q$2))</f>
        <v>12037.2185690123</v>
      </c>
      <c r="M362" s="15" t="n">
        <f aca="false">L362*(1+IF(M$3&lt;=$O$2,$D362,$D362-($D362-$I$346)*MIN(M$3-$O$2,$Q$2)/$Q$2))</f>
        <v>12408.2004142914</v>
      </c>
      <c r="N362" s="15" t="n">
        <f aca="false">M362*(1+IF(N$3&lt;=$O$2,$D362,$D362-($D362-$I$346)*MIN(N$3-$O$2,$Q$2)/$Q$2))</f>
        <v>12697.3114839444</v>
      </c>
      <c r="O362" s="15" t="n">
        <f aca="false">SUMPRODUCT(E362:N362,1/(1+$F$346)^$E$3:$N$3)*$E$2</f>
        <v>19576.7800918642</v>
      </c>
      <c r="P362" s="15" t="n">
        <f aca="false">N362*$E$2*(1+$I$346)/($F$346-$I$346)/(1+$F$346)^$N$3</f>
        <v>28549.8339044585</v>
      </c>
      <c r="Q362" s="15" t="n">
        <f aca="false">O362+P362</f>
        <v>48126.6139963227</v>
      </c>
      <c r="R362" s="15" t="n">
        <f aca="false">Q362-$G$2+$I$2</f>
        <v>45609.6139963227</v>
      </c>
      <c r="S362" s="42" t="n">
        <f aca="false">R362/$K$2</f>
        <v>105.280490273586</v>
      </c>
      <c r="T362" s="43" t="n">
        <f aca="false">S362-$M$2</f>
        <v>0.0221919494084091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0.06085205078125</v>
      </c>
      <c r="C363" s="25" t="n">
        <f aca="false">IF(T362&gt;0,D362,C362)</f>
        <v>0.0608978271484375</v>
      </c>
      <c r="D363" s="41" t="n">
        <f aca="false">(B363+C363)/2</f>
        <v>0.0608749389648438</v>
      </c>
      <c r="E363" s="15" t="n">
        <f aca="false">$C$2*(1+IF(E$3&lt;=$O$2,$D363,$D363-($D363-$I$346)*MIN(E$3-$O$2,$Q$2)/$Q$2))</f>
        <v>8306.65077209473</v>
      </c>
      <c r="F363" s="15" t="n">
        <f aca="false">E363*(1+IF(F$3&lt;=$O$2,$D363,$D363-($D363-$I$346)*MIN(F$3-$O$2,$Q$2)/$Q$2))</f>
        <v>8812.31763084827</v>
      </c>
      <c r="G363" s="15" t="n">
        <f aca="false">F363*(1+IF(G$3&lt;=$O$2,$D363,$D363-($D363-$I$346)*MIN(G$3-$O$2,$Q$2)/$Q$2))</f>
        <v>9348.76692876497</v>
      </c>
      <c r="H363" s="15" t="n">
        <f aca="false">G363*(1+IF(H$3&lt;=$O$2,$D363,$D363-($D363-$I$346)*MIN(H$3-$O$2,$Q$2)/$Q$2))</f>
        <v>9917.87254495009</v>
      </c>
      <c r="I363" s="15" t="n">
        <f aca="false">H363*(1+IF(I$3&lt;=$O$2,$D363,$D363-($D363-$I$346)*MIN(I$3-$O$2,$Q$2)/$Q$2))</f>
        <v>10521.622430785</v>
      </c>
      <c r="J363" s="15" t="n">
        <f aca="false">I363*(1+IF(J$3&lt;=$O$2,$D363,$D363-($D363-$I$346)*MIN(J$3-$O$2,$Q$2)/$Q$2))</f>
        <v>11083.0556899406</v>
      </c>
      <c r="K363" s="15" t="n">
        <f aca="false">J363*(1+IF(K$3&lt;=$O$2,$D363,$D363-($D363-$I$346)*MIN(K$3-$O$2,$Q$2)/$Q$2))</f>
        <v>11591.1579721723</v>
      </c>
      <c r="L363" s="15" t="n">
        <f aca="false">K363*(1+IF(L$3&lt;=$O$2,$D363,$D363-($D363-$I$346)*MIN(L$3-$O$2,$Q$2)/$Q$2))</f>
        <v>12035.4467742584</v>
      </c>
      <c r="M363" s="15" t="n">
        <f aca="false">L363*(1+IF(M$3&lt;=$O$2,$D363,$D363-($D363-$I$346)*MIN(M$3-$O$2,$Q$2)/$Q$2))</f>
        <v>12406.3189196901</v>
      </c>
      <c r="N363" s="15" t="n">
        <f aca="false">M363*(1+IF(N$3&lt;=$O$2,$D363,$D363-($D363-$I$346)*MIN(N$3-$O$2,$Q$2)/$Q$2))</f>
        <v>12695.3861505189</v>
      </c>
      <c r="O363" s="15" t="n">
        <f aca="false">SUMPRODUCT(E363:N363,1/(1+$F$346)^$E$3:$N$3)*$E$2</f>
        <v>19574.8191812179</v>
      </c>
      <c r="P363" s="15" t="n">
        <f aca="false">N363*$E$2*(1+$I$346)/($F$346-$I$346)/(1+$F$346)^$N$3</f>
        <v>28545.5048030123</v>
      </c>
      <c r="Q363" s="15" t="n">
        <f aca="false">O363+P363</f>
        <v>48120.3239842302</v>
      </c>
      <c r="R363" s="15" t="n">
        <f aca="false">Q363-$G$2+$I$2</f>
        <v>45603.3239842302</v>
      </c>
      <c r="S363" s="42" t="n">
        <f aca="false">R363/$K$2</f>
        <v>105.265971063733</v>
      </c>
      <c r="T363" s="43" t="n">
        <f aca="false">S363-$M$2</f>
        <v>0.00767273955543146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0.06085205078125</v>
      </c>
      <c r="C364" s="25" t="n">
        <f aca="false">IF(T363&gt;0,D363,C363)</f>
        <v>0.0608749389648438</v>
      </c>
      <c r="D364" s="41" t="n">
        <f aca="false">(B364+C364)/2</f>
        <v>0.0608634948730469</v>
      </c>
      <c r="E364" s="15" t="n">
        <f aca="false">$C$2*(1+IF(E$3&lt;=$O$2,$D364,$D364-($D364-$I$346)*MIN(E$3-$O$2,$Q$2)/$Q$2))</f>
        <v>8306.56116485596</v>
      </c>
      <c r="F364" s="15" t="n">
        <f aca="false">E364*(1+IF(F$3&lt;=$O$2,$D364,$D364-($D364-$I$346)*MIN(F$3-$O$2,$Q$2)/$Q$2))</f>
        <v>8812.12750772582</v>
      </c>
      <c r="G364" s="15" t="n">
        <f aca="false">F364*(1+IF(G$3&lt;=$O$2,$D364,$D364-($D364-$I$346)*MIN(G$3-$O$2,$Q$2)/$Q$2))</f>
        <v>9348.46438511292</v>
      </c>
      <c r="H364" s="15" t="n">
        <f aca="false">G364*(1+IF(H$3&lt;=$O$2,$D364,$D364-($D364-$I$346)*MIN(H$3-$O$2,$Q$2)/$Q$2))</f>
        <v>9917.44459928711</v>
      </c>
      <c r="I364" s="15" t="n">
        <f aca="false">H364*(1+IF(I$3&lt;=$O$2,$D364,$D364-($D364-$I$346)*MIN(I$3-$O$2,$Q$2)/$Q$2))</f>
        <v>10521.0549378095</v>
      </c>
      <c r="J364" s="15" t="n">
        <f aca="false">I364*(1+IF(J$3&lt;=$O$2,$D364,$D364-($D364-$I$346)*MIN(J$3-$O$2,$Q$2)/$Q$2))</f>
        <v>11082.3615924329</v>
      </c>
      <c r="K364" s="15" t="n">
        <f aca="false">J364*(1+IF(K$3&lt;=$O$2,$D364,$D364-($D364-$I$346)*MIN(K$3-$O$2,$Q$2)/$Q$2))</f>
        <v>11590.3559572517</v>
      </c>
      <c r="L364" s="15" t="n">
        <f aca="false">K364*(1+IF(L$3&lt;=$O$2,$D364,$D364-($D364-$I$346)*MIN(L$3-$O$2,$Q$2)/$Q$2))</f>
        <v>12034.5609616865</v>
      </c>
      <c r="M364" s="15" t="n">
        <f aca="false">L364*(1+IF(M$3&lt;=$O$2,$D364,$D364-($D364-$I$346)*MIN(M$3-$O$2,$Q$2)/$Q$2))</f>
        <v>12405.3782658905</v>
      </c>
      <c r="N364" s="15" t="n">
        <f aca="false">M364*(1+IF(N$3&lt;=$O$2,$D364,$D364-($D364-$I$346)*MIN(N$3-$O$2,$Q$2)/$Q$2))</f>
        <v>12694.4235794858</v>
      </c>
      <c r="O364" s="15" t="n">
        <f aca="false">SUMPRODUCT(E364:N364,1/(1+$F$346)^$E$3:$N$3)*$E$2</f>
        <v>19573.8387997796</v>
      </c>
      <c r="P364" s="15" t="n">
        <f aca="false">N364*$E$2*(1+$I$346)/($F$346-$I$346)/(1+$F$346)^$N$3</f>
        <v>28543.3404674243</v>
      </c>
      <c r="Q364" s="15" t="n">
        <f aca="false">O364+P364</f>
        <v>48117.1792672038</v>
      </c>
      <c r="R364" s="15" t="n">
        <f aca="false">Q364-$G$2+$I$2</f>
        <v>45600.1792672038</v>
      </c>
      <c r="S364" s="42" t="n">
        <f aca="false">R364/$K$2</f>
        <v>105.258712125949</v>
      </c>
      <c r="T364" s="43" t="n">
        <f aca="false">S364-$M$2</f>
        <v>0.000413801772324973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0.06085205078125</v>
      </c>
      <c r="C365" s="25" t="n">
        <f aca="false">IF(T364&gt;0,D364,C364)</f>
        <v>0.0608634948730469</v>
      </c>
      <c r="D365" s="41" t="n">
        <f aca="false">(B365+C365)/2</f>
        <v>0.0608577728271484</v>
      </c>
      <c r="E365" s="15" t="n">
        <f aca="false">$C$2*(1+IF(E$3&lt;=$O$2,$D365,$D365-($D365-$I$346)*MIN(E$3-$O$2,$Q$2)/$Q$2))</f>
        <v>8306.51636123657</v>
      </c>
      <c r="F365" s="15" t="n">
        <f aca="false">E365*(1+IF(F$3&lt;=$O$2,$D365,$D365-($D365-$I$346)*MIN(F$3-$O$2,$Q$2)/$Q$2))</f>
        <v>8812.0324469337</v>
      </c>
      <c r="G365" s="15" t="n">
        <f aca="false">F365*(1+IF(G$3&lt;=$O$2,$D365,$D365-($D365-$I$346)*MIN(G$3-$O$2,$Q$2)/$Q$2))</f>
        <v>9348.31311573465</v>
      </c>
      <c r="H365" s="15" t="n">
        <f aca="false">G365*(1+IF(H$3&lt;=$O$2,$D365,$D365-($D365-$I$346)*MIN(H$3-$O$2,$Q$2)/$Q$2))</f>
        <v>9917.23063164908</v>
      </c>
      <c r="I365" s="15" t="n">
        <f aca="false">H365*(1+IF(I$3&lt;=$O$2,$D365,$D365-($D365-$I$346)*MIN(I$3-$O$2,$Q$2)/$Q$2))</f>
        <v>10520.7712005044</v>
      </c>
      <c r="J365" s="15" t="n">
        <f aca="false">I365*(1+IF(J$3&lt;=$O$2,$D365,$D365-($D365-$I$346)*MIN(J$3-$O$2,$Q$2)/$Q$2))</f>
        <v>11082.0145572481</v>
      </c>
      <c r="K365" s="15" t="n">
        <f aca="false">J365*(1+IF(K$3&lt;=$O$2,$D365,$D365-($D365-$I$346)*MIN(K$3-$O$2,$Q$2)/$Q$2))</f>
        <v>11589.954967557</v>
      </c>
      <c r="L365" s="15" t="n">
        <f aca="false">K365*(1+IF(L$3&lt;=$O$2,$D365,$D365-($D365-$I$346)*MIN(L$3-$O$2,$Q$2)/$Q$2))</f>
        <v>12034.1180766004</v>
      </c>
      <c r="M365" s="15" t="n">
        <f aca="false">L365*(1+IF(M$3&lt;=$O$2,$D365,$D365-($D365-$I$346)*MIN(M$3-$O$2,$Q$2)/$Q$2))</f>
        <v>12404.9079623644</v>
      </c>
      <c r="N365" s="15" t="n">
        <f aca="false">M365*(1+IF(N$3&lt;=$O$2,$D365,$D365-($D365-$I$346)*MIN(N$3-$O$2,$Q$2)/$Q$2))</f>
        <v>12693.9423178875</v>
      </c>
      <c r="O365" s="15" t="n">
        <f aca="false">SUMPRODUCT(E365:N365,1/(1+$F$346)^$E$3:$N$3)*$E$2</f>
        <v>19573.3486275306</v>
      </c>
      <c r="P365" s="15" t="n">
        <f aca="false">N365*$E$2*(1+$I$346)/($F$346-$I$346)/(1+$F$346)^$N$3</f>
        <v>28542.2583534104</v>
      </c>
      <c r="Q365" s="15" t="n">
        <f aca="false">O365+P365</f>
        <v>48115.606980941</v>
      </c>
      <c r="R365" s="15" t="n">
        <f aca="false">Q365-$G$2+$I$2</f>
        <v>45598.606980941</v>
      </c>
      <c r="S365" s="42" t="n">
        <f aca="false">R365/$K$2</f>
        <v>105.255082823833</v>
      </c>
      <c r="T365" s="43" t="n">
        <f aca="false">S365-$M$2</f>
        <v>-0.00321550034396978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0.0608577728271484</v>
      </c>
      <c r="C366" s="25" t="n">
        <f aca="false">IF(T365&gt;0,D365,C365)</f>
        <v>0.0608634948730469</v>
      </c>
      <c r="D366" s="41" t="n">
        <f aca="false">(B366+C366)/2</f>
        <v>0.0608606338500977</v>
      </c>
      <c r="E366" s="15" t="n">
        <f aca="false">$C$2*(1+IF(E$3&lt;=$O$2,$D366,$D366-($D366-$I$346)*MIN(E$3-$O$2,$Q$2)/$Q$2))</f>
        <v>8306.53876304627</v>
      </c>
      <c r="F366" s="15" t="n">
        <f aca="false">E366*(1+IF(F$3&lt;=$O$2,$D366,$D366-($D366-$I$346)*MIN(F$3-$O$2,$Q$2)/$Q$2))</f>
        <v>8812.07997726567</v>
      </c>
      <c r="G366" s="15" t="n">
        <f aca="false">F366*(1+IF(G$3&lt;=$O$2,$D366,$D366-($D366-$I$346)*MIN(G$3-$O$2,$Q$2)/$Q$2))</f>
        <v>9348.38875021981</v>
      </c>
      <c r="H366" s="15" t="n">
        <f aca="false">G366*(1+IF(H$3&lt;=$O$2,$D366,$D366-($D366-$I$346)*MIN(H$3-$O$2,$Q$2)/$Q$2))</f>
        <v>9917.33761503531</v>
      </c>
      <c r="I366" s="15" t="n">
        <f aca="false">H366*(1+IF(I$3&lt;=$O$2,$D366,$D366-($D366-$I$346)*MIN(I$3-$O$2,$Q$2)/$Q$2))</f>
        <v>10520.9130683918</v>
      </c>
      <c r="J366" s="15" t="n">
        <f aca="false">I366*(1+IF(J$3&lt;=$O$2,$D366,$D366-($D366-$I$346)*MIN(J$3-$O$2,$Q$2)/$Q$2))</f>
        <v>11082.1880737098</v>
      </c>
      <c r="K366" s="15" t="n">
        <f aca="false">J366*(1+IF(K$3&lt;=$O$2,$D366,$D366-($D366-$I$346)*MIN(K$3-$O$2,$Q$2)/$Q$2))</f>
        <v>11590.1554609239</v>
      </c>
      <c r="L366" s="15" t="n">
        <f aca="false">K366*(1+IF(L$3&lt;=$O$2,$D366,$D366-($D366-$I$346)*MIN(L$3-$O$2,$Q$2)/$Q$2))</f>
        <v>12034.3395173768</v>
      </c>
      <c r="M366" s="15" t="n">
        <f aca="false">L366*(1+IF(M$3&lt;=$O$2,$D366,$D366-($D366-$I$346)*MIN(M$3-$O$2,$Q$2)/$Q$2))</f>
        <v>12405.1431121797</v>
      </c>
      <c r="N366" s="15" t="n">
        <f aca="false">M366*(1+IF(N$3&lt;=$O$2,$D366,$D366-($D366-$I$346)*MIN(N$3-$O$2,$Q$2)/$Q$2))</f>
        <v>12694.1829466935</v>
      </c>
      <c r="O366" s="15" t="n">
        <f aca="false">SUMPRODUCT(E366:N366,1/(1+$F$346)^$E$3:$N$3)*$E$2</f>
        <v>19573.5937121159</v>
      </c>
      <c r="P366" s="15" t="n">
        <f aca="false">N366*$E$2*(1+$I$346)/($F$346-$I$346)/(1+$F$346)^$N$3</f>
        <v>28542.7994059358</v>
      </c>
      <c r="Q366" s="15" t="n">
        <f aca="false">O366+P366</f>
        <v>48116.3931180517</v>
      </c>
      <c r="R366" s="15" t="n">
        <f aca="false">Q366-$G$2+$I$2</f>
        <v>45599.3931180517</v>
      </c>
      <c r="S366" s="42" t="n">
        <f aca="false">R366/$K$2</f>
        <v>105.256897460994</v>
      </c>
      <c r="T366" s="43" t="n">
        <f aca="false">S366-$M$2</f>
        <v>-0.00140086318346278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0.0608606338500977</v>
      </c>
      <c r="C367" s="25" t="n">
        <f aca="false">IF(T366&gt;0,D366,C366)</f>
        <v>0.0608634948730469</v>
      </c>
      <c r="D367" s="41" t="n">
        <f aca="false">(B367+C367)/2</f>
        <v>0.0608620643615723</v>
      </c>
      <c r="E367" s="15" t="n">
        <f aca="false">$C$2*(1+IF(E$3&lt;=$O$2,$D367,$D367-($D367-$I$346)*MIN(E$3-$O$2,$Q$2)/$Q$2))</f>
        <v>8306.54996395111</v>
      </c>
      <c r="F367" s="15" t="n">
        <f aca="false">E367*(1+IF(F$3&lt;=$O$2,$D367,$D367-($D367-$I$346)*MIN(F$3-$O$2,$Q$2)/$Q$2))</f>
        <v>8812.10374247972</v>
      </c>
      <c r="G367" s="15" t="n">
        <f aca="false">F367*(1+IF(G$3&lt;=$O$2,$D367,$D367-($D367-$I$346)*MIN(G$3-$O$2,$Q$2)/$Q$2))</f>
        <v>9348.42656761537</v>
      </c>
      <c r="H367" s="15" t="n">
        <f aca="false">G367*(1+IF(H$3&lt;=$O$2,$D367,$D367-($D367-$I$346)*MIN(H$3-$O$2,$Q$2)/$Q$2))</f>
        <v>9917.39110705301</v>
      </c>
      <c r="I367" s="15" t="n">
        <f aca="false">H367*(1+IF(I$3&lt;=$O$2,$D367,$D367-($D367-$I$346)*MIN(I$3-$O$2,$Q$2)/$Q$2))</f>
        <v>10520.9840029094</v>
      </c>
      <c r="J367" s="15" t="n">
        <f aca="false">I367*(1+IF(J$3&lt;=$O$2,$D367,$D367-($D367-$I$346)*MIN(J$3-$O$2,$Q$2)/$Q$2))</f>
        <v>11082.2748327886</v>
      </c>
      <c r="K367" s="15" t="n">
        <f aca="false">J367*(1+IF(K$3&lt;=$O$2,$D367,$D367-($D367-$I$346)*MIN(K$3-$O$2,$Q$2)/$Q$2))</f>
        <v>11590.2557087177</v>
      </c>
      <c r="L367" s="15" t="n">
        <f aca="false">K367*(1+IF(L$3&lt;=$O$2,$D367,$D367-($D367-$I$346)*MIN(L$3-$O$2,$Q$2)/$Q$2))</f>
        <v>12034.45023909</v>
      </c>
      <c r="M367" s="15" t="n">
        <f aca="false">L367*(1+IF(M$3&lt;=$O$2,$D367,$D367-($D367-$I$346)*MIN(M$3-$O$2,$Q$2)/$Q$2))</f>
        <v>12405.2606885482</v>
      </c>
      <c r="N367" s="15" t="n">
        <f aca="false">M367*(1+IF(N$3&lt;=$O$2,$D367,$D367-($D367-$I$346)*MIN(N$3-$O$2,$Q$2)/$Q$2))</f>
        <v>12694.3032625913</v>
      </c>
      <c r="O367" s="15" t="n">
        <f aca="false">SUMPRODUCT(E367:N367,1/(1+$F$346)^$E$3:$N$3)*$E$2</f>
        <v>19573.7162555629</v>
      </c>
      <c r="P367" s="15" t="n">
        <f aca="false">N367*$E$2*(1+$I$346)/($F$346-$I$346)/(1+$F$346)^$N$3</f>
        <v>28543.0699355596</v>
      </c>
      <c r="Q367" s="15" t="n">
        <f aca="false">O367+P367</f>
        <v>48116.7861911226</v>
      </c>
      <c r="R367" s="15" t="n">
        <f aca="false">Q367-$G$2+$I$2</f>
        <v>45599.7861911226</v>
      </c>
      <c r="S367" s="42" t="n">
        <f aca="false">R367/$K$2</f>
        <v>105.257804789997</v>
      </c>
      <c r="T367" s="43" t="n">
        <f aca="false">S367-$M$2</f>
        <v>-0.000493534179994981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0.0608620643615723</v>
      </c>
      <c r="C368" s="25" t="n">
        <f aca="false">IF(T367&gt;0,D367,C367)</f>
        <v>0.0608634948730469</v>
      </c>
      <c r="D368" s="41" t="n">
        <f aca="false">(B368+C368)/2</f>
        <v>0.0608627796173096</v>
      </c>
      <c r="E368" s="15" t="n">
        <f aca="false">$C$2*(1+IF(E$3&lt;=$O$2,$D368,$D368-($D368-$I$346)*MIN(E$3-$O$2,$Q$2)/$Q$2))</f>
        <v>8306.55556440353</v>
      </c>
      <c r="F368" s="15" t="n">
        <f aca="false">E368*(1+IF(F$3&lt;=$O$2,$D368,$D368-($D368-$I$346)*MIN(F$3-$O$2,$Q$2)/$Q$2))</f>
        <v>8812.11562509876</v>
      </c>
      <c r="G368" s="15" t="n">
        <f aca="false">F368*(1+IF(G$3&lt;=$O$2,$D368,$D368-($D368-$I$346)*MIN(G$3-$O$2,$Q$2)/$Q$2))</f>
        <v>9348.4454763514</v>
      </c>
      <c r="H368" s="15" t="n">
        <f aca="false">G368*(1+IF(H$3&lt;=$O$2,$D368,$D368-($D368-$I$346)*MIN(H$3-$O$2,$Q$2)/$Q$2))</f>
        <v>9917.41785314301</v>
      </c>
      <c r="I368" s="15" t="n">
        <f aca="false">H368*(1+IF(I$3&lt;=$O$2,$D368,$D368-($D368-$I$346)*MIN(I$3-$O$2,$Q$2)/$Q$2))</f>
        <v>10521.0194703116</v>
      </c>
      <c r="J368" s="15" t="n">
        <f aca="false">I368*(1+IF(J$3&lt;=$O$2,$D368,$D368-($D368-$I$346)*MIN(J$3-$O$2,$Q$2)/$Q$2))</f>
        <v>11082.3182125401</v>
      </c>
      <c r="K368" s="15" t="n">
        <f aca="false">J368*(1+IF(K$3&lt;=$O$2,$D368,$D368-($D368-$I$346)*MIN(K$3-$O$2,$Q$2)/$Q$2))</f>
        <v>11590.3058328922</v>
      </c>
      <c r="L368" s="15" t="n">
        <f aca="false">K368*(1+IF(L$3&lt;=$O$2,$D368,$D368-($D368-$I$346)*MIN(L$3-$O$2,$Q$2)/$Q$2))</f>
        <v>12034.5056002778</v>
      </c>
      <c r="M368" s="15" t="n">
        <f aca="false">L368*(1+IF(M$3&lt;=$O$2,$D368,$D368-($D368-$I$346)*MIN(M$3-$O$2,$Q$2)/$Q$2))</f>
        <v>12405.3194770976</v>
      </c>
      <c r="N368" s="15" t="n">
        <f aca="false">M368*(1+IF(N$3&lt;=$O$2,$D368,$D368-($D368-$I$346)*MIN(N$3-$O$2,$Q$2)/$Q$2))</f>
        <v>12694.363420914</v>
      </c>
      <c r="O368" s="15" t="n">
        <f aca="false">SUMPRODUCT(E368:N368,1/(1+$F$346)^$E$3:$N$3)*$E$2</f>
        <v>19573.7775275751</v>
      </c>
      <c r="P368" s="15" t="n">
        <f aca="false">N368*$E$2*(1+$I$346)/($F$346-$I$346)/(1+$F$346)^$N$3</f>
        <v>28543.2052012118</v>
      </c>
      <c r="Q368" s="15" t="n">
        <f aca="false">O368+P368</f>
        <v>48116.9827287869</v>
      </c>
      <c r="R368" s="15" t="n">
        <f aca="false">Q368-$G$2+$I$2</f>
        <v>45599.9827287869</v>
      </c>
      <c r="S368" s="42" t="n">
        <f aca="false">R368/$K$2</f>
        <v>105.258258457105</v>
      </c>
      <c r="T368" s="43" t="n">
        <f aca="false">S368-$M$2</f>
        <v>-3.98670724308658E-005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0.0608627796173096</v>
      </c>
      <c r="C369" s="25" t="n">
        <f aca="false">IF(T368&gt;0,D368,C368)</f>
        <v>0.0608634948730469</v>
      </c>
      <c r="D369" s="41" t="n">
        <f aca="false">(B369+C369)/2</f>
        <v>0.0608631372451782</v>
      </c>
      <c r="E369" s="15" t="n">
        <f aca="false">$C$2*(1+IF(E$3&lt;=$O$2,$D369,$D369-($D369-$I$346)*MIN(E$3-$O$2,$Q$2)/$Q$2))</f>
        <v>8306.55836462975</v>
      </c>
      <c r="F369" s="15" t="n">
        <f aca="false">E369*(1+IF(F$3&lt;=$O$2,$D369,$D369-($D369-$I$346)*MIN(F$3-$O$2,$Q$2)/$Q$2))</f>
        <v>8812.12156641129</v>
      </c>
      <c r="G369" s="15" t="n">
        <f aca="false">F369*(1+IF(G$3&lt;=$O$2,$D369,$D369-($D369-$I$346)*MIN(G$3-$O$2,$Q$2)/$Q$2))</f>
        <v>9348.45493072897</v>
      </c>
      <c r="H369" s="15" t="n">
        <f aca="false">G369*(1+IF(H$3&lt;=$O$2,$D369,$D369-($D369-$I$346)*MIN(H$3-$O$2,$Q$2)/$Q$2))</f>
        <v>9917.4312262083</v>
      </c>
      <c r="I369" s="15" t="n">
        <f aca="false">H369*(1+IF(I$3&lt;=$O$2,$D369,$D369-($D369-$I$346)*MIN(I$3-$O$2,$Q$2)/$Q$2))</f>
        <v>10521.0372040486</v>
      </c>
      <c r="J369" s="15" t="n">
        <f aca="false">I369*(1+IF(J$3&lt;=$O$2,$D369,$D369-($D369-$I$346)*MIN(J$3-$O$2,$Q$2)/$Q$2))</f>
        <v>11082.3399024688</v>
      </c>
      <c r="K369" s="15" t="n">
        <f aca="false">J369*(1+IF(K$3&lt;=$O$2,$D369,$D369-($D369-$I$346)*MIN(K$3-$O$2,$Q$2)/$Q$2))</f>
        <v>11590.3308950488</v>
      </c>
      <c r="L369" s="15" t="n">
        <f aca="false">K369*(1+IF(L$3&lt;=$O$2,$D369,$D369-($D369-$I$346)*MIN(L$3-$O$2,$Q$2)/$Q$2))</f>
        <v>12034.5332809546</v>
      </c>
      <c r="M369" s="15" t="n">
        <f aca="false">L369*(1+IF(M$3&lt;=$O$2,$D369,$D369-($D369-$I$346)*MIN(M$3-$O$2,$Q$2)/$Q$2))</f>
        <v>12405.3488714636</v>
      </c>
      <c r="N369" s="15" t="n">
        <f aca="false">M369*(1+IF(N$3&lt;=$O$2,$D369,$D369-($D369-$I$346)*MIN(N$3-$O$2,$Q$2)/$Q$2))</f>
        <v>12694.3935001687</v>
      </c>
      <c r="O369" s="15" t="n">
        <f aca="false">SUMPRODUCT(E369:N369,1/(1+$F$346)^$E$3:$N$3)*$E$2</f>
        <v>19573.8081636533</v>
      </c>
      <c r="P369" s="15" t="n">
        <f aca="false">N369*$E$2*(1+$I$346)/($F$346-$I$346)/(1+$F$346)^$N$3</f>
        <v>28543.272834248</v>
      </c>
      <c r="Q369" s="15" t="n">
        <f aca="false">O369+P369</f>
        <v>48117.0809979013</v>
      </c>
      <c r="R369" s="15" t="n">
        <f aca="false">Q369-$G$2+$I$2</f>
        <v>45600.0809979013</v>
      </c>
      <c r="S369" s="42" t="n">
        <f aca="false">R369/$K$2</f>
        <v>105.25848529131</v>
      </c>
      <c r="T369" s="43" t="n">
        <f aca="false">S369-$M$2</f>
        <v>0.000186967132805194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0.0608627796173096</v>
      </c>
      <c r="C370" s="25" t="n">
        <f aca="false">IF(T369&gt;0,D369,C369)</f>
        <v>0.0608631372451782</v>
      </c>
      <c r="D370" s="41" t="n">
        <f aca="false">(B370+C370)/2</f>
        <v>0.0608629584312439</v>
      </c>
      <c r="E370" s="15" t="n">
        <f aca="false">$C$2*(1+IF(E$3&lt;=$O$2,$D370,$D370-($D370-$I$346)*MIN(E$3-$O$2,$Q$2)/$Q$2))</f>
        <v>8306.55696451664</v>
      </c>
      <c r="F370" s="15" t="n">
        <f aca="false">E370*(1+IF(F$3&lt;=$O$2,$D370,$D370-($D370-$I$346)*MIN(F$3-$O$2,$Q$2)/$Q$2))</f>
        <v>8812.11859575478</v>
      </c>
      <c r="G370" s="15" t="n">
        <f aca="false">F370*(1+IF(G$3&lt;=$O$2,$D370,$D370-($D370-$I$346)*MIN(G$3-$O$2,$Q$2)/$Q$2))</f>
        <v>9348.45020353939</v>
      </c>
      <c r="H370" s="15" t="n">
        <f aca="false">G370*(1+IF(H$3&lt;=$O$2,$D370,$D370-($D370-$I$346)*MIN(H$3-$O$2,$Q$2)/$Q$2))</f>
        <v>9917.42453967396</v>
      </c>
      <c r="I370" s="15" t="n">
        <f aca="false">H370*(1+IF(I$3&lt;=$O$2,$D370,$D370-($D370-$I$346)*MIN(I$3-$O$2,$Q$2)/$Q$2))</f>
        <v>10521.0283371771</v>
      </c>
      <c r="J370" s="15" t="n">
        <f aca="false">I370*(1+IF(J$3&lt;=$O$2,$D370,$D370-($D370-$I$346)*MIN(J$3-$O$2,$Q$2)/$Q$2))</f>
        <v>11082.3290575</v>
      </c>
      <c r="K370" s="15" t="n">
        <f aca="false">J370*(1+IF(K$3&lt;=$O$2,$D370,$D370-($D370-$I$346)*MIN(K$3-$O$2,$Q$2)/$Q$2))</f>
        <v>11590.3183639647</v>
      </c>
      <c r="L370" s="15" t="n">
        <f aca="false">K370*(1+IF(L$3&lt;=$O$2,$D370,$D370-($D370-$I$346)*MIN(L$3-$O$2,$Q$2)/$Q$2))</f>
        <v>12034.5194406093</v>
      </c>
      <c r="M370" s="15" t="n">
        <f aca="false">L370*(1+IF(M$3&lt;=$O$2,$D370,$D370-($D370-$I$346)*MIN(M$3-$O$2,$Q$2)/$Q$2))</f>
        <v>12405.334174273</v>
      </c>
      <c r="N370" s="15" t="n">
        <f aca="false">M370*(1+IF(N$3&lt;=$O$2,$D370,$D370-($D370-$I$346)*MIN(N$3-$O$2,$Q$2)/$Q$2))</f>
        <v>12694.3784605336</v>
      </c>
      <c r="O370" s="15" t="n">
        <f aca="false">SUMPRODUCT(E370:N370,1/(1+$F$346)^$E$3:$N$3)*$E$2</f>
        <v>19573.7928456081</v>
      </c>
      <c r="P370" s="15" t="n">
        <f aca="false">N370*$E$2*(1+$I$346)/($F$346-$I$346)/(1+$F$346)^$N$3</f>
        <v>28543.2390177124</v>
      </c>
      <c r="Q370" s="15" t="n">
        <f aca="false">O370+P370</f>
        <v>48117.0318633206</v>
      </c>
      <c r="R370" s="15" t="n">
        <f aca="false">Q370-$G$2+$I$2</f>
        <v>45600.0318633206</v>
      </c>
      <c r="S370" s="42" t="n">
        <f aca="false">R370/$K$2</f>
        <v>105.258371874153</v>
      </c>
      <c r="T370" s="43" t="n">
        <f aca="false">S370-$M$2</f>
        <v>7.35499758661717E-005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0.0608627796173096</v>
      </c>
      <c r="C371" s="25" t="n">
        <f aca="false">IF(T370&gt;0,D370,C370)</f>
        <v>0.0608629584312439</v>
      </c>
      <c r="D371" s="41" t="n">
        <f aca="false">(B371+C371)/2</f>
        <v>0.0608628690242767</v>
      </c>
      <c r="E371" s="15" t="n">
        <f aca="false">$C$2*(1+IF(E$3&lt;=$O$2,$D371,$D371-($D371-$I$346)*MIN(E$3-$O$2,$Q$2)/$Q$2))</f>
        <v>8306.55626446009</v>
      </c>
      <c r="F371" s="15" t="n">
        <f aca="false">E371*(1+IF(F$3&lt;=$O$2,$D371,$D371-($D371-$I$346)*MIN(F$3-$O$2,$Q$2)/$Q$2))</f>
        <v>8812.11711042671</v>
      </c>
      <c r="G371" s="15" t="n">
        <f aca="false">F371*(1+IF(G$3&lt;=$O$2,$D371,$D371-($D371-$I$346)*MIN(G$3-$O$2,$Q$2)/$Q$2))</f>
        <v>9348.4478399452</v>
      </c>
      <c r="H371" s="15" t="n">
        <f aca="false">G371*(1+IF(H$3&lt;=$O$2,$D371,$D371-($D371-$I$346)*MIN(H$3-$O$2,$Q$2)/$Q$2))</f>
        <v>9917.42119640806</v>
      </c>
      <c r="I371" s="15" t="n">
        <f aca="false">H371*(1+IF(I$3&lt;=$O$2,$D371,$D371-($D371-$I$346)*MIN(I$3-$O$2,$Q$2)/$Q$2))</f>
        <v>10521.0239037436</v>
      </c>
      <c r="J371" s="15" t="n">
        <f aca="false">I371*(1+IF(J$3&lt;=$O$2,$D371,$D371-($D371-$I$346)*MIN(J$3-$O$2,$Q$2)/$Q$2))</f>
        <v>11082.3236350189</v>
      </c>
      <c r="K371" s="15" t="n">
        <f aca="false">J371*(1+IF(K$3&lt;=$O$2,$D371,$D371-($D371-$I$346)*MIN(K$3-$O$2,$Q$2)/$Q$2))</f>
        <v>11590.312098427</v>
      </c>
      <c r="L371" s="15" t="n">
        <f aca="false">K371*(1+IF(L$3&lt;=$O$2,$D371,$D371-($D371-$I$346)*MIN(L$3-$O$2,$Q$2)/$Q$2))</f>
        <v>12034.5125204418</v>
      </c>
      <c r="M371" s="15" t="n">
        <f aca="false">L371*(1+IF(M$3&lt;=$O$2,$D371,$D371-($D371-$I$346)*MIN(M$3-$O$2,$Q$2)/$Q$2))</f>
        <v>12405.3268256834</v>
      </c>
      <c r="N371" s="15" t="n">
        <f aca="false">M371*(1+IF(N$3&lt;=$O$2,$D371,$D371-($D371-$I$346)*MIN(N$3-$O$2,$Q$2)/$Q$2))</f>
        <v>12694.3709407218</v>
      </c>
      <c r="O371" s="15" t="n">
        <f aca="false">SUMPRODUCT(E371:N371,1/(1+$F$346)^$E$3:$N$3)*$E$2</f>
        <v>19573.7851865901</v>
      </c>
      <c r="P371" s="15" t="n">
        <f aca="false">N371*$E$2*(1+$I$346)/($F$346-$I$346)/(1+$F$346)^$N$3</f>
        <v>28543.2221094577</v>
      </c>
      <c r="Q371" s="15" t="n">
        <f aca="false">O371+P371</f>
        <v>48117.0072960478</v>
      </c>
      <c r="R371" s="15" t="n">
        <f aca="false">Q371-$G$2+$I$2</f>
        <v>45600.0072960478</v>
      </c>
      <c r="S371" s="42" t="n">
        <f aca="false">R371/$K$2</f>
        <v>105.258315165615</v>
      </c>
      <c r="T371" s="43" t="n">
        <f aca="false">S371-$M$2</f>
        <v>1.68414381533921E-005</v>
      </c>
    </row>
    <row r="373" customFormat="false" ht="15" hidden="false" customHeight="false" outlineLevel="0" collapsed="false">
      <c r="A373" s="38" t="s">
        <v>185</v>
      </c>
      <c r="E373" s="5" t="s">
        <v>11</v>
      </c>
      <c r="F373" s="12" t="n">
        <f aca="false">Sensitivity!$B$12</f>
        <v>0.0821529104257703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153</v>
      </c>
      <c r="B374" s="28" t="s">
        <v>154</v>
      </c>
      <c r="C374" s="28" t="s">
        <v>155</v>
      </c>
      <c r="D374" s="28" t="s">
        <v>156</v>
      </c>
      <c r="E374" s="28" t="s">
        <v>157</v>
      </c>
      <c r="F374" s="28" t="s">
        <v>158</v>
      </c>
      <c r="G374" s="28" t="s">
        <v>159</v>
      </c>
      <c r="H374" s="28" t="s">
        <v>160</v>
      </c>
      <c r="I374" s="28" t="s">
        <v>161</v>
      </c>
      <c r="J374" s="28" t="s">
        <v>162</v>
      </c>
      <c r="K374" s="28" t="s">
        <v>163</v>
      </c>
      <c r="L374" s="28" t="s">
        <v>164</v>
      </c>
      <c r="M374" s="28" t="s">
        <v>165</v>
      </c>
      <c r="N374" s="28" t="s">
        <v>166</v>
      </c>
      <c r="O374" s="28" t="s">
        <v>167</v>
      </c>
      <c r="P374" s="28" t="s">
        <v>168</v>
      </c>
      <c r="Q374" s="28" t="s">
        <v>169</v>
      </c>
      <c r="R374" s="28" t="s">
        <v>170</v>
      </c>
      <c r="S374" s="28" t="s">
        <v>171</v>
      </c>
      <c r="T374" s="28" t="s">
        <v>172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9787.5</v>
      </c>
      <c r="F375" s="15" t="n">
        <f aca="false">E375*(1+IF(F$3&lt;=$O$2,$D375,$D375-($D375-$I$373)*MIN(F$3-$O$2,$Q$2)/$Q$2))</f>
        <v>12234.375</v>
      </c>
      <c r="G375" s="15" t="n">
        <f aca="false">F375*(1+IF(G$3&lt;=$O$2,$D375,$D375-($D375-$I$373)*MIN(G$3-$O$2,$Q$2)/$Q$2))</f>
        <v>15292.96875</v>
      </c>
      <c r="H375" s="15" t="n">
        <f aca="false">G375*(1+IF(H$3&lt;=$O$2,$D375,$D375-($D375-$I$373)*MIN(H$3-$O$2,$Q$2)/$Q$2))</f>
        <v>19116.2109375</v>
      </c>
      <c r="I375" s="15" t="n">
        <f aca="false">H375*(1+IF(I$3&lt;=$O$2,$D375,$D375-($D375-$I$373)*MIN(I$3-$O$2,$Q$2)/$Q$2))</f>
        <v>23895.263671875</v>
      </c>
      <c r="J375" s="15" t="n">
        <f aca="false">I375*(1+IF(J$3&lt;=$O$2,$D375,$D375-($D375-$I$373)*MIN(J$3-$O$2,$Q$2)/$Q$2))</f>
        <v>28809.5635986328</v>
      </c>
      <c r="K375" s="15" t="n">
        <f aca="false">J375*(1+IF(K$3&lt;=$O$2,$D375,$D375-($D375-$I$373)*MIN(K$3-$O$2,$Q$2)/$Q$2))</f>
        <v>33457.1223983643</v>
      </c>
      <c r="L375" s="15" t="n">
        <f aca="false">K375*(1+IF(L$3&lt;=$O$2,$D375,$D375-($D375-$I$373)*MIN(L$3-$O$2,$Q$2)/$Q$2))</f>
        <v>37370.9365765249</v>
      </c>
      <c r="M375" s="15" t="n">
        <f aca="false">L375*(1+IF(M$3&lt;=$O$2,$D375,$D375-($D375-$I$373)*MIN(M$3-$O$2,$Q$2)/$Q$2))</f>
        <v>40085.5614094437</v>
      </c>
      <c r="N375" s="15" t="n">
        <f aca="false">M375*(1+IF(N$3&lt;=$O$2,$D375,$D375-($D375-$I$373)*MIN(N$3-$O$2,$Q$2)/$Q$2))</f>
        <v>41219.9827973309</v>
      </c>
      <c r="O375" s="15" t="n">
        <f aca="false">SUMPRODUCT(E375:N375,1/(1+$F$373)^$E$3:$N$3)*$E$2</f>
        <v>44735.480825139</v>
      </c>
      <c r="P375" s="15" t="n">
        <f aca="false">N375*$E$2*(1+$I$373)/($F$373-$I$373)/(1+$F$373)^$N$3</f>
        <v>101782.999605472</v>
      </c>
      <c r="Q375" s="15" t="n">
        <f aca="false">O375+P375</f>
        <v>146518.480430611</v>
      </c>
      <c r="R375" s="15" t="n">
        <f aca="false">Q375-$G$2+$I$2</f>
        <v>144001.480430611</v>
      </c>
      <c r="S375" s="42" t="n">
        <f aca="false">R375/$K$2</f>
        <v>332.398043558956</v>
      </c>
      <c r="T375" s="43" t="n">
        <f aca="false">S375-$M$2</f>
        <v>227.139745234779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6851.25</v>
      </c>
      <c r="F376" s="15" t="n">
        <f aca="false">E376*(1+IF(F$3&lt;=$O$2,$D376,$D376-($D376-$I$373)*MIN(F$3-$O$2,$Q$2)/$Q$2))</f>
        <v>5994.84375</v>
      </c>
      <c r="G376" s="15" t="n">
        <f aca="false">F376*(1+IF(G$3&lt;=$O$2,$D376,$D376-($D376-$I$373)*MIN(G$3-$O$2,$Q$2)/$Q$2))</f>
        <v>5245.48828125</v>
      </c>
      <c r="H376" s="15" t="n">
        <f aca="false">G376*(1+IF(H$3&lt;=$O$2,$D376,$D376-($D376-$I$373)*MIN(H$3-$O$2,$Q$2)/$Q$2))</f>
        <v>4589.80224609375</v>
      </c>
      <c r="I376" s="15" t="n">
        <f aca="false">H376*(1+IF(I$3&lt;=$O$2,$D376,$D376-($D376-$I$373)*MIN(I$3-$O$2,$Q$2)/$Q$2))</f>
        <v>4016.07696533203</v>
      </c>
      <c r="J376" s="15" t="n">
        <f aca="false">I376*(1+IF(J$3&lt;=$O$2,$D376,$D376-($D376-$I$373)*MIN(J$3-$O$2,$Q$2)/$Q$2))</f>
        <v>3637.20026442261</v>
      </c>
      <c r="K376" s="15" t="n">
        <f aca="false">J376*(1+IF(K$3&lt;=$O$2,$D376,$D376-($D376-$I$373)*MIN(K$3-$O$2,$Q$2)/$Q$2))</f>
        <v>3405.58335158418</v>
      </c>
      <c r="L376" s="15" t="n">
        <f aca="false">K376*(1+IF(L$3&lt;=$O$2,$D376,$D376-($D376-$I$373)*MIN(L$3-$O$2,$Q$2)/$Q$2))</f>
        <v>3293.13098931487</v>
      </c>
      <c r="M376" s="15" t="n">
        <f aca="false">L376*(1+IF(M$3&lt;=$O$2,$D376,$D376-($D376-$I$373)*MIN(M$3-$O$2,$Q$2)/$Q$2))</f>
        <v>3285.35920018008</v>
      </c>
      <c r="N376" s="15" t="n">
        <f aca="false">M376*(1+IF(N$3&lt;=$O$2,$D376,$D376-($D376-$I$373)*MIN(N$3-$O$2,$Q$2)/$Q$2))</f>
        <v>3378.33486554518</v>
      </c>
      <c r="O376" s="15" t="n">
        <f aca="false">SUMPRODUCT(E376:N376,1/(1+$F$373)^$E$3:$N$3)*$E$2</f>
        <v>8762.32998981421</v>
      </c>
      <c r="P376" s="15" t="n">
        <f aca="false">N376*$E$2*(1+$I$373)/($F$373-$I$373)/(1+$F$373)^$N$3</f>
        <v>8341.99902454113</v>
      </c>
      <c r="Q376" s="15" t="n">
        <f aca="false">O376+P376</f>
        <v>17104.3290143553</v>
      </c>
      <c r="R376" s="15" t="n">
        <f aca="false">Q376-$G$2+$I$2</f>
        <v>14587.3290143553</v>
      </c>
      <c r="S376" s="42" t="n">
        <f aca="false">R376/$K$2</f>
        <v>33.6718734461829</v>
      </c>
      <c r="T376" s="43" t="n">
        <f aca="false">S376-$M$2</f>
        <v>-71.5864248779943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8319.375</v>
      </c>
      <c r="F377" s="15" t="n">
        <f aca="false">E377*(1+IF(F$3&lt;=$O$2,$D377,$D377-($D377-$I$373)*MIN(F$3-$O$2,$Q$2)/$Q$2))</f>
        <v>8839.3359375</v>
      </c>
      <c r="G377" s="15" t="n">
        <f aca="false">F377*(1+IF(G$3&lt;=$O$2,$D377,$D377-($D377-$I$373)*MIN(G$3-$O$2,$Q$2)/$Q$2))</f>
        <v>9391.79443359375</v>
      </c>
      <c r="H377" s="15" t="n">
        <f aca="false">G377*(1+IF(H$3&lt;=$O$2,$D377,$D377-($D377-$I$373)*MIN(H$3-$O$2,$Q$2)/$Q$2))</f>
        <v>9978.78158569336</v>
      </c>
      <c r="I377" s="15" t="n">
        <f aca="false">H377*(1+IF(I$3&lt;=$O$2,$D377,$D377-($D377-$I$373)*MIN(I$3-$O$2,$Q$2)/$Q$2))</f>
        <v>10602.4554347992</v>
      </c>
      <c r="J377" s="15" t="n">
        <f aca="false">I377*(1+IF(J$3&lt;=$O$2,$D377,$D377-($D377-$I$373)*MIN(J$3-$O$2,$Q$2)/$Q$2))</f>
        <v>11192.5881043001</v>
      </c>
      <c r="K377" s="15" t="n">
        <f aca="false">J377*(1+IF(K$3&lt;=$O$2,$D377,$D377-($D377-$I$373)*MIN(K$3-$O$2,$Q$2)/$Q$2))</f>
        <v>11739.0102555521</v>
      </c>
      <c r="L377" s="15" t="n">
        <f aca="false">K377*(1+IF(L$3&lt;=$O$2,$D377,$D377-($D377-$I$373)*MIN(L$3-$O$2,$Q$2)/$Q$2))</f>
        <v>12231.8139060801</v>
      </c>
      <c r="M377" s="15" t="n">
        <f aca="false">L377*(1+IF(M$3&lt;=$O$2,$D377,$D377-($D377-$I$373)*MIN(M$3-$O$2,$Q$2)/$Q$2))</f>
        <v>12661.6398467398</v>
      </c>
      <c r="N377" s="15" t="n">
        <f aca="false">M377*(1+IF(N$3&lt;=$O$2,$D377,$D377-($D377-$I$373)*MIN(N$3-$O$2,$Q$2)/$Q$2))</f>
        <v>13019.9642544025</v>
      </c>
      <c r="O377" s="15" t="n">
        <f aca="false">SUMPRODUCT(E377:N377,1/(1+$F$373)^$E$3:$N$3)*$E$2</f>
        <v>19773.6663347293</v>
      </c>
      <c r="P377" s="15" t="n">
        <f aca="false">N377*$E$2*(1+$I$373)/($F$373-$I$373)/(1+$F$373)^$N$3</f>
        <v>32149.722698451</v>
      </c>
      <c r="Q377" s="15" t="n">
        <f aca="false">O377+P377</f>
        <v>51923.3890331803</v>
      </c>
      <c r="R377" s="15" t="n">
        <f aca="false">Q377-$G$2+$I$2</f>
        <v>49406.3890331803</v>
      </c>
      <c r="S377" s="42" t="n">
        <f aca="false">R377/$K$2</f>
        <v>114.044570964361</v>
      </c>
      <c r="T377" s="43" t="n">
        <f aca="false">S377-$M$2</f>
        <v>8.78627264018351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7585.3125</v>
      </c>
      <c r="F378" s="15" t="n">
        <f aca="false">E378*(1+IF(F$3&lt;=$O$2,$D378,$D378-($D378-$I$373)*MIN(F$3-$O$2,$Q$2)/$Q$2))</f>
        <v>7348.271484375</v>
      </c>
      <c r="G378" s="15" t="n">
        <f aca="false">F378*(1+IF(G$3&lt;=$O$2,$D378,$D378-($D378-$I$373)*MIN(G$3-$O$2,$Q$2)/$Q$2))</f>
        <v>7118.63800048828</v>
      </c>
      <c r="H378" s="15" t="n">
        <f aca="false">G378*(1+IF(H$3&lt;=$O$2,$D378,$D378-($D378-$I$373)*MIN(H$3-$O$2,$Q$2)/$Q$2))</f>
        <v>6896.18056297302</v>
      </c>
      <c r="I378" s="15" t="n">
        <f aca="false">H378*(1+IF(I$3&lt;=$O$2,$D378,$D378-($D378-$I$373)*MIN(I$3-$O$2,$Q$2)/$Q$2))</f>
        <v>6680.67492038012</v>
      </c>
      <c r="J378" s="15" t="n">
        <f aca="false">I378*(1+IF(J$3&lt;=$O$2,$D378,$D378-($D378-$I$373)*MIN(J$3-$O$2,$Q$2)/$Q$2))</f>
        <v>6551.47066741996</v>
      </c>
      <c r="K378" s="15" t="n">
        <f aca="false">J378*(1+IF(K$3&lt;=$O$2,$D378,$D378-($D378-$I$373)*MIN(K$3-$O$2,$Q$2)/$Q$2))</f>
        <v>6502.79324036103</v>
      </c>
      <c r="L378" s="15" t="n">
        <f aca="false">K378*(1+IF(L$3&lt;=$O$2,$D378,$D378-($D378-$I$373)*MIN(L$3-$O$2,$Q$2)/$Q$2))</f>
        <v>6531.92575407785</v>
      </c>
      <c r="M378" s="15" t="n">
        <f aca="false">L378*(1+IF(M$3&lt;=$O$2,$D378,$D378-($D378-$I$373)*MIN(M$3-$O$2,$Q$2)/$Q$2))</f>
        <v>6638.98401718719</v>
      </c>
      <c r="N378" s="15" t="n">
        <f aca="false">M378*(1+IF(N$3&lt;=$O$2,$D378,$D378-($D378-$I$373)*MIN(N$3-$O$2,$Q$2)/$Q$2))</f>
        <v>6826.86726487359</v>
      </c>
      <c r="O378" s="15" t="n">
        <f aca="false">SUMPRODUCT(E378:N378,1/(1+$F$373)^$E$3:$N$3)*$E$2</f>
        <v>13126.1228092796</v>
      </c>
      <c r="P378" s="15" t="n">
        <f aca="false">N378*$E$2*(1+$I$373)/($F$373-$I$373)/(1+$F$373)^$N$3</f>
        <v>16857.3342580878</v>
      </c>
      <c r="Q378" s="15" t="n">
        <f aca="false">O378+P378</f>
        <v>29983.4570673674</v>
      </c>
      <c r="R378" s="15" t="n">
        <f aca="false">Q378-$G$2+$I$2</f>
        <v>27466.4570673674</v>
      </c>
      <c r="S378" s="42" t="n">
        <f aca="false">R378/$K$2</f>
        <v>63.4007134189727</v>
      </c>
      <c r="T378" s="43" t="n">
        <f aca="false">S378-$M$2</f>
        <v>-41.8575849052044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7952.34375</v>
      </c>
      <c r="F379" s="15" t="n">
        <f aca="false">E379*(1+IF(F$3&lt;=$O$2,$D379,$D379-($D379-$I$373)*MIN(F$3-$O$2,$Q$2)/$Q$2))</f>
        <v>8076.59912109375</v>
      </c>
      <c r="G379" s="15" t="n">
        <f aca="false">F379*(1+IF(G$3&lt;=$O$2,$D379,$D379-($D379-$I$373)*MIN(G$3-$O$2,$Q$2)/$Q$2))</f>
        <v>8202.79598236084</v>
      </c>
      <c r="H379" s="15" t="n">
        <f aca="false">G379*(1+IF(H$3&lt;=$O$2,$D379,$D379-($D379-$I$373)*MIN(H$3-$O$2,$Q$2)/$Q$2))</f>
        <v>8330.96466958523</v>
      </c>
      <c r="I379" s="15" t="n">
        <f aca="false">H379*(1+IF(I$3&lt;=$O$2,$D379,$D379-($D379-$I$373)*MIN(I$3-$O$2,$Q$2)/$Q$2))</f>
        <v>8461.1359925475</v>
      </c>
      <c r="J379" s="15" t="n">
        <f aca="false">I379*(1+IF(J$3&lt;=$O$2,$D379,$D379-($D379-$I$373)*MIN(J$3-$O$2,$Q$2)/$Q$2))</f>
        <v>8614.79022217216</v>
      </c>
      <c r="K379" s="15" t="n">
        <f aca="false">J379*(1+IF(K$3&lt;=$O$2,$D379,$D379-($D379-$I$373)*MIN(K$3-$O$2,$Q$2)/$Q$2))</f>
        <v>8793.07330582001</v>
      </c>
      <c r="L379" s="15" t="n">
        <f aca="false">K379*(1+IF(L$3&lt;=$O$2,$D379,$D379-($D379-$I$373)*MIN(L$3-$O$2,$Q$2)/$Q$2))</f>
        <v>8997.33639871421</v>
      </c>
      <c r="M379" s="15" t="n">
        <f aca="false">L379*(1+IF(M$3&lt;=$O$2,$D379,$D379-($D379-$I$373)*MIN(M$3-$O$2,$Q$2)/$Q$2))</f>
        <v>9229.15277102708</v>
      </c>
      <c r="N379" s="15" t="n">
        <f aca="false">M379*(1+IF(N$3&lt;=$O$2,$D379,$D379-($D379-$I$373)*MIN(N$3-$O$2,$Q$2)/$Q$2))</f>
        <v>9490.33779444715</v>
      </c>
      <c r="O379" s="15" t="n">
        <f aca="false">SUMPRODUCT(E379:N379,1/(1+$F$373)^$E$3:$N$3)*$E$2</f>
        <v>16104.663941069</v>
      </c>
      <c r="P379" s="15" t="n">
        <f aca="false">N379*$E$2*(1+$I$373)/($F$373-$I$373)/(1+$F$373)^$N$3</f>
        <v>23434.1448597246</v>
      </c>
      <c r="Q379" s="15" t="n">
        <f aca="false">O379+P379</f>
        <v>39538.8088007936</v>
      </c>
      <c r="R379" s="15" t="n">
        <f aca="false">Q379-$G$2+$I$2</f>
        <v>37021.8088007936</v>
      </c>
      <c r="S379" s="42" t="n">
        <f aca="false">R379/$K$2</f>
        <v>85.4572937555828</v>
      </c>
      <c r="T379" s="43" t="n">
        <f aca="false">S379-$M$2</f>
        <v>-19.8010045685943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41" t="n">
        <f aca="false">(B380+C380)/2</f>
        <v>0.0390625</v>
      </c>
      <c r="E380" s="15" t="n">
        <f aca="false">$C$2*(1+IF(E$3&lt;=$O$2,$D380,$D380-($D380-$I$373)*MIN(E$3-$O$2,$Q$2)/$Q$2))</f>
        <v>8135.859375</v>
      </c>
      <c r="F380" s="15" t="n">
        <f aca="false">E380*(1+IF(F$3&lt;=$O$2,$D380,$D380-($D380-$I$373)*MIN(F$3-$O$2,$Q$2)/$Q$2))</f>
        <v>8453.66638183594</v>
      </c>
      <c r="G380" s="15" t="n">
        <f aca="false">F380*(1+IF(G$3&lt;=$O$2,$D380,$D380-($D380-$I$373)*MIN(G$3-$O$2,$Q$2)/$Q$2))</f>
        <v>8783.8877248764</v>
      </c>
      <c r="H380" s="15" t="n">
        <f aca="false">G380*(1+IF(H$3&lt;=$O$2,$D380,$D380-($D380-$I$373)*MIN(H$3-$O$2,$Q$2)/$Q$2))</f>
        <v>9127.00833912939</v>
      </c>
      <c r="I380" s="15" t="n">
        <f aca="false">H380*(1+IF(I$3&lt;=$O$2,$D380,$D380-($D380-$I$373)*MIN(I$3-$O$2,$Q$2)/$Q$2))</f>
        <v>9483.53210237663</v>
      </c>
      <c r="J380" s="15" t="n">
        <f aca="false">I380*(1+IF(J$3&lt;=$O$2,$D380,$D380-($D380-$I$373)*MIN(J$3-$O$2,$Q$2)/$Q$2))</f>
        <v>9833.56927227535</v>
      </c>
      <c r="K380" s="15" t="n">
        <f aca="false">J380*(1+IF(K$3&lt;=$O$2,$D380,$D380-($D380-$I$373)*MIN(K$3-$O$2,$Q$2)/$Q$2))</f>
        <v>10175.3595562565</v>
      </c>
      <c r="L380" s="15" t="n">
        <f aca="false">K380*(1+IF(L$3&lt;=$O$2,$D380,$D380-($D380-$I$373)*MIN(L$3-$O$2,$Q$2)/$Q$2))</f>
        <v>10507.1271545882</v>
      </c>
      <c r="M380" s="15" t="n">
        <f aca="false">L380*(1+IF(M$3&lt;=$O$2,$D380,$D380-($D380-$I$373)*MIN(M$3-$O$2,$Q$2)/$Q$2))</f>
        <v>10827.0954442633</v>
      </c>
      <c r="N380" s="15" t="n">
        <f aca="false">M380*(1+IF(N$3&lt;=$O$2,$D380,$D380-($D380-$I$373)*MIN(N$3-$O$2,$Q$2)/$Q$2))</f>
        <v>11133.502245336</v>
      </c>
      <c r="O380" s="15" t="n">
        <f aca="false">SUMPRODUCT(E380:N380,1/(1+$F$373)^$E$3:$N$3)*$E$2</f>
        <v>17844.202501417</v>
      </c>
      <c r="P380" s="15" t="n">
        <f aca="false">N380*$E$2*(1+$I$373)/($F$373-$I$373)/(1+$F$373)^$N$3</f>
        <v>27491.5508872538</v>
      </c>
      <c r="Q380" s="15" t="n">
        <f aca="false">O380+P380</f>
        <v>45335.7533886708</v>
      </c>
      <c r="R380" s="15" t="n">
        <f aca="false">Q380-$G$2+$I$2</f>
        <v>42818.7533886708</v>
      </c>
      <c r="S380" s="42" t="n">
        <f aca="false">R380/$K$2</f>
        <v>98.838357852063</v>
      </c>
      <c r="T380" s="43" t="n">
        <f aca="false">S380-$M$2</f>
        <v>-6.41994047211406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0.0390625</v>
      </c>
      <c r="C381" s="25" t="n">
        <f aca="false">IF(T380&gt;0,D380,C380)</f>
        <v>0.0625</v>
      </c>
      <c r="D381" s="41" t="n">
        <f aca="false">(B381+C381)/2</f>
        <v>0.05078125</v>
      </c>
      <c r="E381" s="15" t="n">
        <f aca="false">$C$2*(1+IF(E$3&lt;=$O$2,$D381,$D381-($D381-$I$373)*MIN(E$3-$O$2,$Q$2)/$Q$2))</f>
        <v>8227.6171875</v>
      </c>
      <c r="F381" s="15" t="n">
        <f aca="false">E381*(1+IF(F$3&lt;=$O$2,$D381,$D381-($D381-$I$373)*MIN(F$3-$O$2,$Q$2)/$Q$2))</f>
        <v>8645.42587280273</v>
      </c>
      <c r="G381" s="15" t="n">
        <f aca="false">F381*(1+IF(G$3&lt;=$O$2,$D381,$D381-($D381-$I$373)*MIN(G$3-$O$2,$Q$2)/$Q$2))</f>
        <v>9084.451405406</v>
      </c>
      <c r="H381" s="15" t="n">
        <f aca="false">G381*(1+IF(H$3&lt;=$O$2,$D381,$D381-($D381-$I$373)*MIN(H$3-$O$2,$Q$2)/$Q$2))</f>
        <v>9545.77120333677</v>
      </c>
      <c r="I381" s="15" t="n">
        <f aca="false">H381*(1+IF(I$3&lt;=$O$2,$D381,$D381-($D381-$I$373)*MIN(I$3-$O$2,$Q$2)/$Q$2))</f>
        <v>10030.5173972562</v>
      </c>
      <c r="J381" s="15" t="n">
        <f aca="false">I381*(1+IF(J$3&lt;=$O$2,$D381,$D381-($D381-$I$373)*MIN(J$3-$O$2,$Q$2)/$Q$2))</f>
        <v>10494.7798949882</v>
      </c>
      <c r="K381" s="15" t="n">
        <f aca="false">J381*(1+IF(K$3&lt;=$O$2,$D381,$D381-($D381-$I$373)*MIN(K$3-$O$2,$Q$2)/$Q$2))</f>
        <v>10933.3436283249</v>
      </c>
      <c r="L381" s="15" t="n">
        <f aca="false">K381*(1+IF(L$3&lt;=$O$2,$D381,$D381-($D381-$I$373)*MIN(L$3-$O$2,$Q$2)/$Q$2))</f>
        <v>11341.0753455842</v>
      </c>
      <c r="M381" s="15" t="n">
        <f aca="false">L381*(1+IF(M$3&lt;=$O$2,$D381,$D381-($D381-$I$373)*MIN(M$3-$O$2,$Q$2)/$Q$2))</f>
        <v>11713.0200878868</v>
      </c>
      <c r="N381" s="15" t="n">
        <f aca="false">M381*(1+IF(N$3&lt;=$O$2,$D381,$D381-($D381-$I$373)*MIN(N$3-$O$2,$Q$2)/$Q$2))</f>
        <v>12044.498556374</v>
      </c>
      <c r="O381" s="15" t="n">
        <f aca="false">SUMPRODUCT(E381:N381,1/(1+$F$373)^$E$3:$N$3)*$E$2</f>
        <v>18784.0296809808</v>
      </c>
      <c r="P381" s="15" t="n">
        <f aca="false">N381*$E$2*(1+$I$373)/($F$373-$I$373)/(1+$F$373)^$N$3</f>
        <v>29741.0408402913</v>
      </c>
      <c r="Q381" s="15" t="n">
        <f aca="false">O381+P381</f>
        <v>48525.0705212721</v>
      </c>
      <c r="R381" s="15" t="n">
        <f aca="false">Q381-$G$2+$I$2</f>
        <v>46008.0705212721</v>
      </c>
      <c r="S381" s="42" t="n">
        <f aca="false">R381/$K$2</f>
        <v>106.200245882628</v>
      </c>
      <c r="T381" s="43" t="n">
        <f aca="false">S381-$M$2</f>
        <v>0.941947558450949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0.0390625</v>
      </c>
      <c r="C382" s="25" t="n">
        <f aca="false">IF(T381&gt;0,D381,C381)</f>
        <v>0.05078125</v>
      </c>
      <c r="D382" s="41" t="n">
        <f aca="false">(B382+C382)/2</f>
        <v>0.044921875</v>
      </c>
      <c r="E382" s="15" t="n">
        <f aca="false">$C$2*(1+IF(E$3&lt;=$O$2,$D382,$D382-($D382-$I$373)*MIN(E$3-$O$2,$Q$2)/$Q$2))</f>
        <v>8181.73828125</v>
      </c>
      <c r="F382" s="15" t="n">
        <f aca="false">E382*(1+IF(F$3&lt;=$O$2,$D382,$D382-($D382-$I$373)*MIN(F$3-$O$2,$Q$2)/$Q$2))</f>
        <v>8549.27730560303</v>
      </c>
      <c r="G382" s="15" t="n">
        <f aca="false">F382*(1+IF(G$3&lt;=$O$2,$D382,$D382-($D382-$I$373)*MIN(G$3-$O$2,$Q$2)/$Q$2))</f>
        <v>8933.32687206566</v>
      </c>
      <c r="H382" s="15" t="n">
        <f aca="false">G382*(1+IF(H$3&lt;=$O$2,$D382,$D382-($D382-$I$373)*MIN(H$3-$O$2,$Q$2)/$Q$2))</f>
        <v>9334.62866514674</v>
      </c>
      <c r="I382" s="15" t="n">
        <f aca="false">H382*(1+IF(I$3&lt;=$O$2,$D382,$D382-($D382-$I$373)*MIN(I$3-$O$2,$Q$2)/$Q$2))</f>
        <v>9753.95768721388</v>
      </c>
      <c r="J382" s="15" t="n">
        <f aca="false">I382*(1+IF(J$3&lt;=$O$2,$D382,$D382-($D382-$I$373)*MIN(J$3-$O$2,$Q$2)/$Q$2))</f>
        <v>10159.6979421078</v>
      </c>
      <c r="K382" s="15" t="n">
        <f aca="false">J382*(1+IF(K$3&lt;=$O$2,$D382,$D382-($D382-$I$373)*MIN(K$3-$O$2,$Q$2)/$Q$2))</f>
        <v>10548.5413314083</v>
      </c>
      <c r="L382" s="15" t="n">
        <f aca="false">K382*(1+IF(L$3&lt;=$O$2,$D382,$D382-($D382-$I$373)*MIN(L$3-$O$2,$Q$2)/$Q$2))</f>
        <v>10917.1996652643</v>
      </c>
      <c r="M382" s="15" t="n">
        <f aca="false">L382*(1+IF(M$3&lt;=$O$2,$D382,$D382-($D382-$I$373)*MIN(M$3-$O$2,$Q$2)/$Q$2))</f>
        <v>11262.4492814285</v>
      </c>
      <c r="N382" s="15" t="n">
        <f aca="false">M382*(1+IF(N$3&lt;=$O$2,$D382,$D382-($D382-$I$373)*MIN(N$3-$O$2,$Q$2)/$Q$2))</f>
        <v>11581.176596093</v>
      </c>
      <c r="O382" s="15" t="n">
        <f aca="false">SUMPRODUCT(E382:N382,1/(1+$F$373)^$E$3:$N$3)*$E$2</f>
        <v>18308.0392551044</v>
      </c>
      <c r="P382" s="15" t="n">
        <f aca="false">N382*$E$2*(1+$I$373)/($F$373-$I$373)/(1+$F$373)^$N$3</f>
        <v>28596.9768281261</v>
      </c>
      <c r="Q382" s="15" t="n">
        <f aca="false">O382+P382</f>
        <v>46905.0160832306</v>
      </c>
      <c r="R382" s="15" t="n">
        <f aca="false">Q382-$G$2+$I$2</f>
        <v>44388.0160832306</v>
      </c>
      <c r="S382" s="42" t="n">
        <f aca="false">R382/$K$2</f>
        <v>102.460680677786</v>
      </c>
      <c r="T382" s="43" t="n">
        <f aca="false">S382-$M$2</f>
        <v>-2.79761764639083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0.044921875</v>
      </c>
      <c r="C383" s="25" t="n">
        <f aca="false">IF(T382&gt;0,D382,C382)</f>
        <v>0.05078125</v>
      </c>
      <c r="D383" s="41" t="n">
        <f aca="false">(B383+C383)/2</f>
        <v>0.0478515625</v>
      </c>
      <c r="E383" s="15" t="n">
        <f aca="false">$C$2*(1+IF(E$3&lt;=$O$2,$D383,$D383-($D383-$I$373)*MIN(E$3-$O$2,$Q$2)/$Q$2))</f>
        <v>8204.677734375</v>
      </c>
      <c r="F383" s="15" t="n">
        <f aca="false">E383*(1+IF(F$3&lt;=$O$2,$D383,$D383-($D383-$I$373)*MIN(F$3-$O$2,$Q$2)/$Q$2))</f>
        <v>8597.2843837738</v>
      </c>
      <c r="G383" s="15" t="n">
        <f aca="false">F383*(1+IF(G$3&lt;=$O$2,$D383,$D383-($D383-$I$373)*MIN(G$3-$O$2,$Q$2)/$Q$2))</f>
        <v>9008.67787479423</v>
      </c>
      <c r="H383" s="15" t="n">
        <f aca="false">G383*(1+IF(H$3&lt;=$O$2,$D383,$D383-($D383-$I$373)*MIN(H$3-$O$2,$Q$2)/$Q$2))</f>
        <v>9439.75718716231</v>
      </c>
      <c r="I383" s="15" t="n">
        <f aca="false">H383*(1+IF(I$3&lt;=$O$2,$D383,$D383-($D383-$I$373)*MIN(I$3-$O$2,$Q$2)/$Q$2))</f>
        <v>9891.46431818864</v>
      </c>
      <c r="J383" s="15" t="n">
        <f aca="false">I383*(1+IF(J$3&lt;=$O$2,$D383,$D383-($D383-$I$373)*MIN(J$3-$O$2,$Q$2)/$Q$2))</f>
        <v>10326.1076246602</v>
      </c>
      <c r="K383" s="15" t="n">
        <f aca="false">J383*(1+IF(K$3&lt;=$O$2,$D383,$D383-($D383-$I$373)*MIN(K$3-$O$2,$Q$2)/$Q$2))</f>
        <v>10739.4713936013</v>
      </c>
      <c r="L383" s="15" t="n">
        <f aca="false">K383*(1+IF(L$3&lt;=$O$2,$D383,$D383-($D383-$I$373)*MIN(L$3-$O$2,$Q$2)/$Q$2))</f>
        <v>11127.3878125078</v>
      </c>
      <c r="M383" s="15" t="n">
        <f aca="false">L383*(1+IF(M$3&lt;=$O$2,$D383,$D383-($D383-$I$373)*MIN(M$3-$O$2,$Q$2)/$Q$2))</f>
        <v>11485.8044512574</v>
      </c>
      <c r="N383" s="15" t="n">
        <f aca="false">M383*(1+IF(N$3&lt;=$O$2,$D383,$D383-($D383-$I$373)*MIN(N$3-$O$2,$Q$2)/$Q$2))</f>
        <v>11810.8527172279</v>
      </c>
      <c r="O383" s="15" t="n">
        <f aca="false">SUMPRODUCT(E383:N383,1/(1+$F$373)^$E$3:$N$3)*$E$2</f>
        <v>18544.4968349926</v>
      </c>
      <c r="P383" s="15" t="n">
        <f aca="false">N383*$E$2*(1+$I$373)/($F$373-$I$373)/(1+$F$373)^$N$3</f>
        <v>29164.1076942841</v>
      </c>
      <c r="Q383" s="15" t="n">
        <f aca="false">O383+P383</f>
        <v>47708.6045292767</v>
      </c>
      <c r="R383" s="15" t="n">
        <f aca="false">Q383-$G$2+$I$2</f>
        <v>45191.6045292767</v>
      </c>
      <c r="S383" s="42" t="n">
        <f aca="false">R383/$K$2</f>
        <v>104.315600686203</v>
      </c>
      <c r="T383" s="43" t="n">
        <f aca="false">S383-$M$2</f>
        <v>-0.942697637974405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0.0478515625</v>
      </c>
      <c r="C384" s="25" t="n">
        <f aca="false">IF(T383&gt;0,D383,C383)</f>
        <v>0.05078125</v>
      </c>
      <c r="D384" s="41" t="n">
        <f aca="false">(B384+C384)/2</f>
        <v>0.04931640625</v>
      </c>
      <c r="E384" s="15" t="n">
        <f aca="false">$C$2*(1+IF(E$3&lt;=$O$2,$D384,$D384-($D384-$I$373)*MIN(E$3-$O$2,$Q$2)/$Q$2))</f>
        <v>8216.1474609375</v>
      </c>
      <c r="F384" s="15" t="n">
        <f aca="false">E384*(1+IF(F$3&lt;=$O$2,$D384,$D384-($D384-$I$373)*MIN(F$3-$O$2,$Q$2)/$Q$2))</f>
        <v>8621.338326931</v>
      </c>
      <c r="G384" s="15" t="n">
        <f aca="false">F384*(1+IF(G$3&lt;=$O$2,$D384,$D384-($D384-$I$373)*MIN(G$3-$O$2,$Q$2)/$Q$2))</f>
        <v>9046.51175028062</v>
      </c>
      <c r="H384" s="15" t="n">
        <f aca="false">G384*(1+IF(H$3&lt;=$O$2,$D384,$D384-($D384-$I$373)*MIN(H$3-$O$2,$Q$2)/$Q$2))</f>
        <v>9492.65319890286</v>
      </c>
      <c r="I384" s="15" t="n">
        <f aca="false">H384*(1+IF(I$3&lt;=$O$2,$D384,$D384-($D384-$I$373)*MIN(I$3-$O$2,$Q$2)/$Q$2))</f>
        <v>9960.79674045032</v>
      </c>
      <c r="J384" s="15" t="n">
        <f aca="false">I384*(1+IF(J$3&lt;=$O$2,$D384,$D384-($D384-$I$373)*MIN(J$3-$O$2,$Q$2)/$Q$2))</f>
        <v>10410.1594089018</v>
      </c>
      <c r="K384" s="15" t="n">
        <f aca="false">J384*(1+IF(K$3&lt;=$O$2,$D384,$D384-($D384-$I$373)*MIN(K$3-$O$2,$Q$2)/$Q$2))</f>
        <v>10836.0374037326</v>
      </c>
      <c r="L384" s="15" t="n">
        <f aca="false">K384*(1+IF(L$3&lt;=$O$2,$D384,$D384-($D384-$I$373)*MIN(L$3-$O$2,$Q$2)/$Q$2))</f>
        <v>11233.7910879451</v>
      </c>
      <c r="M384" s="15" t="n">
        <f aca="false">L384*(1+IF(M$3&lt;=$O$2,$D384,$D384-($D384-$I$373)*MIN(M$3-$O$2,$Q$2)/$Q$2))</f>
        <v>11598.9261591803</v>
      </c>
      <c r="N384" s="15" t="n">
        <f aca="false">M384*(1+IF(N$3&lt;=$O$2,$D384,$D384-($D384-$I$373)*MIN(N$3-$O$2,$Q$2)/$Q$2))</f>
        <v>11927.1757694851</v>
      </c>
      <c r="O384" s="15" t="n">
        <f aca="false">SUMPRODUCT(E384:N384,1/(1+$F$373)^$E$3:$N$3)*$E$2</f>
        <v>18663.8765254941</v>
      </c>
      <c r="P384" s="15" t="n">
        <f aca="false">N384*$E$2*(1+$I$373)/($F$373-$I$373)/(1+$F$373)^$N$3</f>
        <v>29451.3399631623</v>
      </c>
      <c r="Q384" s="15" t="n">
        <f aca="false">O384+P384</f>
        <v>48115.2164886564</v>
      </c>
      <c r="R384" s="15" t="n">
        <f aca="false">Q384-$G$2+$I$2</f>
        <v>45598.2164886564</v>
      </c>
      <c r="S384" s="42" t="n">
        <f aca="false">R384/$K$2</f>
        <v>105.254181452048</v>
      </c>
      <c r="T384" s="43" t="n">
        <f aca="false">S384-$M$2</f>
        <v>-0.00411687212873346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0.04931640625</v>
      </c>
      <c r="C385" s="25" t="n">
        <f aca="false">IF(T384&gt;0,D384,C384)</f>
        <v>0.05078125</v>
      </c>
      <c r="D385" s="41" t="n">
        <f aca="false">(B385+C385)/2</f>
        <v>0.050048828125</v>
      </c>
      <c r="E385" s="15" t="n">
        <f aca="false">$C$2*(1+IF(E$3&lt;=$O$2,$D385,$D385-($D385-$I$373)*MIN(E$3-$O$2,$Q$2)/$Q$2))</f>
        <v>8221.88232421875</v>
      </c>
      <c r="F385" s="15" t="n">
        <f aca="false">E385*(1+IF(F$3&lt;=$O$2,$D385,$D385-($D385-$I$373)*MIN(F$3-$O$2,$Q$2)/$Q$2))</f>
        <v>8633.37789952755</v>
      </c>
      <c r="G385" s="15" t="n">
        <f aca="false">F385*(1+IF(G$3&lt;=$O$2,$D385,$D385-($D385-$I$373)*MIN(G$3-$O$2,$Q$2)/$Q$2))</f>
        <v>9065.46834615918</v>
      </c>
      <c r="H385" s="15" t="n">
        <f aca="false">G385*(1+IF(H$3&lt;=$O$2,$D385,$D385-($D385-$I$373)*MIN(H$3-$O$2,$Q$2)/$Q$2))</f>
        <v>9519.18441328873</v>
      </c>
      <c r="I385" s="15" t="n">
        <f aca="false">H385*(1+IF(I$3&lt;=$O$2,$D385,$D385-($D385-$I$373)*MIN(I$3-$O$2,$Q$2)/$Q$2))</f>
        <v>9995.60843787959</v>
      </c>
      <c r="J385" s="15" t="n">
        <f aca="false">I385*(1+IF(J$3&lt;=$O$2,$D385,$D385-($D385-$I$373)*MIN(J$3-$O$2,$Q$2)/$Q$2))</f>
        <v>10452.3983726078</v>
      </c>
      <c r="K385" s="15" t="n">
        <f aca="false">J385*(1+IF(K$3&lt;=$O$2,$D385,$D385-($D385-$I$373)*MIN(K$3-$O$2,$Q$2)/$Q$2))</f>
        <v>10884.5976959725</v>
      </c>
      <c r="L385" s="15" t="n">
        <f aca="false">K385*(1+IF(L$3&lt;=$O$2,$D385,$D385-($D385-$I$373)*MIN(L$3-$O$2,$Q$2)/$Q$2))</f>
        <v>11287.3227085683</v>
      </c>
      <c r="M385" s="15" t="n">
        <f aca="false">L385*(1+IF(M$3&lt;=$O$2,$D385,$D385-($D385-$I$373)*MIN(M$3-$O$2,$Q$2)/$Q$2))</f>
        <v>11655.8511495368</v>
      </c>
      <c r="N385" s="15" t="n">
        <f aca="false">M385*(1+IF(N$3&lt;=$O$2,$D385,$D385-($D385-$I$373)*MIN(N$3-$O$2,$Q$2)/$Q$2))</f>
        <v>11985.7117370687</v>
      </c>
      <c r="O385" s="15" t="n">
        <f aca="false">SUMPRODUCT(E385:N385,1/(1+$F$373)^$E$3:$N$3)*$E$2</f>
        <v>18723.8561282502</v>
      </c>
      <c r="P385" s="15" t="n">
        <f aca="false">N385*$E$2*(1+$I$373)/($F$373-$I$373)/(1+$F$373)^$N$3</f>
        <v>29595.8806922248</v>
      </c>
      <c r="Q385" s="15" t="n">
        <f aca="false">O385+P385</f>
        <v>48319.736820475</v>
      </c>
      <c r="R385" s="15" t="n">
        <f aca="false">Q385-$G$2+$I$2</f>
        <v>45802.736820475</v>
      </c>
      <c r="S385" s="42" t="n">
        <f aca="false">R385/$K$2</f>
        <v>105.726274919152</v>
      </c>
      <c r="T385" s="43" t="n">
        <f aca="false">S385-$M$2</f>
        <v>0.467976594974843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0.04931640625</v>
      </c>
      <c r="C386" s="25" t="n">
        <f aca="false">IF(T385&gt;0,D385,C385)</f>
        <v>0.050048828125</v>
      </c>
      <c r="D386" s="41" t="n">
        <f aca="false">(B386+C386)/2</f>
        <v>0.0496826171875</v>
      </c>
      <c r="E386" s="15" t="n">
        <f aca="false">$C$2*(1+IF(E$3&lt;=$O$2,$D386,$D386-($D386-$I$373)*MIN(E$3-$O$2,$Q$2)/$Q$2))</f>
        <v>8219.01489257813</v>
      </c>
      <c r="F386" s="15" t="n">
        <f aca="false">E386*(1+IF(F$3&lt;=$O$2,$D386,$D386-($D386-$I$373)*MIN(F$3-$O$2,$Q$2)/$Q$2))</f>
        <v>8627.35706314445</v>
      </c>
      <c r="G386" s="15" t="n">
        <f aca="false">F386*(1+IF(G$3&lt;=$O$2,$D386,$D386-($D386-$I$373)*MIN(G$3-$O$2,$Q$2)/$Q$2))</f>
        <v>9055.98674145253</v>
      </c>
      <c r="H386" s="15" t="n">
        <f aca="false">G386*(1+IF(H$3&lt;=$O$2,$D386,$D386-($D386-$I$373)*MIN(H$3-$O$2,$Q$2)/$Q$2))</f>
        <v>9505.91186398319</v>
      </c>
      <c r="I386" s="15" t="n">
        <f aca="false">H386*(1+IF(I$3&lt;=$O$2,$D386,$D386-($D386-$I$373)*MIN(I$3-$O$2,$Q$2)/$Q$2))</f>
        <v>9978.19044413958</v>
      </c>
      <c r="J386" s="15" t="n">
        <f aca="false">I386*(1+IF(J$3&lt;=$O$2,$D386,$D386-($D386-$I$373)*MIN(J$3-$O$2,$Q$2)/$Q$2))</f>
        <v>10431.2610949015</v>
      </c>
      <c r="K386" s="15" t="n">
        <f aca="false">J386*(1+IF(K$3&lt;=$O$2,$D386,$D386-($D386-$I$373)*MIN(K$3-$O$2,$Q$2)/$Q$2))</f>
        <v>10860.2943815523</v>
      </c>
      <c r="L386" s="15" t="n">
        <f aca="false">K386*(1+IF(L$3&lt;=$O$2,$D386,$D386-($D386-$I$373)*MIN(L$3-$O$2,$Q$2)/$Q$2))</f>
        <v>11260.529319472</v>
      </c>
      <c r="M386" s="15" t="n">
        <f aca="false">L386*(1+IF(M$3&lt;=$O$2,$D386,$D386-($D386-$I$373)*MIN(M$3-$O$2,$Q$2)/$Q$2))</f>
        <v>11627.3582167664</v>
      </c>
      <c r="N386" s="15" t="n">
        <f aca="false">M386*(1+IF(N$3&lt;=$O$2,$D386,$D386-($D386-$I$373)*MIN(N$3-$O$2,$Q$2)/$Q$2))</f>
        <v>11956.4124543009</v>
      </c>
      <c r="O386" s="15" t="n">
        <f aca="false">SUMPRODUCT(E386:N386,1/(1+$F$373)^$E$3:$N$3)*$E$2</f>
        <v>18693.8421196682</v>
      </c>
      <c r="P386" s="15" t="n">
        <f aca="false">N386*$E$2*(1+$I$373)/($F$373-$I$373)/(1+$F$373)^$N$3</f>
        <v>29523.5330422741</v>
      </c>
      <c r="Q386" s="15" t="n">
        <f aca="false">O386+P386</f>
        <v>48217.3751619422</v>
      </c>
      <c r="R386" s="15" t="n">
        <f aca="false">Q386-$G$2+$I$2</f>
        <v>45700.3751619422</v>
      </c>
      <c r="S386" s="42" t="n">
        <f aca="false">R386/$K$2</f>
        <v>105.489993910582</v>
      </c>
      <c r="T386" s="43" t="n">
        <f aca="false">S386-$M$2</f>
        <v>0.231695586404598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0.04931640625</v>
      </c>
      <c r="C387" s="25" t="n">
        <f aca="false">IF(T386&gt;0,D386,C386)</f>
        <v>0.0496826171875</v>
      </c>
      <c r="D387" s="41" t="n">
        <f aca="false">(B387+C387)/2</f>
        <v>0.04949951171875</v>
      </c>
      <c r="E387" s="15" t="n">
        <f aca="false">$C$2*(1+IF(E$3&lt;=$O$2,$D387,$D387-($D387-$I$373)*MIN(E$3-$O$2,$Q$2)/$Q$2))</f>
        <v>8217.58117675781</v>
      </c>
      <c r="F387" s="15" t="n">
        <f aca="false">E387*(1+IF(F$3&lt;=$O$2,$D387,$D387-($D387-$I$373)*MIN(F$3-$O$2,$Q$2)/$Q$2))</f>
        <v>8624.34743251652</v>
      </c>
      <c r="G387" s="15" t="n">
        <f aca="false">F387*(1+IF(G$3&lt;=$O$2,$D387,$D387-($D387-$I$373)*MIN(G$3-$O$2,$Q$2)/$Q$2))</f>
        <v>9051.24841931894</v>
      </c>
      <c r="H387" s="15" t="n">
        <f aca="false">G387*(1+IF(H$3&lt;=$O$2,$D387,$D387-($D387-$I$373)*MIN(H$3-$O$2,$Q$2)/$Q$2))</f>
        <v>9499.28079652033</v>
      </c>
      <c r="I387" s="15" t="n">
        <f aca="false">H387*(1+IF(I$3&lt;=$O$2,$D387,$D387-($D387-$I$373)*MIN(I$3-$O$2,$Q$2)/$Q$2))</f>
        <v>9969.49055762739</v>
      </c>
      <c r="J387" s="15" t="n">
        <f aca="false">I387*(1+IF(J$3&lt;=$O$2,$D387,$D387-($D387-$I$373)*MIN(J$3-$O$2,$Q$2)/$Q$2))</f>
        <v>10420.7058059334</v>
      </c>
      <c r="K387" s="15" t="n">
        <f aca="false">J387*(1+IF(K$3&lt;=$O$2,$D387,$D387-($D387-$I$373)*MIN(K$3-$O$2,$Q$2)/$Q$2))</f>
        <v>10848.1601051516</v>
      </c>
      <c r="L387" s="15" t="n">
        <f aca="false">K387*(1+IF(L$3&lt;=$O$2,$D387,$D387-($D387-$I$373)*MIN(L$3-$O$2,$Q$2)/$Q$2))</f>
        <v>11247.1533150378</v>
      </c>
      <c r="M387" s="15" t="n">
        <f aca="false">L387*(1+IF(M$3&lt;=$O$2,$D387,$D387-($D387-$I$373)*MIN(M$3-$O$2,$Q$2)/$Q$2))</f>
        <v>11613.1345855543</v>
      </c>
      <c r="N387" s="15" t="n">
        <f aca="false">M387*(1+IF(N$3&lt;=$O$2,$D387,$D387-($D387-$I$373)*MIN(N$3-$O$2,$Q$2)/$Q$2))</f>
        <v>11941.7862943255</v>
      </c>
      <c r="O387" s="15" t="n">
        <f aca="false">SUMPRODUCT(E387:N387,1/(1+$F$373)^$E$3:$N$3)*$E$2</f>
        <v>18678.8532753427</v>
      </c>
      <c r="P387" s="15" t="n">
        <f aca="false">N387*$E$2*(1+$I$373)/($F$373-$I$373)/(1+$F$373)^$N$3</f>
        <v>29487.417199084</v>
      </c>
      <c r="Q387" s="15" t="n">
        <f aca="false">O387+P387</f>
        <v>48166.2704744267</v>
      </c>
      <c r="R387" s="15" t="n">
        <f aca="false">Q387-$G$2+$I$2</f>
        <v>45649.2704744267</v>
      </c>
      <c r="S387" s="42" t="n">
        <f aca="false">R387/$K$2</f>
        <v>105.372029163997</v>
      </c>
      <c r="T387" s="43" t="n">
        <f aca="false">S387-$M$2</f>
        <v>0.113730839819695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0.04931640625</v>
      </c>
      <c r="C388" s="25" t="n">
        <f aca="false">IF(T387&gt;0,D387,C387)</f>
        <v>0.04949951171875</v>
      </c>
      <c r="D388" s="41" t="n">
        <f aca="false">(B388+C388)/2</f>
        <v>0.049407958984375</v>
      </c>
      <c r="E388" s="15" t="n">
        <f aca="false">$C$2*(1+IF(E$3&lt;=$O$2,$D388,$D388-($D388-$I$373)*MIN(E$3-$O$2,$Q$2)/$Q$2))</f>
        <v>8216.86431884766</v>
      </c>
      <c r="F388" s="15" t="n">
        <f aca="false">E388*(1+IF(F$3&lt;=$O$2,$D388,$D388-($D388-$I$373)*MIN(F$3-$O$2,$Q$2)/$Q$2))</f>
        <v>8622.84281409346</v>
      </c>
      <c r="G388" s="15" t="n">
        <f aca="false">F388*(1+IF(G$3&lt;=$O$2,$D388,$D388-($D388-$I$373)*MIN(G$3-$O$2,$Q$2)/$Q$2))</f>
        <v>9048.8798781809</v>
      </c>
      <c r="H388" s="15" t="n">
        <f aca="false">G388*(1+IF(H$3&lt;=$O$2,$D388,$D388-($D388-$I$373)*MIN(H$3-$O$2,$Q$2)/$Q$2))</f>
        <v>9495.9665640566</v>
      </c>
      <c r="I388" s="15" t="n">
        <f aca="false">H388*(1+IF(I$3&lt;=$O$2,$D388,$D388-($D388-$I$373)*MIN(I$3-$O$2,$Q$2)/$Q$2))</f>
        <v>9965.1428905705</v>
      </c>
      <c r="J388" s="15" t="n">
        <f aca="false">I388*(1+IF(J$3&lt;=$O$2,$D388,$D388-($D388-$I$373)*MIN(J$3-$O$2,$Q$2)/$Q$2))</f>
        <v>10415.4314962997</v>
      </c>
      <c r="K388" s="15" t="n">
        <f aca="false">J388*(1+IF(K$3&lt;=$O$2,$D388,$D388-($D388-$I$373)*MIN(K$3-$O$2,$Q$2)/$Q$2))</f>
        <v>10842.0973081421</v>
      </c>
      <c r="L388" s="15" t="n">
        <f aca="false">K388*(1+IF(L$3&lt;=$O$2,$D388,$D388-($D388-$I$373)*MIN(L$3-$O$2,$Q$2)/$Q$2))</f>
        <v>11240.4704800765</v>
      </c>
      <c r="M388" s="15" t="n">
        <f aca="false">L388*(1+IF(M$3&lt;=$O$2,$D388,$D388-($D388-$I$373)*MIN(M$3-$O$2,$Q$2)/$Q$2))</f>
        <v>11606.0284726343</v>
      </c>
      <c r="N388" s="15" t="n">
        <f aca="false">M388*(1+IF(N$3&lt;=$O$2,$D388,$D388-($D388-$I$373)*MIN(N$3-$O$2,$Q$2)/$Q$2))</f>
        <v>11934.4790784099</v>
      </c>
      <c r="O388" s="15" t="n">
        <f aca="false">SUMPRODUCT(E388:N388,1/(1+$F$373)^$E$3:$N$3)*$E$2</f>
        <v>18671.3633891788</v>
      </c>
      <c r="P388" s="15" t="n">
        <f aca="false">N388*$E$2*(1+$I$373)/($F$373-$I$373)/(1+$F$373)^$N$3</f>
        <v>29469.3737574282</v>
      </c>
      <c r="Q388" s="15" t="n">
        <f aca="false">O388+P388</f>
        <v>48140.737146607</v>
      </c>
      <c r="R388" s="15" t="n">
        <f aca="false">Q388-$G$2+$I$2</f>
        <v>45623.737146607</v>
      </c>
      <c r="S388" s="42" t="n">
        <f aca="false">R388/$K$2</f>
        <v>105.313090685118</v>
      </c>
      <c r="T388" s="43" t="n">
        <f aca="false">S388-$M$2</f>
        <v>0.0547923609413061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0.04931640625</v>
      </c>
      <c r="C389" s="25" t="n">
        <f aca="false">IF(T388&gt;0,D388,C388)</f>
        <v>0.049407958984375</v>
      </c>
      <c r="D389" s="41" t="n">
        <f aca="false">(B389+C389)/2</f>
        <v>0.0493621826171875</v>
      </c>
      <c r="E389" s="15" t="n">
        <f aca="false">$C$2*(1+IF(E$3&lt;=$O$2,$D389,$D389-($D389-$I$373)*MIN(E$3-$O$2,$Q$2)/$Q$2))</f>
        <v>8216.50588989258</v>
      </c>
      <c r="F389" s="15" t="n">
        <f aca="false">E389*(1+IF(F$3&lt;=$O$2,$D389,$D389-($D389-$I$373)*MIN(F$3-$O$2,$Q$2)/$Q$2))</f>
        <v>8622.09055410465</v>
      </c>
      <c r="G389" s="15" t="n">
        <f aca="false">F389*(1+IF(G$3&lt;=$O$2,$D389,$D389-($D389-$I$373)*MIN(G$3-$O$2,$Q$2)/$Q$2))</f>
        <v>9047.69576257829</v>
      </c>
      <c r="H389" s="15" t="n">
        <f aca="false">G389*(1+IF(H$3&lt;=$O$2,$D389,$D389-($D389-$I$373)*MIN(H$3-$O$2,$Q$2)/$Q$2))</f>
        <v>9494.30977307544</v>
      </c>
      <c r="I389" s="15" t="n">
        <f aca="false">H389*(1+IF(I$3&lt;=$O$2,$D389,$D389-($D389-$I$373)*MIN(I$3-$O$2,$Q$2)/$Q$2))</f>
        <v>9962.96962591814</v>
      </c>
      <c r="J389" s="15" t="n">
        <f aca="false">I389*(1+IF(J$3&lt;=$O$2,$D389,$D389-($D389-$I$373)*MIN(J$3-$O$2,$Q$2)/$Q$2))</f>
        <v>10412.7951748681</v>
      </c>
      <c r="K389" s="15" t="n">
        <f aca="false">J389*(1+IF(K$3&lt;=$O$2,$D389,$D389-($D389-$I$373)*MIN(K$3-$O$2,$Q$2)/$Q$2))</f>
        <v>10839.0669944339</v>
      </c>
      <c r="L389" s="15" t="n">
        <f aca="false">K389*(1+IF(L$3&lt;=$O$2,$D389,$D389-($D389-$I$373)*MIN(L$3-$O$2,$Q$2)/$Q$2))</f>
        <v>11237.1303537511</v>
      </c>
      <c r="M389" s="15" t="n">
        <f aca="false">L389*(1+IF(M$3&lt;=$O$2,$D389,$D389-($D389-$I$373)*MIN(M$3-$O$2,$Q$2)/$Q$2))</f>
        <v>11602.476841083</v>
      </c>
      <c r="N389" s="15" t="n">
        <f aca="false">M389*(1+IF(N$3&lt;=$O$2,$D389,$D389-($D389-$I$373)*MIN(N$3-$O$2,$Q$2)/$Q$2))</f>
        <v>11930.8269356856</v>
      </c>
      <c r="O389" s="15" t="n">
        <f aca="false">SUMPRODUCT(E389:N389,1/(1+$F$373)^$E$3:$N$3)*$E$2</f>
        <v>18667.6195795978</v>
      </c>
      <c r="P389" s="15" t="n">
        <f aca="false">N389*$E$2*(1+$I$373)/($F$373-$I$373)/(1+$F$373)^$N$3</f>
        <v>29460.3556546481</v>
      </c>
      <c r="Q389" s="15" t="n">
        <f aca="false">O389+P389</f>
        <v>48127.9752342459</v>
      </c>
      <c r="R389" s="15" t="n">
        <f aca="false">Q389-$G$2+$I$2</f>
        <v>45610.9752342459</v>
      </c>
      <c r="S389" s="42" t="n">
        <f aca="false">R389/$K$2</f>
        <v>105.28363241366</v>
      </c>
      <c r="T389" s="43" t="n">
        <f aca="false">S389-$M$2</f>
        <v>0.0253340894831382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0.04931640625</v>
      </c>
      <c r="C390" s="25" t="n">
        <f aca="false">IF(T389&gt;0,D389,C389)</f>
        <v>0.0493621826171875</v>
      </c>
      <c r="D390" s="41" t="n">
        <f aca="false">(B390+C390)/2</f>
        <v>0.0493392944335938</v>
      </c>
      <c r="E390" s="15" t="n">
        <f aca="false">$C$2*(1+IF(E$3&lt;=$O$2,$D390,$D390-($D390-$I$373)*MIN(E$3-$O$2,$Q$2)/$Q$2))</f>
        <v>8216.32667541504</v>
      </c>
      <c r="F390" s="15" t="n">
        <f aca="false">E390*(1+IF(F$3&lt;=$O$2,$D390,$D390-($D390-$I$373)*MIN(F$3-$O$2,$Q$2)/$Q$2))</f>
        <v>8621.71443641593</v>
      </c>
      <c r="G390" s="15" t="n">
        <f aca="false">F390*(1+IF(G$3&lt;=$O$2,$D390,$D390-($D390-$I$373)*MIN(G$3-$O$2,$Q$2)/$Q$2))</f>
        <v>9047.10374351662</v>
      </c>
      <c r="H390" s="15" t="n">
        <f aca="false">G390*(1+IF(H$3&lt;=$O$2,$D390,$D390-($D390-$I$373)*MIN(H$3-$O$2,$Q$2)/$Q$2))</f>
        <v>9493.48145888926</v>
      </c>
      <c r="I390" s="15" t="n">
        <f aca="false">H390*(1+IF(I$3&lt;=$O$2,$D390,$D390-($D390-$I$373)*MIN(I$3-$O$2,$Q$2)/$Q$2))</f>
        <v>9961.88313578926</v>
      </c>
      <c r="J390" s="15" t="n">
        <f aca="false">I390*(1+IF(J$3&lt;=$O$2,$D390,$D390-($D390-$I$373)*MIN(J$3-$O$2,$Q$2)/$Q$2))</f>
        <v>10411.4772224576</v>
      </c>
      <c r="K390" s="15" t="n">
        <f aca="false">J390*(1+IF(K$3&lt;=$O$2,$D390,$D390-($D390-$I$373)*MIN(K$3-$O$2,$Q$2)/$Q$2))</f>
        <v>10837.5521087164</v>
      </c>
      <c r="L390" s="15" t="n">
        <f aca="false">K390*(1+IF(L$3&lt;=$O$2,$D390,$D390-($D390-$I$373)*MIN(L$3-$O$2,$Q$2)/$Q$2))</f>
        <v>11235.4606132949</v>
      </c>
      <c r="M390" s="15" t="n">
        <f aca="false">L390*(1+IF(M$3&lt;=$O$2,$D390,$D390-($D390-$I$373)*MIN(M$3-$O$2,$Q$2)/$Q$2))</f>
        <v>11600.7013814392</v>
      </c>
      <c r="N390" s="15" t="n">
        <f aca="false">M390*(1+IF(N$3&lt;=$O$2,$D390,$D390-($D390-$I$373)*MIN(N$3-$O$2,$Q$2)/$Q$2))</f>
        <v>11929.0012305339</v>
      </c>
      <c r="O390" s="15" t="n">
        <f aca="false">SUMPRODUCT(E390:N390,1/(1+$F$373)^$E$3:$N$3)*$E$2</f>
        <v>18665.7479581202</v>
      </c>
      <c r="P390" s="15" t="n">
        <f aca="false">N390*$E$2*(1+$I$373)/($F$373-$I$373)/(1+$F$373)^$N$3</f>
        <v>29455.847507528</v>
      </c>
      <c r="Q390" s="15" t="n">
        <f aca="false">O390+P390</f>
        <v>48121.5954656482</v>
      </c>
      <c r="R390" s="15" t="n">
        <f aca="false">Q390-$G$2+$I$2</f>
        <v>45604.5954656482</v>
      </c>
      <c r="S390" s="42" t="n">
        <f aca="false">R390/$K$2</f>
        <v>105.268906019224</v>
      </c>
      <c r="T390" s="43" t="n">
        <f aca="false">S390-$M$2</f>
        <v>0.0106076950467582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0.04931640625</v>
      </c>
      <c r="C391" s="25" t="n">
        <f aca="false">IF(T390&gt;0,D390,C390)</f>
        <v>0.0493392944335938</v>
      </c>
      <c r="D391" s="41" t="n">
        <f aca="false">(B391+C391)/2</f>
        <v>0.0493278503417969</v>
      </c>
      <c r="E391" s="15" t="n">
        <f aca="false">$C$2*(1+IF(E$3&lt;=$O$2,$D391,$D391-($D391-$I$373)*MIN(E$3-$O$2,$Q$2)/$Q$2))</f>
        <v>8216.23706817627</v>
      </c>
      <c r="F391" s="15" t="n">
        <f aca="false">E391*(1+IF(F$3&lt;=$O$2,$D391,$D391-($D391-$I$373)*MIN(F$3-$O$2,$Q$2)/$Q$2))</f>
        <v>8621.52638064799</v>
      </c>
      <c r="G391" s="15" t="n">
        <f aca="false">F391*(1+IF(G$3&lt;=$O$2,$D391,$D391-($D391-$I$373)*MIN(G$3-$O$2,$Q$2)/$Q$2))</f>
        <v>9046.80774367045</v>
      </c>
      <c r="H391" s="15" t="n">
        <f aca="false">G391*(1+IF(H$3&lt;=$O$2,$D391,$D391-($D391-$I$373)*MIN(H$3-$O$2,$Q$2)/$Q$2))</f>
        <v>9493.06732212124</v>
      </c>
      <c r="I391" s="15" t="n">
        <f aca="false">H391*(1+IF(I$3&lt;=$O$2,$D391,$D391-($D391-$I$373)*MIN(I$3-$O$2,$Q$2)/$Q$2))</f>
        <v>9961.33992627143</v>
      </c>
      <c r="J391" s="15" t="n">
        <f aca="false">I391*(1+IF(J$3&lt;=$O$2,$D391,$D391-($D391-$I$373)*MIN(J$3-$O$2,$Q$2)/$Q$2))</f>
        <v>10410.8182983236</v>
      </c>
      <c r="K391" s="15" t="n">
        <f aca="false">J391*(1+IF(K$3&lt;=$O$2,$D391,$D391-($D391-$I$373)*MIN(K$3-$O$2,$Q$2)/$Q$2))</f>
        <v>10836.7947336339</v>
      </c>
      <c r="L391" s="15" t="n">
        <f aca="false">K391*(1+IF(L$3&lt;=$O$2,$D391,$D391-($D391-$I$373)*MIN(L$3-$O$2,$Q$2)/$Q$2))</f>
        <v>11234.6258237332</v>
      </c>
      <c r="M391" s="15" t="n">
        <f aca="false">L391*(1+IF(M$3&lt;=$O$2,$D391,$D391-($D391-$I$373)*MIN(M$3-$O$2,$Q$2)/$Q$2))</f>
        <v>11599.8137406383</v>
      </c>
      <c r="N391" s="15" t="n">
        <f aca="false">M391*(1+IF(N$3&lt;=$O$2,$D391,$D391-($D391-$I$373)*MIN(N$3-$O$2,$Q$2)/$Q$2))</f>
        <v>11928.0884694984</v>
      </c>
      <c r="O391" s="15" t="n">
        <f aca="false">SUMPRODUCT(E391:N391,1/(1+$F$373)^$E$3:$N$3)*$E$2</f>
        <v>18664.8122182018</v>
      </c>
      <c r="P391" s="15" t="n">
        <f aca="false">N391*$E$2*(1+$I$373)/($F$373-$I$373)/(1+$F$373)^$N$3</f>
        <v>29453.5936600051</v>
      </c>
      <c r="Q391" s="15" t="n">
        <f aca="false">O391+P391</f>
        <v>48118.405878207</v>
      </c>
      <c r="R391" s="15" t="n">
        <f aca="false">Q391-$G$2+$I$2</f>
        <v>45601.405878207</v>
      </c>
      <c r="S391" s="42" t="n">
        <f aca="false">R391/$K$2</f>
        <v>105.261543507241</v>
      </c>
      <c r="T391" s="43" t="n">
        <f aca="false">S391-$M$2</f>
        <v>0.00324518306392463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0.04931640625</v>
      </c>
      <c r="C392" s="25" t="n">
        <f aca="false">IF(T391&gt;0,D391,C391)</f>
        <v>0.0493278503417969</v>
      </c>
      <c r="D392" s="41" t="n">
        <f aca="false">(B392+C392)/2</f>
        <v>0.0493221282958984</v>
      </c>
      <c r="E392" s="15" t="n">
        <f aca="false">$C$2*(1+IF(E$3&lt;=$O$2,$D392,$D392-($D392-$I$373)*MIN(E$3-$O$2,$Q$2)/$Q$2))</f>
        <v>8216.19226455689</v>
      </c>
      <c r="F392" s="15" t="n">
        <f aca="false">E392*(1+IF(F$3&lt;=$O$2,$D392,$D392-($D392-$I$373)*MIN(F$3-$O$2,$Q$2)/$Q$2))</f>
        <v>8621.43235353313</v>
      </c>
      <c r="G392" s="15" t="n">
        <f aca="false">F392*(1+IF(G$3&lt;=$O$2,$D392,$D392-($D392-$I$373)*MIN(G$3-$O$2,$Q$2)/$Q$2))</f>
        <v>9046.6597461685</v>
      </c>
      <c r="H392" s="15" t="n">
        <f aca="false">G392*(1+IF(H$3&lt;=$O$2,$D392,$D392-($D392-$I$373)*MIN(H$3-$O$2,$Q$2)/$Q$2))</f>
        <v>9492.86025881836</v>
      </c>
      <c r="I392" s="15" t="n">
        <f aca="false">H392*(1+IF(I$3&lt;=$O$2,$D392,$D392-($D392-$I$373)*MIN(I$3-$O$2,$Q$2)/$Q$2))</f>
        <v>9961.06833039884</v>
      </c>
      <c r="J392" s="15" t="n">
        <f aca="false">I392*(1+IF(J$3&lt;=$O$2,$D392,$D392-($D392-$I$373)*MIN(J$3-$O$2,$Q$2)/$Q$2))</f>
        <v>10410.4888492738</v>
      </c>
      <c r="K392" s="15" t="n">
        <f aca="false">J392*(1+IF(K$3&lt;=$O$2,$D392,$D392-($D392-$I$373)*MIN(K$3-$O$2,$Q$2)/$Q$2))</f>
        <v>10836.4160630357</v>
      </c>
      <c r="L392" s="15" t="n">
        <f aca="false">K392*(1+IF(L$3&lt;=$O$2,$D392,$D392-($D392-$I$373)*MIN(L$3-$O$2,$Q$2)/$Q$2))</f>
        <v>11234.2084491176</v>
      </c>
      <c r="M392" s="15" t="n">
        <f aca="false">L392*(1+IF(M$3&lt;=$O$2,$D392,$D392-($D392-$I$373)*MIN(M$3-$O$2,$Q$2)/$Q$2))</f>
        <v>11599.3699424917</v>
      </c>
      <c r="N392" s="15" t="n">
        <f aca="false">M392*(1+IF(N$3&lt;=$O$2,$D392,$D392-($D392-$I$373)*MIN(N$3-$O$2,$Q$2)/$Q$2))</f>
        <v>11927.6321118642</v>
      </c>
      <c r="O392" s="15" t="n">
        <f aca="false">SUMPRODUCT(E392:N392,1/(1+$F$373)^$E$3:$N$3)*$E$2</f>
        <v>18664.3443659468</v>
      </c>
      <c r="P392" s="15" t="n">
        <f aca="false">N392*$E$2*(1+$I$373)/($F$373-$I$373)/(1+$F$373)^$N$3</f>
        <v>29452.4667927493</v>
      </c>
      <c r="Q392" s="15" t="n">
        <f aca="false">O392+P392</f>
        <v>48116.811158696</v>
      </c>
      <c r="R392" s="15" t="n">
        <f aca="false">Q392-$G$2+$I$2</f>
        <v>45599.811158696</v>
      </c>
      <c r="S392" s="42" t="n">
        <f aca="false">R392/$K$2</f>
        <v>105.257862422548</v>
      </c>
      <c r="T392" s="43" t="n">
        <f aca="false">S392-$M$2</f>
        <v>-0.000435901629600721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0.0493221282958984</v>
      </c>
      <c r="C393" s="25" t="n">
        <f aca="false">IF(T392&gt;0,D392,C392)</f>
        <v>0.0493278503417969</v>
      </c>
      <c r="D393" s="41" t="n">
        <f aca="false">(B393+C393)/2</f>
        <v>0.0493249893188477</v>
      </c>
      <c r="E393" s="15" t="n">
        <f aca="false">$C$2*(1+IF(E$3&lt;=$O$2,$D393,$D393-($D393-$I$373)*MIN(E$3-$O$2,$Q$2)/$Q$2))</f>
        <v>8216.21466636658</v>
      </c>
      <c r="F393" s="15" t="n">
        <f aca="false">E393*(1+IF(F$3&lt;=$O$2,$D393,$D393-($D393-$I$373)*MIN(F$3-$O$2,$Q$2)/$Q$2))</f>
        <v>8621.47936702647</v>
      </c>
      <c r="G393" s="15" t="n">
        <f aca="false">F393*(1+IF(G$3&lt;=$O$2,$D393,$D393-($D393-$I$373)*MIN(G$3-$O$2,$Q$2)/$Q$2))</f>
        <v>9046.73374471771</v>
      </c>
      <c r="H393" s="15" t="n">
        <f aca="false">G393*(1+IF(H$3&lt;=$O$2,$D393,$D393-($D393-$I$373)*MIN(H$3-$O$2,$Q$2)/$Q$2))</f>
        <v>9492.96379004638</v>
      </c>
      <c r="I393" s="15" t="n">
        <f aca="false">H393*(1+IF(I$3&lt;=$O$2,$D393,$D393-($D393-$I$373)*MIN(I$3-$O$2,$Q$2)/$Q$2))</f>
        <v>9961.20412759462</v>
      </c>
      <c r="J393" s="15" t="n">
        <f aca="false">I393*(1+IF(J$3&lt;=$O$2,$D393,$D393-($D393-$I$373)*MIN(J$3-$O$2,$Q$2)/$Q$2))</f>
        <v>10410.653572714</v>
      </c>
      <c r="K393" s="15" t="n">
        <f aca="false">J393*(1+IF(K$3&lt;=$O$2,$D393,$D393-($D393-$I$373)*MIN(K$3-$O$2,$Q$2)/$Q$2))</f>
        <v>10836.6053969229</v>
      </c>
      <c r="L393" s="15" t="n">
        <f aca="false">K393*(1+IF(L$3&lt;=$O$2,$D393,$D393-($D393-$I$373)*MIN(L$3-$O$2,$Q$2)/$Q$2))</f>
        <v>11234.417134745</v>
      </c>
      <c r="M393" s="15" t="n">
        <f aca="false">L393*(1+IF(M$3&lt;=$O$2,$D393,$D393-($D393-$I$373)*MIN(M$3-$O$2,$Q$2)/$Q$2))</f>
        <v>11599.5918397106</v>
      </c>
      <c r="N393" s="15" t="n">
        <f aca="false">M393*(1+IF(N$3&lt;=$O$2,$D393,$D393-($D393-$I$373)*MIN(N$3-$O$2,$Q$2)/$Q$2))</f>
        <v>11927.8602887744</v>
      </c>
      <c r="O393" s="15" t="n">
        <f aca="false">SUMPRODUCT(E393:N393,1/(1+$F$373)^$E$3:$N$3)*$E$2</f>
        <v>18664.578290599</v>
      </c>
      <c r="P393" s="15" t="n">
        <f aca="false">N393*$E$2*(1+$I$373)/($F$373-$I$373)/(1+$F$373)^$N$3</f>
        <v>29453.0302216685</v>
      </c>
      <c r="Q393" s="15" t="n">
        <f aca="false">O393+P393</f>
        <v>48117.6085122675</v>
      </c>
      <c r="R393" s="15" t="n">
        <f aca="false">Q393-$G$2+$I$2</f>
        <v>45600.6085122675</v>
      </c>
      <c r="S393" s="42" t="n">
        <f aca="false">R393/$K$2</f>
        <v>105.25970295062</v>
      </c>
      <c r="T393" s="43" t="n">
        <f aca="false">S393-$M$2</f>
        <v>0.00140462644267814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0.0493221282958984</v>
      </c>
      <c r="C394" s="25" t="n">
        <f aca="false">IF(T393&gt;0,D393,C393)</f>
        <v>0.0493249893188477</v>
      </c>
      <c r="D394" s="41" t="n">
        <f aca="false">(B394+C394)/2</f>
        <v>0.0493235588073731</v>
      </c>
      <c r="E394" s="15" t="n">
        <f aca="false">$C$2*(1+IF(E$3&lt;=$O$2,$D394,$D394-($D394-$I$373)*MIN(E$3-$O$2,$Q$2)/$Q$2))</f>
        <v>8216.20346546173</v>
      </c>
      <c r="F394" s="15" t="n">
        <f aca="false">E394*(1+IF(F$3&lt;=$O$2,$D394,$D394-($D394-$I$373)*MIN(F$3-$O$2,$Q$2)/$Q$2))</f>
        <v>8621.45586026378</v>
      </c>
      <c r="G394" s="15" t="n">
        <f aca="false">F394*(1+IF(G$3&lt;=$O$2,$D394,$D394-($D394-$I$373)*MIN(G$3-$O$2,$Q$2)/$Q$2))</f>
        <v>9046.69674539267</v>
      </c>
      <c r="H394" s="15" t="n">
        <f aca="false">G394*(1+IF(H$3&lt;=$O$2,$D394,$D394-($D394-$I$373)*MIN(H$3-$O$2,$Q$2)/$Q$2))</f>
        <v>9492.91202432651</v>
      </c>
      <c r="I394" s="15" t="n">
        <f aca="false">H394*(1+IF(I$3&lt;=$O$2,$D394,$D394-($D394-$I$373)*MIN(I$3-$O$2,$Q$2)/$Q$2))</f>
        <v>9961.1362288116</v>
      </c>
      <c r="J394" s="15" t="n">
        <f aca="false">I394*(1+IF(J$3&lt;=$O$2,$D394,$D394-($D394-$I$373)*MIN(J$3-$O$2,$Q$2)/$Q$2))</f>
        <v>10410.5712107227</v>
      </c>
      <c r="K394" s="15" t="n">
        <f aca="false">J394*(1+IF(K$3&lt;=$O$2,$D394,$D394-($D394-$I$373)*MIN(K$3-$O$2,$Q$2)/$Q$2))</f>
        <v>10836.5107296263</v>
      </c>
      <c r="L394" s="15" t="n">
        <f aca="false">K394*(1+IF(L$3&lt;=$O$2,$D394,$D394-($D394-$I$373)*MIN(L$3-$O$2,$Q$2)/$Q$2))</f>
        <v>11234.3127915112</v>
      </c>
      <c r="M394" s="15" t="n">
        <f aca="false">L394*(1+IF(M$3&lt;=$O$2,$D394,$D394-($D394-$I$373)*MIN(M$3-$O$2,$Q$2)/$Q$2))</f>
        <v>11599.4808906375</v>
      </c>
      <c r="N394" s="15" t="n">
        <f aca="false">M394*(1+IF(N$3&lt;=$O$2,$D394,$D394-($D394-$I$373)*MIN(N$3-$O$2,$Q$2)/$Q$2))</f>
        <v>11927.7461998425</v>
      </c>
      <c r="O394" s="15" t="n">
        <f aca="false">SUMPRODUCT(E394:N394,1/(1+$F$373)^$E$3:$N$3)*$E$2</f>
        <v>18664.4613279041</v>
      </c>
      <c r="P394" s="15" t="n">
        <f aca="false">N394*$E$2*(1+$I$373)/($F$373-$I$373)/(1+$F$373)^$N$3</f>
        <v>29452.7485060317</v>
      </c>
      <c r="Q394" s="15" t="n">
        <f aca="false">O394+P394</f>
        <v>48117.2098339358</v>
      </c>
      <c r="R394" s="15" t="n">
        <f aca="false">Q394-$G$2+$I$2</f>
        <v>45600.2098339358</v>
      </c>
      <c r="S394" s="42" t="n">
        <f aca="false">R394/$K$2</f>
        <v>105.258782683015</v>
      </c>
      <c r="T394" s="43" t="n">
        <f aca="false">S394-$M$2</f>
        <v>0.000484358837937293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0.0493221282958984</v>
      </c>
      <c r="C395" s="25" t="n">
        <f aca="false">IF(T394&gt;0,D394,C394)</f>
        <v>0.0493235588073731</v>
      </c>
      <c r="D395" s="41" t="n">
        <f aca="false">(B395+C395)/2</f>
        <v>0.0493228435516357</v>
      </c>
      <c r="E395" s="15" t="n">
        <f aca="false">$C$2*(1+IF(E$3&lt;=$O$2,$D395,$D395-($D395-$I$373)*MIN(E$3-$O$2,$Q$2)/$Q$2))</f>
        <v>8216.19786500931</v>
      </c>
      <c r="F395" s="15" t="n">
        <f aca="false">E395*(1+IF(F$3&lt;=$O$2,$D395,$D395-($D395-$I$373)*MIN(F$3-$O$2,$Q$2)/$Q$2))</f>
        <v>8621.44410689445</v>
      </c>
      <c r="G395" s="15" t="n">
        <f aca="false">F395*(1+IF(G$3&lt;=$O$2,$D395,$D395-($D395-$I$373)*MIN(G$3-$O$2,$Q$2)/$Q$2))</f>
        <v>9046.67824576797</v>
      </c>
      <c r="H395" s="15" t="n">
        <f aca="false">G395*(1+IF(H$3&lt;=$O$2,$D395,$D395-($D395-$I$373)*MIN(H$3-$O$2,$Q$2)/$Q$2))</f>
        <v>9492.88614154597</v>
      </c>
      <c r="I395" s="15" t="n">
        <f aca="false">H395*(1+IF(I$3&lt;=$O$2,$D395,$D395-($D395-$I$373)*MIN(I$3-$O$2,$Q$2)/$Q$2))</f>
        <v>9961.10227955893</v>
      </c>
      <c r="J395" s="15" t="n">
        <f aca="false">I395*(1+IF(J$3&lt;=$O$2,$D395,$D395-($D395-$I$373)*MIN(J$3-$O$2,$Q$2)/$Q$2))</f>
        <v>10410.5300299305</v>
      </c>
      <c r="K395" s="15" t="n">
        <f aca="false">J395*(1+IF(K$3&lt;=$O$2,$D395,$D395-($D395-$I$373)*MIN(K$3-$O$2,$Q$2)/$Q$2))</f>
        <v>10836.4633962428</v>
      </c>
      <c r="L395" s="15" t="n">
        <f aca="false">K395*(1+IF(L$3&lt;=$O$2,$D395,$D395-($D395-$I$373)*MIN(L$3-$O$2,$Q$2)/$Q$2))</f>
        <v>11234.2606202094</v>
      </c>
      <c r="M395" s="15" t="n">
        <f aca="false">L395*(1+IF(M$3&lt;=$O$2,$D395,$D395-($D395-$I$373)*MIN(M$3-$O$2,$Q$2)/$Q$2))</f>
        <v>11599.4254164487</v>
      </c>
      <c r="N395" s="15" t="n">
        <f aca="false">M395*(1+IF(N$3&lt;=$O$2,$D395,$D395-($D395-$I$373)*MIN(N$3-$O$2,$Q$2)/$Q$2))</f>
        <v>11927.6891557342</v>
      </c>
      <c r="O395" s="15" t="n">
        <f aca="false">SUMPRODUCT(E395:N395,1/(1+$F$373)^$E$3:$N$3)*$E$2</f>
        <v>18664.4028468332</v>
      </c>
      <c r="P395" s="15" t="n">
        <f aca="false">N395*$E$2*(1+$I$373)/($F$373-$I$373)/(1+$F$373)^$N$3</f>
        <v>29452.6076490962</v>
      </c>
      <c r="Q395" s="15" t="n">
        <f aca="false">O395+P395</f>
        <v>48117.0104959294</v>
      </c>
      <c r="R395" s="15" t="n">
        <f aca="false">Q395-$G$2+$I$2</f>
        <v>45600.0104959294</v>
      </c>
      <c r="S395" s="42" t="n">
        <f aca="false">R395/$K$2</f>
        <v>105.258322551889</v>
      </c>
      <c r="T395" s="43" t="n">
        <f aca="false">S395-$M$2</f>
        <v>2.42277120037215E-005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0.0493221282958984</v>
      </c>
      <c r="C396" s="25" t="n">
        <f aca="false">IF(T395&gt;0,D395,C395)</f>
        <v>0.0493228435516357</v>
      </c>
      <c r="D396" s="41" t="n">
        <f aca="false">(B396+C396)/2</f>
        <v>0.0493224859237671</v>
      </c>
      <c r="E396" s="15" t="n">
        <f aca="false">$C$2*(1+IF(E$3&lt;=$O$2,$D396,$D396-($D396-$I$373)*MIN(E$3-$O$2,$Q$2)/$Q$2))</f>
        <v>8216.1950647831</v>
      </c>
      <c r="F396" s="15" t="n">
        <f aca="false">E396*(1+IF(F$3&lt;=$O$2,$D396,$D396-($D396-$I$373)*MIN(F$3-$O$2,$Q$2)/$Q$2))</f>
        <v>8621.43823021279</v>
      </c>
      <c r="G396" s="15" t="n">
        <f aca="false">F396*(1+IF(G$3&lt;=$O$2,$D396,$D396-($D396-$I$373)*MIN(G$3-$O$2,$Q$2)/$Q$2))</f>
        <v>9046.66899596508</v>
      </c>
      <c r="H396" s="15" t="n">
        <f aca="false">G396*(1+IF(H$3&lt;=$O$2,$D396,$D396-($D396-$I$373)*MIN(H$3-$O$2,$Q$2)/$Q$2))</f>
        <v>9492.87320017555</v>
      </c>
      <c r="I396" s="15" t="n">
        <f aca="false">H396*(1+IF(I$3&lt;=$O$2,$D396,$D396-($D396-$I$373)*MIN(I$3-$O$2,$Q$2)/$Q$2))</f>
        <v>9961.08530496732</v>
      </c>
      <c r="J396" s="15" t="n">
        <f aca="false">I396*(1+IF(J$3&lt;=$O$2,$D396,$D396-($D396-$I$373)*MIN(J$3-$O$2,$Q$2)/$Q$2))</f>
        <v>10410.5094395852</v>
      </c>
      <c r="K396" s="15" t="n">
        <f aca="false">J396*(1+IF(K$3&lt;=$O$2,$D396,$D396-($D396-$I$373)*MIN(K$3-$O$2,$Q$2)/$Q$2))</f>
        <v>10836.4397296172</v>
      </c>
      <c r="L396" s="15" t="n">
        <f aca="false">K396*(1+IF(L$3&lt;=$O$2,$D396,$D396-($D396-$I$373)*MIN(L$3-$O$2,$Q$2)/$Q$2))</f>
        <v>11234.2345346372</v>
      </c>
      <c r="M396" s="15" t="n">
        <f aca="false">L396*(1+IF(M$3&lt;=$O$2,$D396,$D396-($D396-$I$373)*MIN(M$3-$O$2,$Q$2)/$Q$2))</f>
        <v>11599.3976794412</v>
      </c>
      <c r="N396" s="15" t="n">
        <f aca="false">M396*(1+IF(N$3&lt;=$O$2,$D396,$D396-($D396-$I$373)*MIN(N$3-$O$2,$Q$2)/$Q$2))</f>
        <v>11927.6606337694</v>
      </c>
      <c r="O396" s="15" t="n">
        <f aca="false">SUMPRODUCT(E396:N396,1/(1+$F$373)^$E$3:$N$3)*$E$2</f>
        <v>18664.3736063669</v>
      </c>
      <c r="P396" s="15" t="n">
        <f aca="false">N396*$E$2*(1+$I$373)/($F$373-$I$373)/(1+$F$373)^$N$3</f>
        <v>29452.5372208492</v>
      </c>
      <c r="Q396" s="15" t="n">
        <f aca="false">O396+P396</f>
        <v>48116.9108272161</v>
      </c>
      <c r="R396" s="15" t="n">
        <f aca="false">Q396-$G$2+$I$2</f>
        <v>45599.9108272161</v>
      </c>
      <c r="S396" s="42" t="n">
        <f aca="false">R396/$K$2</f>
        <v>105.258092486995</v>
      </c>
      <c r="T396" s="43" t="n">
        <f aca="false">S396-$M$2</f>
        <v>-0.000205837181823654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0.0493224859237671</v>
      </c>
      <c r="C397" s="25" t="n">
        <f aca="false">IF(T396&gt;0,D396,C396)</f>
        <v>0.0493228435516357</v>
      </c>
      <c r="D397" s="41" t="n">
        <f aca="false">(B397+C397)/2</f>
        <v>0.0493226647377014</v>
      </c>
      <c r="E397" s="15" t="n">
        <f aca="false">$C$2*(1+IF(E$3&lt;=$O$2,$D397,$D397-($D397-$I$373)*MIN(E$3-$O$2,$Q$2)/$Q$2))</f>
        <v>8216.1964648962</v>
      </c>
      <c r="F397" s="15" t="n">
        <f aca="false">E397*(1+IF(F$3&lt;=$O$2,$D397,$D397-($D397-$I$373)*MIN(F$3-$O$2,$Q$2)/$Q$2))</f>
        <v>8621.44116855337</v>
      </c>
      <c r="G397" s="15" t="n">
        <f aca="false">F397*(1+IF(G$3&lt;=$O$2,$D397,$D397-($D397-$I$373)*MIN(G$3-$O$2,$Q$2)/$Q$2))</f>
        <v>9046.67362086574</v>
      </c>
      <c r="H397" s="15" t="n">
        <f aca="false">G397*(1+IF(H$3&lt;=$O$2,$D397,$D397-($D397-$I$373)*MIN(H$3-$O$2,$Q$2)/$Q$2))</f>
        <v>9492.87967085911</v>
      </c>
      <c r="I397" s="15" t="n">
        <f aca="false">H397*(1+IF(I$3&lt;=$O$2,$D397,$D397-($D397-$I$373)*MIN(I$3-$O$2,$Q$2)/$Q$2))</f>
        <v>9961.09379226023</v>
      </c>
      <c r="J397" s="15" t="n">
        <f aca="false">I397*(1+IF(J$3&lt;=$O$2,$D397,$D397-($D397-$I$373)*MIN(J$3-$O$2,$Q$2)/$Q$2))</f>
        <v>10410.5197347536</v>
      </c>
      <c r="K397" s="15" t="n">
        <f aca="false">J397*(1+IF(K$3&lt;=$O$2,$D397,$D397-($D397-$I$373)*MIN(K$3-$O$2,$Q$2)/$Q$2))</f>
        <v>10836.4515629245</v>
      </c>
      <c r="L397" s="15" t="n">
        <f aca="false">K397*(1+IF(L$3&lt;=$O$2,$D397,$D397-($D397-$I$373)*MIN(L$3-$O$2,$Q$2)/$Q$2))</f>
        <v>11234.2475774167</v>
      </c>
      <c r="M397" s="15" t="n">
        <f aca="false">L397*(1+IF(M$3&lt;=$O$2,$D397,$D397-($D397-$I$373)*MIN(M$3-$O$2,$Q$2)/$Q$2))</f>
        <v>11599.4115479377</v>
      </c>
      <c r="N397" s="15" t="n">
        <f aca="false">M397*(1+IF(N$3&lt;=$O$2,$D397,$D397-($D397-$I$373)*MIN(N$3-$O$2,$Q$2)/$Q$2))</f>
        <v>11927.6748947443</v>
      </c>
      <c r="O397" s="15" t="n">
        <f aca="false">SUMPRODUCT(E397:N397,1/(1+$F$373)^$E$3:$N$3)*$E$2</f>
        <v>18664.3882265943</v>
      </c>
      <c r="P397" s="15" t="n">
        <f aca="false">N397*$E$2*(1+$I$373)/($F$373-$I$373)/(1+$F$373)^$N$3</f>
        <v>29452.5724349543</v>
      </c>
      <c r="Q397" s="15" t="n">
        <f aca="false">O397+P397</f>
        <v>48116.9606615486</v>
      </c>
      <c r="R397" s="15" t="n">
        <f aca="false">Q397-$G$2+$I$2</f>
        <v>45599.9606615486</v>
      </c>
      <c r="S397" s="42" t="n">
        <f aca="false">R397/$K$2</f>
        <v>105.258207519386</v>
      </c>
      <c r="T397" s="43" t="n">
        <f aca="false">S397-$M$2</f>
        <v>-9.08047907017817E-005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0.0493226647377014</v>
      </c>
      <c r="C398" s="25" t="n">
        <f aca="false">IF(T397&gt;0,D397,C397)</f>
        <v>0.0493228435516357</v>
      </c>
      <c r="D398" s="41" t="n">
        <f aca="false">(B398+C398)/2</f>
        <v>0.0493227541446686</v>
      </c>
      <c r="E398" s="15" t="n">
        <f aca="false">$C$2*(1+IF(E$3&lt;=$O$2,$D398,$D398-($D398-$I$373)*MIN(E$3-$O$2,$Q$2)/$Q$2))</f>
        <v>8216.19716495276</v>
      </c>
      <c r="F398" s="15" t="n">
        <f aca="false">E398*(1+IF(F$3&lt;=$O$2,$D398,$D398-($D398-$I$373)*MIN(F$3-$O$2,$Q$2)/$Q$2))</f>
        <v>8621.44263772384</v>
      </c>
      <c r="G398" s="15" t="n">
        <f aca="false">F398*(1+IF(G$3&lt;=$O$2,$D398,$D398-($D398-$I$373)*MIN(G$3-$O$2,$Q$2)/$Q$2))</f>
        <v>9046.67593331666</v>
      </c>
      <c r="H398" s="15" t="n">
        <f aca="false">G398*(1+IF(H$3&lt;=$O$2,$D398,$D398-($D398-$I$373)*MIN(H$3-$O$2,$Q$2)/$Q$2))</f>
        <v>9492.88290620213</v>
      </c>
      <c r="I398" s="15" t="n">
        <f aca="false">H398*(1+IF(I$3&lt;=$O$2,$D398,$D398-($D398-$I$373)*MIN(I$3-$O$2,$Q$2)/$Q$2))</f>
        <v>9961.09803590886</v>
      </c>
      <c r="J398" s="15" t="n">
        <f aca="false">I398*(1+IF(J$3&lt;=$O$2,$D398,$D398-($D398-$I$373)*MIN(J$3-$O$2,$Q$2)/$Q$2))</f>
        <v>10410.524882341</v>
      </c>
      <c r="K398" s="15" t="n">
        <f aca="false">J398*(1+IF(K$3&lt;=$O$2,$D398,$D398-($D398-$I$373)*MIN(K$3-$O$2,$Q$2)/$Q$2))</f>
        <v>10836.4574795823</v>
      </c>
      <c r="L398" s="15" t="n">
        <f aca="false">K398*(1+IF(L$3&lt;=$O$2,$D398,$D398-($D398-$I$373)*MIN(L$3-$O$2,$Q$2)/$Q$2))</f>
        <v>11234.2540988114</v>
      </c>
      <c r="M398" s="15" t="n">
        <f aca="false">L398*(1+IF(M$3&lt;=$O$2,$D398,$D398-($D398-$I$373)*MIN(M$3-$O$2,$Q$2)/$Q$2))</f>
        <v>11599.4184821914</v>
      </c>
      <c r="N398" s="15" t="n">
        <f aca="false">M398*(1+IF(N$3&lt;=$O$2,$D398,$D398-($D398-$I$373)*MIN(N$3-$O$2,$Q$2)/$Q$2))</f>
        <v>11927.6820252374</v>
      </c>
      <c r="O398" s="15" t="n">
        <f aca="false">SUMPRODUCT(E398:N398,1/(1+$F$373)^$E$3:$N$3)*$E$2</f>
        <v>18664.3955367123</v>
      </c>
      <c r="P398" s="15" t="n">
        <f aca="false">N398*$E$2*(1+$I$373)/($F$373-$I$373)/(1+$F$373)^$N$3</f>
        <v>29452.5900420206</v>
      </c>
      <c r="Q398" s="15" t="n">
        <f aca="false">O398+P398</f>
        <v>48116.985578733</v>
      </c>
      <c r="R398" s="15" t="n">
        <f aca="false">Q398-$G$2+$I$2</f>
        <v>45599.985578733</v>
      </c>
      <c r="S398" s="42" t="n">
        <f aca="false">R398/$K$2</f>
        <v>105.258265035624</v>
      </c>
      <c r="T398" s="43" t="n">
        <f aca="false">S398-$M$2</f>
        <v>-3.32885532827731E-005</v>
      </c>
    </row>
    <row r="400" customFormat="false" ht="15" hidden="false" customHeight="false" outlineLevel="0" collapsed="false">
      <c r="A400" s="38" t="s">
        <v>186</v>
      </c>
      <c r="E400" s="5" t="s">
        <v>11</v>
      </c>
      <c r="F400" s="12" t="n">
        <f aca="false">Sensitivity!$B$12</f>
        <v>0.0821529104257703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153</v>
      </c>
      <c r="B401" s="28" t="s">
        <v>154</v>
      </c>
      <c r="C401" s="28" t="s">
        <v>155</v>
      </c>
      <c r="D401" s="28" t="s">
        <v>156</v>
      </c>
      <c r="E401" s="28" t="s">
        <v>157</v>
      </c>
      <c r="F401" s="28" t="s">
        <v>158</v>
      </c>
      <c r="G401" s="28" t="s">
        <v>159</v>
      </c>
      <c r="H401" s="28" t="s">
        <v>160</v>
      </c>
      <c r="I401" s="28" t="s">
        <v>161</v>
      </c>
      <c r="J401" s="28" t="s">
        <v>162</v>
      </c>
      <c r="K401" s="28" t="s">
        <v>163</v>
      </c>
      <c r="L401" s="28" t="s">
        <v>164</v>
      </c>
      <c r="M401" s="28" t="s">
        <v>165</v>
      </c>
      <c r="N401" s="28" t="s">
        <v>166</v>
      </c>
      <c r="O401" s="28" t="s">
        <v>167</v>
      </c>
      <c r="P401" s="28" t="s">
        <v>168</v>
      </c>
      <c r="Q401" s="28" t="s">
        <v>169</v>
      </c>
      <c r="R401" s="28" t="s">
        <v>170</v>
      </c>
      <c r="S401" s="28" t="s">
        <v>171</v>
      </c>
      <c r="T401" s="28" t="s">
        <v>172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9787.5</v>
      </c>
      <c r="F402" s="15" t="n">
        <f aca="false">E402*(1+IF(F$3&lt;=$O$2,$D402,$D402-($D402-$I$400)*MIN(F$3-$O$2,$Q$2)/$Q$2))</f>
        <v>12234.375</v>
      </c>
      <c r="G402" s="15" t="n">
        <f aca="false">F402*(1+IF(G$3&lt;=$O$2,$D402,$D402-($D402-$I$400)*MIN(G$3-$O$2,$Q$2)/$Q$2))</f>
        <v>15292.96875</v>
      </c>
      <c r="H402" s="15" t="n">
        <f aca="false">G402*(1+IF(H$3&lt;=$O$2,$D402,$D402-($D402-$I$400)*MIN(H$3-$O$2,$Q$2)/$Q$2))</f>
        <v>19116.2109375</v>
      </c>
      <c r="I402" s="15" t="n">
        <f aca="false">H402*(1+IF(I$3&lt;=$O$2,$D402,$D402-($D402-$I$400)*MIN(I$3-$O$2,$Q$2)/$Q$2))</f>
        <v>23895.263671875</v>
      </c>
      <c r="J402" s="15" t="n">
        <f aca="false">I402*(1+IF(J$3&lt;=$O$2,$D402,$D402-($D402-$I$400)*MIN(J$3-$O$2,$Q$2)/$Q$2))</f>
        <v>28833.4588623047</v>
      </c>
      <c r="K402" s="15" t="n">
        <f aca="false">J402*(1+IF(K$3&lt;=$O$2,$D402,$D402-($D402-$I$400)*MIN(K$3-$O$2,$Q$2)/$Q$2))</f>
        <v>33542.5393636963</v>
      </c>
      <c r="L402" s="15" t="n">
        <f aca="false">K402*(1+IF(L$3&lt;=$O$2,$D402,$D402-($D402-$I$400)*MIN(L$3-$O$2,$Q$2)/$Q$2))</f>
        <v>37566.9732365526</v>
      </c>
      <c r="M402" s="15" t="n">
        <f aca="false">L402*(1+IF(M$3&lt;=$O$2,$D402,$D402-($D402-$I$400)*MIN(M$3-$O$2,$Q$2)/$Q$2))</f>
        <v>40446.106065402</v>
      </c>
      <c r="N402" s="15" t="n">
        <f aca="false">M402*(1+IF(N$3&lt;=$O$2,$D402,$D402-($D402-$I$400)*MIN(N$3-$O$2,$Q$2)/$Q$2))</f>
        <v>41792.9613973798</v>
      </c>
      <c r="O402" s="15" t="n">
        <f aca="false">SUMPRODUCT(E402:N402,1/(1+$F$400)^$E$3:$N$3)*$E$2</f>
        <v>44907.9549294311</v>
      </c>
      <c r="P402" s="15" t="n">
        <f aca="false">N402*$E$2*(1+$I$400)/($F$400-$I$400)/(1+$F$400)^$N$3</f>
        <v>114313.077294618</v>
      </c>
      <c r="Q402" s="15" t="n">
        <f aca="false">O402+P402</f>
        <v>159221.032224049</v>
      </c>
      <c r="R402" s="15" t="n">
        <f aca="false">Q402-$G$2+$I$2</f>
        <v>156704.032224049</v>
      </c>
      <c r="S402" s="42" t="n">
        <f aca="false">R402/$K$2</f>
        <v>361.719293255271</v>
      </c>
      <c r="T402" s="43" t="n">
        <f aca="false">S402-$M$2</f>
        <v>256.460994931094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6851.25</v>
      </c>
      <c r="F403" s="15" t="n">
        <f aca="false">E403*(1+IF(F$3&lt;=$O$2,$D403,$D403-($D403-$I$400)*MIN(F$3-$O$2,$Q$2)/$Q$2))</f>
        <v>5994.84375</v>
      </c>
      <c r="G403" s="15" t="n">
        <f aca="false">F403*(1+IF(G$3&lt;=$O$2,$D403,$D403-($D403-$I$400)*MIN(G$3-$O$2,$Q$2)/$Q$2))</f>
        <v>5245.48828125</v>
      </c>
      <c r="H403" s="15" t="n">
        <f aca="false">G403*(1+IF(H$3&lt;=$O$2,$D403,$D403-($D403-$I$400)*MIN(H$3-$O$2,$Q$2)/$Q$2))</f>
        <v>4589.80224609375</v>
      </c>
      <c r="I403" s="15" t="n">
        <f aca="false">H403*(1+IF(I$3&lt;=$O$2,$D403,$D403-($D403-$I$400)*MIN(I$3-$O$2,$Q$2)/$Q$2))</f>
        <v>4016.07696533203</v>
      </c>
      <c r="J403" s="15" t="n">
        <f aca="false">I403*(1+IF(J$3&lt;=$O$2,$D403,$D403-($D403-$I$400)*MIN(J$3-$O$2,$Q$2)/$Q$2))</f>
        <v>3641.21634138794</v>
      </c>
      <c r="K403" s="15" t="n">
        <f aca="false">J403*(1+IF(K$3&lt;=$O$2,$D403,$D403-($D403-$I$400)*MIN(K$3-$O$2,$Q$2)/$Q$2))</f>
        <v>3416.62611745113</v>
      </c>
      <c r="L403" s="15" t="n">
        <f aca="false">K403*(1+IF(L$3&lt;=$O$2,$D403,$D403-($D403-$I$400)*MIN(L$3-$O$2,$Q$2)/$Q$2))</f>
        <v>3314.05900140525</v>
      </c>
      <c r="M403" s="15" t="n">
        <f aca="false">L403*(1+IF(M$3&lt;=$O$2,$D403,$D403-($D403-$I$400)*MIN(M$3-$O$2,$Q$2)/$Q$2))</f>
        <v>3319.49405816755</v>
      </c>
      <c r="N403" s="15" t="n">
        <f aca="false">M403*(1+IF(N$3&lt;=$O$2,$D403,$D403-($D403-$I$400)*MIN(N$3-$O$2,$Q$2)/$Q$2))</f>
        <v>3430.03321030453</v>
      </c>
      <c r="O403" s="15" t="n">
        <f aca="false">SUMPRODUCT(E403:N403,1/(1+$F$400)^$E$3:$N$3)*$E$2</f>
        <v>8779.48353734822</v>
      </c>
      <c r="P403" s="15" t="n">
        <f aca="false">N403*$E$2*(1+$I$400)/($F$400-$I$400)/(1+$F$400)^$N$3</f>
        <v>9381.90638764425</v>
      </c>
      <c r="Q403" s="15" t="n">
        <f aca="false">O403+P403</f>
        <v>18161.3899249925</v>
      </c>
      <c r="R403" s="15" t="n">
        <f aca="false">Q403-$G$2+$I$2</f>
        <v>15644.3899249925</v>
      </c>
      <c r="S403" s="42" t="n">
        <f aca="false">R403/$K$2</f>
        <v>36.1118829347502</v>
      </c>
      <c r="T403" s="43" t="n">
        <f aca="false">S403-$M$2</f>
        <v>-69.1464153894269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8319.375</v>
      </c>
      <c r="F404" s="15" t="n">
        <f aca="false">E404*(1+IF(F$3&lt;=$O$2,$D404,$D404-($D404-$I$400)*MIN(F$3-$O$2,$Q$2)/$Q$2))</f>
        <v>8839.3359375</v>
      </c>
      <c r="G404" s="15" t="n">
        <f aca="false">F404*(1+IF(G$3&lt;=$O$2,$D404,$D404-($D404-$I$400)*MIN(G$3-$O$2,$Q$2)/$Q$2))</f>
        <v>9391.79443359375</v>
      </c>
      <c r="H404" s="15" t="n">
        <f aca="false">G404*(1+IF(H$3&lt;=$O$2,$D404,$D404-($D404-$I$400)*MIN(H$3-$O$2,$Q$2)/$Q$2))</f>
        <v>9978.78158569336</v>
      </c>
      <c r="I404" s="15" t="n">
        <f aca="false">H404*(1+IF(I$3&lt;=$O$2,$D404,$D404-($D404-$I$400)*MIN(I$3-$O$2,$Q$2)/$Q$2))</f>
        <v>10602.4554347992</v>
      </c>
      <c r="J404" s="15" t="n">
        <f aca="false">I404*(1+IF(J$3&lt;=$O$2,$D404,$D404-($D404-$I$400)*MIN(J$3-$O$2,$Q$2)/$Q$2))</f>
        <v>11203.1905597349</v>
      </c>
      <c r="K404" s="15" t="n">
        <f aca="false">J404*(1+IF(K$3&lt;=$O$2,$D404,$D404-($D404-$I$400)*MIN(K$3-$O$2,$Q$2)/$Q$2))</f>
        <v>11772.5367039806</v>
      </c>
      <c r="L404" s="15" t="n">
        <f aca="false">K404*(1+IF(L$3&lt;=$O$2,$D404,$D404-($D404-$I$400)*MIN(L$3-$O$2,$Q$2)/$Q$2))</f>
        <v>12302.0654049257</v>
      </c>
      <c r="M404" s="15" t="n">
        <f aca="false">L404*(1+IF(M$3&lt;=$O$2,$D404,$D404-($D404-$I$400)*MIN(M$3-$O$2,$Q$2)/$Q$2))</f>
        <v>12783.5682448745</v>
      </c>
      <c r="N404" s="15" t="n">
        <f aca="false">M404*(1+IF(N$3&lt;=$O$2,$D404,$D404-($D404-$I$400)*MIN(N$3-$O$2,$Q$2)/$Q$2))</f>
        <v>13209.2610674288</v>
      </c>
      <c r="O404" s="15" t="n">
        <f aca="false">SUMPRODUCT(E404:N404,1/(1+$F$400)^$E$3:$N$3)*$E$2</f>
        <v>19833.2217542357</v>
      </c>
      <c r="P404" s="15" t="n">
        <f aca="false">N404*$E$2*(1+$I$400)/($F$400-$I$400)/(1+$F$400)^$N$3</f>
        <v>36130.2772265485</v>
      </c>
      <c r="Q404" s="15" t="n">
        <f aca="false">O404+P404</f>
        <v>55963.4989807841</v>
      </c>
      <c r="R404" s="15" t="n">
        <f aca="false">Q404-$G$2+$I$2</f>
        <v>53446.4989807841</v>
      </c>
      <c r="S404" s="42" t="n">
        <f aca="false">R404/$K$2</f>
        <v>123.370340660136</v>
      </c>
      <c r="T404" s="43" t="n">
        <f aca="false">S404-$M$2</f>
        <v>18.1120423359589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7585.3125</v>
      </c>
      <c r="F405" s="15" t="n">
        <f aca="false">E405*(1+IF(F$3&lt;=$O$2,$D405,$D405-($D405-$I$400)*MIN(F$3-$O$2,$Q$2)/$Q$2))</f>
        <v>7348.271484375</v>
      </c>
      <c r="G405" s="15" t="n">
        <f aca="false">F405*(1+IF(G$3&lt;=$O$2,$D405,$D405-($D405-$I$400)*MIN(G$3-$O$2,$Q$2)/$Q$2))</f>
        <v>7118.63800048828</v>
      </c>
      <c r="H405" s="15" t="n">
        <f aca="false">G405*(1+IF(H$3&lt;=$O$2,$D405,$D405-($D405-$I$400)*MIN(H$3-$O$2,$Q$2)/$Q$2))</f>
        <v>6896.18056297302</v>
      </c>
      <c r="I405" s="15" t="n">
        <f aca="false">H405*(1+IF(I$3&lt;=$O$2,$D405,$D405-($D405-$I$400)*MIN(I$3-$O$2,$Q$2)/$Q$2))</f>
        <v>6680.67492038012</v>
      </c>
      <c r="J405" s="15" t="n">
        <f aca="false">I405*(1+IF(J$3&lt;=$O$2,$D405,$D405-($D405-$I$400)*MIN(J$3-$O$2,$Q$2)/$Q$2))</f>
        <v>6558.15134234034</v>
      </c>
      <c r="K405" s="15" t="n">
        <f aca="false">J405*(1+IF(K$3&lt;=$O$2,$D405,$D405-($D405-$I$400)*MIN(K$3-$O$2,$Q$2)/$Q$2))</f>
        <v>6522.54058055144</v>
      </c>
      <c r="L405" s="15" t="n">
        <f aca="false">K405*(1+IF(L$3&lt;=$O$2,$D405,$D405-($D405-$I$400)*MIN(L$3-$O$2,$Q$2)/$Q$2))</f>
        <v>6571.32918409396</v>
      </c>
      <c r="M405" s="15" t="n">
        <f aca="false">L405*(1+IF(M$3&lt;=$O$2,$D405,$D405-($D405-$I$400)*MIN(M$3-$O$2,$Q$2)/$Q$2))</f>
        <v>6705.31858615764</v>
      </c>
      <c r="N405" s="15" t="n">
        <f aca="false">M405*(1+IF(N$3&lt;=$O$2,$D405,$D405-($D405-$I$400)*MIN(N$3-$O$2,$Q$2)/$Q$2))</f>
        <v>6928.60569507669</v>
      </c>
      <c r="O405" s="15" t="n">
        <f aca="false">SUMPRODUCT(E405:N405,1/(1+$F$400)^$E$3:$N$3)*$E$2</f>
        <v>13158.9503869483</v>
      </c>
      <c r="P405" s="15" t="n">
        <f aca="false">N405*$E$2*(1+$I$400)/($F$400-$I$400)/(1+$F$400)^$N$3</f>
        <v>18951.2829884049</v>
      </c>
      <c r="Q405" s="15" t="n">
        <f aca="false">O405+P405</f>
        <v>32110.2333753532</v>
      </c>
      <c r="R405" s="15" t="n">
        <f aca="false">Q405-$G$2+$I$2</f>
        <v>29593.2333753532</v>
      </c>
      <c r="S405" s="42" t="n">
        <f aca="false">R405/$K$2</f>
        <v>68.3099426973667</v>
      </c>
      <c r="T405" s="43" t="n">
        <f aca="false">S405-$M$2</f>
        <v>-36.9483556268104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7952.34375</v>
      </c>
      <c r="F406" s="15" t="n">
        <f aca="false">E406*(1+IF(F$3&lt;=$O$2,$D406,$D406-($D406-$I$400)*MIN(F$3-$O$2,$Q$2)/$Q$2))</f>
        <v>8076.59912109375</v>
      </c>
      <c r="G406" s="15" t="n">
        <f aca="false">F406*(1+IF(G$3&lt;=$O$2,$D406,$D406-($D406-$I$400)*MIN(G$3-$O$2,$Q$2)/$Q$2))</f>
        <v>8202.79598236084</v>
      </c>
      <c r="H406" s="15" t="n">
        <f aca="false">G406*(1+IF(H$3&lt;=$O$2,$D406,$D406-($D406-$I$400)*MIN(H$3-$O$2,$Q$2)/$Q$2))</f>
        <v>8330.96466958523</v>
      </c>
      <c r="I406" s="15" t="n">
        <f aca="false">H406*(1+IF(I$3&lt;=$O$2,$D406,$D406-($D406-$I$400)*MIN(I$3-$O$2,$Q$2)/$Q$2))</f>
        <v>8461.1359925475</v>
      </c>
      <c r="J406" s="15" t="n">
        <f aca="false">I406*(1+IF(J$3&lt;=$O$2,$D406,$D406-($D406-$I$400)*MIN(J$3-$O$2,$Q$2)/$Q$2))</f>
        <v>8623.25135816471</v>
      </c>
      <c r="K406" s="15" t="n">
        <f aca="false">J406*(1+IF(K$3&lt;=$O$2,$D406,$D406-($D406-$I$400)*MIN(K$3-$O$2,$Q$2)/$Q$2))</f>
        <v>8818.95604773826</v>
      </c>
      <c r="L406" s="15" t="n">
        <f aca="false">K406*(1+IF(L$3&lt;=$O$2,$D406,$D406-($D406-$I$400)*MIN(L$3-$O$2,$Q$2)/$Q$2))</f>
        <v>9050.27726487043</v>
      </c>
      <c r="M406" s="15" t="n">
        <f aca="false">L406*(1+IF(M$3&lt;=$O$2,$D406,$D406-($D406-$I$400)*MIN(M$3-$O$2,$Q$2)/$Q$2))</f>
        <v>9319.6587676593</v>
      </c>
      <c r="N406" s="15" t="n">
        <f aca="false">M406*(1+IF(N$3&lt;=$O$2,$D406,$D406-($D406-$I$400)*MIN(N$3-$O$2,$Q$2)/$Q$2))</f>
        <v>9630.00340462235</v>
      </c>
      <c r="O406" s="15" t="n">
        <f aca="false">SUMPRODUCT(E406:N406,1/(1+$F$400)^$E$3:$N$3)*$E$2</f>
        <v>16149.1500289441</v>
      </c>
      <c r="P406" s="15" t="n">
        <f aca="false">N406*$E$2*(1+$I$400)/($F$400-$I$400)/(1+$F$400)^$N$3</f>
        <v>26340.2086555427</v>
      </c>
      <c r="Q406" s="15" t="n">
        <f aca="false">O406+P406</f>
        <v>42489.3586844867</v>
      </c>
      <c r="R406" s="15" t="n">
        <f aca="false">Q406-$G$2+$I$2</f>
        <v>39972.3586844867</v>
      </c>
      <c r="S406" s="42" t="n">
        <f aca="false">R406/$K$2</f>
        <v>92.2680362967701</v>
      </c>
      <c r="T406" s="43" t="n">
        <f aca="false">S406-$M$2</f>
        <v>-12.990262027407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0.015625</v>
      </c>
      <c r="C407" s="25" t="n">
        <f aca="false">IF(T406&gt;0,D406,C406)</f>
        <v>0.0625</v>
      </c>
      <c r="D407" s="41" t="n">
        <f aca="false">(B407+C407)/2</f>
        <v>0.0390625</v>
      </c>
      <c r="E407" s="15" t="n">
        <f aca="false">$C$2*(1+IF(E$3&lt;=$O$2,$D407,$D407-($D407-$I$400)*MIN(E$3-$O$2,$Q$2)/$Q$2))</f>
        <v>8135.859375</v>
      </c>
      <c r="F407" s="15" t="n">
        <f aca="false">E407*(1+IF(F$3&lt;=$O$2,$D407,$D407-($D407-$I$400)*MIN(F$3-$O$2,$Q$2)/$Q$2))</f>
        <v>8453.66638183594</v>
      </c>
      <c r="G407" s="15" t="n">
        <f aca="false">F407*(1+IF(G$3&lt;=$O$2,$D407,$D407-($D407-$I$400)*MIN(G$3-$O$2,$Q$2)/$Q$2))</f>
        <v>8783.8877248764</v>
      </c>
      <c r="H407" s="15" t="n">
        <f aca="false">G407*(1+IF(H$3&lt;=$O$2,$D407,$D407-($D407-$I$400)*MIN(H$3-$O$2,$Q$2)/$Q$2))</f>
        <v>9127.00833912939</v>
      </c>
      <c r="I407" s="15" t="n">
        <f aca="false">H407*(1+IF(I$3&lt;=$O$2,$D407,$D407-($D407-$I$400)*MIN(I$3-$O$2,$Q$2)/$Q$2))</f>
        <v>9483.53210237663</v>
      </c>
      <c r="J407" s="15" t="n">
        <f aca="false">I407*(1+IF(J$3&lt;=$O$2,$D407,$D407-($D407-$I$400)*MIN(J$3-$O$2,$Q$2)/$Q$2))</f>
        <v>9843.05280437773</v>
      </c>
      <c r="K407" s="15" t="n">
        <f aca="false">J407*(1+IF(K$3&lt;=$O$2,$D407,$D407-($D407-$I$400)*MIN(K$3-$O$2,$Q$2)/$Q$2))</f>
        <v>10204.8588178346</v>
      </c>
      <c r="L407" s="15" t="n">
        <f aca="false">K407*(1+IF(L$3&lt;=$O$2,$D407,$D407-($D407-$I$400)*MIN(L$3-$O$2,$Q$2)/$Q$2))</f>
        <v>10568.2028160436</v>
      </c>
      <c r="M407" s="15" t="n">
        <f aca="false">L407*(1+IF(M$3&lt;=$O$2,$D407,$D407-($D407-$I$400)*MIN(M$3-$O$2,$Q$2)/$Q$2))</f>
        <v>10932.3038235634</v>
      </c>
      <c r="N407" s="15" t="n">
        <f aca="false">M407*(1+IF(N$3&lt;=$O$2,$D407,$D407-($D407-$I$400)*MIN(N$3-$O$2,$Q$2)/$Q$2))</f>
        <v>11296.3495408881</v>
      </c>
      <c r="O407" s="15" t="n">
        <f aca="false">SUMPRODUCT(E407:N407,1/(1+$F$400)^$E$3:$N$3)*$E$2</f>
        <v>17895.7497507729</v>
      </c>
      <c r="P407" s="15" t="n">
        <f aca="false">N407*$E$2*(1+$I$400)/($F$400-$I$400)/(1+$F$400)^$N$3</f>
        <v>30898.0372540796</v>
      </c>
      <c r="Q407" s="15" t="n">
        <f aca="false">O407+P407</f>
        <v>48793.7870048526</v>
      </c>
      <c r="R407" s="15" t="n">
        <f aca="false">Q407-$G$2+$I$2</f>
        <v>46276.7870048526</v>
      </c>
      <c r="S407" s="42" t="n">
        <f aca="false">R407/$K$2</f>
        <v>106.820523071078</v>
      </c>
      <c r="T407" s="43" t="n">
        <f aca="false">S407-$M$2</f>
        <v>1.56222474690121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0.015625</v>
      </c>
      <c r="C408" s="25" t="n">
        <f aca="false">IF(T407&gt;0,D407,C407)</f>
        <v>0.0390625</v>
      </c>
      <c r="D408" s="41" t="n">
        <f aca="false">(B408+C408)/2</f>
        <v>0.02734375</v>
      </c>
      <c r="E408" s="15" t="n">
        <f aca="false">$C$2*(1+IF(E$3&lt;=$O$2,$D408,$D408-($D408-$I$400)*MIN(E$3-$O$2,$Q$2)/$Q$2))</f>
        <v>8044.1015625</v>
      </c>
      <c r="F408" s="15" t="n">
        <f aca="false">E408*(1+IF(F$3&lt;=$O$2,$D408,$D408-($D408-$I$400)*MIN(F$3-$O$2,$Q$2)/$Q$2))</f>
        <v>8264.05746459961</v>
      </c>
      <c r="G408" s="15" t="n">
        <f aca="false">F408*(1+IF(G$3&lt;=$O$2,$D408,$D408-($D408-$I$400)*MIN(G$3-$O$2,$Q$2)/$Q$2))</f>
        <v>8490.02778589726</v>
      </c>
      <c r="H408" s="15" t="n">
        <f aca="false">G408*(1+IF(H$3&lt;=$O$2,$D408,$D408-($D408-$I$400)*MIN(H$3-$O$2,$Q$2)/$Q$2))</f>
        <v>8722.17698316788</v>
      </c>
      <c r="I408" s="15" t="n">
        <f aca="false">H408*(1+IF(I$3&lt;=$O$2,$D408,$D408-($D408-$I$400)*MIN(I$3-$O$2,$Q$2)/$Q$2))</f>
        <v>8960.67401005138</v>
      </c>
      <c r="J408" s="15" t="n">
        <f aca="false">I408*(1+IF(J$3&lt;=$O$2,$D408,$D408-($D408-$I$400)*MIN(J$3-$O$2,$Q$2)/$Q$2))</f>
        <v>9216.3668429282</v>
      </c>
      <c r="K408" s="15" t="n">
        <f aca="false">J408*(1+IF(K$3&lt;=$O$2,$D408,$D408-($D408-$I$400)*MIN(K$3-$O$2,$Q$2)/$Q$2))</f>
        <v>9490.33486779279</v>
      </c>
      <c r="L408" s="15" t="n">
        <f aca="false">K408*(1+IF(L$3&lt;=$O$2,$D408,$D408-($D408-$I$400)*MIN(L$3-$O$2,$Q$2)/$Q$2))</f>
        <v>9783.75229606777</v>
      </c>
      <c r="M408" s="15" t="n">
        <f aca="false">L408*(1+IF(M$3&lt;=$O$2,$D408,$D408-($D408-$I$400)*MIN(M$3-$O$2,$Q$2)/$Q$2))</f>
        <v>10097.8963526041</v>
      </c>
      <c r="N408" s="15" t="n">
        <f aca="false">M408*(1+IF(N$3&lt;=$O$2,$D408,$D408-($D408-$I$400)*MIN(N$3-$O$2,$Q$2)/$Q$2))</f>
        <v>10434.1563011459</v>
      </c>
      <c r="O408" s="15" t="n">
        <f aca="false">SUMPRODUCT(E408:N408,1/(1+$F$400)^$E$3:$N$3)*$E$2</f>
        <v>16999.7368419247</v>
      </c>
      <c r="P408" s="15" t="n">
        <f aca="false">N408*$E$2*(1+$I$400)/($F$400-$I$400)/(1+$F$400)^$N$3</f>
        <v>28539.7463083769</v>
      </c>
      <c r="Q408" s="15" t="n">
        <f aca="false">O408+P408</f>
        <v>45539.4831503016</v>
      </c>
      <c r="R408" s="15" t="n">
        <f aca="false">Q408-$G$2+$I$2</f>
        <v>43022.4831503016</v>
      </c>
      <c r="S408" s="42" t="n">
        <f aca="false">R408/$K$2</f>
        <v>99.3086264491518</v>
      </c>
      <c r="T408" s="43" t="n">
        <f aca="false">S408-$M$2</f>
        <v>-5.94967187502527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0.02734375</v>
      </c>
      <c r="C409" s="25" t="n">
        <f aca="false">IF(T408&gt;0,D408,C408)</f>
        <v>0.0390625</v>
      </c>
      <c r="D409" s="41" t="n">
        <f aca="false">(B409+C409)/2</f>
        <v>0.033203125</v>
      </c>
      <c r="E409" s="15" t="n">
        <f aca="false">$C$2*(1+IF(E$3&lt;=$O$2,$D409,$D409-($D409-$I$400)*MIN(E$3-$O$2,$Q$2)/$Q$2))</f>
        <v>8089.98046875</v>
      </c>
      <c r="F409" s="15" t="n">
        <f aca="false">E409*(1+IF(F$3&lt;=$O$2,$D409,$D409-($D409-$I$400)*MIN(F$3-$O$2,$Q$2)/$Q$2))</f>
        <v>8358.59310150147</v>
      </c>
      <c r="G409" s="15" t="n">
        <f aca="false">F409*(1+IF(G$3&lt;=$O$2,$D409,$D409-($D409-$I$400)*MIN(G$3-$O$2,$Q$2)/$Q$2))</f>
        <v>8636.12451307476</v>
      </c>
      <c r="H409" s="15" t="n">
        <f aca="false">G409*(1+IF(H$3&lt;=$O$2,$D409,$D409-($D409-$I$400)*MIN(H$3-$O$2,$Q$2)/$Q$2))</f>
        <v>8922.87083479794</v>
      </c>
      <c r="I409" s="15" t="n">
        <f aca="false">H409*(1+IF(I$3&lt;=$O$2,$D409,$D409-($D409-$I$400)*MIN(I$3-$O$2,$Q$2)/$Q$2))</f>
        <v>9219.13803048459</v>
      </c>
      <c r="J409" s="15" t="n">
        <f aca="false">I409*(1+IF(J$3&lt;=$O$2,$D409,$D409-($D409-$I$400)*MIN(J$3-$O$2,$Q$2)/$Q$2))</f>
        <v>9525.42084370236</v>
      </c>
      <c r="K409" s="15" t="n">
        <f aca="false">J409*(1+IF(K$3&lt;=$O$2,$D409,$D409-($D409-$I$400)*MIN(K$3-$O$2,$Q$2)/$Q$2))</f>
        <v>9842.06369271111</v>
      </c>
      <c r="L409" s="15" t="n">
        <f aca="false">K409*(1+IF(L$3&lt;=$O$2,$D409,$D409-($D409-$I$400)*MIN(L$3-$O$2,$Q$2)/$Q$2))</f>
        <v>10169.4230337103</v>
      </c>
      <c r="M409" s="15" t="n">
        <f aca="false">L409*(1+IF(M$3&lt;=$O$2,$D409,$D409-($D409-$I$400)*MIN(M$3-$O$2,$Q$2)/$Q$2))</f>
        <v>10507.8677881616</v>
      </c>
      <c r="N409" s="15" t="n">
        <f aca="false">M409*(1+IF(N$3&lt;=$O$2,$D409,$D409-($D409-$I$400)*MIN(N$3-$O$2,$Q$2)/$Q$2))</f>
        <v>10857.7797855074</v>
      </c>
      <c r="O409" s="15" t="n">
        <f aca="false">SUMPRODUCT(E409:N409,1/(1+$F$400)^$E$3:$N$3)*$E$2</f>
        <v>17441.9255662197</v>
      </c>
      <c r="P409" s="15" t="n">
        <f aca="false">N409*$E$2*(1+$I$400)/($F$400-$I$400)/(1+$F$400)^$N$3</f>
        <v>29698.4510876622</v>
      </c>
      <c r="Q409" s="15" t="n">
        <f aca="false">O409+P409</f>
        <v>47140.3766538818</v>
      </c>
      <c r="R409" s="15" t="n">
        <f aca="false">Q409-$G$2+$I$2</f>
        <v>44623.3766538818</v>
      </c>
      <c r="S409" s="42" t="n">
        <f aca="false">R409/$K$2</f>
        <v>103.003962545316</v>
      </c>
      <c r="T409" s="43" t="n">
        <f aca="false">S409-$M$2</f>
        <v>-2.25433577886101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0.033203125</v>
      </c>
      <c r="C410" s="25" t="n">
        <f aca="false">IF(T409&gt;0,D409,C409)</f>
        <v>0.0390625</v>
      </c>
      <c r="D410" s="41" t="n">
        <f aca="false">(B410+C410)/2</f>
        <v>0.0361328125</v>
      </c>
      <c r="E410" s="15" t="n">
        <f aca="false">$C$2*(1+IF(E$3&lt;=$O$2,$D410,$D410-($D410-$I$400)*MIN(E$3-$O$2,$Q$2)/$Q$2))</f>
        <v>8112.919921875</v>
      </c>
      <c r="F410" s="15" t="n">
        <f aca="false">E410*(1+IF(F$3&lt;=$O$2,$D410,$D410-($D410-$I$400)*MIN(F$3-$O$2,$Q$2)/$Q$2))</f>
        <v>8406.06253623962</v>
      </c>
      <c r="G410" s="15" t="n">
        <f aca="false">F410*(1+IF(G$3&lt;=$O$2,$D410,$D410-($D410-$I$400)*MIN(G$3-$O$2,$Q$2)/$Q$2))</f>
        <v>8709.79721772485</v>
      </c>
      <c r="H410" s="15" t="n">
        <f aca="false">G410*(1+IF(H$3&lt;=$O$2,$D410,$D410-($D410-$I$400)*MIN(H$3-$O$2,$Q$2)/$Q$2))</f>
        <v>9024.50668750592</v>
      </c>
      <c r="I410" s="15" t="n">
        <f aca="false">H410*(1+IF(I$3&lt;=$O$2,$D410,$D410-($D410-$I$400)*MIN(I$3-$O$2,$Q$2)/$Q$2))</f>
        <v>9350.58749555057</v>
      </c>
      <c r="J410" s="15" t="n">
        <f aca="false">I410*(1+IF(J$3&lt;=$O$2,$D410,$D410-($D410-$I$400)*MIN(J$3-$O$2,$Q$2)/$Q$2))</f>
        <v>9683.15282806419</v>
      </c>
      <c r="K410" s="15" t="n">
        <f aca="false">J410*(1+IF(K$3&lt;=$O$2,$D410,$D410-($D410-$I$400)*MIN(K$3-$O$2,$Q$2)/$Q$2))</f>
        <v>10022.0601510612</v>
      </c>
      <c r="L410" s="15" t="n">
        <f aca="false">K410*(1+IF(L$3&lt;=$O$2,$D410,$D410-($D410-$I$400)*MIN(L$3-$O$2,$Q$2)/$Q$2))</f>
        <v>10367.1510010002</v>
      </c>
      <c r="M410" s="15" t="n">
        <f aca="false">L410*(1+IF(M$3&lt;=$O$2,$D410,$D410-($D410-$I$400)*MIN(M$3-$O$2,$Q$2)/$Q$2))</f>
        <v>10718.2507683225</v>
      </c>
      <c r="N410" s="15" t="n">
        <f aca="false">M410*(1+IF(N$3&lt;=$O$2,$D410,$D410-($D410-$I$400)*MIN(N$3-$O$2,$Q$2)/$Q$2))</f>
        <v>11075.1685189076</v>
      </c>
      <c r="O410" s="15" t="n">
        <f aca="false">SUMPRODUCT(E410:N410,1/(1+$F$400)^$E$3:$N$3)*$E$2</f>
        <v>17667.3654668694</v>
      </c>
      <c r="P410" s="15" t="n">
        <f aca="false">N410*$E$2*(1+$I$400)/($F$400-$I$400)/(1+$F$400)^$N$3</f>
        <v>30293.0577930325</v>
      </c>
      <c r="Q410" s="15" t="n">
        <f aca="false">O410+P410</f>
        <v>47960.4232599019</v>
      </c>
      <c r="R410" s="15" t="n">
        <f aca="false">Q410-$G$2+$I$2</f>
        <v>45443.4232599019</v>
      </c>
      <c r="S410" s="42" t="n">
        <f aca="false">R410/$K$2</f>
        <v>104.896872858829</v>
      </c>
      <c r="T410" s="43" t="n">
        <f aca="false">S410-$M$2</f>
        <v>-0.361425465348077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0.0361328125</v>
      </c>
      <c r="C411" s="25" t="n">
        <f aca="false">IF(T410&gt;0,D410,C410)</f>
        <v>0.0390625</v>
      </c>
      <c r="D411" s="41" t="n">
        <f aca="false">(B411+C411)/2</f>
        <v>0.03759765625</v>
      </c>
      <c r="E411" s="15" t="n">
        <f aca="false">$C$2*(1+IF(E$3&lt;=$O$2,$D411,$D411-($D411-$I$400)*MIN(E$3-$O$2,$Q$2)/$Q$2))</f>
        <v>8124.3896484375</v>
      </c>
      <c r="F411" s="15" t="n">
        <f aca="false">E411*(1+IF(F$3&lt;=$O$2,$D411,$D411-($D411-$I$400)*MIN(F$3-$O$2,$Q$2)/$Q$2))</f>
        <v>8429.84765768051</v>
      </c>
      <c r="G411" s="15" t="n">
        <f aca="false">F411*(1+IF(G$3&lt;=$O$2,$D411,$D411-($D411-$I$400)*MIN(G$3-$O$2,$Q$2)/$Q$2))</f>
        <v>8746.79017215385</v>
      </c>
      <c r="H411" s="15" t="n">
        <f aca="false">G411*(1+IF(H$3&lt;=$O$2,$D411,$D411-($D411-$I$400)*MIN(H$3-$O$2,$Q$2)/$Q$2))</f>
        <v>9075.64898233737</v>
      </c>
      <c r="I411" s="15" t="n">
        <f aca="false">H411*(1+IF(I$3&lt;=$O$2,$D411,$D411-($D411-$I$400)*MIN(I$3-$O$2,$Q$2)/$Q$2))</f>
        <v>9416.87211302095</v>
      </c>
      <c r="J411" s="15" t="n">
        <f aca="false">I411*(1+IF(J$3&lt;=$O$2,$D411,$D411-($D411-$I$400)*MIN(J$3-$O$2,$Q$2)/$Q$2))</f>
        <v>9762.83033781813</v>
      </c>
      <c r="K411" s="15" t="n">
        <f aca="false">J411*(1+IF(K$3&lt;=$O$2,$D411,$D411-($D411-$I$400)*MIN(K$3-$O$2,$Q$2)/$Q$2))</f>
        <v>10113.1069613589</v>
      </c>
      <c r="L411" s="15" t="n">
        <f aca="false">K411*(1+IF(L$3&lt;=$O$2,$D411,$D411-($D411-$I$400)*MIN(L$3-$O$2,$Q$2)/$Q$2))</f>
        <v>10467.2584861079</v>
      </c>
      <c r="M411" s="15" t="n">
        <f aca="false">L411*(1+IF(M$3&lt;=$O$2,$D411,$D411-($D411-$I$400)*MIN(M$3-$O$2,$Q$2)/$Q$2))</f>
        <v>10824.8151294659</v>
      </c>
      <c r="N411" s="15" t="n">
        <f aca="false">M411*(1+IF(N$3&lt;=$O$2,$D411,$D411-($D411-$I$400)*MIN(N$3-$O$2,$Q$2)/$Q$2))</f>
        <v>11185.2814732771</v>
      </c>
      <c r="O411" s="15" t="n">
        <f aca="false">SUMPRODUCT(E411:N411,1/(1+$F$400)^$E$3:$N$3)*$E$2</f>
        <v>17781.187320411</v>
      </c>
      <c r="P411" s="15" t="n">
        <f aca="false">N411*$E$2*(1+$I$400)/($F$400-$I$400)/(1+$F$400)^$N$3</f>
        <v>30594.2412996114</v>
      </c>
      <c r="Q411" s="15" t="n">
        <f aca="false">O411+P411</f>
        <v>48375.4286200225</v>
      </c>
      <c r="R411" s="15" t="n">
        <f aca="false">Q411-$G$2+$I$2</f>
        <v>45858.4286200225</v>
      </c>
      <c r="S411" s="42" t="n">
        <f aca="false">R411/$K$2</f>
        <v>105.854828078165</v>
      </c>
      <c r="T411" s="43" t="n">
        <f aca="false">S411-$M$2</f>
        <v>0.596529753987454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0.0361328125</v>
      </c>
      <c r="C412" s="25" t="n">
        <f aca="false">IF(T411&gt;0,D411,C411)</f>
        <v>0.03759765625</v>
      </c>
      <c r="D412" s="41" t="n">
        <f aca="false">(B412+C412)/2</f>
        <v>0.036865234375</v>
      </c>
      <c r="E412" s="15" t="n">
        <f aca="false">$C$2*(1+IF(E$3&lt;=$O$2,$D412,$D412-($D412-$I$400)*MIN(E$3-$O$2,$Q$2)/$Q$2))</f>
        <v>8118.65478515625</v>
      </c>
      <c r="F412" s="15" t="n">
        <f aca="false">E412*(1+IF(F$3&lt;=$O$2,$D412,$D412-($D412-$I$400)*MIN(F$3-$O$2,$Q$2)/$Q$2))</f>
        <v>8417.95089662075</v>
      </c>
      <c r="G412" s="15" t="n">
        <f aca="false">F412*(1+IF(G$3&lt;=$O$2,$D412,$D412-($D412-$I$400)*MIN(G$3-$O$2,$Q$2)/$Q$2))</f>
        <v>8728.28062938192</v>
      </c>
      <c r="H412" s="15" t="n">
        <f aca="false">G412*(1+IF(H$3&lt;=$O$2,$D412,$D412-($D412-$I$400)*MIN(H$3-$O$2,$Q$2)/$Q$2))</f>
        <v>9050.05074047485</v>
      </c>
      <c r="I412" s="15" t="n">
        <f aca="false">H412*(1+IF(I$3&lt;=$O$2,$D412,$D412-($D412-$I$400)*MIN(I$3-$O$2,$Q$2)/$Q$2))</f>
        <v>9383.6829821281</v>
      </c>
      <c r="J412" s="15" t="n">
        <f aca="false">I412*(1+IF(J$3&lt;=$O$2,$D412,$D412-($D412-$I$400)*MIN(J$3-$O$2,$Q$2)/$Q$2))</f>
        <v>9722.92364873856</v>
      </c>
      <c r="K412" s="15" t="n">
        <f aca="false">J412*(1+IF(K$3&lt;=$O$2,$D412,$D412-($D412-$I$400)*MIN(K$3-$O$2,$Q$2)/$Q$2))</f>
        <v>10067.4957072123</v>
      </c>
      <c r="L412" s="15" t="n">
        <f aca="false">K412*(1+IF(L$3&lt;=$O$2,$D412,$D412-($D412-$I$400)*MIN(L$3-$O$2,$Q$2)/$Q$2))</f>
        <v>10417.1005069687</v>
      </c>
      <c r="M412" s="15" t="n">
        <f aca="false">L412*(1+IF(M$3&lt;=$O$2,$D412,$D412-($D412-$I$400)*MIN(M$3-$O$2,$Q$2)/$Q$2))</f>
        <v>10771.4178348138</v>
      </c>
      <c r="N412" s="15" t="n">
        <f aca="false">M412*(1+IF(N$3&lt;=$O$2,$D412,$D412-($D412-$I$400)*MIN(N$3-$O$2,$Q$2)/$Q$2))</f>
        <v>11130.1060487131</v>
      </c>
      <c r="O412" s="15" t="n">
        <f aca="false">SUMPRODUCT(E412:N412,1/(1+$F$400)^$E$3:$N$3)*$E$2</f>
        <v>17724.1841025262</v>
      </c>
      <c r="P412" s="15" t="n">
        <f aca="false">N412*$E$2*(1+$I$400)/($F$400-$I$400)/(1+$F$400)^$N$3</f>
        <v>30443.3241986915</v>
      </c>
      <c r="Q412" s="15" t="n">
        <f aca="false">O412+P412</f>
        <v>48167.5083012178</v>
      </c>
      <c r="R412" s="15" t="n">
        <f aca="false">Q412-$G$2+$I$2</f>
        <v>45650.5083012178</v>
      </c>
      <c r="S412" s="42" t="n">
        <f aca="false">R412/$K$2</f>
        <v>105.374886434647</v>
      </c>
      <c r="T412" s="43" t="n">
        <f aca="false">S412-$M$2</f>
        <v>0.116588110469849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0.0361328125</v>
      </c>
      <c r="C413" s="25" t="n">
        <f aca="false">IF(T412&gt;0,D412,C412)</f>
        <v>0.036865234375</v>
      </c>
      <c r="D413" s="41" t="n">
        <f aca="false">(B413+C413)/2</f>
        <v>0.0364990234375</v>
      </c>
      <c r="E413" s="15" t="n">
        <f aca="false">$C$2*(1+IF(E$3&lt;=$O$2,$D413,$D413-($D413-$I$400)*MIN(E$3-$O$2,$Q$2)/$Q$2))</f>
        <v>8115.78735351563</v>
      </c>
      <c r="F413" s="15" t="n">
        <f aca="false">E413*(1+IF(F$3&lt;=$O$2,$D413,$D413-($D413-$I$400)*MIN(F$3-$O$2,$Q$2)/$Q$2))</f>
        <v>8412.00566634536</v>
      </c>
      <c r="G413" s="15" t="n">
        <f aca="false">F413*(1+IF(G$3&lt;=$O$2,$D413,$D413-($D413-$I$400)*MIN(G$3-$O$2,$Q$2)/$Q$2))</f>
        <v>8719.03565831768</v>
      </c>
      <c r="H413" s="15" t="n">
        <f aca="false">G413*(1+IF(H$3&lt;=$O$2,$D413,$D413-($D413-$I$400)*MIN(H$3-$O$2,$Q$2)/$Q$2))</f>
        <v>9037.27194516302</v>
      </c>
      <c r="I413" s="15" t="n">
        <f aca="false">H413*(1+IF(I$3&lt;=$O$2,$D413,$D413-($D413-$I$400)*MIN(I$3-$O$2,$Q$2)/$Q$2))</f>
        <v>9367.12354570058</v>
      </c>
      <c r="J413" s="15" t="n">
        <f aca="false">I413*(1+IF(J$3&lt;=$O$2,$D413,$D413-($D413-$I$400)*MIN(J$3-$O$2,$Q$2)/$Q$2))</f>
        <v>9703.02127798413</v>
      </c>
      <c r="K413" s="15" t="n">
        <f aca="false">J413*(1+IF(K$3&lt;=$O$2,$D413,$D413-($D413-$I$400)*MIN(K$3-$O$2,$Q$2)/$Q$2))</f>
        <v>10044.7560020307</v>
      </c>
      <c r="L413" s="15" t="n">
        <f aca="false">K413*(1+IF(L$3&lt;=$O$2,$D413,$D413-($D413-$I$400)*MIN(L$3-$O$2,$Q$2)/$Q$2))</f>
        <v>10392.0997408481</v>
      </c>
      <c r="M413" s="15" t="n">
        <f aca="false">L413*(1+IF(M$3&lt;=$O$2,$D413,$D413-($D413-$I$400)*MIN(M$3-$O$2,$Q$2)/$Q$2))</f>
        <v>10744.8055763455</v>
      </c>
      <c r="N413" s="15" t="n">
        <f aca="false">M413*(1+IF(N$3&lt;=$O$2,$D413,$D413-($D413-$I$400)*MIN(N$3-$O$2,$Q$2)/$Q$2))</f>
        <v>11102.6076020378</v>
      </c>
      <c r="O413" s="15" t="n">
        <f aca="false">SUMPRODUCT(E413:N413,1/(1+$F$400)^$E$3:$N$3)*$E$2</f>
        <v>17695.7517469617</v>
      </c>
      <c r="P413" s="15" t="n">
        <f aca="false">N413*$E$2*(1+$I$400)/($F$400-$I$400)/(1+$F$400)^$N$3</f>
        <v>30368.1098095893</v>
      </c>
      <c r="Q413" s="15" t="n">
        <f aca="false">O413+P413</f>
        <v>48063.861556551</v>
      </c>
      <c r="R413" s="15" t="n">
        <f aca="false">Q413-$G$2+$I$2</f>
        <v>45546.861556551</v>
      </c>
      <c r="S413" s="42" t="n">
        <f aca="false">R413/$K$2</f>
        <v>105.135639066874</v>
      </c>
      <c r="T413" s="43" t="n">
        <f aca="false">S413-$M$2</f>
        <v>-0.122659257303397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0.0364990234375</v>
      </c>
      <c r="C414" s="25" t="n">
        <f aca="false">IF(T413&gt;0,D413,C413)</f>
        <v>0.036865234375</v>
      </c>
      <c r="D414" s="41" t="n">
        <f aca="false">(B414+C414)/2</f>
        <v>0.03668212890625</v>
      </c>
      <c r="E414" s="15" t="n">
        <f aca="false">$C$2*(1+IF(E$3&lt;=$O$2,$D414,$D414-($D414-$I$400)*MIN(E$3-$O$2,$Q$2)/$Q$2))</f>
        <v>8117.22106933594</v>
      </c>
      <c r="F414" s="15" t="n">
        <f aca="false">E414*(1+IF(F$3&lt;=$O$2,$D414,$D414-($D414-$I$400)*MIN(F$3-$O$2,$Q$2)/$Q$2))</f>
        <v>8414.97801896185</v>
      </c>
      <c r="G414" s="15" t="n">
        <f aca="false">F414*(1+IF(G$3&lt;=$O$2,$D414,$D414-($D414-$I$400)*MIN(G$3-$O$2,$Q$2)/$Q$2))</f>
        <v>8723.65732739667</v>
      </c>
      <c r="H414" s="15" t="n">
        <f aca="false">G414*(1+IF(H$3&lt;=$O$2,$D414,$D414-($D414-$I$400)*MIN(H$3-$O$2,$Q$2)/$Q$2))</f>
        <v>9043.65965001418</v>
      </c>
      <c r="I414" s="15" t="n">
        <f aca="false">H414*(1+IF(I$3&lt;=$O$2,$D414,$D414-($D414-$I$400)*MIN(I$3-$O$2,$Q$2)/$Q$2))</f>
        <v>9375.40033908025</v>
      </c>
      <c r="J414" s="15" t="n">
        <f aca="false">I414*(1+IF(J$3&lt;=$O$2,$D414,$D414-($D414-$I$400)*MIN(J$3-$O$2,$Q$2)/$Q$2))</f>
        <v>9712.9682203672</v>
      </c>
      <c r="K414" s="15" t="n">
        <f aca="false">J414*(1+IF(K$3&lt;=$O$2,$D414,$D414-($D414-$I$400)*MIN(K$3-$O$2,$Q$2)/$Q$2))</f>
        <v>10056.1203684556</v>
      </c>
      <c r="L414" s="15" t="n">
        <f aca="false">K414*(1+IF(L$3&lt;=$O$2,$D414,$D414-($D414-$I$400)*MIN(L$3-$O$2,$Q$2)/$Q$2))</f>
        <v>10404.5936148783</v>
      </c>
      <c r="M414" s="15" t="n">
        <f aca="false">L414*(1+IF(M$3&lt;=$O$2,$D414,$D414-($D414-$I$400)*MIN(M$3-$O$2,$Q$2)/$Q$2))</f>
        <v>10758.1045176183</v>
      </c>
      <c r="N414" s="15" t="n">
        <f aca="false">M414*(1+IF(N$3&lt;=$O$2,$D414,$D414-($D414-$I$400)*MIN(N$3-$O$2,$Q$2)/$Q$2))</f>
        <v>11116.349398055</v>
      </c>
      <c r="O414" s="15" t="n">
        <f aca="false">SUMPRODUCT(E414:N414,1/(1+$F$400)^$E$3:$N$3)*$E$2</f>
        <v>17709.9621609333</v>
      </c>
      <c r="P414" s="15" t="n">
        <f aca="false">N414*$E$2*(1+$I$400)/($F$400-$I$400)/(1+$F$400)^$N$3</f>
        <v>30405.6966887611</v>
      </c>
      <c r="Q414" s="15" t="n">
        <f aca="false">O414+P414</f>
        <v>48115.6588496944</v>
      </c>
      <c r="R414" s="15" t="n">
        <f aca="false">Q414-$G$2+$I$2</f>
        <v>45598.6588496944</v>
      </c>
      <c r="S414" s="42" t="n">
        <f aca="false">R414/$K$2</f>
        <v>105.25520255227</v>
      </c>
      <c r="T414" s="43" t="n">
        <f aca="false">S414-$M$2</f>
        <v>-0.00309577190712673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0.03668212890625</v>
      </c>
      <c r="C415" s="25" t="n">
        <f aca="false">IF(T414&gt;0,D414,C414)</f>
        <v>0.036865234375</v>
      </c>
      <c r="D415" s="41" t="n">
        <f aca="false">(B415+C415)/2</f>
        <v>0.036773681640625</v>
      </c>
      <c r="E415" s="15" t="n">
        <f aca="false">$C$2*(1+IF(E$3&lt;=$O$2,$D415,$D415-($D415-$I$400)*MIN(E$3-$O$2,$Q$2)/$Q$2))</f>
        <v>8117.93792724609</v>
      </c>
      <c r="F415" s="15" t="n">
        <f aca="false">E415*(1+IF(F$3&lt;=$O$2,$D415,$D415-($D415-$I$400)*MIN(F$3-$O$2,$Q$2)/$Q$2))</f>
        <v>8416.464392161</v>
      </c>
      <c r="G415" s="15" t="n">
        <f aca="false">F415*(1+IF(G$3&lt;=$O$2,$D415,$D415-($D415-$I$400)*MIN(G$3-$O$2,$Q$2)/$Q$2))</f>
        <v>8725.96877425798</v>
      </c>
      <c r="H415" s="15" t="n">
        <f aca="false">G415*(1+IF(H$3&lt;=$O$2,$D415,$D415-($D415-$I$400)*MIN(H$3-$O$2,$Q$2)/$Q$2))</f>
        <v>9046.85477196858</v>
      </c>
      <c r="I415" s="15" t="n">
        <f aca="false">H415*(1+IF(I$3&lt;=$O$2,$D415,$D415-($D415-$I$400)*MIN(I$3-$O$2,$Q$2)/$Q$2))</f>
        <v>9379.54092920192</v>
      </c>
      <c r="J415" s="15" t="n">
        <f aca="false">I415*(1+IF(J$3&lt;=$O$2,$D415,$D415-($D415-$I$400)*MIN(J$3-$O$2,$Q$2)/$Q$2))</f>
        <v>9717.94487344295</v>
      </c>
      <c r="K415" s="15" t="n">
        <f aca="false">J415*(1+IF(K$3&lt;=$O$2,$D415,$D415-($D415-$I$400)*MIN(K$3-$O$2,$Q$2)/$Q$2))</f>
        <v>10061.8066657435</v>
      </c>
      <c r="L415" s="15" t="n">
        <f aca="false">K415*(1+IF(L$3&lt;=$O$2,$D415,$D415-($D415-$I$400)*MIN(L$3-$O$2,$Q$2)/$Q$2))</f>
        <v>10410.8454329473</v>
      </c>
      <c r="M415" s="15" t="n">
        <f aca="false">L415*(1+IF(M$3&lt;=$O$2,$D415,$D415-($D415-$I$400)*MIN(M$3-$O$2,$Q$2)/$Q$2))</f>
        <v>10764.7593783932</v>
      </c>
      <c r="N415" s="15" t="n">
        <f aca="false">M415*(1+IF(N$3&lt;=$O$2,$D415,$D415-($D415-$I$400)*MIN(N$3-$O$2,$Q$2)/$Q$2))</f>
        <v>11123.2258656937</v>
      </c>
      <c r="O415" s="15" t="n">
        <f aca="false">SUMPRODUCT(E415:N415,1/(1+$F$400)^$E$3:$N$3)*$E$2</f>
        <v>17717.0716902297</v>
      </c>
      <c r="P415" s="15" t="n">
        <f aca="false">N415*$E$2*(1+$I$400)/($F$400-$I$400)/(1+$F$400)^$N$3</f>
        <v>30424.5053625285</v>
      </c>
      <c r="Q415" s="15" t="n">
        <f aca="false">O415+P415</f>
        <v>48141.5770527582</v>
      </c>
      <c r="R415" s="15" t="n">
        <f aca="false">Q415-$G$2+$I$2</f>
        <v>45624.5770527582</v>
      </c>
      <c r="S415" s="42" t="n">
        <f aca="false">R415/$K$2</f>
        <v>105.315029437141</v>
      </c>
      <c r="T415" s="43" t="n">
        <f aca="false">S415-$M$2</f>
        <v>0.0567311129638313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0.03668212890625</v>
      </c>
      <c r="C416" s="25" t="n">
        <f aca="false">IF(T415&gt;0,D415,C415)</f>
        <v>0.036773681640625</v>
      </c>
      <c r="D416" s="41" t="n">
        <f aca="false">(B416+C416)/2</f>
        <v>0.0367279052734375</v>
      </c>
      <c r="E416" s="15" t="n">
        <f aca="false">$C$2*(1+IF(E$3&lt;=$O$2,$D416,$D416-($D416-$I$400)*MIN(E$3-$O$2,$Q$2)/$Q$2))</f>
        <v>8117.57949829102</v>
      </c>
      <c r="F416" s="15" t="n">
        <f aca="false">E416*(1+IF(F$3&lt;=$O$2,$D416,$D416-($D416-$I$400)*MIN(F$3-$O$2,$Q$2)/$Q$2))</f>
        <v>8415.72118915385</v>
      </c>
      <c r="G416" s="15" t="n">
        <f aca="false">F416*(1+IF(G$3&lt;=$O$2,$D416,$D416-($D416-$I$400)*MIN(G$3-$O$2,$Q$2)/$Q$2))</f>
        <v>8724.81299979675</v>
      </c>
      <c r="H416" s="15" t="n">
        <f aca="false">G416*(1+IF(H$3&lt;=$O$2,$D416,$D416-($D416-$I$400)*MIN(H$3-$O$2,$Q$2)/$Q$2))</f>
        <v>9045.25710518174</v>
      </c>
      <c r="I416" s="15" t="n">
        <f aca="false">H416*(1+IF(I$3&lt;=$O$2,$D416,$D416-($D416-$I$400)*MIN(I$3-$O$2,$Q$2)/$Q$2))</f>
        <v>9377.47045131474</v>
      </c>
      <c r="J416" s="15" t="n">
        <f aca="false">I416*(1+IF(J$3&lt;=$O$2,$D416,$D416-($D416-$I$400)*MIN(J$3-$O$2,$Q$2)/$Q$2))</f>
        <v>9715.45628167278</v>
      </c>
      <c r="K416" s="15" t="n">
        <f aca="false">J416*(1+IF(K$3&lt;=$O$2,$D416,$D416-($D416-$I$400)*MIN(K$3-$O$2,$Q$2)/$Q$2))</f>
        <v>10058.9631741456</v>
      </c>
      <c r="L416" s="15" t="n">
        <f aca="false">K416*(1+IF(L$3&lt;=$O$2,$D416,$D416-($D416-$I$400)*MIN(L$3-$O$2,$Q$2)/$Q$2))</f>
        <v>10407.7191170086</v>
      </c>
      <c r="M416" s="15" t="n">
        <f aca="false">L416*(1+IF(M$3&lt;=$O$2,$D416,$D416-($D416-$I$400)*MIN(M$3-$O$2,$Q$2)/$Q$2))</f>
        <v>10761.4314986541</v>
      </c>
      <c r="N416" s="15" t="n">
        <f aca="false">M416*(1+IF(N$3&lt;=$O$2,$D416,$D416-($D416-$I$400)*MIN(N$3-$O$2,$Q$2)/$Q$2))</f>
        <v>11119.7871675593</v>
      </c>
      <c r="O416" s="15" t="n">
        <f aca="false">SUMPRODUCT(E416:N416,1/(1+$F$400)^$E$3:$N$3)*$E$2</f>
        <v>17713.5165652749</v>
      </c>
      <c r="P416" s="15" t="n">
        <f aca="false">N416*$E$2*(1+$I$400)/($F$400-$I$400)/(1+$F$400)^$N$3</f>
        <v>30415.0997556396</v>
      </c>
      <c r="Q416" s="15" t="n">
        <f aca="false">O416+P416</f>
        <v>48128.6163209145</v>
      </c>
      <c r="R416" s="15" t="n">
        <f aca="false">Q416-$G$2+$I$2</f>
        <v>45611.6163209145</v>
      </c>
      <c r="S416" s="42" t="n">
        <f aca="false">R416/$K$2</f>
        <v>105.285112231463</v>
      </c>
      <c r="T416" s="43" t="n">
        <f aca="false">S416-$M$2</f>
        <v>0.0268139072860265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0.03668212890625</v>
      </c>
      <c r="C417" s="25" t="n">
        <f aca="false">IF(T416&gt;0,D416,C416)</f>
        <v>0.0367279052734375</v>
      </c>
      <c r="D417" s="41" t="n">
        <f aca="false">(B417+C417)/2</f>
        <v>0.0367050170898438</v>
      </c>
      <c r="E417" s="15" t="n">
        <f aca="false">$C$2*(1+IF(E$3&lt;=$O$2,$D417,$D417-($D417-$I$400)*MIN(E$3-$O$2,$Q$2)/$Q$2))</f>
        <v>8117.40028381348</v>
      </c>
      <c r="F417" s="15" t="n">
        <f aca="false">E417*(1+IF(F$3&lt;=$O$2,$D417,$D417-($D417-$I$400)*MIN(F$3-$O$2,$Q$2)/$Q$2))</f>
        <v>8415.34959995595</v>
      </c>
      <c r="G417" s="15" t="n">
        <f aca="false">F417*(1+IF(G$3&lt;=$O$2,$D417,$D417-($D417-$I$400)*MIN(G$3-$O$2,$Q$2)/$Q$2))</f>
        <v>8724.23515083935</v>
      </c>
      <c r="H417" s="15" t="n">
        <f aca="false">G417*(1+IF(H$3&lt;=$O$2,$D417,$D417-($D417-$I$400)*MIN(H$3-$O$2,$Q$2)/$Q$2))</f>
        <v>9044.45835114672</v>
      </c>
      <c r="I417" s="15" t="n">
        <f aca="false">H417*(1+IF(I$3&lt;=$O$2,$D417,$D417-($D417-$I$400)*MIN(I$3-$O$2,$Q$2)/$Q$2))</f>
        <v>9376.43534949394</v>
      </c>
      <c r="J417" s="15" t="n">
        <f aca="false">I417*(1+IF(J$3&lt;=$O$2,$D417,$D417-($D417-$I$400)*MIN(J$3-$O$2,$Q$2)/$Q$2))</f>
        <v>9714.21218471756</v>
      </c>
      <c r="K417" s="15" t="n">
        <f aca="false">J417*(1+IF(K$3&lt;=$O$2,$D417,$D417-($D417-$I$400)*MIN(K$3-$O$2,$Q$2)/$Q$2))</f>
        <v>10057.5416855707</v>
      </c>
      <c r="L417" s="15" t="n">
        <f aca="false">K417*(1+IF(L$3&lt;=$O$2,$D417,$D417-($D417-$I$400)*MIN(L$3-$O$2,$Q$2)/$Q$2))</f>
        <v>10406.1562642286</v>
      </c>
      <c r="M417" s="15" t="n">
        <f aca="false">L417*(1+IF(M$3&lt;=$O$2,$D417,$D417-($D417-$I$400)*MIN(M$3-$O$2,$Q$2)/$Q$2))</f>
        <v>10759.7678958113</v>
      </c>
      <c r="N417" s="15" t="n">
        <f aca="false">M417*(1+IF(N$3&lt;=$O$2,$D417,$D417-($D417-$I$400)*MIN(N$3-$O$2,$Q$2)/$Q$2))</f>
        <v>11118.0681667418</v>
      </c>
      <c r="O417" s="15" t="n">
        <f aca="false">SUMPRODUCT(E417:N417,1/(1+$F$400)^$E$3:$N$3)*$E$2</f>
        <v>17711.739273036</v>
      </c>
      <c r="P417" s="15" t="n">
        <f aca="false">N417*$E$2*(1+$I$400)/($F$400-$I$400)/(1+$F$400)^$N$3</f>
        <v>30410.3979047358</v>
      </c>
      <c r="Q417" s="15" t="n">
        <f aca="false">O417+P417</f>
        <v>48122.1371777718</v>
      </c>
      <c r="R417" s="15" t="n">
        <f aca="false">Q417-$G$2+$I$2</f>
        <v>45605.1371777718</v>
      </c>
      <c r="S417" s="42" t="n">
        <f aca="false">R417/$K$2</f>
        <v>105.270156451161</v>
      </c>
      <c r="T417" s="43" t="n">
        <f aca="false">S417-$M$2</f>
        <v>0.0118581269835261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0.03668212890625</v>
      </c>
      <c r="C418" s="25" t="n">
        <f aca="false">IF(T417&gt;0,D417,C417)</f>
        <v>0.0367050170898438</v>
      </c>
      <c r="D418" s="41" t="n">
        <f aca="false">(B418+C418)/2</f>
        <v>0.0366935729980469</v>
      </c>
      <c r="E418" s="15" t="n">
        <f aca="false">$C$2*(1+IF(E$3&lt;=$O$2,$D418,$D418-($D418-$I$400)*MIN(E$3-$O$2,$Q$2)/$Q$2))</f>
        <v>8117.31067657471</v>
      </c>
      <c r="F418" s="15" t="n">
        <f aca="false">E418*(1+IF(F$3&lt;=$O$2,$D418,$D418-($D418-$I$400)*MIN(F$3-$O$2,$Q$2)/$Q$2))</f>
        <v>8415.16380843343</v>
      </c>
      <c r="G418" s="15" t="n">
        <f aca="false">F418*(1+IF(G$3&lt;=$O$2,$D418,$D418-($D418-$I$400)*MIN(G$3-$O$2,$Q$2)/$Q$2))</f>
        <v>8723.9462359287</v>
      </c>
      <c r="H418" s="15" t="n">
        <f aca="false">G418*(1+IF(H$3&lt;=$O$2,$D418,$D418-($D418-$I$400)*MIN(H$3-$O$2,$Q$2)/$Q$2))</f>
        <v>9044.05899396779</v>
      </c>
      <c r="I418" s="15" t="n">
        <f aca="false">H418*(1+IF(I$3&lt;=$O$2,$D418,$D418-($D418-$I$400)*MIN(I$3-$O$2,$Q$2)/$Q$2))</f>
        <v>9375.91783286159</v>
      </c>
      <c r="J418" s="15" t="n">
        <f aca="false">I418*(1+IF(J$3&lt;=$O$2,$D418,$D418-($D418-$I$400)*MIN(J$3-$O$2,$Q$2)/$Q$2))</f>
        <v>9713.59018596748</v>
      </c>
      <c r="K418" s="15" t="n">
        <f aca="false">J418*(1+IF(K$3&lt;=$O$2,$D418,$D418-($D418-$I$400)*MIN(K$3-$O$2,$Q$2)/$Q$2))</f>
        <v>10056.8310055817</v>
      </c>
      <c r="L418" s="15" t="n">
        <f aca="false">K418*(1+IF(L$3&lt;=$O$2,$D418,$D418-($D418-$I$400)*MIN(L$3-$O$2,$Q$2)/$Q$2))</f>
        <v>10405.3749141262</v>
      </c>
      <c r="M418" s="15" t="n">
        <f aca="false">L418*(1+IF(M$3&lt;=$O$2,$D418,$D418-($D418-$I$400)*MIN(M$3-$O$2,$Q$2)/$Q$2))</f>
        <v>10758.9361786352</v>
      </c>
      <c r="N418" s="15" t="n">
        <f aca="false">M418*(1+IF(N$3&lt;=$O$2,$D418,$D418-($D418-$I$400)*MIN(N$3-$O$2,$Q$2)/$Q$2))</f>
        <v>11117.2087533838</v>
      </c>
      <c r="O418" s="15" t="n">
        <f aca="false">SUMPRODUCT(E418:N418,1/(1+$F$400)^$E$3:$N$3)*$E$2</f>
        <v>17710.8506944687</v>
      </c>
      <c r="P418" s="15" t="n">
        <f aca="false">N418*$E$2*(1+$I$400)/($F$400-$I$400)/(1+$F$400)^$N$3</f>
        <v>30408.0472173869</v>
      </c>
      <c r="Q418" s="15" t="n">
        <f aca="false">O418+P418</f>
        <v>48118.8979118556</v>
      </c>
      <c r="R418" s="15" t="n">
        <f aca="false">Q418-$G$2+$I$2</f>
        <v>45601.8979118556</v>
      </c>
      <c r="S418" s="42" t="n">
        <f aca="false">R418/$K$2</f>
        <v>105.262679266552</v>
      </c>
      <c r="T418" s="43" t="n">
        <f aca="false">S418-$M$2</f>
        <v>0.00438094237476605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0.03668212890625</v>
      </c>
      <c r="C419" s="25" t="n">
        <f aca="false">IF(T418&gt;0,D418,C418)</f>
        <v>0.0366935729980469</v>
      </c>
      <c r="D419" s="41" t="n">
        <f aca="false">(B419+C419)/2</f>
        <v>0.0366878509521484</v>
      </c>
      <c r="E419" s="15" t="n">
        <f aca="false">$C$2*(1+IF(E$3&lt;=$O$2,$D419,$D419-($D419-$I$400)*MIN(E$3-$O$2,$Q$2)/$Q$2))</f>
        <v>8117.26587295532</v>
      </c>
      <c r="F419" s="15" t="n">
        <f aca="false">E419*(1+IF(F$3&lt;=$O$2,$D419,$D419-($D419-$I$400)*MIN(F$3-$O$2,$Q$2)/$Q$2))</f>
        <v>8415.07091344127</v>
      </c>
      <c r="G419" s="15" t="n">
        <f aca="false">F419*(1+IF(G$3&lt;=$O$2,$D419,$D419-($D419-$I$400)*MIN(G$3-$O$2,$Q$2)/$Q$2))</f>
        <v>8723.80178086536</v>
      </c>
      <c r="H419" s="15" t="n">
        <f aca="false">G419*(1+IF(H$3&lt;=$O$2,$D419,$D419-($D419-$I$400)*MIN(H$3-$O$2,$Q$2)/$Q$2))</f>
        <v>9043.85932033784</v>
      </c>
      <c r="I419" s="15" t="n">
        <f aca="false">H419*(1+IF(I$3&lt;=$O$2,$D419,$D419-($D419-$I$400)*MIN(I$3-$O$2,$Q$2)/$Q$2))</f>
        <v>9375.65908311459</v>
      </c>
      <c r="J419" s="15" t="n">
        <f aca="false">I419*(1+IF(J$3&lt;=$O$2,$D419,$D419-($D419-$I$400)*MIN(J$3-$O$2,$Q$2)/$Q$2))</f>
        <v>9713.2791990237</v>
      </c>
      <c r="K419" s="15" t="n">
        <f aca="false">J419*(1+IF(K$3&lt;=$O$2,$D419,$D419-($D419-$I$400)*MIN(K$3-$O$2,$Q$2)/$Q$2))</f>
        <v>10056.4756816609</v>
      </c>
      <c r="L419" s="15" t="n">
        <f aca="false">K419*(1+IF(L$3&lt;=$O$2,$D419,$D419-($D419-$I$400)*MIN(L$3-$O$2,$Q$2)/$Q$2))</f>
        <v>10404.9842581456</v>
      </c>
      <c r="M419" s="15" t="n">
        <f aca="false">L419*(1+IF(M$3&lt;=$O$2,$D419,$D419-($D419-$I$400)*MIN(M$3-$O$2,$Q$2)/$Q$2))</f>
        <v>10758.520341107</v>
      </c>
      <c r="N419" s="15" t="n">
        <f aca="false">M419*(1+IF(N$3&lt;=$O$2,$D419,$D419-($D419-$I$400)*MIN(N$3-$O$2,$Q$2)/$Q$2))</f>
        <v>11116.7790684659</v>
      </c>
      <c r="O419" s="15" t="n">
        <f aca="false">SUMPRODUCT(E419:N419,1/(1+$F$400)^$E$3:$N$3)*$E$2</f>
        <v>17710.4064220721</v>
      </c>
      <c r="P419" s="15" t="n">
        <f aca="false">N419*$E$2*(1+$I$400)/($F$400-$I$400)/(1+$F$400)^$N$3</f>
        <v>30406.8719332342</v>
      </c>
      <c r="Q419" s="15" t="n">
        <f aca="false">O419+P419</f>
        <v>48117.2783553064</v>
      </c>
      <c r="R419" s="15" t="n">
        <f aca="false">Q419-$G$2+$I$2</f>
        <v>45600.2783553064</v>
      </c>
      <c r="S419" s="42" t="n">
        <f aca="false">R419/$K$2</f>
        <v>105.258940850622</v>
      </c>
      <c r="T419" s="43" t="n">
        <f aca="false">S419-$M$2</f>
        <v>0.000642526444622149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0.03668212890625</v>
      </c>
      <c r="C420" s="25" t="n">
        <f aca="false">IF(T419&gt;0,D419,C419)</f>
        <v>0.0366878509521484</v>
      </c>
      <c r="D420" s="41" t="n">
        <f aca="false">(B420+C420)/2</f>
        <v>0.0366849899291992</v>
      </c>
      <c r="E420" s="15" t="n">
        <f aca="false">$C$2*(1+IF(E$3&lt;=$O$2,$D420,$D420-($D420-$I$400)*MIN(E$3-$O$2,$Q$2)/$Q$2))</f>
        <v>8117.24347114563</v>
      </c>
      <c r="F420" s="15" t="n">
        <f aca="false">E420*(1+IF(F$3&lt;=$O$2,$D420,$D420-($D420-$I$400)*MIN(F$3-$O$2,$Q$2)/$Q$2))</f>
        <v>8415.02446613747</v>
      </c>
      <c r="G420" s="15" t="n">
        <f aca="false">F420*(1+IF(G$3&lt;=$O$2,$D420,$D420-($D420-$I$400)*MIN(G$3-$O$2,$Q$2)/$Q$2))</f>
        <v>8723.72955393168</v>
      </c>
      <c r="H420" s="15" t="n">
        <f aca="false">G420*(1+IF(H$3&lt;=$O$2,$D420,$D420-($D420-$I$400)*MIN(H$3-$O$2,$Q$2)/$Q$2))</f>
        <v>9043.75948476273</v>
      </c>
      <c r="I420" s="15" t="n">
        <f aca="false">H420*(1+IF(I$3&lt;=$O$2,$D420,$D420-($D420-$I$400)*MIN(I$3-$O$2,$Q$2)/$Q$2))</f>
        <v>9375.52971038335</v>
      </c>
      <c r="J420" s="15" t="n">
        <f aca="false">I420*(1+IF(J$3&lt;=$O$2,$D420,$D420-($D420-$I$400)*MIN(J$3-$O$2,$Q$2)/$Q$2))</f>
        <v>9713.12370865956</v>
      </c>
      <c r="K420" s="15" t="n">
        <f aca="false">J420*(1+IF(K$3&lt;=$O$2,$D420,$D420-($D420-$I$400)*MIN(K$3-$O$2,$Q$2)/$Q$2))</f>
        <v>10056.2980237188</v>
      </c>
      <c r="L420" s="15" t="n">
        <f aca="false">K420*(1+IF(L$3&lt;=$O$2,$D420,$D420-($D420-$I$400)*MIN(L$3-$O$2,$Q$2)/$Q$2))</f>
        <v>10404.7889349228</v>
      </c>
      <c r="M420" s="15" t="n">
        <f aca="false">L420*(1+IF(M$3&lt;=$O$2,$D420,$D420-($D420-$I$400)*MIN(M$3-$O$2,$Q$2)/$Q$2))</f>
        <v>10758.3124276078</v>
      </c>
      <c r="N420" s="15" t="n">
        <f aca="false">M420*(1+IF(N$3&lt;=$O$2,$D420,$D420-($D420-$I$400)*MIN(N$3-$O$2,$Q$2)/$Q$2))</f>
        <v>11116.5642314471</v>
      </c>
      <c r="O420" s="15" t="n">
        <f aca="false">SUMPRODUCT(E420:N420,1/(1+$F$400)^$E$3:$N$3)*$E$2</f>
        <v>17710.1842900955</v>
      </c>
      <c r="P420" s="15" t="n">
        <f aca="false">N420*$E$2*(1+$I$400)/($F$400-$I$400)/(1+$F$400)^$N$3</f>
        <v>30406.2843060378</v>
      </c>
      <c r="Q420" s="15" t="n">
        <f aca="false">O420+P420</f>
        <v>48116.4685961333</v>
      </c>
      <c r="R420" s="15" t="n">
        <f aca="false">Q420-$G$2+$I$2</f>
        <v>45599.4685961333</v>
      </c>
      <c r="S420" s="42" t="n">
        <f aca="false">R420/$K$2</f>
        <v>105.257071686749</v>
      </c>
      <c r="T420" s="43" t="n">
        <f aca="false">S420-$M$2</f>
        <v>-0.00122663742834561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0.0366849899291992</v>
      </c>
      <c r="C421" s="25" t="n">
        <f aca="false">IF(T420&gt;0,D420,C420)</f>
        <v>0.0366878509521484</v>
      </c>
      <c r="D421" s="41" t="n">
        <f aca="false">(B421+C421)/2</f>
        <v>0.0366864204406738</v>
      </c>
      <c r="E421" s="15" t="n">
        <f aca="false">$C$2*(1+IF(E$3&lt;=$O$2,$D421,$D421-($D421-$I$400)*MIN(E$3-$O$2,$Q$2)/$Q$2))</f>
        <v>8117.25467205048</v>
      </c>
      <c r="F421" s="15" t="n">
        <f aca="false">E421*(1+IF(F$3&lt;=$O$2,$D421,$D421-($D421-$I$400)*MIN(F$3-$O$2,$Q$2)/$Q$2))</f>
        <v>8415.04768977334</v>
      </c>
      <c r="G421" s="15" t="n">
        <f aca="false">F421*(1+IF(G$3&lt;=$O$2,$D421,$D421-($D421-$I$400)*MIN(G$3-$O$2,$Q$2)/$Q$2))</f>
        <v>8723.76566734869</v>
      </c>
      <c r="H421" s="15" t="n">
        <f aca="false">G421*(1+IF(H$3&lt;=$O$2,$D421,$D421-($D421-$I$400)*MIN(H$3-$O$2,$Q$2)/$Q$2))</f>
        <v>9043.80940244696</v>
      </c>
      <c r="I421" s="15" t="n">
        <f aca="false">H421*(1+IF(I$3&lt;=$O$2,$D421,$D421-($D421-$I$400)*MIN(I$3-$O$2,$Q$2)/$Q$2))</f>
        <v>9375.59439657045</v>
      </c>
      <c r="J421" s="15" t="n">
        <f aca="false">I421*(1+IF(J$3&lt;=$O$2,$D421,$D421-($D421-$I$400)*MIN(J$3-$O$2,$Q$2)/$Q$2))</f>
        <v>9713.20145358266</v>
      </c>
      <c r="K421" s="15" t="n">
        <f aca="false">J421*(1+IF(K$3&lt;=$O$2,$D421,$D421-($D421-$I$400)*MIN(K$3-$O$2,$Q$2)/$Q$2))</f>
        <v>10056.386852355</v>
      </c>
      <c r="L421" s="15" t="n">
        <f aca="false">K421*(1+IF(L$3&lt;=$O$2,$D421,$D421-($D421-$I$400)*MIN(L$3-$O$2,$Q$2)/$Q$2))</f>
        <v>10404.8865961369</v>
      </c>
      <c r="M421" s="15" t="n">
        <f aca="false">L421*(1+IF(M$3&lt;=$O$2,$D421,$D421-($D421-$I$400)*MIN(M$3-$O$2,$Q$2)/$Q$2))</f>
        <v>10758.4163839187</v>
      </c>
      <c r="N421" s="15" t="n">
        <f aca="false">M421*(1+IF(N$3&lt;=$O$2,$D421,$D421-($D421-$I$400)*MIN(N$3-$O$2,$Q$2)/$Q$2))</f>
        <v>11116.6716495032</v>
      </c>
      <c r="O421" s="15" t="n">
        <f aca="false">SUMPRODUCT(E421:N421,1/(1+$F$400)^$E$3:$N$3)*$E$2</f>
        <v>17710.295355732</v>
      </c>
      <c r="P421" s="15" t="n">
        <f aca="false">N421*$E$2*(1+$I$400)/($F$400-$I$400)/(1+$F$400)^$N$3</f>
        <v>30406.5781183961</v>
      </c>
      <c r="Q421" s="15" t="n">
        <f aca="false">O421+P421</f>
        <v>48116.8734741281</v>
      </c>
      <c r="R421" s="15" t="n">
        <f aca="false">Q421-$G$2+$I$2</f>
        <v>45599.8734741281</v>
      </c>
      <c r="S421" s="42" t="n">
        <f aca="false">R421/$K$2</f>
        <v>105.258006265011</v>
      </c>
      <c r="T421" s="43" t="n">
        <f aca="false">S421-$M$2</f>
        <v>-0.000292059166142167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0.0366864204406738</v>
      </c>
      <c r="C422" s="25" t="n">
        <f aca="false">IF(T421&gt;0,D421,C421)</f>
        <v>0.0366878509521484</v>
      </c>
      <c r="D422" s="41" t="n">
        <f aca="false">(B422+C422)/2</f>
        <v>0.0366871356964111</v>
      </c>
      <c r="E422" s="15" t="n">
        <f aca="false">$C$2*(1+IF(E$3&lt;=$O$2,$D422,$D422-($D422-$I$400)*MIN(E$3-$O$2,$Q$2)/$Q$2))</f>
        <v>8117.2602725029</v>
      </c>
      <c r="F422" s="15" t="n">
        <f aca="false">E422*(1+IF(F$3&lt;=$O$2,$D422,$D422-($D422-$I$400)*MIN(F$3-$O$2,$Q$2)/$Q$2))</f>
        <v>8415.0593016033</v>
      </c>
      <c r="G422" s="15" t="n">
        <f aca="false">F422*(1+IF(G$3&lt;=$O$2,$D422,$D422-($D422-$I$400)*MIN(G$3-$O$2,$Q$2)/$Q$2))</f>
        <v>8723.78372409457</v>
      </c>
      <c r="H422" s="15" t="n">
        <f aca="false">G422*(1+IF(H$3&lt;=$O$2,$D422,$D422-($D422-$I$400)*MIN(H$3-$O$2,$Q$2)/$Q$2))</f>
        <v>9043.83436136657</v>
      </c>
      <c r="I422" s="15" t="n">
        <f aca="false">H422*(1+IF(I$3&lt;=$O$2,$D422,$D422-($D422-$I$400)*MIN(I$3-$O$2,$Q$2)/$Q$2))</f>
        <v>9375.62673979789</v>
      </c>
      <c r="J422" s="15" t="n">
        <f aca="false">I422*(1+IF(J$3&lt;=$O$2,$D422,$D422-($D422-$I$400)*MIN(J$3-$O$2,$Q$2)/$Q$2))</f>
        <v>9713.24032623843</v>
      </c>
      <c r="K422" s="15" t="n">
        <f aca="false">J422*(1+IF(K$3&lt;=$O$2,$D422,$D422-($D422-$I$400)*MIN(K$3-$O$2,$Q$2)/$Q$2))</f>
        <v>10056.4312669243</v>
      </c>
      <c r="L422" s="15" t="n">
        <f aca="false">K422*(1+IF(L$3&lt;=$O$2,$D422,$D422-($D422-$I$400)*MIN(L$3-$O$2,$Q$2)/$Q$2))</f>
        <v>10404.9354270419</v>
      </c>
      <c r="M422" s="15" t="n">
        <f aca="false">L422*(1+IF(M$3&lt;=$O$2,$D422,$D422-($D422-$I$400)*MIN(M$3-$O$2,$Q$2)/$Q$2))</f>
        <v>10758.4683624032</v>
      </c>
      <c r="N422" s="15" t="n">
        <f aca="false">M422*(1+IF(N$3&lt;=$O$2,$D422,$D422-($D422-$I$400)*MIN(N$3-$O$2,$Q$2)/$Q$2))</f>
        <v>11116.7253588712</v>
      </c>
      <c r="O422" s="15" t="n">
        <f aca="false">SUMPRODUCT(E422:N422,1/(1+$F$400)^$E$3:$N$3)*$E$2</f>
        <v>17710.3508888141</v>
      </c>
      <c r="P422" s="15" t="n">
        <f aca="false">N422*$E$2*(1+$I$400)/($F$400-$I$400)/(1+$F$400)^$N$3</f>
        <v>30406.7250255051</v>
      </c>
      <c r="Q422" s="15" t="n">
        <f aca="false">O422+P422</f>
        <v>48117.0759143193</v>
      </c>
      <c r="R422" s="15" t="n">
        <f aca="false">Q422-$G$2+$I$2</f>
        <v>45600.0759143193</v>
      </c>
      <c r="S422" s="42" t="n">
        <f aca="false">R422/$K$2</f>
        <v>105.258473556898</v>
      </c>
      <c r="T422" s="43" t="n">
        <f aca="false">S422-$M$2</f>
        <v>0.000175232720650342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0.0366864204406738</v>
      </c>
      <c r="C423" s="25" t="n">
        <f aca="false">IF(T422&gt;0,D422,C422)</f>
        <v>0.0366871356964111</v>
      </c>
      <c r="D423" s="41" t="n">
        <f aca="false">(B423+C423)/2</f>
        <v>0.0366867780685425</v>
      </c>
      <c r="E423" s="15" t="n">
        <f aca="false">$C$2*(1+IF(E$3&lt;=$O$2,$D423,$D423-($D423-$I$400)*MIN(E$3-$O$2,$Q$2)/$Q$2))</f>
        <v>8117.25747227669</v>
      </c>
      <c r="F423" s="15" t="n">
        <f aca="false">E423*(1+IF(F$3&lt;=$O$2,$D423,$D423-($D423-$I$400)*MIN(F$3-$O$2,$Q$2)/$Q$2))</f>
        <v>8415.05349568732</v>
      </c>
      <c r="G423" s="15" t="n">
        <f aca="false">F423*(1+IF(G$3&lt;=$O$2,$D423,$D423-($D423-$I$400)*MIN(G$3-$O$2,$Q$2)/$Q$2))</f>
        <v>8723.77469571851</v>
      </c>
      <c r="H423" s="15" t="n">
        <f aca="false">G423*(1+IF(H$3&lt;=$O$2,$D423,$D423-($D423-$I$400)*MIN(H$3-$O$2,$Q$2)/$Q$2))</f>
        <v>9043.82188190031</v>
      </c>
      <c r="I423" s="15" t="n">
        <f aca="false">H423*(1+IF(I$3&lt;=$O$2,$D423,$D423-($D423-$I$400)*MIN(I$3-$O$2,$Q$2)/$Q$2))</f>
        <v>9375.61056817301</v>
      </c>
      <c r="J423" s="15" t="n">
        <f aca="false">I423*(1+IF(J$3&lt;=$O$2,$D423,$D423-($D423-$I$400)*MIN(J$3-$O$2,$Q$2)/$Q$2))</f>
        <v>9713.22088989436</v>
      </c>
      <c r="K423" s="15" t="n">
        <f aca="false">J423*(1+IF(K$3&lt;=$O$2,$D423,$D423-($D423-$I$400)*MIN(K$3-$O$2,$Q$2)/$Q$2))</f>
        <v>10056.4090596187</v>
      </c>
      <c r="L423" s="15" t="n">
        <f aca="false">K423*(1+IF(L$3&lt;=$O$2,$D423,$D423-($D423-$I$400)*MIN(L$3-$O$2,$Q$2)/$Q$2))</f>
        <v>10404.9110115646</v>
      </c>
      <c r="M423" s="15" t="n">
        <f aca="false">L423*(1+IF(M$3&lt;=$O$2,$D423,$D423-($D423-$I$400)*MIN(M$3-$O$2,$Q$2)/$Q$2))</f>
        <v>10758.4423731335</v>
      </c>
      <c r="N423" s="15" t="n">
        <f aca="false">M423*(1+IF(N$3&lt;=$O$2,$D423,$D423-($D423-$I$400)*MIN(N$3-$O$2,$Q$2)/$Q$2))</f>
        <v>11116.6985041589</v>
      </c>
      <c r="O423" s="15" t="n">
        <f aca="false">SUMPRODUCT(E423:N423,1/(1+$F$400)^$E$3:$N$3)*$E$2</f>
        <v>17710.3231222511</v>
      </c>
      <c r="P423" s="15" t="n">
        <f aca="false">N423*$E$2*(1+$I$400)/($F$400-$I$400)/(1+$F$400)^$N$3</f>
        <v>30406.6515718731</v>
      </c>
      <c r="Q423" s="15" t="n">
        <f aca="false">O423+P423</f>
        <v>48116.9746941242</v>
      </c>
      <c r="R423" s="15" t="n">
        <f aca="false">Q423-$G$2+$I$2</f>
        <v>45599.9746941242</v>
      </c>
      <c r="S423" s="42" t="n">
        <f aca="false">R423/$K$2</f>
        <v>105.258239910725</v>
      </c>
      <c r="T423" s="43" t="n">
        <f aca="false">S423-$M$2</f>
        <v>-5.8413452435957E-005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0.0366867780685425</v>
      </c>
      <c r="C424" s="25" t="n">
        <f aca="false">IF(T423&gt;0,D423,C423)</f>
        <v>0.0366871356964111</v>
      </c>
      <c r="D424" s="41" t="n">
        <f aca="false">(B424+C424)/2</f>
        <v>0.0366869568824768</v>
      </c>
      <c r="E424" s="15" t="n">
        <f aca="false">$C$2*(1+IF(E$3&lt;=$O$2,$D424,$D424-($D424-$I$400)*MIN(E$3-$O$2,$Q$2)/$Q$2))</f>
        <v>8117.25887238979</v>
      </c>
      <c r="F424" s="15" t="n">
        <f aca="false">E424*(1+IF(F$3&lt;=$O$2,$D424,$D424-($D424-$I$400)*MIN(F$3-$O$2,$Q$2)/$Q$2))</f>
        <v>8415.05639864506</v>
      </c>
      <c r="G424" s="15" t="n">
        <f aca="false">F424*(1+IF(G$3&lt;=$O$2,$D424,$D424-($D424-$I$400)*MIN(G$3-$O$2,$Q$2)/$Q$2))</f>
        <v>8723.77920990576</v>
      </c>
      <c r="H424" s="15" t="n">
        <f aca="false">G424*(1+IF(H$3&lt;=$O$2,$D424,$D424-($D424-$I$400)*MIN(H$3-$O$2,$Q$2)/$Q$2))</f>
        <v>9043.82812163182</v>
      </c>
      <c r="I424" s="15" t="n">
        <f aca="false">H424*(1+IF(I$3&lt;=$O$2,$D424,$D424-($D424-$I$400)*MIN(I$3-$O$2,$Q$2)/$Q$2))</f>
        <v>9375.61865398266</v>
      </c>
      <c r="J424" s="15" t="n">
        <f aca="false">I424*(1+IF(J$3&lt;=$O$2,$D424,$D424-($D424-$I$400)*MIN(J$3-$O$2,$Q$2)/$Q$2))</f>
        <v>9713.23060806235</v>
      </c>
      <c r="K424" s="15" t="n">
        <f aca="false">J424*(1+IF(K$3&lt;=$O$2,$D424,$D424-($D424-$I$400)*MIN(K$3-$O$2,$Q$2)/$Q$2))</f>
        <v>10056.4201632663</v>
      </c>
      <c r="L424" s="15" t="n">
        <f aca="false">K424*(1+IF(L$3&lt;=$O$2,$D424,$D424-($D424-$I$400)*MIN(L$3-$O$2,$Q$2)/$Q$2))</f>
        <v>10404.9232192971</v>
      </c>
      <c r="M424" s="15" t="n">
        <f aca="false">L424*(1+IF(M$3&lt;=$O$2,$D424,$D424-($D424-$I$400)*MIN(M$3-$O$2,$Q$2)/$Q$2))</f>
        <v>10758.4553677615</v>
      </c>
      <c r="N424" s="15" t="n">
        <f aca="false">M424*(1+IF(N$3&lt;=$O$2,$D424,$D424-($D424-$I$400)*MIN(N$3-$O$2,$Q$2)/$Q$2))</f>
        <v>11116.711931508</v>
      </c>
      <c r="O424" s="15" t="n">
        <f aca="false">SUMPRODUCT(E424:N424,1/(1+$F$400)^$E$3:$N$3)*$E$2</f>
        <v>17710.3370055271</v>
      </c>
      <c r="P424" s="15" t="n">
        <f aca="false">N424*$E$2*(1+$I$400)/($F$400-$I$400)/(1+$F$400)^$N$3</f>
        <v>30406.6882986698</v>
      </c>
      <c r="Q424" s="15" t="n">
        <f aca="false">O424+P424</f>
        <v>48117.0253041969</v>
      </c>
      <c r="R424" s="15" t="n">
        <f aca="false">Q424-$G$2+$I$2</f>
        <v>45600.0253041969</v>
      </c>
      <c r="S424" s="42" t="n">
        <f aca="false">R424/$K$2</f>
        <v>105.258356733754</v>
      </c>
      <c r="T424" s="43" t="n">
        <f aca="false">S424-$M$2</f>
        <v>5.84095767663939E-005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0.0366867780685425</v>
      </c>
      <c r="C425" s="25" t="n">
        <f aca="false">IF(T424&gt;0,D424,C424)</f>
        <v>0.0366869568824768</v>
      </c>
      <c r="D425" s="41" t="n">
        <f aca="false">(B425+C425)/2</f>
        <v>0.0366868674755096</v>
      </c>
      <c r="E425" s="15" t="n">
        <f aca="false">$C$2*(1+IF(E$3&lt;=$O$2,$D425,$D425-($D425-$I$400)*MIN(E$3-$O$2,$Q$2)/$Q$2))</f>
        <v>8117.25817233324</v>
      </c>
      <c r="F425" s="15" t="n">
        <f aca="false">E425*(1+IF(F$3&lt;=$O$2,$D425,$D425-($D425-$I$400)*MIN(F$3-$O$2,$Q$2)/$Q$2))</f>
        <v>8415.05494716613</v>
      </c>
      <c r="G425" s="15" t="n">
        <f aca="false">F425*(1+IF(G$3&lt;=$O$2,$D425,$D425-($D425-$I$400)*MIN(G$3-$O$2,$Q$2)/$Q$2))</f>
        <v>8723.77695281194</v>
      </c>
      <c r="H425" s="15" t="n">
        <f aca="false">G425*(1+IF(H$3&lt;=$O$2,$D425,$D425-($D425-$I$400)*MIN(H$3-$O$2,$Q$2)/$Q$2))</f>
        <v>9043.82500176566</v>
      </c>
      <c r="I425" s="15" t="n">
        <f aca="false">H425*(1+IF(I$3&lt;=$O$2,$D425,$D425-($D425-$I$400)*MIN(I$3-$O$2,$Q$2)/$Q$2))</f>
        <v>9375.61461107714</v>
      </c>
      <c r="J425" s="15" t="n">
        <f aca="false">I425*(1+IF(J$3&lt;=$O$2,$D425,$D425-($D425-$I$400)*MIN(J$3-$O$2,$Q$2)/$Q$2))</f>
        <v>9713.22574897734</v>
      </c>
      <c r="K425" s="15" t="n">
        <f aca="false">J425*(1+IF(K$3&lt;=$O$2,$D425,$D425-($D425-$I$400)*MIN(K$3-$O$2,$Q$2)/$Q$2))</f>
        <v>10056.4146114412</v>
      </c>
      <c r="L425" s="15" t="n">
        <f aca="false">K425*(1+IF(L$3&lt;=$O$2,$D425,$D425-($D425-$I$400)*MIN(L$3-$O$2,$Q$2)/$Q$2))</f>
        <v>10404.9171154293</v>
      </c>
      <c r="M425" s="15" t="n">
        <f aca="false">L425*(1+IF(M$3&lt;=$O$2,$D425,$D425-($D425-$I$400)*MIN(M$3-$O$2,$Q$2)/$Q$2))</f>
        <v>10758.4488704458</v>
      </c>
      <c r="N425" s="15" t="n">
        <f aca="false">M425*(1+IF(N$3&lt;=$O$2,$D425,$D425-($D425-$I$400)*MIN(N$3-$O$2,$Q$2)/$Q$2))</f>
        <v>11116.7052178316</v>
      </c>
      <c r="O425" s="15" t="n">
        <f aca="false">SUMPRODUCT(E425:N425,1/(1+$F$400)^$E$3:$N$3)*$E$2</f>
        <v>17710.3300638877</v>
      </c>
      <c r="P425" s="15" t="n">
        <f aca="false">N425*$E$2*(1+$I$400)/($F$400-$I$400)/(1+$F$400)^$N$3</f>
        <v>30406.6699352666</v>
      </c>
      <c r="Q425" s="15" t="n">
        <f aca="false">O425+P425</f>
        <v>48116.9999991543</v>
      </c>
      <c r="R425" s="15" t="n">
        <f aca="false">Q425-$G$2+$I$2</f>
        <v>45599.9999991543</v>
      </c>
      <c r="S425" s="42" t="n">
        <f aca="false">R425/$K$2</f>
        <v>105.258298322225</v>
      </c>
      <c r="T425" s="43" t="n">
        <f aca="false">S425-$M$2</f>
        <v>-1.95217353393673E-009</v>
      </c>
    </row>
    <row r="427" customFormat="false" ht="15" hidden="false" customHeight="false" outlineLevel="0" collapsed="false">
      <c r="A427" s="38" t="s">
        <v>187</v>
      </c>
      <c r="E427" s="5" t="s">
        <v>11</v>
      </c>
      <c r="F427" s="12" t="n">
        <f aca="false">Sensitivity!$B$12</f>
        <v>0.0821529104257703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153</v>
      </c>
      <c r="B428" s="28" t="s">
        <v>154</v>
      </c>
      <c r="C428" s="28" t="s">
        <v>155</v>
      </c>
      <c r="D428" s="28" t="s">
        <v>156</v>
      </c>
      <c r="E428" s="28" t="s">
        <v>157</v>
      </c>
      <c r="F428" s="28" t="s">
        <v>158</v>
      </c>
      <c r="G428" s="28" t="s">
        <v>159</v>
      </c>
      <c r="H428" s="28" t="s">
        <v>160</v>
      </c>
      <c r="I428" s="28" t="s">
        <v>161</v>
      </c>
      <c r="J428" s="28" t="s">
        <v>162</v>
      </c>
      <c r="K428" s="28" t="s">
        <v>163</v>
      </c>
      <c r="L428" s="28" t="s">
        <v>164</v>
      </c>
      <c r="M428" s="28" t="s">
        <v>165</v>
      </c>
      <c r="N428" s="28" t="s">
        <v>166</v>
      </c>
      <c r="O428" s="28" t="s">
        <v>167</v>
      </c>
      <c r="P428" s="28" t="s">
        <v>168</v>
      </c>
      <c r="Q428" s="28" t="s">
        <v>169</v>
      </c>
      <c r="R428" s="28" t="s">
        <v>170</v>
      </c>
      <c r="S428" s="28" t="s">
        <v>171</v>
      </c>
      <c r="T428" s="28" t="s">
        <v>172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9787.5</v>
      </c>
      <c r="F429" s="15" t="n">
        <f aca="false">E429*(1+IF(F$3&lt;=$O$2,$D429,$D429-($D429-$I$427)*MIN(F$3-$O$2,$Q$2)/$Q$2))</f>
        <v>12234.375</v>
      </c>
      <c r="G429" s="15" t="n">
        <f aca="false">F429*(1+IF(G$3&lt;=$O$2,$D429,$D429-($D429-$I$427)*MIN(G$3-$O$2,$Q$2)/$Q$2))</f>
        <v>15292.96875</v>
      </c>
      <c r="H429" s="15" t="n">
        <f aca="false">G429*(1+IF(H$3&lt;=$O$2,$D429,$D429-($D429-$I$427)*MIN(H$3-$O$2,$Q$2)/$Q$2))</f>
        <v>19116.2109375</v>
      </c>
      <c r="I429" s="15" t="n">
        <f aca="false">H429*(1+IF(I$3&lt;=$O$2,$D429,$D429-($D429-$I$427)*MIN(I$3-$O$2,$Q$2)/$Q$2))</f>
        <v>23895.263671875</v>
      </c>
      <c r="J429" s="15" t="n">
        <f aca="false">I429*(1+IF(J$3&lt;=$O$2,$D429,$D429-($D429-$I$427)*MIN(J$3-$O$2,$Q$2)/$Q$2))</f>
        <v>28857.3541259766</v>
      </c>
      <c r="K429" s="15" t="n">
        <f aca="false">J429*(1+IF(K$3&lt;=$O$2,$D429,$D429-($D429-$I$427)*MIN(K$3-$O$2,$Q$2)/$Q$2))</f>
        <v>33628.051910083</v>
      </c>
      <c r="L429" s="15" t="n">
        <f aca="false">K429*(1+IF(L$3&lt;=$O$2,$D429,$D429-($D429-$I$427)*MIN(L$3-$O$2,$Q$2)/$Q$2))</f>
        <v>37763.629733985</v>
      </c>
      <c r="M429" s="15" t="n">
        <f aca="false">L429*(1+IF(M$3&lt;=$O$2,$D429,$D429-($D429-$I$427)*MIN(M$3-$O$2,$Q$2)/$Q$2))</f>
        <v>40808.8888357336</v>
      </c>
      <c r="N429" s="15" t="n">
        <f aca="false">M429*(1+IF(N$3&lt;=$O$2,$D429,$D429-($D429-$I$427)*MIN(N$3-$O$2,$Q$2)/$Q$2))</f>
        <v>42371.8692781422</v>
      </c>
      <c r="O429" s="15" t="n">
        <f aca="false">SUMPRODUCT(E429:N429,1/(1+$F$427)^$E$3:$N$3)*$E$2</f>
        <v>45081.6185273158</v>
      </c>
      <c r="P429" s="15" t="n">
        <f aca="false">N429*$E$2*(1+$I$427)/($F$427-$I$427)/(1+$F$427)^$N$3</f>
        <v>129735.502654373</v>
      </c>
      <c r="Q429" s="15" t="n">
        <f aca="false">O429+P429</f>
        <v>174817.121181689</v>
      </c>
      <c r="R429" s="15" t="n">
        <f aca="false">Q429-$G$2+$I$2</f>
        <v>172300.121181689</v>
      </c>
      <c r="S429" s="42" t="n">
        <f aca="false">R429/$K$2</f>
        <v>397.719683259519</v>
      </c>
      <c r="T429" s="43" t="n">
        <f aca="false">S429-$M$2</f>
        <v>292.461384935342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6851.25</v>
      </c>
      <c r="F430" s="15" t="n">
        <f aca="false">E430*(1+IF(F$3&lt;=$O$2,$D430,$D430-($D430-$I$427)*MIN(F$3-$O$2,$Q$2)/$Q$2))</f>
        <v>5994.84375</v>
      </c>
      <c r="G430" s="15" t="n">
        <f aca="false">F430*(1+IF(G$3&lt;=$O$2,$D430,$D430-($D430-$I$427)*MIN(G$3-$O$2,$Q$2)/$Q$2))</f>
        <v>5245.48828125</v>
      </c>
      <c r="H430" s="15" t="n">
        <f aca="false">G430*(1+IF(H$3&lt;=$O$2,$D430,$D430-($D430-$I$427)*MIN(H$3-$O$2,$Q$2)/$Q$2))</f>
        <v>4589.80224609375</v>
      </c>
      <c r="I430" s="15" t="n">
        <f aca="false">H430*(1+IF(I$3&lt;=$O$2,$D430,$D430-($D430-$I$427)*MIN(I$3-$O$2,$Q$2)/$Q$2))</f>
        <v>4016.07696533203</v>
      </c>
      <c r="J430" s="15" t="n">
        <f aca="false">I430*(1+IF(J$3&lt;=$O$2,$D430,$D430-($D430-$I$427)*MIN(J$3-$O$2,$Q$2)/$Q$2))</f>
        <v>3645.23241835327</v>
      </c>
      <c r="K430" s="15" t="n">
        <f aca="false">J430*(1+IF(K$3&lt;=$O$2,$D430,$D430-($D430-$I$427)*MIN(K$3-$O$2,$Q$2)/$Q$2))</f>
        <v>3427.68494762595</v>
      </c>
      <c r="L430" s="15" t="n">
        <f aca="false">K430*(1+IF(L$3&lt;=$O$2,$D430,$D430-($D430-$I$427)*MIN(L$3-$O$2,$Q$2)/$Q$2))</f>
        <v>3335.0689003411</v>
      </c>
      <c r="M430" s="15" t="n">
        <f aca="false">L430*(1+IF(M$3&lt;=$O$2,$D430,$D430-($D430-$I$427)*MIN(M$3-$O$2,$Q$2)/$Q$2))</f>
        <v>3353.87868893902</v>
      </c>
      <c r="N430" s="15" t="n">
        <f aca="false">M430*(1+IF(N$3&lt;=$O$2,$D430,$D430-($D430-$I$427)*MIN(N$3-$O$2,$Q$2)/$Q$2))</f>
        <v>3482.33224272538</v>
      </c>
      <c r="O430" s="15" t="n">
        <f aca="false">SUMPRODUCT(E430:N430,1/(1+$F$427)^$E$3:$N$3)*$E$2</f>
        <v>8796.76475106074</v>
      </c>
      <c r="P430" s="15" t="n">
        <f aca="false">N430*$E$2*(1+$I$427)/($F$427-$I$427)/(1+$F$427)^$N$3</f>
        <v>10662.3127942237</v>
      </c>
      <c r="Q430" s="15" t="n">
        <f aca="false">O430+P430</f>
        <v>19459.0775452844</v>
      </c>
      <c r="R430" s="15" t="n">
        <f aca="false">Q430-$G$2+$I$2</f>
        <v>16942.0775452844</v>
      </c>
      <c r="S430" s="42" t="n">
        <f aca="false">R430/$K$2</f>
        <v>39.1073300985282</v>
      </c>
      <c r="T430" s="43" t="n">
        <f aca="false">S430-$M$2</f>
        <v>-66.1509682256489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8319.375</v>
      </c>
      <c r="F431" s="15" t="n">
        <f aca="false">E431*(1+IF(F$3&lt;=$O$2,$D431,$D431-($D431-$I$427)*MIN(F$3-$O$2,$Q$2)/$Q$2))</f>
        <v>8839.3359375</v>
      </c>
      <c r="G431" s="15" t="n">
        <f aca="false">F431*(1+IF(G$3&lt;=$O$2,$D431,$D431-($D431-$I$427)*MIN(G$3-$O$2,$Q$2)/$Q$2))</f>
        <v>9391.79443359375</v>
      </c>
      <c r="H431" s="15" t="n">
        <f aca="false">G431*(1+IF(H$3&lt;=$O$2,$D431,$D431-($D431-$I$427)*MIN(H$3-$O$2,$Q$2)/$Q$2))</f>
        <v>9978.78158569336</v>
      </c>
      <c r="I431" s="15" t="n">
        <f aca="false">H431*(1+IF(I$3&lt;=$O$2,$D431,$D431-($D431-$I$427)*MIN(I$3-$O$2,$Q$2)/$Q$2))</f>
        <v>10602.4554347992</v>
      </c>
      <c r="J431" s="15" t="n">
        <f aca="false">I431*(1+IF(J$3&lt;=$O$2,$D431,$D431-($D431-$I$427)*MIN(J$3-$O$2,$Q$2)/$Q$2))</f>
        <v>11213.7930151697</v>
      </c>
      <c r="K431" s="15" t="n">
        <f aca="false">J431*(1+IF(K$3&lt;=$O$2,$D431,$D431-($D431-$I$427)*MIN(K$3-$O$2,$Q$2)/$Q$2))</f>
        <v>11806.105562231</v>
      </c>
      <c r="L431" s="15" t="n">
        <f aca="false">K431*(1+IF(L$3&lt;=$O$2,$D431,$D431-($D431-$I$427)*MIN(L$3-$O$2,$Q$2)/$Q$2))</f>
        <v>12372.5625071068</v>
      </c>
      <c r="M431" s="15" t="n">
        <f aca="false">L431*(1+IF(M$3&lt;=$O$2,$D431,$D431-($D431-$I$427)*MIN(M$3-$O$2,$Q$2)/$Q$2))</f>
        <v>12906.3148536634</v>
      </c>
      <c r="N431" s="15" t="n">
        <f aca="false">M431*(1+IF(N$3&lt;=$O$2,$D431,$D431-($D431-$I$427)*MIN(N$3-$O$2,$Q$2)/$Q$2))</f>
        <v>13400.6267125587</v>
      </c>
      <c r="O431" s="15" t="n">
        <f aca="false">SUMPRODUCT(E431:N431,1/(1+$F$427)^$E$3:$N$3)*$E$2</f>
        <v>19893.2033546295</v>
      </c>
      <c r="P431" s="15" t="n">
        <f aca="false">N431*$E$2*(1+$I$427)/($F$427-$I$427)/(1+$F$427)^$N$3</f>
        <v>41030.4542153929</v>
      </c>
      <c r="Q431" s="15" t="n">
        <f aca="false">O431+P431</f>
        <v>60923.6575700224</v>
      </c>
      <c r="R431" s="15" t="n">
        <f aca="false">Q431-$G$2+$I$2</f>
        <v>58406.6575700224</v>
      </c>
      <c r="S431" s="42" t="n">
        <f aca="false">R431/$K$2</f>
        <v>134.819854969813</v>
      </c>
      <c r="T431" s="43" t="n">
        <f aca="false">S431-$M$2</f>
        <v>29.5615566456358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7585.3125</v>
      </c>
      <c r="F432" s="15" t="n">
        <f aca="false">E432*(1+IF(F$3&lt;=$O$2,$D432,$D432-($D432-$I$427)*MIN(F$3-$O$2,$Q$2)/$Q$2))</f>
        <v>7348.271484375</v>
      </c>
      <c r="G432" s="15" t="n">
        <f aca="false">F432*(1+IF(G$3&lt;=$O$2,$D432,$D432-($D432-$I$427)*MIN(G$3-$O$2,$Q$2)/$Q$2))</f>
        <v>7118.63800048828</v>
      </c>
      <c r="H432" s="15" t="n">
        <f aca="false">G432*(1+IF(H$3&lt;=$O$2,$D432,$D432-($D432-$I$427)*MIN(H$3-$O$2,$Q$2)/$Q$2))</f>
        <v>6896.18056297302</v>
      </c>
      <c r="I432" s="15" t="n">
        <f aca="false">H432*(1+IF(I$3&lt;=$O$2,$D432,$D432-($D432-$I$427)*MIN(I$3-$O$2,$Q$2)/$Q$2))</f>
        <v>6680.67492038012</v>
      </c>
      <c r="J432" s="15" t="n">
        <f aca="false">I432*(1+IF(J$3&lt;=$O$2,$D432,$D432-($D432-$I$427)*MIN(J$3-$O$2,$Q$2)/$Q$2))</f>
        <v>6564.83201726073</v>
      </c>
      <c r="K432" s="15" t="n">
        <f aca="false">J432*(1+IF(K$3&lt;=$O$2,$D432,$D432-($D432-$I$427)*MIN(K$3-$O$2,$Q$2)/$Q$2))</f>
        <v>6542.31464344152</v>
      </c>
      <c r="L432" s="15" t="n">
        <f aca="false">K432*(1+IF(L$3&lt;=$O$2,$D432,$D432-($D432-$I$427)*MIN(L$3-$O$2,$Q$2)/$Q$2))</f>
        <v>6610.87810090479</v>
      </c>
      <c r="M432" s="15" t="n">
        <f aca="false">L432*(1+IF(M$3&lt;=$O$2,$D432,$D432-($D432-$I$427)*MIN(M$3-$O$2,$Q$2)/$Q$2))</f>
        <v>6772.11741778586</v>
      </c>
      <c r="N432" s="15" t="n">
        <f aca="false">M432*(1+IF(N$3&lt;=$O$2,$D432,$D432-($D432-$I$427)*MIN(N$3-$O$2,$Q$2)/$Q$2))</f>
        <v>7031.48951488705</v>
      </c>
      <c r="O432" s="15" t="n">
        <f aca="false">SUMPRODUCT(E432:N432,1/(1+$F$427)^$E$3:$N$3)*$E$2</f>
        <v>13192.0174642784</v>
      </c>
      <c r="P432" s="15" t="n">
        <f aca="false">N432*$E$2*(1+$I$427)/($F$427-$I$427)/(1+$F$427)^$N$3</f>
        <v>21529.2325347895</v>
      </c>
      <c r="Q432" s="15" t="n">
        <f aca="false">O432+P432</f>
        <v>34721.2499990679</v>
      </c>
      <c r="R432" s="15" t="n">
        <f aca="false">Q432-$G$2+$I$2</f>
        <v>32204.2499990679</v>
      </c>
      <c r="S432" s="42" t="n">
        <f aca="false">R432/$K$2</f>
        <v>74.3369419672866</v>
      </c>
      <c r="T432" s="43" t="n">
        <f aca="false">S432-$M$2</f>
        <v>-30.9213563568905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7952.34375</v>
      </c>
      <c r="F433" s="15" t="n">
        <f aca="false">E433*(1+IF(F$3&lt;=$O$2,$D433,$D433-($D433-$I$427)*MIN(F$3-$O$2,$Q$2)/$Q$2))</f>
        <v>8076.59912109375</v>
      </c>
      <c r="G433" s="15" t="n">
        <f aca="false">F433*(1+IF(G$3&lt;=$O$2,$D433,$D433-($D433-$I$427)*MIN(G$3-$O$2,$Q$2)/$Q$2))</f>
        <v>8202.79598236084</v>
      </c>
      <c r="H433" s="15" t="n">
        <f aca="false">G433*(1+IF(H$3&lt;=$O$2,$D433,$D433-($D433-$I$427)*MIN(H$3-$O$2,$Q$2)/$Q$2))</f>
        <v>8330.96466958523</v>
      </c>
      <c r="I433" s="15" t="n">
        <f aca="false">H433*(1+IF(I$3&lt;=$O$2,$D433,$D433-($D433-$I$427)*MIN(I$3-$O$2,$Q$2)/$Q$2))</f>
        <v>8461.1359925475</v>
      </c>
      <c r="J433" s="15" t="n">
        <f aca="false">I433*(1+IF(J$3&lt;=$O$2,$D433,$D433-($D433-$I$427)*MIN(J$3-$O$2,$Q$2)/$Q$2))</f>
        <v>8631.71249415726</v>
      </c>
      <c r="K433" s="15" t="n">
        <f aca="false">J433*(1+IF(K$3&lt;=$O$2,$D433,$D433-($D433-$I$427)*MIN(K$3-$O$2,$Q$2)/$Q$2))</f>
        <v>8844.87263420047</v>
      </c>
      <c r="L433" s="15" t="n">
        <f aca="false">K433*(1+IF(L$3&lt;=$O$2,$D433,$D433-($D433-$I$427)*MIN(L$3-$O$2,$Q$2)/$Q$2))</f>
        <v>9103.40826129815</v>
      </c>
      <c r="M433" s="15" t="n">
        <f aca="false">L433*(1+IF(M$3&lt;=$O$2,$D433,$D433-($D433-$I$427)*MIN(M$3-$O$2,$Q$2)/$Q$2))</f>
        <v>9410.78484124088</v>
      </c>
      <c r="N433" s="15" t="n">
        <f aca="false">M433*(1+IF(N$3&lt;=$O$2,$D433,$D433-($D433-$I$427)*MIN(N$3-$O$2,$Q$2)/$Q$2))</f>
        <v>9771.21790066041</v>
      </c>
      <c r="O433" s="15" t="n">
        <f aca="false">SUMPRODUCT(E433:N433,1/(1+$F$427)^$E$3:$N$3)*$E$2</f>
        <v>16193.9575282006</v>
      </c>
      <c r="P433" s="15" t="n">
        <f aca="false">N433*$E$2*(1+$I$427)/($F$427-$I$427)/(1+$F$427)^$N$3</f>
        <v>29917.8178230981</v>
      </c>
      <c r="Q433" s="15" t="n">
        <f aca="false">O433+P433</f>
        <v>46111.7753512987</v>
      </c>
      <c r="R433" s="15" t="n">
        <f aca="false">Q433-$G$2+$I$2</f>
        <v>43594.7753512987</v>
      </c>
      <c r="S433" s="42" t="n">
        <f aca="false">R433/$K$2</f>
        <v>100.629646256633</v>
      </c>
      <c r="T433" s="43" t="n">
        <f aca="false">S433-$M$2</f>
        <v>-4.62865206754374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41" t="n">
        <f aca="false">(B434+C434)/2</f>
        <v>0.0390625</v>
      </c>
      <c r="E434" s="15" t="n">
        <f aca="false">$C$2*(1+IF(E$3&lt;=$O$2,$D434,$D434-($D434-$I$427)*MIN(E$3-$O$2,$Q$2)/$Q$2))</f>
        <v>8135.859375</v>
      </c>
      <c r="F434" s="15" t="n">
        <f aca="false">E434*(1+IF(F$3&lt;=$O$2,$D434,$D434-($D434-$I$427)*MIN(F$3-$O$2,$Q$2)/$Q$2))</f>
        <v>8453.66638183594</v>
      </c>
      <c r="G434" s="15" t="n">
        <f aca="false">F434*(1+IF(G$3&lt;=$O$2,$D434,$D434-($D434-$I$427)*MIN(G$3-$O$2,$Q$2)/$Q$2))</f>
        <v>8783.8877248764</v>
      </c>
      <c r="H434" s="15" t="n">
        <f aca="false">G434*(1+IF(H$3&lt;=$O$2,$D434,$D434-($D434-$I$427)*MIN(H$3-$O$2,$Q$2)/$Q$2))</f>
        <v>9127.00833912939</v>
      </c>
      <c r="I434" s="15" t="n">
        <f aca="false">H434*(1+IF(I$3&lt;=$O$2,$D434,$D434-($D434-$I$427)*MIN(I$3-$O$2,$Q$2)/$Q$2))</f>
        <v>9483.53210237663</v>
      </c>
      <c r="J434" s="15" t="n">
        <f aca="false">I434*(1+IF(J$3&lt;=$O$2,$D434,$D434-($D434-$I$427)*MIN(J$3-$O$2,$Q$2)/$Q$2))</f>
        <v>9852.53633648011</v>
      </c>
      <c r="K434" s="15" t="n">
        <f aca="false">J434*(1+IF(K$3&lt;=$O$2,$D434,$D434-($D434-$I$427)*MIN(K$3-$O$2,$Q$2)/$Q$2))</f>
        <v>10234.3960135412</v>
      </c>
      <c r="L434" s="15" t="n">
        <f aca="false">K434*(1+IF(L$3&lt;=$O$2,$D434,$D434-($D434-$I$427)*MIN(L$3-$O$2,$Q$2)/$Q$2))</f>
        <v>10629.494871644</v>
      </c>
      <c r="M434" s="15" t="n">
        <f aca="false">L434*(1+IF(M$3&lt;=$O$2,$D434,$D434-($D434-$I$427)*MIN(M$3-$O$2,$Q$2)/$Q$2))</f>
        <v>11038.2255231959</v>
      </c>
      <c r="N434" s="15" t="n">
        <f aca="false">M434*(1+IF(N$3&lt;=$O$2,$D434,$D434-($D434-$I$427)*MIN(N$3-$O$2,$Q$2)/$Q$2))</f>
        <v>11460.9895607343</v>
      </c>
      <c r="O434" s="15" t="n">
        <f aca="false">SUMPRODUCT(E434:N434,1/(1+$F$427)^$E$3:$N$3)*$E$2</f>
        <v>17947.6676401717</v>
      </c>
      <c r="P434" s="15" t="n">
        <f aca="false">N434*$E$2*(1+$I$427)/($F$427-$I$427)/(1+$F$427)^$N$3</f>
        <v>35091.6130656858</v>
      </c>
      <c r="Q434" s="15" t="n">
        <f aca="false">O434+P434</f>
        <v>53039.2807058575</v>
      </c>
      <c r="R434" s="15" t="n">
        <f aca="false">Q434-$G$2+$I$2</f>
        <v>50522.2807058575</v>
      </c>
      <c r="S434" s="42" t="n">
        <f aca="false">R434/$K$2</f>
        <v>116.620379266556</v>
      </c>
      <c r="T434" s="43" t="n">
        <f aca="false">S434-$M$2</f>
        <v>11.3620809423791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0.015625</v>
      </c>
      <c r="C435" s="25" t="n">
        <f aca="false">IF(T434&gt;0,D434,C434)</f>
        <v>0.0390625</v>
      </c>
      <c r="D435" s="41" t="n">
        <f aca="false">(B435+C435)/2</f>
        <v>0.02734375</v>
      </c>
      <c r="E435" s="15" t="n">
        <f aca="false">$C$2*(1+IF(E$3&lt;=$O$2,$D435,$D435-($D435-$I$427)*MIN(E$3-$O$2,$Q$2)/$Q$2))</f>
        <v>8044.1015625</v>
      </c>
      <c r="F435" s="15" t="n">
        <f aca="false">E435*(1+IF(F$3&lt;=$O$2,$D435,$D435-($D435-$I$427)*MIN(F$3-$O$2,$Q$2)/$Q$2))</f>
        <v>8264.05746459961</v>
      </c>
      <c r="G435" s="15" t="n">
        <f aca="false">F435*(1+IF(G$3&lt;=$O$2,$D435,$D435-($D435-$I$427)*MIN(G$3-$O$2,$Q$2)/$Q$2))</f>
        <v>8490.02778589726</v>
      </c>
      <c r="H435" s="15" t="n">
        <f aca="false">G435*(1+IF(H$3&lt;=$O$2,$D435,$D435-($D435-$I$427)*MIN(H$3-$O$2,$Q$2)/$Q$2))</f>
        <v>8722.17698316788</v>
      </c>
      <c r="I435" s="15" t="n">
        <f aca="false">H435*(1+IF(I$3&lt;=$O$2,$D435,$D435-($D435-$I$427)*MIN(I$3-$O$2,$Q$2)/$Q$2))</f>
        <v>8960.67401005138</v>
      </c>
      <c r="J435" s="15" t="n">
        <f aca="false">I435*(1+IF(J$3&lt;=$O$2,$D435,$D435-($D435-$I$427)*MIN(J$3-$O$2,$Q$2)/$Q$2))</f>
        <v>9225.32751693825</v>
      </c>
      <c r="K435" s="15" t="n">
        <f aca="false">J435*(1+IF(K$3&lt;=$O$2,$D435,$D435-($D435-$I$427)*MIN(K$3-$O$2,$Q$2)/$Q$2))</f>
        <v>9518.01256407251</v>
      </c>
      <c r="L435" s="15" t="n">
        <f aca="false">K435*(1+IF(L$3&lt;=$O$2,$D435,$D435-($D435-$I$427)*MIN(L$3-$O$2,$Q$2)/$Q$2))</f>
        <v>9840.83975521444</v>
      </c>
      <c r="M435" s="15" t="n">
        <f aca="false">L435*(1+IF(M$3&lt;=$O$2,$D435,$D435-($D435-$I$427)*MIN(M$3-$O$2,$Q$2)/$Q$2))</f>
        <v>10196.1801777255</v>
      </c>
      <c r="N435" s="15" t="n">
        <f aca="false">M435*(1+IF(N$3&lt;=$O$2,$D435,$D435-($D435-$I$427)*MIN(N$3-$O$2,$Q$2)/$Q$2))</f>
        <v>10586.6938785324</v>
      </c>
      <c r="O435" s="15" t="n">
        <f aca="false">SUMPRODUCT(E435:N435,1/(1+$F$427)^$E$3:$N$3)*$E$2</f>
        <v>17047.986631119</v>
      </c>
      <c r="P435" s="15" t="n">
        <f aca="false">N435*$E$2*(1+$I$427)/($F$427-$I$427)/(1+$F$427)^$N$3</f>
        <v>32414.6674474872</v>
      </c>
      <c r="Q435" s="15" t="n">
        <f aca="false">O435+P435</f>
        <v>49462.6540786063</v>
      </c>
      <c r="R435" s="15" t="n">
        <f aca="false">Q435-$G$2+$I$2</f>
        <v>46945.6540786063</v>
      </c>
      <c r="S435" s="42" t="n">
        <f aca="false">R435/$K$2</f>
        <v>108.364466272578</v>
      </c>
      <c r="T435" s="43" t="n">
        <f aca="false">S435-$M$2</f>
        <v>3.1061679484009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0.015625</v>
      </c>
      <c r="C436" s="25" t="n">
        <f aca="false">IF(T435&gt;0,D435,C435)</f>
        <v>0.02734375</v>
      </c>
      <c r="D436" s="41" t="n">
        <f aca="false">(B436+C436)/2</f>
        <v>0.021484375</v>
      </c>
      <c r="E436" s="15" t="n">
        <f aca="false">$C$2*(1+IF(E$3&lt;=$O$2,$D436,$D436-($D436-$I$427)*MIN(E$3-$O$2,$Q$2)/$Q$2))</f>
        <v>7998.22265625</v>
      </c>
      <c r="F436" s="15" t="n">
        <f aca="false">E436*(1+IF(F$3&lt;=$O$2,$D436,$D436-($D436-$I$427)*MIN(F$3-$O$2,$Q$2)/$Q$2))</f>
        <v>8170.05947113037</v>
      </c>
      <c r="G436" s="15" t="n">
        <f aca="false">F436*(1+IF(G$3&lt;=$O$2,$D436,$D436-($D436-$I$427)*MIN(G$3-$O$2,$Q$2)/$Q$2))</f>
        <v>8345.58809258044</v>
      </c>
      <c r="H436" s="15" t="n">
        <f aca="false">G436*(1+IF(H$3&lt;=$O$2,$D436,$D436-($D436-$I$427)*MIN(H$3-$O$2,$Q$2)/$Q$2))</f>
        <v>8524.88783675697</v>
      </c>
      <c r="I436" s="15" t="n">
        <f aca="false">H436*(1+IF(I$3&lt;=$O$2,$D436,$D436-($D436-$I$427)*MIN(I$3-$O$2,$Q$2)/$Q$2))</f>
        <v>8708.0397238748</v>
      </c>
      <c r="J436" s="15" t="n">
        <f aca="false">I436*(1+IF(J$3&lt;=$O$2,$D436,$D436-($D436-$I$427)*MIN(J$3-$O$2,$Q$2)/$Q$2))</f>
        <v>8924.41274091378</v>
      </c>
      <c r="K436" s="15" t="n">
        <f aca="false">J436*(1+IF(K$3&lt;=$O$2,$D436,$D436-($D436-$I$427)*MIN(K$3-$O$2,$Q$2)/$Q$2))</f>
        <v>9176.17600209292</v>
      </c>
      <c r="L436" s="15" t="n">
        <f aca="false">K436*(1+IF(L$3&lt;=$O$2,$D436,$D436-($D436-$I$427)*MIN(L$3-$O$2,$Q$2)/$Q$2))</f>
        <v>9465.902289139</v>
      </c>
      <c r="M436" s="15" t="n">
        <f aca="false">L436*(1+IF(M$3&lt;=$O$2,$D436,$D436-($D436-$I$427)*MIN(M$3-$O$2,$Q$2)/$Q$2))</f>
        <v>9796.61133417686</v>
      </c>
      <c r="N436" s="15" t="n">
        <f aca="false">M436*(1+IF(N$3&lt;=$O$2,$D436,$D436-($D436-$I$427)*MIN(N$3-$O$2,$Q$2)/$Q$2))</f>
        <v>10171.8215482758</v>
      </c>
      <c r="O436" s="15" t="n">
        <f aca="false">SUMPRODUCT(E436:N436,1/(1+$F$427)^$E$3:$N$3)*$E$2</f>
        <v>16615.4043370175</v>
      </c>
      <c r="P436" s="15" t="n">
        <f aca="false">N436*$E$2*(1+$I$427)/($F$427-$I$427)/(1+$F$427)^$N$3</f>
        <v>31144.3984879114</v>
      </c>
      <c r="Q436" s="15" t="n">
        <f aca="false">O436+P436</f>
        <v>47759.8028249288</v>
      </c>
      <c r="R436" s="15" t="n">
        <f aca="false">Q436-$G$2+$I$2</f>
        <v>45242.8028249288</v>
      </c>
      <c r="S436" s="42" t="n">
        <f aca="false">R436/$K$2</f>
        <v>104.433781508076</v>
      </c>
      <c r="T436" s="43" t="n">
        <f aca="false">S436-$M$2</f>
        <v>-0.824516816100797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0.021484375</v>
      </c>
      <c r="C437" s="25" t="n">
        <f aca="false">IF(T436&gt;0,D436,C436)</f>
        <v>0.02734375</v>
      </c>
      <c r="D437" s="41" t="n">
        <f aca="false">(B437+C437)/2</f>
        <v>0.0244140625</v>
      </c>
      <c r="E437" s="15" t="n">
        <f aca="false">$C$2*(1+IF(E$3&lt;=$O$2,$D437,$D437-($D437-$I$427)*MIN(E$3-$O$2,$Q$2)/$Q$2))</f>
        <v>8021.162109375</v>
      </c>
      <c r="F437" s="15" t="n">
        <f aca="false">E437*(1+IF(F$3&lt;=$O$2,$D437,$D437-($D437-$I$427)*MIN(F$3-$O$2,$Q$2)/$Q$2))</f>
        <v>8216.99126243591</v>
      </c>
      <c r="G437" s="15" t="n">
        <f aca="false">F437*(1+IF(G$3&lt;=$O$2,$D437,$D437-($D437-$I$427)*MIN(G$3-$O$2,$Q$2)/$Q$2))</f>
        <v>8417.60140067898</v>
      </c>
      <c r="H437" s="15" t="n">
        <f aca="false">G437*(1+IF(H$3&lt;=$O$2,$D437,$D437-($D437-$I$427)*MIN(H$3-$O$2,$Q$2)/$Q$2))</f>
        <v>8623.10924737524</v>
      </c>
      <c r="I437" s="15" t="n">
        <f aca="false">H437*(1+IF(I$3&lt;=$O$2,$D437,$D437-($D437-$I$427)*MIN(I$3-$O$2,$Q$2)/$Q$2))</f>
        <v>8833.63437548499</v>
      </c>
      <c r="J437" s="15" t="n">
        <f aca="false">I437*(1+IF(J$3&lt;=$O$2,$D437,$D437-($D437-$I$427)*MIN(J$3-$O$2,$Q$2)/$Q$2))</f>
        <v>9073.83193619739</v>
      </c>
      <c r="K437" s="15" t="n">
        <f aca="false">J437*(1+IF(K$3&lt;=$O$2,$D437,$D437-($D437-$I$427)*MIN(K$3-$O$2,$Q$2)/$Q$2))</f>
        <v>9345.76050146283</v>
      </c>
      <c r="L437" s="15" t="n">
        <f aca="false">K437*(1+IF(L$3&lt;=$O$2,$D437,$D437-($D437-$I$427)*MIN(L$3-$O$2,$Q$2)/$Q$2))</f>
        <v>9651.79327018354</v>
      </c>
      <c r="M437" s="15" t="n">
        <f aca="false">L437*(1+IF(M$3&lt;=$O$2,$D437,$D437-($D437-$I$427)*MIN(M$3-$O$2,$Q$2)/$Q$2))</f>
        <v>9994.65211280904</v>
      </c>
      <c r="N437" s="15" t="n">
        <f aca="false">M437*(1+IF(N$3&lt;=$O$2,$D437,$D437-($D437-$I$427)*MIN(N$3-$O$2,$Q$2)/$Q$2))</f>
        <v>10377.4472887296</v>
      </c>
      <c r="O437" s="15" t="n">
        <f aca="false">SUMPRODUCT(E437:N437,1/(1+$F$427)^$E$3:$N$3)*$E$2</f>
        <v>16830.2864358118</v>
      </c>
      <c r="P437" s="15" t="n">
        <f aca="false">N437*$E$2*(1+$I$427)/($F$427-$I$427)/(1+$F$427)^$N$3</f>
        <v>31773.9897533175</v>
      </c>
      <c r="Q437" s="15" t="n">
        <f aca="false">O437+P437</f>
        <v>48604.2761891293</v>
      </c>
      <c r="R437" s="15" t="n">
        <f aca="false">Q437-$G$2+$I$2</f>
        <v>46087.2761891293</v>
      </c>
      <c r="S437" s="42" t="n">
        <f aca="false">R437/$K$2</f>
        <v>106.383076010178</v>
      </c>
      <c r="T437" s="43" t="n">
        <f aca="false">S437-$M$2</f>
        <v>1.12477768600093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0.021484375</v>
      </c>
      <c r="C438" s="25" t="n">
        <f aca="false">IF(T437&gt;0,D437,C437)</f>
        <v>0.0244140625</v>
      </c>
      <c r="D438" s="41" t="n">
        <f aca="false">(B438+C438)/2</f>
        <v>0.02294921875</v>
      </c>
      <c r="E438" s="15" t="n">
        <f aca="false">$C$2*(1+IF(E$3&lt;=$O$2,$D438,$D438-($D438-$I$427)*MIN(E$3-$O$2,$Q$2)/$Q$2))</f>
        <v>8009.6923828125</v>
      </c>
      <c r="F438" s="15" t="n">
        <f aca="false">E438*(1+IF(F$3&lt;=$O$2,$D438,$D438-($D438-$I$427)*MIN(F$3-$O$2,$Q$2)/$Q$2))</f>
        <v>8193.50856542587</v>
      </c>
      <c r="G438" s="15" t="n">
        <f aca="false">F438*(1+IF(G$3&lt;=$O$2,$D438,$D438-($D438-$I$427)*MIN(G$3-$O$2,$Q$2)/$Q$2))</f>
        <v>8381.54318582383</v>
      </c>
      <c r="H438" s="15" t="n">
        <f aca="false">G438*(1+IF(H$3&lt;=$O$2,$D438,$D438-($D438-$I$427)*MIN(H$3-$O$2,$Q$2)/$Q$2))</f>
        <v>8573.89305385787</v>
      </c>
      <c r="I438" s="15" t="n">
        <f aca="false">H438*(1+IF(I$3&lt;=$O$2,$D438,$D438-($D438-$I$427)*MIN(I$3-$O$2,$Q$2)/$Q$2))</f>
        <v>8770.65720108996</v>
      </c>
      <c r="J438" s="15" t="n">
        <f aca="false">I438*(1+IF(J$3&lt;=$O$2,$D438,$D438-($D438-$I$427)*MIN(J$3-$O$2,$Q$2)/$Q$2))</f>
        <v>8998.86421980157</v>
      </c>
      <c r="K438" s="15" t="n">
        <f aca="false">J438*(1+IF(K$3&lt;=$O$2,$D438,$D438-($D438-$I$427)*MIN(K$3-$O$2,$Q$2)/$Q$2))</f>
        <v>9260.636961738</v>
      </c>
      <c r="L438" s="15" t="n">
        <f aca="false">K438*(1+IF(L$3&lt;=$O$2,$D438,$D438-($D438-$I$427)*MIN(L$3-$O$2,$Q$2)/$Q$2))</f>
        <v>9558.45615247844</v>
      </c>
      <c r="M438" s="15" t="n">
        <f aca="false">L438*(1+IF(M$3&lt;=$O$2,$D438,$D438-($D438-$I$427)*MIN(M$3-$O$2,$Q$2)/$Q$2))</f>
        <v>9895.19906922148</v>
      </c>
      <c r="N438" s="15" t="n">
        <f aca="false">M438*(1+IF(N$3&lt;=$O$2,$D438,$D438-($D438-$I$427)*MIN(N$3-$O$2,$Q$2)/$Q$2))</f>
        <v>10274.1851935727</v>
      </c>
      <c r="O438" s="15" t="n">
        <f aca="false">SUMPRODUCT(E438:N438,1/(1+$F$427)^$E$3:$N$3)*$E$2</f>
        <v>16722.4952776988</v>
      </c>
      <c r="P438" s="15" t="n">
        <f aca="false">N438*$E$2*(1+$I$427)/($F$427-$I$427)/(1+$F$427)^$N$3</f>
        <v>31457.8186698</v>
      </c>
      <c r="Q438" s="15" t="n">
        <f aca="false">O438+P438</f>
        <v>48180.3139474989</v>
      </c>
      <c r="R438" s="15" t="n">
        <f aca="false">Q438-$G$2+$I$2</f>
        <v>45663.3139474989</v>
      </c>
      <c r="S438" s="42" t="n">
        <f aca="false">R438/$K$2</f>
        <v>105.404445656938</v>
      </c>
      <c r="T438" s="43" t="n">
        <f aca="false">S438-$M$2</f>
        <v>0.146147332761331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0.021484375</v>
      </c>
      <c r="C439" s="25" t="n">
        <f aca="false">IF(T438&gt;0,D438,C438)</f>
        <v>0.02294921875</v>
      </c>
      <c r="D439" s="41" t="n">
        <f aca="false">(B439+C439)/2</f>
        <v>0.022216796875</v>
      </c>
      <c r="E439" s="15" t="n">
        <f aca="false">$C$2*(1+IF(E$3&lt;=$O$2,$D439,$D439-($D439-$I$427)*MIN(E$3-$O$2,$Q$2)/$Q$2))</f>
        <v>8003.95751953125</v>
      </c>
      <c r="F439" s="15" t="n">
        <f aca="false">E439*(1+IF(F$3&lt;=$O$2,$D439,$D439-($D439-$I$427)*MIN(F$3-$O$2,$Q$2)/$Q$2))</f>
        <v>8181.77981793881</v>
      </c>
      <c r="G439" s="15" t="n">
        <f aca="false">F439*(1+IF(G$3&lt;=$O$2,$D439,$D439-($D439-$I$427)*MIN(G$3-$O$2,$Q$2)/$Q$2))</f>
        <v>8363.55275822993</v>
      </c>
      <c r="H439" s="15" t="n">
        <f aca="false">G439*(1+IF(H$3&lt;=$O$2,$D439,$D439-($D439-$I$427)*MIN(H$3-$O$2,$Q$2)/$Q$2))</f>
        <v>8549.36411101287</v>
      </c>
      <c r="I439" s="15" t="n">
        <f aca="false">H439*(1+IF(I$3&lt;=$O$2,$D439,$D439-($D439-$I$427)*MIN(I$3-$O$2,$Q$2)/$Q$2))</f>
        <v>8739.30359687766</v>
      </c>
      <c r="J439" s="15" t="n">
        <f aca="false">I439*(1+IF(J$3&lt;=$O$2,$D439,$D439-($D439-$I$427)*MIN(J$3-$O$2,$Q$2)/$Q$2))</f>
        <v>8961.57412870237</v>
      </c>
      <c r="K439" s="15" t="n">
        <f aca="false">J439*(1+IF(K$3&lt;=$O$2,$D439,$D439-($D439-$I$427)*MIN(K$3-$O$2,$Q$2)/$Q$2))</f>
        <v>9218.32392761267</v>
      </c>
      <c r="L439" s="15" t="n">
        <f aca="false">K439*(1+IF(L$3&lt;=$O$2,$D439,$D439-($D439-$I$427)*MIN(L$3-$O$2,$Q$2)/$Q$2))</f>
        <v>9512.0816635603</v>
      </c>
      <c r="M439" s="15" t="n">
        <f aca="false">L439*(1+IF(M$3&lt;=$O$2,$D439,$D439-($D439-$I$427)*MIN(M$3-$O$2,$Q$2)/$Q$2))</f>
        <v>9845.79744296733</v>
      </c>
      <c r="N439" s="15" t="n">
        <f aca="false">M439*(1+IF(N$3&lt;=$O$2,$D439,$D439-($D439-$I$427)*MIN(N$3-$O$2,$Q$2)/$Q$2))</f>
        <v>10222.891485033</v>
      </c>
      <c r="O439" s="15" t="n">
        <f aca="false">SUMPRODUCT(E439:N439,1/(1+$F$427)^$E$3:$N$3)*$E$2</f>
        <v>16668.8625480938</v>
      </c>
      <c r="P439" s="15" t="n">
        <f aca="false">N439*$E$2*(1+$I$427)/($F$427-$I$427)/(1+$F$427)^$N$3</f>
        <v>31300.766003166</v>
      </c>
      <c r="Q439" s="15" t="n">
        <f aca="false">O439+P439</f>
        <v>47969.6285512598</v>
      </c>
      <c r="R439" s="15" t="n">
        <f aca="false">Q439-$G$2+$I$2</f>
        <v>45452.6285512598</v>
      </c>
      <c r="S439" s="42" t="n">
        <f aca="false">R439/$K$2</f>
        <v>104.918121396195</v>
      </c>
      <c r="T439" s="43" t="n">
        <f aca="false">S439-$M$2</f>
        <v>-0.340176927981645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0.022216796875</v>
      </c>
      <c r="C440" s="25" t="n">
        <f aca="false">IF(T439&gt;0,D439,C439)</f>
        <v>0.02294921875</v>
      </c>
      <c r="D440" s="41" t="n">
        <f aca="false">(B440+C440)/2</f>
        <v>0.0225830078125</v>
      </c>
      <c r="E440" s="15" t="n">
        <f aca="false">$C$2*(1+IF(E$3&lt;=$O$2,$D440,$D440-($D440-$I$427)*MIN(E$3-$O$2,$Q$2)/$Q$2))</f>
        <v>8006.82495117188</v>
      </c>
      <c r="F440" s="15" t="n">
        <f aca="false">E440*(1+IF(F$3&lt;=$O$2,$D440,$D440-($D440-$I$427)*MIN(F$3-$O$2,$Q$2)/$Q$2))</f>
        <v>8187.64314159751</v>
      </c>
      <c r="G440" s="15" t="n">
        <f aca="false">F440*(1+IF(G$3&lt;=$O$2,$D440,$D440-($D440-$I$427)*MIN(G$3-$O$2,$Q$2)/$Q$2))</f>
        <v>8372.54475063017</v>
      </c>
      <c r="H440" s="15" t="n">
        <f aca="false">G440*(1+IF(H$3&lt;=$O$2,$D440,$D440-($D440-$I$427)*MIN(H$3-$O$2,$Q$2)/$Q$2))</f>
        <v>8561.62199414415</v>
      </c>
      <c r="I440" s="15" t="n">
        <f aca="false">H440*(1+IF(I$3&lt;=$O$2,$D440,$D440-($D440-$I$427)*MIN(I$3-$O$2,$Q$2)/$Q$2))</f>
        <v>8754.96917052558</v>
      </c>
      <c r="J440" s="15" t="n">
        <f aca="false">I440*(1+IF(J$3&lt;=$O$2,$D440,$D440-($D440-$I$427)*MIN(J$3-$O$2,$Q$2)/$Q$2))</f>
        <v>8980.20306411275</v>
      </c>
      <c r="K440" s="15" t="n">
        <f aca="false">J440*(1+IF(K$3&lt;=$O$2,$D440,$D440-($D440-$I$427)*MIN(K$3-$O$2,$Q$2)/$Q$2))</f>
        <v>9239.45977262777</v>
      </c>
      <c r="L440" s="15" t="n">
        <f aca="false">K440*(1+IF(L$3&lt;=$O$2,$D440,$D440-($D440-$I$427)*MIN(L$3-$O$2,$Q$2)/$Q$2))</f>
        <v>9535.24447509417</v>
      </c>
      <c r="M440" s="15" t="n">
        <f aca="false">L440*(1+IF(M$3&lt;=$O$2,$D440,$D440-($D440-$I$427)*MIN(M$3-$O$2,$Q$2)/$Q$2))</f>
        <v>9870.47126590609</v>
      </c>
      <c r="N440" s="15" t="n">
        <f aca="false">M440*(1+IF(N$3&lt;=$O$2,$D440,$D440-($D440-$I$427)*MIN(N$3-$O$2,$Q$2)/$Q$2))</f>
        <v>10248.5103153903</v>
      </c>
      <c r="O440" s="15" t="n">
        <f aca="false">SUMPRODUCT(E440:N440,1/(1+$F$427)^$E$3:$N$3)*$E$2</f>
        <v>16695.6570646468</v>
      </c>
      <c r="P440" s="15" t="n">
        <f aca="false">N440*$E$2*(1+$I$427)/($F$427-$I$427)/(1+$F$427)^$N$3</f>
        <v>31379.206531999</v>
      </c>
      <c r="Q440" s="15" t="n">
        <f aca="false">O440+P440</f>
        <v>48074.8635966458</v>
      </c>
      <c r="R440" s="15" t="n">
        <f aca="false">Q440-$G$2+$I$2</f>
        <v>45557.8635966458</v>
      </c>
      <c r="S440" s="42" t="n">
        <f aca="false">R440/$K$2</f>
        <v>105.161035032191</v>
      </c>
      <c r="T440" s="43" t="n">
        <f aca="false">S440-$M$2</f>
        <v>-0.0972632919861525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0.0225830078125</v>
      </c>
      <c r="C441" s="25" t="n">
        <f aca="false">IF(T440&gt;0,D440,C440)</f>
        <v>0.02294921875</v>
      </c>
      <c r="D441" s="41" t="n">
        <f aca="false">(B441+C441)/2</f>
        <v>0.02276611328125</v>
      </c>
      <c r="E441" s="15" t="n">
        <f aca="false">$C$2*(1+IF(E$3&lt;=$O$2,$D441,$D441-($D441-$I$427)*MIN(E$3-$O$2,$Q$2)/$Q$2))</f>
        <v>8008.25866699219</v>
      </c>
      <c r="F441" s="15" t="n">
        <f aca="false">E441*(1+IF(F$3&lt;=$O$2,$D441,$D441-($D441-$I$427)*MIN(F$3-$O$2,$Q$2)/$Q$2))</f>
        <v>8190.57559099048</v>
      </c>
      <c r="G441" s="15" t="n">
        <f aca="false">F441*(1+IF(G$3&lt;=$O$2,$D441,$D441-($D441-$I$427)*MIN(G$3-$O$2,$Q$2)/$Q$2))</f>
        <v>8377.04316273362</v>
      </c>
      <c r="H441" s="15" t="n">
        <f aca="false">G441*(1+IF(H$3&lt;=$O$2,$D441,$D441-($D441-$I$427)*MIN(H$3-$O$2,$Q$2)/$Q$2))</f>
        <v>8567.75587633833</v>
      </c>
      <c r="I441" s="15" t="n">
        <f aca="false">H441*(1+IF(I$3&lt;=$O$2,$D441,$D441-($D441-$I$427)*MIN(I$3-$O$2,$Q$2)/$Q$2))</f>
        <v>8762.81037718514</v>
      </c>
      <c r="J441" s="15" t="n">
        <f aca="false">I441*(1+IF(J$3&lt;=$O$2,$D441,$D441-($D441-$I$427)*MIN(J$3-$O$2,$Q$2)/$Q$2))</f>
        <v>8989.52961164167</v>
      </c>
      <c r="K441" s="15" t="n">
        <f aca="false">J441*(1+IF(K$3&lt;=$O$2,$D441,$D441-($D441-$I$427)*MIN(K$3-$O$2,$Q$2)/$Q$2))</f>
        <v>9250.04319498229</v>
      </c>
      <c r="L441" s="15" t="n">
        <f aca="false">K441*(1+IF(L$3&lt;=$O$2,$D441,$D441-($D441-$I$427)*MIN(L$3-$O$2,$Q$2)/$Q$2))</f>
        <v>9546.84420009636</v>
      </c>
      <c r="M441" s="15" t="n">
        <f aca="false">L441*(1+IF(M$3&lt;=$O$2,$D441,$D441-($D441-$I$427)*MIN(M$3-$O$2,$Q$2)/$Q$2))</f>
        <v>9882.82841369488</v>
      </c>
      <c r="N441" s="15" t="n">
        <f aca="false">M441*(1+IF(N$3&lt;=$O$2,$D441,$D441-($D441-$I$427)*MIN(N$3-$O$2,$Q$2)/$Q$2))</f>
        <v>10261.3407419394</v>
      </c>
      <c r="O441" s="15" t="n">
        <f aca="false">SUMPRODUCT(E441:N441,1/(1+$F$427)^$E$3:$N$3)*$E$2</f>
        <v>16709.0707049263</v>
      </c>
      <c r="P441" s="15" t="n">
        <f aca="false">N441*$E$2*(1+$I$427)/($F$427-$I$427)/(1+$F$427)^$N$3</f>
        <v>31418.4911296808</v>
      </c>
      <c r="Q441" s="15" t="n">
        <f aca="false">O441+P441</f>
        <v>48127.5618346071</v>
      </c>
      <c r="R441" s="15" t="n">
        <f aca="false">Q441-$G$2+$I$2</f>
        <v>45610.5618346071</v>
      </c>
      <c r="S441" s="42" t="n">
        <f aca="false">R441/$K$2</f>
        <v>105.282678164921</v>
      </c>
      <c r="T441" s="43" t="n">
        <f aca="false">S441-$M$2</f>
        <v>0.0243798407440039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0.0225830078125</v>
      </c>
      <c r="C442" s="25" t="n">
        <f aca="false">IF(T441&gt;0,D441,C441)</f>
        <v>0.02276611328125</v>
      </c>
      <c r="D442" s="41" t="n">
        <f aca="false">(B442+C442)/2</f>
        <v>0.022674560546875</v>
      </c>
      <c r="E442" s="15" t="n">
        <f aca="false">$C$2*(1+IF(E$3&lt;=$O$2,$D442,$D442-($D442-$I$427)*MIN(E$3-$O$2,$Q$2)/$Q$2))</f>
        <v>8007.54180908203</v>
      </c>
      <c r="F442" s="15" t="n">
        <f aca="false">E442*(1+IF(F$3&lt;=$O$2,$D442,$D442-($D442-$I$427)*MIN(F$3-$O$2,$Q$2)/$Q$2))</f>
        <v>8189.1093006637</v>
      </c>
      <c r="G442" s="15" t="n">
        <f aca="false">F442*(1+IF(G$3&lt;=$O$2,$D442,$D442-($D442-$I$427)*MIN(G$3-$O$2,$Q$2)/$Q$2))</f>
        <v>8374.79375532657</v>
      </c>
      <c r="H442" s="15" t="n">
        <f aca="false">G442*(1+IF(H$3&lt;=$O$2,$D442,$D442-($D442-$I$427)*MIN(H$3-$O$2,$Q$2)/$Q$2))</f>
        <v>8564.68852339931</v>
      </c>
      <c r="I442" s="15" t="n">
        <f aca="false">H442*(1+IF(I$3&lt;=$O$2,$D442,$D442-($D442-$I$427)*MIN(I$3-$O$2,$Q$2)/$Q$2))</f>
        <v>8758.88907188826</v>
      </c>
      <c r="J442" s="15" t="n">
        <f aca="false">I442*(1+IF(J$3&lt;=$O$2,$D442,$D442-($D442-$I$427)*MIN(J$3-$O$2,$Q$2)/$Q$2))</f>
        <v>8984.86533064604</v>
      </c>
      <c r="K442" s="15" t="n">
        <f aca="false">J442*(1+IF(K$3&lt;=$O$2,$D442,$D442-($D442-$I$427)*MIN(K$3-$O$2,$Q$2)/$Q$2))</f>
        <v>9244.75019127869</v>
      </c>
      <c r="L442" s="15" t="n">
        <f aca="false">K442*(1+IF(L$3&lt;=$O$2,$D442,$D442-($D442-$I$427)*MIN(L$3-$O$2,$Q$2)/$Q$2))</f>
        <v>9541.04280985542</v>
      </c>
      <c r="M442" s="15" t="n">
        <f aca="false">L442*(1+IF(M$3&lt;=$O$2,$D442,$D442-($D442-$I$427)*MIN(M$3-$O$2,$Q$2)/$Q$2))</f>
        <v>9876.64815212387</v>
      </c>
      <c r="N442" s="15" t="n">
        <f aca="false">M442*(1+IF(N$3&lt;=$O$2,$D442,$D442-($D442-$I$427)*MIN(N$3-$O$2,$Q$2)/$Q$2))</f>
        <v>10254.9237763502</v>
      </c>
      <c r="O442" s="15" t="n">
        <f aca="false">SUMPRODUCT(E442:N442,1/(1+$F$427)^$E$3:$N$3)*$E$2</f>
        <v>16702.3625187482</v>
      </c>
      <c r="P442" s="15" t="n">
        <f aca="false">N442*$E$2*(1+$I$427)/($F$427-$I$427)/(1+$F$427)^$N$3</f>
        <v>31398.8434655487</v>
      </c>
      <c r="Q442" s="15" t="n">
        <f aca="false">O442+P442</f>
        <v>48101.2059842968</v>
      </c>
      <c r="R442" s="15" t="n">
        <f aca="false">Q442-$G$2+$I$2</f>
        <v>45584.2059842968</v>
      </c>
      <c r="S442" s="42" t="n">
        <f aca="false">R442/$K$2</f>
        <v>105.221841060655</v>
      </c>
      <c r="T442" s="43" t="n">
        <f aca="false">S442-$M$2</f>
        <v>-0.0364572635224221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0.022674560546875</v>
      </c>
      <c r="C443" s="25" t="n">
        <f aca="false">IF(T442&gt;0,D442,C442)</f>
        <v>0.02276611328125</v>
      </c>
      <c r="D443" s="41" t="n">
        <f aca="false">(B443+C443)/2</f>
        <v>0.0227203369140625</v>
      </c>
      <c r="E443" s="15" t="n">
        <f aca="false">$C$2*(1+IF(E$3&lt;=$O$2,$D443,$D443-($D443-$I$427)*MIN(E$3-$O$2,$Q$2)/$Q$2))</f>
        <v>8007.90023803711</v>
      </c>
      <c r="F443" s="15" t="n">
        <f aca="false">E443*(1+IF(F$3&lt;=$O$2,$D443,$D443-($D443-$I$427)*MIN(F$3-$O$2,$Q$2)/$Q$2))</f>
        <v>8189.84242941951</v>
      </c>
      <c r="G443" s="15" t="n">
        <f aca="false">F443*(1+IF(G$3&lt;=$O$2,$D443,$D443-($D443-$I$427)*MIN(G$3-$O$2,$Q$2)/$Q$2))</f>
        <v>8375.91840868901</v>
      </c>
      <c r="H443" s="15" t="n">
        <f aca="false">G443*(1+IF(H$3&lt;=$O$2,$D443,$D443-($D443-$I$427)*MIN(H$3-$O$2,$Q$2)/$Q$2))</f>
        <v>8566.22209689912</v>
      </c>
      <c r="I443" s="15" t="n">
        <f aca="false">H443*(1+IF(I$3&lt;=$O$2,$D443,$D443-($D443-$I$427)*MIN(I$3-$O$2,$Q$2)/$Q$2))</f>
        <v>8760.84954902136</v>
      </c>
      <c r="J443" s="15" t="n">
        <f aca="false">I443*(1+IF(J$3&lt;=$O$2,$D443,$D443-($D443-$I$427)*MIN(J$3-$O$2,$Q$2)/$Q$2))</f>
        <v>8987.1972192926</v>
      </c>
      <c r="K443" s="15" t="n">
        <f aca="false">J443*(1+IF(K$3&lt;=$O$2,$D443,$D443-($D443-$I$427)*MIN(K$3-$O$2,$Q$2)/$Q$2))</f>
        <v>9247.39636993344</v>
      </c>
      <c r="L443" s="15" t="n">
        <f aca="false">K443*(1+IF(L$3&lt;=$O$2,$D443,$D443-($D443-$I$427)*MIN(L$3-$O$2,$Q$2)/$Q$2))</f>
        <v>9543.94312295561</v>
      </c>
      <c r="M443" s="15" t="n">
        <f aca="false">L443*(1+IF(M$3&lt;=$O$2,$D443,$D443-($D443-$I$427)*MIN(M$3-$O$2,$Q$2)/$Q$2))</f>
        <v>9879.73786089142</v>
      </c>
      <c r="N443" s="15" t="n">
        <f aca="false">M443*(1+IF(N$3&lt;=$O$2,$D443,$D443-($D443-$I$427)*MIN(N$3-$O$2,$Q$2)/$Q$2))</f>
        <v>10258.1318209636</v>
      </c>
      <c r="O443" s="15" t="n">
        <f aca="false">SUMPRODUCT(E443:N443,1/(1+$F$427)^$E$3:$N$3)*$E$2</f>
        <v>16705.7162702623</v>
      </c>
      <c r="P443" s="15" t="n">
        <f aca="false">N443*$E$2*(1+$I$427)/($F$427-$I$427)/(1+$F$427)^$N$3</f>
        <v>31408.6659559778</v>
      </c>
      <c r="Q443" s="15" t="n">
        <f aca="false">O443+P443</f>
        <v>48114.3822262401</v>
      </c>
      <c r="R443" s="15" t="n">
        <f aca="false">Q443-$G$2+$I$2</f>
        <v>45597.3822262401</v>
      </c>
      <c r="S443" s="42" t="n">
        <f aca="false">R443/$K$2</f>
        <v>105.252255727437</v>
      </c>
      <c r="T443" s="43" t="n">
        <f aca="false">S443-$M$2</f>
        <v>-0.00604259674055641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0.0227203369140625</v>
      </c>
      <c r="C444" s="25" t="n">
        <f aca="false">IF(T443&gt;0,D443,C443)</f>
        <v>0.02276611328125</v>
      </c>
      <c r="D444" s="41" t="n">
        <f aca="false">(B444+C444)/2</f>
        <v>0.0227432250976563</v>
      </c>
      <c r="E444" s="15" t="n">
        <f aca="false">$C$2*(1+IF(E$3&lt;=$O$2,$D444,$D444-($D444-$I$427)*MIN(E$3-$O$2,$Q$2)/$Q$2))</f>
        <v>8008.07945251465</v>
      </c>
      <c r="F444" s="15" t="n">
        <f aca="false">E444*(1+IF(F$3&lt;=$O$2,$D444,$D444-($D444-$I$427)*MIN(F$3-$O$2,$Q$2)/$Q$2))</f>
        <v>8190.20900610311</v>
      </c>
      <c r="G444" s="15" t="n">
        <f aca="false">F444*(1+IF(G$3&lt;=$O$2,$D444,$D444-($D444-$I$427)*MIN(G$3-$O$2,$Q$2)/$Q$2))</f>
        <v>8376.48077312576</v>
      </c>
      <c r="H444" s="15" t="n">
        <f aca="false">G444*(1+IF(H$3&lt;=$O$2,$D444,$D444-($D444-$I$427)*MIN(H$3-$O$2,$Q$2)/$Q$2))</f>
        <v>8566.98896087515</v>
      </c>
      <c r="I444" s="15" t="n">
        <f aca="false">H444*(1+IF(I$3&lt;=$O$2,$D444,$D444-($D444-$I$427)*MIN(I$3-$O$2,$Q$2)/$Q$2))</f>
        <v>8761.82991922147</v>
      </c>
      <c r="J444" s="15" t="n">
        <f aca="false">I444*(1+IF(J$3&lt;=$O$2,$D444,$D444-($D444-$I$427)*MIN(J$3-$O$2,$Q$2)/$Q$2))</f>
        <v>8988.36335249889</v>
      </c>
      <c r="K444" s="15" t="n">
        <f aca="false">J444*(1+IF(K$3&lt;=$O$2,$D444,$D444-($D444-$I$427)*MIN(K$3-$O$2,$Q$2)/$Q$2))</f>
        <v>9248.71970165042</v>
      </c>
      <c r="L444" s="15" t="n">
        <f aca="false">K444*(1+IF(L$3&lt;=$O$2,$D444,$D444-($D444-$I$427)*MIN(L$3-$O$2,$Q$2)/$Q$2))</f>
        <v>9545.39356601025</v>
      </c>
      <c r="M444" s="15" t="n">
        <f aca="false">L444*(1+IF(M$3&lt;=$O$2,$D444,$D444-($D444-$I$427)*MIN(M$3-$O$2,$Q$2)/$Q$2))</f>
        <v>9881.2830317763</v>
      </c>
      <c r="N444" s="15" t="n">
        <f aca="false">M444*(1+IF(N$3&lt;=$O$2,$D444,$D444-($D444-$I$427)*MIN(N$3-$O$2,$Q$2)/$Q$2))</f>
        <v>10259.7361718933</v>
      </c>
      <c r="O444" s="15" t="n">
        <f aca="false">SUMPRODUCT(E444:N444,1/(1+$F$427)^$E$3:$N$3)*$E$2</f>
        <v>16707.3934021924</v>
      </c>
      <c r="P444" s="15" t="n">
        <f aca="false">N444*$E$2*(1+$I$427)/($F$427-$I$427)/(1+$F$427)^$N$3</f>
        <v>31413.5782073808</v>
      </c>
      <c r="Q444" s="15" t="n">
        <f aca="false">O444+P444</f>
        <v>48120.9716095732</v>
      </c>
      <c r="R444" s="15" t="n">
        <f aca="false">Q444-$G$2+$I$2</f>
        <v>45603.9716095732</v>
      </c>
      <c r="S444" s="42" t="n">
        <f aca="false">R444/$K$2</f>
        <v>105.267465974731</v>
      </c>
      <c r="T444" s="43" t="n">
        <f aca="false">S444-$M$2</f>
        <v>0.00916765055436031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0.0227203369140625</v>
      </c>
      <c r="C445" s="25" t="n">
        <f aca="false">IF(T444&gt;0,D444,C444)</f>
        <v>0.0227432250976563</v>
      </c>
      <c r="D445" s="41" t="n">
        <f aca="false">(B445+C445)/2</f>
        <v>0.0227317810058594</v>
      </c>
      <c r="E445" s="15" t="n">
        <f aca="false">$C$2*(1+IF(E$3&lt;=$O$2,$D445,$D445-($D445-$I$427)*MIN(E$3-$O$2,$Q$2)/$Q$2))</f>
        <v>8007.98984527588</v>
      </c>
      <c r="F445" s="15" t="n">
        <f aca="false">E445*(1+IF(F$3&lt;=$O$2,$D445,$D445-($D445-$I$427)*MIN(F$3-$O$2,$Q$2)/$Q$2))</f>
        <v>8190.02571673584</v>
      </c>
      <c r="G445" s="15" t="n">
        <f aca="false">F445*(1+IF(G$3&lt;=$O$2,$D445,$D445-($D445-$I$427)*MIN(G$3-$O$2,$Q$2)/$Q$2))</f>
        <v>8376.19958776103</v>
      </c>
      <c r="H445" s="15" t="n">
        <f aca="false">G445*(1+IF(H$3&lt;=$O$2,$D445,$D445-($D445-$I$427)*MIN(H$3-$O$2,$Q$2)/$Q$2))</f>
        <v>8566.60552245139</v>
      </c>
      <c r="I445" s="15" t="n">
        <f aca="false">H445*(1+IF(I$3&lt;=$O$2,$D445,$D445-($D445-$I$427)*MIN(I$3-$O$2,$Q$2)/$Q$2))</f>
        <v>8761.33972315134</v>
      </c>
      <c r="J445" s="15" t="n">
        <f aca="false">I445*(1+IF(J$3&lt;=$O$2,$D445,$D445-($D445-$I$427)*MIN(J$3-$O$2,$Q$2)/$Q$2))</f>
        <v>8987.78027015437</v>
      </c>
      <c r="K445" s="15" t="n">
        <f aca="false">J445*(1+IF(K$3&lt;=$O$2,$D445,$D445-($D445-$I$427)*MIN(K$3-$O$2,$Q$2)/$Q$2))</f>
        <v>9248.05801559109</v>
      </c>
      <c r="L445" s="15" t="n">
        <f aca="false">K445*(1+IF(L$3&lt;=$O$2,$D445,$D445-($D445-$I$427)*MIN(L$3-$O$2,$Q$2)/$Q$2))</f>
        <v>9544.66832060534</v>
      </c>
      <c r="M445" s="15" t="n">
        <f aca="false">L445*(1+IF(M$3&lt;=$O$2,$D445,$D445-($D445-$I$427)*MIN(M$3-$O$2,$Q$2)/$Q$2))</f>
        <v>9880.5104199562</v>
      </c>
      <c r="N445" s="15" t="n">
        <f aca="false">M445*(1+IF(N$3&lt;=$O$2,$D445,$D445-($D445-$I$427)*MIN(N$3-$O$2,$Q$2)/$Q$2))</f>
        <v>10258.9339690405</v>
      </c>
      <c r="O445" s="15" t="n">
        <f aca="false">SUMPRODUCT(E445:N445,1/(1+$F$427)^$E$3:$N$3)*$E$2</f>
        <v>16706.5548148779</v>
      </c>
      <c r="P445" s="15" t="n">
        <f aca="false">N445*$E$2*(1+$I$427)/($F$427-$I$427)/(1+$F$427)^$N$3</f>
        <v>31411.1219978221</v>
      </c>
      <c r="Q445" s="15" t="n">
        <f aca="false">O445+P445</f>
        <v>48117.6768127</v>
      </c>
      <c r="R445" s="15" t="n">
        <f aca="false">Q445-$G$2+$I$2</f>
        <v>45600.6768127</v>
      </c>
      <c r="S445" s="42" t="n">
        <f aca="false">R445/$K$2</f>
        <v>105.259860608236</v>
      </c>
      <c r="T445" s="43" t="n">
        <f aca="false">S445-$M$2</f>
        <v>0.00156228405880654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0.0227203369140625</v>
      </c>
      <c r="C446" s="25" t="n">
        <f aca="false">IF(T445&gt;0,D445,C445)</f>
        <v>0.0227317810058594</v>
      </c>
      <c r="D446" s="41" t="n">
        <f aca="false">(B446+C446)/2</f>
        <v>0.0227260589599609</v>
      </c>
      <c r="E446" s="15" t="n">
        <f aca="false">$C$2*(1+IF(E$3&lt;=$O$2,$D446,$D446-($D446-$I$427)*MIN(E$3-$O$2,$Q$2)/$Q$2))</f>
        <v>8007.94504165649</v>
      </c>
      <c r="F446" s="15" t="n">
        <f aca="false">E446*(1+IF(F$3&lt;=$O$2,$D446,$D446-($D446-$I$427)*MIN(F$3-$O$2,$Q$2)/$Q$2))</f>
        <v>8189.93407282131</v>
      </c>
      <c r="G446" s="15" t="n">
        <f aca="false">F446*(1+IF(G$3&lt;=$O$2,$D446,$D446-($D446-$I$427)*MIN(G$3-$O$2,$Q$2)/$Q$2))</f>
        <v>8376.05899743844</v>
      </c>
      <c r="H446" s="15" t="n">
        <f aca="false">G446*(1+IF(H$3&lt;=$O$2,$D446,$D446-($D446-$I$427)*MIN(H$3-$O$2,$Q$2)/$Q$2))</f>
        <v>8566.41380806633</v>
      </c>
      <c r="I446" s="15" t="n">
        <f aca="false">H446*(1+IF(I$3&lt;=$O$2,$D446,$D446-($D446-$I$427)*MIN(I$3-$O$2,$Q$2)/$Q$2))</f>
        <v>8761.09463334387</v>
      </c>
      <c r="J446" s="15" t="n">
        <f aca="false">I446*(1+IF(J$3&lt;=$O$2,$D446,$D446-($D446-$I$427)*MIN(J$3-$O$2,$Q$2)/$Q$2))</f>
        <v>8987.48874078822</v>
      </c>
      <c r="K446" s="15" t="n">
        <f aca="false">J446*(1+IF(K$3&lt;=$O$2,$D446,$D446-($D446-$I$427)*MIN(K$3-$O$2,$Q$2)/$Q$2))</f>
        <v>9247.72718771218</v>
      </c>
      <c r="L446" s="15" t="n">
        <f aca="false">K446*(1+IF(L$3&lt;=$O$2,$D446,$D446-($D446-$I$427)*MIN(L$3-$O$2,$Q$2)/$Q$2))</f>
        <v>9544.30571581124</v>
      </c>
      <c r="M446" s="15" t="n">
        <f aca="false">L446*(1+IF(M$3&lt;=$O$2,$D446,$D446-($D446-$I$427)*MIN(M$3-$O$2,$Q$2)/$Q$2))</f>
        <v>9880.12413382958</v>
      </c>
      <c r="N446" s="15" t="n">
        <f aca="false">M446*(1+IF(N$3&lt;=$O$2,$D446,$D446-($D446-$I$427)*MIN(N$3-$O$2,$Q$2)/$Q$2))</f>
        <v>10258.5328881553</v>
      </c>
      <c r="O446" s="15" t="n">
        <f aca="false">SUMPRODUCT(E446:N446,1/(1+$F$427)^$E$3:$N$3)*$E$2</f>
        <v>16706.1355372328</v>
      </c>
      <c r="P446" s="15" t="n">
        <f aca="false">N446*$E$2*(1+$I$427)/($F$427-$I$427)/(1+$F$427)^$N$3</f>
        <v>31409.8939559363</v>
      </c>
      <c r="Q446" s="15" t="n">
        <f aca="false">O446+P446</f>
        <v>48116.0294931691</v>
      </c>
      <c r="R446" s="15" t="n">
        <f aca="false">Q446-$G$2+$I$2</f>
        <v>45599.0294931691</v>
      </c>
      <c r="S446" s="42" t="n">
        <f aca="false">R446/$K$2</f>
        <v>105.256058107126</v>
      </c>
      <c r="T446" s="43" t="n">
        <f aca="false">S446-$M$2</f>
        <v>-0.00224021705118105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0.0227260589599609</v>
      </c>
      <c r="C447" s="25" t="n">
        <f aca="false">IF(T446&gt;0,D446,C446)</f>
        <v>0.0227317810058594</v>
      </c>
      <c r="D447" s="41" t="n">
        <f aca="false">(B447+C447)/2</f>
        <v>0.0227289199829102</v>
      </c>
      <c r="E447" s="15" t="n">
        <f aca="false">$C$2*(1+IF(E$3&lt;=$O$2,$D447,$D447-($D447-$I$427)*MIN(E$3-$O$2,$Q$2)/$Q$2))</f>
        <v>8007.96744346619</v>
      </c>
      <c r="F447" s="15" t="n">
        <f aca="false">E447*(1+IF(F$3&lt;=$O$2,$D447,$D447-($D447-$I$427)*MIN(F$3-$O$2,$Q$2)/$Q$2))</f>
        <v>8189.97989471448</v>
      </c>
      <c r="G447" s="15" t="n">
        <f aca="false">F447*(1+IF(G$3&lt;=$O$2,$D447,$D447-($D447-$I$427)*MIN(G$3-$O$2,$Q$2)/$Q$2))</f>
        <v>8376.12929240309</v>
      </c>
      <c r="H447" s="15" t="n">
        <f aca="false">G447*(1+IF(H$3&lt;=$O$2,$D447,$D447-($D447-$I$427)*MIN(H$3-$O$2,$Q$2)/$Q$2))</f>
        <v>8566.50966485663</v>
      </c>
      <c r="I447" s="15" t="n">
        <f aca="false">H447*(1+IF(I$3&lt;=$O$2,$D447,$D447-($D447-$I$427)*MIN(I$3-$O$2,$Q$2)/$Q$2))</f>
        <v>8761.21717756198</v>
      </c>
      <c r="J447" s="15" t="n">
        <f aca="false">I447*(1+IF(J$3&lt;=$O$2,$D447,$D447-($D447-$I$427)*MIN(J$3-$O$2,$Q$2)/$Q$2))</f>
        <v>8987.63450448747</v>
      </c>
      <c r="K447" s="15" t="n">
        <f aca="false">J447*(1+IF(K$3&lt;=$O$2,$D447,$D447-($D447-$I$427)*MIN(K$3-$O$2,$Q$2)/$Q$2))</f>
        <v>9247.8926003891</v>
      </c>
      <c r="L447" s="15" t="n">
        <f aca="false">K447*(1+IF(L$3&lt;=$O$2,$D447,$D447-($D447-$I$427)*MIN(L$3-$O$2,$Q$2)/$Q$2))</f>
        <v>9544.48701671596</v>
      </c>
      <c r="M447" s="15" t="n">
        <f aca="false">L447*(1+IF(M$3&lt;=$O$2,$D447,$D447-($D447-$I$427)*MIN(M$3-$O$2,$Q$2)/$Q$2))</f>
        <v>9880.31727524431</v>
      </c>
      <c r="N447" s="15" t="n">
        <f aca="false">M447*(1+IF(N$3&lt;=$O$2,$D447,$D447-($D447-$I$427)*MIN(N$3-$O$2,$Q$2)/$Q$2))</f>
        <v>10258.7334268862</v>
      </c>
      <c r="O447" s="15" t="n">
        <f aca="false">SUMPRODUCT(E447:N447,1/(1+$F$427)^$E$3:$N$3)*$E$2</f>
        <v>16706.345174721</v>
      </c>
      <c r="P447" s="15" t="n">
        <f aca="false">N447*$E$2*(1+$I$427)/($F$427-$I$427)/(1+$F$427)^$N$3</f>
        <v>31410.5079716382</v>
      </c>
      <c r="Q447" s="15" t="n">
        <f aca="false">O447+P447</f>
        <v>48116.8531463592</v>
      </c>
      <c r="R447" s="15" t="n">
        <f aca="false">Q447-$G$2+$I$2</f>
        <v>45599.8531463592</v>
      </c>
      <c r="S447" s="42" t="n">
        <f aca="false">R447/$K$2</f>
        <v>105.257959342503</v>
      </c>
      <c r="T447" s="43" t="n">
        <f aca="false">S447-$M$2</f>
        <v>-0.000338981674005368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0.0227289199829102</v>
      </c>
      <c r="C448" s="25" t="n">
        <f aca="false">IF(T447&gt;0,D447,C447)</f>
        <v>0.0227317810058594</v>
      </c>
      <c r="D448" s="41" t="n">
        <f aca="false">(B448+C448)/2</f>
        <v>0.0227303504943848</v>
      </c>
      <c r="E448" s="15" t="n">
        <f aca="false">$C$2*(1+IF(E$3&lt;=$O$2,$D448,$D448-($D448-$I$427)*MIN(E$3-$O$2,$Q$2)/$Q$2))</f>
        <v>8007.97864437103</v>
      </c>
      <c r="F448" s="15" t="n">
        <f aca="false">E448*(1+IF(F$3&lt;=$O$2,$D448,$D448-($D448-$I$427)*MIN(F$3-$O$2,$Q$2)/$Q$2))</f>
        <v>8190.00280570914</v>
      </c>
      <c r="G448" s="15" t="n">
        <f aca="false">F448*(1+IF(G$3&lt;=$O$2,$D448,$D448-($D448-$I$427)*MIN(G$3-$O$2,$Q$2)/$Q$2))</f>
        <v>8376.1644400329</v>
      </c>
      <c r="H448" s="15" t="n">
        <f aca="false">G448*(1+IF(H$3&lt;=$O$2,$D448,$D448-($D448-$I$427)*MIN(H$3-$O$2,$Q$2)/$Q$2))</f>
        <v>8566.55759355345</v>
      </c>
      <c r="I448" s="15" t="n">
        <f aca="false">H448*(1+IF(I$3&lt;=$O$2,$D448,$D448-($D448-$I$427)*MIN(I$3-$O$2,$Q$2)/$Q$2))</f>
        <v>8761.27845018525</v>
      </c>
      <c r="J448" s="15" t="n">
        <f aca="false">I448*(1+IF(J$3&lt;=$O$2,$D448,$D448-($D448-$I$427)*MIN(J$3-$O$2,$Q$2)/$Q$2))</f>
        <v>8987.70738707496</v>
      </c>
      <c r="K448" s="15" t="n">
        <f aca="false">J448*(1+IF(K$3&lt;=$O$2,$D448,$D448-($D448-$I$427)*MIN(K$3-$O$2,$Q$2)/$Q$2))</f>
        <v>9247.97530767446</v>
      </c>
      <c r="L448" s="15" t="n">
        <f aca="false">K448*(1+IF(L$3&lt;=$O$2,$D448,$D448-($D448-$I$427)*MIN(L$3-$O$2,$Q$2)/$Q$2))</f>
        <v>9544.57766828756</v>
      </c>
      <c r="M448" s="15" t="n">
        <f aca="false">L448*(1+IF(M$3&lt;=$O$2,$D448,$D448-($D448-$I$427)*MIN(M$3-$O$2,$Q$2)/$Q$2))</f>
        <v>9880.4138471881</v>
      </c>
      <c r="N448" s="15" t="n">
        <f aca="false">M448*(1+IF(N$3&lt;=$O$2,$D448,$D448-($D448-$I$427)*MIN(N$3-$O$2,$Q$2)/$Q$2))</f>
        <v>10258.8336975354</v>
      </c>
      <c r="O448" s="15" t="n">
        <f aca="false">SUMPRODUCT(E448:N448,1/(1+$F$427)^$E$3:$N$3)*$E$2</f>
        <v>16706.4499944659</v>
      </c>
      <c r="P448" s="15" t="n">
        <f aca="false">N448*$E$2*(1+$I$427)/($F$427-$I$427)/(1+$F$427)^$N$3</f>
        <v>31410.8149834199</v>
      </c>
      <c r="Q448" s="15" t="n">
        <f aca="false">O448+P448</f>
        <v>48117.2649778857</v>
      </c>
      <c r="R448" s="15" t="n">
        <f aca="false">Q448-$G$2+$I$2</f>
        <v>45600.2649778857</v>
      </c>
      <c r="S448" s="42" t="n">
        <f aca="false">R448/$K$2</f>
        <v>105.258909971575</v>
      </c>
      <c r="T448" s="43" t="n">
        <f aca="false">S448-$M$2</f>
        <v>0.000611647397931847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0.0227289199829102</v>
      </c>
      <c r="C449" s="25" t="n">
        <f aca="false">IF(T448&gt;0,D448,C448)</f>
        <v>0.0227303504943848</v>
      </c>
      <c r="D449" s="41" t="n">
        <f aca="false">(B449+C449)/2</f>
        <v>0.0227296352386475</v>
      </c>
      <c r="E449" s="15" t="n">
        <f aca="false">$C$2*(1+IF(E$3&lt;=$O$2,$D449,$D449-($D449-$I$427)*MIN(E$3-$O$2,$Q$2)/$Q$2))</f>
        <v>8007.97304391861</v>
      </c>
      <c r="F449" s="15" t="n">
        <f aca="false">E449*(1+IF(F$3&lt;=$O$2,$D449,$D449-($D449-$I$427)*MIN(F$3-$O$2,$Q$2)/$Q$2))</f>
        <v>8189.9913502078</v>
      </c>
      <c r="G449" s="15" t="n">
        <f aca="false">F449*(1+IF(G$3&lt;=$O$2,$D449,$D449-($D449-$I$427)*MIN(G$3-$O$2,$Q$2)/$Q$2))</f>
        <v>8376.1468662057</v>
      </c>
      <c r="H449" s="15" t="n">
        <f aca="false">G449*(1+IF(H$3&lt;=$O$2,$D449,$D449-($D449-$I$427)*MIN(H$3-$O$2,$Q$2)/$Q$2))</f>
        <v>8566.5336291799</v>
      </c>
      <c r="I449" s="15" t="n">
        <f aca="false">H449*(1+IF(I$3&lt;=$O$2,$D449,$D449-($D449-$I$427)*MIN(I$3-$O$2,$Q$2)/$Q$2))</f>
        <v>8761.24781383076</v>
      </c>
      <c r="J449" s="15" t="n">
        <f aca="false">I449*(1+IF(J$3&lt;=$O$2,$D449,$D449-($D449-$I$427)*MIN(J$3-$O$2,$Q$2)/$Q$2))</f>
        <v>8987.67094571972</v>
      </c>
      <c r="K449" s="15" t="n">
        <f aca="false">J449*(1+IF(K$3&lt;=$O$2,$D449,$D449-($D449-$I$427)*MIN(K$3-$O$2,$Q$2)/$Q$2))</f>
        <v>9247.93395395287</v>
      </c>
      <c r="L449" s="15" t="n">
        <f aca="false">K449*(1+IF(L$3&lt;=$O$2,$D449,$D449-($D449-$I$427)*MIN(L$3-$O$2,$Q$2)/$Q$2))</f>
        <v>9544.53234240849</v>
      </c>
      <c r="M449" s="15" t="n">
        <f aca="false">L449*(1+IF(M$3&lt;=$O$2,$D449,$D449-($D449-$I$427)*MIN(M$3-$O$2,$Q$2)/$Q$2))</f>
        <v>9880.36556111317</v>
      </c>
      <c r="N449" s="15" t="n">
        <f aca="false">M449*(1+IF(N$3&lt;=$O$2,$D449,$D449-($D449-$I$427)*MIN(N$3-$O$2,$Q$2)/$Q$2))</f>
        <v>10258.7835621038</v>
      </c>
      <c r="O449" s="15" t="n">
        <f aca="false">SUMPRODUCT(E449:N449,1/(1+$F$427)^$E$3:$N$3)*$E$2</f>
        <v>16706.39758451</v>
      </c>
      <c r="P449" s="15" t="n">
        <f aca="false">N449*$E$2*(1+$I$427)/($F$427-$I$427)/(1+$F$427)^$N$3</f>
        <v>31410.6614772015</v>
      </c>
      <c r="Q449" s="15" t="n">
        <f aca="false">O449+P449</f>
        <v>48117.0590617115</v>
      </c>
      <c r="R449" s="15" t="n">
        <f aca="false">Q449-$G$2+$I$2</f>
        <v>45600.0590617115</v>
      </c>
      <c r="S449" s="42" t="n">
        <f aca="false">R449/$K$2</f>
        <v>105.25843465609</v>
      </c>
      <c r="T449" s="43" t="n">
        <f aca="false">S449-$M$2</f>
        <v>0.000136331913310528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0.0227289199829102</v>
      </c>
      <c r="C450" s="25" t="n">
        <f aca="false">IF(T449&gt;0,D449,C449)</f>
        <v>0.0227296352386475</v>
      </c>
      <c r="D450" s="41" t="n">
        <f aca="false">(B450+C450)/2</f>
        <v>0.0227292776107788</v>
      </c>
      <c r="E450" s="15" t="n">
        <f aca="false">$C$2*(1+IF(E$3&lt;=$O$2,$D450,$D450-($D450-$I$427)*MIN(E$3-$O$2,$Q$2)/$Q$2))</f>
        <v>8007.9702436924</v>
      </c>
      <c r="F450" s="15" t="n">
        <f aca="false">E450*(1+IF(F$3&lt;=$O$2,$D450,$D450-($D450-$I$427)*MIN(F$3-$O$2,$Q$2)/$Q$2))</f>
        <v>8189.98562246014</v>
      </c>
      <c r="G450" s="15" t="n">
        <f aca="false">F450*(1+IF(G$3&lt;=$O$2,$D450,$D450-($D450-$I$427)*MIN(G$3-$O$2,$Q$2)/$Q$2))</f>
        <v>8376.13807930132</v>
      </c>
      <c r="H450" s="15" t="n">
        <f aca="false">G450*(1+IF(H$3&lt;=$O$2,$D450,$D450-($D450-$I$427)*MIN(H$3-$O$2,$Q$2)/$Q$2))</f>
        <v>8566.52164701198</v>
      </c>
      <c r="I450" s="15" t="n">
        <f aca="false">H450*(1+IF(I$3&lt;=$O$2,$D450,$D450-($D450-$I$427)*MIN(I$3-$O$2,$Q$2)/$Q$2))</f>
        <v>8761.23249568566</v>
      </c>
      <c r="J450" s="15" t="n">
        <f aca="false">I450*(1+IF(J$3&lt;=$O$2,$D450,$D450-($D450-$I$427)*MIN(J$3-$O$2,$Q$2)/$Q$2))</f>
        <v>8987.65272508823</v>
      </c>
      <c r="K450" s="15" t="n">
        <f aca="false">J450*(1+IF(K$3&lt;=$O$2,$D450,$D450-($D450-$I$427)*MIN(K$3-$O$2,$Q$2)/$Q$2))</f>
        <v>9247.91327715126</v>
      </c>
      <c r="L450" s="15" t="n">
        <f aca="false">K450*(1+IF(L$3&lt;=$O$2,$D450,$D450-($D450-$I$427)*MIN(L$3-$O$2,$Q$2)/$Q$2))</f>
        <v>9544.50967953891</v>
      </c>
      <c r="M450" s="15" t="n">
        <f aca="false">L450*(1+IF(M$3&lt;=$O$2,$D450,$D450-($D450-$I$427)*MIN(M$3-$O$2,$Q$2)/$Q$2))</f>
        <v>9880.34141815298</v>
      </c>
      <c r="N450" s="15" t="n">
        <f aca="false">M450*(1+IF(N$3&lt;=$O$2,$D450,$D450-($D450-$I$427)*MIN(N$3-$O$2,$Q$2)/$Q$2))</f>
        <v>10258.7584944682</v>
      </c>
      <c r="O450" s="15" t="n">
        <f aca="false">SUMPRODUCT(E450:N450,1/(1+$F$427)^$E$3:$N$3)*$E$2</f>
        <v>16706.3713795947</v>
      </c>
      <c r="P450" s="15" t="n">
        <f aca="false">N450*$E$2*(1+$I$427)/($F$427-$I$427)/(1+$F$427)^$N$3</f>
        <v>31410.5847243379</v>
      </c>
      <c r="Q450" s="15" t="n">
        <f aca="false">O450+P450</f>
        <v>48116.9561039326</v>
      </c>
      <c r="R450" s="15" t="n">
        <f aca="false">Q450-$G$2+$I$2</f>
        <v>45599.9561039326</v>
      </c>
      <c r="S450" s="42" t="n">
        <f aca="false">R450/$K$2</f>
        <v>105.25819699906</v>
      </c>
      <c r="T450" s="43" t="n">
        <f aca="false">S450-$M$2</f>
        <v>-0.000101325117455531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0.0227292776107788</v>
      </c>
      <c r="C451" s="25" t="n">
        <f aca="false">IF(T450&gt;0,D450,C450)</f>
        <v>0.0227296352386475</v>
      </c>
      <c r="D451" s="41" t="n">
        <f aca="false">(B451+C451)/2</f>
        <v>0.0227294564247131</v>
      </c>
      <c r="E451" s="15" t="n">
        <f aca="false">$C$2*(1+IF(E$3&lt;=$O$2,$D451,$D451-($D451-$I$427)*MIN(E$3-$O$2,$Q$2)/$Q$2))</f>
        <v>8007.9716438055</v>
      </c>
      <c r="F451" s="15" t="n">
        <f aca="false">E451*(1+IF(F$3&lt;=$O$2,$D451,$D451-($D451-$I$427)*MIN(F$3-$O$2,$Q$2)/$Q$2))</f>
        <v>8189.98848633372</v>
      </c>
      <c r="G451" s="15" t="n">
        <f aca="false">F451*(1+IF(G$3&lt;=$O$2,$D451,$D451-($D451-$I$427)*MIN(G$3-$O$2,$Q$2)/$Q$2))</f>
        <v>8376.14247275275</v>
      </c>
      <c r="H451" s="15" t="n">
        <f aca="false">G451*(1+IF(H$3&lt;=$O$2,$D451,$D451-($D451-$I$427)*MIN(H$3-$O$2,$Q$2)/$Q$2))</f>
        <v>8566.52763809437</v>
      </c>
      <c r="I451" s="15" t="n">
        <f aca="false">H451*(1+IF(I$3&lt;=$O$2,$D451,$D451-($D451-$I$427)*MIN(I$3-$O$2,$Q$2)/$Q$2))</f>
        <v>8761.24015475553</v>
      </c>
      <c r="J451" s="15" t="n">
        <f aca="false">I451*(1+IF(J$3&lt;=$O$2,$D451,$D451-($D451-$I$427)*MIN(J$3-$O$2,$Q$2)/$Q$2))</f>
        <v>8987.66183540013</v>
      </c>
      <c r="K451" s="15" t="n">
        <f aca="false">J451*(1+IF(K$3&lt;=$O$2,$D451,$D451-($D451-$I$427)*MIN(K$3-$O$2,$Q$2)/$Q$2))</f>
        <v>9247.92361554713</v>
      </c>
      <c r="L451" s="15" t="n">
        <f aca="false">K451*(1+IF(L$3&lt;=$O$2,$D451,$D451-($D451-$I$427)*MIN(L$3-$O$2,$Q$2)/$Q$2))</f>
        <v>9544.52101096787</v>
      </c>
      <c r="M451" s="15" t="n">
        <f aca="false">L451*(1+IF(M$3&lt;=$O$2,$D451,$D451-($D451-$I$427)*MIN(M$3-$O$2,$Q$2)/$Q$2))</f>
        <v>9880.35348962663</v>
      </c>
      <c r="N451" s="15" t="n">
        <f aca="false">M451*(1+IF(N$3&lt;=$O$2,$D451,$D451-($D451-$I$427)*MIN(N$3-$O$2,$Q$2)/$Q$2))</f>
        <v>10258.7710282793</v>
      </c>
      <c r="O451" s="15" t="n">
        <f aca="false">SUMPRODUCT(E451:N451,1/(1+$F$427)^$E$3:$N$3)*$E$2</f>
        <v>16706.3844820471</v>
      </c>
      <c r="P451" s="15" t="n">
        <f aca="false">N451*$E$2*(1+$I$427)/($F$427-$I$427)/(1+$F$427)^$N$3</f>
        <v>31410.6231007492</v>
      </c>
      <c r="Q451" s="15" t="n">
        <f aca="false">O451+P451</f>
        <v>48117.0075827964</v>
      </c>
      <c r="R451" s="15" t="n">
        <f aca="false">Q451-$G$2+$I$2</f>
        <v>45600.0075827964</v>
      </c>
      <c r="S451" s="42" t="n">
        <f aca="false">R451/$K$2</f>
        <v>105.258315827516</v>
      </c>
      <c r="T451" s="43" t="n">
        <f aca="false">S451-$M$2</f>
        <v>1.75033386398127E-005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0.0227292776107788</v>
      </c>
      <c r="C452" s="25" t="n">
        <f aca="false">IF(T451&gt;0,D451,C451)</f>
        <v>0.0227294564247131</v>
      </c>
      <c r="D452" s="41" t="n">
        <f aca="false">(B452+C452)/2</f>
        <v>0.022729367017746</v>
      </c>
      <c r="E452" s="15" t="n">
        <f aca="false">$C$2*(1+IF(E$3&lt;=$O$2,$D452,$D452-($D452-$I$427)*MIN(E$3-$O$2,$Q$2)/$Q$2))</f>
        <v>8007.97094374895</v>
      </c>
      <c r="F452" s="15" t="n">
        <f aca="false">E452*(1+IF(F$3&lt;=$O$2,$D452,$D452-($D452-$I$427)*MIN(F$3-$O$2,$Q$2)/$Q$2))</f>
        <v>8189.98705439687</v>
      </c>
      <c r="G452" s="15" t="n">
        <f aca="false">F452*(1+IF(G$3&lt;=$O$2,$D452,$D452-($D452-$I$427)*MIN(G$3-$O$2,$Q$2)/$Q$2))</f>
        <v>8376.14027602684</v>
      </c>
      <c r="H452" s="15" t="n">
        <f aca="false">G452*(1+IF(H$3&lt;=$O$2,$D452,$D452-($D452-$I$427)*MIN(H$3-$O$2,$Q$2)/$Q$2))</f>
        <v>8566.52464255278</v>
      </c>
      <c r="I452" s="15" t="n">
        <f aca="false">H452*(1+IF(I$3&lt;=$O$2,$D452,$D452-($D452-$I$427)*MIN(I$3-$O$2,$Q$2)/$Q$2))</f>
        <v>8761.23632521993</v>
      </c>
      <c r="J452" s="15" t="n">
        <f aca="false">I452*(1+IF(J$3&lt;=$O$2,$D452,$D452-($D452-$I$427)*MIN(J$3-$O$2,$Q$2)/$Q$2))</f>
        <v>8987.65728024322</v>
      </c>
      <c r="K452" s="15" t="n">
        <f aca="false">J452*(1+IF(K$3&lt;=$O$2,$D452,$D452-($D452-$I$427)*MIN(K$3-$O$2,$Q$2)/$Q$2))</f>
        <v>9247.91844634796</v>
      </c>
      <c r="L452" s="15" t="n">
        <f aca="false">K452*(1+IF(L$3&lt;=$O$2,$D452,$D452-($D452-$I$427)*MIN(L$3-$O$2,$Q$2)/$Q$2))</f>
        <v>9544.51534525193</v>
      </c>
      <c r="M452" s="15" t="n">
        <f aca="false">L452*(1+IF(M$3&lt;=$O$2,$D452,$D452-($D452-$I$427)*MIN(M$3-$O$2,$Q$2)/$Q$2))</f>
        <v>9880.3474538882</v>
      </c>
      <c r="N452" s="15" t="n">
        <f aca="false">M452*(1+IF(N$3&lt;=$O$2,$D452,$D452-($D452-$I$427)*MIN(N$3-$O$2,$Q$2)/$Q$2))</f>
        <v>10258.7647613721</v>
      </c>
      <c r="O452" s="15" t="n">
        <f aca="false">SUMPRODUCT(E452:N452,1/(1+$F$427)^$E$3:$N$3)*$E$2</f>
        <v>16706.3779308196</v>
      </c>
      <c r="P452" s="15" t="n">
        <f aca="false">N452*$E$2*(1+$I$427)/($F$427-$I$427)/(1+$F$427)^$N$3</f>
        <v>31410.6039125385</v>
      </c>
      <c r="Q452" s="15" t="n">
        <f aca="false">O452+P452</f>
        <v>48116.9818433581</v>
      </c>
      <c r="R452" s="15" t="n">
        <f aca="false">Q452-$G$2+$I$2</f>
        <v>45599.9818433581</v>
      </c>
      <c r="S452" s="42" t="n">
        <f aca="false">R452/$K$2</f>
        <v>105.258256413273</v>
      </c>
      <c r="T452" s="43" t="n">
        <f aca="false">S452-$M$2</f>
        <v>-4.19109042439914E-005</v>
      </c>
    </row>
    <row r="454" customFormat="false" ht="15" hidden="false" customHeight="false" outlineLevel="0" collapsed="false">
      <c r="A454" s="38" t="s">
        <v>188</v>
      </c>
      <c r="E454" s="5" t="s">
        <v>11</v>
      </c>
      <c r="F454" s="12" t="n">
        <f aca="false">Sensitivity!$B$13</f>
        <v>0.0871529104257703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153</v>
      </c>
      <c r="B455" s="28" t="s">
        <v>154</v>
      </c>
      <c r="C455" s="28" t="s">
        <v>155</v>
      </c>
      <c r="D455" s="28" t="s">
        <v>156</v>
      </c>
      <c r="E455" s="28" t="s">
        <v>157</v>
      </c>
      <c r="F455" s="28" t="s">
        <v>158</v>
      </c>
      <c r="G455" s="28" t="s">
        <v>159</v>
      </c>
      <c r="H455" s="28" t="s">
        <v>160</v>
      </c>
      <c r="I455" s="28" t="s">
        <v>161</v>
      </c>
      <c r="J455" s="28" t="s">
        <v>162</v>
      </c>
      <c r="K455" s="28" t="s">
        <v>163</v>
      </c>
      <c r="L455" s="28" t="s">
        <v>164</v>
      </c>
      <c r="M455" s="28" t="s">
        <v>165</v>
      </c>
      <c r="N455" s="28" t="s">
        <v>166</v>
      </c>
      <c r="O455" s="28" t="s">
        <v>167</v>
      </c>
      <c r="P455" s="28" t="s">
        <v>168</v>
      </c>
      <c r="Q455" s="28" t="s">
        <v>169</v>
      </c>
      <c r="R455" s="28" t="s">
        <v>170</v>
      </c>
      <c r="S455" s="28" t="s">
        <v>171</v>
      </c>
      <c r="T455" s="28" t="s">
        <v>172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9787.5</v>
      </c>
      <c r="F456" s="15" t="n">
        <f aca="false">E456*(1+IF(F$3&lt;=$O$2,$D456,$D456-($D456-$I$454)*MIN(F$3-$O$2,$Q$2)/$Q$2))</f>
        <v>12234.375</v>
      </c>
      <c r="G456" s="15" t="n">
        <f aca="false">F456*(1+IF(G$3&lt;=$O$2,$D456,$D456-($D456-$I$454)*MIN(G$3-$O$2,$Q$2)/$Q$2))</f>
        <v>15292.96875</v>
      </c>
      <c r="H456" s="15" t="n">
        <f aca="false">G456*(1+IF(H$3&lt;=$O$2,$D456,$D456-($D456-$I$454)*MIN(H$3-$O$2,$Q$2)/$Q$2))</f>
        <v>19116.2109375</v>
      </c>
      <c r="I456" s="15" t="n">
        <f aca="false">H456*(1+IF(I$3&lt;=$O$2,$D456,$D456-($D456-$I$454)*MIN(I$3-$O$2,$Q$2)/$Q$2))</f>
        <v>23895.263671875</v>
      </c>
      <c r="J456" s="15" t="n">
        <f aca="false">I456*(1+IF(J$3&lt;=$O$2,$D456,$D456-($D456-$I$454)*MIN(J$3-$O$2,$Q$2)/$Q$2))</f>
        <v>28761.7730712891</v>
      </c>
      <c r="K456" s="15" t="n">
        <f aca="false">J456*(1+IF(K$3&lt;=$O$2,$D456,$D456-($D456-$I$454)*MIN(K$3-$O$2,$Q$2)/$Q$2))</f>
        <v>33286.5752108643</v>
      </c>
      <c r="L456" s="15" t="n">
        <f aca="false">K456*(1+IF(L$3&lt;=$O$2,$D456,$D456-($D456-$I$454)*MIN(L$3-$O$2,$Q$2)/$Q$2))</f>
        <v>36980.719327766</v>
      </c>
      <c r="M456" s="15" t="n">
        <f aca="false">L456*(1+IF(M$3&lt;=$O$2,$D456,$D456-($D456-$I$454)*MIN(M$3-$O$2,$Q$2)/$Q$2))</f>
        <v>39371.1530251128</v>
      </c>
      <c r="N456" s="15" t="n">
        <f aca="false">M456*(1+IF(N$3&lt;=$O$2,$D456,$D456-($D456-$I$454)*MIN(N$3-$O$2,$Q$2)/$Q$2))</f>
        <v>40091.6451254723</v>
      </c>
      <c r="O456" s="15" t="n">
        <f aca="false">SUMPRODUCT(E456:N456,1/(1+$F$454)^$E$3:$N$3)*$E$2</f>
        <v>43158.0949570916</v>
      </c>
      <c r="P456" s="15" t="n">
        <f aca="false">N456*$E$2*(1+$I$454)/($F$454-$I$454)/(1+$F$454)^$N$3</f>
        <v>73222.422172878</v>
      </c>
      <c r="Q456" s="15" t="n">
        <f aca="false">O456+P456</f>
        <v>116380.51712997</v>
      </c>
      <c r="R456" s="15" t="n">
        <f aca="false">Q456-$G$2+$I$2</f>
        <v>113863.51712997</v>
      </c>
      <c r="S456" s="42" t="n">
        <f aca="false">R456/$K$2</f>
        <v>262.830702945316</v>
      </c>
      <c r="T456" s="43" t="n">
        <f aca="false">S456-$M$2</f>
        <v>157.572404621138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6851.25</v>
      </c>
      <c r="F457" s="15" t="n">
        <f aca="false">E457*(1+IF(F$3&lt;=$O$2,$D457,$D457-($D457-$I$454)*MIN(F$3-$O$2,$Q$2)/$Q$2))</f>
        <v>5994.84375</v>
      </c>
      <c r="G457" s="15" t="n">
        <f aca="false">F457*(1+IF(G$3&lt;=$O$2,$D457,$D457-($D457-$I$454)*MIN(G$3-$O$2,$Q$2)/$Q$2))</f>
        <v>5245.48828125</v>
      </c>
      <c r="H457" s="15" t="n">
        <f aca="false">G457*(1+IF(H$3&lt;=$O$2,$D457,$D457-($D457-$I$454)*MIN(H$3-$O$2,$Q$2)/$Q$2))</f>
        <v>4589.80224609375</v>
      </c>
      <c r="I457" s="15" t="n">
        <f aca="false">H457*(1+IF(I$3&lt;=$O$2,$D457,$D457-($D457-$I$454)*MIN(I$3-$O$2,$Q$2)/$Q$2))</f>
        <v>4016.07696533203</v>
      </c>
      <c r="J457" s="15" t="n">
        <f aca="false">I457*(1+IF(J$3&lt;=$O$2,$D457,$D457-($D457-$I$454)*MIN(J$3-$O$2,$Q$2)/$Q$2))</f>
        <v>3629.16811049194</v>
      </c>
      <c r="K457" s="15" t="n">
        <f aca="false">J457*(1+IF(K$3&lt;=$O$2,$D457,$D457-($D457-$I$454)*MIN(K$3-$O$2,$Q$2)/$Q$2))</f>
        <v>3383.54601277385</v>
      </c>
      <c r="L457" s="15" t="n">
        <f aca="false">K457*(1+IF(L$3&lt;=$O$2,$D457,$D457-($D457-$I$454)*MIN(L$3-$O$2,$Q$2)/$Q$2))</f>
        <v>3251.52004735541</v>
      </c>
      <c r="M457" s="15" t="n">
        <f aca="false">L457*(1+IF(M$3&lt;=$O$2,$D457,$D457-($D457-$I$454)*MIN(M$3-$O$2,$Q$2)/$Q$2))</f>
        <v>3217.83429966481</v>
      </c>
      <c r="N457" s="15" t="n">
        <f aca="false">M457*(1+IF(N$3&lt;=$O$2,$D457,$D457-($D457-$I$454)*MIN(N$3-$O$2,$Q$2)/$Q$2))</f>
        <v>3276.72066734868</v>
      </c>
      <c r="O457" s="15" t="n">
        <f aca="false">SUMPRODUCT(E457:N457,1/(1+$F$454)^$E$3:$N$3)*$E$2</f>
        <v>8565.18037523129</v>
      </c>
      <c r="P457" s="15" t="n">
        <f aca="false">N457*$E$2*(1+$I$454)/($F$454-$I$454)/(1+$F$454)^$N$3</f>
        <v>5984.5242891956</v>
      </c>
      <c r="Q457" s="15" t="n">
        <f aca="false">O457+P457</f>
        <v>14549.7046644269</v>
      </c>
      <c r="R457" s="15" t="n">
        <f aca="false">Q457-$G$2+$I$2</f>
        <v>12032.7046644269</v>
      </c>
      <c r="S457" s="42" t="n">
        <f aca="false">R457/$K$2</f>
        <v>27.7750442371702</v>
      </c>
      <c r="T457" s="43" t="n">
        <f aca="false">S457-$M$2</f>
        <v>-77.4832540870069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8319.375</v>
      </c>
      <c r="F458" s="15" t="n">
        <f aca="false">E458*(1+IF(F$3&lt;=$O$2,$D458,$D458-($D458-$I$454)*MIN(F$3-$O$2,$Q$2)/$Q$2))</f>
        <v>8839.3359375</v>
      </c>
      <c r="G458" s="15" t="n">
        <f aca="false">F458*(1+IF(G$3&lt;=$O$2,$D458,$D458-($D458-$I$454)*MIN(G$3-$O$2,$Q$2)/$Q$2))</f>
        <v>9391.79443359375</v>
      </c>
      <c r="H458" s="15" t="n">
        <f aca="false">G458*(1+IF(H$3&lt;=$O$2,$D458,$D458-($D458-$I$454)*MIN(H$3-$O$2,$Q$2)/$Q$2))</f>
        <v>9978.78158569336</v>
      </c>
      <c r="I458" s="15" t="n">
        <f aca="false">H458*(1+IF(I$3&lt;=$O$2,$D458,$D458-($D458-$I$454)*MIN(I$3-$O$2,$Q$2)/$Q$2))</f>
        <v>10602.4554347992</v>
      </c>
      <c r="J458" s="15" t="n">
        <f aca="false">I458*(1+IF(J$3&lt;=$O$2,$D458,$D458-($D458-$I$454)*MIN(J$3-$O$2,$Q$2)/$Q$2))</f>
        <v>11171.3831934305</v>
      </c>
      <c r="K458" s="15" t="n">
        <f aca="false">J458*(1+IF(K$3&lt;=$O$2,$D458,$D458-($D458-$I$454)*MIN(K$3-$O$2,$Q$2)/$Q$2))</f>
        <v>11672.0845881601</v>
      </c>
      <c r="L458" s="15" t="n">
        <f aca="false">K458*(1+IF(L$3&lt;=$O$2,$D458,$D458-($D458-$I$454)*MIN(L$3-$O$2,$Q$2)/$Q$2))</f>
        <v>12092.0461916421</v>
      </c>
      <c r="M458" s="15" t="n">
        <f aca="false">L458*(1+IF(M$3&lt;=$O$2,$D458,$D458-($D458-$I$454)*MIN(M$3-$O$2,$Q$2)/$Q$2))</f>
        <v>12420.2243252832</v>
      </c>
      <c r="N458" s="15" t="n">
        <f aca="false">M458*(1+IF(N$3&lt;=$O$2,$D458,$D458-($D458-$I$454)*MIN(N$3-$O$2,$Q$2)/$Q$2))</f>
        <v>12647.5144304359</v>
      </c>
      <c r="O458" s="15" t="n">
        <f aca="false">SUMPRODUCT(E458:N458,1/(1+$F$454)^$E$3:$N$3)*$E$2</f>
        <v>19187.4097050349</v>
      </c>
      <c r="P458" s="15" t="n">
        <f aca="false">N458*$E$2*(1+$I$454)/($F$454-$I$454)/(1+$F$454)^$N$3</f>
        <v>23099.1179874172</v>
      </c>
      <c r="Q458" s="15" t="n">
        <f aca="false">O458+P458</f>
        <v>42286.5276924521</v>
      </c>
      <c r="R458" s="15" t="n">
        <f aca="false">Q458-$G$2+$I$2</f>
        <v>39769.5276924521</v>
      </c>
      <c r="S458" s="42" t="n">
        <f aca="false">R458/$K$2</f>
        <v>91.7998423259594</v>
      </c>
      <c r="T458" s="43" t="n">
        <f aca="false">S458-$M$2</f>
        <v>-13.4584559982177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9053.4375</v>
      </c>
      <c r="F459" s="15" t="n">
        <f aca="false">E459*(1+IF(F$3&lt;=$O$2,$D459,$D459-($D459-$I$454)*MIN(F$3-$O$2,$Q$2)/$Q$2))</f>
        <v>10468.037109375</v>
      </c>
      <c r="G459" s="15" t="n">
        <f aca="false">F459*(1+IF(G$3&lt;=$O$2,$D459,$D459-($D459-$I$454)*MIN(G$3-$O$2,$Q$2)/$Q$2))</f>
        <v>12103.6679077148</v>
      </c>
      <c r="H459" s="15" t="n">
        <f aca="false">G459*(1+IF(H$3&lt;=$O$2,$D459,$D459-($D459-$I$454)*MIN(H$3-$O$2,$Q$2)/$Q$2))</f>
        <v>13994.8660182953</v>
      </c>
      <c r="I459" s="15" t="n">
        <f aca="false">H459*(1+IF(I$3&lt;=$O$2,$D459,$D459-($D459-$I$454)*MIN(I$3-$O$2,$Q$2)/$Q$2))</f>
        <v>16181.5638336539</v>
      </c>
      <c r="J459" s="15" t="n">
        <f aca="false">I459*(1+IF(J$3&lt;=$O$2,$D459,$D459-($D459-$I$454)*MIN(J$3-$O$2,$Q$2)/$Q$2))</f>
        <v>18263.4838364918</v>
      </c>
      <c r="K459" s="15" t="n">
        <f aca="false">J459*(1+IF(K$3&lt;=$O$2,$D459,$D459-($D459-$I$454)*MIN(K$3-$O$2,$Q$2)/$Q$2))</f>
        <v>20109.3741478461</v>
      </c>
      <c r="L459" s="15" t="n">
        <f aca="false">K459*(1+IF(L$3&lt;=$O$2,$D459,$D459-($D459-$I$454)*MIN(L$3-$O$2,$Q$2)/$Q$2))</f>
        <v>21587.0109602298</v>
      </c>
      <c r="M459" s="15" t="n">
        <f aca="false">L459*(1+IF(M$3&lt;=$O$2,$D459,$D459-($D459-$I$454)*MIN(M$3-$O$2,$Q$2)/$Q$2))</f>
        <v>22577.6388931947</v>
      </c>
      <c r="N459" s="15" t="n">
        <f aca="false">M459*(1+IF(N$3&lt;=$O$2,$D459,$D459-($D459-$I$454)*MIN(N$3-$O$2,$Q$2)/$Q$2))</f>
        <v>22990.8096849402</v>
      </c>
      <c r="O459" s="15" t="n">
        <f aca="false">SUMPRODUCT(E459:N459,1/(1+$F$454)^$E$3:$N$3)*$E$2</f>
        <v>28827.398394137</v>
      </c>
      <c r="P459" s="15" t="n">
        <f aca="false">N459*$E$2*(1+$I$454)/($F$454-$I$454)/(1+$F$454)^$N$3</f>
        <v>41989.8651596466</v>
      </c>
      <c r="Q459" s="15" t="n">
        <f aca="false">O459+P459</f>
        <v>70817.2635537836</v>
      </c>
      <c r="R459" s="15" t="n">
        <f aca="false">Q459-$G$2+$I$2</f>
        <v>68300.2635537836</v>
      </c>
      <c r="S459" s="42" t="n">
        <f aca="false">R459/$K$2</f>
        <v>157.657226244826</v>
      </c>
      <c r="T459" s="43" t="n">
        <f aca="false">S459-$M$2</f>
        <v>52.3989279206491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8686.40625</v>
      </c>
      <c r="F460" s="15" t="n">
        <f aca="false">E460*(1+IF(F$3&lt;=$O$2,$D460,$D460-($D460-$I$454)*MIN(F$3-$O$2,$Q$2)/$Q$2))</f>
        <v>9636.48193359375</v>
      </c>
      <c r="G460" s="15" t="n">
        <f aca="false">F460*(1+IF(G$3&lt;=$O$2,$D460,$D460-($D460-$I$454)*MIN(G$3-$O$2,$Q$2)/$Q$2))</f>
        <v>10690.4721450806</v>
      </c>
      <c r="H460" s="15" t="n">
        <f aca="false">G460*(1+IF(H$3&lt;=$O$2,$D460,$D460-($D460-$I$454)*MIN(H$3-$O$2,$Q$2)/$Q$2))</f>
        <v>11859.7425359488</v>
      </c>
      <c r="I460" s="15" t="n">
        <f aca="false">H460*(1+IF(I$3&lt;=$O$2,$D460,$D460-($D460-$I$454)*MIN(I$3-$O$2,$Q$2)/$Q$2))</f>
        <v>13156.9018758181</v>
      </c>
      <c r="J460" s="15" t="n">
        <f aca="false">I460*(1+IF(J$3&lt;=$O$2,$D460,$D460-($D460-$I$454)*MIN(J$3-$O$2,$Q$2)/$Q$2))</f>
        <v>14356.2850508177</v>
      </c>
      <c r="K460" s="15" t="n">
        <f aca="false">J460*(1+IF(K$3&lt;=$O$2,$D460,$D460-($D460-$I$454)*MIN(K$3-$O$2,$Q$2)/$Q$2))</f>
        <v>15403.5042638496</v>
      </c>
      <c r="L460" s="15" t="n">
        <f aca="false">K460*(1+IF(L$3&lt;=$O$2,$D460,$D460-($D460-$I$454)*MIN(L$3-$O$2,$Q$2)/$Q$2))</f>
        <v>16246.5380522101</v>
      </c>
      <c r="M460" s="15" t="n">
        <f aca="false">L460*(1+IF(M$3&lt;=$O$2,$D460,$D460-($D460-$I$454)*MIN(M$3-$O$2,$Q$2)/$Q$2))</f>
        <v>16839.7803891866</v>
      </c>
      <c r="N460" s="15" t="n">
        <f aca="false">M460*(1+IF(N$3&lt;=$O$2,$D460,$D460-($D460-$I$454)*MIN(N$3-$O$2,$Q$2)/$Q$2))</f>
        <v>17147.9483703087</v>
      </c>
      <c r="O460" s="15" t="n">
        <f aca="false">SUMPRODUCT(E460:N460,1/(1+$F$454)^$E$3:$N$3)*$E$2</f>
        <v>23523.0226743847</v>
      </c>
      <c r="P460" s="15" t="n">
        <f aca="false">N460*$E$2*(1+$I$454)/($F$454-$I$454)/(1+$F$454)^$N$3</f>
        <v>31318.6029418309</v>
      </c>
      <c r="Q460" s="15" t="n">
        <f aca="false">O460+P460</f>
        <v>54841.6256162156</v>
      </c>
      <c r="R460" s="15" t="n">
        <f aca="false">Q460-$G$2+$I$2</f>
        <v>52324.6256162156</v>
      </c>
      <c r="S460" s="42" t="n">
        <f aca="false">R460/$K$2</f>
        <v>120.780724842379</v>
      </c>
      <c r="T460" s="43" t="n">
        <f aca="false">S460-$M$2</f>
        <v>15.5224265182022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0.0625</v>
      </c>
      <c r="C461" s="25" t="n">
        <f aca="false">IF(T460&gt;0,D460,C460)</f>
        <v>0.109375</v>
      </c>
      <c r="D461" s="41" t="n">
        <f aca="false">(B461+C461)/2</f>
        <v>0.0859375</v>
      </c>
      <c r="E461" s="15" t="n">
        <f aca="false">$C$2*(1+IF(E$3&lt;=$O$2,$D461,$D461-($D461-$I$454)*MIN(E$3-$O$2,$Q$2)/$Q$2))</f>
        <v>8502.890625</v>
      </c>
      <c r="F461" s="15" t="n">
        <f aca="false">E461*(1+IF(F$3&lt;=$O$2,$D461,$D461-($D461-$I$454)*MIN(F$3-$O$2,$Q$2)/$Q$2))</f>
        <v>9233.60778808594</v>
      </c>
      <c r="G461" s="15" t="n">
        <f aca="false">F461*(1+IF(G$3&lt;=$O$2,$D461,$D461-($D461-$I$454)*MIN(G$3-$O$2,$Q$2)/$Q$2))</f>
        <v>10027.1209573746</v>
      </c>
      <c r="H461" s="15" t="n">
        <f aca="false">G461*(1+IF(H$3&lt;=$O$2,$D461,$D461-($D461-$I$454)*MIN(H$3-$O$2,$Q$2)/$Q$2))</f>
        <v>10888.826664649</v>
      </c>
      <c r="I461" s="15" t="n">
        <f aca="false">H461*(1+IF(I$3&lt;=$O$2,$D461,$D461-($D461-$I$454)*MIN(I$3-$O$2,$Q$2)/$Q$2))</f>
        <v>11824.5852061422</v>
      </c>
      <c r="J461" s="15" t="n">
        <f aca="false">I461*(1+IF(J$3&lt;=$O$2,$D461,$D461-($D461-$I$454)*MIN(J$3-$O$2,$Q$2)/$Q$2))</f>
        <v>12680.803420919</v>
      </c>
      <c r="K461" s="15" t="n">
        <f aca="false">J461*(1+IF(K$3&lt;=$O$2,$D461,$D461-($D461-$I$454)*MIN(K$3-$O$2,$Q$2)/$Q$2))</f>
        <v>13427.4808283512</v>
      </c>
      <c r="L461" s="15" t="n">
        <f aca="false">K461*(1+IF(L$3&lt;=$O$2,$D461,$D461-($D461-$I$454)*MIN(L$3-$O$2,$Q$2)/$Q$2))</f>
        <v>14036.4842213211</v>
      </c>
      <c r="M461" s="15" t="n">
        <f aca="false">L461*(1+IF(M$3&lt;=$O$2,$D461,$D461-($D461-$I$454)*MIN(M$3-$O$2,$Q$2)/$Q$2))</f>
        <v>14483.2304228752</v>
      </c>
      <c r="N461" s="15" t="n">
        <f aca="false">M461*(1+IF(N$3&lt;=$O$2,$D461,$D461-($D461-$I$454)*MIN(N$3-$O$2,$Q$2)/$Q$2))</f>
        <v>14748.2735396138</v>
      </c>
      <c r="O461" s="15" t="n">
        <f aca="false">SUMPRODUCT(E461:N461,1/(1+$F$454)^$E$3:$N$3)*$E$2</f>
        <v>21245.163927926</v>
      </c>
      <c r="P461" s="15" t="n">
        <f aca="false">N461*$E$2*(1+$I$454)/($F$454-$I$454)/(1+$F$454)^$N$3</f>
        <v>26935.8942008735</v>
      </c>
      <c r="Q461" s="15" t="n">
        <f aca="false">O461+P461</f>
        <v>48181.0581287995</v>
      </c>
      <c r="R461" s="15" t="n">
        <f aca="false">Q461-$G$2+$I$2</f>
        <v>45664.0581287995</v>
      </c>
      <c r="S461" s="42" t="n">
        <f aca="false">R461/$K$2</f>
        <v>105.40616344767</v>
      </c>
      <c r="T461" s="43" t="n">
        <f aca="false">S461-$M$2</f>
        <v>0.147865123492764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0.0625</v>
      </c>
      <c r="C462" s="25" t="n">
        <f aca="false">IF(T461&gt;0,D461,C461)</f>
        <v>0.0859375</v>
      </c>
      <c r="D462" s="41" t="n">
        <f aca="false">(B462+C462)/2</f>
        <v>0.07421875</v>
      </c>
      <c r="E462" s="15" t="n">
        <f aca="false">$C$2*(1+IF(E$3&lt;=$O$2,$D462,$D462-($D462-$I$454)*MIN(E$3-$O$2,$Q$2)/$Q$2))</f>
        <v>8411.1328125</v>
      </c>
      <c r="F462" s="15" t="n">
        <f aca="false">E462*(1+IF(F$3&lt;=$O$2,$D462,$D462-($D462-$I$454)*MIN(F$3-$O$2,$Q$2)/$Q$2))</f>
        <v>9035.39657592773</v>
      </c>
      <c r="G462" s="15" t="n">
        <f aca="false">F462*(1+IF(G$3&lt;=$O$2,$D462,$D462-($D462-$I$454)*MIN(G$3-$O$2,$Q$2)/$Q$2))</f>
        <v>9705.99241554737</v>
      </c>
      <c r="H462" s="15" t="n">
        <f aca="false">G462*(1+IF(H$3&lt;=$O$2,$D462,$D462-($D462-$I$454)*MIN(H$3-$O$2,$Q$2)/$Q$2))</f>
        <v>10426.3590401388</v>
      </c>
      <c r="I462" s="15" t="n">
        <f aca="false">H462*(1+IF(I$3&lt;=$O$2,$D462,$D462-($D462-$I$454)*MIN(I$3-$O$2,$Q$2)/$Q$2))</f>
        <v>11200.1903751491</v>
      </c>
      <c r="J462" s="15" t="n">
        <f aca="false">I462*(1+IF(J$3&lt;=$O$2,$D462,$D462-($D462-$I$454)*MIN(J$3-$O$2,$Q$2)/$Q$2))</f>
        <v>11906.1943754466</v>
      </c>
      <c r="K462" s="15" t="n">
        <f aca="false">J462*(1+IF(K$3&lt;=$O$2,$D462,$D462-($D462-$I$454)*MIN(K$3-$O$2,$Q$2)/$Q$2))</f>
        <v>12523.5454365565</v>
      </c>
      <c r="L462" s="15" t="n">
        <f aca="false">K462*(1+IF(L$3&lt;=$O$2,$D462,$D462-($D462-$I$454)*MIN(L$3-$O$2,$Q$2)/$Q$2))</f>
        <v>13032.8467205976</v>
      </c>
      <c r="M462" s="15" t="n">
        <f aca="false">L462*(1+IF(M$3&lt;=$O$2,$D462,$D462-($D462-$I$454)*MIN(M$3-$O$2,$Q$2)/$Q$2))</f>
        <v>13417.1039150961</v>
      </c>
      <c r="N462" s="15" t="n">
        <f aca="false">M462*(1+IF(N$3&lt;=$O$2,$D462,$D462-($D462-$I$454)*MIN(N$3-$O$2,$Q$2)/$Q$2))</f>
        <v>13662.6369167423</v>
      </c>
      <c r="O462" s="15" t="n">
        <f aca="false">SUMPRODUCT(E462:N462,1/(1+$F$454)^$E$3:$N$3)*$E$2</f>
        <v>20190.0580128454</v>
      </c>
      <c r="P462" s="15" t="n">
        <f aca="false">N462*$E$2*(1+$I$454)/($F$454-$I$454)/(1+$F$454)^$N$3</f>
        <v>24953.1134275366</v>
      </c>
      <c r="Q462" s="15" t="n">
        <f aca="false">O462+P462</f>
        <v>45143.171440382</v>
      </c>
      <c r="R462" s="15" t="n">
        <f aca="false">Q462-$G$2+$I$2</f>
        <v>42626.171440382</v>
      </c>
      <c r="S462" s="42" t="n">
        <f aca="false">R462/$K$2</f>
        <v>98.3938217080974</v>
      </c>
      <c r="T462" s="43" t="n">
        <f aca="false">S462-$M$2</f>
        <v>-6.86447661607969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0.07421875</v>
      </c>
      <c r="C463" s="25" t="n">
        <f aca="false">IF(T462&gt;0,D462,C462)</f>
        <v>0.0859375</v>
      </c>
      <c r="D463" s="41" t="n">
        <f aca="false">(B463+C463)/2</f>
        <v>0.080078125</v>
      </c>
      <c r="E463" s="15" t="n">
        <f aca="false">$C$2*(1+IF(E$3&lt;=$O$2,$D463,$D463-($D463-$I$454)*MIN(E$3-$O$2,$Q$2)/$Q$2))</f>
        <v>8457.01171875</v>
      </c>
      <c r="F463" s="15" t="n">
        <f aca="false">E463*(1+IF(F$3&lt;=$O$2,$D463,$D463-($D463-$I$454)*MIN(F$3-$O$2,$Q$2)/$Q$2))</f>
        <v>9134.23336029053</v>
      </c>
      <c r="G463" s="15" t="n">
        <f aca="false">F463*(1+IF(G$3&lt;=$O$2,$D463,$D463-($D463-$I$454)*MIN(G$3-$O$2,$Q$2)/$Q$2))</f>
        <v>9865.68564109504</v>
      </c>
      <c r="H463" s="15" t="n">
        <f aca="false">G463*(1+IF(H$3&lt;=$O$2,$D463,$D463-($D463-$I$454)*MIN(H$3-$O$2,$Q$2)/$Q$2))</f>
        <v>10655.7112490734</v>
      </c>
      <c r="I463" s="15" t="n">
        <f aca="false">H463*(1+IF(I$3&lt;=$O$2,$D463,$D463-($D463-$I$454)*MIN(I$3-$O$2,$Q$2)/$Q$2))</f>
        <v>11509.0006264406</v>
      </c>
      <c r="J463" s="15" t="n">
        <f aca="false">I463*(1+IF(J$3&lt;=$O$2,$D463,$D463-($D463-$I$454)*MIN(J$3-$O$2,$Q$2)/$Q$2))</f>
        <v>12288.4189213647</v>
      </c>
      <c r="K463" s="15" t="n">
        <f aca="false">J463*(1+IF(K$3&lt;=$O$2,$D463,$D463-($D463-$I$454)*MIN(K$3-$O$2,$Q$2)/$Q$2))</f>
        <v>12968.7902757315</v>
      </c>
      <c r="L463" s="15" t="n">
        <f aca="false">K463*(1+IF(L$3&lt;=$O$2,$D463,$D463-($D463-$I$454)*MIN(L$3-$O$2,$Q$2)/$Q$2))</f>
        <v>13526.5941564786</v>
      </c>
      <c r="M463" s="15" t="n">
        <f aca="false">L463*(1+IF(M$3&lt;=$O$2,$D463,$D463-($D463-$I$454)*MIN(M$3-$O$2,$Q$2)/$Q$2))</f>
        <v>13941.2603544668</v>
      </c>
      <c r="N463" s="15" t="n">
        <f aca="false">M463*(1+IF(N$3&lt;=$O$2,$D463,$D463-($D463-$I$454)*MIN(N$3-$O$2,$Q$2)/$Q$2))</f>
        <v>14196.3854189535</v>
      </c>
      <c r="O463" s="15" t="n">
        <f aca="false">SUMPRODUCT(E463:N463,1/(1+$F$454)^$E$3:$N$3)*$E$2</f>
        <v>20710.8973423633</v>
      </c>
      <c r="P463" s="15" t="n">
        <f aca="false">N463*$E$2*(1+$I$454)/($F$454-$I$454)/(1+$F$454)^$N$3</f>
        <v>25927.9389314723</v>
      </c>
      <c r="Q463" s="15" t="n">
        <f aca="false">O463+P463</f>
        <v>46638.8362738356</v>
      </c>
      <c r="R463" s="15" t="n">
        <f aca="false">Q463-$G$2+$I$2</f>
        <v>44121.8362738356</v>
      </c>
      <c r="S463" s="42" t="n">
        <f aca="false">R463/$K$2</f>
        <v>101.846258884252</v>
      </c>
      <c r="T463" s="43" t="n">
        <f aca="false">S463-$M$2</f>
        <v>-3.41203943992527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0.080078125</v>
      </c>
      <c r="C464" s="25" t="n">
        <f aca="false">IF(T463&gt;0,D463,C463)</f>
        <v>0.0859375</v>
      </c>
      <c r="D464" s="41" t="n">
        <f aca="false">(B464+C464)/2</f>
        <v>0.0830078125</v>
      </c>
      <c r="E464" s="15" t="n">
        <f aca="false">$C$2*(1+IF(E$3&lt;=$O$2,$D464,$D464-($D464-$I$454)*MIN(E$3-$O$2,$Q$2)/$Q$2))</f>
        <v>8479.951171875</v>
      </c>
      <c r="F464" s="15" t="n">
        <f aca="false">E464*(1+IF(F$3&lt;=$O$2,$D464,$D464-($D464-$I$454)*MIN(F$3-$O$2,$Q$2)/$Q$2))</f>
        <v>9183.85336875916</v>
      </c>
      <c r="G464" s="15" t="n">
        <f aca="false">F464*(1+IF(G$3&lt;=$O$2,$D464,$D464-($D464-$I$454)*MIN(G$3-$O$2,$Q$2)/$Q$2))</f>
        <v>9946.18494722061</v>
      </c>
      <c r="H464" s="15" t="n">
        <f aca="false">G464*(1+IF(H$3&lt;=$O$2,$D464,$D464-($D464-$I$454)*MIN(H$3-$O$2,$Q$2)/$Q$2))</f>
        <v>10771.7960024098</v>
      </c>
      <c r="I464" s="15" t="n">
        <f aca="false">H464*(1+IF(I$3&lt;=$O$2,$D464,$D464-($D464-$I$454)*MIN(I$3-$O$2,$Q$2)/$Q$2))</f>
        <v>11665.9392252661</v>
      </c>
      <c r="J464" s="15" t="n">
        <f aca="false">I464*(1+IF(J$3&lt;=$O$2,$D464,$D464-($D464-$I$454)*MIN(J$3-$O$2,$Q$2)/$Q$2))</f>
        <v>12483.3278395084</v>
      </c>
      <c r="K464" s="15" t="n">
        <f aca="false">J464*(1+IF(K$3&lt;=$O$2,$D464,$D464-($D464-$I$454)*MIN(K$3-$O$2,$Q$2)/$Q$2))</f>
        <v>13196.4340413004</v>
      </c>
      <c r="L464" s="15" t="n">
        <f aca="false">K464*(1+IF(L$3&lt;=$O$2,$D464,$D464-($D464-$I$454)*MIN(L$3-$O$2,$Q$2)/$Q$2))</f>
        <v>13779.4937361014</v>
      </c>
      <c r="M464" s="15" t="n">
        <f aca="false">L464*(1+IF(M$3&lt;=$O$2,$D464,$D464-($D464-$I$454)*MIN(M$3-$O$2,$Q$2)/$Q$2))</f>
        <v>14209.9866508762</v>
      </c>
      <c r="N464" s="15" t="n">
        <f aca="false">M464*(1+IF(N$3&lt;=$O$2,$D464,$D464-($D464-$I$454)*MIN(N$3-$O$2,$Q$2)/$Q$2))</f>
        <v>14470.0294065872</v>
      </c>
      <c r="O464" s="15" t="n">
        <f aca="false">SUMPRODUCT(E464:N464,1/(1+$F$454)^$E$3:$N$3)*$E$2</f>
        <v>20976.3323209778</v>
      </c>
      <c r="P464" s="15" t="n">
        <f aca="false">N464*$E$2*(1+$I$454)/($F$454-$I$454)/(1+$F$454)^$N$3</f>
        <v>26427.7157683887</v>
      </c>
      <c r="Q464" s="15" t="n">
        <f aca="false">O464+P464</f>
        <v>47404.0480893665</v>
      </c>
      <c r="R464" s="15" t="n">
        <f aca="false">Q464-$G$2+$I$2</f>
        <v>44887.0480893665</v>
      </c>
      <c r="S464" s="42" t="n">
        <f aca="false">R464/$K$2</f>
        <v>103.612594269347</v>
      </c>
      <c r="T464" s="43" t="n">
        <f aca="false">S464-$M$2</f>
        <v>-1.6457040548302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0.0830078125</v>
      </c>
      <c r="C465" s="25" t="n">
        <f aca="false">IF(T464&gt;0,D464,C464)</f>
        <v>0.0859375</v>
      </c>
      <c r="D465" s="41" t="n">
        <f aca="false">(B465+C465)/2</f>
        <v>0.08447265625</v>
      </c>
      <c r="E465" s="15" t="n">
        <f aca="false">$C$2*(1+IF(E$3&lt;=$O$2,$D465,$D465-($D465-$I$454)*MIN(E$3-$O$2,$Q$2)/$Q$2))</f>
        <v>8491.4208984375</v>
      </c>
      <c r="F465" s="15" t="n">
        <f aca="false">E465*(1+IF(F$3&lt;=$O$2,$D465,$D465-($D465-$I$454)*MIN(F$3-$O$2,$Q$2)/$Q$2))</f>
        <v>9208.71377706528</v>
      </c>
      <c r="G465" s="15" t="n">
        <f aca="false">F465*(1+IF(G$3&lt;=$O$2,$D465,$D465-($D465-$I$454)*MIN(G$3-$O$2,$Q$2)/$Q$2))</f>
        <v>9986.59829045995</v>
      </c>
      <c r="H465" s="15" t="n">
        <f aca="false">G465*(1+IF(H$3&lt;=$O$2,$D465,$D465-($D465-$I$454)*MIN(H$3-$O$2,$Q$2)/$Q$2))</f>
        <v>10830.1927749568</v>
      </c>
      <c r="I465" s="15" t="n">
        <f aca="false">H465*(1+IF(I$3&lt;=$O$2,$D465,$D465-($D465-$I$454)*MIN(I$3-$O$2,$Q$2)/$Q$2))</f>
        <v>11745.047926357</v>
      </c>
      <c r="J465" s="15" t="n">
        <f aca="false">I465*(1+IF(J$3&lt;=$O$2,$D465,$D465-($D465-$I$454)*MIN(J$3-$O$2,$Q$2)/$Q$2))</f>
        <v>12581.7431186658</v>
      </c>
      <c r="K465" s="15" t="n">
        <f aca="false">J465*(1+IF(K$3&lt;=$O$2,$D465,$D465-($D465-$I$454)*MIN(K$3-$O$2,$Q$2)/$Q$2))</f>
        <v>13311.5294351877</v>
      </c>
      <c r="L465" s="15" t="n">
        <f aca="false">K465*(1+IF(L$3&lt;=$O$2,$D465,$D465-($D465-$I$454)*MIN(L$3-$O$2,$Q$2)/$Q$2))</f>
        <v>13907.4741284422</v>
      </c>
      <c r="M465" s="15" t="n">
        <f aca="false">L465*(1+IF(M$3&lt;=$O$2,$D465,$D465-($D465-$I$454)*MIN(M$3-$O$2,$Q$2)/$Q$2))</f>
        <v>14346.0398059542</v>
      </c>
      <c r="N465" s="15" t="n">
        <f aca="false">M465*(1+IF(N$3&lt;=$O$2,$D465,$D465-($D465-$I$454)*MIN(N$3-$O$2,$Q$2)/$Q$2))</f>
        <v>14608.5723344031</v>
      </c>
      <c r="O465" s="15" t="n">
        <f aca="false">SUMPRODUCT(E465:N465,1/(1+$F$454)^$E$3:$N$3)*$E$2</f>
        <v>21110.3210351221</v>
      </c>
      <c r="P465" s="15" t="n">
        <f aca="false">N465*$E$2*(1+$I$454)/($F$454-$I$454)/(1+$F$454)^$N$3</f>
        <v>26680.7472595599</v>
      </c>
      <c r="Q465" s="15" t="n">
        <f aca="false">O465+P465</f>
        <v>47791.0682946819</v>
      </c>
      <c r="R465" s="15" t="n">
        <f aca="false">Q465-$G$2+$I$2</f>
        <v>45274.0682946819</v>
      </c>
      <c r="S465" s="42" t="n">
        <f aca="false">R465/$K$2</f>
        <v>104.505951467342</v>
      </c>
      <c r="T465" s="43" t="n">
        <f aca="false">S465-$M$2</f>
        <v>-0.752346856835047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0.08447265625</v>
      </c>
      <c r="C466" s="25" t="n">
        <f aca="false">IF(T465&gt;0,D465,C465)</f>
        <v>0.0859375</v>
      </c>
      <c r="D466" s="41" t="n">
        <f aca="false">(B466+C466)/2</f>
        <v>0.085205078125</v>
      </c>
      <c r="E466" s="15" t="n">
        <f aca="false">$C$2*(1+IF(E$3&lt;=$O$2,$D466,$D466-($D466-$I$454)*MIN(E$3-$O$2,$Q$2)/$Q$2))</f>
        <v>8497.15576171875</v>
      </c>
      <c r="F466" s="15" t="n">
        <f aca="false">E466*(1+IF(F$3&lt;=$O$2,$D466,$D466-($D466-$I$454)*MIN(F$3-$O$2,$Q$2)/$Q$2))</f>
        <v>9221.15658223629</v>
      </c>
      <c r="G466" s="15" t="n">
        <f aca="false">F466*(1+IF(G$3&lt;=$O$2,$D466,$D466-($D466-$I$454)*MIN(G$3-$O$2,$Q$2)/$Q$2))</f>
        <v>10006.8459492286</v>
      </c>
      <c r="H466" s="15" t="n">
        <f aca="false">G466*(1+IF(H$3&lt;=$O$2,$D466,$D466-($D466-$I$454)*MIN(H$3-$O$2,$Q$2)/$Q$2))</f>
        <v>10859.4800401175</v>
      </c>
      <c r="I466" s="15" t="n">
        <f aca="false">H466*(1+IF(I$3&lt;=$O$2,$D466,$D466-($D466-$I$454)*MIN(I$3-$O$2,$Q$2)/$Q$2))</f>
        <v>11784.7628853325</v>
      </c>
      <c r="J466" s="15" t="n">
        <f aca="false">I466*(1+IF(J$3&lt;=$O$2,$D466,$D466-($D466-$I$454)*MIN(J$3-$O$2,$Q$2)/$Q$2))</f>
        <v>12631.1924313563</v>
      </c>
      <c r="K466" s="15" t="n">
        <f aca="false">J466*(1+IF(K$3&lt;=$O$2,$D466,$D466-($D466-$I$454)*MIN(K$3-$O$2,$Q$2)/$Q$2))</f>
        <v>13369.3978027092</v>
      </c>
      <c r="L466" s="15" t="n">
        <f aca="false">K466*(1+IF(L$3&lt;=$O$2,$D466,$D466-($D466-$I$454)*MIN(L$3-$O$2,$Q$2)/$Q$2))</f>
        <v>13971.8500242886</v>
      </c>
      <c r="M466" s="15" t="n">
        <f aca="false">L466*(1+IF(M$3&lt;=$O$2,$D466,$D466-($D466-$I$454)*MIN(M$3-$O$2,$Q$2)/$Q$2))</f>
        <v>14414.4924232183</v>
      </c>
      <c r="N466" s="15" t="n">
        <f aca="false">M466*(1+IF(N$3&lt;=$O$2,$D466,$D466-($D466-$I$454)*MIN(N$3-$O$2,$Q$2)/$Q$2))</f>
        <v>14678.2776345632</v>
      </c>
      <c r="O466" s="15" t="n">
        <f aca="false">SUMPRODUCT(E466:N466,1/(1+$F$454)^$E$3:$N$3)*$E$2</f>
        <v>21177.6353939346</v>
      </c>
      <c r="P466" s="15" t="n">
        <f aca="false">N466*$E$2*(1+$I$454)/($F$454-$I$454)/(1+$F$454)^$N$3</f>
        <v>26808.0553533043</v>
      </c>
      <c r="Q466" s="15" t="n">
        <f aca="false">O466+P466</f>
        <v>47985.690747239</v>
      </c>
      <c r="R466" s="15" t="n">
        <f aca="false">Q466-$G$2+$I$2</f>
        <v>45468.690747239</v>
      </c>
      <c r="S466" s="42" t="n">
        <f aca="false">R466/$K$2</f>
        <v>104.95519769918</v>
      </c>
      <c r="T466" s="43" t="n">
        <f aca="false">S466-$M$2</f>
        <v>-0.303100624996617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0.085205078125</v>
      </c>
      <c r="C467" s="25" t="n">
        <f aca="false">IF(T466&gt;0,D466,C466)</f>
        <v>0.0859375</v>
      </c>
      <c r="D467" s="41" t="n">
        <f aca="false">(B467+C467)/2</f>
        <v>0.0855712890625</v>
      </c>
      <c r="E467" s="15" t="n">
        <f aca="false">$C$2*(1+IF(E$3&lt;=$O$2,$D467,$D467-($D467-$I$454)*MIN(E$3-$O$2,$Q$2)/$Q$2))</f>
        <v>8500.02319335938</v>
      </c>
      <c r="F467" s="15" t="n">
        <f aca="false">E467*(1+IF(F$3&lt;=$O$2,$D467,$D467-($D467-$I$454)*MIN(F$3-$O$2,$Q$2)/$Q$2))</f>
        <v>9227.38113507628</v>
      </c>
      <c r="G467" s="15" t="n">
        <f aca="false">F467*(1+IF(G$3&lt;=$O$2,$D467,$D467-($D467-$I$454)*MIN(G$3-$O$2,$Q$2)/$Q$2))</f>
        <v>10016.9800334758</v>
      </c>
      <c r="H467" s="15" t="n">
        <f aca="false">G467*(1+IF(H$3&lt;=$O$2,$D467,$D467-($D467-$I$454)*MIN(H$3-$O$2,$Q$2)/$Q$2))</f>
        <v>10874.1459274536</v>
      </c>
      <c r="I467" s="15" t="n">
        <f aca="false">H467*(1+IF(I$3&lt;=$O$2,$D467,$D467-($D467-$I$454)*MIN(I$3-$O$2,$Q$2)/$Q$2))</f>
        <v>11804.6606119195</v>
      </c>
      <c r="J467" s="15" t="n">
        <f aca="false">I467*(1+IF(J$3&lt;=$O$2,$D467,$D467-($D467-$I$454)*MIN(J$3-$O$2,$Q$2)/$Q$2))</f>
        <v>12655.977690165</v>
      </c>
      <c r="K467" s="15" t="n">
        <f aca="false">J467*(1+IF(K$3&lt;=$O$2,$D467,$D467-($D467-$I$454)*MIN(K$3-$O$2,$Q$2)/$Q$2))</f>
        <v>13398.4124420332</v>
      </c>
      <c r="L467" s="15" t="n">
        <f aca="false">K467*(1+IF(L$3&lt;=$O$2,$D467,$D467-($D467-$I$454)*MIN(L$3-$O$2,$Q$2)/$Q$2))</f>
        <v>14004.134780269</v>
      </c>
      <c r="M467" s="15" t="n">
        <f aca="false">L467*(1+IF(M$3&lt;=$O$2,$D467,$D467-($D467-$I$454)*MIN(M$3-$O$2,$Q$2)/$Q$2))</f>
        <v>14448.8256865227</v>
      </c>
      <c r="N467" s="15" t="n">
        <f aca="false">M467*(1+IF(N$3&lt;=$O$2,$D467,$D467-($D467-$I$454)*MIN(N$3-$O$2,$Q$2)/$Q$2))</f>
        <v>14713.2391965861</v>
      </c>
      <c r="O467" s="15" t="n">
        <f aca="false">SUMPRODUCT(E467:N467,1/(1+$F$454)^$E$3:$N$3)*$E$2</f>
        <v>21211.3728495375</v>
      </c>
      <c r="P467" s="15" t="n">
        <f aca="false">N467*$E$2*(1+$I$454)/($F$454-$I$454)/(1+$F$454)^$N$3</f>
        <v>26871.9083143453</v>
      </c>
      <c r="Q467" s="15" t="n">
        <f aca="false">O467+P467</f>
        <v>48083.2811638828</v>
      </c>
      <c r="R467" s="15" t="n">
        <f aca="false">Q467-$G$2+$I$2</f>
        <v>45566.2811638828</v>
      </c>
      <c r="S467" s="42" t="n">
        <f aca="false">R467/$K$2</f>
        <v>105.180465269108</v>
      </c>
      <c r="T467" s="43" t="n">
        <f aca="false">S467-$M$2</f>
        <v>-0.0778330550694051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0.0855712890625</v>
      </c>
      <c r="C468" s="25" t="n">
        <f aca="false">IF(T467&gt;0,D467,C467)</f>
        <v>0.0859375</v>
      </c>
      <c r="D468" s="41" t="n">
        <f aca="false">(B468+C468)/2</f>
        <v>0.08575439453125</v>
      </c>
      <c r="E468" s="15" t="n">
        <f aca="false">$C$2*(1+IF(E$3&lt;=$O$2,$D468,$D468-($D468-$I$454)*MIN(E$3-$O$2,$Q$2)/$Q$2))</f>
        <v>8501.45690917969</v>
      </c>
      <c r="F468" s="15" t="n">
        <f aca="false">E468*(1+IF(F$3&lt;=$O$2,$D468,$D468-($D468-$I$454)*MIN(F$3-$O$2,$Q$2)/$Q$2))</f>
        <v>9230.4941990599</v>
      </c>
      <c r="G468" s="15" t="n">
        <f aca="false">F468*(1+IF(G$3&lt;=$O$2,$D468,$D468-($D468-$I$454)*MIN(G$3-$O$2,$Q$2)/$Q$2))</f>
        <v>10022.0496403245</v>
      </c>
      <c r="H468" s="15" t="n">
        <f aca="false">G468*(1+IF(H$3&lt;=$O$2,$D468,$D468-($D468-$I$454)*MIN(H$3-$O$2,$Q$2)/$Q$2))</f>
        <v>10881.4844391927</v>
      </c>
      <c r="I468" s="15" t="n">
        <f aca="false">H468*(1+IF(I$3&lt;=$O$2,$D468,$D468-($D468-$I$454)*MIN(I$3-$O$2,$Q$2)/$Q$2))</f>
        <v>11814.6195488768</v>
      </c>
      <c r="J468" s="15" t="n">
        <f aca="false">I468*(1+IF(J$3&lt;=$O$2,$D468,$D468-($D468-$I$454)*MIN(J$3-$O$2,$Q$2)/$Q$2))</f>
        <v>12668.3854932505</v>
      </c>
      <c r="K468" s="15" t="n">
        <f aca="false">J468*(1+IF(K$3&lt;=$O$2,$D468,$D468-($D468-$I$454)*MIN(K$3-$O$2,$Q$2)/$Q$2))</f>
        <v>13412.9399116584</v>
      </c>
      <c r="L468" s="15" t="n">
        <f aca="false">K468*(1+IF(L$3&lt;=$O$2,$D468,$D468-($D468-$I$454)*MIN(L$3-$O$2,$Q$2)/$Q$2))</f>
        <v>14020.3014082918</v>
      </c>
      <c r="M468" s="15" t="n">
        <f aca="false">L468*(1+IF(M$3&lt;=$O$2,$D468,$D468-($D468-$I$454)*MIN(M$3-$O$2,$Q$2)/$Q$2))</f>
        <v>14466.0191125919</v>
      </c>
      <c r="N468" s="15" t="n">
        <f aca="false">M468*(1+IF(N$3&lt;=$O$2,$D468,$D468-($D468-$I$454)*MIN(N$3-$O$2,$Q$2)/$Q$2))</f>
        <v>14730.7472623523</v>
      </c>
      <c r="O468" s="15" t="n">
        <f aca="false">SUMPRODUCT(E468:N468,1/(1+$F$454)^$E$3:$N$3)*$E$2</f>
        <v>21228.2616809411</v>
      </c>
      <c r="P468" s="15" t="n">
        <f aca="false">N468*$E$2*(1+$I$454)/($F$454-$I$454)/(1+$F$454)^$N$3</f>
        <v>26903.8846270897</v>
      </c>
      <c r="Q468" s="15" t="n">
        <f aca="false">O468+P468</f>
        <v>48132.1463080308</v>
      </c>
      <c r="R468" s="15" t="n">
        <f aca="false">Q468-$G$2+$I$2</f>
        <v>45615.1463080308</v>
      </c>
      <c r="S468" s="42" t="n">
        <f aca="false">R468/$K$2</f>
        <v>105.29326048666</v>
      </c>
      <c r="T468" s="43" t="n">
        <f aca="false">S468-$M$2</f>
        <v>0.0349621624827563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0.0855712890625</v>
      </c>
      <c r="C469" s="25" t="n">
        <f aca="false">IF(T468&gt;0,D468,C468)</f>
        <v>0.08575439453125</v>
      </c>
      <c r="D469" s="41" t="n">
        <f aca="false">(B469+C469)/2</f>
        <v>0.085662841796875</v>
      </c>
      <c r="E469" s="15" t="n">
        <f aca="false">$C$2*(1+IF(E$3&lt;=$O$2,$D469,$D469-($D469-$I$454)*MIN(E$3-$O$2,$Q$2)/$Q$2))</f>
        <v>8500.74005126953</v>
      </c>
      <c r="F469" s="15" t="n">
        <f aca="false">E469*(1+IF(F$3&lt;=$O$2,$D469,$D469-($D469-$I$454)*MIN(F$3-$O$2,$Q$2)/$Q$2))</f>
        <v>9228.93760143779</v>
      </c>
      <c r="G469" s="15" t="n">
        <f aca="false">F469*(1+IF(G$3&lt;=$O$2,$D469,$D469-($D469-$I$454)*MIN(G$3-$O$2,$Q$2)/$Q$2))</f>
        <v>10019.514623143</v>
      </c>
      <c r="H469" s="15" t="n">
        <f aca="false">G469*(1+IF(H$3&lt;=$O$2,$D469,$D469-($D469-$I$454)*MIN(H$3-$O$2,$Q$2)/$Q$2))</f>
        <v>10877.8147191868</v>
      </c>
      <c r="I469" s="15" t="n">
        <f aca="false">H469*(1+IF(I$3&lt;=$O$2,$D469,$D469-($D469-$I$454)*MIN(I$3-$O$2,$Q$2)/$Q$2))</f>
        <v>11809.6392405722</v>
      </c>
      <c r="J469" s="15" t="n">
        <f aca="false">I469*(1+IF(J$3&lt;=$O$2,$D469,$D469-($D469-$I$454)*MIN(J$3-$O$2,$Q$2)/$Q$2))</f>
        <v>12662.1803265473</v>
      </c>
      <c r="K469" s="15" t="n">
        <f aca="false">J469*(1+IF(K$3&lt;=$O$2,$D469,$D469-($D469-$I$454)*MIN(K$3-$O$2,$Q$2)/$Q$2))</f>
        <v>13405.6744966075</v>
      </c>
      <c r="L469" s="15" t="n">
        <f aca="false">K469*(1+IF(L$3&lt;=$O$2,$D469,$D469-($D469-$I$454)*MIN(L$3-$O$2,$Q$2)/$Q$2))</f>
        <v>14012.2160720136</v>
      </c>
      <c r="M469" s="15" t="n">
        <f aca="false">L469*(1+IF(M$3&lt;=$O$2,$D469,$D469-($D469-$I$454)*MIN(M$3-$O$2,$Q$2)/$Q$2))</f>
        <v>14457.420165028</v>
      </c>
      <c r="N469" s="15" t="n">
        <f aca="false">M469*(1+IF(N$3&lt;=$O$2,$D469,$D469-($D469-$I$454)*MIN(N$3-$O$2,$Q$2)/$Q$2))</f>
        <v>14721.990954048</v>
      </c>
      <c r="O469" s="15" t="n">
        <f aca="false">SUMPRODUCT(E469:N469,1/(1+$F$454)^$E$3:$N$3)*$E$2</f>
        <v>21219.8155889097</v>
      </c>
      <c r="P469" s="15" t="n">
        <f aca="false">N469*$E$2*(1+$I$454)/($F$454-$I$454)/(1+$F$454)^$N$3</f>
        <v>26887.8923149426</v>
      </c>
      <c r="Q469" s="15" t="n">
        <f aca="false">O469+P469</f>
        <v>48107.7079038524</v>
      </c>
      <c r="R469" s="15" t="n">
        <f aca="false">Q469-$G$2+$I$2</f>
        <v>45590.7079038524</v>
      </c>
      <c r="S469" s="42" t="n">
        <f aca="false">R469/$K$2</f>
        <v>105.23684941566</v>
      </c>
      <c r="T469" s="43" t="n">
        <f aca="false">S469-$M$2</f>
        <v>-0.0214489085168026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0.085662841796875</v>
      </c>
      <c r="C470" s="25" t="n">
        <f aca="false">IF(T469&gt;0,D469,C469)</f>
        <v>0.08575439453125</v>
      </c>
      <c r="D470" s="41" t="n">
        <f aca="false">(B470+C470)/2</f>
        <v>0.0857086181640625</v>
      </c>
      <c r="E470" s="15" t="n">
        <f aca="false">$C$2*(1+IF(E$3&lt;=$O$2,$D470,$D470-($D470-$I$454)*MIN(E$3-$O$2,$Q$2)/$Q$2))</f>
        <v>8501.09848022461</v>
      </c>
      <c r="F470" s="15" t="n">
        <f aca="false">E470*(1+IF(F$3&lt;=$O$2,$D470,$D470-($D470-$I$454)*MIN(F$3-$O$2,$Q$2)/$Q$2))</f>
        <v>9229.71588384127</v>
      </c>
      <c r="G470" s="15" t="n">
        <f aca="false">F470*(1+IF(G$3&lt;=$O$2,$D470,$D470-($D470-$I$454)*MIN(G$3-$O$2,$Q$2)/$Q$2))</f>
        <v>10020.7820782922</v>
      </c>
      <c r="H470" s="15" t="n">
        <f aca="false">G470*(1+IF(H$3&lt;=$O$2,$D470,$D470-($D470-$I$454)*MIN(H$3-$O$2,$Q$2)/$Q$2))</f>
        <v>10879.6494631458</v>
      </c>
      <c r="I470" s="15" t="n">
        <f aca="false">H470*(1+IF(I$3&lt;=$O$2,$D470,$D470-($D470-$I$454)*MIN(I$3-$O$2,$Q$2)/$Q$2))</f>
        <v>11812.1291847414</v>
      </c>
      <c r="J470" s="15" t="n">
        <f aca="false">I470*(1+IF(J$3&lt;=$O$2,$D470,$D470-($D470-$I$454)*MIN(J$3-$O$2,$Q$2)/$Q$2))</f>
        <v>12665.2825935573</v>
      </c>
      <c r="K470" s="15" t="n">
        <f aca="false">J470*(1+IF(K$3&lt;=$O$2,$D470,$D470-($D470-$I$454)*MIN(K$3-$O$2,$Q$2)/$Q$2))</f>
        <v>13409.3067839928</v>
      </c>
      <c r="L470" s="15" t="n">
        <f aca="false">K470*(1+IF(L$3&lt;=$O$2,$D470,$D470-($D470-$I$454)*MIN(L$3-$O$2,$Q$2)/$Q$2))</f>
        <v>14016.2582344786</v>
      </c>
      <c r="M470" s="15" t="n">
        <f aca="false">L470*(1+IF(M$3&lt;=$O$2,$D470,$D470-($D470-$I$454)*MIN(M$3-$O$2,$Q$2)/$Q$2))</f>
        <v>14461.719080053</v>
      </c>
      <c r="N470" s="15" t="n">
        <f aca="false">M470*(1+IF(N$3&lt;=$O$2,$D470,$D470-($D470-$I$454)*MIN(N$3-$O$2,$Q$2)/$Q$2))</f>
        <v>14726.3685392179</v>
      </c>
      <c r="O470" s="15" t="n">
        <f aca="false">SUMPRODUCT(E470:N470,1/(1+$F$454)^$E$3:$N$3)*$E$2</f>
        <v>21224.0382157658</v>
      </c>
      <c r="P470" s="15" t="n">
        <f aca="false">N470*$E$2*(1+$I$454)/($F$454-$I$454)/(1+$F$454)^$N$3</f>
        <v>26895.8874318406</v>
      </c>
      <c r="Q470" s="15" t="n">
        <f aca="false">O470+P470</f>
        <v>48119.9256476064</v>
      </c>
      <c r="R470" s="15" t="n">
        <f aca="false">Q470-$G$2+$I$2</f>
        <v>45602.9256476064</v>
      </c>
      <c r="S470" s="42" t="n">
        <f aca="false">R470/$K$2</f>
        <v>105.265051584891</v>
      </c>
      <c r="T470" s="43" t="n">
        <f aca="false">S470-$M$2</f>
        <v>0.00675326071367977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0.085662841796875</v>
      </c>
      <c r="C471" s="25" t="n">
        <f aca="false">IF(T470&gt;0,D470,C470)</f>
        <v>0.0857086181640625</v>
      </c>
      <c r="D471" s="41" t="n">
        <f aca="false">(B471+C471)/2</f>
        <v>0.0856857299804688</v>
      </c>
      <c r="E471" s="15" t="n">
        <f aca="false">$C$2*(1+IF(E$3&lt;=$O$2,$D471,$D471-($D471-$I$454)*MIN(E$3-$O$2,$Q$2)/$Q$2))</f>
        <v>8500.91926574707</v>
      </c>
      <c r="F471" s="15" t="n">
        <f aca="false">E471*(1+IF(F$3&lt;=$O$2,$D471,$D471-($D471-$I$454)*MIN(F$3-$O$2,$Q$2)/$Q$2))</f>
        <v>9229.32673853764</v>
      </c>
      <c r="G471" s="15" t="n">
        <f aca="false">F471*(1+IF(G$3&lt;=$O$2,$D471,$D471-($D471-$I$454)*MIN(G$3-$O$2,$Q$2)/$Q$2))</f>
        <v>10020.1483373575</v>
      </c>
      <c r="H471" s="15" t="n">
        <f aca="false">G471*(1+IF(H$3&lt;=$O$2,$D471,$D471-($D471-$I$454)*MIN(H$3-$O$2,$Q$2)/$Q$2))</f>
        <v>10878.7320621566</v>
      </c>
      <c r="I471" s="15" t="n">
        <f aca="false">H471*(1+IF(I$3&lt;=$O$2,$D471,$D471-($D471-$I$454)*MIN(I$3-$O$2,$Q$2)/$Q$2))</f>
        <v>11810.8841601644</v>
      </c>
      <c r="J471" s="15" t="n">
        <f aca="false">I471*(1+IF(J$3&lt;=$O$2,$D471,$D471-($D471-$I$454)*MIN(J$3-$O$2,$Q$2)/$Q$2))</f>
        <v>12663.7313809733</v>
      </c>
      <c r="K471" s="15" t="n">
        <f aca="false">J471*(1+IF(K$3&lt;=$O$2,$D471,$D471-($D471-$I$454)*MIN(K$3-$O$2,$Q$2)/$Q$2))</f>
        <v>13407.4905352752</v>
      </c>
      <c r="L471" s="15" t="n">
        <f aca="false">K471*(1+IF(L$3&lt;=$O$2,$D471,$D471-($D471-$I$454)*MIN(L$3-$O$2,$Q$2)/$Q$2))</f>
        <v>14014.237026841</v>
      </c>
      <c r="M471" s="15" t="n">
        <f aca="false">L471*(1+IF(M$3&lt;=$O$2,$D471,$D471-($D471-$I$454)*MIN(M$3-$O$2,$Q$2)/$Q$2))</f>
        <v>14459.5694828668</v>
      </c>
      <c r="N471" s="15" t="n">
        <f aca="false">M471*(1+IF(N$3&lt;=$O$2,$D471,$D471-($D471-$I$454)*MIN(N$3-$O$2,$Q$2)/$Q$2))</f>
        <v>14724.1796044033</v>
      </c>
      <c r="O471" s="15" t="n">
        <f aca="false">SUMPRODUCT(E471:N471,1/(1+$F$454)^$E$3:$N$3)*$E$2</f>
        <v>21221.9267975575</v>
      </c>
      <c r="P471" s="15" t="n">
        <f aca="false">N471*$E$2*(1+$I$454)/($F$454-$I$454)/(1+$F$454)^$N$3</f>
        <v>26891.8896136267</v>
      </c>
      <c r="Q471" s="15" t="n">
        <f aca="false">O471+P471</f>
        <v>48113.8164111842</v>
      </c>
      <c r="R471" s="15" t="n">
        <f aca="false">Q471-$G$2+$I$2</f>
        <v>45596.8164111842</v>
      </c>
      <c r="S471" s="42" t="n">
        <f aca="false">R471/$K$2</f>
        <v>105.250949658797</v>
      </c>
      <c r="T471" s="43" t="n">
        <f aca="false">S471-$M$2</f>
        <v>-0.00734866537969481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0.0856857299804688</v>
      </c>
      <c r="C472" s="25" t="n">
        <f aca="false">IF(T471&gt;0,D471,C471)</f>
        <v>0.0857086181640625</v>
      </c>
      <c r="D472" s="41" t="n">
        <f aca="false">(B472+C472)/2</f>
        <v>0.0856971740722656</v>
      </c>
      <c r="E472" s="15" t="n">
        <f aca="false">$C$2*(1+IF(E$3&lt;=$O$2,$D472,$D472-($D472-$I$454)*MIN(E$3-$O$2,$Q$2)/$Q$2))</f>
        <v>8501.00887298584</v>
      </c>
      <c r="F472" s="15" t="n">
        <f aca="false">E472*(1+IF(F$3&lt;=$O$2,$D472,$D472-($D472-$I$454)*MIN(F$3-$O$2,$Q$2)/$Q$2))</f>
        <v>9229.52131016398</v>
      </c>
      <c r="G472" s="15" t="n">
        <f aca="false">F472*(1+IF(G$3&lt;=$O$2,$D472,$D472-($D472-$I$454)*MIN(G$3-$O$2,$Q$2)/$Q$2))</f>
        <v>10020.4652044848</v>
      </c>
      <c r="H472" s="15" t="n">
        <f aca="false">G472*(1+IF(H$3&lt;=$O$2,$D472,$D472-($D472-$I$454)*MIN(H$3-$O$2,$Q$2)/$Q$2))</f>
        <v>10879.1907553986</v>
      </c>
      <c r="I472" s="15" t="n">
        <f aca="false">H472*(1+IF(I$3&lt;=$O$2,$D472,$D472-($D472-$I$454)*MIN(I$3-$O$2,$Q$2)/$Q$2))</f>
        <v>11811.5066593294</v>
      </c>
      <c r="J472" s="15" t="n">
        <f aca="false">I472*(1+IF(J$3&lt;=$O$2,$D472,$D472-($D472-$I$454)*MIN(J$3-$O$2,$Q$2)/$Q$2))</f>
        <v>12664.5069674947</v>
      </c>
      <c r="K472" s="15" t="n">
        <f aca="false">J472*(1+IF(K$3&lt;=$O$2,$D472,$D472-($D472-$I$454)*MIN(K$3-$O$2,$Q$2)/$Q$2))</f>
        <v>13408.3986333765</v>
      </c>
      <c r="L472" s="15" t="n">
        <f aca="false">K472*(1+IF(L$3&lt;=$O$2,$D472,$D472-($D472-$I$454)*MIN(L$3-$O$2,$Q$2)/$Q$2))</f>
        <v>14015.2475990569</v>
      </c>
      <c r="M472" s="15" t="n">
        <f aca="false">L472*(1+IF(M$3&lt;=$O$2,$D472,$D472-($D472-$I$454)*MIN(M$3-$O$2,$Q$2)/$Q$2))</f>
        <v>14460.6442465395</v>
      </c>
      <c r="N472" s="15" t="n">
        <f aca="false">M472*(1+IF(N$3&lt;=$O$2,$D472,$D472-($D472-$I$454)*MIN(N$3-$O$2,$Q$2)/$Q$2))</f>
        <v>14725.2740362512</v>
      </c>
      <c r="O472" s="15" t="n">
        <f aca="false">SUMPRODUCT(E472:N472,1/(1+$F$454)^$E$3:$N$3)*$E$2</f>
        <v>21222.9824804654</v>
      </c>
      <c r="P472" s="15" t="n">
        <f aca="false">N472*$E$2*(1+$I$454)/($F$454-$I$454)/(1+$F$454)^$N$3</f>
        <v>26893.8884577888</v>
      </c>
      <c r="Q472" s="15" t="n">
        <f aca="false">O472+P472</f>
        <v>48116.8709382542</v>
      </c>
      <c r="R472" s="15" t="n">
        <f aca="false">Q472-$G$2+$I$2</f>
        <v>45599.8709382542</v>
      </c>
      <c r="S472" s="42" t="n">
        <f aca="false">R472/$K$2</f>
        <v>105.258000411463</v>
      </c>
      <c r="T472" s="43" t="n">
        <f aca="false">S472-$M$2</f>
        <v>-0.000297912713691062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0.0856971740722656</v>
      </c>
      <c r="C473" s="25" t="n">
        <f aca="false">IF(T472&gt;0,D472,C472)</f>
        <v>0.0857086181640625</v>
      </c>
      <c r="D473" s="41" t="n">
        <f aca="false">(B473+C473)/2</f>
        <v>0.0857028961181641</v>
      </c>
      <c r="E473" s="15" t="n">
        <f aca="false">$C$2*(1+IF(E$3&lt;=$O$2,$D473,$D473-($D473-$I$454)*MIN(E$3-$O$2,$Q$2)/$Q$2))</f>
        <v>8501.05367660523</v>
      </c>
      <c r="F473" s="15" t="n">
        <f aca="false">E473*(1+IF(F$3&lt;=$O$2,$D473,$D473-($D473-$I$454)*MIN(F$3-$O$2,$Q$2)/$Q$2))</f>
        <v>9229.61859674626</v>
      </c>
      <c r="G473" s="15" t="n">
        <f aca="false">F473*(1+IF(G$3&lt;=$O$2,$D473,$D473-($D473-$I$454)*MIN(G$3-$O$2,$Q$2)/$Q$2))</f>
        <v>10020.6236405535</v>
      </c>
      <c r="H473" s="15" t="n">
        <f aca="false">G473*(1+IF(H$3&lt;=$O$2,$D473,$D473-($D473-$I$454)*MIN(H$3-$O$2,$Q$2)/$Q$2))</f>
        <v>10879.4201074591</v>
      </c>
      <c r="I473" s="15" t="n">
        <f aca="false">H473*(1+IF(I$3&lt;=$O$2,$D473,$D473-($D473-$I$454)*MIN(I$3-$O$2,$Q$2)/$Q$2))</f>
        <v>11811.8179187545</v>
      </c>
      <c r="J473" s="15" t="n">
        <f aca="false">I473*(1+IF(J$3&lt;=$O$2,$D473,$D473-($D473-$I$454)*MIN(J$3-$O$2,$Q$2)/$Q$2))</f>
        <v>12664.8947755833</v>
      </c>
      <c r="K473" s="15" t="n">
        <f aca="false">J473*(1+IF(K$3&lt;=$O$2,$D473,$D473-($D473-$I$454)*MIN(K$3-$O$2,$Q$2)/$Q$2))</f>
        <v>13408.8527021201</v>
      </c>
      <c r="L473" s="15" t="n">
        <f aca="false">K473*(1+IF(L$3&lt;=$O$2,$D473,$D473-($D473-$I$454)*MIN(L$3-$O$2,$Q$2)/$Q$2))</f>
        <v>14015.7529088668</v>
      </c>
      <c r="M473" s="15" t="n">
        <f aca="false">L473*(1+IF(M$3&lt;=$O$2,$D473,$D473-($D473-$I$454)*MIN(M$3-$O$2,$Q$2)/$Q$2))</f>
        <v>14461.1816545659</v>
      </c>
      <c r="N473" s="15" t="n">
        <f aca="false">M473*(1+IF(N$3&lt;=$O$2,$D473,$D473-($D473-$I$454)*MIN(N$3-$O$2,$Q$2)/$Q$2))</f>
        <v>14725.8212788445</v>
      </c>
      <c r="O473" s="15" t="n">
        <f aca="false">SUMPRODUCT(E473:N473,1/(1+$F$454)^$E$3:$N$3)*$E$2</f>
        <v>21223.5103415664</v>
      </c>
      <c r="P473" s="15" t="n">
        <f aca="false">N473*$E$2*(1+$I$454)/($F$454-$I$454)/(1+$F$454)^$N$3</f>
        <v>26894.8879285781</v>
      </c>
      <c r="Q473" s="15" t="n">
        <f aca="false">O473+P473</f>
        <v>48118.3982701444</v>
      </c>
      <c r="R473" s="15" t="n">
        <f aca="false">Q473-$G$2+$I$2</f>
        <v>45601.3982701444</v>
      </c>
      <c r="S473" s="42" t="n">
        <f aca="false">R473/$K$2</f>
        <v>105.261525945581</v>
      </c>
      <c r="T473" s="43" t="n">
        <f aca="false">S473-$M$2</f>
        <v>0.00322762140343968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0.0856971740722656</v>
      </c>
      <c r="C474" s="25" t="n">
        <f aca="false">IF(T473&gt;0,D473,C473)</f>
        <v>0.0857028961181641</v>
      </c>
      <c r="D474" s="41" t="n">
        <f aca="false">(B474+C474)/2</f>
        <v>0.0857000350952148</v>
      </c>
      <c r="E474" s="15" t="n">
        <f aca="false">$C$2*(1+IF(E$3&lt;=$O$2,$D474,$D474-($D474-$I$454)*MIN(E$3-$O$2,$Q$2)/$Q$2))</f>
        <v>8501.03127479553</v>
      </c>
      <c r="F474" s="15" t="n">
        <f aca="false">E474*(1+IF(F$3&lt;=$O$2,$D474,$D474-($D474-$I$454)*MIN(F$3-$O$2,$Q$2)/$Q$2))</f>
        <v>9229.56995339103</v>
      </c>
      <c r="G474" s="15" t="n">
        <f aca="false">F474*(1+IF(G$3&lt;=$O$2,$D474,$D474-($D474-$I$454)*MIN(G$3-$O$2,$Q$2)/$Q$2))</f>
        <v>10020.5444223104</v>
      </c>
      <c r="H474" s="15" t="n">
        <f aca="false">G474*(1+IF(H$3&lt;=$O$2,$D474,$D474-($D474-$I$454)*MIN(H$3-$O$2,$Q$2)/$Q$2))</f>
        <v>10879.3054309755</v>
      </c>
      <c r="I474" s="15" t="n">
        <f aca="false">H474*(1+IF(I$3&lt;=$O$2,$D474,$D474-($D474-$I$454)*MIN(I$3-$O$2,$Q$2)/$Q$2))</f>
        <v>11811.6622882217</v>
      </c>
      <c r="J474" s="15" t="n">
        <f aca="false">I474*(1+IF(J$3&lt;=$O$2,$D474,$D474-($D474-$I$454)*MIN(J$3-$O$2,$Q$2)/$Q$2))</f>
        <v>12664.7008703033</v>
      </c>
      <c r="K474" s="15" t="n">
        <f aca="false">J474*(1+IF(K$3&lt;=$O$2,$D474,$D474-($D474-$I$454)*MIN(K$3-$O$2,$Q$2)/$Q$2))</f>
        <v>13408.6256661072</v>
      </c>
      <c r="L474" s="15" t="n">
        <f aca="false">K474*(1+IF(L$3&lt;=$O$2,$D474,$D474-($D474-$I$454)*MIN(L$3-$O$2,$Q$2)/$Q$2))</f>
        <v>14015.5002519866</v>
      </c>
      <c r="M474" s="15" t="n">
        <f aca="false">L474*(1+IF(M$3&lt;=$O$2,$D474,$D474-($D474-$I$454)*MIN(M$3-$O$2,$Q$2)/$Q$2))</f>
        <v>14460.9129483702</v>
      </c>
      <c r="N474" s="15" t="n">
        <f aca="false">M474*(1+IF(N$3&lt;=$O$2,$D474,$D474-($D474-$I$454)*MIN(N$3-$O$2,$Q$2)/$Q$2))</f>
        <v>14725.5476553254</v>
      </c>
      <c r="O474" s="15" t="n">
        <f aca="false">SUMPRODUCT(E474:N474,1/(1+$F$454)^$E$3:$N$3)*$E$2</f>
        <v>21223.2464093786</v>
      </c>
      <c r="P474" s="15" t="n">
        <f aca="false">N474*$E$2*(1+$I$454)/($F$454-$I$454)/(1+$F$454)^$N$3</f>
        <v>26894.3881891243</v>
      </c>
      <c r="Q474" s="15" t="n">
        <f aca="false">O474+P474</f>
        <v>48117.6345985029</v>
      </c>
      <c r="R474" s="15" t="n">
        <f aca="false">Q474-$G$2+$I$2</f>
        <v>45600.6345985029</v>
      </c>
      <c r="S474" s="42" t="n">
        <f aca="false">R474/$K$2</f>
        <v>105.259763165373</v>
      </c>
      <c r="T474" s="43" t="n">
        <f aca="false">S474-$M$2</f>
        <v>0.0014648411959115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0.0856971740722656</v>
      </c>
      <c r="C475" s="25" t="n">
        <f aca="false">IF(T474&gt;0,D474,C474)</f>
        <v>0.0857000350952148</v>
      </c>
      <c r="D475" s="41" t="n">
        <f aca="false">(B475+C475)/2</f>
        <v>0.0856986045837402</v>
      </c>
      <c r="E475" s="15" t="n">
        <f aca="false">$C$2*(1+IF(E$3&lt;=$O$2,$D475,$D475-($D475-$I$454)*MIN(E$3-$O$2,$Q$2)/$Q$2))</f>
        <v>8501.02007389069</v>
      </c>
      <c r="F475" s="15" t="n">
        <f aca="false">E475*(1+IF(F$3&lt;=$O$2,$D475,$D475-($D475-$I$454)*MIN(F$3-$O$2,$Q$2)/$Q$2))</f>
        <v>9229.54563176148</v>
      </c>
      <c r="G475" s="15" t="n">
        <f aca="false">F475*(1+IF(G$3&lt;=$O$2,$D475,$D475-($D475-$I$454)*MIN(G$3-$O$2,$Q$2)/$Q$2))</f>
        <v>10020.5048133454</v>
      </c>
      <c r="H475" s="15" t="n">
        <f aca="false">G475*(1+IF(H$3&lt;=$O$2,$D475,$D475-($D475-$I$454)*MIN(H$3-$O$2,$Q$2)/$Q$2))</f>
        <v>10879.2480930738</v>
      </c>
      <c r="I475" s="15" t="n">
        <f aca="false">H475*(1+IF(I$3&lt;=$O$2,$D475,$D475-($D475-$I$454)*MIN(I$3-$O$2,$Q$2)/$Q$2))</f>
        <v>11811.5844735705</v>
      </c>
      <c r="J475" s="15" t="n">
        <f aca="false">I475*(1+IF(J$3&lt;=$O$2,$D475,$D475-($D475-$I$454)*MIN(J$3-$O$2,$Q$2)/$Q$2))</f>
        <v>12664.6039185901</v>
      </c>
      <c r="K475" s="15" t="n">
        <f aca="false">J475*(1+IF(K$3&lt;=$O$2,$D475,$D475-($D475-$I$454)*MIN(K$3-$O$2,$Q$2)/$Q$2))</f>
        <v>13408.5121493316</v>
      </c>
      <c r="L475" s="15" t="n">
        <f aca="false">K475*(1+IF(L$3&lt;=$O$2,$D475,$D475-($D475-$I$454)*MIN(L$3-$O$2,$Q$2)/$Q$2))</f>
        <v>14015.373925028</v>
      </c>
      <c r="M475" s="15" t="n">
        <f aca="false">L475*(1+IF(M$3&lt;=$O$2,$D475,$D475-($D475-$I$454)*MIN(M$3-$O$2,$Q$2)/$Q$2))</f>
        <v>14460.7785969092</v>
      </c>
      <c r="N475" s="15" t="n">
        <f aca="false">M475*(1+IF(N$3&lt;=$O$2,$D475,$D475-($D475-$I$454)*MIN(N$3-$O$2,$Q$2)/$Q$2))</f>
        <v>14725.4108452327</v>
      </c>
      <c r="O475" s="15" t="n">
        <f aca="false">SUMPRODUCT(E475:N475,1/(1+$F$454)^$E$3:$N$3)*$E$2</f>
        <v>21223.1144445127</v>
      </c>
      <c r="P475" s="15" t="n">
        <f aca="false">N475*$E$2*(1+$I$454)/($F$454-$I$454)/(1+$F$454)^$N$3</f>
        <v>26894.1383224418</v>
      </c>
      <c r="Q475" s="15" t="n">
        <f aca="false">O475+P475</f>
        <v>48117.2527669545</v>
      </c>
      <c r="R475" s="15" t="n">
        <f aca="false">Q475-$G$2+$I$2</f>
        <v>45600.2527669545</v>
      </c>
      <c r="S475" s="42" t="n">
        <f aca="false">R475/$K$2</f>
        <v>105.258881785131</v>
      </c>
      <c r="T475" s="43" t="n">
        <f aca="false">S475-$M$2</f>
        <v>0.000583460953890835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0.0856971740722656</v>
      </c>
      <c r="C476" s="25" t="n">
        <f aca="false">IF(T475&gt;0,D475,C475)</f>
        <v>0.0856986045837402</v>
      </c>
      <c r="D476" s="41" t="n">
        <f aca="false">(B476+C476)/2</f>
        <v>0.0856978893280029</v>
      </c>
      <c r="E476" s="15" t="n">
        <f aca="false">$C$2*(1+IF(E$3&lt;=$O$2,$D476,$D476-($D476-$I$454)*MIN(E$3-$O$2,$Q$2)/$Q$2))</f>
        <v>8501.01447343826</v>
      </c>
      <c r="F476" s="15" t="n">
        <f aca="false">E476*(1+IF(F$3&lt;=$O$2,$D476,$D476-($D476-$I$454)*MIN(F$3-$O$2,$Q$2)/$Q$2))</f>
        <v>9229.53347095873</v>
      </c>
      <c r="G476" s="15" t="n">
        <f aca="false">F476*(1+IF(G$3&lt;=$O$2,$D476,$D476-($D476-$I$454)*MIN(G$3-$O$2,$Q$2)/$Q$2))</f>
        <v>10020.485008902</v>
      </c>
      <c r="H476" s="15" t="n">
        <f aca="false">G476*(1+IF(H$3&lt;=$O$2,$D476,$D476-($D476-$I$454)*MIN(H$3-$O$2,$Q$2)/$Q$2))</f>
        <v>10879.2194242078</v>
      </c>
      <c r="I476" s="15" t="n">
        <f aca="false">H476*(1+IF(I$3&lt;=$O$2,$D476,$D476-($D476-$I$454)*MIN(I$3-$O$2,$Q$2)/$Q$2))</f>
        <v>11811.5455663987</v>
      </c>
      <c r="J476" s="15" t="n">
        <f aca="false">I476*(1+IF(J$3&lt;=$O$2,$D476,$D476-($D476-$I$454)*MIN(J$3-$O$2,$Q$2)/$Q$2))</f>
        <v>12664.5554429652</v>
      </c>
      <c r="K476" s="15" t="n">
        <f aca="false">J476*(1+IF(K$3&lt;=$O$2,$D476,$D476-($D476-$I$454)*MIN(K$3-$O$2,$Q$2)/$Q$2))</f>
        <v>13408.4553912515</v>
      </c>
      <c r="L476" s="15" t="n">
        <f aca="false">K476*(1+IF(L$3&lt;=$O$2,$D476,$D476-($D476-$I$454)*MIN(L$3-$O$2,$Q$2)/$Q$2))</f>
        <v>14015.310761919</v>
      </c>
      <c r="M476" s="15" t="n">
        <f aca="false">L476*(1+IF(M$3&lt;=$O$2,$D476,$D476-($D476-$I$454)*MIN(M$3-$O$2,$Q$2)/$Q$2))</f>
        <v>14460.711421588</v>
      </c>
      <c r="N476" s="15" t="n">
        <f aca="false">M476*(1+IF(N$3&lt;=$O$2,$D476,$D476-($D476-$I$454)*MIN(N$3-$O$2,$Q$2)/$Q$2))</f>
        <v>14725.342440603</v>
      </c>
      <c r="O476" s="15" t="n">
        <f aca="false">SUMPRODUCT(E476:N476,1/(1+$F$454)^$E$3:$N$3)*$E$2</f>
        <v>21223.0484623867</v>
      </c>
      <c r="P476" s="15" t="n">
        <f aca="false">N476*$E$2*(1+$I$454)/($F$454-$I$454)/(1+$F$454)^$N$3</f>
        <v>26894.0133898616</v>
      </c>
      <c r="Q476" s="15" t="n">
        <f aca="false">O476+P476</f>
        <v>48117.0618522483</v>
      </c>
      <c r="R476" s="15" t="n">
        <f aca="false">Q476-$G$2+$I$2</f>
        <v>45600.0618522483</v>
      </c>
      <c r="S476" s="42" t="n">
        <f aca="false">R476/$K$2</f>
        <v>105.258441097475</v>
      </c>
      <c r="T476" s="43" t="n">
        <f aca="false">S476-$M$2</f>
        <v>0.000142773298307475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0.0856971740722656</v>
      </c>
      <c r="C477" s="25" t="n">
        <f aca="false">IF(T476&gt;0,D476,C476)</f>
        <v>0.0856978893280029</v>
      </c>
      <c r="D477" s="41" t="n">
        <f aca="false">(B477+C477)/2</f>
        <v>0.0856975317001343</v>
      </c>
      <c r="E477" s="15" t="n">
        <f aca="false">$C$2*(1+IF(E$3&lt;=$O$2,$D477,$D477-($D477-$I$454)*MIN(E$3-$O$2,$Q$2)/$Q$2))</f>
        <v>8501.01167321205</v>
      </c>
      <c r="F477" s="15" t="n">
        <f aca="false">E477*(1+IF(F$3&lt;=$O$2,$D477,$D477-($D477-$I$454)*MIN(F$3-$O$2,$Q$2)/$Q$2))</f>
        <v>9229.52739056035</v>
      </c>
      <c r="G477" s="15" t="n">
        <f aca="false">F477*(1+IF(G$3&lt;=$O$2,$D477,$D477-($D477-$I$454)*MIN(G$3-$O$2,$Q$2)/$Q$2))</f>
        <v>10020.4751066902</v>
      </c>
      <c r="H477" s="15" t="n">
        <f aca="false">G477*(1+IF(H$3&lt;=$O$2,$D477,$D477-($D477-$I$454)*MIN(H$3-$O$2,$Q$2)/$Q$2))</f>
        <v>10879.2050897961</v>
      </c>
      <c r="I477" s="15" t="n">
        <f aca="false">H477*(1+IF(I$3&lt;=$O$2,$D477,$D477-($D477-$I$454)*MIN(I$3-$O$2,$Q$2)/$Q$2))</f>
        <v>11811.5261128512</v>
      </c>
      <c r="J477" s="15" t="n">
        <f aca="false">I477*(1+IF(J$3&lt;=$O$2,$D477,$D477-($D477-$I$454)*MIN(J$3-$O$2,$Q$2)/$Q$2))</f>
        <v>12664.5312052107</v>
      </c>
      <c r="K477" s="15" t="n">
        <f aca="false">J477*(1+IF(K$3&lt;=$O$2,$D477,$D477-($D477-$I$454)*MIN(K$3-$O$2,$Q$2)/$Q$2))</f>
        <v>13408.4270122883</v>
      </c>
      <c r="L477" s="15" t="n">
        <f aca="false">K477*(1+IF(L$3&lt;=$O$2,$D477,$D477-($D477-$I$454)*MIN(L$3-$O$2,$Q$2)/$Q$2))</f>
        <v>14015.2791804571</v>
      </c>
      <c r="M477" s="15" t="n">
        <f aca="false">L477*(1+IF(M$3&lt;=$O$2,$D477,$D477-($D477-$I$454)*MIN(M$3-$O$2,$Q$2)/$Q$2))</f>
        <v>14460.6778340297</v>
      </c>
      <c r="N477" s="15" t="n">
        <f aca="false">M477*(1+IF(N$3&lt;=$O$2,$D477,$D477-($D477-$I$454)*MIN(N$3-$O$2,$Q$2)/$Q$2))</f>
        <v>14725.3082383924</v>
      </c>
      <c r="O477" s="15" t="n">
        <f aca="false">SUMPRODUCT(E477:N477,1/(1+$F$454)^$E$3:$N$3)*$E$2</f>
        <v>21223.0154714004</v>
      </c>
      <c r="P477" s="15" t="n">
        <f aca="false">N477*$E$2*(1+$I$454)/($F$454-$I$454)/(1+$F$454)^$N$3</f>
        <v>26893.9509237618</v>
      </c>
      <c r="Q477" s="15" t="n">
        <f aca="false">O477+P477</f>
        <v>48116.9663951622</v>
      </c>
      <c r="R477" s="15" t="n">
        <f aca="false">Q477-$G$2+$I$2</f>
        <v>45599.9663951622</v>
      </c>
      <c r="S477" s="42" t="n">
        <f aca="false">R477/$K$2</f>
        <v>105.258220754264</v>
      </c>
      <c r="T477" s="43" t="n">
        <f aca="false">S477-$M$2</f>
        <v>-7.75699131310148E-005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0.0856975317001343</v>
      </c>
      <c r="C478" s="25" t="n">
        <f aca="false">IF(T477&gt;0,D477,C477)</f>
        <v>0.0856978893280029</v>
      </c>
      <c r="D478" s="41" t="n">
        <f aca="false">(B478+C478)/2</f>
        <v>0.0856977105140686</v>
      </c>
      <c r="E478" s="15" t="n">
        <f aca="false">$C$2*(1+IF(E$3&lt;=$O$2,$D478,$D478-($D478-$I$454)*MIN(E$3-$O$2,$Q$2)/$Q$2))</f>
        <v>8501.01307332516</v>
      </c>
      <c r="F478" s="15" t="n">
        <f aca="false">E478*(1+IF(F$3&lt;=$O$2,$D478,$D478-($D478-$I$454)*MIN(F$3-$O$2,$Q$2)/$Q$2))</f>
        <v>9229.53043075929</v>
      </c>
      <c r="G478" s="15" t="n">
        <f aca="false">F478*(1+IF(G$3&lt;=$O$2,$D478,$D478-($D478-$I$454)*MIN(G$3-$O$2,$Q$2)/$Q$2))</f>
        <v>10020.4800577953</v>
      </c>
      <c r="H478" s="15" t="n">
        <f aca="false">G478*(1+IF(H$3&lt;=$O$2,$D478,$D478-($D478-$I$454)*MIN(H$3-$O$2,$Q$2)/$Q$2))</f>
        <v>10879.2122570002</v>
      </c>
      <c r="I478" s="15" t="n">
        <f aca="false">H478*(1+IF(I$3&lt;=$O$2,$D478,$D478-($D478-$I$454)*MIN(I$3-$O$2,$Q$2)/$Q$2))</f>
        <v>11811.5358396217</v>
      </c>
      <c r="J478" s="15" t="n">
        <f aca="false">I478*(1+IF(J$3&lt;=$O$2,$D478,$D478-($D478-$I$454)*MIN(J$3-$O$2,$Q$2)/$Q$2))</f>
        <v>12664.5433240831</v>
      </c>
      <c r="K478" s="15" t="n">
        <f aca="false">J478*(1+IF(K$3&lt;=$O$2,$D478,$D478-($D478-$I$454)*MIN(K$3-$O$2,$Q$2)/$Q$2))</f>
        <v>13408.4412017635</v>
      </c>
      <c r="L478" s="15" t="n">
        <f aca="false">K478*(1+IF(L$3&lt;=$O$2,$D478,$D478-($D478-$I$454)*MIN(L$3-$O$2,$Q$2)/$Q$2))</f>
        <v>14015.2949711803</v>
      </c>
      <c r="M478" s="15" t="n">
        <f aca="false">L478*(1+IF(M$3&lt;=$O$2,$D478,$D478-($D478-$I$454)*MIN(M$3-$O$2,$Q$2)/$Q$2))</f>
        <v>14460.6946278003</v>
      </c>
      <c r="N478" s="15" t="n">
        <f aca="false">M478*(1+IF(N$3&lt;=$O$2,$D478,$D478-($D478-$I$454)*MIN(N$3-$O$2,$Q$2)/$Q$2))</f>
        <v>14725.325339489</v>
      </c>
      <c r="O478" s="15" t="n">
        <f aca="false">SUMPRODUCT(E478:N478,1/(1+$F$454)^$E$3:$N$3)*$E$2</f>
        <v>21223.0319668872</v>
      </c>
      <c r="P478" s="15" t="n">
        <f aca="false">N478*$E$2*(1+$I$454)/($F$454-$I$454)/(1+$F$454)^$N$3</f>
        <v>26893.9821567959</v>
      </c>
      <c r="Q478" s="15" t="n">
        <f aca="false">O478+P478</f>
        <v>48117.014123683</v>
      </c>
      <c r="R478" s="15" t="n">
        <f aca="false">Q478-$G$2+$I$2</f>
        <v>45600.014123683</v>
      </c>
      <c r="S478" s="42" t="n">
        <f aca="false">R478/$K$2</f>
        <v>105.258330925818</v>
      </c>
      <c r="T478" s="43" t="n">
        <f aca="false">S478-$M$2</f>
        <v>3.26016412373065E-005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0.0856975317001343</v>
      </c>
      <c r="C479" s="25" t="n">
        <f aca="false">IF(T478&gt;0,D478,C478)</f>
        <v>0.0856977105140686</v>
      </c>
      <c r="D479" s="41" t="n">
        <f aca="false">(B479+C479)/2</f>
        <v>0.0856976211071014</v>
      </c>
      <c r="E479" s="15" t="n">
        <f aca="false">$C$2*(1+IF(E$3&lt;=$O$2,$D479,$D479-($D479-$I$454)*MIN(E$3-$O$2,$Q$2)/$Q$2))</f>
        <v>8501.0123732686</v>
      </c>
      <c r="F479" s="15" t="n">
        <f aca="false">E479*(1+IF(F$3&lt;=$O$2,$D479,$D479-($D479-$I$454)*MIN(F$3-$O$2,$Q$2)/$Q$2))</f>
        <v>9229.52891065976</v>
      </c>
      <c r="G479" s="15" t="n">
        <f aca="false">F479*(1+IF(G$3&lt;=$O$2,$D479,$D479-($D479-$I$454)*MIN(G$3-$O$2,$Q$2)/$Q$2))</f>
        <v>10020.4775822425</v>
      </c>
      <c r="H479" s="15" t="n">
        <f aca="false">G479*(1+IF(H$3&lt;=$O$2,$D479,$D479-($D479-$I$454)*MIN(H$3-$O$2,$Q$2)/$Q$2))</f>
        <v>10879.2086733977</v>
      </c>
      <c r="I479" s="15" t="n">
        <f aca="false">H479*(1+IF(I$3&lt;=$O$2,$D479,$D479-($D479-$I$454)*MIN(I$3-$O$2,$Q$2)/$Q$2))</f>
        <v>11811.5309762357</v>
      </c>
      <c r="J479" s="15" t="n">
        <f aca="false">I479*(1+IF(J$3&lt;=$O$2,$D479,$D479-($D479-$I$454)*MIN(J$3-$O$2,$Q$2)/$Q$2))</f>
        <v>12664.5372646457</v>
      </c>
      <c r="K479" s="15" t="n">
        <f aca="false">J479*(1+IF(K$3&lt;=$O$2,$D479,$D479-($D479-$I$454)*MIN(K$3-$O$2,$Q$2)/$Q$2))</f>
        <v>13408.4341070243</v>
      </c>
      <c r="L479" s="15" t="n">
        <f aca="false">K479*(1+IF(L$3&lt;=$O$2,$D479,$D479-($D479-$I$454)*MIN(L$3-$O$2,$Q$2)/$Q$2))</f>
        <v>14015.2870758168</v>
      </c>
      <c r="M479" s="15" t="n">
        <f aca="false">L479*(1+IF(M$3&lt;=$O$2,$D479,$D479-($D479-$I$454)*MIN(M$3-$O$2,$Q$2)/$Q$2))</f>
        <v>14460.6862309128</v>
      </c>
      <c r="N479" s="15" t="n">
        <f aca="false">M479*(1+IF(N$3&lt;=$O$2,$D479,$D479-($D479-$I$454)*MIN(N$3-$O$2,$Q$2)/$Q$2))</f>
        <v>14725.3167889385</v>
      </c>
      <c r="O479" s="15" t="n">
        <f aca="false">SUMPRODUCT(E479:N479,1/(1+$F$454)^$E$3:$N$3)*$E$2</f>
        <v>21223.0237191422</v>
      </c>
      <c r="P479" s="15" t="n">
        <f aca="false">N479*$E$2*(1+$I$454)/($F$454-$I$454)/(1+$F$454)^$N$3</f>
        <v>26893.9665402749</v>
      </c>
      <c r="Q479" s="15" t="n">
        <f aca="false">O479+P479</f>
        <v>48116.9902594171</v>
      </c>
      <c r="R479" s="15" t="n">
        <f aca="false">Q479-$G$2+$I$2</f>
        <v>45599.9902594171</v>
      </c>
      <c r="S479" s="42" t="n">
        <f aca="false">R479/$K$2</f>
        <v>105.258275840028</v>
      </c>
      <c r="T479" s="43" t="n">
        <f aca="false">S479-$M$2</f>
        <v>-2.24841488005723E-005</v>
      </c>
    </row>
    <row r="481" customFormat="false" ht="15" hidden="false" customHeight="false" outlineLevel="0" collapsed="false">
      <c r="A481" s="38" t="s">
        <v>189</v>
      </c>
      <c r="E481" s="5" t="s">
        <v>11</v>
      </c>
      <c r="F481" s="12" t="n">
        <f aca="false">Sensitivity!$B$13</f>
        <v>0.0871529104257703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153</v>
      </c>
      <c r="B482" s="28" t="s">
        <v>154</v>
      </c>
      <c r="C482" s="28" t="s">
        <v>155</v>
      </c>
      <c r="D482" s="28" t="s">
        <v>156</v>
      </c>
      <c r="E482" s="28" t="s">
        <v>157</v>
      </c>
      <c r="F482" s="28" t="s">
        <v>158</v>
      </c>
      <c r="G482" s="28" t="s">
        <v>159</v>
      </c>
      <c r="H482" s="28" t="s">
        <v>160</v>
      </c>
      <c r="I482" s="28" t="s">
        <v>161</v>
      </c>
      <c r="J482" s="28" t="s">
        <v>162</v>
      </c>
      <c r="K482" s="28" t="s">
        <v>163</v>
      </c>
      <c r="L482" s="28" t="s">
        <v>164</v>
      </c>
      <c r="M482" s="28" t="s">
        <v>165</v>
      </c>
      <c r="N482" s="28" t="s">
        <v>166</v>
      </c>
      <c r="O482" s="28" t="s">
        <v>167</v>
      </c>
      <c r="P482" s="28" t="s">
        <v>168</v>
      </c>
      <c r="Q482" s="28" t="s">
        <v>169</v>
      </c>
      <c r="R482" s="28" t="s">
        <v>170</v>
      </c>
      <c r="S482" s="28" t="s">
        <v>171</v>
      </c>
      <c r="T482" s="28" t="s">
        <v>172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9787.5</v>
      </c>
      <c r="F483" s="15" t="n">
        <f aca="false">E483*(1+IF(F$3&lt;=$O$2,$D483,$D483-($D483-$I$481)*MIN(F$3-$O$2,$Q$2)/$Q$2))</f>
        <v>12234.375</v>
      </c>
      <c r="G483" s="15" t="n">
        <f aca="false">F483*(1+IF(G$3&lt;=$O$2,$D483,$D483-($D483-$I$481)*MIN(G$3-$O$2,$Q$2)/$Q$2))</f>
        <v>15292.96875</v>
      </c>
      <c r="H483" s="15" t="n">
        <f aca="false">G483*(1+IF(H$3&lt;=$O$2,$D483,$D483-($D483-$I$481)*MIN(H$3-$O$2,$Q$2)/$Q$2))</f>
        <v>19116.2109375</v>
      </c>
      <c r="I483" s="15" t="n">
        <f aca="false">H483*(1+IF(I$3&lt;=$O$2,$D483,$D483-($D483-$I$481)*MIN(I$3-$O$2,$Q$2)/$Q$2))</f>
        <v>23895.263671875</v>
      </c>
      <c r="J483" s="15" t="n">
        <f aca="false">I483*(1+IF(J$3&lt;=$O$2,$D483,$D483-($D483-$I$481)*MIN(J$3-$O$2,$Q$2)/$Q$2))</f>
        <v>28785.6683349609</v>
      </c>
      <c r="K483" s="15" t="n">
        <f aca="false">J483*(1+IF(K$3&lt;=$O$2,$D483,$D483-($D483-$I$481)*MIN(K$3-$O$2,$Q$2)/$Q$2))</f>
        <v>33371.8010140869</v>
      </c>
      <c r="L483" s="15" t="n">
        <f aca="false">K483*(1+IF(L$3&lt;=$O$2,$D483,$D483-($D483-$I$481)*MIN(L$3-$O$2,$Q$2)/$Q$2))</f>
        <v>37175.5188936725</v>
      </c>
      <c r="M483" s="15" t="n">
        <f aca="false">L483*(1+IF(M$3&lt;=$O$2,$D483,$D483-($D483-$I$481)*MIN(M$3-$O$2,$Q$2)/$Q$2))</f>
        <v>39727.2465105342</v>
      </c>
      <c r="N483" s="15" t="n">
        <f aca="false">M483*(1+IF(N$3&lt;=$O$2,$D483,$D483-($D483-$I$481)*MIN(N$3-$O$2,$Q$2)/$Q$2))</f>
        <v>40652.8913542297</v>
      </c>
      <c r="O483" s="15" t="n">
        <f aca="false">SUMPRODUCT(E483:N483,1/(1+$F$481)^$E$3:$N$3)*$E$2</f>
        <v>43321.2881910217</v>
      </c>
      <c r="P483" s="15" t="n">
        <f aca="false">N483*$E$2*(1+$I$481)/($F$481-$I$481)/(1+$F$481)^$N$3</f>
        <v>80454.5275181002</v>
      </c>
      <c r="Q483" s="15" t="n">
        <f aca="false">O483+P483</f>
        <v>123775.815709122</v>
      </c>
      <c r="R483" s="15" t="n">
        <f aca="false">Q483-$G$2+$I$2</f>
        <v>121258.815709122</v>
      </c>
      <c r="S483" s="42" t="n">
        <f aca="false">R483/$K$2</f>
        <v>279.901241191824</v>
      </c>
      <c r="T483" s="43" t="n">
        <f aca="false">S483-$M$2</f>
        <v>174.642942867647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6851.25</v>
      </c>
      <c r="F484" s="15" t="n">
        <f aca="false">E484*(1+IF(F$3&lt;=$O$2,$D484,$D484-($D484-$I$481)*MIN(F$3-$O$2,$Q$2)/$Q$2))</f>
        <v>5994.84375</v>
      </c>
      <c r="G484" s="15" t="n">
        <f aca="false">F484*(1+IF(G$3&lt;=$O$2,$D484,$D484-($D484-$I$481)*MIN(G$3-$O$2,$Q$2)/$Q$2))</f>
        <v>5245.48828125</v>
      </c>
      <c r="H484" s="15" t="n">
        <f aca="false">G484*(1+IF(H$3&lt;=$O$2,$D484,$D484-($D484-$I$481)*MIN(H$3-$O$2,$Q$2)/$Q$2))</f>
        <v>4589.80224609375</v>
      </c>
      <c r="I484" s="15" t="n">
        <f aca="false">H484*(1+IF(I$3&lt;=$O$2,$D484,$D484-($D484-$I$481)*MIN(I$3-$O$2,$Q$2)/$Q$2))</f>
        <v>4016.07696533203</v>
      </c>
      <c r="J484" s="15" t="n">
        <f aca="false">I484*(1+IF(J$3&lt;=$O$2,$D484,$D484-($D484-$I$481)*MIN(J$3-$O$2,$Q$2)/$Q$2))</f>
        <v>3633.18418745728</v>
      </c>
      <c r="K484" s="15" t="n">
        <f aca="false">J484*(1+IF(K$3&lt;=$O$2,$D484,$D484-($D484-$I$481)*MIN(K$3-$O$2,$Q$2)/$Q$2))</f>
        <v>3394.55665002508</v>
      </c>
      <c r="L484" s="15" t="n">
        <f aca="false">K484*(1+IF(L$3&lt;=$O$2,$D484,$D484-($D484-$I$481)*MIN(L$3-$O$2,$Q$2)/$Q$2))</f>
        <v>3272.28471949118</v>
      </c>
      <c r="M484" s="15" t="n">
        <f aca="false">L484*(1+IF(M$3&lt;=$O$2,$D484,$D484-($D484-$I$481)*MIN(M$3-$O$2,$Q$2)/$Q$2))</f>
        <v>3251.47298867521</v>
      </c>
      <c r="N484" s="15" t="n">
        <f aca="false">M484*(1+IF(N$3&lt;=$O$2,$D484,$D484-($D484-$I$481)*MIN(N$3-$O$2,$Q$2)/$Q$2))</f>
        <v>3327.23230931135</v>
      </c>
      <c r="O484" s="15" t="n">
        <f aca="false">SUMPRODUCT(E484:N484,1/(1+$F$481)^$E$3:$N$3)*$E$2</f>
        <v>8581.40486403619</v>
      </c>
      <c r="P484" s="15" t="n">
        <f aca="false">N484*$E$2*(1+$I$481)/($F$481-$I$481)/(1+$F$481)^$N$3</f>
        <v>6584.79371260638</v>
      </c>
      <c r="Q484" s="15" t="n">
        <f aca="false">O484+P484</f>
        <v>15166.1985766426</v>
      </c>
      <c r="R484" s="15" t="n">
        <f aca="false">Q484-$G$2+$I$2</f>
        <v>12649.1985766426</v>
      </c>
      <c r="S484" s="42" t="n">
        <f aca="false">R484/$K$2</f>
        <v>29.1980946785526</v>
      </c>
      <c r="T484" s="43" t="n">
        <f aca="false">S484-$M$2</f>
        <v>-76.0602036456245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8319.375</v>
      </c>
      <c r="F485" s="15" t="n">
        <f aca="false">E485*(1+IF(F$3&lt;=$O$2,$D485,$D485-($D485-$I$481)*MIN(F$3-$O$2,$Q$2)/$Q$2))</f>
        <v>8839.3359375</v>
      </c>
      <c r="G485" s="15" t="n">
        <f aca="false">F485*(1+IF(G$3&lt;=$O$2,$D485,$D485-($D485-$I$481)*MIN(G$3-$O$2,$Q$2)/$Q$2))</f>
        <v>9391.79443359375</v>
      </c>
      <c r="H485" s="15" t="n">
        <f aca="false">G485*(1+IF(H$3&lt;=$O$2,$D485,$D485-($D485-$I$481)*MIN(H$3-$O$2,$Q$2)/$Q$2))</f>
        <v>9978.78158569336</v>
      </c>
      <c r="I485" s="15" t="n">
        <f aca="false">H485*(1+IF(I$3&lt;=$O$2,$D485,$D485-($D485-$I$481)*MIN(I$3-$O$2,$Q$2)/$Q$2))</f>
        <v>10602.4554347992</v>
      </c>
      <c r="J485" s="15" t="n">
        <f aca="false">I485*(1+IF(J$3&lt;=$O$2,$D485,$D485-($D485-$I$481)*MIN(J$3-$O$2,$Q$2)/$Q$2))</f>
        <v>11181.9856488653</v>
      </c>
      <c r="K485" s="15" t="n">
        <f aca="false">J485*(1+IF(K$3&lt;=$O$2,$D485,$D485-($D485-$I$481)*MIN(K$3-$O$2,$Q$2)/$Q$2))</f>
        <v>11705.5262169452</v>
      </c>
      <c r="L485" s="15" t="n">
        <f aca="false">K485*(1+IF(L$3&lt;=$O$2,$D485,$D485-($D485-$I$481)*MIN(L$3-$O$2,$Q$2)/$Q$2))</f>
        <v>12161.8076288817</v>
      </c>
      <c r="M485" s="15" t="n">
        <f aca="false">L485*(1+IF(M$3&lt;=$O$2,$D485,$D485-($D485-$I$481)*MIN(M$3-$O$2,$Q$2)/$Q$2))</f>
        <v>12540.5263184451</v>
      </c>
      <c r="N485" s="15" t="n">
        <f aca="false">M485*(1+IF(N$3&lt;=$O$2,$D485,$D485-($D485-$I$481)*MIN(N$3-$O$2,$Q$2)/$Q$2))</f>
        <v>12832.7205816649</v>
      </c>
      <c r="O485" s="15" t="n">
        <f aca="false">SUMPRODUCT(E485:N485,1/(1+$F$481)^$E$3:$N$3)*$E$2</f>
        <v>19243.7494327169</v>
      </c>
      <c r="P485" s="15" t="n">
        <f aca="false">N485*$E$2*(1+$I$481)/($F$481-$I$481)/(1+$F$481)^$N$3</f>
        <v>25396.7291569343</v>
      </c>
      <c r="Q485" s="15" t="n">
        <f aca="false">O485+P485</f>
        <v>44640.4785896512</v>
      </c>
      <c r="R485" s="15" t="n">
        <f aca="false">Q485-$G$2+$I$2</f>
        <v>42123.4785896512</v>
      </c>
      <c r="S485" s="42" t="n">
        <f aca="false">R485/$K$2</f>
        <v>97.2334578035437</v>
      </c>
      <c r="T485" s="43" t="n">
        <f aca="false">S485-$M$2</f>
        <v>-8.0248405206334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9053.4375</v>
      </c>
      <c r="F486" s="15" t="n">
        <f aca="false">E486*(1+IF(F$3&lt;=$O$2,$D486,$D486-($D486-$I$481)*MIN(F$3-$O$2,$Q$2)/$Q$2))</f>
        <v>10468.037109375</v>
      </c>
      <c r="G486" s="15" t="n">
        <f aca="false">F486*(1+IF(G$3&lt;=$O$2,$D486,$D486-($D486-$I$481)*MIN(G$3-$O$2,$Q$2)/$Q$2))</f>
        <v>12103.6679077148</v>
      </c>
      <c r="H486" s="15" t="n">
        <f aca="false">G486*(1+IF(H$3&lt;=$O$2,$D486,$D486-($D486-$I$481)*MIN(H$3-$O$2,$Q$2)/$Q$2))</f>
        <v>13994.8660182953</v>
      </c>
      <c r="I486" s="15" t="n">
        <f aca="false">H486*(1+IF(I$3&lt;=$O$2,$D486,$D486-($D486-$I$481)*MIN(I$3-$O$2,$Q$2)/$Q$2))</f>
        <v>16181.5638336539</v>
      </c>
      <c r="J486" s="15" t="n">
        <f aca="false">I486*(1+IF(J$3&lt;=$O$2,$D486,$D486-($D486-$I$481)*MIN(J$3-$O$2,$Q$2)/$Q$2))</f>
        <v>18279.6654003255</v>
      </c>
      <c r="K486" s="15" t="n">
        <f aca="false">J486*(1+IF(K$3&lt;=$O$2,$D486,$D486-($D486-$I$481)*MIN(K$3-$O$2,$Q$2)/$Q$2))</f>
        <v>20163.750513137</v>
      </c>
      <c r="L486" s="15" t="n">
        <f aca="false">K486*(1+IF(L$3&lt;=$O$2,$D486,$D486-($D486-$I$481)*MIN(L$3-$O$2,$Q$2)/$Q$2))</f>
        <v>21705.8741523818</v>
      </c>
      <c r="M486" s="15" t="n">
        <f aca="false">L486*(1+IF(M$3&lt;=$O$2,$D486,$D486-($D486-$I$481)*MIN(M$3-$O$2,$Q$2)/$Q$2))</f>
        <v>22788.7802138441</v>
      </c>
      <c r="N486" s="15" t="n">
        <f aca="false">M486*(1+IF(N$3&lt;=$O$2,$D486,$D486-($D486-$I$481)*MIN(N$3-$O$2,$Q$2)/$Q$2))</f>
        <v>23319.7587928267</v>
      </c>
      <c r="O486" s="15" t="n">
        <f aca="false">SUMPRODUCT(E486:N486,1/(1+$F$481)^$E$3:$N$3)*$E$2</f>
        <v>28925.1355615688</v>
      </c>
      <c r="P486" s="15" t="n">
        <f aca="false">N486*$E$2*(1+$I$481)/($F$481-$I$481)/(1+$F$481)^$N$3</f>
        <v>46151.2112180362</v>
      </c>
      <c r="Q486" s="15" t="n">
        <f aca="false">O486+P486</f>
        <v>75076.346779605</v>
      </c>
      <c r="R486" s="15" t="n">
        <f aca="false">Q486-$G$2+$I$2</f>
        <v>72559.346779605</v>
      </c>
      <c r="S486" s="42" t="n">
        <f aca="false">R486/$K$2</f>
        <v>167.488451086296</v>
      </c>
      <c r="T486" s="43" t="n">
        <f aca="false">S486-$M$2</f>
        <v>62.2301527621185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8686.40625</v>
      </c>
      <c r="F487" s="15" t="n">
        <f aca="false">E487*(1+IF(F$3&lt;=$O$2,$D487,$D487-($D487-$I$481)*MIN(F$3-$O$2,$Q$2)/$Q$2))</f>
        <v>9636.48193359375</v>
      </c>
      <c r="G487" s="15" t="n">
        <f aca="false">F487*(1+IF(G$3&lt;=$O$2,$D487,$D487-($D487-$I$481)*MIN(G$3-$O$2,$Q$2)/$Q$2))</f>
        <v>10690.4721450806</v>
      </c>
      <c r="H487" s="15" t="n">
        <f aca="false">G487*(1+IF(H$3&lt;=$O$2,$D487,$D487-($D487-$I$481)*MIN(H$3-$O$2,$Q$2)/$Q$2))</f>
        <v>11859.7425359488</v>
      </c>
      <c r="I487" s="15" t="n">
        <f aca="false">H487*(1+IF(I$3&lt;=$O$2,$D487,$D487-($D487-$I$481)*MIN(I$3-$O$2,$Q$2)/$Q$2))</f>
        <v>13156.9018758181</v>
      </c>
      <c r="J487" s="15" t="n">
        <f aca="false">I487*(1+IF(J$3&lt;=$O$2,$D487,$D487-($D487-$I$481)*MIN(J$3-$O$2,$Q$2)/$Q$2))</f>
        <v>14369.4419526935</v>
      </c>
      <c r="K487" s="15" t="n">
        <f aca="false">J487*(1+IF(K$3&lt;=$O$2,$D487,$D487-($D487-$I$481)*MIN(K$3-$O$2,$Q$2)/$Q$2))</f>
        <v>15446.3597798382</v>
      </c>
      <c r="L487" s="15" t="n">
        <f aca="false">K487*(1+IF(L$3&lt;=$O$2,$D487,$D487-($D487-$I$481)*MIN(L$3-$O$2,$Q$2)/$Q$2))</f>
        <v>16338.0781299282</v>
      </c>
      <c r="M487" s="15" t="n">
        <f aca="false">L487*(1+IF(M$3&lt;=$O$2,$D487,$D487-($D487-$I$481)*MIN(M$3-$O$2,$Q$2)/$Q$2))</f>
        <v>17000.0153653623</v>
      </c>
      <c r="N487" s="15" t="n">
        <f aca="false">M487*(1+IF(N$3&lt;=$O$2,$D487,$D487-($D487-$I$481)*MIN(N$3-$O$2,$Q$2)/$Q$2))</f>
        <v>17396.1157233752</v>
      </c>
      <c r="O487" s="15" t="n">
        <f aca="false">SUMPRODUCT(E487:N487,1/(1+$F$481)^$E$3:$N$3)*$E$2</f>
        <v>23597.611830967</v>
      </c>
      <c r="P487" s="15" t="n">
        <f aca="false">N487*$E$2*(1+$I$481)/($F$481-$I$481)/(1+$F$481)^$N$3</f>
        <v>34427.9637819347</v>
      </c>
      <c r="Q487" s="15" t="n">
        <f aca="false">O487+P487</f>
        <v>58025.5756129018</v>
      </c>
      <c r="R487" s="15" t="n">
        <f aca="false">Q487-$G$2+$I$2</f>
        <v>55508.5756129018</v>
      </c>
      <c r="S487" s="42" t="n">
        <f aca="false">R487/$K$2</f>
        <v>128.130223934495</v>
      </c>
      <c r="T487" s="43" t="n">
        <f aca="false">S487-$M$2</f>
        <v>22.8719256103176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0.0625</v>
      </c>
      <c r="C488" s="25" t="n">
        <f aca="false">IF(T487&gt;0,D487,C487)</f>
        <v>0.109375</v>
      </c>
      <c r="D488" s="41" t="n">
        <f aca="false">(B488+C488)/2</f>
        <v>0.0859375</v>
      </c>
      <c r="E488" s="15" t="n">
        <f aca="false">$C$2*(1+IF(E$3&lt;=$O$2,$D488,$D488-($D488-$I$481)*MIN(E$3-$O$2,$Q$2)/$Q$2))</f>
        <v>8502.890625</v>
      </c>
      <c r="F488" s="15" t="n">
        <f aca="false">E488*(1+IF(F$3&lt;=$O$2,$D488,$D488-($D488-$I$481)*MIN(F$3-$O$2,$Q$2)/$Q$2))</f>
        <v>9233.60778808594</v>
      </c>
      <c r="G488" s="15" t="n">
        <f aca="false">F488*(1+IF(G$3&lt;=$O$2,$D488,$D488-($D488-$I$481)*MIN(G$3-$O$2,$Q$2)/$Q$2))</f>
        <v>10027.1209573746</v>
      </c>
      <c r="H488" s="15" t="n">
        <f aca="false">G488*(1+IF(H$3&lt;=$O$2,$D488,$D488-($D488-$I$481)*MIN(H$3-$O$2,$Q$2)/$Q$2))</f>
        <v>10888.826664649</v>
      </c>
      <c r="I488" s="15" t="n">
        <f aca="false">H488*(1+IF(I$3&lt;=$O$2,$D488,$D488-($D488-$I$481)*MIN(I$3-$O$2,$Q$2)/$Q$2))</f>
        <v>11824.5852061422</v>
      </c>
      <c r="J488" s="15" t="n">
        <f aca="false">I488*(1+IF(J$3&lt;=$O$2,$D488,$D488-($D488-$I$481)*MIN(J$3-$O$2,$Q$2)/$Q$2))</f>
        <v>12692.6280061251</v>
      </c>
      <c r="K488" s="15" t="n">
        <f aca="false">J488*(1+IF(K$3&lt;=$O$2,$D488,$D488-($D488-$I$481)*MIN(K$3-$O$2,$Q$2)/$Q$2))</f>
        <v>13465.386930708</v>
      </c>
      <c r="L488" s="15" t="n">
        <f aca="false">K488*(1+IF(L$3&lt;=$O$2,$D488,$D488-($D488-$I$481)*MIN(L$3-$O$2,$Q$2)/$Q$2))</f>
        <v>14116.5057157424</v>
      </c>
      <c r="M488" s="15" t="n">
        <f aca="false">L488*(1+IF(M$3&lt;=$O$2,$D488,$D488-($D488-$I$481)*MIN(M$3-$O$2,$Q$2)/$Q$2))</f>
        <v>14622.2648242732</v>
      </c>
      <c r="N488" s="15" t="n">
        <f aca="false">M488*(1+IF(N$3&lt;=$O$2,$D488,$D488-($D488-$I$481)*MIN(N$3-$O$2,$Q$2)/$Q$2))</f>
        <v>14962.9635946787</v>
      </c>
      <c r="O488" s="15" t="n">
        <f aca="false">SUMPRODUCT(E488:N488,1/(1+$F$481)^$E$3:$N$3)*$E$2</f>
        <v>21310.0762927453</v>
      </c>
      <c r="P488" s="15" t="n">
        <f aca="false">N488*$E$2*(1+$I$481)/($F$481-$I$481)/(1+$F$481)^$N$3</f>
        <v>29612.6087512632</v>
      </c>
      <c r="Q488" s="15" t="n">
        <f aca="false">O488+P488</f>
        <v>50922.6850440085</v>
      </c>
      <c r="R488" s="15" t="n">
        <f aca="false">Q488-$G$2+$I$2</f>
        <v>48405.6850440085</v>
      </c>
      <c r="S488" s="42" t="n">
        <f aca="false">R488/$K$2</f>
        <v>111.734649933079</v>
      </c>
      <c r="T488" s="43" t="n">
        <f aca="false">S488-$M$2</f>
        <v>6.47635160890198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0.0625</v>
      </c>
      <c r="C489" s="25" t="n">
        <f aca="false">IF(T488&gt;0,D488,C488)</f>
        <v>0.0859375</v>
      </c>
      <c r="D489" s="41" t="n">
        <f aca="false">(B489+C489)/2</f>
        <v>0.07421875</v>
      </c>
      <c r="E489" s="15" t="n">
        <f aca="false">$C$2*(1+IF(E$3&lt;=$O$2,$D489,$D489-($D489-$I$481)*MIN(E$3-$O$2,$Q$2)/$Q$2))</f>
        <v>8411.1328125</v>
      </c>
      <c r="F489" s="15" t="n">
        <f aca="false">E489*(1+IF(F$3&lt;=$O$2,$D489,$D489-($D489-$I$481)*MIN(F$3-$O$2,$Q$2)/$Q$2))</f>
        <v>9035.39657592773</v>
      </c>
      <c r="G489" s="15" t="n">
        <f aca="false">F489*(1+IF(G$3&lt;=$O$2,$D489,$D489-($D489-$I$481)*MIN(G$3-$O$2,$Q$2)/$Q$2))</f>
        <v>9705.99241554737</v>
      </c>
      <c r="H489" s="15" t="n">
        <f aca="false">G489*(1+IF(H$3&lt;=$O$2,$D489,$D489-($D489-$I$481)*MIN(H$3-$O$2,$Q$2)/$Q$2))</f>
        <v>10426.3590401388</v>
      </c>
      <c r="I489" s="15" t="n">
        <f aca="false">H489*(1+IF(I$3&lt;=$O$2,$D489,$D489-($D489-$I$481)*MIN(I$3-$O$2,$Q$2)/$Q$2))</f>
        <v>11200.1903751491</v>
      </c>
      <c r="J489" s="15" t="n">
        <f aca="false">I489*(1+IF(J$3&lt;=$O$2,$D489,$D489-($D489-$I$481)*MIN(J$3-$O$2,$Q$2)/$Q$2))</f>
        <v>11917.3945658217</v>
      </c>
      <c r="K489" s="15" t="n">
        <f aca="false">J489*(1+IF(K$3&lt;=$O$2,$D489,$D489-($D489-$I$481)*MIN(K$3-$O$2,$Q$2)/$Q$2))</f>
        <v>12559.1611599345</v>
      </c>
      <c r="L489" s="15" t="n">
        <f aca="false">K489*(1+IF(L$3&lt;=$O$2,$D489,$D489-($D489-$I$481)*MIN(L$3-$O$2,$Q$2)/$Q$2))</f>
        <v>13107.5883298859</v>
      </c>
      <c r="M489" s="15" t="n">
        <f aca="false">L489*(1+IF(M$3&lt;=$O$2,$D489,$D489-($D489-$I$481)*MIN(M$3-$O$2,$Q$2)/$Q$2))</f>
        <v>13546.4795406267</v>
      </c>
      <c r="N489" s="15" t="n">
        <f aca="false">M489*(1+IF(N$3&lt;=$O$2,$D489,$D489-($D489-$I$481)*MIN(N$3-$O$2,$Q$2)/$Q$2))</f>
        <v>13862.1125139233</v>
      </c>
      <c r="O489" s="15" t="n">
        <f aca="false">SUMPRODUCT(E489:N489,1/(1+$F$481)^$E$3:$N$3)*$E$2</f>
        <v>20250.553032272</v>
      </c>
      <c r="P489" s="15" t="n">
        <f aca="false">N489*$E$2*(1+$I$481)/($F$481-$I$481)/(1+$F$481)^$N$3</f>
        <v>27433.9579685126</v>
      </c>
      <c r="Q489" s="15" t="n">
        <f aca="false">O489+P489</f>
        <v>47684.5110007846</v>
      </c>
      <c r="R489" s="15" t="n">
        <f aca="false">Q489-$G$2+$I$2</f>
        <v>45167.5110007846</v>
      </c>
      <c r="S489" s="42" t="n">
        <f aca="false">R489/$K$2</f>
        <v>104.259985690376</v>
      </c>
      <c r="T489" s="43" t="n">
        <f aca="false">S489-$M$2</f>
        <v>-0.998312633801362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0.07421875</v>
      </c>
      <c r="C490" s="25" t="n">
        <f aca="false">IF(T489&gt;0,D489,C489)</f>
        <v>0.0859375</v>
      </c>
      <c r="D490" s="41" t="n">
        <f aca="false">(B490+C490)/2</f>
        <v>0.080078125</v>
      </c>
      <c r="E490" s="15" t="n">
        <f aca="false">$C$2*(1+IF(E$3&lt;=$O$2,$D490,$D490-($D490-$I$481)*MIN(E$3-$O$2,$Q$2)/$Q$2))</f>
        <v>8457.01171875</v>
      </c>
      <c r="F490" s="15" t="n">
        <f aca="false">E490*(1+IF(F$3&lt;=$O$2,$D490,$D490-($D490-$I$481)*MIN(F$3-$O$2,$Q$2)/$Q$2))</f>
        <v>9134.23336029053</v>
      </c>
      <c r="G490" s="15" t="n">
        <f aca="false">F490*(1+IF(G$3&lt;=$O$2,$D490,$D490-($D490-$I$481)*MIN(G$3-$O$2,$Q$2)/$Q$2))</f>
        <v>9865.68564109504</v>
      </c>
      <c r="H490" s="15" t="n">
        <f aca="false">G490*(1+IF(H$3&lt;=$O$2,$D490,$D490-($D490-$I$481)*MIN(H$3-$O$2,$Q$2)/$Q$2))</f>
        <v>10655.7112490734</v>
      </c>
      <c r="I490" s="15" t="n">
        <f aca="false">H490*(1+IF(I$3&lt;=$O$2,$D490,$D490-($D490-$I$481)*MIN(I$3-$O$2,$Q$2)/$Q$2))</f>
        <v>11509.0006264406</v>
      </c>
      <c r="J490" s="15" t="n">
        <f aca="false">I490*(1+IF(J$3&lt;=$O$2,$D490,$D490-($D490-$I$481)*MIN(J$3-$O$2,$Q$2)/$Q$2))</f>
        <v>12299.9279219911</v>
      </c>
      <c r="K490" s="15" t="n">
        <f aca="false">J490*(1+IF(K$3&lt;=$O$2,$D490,$D490-($D490-$I$481)*MIN(K$3-$O$2,$Q$2)/$Q$2))</f>
        <v>13005.536349601</v>
      </c>
      <c r="L490" s="15" t="n">
        <f aca="false">K490*(1+IF(L$3&lt;=$O$2,$D490,$D490-($D490-$I$481)*MIN(L$3-$O$2,$Q$2)/$Q$2))</f>
        <v>13603.9373339666</v>
      </c>
      <c r="M490" s="15" t="n">
        <f aca="false">L490*(1+IF(M$3&lt;=$O$2,$D490,$D490-($D490-$I$481)*MIN(M$3-$O$2,$Q$2)/$Q$2))</f>
        <v>14075.390284736</v>
      </c>
      <c r="N490" s="15" t="n">
        <f aca="false">M490*(1+IF(N$3&lt;=$O$2,$D490,$D490-($D490-$I$481)*MIN(N$3-$O$2,$Q$2)/$Q$2))</f>
        <v>14403.3468783704</v>
      </c>
      <c r="O490" s="15" t="n">
        <f aca="false">SUMPRODUCT(E490:N490,1/(1+$F$481)^$E$3:$N$3)*$E$2</f>
        <v>20773.5674267196</v>
      </c>
      <c r="P490" s="15" t="n">
        <f aca="false">N490*$E$2*(1+$I$481)/($F$481-$I$481)/(1+$F$481)^$N$3</f>
        <v>28505.093467553</v>
      </c>
      <c r="Q490" s="15" t="n">
        <f aca="false">O490+P490</f>
        <v>49278.6608942725</v>
      </c>
      <c r="R490" s="15" t="n">
        <f aca="false">Q490-$G$2+$I$2</f>
        <v>46761.6608942725</v>
      </c>
      <c r="S490" s="42" t="n">
        <f aca="false">R490/$K$2</f>
        <v>107.939755538231</v>
      </c>
      <c r="T490" s="43" t="n">
        <f aca="false">S490-$M$2</f>
        <v>2.68145721405411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0.07421875</v>
      </c>
      <c r="C491" s="25" t="n">
        <f aca="false">IF(T490&gt;0,D490,C490)</f>
        <v>0.080078125</v>
      </c>
      <c r="D491" s="41" t="n">
        <f aca="false">(B491+C491)/2</f>
        <v>0.0771484375</v>
      </c>
      <c r="E491" s="15" t="n">
        <f aca="false">$C$2*(1+IF(E$3&lt;=$O$2,$D491,$D491-($D491-$I$481)*MIN(E$3-$O$2,$Q$2)/$Q$2))</f>
        <v>8434.072265625</v>
      </c>
      <c r="F491" s="15" t="n">
        <f aca="false">E491*(1+IF(F$3&lt;=$O$2,$D491,$D491-($D491-$I$481)*MIN(F$3-$O$2,$Q$2)/$Q$2))</f>
        <v>9084.74776268005</v>
      </c>
      <c r="G491" s="15" t="n">
        <f aca="false">F491*(1+IF(G$3&lt;=$O$2,$D491,$D491-($D491-$I$481)*MIN(G$3-$O$2,$Q$2)/$Q$2))</f>
        <v>9785.62185765244</v>
      </c>
      <c r="H491" s="15" t="n">
        <f aca="false">G491*(1+IF(H$3&lt;=$O$2,$D491,$D491-($D491-$I$481)*MIN(H$3-$O$2,$Q$2)/$Q$2))</f>
        <v>10540.5672939362</v>
      </c>
      <c r="I491" s="15" t="n">
        <f aca="false">H491*(1+IF(I$3&lt;=$O$2,$D491,$D491-($D491-$I$481)*MIN(I$3-$O$2,$Q$2)/$Q$2))</f>
        <v>11353.755591027</v>
      </c>
      <c r="J491" s="15" t="n">
        <f aca="false">I491*(1+IF(J$3&lt;=$O$2,$D491,$D491-($D491-$I$481)*MIN(J$3-$O$2,$Q$2)/$Q$2))</f>
        <v>12107.4036949648</v>
      </c>
      <c r="K491" s="15" t="n">
        <f aca="false">J491*(1+IF(K$3&lt;=$O$2,$D491,$D491-($D491-$I$481)*MIN(K$3-$O$2,$Q$2)/$Q$2))</f>
        <v>12780.6850637509</v>
      </c>
      <c r="L491" s="15" t="n">
        <f aca="false">K491*(1+IF(L$3&lt;=$O$2,$D491,$D491-($D491-$I$481)*MIN(L$3-$O$2,$Q$2)/$Q$2))</f>
        <v>13353.7629940813</v>
      </c>
      <c r="M491" s="15" t="n">
        <f aca="false">L491*(1+IF(M$3&lt;=$O$2,$D491,$D491-($D491-$I$481)*MIN(M$3-$O$2,$Q$2)/$Q$2))</f>
        <v>13808.7215262387</v>
      </c>
      <c r="N491" s="15" t="n">
        <f aca="false">M491*(1+IF(N$3&lt;=$O$2,$D491,$D491-($D491-$I$481)*MIN(N$3-$O$2,$Q$2)/$Q$2))</f>
        <v>14130.4647378001</v>
      </c>
      <c r="O491" s="15" t="n">
        <f aca="false">SUMPRODUCT(E491:N491,1/(1+$F$481)^$E$3:$N$3)*$E$2</f>
        <v>20510.3933335684</v>
      </c>
      <c r="P491" s="15" t="n">
        <f aca="false">N491*$E$2*(1+$I$481)/($F$481-$I$481)/(1+$F$481)^$N$3</f>
        <v>27965.0432286558</v>
      </c>
      <c r="Q491" s="15" t="n">
        <f aca="false">O491+P491</f>
        <v>48475.4365622242</v>
      </c>
      <c r="R491" s="15" t="n">
        <f aca="false">Q491-$G$2+$I$2</f>
        <v>45958.4365622242</v>
      </c>
      <c r="S491" s="42" t="n">
        <f aca="false">R491/$K$2</f>
        <v>106.085676012705</v>
      </c>
      <c r="T491" s="43" t="n">
        <f aca="false">S491-$M$2</f>
        <v>0.827377688528117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0.07421875</v>
      </c>
      <c r="C492" s="25" t="n">
        <f aca="false">IF(T491&gt;0,D491,C491)</f>
        <v>0.0771484375</v>
      </c>
      <c r="D492" s="41" t="n">
        <f aca="false">(B492+C492)/2</f>
        <v>0.07568359375</v>
      </c>
      <c r="E492" s="15" t="n">
        <f aca="false">$C$2*(1+IF(E$3&lt;=$O$2,$D492,$D492-($D492-$I$481)*MIN(E$3-$O$2,$Q$2)/$Q$2))</f>
        <v>8422.6025390625</v>
      </c>
      <c r="F492" s="15" t="n">
        <f aca="false">E492*(1+IF(F$3&lt;=$O$2,$D492,$D492-($D492-$I$481)*MIN(F$3-$O$2,$Q$2)/$Q$2))</f>
        <v>9060.05536794663</v>
      </c>
      <c r="G492" s="15" t="n">
        <f aca="false">F492*(1+IF(G$3&lt;=$O$2,$D492,$D492-($D492-$I$481)*MIN(G$3-$O$2,$Q$2)/$Q$2))</f>
        <v>9745.7529177668</v>
      </c>
      <c r="H492" s="15" t="n">
        <f aca="false">G492*(1+IF(H$3&lt;=$O$2,$D492,$D492-($D492-$I$481)*MIN(H$3-$O$2,$Q$2)/$Q$2))</f>
        <v>10483.3465223829</v>
      </c>
      <c r="I492" s="15" t="n">
        <f aca="false">H492*(1+IF(I$3&lt;=$O$2,$D492,$D492-($D492-$I$481)*MIN(I$3-$O$2,$Q$2)/$Q$2))</f>
        <v>11276.7638617235</v>
      </c>
      <c r="J492" s="15" t="n">
        <f aca="false">I492*(1+IF(J$3&lt;=$O$2,$D492,$D492-($D492-$I$481)*MIN(J$3-$O$2,$Q$2)/$Q$2))</f>
        <v>12012.0863932594</v>
      </c>
      <c r="K492" s="15" t="n">
        <f aca="false">J492*(1+IF(K$3&lt;=$O$2,$D492,$D492-($D492-$I$481)*MIN(K$3-$O$2,$Q$2)/$Q$2))</f>
        <v>12669.509758451</v>
      </c>
      <c r="L492" s="15" t="n">
        <f aca="false">K492*(1+IF(L$3&lt;=$O$2,$D492,$D492-($D492-$I$481)*MIN(L$3-$O$2,$Q$2)/$Q$2))</f>
        <v>13230.1791167022</v>
      </c>
      <c r="M492" s="15" t="n">
        <f aca="false">L492*(1+IF(M$3&lt;=$O$2,$D492,$D492-($D492-$I$481)*MIN(M$3-$O$2,$Q$2)/$Q$2))</f>
        <v>13677.0511557392</v>
      </c>
      <c r="N492" s="15" t="n">
        <f aca="false">M492*(1+IF(N$3&lt;=$O$2,$D492,$D492-($D492-$I$481)*MIN(N$3-$O$2,$Q$2)/$Q$2))</f>
        <v>13995.7264476679</v>
      </c>
      <c r="O492" s="15" t="n">
        <f aca="false">SUMPRODUCT(E492:N492,1/(1+$F$481)^$E$3:$N$3)*$E$2</f>
        <v>20380.0589257373</v>
      </c>
      <c r="P492" s="15" t="n">
        <f aca="false">N492*$E$2*(1+$I$481)/($F$481-$I$481)/(1+$F$481)^$N$3</f>
        <v>27698.3880139818</v>
      </c>
      <c r="Q492" s="15" t="n">
        <f aca="false">O492+P492</f>
        <v>48078.4469397191</v>
      </c>
      <c r="R492" s="15" t="n">
        <f aca="false">Q492-$G$2+$I$2</f>
        <v>45561.4469397191</v>
      </c>
      <c r="S492" s="42" t="n">
        <f aca="false">R492/$K$2</f>
        <v>105.169306448731</v>
      </c>
      <c r="T492" s="43" t="n">
        <f aca="false">S492-$M$2</f>
        <v>-0.0889918754463821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0.07568359375</v>
      </c>
      <c r="C493" s="25" t="n">
        <f aca="false">IF(T492&gt;0,D492,C492)</f>
        <v>0.0771484375</v>
      </c>
      <c r="D493" s="41" t="n">
        <f aca="false">(B493+C493)/2</f>
        <v>0.076416015625</v>
      </c>
      <c r="E493" s="15" t="n">
        <f aca="false">$C$2*(1+IF(E$3&lt;=$O$2,$D493,$D493-($D493-$I$481)*MIN(E$3-$O$2,$Q$2)/$Q$2))</f>
        <v>8428.33740234375</v>
      </c>
      <c r="F493" s="15" t="n">
        <f aca="false">E493*(1+IF(F$3&lt;=$O$2,$D493,$D493-($D493-$I$481)*MIN(F$3-$O$2,$Q$2)/$Q$2))</f>
        <v>9072.39736497402</v>
      </c>
      <c r="G493" s="15" t="n">
        <f aca="false">F493*(1+IF(G$3&lt;=$O$2,$D493,$D493-($D493-$I$481)*MIN(G$3-$O$2,$Q$2)/$Q$2))</f>
        <v>9765.67382377209</v>
      </c>
      <c r="H493" s="15" t="n">
        <f aca="false">G493*(1+IF(H$3&lt;=$O$2,$D493,$D493-($D493-$I$481)*MIN(H$3-$O$2,$Q$2)/$Q$2))</f>
        <v>10511.9277072781</v>
      </c>
      <c r="I493" s="15" t="n">
        <f aca="false">H493*(1+IF(I$3&lt;=$O$2,$D493,$D493-($D493-$I$481)*MIN(I$3-$O$2,$Q$2)/$Q$2))</f>
        <v>11315.2073392063</v>
      </c>
      <c r="J493" s="15" t="n">
        <f aca="false">I493*(1+IF(J$3&lt;=$O$2,$D493,$D493-($D493-$I$481)*MIN(J$3-$O$2,$Q$2)/$Q$2))</f>
        <v>12059.6666540734</v>
      </c>
      <c r="K493" s="15" t="n">
        <f aca="false">J493*(1+IF(K$3&lt;=$O$2,$D493,$D493-($D493-$I$481)*MIN(K$3-$O$2,$Q$2)/$Q$2))</f>
        <v>12724.9937525713</v>
      </c>
      <c r="L493" s="15" t="n">
        <f aca="false">K493*(1+IF(L$3&lt;=$O$2,$D493,$D493-($D493-$I$481)*MIN(L$3-$O$2,$Q$2)/$Q$2))</f>
        <v>13291.8464938021</v>
      </c>
      <c r="M493" s="15" t="n">
        <f aca="false">L493*(1+IF(M$3&lt;=$O$2,$D493,$D493-($D493-$I$481)*MIN(M$3-$O$2,$Q$2)/$Q$2))</f>
        <v>13742.7485023176</v>
      </c>
      <c r="N493" s="15" t="n">
        <f aca="false">M493*(1+IF(N$3&lt;=$O$2,$D493,$D493-($D493-$I$481)*MIN(N$3-$O$2,$Q$2)/$Q$2))</f>
        <v>14062.9545424216</v>
      </c>
      <c r="O493" s="15" t="n">
        <f aca="false">SUMPRODUCT(E493:N493,1/(1+$F$481)^$E$3:$N$3)*$E$2</f>
        <v>20445.1222579986</v>
      </c>
      <c r="P493" s="15" t="n">
        <f aca="false">N493*$E$2*(1+$I$481)/($F$481-$I$481)/(1+$F$481)^$N$3</f>
        <v>27831.4364742309</v>
      </c>
      <c r="Q493" s="15" t="n">
        <f aca="false">O493+P493</f>
        <v>48276.5587322295</v>
      </c>
      <c r="R493" s="15" t="n">
        <f aca="false">Q493-$G$2+$I$2</f>
        <v>45759.5587322295</v>
      </c>
      <c r="S493" s="42" t="n">
        <f aca="false">R493/$K$2</f>
        <v>105.626607110081</v>
      </c>
      <c r="T493" s="43" t="n">
        <f aca="false">S493-$M$2</f>
        <v>0.36830878590429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0.07568359375</v>
      </c>
      <c r="C494" s="25" t="n">
        <f aca="false">IF(T493&gt;0,D493,C493)</f>
        <v>0.076416015625</v>
      </c>
      <c r="D494" s="41" t="n">
        <f aca="false">(B494+C494)/2</f>
        <v>0.0760498046875</v>
      </c>
      <c r="E494" s="15" t="n">
        <f aca="false">$C$2*(1+IF(E$3&lt;=$O$2,$D494,$D494-($D494-$I$481)*MIN(E$3-$O$2,$Q$2)/$Q$2))</f>
        <v>8425.46997070313</v>
      </c>
      <c r="F494" s="15" t="n">
        <f aca="false">E494*(1+IF(F$3&lt;=$O$2,$D494,$D494-($D494-$I$481)*MIN(F$3-$O$2,$Q$2)/$Q$2))</f>
        <v>9066.22531637549</v>
      </c>
      <c r="G494" s="15" t="n">
        <f aca="false">F494*(1+IF(G$3&lt;=$O$2,$D494,$D494-($D494-$I$481)*MIN(G$3-$O$2,$Q$2)/$Q$2))</f>
        <v>9755.70998093872</v>
      </c>
      <c r="H494" s="15" t="n">
        <f aca="false">G494*(1+IF(H$3&lt;=$O$2,$D494,$D494-($D494-$I$481)*MIN(H$3-$O$2,$Q$2)/$Q$2))</f>
        <v>10497.629819577</v>
      </c>
      <c r="I494" s="15" t="n">
        <f aca="false">H494*(1+IF(I$3&lt;=$O$2,$D494,$D494-($D494-$I$481)*MIN(I$3-$O$2,$Q$2)/$Q$2))</f>
        <v>11295.9725170375</v>
      </c>
      <c r="J494" s="15" t="n">
        <f aca="false">I494*(1+IF(J$3&lt;=$O$2,$D494,$D494-($D494-$I$481)*MIN(J$3-$O$2,$Q$2)/$Q$2))</f>
        <v>12035.8569519078</v>
      </c>
      <c r="K494" s="15" t="n">
        <f aca="false">J494*(1+IF(K$3&lt;=$O$2,$D494,$D494-($D494-$I$481)*MIN(K$3-$O$2,$Q$2)/$Q$2))</f>
        <v>12697.2258809631</v>
      </c>
      <c r="L494" s="15" t="n">
        <f aca="false">K494*(1+IF(L$3&lt;=$O$2,$D494,$D494-($D494-$I$481)*MIN(L$3-$O$2,$Q$2)/$Q$2))</f>
        <v>13260.9817181071</v>
      </c>
      <c r="M494" s="15" t="n">
        <f aca="false">L494*(1+IF(M$3&lt;=$O$2,$D494,$D494-($D494-$I$481)*MIN(M$3-$O$2,$Q$2)/$Q$2))</f>
        <v>13709.8654312579</v>
      </c>
      <c r="N494" s="15" t="n">
        <f aca="false">M494*(1+IF(N$3&lt;=$O$2,$D494,$D494-($D494-$I$481)*MIN(N$3-$O$2,$Q$2)/$Q$2))</f>
        <v>14029.3052958062</v>
      </c>
      <c r="O494" s="15" t="n">
        <f aca="false">SUMPRODUCT(E494:N494,1/(1+$F$481)^$E$3:$N$3)*$E$2</f>
        <v>20412.564662436</v>
      </c>
      <c r="P494" s="15" t="n">
        <f aca="false">N494*$E$2*(1+$I$481)/($F$481-$I$481)/(1+$F$481)^$N$3</f>
        <v>27764.8425826872</v>
      </c>
      <c r="Q494" s="15" t="n">
        <f aca="false">O494+P494</f>
        <v>48177.4072451232</v>
      </c>
      <c r="R494" s="15" t="n">
        <f aca="false">Q494-$G$2+$I$2</f>
        <v>45660.4072451232</v>
      </c>
      <c r="S494" s="42" t="n">
        <f aca="false">R494/$K$2</f>
        <v>105.397736127425</v>
      </c>
      <c r="T494" s="43" t="n">
        <f aca="false">S494-$M$2</f>
        <v>0.139437803248185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0.07568359375</v>
      </c>
      <c r="C495" s="25" t="n">
        <f aca="false">IF(T494&gt;0,D494,C494)</f>
        <v>0.0760498046875</v>
      </c>
      <c r="D495" s="41" t="n">
        <f aca="false">(B495+C495)/2</f>
        <v>0.07586669921875</v>
      </c>
      <c r="E495" s="15" t="n">
        <f aca="false">$C$2*(1+IF(E$3&lt;=$O$2,$D495,$D495-($D495-$I$481)*MIN(E$3-$O$2,$Q$2)/$Q$2))</f>
        <v>8424.03625488281</v>
      </c>
      <c r="F495" s="15" t="n">
        <f aca="false">E495*(1+IF(F$3&lt;=$O$2,$D495,$D495-($D495-$I$481)*MIN(F$3-$O$2,$Q$2)/$Q$2))</f>
        <v>9063.14007963985</v>
      </c>
      <c r="G495" s="15" t="n">
        <f aca="false">F495*(1+IF(G$3&lt;=$O$2,$D495,$D495-($D495-$I$481)*MIN(G$3-$O$2,$Q$2)/$Q$2))</f>
        <v>9750.73060203929</v>
      </c>
      <c r="H495" s="15" t="n">
        <f aca="false">G495*(1+IF(H$3&lt;=$O$2,$D495,$D495-($D495-$I$481)*MIN(H$3-$O$2,$Q$2)/$Q$2))</f>
        <v>10490.4863477873</v>
      </c>
      <c r="I495" s="15" t="n">
        <f aca="false">H495*(1+IF(I$3&lt;=$O$2,$D495,$D495-($D495-$I$481)*MIN(I$3-$O$2,$Q$2)/$Q$2))</f>
        <v>11286.3649201932</v>
      </c>
      <c r="J495" s="15" t="n">
        <f aca="false">I495*(1+IF(J$3&lt;=$O$2,$D495,$D495-($D495-$I$481)*MIN(J$3-$O$2,$Q$2)/$Q$2))</f>
        <v>12023.96678286</v>
      </c>
      <c r="K495" s="15" t="n">
        <f aca="false">J495*(1+IF(K$3&lt;=$O$2,$D495,$D495-($D495-$I$481)*MIN(K$3-$O$2,$Q$2)/$Q$2))</f>
        <v>12683.3613560752</v>
      </c>
      <c r="L495" s="15" t="n">
        <f aca="false">K495*(1+IF(L$3&lt;=$O$2,$D495,$D495-($D495-$I$481)*MIN(L$3-$O$2,$Q$2)/$Q$2))</f>
        <v>13245.5726522667</v>
      </c>
      <c r="M495" s="15" t="n">
        <f aca="false">L495*(1+IF(M$3&lt;=$O$2,$D495,$D495-($D495-$I$481)*MIN(M$3-$O$2,$Q$2)/$Q$2))</f>
        <v>13693.4497017829</v>
      </c>
      <c r="N495" s="15" t="n">
        <f aca="false">M495*(1+IF(N$3&lt;=$O$2,$D495,$D495-($D495-$I$481)*MIN(N$3-$O$2,$Q$2)/$Q$2))</f>
        <v>14012.5070798344</v>
      </c>
      <c r="O495" s="15" t="n">
        <f aca="false">SUMPRODUCT(E495:N495,1/(1+$F$481)^$E$3:$N$3)*$E$2</f>
        <v>20396.3053165335</v>
      </c>
      <c r="P495" s="15" t="n">
        <f aca="false">N495*$E$2*(1+$I$481)/($F$481-$I$481)/(1+$F$481)^$N$3</f>
        <v>27731.5978986282</v>
      </c>
      <c r="Q495" s="15" t="n">
        <f aca="false">O495+P495</f>
        <v>48127.9032151616</v>
      </c>
      <c r="R495" s="15" t="n">
        <f aca="false">Q495-$G$2+$I$2</f>
        <v>45610.9032151616</v>
      </c>
      <c r="S495" s="42" t="n">
        <f aca="false">R495/$K$2</f>
        <v>105.283466172295</v>
      </c>
      <c r="T495" s="43" t="n">
        <f aca="false">S495-$M$2</f>
        <v>0.0251678481178459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0.07568359375</v>
      </c>
      <c r="C496" s="25" t="n">
        <f aca="false">IF(T495&gt;0,D495,C495)</f>
        <v>0.07586669921875</v>
      </c>
      <c r="D496" s="41" t="n">
        <f aca="false">(B496+C496)/2</f>
        <v>0.075775146484375</v>
      </c>
      <c r="E496" s="15" t="n">
        <f aca="false">$C$2*(1+IF(E$3&lt;=$O$2,$D496,$D496-($D496-$I$481)*MIN(E$3-$O$2,$Q$2)/$Q$2))</f>
        <v>8423.31939697266</v>
      </c>
      <c r="F496" s="15" t="n">
        <f aca="false">E496*(1+IF(F$3&lt;=$O$2,$D496,$D496-($D496-$I$481)*MIN(F$3-$O$2,$Q$2)/$Q$2))</f>
        <v>9061.59765816294</v>
      </c>
      <c r="G496" s="15" t="n">
        <f aca="false">F496*(1+IF(G$3&lt;=$O$2,$D496,$D496-($D496-$I$481)*MIN(G$3-$O$2,$Q$2)/$Q$2))</f>
        <v>9748.2415480927</v>
      </c>
      <c r="H496" s="15" t="n">
        <f aca="false">G496*(1+IF(H$3&lt;=$O$2,$D496,$D496-($D496-$I$481)*MIN(H$3-$O$2,$Q$2)/$Q$2))</f>
        <v>10486.9159793645</v>
      </c>
      <c r="I496" s="15" t="n">
        <f aca="false">H496*(1+IF(I$3&lt;=$O$2,$D496,$D496-($D496-$I$481)*MIN(I$3-$O$2,$Q$2)/$Q$2))</f>
        <v>11281.5635738702</v>
      </c>
      <c r="J496" s="15" t="n">
        <f aca="false">I496*(1+IF(J$3&lt;=$O$2,$D496,$D496-($D496-$I$481)*MIN(J$3-$O$2,$Q$2)/$Q$2))</f>
        <v>12018.0253660307</v>
      </c>
      <c r="K496" s="15" t="n">
        <f aca="false">J496*(1+IF(K$3&lt;=$O$2,$D496,$D496-($D496-$I$481)*MIN(K$3-$O$2,$Q$2)/$Q$2))</f>
        <v>12676.4339419804</v>
      </c>
      <c r="L496" s="15" t="n">
        <f aca="false">K496*(1+IF(L$3&lt;=$O$2,$D496,$D496-($D496-$I$481)*MIN(L$3-$O$2,$Q$2)/$Q$2))</f>
        <v>13237.8739440305</v>
      </c>
      <c r="M496" s="15" t="n">
        <f aca="false">L496*(1+IF(M$3&lt;=$O$2,$D496,$D496-($D496-$I$481)*MIN(M$3-$O$2,$Q$2)/$Q$2))</f>
        <v>13685.2482817974</v>
      </c>
      <c r="N496" s="15" t="n">
        <f aca="false">M496*(1+IF(N$3&lt;=$O$2,$D496,$D496-($D496-$I$481)*MIN(N$3-$O$2,$Q$2)/$Q$2))</f>
        <v>14004.1145667632</v>
      </c>
      <c r="O496" s="15" t="n">
        <f aca="false">SUMPRODUCT(E496:N496,1/(1+$F$481)^$E$3:$N$3)*$E$2</f>
        <v>20388.1805023473</v>
      </c>
      <c r="P496" s="15" t="n">
        <f aca="false">N496*$E$2*(1+$I$481)/($F$481-$I$481)/(1+$F$481)^$N$3</f>
        <v>27714.9886083332</v>
      </c>
      <c r="Q496" s="15" t="n">
        <f aca="false">O496+P496</f>
        <v>48103.1691106805</v>
      </c>
      <c r="R496" s="15" t="n">
        <f aca="false">Q496-$G$2+$I$2</f>
        <v>45586.1691106805</v>
      </c>
      <c r="S496" s="42" t="n">
        <f aca="false">R496/$K$2</f>
        <v>105.226372537465</v>
      </c>
      <c r="T496" s="43" t="n">
        <f aca="false">S496-$M$2</f>
        <v>-0.0319257867122929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0.075775146484375</v>
      </c>
      <c r="C497" s="25" t="n">
        <f aca="false">IF(T496&gt;0,D496,C496)</f>
        <v>0.07586669921875</v>
      </c>
      <c r="D497" s="41" t="n">
        <f aca="false">(B497+C497)/2</f>
        <v>0.0758209228515625</v>
      </c>
      <c r="E497" s="15" t="n">
        <f aca="false">$C$2*(1+IF(E$3&lt;=$O$2,$D497,$D497-($D497-$I$481)*MIN(E$3-$O$2,$Q$2)/$Q$2))</f>
        <v>8423.67782592773</v>
      </c>
      <c r="F497" s="15" t="n">
        <f aca="false">E497*(1+IF(F$3&lt;=$O$2,$D497,$D497-($D497-$I$481)*MIN(F$3-$O$2,$Q$2)/$Q$2))</f>
        <v>9062.36885249382</v>
      </c>
      <c r="G497" s="15" t="n">
        <f aca="false">F497*(1+IF(G$3&lt;=$O$2,$D497,$D497-($D497-$I$481)*MIN(G$3-$O$2,$Q$2)/$Q$2))</f>
        <v>9749.48602211116</v>
      </c>
      <c r="H497" s="15" t="n">
        <f aca="false">G497*(1+IF(H$3&lt;=$O$2,$D497,$D497-($D497-$I$481)*MIN(H$3-$O$2,$Q$2)/$Q$2))</f>
        <v>10488.701049636</v>
      </c>
      <c r="I497" s="15" t="n">
        <f aca="false">H497*(1+IF(I$3&lt;=$O$2,$D497,$D497-($D497-$I$481)*MIN(I$3-$O$2,$Q$2)/$Q$2))</f>
        <v>11283.9640427336</v>
      </c>
      <c r="J497" s="15" t="n">
        <f aca="false">I497*(1+IF(J$3&lt;=$O$2,$D497,$D497-($D497-$I$481)*MIN(J$3-$O$2,$Q$2)/$Q$2))</f>
        <v>12020.9957688879</v>
      </c>
      <c r="K497" s="15" t="n">
        <f aca="false">J497*(1+IF(K$3&lt;=$O$2,$D497,$D497-($D497-$I$481)*MIN(K$3-$O$2,$Q$2)/$Q$2))</f>
        <v>12679.897245129</v>
      </c>
      <c r="L497" s="15" t="n">
        <f aca="false">K497*(1+IF(L$3&lt;=$O$2,$D497,$D497-($D497-$I$481)*MIN(L$3-$O$2,$Q$2)/$Q$2))</f>
        <v>13241.7228129313</v>
      </c>
      <c r="M497" s="15" t="n">
        <f aca="false">L497*(1+IF(M$3&lt;=$O$2,$D497,$D497-($D497-$I$481)*MIN(M$3-$O$2,$Q$2)/$Q$2))</f>
        <v>13689.3484549286</v>
      </c>
      <c r="N497" s="15" t="n">
        <f aca="false">M497*(1+IF(N$3&lt;=$O$2,$D497,$D497-($D497-$I$481)*MIN(N$3-$O$2,$Q$2)/$Q$2))</f>
        <v>14008.3102739284</v>
      </c>
      <c r="O497" s="15" t="n">
        <f aca="false">SUMPRODUCT(E497:N497,1/(1+$F$481)^$E$3:$N$3)*$E$2</f>
        <v>20392.2425046684</v>
      </c>
      <c r="P497" s="15" t="n">
        <f aca="false">N497*$E$2*(1+$I$481)/($F$481-$I$481)/(1+$F$481)^$N$3</f>
        <v>27723.2921662434</v>
      </c>
      <c r="Q497" s="15" t="n">
        <f aca="false">O497+P497</f>
        <v>48115.5346709118</v>
      </c>
      <c r="R497" s="15" t="n">
        <f aca="false">Q497-$G$2+$I$2</f>
        <v>45598.5346709118</v>
      </c>
      <c r="S497" s="42" t="n">
        <f aca="false">R497/$K$2</f>
        <v>105.254915910881</v>
      </c>
      <c r="T497" s="43" t="n">
        <f aca="false">S497-$M$2</f>
        <v>-0.00338241329626499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0.0758209228515625</v>
      </c>
      <c r="C498" s="25" t="n">
        <f aca="false">IF(T497&gt;0,D497,C497)</f>
        <v>0.07586669921875</v>
      </c>
      <c r="D498" s="41" t="n">
        <f aca="false">(B498+C498)/2</f>
        <v>0.0758438110351563</v>
      </c>
      <c r="E498" s="15" t="n">
        <f aca="false">$C$2*(1+IF(E$3&lt;=$O$2,$D498,$D498-($D498-$I$481)*MIN(E$3-$O$2,$Q$2)/$Q$2))</f>
        <v>8423.85704040527</v>
      </c>
      <c r="F498" s="15" t="n">
        <f aca="false">E498*(1+IF(F$3&lt;=$O$2,$D498,$D498-($D498-$I$481)*MIN(F$3-$O$2,$Q$2)/$Q$2))</f>
        <v>9062.75446196494</v>
      </c>
      <c r="G498" s="15" t="n">
        <f aca="false">F498*(1+IF(G$3&lt;=$O$2,$D498,$D498-($D498-$I$481)*MIN(G$3-$O$2,$Q$2)/$Q$2))</f>
        <v>9750.10829883623</v>
      </c>
      <c r="H498" s="15" t="n">
        <f aca="false">G498*(1+IF(H$3&lt;=$O$2,$D498,$D498-($D498-$I$481)*MIN(H$3-$O$2,$Q$2)/$Q$2))</f>
        <v>10489.5936702255</v>
      </c>
      <c r="I498" s="15" t="n">
        <f aca="false">H498*(1+IF(I$3&lt;=$O$2,$D498,$D498-($D498-$I$481)*MIN(I$3-$O$2,$Q$2)/$Q$2))</f>
        <v>11285.1644303856</v>
      </c>
      <c r="J498" s="15" t="n">
        <f aca="false">I498*(1+IF(J$3&lt;=$O$2,$D498,$D498-($D498-$I$481)*MIN(J$3-$O$2,$Q$2)/$Q$2))</f>
        <v>12022.4811994783</v>
      </c>
      <c r="K498" s="15" t="n">
        <f aca="false">J498*(1+IF(K$3&lt;=$O$2,$D498,$D498-($D498-$I$481)*MIN(K$3-$O$2,$Q$2)/$Q$2))</f>
        <v>12681.6291996176</v>
      </c>
      <c r="L498" s="15" t="n">
        <f aca="false">K498*(1+IF(L$3&lt;=$O$2,$D498,$D498-($D498-$I$481)*MIN(L$3-$O$2,$Q$2)/$Q$2))</f>
        <v>13243.6476112817</v>
      </c>
      <c r="M498" s="15" t="n">
        <f aca="false">L498*(1+IF(M$3&lt;=$O$2,$D498,$D498-($D498-$I$481)*MIN(M$3-$O$2,$Q$2)/$Q$2))</f>
        <v>13691.3989441253</v>
      </c>
      <c r="N498" s="15" t="n">
        <f aca="false">M498*(1+IF(N$3&lt;=$O$2,$D498,$D498-($D498-$I$481)*MIN(N$3-$O$2,$Q$2)/$Q$2))</f>
        <v>14010.4085395234</v>
      </c>
      <c r="O498" s="15" t="n">
        <f aca="false">SUMPRODUCT(E498:N498,1/(1+$F$481)^$E$3:$N$3)*$E$2</f>
        <v>20394.2738093985</v>
      </c>
      <c r="P498" s="15" t="n">
        <f aca="false">N498*$E$2*(1+$I$481)/($F$481-$I$481)/(1+$F$481)^$N$3</f>
        <v>27727.444760596</v>
      </c>
      <c r="Q498" s="15" t="n">
        <f aca="false">O498+P498</f>
        <v>48121.7185699945</v>
      </c>
      <c r="R498" s="15" t="n">
        <f aca="false">Q498-$G$2+$I$2</f>
        <v>45604.7185699945</v>
      </c>
      <c r="S498" s="42" t="n">
        <f aca="false">R498/$K$2</f>
        <v>105.269190180496</v>
      </c>
      <c r="T498" s="43" t="n">
        <f aca="false">S498-$M$2</f>
        <v>0.0108918563189206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0.0758209228515625</v>
      </c>
      <c r="C499" s="25" t="n">
        <f aca="false">IF(T498&gt;0,D498,C498)</f>
        <v>0.0758438110351563</v>
      </c>
      <c r="D499" s="41" t="n">
        <f aca="false">(B499+C499)/2</f>
        <v>0.0758323669433594</v>
      </c>
      <c r="E499" s="15" t="n">
        <f aca="false">$C$2*(1+IF(E$3&lt;=$O$2,$D499,$D499-($D499-$I$481)*MIN(E$3-$O$2,$Q$2)/$Q$2))</f>
        <v>8423.7674331665</v>
      </c>
      <c r="F499" s="15" t="n">
        <f aca="false">E499*(1+IF(F$3&lt;=$O$2,$D499,$D499-($D499-$I$481)*MIN(F$3-$O$2,$Q$2)/$Q$2))</f>
        <v>9062.56165620391</v>
      </c>
      <c r="G499" s="15" t="n">
        <f aca="false">F499*(1+IF(G$3&lt;=$O$2,$D499,$D499-($D499-$I$481)*MIN(G$3-$O$2,$Q$2)/$Q$2))</f>
        <v>9749.79715716398</v>
      </c>
      <c r="H499" s="15" t="n">
        <f aca="false">G499*(1+IF(H$3&lt;=$O$2,$D499,$D499-($D499-$I$481)*MIN(H$3-$O$2,$Q$2)/$Q$2))</f>
        <v>10489.1473528094</v>
      </c>
      <c r="I499" s="15" t="n">
        <f aca="false">H499*(1+IF(I$3&lt;=$O$2,$D499,$D499-($D499-$I$481)*MIN(I$3-$O$2,$Q$2)/$Q$2))</f>
        <v>11284.5642237906</v>
      </c>
      <c r="J499" s="15" t="n">
        <f aca="false">I499*(1+IF(J$3&lt;=$O$2,$D499,$D499-($D499-$I$481)*MIN(J$3-$O$2,$Q$2)/$Q$2))</f>
        <v>12021.7384650849</v>
      </c>
      <c r="K499" s="15" t="n">
        <f aca="false">J499*(1+IF(K$3&lt;=$O$2,$D499,$D499-($D499-$I$481)*MIN(K$3-$O$2,$Q$2)/$Q$2))</f>
        <v>12680.7631971284</v>
      </c>
      <c r="L499" s="15" t="n">
        <f aca="false">K499*(1+IF(L$3&lt;=$O$2,$D499,$D499-($D499-$I$481)*MIN(L$3-$O$2,$Q$2)/$Q$2))</f>
        <v>13242.6851817788</v>
      </c>
      <c r="M499" s="15" t="n">
        <f aca="false">L499*(1+IF(M$3&lt;=$O$2,$D499,$D499-($D499-$I$481)*MIN(M$3-$O$2,$Q$2)/$Q$2))</f>
        <v>13690.3736659712</v>
      </c>
      <c r="N499" s="15" t="n">
        <f aca="false">M499*(1+IF(N$3&lt;=$O$2,$D499,$D499-($D499-$I$481)*MIN(N$3-$O$2,$Q$2)/$Q$2))</f>
        <v>14009.3593723883</v>
      </c>
      <c r="O499" s="15" t="n">
        <f aca="false">SUMPRODUCT(E499:N499,1/(1+$F$481)^$E$3:$N$3)*$E$2</f>
        <v>20393.258131734</v>
      </c>
      <c r="P499" s="15" t="n">
        <f aca="false">N499*$E$2*(1+$I$481)/($F$481-$I$481)/(1+$F$481)^$N$3</f>
        <v>27725.3683954636</v>
      </c>
      <c r="Q499" s="15" t="n">
        <f aca="false">O499+P499</f>
        <v>48118.6265271976</v>
      </c>
      <c r="R499" s="15" t="n">
        <f aca="false">Q499-$G$2+$I$2</f>
        <v>45601.6265271976</v>
      </c>
      <c r="S499" s="42" t="n">
        <f aca="false">R499/$K$2</f>
        <v>105.262052830427</v>
      </c>
      <c r="T499" s="43" t="n">
        <f aca="false">S499-$M$2</f>
        <v>0.00375450624986229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0.0758209228515625</v>
      </c>
      <c r="C500" s="25" t="n">
        <f aca="false">IF(T499&gt;0,D499,C499)</f>
        <v>0.0758323669433594</v>
      </c>
      <c r="D500" s="41" t="n">
        <f aca="false">(B500+C500)/2</f>
        <v>0.0758266448974609</v>
      </c>
      <c r="E500" s="15" t="n">
        <f aca="false">$C$2*(1+IF(E$3&lt;=$O$2,$D500,$D500-($D500-$I$481)*MIN(E$3-$O$2,$Q$2)/$Q$2))</f>
        <v>8423.72262954712</v>
      </c>
      <c r="F500" s="15" t="n">
        <f aca="false">E500*(1+IF(F$3&lt;=$O$2,$D500,$D500-($D500-$I$481)*MIN(F$3-$O$2,$Q$2)/$Q$2))</f>
        <v>9062.46525409249</v>
      </c>
      <c r="G500" s="15" t="n">
        <f aca="false">F500*(1+IF(G$3&lt;=$O$2,$D500,$D500-($D500-$I$481)*MIN(G$3-$O$2,$Q$2)/$Q$2))</f>
        <v>9749.64158881014</v>
      </c>
      <c r="H500" s="15" t="n">
        <f aca="false">G500*(1+IF(H$3&lt;=$O$2,$D500,$D500-($D500-$I$481)*MIN(H$3-$O$2,$Q$2)/$Q$2))</f>
        <v>10488.9241994424</v>
      </c>
      <c r="I500" s="15" t="n">
        <f aca="false">H500*(1+IF(I$3&lt;=$O$2,$D500,$D500-($D500-$I$481)*MIN(I$3-$O$2,$Q$2)/$Q$2))</f>
        <v>11284.2641300699</v>
      </c>
      <c r="J500" s="15" t="n">
        <f aca="false">I500*(1+IF(J$3&lt;=$O$2,$D500,$D500-($D500-$I$481)*MIN(J$3-$O$2,$Q$2)/$Q$2))</f>
        <v>12021.367112212</v>
      </c>
      <c r="K500" s="15" t="n">
        <f aca="false">J500*(1+IF(K$3&lt;=$O$2,$D500,$D500-($D500-$I$481)*MIN(K$3-$O$2,$Q$2)/$Q$2))</f>
        <v>12680.3302148176</v>
      </c>
      <c r="L500" s="15" t="n">
        <f aca="false">K500*(1+IF(L$3&lt;=$O$2,$D500,$D500-($D500-$I$481)*MIN(L$3-$O$2,$Q$2)/$Q$2))</f>
        <v>13242.2039897734</v>
      </c>
      <c r="M500" s="15" t="n">
        <f aca="false">L500*(1+IF(M$3&lt;=$O$2,$D500,$D500-($D500-$I$481)*MIN(M$3-$O$2,$Q$2)/$Q$2))</f>
        <v>13689.8610520612</v>
      </c>
      <c r="N500" s="15" t="n">
        <f aca="false">M500*(1+IF(N$3&lt;=$O$2,$D500,$D500-($D500-$I$481)*MIN(N$3-$O$2,$Q$2)/$Q$2))</f>
        <v>14008.8348145742</v>
      </c>
      <c r="O500" s="15" t="n">
        <f aca="false">SUMPRODUCT(E500:N500,1/(1+$F$481)^$E$3:$N$3)*$E$2</f>
        <v>20392.7503118765</v>
      </c>
      <c r="P500" s="15" t="n">
        <f aca="false">N500*$E$2*(1+$I$481)/($F$481-$I$481)/(1+$F$481)^$N$3</f>
        <v>27724.3302638649</v>
      </c>
      <c r="Q500" s="15" t="n">
        <f aca="false">O500+P500</f>
        <v>48117.0805757414</v>
      </c>
      <c r="R500" s="15" t="n">
        <f aca="false">Q500-$G$2+$I$2</f>
        <v>45600.0805757414</v>
      </c>
      <c r="S500" s="42" t="n">
        <f aca="false">R500/$K$2</f>
        <v>105.25848431684</v>
      </c>
      <c r="T500" s="43" t="n">
        <f aca="false">S500-$M$2</f>
        <v>0.00018599266286401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0.0758209228515625</v>
      </c>
      <c r="C501" s="25" t="n">
        <f aca="false">IF(T500&gt;0,D500,C500)</f>
        <v>0.0758266448974609</v>
      </c>
      <c r="D501" s="41" t="n">
        <f aca="false">(B501+C501)/2</f>
        <v>0.0758237838745117</v>
      </c>
      <c r="E501" s="15" t="n">
        <f aca="false">$C$2*(1+IF(E$3&lt;=$O$2,$D501,$D501-($D501-$I$481)*MIN(E$3-$O$2,$Q$2)/$Q$2))</f>
        <v>8423.70022773743</v>
      </c>
      <c r="F501" s="15" t="n">
        <f aca="false">E501*(1+IF(F$3&lt;=$O$2,$D501,$D501-($D501-$I$481)*MIN(F$3-$O$2,$Q$2)/$Q$2))</f>
        <v>9062.41705322907</v>
      </c>
      <c r="G501" s="15" t="n">
        <f aca="false">F501*(1+IF(G$3&lt;=$O$2,$D501,$D501-($D501-$I$481)*MIN(G$3-$O$2,$Q$2)/$Q$2))</f>
        <v>9749.56380525379</v>
      </c>
      <c r="H501" s="15" t="n">
        <f aca="false">G501*(1+IF(H$3&lt;=$O$2,$D501,$D501-($D501-$I$481)*MIN(H$3-$O$2,$Q$2)/$Q$2))</f>
        <v>10488.8126240941</v>
      </c>
      <c r="I501" s="15" t="n">
        <f aca="false">H501*(1+IF(I$3&lt;=$O$2,$D501,$D501-($D501-$I$481)*MIN(I$3-$O$2,$Q$2)/$Q$2))</f>
        <v>11284.1140856037</v>
      </c>
      <c r="J501" s="15" t="n">
        <f aca="false">I501*(1+IF(J$3&lt;=$O$2,$D501,$D501-($D501-$I$481)*MIN(J$3-$O$2,$Q$2)/$Q$2))</f>
        <v>12021.1814393563</v>
      </c>
      <c r="K501" s="15" t="n">
        <f aca="false">J501*(1+IF(K$3&lt;=$O$2,$D501,$D501-($D501-$I$481)*MIN(K$3-$O$2,$Q$2)/$Q$2))</f>
        <v>12680.1137283955</v>
      </c>
      <c r="L501" s="15" t="n">
        <f aca="false">K501*(1+IF(L$3&lt;=$O$2,$D501,$D501-($D501-$I$481)*MIN(L$3-$O$2,$Q$2)/$Q$2))</f>
        <v>13241.9633994569</v>
      </c>
      <c r="M501" s="15" t="n">
        <f aca="false">L501*(1+IF(M$3&lt;=$O$2,$D501,$D501-($D501-$I$481)*MIN(M$3-$O$2,$Q$2)/$Q$2))</f>
        <v>13689.6047513977</v>
      </c>
      <c r="N501" s="15" t="n">
        <f aca="false">M501*(1+IF(N$3&lt;=$O$2,$D501,$D501-($D501-$I$481)*MIN(N$3-$O$2,$Q$2)/$Q$2))</f>
        <v>14008.5725421053</v>
      </c>
      <c r="O501" s="15" t="n">
        <f aca="false">SUMPRODUCT(E501:N501,1/(1+$F$481)^$E$3:$N$3)*$E$2</f>
        <v>20392.4964066913</v>
      </c>
      <c r="P501" s="15" t="n">
        <f aca="false">N501*$E$2*(1+$I$481)/($F$481-$I$481)/(1+$F$481)^$N$3</f>
        <v>27723.8112108071</v>
      </c>
      <c r="Q501" s="15" t="n">
        <f aca="false">O501+P501</f>
        <v>48116.3076174984</v>
      </c>
      <c r="R501" s="15" t="n">
        <f aca="false">Q501-$G$2+$I$2</f>
        <v>45599.3076174984</v>
      </c>
      <c r="S501" s="42" t="n">
        <f aca="false">R501/$K$2</f>
        <v>105.256700100407</v>
      </c>
      <c r="T501" s="43" t="n">
        <f aca="false">S501-$M$2</f>
        <v>-0.00159822376998875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0.0758237838745117</v>
      </c>
      <c r="C502" s="25" t="n">
        <f aca="false">IF(T501&gt;0,D501,C501)</f>
        <v>0.0758266448974609</v>
      </c>
      <c r="D502" s="41" t="n">
        <f aca="false">(B502+C502)/2</f>
        <v>0.0758252143859863</v>
      </c>
      <c r="E502" s="15" t="n">
        <f aca="false">$C$2*(1+IF(E$3&lt;=$O$2,$D502,$D502-($D502-$I$481)*MIN(E$3-$O$2,$Q$2)/$Q$2))</f>
        <v>8423.71142864227</v>
      </c>
      <c r="F502" s="15" t="n">
        <f aca="false">E502*(1+IF(F$3&lt;=$O$2,$D502,$D502-($D502-$I$481)*MIN(F$3-$O$2,$Q$2)/$Q$2))</f>
        <v>9062.44115364476</v>
      </c>
      <c r="G502" s="15" t="n">
        <f aca="false">F502*(1+IF(G$3&lt;=$O$2,$D502,$D502-($D502-$I$481)*MIN(G$3-$O$2,$Q$2)/$Q$2))</f>
        <v>9749.60269698026</v>
      </c>
      <c r="H502" s="15" t="n">
        <f aca="false">G502*(1+IF(H$3&lt;=$O$2,$D502,$D502-($D502-$I$481)*MIN(H$3-$O$2,$Q$2)/$Q$2))</f>
        <v>10488.868411657</v>
      </c>
      <c r="I502" s="15" t="n">
        <f aca="false">H502*(1+IF(I$3&lt;=$O$2,$D502,$D502-($D502-$I$481)*MIN(I$3-$O$2,$Q$2)/$Q$2))</f>
        <v>11284.1891076373</v>
      </c>
      <c r="J502" s="15" t="n">
        <f aca="false">I502*(1+IF(J$3&lt;=$O$2,$D502,$D502-($D502-$I$481)*MIN(J$3-$O$2,$Q$2)/$Q$2))</f>
        <v>12021.2742754857</v>
      </c>
      <c r="K502" s="15" t="n">
        <f aca="false">J502*(1+IF(K$3&lt;=$O$2,$D502,$D502-($D502-$I$481)*MIN(K$3-$O$2,$Q$2)/$Q$2))</f>
        <v>12680.2219712121</v>
      </c>
      <c r="L502" s="15" t="n">
        <f aca="false">K502*(1+IF(L$3&lt;=$O$2,$D502,$D502-($D502-$I$481)*MIN(L$3-$O$2,$Q$2)/$Q$2))</f>
        <v>13242.0836941413</v>
      </c>
      <c r="M502" s="15" t="n">
        <f aca="false">L502*(1+IF(M$3&lt;=$O$2,$D502,$D502-($D502-$I$481)*MIN(M$3-$O$2,$Q$2)/$Q$2))</f>
        <v>13689.7329012052</v>
      </c>
      <c r="N502" s="15" t="n">
        <f aca="false">M502*(1+IF(N$3&lt;=$O$2,$D502,$D502-($D502-$I$481)*MIN(N$3-$O$2,$Q$2)/$Q$2))</f>
        <v>14008.7036778033</v>
      </c>
      <c r="O502" s="15" t="n">
        <f aca="false">SUMPRODUCT(E502:N502,1/(1+$F$481)^$E$3:$N$3)*$E$2</f>
        <v>20392.6233588886</v>
      </c>
      <c r="P502" s="15" t="n">
        <f aca="false">N502*$E$2*(1+$I$481)/($F$481-$I$481)/(1+$F$481)^$N$3</f>
        <v>27724.0707362742</v>
      </c>
      <c r="Q502" s="15" t="n">
        <f aca="false">O502+P502</f>
        <v>48116.6940951628</v>
      </c>
      <c r="R502" s="15" t="n">
        <f aca="false">Q502-$G$2+$I$2</f>
        <v>45599.6940951628</v>
      </c>
      <c r="S502" s="42" t="n">
        <f aca="false">R502/$K$2</f>
        <v>105.25759220526</v>
      </c>
      <c r="T502" s="43" t="n">
        <f aca="false">S502-$M$2</f>
        <v>-0.000706118916923515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0.0758252143859863</v>
      </c>
      <c r="C503" s="25" t="n">
        <f aca="false">IF(T502&gt;0,D502,C502)</f>
        <v>0.0758266448974609</v>
      </c>
      <c r="D503" s="41" t="n">
        <f aca="false">(B503+C503)/2</f>
        <v>0.0758259296417236</v>
      </c>
      <c r="E503" s="15" t="n">
        <f aca="false">$C$2*(1+IF(E$3&lt;=$O$2,$D503,$D503-($D503-$I$481)*MIN(E$3-$O$2,$Q$2)/$Q$2))</f>
        <v>8423.7170290947</v>
      </c>
      <c r="F503" s="15" t="n">
        <f aca="false">E503*(1+IF(F$3&lt;=$O$2,$D503,$D503-($D503-$I$481)*MIN(F$3-$O$2,$Q$2)/$Q$2))</f>
        <v>9062.45320386462</v>
      </c>
      <c r="G503" s="15" t="n">
        <f aca="false">F503*(1+IF(G$3&lt;=$O$2,$D503,$D503-($D503-$I$481)*MIN(G$3-$O$2,$Q$2)/$Q$2))</f>
        <v>9749.62214288227</v>
      </c>
      <c r="H503" s="15" t="n">
        <f aca="false">G503*(1+IF(H$3&lt;=$O$2,$D503,$D503-($D503-$I$481)*MIN(H$3-$O$2,$Q$2)/$Q$2))</f>
        <v>10488.8963055219</v>
      </c>
      <c r="I503" s="15" t="n">
        <f aca="false">H503*(1+IF(I$3&lt;=$O$2,$D503,$D503-($D503-$I$481)*MIN(I$3-$O$2,$Q$2)/$Q$2))</f>
        <v>11284.2266188037</v>
      </c>
      <c r="J503" s="15" t="n">
        <f aca="false">I503*(1+IF(J$3&lt;=$O$2,$D503,$D503-($D503-$I$481)*MIN(J$3-$O$2,$Q$2)/$Q$2))</f>
        <v>12021.3206937743</v>
      </c>
      <c r="K503" s="15" t="n">
        <f aca="false">J503*(1+IF(K$3&lt;=$O$2,$D503,$D503-($D503-$I$481)*MIN(K$3-$O$2,$Q$2)/$Q$2))</f>
        <v>12680.2760929163</v>
      </c>
      <c r="L503" s="15" t="n">
        <f aca="false">K503*(1+IF(L$3&lt;=$O$2,$D503,$D503-($D503-$I$481)*MIN(L$3-$O$2,$Q$2)/$Q$2))</f>
        <v>13242.1438418389</v>
      </c>
      <c r="M503" s="15" t="n">
        <f aca="false">L503*(1+IF(M$3&lt;=$O$2,$D503,$D503-($D503-$I$481)*MIN(M$3-$O$2,$Q$2)/$Q$2))</f>
        <v>13689.7969765021</v>
      </c>
      <c r="N503" s="15" t="n">
        <f aca="false">M503*(1+IF(N$3&lt;=$O$2,$D503,$D503-($D503-$I$481)*MIN(N$3-$O$2,$Q$2)/$Q$2))</f>
        <v>14008.7692460546</v>
      </c>
      <c r="O503" s="15" t="n">
        <f aca="false">SUMPRODUCT(E503:N503,1/(1+$F$481)^$E$3:$N$3)*$E$2</f>
        <v>20392.6868352837</v>
      </c>
      <c r="P503" s="15" t="n">
        <f aca="false">N503*$E$2*(1+$I$481)/($F$481-$I$481)/(1+$F$481)^$N$3</f>
        <v>27724.2004998041</v>
      </c>
      <c r="Q503" s="15" t="n">
        <f aca="false">O503+P503</f>
        <v>48116.8873350879</v>
      </c>
      <c r="R503" s="15" t="n">
        <f aca="false">Q503-$G$2+$I$2</f>
        <v>45599.8873350879</v>
      </c>
      <c r="S503" s="42" t="n">
        <f aca="false">R503/$K$2</f>
        <v>105.258038260209</v>
      </c>
      <c r="T503" s="43" t="n">
        <f aca="false">S503-$M$2</f>
        <v>-0.000260063967843394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0.0758259296417236</v>
      </c>
      <c r="C504" s="25" t="n">
        <f aca="false">IF(T503&gt;0,D503,C503)</f>
        <v>0.0758266448974609</v>
      </c>
      <c r="D504" s="41" t="n">
        <f aca="false">(B504+C504)/2</f>
        <v>0.0758262872695923</v>
      </c>
      <c r="E504" s="15" t="n">
        <f aca="false">$C$2*(1+IF(E$3&lt;=$O$2,$D504,$D504-($D504-$I$481)*MIN(E$3-$O$2,$Q$2)/$Q$2))</f>
        <v>8423.71982932091</v>
      </c>
      <c r="F504" s="15" t="n">
        <f aca="false">E504*(1+IF(F$3&lt;=$O$2,$D504,$D504-($D504-$I$481)*MIN(F$3-$O$2,$Q$2)/$Q$2))</f>
        <v>9062.45922897756</v>
      </c>
      <c r="G504" s="15" t="n">
        <f aca="false">F504*(1+IF(G$3&lt;=$O$2,$D504,$D504-($D504-$I$481)*MIN(G$3-$O$2,$Q$2)/$Q$2))</f>
        <v>9749.63186584298</v>
      </c>
      <c r="H504" s="15" t="n">
        <f aca="false">G504*(1+IF(H$3&lt;=$O$2,$D504,$D504-($D504-$I$481)*MIN(H$3-$O$2,$Q$2)/$Q$2))</f>
        <v>10488.9102524752</v>
      </c>
      <c r="I504" s="15" t="n">
        <f aca="false">H504*(1+IF(I$3&lt;=$O$2,$D504,$D504-($D504-$I$481)*MIN(I$3-$O$2,$Q$2)/$Q$2))</f>
        <v>11284.2453744243</v>
      </c>
      <c r="J504" s="15" t="n">
        <f aca="false">I504*(1+IF(J$3&lt;=$O$2,$D504,$D504-($D504-$I$481)*MIN(J$3-$O$2,$Q$2)/$Q$2))</f>
        <v>12021.3439029745</v>
      </c>
      <c r="K504" s="15" t="n">
        <f aca="false">J504*(1+IF(K$3&lt;=$O$2,$D504,$D504-($D504-$I$481)*MIN(K$3-$O$2,$Q$2)/$Q$2))</f>
        <v>12680.3031538423</v>
      </c>
      <c r="L504" s="15" t="n">
        <f aca="false">K504*(1+IF(L$3&lt;=$O$2,$D504,$D504-($D504-$I$481)*MIN(L$3-$O$2,$Q$2)/$Q$2))</f>
        <v>13242.1739157765</v>
      </c>
      <c r="M504" s="15" t="n">
        <f aca="false">L504*(1+IF(M$3&lt;=$O$2,$D504,$D504-($D504-$I$481)*MIN(M$3-$O$2,$Q$2)/$Q$2))</f>
        <v>13689.8290142489</v>
      </c>
      <c r="N504" s="15" t="n">
        <f aca="false">M504*(1+IF(N$3&lt;=$O$2,$D504,$D504-($D504-$I$481)*MIN(N$3-$O$2,$Q$2)/$Q$2))</f>
        <v>14008.8020302809</v>
      </c>
      <c r="O504" s="15" t="n">
        <f aca="false">SUMPRODUCT(E504:N504,1/(1+$F$481)^$E$3:$N$3)*$E$2</f>
        <v>20392.7185735554</v>
      </c>
      <c r="P504" s="15" t="n">
        <f aca="false">N504*$E$2*(1+$I$481)/($F$481-$I$481)/(1+$F$481)^$N$3</f>
        <v>27724.2653817682</v>
      </c>
      <c r="Q504" s="15" t="n">
        <f aca="false">O504+P504</f>
        <v>48116.9839553236</v>
      </c>
      <c r="R504" s="15" t="n">
        <f aca="false">Q504-$G$2+$I$2</f>
        <v>45599.9839553236</v>
      </c>
      <c r="S504" s="42" t="n">
        <f aca="false">R504/$K$2</f>
        <v>105.258261288314</v>
      </c>
      <c r="T504" s="43" t="n">
        <f aca="false">S504-$M$2</f>
        <v>-3.70358626895495E-005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0.0758262872695923</v>
      </c>
      <c r="C505" s="25" t="n">
        <f aca="false">IF(T504&gt;0,D504,C504)</f>
        <v>0.0758266448974609</v>
      </c>
      <c r="D505" s="41" t="n">
        <f aca="false">(B505+C505)/2</f>
        <v>0.0758264660835266</v>
      </c>
      <c r="E505" s="15" t="n">
        <f aca="false">$C$2*(1+IF(E$3&lt;=$O$2,$D505,$D505-($D505-$I$481)*MIN(E$3-$O$2,$Q$2)/$Q$2))</f>
        <v>8423.72122943401</v>
      </c>
      <c r="F505" s="15" t="n">
        <f aca="false">E505*(1+IF(F$3&lt;=$O$2,$D505,$D505-($D505-$I$481)*MIN(F$3-$O$2,$Q$2)/$Q$2))</f>
        <v>9062.46224153478</v>
      </c>
      <c r="G505" s="15" t="n">
        <f aca="false">F505*(1+IF(G$3&lt;=$O$2,$D505,$D505-($D505-$I$481)*MIN(G$3-$O$2,$Q$2)/$Q$2))</f>
        <v>9749.63672732575</v>
      </c>
      <c r="H505" s="15" t="n">
        <f aca="false">G505*(1+IF(H$3&lt;=$O$2,$D505,$D505-($D505-$I$481)*MIN(H$3-$O$2,$Q$2)/$Q$2))</f>
        <v>10488.917225957</v>
      </c>
      <c r="I505" s="15" t="n">
        <f aca="false">H505*(1+IF(I$3&lt;=$O$2,$D505,$D505-($D505-$I$481)*MIN(I$3-$O$2,$Q$2)/$Q$2))</f>
        <v>11284.254752244</v>
      </c>
      <c r="J505" s="15" t="n">
        <f aca="false">I505*(1+IF(J$3&lt;=$O$2,$D505,$D505-($D505-$I$481)*MIN(J$3-$O$2,$Q$2)/$Q$2))</f>
        <v>12021.3555075886</v>
      </c>
      <c r="K505" s="15" t="n">
        <f aca="false">J505*(1+IF(K$3&lt;=$O$2,$D505,$D505-($D505-$I$481)*MIN(K$3-$O$2,$Q$2)/$Q$2))</f>
        <v>12680.3166843238</v>
      </c>
      <c r="L505" s="15" t="n">
        <f aca="false">K505*(1+IF(L$3&lt;=$O$2,$D505,$D505-($D505-$I$481)*MIN(L$3-$O$2,$Q$2)/$Q$2))</f>
        <v>13242.1889527675</v>
      </c>
      <c r="M505" s="15" t="n">
        <f aca="false">L505*(1+IF(M$3&lt;=$O$2,$D505,$D505-($D505-$I$481)*MIN(M$3-$O$2,$Q$2)/$Q$2))</f>
        <v>13689.8450331469</v>
      </c>
      <c r="N505" s="15" t="n">
        <f aca="false">M505*(1+IF(N$3&lt;=$O$2,$D505,$D505-($D505-$I$481)*MIN(N$3-$O$2,$Q$2)/$Q$2))</f>
        <v>14008.8184224192</v>
      </c>
      <c r="O505" s="15" t="n">
        <f aca="false">SUMPRODUCT(E505:N505,1/(1+$F$481)^$E$3:$N$3)*$E$2</f>
        <v>20392.7344427098</v>
      </c>
      <c r="P505" s="15" t="n">
        <f aca="false">N505*$E$2*(1+$I$481)/($F$481-$I$481)/(1+$F$481)^$N$3</f>
        <v>27724.2978228</v>
      </c>
      <c r="Q505" s="15" t="n">
        <f aca="false">O505+P505</f>
        <v>48117.0322655097</v>
      </c>
      <c r="R505" s="15" t="n">
        <f aca="false">Q505-$G$2+$I$2</f>
        <v>45600.0322655097</v>
      </c>
      <c r="S505" s="42" t="n">
        <f aca="false">R505/$K$2</f>
        <v>105.258372802525</v>
      </c>
      <c r="T505" s="43" t="n">
        <f aca="false">S505-$M$2</f>
        <v>7.44783475425948E-005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0.0758262872695923</v>
      </c>
      <c r="C506" s="25" t="n">
        <f aca="false">IF(T505&gt;0,D505,C505)</f>
        <v>0.0758264660835266</v>
      </c>
      <c r="D506" s="41" t="n">
        <f aca="false">(B506+C506)/2</f>
        <v>0.0758263766765595</v>
      </c>
      <c r="E506" s="15" t="n">
        <f aca="false">$C$2*(1+IF(E$3&lt;=$O$2,$D506,$D506-($D506-$I$481)*MIN(E$3-$O$2,$Q$2)/$Q$2))</f>
        <v>8423.72052937746</v>
      </c>
      <c r="F506" s="15" t="n">
        <f aca="false">E506*(1+IF(F$3&lt;=$O$2,$D506,$D506-($D506-$I$481)*MIN(F$3-$O$2,$Q$2)/$Q$2))</f>
        <v>9062.4607352561</v>
      </c>
      <c r="G506" s="15" t="n">
        <f aca="false">F506*(1+IF(G$3&lt;=$O$2,$D506,$D506-($D506-$I$481)*MIN(G$3-$O$2,$Q$2)/$Q$2))</f>
        <v>9749.63429658416</v>
      </c>
      <c r="H506" s="15" t="n">
        <f aca="false">G506*(1+IF(H$3&lt;=$O$2,$D506,$D506-($D506-$I$481)*MIN(H$3-$O$2,$Q$2)/$Q$2))</f>
        <v>10488.9137392157</v>
      </c>
      <c r="I506" s="15" t="n">
        <f aca="false">H506*(1+IF(I$3&lt;=$O$2,$D506,$D506-($D506-$I$481)*MIN(I$3-$O$2,$Q$2)/$Q$2))</f>
        <v>11284.2500633334</v>
      </c>
      <c r="J506" s="15" t="n">
        <f aca="false">I506*(1+IF(J$3&lt;=$O$2,$D506,$D506-($D506-$I$481)*MIN(J$3-$O$2,$Q$2)/$Q$2))</f>
        <v>12021.3497052803</v>
      </c>
      <c r="K506" s="15" t="n">
        <f aca="false">J506*(1+IF(K$3&lt;=$O$2,$D506,$D506-($D506-$I$481)*MIN(K$3-$O$2,$Q$2)/$Q$2))</f>
        <v>12680.3099190815</v>
      </c>
      <c r="L506" s="15" t="n">
        <f aca="false">K506*(1+IF(L$3&lt;=$O$2,$D506,$D506-($D506-$I$481)*MIN(L$3-$O$2,$Q$2)/$Q$2))</f>
        <v>13242.1814342702</v>
      </c>
      <c r="M506" s="15" t="n">
        <f aca="false">L506*(1+IF(M$3&lt;=$O$2,$D506,$D506-($D506-$I$481)*MIN(M$3-$O$2,$Q$2)/$Q$2))</f>
        <v>13689.8370236958</v>
      </c>
      <c r="N506" s="15" t="n">
        <f aca="false">M506*(1+IF(N$3&lt;=$O$2,$D506,$D506-($D506-$I$481)*MIN(N$3-$O$2,$Q$2)/$Q$2))</f>
        <v>14008.8102263479</v>
      </c>
      <c r="O506" s="15" t="n">
        <f aca="false">SUMPRODUCT(E506:N506,1/(1+$F$481)^$E$3:$N$3)*$E$2</f>
        <v>20392.726508131</v>
      </c>
      <c r="P506" s="15" t="n">
        <f aca="false">N506*$E$2*(1+$I$481)/($F$481-$I$481)/(1+$F$481)^$N$3</f>
        <v>27724.2816022799</v>
      </c>
      <c r="Q506" s="15" t="n">
        <f aca="false">O506+P506</f>
        <v>48117.008110411</v>
      </c>
      <c r="R506" s="15" t="n">
        <f aca="false">Q506-$G$2+$I$2</f>
        <v>45600.008110411</v>
      </c>
      <c r="S506" s="42" t="n">
        <f aca="false">R506/$K$2</f>
        <v>105.258317045406</v>
      </c>
      <c r="T506" s="43" t="n">
        <f aca="false">S506-$M$2</f>
        <v>1.87212293241146E-005</v>
      </c>
    </row>
    <row r="508" customFormat="false" ht="15" hidden="false" customHeight="false" outlineLevel="0" collapsed="false">
      <c r="A508" s="38" t="s">
        <v>190</v>
      </c>
      <c r="E508" s="5" t="s">
        <v>11</v>
      </c>
      <c r="F508" s="12" t="n">
        <f aca="false">Sensitivity!$B$13</f>
        <v>0.0871529104257703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153</v>
      </c>
      <c r="B509" s="28" t="s">
        <v>154</v>
      </c>
      <c r="C509" s="28" t="s">
        <v>155</v>
      </c>
      <c r="D509" s="28" t="s">
        <v>156</v>
      </c>
      <c r="E509" s="28" t="s">
        <v>157</v>
      </c>
      <c r="F509" s="28" t="s">
        <v>158</v>
      </c>
      <c r="G509" s="28" t="s">
        <v>159</v>
      </c>
      <c r="H509" s="28" t="s">
        <v>160</v>
      </c>
      <c r="I509" s="28" t="s">
        <v>161</v>
      </c>
      <c r="J509" s="28" t="s">
        <v>162</v>
      </c>
      <c r="K509" s="28" t="s">
        <v>163</v>
      </c>
      <c r="L509" s="28" t="s">
        <v>164</v>
      </c>
      <c r="M509" s="28" t="s">
        <v>165</v>
      </c>
      <c r="N509" s="28" t="s">
        <v>166</v>
      </c>
      <c r="O509" s="28" t="s">
        <v>167</v>
      </c>
      <c r="P509" s="28" t="s">
        <v>168</v>
      </c>
      <c r="Q509" s="28" t="s">
        <v>169</v>
      </c>
      <c r="R509" s="28" t="s">
        <v>170</v>
      </c>
      <c r="S509" s="28" t="s">
        <v>171</v>
      </c>
      <c r="T509" s="28" t="s">
        <v>172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9787.5</v>
      </c>
      <c r="F510" s="15" t="n">
        <f aca="false">E510*(1+IF(F$3&lt;=$O$2,$D510,$D510-($D510-$I$508)*MIN(F$3-$O$2,$Q$2)/$Q$2))</f>
        <v>12234.375</v>
      </c>
      <c r="G510" s="15" t="n">
        <f aca="false">F510*(1+IF(G$3&lt;=$O$2,$D510,$D510-($D510-$I$508)*MIN(G$3-$O$2,$Q$2)/$Q$2))</f>
        <v>15292.96875</v>
      </c>
      <c r="H510" s="15" t="n">
        <f aca="false">G510*(1+IF(H$3&lt;=$O$2,$D510,$D510-($D510-$I$508)*MIN(H$3-$O$2,$Q$2)/$Q$2))</f>
        <v>19116.2109375</v>
      </c>
      <c r="I510" s="15" t="n">
        <f aca="false">H510*(1+IF(I$3&lt;=$O$2,$D510,$D510-($D510-$I$508)*MIN(I$3-$O$2,$Q$2)/$Q$2))</f>
        <v>23895.263671875</v>
      </c>
      <c r="J510" s="15" t="n">
        <f aca="false">I510*(1+IF(J$3&lt;=$O$2,$D510,$D510-($D510-$I$508)*MIN(J$3-$O$2,$Q$2)/$Q$2))</f>
        <v>28809.5635986328</v>
      </c>
      <c r="K510" s="15" t="n">
        <f aca="false">J510*(1+IF(K$3&lt;=$O$2,$D510,$D510-($D510-$I$508)*MIN(K$3-$O$2,$Q$2)/$Q$2))</f>
        <v>33457.1223983643</v>
      </c>
      <c r="L510" s="15" t="n">
        <f aca="false">K510*(1+IF(L$3&lt;=$O$2,$D510,$D510-($D510-$I$508)*MIN(L$3-$O$2,$Q$2)/$Q$2))</f>
        <v>37370.9365765249</v>
      </c>
      <c r="M510" s="15" t="n">
        <f aca="false">L510*(1+IF(M$3&lt;=$O$2,$D510,$D510-($D510-$I$508)*MIN(M$3-$O$2,$Q$2)/$Q$2))</f>
        <v>40085.5614094437</v>
      </c>
      <c r="N510" s="15" t="n">
        <f aca="false">M510*(1+IF(N$3&lt;=$O$2,$D510,$D510-($D510-$I$508)*MIN(N$3-$O$2,$Q$2)/$Q$2))</f>
        <v>41219.9827973309</v>
      </c>
      <c r="O510" s="15" t="n">
        <f aca="false">SUMPRODUCT(E510:N510,1/(1+$F$508)^$E$3:$N$3)*$E$2</f>
        <v>43485.6068759089</v>
      </c>
      <c r="P510" s="15" t="n">
        <f aca="false">N510*$E$2*(1+$I$508)/($F$508-$I$508)/(1+$F$508)^$N$3</f>
        <v>88939.8658051294</v>
      </c>
      <c r="Q510" s="15" t="n">
        <f aca="false">O510+P510</f>
        <v>132425.472681038</v>
      </c>
      <c r="R510" s="15" t="n">
        <f aca="false">Q510-$G$2+$I$2</f>
        <v>129908.472681038</v>
      </c>
      <c r="S510" s="42" t="n">
        <f aca="false">R510/$K$2</f>
        <v>299.867209918836</v>
      </c>
      <c r="T510" s="43" t="n">
        <f aca="false">S510-$M$2</f>
        <v>194.608911594659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6851.25</v>
      </c>
      <c r="F511" s="15" t="n">
        <f aca="false">E511*(1+IF(F$3&lt;=$O$2,$D511,$D511-($D511-$I$508)*MIN(F$3-$O$2,$Q$2)/$Q$2))</f>
        <v>5994.84375</v>
      </c>
      <c r="G511" s="15" t="n">
        <f aca="false">F511*(1+IF(G$3&lt;=$O$2,$D511,$D511-($D511-$I$508)*MIN(G$3-$O$2,$Q$2)/$Q$2))</f>
        <v>5245.48828125</v>
      </c>
      <c r="H511" s="15" t="n">
        <f aca="false">G511*(1+IF(H$3&lt;=$O$2,$D511,$D511-($D511-$I$508)*MIN(H$3-$O$2,$Q$2)/$Q$2))</f>
        <v>4589.80224609375</v>
      </c>
      <c r="I511" s="15" t="n">
        <f aca="false">H511*(1+IF(I$3&lt;=$O$2,$D511,$D511-($D511-$I$508)*MIN(I$3-$O$2,$Q$2)/$Q$2))</f>
        <v>4016.07696533203</v>
      </c>
      <c r="J511" s="15" t="n">
        <f aca="false">I511*(1+IF(J$3&lt;=$O$2,$D511,$D511-($D511-$I$508)*MIN(J$3-$O$2,$Q$2)/$Q$2))</f>
        <v>3637.20026442261</v>
      </c>
      <c r="K511" s="15" t="n">
        <f aca="false">J511*(1+IF(K$3&lt;=$O$2,$D511,$D511-($D511-$I$508)*MIN(K$3-$O$2,$Q$2)/$Q$2))</f>
        <v>3405.58335158418</v>
      </c>
      <c r="L511" s="15" t="n">
        <f aca="false">K511*(1+IF(L$3&lt;=$O$2,$D511,$D511-($D511-$I$508)*MIN(L$3-$O$2,$Q$2)/$Q$2))</f>
        <v>3293.13098931487</v>
      </c>
      <c r="M511" s="15" t="n">
        <f aca="false">L511*(1+IF(M$3&lt;=$O$2,$D511,$D511-($D511-$I$508)*MIN(M$3-$O$2,$Q$2)/$Q$2))</f>
        <v>3285.35920018008</v>
      </c>
      <c r="N511" s="15" t="n">
        <f aca="false">M511*(1+IF(N$3&lt;=$O$2,$D511,$D511-($D511-$I$508)*MIN(N$3-$O$2,$Q$2)/$Q$2))</f>
        <v>3378.33486554518</v>
      </c>
      <c r="O511" s="15" t="n">
        <f aca="false">SUMPRODUCT(E511:N511,1/(1+$F$508)^$E$3:$N$3)*$E$2</f>
        <v>8597.7500151494</v>
      </c>
      <c r="P511" s="15" t="n">
        <f aca="false">N511*$E$2*(1+$I$508)/($F$508-$I$508)/(1+$F$508)^$N$3</f>
        <v>7289.39289139718</v>
      </c>
      <c r="Q511" s="15" t="n">
        <f aca="false">O511+P511</f>
        <v>15887.1429065466</v>
      </c>
      <c r="R511" s="15" t="n">
        <f aca="false">Q511-$G$2+$I$2</f>
        <v>13370.1429065466</v>
      </c>
      <c r="S511" s="42" t="n">
        <f aca="false">R511/$K$2</f>
        <v>30.8622476029421</v>
      </c>
      <c r="T511" s="43" t="n">
        <f aca="false">S511-$M$2</f>
        <v>-74.396050721235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8319.375</v>
      </c>
      <c r="F512" s="15" t="n">
        <f aca="false">E512*(1+IF(F$3&lt;=$O$2,$D512,$D512-($D512-$I$508)*MIN(F$3-$O$2,$Q$2)/$Q$2))</f>
        <v>8839.3359375</v>
      </c>
      <c r="G512" s="15" t="n">
        <f aca="false">F512*(1+IF(G$3&lt;=$O$2,$D512,$D512-($D512-$I$508)*MIN(G$3-$O$2,$Q$2)/$Q$2))</f>
        <v>9391.79443359375</v>
      </c>
      <c r="H512" s="15" t="n">
        <f aca="false">G512*(1+IF(H$3&lt;=$O$2,$D512,$D512-($D512-$I$508)*MIN(H$3-$O$2,$Q$2)/$Q$2))</f>
        <v>9978.78158569336</v>
      </c>
      <c r="I512" s="15" t="n">
        <f aca="false">H512*(1+IF(I$3&lt;=$O$2,$D512,$D512-($D512-$I$508)*MIN(I$3-$O$2,$Q$2)/$Q$2))</f>
        <v>10602.4554347992</v>
      </c>
      <c r="J512" s="15" t="n">
        <f aca="false">I512*(1+IF(J$3&lt;=$O$2,$D512,$D512-($D512-$I$508)*MIN(J$3-$O$2,$Q$2)/$Q$2))</f>
        <v>11192.5881043001</v>
      </c>
      <c r="K512" s="15" t="n">
        <f aca="false">J512*(1+IF(K$3&lt;=$O$2,$D512,$D512-($D512-$I$508)*MIN(K$3-$O$2,$Q$2)/$Q$2))</f>
        <v>11739.0102555521</v>
      </c>
      <c r="L512" s="15" t="n">
        <f aca="false">K512*(1+IF(L$3&lt;=$O$2,$D512,$D512-($D512-$I$508)*MIN(L$3-$O$2,$Q$2)/$Q$2))</f>
        <v>12231.8139060801</v>
      </c>
      <c r="M512" s="15" t="n">
        <f aca="false">L512*(1+IF(M$3&lt;=$O$2,$D512,$D512-($D512-$I$508)*MIN(M$3-$O$2,$Q$2)/$Q$2))</f>
        <v>12661.6398467398</v>
      </c>
      <c r="N512" s="15" t="n">
        <f aca="false">M512*(1+IF(N$3&lt;=$O$2,$D512,$D512-($D512-$I$508)*MIN(N$3-$O$2,$Q$2)/$Q$2))</f>
        <v>13019.9642544025</v>
      </c>
      <c r="O512" s="15" t="n">
        <f aca="false">SUMPRODUCT(E512:N512,1/(1+$F$508)^$E$3:$N$3)*$E$2</f>
        <v>19300.492193617</v>
      </c>
      <c r="P512" s="15" t="n">
        <f aca="false">N512*$E$2*(1+$I$508)/($F$508-$I$508)/(1+$F$508)^$N$3</f>
        <v>28093.02175762</v>
      </c>
      <c r="Q512" s="15" t="n">
        <f aca="false">O512+P512</f>
        <v>47393.513951237</v>
      </c>
      <c r="R512" s="15" t="n">
        <f aca="false">Q512-$G$2+$I$2</f>
        <v>44876.513951237</v>
      </c>
      <c r="S512" s="42" t="n">
        <f aca="false">R512/$K$2</f>
        <v>103.588278360272</v>
      </c>
      <c r="T512" s="43" t="n">
        <f aca="false">S512-$M$2</f>
        <v>-1.67001996390519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9053.4375</v>
      </c>
      <c r="F513" s="15" t="n">
        <f aca="false">E513*(1+IF(F$3&lt;=$O$2,$D513,$D513-($D513-$I$508)*MIN(F$3-$O$2,$Q$2)/$Q$2))</f>
        <v>10468.037109375</v>
      </c>
      <c r="G513" s="15" t="n">
        <f aca="false">F513*(1+IF(G$3&lt;=$O$2,$D513,$D513-($D513-$I$508)*MIN(G$3-$O$2,$Q$2)/$Q$2))</f>
        <v>12103.6679077148</v>
      </c>
      <c r="H513" s="15" t="n">
        <f aca="false">G513*(1+IF(H$3&lt;=$O$2,$D513,$D513-($D513-$I$508)*MIN(H$3-$O$2,$Q$2)/$Q$2))</f>
        <v>13994.8660182953</v>
      </c>
      <c r="I513" s="15" t="n">
        <f aca="false">H513*(1+IF(I$3&lt;=$O$2,$D513,$D513-($D513-$I$508)*MIN(I$3-$O$2,$Q$2)/$Q$2))</f>
        <v>16181.5638336539</v>
      </c>
      <c r="J513" s="15" t="n">
        <f aca="false">I513*(1+IF(J$3&lt;=$O$2,$D513,$D513-($D513-$I$508)*MIN(J$3-$O$2,$Q$2)/$Q$2))</f>
        <v>18295.8469641591</v>
      </c>
      <c r="K513" s="15" t="n">
        <f aca="false">J513*(1+IF(K$3&lt;=$O$2,$D513,$D513-($D513-$I$508)*MIN(K$3-$O$2,$Q$2)/$Q$2))</f>
        <v>20218.1916046834</v>
      </c>
      <c r="L513" s="15" t="n">
        <f aca="false">K513*(1+IF(L$3&lt;=$O$2,$D513,$D513-($D513-$I$508)*MIN(L$3-$O$2,$Q$2)/$Q$2))</f>
        <v>21825.1334734236</v>
      </c>
      <c r="M513" s="15" t="n">
        <f aca="false">L513*(1+IF(M$3&lt;=$O$2,$D513,$D513-($D513-$I$508)*MIN(M$3-$O$2,$Q$2)/$Q$2))</f>
        <v>23001.2899163064</v>
      </c>
      <c r="N513" s="15" t="n">
        <f aca="false">M513*(1+IF(N$3&lt;=$O$2,$D513,$D513-($D513-$I$508)*MIN(N$3-$O$2,$Q$2)/$Q$2))</f>
        <v>23652.2264209378</v>
      </c>
      <c r="O513" s="15" t="n">
        <f aca="false">SUMPRODUCT(E513:N513,1/(1+$F$508)^$E$3:$N$3)*$E$2</f>
        <v>29023.5590341613</v>
      </c>
      <c r="P513" s="15" t="n">
        <f aca="false">N513*$E$2*(1+$I$508)/($F$508-$I$508)/(1+$F$508)^$N$3</f>
        <v>51034.1271662772</v>
      </c>
      <c r="Q513" s="15" t="n">
        <f aca="false">O513+P513</f>
        <v>80057.6862004385</v>
      </c>
      <c r="R513" s="15" t="n">
        <f aca="false">Q513-$G$2+$I$2</f>
        <v>77540.6862004385</v>
      </c>
      <c r="S513" s="42" t="n">
        <f aca="false">R513/$K$2</f>
        <v>178.986857025157</v>
      </c>
      <c r="T513" s="43" t="n">
        <f aca="false">S513-$M$2</f>
        <v>73.7285587009799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8686.40625</v>
      </c>
      <c r="F514" s="15" t="n">
        <f aca="false">E514*(1+IF(F$3&lt;=$O$2,$D514,$D514-($D514-$I$508)*MIN(F$3-$O$2,$Q$2)/$Q$2))</f>
        <v>9636.48193359375</v>
      </c>
      <c r="G514" s="15" t="n">
        <f aca="false">F514*(1+IF(G$3&lt;=$O$2,$D514,$D514-($D514-$I$508)*MIN(G$3-$O$2,$Q$2)/$Q$2))</f>
        <v>10690.4721450806</v>
      </c>
      <c r="H514" s="15" t="n">
        <f aca="false">G514*(1+IF(H$3&lt;=$O$2,$D514,$D514-($D514-$I$508)*MIN(H$3-$O$2,$Q$2)/$Q$2))</f>
        <v>11859.7425359488</v>
      </c>
      <c r="I514" s="15" t="n">
        <f aca="false">H514*(1+IF(I$3&lt;=$O$2,$D514,$D514-($D514-$I$508)*MIN(I$3-$O$2,$Q$2)/$Q$2))</f>
        <v>13156.9018758181</v>
      </c>
      <c r="J514" s="15" t="n">
        <f aca="false">I514*(1+IF(J$3&lt;=$O$2,$D514,$D514-($D514-$I$508)*MIN(J$3-$O$2,$Q$2)/$Q$2))</f>
        <v>14382.5988545694</v>
      </c>
      <c r="K514" s="15" t="n">
        <f aca="false">J514*(1+IF(K$3&lt;=$O$2,$D514,$D514-($D514-$I$508)*MIN(K$3-$O$2,$Q$2)/$Q$2))</f>
        <v>15489.2679234342</v>
      </c>
      <c r="L514" s="15" t="n">
        <f aca="false">K514*(1+IF(L$3&lt;=$O$2,$D514,$D514-($D514-$I$508)*MIN(L$3-$O$2,$Q$2)/$Q$2))</f>
        <v>16429.9311644244</v>
      </c>
      <c r="M514" s="15" t="n">
        <f aca="false">L514*(1+IF(M$3&lt;=$O$2,$D514,$D514-($D514-$I$508)*MIN(M$3-$O$2,$Q$2)/$Q$2))</f>
        <v>17161.3095502087</v>
      </c>
      <c r="N514" s="15" t="n">
        <f aca="false">M514*(1+IF(N$3&lt;=$O$2,$D514,$D514-($D514-$I$508)*MIN(N$3-$O$2,$Q$2)/$Q$2))</f>
        <v>17646.9746104796</v>
      </c>
      <c r="O514" s="15" t="n">
        <f aca="false">SUMPRODUCT(E514:N514,1/(1+$F$508)^$E$3:$N$3)*$E$2</f>
        <v>23672.7296001541</v>
      </c>
      <c r="P514" s="15" t="n">
        <f aca="false">N514*$E$2*(1+$I$508)/($F$508-$I$508)/(1+$F$508)^$N$3</f>
        <v>38076.6668787696</v>
      </c>
      <c r="Q514" s="15" t="n">
        <f aca="false">O514+P514</f>
        <v>61749.3964789237</v>
      </c>
      <c r="R514" s="15" t="n">
        <f aca="false">Q514-$G$2+$I$2</f>
        <v>59232.3964789237</v>
      </c>
      <c r="S514" s="42" t="n">
        <f aca="false">R514/$K$2</f>
        <v>136.725904803388</v>
      </c>
      <c r="T514" s="43" t="n">
        <f aca="false">S514-$M$2</f>
        <v>31.4676064792106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41" t="n">
        <f aca="false">(B515+C515)/2</f>
        <v>0.0859375</v>
      </c>
      <c r="E515" s="15" t="n">
        <f aca="false">$C$2*(1+IF(E$3&lt;=$O$2,$D515,$D515-($D515-$I$508)*MIN(E$3-$O$2,$Q$2)/$Q$2))</f>
        <v>8502.890625</v>
      </c>
      <c r="F515" s="15" t="n">
        <f aca="false">E515*(1+IF(F$3&lt;=$O$2,$D515,$D515-($D515-$I$508)*MIN(F$3-$O$2,$Q$2)/$Q$2))</f>
        <v>9233.60778808594</v>
      </c>
      <c r="G515" s="15" t="n">
        <f aca="false">F515*(1+IF(G$3&lt;=$O$2,$D515,$D515-($D515-$I$508)*MIN(G$3-$O$2,$Q$2)/$Q$2))</f>
        <v>10027.1209573746</v>
      </c>
      <c r="H515" s="15" t="n">
        <f aca="false">G515*(1+IF(H$3&lt;=$O$2,$D515,$D515-($D515-$I$508)*MIN(H$3-$O$2,$Q$2)/$Q$2))</f>
        <v>10888.826664649</v>
      </c>
      <c r="I515" s="15" t="n">
        <f aca="false">H515*(1+IF(I$3&lt;=$O$2,$D515,$D515-($D515-$I$508)*MIN(I$3-$O$2,$Q$2)/$Q$2))</f>
        <v>11824.5852061422</v>
      </c>
      <c r="J515" s="15" t="n">
        <f aca="false">I515*(1+IF(J$3&lt;=$O$2,$D515,$D515-($D515-$I$508)*MIN(J$3-$O$2,$Q$2)/$Q$2))</f>
        <v>12704.4525913313</v>
      </c>
      <c r="K515" s="15" t="n">
        <f aca="false">J515*(1+IF(K$3&lt;=$O$2,$D515,$D515-($D515-$I$508)*MIN(K$3-$O$2,$Q$2)/$Q$2))</f>
        <v>13503.3403314057</v>
      </c>
      <c r="L515" s="15" t="n">
        <f aca="false">K515*(1+IF(L$3&lt;=$O$2,$D515,$D515-($D515-$I$508)*MIN(L$3-$O$2,$Q$2)/$Q$2))</f>
        <v>14196.804374125</v>
      </c>
      <c r="M515" s="15" t="n">
        <f aca="false">L515*(1+IF(M$3&lt;=$O$2,$D515,$D515-($D515-$I$508)*MIN(M$3-$O$2,$Q$2)/$Q$2))</f>
        <v>14762.2276003355</v>
      </c>
      <c r="N515" s="15" t="n">
        <f aca="false">M515*(1+IF(N$3&lt;=$O$2,$D515,$D515-($D515-$I$508)*MIN(N$3-$O$2,$Q$2)/$Q$2))</f>
        <v>15179.9986414249</v>
      </c>
      <c r="O515" s="15" t="n">
        <f aca="false">SUMPRODUCT(E515:N515,1/(1+$F$508)^$E$3:$N$3)*$E$2</f>
        <v>21375.4508404162</v>
      </c>
      <c r="P515" s="15" t="n">
        <f aca="false">N515*$E$2*(1+$I$508)/($F$508-$I$508)/(1+$F$508)^$N$3</f>
        <v>32753.7022208025</v>
      </c>
      <c r="Q515" s="15" t="n">
        <f aca="false">O515+P515</f>
        <v>54129.1530612187</v>
      </c>
      <c r="R515" s="15" t="n">
        <f aca="false">Q515-$G$2+$I$2</f>
        <v>51612.1530612187</v>
      </c>
      <c r="S515" s="42" t="n">
        <f aca="false">R515/$K$2</f>
        <v>119.136127282255</v>
      </c>
      <c r="T515" s="43" t="n">
        <f aca="false">S515-$M$2</f>
        <v>13.8778289580784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0.0625</v>
      </c>
      <c r="C516" s="25" t="n">
        <f aca="false">IF(T515&gt;0,D515,C515)</f>
        <v>0.0859375</v>
      </c>
      <c r="D516" s="41" t="n">
        <f aca="false">(B516+C516)/2</f>
        <v>0.07421875</v>
      </c>
      <c r="E516" s="15" t="n">
        <f aca="false">$C$2*(1+IF(E$3&lt;=$O$2,$D516,$D516-($D516-$I$508)*MIN(E$3-$O$2,$Q$2)/$Q$2))</f>
        <v>8411.1328125</v>
      </c>
      <c r="F516" s="15" t="n">
        <f aca="false">E516*(1+IF(F$3&lt;=$O$2,$D516,$D516-($D516-$I$508)*MIN(F$3-$O$2,$Q$2)/$Q$2))</f>
        <v>9035.39657592773</v>
      </c>
      <c r="G516" s="15" t="n">
        <f aca="false">F516*(1+IF(G$3&lt;=$O$2,$D516,$D516-($D516-$I$508)*MIN(G$3-$O$2,$Q$2)/$Q$2))</f>
        <v>9705.99241554737</v>
      </c>
      <c r="H516" s="15" t="n">
        <f aca="false">G516*(1+IF(H$3&lt;=$O$2,$D516,$D516-($D516-$I$508)*MIN(H$3-$O$2,$Q$2)/$Q$2))</f>
        <v>10426.3590401388</v>
      </c>
      <c r="I516" s="15" t="n">
        <f aca="false">H516*(1+IF(I$3&lt;=$O$2,$D516,$D516-($D516-$I$508)*MIN(I$3-$O$2,$Q$2)/$Q$2))</f>
        <v>11200.1903751491</v>
      </c>
      <c r="J516" s="15" t="n">
        <f aca="false">I516*(1+IF(J$3&lt;=$O$2,$D516,$D516-($D516-$I$508)*MIN(J$3-$O$2,$Q$2)/$Q$2))</f>
        <v>11928.5947561969</v>
      </c>
      <c r="K516" s="15" t="n">
        <f aca="false">J516*(1+IF(K$3&lt;=$O$2,$D516,$D516-($D516-$I$508)*MIN(K$3-$O$2,$Q$2)/$Q$2))</f>
        <v>12594.8216840739</v>
      </c>
      <c r="L516" s="15" t="n">
        <f aca="false">K516*(1+IF(L$3&lt;=$O$2,$D516,$D516-($D516-$I$508)*MIN(L$3-$O$2,$Q$2)/$Q$2))</f>
        <v>13182.5905250155</v>
      </c>
      <c r="M516" s="15" t="n">
        <f aca="false">L516*(1+IF(M$3&lt;=$O$2,$D516,$D516-($D516-$I$508)*MIN(M$3-$O$2,$Q$2)/$Q$2))</f>
        <v>13676.7234526075</v>
      </c>
      <c r="N516" s="15" t="n">
        <f aca="false">M516*(1+IF(N$3&lt;=$O$2,$D516,$D516-($D516-$I$508)*MIN(N$3-$O$2,$Q$2)/$Q$2))</f>
        <v>14063.7747263163</v>
      </c>
      <c r="O516" s="15" t="n">
        <f aca="false">SUMPRODUCT(E516:N516,1/(1+$F$508)^$E$3:$N$3)*$E$2</f>
        <v>20311.4797933715</v>
      </c>
      <c r="P516" s="15" t="n">
        <f aca="false">N516*$E$2*(1+$I$508)/($F$508-$I$508)/(1+$F$508)^$N$3</f>
        <v>30345.2391773714</v>
      </c>
      <c r="Q516" s="15" t="n">
        <f aca="false">O516+P516</f>
        <v>50656.7189707429</v>
      </c>
      <c r="R516" s="15" t="n">
        <f aca="false">Q516-$G$2+$I$2</f>
        <v>48139.7189707429</v>
      </c>
      <c r="S516" s="42" t="n">
        <f aca="false">R516/$K$2</f>
        <v>111.1207215058</v>
      </c>
      <c r="T516" s="43" t="n">
        <f aca="false">S516-$M$2</f>
        <v>5.86242318162334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0.0625</v>
      </c>
      <c r="C517" s="25" t="n">
        <f aca="false">IF(T516&gt;0,D516,C516)</f>
        <v>0.07421875</v>
      </c>
      <c r="D517" s="41" t="n">
        <f aca="false">(B517+C517)/2</f>
        <v>0.068359375</v>
      </c>
      <c r="E517" s="15" t="n">
        <f aca="false">$C$2*(1+IF(E$3&lt;=$O$2,$D517,$D517-($D517-$I$508)*MIN(E$3-$O$2,$Q$2)/$Q$2))</f>
        <v>8365.25390625</v>
      </c>
      <c r="F517" s="15" t="n">
        <f aca="false">E517*(1+IF(F$3&lt;=$O$2,$D517,$D517-($D517-$I$508)*MIN(F$3-$O$2,$Q$2)/$Q$2))</f>
        <v>8937.09743499756</v>
      </c>
      <c r="G517" s="15" t="n">
        <f aca="false">F517*(1+IF(G$3&lt;=$O$2,$D517,$D517-($D517-$I$508)*MIN(G$3-$O$2,$Q$2)/$Q$2))</f>
        <v>9548.0318299681</v>
      </c>
      <c r="H517" s="15" t="n">
        <f aca="false">G517*(1+IF(H$3&lt;=$O$2,$D517,$D517-($D517-$I$508)*MIN(H$3-$O$2,$Q$2)/$Q$2))</f>
        <v>10200.7293183448</v>
      </c>
      <c r="I517" s="15" t="n">
        <f aca="false">H517*(1+IF(I$3&lt;=$O$2,$D517,$D517-($D517-$I$508)*MIN(I$3-$O$2,$Q$2)/$Q$2))</f>
        <v>10898.044799091</v>
      </c>
      <c r="J517" s="15" t="n">
        <f aca="false">I517*(1+IF(J$3&lt;=$O$2,$D517,$D517-($D517-$I$508)*MIN(J$3-$O$2,$Q$2)/$Q$2))</f>
        <v>11555.7145576042</v>
      </c>
      <c r="K517" s="15" t="n">
        <f aca="false">J517*(1+IF(K$3&lt;=$O$2,$D517,$D517-($D517-$I$508)*MIN(K$3-$O$2,$Q$2)/$Q$2))</f>
        <v>12160.490101298</v>
      </c>
      <c r="L517" s="15" t="n">
        <f aca="false">K517*(1+IF(L$3&lt;=$O$2,$D517,$D517-($D517-$I$508)*MIN(L$3-$O$2,$Q$2)/$Q$2))</f>
        <v>12699.4886244254</v>
      </c>
      <c r="M517" s="15" t="n">
        <f aca="false">L517*(1+IF(M$3&lt;=$O$2,$D517,$D517-($D517-$I$508)*MIN(M$3-$O$2,$Q$2)/$Q$2))</f>
        <v>13160.6308679195</v>
      </c>
      <c r="N517" s="15" t="n">
        <f aca="false">M517*(1+IF(N$3&lt;=$O$2,$D517,$D517-($D517-$I$508)*MIN(N$3-$O$2,$Q$2)/$Q$2))</f>
        <v>13533.0767214816</v>
      </c>
      <c r="O517" s="15" t="n">
        <f aca="false">SUMPRODUCT(E517:N517,1/(1+$F$508)^$E$3:$N$3)*$E$2</f>
        <v>19799.5195755472</v>
      </c>
      <c r="P517" s="15" t="n">
        <f aca="false">N517*$E$2*(1+$I$508)/($F$508-$I$508)/(1+$F$508)^$N$3</f>
        <v>29200.1584148412</v>
      </c>
      <c r="Q517" s="15" t="n">
        <f aca="false">O517+P517</f>
        <v>48999.6779903884</v>
      </c>
      <c r="R517" s="15" t="n">
        <f aca="false">Q517-$G$2+$I$2</f>
        <v>46482.6779903884</v>
      </c>
      <c r="S517" s="42" t="n">
        <f aca="false">R517/$K$2</f>
        <v>107.295780412696</v>
      </c>
      <c r="T517" s="43" t="n">
        <f aca="false">S517-$M$2</f>
        <v>2.03748208851938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0.0625</v>
      </c>
      <c r="C518" s="25" t="n">
        <f aca="false">IF(T517&gt;0,D517,C517)</f>
        <v>0.068359375</v>
      </c>
      <c r="D518" s="41" t="n">
        <f aca="false">(B518+C518)/2</f>
        <v>0.0654296875</v>
      </c>
      <c r="E518" s="15" t="n">
        <f aca="false">$C$2*(1+IF(E$3&lt;=$O$2,$D518,$D518-($D518-$I$508)*MIN(E$3-$O$2,$Q$2)/$Q$2))</f>
        <v>8342.314453125</v>
      </c>
      <c r="F518" s="15" t="n">
        <f aca="false">E518*(1+IF(F$3&lt;=$O$2,$D518,$D518-($D518-$I$508)*MIN(F$3-$O$2,$Q$2)/$Q$2))</f>
        <v>8888.1494808197</v>
      </c>
      <c r="G518" s="15" t="n">
        <f aca="false">F518*(1+IF(G$3&lt;=$O$2,$D518,$D518-($D518-$I$508)*MIN(G$3-$O$2,$Q$2)/$Q$2))</f>
        <v>9469.69832380302</v>
      </c>
      <c r="H518" s="15" t="n">
        <f aca="false">G518*(1+IF(H$3&lt;=$O$2,$D518,$D518-($D518-$I$508)*MIN(H$3-$O$2,$Q$2)/$Q$2))</f>
        <v>10089.2977258487</v>
      </c>
      <c r="I518" s="15" t="n">
        <f aca="false">H518*(1+IF(I$3&lt;=$O$2,$D518,$D518-($D518-$I$508)*MIN(I$3-$O$2,$Q$2)/$Q$2))</f>
        <v>10749.4373231455</v>
      </c>
      <c r="J518" s="15" t="n">
        <f aca="false">I518*(1+IF(J$3&lt;=$O$2,$D518,$D518-($D518-$I$508)*MIN(J$3-$O$2,$Q$2)/$Q$2))</f>
        <v>11372.9449982779</v>
      </c>
      <c r="K518" s="15" t="n">
        <f aca="false">J518*(1+IF(K$3&lt;=$O$2,$D518,$D518-($D518-$I$508)*MIN(K$3-$O$2,$Q$2)/$Q$2))</f>
        <v>11948.1636779736</v>
      </c>
      <c r="L518" s="15" t="n">
        <f aca="false">K518*(1+IF(L$3&lt;=$O$2,$D518,$D518-($D518-$I$508)*MIN(L$3-$O$2,$Q$2)/$Q$2))</f>
        <v>12463.749343485</v>
      </c>
      <c r="M518" s="15" t="n">
        <f aca="false">L518*(1+IF(M$3&lt;=$O$2,$D518,$D518-($D518-$I$508)*MIN(M$3-$O$2,$Q$2)/$Q$2))</f>
        <v>12909.028473546</v>
      </c>
      <c r="N518" s="15" t="n">
        <f aca="false">M518*(1+IF(N$3&lt;=$O$2,$D518,$D518-($D518-$I$508)*MIN(N$3-$O$2,$Q$2)/$Q$2))</f>
        <v>13274.3539793474</v>
      </c>
      <c r="O518" s="15" t="n">
        <f aca="false">SUMPRODUCT(E518:N518,1/(1+$F$508)^$E$3:$N$3)*$E$2</f>
        <v>19548.4084924971</v>
      </c>
      <c r="P518" s="15" t="n">
        <f aca="false">N518*$E$2*(1+$I$508)/($F$508-$I$508)/(1+$F$508)^$N$3</f>
        <v>28641.9154364468</v>
      </c>
      <c r="Q518" s="15" t="n">
        <f aca="false">O518+P518</f>
        <v>48190.3239289438</v>
      </c>
      <c r="R518" s="15" t="n">
        <f aca="false">Q518-$G$2+$I$2</f>
        <v>45673.3239289438</v>
      </c>
      <c r="S518" s="42" t="n">
        <f aca="false">R518/$K$2</f>
        <v>105.427551657227</v>
      </c>
      <c r="T518" s="43" t="n">
        <f aca="false">S518-$M$2</f>
        <v>0.16925333304971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0.0625</v>
      </c>
      <c r="C519" s="25" t="n">
        <f aca="false">IF(T518&gt;0,D518,C518)</f>
        <v>0.0654296875</v>
      </c>
      <c r="D519" s="41" t="n">
        <f aca="false">(B519+C519)/2</f>
        <v>0.06396484375</v>
      </c>
      <c r="E519" s="15" t="n">
        <f aca="false">$C$2*(1+IF(E$3&lt;=$O$2,$D519,$D519-($D519-$I$508)*MIN(E$3-$O$2,$Q$2)/$Q$2))</f>
        <v>8330.8447265625</v>
      </c>
      <c r="F519" s="15" t="n">
        <f aca="false">E519*(1+IF(F$3&lt;=$O$2,$D519,$D519-($D519-$I$508)*MIN(F$3-$O$2,$Q$2)/$Q$2))</f>
        <v>8863.72590780258</v>
      </c>
      <c r="G519" s="15" t="n">
        <f aca="false">F519*(1+IF(G$3&lt;=$O$2,$D519,$D519-($D519-$I$508)*MIN(G$3-$O$2,$Q$2)/$Q$2))</f>
        <v>9430.692750538</v>
      </c>
      <c r="H519" s="15" t="n">
        <f aca="false">G519*(1+IF(H$3&lt;=$O$2,$D519,$D519-($D519-$I$508)*MIN(H$3-$O$2,$Q$2)/$Q$2))</f>
        <v>10033.9255387804</v>
      </c>
      <c r="I519" s="15" t="n">
        <f aca="false">H519*(1+IF(I$3&lt;=$O$2,$D519,$D519-($D519-$I$508)*MIN(I$3-$O$2,$Q$2)/$Q$2))</f>
        <v>10675.7440180676</v>
      </c>
      <c r="J519" s="15" t="n">
        <f aca="false">I519*(1+IF(J$3&lt;=$O$2,$D519,$D519-($D519-$I$508)*MIN(J$3-$O$2,$Q$2)/$Q$2))</f>
        <v>11282.4665676345</v>
      </c>
      <c r="K519" s="15" t="n">
        <f aca="false">J519*(1+IF(K$3&lt;=$O$2,$D519,$D519-($D519-$I$508)*MIN(K$3-$O$2,$Q$2)/$Q$2))</f>
        <v>11843.1928158481</v>
      </c>
      <c r="L519" s="15" t="n">
        <f aca="false">K519*(1+IF(L$3&lt;=$O$2,$D519,$D519-($D519-$I$508)*MIN(L$3-$O$2,$Q$2)/$Q$2))</f>
        <v>12347.3094210479</v>
      </c>
      <c r="M519" s="15" t="n">
        <f aca="false">L519*(1+IF(M$3&lt;=$O$2,$D519,$D519-($D519-$I$508)*MIN(M$3-$O$2,$Q$2)/$Q$2))</f>
        <v>12784.8112499105</v>
      </c>
      <c r="N519" s="15" t="n">
        <f aca="false">M519*(1+IF(N$3&lt;=$O$2,$D519,$D519-($D519-$I$508)*MIN(N$3-$O$2,$Q$2)/$Q$2))</f>
        <v>13146.621408283</v>
      </c>
      <c r="O519" s="15" t="n">
        <f aca="false">SUMPRODUCT(E519:N519,1/(1+$F$508)^$E$3:$N$3)*$E$2</f>
        <v>19424.0533748836</v>
      </c>
      <c r="P519" s="15" t="n">
        <f aca="false">N519*$E$2*(1+$I$508)/($F$508-$I$508)/(1+$F$508)^$N$3</f>
        <v>28366.3083896105</v>
      </c>
      <c r="Q519" s="15" t="n">
        <f aca="false">O519+P519</f>
        <v>47790.361764494</v>
      </c>
      <c r="R519" s="15" t="n">
        <f aca="false">Q519-$G$2+$I$2</f>
        <v>45273.361764494</v>
      </c>
      <c r="S519" s="42" t="n">
        <f aca="false">R519/$K$2</f>
        <v>104.504320586524</v>
      </c>
      <c r="T519" s="43" t="n">
        <f aca="false">S519-$M$2</f>
        <v>-0.753977737652875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0.06396484375</v>
      </c>
      <c r="C520" s="25" t="n">
        <f aca="false">IF(T519&gt;0,D519,C519)</f>
        <v>0.0654296875</v>
      </c>
      <c r="D520" s="41" t="n">
        <f aca="false">(B520+C520)/2</f>
        <v>0.064697265625</v>
      </c>
      <c r="E520" s="15" t="n">
        <f aca="false">$C$2*(1+IF(E$3&lt;=$O$2,$D520,$D520-($D520-$I$508)*MIN(E$3-$O$2,$Q$2)/$Q$2))</f>
        <v>8336.57958984375</v>
      </c>
      <c r="F520" s="15" t="n">
        <f aca="false">E520*(1+IF(F$3&lt;=$O$2,$D520,$D520-($D520-$I$508)*MIN(F$3-$O$2,$Q$2)/$Q$2))</f>
        <v>8875.93349397183</v>
      </c>
      <c r="G520" s="15" t="n">
        <f aca="false">F520*(1+IF(G$3&lt;=$O$2,$D520,$D520-($D520-$I$508)*MIN(G$3-$O$2,$Q$2)/$Q$2))</f>
        <v>9450.18212090115</v>
      </c>
      <c r="H520" s="15" t="n">
        <f aca="false">G520*(1+IF(H$3&lt;=$O$2,$D520,$D520-($D520-$I$508)*MIN(H$3-$O$2,$Q$2)/$Q$2))</f>
        <v>10061.5830637817</v>
      </c>
      <c r="I520" s="15" t="n">
        <f aca="false">H520*(1+IF(I$3&lt;=$O$2,$D520,$D520-($D520-$I$508)*MIN(I$3-$O$2,$Q$2)/$Q$2))</f>
        <v>10712.5399758672</v>
      </c>
      <c r="J520" s="15" t="n">
        <f aca="false">I520*(1+IF(J$3&lt;=$O$2,$D520,$D520-($D520-$I$508)*MIN(J$3-$O$2,$Q$2)/$Q$2))</f>
        <v>11327.6305876003</v>
      </c>
      <c r="K520" s="15" t="n">
        <f aca="false">J520*(1+IF(K$3&lt;=$O$2,$D520,$D520-($D520-$I$508)*MIN(K$3-$O$2,$Q$2)/$Q$2))</f>
        <v>11895.5794008687</v>
      </c>
      <c r="L520" s="15" t="n">
        <f aca="false">K520*(1+IF(L$3&lt;=$O$2,$D520,$D520-($D520-$I$508)*MIN(L$3-$O$2,$Q$2)/$Q$2))</f>
        <v>12405.4109231999</v>
      </c>
      <c r="M520" s="15" t="n">
        <f aca="false">L520*(1+IF(M$3&lt;=$O$2,$D520,$D520-($D520-$I$508)*MIN(M$3-$O$2,$Q$2)/$Q$2))</f>
        <v>12846.7886596383</v>
      </c>
      <c r="N520" s="15" t="n">
        <f aca="false">M520*(1+IF(N$3&lt;=$O$2,$D520,$D520-($D520-$I$508)*MIN(N$3-$O$2,$Q$2)/$Q$2))</f>
        <v>13210.352778706</v>
      </c>
      <c r="O520" s="15" t="n">
        <f aca="false">SUMPRODUCT(E520:N520,1/(1+$F$508)^$E$3:$N$3)*$E$2</f>
        <v>19486.1313951295</v>
      </c>
      <c r="P520" s="15" t="n">
        <f aca="false">N520*$E$2*(1+$I$508)/($F$508-$I$508)/(1+$F$508)^$N$3</f>
        <v>28503.8208083049</v>
      </c>
      <c r="Q520" s="15" t="n">
        <f aca="false">O520+P520</f>
        <v>47989.9522034344</v>
      </c>
      <c r="R520" s="15" t="n">
        <f aca="false">Q520-$G$2+$I$2</f>
        <v>45472.9522034344</v>
      </c>
      <c r="S520" s="42" t="n">
        <f aca="false">R520/$K$2</f>
        <v>104.965034401538</v>
      </c>
      <c r="T520" s="43" t="n">
        <f aca="false">S520-$M$2</f>
        <v>-0.293263922638943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0.064697265625</v>
      </c>
      <c r="C521" s="25" t="n">
        <f aca="false">IF(T520&gt;0,D520,C520)</f>
        <v>0.0654296875</v>
      </c>
      <c r="D521" s="41" t="n">
        <f aca="false">(B521+C521)/2</f>
        <v>0.0650634765625</v>
      </c>
      <c r="E521" s="15" t="n">
        <f aca="false">$C$2*(1+IF(E$3&lt;=$O$2,$D521,$D521-($D521-$I$508)*MIN(E$3-$O$2,$Q$2)/$Q$2))</f>
        <v>8339.44702148438</v>
      </c>
      <c r="F521" s="15" t="n">
        <f aca="false">E521*(1+IF(F$3&lt;=$O$2,$D521,$D521-($D521-$I$508)*MIN(F$3-$O$2,$Q$2)/$Q$2))</f>
        <v>8882.04043731093</v>
      </c>
      <c r="G521" s="15" t="n">
        <f aca="false">F521*(1+IF(G$3&lt;=$O$2,$D521,$D521-($D521-$I$508)*MIN(G$3-$O$2,$Q$2)/$Q$2))</f>
        <v>9459.93686713109</v>
      </c>
      <c r="H521" s="15" t="n">
        <f aca="false">G521*(1+IF(H$3&lt;=$O$2,$D521,$D521-($D521-$I$508)*MIN(H$3-$O$2,$Q$2)/$Q$2))</f>
        <v>10075.4332477684</v>
      </c>
      <c r="I521" s="15" t="n">
        <f aca="false">H521*(1+IF(I$3&lt;=$O$2,$D521,$D521-($D521-$I$508)*MIN(I$3-$O$2,$Q$2)/$Q$2))</f>
        <v>10730.9759627416</v>
      </c>
      <c r="J521" s="15" t="n">
        <f aca="false">I521*(1+IF(J$3&lt;=$O$2,$D521,$D521-($D521-$I$508)*MIN(J$3-$O$2,$Q$2)/$Q$2))</f>
        <v>11350.2689691264</v>
      </c>
      <c r="K521" s="15" t="n">
        <f aca="false">J521*(1+IF(K$3&lt;=$O$2,$D521,$D521-($D521-$I$508)*MIN(K$3-$O$2,$Q$2)/$Q$2))</f>
        <v>11921.8467892874</v>
      </c>
      <c r="L521" s="15" t="n">
        <f aca="false">K521*(1+IF(L$3&lt;=$O$2,$D521,$D521-($D521-$I$508)*MIN(L$3-$O$2,$Q$2)/$Q$2))</f>
        <v>12434.5504674321</v>
      </c>
      <c r="M521" s="15" t="n">
        <f aca="false">L521*(1+IF(M$3&lt;=$O$2,$D521,$D521-($D521-$I$508)*MIN(M$3-$O$2,$Q$2)/$Q$2))</f>
        <v>12877.8757065954</v>
      </c>
      <c r="N521" s="15" t="n">
        <f aca="false">M521*(1+IF(N$3&lt;=$O$2,$D521,$D521-($D521-$I$508)*MIN(N$3-$O$2,$Q$2)/$Q$2))</f>
        <v>13242.319589092</v>
      </c>
      <c r="O521" s="15" t="n">
        <f aca="false">SUMPRODUCT(E521:N521,1/(1+$F$508)^$E$3:$N$3)*$E$2</f>
        <v>19517.2450220242</v>
      </c>
      <c r="P521" s="15" t="n">
        <f aca="false">N521*$E$2*(1+$I$508)/($F$508-$I$508)/(1+$F$508)^$N$3</f>
        <v>28572.7952142363</v>
      </c>
      <c r="Q521" s="15" t="n">
        <f aca="false">O521+P521</f>
        <v>48090.0402362605</v>
      </c>
      <c r="R521" s="15" t="n">
        <f aca="false">Q521-$G$2+$I$2</f>
        <v>45573.0402362605</v>
      </c>
      <c r="S521" s="42" t="n">
        <f aca="false">R521/$K$2</f>
        <v>105.196067208948</v>
      </c>
      <c r="T521" s="43" t="n">
        <f aca="false">S521-$M$2</f>
        <v>-0.0622311152289257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0.0650634765625</v>
      </c>
      <c r="C522" s="25" t="n">
        <f aca="false">IF(T521&gt;0,D521,C521)</f>
        <v>0.0654296875</v>
      </c>
      <c r="D522" s="41" t="n">
        <f aca="false">(B522+C522)/2</f>
        <v>0.06524658203125</v>
      </c>
      <c r="E522" s="15" t="n">
        <f aca="false">$C$2*(1+IF(E$3&lt;=$O$2,$D522,$D522-($D522-$I$508)*MIN(E$3-$O$2,$Q$2)/$Q$2))</f>
        <v>8340.88073730469</v>
      </c>
      <c r="F522" s="15" t="n">
        <f aca="false">E522*(1+IF(F$3&lt;=$O$2,$D522,$D522-($D522-$I$508)*MIN(F$3-$O$2,$Q$2)/$Q$2))</f>
        <v>8885.09469654411</v>
      </c>
      <c r="G522" s="15" t="n">
        <f aca="false">F522*(1+IF(G$3&lt;=$O$2,$D522,$D522-($D522-$I$508)*MIN(G$3-$O$2,$Q$2)/$Q$2))</f>
        <v>9464.8167565176</v>
      </c>
      <c r="H522" s="15" t="n">
        <f aca="false">G522*(1+IF(H$3&lt;=$O$2,$D522,$D522-($D522-$I$508)*MIN(H$3-$O$2,$Q$2)/$Q$2))</f>
        <v>10082.3636994325</v>
      </c>
      <c r="I522" s="15" t="n">
        <f aca="false">H522*(1+IF(I$3&lt;=$O$2,$D522,$D522-($D522-$I$508)*MIN(I$3-$O$2,$Q$2)/$Q$2))</f>
        <v>10740.2034696164</v>
      </c>
      <c r="J522" s="15" t="n">
        <f aca="false">I522*(1+IF(J$3&lt;=$O$2,$D522,$D522-($D522-$I$508)*MIN(J$3-$O$2,$Q$2)/$Q$2))</f>
        <v>11361.6022746245</v>
      </c>
      <c r="K522" s="15" t="n">
        <f aca="false">J522*(1+IF(K$3&lt;=$O$2,$D522,$D522-($D522-$I$508)*MIN(K$3-$O$2,$Q$2)/$Q$2))</f>
        <v>11934.9990412639</v>
      </c>
      <c r="L522" s="15" t="n">
        <f aca="false">K522*(1+IF(L$3&lt;=$O$2,$D522,$D522-($D522-$I$508)*MIN(L$3-$O$2,$Q$2)/$Q$2))</f>
        <v>12449.1424825801</v>
      </c>
      <c r="M522" s="15" t="n">
        <f aca="false">L522*(1+IF(M$3&lt;=$O$2,$D522,$D522-($D522-$I$508)*MIN(M$3-$O$2,$Q$2)/$Q$2))</f>
        <v>12893.4438676274</v>
      </c>
      <c r="N522" s="15" t="n">
        <f aca="false">M522*(1+IF(N$3&lt;=$O$2,$D522,$D522-($D522-$I$508)*MIN(N$3-$O$2,$Q$2)/$Q$2))</f>
        <v>13258.3283290812</v>
      </c>
      <c r="O522" s="15" t="n">
        <f aca="false">SUMPRODUCT(E522:N522,1/(1+$F$508)^$E$3:$N$3)*$E$2</f>
        <v>19532.8205221645</v>
      </c>
      <c r="P522" s="15" t="n">
        <f aca="false">N522*$E$2*(1+$I$508)/($F$508-$I$508)/(1+$F$508)^$N$3</f>
        <v>28607.3370817899</v>
      </c>
      <c r="Q522" s="15" t="n">
        <f aca="false">O522+P522</f>
        <v>48140.1576039544</v>
      </c>
      <c r="R522" s="15" t="n">
        <f aca="false">Q522-$G$2+$I$2</f>
        <v>45623.1576039544</v>
      </c>
      <c r="S522" s="42" t="n">
        <f aca="false">R522/$K$2</f>
        <v>105.311752929122</v>
      </c>
      <c r="T522" s="43" t="n">
        <f aca="false">S522-$M$2</f>
        <v>0.0534546049453155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0.0650634765625</v>
      </c>
      <c r="C523" s="25" t="n">
        <f aca="false">IF(T522&gt;0,D522,C522)</f>
        <v>0.06524658203125</v>
      </c>
      <c r="D523" s="41" t="n">
        <f aca="false">(B523+C523)/2</f>
        <v>0.065155029296875</v>
      </c>
      <c r="E523" s="15" t="n">
        <f aca="false">$C$2*(1+IF(E$3&lt;=$O$2,$D523,$D523-($D523-$I$508)*MIN(E$3-$O$2,$Q$2)/$Q$2))</f>
        <v>8340.16387939453</v>
      </c>
      <c r="F523" s="15" t="n">
        <f aca="false">E523*(1+IF(F$3&lt;=$O$2,$D523,$D523-($D523-$I$508)*MIN(F$3-$O$2,$Q$2)/$Q$2))</f>
        <v>8883.56750129722</v>
      </c>
      <c r="G523" s="15" t="n">
        <f aca="false">F523*(1+IF(G$3&lt;=$O$2,$D523,$D523-($D523-$I$508)*MIN(G$3-$O$2,$Q$2)/$Q$2))</f>
        <v>9462.37660210501</v>
      </c>
      <c r="H523" s="15" t="n">
        <f aca="false">G523*(1+IF(H$3&lt;=$O$2,$D523,$D523-($D523-$I$508)*MIN(H$3-$O$2,$Q$2)/$Q$2))</f>
        <v>10078.8980268332</v>
      </c>
      <c r="I523" s="15" t="n">
        <f aca="false">H523*(1+IF(I$3&lt;=$O$2,$D523,$D523-($D523-$I$508)*MIN(I$3-$O$2,$Q$2)/$Q$2))</f>
        <v>10735.5889230518</v>
      </c>
      <c r="J523" s="15" t="n">
        <f aca="false">I523*(1+IF(J$3&lt;=$O$2,$D523,$D523-($D523-$I$508)*MIN(J$3-$O$2,$Q$2)/$Q$2))</f>
        <v>11355.9344449967</v>
      </c>
      <c r="K523" s="15" t="n">
        <f aca="false">J523*(1+IF(K$3&lt;=$O$2,$D523,$D523-($D523-$I$508)*MIN(K$3-$O$2,$Q$2)/$Q$2))</f>
        <v>11928.4213677884</v>
      </c>
      <c r="L523" s="15" t="n">
        <f aca="false">K523*(1+IF(L$3&lt;=$O$2,$D523,$D523-($D523-$I$508)*MIN(L$3-$O$2,$Q$2)/$Q$2))</f>
        <v>12441.8446200869</v>
      </c>
      <c r="M523" s="15" t="n">
        <f aca="false">L523*(1+IF(M$3&lt;=$O$2,$D523,$D523-($D523-$I$508)*MIN(M$3-$O$2,$Q$2)/$Q$2))</f>
        <v>12885.6577324315</v>
      </c>
      <c r="N523" s="15" t="n">
        <f aca="false">M523*(1+IF(N$3&lt;=$O$2,$D523,$D523-($D523-$I$508)*MIN(N$3-$O$2,$Q$2)/$Q$2))</f>
        <v>13250.3218462593</v>
      </c>
      <c r="O523" s="15" t="n">
        <f aca="false">SUMPRODUCT(E523:N523,1/(1+$F$508)^$E$3:$N$3)*$E$2</f>
        <v>19525.0312139017</v>
      </c>
      <c r="P523" s="15" t="n">
        <f aca="false">N523*$E$2*(1+$I$508)/($F$508-$I$508)/(1+$F$508)^$N$3</f>
        <v>28590.0615891908</v>
      </c>
      <c r="Q523" s="15" t="n">
        <f aca="false">O523+P523</f>
        <v>48115.0928030925</v>
      </c>
      <c r="R523" s="15" t="n">
        <f aca="false">Q523-$G$2+$I$2</f>
        <v>45598.0928030925</v>
      </c>
      <c r="S523" s="42" t="n">
        <f aca="false">R523/$K$2</f>
        <v>105.253895949154</v>
      </c>
      <c r="T523" s="43" t="n">
        <f aca="false">S523-$M$2</f>
        <v>-0.0044023750232185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0.065155029296875</v>
      </c>
      <c r="C524" s="25" t="n">
        <f aca="false">IF(T523&gt;0,D523,C523)</f>
        <v>0.06524658203125</v>
      </c>
      <c r="D524" s="41" t="n">
        <f aca="false">(B524+C524)/2</f>
        <v>0.0652008056640625</v>
      </c>
      <c r="E524" s="15" t="n">
        <f aca="false">$C$2*(1+IF(E$3&lt;=$O$2,$D524,$D524-($D524-$I$508)*MIN(E$3-$O$2,$Q$2)/$Q$2))</f>
        <v>8340.52230834961</v>
      </c>
      <c r="F524" s="15" t="n">
        <f aca="false">E524*(1+IF(F$3&lt;=$O$2,$D524,$D524-($D524-$I$508)*MIN(F$3-$O$2,$Q$2)/$Q$2))</f>
        <v>8884.33108251309</v>
      </c>
      <c r="G524" s="15" t="n">
        <f aca="false">F524*(1+IF(G$3&lt;=$O$2,$D524,$D524-($D524-$I$508)*MIN(G$3-$O$2,$Q$2)/$Q$2))</f>
        <v>9463.59662687922</v>
      </c>
      <c r="H524" s="15" t="n">
        <f aca="false">G524*(1+IF(H$3&lt;=$O$2,$D524,$D524-($D524-$I$508)*MIN(H$3-$O$2,$Q$2)/$Q$2))</f>
        <v>10080.6307514314</v>
      </c>
      <c r="I524" s="15" t="n">
        <f aca="false">H524*(1+IF(I$3&lt;=$O$2,$D524,$D524-($D524-$I$508)*MIN(I$3-$O$2,$Q$2)/$Q$2))</f>
        <v>10737.8959980267</v>
      </c>
      <c r="J524" s="15" t="n">
        <f aca="false">I524*(1+IF(J$3&lt;=$O$2,$D524,$D524-($D524-$I$508)*MIN(J$3-$O$2,$Q$2)/$Q$2))</f>
        <v>11358.7680655421</v>
      </c>
      <c r="K524" s="15" t="n">
        <f aca="false">J524*(1+IF(K$3&lt;=$O$2,$D524,$D524-($D524-$I$508)*MIN(K$3-$O$2,$Q$2)/$Q$2))</f>
        <v>11931.7098175788</v>
      </c>
      <c r="L524" s="15" t="n">
        <f aca="false">K524*(1+IF(L$3&lt;=$O$2,$D524,$D524-($D524-$I$508)*MIN(L$3-$O$2,$Q$2)/$Q$2))</f>
        <v>12445.4930875037</v>
      </c>
      <c r="M524" s="15" t="n">
        <f aca="false">L524*(1+IF(M$3&lt;=$O$2,$D524,$D524-($D524-$I$508)*MIN(M$3-$O$2,$Q$2)/$Q$2))</f>
        <v>12889.5502862431</v>
      </c>
      <c r="N524" s="15" t="n">
        <f aca="false">M524*(1+IF(N$3&lt;=$O$2,$D524,$D524-($D524-$I$508)*MIN(N$3-$O$2,$Q$2)/$Q$2))</f>
        <v>13254.3245593438</v>
      </c>
      <c r="O524" s="15" t="n">
        <f aca="false">SUMPRODUCT(E524:N524,1/(1+$F$508)^$E$3:$N$3)*$E$2</f>
        <v>19528.9254784123</v>
      </c>
      <c r="P524" s="15" t="n">
        <f aca="false">N524*$E$2*(1+$I$508)/($F$508-$I$508)/(1+$F$508)^$N$3</f>
        <v>28598.6981955266</v>
      </c>
      <c r="Q524" s="15" t="n">
        <f aca="false">O524+P524</f>
        <v>48127.6236739389</v>
      </c>
      <c r="R524" s="15" t="n">
        <f aca="false">Q524-$G$2+$I$2</f>
        <v>45610.6236739389</v>
      </c>
      <c r="S524" s="42" t="n">
        <f aca="false">R524/$K$2</f>
        <v>105.282820908404</v>
      </c>
      <c r="T524" s="43" t="n">
        <f aca="false">S524-$M$2</f>
        <v>0.0245225842271424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0.065155029296875</v>
      </c>
      <c r="C525" s="25" t="n">
        <f aca="false">IF(T524&gt;0,D524,C524)</f>
        <v>0.0652008056640625</v>
      </c>
      <c r="D525" s="41" t="n">
        <f aca="false">(B525+C525)/2</f>
        <v>0.0651779174804688</v>
      </c>
      <c r="E525" s="15" t="n">
        <f aca="false">$C$2*(1+IF(E$3&lt;=$O$2,$D525,$D525-($D525-$I$508)*MIN(E$3-$O$2,$Q$2)/$Q$2))</f>
        <v>8340.34309387207</v>
      </c>
      <c r="F525" s="15" t="n">
        <f aca="false">E525*(1+IF(F$3&lt;=$O$2,$D525,$D525-($D525-$I$508)*MIN(F$3-$O$2,$Q$2)/$Q$2))</f>
        <v>8883.94928780326</v>
      </c>
      <c r="G525" s="15" t="n">
        <f aca="false">F525*(1+IF(G$3&lt;=$O$2,$D525,$D525-($D525-$I$508)*MIN(G$3-$O$2,$Q$2)/$Q$2))</f>
        <v>9462.98660138437</v>
      </c>
      <c r="H525" s="15" t="n">
        <f aca="false">G525*(1+IF(H$3&lt;=$O$2,$D525,$D525-($D525-$I$508)*MIN(H$3-$O$2,$Q$2)/$Q$2))</f>
        <v>10079.7643612082</v>
      </c>
      <c r="I525" s="15" t="n">
        <f aca="false">H525*(1+IF(I$3&lt;=$O$2,$D525,$D525-($D525-$I$508)*MIN(I$3-$O$2,$Q$2)/$Q$2))</f>
        <v>10736.7424109656</v>
      </c>
      <c r="J525" s="15" t="n">
        <f aca="false">I525*(1+IF(J$3&lt;=$O$2,$D525,$D525-($D525-$I$508)*MIN(J$3-$O$2,$Q$2)/$Q$2))</f>
        <v>11357.3511817084</v>
      </c>
      <c r="K525" s="15" t="n">
        <f aca="false">J525*(1+IF(K$3&lt;=$O$2,$D525,$D525-($D525-$I$508)*MIN(K$3-$O$2,$Q$2)/$Q$2))</f>
        <v>11930.0654959562</v>
      </c>
      <c r="L525" s="15" t="n">
        <f aca="false">K525*(1+IF(L$3&lt;=$O$2,$D525,$D525-($D525-$I$508)*MIN(L$3-$O$2,$Q$2)/$Q$2))</f>
        <v>12443.6687378504</v>
      </c>
      <c r="M525" s="15" t="n">
        <f aca="false">L525*(1+IF(M$3&lt;=$O$2,$D525,$D525-($D525-$I$508)*MIN(M$3-$O$2,$Q$2)/$Q$2))</f>
        <v>12887.6038809053</v>
      </c>
      <c r="N525" s="15" t="n">
        <f aca="false">M525*(1+IF(N$3&lt;=$O$2,$D525,$D525-($D525-$I$508)*MIN(N$3-$O$2,$Q$2)/$Q$2))</f>
        <v>13252.3230707349</v>
      </c>
      <c r="O525" s="15" t="n">
        <f aca="false">SUMPRODUCT(E525:N525,1/(1+$F$508)^$E$3:$N$3)*$E$2</f>
        <v>19526.9782487608</v>
      </c>
      <c r="P525" s="15" t="n">
        <f aca="false">N525*$E$2*(1+$I$508)/($F$508-$I$508)/(1+$F$508)^$N$3</f>
        <v>28594.3796074001</v>
      </c>
      <c r="Q525" s="15" t="n">
        <f aca="false">O525+P525</f>
        <v>48121.3578561609</v>
      </c>
      <c r="R525" s="15" t="n">
        <f aca="false">Q525-$G$2+$I$2</f>
        <v>45604.3578561609</v>
      </c>
      <c r="S525" s="42" t="n">
        <f aca="false">R525/$K$2</f>
        <v>105.268357546191</v>
      </c>
      <c r="T525" s="43" t="n">
        <f aca="false">S525-$M$2</f>
        <v>0.0100592220139362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0.065155029296875</v>
      </c>
      <c r="C526" s="25" t="n">
        <f aca="false">IF(T525&gt;0,D525,C525)</f>
        <v>0.0651779174804688</v>
      </c>
      <c r="D526" s="41" t="n">
        <f aca="false">(B526+C526)/2</f>
        <v>0.0651664733886719</v>
      </c>
      <c r="E526" s="15" t="n">
        <f aca="false">$C$2*(1+IF(E$3&lt;=$O$2,$D526,$D526-($D526-$I$508)*MIN(E$3-$O$2,$Q$2)/$Q$2))</f>
        <v>8340.2534866333</v>
      </c>
      <c r="F526" s="15" t="n">
        <f aca="false">E526*(1+IF(F$3&lt;=$O$2,$D526,$D526-($D526-$I$508)*MIN(F$3-$O$2,$Q$2)/$Q$2))</f>
        <v>8883.75839352477</v>
      </c>
      <c r="G526" s="15" t="n">
        <f aca="false">F526*(1+IF(G$3&lt;=$O$2,$D526,$D526-($D526-$I$508)*MIN(G$3-$O$2,$Q$2)/$Q$2))</f>
        <v>9462.68159846779</v>
      </c>
      <c r="H526" s="15" t="n">
        <f aca="false">G526*(1+IF(H$3&lt;=$O$2,$D526,$D526-($D526-$I$508)*MIN(H$3-$O$2,$Q$2)/$Q$2))</f>
        <v>10079.3311870398</v>
      </c>
      <c r="I526" s="15" t="n">
        <f aca="false">H526*(1+IF(I$3&lt;=$O$2,$D526,$D526-($D526-$I$508)*MIN(I$3-$O$2,$Q$2)/$Q$2))</f>
        <v>10736.1656546157</v>
      </c>
      <c r="J526" s="15" t="n">
        <f aca="false">I526*(1+IF(J$3&lt;=$O$2,$D526,$D526-($D526-$I$508)*MIN(J$3-$O$2,$Q$2)/$Q$2))</f>
        <v>11356.6427949631</v>
      </c>
      <c r="K526" s="15" t="n">
        <f aca="false">J526*(1+IF(K$3&lt;=$O$2,$D526,$D526-($D526-$I$508)*MIN(K$3-$O$2,$Q$2)/$Q$2))</f>
        <v>11929.2434076916</v>
      </c>
      <c r="L526" s="15" t="n">
        <f aca="false">K526*(1+IF(L$3&lt;=$O$2,$D526,$D526-($D526-$I$508)*MIN(L$3-$O$2,$Q$2)/$Q$2))</f>
        <v>12442.756649984</v>
      </c>
      <c r="M526" s="15" t="n">
        <f aca="false">L526*(1+IF(M$3&lt;=$O$2,$D526,$D526-($D526-$I$508)*MIN(M$3-$O$2,$Q$2)/$Q$2))</f>
        <v>12886.6307745622</v>
      </c>
      <c r="N526" s="15" t="n">
        <f aca="false">M526*(1+IF(N$3&lt;=$O$2,$D526,$D526-($D526-$I$508)*MIN(N$3-$O$2,$Q$2)/$Q$2))</f>
        <v>13251.3224254823</v>
      </c>
      <c r="O526" s="15" t="n">
        <f aca="false">SUMPRODUCT(E526:N526,1/(1+$F$508)^$E$3:$N$3)*$E$2</f>
        <v>19526.0047069834</v>
      </c>
      <c r="P526" s="15" t="n">
        <f aca="false">N526*$E$2*(1+$I$508)/($F$508-$I$508)/(1+$F$508)^$N$3</f>
        <v>28592.2205270598</v>
      </c>
      <c r="Q526" s="15" t="n">
        <f aca="false">O526+P526</f>
        <v>48118.2252340432</v>
      </c>
      <c r="R526" s="15" t="n">
        <f aca="false">Q526-$G$2+$I$2</f>
        <v>45601.2252340432</v>
      </c>
      <c r="S526" s="42" t="n">
        <f aca="false">R526/$K$2</f>
        <v>105.261126527037</v>
      </c>
      <c r="T526" s="43" t="n">
        <f aca="false">S526-$M$2</f>
        <v>0.00282820286032859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0.065155029296875</v>
      </c>
      <c r="C527" s="25" t="n">
        <f aca="false">IF(T526&gt;0,D526,C526)</f>
        <v>0.0651664733886719</v>
      </c>
      <c r="D527" s="41" t="n">
        <f aca="false">(B527+C527)/2</f>
        <v>0.0651607513427734</v>
      </c>
      <c r="E527" s="15" t="n">
        <f aca="false">$C$2*(1+IF(E$3&lt;=$O$2,$D527,$D527-($D527-$I$508)*MIN(E$3-$O$2,$Q$2)/$Q$2))</f>
        <v>8340.20868301392</v>
      </c>
      <c r="F527" s="15" t="n">
        <f aca="false">E527*(1+IF(F$3&lt;=$O$2,$D527,$D527-($D527-$I$508)*MIN(F$3-$O$2,$Q$2)/$Q$2))</f>
        <v>8883.66294715463</v>
      </c>
      <c r="G527" s="15" t="n">
        <f aca="false">F527*(1+IF(G$3&lt;=$O$2,$D527,$D527-($D527-$I$508)*MIN(G$3-$O$2,$Q$2)/$Q$2))</f>
        <v>9462.52909946718</v>
      </c>
      <c r="H527" s="15" t="n">
        <f aca="false">G527*(1+IF(H$3&lt;=$O$2,$D527,$D527-($D527-$I$508)*MIN(H$3-$O$2,$Q$2)/$Q$2))</f>
        <v>10079.1146051913</v>
      </c>
      <c r="I527" s="15" t="n">
        <f aca="false">H527*(1+IF(I$3&lt;=$O$2,$D527,$D527-($D527-$I$508)*MIN(I$3-$O$2,$Q$2)/$Q$2))</f>
        <v>10735.8772857355</v>
      </c>
      <c r="J527" s="15" t="n">
        <f aca="false">I527*(1+IF(J$3&lt;=$O$2,$D527,$D527-($D527-$I$508)*MIN(J$3-$O$2,$Q$2)/$Q$2))</f>
        <v>11356.2886153826</v>
      </c>
      <c r="K527" s="15" t="n">
        <f aca="false">J527*(1+IF(K$3&lt;=$O$2,$D527,$D527-($D527-$I$508)*MIN(K$3-$O$2,$Q$2)/$Q$2))</f>
        <v>11928.832381695</v>
      </c>
      <c r="L527" s="15" t="n">
        <f aca="false">K527*(1+IF(L$3&lt;=$O$2,$D527,$D527-($D527-$I$508)*MIN(L$3-$O$2,$Q$2)/$Q$2))</f>
        <v>12442.3006277895</v>
      </c>
      <c r="M527" s="15" t="n">
        <f aca="false">L527*(1+IF(M$3&lt;=$O$2,$D527,$D527-($D527-$I$508)*MIN(M$3-$O$2,$Q$2)/$Q$2))</f>
        <v>12886.1442454705</v>
      </c>
      <c r="N527" s="15" t="n">
        <f aca="false">M527*(1+IF(N$3&lt;=$O$2,$D527,$D527-($D527-$I$508)*MIN(N$3-$O$2,$Q$2)/$Q$2))</f>
        <v>13250.8221276173</v>
      </c>
      <c r="O527" s="15" t="n">
        <f aca="false">SUMPRODUCT(E527:N527,1/(1+$F$508)^$E$3:$N$3)*$E$2</f>
        <v>19525.5179543557</v>
      </c>
      <c r="P527" s="15" t="n">
        <f aca="false">N527*$E$2*(1+$I$508)/($F$508-$I$508)/(1+$F$508)^$N$3</f>
        <v>28591.1410403169</v>
      </c>
      <c r="Q527" s="15" t="n">
        <f aca="false">O527+P527</f>
        <v>48116.6589946726</v>
      </c>
      <c r="R527" s="15" t="n">
        <f aca="false">Q527-$G$2+$I$2</f>
        <v>45599.6589946726</v>
      </c>
      <c r="S527" s="42" t="n">
        <f aca="false">R527/$K$2</f>
        <v>105.257511182938</v>
      </c>
      <c r="T527" s="43" t="n">
        <f aca="false">S527-$M$2</f>
        <v>-0.000787141238745903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0.0651607513427734</v>
      </c>
      <c r="C528" s="25" t="n">
        <f aca="false">IF(T527&gt;0,D527,C527)</f>
        <v>0.0651664733886719</v>
      </c>
      <c r="D528" s="41" t="n">
        <f aca="false">(B528+C528)/2</f>
        <v>0.0651636123657227</v>
      </c>
      <c r="E528" s="15" t="n">
        <f aca="false">$C$2*(1+IF(E$3&lt;=$O$2,$D528,$D528-($D528-$I$508)*MIN(E$3-$O$2,$Q$2)/$Q$2))</f>
        <v>8340.23108482361</v>
      </c>
      <c r="F528" s="15" t="n">
        <f aca="false">E528*(1+IF(F$3&lt;=$O$2,$D528,$D528-($D528-$I$508)*MIN(F$3-$O$2,$Q$2)/$Q$2))</f>
        <v>8883.71067027561</v>
      </c>
      <c r="G528" s="15" t="n">
        <f aca="false">F528*(1+IF(G$3&lt;=$O$2,$D528,$D528-($D528-$I$508)*MIN(G$3-$O$2,$Q$2)/$Q$2))</f>
        <v>9462.60534876268</v>
      </c>
      <c r="H528" s="15" t="n">
        <f aca="false">G528*(1+IF(H$3&lt;=$O$2,$D528,$D528-($D528-$I$508)*MIN(H$3-$O$2,$Q$2)/$Q$2))</f>
        <v>10079.2228956793</v>
      </c>
      <c r="I528" s="15" t="n">
        <f aca="false">H528*(1+IF(I$3&lt;=$O$2,$D528,$D528-($D528-$I$508)*MIN(I$3-$O$2,$Q$2)/$Q$2))</f>
        <v>10736.021469401</v>
      </c>
      <c r="J528" s="15" t="n">
        <f aca="false">I528*(1+IF(J$3&lt;=$O$2,$D528,$D528-($D528-$I$508)*MIN(J$3-$O$2,$Q$2)/$Q$2))</f>
        <v>11356.4657040235</v>
      </c>
      <c r="K528" s="15" t="n">
        <f aca="false">J528*(1+IF(K$3&lt;=$O$2,$D528,$D528-($D528-$I$508)*MIN(K$3-$O$2,$Q$2)/$Q$2))</f>
        <v>11929.037893182</v>
      </c>
      <c r="L528" s="15" t="n">
        <f aca="false">K528*(1+IF(L$3&lt;=$O$2,$D528,$D528-($D528-$I$508)*MIN(L$3-$O$2,$Q$2)/$Q$2))</f>
        <v>12442.5286370752</v>
      </c>
      <c r="M528" s="15" t="n">
        <f aca="false">L528*(1+IF(M$3&lt;=$O$2,$D528,$D528-($D528-$I$508)*MIN(M$3-$O$2,$Q$2)/$Q$2))</f>
        <v>12886.3875080097</v>
      </c>
      <c r="N528" s="15" t="n">
        <f aca="false">M528*(1+IF(N$3&lt;=$O$2,$D528,$D528-($D528-$I$508)*MIN(N$3-$O$2,$Q$2)/$Q$2))</f>
        <v>13251.0722744864</v>
      </c>
      <c r="O528" s="15" t="n">
        <f aca="false">SUMPRODUCT(E528:N528,1/(1+$F$508)^$E$3:$N$3)*$E$2</f>
        <v>19525.7613291478</v>
      </c>
      <c r="P528" s="15" t="n">
        <f aca="false">N528*$E$2*(1+$I$508)/($F$508-$I$508)/(1+$F$508)^$N$3</f>
        <v>28591.6807792362</v>
      </c>
      <c r="Q528" s="15" t="n">
        <f aca="false">O528+P528</f>
        <v>48117.442108384</v>
      </c>
      <c r="R528" s="15" t="n">
        <f aca="false">Q528-$G$2+$I$2</f>
        <v>45600.442108384</v>
      </c>
      <c r="S528" s="42" t="n">
        <f aca="false">R528/$K$2</f>
        <v>105.259318841198</v>
      </c>
      <c r="T528" s="43" t="n">
        <f aca="false">S528-$M$2</f>
        <v>0.00102051702127426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0.0651607513427734</v>
      </c>
      <c r="C529" s="25" t="n">
        <f aca="false">IF(T528&gt;0,D528,C528)</f>
        <v>0.0651636123657227</v>
      </c>
      <c r="D529" s="41" t="n">
        <f aca="false">(B529+C529)/2</f>
        <v>0.0651621818542481</v>
      </c>
      <c r="E529" s="15" t="n">
        <f aca="false">$C$2*(1+IF(E$3&lt;=$O$2,$D529,$D529-($D529-$I$508)*MIN(E$3-$O$2,$Q$2)/$Q$2))</f>
        <v>8340.21988391876</v>
      </c>
      <c r="F529" s="15" t="n">
        <f aca="false">E529*(1+IF(F$3&lt;=$O$2,$D529,$D529-($D529-$I$508)*MIN(F$3-$O$2,$Q$2)/$Q$2))</f>
        <v>8883.68680869909</v>
      </c>
      <c r="G529" s="15" t="n">
        <f aca="false">F529*(1+IF(G$3&lt;=$O$2,$D529,$D529-($D529-$I$508)*MIN(G$3-$O$2,$Q$2)/$Q$2))</f>
        <v>9462.56722406373</v>
      </c>
      <c r="H529" s="15" t="n">
        <f aca="false">G529*(1+IF(H$3&lt;=$O$2,$D529,$D529-($D529-$I$508)*MIN(H$3-$O$2,$Q$2)/$Q$2))</f>
        <v>10079.1687503262</v>
      </c>
      <c r="I529" s="15" t="n">
        <f aca="false">H529*(1+IF(I$3&lt;=$O$2,$D529,$D529-($D529-$I$508)*MIN(I$3-$O$2,$Q$2)/$Q$2))</f>
        <v>10735.9493773746</v>
      </c>
      <c r="J529" s="15" t="n">
        <f aca="false">I529*(1+IF(J$3&lt;=$O$2,$D529,$D529-($D529-$I$508)*MIN(J$3-$O$2,$Q$2)/$Q$2))</f>
        <v>11356.3771594158</v>
      </c>
      <c r="K529" s="15" t="n">
        <f aca="false">J529*(1+IF(K$3&lt;=$O$2,$D529,$D529-($D529-$I$508)*MIN(K$3-$O$2,$Q$2)/$Q$2))</f>
        <v>11928.9351370607</v>
      </c>
      <c r="L529" s="15" t="n">
        <f aca="false">K529*(1+IF(L$3&lt;=$O$2,$D529,$D529-($D529-$I$508)*MIN(L$3-$O$2,$Q$2)/$Q$2))</f>
        <v>12442.4146319795</v>
      </c>
      <c r="M529" s="15" t="n">
        <f aca="false">L529*(1+IF(M$3&lt;=$O$2,$D529,$D529-($D529-$I$508)*MIN(M$3-$O$2,$Q$2)/$Q$2))</f>
        <v>12886.2658762385</v>
      </c>
      <c r="N529" s="15" t="n">
        <f aca="false">M529*(1+IF(N$3&lt;=$O$2,$D529,$D529-($D529-$I$508)*MIN(N$3-$O$2,$Q$2)/$Q$2))</f>
        <v>13250.947200536</v>
      </c>
      <c r="O529" s="15" t="n">
        <f aca="false">SUMPRODUCT(E529:N529,1/(1+$F$508)^$E$3:$N$3)*$E$2</f>
        <v>19525.6396413713</v>
      </c>
      <c r="P529" s="15" t="n">
        <f aca="false">N529*$E$2*(1+$I$508)/($F$508-$I$508)/(1+$F$508)^$N$3</f>
        <v>28591.4109086635</v>
      </c>
      <c r="Q529" s="15" t="n">
        <f aca="false">O529+P529</f>
        <v>48117.0505500348</v>
      </c>
      <c r="R529" s="15" t="n">
        <f aca="false">Q529-$G$2+$I$2</f>
        <v>45600.0505500348</v>
      </c>
      <c r="S529" s="42" t="n">
        <f aca="false">R529/$K$2</f>
        <v>105.258415008621</v>
      </c>
      <c r="T529" s="43" t="n">
        <f aca="false">S529-$M$2</f>
        <v>0.000116684443938198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0.0651607513427734</v>
      </c>
      <c r="C530" s="25" t="n">
        <f aca="false">IF(T529&gt;0,D529,C529)</f>
        <v>0.0651621818542481</v>
      </c>
      <c r="D530" s="41" t="n">
        <f aca="false">(B530+C530)/2</f>
        <v>0.0651614665985107</v>
      </c>
      <c r="E530" s="15" t="n">
        <f aca="false">$C$2*(1+IF(E$3&lt;=$O$2,$D530,$D530-($D530-$I$508)*MIN(E$3-$O$2,$Q$2)/$Q$2))</f>
        <v>8340.21428346634</v>
      </c>
      <c r="F530" s="15" t="n">
        <f aca="false">E530*(1+IF(F$3&lt;=$O$2,$D530,$D530-($D530-$I$508)*MIN(F$3-$O$2,$Q$2)/$Q$2))</f>
        <v>8883.67487792285</v>
      </c>
      <c r="G530" s="15" t="n">
        <f aca="false">F530*(1+IF(G$3&lt;=$O$2,$D530,$D530-($D530-$I$508)*MIN(G$3-$O$2,$Q$2)/$Q$2))</f>
        <v>9462.54816175265</v>
      </c>
      <c r="H530" s="15" t="n">
        <f aca="false">G530*(1+IF(H$3&lt;=$O$2,$D530,$D530-($D530-$I$508)*MIN(H$3-$O$2,$Q$2)/$Q$2))</f>
        <v>10079.1416777315</v>
      </c>
      <c r="I530" s="15" t="n">
        <f aca="false">H530*(1+IF(I$3&lt;=$O$2,$D530,$D530-($D530-$I$508)*MIN(I$3-$O$2,$Q$2)/$Q$2))</f>
        <v>10735.9133315067</v>
      </c>
      <c r="J530" s="15" t="n">
        <f aca="false">I530*(1+IF(J$3&lt;=$O$2,$D530,$D530-($D530-$I$508)*MIN(J$3-$O$2,$Q$2)/$Q$2))</f>
        <v>11356.3328873274</v>
      </c>
      <c r="K530" s="15" t="n">
        <f aca="false">J530*(1+IF(K$3&lt;=$O$2,$D530,$D530-($D530-$I$508)*MIN(K$3-$O$2,$Q$2)/$Q$2))</f>
        <v>11928.8837592834</v>
      </c>
      <c r="L530" s="15" t="n">
        <f aca="false">K530*(1+IF(L$3&lt;=$O$2,$D530,$D530-($D530-$I$508)*MIN(L$3-$O$2,$Q$2)/$Q$2))</f>
        <v>12442.3576297713</v>
      </c>
      <c r="M530" s="15" t="n">
        <f aca="false">L530*(1+IF(M$3&lt;=$O$2,$D530,$D530-($D530-$I$508)*MIN(M$3-$O$2,$Q$2)/$Q$2))</f>
        <v>12886.2050607291</v>
      </c>
      <c r="N530" s="15" t="n">
        <f aca="false">M530*(1+IF(N$3&lt;=$O$2,$D530,$D530-($D530-$I$508)*MIN(N$3-$O$2,$Q$2)/$Q$2))</f>
        <v>13250.8846639477</v>
      </c>
      <c r="O530" s="15" t="n">
        <f aca="false">SUMPRODUCT(E530:N530,1/(1+$F$508)^$E$3:$N$3)*$E$2</f>
        <v>19525.5787977684</v>
      </c>
      <c r="P530" s="15" t="n">
        <f aca="false">N530*$E$2*(1+$I$508)/($F$508-$I$508)/(1+$F$508)^$N$3</f>
        <v>28591.2759742119</v>
      </c>
      <c r="Q530" s="15" t="n">
        <f aca="false">O530+P530</f>
        <v>48116.8547719803</v>
      </c>
      <c r="R530" s="15" t="n">
        <f aca="false">Q530-$G$2+$I$2</f>
        <v>45599.8547719803</v>
      </c>
      <c r="S530" s="42" t="n">
        <f aca="false">R530/$K$2</f>
        <v>105.257963094918</v>
      </c>
      <c r="T530" s="43" t="n">
        <f aca="false">S530-$M$2</f>
        <v>-0.000335229259249559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0.0651614665985107</v>
      </c>
      <c r="C531" s="25" t="n">
        <f aca="false">IF(T530&gt;0,D530,C530)</f>
        <v>0.0651621818542481</v>
      </c>
      <c r="D531" s="41" t="n">
        <f aca="false">(B531+C531)/2</f>
        <v>0.0651618242263794</v>
      </c>
      <c r="E531" s="15" t="n">
        <f aca="false">$C$2*(1+IF(E$3&lt;=$O$2,$D531,$D531-($D531-$I$508)*MIN(E$3-$O$2,$Q$2)/$Q$2))</f>
        <v>8340.21708369255</v>
      </c>
      <c r="F531" s="15" t="n">
        <f aca="false">E531*(1+IF(F$3&lt;=$O$2,$D531,$D531-($D531-$I$508)*MIN(F$3-$O$2,$Q$2)/$Q$2))</f>
        <v>8883.68084330997</v>
      </c>
      <c r="G531" s="15" t="n">
        <f aca="false">F531*(1+IF(G$3&lt;=$O$2,$D531,$D531-($D531-$I$508)*MIN(G$3-$O$2,$Q$2)/$Q$2))</f>
        <v>9462.55769290499</v>
      </c>
      <c r="H531" s="15" t="n">
        <f aca="false">G531*(1+IF(H$3&lt;=$O$2,$D531,$D531-($D531-$I$508)*MIN(H$3-$O$2,$Q$2)/$Q$2))</f>
        <v>10079.155214022</v>
      </c>
      <c r="I531" s="15" t="n">
        <f aca="false">H531*(1+IF(I$3&lt;=$O$2,$D531,$D531-($D531-$I$508)*MIN(I$3-$O$2,$Q$2)/$Q$2))</f>
        <v>10735.9313544285</v>
      </c>
      <c r="J531" s="15" t="n">
        <f aca="false">I531*(1+IF(J$3&lt;=$O$2,$D531,$D531-($D531-$I$508)*MIN(J$3-$O$2,$Q$2)/$Q$2))</f>
        <v>11356.3550233536</v>
      </c>
      <c r="K531" s="15" t="n">
        <f aca="false">J531*(1+IF(K$3&lt;=$O$2,$D531,$D531-($D531-$I$508)*MIN(K$3-$O$2,$Q$2)/$Q$2))</f>
        <v>11928.9094481484</v>
      </c>
      <c r="L531" s="15" t="n">
        <f aca="false">K531*(1+IF(L$3&lt;=$O$2,$D531,$D531-($D531-$I$508)*MIN(L$3-$O$2,$Q$2)/$Q$2))</f>
        <v>12442.3861308471</v>
      </c>
      <c r="M531" s="15" t="n">
        <f aca="false">L531*(1+IF(M$3&lt;=$O$2,$D531,$D531-($D531-$I$508)*MIN(M$3-$O$2,$Q$2)/$Q$2))</f>
        <v>12886.2354684524</v>
      </c>
      <c r="N531" s="15" t="n">
        <f aca="false">M531*(1+IF(N$3&lt;=$O$2,$D531,$D531-($D531-$I$508)*MIN(N$3-$O$2,$Q$2)/$Q$2))</f>
        <v>13250.9159322096</v>
      </c>
      <c r="O531" s="15" t="n">
        <f aca="false">SUMPRODUCT(E531:N531,1/(1+$F$508)^$E$3:$N$3)*$E$2</f>
        <v>19525.6092195461</v>
      </c>
      <c r="P531" s="15" t="n">
        <f aca="false">N531*$E$2*(1+$I$508)/($F$508-$I$508)/(1+$F$508)^$N$3</f>
        <v>28591.3434413682</v>
      </c>
      <c r="Q531" s="15" t="n">
        <f aca="false">O531+P531</f>
        <v>48116.9526609142</v>
      </c>
      <c r="R531" s="15" t="n">
        <f aca="false">Q531-$G$2+$I$2</f>
        <v>45599.9526609142</v>
      </c>
      <c r="S531" s="42" t="n">
        <f aca="false">R531/$K$2</f>
        <v>105.258189051554</v>
      </c>
      <c r="T531" s="43" t="n">
        <f aca="false">S531-$M$2</f>
        <v>-0.00010927262312066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0.0651618242263794</v>
      </c>
      <c r="C532" s="25" t="n">
        <f aca="false">IF(T531&gt;0,D531,C531)</f>
        <v>0.0651621818542481</v>
      </c>
      <c r="D532" s="41" t="n">
        <f aca="false">(B532+C532)/2</f>
        <v>0.0651620030403137</v>
      </c>
      <c r="E532" s="15" t="n">
        <f aca="false">$C$2*(1+IF(E$3&lt;=$O$2,$D532,$D532-($D532-$I$508)*MIN(E$3-$O$2,$Q$2)/$Q$2))</f>
        <v>8340.21848380566</v>
      </c>
      <c r="F532" s="15" t="n">
        <f aca="false">E532*(1+IF(F$3&lt;=$O$2,$D532,$D532-($D532-$I$508)*MIN(F$3-$O$2,$Q$2)/$Q$2))</f>
        <v>8883.68382600428</v>
      </c>
      <c r="G532" s="15" t="n">
        <f aca="false">F532*(1+IF(G$3&lt;=$O$2,$D532,$D532-($D532-$I$508)*MIN(G$3-$O$2,$Q$2)/$Q$2))</f>
        <v>9462.56245848356</v>
      </c>
      <c r="H532" s="15" t="n">
        <f aca="false">G532*(1+IF(H$3&lt;=$O$2,$D532,$D532-($D532-$I$508)*MIN(H$3-$O$2,$Q$2)/$Q$2))</f>
        <v>10079.1619821724</v>
      </c>
      <c r="I532" s="15" t="n">
        <f aca="false">H532*(1+IF(I$3&lt;=$O$2,$D532,$D532-($D532-$I$508)*MIN(I$3-$O$2,$Q$2)/$Q$2))</f>
        <v>10735.9403658986</v>
      </c>
      <c r="J532" s="15" t="n">
        <f aca="false">I532*(1+IF(J$3&lt;=$O$2,$D532,$D532-($D532-$I$508)*MIN(J$3-$O$2,$Q$2)/$Q$2))</f>
        <v>11356.3660913802</v>
      </c>
      <c r="K532" s="15" t="n">
        <f aca="false">J532*(1+IF(K$3&lt;=$O$2,$D532,$D532-($D532-$I$508)*MIN(K$3-$O$2,$Q$2)/$Q$2))</f>
        <v>11928.9222925987</v>
      </c>
      <c r="L532" s="15" t="n">
        <f aca="false">K532*(1+IF(L$3&lt;=$O$2,$D532,$D532-($D532-$I$508)*MIN(L$3-$O$2,$Q$2)/$Q$2))</f>
        <v>12442.4003814062</v>
      </c>
      <c r="M532" s="15" t="n">
        <f aca="false">L532*(1+IF(M$3&lt;=$O$2,$D532,$D532-($D532-$I$508)*MIN(M$3-$O$2,$Q$2)/$Q$2))</f>
        <v>12886.2506723376</v>
      </c>
      <c r="N532" s="15" t="n">
        <f aca="false">M532*(1+IF(N$3&lt;=$O$2,$D532,$D532-($D532-$I$508)*MIN(N$3-$O$2,$Q$2)/$Q$2))</f>
        <v>13250.9315663648</v>
      </c>
      <c r="O532" s="15" t="n">
        <f aca="false">SUMPRODUCT(E532:N532,1/(1+$F$508)^$E$3:$N$3)*$E$2</f>
        <v>19525.6244304527</v>
      </c>
      <c r="P532" s="15" t="n">
        <f aca="false">N532*$E$2*(1+$I$508)/($F$508-$I$508)/(1+$F$508)^$N$3</f>
        <v>28591.3771749984</v>
      </c>
      <c r="Q532" s="15" t="n">
        <f aca="false">O532+P532</f>
        <v>48117.0016054512</v>
      </c>
      <c r="R532" s="15" t="n">
        <f aca="false">Q532-$G$2+$I$2</f>
        <v>45600.0016054512</v>
      </c>
      <c r="S532" s="42" t="n">
        <f aca="false">R532/$K$2</f>
        <v>105.258302030034</v>
      </c>
      <c r="T532" s="43" t="n">
        <f aca="false">S532-$M$2</f>
        <v>3.70585654252409E-006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0.0651618242263794</v>
      </c>
      <c r="C533" s="25" t="n">
        <f aca="false">IF(T532&gt;0,D532,C532)</f>
        <v>0.0651620030403137</v>
      </c>
      <c r="D533" s="41" t="n">
        <f aca="false">(B533+C533)/2</f>
        <v>0.0651619136333466</v>
      </c>
      <c r="E533" s="15" t="n">
        <f aca="false">$C$2*(1+IF(E$3&lt;=$O$2,$D533,$D533-($D533-$I$508)*MIN(E$3-$O$2,$Q$2)/$Q$2))</f>
        <v>8340.2177837491</v>
      </c>
      <c r="F533" s="15" t="n">
        <f aca="false">E533*(1+IF(F$3&lt;=$O$2,$D533,$D533-($D533-$I$508)*MIN(F$3-$O$2,$Q$2)/$Q$2))</f>
        <v>8883.68233465706</v>
      </c>
      <c r="G533" s="15" t="n">
        <f aca="false">F533*(1+IF(G$3&lt;=$O$2,$D533,$D533-($D533-$I$508)*MIN(G$3-$O$2,$Q$2)/$Q$2))</f>
        <v>9462.56007569407</v>
      </c>
      <c r="H533" s="15" t="n">
        <f aca="false">G533*(1+IF(H$3&lt;=$O$2,$D533,$D533-($D533-$I$508)*MIN(H$3-$O$2,$Q$2)/$Q$2))</f>
        <v>10079.1585980968</v>
      </c>
      <c r="I533" s="15" t="n">
        <f aca="false">H533*(1+IF(I$3&lt;=$O$2,$D533,$D533-($D533-$I$508)*MIN(I$3-$O$2,$Q$2)/$Q$2))</f>
        <v>10735.9358601628</v>
      </c>
      <c r="J533" s="15" t="n">
        <f aca="false">I533*(1+IF(J$3&lt;=$O$2,$D533,$D533-($D533-$I$508)*MIN(J$3-$O$2,$Q$2)/$Q$2))</f>
        <v>11356.3605573658</v>
      </c>
      <c r="K533" s="15" t="n">
        <f aca="false">J533*(1+IF(K$3&lt;=$O$2,$D533,$D533-($D533-$I$508)*MIN(K$3-$O$2,$Q$2)/$Q$2))</f>
        <v>11928.9158703721</v>
      </c>
      <c r="L533" s="15" t="n">
        <f aca="false">K533*(1+IF(L$3&lt;=$O$2,$D533,$D533-($D533-$I$508)*MIN(L$3-$O$2,$Q$2)/$Q$2))</f>
        <v>12442.3932561249</v>
      </c>
      <c r="M533" s="15" t="n">
        <f aca="false">L533*(1+IF(M$3&lt;=$O$2,$D533,$D533-($D533-$I$508)*MIN(M$3-$O$2,$Q$2)/$Q$2))</f>
        <v>12886.2430703931</v>
      </c>
      <c r="N533" s="15" t="n">
        <f aca="false">M533*(1+IF(N$3&lt;=$O$2,$D533,$D533-($D533-$I$508)*MIN(N$3-$O$2,$Q$2)/$Q$2))</f>
        <v>13250.9237492852</v>
      </c>
      <c r="O533" s="15" t="n">
        <f aca="false">SUMPRODUCT(E533:N533,1/(1+$F$508)^$E$3:$N$3)*$E$2</f>
        <v>19525.6168249979</v>
      </c>
      <c r="P533" s="15" t="n">
        <f aca="false">N533*$E$2*(1+$I$508)/($F$508-$I$508)/(1+$F$508)^$N$3</f>
        <v>28591.3603081789</v>
      </c>
      <c r="Q533" s="15" t="n">
        <f aca="false">O533+P533</f>
        <v>48116.9771331769</v>
      </c>
      <c r="R533" s="15" t="n">
        <f aca="false">Q533-$G$2+$I$2</f>
        <v>45599.9771331769</v>
      </c>
      <c r="S533" s="42" t="n">
        <f aca="false">R533/$K$2</f>
        <v>105.25824554078</v>
      </c>
      <c r="T533" s="43" t="n">
        <f aca="false">S533-$M$2</f>
        <v>-5.27833967822744E-005</v>
      </c>
    </row>
    <row r="535" customFormat="false" ht="15" hidden="false" customHeight="false" outlineLevel="0" collapsed="false">
      <c r="A535" s="38" t="s">
        <v>191</v>
      </c>
      <c r="E535" s="5" t="s">
        <v>11</v>
      </c>
      <c r="F535" s="12" t="n">
        <f aca="false">Sensitivity!$B$13</f>
        <v>0.0871529104257703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153</v>
      </c>
      <c r="B536" s="28" t="s">
        <v>154</v>
      </c>
      <c r="C536" s="28" t="s">
        <v>155</v>
      </c>
      <c r="D536" s="28" t="s">
        <v>156</v>
      </c>
      <c r="E536" s="28" t="s">
        <v>157</v>
      </c>
      <c r="F536" s="28" t="s">
        <v>158</v>
      </c>
      <c r="G536" s="28" t="s">
        <v>159</v>
      </c>
      <c r="H536" s="28" t="s">
        <v>160</v>
      </c>
      <c r="I536" s="28" t="s">
        <v>161</v>
      </c>
      <c r="J536" s="28" t="s">
        <v>162</v>
      </c>
      <c r="K536" s="28" t="s">
        <v>163</v>
      </c>
      <c r="L536" s="28" t="s">
        <v>164</v>
      </c>
      <c r="M536" s="28" t="s">
        <v>165</v>
      </c>
      <c r="N536" s="28" t="s">
        <v>166</v>
      </c>
      <c r="O536" s="28" t="s">
        <v>167</v>
      </c>
      <c r="P536" s="28" t="s">
        <v>168</v>
      </c>
      <c r="Q536" s="28" t="s">
        <v>169</v>
      </c>
      <c r="R536" s="28" t="s">
        <v>170</v>
      </c>
      <c r="S536" s="28" t="s">
        <v>171</v>
      </c>
      <c r="T536" s="28" t="s">
        <v>172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9787.5</v>
      </c>
      <c r="F537" s="15" t="n">
        <f aca="false">E537*(1+IF(F$3&lt;=$O$2,$D537,$D537-($D537-$I$535)*MIN(F$3-$O$2,$Q$2)/$Q$2))</f>
        <v>12234.375</v>
      </c>
      <c r="G537" s="15" t="n">
        <f aca="false">F537*(1+IF(G$3&lt;=$O$2,$D537,$D537-($D537-$I$535)*MIN(G$3-$O$2,$Q$2)/$Q$2))</f>
        <v>15292.96875</v>
      </c>
      <c r="H537" s="15" t="n">
        <f aca="false">G537*(1+IF(H$3&lt;=$O$2,$D537,$D537-($D537-$I$535)*MIN(H$3-$O$2,$Q$2)/$Q$2))</f>
        <v>19116.2109375</v>
      </c>
      <c r="I537" s="15" t="n">
        <f aca="false">H537*(1+IF(I$3&lt;=$O$2,$D537,$D537-($D537-$I$535)*MIN(I$3-$O$2,$Q$2)/$Q$2))</f>
        <v>23895.263671875</v>
      </c>
      <c r="J537" s="15" t="n">
        <f aca="false">I537*(1+IF(J$3&lt;=$O$2,$D537,$D537-($D537-$I$535)*MIN(J$3-$O$2,$Q$2)/$Q$2))</f>
        <v>28833.4588623047</v>
      </c>
      <c r="K537" s="15" t="n">
        <f aca="false">J537*(1+IF(K$3&lt;=$O$2,$D537,$D537-($D537-$I$535)*MIN(K$3-$O$2,$Q$2)/$Q$2))</f>
        <v>33542.5393636963</v>
      </c>
      <c r="L537" s="15" t="n">
        <f aca="false">K537*(1+IF(L$3&lt;=$O$2,$D537,$D537-($D537-$I$535)*MIN(L$3-$O$2,$Q$2)/$Q$2))</f>
        <v>37566.9732365526</v>
      </c>
      <c r="M537" s="15" t="n">
        <f aca="false">L537*(1+IF(M$3&lt;=$O$2,$D537,$D537-($D537-$I$535)*MIN(M$3-$O$2,$Q$2)/$Q$2))</f>
        <v>40446.106065402</v>
      </c>
      <c r="N537" s="15" t="n">
        <f aca="false">M537*(1+IF(N$3&lt;=$O$2,$D537,$D537-($D537-$I$535)*MIN(N$3-$O$2,$Q$2)/$Q$2))</f>
        <v>41792.9613973798</v>
      </c>
      <c r="O537" s="15" t="n">
        <f aca="false">SUMPRODUCT(E537:N537,1/(1+$F$535)^$E$3:$N$3)*$E$2</f>
        <v>43651.0574370159</v>
      </c>
      <c r="P537" s="15" t="n">
        <f aca="false">N537*$E$2*(1+$I$535)/($F$535-$I$535)/(1+$F$535)^$N$3</f>
        <v>99027.808563117</v>
      </c>
      <c r="Q537" s="15" t="n">
        <f aca="false">O537+P537</f>
        <v>142678.866000133</v>
      </c>
      <c r="R537" s="15" t="n">
        <f aca="false">Q537-$G$2+$I$2</f>
        <v>140161.866000133</v>
      </c>
      <c r="S537" s="42" t="n">
        <f aca="false">R537/$K$2</f>
        <v>323.535076866564</v>
      </c>
      <c r="T537" s="43" t="n">
        <f aca="false">S537-$M$2</f>
        <v>218.276778542387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6851.25</v>
      </c>
      <c r="F538" s="15" t="n">
        <f aca="false">E538*(1+IF(F$3&lt;=$O$2,$D538,$D538-($D538-$I$535)*MIN(F$3-$O$2,$Q$2)/$Q$2))</f>
        <v>5994.84375</v>
      </c>
      <c r="G538" s="15" t="n">
        <f aca="false">F538*(1+IF(G$3&lt;=$O$2,$D538,$D538-($D538-$I$535)*MIN(G$3-$O$2,$Q$2)/$Q$2))</f>
        <v>5245.48828125</v>
      </c>
      <c r="H538" s="15" t="n">
        <f aca="false">G538*(1+IF(H$3&lt;=$O$2,$D538,$D538-($D538-$I$535)*MIN(H$3-$O$2,$Q$2)/$Q$2))</f>
        <v>4589.80224609375</v>
      </c>
      <c r="I538" s="15" t="n">
        <f aca="false">H538*(1+IF(I$3&lt;=$O$2,$D538,$D538-($D538-$I$535)*MIN(I$3-$O$2,$Q$2)/$Q$2))</f>
        <v>4016.07696533203</v>
      </c>
      <c r="J538" s="15" t="n">
        <f aca="false">I538*(1+IF(J$3&lt;=$O$2,$D538,$D538-($D538-$I$535)*MIN(J$3-$O$2,$Q$2)/$Q$2))</f>
        <v>3641.21634138794</v>
      </c>
      <c r="K538" s="15" t="n">
        <f aca="false">J538*(1+IF(K$3&lt;=$O$2,$D538,$D538-($D538-$I$535)*MIN(K$3-$O$2,$Q$2)/$Q$2))</f>
        <v>3416.62611745113</v>
      </c>
      <c r="L538" s="15" t="n">
        <f aca="false">K538*(1+IF(L$3&lt;=$O$2,$D538,$D538-($D538-$I$535)*MIN(L$3-$O$2,$Q$2)/$Q$2))</f>
        <v>3314.05900140525</v>
      </c>
      <c r="M538" s="15" t="n">
        <f aca="false">L538*(1+IF(M$3&lt;=$O$2,$D538,$D538-($D538-$I$535)*MIN(M$3-$O$2,$Q$2)/$Q$2))</f>
        <v>3319.49405816755</v>
      </c>
      <c r="N538" s="15" t="n">
        <f aca="false">M538*(1+IF(N$3&lt;=$O$2,$D538,$D538-($D538-$I$535)*MIN(N$3-$O$2,$Q$2)/$Q$2))</f>
        <v>3430.03321030453</v>
      </c>
      <c r="O538" s="15" t="n">
        <f aca="false">SUMPRODUCT(E538:N538,1/(1+$F$535)^$E$3:$N$3)*$E$2</f>
        <v>8614.21660250141</v>
      </c>
      <c r="P538" s="15" t="n">
        <f aca="false">N538*$E$2*(1+$I$535)/($F$535-$I$535)/(1+$F$535)^$N$3</f>
        <v>8127.41334325416</v>
      </c>
      <c r="Q538" s="15" t="n">
        <f aca="false">O538+P538</f>
        <v>16741.6299457556</v>
      </c>
      <c r="R538" s="15" t="n">
        <f aca="false">Q538-$G$2+$I$2</f>
        <v>14224.6299457556</v>
      </c>
      <c r="S538" s="42" t="n">
        <f aca="false">R538/$K$2</f>
        <v>32.8346566311702</v>
      </c>
      <c r="T538" s="43" t="n">
        <f aca="false">S538-$M$2</f>
        <v>-72.4236416930069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8319.375</v>
      </c>
      <c r="F539" s="15" t="n">
        <f aca="false">E539*(1+IF(F$3&lt;=$O$2,$D539,$D539-($D539-$I$535)*MIN(F$3-$O$2,$Q$2)/$Q$2))</f>
        <v>8839.3359375</v>
      </c>
      <c r="G539" s="15" t="n">
        <f aca="false">F539*(1+IF(G$3&lt;=$O$2,$D539,$D539-($D539-$I$535)*MIN(G$3-$O$2,$Q$2)/$Q$2))</f>
        <v>9391.79443359375</v>
      </c>
      <c r="H539" s="15" t="n">
        <f aca="false">G539*(1+IF(H$3&lt;=$O$2,$D539,$D539-($D539-$I$535)*MIN(H$3-$O$2,$Q$2)/$Q$2))</f>
        <v>9978.78158569336</v>
      </c>
      <c r="I539" s="15" t="n">
        <f aca="false">H539*(1+IF(I$3&lt;=$O$2,$D539,$D539-($D539-$I$535)*MIN(I$3-$O$2,$Q$2)/$Q$2))</f>
        <v>10602.4554347992</v>
      </c>
      <c r="J539" s="15" t="n">
        <f aca="false">I539*(1+IF(J$3&lt;=$O$2,$D539,$D539-($D539-$I$535)*MIN(J$3-$O$2,$Q$2)/$Q$2))</f>
        <v>11203.1905597349</v>
      </c>
      <c r="K539" s="15" t="n">
        <f aca="false">J539*(1+IF(K$3&lt;=$O$2,$D539,$D539-($D539-$I$535)*MIN(K$3-$O$2,$Q$2)/$Q$2))</f>
        <v>11772.5367039806</v>
      </c>
      <c r="L539" s="15" t="n">
        <f aca="false">K539*(1+IF(L$3&lt;=$O$2,$D539,$D539-($D539-$I$535)*MIN(L$3-$O$2,$Q$2)/$Q$2))</f>
        <v>12302.0654049257</v>
      </c>
      <c r="M539" s="15" t="n">
        <f aca="false">L539*(1+IF(M$3&lt;=$O$2,$D539,$D539-($D539-$I$535)*MIN(M$3-$O$2,$Q$2)/$Q$2))</f>
        <v>12783.5682448745</v>
      </c>
      <c r="N539" s="15" t="n">
        <f aca="false">M539*(1+IF(N$3&lt;=$O$2,$D539,$D539-($D539-$I$535)*MIN(N$3-$O$2,$Q$2)/$Q$2))</f>
        <v>13209.2610674288</v>
      </c>
      <c r="O539" s="15" t="n">
        <f aca="false">SUMPRODUCT(E539:N539,1/(1+$F$535)^$E$3:$N$3)*$E$2</f>
        <v>19357.6404199275</v>
      </c>
      <c r="P539" s="15" t="n">
        <f aca="false">N539*$E$2*(1+$I$535)/($F$535-$I$535)/(1+$F$535)^$N$3</f>
        <v>31299.1502039763</v>
      </c>
      <c r="Q539" s="15" t="n">
        <f aca="false">O539+P539</f>
        <v>50656.7906239038</v>
      </c>
      <c r="R539" s="15" t="n">
        <f aca="false">Q539-$G$2+$I$2</f>
        <v>48139.7906239038</v>
      </c>
      <c r="S539" s="42" t="n">
        <f aca="false">R539/$K$2</f>
        <v>111.120886902506</v>
      </c>
      <c r="T539" s="43" t="n">
        <f aca="false">S539-$M$2</f>
        <v>5.86258857832932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7585.3125</v>
      </c>
      <c r="F540" s="15" t="n">
        <f aca="false">E540*(1+IF(F$3&lt;=$O$2,$D540,$D540-($D540-$I$535)*MIN(F$3-$O$2,$Q$2)/$Q$2))</f>
        <v>7348.271484375</v>
      </c>
      <c r="G540" s="15" t="n">
        <f aca="false">F540*(1+IF(G$3&lt;=$O$2,$D540,$D540-($D540-$I$535)*MIN(G$3-$O$2,$Q$2)/$Q$2))</f>
        <v>7118.63800048828</v>
      </c>
      <c r="H540" s="15" t="n">
        <f aca="false">G540*(1+IF(H$3&lt;=$O$2,$D540,$D540-($D540-$I$535)*MIN(H$3-$O$2,$Q$2)/$Q$2))</f>
        <v>6896.18056297302</v>
      </c>
      <c r="I540" s="15" t="n">
        <f aca="false">H540*(1+IF(I$3&lt;=$O$2,$D540,$D540-($D540-$I$535)*MIN(I$3-$O$2,$Q$2)/$Q$2))</f>
        <v>6680.67492038012</v>
      </c>
      <c r="J540" s="15" t="n">
        <f aca="false">I540*(1+IF(J$3&lt;=$O$2,$D540,$D540-($D540-$I$535)*MIN(J$3-$O$2,$Q$2)/$Q$2))</f>
        <v>6558.15134234034</v>
      </c>
      <c r="K540" s="15" t="n">
        <f aca="false">J540*(1+IF(K$3&lt;=$O$2,$D540,$D540-($D540-$I$535)*MIN(K$3-$O$2,$Q$2)/$Q$2))</f>
        <v>6522.54058055144</v>
      </c>
      <c r="L540" s="15" t="n">
        <f aca="false">K540*(1+IF(L$3&lt;=$O$2,$D540,$D540-($D540-$I$535)*MIN(L$3-$O$2,$Q$2)/$Q$2))</f>
        <v>6571.32918409396</v>
      </c>
      <c r="M540" s="15" t="n">
        <f aca="false">L540*(1+IF(M$3&lt;=$O$2,$D540,$D540-($D540-$I$535)*MIN(M$3-$O$2,$Q$2)/$Q$2))</f>
        <v>6705.31858615764</v>
      </c>
      <c r="N540" s="15" t="n">
        <f aca="false">M540*(1+IF(N$3&lt;=$O$2,$D540,$D540-($D540-$I$535)*MIN(N$3-$O$2,$Q$2)/$Q$2))</f>
        <v>6928.60569507669</v>
      </c>
      <c r="O540" s="15" t="n">
        <f aca="false">SUMPRODUCT(E540:N540,1/(1+$F$535)^$E$3:$N$3)*$E$2</f>
        <v>12875.8183586159</v>
      </c>
      <c r="P540" s="15" t="n">
        <f aca="false">N540*$E$2*(1+$I$535)/($F$535-$I$535)/(1+$F$535)^$N$3</f>
        <v>16417.2294912892</v>
      </c>
      <c r="Q540" s="15" t="n">
        <f aca="false">O540+P540</f>
        <v>29293.0478499051</v>
      </c>
      <c r="R540" s="15" t="n">
        <f aca="false">Q540-$G$2+$I$2</f>
        <v>26776.0478499051</v>
      </c>
      <c r="S540" s="42" t="n">
        <f aca="false">R540/$K$2</f>
        <v>61.8070445729771</v>
      </c>
      <c r="T540" s="43" t="n">
        <f aca="false">S540-$M$2</f>
        <v>-43.4512537512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7952.34375</v>
      </c>
      <c r="F541" s="15" t="n">
        <f aca="false">E541*(1+IF(F$3&lt;=$O$2,$D541,$D541-($D541-$I$535)*MIN(F$3-$O$2,$Q$2)/$Q$2))</f>
        <v>8076.59912109375</v>
      </c>
      <c r="G541" s="15" t="n">
        <f aca="false">F541*(1+IF(G$3&lt;=$O$2,$D541,$D541-($D541-$I$535)*MIN(G$3-$O$2,$Q$2)/$Q$2))</f>
        <v>8202.79598236084</v>
      </c>
      <c r="H541" s="15" t="n">
        <f aca="false">G541*(1+IF(H$3&lt;=$O$2,$D541,$D541-($D541-$I$535)*MIN(H$3-$O$2,$Q$2)/$Q$2))</f>
        <v>8330.96466958523</v>
      </c>
      <c r="I541" s="15" t="n">
        <f aca="false">H541*(1+IF(I$3&lt;=$O$2,$D541,$D541-($D541-$I$535)*MIN(I$3-$O$2,$Q$2)/$Q$2))</f>
        <v>8461.1359925475</v>
      </c>
      <c r="J541" s="15" t="n">
        <f aca="false">I541*(1+IF(J$3&lt;=$O$2,$D541,$D541-($D541-$I$535)*MIN(J$3-$O$2,$Q$2)/$Q$2))</f>
        <v>8623.25135816471</v>
      </c>
      <c r="K541" s="15" t="n">
        <f aca="false">J541*(1+IF(K$3&lt;=$O$2,$D541,$D541-($D541-$I$535)*MIN(K$3-$O$2,$Q$2)/$Q$2))</f>
        <v>8818.95604773826</v>
      </c>
      <c r="L541" s="15" t="n">
        <f aca="false">K541*(1+IF(L$3&lt;=$O$2,$D541,$D541-($D541-$I$535)*MIN(L$3-$O$2,$Q$2)/$Q$2))</f>
        <v>9050.27726487043</v>
      </c>
      <c r="M541" s="15" t="n">
        <f aca="false">L541*(1+IF(M$3&lt;=$O$2,$D541,$D541-($D541-$I$535)*MIN(M$3-$O$2,$Q$2)/$Q$2))</f>
        <v>9319.6587676593</v>
      </c>
      <c r="N541" s="15" t="n">
        <f aca="false">M541*(1+IF(N$3&lt;=$O$2,$D541,$D541-($D541-$I$535)*MIN(N$3-$O$2,$Q$2)/$Q$2))</f>
        <v>9630.00340462235</v>
      </c>
      <c r="O541" s="15" t="n">
        <f aca="false">SUMPRODUCT(E541:N541,1/(1+$F$535)^$E$3:$N$3)*$E$2</f>
        <v>15781.2335861556</v>
      </c>
      <c r="P541" s="15" t="n">
        <f aca="false">N541*$E$2*(1+$I$535)/($F$535-$I$535)/(1+$F$535)^$N$3</f>
        <v>22818.1517109456</v>
      </c>
      <c r="Q541" s="15" t="n">
        <f aca="false">O541+P541</f>
        <v>38599.3852971013</v>
      </c>
      <c r="R541" s="15" t="n">
        <f aca="false">Q541-$G$2+$I$2</f>
        <v>36082.3852971013</v>
      </c>
      <c r="S541" s="42" t="n">
        <f aca="false">R541/$K$2</f>
        <v>83.2888262247848</v>
      </c>
      <c r="T541" s="43" t="n">
        <f aca="false">S541-$M$2</f>
        <v>-21.9694720993923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41" t="n">
        <f aca="false">(B542+C542)/2</f>
        <v>0.0390625</v>
      </c>
      <c r="E542" s="15" t="n">
        <f aca="false">$C$2*(1+IF(E$3&lt;=$O$2,$D542,$D542-($D542-$I$535)*MIN(E$3-$O$2,$Q$2)/$Q$2))</f>
        <v>8135.859375</v>
      </c>
      <c r="F542" s="15" t="n">
        <f aca="false">E542*(1+IF(F$3&lt;=$O$2,$D542,$D542-($D542-$I$535)*MIN(F$3-$O$2,$Q$2)/$Q$2))</f>
        <v>8453.66638183594</v>
      </c>
      <c r="G542" s="15" t="n">
        <f aca="false">F542*(1+IF(G$3&lt;=$O$2,$D542,$D542-($D542-$I$535)*MIN(G$3-$O$2,$Q$2)/$Q$2))</f>
        <v>8783.8877248764</v>
      </c>
      <c r="H542" s="15" t="n">
        <f aca="false">G542*(1+IF(H$3&lt;=$O$2,$D542,$D542-($D542-$I$535)*MIN(H$3-$O$2,$Q$2)/$Q$2))</f>
        <v>9127.00833912939</v>
      </c>
      <c r="I542" s="15" t="n">
        <f aca="false">H542*(1+IF(I$3&lt;=$O$2,$D542,$D542-($D542-$I$535)*MIN(I$3-$O$2,$Q$2)/$Q$2))</f>
        <v>9483.53210237663</v>
      </c>
      <c r="J542" s="15" t="n">
        <f aca="false">I542*(1+IF(J$3&lt;=$O$2,$D542,$D542-($D542-$I$535)*MIN(J$3-$O$2,$Q$2)/$Q$2))</f>
        <v>9843.05280437773</v>
      </c>
      <c r="K542" s="15" t="n">
        <f aca="false">J542*(1+IF(K$3&lt;=$O$2,$D542,$D542-($D542-$I$535)*MIN(K$3-$O$2,$Q$2)/$Q$2))</f>
        <v>10204.8588178346</v>
      </c>
      <c r="L542" s="15" t="n">
        <f aca="false">K542*(1+IF(L$3&lt;=$O$2,$D542,$D542-($D542-$I$535)*MIN(L$3-$O$2,$Q$2)/$Q$2))</f>
        <v>10568.2028160436</v>
      </c>
      <c r="M542" s="15" t="n">
        <f aca="false">L542*(1+IF(M$3&lt;=$O$2,$D542,$D542-($D542-$I$535)*MIN(M$3-$O$2,$Q$2)/$Q$2))</f>
        <v>10932.3038235634</v>
      </c>
      <c r="N542" s="15" t="n">
        <f aca="false">M542*(1+IF(N$3&lt;=$O$2,$D542,$D542-($D542-$I$535)*MIN(N$3-$O$2,$Q$2)/$Q$2))</f>
        <v>11296.3495408881</v>
      </c>
      <c r="O542" s="15" t="n">
        <f aca="false">SUMPRODUCT(E542:N542,1/(1+$F$535)^$E$3:$N$3)*$E$2</f>
        <v>17477.1697862393</v>
      </c>
      <c r="P542" s="15" t="n">
        <f aca="false">N542*$E$2*(1+$I$535)/($F$535-$I$535)/(1+$F$535)^$N$3</f>
        <v>26766.5344209671</v>
      </c>
      <c r="Q542" s="15" t="n">
        <f aca="false">O542+P542</f>
        <v>44243.7042072064</v>
      </c>
      <c r="R542" s="15" t="n">
        <f aca="false">Q542-$G$2+$I$2</f>
        <v>41726.7042072064</v>
      </c>
      <c r="S542" s="42" t="n">
        <f aca="false">R542/$K$2</f>
        <v>96.3175850773428</v>
      </c>
      <c r="T542" s="43" t="n">
        <f aca="false">S542-$M$2</f>
        <v>-8.94071324683435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0.0390625</v>
      </c>
      <c r="C543" s="25" t="n">
        <f aca="false">IF(T542&gt;0,D542,C542)</f>
        <v>0.0625</v>
      </c>
      <c r="D543" s="41" t="n">
        <f aca="false">(B543+C543)/2</f>
        <v>0.05078125</v>
      </c>
      <c r="E543" s="15" t="n">
        <f aca="false">$C$2*(1+IF(E$3&lt;=$O$2,$D543,$D543-($D543-$I$535)*MIN(E$3-$O$2,$Q$2)/$Q$2))</f>
        <v>8227.6171875</v>
      </c>
      <c r="F543" s="15" t="n">
        <f aca="false">E543*(1+IF(F$3&lt;=$O$2,$D543,$D543-($D543-$I$535)*MIN(F$3-$O$2,$Q$2)/$Q$2))</f>
        <v>8645.42587280273</v>
      </c>
      <c r="G543" s="15" t="n">
        <f aca="false">F543*(1+IF(G$3&lt;=$O$2,$D543,$D543-($D543-$I$535)*MIN(G$3-$O$2,$Q$2)/$Q$2))</f>
        <v>9084.451405406</v>
      </c>
      <c r="H543" s="15" t="n">
        <f aca="false">G543*(1+IF(H$3&lt;=$O$2,$D543,$D543-($D543-$I$535)*MIN(H$3-$O$2,$Q$2)/$Q$2))</f>
        <v>9545.77120333677</v>
      </c>
      <c r="I543" s="15" t="n">
        <f aca="false">H543*(1+IF(I$3&lt;=$O$2,$D543,$D543-($D543-$I$535)*MIN(I$3-$O$2,$Q$2)/$Q$2))</f>
        <v>10030.5173972562</v>
      </c>
      <c r="J543" s="15" t="n">
        <f aca="false">I543*(1+IF(J$3&lt;=$O$2,$D543,$D543-($D543-$I$535)*MIN(J$3-$O$2,$Q$2)/$Q$2))</f>
        <v>10504.8104123855</v>
      </c>
      <c r="K543" s="15" t="n">
        <f aca="false">J543*(1+IF(K$3&lt;=$O$2,$D543,$D543-($D543-$I$535)*MIN(K$3-$O$2,$Q$2)/$Q$2))</f>
        <v>10964.8029293308</v>
      </c>
      <c r="L543" s="15" t="n">
        <f aca="false">K543*(1+IF(L$3&lt;=$O$2,$D543,$D543-($D543-$I$535)*MIN(L$3-$O$2,$Q$2)/$Q$2))</f>
        <v>11406.6022513609</v>
      </c>
      <c r="M543" s="15" t="n">
        <f aca="false">L543*(1+IF(M$3&lt;=$O$2,$D543,$D543-($D543-$I$535)*MIN(M$3-$O$2,$Q$2)/$Q$2))</f>
        <v>11826.3224394525</v>
      </c>
      <c r="N543" s="15" t="n">
        <f aca="false">M543*(1+IF(N$3&lt;=$O$2,$D543,$D543-($D543-$I$535)*MIN(N$3-$O$2,$Q$2)/$Q$2))</f>
        <v>12220.1389766863</v>
      </c>
      <c r="O543" s="15" t="n">
        <f aca="false">SUMPRODUCT(E543:N543,1/(1+$F$535)^$E$3:$N$3)*$E$2</f>
        <v>18393.2095506972</v>
      </c>
      <c r="P543" s="15" t="n">
        <f aca="false">N543*$E$2*(1+$I$535)/($F$535-$I$535)/(1+$F$535)^$N$3</f>
        <v>28955.439929027</v>
      </c>
      <c r="Q543" s="15" t="n">
        <f aca="false">O543+P543</f>
        <v>47348.6494797242</v>
      </c>
      <c r="R543" s="15" t="n">
        <f aca="false">Q543-$G$2+$I$2</f>
        <v>44831.6494797242</v>
      </c>
      <c r="S543" s="42" t="n">
        <f aca="false">R543/$K$2</f>
        <v>103.484717879424</v>
      </c>
      <c r="T543" s="43" t="n">
        <f aca="false">S543-$M$2</f>
        <v>-1.77358044475285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0.05078125</v>
      </c>
      <c r="C544" s="25" t="n">
        <f aca="false">IF(T543&gt;0,D543,C543)</f>
        <v>0.0625</v>
      </c>
      <c r="D544" s="41" t="n">
        <f aca="false">(B544+C544)/2</f>
        <v>0.056640625</v>
      </c>
      <c r="E544" s="15" t="n">
        <f aca="false">$C$2*(1+IF(E$3&lt;=$O$2,$D544,$D544-($D544-$I$535)*MIN(E$3-$O$2,$Q$2)/$Q$2))</f>
        <v>8273.49609375</v>
      </c>
      <c r="F544" s="15" t="n">
        <f aca="false">E544*(1+IF(F$3&lt;=$O$2,$D544,$D544-($D544-$I$535)*MIN(F$3-$O$2,$Q$2)/$Q$2))</f>
        <v>8742.11208343506</v>
      </c>
      <c r="G544" s="15" t="n">
        <f aca="false">F544*(1+IF(G$3&lt;=$O$2,$D544,$D544-($D544-$I$535)*MIN(G$3-$O$2,$Q$2)/$Q$2))</f>
        <v>9237.27077566087</v>
      </c>
      <c r="H544" s="15" t="n">
        <f aca="false">G544*(1+IF(H$3&lt;=$O$2,$D544,$D544-($D544-$I$535)*MIN(H$3-$O$2,$Q$2)/$Q$2))</f>
        <v>9760.47556568854</v>
      </c>
      <c r="I544" s="15" t="n">
        <f aca="false">H544*(1+IF(I$3&lt;=$O$2,$D544,$D544-($D544-$I$535)*MIN(I$3-$O$2,$Q$2)/$Q$2))</f>
        <v>10313.3150020264</v>
      </c>
      <c r="J544" s="15" t="n">
        <f aca="false">I544*(1+IF(J$3&lt;=$O$2,$D544,$D544-($D544-$I$535)*MIN(J$3-$O$2,$Q$2)/$Q$2))</f>
        <v>10849.3237659692</v>
      </c>
      <c r="K544" s="15" t="n">
        <f aca="false">J544*(1+IF(K$3&lt;=$O$2,$D544,$D544-($D544-$I$535)*MIN(K$3-$O$2,$Q$2)/$Q$2))</f>
        <v>11362.544245891</v>
      </c>
      <c r="L544" s="15" t="n">
        <f aca="false">K544*(1+IF(L$3&lt;=$O$2,$D544,$D544-($D544-$I$535)*MIN(L$3-$O$2,$Q$2)/$Q$2))</f>
        <v>11847.0005229949</v>
      </c>
      <c r="M544" s="15" t="n">
        <f aca="false">L544*(1+IF(M$3&lt;=$O$2,$D544,$D544-($D544-$I$535)*MIN(M$3-$O$2,$Q$2)/$Q$2))</f>
        <v>12296.808919727</v>
      </c>
      <c r="N544" s="15" t="n">
        <f aca="false">M544*(1+IF(N$3&lt;=$O$2,$D544,$D544-($D544-$I$535)*MIN(N$3-$O$2,$Q$2)/$Q$2))</f>
        <v>12706.2926567539</v>
      </c>
      <c r="O544" s="15" t="n">
        <f aca="false">SUMPRODUCT(E544:N544,1/(1+$F$535)^$E$3:$N$3)*$E$2</f>
        <v>18869.2297649209</v>
      </c>
      <c r="P544" s="15" t="n">
        <f aca="false">N544*$E$2*(1+$I$535)/($F$535-$I$535)/(1+$F$535)^$N$3</f>
        <v>30107.3739378242</v>
      </c>
      <c r="Q544" s="15" t="n">
        <f aca="false">O544+P544</f>
        <v>48976.6037027451</v>
      </c>
      <c r="R544" s="15" t="n">
        <f aca="false">Q544-$G$2+$I$2</f>
        <v>46459.6037027451</v>
      </c>
      <c r="S544" s="42" t="n">
        <f aca="false">R544/$K$2</f>
        <v>107.24251812646</v>
      </c>
      <c r="T544" s="43" t="n">
        <f aca="false">S544-$M$2</f>
        <v>1.98421980228304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0.05078125</v>
      </c>
      <c r="C545" s="25" t="n">
        <f aca="false">IF(T544&gt;0,D544,C544)</f>
        <v>0.056640625</v>
      </c>
      <c r="D545" s="41" t="n">
        <f aca="false">(B545+C545)/2</f>
        <v>0.0537109375</v>
      </c>
      <c r="E545" s="15" t="n">
        <f aca="false">$C$2*(1+IF(E$3&lt;=$O$2,$D545,$D545-($D545-$I$535)*MIN(E$3-$O$2,$Q$2)/$Q$2))</f>
        <v>8250.556640625</v>
      </c>
      <c r="F545" s="15" t="n">
        <f aca="false">E545*(1+IF(F$3&lt;=$O$2,$D545,$D545-($D545-$I$535)*MIN(F$3-$O$2,$Q$2)/$Q$2))</f>
        <v>8693.70177268982</v>
      </c>
      <c r="G545" s="15" t="n">
        <f aca="false">F545*(1+IF(G$3&lt;=$O$2,$D545,$D545-($D545-$I$535)*MIN(G$3-$O$2,$Q$2)/$Q$2))</f>
        <v>9160.6486452464</v>
      </c>
      <c r="H545" s="15" t="n">
        <f aca="false">G545*(1+IF(H$3&lt;=$O$2,$D545,$D545-($D545-$I$535)*MIN(H$3-$O$2,$Q$2)/$Q$2))</f>
        <v>9652.67567209069</v>
      </c>
      <c r="I545" s="15" t="n">
        <f aca="false">H545*(1+IF(I$3&lt;=$O$2,$D545,$D545-($D545-$I$535)*MIN(I$3-$O$2,$Q$2)/$Q$2))</f>
        <v>10171.1299318221</v>
      </c>
      <c r="J545" s="15" t="n">
        <f aca="false">I545*(1+IF(J$3&lt;=$O$2,$D545,$D545-($D545-$I$535)*MIN(J$3-$O$2,$Q$2)/$Q$2))</f>
        <v>10675.910396426</v>
      </c>
      <c r="K545" s="15" t="n">
        <f aca="false">J545*(1+IF(K$3&lt;=$O$2,$D545,$D545-($D545-$I$535)*MIN(K$3-$O$2,$Q$2)/$Q$2))</f>
        <v>11162.1614165413</v>
      </c>
      <c r="L545" s="15" t="n">
        <f aca="false">K545*(1+IF(L$3&lt;=$O$2,$D545,$D545-($D545-$I$535)*MIN(L$3-$O$2,$Q$2)/$Q$2))</f>
        <v>11624.9934633273</v>
      </c>
      <c r="M545" s="15" t="n">
        <f aca="false">L545*(1+IF(M$3&lt;=$O$2,$D545,$D545-($D545-$I$535)*MIN(M$3-$O$2,$Q$2)/$Q$2))</f>
        <v>12059.5611486596</v>
      </c>
      <c r="N545" s="15" t="n">
        <f aca="false">M545*(1+IF(N$3&lt;=$O$2,$D545,$D545-($D545-$I$535)*MIN(N$3-$O$2,$Q$2)/$Q$2))</f>
        <v>12461.14453491</v>
      </c>
      <c r="O545" s="15" t="n">
        <f aca="false">SUMPRODUCT(E545:N545,1/(1+$F$535)^$E$3:$N$3)*$E$2</f>
        <v>18629.6893834058</v>
      </c>
      <c r="P545" s="15" t="n">
        <f aca="false">N545*$E$2*(1+$I$535)/($F$535-$I$535)/(1+$F$535)^$N$3</f>
        <v>29526.4990615803</v>
      </c>
      <c r="Q545" s="15" t="n">
        <f aca="false">O545+P545</f>
        <v>48156.1884449861</v>
      </c>
      <c r="R545" s="15" t="n">
        <f aca="false">Q545-$G$2+$I$2</f>
        <v>45639.1884449861</v>
      </c>
      <c r="S545" s="42" t="n">
        <f aca="false">R545/$K$2</f>
        <v>105.348756855607</v>
      </c>
      <c r="T545" s="43" t="n">
        <f aca="false">S545-$M$2</f>
        <v>0.0904585314299311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0.05078125</v>
      </c>
      <c r="C546" s="25" t="n">
        <f aca="false">IF(T545&gt;0,D545,C545)</f>
        <v>0.0537109375</v>
      </c>
      <c r="D546" s="41" t="n">
        <f aca="false">(B546+C546)/2</f>
        <v>0.05224609375</v>
      </c>
      <c r="E546" s="15" t="n">
        <f aca="false">$C$2*(1+IF(E$3&lt;=$O$2,$D546,$D546-($D546-$I$535)*MIN(E$3-$O$2,$Q$2)/$Q$2))</f>
        <v>8239.0869140625</v>
      </c>
      <c r="F546" s="15" t="n">
        <f aca="false">E546*(1+IF(F$3&lt;=$O$2,$D546,$D546-($D546-$I$535)*MIN(F$3-$O$2,$Q$2)/$Q$2))</f>
        <v>8669.54702138901</v>
      </c>
      <c r="G546" s="15" t="n">
        <f aca="false">F546*(1+IF(G$3&lt;=$O$2,$D546,$D546-($D546-$I$535)*MIN(G$3-$O$2,$Q$2)/$Q$2))</f>
        <v>9122.49698783853</v>
      </c>
      <c r="H546" s="15" t="n">
        <f aca="false">G546*(1+IF(H$3&lt;=$O$2,$D546,$D546-($D546-$I$535)*MIN(H$3-$O$2,$Q$2)/$Q$2))</f>
        <v>9599.11182069924</v>
      </c>
      <c r="I546" s="15" t="n">
        <f aca="false">H546*(1+IF(I$3&lt;=$O$2,$D546,$D546-($D546-$I$535)*MIN(I$3-$O$2,$Q$2)/$Q$2))</f>
        <v>10100.6279168002</v>
      </c>
      <c r="J546" s="15" t="n">
        <f aca="false">I546*(1+IF(J$3&lt;=$O$2,$D546,$D546-($D546-$I$535)*MIN(J$3-$O$2,$Q$2)/$Q$2))</f>
        <v>10590.0727811861</v>
      </c>
      <c r="K546" s="15" t="n">
        <f aca="false">J546*(1+IF(K$3&lt;=$O$2,$D546,$D546-($D546-$I$535)*MIN(K$3-$O$2,$Q$2)/$Q$2))</f>
        <v>11063.1065118386</v>
      </c>
      <c r="L546" s="15" t="n">
        <f aca="false">K546*(1+IF(L$3&lt;=$O$2,$D546,$D546-($D546-$I$535)*MIN(L$3-$O$2,$Q$2)/$Q$2))</f>
        <v>11515.3490199387</v>
      </c>
      <c r="M546" s="15" t="n">
        <f aca="false">L546*(1+IF(M$3&lt;=$O$2,$D546,$D546-($D546-$I$535)*MIN(M$3-$O$2,$Q$2)/$Q$2))</f>
        <v>11942.4443187218</v>
      </c>
      <c r="N546" s="15" t="n">
        <f aca="false">M546*(1+IF(N$3&lt;=$O$2,$D546,$D546-($D546-$I$535)*MIN(N$3-$O$2,$Q$2)/$Q$2))</f>
        <v>12340.1277145352</v>
      </c>
      <c r="O546" s="15" t="n">
        <f aca="false">SUMPRODUCT(E546:N546,1/(1+$F$535)^$E$3:$N$3)*$E$2</f>
        <v>18511.0691936989</v>
      </c>
      <c r="P546" s="15" t="n">
        <f aca="false">N546*$E$2*(1+$I$535)/($F$535-$I$535)/(1+$F$535)^$N$3</f>
        <v>29239.7514820766</v>
      </c>
      <c r="Q546" s="15" t="n">
        <f aca="false">O546+P546</f>
        <v>47750.8206757755</v>
      </c>
      <c r="R546" s="15" t="n">
        <f aca="false">Q546-$G$2+$I$2</f>
        <v>45233.8206757755</v>
      </c>
      <c r="S546" s="42" t="n">
        <f aca="false">R546/$K$2</f>
        <v>104.413048048972</v>
      </c>
      <c r="T546" s="43" t="n">
        <f aca="false">S546-$M$2</f>
        <v>-0.845250275205572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0.05224609375</v>
      </c>
      <c r="C547" s="25" t="n">
        <f aca="false">IF(T546&gt;0,D546,C546)</f>
        <v>0.0537109375</v>
      </c>
      <c r="D547" s="41" t="n">
        <f aca="false">(B547+C547)/2</f>
        <v>0.052978515625</v>
      </c>
      <c r="E547" s="15" t="n">
        <f aca="false">$C$2*(1+IF(E$3&lt;=$O$2,$D547,$D547-($D547-$I$535)*MIN(E$3-$O$2,$Q$2)/$Q$2))</f>
        <v>8244.82177734375</v>
      </c>
      <c r="F547" s="15" t="n">
        <f aca="false">E547*(1+IF(F$3&lt;=$O$2,$D547,$D547-($D547-$I$535)*MIN(F$3-$O$2,$Q$2)/$Q$2))</f>
        <v>8681.6201967001</v>
      </c>
      <c r="G547" s="15" t="n">
        <f aca="false">F547*(1+IF(G$3&lt;=$O$2,$D547,$D547-($D547-$I$535)*MIN(G$3-$O$2,$Q$2)/$Q$2))</f>
        <v>9141.55954794129</v>
      </c>
      <c r="H547" s="15" t="n">
        <f aca="false">G547*(1+IF(H$3&lt;=$O$2,$D547,$D547-($D547-$I$535)*MIN(H$3-$O$2,$Q$2)/$Q$2))</f>
        <v>9625.86580328876</v>
      </c>
      <c r="I547" s="15" t="n">
        <f aca="false">H547*(1+IF(I$3&lt;=$O$2,$D547,$D547-($D547-$I$535)*MIN(I$3-$O$2,$Q$2)/$Q$2))</f>
        <v>10135.8298851525</v>
      </c>
      <c r="J547" s="15" t="n">
        <f aca="false">I547*(1+IF(J$3&lt;=$O$2,$D547,$D547-($D547-$I$535)*MIN(J$3-$O$2,$Q$2)/$Q$2))</f>
        <v>10632.9194897419</v>
      </c>
      <c r="K547" s="15" t="n">
        <f aca="false">J547*(1+IF(K$3&lt;=$O$2,$D547,$D547-($D547-$I$535)*MIN(K$3-$O$2,$Q$2)/$Q$2))</f>
        <v>11112.5397521412</v>
      </c>
      <c r="L547" s="15" t="n">
        <f aca="false">K547*(1+IF(L$3&lt;=$O$2,$D547,$D547-($D547-$I$535)*MIN(L$3-$O$2,$Q$2)/$Q$2))</f>
        <v>11570.0586407459</v>
      </c>
      <c r="M547" s="15" t="n">
        <f aca="false">L547*(1+IF(M$3&lt;=$O$2,$D547,$D547-($D547-$I$535)*MIN(M$3-$O$2,$Q$2)/$Q$2))</f>
        <v>12000.8779094316</v>
      </c>
      <c r="N547" s="15" t="n">
        <f aca="false">M547*(1+IF(N$3&lt;=$O$2,$D547,$D547-($D547-$I$535)*MIN(N$3-$O$2,$Q$2)/$Q$2))</f>
        <v>12400.5071438156</v>
      </c>
      <c r="O547" s="15" t="n">
        <f aca="false">SUMPRODUCT(E547:N547,1/(1+$F$535)^$E$3:$N$3)*$E$2</f>
        <v>18570.2839342443</v>
      </c>
      <c r="P547" s="15" t="n">
        <f aca="false">N547*$E$2*(1+$I$535)/($F$535-$I$535)/(1+$F$535)^$N$3</f>
        <v>29382.8196534627</v>
      </c>
      <c r="Q547" s="15" t="n">
        <f aca="false">O547+P547</f>
        <v>47953.103587707</v>
      </c>
      <c r="R547" s="15" t="n">
        <f aca="false">Q547-$G$2+$I$2</f>
        <v>45436.103587707</v>
      </c>
      <c r="S547" s="42" t="n">
        <f aca="false">R547/$K$2</f>
        <v>104.879976888664</v>
      </c>
      <c r="T547" s="43" t="n">
        <f aca="false">S547-$M$2</f>
        <v>-0.378321435513101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0.052978515625</v>
      </c>
      <c r="C548" s="25" t="n">
        <f aca="false">IF(T547&gt;0,D547,C547)</f>
        <v>0.0537109375</v>
      </c>
      <c r="D548" s="41" t="n">
        <f aca="false">(B548+C548)/2</f>
        <v>0.0533447265625</v>
      </c>
      <c r="E548" s="15" t="n">
        <f aca="false">$C$2*(1+IF(E$3&lt;=$O$2,$D548,$D548-($D548-$I$535)*MIN(E$3-$O$2,$Q$2)/$Q$2))</f>
        <v>8247.68920898438</v>
      </c>
      <c r="F548" s="15" t="n">
        <f aca="false">E548*(1+IF(F$3&lt;=$O$2,$D548,$D548-($D548-$I$535)*MIN(F$3-$O$2,$Q$2)/$Q$2))</f>
        <v>8687.65993461013</v>
      </c>
      <c r="G548" s="15" t="n">
        <f aca="false">F548*(1+IF(G$3&lt;=$O$2,$D548,$D548-($D548-$I$535)*MIN(G$3-$O$2,$Q$2)/$Q$2))</f>
        <v>9151.10077828989</v>
      </c>
      <c r="H548" s="15" t="n">
        <f aca="false">G548*(1+IF(H$3&lt;=$O$2,$D548,$D548-($D548-$I$535)*MIN(H$3-$O$2,$Q$2)/$Q$2))</f>
        <v>9639.26374705365</v>
      </c>
      <c r="I548" s="15" t="n">
        <f aca="false">H548*(1+IF(I$3&lt;=$O$2,$D548,$D548-($D548-$I$535)*MIN(I$3-$O$2,$Q$2)/$Q$2))</f>
        <v>10153.467635904</v>
      </c>
      <c r="J548" s="15" t="n">
        <f aca="false">I548*(1+IF(J$3&lt;=$O$2,$D548,$D548-($D548-$I$535)*MIN(J$3-$O$2,$Q$2)/$Q$2))</f>
        <v>10654.396894118</v>
      </c>
      <c r="K548" s="15" t="n">
        <f aca="false">J548*(1+IF(K$3&lt;=$O$2,$D548,$D548-($D548-$I$535)*MIN(K$3-$O$2,$Q$2)/$Q$2))</f>
        <v>11137.3269941507</v>
      </c>
      <c r="L548" s="15" t="n">
        <f aca="false">K548*(1+IF(L$3&lt;=$O$2,$D548,$D548-($D548-$I$535)*MIN(L$3-$O$2,$Q$2)/$Q$2))</f>
        <v>11597.4978527498</v>
      </c>
      <c r="M548" s="15" t="n">
        <f aca="false">L548*(1+IF(M$3&lt;=$O$2,$D548,$D548-($D548-$I$535)*MIN(M$3-$O$2,$Q$2)/$Q$2))</f>
        <v>12030.1882658999</v>
      </c>
      <c r="N548" s="15" t="n">
        <f aca="false">M548*(1+IF(N$3&lt;=$O$2,$D548,$D548-($D548-$I$535)*MIN(N$3-$O$2,$Q$2)/$Q$2))</f>
        <v>12430.7935351544</v>
      </c>
      <c r="O548" s="15" t="n">
        <f aca="false">SUMPRODUCT(E548:N548,1/(1+$F$535)^$E$3:$N$3)*$E$2</f>
        <v>18599.9627844201</v>
      </c>
      <c r="P548" s="15" t="n">
        <f aca="false">N548*$E$2*(1+$I$535)/($F$535-$I$535)/(1+$F$535)^$N$3</f>
        <v>29454.5828131738</v>
      </c>
      <c r="Q548" s="15" t="n">
        <f aca="false">O548+P548</f>
        <v>48054.5455975939</v>
      </c>
      <c r="R548" s="15" t="n">
        <f aca="false">Q548-$G$2+$I$2</f>
        <v>45537.5455975939</v>
      </c>
      <c r="S548" s="42" t="n">
        <f aca="false">R548/$K$2</f>
        <v>105.114135075929</v>
      </c>
      <c r="T548" s="43" t="n">
        <f aca="false">S548-$M$2</f>
        <v>-0.144163248248361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0.0533447265625</v>
      </c>
      <c r="C549" s="25" t="n">
        <f aca="false">IF(T548&gt;0,D548,C548)</f>
        <v>0.0537109375</v>
      </c>
      <c r="D549" s="41" t="n">
        <f aca="false">(B549+C549)/2</f>
        <v>0.05352783203125</v>
      </c>
      <c r="E549" s="15" t="n">
        <f aca="false">$C$2*(1+IF(E$3&lt;=$O$2,$D549,$D549-($D549-$I$535)*MIN(E$3-$O$2,$Q$2)/$Q$2))</f>
        <v>8249.12292480469</v>
      </c>
      <c r="F549" s="15" t="n">
        <f aca="false">E549*(1+IF(F$3&lt;=$O$2,$D549,$D549-($D549-$I$535)*MIN(F$3-$O$2,$Q$2)/$Q$2))</f>
        <v>8690.68059112877</v>
      </c>
      <c r="G549" s="15" t="n">
        <f aca="false">F549*(1+IF(G$3&lt;=$O$2,$D549,$D549-($D549-$I$535)*MIN(G$3-$O$2,$Q$2)/$Q$2))</f>
        <v>9155.87388204795</v>
      </c>
      <c r="H549" s="15" t="n">
        <f aca="false">G549*(1+IF(H$3&lt;=$O$2,$D549,$D549-($D549-$I$535)*MIN(H$3-$O$2,$Q$2)/$Q$2))</f>
        <v>9645.96796130552</v>
      </c>
      <c r="I549" s="15" t="n">
        <f aca="false">H549*(1+IF(I$3&lt;=$O$2,$D549,$D549-($D549-$I$535)*MIN(I$3-$O$2,$Q$2)/$Q$2))</f>
        <v>10162.2957141171</v>
      </c>
      <c r="J549" s="15" t="n">
        <f aca="false">I549*(1+IF(J$3&lt;=$O$2,$D549,$D549-($D549-$I$535)*MIN(J$3-$O$2,$Q$2)/$Q$2))</f>
        <v>10665.1491300028</v>
      </c>
      <c r="K549" s="15" t="n">
        <f aca="false">J549*(1+IF(K$3&lt;=$O$2,$D549,$D549-($D549-$I$535)*MIN(K$3-$O$2,$Q$2)/$Q$2))</f>
        <v>11149.7383031459</v>
      </c>
      <c r="L549" s="15" t="n">
        <f aca="false">K549*(1+IF(L$3&lt;=$O$2,$D549,$D549-($D549-$I$535)*MIN(L$3-$O$2,$Q$2)/$Q$2))</f>
        <v>11611.238602076</v>
      </c>
      <c r="M549" s="15" t="n">
        <f aca="false">L549*(1+IF(M$3&lt;=$O$2,$D549,$D549-($D549-$I$535)*MIN(M$3-$O$2,$Q$2)/$Q$2))</f>
        <v>12044.8668843487</v>
      </c>
      <c r="N549" s="15" t="n">
        <f aca="false">M549*(1+IF(N$3&lt;=$O$2,$D549,$D549-($D549-$I$535)*MIN(N$3-$O$2,$Q$2)/$Q$2))</f>
        <v>12445.9609515975</v>
      </c>
      <c r="O549" s="15" t="n">
        <f aca="false">SUMPRODUCT(E549:N549,1/(1+$F$535)^$E$3:$N$3)*$E$2</f>
        <v>18614.820110828</v>
      </c>
      <c r="P549" s="15" t="n">
        <f aca="false">N549*$E$2*(1+$I$535)/($F$535-$I$535)/(1+$F$535)^$N$3</f>
        <v>29490.5217837972</v>
      </c>
      <c r="Q549" s="15" t="n">
        <f aca="false">O549+P549</f>
        <v>48105.3418946252</v>
      </c>
      <c r="R549" s="15" t="n">
        <f aca="false">Q549-$G$2+$I$2</f>
        <v>45588.3418946252</v>
      </c>
      <c r="S549" s="42" t="n">
        <f aca="false">R549/$K$2</f>
        <v>105.231387965988</v>
      </c>
      <c r="T549" s="43" t="n">
        <f aca="false">S549-$M$2</f>
        <v>-0.026910358189312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0.05352783203125</v>
      </c>
      <c r="C550" s="25" t="n">
        <f aca="false">IF(T549&gt;0,D549,C549)</f>
        <v>0.0537109375</v>
      </c>
      <c r="D550" s="41" t="n">
        <f aca="false">(B550+C550)/2</f>
        <v>0.053619384765625</v>
      </c>
      <c r="E550" s="15" t="n">
        <f aca="false">$C$2*(1+IF(E$3&lt;=$O$2,$D550,$D550-($D550-$I$535)*MIN(E$3-$O$2,$Q$2)/$Q$2))</f>
        <v>8249.83978271484</v>
      </c>
      <c r="F550" s="15" t="n">
        <f aca="false">E550*(1+IF(F$3&lt;=$O$2,$D550,$D550-($D550-$I$535)*MIN(F$3-$O$2,$Q$2)/$Q$2))</f>
        <v>8692.19111627899</v>
      </c>
      <c r="G550" s="15" t="n">
        <f aca="false">F550*(1+IF(G$3&lt;=$O$2,$D550,$D550-($D550-$I$535)*MIN(G$3-$O$2,$Q$2)/$Q$2))</f>
        <v>9158.2610561991</v>
      </c>
      <c r="H550" s="15" t="n">
        <f aca="false">G550*(1+IF(H$3&lt;=$O$2,$D550,$D550-($D550-$I$535)*MIN(H$3-$O$2,$Q$2)/$Q$2))</f>
        <v>9649.32137955548</v>
      </c>
      <c r="I550" s="15" t="n">
        <f aca="false">H550*(1+IF(I$3&lt;=$O$2,$D550,$D550-($D550-$I$535)*MIN(I$3-$O$2,$Q$2)/$Q$2))</f>
        <v>10166.712055333</v>
      </c>
      <c r="J550" s="15" t="n">
        <f aca="false">I550*(1+IF(J$3&lt;=$O$2,$D550,$D550-($D550-$I$535)*MIN(J$3-$O$2,$Q$2)/$Q$2))</f>
        <v>10670.5286340185</v>
      </c>
      <c r="K550" s="15" t="n">
        <f aca="false">J550*(1+IF(K$3&lt;=$O$2,$D550,$D550-($D550-$I$535)*MIN(K$3-$O$2,$Q$2)/$Q$2))</f>
        <v>11155.9483837117</v>
      </c>
      <c r="L550" s="15" t="n">
        <f aca="false">K550*(1+IF(L$3&lt;=$O$2,$D550,$D550-($D550-$I$535)*MIN(L$3-$O$2,$Q$2)/$Q$2))</f>
        <v>11618.1142679429</v>
      </c>
      <c r="M550" s="15" t="n">
        <f aca="false">L550*(1+IF(M$3&lt;=$O$2,$D550,$D550-($D550-$I$535)*MIN(M$3-$O$2,$Q$2)/$Q$2))</f>
        <v>12052.2120598777</v>
      </c>
      <c r="N550" s="15" t="n">
        <f aca="false">M550*(1+IF(N$3&lt;=$O$2,$D550,$D550-($D550-$I$535)*MIN(N$3-$O$2,$Q$2)/$Q$2))</f>
        <v>12453.5507214716</v>
      </c>
      <c r="O550" s="15" t="n">
        <f aca="false">SUMPRODUCT(E550:N550,1/(1+$F$535)^$E$3:$N$3)*$E$2</f>
        <v>18622.2532532849</v>
      </c>
      <c r="P550" s="15" t="n">
        <f aca="false">N550*$E$2*(1+$I$535)/($F$535-$I$535)/(1+$F$535)^$N$3</f>
        <v>29508.5056321057</v>
      </c>
      <c r="Q550" s="15" t="n">
        <f aca="false">O550+P550</f>
        <v>48130.7588853906</v>
      </c>
      <c r="R550" s="15" t="n">
        <f aca="false">Q550-$G$2+$I$2</f>
        <v>45613.7588853906</v>
      </c>
      <c r="S550" s="42" t="n">
        <f aca="false">R550/$K$2</f>
        <v>105.290057904507</v>
      </c>
      <c r="T550" s="43" t="n">
        <f aca="false">S550-$M$2</f>
        <v>0.0317595803301174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0.05352783203125</v>
      </c>
      <c r="C551" s="25" t="n">
        <f aca="false">IF(T550&gt;0,D550,C550)</f>
        <v>0.053619384765625</v>
      </c>
      <c r="D551" s="41" t="n">
        <f aca="false">(B551+C551)/2</f>
        <v>0.0535736083984375</v>
      </c>
      <c r="E551" s="15" t="n">
        <f aca="false">$C$2*(1+IF(E$3&lt;=$O$2,$D551,$D551-($D551-$I$535)*MIN(E$3-$O$2,$Q$2)/$Q$2))</f>
        <v>8249.48135375977</v>
      </c>
      <c r="F551" s="15" t="n">
        <f aca="false">E551*(1+IF(F$3&lt;=$O$2,$D551,$D551-($D551-$I$535)*MIN(F$3-$O$2,$Q$2)/$Q$2))</f>
        <v>8691.4358372963</v>
      </c>
      <c r="G551" s="15" t="n">
        <f aca="false">F551*(1+IF(G$3&lt;=$O$2,$D551,$D551-($D551-$I$535)*MIN(G$3-$O$2,$Q$2)/$Q$2))</f>
        <v>9157.06741726376</v>
      </c>
      <c r="H551" s="15" t="n">
        <f aca="false">G551*(1+IF(H$3&lt;=$O$2,$D551,$D551-($D551-$I$535)*MIN(H$3-$O$2,$Q$2)/$Q$2))</f>
        <v>9647.64456115434</v>
      </c>
      <c r="I551" s="15" t="n">
        <f aca="false">H551*(1+IF(I$3&lt;=$O$2,$D551,$D551-($D551-$I$535)*MIN(I$3-$O$2,$Q$2)/$Q$2))</f>
        <v>10164.5036928409</v>
      </c>
      <c r="J551" s="15" t="n">
        <f aca="false">I551*(1+IF(J$3&lt;=$O$2,$D551,$D551-($D551-$I$535)*MIN(J$3-$O$2,$Q$2)/$Q$2))</f>
        <v>10667.838599759</v>
      </c>
      <c r="K551" s="15" t="n">
        <f aca="false">J551*(1+IF(K$3&lt;=$O$2,$D551,$D551-($D551-$I$535)*MIN(K$3-$O$2,$Q$2)/$Q$2))</f>
        <v>11152.8429744686</v>
      </c>
      <c r="L551" s="15" t="n">
        <f aca="false">K551*(1+IF(L$3&lt;=$O$2,$D551,$D551-($D551-$I$535)*MIN(L$3-$O$2,$Q$2)/$Q$2))</f>
        <v>11614.6759939158</v>
      </c>
      <c r="M551" s="15" t="n">
        <f aca="false">L551*(1+IF(M$3&lt;=$O$2,$D551,$D551-($D551-$I$535)*MIN(M$3-$O$2,$Q$2)/$Q$2))</f>
        <v>12048.5389830683</v>
      </c>
      <c r="N551" s="15" t="n">
        <f aca="false">M551*(1+IF(N$3&lt;=$O$2,$D551,$D551-($D551-$I$535)*MIN(N$3-$O$2,$Q$2)/$Q$2))</f>
        <v>12449.7553312045</v>
      </c>
      <c r="O551" s="15" t="n">
        <f aca="false">SUMPRODUCT(E551:N551,1/(1+$F$535)^$E$3:$N$3)*$E$2</f>
        <v>18618.5363086686</v>
      </c>
      <c r="P551" s="15" t="n">
        <f aca="false">N551*$E$2*(1+$I$535)/($F$535-$I$535)/(1+$F$535)^$N$3</f>
        <v>29499.5125105793</v>
      </c>
      <c r="Q551" s="15" t="n">
        <f aca="false">O551+P551</f>
        <v>48118.0488192478</v>
      </c>
      <c r="R551" s="15" t="n">
        <f aca="false">Q551-$G$2+$I$2</f>
        <v>45601.0488192478</v>
      </c>
      <c r="S551" s="42" t="n">
        <f aca="false">R551/$K$2</f>
        <v>105.260719309468</v>
      </c>
      <c r="T551" s="43" t="n">
        <f aca="false">S551-$M$2</f>
        <v>0.00242098529115253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0.05352783203125</v>
      </c>
      <c r="C552" s="25" t="n">
        <f aca="false">IF(T551&gt;0,D551,C551)</f>
        <v>0.0535736083984375</v>
      </c>
      <c r="D552" s="41" t="n">
        <f aca="false">(B552+C552)/2</f>
        <v>0.0535507202148438</v>
      </c>
      <c r="E552" s="15" t="n">
        <f aca="false">$C$2*(1+IF(E$3&lt;=$O$2,$D552,$D552-($D552-$I$535)*MIN(E$3-$O$2,$Q$2)/$Q$2))</f>
        <v>8249.30213928223</v>
      </c>
      <c r="F552" s="15" t="n">
        <f aca="false">E552*(1+IF(F$3&lt;=$O$2,$D552,$D552-($D552-$I$535)*MIN(F$3-$O$2,$Q$2)/$Q$2))</f>
        <v>8691.05821011064</v>
      </c>
      <c r="G552" s="15" t="n">
        <f aca="false">F552*(1+IF(G$3&lt;=$O$2,$D552,$D552-($D552-$I$535)*MIN(G$3-$O$2,$Q$2)/$Q$2))</f>
        <v>9156.4706366912</v>
      </c>
      <c r="H552" s="15" t="n">
        <f aca="false">G552*(1+IF(H$3&lt;=$O$2,$D552,$D552-($D552-$I$535)*MIN(H$3-$O$2,$Q$2)/$Q$2))</f>
        <v>9646.80623391208</v>
      </c>
      <c r="I552" s="15" t="n">
        <f aca="false">H552*(1+IF(I$3&lt;=$O$2,$D552,$D552-($D552-$I$535)*MIN(I$3-$O$2,$Q$2)/$Q$2))</f>
        <v>10163.3996555111</v>
      </c>
      <c r="J552" s="15" t="n">
        <f aca="false">I552*(1+IF(J$3&lt;=$O$2,$D552,$D552-($D552-$I$535)*MIN(J$3-$O$2,$Q$2)/$Q$2))</f>
        <v>10666.493794324</v>
      </c>
      <c r="K552" s="15" t="n">
        <f aca="false">J552*(1+IF(K$3&lt;=$O$2,$D552,$D552-($D552-$I$535)*MIN(K$3-$O$2,$Q$2)/$Q$2))</f>
        <v>11151.2905465763</v>
      </c>
      <c r="L552" s="15" t="n">
        <f aca="false">K552*(1+IF(L$3&lt;=$O$2,$D552,$D552-($D552-$I$535)*MIN(L$3-$O$2,$Q$2)/$Q$2))</f>
        <v>11612.9571877345</v>
      </c>
      <c r="M552" s="15" t="n">
        <f aca="false">L552*(1+IF(M$3&lt;=$O$2,$D552,$D552-($D552-$I$535)*MIN(M$3-$O$2,$Q$2)/$Q$2))</f>
        <v>12046.7028114612</v>
      </c>
      <c r="N552" s="15" t="n">
        <f aca="false">M552*(1+IF(N$3&lt;=$O$2,$D552,$D552-($D552-$I$535)*MIN(N$3-$O$2,$Q$2)/$Q$2))</f>
        <v>12447.8580150829</v>
      </c>
      <c r="O552" s="15" t="n">
        <f aca="false">SUMPRODUCT(E552:N552,1/(1+$F$535)^$E$3:$N$3)*$E$2</f>
        <v>18616.6781164101</v>
      </c>
      <c r="P552" s="15" t="n">
        <f aca="false">N552*$E$2*(1+$I$535)/($F$535-$I$535)/(1+$F$535)^$N$3</f>
        <v>29495.0168478794</v>
      </c>
      <c r="Q552" s="15" t="n">
        <f aca="false">O552+P552</f>
        <v>48111.6949642895</v>
      </c>
      <c r="R552" s="15" t="n">
        <f aca="false">Q552-$G$2+$I$2</f>
        <v>45594.6949642895</v>
      </c>
      <c r="S552" s="42" t="n">
        <f aca="false">R552/$K$2</f>
        <v>105.246052731382</v>
      </c>
      <c r="T552" s="43" t="n">
        <f aca="false">S552-$M$2</f>
        <v>-0.0122455927947556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0.0535507202148438</v>
      </c>
      <c r="C553" s="25" t="n">
        <f aca="false">IF(T552&gt;0,D552,C552)</f>
        <v>0.0535736083984375</v>
      </c>
      <c r="D553" s="41" t="n">
        <f aca="false">(B553+C553)/2</f>
        <v>0.0535621643066406</v>
      </c>
      <c r="E553" s="15" t="n">
        <f aca="false">$C$2*(1+IF(E$3&lt;=$O$2,$D553,$D553-($D553-$I$535)*MIN(E$3-$O$2,$Q$2)/$Q$2))</f>
        <v>8249.391746521</v>
      </c>
      <c r="F553" s="15" t="n">
        <f aca="false">E553*(1+IF(F$3&lt;=$O$2,$D553,$D553-($D553-$I$535)*MIN(F$3-$O$2,$Q$2)/$Q$2))</f>
        <v>8691.247022678</v>
      </c>
      <c r="G553" s="15" t="n">
        <f aca="false">F553*(1+IF(G$3&lt;=$O$2,$D553,$D553-($D553-$I$535)*MIN(G$3-$O$2,$Q$2)/$Q$2))</f>
        <v>9156.76902373628</v>
      </c>
      <c r="H553" s="15" t="n">
        <f aca="false">G553*(1+IF(H$3&lt;=$O$2,$D553,$D553-($D553-$I$535)*MIN(H$3-$O$2,$Q$2)/$Q$2))</f>
        <v>9647.2253907036</v>
      </c>
      <c r="I553" s="15" t="n">
        <f aca="false">H553*(1+IF(I$3&lt;=$O$2,$D553,$D553-($D553-$I$535)*MIN(I$3-$O$2,$Q$2)/$Q$2))</f>
        <v>10163.9516621837</v>
      </c>
      <c r="J553" s="15" t="n">
        <f aca="false">I553*(1+IF(J$3&lt;=$O$2,$D553,$D553-($D553-$I$535)*MIN(J$3-$O$2,$Q$2)/$Q$2))</f>
        <v>10667.1661794015</v>
      </c>
      <c r="K553" s="15" t="n">
        <f aca="false">J553*(1+IF(K$3&lt;=$O$2,$D553,$D553-($D553-$I$535)*MIN(K$3-$O$2,$Q$2)/$Q$2))</f>
        <v>11152.0667374635</v>
      </c>
      <c r="L553" s="15" t="n">
        <f aca="false">K553*(1+IF(L$3&lt;=$O$2,$D553,$D553-($D553-$I$535)*MIN(L$3-$O$2,$Q$2)/$Q$2))</f>
        <v>11613.8165632583</v>
      </c>
      <c r="M553" s="15" t="n">
        <f aca="false">L553*(1+IF(M$3&lt;=$O$2,$D553,$D553-($D553-$I$535)*MIN(M$3-$O$2,$Q$2)/$Q$2))</f>
        <v>12047.6208667012</v>
      </c>
      <c r="N553" s="15" t="n">
        <f aca="false">M553*(1+IF(N$3&lt;=$O$2,$D553,$D553-($D553-$I$535)*MIN(N$3-$O$2,$Q$2)/$Q$2))</f>
        <v>12448.8066415624</v>
      </c>
      <c r="O553" s="15" t="n">
        <f aca="false">SUMPRODUCT(E553:N553,1/(1+$F$535)^$E$3:$N$3)*$E$2</f>
        <v>18617.6071892037</v>
      </c>
      <c r="P553" s="15" t="n">
        <f aca="false">N553*$E$2*(1+$I$535)/($F$535-$I$535)/(1+$F$535)^$N$3</f>
        <v>29497.2646043978</v>
      </c>
      <c r="Q553" s="15" t="n">
        <f aca="false">O553+P553</f>
        <v>48114.8717936015</v>
      </c>
      <c r="R553" s="15" t="n">
        <f aca="false">Q553-$G$2+$I$2</f>
        <v>45597.8717936015</v>
      </c>
      <c r="S553" s="42" t="n">
        <f aca="false">R553/$K$2</f>
        <v>105.253385793827</v>
      </c>
      <c r="T553" s="43" t="n">
        <f aca="false">S553-$M$2</f>
        <v>-0.00491253035058037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0.0535621643066406</v>
      </c>
      <c r="C554" s="25" t="n">
        <f aca="false">IF(T553&gt;0,D553,C553)</f>
        <v>0.0535736083984375</v>
      </c>
      <c r="D554" s="41" t="n">
        <f aca="false">(B554+C554)/2</f>
        <v>0.0535678863525391</v>
      </c>
      <c r="E554" s="15" t="n">
        <f aca="false">$C$2*(1+IF(E$3&lt;=$O$2,$D554,$D554-($D554-$I$535)*MIN(E$3-$O$2,$Q$2)/$Q$2))</f>
        <v>8249.43655014038</v>
      </c>
      <c r="F554" s="15" t="n">
        <f aca="false">E554*(1+IF(F$3&lt;=$O$2,$D554,$D554-($D554-$I$535)*MIN(F$3-$O$2,$Q$2)/$Q$2))</f>
        <v>8691.34142973078</v>
      </c>
      <c r="G554" s="15" t="n">
        <f aca="false">F554*(1+IF(G$3&lt;=$O$2,$D554,$D554-($D554-$I$535)*MIN(G$3-$O$2,$Q$2)/$Q$2))</f>
        <v>9156.91821968972</v>
      </c>
      <c r="H554" s="15" t="n">
        <f aca="false">G554*(1+IF(H$3&lt;=$O$2,$D554,$D554-($D554-$I$535)*MIN(H$3-$O$2,$Q$2)/$Q$2))</f>
        <v>9647.43497422155</v>
      </c>
      <c r="I554" s="15" t="n">
        <f aca="false">H554*(1+IF(I$3&lt;=$O$2,$D554,$D554-($D554-$I$535)*MIN(I$3-$O$2,$Q$2)/$Q$2))</f>
        <v>10164.2276745142</v>
      </c>
      <c r="J554" s="15" t="n">
        <f aca="false">I554*(1+IF(J$3&lt;=$O$2,$D554,$D554-($D554-$I$535)*MIN(J$3-$O$2,$Q$2)/$Q$2))</f>
        <v>10667.5023851702</v>
      </c>
      <c r="K554" s="15" t="n">
        <f aca="false">J554*(1+IF(K$3&lt;=$O$2,$D554,$D554-($D554-$I$535)*MIN(K$3-$O$2,$Q$2)/$Q$2))</f>
        <v>11152.4548502012</v>
      </c>
      <c r="L554" s="15" t="n">
        <f aca="false">K554*(1+IF(L$3&lt;=$O$2,$D554,$D554-($D554-$I$535)*MIN(L$3-$O$2,$Q$2)/$Q$2))</f>
        <v>11614.2462716952</v>
      </c>
      <c r="M554" s="15" t="n">
        <f aca="false">L554*(1+IF(M$3&lt;=$O$2,$D554,$D554-($D554-$I$535)*MIN(M$3-$O$2,$Q$2)/$Q$2))</f>
        <v>12048.0799172437</v>
      </c>
      <c r="N554" s="15" t="n">
        <f aca="false">M554*(1+IF(N$3&lt;=$O$2,$D554,$D554-($D554-$I$535)*MIN(N$3-$O$2,$Q$2)/$Q$2))</f>
        <v>12449.2809784879</v>
      </c>
      <c r="O554" s="15" t="n">
        <f aca="false">SUMPRODUCT(E554:N554,1/(1+$F$535)^$E$3:$N$3)*$E$2</f>
        <v>18618.0717431021</v>
      </c>
      <c r="P554" s="15" t="n">
        <f aca="false">N554*$E$2*(1+$I$535)/($F$535-$I$535)/(1+$F$535)^$N$3</f>
        <v>29498.3885387801</v>
      </c>
      <c r="Q554" s="15" t="n">
        <f aca="false">O554+P554</f>
        <v>48116.4602818822</v>
      </c>
      <c r="R554" s="15" t="n">
        <f aca="false">Q554-$G$2+$I$2</f>
        <v>45599.4602818822</v>
      </c>
      <c r="S554" s="42" t="n">
        <f aca="false">R554/$K$2</f>
        <v>105.257052494996</v>
      </c>
      <c r="T554" s="43" t="n">
        <f aca="false">S554-$M$2</f>
        <v>-0.00124582918095939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0.0535678863525391</v>
      </c>
      <c r="C555" s="25" t="n">
        <f aca="false">IF(T554&gt;0,D554,C554)</f>
        <v>0.0535736083984375</v>
      </c>
      <c r="D555" s="41" t="n">
        <f aca="false">(B555+C555)/2</f>
        <v>0.0535707473754883</v>
      </c>
      <c r="E555" s="15" t="n">
        <f aca="false">$C$2*(1+IF(E$3&lt;=$O$2,$D555,$D555-($D555-$I$535)*MIN(E$3-$O$2,$Q$2)/$Q$2))</f>
        <v>8249.45895195007</v>
      </c>
      <c r="F555" s="15" t="n">
        <f aca="false">E555*(1+IF(F$3&lt;=$O$2,$D555,$D555-($D555-$I$535)*MIN(F$3-$O$2,$Q$2)/$Q$2))</f>
        <v>8691.38863344945</v>
      </c>
      <c r="G555" s="15" t="n">
        <f aca="false">F555*(1+IF(G$3&lt;=$O$2,$D555,$D555-($D555-$I$535)*MIN(G$3-$O$2,$Q$2)/$Q$2))</f>
        <v>9156.99281827416</v>
      </c>
      <c r="H555" s="15" t="n">
        <f aca="false">G555*(1+IF(H$3&lt;=$O$2,$D555,$D555-($D555-$I$535)*MIN(H$3-$O$2,$Q$2)/$Q$2))</f>
        <v>9647.53976726109</v>
      </c>
      <c r="I555" s="15" t="n">
        <f aca="false">H555*(1+IF(I$3&lt;=$O$2,$D555,$D555-($D555-$I$535)*MIN(I$3-$O$2,$Q$2)/$Q$2))</f>
        <v>10164.365682928</v>
      </c>
      <c r="J555" s="15" t="n">
        <f aca="false">I555*(1+IF(J$3&lt;=$O$2,$D555,$D555-($D555-$I$535)*MIN(J$3-$O$2,$Q$2)/$Q$2))</f>
        <v>10667.6704913621</v>
      </c>
      <c r="K555" s="15" t="n">
        <f aca="false">J555*(1+IF(K$3&lt;=$O$2,$D555,$D555-($D555-$I$535)*MIN(K$3-$O$2,$Q$2)/$Q$2))</f>
        <v>11152.6489108937</v>
      </c>
      <c r="L555" s="15" t="n">
        <f aca="false">K555*(1+IF(L$3&lt;=$O$2,$D555,$D555-($D555-$I$535)*MIN(L$3-$O$2,$Q$2)/$Q$2))</f>
        <v>11614.4611310825</v>
      </c>
      <c r="M555" s="15" t="n">
        <f aca="false">L555*(1+IF(M$3&lt;=$O$2,$D555,$D555-($D555-$I$535)*MIN(M$3-$O$2,$Q$2)/$Q$2))</f>
        <v>12048.3094482457</v>
      </c>
      <c r="N555" s="15" t="n">
        <f aca="false">M555*(1+IF(N$3&lt;=$O$2,$D555,$D555-($D555-$I$535)*MIN(N$3-$O$2,$Q$2)/$Q$2))</f>
        <v>12449.5181528723</v>
      </c>
      <c r="O555" s="15" t="n">
        <f aca="false">SUMPRODUCT(E555:N555,1/(1+$F$535)^$E$3:$N$3)*$E$2</f>
        <v>18618.3040244268</v>
      </c>
      <c r="P555" s="15" t="n">
        <f aca="false">N555*$E$2*(1+$I$535)/($F$535-$I$535)/(1+$F$535)^$N$3</f>
        <v>29498.9505200025</v>
      </c>
      <c r="Q555" s="15" t="n">
        <f aca="false">O555+P555</f>
        <v>48117.2545444294</v>
      </c>
      <c r="R555" s="15" t="n">
        <f aca="false">Q555-$G$2+$I$2</f>
        <v>45600.2545444294</v>
      </c>
      <c r="S555" s="42" t="n">
        <f aca="false">R555/$K$2</f>
        <v>105.258885888069</v>
      </c>
      <c r="T555" s="43" t="n">
        <f aca="false">S555-$M$2</f>
        <v>0.00058756389211112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0.0535678863525391</v>
      </c>
      <c r="C556" s="25" t="n">
        <f aca="false">IF(T555&gt;0,D555,C555)</f>
        <v>0.0535707473754883</v>
      </c>
      <c r="D556" s="41" t="n">
        <f aca="false">(B556+C556)/2</f>
        <v>0.0535693168640137</v>
      </c>
      <c r="E556" s="15" t="n">
        <f aca="false">$C$2*(1+IF(E$3&lt;=$O$2,$D556,$D556-($D556-$I$535)*MIN(E$3-$O$2,$Q$2)/$Q$2))</f>
        <v>8249.44775104523</v>
      </c>
      <c r="F556" s="15" t="n">
        <f aca="false">E556*(1+IF(F$3&lt;=$O$2,$D556,$D556-($D556-$I$535)*MIN(F$3-$O$2,$Q$2)/$Q$2))</f>
        <v>8691.36503157409</v>
      </c>
      <c r="G556" s="15" t="n">
        <f aca="false">F556*(1+IF(G$3&lt;=$O$2,$D556,$D556-($D556-$I$535)*MIN(G$3-$O$2,$Q$2)/$Q$2))</f>
        <v>9156.9555189313</v>
      </c>
      <c r="H556" s="15" t="n">
        <f aca="false">G556*(1+IF(H$3&lt;=$O$2,$D556,$D556-($D556-$I$535)*MIN(H$3-$O$2,$Q$2)/$Q$2))</f>
        <v>9647.48737063461</v>
      </c>
      <c r="I556" s="15" t="n">
        <f aca="false">H556*(1+IF(I$3&lt;=$O$2,$D556,$D556-($D556-$I$535)*MIN(I$3-$O$2,$Q$2)/$Q$2))</f>
        <v>10164.2966785337</v>
      </c>
      <c r="J556" s="15" t="n">
        <f aca="false">I556*(1+IF(J$3&lt;=$O$2,$D556,$D556-($D556-$I$535)*MIN(J$3-$O$2,$Q$2)/$Q$2))</f>
        <v>10667.5864379905</v>
      </c>
      <c r="K556" s="15" t="n">
        <f aca="false">J556*(1+IF(K$3&lt;=$O$2,$D556,$D556-($D556-$I$535)*MIN(K$3-$O$2,$Q$2)/$Q$2))</f>
        <v>11152.5518801871</v>
      </c>
      <c r="L556" s="15" t="n">
        <f aca="false">K556*(1+IF(L$3&lt;=$O$2,$D556,$D556-($D556-$I$535)*MIN(L$3-$O$2,$Q$2)/$Q$2))</f>
        <v>11614.3537009581</v>
      </c>
      <c r="M556" s="15" t="n">
        <f aca="false">L556*(1+IF(M$3&lt;=$O$2,$D556,$D556-($D556-$I$535)*MIN(M$3-$O$2,$Q$2)/$Q$2))</f>
        <v>12048.1946822671</v>
      </c>
      <c r="N556" s="15" t="n">
        <f aca="false">M556*(1+IF(N$3&lt;=$O$2,$D556,$D556-($D556-$I$535)*MIN(N$3-$O$2,$Q$2)/$Q$2))</f>
        <v>12449.3995651866</v>
      </c>
      <c r="O556" s="15" t="n">
        <f aca="false">SUMPRODUCT(E556:N556,1/(1+$F$535)^$E$3:$N$3)*$E$2</f>
        <v>18618.1878833998</v>
      </c>
      <c r="P556" s="15" t="n">
        <f aca="false">N556*$E$2*(1+$I$535)/($F$535-$I$535)/(1+$F$535)^$N$3</f>
        <v>29498.6695282221</v>
      </c>
      <c r="Q556" s="15" t="n">
        <f aca="false">O556+P556</f>
        <v>48116.8574116219</v>
      </c>
      <c r="R556" s="15" t="n">
        <f aca="false">Q556-$G$2+$I$2</f>
        <v>45599.8574116219</v>
      </c>
      <c r="S556" s="42" t="n">
        <f aca="false">R556/$K$2</f>
        <v>105.257969187992</v>
      </c>
      <c r="T556" s="43" t="n">
        <f aca="false">S556-$M$2</f>
        <v>-0.000329136185143852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0.0535693168640137</v>
      </c>
      <c r="C557" s="25" t="n">
        <f aca="false">IF(T556&gt;0,D556,C556)</f>
        <v>0.0535707473754883</v>
      </c>
      <c r="D557" s="41" t="n">
        <f aca="false">(B557+C557)/2</f>
        <v>0.053570032119751</v>
      </c>
      <c r="E557" s="15" t="n">
        <f aca="false">$C$2*(1+IF(E$3&lt;=$O$2,$D557,$D557-($D557-$I$535)*MIN(E$3-$O$2,$Q$2)/$Q$2))</f>
        <v>8249.45335149765</v>
      </c>
      <c r="F557" s="15" t="n">
        <f aca="false">E557*(1+IF(F$3&lt;=$O$2,$D557,$D557-($D557-$I$535)*MIN(F$3-$O$2,$Q$2)/$Q$2))</f>
        <v>8691.37683250777</v>
      </c>
      <c r="G557" s="15" t="n">
        <f aca="false">F557*(1+IF(G$3&lt;=$O$2,$D557,$D557-($D557-$I$535)*MIN(G$3-$O$2,$Q$2)/$Q$2))</f>
        <v>9156.97416859007</v>
      </c>
      <c r="H557" s="15" t="n">
        <f aca="false">G557*(1+IF(H$3&lt;=$O$2,$D557,$D557-($D557-$I$535)*MIN(H$3-$O$2,$Q$2)/$Q$2))</f>
        <v>9647.51356892117</v>
      </c>
      <c r="I557" s="15" t="n">
        <f aca="false">H557*(1+IF(I$3&lt;=$O$2,$D557,$D557-($D557-$I$535)*MIN(I$3-$O$2,$Q$2)/$Q$2))</f>
        <v>10164.331180684</v>
      </c>
      <c r="J557" s="15" t="n">
        <f aca="false">I557*(1+IF(J$3&lt;=$O$2,$D557,$D557-($D557-$I$535)*MIN(J$3-$O$2,$Q$2)/$Q$2))</f>
        <v>10667.6284646074</v>
      </c>
      <c r="K557" s="15" t="n">
        <f aca="false">J557*(1+IF(K$3&lt;=$O$2,$D557,$D557-($D557-$I$535)*MIN(K$3-$O$2,$Q$2)/$Q$2))</f>
        <v>11152.6003954503</v>
      </c>
      <c r="L557" s="15" t="n">
        <f aca="false">K557*(1+IF(L$3&lt;=$O$2,$D557,$D557-($D557-$I$535)*MIN(L$3-$O$2,$Q$2)/$Q$2))</f>
        <v>11614.4074159126</v>
      </c>
      <c r="M557" s="15" t="n">
        <f aca="false">L557*(1+IF(M$3&lt;=$O$2,$D557,$D557-($D557-$I$535)*MIN(M$3-$O$2,$Q$2)/$Q$2))</f>
        <v>12048.252065137</v>
      </c>
      <c r="N557" s="15" t="n">
        <f aca="false">M557*(1+IF(N$3&lt;=$O$2,$D557,$D557-($D557-$I$535)*MIN(N$3-$O$2,$Q$2)/$Q$2))</f>
        <v>12449.4588589061</v>
      </c>
      <c r="O557" s="15" t="n">
        <f aca="false">SUMPRODUCT(E557:N557,1/(1+$F$535)^$E$3:$N$3)*$E$2</f>
        <v>18618.2459538222</v>
      </c>
      <c r="P557" s="15" t="n">
        <f aca="false">N557*$E$2*(1+$I$535)/($F$535-$I$535)/(1+$F$535)^$N$3</f>
        <v>29498.81002382</v>
      </c>
      <c r="Q557" s="15" t="n">
        <f aca="false">O557+P557</f>
        <v>48117.0559776421</v>
      </c>
      <c r="R557" s="15" t="n">
        <f aca="false">Q557-$G$2+$I$2</f>
        <v>45600.0559776421</v>
      </c>
      <c r="S557" s="42" t="n">
        <f aca="false">R557/$K$2</f>
        <v>105.258427537145</v>
      </c>
      <c r="T557" s="43" t="n">
        <f aca="false">S557-$M$2</f>
        <v>0.000129212968289494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0.0535693168640137</v>
      </c>
      <c r="C558" s="25" t="n">
        <f aca="false">IF(T557&gt;0,D557,C557)</f>
        <v>0.053570032119751</v>
      </c>
      <c r="D558" s="41" t="n">
        <f aca="false">(B558+C558)/2</f>
        <v>0.0535696744918823</v>
      </c>
      <c r="E558" s="15" t="n">
        <f aca="false">$C$2*(1+IF(E$3&lt;=$O$2,$D558,$D558-($D558-$I$535)*MIN(E$3-$O$2,$Q$2)/$Q$2))</f>
        <v>8249.45055127144</v>
      </c>
      <c r="F558" s="15" t="n">
        <f aca="false">E558*(1+IF(F$3&lt;=$O$2,$D558,$D558-($D558-$I$535)*MIN(F$3-$O$2,$Q$2)/$Q$2))</f>
        <v>8691.37093203993</v>
      </c>
      <c r="G558" s="15" t="n">
        <f aca="false">F558*(1+IF(G$3&lt;=$O$2,$D558,$D558-($D558-$I$535)*MIN(G$3-$O$2,$Q$2)/$Q$2))</f>
        <v>9156.96484375752</v>
      </c>
      <c r="H558" s="15" t="n">
        <f aca="false">G558*(1+IF(H$3&lt;=$O$2,$D558,$D558-($D558-$I$535)*MIN(H$3-$O$2,$Q$2)/$Q$2))</f>
        <v>9647.50046977122</v>
      </c>
      <c r="I558" s="15" t="n">
        <f aca="false">H558*(1+IF(I$3&lt;=$O$2,$D558,$D558-($D558-$I$535)*MIN(I$3-$O$2,$Q$2)/$Q$2))</f>
        <v>10164.3139295971</v>
      </c>
      <c r="J558" s="15" t="n">
        <f aca="false">I558*(1+IF(J$3&lt;=$O$2,$D558,$D558-($D558-$I$535)*MIN(J$3-$O$2,$Q$2)/$Q$2))</f>
        <v>10667.6074512817</v>
      </c>
      <c r="K558" s="15" t="n">
        <f aca="false">J558*(1+IF(K$3&lt;=$O$2,$D558,$D558-($D558-$I$535)*MIN(K$3-$O$2,$Q$2)/$Q$2))</f>
        <v>11152.5761377962</v>
      </c>
      <c r="L558" s="15" t="n">
        <f aca="false">K558*(1+IF(L$3&lt;=$O$2,$D558,$D558-($D558-$I$535)*MIN(L$3-$O$2,$Q$2)/$Q$2))</f>
        <v>11614.3805584084</v>
      </c>
      <c r="M558" s="15" t="n">
        <f aca="false">L558*(1+IF(M$3&lt;=$O$2,$D558,$D558-($D558-$I$535)*MIN(M$3-$O$2,$Q$2)/$Q$2))</f>
        <v>12048.2233736722</v>
      </c>
      <c r="N558" s="15" t="n">
        <f aca="false">M558*(1+IF(N$3&lt;=$O$2,$D558,$D558-($D558-$I$535)*MIN(N$3-$O$2,$Q$2)/$Q$2))</f>
        <v>12449.4292120155</v>
      </c>
      <c r="O558" s="15" t="n">
        <f aca="false">SUMPRODUCT(E558:N558,1/(1+$F$535)^$E$3:$N$3)*$E$2</f>
        <v>18618.2169185882</v>
      </c>
      <c r="P558" s="15" t="n">
        <f aca="false">N558*$E$2*(1+$I$535)/($F$535-$I$535)/(1+$F$535)^$N$3</f>
        <v>29498.7397759479</v>
      </c>
      <c r="Q558" s="15" t="n">
        <f aca="false">O558+P558</f>
        <v>48116.9566945361</v>
      </c>
      <c r="R558" s="15" t="n">
        <f aca="false">Q558-$G$2+$I$2</f>
        <v>45599.9566945361</v>
      </c>
      <c r="S558" s="42" t="n">
        <f aca="false">R558/$K$2</f>
        <v>105.258198362347</v>
      </c>
      <c r="T558" s="43" t="n">
        <f aca="false">S558-$M$2</f>
        <v>-9.99618297328198E-005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0.0535696744918823</v>
      </c>
      <c r="C559" s="25" t="n">
        <f aca="false">IF(T558&gt;0,D558,C558)</f>
        <v>0.053570032119751</v>
      </c>
      <c r="D559" s="41" t="n">
        <f aca="false">(B559+C559)/2</f>
        <v>0.0535698533058167</v>
      </c>
      <c r="E559" s="15" t="n">
        <f aca="false">$C$2*(1+IF(E$3&lt;=$O$2,$D559,$D559-($D559-$I$535)*MIN(E$3-$O$2,$Q$2)/$Q$2))</f>
        <v>8249.45195138454</v>
      </c>
      <c r="F559" s="15" t="n">
        <f aca="false">E559*(1+IF(F$3&lt;=$O$2,$D559,$D559-($D559-$I$535)*MIN(F$3-$O$2,$Q$2)/$Q$2))</f>
        <v>8691.3738822736</v>
      </c>
      <c r="G559" s="15" t="n">
        <f aca="false">F559*(1+IF(G$3&lt;=$O$2,$D559,$D559-($D559-$I$535)*MIN(G$3-$O$2,$Q$2)/$Q$2))</f>
        <v>9156.969506173</v>
      </c>
      <c r="H559" s="15" t="n">
        <f aca="false">G559*(1+IF(H$3&lt;=$O$2,$D559,$D559-($D559-$I$535)*MIN(H$3-$O$2,$Q$2)/$Q$2))</f>
        <v>9647.50701934452</v>
      </c>
      <c r="I559" s="15" t="n">
        <f aca="false">H559*(1+IF(I$3&lt;=$O$2,$D559,$D559-($D559-$I$535)*MIN(I$3-$O$2,$Q$2)/$Q$2))</f>
        <v>10164.3225551376</v>
      </c>
      <c r="J559" s="15" t="n">
        <f aca="false">I559*(1+IF(J$3&lt;=$O$2,$D559,$D559-($D559-$I$535)*MIN(J$3-$O$2,$Q$2)/$Q$2))</f>
        <v>10667.6179579402</v>
      </c>
      <c r="K559" s="15" t="n">
        <f aca="false">J559*(1+IF(K$3&lt;=$O$2,$D559,$D559-($D559-$I$535)*MIN(K$3-$O$2,$Q$2)/$Q$2))</f>
        <v>11152.5882666176</v>
      </c>
      <c r="L559" s="15" t="n">
        <f aca="false">K559*(1+IF(L$3&lt;=$O$2,$D559,$D559-($D559-$I$535)*MIN(L$3-$O$2,$Q$2)/$Q$2))</f>
        <v>11614.3939871538</v>
      </c>
      <c r="M559" s="15" t="n">
        <f aca="false">L559*(1+IF(M$3&lt;=$O$2,$D559,$D559-($D559-$I$535)*MIN(M$3-$O$2,$Q$2)/$Q$2))</f>
        <v>12048.2377193971</v>
      </c>
      <c r="N559" s="15" t="n">
        <f aca="false">M559*(1+IF(N$3&lt;=$O$2,$D559,$D559-($D559-$I$535)*MIN(N$3-$O$2,$Q$2)/$Q$2))</f>
        <v>12449.4440354531</v>
      </c>
      <c r="O559" s="15" t="n">
        <f aca="false">SUMPRODUCT(E559:N559,1/(1+$F$535)^$E$3:$N$3)*$E$2</f>
        <v>18618.2314361995</v>
      </c>
      <c r="P559" s="15" t="n">
        <f aca="false">N559*$E$2*(1+$I$535)/($F$535-$I$535)/(1+$F$535)^$N$3</f>
        <v>29498.7748998657</v>
      </c>
      <c r="Q559" s="15" t="n">
        <f aca="false">O559+P559</f>
        <v>48117.0063360652</v>
      </c>
      <c r="R559" s="15" t="n">
        <f aca="false">Q559-$G$2+$I$2</f>
        <v>45600.0063360652</v>
      </c>
      <c r="S559" s="42" t="n">
        <f aca="false">R559/$K$2</f>
        <v>105.258312949691</v>
      </c>
      <c r="T559" s="43" t="n">
        <f aca="false">S559-$M$2</f>
        <v>1.46255139696905E-005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0.0535696744918823</v>
      </c>
      <c r="C560" s="25" t="n">
        <f aca="false">IF(T559&gt;0,D559,C559)</f>
        <v>0.0535698533058167</v>
      </c>
      <c r="D560" s="41" t="n">
        <f aca="false">(B560+C560)/2</f>
        <v>0.0535697638988495</v>
      </c>
      <c r="E560" s="15" t="n">
        <f aca="false">$C$2*(1+IF(E$3&lt;=$O$2,$D560,$D560-($D560-$I$535)*MIN(E$3-$O$2,$Q$2)/$Q$2))</f>
        <v>8249.45125132799</v>
      </c>
      <c r="F560" s="15" t="n">
        <f aca="false">E560*(1+IF(F$3&lt;=$O$2,$D560,$D560-($D560-$I$535)*MIN(F$3-$O$2,$Q$2)/$Q$2))</f>
        <v>8691.3724071567</v>
      </c>
      <c r="G560" s="15" t="n">
        <f aca="false">F560*(1+IF(G$3&lt;=$O$2,$D560,$D560-($D560-$I$535)*MIN(G$3-$O$2,$Q$2)/$Q$2))</f>
        <v>9156.96717496506</v>
      </c>
      <c r="H560" s="15" t="n">
        <f aca="false">G560*(1+IF(H$3&lt;=$O$2,$D560,$D560-($D560-$I$535)*MIN(H$3-$O$2,$Q$2)/$Q$2))</f>
        <v>9647.50374455745</v>
      </c>
      <c r="I560" s="15" t="n">
        <f aca="false">H560*(1+IF(I$3&lt;=$O$2,$D560,$D560-($D560-$I$535)*MIN(I$3-$O$2,$Q$2)/$Q$2))</f>
        <v>10164.3182423667</v>
      </c>
      <c r="J560" s="15" t="n">
        <f aca="false">I560*(1+IF(J$3&lt;=$O$2,$D560,$D560-($D560-$I$535)*MIN(J$3-$O$2,$Q$2)/$Q$2))</f>
        <v>10667.6127046099</v>
      </c>
      <c r="K560" s="15" t="n">
        <f aca="false">J560*(1+IF(K$3&lt;=$O$2,$D560,$D560-($D560-$I$535)*MIN(K$3-$O$2,$Q$2)/$Q$2))</f>
        <v>11152.5822022055</v>
      </c>
      <c r="L560" s="15" t="n">
        <f aca="false">K560*(1+IF(L$3&lt;=$O$2,$D560,$D560-($D560-$I$535)*MIN(L$3-$O$2,$Q$2)/$Q$2))</f>
        <v>11614.3872727794</v>
      </c>
      <c r="M560" s="15" t="n">
        <f aca="false">L560*(1+IF(M$3&lt;=$O$2,$D560,$D560-($D560-$I$535)*MIN(M$3-$O$2,$Q$2)/$Q$2))</f>
        <v>12048.2305465328</v>
      </c>
      <c r="N560" s="15" t="n">
        <f aca="false">M560*(1+IF(N$3&lt;=$O$2,$D560,$D560-($D560-$I$535)*MIN(N$3-$O$2,$Q$2)/$Q$2))</f>
        <v>12449.4366237323</v>
      </c>
      <c r="O560" s="15" t="n">
        <f aca="false">SUMPRODUCT(E560:N560,1/(1+$F$535)^$E$3:$N$3)*$E$2</f>
        <v>18618.2241773924</v>
      </c>
      <c r="P560" s="15" t="n">
        <f aca="false">N560*$E$2*(1+$I$535)/($F$535-$I$535)/(1+$F$535)^$N$3</f>
        <v>29498.7573379022</v>
      </c>
      <c r="Q560" s="15" t="n">
        <f aca="false">O560+P560</f>
        <v>48116.9815152947</v>
      </c>
      <c r="R560" s="15" t="n">
        <f aca="false">Q560-$G$2+$I$2</f>
        <v>45599.9815152947</v>
      </c>
      <c r="S560" s="42" t="n">
        <f aca="false">R560/$K$2</f>
        <v>105.258255656005</v>
      </c>
      <c r="T560" s="43" t="n">
        <f aca="false">S560-$M$2</f>
        <v>-4.266817168741E-005</v>
      </c>
    </row>
    <row r="562" customFormat="false" ht="15" hidden="false" customHeight="false" outlineLevel="0" collapsed="false">
      <c r="A562" s="38" t="s">
        <v>192</v>
      </c>
      <c r="E562" s="5" t="s">
        <v>11</v>
      </c>
      <c r="F562" s="12" t="n">
        <f aca="false">Sensitivity!$B$13</f>
        <v>0.0871529104257703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153</v>
      </c>
      <c r="B563" s="28" t="s">
        <v>154</v>
      </c>
      <c r="C563" s="28" t="s">
        <v>155</v>
      </c>
      <c r="D563" s="28" t="s">
        <v>156</v>
      </c>
      <c r="E563" s="28" t="s">
        <v>157</v>
      </c>
      <c r="F563" s="28" t="s">
        <v>158</v>
      </c>
      <c r="G563" s="28" t="s">
        <v>159</v>
      </c>
      <c r="H563" s="28" t="s">
        <v>160</v>
      </c>
      <c r="I563" s="28" t="s">
        <v>161</v>
      </c>
      <c r="J563" s="28" t="s">
        <v>162</v>
      </c>
      <c r="K563" s="28" t="s">
        <v>163</v>
      </c>
      <c r="L563" s="28" t="s">
        <v>164</v>
      </c>
      <c r="M563" s="28" t="s">
        <v>165</v>
      </c>
      <c r="N563" s="28" t="s">
        <v>166</v>
      </c>
      <c r="O563" s="28" t="s">
        <v>167</v>
      </c>
      <c r="P563" s="28" t="s">
        <v>168</v>
      </c>
      <c r="Q563" s="28" t="s">
        <v>169</v>
      </c>
      <c r="R563" s="28" t="s">
        <v>170</v>
      </c>
      <c r="S563" s="28" t="s">
        <v>171</v>
      </c>
      <c r="T563" s="28" t="s">
        <v>172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9787.5</v>
      </c>
      <c r="F564" s="15" t="n">
        <f aca="false">E564*(1+IF(F$3&lt;=$O$2,$D564,$D564-($D564-$I$562)*MIN(F$3-$O$2,$Q$2)/$Q$2))</f>
        <v>12234.375</v>
      </c>
      <c r="G564" s="15" t="n">
        <f aca="false">F564*(1+IF(G$3&lt;=$O$2,$D564,$D564-($D564-$I$562)*MIN(G$3-$O$2,$Q$2)/$Q$2))</f>
        <v>15292.96875</v>
      </c>
      <c r="H564" s="15" t="n">
        <f aca="false">G564*(1+IF(H$3&lt;=$O$2,$D564,$D564-($D564-$I$562)*MIN(H$3-$O$2,$Q$2)/$Q$2))</f>
        <v>19116.2109375</v>
      </c>
      <c r="I564" s="15" t="n">
        <f aca="false">H564*(1+IF(I$3&lt;=$O$2,$D564,$D564-($D564-$I$562)*MIN(I$3-$O$2,$Q$2)/$Q$2))</f>
        <v>23895.263671875</v>
      </c>
      <c r="J564" s="15" t="n">
        <f aca="false">I564*(1+IF(J$3&lt;=$O$2,$D564,$D564-($D564-$I$562)*MIN(J$3-$O$2,$Q$2)/$Q$2))</f>
        <v>28857.3541259766</v>
      </c>
      <c r="K564" s="15" t="n">
        <f aca="false">J564*(1+IF(K$3&lt;=$O$2,$D564,$D564-($D564-$I$562)*MIN(K$3-$O$2,$Q$2)/$Q$2))</f>
        <v>33628.051910083</v>
      </c>
      <c r="L564" s="15" t="n">
        <f aca="false">K564*(1+IF(L$3&lt;=$O$2,$D564,$D564-($D564-$I$562)*MIN(L$3-$O$2,$Q$2)/$Q$2))</f>
        <v>37763.629733985</v>
      </c>
      <c r="M564" s="15" t="n">
        <f aca="false">L564*(1+IF(M$3&lt;=$O$2,$D564,$D564-($D564-$I$562)*MIN(M$3-$O$2,$Q$2)/$Q$2))</f>
        <v>40808.8888357336</v>
      </c>
      <c r="N564" s="15" t="n">
        <f aca="false">M564*(1+IF(N$3&lt;=$O$2,$D564,$D564-($D564-$I$562)*MIN(N$3-$O$2,$Q$2)/$Q$2))</f>
        <v>42371.8692781422</v>
      </c>
      <c r="O564" s="15" t="n">
        <f aca="false">SUMPRODUCT(E564:N564,1/(1+$F$562)^$E$3:$N$3)*$E$2</f>
        <v>43817.6463238256</v>
      </c>
      <c r="P564" s="15" t="n">
        <f aca="false">N564*$E$2*(1+$I$562)/($F$562-$I$562)/(1+$F$562)^$N$3</f>
        <v>111210.759892703</v>
      </c>
      <c r="Q564" s="15" t="n">
        <f aca="false">O564+P564</f>
        <v>155028.406216528</v>
      </c>
      <c r="R564" s="15" t="n">
        <f aca="false">Q564-$G$2+$I$2</f>
        <v>152511.406216528</v>
      </c>
      <c r="S564" s="42" t="n">
        <f aca="false">R564/$K$2</f>
        <v>352.041471346032</v>
      </c>
      <c r="T564" s="43" t="n">
        <f aca="false">S564-$M$2</f>
        <v>246.783173021855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6851.25</v>
      </c>
      <c r="F565" s="15" t="n">
        <f aca="false">E565*(1+IF(F$3&lt;=$O$2,$D565,$D565-($D565-$I$562)*MIN(F$3-$O$2,$Q$2)/$Q$2))</f>
        <v>5994.84375</v>
      </c>
      <c r="G565" s="15" t="n">
        <f aca="false">F565*(1+IF(G$3&lt;=$O$2,$D565,$D565-($D565-$I$562)*MIN(G$3-$O$2,$Q$2)/$Q$2))</f>
        <v>5245.48828125</v>
      </c>
      <c r="H565" s="15" t="n">
        <f aca="false">G565*(1+IF(H$3&lt;=$O$2,$D565,$D565-($D565-$I$562)*MIN(H$3-$O$2,$Q$2)/$Q$2))</f>
        <v>4589.80224609375</v>
      </c>
      <c r="I565" s="15" t="n">
        <f aca="false">H565*(1+IF(I$3&lt;=$O$2,$D565,$D565-($D565-$I$562)*MIN(I$3-$O$2,$Q$2)/$Q$2))</f>
        <v>4016.07696533203</v>
      </c>
      <c r="J565" s="15" t="n">
        <f aca="false">I565*(1+IF(J$3&lt;=$O$2,$D565,$D565-($D565-$I$562)*MIN(J$3-$O$2,$Q$2)/$Q$2))</f>
        <v>3645.23241835327</v>
      </c>
      <c r="K565" s="15" t="n">
        <f aca="false">J565*(1+IF(K$3&lt;=$O$2,$D565,$D565-($D565-$I$562)*MIN(K$3-$O$2,$Q$2)/$Q$2))</f>
        <v>3427.68494762595</v>
      </c>
      <c r="L565" s="15" t="n">
        <f aca="false">K565*(1+IF(L$3&lt;=$O$2,$D565,$D565-($D565-$I$562)*MIN(L$3-$O$2,$Q$2)/$Q$2))</f>
        <v>3335.0689003411</v>
      </c>
      <c r="M565" s="15" t="n">
        <f aca="false">L565*(1+IF(M$3&lt;=$O$2,$D565,$D565-($D565-$I$562)*MIN(M$3-$O$2,$Q$2)/$Q$2))</f>
        <v>3353.87868893902</v>
      </c>
      <c r="N565" s="15" t="n">
        <f aca="false">M565*(1+IF(N$3&lt;=$O$2,$D565,$D565-($D565-$I$562)*MIN(N$3-$O$2,$Q$2)/$Q$2))</f>
        <v>3482.33224272538</v>
      </c>
      <c r="O565" s="15" t="n">
        <f aca="false">SUMPRODUCT(E565:N565,1/(1+$F$562)^$E$3:$N$3)*$E$2</f>
        <v>8630.80540340593</v>
      </c>
      <c r="P565" s="15" t="n">
        <f aca="false">N565*$E$2*(1+$I$562)/($F$562-$I$562)/(1+$F$562)^$N$3</f>
        <v>9139.85673773724</v>
      </c>
      <c r="Q565" s="15" t="n">
        <f aca="false">O565+P565</f>
        <v>17770.6621411432</v>
      </c>
      <c r="R565" s="15" t="n">
        <f aca="false">Q565-$G$2+$I$2</f>
        <v>15253.6621411432</v>
      </c>
      <c r="S565" s="42" t="n">
        <f aca="false">R565/$K$2</f>
        <v>35.2099675479968</v>
      </c>
      <c r="T565" s="43" t="n">
        <f aca="false">S565-$M$2</f>
        <v>-70.0483307761803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8319.375</v>
      </c>
      <c r="F566" s="15" t="n">
        <f aca="false">E566*(1+IF(F$3&lt;=$O$2,$D566,$D566-($D566-$I$562)*MIN(F$3-$O$2,$Q$2)/$Q$2))</f>
        <v>8839.3359375</v>
      </c>
      <c r="G566" s="15" t="n">
        <f aca="false">F566*(1+IF(G$3&lt;=$O$2,$D566,$D566-($D566-$I$562)*MIN(G$3-$O$2,$Q$2)/$Q$2))</f>
        <v>9391.79443359375</v>
      </c>
      <c r="H566" s="15" t="n">
        <f aca="false">G566*(1+IF(H$3&lt;=$O$2,$D566,$D566-($D566-$I$562)*MIN(H$3-$O$2,$Q$2)/$Q$2))</f>
        <v>9978.78158569336</v>
      </c>
      <c r="I566" s="15" t="n">
        <f aca="false">H566*(1+IF(I$3&lt;=$O$2,$D566,$D566-($D566-$I$562)*MIN(I$3-$O$2,$Q$2)/$Q$2))</f>
        <v>10602.4554347992</v>
      </c>
      <c r="J566" s="15" t="n">
        <f aca="false">I566*(1+IF(J$3&lt;=$O$2,$D566,$D566-($D566-$I$562)*MIN(J$3-$O$2,$Q$2)/$Q$2))</f>
        <v>11213.7930151697</v>
      </c>
      <c r="K566" s="15" t="n">
        <f aca="false">J566*(1+IF(K$3&lt;=$O$2,$D566,$D566-($D566-$I$562)*MIN(K$3-$O$2,$Q$2)/$Q$2))</f>
        <v>11806.105562231</v>
      </c>
      <c r="L566" s="15" t="n">
        <f aca="false">K566*(1+IF(L$3&lt;=$O$2,$D566,$D566-($D566-$I$562)*MIN(L$3-$O$2,$Q$2)/$Q$2))</f>
        <v>12372.5625071068</v>
      </c>
      <c r="M566" s="15" t="n">
        <f aca="false">L566*(1+IF(M$3&lt;=$O$2,$D566,$D566-($D566-$I$562)*MIN(M$3-$O$2,$Q$2)/$Q$2))</f>
        <v>12906.3148536634</v>
      </c>
      <c r="N566" s="15" t="n">
        <f aca="false">M566*(1+IF(N$3&lt;=$O$2,$D566,$D566-($D566-$I$562)*MIN(N$3-$O$2,$Q$2)/$Q$2))</f>
        <v>13400.6267125587</v>
      </c>
      <c r="O566" s="15" t="n">
        <f aca="false">SUMPRODUCT(E566:N566,1/(1+$F$562)^$E$3:$N$3)*$E$2</f>
        <v>19415.1965536801</v>
      </c>
      <c r="P566" s="15" t="n">
        <f aca="false">N566*$E$2*(1+$I$562)/($F$562-$I$562)/(1+$F$562)^$N$3</f>
        <v>35171.7756410356</v>
      </c>
      <c r="Q566" s="15" t="n">
        <f aca="false">O566+P566</f>
        <v>54586.9721947157</v>
      </c>
      <c r="R566" s="15" t="n">
        <f aca="false">Q566-$G$2+$I$2</f>
        <v>52069.9721947157</v>
      </c>
      <c r="S566" s="42" t="n">
        <f aca="false">R566/$K$2</f>
        <v>120.192909364101</v>
      </c>
      <c r="T566" s="43" t="n">
        <f aca="false">S566-$M$2</f>
        <v>14.9346110399235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7585.3125</v>
      </c>
      <c r="F567" s="15" t="n">
        <f aca="false">E567*(1+IF(F$3&lt;=$O$2,$D567,$D567-($D567-$I$562)*MIN(F$3-$O$2,$Q$2)/$Q$2))</f>
        <v>7348.271484375</v>
      </c>
      <c r="G567" s="15" t="n">
        <f aca="false">F567*(1+IF(G$3&lt;=$O$2,$D567,$D567-($D567-$I$562)*MIN(G$3-$O$2,$Q$2)/$Q$2))</f>
        <v>7118.63800048828</v>
      </c>
      <c r="H567" s="15" t="n">
        <f aca="false">G567*(1+IF(H$3&lt;=$O$2,$D567,$D567-($D567-$I$562)*MIN(H$3-$O$2,$Q$2)/$Q$2))</f>
        <v>6896.18056297302</v>
      </c>
      <c r="I567" s="15" t="n">
        <f aca="false">H567*(1+IF(I$3&lt;=$O$2,$D567,$D567-($D567-$I$562)*MIN(I$3-$O$2,$Q$2)/$Q$2))</f>
        <v>6680.67492038012</v>
      </c>
      <c r="J567" s="15" t="n">
        <f aca="false">I567*(1+IF(J$3&lt;=$O$2,$D567,$D567-($D567-$I$562)*MIN(J$3-$O$2,$Q$2)/$Q$2))</f>
        <v>6564.83201726073</v>
      </c>
      <c r="K567" s="15" t="n">
        <f aca="false">J567*(1+IF(K$3&lt;=$O$2,$D567,$D567-($D567-$I$562)*MIN(K$3-$O$2,$Q$2)/$Q$2))</f>
        <v>6542.31464344152</v>
      </c>
      <c r="L567" s="15" t="n">
        <f aca="false">K567*(1+IF(L$3&lt;=$O$2,$D567,$D567-($D567-$I$562)*MIN(L$3-$O$2,$Q$2)/$Q$2))</f>
        <v>6610.87810090479</v>
      </c>
      <c r="M567" s="15" t="n">
        <f aca="false">L567*(1+IF(M$3&lt;=$O$2,$D567,$D567-($D567-$I$562)*MIN(M$3-$O$2,$Q$2)/$Q$2))</f>
        <v>6772.11741778586</v>
      </c>
      <c r="N567" s="15" t="n">
        <f aca="false">M567*(1+IF(N$3&lt;=$O$2,$D567,$D567-($D567-$I$562)*MIN(N$3-$O$2,$Q$2)/$Q$2))</f>
        <v>7031.48951488705</v>
      </c>
      <c r="O567" s="15" t="n">
        <f aca="false">SUMPRODUCT(E567:N567,1/(1+$F$562)^$E$3:$N$3)*$E$2</f>
        <v>12907.5540849356</v>
      </c>
      <c r="P567" s="15" t="n">
        <f aca="false">N567*$E$2*(1+$I$562)/($F$562-$I$562)/(1+$F$562)^$N$3</f>
        <v>18455.1048950665</v>
      </c>
      <c r="Q567" s="15" t="n">
        <f aca="false">O567+P567</f>
        <v>31362.6589800021</v>
      </c>
      <c r="R567" s="15" t="n">
        <f aca="false">Q567-$G$2+$I$2</f>
        <v>28845.6589800021</v>
      </c>
      <c r="S567" s="42" t="n">
        <f aca="false">R567/$K$2</f>
        <v>66.584319699003</v>
      </c>
      <c r="T567" s="43" t="n">
        <f aca="false">S567-$M$2</f>
        <v>-38.6739786251741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7952.34375</v>
      </c>
      <c r="F568" s="15" t="n">
        <f aca="false">E568*(1+IF(F$3&lt;=$O$2,$D568,$D568-($D568-$I$562)*MIN(F$3-$O$2,$Q$2)/$Q$2))</f>
        <v>8076.59912109375</v>
      </c>
      <c r="G568" s="15" t="n">
        <f aca="false">F568*(1+IF(G$3&lt;=$O$2,$D568,$D568-($D568-$I$562)*MIN(G$3-$O$2,$Q$2)/$Q$2))</f>
        <v>8202.79598236084</v>
      </c>
      <c r="H568" s="15" t="n">
        <f aca="false">G568*(1+IF(H$3&lt;=$O$2,$D568,$D568-($D568-$I$562)*MIN(H$3-$O$2,$Q$2)/$Q$2))</f>
        <v>8330.96466958523</v>
      </c>
      <c r="I568" s="15" t="n">
        <f aca="false">H568*(1+IF(I$3&lt;=$O$2,$D568,$D568-($D568-$I$562)*MIN(I$3-$O$2,$Q$2)/$Q$2))</f>
        <v>8461.1359925475</v>
      </c>
      <c r="J568" s="15" t="n">
        <f aca="false">I568*(1+IF(J$3&lt;=$O$2,$D568,$D568-($D568-$I$562)*MIN(J$3-$O$2,$Q$2)/$Q$2))</f>
        <v>8631.71249415726</v>
      </c>
      <c r="K568" s="15" t="n">
        <f aca="false">J568*(1+IF(K$3&lt;=$O$2,$D568,$D568-($D568-$I$562)*MIN(K$3-$O$2,$Q$2)/$Q$2))</f>
        <v>8844.87263420047</v>
      </c>
      <c r="L568" s="15" t="n">
        <f aca="false">K568*(1+IF(L$3&lt;=$O$2,$D568,$D568-($D568-$I$562)*MIN(L$3-$O$2,$Q$2)/$Q$2))</f>
        <v>9103.40826129815</v>
      </c>
      <c r="M568" s="15" t="n">
        <f aca="false">L568*(1+IF(M$3&lt;=$O$2,$D568,$D568-($D568-$I$562)*MIN(M$3-$O$2,$Q$2)/$Q$2))</f>
        <v>9410.78484124088</v>
      </c>
      <c r="N568" s="15" t="n">
        <f aca="false">M568*(1+IF(N$3&lt;=$O$2,$D568,$D568-($D568-$I$562)*MIN(N$3-$O$2,$Q$2)/$Q$2))</f>
        <v>9771.21790066041</v>
      </c>
      <c r="O568" s="15" t="n">
        <f aca="false">SUMPRODUCT(E568:N568,1/(1+$F$562)^$E$3:$N$3)*$E$2</f>
        <v>15824.2330230027</v>
      </c>
      <c r="P568" s="15" t="n">
        <f aca="false">N568*$E$2*(1+$I$562)/($F$562-$I$562)/(1+$F$562)^$N$3</f>
        <v>25645.8963534608</v>
      </c>
      <c r="Q568" s="15" t="n">
        <f aca="false">O568+P568</f>
        <v>41470.1293764634</v>
      </c>
      <c r="R568" s="15" t="n">
        <f aca="false">Q568-$G$2+$I$2</f>
        <v>38953.1293764634</v>
      </c>
      <c r="S568" s="42" t="n">
        <f aca="false">R568/$K$2</f>
        <v>89.9153533457906</v>
      </c>
      <c r="T568" s="43" t="n">
        <f aca="false">S568-$M$2</f>
        <v>-15.3429449783865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8135.859375</v>
      </c>
      <c r="F569" s="15" t="n">
        <f aca="false">E569*(1+IF(F$3&lt;=$O$2,$D569,$D569-($D569-$I$562)*MIN(F$3-$O$2,$Q$2)/$Q$2))</f>
        <v>8453.66638183594</v>
      </c>
      <c r="G569" s="15" t="n">
        <f aca="false">F569*(1+IF(G$3&lt;=$O$2,$D569,$D569-($D569-$I$562)*MIN(G$3-$O$2,$Q$2)/$Q$2))</f>
        <v>8783.8877248764</v>
      </c>
      <c r="H569" s="15" t="n">
        <f aca="false">G569*(1+IF(H$3&lt;=$O$2,$D569,$D569-($D569-$I$562)*MIN(H$3-$O$2,$Q$2)/$Q$2))</f>
        <v>9127.00833912939</v>
      </c>
      <c r="I569" s="15" t="n">
        <f aca="false">H569*(1+IF(I$3&lt;=$O$2,$D569,$D569-($D569-$I$562)*MIN(I$3-$O$2,$Q$2)/$Q$2))</f>
        <v>9483.53210237663</v>
      </c>
      <c r="J569" s="15" t="n">
        <f aca="false">I569*(1+IF(J$3&lt;=$O$2,$D569,$D569-($D569-$I$562)*MIN(J$3-$O$2,$Q$2)/$Q$2))</f>
        <v>9852.53633648011</v>
      </c>
      <c r="K569" s="15" t="n">
        <f aca="false">J569*(1+IF(K$3&lt;=$O$2,$D569,$D569-($D569-$I$562)*MIN(K$3-$O$2,$Q$2)/$Q$2))</f>
        <v>10234.3960135412</v>
      </c>
      <c r="L569" s="15" t="n">
        <f aca="false">K569*(1+IF(L$3&lt;=$O$2,$D569,$D569-($D569-$I$562)*MIN(L$3-$O$2,$Q$2)/$Q$2))</f>
        <v>10629.494871644</v>
      </c>
      <c r="M569" s="15" t="n">
        <f aca="false">L569*(1+IF(M$3&lt;=$O$2,$D569,$D569-($D569-$I$562)*MIN(M$3-$O$2,$Q$2)/$Q$2))</f>
        <v>11038.2255231959</v>
      </c>
      <c r="N569" s="15" t="n">
        <f aca="false">M569*(1+IF(N$3&lt;=$O$2,$D569,$D569-($D569-$I$562)*MIN(N$3-$O$2,$Q$2)/$Q$2))</f>
        <v>11460.9895607343</v>
      </c>
      <c r="O569" s="15" t="n">
        <f aca="false">SUMPRODUCT(E569:N569,1/(1+$F$562)^$E$3:$N$3)*$E$2</f>
        <v>17526.9904596469</v>
      </c>
      <c r="P569" s="15" t="n">
        <f aca="false">N569*$E$2*(1+$I$562)/($F$562-$I$562)/(1+$F$562)^$N$3</f>
        <v>30080.932937011</v>
      </c>
      <c r="Q569" s="15" t="n">
        <f aca="false">O569+P569</f>
        <v>47607.923396658</v>
      </c>
      <c r="R569" s="15" t="n">
        <f aca="false">Q569-$G$2+$I$2</f>
        <v>45090.923396658</v>
      </c>
      <c r="S569" s="42" t="n">
        <f aca="false">R569/$K$2</f>
        <v>104.083198828904</v>
      </c>
      <c r="T569" s="43" t="n">
        <f aca="false">S569-$M$2</f>
        <v>-1.17509949527275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0.0390625</v>
      </c>
      <c r="C570" s="25" t="n">
        <f aca="false">IF(T569&gt;0,D569,C569)</f>
        <v>0.0625</v>
      </c>
      <c r="D570" s="41" t="n">
        <f aca="false">(B570+C570)/2</f>
        <v>0.05078125</v>
      </c>
      <c r="E570" s="15" t="n">
        <f aca="false">$C$2*(1+IF(E$3&lt;=$O$2,$D570,$D570-($D570-$I$562)*MIN(E$3-$O$2,$Q$2)/$Q$2))</f>
        <v>8227.6171875</v>
      </c>
      <c r="F570" s="15" t="n">
        <f aca="false">E570*(1+IF(F$3&lt;=$O$2,$D570,$D570-($D570-$I$562)*MIN(F$3-$O$2,$Q$2)/$Q$2))</f>
        <v>8645.42587280273</v>
      </c>
      <c r="G570" s="15" t="n">
        <f aca="false">F570*(1+IF(G$3&lt;=$O$2,$D570,$D570-($D570-$I$562)*MIN(G$3-$O$2,$Q$2)/$Q$2))</f>
        <v>9084.451405406</v>
      </c>
      <c r="H570" s="15" t="n">
        <f aca="false">G570*(1+IF(H$3&lt;=$O$2,$D570,$D570-($D570-$I$562)*MIN(H$3-$O$2,$Q$2)/$Q$2))</f>
        <v>9545.77120333677</v>
      </c>
      <c r="I570" s="15" t="n">
        <f aca="false">H570*(1+IF(I$3&lt;=$O$2,$D570,$D570-($D570-$I$562)*MIN(I$3-$O$2,$Q$2)/$Q$2))</f>
        <v>10030.5173972562</v>
      </c>
      <c r="J570" s="15" t="n">
        <f aca="false">I570*(1+IF(J$3&lt;=$O$2,$D570,$D570-($D570-$I$562)*MIN(J$3-$O$2,$Q$2)/$Q$2))</f>
        <v>10514.8409297827</v>
      </c>
      <c r="K570" s="15" t="n">
        <f aca="false">J570*(1+IF(K$3&lt;=$O$2,$D570,$D570-($D570-$I$562)*MIN(K$3-$O$2,$Q$2)/$Q$2))</f>
        <v>10996.3023524063</v>
      </c>
      <c r="L570" s="15" t="n">
        <f aca="false">K570*(1+IF(L$3&lt;=$O$2,$D570,$D570-($D570-$I$562)*MIN(L$3-$O$2,$Q$2)/$Q$2))</f>
        <v>11472.3597719979</v>
      </c>
      <c r="M570" s="15" t="n">
        <f aca="false">L570*(1+IF(M$3&lt;=$O$2,$D570,$D570-($D570-$I$562)*MIN(M$3-$O$2,$Q$2)/$Q$2))</f>
        <v>11940.3890293462</v>
      </c>
      <c r="N570" s="15" t="n">
        <f aca="false">M570*(1+IF(N$3&lt;=$O$2,$D570,$D570-($D570-$I$562)*MIN(N$3-$O$2,$Q$2)/$Q$2))</f>
        <v>12397.7059291702</v>
      </c>
      <c r="O570" s="15" t="n">
        <f aca="false">SUMPRODUCT(E570:N570,1/(1+$F$562)^$E$3:$N$3)*$E$2</f>
        <v>18446.7775431228</v>
      </c>
      <c r="P570" s="15" t="n">
        <f aca="false">N570*$E$2*(1+$I$562)/($F$562-$I$562)/(1+$F$562)^$N$3</f>
        <v>32539.4730229786</v>
      </c>
      <c r="Q570" s="15" t="n">
        <f aca="false">O570+P570</f>
        <v>50986.2505661014</v>
      </c>
      <c r="R570" s="15" t="n">
        <f aca="false">Q570-$G$2+$I$2</f>
        <v>48469.2505661014</v>
      </c>
      <c r="S570" s="42" t="n">
        <f aca="false">R570/$K$2</f>
        <v>111.881377974474</v>
      </c>
      <c r="T570" s="43" t="n">
        <f aca="false">S570-$M$2</f>
        <v>6.62307965029642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0.0390625</v>
      </c>
      <c r="C571" s="25" t="n">
        <f aca="false">IF(T570&gt;0,D570,C570)</f>
        <v>0.05078125</v>
      </c>
      <c r="D571" s="41" t="n">
        <f aca="false">(B571+C571)/2</f>
        <v>0.044921875</v>
      </c>
      <c r="E571" s="15" t="n">
        <f aca="false">$C$2*(1+IF(E$3&lt;=$O$2,$D571,$D571-($D571-$I$562)*MIN(E$3-$O$2,$Q$2)/$Q$2))</f>
        <v>8181.73828125</v>
      </c>
      <c r="F571" s="15" t="n">
        <f aca="false">E571*(1+IF(F$3&lt;=$O$2,$D571,$D571-($D571-$I$562)*MIN(F$3-$O$2,$Q$2)/$Q$2))</f>
        <v>8549.27730560303</v>
      </c>
      <c r="G571" s="15" t="n">
        <f aca="false">F571*(1+IF(G$3&lt;=$O$2,$D571,$D571-($D571-$I$562)*MIN(G$3-$O$2,$Q$2)/$Q$2))</f>
        <v>8933.32687206566</v>
      </c>
      <c r="H571" s="15" t="n">
        <f aca="false">G571*(1+IF(H$3&lt;=$O$2,$D571,$D571-($D571-$I$562)*MIN(H$3-$O$2,$Q$2)/$Q$2))</f>
        <v>9334.62866514674</v>
      </c>
      <c r="I571" s="15" t="n">
        <f aca="false">H571*(1+IF(I$3&lt;=$O$2,$D571,$D571-($D571-$I$562)*MIN(I$3-$O$2,$Q$2)/$Q$2))</f>
        <v>9753.95768721388</v>
      </c>
      <c r="J571" s="15" t="n">
        <f aca="false">I571*(1+IF(J$3&lt;=$O$2,$D571,$D571-($D571-$I$562)*MIN(J$3-$O$2,$Q$2)/$Q$2))</f>
        <v>10179.2058574822</v>
      </c>
      <c r="K571" s="15" t="n">
        <f aca="false">J571*(1+IF(K$3&lt;=$O$2,$D571,$D571-($D571-$I$562)*MIN(K$3-$O$2,$Q$2)/$Q$2))</f>
        <v>10609.5126990963</v>
      </c>
      <c r="L571" s="15" t="n">
        <f aca="false">K571*(1+IF(L$3&lt;=$O$2,$D571,$D571-($D571-$I$562)*MIN(L$3-$O$2,$Q$2)/$Q$2))</f>
        <v>11043.9589822334</v>
      </c>
      <c r="M571" s="15" t="n">
        <f aca="false">L571*(1+IF(M$3&lt;=$O$2,$D571,$D571-($D571-$I$562)*MIN(M$3-$O$2,$Q$2)/$Q$2))</f>
        <v>11481.56895443</v>
      </c>
      <c r="N571" s="15" t="n">
        <f aca="false">M571*(1+IF(N$3&lt;=$O$2,$D571,$D571-($D571-$I$562)*MIN(N$3-$O$2,$Q$2)/$Q$2))</f>
        <v>11921.3130453847</v>
      </c>
      <c r="O571" s="15" t="n">
        <f aca="false">SUMPRODUCT(E571:N571,1/(1+$F$562)^$E$3:$N$3)*$E$2</f>
        <v>17980.95060759</v>
      </c>
      <c r="P571" s="15" t="n">
        <f aca="false">N571*$E$2*(1+$I$562)/($F$562-$I$562)/(1+$F$562)^$N$3</f>
        <v>31289.1148132549</v>
      </c>
      <c r="Q571" s="15" t="n">
        <f aca="false">O571+P571</f>
        <v>49270.0654208449</v>
      </c>
      <c r="R571" s="15" t="n">
        <f aca="false">Q571-$G$2+$I$2</f>
        <v>46753.0654208449</v>
      </c>
      <c r="S571" s="42" t="n">
        <f aca="false">R571/$K$2</f>
        <v>107.919914641164</v>
      </c>
      <c r="T571" s="43" t="n">
        <f aca="false">S571-$M$2</f>
        <v>2.66161631698652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0.0390625</v>
      </c>
      <c r="C572" s="25" t="n">
        <f aca="false">IF(T571&gt;0,D571,C571)</f>
        <v>0.044921875</v>
      </c>
      <c r="D572" s="41" t="n">
        <f aca="false">(B572+C572)/2</f>
        <v>0.0419921875</v>
      </c>
      <c r="E572" s="15" t="n">
        <f aca="false">$C$2*(1+IF(E$3&lt;=$O$2,$D572,$D572-($D572-$I$562)*MIN(E$3-$O$2,$Q$2)/$Q$2))</f>
        <v>8158.798828125</v>
      </c>
      <c r="F572" s="15" t="n">
        <f aca="false">E572*(1+IF(F$3&lt;=$O$2,$D572,$D572-($D572-$I$562)*MIN(F$3-$O$2,$Q$2)/$Q$2))</f>
        <v>8501.40463829041</v>
      </c>
      <c r="G572" s="15" t="n">
        <f aca="false">F572*(1+IF(G$3&lt;=$O$2,$D572,$D572-($D572-$I$562)*MIN(G$3-$O$2,$Q$2)/$Q$2))</f>
        <v>8858.39721587487</v>
      </c>
      <c r="H572" s="15" t="n">
        <f aca="false">G572*(1+IF(H$3&lt;=$O$2,$D572,$D572-($D572-$I$562)*MIN(H$3-$O$2,$Q$2)/$Q$2))</f>
        <v>9230.38069271336</v>
      </c>
      <c r="I572" s="15" t="n">
        <f aca="false">H572*(1+IF(I$3&lt;=$O$2,$D572,$D572-($D572-$I$562)*MIN(I$3-$O$2,$Q$2)/$Q$2))</f>
        <v>9617.98456945816</v>
      </c>
      <c r="J572" s="15" t="n">
        <f aca="false">I572*(1+IF(J$3&lt;=$O$2,$D572,$D572-($D572-$I$562)*MIN(J$3-$O$2,$Q$2)/$Q$2))</f>
        <v>10014.7625003904</v>
      </c>
      <c r="K572" s="15" t="n">
        <f aca="false">J572*(1+IF(K$3&lt;=$O$2,$D572,$D572-($D572-$I$562)*MIN(K$3-$O$2,$Q$2)/$Q$2))</f>
        <v>10420.513732707</v>
      </c>
      <c r="L572" s="15" t="n">
        <f aca="false">K572*(1+IF(L$3&lt;=$O$2,$D572,$D572-($D572-$I$562)*MIN(L$3-$O$2,$Q$2)/$Q$2))</f>
        <v>10835.0092048887</v>
      </c>
      <c r="M572" s="15" t="n">
        <f aca="false">L572*(1+IF(M$3&lt;=$O$2,$D572,$D572-($D572-$I$562)*MIN(M$3-$O$2,$Q$2)/$Q$2))</f>
        <v>11257.9910345457</v>
      </c>
      <c r="N572" s="15" t="n">
        <f aca="false">M572*(1+IF(N$3&lt;=$O$2,$D572,$D572-($D572-$I$562)*MIN(N$3-$O$2,$Q$2)/$Q$2))</f>
        <v>11689.1720911688</v>
      </c>
      <c r="O572" s="15" t="n">
        <f aca="false">SUMPRODUCT(E572:N572,1/(1+$F$562)^$E$3:$N$3)*$E$2</f>
        <v>17752.505052722</v>
      </c>
      <c r="P572" s="15" t="n">
        <f aca="false">N572*$E$2*(1+$I$562)/($F$562-$I$562)/(1+$F$562)^$N$3</f>
        <v>30679.8291631199</v>
      </c>
      <c r="Q572" s="15" t="n">
        <f aca="false">O572+P572</f>
        <v>48432.334215842</v>
      </c>
      <c r="R572" s="15" t="n">
        <f aca="false">Q572-$G$2+$I$2</f>
        <v>45915.334215842</v>
      </c>
      <c r="S572" s="42" t="n">
        <f aca="false">R572/$K$2</f>
        <v>105.986183038276</v>
      </c>
      <c r="T572" s="43" t="n">
        <f aca="false">S572-$M$2</f>
        <v>0.727884714098934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0.0390625</v>
      </c>
      <c r="C573" s="25" t="n">
        <f aca="false">IF(T572&gt;0,D572,C572)</f>
        <v>0.0419921875</v>
      </c>
      <c r="D573" s="41" t="n">
        <f aca="false">(B573+C573)/2</f>
        <v>0.04052734375</v>
      </c>
      <c r="E573" s="15" t="n">
        <f aca="false">$C$2*(1+IF(E$3&lt;=$O$2,$D573,$D573-($D573-$I$562)*MIN(E$3-$O$2,$Q$2)/$Q$2))</f>
        <v>8147.3291015625</v>
      </c>
      <c r="F573" s="15" t="n">
        <f aca="false">E573*(1+IF(F$3&lt;=$O$2,$D573,$D573-($D573-$I$562)*MIN(F$3-$O$2,$Q$2)/$Q$2))</f>
        <v>8477.5187087059</v>
      </c>
      <c r="G573" s="15" t="n">
        <f aca="false">F573*(1+IF(G$3&lt;=$O$2,$D573,$D573-($D573-$I$562)*MIN(G$3-$O$2,$Q$2)/$Q$2))</f>
        <v>8821.09002356068</v>
      </c>
      <c r="H573" s="15" t="n">
        <f aca="false">G573*(1+IF(H$3&lt;=$O$2,$D573,$D573-($D573-$I$562)*MIN(H$3-$O$2,$Q$2)/$Q$2))</f>
        <v>9178.58537119522</v>
      </c>
      <c r="I573" s="15" t="n">
        <f aca="false">H573*(1+IF(I$3&lt;=$O$2,$D573,$D573-($D573-$I$562)*MIN(I$3-$O$2,$Q$2)/$Q$2))</f>
        <v>9550.56905567237</v>
      </c>
      <c r="J573" s="15" t="n">
        <f aca="false">I573*(1+IF(J$3&lt;=$O$2,$D573,$D573-($D573-$I$562)*MIN(J$3-$O$2,$Q$2)/$Q$2))</f>
        <v>9933.3737707407</v>
      </c>
      <c r="K573" s="15" t="n">
        <f aca="false">J573*(1+IF(K$3&lt;=$O$2,$D573,$D573-($D573-$I$562)*MIN(K$3-$O$2,$Q$2)/$Q$2))</f>
        <v>10327.0970089509</v>
      </c>
      <c r="L573" s="15" t="n">
        <f aca="false">K573*(1+IF(L$3&lt;=$O$2,$D573,$D573-($D573-$I$562)*MIN(L$3-$O$2,$Q$2)/$Q$2))</f>
        <v>10731.8256223851</v>
      </c>
      <c r="M573" s="15" t="n">
        <f aca="false">L573*(1+IF(M$3&lt;=$O$2,$D573,$D573-($D573-$I$562)*MIN(M$3-$O$2,$Q$2)/$Q$2))</f>
        <v>11147.6352366677</v>
      </c>
      <c r="N573" s="15" t="n">
        <f aca="false">M573*(1+IF(N$3&lt;=$O$2,$D573,$D573-($D573-$I$562)*MIN(N$3-$O$2,$Q$2)/$Q$2))</f>
        <v>11574.589666232</v>
      </c>
      <c r="O573" s="15" t="n">
        <f aca="false">SUMPRODUCT(E573:N573,1/(1+$F$562)^$E$3:$N$3)*$E$2</f>
        <v>17639.3835989175</v>
      </c>
      <c r="P573" s="15" t="n">
        <f aca="false">N573*$E$2*(1+$I$562)/($F$562-$I$562)/(1+$F$562)^$N$3</f>
        <v>30379.091934278</v>
      </c>
      <c r="Q573" s="15" t="n">
        <f aca="false">O573+P573</f>
        <v>48018.4755331955</v>
      </c>
      <c r="R573" s="15" t="n">
        <f aca="false">Q573-$G$2+$I$2</f>
        <v>45501.4755331955</v>
      </c>
      <c r="S573" s="42" t="n">
        <f aca="false">R573/$K$2</f>
        <v>105.030874689985</v>
      </c>
      <c r="T573" s="43" t="n">
        <f aca="false">S573-$M$2</f>
        <v>-0.227423634191752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0.04052734375</v>
      </c>
      <c r="C574" s="25" t="n">
        <f aca="false">IF(T573&gt;0,D573,C573)</f>
        <v>0.0419921875</v>
      </c>
      <c r="D574" s="41" t="n">
        <f aca="false">(B574+C574)/2</f>
        <v>0.041259765625</v>
      </c>
      <c r="E574" s="15" t="n">
        <f aca="false">$C$2*(1+IF(E$3&lt;=$O$2,$D574,$D574-($D574-$I$562)*MIN(E$3-$O$2,$Q$2)/$Q$2))</f>
        <v>8153.06396484375</v>
      </c>
      <c r="F574" s="15" t="n">
        <f aca="false">E574*(1+IF(F$3&lt;=$O$2,$D574,$D574-($D574-$I$562)*MIN(F$3-$O$2,$Q$2)/$Q$2))</f>
        <v>8489.45747315884</v>
      </c>
      <c r="G574" s="15" t="n">
        <f aca="false">F574*(1+IF(G$3&lt;=$O$2,$D574,$D574-($D574-$I$562)*MIN(G$3-$O$2,$Q$2)/$Q$2))</f>
        <v>8839.73049878478</v>
      </c>
      <c r="H574" s="15" t="n">
        <f aca="false">G574*(1+IF(H$3&lt;=$O$2,$D574,$D574-($D574-$I$562)*MIN(H$3-$O$2,$Q$2)/$Q$2))</f>
        <v>9204.4557073528</v>
      </c>
      <c r="I574" s="15" t="n">
        <f aca="false">H574*(1+IF(I$3&lt;=$O$2,$D574,$D574-($D574-$I$562)*MIN(I$3-$O$2,$Q$2)/$Q$2))</f>
        <v>9584.22939254387</v>
      </c>
      <c r="J574" s="15" t="n">
        <f aca="false">I574*(1+IF(J$3&lt;=$O$2,$D574,$D574-($D574-$I$562)*MIN(J$3-$O$2,$Q$2)/$Q$2))</f>
        <v>9973.99903643683</v>
      </c>
      <c r="K574" s="15" t="n">
        <f aca="false">J574*(1+IF(K$3&lt;=$O$2,$D574,$D574-($D574-$I$562)*MIN(K$3-$O$2,$Q$2)/$Q$2))</f>
        <v>10373.7156192275</v>
      </c>
      <c r="L574" s="15" t="n">
        <f aca="false">K574*(1+IF(L$3&lt;=$O$2,$D574,$D574-($D574-$I$562)*MIN(L$3-$O$2,$Q$2)/$Q$2))</f>
        <v>10783.3104342012</v>
      </c>
      <c r="M574" s="15" t="n">
        <f aca="false">L574*(1+IF(M$3&lt;=$O$2,$D574,$D574-($D574-$I$562)*MIN(M$3-$O$2,$Q$2)/$Q$2))</f>
        <v>11202.6944381405</v>
      </c>
      <c r="N574" s="15" t="n">
        <f aca="false">M574*(1+IF(N$3&lt;=$O$2,$D574,$D574-($D574-$I$562)*MIN(N$3-$O$2,$Q$2)/$Q$2))</f>
        <v>11631.7576351213</v>
      </c>
      <c r="O574" s="15" t="n">
        <f aca="false">SUMPRODUCT(E574:N574,1/(1+$F$562)^$E$3:$N$3)*$E$2</f>
        <v>17695.8530107928</v>
      </c>
      <c r="P574" s="15" t="n">
        <f aca="false">N574*$E$2*(1+$I$562)/($F$562-$I$562)/(1+$F$562)^$N$3</f>
        <v>30529.1370790875</v>
      </c>
      <c r="Q574" s="15" t="n">
        <f aca="false">O574+P574</f>
        <v>48224.9900898803</v>
      </c>
      <c r="R574" s="15" t="n">
        <f aca="false">Q574-$G$2+$I$2</f>
        <v>45707.9900898803</v>
      </c>
      <c r="S574" s="42" t="n">
        <f aca="false">R574/$K$2</f>
        <v>105.507571418402</v>
      </c>
      <c r="T574" s="43" t="n">
        <f aca="false">S574-$M$2</f>
        <v>0.249273094225387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0.04052734375</v>
      </c>
      <c r="C575" s="25" t="n">
        <f aca="false">IF(T574&gt;0,D574,C574)</f>
        <v>0.041259765625</v>
      </c>
      <c r="D575" s="41" t="n">
        <f aca="false">(B575+C575)/2</f>
        <v>0.0408935546875</v>
      </c>
      <c r="E575" s="15" t="n">
        <f aca="false">$C$2*(1+IF(E$3&lt;=$O$2,$D575,$D575-($D575-$I$562)*MIN(E$3-$O$2,$Q$2)/$Q$2))</f>
        <v>8150.19653320313</v>
      </c>
      <c r="F575" s="15" t="n">
        <f aca="false">E575*(1+IF(F$3&lt;=$O$2,$D575,$D575-($D575-$I$562)*MIN(F$3-$O$2,$Q$2)/$Q$2))</f>
        <v>8483.48704084754</v>
      </c>
      <c r="G575" s="15" t="n">
        <f aca="false">F575*(1+IF(G$3&lt;=$O$2,$D575,$D575-($D575-$I$562)*MIN(G$3-$O$2,$Q$2)/$Q$2))</f>
        <v>8830.40698209314</v>
      </c>
      <c r="H575" s="15" t="n">
        <f aca="false">G575*(1+IF(H$3&lt;=$O$2,$D575,$D575-($D575-$I$562)*MIN(H$3-$O$2,$Q$2)/$Q$2))</f>
        <v>9191.51371292824</v>
      </c>
      <c r="I575" s="15" t="n">
        <f aca="false">H575*(1+IF(I$3&lt;=$O$2,$D575,$D575-($D575-$I$562)*MIN(I$3-$O$2,$Q$2)/$Q$2))</f>
        <v>9567.38738160878</v>
      </c>
      <c r="J575" s="15" t="n">
        <f aca="false">I575*(1+IF(J$3&lt;=$O$2,$D575,$D575-($D575-$I$562)*MIN(J$3-$O$2,$Q$2)/$Q$2))</f>
        <v>9953.66915223696</v>
      </c>
      <c r="K575" s="15" t="n">
        <f aca="false">J575*(1+IF(K$3&lt;=$O$2,$D575,$D575-($D575-$I$562)*MIN(K$3-$O$2,$Q$2)/$Q$2))</f>
        <v>10350.3839119402</v>
      </c>
      <c r="L575" s="15" t="n">
        <f aca="false">K575*(1+IF(L$3&lt;=$O$2,$D575,$D575-($D575-$I$562)*MIN(L$3-$O$2,$Q$2)/$Q$2))</f>
        <v>10757.5413304524</v>
      </c>
      <c r="M575" s="15" t="n">
        <f aca="false">L575*(1+IF(M$3&lt;=$O$2,$D575,$D575-($D575-$I$562)*MIN(M$3-$O$2,$Q$2)/$Q$2))</f>
        <v>11175.1352177574</v>
      </c>
      <c r="N575" s="15" t="n">
        <f aca="false">M575*(1+IF(N$3&lt;=$O$2,$D575,$D575-($D575-$I$562)*MIN(N$3-$O$2,$Q$2)/$Q$2))</f>
        <v>11603.1428965976</v>
      </c>
      <c r="O575" s="15" t="n">
        <f aca="false">SUMPRODUCT(E575:N575,1/(1+$F$562)^$E$3:$N$3)*$E$2</f>
        <v>17667.5955106189</v>
      </c>
      <c r="P575" s="15" t="n">
        <f aca="false">N575*$E$2*(1+$I$562)/($F$562-$I$562)/(1+$F$562)^$N$3</f>
        <v>30454.0337884004</v>
      </c>
      <c r="Q575" s="15" t="n">
        <f aca="false">O575+P575</f>
        <v>48121.6292990193</v>
      </c>
      <c r="R575" s="15" t="n">
        <f aca="false">Q575-$G$2+$I$2</f>
        <v>45604.6292990193</v>
      </c>
      <c r="S575" s="42" t="n">
        <f aca="false">R575/$K$2</f>
        <v>105.26898411666</v>
      </c>
      <c r="T575" s="43" t="n">
        <f aca="false">S575-$M$2</f>
        <v>0.0106857924826329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0.04052734375</v>
      </c>
      <c r="C576" s="25" t="n">
        <f aca="false">IF(T575&gt;0,D575,C575)</f>
        <v>0.0408935546875</v>
      </c>
      <c r="D576" s="41" t="n">
        <f aca="false">(B576+C576)/2</f>
        <v>0.04071044921875</v>
      </c>
      <c r="E576" s="15" t="n">
        <f aca="false">$C$2*(1+IF(E$3&lt;=$O$2,$D576,$D576-($D576-$I$562)*MIN(E$3-$O$2,$Q$2)/$Q$2))</f>
        <v>8148.76281738281</v>
      </c>
      <c r="F576" s="15" t="n">
        <f aca="false">E576*(1+IF(F$3&lt;=$O$2,$D576,$D576-($D576-$I$562)*MIN(F$3-$O$2,$Q$2)/$Q$2))</f>
        <v>8480.50261225551</v>
      </c>
      <c r="G576" s="15" t="n">
        <f aca="false">F576*(1+IF(G$3&lt;=$O$2,$D576,$D576-($D576-$I$562)*MIN(G$3-$O$2,$Q$2)/$Q$2))</f>
        <v>8825.74768320122</v>
      </c>
      <c r="H576" s="15" t="n">
        <f aca="false">G576*(1+IF(H$3&lt;=$O$2,$D576,$D576-($D576-$I$562)*MIN(H$3-$O$2,$Q$2)/$Q$2))</f>
        <v>9185.04783607568</v>
      </c>
      <c r="I576" s="15" t="n">
        <f aca="false">H576*(1+IF(I$3&lt;=$O$2,$D576,$D576-($D576-$I$562)*MIN(I$3-$O$2,$Q$2)/$Q$2))</f>
        <v>9558.97525957803</v>
      </c>
      <c r="J576" s="15" t="n">
        <f aca="false">I576*(1+IF(J$3&lt;=$O$2,$D576,$D576-($D576-$I$562)*MIN(J$3-$O$2,$Q$2)/$Q$2))</f>
        <v>9943.51715157707</v>
      </c>
      <c r="K576" s="15" t="n">
        <f aca="false">J576*(1+IF(K$3&lt;=$O$2,$D576,$D576-($D576-$I$562)*MIN(K$3-$O$2,$Q$2)/$Q$2))</f>
        <v>10338.7348643723</v>
      </c>
      <c r="L576" s="15" t="n">
        <f aca="false">K576*(1+IF(L$3&lt;=$O$2,$D576,$D576-($D576-$I$562)*MIN(L$3-$O$2,$Q$2)/$Q$2))</f>
        <v>10744.6768078284</v>
      </c>
      <c r="M576" s="15" t="n">
        <f aca="false">L576*(1+IF(M$3&lt;=$O$2,$D576,$D576-($D576-$I$562)*MIN(M$3-$O$2,$Q$2)/$Q$2))</f>
        <v>11161.3778291317</v>
      </c>
      <c r="N576" s="15" t="n">
        <f aca="false">M576*(1+IF(N$3&lt;=$O$2,$D576,$D576-($D576-$I$562)*MIN(N$3-$O$2,$Q$2)/$Q$2))</f>
        <v>11588.8585999874</v>
      </c>
      <c r="O576" s="15" t="n">
        <f aca="false">SUMPRODUCT(E576:N576,1/(1+$F$562)^$E$3:$N$3)*$E$2</f>
        <v>17653.4838605192</v>
      </c>
      <c r="P576" s="15" t="n">
        <f aca="false">N576*$E$2*(1+$I$562)/($F$562-$I$562)/(1+$F$562)^$N$3</f>
        <v>30416.5427003835</v>
      </c>
      <c r="Q576" s="15" t="n">
        <f aca="false">O576+P576</f>
        <v>48070.0265609027</v>
      </c>
      <c r="R576" s="15" t="n">
        <f aca="false">Q576-$G$2+$I$2</f>
        <v>45553.0265609027</v>
      </c>
      <c r="S576" s="42" t="n">
        <f aca="false">R576/$K$2</f>
        <v>105.149869721857</v>
      </c>
      <c r="T576" s="43" t="n">
        <f aca="false">S576-$M$2</f>
        <v>-0.108428602320458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0.04071044921875</v>
      </c>
      <c r="C577" s="25" t="n">
        <f aca="false">IF(T576&gt;0,D576,C576)</f>
        <v>0.0408935546875</v>
      </c>
      <c r="D577" s="41" t="n">
        <f aca="false">(B577+C577)/2</f>
        <v>0.040802001953125</v>
      </c>
      <c r="E577" s="15" t="n">
        <f aca="false">$C$2*(1+IF(E$3&lt;=$O$2,$D577,$D577-($D577-$I$562)*MIN(E$3-$O$2,$Q$2)/$Q$2))</f>
        <v>8149.47967529297</v>
      </c>
      <c r="F577" s="15" t="n">
        <f aca="false">E577*(1+IF(F$3&lt;=$O$2,$D577,$D577-($D577-$I$562)*MIN(F$3-$O$2,$Q$2)/$Q$2))</f>
        <v>8481.99476092123</v>
      </c>
      <c r="G577" s="15" t="n">
        <f aca="false">F577*(1+IF(G$3&lt;=$O$2,$D577,$D577-($D577-$I$562)*MIN(G$3-$O$2,$Q$2)/$Q$2))</f>
        <v>8828.07712772273</v>
      </c>
      <c r="H577" s="15" t="n">
        <f aca="false">G577*(1+IF(H$3&lt;=$O$2,$D577,$D577-($D577-$I$562)*MIN(H$3-$O$2,$Q$2)/$Q$2))</f>
        <v>9188.28034793041</v>
      </c>
      <c r="I577" s="15" t="n">
        <f aca="false">H577*(1+IF(I$3&lt;=$O$2,$D577,$D577-($D577-$I$562)*MIN(I$3-$O$2,$Q$2)/$Q$2))</f>
        <v>9563.18058063253</v>
      </c>
      <c r="J577" s="15" t="n">
        <f aca="false">I577*(1+IF(J$3&lt;=$O$2,$D577,$D577-($D577-$I$562)*MIN(J$3-$O$2,$Q$2)/$Q$2))</f>
        <v>9948.59207406342</v>
      </c>
      <c r="K577" s="15" t="n">
        <f aca="false">J577*(1+IF(K$3&lt;=$O$2,$D577,$D577-($D577-$I$562)*MIN(K$3-$O$2,$Q$2)/$Q$2))</f>
        <v>10344.5579885801</v>
      </c>
      <c r="L577" s="15" t="n">
        <f aca="false">K577*(1+IF(L$3&lt;=$O$2,$D577,$D577-($D577-$I$562)*MIN(L$3-$O$2,$Q$2)/$Q$2))</f>
        <v>10751.1074012594</v>
      </c>
      <c r="M577" s="15" t="n">
        <f aca="false">L577*(1+IF(M$3&lt;=$O$2,$D577,$D577-($D577-$I$562)*MIN(M$3-$O$2,$Q$2)/$Q$2))</f>
        <v>11168.2546730709</v>
      </c>
      <c r="N577" s="15" t="n">
        <f aca="false">M577*(1+IF(N$3&lt;=$O$2,$D577,$D577-($D577-$I$562)*MIN(N$3-$O$2,$Q$2)/$Q$2))</f>
        <v>11595.9988270495</v>
      </c>
      <c r="O577" s="15" t="n">
        <f aca="false">SUMPRODUCT(E577:N577,1/(1+$F$562)^$E$3:$N$3)*$E$2</f>
        <v>17660.5382614683</v>
      </c>
      <c r="P577" s="15" t="n">
        <f aca="false">N577*$E$2*(1+$I$562)/($F$562-$I$562)/(1+$F$562)^$N$3</f>
        <v>30435.2832018273</v>
      </c>
      <c r="Q577" s="15" t="n">
        <f aca="false">O577+P577</f>
        <v>48095.8214632956</v>
      </c>
      <c r="R577" s="15" t="n">
        <f aca="false">Q577-$G$2+$I$2</f>
        <v>45578.8214632956</v>
      </c>
      <c r="S577" s="42" t="n">
        <f aca="false">R577/$K$2</f>
        <v>105.20941199228</v>
      </c>
      <c r="T577" s="43" t="n">
        <f aca="false">S577-$M$2</f>
        <v>-0.0488863318969948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0.040802001953125</v>
      </c>
      <c r="C578" s="25" t="n">
        <f aca="false">IF(T577&gt;0,D577,C577)</f>
        <v>0.0408935546875</v>
      </c>
      <c r="D578" s="41" t="n">
        <f aca="false">(B578+C578)/2</f>
        <v>0.0408477783203125</v>
      </c>
      <c r="E578" s="15" t="n">
        <f aca="false">$C$2*(1+IF(E$3&lt;=$O$2,$D578,$D578-($D578-$I$562)*MIN(E$3-$O$2,$Q$2)/$Q$2))</f>
        <v>8149.83810424805</v>
      </c>
      <c r="F578" s="15" t="n">
        <f aca="false">E578*(1+IF(F$3&lt;=$O$2,$D578,$D578-($D578-$I$562)*MIN(F$3-$O$2,$Q$2)/$Q$2))</f>
        <v>8482.74088447681</v>
      </c>
      <c r="G578" s="15" t="n">
        <f aca="false">F578*(1+IF(G$3&lt;=$O$2,$D578,$D578-($D578-$I$562)*MIN(G$3-$O$2,$Q$2)/$Q$2))</f>
        <v>8829.24200367457</v>
      </c>
      <c r="H578" s="15" t="n">
        <f aca="false">G578*(1+IF(H$3&lt;=$O$2,$D578,$D578-($D578-$I$562)*MIN(H$3-$O$2,$Q$2)/$Q$2))</f>
        <v>9189.89692377706</v>
      </c>
      <c r="I578" s="15" t="n">
        <f aca="false">H578*(1+IF(I$3&lt;=$O$2,$D578,$D578-($D578-$I$562)*MIN(I$3-$O$2,$Q$2)/$Q$2))</f>
        <v>9565.28379610603</v>
      </c>
      <c r="J578" s="15" t="n">
        <f aca="false">I578*(1+IF(J$3&lt;=$O$2,$D578,$D578-($D578-$I$562)*MIN(J$3-$O$2,$Q$2)/$Q$2))</f>
        <v>9951.13034364357</v>
      </c>
      <c r="K578" s="15" t="n">
        <f aca="false">J578*(1+IF(K$3&lt;=$O$2,$D578,$D578-($D578-$I$562)*MIN(K$3-$O$2,$Q$2)/$Q$2))</f>
        <v>10347.4706002964</v>
      </c>
      <c r="L578" s="15" t="n">
        <f aca="false">K578*(1+IF(L$3&lt;=$O$2,$D578,$D578-($D578-$I$562)*MIN(L$3-$O$2,$Q$2)/$Q$2))</f>
        <v>10754.323948794</v>
      </c>
      <c r="M578" s="15" t="n">
        <f aca="false">L578*(1+IF(M$3&lt;=$O$2,$D578,$D578-($D578-$I$562)*MIN(M$3-$O$2,$Q$2)/$Q$2))</f>
        <v>11171.694482714</v>
      </c>
      <c r="N578" s="15" t="n">
        <f aca="false">M578*(1+IF(N$3&lt;=$O$2,$D578,$D578-($D578-$I$562)*MIN(N$3-$O$2,$Q$2)/$Q$2))</f>
        <v>11599.570381402</v>
      </c>
      <c r="O578" s="15" t="n">
        <f aca="false">SUMPRODUCT(E578:N578,1/(1+$F$562)^$E$3:$N$3)*$E$2</f>
        <v>17664.066529951</v>
      </c>
      <c r="P578" s="15" t="n">
        <f aca="false">N578*$E$2*(1+$I$562)/($F$562-$I$562)/(1+$F$562)^$N$3</f>
        <v>30444.6572341819</v>
      </c>
      <c r="Q578" s="15" t="n">
        <f aca="false">O578+P578</f>
        <v>48108.7237641329</v>
      </c>
      <c r="R578" s="15" t="n">
        <f aca="false">Q578-$G$2+$I$2</f>
        <v>45591.7237641329</v>
      </c>
      <c r="S578" s="42" t="n">
        <f aca="false">R578/$K$2</f>
        <v>105.239194321899</v>
      </c>
      <c r="T578" s="43" t="n">
        <f aca="false">S578-$M$2</f>
        <v>-0.0191040022784392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0.0408477783203125</v>
      </c>
      <c r="C579" s="25" t="n">
        <f aca="false">IF(T578&gt;0,D578,C578)</f>
        <v>0.0408935546875</v>
      </c>
      <c r="D579" s="41" t="n">
        <f aca="false">(B579+C579)/2</f>
        <v>0.0408706665039063</v>
      </c>
      <c r="E579" s="15" t="n">
        <f aca="false">$C$2*(1+IF(E$3&lt;=$O$2,$D579,$D579-($D579-$I$562)*MIN(E$3-$O$2,$Q$2)/$Q$2))</f>
        <v>8150.01731872559</v>
      </c>
      <c r="F579" s="15" t="n">
        <f aca="false">E579*(1+IF(F$3&lt;=$O$2,$D579,$D579-($D579-$I$562)*MIN(F$3-$O$2,$Q$2)/$Q$2))</f>
        <v>8483.11395856028</v>
      </c>
      <c r="G579" s="15" t="n">
        <f aca="false">F579*(1+IF(G$3&lt;=$O$2,$D579,$D579-($D579-$I$562)*MIN(G$3-$O$2,$Q$2)/$Q$2))</f>
        <v>8829.82448007523</v>
      </c>
      <c r="H579" s="15" t="n">
        <f aca="false">G579*(1+IF(H$3&lt;=$O$2,$D579,$D579-($D579-$I$562)*MIN(H$3-$O$2,$Q$2)/$Q$2))</f>
        <v>9190.70529168841</v>
      </c>
      <c r="I579" s="15" t="n">
        <f aca="false">H579*(1+IF(I$3&lt;=$O$2,$D579,$D579-($D579-$I$562)*MIN(I$3-$O$2,$Q$2)/$Q$2))</f>
        <v>9566.3355426007</v>
      </c>
      <c r="J579" s="15" t="n">
        <f aca="false">I579*(1+IF(J$3&lt;=$O$2,$D579,$D579-($D579-$I$562)*MIN(J$3-$O$2,$Q$2)/$Q$2))</f>
        <v>9952.3996805579</v>
      </c>
      <c r="K579" s="15" t="n">
        <f aca="false">J579*(1+IF(K$3&lt;=$O$2,$D579,$D579-($D579-$I$562)*MIN(K$3-$O$2,$Q$2)/$Q$2))</f>
        <v>10348.9271686186</v>
      </c>
      <c r="L579" s="15" t="n">
        <f aca="false">K579*(1+IF(L$3&lt;=$O$2,$D579,$D579-($D579-$I$562)*MIN(L$3-$O$2,$Q$2)/$Q$2))</f>
        <v>10755.9325353462</v>
      </c>
      <c r="M579" s="15" t="n">
        <f aca="false">L579*(1+IF(M$3&lt;=$O$2,$D579,$D579-($D579-$I$562)*MIN(M$3-$O$2,$Q$2)/$Q$2))</f>
        <v>11173.4147345474</v>
      </c>
      <c r="N579" s="15" t="n">
        <f aca="false">M579*(1+IF(N$3&lt;=$O$2,$D579,$D579-($D579-$I$562)*MIN(N$3-$O$2,$Q$2)/$Q$2))</f>
        <v>11601.3565188805</v>
      </c>
      <c r="O579" s="15" t="n">
        <f aca="false">SUMPRODUCT(E579:N579,1/(1+$F$562)^$E$3:$N$3)*$E$2</f>
        <v>17665.8309312534</v>
      </c>
      <c r="P579" s="15" t="n">
        <f aca="false">N579*$E$2*(1+$I$562)/($F$562-$I$562)/(1+$F$562)^$N$3</f>
        <v>30449.3451960218</v>
      </c>
      <c r="Q579" s="15" t="n">
        <f aca="false">O579+P579</f>
        <v>48115.1761272752</v>
      </c>
      <c r="R579" s="15" t="n">
        <f aca="false">Q579-$G$2+$I$2</f>
        <v>45598.1761272752</v>
      </c>
      <c r="S579" s="42" t="n">
        <f aca="false">R579/$K$2</f>
        <v>105.254088286033</v>
      </c>
      <c r="T579" s="43" t="n">
        <f aca="false">S579-$M$2</f>
        <v>-0.00421003814406618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0.0408706665039063</v>
      </c>
      <c r="C580" s="25" t="n">
        <f aca="false">IF(T579&gt;0,D579,C579)</f>
        <v>0.0408935546875</v>
      </c>
      <c r="D580" s="41" t="n">
        <f aca="false">(B580+C580)/2</f>
        <v>0.0408821105957031</v>
      </c>
      <c r="E580" s="15" t="n">
        <f aca="false">$C$2*(1+IF(E$3&lt;=$O$2,$D580,$D580-($D580-$I$562)*MIN(E$3-$O$2,$Q$2)/$Q$2))</f>
        <v>8150.10692596436</v>
      </c>
      <c r="F580" s="15" t="n">
        <f aca="false">E580*(1+IF(F$3&lt;=$O$2,$D580,$D580-($D580-$I$562)*MIN(F$3-$O$2,$Q$2)/$Q$2))</f>
        <v>8483.30049867844</v>
      </c>
      <c r="G580" s="15" t="n">
        <f aca="false">F580*(1+IF(G$3&lt;=$O$2,$D580,$D580-($D580-$I$562)*MIN(G$3-$O$2,$Q$2)/$Q$2))</f>
        <v>8830.11572788199</v>
      </c>
      <c r="H580" s="15" t="n">
        <f aca="false">G580*(1+IF(H$3&lt;=$O$2,$D580,$D580-($D580-$I$562)*MIN(H$3-$O$2,$Q$2)/$Q$2))</f>
        <v>9191.10949564212</v>
      </c>
      <c r="I580" s="15" t="n">
        <f aca="false">H580*(1+IF(I$3&lt;=$O$2,$D580,$D580-($D580-$I$562)*MIN(I$3-$O$2,$Q$2)/$Q$2))</f>
        <v>9566.86145054018</v>
      </c>
      <c r="J580" s="15" t="n">
        <f aca="false">I580*(1+IF(J$3&lt;=$O$2,$D580,$D580-($D580-$I$562)*MIN(J$3-$O$2,$Q$2)/$Q$2))</f>
        <v>9953.03439955112</v>
      </c>
      <c r="K580" s="15" t="n">
        <f aca="false">J580*(1+IF(K$3&lt;=$O$2,$D580,$D580-($D580-$I$562)*MIN(K$3-$O$2,$Q$2)/$Q$2))</f>
        <v>10349.6555184034</v>
      </c>
      <c r="L580" s="15" t="n">
        <f aca="false">K580*(1+IF(L$3&lt;=$O$2,$D580,$D580-($D580-$I$562)*MIN(L$3-$O$2,$Q$2)/$Q$2))</f>
        <v>10756.7369068286</v>
      </c>
      <c r="M580" s="15" t="n">
        <f aca="false">L580*(1+IF(M$3&lt;=$O$2,$D580,$D580-($D580-$I$562)*MIN(M$3-$O$2,$Q$2)/$Q$2))</f>
        <v>11174.2749472286</v>
      </c>
      <c r="N580" s="15" t="n">
        <f aca="false">M580*(1+IF(N$3&lt;=$O$2,$D580,$D580-($D580-$I$562)*MIN(N$3-$O$2,$Q$2)/$Q$2))</f>
        <v>11602.2496777075</v>
      </c>
      <c r="O580" s="15" t="n">
        <f aca="false">SUMPRODUCT(E580:N580,1/(1+$F$562)^$E$3:$N$3)*$E$2</f>
        <v>17666.7131986772</v>
      </c>
      <c r="P580" s="15" t="n">
        <f aca="false">N580*$E$2*(1+$I$562)/($F$562-$I$562)/(1+$F$562)^$N$3</f>
        <v>30451.6894133892</v>
      </c>
      <c r="Q580" s="15" t="n">
        <f aca="false">O580+P580</f>
        <v>48118.4026120665</v>
      </c>
      <c r="R580" s="15" t="n">
        <f aca="false">Q580-$G$2+$I$2</f>
        <v>45601.4026120665</v>
      </c>
      <c r="S580" s="42" t="n">
        <f aca="false">R580/$K$2</f>
        <v>105.261535968022</v>
      </c>
      <c r="T580" s="43" t="n">
        <f aca="false">S580-$M$2</f>
        <v>0.00323764384481251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0.0408706665039063</v>
      </c>
      <c r="C581" s="25" t="n">
        <f aca="false">IF(T580&gt;0,D580,C580)</f>
        <v>0.0408821105957031</v>
      </c>
      <c r="D581" s="41" t="n">
        <f aca="false">(B581+C581)/2</f>
        <v>0.0408763885498047</v>
      </c>
      <c r="E581" s="15" t="n">
        <f aca="false">$C$2*(1+IF(E$3&lt;=$O$2,$D581,$D581-($D581-$I$562)*MIN(E$3-$O$2,$Q$2)/$Q$2))</f>
        <v>8150.06212234497</v>
      </c>
      <c r="F581" s="15" t="n">
        <f aca="false">E581*(1+IF(F$3&lt;=$O$2,$D581,$D581-($D581-$I$562)*MIN(F$3-$O$2,$Q$2)/$Q$2))</f>
        <v>8483.20722836299</v>
      </c>
      <c r="G581" s="15" t="n">
        <f aca="false">F581*(1+IF(G$3&lt;=$O$2,$D581,$D581-($D581-$I$562)*MIN(G$3-$O$2,$Q$2)/$Q$2))</f>
        <v>8829.97010317807</v>
      </c>
      <c r="H581" s="15" t="n">
        <f aca="false">G581*(1+IF(H$3&lt;=$O$2,$D581,$D581-($D581-$I$562)*MIN(H$3-$O$2,$Q$2)/$Q$2))</f>
        <v>9190.90739199873</v>
      </c>
      <c r="I581" s="15" t="n">
        <f aca="false">H581*(1+IF(I$3&lt;=$O$2,$D581,$D581-($D581-$I$562)*MIN(I$3-$O$2,$Q$2)/$Q$2))</f>
        <v>9566.59849367934</v>
      </c>
      <c r="J581" s="15" t="n">
        <f aca="false">I581*(1+IF(J$3&lt;=$O$2,$D581,$D581-($D581-$I$562)*MIN(J$3-$O$2,$Q$2)/$Q$2))</f>
        <v>9952.71703584302</v>
      </c>
      <c r="K581" s="15" t="n">
        <f aca="false">J581*(1+IF(K$3&lt;=$O$2,$D581,$D581-($D581-$I$562)*MIN(K$3-$O$2,$Q$2)/$Q$2))</f>
        <v>10349.2913380422</v>
      </c>
      <c r="L581" s="15" t="n">
        <f aca="false">K581*(1+IF(L$3&lt;=$O$2,$D581,$D581-($D581-$I$562)*MIN(L$3-$O$2,$Q$2)/$Q$2))</f>
        <v>10756.3347145699</v>
      </c>
      <c r="M581" s="15" t="n">
        <f aca="false">L581*(1+IF(M$3&lt;=$O$2,$D581,$D581-($D581-$I$562)*MIN(M$3-$O$2,$Q$2)/$Q$2))</f>
        <v>11173.8448336573</v>
      </c>
      <c r="N581" s="15" t="n">
        <f aca="false">M581*(1+IF(N$3&lt;=$O$2,$D581,$D581-($D581-$I$562)*MIN(N$3-$O$2,$Q$2)/$Q$2))</f>
        <v>11601.8030907863</v>
      </c>
      <c r="O581" s="15" t="n">
        <f aca="false">SUMPRODUCT(E581:N581,1/(1+$F$562)^$E$3:$N$3)*$E$2</f>
        <v>17666.2720594007</v>
      </c>
      <c r="P581" s="15" t="n">
        <f aca="false">N581*$E$2*(1+$I$562)/($F$562-$I$562)/(1+$F$562)^$N$3</f>
        <v>30450.5172850006</v>
      </c>
      <c r="Q581" s="15" t="n">
        <f aca="false">O581+P581</f>
        <v>48116.7893444013</v>
      </c>
      <c r="R581" s="15" t="n">
        <f aca="false">Q581-$G$2+$I$2</f>
        <v>45599.7893444013</v>
      </c>
      <c r="S581" s="42" t="n">
        <f aca="false">R581/$K$2</f>
        <v>105.257812068698</v>
      </c>
      <c r="T581" s="43" t="n">
        <f aca="false">S581-$M$2</f>
        <v>-0.000486255479145825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0.0408763885498047</v>
      </c>
      <c r="C582" s="25" t="n">
        <f aca="false">IF(T581&gt;0,D581,C581)</f>
        <v>0.0408821105957031</v>
      </c>
      <c r="D582" s="41" t="n">
        <f aca="false">(B582+C582)/2</f>
        <v>0.0408792495727539</v>
      </c>
      <c r="E582" s="15" t="n">
        <f aca="false">$C$2*(1+IF(E$3&lt;=$O$2,$D582,$D582-($D582-$I$562)*MIN(E$3-$O$2,$Q$2)/$Q$2))</f>
        <v>8150.08452415466</v>
      </c>
      <c r="F582" s="15" t="n">
        <f aca="false">E582*(1+IF(F$3&lt;=$O$2,$D582,$D582-($D582-$I$562)*MIN(F$3-$O$2,$Q$2)/$Q$2))</f>
        <v>8483.25386345662</v>
      </c>
      <c r="G582" s="15" t="n">
        <f aca="false">F582*(1+IF(G$3&lt;=$O$2,$D582,$D582-($D582-$I$562)*MIN(G$3-$O$2,$Q$2)/$Q$2))</f>
        <v>8830.04291532989</v>
      </c>
      <c r="H582" s="15" t="n">
        <f aca="false">G582*(1+IF(H$3&lt;=$O$2,$D582,$D582-($D582-$I$562)*MIN(H$3-$O$2,$Q$2)/$Q$2))</f>
        <v>9191.00844340379</v>
      </c>
      <c r="I582" s="15" t="n">
        <f aca="false">H582*(1+IF(I$3&lt;=$O$2,$D582,$D582-($D582-$I$562)*MIN(I$3-$O$2,$Q$2)/$Q$2))</f>
        <v>9566.72997138698</v>
      </c>
      <c r="J582" s="15" t="n">
        <f aca="false">I582*(1+IF(J$3&lt;=$O$2,$D582,$D582-($D582-$I$562)*MIN(J$3-$O$2,$Q$2)/$Q$2))</f>
        <v>9952.87571664419</v>
      </c>
      <c r="K582" s="15" t="n">
        <f aca="false">J582*(1+IF(K$3&lt;=$O$2,$D582,$D582-($D582-$I$562)*MIN(K$3-$O$2,$Q$2)/$Q$2))</f>
        <v>10349.4734268556</v>
      </c>
      <c r="L582" s="15" t="n">
        <f aca="false">K582*(1+IF(L$3&lt;=$O$2,$D582,$D582-($D582-$I$562)*MIN(L$3-$O$2,$Q$2)/$Q$2))</f>
        <v>10756.5358090699</v>
      </c>
      <c r="M582" s="15" t="n">
        <f aca="false">L582*(1+IF(M$3&lt;=$O$2,$D582,$D582-($D582-$I$562)*MIN(M$3-$O$2,$Q$2)/$Q$2))</f>
        <v>11174.0598886352</v>
      </c>
      <c r="N582" s="15" t="n">
        <f aca="false">M582*(1+IF(N$3&lt;=$O$2,$D582,$D582-($D582-$I$562)*MIN(N$3-$O$2,$Q$2)/$Q$2))</f>
        <v>11602.02638237</v>
      </c>
      <c r="O582" s="15" t="n">
        <f aca="false">SUMPRODUCT(E582:N582,1/(1+$F$562)^$E$3:$N$3)*$E$2</f>
        <v>17666.4926276478</v>
      </c>
      <c r="P582" s="15" t="n">
        <f aca="false">N582*$E$2*(1+$I$562)/($F$562-$I$562)/(1+$F$562)^$N$3</f>
        <v>30451.1033442686</v>
      </c>
      <c r="Q582" s="15" t="n">
        <f aca="false">O582+P582</f>
        <v>48117.5959719164</v>
      </c>
      <c r="R582" s="15" t="n">
        <f aca="false">Q582-$G$2+$I$2</f>
        <v>45600.5959719164</v>
      </c>
      <c r="S582" s="42" t="n">
        <f aca="false">R582/$K$2</f>
        <v>105.259674003777</v>
      </c>
      <c r="T582" s="43" t="n">
        <f aca="false">S582-$M$2</f>
        <v>0.00137567960024398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0.0408763885498047</v>
      </c>
      <c r="C583" s="25" t="n">
        <f aca="false">IF(T582&gt;0,D582,C582)</f>
        <v>0.0408792495727539</v>
      </c>
      <c r="D583" s="41" t="n">
        <f aca="false">(B583+C583)/2</f>
        <v>0.0408778190612793</v>
      </c>
      <c r="E583" s="15" t="n">
        <f aca="false">$C$2*(1+IF(E$3&lt;=$O$2,$D583,$D583-($D583-$I$562)*MIN(E$3-$O$2,$Q$2)/$Q$2))</f>
        <v>8150.07332324982</v>
      </c>
      <c r="F583" s="15" t="n">
        <f aca="false">E583*(1+IF(F$3&lt;=$O$2,$D583,$D583-($D583-$I$562)*MIN(F$3-$O$2,$Q$2)/$Q$2))</f>
        <v>8483.23054589378</v>
      </c>
      <c r="G583" s="15" t="n">
        <f aca="false">F583*(1+IF(G$3&lt;=$O$2,$D583,$D583-($D583-$I$562)*MIN(G$3-$O$2,$Q$2)/$Q$2))</f>
        <v>8830.00650920395</v>
      </c>
      <c r="H583" s="15" t="n">
        <f aca="false">G583*(1+IF(H$3&lt;=$O$2,$D583,$D583-($D583-$I$562)*MIN(H$3-$O$2,$Q$2)/$Q$2))</f>
        <v>9190.9579175971</v>
      </c>
      <c r="I583" s="15" t="n">
        <f aca="false">H583*(1+IF(I$3&lt;=$O$2,$D583,$D583-($D583-$I$562)*MIN(I$3-$O$2,$Q$2)/$Q$2))</f>
        <v>9566.66423235247</v>
      </c>
      <c r="J583" s="15" t="n">
        <f aca="false">I583*(1+IF(J$3&lt;=$O$2,$D583,$D583-($D583-$I$562)*MIN(J$3-$O$2,$Q$2)/$Q$2))</f>
        <v>9952.79637598038</v>
      </c>
      <c r="K583" s="15" t="n">
        <f aca="false">J583*(1+IF(K$3&lt;=$O$2,$D583,$D583-($D583-$I$562)*MIN(K$3-$O$2,$Q$2)/$Q$2))</f>
        <v>10349.3823821071</v>
      </c>
      <c r="L583" s="15" t="n">
        <f aca="false">K583*(1+IF(L$3&lt;=$O$2,$D583,$D583-($D583-$I$562)*MIN(L$3-$O$2,$Q$2)/$Q$2))</f>
        <v>10756.4352614126</v>
      </c>
      <c r="M583" s="15" t="n">
        <f aca="false">L583*(1+IF(M$3&lt;=$O$2,$D583,$D583-($D583-$I$562)*MIN(M$3-$O$2,$Q$2)/$Q$2))</f>
        <v>11173.9523606943</v>
      </c>
      <c r="N583" s="15" t="n">
        <f aca="false">M583*(1+IF(N$3&lt;=$O$2,$D583,$D583-($D583-$I$562)*MIN(N$3-$O$2,$Q$2)/$Q$2))</f>
        <v>11601.9147361089</v>
      </c>
      <c r="O583" s="15" t="n">
        <f aca="false">SUMPRODUCT(E583:N583,1/(1+$F$562)^$E$3:$N$3)*$E$2</f>
        <v>17666.3823431765</v>
      </c>
      <c r="P583" s="15" t="n">
        <f aca="false">N583*$E$2*(1+$I$562)/($F$562-$I$562)/(1+$F$562)^$N$3</f>
        <v>30450.8103134031</v>
      </c>
      <c r="Q583" s="15" t="n">
        <f aca="false">O583+P583</f>
        <v>48117.1926565795</v>
      </c>
      <c r="R583" s="15" t="n">
        <f aca="false">Q583-$G$2+$I$2</f>
        <v>45600.1926565795</v>
      </c>
      <c r="S583" s="42" t="n">
        <f aca="false">R583/$K$2</f>
        <v>105.258743032592</v>
      </c>
      <c r="T583" s="43" t="n">
        <f aca="false">S583-$M$2</f>
        <v>0.000444708414974571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0.0408763885498047</v>
      </c>
      <c r="C584" s="25" t="n">
        <f aca="false">IF(T583&gt;0,D583,C583)</f>
        <v>0.0408778190612793</v>
      </c>
      <c r="D584" s="41" t="n">
        <f aca="false">(B584+C584)/2</f>
        <v>0.040877103805542</v>
      </c>
      <c r="E584" s="15" t="n">
        <f aca="false">$C$2*(1+IF(E$3&lt;=$O$2,$D584,$D584-($D584-$I$562)*MIN(E$3-$O$2,$Q$2)/$Q$2))</f>
        <v>8150.06772279739</v>
      </c>
      <c r="F584" s="15" t="n">
        <f aca="false">E584*(1+IF(F$3&lt;=$O$2,$D584,$D584-($D584-$I$562)*MIN(F$3-$O$2,$Q$2)/$Q$2))</f>
        <v>8483.21888712438</v>
      </c>
      <c r="G584" s="15" t="n">
        <f aca="false">F584*(1+IF(G$3&lt;=$O$2,$D584,$D584-($D584-$I$562)*MIN(G$3-$O$2,$Q$2)/$Q$2))</f>
        <v>8829.9883061785</v>
      </c>
      <c r="H584" s="15" t="n">
        <f aca="false">G584*(1+IF(H$3&lt;=$O$2,$D584,$D584-($D584-$I$562)*MIN(H$3-$O$2,$Q$2)/$Q$2))</f>
        <v>9190.93265477188</v>
      </c>
      <c r="I584" s="15" t="n">
        <f aca="false">H584*(1+IF(I$3&lt;=$O$2,$D584,$D584-($D584-$I$562)*MIN(I$3-$O$2,$Q$2)/$Q$2))</f>
        <v>9566.63136297073</v>
      </c>
      <c r="J584" s="15" t="n">
        <f aca="false">I584*(1+IF(J$3&lt;=$O$2,$D584,$D584-($D584-$I$562)*MIN(J$3-$O$2,$Q$2)/$Q$2))</f>
        <v>9952.7567058459</v>
      </c>
      <c r="K584" s="15" t="n">
        <f aca="false">J584*(1+IF(K$3&lt;=$O$2,$D584,$D584-($D584-$I$562)*MIN(K$3-$O$2,$Q$2)/$Q$2))</f>
        <v>10349.3368599892</v>
      </c>
      <c r="L584" s="15" t="n">
        <f aca="false">K584*(1+IF(L$3&lt;=$O$2,$D584,$D584-($D584-$I$562)*MIN(L$3-$O$2,$Q$2)/$Q$2))</f>
        <v>10756.3849878894</v>
      </c>
      <c r="M584" s="15" t="n">
        <f aca="false">L584*(1+IF(M$3&lt;=$O$2,$D584,$D584-($D584-$I$562)*MIN(M$3-$O$2,$Q$2)/$Q$2))</f>
        <v>11173.8985970628</v>
      </c>
      <c r="N584" s="15" t="n">
        <f aca="false">M584*(1+IF(N$3&lt;=$O$2,$D584,$D584-($D584-$I$562)*MIN(N$3-$O$2,$Q$2)/$Q$2))</f>
        <v>11601.8589133303</v>
      </c>
      <c r="O584" s="15" t="n">
        <f aca="false">SUMPRODUCT(E584:N584,1/(1+$F$562)^$E$3:$N$3)*$E$2</f>
        <v>17666.3272012016</v>
      </c>
      <c r="P584" s="15" t="n">
        <f aca="false">N584*$E$2*(1+$I$562)/($F$562-$I$562)/(1+$F$562)^$N$3</f>
        <v>30450.663798894</v>
      </c>
      <c r="Q584" s="15" t="n">
        <f aca="false">O584+P584</f>
        <v>48116.9910000956</v>
      </c>
      <c r="R584" s="15" t="n">
        <f aca="false">Q584-$G$2+$I$2</f>
        <v>45599.9910000956</v>
      </c>
      <c r="S584" s="42" t="n">
        <f aca="false">R584/$K$2</f>
        <v>105.258277549734</v>
      </c>
      <c r="T584" s="43" t="n">
        <f aca="false">S584-$M$2</f>
        <v>-2.07744434987944E-005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0.040877103805542</v>
      </c>
      <c r="C585" s="25" t="n">
        <f aca="false">IF(T584&gt;0,D584,C584)</f>
        <v>0.0408778190612793</v>
      </c>
      <c r="D585" s="41" t="n">
        <f aca="false">(B585+C585)/2</f>
        <v>0.0408774614334106</v>
      </c>
      <c r="E585" s="15" t="n">
        <f aca="false">$C$2*(1+IF(E$3&lt;=$O$2,$D585,$D585-($D585-$I$562)*MIN(E$3-$O$2,$Q$2)/$Q$2))</f>
        <v>8150.07052302361</v>
      </c>
      <c r="F585" s="15" t="n">
        <f aca="false">E585*(1+IF(F$3&lt;=$O$2,$D585,$D585-($D585-$I$562)*MIN(F$3-$O$2,$Q$2)/$Q$2))</f>
        <v>8483.22471650808</v>
      </c>
      <c r="G585" s="15" t="n">
        <f aca="false">F585*(1+IF(G$3&lt;=$O$2,$D585,$D585-($D585-$I$562)*MIN(G$3-$O$2,$Q$2)/$Q$2))</f>
        <v>8829.99740768809</v>
      </c>
      <c r="H585" s="15" t="n">
        <f aca="false">G585*(1+IF(H$3&lt;=$O$2,$D585,$D585-($D585-$I$562)*MIN(H$3-$O$2,$Q$2)/$Q$2))</f>
        <v>9190.94528617798</v>
      </c>
      <c r="I585" s="15" t="n">
        <f aca="false">H585*(1+IF(I$3&lt;=$O$2,$D585,$D585-($D585-$I$562)*MIN(I$3-$O$2,$Q$2)/$Q$2))</f>
        <v>9566.64779765031</v>
      </c>
      <c r="J585" s="15" t="n">
        <f aca="false">I585*(1+IF(J$3&lt;=$O$2,$D585,$D585-($D585-$I$562)*MIN(J$3-$O$2,$Q$2)/$Q$2))</f>
        <v>9952.77654089669</v>
      </c>
      <c r="K585" s="15" t="n">
        <f aca="false">J585*(1+IF(K$3&lt;=$O$2,$D585,$D585-($D585-$I$562)*MIN(K$3-$O$2,$Q$2)/$Q$2))</f>
        <v>10349.3596210267</v>
      </c>
      <c r="L585" s="15" t="n">
        <f aca="false">K585*(1+IF(L$3&lt;=$O$2,$D585,$D585-($D585-$I$562)*MIN(L$3-$O$2,$Q$2)/$Q$2))</f>
        <v>10756.4101246255</v>
      </c>
      <c r="M585" s="15" t="n">
        <f aca="false">L585*(1+IF(M$3&lt;=$O$2,$D585,$D585-($D585-$I$562)*MIN(M$3-$O$2,$Q$2)/$Q$2))</f>
        <v>11173.9254788503</v>
      </c>
      <c r="N585" s="15" t="n">
        <f aca="false">M585*(1+IF(N$3&lt;=$O$2,$D585,$D585-($D585-$I$562)*MIN(N$3-$O$2,$Q$2)/$Q$2))</f>
        <v>11601.8868246903</v>
      </c>
      <c r="O585" s="15" t="n">
        <f aca="false">SUMPRODUCT(E585:N585,1/(1+$F$562)^$E$3:$N$3)*$E$2</f>
        <v>17666.3547721673</v>
      </c>
      <c r="P585" s="15" t="n">
        <f aca="false">N585*$E$2*(1+$I$562)/($F$562-$I$562)/(1+$F$562)^$N$3</f>
        <v>30450.7370560715</v>
      </c>
      <c r="Q585" s="15" t="n">
        <f aca="false">O585+P585</f>
        <v>48117.0918282388</v>
      </c>
      <c r="R585" s="15" t="n">
        <f aca="false">Q585-$G$2+$I$2</f>
        <v>45600.0918282388</v>
      </c>
      <c r="S585" s="42" t="n">
        <f aca="false">R585/$K$2</f>
        <v>105.258510290935</v>
      </c>
      <c r="T585" s="43" t="n">
        <f aca="false">S585-$M$2</f>
        <v>0.000211966757831306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0.040877103805542</v>
      </c>
      <c r="C586" s="25" t="n">
        <f aca="false">IF(T585&gt;0,D585,C585)</f>
        <v>0.0408774614334106</v>
      </c>
      <c r="D586" s="41" t="n">
        <f aca="false">(B586+C586)/2</f>
        <v>0.0408772826194763</v>
      </c>
      <c r="E586" s="15" t="n">
        <f aca="false">$C$2*(1+IF(E$3&lt;=$O$2,$D586,$D586-($D586-$I$562)*MIN(E$3-$O$2,$Q$2)/$Q$2))</f>
        <v>8150.0691229105</v>
      </c>
      <c r="F586" s="15" t="n">
        <f aca="false">E586*(1+IF(F$3&lt;=$O$2,$D586,$D586-($D586-$I$562)*MIN(F$3-$O$2,$Q$2)/$Q$2))</f>
        <v>8483.22180181598</v>
      </c>
      <c r="G586" s="15" t="n">
        <f aca="false">F586*(1+IF(G$3&lt;=$O$2,$D586,$D586-($D586-$I$562)*MIN(G$3-$O$2,$Q$2)/$Q$2))</f>
        <v>8829.99285693252</v>
      </c>
      <c r="H586" s="15" t="n">
        <f aca="false">G586*(1+IF(H$3&lt;=$O$2,$D586,$D586-($D586-$I$562)*MIN(H$3-$O$2,$Q$2)/$Q$2))</f>
        <v>9190.9389704733</v>
      </c>
      <c r="I586" s="15" t="n">
        <f aca="false">H586*(1+IF(I$3&lt;=$O$2,$D586,$D586-($D586-$I$562)*MIN(I$3-$O$2,$Q$2)/$Q$2))</f>
        <v>9566.6395803077</v>
      </c>
      <c r="J586" s="15" t="n">
        <f aca="false">I586*(1+IF(J$3&lt;=$O$2,$D586,$D586-($D586-$I$562)*MIN(J$3-$O$2,$Q$2)/$Q$2))</f>
        <v>9952.76662336718</v>
      </c>
      <c r="K586" s="15" t="n">
        <f aca="false">J586*(1+IF(K$3&lt;=$O$2,$D586,$D586-($D586-$I$562)*MIN(K$3-$O$2,$Q$2)/$Q$2))</f>
        <v>10349.3482405026</v>
      </c>
      <c r="L586" s="15" t="n">
        <f aca="false">K586*(1+IF(L$3&lt;=$O$2,$D586,$D586-($D586-$I$562)*MIN(L$3-$O$2,$Q$2)/$Q$2))</f>
        <v>10756.3975562511</v>
      </c>
      <c r="M586" s="15" t="n">
        <f aca="false">L586*(1+IF(M$3&lt;=$O$2,$D586,$D586-($D586-$I$562)*MIN(M$3-$O$2,$Q$2)/$Q$2))</f>
        <v>11173.9120379495</v>
      </c>
      <c r="N586" s="15" t="n">
        <f aca="false">M586*(1+IF(N$3&lt;=$O$2,$D586,$D586-($D586-$I$562)*MIN(N$3-$O$2,$Q$2)/$Q$2))</f>
        <v>11601.872869003</v>
      </c>
      <c r="O586" s="15" t="n">
        <f aca="false">SUMPRODUCT(E586:N586,1/(1+$F$562)^$E$3:$N$3)*$E$2</f>
        <v>17666.340986679</v>
      </c>
      <c r="P586" s="15" t="n">
        <f aca="false">N586*$E$2*(1+$I$562)/($F$562-$I$562)/(1+$F$562)^$N$3</f>
        <v>30450.7004274635</v>
      </c>
      <c r="Q586" s="15" t="n">
        <f aca="false">O586+P586</f>
        <v>48117.0414141425</v>
      </c>
      <c r="R586" s="15" t="n">
        <f aca="false">Q586-$G$2+$I$2</f>
        <v>45600.0414141425</v>
      </c>
      <c r="S586" s="42" t="n">
        <f aca="false">R586/$K$2</f>
        <v>105.258393920277</v>
      </c>
      <c r="T586" s="43" t="n">
        <f aca="false">S586-$M$2</f>
        <v>9.55961002091499E-005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0.040877103805542</v>
      </c>
      <c r="C587" s="25" t="n">
        <f aca="false">IF(T586&gt;0,D586,C586)</f>
        <v>0.0408772826194763</v>
      </c>
      <c r="D587" s="41" t="n">
        <f aca="false">(B587+C587)/2</f>
        <v>0.0408771932125092</v>
      </c>
      <c r="E587" s="15" t="n">
        <f aca="false">$C$2*(1+IF(E$3&lt;=$O$2,$D587,$D587-($D587-$I$562)*MIN(E$3-$O$2,$Q$2)/$Q$2))</f>
        <v>8150.06842285395</v>
      </c>
      <c r="F587" s="15" t="n">
        <f aca="false">E587*(1+IF(F$3&lt;=$O$2,$D587,$D587-($D587-$I$562)*MIN(F$3-$O$2,$Q$2)/$Q$2))</f>
        <v>8483.22034447012</v>
      </c>
      <c r="G587" s="15" t="n">
        <f aca="false">F587*(1+IF(G$3&lt;=$O$2,$D587,$D587-($D587-$I$562)*MIN(G$3-$O$2,$Q$2)/$Q$2))</f>
        <v>8829.99058155531</v>
      </c>
      <c r="H587" s="15" t="n">
        <f aca="false">G587*(1+IF(H$3&lt;=$O$2,$D587,$D587-($D587-$I$562)*MIN(H$3-$O$2,$Q$2)/$Q$2))</f>
        <v>9190.93581262218</v>
      </c>
      <c r="I587" s="15" t="n">
        <f aca="false">H587*(1+IF(I$3&lt;=$O$2,$D587,$D587-($D587-$I$562)*MIN(I$3-$O$2,$Q$2)/$Q$2))</f>
        <v>9566.63547163851</v>
      </c>
      <c r="J587" s="15" t="n">
        <f aca="false">I587*(1+IF(J$3&lt;=$O$2,$D587,$D587-($D587-$I$562)*MIN(J$3-$O$2,$Q$2)/$Q$2))</f>
        <v>9952.76166460551</v>
      </c>
      <c r="K587" s="15" t="n">
        <f aca="false">J587*(1+IF(K$3&lt;=$O$2,$D587,$D587-($D587-$I$562)*MIN(K$3-$O$2,$Q$2)/$Q$2))</f>
        <v>10349.3425502445</v>
      </c>
      <c r="L587" s="15" t="n">
        <f aca="false">K587*(1+IF(L$3&lt;=$O$2,$D587,$D587-($D587-$I$562)*MIN(L$3-$O$2,$Q$2)/$Q$2))</f>
        <v>10756.3912720687</v>
      </c>
      <c r="M587" s="15" t="n">
        <f aca="false">L587*(1+IF(M$3&lt;=$O$2,$D587,$D587-($D587-$I$562)*MIN(M$3-$O$2,$Q$2)/$Q$2))</f>
        <v>11173.9053175044</v>
      </c>
      <c r="N587" s="15" t="n">
        <f aca="false">M587*(1+IF(N$3&lt;=$O$2,$D587,$D587-($D587-$I$562)*MIN(N$3-$O$2,$Q$2)/$Q$2))</f>
        <v>11601.8658911648</v>
      </c>
      <c r="O587" s="15" t="n">
        <f aca="false">SUMPRODUCT(E587:N587,1/(1+$F$562)^$E$3:$N$3)*$E$2</f>
        <v>17666.334093939</v>
      </c>
      <c r="P587" s="15" t="n">
        <f aca="false">N587*$E$2*(1+$I$562)/($F$562-$I$562)/(1+$F$562)^$N$3</f>
        <v>30450.6821131739</v>
      </c>
      <c r="Q587" s="15" t="n">
        <f aca="false">O587+P587</f>
        <v>48117.0162071129</v>
      </c>
      <c r="R587" s="15" t="n">
        <f aca="false">Q587-$G$2+$I$2</f>
        <v>45600.0162071129</v>
      </c>
      <c r="S587" s="42" t="n">
        <f aca="false">R587/$K$2</f>
        <v>105.258335734991</v>
      </c>
      <c r="T587" s="43" t="n">
        <f aca="false">S587-$M$2</f>
        <v>3.74108141159013E-005</v>
      </c>
    </row>
    <row r="589" customFormat="false" ht="15" hidden="false" customHeight="false" outlineLevel="0" collapsed="false">
      <c r="A589" s="38" t="s">
        <v>193</v>
      </c>
      <c r="E589" s="5" t="s">
        <v>11</v>
      </c>
      <c r="F589" s="12" t="n">
        <f aca="false">Sensitivity!$B$14</f>
        <v>0.0921529104257703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153</v>
      </c>
      <c r="B590" s="28" t="s">
        <v>154</v>
      </c>
      <c r="C590" s="28" t="s">
        <v>155</v>
      </c>
      <c r="D590" s="28" t="s">
        <v>156</v>
      </c>
      <c r="E590" s="28" t="s">
        <v>157</v>
      </c>
      <c r="F590" s="28" t="s">
        <v>158</v>
      </c>
      <c r="G590" s="28" t="s">
        <v>159</v>
      </c>
      <c r="H590" s="28" t="s">
        <v>160</v>
      </c>
      <c r="I590" s="28" t="s">
        <v>161</v>
      </c>
      <c r="J590" s="28" t="s">
        <v>162</v>
      </c>
      <c r="K590" s="28" t="s">
        <v>163</v>
      </c>
      <c r="L590" s="28" t="s">
        <v>164</v>
      </c>
      <c r="M590" s="28" t="s">
        <v>165</v>
      </c>
      <c r="N590" s="28" t="s">
        <v>166</v>
      </c>
      <c r="O590" s="28" t="s">
        <v>167</v>
      </c>
      <c r="P590" s="28" t="s">
        <v>168</v>
      </c>
      <c r="Q590" s="28" t="s">
        <v>169</v>
      </c>
      <c r="R590" s="28" t="s">
        <v>170</v>
      </c>
      <c r="S590" s="28" t="s">
        <v>171</v>
      </c>
      <c r="T590" s="28" t="s">
        <v>172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9787.5</v>
      </c>
      <c r="F591" s="15" t="n">
        <f aca="false">E591*(1+IF(F$3&lt;=$O$2,$D591,$D591-($D591-$I$589)*MIN(F$3-$O$2,$Q$2)/$Q$2))</f>
        <v>12234.375</v>
      </c>
      <c r="G591" s="15" t="n">
        <f aca="false">F591*(1+IF(G$3&lt;=$O$2,$D591,$D591-($D591-$I$589)*MIN(G$3-$O$2,$Q$2)/$Q$2))</f>
        <v>15292.96875</v>
      </c>
      <c r="H591" s="15" t="n">
        <f aca="false">G591*(1+IF(H$3&lt;=$O$2,$D591,$D591-($D591-$I$589)*MIN(H$3-$O$2,$Q$2)/$Q$2))</f>
        <v>19116.2109375</v>
      </c>
      <c r="I591" s="15" t="n">
        <f aca="false">H591*(1+IF(I$3&lt;=$O$2,$D591,$D591-($D591-$I$589)*MIN(I$3-$O$2,$Q$2)/$Q$2))</f>
        <v>23895.263671875</v>
      </c>
      <c r="J591" s="15" t="n">
        <f aca="false">I591*(1+IF(J$3&lt;=$O$2,$D591,$D591-($D591-$I$589)*MIN(J$3-$O$2,$Q$2)/$Q$2))</f>
        <v>28761.7730712891</v>
      </c>
      <c r="K591" s="15" t="n">
        <f aca="false">J591*(1+IF(K$3&lt;=$O$2,$D591,$D591-($D591-$I$589)*MIN(K$3-$O$2,$Q$2)/$Q$2))</f>
        <v>33286.5752108643</v>
      </c>
      <c r="L591" s="15" t="n">
        <f aca="false">K591*(1+IF(L$3&lt;=$O$2,$D591,$D591-($D591-$I$589)*MIN(L$3-$O$2,$Q$2)/$Q$2))</f>
        <v>36980.719327766</v>
      </c>
      <c r="M591" s="15" t="n">
        <f aca="false">L591*(1+IF(M$3&lt;=$O$2,$D591,$D591-($D591-$I$589)*MIN(M$3-$O$2,$Q$2)/$Q$2))</f>
        <v>39371.1530251128</v>
      </c>
      <c r="N591" s="15" t="n">
        <f aca="false">M591*(1+IF(N$3&lt;=$O$2,$D591,$D591-($D591-$I$589)*MIN(N$3-$O$2,$Q$2)/$Q$2))</f>
        <v>40091.6451254723</v>
      </c>
      <c r="O591" s="15" t="n">
        <f aca="false">SUMPRODUCT(E591:N591,1/(1+$F$589)^$E$3:$N$3)*$E$2</f>
        <v>41968.4271306579</v>
      </c>
      <c r="P591" s="15" t="n">
        <f aca="false">N591*$E$2*(1+$I$589)/($F$589-$I$589)/(1+$F$589)^$N$3</f>
        <v>65203.458648397</v>
      </c>
      <c r="Q591" s="15" t="n">
        <f aca="false">O591+P591</f>
        <v>107171.885779055</v>
      </c>
      <c r="R591" s="15" t="n">
        <f aca="false">Q591-$G$2+$I$2</f>
        <v>104654.885779055</v>
      </c>
      <c r="S591" s="42" t="n">
        <f aca="false">R591/$K$2</f>
        <v>241.574455886281</v>
      </c>
      <c r="T591" s="43" t="n">
        <f aca="false">S591-$M$2</f>
        <v>136.316157562104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6851.25</v>
      </c>
      <c r="F592" s="15" t="n">
        <f aca="false">E592*(1+IF(F$3&lt;=$O$2,$D592,$D592-($D592-$I$589)*MIN(F$3-$O$2,$Q$2)/$Q$2))</f>
        <v>5994.84375</v>
      </c>
      <c r="G592" s="15" t="n">
        <f aca="false">F592*(1+IF(G$3&lt;=$O$2,$D592,$D592-($D592-$I$589)*MIN(G$3-$O$2,$Q$2)/$Q$2))</f>
        <v>5245.48828125</v>
      </c>
      <c r="H592" s="15" t="n">
        <f aca="false">G592*(1+IF(H$3&lt;=$O$2,$D592,$D592-($D592-$I$589)*MIN(H$3-$O$2,$Q$2)/$Q$2))</f>
        <v>4589.80224609375</v>
      </c>
      <c r="I592" s="15" t="n">
        <f aca="false">H592*(1+IF(I$3&lt;=$O$2,$D592,$D592-($D592-$I$589)*MIN(I$3-$O$2,$Q$2)/$Q$2))</f>
        <v>4016.07696533203</v>
      </c>
      <c r="J592" s="15" t="n">
        <f aca="false">I592*(1+IF(J$3&lt;=$O$2,$D592,$D592-($D592-$I$589)*MIN(J$3-$O$2,$Q$2)/$Q$2))</f>
        <v>3629.16811049194</v>
      </c>
      <c r="K592" s="15" t="n">
        <f aca="false">J592*(1+IF(K$3&lt;=$O$2,$D592,$D592-($D592-$I$589)*MIN(K$3-$O$2,$Q$2)/$Q$2))</f>
        <v>3383.54601277385</v>
      </c>
      <c r="L592" s="15" t="n">
        <f aca="false">K592*(1+IF(L$3&lt;=$O$2,$D592,$D592-($D592-$I$589)*MIN(L$3-$O$2,$Q$2)/$Q$2))</f>
        <v>3251.52004735541</v>
      </c>
      <c r="M592" s="15" t="n">
        <f aca="false">L592*(1+IF(M$3&lt;=$O$2,$D592,$D592-($D592-$I$589)*MIN(M$3-$O$2,$Q$2)/$Q$2))</f>
        <v>3217.83429966481</v>
      </c>
      <c r="N592" s="15" t="n">
        <f aca="false">M592*(1+IF(N$3&lt;=$O$2,$D592,$D592-($D592-$I$589)*MIN(N$3-$O$2,$Q$2)/$Q$2))</f>
        <v>3276.72066734868</v>
      </c>
      <c r="O592" s="15" t="n">
        <f aca="false">SUMPRODUCT(E592:N592,1/(1+$F$589)^$E$3:$N$3)*$E$2</f>
        <v>8407.0660029744</v>
      </c>
      <c r="P592" s="15" t="n">
        <f aca="false">N592*$E$2*(1+$I$589)/($F$589-$I$589)/(1+$F$589)^$N$3</f>
        <v>5329.12829760812</v>
      </c>
      <c r="Q592" s="15" t="n">
        <f aca="false">O592+P592</f>
        <v>13736.1943005825</v>
      </c>
      <c r="R592" s="15" t="n">
        <f aca="false">Q592-$G$2+$I$2</f>
        <v>11219.1943005825</v>
      </c>
      <c r="S592" s="42" t="n">
        <f aca="false">R592/$K$2</f>
        <v>25.8972215054303</v>
      </c>
      <c r="T592" s="43" t="n">
        <f aca="false">S592-$M$2</f>
        <v>-79.3610768187468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8319.375</v>
      </c>
      <c r="F593" s="15" t="n">
        <f aca="false">E593*(1+IF(F$3&lt;=$O$2,$D593,$D593-($D593-$I$589)*MIN(F$3-$O$2,$Q$2)/$Q$2))</f>
        <v>8839.3359375</v>
      </c>
      <c r="G593" s="15" t="n">
        <f aca="false">F593*(1+IF(G$3&lt;=$O$2,$D593,$D593-($D593-$I$589)*MIN(G$3-$O$2,$Q$2)/$Q$2))</f>
        <v>9391.79443359375</v>
      </c>
      <c r="H593" s="15" t="n">
        <f aca="false">G593*(1+IF(H$3&lt;=$O$2,$D593,$D593-($D593-$I$589)*MIN(H$3-$O$2,$Q$2)/$Q$2))</f>
        <v>9978.78158569336</v>
      </c>
      <c r="I593" s="15" t="n">
        <f aca="false">H593*(1+IF(I$3&lt;=$O$2,$D593,$D593-($D593-$I$589)*MIN(I$3-$O$2,$Q$2)/$Q$2))</f>
        <v>10602.4554347992</v>
      </c>
      <c r="J593" s="15" t="n">
        <f aca="false">I593*(1+IF(J$3&lt;=$O$2,$D593,$D593-($D593-$I$589)*MIN(J$3-$O$2,$Q$2)/$Q$2))</f>
        <v>11171.3831934305</v>
      </c>
      <c r="K593" s="15" t="n">
        <f aca="false">J593*(1+IF(K$3&lt;=$O$2,$D593,$D593-($D593-$I$589)*MIN(K$3-$O$2,$Q$2)/$Q$2))</f>
        <v>11672.0845881601</v>
      </c>
      <c r="L593" s="15" t="n">
        <f aca="false">K593*(1+IF(L$3&lt;=$O$2,$D593,$D593-($D593-$I$589)*MIN(L$3-$O$2,$Q$2)/$Q$2))</f>
        <v>12092.0461916421</v>
      </c>
      <c r="M593" s="15" t="n">
        <f aca="false">L593*(1+IF(M$3&lt;=$O$2,$D593,$D593-($D593-$I$589)*MIN(M$3-$O$2,$Q$2)/$Q$2))</f>
        <v>12420.2243252832</v>
      </c>
      <c r="N593" s="15" t="n">
        <f aca="false">M593*(1+IF(N$3&lt;=$O$2,$D593,$D593-($D593-$I$589)*MIN(N$3-$O$2,$Q$2)/$Q$2))</f>
        <v>12647.5144304359</v>
      </c>
      <c r="O593" s="15" t="n">
        <f aca="false">SUMPRODUCT(E593:N593,1/(1+$F$589)^$E$3:$N$3)*$E$2</f>
        <v>18735.4142017602</v>
      </c>
      <c r="P593" s="15" t="n">
        <f aca="false">N593*$E$2*(1+$I$589)/($F$589-$I$589)/(1+$F$589)^$N$3</f>
        <v>20569.4149389241</v>
      </c>
      <c r="Q593" s="15" t="n">
        <f aca="false">O593+P593</f>
        <v>39304.8291406843</v>
      </c>
      <c r="R593" s="15" t="n">
        <f aca="false">Q593-$G$2+$I$2</f>
        <v>36787.8291406843</v>
      </c>
      <c r="S593" s="42" t="n">
        <f aca="false">R593/$K$2</f>
        <v>84.9171994383553</v>
      </c>
      <c r="T593" s="43" t="n">
        <f aca="false">S593-$M$2</f>
        <v>-20.3410988858218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9053.4375</v>
      </c>
      <c r="F594" s="15" t="n">
        <f aca="false">E594*(1+IF(F$3&lt;=$O$2,$D594,$D594-($D594-$I$589)*MIN(F$3-$O$2,$Q$2)/$Q$2))</f>
        <v>10468.037109375</v>
      </c>
      <c r="G594" s="15" t="n">
        <f aca="false">F594*(1+IF(G$3&lt;=$O$2,$D594,$D594-($D594-$I$589)*MIN(G$3-$O$2,$Q$2)/$Q$2))</f>
        <v>12103.6679077148</v>
      </c>
      <c r="H594" s="15" t="n">
        <f aca="false">G594*(1+IF(H$3&lt;=$O$2,$D594,$D594-($D594-$I$589)*MIN(H$3-$O$2,$Q$2)/$Q$2))</f>
        <v>13994.8660182953</v>
      </c>
      <c r="I594" s="15" t="n">
        <f aca="false">H594*(1+IF(I$3&lt;=$O$2,$D594,$D594-($D594-$I$589)*MIN(I$3-$O$2,$Q$2)/$Q$2))</f>
        <v>16181.5638336539</v>
      </c>
      <c r="J594" s="15" t="n">
        <f aca="false">I594*(1+IF(J$3&lt;=$O$2,$D594,$D594-($D594-$I$589)*MIN(J$3-$O$2,$Q$2)/$Q$2))</f>
        <v>18263.4838364918</v>
      </c>
      <c r="K594" s="15" t="n">
        <f aca="false">J594*(1+IF(K$3&lt;=$O$2,$D594,$D594-($D594-$I$589)*MIN(K$3-$O$2,$Q$2)/$Q$2))</f>
        <v>20109.3741478461</v>
      </c>
      <c r="L594" s="15" t="n">
        <f aca="false">K594*(1+IF(L$3&lt;=$O$2,$D594,$D594-($D594-$I$589)*MIN(L$3-$O$2,$Q$2)/$Q$2))</f>
        <v>21587.0109602298</v>
      </c>
      <c r="M594" s="15" t="n">
        <f aca="false">L594*(1+IF(M$3&lt;=$O$2,$D594,$D594-($D594-$I$589)*MIN(M$3-$O$2,$Q$2)/$Q$2))</f>
        <v>22577.6388931947</v>
      </c>
      <c r="N594" s="15" t="n">
        <f aca="false">M594*(1+IF(N$3&lt;=$O$2,$D594,$D594-($D594-$I$589)*MIN(N$3-$O$2,$Q$2)/$Q$2))</f>
        <v>22990.8096849402</v>
      </c>
      <c r="O594" s="15" t="n">
        <f aca="false">SUMPRODUCT(E594:N594,1/(1+$F$589)^$E$3:$N$3)*$E$2</f>
        <v>28086.1469864249</v>
      </c>
      <c r="P594" s="15" t="n">
        <f aca="false">N594*$E$2*(1+$I$589)/($F$589-$I$589)/(1+$F$589)^$N$3</f>
        <v>37391.3393649371</v>
      </c>
      <c r="Q594" s="15" t="n">
        <f aca="false">O594+P594</f>
        <v>65477.486351362</v>
      </c>
      <c r="R594" s="15" t="n">
        <f aca="false">Q594-$G$2+$I$2</f>
        <v>62960.486351362</v>
      </c>
      <c r="S594" s="42" t="n">
        <f aca="false">R594/$K$2</f>
        <v>145.331439802784</v>
      </c>
      <c r="T594" s="43" t="n">
        <f aca="false">S594-$M$2</f>
        <v>40.0731414786066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8686.40625</v>
      </c>
      <c r="F595" s="15" t="n">
        <f aca="false">E595*(1+IF(F$3&lt;=$O$2,$D595,$D595-($D595-$I$589)*MIN(F$3-$O$2,$Q$2)/$Q$2))</f>
        <v>9636.48193359375</v>
      </c>
      <c r="G595" s="15" t="n">
        <f aca="false">F595*(1+IF(G$3&lt;=$O$2,$D595,$D595-($D595-$I$589)*MIN(G$3-$O$2,$Q$2)/$Q$2))</f>
        <v>10690.4721450806</v>
      </c>
      <c r="H595" s="15" t="n">
        <f aca="false">G595*(1+IF(H$3&lt;=$O$2,$D595,$D595-($D595-$I$589)*MIN(H$3-$O$2,$Q$2)/$Q$2))</f>
        <v>11859.7425359488</v>
      </c>
      <c r="I595" s="15" t="n">
        <f aca="false">H595*(1+IF(I$3&lt;=$O$2,$D595,$D595-($D595-$I$589)*MIN(I$3-$O$2,$Q$2)/$Q$2))</f>
        <v>13156.9018758181</v>
      </c>
      <c r="J595" s="15" t="n">
        <f aca="false">I595*(1+IF(J$3&lt;=$O$2,$D595,$D595-($D595-$I$589)*MIN(J$3-$O$2,$Q$2)/$Q$2))</f>
        <v>14356.2850508177</v>
      </c>
      <c r="K595" s="15" t="n">
        <f aca="false">J595*(1+IF(K$3&lt;=$O$2,$D595,$D595-($D595-$I$589)*MIN(K$3-$O$2,$Q$2)/$Q$2))</f>
        <v>15403.5042638496</v>
      </c>
      <c r="L595" s="15" t="n">
        <f aca="false">K595*(1+IF(L$3&lt;=$O$2,$D595,$D595-($D595-$I$589)*MIN(L$3-$O$2,$Q$2)/$Q$2))</f>
        <v>16246.5380522101</v>
      </c>
      <c r="M595" s="15" t="n">
        <f aca="false">L595*(1+IF(M$3&lt;=$O$2,$D595,$D595-($D595-$I$589)*MIN(M$3-$O$2,$Q$2)/$Q$2))</f>
        <v>16839.7803891866</v>
      </c>
      <c r="N595" s="15" t="n">
        <f aca="false">M595*(1+IF(N$3&lt;=$O$2,$D595,$D595-($D595-$I$589)*MIN(N$3-$O$2,$Q$2)/$Q$2))</f>
        <v>17147.9483703087</v>
      </c>
      <c r="O595" s="15" t="n">
        <f aca="false">SUMPRODUCT(E595:N595,1/(1+$F$589)^$E$3:$N$3)*$E$2</f>
        <v>22942.6347359824</v>
      </c>
      <c r="P595" s="15" t="n">
        <f aca="false">N595*$E$2*(1+$I$589)/($F$589-$I$589)/(1+$F$589)^$N$3</f>
        <v>27888.7418804841</v>
      </c>
      <c r="Q595" s="15" t="n">
        <f aca="false">O595+P595</f>
        <v>50831.3766164666</v>
      </c>
      <c r="R595" s="15" t="n">
        <f aca="false">Q595-$G$2+$I$2</f>
        <v>48314.3766164666</v>
      </c>
      <c r="S595" s="42" t="n">
        <f aca="false">R595/$K$2</f>
        <v>111.523883053568</v>
      </c>
      <c r="T595" s="43" t="n">
        <f aca="false">S595-$M$2</f>
        <v>6.26558472939055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8502.890625</v>
      </c>
      <c r="F596" s="15" t="n">
        <f aca="false">E596*(1+IF(F$3&lt;=$O$2,$D596,$D596-($D596-$I$589)*MIN(F$3-$O$2,$Q$2)/$Q$2))</f>
        <v>9233.60778808594</v>
      </c>
      <c r="G596" s="15" t="n">
        <f aca="false">F596*(1+IF(G$3&lt;=$O$2,$D596,$D596-($D596-$I$589)*MIN(G$3-$O$2,$Q$2)/$Q$2))</f>
        <v>10027.1209573746</v>
      </c>
      <c r="H596" s="15" t="n">
        <f aca="false">G596*(1+IF(H$3&lt;=$O$2,$D596,$D596-($D596-$I$589)*MIN(H$3-$O$2,$Q$2)/$Q$2))</f>
        <v>10888.826664649</v>
      </c>
      <c r="I596" s="15" t="n">
        <f aca="false">H596*(1+IF(I$3&lt;=$O$2,$D596,$D596-($D596-$I$589)*MIN(I$3-$O$2,$Q$2)/$Q$2))</f>
        <v>11824.5852061422</v>
      </c>
      <c r="J596" s="15" t="n">
        <f aca="false">I596*(1+IF(J$3&lt;=$O$2,$D596,$D596-($D596-$I$589)*MIN(J$3-$O$2,$Q$2)/$Q$2))</f>
        <v>12680.803420919</v>
      </c>
      <c r="K596" s="15" t="n">
        <f aca="false">J596*(1+IF(K$3&lt;=$O$2,$D596,$D596-($D596-$I$589)*MIN(K$3-$O$2,$Q$2)/$Q$2))</f>
        <v>13427.4808283512</v>
      </c>
      <c r="L596" s="15" t="n">
        <f aca="false">K596*(1+IF(L$3&lt;=$O$2,$D596,$D596-($D596-$I$589)*MIN(L$3-$O$2,$Q$2)/$Q$2))</f>
        <v>14036.4842213211</v>
      </c>
      <c r="M596" s="15" t="n">
        <f aca="false">L596*(1+IF(M$3&lt;=$O$2,$D596,$D596-($D596-$I$589)*MIN(M$3-$O$2,$Q$2)/$Q$2))</f>
        <v>14483.2304228752</v>
      </c>
      <c r="N596" s="15" t="n">
        <f aca="false">M596*(1+IF(N$3&lt;=$O$2,$D596,$D596-($D596-$I$589)*MIN(N$3-$O$2,$Q$2)/$Q$2))</f>
        <v>14748.2735396138</v>
      </c>
      <c r="O596" s="15" t="n">
        <f aca="false">SUMPRODUCT(E596:N596,1/(1+$F$589)^$E$3:$N$3)*$E$2</f>
        <v>20732.6372310136</v>
      </c>
      <c r="P596" s="15" t="n">
        <f aca="false">N596*$E$2*(1+$I$589)/($F$589-$I$589)/(1+$F$589)^$N$3</f>
        <v>23986.006083459</v>
      </c>
      <c r="Q596" s="15" t="n">
        <f aca="false">O596+P596</f>
        <v>44718.6433144726</v>
      </c>
      <c r="R596" s="15" t="n">
        <f aca="false">Q596-$G$2+$I$2</f>
        <v>42201.6433144726</v>
      </c>
      <c r="S596" s="42" t="n">
        <f aca="false">R596/$K$2</f>
        <v>97.4138851264313</v>
      </c>
      <c r="T596" s="43" t="n">
        <f aca="false">S596-$M$2</f>
        <v>-7.84441319774579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0.0859375</v>
      </c>
      <c r="C597" s="25" t="n">
        <f aca="false">IF(T596&gt;0,D596,C596)</f>
        <v>0.109375</v>
      </c>
      <c r="D597" s="41" t="n">
        <f aca="false">(B597+C597)/2</f>
        <v>0.09765625</v>
      </c>
      <c r="E597" s="15" t="n">
        <f aca="false">$C$2*(1+IF(E$3&lt;=$O$2,$D597,$D597-($D597-$I$589)*MIN(E$3-$O$2,$Q$2)/$Q$2))</f>
        <v>8594.6484375</v>
      </c>
      <c r="F597" s="15" t="n">
        <f aca="false">E597*(1+IF(F$3&lt;=$O$2,$D597,$D597-($D597-$I$589)*MIN(F$3-$O$2,$Q$2)/$Q$2))</f>
        <v>9433.96957397461</v>
      </c>
      <c r="G597" s="15" t="n">
        <f aca="false">F597*(1+IF(G$3&lt;=$O$2,$D597,$D597-($D597-$I$589)*MIN(G$3-$O$2,$Q$2)/$Q$2))</f>
        <v>10355.2556651831</v>
      </c>
      <c r="H597" s="15" t="n">
        <f aca="false">G597*(1+IF(H$3&lt;=$O$2,$D597,$D597-($D597-$I$589)*MIN(H$3-$O$2,$Q$2)/$Q$2))</f>
        <v>11366.5111012361</v>
      </c>
      <c r="I597" s="15" t="n">
        <f aca="false">H597*(1+IF(I$3&lt;=$O$2,$D597,$D597-($D597-$I$589)*MIN(I$3-$O$2,$Q$2)/$Q$2))</f>
        <v>12476.5219509662</v>
      </c>
      <c r="J597" s="15" t="n">
        <f aca="false">I597*(1+IF(J$3&lt;=$O$2,$D597,$D597-($D597-$I$589)*MIN(J$3-$O$2,$Q$2)/$Q$2))</f>
        <v>13496.914298726</v>
      </c>
      <c r="K597" s="15" t="n">
        <f aca="false">J597*(1+IF(K$3&lt;=$O$2,$D597,$D597-($D597-$I$589)*MIN(K$3-$O$2,$Q$2)/$Q$2))</f>
        <v>14386.5465335836</v>
      </c>
      <c r="L597" s="15" t="n">
        <f aca="false">K597*(1+IF(L$3&lt;=$O$2,$D597,$D597-($D597-$I$589)*MIN(L$3-$O$2,$Q$2)/$Q$2))</f>
        <v>15106.4852884905</v>
      </c>
      <c r="M597" s="15" t="n">
        <f aca="false">L597*(1+IF(M$3&lt;=$O$2,$D597,$D597-($D597-$I$589)*MIN(M$3-$O$2,$Q$2)/$Q$2))</f>
        <v>15622.6927739048</v>
      </c>
      <c r="N597" s="15" t="n">
        <f aca="false">M597*(1+IF(N$3&lt;=$O$2,$D597,$D597-($D597-$I$589)*MIN(N$3-$O$2,$Q$2)/$Q$2))</f>
        <v>15908.5880516673</v>
      </c>
      <c r="O597" s="15" t="n">
        <f aca="false">SUMPRODUCT(E597:N597,1/(1+$F$589)^$E$3:$N$3)*$E$2</f>
        <v>21809.775007754</v>
      </c>
      <c r="P597" s="15" t="n">
        <f aca="false">N597*$E$2*(1+$I$589)/($F$589-$I$589)/(1+$F$589)^$N$3</f>
        <v>25873.0955024397</v>
      </c>
      <c r="Q597" s="15" t="n">
        <f aca="false">O597+P597</f>
        <v>47682.8705101937</v>
      </c>
      <c r="R597" s="15" t="n">
        <f aca="false">Q597-$G$2+$I$2</f>
        <v>45165.8705101937</v>
      </c>
      <c r="S597" s="42" t="n">
        <f aca="false">R597/$K$2</f>
        <v>104.256198952481</v>
      </c>
      <c r="T597" s="43" t="n">
        <f aca="false">S597-$M$2</f>
        <v>-1.00209937169643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0.09765625</v>
      </c>
      <c r="C598" s="25" t="n">
        <f aca="false">IF(T597&gt;0,D597,C597)</f>
        <v>0.109375</v>
      </c>
      <c r="D598" s="41" t="n">
        <f aca="false">(B598+C598)/2</f>
        <v>0.103515625</v>
      </c>
      <c r="E598" s="15" t="n">
        <f aca="false">$C$2*(1+IF(E$3&lt;=$O$2,$D598,$D598-($D598-$I$589)*MIN(E$3-$O$2,$Q$2)/$Q$2))</f>
        <v>8640.52734375</v>
      </c>
      <c r="F598" s="15" t="n">
        <f aca="false">E598*(1+IF(F$3&lt;=$O$2,$D598,$D598-($D598-$I$589)*MIN(F$3-$O$2,$Q$2)/$Q$2))</f>
        <v>9534.95693206787</v>
      </c>
      <c r="G598" s="15" t="n">
        <f aca="false">F598*(1+IF(G$3&lt;=$O$2,$D598,$D598-($D598-$I$589)*MIN(G$3-$O$2,$Q$2)/$Q$2))</f>
        <v>10521.973958239</v>
      </c>
      <c r="H598" s="15" t="n">
        <f aca="false">G598*(1+IF(H$3&lt;=$O$2,$D598,$D598-($D598-$I$589)*MIN(H$3-$O$2,$Q$2)/$Q$2))</f>
        <v>11611.1626687598</v>
      </c>
      <c r="I598" s="15" t="n">
        <f aca="false">H598*(1+IF(I$3&lt;=$O$2,$D598,$D598-($D598-$I$589)*MIN(I$3-$O$2,$Q$2)/$Q$2))</f>
        <v>12813.0994293931</v>
      </c>
      <c r="J598" s="15" t="n">
        <f aca="false">I598*(1+IF(J$3&lt;=$O$2,$D598,$D598-($D598-$I$589)*MIN(J$3-$O$2,$Q$2)/$Q$2))</f>
        <v>13921.0801698013</v>
      </c>
      <c r="K598" s="15" t="n">
        <f aca="false">J598*(1+IF(K$3&lt;=$O$2,$D598,$D598-($D598-$I$589)*MIN(K$3-$O$2,$Q$2)/$Q$2))</f>
        <v>14887.6120653155</v>
      </c>
      <c r="L598" s="15" t="n">
        <f aca="false">K598*(1+IF(L$3&lt;=$O$2,$D598,$D598-($D598-$I$589)*MIN(L$3-$O$2,$Q$2)/$Q$2))</f>
        <v>15667.5182328722</v>
      </c>
      <c r="M598" s="15" t="n">
        <f aca="false">L598*(1+IF(M$3&lt;=$O$2,$D598,$D598-($D598-$I$589)*MIN(M$3-$O$2,$Q$2)/$Q$2))</f>
        <v>16221.2572882163</v>
      </c>
      <c r="N598" s="15" t="n">
        <f aca="false">M598*(1+IF(N$3&lt;=$O$2,$D598,$D598-($D598-$I$589)*MIN(N$3-$O$2,$Q$2)/$Q$2))</f>
        <v>16518.1062965907</v>
      </c>
      <c r="O598" s="15" t="n">
        <f aca="false">SUMPRODUCT(E598:N598,1/(1+$F$589)^$E$3:$N$3)*$E$2</f>
        <v>22369.0759217772</v>
      </c>
      <c r="P598" s="15" t="n">
        <f aca="false">N598*$E$2*(1+$I$589)/($F$589-$I$589)/(1+$F$589)^$N$3</f>
        <v>26864.3917576552</v>
      </c>
      <c r="Q598" s="15" t="n">
        <f aca="false">O598+P598</f>
        <v>49233.4676794324</v>
      </c>
      <c r="R598" s="15" t="n">
        <f aca="false">Q598-$G$2+$I$2</f>
        <v>46716.4676794324</v>
      </c>
      <c r="S598" s="42" t="n">
        <f aca="false">R598/$K$2</f>
        <v>107.835436220471</v>
      </c>
      <c r="T598" s="43" t="n">
        <f aca="false">S598-$M$2</f>
        <v>2.57713789629386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0.09765625</v>
      </c>
      <c r="C599" s="25" t="n">
        <f aca="false">IF(T598&gt;0,D598,C598)</f>
        <v>0.103515625</v>
      </c>
      <c r="D599" s="41" t="n">
        <f aca="false">(B599+C599)/2</f>
        <v>0.1005859375</v>
      </c>
      <c r="E599" s="15" t="n">
        <f aca="false">$C$2*(1+IF(E$3&lt;=$O$2,$D599,$D599-($D599-$I$589)*MIN(E$3-$O$2,$Q$2)/$Q$2))</f>
        <v>8617.587890625</v>
      </c>
      <c r="F599" s="15" t="n">
        <f aca="false">E599*(1+IF(F$3&lt;=$O$2,$D599,$D599-($D599-$I$589)*MIN(F$3-$O$2,$Q$2)/$Q$2))</f>
        <v>9484.39604759216</v>
      </c>
      <c r="G599" s="15" t="n">
        <f aca="false">F599*(1+IF(G$3&lt;=$O$2,$D599,$D599-($D599-$I$589)*MIN(G$3-$O$2,$Q$2)/$Q$2))</f>
        <v>10438.3929156605</v>
      </c>
      <c r="H599" s="15" t="n">
        <f aca="false">G599*(1+IF(H$3&lt;=$O$2,$D599,$D599-($D599-$I$589)*MIN(H$3-$O$2,$Q$2)/$Q$2))</f>
        <v>11488.3484530756</v>
      </c>
      <c r="I599" s="15" t="n">
        <f aca="false">H599*(1+IF(I$3&lt;=$O$2,$D599,$D599-($D599-$I$589)*MIN(I$3-$O$2,$Q$2)/$Q$2))</f>
        <v>12643.9147525549</v>
      </c>
      <c r="J599" s="15" t="n">
        <f aca="false">I599*(1+IF(J$3&lt;=$O$2,$D599,$D599-($D599-$I$589)*MIN(J$3-$O$2,$Q$2)/$Q$2))</f>
        <v>13707.6314957939</v>
      </c>
      <c r="K599" s="15" t="n">
        <f aca="false">J599*(1+IF(K$3&lt;=$O$2,$D599,$D599-($D599-$I$589)*MIN(K$3-$O$2,$Q$2)/$Q$2))</f>
        <v>14635.2483372885</v>
      </c>
      <c r="L599" s="15" t="n">
        <f aca="false">K599*(1+IF(L$3&lt;=$O$2,$D599,$D599-($D599-$I$589)*MIN(L$3-$O$2,$Q$2)/$Q$2))</f>
        <v>15384.7834338525</v>
      </c>
      <c r="M599" s="15" t="n">
        <f aca="false">L599*(1+IF(M$3&lt;=$O$2,$D599,$D599-($D599-$I$589)*MIN(M$3-$O$2,$Q$2)/$Q$2))</f>
        <v>15919.5152363098</v>
      </c>
      <c r="N599" s="15" t="n">
        <f aca="false">M599*(1+IF(N$3&lt;=$O$2,$D599,$D599-($D599-$I$589)*MIN(N$3-$O$2,$Q$2)/$Q$2))</f>
        <v>16210.8423651342</v>
      </c>
      <c r="O599" s="15" t="n">
        <f aca="false">SUMPRODUCT(E599:N599,1/(1+$F$589)^$E$3:$N$3)*$E$2</f>
        <v>22087.663949881</v>
      </c>
      <c r="P599" s="15" t="n">
        <f aca="false">N599*$E$2*(1+$I$589)/($F$589-$I$589)/(1+$F$589)^$N$3</f>
        <v>26364.6699082234</v>
      </c>
      <c r="Q599" s="15" t="n">
        <f aca="false">O599+P599</f>
        <v>48452.3338581044</v>
      </c>
      <c r="R599" s="15" t="n">
        <f aca="false">Q599-$G$2+$I$2</f>
        <v>45935.3338581044</v>
      </c>
      <c r="S599" s="42" t="n">
        <f aca="false">R599/$K$2</f>
        <v>106.03234813283</v>
      </c>
      <c r="T599" s="43" t="n">
        <f aca="false">S599-$M$2</f>
        <v>0.774049808652478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0.09765625</v>
      </c>
      <c r="C600" s="25" t="n">
        <f aca="false">IF(T599&gt;0,D599,C599)</f>
        <v>0.1005859375</v>
      </c>
      <c r="D600" s="41" t="n">
        <f aca="false">(B600+C600)/2</f>
        <v>0.09912109375</v>
      </c>
      <c r="E600" s="15" t="n">
        <f aca="false">$C$2*(1+IF(E$3&lt;=$O$2,$D600,$D600-($D600-$I$589)*MIN(E$3-$O$2,$Q$2)/$Q$2))</f>
        <v>8606.1181640625</v>
      </c>
      <c r="F600" s="15" t="n">
        <f aca="false">E600*(1+IF(F$3&lt;=$O$2,$D600,$D600-($D600-$I$589)*MIN(F$3-$O$2,$Q$2)/$Q$2))</f>
        <v>9459.16600942612</v>
      </c>
      <c r="G600" s="15" t="n">
        <f aca="false">F600*(1+IF(G$3&lt;=$O$2,$D600,$D600-($D600-$I$589)*MIN(G$3-$O$2,$Q$2)/$Q$2))</f>
        <v>10396.7688902433</v>
      </c>
      <c r="H600" s="15" t="n">
        <f aca="false">G600*(1+IF(H$3&lt;=$O$2,$D600,$D600-($D600-$I$589)*MIN(H$3-$O$2,$Q$2)/$Q$2))</f>
        <v>11427.3079941101</v>
      </c>
      <c r="I600" s="15" t="n">
        <f aca="false">H600*(1+IF(I$3&lt;=$O$2,$D600,$D600-($D600-$I$589)*MIN(I$3-$O$2,$Q$2)/$Q$2))</f>
        <v>12559.9952611045</v>
      </c>
      <c r="J600" s="15" t="n">
        <f aca="false">I600*(1+IF(J$3&lt;=$O$2,$D600,$D600-($D600-$I$589)*MIN(J$3-$O$2,$Q$2)/$Q$2))</f>
        <v>13601.9332179805</v>
      </c>
      <c r="K600" s="15" t="n">
        <f aca="false">J600*(1+IF(K$3&lt;=$O$2,$D600,$D600-($D600-$I$589)*MIN(K$3-$O$2,$Q$2)/$Q$2))</f>
        <v>14510.4424677445</v>
      </c>
      <c r="L600" s="15" t="n">
        <f aca="false">K600*(1+IF(L$3&lt;=$O$2,$D600,$D600-($D600-$I$589)*MIN(L$3-$O$2,$Q$2)/$Q$2))</f>
        <v>15245.0834973201</v>
      </c>
      <c r="M600" s="15" t="n">
        <f aca="false">L600*(1+IF(M$3&lt;=$O$2,$D600,$D600-($D600-$I$589)*MIN(M$3-$O$2,$Q$2)/$Q$2))</f>
        <v>15770.4933898337</v>
      </c>
      <c r="N600" s="15" t="n">
        <f aca="false">M600*(1+IF(N$3&lt;=$O$2,$D600,$D600-($D600-$I$589)*MIN(N$3-$O$2,$Q$2)/$Q$2))</f>
        <v>16059.0934188677</v>
      </c>
      <c r="O600" s="15" t="n">
        <f aca="false">SUMPRODUCT(E600:N600,1/(1+$F$589)^$E$3:$N$3)*$E$2</f>
        <v>21948.2816675607</v>
      </c>
      <c r="P600" s="15" t="n">
        <f aca="false">N600*$E$2*(1+$I$589)/($F$589-$I$589)/(1+$F$589)^$N$3</f>
        <v>26117.8714515409</v>
      </c>
      <c r="Q600" s="15" t="n">
        <f aca="false">O600+P600</f>
        <v>48066.1531191016</v>
      </c>
      <c r="R600" s="15" t="n">
        <f aca="false">Q600-$G$2+$I$2</f>
        <v>45549.1531191016</v>
      </c>
      <c r="S600" s="42" t="n">
        <f aca="false">R600/$K$2</f>
        <v>105.140928671579</v>
      </c>
      <c r="T600" s="43" t="n">
        <f aca="false">S600-$M$2</f>
        <v>-0.117369652597716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0.09912109375</v>
      </c>
      <c r="C601" s="25" t="n">
        <f aca="false">IF(T600&gt;0,D600,C600)</f>
        <v>0.1005859375</v>
      </c>
      <c r="D601" s="41" t="n">
        <f aca="false">(B601+C601)/2</f>
        <v>0.099853515625</v>
      </c>
      <c r="E601" s="15" t="n">
        <f aca="false">$C$2*(1+IF(E$3&lt;=$O$2,$D601,$D601-($D601-$I$589)*MIN(E$3-$O$2,$Q$2)/$Q$2))</f>
        <v>8611.85302734375</v>
      </c>
      <c r="F601" s="15" t="n">
        <f aca="false">E601*(1+IF(F$3&lt;=$O$2,$D601,$D601-($D601-$I$589)*MIN(F$3-$O$2,$Q$2)/$Q$2))</f>
        <v>9471.77682816982</v>
      </c>
      <c r="G601" s="15" t="n">
        <f aca="false">F601*(1+IF(G$3&lt;=$O$2,$D601,$D601-($D601-$I$589)*MIN(G$3-$O$2,$Q$2)/$Q$2))</f>
        <v>10417.567043678</v>
      </c>
      <c r="H601" s="15" t="n">
        <f aca="false">G601*(1+IF(H$3&lt;=$O$2,$D601,$D601-($D601-$I$589)*MIN(H$3-$O$2,$Q$2)/$Q$2))</f>
        <v>11457.7977372484</v>
      </c>
      <c r="I601" s="15" t="n">
        <f aca="false">H601*(1+IF(I$3&lt;=$O$2,$D601,$D601-($D601-$I$589)*MIN(I$3-$O$2,$Q$2)/$Q$2))</f>
        <v>12601.8991226328</v>
      </c>
      <c r="J601" s="15" t="n">
        <f aca="false">I601*(1+IF(J$3&lt;=$O$2,$D601,$D601-($D601-$I$589)*MIN(J$3-$O$2,$Q$2)/$Q$2))</f>
        <v>13654.6972181788</v>
      </c>
      <c r="K601" s="15" t="n">
        <f aca="false">J601*(1+IF(K$3&lt;=$O$2,$D601,$D601-($D601-$I$589)*MIN(K$3-$O$2,$Q$2)/$Q$2))</f>
        <v>14572.7313150339</v>
      </c>
      <c r="L601" s="15" t="n">
        <f aca="false">K601*(1+IF(L$3&lt;=$O$2,$D601,$D601-($D601-$I$589)*MIN(L$3-$O$2,$Q$2)/$Q$2))</f>
        <v>15314.7952864989</v>
      </c>
      <c r="M601" s="15" t="n">
        <f aca="false">L601*(1+IF(M$3&lt;=$O$2,$D601,$D601-($D601-$I$589)*MIN(M$3-$O$2,$Q$2)/$Q$2))</f>
        <v>15844.85111958</v>
      </c>
      <c r="N601" s="15" t="n">
        <f aca="false">M601*(1+IF(N$3&lt;=$O$2,$D601,$D601-($D601-$I$589)*MIN(N$3-$O$2,$Q$2)/$Q$2))</f>
        <v>16134.8118950683</v>
      </c>
      <c r="O601" s="15" t="n">
        <f aca="false">SUMPRODUCT(E601:N601,1/(1+$F$589)^$E$3:$N$3)*$E$2</f>
        <v>22017.8630359889</v>
      </c>
      <c r="P601" s="15" t="n">
        <f aca="false">N601*$E$2*(1+$I$589)/($F$589-$I$589)/(1+$F$589)^$N$3</f>
        <v>26241.0169726693</v>
      </c>
      <c r="Q601" s="15" t="n">
        <f aca="false">O601+P601</f>
        <v>48258.8800086582</v>
      </c>
      <c r="R601" s="15" t="n">
        <f aca="false">Q601-$G$2+$I$2</f>
        <v>45741.8800086582</v>
      </c>
      <c r="S601" s="42" t="n">
        <f aca="false">R601/$K$2</f>
        <v>105.585799382896</v>
      </c>
      <c r="T601" s="43" t="n">
        <f aca="false">S601-$M$2</f>
        <v>0.327501058718781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0.09912109375</v>
      </c>
      <c r="C602" s="25" t="n">
        <f aca="false">IF(T601&gt;0,D601,C601)</f>
        <v>0.099853515625</v>
      </c>
      <c r="D602" s="41" t="n">
        <f aca="false">(B602+C602)/2</f>
        <v>0.0994873046875</v>
      </c>
      <c r="E602" s="15" t="n">
        <f aca="false">$C$2*(1+IF(E$3&lt;=$O$2,$D602,$D602-($D602-$I$589)*MIN(E$3-$O$2,$Q$2)/$Q$2))</f>
        <v>8608.98559570313</v>
      </c>
      <c r="F602" s="15" t="n">
        <f aca="false">E602*(1+IF(F$3&lt;=$O$2,$D602,$D602-($D602-$I$589)*MIN(F$3-$O$2,$Q$2)/$Q$2))</f>
        <v>9465.47036871314</v>
      </c>
      <c r="G602" s="15" t="n">
        <f aca="false">F602*(1+IF(G$3&lt;=$O$2,$D602,$D602-($D602-$I$589)*MIN(G$3-$O$2,$Q$2)/$Q$2))</f>
        <v>10407.1645032958</v>
      </c>
      <c r="H602" s="15" t="n">
        <f aca="false">G602*(1+IF(H$3&lt;=$O$2,$D602,$D602-($D602-$I$589)*MIN(H$3-$O$2,$Q$2)/$Q$2))</f>
        <v>11442.5452491681</v>
      </c>
      <c r="I602" s="15" t="n">
        <f aca="false">H602*(1+IF(I$3&lt;=$O$2,$D602,$D602-($D602-$I$589)*MIN(I$3-$O$2,$Q$2)/$Q$2))</f>
        <v>12580.9332347726</v>
      </c>
      <c r="J602" s="15" t="n">
        <f aca="false">I602*(1+IF(J$3&lt;=$O$2,$D602,$D602-($D602-$I$589)*MIN(J$3-$O$2,$Q$2)/$Q$2))</f>
        <v>13628.2939607966</v>
      </c>
      <c r="K602" s="15" t="n">
        <f aca="false">J602*(1+IF(K$3&lt;=$O$2,$D602,$D602-($D602-$I$589)*MIN(K$3-$O$2,$Q$2)/$Q$2))</f>
        <v>14541.5584127788</v>
      </c>
      <c r="L602" s="15" t="n">
        <f aca="false">K602*(1+IF(L$3&lt;=$O$2,$D602,$D602-($D602-$I$589)*MIN(L$3-$O$2,$Q$2)/$Q$2))</f>
        <v>15279.9049051284</v>
      </c>
      <c r="M602" s="15" t="n">
        <f aca="false">L602*(1+IF(M$3&lt;=$O$2,$D602,$D602-($D602-$I$589)*MIN(M$3-$O$2,$Q$2)/$Q$2))</f>
        <v>15807.634023918</v>
      </c>
      <c r="N602" s="15" t="n">
        <f aca="false">M602*(1+IF(N$3&lt;=$O$2,$D602,$D602-($D602-$I$589)*MIN(N$3-$O$2,$Q$2)/$Q$2))</f>
        <v>16096.9137265557</v>
      </c>
      <c r="O602" s="15" t="n">
        <f aca="false">SUMPRODUCT(E602:N602,1/(1+$F$589)^$E$3:$N$3)*$E$2</f>
        <v>21983.0449486449</v>
      </c>
      <c r="P602" s="15" t="n">
        <f aca="false">N602*$E$2*(1+$I$589)/($F$589-$I$589)/(1+$F$589)^$N$3</f>
        <v>26179.3808972293</v>
      </c>
      <c r="Q602" s="15" t="n">
        <f aca="false">O602+P602</f>
        <v>48162.4258458742</v>
      </c>
      <c r="R602" s="15" t="n">
        <f aca="false">Q602-$G$2+$I$2</f>
        <v>45645.4258458742</v>
      </c>
      <c r="S602" s="42" t="n">
        <f aca="false">R602/$K$2</f>
        <v>105.363154623226</v>
      </c>
      <c r="T602" s="43" t="n">
        <f aca="false">S602-$M$2</f>
        <v>0.104856299049345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0.09912109375</v>
      </c>
      <c r="C603" s="25" t="n">
        <f aca="false">IF(T602&gt;0,D602,C602)</f>
        <v>0.0994873046875</v>
      </c>
      <c r="D603" s="41" t="n">
        <f aca="false">(B603+C603)/2</f>
        <v>0.09930419921875</v>
      </c>
      <c r="E603" s="15" t="n">
        <f aca="false">$C$2*(1+IF(E$3&lt;=$O$2,$D603,$D603-($D603-$I$589)*MIN(E$3-$O$2,$Q$2)/$Q$2))</f>
        <v>8607.55187988281</v>
      </c>
      <c r="F603" s="15" t="n">
        <f aca="false">E603*(1+IF(F$3&lt;=$O$2,$D603,$D603-($D603-$I$589)*MIN(F$3-$O$2,$Q$2)/$Q$2))</f>
        <v>9462.31792654842</v>
      </c>
      <c r="G603" s="15" t="n">
        <f aca="false">F603*(1+IF(G$3&lt;=$O$2,$D603,$D603-($D603-$I$589)*MIN(G$3-$O$2,$Q$2)/$Q$2))</f>
        <v>10401.9658309975</v>
      </c>
      <c r="H603" s="15" t="n">
        <f aca="false">G603*(1+IF(H$3&lt;=$O$2,$D603,$D603-($D603-$I$589)*MIN(H$3-$O$2,$Q$2)/$Q$2))</f>
        <v>11434.9247181455</v>
      </c>
      <c r="I603" s="15" t="n">
        <f aca="false">H603*(1+IF(I$3&lt;=$O$2,$D603,$D603-($D603-$I$589)*MIN(I$3-$O$2,$Q$2)/$Q$2))</f>
        <v>12570.4607604077</v>
      </c>
      <c r="J603" s="15" t="n">
        <f aca="false">I603*(1+IF(J$3&lt;=$O$2,$D603,$D603-($D603-$I$589)*MIN(J$3-$O$2,$Q$2)/$Q$2))</f>
        <v>13615.1082784892</v>
      </c>
      <c r="K603" s="15" t="n">
        <f aca="false">J603*(1+IF(K$3&lt;=$O$2,$D603,$D603-($D603-$I$589)*MIN(K$3-$O$2,$Q$2)/$Q$2))</f>
        <v>14525.9933260109</v>
      </c>
      <c r="L603" s="15" t="n">
        <f aca="false">K603*(1+IF(L$3&lt;=$O$2,$D603,$D603-($D603-$I$589)*MIN(L$3-$O$2,$Q$2)/$Q$2))</f>
        <v>15262.485586769</v>
      </c>
      <c r="M603" s="15" t="n">
        <f aca="false">L603*(1+IF(M$3&lt;=$O$2,$D603,$D603-($D603-$I$589)*MIN(M$3-$O$2,$Q$2)/$Q$2))</f>
        <v>15789.0541576157</v>
      </c>
      <c r="N603" s="15" t="n">
        <f aca="false">M603*(1+IF(N$3&lt;=$O$2,$D603,$D603-($D603-$I$589)*MIN(N$3-$O$2,$Q$2)/$Q$2))</f>
        <v>16077.9938487001</v>
      </c>
      <c r="O603" s="15" t="n">
        <f aca="false">SUMPRODUCT(E603:N603,1/(1+$F$589)^$E$3:$N$3)*$E$2</f>
        <v>21965.6564623214</v>
      </c>
      <c r="P603" s="15" t="n">
        <f aca="false">N603*$E$2*(1+$I$589)/($F$589-$I$589)/(1+$F$589)^$N$3</f>
        <v>26148.610359639</v>
      </c>
      <c r="Q603" s="15" t="n">
        <f aca="false">O603+P603</f>
        <v>48114.2668219604</v>
      </c>
      <c r="R603" s="15" t="n">
        <f aca="false">Q603-$G$2+$I$2</f>
        <v>45597.2668219604</v>
      </c>
      <c r="S603" s="42" t="n">
        <f aca="false">R603/$K$2</f>
        <v>105.251989340198</v>
      </c>
      <c r="T603" s="43" t="n">
        <f aca="false">S603-$M$2</f>
        <v>-0.00630898397959356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0.09930419921875</v>
      </c>
      <c r="C604" s="25" t="n">
        <f aca="false">IF(T603&gt;0,D603,C603)</f>
        <v>0.0994873046875</v>
      </c>
      <c r="D604" s="41" t="n">
        <f aca="false">(B604+C604)/2</f>
        <v>0.099395751953125</v>
      </c>
      <c r="E604" s="15" t="n">
        <f aca="false">$C$2*(1+IF(E$3&lt;=$O$2,$D604,$D604-($D604-$I$589)*MIN(E$3-$O$2,$Q$2)/$Q$2))</f>
        <v>8608.26873779297</v>
      </c>
      <c r="F604" s="15" t="n">
        <f aca="false">E604*(1+IF(F$3&lt;=$O$2,$D604,$D604-($D604-$I$589)*MIN(F$3-$O$2,$Q$2)/$Q$2))</f>
        <v>9463.89408200048</v>
      </c>
      <c r="G604" s="15" t="n">
        <f aca="false">F604*(1+IF(G$3&lt;=$O$2,$D604,$D604-($D604-$I$589)*MIN(G$3-$O$2,$Q$2)/$Q$2))</f>
        <v>10404.5649506856</v>
      </c>
      <c r="H604" s="15" t="n">
        <f aca="false">G604*(1+IF(H$3&lt;=$O$2,$D604,$D604-($D604-$I$589)*MIN(H$3-$O$2,$Q$2)/$Q$2))</f>
        <v>11438.7345077042</v>
      </c>
      <c r="I604" s="15" t="n">
        <f aca="false">H604*(1+IF(I$3&lt;=$O$2,$D604,$D604-($D604-$I$589)*MIN(I$3-$O$2,$Q$2)/$Q$2))</f>
        <v>12575.6961254896</v>
      </c>
      <c r="J604" s="15" t="n">
        <f aca="false">I604*(1+IF(J$3&lt;=$O$2,$D604,$D604-($D604-$I$589)*MIN(J$3-$O$2,$Q$2)/$Q$2))</f>
        <v>13621.6997914905</v>
      </c>
      <c r="K604" s="15" t="n">
        <f aca="false">J604*(1+IF(K$3&lt;=$O$2,$D604,$D604-($D604-$I$589)*MIN(K$3-$O$2,$Q$2)/$Q$2))</f>
        <v>14533.7740901572</v>
      </c>
      <c r="L604" s="15" t="n">
        <f aca="false">K604*(1+IF(L$3&lt;=$O$2,$D604,$D604-($D604-$I$589)*MIN(L$3-$O$2,$Q$2)/$Q$2))</f>
        <v>15271.1930914303</v>
      </c>
      <c r="M604" s="15" t="n">
        <f aca="false">L604*(1+IF(M$3&lt;=$O$2,$D604,$D604-($D604-$I$589)*MIN(M$3-$O$2,$Q$2)/$Q$2))</f>
        <v>15798.3417023977</v>
      </c>
      <c r="N604" s="15" t="n">
        <f aca="false">M604*(1+IF(N$3&lt;=$O$2,$D604,$D604-($D604-$I$589)*MIN(N$3-$O$2,$Q$2)/$Q$2))</f>
        <v>16087.4513555515</v>
      </c>
      <c r="O604" s="15" t="n">
        <f aca="false">SUMPRODUCT(E604:N604,1/(1+$F$589)^$E$3:$N$3)*$E$2</f>
        <v>21974.3489934129</v>
      </c>
      <c r="P604" s="15" t="n">
        <f aca="false">N604*$E$2*(1+$I$589)/($F$589-$I$589)/(1+$F$589)^$N$3</f>
        <v>26163.9916730018</v>
      </c>
      <c r="Q604" s="15" t="n">
        <f aca="false">O604+P604</f>
        <v>48138.3406664147</v>
      </c>
      <c r="R604" s="15" t="n">
        <f aca="false">Q604-$G$2+$I$2</f>
        <v>45621.3406664147</v>
      </c>
      <c r="S604" s="42" t="n">
        <f aca="false">R604/$K$2</f>
        <v>105.307558899438</v>
      </c>
      <c r="T604" s="43" t="n">
        <f aca="false">S604-$M$2</f>
        <v>0.049260575261286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0.09930419921875</v>
      </c>
      <c r="C605" s="25" t="n">
        <f aca="false">IF(T604&gt;0,D604,C604)</f>
        <v>0.099395751953125</v>
      </c>
      <c r="D605" s="41" t="n">
        <f aca="false">(B605+C605)/2</f>
        <v>0.0993499755859375</v>
      </c>
      <c r="E605" s="15" t="n">
        <f aca="false">$C$2*(1+IF(E$3&lt;=$O$2,$D605,$D605-($D605-$I$589)*MIN(E$3-$O$2,$Q$2)/$Q$2))</f>
        <v>8607.91030883789</v>
      </c>
      <c r="F605" s="15" t="n">
        <f aca="false">E605*(1+IF(F$3&lt;=$O$2,$D605,$D605-($D605-$I$589)*MIN(F$3-$O$2,$Q$2)/$Q$2))</f>
        <v>9463.10598786688</v>
      </c>
      <c r="G605" s="15" t="n">
        <f aca="false">F605*(1+IF(G$3&lt;=$O$2,$D605,$D605-($D605-$I$589)*MIN(G$3-$O$2,$Q$2)/$Q$2))</f>
        <v>10403.2653367286</v>
      </c>
      <c r="H605" s="15" t="n">
        <f aca="false">G605*(1+IF(H$3&lt;=$O$2,$D605,$D605-($D605-$I$589)*MIN(H$3-$O$2,$Q$2)/$Q$2))</f>
        <v>11436.8294939466</v>
      </c>
      <c r="I605" s="15" t="n">
        <f aca="false">H605*(1+IF(I$3&lt;=$O$2,$D605,$D605-($D605-$I$589)*MIN(I$3-$O$2,$Q$2)/$Q$2))</f>
        <v>12573.0782249507</v>
      </c>
      <c r="J605" s="15" t="n">
        <f aca="false">I605*(1+IF(J$3&lt;=$O$2,$D605,$D605-($D605-$I$589)*MIN(J$3-$O$2,$Q$2)/$Q$2))</f>
        <v>13618.4037030052</v>
      </c>
      <c r="K605" s="15" t="n">
        <f aca="false">J605*(1+IF(K$3&lt;=$O$2,$D605,$D605-($D605-$I$589)*MIN(K$3-$O$2,$Q$2)/$Q$2))</f>
        <v>14529.883263359</v>
      </c>
      <c r="L605" s="15" t="n">
        <f aca="false">K605*(1+IF(L$3&lt;=$O$2,$D605,$D605-($D605-$I$589)*MIN(L$3-$O$2,$Q$2)/$Q$2))</f>
        <v>15266.8388005832</v>
      </c>
      <c r="M605" s="15" t="n">
        <f aca="false">L605*(1+IF(M$3&lt;=$O$2,$D605,$D605-($D605-$I$589)*MIN(M$3-$O$2,$Q$2)/$Q$2))</f>
        <v>15793.6973330462</v>
      </c>
      <c r="N605" s="15" t="n">
        <f aca="false">M605*(1+IF(N$3&lt;=$O$2,$D605,$D605-($D605-$I$589)*MIN(N$3-$O$2,$Q$2)/$Q$2))</f>
        <v>16082.7219942409</v>
      </c>
      <c r="O605" s="15" t="n">
        <f aca="false">SUMPRODUCT(E605:N605,1/(1+$F$589)^$E$3:$N$3)*$E$2</f>
        <v>21970.0022999277</v>
      </c>
      <c r="P605" s="15" t="n">
        <f aca="false">N605*$E$2*(1+$I$589)/($F$589-$I$589)/(1+$F$589)^$N$3</f>
        <v>26156.3000276806</v>
      </c>
      <c r="Q605" s="15" t="n">
        <f aca="false">O605+P605</f>
        <v>48126.3023276083</v>
      </c>
      <c r="R605" s="15" t="n">
        <f aca="false">Q605-$G$2+$I$2</f>
        <v>45609.3023276083</v>
      </c>
      <c r="S605" s="42" t="n">
        <f aca="false">R605/$K$2</f>
        <v>105.279770849934</v>
      </c>
      <c r="T605" s="43" t="n">
        <f aca="false">S605-$M$2</f>
        <v>0.0214725257566641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0.09930419921875</v>
      </c>
      <c r="C606" s="25" t="n">
        <f aca="false">IF(T605&gt;0,D605,C605)</f>
        <v>0.0993499755859375</v>
      </c>
      <c r="D606" s="41" t="n">
        <f aca="false">(B606+C606)/2</f>
        <v>0.0993270874023438</v>
      </c>
      <c r="E606" s="15" t="n">
        <f aca="false">$C$2*(1+IF(E$3&lt;=$O$2,$D606,$D606-($D606-$I$589)*MIN(E$3-$O$2,$Q$2)/$Q$2))</f>
        <v>8607.73109436035</v>
      </c>
      <c r="F606" s="15" t="n">
        <f aca="false">E606*(1+IF(F$3&lt;=$O$2,$D606,$D606-($D606-$I$589)*MIN(F$3-$O$2,$Q$2)/$Q$2))</f>
        <v>9462.71195310575</v>
      </c>
      <c r="G606" s="15" t="n">
        <f aca="false">F606*(1+IF(G$3&lt;=$O$2,$D606,$D606-($D606-$I$589)*MIN(G$3-$O$2,$Q$2)/$Q$2))</f>
        <v>10402.6155703351</v>
      </c>
      <c r="H606" s="15" t="n">
        <f aca="false">G606*(1+IF(H$3&lt;=$O$2,$D606,$D606-($D606-$I$589)*MIN(H$3-$O$2,$Q$2)/$Q$2))</f>
        <v>11435.8770763027</v>
      </c>
      <c r="I606" s="15" t="n">
        <f aca="false">H606*(1+IF(I$3&lt;=$O$2,$D606,$D606-($D606-$I$589)*MIN(I$3-$O$2,$Q$2)/$Q$2))</f>
        <v>12571.7694381831</v>
      </c>
      <c r="J606" s="15" t="n">
        <f aca="false">I606*(1+IF(J$3&lt;=$O$2,$D606,$D606-($D606-$I$589)*MIN(J$3-$O$2,$Q$2)/$Q$2))</f>
        <v>13616.7559077577</v>
      </c>
      <c r="K606" s="15" t="n">
        <f aca="false">J606*(1+IF(K$3&lt;=$O$2,$D606,$D606-($D606-$I$589)*MIN(K$3-$O$2,$Q$2)/$Q$2))</f>
        <v>14527.9381835142</v>
      </c>
      <c r="L606" s="15" t="n">
        <f aca="false">K606*(1+IF(L$3&lt;=$O$2,$D606,$D606-($D606-$I$589)*MIN(L$3-$O$2,$Q$2)/$Q$2))</f>
        <v>15264.6620590611</v>
      </c>
      <c r="M606" s="15" t="n">
        <f aca="false">L606*(1+IF(M$3&lt;=$O$2,$D606,$D606-($D606-$I$589)*MIN(M$3-$O$2,$Q$2)/$Q$2))</f>
        <v>15791.3755961073</v>
      </c>
      <c r="N606" s="15" t="n">
        <f aca="false">M606*(1+IF(N$3&lt;=$O$2,$D606,$D606-($D606-$I$589)*MIN(N$3-$O$2,$Q$2)/$Q$2))</f>
        <v>16080.3577695161</v>
      </c>
      <c r="O606" s="15" t="n">
        <f aca="false">SUMPRODUCT(E606:N606,1/(1+$F$589)^$E$3:$N$3)*$E$2</f>
        <v>21967.8292741494</v>
      </c>
      <c r="P606" s="15" t="n">
        <f aca="false">N606*$E$2*(1+$I$589)/($F$589-$I$589)/(1+$F$589)^$N$3</f>
        <v>26152.4549465271</v>
      </c>
      <c r="Q606" s="15" t="n">
        <f aca="false">O606+P606</f>
        <v>48120.2842206766</v>
      </c>
      <c r="R606" s="15" t="n">
        <f aca="false">Q606-$G$2+$I$2</f>
        <v>45603.2842206766</v>
      </c>
      <c r="S606" s="42" t="n">
        <f aca="false">R606/$K$2</f>
        <v>105.26587927768</v>
      </c>
      <c r="T606" s="43" t="n">
        <f aca="false">S606-$M$2</f>
        <v>0.00758095350296628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0.09930419921875</v>
      </c>
      <c r="C607" s="25" t="n">
        <f aca="false">IF(T606&gt;0,D606,C606)</f>
        <v>0.0993270874023438</v>
      </c>
      <c r="D607" s="41" t="n">
        <f aca="false">(B607+C607)/2</f>
        <v>0.0993156433105469</v>
      </c>
      <c r="E607" s="15" t="n">
        <f aca="false">$C$2*(1+IF(E$3&lt;=$O$2,$D607,$D607-($D607-$I$589)*MIN(E$3-$O$2,$Q$2)/$Q$2))</f>
        <v>8607.64148712158</v>
      </c>
      <c r="F607" s="15" t="n">
        <f aca="false">E607*(1+IF(F$3&lt;=$O$2,$D607,$D607-($D607-$I$589)*MIN(F$3-$O$2,$Q$2)/$Q$2))</f>
        <v>9462.51493880161</v>
      </c>
      <c r="G607" s="15" t="n">
        <f aca="false">F607*(1+IF(G$3&lt;=$O$2,$D607,$D607-($D607-$I$589)*MIN(G$3-$O$2,$Q$2)/$Q$2))</f>
        <v>10402.2906972844</v>
      </c>
      <c r="H607" s="15" t="n">
        <f aca="false">G607*(1+IF(H$3&lt;=$O$2,$D607,$D607-($D607-$I$589)*MIN(H$3-$O$2,$Q$2)/$Q$2))</f>
        <v>11435.4008897885</v>
      </c>
      <c r="I607" s="15" t="n">
        <f aca="false">H607*(1+IF(I$3&lt;=$O$2,$D607,$D607-($D607-$I$589)*MIN(I$3-$O$2,$Q$2)/$Q$2))</f>
        <v>12571.1150856718</v>
      </c>
      <c r="J607" s="15" t="n">
        <f aca="false">I607*(1+IF(J$3&lt;=$O$2,$D607,$D607-($D607-$I$589)*MIN(J$3-$O$2,$Q$2)/$Q$2))</f>
        <v>13615.9320723769</v>
      </c>
      <c r="K607" s="15" t="n">
        <f aca="false">J607*(1+IF(K$3&lt;=$O$2,$D607,$D607-($D607-$I$589)*MIN(K$3-$O$2,$Q$2)/$Q$2))</f>
        <v>14526.9657269712</v>
      </c>
      <c r="L607" s="15" t="n">
        <f aca="false">K607*(1+IF(L$3&lt;=$O$2,$D607,$D607-($D607-$I$589)*MIN(L$3-$O$2,$Q$2)/$Q$2))</f>
        <v>15263.5737892631</v>
      </c>
      <c r="M607" s="15" t="n">
        <f aca="false">L607*(1+IF(M$3&lt;=$O$2,$D607,$D607-($D607-$I$589)*MIN(M$3-$O$2,$Q$2)/$Q$2))</f>
        <v>15790.2148395576</v>
      </c>
      <c r="N607" s="15" t="n">
        <f aca="false">M607*(1+IF(N$3&lt;=$O$2,$D607,$D607-($D607-$I$589)*MIN(N$3-$O$2,$Q$2)/$Q$2))</f>
        <v>16079.1757711216</v>
      </c>
      <c r="O607" s="15" t="n">
        <f aca="false">SUMPRODUCT(E607:N607,1/(1+$F$589)^$E$3:$N$3)*$E$2</f>
        <v>21966.7428414929</v>
      </c>
      <c r="P607" s="15" t="n">
        <f aca="false">N607*$E$2*(1+$I$589)/($F$589-$I$589)/(1+$F$589)^$N$3</f>
        <v>26150.5325913033</v>
      </c>
      <c r="Q607" s="15" t="n">
        <f aca="false">O607+P607</f>
        <v>48117.2754327962</v>
      </c>
      <c r="R607" s="15" t="n">
        <f aca="false">Q607-$G$2+$I$2</f>
        <v>45600.2754327962</v>
      </c>
      <c r="S607" s="42" t="n">
        <f aca="false">R607/$K$2</f>
        <v>105.258934104603</v>
      </c>
      <c r="T607" s="43" t="n">
        <f aca="false">S607-$M$2</f>
        <v>0.000635780425994881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0.09930419921875</v>
      </c>
      <c r="C608" s="25" t="n">
        <f aca="false">IF(T607&gt;0,D607,C607)</f>
        <v>0.0993156433105469</v>
      </c>
      <c r="D608" s="41" t="n">
        <f aca="false">(B608+C608)/2</f>
        <v>0.0993099212646484</v>
      </c>
      <c r="E608" s="15" t="n">
        <f aca="false">$C$2*(1+IF(E$3&lt;=$O$2,$D608,$D608-($D608-$I$589)*MIN(E$3-$O$2,$Q$2)/$Q$2))</f>
        <v>8607.5966835022</v>
      </c>
      <c r="F608" s="15" t="n">
        <f aca="false">E608*(1+IF(F$3&lt;=$O$2,$D608,$D608-($D608-$I$589)*MIN(F$3-$O$2,$Q$2)/$Q$2))</f>
        <v>9462.41643241865</v>
      </c>
      <c r="G608" s="15" t="n">
        <f aca="false">F608*(1+IF(G$3&lt;=$O$2,$D608,$D608-($D608-$I$589)*MIN(G$3-$O$2,$Q$2)/$Q$2))</f>
        <v>10402.1282632955</v>
      </c>
      <c r="H608" s="15" t="n">
        <f aca="false">G608*(1+IF(H$3&lt;=$O$2,$D608,$D608-($D608-$I$589)*MIN(H$3-$O$2,$Q$2)/$Q$2))</f>
        <v>11435.1628021081</v>
      </c>
      <c r="I608" s="15" t="n">
        <f aca="false">H608*(1+IF(I$3&lt;=$O$2,$D608,$D608-($D608-$I$589)*MIN(I$3-$O$2,$Q$2)/$Q$2))</f>
        <v>12570.7879196339</v>
      </c>
      <c r="J608" s="15" t="n">
        <f aca="false">I608*(1+IF(J$3&lt;=$O$2,$D608,$D608-($D608-$I$589)*MIN(J$3-$O$2,$Q$2)/$Q$2))</f>
        <v>13615.5201702465</v>
      </c>
      <c r="K608" s="15" t="n">
        <f aca="false">J608*(1+IF(K$3&lt;=$O$2,$D608,$D608-($D608-$I$589)*MIN(K$3-$O$2,$Q$2)/$Q$2))</f>
        <v>14526.4795195434</v>
      </c>
      <c r="L608" s="15" t="n">
        <f aca="false">K608*(1+IF(L$3&lt;=$O$2,$D608,$D608-($D608-$I$589)*MIN(L$3-$O$2,$Q$2)/$Q$2))</f>
        <v>15263.0296796033</v>
      </c>
      <c r="M608" s="15" t="n">
        <f aca="false">L608*(1+IF(M$3&lt;=$O$2,$D608,$D608-($D608-$I$589)*MIN(M$3-$O$2,$Q$2)/$Q$2))</f>
        <v>15789.634489261</v>
      </c>
      <c r="N608" s="15" t="n">
        <f aca="false">M608*(1+IF(N$3&lt;=$O$2,$D608,$D608-($D608-$I$589)*MIN(N$3-$O$2,$Q$2)/$Q$2))</f>
        <v>16078.5848004144</v>
      </c>
      <c r="O608" s="15" t="n">
        <f aca="false">SUMPRODUCT(E608:N608,1/(1+$F$589)^$E$3:$N$3)*$E$2</f>
        <v>21966.1996452216</v>
      </c>
      <c r="P608" s="15" t="n">
        <f aca="false">N608*$E$2*(1+$I$589)/($F$589-$I$589)/(1+$F$589)^$N$3</f>
        <v>26149.5714600266</v>
      </c>
      <c r="Q608" s="15" t="n">
        <f aca="false">O608+P608</f>
        <v>48115.7711052483</v>
      </c>
      <c r="R608" s="15" t="n">
        <f aca="false">Q608-$G$2+$I$2</f>
        <v>45598.7711052483</v>
      </c>
      <c r="S608" s="42" t="n">
        <f aca="false">R608/$K$2</f>
        <v>105.255461671318</v>
      </c>
      <c r="T608" s="43" t="n">
        <f aca="false">S608-$M$2</f>
        <v>-0.00283665285937218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0.0993099212646484</v>
      </c>
      <c r="C609" s="25" t="n">
        <f aca="false">IF(T608&gt;0,D608,C608)</f>
        <v>0.0993156433105469</v>
      </c>
      <c r="D609" s="41" t="n">
        <f aca="false">(B609+C609)/2</f>
        <v>0.0993127822875977</v>
      </c>
      <c r="E609" s="15" t="n">
        <f aca="false">$C$2*(1+IF(E$3&lt;=$O$2,$D609,$D609-($D609-$I$589)*MIN(E$3-$O$2,$Q$2)/$Q$2))</f>
        <v>8607.61908531189</v>
      </c>
      <c r="F609" s="15" t="n">
        <f aca="false">E609*(1+IF(F$3&lt;=$O$2,$D609,$D609-($D609-$I$589)*MIN(F$3-$O$2,$Q$2)/$Q$2))</f>
        <v>9462.46568554604</v>
      </c>
      <c r="G609" s="15" t="n">
        <f aca="false">F609*(1+IF(G$3&lt;=$O$2,$D609,$D609-($D609-$I$589)*MIN(G$3-$O$2,$Q$2)/$Q$2))</f>
        <v>10402.2094800785</v>
      </c>
      <c r="H609" s="15" t="n">
        <f aca="false">G609*(1+IF(H$3&lt;=$O$2,$D609,$D609-($D609-$I$589)*MIN(H$3-$O$2,$Q$2)/$Q$2))</f>
        <v>11435.2818454836</v>
      </c>
      <c r="I609" s="15" t="n">
        <f aca="false">H609*(1+IF(I$3&lt;=$O$2,$D609,$D609-($D609-$I$589)*MIN(I$3-$O$2,$Q$2)/$Q$2))</f>
        <v>12570.9515018014</v>
      </c>
      <c r="J609" s="15" t="n">
        <f aca="false">I609*(1+IF(J$3&lt;=$O$2,$D609,$D609-($D609-$I$589)*MIN(J$3-$O$2,$Q$2)/$Q$2))</f>
        <v>13615.7261200151</v>
      </c>
      <c r="K609" s="15" t="n">
        <f aca="false">J609*(1+IF(K$3&lt;=$O$2,$D609,$D609-($D609-$I$589)*MIN(K$3-$O$2,$Q$2)/$Q$2))</f>
        <v>14526.7226215203</v>
      </c>
      <c r="L609" s="15" t="n">
        <f aca="false">K609*(1+IF(L$3&lt;=$O$2,$D609,$D609-($D609-$I$589)*MIN(L$3-$O$2,$Q$2)/$Q$2))</f>
        <v>15263.30173233</v>
      </c>
      <c r="M609" s="15" t="n">
        <f aca="false">L609*(1+IF(M$3&lt;=$O$2,$D609,$D609-($D609-$I$589)*MIN(M$3-$O$2,$Q$2)/$Q$2))</f>
        <v>15789.9246620779</v>
      </c>
      <c r="N609" s="15" t="n">
        <f aca="false">M609*(1+IF(N$3&lt;=$O$2,$D609,$D609-($D609-$I$589)*MIN(N$3-$O$2,$Q$2)/$Q$2))</f>
        <v>16078.8802833939</v>
      </c>
      <c r="O609" s="15" t="n">
        <f aca="false">SUMPRODUCT(E609:N609,1/(1+$F$589)^$E$3:$N$3)*$E$2</f>
        <v>21966.4712416859</v>
      </c>
      <c r="P609" s="15" t="n">
        <f aca="false">N609*$E$2*(1+$I$589)/($F$589-$I$589)/(1+$F$589)^$N$3</f>
        <v>26150.0520218038</v>
      </c>
      <c r="Q609" s="15" t="n">
        <f aca="false">O609+P609</f>
        <v>48116.5232634896</v>
      </c>
      <c r="R609" s="15" t="n">
        <f aca="false">Q609-$G$2+$I$2</f>
        <v>45599.5232634896</v>
      </c>
      <c r="S609" s="42" t="n">
        <f aca="false">R609/$K$2</f>
        <v>105.25719787519</v>
      </c>
      <c r="T609" s="43" t="n">
        <f aca="false">S609-$M$2</f>
        <v>-0.00110044898750061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0.0993127822875977</v>
      </c>
      <c r="C610" s="25" t="n">
        <f aca="false">IF(T609&gt;0,D609,C609)</f>
        <v>0.0993156433105469</v>
      </c>
      <c r="D610" s="41" t="n">
        <f aca="false">(B610+C610)/2</f>
        <v>0.0993142127990723</v>
      </c>
      <c r="E610" s="15" t="n">
        <f aca="false">$C$2*(1+IF(E$3&lt;=$O$2,$D610,$D610-($D610-$I$589)*MIN(E$3-$O$2,$Q$2)/$Q$2))</f>
        <v>8607.63028621674</v>
      </c>
      <c r="F610" s="15" t="n">
        <f aca="false">E610*(1+IF(F$3&lt;=$O$2,$D610,$D610-($D610-$I$589)*MIN(F$3-$O$2,$Q$2)/$Q$2))</f>
        <v>9462.49031215781</v>
      </c>
      <c r="G610" s="15" t="n">
        <f aca="false">F610*(1+IF(G$3&lt;=$O$2,$D610,$D610-($D610-$I$589)*MIN(G$3-$O$2,$Q$2)/$Q$2))</f>
        <v>10402.2500886286</v>
      </c>
      <c r="H610" s="15" t="n">
        <f aca="false">G610*(1+IF(H$3&lt;=$O$2,$D610,$D610-($D610-$I$589)*MIN(H$3-$O$2,$Q$2)/$Q$2))</f>
        <v>11435.3413675198</v>
      </c>
      <c r="I610" s="15" t="n">
        <f aca="false">H610*(1+IF(I$3&lt;=$O$2,$D610,$D610-($D610-$I$589)*MIN(I$3-$O$2,$Q$2)/$Q$2))</f>
        <v>12571.0332935237</v>
      </c>
      <c r="J610" s="15" t="n">
        <f aca="false">I610*(1+IF(J$3&lt;=$O$2,$D610,$D610-($D610-$I$589)*MIN(J$3-$O$2,$Q$2)/$Q$2))</f>
        <v>13615.8290958718</v>
      </c>
      <c r="K610" s="15" t="n">
        <f aca="false">J610*(1+IF(K$3&lt;=$O$2,$D610,$D610-($D610-$I$589)*MIN(K$3-$O$2,$Q$2)/$Q$2))</f>
        <v>14526.8441738115</v>
      </c>
      <c r="L610" s="15" t="n">
        <f aca="false">K610*(1+IF(L$3&lt;=$O$2,$D610,$D610-($D610-$I$589)*MIN(L$3-$O$2,$Q$2)/$Q$2))</f>
        <v>15263.4377602707</v>
      </c>
      <c r="M610" s="15" t="n">
        <f aca="false">L610*(1+IF(M$3&lt;=$O$2,$D610,$D610-($D610-$I$589)*MIN(M$3-$O$2,$Q$2)/$Q$2))</f>
        <v>15790.0697502349</v>
      </c>
      <c r="N610" s="15" t="n">
        <f aca="false">M610*(1+IF(N$3&lt;=$O$2,$D610,$D610-($D610-$I$589)*MIN(N$3-$O$2,$Q$2)/$Q$2))</f>
        <v>16079.0280266642</v>
      </c>
      <c r="O610" s="15" t="n">
        <f aca="false">SUMPRODUCT(E610:N610,1/(1+$F$589)^$E$3:$N$3)*$E$2</f>
        <v>21966.6070411715</v>
      </c>
      <c r="P610" s="15" t="n">
        <f aca="false">N610*$E$2*(1+$I$589)/($F$589-$I$589)/(1+$F$589)^$N$3</f>
        <v>26150.2923055882</v>
      </c>
      <c r="Q610" s="15" t="n">
        <f aca="false">O610+P610</f>
        <v>48116.8993467598</v>
      </c>
      <c r="R610" s="15" t="n">
        <f aca="false">Q610-$G$2+$I$2</f>
        <v>45599.8993467598</v>
      </c>
      <c r="S610" s="42" t="n">
        <f aca="false">R610/$K$2</f>
        <v>105.258065986704</v>
      </c>
      <c r="T610" s="43" t="n">
        <f aca="false">S610-$M$2</f>
        <v>-0.000232337473477173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0.0993142127990723</v>
      </c>
      <c r="C611" s="25" t="n">
        <f aca="false">IF(T610&gt;0,D610,C610)</f>
        <v>0.0993156433105469</v>
      </c>
      <c r="D611" s="41" t="n">
        <f aca="false">(B611+C611)/2</f>
        <v>0.0993149280548096</v>
      </c>
      <c r="E611" s="15" t="n">
        <f aca="false">$C$2*(1+IF(E$3&lt;=$O$2,$D611,$D611-($D611-$I$589)*MIN(E$3-$O$2,$Q$2)/$Q$2))</f>
        <v>8607.63588666916</v>
      </c>
      <c r="F611" s="15" t="n">
        <f aca="false">E611*(1+IF(F$3&lt;=$O$2,$D611,$D611-($D611-$I$589)*MIN(F$3-$O$2,$Q$2)/$Q$2))</f>
        <v>9462.5026254757</v>
      </c>
      <c r="G611" s="15" t="n">
        <f aca="false">F611*(1+IF(G$3&lt;=$O$2,$D611,$D611-($D611-$I$589)*MIN(G$3-$O$2,$Q$2)/$Q$2))</f>
        <v>10402.2703929433</v>
      </c>
      <c r="H611" s="15" t="n">
        <f aca="false">G611*(1+IF(H$3&lt;=$O$2,$D611,$D611-($D611-$I$589)*MIN(H$3-$O$2,$Q$2)/$Q$2))</f>
        <v>11435.3711286251</v>
      </c>
      <c r="I611" s="15" t="n">
        <f aca="false">H611*(1+IF(I$3&lt;=$O$2,$D611,$D611-($D611-$I$589)*MIN(I$3-$O$2,$Q$2)/$Q$2))</f>
        <v>12571.0741895446</v>
      </c>
      <c r="J611" s="15" t="n">
        <f aca="false">I611*(1+IF(J$3&lt;=$O$2,$D611,$D611-($D611-$I$589)*MIN(J$3-$O$2,$Q$2)/$Q$2))</f>
        <v>13615.8805840433</v>
      </c>
      <c r="K611" s="15" t="n">
        <f aca="false">J611*(1+IF(K$3&lt;=$O$2,$D611,$D611-($D611-$I$589)*MIN(K$3-$O$2,$Q$2)/$Q$2))</f>
        <v>14526.9049502828</v>
      </c>
      <c r="L611" s="15" t="n">
        <f aca="false">K611*(1+IF(L$3&lt;=$O$2,$D611,$D611-($D611-$I$589)*MIN(L$3-$O$2,$Q$2)/$Q$2))</f>
        <v>15263.5057746355</v>
      </c>
      <c r="M611" s="15" t="n">
        <f aca="false">L611*(1+IF(M$3&lt;=$O$2,$D611,$D611-($D611-$I$589)*MIN(M$3-$O$2,$Q$2)/$Q$2))</f>
        <v>15790.1422947505</v>
      </c>
      <c r="N611" s="15" t="n">
        <f aca="false">M611*(1+IF(N$3&lt;=$O$2,$D611,$D611-($D611-$I$589)*MIN(N$3-$O$2,$Q$2)/$Q$2))</f>
        <v>16079.1018987445</v>
      </c>
      <c r="O611" s="15" t="n">
        <f aca="false">SUMPRODUCT(E611:N611,1/(1+$F$589)^$E$3:$N$3)*$E$2</f>
        <v>21966.6749412277</v>
      </c>
      <c r="P611" s="15" t="n">
        <f aca="false">N611*$E$2*(1+$I$589)/($F$589-$I$589)/(1+$F$589)^$N$3</f>
        <v>26150.4124482044</v>
      </c>
      <c r="Q611" s="15" t="n">
        <f aca="false">O611+P611</f>
        <v>48117.0873894322</v>
      </c>
      <c r="R611" s="15" t="n">
        <f aca="false">Q611-$G$2+$I$2</f>
        <v>45600.0873894322</v>
      </c>
      <c r="S611" s="42" t="n">
        <f aca="false">R611/$K$2</f>
        <v>105.258500044855</v>
      </c>
      <c r="T611" s="43" t="n">
        <f aca="false">S611-$M$2</f>
        <v>0.000201720678091988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0.0993142127990723</v>
      </c>
      <c r="C612" s="25" t="n">
        <f aca="false">IF(T611&gt;0,D611,C611)</f>
        <v>0.0993149280548096</v>
      </c>
      <c r="D612" s="41" t="n">
        <f aca="false">(B612+C612)/2</f>
        <v>0.0993145704269409</v>
      </c>
      <c r="E612" s="15" t="n">
        <f aca="false">$C$2*(1+IF(E$3&lt;=$O$2,$D612,$D612-($D612-$I$589)*MIN(E$3-$O$2,$Q$2)/$Q$2))</f>
        <v>8607.63308644295</v>
      </c>
      <c r="F612" s="15" t="n">
        <f aca="false">E612*(1+IF(F$3&lt;=$O$2,$D612,$D612-($D612-$I$589)*MIN(F$3-$O$2,$Q$2)/$Q$2))</f>
        <v>9462.49646881575</v>
      </c>
      <c r="G612" s="15" t="n">
        <f aca="false">F612*(1+IF(G$3&lt;=$O$2,$D612,$D612-($D612-$I$589)*MIN(G$3-$O$2,$Q$2)/$Q$2))</f>
        <v>10402.2602407826</v>
      </c>
      <c r="H612" s="15" t="n">
        <f aca="false">G612*(1+IF(H$3&lt;=$O$2,$D612,$D612-($D612-$I$589)*MIN(H$3-$O$2,$Q$2)/$Q$2))</f>
        <v>11435.3562480652</v>
      </c>
      <c r="I612" s="15" t="n">
        <f aca="false">H612*(1+IF(I$3&lt;=$O$2,$D612,$D612-($D612-$I$589)*MIN(I$3-$O$2,$Q$2)/$Q$2))</f>
        <v>12571.0537415208</v>
      </c>
      <c r="J612" s="15" t="n">
        <f aca="false">I612*(1+IF(J$3&lt;=$O$2,$D612,$D612-($D612-$I$589)*MIN(J$3-$O$2,$Q$2)/$Q$2))</f>
        <v>13615.8548399373</v>
      </c>
      <c r="K612" s="15" t="n">
        <f aca="false">J612*(1+IF(K$3&lt;=$O$2,$D612,$D612-($D612-$I$589)*MIN(K$3-$O$2,$Q$2)/$Q$2))</f>
        <v>14526.87456202</v>
      </c>
      <c r="L612" s="15" t="n">
        <f aca="false">K612*(1+IF(L$3&lt;=$O$2,$D612,$D612-($D612-$I$589)*MIN(L$3-$O$2,$Q$2)/$Q$2))</f>
        <v>15263.4717674202</v>
      </c>
      <c r="M612" s="15" t="n">
        <f aca="false">L612*(1+IF(M$3&lt;=$O$2,$D612,$D612-($D612-$I$589)*MIN(M$3-$O$2,$Q$2)/$Q$2))</f>
        <v>15790.1060224563</v>
      </c>
      <c r="N612" s="15" t="n">
        <f aca="false">M612*(1+IF(N$3&lt;=$O$2,$D612,$D612-($D612-$I$589)*MIN(N$3-$O$2,$Q$2)/$Q$2))</f>
        <v>16079.0649626672</v>
      </c>
      <c r="O612" s="15" t="n">
        <f aca="false">SUMPRODUCT(E612:N612,1/(1+$F$589)^$E$3:$N$3)*$E$2</f>
        <v>21966.6409911735</v>
      </c>
      <c r="P612" s="15" t="n">
        <f aca="false">N612*$E$2*(1+$I$589)/($F$589-$I$589)/(1+$F$589)^$N$3</f>
        <v>26150.352376836</v>
      </c>
      <c r="Q612" s="15" t="n">
        <f aca="false">O612+P612</f>
        <v>48116.9933680095</v>
      </c>
      <c r="R612" s="15" t="n">
        <f aca="false">Q612-$G$2+$I$2</f>
        <v>45599.9933680095</v>
      </c>
      <c r="S612" s="42" t="n">
        <f aca="false">R612/$K$2</f>
        <v>105.25828301558</v>
      </c>
      <c r="T612" s="43" t="n">
        <f aca="false">S612-$M$2</f>
        <v>-1.53085972414146E-005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0.0993145704269409</v>
      </c>
      <c r="C613" s="25" t="n">
        <f aca="false">IF(T612&gt;0,D612,C612)</f>
        <v>0.0993149280548096</v>
      </c>
      <c r="D613" s="41" t="n">
        <f aca="false">(B613+C613)/2</f>
        <v>0.0993147492408752</v>
      </c>
      <c r="E613" s="15" t="n">
        <f aca="false">$C$2*(1+IF(E$3&lt;=$O$2,$D613,$D613-($D613-$I$589)*MIN(E$3-$O$2,$Q$2)/$Q$2))</f>
        <v>8607.63448655605</v>
      </c>
      <c r="F613" s="15" t="n">
        <f aca="false">E613*(1+IF(F$3&lt;=$O$2,$D613,$D613-($D613-$I$589)*MIN(F$3-$O$2,$Q$2)/$Q$2))</f>
        <v>9462.49954714548</v>
      </c>
      <c r="G613" s="15" t="n">
        <f aca="false">F613*(1+IF(G$3&lt;=$O$2,$D613,$D613-($D613-$I$589)*MIN(G$3-$O$2,$Q$2)/$Q$2))</f>
        <v>10402.2653168621</v>
      </c>
      <c r="H613" s="15" t="n">
        <f aca="false">G613*(1+IF(H$3&lt;=$O$2,$D613,$D613-($D613-$I$589)*MIN(H$3-$O$2,$Q$2)/$Q$2))</f>
        <v>11435.3636883433</v>
      </c>
      <c r="I613" s="15" t="n">
        <f aca="false">H613*(1+IF(I$3&lt;=$O$2,$D613,$D613-($D613-$I$589)*MIN(I$3-$O$2,$Q$2)/$Q$2))</f>
        <v>12571.0639655294</v>
      </c>
      <c r="J613" s="15" t="n">
        <f aca="false">I613*(1+IF(J$3&lt;=$O$2,$D613,$D613-($D613-$I$589)*MIN(J$3-$O$2,$Q$2)/$Q$2))</f>
        <v>13615.8677119853</v>
      </c>
      <c r="K613" s="15" t="n">
        <f aca="false">J613*(1+IF(K$3&lt;=$O$2,$D613,$D613-($D613-$I$589)*MIN(K$3-$O$2,$Q$2)/$Q$2))</f>
        <v>14526.8897561446</v>
      </c>
      <c r="L613" s="15" t="n">
        <f aca="false">K613*(1+IF(L$3&lt;=$O$2,$D613,$D613-($D613-$I$589)*MIN(L$3-$O$2,$Q$2)/$Q$2))</f>
        <v>15263.4887710196</v>
      </c>
      <c r="M613" s="15" t="n">
        <f aca="false">L613*(1+IF(M$3&lt;=$O$2,$D613,$D613-($D613-$I$589)*MIN(M$3-$O$2,$Q$2)/$Q$2))</f>
        <v>15790.1241585943</v>
      </c>
      <c r="N613" s="15" t="n">
        <f aca="false">M613*(1+IF(N$3&lt;=$O$2,$D613,$D613-($D613-$I$589)*MIN(N$3-$O$2,$Q$2)/$Q$2))</f>
        <v>16079.0834306966</v>
      </c>
      <c r="O613" s="15" t="n">
        <f aca="false">SUMPRODUCT(E613:N613,1/(1+$F$589)^$E$3:$N$3)*$E$2</f>
        <v>21966.6579661941</v>
      </c>
      <c r="P613" s="15" t="n">
        <f aca="false">N613*$E$2*(1+$I$589)/($F$589-$I$589)/(1+$F$589)^$N$3</f>
        <v>26150.3824125051</v>
      </c>
      <c r="Q613" s="15" t="n">
        <f aca="false">O613+P613</f>
        <v>48117.0403786992</v>
      </c>
      <c r="R613" s="15" t="n">
        <f aca="false">Q613-$G$2+$I$2</f>
        <v>45600.0403786992</v>
      </c>
      <c r="S613" s="42" t="n">
        <f aca="false">R613/$K$2</f>
        <v>105.258391530168</v>
      </c>
      <c r="T613" s="43" t="n">
        <f aca="false">S613-$M$2</f>
        <v>9.32059905238702E-005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0.0993145704269409</v>
      </c>
      <c r="C614" s="25" t="n">
        <f aca="false">IF(T613&gt;0,D613,C613)</f>
        <v>0.0993147492408752</v>
      </c>
      <c r="D614" s="41" t="n">
        <f aca="false">(B614+C614)/2</f>
        <v>0.0993146598339081</v>
      </c>
      <c r="E614" s="15" t="n">
        <f aca="false">$C$2*(1+IF(E$3&lt;=$O$2,$D614,$D614-($D614-$I$589)*MIN(E$3-$O$2,$Q$2)/$Q$2))</f>
        <v>8607.6337864995</v>
      </c>
      <c r="F614" s="15" t="n">
        <f aca="false">E614*(1+IF(F$3&lt;=$O$2,$D614,$D614-($D614-$I$589)*MIN(F$3-$O$2,$Q$2)/$Q$2))</f>
        <v>9462.49800798055</v>
      </c>
      <c r="G614" s="15" t="n">
        <f aca="false">F614*(1+IF(G$3&lt;=$O$2,$D614,$D614-($D614-$I$589)*MIN(G$3-$O$2,$Q$2)/$Q$2))</f>
        <v>10402.2627788222</v>
      </c>
      <c r="H614" s="15" t="n">
        <f aca="false">G614*(1+IF(H$3&lt;=$O$2,$D614,$D614-($D614-$I$589)*MIN(H$3-$O$2,$Q$2)/$Q$2))</f>
        <v>11435.3599682038</v>
      </c>
      <c r="I614" s="15" t="n">
        <f aca="false">H614*(1+IF(I$3&lt;=$O$2,$D614,$D614-($D614-$I$589)*MIN(I$3-$O$2,$Q$2)/$Q$2))</f>
        <v>12571.0588535243</v>
      </c>
      <c r="J614" s="15" t="n">
        <f aca="false">I614*(1+IF(J$3&lt;=$O$2,$D614,$D614-($D614-$I$589)*MIN(J$3-$O$2,$Q$2)/$Q$2))</f>
        <v>13615.86127596</v>
      </c>
      <c r="K614" s="15" t="n">
        <f aca="false">J614*(1+IF(K$3&lt;=$O$2,$D614,$D614-($D614-$I$589)*MIN(K$3-$O$2,$Q$2)/$Q$2))</f>
        <v>14526.8821590806</v>
      </c>
      <c r="L614" s="15" t="n">
        <f aca="false">K614*(1+IF(L$3&lt;=$O$2,$D614,$D614-($D614-$I$589)*MIN(L$3-$O$2,$Q$2)/$Q$2))</f>
        <v>15263.4802692179</v>
      </c>
      <c r="M614" s="15" t="n">
        <f aca="false">L614*(1+IF(M$3&lt;=$O$2,$D614,$D614-($D614-$I$589)*MIN(M$3-$O$2,$Q$2)/$Q$2))</f>
        <v>15790.115090523</v>
      </c>
      <c r="N614" s="15" t="n">
        <f aca="false">M614*(1+IF(N$3&lt;=$O$2,$D614,$D614-($D614-$I$589)*MIN(N$3-$O$2,$Q$2)/$Q$2))</f>
        <v>16079.0741966796</v>
      </c>
      <c r="O614" s="15" t="n">
        <f aca="false">SUMPRODUCT(E614:N614,1/(1+$F$589)^$E$3:$N$3)*$E$2</f>
        <v>21966.6494786822</v>
      </c>
      <c r="P614" s="15" t="n">
        <f aca="false">N614*$E$2*(1+$I$589)/($F$589-$I$589)/(1+$F$589)^$N$3</f>
        <v>26150.3673946668</v>
      </c>
      <c r="Q614" s="15" t="n">
        <f aca="false">O614+P614</f>
        <v>48117.016873349</v>
      </c>
      <c r="R614" s="15" t="n">
        <f aca="false">Q614-$G$2+$I$2</f>
        <v>45600.016873349</v>
      </c>
      <c r="S614" s="42" t="n">
        <f aca="false">R614/$K$2</f>
        <v>105.258337272861</v>
      </c>
      <c r="T614" s="43" t="n">
        <f aca="false">S614-$M$2</f>
        <v>3.89486841783082E-005</v>
      </c>
    </row>
    <row r="616" customFormat="false" ht="15" hidden="false" customHeight="false" outlineLevel="0" collapsed="false">
      <c r="A616" s="38" t="s">
        <v>194</v>
      </c>
      <c r="E616" s="5" t="s">
        <v>11</v>
      </c>
      <c r="F616" s="12" t="n">
        <f aca="false">Sensitivity!$B$14</f>
        <v>0.0921529104257703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153</v>
      </c>
      <c r="B617" s="28" t="s">
        <v>154</v>
      </c>
      <c r="C617" s="28" t="s">
        <v>155</v>
      </c>
      <c r="D617" s="28" t="s">
        <v>156</v>
      </c>
      <c r="E617" s="28" t="s">
        <v>157</v>
      </c>
      <c r="F617" s="28" t="s">
        <v>158</v>
      </c>
      <c r="G617" s="28" t="s">
        <v>159</v>
      </c>
      <c r="H617" s="28" t="s">
        <v>160</v>
      </c>
      <c r="I617" s="28" t="s">
        <v>161</v>
      </c>
      <c r="J617" s="28" t="s">
        <v>162</v>
      </c>
      <c r="K617" s="28" t="s">
        <v>163</v>
      </c>
      <c r="L617" s="28" t="s">
        <v>164</v>
      </c>
      <c r="M617" s="28" t="s">
        <v>165</v>
      </c>
      <c r="N617" s="28" t="s">
        <v>166</v>
      </c>
      <c r="O617" s="28" t="s">
        <v>167</v>
      </c>
      <c r="P617" s="28" t="s">
        <v>168</v>
      </c>
      <c r="Q617" s="28" t="s">
        <v>169</v>
      </c>
      <c r="R617" s="28" t="s">
        <v>170</v>
      </c>
      <c r="S617" s="28" t="s">
        <v>171</v>
      </c>
      <c r="T617" s="28" t="s">
        <v>172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9787.5</v>
      </c>
      <c r="F618" s="15" t="n">
        <f aca="false">E618*(1+IF(F$3&lt;=$O$2,$D618,$D618-($D618-$I$616)*MIN(F$3-$O$2,$Q$2)/$Q$2))</f>
        <v>12234.375</v>
      </c>
      <c r="G618" s="15" t="n">
        <f aca="false">F618*(1+IF(G$3&lt;=$O$2,$D618,$D618-($D618-$I$616)*MIN(G$3-$O$2,$Q$2)/$Q$2))</f>
        <v>15292.96875</v>
      </c>
      <c r="H618" s="15" t="n">
        <f aca="false">G618*(1+IF(H$3&lt;=$O$2,$D618,$D618-($D618-$I$616)*MIN(H$3-$O$2,$Q$2)/$Q$2))</f>
        <v>19116.2109375</v>
      </c>
      <c r="I618" s="15" t="n">
        <f aca="false">H618*(1+IF(I$3&lt;=$O$2,$D618,$D618-($D618-$I$616)*MIN(I$3-$O$2,$Q$2)/$Q$2))</f>
        <v>23895.263671875</v>
      </c>
      <c r="J618" s="15" t="n">
        <f aca="false">I618*(1+IF(J$3&lt;=$O$2,$D618,$D618-($D618-$I$616)*MIN(J$3-$O$2,$Q$2)/$Q$2))</f>
        <v>28785.6683349609</v>
      </c>
      <c r="K618" s="15" t="n">
        <f aca="false">J618*(1+IF(K$3&lt;=$O$2,$D618,$D618-($D618-$I$616)*MIN(K$3-$O$2,$Q$2)/$Q$2))</f>
        <v>33371.8010140869</v>
      </c>
      <c r="L618" s="15" t="n">
        <f aca="false">K618*(1+IF(L$3&lt;=$O$2,$D618,$D618-($D618-$I$616)*MIN(L$3-$O$2,$Q$2)/$Q$2))</f>
        <v>37175.5188936725</v>
      </c>
      <c r="M618" s="15" t="n">
        <f aca="false">L618*(1+IF(M$3&lt;=$O$2,$D618,$D618-($D618-$I$616)*MIN(M$3-$O$2,$Q$2)/$Q$2))</f>
        <v>39727.2465105342</v>
      </c>
      <c r="N618" s="15" t="n">
        <f aca="false">M618*(1+IF(N$3&lt;=$O$2,$D618,$D618-($D618-$I$616)*MIN(N$3-$O$2,$Q$2)/$Q$2))</f>
        <v>40652.8913542297</v>
      </c>
      <c r="O618" s="15" t="n">
        <f aca="false">SUMPRODUCT(E618:N618,1/(1+$F$616)^$E$3:$N$3)*$E$2</f>
        <v>42125.0136002084</v>
      </c>
      <c r="P618" s="15" t="n">
        <f aca="false">N618*$E$2*(1+$I$616)/($F$616-$I$616)/(1+$F$616)^$N$3</f>
        <v>71265.7298758296</v>
      </c>
      <c r="Q618" s="15" t="n">
        <f aca="false">O618+P618</f>
        <v>113390.743476038</v>
      </c>
      <c r="R618" s="15" t="n">
        <f aca="false">Q618-$G$2+$I$2</f>
        <v>110873.743476038</v>
      </c>
      <c r="S618" s="42" t="n">
        <f aca="false">R618/$K$2</f>
        <v>255.929420331559</v>
      </c>
      <c r="T618" s="43" t="n">
        <f aca="false">S618-$M$2</f>
        <v>150.671122007382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6851.25</v>
      </c>
      <c r="F619" s="15" t="n">
        <f aca="false">E619*(1+IF(F$3&lt;=$O$2,$D619,$D619-($D619-$I$616)*MIN(F$3-$O$2,$Q$2)/$Q$2))</f>
        <v>5994.84375</v>
      </c>
      <c r="G619" s="15" t="n">
        <f aca="false">F619*(1+IF(G$3&lt;=$O$2,$D619,$D619-($D619-$I$616)*MIN(G$3-$O$2,$Q$2)/$Q$2))</f>
        <v>5245.48828125</v>
      </c>
      <c r="H619" s="15" t="n">
        <f aca="false">G619*(1+IF(H$3&lt;=$O$2,$D619,$D619-($D619-$I$616)*MIN(H$3-$O$2,$Q$2)/$Q$2))</f>
        <v>4589.80224609375</v>
      </c>
      <c r="I619" s="15" t="n">
        <f aca="false">H619*(1+IF(I$3&lt;=$O$2,$D619,$D619-($D619-$I$616)*MIN(I$3-$O$2,$Q$2)/$Q$2))</f>
        <v>4016.07696533203</v>
      </c>
      <c r="J619" s="15" t="n">
        <f aca="false">I619*(1+IF(J$3&lt;=$O$2,$D619,$D619-($D619-$I$616)*MIN(J$3-$O$2,$Q$2)/$Q$2))</f>
        <v>3633.18418745728</v>
      </c>
      <c r="K619" s="15" t="n">
        <f aca="false">J619*(1+IF(K$3&lt;=$O$2,$D619,$D619-($D619-$I$616)*MIN(K$3-$O$2,$Q$2)/$Q$2))</f>
        <v>3394.55665002508</v>
      </c>
      <c r="L619" s="15" t="n">
        <f aca="false">K619*(1+IF(L$3&lt;=$O$2,$D619,$D619-($D619-$I$616)*MIN(L$3-$O$2,$Q$2)/$Q$2))</f>
        <v>3272.28471949118</v>
      </c>
      <c r="M619" s="15" t="n">
        <f aca="false">L619*(1+IF(M$3&lt;=$O$2,$D619,$D619-($D619-$I$616)*MIN(M$3-$O$2,$Q$2)/$Q$2))</f>
        <v>3251.47298867521</v>
      </c>
      <c r="N619" s="15" t="n">
        <f aca="false">M619*(1+IF(N$3&lt;=$O$2,$D619,$D619-($D619-$I$616)*MIN(N$3-$O$2,$Q$2)/$Q$2))</f>
        <v>3327.23230931135</v>
      </c>
      <c r="O619" s="15" t="n">
        <f aca="false">SUMPRODUCT(E619:N619,1/(1+$F$616)^$E$3:$N$3)*$E$2</f>
        <v>8422.64474889507</v>
      </c>
      <c r="P619" s="15" t="n">
        <f aca="false">N619*$E$2*(1+$I$616)/($F$616-$I$616)/(1+$F$616)^$N$3</f>
        <v>5832.7373795725</v>
      </c>
      <c r="Q619" s="15" t="n">
        <f aca="false">O619+P619</f>
        <v>14255.3821284676</v>
      </c>
      <c r="R619" s="15" t="n">
        <f aca="false">Q619-$G$2+$I$2</f>
        <v>11738.3821284676</v>
      </c>
      <c r="S619" s="42" t="n">
        <f aca="false">R619/$K$2</f>
        <v>27.0956607000313</v>
      </c>
      <c r="T619" s="43" t="n">
        <f aca="false">S619-$M$2</f>
        <v>-78.1626376241458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8319.375</v>
      </c>
      <c r="F620" s="15" t="n">
        <f aca="false">E620*(1+IF(F$3&lt;=$O$2,$D620,$D620-($D620-$I$616)*MIN(F$3-$O$2,$Q$2)/$Q$2))</f>
        <v>8839.3359375</v>
      </c>
      <c r="G620" s="15" t="n">
        <f aca="false">F620*(1+IF(G$3&lt;=$O$2,$D620,$D620-($D620-$I$616)*MIN(G$3-$O$2,$Q$2)/$Q$2))</f>
        <v>9391.79443359375</v>
      </c>
      <c r="H620" s="15" t="n">
        <f aca="false">G620*(1+IF(H$3&lt;=$O$2,$D620,$D620-($D620-$I$616)*MIN(H$3-$O$2,$Q$2)/$Q$2))</f>
        <v>9978.78158569336</v>
      </c>
      <c r="I620" s="15" t="n">
        <f aca="false">H620*(1+IF(I$3&lt;=$O$2,$D620,$D620-($D620-$I$616)*MIN(I$3-$O$2,$Q$2)/$Q$2))</f>
        <v>10602.4554347992</v>
      </c>
      <c r="J620" s="15" t="n">
        <f aca="false">I620*(1+IF(J$3&lt;=$O$2,$D620,$D620-($D620-$I$616)*MIN(J$3-$O$2,$Q$2)/$Q$2))</f>
        <v>11181.9856488653</v>
      </c>
      <c r="K620" s="15" t="n">
        <f aca="false">J620*(1+IF(K$3&lt;=$O$2,$D620,$D620-($D620-$I$616)*MIN(K$3-$O$2,$Q$2)/$Q$2))</f>
        <v>11705.5262169452</v>
      </c>
      <c r="L620" s="15" t="n">
        <f aca="false">K620*(1+IF(L$3&lt;=$O$2,$D620,$D620-($D620-$I$616)*MIN(L$3-$O$2,$Q$2)/$Q$2))</f>
        <v>12161.8076288817</v>
      </c>
      <c r="M620" s="15" t="n">
        <f aca="false">L620*(1+IF(M$3&lt;=$O$2,$D620,$D620-($D620-$I$616)*MIN(M$3-$O$2,$Q$2)/$Q$2))</f>
        <v>12540.5263184451</v>
      </c>
      <c r="N620" s="15" t="n">
        <f aca="false">M620*(1+IF(N$3&lt;=$O$2,$D620,$D620-($D620-$I$616)*MIN(N$3-$O$2,$Q$2)/$Q$2))</f>
        <v>12832.7205816649</v>
      </c>
      <c r="O620" s="15" t="n">
        <f aca="false">SUMPRODUCT(E620:N620,1/(1+$F$616)^$E$3:$N$3)*$E$2</f>
        <v>18789.4903524285</v>
      </c>
      <c r="P620" s="15" t="n">
        <f aca="false">N620*$E$2*(1+$I$616)/($F$616-$I$616)/(1+$F$616)^$N$3</f>
        <v>22496.1415554954</v>
      </c>
      <c r="Q620" s="15" t="n">
        <f aca="false">O620+P620</f>
        <v>41285.631907924</v>
      </c>
      <c r="R620" s="15" t="n">
        <f aca="false">Q620-$G$2+$I$2</f>
        <v>38768.631907924</v>
      </c>
      <c r="S620" s="42" t="n">
        <f aca="false">R620/$K$2</f>
        <v>89.4894785742209</v>
      </c>
      <c r="T620" s="43" t="n">
        <f aca="false">S620-$M$2</f>
        <v>-15.7688197499563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9053.4375</v>
      </c>
      <c r="F621" s="15" t="n">
        <f aca="false">E621*(1+IF(F$3&lt;=$O$2,$D621,$D621-($D621-$I$616)*MIN(F$3-$O$2,$Q$2)/$Q$2))</f>
        <v>10468.037109375</v>
      </c>
      <c r="G621" s="15" t="n">
        <f aca="false">F621*(1+IF(G$3&lt;=$O$2,$D621,$D621-($D621-$I$616)*MIN(G$3-$O$2,$Q$2)/$Q$2))</f>
        <v>12103.6679077148</v>
      </c>
      <c r="H621" s="15" t="n">
        <f aca="false">G621*(1+IF(H$3&lt;=$O$2,$D621,$D621-($D621-$I$616)*MIN(H$3-$O$2,$Q$2)/$Q$2))</f>
        <v>13994.8660182953</v>
      </c>
      <c r="I621" s="15" t="n">
        <f aca="false">H621*(1+IF(I$3&lt;=$O$2,$D621,$D621-($D621-$I$616)*MIN(I$3-$O$2,$Q$2)/$Q$2))</f>
        <v>16181.5638336539</v>
      </c>
      <c r="J621" s="15" t="n">
        <f aca="false">I621*(1+IF(J$3&lt;=$O$2,$D621,$D621-($D621-$I$616)*MIN(J$3-$O$2,$Q$2)/$Q$2))</f>
        <v>18279.6654003255</v>
      </c>
      <c r="K621" s="15" t="n">
        <f aca="false">J621*(1+IF(K$3&lt;=$O$2,$D621,$D621-($D621-$I$616)*MIN(K$3-$O$2,$Q$2)/$Q$2))</f>
        <v>20163.750513137</v>
      </c>
      <c r="L621" s="15" t="n">
        <f aca="false">K621*(1+IF(L$3&lt;=$O$2,$D621,$D621-($D621-$I$616)*MIN(L$3-$O$2,$Q$2)/$Q$2))</f>
        <v>21705.8741523818</v>
      </c>
      <c r="M621" s="15" t="n">
        <f aca="false">L621*(1+IF(M$3&lt;=$O$2,$D621,$D621-($D621-$I$616)*MIN(M$3-$O$2,$Q$2)/$Q$2))</f>
        <v>22788.7802138441</v>
      </c>
      <c r="N621" s="15" t="n">
        <f aca="false">M621*(1+IF(N$3&lt;=$O$2,$D621,$D621-($D621-$I$616)*MIN(N$3-$O$2,$Q$2)/$Q$2))</f>
        <v>23319.7587928267</v>
      </c>
      <c r="O621" s="15" t="n">
        <f aca="false">SUMPRODUCT(E621:N621,1/(1+$F$616)^$E$3:$N$3)*$E$2</f>
        <v>28179.9416169752</v>
      </c>
      <c r="P621" s="15" t="n">
        <f aca="false">N621*$E$2*(1+$I$616)/($F$616-$I$616)/(1+$F$616)^$N$3</f>
        <v>40880.2320213363</v>
      </c>
      <c r="Q621" s="15" t="n">
        <f aca="false">O621+P621</f>
        <v>69060.1736383115</v>
      </c>
      <c r="R621" s="15" t="n">
        <f aca="false">Q621-$G$2+$I$2</f>
        <v>66543.1736383115</v>
      </c>
      <c r="S621" s="42" t="n">
        <f aca="false">R621/$K$2</f>
        <v>153.601342593397</v>
      </c>
      <c r="T621" s="43" t="n">
        <f aca="false">S621-$M$2</f>
        <v>48.3430442692201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8686.40625</v>
      </c>
      <c r="F622" s="15" t="n">
        <f aca="false">E622*(1+IF(F$3&lt;=$O$2,$D622,$D622-($D622-$I$616)*MIN(F$3-$O$2,$Q$2)/$Q$2))</f>
        <v>9636.48193359375</v>
      </c>
      <c r="G622" s="15" t="n">
        <f aca="false">F622*(1+IF(G$3&lt;=$O$2,$D622,$D622-($D622-$I$616)*MIN(G$3-$O$2,$Q$2)/$Q$2))</f>
        <v>10690.4721450806</v>
      </c>
      <c r="H622" s="15" t="n">
        <f aca="false">G622*(1+IF(H$3&lt;=$O$2,$D622,$D622-($D622-$I$616)*MIN(H$3-$O$2,$Q$2)/$Q$2))</f>
        <v>11859.7425359488</v>
      </c>
      <c r="I622" s="15" t="n">
        <f aca="false">H622*(1+IF(I$3&lt;=$O$2,$D622,$D622-($D622-$I$616)*MIN(I$3-$O$2,$Q$2)/$Q$2))</f>
        <v>13156.9018758181</v>
      </c>
      <c r="J622" s="15" t="n">
        <f aca="false">I622*(1+IF(J$3&lt;=$O$2,$D622,$D622-($D622-$I$616)*MIN(J$3-$O$2,$Q$2)/$Q$2))</f>
        <v>14369.4419526935</v>
      </c>
      <c r="K622" s="15" t="n">
        <f aca="false">J622*(1+IF(K$3&lt;=$O$2,$D622,$D622-($D622-$I$616)*MIN(K$3-$O$2,$Q$2)/$Q$2))</f>
        <v>15446.3597798382</v>
      </c>
      <c r="L622" s="15" t="n">
        <f aca="false">K622*(1+IF(L$3&lt;=$O$2,$D622,$D622-($D622-$I$616)*MIN(L$3-$O$2,$Q$2)/$Q$2))</f>
        <v>16338.0781299282</v>
      </c>
      <c r="M622" s="15" t="n">
        <f aca="false">L622*(1+IF(M$3&lt;=$O$2,$D622,$D622-($D622-$I$616)*MIN(M$3-$O$2,$Q$2)/$Q$2))</f>
        <v>17000.0153653623</v>
      </c>
      <c r="N622" s="15" t="n">
        <f aca="false">M622*(1+IF(N$3&lt;=$O$2,$D622,$D622-($D622-$I$616)*MIN(N$3-$O$2,$Q$2)/$Q$2))</f>
        <v>17396.1157233752</v>
      </c>
      <c r="O622" s="15" t="n">
        <f aca="false">SUMPRODUCT(E622:N622,1/(1+$F$616)^$E$3:$N$3)*$E$2</f>
        <v>23014.2209552013</v>
      </c>
      <c r="P622" s="15" t="n">
        <f aca="false">N622*$E$2*(1+$I$616)/($F$616-$I$616)/(1+$F$616)^$N$3</f>
        <v>30495.9092141362</v>
      </c>
      <c r="Q622" s="15" t="n">
        <f aca="false">O622+P622</f>
        <v>53510.1301693375</v>
      </c>
      <c r="R622" s="15" t="n">
        <f aca="false">Q622-$G$2+$I$2</f>
        <v>50993.1301693375</v>
      </c>
      <c r="S622" s="42" t="n">
        <f aca="false">R622/$K$2</f>
        <v>117.707239207187</v>
      </c>
      <c r="T622" s="43" t="n">
        <f aca="false">S622-$M$2</f>
        <v>12.4489408830098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8502.890625</v>
      </c>
      <c r="F623" s="15" t="n">
        <f aca="false">E623*(1+IF(F$3&lt;=$O$2,$D623,$D623-($D623-$I$616)*MIN(F$3-$O$2,$Q$2)/$Q$2))</f>
        <v>9233.60778808594</v>
      </c>
      <c r="G623" s="15" t="n">
        <f aca="false">F623*(1+IF(G$3&lt;=$O$2,$D623,$D623-($D623-$I$616)*MIN(G$3-$O$2,$Q$2)/$Q$2))</f>
        <v>10027.1209573746</v>
      </c>
      <c r="H623" s="15" t="n">
        <f aca="false">G623*(1+IF(H$3&lt;=$O$2,$D623,$D623-($D623-$I$616)*MIN(H$3-$O$2,$Q$2)/$Q$2))</f>
        <v>10888.826664649</v>
      </c>
      <c r="I623" s="15" t="n">
        <f aca="false">H623*(1+IF(I$3&lt;=$O$2,$D623,$D623-($D623-$I$616)*MIN(I$3-$O$2,$Q$2)/$Q$2))</f>
        <v>11824.5852061422</v>
      </c>
      <c r="J623" s="15" t="n">
        <f aca="false">I623*(1+IF(J$3&lt;=$O$2,$D623,$D623-($D623-$I$616)*MIN(J$3-$O$2,$Q$2)/$Q$2))</f>
        <v>12692.6280061251</v>
      </c>
      <c r="K623" s="15" t="n">
        <f aca="false">J623*(1+IF(K$3&lt;=$O$2,$D623,$D623-($D623-$I$616)*MIN(K$3-$O$2,$Q$2)/$Q$2))</f>
        <v>13465.386930708</v>
      </c>
      <c r="L623" s="15" t="n">
        <f aca="false">K623*(1+IF(L$3&lt;=$O$2,$D623,$D623-($D623-$I$616)*MIN(L$3-$O$2,$Q$2)/$Q$2))</f>
        <v>14116.5057157424</v>
      </c>
      <c r="M623" s="15" t="n">
        <f aca="false">L623*(1+IF(M$3&lt;=$O$2,$D623,$D623-($D623-$I$616)*MIN(M$3-$O$2,$Q$2)/$Q$2))</f>
        <v>14622.2648242732</v>
      </c>
      <c r="N623" s="15" t="n">
        <f aca="false">M623*(1+IF(N$3&lt;=$O$2,$D623,$D623-($D623-$I$616)*MIN(N$3-$O$2,$Q$2)/$Q$2))</f>
        <v>14962.9635946787</v>
      </c>
      <c r="O623" s="15" t="n">
        <f aca="false">SUMPRODUCT(E623:N623,1/(1+$F$616)^$E$3:$N$3)*$E$2</f>
        <v>20794.9388848578</v>
      </c>
      <c r="P623" s="15" t="n">
        <f aca="false">N623*$E$2*(1+$I$616)/($F$616-$I$616)/(1+$F$616)^$N$3</f>
        <v>26230.5210320373</v>
      </c>
      <c r="Q623" s="15" t="n">
        <f aca="false">O623+P623</f>
        <v>47025.459916895</v>
      </c>
      <c r="R623" s="15" t="n">
        <f aca="false">Q623-$G$2+$I$2</f>
        <v>44508.459916895</v>
      </c>
      <c r="S623" s="42" t="n">
        <f aca="false">R623/$K$2</f>
        <v>102.738700699171</v>
      </c>
      <c r="T623" s="43" t="n">
        <f aca="false">S623-$M$2</f>
        <v>-2.5195976250057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0.0859375</v>
      </c>
      <c r="C624" s="25" t="n">
        <f aca="false">IF(T623&gt;0,D623,C623)</f>
        <v>0.109375</v>
      </c>
      <c r="D624" s="41" t="n">
        <f aca="false">(B624+C624)/2</f>
        <v>0.09765625</v>
      </c>
      <c r="E624" s="15" t="n">
        <f aca="false">$C$2*(1+IF(E$3&lt;=$O$2,$D624,$D624-($D624-$I$616)*MIN(E$3-$O$2,$Q$2)/$Q$2))</f>
        <v>8594.6484375</v>
      </c>
      <c r="F624" s="15" t="n">
        <f aca="false">E624*(1+IF(F$3&lt;=$O$2,$D624,$D624-($D624-$I$616)*MIN(F$3-$O$2,$Q$2)/$Q$2))</f>
        <v>9433.96957397461</v>
      </c>
      <c r="G624" s="15" t="n">
        <f aca="false">F624*(1+IF(G$3&lt;=$O$2,$D624,$D624-($D624-$I$616)*MIN(G$3-$O$2,$Q$2)/$Q$2))</f>
        <v>10355.2556651831</v>
      </c>
      <c r="H624" s="15" t="n">
        <f aca="false">G624*(1+IF(H$3&lt;=$O$2,$D624,$D624-($D624-$I$616)*MIN(H$3-$O$2,$Q$2)/$Q$2))</f>
        <v>11366.5111012361</v>
      </c>
      <c r="I624" s="15" t="n">
        <f aca="false">H624*(1+IF(I$3&lt;=$O$2,$D624,$D624-($D624-$I$616)*MIN(I$3-$O$2,$Q$2)/$Q$2))</f>
        <v>12476.5219509662</v>
      </c>
      <c r="J624" s="15" t="n">
        <f aca="false">I624*(1+IF(J$3&lt;=$O$2,$D624,$D624-($D624-$I$616)*MIN(J$3-$O$2,$Q$2)/$Q$2))</f>
        <v>13509.3908206769</v>
      </c>
      <c r="K624" s="15" t="n">
        <f aca="false">J624*(1+IF(K$3&lt;=$O$2,$D624,$D624-($D624-$I$616)*MIN(K$3-$O$2,$Q$2)/$Q$2))</f>
        <v>14426.8642115247</v>
      </c>
      <c r="L624" s="15" t="n">
        <f aca="false">K624*(1+IF(L$3&lt;=$O$2,$D624,$D624-($D624-$I$616)*MIN(L$3-$O$2,$Q$2)/$Q$2))</f>
        <v>15192.1011564645</v>
      </c>
      <c r="M624" s="15" t="n">
        <f aca="false">L624*(1+IF(M$3&lt;=$O$2,$D624,$D624-($D624-$I$616)*MIN(M$3-$O$2,$Q$2)/$Q$2))</f>
        <v>15772.0026477332</v>
      </c>
      <c r="N624" s="15" t="n">
        <f aca="false">M624*(1+IF(N$3&lt;=$O$2,$D624,$D624-($D624-$I$616)*MIN(N$3-$O$2,$Q$2)/$Q$2))</f>
        <v>16139.4903094254</v>
      </c>
      <c r="O624" s="15" t="n">
        <f aca="false">SUMPRODUCT(E624:N624,1/(1+$F$616)^$E$3:$N$3)*$E$2</f>
        <v>21876.5797145603</v>
      </c>
      <c r="P624" s="15" t="n">
        <f aca="false">N624*$E$2*(1+$I$616)/($F$616-$I$616)/(1+$F$616)^$N$3</f>
        <v>28293.0074198869</v>
      </c>
      <c r="Q624" s="15" t="n">
        <f aca="false">O624+P624</f>
        <v>50169.5871344472</v>
      </c>
      <c r="R624" s="15" t="n">
        <f aca="false">Q624-$G$2+$I$2</f>
        <v>47652.5871344472</v>
      </c>
      <c r="S624" s="42" t="n">
        <f aca="false">R624/$K$2</f>
        <v>109.99627702887</v>
      </c>
      <c r="T624" s="43" t="n">
        <f aca="false">S624-$M$2</f>
        <v>4.73797870469321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0.0859375</v>
      </c>
      <c r="C625" s="25" t="n">
        <f aca="false">IF(T624&gt;0,D624,C624)</f>
        <v>0.09765625</v>
      </c>
      <c r="D625" s="41" t="n">
        <f aca="false">(B625+C625)/2</f>
        <v>0.091796875</v>
      </c>
      <c r="E625" s="15" t="n">
        <f aca="false">$C$2*(1+IF(E$3&lt;=$O$2,$D625,$D625-($D625-$I$616)*MIN(E$3-$O$2,$Q$2)/$Q$2))</f>
        <v>8548.76953125</v>
      </c>
      <c r="F625" s="15" t="n">
        <f aca="false">E625*(1+IF(F$3&lt;=$O$2,$D625,$D625-($D625-$I$616)*MIN(F$3-$O$2,$Q$2)/$Q$2))</f>
        <v>9333.51985931397</v>
      </c>
      <c r="G625" s="15" t="n">
        <f aca="false">F625*(1+IF(G$3&lt;=$O$2,$D625,$D625-($D625-$I$616)*MIN(G$3-$O$2,$Q$2)/$Q$2))</f>
        <v>10190.3078151494</v>
      </c>
      <c r="H625" s="15" t="n">
        <f aca="false">G625*(1+IF(H$3&lt;=$O$2,$D625,$D625-($D625-$I$616)*MIN(H$3-$O$2,$Q$2)/$Q$2))</f>
        <v>11125.7462278682</v>
      </c>
      <c r="I625" s="15" t="n">
        <f aca="false">H625*(1+IF(I$3&lt;=$O$2,$D625,$D625-($D625-$I$616)*MIN(I$3-$O$2,$Q$2)/$Q$2))</f>
        <v>12147.0549636296</v>
      </c>
      <c r="J625" s="15" t="n">
        <f aca="false">I625*(1+IF(J$3&lt;=$O$2,$D625,$D625-($D625-$I$616)*MIN(J$3-$O$2,$Q$2)/$Q$2))</f>
        <v>13095.7095886516</v>
      </c>
      <c r="K625" s="15" t="n">
        <f aca="false">J625*(1+IF(K$3&lt;=$O$2,$D625,$D625-($D625-$I$616)*MIN(K$3-$O$2,$Q$2)/$Q$2))</f>
        <v>13939.0487317053</v>
      </c>
      <c r="L625" s="15" t="n">
        <f aca="false">K625*(1+IF(L$3&lt;=$O$2,$D625,$D625-($D625-$I$616)*MIN(L$3-$O$2,$Q$2)/$Q$2))</f>
        <v>14645.7410785919</v>
      </c>
      <c r="M625" s="15" t="n">
        <f aca="false">L625*(1+IF(M$3&lt;=$O$2,$D625,$D625-($D625-$I$616)*MIN(M$3-$O$2,$Q$2)/$Q$2))</f>
        <v>15187.6243449116</v>
      </c>
      <c r="N625" s="15" t="n">
        <f aca="false">M625*(1+IF(N$3&lt;=$O$2,$D625,$D625-($D625-$I$616)*MIN(N$3-$O$2,$Q$2)/$Q$2))</f>
        <v>15541.495992148</v>
      </c>
      <c r="O625" s="15" t="n">
        <f aca="false">SUMPRODUCT(E625:N625,1/(1+$F$616)^$E$3:$N$3)*$E$2</f>
        <v>21328.9221811922</v>
      </c>
      <c r="P625" s="15" t="n">
        <f aca="false">N625*$E$2*(1+$I$616)/($F$616-$I$616)/(1+$F$616)^$N$3</f>
        <v>27244.7055632975</v>
      </c>
      <c r="Q625" s="15" t="n">
        <f aca="false">O625+P625</f>
        <v>48573.6277444897</v>
      </c>
      <c r="R625" s="15" t="n">
        <f aca="false">Q625-$G$2+$I$2</f>
        <v>46056.6277444897</v>
      </c>
      <c r="S625" s="42" t="n">
        <f aca="false">R625/$K$2</f>
        <v>106.312330327523</v>
      </c>
      <c r="T625" s="43" t="n">
        <f aca="false">S625-$M$2</f>
        <v>1.05403200334629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0.0859375</v>
      </c>
      <c r="C626" s="25" t="n">
        <f aca="false">IF(T625&gt;0,D625,C625)</f>
        <v>0.091796875</v>
      </c>
      <c r="D626" s="41" t="n">
        <f aca="false">(B626+C626)/2</f>
        <v>0.0888671875</v>
      </c>
      <c r="E626" s="15" t="n">
        <f aca="false">$C$2*(1+IF(E$3&lt;=$O$2,$D626,$D626-($D626-$I$616)*MIN(E$3-$O$2,$Q$2)/$Q$2))</f>
        <v>8525.830078125</v>
      </c>
      <c r="F626" s="15" t="n">
        <f aca="false">E626*(1+IF(F$3&lt;=$O$2,$D626,$D626-($D626-$I$616)*MIN(F$3-$O$2,$Q$2)/$Q$2))</f>
        <v>9283.49661827087</v>
      </c>
      <c r="G626" s="15" t="n">
        <f aca="false">F626*(1+IF(G$3&lt;=$O$2,$D626,$D626-($D626-$I$616)*MIN(G$3-$O$2,$Q$2)/$Q$2))</f>
        <v>10108.4948529024</v>
      </c>
      <c r="H626" s="15" t="n">
        <f aca="false">G626*(1+IF(H$3&lt;=$O$2,$D626,$D626-($D626-$I$616)*MIN(H$3-$O$2,$Q$2)/$Q$2))</f>
        <v>11006.808360338</v>
      </c>
      <c r="I626" s="15" t="n">
        <f aca="false">H626*(1+IF(I$3&lt;=$O$2,$D626,$D626-($D626-$I$616)*MIN(I$3-$O$2,$Q$2)/$Q$2))</f>
        <v>11984.9524626728</v>
      </c>
      <c r="J626" s="15" t="n">
        <f aca="false">I626*(1+IF(J$3&lt;=$O$2,$D626,$D626-($D626-$I$616)*MIN(J$3-$O$2,$Q$2)/$Q$2))</f>
        <v>12892.857555292</v>
      </c>
      <c r="K626" s="15" t="n">
        <f aca="false">J626*(1+IF(K$3&lt;=$O$2,$D626,$D626-($D626-$I$616)*MIN(K$3-$O$2,$Q$2)/$Q$2))</f>
        <v>13700.4701815734</v>
      </c>
      <c r="L626" s="15" t="n">
        <f aca="false">K626*(1+IF(L$3&lt;=$O$2,$D626,$D626-($D626-$I$616)*MIN(L$3-$O$2,$Q$2)/$Q$2))</f>
        <v>14379.0116556974</v>
      </c>
      <c r="M626" s="15" t="n">
        <f aca="false">L626*(1+IF(M$3&lt;=$O$2,$D626,$D626-($D626-$I$616)*MIN(M$3-$O$2,$Q$2)/$Q$2))</f>
        <v>14902.600897934</v>
      </c>
      <c r="N626" s="15" t="n">
        <f aca="false">M626*(1+IF(N$3&lt;=$O$2,$D626,$D626-($D626-$I$616)*MIN(N$3-$O$2,$Q$2)/$Q$2))</f>
        <v>15249.8314988558</v>
      </c>
      <c r="O626" s="15" t="n">
        <f aca="false">SUMPRODUCT(E626:N626,1/(1+$F$616)^$E$3:$N$3)*$E$2</f>
        <v>21060.2412597158</v>
      </c>
      <c r="P626" s="15" t="n">
        <f aca="false">N626*$E$2*(1+$I$616)/($F$616-$I$616)/(1+$F$616)^$N$3</f>
        <v>26733.4090158461</v>
      </c>
      <c r="Q626" s="15" t="n">
        <f aca="false">O626+P626</f>
        <v>47793.6502755619</v>
      </c>
      <c r="R626" s="15" t="n">
        <f aca="false">Q626-$G$2+$I$2</f>
        <v>45276.6502755619</v>
      </c>
      <c r="S626" s="42" t="n">
        <f aca="false">R626/$K$2</f>
        <v>104.51191144352</v>
      </c>
      <c r="T626" s="43" t="n">
        <f aca="false">S626-$M$2</f>
        <v>-0.746386880656758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0.0888671875</v>
      </c>
      <c r="C627" s="25" t="n">
        <f aca="false">IF(T626&gt;0,D626,C626)</f>
        <v>0.091796875</v>
      </c>
      <c r="D627" s="41" t="n">
        <f aca="false">(B627+C627)/2</f>
        <v>0.09033203125</v>
      </c>
      <c r="E627" s="15" t="n">
        <f aca="false">$C$2*(1+IF(E$3&lt;=$O$2,$D627,$D627-($D627-$I$616)*MIN(E$3-$O$2,$Q$2)/$Q$2))</f>
        <v>8537.2998046875</v>
      </c>
      <c r="F627" s="15" t="n">
        <f aca="false">E627*(1+IF(F$3&lt;=$O$2,$D627,$D627-($D627-$I$616)*MIN(F$3-$O$2,$Q$2)/$Q$2))</f>
        <v>9308.49143743515</v>
      </c>
      <c r="G627" s="15" t="n">
        <f aca="false">F627*(1+IF(G$3&lt;=$O$2,$D627,$D627-($D627-$I$616)*MIN(G$3-$O$2,$Q$2)/$Q$2))</f>
        <v>10149.3463768519</v>
      </c>
      <c r="H627" s="15" t="n">
        <f aca="false">G627*(1+IF(H$3&lt;=$O$2,$D627,$D627-($D627-$I$616)*MIN(H$3-$O$2,$Q$2)/$Q$2))</f>
        <v>11066.1574509328</v>
      </c>
      <c r="I627" s="15" t="n">
        <f aca="false">H627*(1+IF(I$3&lt;=$O$2,$D627,$D627-($D627-$I$616)*MIN(I$3-$O$2,$Q$2)/$Q$2))</f>
        <v>12065.7859316078</v>
      </c>
      <c r="J627" s="15" t="n">
        <f aca="false">I627*(1+IF(J$3&lt;=$O$2,$D627,$D627-($D627-$I$616)*MIN(J$3-$O$2,$Q$2)/$Q$2))</f>
        <v>12993.954055513</v>
      </c>
      <c r="K627" s="15" t="n">
        <f aca="false">J627*(1+IF(K$3&lt;=$O$2,$D627,$D627-($D627-$I$616)*MIN(K$3-$O$2,$Q$2)/$Q$2))</f>
        <v>13819.3198655926</v>
      </c>
      <c r="L627" s="15" t="n">
        <f aca="false">K627*(1+IF(L$3&lt;=$O$2,$D627,$D627-($D627-$I$616)*MIN(L$3-$O$2,$Q$2)/$Q$2))</f>
        <v>14511.8448508945</v>
      </c>
      <c r="M627" s="15" t="n">
        <f aca="false">L627*(1+IF(M$3&lt;=$O$2,$D627,$D627-($D627-$I$616)*MIN(M$3-$O$2,$Q$2)/$Q$2))</f>
        <v>15044.5225234284</v>
      </c>
      <c r="N627" s="15" t="n">
        <f aca="false">M627*(1+IF(N$3&lt;=$O$2,$D627,$D627-($D627-$I$616)*MIN(N$3-$O$2,$Q$2)/$Q$2))</f>
        <v>15395.0598982243</v>
      </c>
      <c r="O627" s="15" t="n">
        <f aca="false">SUMPRODUCT(E627:N627,1/(1+$F$616)^$E$3:$N$3)*$E$2</f>
        <v>21194.156917246</v>
      </c>
      <c r="P627" s="15" t="n">
        <f aca="false">N627*$E$2*(1+$I$616)/($F$616-$I$616)/(1+$F$616)^$N$3</f>
        <v>26987.9987273013</v>
      </c>
      <c r="Q627" s="15" t="n">
        <f aca="false">O627+P627</f>
        <v>48182.1556445474</v>
      </c>
      <c r="R627" s="15" t="n">
        <f aca="false">Q627-$G$2+$I$2</f>
        <v>45665.1556445474</v>
      </c>
      <c r="S627" s="42" t="n">
        <f aca="false">R627/$K$2</f>
        <v>105.408696838898</v>
      </c>
      <c r="T627" s="43" t="n">
        <f aca="false">S627-$M$2</f>
        <v>0.150398514720806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0.0888671875</v>
      </c>
      <c r="C628" s="25" t="n">
        <f aca="false">IF(T627&gt;0,D627,C627)</f>
        <v>0.09033203125</v>
      </c>
      <c r="D628" s="41" t="n">
        <f aca="false">(B628+C628)/2</f>
        <v>0.089599609375</v>
      </c>
      <c r="E628" s="15" t="n">
        <f aca="false">$C$2*(1+IF(E$3&lt;=$O$2,$D628,$D628-($D628-$I$616)*MIN(E$3-$O$2,$Q$2)/$Q$2))</f>
        <v>8531.56494140625</v>
      </c>
      <c r="F628" s="15" t="n">
        <f aca="false">E628*(1+IF(F$3&lt;=$O$2,$D628,$D628-($D628-$I$616)*MIN(F$3-$O$2,$Q$2)/$Q$2))</f>
        <v>9295.9898275137</v>
      </c>
      <c r="G628" s="15" t="n">
        <f aca="false">F628*(1+IF(G$3&lt;=$O$2,$D628,$D628-($D628-$I$616)*MIN(G$3-$O$2,$Q$2)/$Q$2))</f>
        <v>10128.9068848129</v>
      </c>
      <c r="H628" s="15" t="n">
        <f aca="false">G628*(1+IF(H$3&lt;=$O$2,$D628,$D628-($D628-$I$616)*MIN(H$3-$O$2,$Q$2)/$Q$2))</f>
        <v>11036.4529850879</v>
      </c>
      <c r="I628" s="15" t="n">
        <f aca="false">H628*(1+IF(I$3&lt;=$O$2,$D628,$D628-($D628-$I$616)*MIN(I$3-$O$2,$Q$2)/$Q$2))</f>
        <v>12025.3148614373</v>
      </c>
      <c r="J628" s="15" t="n">
        <f aca="false">I628*(1+IF(J$3&lt;=$O$2,$D628,$D628-($D628-$I$616)*MIN(J$3-$O$2,$Q$2)/$Q$2))</f>
        <v>12943.3236400485</v>
      </c>
      <c r="K628" s="15" t="n">
        <f aca="false">J628*(1+IF(K$3&lt;=$O$2,$D628,$D628-($D628-$I$616)*MIN(K$3-$O$2,$Q$2)/$Q$2))</f>
        <v>13759.7854616713</v>
      </c>
      <c r="L628" s="15" t="n">
        <f aca="false">K628*(1+IF(L$3&lt;=$O$2,$D628,$D628-($D628-$I$616)*MIN(L$3-$O$2,$Q$2)/$Q$2))</f>
        <v>14445.2958234053</v>
      </c>
      <c r="M628" s="15" t="n">
        <f aca="false">L628*(1+IF(M$3&lt;=$O$2,$D628,$D628-($D628-$I$616)*MIN(M$3-$O$2,$Q$2)/$Q$2))</f>
        <v>14973.4147101703</v>
      </c>
      <c r="N628" s="15" t="n">
        <f aca="false">M628*(1+IF(N$3&lt;=$O$2,$D628,$D628-($D628-$I$616)*MIN(N$3-$O$2,$Q$2)/$Q$2))</f>
        <v>15322.2952729172</v>
      </c>
      <c r="O628" s="15" t="n">
        <f aca="false">SUMPRODUCT(E628:N628,1/(1+$F$616)^$E$3:$N$3)*$E$2</f>
        <v>21127.0931992787</v>
      </c>
      <c r="P628" s="15" t="n">
        <f aca="false">N628*$E$2*(1+$I$616)/($F$616-$I$616)/(1+$F$616)^$N$3</f>
        <v>26860.4401709747</v>
      </c>
      <c r="Q628" s="15" t="n">
        <f aca="false">O628+P628</f>
        <v>47987.5333702534</v>
      </c>
      <c r="R628" s="15" t="n">
        <f aca="false">Q628-$G$2+$I$2</f>
        <v>45470.5333702534</v>
      </c>
      <c r="S628" s="42" t="n">
        <f aca="false">R628/$K$2</f>
        <v>104.959451018543</v>
      </c>
      <c r="T628" s="43" t="n">
        <f aca="false">S628-$M$2</f>
        <v>-0.298847305633657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0.089599609375</v>
      </c>
      <c r="C629" s="25" t="n">
        <f aca="false">IF(T628&gt;0,D628,C628)</f>
        <v>0.09033203125</v>
      </c>
      <c r="D629" s="41" t="n">
        <f aca="false">(B629+C629)/2</f>
        <v>0.0899658203125</v>
      </c>
      <c r="E629" s="15" t="n">
        <f aca="false">$C$2*(1+IF(E$3&lt;=$O$2,$D629,$D629-($D629-$I$616)*MIN(E$3-$O$2,$Q$2)/$Q$2))</f>
        <v>8534.43237304688</v>
      </c>
      <c r="F629" s="15" t="n">
        <f aca="false">E629*(1+IF(F$3&lt;=$O$2,$D629,$D629-($D629-$I$616)*MIN(F$3-$O$2,$Q$2)/$Q$2))</f>
        <v>9302.23958238959</v>
      </c>
      <c r="G629" s="15" t="n">
        <f aca="false">F629*(1+IF(G$3&lt;=$O$2,$D629,$D629-($D629-$I$616)*MIN(G$3-$O$2,$Q$2)/$Q$2))</f>
        <v>10139.1231971627</v>
      </c>
      <c r="H629" s="15" t="n">
        <f aca="false">G629*(1+IF(H$3&lt;=$O$2,$D629,$D629-($D629-$I$616)*MIN(H$3-$O$2,$Q$2)/$Q$2))</f>
        <v>11051.2977328449</v>
      </c>
      <c r="I629" s="15" t="n">
        <f aca="false">H629*(1+IF(I$3&lt;=$O$2,$D629,$D629-($D629-$I$616)*MIN(I$3-$O$2,$Q$2)/$Q$2))</f>
        <v>12045.536798898</v>
      </c>
      <c r="J629" s="15" t="n">
        <f aca="false">I629*(1+IF(J$3&lt;=$O$2,$D629,$D629-($D629-$I$616)*MIN(J$3-$O$2,$Q$2)/$Q$2))</f>
        <v>12968.6182797547</v>
      </c>
      <c r="K629" s="15" t="n">
        <f aca="false">J629*(1+IF(K$3&lt;=$O$2,$D629,$D629-($D629-$I$616)*MIN(K$3-$O$2,$Q$2)/$Q$2))</f>
        <v>13789.5252312367</v>
      </c>
      <c r="L629" s="15" t="n">
        <f aca="false">K629*(1+IF(L$3&lt;=$O$2,$D629,$D629-($D629-$I$616)*MIN(L$3-$O$2,$Q$2)/$Q$2))</f>
        <v>14478.5371736286</v>
      </c>
      <c r="M629" s="15" t="n">
        <f aca="false">L629*(1+IF(M$3&lt;=$O$2,$D629,$D629-($D629-$I$616)*MIN(M$3-$O$2,$Q$2)/$Q$2))</f>
        <v>15008.9318012951</v>
      </c>
      <c r="N629" s="15" t="n">
        <f aca="false">M629*(1+IF(N$3&lt;=$O$2,$D629,$D629-($D629-$I$616)*MIN(N$3-$O$2,$Q$2)/$Q$2))</f>
        <v>15358.6399122653</v>
      </c>
      <c r="O629" s="15" t="n">
        <f aca="false">SUMPRODUCT(E629:N629,1/(1+$F$616)^$E$3:$N$3)*$E$2</f>
        <v>21160.5985470738</v>
      </c>
      <c r="P629" s="15" t="n">
        <f aca="false">N629*$E$2*(1+$I$616)/($F$616-$I$616)/(1+$F$616)^$N$3</f>
        <v>26924.153406711</v>
      </c>
      <c r="Q629" s="15" t="n">
        <f aca="false">O629+P629</f>
        <v>48084.7519537848</v>
      </c>
      <c r="R629" s="15" t="n">
        <f aca="false">Q629-$G$2+$I$2</f>
        <v>45567.7519537848</v>
      </c>
      <c r="S629" s="42" t="n">
        <f aca="false">R629/$K$2</f>
        <v>105.183860287579</v>
      </c>
      <c r="T629" s="43" t="n">
        <f aca="false">S629-$M$2</f>
        <v>-0.0744380365984512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0.0899658203125</v>
      </c>
      <c r="C630" s="25" t="n">
        <f aca="false">IF(T629&gt;0,D629,C629)</f>
        <v>0.09033203125</v>
      </c>
      <c r="D630" s="41" t="n">
        <f aca="false">(B630+C630)/2</f>
        <v>0.09014892578125</v>
      </c>
      <c r="E630" s="15" t="n">
        <f aca="false">$C$2*(1+IF(E$3&lt;=$O$2,$D630,$D630-($D630-$I$616)*MIN(E$3-$O$2,$Q$2)/$Q$2))</f>
        <v>8535.86608886719</v>
      </c>
      <c r="F630" s="15" t="n">
        <f aca="false">E630*(1+IF(F$3&lt;=$O$2,$D630,$D630-($D630-$I$616)*MIN(F$3-$O$2,$Q$2)/$Q$2))</f>
        <v>9305.36524739116</v>
      </c>
      <c r="G630" s="15" t="n">
        <f aca="false">F630*(1+IF(G$3&lt;=$O$2,$D630,$D630-($D630-$I$616)*MIN(G$3-$O$2,$Q$2)/$Q$2))</f>
        <v>10144.2339284457</v>
      </c>
      <c r="H630" s="15" t="n">
        <f aca="false">G630*(1+IF(H$3&lt;=$O$2,$D630,$D630-($D630-$I$616)*MIN(H$3-$O$2,$Q$2)/$Q$2))</f>
        <v>11058.7257199687</v>
      </c>
      <c r="I630" s="15" t="n">
        <f aca="false">H630*(1+IF(I$3&lt;=$O$2,$D630,$D630-($D630-$I$616)*MIN(I$3-$O$2,$Q$2)/$Q$2))</f>
        <v>12055.6579641334</v>
      </c>
      <c r="J630" s="15" t="n">
        <f aca="false">I630*(1+IF(J$3&lt;=$O$2,$D630,$D630-($D630-$I$616)*MIN(J$3-$O$2,$Q$2)/$Q$2))</f>
        <v>12981.2810222885</v>
      </c>
      <c r="K630" s="15" t="n">
        <f aca="false">J630*(1+IF(K$3&lt;=$O$2,$D630,$D630-($D630-$I$616)*MIN(K$3-$O$2,$Q$2)/$Q$2))</f>
        <v>13804.4156850705</v>
      </c>
      <c r="L630" s="15" t="n">
        <f aca="false">K630*(1+IF(L$3&lt;=$O$2,$D630,$D630-($D630-$I$616)*MIN(L$3-$O$2,$Q$2)/$Q$2))</f>
        <v>14495.1827143666</v>
      </c>
      <c r="M630" s="15" t="n">
        <f aca="false">L630*(1+IF(M$3&lt;=$O$2,$D630,$D630-($D630-$I$616)*MIN(M$3-$O$2,$Q$2)/$Q$2))</f>
        <v>15026.717950303</v>
      </c>
      <c r="N630" s="15" t="n">
        <f aca="false">M630*(1+IF(N$3&lt;=$O$2,$D630,$D630-($D630-$I$616)*MIN(N$3-$O$2,$Q$2)/$Q$2))</f>
        <v>15376.8404785451</v>
      </c>
      <c r="O630" s="15" t="n">
        <f aca="false">SUMPRODUCT(E630:N630,1/(1+$F$616)^$E$3:$N$3)*$E$2</f>
        <v>21177.3710994964</v>
      </c>
      <c r="P630" s="15" t="n">
        <f aca="false">N630*$E$2*(1+$I$616)/($F$616-$I$616)/(1+$F$616)^$N$3</f>
        <v>26956.0595417206</v>
      </c>
      <c r="Q630" s="15" t="n">
        <f aca="false">O630+P630</f>
        <v>48133.430641217</v>
      </c>
      <c r="R630" s="15" t="n">
        <f aca="false">Q630-$G$2+$I$2</f>
        <v>45616.430641217</v>
      </c>
      <c r="S630" s="42" t="n">
        <f aca="false">R630/$K$2</f>
        <v>105.296225107837</v>
      </c>
      <c r="T630" s="43" t="n">
        <f aca="false">S630-$M$2</f>
        <v>0.0379267836595858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0.0899658203125</v>
      </c>
      <c r="C631" s="25" t="n">
        <f aca="false">IF(T630&gt;0,D630,C630)</f>
        <v>0.09014892578125</v>
      </c>
      <c r="D631" s="41" t="n">
        <f aca="false">(B631+C631)/2</f>
        <v>0.090057373046875</v>
      </c>
      <c r="E631" s="15" t="n">
        <f aca="false">$C$2*(1+IF(E$3&lt;=$O$2,$D631,$D631-($D631-$I$616)*MIN(E$3-$O$2,$Q$2)/$Q$2))</f>
        <v>8535.14923095703</v>
      </c>
      <c r="F631" s="15" t="n">
        <f aca="false">E631*(1+IF(F$3&lt;=$O$2,$D631,$D631-($D631-$I$616)*MIN(F$3-$O$2,$Q$2)/$Q$2))</f>
        <v>9303.80234926008</v>
      </c>
      <c r="G631" s="15" t="n">
        <f aca="false">F631*(1+IF(G$3&lt;=$O$2,$D631,$D631-($D631-$I$616)*MIN(G$3-$O$2,$Q$2)/$Q$2))</f>
        <v>10141.6783481818</v>
      </c>
      <c r="H631" s="15" t="n">
        <f aca="false">G631*(1+IF(H$3&lt;=$O$2,$D631,$D631-($D631-$I$616)*MIN(H$3-$O$2,$Q$2)/$Q$2))</f>
        <v>11055.0112585054</v>
      </c>
      <c r="I631" s="15" t="n">
        <f aca="false">H631*(1+IF(I$3&lt;=$O$2,$D631,$D631-($D631-$I$616)*MIN(I$3-$O$2,$Q$2)/$Q$2))</f>
        <v>12050.59653145</v>
      </c>
      <c r="J631" s="15" t="n">
        <f aca="false">I631*(1+IF(J$3&lt;=$O$2,$D631,$D631-($D631-$I$616)*MIN(J$3-$O$2,$Q$2)/$Q$2))</f>
        <v>12974.9483651027</v>
      </c>
      <c r="K631" s="15" t="n">
        <f aca="false">J631*(1+IF(K$3&lt;=$O$2,$D631,$D631-($D631-$I$616)*MIN(K$3-$O$2,$Q$2)/$Q$2))</f>
        <v>13796.9687429735</v>
      </c>
      <c r="L631" s="15" t="n">
        <f aca="false">K631*(1+IF(L$3&lt;=$O$2,$D631,$D631-($D631-$I$616)*MIN(L$3-$O$2,$Q$2)/$Q$2))</f>
        <v>14486.8578704011</v>
      </c>
      <c r="M631" s="15" t="n">
        <f aca="false">L631*(1+IF(M$3&lt;=$O$2,$D631,$D631-($D631-$I$616)*MIN(M$3-$O$2,$Q$2)/$Q$2))</f>
        <v>15017.8225738077</v>
      </c>
      <c r="N631" s="15" t="n">
        <f aca="false">M631*(1+IF(N$3&lt;=$O$2,$D631,$D631-($D631-$I$616)*MIN(N$3-$O$2,$Q$2)/$Q$2))</f>
        <v>15367.7378397774</v>
      </c>
      <c r="O631" s="15" t="n">
        <f aca="false">SUMPRODUCT(E631:N631,1/(1+$F$616)^$E$3:$N$3)*$E$2</f>
        <v>21168.9831657278</v>
      </c>
      <c r="P631" s="15" t="n">
        <f aca="false">N631*$E$2*(1+$I$616)/($F$616-$I$616)/(1+$F$616)^$N$3</f>
        <v>26940.1023447301</v>
      </c>
      <c r="Q631" s="15" t="n">
        <f aca="false">O631+P631</f>
        <v>48109.0855104579</v>
      </c>
      <c r="R631" s="15" t="n">
        <f aca="false">Q631-$G$2+$I$2</f>
        <v>45592.0855104579</v>
      </c>
      <c r="S631" s="42" t="n">
        <f aca="false">R631/$K$2</f>
        <v>105.240029339499</v>
      </c>
      <c r="T631" s="43" t="n">
        <f aca="false">S631-$M$2</f>
        <v>-0.018268984677789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0.090057373046875</v>
      </c>
      <c r="C632" s="25" t="n">
        <f aca="false">IF(T631&gt;0,D631,C631)</f>
        <v>0.09014892578125</v>
      </c>
      <c r="D632" s="41" t="n">
        <f aca="false">(B632+C632)/2</f>
        <v>0.0901031494140625</v>
      </c>
      <c r="E632" s="15" t="n">
        <f aca="false">$C$2*(1+IF(E$3&lt;=$O$2,$D632,$D632-($D632-$I$616)*MIN(E$3-$O$2,$Q$2)/$Q$2))</f>
        <v>8535.50765991211</v>
      </c>
      <c r="F632" s="15" t="n">
        <f aca="false">E632*(1+IF(F$3&lt;=$O$2,$D632,$D632-($D632-$I$616)*MIN(F$3-$O$2,$Q$2)/$Q$2))</f>
        <v>9304.58378191805</v>
      </c>
      <c r="G632" s="15" t="n">
        <f aca="false">F632*(1+IF(G$3&lt;=$O$2,$D632,$D632-($D632-$I$616)*MIN(G$3-$O$2,$Q$2)/$Q$2))</f>
        <v>10142.9560846559</v>
      </c>
      <c r="H632" s="15" t="n">
        <f aca="false">G632*(1+IF(H$3&lt;=$O$2,$D632,$D632-($D632-$I$616)*MIN(H$3-$O$2,$Q$2)/$Q$2))</f>
        <v>11056.8683722519</v>
      </c>
      <c r="I632" s="15" t="n">
        <f aca="false">H632*(1+IF(I$3&lt;=$O$2,$D632,$D632-($D632-$I$616)*MIN(I$3-$O$2,$Q$2)/$Q$2))</f>
        <v>12053.1270352485</v>
      </c>
      <c r="J632" s="15" t="n">
        <f aca="false">I632*(1+IF(J$3&lt;=$O$2,$D632,$D632-($D632-$I$616)*MIN(J$3-$O$2,$Q$2)/$Q$2))</f>
        <v>12978.1143721637</v>
      </c>
      <c r="K632" s="15" t="n">
        <f aca="false">J632*(1+IF(K$3&lt;=$O$2,$D632,$D632-($D632-$I$616)*MIN(K$3-$O$2,$Q$2)/$Q$2))</f>
        <v>13800.691785145</v>
      </c>
      <c r="L632" s="15" t="n">
        <f aca="false">K632*(1+IF(L$3&lt;=$O$2,$D632,$D632-($D632-$I$616)*MIN(L$3-$O$2,$Q$2)/$Q$2))</f>
        <v>14491.0197738751</v>
      </c>
      <c r="M632" s="15" t="n">
        <f aca="false">L632*(1+IF(M$3&lt;=$O$2,$D632,$D632-($D632-$I$616)*MIN(M$3-$O$2,$Q$2)/$Q$2))</f>
        <v>15022.2696864296</v>
      </c>
      <c r="N632" s="15" t="n">
        <f aca="false">M632*(1+IF(N$3&lt;=$O$2,$D632,$D632-($D632-$I$616)*MIN(N$3-$O$2,$Q$2)/$Q$2))</f>
        <v>15372.2885701234</v>
      </c>
      <c r="O632" s="15" t="n">
        <f aca="false">SUMPRODUCT(E632:N632,1/(1+$F$616)^$E$3:$N$3)*$E$2</f>
        <v>21173.1767181467</v>
      </c>
      <c r="P632" s="15" t="n">
        <f aca="false">N632*$E$2*(1+$I$616)/($F$616-$I$616)/(1+$F$616)^$N$3</f>
        <v>26948.0799106245</v>
      </c>
      <c r="Q632" s="15" t="n">
        <f aca="false">O632+P632</f>
        <v>48121.2566287712</v>
      </c>
      <c r="R632" s="15" t="n">
        <f aca="false">Q632-$G$2+$I$2</f>
        <v>45604.2566287712</v>
      </c>
      <c r="S632" s="42" t="n">
        <f aca="false">R632/$K$2</f>
        <v>105.268123883411</v>
      </c>
      <c r="T632" s="43" t="n">
        <f aca="false">S632-$M$2</f>
        <v>0.00982555923368977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0.090057373046875</v>
      </c>
      <c r="C633" s="25" t="n">
        <f aca="false">IF(T632&gt;0,D632,C632)</f>
        <v>0.0901031494140625</v>
      </c>
      <c r="D633" s="41" t="n">
        <f aca="false">(B633+C633)/2</f>
        <v>0.0900802612304688</v>
      </c>
      <c r="E633" s="15" t="n">
        <f aca="false">$C$2*(1+IF(E$3&lt;=$O$2,$D633,$D633-($D633-$I$616)*MIN(E$3-$O$2,$Q$2)/$Q$2))</f>
        <v>8535.32844543457</v>
      </c>
      <c r="F633" s="15" t="n">
        <f aca="false">E633*(1+IF(F$3&lt;=$O$2,$D633,$D633-($D633-$I$616)*MIN(F$3-$O$2,$Q$2)/$Q$2))</f>
        <v>9304.19306148717</v>
      </c>
      <c r="G633" s="15" t="n">
        <f aca="false">F633*(1+IF(G$3&lt;=$O$2,$D633,$D633-($D633-$I$616)*MIN(G$3-$O$2,$Q$2)/$Q$2))</f>
        <v>10142.3172030046</v>
      </c>
      <c r="H633" s="15" t="n">
        <f aca="false">G633*(1+IF(H$3&lt;=$O$2,$D633,$D633-($D633-$I$616)*MIN(H$3-$O$2,$Q$2)/$Q$2))</f>
        <v>11055.9397861336</v>
      </c>
      <c r="I633" s="15" t="n">
        <f aca="false">H633*(1+IF(I$3&lt;=$O$2,$D633,$D633-($D633-$I$616)*MIN(I$3-$O$2,$Q$2)/$Q$2))</f>
        <v>12051.8617302168</v>
      </c>
      <c r="J633" s="15" t="n">
        <f aca="false">I633*(1+IF(J$3&lt;=$O$2,$D633,$D633-($D633-$I$616)*MIN(J$3-$O$2,$Q$2)/$Q$2))</f>
        <v>12976.5312882568</v>
      </c>
      <c r="K633" s="15" t="n">
        <f aca="false">J633*(1+IF(K$3&lt;=$O$2,$D633,$D633-($D633-$I$616)*MIN(K$3-$O$2,$Q$2)/$Q$2))</f>
        <v>13798.8301568502</v>
      </c>
      <c r="L633" s="15" t="n">
        <f aca="false">K633*(1+IF(L$3&lt;=$O$2,$D633,$D633-($D633-$I$616)*MIN(L$3-$O$2,$Q$2)/$Q$2))</f>
        <v>14488.9386925246</v>
      </c>
      <c r="M633" s="15" t="n">
        <f aca="false">L633*(1+IF(M$3&lt;=$O$2,$D633,$D633-($D633-$I$616)*MIN(M$3-$O$2,$Q$2)/$Q$2))</f>
        <v>15020.0459862282</v>
      </c>
      <c r="N633" s="15" t="n">
        <f aca="false">M633*(1+IF(N$3&lt;=$O$2,$D633,$D633-($D633-$I$616)*MIN(N$3-$O$2,$Q$2)/$Q$2))</f>
        <v>15370.0130577073</v>
      </c>
      <c r="O633" s="15" t="n">
        <f aca="false">SUMPRODUCT(E633:N633,1/(1+$F$616)^$E$3:$N$3)*$E$2</f>
        <v>21171.0798383304</v>
      </c>
      <c r="P633" s="15" t="n">
        <f aca="false">N633*$E$2*(1+$I$616)/($F$616-$I$616)/(1+$F$616)^$N$3</f>
        <v>26944.0908695558</v>
      </c>
      <c r="Q633" s="15" t="n">
        <f aca="false">O633+P633</f>
        <v>48115.1707078862</v>
      </c>
      <c r="R633" s="15" t="n">
        <f aca="false">Q633-$G$2+$I$2</f>
        <v>45598.1707078862</v>
      </c>
      <c r="S633" s="42" t="n">
        <f aca="false">R633/$K$2</f>
        <v>105.254075776479</v>
      </c>
      <c r="T633" s="43" t="n">
        <f aca="false">S633-$M$2</f>
        <v>-0.0042225476982054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0.0900802612304688</v>
      </c>
      <c r="C634" s="25" t="n">
        <f aca="false">IF(T633&gt;0,D633,C633)</f>
        <v>0.0901031494140625</v>
      </c>
      <c r="D634" s="41" t="n">
        <f aca="false">(B634+C634)/2</f>
        <v>0.0900917053222656</v>
      </c>
      <c r="E634" s="15" t="n">
        <f aca="false">$C$2*(1+IF(E$3&lt;=$O$2,$D634,$D634-($D634-$I$616)*MIN(E$3-$O$2,$Q$2)/$Q$2))</f>
        <v>8535.41805267334</v>
      </c>
      <c r="F634" s="15" t="n">
        <f aca="false">E634*(1+IF(F$3&lt;=$O$2,$D634,$D634-($D634-$I$616)*MIN(F$3-$O$2,$Q$2)/$Q$2))</f>
        <v>9304.38842067713</v>
      </c>
      <c r="G634" s="15" t="n">
        <f aca="false">F634*(1+IF(G$3&lt;=$O$2,$D634,$D634-($D634-$I$616)*MIN(G$3-$O$2,$Q$2)/$Q$2))</f>
        <v>10142.6366404767</v>
      </c>
      <c r="H634" s="15" t="n">
        <f aca="false">G634*(1+IF(H$3&lt;=$O$2,$D634,$D634-($D634-$I$616)*MIN(H$3-$O$2,$Q$2)/$Q$2))</f>
        <v>11056.4040718813</v>
      </c>
      <c r="I634" s="15" t="n">
        <f aca="false">H634*(1+IF(I$3&lt;=$O$2,$D634,$D634-($D634-$I$616)*MIN(I$3-$O$2,$Q$2)/$Q$2))</f>
        <v>12052.4943694491</v>
      </c>
      <c r="J634" s="15" t="n">
        <f aca="false">I634*(1+IF(J$3&lt;=$O$2,$D634,$D634-($D634-$I$616)*MIN(J$3-$O$2,$Q$2)/$Q$2))</f>
        <v>12977.3228101153</v>
      </c>
      <c r="K634" s="15" t="n">
        <f aca="false">J634*(1+IF(K$3&lt;=$O$2,$D634,$D634-($D634-$I$616)*MIN(K$3-$O$2,$Q$2)/$Q$2))</f>
        <v>13799.7609441941</v>
      </c>
      <c r="L634" s="15" t="n">
        <f aca="false">K634*(1+IF(L$3&lt;=$O$2,$D634,$D634-($D634-$I$616)*MIN(L$3-$O$2,$Q$2)/$Q$2))</f>
        <v>14489.9792007947</v>
      </c>
      <c r="M634" s="15" t="n">
        <f aca="false">L634*(1+IF(M$3&lt;=$O$2,$D634,$D634-($D634-$I$616)*MIN(M$3-$O$2,$Q$2)/$Q$2))</f>
        <v>15021.1578003543</v>
      </c>
      <c r="N634" s="15" t="n">
        <f aca="false">M634*(1+IF(N$3&lt;=$O$2,$D634,$D634-($D634-$I$616)*MIN(N$3-$O$2,$Q$2)/$Q$2))</f>
        <v>15371.1507771026</v>
      </c>
      <c r="O634" s="15" t="n">
        <f aca="false">SUMPRODUCT(E634:N634,1/(1+$F$616)^$E$3:$N$3)*$E$2</f>
        <v>21172.1282523356</v>
      </c>
      <c r="P634" s="15" t="n">
        <f aca="false">N634*$E$2*(1+$I$616)/($F$616-$I$616)/(1+$F$616)^$N$3</f>
        <v>26946.0853255562</v>
      </c>
      <c r="Q634" s="15" t="n">
        <f aca="false">O634+P634</f>
        <v>48118.2135778919</v>
      </c>
      <c r="R634" s="15" t="n">
        <f aca="false">Q634-$G$2+$I$2</f>
        <v>45601.2135778919</v>
      </c>
      <c r="S634" s="42" t="n">
        <f aca="false">R634/$K$2</f>
        <v>105.26109962119</v>
      </c>
      <c r="T634" s="43" t="n">
        <f aca="false">S634-$M$2</f>
        <v>0.00280129701272358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0.0900802612304688</v>
      </c>
      <c r="C635" s="25" t="n">
        <f aca="false">IF(T634&gt;0,D634,C634)</f>
        <v>0.0900917053222656</v>
      </c>
      <c r="D635" s="41" t="n">
        <f aca="false">(B635+C635)/2</f>
        <v>0.0900859832763672</v>
      </c>
      <c r="E635" s="15" t="n">
        <f aca="false">$C$2*(1+IF(E$3&lt;=$O$2,$D635,$D635-($D635-$I$616)*MIN(E$3-$O$2,$Q$2)/$Q$2))</f>
        <v>8535.37324905396</v>
      </c>
      <c r="F635" s="15" t="n">
        <f aca="false">E635*(1+IF(F$3&lt;=$O$2,$D635,$D635-($D635-$I$616)*MIN(F$3-$O$2,$Q$2)/$Q$2))</f>
        <v>9304.29074082578</v>
      </c>
      <c r="G635" s="15" t="n">
        <f aca="false">F635*(1+IF(G$3&lt;=$O$2,$D635,$D635-($D635-$I$616)*MIN(G$3-$O$2,$Q$2)/$Q$2))</f>
        <v>10142.4769209023</v>
      </c>
      <c r="H635" s="15" t="n">
        <f aca="false">G635*(1+IF(H$3&lt;=$O$2,$D635,$D635-($D635-$I$616)*MIN(H$3-$O$2,$Q$2)/$Q$2))</f>
        <v>11056.1719271796</v>
      </c>
      <c r="I635" s="15" t="n">
        <f aca="false">H635*(1+IF(I$3&lt;=$O$2,$D635,$D635-($D635-$I$616)*MIN(I$3-$O$2,$Q$2)/$Q$2))</f>
        <v>12052.1780465122</v>
      </c>
      <c r="J635" s="15" t="n">
        <f aca="false">I635*(1+IF(J$3&lt;=$O$2,$D635,$D635-($D635-$I$616)*MIN(J$3-$O$2,$Q$2)/$Q$2))</f>
        <v>12976.9270441624</v>
      </c>
      <c r="K635" s="15" t="n">
        <f aca="false">J635*(1+IF(K$3&lt;=$O$2,$D635,$D635-($D635-$I$616)*MIN(K$3-$O$2,$Q$2)/$Q$2))</f>
        <v>13799.2955438214</v>
      </c>
      <c r="L635" s="15" t="n">
        <f aca="false">K635*(1+IF(L$3&lt;=$O$2,$D635,$D635-($D635-$I$616)*MIN(L$3-$O$2,$Q$2)/$Q$2))</f>
        <v>14489.4589385586</v>
      </c>
      <c r="M635" s="15" t="n">
        <f aca="false">L635*(1+IF(M$3&lt;=$O$2,$D635,$D635-($D635-$I$616)*MIN(M$3-$O$2,$Q$2)/$Q$2))</f>
        <v>15020.6018842979</v>
      </c>
      <c r="N635" s="15" t="n">
        <f aca="false">M635*(1+IF(N$3&lt;=$O$2,$D635,$D635-($D635-$I$616)*MIN(N$3-$O$2,$Q$2)/$Q$2))</f>
        <v>15370.581908202</v>
      </c>
      <c r="O635" s="15" t="n">
        <f aca="false">SUMPRODUCT(E635:N635,1/(1+$F$616)^$E$3:$N$3)*$E$2</f>
        <v>21171.6040388574</v>
      </c>
      <c r="P635" s="15" t="n">
        <f aca="false">N635*$E$2*(1+$I$616)/($F$616-$I$616)/(1+$F$616)^$N$3</f>
        <v>26945.088081423</v>
      </c>
      <c r="Q635" s="15" t="n">
        <f aca="false">O635+P635</f>
        <v>48116.6921202804</v>
      </c>
      <c r="R635" s="15" t="n">
        <f aca="false">Q635-$G$2+$I$2</f>
        <v>45599.6921202804</v>
      </c>
      <c r="S635" s="42" t="n">
        <f aca="false">R635/$K$2</f>
        <v>105.257587646647</v>
      </c>
      <c r="T635" s="43" t="n">
        <f aca="false">S635-$M$2</f>
        <v>-0.00071067753013665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0.0900859832763672</v>
      </c>
      <c r="C636" s="25" t="n">
        <f aca="false">IF(T635&gt;0,D635,C635)</f>
        <v>0.0900917053222656</v>
      </c>
      <c r="D636" s="41" t="n">
        <f aca="false">(B636+C636)/2</f>
        <v>0.0900888442993164</v>
      </c>
      <c r="E636" s="15" t="n">
        <f aca="false">$C$2*(1+IF(E$3&lt;=$O$2,$D636,$D636-($D636-$I$616)*MIN(E$3-$O$2,$Q$2)/$Q$2))</f>
        <v>8535.39565086365</v>
      </c>
      <c r="F636" s="15" t="n">
        <f aca="false">E636*(1+IF(F$3&lt;=$O$2,$D636,$D636-($D636-$I$616)*MIN(F$3-$O$2,$Q$2)/$Q$2))</f>
        <v>9304.33958068737</v>
      </c>
      <c r="G636" s="15" t="n">
        <f aca="false">F636*(1+IF(G$3&lt;=$O$2,$D636,$D636-($D636-$I$616)*MIN(G$3-$O$2,$Q$2)/$Q$2))</f>
        <v>10142.5567804799</v>
      </c>
      <c r="H636" s="15" t="n">
        <f aca="false">G636*(1+IF(H$3&lt;=$O$2,$D636,$D636-($D636-$I$616)*MIN(H$3-$O$2,$Q$2)/$Q$2))</f>
        <v>11056.2879990735</v>
      </c>
      <c r="I636" s="15" t="n">
        <f aca="false">H636*(1+IF(I$3&lt;=$O$2,$D636,$D636-($D636-$I$616)*MIN(I$3-$O$2,$Q$2)/$Q$2))</f>
        <v>12052.3362071504</v>
      </c>
      <c r="J636" s="15" t="n">
        <f aca="false">I636*(1+IF(J$3&lt;=$O$2,$D636,$D636-($D636-$I$616)*MIN(J$3-$O$2,$Q$2)/$Q$2))</f>
        <v>12977.1249258829</v>
      </c>
      <c r="K636" s="15" t="n">
        <f aca="false">J636*(1+IF(K$3&lt;=$O$2,$D636,$D636-($D636-$I$616)*MIN(K$3-$O$2,$Q$2)/$Q$2))</f>
        <v>13799.5282423326</v>
      </c>
      <c r="L636" s="15" t="n">
        <f aca="false">K636*(1+IF(L$3&lt;=$O$2,$D636,$D636-($D636-$I$616)*MIN(L$3-$O$2,$Q$2)/$Q$2))</f>
        <v>14489.7190676514</v>
      </c>
      <c r="M636" s="15" t="n">
        <f aca="false">L636*(1+IF(M$3&lt;=$O$2,$D636,$D636-($D636-$I$616)*MIN(M$3-$O$2,$Q$2)/$Q$2))</f>
        <v>15020.8798400777</v>
      </c>
      <c r="N636" s="15" t="n">
        <f aca="false">M636*(1+IF(N$3&lt;=$O$2,$D636,$D636-($D636-$I$616)*MIN(N$3-$O$2,$Q$2)/$Q$2))</f>
        <v>15370.8663403515</v>
      </c>
      <c r="O636" s="15" t="n">
        <f aca="false">SUMPRODUCT(E636:N636,1/(1+$F$616)^$E$3:$N$3)*$E$2</f>
        <v>21171.8661439776</v>
      </c>
      <c r="P636" s="15" t="n">
        <f aca="false">N636*$E$2*(1+$I$616)/($F$616-$I$616)/(1+$F$616)^$N$3</f>
        <v>26945.5866994563</v>
      </c>
      <c r="Q636" s="15" t="n">
        <f aca="false">O636+P636</f>
        <v>48117.4528434339</v>
      </c>
      <c r="R636" s="15" t="n">
        <f aca="false">Q636-$G$2+$I$2</f>
        <v>45600.4528434339</v>
      </c>
      <c r="S636" s="42" t="n">
        <f aca="false">R636/$K$2</f>
        <v>105.259343620871</v>
      </c>
      <c r="T636" s="43" t="n">
        <f aca="false">S636-$M$2</f>
        <v>0.00104529669427222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0.0900859832763672</v>
      </c>
      <c r="C637" s="25" t="n">
        <f aca="false">IF(T636&gt;0,D636,C636)</f>
        <v>0.0900888442993164</v>
      </c>
      <c r="D637" s="41" t="n">
        <f aca="false">(B637+C637)/2</f>
        <v>0.0900874137878418</v>
      </c>
      <c r="E637" s="15" t="n">
        <f aca="false">$C$2*(1+IF(E$3&lt;=$O$2,$D637,$D637-($D637-$I$616)*MIN(E$3-$O$2,$Q$2)/$Q$2))</f>
        <v>8535.3844499588</v>
      </c>
      <c r="F637" s="15" t="n">
        <f aca="false">E637*(1+IF(F$3&lt;=$O$2,$D637,$D637-($D637-$I$616)*MIN(F$3-$O$2,$Q$2)/$Q$2))</f>
        <v>9304.31516074055</v>
      </c>
      <c r="G637" s="15" t="n">
        <f aca="false">F637*(1+IF(G$3&lt;=$O$2,$D637,$D637-($D637-$I$616)*MIN(G$3-$O$2,$Q$2)/$Q$2))</f>
        <v>10142.5168506387</v>
      </c>
      <c r="H637" s="15" t="n">
        <f aca="false">G637*(1+IF(H$3&lt;=$O$2,$D637,$D637-($D637-$I$616)*MIN(H$3-$O$2,$Q$2)/$Q$2))</f>
        <v>11056.2299630123</v>
      </c>
      <c r="I637" s="15" t="n">
        <f aca="false">H637*(1+IF(I$3&lt;=$O$2,$D637,$D637-($D637-$I$616)*MIN(I$3-$O$2,$Q$2)/$Q$2))</f>
        <v>12052.2571266237</v>
      </c>
      <c r="J637" s="15" t="n">
        <f aca="false">I637*(1+IF(J$3&lt;=$O$2,$D637,$D637-($D637-$I$616)*MIN(J$3-$O$2,$Q$2)/$Q$2))</f>
        <v>12977.0259847087</v>
      </c>
      <c r="K637" s="15" t="n">
        <f aca="false">J637*(1+IF(K$3&lt;=$O$2,$D637,$D637-($D637-$I$616)*MIN(K$3-$O$2,$Q$2)/$Q$2))</f>
        <v>13799.4118926582</v>
      </c>
      <c r="L637" s="15" t="n">
        <f aca="false">K637*(1+IF(L$3&lt;=$O$2,$D637,$D637-($D637-$I$616)*MIN(L$3-$O$2,$Q$2)/$Q$2))</f>
        <v>14489.5890025987</v>
      </c>
      <c r="M637" s="15" t="n">
        <f aca="false">L637*(1+IF(M$3&lt;=$O$2,$D637,$D637-($D637-$I$616)*MIN(M$3-$O$2,$Q$2)/$Q$2))</f>
        <v>15020.7408616257</v>
      </c>
      <c r="N637" s="15" t="n">
        <f aca="false">M637*(1+IF(N$3&lt;=$O$2,$D637,$D637-($D637-$I$616)*MIN(N$3-$O$2,$Q$2)/$Q$2))</f>
        <v>15370.7241237016</v>
      </c>
      <c r="O637" s="15" t="n">
        <f aca="false">SUMPRODUCT(E637:N637,1/(1+$F$616)^$E$3:$N$3)*$E$2</f>
        <v>21171.7350910128</v>
      </c>
      <c r="P637" s="15" t="n">
        <f aca="false">N637*$E$2*(1+$I$616)/($F$616-$I$616)/(1+$F$616)^$N$3</f>
        <v>26945.3373894313</v>
      </c>
      <c r="Q637" s="15" t="n">
        <f aca="false">O637+P637</f>
        <v>48117.0724804441</v>
      </c>
      <c r="R637" s="15" t="n">
        <f aca="false">Q637-$G$2+$I$2</f>
        <v>45600.0724804441</v>
      </c>
      <c r="S637" s="42" t="n">
        <f aca="false">R637/$K$2</f>
        <v>105.258465630497</v>
      </c>
      <c r="T637" s="43" t="n">
        <f aca="false">S637-$M$2</f>
        <v>0.00016730632033557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0.0900859832763672</v>
      </c>
      <c r="C638" s="25" t="n">
        <f aca="false">IF(T637&gt;0,D637,C637)</f>
        <v>0.0900874137878418</v>
      </c>
      <c r="D638" s="41" t="n">
        <f aca="false">(B638+C638)/2</f>
        <v>0.0900866985321045</v>
      </c>
      <c r="E638" s="15" t="n">
        <f aca="false">$C$2*(1+IF(E$3&lt;=$O$2,$D638,$D638-($D638-$I$616)*MIN(E$3-$O$2,$Q$2)/$Q$2))</f>
        <v>8535.37884950638</v>
      </c>
      <c r="F638" s="15" t="n">
        <f aca="false">E638*(1+IF(F$3&lt;=$O$2,$D638,$D638-($D638-$I$616)*MIN(F$3-$O$2,$Q$2)/$Q$2))</f>
        <v>9304.30295077916</v>
      </c>
      <c r="G638" s="15" t="n">
        <f aca="false">F638*(1+IF(G$3&lt;=$O$2,$D638,$D638-($D638-$I$616)*MIN(G$3-$O$2,$Q$2)/$Q$2))</f>
        <v>10142.4968857574</v>
      </c>
      <c r="H638" s="15" t="n">
        <f aca="false">G638*(1+IF(H$3&lt;=$O$2,$D638,$D638-($D638-$I$616)*MIN(H$3-$O$2,$Q$2)/$Q$2))</f>
        <v>11056.2009450674</v>
      </c>
      <c r="I638" s="15" t="n">
        <f aca="false">H638*(1+IF(I$3&lt;=$O$2,$D638,$D638-($D638-$I$616)*MIN(I$3-$O$2,$Q$2)/$Q$2))</f>
        <v>12052.2175865161</v>
      </c>
      <c r="J638" s="15" t="n">
        <f aca="false">I638*(1+IF(J$3&lt;=$O$2,$D638,$D638-($D638-$I$616)*MIN(J$3-$O$2,$Q$2)/$Q$2))</f>
        <v>12976.9765143571</v>
      </c>
      <c r="K638" s="15" t="n">
        <f aca="false">J638*(1+IF(K$3&lt;=$O$2,$D638,$D638-($D638-$I$616)*MIN(K$3-$O$2,$Q$2)/$Q$2))</f>
        <v>13799.3537181351</v>
      </c>
      <c r="L638" s="15" t="n">
        <f aca="false">K638*(1+IF(L$3&lt;=$O$2,$D638,$D638-($D638-$I$616)*MIN(L$3-$O$2,$Q$2)/$Q$2))</f>
        <v>14489.5239704521</v>
      </c>
      <c r="M638" s="15" t="n">
        <f aca="false">L638*(1+IF(M$3&lt;=$O$2,$D638,$D638-($D638-$I$616)*MIN(M$3-$O$2,$Q$2)/$Q$2))</f>
        <v>15020.6713728213</v>
      </c>
      <c r="N638" s="15" t="n">
        <f aca="false">M638*(1+IF(N$3&lt;=$O$2,$D638,$D638-($D638-$I$616)*MIN(N$3-$O$2,$Q$2)/$Q$2))</f>
        <v>15370.653015808</v>
      </c>
      <c r="O638" s="15" t="n">
        <f aca="false">SUMPRODUCT(E638:N638,1/(1+$F$616)^$E$3:$N$3)*$E$2</f>
        <v>21171.6695648339</v>
      </c>
      <c r="P638" s="15" t="n">
        <f aca="false">N638*$E$2*(1+$I$616)/($F$616-$I$616)/(1+$F$616)^$N$3</f>
        <v>26945.2127351751</v>
      </c>
      <c r="Q638" s="15" t="n">
        <f aca="false">O638+P638</f>
        <v>48116.882300009</v>
      </c>
      <c r="R638" s="15" t="n">
        <f aca="false">Q638-$G$2+$I$2</f>
        <v>45599.882300009</v>
      </c>
      <c r="S638" s="42" t="n">
        <f aca="false">R638/$K$2</f>
        <v>105.258026637757</v>
      </c>
      <c r="T638" s="43" t="n">
        <f aca="false">S638-$M$2</f>
        <v>-0.000271686420305173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0.0900866985321045</v>
      </c>
      <c r="C639" s="25" t="n">
        <f aca="false">IF(T638&gt;0,D638,C638)</f>
        <v>0.0900874137878418</v>
      </c>
      <c r="D639" s="41" t="n">
        <f aca="false">(B639+C639)/2</f>
        <v>0.0900870561599731</v>
      </c>
      <c r="E639" s="15" t="n">
        <f aca="false">$C$2*(1+IF(E$3&lt;=$O$2,$D639,$D639-($D639-$I$616)*MIN(E$3-$O$2,$Q$2)/$Q$2))</f>
        <v>8535.38164973259</v>
      </c>
      <c r="F639" s="15" t="n">
        <f aca="false">E639*(1+IF(F$3&lt;=$O$2,$D639,$D639-($D639-$I$616)*MIN(F$3-$O$2,$Q$2)/$Q$2))</f>
        <v>9304.30905575885</v>
      </c>
      <c r="G639" s="15" t="n">
        <f aca="false">F639*(1+IF(G$3&lt;=$O$2,$D639,$D639-($D639-$I$616)*MIN(G$3-$O$2,$Q$2)/$Q$2))</f>
        <v>10142.5068681947</v>
      </c>
      <c r="H639" s="15" t="n">
        <f aca="false">G639*(1+IF(H$3&lt;=$O$2,$D639,$D639-($D639-$I$616)*MIN(H$3-$O$2,$Q$2)/$Q$2))</f>
        <v>11056.2154540327</v>
      </c>
      <c r="I639" s="15" t="n">
        <f aca="false">H639*(1+IF(I$3&lt;=$O$2,$D639,$D639-($D639-$I$616)*MIN(I$3-$O$2,$Q$2)/$Q$2))</f>
        <v>12052.2373565569</v>
      </c>
      <c r="J639" s="15" t="n">
        <f aca="false">I639*(1+IF(J$3&lt;=$O$2,$D639,$D639-($D639-$I$616)*MIN(J$3-$O$2,$Q$2)/$Q$2))</f>
        <v>12977.0012495133</v>
      </c>
      <c r="K639" s="15" t="n">
        <f aca="false">J639*(1+IF(K$3&lt;=$O$2,$D639,$D639-($D639-$I$616)*MIN(K$3-$O$2,$Q$2)/$Q$2))</f>
        <v>13799.3828053705</v>
      </c>
      <c r="L639" s="15" t="n">
        <f aca="false">K639*(1+IF(L$3&lt;=$O$2,$D639,$D639-($D639-$I$616)*MIN(L$3-$O$2,$Q$2)/$Q$2))</f>
        <v>14489.5564864937</v>
      </c>
      <c r="M639" s="15" t="n">
        <f aca="false">L639*(1+IF(M$3&lt;=$O$2,$D639,$D639-($D639-$I$616)*MIN(M$3-$O$2,$Q$2)/$Q$2))</f>
        <v>15020.7061171883</v>
      </c>
      <c r="N639" s="15" t="n">
        <f aca="false">M639*(1+IF(N$3&lt;=$O$2,$D639,$D639-($D639-$I$616)*MIN(N$3-$O$2,$Q$2)/$Q$2))</f>
        <v>15370.6885697188</v>
      </c>
      <c r="O639" s="15" t="n">
        <f aca="false">SUMPRODUCT(E639:N639,1/(1+$F$616)^$E$3:$N$3)*$E$2</f>
        <v>21171.7023278981</v>
      </c>
      <c r="P639" s="15" t="n">
        <f aca="false">N639*$E$2*(1+$I$616)/($F$616-$I$616)/(1+$F$616)^$N$3</f>
        <v>26945.2750622402</v>
      </c>
      <c r="Q639" s="15" t="n">
        <f aca="false">O639+P639</f>
        <v>48116.9773901382</v>
      </c>
      <c r="R639" s="15" t="n">
        <f aca="false">Q639-$G$2+$I$2</f>
        <v>45599.9773901382</v>
      </c>
      <c r="S639" s="42" t="n">
        <f aca="false">R639/$K$2</f>
        <v>105.258246133923</v>
      </c>
      <c r="T639" s="43" t="n">
        <f aca="false">S639-$M$2</f>
        <v>-5.21902538253016E-005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0.0900870561599731</v>
      </c>
      <c r="C640" s="25" t="n">
        <f aca="false">IF(T639&gt;0,D639,C639)</f>
        <v>0.0900874137878418</v>
      </c>
      <c r="D640" s="41" t="n">
        <f aca="false">(B640+C640)/2</f>
        <v>0.0900872349739075</v>
      </c>
      <c r="E640" s="15" t="n">
        <f aca="false">$C$2*(1+IF(E$3&lt;=$O$2,$D640,$D640-($D640-$I$616)*MIN(E$3-$O$2,$Q$2)/$Q$2))</f>
        <v>8535.3830498457</v>
      </c>
      <c r="F640" s="15" t="n">
        <f aca="false">E640*(1+IF(F$3&lt;=$O$2,$D640,$D640-($D640-$I$616)*MIN(F$3-$O$2,$Q$2)/$Q$2))</f>
        <v>9304.31210824945</v>
      </c>
      <c r="G640" s="15" t="n">
        <f aca="false">F640*(1+IF(G$3&lt;=$O$2,$D640,$D640-($D640-$I$616)*MIN(G$3-$O$2,$Q$2)/$Q$2))</f>
        <v>10142.5118594159</v>
      </c>
      <c r="H640" s="15" t="n">
        <f aca="false">G640*(1+IF(H$3&lt;=$O$2,$D640,$D640-($D640-$I$616)*MIN(H$3-$O$2,$Q$2)/$Q$2))</f>
        <v>11056.2227085207</v>
      </c>
      <c r="I640" s="15" t="n">
        <f aca="false">H640*(1+IF(I$3&lt;=$O$2,$D640,$D640-($D640-$I$616)*MIN(I$3-$O$2,$Q$2)/$Q$2))</f>
        <v>12052.2472415871</v>
      </c>
      <c r="J640" s="15" t="n">
        <f aca="false">I640*(1+IF(J$3&lt;=$O$2,$D640,$D640-($D640-$I$616)*MIN(J$3-$O$2,$Q$2)/$Q$2))</f>
        <v>12977.0136171061</v>
      </c>
      <c r="K640" s="15" t="n">
        <f aca="false">J640*(1+IF(K$3&lt;=$O$2,$D640,$D640-($D640-$I$616)*MIN(K$3-$O$2,$Q$2)/$Q$2))</f>
        <v>13799.3973490078</v>
      </c>
      <c r="L640" s="15" t="n">
        <f aca="false">K640*(1+IF(L$3&lt;=$O$2,$D640,$D640-($D640-$I$616)*MIN(L$3-$O$2,$Q$2)/$Q$2))</f>
        <v>14489.5727445383</v>
      </c>
      <c r="M640" s="15" t="n">
        <f aca="false">L640*(1+IF(M$3&lt;=$O$2,$D640,$D640-($D640-$I$616)*MIN(M$3-$O$2,$Q$2)/$Q$2))</f>
        <v>15020.7234893982</v>
      </c>
      <c r="N640" s="15" t="n">
        <f aca="false">M640*(1+IF(N$3&lt;=$O$2,$D640,$D640-($D640-$I$616)*MIN(N$3-$O$2,$Q$2)/$Q$2))</f>
        <v>15370.7063467012</v>
      </c>
      <c r="O640" s="15" t="n">
        <f aca="false">SUMPRODUCT(E640:N640,1/(1+$F$616)^$E$3:$N$3)*$E$2</f>
        <v>21171.7187094491</v>
      </c>
      <c r="P640" s="15" t="n">
        <f aca="false">N640*$E$2*(1+$I$616)/($F$616-$I$616)/(1+$F$616)^$N$3</f>
        <v>26945.30622582</v>
      </c>
      <c r="Q640" s="15" t="n">
        <f aca="false">O640+P640</f>
        <v>48117.0249352691</v>
      </c>
      <c r="R640" s="15" t="n">
        <f aca="false">Q640-$G$2+$I$2</f>
        <v>45600.0249352691</v>
      </c>
      <c r="S640" s="42" t="n">
        <f aca="false">R640/$K$2</f>
        <v>105.258355882159</v>
      </c>
      <c r="T640" s="43" t="n">
        <f aca="false">S640-$M$2</f>
        <v>5.75579822879035E-005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0.0900870561599731</v>
      </c>
      <c r="C641" s="25" t="n">
        <f aca="false">IF(T640&gt;0,D640,C640)</f>
        <v>0.0900872349739075</v>
      </c>
      <c r="D641" s="41" t="n">
        <f aca="false">(B641+C641)/2</f>
        <v>0.0900871455669403</v>
      </c>
      <c r="E641" s="15" t="n">
        <f aca="false">$C$2*(1+IF(E$3&lt;=$O$2,$D641,$D641-($D641-$I$616)*MIN(E$3-$O$2,$Q$2)/$Q$2))</f>
        <v>8535.38234978914</v>
      </c>
      <c r="F641" s="15" t="n">
        <f aca="false">E641*(1+IF(F$3&lt;=$O$2,$D641,$D641-($D641-$I$616)*MIN(F$3-$O$2,$Q$2)/$Q$2))</f>
        <v>9304.31058200409</v>
      </c>
      <c r="G641" s="15" t="n">
        <f aca="false">F641*(1+IF(G$3&lt;=$O$2,$D641,$D641-($D641-$I$616)*MIN(G$3-$O$2,$Q$2)/$Q$2))</f>
        <v>10142.5093638051</v>
      </c>
      <c r="H641" s="15" t="n">
        <f aca="false">G641*(1+IF(H$3&lt;=$O$2,$D641,$D641-($D641-$I$616)*MIN(H$3-$O$2,$Q$2)/$Q$2))</f>
        <v>11056.2190812763</v>
      </c>
      <c r="I641" s="15" t="n">
        <f aca="false">H641*(1+IF(I$3&lt;=$O$2,$D641,$D641-($D641-$I$616)*MIN(I$3-$O$2,$Q$2)/$Q$2))</f>
        <v>12052.2422990712</v>
      </c>
      <c r="J641" s="15" t="n">
        <f aca="false">I641*(1+IF(J$3&lt;=$O$2,$D641,$D641-($D641-$I$616)*MIN(J$3-$O$2,$Q$2)/$Q$2))</f>
        <v>12977.0074333084</v>
      </c>
      <c r="K641" s="15" t="n">
        <f aca="false">J641*(1+IF(K$3&lt;=$O$2,$D641,$D641-($D641-$I$616)*MIN(K$3-$O$2,$Q$2)/$Q$2))</f>
        <v>13799.3900771875</v>
      </c>
      <c r="L641" s="15" t="n">
        <f aca="false">K641*(1+IF(L$3&lt;=$O$2,$D641,$D641-($D641-$I$616)*MIN(L$3-$O$2,$Q$2)/$Q$2))</f>
        <v>14489.564615514</v>
      </c>
      <c r="M641" s="15" t="n">
        <f aca="false">L641*(1+IF(M$3&lt;=$O$2,$D641,$D641-($D641-$I$616)*MIN(M$3-$O$2,$Q$2)/$Q$2))</f>
        <v>15020.7148032911</v>
      </c>
      <c r="N641" s="15" t="n">
        <f aca="false">M641*(1+IF(N$3&lt;=$O$2,$D641,$D641-($D641-$I$616)*MIN(N$3-$O$2,$Q$2)/$Q$2))</f>
        <v>15370.6974582078</v>
      </c>
      <c r="O641" s="15" t="n">
        <f aca="false">SUMPRODUCT(E641:N641,1/(1+$F$616)^$E$3:$N$3)*$E$2</f>
        <v>21171.710518672</v>
      </c>
      <c r="P641" s="15" t="n">
        <f aca="false">N641*$E$2*(1+$I$616)/($F$616-$I$616)/(1+$F$616)^$N$3</f>
        <v>26945.2906440261</v>
      </c>
      <c r="Q641" s="15" t="n">
        <f aca="false">O641+P641</f>
        <v>48117.0011626982</v>
      </c>
      <c r="R641" s="15" t="n">
        <f aca="false">Q641-$G$2+$I$2</f>
        <v>45600.0011626982</v>
      </c>
      <c r="S641" s="42" t="n">
        <f aca="false">R641/$K$2</f>
        <v>105.258301008029</v>
      </c>
      <c r="T641" s="43" t="n">
        <f aca="false">S641-$M$2</f>
        <v>2.68385149126971E-006</v>
      </c>
    </row>
    <row r="643" customFormat="false" ht="15" hidden="false" customHeight="false" outlineLevel="0" collapsed="false">
      <c r="A643" s="38" t="s">
        <v>195</v>
      </c>
      <c r="E643" s="5" t="s">
        <v>11</v>
      </c>
      <c r="F643" s="12" t="n">
        <f aca="false">Sensitivity!$B$14</f>
        <v>0.0921529104257703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153</v>
      </c>
      <c r="B644" s="28" t="s">
        <v>154</v>
      </c>
      <c r="C644" s="28" t="s">
        <v>155</v>
      </c>
      <c r="D644" s="28" t="s">
        <v>156</v>
      </c>
      <c r="E644" s="28" t="s">
        <v>157</v>
      </c>
      <c r="F644" s="28" t="s">
        <v>158</v>
      </c>
      <c r="G644" s="28" t="s">
        <v>159</v>
      </c>
      <c r="H644" s="28" t="s">
        <v>160</v>
      </c>
      <c r="I644" s="28" t="s">
        <v>161</v>
      </c>
      <c r="J644" s="28" t="s">
        <v>162</v>
      </c>
      <c r="K644" s="28" t="s">
        <v>163</v>
      </c>
      <c r="L644" s="28" t="s">
        <v>164</v>
      </c>
      <c r="M644" s="28" t="s">
        <v>165</v>
      </c>
      <c r="N644" s="28" t="s">
        <v>166</v>
      </c>
      <c r="O644" s="28" t="s">
        <v>167</v>
      </c>
      <c r="P644" s="28" t="s">
        <v>168</v>
      </c>
      <c r="Q644" s="28" t="s">
        <v>169</v>
      </c>
      <c r="R644" s="28" t="s">
        <v>170</v>
      </c>
      <c r="S644" s="28" t="s">
        <v>171</v>
      </c>
      <c r="T644" s="28" t="s">
        <v>172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9787.5</v>
      </c>
      <c r="F645" s="15" t="n">
        <f aca="false">E645*(1+IF(F$3&lt;=$O$2,$D645,$D645-($D645-$I$643)*MIN(F$3-$O$2,$Q$2)/$Q$2))</f>
        <v>12234.375</v>
      </c>
      <c r="G645" s="15" t="n">
        <f aca="false">F645*(1+IF(G$3&lt;=$O$2,$D645,$D645-($D645-$I$643)*MIN(G$3-$O$2,$Q$2)/$Q$2))</f>
        <v>15292.96875</v>
      </c>
      <c r="H645" s="15" t="n">
        <f aca="false">G645*(1+IF(H$3&lt;=$O$2,$D645,$D645-($D645-$I$643)*MIN(H$3-$O$2,$Q$2)/$Q$2))</f>
        <v>19116.2109375</v>
      </c>
      <c r="I645" s="15" t="n">
        <f aca="false">H645*(1+IF(I$3&lt;=$O$2,$D645,$D645-($D645-$I$643)*MIN(I$3-$O$2,$Q$2)/$Q$2))</f>
        <v>23895.263671875</v>
      </c>
      <c r="J645" s="15" t="n">
        <f aca="false">I645*(1+IF(J$3&lt;=$O$2,$D645,$D645-($D645-$I$643)*MIN(J$3-$O$2,$Q$2)/$Q$2))</f>
        <v>28809.5635986328</v>
      </c>
      <c r="K645" s="15" t="n">
        <f aca="false">J645*(1+IF(K$3&lt;=$O$2,$D645,$D645-($D645-$I$643)*MIN(K$3-$O$2,$Q$2)/$Q$2))</f>
        <v>33457.1223983643</v>
      </c>
      <c r="L645" s="15" t="n">
        <f aca="false">K645*(1+IF(L$3&lt;=$O$2,$D645,$D645-($D645-$I$643)*MIN(L$3-$O$2,$Q$2)/$Q$2))</f>
        <v>37370.9365765249</v>
      </c>
      <c r="M645" s="15" t="n">
        <f aca="false">L645*(1+IF(M$3&lt;=$O$2,$D645,$D645-($D645-$I$643)*MIN(M$3-$O$2,$Q$2)/$Q$2))</f>
        <v>40085.5614094437</v>
      </c>
      <c r="N645" s="15" t="n">
        <f aca="false">M645*(1+IF(N$3&lt;=$O$2,$D645,$D645-($D645-$I$643)*MIN(N$3-$O$2,$Q$2)/$Q$2))</f>
        <v>41219.9827973309</v>
      </c>
      <c r="O645" s="15" t="n">
        <f aca="false">SUMPRODUCT(E645:N645,1/(1+$F$643)^$E$3:$N$3)*$E$2</f>
        <v>42282.6773502744</v>
      </c>
      <c r="P645" s="15" t="n">
        <f aca="false">N645*$E$2*(1+$I$643)/($F$643-$I$643)/(1+$F$643)^$N$3</f>
        <v>78298.8838676644</v>
      </c>
      <c r="Q645" s="15" t="n">
        <f aca="false">O645+P645</f>
        <v>120581.561217939</v>
      </c>
      <c r="R645" s="15" t="n">
        <f aca="false">Q645-$G$2+$I$2</f>
        <v>118064.561217939</v>
      </c>
      <c r="S645" s="42" t="n">
        <f aca="false">R645/$K$2</f>
        <v>272.527956276116</v>
      </c>
      <c r="T645" s="43" t="n">
        <f aca="false">S645-$M$2</f>
        <v>167.269657951938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6851.25</v>
      </c>
      <c r="F646" s="15" t="n">
        <f aca="false">E646*(1+IF(F$3&lt;=$O$2,$D646,$D646-($D646-$I$643)*MIN(F$3-$O$2,$Q$2)/$Q$2))</f>
        <v>5994.84375</v>
      </c>
      <c r="G646" s="15" t="n">
        <f aca="false">F646*(1+IF(G$3&lt;=$O$2,$D646,$D646-($D646-$I$643)*MIN(G$3-$O$2,$Q$2)/$Q$2))</f>
        <v>5245.48828125</v>
      </c>
      <c r="H646" s="15" t="n">
        <f aca="false">G646*(1+IF(H$3&lt;=$O$2,$D646,$D646-($D646-$I$643)*MIN(H$3-$O$2,$Q$2)/$Q$2))</f>
        <v>4589.80224609375</v>
      </c>
      <c r="I646" s="15" t="n">
        <f aca="false">H646*(1+IF(I$3&lt;=$O$2,$D646,$D646-($D646-$I$643)*MIN(I$3-$O$2,$Q$2)/$Q$2))</f>
        <v>4016.07696533203</v>
      </c>
      <c r="J646" s="15" t="n">
        <f aca="false">I646*(1+IF(J$3&lt;=$O$2,$D646,$D646-($D646-$I$643)*MIN(J$3-$O$2,$Q$2)/$Q$2))</f>
        <v>3637.20026442261</v>
      </c>
      <c r="K646" s="15" t="n">
        <f aca="false">J646*(1+IF(K$3&lt;=$O$2,$D646,$D646-($D646-$I$643)*MIN(K$3-$O$2,$Q$2)/$Q$2))</f>
        <v>3405.58335158418</v>
      </c>
      <c r="L646" s="15" t="n">
        <f aca="false">K646*(1+IF(L$3&lt;=$O$2,$D646,$D646-($D646-$I$643)*MIN(L$3-$O$2,$Q$2)/$Q$2))</f>
        <v>3293.13098931487</v>
      </c>
      <c r="M646" s="15" t="n">
        <f aca="false">L646*(1+IF(M$3&lt;=$O$2,$D646,$D646-($D646-$I$643)*MIN(M$3-$O$2,$Q$2)/$Q$2))</f>
        <v>3285.35920018008</v>
      </c>
      <c r="N646" s="15" t="n">
        <f aca="false">M646*(1+IF(N$3&lt;=$O$2,$D646,$D646-($D646-$I$643)*MIN(N$3-$O$2,$Q$2)/$Q$2))</f>
        <v>3378.33486554518</v>
      </c>
      <c r="O646" s="15" t="n">
        <f aca="false">SUMPRODUCT(E646:N646,1/(1+$F$643)^$E$3:$N$3)*$E$2</f>
        <v>8438.33903009519</v>
      </c>
      <c r="P646" s="15" t="n">
        <f aca="false">N646*$E$2*(1+$I$643)/($F$643-$I$643)/(1+$F$643)^$N$3</f>
        <v>6417.27219062623</v>
      </c>
      <c r="Q646" s="15" t="n">
        <f aca="false">O646+P646</f>
        <v>14855.6112207214</v>
      </c>
      <c r="R646" s="15" t="n">
        <f aca="false">Q646-$G$2+$I$2</f>
        <v>12338.6112207214</v>
      </c>
      <c r="S646" s="42" t="n">
        <f aca="false">R646/$K$2</f>
        <v>28.4811671222968</v>
      </c>
      <c r="T646" s="43" t="n">
        <f aca="false">S646-$M$2</f>
        <v>-76.7771312018803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8319.375</v>
      </c>
      <c r="F647" s="15" t="n">
        <f aca="false">E647*(1+IF(F$3&lt;=$O$2,$D647,$D647-($D647-$I$643)*MIN(F$3-$O$2,$Q$2)/$Q$2))</f>
        <v>8839.3359375</v>
      </c>
      <c r="G647" s="15" t="n">
        <f aca="false">F647*(1+IF(G$3&lt;=$O$2,$D647,$D647-($D647-$I$643)*MIN(G$3-$O$2,$Q$2)/$Q$2))</f>
        <v>9391.79443359375</v>
      </c>
      <c r="H647" s="15" t="n">
        <f aca="false">G647*(1+IF(H$3&lt;=$O$2,$D647,$D647-($D647-$I$643)*MIN(H$3-$O$2,$Q$2)/$Q$2))</f>
        <v>9978.78158569336</v>
      </c>
      <c r="I647" s="15" t="n">
        <f aca="false">H647*(1+IF(I$3&lt;=$O$2,$D647,$D647-($D647-$I$643)*MIN(I$3-$O$2,$Q$2)/$Q$2))</f>
        <v>10602.4554347992</v>
      </c>
      <c r="J647" s="15" t="n">
        <f aca="false">I647*(1+IF(J$3&lt;=$O$2,$D647,$D647-($D647-$I$643)*MIN(J$3-$O$2,$Q$2)/$Q$2))</f>
        <v>11192.5881043001</v>
      </c>
      <c r="K647" s="15" t="n">
        <f aca="false">J647*(1+IF(K$3&lt;=$O$2,$D647,$D647-($D647-$I$643)*MIN(K$3-$O$2,$Q$2)/$Q$2))</f>
        <v>11739.0102555521</v>
      </c>
      <c r="L647" s="15" t="n">
        <f aca="false">K647*(1+IF(L$3&lt;=$O$2,$D647,$D647-($D647-$I$643)*MIN(L$3-$O$2,$Q$2)/$Q$2))</f>
        <v>12231.8139060801</v>
      </c>
      <c r="M647" s="15" t="n">
        <f aca="false">L647*(1+IF(M$3&lt;=$O$2,$D647,$D647-($D647-$I$643)*MIN(M$3-$O$2,$Q$2)/$Q$2))</f>
        <v>12661.6398467398</v>
      </c>
      <c r="N647" s="15" t="n">
        <f aca="false">M647*(1+IF(N$3&lt;=$O$2,$D647,$D647-($D647-$I$643)*MIN(N$3-$O$2,$Q$2)/$Q$2))</f>
        <v>13019.9642544025</v>
      </c>
      <c r="O647" s="15" t="n">
        <f aca="false">SUMPRODUCT(E647:N647,1/(1+$F$643)^$E$3:$N$3)*$E$2</f>
        <v>18843.9523429128</v>
      </c>
      <c r="P647" s="15" t="n">
        <f aca="false">N647*$E$2*(1+$I$643)/($F$643-$I$643)/(1+$F$643)^$N$3</f>
        <v>24731.9042836334</v>
      </c>
      <c r="Q647" s="15" t="n">
        <f aca="false">O647+P647</f>
        <v>43575.8566265462</v>
      </c>
      <c r="R647" s="15" t="n">
        <f aca="false">Q647-$G$2+$I$2</f>
        <v>41058.8566265462</v>
      </c>
      <c r="S647" s="42" t="n">
        <f aca="false">R647/$K$2</f>
        <v>94.775995167689</v>
      </c>
      <c r="T647" s="43" t="n">
        <f aca="false">S647-$M$2</f>
        <v>-10.4823031564881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9053.4375</v>
      </c>
      <c r="F648" s="15" t="n">
        <f aca="false">E648*(1+IF(F$3&lt;=$O$2,$D648,$D648-($D648-$I$643)*MIN(F$3-$O$2,$Q$2)/$Q$2))</f>
        <v>10468.037109375</v>
      </c>
      <c r="G648" s="15" t="n">
        <f aca="false">F648*(1+IF(G$3&lt;=$O$2,$D648,$D648-($D648-$I$643)*MIN(G$3-$O$2,$Q$2)/$Q$2))</f>
        <v>12103.6679077148</v>
      </c>
      <c r="H648" s="15" t="n">
        <f aca="false">G648*(1+IF(H$3&lt;=$O$2,$D648,$D648-($D648-$I$643)*MIN(H$3-$O$2,$Q$2)/$Q$2))</f>
        <v>13994.8660182953</v>
      </c>
      <c r="I648" s="15" t="n">
        <f aca="false">H648*(1+IF(I$3&lt;=$O$2,$D648,$D648-($D648-$I$643)*MIN(I$3-$O$2,$Q$2)/$Q$2))</f>
        <v>16181.5638336539</v>
      </c>
      <c r="J648" s="15" t="n">
        <f aca="false">I648*(1+IF(J$3&lt;=$O$2,$D648,$D648-($D648-$I$643)*MIN(J$3-$O$2,$Q$2)/$Q$2))</f>
        <v>18295.8469641591</v>
      </c>
      <c r="K648" s="15" t="n">
        <f aca="false">J648*(1+IF(K$3&lt;=$O$2,$D648,$D648-($D648-$I$643)*MIN(K$3-$O$2,$Q$2)/$Q$2))</f>
        <v>20218.1916046834</v>
      </c>
      <c r="L648" s="15" t="n">
        <f aca="false">K648*(1+IF(L$3&lt;=$O$2,$D648,$D648-($D648-$I$643)*MIN(L$3-$O$2,$Q$2)/$Q$2))</f>
        <v>21825.1334734236</v>
      </c>
      <c r="M648" s="15" t="n">
        <f aca="false">L648*(1+IF(M$3&lt;=$O$2,$D648,$D648-($D648-$I$643)*MIN(M$3-$O$2,$Q$2)/$Q$2))</f>
        <v>23001.2899163064</v>
      </c>
      <c r="N648" s="15" t="n">
        <f aca="false">M648*(1+IF(N$3&lt;=$O$2,$D648,$D648-($D648-$I$643)*MIN(N$3-$O$2,$Q$2)/$Q$2))</f>
        <v>23652.2264209378</v>
      </c>
      <c r="O648" s="15" t="n">
        <f aca="false">SUMPRODUCT(E648:N648,1/(1+$F$643)^$E$3:$N$3)*$E$2</f>
        <v>28274.3932244465</v>
      </c>
      <c r="P648" s="15" t="n">
        <f aca="false">N648*$E$2*(1+$I$643)/($F$643-$I$643)/(1+$F$643)^$N$3</f>
        <v>44928.2800250133</v>
      </c>
      <c r="Q648" s="15" t="n">
        <f aca="false">O648+P648</f>
        <v>73202.6732494598</v>
      </c>
      <c r="R648" s="15" t="n">
        <f aca="false">Q648-$G$2+$I$2</f>
        <v>70685.6732494598</v>
      </c>
      <c r="S648" s="42" t="n">
        <f aca="false">R648/$K$2</f>
        <v>163.1634579416</v>
      </c>
      <c r="T648" s="43" t="n">
        <f aca="false">S648-$M$2</f>
        <v>57.9051596174225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8686.40625</v>
      </c>
      <c r="F649" s="15" t="n">
        <f aca="false">E649*(1+IF(F$3&lt;=$O$2,$D649,$D649-($D649-$I$643)*MIN(F$3-$O$2,$Q$2)/$Q$2))</f>
        <v>9636.48193359375</v>
      </c>
      <c r="G649" s="15" t="n">
        <f aca="false">F649*(1+IF(G$3&lt;=$O$2,$D649,$D649-($D649-$I$643)*MIN(G$3-$O$2,$Q$2)/$Q$2))</f>
        <v>10690.4721450806</v>
      </c>
      <c r="H649" s="15" t="n">
        <f aca="false">G649*(1+IF(H$3&lt;=$O$2,$D649,$D649-($D649-$I$643)*MIN(H$3-$O$2,$Q$2)/$Q$2))</f>
        <v>11859.7425359488</v>
      </c>
      <c r="I649" s="15" t="n">
        <f aca="false">H649*(1+IF(I$3&lt;=$O$2,$D649,$D649-($D649-$I$643)*MIN(I$3-$O$2,$Q$2)/$Q$2))</f>
        <v>13156.9018758181</v>
      </c>
      <c r="J649" s="15" t="n">
        <f aca="false">I649*(1+IF(J$3&lt;=$O$2,$D649,$D649-($D649-$I$643)*MIN(J$3-$O$2,$Q$2)/$Q$2))</f>
        <v>14382.5988545694</v>
      </c>
      <c r="K649" s="15" t="n">
        <f aca="false">J649*(1+IF(K$3&lt;=$O$2,$D649,$D649-($D649-$I$643)*MIN(K$3-$O$2,$Q$2)/$Q$2))</f>
        <v>15489.2679234342</v>
      </c>
      <c r="L649" s="15" t="n">
        <f aca="false">K649*(1+IF(L$3&lt;=$O$2,$D649,$D649-($D649-$I$643)*MIN(L$3-$O$2,$Q$2)/$Q$2))</f>
        <v>16429.9311644244</v>
      </c>
      <c r="M649" s="15" t="n">
        <f aca="false">L649*(1+IF(M$3&lt;=$O$2,$D649,$D649-($D649-$I$643)*MIN(M$3-$O$2,$Q$2)/$Q$2))</f>
        <v>17161.3095502087</v>
      </c>
      <c r="N649" s="15" t="n">
        <f aca="false">M649*(1+IF(N$3&lt;=$O$2,$D649,$D649-($D649-$I$643)*MIN(N$3-$O$2,$Q$2)/$Q$2))</f>
        <v>17646.9746104796</v>
      </c>
      <c r="O649" s="15" t="n">
        <f aca="false">SUMPRODUCT(E649:N649,1/(1+$F$643)^$E$3:$N$3)*$E$2</f>
        <v>23086.3132165462</v>
      </c>
      <c r="P649" s="15" t="n">
        <f aca="false">N649*$E$2*(1+$I$643)/($F$643-$I$643)/(1+$F$643)^$N$3</f>
        <v>33521.0818120728</v>
      </c>
      <c r="Q649" s="15" t="n">
        <f aca="false">O649+P649</f>
        <v>56607.395028619</v>
      </c>
      <c r="R649" s="15" t="n">
        <f aca="false">Q649-$G$2+$I$2</f>
        <v>54090.395028619</v>
      </c>
      <c r="S649" s="42" t="n">
        <f aca="false">R649/$K$2</f>
        <v>124.856643341995</v>
      </c>
      <c r="T649" s="43" t="n">
        <f aca="false">S649-$M$2</f>
        <v>19.5983450178178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0.0625</v>
      </c>
      <c r="C650" s="25" t="n">
        <f aca="false">IF(T649&gt;0,D649,C649)</f>
        <v>0.109375</v>
      </c>
      <c r="D650" s="41" t="n">
        <f aca="false">(B650+C650)/2</f>
        <v>0.0859375</v>
      </c>
      <c r="E650" s="15" t="n">
        <f aca="false">$C$2*(1+IF(E$3&lt;=$O$2,$D650,$D650-($D650-$I$643)*MIN(E$3-$O$2,$Q$2)/$Q$2))</f>
        <v>8502.890625</v>
      </c>
      <c r="F650" s="15" t="n">
        <f aca="false">E650*(1+IF(F$3&lt;=$O$2,$D650,$D650-($D650-$I$643)*MIN(F$3-$O$2,$Q$2)/$Q$2))</f>
        <v>9233.60778808594</v>
      </c>
      <c r="G650" s="15" t="n">
        <f aca="false">F650*(1+IF(G$3&lt;=$O$2,$D650,$D650-($D650-$I$643)*MIN(G$3-$O$2,$Q$2)/$Q$2))</f>
        <v>10027.1209573746</v>
      </c>
      <c r="H650" s="15" t="n">
        <f aca="false">G650*(1+IF(H$3&lt;=$O$2,$D650,$D650-($D650-$I$643)*MIN(H$3-$O$2,$Q$2)/$Q$2))</f>
        <v>10888.826664649</v>
      </c>
      <c r="I650" s="15" t="n">
        <f aca="false">H650*(1+IF(I$3&lt;=$O$2,$D650,$D650-($D650-$I$643)*MIN(I$3-$O$2,$Q$2)/$Q$2))</f>
        <v>11824.5852061422</v>
      </c>
      <c r="J650" s="15" t="n">
        <f aca="false">I650*(1+IF(J$3&lt;=$O$2,$D650,$D650-($D650-$I$643)*MIN(J$3-$O$2,$Q$2)/$Q$2))</f>
        <v>12704.4525913313</v>
      </c>
      <c r="K650" s="15" t="n">
        <f aca="false">J650*(1+IF(K$3&lt;=$O$2,$D650,$D650-($D650-$I$643)*MIN(K$3-$O$2,$Q$2)/$Q$2))</f>
        <v>13503.3403314057</v>
      </c>
      <c r="L650" s="15" t="n">
        <f aca="false">K650*(1+IF(L$3&lt;=$O$2,$D650,$D650-($D650-$I$643)*MIN(L$3-$O$2,$Q$2)/$Q$2))</f>
        <v>14196.804374125</v>
      </c>
      <c r="M650" s="15" t="n">
        <f aca="false">L650*(1+IF(M$3&lt;=$O$2,$D650,$D650-($D650-$I$643)*MIN(M$3-$O$2,$Q$2)/$Q$2))</f>
        <v>14762.2276003355</v>
      </c>
      <c r="N650" s="15" t="n">
        <f aca="false">M650*(1+IF(N$3&lt;=$O$2,$D650,$D650-($D650-$I$643)*MIN(N$3-$O$2,$Q$2)/$Q$2))</f>
        <v>15179.9986414249</v>
      </c>
      <c r="O650" s="15" t="n">
        <f aca="false">SUMPRODUCT(E650:N650,1/(1+$F$643)^$E$3:$N$3)*$E$2</f>
        <v>20857.6829960487</v>
      </c>
      <c r="P650" s="15" t="n">
        <f aca="false">N650*$E$2*(1+$I$643)/($F$643-$I$643)/(1+$F$643)^$N$3</f>
        <v>28834.9695966685</v>
      </c>
      <c r="Q650" s="15" t="n">
        <f aca="false">O650+P650</f>
        <v>49692.6525927171</v>
      </c>
      <c r="R650" s="15" t="n">
        <f aca="false">Q650-$G$2+$I$2</f>
        <v>47175.6525927171</v>
      </c>
      <c r="S650" s="42" t="n">
        <f aca="false">R650/$K$2</f>
        <v>108.895370926359</v>
      </c>
      <c r="T650" s="43" t="n">
        <f aca="false">S650-$M$2</f>
        <v>3.6370726021816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0.0625</v>
      </c>
      <c r="C651" s="25" t="n">
        <f aca="false">IF(T650&gt;0,D650,C650)</f>
        <v>0.0859375</v>
      </c>
      <c r="D651" s="41" t="n">
        <f aca="false">(B651+C651)/2</f>
        <v>0.07421875</v>
      </c>
      <c r="E651" s="15" t="n">
        <f aca="false">$C$2*(1+IF(E$3&lt;=$O$2,$D651,$D651-($D651-$I$643)*MIN(E$3-$O$2,$Q$2)/$Q$2))</f>
        <v>8411.1328125</v>
      </c>
      <c r="F651" s="15" t="n">
        <f aca="false">E651*(1+IF(F$3&lt;=$O$2,$D651,$D651-($D651-$I$643)*MIN(F$3-$O$2,$Q$2)/$Q$2))</f>
        <v>9035.39657592773</v>
      </c>
      <c r="G651" s="15" t="n">
        <f aca="false">F651*(1+IF(G$3&lt;=$O$2,$D651,$D651-($D651-$I$643)*MIN(G$3-$O$2,$Q$2)/$Q$2))</f>
        <v>9705.99241554737</v>
      </c>
      <c r="H651" s="15" t="n">
        <f aca="false">G651*(1+IF(H$3&lt;=$O$2,$D651,$D651-($D651-$I$643)*MIN(H$3-$O$2,$Q$2)/$Q$2))</f>
        <v>10426.3590401388</v>
      </c>
      <c r="I651" s="15" t="n">
        <f aca="false">H651*(1+IF(I$3&lt;=$O$2,$D651,$D651-($D651-$I$643)*MIN(I$3-$O$2,$Q$2)/$Q$2))</f>
        <v>11200.1903751491</v>
      </c>
      <c r="J651" s="15" t="n">
        <f aca="false">I651*(1+IF(J$3&lt;=$O$2,$D651,$D651-($D651-$I$643)*MIN(J$3-$O$2,$Q$2)/$Q$2))</f>
        <v>11928.5947561969</v>
      </c>
      <c r="K651" s="15" t="n">
        <f aca="false">J651*(1+IF(K$3&lt;=$O$2,$D651,$D651-($D651-$I$643)*MIN(K$3-$O$2,$Q$2)/$Q$2))</f>
        <v>12594.8216840739</v>
      </c>
      <c r="L651" s="15" t="n">
        <f aca="false">K651*(1+IF(L$3&lt;=$O$2,$D651,$D651-($D651-$I$643)*MIN(L$3-$O$2,$Q$2)/$Q$2))</f>
        <v>13182.5905250155</v>
      </c>
      <c r="M651" s="15" t="n">
        <f aca="false">L651*(1+IF(M$3&lt;=$O$2,$D651,$D651-($D651-$I$643)*MIN(M$3-$O$2,$Q$2)/$Q$2))</f>
        <v>13676.7234526075</v>
      </c>
      <c r="N651" s="15" t="n">
        <f aca="false">M651*(1+IF(N$3&lt;=$O$2,$D651,$D651-($D651-$I$643)*MIN(N$3-$O$2,$Q$2)/$Q$2))</f>
        <v>14063.7747263163</v>
      </c>
      <c r="O651" s="15" t="n">
        <f aca="false">SUMPRODUCT(E651:N651,1/(1+$F$643)^$E$3:$N$3)*$E$2</f>
        <v>19825.2072837243</v>
      </c>
      <c r="P651" s="15" t="n">
        <f aca="false">N651*$E$2*(1+$I$643)/($F$643-$I$643)/(1+$F$643)^$N$3</f>
        <v>26714.660931594</v>
      </c>
      <c r="Q651" s="15" t="n">
        <f aca="false">O651+P651</f>
        <v>46539.8682153183</v>
      </c>
      <c r="R651" s="15" t="n">
        <f aca="false">Q651-$G$2+$I$2</f>
        <v>44022.8682153183</v>
      </c>
      <c r="S651" s="42" t="n">
        <f aca="false">R651/$K$2</f>
        <v>101.617811309077</v>
      </c>
      <c r="T651" s="43" t="n">
        <f aca="false">S651-$M$2</f>
        <v>-3.64048701510028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0.07421875</v>
      </c>
      <c r="C652" s="25" t="n">
        <f aca="false">IF(T651&gt;0,D651,C651)</f>
        <v>0.0859375</v>
      </c>
      <c r="D652" s="41" t="n">
        <f aca="false">(B652+C652)/2</f>
        <v>0.080078125</v>
      </c>
      <c r="E652" s="15" t="n">
        <f aca="false">$C$2*(1+IF(E$3&lt;=$O$2,$D652,$D652-($D652-$I$643)*MIN(E$3-$O$2,$Q$2)/$Q$2))</f>
        <v>8457.01171875</v>
      </c>
      <c r="F652" s="15" t="n">
        <f aca="false">E652*(1+IF(F$3&lt;=$O$2,$D652,$D652-($D652-$I$643)*MIN(F$3-$O$2,$Q$2)/$Q$2))</f>
        <v>9134.23336029053</v>
      </c>
      <c r="G652" s="15" t="n">
        <f aca="false">F652*(1+IF(G$3&lt;=$O$2,$D652,$D652-($D652-$I$643)*MIN(G$3-$O$2,$Q$2)/$Q$2))</f>
        <v>9865.68564109504</v>
      </c>
      <c r="H652" s="15" t="n">
        <f aca="false">G652*(1+IF(H$3&lt;=$O$2,$D652,$D652-($D652-$I$643)*MIN(H$3-$O$2,$Q$2)/$Q$2))</f>
        <v>10655.7112490734</v>
      </c>
      <c r="I652" s="15" t="n">
        <f aca="false">H652*(1+IF(I$3&lt;=$O$2,$D652,$D652-($D652-$I$643)*MIN(I$3-$O$2,$Q$2)/$Q$2))</f>
        <v>11509.0006264406</v>
      </c>
      <c r="J652" s="15" t="n">
        <f aca="false">I652*(1+IF(J$3&lt;=$O$2,$D652,$D652-($D652-$I$643)*MIN(J$3-$O$2,$Q$2)/$Q$2))</f>
        <v>12311.4369226176</v>
      </c>
      <c r="K652" s="15" t="n">
        <f aca="false">J652*(1+IF(K$3&lt;=$O$2,$D652,$D652-($D652-$I$643)*MIN(K$3-$O$2,$Q$2)/$Q$2))</f>
        <v>13042.328459473</v>
      </c>
      <c r="L652" s="15" t="n">
        <f aca="false">K652*(1+IF(L$3&lt;=$O$2,$D652,$D652-($D652-$I$643)*MIN(L$3-$O$2,$Q$2)/$Q$2))</f>
        <v>13681.5492801823</v>
      </c>
      <c r="M652" s="15" t="n">
        <f aca="false">L652*(1+IF(M$3&lt;=$O$2,$D652,$D652-($D652-$I$643)*MIN(M$3-$O$2,$Q$2)/$Q$2))</f>
        <v>14210.4181185761</v>
      </c>
      <c r="N652" s="15" t="n">
        <f aca="false">M652*(1+IF(N$3&lt;=$O$2,$D652,$D652-($D652-$I$643)*MIN(N$3-$O$2,$Q$2)/$Q$2))</f>
        <v>14612.5729513318</v>
      </c>
      <c r="O652" s="15" t="n">
        <f aca="false">SUMPRODUCT(E652:N652,1/(1+$F$643)^$E$3:$N$3)*$E$2</f>
        <v>20334.890033105</v>
      </c>
      <c r="P652" s="15" t="n">
        <f aca="false">N652*$E$2*(1+$I$643)/($F$643-$I$643)/(1+$F$643)^$N$3</f>
        <v>27757.1234842482</v>
      </c>
      <c r="Q652" s="15" t="n">
        <f aca="false">O652+P652</f>
        <v>48092.0135173532</v>
      </c>
      <c r="R652" s="15" t="n">
        <f aca="false">Q652-$G$2+$I$2</f>
        <v>45575.0135173532</v>
      </c>
      <c r="S652" s="42" t="n">
        <f aca="false">R652/$K$2</f>
        <v>105.200622125833</v>
      </c>
      <c r="T652" s="43" t="n">
        <f aca="false">S652-$M$2</f>
        <v>-0.057676198344538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0.080078125</v>
      </c>
      <c r="C653" s="25" t="n">
        <f aca="false">IF(T652&gt;0,D652,C652)</f>
        <v>0.0859375</v>
      </c>
      <c r="D653" s="41" t="n">
        <f aca="false">(B653+C653)/2</f>
        <v>0.0830078125</v>
      </c>
      <c r="E653" s="15" t="n">
        <f aca="false">$C$2*(1+IF(E$3&lt;=$O$2,$D653,$D653-($D653-$I$643)*MIN(E$3-$O$2,$Q$2)/$Q$2))</f>
        <v>8479.951171875</v>
      </c>
      <c r="F653" s="15" t="n">
        <f aca="false">E653*(1+IF(F$3&lt;=$O$2,$D653,$D653-($D653-$I$643)*MIN(F$3-$O$2,$Q$2)/$Q$2))</f>
        <v>9183.85336875916</v>
      </c>
      <c r="G653" s="15" t="n">
        <f aca="false">F653*(1+IF(G$3&lt;=$O$2,$D653,$D653-($D653-$I$643)*MIN(G$3-$O$2,$Q$2)/$Q$2))</f>
        <v>9946.18494722061</v>
      </c>
      <c r="H653" s="15" t="n">
        <f aca="false">G653*(1+IF(H$3&lt;=$O$2,$D653,$D653-($D653-$I$643)*MIN(H$3-$O$2,$Q$2)/$Q$2))</f>
        <v>10771.7960024098</v>
      </c>
      <c r="I653" s="15" t="n">
        <f aca="false">H653*(1+IF(I$3&lt;=$O$2,$D653,$D653-($D653-$I$643)*MIN(I$3-$O$2,$Q$2)/$Q$2))</f>
        <v>11665.9392252661</v>
      </c>
      <c r="J653" s="15" t="n">
        <f aca="false">I653*(1+IF(J$3&lt;=$O$2,$D653,$D653-($D653-$I$643)*MIN(J$3-$O$2,$Q$2)/$Q$2))</f>
        <v>12506.6597179589</v>
      </c>
      <c r="K653" s="15" t="n">
        <f aca="false">J653*(1+IF(K$3&lt;=$O$2,$D653,$D653-($D653-$I$643)*MIN(K$3-$O$2,$Q$2)/$Q$2))</f>
        <v>13271.125384888</v>
      </c>
      <c r="L653" s="15" t="n">
        <f aca="false">K653*(1+IF(L$3&lt;=$O$2,$D653,$D653-($D653-$I$643)*MIN(L$3-$O$2,$Q$2)/$Q$2))</f>
        <v>13937.1119289685</v>
      </c>
      <c r="M653" s="15" t="n">
        <f aca="false">L653*(1+IF(M$3&lt;=$O$2,$D653,$D653-($D653-$I$643)*MIN(M$3-$O$2,$Q$2)/$Q$2))</f>
        <v>14484.0259777986</v>
      </c>
      <c r="N653" s="15" t="n">
        <f aca="false">M653*(1+IF(N$3&lt;=$O$2,$D653,$D653-($D653-$I$643)*MIN(N$3-$O$2,$Q$2)/$Q$2))</f>
        <v>14893.9239129703</v>
      </c>
      <c r="O653" s="15" t="n">
        <f aca="false">SUMPRODUCT(E653:N653,1/(1+$F$643)^$E$3:$N$3)*$E$2</f>
        <v>20594.6283296521</v>
      </c>
      <c r="P653" s="15" t="n">
        <f aca="false">N653*$E$2*(1+$I$643)/($F$643-$I$643)/(1+$F$643)^$N$3</f>
        <v>28291.5600554546</v>
      </c>
      <c r="Q653" s="15" t="n">
        <f aca="false">O653+P653</f>
        <v>48886.1883851067</v>
      </c>
      <c r="R653" s="15" t="n">
        <f aca="false">Q653-$G$2+$I$2</f>
        <v>46369.1883851067</v>
      </c>
      <c r="S653" s="42" t="n">
        <f aca="false">R653/$K$2</f>
        <v>107.033812808981</v>
      </c>
      <c r="T653" s="43" t="n">
        <f aca="false">S653-$M$2</f>
        <v>1.77551448480376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0.080078125</v>
      </c>
      <c r="C654" s="25" t="n">
        <f aca="false">IF(T653&gt;0,D653,C653)</f>
        <v>0.0830078125</v>
      </c>
      <c r="D654" s="41" t="n">
        <f aca="false">(B654+C654)/2</f>
        <v>0.08154296875</v>
      </c>
      <c r="E654" s="15" t="n">
        <f aca="false">$C$2*(1+IF(E$3&lt;=$O$2,$D654,$D654-($D654-$I$643)*MIN(E$3-$O$2,$Q$2)/$Q$2))</f>
        <v>8468.4814453125</v>
      </c>
      <c r="F654" s="15" t="n">
        <f aca="false">E654*(1+IF(F$3&lt;=$O$2,$D654,$D654-($D654-$I$643)*MIN(F$3-$O$2,$Q$2)/$Q$2))</f>
        <v>9159.02656316757</v>
      </c>
      <c r="G654" s="15" t="n">
        <f aca="false">F654*(1+IF(G$3&lt;=$O$2,$D654,$D654-($D654-$I$643)*MIN(G$3-$O$2,$Q$2)/$Q$2))</f>
        <v>9905.88077998837</v>
      </c>
      <c r="H654" s="15" t="n">
        <f aca="false">G654*(1+IF(H$3&lt;=$O$2,$D654,$D654-($D654-$I$643)*MIN(H$3-$O$2,$Q$2)/$Q$2))</f>
        <v>10713.6357068722</v>
      </c>
      <c r="I654" s="15" t="n">
        <f aca="false">H654*(1+IF(I$3&lt;=$O$2,$D654,$D654-($D654-$I$643)*MIN(I$3-$O$2,$Q$2)/$Q$2))</f>
        <v>11587.2573685165</v>
      </c>
      <c r="J654" s="15" t="n">
        <f aca="false">I654*(1+IF(J$3&lt;=$O$2,$D654,$D654-($D654-$I$643)*MIN(J$3-$O$2,$Q$2)/$Q$2))</f>
        <v>12408.7287376217</v>
      </c>
      <c r="K654" s="15" t="n">
        <f aca="false">J654*(1+IF(K$3&lt;=$O$2,$D654,$D654-($D654-$I$643)*MIN(K$3-$O$2,$Q$2)/$Q$2))</f>
        <v>13156.302294739</v>
      </c>
      <c r="L654" s="15" t="n">
        <f aca="false">K654*(1+IF(L$3&lt;=$O$2,$D654,$D654-($D654-$I$643)*MIN(L$3-$O$2,$Q$2)/$Q$2))</f>
        <v>13808.8178864579</v>
      </c>
      <c r="M654" s="15" t="n">
        <f aca="false">L654*(1+IF(M$3&lt;=$O$2,$D654,$D654-($D654-$I$643)*MIN(M$3-$O$2,$Q$2)/$Q$2))</f>
        <v>14346.6519244852</v>
      </c>
      <c r="N654" s="15" t="n">
        <f aca="false">M654*(1+IF(N$3&lt;=$O$2,$D654,$D654-($D654-$I$643)*MIN(N$3-$O$2,$Q$2)/$Q$2))</f>
        <v>14752.6621739482</v>
      </c>
      <c r="O654" s="15" t="n">
        <f aca="false">SUMPRODUCT(E654:N654,1/(1+$F$643)^$E$3:$N$3)*$E$2</f>
        <v>20464.3470767223</v>
      </c>
      <c r="P654" s="15" t="n">
        <f aca="false">N654*$E$2*(1+$I$643)/($F$643-$I$643)/(1+$F$643)^$N$3</f>
        <v>28023.2281506835</v>
      </c>
      <c r="Q654" s="15" t="n">
        <f aca="false">O654+P654</f>
        <v>48487.5752274058</v>
      </c>
      <c r="R654" s="15" t="n">
        <f aca="false">Q654-$G$2+$I$2</f>
        <v>45970.5752274058</v>
      </c>
      <c r="S654" s="42" t="n">
        <f aca="false">R654/$K$2</f>
        <v>106.113695645182</v>
      </c>
      <c r="T654" s="43" t="n">
        <f aca="false">S654-$M$2</f>
        <v>0.855397321004958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0.080078125</v>
      </c>
      <c r="C655" s="25" t="n">
        <f aca="false">IF(T654&gt;0,D654,C654)</f>
        <v>0.08154296875</v>
      </c>
      <c r="D655" s="41" t="n">
        <f aca="false">(B655+C655)/2</f>
        <v>0.080810546875</v>
      </c>
      <c r="E655" s="15" t="n">
        <f aca="false">$C$2*(1+IF(E$3&lt;=$O$2,$D655,$D655-($D655-$I$643)*MIN(E$3-$O$2,$Q$2)/$Q$2))</f>
        <v>8462.74658203125</v>
      </c>
      <c r="F655" s="15" t="n">
        <f aca="false">E655*(1+IF(F$3&lt;=$O$2,$D655,$D655-($D655-$I$643)*MIN(F$3-$O$2,$Q$2)/$Q$2))</f>
        <v>9146.62576138973</v>
      </c>
      <c r="G655" s="15" t="n">
        <f aca="false">F655*(1+IF(G$3&lt;=$O$2,$D655,$D655-($D655-$I$643)*MIN(G$3-$O$2,$Q$2)/$Q$2))</f>
        <v>9885.7695912286</v>
      </c>
      <c r="H655" s="15" t="n">
        <f aca="false">G655*(1+IF(H$3&lt;=$O$2,$D655,$D655-($D655-$I$643)*MIN(H$3-$O$2,$Q$2)/$Q$2))</f>
        <v>10684.644038176</v>
      </c>
      <c r="I655" s="15" t="n">
        <f aca="false">H655*(1+IF(I$3&lt;=$O$2,$D655,$D655-($D655-$I$643)*MIN(I$3-$O$2,$Q$2)/$Q$2))</f>
        <v>11548.0759660657</v>
      </c>
      <c r="J655" s="15" t="n">
        <f aca="false">I655*(1+IF(J$3&lt;=$O$2,$D655,$D655-($D655-$I$643)*MIN(J$3-$O$2,$Q$2)/$Q$2))</f>
        <v>12360.0031433711</v>
      </c>
      <c r="K655" s="15" t="n">
        <f aca="false">J655*(1+IF(K$3&lt;=$O$2,$D655,$D655-($D655-$I$643)*MIN(K$3-$O$2,$Q$2)/$Q$2))</f>
        <v>13099.2095469896</v>
      </c>
      <c r="L655" s="15" t="n">
        <f aca="false">K655*(1+IF(L$3&lt;=$O$2,$D655,$D655-($D655-$I$643)*MIN(L$3-$O$2,$Q$2)/$Q$2))</f>
        <v>13745.0558399465</v>
      </c>
      <c r="M655" s="15" t="n">
        <f aca="false">L655*(1+IF(M$3&lt;=$O$2,$D655,$D655-($D655-$I$643)*MIN(M$3-$O$2,$Q$2)/$Q$2))</f>
        <v>14278.3930000136</v>
      </c>
      <c r="N655" s="15" t="n">
        <f aca="false">M655*(1+IF(N$3&lt;=$O$2,$D655,$D655-($D655-$I$643)*MIN(N$3-$O$2,$Q$2)/$Q$2))</f>
        <v>14682.4715219139</v>
      </c>
      <c r="O655" s="15" t="n">
        <f aca="false">SUMPRODUCT(E655:N655,1/(1+$F$643)^$E$3:$N$3)*$E$2</f>
        <v>20399.515832581</v>
      </c>
      <c r="P655" s="15" t="n">
        <f aca="false">N655*$E$2*(1+$I$643)/($F$643-$I$643)/(1+$F$643)^$N$3</f>
        <v>27889.8984076982</v>
      </c>
      <c r="Q655" s="15" t="n">
        <f aca="false">O655+P655</f>
        <v>48289.4142402792</v>
      </c>
      <c r="R655" s="15" t="n">
        <f aca="false">Q655-$G$2+$I$2</f>
        <v>45772.4142402792</v>
      </c>
      <c r="S655" s="42" t="n">
        <f aca="false">R655/$K$2</f>
        <v>105.656281428095</v>
      </c>
      <c r="T655" s="43" t="n">
        <f aca="false">S655-$M$2</f>
        <v>0.397983103917682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0.080078125</v>
      </c>
      <c r="C656" s="25" t="n">
        <f aca="false">IF(T655&gt;0,D655,C655)</f>
        <v>0.080810546875</v>
      </c>
      <c r="D656" s="41" t="n">
        <f aca="false">(B656+C656)/2</f>
        <v>0.0804443359375</v>
      </c>
      <c r="E656" s="15" t="n">
        <f aca="false">$C$2*(1+IF(E$3&lt;=$O$2,$D656,$D656-($D656-$I$643)*MIN(E$3-$O$2,$Q$2)/$Q$2))</f>
        <v>8459.87915039063</v>
      </c>
      <c r="F656" s="15" t="n">
        <f aca="false">E656*(1+IF(F$3&lt;=$O$2,$D656,$D656-($D656-$I$643)*MIN(F$3-$O$2,$Q$2)/$Q$2))</f>
        <v>9140.4285107553</v>
      </c>
      <c r="G656" s="15" t="n">
        <f aca="false">F656*(1+IF(G$3&lt;=$O$2,$D656,$D656-($D656-$I$643)*MIN(G$3-$O$2,$Q$2)/$Q$2))</f>
        <v>9875.7242124872</v>
      </c>
      <c r="H656" s="15" t="n">
        <f aca="false">G656*(1+IF(H$3&lt;=$O$2,$D656,$D656-($D656-$I$643)*MIN(H$3-$O$2,$Q$2)/$Q$2))</f>
        <v>10670.1702886626</v>
      </c>
      <c r="I656" s="15" t="n">
        <f aca="false">H656*(1+IF(I$3&lt;=$O$2,$D656,$D656-($D656-$I$643)*MIN(I$3-$O$2,$Q$2)/$Q$2))</f>
        <v>11528.5250518741</v>
      </c>
      <c r="J656" s="15" t="n">
        <f aca="false">I656*(1+IF(J$3&lt;=$O$2,$D656,$D656-($D656-$I$643)*MIN(J$3-$O$2,$Q$2)/$Q$2))</f>
        <v>12335.7001373772</v>
      </c>
      <c r="K656" s="15" t="n">
        <f aca="false">J656*(1+IF(K$3&lt;=$O$2,$D656,$D656-($D656-$I$643)*MIN(K$3-$O$2,$Q$2)/$Q$2))</f>
        <v>13070.7425864576</v>
      </c>
      <c r="L656" s="15" t="n">
        <f aca="false">K656*(1+IF(L$3&lt;=$O$2,$D656,$D656-($D656-$I$643)*MIN(L$3-$O$2,$Q$2)/$Q$2))</f>
        <v>13713.2706786067</v>
      </c>
      <c r="M656" s="15" t="n">
        <f aca="false">L656*(1+IF(M$3&lt;=$O$2,$D656,$D656-($D656-$I$643)*MIN(M$3-$O$2,$Q$2)/$Q$2))</f>
        <v>14244.3701174247</v>
      </c>
      <c r="N656" s="15" t="n">
        <f aca="false">M656*(1+IF(N$3&lt;=$O$2,$D656,$D656-($D656-$I$643)*MIN(N$3-$O$2,$Q$2)/$Q$2))</f>
        <v>14647.4857917478</v>
      </c>
      <c r="O656" s="15" t="n">
        <f aca="false">SUMPRODUCT(E656:N656,1/(1+$F$643)^$E$3:$N$3)*$E$2</f>
        <v>20367.1772901537</v>
      </c>
      <c r="P656" s="15" t="n">
        <f aca="false">N656*$E$2*(1+$I$643)/($F$643-$I$643)/(1+$F$643)^$N$3</f>
        <v>27823.4417175833</v>
      </c>
      <c r="Q656" s="15" t="n">
        <f aca="false">O656+P656</f>
        <v>48190.619007737</v>
      </c>
      <c r="R656" s="15" t="n">
        <f aca="false">Q656-$G$2+$I$2</f>
        <v>45673.619007737</v>
      </c>
      <c r="S656" s="42" t="n">
        <f aca="false">R656/$K$2</f>
        <v>105.42823278643</v>
      </c>
      <c r="T656" s="43" t="n">
        <f aca="false">S656-$M$2</f>
        <v>0.169934462252414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0.080078125</v>
      </c>
      <c r="C657" s="25" t="n">
        <f aca="false">IF(T656&gt;0,D656,C656)</f>
        <v>0.0804443359375</v>
      </c>
      <c r="D657" s="41" t="n">
        <f aca="false">(B657+C657)/2</f>
        <v>0.08026123046875</v>
      </c>
      <c r="E657" s="15" t="n">
        <f aca="false">$C$2*(1+IF(E$3&lt;=$O$2,$D657,$D657-($D657-$I$643)*MIN(E$3-$O$2,$Q$2)/$Q$2))</f>
        <v>8458.44543457031</v>
      </c>
      <c r="F657" s="15" t="n">
        <f aca="false">E657*(1+IF(F$3&lt;=$O$2,$D657,$D657-($D657-$I$643)*MIN(F$3-$O$2,$Q$2)/$Q$2))</f>
        <v>9137.33067300171</v>
      </c>
      <c r="G657" s="15" t="n">
        <f aca="false">F657*(1+IF(G$3&lt;=$O$2,$D657,$D657-($D657-$I$643)*MIN(G$3-$O$2,$Q$2)/$Q$2))</f>
        <v>9870.70407601668</v>
      </c>
      <c r="H657" s="15" t="n">
        <f aca="false">G657*(1+IF(H$3&lt;=$O$2,$D657,$D657-($D657-$I$643)*MIN(H$3-$O$2,$Q$2)/$Q$2))</f>
        <v>10662.9389307507</v>
      </c>
      <c r="I657" s="15" t="n">
        <f aca="false">H657*(1+IF(I$3&lt;=$O$2,$D657,$D657-($D657-$I$643)*MIN(I$3-$O$2,$Q$2)/$Q$2))</f>
        <v>11518.7595297459</v>
      </c>
      <c r="J657" s="15" t="n">
        <f aca="false">I657*(1+IF(J$3&lt;=$O$2,$D657,$D657-($D657-$I$643)*MIN(J$3-$O$2,$Q$2)/$Q$2))</f>
        <v>12323.5635593491</v>
      </c>
      <c r="K657" s="15" t="n">
        <f aca="false">J657*(1+IF(K$3&lt;=$O$2,$D657,$D657-($D657-$I$643)*MIN(K$3-$O$2,$Q$2)/$Q$2))</f>
        <v>13056.5289238608</v>
      </c>
      <c r="L657" s="15" t="n">
        <f aca="false">K657*(1+IF(L$3&lt;=$O$2,$D657,$D657-($D657-$I$643)*MIN(L$3-$O$2,$Q$2)/$Q$2))</f>
        <v>13697.4020158199</v>
      </c>
      <c r="M657" s="15" t="n">
        <f aca="false">L657*(1+IF(M$3&lt;=$O$2,$D657,$D657-($D657-$I$643)*MIN(M$3-$O$2,$Q$2)/$Q$2))</f>
        <v>14227.3852654611</v>
      </c>
      <c r="N657" s="15" t="n">
        <f aca="false">M657*(1+IF(N$3&lt;=$O$2,$D657,$D657-($D657-$I$643)*MIN(N$3-$O$2,$Q$2)/$Q$2))</f>
        <v>14630.0202684736</v>
      </c>
      <c r="O657" s="15" t="n">
        <f aca="false">SUMPRODUCT(E657:N657,1/(1+$F$643)^$E$3:$N$3)*$E$2</f>
        <v>20351.0272556884</v>
      </c>
      <c r="P657" s="15" t="n">
        <f aca="false">N657*$E$2*(1+$I$643)/($F$643-$I$643)/(1+$F$643)^$N$3</f>
        <v>27790.2653093044</v>
      </c>
      <c r="Q657" s="15" t="n">
        <f aca="false">O657+P657</f>
        <v>48141.2925649929</v>
      </c>
      <c r="R657" s="15" t="n">
        <f aca="false">Q657-$G$2+$I$2</f>
        <v>45624.2925649929</v>
      </c>
      <c r="S657" s="42" t="n">
        <f aca="false">R657/$K$2</f>
        <v>105.314372755166</v>
      </c>
      <c r="T657" s="43" t="n">
        <f aca="false">S657-$M$2</f>
        <v>0.056074430988545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0.080078125</v>
      </c>
      <c r="C658" s="25" t="n">
        <f aca="false">IF(T657&gt;0,D657,C657)</f>
        <v>0.08026123046875</v>
      </c>
      <c r="D658" s="41" t="n">
        <f aca="false">(B658+C658)/2</f>
        <v>0.080169677734375</v>
      </c>
      <c r="E658" s="15" t="n">
        <f aca="false">$C$2*(1+IF(E$3&lt;=$O$2,$D658,$D658-($D658-$I$643)*MIN(E$3-$O$2,$Q$2)/$Q$2))</f>
        <v>8457.72857666016</v>
      </c>
      <c r="F658" s="15" t="n">
        <f aca="false">E658*(1+IF(F$3&lt;=$O$2,$D658,$D658-($D658-$I$643)*MIN(F$3-$O$2,$Q$2)/$Q$2))</f>
        <v>9135.78195101582</v>
      </c>
      <c r="G658" s="15" t="n">
        <f aca="false">F658*(1+IF(G$3&lt;=$O$2,$D658,$D658-($D658-$I$643)*MIN(G$3-$O$2,$Q$2)/$Q$2))</f>
        <v>9868.19464588027</v>
      </c>
      <c r="H658" s="15" t="n">
        <f aca="false">G658*(1+IF(H$3&lt;=$O$2,$D658,$D658-($D658-$I$643)*MIN(H$3-$O$2,$Q$2)/$Q$2))</f>
        <v>10659.3246304606</v>
      </c>
      <c r="I658" s="15" t="n">
        <f aca="false">H658*(1+IF(I$3&lt;=$O$2,$D658,$D658-($D658-$I$643)*MIN(I$3-$O$2,$Q$2)/$Q$2))</f>
        <v>11513.8792509507</v>
      </c>
      <c r="J658" s="15" t="n">
        <f aca="false">I658*(1+IF(J$3&lt;=$O$2,$D658,$D658-($D658-$I$643)*MIN(J$3-$O$2,$Q$2)/$Q$2))</f>
        <v>12317.498998728</v>
      </c>
      <c r="K658" s="15" t="n">
        <f aca="false">J658*(1+IF(K$3&lt;=$O$2,$D658,$D658-($D658-$I$643)*MIN(K$3-$O$2,$Q$2)/$Q$2))</f>
        <v>13049.4270425266</v>
      </c>
      <c r="L658" s="15" t="n">
        <f aca="false">K658*(1+IF(L$3&lt;=$O$2,$D658,$D658-($D658-$I$643)*MIN(L$3-$O$2,$Q$2)/$Q$2))</f>
        <v>13689.4736579557</v>
      </c>
      <c r="M658" s="15" t="n">
        <f aca="false">L658*(1+IF(M$3&lt;=$O$2,$D658,$D658-($D658-$I$643)*MIN(M$3-$O$2,$Q$2)/$Q$2))</f>
        <v>14218.8994798741</v>
      </c>
      <c r="N658" s="15" t="n">
        <f aca="false">M658*(1+IF(N$3&lt;=$O$2,$D658,$D658-($D658-$I$643)*MIN(N$3-$O$2,$Q$2)/$Q$2))</f>
        <v>14621.2943351546</v>
      </c>
      <c r="O658" s="15" t="n">
        <f aca="false">SUMPRODUCT(E658:N658,1/(1+$F$643)^$E$3:$N$3)*$E$2</f>
        <v>20342.9570435026</v>
      </c>
      <c r="P658" s="15" t="n">
        <f aca="false">N658*$E$2*(1+$I$643)/($F$643-$I$643)/(1+$F$643)^$N$3</f>
        <v>27773.690075808</v>
      </c>
      <c r="Q658" s="15" t="n">
        <f aca="false">O658+P658</f>
        <v>48116.6471193106</v>
      </c>
      <c r="R658" s="15" t="n">
        <f aca="false">Q658-$G$2+$I$2</f>
        <v>45599.6471193106</v>
      </c>
      <c r="S658" s="42" t="n">
        <f aca="false">R658/$K$2</f>
        <v>105.257483771088</v>
      </c>
      <c r="T658" s="43" t="n">
        <f aca="false">S658-$M$2</f>
        <v>-0.000814553089526271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0.080169677734375</v>
      </c>
      <c r="C659" s="25" t="n">
        <f aca="false">IF(T658&gt;0,D658,C658)</f>
        <v>0.08026123046875</v>
      </c>
      <c r="D659" s="41" t="n">
        <f aca="false">(B659+C659)/2</f>
        <v>0.0802154541015625</v>
      </c>
      <c r="E659" s="15" t="n">
        <f aca="false">$C$2*(1+IF(E$3&lt;=$O$2,$D659,$D659-($D659-$I$643)*MIN(E$3-$O$2,$Q$2)/$Q$2))</f>
        <v>8458.08700561523</v>
      </c>
      <c r="F659" s="15" t="n">
        <f aca="false">E659*(1+IF(F$3&lt;=$O$2,$D659,$D659-($D659-$I$643)*MIN(F$3-$O$2,$Q$2)/$Q$2))</f>
        <v>9136.55629560119</v>
      </c>
      <c r="G659" s="15" t="n">
        <f aca="false">F659*(1+IF(G$3&lt;=$O$2,$D659,$D659-($D659-$I$643)*MIN(G$3-$O$2,$Q$2)/$Q$2))</f>
        <v>9869.44930777732</v>
      </c>
      <c r="H659" s="15" t="n">
        <f aca="false">G659*(1+IF(H$3&lt;=$O$2,$D659,$D659-($D659-$I$643)*MIN(H$3-$O$2,$Q$2)/$Q$2))</f>
        <v>10661.131665733</v>
      </c>
      <c r="I659" s="15" t="n">
        <f aca="false">H659*(1+IF(I$3&lt;=$O$2,$D659,$D659-($D659-$I$643)*MIN(I$3-$O$2,$Q$2)/$Q$2))</f>
        <v>11516.3191835364</v>
      </c>
      <c r="J659" s="15" t="n">
        <f aca="false">I659*(1+IF(J$3&lt;=$O$2,$D659,$D659-($D659-$I$643)*MIN(J$3-$O$2,$Q$2)/$Q$2))</f>
        <v>12320.5309684239</v>
      </c>
      <c r="K659" s="15" t="n">
        <f aca="false">J659*(1+IF(K$3&lt;=$O$2,$D659,$D659-($D659-$I$643)*MIN(K$3-$O$2,$Q$2)/$Q$2))</f>
        <v>13052.9775708291</v>
      </c>
      <c r="L659" s="15" t="n">
        <f aca="false">K659*(1+IF(L$3&lt;=$O$2,$D659,$D659-($D659-$I$643)*MIN(L$3-$O$2,$Q$2)/$Q$2))</f>
        <v>13693.4373392705</v>
      </c>
      <c r="M659" s="15" t="n">
        <f aca="false">L659*(1+IF(M$3&lt;=$O$2,$D659,$D659-($D659-$I$643)*MIN(M$3-$O$2,$Q$2)/$Q$2))</f>
        <v>14223.1418195077</v>
      </c>
      <c r="N659" s="15" t="n">
        <f aca="false">M659*(1+IF(N$3&lt;=$O$2,$D659,$D659-($D659-$I$643)*MIN(N$3-$O$2,$Q$2)/$Q$2))</f>
        <v>14625.6567329998</v>
      </c>
      <c r="O659" s="15" t="n">
        <f aca="false">SUMPRODUCT(E659:N659,1/(1+$F$643)^$E$3:$N$3)*$E$2</f>
        <v>20346.9917492981</v>
      </c>
      <c r="P659" s="15" t="n">
        <f aca="false">N659*$E$2*(1+$I$643)/($F$643-$I$643)/(1+$F$643)^$N$3</f>
        <v>27781.9766120724</v>
      </c>
      <c r="Q659" s="15" t="n">
        <f aca="false">O659+P659</f>
        <v>48128.9683613705</v>
      </c>
      <c r="R659" s="15" t="n">
        <f aca="false">Q659-$G$2+$I$2</f>
        <v>45611.9683613705</v>
      </c>
      <c r="S659" s="42" t="n">
        <f aca="false">R659/$K$2</f>
        <v>105.285924845045</v>
      </c>
      <c r="T659" s="43" t="n">
        <f aca="false">S659-$M$2</f>
        <v>0.0276265208680542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0.080169677734375</v>
      </c>
      <c r="C660" s="25" t="n">
        <f aca="false">IF(T659&gt;0,D659,C659)</f>
        <v>0.0802154541015625</v>
      </c>
      <c r="D660" s="41" t="n">
        <f aca="false">(B660+C660)/2</f>
        <v>0.0801925659179688</v>
      </c>
      <c r="E660" s="15" t="n">
        <f aca="false">$C$2*(1+IF(E$3&lt;=$O$2,$D660,$D660-($D660-$I$643)*MIN(E$3-$O$2,$Q$2)/$Q$2))</f>
        <v>8457.9077911377</v>
      </c>
      <c r="F660" s="15" t="n">
        <f aca="false">E660*(1+IF(F$3&lt;=$O$2,$D660,$D660-($D660-$I$643)*MIN(F$3-$O$2,$Q$2)/$Q$2))</f>
        <v>9136.16911920661</v>
      </c>
      <c r="G660" s="15" t="n">
        <f aca="false">F660*(1+IF(G$3&lt;=$O$2,$D660,$D660-($D660-$I$643)*MIN(G$3-$O$2,$Q$2)/$Q$2))</f>
        <v>9868.82196353629</v>
      </c>
      <c r="H660" s="15" t="n">
        <f aca="false">G660*(1+IF(H$3&lt;=$O$2,$D660,$D660-($D660-$I$643)*MIN(H$3-$O$2,$Q$2)/$Q$2))</f>
        <v>10660.2281193799</v>
      </c>
      <c r="I660" s="15" t="n">
        <f aca="false">H660*(1+IF(I$3&lt;=$O$2,$D660,$D660-($D660-$I$643)*MIN(I$3-$O$2,$Q$2)/$Q$2))</f>
        <v>11515.0991655438</v>
      </c>
      <c r="J660" s="15" t="n">
        <f aca="false">I660*(1+IF(J$3&lt;=$O$2,$D660,$D660-($D660-$I$643)*MIN(J$3-$O$2,$Q$2)/$Q$2))</f>
        <v>12319.0149059287</v>
      </c>
      <c r="K660" s="15" t="n">
        <f aca="false">J660*(1+IF(K$3&lt;=$O$2,$D660,$D660-($D660-$I$643)*MIN(K$3-$O$2,$Q$2)/$Q$2))</f>
        <v>13051.2022035967</v>
      </c>
      <c r="L660" s="15" t="n">
        <f aca="false">K660*(1+IF(L$3&lt;=$O$2,$D660,$D660-($D660-$I$643)*MIN(L$3-$O$2,$Q$2)/$Q$2))</f>
        <v>13691.455374222</v>
      </c>
      <c r="M660" s="15" t="n">
        <f aca="false">L660*(1+IF(M$3&lt;=$O$2,$D660,$D660-($D660-$I$643)*MIN(M$3-$O$2,$Q$2)/$Q$2))</f>
        <v>14221.0205114164</v>
      </c>
      <c r="N660" s="15" t="n">
        <f aca="false">M660*(1+IF(N$3&lt;=$O$2,$D660,$D660-($D660-$I$643)*MIN(N$3-$O$2,$Q$2)/$Q$2))</f>
        <v>14623.4753918895</v>
      </c>
      <c r="O660" s="15" t="n">
        <f aca="false">SUMPRODUCT(E660:N660,1/(1+$F$643)^$E$3:$N$3)*$E$2</f>
        <v>20344.9742963352</v>
      </c>
      <c r="P660" s="15" t="n">
        <f aca="false">N660*$E$2*(1+$I$643)/($F$643-$I$643)/(1+$F$643)^$N$3</f>
        <v>27777.8330738494</v>
      </c>
      <c r="Q660" s="15" t="n">
        <f aca="false">O660+P660</f>
        <v>48122.8073701847</v>
      </c>
      <c r="R660" s="15" t="n">
        <f aca="false">Q660-$G$2+$I$2</f>
        <v>45605.8073701847</v>
      </c>
      <c r="S660" s="42" t="n">
        <f aca="false">R660/$K$2</f>
        <v>105.271703453637</v>
      </c>
      <c r="T660" s="43" t="n">
        <f aca="false">S660-$M$2</f>
        <v>0.0134051294599686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0.080169677734375</v>
      </c>
      <c r="C661" s="25" t="n">
        <f aca="false">IF(T660&gt;0,D660,C660)</f>
        <v>0.0801925659179688</v>
      </c>
      <c r="D661" s="41" t="n">
        <f aca="false">(B661+C661)/2</f>
        <v>0.0801811218261719</v>
      </c>
      <c r="E661" s="15" t="n">
        <f aca="false">$C$2*(1+IF(E$3&lt;=$O$2,$D661,$D661-($D661-$I$643)*MIN(E$3-$O$2,$Q$2)/$Q$2))</f>
        <v>8457.81818389893</v>
      </c>
      <c r="F661" s="15" t="n">
        <f aca="false">E661*(1+IF(F$3&lt;=$O$2,$D661,$D661-($D661-$I$643)*MIN(F$3-$O$2,$Q$2)/$Q$2))</f>
        <v>9135.97553408574</v>
      </c>
      <c r="G661" s="15" t="n">
        <f aca="false">F661*(1+IF(G$3&lt;=$O$2,$D661,$D661-($D661-$I$643)*MIN(G$3-$O$2,$Q$2)/$Q$2))</f>
        <v>9868.50830138519</v>
      </c>
      <c r="H661" s="15" t="n">
        <f aca="false">G661*(1+IF(H$3&lt;=$O$2,$D661,$D661-($D661-$I$643)*MIN(H$3-$O$2,$Q$2)/$Q$2))</f>
        <v>10659.7763677411</v>
      </c>
      <c r="I661" s="15" t="n">
        <f aca="false">H661*(1+IF(I$3&lt;=$O$2,$D661,$D661-($D661-$I$643)*MIN(I$3-$O$2,$Q$2)/$Q$2))</f>
        <v>11514.4891953227</v>
      </c>
      <c r="J661" s="15" t="n">
        <f aca="false">I661*(1+IF(J$3&lt;=$O$2,$D661,$D661-($D661-$I$643)*MIN(J$3-$O$2,$Q$2)/$Q$2))</f>
        <v>12318.2569329173</v>
      </c>
      <c r="K661" s="15" t="n">
        <f aca="false">J661*(1+IF(K$3&lt;=$O$2,$D661,$D661-($D661-$I$643)*MIN(K$3-$O$2,$Q$2)/$Q$2))</f>
        <v>13050.3145972925</v>
      </c>
      <c r="L661" s="15" t="n">
        <f aca="false">K661*(1+IF(L$3&lt;=$O$2,$D661,$D661-($D661-$I$643)*MIN(L$3-$O$2,$Q$2)/$Q$2))</f>
        <v>13690.4644849927</v>
      </c>
      <c r="M661" s="15" t="n">
        <f aca="false">L661*(1+IF(M$3&lt;=$O$2,$D661,$D661-($D661-$I$643)*MIN(M$3-$O$2,$Q$2)/$Q$2))</f>
        <v>14219.9599610786</v>
      </c>
      <c r="N661" s="15" t="n">
        <f aca="false">M661*(1+IF(N$3&lt;=$O$2,$D661,$D661-($D661-$I$643)*MIN(N$3-$O$2,$Q$2)/$Q$2))</f>
        <v>14622.3848279771</v>
      </c>
      <c r="O661" s="15" t="n">
        <f aca="false">SUMPRODUCT(E661:N661,1/(1+$F$643)^$E$3:$N$3)*$E$2</f>
        <v>20343.9656449038</v>
      </c>
      <c r="P661" s="15" t="n">
        <f aca="false">N661*$E$2*(1+$I$643)/($F$643-$I$643)/(1+$F$643)^$N$3</f>
        <v>27775.7615073098</v>
      </c>
      <c r="Q661" s="15" t="n">
        <f aca="false">O661+P661</f>
        <v>48119.7271522136</v>
      </c>
      <c r="R661" s="15" t="n">
        <f aca="false">Q661-$G$2+$I$2</f>
        <v>45602.7271522136</v>
      </c>
      <c r="S661" s="42" t="n">
        <f aca="false">R661/$K$2</f>
        <v>105.264593398766</v>
      </c>
      <c r="T661" s="43" t="n">
        <f aca="false">S661-$M$2</f>
        <v>0.00629507458930334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0.080169677734375</v>
      </c>
      <c r="C662" s="25" t="n">
        <f aca="false">IF(T661&gt;0,D661,C661)</f>
        <v>0.0801811218261719</v>
      </c>
      <c r="D662" s="41" t="n">
        <f aca="false">(B662+C662)/2</f>
        <v>0.0801753997802734</v>
      </c>
      <c r="E662" s="15" t="n">
        <f aca="false">$C$2*(1+IF(E$3&lt;=$O$2,$D662,$D662-($D662-$I$643)*MIN(E$3-$O$2,$Q$2)/$Q$2))</f>
        <v>8457.77338027954</v>
      </c>
      <c r="F662" s="15" t="n">
        <f aca="false">E662*(1+IF(F$3&lt;=$O$2,$D662,$D662-($D662-$I$643)*MIN(F$3-$O$2,$Q$2)/$Q$2))</f>
        <v>9135.87874229441</v>
      </c>
      <c r="G662" s="15" t="n">
        <f aca="false">F662*(1+IF(G$3&lt;=$O$2,$D662,$D662-($D662-$I$643)*MIN(G$3-$O$2,$Q$2)/$Q$2))</f>
        <v>9868.35147280196</v>
      </c>
      <c r="H662" s="15" t="n">
        <f aca="false">G662*(1+IF(H$3&lt;=$O$2,$D662,$D662-($D662-$I$643)*MIN(H$3-$O$2,$Q$2)/$Q$2))</f>
        <v>10659.5504973061</v>
      </c>
      <c r="I662" s="15" t="n">
        <f aca="false">H662*(1+IF(I$3&lt;=$O$2,$D662,$D662-($D662-$I$643)*MIN(I$3-$O$2,$Q$2)/$Q$2))</f>
        <v>11514.1842199056</v>
      </c>
      <c r="J662" s="15" t="n">
        <f aca="false">I662*(1+IF(J$3&lt;=$O$2,$D662,$D662-($D662-$I$643)*MIN(J$3-$O$2,$Q$2)/$Q$2))</f>
        <v>12317.87796097</v>
      </c>
      <c r="K662" s="15" t="n">
        <f aca="false">J662*(1+IF(K$3&lt;=$O$2,$D662,$D662-($D662-$I$643)*MIN(K$3-$O$2,$Q$2)/$Q$2))</f>
        <v>13049.8708134674</v>
      </c>
      <c r="L662" s="15" t="n">
        <f aca="false">K662*(1+IF(L$3&lt;=$O$2,$D662,$D662-($D662-$I$643)*MIN(L$3-$O$2,$Q$2)/$Q$2))</f>
        <v>13689.9690637004</v>
      </c>
      <c r="M662" s="15" t="n">
        <f aca="false">L662*(1+IF(M$3&lt;=$O$2,$D662,$D662-($D662-$I$643)*MIN(M$3-$O$2,$Q$2)/$Q$2))</f>
        <v>14219.4297118349</v>
      </c>
      <c r="N662" s="15" t="n">
        <f aca="false">M662*(1+IF(N$3&lt;=$O$2,$D662,$D662-($D662-$I$643)*MIN(N$3-$O$2,$Q$2)/$Q$2))</f>
        <v>14621.8395726798</v>
      </c>
      <c r="O662" s="15" t="n">
        <f aca="false">SUMPRODUCT(E662:N662,1/(1+$F$643)^$E$3:$N$3)*$E$2</f>
        <v>20343.4613379496</v>
      </c>
      <c r="P662" s="15" t="n">
        <f aca="false">N662*$E$2*(1+$I$643)/($F$643-$I$643)/(1+$F$643)^$N$3</f>
        <v>27774.7257746796</v>
      </c>
      <c r="Q662" s="15" t="n">
        <f aca="false">O662+P662</f>
        <v>48118.1871126292</v>
      </c>
      <c r="R662" s="15" t="n">
        <f aca="false">Q662-$G$2+$I$2</f>
        <v>45601.1871126292</v>
      </c>
      <c r="S662" s="42" t="n">
        <f aca="false">R662/$K$2</f>
        <v>105.261038531529</v>
      </c>
      <c r="T662" s="43" t="n">
        <f aca="false">S662-$M$2</f>
        <v>0.00274020735231773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0.080169677734375</v>
      </c>
      <c r="C663" s="25" t="n">
        <f aca="false">IF(T662&gt;0,D662,C662)</f>
        <v>0.0801753997802734</v>
      </c>
      <c r="D663" s="41" t="n">
        <f aca="false">(B663+C663)/2</f>
        <v>0.0801725387573242</v>
      </c>
      <c r="E663" s="15" t="n">
        <f aca="false">$C$2*(1+IF(E$3&lt;=$O$2,$D663,$D663-($D663-$I$643)*MIN(E$3-$O$2,$Q$2)/$Q$2))</f>
        <v>8457.75097846985</v>
      </c>
      <c r="F663" s="15" t="n">
        <f aca="false">E663*(1+IF(F$3&lt;=$O$2,$D663,$D663-($D663-$I$643)*MIN(F$3-$O$2,$Q$2)/$Q$2))</f>
        <v>9135.83034659102</v>
      </c>
      <c r="G663" s="15" t="n">
        <f aca="false">F663*(1+IF(G$3&lt;=$O$2,$D663,$D663-($D663-$I$643)*MIN(G$3-$O$2,$Q$2)/$Q$2))</f>
        <v>9868.27305913343</v>
      </c>
      <c r="H663" s="15" t="n">
        <f aca="false">G663*(1+IF(H$3&lt;=$O$2,$D663,$D663-($D663-$I$643)*MIN(H$3-$O$2,$Q$2)/$Q$2))</f>
        <v>10659.4375634347</v>
      </c>
      <c r="I663" s="15" t="n">
        <f aca="false">H663*(1+IF(I$3&lt;=$O$2,$D663,$D663-($D663-$I$643)*MIN(I$3-$O$2,$Q$2)/$Q$2))</f>
        <v>11514.0317346204</v>
      </c>
      <c r="J663" s="15" t="n">
        <f aca="false">I663*(1+IF(J$3&lt;=$O$2,$D663,$D663-($D663-$I$643)*MIN(J$3-$O$2,$Q$2)/$Q$2))</f>
        <v>12317.6884786359</v>
      </c>
      <c r="K663" s="15" t="n">
        <f aca="false">J663*(1+IF(K$3&lt;=$O$2,$D663,$D663-($D663-$I$643)*MIN(K$3-$O$2,$Q$2)/$Q$2))</f>
        <v>13049.6489263865</v>
      </c>
      <c r="L663" s="15" t="n">
        <f aca="false">K663*(1+IF(L$3&lt;=$O$2,$D663,$D663-($D663-$I$643)*MIN(L$3-$O$2,$Q$2)/$Q$2))</f>
        <v>13689.7213588846</v>
      </c>
      <c r="M663" s="15" t="n">
        <f aca="false">L663*(1+IF(M$3&lt;=$O$2,$D663,$D663-($D663-$I$643)*MIN(M$3-$O$2,$Q$2)/$Q$2))</f>
        <v>14219.1645936942</v>
      </c>
      <c r="N663" s="15" t="n">
        <f aca="false">M663*(1+IF(N$3&lt;=$O$2,$D663,$D663-($D663-$I$643)*MIN(N$3-$O$2,$Q$2)/$Q$2))</f>
        <v>14621.5669516957</v>
      </c>
      <c r="O663" s="15" t="n">
        <f aca="false">SUMPRODUCT(E663:N663,1/(1+$F$643)^$E$3:$N$3)*$E$2</f>
        <v>20343.2091891627</v>
      </c>
      <c r="P663" s="15" t="n">
        <f aca="false">N663*$E$2*(1+$I$643)/($F$643-$I$643)/(1+$F$643)^$N$3</f>
        <v>27774.207921024</v>
      </c>
      <c r="Q663" s="15" t="n">
        <f aca="false">O663+P663</f>
        <v>48117.4171101867</v>
      </c>
      <c r="R663" s="15" t="n">
        <f aca="false">Q663-$G$2+$I$2</f>
        <v>45600.4171101867</v>
      </c>
      <c r="S663" s="42" t="n">
        <f aca="false">R663/$K$2</f>
        <v>105.259261137959</v>
      </c>
      <c r="T663" s="43" t="n">
        <f aca="false">S663-$M$2</f>
        <v>0.000962813782194871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0.080169677734375</v>
      </c>
      <c r="C664" s="25" t="n">
        <f aca="false">IF(T663&gt;0,D663,C663)</f>
        <v>0.0801725387573242</v>
      </c>
      <c r="D664" s="41" t="n">
        <f aca="false">(B664+C664)/2</f>
        <v>0.0801711082458496</v>
      </c>
      <c r="E664" s="15" t="n">
        <f aca="false">$C$2*(1+IF(E$3&lt;=$O$2,$D664,$D664-($D664-$I$643)*MIN(E$3-$O$2,$Q$2)/$Q$2))</f>
        <v>8457.739777565</v>
      </c>
      <c r="F664" s="15" t="n">
        <f aca="false">E664*(1+IF(F$3&lt;=$O$2,$D664,$D664-($D664-$I$643)*MIN(F$3-$O$2,$Q$2)/$Q$2))</f>
        <v>9135.8061487874</v>
      </c>
      <c r="G664" s="15" t="n">
        <f aca="false">F664*(1+IF(G$3&lt;=$O$2,$D664,$D664-($D664-$I$643)*MIN(G$3-$O$2,$Q$2)/$Q$2))</f>
        <v>9868.23385245493</v>
      </c>
      <c r="H664" s="15" t="n">
        <f aca="false">G664*(1+IF(H$3&lt;=$O$2,$D664,$D664-($D664-$I$643)*MIN(H$3-$O$2,$Q$2)/$Q$2))</f>
        <v>10659.3810968354</v>
      </c>
      <c r="I664" s="15" t="n">
        <f aca="false">H664*(1+IF(I$3&lt;=$O$2,$D664,$D664-($D664-$I$643)*MIN(I$3-$O$2,$Q$2)/$Q$2))</f>
        <v>11513.9554925836</v>
      </c>
      <c r="J664" s="15" t="n">
        <f aca="false">I664*(1+IF(J$3&lt;=$O$2,$D664,$D664-($D664-$I$643)*MIN(J$3-$O$2,$Q$2)/$Q$2))</f>
        <v>12317.5937383787</v>
      </c>
      <c r="K664" s="15" t="n">
        <f aca="false">J664*(1+IF(K$3&lt;=$O$2,$D664,$D664-($D664-$I$643)*MIN(K$3-$O$2,$Q$2)/$Q$2))</f>
        <v>13049.5379840539</v>
      </c>
      <c r="L664" s="15" t="n">
        <f aca="false">K664*(1+IF(L$3&lt;=$O$2,$D664,$D664-($D664-$I$643)*MIN(L$3-$O$2,$Q$2)/$Q$2))</f>
        <v>13689.5975079343</v>
      </c>
      <c r="M664" s="15" t="n">
        <f aca="false">L664*(1+IF(M$3&lt;=$O$2,$D664,$D664-($D664-$I$643)*MIN(M$3-$O$2,$Q$2)/$Q$2))</f>
        <v>14219.0320362441</v>
      </c>
      <c r="N664" s="15" t="n">
        <f aca="false">M664*(1+IF(N$3&lt;=$O$2,$D664,$D664-($D664-$I$643)*MIN(N$3-$O$2,$Q$2)/$Q$2))</f>
        <v>14621.4306428698</v>
      </c>
      <c r="O664" s="15" t="n">
        <f aca="false">SUMPRODUCT(E664:N664,1/(1+$F$643)^$E$3:$N$3)*$E$2</f>
        <v>20343.0831159418</v>
      </c>
      <c r="P664" s="15" t="n">
        <f aca="false">N664*$E$2*(1+$I$643)/($F$643-$I$643)/(1+$F$643)^$N$3</f>
        <v>27773.9489973611</v>
      </c>
      <c r="Q664" s="15" t="n">
        <f aca="false">O664+P664</f>
        <v>48117.0321133029</v>
      </c>
      <c r="R664" s="15" t="n">
        <f aca="false">Q664-$G$2+$I$2</f>
        <v>45600.0321133029</v>
      </c>
      <c r="S664" s="42" t="n">
        <f aca="false">R664/$K$2</f>
        <v>105.258372451186</v>
      </c>
      <c r="T664" s="43" t="n">
        <f aca="false">S664-$M$2</f>
        <v>7.41270090571788E-005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0.080169677734375</v>
      </c>
      <c r="C665" s="25" t="n">
        <f aca="false">IF(T664&gt;0,D664,C664)</f>
        <v>0.0801711082458496</v>
      </c>
      <c r="D665" s="41" t="n">
        <f aca="false">(B665+C665)/2</f>
        <v>0.0801703929901123</v>
      </c>
      <c r="E665" s="15" t="n">
        <f aca="false">$C$2*(1+IF(E$3&lt;=$O$2,$D665,$D665-($D665-$I$643)*MIN(E$3-$O$2,$Q$2)/$Q$2))</f>
        <v>8457.73417711258</v>
      </c>
      <c r="F665" s="15" t="n">
        <f aca="false">E665*(1+IF(F$3&lt;=$O$2,$D665,$D665-($D665-$I$643)*MIN(F$3-$O$2,$Q$2)/$Q$2))</f>
        <v>9135.7940498976</v>
      </c>
      <c r="G665" s="15" t="n">
        <f aca="false">F665*(1+IF(G$3&lt;=$O$2,$D665,$D665-($D665-$I$643)*MIN(G$3-$O$2,$Q$2)/$Q$2))</f>
        <v>9868.21424915462</v>
      </c>
      <c r="H665" s="15" t="n">
        <f aca="false">G665*(1+IF(H$3&lt;=$O$2,$D665,$D665-($D665-$I$643)*MIN(H$3-$O$2,$Q$2)/$Q$2))</f>
        <v>10659.35286362</v>
      </c>
      <c r="I665" s="15" t="n">
        <f aca="false">H665*(1+IF(I$3&lt;=$O$2,$D665,$D665-($D665-$I$643)*MIN(I$3-$O$2,$Q$2)/$Q$2))</f>
        <v>11513.9173717167</v>
      </c>
      <c r="J665" s="15" t="n">
        <f aca="false">I665*(1+IF(J$3&lt;=$O$2,$D665,$D665-($D665-$I$643)*MIN(J$3-$O$2,$Q$2)/$Q$2))</f>
        <v>12317.5463684775</v>
      </c>
      <c r="K665" s="15" t="n">
        <f aca="false">J665*(1+IF(K$3&lt;=$O$2,$D665,$D665-($D665-$I$643)*MIN(K$3-$O$2,$Q$2)/$Q$2))</f>
        <v>13049.4825131896</v>
      </c>
      <c r="L665" s="15" t="n">
        <f aca="false">K665*(1+IF(L$3&lt;=$O$2,$D665,$D665-($D665-$I$643)*MIN(L$3-$O$2,$Q$2)/$Q$2))</f>
        <v>13689.5355828235</v>
      </c>
      <c r="M665" s="15" t="n">
        <f aca="false">L665*(1+IF(M$3&lt;=$O$2,$D665,$D665-($D665-$I$643)*MIN(M$3-$O$2,$Q$2)/$Q$2))</f>
        <v>14218.9657579241</v>
      </c>
      <c r="N665" s="15" t="n">
        <f aca="false">M665*(1+IF(N$3&lt;=$O$2,$D665,$D665-($D665-$I$643)*MIN(N$3-$O$2,$Q$2)/$Q$2))</f>
        <v>14621.3624888733</v>
      </c>
      <c r="O665" s="15" t="n">
        <f aca="false">SUMPRODUCT(E665:N665,1/(1+$F$643)^$E$3:$N$3)*$E$2</f>
        <v>20343.0200796245</v>
      </c>
      <c r="P665" s="15" t="n">
        <f aca="false">N665*$E$2*(1+$I$643)/($F$643-$I$643)/(1+$F$643)^$N$3</f>
        <v>27773.8195363208</v>
      </c>
      <c r="Q665" s="15" t="n">
        <f aca="false">O665+P665</f>
        <v>48116.8396159453</v>
      </c>
      <c r="R665" s="15" t="n">
        <f aca="false">Q665-$G$2+$I$2</f>
        <v>45599.8396159453</v>
      </c>
      <c r="S665" s="42" t="n">
        <f aca="false">R665/$K$2</f>
        <v>105.257928110303</v>
      </c>
      <c r="T665" s="43" t="n">
        <f aca="false">S665-$M$2</f>
        <v>-0.000370213874575143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0.0801703929901123</v>
      </c>
      <c r="C666" s="25" t="n">
        <f aca="false">IF(T665&gt;0,D665,C665)</f>
        <v>0.0801711082458496</v>
      </c>
      <c r="D666" s="41" t="n">
        <f aca="false">(B666+C666)/2</f>
        <v>0.080170750617981</v>
      </c>
      <c r="E666" s="15" t="n">
        <f aca="false">$C$2*(1+IF(E$3&lt;=$O$2,$D666,$D666-($D666-$I$643)*MIN(E$3-$O$2,$Q$2)/$Q$2))</f>
        <v>8457.73697733879</v>
      </c>
      <c r="F666" s="15" t="n">
        <f aca="false">E666*(1+IF(F$3&lt;=$O$2,$D666,$D666-($D666-$I$643)*MIN(F$3-$O$2,$Q$2)/$Q$2))</f>
        <v>9135.8000993415</v>
      </c>
      <c r="G666" s="15" t="n">
        <f aca="false">F666*(1+IF(G$3&lt;=$O$2,$D666,$D666-($D666-$I$643)*MIN(G$3-$O$2,$Q$2)/$Q$2))</f>
        <v>9868.22405080153</v>
      </c>
      <c r="H666" s="15" t="n">
        <f aca="false">G666*(1+IF(H$3&lt;=$O$2,$D666,$D666-($D666-$I$643)*MIN(H$3-$O$2,$Q$2)/$Q$2))</f>
        <v>10659.3669802207</v>
      </c>
      <c r="I666" s="15" t="n">
        <f aca="false">H666*(1+IF(I$3&lt;=$O$2,$D666,$D666-($D666-$I$643)*MIN(I$3-$O$2,$Q$2)/$Q$2))</f>
        <v>11513.9364321375</v>
      </c>
      <c r="J666" s="15" t="n">
        <f aca="false">I666*(1+IF(J$3&lt;=$O$2,$D666,$D666-($D666-$I$643)*MIN(J$3-$O$2,$Q$2)/$Q$2))</f>
        <v>12317.5700534092</v>
      </c>
      <c r="K666" s="15" t="n">
        <f aca="false">J666*(1+IF(K$3&lt;=$O$2,$D666,$D666-($D666-$I$643)*MIN(K$3-$O$2,$Q$2)/$Q$2))</f>
        <v>13049.5102485966</v>
      </c>
      <c r="L666" s="15" t="n">
        <f aca="false">K666*(1+IF(L$3&lt;=$O$2,$D666,$D666-($D666-$I$643)*MIN(L$3-$O$2,$Q$2)/$Q$2))</f>
        <v>13689.5665453486</v>
      </c>
      <c r="M666" s="15" t="n">
        <f aca="false">L666*(1+IF(M$3&lt;=$O$2,$D666,$D666-($D666-$I$643)*MIN(M$3-$O$2,$Q$2)/$Q$2))</f>
        <v>14218.9988970503</v>
      </c>
      <c r="N666" s="15" t="n">
        <f aca="false">M666*(1+IF(N$3&lt;=$O$2,$D666,$D666-($D666-$I$643)*MIN(N$3-$O$2,$Q$2)/$Q$2))</f>
        <v>14621.3965658368</v>
      </c>
      <c r="O666" s="15" t="n">
        <f aca="false">SUMPRODUCT(E666:N666,1/(1+$F$643)^$E$3:$N$3)*$E$2</f>
        <v>20343.0515977587</v>
      </c>
      <c r="P666" s="15" t="n">
        <f aca="false">N666*$E$2*(1+$I$643)/($F$643-$I$643)/(1+$F$643)^$N$3</f>
        <v>27773.884266775</v>
      </c>
      <c r="Q666" s="15" t="n">
        <f aca="false">O666+P666</f>
        <v>48116.9358645337</v>
      </c>
      <c r="R666" s="15" t="n">
        <f aca="false">Q666-$G$2+$I$2</f>
        <v>45599.9358645337</v>
      </c>
      <c r="S666" s="42" t="n">
        <f aca="false">R666/$K$2</f>
        <v>105.258150280536</v>
      </c>
      <c r="T666" s="43" t="n">
        <f aca="false">S666-$M$2</f>
        <v>-0.000148043641345907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0.080170750617981</v>
      </c>
      <c r="C667" s="25" t="n">
        <f aca="false">IF(T666&gt;0,D666,C666)</f>
        <v>0.0801711082458496</v>
      </c>
      <c r="D667" s="41" t="n">
        <f aca="false">(B667+C667)/2</f>
        <v>0.0801709294319153</v>
      </c>
      <c r="E667" s="15" t="n">
        <f aca="false">$C$2*(1+IF(E$3&lt;=$O$2,$D667,$D667-($D667-$I$643)*MIN(E$3-$O$2,$Q$2)/$Q$2))</f>
        <v>8457.7383774519</v>
      </c>
      <c r="F667" s="15" t="n">
        <f aca="false">E667*(1+IF(F$3&lt;=$O$2,$D667,$D667-($D667-$I$643)*MIN(F$3-$O$2,$Q$2)/$Q$2))</f>
        <v>9135.80312406419</v>
      </c>
      <c r="G667" s="15" t="n">
        <f aca="false">F667*(1+IF(G$3&lt;=$O$2,$D667,$D667-($D667-$I$643)*MIN(G$3-$O$2,$Q$2)/$Q$2))</f>
        <v>9868.22895162742</v>
      </c>
      <c r="H667" s="15" t="n">
        <f aca="false">G667*(1+IF(H$3&lt;=$O$2,$D667,$D667-($D667-$I$643)*MIN(H$3-$O$2,$Q$2)/$Q$2))</f>
        <v>10659.3740385263</v>
      </c>
      <c r="I667" s="15" t="n">
        <f aca="false">H667*(1+IF(I$3&lt;=$O$2,$D667,$D667-($D667-$I$643)*MIN(I$3-$O$2,$Q$2)/$Q$2))</f>
        <v>11513.9459623574</v>
      </c>
      <c r="J667" s="15" t="n">
        <f aca="false">I667*(1+IF(J$3&lt;=$O$2,$D667,$D667-($D667-$I$643)*MIN(J$3-$O$2,$Q$2)/$Q$2))</f>
        <v>12317.5818958892</v>
      </c>
      <c r="K667" s="15" t="n">
        <f aca="false">J667*(1+IF(K$3&lt;=$O$2,$D667,$D667-($D667-$I$643)*MIN(K$3-$O$2,$Q$2)/$Q$2))</f>
        <v>13049.5241163189</v>
      </c>
      <c r="L667" s="15" t="n">
        <f aca="false">K667*(1+IF(L$3&lt;=$O$2,$D667,$D667-($D667-$I$643)*MIN(L$3-$O$2,$Q$2)/$Q$2))</f>
        <v>13689.5820266338</v>
      </c>
      <c r="M667" s="15" t="n">
        <f aca="false">L667*(1+IF(M$3&lt;=$O$2,$D667,$D667-($D667-$I$643)*MIN(M$3-$O$2,$Q$2)/$Q$2))</f>
        <v>14219.0154666388</v>
      </c>
      <c r="N667" s="15" t="n">
        <f aca="false">M667*(1+IF(N$3&lt;=$O$2,$D667,$D667-($D667-$I$643)*MIN(N$3-$O$2,$Q$2)/$Q$2))</f>
        <v>14621.4136043446</v>
      </c>
      <c r="O667" s="15" t="n">
        <f aca="false">SUMPRODUCT(E667:N667,1/(1+$F$643)^$E$3:$N$3)*$E$2</f>
        <v>20343.0673568441</v>
      </c>
      <c r="P667" s="15" t="n">
        <f aca="false">N667*$E$2*(1+$I$643)/($F$643-$I$643)/(1+$F$643)^$N$3</f>
        <v>27773.9166320515</v>
      </c>
      <c r="Q667" s="15" t="n">
        <f aca="false">O667+P667</f>
        <v>48116.9839888957</v>
      </c>
      <c r="R667" s="15" t="n">
        <f aca="false">Q667-$G$2+$I$2</f>
        <v>45599.9839888957</v>
      </c>
      <c r="S667" s="42" t="n">
        <f aca="false">R667/$K$2</f>
        <v>105.258261365809</v>
      </c>
      <c r="T667" s="43" t="n">
        <f aca="false">S667-$M$2</f>
        <v>-3.69583682982011E-005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0.0801709294319153</v>
      </c>
      <c r="C668" s="25" t="n">
        <f aca="false">IF(T667&gt;0,D667,C667)</f>
        <v>0.0801711082458496</v>
      </c>
      <c r="D668" s="41" t="n">
        <f aca="false">(B668+C668)/2</f>
        <v>0.0801710188388825</v>
      </c>
      <c r="E668" s="15" t="n">
        <f aca="false">$C$2*(1+IF(E$3&lt;=$O$2,$D668,$D668-($D668-$I$643)*MIN(E$3-$O$2,$Q$2)/$Q$2))</f>
        <v>8457.73907750845</v>
      </c>
      <c r="F668" s="15" t="n">
        <f aca="false">E668*(1+IF(F$3&lt;=$O$2,$D668,$D668-($D668-$I$643)*MIN(F$3-$O$2,$Q$2)/$Q$2))</f>
        <v>9135.80463642573</v>
      </c>
      <c r="G668" s="15" t="n">
        <f aca="false">F668*(1+IF(G$3&lt;=$O$2,$D668,$D668-($D668-$I$643)*MIN(G$3-$O$2,$Q$2)/$Q$2))</f>
        <v>9868.23140204097</v>
      </c>
      <c r="H668" s="15" t="n">
        <f aca="false">G668*(1+IF(H$3&lt;=$O$2,$D668,$D668-($D668-$I$643)*MIN(H$3-$O$2,$Q$2)/$Q$2))</f>
        <v>10659.3775676804</v>
      </c>
      <c r="I668" s="15" t="n">
        <f aca="false">H668*(1+IF(I$3&lt;=$O$2,$D668,$D668-($D668-$I$643)*MIN(I$3-$O$2,$Q$2)/$Q$2))</f>
        <v>11513.9507274697</v>
      </c>
      <c r="J668" s="15" t="n">
        <f aca="false">I668*(1+IF(J$3&lt;=$O$2,$D668,$D668-($D668-$I$643)*MIN(J$3-$O$2,$Q$2)/$Q$2))</f>
        <v>12317.5878171327</v>
      </c>
      <c r="K668" s="15" t="n">
        <f aca="false">J668*(1+IF(K$3&lt;=$O$2,$D668,$D668-($D668-$I$643)*MIN(K$3-$O$2,$Q$2)/$Q$2))</f>
        <v>13049.5310501849</v>
      </c>
      <c r="L668" s="15" t="n">
        <f aca="false">K668*(1+IF(L$3&lt;=$O$2,$D668,$D668-($D668-$I$643)*MIN(L$3-$O$2,$Q$2)/$Q$2))</f>
        <v>13689.5897672822</v>
      </c>
      <c r="M668" s="15" t="n">
        <f aca="false">L668*(1+IF(M$3&lt;=$O$2,$D668,$D668-($D668-$I$643)*MIN(M$3-$O$2,$Q$2)/$Q$2))</f>
        <v>14219.0237514393</v>
      </c>
      <c r="N668" s="15" t="n">
        <f aca="false">M668*(1+IF(N$3&lt;=$O$2,$D668,$D668-($D668-$I$643)*MIN(N$3-$O$2,$Q$2)/$Q$2))</f>
        <v>14621.422123605</v>
      </c>
      <c r="O668" s="15" t="n">
        <f aca="false">SUMPRODUCT(E668:N668,1/(1+$F$643)^$E$3:$N$3)*$E$2</f>
        <v>20343.0752363914</v>
      </c>
      <c r="P668" s="15" t="n">
        <f aca="false">N668*$E$2*(1+$I$643)/($F$643-$I$643)/(1+$F$643)^$N$3</f>
        <v>27773.9328147022</v>
      </c>
      <c r="Q668" s="15" t="n">
        <f aca="false">O668+P668</f>
        <v>48117.0080510936</v>
      </c>
      <c r="R668" s="15" t="n">
        <f aca="false">Q668-$G$2+$I$2</f>
        <v>45600.0080510936</v>
      </c>
      <c r="S668" s="42" t="n">
        <f aca="false">R668/$K$2</f>
        <v>105.258316908484</v>
      </c>
      <c r="T668" s="43" t="n">
        <f aca="false">S668-$M$2</f>
        <v>1.85843073552405E-005</v>
      </c>
    </row>
    <row r="670" customFormat="false" ht="15" hidden="false" customHeight="false" outlineLevel="0" collapsed="false">
      <c r="A670" s="38" t="s">
        <v>196</v>
      </c>
      <c r="E670" s="5" t="s">
        <v>11</v>
      </c>
      <c r="F670" s="12" t="n">
        <f aca="false">Sensitivity!$B$14</f>
        <v>0.0921529104257703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153</v>
      </c>
      <c r="B671" s="28" t="s">
        <v>154</v>
      </c>
      <c r="C671" s="28" t="s">
        <v>155</v>
      </c>
      <c r="D671" s="28" t="s">
        <v>156</v>
      </c>
      <c r="E671" s="28" t="s">
        <v>157</v>
      </c>
      <c r="F671" s="28" t="s">
        <v>158</v>
      </c>
      <c r="G671" s="28" t="s">
        <v>159</v>
      </c>
      <c r="H671" s="28" t="s">
        <v>160</v>
      </c>
      <c r="I671" s="28" t="s">
        <v>161</v>
      </c>
      <c r="J671" s="28" t="s">
        <v>162</v>
      </c>
      <c r="K671" s="28" t="s">
        <v>163</v>
      </c>
      <c r="L671" s="28" t="s">
        <v>164</v>
      </c>
      <c r="M671" s="28" t="s">
        <v>165</v>
      </c>
      <c r="N671" s="28" t="s">
        <v>166</v>
      </c>
      <c r="O671" s="28" t="s">
        <v>167</v>
      </c>
      <c r="P671" s="28" t="s">
        <v>168</v>
      </c>
      <c r="Q671" s="28" t="s">
        <v>169</v>
      </c>
      <c r="R671" s="28" t="s">
        <v>170</v>
      </c>
      <c r="S671" s="28" t="s">
        <v>171</v>
      </c>
      <c r="T671" s="28" t="s">
        <v>172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9787.5</v>
      </c>
      <c r="F672" s="15" t="n">
        <f aca="false">E672*(1+IF(F$3&lt;=$O$2,$D672,$D672-($D672-$I$670)*MIN(F$3-$O$2,$Q$2)/$Q$2))</f>
        <v>12234.375</v>
      </c>
      <c r="G672" s="15" t="n">
        <f aca="false">F672*(1+IF(G$3&lt;=$O$2,$D672,$D672-($D672-$I$670)*MIN(G$3-$O$2,$Q$2)/$Q$2))</f>
        <v>15292.96875</v>
      </c>
      <c r="H672" s="15" t="n">
        <f aca="false">G672*(1+IF(H$3&lt;=$O$2,$D672,$D672-($D672-$I$670)*MIN(H$3-$O$2,$Q$2)/$Q$2))</f>
        <v>19116.2109375</v>
      </c>
      <c r="I672" s="15" t="n">
        <f aca="false">H672*(1+IF(I$3&lt;=$O$2,$D672,$D672-($D672-$I$670)*MIN(I$3-$O$2,$Q$2)/$Q$2))</f>
        <v>23895.263671875</v>
      </c>
      <c r="J672" s="15" t="n">
        <f aca="false">I672*(1+IF(J$3&lt;=$O$2,$D672,$D672-($D672-$I$670)*MIN(J$3-$O$2,$Q$2)/$Q$2))</f>
        <v>28833.4588623047</v>
      </c>
      <c r="K672" s="15" t="n">
        <f aca="false">J672*(1+IF(K$3&lt;=$O$2,$D672,$D672-($D672-$I$670)*MIN(K$3-$O$2,$Q$2)/$Q$2))</f>
        <v>33542.5393636963</v>
      </c>
      <c r="L672" s="15" t="n">
        <f aca="false">K672*(1+IF(L$3&lt;=$O$2,$D672,$D672-($D672-$I$670)*MIN(L$3-$O$2,$Q$2)/$Q$2))</f>
        <v>37566.9732365526</v>
      </c>
      <c r="M672" s="15" t="n">
        <f aca="false">L672*(1+IF(M$3&lt;=$O$2,$D672,$D672-($D672-$I$670)*MIN(M$3-$O$2,$Q$2)/$Q$2))</f>
        <v>40446.106065402</v>
      </c>
      <c r="N672" s="15" t="n">
        <f aca="false">M672*(1+IF(N$3&lt;=$O$2,$D672,$D672-($D672-$I$670)*MIN(N$3-$O$2,$Q$2)/$Q$2))</f>
        <v>41792.9613973798</v>
      </c>
      <c r="O672" s="15" t="n">
        <f aca="false">SUMPRODUCT(E672:N672,1/(1+$F$670)^$E$3:$N$3)*$E$2</f>
        <v>42441.4245239761</v>
      </c>
      <c r="P672" s="15" t="n">
        <f aca="false">N672*$E$2*(1+$I$670)/($F$670-$I$670)/(1+$F$670)^$N$3</f>
        <v>86550.6347174892</v>
      </c>
      <c r="Q672" s="15" t="n">
        <f aca="false">O672+P672</f>
        <v>128992.059241465</v>
      </c>
      <c r="R672" s="15" t="n">
        <f aca="false">Q672-$G$2+$I$2</f>
        <v>126475.059241465</v>
      </c>
      <c r="S672" s="42" t="n">
        <f aca="false">R672/$K$2</f>
        <v>291.941875355397</v>
      </c>
      <c r="T672" s="43" t="n">
        <f aca="false">S672-$M$2</f>
        <v>186.68357703122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6851.25</v>
      </c>
      <c r="F673" s="15" t="n">
        <f aca="false">E673*(1+IF(F$3&lt;=$O$2,$D673,$D673-($D673-$I$670)*MIN(F$3-$O$2,$Q$2)/$Q$2))</f>
        <v>5994.84375</v>
      </c>
      <c r="G673" s="15" t="n">
        <f aca="false">F673*(1+IF(G$3&lt;=$O$2,$D673,$D673-($D673-$I$670)*MIN(G$3-$O$2,$Q$2)/$Q$2))</f>
        <v>5245.48828125</v>
      </c>
      <c r="H673" s="15" t="n">
        <f aca="false">G673*(1+IF(H$3&lt;=$O$2,$D673,$D673-($D673-$I$670)*MIN(H$3-$O$2,$Q$2)/$Q$2))</f>
        <v>4589.80224609375</v>
      </c>
      <c r="I673" s="15" t="n">
        <f aca="false">H673*(1+IF(I$3&lt;=$O$2,$D673,$D673-($D673-$I$670)*MIN(I$3-$O$2,$Q$2)/$Q$2))</f>
        <v>4016.07696533203</v>
      </c>
      <c r="J673" s="15" t="n">
        <f aca="false">I673*(1+IF(J$3&lt;=$O$2,$D673,$D673-($D673-$I$670)*MIN(J$3-$O$2,$Q$2)/$Q$2))</f>
        <v>3641.21634138794</v>
      </c>
      <c r="K673" s="15" t="n">
        <f aca="false">J673*(1+IF(K$3&lt;=$O$2,$D673,$D673-($D673-$I$670)*MIN(K$3-$O$2,$Q$2)/$Q$2))</f>
        <v>3416.62611745113</v>
      </c>
      <c r="L673" s="15" t="n">
        <f aca="false">K673*(1+IF(L$3&lt;=$O$2,$D673,$D673-($D673-$I$670)*MIN(L$3-$O$2,$Q$2)/$Q$2))</f>
        <v>3314.05900140525</v>
      </c>
      <c r="M673" s="15" t="n">
        <f aca="false">L673*(1+IF(M$3&lt;=$O$2,$D673,$D673-($D673-$I$670)*MIN(M$3-$O$2,$Q$2)/$Q$2))</f>
        <v>3319.49405816755</v>
      </c>
      <c r="N673" s="15" t="n">
        <f aca="false">M673*(1+IF(N$3&lt;=$O$2,$D673,$D673-($D673-$I$670)*MIN(N$3-$O$2,$Q$2)/$Q$2))</f>
        <v>3430.03321030453</v>
      </c>
      <c r="O673" s="15" t="n">
        <f aca="false">SUMPRODUCT(E673:N673,1/(1+$F$670)^$E$3:$N$3)*$E$2</f>
        <v>8454.14958664363</v>
      </c>
      <c r="P673" s="15" t="n">
        <f aca="false">N673*$E$2*(1+$I$670)/($F$670-$I$670)/(1+$F$670)^$N$3</f>
        <v>7103.38634850931</v>
      </c>
      <c r="Q673" s="15" t="n">
        <f aca="false">O673+P673</f>
        <v>15557.5359351529</v>
      </c>
      <c r="R673" s="15" t="n">
        <f aca="false">Q673-$G$2+$I$2</f>
        <v>13040.5359351529</v>
      </c>
      <c r="S673" s="42" t="n">
        <f aca="false">R673/$K$2</f>
        <v>30.1014171440675</v>
      </c>
      <c r="T673" s="43" t="n">
        <f aca="false">S673-$M$2</f>
        <v>-75.1568811801096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8319.375</v>
      </c>
      <c r="F674" s="15" t="n">
        <f aca="false">E674*(1+IF(F$3&lt;=$O$2,$D674,$D674-($D674-$I$670)*MIN(F$3-$O$2,$Q$2)/$Q$2))</f>
        <v>8839.3359375</v>
      </c>
      <c r="G674" s="15" t="n">
        <f aca="false">F674*(1+IF(G$3&lt;=$O$2,$D674,$D674-($D674-$I$670)*MIN(G$3-$O$2,$Q$2)/$Q$2))</f>
        <v>9391.79443359375</v>
      </c>
      <c r="H674" s="15" t="n">
        <f aca="false">G674*(1+IF(H$3&lt;=$O$2,$D674,$D674-($D674-$I$670)*MIN(H$3-$O$2,$Q$2)/$Q$2))</f>
        <v>9978.78158569336</v>
      </c>
      <c r="I674" s="15" t="n">
        <f aca="false">H674*(1+IF(I$3&lt;=$O$2,$D674,$D674-($D674-$I$670)*MIN(I$3-$O$2,$Q$2)/$Q$2))</f>
        <v>10602.4554347992</v>
      </c>
      <c r="J674" s="15" t="n">
        <f aca="false">I674*(1+IF(J$3&lt;=$O$2,$D674,$D674-($D674-$I$670)*MIN(J$3-$O$2,$Q$2)/$Q$2))</f>
        <v>11203.1905597349</v>
      </c>
      <c r="K674" s="15" t="n">
        <f aca="false">J674*(1+IF(K$3&lt;=$O$2,$D674,$D674-($D674-$I$670)*MIN(K$3-$O$2,$Q$2)/$Q$2))</f>
        <v>11772.5367039806</v>
      </c>
      <c r="L674" s="15" t="n">
        <f aca="false">K674*(1+IF(L$3&lt;=$O$2,$D674,$D674-($D674-$I$670)*MIN(L$3-$O$2,$Q$2)/$Q$2))</f>
        <v>12302.0654049257</v>
      </c>
      <c r="M674" s="15" t="n">
        <f aca="false">L674*(1+IF(M$3&lt;=$O$2,$D674,$D674-($D674-$I$670)*MIN(M$3-$O$2,$Q$2)/$Q$2))</f>
        <v>12783.5682448745</v>
      </c>
      <c r="N674" s="15" t="n">
        <f aca="false">M674*(1+IF(N$3&lt;=$O$2,$D674,$D674-($D674-$I$670)*MIN(N$3-$O$2,$Q$2)/$Q$2))</f>
        <v>13209.2610674288</v>
      </c>
      <c r="O674" s="15" t="n">
        <f aca="false">SUMPRODUCT(E674:N674,1/(1+$F$670)^$E$3:$N$3)*$E$2</f>
        <v>18898.8024987804</v>
      </c>
      <c r="P674" s="15" t="n">
        <f aca="false">N674*$E$2*(1+$I$670)/($F$670-$I$670)/(1+$F$670)^$N$3</f>
        <v>27355.5615900111</v>
      </c>
      <c r="Q674" s="15" t="n">
        <f aca="false">O674+P674</f>
        <v>46254.3640887915</v>
      </c>
      <c r="R674" s="15" t="n">
        <f aca="false">Q674-$G$2+$I$2</f>
        <v>43737.3640887915</v>
      </c>
      <c r="S674" s="42" t="n">
        <f aca="false">R674/$K$2</f>
        <v>100.958783271298</v>
      </c>
      <c r="T674" s="43" t="n">
        <f aca="false">S674-$M$2</f>
        <v>-4.29951505287953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9053.4375</v>
      </c>
      <c r="F675" s="15" t="n">
        <f aca="false">E675*(1+IF(F$3&lt;=$O$2,$D675,$D675-($D675-$I$670)*MIN(F$3-$O$2,$Q$2)/$Q$2))</f>
        <v>10468.037109375</v>
      </c>
      <c r="G675" s="15" t="n">
        <f aca="false">F675*(1+IF(G$3&lt;=$O$2,$D675,$D675-($D675-$I$670)*MIN(G$3-$O$2,$Q$2)/$Q$2))</f>
        <v>12103.6679077148</v>
      </c>
      <c r="H675" s="15" t="n">
        <f aca="false">G675*(1+IF(H$3&lt;=$O$2,$D675,$D675-($D675-$I$670)*MIN(H$3-$O$2,$Q$2)/$Q$2))</f>
        <v>13994.8660182953</v>
      </c>
      <c r="I675" s="15" t="n">
        <f aca="false">H675*(1+IF(I$3&lt;=$O$2,$D675,$D675-($D675-$I$670)*MIN(I$3-$O$2,$Q$2)/$Q$2))</f>
        <v>16181.5638336539</v>
      </c>
      <c r="J675" s="15" t="n">
        <f aca="false">I675*(1+IF(J$3&lt;=$O$2,$D675,$D675-($D675-$I$670)*MIN(J$3-$O$2,$Q$2)/$Q$2))</f>
        <v>18312.0285279928</v>
      </c>
      <c r="K675" s="15" t="n">
        <f aca="false">J675*(1+IF(K$3&lt;=$O$2,$D675,$D675-($D675-$I$670)*MIN(K$3-$O$2,$Q$2)/$Q$2))</f>
        <v>20272.697422485</v>
      </c>
      <c r="L675" s="15" t="n">
        <f aca="false">K675*(1+IF(L$3&lt;=$O$2,$D675,$D675-($D675-$I$670)*MIN(L$3-$O$2,$Q$2)/$Q$2))</f>
        <v>21944.7895058916</v>
      </c>
      <c r="M675" s="15" t="n">
        <f aca="false">L675*(1+IF(M$3&lt;=$O$2,$D675,$D675-($D675-$I$670)*MIN(M$3-$O$2,$Q$2)/$Q$2))</f>
        <v>23215.1733703876</v>
      </c>
      <c r="N675" s="15" t="n">
        <f aca="false">M675*(1+IF(N$3&lt;=$O$2,$D675,$D675-($D675-$I$670)*MIN(N$3-$O$2,$Q$2)/$Q$2))</f>
        <v>23988.2386436215</v>
      </c>
      <c r="O675" s="15" t="n">
        <f aca="false">SUMPRODUCT(E675:N675,1/(1+$F$670)^$E$3:$N$3)*$E$2</f>
        <v>28369.5056580954</v>
      </c>
      <c r="P675" s="15" t="n">
        <f aca="false">N675*$E$2*(1+$I$670)/($F$670-$I$670)/(1+$F$670)^$N$3</f>
        <v>49678.1565828501</v>
      </c>
      <c r="Q675" s="15" t="n">
        <f aca="false">O675+P675</f>
        <v>78047.6622409455</v>
      </c>
      <c r="R675" s="15" t="n">
        <f aca="false">Q675-$G$2+$I$2</f>
        <v>75530.6622409455</v>
      </c>
      <c r="S675" s="42" t="n">
        <f aca="false">R675/$K$2</f>
        <v>174.347126727634</v>
      </c>
      <c r="T675" s="43" t="n">
        <f aca="false">S675-$M$2</f>
        <v>69.0888284034567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8686.40625</v>
      </c>
      <c r="F676" s="15" t="n">
        <f aca="false">E676*(1+IF(F$3&lt;=$O$2,$D676,$D676-($D676-$I$670)*MIN(F$3-$O$2,$Q$2)/$Q$2))</f>
        <v>9636.48193359375</v>
      </c>
      <c r="G676" s="15" t="n">
        <f aca="false">F676*(1+IF(G$3&lt;=$O$2,$D676,$D676-($D676-$I$670)*MIN(G$3-$O$2,$Q$2)/$Q$2))</f>
        <v>10690.4721450806</v>
      </c>
      <c r="H676" s="15" t="n">
        <f aca="false">G676*(1+IF(H$3&lt;=$O$2,$D676,$D676-($D676-$I$670)*MIN(H$3-$O$2,$Q$2)/$Q$2))</f>
        <v>11859.7425359488</v>
      </c>
      <c r="I676" s="15" t="n">
        <f aca="false">H676*(1+IF(I$3&lt;=$O$2,$D676,$D676-($D676-$I$670)*MIN(I$3-$O$2,$Q$2)/$Q$2))</f>
        <v>13156.9018758181</v>
      </c>
      <c r="J676" s="15" t="n">
        <f aca="false">I676*(1+IF(J$3&lt;=$O$2,$D676,$D676-($D676-$I$670)*MIN(J$3-$O$2,$Q$2)/$Q$2))</f>
        <v>14395.7557564452</v>
      </c>
      <c r="K676" s="15" t="n">
        <f aca="false">J676*(1+IF(K$3&lt;=$O$2,$D676,$D676-($D676-$I$670)*MIN(K$3-$O$2,$Q$2)/$Q$2))</f>
        <v>15532.2286946378</v>
      </c>
      <c r="L676" s="15" t="n">
        <f aca="false">K676*(1+IF(L$3&lt;=$O$2,$D676,$D676-($D676-$I$670)*MIN(L$3-$O$2,$Q$2)/$Q$2))</f>
        <v>16522.097629347</v>
      </c>
      <c r="M676" s="15" t="n">
        <f aca="false">L676*(1+IF(M$3&lt;=$O$2,$D676,$D676-($D676-$I$670)*MIN(M$3-$O$2,$Q$2)/$Q$2))</f>
        <v>17323.6671958348</v>
      </c>
      <c r="N676" s="15" t="n">
        <f aca="false">M676*(1+IF(N$3&lt;=$O$2,$D676,$D676-($D676-$I$670)*MIN(N$3-$O$2,$Q$2)/$Q$2))</f>
        <v>17900.5453134561</v>
      </c>
      <c r="O676" s="15" t="n">
        <f aca="false">SUMPRODUCT(E676:N676,1/(1+$F$670)^$E$3:$N$3)*$E$2</f>
        <v>23158.9145267255</v>
      </c>
      <c r="P676" s="15" t="n">
        <f aca="false">N676*$E$2*(1+$I$670)/($F$670-$I$670)/(1+$F$670)^$N$3</f>
        <v>37070.9207212565</v>
      </c>
      <c r="Q676" s="15" t="n">
        <f aca="false">O676+P676</f>
        <v>60229.8352479819</v>
      </c>
      <c r="R676" s="15" t="n">
        <f aca="false">Q676-$G$2+$I$2</f>
        <v>57712.8352479819</v>
      </c>
      <c r="S676" s="42" t="n">
        <f aca="false">R676/$K$2</f>
        <v>133.218307668118</v>
      </c>
      <c r="T676" s="43" t="n">
        <f aca="false">S676-$M$2</f>
        <v>27.9600093439406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41" t="n">
        <f aca="false">(B677+C677)/2</f>
        <v>0.0859375</v>
      </c>
      <c r="E677" s="15" t="n">
        <f aca="false">$C$2*(1+IF(E$3&lt;=$O$2,$D677,$D677-($D677-$I$670)*MIN(E$3-$O$2,$Q$2)/$Q$2))</f>
        <v>8502.890625</v>
      </c>
      <c r="F677" s="15" t="n">
        <f aca="false">E677*(1+IF(F$3&lt;=$O$2,$D677,$D677-($D677-$I$670)*MIN(F$3-$O$2,$Q$2)/$Q$2))</f>
        <v>9233.60778808594</v>
      </c>
      <c r="G677" s="15" t="n">
        <f aca="false">F677*(1+IF(G$3&lt;=$O$2,$D677,$D677-($D677-$I$670)*MIN(G$3-$O$2,$Q$2)/$Q$2))</f>
        <v>10027.1209573746</v>
      </c>
      <c r="H677" s="15" t="n">
        <f aca="false">G677*(1+IF(H$3&lt;=$O$2,$D677,$D677-($D677-$I$670)*MIN(H$3-$O$2,$Q$2)/$Q$2))</f>
        <v>10888.826664649</v>
      </c>
      <c r="I677" s="15" t="n">
        <f aca="false">H677*(1+IF(I$3&lt;=$O$2,$D677,$D677-($D677-$I$670)*MIN(I$3-$O$2,$Q$2)/$Q$2))</f>
        <v>11824.5852061422</v>
      </c>
      <c r="J677" s="15" t="n">
        <f aca="false">I677*(1+IF(J$3&lt;=$O$2,$D677,$D677-($D677-$I$670)*MIN(J$3-$O$2,$Q$2)/$Q$2))</f>
        <v>12716.2771765374</v>
      </c>
      <c r="K677" s="15" t="n">
        <f aca="false">J677*(1+IF(K$3&lt;=$O$2,$D677,$D677-($D677-$I$670)*MIN(K$3-$O$2,$Q$2)/$Q$2))</f>
        <v>13541.3410304441</v>
      </c>
      <c r="L677" s="15" t="n">
        <f aca="false">K677*(1+IF(L$3&lt;=$O$2,$D677,$D677-($D677-$I$670)*MIN(L$3-$O$2,$Q$2)/$Q$2))</f>
        <v>14277.3806221539</v>
      </c>
      <c r="M677" s="15" t="n">
        <f aca="false">L677*(1+IF(M$3&lt;=$O$2,$D677,$D677-($D677-$I$670)*MIN(M$3-$O$2,$Q$2)/$Q$2))</f>
        <v>14903.1225213713</v>
      </c>
      <c r="N677" s="15" t="n">
        <f aca="false">M677*(1+IF(N$3&lt;=$O$2,$D677,$D677-($D677-$I$670)*MIN(N$3-$O$2,$Q$2)/$Q$2))</f>
        <v>15399.396501333</v>
      </c>
      <c r="O677" s="15" t="n">
        <f aca="false">SUMPRODUCT(E677:N677,1/(1+$F$670)^$E$3:$N$3)*$E$2</f>
        <v>20920.8722122741</v>
      </c>
      <c r="P677" s="15" t="n">
        <f aca="false">N677*$E$2*(1+$I$670)/($F$670-$I$670)/(1+$F$670)^$N$3</f>
        <v>31891.1964333835</v>
      </c>
      <c r="Q677" s="15" t="n">
        <f aca="false">O677+P677</f>
        <v>52812.0686456575</v>
      </c>
      <c r="R677" s="15" t="n">
        <f aca="false">Q677-$G$2+$I$2</f>
        <v>50295.0686456575</v>
      </c>
      <c r="S677" s="42" t="n">
        <f aca="false">R677/$K$2</f>
        <v>116.095906573237</v>
      </c>
      <c r="T677" s="43" t="n">
        <f aca="false">S677-$M$2</f>
        <v>10.8376082490594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0.0625</v>
      </c>
      <c r="C678" s="25" t="n">
        <f aca="false">IF(T677&gt;0,D677,C677)</f>
        <v>0.0859375</v>
      </c>
      <c r="D678" s="41" t="n">
        <f aca="false">(B678+C678)/2</f>
        <v>0.07421875</v>
      </c>
      <c r="E678" s="15" t="n">
        <f aca="false">$C$2*(1+IF(E$3&lt;=$O$2,$D678,$D678-($D678-$I$670)*MIN(E$3-$O$2,$Q$2)/$Q$2))</f>
        <v>8411.1328125</v>
      </c>
      <c r="F678" s="15" t="n">
        <f aca="false">E678*(1+IF(F$3&lt;=$O$2,$D678,$D678-($D678-$I$670)*MIN(F$3-$O$2,$Q$2)/$Q$2))</f>
        <v>9035.39657592773</v>
      </c>
      <c r="G678" s="15" t="n">
        <f aca="false">F678*(1+IF(G$3&lt;=$O$2,$D678,$D678-($D678-$I$670)*MIN(G$3-$O$2,$Q$2)/$Q$2))</f>
        <v>9705.99241554737</v>
      </c>
      <c r="H678" s="15" t="n">
        <f aca="false">G678*(1+IF(H$3&lt;=$O$2,$D678,$D678-($D678-$I$670)*MIN(H$3-$O$2,$Q$2)/$Q$2))</f>
        <v>10426.3590401388</v>
      </c>
      <c r="I678" s="15" t="n">
        <f aca="false">H678*(1+IF(I$3&lt;=$O$2,$D678,$D678-($D678-$I$670)*MIN(I$3-$O$2,$Q$2)/$Q$2))</f>
        <v>11200.1903751491</v>
      </c>
      <c r="J678" s="15" t="n">
        <f aca="false">I678*(1+IF(J$3&lt;=$O$2,$D678,$D678-($D678-$I$670)*MIN(J$3-$O$2,$Q$2)/$Q$2))</f>
        <v>11939.794946572</v>
      </c>
      <c r="K678" s="15" t="n">
        <f aca="false">J678*(1+IF(K$3&lt;=$O$2,$D678,$D678-($D678-$I$670)*MIN(K$3-$O$2,$Q$2)/$Q$2))</f>
        <v>12630.5270089749</v>
      </c>
      <c r="L678" s="15" t="n">
        <f aca="false">K678*(1+IF(L$3&lt;=$O$2,$D678,$D678-($D678-$I$670)*MIN(L$3-$O$2,$Q$2)/$Q$2))</f>
        <v>13257.8537091932</v>
      </c>
      <c r="M678" s="15" t="n">
        <f aca="false">L678*(1+IF(M$3&lt;=$O$2,$D678,$D678-($D678-$I$670)*MIN(M$3-$O$2,$Q$2)/$Q$2))</f>
        <v>13807.8391980019</v>
      </c>
      <c r="N678" s="15" t="n">
        <f aca="false">M678*(1+IF(N$3&lt;=$O$2,$D678,$D678-($D678-$I$670)*MIN(N$3-$O$2,$Q$2)/$Q$2))</f>
        <v>14267.6402432954</v>
      </c>
      <c r="O678" s="15" t="n">
        <f aca="false">SUMPRODUCT(E678:N678,1/(1+$F$670)^$E$3:$N$3)*$E$2</f>
        <v>19884.0996287538</v>
      </c>
      <c r="P678" s="15" t="n">
        <f aca="false">N678*$E$2*(1+$I$670)/($F$670-$I$670)/(1+$F$670)^$N$3</f>
        <v>29547.3993153169</v>
      </c>
      <c r="Q678" s="15" t="n">
        <f aca="false">O678+P678</f>
        <v>49431.4989440707</v>
      </c>
      <c r="R678" s="15" t="n">
        <f aca="false">Q678-$G$2+$I$2</f>
        <v>46914.4989440707</v>
      </c>
      <c r="S678" s="42" t="n">
        <f aca="false">R678/$K$2</f>
        <v>108.292550999655</v>
      </c>
      <c r="T678" s="43" t="n">
        <f aca="false">S678-$M$2</f>
        <v>3.03425267547824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0.0625</v>
      </c>
      <c r="C679" s="25" t="n">
        <f aca="false">IF(T678&gt;0,D678,C678)</f>
        <v>0.07421875</v>
      </c>
      <c r="D679" s="41" t="n">
        <f aca="false">(B679+C679)/2</f>
        <v>0.068359375</v>
      </c>
      <c r="E679" s="15" t="n">
        <f aca="false">$C$2*(1+IF(E$3&lt;=$O$2,$D679,$D679-($D679-$I$670)*MIN(E$3-$O$2,$Q$2)/$Q$2))</f>
        <v>8365.25390625</v>
      </c>
      <c r="F679" s="15" t="n">
        <f aca="false">E679*(1+IF(F$3&lt;=$O$2,$D679,$D679-($D679-$I$670)*MIN(F$3-$O$2,$Q$2)/$Q$2))</f>
        <v>8937.09743499756</v>
      </c>
      <c r="G679" s="15" t="n">
        <f aca="false">F679*(1+IF(G$3&lt;=$O$2,$D679,$D679-($D679-$I$670)*MIN(G$3-$O$2,$Q$2)/$Q$2))</f>
        <v>9548.0318299681</v>
      </c>
      <c r="H679" s="15" t="n">
        <f aca="false">G679*(1+IF(H$3&lt;=$O$2,$D679,$D679-($D679-$I$670)*MIN(H$3-$O$2,$Q$2)/$Q$2))</f>
        <v>10200.7293183448</v>
      </c>
      <c r="I679" s="15" t="n">
        <f aca="false">H679*(1+IF(I$3&lt;=$O$2,$D679,$D679-($D679-$I$670)*MIN(I$3-$O$2,$Q$2)/$Q$2))</f>
        <v>10898.044799091</v>
      </c>
      <c r="J679" s="15" t="n">
        <f aca="false">I679*(1+IF(J$3&lt;=$O$2,$D679,$D679-($D679-$I$670)*MIN(J$3-$O$2,$Q$2)/$Q$2))</f>
        <v>11566.6126024033</v>
      </c>
      <c r="K679" s="15" t="n">
        <f aca="false">J679*(1+IF(K$3&lt;=$O$2,$D679,$D679-($D679-$I$670)*MIN(K$3-$O$2,$Q$2)/$Q$2))</f>
        <v>12195.0917272877</v>
      </c>
      <c r="L679" s="15" t="n">
        <f aca="false">K679*(1+IF(L$3&lt;=$O$2,$D679,$D679-($D679-$I$670)*MIN(L$3-$O$2,$Q$2)/$Q$2))</f>
        <v>12772.209199417</v>
      </c>
      <c r="M679" s="15" t="n">
        <f aca="false">L679*(1+IF(M$3&lt;=$O$2,$D679,$D679-($D679-$I$670)*MIN(M$3-$O$2,$Q$2)/$Q$2))</f>
        <v>13287.0809001377</v>
      </c>
      <c r="N679" s="15" t="n">
        <f aca="false">M679*(1+IF(N$3&lt;=$O$2,$D679,$D679-($D679-$I$670)*MIN(N$3-$O$2,$Q$2)/$Q$2))</f>
        <v>13729.5406941123</v>
      </c>
      <c r="O679" s="15" t="n">
        <f aca="false">SUMPRODUCT(E679:N679,1/(1+$F$670)^$E$3:$N$3)*$E$2</f>
        <v>19385.1683986522</v>
      </c>
      <c r="P679" s="15" t="n">
        <f aca="false">N679*$E$2*(1+$I$670)/($F$670-$I$670)/(1+$F$670)^$N$3</f>
        <v>28433.0284747306</v>
      </c>
      <c r="Q679" s="15" t="n">
        <f aca="false">O679+P679</f>
        <v>47818.1968733828</v>
      </c>
      <c r="R679" s="15" t="n">
        <f aca="false">Q679-$G$2+$I$2</f>
        <v>45301.1968733828</v>
      </c>
      <c r="S679" s="42" t="n">
        <f aca="false">R679/$K$2</f>
        <v>104.568572257474</v>
      </c>
      <c r="T679" s="43" t="n">
        <f aca="false">S679-$M$2</f>
        <v>-0.689726066703258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0.068359375</v>
      </c>
      <c r="C680" s="25" t="n">
        <f aca="false">IF(T679&gt;0,D679,C679)</f>
        <v>0.07421875</v>
      </c>
      <c r="D680" s="41" t="n">
        <f aca="false">(B680+C680)/2</f>
        <v>0.0712890625</v>
      </c>
      <c r="E680" s="15" t="n">
        <f aca="false">$C$2*(1+IF(E$3&lt;=$O$2,$D680,$D680-($D680-$I$670)*MIN(E$3-$O$2,$Q$2)/$Q$2))</f>
        <v>8388.193359375</v>
      </c>
      <c r="F680" s="15" t="n">
        <f aca="false">E680*(1+IF(F$3&lt;=$O$2,$D680,$D680-($D680-$I$670)*MIN(F$3-$O$2,$Q$2)/$Q$2))</f>
        <v>8986.17980003357</v>
      </c>
      <c r="G680" s="15" t="n">
        <f aca="false">F680*(1+IF(G$3&lt;=$O$2,$D680,$D680-($D680-$I$670)*MIN(G$3-$O$2,$Q$2)/$Q$2))</f>
        <v>9626.7961334344</v>
      </c>
      <c r="H680" s="15" t="n">
        <f aca="false">G680*(1+IF(H$3&lt;=$O$2,$D680,$D680-($D680-$I$670)*MIN(H$3-$O$2,$Q$2)/$Q$2))</f>
        <v>10313.0814046656</v>
      </c>
      <c r="I680" s="15" t="n">
        <f aca="false">H680*(1+IF(I$3&lt;=$O$2,$D680,$D680-($D680-$I$670)*MIN(I$3-$O$2,$Q$2)/$Q$2))</f>
        <v>11048.2913094904</v>
      </c>
      <c r="J680" s="15" t="n">
        <f aca="false">I680*(1+IF(J$3&lt;=$O$2,$D680,$D680-($D680-$I$670)*MIN(J$3-$O$2,$Q$2)/$Q$2))</f>
        <v>11751.9707933559</v>
      </c>
      <c r="K680" s="15" t="n">
        <f aca="false">J680*(1+IF(K$3&lt;=$O$2,$D680,$D680-($D680-$I$670)*MIN(K$3-$O$2,$Q$2)/$Q$2))</f>
        <v>12411.1792325549</v>
      </c>
      <c r="L680" s="15" t="n">
        <f aca="false">K680*(1+IF(L$3&lt;=$O$2,$D680,$D680-($D680-$I$670)*MIN(L$3-$O$2,$Q$2)/$Q$2))</f>
        <v>13013.0671264246</v>
      </c>
      <c r="M680" s="15" t="n">
        <f aca="false">L680*(1+IF(M$3&lt;=$O$2,$D680,$D680-($D680-$I$670)*MIN(M$3-$O$2,$Q$2)/$Q$2))</f>
        <v>13545.2731058111</v>
      </c>
      <c r="N680" s="15" t="n">
        <f aca="false">M680*(1+IF(N$3&lt;=$O$2,$D680,$D680-($D680-$I$670)*MIN(N$3-$O$2,$Q$2)/$Q$2))</f>
        <v>13996.3307002346</v>
      </c>
      <c r="O680" s="15" t="n">
        <f aca="false">SUMPRODUCT(E680:N680,1/(1+$F$670)^$E$3:$N$3)*$E$2</f>
        <v>19633.0446206644</v>
      </c>
      <c r="P680" s="15" t="n">
        <f aca="false">N680*$E$2*(1+$I$670)/($F$670-$I$670)/(1+$F$670)^$N$3</f>
        <v>28985.5340544767</v>
      </c>
      <c r="Q680" s="15" t="n">
        <f aca="false">O680+P680</f>
        <v>48618.5786751411</v>
      </c>
      <c r="R680" s="15" t="n">
        <f aca="false">Q680-$G$2+$I$2</f>
        <v>46101.5786751411</v>
      </c>
      <c r="S680" s="42" t="n">
        <f aca="false">R680/$K$2</f>
        <v>106.416090381656</v>
      </c>
      <c r="T680" s="43" t="n">
        <f aca="false">S680-$M$2</f>
        <v>1.15779205747897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0.068359375</v>
      </c>
      <c r="C681" s="25" t="n">
        <f aca="false">IF(T680&gt;0,D680,C680)</f>
        <v>0.0712890625</v>
      </c>
      <c r="D681" s="41" t="n">
        <f aca="false">(B681+C681)/2</f>
        <v>0.06982421875</v>
      </c>
      <c r="E681" s="15" t="n">
        <f aca="false">$C$2*(1+IF(E$3&lt;=$O$2,$D681,$D681-($D681-$I$670)*MIN(E$3-$O$2,$Q$2)/$Q$2))</f>
        <v>8376.7236328125</v>
      </c>
      <c r="F681" s="15" t="n">
        <f aca="false">E681*(1+IF(F$3&lt;=$O$2,$D681,$D681-($D681-$I$670)*MIN(F$3-$O$2,$Q$2)/$Q$2))</f>
        <v>8961.6218161583</v>
      </c>
      <c r="G681" s="15" t="n">
        <f aca="false">F681*(1+IF(G$3&lt;=$O$2,$D681,$D681-($D681-$I$670)*MIN(G$3-$O$2,$Q$2)/$Q$2))</f>
        <v>9587.3600582045</v>
      </c>
      <c r="H681" s="15" t="n">
        <f aca="false">G681*(1+IF(H$3&lt;=$O$2,$D681,$D681-($D681-$I$670)*MIN(H$3-$O$2,$Q$2)/$Q$2))</f>
        <v>10256.7899841436</v>
      </c>
      <c r="I681" s="15" t="n">
        <f aca="false">H681*(1+IF(I$3&lt;=$O$2,$D681,$D681-($D681-$I$670)*MIN(I$3-$O$2,$Q$2)/$Q$2))</f>
        <v>10972.9623316692</v>
      </c>
      <c r="J681" s="15" t="n">
        <f aca="false">I681*(1+IF(J$3&lt;=$O$2,$D681,$D681-($D681-$I$670)*MIN(J$3-$O$2,$Q$2)/$Q$2))</f>
        <v>11658.9850785437</v>
      </c>
      <c r="K681" s="15" t="n">
        <f aca="false">J681*(1+IF(K$3&lt;=$O$2,$D681,$D681-($D681-$I$670)*MIN(K$3-$O$2,$Q$2)/$Q$2))</f>
        <v>12302.7304745063</v>
      </c>
      <c r="L681" s="15" t="n">
        <f aca="false">K681*(1+IF(L$3&lt;=$O$2,$D681,$D681-($D681-$I$670)*MIN(L$3-$O$2,$Q$2)/$Q$2))</f>
        <v>12892.1504469366</v>
      </c>
      <c r="M681" s="15" t="n">
        <f aca="false">L681*(1+IF(M$3&lt;=$O$2,$D681,$D681-($D681-$I$670)*MIN(M$3-$O$2,$Q$2)/$Q$2))</f>
        <v>13415.634201436</v>
      </c>
      <c r="N681" s="15" t="n">
        <f aca="false">M681*(1+IF(N$3&lt;=$O$2,$D681,$D681-($D681-$I$670)*MIN(N$3-$O$2,$Q$2)/$Q$2))</f>
        <v>13862.3748203438</v>
      </c>
      <c r="O681" s="15" t="n">
        <f aca="false">SUMPRODUCT(E681:N681,1/(1+$F$670)^$E$3:$N$3)*$E$2</f>
        <v>19508.7115173551</v>
      </c>
      <c r="P681" s="15" t="n">
        <f aca="false">N681*$E$2*(1+$I$670)/($F$670-$I$670)/(1+$F$670)^$N$3</f>
        <v>28708.1197234258</v>
      </c>
      <c r="Q681" s="15" t="n">
        <f aca="false">O681+P681</f>
        <v>48216.8312407809</v>
      </c>
      <c r="R681" s="15" t="n">
        <f aca="false">Q681-$G$2+$I$2</f>
        <v>45699.8312407809</v>
      </c>
      <c r="S681" s="42" t="n">
        <f aca="false">R681/$K$2</f>
        <v>105.488738379532</v>
      </c>
      <c r="T681" s="43" t="n">
        <f aca="false">S681-$M$2</f>
        <v>0.230440055355061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0.068359375</v>
      </c>
      <c r="C682" s="25" t="n">
        <f aca="false">IF(T681&gt;0,D681,C681)</f>
        <v>0.06982421875</v>
      </c>
      <c r="D682" s="41" t="n">
        <f aca="false">(B682+C682)/2</f>
        <v>0.069091796875</v>
      </c>
      <c r="E682" s="15" t="n">
        <f aca="false">$C$2*(1+IF(E$3&lt;=$O$2,$D682,$D682-($D682-$I$670)*MIN(E$3-$O$2,$Q$2)/$Q$2))</f>
        <v>8370.98876953125</v>
      </c>
      <c r="F682" s="15" t="n">
        <f aca="false">E682*(1+IF(F$3&lt;=$O$2,$D682,$D682-($D682-$I$670)*MIN(F$3-$O$2,$Q$2)/$Q$2))</f>
        <v>8949.35542523861</v>
      </c>
      <c r="G682" s="15" t="n">
        <f aca="false">F682*(1+IF(G$3&lt;=$O$2,$D682,$D682-($D682-$I$670)*MIN(G$3-$O$2,$Q$2)/$Q$2))</f>
        <v>9567.68247244138</v>
      </c>
      <c r="H682" s="15" t="n">
        <f aca="false">G682*(1+IF(H$3&lt;=$O$2,$D682,$D682-($D682-$I$670)*MIN(H$3-$O$2,$Q$2)/$Q$2))</f>
        <v>10228.7308463918</v>
      </c>
      <c r="I682" s="15" t="n">
        <f aca="false">H682*(1+IF(I$3&lt;=$O$2,$D682,$D682-($D682-$I$670)*MIN(I$3-$O$2,$Q$2)/$Q$2))</f>
        <v>10935.4522403197</v>
      </c>
      <c r="J682" s="15" t="n">
        <f aca="false">I682*(1+IF(J$3&lt;=$O$2,$D682,$D682-($D682-$I$670)*MIN(J$3-$O$2,$Q$2)/$Q$2))</f>
        <v>11612.7223881798</v>
      </c>
      <c r="K682" s="15" t="n">
        <f aca="false">J682*(1+IF(K$3&lt;=$O$2,$D682,$D682-($D682-$I$670)*MIN(K$3-$O$2,$Q$2)/$Q$2))</f>
        <v>12248.8101642363</v>
      </c>
      <c r="L682" s="15" t="n">
        <f aca="false">K682*(1+IF(L$3&lt;=$O$2,$D682,$D682-($D682-$I$670)*MIN(L$3-$O$2,$Q$2)/$Q$2))</f>
        <v>12832.0583128489</v>
      </c>
      <c r="M682" s="15" t="n">
        <f aca="false">L682*(1+IF(M$3&lt;=$O$2,$D682,$D682-($D682-$I$670)*MIN(M$3-$O$2,$Q$2)/$Q$2))</f>
        <v>13351.2223395911</v>
      </c>
      <c r="N682" s="15" t="n">
        <f aca="false">M682*(1+IF(N$3&lt;=$O$2,$D682,$D682-($D682-$I$670)*MIN(N$3-$O$2,$Q$2)/$Q$2))</f>
        <v>13795.8180434995</v>
      </c>
      <c r="O682" s="15" t="n">
        <f aca="false">SUMPRODUCT(E682:N682,1/(1+$F$670)^$E$3:$N$3)*$E$2</f>
        <v>19446.8415030951</v>
      </c>
      <c r="P682" s="15" t="n">
        <f aca="false">N682*$E$2*(1+$I$670)/($F$670-$I$670)/(1+$F$670)^$N$3</f>
        <v>28570.2847605991</v>
      </c>
      <c r="Q682" s="15" t="n">
        <f aca="false">O682+P682</f>
        <v>48017.1262636942</v>
      </c>
      <c r="R682" s="15" t="n">
        <f aca="false">Q682-$G$2+$I$2</f>
        <v>45500.1262636942</v>
      </c>
      <c r="S682" s="42" t="n">
        <f aca="false">R682/$K$2</f>
        <v>105.027760176571</v>
      </c>
      <c r="T682" s="43" t="n">
        <f aca="false">S682-$M$2</f>
        <v>-0.230538147605799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0.069091796875</v>
      </c>
      <c r="C683" s="25" t="n">
        <f aca="false">IF(T682&gt;0,D682,C682)</f>
        <v>0.06982421875</v>
      </c>
      <c r="D683" s="41" t="n">
        <f aca="false">(B683+C683)/2</f>
        <v>0.0694580078125</v>
      </c>
      <c r="E683" s="15" t="n">
        <f aca="false">$C$2*(1+IF(E$3&lt;=$O$2,$D683,$D683-($D683-$I$670)*MIN(E$3-$O$2,$Q$2)/$Q$2))</f>
        <v>8373.85620117188</v>
      </c>
      <c r="F683" s="15" t="n">
        <f aca="false">E683*(1+IF(F$3&lt;=$O$2,$D683,$D683-($D683-$I$670)*MIN(F$3-$O$2,$Q$2)/$Q$2))</f>
        <v>8955.48757061362</v>
      </c>
      <c r="G683" s="15" t="n">
        <f aca="false">F683*(1+IF(G$3&lt;=$O$2,$D683,$D683-($D683-$I$670)*MIN(G$3-$O$2,$Q$2)/$Q$2))</f>
        <v>9577.51789625805</v>
      </c>
      <c r="H683" s="15" t="n">
        <f aca="false">G683*(1+IF(H$3&lt;=$O$2,$D683,$D683-($D683-$I$670)*MIN(H$3-$O$2,$Q$2)/$Q$2))</f>
        <v>10242.7532091207</v>
      </c>
      <c r="I683" s="15" t="n">
        <f aca="false">H683*(1+IF(I$3&lt;=$O$2,$D683,$D683-($D683-$I$670)*MIN(I$3-$O$2,$Q$2)/$Q$2))</f>
        <v>10954.1944415413</v>
      </c>
      <c r="J683" s="15" t="n">
        <f aca="false">I683*(1+IF(J$3&lt;=$O$2,$D683,$D683-($D683-$I$670)*MIN(J$3-$O$2,$Q$2)/$Q$2))</f>
        <v>11635.8345950022</v>
      </c>
      <c r="K683" s="15" t="n">
        <f aca="false">J683*(1+IF(K$3&lt;=$O$2,$D683,$D683-($D683-$I$670)*MIN(K$3-$O$2,$Q$2)/$Q$2))</f>
        <v>12275.7450459304</v>
      </c>
      <c r="L683" s="15" t="n">
        <f aca="false">K683*(1+IF(L$3&lt;=$O$2,$D683,$D683-($D683-$I$670)*MIN(L$3-$O$2,$Q$2)/$Q$2))</f>
        <v>12862.0739500698</v>
      </c>
      <c r="M683" s="15" t="n">
        <f aca="false">L683*(1+IF(M$3&lt;=$O$2,$D683,$D683-($D683-$I$670)*MIN(M$3-$O$2,$Q$2)/$Q$2))</f>
        <v>13383.3944066815</v>
      </c>
      <c r="N683" s="15" t="n">
        <f aca="false">M683*(1+IF(N$3&lt;=$O$2,$D683,$D683-($D683-$I$670)*MIN(N$3-$O$2,$Q$2)/$Q$2))</f>
        <v>13829.061440424</v>
      </c>
      <c r="O683" s="15" t="n">
        <f aca="false">SUMPRODUCT(E683:N683,1/(1+$F$670)^$E$3:$N$3)*$E$2</f>
        <v>19477.7518599112</v>
      </c>
      <c r="P683" s="15" t="n">
        <f aca="false">N683*$E$2*(1+$I$670)/($F$670-$I$670)/(1+$F$670)^$N$3</f>
        <v>28639.129776788</v>
      </c>
      <c r="Q683" s="15" t="n">
        <f aca="false">O683+P683</f>
        <v>48116.8816366991</v>
      </c>
      <c r="R683" s="15" t="n">
        <f aca="false">Q683-$G$2+$I$2</f>
        <v>45599.8816366991</v>
      </c>
      <c r="S683" s="42" t="n">
        <f aca="false">R683/$K$2</f>
        <v>105.258025106641</v>
      </c>
      <c r="T683" s="43" t="n">
        <f aca="false">S683-$M$2</f>
        <v>-0.00027321753589149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0.0694580078125</v>
      </c>
      <c r="C684" s="25" t="n">
        <f aca="false">IF(T683&gt;0,D683,C683)</f>
        <v>0.06982421875</v>
      </c>
      <c r="D684" s="41" t="n">
        <f aca="false">(B684+C684)/2</f>
        <v>0.06964111328125</v>
      </c>
      <c r="E684" s="15" t="n">
        <f aca="false">$C$2*(1+IF(E$3&lt;=$O$2,$D684,$D684-($D684-$I$670)*MIN(E$3-$O$2,$Q$2)/$Q$2))</f>
        <v>8375.28991699219</v>
      </c>
      <c r="F684" s="15" t="n">
        <f aca="false">E684*(1+IF(F$3&lt;=$O$2,$D684,$D684-($D684-$I$670)*MIN(F$3-$O$2,$Q$2)/$Q$2))</f>
        <v>8958.55443086475</v>
      </c>
      <c r="G684" s="15" t="n">
        <f aca="false">F684*(1+IF(G$3&lt;=$O$2,$D684,$D684-($D684-$I$670)*MIN(G$3-$O$2,$Q$2)/$Q$2))</f>
        <v>9582.43813482085</v>
      </c>
      <c r="H684" s="15" t="n">
        <f aca="false">G684*(1+IF(H$3&lt;=$O$2,$D684,$D684-($D684-$I$670)*MIN(H$3-$O$2,$Q$2)/$Q$2))</f>
        <v>10249.7697944785</v>
      </c>
      <c r="I684" s="15" t="n">
        <f aca="false">H684*(1+IF(I$3&lt;=$O$2,$D684,$D684-($D684-$I$670)*MIN(I$3-$O$2,$Q$2)/$Q$2))</f>
        <v>10963.5751738425</v>
      </c>
      <c r="J684" s="15" t="n">
        <f aca="false">I684*(1+IF(J$3&lt;=$O$2,$D684,$D684-($D684-$I$670)*MIN(J$3-$O$2,$Q$2)/$Q$2))</f>
        <v>11647.4050490195</v>
      </c>
      <c r="K684" s="15" t="n">
        <f aca="false">J684*(1+IF(K$3&lt;=$O$2,$D684,$D684-($D684-$I$670)*MIN(K$3-$O$2,$Q$2)/$Q$2))</f>
        <v>12289.2314369433</v>
      </c>
      <c r="L684" s="15" t="n">
        <f aca="false">K684*(1+IF(L$3&lt;=$O$2,$D684,$D684-($D684-$I$670)*MIN(L$3-$O$2,$Q$2)/$Q$2))</f>
        <v>12877.1045845093</v>
      </c>
      <c r="M684" s="15" t="n">
        <f aca="false">L684*(1+IF(M$3&lt;=$O$2,$D684,$D684-($D684-$I$670)*MIN(M$3-$O$2,$Q$2)/$Q$2))</f>
        <v>13399.5058304615</v>
      </c>
      <c r="N684" s="15" t="n">
        <f aca="false">M684*(1+IF(N$3&lt;=$O$2,$D684,$D684-($D684-$I$670)*MIN(N$3-$O$2,$Q$2)/$Q$2))</f>
        <v>13845.7093746158</v>
      </c>
      <c r="O684" s="15" t="n">
        <f aca="false">SUMPRODUCT(E684:N684,1/(1+$F$670)^$E$3:$N$3)*$E$2</f>
        <v>19493.2255214761</v>
      </c>
      <c r="P684" s="15" t="n">
        <f aca="false">N684*$E$2*(1+$I$670)/($F$670-$I$670)/(1+$F$670)^$N$3</f>
        <v>28673.6066174536</v>
      </c>
      <c r="Q684" s="15" t="n">
        <f aca="false">O684+P684</f>
        <v>48166.8321389297</v>
      </c>
      <c r="R684" s="15" t="n">
        <f aca="false">Q684-$G$2+$I$2</f>
        <v>45649.8321389297</v>
      </c>
      <c r="S684" s="42" t="n">
        <f aca="false">R684/$K$2</f>
        <v>105.373325651931</v>
      </c>
      <c r="T684" s="43" t="n">
        <f aca="false">S684-$M$2</f>
        <v>0.115027327754191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0.0694580078125</v>
      </c>
      <c r="C685" s="25" t="n">
        <f aca="false">IF(T684&gt;0,D684,C684)</f>
        <v>0.06964111328125</v>
      </c>
      <c r="D685" s="41" t="n">
        <f aca="false">(B685+C685)/2</f>
        <v>0.069549560546875</v>
      </c>
      <c r="E685" s="15" t="n">
        <f aca="false">$C$2*(1+IF(E$3&lt;=$O$2,$D685,$D685-($D685-$I$670)*MIN(E$3-$O$2,$Q$2)/$Q$2))</f>
        <v>8374.57305908203</v>
      </c>
      <c r="F685" s="15" t="n">
        <f aca="false">E685*(1+IF(F$3&lt;=$O$2,$D685,$D685-($D685-$I$670)*MIN(F$3-$O$2,$Q$2)/$Q$2))</f>
        <v>8957.02093510889</v>
      </c>
      <c r="G685" s="15" t="n">
        <f aca="false">F685*(1+IF(G$3&lt;=$O$2,$D685,$D685-($D685-$I$670)*MIN(G$3-$O$2,$Q$2)/$Q$2))</f>
        <v>9579.97780495487</v>
      </c>
      <c r="H685" s="15" t="n">
        <f aca="false">G685*(1+IF(H$3&lt;=$O$2,$D685,$D685-($D685-$I$670)*MIN(H$3-$O$2,$Q$2)/$Q$2))</f>
        <v>10246.2610513383</v>
      </c>
      <c r="I685" s="15" t="n">
        <f aca="false">H685*(1+IF(I$3&lt;=$O$2,$D685,$D685-($D685-$I$670)*MIN(I$3-$O$2,$Q$2)/$Q$2))</f>
        <v>10958.8840047074</v>
      </c>
      <c r="J685" s="15" t="n">
        <f aca="false">I685*(1+IF(J$3&lt;=$O$2,$D685,$D685-($D685-$I$670)*MIN(J$3-$O$2,$Q$2)/$Q$2))</f>
        <v>11641.6186254681</v>
      </c>
      <c r="K685" s="15" t="n">
        <f aca="false">J685*(1+IF(K$3&lt;=$O$2,$D685,$D685-($D685-$I$670)*MIN(K$3-$O$2,$Q$2)/$Q$2))</f>
        <v>12282.4866612327</v>
      </c>
      <c r="L685" s="15" t="n">
        <f aca="false">K685*(1+IF(L$3&lt;=$O$2,$D685,$D685-($D685-$I$670)*MIN(L$3-$O$2,$Q$2)/$Q$2))</f>
        <v>12869.5873646087</v>
      </c>
      <c r="M685" s="15" t="n">
        <f aca="false">L685*(1+IF(M$3&lt;=$O$2,$D685,$D685-($D685-$I$670)*MIN(M$3-$O$2,$Q$2)/$Q$2))</f>
        <v>13391.4480011275</v>
      </c>
      <c r="N685" s="15" t="n">
        <f aca="false">M685*(1+IF(N$3&lt;=$O$2,$D685,$D685-($D685-$I$670)*MIN(N$3-$O$2,$Q$2)/$Q$2))</f>
        <v>13837.3832195651</v>
      </c>
      <c r="O685" s="15" t="n">
        <f aca="false">SUMPRODUCT(E685:N685,1/(1+$F$670)^$E$3:$N$3)*$E$2</f>
        <v>19485.4871494769</v>
      </c>
      <c r="P685" s="15" t="n">
        <f aca="false">N685*$E$2*(1+$I$670)/($F$670-$I$670)/(1+$F$670)^$N$3</f>
        <v>28656.3636660018</v>
      </c>
      <c r="Q685" s="15" t="n">
        <f aca="false">O685+P685</f>
        <v>48141.8508154787</v>
      </c>
      <c r="R685" s="15" t="n">
        <f aca="false">Q685-$G$2+$I$2</f>
        <v>45624.8508154787</v>
      </c>
      <c r="S685" s="42" t="n">
        <f aca="false">R685/$K$2</f>
        <v>105.315661362538</v>
      </c>
      <c r="T685" s="43" t="n">
        <f aca="false">S685-$M$2</f>
        <v>0.0573630383609185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0.0694580078125</v>
      </c>
      <c r="C686" s="25" t="n">
        <f aca="false">IF(T685&gt;0,D685,C685)</f>
        <v>0.069549560546875</v>
      </c>
      <c r="D686" s="41" t="n">
        <f aca="false">(B686+C686)/2</f>
        <v>0.0695037841796875</v>
      </c>
      <c r="E686" s="15" t="n">
        <f aca="false">$C$2*(1+IF(E$3&lt;=$O$2,$D686,$D686-($D686-$I$670)*MIN(E$3-$O$2,$Q$2)/$Q$2))</f>
        <v>8374.21463012695</v>
      </c>
      <c r="F686" s="15" t="n">
        <f aca="false">E686*(1+IF(F$3&lt;=$O$2,$D686,$D686-($D686-$I$670)*MIN(F$3-$O$2,$Q$2)/$Q$2))</f>
        <v>8956.25423645368</v>
      </c>
      <c r="G686" s="15" t="n">
        <f aca="false">F686*(1+IF(G$3&lt;=$O$2,$D686,$D686-($D686-$I$670)*MIN(G$3-$O$2,$Q$2)/$Q$2))</f>
        <v>9578.74779796257</v>
      </c>
      <c r="H686" s="15" t="n">
        <f aca="false">G686*(1+IF(H$3&lt;=$O$2,$D686,$D686-($D686-$I$670)*MIN(H$3-$O$2,$Q$2)/$Q$2))</f>
        <v>10244.5070176238</v>
      </c>
      <c r="I686" s="15" t="n">
        <f aca="false">H686*(1+IF(I$3&lt;=$O$2,$D686,$D686-($D686-$I$670)*MIN(I$3-$O$2,$Q$2)/$Q$2))</f>
        <v>10956.539022404</v>
      </c>
      <c r="J686" s="15" t="n">
        <f aca="false">I686*(1+IF(J$3&lt;=$O$2,$D686,$D686-($D686-$I$670)*MIN(J$3-$O$2,$Q$2)/$Q$2))</f>
        <v>11638.7263111488</v>
      </c>
      <c r="K686" s="15" t="n">
        <f aca="false">J686*(1+IF(K$3&lt;=$O$2,$D686,$D686-($D686-$I$670)*MIN(K$3-$O$2,$Q$2)/$Q$2))</f>
        <v>12279.1154586073</v>
      </c>
      <c r="L686" s="15" t="n">
        <f aca="false">K686*(1+IF(L$3&lt;=$O$2,$D686,$D686-($D686-$I$670)*MIN(L$3-$O$2,$Q$2)/$Q$2))</f>
        <v>12865.8301817712</v>
      </c>
      <c r="M686" s="15" t="n">
        <f aca="false">L686*(1+IF(M$3&lt;=$O$2,$D686,$D686-($D686-$I$670)*MIN(M$3-$O$2,$Q$2)/$Q$2))</f>
        <v>13387.4206746629</v>
      </c>
      <c r="N686" s="15" t="n">
        <f aca="false">M686*(1+IF(N$3&lt;=$O$2,$D686,$D686-($D686-$I$670)*MIN(N$3-$O$2,$Q$2)/$Q$2))</f>
        <v>13833.2217831292</v>
      </c>
      <c r="O686" s="15" t="n">
        <f aca="false">SUMPRODUCT(E686:N686,1/(1+$F$670)^$E$3:$N$3)*$E$2</f>
        <v>19481.6191194614</v>
      </c>
      <c r="P686" s="15" t="n">
        <f aca="false">N686*$E$2*(1+$I$670)/($F$670-$I$670)/(1+$F$670)^$N$3</f>
        <v>28647.7455888706</v>
      </c>
      <c r="Q686" s="15" t="n">
        <f aca="false">O686+P686</f>
        <v>48129.364708332</v>
      </c>
      <c r="R686" s="15" t="n">
        <f aca="false">Q686-$G$2+$I$2</f>
        <v>45612.364708332</v>
      </c>
      <c r="S686" s="42" t="n">
        <f aca="false">R686/$K$2</f>
        <v>105.286839731157</v>
      </c>
      <c r="T686" s="43" t="n">
        <f aca="false">S686-$M$2</f>
        <v>0.0285414069803096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0.0694580078125</v>
      </c>
      <c r="C687" s="25" t="n">
        <f aca="false">IF(T686&gt;0,D686,C686)</f>
        <v>0.0695037841796875</v>
      </c>
      <c r="D687" s="41" t="n">
        <f aca="false">(B687+C687)/2</f>
        <v>0.0694808959960938</v>
      </c>
      <c r="E687" s="15" t="n">
        <f aca="false">$C$2*(1+IF(E$3&lt;=$O$2,$D687,$D687-($D687-$I$670)*MIN(E$3-$O$2,$Q$2)/$Q$2))</f>
        <v>8374.03541564941</v>
      </c>
      <c r="F687" s="15" t="n">
        <f aca="false">E687*(1+IF(F$3&lt;=$O$2,$D687,$D687-($D687-$I$670)*MIN(F$3-$O$2,$Q$2)/$Q$2))</f>
        <v>8955.87089943176</v>
      </c>
      <c r="G687" s="15" t="n">
        <f aca="false">F687*(1+IF(G$3&lt;=$O$2,$D687,$D687-($D687-$I$670)*MIN(G$3-$O$2,$Q$2)/$Q$2))</f>
        <v>9578.13283394962</v>
      </c>
      <c r="H687" s="15" t="n">
        <f aca="false">G687*(1+IF(H$3&lt;=$O$2,$D687,$D687-($D687-$I$670)*MIN(H$3-$O$2,$Q$2)/$Q$2))</f>
        <v>10243.630085222</v>
      </c>
      <c r="I687" s="15" t="n">
        <f aca="false">H687*(1+IF(I$3&lt;=$O$2,$D687,$D687-($D687-$I$670)*MIN(I$3-$O$2,$Q$2)/$Q$2))</f>
        <v>10955.3666817958</v>
      </c>
      <c r="J687" s="15" t="n">
        <f aca="false">I687*(1+IF(J$3&lt;=$O$2,$D687,$D687-($D687-$I$670)*MIN(J$3-$O$2,$Q$2)/$Q$2))</f>
        <v>11637.2803783101</v>
      </c>
      <c r="K687" s="15" t="n">
        <f aca="false">J687*(1+IF(K$3&lt;=$O$2,$D687,$D687-($D687-$I$670)*MIN(K$3-$O$2,$Q$2)/$Q$2))</f>
        <v>12277.4301535349</v>
      </c>
      <c r="L687" s="15" t="n">
        <f aca="false">K687*(1+IF(L$3&lt;=$O$2,$D687,$D687-($D687-$I$670)*MIN(L$3-$O$2,$Q$2)/$Q$2))</f>
        <v>12863.9519470413</v>
      </c>
      <c r="M687" s="15" t="n">
        <f aca="false">L687*(1+IF(M$3&lt;=$O$2,$D687,$D687-($D687-$I$670)*MIN(M$3-$O$2,$Q$2)/$Q$2))</f>
        <v>13385.4074083767</v>
      </c>
      <c r="N687" s="15" t="n">
        <f aca="false">M687*(1+IF(N$3&lt;=$O$2,$D687,$D687-($D687-$I$670)*MIN(N$3-$O$2,$Q$2)/$Q$2))</f>
        <v>13831.1414750757</v>
      </c>
      <c r="O687" s="15" t="n">
        <f aca="false">SUMPRODUCT(E687:N687,1/(1+$F$670)^$E$3:$N$3)*$E$2</f>
        <v>19479.6853933871</v>
      </c>
      <c r="P687" s="15" t="n">
        <f aca="false">N687*$E$2*(1+$I$670)/($F$670-$I$670)/(1+$F$670)^$N$3</f>
        <v>28643.4373997301</v>
      </c>
      <c r="Q687" s="15" t="n">
        <f aca="false">O687+P687</f>
        <v>48123.1227931172</v>
      </c>
      <c r="R687" s="15" t="n">
        <f aca="false">Q687-$G$2+$I$2</f>
        <v>45606.1227931172</v>
      </c>
      <c r="S687" s="42" t="n">
        <f aca="false">R687/$K$2</f>
        <v>105.272431543136</v>
      </c>
      <c r="T687" s="43" t="n">
        <f aca="false">S687-$M$2</f>
        <v>0.0141332189584489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0.0694580078125</v>
      </c>
      <c r="C688" s="25" t="n">
        <f aca="false">IF(T687&gt;0,D687,C687)</f>
        <v>0.0694808959960938</v>
      </c>
      <c r="D688" s="41" t="n">
        <f aca="false">(B688+C688)/2</f>
        <v>0.0694694519042969</v>
      </c>
      <c r="E688" s="15" t="n">
        <f aca="false">$C$2*(1+IF(E$3&lt;=$O$2,$D688,$D688-($D688-$I$670)*MIN(E$3-$O$2,$Q$2)/$Q$2))</f>
        <v>8373.94580841065</v>
      </c>
      <c r="F688" s="15" t="n">
        <f aca="false">E688*(1+IF(F$3&lt;=$O$2,$D688,$D688-($D688-$I$670)*MIN(F$3-$O$2,$Q$2)/$Q$2))</f>
        <v>8955.67923399722</v>
      </c>
      <c r="G688" s="15" t="n">
        <f aca="false">F688*(1+IF(G$3&lt;=$O$2,$D688,$D688-($D688-$I$670)*MIN(G$3-$O$2,$Q$2)/$Q$2))</f>
        <v>9577.8253618137</v>
      </c>
      <c r="H688" s="15" t="n">
        <f aca="false">G688*(1+IF(H$3&lt;=$O$2,$D688,$D688-($D688-$I$670)*MIN(H$3-$O$2,$Q$2)/$Q$2))</f>
        <v>10243.191640134</v>
      </c>
      <c r="I688" s="15" t="n">
        <f aca="false">H688*(1+IF(I$3&lt;=$O$2,$D688,$D688-($D688-$I$670)*MIN(I$3-$O$2,$Q$2)/$Q$2))</f>
        <v>10954.7805491248</v>
      </c>
      <c r="J688" s="15" t="n">
        <f aca="false">I688*(1+IF(J$3&lt;=$O$2,$D688,$D688-($D688-$I$670)*MIN(J$3-$O$2,$Q$2)/$Q$2))</f>
        <v>11636.5574679656</v>
      </c>
      <c r="K688" s="15" t="n">
        <f aca="false">J688*(1+IF(K$3&lt;=$O$2,$D688,$D688-($D688-$I$670)*MIN(K$3-$O$2,$Q$2)/$Q$2))</f>
        <v>12276.5875750503</v>
      </c>
      <c r="L688" s="15" t="n">
        <f aca="false">K688*(1+IF(L$3&lt;=$O$2,$D688,$D688-($D688-$I$670)*MIN(L$3-$O$2,$Q$2)/$Q$2))</f>
        <v>12863.0129188374</v>
      </c>
      <c r="M688" s="15" t="n">
        <f aca="false">L688*(1+IF(M$3&lt;=$O$2,$D688,$D688-($D688-$I$670)*MIN(M$3-$O$2,$Q$2)/$Q$2))</f>
        <v>13384.4008744571</v>
      </c>
      <c r="N688" s="15" t="n">
        <f aca="false">M688*(1+IF(N$3&lt;=$O$2,$D688,$D688-($D688-$I$670)*MIN(N$3-$O$2,$Q$2)/$Q$2))</f>
        <v>13830.1014235765</v>
      </c>
      <c r="O688" s="15" t="n">
        <f aca="false">SUMPRODUCT(E688:N688,1/(1+$F$670)^$E$3:$N$3)*$E$2</f>
        <v>19478.7186025754</v>
      </c>
      <c r="P688" s="15" t="n">
        <f aca="false">N688*$E$2*(1+$I$670)/($F$670-$I$670)/(1+$F$670)^$N$3</f>
        <v>28641.2835174883</v>
      </c>
      <c r="Q688" s="15" t="n">
        <f aca="false">O688+P688</f>
        <v>48120.0021200637</v>
      </c>
      <c r="R688" s="15" t="n">
        <f aca="false">Q688-$G$2+$I$2</f>
        <v>45603.0021200637</v>
      </c>
      <c r="S688" s="42" t="n">
        <f aca="false">R688/$K$2</f>
        <v>105.265228105959</v>
      </c>
      <c r="T688" s="43" t="n">
        <f aca="false">S688-$M$2</f>
        <v>0.00692978178216208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0.0694580078125</v>
      </c>
      <c r="C689" s="25" t="n">
        <f aca="false">IF(T688&gt;0,D688,C688)</f>
        <v>0.0694694519042969</v>
      </c>
      <c r="D689" s="41" t="n">
        <f aca="false">(B689+C689)/2</f>
        <v>0.0694637298583984</v>
      </c>
      <c r="E689" s="15" t="n">
        <f aca="false">$C$2*(1+IF(E$3&lt;=$O$2,$D689,$D689-($D689-$I$670)*MIN(E$3-$O$2,$Q$2)/$Q$2))</f>
        <v>8373.90100479126</v>
      </c>
      <c r="F689" s="15" t="n">
        <f aca="false">E689*(1+IF(F$3&lt;=$O$2,$D689,$D689-($D689-$I$670)*MIN(F$3-$O$2,$Q$2)/$Q$2))</f>
        <v>8955.58340204905</v>
      </c>
      <c r="G689" s="15" t="n">
        <f aca="false">F689*(1+IF(G$3&lt;=$O$2,$D689,$D689-($D689-$I$670)*MIN(G$3-$O$2,$Q$2)/$Q$2))</f>
        <v>9577.67162821334</v>
      </c>
      <c r="H689" s="15" t="n">
        <f aca="false">G689*(1+IF(H$3&lt;=$O$2,$D689,$D689-($D689-$I$670)*MIN(H$3-$O$2,$Q$2)/$Q$2))</f>
        <v>10242.972422868</v>
      </c>
      <c r="I689" s="15" t="n">
        <f aca="false">H689*(1+IF(I$3&lt;=$O$2,$D689,$D689-($D689-$I$670)*MIN(I$3-$O$2,$Q$2)/$Q$2))</f>
        <v>10954.4874921971</v>
      </c>
      <c r="J689" s="15" t="n">
        <f aca="false">I689*(1+IF(J$3&lt;=$O$2,$D689,$D689-($D689-$I$670)*MIN(J$3-$O$2,$Q$2)/$Q$2))</f>
        <v>11636.1960268113</v>
      </c>
      <c r="K689" s="15" t="n">
        <f aca="false">J689*(1+IF(K$3&lt;=$O$2,$D689,$D689-($D689-$I$670)*MIN(K$3-$O$2,$Q$2)/$Q$2))</f>
        <v>12276.1663043199</v>
      </c>
      <c r="L689" s="15" t="n">
        <f aca="false">K689*(1+IF(L$3&lt;=$O$2,$D689,$D689-($D689-$I$670)*MIN(L$3-$O$2,$Q$2)/$Q$2))</f>
        <v>12862.5434270242</v>
      </c>
      <c r="M689" s="15" t="n">
        <f aca="false">L689*(1+IF(M$3&lt;=$O$2,$D689,$D689-($D689-$I$670)*MIN(M$3-$O$2,$Q$2)/$Q$2))</f>
        <v>13383.8976323015</v>
      </c>
      <c r="N689" s="15" t="n">
        <f aca="false">M689*(1+IF(N$3&lt;=$O$2,$D689,$D689-($D689-$I$670)*MIN(N$3-$O$2,$Q$2)/$Q$2))</f>
        <v>13829.5814234572</v>
      </c>
      <c r="O689" s="15" t="n">
        <f aca="false">SUMPRODUCT(E689:N689,1/(1+$F$670)^$E$3:$N$3)*$E$2</f>
        <v>19478.235225225</v>
      </c>
      <c r="P689" s="15" t="n">
        <f aca="false">N689*$E$2*(1+$I$670)/($F$670-$I$670)/(1+$F$670)^$N$3</f>
        <v>28640.2066294459</v>
      </c>
      <c r="Q689" s="15" t="n">
        <f aca="false">O689+P689</f>
        <v>48118.4418546709</v>
      </c>
      <c r="R689" s="15" t="n">
        <f aca="false">Q689-$G$2+$I$2</f>
        <v>45601.4418546709</v>
      </c>
      <c r="S689" s="42" t="n">
        <f aca="false">R689/$K$2</f>
        <v>105.261626551569</v>
      </c>
      <c r="T689" s="43" t="n">
        <f aca="false">S689-$M$2</f>
        <v>0.00332822739231631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0.0694580078125</v>
      </c>
      <c r="C690" s="25" t="n">
        <f aca="false">IF(T689&gt;0,D689,C689)</f>
        <v>0.0694637298583984</v>
      </c>
      <c r="D690" s="41" t="n">
        <f aca="false">(B690+C690)/2</f>
        <v>0.0694608688354492</v>
      </c>
      <c r="E690" s="15" t="n">
        <f aca="false">$C$2*(1+IF(E$3&lt;=$O$2,$D690,$D690-($D690-$I$670)*MIN(E$3-$O$2,$Q$2)/$Q$2))</f>
        <v>8373.87860298157</v>
      </c>
      <c r="F690" s="15" t="n">
        <f aca="false">E690*(1+IF(F$3&lt;=$O$2,$D690,$D690-($D690-$I$670)*MIN(F$3-$O$2,$Q$2)/$Q$2))</f>
        <v>8955.53548626725</v>
      </c>
      <c r="G690" s="15" t="n">
        <f aca="false">F690*(1+IF(G$3&lt;=$O$2,$D690,$D690-($D690-$I$670)*MIN(G$3-$O$2,$Q$2)/$Q$2))</f>
        <v>9577.59476203007</v>
      </c>
      <c r="H690" s="15" t="n">
        <f aca="false">G690*(1+IF(H$3&lt;=$O$2,$D690,$D690-($D690-$I$670)*MIN(H$3-$O$2,$Q$2)/$Q$2))</f>
        <v>10242.8628155545</v>
      </c>
      <c r="I690" s="15" t="n">
        <f aca="false">H690*(1+IF(I$3&lt;=$O$2,$D690,$D690-($D690-$I$670)*MIN(I$3-$O$2,$Q$2)/$Q$2))</f>
        <v>10954.3409660853</v>
      </c>
      <c r="J690" s="15" t="n">
        <f aca="false">I690*(1+IF(J$3&lt;=$O$2,$D690,$D690-($D690-$I$670)*MIN(J$3-$O$2,$Q$2)/$Q$2))</f>
        <v>11636.0153097386</v>
      </c>
      <c r="K690" s="15" t="n">
        <f aca="false">J690*(1+IF(K$3&lt;=$O$2,$D690,$D690-($D690-$I$670)*MIN(K$3-$O$2,$Q$2)/$Q$2))</f>
        <v>12275.9556735826</v>
      </c>
      <c r="L690" s="15" t="n">
        <f aca="false">K690*(1+IF(L$3&lt;=$O$2,$D690,$D690-($D690-$I$670)*MIN(L$3-$O$2,$Q$2)/$Q$2))</f>
        <v>12862.3086866897</v>
      </c>
      <c r="M690" s="15" t="n">
        <f aca="false">L690*(1+IF(M$3&lt;=$O$2,$D690,$D690-($D690-$I$670)*MIN(M$3-$O$2,$Q$2)/$Q$2))</f>
        <v>13383.6460174246</v>
      </c>
      <c r="N690" s="15" t="n">
        <f aca="false">M690*(1+IF(N$3&lt;=$O$2,$D690,$D690-($D690-$I$670)*MIN(N$3-$O$2,$Q$2)/$Q$2))</f>
        <v>13829.3214298048</v>
      </c>
      <c r="O690" s="15" t="n">
        <f aca="false">SUMPRODUCT(E690:N690,1/(1+$F$670)^$E$3:$N$3)*$E$2</f>
        <v>19477.9935410635</v>
      </c>
      <c r="P690" s="15" t="n">
        <f aca="false">N690*$E$2*(1+$I$670)/($F$670-$I$670)/(1+$F$670)^$N$3</f>
        <v>28639.668198694</v>
      </c>
      <c r="Q690" s="15" t="n">
        <f aca="false">O690+P690</f>
        <v>48117.6617397575</v>
      </c>
      <c r="R690" s="15" t="n">
        <f aca="false">Q690-$G$2+$I$2</f>
        <v>45600.6617397575</v>
      </c>
      <c r="S690" s="42" t="n">
        <f aca="false">R690/$K$2</f>
        <v>105.259825815423</v>
      </c>
      <c r="T690" s="43" t="n">
        <f aca="false">S690-$M$2</f>
        <v>0.00152749124572438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0.0694580078125</v>
      </c>
      <c r="C691" s="25" t="n">
        <f aca="false">IF(T690&gt;0,D690,C690)</f>
        <v>0.0694608688354492</v>
      </c>
      <c r="D691" s="41" t="n">
        <f aca="false">(B691+C691)/2</f>
        <v>0.0694594383239746</v>
      </c>
      <c r="E691" s="15" t="n">
        <f aca="false">$C$2*(1+IF(E$3&lt;=$O$2,$D691,$D691-($D691-$I$670)*MIN(E$3-$O$2,$Q$2)/$Q$2))</f>
        <v>8373.86740207672</v>
      </c>
      <c r="F691" s="15" t="n">
        <f aca="false">E691*(1+IF(F$3&lt;=$O$2,$D691,$D691-($D691-$I$670)*MIN(F$3-$O$2,$Q$2)/$Q$2))</f>
        <v>8955.51152842441</v>
      </c>
      <c r="G691" s="15" t="n">
        <f aca="false">F691*(1+IF(G$3&lt;=$O$2,$D691,$D691-($D691-$I$670)*MIN(G$3-$O$2,$Q$2)/$Q$2))</f>
        <v>9577.55632909265</v>
      </c>
      <c r="H691" s="15" t="n">
        <f aca="false">G691*(1+IF(H$3&lt;=$O$2,$D691,$D691-($D691-$I$670)*MIN(H$3-$O$2,$Q$2)/$Q$2))</f>
        <v>10242.8080122277</v>
      </c>
      <c r="I691" s="15" t="n">
        <f aca="false">H691*(1+IF(I$3&lt;=$O$2,$D691,$D691-($D691-$I$670)*MIN(I$3-$O$2,$Q$2)/$Q$2))</f>
        <v>10954.2677036173</v>
      </c>
      <c r="J691" s="15" t="n">
        <f aca="false">I691*(1+IF(J$3&lt;=$O$2,$D691,$D691-($D691-$I$670)*MIN(J$3-$O$2,$Q$2)/$Q$2))</f>
        <v>11635.9249520784</v>
      </c>
      <c r="K691" s="15" t="n">
        <f aca="false">J691*(1+IF(K$3&lt;=$O$2,$D691,$D691-($D691-$I$670)*MIN(K$3-$O$2,$Q$2)/$Q$2))</f>
        <v>12275.8503593708</v>
      </c>
      <c r="L691" s="15" t="n">
        <f aca="false">K691*(1+IF(L$3&lt;=$O$2,$D691,$D691-($D691-$I$670)*MIN(L$3-$O$2,$Q$2)/$Q$2))</f>
        <v>12862.1913179155</v>
      </c>
      <c r="M691" s="15" t="n">
        <f aca="false">L691*(1+IF(M$3&lt;=$O$2,$D691,$D691-($D691-$I$670)*MIN(M$3-$O$2,$Q$2)/$Q$2))</f>
        <v>13383.5202115363</v>
      </c>
      <c r="N691" s="15" t="n">
        <f aca="false">M691*(1+IF(N$3&lt;=$O$2,$D691,$D691-($D691-$I$670)*MIN(N$3-$O$2,$Q$2)/$Q$2))</f>
        <v>13829.1914345805</v>
      </c>
      <c r="O691" s="15" t="n">
        <f aca="false">SUMPRODUCT(E691:N691,1/(1+$F$670)^$E$3:$N$3)*$E$2</f>
        <v>19477.8727001112</v>
      </c>
      <c r="P691" s="15" t="n">
        <f aca="false">N691*$E$2*(1+$I$670)/($F$670-$I$670)/(1+$F$670)^$N$3</f>
        <v>28639.3989866352</v>
      </c>
      <c r="Q691" s="15" t="n">
        <f aca="false">O691+P691</f>
        <v>48117.2716867464</v>
      </c>
      <c r="R691" s="15" t="n">
        <f aca="false">Q691-$G$2+$I$2</f>
        <v>45600.2716867464</v>
      </c>
      <c r="S691" s="42" t="n">
        <f aca="false">R691/$K$2</f>
        <v>105.258925457611</v>
      </c>
      <c r="T691" s="43" t="n">
        <f aca="false">S691-$M$2</f>
        <v>0.00062713343430687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0.0694580078125</v>
      </c>
      <c r="C692" s="25" t="n">
        <f aca="false">IF(T691&gt;0,D691,C691)</f>
        <v>0.0694594383239746</v>
      </c>
      <c r="D692" s="41" t="n">
        <f aca="false">(B692+C692)/2</f>
        <v>0.0694587230682373</v>
      </c>
      <c r="E692" s="15" t="n">
        <f aca="false">$C$2*(1+IF(E$3&lt;=$O$2,$D692,$D692-($D692-$I$670)*MIN(E$3-$O$2,$Q$2)/$Q$2))</f>
        <v>8373.8618016243</v>
      </c>
      <c r="F692" s="15" t="n">
        <f aca="false">E692*(1+IF(F$3&lt;=$O$2,$D692,$D692-($D692-$I$670)*MIN(F$3-$O$2,$Q$2)/$Q$2))</f>
        <v>8955.49954951501</v>
      </c>
      <c r="G692" s="15" t="n">
        <f aca="false">F692*(1+IF(G$3&lt;=$O$2,$D692,$D692-($D692-$I$670)*MIN(G$3-$O$2,$Q$2)/$Q$2))</f>
        <v>9577.5371126625</v>
      </c>
      <c r="H692" s="15" t="n">
        <f aca="false">G692*(1+IF(H$3&lt;=$O$2,$D692,$D692-($D692-$I$670)*MIN(H$3-$O$2,$Q$2)/$Q$2))</f>
        <v>10242.7806106467</v>
      </c>
      <c r="I692" s="15" t="n">
        <f aca="false">H692*(1+IF(I$3&lt;=$O$2,$D692,$D692-($D692-$I$670)*MIN(I$3-$O$2,$Q$2)/$Q$2))</f>
        <v>10954.2310725303</v>
      </c>
      <c r="J692" s="15" t="n">
        <f aca="false">I692*(1+IF(J$3&lt;=$O$2,$D692,$D692-($D692-$I$670)*MIN(J$3-$O$2,$Q$2)/$Q$2))</f>
        <v>11635.8797734672</v>
      </c>
      <c r="K692" s="15" t="n">
        <f aca="false">J692*(1+IF(K$3&lt;=$O$2,$D692,$D692-($D692-$I$670)*MIN(K$3-$O$2,$Q$2)/$Q$2))</f>
        <v>12275.7977025542</v>
      </c>
      <c r="L692" s="15" t="n">
        <f aca="false">K692*(1+IF(L$3&lt;=$O$2,$D692,$D692-($D692-$I$670)*MIN(L$3-$O$2,$Q$2)/$Q$2))</f>
        <v>12862.1326338766</v>
      </c>
      <c r="M692" s="15" t="n">
        <f aca="false">L692*(1+IF(M$3&lt;=$O$2,$D692,$D692-($D692-$I$670)*MIN(M$3-$O$2,$Q$2)/$Q$2))</f>
        <v>13383.4573089797</v>
      </c>
      <c r="N692" s="15" t="n">
        <f aca="false">M692*(1+IF(N$3&lt;=$O$2,$D692,$D692-($D692-$I$670)*MIN(N$3-$O$2,$Q$2)/$Q$2))</f>
        <v>13829.1264373687</v>
      </c>
      <c r="O692" s="15" t="n">
        <f aca="false">SUMPRODUCT(E692:N692,1/(1+$F$670)^$E$3:$N$3)*$E$2</f>
        <v>19477.8122799171</v>
      </c>
      <c r="P692" s="15" t="n">
        <f aca="false">N692*$E$2*(1+$I$670)/($F$670-$I$670)/(1+$F$670)^$N$3</f>
        <v>28639.2643814351</v>
      </c>
      <c r="Q692" s="15" t="n">
        <f aca="false">O692+P692</f>
        <v>48117.0766613523</v>
      </c>
      <c r="R692" s="15" t="n">
        <f aca="false">Q692-$G$2+$I$2</f>
        <v>45600.0766613523</v>
      </c>
      <c r="S692" s="42" t="n">
        <f aca="false">R692/$K$2</f>
        <v>105.258475281271</v>
      </c>
      <c r="T692" s="43" t="n">
        <f aca="false">S692-$M$2</f>
        <v>0.000176957094012664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0.0694580078125</v>
      </c>
      <c r="C693" s="25" t="n">
        <f aca="false">IF(T692&gt;0,D692,C692)</f>
        <v>0.0694587230682373</v>
      </c>
      <c r="D693" s="41" t="n">
        <f aca="false">(B693+C693)/2</f>
        <v>0.0694583654403687</v>
      </c>
      <c r="E693" s="15" t="n">
        <f aca="false">$C$2*(1+IF(E$3&lt;=$O$2,$D693,$D693-($D693-$I$670)*MIN(E$3-$O$2,$Q$2)/$Q$2))</f>
        <v>8373.85900139809</v>
      </c>
      <c r="F693" s="15" t="n">
        <f aca="false">E693*(1+IF(F$3&lt;=$O$2,$D693,$D693-($D693-$I$670)*MIN(F$3-$O$2,$Q$2)/$Q$2))</f>
        <v>8955.49356006332</v>
      </c>
      <c r="G693" s="15" t="n">
        <f aca="false">F693*(1+IF(G$3&lt;=$O$2,$D693,$D693-($D693-$I$670)*MIN(G$3-$O$2,$Q$2)/$Q$2))</f>
        <v>9577.52750445706</v>
      </c>
      <c r="H693" s="15" t="n">
        <f aca="false">G693*(1+IF(H$3&lt;=$O$2,$D693,$D693-($D693-$I$670)*MIN(H$3-$O$2,$Q$2)/$Q$2))</f>
        <v>10242.7669098768</v>
      </c>
      <c r="I693" s="15" t="n">
        <f aca="false">H693*(1+IF(I$3&lt;=$O$2,$D693,$D693-($D693-$I$670)*MIN(I$3-$O$2,$Q$2)/$Q$2))</f>
        <v>10954.2127570236</v>
      </c>
      <c r="J693" s="15" t="n">
        <f aca="false">I693*(1+IF(J$3&lt;=$O$2,$D693,$D693-($D693-$I$670)*MIN(J$3-$O$2,$Q$2)/$Q$2))</f>
        <v>11635.8571842165</v>
      </c>
      <c r="K693" s="15" t="n">
        <f aca="false">J693*(1+IF(K$3&lt;=$O$2,$D693,$D693-($D693-$I$670)*MIN(K$3-$O$2,$Q$2)/$Q$2))</f>
        <v>12275.7713742182</v>
      </c>
      <c r="L693" s="15" t="n">
        <f aca="false">K693*(1+IF(L$3&lt;=$O$2,$D693,$D693-($D693-$I$670)*MIN(L$3-$O$2,$Q$2)/$Q$2))</f>
        <v>12862.1032919442</v>
      </c>
      <c r="M693" s="15" t="n">
        <f aca="false">L693*(1+IF(M$3&lt;=$O$2,$D693,$D693-($D693-$I$670)*MIN(M$3-$O$2,$Q$2)/$Q$2))</f>
        <v>13383.4258577983</v>
      </c>
      <c r="N693" s="15" t="n">
        <f aca="false">M693*(1+IF(N$3&lt;=$O$2,$D693,$D693-($D693-$I$670)*MIN(N$3-$O$2,$Q$2)/$Q$2))</f>
        <v>13829.093938863</v>
      </c>
      <c r="O693" s="15" t="n">
        <f aca="false">SUMPRODUCT(E693:N693,1/(1+$F$670)^$E$3:$N$3)*$E$2</f>
        <v>19477.7820698906</v>
      </c>
      <c r="P693" s="15" t="n">
        <f aca="false">N693*$E$2*(1+$I$670)/($F$670-$I$670)/(1+$F$670)^$N$3</f>
        <v>28639.1970790425</v>
      </c>
      <c r="Q693" s="15" t="n">
        <f aca="false">O693+P693</f>
        <v>48116.9791489331</v>
      </c>
      <c r="R693" s="15" t="n">
        <f aca="false">Q693-$G$2+$I$2</f>
        <v>45599.9791489331</v>
      </c>
      <c r="S693" s="42" t="n">
        <f aca="false">R693/$K$2</f>
        <v>105.258250193742</v>
      </c>
      <c r="T693" s="43" t="n">
        <f aca="false">S693-$M$2</f>
        <v>-4.81304346777733E-005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0.0694583654403687</v>
      </c>
      <c r="C694" s="25" t="n">
        <f aca="false">IF(T693&gt;0,D693,C693)</f>
        <v>0.0694587230682373</v>
      </c>
      <c r="D694" s="41" t="n">
        <f aca="false">(B694+C694)/2</f>
        <v>0.069458544254303</v>
      </c>
      <c r="E694" s="15" t="n">
        <f aca="false">$C$2*(1+IF(E$3&lt;=$O$2,$D694,$D694-($D694-$I$670)*MIN(E$3-$O$2,$Q$2)/$Q$2))</f>
        <v>8373.86040151119</v>
      </c>
      <c r="F694" s="15" t="n">
        <f aca="false">E694*(1+IF(F$3&lt;=$O$2,$D694,$D694-($D694-$I$670)*MIN(F$3-$O$2,$Q$2)/$Q$2))</f>
        <v>8955.49655478891</v>
      </c>
      <c r="G694" s="15" t="n">
        <f aca="false">F694*(1+IF(G$3&lt;=$O$2,$D694,$D694-($D694-$I$670)*MIN(G$3-$O$2,$Q$2)/$Q$2))</f>
        <v>9577.53230855898</v>
      </c>
      <c r="H694" s="15" t="n">
        <f aca="false">G694*(1+IF(H$3&lt;=$O$2,$D694,$D694-($D694-$I$670)*MIN(H$3-$O$2,$Q$2)/$Q$2))</f>
        <v>10242.77376026</v>
      </c>
      <c r="I694" s="15" t="n">
        <f aca="false">H694*(1+IF(I$3&lt;=$O$2,$D694,$D694-($D694-$I$670)*MIN(I$3-$O$2,$Q$2)/$Q$2))</f>
        <v>10954.2219147739</v>
      </c>
      <c r="J694" s="15" t="n">
        <f aca="false">I694*(1+IF(J$3&lt;=$O$2,$D694,$D694-($D694-$I$670)*MIN(J$3-$O$2,$Q$2)/$Q$2))</f>
        <v>11635.8684788373</v>
      </c>
      <c r="K694" s="15" t="n">
        <f aca="false">J694*(1+IF(K$3&lt;=$O$2,$D694,$D694-($D694-$I$670)*MIN(K$3-$O$2,$Q$2)/$Q$2))</f>
        <v>12275.7845383801</v>
      </c>
      <c r="L694" s="15" t="n">
        <f aca="false">K694*(1+IF(L$3&lt;=$O$2,$D694,$D694-($D694-$I$670)*MIN(L$3-$O$2,$Q$2)/$Q$2))</f>
        <v>12862.1179629031</v>
      </c>
      <c r="M694" s="15" t="n">
        <f aca="false">L694*(1+IF(M$3&lt;=$O$2,$D694,$D694-($D694-$I$670)*MIN(M$3-$O$2,$Q$2)/$Q$2))</f>
        <v>13383.4415833809</v>
      </c>
      <c r="N694" s="15" t="n">
        <f aca="false">M694*(1+IF(N$3&lt;=$O$2,$D694,$D694-($D694-$I$670)*MIN(N$3-$O$2,$Q$2)/$Q$2))</f>
        <v>13829.1101881075</v>
      </c>
      <c r="O694" s="15" t="n">
        <f aca="false">SUMPRODUCT(E694:N694,1/(1+$F$670)^$E$3:$N$3)*$E$2</f>
        <v>19477.797174898</v>
      </c>
      <c r="P694" s="15" t="n">
        <f aca="false">N694*$E$2*(1+$I$670)/($F$670-$I$670)/(1+$F$670)^$N$3</f>
        <v>28639.2307302215</v>
      </c>
      <c r="Q694" s="15" t="n">
        <f aca="false">O694+P694</f>
        <v>48117.0279051195</v>
      </c>
      <c r="R694" s="15" t="n">
        <f aca="false">Q694-$G$2+$I$2</f>
        <v>45600.0279051195</v>
      </c>
      <c r="S694" s="42" t="n">
        <f aca="false">R694/$K$2</f>
        <v>105.258362737453</v>
      </c>
      <c r="T694" s="43" t="n">
        <f aca="false">S694-$M$2</f>
        <v>6.44132762204208E-005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0.0694583654403687</v>
      </c>
      <c r="C695" s="25" t="n">
        <f aca="false">IF(T694&gt;0,D694,C694)</f>
        <v>0.069458544254303</v>
      </c>
      <c r="D695" s="41" t="n">
        <f aca="false">(B695+C695)/2</f>
        <v>0.0694584548473358</v>
      </c>
      <c r="E695" s="15" t="n">
        <f aca="false">$C$2*(1+IF(E$3&lt;=$O$2,$D695,$D695-($D695-$I$670)*MIN(E$3-$O$2,$Q$2)/$Q$2))</f>
        <v>8373.85970145464</v>
      </c>
      <c r="F695" s="15" t="n">
        <f aca="false">E695*(1+IF(F$3&lt;=$O$2,$D695,$D695-($D695-$I$670)*MIN(F$3-$O$2,$Q$2)/$Q$2))</f>
        <v>8955.49505742605</v>
      </c>
      <c r="G695" s="15" t="n">
        <f aca="false">F695*(1+IF(G$3&lt;=$O$2,$D695,$D695-($D695-$I$670)*MIN(G$3-$O$2,$Q$2)/$Q$2))</f>
        <v>9577.52990650782</v>
      </c>
      <c r="H695" s="15" t="n">
        <f aca="false">G695*(1+IF(H$3&lt;=$O$2,$D695,$D695-($D695-$I$670)*MIN(H$3-$O$2,$Q$2)/$Q$2))</f>
        <v>10242.770335068</v>
      </c>
      <c r="I695" s="15" t="n">
        <f aca="false">H695*(1+IF(I$3&lt;=$O$2,$D695,$D695-($D695-$I$670)*MIN(I$3-$O$2,$Q$2)/$Q$2))</f>
        <v>10954.217335898</v>
      </c>
      <c r="J695" s="15" t="n">
        <f aca="false">I695*(1+IF(J$3&lt;=$O$2,$D695,$D695-($D695-$I$670)*MIN(J$3-$O$2,$Q$2)/$Q$2))</f>
        <v>11635.8628315257</v>
      </c>
      <c r="K695" s="15" t="n">
        <f aca="false">J695*(1+IF(K$3&lt;=$O$2,$D695,$D695-($D695-$I$670)*MIN(K$3-$O$2,$Q$2)/$Q$2))</f>
        <v>12275.7779562976</v>
      </c>
      <c r="L695" s="15" t="n">
        <f aca="false">K695*(1+IF(L$3&lt;=$O$2,$D695,$D695-($D695-$I$670)*MIN(L$3-$O$2,$Q$2)/$Q$2))</f>
        <v>12862.1106274218</v>
      </c>
      <c r="M695" s="15" t="n">
        <f aca="false">L695*(1+IF(M$3&lt;=$O$2,$D695,$D695-($D695-$I$670)*MIN(M$3-$O$2,$Q$2)/$Q$2))</f>
        <v>13383.4337205876</v>
      </c>
      <c r="N695" s="15" t="n">
        <f aca="false">M695*(1+IF(N$3&lt;=$O$2,$D695,$D695-($D695-$I$670)*MIN(N$3-$O$2,$Q$2)/$Q$2))</f>
        <v>13829.1020634832</v>
      </c>
      <c r="O695" s="15" t="n">
        <f aca="false">SUMPRODUCT(E695:N695,1/(1+$F$670)^$E$3:$N$3)*$E$2</f>
        <v>19477.7896223929</v>
      </c>
      <c r="P695" s="15" t="n">
        <f aca="false">N695*$E$2*(1+$I$670)/($F$670-$I$670)/(1+$F$670)^$N$3</f>
        <v>28639.2139046277</v>
      </c>
      <c r="Q695" s="15" t="n">
        <f aca="false">O695+P695</f>
        <v>48117.0035270205</v>
      </c>
      <c r="R695" s="15" t="n">
        <f aca="false">Q695-$G$2+$I$2</f>
        <v>45600.0035270205</v>
      </c>
      <c r="S695" s="42" t="n">
        <f aca="false">R695/$K$2</f>
        <v>105.258306465584</v>
      </c>
      <c r="T695" s="43" t="n">
        <f aca="false">S695-$M$2</f>
        <v>8.14140737759317E-006</v>
      </c>
    </row>
    <row r="697" customFormat="false" ht="15" hidden="false" customHeight="false" outlineLevel="0" collapsed="false">
      <c r="A697" s="38" t="s">
        <v>197</v>
      </c>
      <c r="E697" s="5" t="s">
        <v>11</v>
      </c>
      <c r="F697" s="12" t="n">
        <f aca="false">Sensitivity!$B$14</f>
        <v>0.0921529104257703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153</v>
      </c>
      <c r="B698" s="28" t="s">
        <v>154</v>
      </c>
      <c r="C698" s="28" t="s">
        <v>155</v>
      </c>
      <c r="D698" s="28" t="s">
        <v>156</v>
      </c>
      <c r="E698" s="28" t="s">
        <v>157</v>
      </c>
      <c r="F698" s="28" t="s">
        <v>158</v>
      </c>
      <c r="G698" s="28" t="s">
        <v>159</v>
      </c>
      <c r="H698" s="28" t="s">
        <v>160</v>
      </c>
      <c r="I698" s="28" t="s">
        <v>161</v>
      </c>
      <c r="J698" s="28" t="s">
        <v>162</v>
      </c>
      <c r="K698" s="28" t="s">
        <v>163</v>
      </c>
      <c r="L698" s="28" t="s">
        <v>164</v>
      </c>
      <c r="M698" s="28" t="s">
        <v>165</v>
      </c>
      <c r="N698" s="28" t="s">
        <v>166</v>
      </c>
      <c r="O698" s="28" t="s">
        <v>167</v>
      </c>
      <c r="P698" s="28" t="s">
        <v>168</v>
      </c>
      <c r="Q698" s="28" t="s">
        <v>169</v>
      </c>
      <c r="R698" s="28" t="s">
        <v>170</v>
      </c>
      <c r="S698" s="28" t="s">
        <v>171</v>
      </c>
      <c r="T698" s="28" t="s">
        <v>172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9787.5</v>
      </c>
      <c r="F699" s="15" t="n">
        <f aca="false">E699*(1+IF(F$3&lt;=$O$2,$D699,$D699-($D699-$I$697)*MIN(F$3-$O$2,$Q$2)/$Q$2))</f>
        <v>12234.375</v>
      </c>
      <c r="G699" s="15" t="n">
        <f aca="false">F699*(1+IF(G$3&lt;=$O$2,$D699,$D699-($D699-$I$697)*MIN(G$3-$O$2,$Q$2)/$Q$2))</f>
        <v>15292.96875</v>
      </c>
      <c r="H699" s="15" t="n">
        <f aca="false">G699*(1+IF(H$3&lt;=$O$2,$D699,$D699-($D699-$I$697)*MIN(H$3-$O$2,$Q$2)/$Q$2))</f>
        <v>19116.2109375</v>
      </c>
      <c r="I699" s="15" t="n">
        <f aca="false">H699*(1+IF(I$3&lt;=$O$2,$D699,$D699-($D699-$I$697)*MIN(I$3-$O$2,$Q$2)/$Q$2))</f>
        <v>23895.263671875</v>
      </c>
      <c r="J699" s="15" t="n">
        <f aca="false">I699*(1+IF(J$3&lt;=$O$2,$D699,$D699-($D699-$I$697)*MIN(J$3-$O$2,$Q$2)/$Q$2))</f>
        <v>28857.3541259766</v>
      </c>
      <c r="K699" s="15" t="n">
        <f aca="false">J699*(1+IF(K$3&lt;=$O$2,$D699,$D699-($D699-$I$697)*MIN(K$3-$O$2,$Q$2)/$Q$2))</f>
        <v>33628.051910083</v>
      </c>
      <c r="L699" s="15" t="n">
        <f aca="false">K699*(1+IF(L$3&lt;=$O$2,$D699,$D699-($D699-$I$697)*MIN(L$3-$O$2,$Q$2)/$Q$2))</f>
        <v>37763.629733985</v>
      </c>
      <c r="M699" s="15" t="n">
        <f aca="false">L699*(1+IF(M$3&lt;=$O$2,$D699,$D699-($D699-$I$697)*MIN(M$3-$O$2,$Q$2)/$Q$2))</f>
        <v>40808.8888357336</v>
      </c>
      <c r="N699" s="15" t="n">
        <f aca="false">M699*(1+IF(N$3&lt;=$O$2,$D699,$D699-($D699-$I$697)*MIN(N$3-$O$2,$Q$2)/$Q$2))</f>
        <v>42371.8692781422</v>
      </c>
      <c r="O699" s="15" t="n">
        <f aca="false">SUMPRODUCT(E699:N699,1/(1+$F$697)^$E$3:$N$3)*$E$2</f>
        <v>42601.2612875752</v>
      </c>
      <c r="P699" s="15" t="n">
        <f aca="false">N699*$E$2*(1+$I$697)/($F$697-$I$697)/(1+$F$697)^$N$3</f>
        <v>96360.6953164432</v>
      </c>
      <c r="Q699" s="15" t="n">
        <f aca="false">O699+P699</f>
        <v>138961.956604018</v>
      </c>
      <c r="R699" s="15" t="n">
        <f aca="false">Q699-$G$2+$I$2</f>
        <v>136444.956604018</v>
      </c>
      <c r="S699" s="42" t="n">
        <f aca="false">R699/$K$2</f>
        <v>314.955349716122</v>
      </c>
      <c r="T699" s="43" t="n">
        <f aca="false">S699-$M$2</f>
        <v>209.697051391945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6851.25</v>
      </c>
      <c r="F700" s="15" t="n">
        <f aca="false">E700*(1+IF(F$3&lt;=$O$2,$D700,$D700-($D700-$I$697)*MIN(F$3-$O$2,$Q$2)/$Q$2))</f>
        <v>5994.84375</v>
      </c>
      <c r="G700" s="15" t="n">
        <f aca="false">F700*(1+IF(G$3&lt;=$O$2,$D700,$D700-($D700-$I$697)*MIN(G$3-$O$2,$Q$2)/$Q$2))</f>
        <v>5245.48828125</v>
      </c>
      <c r="H700" s="15" t="n">
        <f aca="false">G700*(1+IF(H$3&lt;=$O$2,$D700,$D700-($D700-$I$697)*MIN(H$3-$O$2,$Q$2)/$Q$2))</f>
        <v>4589.80224609375</v>
      </c>
      <c r="I700" s="15" t="n">
        <f aca="false">H700*(1+IF(I$3&lt;=$O$2,$D700,$D700-($D700-$I$697)*MIN(I$3-$O$2,$Q$2)/$Q$2))</f>
        <v>4016.07696533203</v>
      </c>
      <c r="J700" s="15" t="n">
        <f aca="false">I700*(1+IF(J$3&lt;=$O$2,$D700,$D700-($D700-$I$697)*MIN(J$3-$O$2,$Q$2)/$Q$2))</f>
        <v>3645.23241835327</v>
      </c>
      <c r="K700" s="15" t="n">
        <f aca="false">J700*(1+IF(K$3&lt;=$O$2,$D700,$D700-($D700-$I$697)*MIN(K$3-$O$2,$Q$2)/$Q$2))</f>
        <v>3427.68494762595</v>
      </c>
      <c r="L700" s="15" t="n">
        <f aca="false">K700*(1+IF(L$3&lt;=$O$2,$D700,$D700-($D700-$I$697)*MIN(L$3-$O$2,$Q$2)/$Q$2))</f>
        <v>3335.0689003411</v>
      </c>
      <c r="M700" s="15" t="n">
        <f aca="false">L700*(1+IF(M$3&lt;=$O$2,$D700,$D700-($D700-$I$697)*MIN(M$3-$O$2,$Q$2)/$Q$2))</f>
        <v>3353.87868893902</v>
      </c>
      <c r="N700" s="15" t="n">
        <f aca="false">M700*(1+IF(N$3&lt;=$O$2,$D700,$D700-($D700-$I$697)*MIN(N$3-$O$2,$Q$2)/$Q$2))</f>
        <v>3482.33224272538</v>
      </c>
      <c r="O700" s="15" t="n">
        <f aca="false">SUMPRODUCT(E700:N700,1/(1+$F$697)^$E$3:$N$3)*$E$2</f>
        <v>8470.07716184214</v>
      </c>
      <c r="P700" s="15" t="n">
        <f aca="false">N700*$E$2*(1+$I$697)/($F$697-$I$697)/(1+$F$697)^$N$3</f>
        <v>7919.40412232387</v>
      </c>
      <c r="Q700" s="15" t="n">
        <f aca="false">O700+P700</f>
        <v>16389.481284166</v>
      </c>
      <c r="R700" s="15" t="n">
        <f aca="false">Q700-$G$2+$I$2</f>
        <v>13872.481284166</v>
      </c>
      <c r="S700" s="42" t="n">
        <f aca="false">R700/$K$2</f>
        <v>32.0217932786252</v>
      </c>
      <c r="T700" s="43" t="n">
        <f aca="false">S700-$M$2</f>
        <v>-73.2365050455519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8319.375</v>
      </c>
      <c r="F701" s="15" t="n">
        <f aca="false">E701*(1+IF(F$3&lt;=$O$2,$D701,$D701-($D701-$I$697)*MIN(F$3-$O$2,$Q$2)/$Q$2))</f>
        <v>8839.3359375</v>
      </c>
      <c r="G701" s="15" t="n">
        <f aca="false">F701*(1+IF(G$3&lt;=$O$2,$D701,$D701-($D701-$I$697)*MIN(G$3-$O$2,$Q$2)/$Q$2))</f>
        <v>9391.79443359375</v>
      </c>
      <c r="H701" s="15" t="n">
        <f aca="false">G701*(1+IF(H$3&lt;=$O$2,$D701,$D701-($D701-$I$697)*MIN(H$3-$O$2,$Q$2)/$Q$2))</f>
        <v>9978.78158569336</v>
      </c>
      <c r="I701" s="15" t="n">
        <f aca="false">H701*(1+IF(I$3&lt;=$O$2,$D701,$D701-($D701-$I$697)*MIN(I$3-$O$2,$Q$2)/$Q$2))</f>
        <v>10602.4554347992</v>
      </c>
      <c r="J701" s="15" t="n">
        <f aca="false">I701*(1+IF(J$3&lt;=$O$2,$D701,$D701-($D701-$I$697)*MIN(J$3-$O$2,$Q$2)/$Q$2))</f>
        <v>11213.7930151697</v>
      </c>
      <c r="K701" s="15" t="n">
        <f aca="false">J701*(1+IF(K$3&lt;=$O$2,$D701,$D701-($D701-$I$697)*MIN(K$3-$O$2,$Q$2)/$Q$2))</f>
        <v>11806.105562231</v>
      </c>
      <c r="L701" s="15" t="n">
        <f aca="false">K701*(1+IF(L$3&lt;=$O$2,$D701,$D701-($D701-$I$697)*MIN(L$3-$O$2,$Q$2)/$Q$2))</f>
        <v>12372.5625071068</v>
      </c>
      <c r="M701" s="15" t="n">
        <f aca="false">L701*(1+IF(M$3&lt;=$O$2,$D701,$D701-($D701-$I$697)*MIN(M$3-$O$2,$Q$2)/$Q$2))</f>
        <v>12906.3148536634</v>
      </c>
      <c r="N701" s="15" t="n">
        <f aca="false">M701*(1+IF(N$3&lt;=$O$2,$D701,$D701-($D701-$I$697)*MIN(N$3-$O$2,$Q$2)/$Q$2))</f>
        <v>13400.6267125587</v>
      </c>
      <c r="O701" s="15" t="n">
        <f aca="false">SUMPRODUCT(E701:N701,1/(1+$F$697)^$E$3:$N$3)*$E$2</f>
        <v>18954.043155</v>
      </c>
      <c r="P701" s="15" t="n">
        <f aca="false">N701*$E$2*(1+$I$697)/($F$697-$I$697)/(1+$F$697)^$N$3</f>
        <v>30475.2594043422</v>
      </c>
      <c r="Q701" s="15" t="n">
        <f aca="false">O701+P701</f>
        <v>49429.3025593422</v>
      </c>
      <c r="R701" s="15" t="n">
        <f aca="false">Q701-$G$2+$I$2</f>
        <v>46912.3025593422</v>
      </c>
      <c r="S701" s="42" t="n">
        <f aca="false">R701/$K$2</f>
        <v>108.287481093537</v>
      </c>
      <c r="T701" s="43" t="n">
        <f aca="false">S701-$M$2</f>
        <v>3.0291827693602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7585.3125</v>
      </c>
      <c r="F702" s="15" t="n">
        <f aca="false">E702*(1+IF(F$3&lt;=$O$2,$D702,$D702-($D702-$I$697)*MIN(F$3-$O$2,$Q$2)/$Q$2))</f>
        <v>7348.271484375</v>
      </c>
      <c r="G702" s="15" t="n">
        <f aca="false">F702*(1+IF(G$3&lt;=$O$2,$D702,$D702-($D702-$I$697)*MIN(G$3-$O$2,$Q$2)/$Q$2))</f>
        <v>7118.63800048828</v>
      </c>
      <c r="H702" s="15" t="n">
        <f aca="false">G702*(1+IF(H$3&lt;=$O$2,$D702,$D702-($D702-$I$697)*MIN(H$3-$O$2,$Q$2)/$Q$2))</f>
        <v>6896.18056297302</v>
      </c>
      <c r="I702" s="15" t="n">
        <f aca="false">H702*(1+IF(I$3&lt;=$O$2,$D702,$D702-($D702-$I$697)*MIN(I$3-$O$2,$Q$2)/$Q$2))</f>
        <v>6680.67492038012</v>
      </c>
      <c r="J702" s="15" t="n">
        <f aca="false">I702*(1+IF(J$3&lt;=$O$2,$D702,$D702-($D702-$I$697)*MIN(J$3-$O$2,$Q$2)/$Q$2))</f>
        <v>6564.83201726073</v>
      </c>
      <c r="K702" s="15" t="n">
        <f aca="false">J702*(1+IF(K$3&lt;=$O$2,$D702,$D702-($D702-$I$697)*MIN(K$3-$O$2,$Q$2)/$Q$2))</f>
        <v>6542.31464344152</v>
      </c>
      <c r="L702" s="15" t="n">
        <f aca="false">K702*(1+IF(L$3&lt;=$O$2,$D702,$D702-($D702-$I$697)*MIN(L$3-$O$2,$Q$2)/$Q$2))</f>
        <v>6610.87810090479</v>
      </c>
      <c r="M702" s="15" t="n">
        <f aca="false">L702*(1+IF(M$3&lt;=$O$2,$D702,$D702-($D702-$I$697)*MIN(M$3-$O$2,$Q$2)/$Q$2))</f>
        <v>6772.11741778586</v>
      </c>
      <c r="N702" s="15" t="n">
        <f aca="false">M702*(1+IF(N$3&lt;=$O$2,$D702,$D702-($D702-$I$697)*MIN(N$3-$O$2,$Q$2)/$Q$2))</f>
        <v>7031.48951488705</v>
      </c>
      <c r="O702" s="15" t="n">
        <f aca="false">SUMPRODUCT(E702:N702,1/(1+$F$697)^$E$3:$N$3)*$E$2</f>
        <v>12632.6480290731</v>
      </c>
      <c r="P702" s="15" t="n">
        <f aca="false">N702*$E$2*(1+$I$697)/($F$697-$I$697)/(1+$F$697)^$N$3</f>
        <v>15990.7795031908</v>
      </c>
      <c r="Q702" s="15" t="n">
        <f aca="false">O702+P702</f>
        <v>28623.4275322639</v>
      </c>
      <c r="R702" s="15" t="n">
        <f aca="false">Q702-$G$2+$I$2</f>
        <v>26106.4275322639</v>
      </c>
      <c r="S702" s="42" t="n">
        <f aca="false">R702/$K$2</f>
        <v>60.2613626616128</v>
      </c>
      <c r="T702" s="43" t="n">
        <f aca="false">S702-$M$2</f>
        <v>-44.9969356625643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7952.34375</v>
      </c>
      <c r="F703" s="15" t="n">
        <f aca="false">E703*(1+IF(F$3&lt;=$O$2,$D703,$D703-($D703-$I$697)*MIN(F$3-$O$2,$Q$2)/$Q$2))</f>
        <v>8076.59912109375</v>
      </c>
      <c r="G703" s="15" t="n">
        <f aca="false">F703*(1+IF(G$3&lt;=$O$2,$D703,$D703-($D703-$I$697)*MIN(G$3-$O$2,$Q$2)/$Q$2))</f>
        <v>8202.79598236084</v>
      </c>
      <c r="H703" s="15" t="n">
        <f aca="false">G703*(1+IF(H$3&lt;=$O$2,$D703,$D703-($D703-$I$697)*MIN(H$3-$O$2,$Q$2)/$Q$2))</f>
        <v>8330.96466958523</v>
      </c>
      <c r="I703" s="15" t="n">
        <f aca="false">H703*(1+IF(I$3&lt;=$O$2,$D703,$D703-($D703-$I$697)*MIN(I$3-$O$2,$Q$2)/$Q$2))</f>
        <v>8461.1359925475</v>
      </c>
      <c r="J703" s="15" t="n">
        <f aca="false">I703*(1+IF(J$3&lt;=$O$2,$D703,$D703-($D703-$I$697)*MIN(J$3-$O$2,$Q$2)/$Q$2))</f>
        <v>8631.71249415726</v>
      </c>
      <c r="K703" s="15" t="n">
        <f aca="false">J703*(1+IF(K$3&lt;=$O$2,$D703,$D703-($D703-$I$697)*MIN(K$3-$O$2,$Q$2)/$Q$2))</f>
        <v>8844.87263420047</v>
      </c>
      <c r="L703" s="15" t="n">
        <f aca="false">K703*(1+IF(L$3&lt;=$O$2,$D703,$D703-($D703-$I$697)*MIN(L$3-$O$2,$Q$2)/$Q$2))</f>
        <v>9103.40826129815</v>
      </c>
      <c r="M703" s="15" t="n">
        <f aca="false">L703*(1+IF(M$3&lt;=$O$2,$D703,$D703-($D703-$I$697)*MIN(M$3-$O$2,$Q$2)/$Q$2))</f>
        <v>9410.78484124088</v>
      </c>
      <c r="N703" s="15" t="n">
        <f aca="false">M703*(1+IF(N$3&lt;=$O$2,$D703,$D703-($D703-$I$697)*MIN(N$3-$O$2,$Q$2)/$Q$2))</f>
        <v>9771.21790066041</v>
      </c>
      <c r="O703" s="15" t="n">
        <f aca="false">SUMPRODUCT(E703:N703,1/(1+$F$697)^$E$3:$N$3)*$E$2</f>
        <v>15467.2546392111</v>
      </c>
      <c r="P703" s="15" t="n">
        <f aca="false">N703*$E$2*(1+$I$697)/($F$697-$I$697)/(1+$F$697)^$N$3</f>
        <v>22221.3786419337</v>
      </c>
      <c r="Q703" s="15" t="n">
        <f aca="false">O703+P703</f>
        <v>37688.6332811447</v>
      </c>
      <c r="R703" s="15" t="n">
        <f aca="false">Q703-$G$2+$I$2</f>
        <v>35171.6332811447</v>
      </c>
      <c r="S703" s="42" t="n">
        <f aca="false">R703/$K$2</f>
        <v>81.1865409748967</v>
      </c>
      <c r="T703" s="43" t="n">
        <f aca="false">S703-$M$2</f>
        <v>-24.0717573492804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8135.859375</v>
      </c>
      <c r="F704" s="15" t="n">
        <f aca="false">E704*(1+IF(F$3&lt;=$O$2,$D704,$D704-($D704-$I$697)*MIN(F$3-$O$2,$Q$2)/$Q$2))</f>
        <v>8453.66638183594</v>
      </c>
      <c r="G704" s="15" t="n">
        <f aca="false">F704*(1+IF(G$3&lt;=$O$2,$D704,$D704-($D704-$I$697)*MIN(G$3-$O$2,$Q$2)/$Q$2))</f>
        <v>8783.8877248764</v>
      </c>
      <c r="H704" s="15" t="n">
        <f aca="false">G704*(1+IF(H$3&lt;=$O$2,$D704,$D704-($D704-$I$697)*MIN(H$3-$O$2,$Q$2)/$Q$2))</f>
        <v>9127.00833912939</v>
      </c>
      <c r="I704" s="15" t="n">
        <f aca="false">H704*(1+IF(I$3&lt;=$O$2,$D704,$D704-($D704-$I$697)*MIN(I$3-$O$2,$Q$2)/$Q$2))</f>
        <v>9483.53210237663</v>
      </c>
      <c r="J704" s="15" t="n">
        <f aca="false">I704*(1+IF(J$3&lt;=$O$2,$D704,$D704-($D704-$I$697)*MIN(J$3-$O$2,$Q$2)/$Q$2))</f>
        <v>9852.53633648011</v>
      </c>
      <c r="K704" s="15" t="n">
        <f aca="false">J704*(1+IF(K$3&lt;=$O$2,$D704,$D704-($D704-$I$697)*MIN(K$3-$O$2,$Q$2)/$Q$2))</f>
        <v>10234.3960135412</v>
      </c>
      <c r="L704" s="15" t="n">
        <f aca="false">K704*(1+IF(L$3&lt;=$O$2,$D704,$D704-($D704-$I$697)*MIN(L$3-$O$2,$Q$2)/$Q$2))</f>
        <v>10629.494871644</v>
      </c>
      <c r="M704" s="15" t="n">
        <f aca="false">L704*(1+IF(M$3&lt;=$O$2,$D704,$D704-($D704-$I$697)*MIN(M$3-$O$2,$Q$2)/$Q$2))</f>
        <v>11038.2255231959</v>
      </c>
      <c r="N704" s="15" t="n">
        <f aca="false">M704*(1+IF(N$3&lt;=$O$2,$D704,$D704-($D704-$I$697)*MIN(N$3-$O$2,$Q$2)/$Q$2))</f>
        <v>11460.9895607343</v>
      </c>
      <c r="O704" s="15" t="n">
        <f aca="false">SUMPRODUCT(E704:N704,1/(1+$F$697)^$E$3:$N$3)*$E$2</f>
        <v>17120.9853332467</v>
      </c>
      <c r="P704" s="15" t="n">
        <f aca="false">N704*$E$2*(1+$I$697)/($F$697-$I$697)/(1+$F$697)^$N$3</f>
        <v>26064.201129228</v>
      </c>
      <c r="Q704" s="15" t="n">
        <f aca="false">O704+P704</f>
        <v>43185.1864624747</v>
      </c>
      <c r="R704" s="15" t="n">
        <f aca="false">Q704-$G$2+$I$2</f>
        <v>40668.1864624747</v>
      </c>
      <c r="S704" s="42" t="n">
        <f aca="false">R704/$K$2</f>
        <v>93.874212784439</v>
      </c>
      <c r="T704" s="43" t="n">
        <f aca="false">S704-$M$2</f>
        <v>-11.3840855397381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0.0390625</v>
      </c>
      <c r="C705" s="25" t="n">
        <f aca="false">IF(T704&gt;0,D704,C704)</f>
        <v>0.0625</v>
      </c>
      <c r="D705" s="41" t="n">
        <f aca="false">(B705+C705)/2</f>
        <v>0.05078125</v>
      </c>
      <c r="E705" s="15" t="n">
        <f aca="false">$C$2*(1+IF(E$3&lt;=$O$2,$D705,$D705-($D705-$I$697)*MIN(E$3-$O$2,$Q$2)/$Q$2))</f>
        <v>8227.6171875</v>
      </c>
      <c r="F705" s="15" t="n">
        <f aca="false">E705*(1+IF(F$3&lt;=$O$2,$D705,$D705-($D705-$I$697)*MIN(F$3-$O$2,$Q$2)/$Q$2))</f>
        <v>8645.42587280273</v>
      </c>
      <c r="G705" s="15" t="n">
        <f aca="false">F705*(1+IF(G$3&lt;=$O$2,$D705,$D705-($D705-$I$697)*MIN(G$3-$O$2,$Q$2)/$Q$2))</f>
        <v>9084.451405406</v>
      </c>
      <c r="H705" s="15" t="n">
        <f aca="false">G705*(1+IF(H$3&lt;=$O$2,$D705,$D705-($D705-$I$697)*MIN(H$3-$O$2,$Q$2)/$Q$2))</f>
        <v>9545.77120333677</v>
      </c>
      <c r="I705" s="15" t="n">
        <f aca="false">H705*(1+IF(I$3&lt;=$O$2,$D705,$D705-($D705-$I$697)*MIN(I$3-$O$2,$Q$2)/$Q$2))</f>
        <v>10030.5173972562</v>
      </c>
      <c r="J705" s="15" t="n">
        <f aca="false">I705*(1+IF(J$3&lt;=$O$2,$D705,$D705-($D705-$I$697)*MIN(J$3-$O$2,$Q$2)/$Q$2))</f>
        <v>10514.8409297827</v>
      </c>
      <c r="K705" s="15" t="n">
        <f aca="false">J705*(1+IF(K$3&lt;=$O$2,$D705,$D705-($D705-$I$697)*MIN(K$3-$O$2,$Q$2)/$Q$2))</f>
        <v>10996.3023524063</v>
      </c>
      <c r="L705" s="15" t="n">
        <f aca="false">K705*(1+IF(L$3&lt;=$O$2,$D705,$D705-($D705-$I$697)*MIN(L$3-$O$2,$Q$2)/$Q$2))</f>
        <v>11472.3597719979</v>
      </c>
      <c r="M705" s="15" t="n">
        <f aca="false">L705*(1+IF(M$3&lt;=$O$2,$D705,$D705-($D705-$I$697)*MIN(M$3-$O$2,$Q$2)/$Q$2))</f>
        <v>11940.3890293462</v>
      </c>
      <c r="N705" s="15" t="n">
        <f aca="false">M705*(1+IF(N$3&lt;=$O$2,$D705,$D705-($D705-$I$697)*MIN(N$3-$O$2,$Q$2)/$Q$2))</f>
        <v>12397.7059291702</v>
      </c>
      <c r="O705" s="15" t="n">
        <f aca="false">SUMPRODUCT(E705:N705,1/(1+$F$697)^$E$3:$N$3)*$E$2</f>
        <v>18014.0036795371</v>
      </c>
      <c r="P705" s="15" t="n">
        <f aca="false">N705*$E$2*(1+$I$697)/($F$697-$I$697)/(1+$F$697)^$N$3</f>
        <v>28194.4503279184</v>
      </c>
      <c r="Q705" s="15" t="n">
        <f aca="false">O705+P705</f>
        <v>46208.4540074555</v>
      </c>
      <c r="R705" s="15" t="n">
        <f aca="false">Q705-$G$2+$I$2</f>
        <v>43691.4540074555</v>
      </c>
      <c r="S705" s="42" t="n">
        <f aca="false">R705/$K$2</f>
        <v>100.852809213461</v>
      </c>
      <c r="T705" s="43" t="n">
        <f aca="false">S705-$M$2</f>
        <v>-4.40548911071625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0.05078125</v>
      </c>
      <c r="C706" s="25" t="n">
        <f aca="false">IF(T705&gt;0,D705,C705)</f>
        <v>0.0625</v>
      </c>
      <c r="D706" s="41" t="n">
        <f aca="false">(B706+C706)/2</f>
        <v>0.056640625</v>
      </c>
      <c r="E706" s="15" t="n">
        <f aca="false">$C$2*(1+IF(E$3&lt;=$O$2,$D706,$D706-($D706-$I$697)*MIN(E$3-$O$2,$Q$2)/$Q$2))</f>
        <v>8273.49609375</v>
      </c>
      <c r="F706" s="15" t="n">
        <f aca="false">E706*(1+IF(F$3&lt;=$O$2,$D706,$D706-($D706-$I$697)*MIN(F$3-$O$2,$Q$2)/$Q$2))</f>
        <v>8742.11208343506</v>
      </c>
      <c r="G706" s="15" t="n">
        <f aca="false">F706*(1+IF(G$3&lt;=$O$2,$D706,$D706-($D706-$I$697)*MIN(G$3-$O$2,$Q$2)/$Q$2))</f>
        <v>9237.27077566087</v>
      </c>
      <c r="H706" s="15" t="n">
        <f aca="false">G706*(1+IF(H$3&lt;=$O$2,$D706,$D706-($D706-$I$697)*MIN(H$3-$O$2,$Q$2)/$Q$2))</f>
        <v>9760.47556568854</v>
      </c>
      <c r="I706" s="15" t="n">
        <f aca="false">H706*(1+IF(I$3&lt;=$O$2,$D706,$D706-($D706-$I$697)*MIN(I$3-$O$2,$Q$2)/$Q$2))</f>
        <v>10313.3150020264</v>
      </c>
      <c r="J706" s="15" t="n">
        <f aca="false">I706*(1+IF(J$3&lt;=$O$2,$D706,$D706-($D706-$I$697)*MIN(J$3-$O$2,$Q$2)/$Q$2))</f>
        <v>10859.6370809712</v>
      </c>
      <c r="K706" s="15" t="n">
        <f aca="false">J706*(1+IF(K$3&lt;=$O$2,$D706,$D706-($D706-$I$697)*MIN(K$3-$O$2,$Q$2)/$Q$2))</f>
        <v>11395.0646999753</v>
      </c>
      <c r="L706" s="15" t="n">
        <f aca="false">K706*(1+IF(L$3&lt;=$O$2,$D706,$D706-($D706-$I$697)*MIN(L$3-$O$2,$Q$2)/$Q$2))</f>
        <v>11915.0927213896</v>
      </c>
      <c r="M706" s="15" t="n">
        <f aca="false">L706*(1+IF(M$3&lt;=$O$2,$D706,$D706-($D706-$I$697)*MIN(M$3-$O$2,$Q$2)/$Q$2))</f>
        <v>12415.1468221074</v>
      </c>
      <c r="N706" s="15" t="n">
        <f aca="false">M706*(1+IF(N$3&lt;=$O$2,$D706,$D706-($D706-$I$697)*MIN(N$3-$O$2,$Q$2)/$Q$2))</f>
        <v>12890.6469453941</v>
      </c>
      <c r="O706" s="15" t="n">
        <f aca="false">SUMPRODUCT(E706:N706,1/(1+$F$697)^$E$3:$N$3)*$E$2</f>
        <v>18478.0038693701</v>
      </c>
      <c r="P706" s="15" t="n">
        <f aca="false">N706*$E$2*(1+$I$697)/($F$697-$I$697)/(1+$F$697)^$N$3</f>
        <v>29315.4803858922</v>
      </c>
      <c r="Q706" s="15" t="n">
        <f aca="false">O706+P706</f>
        <v>47793.4842552623</v>
      </c>
      <c r="R706" s="15" t="n">
        <f aca="false">Q706-$G$2+$I$2</f>
        <v>45276.4842552623</v>
      </c>
      <c r="S706" s="42" t="n">
        <f aca="false">R706/$K$2</f>
        <v>104.511528219524</v>
      </c>
      <c r="T706" s="43" t="n">
        <f aca="false">S706-$M$2</f>
        <v>-0.746770104652882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0.056640625</v>
      </c>
      <c r="C707" s="25" t="n">
        <f aca="false">IF(T706&gt;0,D706,C706)</f>
        <v>0.0625</v>
      </c>
      <c r="D707" s="41" t="n">
        <f aca="false">(B707+C707)/2</f>
        <v>0.0595703125</v>
      </c>
      <c r="E707" s="15" t="n">
        <f aca="false">$C$2*(1+IF(E$3&lt;=$O$2,$D707,$D707-($D707-$I$697)*MIN(E$3-$O$2,$Q$2)/$Q$2))</f>
        <v>8296.435546875</v>
      </c>
      <c r="F707" s="15" t="n">
        <f aca="false">E707*(1+IF(F$3&lt;=$O$2,$D707,$D707-($D707-$I$697)*MIN(F$3-$O$2,$Q$2)/$Q$2))</f>
        <v>8790.65680503845</v>
      </c>
      <c r="G707" s="15" t="n">
        <f aca="false">F707*(1+IF(G$3&lt;=$O$2,$D707,$D707-($D707-$I$697)*MIN(G$3-$O$2,$Q$2)/$Q$2))</f>
        <v>9314.31897799484</v>
      </c>
      <c r="H707" s="15" t="n">
        <f aca="false">G707*(1+IF(H$3&lt;=$O$2,$D707,$D707-($D707-$I$697)*MIN(H$3-$O$2,$Q$2)/$Q$2))</f>
        <v>9869.17587023868</v>
      </c>
      <c r="I707" s="15" t="n">
        <f aca="false">H707*(1+IF(I$3&lt;=$O$2,$D707,$D707-($D707-$I$697)*MIN(I$3-$O$2,$Q$2)/$Q$2))</f>
        <v>10457.0857609463</v>
      </c>
      <c r="J707" s="15" t="n">
        <f aca="false">I707*(1+IF(J$3&lt;=$O$2,$D707,$D707-($D707-$I$697)*MIN(J$3-$O$2,$Q$2)/$Q$2))</f>
        <v>11035.5325311702</v>
      </c>
      <c r="K707" s="15" t="n">
        <f aca="false">J707*(1+IF(K$3&lt;=$O$2,$D707,$D707-($D707-$I$697)*MIN(K$3-$O$2,$Q$2)/$Q$2))</f>
        <v>11599.0309624392</v>
      </c>
      <c r="L707" s="15" t="n">
        <f aca="false">K707*(1+IF(L$3&lt;=$O$2,$D707,$D707-($D707-$I$697)*MIN(L$3-$O$2,$Q$2)/$Q$2))</f>
        <v>12141.9598536079</v>
      </c>
      <c r="M707" s="15" t="n">
        <f aca="false">L707*(1+IF(M$3&lt;=$O$2,$D707,$D707-($D707-$I$697)*MIN(M$3-$O$2,$Q$2)/$Q$2))</f>
        <v>12658.6495720908</v>
      </c>
      <c r="N707" s="15" t="n">
        <f aca="false">M707*(1+IF(N$3&lt;=$O$2,$D707,$D707-($D707-$I$697)*MIN(N$3-$O$2,$Q$2)/$Q$2))</f>
        <v>13143.4758507019</v>
      </c>
      <c r="O707" s="15" t="n">
        <f aca="false">SUMPRODUCT(E707:N707,1/(1+$F$697)^$E$3:$N$3)*$E$2</f>
        <v>18714.5005615609</v>
      </c>
      <c r="P707" s="15" t="n">
        <f aca="false">N707*$E$2*(1+$I$697)/($F$697-$I$697)/(1+$F$697)^$N$3</f>
        <v>29890.4554702252</v>
      </c>
      <c r="Q707" s="15" t="n">
        <f aca="false">O707+P707</f>
        <v>48604.9560317861</v>
      </c>
      <c r="R707" s="15" t="n">
        <f aca="false">Q707-$G$2+$I$2</f>
        <v>46087.9560317861</v>
      </c>
      <c r="S707" s="42" t="n">
        <f aca="false">R707/$K$2</f>
        <v>106.384645288274</v>
      </c>
      <c r="T707" s="43" t="n">
        <f aca="false">S707-$M$2</f>
        <v>1.12634696409701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0.056640625</v>
      </c>
      <c r="C708" s="25" t="n">
        <f aca="false">IF(T707&gt;0,D707,C707)</f>
        <v>0.0595703125</v>
      </c>
      <c r="D708" s="41" t="n">
        <f aca="false">(B708+C708)/2</f>
        <v>0.05810546875</v>
      </c>
      <c r="E708" s="15" t="n">
        <f aca="false">$C$2*(1+IF(E$3&lt;=$O$2,$D708,$D708-($D708-$I$697)*MIN(E$3-$O$2,$Q$2)/$Q$2))</f>
        <v>8284.9658203125</v>
      </c>
      <c r="F708" s="15" t="n">
        <f aca="false">E708*(1+IF(F$3&lt;=$O$2,$D708,$D708-($D708-$I$697)*MIN(F$3-$O$2,$Q$2)/$Q$2))</f>
        <v>8766.36764287949</v>
      </c>
      <c r="G708" s="15" t="n">
        <f aca="false">F708*(1+IF(G$3&lt;=$O$2,$D708,$D708-($D708-$I$697)*MIN(G$3-$O$2,$Q$2)/$Q$2))</f>
        <v>9275.74154400383</v>
      </c>
      <c r="H708" s="15" t="n">
        <f aca="false">G708*(1+IF(H$3&lt;=$O$2,$D708,$D708-($D708-$I$697)*MIN(H$3-$O$2,$Q$2)/$Q$2))</f>
        <v>9814.71285442202</v>
      </c>
      <c r="I708" s="15" t="n">
        <f aca="false">H708*(1+IF(I$3&lt;=$O$2,$D708,$D708-($D708-$I$697)*MIN(I$3-$O$2,$Q$2)/$Q$2))</f>
        <v>10385.0013454749</v>
      </c>
      <c r="J708" s="15" t="n">
        <f aca="false">I708*(1+IF(J$3&lt;=$O$2,$D708,$D708-($D708-$I$697)*MIN(J$3-$O$2,$Q$2)/$Q$2))</f>
        <v>10947.2907526998</v>
      </c>
      <c r="K708" s="15" t="n">
        <f aca="false">J708*(1+IF(K$3&lt;=$O$2,$D708,$D708-($D708-$I$697)*MIN(K$3-$O$2,$Q$2)/$Q$2))</f>
        <v>11496.661723468</v>
      </c>
      <c r="L708" s="15" t="n">
        <f aca="false">K708*(1+IF(L$3&lt;=$O$2,$D708,$D708-($D708-$I$697)*MIN(L$3-$O$2,$Q$2)/$Q$2))</f>
        <v>12028.0625772742</v>
      </c>
      <c r="M708" s="15" t="n">
        <f aca="false">L708*(1+IF(M$3&lt;=$O$2,$D708,$D708-($D708-$I$697)*MIN(M$3-$O$2,$Q$2)/$Q$2))</f>
        <v>12536.3816574833</v>
      </c>
      <c r="N708" s="15" t="n">
        <f aca="false">M708*(1+IF(N$3&lt;=$O$2,$D708,$D708-($D708-$I$697)*MIN(N$3-$O$2,$Q$2)/$Q$2))</f>
        <v>13016.5250749649</v>
      </c>
      <c r="O708" s="15" t="n">
        <f aca="false">SUMPRODUCT(E708:N708,1/(1+$F$697)^$E$3:$N$3)*$E$2</f>
        <v>18595.8737504508</v>
      </c>
      <c r="P708" s="15" t="n">
        <f aca="false">N708*$E$2*(1+$I$697)/($F$697-$I$697)/(1+$F$697)^$N$3</f>
        <v>29601.7482399476</v>
      </c>
      <c r="Q708" s="15" t="n">
        <f aca="false">O708+P708</f>
        <v>48197.6219903984</v>
      </c>
      <c r="R708" s="15" t="n">
        <f aca="false">Q708-$G$2+$I$2</f>
        <v>45680.6219903984</v>
      </c>
      <c r="S708" s="42" t="n">
        <f aca="false">R708/$K$2</f>
        <v>105.444397743406</v>
      </c>
      <c r="T708" s="43" t="n">
        <f aca="false">S708-$M$2</f>
        <v>0.18609941922908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0.056640625</v>
      </c>
      <c r="C709" s="25" t="n">
        <f aca="false">IF(T708&gt;0,D708,C708)</f>
        <v>0.05810546875</v>
      </c>
      <c r="D709" s="41" t="n">
        <f aca="false">(B709+C709)/2</f>
        <v>0.057373046875</v>
      </c>
      <c r="E709" s="15" t="n">
        <f aca="false">$C$2*(1+IF(E$3&lt;=$O$2,$D709,$D709-($D709-$I$697)*MIN(E$3-$O$2,$Q$2)/$Q$2))</f>
        <v>8279.23095703125</v>
      </c>
      <c r="F709" s="15" t="n">
        <f aca="false">E709*(1+IF(F$3&lt;=$O$2,$D709,$D709-($D709-$I$697)*MIN(F$3-$O$2,$Q$2)/$Q$2))</f>
        <v>8754.23566281796</v>
      </c>
      <c r="G709" s="15" t="n">
        <f aca="false">F709*(1+IF(G$3&lt;=$O$2,$D709,$D709-($D709-$I$697)*MIN(G$3-$O$2,$Q$2)/$Q$2))</f>
        <v>9256.49283585561</v>
      </c>
      <c r="H709" s="15" t="n">
        <f aca="false">G709*(1+IF(H$3&lt;=$O$2,$D709,$D709-($D709-$I$697)*MIN(H$3-$O$2,$Q$2)/$Q$2))</f>
        <v>9787.56603322525</v>
      </c>
      <c r="I709" s="15" t="n">
        <f aca="false">H709*(1+IF(I$3&lt;=$O$2,$D709,$D709-($D709-$I$697)*MIN(I$3-$O$2,$Q$2)/$Q$2))</f>
        <v>10349.1085180416</v>
      </c>
      <c r="J709" s="15" t="n">
        <f aca="false">I709*(1+IF(J$3&lt;=$O$2,$D709,$D709-($D709-$I$697)*MIN(J$3-$O$2,$Q$2)/$Q$2))</f>
        <v>10903.3905997859</v>
      </c>
      <c r="K709" s="15" t="n">
        <f aca="false">J709*(1+IF(K$3&lt;=$O$2,$D709,$D709-($D709-$I$697)*MIN(K$3-$O$2,$Q$2)/$Q$2))</f>
        <v>11445.7669877614</v>
      </c>
      <c r="L709" s="15" t="n">
        <f aca="false">K709*(1+IF(L$3&lt;=$O$2,$D709,$D709-($D709-$I$697)*MIN(L$3-$O$2,$Q$2)/$Q$2))</f>
        <v>11971.4621235038</v>
      </c>
      <c r="M709" s="15" t="n">
        <f aca="false">L709*(1+IF(M$3&lt;=$O$2,$D709,$D709-($D709-$I$697)*MIN(M$3-$O$2,$Q$2)/$Q$2))</f>
        <v>12475.6355744828</v>
      </c>
      <c r="N709" s="15" t="n">
        <f aca="false">M709*(1+IF(N$3&lt;=$O$2,$D709,$D709-($D709-$I$697)*MIN(N$3-$O$2,$Q$2)/$Q$2))</f>
        <v>12953.4524169855</v>
      </c>
      <c r="O709" s="15" t="n">
        <f aca="false">SUMPRODUCT(E709:N709,1/(1+$F$697)^$E$3:$N$3)*$E$2</f>
        <v>18536.8444764471</v>
      </c>
      <c r="P709" s="15" t="n">
        <f aca="false">N709*$E$2*(1+$I$697)/($F$697-$I$697)/(1+$F$697)^$N$3</f>
        <v>29458.3104997229</v>
      </c>
      <c r="Q709" s="15" t="n">
        <f aca="false">O709+P709</f>
        <v>47995.1549761699</v>
      </c>
      <c r="R709" s="15" t="n">
        <f aca="false">Q709-$G$2+$I$2</f>
        <v>45478.1549761699</v>
      </c>
      <c r="S709" s="42" t="n">
        <f aca="false">R709/$K$2</f>
        <v>104.977043941115</v>
      </c>
      <c r="T709" s="43" t="n">
        <f aca="false">S709-$M$2</f>
        <v>-0.281254383061878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0.057373046875</v>
      </c>
      <c r="C710" s="25" t="n">
        <f aca="false">IF(T709&gt;0,D709,C709)</f>
        <v>0.05810546875</v>
      </c>
      <c r="D710" s="41" t="n">
        <f aca="false">(B710+C710)/2</f>
        <v>0.0577392578125</v>
      </c>
      <c r="E710" s="15" t="n">
        <f aca="false">$C$2*(1+IF(E$3&lt;=$O$2,$D710,$D710-($D710-$I$697)*MIN(E$3-$O$2,$Q$2)/$Q$2))</f>
        <v>8282.09838867188</v>
      </c>
      <c r="F710" s="15" t="n">
        <f aca="false">E710*(1+IF(F$3&lt;=$O$2,$D710,$D710-($D710-$I$697)*MIN(F$3-$O$2,$Q$2)/$Q$2))</f>
        <v>8760.30060276389</v>
      </c>
      <c r="G710" s="15" t="n">
        <f aca="false">F710*(1+IF(G$3&lt;=$O$2,$D710,$D710-($D710-$I$697)*MIN(G$3-$O$2,$Q$2)/$Q$2))</f>
        <v>9266.11385778188</v>
      </c>
      <c r="H710" s="15" t="n">
        <f aca="false">G710*(1+IF(H$3&lt;=$O$2,$D710,$D710-($D710-$I$697)*MIN(H$3-$O$2,$Q$2)/$Q$2))</f>
        <v>9801.13239473632</v>
      </c>
      <c r="I710" s="15" t="n">
        <f aca="false">H710*(1+IF(I$3&lt;=$O$2,$D710,$D710-($D710-$I$697)*MIN(I$3-$O$2,$Q$2)/$Q$2))</f>
        <v>10367.0425049304</v>
      </c>
      <c r="J710" s="15" t="n">
        <f aca="false">I710*(1+IF(J$3&lt;=$O$2,$D710,$D710-($D710-$I$697)*MIN(J$3-$O$2,$Q$2)/$Q$2))</f>
        <v>10925.3223224745</v>
      </c>
      <c r="K710" s="15" t="n">
        <f aca="false">J710*(1+IF(K$3&lt;=$O$2,$D710,$D710-($D710-$I$697)*MIN(K$3-$O$2,$Q$2)/$Q$2))</f>
        <v>11471.190261812</v>
      </c>
      <c r="L710" s="15" t="n">
        <f aca="false">K710*(1+IF(L$3&lt;=$O$2,$D710,$D710-($D710-$I$697)*MIN(L$3-$O$2,$Q$2)/$Q$2))</f>
        <v>11999.7334188056</v>
      </c>
      <c r="M710" s="15" t="n">
        <f aca="false">L710*(1+IF(M$3&lt;=$O$2,$D710,$D710-($D710-$I$697)*MIN(M$3-$O$2,$Q$2)/$Q$2))</f>
        <v>12505.9763910678</v>
      </c>
      <c r="N710" s="15" t="n">
        <f aca="false">M710*(1+IF(N$3&lt;=$O$2,$D710,$D710-($D710-$I$697)*MIN(N$3-$O$2,$Q$2)/$Q$2))</f>
        <v>12984.9552868457</v>
      </c>
      <c r="O710" s="15" t="n">
        <f aca="false">SUMPRODUCT(E710:N710,1/(1+$F$697)^$E$3:$N$3)*$E$2</f>
        <v>18566.3354947917</v>
      </c>
      <c r="P710" s="15" t="n">
        <f aca="false">N710*$E$2*(1+$I$697)/($F$697-$I$697)/(1+$F$697)^$N$3</f>
        <v>29529.9532781962</v>
      </c>
      <c r="Q710" s="15" t="n">
        <f aca="false">O710+P710</f>
        <v>48096.2887729879</v>
      </c>
      <c r="R710" s="15" t="n">
        <f aca="false">Q710-$G$2+$I$2</f>
        <v>45579.2887729879</v>
      </c>
      <c r="S710" s="42" t="n">
        <f aca="false">R710/$K$2</f>
        <v>105.210490681381</v>
      </c>
      <c r="T710" s="43" t="n">
        <f aca="false">S710-$M$2</f>
        <v>-0.0478076427960303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0.0577392578125</v>
      </c>
      <c r="C711" s="25" t="n">
        <f aca="false">IF(T710&gt;0,D710,C710)</f>
        <v>0.05810546875</v>
      </c>
      <c r="D711" s="41" t="n">
        <f aca="false">(B711+C711)/2</f>
        <v>0.05792236328125</v>
      </c>
      <c r="E711" s="15" t="n">
        <f aca="false">$C$2*(1+IF(E$3&lt;=$O$2,$D711,$D711-($D711-$I$697)*MIN(E$3-$O$2,$Q$2)/$Q$2))</f>
        <v>8283.53210449219</v>
      </c>
      <c r="F711" s="15" t="n">
        <f aca="false">E711*(1+IF(F$3&lt;=$O$2,$D711,$D711-($D711-$I$697)*MIN(F$3-$O$2,$Q$2)/$Q$2))</f>
        <v>8763.33386030048</v>
      </c>
      <c r="G711" s="15" t="n">
        <f aca="false">F711*(1+IF(G$3&lt;=$O$2,$D711,$D711-($D711-$I$697)*MIN(G$3-$O$2,$Q$2)/$Q$2))</f>
        <v>9270.92686771169</v>
      </c>
      <c r="H711" s="15" t="n">
        <f aca="false">G711*(1+IF(H$3&lt;=$O$2,$D711,$D711-($D711-$I$697)*MIN(H$3-$O$2,$Q$2)/$Q$2))</f>
        <v>9807.92086169718</v>
      </c>
      <c r="I711" s="15" t="n">
        <f aca="false">H711*(1+IF(I$3&lt;=$O$2,$D711,$D711-($D711-$I$697)*MIN(I$3-$O$2,$Q$2)/$Q$2))</f>
        <v>10376.0188168822</v>
      </c>
      <c r="J711" s="15" t="n">
        <f aca="false">I711*(1+IF(J$3&lt;=$O$2,$D711,$D711-($D711-$I$697)*MIN(J$3-$O$2,$Q$2)/$Q$2))</f>
        <v>10936.3019460791</v>
      </c>
      <c r="K711" s="15" t="n">
        <f aca="false">J711*(1+IF(K$3&lt;=$O$2,$D711,$D711-($D711-$I$697)*MIN(K$3-$O$2,$Q$2)/$Q$2))</f>
        <v>11483.9199644576</v>
      </c>
      <c r="L711" s="15" t="n">
        <f aca="false">K711*(1+IF(L$3&lt;=$O$2,$D711,$D711-($D711-$I$697)*MIN(L$3-$O$2,$Q$2)/$Q$2))</f>
        <v>12013.8907588705</v>
      </c>
      <c r="M711" s="15" t="n">
        <f aca="false">L711*(1+IF(M$3&lt;=$O$2,$D711,$D711-($D711-$I$697)*MIN(M$3-$O$2,$Q$2)/$Q$2))</f>
        <v>12521.1709607136</v>
      </c>
      <c r="N711" s="15" t="n">
        <f aca="false">M711*(1+IF(N$3&lt;=$O$2,$D711,$D711-($D711-$I$697)*MIN(N$3-$O$2,$Q$2)/$Q$2))</f>
        <v>13000.7318085089</v>
      </c>
      <c r="O711" s="15" t="n">
        <f aca="false">SUMPRODUCT(E711:N711,1/(1+$F$697)^$E$3:$N$3)*$E$2</f>
        <v>18581.0987135405</v>
      </c>
      <c r="P711" s="15" t="n">
        <f aca="false">N711*$E$2*(1+$I$697)/($F$697-$I$697)/(1+$F$697)^$N$3</f>
        <v>29565.8317188466</v>
      </c>
      <c r="Q711" s="15" t="n">
        <f aca="false">O711+P711</f>
        <v>48146.9304323871</v>
      </c>
      <c r="R711" s="15" t="n">
        <f aca="false">Q711-$G$2+$I$2</f>
        <v>45629.9304323871</v>
      </c>
      <c r="S711" s="42" t="n">
        <f aca="false">R711/$K$2</f>
        <v>105.32738662201</v>
      </c>
      <c r="T711" s="43" t="n">
        <f aca="false">S711-$M$2</f>
        <v>0.0690882978327352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0.0577392578125</v>
      </c>
      <c r="C712" s="25" t="n">
        <f aca="false">IF(T711&gt;0,D711,C711)</f>
        <v>0.05792236328125</v>
      </c>
      <c r="D712" s="41" t="n">
        <f aca="false">(B712+C712)/2</f>
        <v>0.057830810546875</v>
      </c>
      <c r="E712" s="15" t="n">
        <f aca="false">$C$2*(1+IF(E$3&lt;=$O$2,$D712,$D712-($D712-$I$697)*MIN(E$3-$O$2,$Q$2)/$Q$2))</f>
        <v>8282.81524658203</v>
      </c>
      <c r="F712" s="15" t="n">
        <f aca="false">E712*(1+IF(F$3&lt;=$O$2,$D712,$D712-($D712-$I$697)*MIN(F$3-$O$2,$Q$2)/$Q$2))</f>
        <v>8761.81716590188</v>
      </c>
      <c r="G712" s="15" t="n">
        <f aca="false">F712*(1+IF(G$3&lt;=$O$2,$D712,$D712-($D712-$I$697)*MIN(G$3-$O$2,$Q$2)/$Q$2))</f>
        <v>9268.52015446951</v>
      </c>
      <c r="H712" s="15" t="n">
        <f aca="false">G712*(1+IF(H$3&lt;=$O$2,$D712,$D712-($D712-$I$697)*MIN(H$3-$O$2,$Q$2)/$Q$2))</f>
        <v>9804.52618757253</v>
      </c>
      <c r="I712" s="15" t="n">
        <f aca="false">H712*(1+IF(I$3&lt;=$O$2,$D712,$D712-($D712-$I$697)*MIN(I$3-$O$2,$Q$2)/$Q$2))</f>
        <v>10371.5298840279</v>
      </c>
      <c r="J712" s="15" t="n">
        <f aca="false">I712*(1+IF(J$3&lt;=$O$2,$D712,$D712-($D712-$I$697)*MIN(J$3-$O$2,$Q$2)/$Q$2))</f>
        <v>10930.8109867831</v>
      </c>
      <c r="K712" s="15" t="n">
        <f aca="false">J712*(1+IF(K$3&lt;=$O$2,$D712,$D712-($D712-$I$697)*MIN(K$3-$O$2,$Q$2)/$Q$2))</f>
        <v>11477.5536066809</v>
      </c>
      <c r="L712" s="15" t="n">
        <f aca="false">K712*(1+IF(L$3&lt;=$O$2,$D712,$D712-($D712-$I$697)*MIN(L$3-$O$2,$Q$2)/$Q$2))</f>
        <v>12006.8102798302</v>
      </c>
      <c r="M712" s="15" t="n">
        <f aca="false">L712*(1+IF(M$3&lt;=$O$2,$D712,$D712-($D712-$I$697)*MIN(M$3-$O$2,$Q$2)/$Q$2))</f>
        <v>12513.5716609173</v>
      </c>
      <c r="N712" s="15" t="n">
        <f aca="false">M712*(1+IF(N$3&lt;=$O$2,$D712,$D712-($D712-$I$697)*MIN(N$3-$O$2,$Q$2)/$Q$2))</f>
        <v>12992.8414555304</v>
      </c>
      <c r="O712" s="15" t="n">
        <f aca="false">SUMPRODUCT(E712:N712,1/(1+$F$697)^$E$3:$N$3)*$E$2</f>
        <v>18573.7156274482</v>
      </c>
      <c r="P712" s="15" t="n">
        <f aca="false">N712*$E$2*(1+$I$697)/($F$697-$I$697)/(1+$F$697)^$N$3</f>
        <v>29547.8877406305</v>
      </c>
      <c r="Q712" s="15" t="n">
        <f aca="false">O712+P712</f>
        <v>48121.6033680788</v>
      </c>
      <c r="R712" s="15" t="n">
        <f aca="false">Q712-$G$2+$I$2</f>
        <v>45604.6033680788</v>
      </c>
      <c r="S712" s="42" t="n">
        <f aca="false">R712/$K$2</f>
        <v>105.268924260373</v>
      </c>
      <c r="T712" s="43" t="n">
        <f aca="false">S712-$M$2</f>
        <v>0.0106259361957939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0.0577392578125</v>
      </c>
      <c r="C713" s="25" t="n">
        <f aca="false">IF(T712&gt;0,D712,C712)</f>
        <v>0.057830810546875</v>
      </c>
      <c r="D713" s="41" t="n">
        <f aca="false">(B713+C713)/2</f>
        <v>0.0577850341796875</v>
      </c>
      <c r="E713" s="15" t="n">
        <f aca="false">$C$2*(1+IF(E$3&lt;=$O$2,$D713,$D713-($D713-$I$697)*MIN(E$3-$O$2,$Q$2)/$Q$2))</f>
        <v>8282.45681762695</v>
      </c>
      <c r="F713" s="15" t="n">
        <f aca="false">E713*(1+IF(F$3&lt;=$O$2,$D713,$D713-($D713-$I$697)*MIN(F$3-$O$2,$Q$2)/$Q$2))</f>
        <v>8761.05886792531</v>
      </c>
      <c r="G713" s="15" t="n">
        <f aca="false">F713*(1+IF(G$3&lt;=$O$2,$D713,$D713-($D713-$I$697)*MIN(G$3-$O$2,$Q$2)/$Q$2))</f>
        <v>9267.31695405863</v>
      </c>
      <c r="H713" s="15" t="n">
        <f aca="false">G713*(1+IF(H$3&lt;=$O$2,$D713,$D713-($D713-$I$697)*MIN(H$3-$O$2,$Q$2)/$Q$2))</f>
        <v>9802.82918100291</v>
      </c>
      <c r="I713" s="15" t="n">
        <f aca="false">H713*(1+IF(I$3&lt;=$O$2,$D713,$D713-($D713-$I$697)*MIN(I$3-$O$2,$Q$2)/$Q$2))</f>
        <v>10369.2860002848</v>
      </c>
      <c r="J713" s="15" t="n">
        <f aca="false">I713*(1+IF(J$3&lt;=$O$2,$D713,$D713-($D713-$I$697)*MIN(J$3-$O$2,$Q$2)/$Q$2))</f>
        <v>10928.0663678033</v>
      </c>
      <c r="K713" s="15" t="n">
        <f aca="false">J713*(1+IF(K$3&lt;=$O$2,$D713,$D713-($D713-$I$697)*MIN(K$3-$O$2,$Q$2)/$Q$2))</f>
        <v>11474.3715577069</v>
      </c>
      <c r="L713" s="15" t="n">
        <f aca="false">K713*(1+IF(L$3&lt;=$O$2,$D713,$D713-($D713-$I$697)*MIN(L$3-$O$2,$Q$2)/$Q$2))</f>
        <v>12003.271397164</v>
      </c>
      <c r="M713" s="15" t="n">
        <f aca="false">L713*(1+IF(M$3&lt;=$O$2,$D713,$D713-($D713-$I$697)*MIN(M$3-$O$2,$Q$2)/$Q$2))</f>
        <v>12509.7735223638</v>
      </c>
      <c r="N713" s="15" t="n">
        <f aca="false">M713*(1+IF(N$3&lt;=$O$2,$D713,$D713-($D713-$I$697)*MIN(N$3-$O$2,$Q$2)/$Q$2))</f>
        <v>12988.8978482703</v>
      </c>
      <c r="O713" s="15" t="n">
        <f aca="false">SUMPRODUCT(E713:N713,1/(1+$F$697)^$E$3:$N$3)*$E$2</f>
        <v>18570.0251920095</v>
      </c>
      <c r="P713" s="15" t="n">
        <f aca="false">N713*$E$2*(1+$I$697)/($F$697-$I$697)/(1+$F$697)^$N$3</f>
        <v>29538.9193202112</v>
      </c>
      <c r="Q713" s="15" t="n">
        <f aca="false">O713+P713</f>
        <v>48108.9445122208</v>
      </c>
      <c r="R713" s="15" t="n">
        <f aca="false">Q713-$G$2+$I$2</f>
        <v>45591.9445122208</v>
      </c>
      <c r="S713" s="42" t="n">
        <f aca="false">R713/$K$2</f>
        <v>105.23970387383</v>
      </c>
      <c r="T713" s="43" t="n">
        <f aca="false">S713-$M$2</f>
        <v>-0.0185944503468534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0.0577850341796875</v>
      </c>
      <c r="C714" s="25" t="n">
        <f aca="false">IF(T713&gt;0,D713,C713)</f>
        <v>0.057830810546875</v>
      </c>
      <c r="D714" s="41" t="n">
        <f aca="false">(B714+C714)/2</f>
        <v>0.0578079223632813</v>
      </c>
      <c r="E714" s="15" t="n">
        <f aca="false">$C$2*(1+IF(E$3&lt;=$O$2,$D714,$D714-($D714-$I$697)*MIN(E$3-$O$2,$Q$2)/$Q$2))</f>
        <v>8282.63603210449</v>
      </c>
      <c r="F714" s="15" t="n">
        <f aca="false">E714*(1+IF(F$3&lt;=$O$2,$D714,$D714-($D714-$I$697)*MIN(F$3-$O$2,$Q$2)/$Q$2))</f>
        <v>8761.43801281171</v>
      </c>
      <c r="G714" s="15" t="n">
        <f aca="false">F714*(1+IF(G$3&lt;=$O$2,$D714,$D714-($D714-$I$697)*MIN(G$3-$O$2,$Q$2)/$Q$2))</f>
        <v>9267.91854124703</v>
      </c>
      <c r="H714" s="15" t="n">
        <f aca="false">G714*(1+IF(H$3&lt;=$O$2,$D714,$D714-($D714-$I$697)*MIN(H$3-$O$2,$Q$2)/$Q$2))</f>
        <v>9803.67765674865</v>
      </c>
      <c r="I714" s="15" t="n">
        <f aca="false">H714*(1+IF(I$3&lt;=$O$2,$D714,$D714-($D714-$I$697)*MIN(I$3-$O$2,$Q$2)/$Q$2))</f>
        <v>10370.4078936046</v>
      </c>
      <c r="J714" s="15" t="n">
        <f aca="false">I714*(1+IF(J$3&lt;=$O$2,$D714,$D714-($D714-$I$697)*MIN(J$3-$O$2,$Q$2)/$Q$2))</f>
        <v>10929.4386055809</v>
      </c>
      <c r="K714" s="15" t="n">
        <f aca="false">J714*(1+IF(K$3&lt;=$O$2,$D714,$D714-($D714-$I$697)*MIN(K$3-$O$2,$Q$2)/$Q$2))</f>
        <v>11475.9624880498</v>
      </c>
      <c r="L714" s="15" t="n">
        <f aca="false">K714*(1+IF(L$3&lt;=$O$2,$D714,$D714-($D714-$I$697)*MIN(L$3-$O$2,$Q$2)/$Q$2))</f>
        <v>12005.0407254464</v>
      </c>
      <c r="M714" s="15" t="n">
        <f aca="false">L714*(1+IF(M$3&lt;=$O$2,$D714,$D714-($D714-$I$697)*MIN(M$3-$O$2,$Q$2)/$Q$2))</f>
        <v>12511.672465719</v>
      </c>
      <c r="N714" s="15" t="n">
        <f aca="false">M714*(1+IF(N$3&lt;=$O$2,$D714,$D714-($D714-$I$697)*MIN(N$3-$O$2,$Q$2)/$Q$2))</f>
        <v>12990.869521156</v>
      </c>
      <c r="O714" s="15" t="n">
        <f aca="false">SUMPRODUCT(E714:N714,1/(1+$F$697)^$E$3:$N$3)*$E$2</f>
        <v>18571.8703174426</v>
      </c>
      <c r="P714" s="15" t="n">
        <f aca="false">N714*$E$2*(1+$I$697)/($F$697-$I$697)/(1+$F$697)^$N$3</f>
        <v>29543.4032330865</v>
      </c>
      <c r="Q714" s="15" t="n">
        <f aca="false">O714+P714</f>
        <v>48115.2735505292</v>
      </c>
      <c r="R714" s="15" t="n">
        <f aca="false">Q714-$G$2+$I$2</f>
        <v>45598.2735505292</v>
      </c>
      <c r="S714" s="42" t="n">
        <f aca="false">R714/$K$2</f>
        <v>105.254313167742</v>
      </c>
      <c r="T714" s="43" t="n">
        <f aca="false">S714-$M$2</f>
        <v>-0.00398515643519204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0.0578079223632813</v>
      </c>
      <c r="C715" s="25" t="n">
        <f aca="false">IF(T714&gt;0,D714,C714)</f>
        <v>0.057830810546875</v>
      </c>
      <c r="D715" s="41" t="n">
        <f aca="false">(B715+C715)/2</f>
        <v>0.0578193664550781</v>
      </c>
      <c r="E715" s="15" t="n">
        <f aca="false">$C$2*(1+IF(E$3&lt;=$O$2,$D715,$D715-($D715-$I$697)*MIN(E$3-$O$2,$Q$2)/$Q$2))</f>
        <v>8282.72563934326</v>
      </c>
      <c r="F715" s="15" t="n">
        <f aca="false">E715*(1+IF(F$3&lt;=$O$2,$D715,$D715-($D715-$I$697)*MIN(F$3-$O$2,$Q$2)/$Q$2))</f>
        <v>8761.62758833132</v>
      </c>
      <c r="G715" s="15" t="n">
        <f aca="false">F715*(1+IF(G$3&lt;=$O$2,$D715,$D715-($D715-$I$697)*MIN(G$3-$O$2,$Q$2)/$Q$2))</f>
        <v>9268.21934460397</v>
      </c>
      <c r="H715" s="15" t="n">
        <f aca="false">G715*(1+IF(H$3&lt;=$O$2,$D715,$D715-($D715-$I$697)*MIN(H$3-$O$2,$Q$2)/$Q$2))</f>
        <v>9804.10191527567</v>
      </c>
      <c r="I715" s="15" t="n">
        <f aca="false">H715*(1+IF(I$3&lt;=$O$2,$D715,$D715-($D715-$I$697)*MIN(I$3-$O$2,$Q$2)/$Q$2))</f>
        <v>10370.9688766779</v>
      </c>
      <c r="J715" s="15" t="n">
        <f aca="false">I715*(1+IF(J$3&lt;=$O$2,$D715,$D715-($D715-$I$697)*MIN(J$3-$O$2,$Q$2)/$Q$2))</f>
        <v>10930.1247782532</v>
      </c>
      <c r="K715" s="15" t="n">
        <f aca="false">J715*(1+IF(K$3&lt;=$O$2,$D715,$D715-($D715-$I$697)*MIN(K$3-$O$2,$Q$2)/$Q$2))</f>
        <v>11476.7580238281</v>
      </c>
      <c r="L715" s="15" t="n">
        <f aca="false">K715*(1+IF(L$3&lt;=$O$2,$D715,$D715-($D715-$I$697)*MIN(L$3-$O$2,$Q$2)/$Q$2))</f>
        <v>12005.9254743741</v>
      </c>
      <c r="M715" s="15" t="n">
        <f aca="false">L715*(1+IF(M$3&lt;=$O$2,$D715,$D715-($D715-$I$697)*MIN(M$3-$O$2,$Q$2)/$Q$2))</f>
        <v>12512.622031836</v>
      </c>
      <c r="N715" s="15" t="n">
        <f aca="false">M715*(1+IF(N$3&lt;=$O$2,$D715,$D715-($D715-$I$697)*MIN(N$3-$O$2,$Q$2)/$Q$2))</f>
        <v>12991.8554556553</v>
      </c>
      <c r="O715" s="15" t="n">
        <f aca="false">SUMPRODUCT(E715:N715,1/(1+$F$697)^$E$3:$N$3)*$E$2</f>
        <v>18572.7929493728</v>
      </c>
      <c r="P715" s="15" t="n">
        <f aca="false">N715*$E$2*(1+$I$697)/($F$697-$I$697)/(1+$F$697)^$N$3</f>
        <v>29545.6454125207</v>
      </c>
      <c r="Q715" s="15" t="n">
        <f aca="false">O715+P715</f>
        <v>48118.4383618935</v>
      </c>
      <c r="R715" s="15" t="n">
        <f aca="false">Q715-$G$2+$I$2</f>
        <v>45601.4383618935</v>
      </c>
      <c r="S715" s="42" t="n">
        <f aca="false">R715/$K$2</f>
        <v>105.261618489205</v>
      </c>
      <c r="T715" s="43" t="n">
        <f aca="false">S715-$M$2</f>
        <v>0.00332016502817112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0.0578079223632813</v>
      </c>
      <c r="C716" s="25" t="n">
        <f aca="false">IF(T715&gt;0,D715,C715)</f>
        <v>0.0578193664550781</v>
      </c>
      <c r="D716" s="41" t="n">
        <f aca="false">(B716+C716)/2</f>
        <v>0.0578136444091797</v>
      </c>
      <c r="E716" s="15" t="n">
        <f aca="false">$C$2*(1+IF(E$3&lt;=$O$2,$D716,$D716-($D716-$I$697)*MIN(E$3-$O$2,$Q$2)/$Q$2))</f>
        <v>8282.68083572388</v>
      </c>
      <c r="F716" s="15" t="n">
        <f aca="false">E716*(1+IF(F$3&lt;=$O$2,$D716,$D716-($D716-$I$697)*MIN(F$3-$O$2,$Q$2)/$Q$2))</f>
        <v>8761.53280031514</v>
      </c>
      <c r="G716" s="15" t="n">
        <f aca="false">F716*(1+IF(G$3&lt;=$O$2,$D716,$D716-($D716-$I$697)*MIN(G$3-$O$2,$Q$2)/$Q$2))</f>
        <v>9268.06894211193</v>
      </c>
      <c r="H716" s="15" t="n">
        <f aca="false">G716*(1+IF(H$3&lt;=$O$2,$D716,$D716-($D716-$I$697)*MIN(H$3-$O$2,$Q$2)/$Q$2))</f>
        <v>9803.88978429095</v>
      </c>
      <c r="I716" s="15" t="n">
        <f aca="false">H716*(1+IF(I$3&lt;=$O$2,$D716,$D716-($D716-$I$697)*MIN(I$3-$O$2,$Q$2)/$Q$2))</f>
        <v>10370.6883821067</v>
      </c>
      <c r="J716" s="15" t="n">
        <f aca="false">I716*(1+IF(J$3&lt;=$O$2,$D716,$D716-($D716-$I$697)*MIN(J$3-$O$2,$Q$2)/$Q$2))</f>
        <v>10929.7816874349</v>
      </c>
      <c r="K716" s="15" t="n">
        <f aca="false">J716*(1+IF(K$3&lt;=$O$2,$D716,$D716-($D716-$I$697)*MIN(K$3-$O$2,$Q$2)/$Q$2))</f>
        <v>11476.3602500548</v>
      </c>
      <c r="L716" s="15" t="n">
        <f aca="false">K716*(1+IF(L$3&lt;=$O$2,$D716,$D716-($D716-$I$697)*MIN(L$3-$O$2,$Q$2)/$Q$2))</f>
        <v>12005.4830928444</v>
      </c>
      <c r="M716" s="15" t="n">
        <f aca="false">L716*(1+IF(M$3&lt;=$O$2,$D716,$D716-($D716-$I$697)*MIN(M$3-$O$2,$Q$2)/$Q$2))</f>
        <v>12512.1472409072</v>
      </c>
      <c r="N716" s="15" t="n">
        <f aca="false">M716*(1+IF(N$3&lt;=$O$2,$D716,$D716-($D716-$I$697)*MIN(N$3-$O$2,$Q$2)/$Q$2))</f>
        <v>12991.3624802339</v>
      </c>
      <c r="O716" s="15" t="n">
        <f aca="false">SUMPRODUCT(E716:N716,1/(1+$F$697)^$E$3:$N$3)*$E$2</f>
        <v>18572.3316276397</v>
      </c>
      <c r="P716" s="15" t="n">
        <f aca="false">N716*$E$2*(1+$I$697)/($F$697-$I$697)/(1+$F$697)^$N$3</f>
        <v>29544.5243042197</v>
      </c>
      <c r="Q716" s="15" t="n">
        <f aca="false">O716+P716</f>
        <v>48116.8559318594</v>
      </c>
      <c r="R716" s="15" t="n">
        <f aca="false">Q716-$G$2+$I$2</f>
        <v>45599.8559318594</v>
      </c>
      <c r="S716" s="42" t="n">
        <f aca="false">R716/$K$2</f>
        <v>105.257965772262</v>
      </c>
      <c r="T716" s="43" t="n">
        <f aca="false">S716-$M$2</f>
        <v>-0.000332551915064983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0.0578136444091797</v>
      </c>
      <c r="C717" s="25" t="n">
        <f aca="false">IF(T716&gt;0,D716,C716)</f>
        <v>0.0578193664550781</v>
      </c>
      <c r="D717" s="41" t="n">
        <f aca="false">(B717+C717)/2</f>
        <v>0.0578165054321289</v>
      </c>
      <c r="E717" s="15" t="n">
        <f aca="false">$C$2*(1+IF(E$3&lt;=$O$2,$D717,$D717-($D717-$I$697)*MIN(E$3-$O$2,$Q$2)/$Q$2))</f>
        <v>8282.70323753357</v>
      </c>
      <c r="F717" s="15" t="n">
        <f aca="false">E717*(1+IF(F$3&lt;=$O$2,$D717,$D717-($D717-$I$697)*MIN(F$3-$O$2,$Q$2)/$Q$2))</f>
        <v>8761.58019425914</v>
      </c>
      <c r="G717" s="15" t="n">
        <f aca="false">F717*(1+IF(G$3&lt;=$O$2,$D717,$D717-($D717-$I$697)*MIN(G$3-$O$2,$Q$2)/$Q$2))</f>
        <v>9268.14414315456</v>
      </c>
      <c r="H717" s="15" t="n">
        <f aca="false">G717*(1+IF(H$3&lt;=$O$2,$D717,$D717-($D717-$I$697)*MIN(H$3-$O$2,$Q$2)/$Q$2))</f>
        <v>9803.99584935301</v>
      </c>
      <c r="I717" s="15" t="n">
        <f aca="false">H717*(1+IF(I$3&lt;=$O$2,$D717,$D717-($D717-$I$697)*MIN(I$3-$O$2,$Q$2)/$Q$2))</f>
        <v>10370.8286286337</v>
      </c>
      <c r="J717" s="15" t="n">
        <f aca="false">I717*(1+IF(J$3&lt;=$O$2,$D717,$D717-($D717-$I$697)*MIN(J$3-$O$2,$Q$2)/$Q$2))</f>
        <v>10929.9532317235</v>
      </c>
      <c r="K717" s="15" t="n">
        <f aca="false">J717*(1+IF(K$3&lt;=$O$2,$D717,$D717-($D717-$I$697)*MIN(K$3-$O$2,$Q$2)/$Q$2))</f>
        <v>11476.5591354704</v>
      </c>
      <c r="L717" s="15" t="n">
        <f aca="false">K717*(1+IF(L$3&lt;=$O$2,$D717,$D717-($D717-$I$697)*MIN(L$3-$O$2,$Q$2)/$Q$2))</f>
        <v>12005.7042818427</v>
      </c>
      <c r="M717" s="15" t="n">
        <f aca="false">L717*(1+IF(M$3&lt;=$O$2,$D717,$D717-($D717-$I$697)*MIN(M$3-$O$2,$Q$2)/$Q$2))</f>
        <v>12512.3846344039</v>
      </c>
      <c r="N717" s="15" t="n">
        <f aca="false">M717*(1+IF(N$3&lt;=$O$2,$D717,$D717-($D717-$I$697)*MIN(N$3-$O$2,$Q$2)/$Q$2))</f>
        <v>12991.6089659016</v>
      </c>
      <c r="O717" s="15" t="n">
        <f aca="false">SUMPRODUCT(E717:N717,1/(1+$F$697)^$E$3:$N$3)*$E$2</f>
        <v>18572.5622870642</v>
      </c>
      <c r="P717" s="15" t="n">
        <f aca="false">N717*$E$2*(1+$I$697)/($F$697-$I$697)/(1+$F$697)^$N$3</f>
        <v>29545.0848537241</v>
      </c>
      <c r="Q717" s="15" t="n">
        <f aca="false">O717+P717</f>
        <v>48117.6471407884</v>
      </c>
      <c r="R717" s="15" t="n">
        <f aca="false">Q717-$G$2+$I$2</f>
        <v>45600.6471407884</v>
      </c>
      <c r="S717" s="42" t="n">
        <f aca="false">R717/$K$2</f>
        <v>105.259792116681</v>
      </c>
      <c r="T717" s="43" t="n">
        <f aca="false">S717-$M$2</f>
        <v>0.00149379250343884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0.0578136444091797</v>
      </c>
      <c r="C718" s="25" t="n">
        <f aca="false">IF(T717&gt;0,D717,C717)</f>
        <v>0.0578165054321289</v>
      </c>
      <c r="D718" s="41" t="n">
        <f aca="false">(B718+C718)/2</f>
        <v>0.0578150749206543</v>
      </c>
      <c r="E718" s="15" t="n">
        <f aca="false">$C$2*(1+IF(E$3&lt;=$O$2,$D718,$D718-($D718-$I$697)*MIN(E$3-$O$2,$Q$2)/$Q$2))</f>
        <v>8282.69203662872</v>
      </c>
      <c r="F718" s="15" t="n">
        <f aca="false">E718*(1+IF(F$3&lt;=$O$2,$D718,$D718-($D718-$I$697)*MIN(F$3-$O$2,$Q$2)/$Q$2))</f>
        <v>8761.55649727112</v>
      </c>
      <c r="G718" s="15" t="n">
        <f aca="false">F718*(1+IF(G$3&lt;=$O$2,$D718,$D718-($D718-$I$697)*MIN(G$3-$O$2,$Q$2)/$Q$2))</f>
        <v>9268.10654258239</v>
      </c>
      <c r="H718" s="15" t="n">
        <f aca="false">G718*(1+IF(H$3&lt;=$O$2,$D718,$D718-($D718-$I$697)*MIN(H$3-$O$2,$Q$2)/$Q$2))</f>
        <v>9803.9428167144</v>
      </c>
      <c r="I718" s="15" t="n">
        <f aca="false">H718*(1+IF(I$3&lt;=$O$2,$D718,$D718-($D718-$I$697)*MIN(I$3-$O$2,$Q$2)/$Q$2))</f>
        <v>10370.7585051806</v>
      </c>
      <c r="J718" s="15" t="n">
        <f aca="false">I718*(1+IF(J$3&lt;=$O$2,$D718,$D718-($D718-$I$697)*MIN(J$3-$O$2,$Q$2)/$Q$2))</f>
        <v>10929.8674592991</v>
      </c>
      <c r="K718" s="15" t="n">
        <f aca="false">J718*(1+IF(K$3&lt;=$O$2,$D718,$D718-($D718-$I$697)*MIN(K$3-$O$2,$Q$2)/$Q$2))</f>
        <v>11476.4596923948</v>
      </c>
      <c r="L718" s="15" t="n">
        <f aca="false">K718*(1+IF(L$3&lt;=$O$2,$D718,$D718-($D718-$I$697)*MIN(L$3-$O$2,$Q$2)/$Q$2))</f>
        <v>12005.5936869019</v>
      </c>
      <c r="M718" s="15" t="n">
        <f aca="false">L718*(1+IF(M$3&lt;=$O$2,$D718,$D718-($D718-$I$697)*MIN(M$3-$O$2,$Q$2)/$Q$2))</f>
        <v>12512.2659371637</v>
      </c>
      <c r="N718" s="15" t="n">
        <f aca="false">M718*(1+IF(N$3&lt;=$O$2,$D718,$D718-($D718-$I$697)*MIN(N$3-$O$2,$Q$2)/$Q$2))</f>
        <v>12991.485722557</v>
      </c>
      <c r="O718" s="15" t="n">
        <f aca="false">SUMPRODUCT(E718:N718,1/(1+$F$697)^$E$3:$N$3)*$E$2</f>
        <v>18572.4469569914</v>
      </c>
      <c r="P718" s="15" t="n">
        <f aca="false">N718*$E$2*(1+$I$697)/($F$697-$I$697)/(1+$F$697)^$N$3</f>
        <v>29544.8045778104</v>
      </c>
      <c r="Q718" s="15" t="n">
        <f aca="false">O718+P718</f>
        <v>48117.2515348019</v>
      </c>
      <c r="R718" s="15" t="n">
        <f aca="false">Q718-$G$2+$I$2</f>
        <v>45600.2515348019</v>
      </c>
      <c r="S718" s="42" t="n">
        <f aca="false">R718/$K$2</f>
        <v>105.258878940958</v>
      </c>
      <c r="T718" s="43" t="n">
        <f aca="false">S718-$M$2</f>
        <v>0.000580616780965215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0.0578136444091797</v>
      </c>
      <c r="C719" s="25" t="n">
        <f aca="false">IF(T718&gt;0,D718,C718)</f>
        <v>0.0578150749206543</v>
      </c>
      <c r="D719" s="41" t="n">
        <f aca="false">(B719+C719)/2</f>
        <v>0.057814359664917</v>
      </c>
      <c r="E719" s="15" t="n">
        <f aca="false">$C$2*(1+IF(E$3&lt;=$O$2,$D719,$D719-($D719-$I$697)*MIN(E$3-$O$2,$Q$2)/$Q$2))</f>
        <v>8282.6864361763</v>
      </c>
      <c r="F719" s="15" t="n">
        <f aca="false">E719*(1+IF(F$3&lt;=$O$2,$D719,$D719-($D719-$I$697)*MIN(F$3-$O$2,$Q$2)/$Q$2))</f>
        <v>8761.54464878913</v>
      </c>
      <c r="G719" s="15" t="n">
        <f aca="false">F719*(1+IF(G$3&lt;=$O$2,$D719,$D719-($D719-$I$697)*MIN(G$3-$O$2,$Q$2)/$Q$2))</f>
        <v>9268.08774233445</v>
      </c>
      <c r="H719" s="15" t="n">
        <f aca="false">G719*(1+IF(H$3&lt;=$O$2,$D719,$D719-($D719-$I$697)*MIN(H$3-$O$2,$Q$2)/$Q$2))</f>
        <v>9803.91630047578</v>
      </c>
      <c r="I719" s="15" t="n">
        <f aca="false">H719*(1+IF(I$3&lt;=$O$2,$D719,$D719-($D719-$I$697)*MIN(I$3-$O$2,$Q$2)/$Q$2))</f>
        <v>10370.7234435962</v>
      </c>
      <c r="J719" s="15" t="n">
        <f aca="false">I719*(1+IF(J$3&lt;=$O$2,$D719,$D719-($D719-$I$697)*MIN(J$3-$O$2,$Q$2)/$Q$2))</f>
        <v>10929.8245732969</v>
      </c>
      <c r="K719" s="15" t="n">
        <f aca="false">J719*(1+IF(K$3&lt;=$O$2,$D719,$D719-($D719-$I$697)*MIN(K$3-$O$2,$Q$2)/$Q$2))</f>
        <v>11476.4099711329</v>
      </c>
      <c r="L719" s="15" t="n">
        <f aca="false">K719*(1+IF(L$3&lt;=$O$2,$D719,$D719-($D719-$I$697)*MIN(L$3-$O$2,$Q$2)/$Q$2))</f>
        <v>12005.5383897628</v>
      </c>
      <c r="M719" s="15" t="n">
        <f aca="false">L719*(1+IF(M$3&lt;=$O$2,$D719,$D719-($D719-$I$697)*MIN(M$3-$O$2,$Q$2)/$Q$2))</f>
        <v>12512.2065889124</v>
      </c>
      <c r="N719" s="15" t="n">
        <f aca="false">M719*(1+IF(N$3&lt;=$O$2,$D719,$D719-($D719-$I$697)*MIN(N$3-$O$2,$Q$2)/$Q$2))</f>
        <v>12991.4241012678</v>
      </c>
      <c r="O719" s="15" t="n">
        <f aca="false">SUMPRODUCT(E719:N719,1/(1+$F$697)^$E$3:$N$3)*$E$2</f>
        <v>18572.3892922254</v>
      </c>
      <c r="P719" s="15" t="n">
        <f aca="false">N719*$E$2*(1+$I$697)/($F$697-$I$697)/(1+$F$697)^$N$3</f>
        <v>29544.6644407247</v>
      </c>
      <c r="Q719" s="15" t="n">
        <f aca="false">O719+P719</f>
        <v>48117.0537329501</v>
      </c>
      <c r="R719" s="15" t="n">
        <f aca="false">Q719-$G$2+$I$2</f>
        <v>45600.0537329501</v>
      </c>
      <c r="S719" s="42" t="n">
        <f aca="false">R719/$K$2</f>
        <v>105.258422355732</v>
      </c>
      <c r="T719" s="43" t="n">
        <f aca="false">S719-$M$2</f>
        <v>0.00012403155463403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0.0578136444091797</v>
      </c>
      <c r="C720" s="25" t="n">
        <f aca="false">IF(T719&gt;0,D719,C719)</f>
        <v>0.057814359664917</v>
      </c>
      <c r="D720" s="41" t="n">
        <f aca="false">(B720+C720)/2</f>
        <v>0.0578140020370483</v>
      </c>
      <c r="E720" s="15" t="n">
        <f aca="false">$C$2*(1+IF(E$3&lt;=$O$2,$D720,$D720-($D720-$I$697)*MIN(E$3-$O$2,$Q$2)/$Q$2))</f>
        <v>8282.68363595009</v>
      </c>
      <c r="F720" s="15" t="n">
        <f aca="false">E720*(1+IF(F$3&lt;=$O$2,$D720,$D720-($D720-$I$697)*MIN(F$3-$O$2,$Q$2)/$Q$2))</f>
        <v>8761.53872455113</v>
      </c>
      <c r="G720" s="15" t="n">
        <f aca="false">F720*(1+IF(G$3&lt;=$O$2,$D720,$D720-($D720-$I$697)*MIN(G$3-$O$2,$Q$2)/$Q$2))</f>
        <v>9268.07834222001</v>
      </c>
      <c r="H720" s="15" t="n">
        <f aca="false">G720*(1+IF(H$3&lt;=$O$2,$D720,$D720-($D720-$I$697)*MIN(H$3-$O$2,$Q$2)/$Q$2))</f>
        <v>9803.90304237664</v>
      </c>
      <c r="I720" s="15" t="n">
        <f aca="false">H720*(1+IF(I$3&lt;=$O$2,$D720,$D720-($D720-$I$697)*MIN(I$3-$O$2,$Q$2)/$Q$2))</f>
        <v>10370.7059128396</v>
      </c>
      <c r="J720" s="15" t="n">
        <f aca="false">I720*(1+IF(J$3&lt;=$O$2,$D720,$D720-($D720-$I$697)*MIN(J$3-$O$2,$Q$2)/$Q$2))</f>
        <v>10929.8031303484</v>
      </c>
      <c r="K720" s="15" t="n">
        <f aca="false">J720*(1+IF(K$3&lt;=$O$2,$D720,$D720-($D720-$I$697)*MIN(K$3-$O$2,$Q$2)/$Q$2))</f>
        <v>11476.3851105708</v>
      </c>
      <c r="L720" s="15" t="n">
        <f aca="false">K720*(1+IF(L$3&lt;=$O$2,$D720,$D720-($D720-$I$697)*MIN(L$3-$O$2,$Q$2)/$Q$2))</f>
        <v>12005.510741276</v>
      </c>
      <c r="M720" s="15" t="n">
        <f aca="false">L720*(1+IF(M$3&lt;=$O$2,$D720,$D720-($D720-$I$697)*MIN(M$3-$O$2,$Q$2)/$Q$2))</f>
        <v>12512.176914879</v>
      </c>
      <c r="N720" s="15" t="n">
        <f aca="false">M720*(1+IF(N$3&lt;=$O$2,$D720,$D720-($D720-$I$697)*MIN(N$3-$O$2,$Q$2)/$Q$2))</f>
        <v>12991.3932907189</v>
      </c>
      <c r="O720" s="15" t="n">
        <f aca="false">SUMPRODUCT(E720:N720,1/(1+$F$697)^$E$3:$N$3)*$E$2</f>
        <v>18572.36045991</v>
      </c>
      <c r="P720" s="15" t="n">
        <f aca="false">N720*$E$2*(1+$I$697)/($F$697-$I$697)/(1+$F$697)^$N$3</f>
        <v>29544.5943723996</v>
      </c>
      <c r="Q720" s="15" t="n">
        <f aca="false">O720+P720</f>
        <v>48116.9548323096</v>
      </c>
      <c r="R720" s="15" t="n">
        <f aca="false">Q720-$G$2+$I$2</f>
        <v>45599.9548323096</v>
      </c>
      <c r="S720" s="42" t="n">
        <f aca="false">R720/$K$2</f>
        <v>105.258194063777</v>
      </c>
      <c r="T720" s="43" t="n">
        <f aca="false">S720-$M$2</f>
        <v>-0.000104260399794498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0.0578140020370483</v>
      </c>
      <c r="C721" s="25" t="n">
        <f aca="false">IF(T720&gt;0,D720,C720)</f>
        <v>0.057814359664917</v>
      </c>
      <c r="D721" s="41" t="n">
        <f aca="false">(B721+C721)/2</f>
        <v>0.0578141808509827</v>
      </c>
      <c r="E721" s="15" t="n">
        <f aca="false">$C$2*(1+IF(E$3&lt;=$O$2,$D721,$D721-($D721-$I$697)*MIN(E$3-$O$2,$Q$2)/$Q$2))</f>
        <v>8282.68503606319</v>
      </c>
      <c r="F721" s="15" t="n">
        <f aca="false">E721*(1+IF(F$3&lt;=$O$2,$D721,$D721-($D721-$I$697)*MIN(F$3-$O$2,$Q$2)/$Q$2))</f>
        <v>8761.54168666988</v>
      </c>
      <c r="G721" s="15" t="n">
        <f aca="false">F721*(1+IF(G$3&lt;=$O$2,$D721,$D721-($D721-$I$697)*MIN(G$3-$O$2,$Q$2)/$Q$2))</f>
        <v>9268.08304227644</v>
      </c>
      <c r="H721" s="15" t="n">
        <f aca="false">G721*(1+IF(H$3&lt;=$O$2,$D721,$D721-($D721-$I$697)*MIN(H$3-$O$2,$Q$2)/$Q$2))</f>
        <v>9803.90967142453</v>
      </c>
      <c r="I721" s="15" t="n">
        <f aca="false">H721*(1+IF(I$3&lt;=$O$2,$D721,$D721-($D721-$I$697)*MIN(I$3-$O$2,$Q$2)/$Q$2))</f>
        <v>10370.714678215</v>
      </c>
      <c r="J721" s="15" t="n">
        <f aca="false">I721*(1+IF(J$3&lt;=$O$2,$D721,$D721-($D721-$I$697)*MIN(J$3-$O$2,$Q$2)/$Q$2))</f>
        <v>10929.8138518183</v>
      </c>
      <c r="K721" s="15" t="n">
        <f aca="false">J721*(1+IF(K$3&lt;=$O$2,$D721,$D721-($D721-$I$697)*MIN(K$3-$O$2,$Q$2)/$Q$2))</f>
        <v>11476.3975408461</v>
      </c>
      <c r="L721" s="15" t="n">
        <f aca="false">K721*(1+IF(L$3&lt;=$O$2,$D721,$D721-($D721-$I$697)*MIN(L$3-$O$2,$Q$2)/$Q$2))</f>
        <v>12005.5245655125</v>
      </c>
      <c r="M721" s="15" t="n">
        <f aca="false">L721*(1+IF(M$3&lt;=$O$2,$D721,$D721-($D721-$I$697)*MIN(M$3-$O$2,$Q$2)/$Q$2))</f>
        <v>12512.1917518881</v>
      </c>
      <c r="N721" s="15" t="n">
        <f aca="false">M721*(1+IF(N$3&lt;=$O$2,$D721,$D721-($D721-$I$697)*MIN(N$3-$O$2,$Q$2)/$Q$2))</f>
        <v>12991.4086959854</v>
      </c>
      <c r="O721" s="15" t="n">
        <f aca="false">SUMPRODUCT(E721:N721,1/(1+$F$697)^$E$3:$N$3)*$E$2</f>
        <v>18572.3748760621</v>
      </c>
      <c r="P721" s="15" t="n">
        <f aca="false">N721*$E$2*(1+$I$697)/($F$697-$I$697)/(1+$F$697)^$N$3</f>
        <v>29544.629406544</v>
      </c>
      <c r="Q721" s="15" t="n">
        <f aca="false">O721+P721</f>
        <v>48117.0042826061</v>
      </c>
      <c r="R721" s="15" t="n">
        <f aca="false">Q721-$G$2+$I$2</f>
        <v>45600.0042826061</v>
      </c>
      <c r="S721" s="42" t="n">
        <f aca="false">R721/$K$2</f>
        <v>105.2583082097</v>
      </c>
      <c r="T721" s="43" t="n">
        <f aca="false">S721-$M$2</f>
        <v>9.88552253033959E-006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0.0578140020370483</v>
      </c>
      <c r="C722" s="25" t="n">
        <f aca="false">IF(T721&gt;0,D721,C721)</f>
        <v>0.0578141808509827</v>
      </c>
      <c r="D722" s="41" t="n">
        <f aca="false">(B722+C722)/2</f>
        <v>0.0578140914440155</v>
      </c>
      <c r="E722" s="15" t="n">
        <f aca="false">$C$2*(1+IF(E$3&lt;=$O$2,$D722,$D722-($D722-$I$697)*MIN(E$3-$O$2,$Q$2)/$Q$2))</f>
        <v>8282.68433600664</v>
      </c>
      <c r="F722" s="15" t="n">
        <f aca="false">E722*(1+IF(F$3&lt;=$O$2,$D722,$D722-($D722-$I$697)*MIN(F$3-$O$2,$Q$2)/$Q$2))</f>
        <v>8761.54020561045</v>
      </c>
      <c r="G722" s="15" t="n">
        <f aca="false">F722*(1+IF(G$3&lt;=$O$2,$D722,$D722-($D722-$I$697)*MIN(G$3-$O$2,$Q$2)/$Q$2))</f>
        <v>9268.08069224803</v>
      </c>
      <c r="H722" s="15" t="n">
        <f aca="false">G722*(1+IF(H$3&lt;=$O$2,$D722,$D722-($D722-$I$697)*MIN(H$3-$O$2,$Q$2)/$Q$2))</f>
        <v>9803.90635690017</v>
      </c>
      <c r="I722" s="15" t="n">
        <f aca="false">H722*(1+IF(I$3&lt;=$O$2,$D722,$D722-($D722-$I$697)*MIN(I$3-$O$2,$Q$2)/$Q$2))</f>
        <v>10370.7102955266</v>
      </c>
      <c r="J722" s="15" t="n">
        <f aca="false">I722*(1+IF(J$3&lt;=$O$2,$D722,$D722-($D722-$I$697)*MIN(J$3-$O$2,$Q$2)/$Q$2))</f>
        <v>10929.8084910823</v>
      </c>
      <c r="K722" s="15" t="n">
        <f aca="false">J722*(1+IF(K$3&lt;=$O$2,$D722,$D722-($D722-$I$697)*MIN(K$3-$O$2,$Q$2)/$Q$2))</f>
        <v>11476.3913257071</v>
      </c>
      <c r="L722" s="15" t="n">
        <f aca="false">K722*(1+IF(L$3&lt;=$O$2,$D722,$D722-($D722-$I$697)*MIN(L$3-$O$2,$Q$2)/$Q$2))</f>
        <v>12005.5176533925</v>
      </c>
      <c r="M722" s="15" t="n">
        <f aca="false">L722*(1+IF(M$3&lt;=$O$2,$D722,$D722-($D722-$I$697)*MIN(M$3-$O$2,$Q$2)/$Q$2))</f>
        <v>12512.1843333816</v>
      </c>
      <c r="N722" s="15" t="n">
        <f aca="false">M722*(1+IF(N$3&lt;=$O$2,$D722,$D722-($D722-$I$697)*MIN(N$3-$O$2,$Q$2)/$Q$2))</f>
        <v>12991.4009933502</v>
      </c>
      <c r="O722" s="15" t="n">
        <f aca="false">SUMPRODUCT(E722:N722,1/(1+$F$697)^$E$3:$N$3)*$E$2</f>
        <v>18572.3676679847</v>
      </c>
      <c r="P722" s="15" t="n">
        <f aca="false">N722*$E$2*(1+$I$697)/($F$697-$I$697)/(1+$F$697)^$N$3</f>
        <v>29544.6118894673</v>
      </c>
      <c r="Q722" s="15" t="n">
        <f aca="false">O722+P722</f>
        <v>48116.9795574519</v>
      </c>
      <c r="R722" s="15" t="n">
        <f aca="false">Q722-$G$2+$I$2</f>
        <v>45599.9795574519</v>
      </c>
      <c r="S722" s="42" t="n">
        <f aca="false">R722/$K$2</f>
        <v>105.258251136725</v>
      </c>
      <c r="T722" s="43" t="n">
        <f aca="false">S722-$M$2</f>
        <v>-4.7187452295816E-005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198</v>
      </c>
    </row>
    <row r="3" customFormat="false" ht="15" hidden="false" customHeight="false" outlineLevel="0" collapsed="false">
      <c r="B3" s="2" t="s">
        <v>199</v>
      </c>
    </row>
    <row r="5" customFormat="false" ht="15" hidden="false" customHeight="false" outlineLevel="0" collapsed="false">
      <c r="B5" s="3" t="s">
        <v>200</v>
      </c>
    </row>
    <row r="6" customFormat="false" ht="15" hidden="false" customHeight="false" outlineLevel="0" collapsed="false">
      <c r="B6" s="28" t="s">
        <v>149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201</v>
      </c>
      <c r="C7" s="23" t="n">
        <f aca="false">IF(C$6&lt;=Inputs!$C$46,Solver!$W$7,Solver!$W$7-(Solver!$W$7-Inputs!$C$37)*MIN(C$6-Inputs!$C$46,Inputs!$C$47)/Inputs!$C$47)</f>
        <v>0.0493228058917339</v>
      </c>
      <c r="D7" s="23" t="n">
        <f aca="false">IF(D$6&lt;=Inputs!$C$46,Solver!$W$7,Solver!$W$7-(Solver!$W$7-Inputs!$C$37)*MIN(D$6-Inputs!$C$46,Inputs!$C$47)/Inputs!$C$47)</f>
        <v>0.0493228058917339</v>
      </c>
      <c r="E7" s="23" t="n">
        <f aca="false">IF(E$6&lt;=Inputs!$C$46,Solver!$W$7,Solver!$W$7-(Solver!$W$7-Inputs!$C$37)*MIN(E$6-Inputs!$C$46,Inputs!$C$47)/Inputs!$C$47)</f>
        <v>0.0493228058917339</v>
      </c>
      <c r="F7" s="23" t="n">
        <f aca="false">IF(F$6&lt;=Inputs!$C$46,Solver!$W$7,Solver!$W$7-(Solver!$W$7-Inputs!$C$37)*MIN(F$6-Inputs!$C$46,Inputs!$C$47)/Inputs!$C$47)</f>
        <v>0.0493228058917339</v>
      </c>
      <c r="G7" s="23" t="n">
        <f aca="false">IF(G$6&lt;=Inputs!$C$46,Solver!$W$7,Solver!$W$7-(Solver!$W$7-Inputs!$C$37)*MIN(G$6-Inputs!$C$46,Inputs!$C$47)/Inputs!$C$47)</f>
        <v>0.0493228058917339</v>
      </c>
      <c r="H7" s="23" t="n">
        <f aca="false">IF(H$6&lt;=Inputs!$C$46,Solver!$W$7,Solver!$W$7-(Solver!$W$7-Inputs!$C$37)*MIN(H$6-Inputs!$C$46,Inputs!$C$47)/Inputs!$C$47)</f>
        <v>0.0451182447133871</v>
      </c>
      <c r="I7" s="23" t="n">
        <f aca="false">IF(I$6&lt;=Inputs!$C$46,Solver!$W$7,Solver!$W$7-(Solver!$W$7-Inputs!$C$37)*MIN(I$6-Inputs!$C$46,Inputs!$C$47)/Inputs!$C$47)</f>
        <v>0.0409136835350403</v>
      </c>
      <c r="J7" s="23" t="n">
        <f aca="false">IF(J$6&lt;=Inputs!$C$46,Solver!$W$7,Solver!$W$7-(Solver!$W$7-Inputs!$C$37)*MIN(J$6-Inputs!$C$46,Inputs!$C$47)/Inputs!$C$47)</f>
        <v>0.0367091223566936</v>
      </c>
      <c r="K7" s="23" t="n">
        <f aca="false">IF(K$6&lt;=Inputs!$C$46,Solver!$W$7,Solver!$W$7-(Solver!$W$7-Inputs!$C$37)*MIN(K$6-Inputs!$C$46,Inputs!$C$47)/Inputs!$C$47)</f>
        <v>0.0325045611783468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8216.19757013228</v>
      </c>
      <c r="D8" s="15" t="n">
        <f aca="false">C8*(1+D7)</f>
        <v>8621.44348805205</v>
      </c>
      <c r="E8" s="15" t="n">
        <f aca="false">D8*(1+E7)</f>
        <v>9046.67727171979</v>
      </c>
      <c r="F8" s="15" t="n">
        <f aca="false">E8*(1+F7)</f>
        <v>9492.88477875799</v>
      </c>
      <c r="G8" s="15" t="n">
        <f aca="false">F8*(1+G7)</f>
        <v>9961.10049205326</v>
      </c>
      <c r="H8" s="15" t="n">
        <f aca="false">G8*(1+H7)</f>
        <v>10410.5278616684</v>
      </c>
      <c r="I8" s="15" t="n">
        <f aca="false">H8*(1+I7)</f>
        <v>10836.4609040334</v>
      </c>
      <c r="J8" s="15" t="n">
        <f aca="false">I8*(1+J7)</f>
        <v>11234.2578732731</v>
      </c>
      <c r="K8" s="15" t="n">
        <f aca="false">J8*(1+K7)</f>
        <v>11599.4224956082</v>
      </c>
      <c r="L8" s="15" t="n">
        <f aca="false">K8*(1+L7)</f>
        <v>11927.6861522339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2339.98985713857</v>
      </c>
      <c r="D9" s="15" t="n">
        <f aca="false">D8*Inputs!$C$23</f>
        <v>2455.40472265084</v>
      </c>
      <c r="E9" s="15" t="n">
        <f aca="false">E8*Inputs!$C$23</f>
        <v>2576.51217317179</v>
      </c>
      <c r="F9" s="15" t="n">
        <f aca="false">F8*Inputs!$C$23</f>
        <v>2703.59298296683</v>
      </c>
      <c r="G9" s="15" t="n">
        <f aca="false">G8*Inputs!$C$23</f>
        <v>2836.94177487596</v>
      </c>
      <c r="H9" s="15" t="n">
        <f aca="false">H8*Inputs!$C$23</f>
        <v>2964.93960811245</v>
      </c>
      <c r="I9" s="15" t="n">
        <f aca="false">I8*Inputs!$C$23</f>
        <v>3086.24620893926</v>
      </c>
      <c r="J9" s="15" t="n">
        <f aca="false">J8*Inputs!$C$23</f>
        <v>3199.5395986461</v>
      </c>
      <c r="K9" s="15" t="n">
        <f aca="false">K8*Inputs!$C$23</f>
        <v>3303.53922927283</v>
      </c>
      <c r="L9" s="15" t="n">
        <f aca="false">L8*Inputs!$C$23</f>
        <v>3397.02938946125</v>
      </c>
    </row>
    <row r="10" customFormat="false" ht="15" hidden="false" customHeight="false" outlineLevel="0" collapsed="false">
      <c r="B10" s="5" t="s">
        <v>202</v>
      </c>
      <c r="C10" s="45" t="n">
        <f aca="false">1/(1+WACC!$C$35)^C$6</f>
        <v>0.924083824352099</v>
      </c>
      <c r="D10" s="45" t="n">
        <f aca="false">1/(1+WACC!$C$35)^D$6</f>
        <v>0.8539309144292</v>
      </c>
      <c r="E10" s="45" t="n">
        <f aca="false">1/(1+WACC!$C$35)^E$6</f>
        <v>0.78910374513822</v>
      </c>
      <c r="F10" s="45" t="n">
        <f aca="false">1/(1+WACC!$C$35)^F$6</f>
        <v>0.729198006617891</v>
      </c>
      <c r="G10" s="45" t="n">
        <f aca="false">1/(1+WACC!$C$35)^G$6</f>
        <v>0.673840082665387</v>
      </c>
      <c r="H10" s="45" t="n">
        <f aca="false">1/(1+WACC!$C$35)^H$6</f>
        <v>0.622684720591165</v>
      </c>
      <c r="I10" s="45" t="n">
        <f aca="false">1/(1+WACC!$C$35)^I$6</f>
        <v>0.575412877969502</v>
      </c>
      <c r="J10" s="45" t="n">
        <f aca="false">1/(1+WACC!$C$35)^J$6</f>
        <v>0.531729732855505</v>
      </c>
      <c r="K10" s="45" t="n">
        <f aca="false">1/(1+WACC!$C$35)^K$6</f>
        <v>0.491362845058835</v>
      </c>
      <c r="L10" s="45" t="n">
        <f aca="false">1/(1+WACC!$C$35)^L$6</f>
        <v>0.454060457006496</v>
      </c>
    </row>
    <row r="11" customFormat="false" ht="15" hidden="false" customHeight="false" outlineLevel="0" collapsed="false">
      <c r="B11" s="5" t="s">
        <v>203</v>
      </c>
      <c r="C11" s="15" t="n">
        <f aca="false">C9*C10</f>
        <v>2162.34677612973</v>
      </c>
      <c r="D11" s="15" t="n">
        <f aca="false">D9*D10</f>
        <v>2096.74600010701</v>
      </c>
      <c r="E11" s="15" t="n">
        <f aca="false">E9*E10</f>
        <v>2033.13540524408</v>
      </c>
      <c r="F11" s="15" t="n">
        <f aca="false">F9*F10</f>
        <v>1971.45461388553</v>
      </c>
      <c r="G11" s="15" t="n">
        <f aca="false">G9*G10</f>
        <v>1911.64508009931</v>
      </c>
      <c r="H11" s="15" t="n">
        <f aca="false">H9*H10</f>
        <v>1846.22259144718</v>
      </c>
      <c r="I11" s="15" t="n">
        <f aca="false">I9*I10</f>
        <v>1775.86581320821</v>
      </c>
      <c r="J11" s="15" t="n">
        <f aca="false">J9*J10</f>
        <v>1701.2903360487</v>
      </c>
      <c r="K11" s="15" t="n">
        <f aca="false">K9*K10</f>
        <v>1623.23643445897</v>
      </c>
      <c r="L11" s="15" t="n">
        <f aca="false">L9*L10</f>
        <v>1542.45671704327</v>
      </c>
    </row>
    <row r="13" customFormat="false" ht="15" hidden="false" customHeight="false" outlineLevel="0" collapsed="false">
      <c r="B13" s="5" t="s">
        <v>204</v>
      </c>
      <c r="C13" s="15" t="n">
        <f aca="false">SUM(C11:L11)</f>
        <v>18664.399767672</v>
      </c>
    </row>
    <row r="14" customFormat="false" ht="15" hidden="false" customHeight="false" outlineLevel="0" collapsed="false">
      <c r="B14" s="5" t="s">
        <v>205</v>
      </c>
      <c r="C14" s="15" t="n">
        <f aca="false">L9*(1+Inputs!$C$37)/(WACC!$C$35-Inputs!$C$37)</f>
        <v>64864.9310420819</v>
      </c>
    </row>
    <row r="15" customFormat="false" ht="15" hidden="false" customHeight="false" outlineLevel="0" collapsed="false">
      <c r="B15" s="5" t="s">
        <v>206</v>
      </c>
      <c r="C15" s="15" t="n">
        <f aca="false">C14*L10</f>
        <v>29452.6002326626</v>
      </c>
    </row>
    <row r="16" customFormat="false" ht="15" hidden="false" customHeight="false" outlineLevel="0" collapsed="false">
      <c r="B16" s="7" t="s">
        <v>207</v>
      </c>
      <c r="C16" s="15" t="n">
        <f aca="false">C13+C15</f>
        <v>48117.0000003346</v>
      </c>
    </row>
    <row r="17" customFormat="false" ht="15" hidden="false" customHeight="false" outlineLevel="0" collapsed="false">
      <c r="B17" s="5" t="s">
        <v>208</v>
      </c>
      <c r="C17" s="16" t="n">
        <f aca="false">-Inputs!$C$27</f>
        <v>-3210</v>
      </c>
    </row>
    <row r="18" customFormat="false" ht="15" hidden="false" customHeight="false" outlineLevel="0" collapsed="false">
      <c r="B18" s="5" t="s">
        <v>209</v>
      </c>
      <c r="C18" s="16" t="n">
        <f aca="false">Inputs!$C$28</f>
        <v>693</v>
      </c>
    </row>
    <row r="19" customFormat="false" ht="15" hidden="false" customHeight="false" outlineLevel="0" collapsed="false">
      <c r="B19" s="5" t="s">
        <v>210</v>
      </c>
      <c r="C19" s="15" t="n">
        <f aca="false">SUM(C16:C18)</f>
        <v>45600.0000003346</v>
      </c>
    </row>
    <row r="20" customFormat="false" ht="15" hidden="false" customHeight="false" outlineLevel="0" collapsed="false">
      <c r="B20" s="5" t="s">
        <v>211</v>
      </c>
      <c r="C20" s="36" t="n">
        <f aca="false">Inputs!$C$7</f>
        <v>433.22</v>
      </c>
    </row>
    <row r="21" customFormat="false" ht="15" hidden="false" customHeight="false" outlineLevel="0" collapsed="false">
      <c r="B21" s="7" t="s">
        <v>212</v>
      </c>
      <c r="C21" s="46" t="n">
        <f aca="false">C19/C20</f>
        <v>105.258298324949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105.258298324177</v>
      </c>
    </row>
    <row r="23" customFormat="false" ht="15" hidden="false" customHeight="false" outlineLevel="0" collapsed="false">
      <c r="B23" s="5" t="s">
        <v>213</v>
      </c>
      <c r="C23" s="23" t="n">
        <f aca="false">C21/C22-1</f>
        <v>7.33657579132796E-012</v>
      </c>
    </row>
    <row r="24" customFormat="false" ht="15" hidden="false" customHeight="false" outlineLevel="0" collapsed="false">
      <c r="B24" s="5" t="s">
        <v>214</v>
      </c>
      <c r="C24" s="23" t="n">
        <f aca="false">C15/C16</f>
        <v>0.612103835078201</v>
      </c>
    </row>
    <row r="25" customFormat="false" ht="15" hidden="false" customHeight="false" outlineLevel="0" collapsed="false">
      <c r="B25" s="3" t="s">
        <v>215</v>
      </c>
    </row>
    <row r="26" customFormat="false" ht="15" hidden="false" customHeight="false" outlineLevel="0" collapsed="false">
      <c r="B26" s="28" t="s">
        <v>149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201</v>
      </c>
      <c r="C27" s="23" t="n">
        <f aca="false">IF(C$26&lt;=Inputs!$C$46,Inputs!$C$45,Inputs!$C$45-(Inputs!$C$45-Inputs!$C$37)*MIN(C$26-Inputs!$C$46,Inputs!$C$47)/Inputs!$C$47)</f>
        <v>0.0654954393655853</v>
      </c>
      <c r="D27" s="23" t="n">
        <f aca="false">IF(D$26&lt;=Inputs!$C$46,Inputs!$C$45,Inputs!$C$45-(Inputs!$C$45-Inputs!$C$37)*MIN(D$26-Inputs!$C$46,Inputs!$C$47)/Inputs!$C$47)</f>
        <v>0.0654954393655853</v>
      </c>
      <c r="E27" s="23" t="n">
        <f aca="false">IF(E$26&lt;=Inputs!$C$46,Inputs!$C$45,Inputs!$C$45-(Inputs!$C$45-Inputs!$C$37)*MIN(E$26-Inputs!$C$46,Inputs!$C$47)/Inputs!$C$47)</f>
        <v>0.0654954393655853</v>
      </c>
      <c r="F27" s="23" t="n">
        <f aca="false">IF(F$26&lt;=Inputs!$C$46,Inputs!$C$45,Inputs!$C$45-(Inputs!$C$45-Inputs!$C$37)*MIN(F$26-Inputs!$C$46,Inputs!$C$47)/Inputs!$C$47)</f>
        <v>0.0654954393655853</v>
      </c>
      <c r="G27" s="23" t="n">
        <f aca="false">IF(G$26&lt;=Inputs!$C$46,Inputs!$C$45,Inputs!$C$45-(Inputs!$C$45-Inputs!$C$37)*MIN(G$26-Inputs!$C$46,Inputs!$C$47)/Inputs!$C$47)</f>
        <v>0.0654954393655853</v>
      </c>
      <c r="H27" s="23" t="n">
        <f aca="false">IF(H$26&lt;=Inputs!$C$46,Inputs!$C$45,Inputs!$C$45-(Inputs!$C$45-Inputs!$C$37)*MIN(H$26-Inputs!$C$46,Inputs!$C$47)/Inputs!$C$47)</f>
        <v>0.0580563514924682</v>
      </c>
      <c r="I27" s="23" t="n">
        <f aca="false">IF(I$26&lt;=Inputs!$C$46,Inputs!$C$45,Inputs!$C$45-(Inputs!$C$45-Inputs!$C$37)*MIN(I$26-Inputs!$C$46,Inputs!$C$47)/Inputs!$C$47)</f>
        <v>0.0506172636193512</v>
      </c>
      <c r="J27" s="23" t="n">
        <f aca="false">IF(J$26&lt;=Inputs!$C$46,Inputs!$C$45,Inputs!$C$45-(Inputs!$C$45-Inputs!$C$37)*MIN(J$26-Inputs!$C$46,Inputs!$C$47)/Inputs!$C$47)</f>
        <v>0.0431781757462341</v>
      </c>
      <c r="K27" s="23" t="n">
        <f aca="false">IF(K$26&lt;=Inputs!$C$46,Inputs!$C$45,Inputs!$C$45-(Inputs!$C$45-Inputs!$C$37)*MIN(K$26-Inputs!$C$46,Inputs!$C$47)/Inputs!$C$47)</f>
        <v>0.0357390878731171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8342.82929023253</v>
      </c>
      <c r="D28" s="15" t="n">
        <f aca="false">C28*(1+D27)</f>
        <v>8889.24656014839</v>
      </c>
      <c r="E28" s="15" t="n">
        <f aca="false">D28*(1+E27)</f>
        <v>9471.45166923432</v>
      </c>
      <c r="F28" s="15" t="n">
        <f aca="false">E28*(1+F27)</f>
        <v>10091.7885577407</v>
      </c>
      <c r="G28" s="15" t="n">
        <f aca="false">F28*(1+G27)</f>
        <v>10752.7546833145</v>
      </c>
      <c r="H28" s="15" t="n">
        <f aca="false">G28*(1+H27)</f>
        <v>11377.0203887213</v>
      </c>
      <c r="I28" s="15" t="n">
        <f aca="false">H28*(1+I27)</f>
        <v>11952.89402894</v>
      </c>
      <c r="J28" s="15" t="n">
        <f aca="false">I28*(1+J27)</f>
        <v>12468.9981879977</v>
      </c>
      <c r="K28" s="15" t="n">
        <f aca="false">J28*(1+K27)</f>
        <v>12914.6288099282</v>
      </c>
      <c r="L28" s="15" t="n">
        <f aca="false">K28*(1+L27)</f>
        <v>13280.1128052492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2376.05482978526</v>
      </c>
      <c r="D29" s="15" t="n">
        <f aca="false">D28*Inputs!$C$23</f>
        <v>2531.67558481876</v>
      </c>
      <c r="E29" s="15" t="n">
        <f aca="false">E28*Inputs!$C$23</f>
        <v>2697.48878957759</v>
      </c>
      <c r="F29" s="15" t="n">
        <f aca="false">F28*Inputs!$C$23</f>
        <v>2874.16200303472</v>
      </c>
      <c r="G29" s="15" t="n">
        <f aca="false">G28*Inputs!$C$23</f>
        <v>3062.40650623135</v>
      </c>
      <c r="H29" s="15" t="n">
        <f aca="false">H28*Inputs!$C$23</f>
        <v>3240.19865476993</v>
      </c>
      <c r="I29" s="15" t="n">
        <f aca="false">I28*Inputs!$C$23</f>
        <v>3404.20864425749</v>
      </c>
      <c r="J29" s="15" t="n">
        <f aca="false">J28*Inputs!$C$23</f>
        <v>3551.19616337609</v>
      </c>
      <c r="K29" s="15" t="n">
        <f aca="false">K28*Inputs!$C$23</f>
        <v>3678.11267511366</v>
      </c>
      <c r="L29" s="15" t="n">
        <f aca="false">L28*Inputs!$C$23</f>
        <v>3782.20326381938</v>
      </c>
    </row>
    <row r="30" customFormat="false" ht="15" hidden="false" customHeight="false" outlineLevel="0" collapsed="false">
      <c r="B30" s="5" t="s">
        <v>202</v>
      </c>
      <c r="C30" s="45" t="n">
        <f aca="false">1/(1+WACC!$C$35)^C$26</f>
        <v>0.924083824352099</v>
      </c>
      <c r="D30" s="45" t="n">
        <f aca="false">1/(1+WACC!$C$35)^D$26</f>
        <v>0.8539309144292</v>
      </c>
      <c r="E30" s="45" t="n">
        <f aca="false">1/(1+WACC!$C$35)^E$26</f>
        <v>0.78910374513822</v>
      </c>
      <c r="F30" s="45" t="n">
        <f aca="false">1/(1+WACC!$C$35)^F$26</f>
        <v>0.729198006617891</v>
      </c>
      <c r="G30" s="45" t="n">
        <f aca="false">1/(1+WACC!$C$35)^G$26</f>
        <v>0.673840082665387</v>
      </c>
      <c r="H30" s="45" t="n">
        <f aca="false">1/(1+WACC!$C$35)^H$26</f>
        <v>0.622684720591165</v>
      </c>
      <c r="I30" s="45" t="n">
        <f aca="false">1/(1+WACC!$C$35)^I$26</f>
        <v>0.575412877969502</v>
      </c>
      <c r="J30" s="45" t="n">
        <f aca="false">1/(1+WACC!$C$35)^J$26</f>
        <v>0.531729732855505</v>
      </c>
      <c r="K30" s="45" t="n">
        <f aca="false">1/(1+WACC!$C$35)^K$26</f>
        <v>0.491362845058835</v>
      </c>
      <c r="L30" s="45" t="n">
        <f aca="false">1/(1+WACC!$C$35)^L$26</f>
        <v>0.454060457006496</v>
      </c>
    </row>
    <row r="31" customFormat="false" ht="15" hidden="false" customHeight="false" outlineLevel="0" collapsed="false">
      <c r="B31" s="5" t="s">
        <v>203</v>
      </c>
      <c r="C31" s="15" t="n">
        <f aca="false">C29*C30</f>
        <v>2195.67383397823</v>
      </c>
      <c r="D31" s="15" t="n">
        <f aca="false">D29*D30</f>
        <v>2161.87604718237</v>
      </c>
      <c r="E31" s="15" t="n">
        <f aca="false">E29*E30</f>
        <v>2128.59850632404</v>
      </c>
      <c r="F31" s="15" t="n">
        <f aca="false">F29*F30</f>
        <v>2095.8332033098</v>
      </c>
      <c r="G31" s="15" t="n">
        <f aca="false">G29*G30</f>
        <v>2063.57225331395</v>
      </c>
      <c r="H31" s="15" t="n">
        <f aca="false">H29*H30</f>
        <v>2017.62219400529</v>
      </c>
      <c r="I31" s="15" t="n">
        <f aca="false">I29*I30</f>
        <v>1958.82549320086</v>
      </c>
      <c r="J31" s="15" t="n">
        <f aca="false">J29*J30</f>
        <v>1888.27658726946</v>
      </c>
      <c r="K31" s="15" t="n">
        <f aca="false">K29*K30</f>
        <v>1807.28790849081</v>
      </c>
      <c r="L31" s="15" t="n">
        <f aca="false">L29*L30</f>
        <v>1717.34894246129</v>
      </c>
    </row>
    <row r="33" customFormat="false" ht="15" hidden="false" customHeight="false" outlineLevel="0" collapsed="false">
      <c r="B33" s="5" t="s">
        <v>204</v>
      </c>
      <c r="C33" s="15" t="n">
        <f aca="false">SUM(C31:L31)</f>
        <v>20034.9149695361</v>
      </c>
    </row>
    <row r="34" customFormat="false" ht="15" hidden="false" customHeight="false" outlineLevel="0" collapsed="false">
      <c r="B34" s="5" t="s">
        <v>205</v>
      </c>
      <c r="C34" s="15" t="n">
        <f aca="false">L29*(1+Inputs!$C$37)/(WACC!$C$35-Inputs!$C$37)</f>
        <v>72219.6736524819</v>
      </c>
    </row>
    <row r="35" customFormat="false" ht="15" hidden="false" customHeight="false" outlineLevel="0" collapsed="false">
      <c r="B35" s="5" t="s">
        <v>206</v>
      </c>
      <c r="C35" s="15" t="n">
        <f aca="false">C34*L30</f>
        <v>32792.0980235059</v>
      </c>
    </row>
    <row r="36" customFormat="false" ht="15" hidden="false" customHeight="false" outlineLevel="0" collapsed="false">
      <c r="B36" s="7" t="s">
        <v>207</v>
      </c>
      <c r="C36" s="15" t="n">
        <f aca="false">C33+C35</f>
        <v>52827.012993042</v>
      </c>
    </row>
    <row r="37" customFormat="false" ht="15" hidden="false" customHeight="false" outlineLevel="0" collapsed="false">
      <c r="B37" s="5" t="s">
        <v>208</v>
      </c>
      <c r="C37" s="16" t="n">
        <f aca="false">-Inputs!$C$27</f>
        <v>-3210</v>
      </c>
    </row>
    <row r="38" customFormat="false" ht="15" hidden="false" customHeight="false" outlineLevel="0" collapsed="false">
      <c r="B38" s="5" t="s">
        <v>209</v>
      </c>
      <c r="C38" s="16" t="n">
        <f aca="false">Inputs!$C$28</f>
        <v>693</v>
      </c>
    </row>
    <row r="39" customFormat="false" ht="15" hidden="false" customHeight="false" outlineLevel="0" collapsed="false">
      <c r="B39" s="5" t="s">
        <v>210</v>
      </c>
      <c r="C39" s="15" t="n">
        <f aca="false">SUM(C36:C38)</f>
        <v>50310.012993042</v>
      </c>
    </row>
    <row r="40" customFormat="false" ht="15" hidden="false" customHeight="false" outlineLevel="0" collapsed="false">
      <c r="B40" s="5" t="s">
        <v>211</v>
      </c>
      <c r="C40" s="36" t="n">
        <f aca="false">Inputs!$C$7</f>
        <v>433.22</v>
      </c>
    </row>
    <row r="41" customFormat="false" ht="15" hidden="false" customHeight="false" outlineLevel="0" collapsed="false">
      <c r="B41" s="7" t="s">
        <v>212</v>
      </c>
      <c r="C41" s="46" t="n">
        <f aca="false">C39/C40</f>
        <v>116.130402550764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105.258298324177</v>
      </c>
    </row>
    <row r="43" customFormat="false" ht="15" hidden="false" customHeight="false" outlineLevel="0" collapsed="false">
      <c r="B43" s="5" t="s">
        <v>213</v>
      </c>
      <c r="C43" s="23" t="n">
        <f aca="false">C41/C42-1</f>
        <v>0.103289758619342</v>
      </c>
    </row>
    <row r="44" customFormat="false" ht="15" hidden="false" customHeight="false" outlineLevel="0" collapsed="false">
      <c r="B44" s="5" t="s">
        <v>214</v>
      </c>
      <c r="C44" s="23" t="n">
        <f aca="false">C35/C36</f>
        <v>0.620744883452431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216</v>
      </c>
    </row>
    <row r="3" customFormat="false" ht="15" hidden="false" customHeight="false" outlineLevel="0" collapsed="false">
      <c r="B3" s="2" t="s">
        <v>217</v>
      </c>
    </row>
    <row r="5" customFormat="false" ht="15" hidden="false" customHeight="false" outlineLevel="0" collapsed="false">
      <c r="B5" s="5" t="s">
        <v>218</v>
      </c>
      <c r="C5" s="24" t="n">
        <v>0.005</v>
      </c>
      <c r="D5" s="5" t="s">
        <v>219</v>
      </c>
      <c r="F5" s="24" t="n">
        <v>0.005</v>
      </c>
    </row>
    <row r="6" customFormat="false" ht="15" hidden="false" customHeight="false" outlineLevel="0" collapsed="false">
      <c r="B6" s="5" t="s">
        <v>220</v>
      </c>
      <c r="C6" s="24" t="n">
        <v>0.02</v>
      </c>
    </row>
    <row r="8" customFormat="false" ht="15" hidden="false" customHeight="false" outlineLevel="0" collapsed="false">
      <c r="B8" s="3" t="s">
        <v>221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WACC!$C$35+(0-2)*$C$5</f>
        <v>0.0721529104257703</v>
      </c>
      <c r="C10" s="9" t="n">
        <f aca="false">Solver!$D$74</f>
        <v>0.0408206880092621</v>
      </c>
      <c r="D10" s="9" t="n">
        <f aca="false">Solver!$D$101</f>
        <v>0.0282983481884003</v>
      </c>
      <c r="E10" s="9" t="n">
        <f aca="false">Solver!$D$128</f>
        <v>0.0144654810428619</v>
      </c>
      <c r="F10" s="9" t="n">
        <f aca="false">Solver!$D$155</f>
        <v>-0.000979393720626831</v>
      </c>
      <c r="G10" s="9" t="n">
        <f aca="false">Solver!$D$182</f>
        <v>-0.0184582769870758</v>
      </c>
      <c r="I10" s="19" t="s">
        <v>222</v>
      </c>
    </row>
    <row r="11" customFormat="false" ht="15" hidden="false" customHeight="false" outlineLevel="0" collapsed="false">
      <c r="B11" s="47" t="n">
        <f aca="false">WACC!$C$35+(1-2)*$C$5</f>
        <v>0.0771529104257703</v>
      </c>
      <c r="C11" s="9" t="n">
        <f aca="false">Solver!$D$209</f>
        <v>0.0565609633922577</v>
      </c>
      <c r="D11" s="9" t="n">
        <f aca="false">Solver!$D$236</f>
        <v>0.0450730621814728</v>
      </c>
      <c r="E11" s="9" t="n">
        <f aca="false">Solver!$D$263</f>
        <v>0.0324938595294952</v>
      </c>
      <c r="F11" s="9" t="n">
        <f aca="false">Solver!$D$290</f>
        <v>0.0185987651348114</v>
      </c>
      <c r="G11" s="9" t="n">
        <f aca="false">Solver!$D$317</f>
        <v>0.0030846893787384</v>
      </c>
    </row>
    <row r="12" customFormat="false" ht="15" hidden="false" customHeight="false" outlineLevel="0" collapsed="false">
      <c r="B12" s="47" t="n">
        <f aca="false">WACC!$C$35+(2-2)*$C$5</f>
        <v>0.0821529104257703</v>
      </c>
      <c r="C12" s="9" t="n">
        <f aca="false">Solver!$D$344</f>
        <v>0.0714790523052216</v>
      </c>
      <c r="D12" s="9" t="n">
        <f aca="false">Solver!$D$371</f>
        <v>0.0608628690242767</v>
      </c>
      <c r="E12" s="8" t="n">
        <f aca="false">Solver!$D$398</f>
        <v>0.0493227541446686</v>
      </c>
      <c r="F12" s="9" t="n">
        <f aca="false">Solver!$D$425</f>
        <v>0.0366868674755096</v>
      </c>
      <c r="G12" s="9" t="n">
        <f aca="false">Solver!$D$452</f>
        <v>0.022729367017746</v>
      </c>
    </row>
    <row r="13" customFormat="false" ht="15" hidden="false" customHeight="false" outlineLevel="0" collapsed="false">
      <c r="B13" s="47" t="n">
        <f aca="false">WACC!$C$35+(3-2)*$C$5</f>
        <v>0.0871529104257703</v>
      </c>
      <c r="C13" s="9" t="n">
        <f aca="false">Solver!$D$479</f>
        <v>0.0856976211071014</v>
      </c>
      <c r="D13" s="9" t="n">
        <f aca="false">Solver!$D$506</f>
        <v>0.0758263766765595</v>
      </c>
      <c r="E13" s="9" t="n">
        <f aca="false">Solver!$D$533</f>
        <v>0.0651619136333466</v>
      </c>
      <c r="F13" s="9" t="n">
        <f aca="false">Solver!$D$560</f>
        <v>0.0535697638988495</v>
      </c>
      <c r="G13" s="9" t="n">
        <f aca="false">Solver!$D$587</f>
        <v>0.0408771932125092</v>
      </c>
    </row>
    <row r="14" customFormat="false" ht="15" hidden="false" customHeight="false" outlineLevel="0" collapsed="false">
      <c r="B14" s="47" t="n">
        <f aca="false">WACC!$C$35+(4-2)*$C$5</f>
        <v>0.0921529104257703</v>
      </c>
      <c r="C14" s="9" t="n">
        <f aca="false">Solver!$D$614</f>
        <v>0.0993146598339081</v>
      </c>
      <c r="D14" s="9" t="n">
        <f aca="false">Solver!$D$641</f>
        <v>0.0900871455669403</v>
      </c>
      <c r="E14" s="9" t="n">
        <f aca="false">Solver!$D$668</f>
        <v>0.0801710188388825</v>
      </c>
      <c r="F14" s="9" t="n">
        <f aca="false">Solver!$D$695</f>
        <v>0.0694584548473358</v>
      </c>
      <c r="G14" s="9" t="n">
        <f aca="false">Solver!$D$722</f>
        <v>0.0578140914440155</v>
      </c>
    </row>
    <row r="17" customFormat="false" ht="15" hidden="false" customHeight="false" outlineLevel="0" collapsed="false">
      <c r="B17" s="3" t="s">
        <v>223</v>
      </c>
    </row>
    <row r="18" customFormat="false" ht="15" hidden="false" customHeight="false" outlineLevel="0" collapsed="false">
      <c r="C18" s="48" t="n">
        <f aca="false">Inputs!$C$45+(0-2)*$C$6</f>
        <v>0.0254954393655853</v>
      </c>
      <c r="D18" s="48" t="n">
        <f aca="false">Inputs!$C$45+(1-2)*$C$6</f>
        <v>0.0454954393655853</v>
      </c>
      <c r="E18" s="48" t="n">
        <f aca="false">Inputs!$C$45+(2-2)*$C$6</f>
        <v>0.0654954393655853</v>
      </c>
      <c r="F18" s="48" t="n">
        <f aca="false">Inputs!$C$45+(3-2)*$C$6</f>
        <v>0.0854954393655853</v>
      </c>
      <c r="G18" s="48" t="n">
        <f aca="false">Inputs!$C$45+(4-2)*$C$6</f>
        <v>0.105495439365585</v>
      </c>
    </row>
    <row r="19" customFormat="false" ht="15" hidden="false" customHeight="false" outlineLevel="0" collapsed="false">
      <c r="B19" s="47" t="n">
        <f aca="false">WACC!$C$35+(0-2)*$C$5</f>
        <v>0.0721529104257703</v>
      </c>
      <c r="C19" s="42" t="n">
        <f aca="false">(SUMPRODUCT($C28:$L28,1/(1+$B19)^$C$27:$L$27)*Inputs!$C$23+$L28*Inputs!$C$23*(1+Inputs!$C$37)/($B19-Inputs!$C$37)/(1+$B19)^$L$27-Inputs!$C$27+Inputs!$C$28)/Inputs!$C$7</f>
        <v>112.879057776116</v>
      </c>
      <c r="D19" s="42" t="n">
        <f aca="false">(SUMPRODUCT($C29:$L29,1/(1+$B19)^$C$27:$L$27)*Inputs!$C$23+$L29*Inputs!$C$23*(1+Inputs!$C$37)/($B19-Inputs!$C$37)/(1+$B19)^$L$27-Inputs!$C$27+Inputs!$C$28)/Inputs!$C$7</f>
        <v>127.950868639844</v>
      </c>
      <c r="E19" s="42" t="n">
        <f aca="false">(SUMPRODUCT($C30:$L30,1/(1+$B19)^$C$27:$L$27)*Inputs!$C$23+$L30*Inputs!$C$23*(1+Inputs!$C$37)/($B19-Inputs!$C$37)/(1+$B19)^$L$27-Inputs!$C$27+Inputs!$C$28)/Inputs!$C$7</f>
        <v>144.778797407689</v>
      </c>
      <c r="F19" s="42" t="n">
        <f aca="false">(SUMPRODUCT($C31:$L31,1/(1+$B19)^$C$27:$L$27)*Inputs!$C$23+$L31*Inputs!$C$23*(1+Inputs!$C$37)/($B19-Inputs!$C$37)/(1+$B19)^$L$27-Inputs!$C$27+Inputs!$C$28)/Inputs!$C$7</f>
        <v>163.540346307336</v>
      </c>
      <c r="G19" s="42" t="n">
        <f aca="false">(SUMPRODUCT($C32:$L32,1/(1+$B19)^$C$27:$L$27)*Inputs!$C$23+$L32*Inputs!$C$23*(1+Inputs!$C$37)/($B19-Inputs!$C$37)/(1+$B19)^$L$27-Inputs!$C$27+Inputs!$C$28)/Inputs!$C$7</f>
        <v>184.42796809777</v>
      </c>
      <c r="I19" s="19" t="s">
        <v>224</v>
      </c>
    </row>
    <row r="20" customFormat="false" ht="15" hidden="false" customHeight="false" outlineLevel="0" collapsed="false">
      <c r="B20" s="47" t="n">
        <f aca="false">WACC!$C$35+(1-2)*$C$5</f>
        <v>0.0771529104257703</v>
      </c>
      <c r="C20" s="42" t="n">
        <f aca="false">(SUMPRODUCT($C28:$L28,1/(1+$B20)^$C$27:$L$27)*Inputs!$C$23+$L28*Inputs!$C$23*(1+Inputs!$C$37)/($B20-Inputs!$C$37)/(1+$B20)^$L$27-Inputs!$C$27+Inputs!$C$28)/Inputs!$C$7</f>
        <v>100.755814896429</v>
      </c>
      <c r="D20" s="42" t="n">
        <f aca="false">(SUMPRODUCT($C29:$L29,1/(1+$B20)^$C$27:$L$27)*Inputs!$C$23+$L29*Inputs!$C$23*(1+Inputs!$C$37)/($B20-Inputs!$C$37)/(1+$B20)^$L$27-Inputs!$C$27+Inputs!$C$28)/Inputs!$C$7</f>
        <v>114.098128073552</v>
      </c>
      <c r="E20" s="42" t="n">
        <f aca="false">(SUMPRODUCT($C30:$L30,1/(1+$B20)^$C$27:$L$27)*Inputs!$C$23+$L30*Inputs!$C$23*(1+Inputs!$C$37)/($B20-Inputs!$C$37)/(1+$B20)^$L$27-Inputs!$C$27+Inputs!$C$28)/Inputs!$C$7</f>
        <v>128.983573508523</v>
      </c>
      <c r="F20" s="42" t="n">
        <f aca="false">(SUMPRODUCT($C31:$L31,1/(1+$B20)^$C$27:$L$27)*Inputs!$C$23+$L31*Inputs!$C$23*(1+Inputs!$C$37)/($B20-Inputs!$C$37)/(1+$B20)^$L$27-Inputs!$C$27+Inputs!$C$28)/Inputs!$C$7</f>
        <v>145.567473227456</v>
      </c>
      <c r="G20" s="42" t="n">
        <f aca="false">(SUMPRODUCT($C32:$L32,1/(1+$B20)^$C$27:$L$27)*Inputs!$C$23+$L32*Inputs!$C$23*(1+Inputs!$C$37)/($B20-Inputs!$C$37)/(1+$B20)^$L$27-Inputs!$C$27+Inputs!$C$28)/Inputs!$C$7</f>
        <v>164.018193801396</v>
      </c>
    </row>
    <row r="21" customFormat="false" ht="15" hidden="false" customHeight="false" outlineLevel="0" collapsed="false">
      <c r="B21" s="47" t="n">
        <f aca="false">WACC!$C$35+(2-2)*$C$5</f>
        <v>0.0821529104257703</v>
      </c>
      <c r="C21" s="42" t="n">
        <f aca="false">(SUMPRODUCT($C28:$L28,1/(1+$B21)^$C$27:$L$27)*Inputs!$C$23+$L28*Inputs!$C$23*(1+Inputs!$C$37)/($B21-Inputs!$C$37)/(1+$B21)^$L$27-Inputs!$C$27+Inputs!$C$28)/Inputs!$C$7</f>
        <v>90.8831866746691</v>
      </c>
      <c r="D21" s="42" t="n">
        <f aca="false">(SUMPRODUCT($C29:$L29,1/(1+$B21)^$C$27:$L$27)*Inputs!$C$23+$L29*Inputs!$C$23*(1+Inputs!$C$37)/($B21-Inputs!$C$37)/(1+$B21)^$L$27-Inputs!$C$27+Inputs!$C$28)/Inputs!$C$7</f>
        <v>102.821510348548</v>
      </c>
      <c r="E21" s="46" t="n">
        <f aca="false">(SUMPRODUCT($C30:$L30,1/(1+$B21)^$C$27:$L$27)*Inputs!$C$23+$L30*Inputs!$C$23*(1+Inputs!$C$37)/($B21-Inputs!$C$37)/(1+$B21)^$L$27-Inputs!$C$27+Inputs!$C$28)/Inputs!$C$7</f>
        <v>116.130402550764</v>
      </c>
      <c r="F21" s="42" t="n">
        <f aca="false">(SUMPRODUCT($C31:$L31,1/(1+$B21)^$C$27:$L$27)*Inputs!$C$23+$L31*Inputs!$C$23*(1+Inputs!$C$37)/($B21-Inputs!$C$37)/(1+$B21)^$L$27-Inputs!$C$27+Inputs!$C$28)/Inputs!$C$7</f>
        <v>130.947238741991</v>
      </c>
      <c r="G21" s="42" t="n">
        <f aca="false">(SUMPRODUCT($C32:$L32,1/(1+$B21)^$C$27:$L$27)*Inputs!$C$23+$L32*Inputs!$C$23*(1+Inputs!$C$37)/($B21-Inputs!$C$37)/(1+$B21)^$L$27-Inputs!$C$27+Inputs!$C$28)/Inputs!$C$7</f>
        <v>147.420898345627</v>
      </c>
    </row>
    <row r="22" customFormat="false" ht="15" hidden="false" customHeight="false" outlineLevel="0" collapsed="false">
      <c r="B22" s="47" t="n">
        <f aca="false">WACC!$C$35+(3-2)*$C$5</f>
        <v>0.0871529104257703</v>
      </c>
      <c r="C22" s="42" t="n">
        <f aca="false">(SUMPRODUCT($C28:$L28,1/(1+$B22)^$C$27:$L$27)*Inputs!$C$23+$L28*Inputs!$C$23*(1+Inputs!$C$37)/($B22-Inputs!$C$37)/(1+$B22)^$L$27-Inputs!$C$27+Inputs!$C$28)/Inputs!$C$7</f>
        <v>82.6875697231273</v>
      </c>
      <c r="D22" s="42" t="n">
        <f aca="false">(SUMPRODUCT($C29:$L29,1/(1+$B22)^$C$27:$L$27)*Inputs!$C$23+$L29*Inputs!$C$23*(1+Inputs!$C$37)/($B22-Inputs!$C$37)/(1+$B22)^$L$27-Inputs!$C$27+Inputs!$C$28)/Inputs!$C$7</f>
        <v>93.464317693977</v>
      </c>
      <c r="E22" s="42" t="n">
        <f aca="false">(SUMPRODUCT($C30:$L30,1/(1+$B22)^$C$27:$L$27)*Inputs!$C$23+$L30*Inputs!$C$23*(1+Inputs!$C$37)/($B22-Inputs!$C$37)/(1+$B22)^$L$27-Inputs!$C$27+Inputs!$C$28)/Inputs!$C$7</f>
        <v>105.469161748126</v>
      </c>
      <c r="F22" s="42" t="n">
        <f aca="false">(SUMPRODUCT($C31:$L31,1/(1+$B22)^$C$27:$L$27)*Inputs!$C$23+$L31*Inputs!$C$23*(1+Inputs!$C$37)/($B22-Inputs!$C$37)/(1+$B22)^$L$27-Inputs!$C$27+Inputs!$C$28)/Inputs!$C$7</f>
        <v>118.824681454376</v>
      </c>
      <c r="G22" s="42" t="n">
        <f aca="false">(SUMPRODUCT($C32:$L32,1/(1+$B22)^$C$27:$L$27)*Inputs!$C$23+$L32*Inputs!$C$23*(1+Inputs!$C$37)/($B22-Inputs!$C$37)/(1+$B22)^$L$27-Inputs!$C$27+Inputs!$C$28)/Inputs!$C$7</f>
        <v>133.663691625437</v>
      </c>
    </row>
    <row r="23" customFormat="false" ht="15" hidden="false" customHeight="false" outlineLevel="0" collapsed="false">
      <c r="B23" s="47" t="n">
        <f aca="false">WACC!$C$35+(4-2)*$C$5</f>
        <v>0.0921529104257703</v>
      </c>
      <c r="C23" s="42" t="n">
        <f aca="false">(SUMPRODUCT($C28:$L28,1/(1+$B23)^$C$27:$L$27)*Inputs!$C$23+$L28*Inputs!$C$23*(1+Inputs!$C$37)/($B23-Inputs!$C$37)/(1+$B23)^$L$27-Inputs!$C$27+Inputs!$C$28)/Inputs!$C$7</f>
        <v>75.7750240242448</v>
      </c>
      <c r="D23" s="42" t="n">
        <f aca="false">(SUMPRODUCT($C29:$L29,1/(1+$B23)^$C$27:$L$27)*Inputs!$C$23+$L29*Inputs!$C$23*(1+Inputs!$C$37)/($B23-Inputs!$C$37)/(1+$B23)^$L$27-Inputs!$C$27+Inputs!$C$28)/Inputs!$C$7</f>
        <v>85.5755472600447</v>
      </c>
      <c r="E23" s="42" t="n">
        <f aca="false">(SUMPRODUCT($C30:$L30,1/(1+$B23)^$C$27:$L$27)*Inputs!$C$23+$L30*Inputs!$C$23*(1+Inputs!$C$37)/($B23-Inputs!$C$37)/(1+$B23)^$L$27-Inputs!$C$27+Inputs!$C$28)/Inputs!$C$7</f>
        <v>96.4846916119323</v>
      </c>
      <c r="F23" s="42" t="n">
        <f aca="false">(SUMPRODUCT($C31:$L31,1/(1+$B23)^$C$27:$L$27)*Inputs!$C$23+$L31*Inputs!$C$23*(1+Inputs!$C$37)/($B23-Inputs!$C$37)/(1+$B23)^$L$27-Inputs!$C$27+Inputs!$C$28)/Inputs!$C$7</f>
        <v>108.612647827396</v>
      </c>
      <c r="G23" s="42" t="n">
        <f aca="false">(SUMPRODUCT($C32:$L32,1/(1+$B23)^$C$27:$L$27)*Inputs!$C$23+$L32*Inputs!$C$23*(1+Inputs!$C$37)/($B23-Inputs!$C$37)/(1+$B23)^$L$27-Inputs!$C$27+Inputs!$C$28)/Inputs!$C$7</f>
        <v>122.078780817061</v>
      </c>
    </row>
    <row r="26" customFormat="false" ht="15" hidden="false" customHeight="false" outlineLevel="0" collapsed="false">
      <c r="B26" s="19" t="s">
        <v>225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0.0254954393655853</v>
      </c>
      <c r="C28" s="15" t="n">
        <f aca="false">Inputs!$C$12*(1+IF(C$27&lt;=Inputs!$C$46,$B28,$B28-($B28-Inputs!$C$37)*MIN(C$27-Inputs!$C$46,Inputs!$C$47)/Inputs!$C$47))</f>
        <v>8029.62929023253</v>
      </c>
      <c r="D28" s="15" t="n">
        <f aca="false">C28*(1+IF(D$27&lt;=Inputs!$C$46,$B28,$B28-($B28-Inputs!$C$37)*MIN(D$27-Inputs!$C$46,Inputs!$C$47)/Inputs!$C$47))</f>
        <v>8234.34821692978</v>
      </c>
      <c r="E28" s="15" t="n">
        <f aca="false">D28*(1+IF(E$27&lt;=Inputs!$C$46,$B28,$B28-($B28-Inputs!$C$37)*MIN(E$27-Inputs!$C$46,Inputs!$C$47)/Inputs!$C$47))</f>
        <v>8444.28654260963</v>
      </c>
      <c r="F28" s="15" t="n">
        <f aca="false">E28*(1+IF(F$27&lt;=Inputs!$C$46,$B28,$B28-($B28-Inputs!$C$37)*MIN(F$27-Inputs!$C$46,Inputs!$C$47)/Inputs!$C$47))</f>
        <v>8659.57733814236</v>
      </c>
      <c r="G28" s="15" t="n">
        <f aca="false">F28*(1+IF(G$27&lt;=Inputs!$C$46,$B28,$B28-($B28-Inputs!$C$37)*MIN(G$27-Inputs!$C$46,Inputs!$C$47)/Inputs!$C$47))</f>
        <v>8880.35706709857</v>
      </c>
      <c r="H28" s="15" t="n">
        <f aca="false">G28*(1+IF(H$27&lt;=Inputs!$C$46,$B28,$B28-($B28-Inputs!$C$37)*MIN(H$27-Inputs!$C$46,Inputs!$C$47)/Inputs!$C$47))</f>
        <v>9111.74677221752</v>
      </c>
      <c r="I28" s="15" t="n">
        <f aca="false">H28*(1+IF(I$27&lt;=Inputs!$C$46,$B28,$B28-($B28-Inputs!$C$37)*MIN(I$27-Inputs!$C$46,Inputs!$C$47)/Inputs!$C$47))</f>
        <v>9354.2765380864</v>
      </c>
      <c r="J28" s="15" t="n">
        <f aca="false">I28*(1+IF(J$27&lt;=Inputs!$C$46,$B28,$B28-($B28-Inputs!$C$37)*MIN(J$27-Inputs!$C$46,Inputs!$C$47)/Inputs!$C$47))</f>
        <v>9608.50870981739</v>
      </c>
      <c r="K28" s="15" t="n">
        <f aca="false">J28*(1+IF(K$27&lt;=Inputs!$C$46,$B28,$B28-($B28-Inputs!$C$37)*MIN(K$27-Inputs!$C$46,Inputs!$C$47)/Inputs!$C$47))</f>
        <v>9875.03997724862</v>
      </c>
      <c r="L28" s="15" t="n">
        <f aca="false">K28*(1+IF(L$27&lt;=Inputs!$C$46,$B28,$B28-($B28-Inputs!$C$37)*MIN(L$27-Inputs!$C$46,Inputs!$C$47)/Inputs!$C$47))</f>
        <v>10154.5036086048</v>
      </c>
    </row>
    <row r="29" customFormat="false" ht="15" hidden="false" customHeight="false" outlineLevel="0" collapsed="false">
      <c r="B29" s="23" t="n">
        <f aca="false">D$18</f>
        <v>0.0454954393655853</v>
      </c>
      <c r="C29" s="15" t="n">
        <f aca="false">Inputs!$C$12*(1+IF(C$27&lt;=Inputs!$C$46,$B29,$B29-($B29-Inputs!$C$37)*MIN(C$27-Inputs!$C$46,Inputs!$C$47)/Inputs!$C$47))</f>
        <v>8186.22929023253</v>
      </c>
      <c r="D29" s="15" t="n">
        <f aca="false">C29*(1+IF(D$27&lt;=Inputs!$C$46,$B29,$B29-($B29-Inputs!$C$37)*MIN(D$27-Inputs!$C$46,Inputs!$C$47)/Inputs!$C$47))</f>
        <v>8558.66538853909</v>
      </c>
      <c r="E29" s="15" t="n">
        <f aca="false">D29*(1+IF(E$27&lt;=Inputs!$C$46,$B29,$B29-($B29-Inputs!$C$37)*MIN(E$27-Inputs!$C$46,Inputs!$C$47)/Inputs!$C$47))</f>
        <v>8948.0456307737</v>
      </c>
      <c r="F29" s="15" t="n">
        <f aca="false">E29*(1+IF(F$27&lt;=Inputs!$C$46,$B29,$B29-($B29-Inputs!$C$37)*MIN(F$27-Inputs!$C$46,Inputs!$C$47)/Inputs!$C$47))</f>
        <v>9355.14089820906</v>
      </c>
      <c r="G29" s="15" t="n">
        <f aca="false">F29*(1+IF(G$27&lt;=Inputs!$C$46,$B29,$B29-($B29-Inputs!$C$37)*MIN(G$27-Inputs!$C$46,Inputs!$C$47)/Inputs!$C$47))</f>
        <v>9780.75714370003</v>
      </c>
      <c r="H29" s="15" t="n">
        <f aca="false">G29*(1+IF(H$27&lt;=Inputs!$C$46,$B29,$B29-($B29-Inputs!$C$37)*MIN(H$27-Inputs!$C$46,Inputs!$C$47)/Inputs!$C$47))</f>
        <v>10192.100103998</v>
      </c>
      <c r="I29" s="15" t="n">
        <f aca="false">H29*(1+IF(I$27&lt;=Inputs!$C$46,$B29,$B29-($B29-Inputs!$C$37)*MIN(I$27-Inputs!$C$46,Inputs!$C$47)/Inputs!$C$47))</f>
        <v>10585.6911205489</v>
      </c>
      <c r="J29" s="15" t="n">
        <f aca="false">I29*(1+IF(J$27&lt;=Inputs!$C$46,$B29,$B29-($B29-Inputs!$C$37)*MIN(J$27-Inputs!$C$46,Inputs!$C$47)/Inputs!$C$47))</f>
        <v>10958.0764231829</v>
      </c>
      <c r="K29" s="15" t="n">
        <f aca="false">J29*(1+IF(K$27&lt;=Inputs!$C$46,$B29,$B29-($B29-Inputs!$C$37)*MIN(K$27-Inputs!$C$46,Inputs!$C$47)/Inputs!$C$47))</f>
        <v>11305.8757736986</v>
      </c>
      <c r="L29" s="15" t="n">
        <f aca="false">K29*(1+IF(L$27&lt;=Inputs!$C$46,$B29,$B29-($B29-Inputs!$C$37)*MIN(L$27-Inputs!$C$46,Inputs!$C$47)/Inputs!$C$47))</f>
        <v>11625.8320580943</v>
      </c>
    </row>
    <row r="30" customFormat="false" ht="15" hidden="false" customHeight="false" outlineLevel="0" collapsed="false">
      <c r="B30" s="23" t="n">
        <f aca="false">E$18</f>
        <v>0.0654954393655853</v>
      </c>
      <c r="C30" s="15" t="n">
        <f aca="false">Inputs!$C$12*(1+IF(C$27&lt;=Inputs!$C$46,$B30,$B30-($B30-Inputs!$C$37)*MIN(C$27-Inputs!$C$46,Inputs!$C$47)/Inputs!$C$47))</f>
        <v>8342.82929023253</v>
      </c>
      <c r="D30" s="15" t="n">
        <f aca="false">C30*(1+IF(D$27&lt;=Inputs!$C$46,$B30,$B30-($B30-Inputs!$C$37)*MIN(D$27-Inputs!$C$46,Inputs!$C$47)/Inputs!$C$47))</f>
        <v>8889.24656014839</v>
      </c>
      <c r="E30" s="15" t="n">
        <f aca="false">D30*(1+IF(E$27&lt;=Inputs!$C$46,$B30,$B30-($B30-Inputs!$C$37)*MIN(E$27-Inputs!$C$46,Inputs!$C$47)/Inputs!$C$47))</f>
        <v>9471.45166923432</v>
      </c>
      <c r="F30" s="15" t="n">
        <f aca="false">E30*(1+IF(F$27&lt;=Inputs!$C$46,$B30,$B30-($B30-Inputs!$C$37)*MIN(F$27-Inputs!$C$46,Inputs!$C$47)/Inputs!$C$47))</f>
        <v>10091.7885577407</v>
      </c>
      <c r="G30" s="15" t="n">
        <f aca="false">F30*(1+IF(G$27&lt;=Inputs!$C$46,$B30,$B30-($B30-Inputs!$C$37)*MIN(G$27-Inputs!$C$46,Inputs!$C$47)/Inputs!$C$47))</f>
        <v>10752.7546833145</v>
      </c>
      <c r="H30" s="15" t="n">
        <f aca="false">G30*(1+IF(H$27&lt;=Inputs!$C$46,$B30,$B30-($B30-Inputs!$C$37)*MIN(H$27-Inputs!$C$46,Inputs!$C$47)/Inputs!$C$47))</f>
        <v>11377.0203887213</v>
      </c>
      <c r="I30" s="15" t="n">
        <f aca="false">H30*(1+IF(I$27&lt;=Inputs!$C$46,$B30,$B30-($B30-Inputs!$C$37)*MIN(I$27-Inputs!$C$46,Inputs!$C$47)/Inputs!$C$47))</f>
        <v>11952.89402894</v>
      </c>
      <c r="J30" s="15" t="n">
        <f aca="false">I30*(1+IF(J$27&lt;=Inputs!$C$46,$B30,$B30-($B30-Inputs!$C$37)*MIN(J$27-Inputs!$C$46,Inputs!$C$47)/Inputs!$C$47))</f>
        <v>12468.9981879977</v>
      </c>
      <c r="K30" s="15" t="n">
        <f aca="false">J30*(1+IF(K$27&lt;=Inputs!$C$46,$B30,$B30-($B30-Inputs!$C$37)*MIN(K$27-Inputs!$C$46,Inputs!$C$47)/Inputs!$C$47))</f>
        <v>12914.6288099282</v>
      </c>
      <c r="L30" s="15" t="n">
        <f aca="false">K30*(1+IF(L$27&lt;=Inputs!$C$46,$B30,$B30-($B30-Inputs!$C$37)*MIN(L$27-Inputs!$C$46,Inputs!$C$47)/Inputs!$C$47))</f>
        <v>13280.1128052492</v>
      </c>
    </row>
    <row r="31" customFormat="false" ht="15" hidden="false" customHeight="false" outlineLevel="0" collapsed="false">
      <c r="B31" s="23" t="n">
        <f aca="false">F$18</f>
        <v>0.0854954393655853</v>
      </c>
      <c r="C31" s="15" t="n">
        <f aca="false">Inputs!$C$12*(1+IF(C$27&lt;=Inputs!$C$46,$B31,$B31-($B31-Inputs!$C$37)*MIN(C$27-Inputs!$C$46,Inputs!$C$47)/Inputs!$C$47))</f>
        <v>8499.42929023253</v>
      </c>
      <c r="D31" s="15" t="n">
        <f aca="false">C31*(1+IF(D$27&lt;=Inputs!$C$46,$B31,$B31-($B31-Inputs!$C$37)*MIN(D$27-Inputs!$C$46,Inputs!$C$47)/Inputs!$C$47))</f>
        <v>9226.09173175769</v>
      </c>
      <c r="E31" s="15" t="n">
        <f aca="false">D31*(1+IF(E$27&lt;=Inputs!$C$46,$B31,$B31-($B31-Inputs!$C$37)*MIN(E$27-Inputs!$C$46,Inputs!$C$47)/Inputs!$C$47))</f>
        <v>10014.8804979915</v>
      </c>
      <c r="F31" s="15" t="n">
        <f aca="false">E31*(1+IF(F$27&lt;=Inputs!$C$46,$B31,$B31-($B31-Inputs!$C$37)*MIN(F$27-Inputs!$C$46,Inputs!$C$47)/Inputs!$C$47))</f>
        <v>10871.1071063611</v>
      </c>
      <c r="G31" s="15" t="n">
        <f aca="false">F31*(1+IF(G$27&lt;=Inputs!$C$46,$B31,$B31-($B31-Inputs!$C$37)*MIN(G$27-Inputs!$C$46,Inputs!$C$47)/Inputs!$C$47))</f>
        <v>11800.5371848098</v>
      </c>
      <c r="H31" s="15" t="n">
        <f aca="false">G31*(1+IF(H$27&lt;=Inputs!$C$46,$B31,$B31-($B31-Inputs!$C$37)*MIN(H$27-Inputs!$C$46,Inputs!$C$47)/Inputs!$C$47))</f>
        <v>12674.441914368</v>
      </c>
      <c r="I31" s="15" t="n">
        <f aca="false">H31*(1+IF(I$27&lt;=Inputs!$C$46,$B31,$B31-($B31-Inputs!$C$37)*MIN(I$27-Inputs!$C$46,Inputs!$C$47)/Inputs!$C$47))</f>
        <v>13468.0807849482</v>
      </c>
      <c r="J31" s="15" t="n">
        <f aca="false">I31*(1+IF(J$27&lt;=Inputs!$C$46,$B31,$B31-($B31-Inputs!$C$37)*MIN(J$27-Inputs!$C$46,Inputs!$C$47)/Inputs!$C$47))</f>
        <v>14157.3525903247</v>
      </c>
      <c r="K31" s="15" t="n">
        <f aca="false">J31*(1+IF(K$27&lt;=Inputs!$C$46,$B31,$B31-($B31-Inputs!$C$37)*MIN(K$27-Inputs!$C$46,Inputs!$C$47)/Inputs!$C$47))</f>
        <v>14719.9528689623</v>
      </c>
      <c r="L31" s="15" t="n">
        <f aca="false">K31*(1+IF(L$27&lt;=Inputs!$C$46,$B31,$B31-($B31-Inputs!$C$37)*MIN(L$27-Inputs!$C$46,Inputs!$C$47)/Inputs!$C$47))</f>
        <v>15136.527535154</v>
      </c>
    </row>
    <row r="32" customFormat="false" ht="15" hidden="false" customHeight="false" outlineLevel="0" collapsed="false">
      <c r="B32" s="23" t="n">
        <f aca="false">G$18</f>
        <v>0.105495439365585</v>
      </c>
      <c r="C32" s="15" t="n">
        <f aca="false">Inputs!$C$12*(1+IF(C$27&lt;=Inputs!$C$46,$B32,$B32-($B32-Inputs!$C$37)*MIN(C$27-Inputs!$C$46,Inputs!$C$47)/Inputs!$C$47))</f>
        <v>8656.02929023253</v>
      </c>
      <c r="D32" s="15" t="n">
        <f aca="false">C32*(1+IF(D$27&lt;=Inputs!$C$46,$B32,$B32-($B32-Inputs!$C$37)*MIN(D$27-Inputs!$C$46,Inputs!$C$47)/Inputs!$C$47))</f>
        <v>9569.20090336699</v>
      </c>
      <c r="E32" s="15" t="n">
        <f aca="false">D32*(1+IF(E$27&lt;=Inputs!$C$46,$B32,$B32-($B32-Inputs!$C$37)*MIN(E$27-Inputs!$C$46,Inputs!$C$47)/Inputs!$C$47))</f>
        <v>10578.7079570452</v>
      </c>
      <c r="F32" s="15" t="n">
        <f aca="false">E32*(1+IF(F$27&lt;=Inputs!$C$46,$B32,$B32-($B32-Inputs!$C$37)*MIN(F$27-Inputs!$C$46,Inputs!$C$47)/Inputs!$C$47))</f>
        <v>11694.7134008939</v>
      </c>
      <c r="G32" s="15" t="n">
        <f aca="false">F32*(1+IF(G$27&lt;=Inputs!$C$46,$B32,$B32-($B32-Inputs!$C$37)*MIN(G$27-Inputs!$C$46,Inputs!$C$47)/Inputs!$C$47))</f>
        <v>12928.4523293759</v>
      </c>
      <c r="H32" s="15" t="n">
        <f aca="false">G32*(1+IF(H$27&lt;=Inputs!$C$46,$B32,$B32-($B32-Inputs!$C$37)*MIN(H$27-Inputs!$C$46,Inputs!$C$47)/Inputs!$C$47))</f>
        <v>14092.7415766037</v>
      </c>
      <c r="I32" s="15" t="n">
        <f aca="false">H32*(1+IF(I$27&lt;=Inputs!$C$46,$B32,$B32-($B32-Inputs!$C$37)*MIN(I$27-Inputs!$C$46,Inputs!$C$47)/Inputs!$C$47))</f>
        <v>15144.3033899446</v>
      </c>
      <c r="J32" s="15" t="n">
        <f aca="false">I32*(1+IF(J$27&lt;=Inputs!$C$46,$B32,$B32-($B32-Inputs!$C$37)*MIN(J$27-Inputs!$C$46,Inputs!$C$47)/Inputs!$C$47))</f>
        <v>16040.515637509</v>
      </c>
      <c r="K32" s="15" t="n">
        <f aca="false">J32*(1+IF(K$27&lt;=Inputs!$C$46,$B32,$B32-($B32-Inputs!$C$37)*MIN(K$27-Inputs!$C$46,Inputs!$C$47)/Inputs!$C$47))</f>
        <v>16742.1131605081</v>
      </c>
      <c r="L32" s="15" t="n">
        <f aca="false">K32*(1+IF(L$27&lt;=Inputs!$C$46,$B32,$B32-($B32-Inputs!$C$37)*MIN(L$27-Inputs!$C$46,Inputs!$C$47)/Inputs!$C$47))</f>
        <v>17215.9149629505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226</v>
      </c>
    </row>
    <row r="3" customFormat="false" ht="15" hidden="false" customHeight="false" outlineLevel="0" collapsed="false">
      <c r="B3" s="2" t="s">
        <v>227</v>
      </c>
    </row>
    <row r="5" customFormat="false" ht="15" hidden="false" customHeight="false" outlineLevel="0" collapsed="false">
      <c r="B5" s="28" t="s">
        <v>228</v>
      </c>
      <c r="C5" s="28" t="s">
        <v>229</v>
      </c>
      <c r="D5" s="28" t="s">
        <v>230</v>
      </c>
      <c r="E5" s="28" t="s">
        <v>231</v>
      </c>
      <c r="F5" s="28" t="s">
        <v>232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0.284802043422733</v>
      </c>
      <c r="D6" s="24" t="n">
        <v>0.28480204</v>
      </c>
      <c r="E6" s="49" t="n">
        <f aca="false">C6-D6</f>
        <v>3.42273309694718E-009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122</v>
      </c>
      <c r="C7" s="50" t="n">
        <f aca="false">WACC!$C$12</f>
        <v>0.728116658230903</v>
      </c>
      <c r="D7" s="51" t="n">
        <v>0.72811666</v>
      </c>
      <c r="E7" s="49" t="n">
        <f aca="false">C7-D7</f>
        <v>-1.76909698001992E-009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WACC!$C$35</f>
        <v>0.0821529104257703</v>
      </c>
      <c r="D8" s="24" t="n">
        <v>0.08215291</v>
      </c>
      <c r="E8" s="49" t="n">
        <f aca="false">C8-D8</f>
        <v>4.2577032177693E-010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233</v>
      </c>
      <c r="C10" s="12" t="n">
        <f aca="false">Inputs!$C$43</f>
        <v>0.0654954393655854</v>
      </c>
      <c r="D10" s="24" t="n">
        <v>0.06549544</v>
      </c>
      <c r="E10" s="49" t="n">
        <f aca="false">C10-D10</f>
        <v>-6.34414645817039E-010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234</v>
      </c>
      <c r="C11" s="12" t="n">
        <f aca="false">Solver!$W$7</f>
        <v>0.0493228058917339</v>
      </c>
      <c r="D11" s="24" t="n">
        <v>0.0493228</v>
      </c>
      <c r="E11" s="49" t="n">
        <f aca="false">C11-D11</f>
        <v>5.89173387854913E-009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235</v>
      </c>
      <c r="C12" s="12" t="n">
        <f aca="false">Sensitivity!$E$14</f>
        <v>0.0801710188388825</v>
      </c>
      <c r="D12" s="24" t="n">
        <v>0.08017097</v>
      </c>
      <c r="E12" s="49" t="n">
        <f aca="false">C12-D12</f>
        <v>4.88388824521069E-008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236</v>
      </c>
      <c r="C13" s="6" t="n">
        <f aca="false">DCF!$C$41</f>
        <v>116.130402550764</v>
      </c>
      <c r="D13" s="20" t="n">
        <v>116.13040255</v>
      </c>
      <c r="E13" s="49" t="n">
        <f aca="false">C13-D13</f>
        <v>7.64060814617551E-010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237</v>
      </c>
      <c r="C14" s="6" t="n">
        <f aca="false">DCF!$C$21-DCF!$C$22</f>
        <v>7.72246266933507E-010</v>
      </c>
      <c r="D14" s="20" t="n">
        <v>0</v>
      </c>
      <c r="E14" s="49" t="n">
        <f aca="false">C14-D14</f>
        <v>7.72246266933507E-010</v>
      </c>
      <c r="F14" s="5" t="str">
        <f aca="false">IF(ABS(E14)&lt;=0.01,"Pass","Check")</f>
        <v>Pass</v>
      </c>
      <c r="G14" s="19" t="s">
        <v>238</v>
      </c>
    </row>
    <row r="16" customFormat="false" ht="15" hidden="false" customHeight="false" outlineLevel="0" collapsed="false">
      <c r="B16" s="38" t="s">
        <v>239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2026-10-14T16:48:49Z</dcterms:created>
  <dc:creator>openpyxl</dc:creator>
  <dc:description/>
  <dc:language>en-US</dc:language>
  <cp:lastModifiedBy/>
  <dcterms:modified xsi:type="dcterms:W3CDTF">2026-10-14T16:48:50Z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