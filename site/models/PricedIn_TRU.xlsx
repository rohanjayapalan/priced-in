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<sst xmlns="http://schemas.openxmlformats.org/spreadsheetml/2006/main" count="831" uniqueCount="240">
  <si>
    <t xml:space="preserve">Priced In: TransUnion (TRU)</t>
  </si>
  <si>
    <t xml:space="preserve">Reverse DCF, model v1.0. Inputs as of the Oct 13, 2026 close; model locked Oct 14, 2026 (commit 0735af0).</t>
  </si>
  <si>
    <t xml:space="preserve">Credit data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</si>
  <si>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</si>
  <si>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</si>
  <si>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</si>
  <si>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</si>
  <si>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</si>
  <si>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</si>
  <si>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</si>
  <si>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</si>
  <si>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</si>
  <si>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</si>
  <si>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</si>
  <si>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</si>
  <si>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</si>
  <si>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</si>
  <si>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</si>
  <si>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</si>
  <si>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</si>
  <si>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</si>
  <si>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</si>
  <si>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</si>
  <si>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</si>
  <si>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</si>
  <si>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</si>
  <si>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</si>
  <si>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</si>
  <si>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</si>
  <si>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</si>
  <si>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TransUnion (TRU):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</si>
  <si>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</si>
  <si>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</si>
  <si>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</si>
  <si>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</si>
  <si>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</si>
  <si>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</si>
  <si>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</si>
  <si>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</si>
  <si>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</si>
  <si>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</si>
  <si>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</si>
  <si>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</si>
  <si>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</si>
  <si>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</si>
  <si>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</si>
  <si>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</si>
  <si>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</si>
  <si>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</si>
  <si>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</si>
  <si>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</si>
  <si>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</si>
  <si>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</si>
  <si>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</si>
  <si>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</si>
  <si>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</si>
  <si>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</si>
  <si>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</si>
  <si>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</si>
  <si>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</si>
  <si>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</si>
  <si>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</si>
  <si>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</si>
  <si>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</si>
  <si>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</si>
  <si>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</si>
  <si>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</si>
  <si>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</si>
  <si>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</si>
  <si>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</si>
  <si>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</si>
  <si>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</si>
  <si>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</si>
  <si>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</si>
  <si>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</si>
  <si>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</si>
  <si>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</si>
  <si>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</si>
  <si>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</si>
  <si>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</si>
  <si>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</si>
  <si>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FY2022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</si>
  <si>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</si>
  <si>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</si>
  <si>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</si>
  <si>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</si>
  <si>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</si>
  <si>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</si>
  <si>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</si>
  <si>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</si>
  <si>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</si>
  <si>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</si>
  <si>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</si>
  <si>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</si>
  <si>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TransUnion (TRU):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</si>
  <si>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</si>
  <si>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</si>
  <si>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</si>
  <si>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</si>
  <si>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</si>
  <si>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</si>
  <si>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</si>
  <si>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</si>
  <si>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</si>
  <si>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</si>
  <si>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Neustar acquired Dec 2021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</si>
  <si>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</si>
  <si>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</si>
  <si>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</si>
  <si>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</si>
  <si>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FY2022 to the 12 months ended June 2026. Starts after the Neustar purchase so the window is organic.</t>
  </si>
  <si>
    <t xml:space="preserve">TransUnion (TRU):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</si>
  <si>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</si>
  <si>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</si>
  <si>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</si>
  <si>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</si>
  <si>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</si>
  <si>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</si>
  <si>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Fair Isaac (FICO)</t>
  </si>
  <si>
    <t xml:space="preserve">Raw betas: 60 monthly returns to Sep 2026 against the S&amp;P 500 (S&amp;P/TSX for TMX); Cboe uses Stock Analysis's 5-year beta. Debt and equity from Stock Analysis, Oct 13, 2026.</t>
  </si>
  <si>
    <t xml:space="preserve">Equifax (EFX)</t>
  </si>
  <si>
    <t xml:space="preserve">TransUnion (TRU)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</si>
  <si>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</si>
  <si>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</si>
  <si>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</si>
  <si>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</si>
  <si>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</si>
  <si>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</si>
  <si>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</si>
  <si>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</si>
  <si>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</si>
  <si>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</si>
  <si>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</si>
  <si>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</si>
  <si>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</si>
  <si>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</si>
  <si>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</si>
  <si>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</si>
  <si>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</si>
  <si>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</si>
  <si>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</si>
  <si>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</si>
  <si>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</si>
  <si>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</si>
  <si>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</si>
  <si>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</si>
  <si>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</si>
  <si>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</si>
  <si>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</si>
  <si>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</si>
  <si>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</si>
  <si>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</si>
  <si>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</si>
  <si>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</si>
  <si>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</si>
  <si>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</si>
  <si>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</si>
  <si>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</si>
  <si>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</si>
  <si>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</si>
  <si>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</si>
  <si>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</si>
  <si>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</si>
  <si>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</si>
  <si>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</si>
  <si>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</si>
  <si>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</si>
  <si>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</si>
  <si>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</si>
  <si>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</si>
  <si>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</si>
  <si>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</si>
  <si>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</si>
  <si>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</si>
  <si>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</si>
  <si>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</si>
  <si>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</si>
  <si>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</si>
  <si>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</si>
  <si>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</si>
  <si>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</si>
  <si>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</si>
  <si>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</si>
  <si>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</si>
  <si>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</si>
  <si>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</si>
  <si>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</si>
  <si>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</si>
  <si>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</si>
  <si>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</si>
  <si>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</si>
  <si>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</si>
  <si>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</si>
  <si>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</si>
  <si>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</si>
  <si>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</si>
  <si>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</si>
  <si>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</si>
  <si>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TransUnion (TRU):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</si>
  <si>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</si>
  <si>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</si>
  <si>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</si>
  <si>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</si>
  <si>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</si>
  <si>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</si>
  <si>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</si>
  <si>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</si>
  <si>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</si>
  <si>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</si>
  <si>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</si>
  <si>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</si>
  <si>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</si>
  <si>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</si>
  <si>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</si>
  <si>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</si>
  <si>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</si>
  <si>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TransUnion (TRU):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</si>
  <si>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</si>
  <si>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</si>
  <si>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</si>
  <si>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</si>
  <si>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</si>
  <si>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</si>
  <si>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</si>
  <si>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$66.96.</t>
  </si>
  <si>
    <t xml:space="preserve">Helper: revenue paths for each growth view (years 1 to 10)</t>
  </si>
  <si>
    <t xml:space="preserve">TransUnion (TRU):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</si>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</sst>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66.9624217118998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0.09541552674591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0.0884392579116489</v>
      </c>
    </row>
    <row r="13" customFormat="false" ht="15" hidden="false" customHeight="false" outlineLevel="0" collapsed="false">
      <c r="B13" s="7" t="s">
        <v>9</v>
      </c>
      <c r="C13" s="10" t="n">
        <f aca="false">C11-C12</f>
        <v>0.00697626883426109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About right</v>
      </c>
    </row>
    <row r="15" customFormat="false" ht="15" hidden="false" customHeight="false" outlineLevel="0" collapsed="false">
      <c r="B15" s="5" t="s">
        <v>11</v>
      </c>
      <c r="C15" s="12" t="n">
        <f aca="false">WACC!$C$33</f>
        <v>0.0950848977416375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0.160795918367347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0.0884392579116489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63.4734067472319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-0.0521040738293346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4900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0.0884392579116489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66.9624217118998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191.6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12830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4900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4900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787.9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787.9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787.9</v>
      </c>
    </row>
    <row r="17" customFormat="false" ht="15" hidden="false" customHeight="false" outlineLevel="0" collapsed="false">
      <c r="B17" s="5" t="s">
        <v>50</v>
      </c>
      <c r="C17" s="14" t="n">
        <v>920.8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922.1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787.9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0.160795918367347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1530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5660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839.5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4820.5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0.0824785158232979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0.0944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0.0884392579116489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0.0884392579116489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2960</v>
      </c>
      <c r="D6" s="14" t="n">
        <v>3710</v>
      </c>
      <c r="E6" s="14" t="n">
        <v>3831</v>
      </c>
      <c r="F6" s="14" t="n">
        <v>4184</v>
      </c>
      <c r="G6" s="14" t="n">
        <v>4576</v>
      </c>
      <c r="H6" s="14" t="n">
        <v>4896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0.253378378378378</v>
      </c>
      <c r="E7" s="23" t="n">
        <f aca="false">E6/D6-1</f>
        <v>0.0326145552560646</v>
      </c>
      <c r="F7" s="23" t="n">
        <f aca="false">F6/E6-1</f>
        <v>0.0921430435917514</v>
      </c>
      <c r="G7" s="23" t="n">
        <f aca="false">G6/F6-1</f>
        <v>0.0936902485659656</v>
      </c>
    </row>
    <row r="8" customFormat="false" ht="15" hidden="false" customHeight="false" outlineLevel="0" collapsed="false">
      <c r="B8" s="19" t="s">
        <v>105</v>
      </c>
    </row>
    <row r="10" customFormat="false" ht="15" hidden="false" customHeight="false" outlineLevel="0" collapsed="false">
      <c r="B10" s="3" t="s">
        <v>106</v>
      </c>
    </row>
    <row r="11" customFormat="false" ht="15" hidden="false" customHeight="false" outlineLevel="0" collapsed="false">
      <c r="B11" s="5" t="s">
        <v>107</v>
      </c>
      <c r="C11" s="29" t="s">
        <v>98</v>
      </c>
      <c r="E11" s="5" t="s">
        <v>108</v>
      </c>
      <c r="G11" s="30" t="n">
        <v>3.5</v>
      </c>
    </row>
    <row r="12" customFormat="false" ht="15" hidden="false" customHeight="false" outlineLevel="0" collapsed="false">
      <c r="B12" s="5" t="s">
        <v>109</v>
      </c>
      <c r="C12" s="23" t="n">
        <f aca="false">(H6/INDEX(C6:H6,MATCH(C11,C5:H5,0)))^(1/G11)-1</f>
        <v>0.0824785158232979</v>
      </c>
      <c r="I12" s="1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111</v>
      </c>
    </row>
    <row r="3" customFormat="false" ht="15" hidden="false" customHeight="false" outlineLevel="0" collapsed="false">
      <c r="B3" s="2" t="s">
        <v>112</v>
      </c>
    </row>
    <row r="5" customFormat="false" ht="15" hidden="false" customHeight="false" outlineLevel="0" collapsed="false">
      <c r="B5" s="28" t="s">
        <v>113</v>
      </c>
      <c r="C5" s="28" t="s">
        <v>114</v>
      </c>
      <c r="D5" s="28" t="s">
        <v>115</v>
      </c>
      <c r="E5" s="28" t="s">
        <v>116</v>
      </c>
      <c r="F5" s="28" t="s">
        <v>55</v>
      </c>
      <c r="G5" s="28" t="s">
        <v>117</v>
      </c>
    </row>
    <row r="6" customFormat="false" ht="15" hidden="false" customHeight="false" outlineLevel="0" collapsed="false">
      <c r="B6" s="5" t="s">
        <v>118</v>
      </c>
      <c r="C6" s="31" t="n">
        <v>1.34063511586162</v>
      </c>
      <c r="D6" s="14" t="n">
        <v>5600</v>
      </c>
      <c r="E6" s="14" t="n">
        <v>15660</v>
      </c>
      <c r="F6" s="22" t="n">
        <v>0.25</v>
      </c>
      <c r="G6" s="32" t="n">
        <f aca="false">C6/(1+(1-F6)*D6/E6)</f>
        <v>1.05711711552834</v>
      </c>
      <c r="H6" s="19" t="s">
        <v>119</v>
      </c>
    </row>
    <row r="7" customFormat="false" ht="15" hidden="false" customHeight="false" outlineLevel="0" collapsed="false">
      <c r="B7" s="5" t="s">
        <v>120</v>
      </c>
      <c r="C7" s="31" t="n">
        <v>1.34235285049717</v>
      </c>
      <c r="D7" s="14" t="n">
        <v>5470</v>
      </c>
      <c r="E7" s="14" t="n">
        <v>17290</v>
      </c>
      <c r="F7" s="22" t="n">
        <v>0.25</v>
      </c>
      <c r="G7" s="32" t="n">
        <f aca="false">C7/(1+(1-F7)*D7/E7)</f>
        <v>1.08492606217581</v>
      </c>
    </row>
    <row r="8" customFormat="false" ht="15" hidden="false" customHeight="false" outlineLevel="0" collapsed="false">
      <c r="B8" s="7" t="s">
        <v>121</v>
      </c>
      <c r="C8" s="31" t="n">
        <v>1.57907093175696</v>
      </c>
      <c r="D8" s="14" t="n">
        <v>5660</v>
      </c>
      <c r="E8" s="14" t="n">
        <v>12830</v>
      </c>
      <c r="F8" s="22" t="n">
        <v>0.25</v>
      </c>
      <c r="G8" s="32" t="n">
        <f aca="false">C8/(1+(1-F8)*D8/E8)</f>
        <v>1.18649956394974</v>
      </c>
    </row>
    <row r="10" customFormat="false" ht="15" hidden="false" customHeight="false" outlineLevel="0" collapsed="false">
      <c r="B10" s="5" t="s">
        <v>122</v>
      </c>
      <c r="C10" s="32" t="n">
        <f aca="false">MEDIAN(G6:G8)</f>
        <v>1.08492606217581</v>
      </c>
    </row>
    <row r="11" customFormat="false" ht="15" hidden="false" customHeight="false" outlineLevel="0" collapsed="false">
      <c r="B11" s="5" t="s">
        <v>115</v>
      </c>
      <c r="C11" s="16" t="n">
        <f aca="false">Inputs!$C$27</f>
        <v>5660</v>
      </c>
    </row>
    <row r="12" customFormat="false" ht="15" hidden="false" customHeight="false" outlineLevel="0" collapsed="false">
      <c r="B12" s="5" t="s">
        <v>37</v>
      </c>
      <c r="C12" s="16" t="n">
        <f aca="false">Inputs!$C$8</f>
        <v>12830</v>
      </c>
    </row>
    <row r="13" customFormat="false" ht="15" hidden="false" customHeight="false" outlineLevel="0" collapsed="false">
      <c r="B13" s="5" t="s">
        <v>55</v>
      </c>
      <c r="C13" s="9" t="n">
        <f aca="false">Inputs!$C$20</f>
        <v>0.25</v>
      </c>
    </row>
    <row r="14" customFormat="false" ht="15" hidden="false" customHeight="false" outlineLevel="0" collapsed="false">
      <c r="B14" s="5" t="s">
        <v>123</v>
      </c>
      <c r="C14" s="32" t="n">
        <f aca="false">WACC!$C$10*(1+(1-WACC!$C$13)*WACC!$C$11/WACC!$C$12)</f>
        <v>1.44389029708901</v>
      </c>
      <c r="H14" s="19" t="s">
        <v>124</v>
      </c>
    </row>
    <row r="15" customFormat="false" ht="15" hidden="false" customHeight="false" outlineLevel="0" collapsed="false">
      <c r="B15" s="5" t="s">
        <v>125</v>
      </c>
      <c r="C15" s="12" t="n">
        <f aca="false">Inputs!$C$35</f>
        <v>0.0521</v>
      </c>
    </row>
    <row r="16" customFormat="false" ht="15" hidden="false" customHeight="false" outlineLevel="0" collapsed="false">
      <c r="B16" s="5" t="s">
        <v>77</v>
      </c>
      <c r="C16" s="12" t="n">
        <f aca="false">Inputs!$C$38</f>
        <v>0.0423</v>
      </c>
    </row>
    <row r="17" customFormat="false" ht="15" hidden="false" customHeight="false" outlineLevel="0" collapsed="false">
      <c r="B17" s="5" t="s">
        <v>126</v>
      </c>
      <c r="C17" s="25" t="n">
        <f aca="false">WACC!$C$15+WACC!$C$14*WACC!$C$16</f>
        <v>0.113176559566865</v>
      </c>
      <c r="H17" s="19" t="s">
        <v>127</v>
      </c>
    </row>
    <row r="19" customFormat="false" ht="15" hidden="false" customHeight="false" outlineLevel="0" collapsed="false">
      <c r="B19" s="3" t="s">
        <v>128</v>
      </c>
    </row>
    <row r="20" customFormat="false" ht="15" hidden="false" customHeight="false" outlineLevel="0" collapsed="false">
      <c r="B20" s="28" t="s">
        <v>129</v>
      </c>
      <c r="C20" s="28" t="s">
        <v>130</v>
      </c>
    </row>
    <row r="21" customFormat="false" ht="15" hidden="false" customHeight="false" outlineLevel="0" collapsed="false">
      <c r="B21" s="33" t="n">
        <v>1</v>
      </c>
      <c r="C21" s="24" t="n">
        <v>0.01</v>
      </c>
      <c r="H21" s="19" t="s">
        <v>131</v>
      </c>
    </row>
    <row r="22" customFormat="false" ht="15" hidden="false" customHeight="false" outlineLevel="0" collapsed="false">
      <c r="B22" s="33" t="n">
        <v>2</v>
      </c>
      <c r="C22" s="24" t="n">
        <v>0.0125</v>
      </c>
    </row>
    <row r="23" customFormat="false" ht="15" hidden="false" customHeight="false" outlineLevel="0" collapsed="false">
      <c r="B23" s="33" t="n">
        <v>3</v>
      </c>
      <c r="C23" s="24" t="n">
        <v>0.016</v>
      </c>
    </row>
    <row r="24" customFormat="false" ht="15" hidden="false" customHeight="false" outlineLevel="0" collapsed="false">
      <c r="B24" s="33" t="n">
        <v>4</v>
      </c>
      <c r="C24" s="24" t="n">
        <v>0.02</v>
      </c>
    </row>
    <row r="25" customFormat="false" ht="15" hidden="false" customHeight="false" outlineLevel="0" collapsed="false">
      <c r="B25" s="33" t="n">
        <v>99</v>
      </c>
      <c r="C25" s="24" t="n">
        <v>0.0275</v>
      </c>
    </row>
    <row r="27" customFormat="false" ht="15" hidden="false" customHeight="false" outlineLevel="0" collapsed="false">
      <c r="B27" s="5" t="s">
        <v>132</v>
      </c>
      <c r="C27" s="34" t="n">
        <f aca="false">Inputs!$C$27/Inputs!$C$24</f>
        <v>3.69934640522876</v>
      </c>
    </row>
    <row r="28" customFormat="false" ht="15" hidden="false" customHeight="false" outlineLevel="0" collapsed="false">
      <c r="B28" s="5" t="s">
        <v>133</v>
      </c>
      <c r="C28" s="25" t="n">
        <f aca="false">INDEX(C21:C25,COUNTIF(B21:B25,"&lt;="&amp;WACC!$C$27)+1)</f>
        <v>0.02</v>
      </c>
      <c r="H28" s="19" t="s">
        <v>134</v>
      </c>
    </row>
    <row r="29" customFormat="false" ht="15" hidden="false" customHeight="false" outlineLevel="0" collapsed="false">
      <c r="B29" s="5" t="s">
        <v>135</v>
      </c>
      <c r="C29" s="25" t="n">
        <f aca="false">WACC!$C$15+WACC!$C$28</f>
        <v>0.0721</v>
      </c>
    </row>
    <row r="30" customFormat="false" ht="15" hidden="false" customHeight="false" outlineLevel="0" collapsed="false">
      <c r="B30" s="5" t="s">
        <v>136</v>
      </c>
      <c r="C30" s="25" t="n">
        <f aca="false">WACC!$C$29*(1-WACC!$C$13)</f>
        <v>0.054075</v>
      </c>
    </row>
    <row r="31" customFormat="false" ht="15" hidden="false" customHeight="false" outlineLevel="0" collapsed="false">
      <c r="B31" s="5" t="s">
        <v>137</v>
      </c>
      <c r="C31" s="23" t="n">
        <f aca="false">WACC!$C$11/(WACC!$C$11+WACC!$C$12)</f>
        <v>0.306111411573824</v>
      </c>
      <c r="H31" s="19" t="s">
        <v>138</v>
      </c>
    </row>
    <row r="32" customFormat="false" ht="15" hidden="false" customHeight="false" outlineLevel="0" collapsed="false">
      <c r="B32" s="5" t="s">
        <v>139</v>
      </c>
      <c r="C32" s="23" t="n">
        <f aca="false">1-WACC!$C$31</f>
        <v>0.693888588426176</v>
      </c>
    </row>
    <row r="33" customFormat="false" ht="15" hidden="false" customHeight="false" outlineLevel="0" collapsed="false">
      <c r="B33" s="5" t="s">
        <v>11</v>
      </c>
      <c r="C33" s="35" t="n">
        <f aca="false">WACC!$C$32*WACC!$C$17+WACC!$C$31*WACC!$C$30</f>
        <v>0.0950848977416375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140</v>
      </c>
    </row>
    <row r="2" customFormat="false" ht="15" hidden="false" customHeight="false" outlineLevel="0" collapsed="false">
      <c r="B2" s="5" t="s">
        <v>141</v>
      </c>
      <c r="C2" s="16" t="n">
        <f aca="false">Inputs!$C$12</f>
        <v>4900</v>
      </c>
      <c r="D2" s="5" t="s">
        <v>142</v>
      </c>
      <c r="E2" s="9" t="n">
        <f aca="false">Inputs!$C$23</f>
        <v>0.160795918367347</v>
      </c>
      <c r="F2" s="5" t="s">
        <v>143</v>
      </c>
      <c r="G2" s="16" t="n">
        <f aca="false">Inputs!$C$27</f>
        <v>5660</v>
      </c>
      <c r="H2" s="5" t="s">
        <v>144</v>
      </c>
      <c r="I2" s="16" t="n">
        <f aca="false">Inputs!$C$28</f>
        <v>839.5</v>
      </c>
      <c r="J2" s="5" t="s">
        <v>145</v>
      </c>
      <c r="K2" s="36" t="n">
        <f aca="false">Inputs!$C$7</f>
        <v>191.6</v>
      </c>
      <c r="L2" s="5" t="s">
        <v>146</v>
      </c>
      <c r="M2" s="6" t="n">
        <f aca="false">Inputs!$C$6</f>
        <v>66.9624217118998</v>
      </c>
      <c r="N2" s="5" t="s">
        <v>147</v>
      </c>
      <c r="O2" s="37" t="n">
        <f aca="false">Inputs!$C$46</f>
        <v>5</v>
      </c>
      <c r="P2" s="5" t="s">
        <v>148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149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150</v>
      </c>
    </row>
    <row r="6" customFormat="false" ht="15" hidden="false" customHeight="false" outlineLevel="0" collapsed="false">
      <c r="A6" s="38" t="s">
        <v>151</v>
      </c>
      <c r="E6" s="5" t="s">
        <v>11</v>
      </c>
      <c r="F6" s="12" t="n">
        <f aca="false">WACC!$C$33</f>
        <v>0.0950848977416375</v>
      </c>
      <c r="G6" s="5" t="s">
        <v>12</v>
      </c>
      <c r="I6" s="12" t="n">
        <f aca="false">Inputs!$C$37</f>
        <v>0.0283</v>
      </c>
      <c r="W6" s="38" t="s">
        <v>152</v>
      </c>
    </row>
    <row r="7" customFormat="false" ht="23.85" hidden="false" customHeight="false" outlineLevel="0" collapsed="false">
      <c r="A7" s="38" t="s">
        <v>153</v>
      </c>
      <c r="B7" s="28" t="s">
        <v>154</v>
      </c>
      <c r="C7" s="28" t="s">
        <v>155</v>
      </c>
      <c r="D7" s="28" t="s">
        <v>156</v>
      </c>
      <c r="E7" s="28" t="s">
        <v>157</v>
      </c>
      <c r="F7" s="28" t="s">
        <v>158</v>
      </c>
      <c r="G7" s="28" t="s">
        <v>159</v>
      </c>
      <c r="H7" s="28" t="s">
        <v>160</v>
      </c>
      <c r="I7" s="28" t="s">
        <v>161</v>
      </c>
      <c r="J7" s="28" t="s">
        <v>162</v>
      </c>
      <c r="K7" s="28" t="s">
        <v>163</v>
      </c>
      <c r="L7" s="28" t="s">
        <v>164</v>
      </c>
      <c r="M7" s="28" t="s">
        <v>165</v>
      </c>
      <c r="N7" s="28" t="s">
        <v>166</v>
      </c>
      <c r="O7" s="28" t="s">
        <v>167</v>
      </c>
      <c r="P7" s="28" t="s">
        <v>168</v>
      </c>
      <c r="Q7" s="28" t="s">
        <v>169</v>
      </c>
      <c r="R7" s="28" t="s">
        <v>170</v>
      </c>
      <c r="S7" s="28" t="s">
        <v>171</v>
      </c>
      <c r="T7" s="28" t="s">
        <v>172</v>
      </c>
      <c r="W7" s="40" t="n">
        <f aca="false">$D$47</f>
        <v>0.09541552674591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6125</v>
      </c>
      <c r="F8" s="15" t="n">
        <f aca="false">E8*(1+IF(F$3&lt;=$O$2,$D8,$D8-($D8-$I$6)*MIN(F$3-$O$2,$Q$2)/$Q$2))</f>
        <v>7656.25</v>
      </c>
      <c r="G8" s="15" t="n">
        <f aca="false">F8*(1+IF(G$3&lt;=$O$2,$D8,$D8-($D8-$I$6)*MIN(G$3-$O$2,$Q$2)/$Q$2))</f>
        <v>9570.3125</v>
      </c>
      <c r="H8" s="15" t="n">
        <f aca="false">G8*(1+IF(H$3&lt;=$O$2,$D8,$D8-($D8-$I$6)*MIN(H$3-$O$2,$Q$2)/$Q$2))</f>
        <v>11962.890625</v>
      </c>
      <c r="I8" s="15" t="n">
        <f aca="false">H8*(1+IF(I$3&lt;=$O$2,$D8,$D8-($D8-$I$6)*MIN(I$3-$O$2,$Q$2)/$Q$2))</f>
        <v>14953.61328125</v>
      </c>
      <c r="J8" s="15" t="n">
        <f aca="false">I8*(1+IF(J$3&lt;=$O$2,$D8,$D8-($D8-$I$6)*MIN(J$3-$O$2,$Q$2)/$Q$2))</f>
        <v>18028.9733886719</v>
      </c>
      <c r="K8" s="15" t="n">
        <f aca="false">J8*(1+IF(K$3&lt;=$O$2,$D8,$D8-($D8-$I$6)*MIN(K$3-$O$2,$Q$2)/$Q$2))</f>
        <v>20937.4073757324</v>
      </c>
      <c r="L8" s="15" t="n">
        <f aca="false">K8*(1+IF(L$3&lt;=$O$2,$D8,$D8-($D8-$I$6)*MIN(L$3-$O$2,$Q$2)/$Q$2))</f>
        <v>23386.6652905456</v>
      </c>
      <c r="M8" s="15" t="n">
        <f aca="false">L8*(1+IF(M$3&lt;=$O$2,$D8,$D8-($D8-$I$6)*MIN(M$3-$O$2,$Q$2)/$Q$2))</f>
        <v>25085.4726572508</v>
      </c>
      <c r="N8" s="15" t="n">
        <f aca="false">M8*(1+IF(N$3&lt;=$O$2,$D8,$D8-($D8-$I$6)*MIN(N$3-$O$2,$Q$2)/$Q$2))</f>
        <v>25795.391533451</v>
      </c>
      <c r="O8" s="15" t="n">
        <f aca="false">SUMPRODUCT(E8:N8,1/(1+$F$6)^$E$3:$N$3)*$E$2</f>
        <v>14697.4357514414</v>
      </c>
      <c r="P8" s="15" t="n">
        <f aca="false">N8*$E$2*(1+$I$6)/($F$6-$I$6)/(1+$F$6)^$N$3</f>
        <v>25750.2125613284</v>
      </c>
      <c r="Q8" s="15" t="n">
        <f aca="false">O8+P8</f>
        <v>40447.6483127698</v>
      </c>
      <c r="R8" s="15" t="n">
        <f aca="false">Q8-$G$2+$I$2</f>
        <v>35627.1483127698</v>
      </c>
      <c r="S8" s="42" t="n">
        <f aca="false">R8/$K$2</f>
        <v>185.945450484185</v>
      </c>
      <c r="T8" s="43" t="n">
        <f aca="false">S8-$M$2</f>
        <v>118.983028772285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4287.5</v>
      </c>
      <c r="F9" s="15" t="n">
        <f aca="false">E9*(1+IF(F$3&lt;=$O$2,$D9,$D9-($D9-$I$6)*MIN(F$3-$O$2,$Q$2)/$Q$2))</f>
        <v>3751.5625</v>
      </c>
      <c r="G9" s="15" t="n">
        <f aca="false">F9*(1+IF(G$3&lt;=$O$2,$D9,$D9-($D9-$I$6)*MIN(G$3-$O$2,$Q$2)/$Q$2))</f>
        <v>3282.6171875</v>
      </c>
      <c r="H9" s="15" t="n">
        <f aca="false">G9*(1+IF(H$3&lt;=$O$2,$D9,$D9-($D9-$I$6)*MIN(H$3-$O$2,$Q$2)/$Q$2))</f>
        <v>2872.2900390625</v>
      </c>
      <c r="I9" s="15" t="n">
        <f aca="false">H9*(1+IF(I$3&lt;=$O$2,$D9,$D9-($D9-$I$6)*MIN(I$3-$O$2,$Q$2)/$Q$2))</f>
        <v>2513.25378417969</v>
      </c>
      <c r="J9" s="15" t="n">
        <f aca="false">I9*(1+IF(J$3&lt;=$O$2,$D9,$D9-($D9-$I$6)*MIN(J$3-$O$2,$Q$2)/$Q$2))</f>
        <v>2276.15342218018</v>
      </c>
      <c r="K9" s="15" t="n">
        <f aca="false">J9*(1+IF(K$3&lt;=$O$2,$D9,$D9-($D9-$I$6)*MIN(K$3-$O$2,$Q$2)/$Q$2))</f>
        <v>2131.20797225574</v>
      </c>
      <c r="L9" s="15" t="n">
        <f aca="false">K9*(1+IF(L$3&lt;=$O$2,$D9,$D9-($D9-$I$6)*MIN(L$3-$O$2,$Q$2)/$Q$2))</f>
        <v>2060.83548501186</v>
      </c>
      <c r="M9" s="15" t="n">
        <f aca="false">L9*(1+IF(M$3&lt;=$O$2,$D9,$D9-($D9-$I$6)*MIN(M$3-$O$2,$Q$2)/$Q$2))</f>
        <v>2055.97191326723</v>
      </c>
      <c r="N9" s="15" t="n">
        <f aca="false">M9*(1+IF(N$3&lt;=$O$2,$D9,$D9-($D9-$I$6)*MIN(N$3-$O$2,$Q$2)/$Q$2))</f>
        <v>2114.15591841269</v>
      </c>
      <c r="O9" s="15" t="n">
        <f aca="false">SUMPRODUCT(E9:N9,1/(1+$F$6)^$E$3:$N$3)*$E$2</f>
        <v>2949.21244642444</v>
      </c>
      <c r="P9" s="15" t="n">
        <f aca="false">N9*$E$2*(1+$I$6)/($F$6-$I$6)/(1+$F$6)^$N$3</f>
        <v>2110.4531100573</v>
      </c>
      <c r="Q9" s="15" t="n">
        <f aca="false">O9+P9</f>
        <v>5059.66555648174</v>
      </c>
      <c r="R9" s="15" t="n">
        <f aca="false">Q9-$G$2+$I$2</f>
        <v>239.165556481736</v>
      </c>
      <c r="S9" s="42" t="n">
        <f aca="false">R9/$K$2</f>
        <v>1.2482544701552</v>
      </c>
      <c r="T9" s="43" t="n">
        <f aca="false">S9-$M$2</f>
        <v>-65.7141672417446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5206.25</v>
      </c>
      <c r="F10" s="15" t="n">
        <f aca="false">E10*(1+IF(F$3&lt;=$O$2,$D10,$D10-($D10-$I$6)*MIN(F$3-$O$2,$Q$2)/$Q$2))</f>
        <v>5531.640625</v>
      </c>
      <c r="G10" s="15" t="n">
        <f aca="false">F10*(1+IF(G$3&lt;=$O$2,$D10,$D10-($D10-$I$6)*MIN(G$3-$O$2,$Q$2)/$Q$2))</f>
        <v>5877.3681640625</v>
      </c>
      <c r="H10" s="15" t="n">
        <f aca="false">G10*(1+IF(H$3&lt;=$O$2,$D10,$D10-($D10-$I$6)*MIN(H$3-$O$2,$Q$2)/$Q$2))</f>
        <v>6244.70367431641</v>
      </c>
      <c r="I10" s="15" t="n">
        <f aca="false">H10*(1+IF(I$3&lt;=$O$2,$D10,$D10-($D10-$I$6)*MIN(I$3-$O$2,$Q$2)/$Q$2))</f>
        <v>6634.99765396118</v>
      </c>
      <c r="J10" s="15" t="n">
        <f aca="false">I10*(1+IF(J$3&lt;=$O$2,$D10,$D10-($D10-$I$6)*MIN(J$3-$O$2,$Q$2)/$Q$2))</f>
        <v>7004.30162338066</v>
      </c>
      <c r="K10" s="15" t="n">
        <f aca="false">J10*(1+IF(K$3&lt;=$O$2,$D10,$D10-($D10-$I$6)*MIN(K$3-$O$2,$Q$2)/$Q$2))</f>
        <v>7346.25162863411</v>
      </c>
      <c r="L10" s="15" t="n">
        <f aca="false">K10*(1+IF(L$3&lt;=$O$2,$D10,$D10-($D10-$I$6)*MIN(L$3-$O$2,$Q$2)/$Q$2))</f>
        <v>7654.64727200416</v>
      </c>
      <c r="M10" s="15" t="n">
        <f aca="false">L10*(1+IF(M$3&lt;=$O$2,$D10,$D10-($D10-$I$6)*MIN(M$3-$O$2,$Q$2)/$Q$2))</f>
        <v>7923.63157714239</v>
      </c>
      <c r="N10" s="15" t="n">
        <f aca="false">M10*(1+IF(N$3&lt;=$O$2,$D10,$D10-($D10-$I$6)*MIN(N$3-$O$2,$Q$2)/$Q$2))</f>
        <v>8147.87035077552</v>
      </c>
      <c r="O10" s="15" t="n">
        <f aca="false">SUMPRODUCT(E10:N10,1/(1+$F$6)^$E$3:$N$3)*$E$2</f>
        <v>6565.95853766999</v>
      </c>
      <c r="P10" s="15" t="n">
        <f aca="false">N10*$E$2*(1+$I$6)/($F$6-$I$6)/(1+$F$6)^$N$3</f>
        <v>8133.59987897598</v>
      </c>
      <c r="Q10" s="15" t="n">
        <f aca="false">O10+P10</f>
        <v>14699.558416646</v>
      </c>
      <c r="R10" s="15" t="n">
        <f aca="false">Q10-$G$2+$I$2</f>
        <v>9879.05841664597</v>
      </c>
      <c r="S10" s="42" t="n">
        <f aca="false">R10/$K$2</f>
        <v>51.5608476860437</v>
      </c>
      <c r="T10" s="43" t="n">
        <f aca="false">S10-$M$2</f>
        <v>-15.4015740258561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41" t="n">
        <f aca="false">(B11+C11)/2</f>
        <v>0.15625</v>
      </c>
      <c r="E11" s="15" t="n">
        <f aca="false">$C$2*(1+IF(E$3&lt;=$O$2,$D11,$D11-($D11-$I$6)*MIN(E$3-$O$2,$Q$2)/$Q$2))</f>
        <v>5665.625</v>
      </c>
      <c r="F11" s="15" t="n">
        <f aca="false">E11*(1+IF(F$3&lt;=$O$2,$D11,$D11-($D11-$I$6)*MIN(F$3-$O$2,$Q$2)/$Q$2))</f>
        <v>6550.87890625</v>
      </c>
      <c r="G11" s="15" t="n">
        <f aca="false">F11*(1+IF(G$3&lt;=$O$2,$D11,$D11-($D11-$I$6)*MIN(G$3-$O$2,$Q$2)/$Q$2))</f>
        <v>7574.45373535156</v>
      </c>
      <c r="H11" s="15" t="n">
        <f aca="false">G11*(1+IF(H$3&lt;=$O$2,$D11,$D11-($D11-$I$6)*MIN(H$3-$O$2,$Q$2)/$Q$2))</f>
        <v>8757.96213150024</v>
      </c>
      <c r="I11" s="15" t="n">
        <f aca="false">H11*(1+IF(I$3&lt;=$O$2,$D11,$D11-($D11-$I$6)*MIN(I$3-$O$2,$Q$2)/$Q$2))</f>
        <v>10126.3937145472</v>
      </c>
      <c r="J11" s="15" t="n">
        <f aca="false">I11*(1+IF(J$3&lt;=$O$2,$D11,$D11-($D11-$I$6)*MIN(J$3-$O$2,$Q$2)/$Q$2))</f>
        <v>11449.5083172899</v>
      </c>
      <c r="K11" s="15" t="n">
        <f aca="false">J11*(1+IF(K$3&lt;=$O$2,$D11,$D11-($D11-$I$6)*MIN(K$3-$O$2,$Q$2)/$Q$2))</f>
        <v>12652.5081561875</v>
      </c>
      <c r="L11" s="15" t="n">
        <f aca="false">K11*(1+IF(L$3&lt;=$O$2,$D11,$D11-($D11-$I$6)*MIN(L$3-$O$2,$Q$2)/$Q$2))</f>
        <v>13658.1295044413</v>
      </c>
      <c r="M11" s="15" t="n">
        <f aca="false">L11*(1+IF(M$3&lt;=$O$2,$D11,$D11-($D11-$I$6)*MIN(M$3-$O$2,$Q$2)/$Q$2))</f>
        <v>14394.1661034357</v>
      </c>
      <c r="N11" s="15" t="n">
        <f aca="false">M11*(1+IF(N$3&lt;=$O$2,$D11,$D11-($D11-$I$6)*MIN(N$3-$O$2,$Q$2)/$Q$2))</f>
        <v>14801.5210041629</v>
      </c>
      <c r="O11" s="15" t="n">
        <f aca="false">SUMPRODUCT(E11:N11,1/(1+$F$6)^$E$3:$N$3)*$E$2</f>
        <v>9839.13237115575</v>
      </c>
      <c r="P11" s="15" t="n">
        <f aca="false">N11*$E$2*(1+$I$6)/($F$6-$I$6)/(1+$F$6)^$N$3</f>
        <v>14775.59709043</v>
      </c>
      <c r="Q11" s="15" t="n">
        <f aca="false">O11+P11</f>
        <v>24614.7294615858</v>
      </c>
      <c r="R11" s="15" t="n">
        <f aca="false">Q11-$G$2+$I$2</f>
        <v>19794.2294615858</v>
      </c>
      <c r="S11" s="42" t="n">
        <f aca="false">R11/$K$2</f>
        <v>103.310174642932</v>
      </c>
      <c r="T11" s="43" t="n">
        <f aca="false">S11-$M$2</f>
        <v>36.3477529310322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41" t="n">
        <f aca="false">(B12+C12)/2</f>
        <v>0.109375</v>
      </c>
      <c r="E12" s="15" t="n">
        <f aca="false">$C$2*(1+IF(E$3&lt;=$O$2,$D12,$D12-($D12-$I$6)*MIN(E$3-$O$2,$Q$2)/$Q$2))</f>
        <v>5435.9375</v>
      </c>
      <c r="F12" s="15" t="n">
        <f aca="false">E12*(1+IF(F$3&lt;=$O$2,$D12,$D12-($D12-$I$6)*MIN(F$3-$O$2,$Q$2)/$Q$2))</f>
        <v>6030.4931640625</v>
      </c>
      <c r="G12" s="15" t="n">
        <f aca="false">F12*(1+IF(G$3&lt;=$O$2,$D12,$D12-($D12-$I$6)*MIN(G$3-$O$2,$Q$2)/$Q$2))</f>
        <v>6690.07835388184</v>
      </c>
      <c r="H12" s="15" t="n">
        <f aca="false">G12*(1+IF(H$3&lt;=$O$2,$D12,$D12-($D12-$I$6)*MIN(H$3-$O$2,$Q$2)/$Q$2))</f>
        <v>7421.80567383766</v>
      </c>
      <c r="I12" s="15" t="n">
        <f aca="false">H12*(1+IF(I$3&lt;=$O$2,$D12,$D12-($D12-$I$6)*MIN(I$3-$O$2,$Q$2)/$Q$2))</f>
        <v>8233.56566941366</v>
      </c>
      <c r="J12" s="15" t="n">
        <f aca="false">I12*(1+IF(J$3&lt;=$O$2,$D12,$D12-($D12-$I$6)*MIN(J$3-$O$2,$Q$2)/$Q$2))</f>
        <v>9000.60464717623</v>
      </c>
      <c r="K12" s="15" t="n">
        <f aca="false">J12*(1+IF(K$3&lt;=$O$2,$D12,$D12-($D12-$I$6)*MIN(K$3-$O$2,$Q$2)/$Q$2))</f>
        <v>9693.15617175321</v>
      </c>
      <c r="L12" s="15" t="n">
        <f aca="false">K12*(1+IF(L$3&lt;=$O$2,$D12,$D12-($D12-$I$6)*MIN(L$3-$O$2,$Q$2)/$Q$2))</f>
        <v>10281.8215460638</v>
      </c>
      <c r="M12" s="15" t="n">
        <f aca="false">L12*(1+IF(M$3&lt;=$O$2,$D12,$D12-($D12-$I$6)*MIN(M$3-$O$2,$Q$2)/$Q$2))</f>
        <v>10739.5168321868</v>
      </c>
      <c r="N12" s="15" t="n">
        <f aca="false">M12*(1+IF(N$3&lt;=$O$2,$D12,$D12-($D12-$I$6)*MIN(N$3-$O$2,$Q$2)/$Q$2))</f>
        <v>11043.4451585377</v>
      </c>
      <c r="O12" s="15" t="n">
        <f aca="false">SUMPRODUCT(E12:N12,1/(1+$F$6)^$E$3:$N$3)*$E$2</f>
        <v>8038.77160433757</v>
      </c>
      <c r="P12" s="15" t="n">
        <f aca="false">N12*$E$2*(1+$I$6)/($F$6-$I$6)/(1+$F$6)^$N$3</f>
        <v>11024.1032733677</v>
      </c>
      <c r="Q12" s="15" t="n">
        <f aca="false">O12+P12</f>
        <v>19062.8748777053</v>
      </c>
      <c r="R12" s="15" t="n">
        <f aca="false">Q12-$G$2+$I$2</f>
        <v>14242.3748777053</v>
      </c>
      <c r="S12" s="42" t="n">
        <f aca="false">R12/$K$2</f>
        <v>74.333898109109</v>
      </c>
      <c r="T12" s="43" t="n">
        <f aca="false">S12-$M$2</f>
        <v>7.37147639720917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0.0625</v>
      </c>
      <c r="C13" s="25" t="n">
        <f aca="false">IF(T12&gt;0,D12,C12)</f>
        <v>0.109375</v>
      </c>
      <c r="D13" s="41" t="n">
        <f aca="false">(B13+C13)/2</f>
        <v>0.0859375</v>
      </c>
      <c r="E13" s="15" t="n">
        <f aca="false">$C$2*(1+IF(E$3&lt;=$O$2,$D13,$D13-($D13-$I$6)*MIN(E$3-$O$2,$Q$2)/$Q$2))</f>
        <v>5321.09375</v>
      </c>
      <c r="F13" s="15" t="n">
        <f aca="false">E13*(1+IF(F$3&lt;=$O$2,$D13,$D13-($D13-$I$6)*MIN(F$3-$O$2,$Q$2)/$Q$2))</f>
        <v>5778.37524414063</v>
      </c>
      <c r="G13" s="15" t="n">
        <f aca="false">F13*(1+IF(G$3&lt;=$O$2,$D13,$D13-($D13-$I$6)*MIN(G$3-$O$2,$Q$2)/$Q$2))</f>
        <v>6274.95436668396</v>
      </c>
      <c r="H13" s="15" t="n">
        <f aca="false">G13*(1+IF(H$3&lt;=$O$2,$D13,$D13-($D13-$I$6)*MIN(H$3-$O$2,$Q$2)/$Q$2))</f>
        <v>6814.20825757086</v>
      </c>
      <c r="I13" s="15" t="n">
        <f aca="false">H13*(1+IF(I$3&lt;=$O$2,$D13,$D13-($D13-$I$6)*MIN(I$3-$O$2,$Q$2)/$Q$2))</f>
        <v>7399.80427970586</v>
      </c>
      <c r="J13" s="15" t="n">
        <f aca="false">I13*(1+IF(J$3&lt;=$O$2,$D13,$D13-($D13-$I$6)*MIN(J$3-$O$2,$Q$2)/$Q$2))</f>
        <v>7950.42371615877</v>
      </c>
      <c r="K13" s="15" t="n">
        <f aca="false">J13*(1+IF(K$3&lt;=$O$2,$D13,$D13-($D13-$I$6)*MIN(K$3-$O$2,$Q$2)/$Q$2))</f>
        <v>8450.36623549013</v>
      </c>
      <c r="L13" s="15" t="n">
        <f aca="false">K13*(1+IF(L$3&lt;=$O$2,$D13,$D13-($D13-$I$6)*MIN(L$3-$O$2,$Q$2)/$Q$2))</f>
        <v>8884.33479351372</v>
      </c>
      <c r="M13" s="15" t="n">
        <f aca="false">L13*(1+IF(M$3&lt;=$O$2,$D13,$D13-($D13-$I$6)*MIN(M$3-$O$2,$Q$2)/$Q$2))</f>
        <v>9238.17563750239</v>
      </c>
      <c r="N13" s="15" t="n">
        <f aca="false">M13*(1+IF(N$3&lt;=$O$2,$D13,$D13-($D13-$I$6)*MIN(N$3-$O$2,$Q$2)/$Q$2))</f>
        <v>9499.61600804371</v>
      </c>
      <c r="O13" s="15" t="n">
        <f aca="false">SUMPRODUCT(E13:N13,1/(1+$F$6)^$E$3:$N$3)*$E$2</f>
        <v>7265.14522756716</v>
      </c>
      <c r="P13" s="15" t="n">
        <f aca="false">N13*$E$2*(1+$I$6)/($F$6-$I$6)/(1+$F$6)^$N$3</f>
        <v>9482.97804051194</v>
      </c>
      <c r="Q13" s="15" t="n">
        <f aca="false">O13+P13</f>
        <v>16748.1232680791</v>
      </c>
      <c r="R13" s="15" t="n">
        <f aca="false">Q13-$G$2+$I$2</f>
        <v>11927.6232680791</v>
      </c>
      <c r="S13" s="42" t="n">
        <f aca="false">R13/$K$2</f>
        <v>62.2527310442542</v>
      </c>
      <c r="T13" s="43" t="n">
        <f aca="false">S13-$M$2</f>
        <v>-4.7096906676456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0.0859375</v>
      </c>
      <c r="C14" s="25" t="n">
        <f aca="false">IF(T13&gt;0,D13,C13)</f>
        <v>0.109375</v>
      </c>
      <c r="D14" s="41" t="n">
        <f aca="false">(B14+C14)/2</f>
        <v>0.09765625</v>
      </c>
      <c r="E14" s="15" t="n">
        <f aca="false">$C$2*(1+IF(E$3&lt;=$O$2,$D14,$D14-($D14-$I$6)*MIN(E$3-$O$2,$Q$2)/$Q$2))</f>
        <v>5378.515625</v>
      </c>
      <c r="F14" s="15" t="n">
        <f aca="false">E14*(1+IF(F$3&lt;=$O$2,$D14,$D14-($D14-$I$6)*MIN(F$3-$O$2,$Q$2)/$Q$2))</f>
        <v>5903.76129150391</v>
      </c>
      <c r="G14" s="15" t="n">
        <f aca="false">F14*(1+IF(G$3&lt;=$O$2,$D14,$D14-($D14-$I$6)*MIN(G$3-$O$2,$Q$2)/$Q$2))</f>
        <v>6480.30048012734</v>
      </c>
      <c r="H14" s="15" t="n">
        <f aca="false">G14*(1+IF(H$3&lt;=$O$2,$D14,$D14-($D14-$I$6)*MIN(H$3-$O$2,$Q$2)/$Q$2))</f>
        <v>7113.14232388977</v>
      </c>
      <c r="I14" s="15" t="n">
        <f aca="false">H14*(1+IF(I$3&lt;=$O$2,$D14,$D14-($D14-$I$6)*MIN(I$3-$O$2,$Q$2)/$Q$2))</f>
        <v>7807.78512895713</v>
      </c>
      <c r="J14" s="15" t="n">
        <f aca="false">I14*(1+IF(J$3&lt;=$O$2,$D14,$D14-($D14-$I$6)*MIN(J$3-$O$2,$Q$2)/$Q$2))</f>
        <v>8461.9604059868</v>
      </c>
      <c r="K14" s="15" t="n">
        <f aca="false">J14*(1+IF(K$3&lt;=$O$2,$D14,$D14-($D14-$I$6)*MIN(K$3-$O$2,$Q$2)/$Q$2))</f>
        <v>9053.56779032086</v>
      </c>
      <c r="L14" s="15" t="n">
        <f aca="false">K14*(1+IF(L$3&lt;=$O$2,$D14,$D14-($D14-$I$6)*MIN(L$3-$O$2,$Q$2)/$Q$2))</f>
        <v>9560.95236320992</v>
      </c>
      <c r="M14" s="15" t="n">
        <f aca="false">L14*(1+IF(M$3&lt;=$O$2,$D14,$D14-($D14-$I$6)*MIN(M$3-$O$2,$Q$2)/$Q$2))</f>
        <v>9964.14967555694</v>
      </c>
      <c r="N14" s="15" t="n">
        <f aca="false">M14*(1+IF(N$3&lt;=$O$2,$D14,$D14-($D14-$I$6)*MIN(N$3-$O$2,$Q$2)/$Q$2))</f>
        <v>10246.1351113752</v>
      </c>
      <c r="O14" s="15" t="n">
        <f aca="false">SUMPRODUCT(E14:N14,1/(1+$F$6)^$E$3:$N$3)*$E$2</f>
        <v>7642.21140969786</v>
      </c>
      <c r="P14" s="15" t="n">
        <f aca="false">N14*$E$2*(1+$I$6)/($F$6-$I$6)/(1+$F$6)^$N$3</f>
        <v>10228.1896635629</v>
      </c>
      <c r="Q14" s="15" t="n">
        <f aca="false">O14+P14</f>
        <v>17870.4010732608</v>
      </c>
      <c r="R14" s="15" t="n">
        <f aca="false">Q14-$G$2+$I$2</f>
        <v>13049.9010732608</v>
      </c>
      <c r="S14" s="42" t="n">
        <f aca="false">R14/$K$2</f>
        <v>68.1101308625301</v>
      </c>
      <c r="T14" s="43" t="n">
        <f aca="false">S14-$M$2</f>
        <v>1.14770915063029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0.0859375</v>
      </c>
      <c r="C15" s="25" t="n">
        <f aca="false">IF(T14&gt;0,D14,C14)</f>
        <v>0.09765625</v>
      </c>
      <c r="D15" s="41" t="n">
        <f aca="false">(B15+C15)/2</f>
        <v>0.091796875</v>
      </c>
      <c r="E15" s="15" t="n">
        <f aca="false">$C$2*(1+IF(E$3&lt;=$O$2,$D15,$D15-($D15-$I$6)*MIN(E$3-$O$2,$Q$2)/$Q$2))</f>
        <v>5349.8046875</v>
      </c>
      <c r="F15" s="15" t="n">
        <f aca="false">E15*(1+IF(F$3&lt;=$O$2,$D15,$D15-($D15-$I$6)*MIN(F$3-$O$2,$Q$2)/$Q$2))</f>
        <v>5840.90003967285</v>
      </c>
      <c r="G15" s="15" t="n">
        <f aca="false">F15*(1+IF(G$3&lt;=$O$2,$D15,$D15-($D15-$I$6)*MIN(G$3-$O$2,$Q$2)/$Q$2))</f>
        <v>6377.0764105022</v>
      </c>
      <c r="H15" s="15" t="n">
        <f aca="false">G15*(1+IF(H$3&lt;=$O$2,$D15,$D15-($D15-$I$6)*MIN(H$3-$O$2,$Q$2)/$Q$2))</f>
        <v>6962.47209662251</v>
      </c>
      <c r="I15" s="15" t="n">
        <f aca="false">H15*(1+IF(I$3&lt;=$O$2,$D15,$D15-($D15-$I$6)*MIN(I$3-$O$2,$Q$2)/$Q$2))</f>
        <v>7601.60527736716</v>
      </c>
      <c r="J15" s="15" t="n">
        <f aca="false">I15*(1+IF(J$3&lt;=$O$2,$D15,$D15-($D15-$I$6)*MIN(J$3-$O$2,$Q$2)/$Q$2))</f>
        <v>8202.87325079371</v>
      </c>
      <c r="K15" s="15" t="n">
        <f aca="false">J15*(1+IF(K$3&lt;=$O$2,$D15,$D15-($D15-$I$6)*MIN(K$3-$O$2,$Q$2)/$Q$2))</f>
        <v>8747.52865425907</v>
      </c>
      <c r="L15" s="15" t="n">
        <f aca="false">K15*(1+IF(L$3&lt;=$O$2,$D15,$D15-($D15-$I$6)*MIN(L$3-$O$2,$Q$2)/$Q$2))</f>
        <v>9217.26000858196</v>
      </c>
      <c r="M15" s="15" t="n">
        <f aca="false">L15*(1+IF(M$3&lt;=$O$2,$D15,$D15-($D15-$I$6)*MIN(M$3-$O$2,$Q$2)/$Q$2))</f>
        <v>9595.16190814631</v>
      </c>
      <c r="N15" s="15" t="n">
        <f aca="false">M15*(1+IF(N$3&lt;=$O$2,$D15,$D15-($D15-$I$6)*MIN(N$3-$O$2,$Q$2)/$Q$2))</f>
        <v>9866.70499014685</v>
      </c>
      <c r="O15" s="15" t="n">
        <f aca="false">SUMPRODUCT(E15:N15,1/(1+$F$6)^$E$3:$N$3)*$E$2</f>
        <v>7451.29823227442</v>
      </c>
      <c r="P15" s="15" t="n">
        <f aca="false">N15*$E$2*(1+$I$6)/($F$6-$I$6)/(1+$F$6)^$N$3</f>
        <v>9849.42408983124</v>
      </c>
      <c r="Q15" s="15" t="n">
        <f aca="false">O15+P15</f>
        <v>17300.7223221057</v>
      </c>
      <c r="R15" s="15" t="n">
        <f aca="false">Q15-$G$2+$I$2</f>
        <v>12480.2223221057</v>
      </c>
      <c r="S15" s="42" t="n">
        <f aca="false">R15/$K$2</f>
        <v>65.1368597187143</v>
      </c>
      <c r="T15" s="43" t="n">
        <f aca="false">S15-$M$2</f>
        <v>-1.82556199318546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0.091796875</v>
      </c>
      <c r="C16" s="25" t="n">
        <f aca="false">IF(T15&gt;0,D15,C15)</f>
        <v>0.09765625</v>
      </c>
      <c r="D16" s="41" t="n">
        <f aca="false">(B16+C16)/2</f>
        <v>0.0947265625</v>
      </c>
      <c r="E16" s="15" t="n">
        <f aca="false">$C$2*(1+IF(E$3&lt;=$O$2,$D16,$D16-($D16-$I$6)*MIN(E$3-$O$2,$Q$2)/$Q$2))</f>
        <v>5364.16015625</v>
      </c>
      <c r="F16" s="15" t="n">
        <f aca="false">E16*(1+IF(F$3&lt;=$O$2,$D16,$D16-($D16-$I$6)*MIN(F$3-$O$2,$Q$2)/$Q$2))</f>
        <v>5872.28860855103</v>
      </c>
      <c r="G16" s="15" t="n">
        <f aca="false">F16*(1+IF(G$3&lt;=$O$2,$D16,$D16-($D16-$I$6)*MIN(G$3-$O$2,$Q$2)/$Q$2))</f>
        <v>6428.55032244697</v>
      </c>
      <c r="H16" s="15" t="n">
        <f aca="false">G16*(1+IF(H$3&lt;=$O$2,$D16,$D16-($D16-$I$6)*MIN(H$3-$O$2,$Q$2)/$Q$2))</f>
        <v>7037.50479635064</v>
      </c>
      <c r="I16" s="15" t="n">
        <f aca="false">H16*(1+IF(I$3&lt;=$O$2,$D16,$D16-($D16-$I$6)*MIN(I$3-$O$2,$Q$2)/$Q$2))</f>
        <v>7704.1434342862</v>
      </c>
      <c r="J16" s="15" t="n">
        <f aca="false">I16*(1+IF(J$3&lt;=$O$2,$D16,$D16-($D16-$I$6)*MIN(J$3-$O$2,$Q$2)/$Q$2))</f>
        <v>8331.57850575376</v>
      </c>
      <c r="K16" s="15" t="n">
        <f aca="false">J16*(1+IF(K$3&lt;=$O$2,$D16,$D16-($D16-$I$6)*MIN(K$3-$O$2,$Q$2)/$Q$2))</f>
        <v>8899.42504966826</v>
      </c>
      <c r="L16" s="15" t="n">
        <f aca="false">K16*(1+IF(L$3&lt;=$O$2,$D16,$D16-($D16-$I$6)*MIN(L$3-$O$2,$Q$2)/$Q$2))</f>
        <v>9387.74206428421</v>
      </c>
      <c r="M16" s="15" t="n">
        <f aca="false">L16*(1+IF(M$3&lt;=$O$2,$D16,$D16-($D16-$I$6)*MIN(M$3-$O$2,$Q$2)/$Q$2))</f>
        <v>9778.13425169687</v>
      </c>
      <c r="N16" s="15" t="n">
        <f aca="false">M16*(1+IF(N$3&lt;=$O$2,$D16,$D16-($D16-$I$6)*MIN(N$3-$O$2,$Q$2)/$Q$2))</f>
        <v>10054.8554510199</v>
      </c>
      <c r="O16" s="15" t="n">
        <f aca="false">SUMPRODUCT(E16:N16,1/(1+$F$6)^$E$3:$N$3)*$E$2</f>
        <v>7546.15280597261</v>
      </c>
      <c r="P16" s="15" t="n">
        <f aca="false">N16*$E$2*(1+$I$6)/($F$6-$I$6)/(1+$F$6)^$N$3</f>
        <v>10037.2450172519</v>
      </c>
      <c r="Q16" s="15" t="n">
        <f aca="false">O16+P16</f>
        <v>17583.3978232245</v>
      </c>
      <c r="R16" s="15" t="n">
        <f aca="false">Q16-$G$2+$I$2</f>
        <v>12762.8978232245</v>
      </c>
      <c r="S16" s="42" t="n">
        <f aca="false">R16/$K$2</f>
        <v>66.6122015825915</v>
      </c>
      <c r="T16" s="43" t="n">
        <f aca="false">S16-$M$2</f>
        <v>-0.350220129308269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0.0947265625</v>
      </c>
      <c r="C17" s="25" t="n">
        <f aca="false">IF(T16&gt;0,D16,C16)</f>
        <v>0.09765625</v>
      </c>
      <c r="D17" s="41" t="n">
        <f aca="false">(B17+C17)/2</f>
        <v>0.09619140625</v>
      </c>
      <c r="E17" s="15" t="n">
        <f aca="false">$C$2*(1+IF(E$3&lt;=$O$2,$D17,$D17-($D17-$I$6)*MIN(E$3-$O$2,$Q$2)/$Q$2))</f>
        <v>5371.337890625</v>
      </c>
      <c r="F17" s="15" t="n">
        <f aca="false">E17*(1+IF(F$3&lt;=$O$2,$D17,$D17-($D17-$I$6)*MIN(F$3-$O$2,$Q$2)/$Q$2))</f>
        <v>5888.01443576813</v>
      </c>
      <c r="G17" s="15" t="n">
        <f aca="false">F17*(1+IF(G$3&lt;=$O$2,$D17,$D17-($D17-$I$6)*MIN(G$3-$O$2,$Q$2)/$Q$2))</f>
        <v>6454.39082436496</v>
      </c>
      <c r="H17" s="15" t="n">
        <f aca="false">G17*(1+IF(H$3&lt;=$O$2,$D17,$D17-($D17-$I$6)*MIN(H$3-$O$2,$Q$2)/$Q$2))</f>
        <v>7075.24775424773</v>
      </c>
      <c r="I17" s="15" t="n">
        <f aca="false">H17*(1+IF(I$3&lt;=$O$2,$D17,$D17-($D17-$I$6)*MIN(I$3-$O$2,$Q$2)/$Q$2))</f>
        <v>7755.82578529597</v>
      </c>
      <c r="J17" s="15" t="n">
        <f aca="false">I17*(1+IF(J$3&lt;=$O$2,$D17,$D17-($D17-$I$6)*MIN(J$3-$O$2,$Q$2)/$Q$2))</f>
        <v>8396.55879037485</v>
      </c>
      <c r="K17" s="15" t="n">
        <f aca="false">J17*(1+IF(K$3&lt;=$O$2,$D17,$D17-($D17-$I$6)*MIN(K$3-$O$2,$Q$2)/$Q$2))</f>
        <v>8976.21391450607</v>
      </c>
      <c r="L17" s="15" t="n">
        <f aca="false">K17*(1+IF(L$3&lt;=$O$2,$D17,$D17-($D17-$I$6)*MIN(L$3-$O$2,$Q$2)/$Q$2))</f>
        <v>9474.00388246924</v>
      </c>
      <c r="M17" s="15" t="n">
        <f aca="false">L17*(1+IF(M$3&lt;=$O$2,$D17,$D17-($D17-$I$6)*MIN(M$3-$O$2,$Q$2)/$Q$2))</f>
        <v>9870.75888162288</v>
      </c>
      <c r="N17" s="15" t="n">
        <f aca="false">M17*(1+IF(N$3&lt;=$O$2,$D17,$D17-($D17-$I$6)*MIN(N$3-$O$2,$Q$2)/$Q$2))</f>
        <v>10150.1013579728</v>
      </c>
      <c r="O17" s="15" t="n">
        <f aca="false">SUMPRODUCT(E17:N17,1/(1+$F$6)^$E$3:$N$3)*$E$2</f>
        <v>7594.03072211188</v>
      </c>
      <c r="P17" s="15" t="n">
        <f aca="false">N17*$E$2*(1+$I$6)/($F$6-$I$6)/(1+$F$6)^$N$3</f>
        <v>10132.3241071139</v>
      </c>
      <c r="Q17" s="15" t="n">
        <f aca="false">O17+P17</f>
        <v>17726.3548292258</v>
      </c>
      <c r="R17" s="15" t="n">
        <f aca="false">Q17-$G$2+$I$2</f>
        <v>12905.8548292258</v>
      </c>
      <c r="S17" s="42" t="n">
        <f aca="false">R17/$K$2</f>
        <v>67.3583237433497</v>
      </c>
      <c r="T17" s="43" t="n">
        <f aca="false">S17-$M$2</f>
        <v>0.395902031449893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0.0947265625</v>
      </c>
      <c r="C18" s="25" t="n">
        <f aca="false">IF(T17&gt;0,D17,C17)</f>
        <v>0.09619140625</v>
      </c>
      <c r="D18" s="41" t="n">
        <f aca="false">(B18+C18)/2</f>
        <v>0.095458984375</v>
      </c>
      <c r="E18" s="15" t="n">
        <f aca="false">$C$2*(1+IF(E$3&lt;=$O$2,$D18,$D18-($D18-$I$6)*MIN(E$3-$O$2,$Q$2)/$Q$2))</f>
        <v>5367.7490234375</v>
      </c>
      <c r="F18" s="15" t="n">
        <f aca="false">E18*(1+IF(F$3&lt;=$O$2,$D18,$D18-($D18-$I$6)*MIN(F$3-$O$2,$Q$2)/$Q$2))</f>
        <v>5880.14889359474</v>
      </c>
      <c r="G18" s="15" t="n">
        <f aca="false">F18*(1+IF(G$3&lt;=$O$2,$D18,$D18-($D18-$I$6)*MIN(G$3-$O$2,$Q$2)/$Q$2))</f>
        <v>6441.46193495108</v>
      </c>
      <c r="H18" s="15" t="n">
        <f aca="false">G18*(1+IF(H$3&lt;=$O$2,$D18,$D18-($D18-$I$6)*MIN(H$3-$O$2,$Q$2)/$Q$2))</f>
        <v>7056.35734915173</v>
      </c>
      <c r="I18" s="15" t="n">
        <f aca="false">H18*(1+IF(I$3&lt;=$O$2,$D18,$D18-($D18-$I$6)*MIN(I$3-$O$2,$Q$2)/$Q$2))</f>
        <v>7729.95005508882</v>
      </c>
      <c r="J18" s="15" t="n">
        <f aca="false">I18*(1+IF(J$3&lt;=$O$2,$D18,$D18-($D18-$I$6)*MIN(J$3-$O$2,$Q$2)/$Q$2))</f>
        <v>8364.01611762323</v>
      </c>
      <c r="K18" s="15" t="n">
        <f aca="false">J18*(1+IF(K$3&lt;=$O$2,$D18,$D18-($D18-$I$6)*MIN(K$3-$O$2,$Q$2)/$Q$2))</f>
        <v>8937.74907040539</v>
      </c>
      <c r="L18" s="15" t="n">
        <f aca="false">K18*(1+IF(L$3&lt;=$O$2,$D18,$D18-($D18-$I$6)*MIN(L$3-$O$2,$Q$2)/$Q$2))</f>
        <v>9430.78742916467</v>
      </c>
      <c r="M18" s="15" t="n">
        <f aca="false">L18*(1+IF(M$3&lt;=$O$2,$D18,$D18-($D18-$I$6)*MIN(M$3-$O$2,$Q$2)/$Q$2))</f>
        <v>9824.35113452987</v>
      </c>
      <c r="N18" s="15" t="n">
        <f aca="false">M18*(1+IF(N$3&lt;=$O$2,$D18,$D18-($D18-$I$6)*MIN(N$3-$O$2,$Q$2)/$Q$2))</f>
        <v>10102.3802716371</v>
      </c>
      <c r="O18" s="15" t="n">
        <f aca="false">SUMPRODUCT(E18:N18,1/(1+$F$6)^$E$3:$N$3)*$E$2</f>
        <v>7570.0540282074</v>
      </c>
      <c r="P18" s="15" t="n">
        <f aca="false">N18*$E$2*(1+$I$6)/($F$6-$I$6)/(1+$F$6)^$N$3</f>
        <v>10084.6866011971</v>
      </c>
      <c r="Q18" s="15" t="n">
        <f aca="false">O18+P18</f>
        <v>17654.7406294045</v>
      </c>
      <c r="R18" s="15" t="n">
        <f aca="false">Q18-$G$2+$I$2</f>
        <v>12834.2406294045</v>
      </c>
      <c r="S18" s="42" t="n">
        <f aca="false">R18/$K$2</f>
        <v>66.9845544332174</v>
      </c>
      <c r="T18" s="43" t="n">
        <f aca="false">S18-$M$2</f>
        <v>0.0221327213176039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0.0947265625</v>
      </c>
      <c r="C19" s="25" t="n">
        <f aca="false">IF(T18&gt;0,D18,C18)</f>
        <v>0.095458984375</v>
      </c>
      <c r="D19" s="41" t="n">
        <f aca="false">(B19+C19)/2</f>
        <v>0.0950927734375</v>
      </c>
      <c r="E19" s="15" t="n">
        <f aca="false">$C$2*(1+IF(E$3&lt;=$O$2,$D19,$D19-($D19-$I$6)*MIN(E$3-$O$2,$Q$2)/$Q$2))</f>
        <v>5365.95458984375</v>
      </c>
      <c r="F19" s="15" t="n">
        <f aca="false">E19*(1+IF(F$3&lt;=$O$2,$D19,$D19-($D19-$I$6)*MIN(F$3-$O$2,$Q$2)/$Q$2))</f>
        <v>5876.21809393168</v>
      </c>
      <c r="G19" s="15" t="n">
        <f aca="false">F19*(1+IF(G$3&lt;=$O$2,$D19,$D19-($D19-$I$6)*MIN(G$3-$O$2,$Q$2)/$Q$2))</f>
        <v>6435.00396980726</v>
      </c>
      <c r="H19" s="15" t="n">
        <f aca="false">G19*(1+IF(H$3&lt;=$O$2,$D19,$D19-($D19-$I$6)*MIN(H$3-$O$2,$Q$2)/$Q$2))</f>
        <v>7046.92634437755</v>
      </c>
      <c r="I19" s="15" t="n">
        <f aca="false">H19*(1+IF(I$3&lt;=$O$2,$D19,$D19-($D19-$I$6)*MIN(I$3-$O$2,$Q$2)/$Q$2))</f>
        <v>7717.0381146742</v>
      </c>
      <c r="J19" s="15" t="n">
        <f aca="false">I19*(1+IF(J$3&lt;=$O$2,$D19,$D19-($D19-$I$6)*MIN(J$3-$O$2,$Q$2)/$Q$2))</f>
        <v>8347.78419604107</v>
      </c>
      <c r="K19" s="15" t="n">
        <f aca="false">J19*(1+IF(K$3&lt;=$O$2,$D19,$D19-($D19-$I$6)*MIN(K$3-$O$2,$Q$2)/$Q$2))</f>
        <v>8918.56948389582</v>
      </c>
      <c r="L19" s="15" t="n">
        <f aca="false">K19*(1+IF(L$3&lt;=$O$2,$D19,$D19-($D19-$I$6)*MIN(L$3-$O$2,$Q$2)/$Q$2))</f>
        <v>9409.24339665985</v>
      </c>
      <c r="M19" s="15" t="n">
        <f aca="false">L19*(1+IF(M$3&lt;=$O$2,$D19,$D19-($D19-$I$6)*MIN(M$3-$O$2,$Q$2)/$Q$2))</f>
        <v>9801.2188772676</v>
      </c>
      <c r="N19" s="15" t="n">
        <f aca="false">M19*(1+IF(N$3&lt;=$O$2,$D19,$D19-($D19-$I$6)*MIN(N$3-$O$2,$Q$2)/$Q$2))</f>
        <v>10078.5933714943</v>
      </c>
      <c r="O19" s="15" t="n">
        <f aca="false">SUMPRODUCT(E19:N19,1/(1+$F$6)^$E$3:$N$3)*$E$2</f>
        <v>7558.09399692513</v>
      </c>
      <c r="P19" s="15" t="n">
        <f aca="false">N19*$E$2*(1+$I$6)/($F$6-$I$6)/(1+$F$6)^$N$3</f>
        <v>10060.9413622827</v>
      </c>
      <c r="Q19" s="15" t="n">
        <f aca="false">O19+P19</f>
        <v>17619.0353592078</v>
      </c>
      <c r="R19" s="15" t="n">
        <f aca="false">Q19-$G$2+$I$2</f>
        <v>12798.5353592078</v>
      </c>
      <c r="S19" s="42" t="n">
        <f aca="false">R19/$K$2</f>
        <v>66.7982012484749</v>
      </c>
      <c r="T19" s="43" t="n">
        <f aca="false">S19-$M$2</f>
        <v>-0.164220463424869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0.0950927734375</v>
      </c>
      <c r="C20" s="25" t="n">
        <f aca="false">IF(T19&gt;0,D19,C19)</f>
        <v>0.095458984375</v>
      </c>
      <c r="D20" s="41" t="n">
        <f aca="false">(B20+C20)/2</f>
        <v>0.09527587890625</v>
      </c>
      <c r="E20" s="15" t="n">
        <f aca="false">$C$2*(1+IF(E$3&lt;=$O$2,$D20,$D20-($D20-$I$6)*MIN(E$3-$O$2,$Q$2)/$Q$2))</f>
        <v>5366.85180664063</v>
      </c>
      <c r="F20" s="15" t="n">
        <f aca="false">E20*(1+IF(F$3&lt;=$O$2,$D20,$D20-($D20-$I$6)*MIN(F$3-$O$2,$Q$2)/$Q$2))</f>
        <v>5878.18332947791</v>
      </c>
      <c r="G20" s="15" t="n">
        <f aca="false">F20*(1+IF(G$3&lt;=$O$2,$D20,$D20-($D20-$I$6)*MIN(G$3-$O$2,$Q$2)/$Q$2))</f>
        <v>6438.23241256598</v>
      </c>
      <c r="H20" s="15" t="n">
        <f aca="false">G20*(1+IF(H$3&lt;=$O$2,$D20,$D20-($D20-$I$6)*MIN(H$3-$O$2,$Q$2)/$Q$2))</f>
        <v>7051.64066427591</v>
      </c>
      <c r="I20" s="15" t="n">
        <f aca="false">H20*(1+IF(I$3&lt;=$O$2,$D20,$D20-($D20-$I$6)*MIN(I$3-$O$2,$Q$2)/$Q$2))</f>
        <v>7723.49192629585</v>
      </c>
      <c r="J20" s="15" t="n">
        <f aca="false">I20*(1+IF(J$3&lt;=$O$2,$D20,$D20-($D20-$I$6)*MIN(J$3-$O$2,$Q$2)/$Q$2))</f>
        <v>8355.89687580122</v>
      </c>
      <c r="K20" s="15" t="n">
        <f aca="false">J20*(1+IF(K$3&lt;=$O$2,$D20,$D20-($D20-$I$6)*MIN(K$3-$O$2,$Q$2)/$Q$2))</f>
        <v>8928.15487977045</v>
      </c>
      <c r="L20" s="15" t="n">
        <f aca="false">K20*(1+IF(L$3&lt;=$O$2,$D20,$D20-($D20-$I$6)*MIN(L$3-$O$2,$Q$2)/$Q$2))</f>
        <v>9420.01007090146</v>
      </c>
      <c r="M20" s="15" t="n">
        <f aca="false">L20*(1+IF(M$3&lt;=$O$2,$D20,$D20-($D20-$I$6)*MIN(M$3-$O$2,$Q$2)/$Q$2))</f>
        <v>9812.77904666884</v>
      </c>
      <c r="N20" s="15" t="n">
        <f aca="false">M20*(1+IF(N$3&lt;=$O$2,$D20,$D20-($D20-$I$6)*MIN(N$3-$O$2,$Q$2)/$Q$2))</f>
        <v>10090.4806936896</v>
      </c>
      <c r="O20" s="15" t="n">
        <f aca="false">SUMPRODUCT(E20:N20,1/(1+$F$6)^$E$3:$N$3)*$E$2</f>
        <v>7564.07165580219</v>
      </c>
      <c r="P20" s="15" t="n">
        <f aca="false">N20*$E$2*(1+$I$6)/($F$6-$I$6)/(1+$F$6)^$N$3</f>
        <v>10072.8078645963</v>
      </c>
      <c r="Q20" s="15" t="n">
        <f aca="false">O20+P20</f>
        <v>17636.8795203985</v>
      </c>
      <c r="R20" s="15" t="n">
        <f aca="false">Q20-$G$2+$I$2</f>
        <v>12816.3795203985</v>
      </c>
      <c r="S20" s="42" t="n">
        <f aca="false">R20/$K$2</f>
        <v>66.891333613771</v>
      </c>
      <c r="T20" s="43" t="n">
        <f aca="false">S20-$M$2</f>
        <v>-0.0710880981288256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0.09527587890625</v>
      </c>
      <c r="C21" s="25" t="n">
        <f aca="false">IF(T20&gt;0,D20,C20)</f>
        <v>0.095458984375</v>
      </c>
      <c r="D21" s="41" t="n">
        <f aca="false">(B21+C21)/2</f>
        <v>0.095367431640625</v>
      </c>
      <c r="E21" s="15" t="n">
        <f aca="false">$C$2*(1+IF(E$3&lt;=$O$2,$D21,$D21-($D21-$I$6)*MIN(E$3-$O$2,$Q$2)/$Q$2))</f>
        <v>5367.30041503906</v>
      </c>
      <c r="F21" s="15" t="n">
        <f aca="false">E21*(1+IF(F$3&lt;=$O$2,$D21,$D21-($D21-$I$6)*MIN(F$3-$O$2,$Q$2)/$Q$2))</f>
        <v>5879.166070465</v>
      </c>
      <c r="G21" s="15" t="n">
        <f aca="false">F21*(1+IF(G$3&lt;=$O$2,$D21,$D21-($D21-$I$6)*MIN(G$3-$O$2,$Q$2)/$Q$2))</f>
        <v>6439.84703879395</v>
      </c>
      <c r="H21" s="15" t="n">
        <f aca="false">G21*(1+IF(H$3&lt;=$O$2,$D21,$D21-($D21-$I$6)*MIN(H$3-$O$2,$Q$2)/$Q$2))</f>
        <v>7053.99871104222</v>
      </c>
      <c r="I21" s="15" t="n">
        <f aca="false">H21*(1+IF(I$3&lt;=$O$2,$D21,$D21-($D21-$I$6)*MIN(I$3-$O$2,$Q$2)/$Q$2))</f>
        <v>7726.72045091059</v>
      </c>
      <c r="J21" s="15" t="n">
        <f aca="false">I21*(1+IF(J$3&lt;=$O$2,$D21,$D21-($D21-$I$6)*MIN(J$3-$O$2,$Q$2)/$Q$2))</f>
        <v>8359.95567618949</v>
      </c>
      <c r="K21" s="15" t="n">
        <f aca="false">J21*(1+IF(K$3&lt;=$O$2,$D21,$D21-($D21-$I$6)*MIN(K$3-$O$2,$Q$2)/$Q$2))</f>
        <v>8932.95087532455</v>
      </c>
      <c r="L21" s="15" t="n">
        <f aca="false">K21*(1+IF(L$3&lt;=$O$2,$D21,$D21-($D21-$I$6)*MIN(L$3-$O$2,$Q$2)/$Q$2))</f>
        <v>9425.39741396819</v>
      </c>
      <c r="M21" s="15" t="n">
        <f aca="false">L21*(1+IF(M$3&lt;=$O$2,$D21,$D21-($D21-$I$6)*MIN(M$3-$O$2,$Q$2)/$Q$2))</f>
        <v>9818.5636001329</v>
      </c>
      <c r="N21" s="15" t="n">
        <f aca="false">M21*(1+IF(N$3&lt;=$O$2,$D21,$D21-($D21-$I$6)*MIN(N$3-$O$2,$Q$2)/$Q$2))</f>
        <v>10096.4289500167</v>
      </c>
      <c r="O21" s="15" t="n">
        <f aca="false">SUMPRODUCT(E21:N21,1/(1+$F$6)^$E$3:$N$3)*$E$2</f>
        <v>7567.0622525983</v>
      </c>
      <c r="P21" s="15" t="n">
        <f aca="false">N21*$E$2*(1+$I$6)/($F$6-$I$6)/(1+$F$6)^$N$3</f>
        <v>10078.7457029344</v>
      </c>
      <c r="Q21" s="15" t="n">
        <f aca="false">O21+P21</f>
        <v>17645.8079555327</v>
      </c>
      <c r="R21" s="15" t="n">
        <f aca="false">Q21-$G$2+$I$2</f>
        <v>12825.3079555327</v>
      </c>
      <c r="S21" s="42" t="n">
        <f aca="false">R21/$K$2</f>
        <v>66.9379329620703</v>
      </c>
      <c r="T21" s="43" t="n">
        <f aca="false">S21-$M$2</f>
        <v>-0.0244887498295299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0.095367431640625</v>
      </c>
      <c r="C22" s="25" t="n">
        <f aca="false">IF(T21&gt;0,D21,C21)</f>
        <v>0.095458984375</v>
      </c>
      <c r="D22" s="41" t="n">
        <f aca="false">(B22+C22)/2</f>
        <v>0.0954132080078125</v>
      </c>
      <c r="E22" s="15" t="n">
        <f aca="false">$C$2*(1+IF(E$3&lt;=$O$2,$D22,$D22-($D22-$I$6)*MIN(E$3-$O$2,$Q$2)/$Q$2))</f>
        <v>5367.52471923828</v>
      </c>
      <c r="F22" s="15" t="n">
        <f aca="false">E22*(1+IF(F$3&lt;=$O$2,$D22,$D22-($D22-$I$6)*MIN(F$3-$O$2,$Q$2)/$Q$2))</f>
        <v>5879.65747176204</v>
      </c>
      <c r="G22" s="15" t="n">
        <f aca="false">F22*(1+IF(G$3&lt;=$O$2,$D22,$D22-($D22-$I$6)*MIN(G$3-$O$2,$Q$2)/$Q$2))</f>
        <v>6440.65445312996</v>
      </c>
      <c r="H22" s="15" t="n">
        <f aca="false">G22*(1+IF(H$3&lt;=$O$2,$D22,$D22-($D22-$I$6)*MIN(H$3-$O$2,$Q$2)/$Q$2))</f>
        <v>7055.17795617289</v>
      </c>
      <c r="I22" s="15" t="n">
        <f aca="false">H22*(1+IF(I$3&lt;=$O$2,$D22,$D22-($D22-$I$6)*MIN(I$3-$O$2,$Q$2)/$Q$2))</f>
        <v>7728.33511803735</v>
      </c>
      <c r="J22" s="15" t="n">
        <f aca="false">I22*(1+IF(J$3&lt;=$O$2,$D22,$D22-($D22-$I$6)*MIN(J$3-$O$2,$Q$2)/$Q$2))</f>
        <v>8361.98569174254</v>
      </c>
      <c r="K22" s="15" t="n">
        <f aca="false">J22*(1+IF(K$3&lt;=$O$2,$D22,$D22-($D22-$I$6)*MIN(K$3-$O$2,$Q$2)/$Q$2))</f>
        <v>8935.34969787182</v>
      </c>
      <c r="L22" s="15" t="n">
        <f aca="false">K22*(1+IF(L$3&lt;=$O$2,$D22,$D22-($D22-$I$6)*MIN(L$3-$O$2,$Q$2)/$Q$2))</f>
        <v>9428.09208747992</v>
      </c>
      <c r="M22" s="15" t="n">
        <f aca="false">L22*(1+IF(M$3&lt;=$O$2,$D22,$D22-($D22-$I$6)*MIN(M$3-$O$2,$Q$2)/$Q$2))</f>
        <v>9821.45699463237</v>
      </c>
      <c r="N22" s="15" t="n">
        <f aca="false">M22*(1+IF(N$3&lt;=$O$2,$D22,$D22-($D22-$I$6)*MIN(N$3-$O$2,$Q$2)/$Q$2))</f>
        <v>10099.4042275805</v>
      </c>
      <c r="O22" s="15" t="n">
        <f aca="false">SUMPRODUCT(E22:N22,1/(1+$F$6)^$E$3:$N$3)*$E$2</f>
        <v>7568.55799302428</v>
      </c>
      <c r="P22" s="15" t="n">
        <f aca="false">N22*$E$2*(1+$I$6)/($F$6-$I$6)/(1+$F$6)^$N$3</f>
        <v>10081.7157694905</v>
      </c>
      <c r="Q22" s="15" t="n">
        <f aca="false">O22+P22</f>
        <v>17650.2737625148</v>
      </c>
      <c r="R22" s="15" t="n">
        <f aca="false">Q22-$G$2+$I$2</f>
        <v>12829.7737625148</v>
      </c>
      <c r="S22" s="42" t="n">
        <f aca="false">R22/$K$2</f>
        <v>66.9612409317058</v>
      </c>
      <c r="T22" s="43" t="n">
        <f aca="false">S22-$M$2</f>
        <v>-0.00118078019403356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0.0954132080078125</v>
      </c>
      <c r="C23" s="25" t="n">
        <f aca="false">IF(T22&gt;0,D22,C22)</f>
        <v>0.095458984375</v>
      </c>
      <c r="D23" s="41" t="n">
        <f aca="false">(B23+C23)/2</f>
        <v>0.0954360961914063</v>
      </c>
      <c r="E23" s="15" t="n">
        <f aca="false">$C$2*(1+IF(E$3&lt;=$O$2,$D23,$D23-($D23-$I$6)*MIN(E$3-$O$2,$Q$2)/$Q$2))</f>
        <v>5367.63687133789</v>
      </c>
      <c r="F23" s="15" t="n">
        <f aca="false">E23*(1+IF(F$3&lt;=$O$2,$D23,$D23-($D23-$I$6)*MIN(F$3-$O$2,$Q$2)/$Q$2))</f>
        <v>5879.90318011143</v>
      </c>
      <c r="G23" s="15" t="n">
        <f aca="false">F23*(1+IF(G$3&lt;=$O$2,$D23,$D23-($D23-$I$6)*MIN(G$3-$O$2,$Q$2)/$Q$2))</f>
        <v>6441.0581856047</v>
      </c>
      <c r="H23" s="15" t="n">
        <f aca="false">G23*(1+IF(H$3&lt;=$O$2,$D23,$D23-($D23-$I$6)*MIN(H$3-$O$2,$Q$2)/$Q$2))</f>
        <v>7055.76763418052</v>
      </c>
      <c r="I23" s="15" t="n">
        <f aca="false">H23*(1+IF(I$3&lt;=$O$2,$D23,$D23-($D23-$I$6)*MIN(I$3-$O$2,$Q$2)/$Q$2))</f>
        <v>7729.14255282038</v>
      </c>
      <c r="J23" s="15" t="n">
        <f aca="false">I23*(1+IF(J$3&lt;=$O$2,$D23,$D23-($D23-$I$6)*MIN(J$3-$O$2,$Q$2)/$Q$2))</f>
        <v>8363.00085338779</v>
      </c>
      <c r="K23" s="15" t="n">
        <f aca="false">J23*(1+IF(K$3&lt;=$O$2,$D23,$D23-($D23-$I$6)*MIN(K$3-$O$2,$Q$2)/$Q$2))</f>
        <v>8936.54931538378</v>
      </c>
      <c r="L23" s="15" t="n">
        <f aca="false">K23*(1+IF(L$3&lt;=$O$2,$D23,$D23-($D23-$I$6)*MIN(L$3-$O$2,$Q$2)/$Q$2))</f>
        <v>9429.43967479188</v>
      </c>
      <c r="M23" s="15" t="n">
        <f aca="false">L23*(1+IF(M$3&lt;=$O$2,$D23,$D23-($D23-$I$6)*MIN(M$3-$O$2,$Q$2)/$Q$2))</f>
        <v>9822.90397139607</v>
      </c>
      <c r="N23" s="15" t="n">
        <f aca="false">M23*(1+IF(N$3&lt;=$O$2,$D23,$D23-($D23-$I$6)*MIN(N$3-$O$2,$Q$2)/$Q$2))</f>
        <v>10100.8921537866</v>
      </c>
      <c r="O23" s="15" t="n">
        <f aca="false">SUMPRODUCT(E23:N23,1/(1+$F$6)^$E$3:$N$3)*$E$2</f>
        <v>7569.30597376783</v>
      </c>
      <c r="P23" s="15" t="n">
        <f aca="false">N23*$E$2*(1+$I$6)/($F$6-$I$6)/(1+$F$6)^$N$3</f>
        <v>10083.2010896894</v>
      </c>
      <c r="Q23" s="15" t="n">
        <f aca="false">O23+P23</f>
        <v>17652.5070634573</v>
      </c>
      <c r="R23" s="15" t="n">
        <f aca="false">Q23-$G$2+$I$2</f>
        <v>12832.0070634573</v>
      </c>
      <c r="S23" s="42" t="n">
        <f aca="false">R23/$K$2</f>
        <v>66.9728969909043</v>
      </c>
      <c r="T23" s="43" t="n">
        <f aca="false">S23-$M$2</f>
        <v>0.0104752790044955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0.0954132080078125</v>
      </c>
      <c r="C24" s="25" t="n">
        <f aca="false">IF(T23&gt;0,D23,C23)</f>
        <v>0.0954360961914063</v>
      </c>
      <c r="D24" s="41" t="n">
        <f aca="false">(B24+C24)/2</f>
        <v>0.0954246520996094</v>
      </c>
      <c r="E24" s="15" t="n">
        <f aca="false">$C$2*(1+IF(E$3&lt;=$O$2,$D24,$D24-($D24-$I$6)*MIN(E$3-$O$2,$Q$2)/$Q$2))</f>
        <v>5367.58079528809</v>
      </c>
      <c r="F24" s="15" t="n">
        <f aca="false">E24*(1+IF(F$3&lt;=$O$2,$D24,$D24-($D24-$I$6)*MIN(F$3-$O$2,$Q$2)/$Q$2))</f>
        <v>5879.780325295</v>
      </c>
      <c r="G24" s="15" t="n">
        <f aca="false">F24*(1+IF(G$3&lt;=$O$2,$D24,$D24-($D24-$I$6)*MIN(G$3-$O$2,$Q$2)/$Q$2))</f>
        <v>6440.8563172584</v>
      </c>
      <c r="H24" s="15" t="n">
        <f aca="false">G24*(1+IF(H$3&lt;=$O$2,$D24,$D24-($D24-$I$6)*MIN(H$3-$O$2,$Q$2)/$Q$2))</f>
        <v>7055.47279055635</v>
      </c>
      <c r="I24" s="15" t="n">
        <f aca="false">H24*(1+IF(I$3&lt;=$O$2,$D24,$D24-($D24-$I$6)*MIN(I$3-$O$2,$Q$2)/$Q$2))</f>
        <v>7728.73882699345</v>
      </c>
      <c r="J24" s="15" t="n">
        <f aca="false">I24*(1+IF(J$3&lt;=$O$2,$D24,$D24-($D24-$I$6)*MIN(J$3-$O$2,$Q$2)/$Q$2))</f>
        <v>8362.49325974191</v>
      </c>
      <c r="K24" s="15" t="n">
        <f aca="false">J24*(1+IF(K$3&lt;=$O$2,$D24,$D24-($D24-$I$6)*MIN(K$3-$O$2,$Q$2)/$Q$2))</f>
        <v>8935.94948943991</v>
      </c>
      <c r="L24" s="15" t="n">
        <f aca="false">K24*(1+IF(L$3&lt;=$O$2,$D24,$D24-($D24-$I$6)*MIN(L$3-$O$2,$Q$2)/$Q$2))</f>
        <v>9428.76586025439</v>
      </c>
      <c r="M24" s="15" t="n">
        <f aca="false">L24*(1+IF(M$3&lt;=$O$2,$D24,$D24-($D24-$I$6)*MIN(M$3-$O$2,$Q$2)/$Q$2))</f>
        <v>9822.18045971924</v>
      </c>
      <c r="N24" s="15" t="n">
        <f aca="false">M24*(1+IF(N$3&lt;=$O$2,$D24,$D24-($D24-$I$6)*MIN(N$3-$O$2,$Q$2)/$Q$2))</f>
        <v>10100.1481667293</v>
      </c>
      <c r="O24" s="15" t="n">
        <f aca="false">SUMPRODUCT(E24:N24,1/(1+$F$6)^$E$3:$N$3)*$E$2</f>
        <v>7568.93197418448</v>
      </c>
      <c r="P24" s="15" t="n">
        <f aca="false">N24*$E$2*(1+$I$6)/($F$6-$I$6)/(1+$F$6)^$N$3</f>
        <v>10082.4584056777</v>
      </c>
      <c r="Q24" s="15" t="n">
        <f aca="false">O24+P24</f>
        <v>17651.3903798622</v>
      </c>
      <c r="R24" s="15" t="n">
        <f aca="false">Q24-$G$2+$I$2</f>
        <v>12830.8903798622</v>
      </c>
      <c r="S24" s="42" t="n">
        <f aca="false">R24/$K$2</f>
        <v>66.9670687884248</v>
      </c>
      <c r="T24" s="43" t="n">
        <f aca="false">S24-$M$2</f>
        <v>0.00464707652501772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0.0954132080078125</v>
      </c>
      <c r="C25" s="25" t="n">
        <f aca="false">IF(T24&gt;0,D24,C24)</f>
        <v>0.0954246520996094</v>
      </c>
      <c r="D25" s="41" t="n">
        <f aca="false">(B25+C25)/2</f>
        <v>0.0954189300537109</v>
      </c>
      <c r="E25" s="15" t="n">
        <f aca="false">$C$2*(1+IF(E$3&lt;=$O$2,$D25,$D25-($D25-$I$6)*MIN(E$3-$O$2,$Q$2)/$Q$2))</f>
        <v>5367.55275726318</v>
      </c>
      <c r="F25" s="15" t="n">
        <f aca="false">E25*(1+IF(F$3&lt;=$O$2,$D25,$D25-($D25-$I$6)*MIN(F$3-$O$2,$Q$2)/$Q$2))</f>
        <v>5879.71889836808</v>
      </c>
      <c r="G25" s="15" t="n">
        <f aca="false">F25*(1+IF(G$3&lt;=$O$2,$D25,$D25-($D25-$I$6)*MIN(G$3-$O$2,$Q$2)/$Q$2))</f>
        <v>6440.75538466695</v>
      </c>
      <c r="H25" s="15" t="n">
        <f aca="false">G25*(1+IF(H$3&lt;=$O$2,$D25,$D25-($D25-$I$6)*MIN(H$3-$O$2,$Q$2)/$Q$2))</f>
        <v>7055.32537220955</v>
      </c>
      <c r="I25" s="15" t="n">
        <f aca="false">H25*(1+IF(I$3&lt;=$O$2,$D25,$D25-($D25-$I$6)*MIN(I$3-$O$2,$Q$2)/$Q$2))</f>
        <v>7728.53697040658</v>
      </c>
      <c r="J25" s="15" t="n">
        <f aca="false">I25*(1+IF(J$3&lt;=$O$2,$D25,$D25-($D25-$I$6)*MIN(J$3-$O$2,$Q$2)/$Q$2))</f>
        <v>8362.23947253648</v>
      </c>
      <c r="K25" s="15" t="n">
        <f aca="false">J25*(1+IF(K$3&lt;=$O$2,$D25,$D25-($D25-$I$6)*MIN(K$3-$O$2,$Q$2)/$Q$2))</f>
        <v>8935.64958935899</v>
      </c>
      <c r="L25" s="15" t="n">
        <f aca="false">K25*(1+IF(L$3&lt;=$O$2,$D25,$D25-($D25-$I$6)*MIN(L$3-$O$2,$Q$2)/$Q$2))</f>
        <v>9428.42896864692</v>
      </c>
      <c r="M25" s="15" t="n">
        <f aca="false">L25*(1+IF(M$3&lt;=$O$2,$D25,$D25-($D25-$I$6)*MIN(M$3-$O$2,$Q$2)/$Q$2))</f>
        <v>9821.81872135222</v>
      </c>
      <c r="N25" s="15" t="n">
        <f aca="false">M25*(1+IF(N$3&lt;=$O$2,$D25,$D25-($D25-$I$6)*MIN(N$3-$O$2,$Q$2)/$Q$2))</f>
        <v>10099.7761911665</v>
      </c>
      <c r="O25" s="15" t="n">
        <f aca="false">SUMPRODUCT(E25:N25,1/(1+$F$6)^$E$3:$N$3)*$E$2</f>
        <v>7568.74498130154</v>
      </c>
      <c r="P25" s="15" t="n">
        <f aca="false">N25*$E$2*(1+$I$6)/($F$6-$I$6)/(1+$F$6)^$N$3</f>
        <v>10082.0870816062</v>
      </c>
      <c r="Q25" s="15" t="n">
        <f aca="false">O25+P25</f>
        <v>17650.8320629078</v>
      </c>
      <c r="R25" s="15" t="n">
        <f aca="false">Q25-$G$2+$I$2</f>
        <v>12830.3320629078</v>
      </c>
      <c r="S25" s="42" t="n">
        <f aca="false">R25/$K$2</f>
        <v>66.9641548168464</v>
      </c>
      <c r="T25" s="43" t="n">
        <f aca="false">S25-$M$2</f>
        <v>0.00173310494655254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0.0954132080078125</v>
      </c>
      <c r="C26" s="25" t="n">
        <f aca="false">IF(T25&gt;0,D25,C25)</f>
        <v>0.0954189300537109</v>
      </c>
      <c r="D26" s="41" t="n">
        <f aca="false">(B26+C26)/2</f>
        <v>0.0954160690307617</v>
      </c>
      <c r="E26" s="15" t="n">
        <f aca="false">$C$2*(1+IF(E$3&lt;=$O$2,$D26,$D26-($D26-$I$6)*MIN(E$3-$O$2,$Q$2)/$Q$2))</f>
        <v>5367.53873825073</v>
      </c>
      <c r="F26" s="15" t="n">
        <f aca="false">E26*(1+IF(F$3&lt;=$O$2,$D26,$D26-($D26-$I$6)*MIN(F$3-$O$2,$Q$2)/$Q$2))</f>
        <v>5879.68818502495</v>
      </c>
      <c r="G26" s="15" t="n">
        <f aca="false">F26*(1+IF(G$3&lt;=$O$2,$D26,$D26-($D26-$I$6)*MIN(G$3-$O$2,$Q$2)/$Q$2))</f>
        <v>6440.70491876665</v>
      </c>
      <c r="H26" s="15" t="n">
        <f aca="false">G26*(1+IF(H$3&lt;=$O$2,$D26,$D26-($D26-$I$6)*MIN(H$3-$O$2,$Q$2)/$Q$2))</f>
        <v>7055.25166390245</v>
      </c>
      <c r="I26" s="15" t="n">
        <f aca="false">H26*(1+IF(I$3&lt;=$O$2,$D26,$D26-($D26-$I$6)*MIN(I$3-$O$2,$Q$2)/$Q$2))</f>
        <v>7728.43604369477</v>
      </c>
      <c r="J26" s="15" t="n">
        <f aca="false">I26*(1+IF(J$3&lt;=$O$2,$D26,$D26-($D26-$I$6)*MIN(J$3-$O$2,$Q$2)/$Q$2))</f>
        <v>8362.11258133808</v>
      </c>
      <c r="K26" s="15" t="n">
        <f aca="false">J26*(1+IF(K$3&lt;=$O$2,$D26,$D26-($D26-$I$6)*MIN(K$3-$O$2,$Q$2)/$Q$2))</f>
        <v>8935.49964254121</v>
      </c>
      <c r="L26" s="15" t="n">
        <f aca="false">K26*(1+IF(L$3&lt;=$O$2,$D26,$D26-($D26-$I$6)*MIN(L$3-$O$2,$Q$2)/$Q$2))</f>
        <v>9428.26052675838</v>
      </c>
      <c r="M26" s="15" t="n">
        <f aca="false">L26*(1+IF(M$3&lt;=$O$2,$D26,$D26-($D26-$I$6)*MIN(M$3-$O$2,$Q$2)/$Q$2))</f>
        <v>9821.63785653642</v>
      </c>
      <c r="N26" s="15" t="n">
        <f aca="false">M26*(1+IF(N$3&lt;=$O$2,$D26,$D26-($D26-$I$6)*MIN(N$3-$O$2,$Q$2)/$Q$2))</f>
        <v>10099.5902078764</v>
      </c>
      <c r="O26" s="15" t="n">
        <f aca="false">SUMPRODUCT(E26:N26,1/(1+$F$6)^$E$3:$N$3)*$E$2</f>
        <v>7568.65148658721</v>
      </c>
      <c r="P26" s="15" t="n">
        <f aca="false">N26*$E$2*(1+$I$6)/($F$6-$I$6)/(1+$F$6)^$N$3</f>
        <v>10081.9014240539</v>
      </c>
      <c r="Q26" s="15" t="n">
        <f aca="false">O26+P26</f>
        <v>17650.5529106411</v>
      </c>
      <c r="R26" s="15" t="n">
        <f aca="false">Q26-$G$2+$I$2</f>
        <v>12830.0529106411</v>
      </c>
      <c r="S26" s="42" t="n">
        <f aca="false">R26/$K$2</f>
        <v>66.9626978634715</v>
      </c>
      <c r="T26" s="43" t="n">
        <f aca="false">S26-$M$2</f>
        <v>0.000276151571682703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0.0954132080078125</v>
      </c>
      <c r="C27" s="25" t="n">
        <f aca="false">IF(T26&gt;0,D26,C26)</f>
        <v>0.0954160690307617</v>
      </c>
      <c r="D27" s="41" t="n">
        <f aca="false">(B27+C27)/2</f>
        <v>0.0954146385192871</v>
      </c>
      <c r="E27" s="15" t="n">
        <f aca="false">$C$2*(1+IF(E$3&lt;=$O$2,$D27,$D27-($D27-$I$6)*MIN(E$3-$O$2,$Q$2)/$Q$2))</f>
        <v>5367.53172874451</v>
      </c>
      <c r="F27" s="15" t="n">
        <f aca="false">E27*(1+IF(F$3&lt;=$O$2,$D27,$D27-($D27-$I$6)*MIN(F$3-$O$2,$Q$2)/$Q$2))</f>
        <v>5879.67282838347</v>
      </c>
      <c r="G27" s="15" t="n">
        <f aca="false">F27*(1+IF(G$3&lt;=$O$2,$D27,$D27-($D27-$I$6)*MIN(G$3-$O$2,$Q$2)/$Q$2))</f>
        <v>6440.67968591535</v>
      </c>
      <c r="H27" s="15" t="n">
        <f aca="false">G27*(1+IF(H$3&lt;=$O$2,$D27,$D27-($D27-$I$6)*MIN(H$3-$O$2,$Q$2)/$Q$2))</f>
        <v>7055.21480996548</v>
      </c>
      <c r="I27" s="15" t="n">
        <f aca="false">H27*(1+IF(I$3&lt;=$O$2,$D27,$D27-($D27-$I$6)*MIN(I$3-$O$2,$Q$2)/$Q$2))</f>
        <v>7728.38558073426</v>
      </c>
      <c r="J27" s="15" t="n">
        <f aca="false">I27*(1+IF(J$3&lt;=$O$2,$D27,$D27-($D27-$I$6)*MIN(J$3-$O$2,$Q$2)/$Q$2))</f>
        <v>8362.04913633996</v>
      </c>
      <c r="K27" s="15" t="n">
        <f aca="false">J27*(1+IF(K$3&lt;=$O$2,$D27,$D27-($D27-$I$6)*MIN(K$3-$O$2,$Q$2)/$Q$2))</f>
        <v>8935.42466993796</v>
      </c>
      <c r="L27" s="15" t="n">
        <f aca="false">K27*(1+IF(L$3&lt;=$O$2,$D27,$D27-($D27-$I$6)*MIN(L$3-$O$2,$Q$2)/$Q$2))</f>
        <v>9428.17630679289</v>
      </c>
      <c r="M27" s="15" t="n">
        <f aca="false">L27*(1+IF(M$3&lt;=$O$2,$D27,$D27-($D27-$I$6)*MIN(M$3-$O$2,$Q$2)/$Q$2))</f>
        <v>9821.54742522043</v>
      </c>
      <c r="N27" s="15" t="n">
        <f aca="false">M27*(1+IF(N$3&lt;=$O$2,$D27,$D27-($D27-$I$6)*MIN(N$3-$O$2,$Q$2)/$Q$2))</f>
        <v>10099.4972173542</v>
      </c>
      <c r="O27" s="15" t="n">
        <f aca="false">SUMPRODUCT(E27:N27,1/(1+$F$6)^$E$3:$N$3)*$E$2</f>
        <v>7568.60473966182</v>
      </c>
      <c r="P27" s="15" t="n">
        <f aca="false">N27*$E$2*(1+$I$6)/($F$6-$I$6)/(1+$F$6)^$N$3</f>
        <v>10081.8085963986</v>
      </c>
      <c r="Q27" s="15" t="n">
        <f aca="false">O27+P27</f>
        <v>17650.4133360604</v>
      </c>
      <c r="R27" s="15" t="n">
        <f aca="false">Q27-$G$2+$I$2</f>
        <v>12829.9133360604</v>
      </c>
      <c r="S27" s="42" t="n">
        <f aca="false">R27/$K$2</f>
        <v>66.9619693948875</v>
      </c>
      <c r="T27" s="43" t="n">
        <f aca="false">S27-$M$2</f>
        <v>-0.000452317012303638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0.0954146385192871</v>
      </c>
      <c r="C28" s="25" t="n">
        <f aca="false">IF(T27&gt;0,D27,C27)</f>
        <v>0.0954160690307617</v>
      </c>
      <c r="D28" s="41" t="n">
        <f aca="false">(B28+C28)/2</f>
        <v>0.0954153537750244</v>
      </c>
      <c r="E28" s="15" t="n">
        <f aca="false">$C$2*(1+IF(E$3&lt;=$O$2,$D28,$D28-($D28-$I$6)*MIN(E$3-$O$2,$Q$2)/$Q$2))</f>
        <v>5367.53523349762</v>
      </c>
      <c r="F28" s="15" t="n">
        <f aca="false">E28*(1+IF(F$3&lt;=$O$2,$D28,$D28-($D28-$I$6)*MIN(F$3-$O$2,$Q$2)/$Q$2))</f>
        <v>5879.6805067017</v>
      </c>
      <c r="G28" s="15" t="n">
        <f aca="false">F28*(1+IF(G$3&lt;=$O$2,$D28,$D28-($D28-$I$6)*MIN(G$3-$O$2,$Q$2)/$Q$2))</f>
        <v>6440.69230233276</v>
      </c>
      <c r="H28" s="15" t="n">
        <f aca="false">G28*(1+IF(H$3&lt;=$O$2,$D28,$D28-($D28-$I$6)*MIN(H$3-$O$2,$Q$2)/$Q$2))</f>
        <v>7055.23323691592</v>
      </c>
      <c r="I28" s="15" t="n">
        <f aca="false">H28*(1+IF(I$3&lt;=$O$2,$D28,$D28-($D28-$I$6)*MIN(I$3-$O$2,$Q$2)/$Q$2))</f>
        <v>7728.41081218156</v>
      </c>
      <c r="J28" s="15" t="n">
        <f aca="false">I28*(1+IF(J$3&lt;=$O$2,$D28,$D28-($D28-$I$6)*MIN(J$3-$O$2,$Q$2)/$Q$2))</f>
        <v>8362.08085878893</v>
      </c>
      <c r="K28" s="15" t="n">
        <f aca="false">J28*(1+IF(K$3&lt;=$O$2,$D28,$D28-($D28-$I$6)*MIN(K$3-$O$2,$Q$2)/$Q$2))</f>
        <v>8935.46215617244</v>
      </c>
      <c r="L28" s="15" t="n">
        <f aca="false">K28*(1+IF(L$3&lt;=$O$2,$D28,$D28-($D28-$I$6)*MIN(L$3-$O$2,$Q$2)/$Q$2))</f>
        <v>9428.21841669407</v>
      </c>
      <c r="M28" s="15" t="n">
        <f aca="false">L28*(1+IF(M$3&lt;=$O$2,$D28,$D28-($D28-$I$6)*MIN(M$3-$O$2,$Q$2)/$Q$2))</f>
        <v>9821.59264078743</v>
      </c>
      <c r="N28" s="15" t="n">
        <f aca="false">M28*(1+IF(N$3&lt;=$O$2,$D28,$D28-($D28-$I$6)*MIN(N$3-$O$2,$Q$2)/$Q$2))</f>
        <v>10099.5437125217</v>
      </c>
      <c r="O28" s="15" t="n">
        <f aca="false">SUMPRODUCT(E28:N28,1/(1+$F$6)^$E$3:$N$3)*$E$2</f>
        <v>7568.62811308853</v>
      </c>
      <c r="P28" s="15" t="n">
        <f aca="false">N28*$E$2*(1+$I$6)/($F$6-$I$6)/(1+$F$6)^$N$3</f>
        <v>10081.8550101329</v>
      </c>
      <c r="Q28" s="15" t="n">
        <f aca="false">O28+P28</f>
        <v>17650.4831232214</v>
      </c>
      <c r="R28" s="15" t="n">
        <f aca="false">Q28-$G$2+$I$2</f>
        <v>12829.9831232214</v>
      </c>
      <c r="S28" s="42" t="n">
        <f aca="false">R28/$K$2</f>
        <v>66.9623336285042</v>
      </c>
      <c r="T28" s="43" t="n">
        <f aca="false">S28-$M$2</f>
        <v>-8.80833956102833E-005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0.0954153537750244</v>
      </c>
      <c r="C29" s="25" t="n">
        <f aca="false">IF(T28&gt;0,D28,C28)</f>
        <v>0.0954160690307617</v>
      </c>
      <c r="D29" s="41" t="n">
        <f aca="false">(B29+C29)/2</f>
        <v>0.0954157114028931</v>
      </c>
      <c r="E29" s="15" t="n">
        <f aca="false">$C$2*(1+IF(E$3&lt;=$O$2,$D29,$D29-($D29-$I$6)*MIN(E$3-$O$2,$Q$2)/$Q$2))</f>
        <v>5367.53698587418</v>
      </c>
      <c r="F29" s="15" t="n">
        <f aca="false">E29*(1+IF(F$3&lt;=$O$2,$D29,$D29-($D29-$I$6)*MIN(F$3-$O$2,$Q$2)/$Q$2))</f>
        <v>5879.6843458627</v>
      </c>
      <c r="G29" s="15" t="n">
        <f aca="false">F29*(1+IF(G$3&lt;=$O$2,$D29,$D29-($D29-$I$6)*MIN(G$3-$O$2,$Q$2)/$Q$2))</f>
        <v>6440.69861054764</v>
      </c>
      <c r="H29" s="15" t="n">
        <f aca="false">G29*(1+IF(H$3&lt;=$O$2,$D29,$D29-($D29-$I$6)*MIN(H$3-$O$2,$Q$2)/$Q$2))</f>
        <v>7055.24245040467</v>
      </c>
      <c r="I29" s="15" t="n">
        <f aca="false">H29*(1+IF(I$3&lt;=$O$2,$D29,$D29-($D29-$I$6)*MIN(I$3-$O$2,$Q$2)/$Q$2))</f>
        <v>7728.42342792993</v>
      </c>
      <c r="J29" s="15" t="n">
        <f aca="false">I29*(1+IF(J$3&lt;=$O$2,$D29,$D29-($D29-$I$6)*MIN(J$3-$O$2,$Q$2)/$Q$2))</f>
        <v>8362.09672005098</v>
      </c>
      <c r="K29" s="15" t="n">
        <f aca="false">J29*(1+IF(K$3&lt;=$O$2,$D29,$D29-($D29-$I$6)*MIN(K$3-$O$2,$Q$2)/$Q$2))</f>
        <v>8935.48089934004</v>
      </c>
      <c r="L29" s="15" t="n">
        <f aca="false">K29*(1+IF(L$3&lt;=$O$2,$D29,$D29-($D29-$I$6)*MIN(L$3-$O$2,$Q$2)/$Q$2))</f>
        <v>9428.23947170583</v>
      </c>
      <c r="M29" s="15" t="n">
        <f aca="false">L29*(1+IF(M$3&lt;=$O$2,$D29,$D29-($D29-$I$6)*MIN(M$3-$O$2,$Q$2)/$Q$2))</f>
        <v>9821.61524863918</v>
      </c>
      <c r="N29" s="15" t="n">
        <f aca="false">M29*(1+IF(N$3&lt;=$O$2,$D29,$D29-($D29-$I$6)*MIN(N$3-$O$2,$Q$2)/$Q$2))</f>
        <v>10099.5669601757</v>
      </c>
      <c r="O29" s="15" t="n">
        <f aca="false">SUMPRODUCT(E29:N29,1/(1+$F$6)^$E$3:$N$3)*$E$2</f>
        <v>7568.63979982887</v>
      </c>
      <c r="P29" s="15" t="n">
        <f aca="false">N29*$E$2*(1+$I$6)/($F$6-$I$6)/(1+$F$6)^$N$3</f>
        <v>10081.8782170701</v>
      </c>
      <c r="Q29" s="15" t="n">
        <f aca="false">O29+P29</f>
        <v>17650.5180168989</v>
      </c>
      <c r="R29" s="15" t="n">
        <f aca="false">Q29-$G$2+$I$2</f>
        <v>12830.0180168989</v>
      </c>
      <c r="S29" s="42" t="n">
        <f aca="false">R29/$K$2</f>
        <v>66.962515745819</v>
      </c>
      <c r="T29" s="43" t="n">
        <f aca="false">S29-$M$2</f>
        <v>9.4033919211256E-005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0.0954153537750244</v>
      </c>
      <c r="C30" s="25" t="n">
        <f aca="false">IF(T29&gt;0,D29,C29)</f>
        <v>0.0954157114028931</v>
      </c>
      <c r="D30" s="41" t="n">
        <f aca="false">(B30+C30)/2</f>
        <v>0.0954155325889587</v>
      </c>
      <c r="E30" s="15" t="n">
        <f aca="false">$C$2*(1+IF(E$3&lt;=$O$2,$D30,$D30-($D30-$I$6)*MIN(E$3-$O$2,$Q$2)/$Q$2))</f>
        <v>5367.5361096859</v>
      </c>
      <c r="F30" s="15" t="n">
        <f aca="false">E30*(1+IF(F$3&lt;=$O$2,$D30,$D30-($D30-$I$6)*MIN(F$3-$O$2,$Q$2)/$Q$2))</f>
        <v>5879.68242628205</v>
      </c>
      <c r="G30" s="15" t="n">
        <f aca="false">F30*(1+IF(G$3&lt;=$O$2,$D30,$D30-($D30-$I$6)*MIN(G$3-$O$2,$Q$2)/$Q$2))</f>
        <v>6440.69545643969</v>
      </c>
      <c r="H30" s="15" t="n">
        <f aca="false">G30*(1+IF(H$3&lt;=$O$2,$D30,$D30-($D30-$I$6)*MIN(H$3-$O$2,$Q$2)/$Q$2))</f>
        <v>7055.23784365917</v>
      </c>
      <c r="I30" s="15" t="n">
        <f aca="false">H30*(1+IF(I$3&lt;=$O$2,$D30,$D30-($D30-$I$6)*MIN(I$3-$O$2,$Q$2)/$Q$2))</f>
        <v>7728.41712005368</v>
      </c>
      <c r="J30" s="15" t="n">
        <f aca="false">I30*(1+IF(J$3&lt;=$O$2,$D30,$D30-($D30-$I$6)*MIN(J$3-$O$2,$Q$2)/$Q$2))</f>
        <v>8362.08878941683</v>
      </c>
      <c r="K30" s="15" t="n">
        <f aca="false">J30*(1+IF(K$3&lt;=$O$2,$D30,$D30-($D30-$I$6)*MIN(K$3-$O$2,$Q$2)/$Q$2))</f>
        <v>8935.47152775205</v>
      </c>
      <c r="L30" s="15" t="n">
        <f aca="false">K30*(1+IF(L$3&lt;=$O$2,$D30,$D30-($D30-$I$6)*MIN(L$3-$O$2,$Q$2)/$Q$2))</f>
        <v>9428.22894419485</v>
      </c>
      <c r="M30" s="15" t="n">
        <f aca="false">L30*(1+IF(M$3&lt;=$O$2,$D30,$D30-($D30-$I$6)*MIN(M$3-$O$2,$Q$2)/$Q$2))</f>
        <v>9821.60394470762</v>
      </c>
      <c r="N30" s="15" t="n">
        <f aca="false">M30*(1+IF(N$3&lt;=$O$2,$D30,$D30-($D30-$I$6)*MIN(N$3-$O$2,$Q$2)/$Q$2))</f>
        <v>10099.5553363428</v>
      </c>
      <c r="O30" s="15" t="n">
        <f aca="false">SUMPRODUCT(E30:N30,1/(1+$F$6)^$E$3:$N$3)*$E$2</f>
        <v>7568.63395645645</v>
      </c>
      <c r="P30" s="15" t="n">
        <f aca="false">N30*$E$2*(1+$I$6)/($F$6-$I$6)/(1+$F$6)^$N$3</f>
        <v>10081.8666135956</v>
      </c>
      <c r="Q30" s="15" t="n">
        <f aca="false">O30+P30</f>
        <v>17650.5005700521</v>
      </c>
      <c r="R30" s="15" t="n">
        <f aca="false">Q30-$G$2+$I$2</f>
        <v>12830.0005700521</v>
      </c>
      <c r="S30" s="42" t="n">
        <f aca="false">R30/$K$2</f>
        <v>66.9624246871194</v>
      </c>
      <c r="T30" s="43" t="n">
        <f aca="false">S30-$M$2</f>
        <v>2.97521961556413E-006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0.0954153537750244</v>
      </c>
      <c r="C31" s="25" t="n">
        <f aca="false">IF(T30&gt;0,D30,C30)</f>
        <v>0.0954155325889587</v>
      </c>
      <c r="D31" s="41" t="n">
        <f aca="false">(B31+C31)/2</f>
        <v>0.0954154431819916</v>
      </c>
      <c r="E31" s="15" t="n">
        <f aca="false">$C$2*(1+IF(E$3&lt;=$O$2,$D31,$D31-($D31-$I$6)*MIN(E$3-$O$2,$Q$2)/$Q$2))</f>
        <v>5367.53567159176</v>
      </c>
      <c r="F31" s="15" t="n">
        <f aca="false">E31*(1+IF(F$3&lt;=$O$2,$D31,$D31-($D31-$I$6)*MIN(F$3-$O$2,$Q$2)/$Q$2))</f>
        <v>5879.68146649184</v>
      </c>
      <c r="G31" s="15" t="n">
        <f aca="false">F31*(1+IF(G$3&lt;=$O$2,$D31,$D31-($D31-$I$6)*MIN(G$3-$O$2,$Q$2)/$Q$2))</f>
        <v>6440.6938793861</v>
      </c>
      <c r="H31" s="15" t="n">
        <f aca="false">G31*(1+IF(H$3&lt;=$O$2,$D31,$D31-($D31-$I$6)*MIN(H$3-$O$2,$Q$2)/$Q$2))</f>
        <v>7055.23554028726</v>
      </c>
      <c r="I31" s="15" t="n">
        <f aca="false">H31*(1+IF(I$3&lt;=$O$2,$D31,$D31-($D31-$I$6)*MIN(I$3-$O$2,$Q$2)/$Q$2))</f>
        <v>7728.41396611711</v>
      </c>
      <c r="J31" s="15" t="n">
        <f aca="false">I31*(1+IF(J$3&lt;=$O$2,$D31,$D31-($D31-$I$6)*MIN(J$3-$O$2,$Q$2)/$Q$2))</f>
        <v>8362.0848241021</v>
      </c>
      <c r="K31" s="15" t="n">
        <f aca="false">J31*(1+IF(K$3&lt;=$O$2,$D31,$D31-($D31-$I$6)*MIN(K$3-$O$2,$Q$2)/$Q$2))</f>
        <v>8935.4668419612</v>
      </c>
      <c r="L31" s="15" t="n">
        <f aca="false">K31*(1+IF(L$3&lt;=$O$2,$D31,$D31-($D31-$I$6)*MIN(L$3-$O$2,$Q$2)/$Q$2))</f>
        <v>9428.22368044319</v>
      </c>
      <c r="M31" s="15" t="n">
        <f aca="false">L31*(1+IF(M$3&lt;=$O$2,$D31,$D31-($D31-$I$6)*MIN(M$3-$O$2,$Q$2)/$Q$2))</f>
        <v>9821.59829274611</v>
      </c>
      <c r="N31" s="15" t="n">
        <f aca="false">M31*(1+IF(N$3&lt;=$O$2,$D31,$D31-($D31-$I$6)*MIN(N$3-$O$2,$Q$2)/$Q$2))</f>
        <v>10099.5495244308</v>
      </c>
      <c r="O31" s="15" t="n">
        <f aca="false">SUMPRODUCT(E31:N31,1/(1+$F$6)^$E$3:$N$3)*$E$2</f>
        <v>7568.63103477193</v>
      </c>
      <c r="P31" s="15" t="n">
        <f aca="false">N31*$E$2*(1+$I$6)/($F$6-$I$6)/(1+$F$6)^$N$3</f>
        <v>10081.8608118628</v>
      </c>
      <c r="Q31" s="15" t="n">
        <f aca="false">O31+P31</f>
        <v>17650.4918466347</v>
      </c>
      <c r="R31" s="15" t="n">
        <f aca="false">Q31-$G$2+$I$2</f>
        <v>12829.9918466347</v>
      </c>
      <c r="S31" s="42" t="n">
        <f aca="false">R31/$K$2</f>
        <v>66.9623791578013</v>
      </c>
      <c r="T31" s="43" t="n">
        <f aca="false">S31-$M$2</f>
        <v>-4.25540985418138E-005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0.0954154431819916</v>
      </c>
      <c r="C32" s="25" t="n">
        <f aca="false">IF(T31&gt;0,D31,C31)</f>
        <v>0.0954155325889587</v>
      </c>
      <c r="D32" s="41" t="n">
        <f aca="false">(B32+C32)/2</f>
        <v>0.0954154878854752</v>
      </c>
      <c r="E32" s="15" t="n">
        <f aca="false">$C$2*(1+IF(E$3&lt;=$O$2,$D32,$D32-($D32-$I$6)*MIN(E$3-$O$2,$Q$2)/$Q$2))</f>
        <v>5367.53589063883</v>
      </c>
      <c r="F32" s="15" t="n">
        <f aca="false">E32*(1+IF(F$3&lt;=$O$2,$D32,$D32-($D32-$I$6)*MIN(F$3-$O$2,$Q$2)/$Q$2))</f>
        <v>5879.68194638693</v>
      </c>
      <c r="G32" s="15" t="n">
        <f aca="false">F32*(1+IF(G$3&lt;=$O$2,$D32,$D32-($D32-$I$6)*MIN(G$3-$O$2,$Q$2)/$Q$2))</f>
        <v>6440.69466791286</v>
      </c>
      <c r="H32" s="15" t="n">
        <f aca="false">G32*(1+IF(H$3&lt;=$O$2,$D32,$D32-($D32-$I$6)*MIN(H$3-$O$2,$Q$2)/$Q$2))</f>
        <v>7055.23669197314</v>
      </c>
      <c r="I32" s="15" t="n">
        <f aca="false">H32*(1+IF(I$3&lt;=$O$2,$D32,$D32-($D32-$I$6)*MIN(I$3-$O$2,$Q$2)/$Q$2))</f>
        <v>7728.41554308527</v>
      </c>
      <c r="J32" s="15" t="n">
        <f aca="false">I32*(1+IF(J$3&lt;=$O$2,$D32,$D32-($D32-$I$6)*MIN(J$3-$O$2,$Q$2)/$Q$2))</f>
        <v>8362.08680675927</v>
      </c>
      <c r="K32" s="15" t="n">
        <f aca="false">J32*(1+IF(K$3&lt;=$O$2,$D32,$D32-($D32-$I$6)*MIN(K$3-$O$2,$Q$2)/$Q$2))</f>
        <v>8935.46918485636</v>
      </c>
      <c r="L32" s="15" t="n">
        <f aca="false">K32*(1+IF(L$3&lt;=$O$2,$D32,$D32-($D32-$I$6)*MIN(L$3-$O$2,$Q$2)/$Q$2))</f>
        <v>9428.2263123187</v>
      </c>
      <c r="M32" s="15" t="n">
        <f aca="false">L32*(1+IF(M$3&lt;=$O$2,$D32,$D32-($D32-$I$6)*MIN(M$3-$O$2,$Q$2)/$Q$2))</f>
        <v>9821.60111872651</v>
      </c>
      <c r="N32" s="15" t="n">
        <f aca="false">M32*(1+IF(N$3&lt;=$O$2,$D32,$D32-($D32-$I$6)*MIN(N$3-$O$2,$Q$2)/$Q$2))</f>
        <v>10099.5524303865</v>
      </c>
      <c r="O32" s="15" t="n">
        <f aca="false">SUMPRODUCT(E32:N32,1/(1+$F$6)^$E$3:$N$3)*$E$2</f>
        <v>7568.63249561405</v>
      </c>
      <c r="P32" s="15" t="n">
        <f aca="false">N32*$E$2*(1+$I$6)/($F$6-$I$6)/(1+$F$6)^$N$3</f>
        <v>10081.8637127288</v>
      </c>
      <c r="Q32" s="15" t="n">
        <f aca="false">O32+P32</f>
        <v>17650.4962083429</v>
      </c>
      <c r="R32" s="15" t="n">
        <f aca="false">Q32-$G$2+$I$2</f>
        <v>12829.9962083429</v>
      </c>
      <c r="S32" s="42" t="n">
        <f aca="false">R32/$K$2</f>
        <v>66.9624019224577</v>
      </c>
      <c r="T32" s="43" t="n">
        <f aca="false">S32-$M$2</f>
        <v>-1.97894421205547E-005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0.0954154878854752</v>
      </c>
      <c r="C33" s="25" t="n">
        <f aca="false">IF(T32&gt;0,D32,C32)</f>
        <v>0.0954155325889587</v>
      </c>
      <c r="D33" s="41" t="n">
        <f aca="false">(B33+C33)/2</f>
        <v>0.095415510237217</v>
      </c>
      <c r="E33" s="15" t="n">
        <f aca="false">$C$2*(1+IF(E$3&lt;=$O$2,$D33,$D33-($D33-$I$6)*MIN(E$3-$O$2,$Q$2)/$Q$2))</f>
        <v>5367.53600016236</v>
      </c>
      <c r="F33" s="15" t="n">
        <f aca="false">E33*(1+IF(F$3&lt;=$O$2,$D33,$D33-($D33-$I$6)*MIN(F$3-$O$2,$Q$2)/$Q$2))</f>
        <v>5879.68218633449</v>
      </c>
      <c r="G33" s="15" t="n">
        <f aca="false">F33*(1+IF(G$3&lt;=$O$2,$D33,$D33-($D33-$I$6)*MIN(G$3-$O$2,$Q$2)/$Q$2))</f>
        <v>6440.69506217627</v>
      </c>
      <c r="H33" s="15" t="n">
        <f aca="false">G33*(1+IF(H$3&lt;=$O$2,$D33,$D33-($D33-$I$6)*MIN(H$3-$O$2,$Q$2)/$Q$2))</f>
        <v>7055.23726781614</v>
      </c>
      <c r="I33" s="15" t="n">
        <f aca="false">H33*(1+IF(I$3&lt;=$O$2,$D33,$D33-($D33-$I$6)*MIN(I$3-$O$2,$Q$2)/$Q$2))</f>
        <v>7728.41633156944</v>
      </c>
      <c r="J33" s="15" t="n">
        <f aca="false">I33*(1+IF(J$3&lt;=$O$2,$D33,$D33-($D33-$I$6)*MIN(J$3-$O$2,$Q$2)/$Q$2))</f>
        <v>8362.087798088</v>
      </c>
      <c r="K33" s="15" t="n">
        <f aca="false">J33*(1+IF(K$3&lt;=$O$2,$D33,$D33-($D33-$I$6)*MIN(K$3-$O$2,$Q$2)/$Q$2))</f>
        <v>8935.47035630414</v>
      </c>
      <c r="L33" s="15" t="n">
        <f aca="false">K33*(1+IF(L$3&lt;=$O$2,$D33,$D33-($D33-$I$6)*MIN(L$3-$O$2,$Q$2)/$Q$2))</f>
        <v>9428.2276282567</v>
      </c>
      <c r="M33" s="15" t="n">
        <f aca="false">L33*(1+IF(M$3&lt;=$O$2,$D33,$D33-($D33-$I$6)*MIN(M$3-$O$2,$Q$2)/$Q$2))</f>
        <v>9821.60253171698</v>
      </c>
      <c r="N33" s="15" t="n">
        <f aca="false">M33*(1+IF(N$3&lt;=$O$2,$D33,$D33-($D33-$I$6)*MIN(N$3-$O$2,$Q$2)/$Q$2))</f>
        <v>10099.5538833646</v>
      </c>
      <c r="O33" s="15" t="n">
        <f aca="false">SUMPRODUCT(E33:N33,1/(1+$F$6)^$E$3:$N$3)*$E$2</f>
        <v>7568.63322603522</v>
      </c>
      <c r="P33" s="15" t="n">
        <f aca="false">N33*$E$2*(1+$I$6)/($F$6-$I$6)/(1+$F$6)^$N$3</f>
        <v>10081.8651631621</v>
      </c>
      <c r="Q33" s="15" t="n">
        <f aca="false">O33+P33</f>
        <v>17650.4983891974</v>
      </c>
      <c r="R33" s="15" t="n">
        <f aca="false">Q33-$G$2+$I$2</f>
        <v>12829.9983891974</v>
      </c>
      <c r="S33" s="42" t="n">
        <f aca="false">R33/$K$2</f>
        <v>66.9624133047879</v>
      </c>
      <c r="T33" s="43" t="n">
        <f aca="false">S33-$M$2</f>
        <v>-8.40711189198373E-006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0.095415510237217</v>
      </c>
      <c r="C34" s="25" t="n">
        <f aca="false">IF(T33&gt;0,D33,C33)</f>
        <v>0.0954155325889587</v>
      </c>
      <c r="D34" s="41" t="n">
        <f aca="false">(B34+C34)/2</f>
        <v>0.0954155214130878</v>
      </c>
      <c r="E34" s="15" t="n">
        <f aca="false">$C$2*(1+IF(E$3&lt;=$O$2,$D34,$D34-($D34-$I$6)*MIN(E$3-$O$2,$Q$2)/$Q$2))</f>
        <v>5367.53605492413</v>
      </c>
      <c r="F34" s="15" t="n">
        <f aca="false">E34*(1+IF(F$3&lt;=$O$2,$D34,$D34-($D34-$I$6)*MIN(F$3-$O$2,$Q$2)/$Q$2))</f>
        <v>5879.68230630827</v>
      </c>
      <c r="G34" s="15" t="n">
        <f aca="false">F34*(1+IF(G$3&lt;=$O$2,$D34,$D34-($D34-$I$6)*MIN(G$3-$O$2,$Q$2)/$Q$2))</f>
        <v>6440.69525930798</v>
      </c>
      <c r="H34" s="15" t="n">
        <f aca="false">G34*(1+IF(H$3&lt;=$O$2,$D34,$D34-($D34-$I$6)*MIN(H$3-$O$2,$Q$2)/$Q$2))</f>
        <v>7055.23755573765</v>
      </c>
      <c r="I34" s="15" t="n">
        <f aca="false">H34*(1+IF(I$3&lt;=$O$2,$D34,$D34-($D34-$I$6)*MIN(I$3-$O$2,$Q$2)/$Q$2))</f>
        <v>7728.41672581156</v>
      </c>
      <c r="J34" s="15" t="n">
        <f aca="false">I34*(1+IF(J$3&lt;=$O$2,$D34,$D34-($D34-$I$6)*MIN(J$3-$O$2,$Q$2)/$Q$2))</f>
        <v>8362.0882937524</v>
      </c>
      <c r="K34" s="15" t="n">
        <f aca="false">J34*(1+IF(K$3&lt;=$O$2,$D34,$D34-($D34-$I$6)*MIN(K$3-$O$2,$Q$2)/$Q$2))</f>
        <v>8935.47094202807</v>
      </c>
      <c r="L34" s="15" t="n">
        <f aca="false">K34*(1+IF(L$3&lt;=$O$2,$D34,$D34-($D34-$I$6)*MIN(L$3-$O$2,$Q$2)/$Q$2))</f>
        <v>9428.22828622575</v>
      </c>
      <c r="M34" s="15" t="n">
        <f aca="false">L34*(1+IF(M$3&lt;=$O$2,$D34,$D34-($D34-$I$6)*MIN(M$3-$O$2,$Q$2)/$Q$2))</f>
        <v>9821.60323821227</v>
      </c>
      <c r="N34" s="15" t="n">
        <f aca="false">M34*(1+IF(N$3&lt;=$O$2,$D34,$D34-($D34-$I$6)*MIN(N$3-$O$2,$Q$2)/$Q$2))</f>
        <v>10099.5546098537</v>
      </c>
      <c r="O34" s="15" t="n">
        <f aca="false">SUMPRODUCT(E34:N34,1/(1+$F$6)^$E$3:$N$3)*$E$2</f>
        <v>7568.63359124582</v>
      </c>
      <c r="P34" s="15" t="n">
        <f aca="false">N34*$E$2*(1+$I$6)/($F$6-$I$6)/(1+$F$6)^$N$3</f>
        <v>10081.8658883789</v>
      </c>
      <c r="Q34" s="15" t="n">
        <f aca="false">O34+P34</f>
        <v>17650.4994796247</v>
      </c>
      <c r="R34" s="15" t="n">
        <f aca="false">Q34-$G$2+$I$2</f>
        <v>12829.9994796247</v>
      </c>
      <c r="S34" s="42" t="n">
        <f aca="false">R34/$K$2</f>
        <v>66.9624189959535</v>
      </c>
      <c r="T34" s="43" t="n">
        <f aca="false">S34-$M$2</f>
        <v>-2.71594633716177E-006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0.0954155214130878</v>
      </c>
      <c r="C35" s="25" t="n">
        <f aca="false">IF(T34&gt;0,D34,C34)</f>
        <v>0.0954155325889587</v>
      </c>
      <c r="D35" s="41" t="n">
        <f aca="false">(B35+C35)/2</f>
        <v>0.0954155270010233</v>
      </c>
      <c r="E35" s="15" t="n">
        <f aca="false">$C$2*(1+IF(E$3&lt;=$O$2,$D35,$D35-($D35-$I$6)*MIN(E$3-$O$2,$Q$2)/$Q$2))</f>
        <v>5367.53608230501</v>
      </c>
      <c r="F35" s="15" t="n">
        <f aca="false">E35*(1+IF(F$3&lt;=$O$2,$D35,$D35-($D35-$I$6)*MIN(F$3-$O$2,$Q$2)/$Q$2))</f>
        <v>5879.68236629516</v>
      </c>
      <c r="G35" s="15" t="n">
        <f aca="false">F35*(1+IF(G$3&lt;=$O$2,$D35,$D35-($D35-$I$6)*MIN(G$3-$O$2,$Q$2)/$Q$2))</f>
        <v>6440.69535787383</v>
      </c>
      <c r="H35" s="15" t="n">
        <f aca="false">G35*(1+IF(H$3&lt;=$O$2,$D35,$D35-($D35-$I$6)*MIN(H$3-$O$2,$Q$2)/$Q$2))</f>
        <v>7055.23769969841</v>
      </c>
      <c r="I35" s="15" t="n">
        <f aca="false">H35*(1+IF(I$3&lt;=$O$2,$D35,$D35-($D35-$I$6)*MIN(I$3-$O$2,$Q$2)/$Q$2))</f>
        <v>7728.41692293262</v>
      </c>
      <c r="J35" s="15" t="n">
        <f aca="false">I35*(1+IF(J$3&lt;=$O$2,$D35,$D35-($D35-$I$6)*MIN(J$3-$O$2,$Q$2)/$Q$2))</f>
        <v>8362.08854158461</v>
      </c>
      <c r="K35" s="15" t="n">
        <f aca="false">J35*(1+IF(K$3&lt;=$O$2,$D35,$D35-($D35-$I$6)*MIN(K$3-$O$2,$Q$2)/$Q$2))</f>
        <v>8935.47123489005</v>
      </c>
      <c r="L35" s="15" t="n">
        <f aca="false">K35*(1+IF(L$3&lt;=$O$2,$D35,$D35-($D35-$I$6)*MIN(L$3-$O$2,$Q$2)/$Q$2))</f>
        <v>9428.22861521029</v>
      </c>
      <c r="M35" s="15" t="n">
        <f aca="false">L35*(1+IF(M$3&lt;=$O$2,$D35,$D35-($D35-$I$6)*MIN(M$3-$O$2,$Q$2)/$Q$2))</f>
        <v>9821.60359145994</v>
      </c>
      <c r="N35" s="15" t="n">
        <f aca="false">M35*(1+IF(N$3&lt;=$O$2,$D35,$D35-($D35-$I$6)*MIN(N$3-$O$2,$Q$2)/$Q$2))</f>
        <v>10099.5549730983</v>
      </c>
      <c r="O35" s="15" t="n">
        <f aca="false">SUMPRODUCT(E35:N35,1/(1+$F$6)^$E$3:$N$3)*$E$2</f>
        <v>7568.63377385113</v>
      </c>
      <c r="P35" s="15" t="n">
        <f aca="false">N35*$E$2*(1+$I$6)/($F$6-$I$6)/(1+$F$6)^$N$3</f>
        <v>10081.8662509872</v>
      </c>
      <c r="Q35" s="15" t="n">
        <f aca="false">O35+P35</f>
        <v>17650.5000248384</v>
      </c>
      <c r="R35" s="15" t="n">
        <f aca="false">Q35-$G$2+$I$2</f>
        <v>12830.0000248384</v>
      </c>
      <c r="S35" s="42" t="n">
        <f aca="false">R35/$K$2</f>
        <v>66.9624218415364</v>
      </c>
      <c r="T35" s="43" t="n">
        <f aca="false">S35-$M$2</f>
        <v>1.29636589463189E-007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0.0954155214130878</v>
      </c>
      <c r="C36" s="25" t="n">
        <f aca="false">IF(T35&gt;0,D35,C35)</f>
        <v>0.0954155270010233</v>
      </c>
      <c r="D36" s="41" t="n">
        <f aca="false">(B36+C36)/2</f>
        <v>0.0954155242070556</v>
      </c>
      <c r="E36" s="15" t="n">
        <f aca="false">$C$2*(1+IF(E$3&lt;=$O$2,$D36,$D36-($D36-$I$6)*MIN(E$3-$O$2,$Q$2)/$Q$2))</f>
        <v>5367.53606861457</v>
      </c>
      <c r="F36" s="15" t="n">
        <f aca="false">E36*(1+IF(F$3&lt;=$O$2,$D36,$D36-($D36-$I$6)*MIN(F$3-$O$2,$Q$2)/$Q$2))</f>
        <v>5879.68233630171</v>
      </c>
      <c r="G36" s="15" t="n">
        <f aca="false">F36*(1+IF(G$3&lt;=$O$2,$D36,$D36-($D36-$I$6)*MIN(G$3-$O$2,$Q$2)/$Q$2))</f>
        <v>6440.6953085909</v>
      </c>
      <c r="H36" s="15" t="n">
        <f aca="false">G36*(1+IF(H$3&lt;=$O$2,$D36,$D36-($D36-$I$6)*MIN(H$3-$O$2,$Q$2)/$Q$2))</f>
        <v>7055.23762771803</v>
      </c>
      <c r="I36" s="15" t="n">
        <f aca="false">H36*(1+IF(I$3&lt;=$O$2,$D36,$D36-($D36-$I$6)*MIN(I$3-$O$2,$Q$2)/$Q$2))</f>
        <v>7728.41682437209</v>
      </c>
      <c r="J36" s="15" t="n">
        <f aca="false">I36*(1+IF(J$3&lt;=$O$2,$D36,$D36-($D36-$I$6)*MIN(J$3-$O$2,$Q$2)/$Q$2))</f>
        <v>8362.08841766851</v>
      </c>
      <c r="K36" s="15" t="n">
        <f aca="false">J36*(1+IF(K$3&lt;=$O$2,$D36,$D36-($D36-$I$6)*MIN(K$3-$O$2,$Q$2)/$Q$2))</f>
        <v>8935.47108845907</v>
      </c>
      <c r="L36" s="15" t="n">
        <f aca="false">K36*(1+IF(L$3&lt;=$O$2,$D36,$D36-($D36-$I$6)*MIN(L$3-$O$2,$Q$2)/$Q$2))</f>
        <v>9428.22845071803</v>
      </c>
      <c r="M36" s="15" t="n">
        <f aca="false">L36*(1+IF(M$3&lt;=$O$2,$D36,$D36-($D36-$I$6)*MIN(M$3-$O$2,$Q$2)/$Q$2))</f>
        <v>9821.60341483611</v>
      </c>
      <c r="N36" s="15" t="n">
        <f aca="false">M36*(1+IF(N$3&lt;=$O$2,$D36,$D36-($D36-$I$6)*MIN(N$3-$O$2,$Q$2)/$Q$2))</f>
        <v>10099.554791476</v>
      </c>
      <c r="O36" s="15" t="n">
        <f aca="false">SUMPRODUCT(E36:N36,1/(1+$F$6)^$E$3:$N$3)*$E$2</f>
        <v>7568.63368254848</v>
      </c>
      <c r="P36" s="15" t="n">
        <f aca="false">N36*$E$2*(1+$I$6)/($F$6-$I$6)/(1+$F$6)^$N$3</f>
        <v>10081.866069683</v>
      </c>
      <c r="Q36" s="15" t="n">
        <f aca="false">O36+P36</f>
        <v>17650.4997522315</v>
      </c>
      <c r="R36" s="15" t="n">
        <f aca="false">Q36-$G$2+$I$2</f>
        <v>12829.9997522315</v>
      </c>
      <c r="S36" s="42" t="n">
        <f aca="false">R36/$K$2</f>
        <v>66.9624204187449</v>
      </c>
      <c r="T36" s="43" t="n">
        <f aca="false">S36-$M$2</f>
        <v>-1.29315488095472E-006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0.0954155242070556</v>
      </c>
      <c r="C37" s="25" t="n">
        <f aca="false">IF(T36&gt;0,D36,C36)</f>
        <v>0.0954155270010233</v>
      </c>
      <c r="D37" s="41" t="n">
        <f aca="false">(B37+C37)/2</f>
        <v>0.0954155256040394</v>
      </c>
      <c r="E37" s="15" t="n">
        <f aca="false">$C$2*(1+IF(E$3&lt;=$O$2,$D37,$D37-($D37-$I$6)*MIN(E$3-$O$2,$Q$2)/$Q$2))</f>
        <v>5367.53607545979</v>
      </c>
      <c r="F37" s="15" t="n">
        <f aca="false">E37*(1+IF(F$3&lt;=$O$2,$D37,$D37-($D37-$I$6)*MIN(F$3-$O$2,$Q$2)/$Q$2))</f>
        <v>5879.68235129843</v>
      </c>
      <c r="G37" s="15" t="n">
        <f aca="false">F37*(1+IF(G$3&lt;=$O$2,$D37,$D37-($D37-$I$6)*MIN(G$3-$O$2,$Q$2)/$Q$2))</f>
        <v>6440.69533323237</v>
      </c>
      <c r="H37" s="15" t="n">
        <f aca="false">G37*(1+IF(H$3&lt;=$O$2,$D37,$D37-($D37-$I$6)*MIN(H$3-$O$2,$Q$2)/$Q$2))</f>
        <v>7055.23766370822</v>
      </c>
      <c r="I37" s="15" t="n">
        <f aca="false">H37*(1+IF(I$3&lt;=$O$2,$D37,$D37-($D37-$I$6)*MIN(I$3-$O$2,$Q$2)/$Q$2))</f>
        <v>7728.41687365235</v>
      </c>
      <c r="J37" s="15" t="n">
        <f aca="false">I37*(1+IF(J$3&lt;=$O$2,$D37,$D37-($D37-$I$6)*MIN(J$3-$O$2,$Q$2)/$Q$2))</f>
        <v>8362.08847962656</v>
      </c>
      <c r="K37" s="15" t="n">
        <f aca="false">J37*(1+IF(K$3&lt;=$O$2,$D37,$D37-($D37-$I$6)*MIN(K$3-$O$2,$Q$2)/$Q$2))</f>
        <v>8935.47116167456</v>
      </c>
      <c r="L37" s="15" t="n">
        <f aca="false">K37*(1+IF(L$3&lt;=$O$2,$D37,$D37-($D37-$I$6)*MIN(L$3-$O$2,$Q$2)/$Q$2))</f>
        <v>9428.22853296416</v>
      </c>
      <c r="M37" s="15" t="n">
        <f aca="false">L37*(1+IF(M$3&lt;=$O$2,$D37,$D37-($D37-$I$6)*MIN(M$3-$O$2,$Q$2)/$Q$2))</f>
        <v>9821.60350314802</v>
      </c>
      <c r="N37" s="15" t="n">
        <f aca="false">M37*(1+IF(N$3&lt;=$O$2,$D37,$D37-($D37-$I$6)*MIN(N$3-$O$2,$Q$2)/$Q$2))</f>
        <v>10099.5548822871</v>
      </c>
      <c r="O37" s="15" t="n">
        <f aca="false">SUMPRODUCT(E37:N37,1/(1+$F$6)^$E$3:$N$3)*$E$2</f>
        <v>7568.63372819981</v>
      </c>
      <c r="P37" s="15" t="n">
        <f aca="false">N37*$E$2*(1+$I$6)/($F$6-$I$6)/(1+$F$6)^$N$3</f>
        <v>10081.8661603351</v>
      </c>
      <c r="Q37" s="15" t="n">
        <f aca="false">O37+P37</f>
        <v>17650.499888535</v>
      </c>
      <c r="R37" s="15" t="n">
        <f aca="false">Q37-$G$2+$I$2</f>
        <v>12829.999888535</v>
      </c>
      <c r="S37" s="42" t="n">
        <f aca="false">R37/$K$2</f>
        <v>66.9624211301407</v>
      </c>
      <c r="T37" s="43" t="n">
        <f aca="false">S37-$M$2</f>
        <v>-5.81759124429482E-007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0.0954155256040394</v>
      </c>
      <c r="C38" s="25" t="n">
        <f aca="false">IF(T37&gt;0,D37,C37)</f>
        <v>0.0954155270010233</v>
      </c>
      <c r="D38" s="41" t="n">
        <f aca="false">(B38+C38)/2</f>
        <v>0.0954155263025314</v>
      </c>
      <c r="E38" s="15" t="n">
        <f aca="false">$C$2*(1+IF(E$3&lt;=$O$2,$D38,$D38-($D38-$I$6)*MIN(E$3-$O$2,$Q$2)/$Q$2))</f>
        <v>5367.5360788824</v>
      </c>
      <c r="F38" s="15" t="n">
        <f aca="false">E38*(1+IF(F$3&lt;=$O$2,$D38,$D38-($D38-$I$6)*MIN(F$3-$O$2,$Q$2)/$Q$2))</f>
        <v>5879.68235879679</v>
      </c>
      <c r="G38" s="15" t="n">
        <f aca="false">F38*(1+IF(G$3&lt;=$O$2,$D38,$D38-($D38-$I$6)*MIN(G$3-$O$2,$Q$2)/$Q$2))</f>
        <v>6440.6953455531</v>
      </c>
      <c r="H38" s="15" t="n">
        <f aca="false">G38*(1+IF(H$3&lt;=$O$2,$D38,$D38-($D38-$I$6)*MIN(H$3-$O$2,$Q$2)/$Q$2))</f>
        <v>7055.23768170331</v>
      </c>
      <c r="I38" s="15" t="n">
        <f aca="false">H38*(1+IF(I$3&lt;=$O$2,$D38,$D38-($D38-$I$6)*MIN(I$3-$O$2,$Q$2)/$Q$2))</f>
        <v>7728.41689829249</v>
      </c>
      <c r="J38" s="15" t="n">
        <f aca="false">I38*(1+IF(J$3&lt;=$O$2,$D38,$D38-($D38-$I$6)*MIN(J$3-$O$2,$Q$2)/$Q$2))</f>
        <v>8362.08851060559</v>
      </c>
      <c r="K38" s="15" t="n">
        <f aca="false">J38*(1+IF(K$3&lt;=$O$2,$D38,$D38-($D38-$I$6)*MIN(K$3-$O$2,$Q$2)/$Q$2))</f>
        <v>8935.47119828231</v>
      </c>
      <c r="L38" s="15" t="n">
        <f aca="false">K38*(1+IF(L$3&lt;=$O$2,$D38,$D38-($D38-$I$6)*MIN(L$3-$O$2,$Q$2)/$Q$2))</f>
        <v>9428.22857408723</v>
      </c>
      <c r="M38" s="15" t="n">
        <f aca="false">L38*(1+IF(M$3&lt;=$O$2,$D38,$D38-($D38-$I$6)*MIN(M$3-$O$2,$Q$2)/$Q$2))</f>
        <v>9821.60354730399</v>
      </c>
      <c r="N38" s="15" t="n">
        <f aca="false">M38*(1+IF(N$3&lt;=$O$2,$D38,$D38-($D38-$I$6)*MIN(N$3-$O$2,$Q$2)/$Q$2))</f>
        <v>10099.5549276927</v>
      </c>
      <c r="O38" s="15" t="n">
        <f aca="false">SUMPRODUCT(E38:N38,1/(1+$F$6)^$E$3:$N$3)*$E$2</f>
        <v>7568.63375102547</v>
      </c>
      <c r="P38" s="15" t="n">
        <f aca="false">N38*$E$2*(1+$I$6)/($F$6-$I$6)/(1+$F$6)^$N$3</f>
        <v>10081.8662056612</v>
      </c>
      <c r="Q38" s="15" t="n">
        <f aca="false">O38+P38</f>
        <v>17650.4999566867</v>
      </c>
      <c r="R38" s="15" t="n">
        <f aca="false">Q38-$G$2+$I$2</f>
        <v>12829.9999566867</v>
      </c>
      <c r="S38" s="42" t="n">
        <f aca="false">R38/$K$2</f>
        <v>66.9624214858385</v>
      </c>
      <c r="T38" s="43" t="n">
        <f aca="false">S38-$M$2</f>
        <v>-2.26061274588574E-007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0.0954155263025314</v>
      </c>
      <c r="C39" s="25" t="n">
        <f aca="false">IF(T38&gt;0,D38,C38)</f>
        <v>0.0954155270010233</v>
      </c>
      <c r="D39" s="41" t="n">
        <f aca="false">(B39+C39)/2</f>
        <v>0.0954155266517773</v>
      </c>
      <c r="E39" s="15" t="n">
        <f aca="false">$C$2*(1+IF(E$3&lt;=$O$2,$D39,$D39-($D39-$I$6)*MIN(E$3-$O$2,$Q$2)/$Q$2))</f>
        <v>5367.53608059371</v>
      </c>
      <c r="F39" s="15" t="n">
        <f aca="false">E39*(1+IF(F$3&lt;=$O$2,$D39,$D39-($D39-$I$6)*MIN(F$3-$O$2,$Q$2)/$Q$2))</f>
        <v>5879.68236254598</v>
      </c>
      <c r="G39" s="15" t="n">
        <f aca="false">F39*(1+IF(G$3&lt;=$O$2,$D39,$D39-($D39-$I$6)*MIN(G$3-$O$2,$Q$2)/$Q$2))</f>
        <v>6440.69535171347</v>
      </c>
      <c r="H39" s="15" t="n">
        <f aca="false">G39*(1+IF(H$3&lt;=$O$2,$D39,$D39-($D39-$I$6)*MIN(H$3-$O$2,$Q$2)/$Q$2))</f>
        <v>7055.23769070086</v>
      </c>
      <c r="I39" s="15" t="n">
        <f aca="false">H39*(1+IF(I$3&lt;=$O$2,$D39,$D39-($D39-$I$6)*MIN(I$3-$O$2,$Q$2)/$Q$2))</f>
        <v>7728.41691061255</v>
      </c>
      <c r="J39" s="15" t="n">
        <f aca="false">I39*(1+IF(J$3&lt;=$O$2,$D39,$D39-($D39-$I$6)*MIN(J$3-$O$2,$Q$2)/$Q$2))</f>
        <v>8362.0885260951</v>
      </c>
      <c r="K39" s="15" t="n">
        <f aca="false">J39*(1+IF(K$3&lt;=$O$2,$D39,$D39-($D39-$I$6)*MIN(K$3-$O$2,$Q$2)/$Q$2))</f>
        <v>8935.47121658618</v>
      </c>
      <c r="L39" s="15" t="n">
        <f aca="false">K39*(1+IF(L$3&lt;=$O$2,$D39,$D39-($D39-$I$6)*MIN(L$3-$O$2,$Q$2)/$Q$2))</f>
        <v>9428.22859464876</v>
      </c>
      <c r="M39" s="15" t="n">
        <f aca="false">L39*(1+IF(M$3&lt;=$O$2,$D39,$D39-($D39-$I$6)*MIN(M$3-$O$2,$Q$2)/$Q$2))</f>
        <v>9821.60356938196</v>
      </c>
      <c r="N39" s="15" t="n">
        <f aca="false">M39*(1+IF(N$3&lt;=$O$2,$D39,$D39-($D39-$I$6)*MIN(N$3-$O$2,$Q$2)/$Q$2))</f>
        <v>10099.5549503955</v>
      </c>
      <c r="O39" s="15" t="n">
        <f aca="false">SUMPRODUCT(E39:N39,1/(1+$F$6)^$E$3:$N$3)*$E$2</f>
        <v>7568.6337624383</v>
      </c>
      <c r="P39" s="15" t="n">
        <f aca="false">N39*$E$2*(1+$I$6)/($F$6-$I$6)/(1+$F$6)^$N$3</f>
        <v>10081.8662283242</v>
      </c>
      <c r="Q39" s="15" t="n">
        <f aca="false">O39+P39</f>
        <v>17650.4999907625</v>
      </c>
      <c r="R39" s="15" t="n">
        <f aca="false">Q39-$G$2+$I$2</f>
        <v>12829.9999907625</v>
      </c>
      <c r="S39" s="42" t="n">
        <f aca="false">R39/$K$2</f>
        <v>66.9624216636875</v>
      </c>
      <c r="T39" s="43" t="n">
        <f aca="false">S39-$M$2</f>
        <v>-4.82123283518376E-008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0.0954155266517773</v>
      </c>
      <c r="C40" s="25" t="n">
        <f aca="false">IF(T39&gt;0,D39,C39)</f>
        <v>0.0954155270010233</v>
      </c>
      <c r="D40" s="41" t="n">
        <f aca="false">(B40+C40)/2</f>
        <v>0.0954155268264003</v>
      </c>
      <c r="E40" s="15" t="n">
        <f aca="false">$C$2*(1+IF(E$3&lt;=$O$2,$D40,$D40-($D40-$I$6)*MIN(E$3-$O$2,$Q$2)/$Q$2))</f>
        <v>5367.53608144936</v>
      </c>
      <c r="F40" s="15" t="n">
        <f aca="false">E40*(1+IF(F$3&lt;=$O$2,$D40,$D40-($D40-$I$6)*MIN(F$3-$O$2,$Q$2)/$Q$2))</f>
        <v>5879.68236442056</v>
      </c>
      <c r="G40" s="15" t="n">
        <f aca="false">F40*(1+IF(G$3&lt;=$O$2,$D40,$D40-($D40-$I$6)*MIN(G$3-$O$2,$Q$2)/$Q$2))</f>
        <v>6440.69535479365</v>
      </c>
      <c r="H40" s="15" t="n">
        <f aca="false">G40*(1+IF(H$3&lt;=$O$2,$D40,$D40-($D40-$I$6)*MIN(H$3-$O$2,$Q$2)/$Q$2))</f>
        <v>7055.23769519963</v>
      </c>
      <c r="I40" s="15" t="n">
        <f aca="false">H40*(1+IF(I$3&lt;=$O$2,$D40,$D40-($D40-$I$6)*MIN(I$3-$O$2,$Q$2)/$Q$2))</f>
        <v>7728.41691677258</v>
      </c>
      <c r="J40" s="15" t="n">
        <f aca="false">I40*(1+IF(J$3&lt;=$O$2,$D40,$D40-($D40-$I$6)*MIN(J$3-$O$2,$Q$2)/$Q$2))</f>
        <v>8362.08853383985</v>
      </c>
      <c r="K40" s="15" t="n">
        <f aca="false">J40*(1+IF(K$3&lt;=$O$2,$D40,$D40-($D40-$I$6)*MIN(K$3-$O$2,$Q$2)/$Q$2))</f>
        <v>8935.47122573812</v>
      </c>
      <c r="L40" s="15" t="n">
        <f aca="false">K40*(1+IF(L$3&lt;=$O$2,$D40,$D40-($D40-$I$6)*MIN(L$3-$O$2,$Q$2)/$Q$2))</f>
        <v>9428.22860492953</v>
      </c>
      <c r="M40" s="15" t="n">
        <f aca="false">L40*(1+IF(M$3&lt;=$O$2,$D40,$D40-($D40-$I$6)*MIN(M$3-$O$2,$Q$2)/$Q$2))</f>
        <v>9821.60358042095</v>
      </c>
      <c r="N40" s="15" t="n">
        <f aca="false">M40*(1+IF(N$3&lt;=$O$2,$D40,$D40-($D40-$I$6)*MIN(N$3-$O$2,$Q$2)/$Q$2))</f>
        <v>10099.5549617469</v>
      </c>
      <c r="O40" s="15" t="n">
        <f aca="false">SUMPRODUCT(E40:N40,1/(1+$F$6)^$E$3:$N$3)*$E$2</f>
        <v>7568.63376814472</v>
      </c>
      <c r="P40" s="15" t="n">
        <f aca="false">N40*$E$2*(1+$I$6)/($F$6-$I$6)/(1+$F$6)^$N$3</f>
        <v>10081.8662396557</v>
      </c>
      <c r="Q40" s="15" t="n">
        <f aca="false">O40+P40</f>
        <v>17650.5000078004</v>
      </c>
      <c r="R40" s="15" t="n">
        <f aca="false">Q40-$G$2+$I$2</f>
        <v>12830.0000078004</v>
      </c>
      <c r="S40" s="42" t="n">
        <f aca="false">R40/$K$2</f>
        <v>66.9624217526119</v>
      </c>
      <c r="T40" s="43" t="n">
        <f aca="false">S40-$M$2</f>
        <v>4.0712137661103E-008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0.0954155266517773</v>
      </c>
      <c r="C41" s="25" t="n">
        <f aca="false">IF(T40&gt;0,D40,C40)</f>
        <v>0.0954155268264003</v>
      </c>
      <c r="D41" s="41" t="n">
        <f aca="false">(B41+C41)/2</f>
        <v>0.0954155267390888</v>
      </c>
      <c r="E41" s="15" t="n">
        <f aca="false">$C$2*(1+IF(E$3&lt;=$O$2,$D41,$D41-($D41-$I$6)*MIN(E$3-$O$2,$Q$2)/$Q$2))</f>
        <v>5367.53608102154</v>
      </c>
      <c r="F41" s="15" t="n">
        <f aca="false">E41*(1+IF(F$3&lt;=$O$2,$D41,$D41-($D41-$I$6)*MIN(F$3-$O$2,$Q$2)/$Q$2))</f>
        <v>5879.68236348327</v>
      </c>
      <c r="G41" s="15" t="n">
        <f aca="false">F41*(1+IF(G$3&lt;=$O$2,$D41,$D41-($D41-$I$6)*MIN(G$3-$O$2,$Q$2)/$Q$2))</f>
        <v>6440.69535325356</v>
      </c>
      <c r="H41" s="15" t="n">
        <f aca="false">G41*(1+IF(H$3&lt;=$O$2,$D41,$D41-($D41-$I$6)*MIN(H$3-$O$2,$Q$2)/$Q$2))</f>
        <v>7055.23769295025</v>
      </c>
      <c r="I41" s="15" t="n">
        <f aca="false">H41*(1+IF(I$3&lt;=$O$2,$D41,$D41-($D41-$I$6)*MIN(I$3-$O$2,$Q$2)/$Q$2))</f>
        <v>7728.41691369257</v>
      </c>
      <c r="J41" s="15" t="n">
        <f aca="false">I41*(1+IF(J$3&lt;=$O$2,$D41,$D41-($D41-$I$6)*MIN(J$3-$O$2,$Q$2)/$Q$2))</f>
        <v>8362.08852996748</v>
      </c>
      <c r="K41" s="15" t="n">
        <f aca="false">J41*(1+IF(K$3&lt;=$O$2,$D41,$D41-($D41-$I$6)*MIN(K$3-$O$2,$Q$2)/$Q$2))</f>
        <v>8935.47122116215</v>
      </c>
      <c r="L41" s="15" t="n">
        <f aca="false">K41*(1+IF(L$3&lt;=$O$2,$D41,$D41-($D41-$I$6)*MIN(L$3-$O$2,$Q$2)/$Q$2))</f>
        <v>9428.22859978915</v>
      </c>
      <c r="M41" s="15" t="n">
        <f aca="false">L41*(1+IF(M$3&lt;=$O$2,$D41,$D41-($D41-$I$6)*MIN(M$3-$O$2,$Q$2)/$Q$2))</f>
        <v>9821.60357490146</v>
      </c>
      <c r="N41" s="15" t="n">
        <f aca="false">M41*(1+IF(N$3&lt;=$O$2,$D41,$D41-($D41-$I$6)*MIN(N$3-$O$2,$Q$2)/$Q$2))</f>
        <v>10099.5549560712</v>
      </c>
      <c r="O41" s="15" t="n">
        <f aca="false">SUMPRODUCT(E41:N41,1/(1+$F$6)^$E$3:$N$3)*$E$2</f>
        <v>7568.63376529151</v>
      </c>
      <c r="P41" s="15" t="n">
        <f aca="false">N41*$E$2*(1+$I$6)/($F$6-$I$6)/(1+$F$6)^$N$3</f>
        <v>10081.86623399</v>
      </c>
      <c r="Q41" s="15" t="n">
        <f aca="false">O41+P41</f>
        <v>17650.4999992815</v>
      </c>
      <c r="R41" s="15" t="n">
        <f aca="false">Q41-$G$2+$I$2</f>
        <v>12829.9999992815</v>
      </c>
      <c r="S41" s="42" t="n">
        <f aca="false">R41/$K$2</f>
        <v>66.9624217081497</v>
      </c>
      <c r="T41" s="43" t="n">
        <f aca="false">S41-$M$2</f>
        <v>-3.75007402908523E-009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0.0954155267390888</v>
      </c>
      <c r="C42" s="25" t="n">
        <f aca="false">IF(T41&gt;0,D41,C41)</f>
        <v>0.0954155268264003</v>
      </c>
      <c r="D42" s="41" t="n">
        <f aca="false">(B42+C42)/2</f>
        <v>0.0954155267827446</v>
      </c>
      <c r="E42" s="15" t="n">
        <f aca="false">$C$2*(1+IF(E$3&lt;=$O$2,$D42,$D42-($D42-$I$6)*MIN(E$3-$O$2,$Q$2)/$Q$2))</f>
        <v>5367.53608123545</v>
      </c>
      <c r="F42" s="15" t="n">
        <f aca="false">E42*(1+IF(F$3&lt;=$O$2,$D42,$D42-($D42-$I$6)*MIN(F$3-$O$2,$Q$2)/$Q$2))</f>
        <v>5879.68236395192</v>
      </c>
      <c r="G42" s="15" t="n">
        <f aca="false">F42*(1+IF(G$3&lt;=$O$2,$D42,$D42-($D42-$I$6)*MIN(G$3-$O$2,$Q$2)/$Q$2))</f>
        <v>6440.6953540236</v>
      </c>
      <c r="H42" s="15" t="n">
        <f aca="false">G42*(1+IF(H$3&lt;=$O$2,$D42,$D42-($D42-$I$6)*MIN(H$3-$O$2,$Q$2)/$Q$2))</f>
        <v>7055.23769407494</v>
      </c>
      <c r="I42" s="15" t="n">
        <f aca="false">H42*(1+IF(I$3&lt;=$O$2,$D42,$D42-($D42-$I$6)*MIN(I$3-$O$2,$Q$2)/$Q$2))</f>
        <v>7728.41691523258</v>
      </c>
      <c r="J42" s="15" t="n">
        <f aca="false">I42*(1+IF(J$3&lt;=$O$2,$D42,$D42-($D42-$I$6)*MIN(J$3-$O$2,$Q$2)/$Q$2))</f>
        <v>8362.08853190366</v>
      </c>
      <c r="K42" s="15" t="n">
        <f aca="false">J42*(1+IF(K$3&lt;=$O$2,$D42,$D42-($D42-$I$6)*MIN(K$3-$O$2,$Q$2)/$Q$2))</f>
        <v>8935.47122345014</v>
      </c>
      <c r="L42" s="15" t="n">
        <f aca="false">K42*(1+IF(L$3&lt;=$O$2,$D42,$D42-($D42-$I$6)*MIN(L$3-$O$2,$Q$2)/$Q$2))</f>
        <v>9428.22860235934</v>
      </c>
      <c r="M42" s="15" t="n">
        <f aca="false">L42*(1+IF(M$3&lt;=$O$2,$D42,$D42-($D42-$I$6)*MIN(M$3-$O$2,$Q$2)/$Q$2))</f>
        <v>9821.6035776612</v>
      </c>
      <c r="N42" s="15" t="n">
        <f aca="false">M42*(1+IF(N$3&lt;=$O$2,$D42,$D42-($D42-$I$6)*MIN(N$3-$O$2,$Q$2)/$Q$2))</f>
        <v>10099.554958909</v>
      </c>
      <c r="O42" s="15" t="n">
        <f aca="false">SUMPRODUCT(E42:N42,1/(1+$F$6)^$E$3:$N$3)*$E$2</f>
        <v>7568.63376671812</v>
      </c>
      <c r="P42" s="15" t="n">
        <f aca="false">N42*$E$2*(1+$I$6)/($F$6-$I$6)/(1+$F$6)^$N$3</f>
        <v>10081.8662368228</v>
      </c>
      <c r="Q42" s="15" t="n">
        <f aca="false">O42+P42</f>
        <v>17650.500003541</v>
      </c>
      <c r="R42" s="15" t="n">
        <f aca="false">Q42-$G$2+$I$2</f>
        <v>12830.000003541</v>
      </c>
      <c r="S42" s="42" t="n">
        <f aca="false">R42/$K$2</f>
        <v>66.9624217303808</v>
      </c>
      <c r="T42" s="43" t="n">
        <f aca="false">S42-$M$2</f>
        <v>1.84810033942995E-008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0.0954155267390888</v>
      </c>
      <c r="C43" s="25" t="n">
        <f aca="false">IF(T42&gt;0,D42,C42)</f>
        <v>0.0954155267827446</v>
      </c>
      <c r="D43" s="41" t="n">
        <f aca="false">(B43+C43)/2</f>
        <v>0.0954155267609167</v>
      </c>
      <c r="E43" s="15" t="n">
        <f aca="false">$C$2*(1+IF(E$3&lt;=$O$2,$D43,$D43-($D43-$I$6)*MIN(E$3-$O$2,$Q$2)/$Q$2))</f>
        <v>5367.53608112849</v>
      </c>
      <c r="F43" s="15" t="n">
        <f aca="false">E43*(1+IF(F$3&lt;=$O$2,$D43,$D43-($D43-$I$6)*MIN(F$3-$O$2,$Q$2)/$Q$2))</f>
        <v>5879.68236371759</v>
      </c>
      <c r="G43" s="15" t="n">
        <f aca="false">F43*(1+IF(G$3&lt;=$O$2,$D43,$D43-($D43-$I$6)*MIN(G$3-$O$2,$Q$2)/$Q$2))</f>
        <v>6440.69535363858</v>
      </c>
      <c r="H43" s="15" t="n">
        <f aca="false">G43*(1+IF(H$3&lt;=$O$2,$D43,$D43-($D43-$I$6)*MIN(H$3-$O$2,$Q$2)/$Q$2))</f>
        <v>7055.23769351259</v>
      </c>
      <c r="I43" s="15" t="n">
        <f aca="false">H43*(1+IF(I$3&lt;=$O$2,$D43,$D43-($D43-$I$6)*MIN(I$3-$O$2,$Q$2)/$Q$2))</f>
        <v>7728.41691446257</v>
      </c>
      <c r="J43" s="15" t="n">
        <f aca="false">I43*(1+IF(J$3&lt;=$O$2,$D43,$D43-($D43-$I$6)*MIN(J$3-$O$2,$Q$2)/$Q$2))</f>
        <v>8362.08853093557</v>
      </c>
      <c r="K43" s="15" t="n">
        <f aca="false">J43*(1+IF(K$3&lt;=$O$2,$D43,$D43-($D43-$I$6)*MIN(K$3-$O$2,$Q$2)/$Q$2))</f>
        <v>8935.47122230614</v>
      </c>
      <c r="L43" s="15" t="n">
        <f aca="false">K43*(1+IF(L$3&lt;=$O$2,$D43,$D43-($D43-$I$6)*MIN(L$3-$O$2,$Q$2)/$Q$2))</f>
        <v>9428.22860107424</v>
      </c>
      <c r="M43" s="15" t="n">
        <f aca="false">L43*(1+IF(M$3&lt;=$O$2,$D43,$D43-($D43-$I$6)*MIN(M$3-$O$2,$Q$2)/$Q$2))</f>
        <v>9821.60357628133</v>
      </c>
      <c r="N43" s="15" t="n">
        <f aca="false">M43*(1+IF(N$3&lt;=$O$2,$D43,$D43-($D43-$I$6)*MIN(N$3-$O$2,$Q$2)/$Q$2))</f>
        <v>10099.5549574901</v>
      </c>
      <c r="O43" s="15" t="n">
        <f aca="false">SUMPRODUCT(E43:N43,1/(1+$F$6)^$E$3:$N$3)*$E$2</f>
        <v>7568.63376600481</v>
      </c>
      <c r="P43" s="15" t="n">
        <f aca="false">N43*$E$2*(1+$I$6)/($F$6-$I$6)/(1+$F$6)^$N$3</f>
        <v>10081.8662354064</v>
      </c>
      <c r="Q43" s="15" t="n">
        <f aca="false">O43+P43</f>
        <v>17650.5000014112</v>
      </c>
      <c r="R43" s="15" t="n">
        <f aca="false">Q43-$G$2+$I$2</f>
        <v>12830.0000014112</v>
      </c>
      <c r="S43" s="42" t="n">
        <f aca="false">R43/$K$2</f>
        <v>66.9624217192653</v>
      </c>
      <c r="T43" s="43" t="n">
        <f aca="false">S43-$M$2</f>
        <v>7.36545757717977E-009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0.0954155267390888</v>
      </c>
      <c r="C44" s="25" t="n">
        <f aca="false">IF(T43&gt;0,D43,C43)</f>
        <v>0.0954155267609167</v>
      </c>
      <c r="D44" s="41" t="n">
        <f aca="false">(B44+C44)/2</f>
        <v>0.0954155267500028</v>
      </c>
      <c r="E44" s="15" t="n">
        <f aca="false">$C$2*(1+IF(E$3&lt;=$O$2,$D44,$D44-($D44-$I$6)*MIN(E$3-$O$2,$Q$2)/$Q$2))</f>
        <v>5367.53608107501</v>
      </c>
      <c r="F44" s="15" t="n">
        <f aca="false">E44*(1+IF(F$3&lt;=$O$2,$D44,$D44-($D44-$I$6)*MIN(F$3-$O$2,$Q$2)/$Q$2))</f>
        <v>5879.68236360043</v>
      </c>
      <c r="G44" s="15" t="n">
        <f aca="false">F44*(1+IF(G$3&lt;=$O$2,$D44,$D44-($D44-$I$6)*MIN(G$3-$O$2,$Q$2)/$Q$2))</f>
        <v>6440.69535344607</v>
      </c>
      <c r="H44" s="15" t="n">
        <f aca="false">G44*(1+IF(H$3&lt;=$O$2,$D44,$D44-($D44-$I$6)*MIN(H$3-$O$2,$Q$2)/$Q$2))</f>
        <v>7055.23769323142</v>
      </c>
      <c r="I44" s="15" t="n">
        <f aca="false">H44*(1+IF(I$3&lt;=$O$2,$D44,$D44-($D44-$I$6)*MIN(I$3-$O$2,$Q$2)/$Q$2))</f>
        <v>7728.41691407757</v>
      </c>
      <c r="J44" s="15" t="n">
        <f aca="false">I44*(1+IF(J$3&lt;=$O$2,$D44,$D44-($D44-$I$6)*MIN(J$3-$O$2,$Q$2)/$Q$2))</f>
        <v>8362.08853045152</v>
      </c>
      <c r="K44" s="15" t="n">
        <f aca="false">J44*(1+IF(K$3&lt;=$O$2,$D44,$D44-($D44-$I$6)*MIN(K$3-$O$2,$Q$2)/$Q$2))</f>
        <v>8935.47122173415</v>
      </c>
      <c r="L44" s="15" t="n">
        <f aca="false">K44*(1+IF(L$3&lt;=$O$2,$D44,$D44-($D44-$I$6)*MIN(L$3-$O$2,$Q$2)/$Q$2))</f>
        <v>9428.2286004317</v>
      </c>
      <c r="M44" s="15" t="n">
        <f aca="false">L44*(1+IF(M$3&lt;=$O$2,$D44,$D44-($D44-$I$6)*MIN(M$3-$O$2,$Q$2)/$Q$2))</f>
        <v>9821.60357559139</v>
      </c>
      <c r="N44" s="15" t="n">
        <f aca="false">M44*(1+IF(N$3&lt;=$O$2,$D44,$D44-($D44-$I$6)*MIN(N$3-$O$2,$Q$2)/$Q$2))</f>
        <v>10099.5549567806</v>
      </c>
      <c r="O44" s="15" t="n">
        <f aca="false">SUMPRODUCT(E44:N44,1/(1+$F$6)^$E$3:$N$3)*$E$2</f>
        <v>7568.63376564816</v>
      </c>
      <c r="P44" s="15" t="n">
        <f aca="false">N44*$E$2*(1+$I$6)/($F$6-$I$6)/(1+$F$6)^$N$3</f>
        <v>10081.8662346982</v>
      </c>
      <c r="Q44" s="15" t="n">
        <f aca="false">O44+P44</f>
        <v>17650.5000003464</v>
      </c>
      <c r="R44" s="15" t="n">
        <f aca="false">Q44-$G$2+$I$2</f>
        <v>12830.0000003464</v>
      </c>
      <c r="S44" s="42" t="n">
        <f aca="false">R44/$K$2</f>
        <v>66.9624217137075</v>
      </c>
      <c r="T44" s="43" t="n">
        <f aca="false">S44-$M$2</f>
        <v>1.80767756319256E-009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0.0954155267390888</v>
      </c>
      <c r="C45" s="25" t="n">
        <f aca="false">IF(T44&gt;0,D44,C44)</f>
        <v>0.0954155267500028</v>
      </c>
      <c r="D45" s="41" t="n">
        <f aca="false">(B45+C45)/2</f>
        <v>0.0954155267445458</v>
      </c>
      <c r="E45" s="15" t="n">
        <f aca="false">$C$2*(1+IF(E$3&lt;=$O$2,$D45,$D45-($D45-$I$6)*MIN(E$3-$O$2,$Q$2)/$Q$2))</f>
        <v>5367.53608104827</v>
      </c>
      <c r="F45" s="15" t="n">
        <f aca="false">E45*(1+IF(F$3&lt;=$O$2,$D45,$D45-($D45-$I$6)*MIN(F$3-$O$2,$Q$2)/$Q$2))</f>
        <v>5879.68236354185</v>
      </c>
      <c r="G45" s="15" t="n">
        <f aca="false">F45*(1+IF(G$3&lt;=$O$2,$D45,$D45-($D45-$I$6)*MIN(G$3-$O$2,$Q$2)/$Q$2))</f>
        <v>6440.69535334981</v>
      </c>
      <c r="H45" s="15" t="n">
        <f aca="false">G45*(1+IF(H$3&lt;=$O$2,$D45,$D45-($D45-$I$6)*MIN(H$3-$O$2,$Q$2)/$Q$2))</f>
        <v>7055.23769309083</v>
      </c>
      <c r="I45" s="15" t="n">
        <f aca="false">H45*(1+IF(I$3&lt;=$O$2,$D45,$D45-($D45-$I$6)*MIN(I$3-$O$2,$Q$2)/$Q$2))</f>
        <v>7728.41691388507</v>
      </c>
      <c r="J45" s="15" t="n">
        <f aca="false">I45*(1+IF(J$3&lt;=$O$2,$D45,$D45-($D45-$I$6)*MIN(J$3-$O$2,$Q$2)/$Q$2))</f>
        <v>8362.0885302095</v>
      </c>
      <c r="K45" s="15" t="n">
        <f aca="false">J45*(1+IF(K$3&lt;=$O$2,$D45,$D45-($D45-$I$6)*MIN(K$3-$O$2,$Q$2)/$Q$2))</f>
        <v>8935.47122144815</v>
      </c>
      <c r="L45" s="15" t="n">
        <f aca="false">K45*(1+IF(L$3&lt;=$O$2,$D45,$D45-($D45-$I$6)*MIN(L$3-$O$2,$Q$2)/$Q$2))</f>
        <v>9428.22860011042</v>
      </c>
      <c r="M45" s="15" t="n">
        <f aca="false">L45*(1+IF(M$3&lt;=$O$2,$D45,$D45-($D45-$I$6)*MIN(M$3-$O$2,$Q$2)/$Q$2))</f>
        <v>9821.60357524643</v>
      </c>
      <c r="N45" s="15" t="n">
        <f aca="false">M45*(1+IF(N$3&lt;=$O$2,$D45,$D45-($D45-$I$6)*MIN(N$3-$O$2,$Q$2)/$Q$2))</f>
        <v>10099.5549564259</v>
      </c>
      <c r="O45" s="15" t="n">
        <f aca="false">SUMPRODUCT(E45:N45,1/(1+$F$6)^$E$3:$N$3)*$E$2</f>
        <v>7568.63376546984</v>
      </c>
      <c r="P45" s="15" t="n">
        <f aca="false">N45*$E$2*(1+$I$6)/($F$6-$I$6)/(1+$F$6)^$N$3</f>
        <v>10081.8662343441</v>
      </c>
      <c r="Q45" s="15" t="n">
        <f aca="false">O45+P45</f>
        <v>17650.4999998139</v>
      </c>
      <c r="R45" s="15" t="n">
        <f aca="false">Q45-$G$2+$I$2</f>
        <v>12829.9999998139</v>
      </c>
      <c r="S45" s="42" t="n">
        <f aca="false">R45/$K$2</f>
        <v>66.9624217109286</v>
      </c>
      <c r="T45" s="43" t="n">
        <f aca="false">S45-$M$2</f>
        <v>-9.71198232946335E-010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0.0954155267445458</v>
      </c>
      <c r="C46" s="25" t="n">
        <f aca="false">IF(T45&gt;0,D45,C45)</f>
        <v>0.0954155267500028</v>
      </c>
      <c r="D46" s="41" t="n">
        <f aca="false">(B46+C46)/2</f>
        <v>0.0954155267472743</v>
      </c>
      <c r="E46" s="15" t="n">
        <f aca="false">$C$2*(1+IF(E$3&lt;=$O$2,$D46,$D46-($D46-$I$6)*MIN(E$3-$O$2,$Q$2)/$Q$2))</f>
        <v>5367.53608106164</v>
      </c>
      <c r="F46" s="15" t="n">
        <f aca="false">E46*(1+IF(F$3&lt;=$O$2,$D46,$D46-($D46-$I$6)*MIN(F$3-$O$2,$Q$2)/$Q$2))</f>
        <v>5879.68236357114</v>
      </c>
      <c r="G46" s="15" t="n">
        <f aca="false">F46*(1+IF(G$3&lt;=$O$2,$D46,$D46-($D46-$I$6)*MIN(G$3-$O$2,$Q$2)/$Q$2))</f>
        <v>6440.69535339794</v>
      </c>
      <c r="H46" s="15" t="n">
        <f aca="false">G46*(1+IF(H$3&lt;=$O$2,$D46,$D46-($D46-$I$6)*MIN(H$3-$O$2,$Q$2)/$Q$2))</f>
        <v>7055.23769316113</v>
      </c>
      <c r="I46" s="15" t="n">
        <f aca="false">H46*(1+IF(I$3&lt;=$O$2,$D46,$D46-($D46-$I$6)*MIN(I$3-$O$2,$Q$2)/$Q$2))</f>
        <v>7728.41691398132</v>
      </c>
      <c r="J46" s="15" t="n">
        <f aca="false">I46*(1+IF(J$3&lt;=$O$2,$D46,$D46-($D46-$I$6)*MIN(J$3-$O$2,$Q$2)/$Q$2))</f>
        <v>8362.08853033051</v>
      </c>
      <c r="K46" s="15" t="n">
        <f aca="false">J46*(1+IF(K$3&lt;=$O$2,$D46,$D46-($D46-$I$6)*MIN(K$3-$O$2,$Q$2)/$Q$2))</f>
        <v>8935.47122159115</v>
      </c>
      <c r="L46" s="15" t="n">
        <f aca="false">K46*(1+IF(L$3&lt;=$O$2,$D46,$D46-($D46-$I$6)*MIN(L$3-$O$2,$Q$2)/$Q$2))</f>
        <v>9428.22860027106</v>
      </c>
      <c r="M46" s="15" t="n">
        <f aca="false">L46*(1+IF(M$3&lt;=$O$2,$D46,$D46-($D46-$I$6)*MIN(M$3-$O$2,$Q$2)/$Q$2))</f>
        <v>9821.60357541891</v>
      </c>
      <c r="N46" s="15" t="n">
        <f aca="false">M46*(1+IF(N$3&lt;=$O$2,$D46,$D46-($D46-$I$6)*MIN(N$3-$O$2,$Q$2)/$Q$2))</f>
        <v>10099.5549566033</v>
      </c>
      <c r="O46" s="15" t="n">
        <f aca="false">SUMPRODUCT(E46:N46,1/(1+$F$6)^$E$3:$N$3)*$E$2</f>
        <v>7568.633765559</v>
      </c>
      <c r="P46" s="15" t="n">
        <f aca="false">N46*$E$2*(1+$I$6)/($F$6-$I$6)/(1+$F$6)^$N$3</f>
        <v>10081.8662345211</v>
      </c>
      <c r="Q46" s="15" t="n">
        <f aca="false">O46+P46</f>
        <v>17650.5000000801</v>
      </c>
      <c r="R46" s="15" t="n">
        <f aca="false">Q46-$G$2+$I$2</f>
        <v>12830.0000000801</v>
      </c>
      <c r="S46" s="42" t="n">
        <f aca="false">R46/$K$2</f>
        <v>66.9624217123181</v>
      </c>
      <c r="T46" s="43" t="n">
        <f aca="false">S46-$M$2</f>
        <v>4.18253875977825E-010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0.0954155267445458</v>
      </c>
      <c r="C47" s="25" t="n">
        <f aca="false">IF(T46&gt;0,D46,C46)</f>
        <v>0.0954155267472743</v>
      </c>
      <c r="D47" s="41" t="n">
        <f aca="false">(B47+C47)/2</f>
        <v>0.09541552674591</v>
      </c>
      <c r="E47" s="15" t="n">
        <f aca="false">$C$2*(1+IF(E$3&lt;=$O$2,$D47,$D47-($D47-$I$6)*MIN(E$3-$O$2,$Q$2)/$Q$2))</f>
        <v>5367.53608105496</v>
      </c>
      <c r="F47" s="15" t="n">
        <f aca="false">E47*(1+IF(F$3&lt;=$O$2,$D47,$D47-($D47-$I$6)*MIN(F$3-$O$2,$Q$2)/$Q$2))</f>
        <v>5879.6823635565</v>
      </c>
      <c r="G47" s="15" t="n">
        <f aca="false">F47*(1+IF(G$3&lt;=$O$2,$D47,$D47-($D47-$I$6)*MIN(G$3-$O$2,$Q$2)/$Q$2))</f>
        <v>6440.69535337388</v>
      </c>
      <c r="H47" s="15" t="n">
        <f aca="false">G47*(1+IF(H$3&lt;=$O$2,$D47,$D47-($D47-$I$6)*MIN(H$3-$O$2,$Q$2)/$Q$2))</f>
        <v>7055.23769312598</v>
      </c>
      <c r="I47" s="15" t="n">
        <f aca="false">H47*(1+IF(I$3&lt;=$O$2,$D47,$D47-($D47-$I$6)*MIN(I$3-$O$2,$Q$2)/$Q$2))</f>
        <v>7728.41691393319</v>
      </c>
      <c r="J47" s="15" t="n">
        <f aca="false">I47*(1+IF(J$3&lt;=$O$2,$D47,$D47-($D47-$I$6)*MIN(J$3-$O$2,$Q$2)/$Q$2))</f>
        <v>8362.08853027</v>
      </c>
      <c r="K47" s="15" t="n">
        <f aca="false">J47*(1+IF(K$3&lt;=$O$2,$D47,$D47-($D47-$I$6)*MIN(K$3-$O$2,$Q$2)/$Q$2))</f>
        <v>8935.47122151965</v>
      </c>
      <c r="L47" s="15" t="n">
        <f aca="false">K47*(1+IF(L$3&lt;=$O$2,$D47,$D47-($D47-$I$6)*MIN(L$3-$O$2,$Q$2)/$Q$2))</f>
        <v>9428.22860019074</v>
      </c>
      <c r="M47" s="15" t="n">
        <f aca="false">L47*(1+IF(M$3&lt;=$O$2,$D47,$D47-($D47-$I$6)*MIN(M$3-$O$2,$Q$2)/$Q$2))</f>
        <v>9821.60357533267</v>
      </c>
      <c r="N47" s="15" t="n">
        <f aca="false">M47*(1+IF(N$3&lt;=$O$2,$D47,$D47-($D47-$I$6)*MIN(N$3-$O$2,$Q$2)/$Q$2))</f>
        <v>10099.5549565146</v>
      </c>
      <c r="O47" s="15" t="n">
        <f aca="false">SUMPRODUCT(E47:N47,1/(1+$F$6)^$E$3:$N$3)*$E$2</f>
        <v>7568.63376551442</v>
      </c>
      <c r="P47" s="15" t="n">
        <f aca="false">N47*$E$2*(1+$I$6)/($F$6-$I$6)/(1+$F$6)^$N$3</f>
        <v>10081.8662344326</v>
      </c>
      <c r="Q47" s="15" t="n">
        <f aca="false">O47+P47</f>
        <v>17650.499999947</v>
      </c>
      <c r="R47" s="15" t="n">
        <f aca="false">Q47-$G$2+$I$2</f>
        <v>12829.999999947</v>
      </c>
      <c r="S47" s="42" t="n">
        <f aca="false">R47/$K$2</f>
        <v>66.9624217116233</v>
      </c>
      <c r="T47" s="43" t="n">
        <f aca="false">S47-$M$2</f>
        <v>-2.76500600193685E-010</v>
      </c>
    </row>
    <row r="49" customFormat="false" ht="15" hidden="false" customHeight="false" outlineLevel="0" collapsed="false">
      <c r="A49" s="38" t="s">
        <v>173</v>
      </c>
      <c r="E49" s="5" t="s">
        <v>11</v>
      </c>
      <c r="F49" s="12" t="n">
        <f aca="false">Sensitivity!$B$10</f>
        <v>0.0850848977416375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153</v>
      </c>
      <c r="B50" s="28" t="s">
        <v>154</v>
      </c>
      <c r="C50" s="28" t="s">
        <v>155</v>
      </c>
      <c r="D50" s="28" t="s">
        <v>156</v>
      </c>
      <c r="E50" s="28" t="s">
        <v>157</v>
      </c>
      <c r="F50" s="28" t="s">
        <v>158</v>
      </c>
      <c r="G50" s="28" t="s">
        <v>159</v>
      </c>
      <c r="H50" s="28" t="s">
        <v>160</v>
      </c>
      <c r="I50" s="28" t="s">
        <v>161</v>
      </c>
      <c r="J50" s="28" t="s">
        <v>162</v>
      </c>
      <c r="K50" s="28" t="s">
        <v>163</v>
      </c>
      <c r="L50" s="28" t="s">
        <v>164</v>
      </c>
      <c r="M50" s="28" t="s">
        <v>165</v>
      </c>
      <c r="N50" s="28" t="s">
        <v>166</v>
      </c>
      <c r="O50" s="28" t="s">
        <v>167</v>
      </c>
      <c r="P50" s="28" t="s">
        <v>168</v>
      </c>
      <c r="Q50" s="28" t="s">
        <v>169</v>
      </c>
      <c r="R50" s="28" t="s">
        <v>170</v>
      </c>
      <c r="S50" s="28" t="s">
        <v>171</v>
      </c>
      <c r="T50" s="28" t="s">
        <v>172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6125</v>
      </c>
      <c r="F51" s="15" t="n">
        <f aca="false">E51*(1+IF(F$3&lt;=$O$2,$D51,$D51-($D51-$I$49)*MIN(F$3-$O$2,$Q$2)/$Q$2))</f>
        <v>7656.25</v>
      </c>
      <c r="G51" s="15" t="n">
        <f aca="false">F51*(1+IF(G$3&lt;=$O$2,$D51,$D51-($D51-$I$49)*MIN(G$3-$O$2,$Q$2)/$Q$2))</f>
        <v>9570.3125</v>
      </c>
      <c r="H51" s="15" t="n">
        <f aca="false">G51*(1+IF(H$3&lt;=$O$2,$D51,$D51-($D51-$I$49)*MIN(H$3-$O$2,$Q$2)/$Q$2))</f>
        <v>11962.890625</v>
      </c>
      <c r="I51" s="15" t="n">
        <f aca="false">H51*(1+IF(I$3&lt;=$O$2,$D51,$D51-($D51-$I$49)*MIN(I$3-$O$2,$Q$2)/$Q$2))</f>
        <v>14953.61328125</v>
      </c>
      <c r="J51" s="15" t="n">
        <f aca="false">I51*(1+IF(J$3&lt;=$O$2,$D51,$D51-($D51-$I$49)*MIN(J$3-$O$2,$Q$2)/$Q$2))</f>
        <v>17999.0661621094</v>
      </c>
      <c r="K51" s="15" t="n">
        <f aca="false">J51*(1+IF(K$3&lt;=$O$2,$D51,$D51-($D51-$I$49)*MIN(K$3-$O$2,$Q$2)/$Q$2))</f>
        <v>20830.6792507324</v>
      </c>
      <c r="L51" s="15" t="n">
        <f aca="false">K51*(1+IF(L$3&lt;=$O$2,$D51,$D51-($D51-$I$49)*MIN(L$3-$O$2,$Q$2)/$Q$2))</f>
        <v>23142.4680339787</v>
      </c>
      <c r="M51" s="15" t="n">
        <f aca="false">L51*(1+IF(M$3&lt;=$O$2,$D51,$D51-($D51-$I$49)*MIN(M$3-$O$2,$Q$2)/$Q$2))</f>
        <v>24638.3971676951</v>
      </c>
      <c r="N51" s="15" t="n">
        <f aca="false">M51*(1+IF(N$3&lt;=$O$2,$D51,$D51-($D51-$I$49)*MIN(N$3-$O$2,$Q$2)/$Q$2))</f>
        <v>25089.2798358639</v>
      </c>
      <c r="O51" s="15" t="n">
        <f aca="false">SUMPRODUCT(E51:N51,1/(1+$F$49)^$E$3:$N$3)*$E$2</f>
        <v>15427.1391714821</v>
      </c>
      <c r="P51" s="15" t="n">
        <f aca="false">N51*$E$2*(1+$I$49)/($F$49-$I$49)/(1+$F$49)^$N$3</f>
        <v>27184.634886618</v>
      </c>
      <c r="Q51" s="15" t="n">
        <f aca="false">O51+P51</f>
        <v>42611.7740581001</v>
      </c>
      <c r="R51" s="15" t="n">
        <f aca="false">Q51-$G$2+$I$2</f>
        <v>37791.2740581001</v>
      </c>
      <c r="S51" s="42" t="n">
        <f aca="false">R51/$K$2</f>
        <v>197.240470031838</v>
      </c>
      <c r="T51" s="43" t="n">
        <f aca="false">S51-$M$2</f>
        <v>130.278048319938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4287.5</v>
      </c>
      <c r="F52" s="15" t="n">
        <f aca="false">E52*(1+IF(F$3&lt;=$O$2,$D52,$D52-($D52-$I$49)*MIN(F$3-$O$2,$Q$2)/$Q$2))</f>
        <v>3751.5625</v>
      </c>
      <c r="G52" s="15" t="n">
        <f aca="false">F52*(1+IF(G$3&lt;=$O$2,$D52,$D52-($D52-$I$49)*MIN(G$3-$O$2,$Q$2)/$Q$2))</f>
        <v>3282.6171875</v>
      </c>
      <c r="H52" s="15" t="n">
        <f aca="false">G52*(1+IF(H$3&lt;=$O$2,$D52,$D52-($D52-$I$49)*MIN(H$3-$O$2,$Q$2)/$Q$2))</f>
        <v>2872.2900390625</v>
      </c>
      <c r="I52" s="15" t="n">
        <f aca="false">H52*(1+IF(I$3&lt;=$O$2,$D52,$D52-($D52-$I$49)*MIN(I$3-$O$2,$Q$2)/$Q$2))</f>
        <v>2513.25378417969</v>
      </c>
      <c r="J52" s="15" t="n">
        <f aca="false">I52*(1+IF(J$3&lt;=$O$2,$D52,$D52-($D52-$I$49)*MIN(J$3-$O$2,$Q$2)/$Q$2))</f>
        <v>2271.12691461182</v>
      </c>
      <c r="K52" s="15" t="n">
        <f aca="false">J52*(1+IF(K$3&lt;=$O$2,$D52,$D52-($D52-$I$49)*MIN(K$3-$O$2,$Q$2)/$Q$2))</f>
        <v>2117.41704503089</v>
      </c>
      <c r="L52" s="15" t="n">
        <f aca="false">K52*(1+IF(L$3&lt;=$O$2,$D52,$D52-($D52-$I$49)*MIN(L$3-$O$2,$Q$2)/$Q$2))</f>
        <v>2034.79543193378</v>
      </c>
      <c r="M52" s="15" t="n">
        <f aca="false">L52*(1+IF(M$3&lt;=$O$2,$D52,$D52-($D52-$I$49)*MIN(M$3-$O$2,$Q$2)/$Q$2))</f>
        <v>2013.71495125895</v>
      </c>
      <c r="N52" s="15" t="n">
        <f aca="false">M52*(1+IF(N$3&lt;=$O$2,$D52,$D52-($D52-$I$49)*MIN(N$3-$O$2,$Q$2)/$Q$2))</f>
        <v>2050.56593486699</v>
      </c>
      <c r="O52" s="15" t="n">
        <f aca="false">SUMPRODUCT(E52:N52,1/(1+$F$49)^$E$3:$N$3)*$E$2</f>
        <v>3049.86478689105</v>
      </c>
      <c r="P52" s="15" t="n">
        <f aca="false">N52*$E$2*(1+$I$49)/($F$49-$I$49)/(1+$F$49)^$N$3</f>
        <v>2221.82089780881</v>
      </c>
      <c r="Q52" s="15" t="n">
        <f aca="false">O52+P52</f>
        <v>5271.68568469986</v>
      </c>
      <c r="R52" s="15" t="n">
        <f aca="false">Q52-$G$2+$I$2</f>
        <v>451.185684699864</v>
      </c>
      <c r="S52" s="42" t="n">
        <f aca="false">R52/$K$2</f>
        <v>2.35483133976964</v>
      </c>
      <c r="T52" s="43" t="n">
        <f aca="false">S52-$M$2</f>
        <v>-64.6075903721302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5206.25</v>
      </c>
      <c r="F53" s="15" t="n">
        <f aca="false">E53*(1+IF(F$3&lt;=$O$2,$D53,$D53-($D53-$I$49)*MIN(F$3-$O$2,$Q$2)/$Q$2))</f>
        <v>5531.640625</v>
      </c>
      <c r="G53" s="15" t="n">
        <f aca="false">F53*(1+IF(G$3&lt;=$O$2,$D53,$D53-($D53-$I$49)*MIN(G$3-$O$2,$Q$2)/$Q$2))</f>
        <v>5877.3681640625</v>
      </c>
      <c r="H53" s="15" t="n">
        <f aca="false">G53*(1+IF(H$3&lt;=$O$2,$D53,$D53-($D53-$I$49)*MIN(H$3-$O$2,$Q$2)/$Q$2))</f>
        <v>6244.70367431641</v>
      </c>
      <c r="I53" s="15" t="n">
        <f aca="false">H53*(1+IF(I$3&lt;=$O$2,$D53,$D53-($D53-$I$49)*MIN(I$3-$O$2,$Q$2)/$Q$2))</f>
        <v>6634.99765396118</v>
      </c>
      <c r="J53" s="15" t="n">
        <f aca="false">I53*(1+IF(J$3&lt;=$O$2,$D53,$D53-($D53-$I$49)*MIN(J$3-$O$2,$Q$2)/$Q$2))</f>
        <v>6991.03162807274</v>
      </c>
      <c r="K53" s="15" t="n">
        <f aca="false">J53*(1+IF(K$3&lt;=$O$2,$D53,$D53-($D53-$I$49)*MIN(K$3-$O$2,$Q$2)/$Q$2))</f>
        <v>7304.36966564296</v>
      </c>
      <c r="L53" s="15" t="n">
        <f aca="false">K53*(1+IF(L$3&lt;=$O$2,$D53,$D53-($D53-$I$49)*MIN(L$3-$O$2,$Q$2)/$Q$2))</f>
        <v>7567.18088621279</v>
      </c>
      <c r="M53" s="15" t="n">
        <f aca="false">L53*(1+IF(M$3&lt;=$O$2,$D53,$D53-($D53-$I$49)*MIN(M$3-$O$2,$Q$2)/$Q$2))</f>
        <v>7772.55417546461</v>
      </c>
      <c r="N53" s="15" t="n">
        <f aca="false">M53*(1+IF(N$3&lt;=$O$2,$D53,$D53-($D53-$I$49)*MIN(N$3-$O$2,$Q$2)/$Q$2))</f>
        <v>7914.79191687561</v>
      </c>
      <c r="O53" s="15" t="n">
        <f aca="false">SUMPRODUCT(E53:N53,1/(1+$F$49)^$E$3:$N$3)*$E$2</f>
        <v>6846.9974448885</v>
      </c>
      <c r="P53" s="15" t="n">
        <f aca="false">N53*$E$2*(1+$I$49)/($F$49-$I$49)/(1+$F$49)^$N$3</f>
        <v>8575.80328616118</v>
      </c>
      <c r="Q53" s="15" t="n">
        <f aca="false">O53+P53</f>
        <v>15422.8007310497</v>
      </c>
      <c r="R53" s="15" t="n">
        <f aca="false">Q53-$G$2+$I$2</f>
        <v>10602.3007310497</v>
      </c>
      <c r="S53" s="42" t="n">
        <f aca="false">R53/$K$2</f>
        <v>55.335598805061</v>
      </c>
      <c r="T53" s="43" t="n">
        <f aca="false">S53-$M$2</f>
        <v>-11.6268229068388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0.0625</v>
      </c>
      <c r="C54" s="25" t="n">
        <f aca="false">IF(T53&gt;0,D53,C53)</f>
        <v>0.25</v>
      </c>
      <c r="D54" s="41" t="n">
        <f aca="false">(B54+C54)/2</f>
        <v>0.15625</v>
      </c>
      <c r="E54" s="15" t="n">
        <f aca="false">$C$2*(1+IF(E$3&lt;=$O$2,$D54,$D54-($D54-$I$49)*MIN(E$3-$O$2,$Q$2)/$Q$2))</f>
        <v>5665.625</v>
      </c>
      <c r="F54" s="15" t="n">
        <f aca="false">E54*(1+IF(F$3&lt;=$O$2,$D54,$D54-($D54-$I$49)*MIN(F$3-$O$2,$Q$2)/$Q$2))</f>
        <v>6550.87890625</v>
      </c>
      <c r="G54" s="15" t="n">
        <f aca="false">F54*(1+IF(G$3&lt;=$O$2,$D54,$D54-($D54-$I$49)*MIN(G$3-$O$2,$Q$2)/$Q$2))</f>
        <v>7574.45373535156</v>
      </c>
      <c r="H54" s="15" t="n">
        <f aca="false">G54*(1+IF(H$3&lt;=$O$2,$D54,$D54-($D54-$I$49)*MIN(H$3-$O$2,$Q$2)/$Q$2))</f>
        <v>8757.96213150024</v>
      </c>
      <c r="I54" s="15" t="n">
        <f aca="false">H54*(1+IF(I$3&lt;=$O$2,$D54,$D54-($D54-$I$49)*MIN(I$3-$O$2,$Q$2)/$Q$2))</f>
        <v>10126.3937145472</v>
      </c>
      <c r="J54" s="15" t="n">
        <f aca="false">I54*(1+IF(J$3&lt;=$O$2,$D54,$D54-($D54-$I$49)*MIN(J$3-$O$2,$Q$2)/$Q$2))</f>
        <v>11429.2555298608</v>
      </c>
      <c r="K54" s="15" t="n">
        <f aca="false">J54*(1+IF(K$3&lt;=$O$2,$D54,$D54-($D54-$I$49)*MIN(K$3-$O$2,$Q$2)/$Q$2))</f>
        <v>12584.4103862638</v>
      </c>
      <c r="L54" s="15" t="n">
        <f aca="false">K54*(1+IF(L$3&lt;=$O$2,$D54,$D54-($D54-$I$49)*MIN(L$3-$O$2,$Q$2)/$Q$2))</f>
        <v>13509.1128614465</v>
      </c>
      <c r="M54" s="15" t="n">
        <f aca="false">L54*(1+IF(M$3&lt;=$O$2,$D54,$D54-($D54-$I$49)*MIN(M$3-$O$2,$Q$2)/$Q$2))</f>
        <v>14129.0460506583</v>
      </c>
      <c r="N54" s="15" t="n">
        <f aca="false">M54*(1+IF(N$3&lt;=$O$2,$D54,$D54-($D54-$I$49)*MIN(N$3-$O$2,$Q$2)/$Q$2))</f>
        <v>14387.6075933853</v>
      </c>
      <c r="O54" s="15" t="n">
        <f aca="false">SUMPRODUCT(E54:N54,1/(1+$F$49)^$E$3:$N$3)*$E$2</f>
        <v>10296.4372980137</v>
      </c>
      <c r="P54" s="15" t="n">
        <f aca="false">N54*$E$2*(1+$I$49)/($F$49-$I$49)/(1+$F$49)^$N$3</f>
        <v>15589.2023157645</v>
      </c>
      <c r="Q54" s="15" t="n">
        <f aca="false">O54+P54</f>
        <v>25885.6396137782</v>
      </c>
      <c r="R54" s="15" t="n">
        <f aca="false">Q54-$G$2+$I$2</f>
        <v>21065.1396137782</v>
      </c>
      <c r="S54" s="42" t="n">
        <f aca="false">R54/$K$2</f>
        <v>109.943317399678</v>
      </c>
      <c r="T54" s="43" t="n">
        <f aca="false">S54-$M$2</f>
        <v>42.9808956877777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0.0625</v>
      </c>
      <c r="C55" s="25" t="n">
        <f aca="false">IF(T54&gt;0,D54,C54)</f>
        <v>0.15625</v>
      </c>
      <c r="D55" s="41" t="n">
        <f aca="false">(B55+C55)/2</f>
        <v>0.109375</v>
      </c>
      <c r="E55" s="15" t="n">
        <f aca="false">$C$2*(1+IF(E$3&lt;=$O$2,$D55,$D55-($D55-$I$49)*MIN(E$3-$O$2,$Q$2)/$Q$2))</f>
        <v>5435.9375</v>
      </c>
      <c r="F55" s="15" t="n">
        <f aca="false">E55*(1+IF(F$3&lt;=$O$2,$D55,$D55-($D55-$I$49)*MIN(F$3-$O$2,$Q$2)/$Q$2))</f>
        <v>6030.4931640625</v>
      </c>
      <c r="G55" s="15" t="n">
        <f aca="false">F55*(1+IF(G$3&lt;=$O$2,$D55,$D55-($D55-$I$49)*MIN(G$3-$O$2,$Q$2)/$Q$2))</f>
        <v>6690.07835388184</v>
      </c>
      <c r="H55" s="15" t="n">
        <f aca="false">G55*(1+IF(H$3&lt;=$O$2,$D55,$D55-($D55-$I$49)*MIN(H$3-$O$2,$Q$2)/$Q$2))</f>
        <v>7421.80567383766</v>
      </c>
      <c r="I55" s="15" t="n">
        <f aca="false">H55*(1+IF(I$3&lt;=$O$2,$D55,$D55-($D55-$I$49)*MIN(I$3-$O$2,$Q$2)/$Q$2))</f>
        <v>8233.56566941366</v>
      </c>
      <c r="J55" s="15" t="n">
        <f aca="false">I55*(1+IF(J$3&lt;=$O$2,$D55,$D55-($D55-$I$49)*MIN(J$3-$O$2,$Q$2)/$Q$2))</f>
        <v>8984.13751583741</v>
      </c>
      <c r="K55" s="15" t="n">
        <f aca="false">J55*(1+IF(K$3&lt;=$O$2,$D55,$D55-($D55-$I$49)*MIN(K$3-$O$2,$Q$2)/$Q$2))</f>
        <v>9639.48542693017</v>
      </c>
      <c r="L55" s="15" t="n">
        <f aca="false">K55*(1+IF(L$3&lt;=$O$2,$D55,$D55-($D55-$I$49)*MIN(L$3-$O$2,$Q$2)/$Q$2))</f>
        <v>10167.0544643461</v>
      </c>
      <c r="M55" s="15" t="n">
        <f aca="false">L55*(1+IF(M$3&lt;=$O$2,$D55,$D55-($D55-$I$49)*MIN(M$3-$O$2,$Q$2)/$Q$2))</f>
        <v>10538.3044581117</v>
      </c>
      <c r="N55" s="15" t="n">
        <f aca="false">M55*(1+IF(N$3&lt;=$O$2,$D55,$D55-($D55-$I$49)*MIN(N$3-$O$2,$Q$2)/$Q$2))</f>
        <v>10731.1554296951</v>
      </c>
      <c r="O55" s="15" t="n">
        <f aca="false">SUMPRODUCT(E55:N55,1/(1+$F$49)^$E$3:$N$3)*$E$2</f>
        <v>8398.13409706401</v>
      </c>
      <c r="P55" s="15" t="n">
        <f aca="false">N55*$E$2*(1+$I$49)/($F$49-$I$49)/(1+$F$49)^$N$3</f>
        <v>11627.3780744717</v>
      </c>
      <c r="Q55" s="15" t="n">
        <f aca="false">O55+P55</f>
        <v>20025.5121715357</v>
      </c>
      <c r="R55" s="15" t="n">
        <f aca="false">Q55-$G$2+$I$2</f>
        <v>15205.0121715357</v>
      </c>
      <c r="S55" s="42" t="n">
        <f aca="false">R55/$K$2</f>
        <v>79.3581011040487</v>
      </c>
      <c r="T55" s="43" t="n">
        <f aca="false">S55-$M$2</f>
        <v>12.3956793921489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0.0625</v>
      </c>
      <c r="C56" s="25" t="n">
        <f aca="false">IF(T55&gt;0,D55,C55)</f>
        <v>0.109375</v>
      </c>
      <c r="D56" s="41" t="n">
        <f aca="false">(B56+C56)/2</f>
        <v>0.0859375</v>
      </c>
      <c r="E56" s="15" t="n">
        <f aca="false">$C$2*(1+IF(E$3&lt;=$O$2,$D56,$D56-($D56-$I$49)*MIN(E$3-$O$2,$Q$2)/$Q$2))</f>
        <v>5321.09375</v>
      </c>
      <c r="F56" s="15" t="n">
        <f aca="false">E56*(1+IF(F$3&lt;=$O$2,$D56,$D56-($D56-$I$49)*MIN(F$3-$O$2,$Q$2)/$Q$2))</f>
        <v>5778.37524414063</v>
      </c>
      <c r="G56" s="15" t="n">
        <f aca="false">F56*(1+IF(G$3&lt;=$O$2,$D56,$D56-($D56-$I$49)*MIN(G$3-$O$2,$Q$2)/$Q$2))</f>
        <v>6274.95436668396</v>
      </c>
      <c r="H56" s="15" t="n">
        <f aca="false">G56*(1+IF(H$3&lt;=$O$2,$D56,$D56-($D56-$I$49)*MIN(H$3-$O$2,$Q$2)/$Q$2))</f>
        <v>6814.20825757086</v>
      </c>
      <c r="I56" s="15" t="n">
        <f aca="false">H56*(1+IF(I$3&lt;=$O$2,$D56,$D56-($D56-$I$49)*MIN(I$3-$O$2,$Q$2)/$Q$2))</f>
        <v>7399.80427970586</v>
      </c>
      <c r="J56" s="15" t="n">
        <f aca="false">I56*(1+IF(J$3&lt;=$O$2,$D56,$D56-($D56-$I$49)*MIN(J$3-$O$2,$Q$2)/$Q$2))</f>
        <v>7935.62410759936</v>
      </c>
      <c r="K56" s="15" t="n">
        <f aca="false">J56*(1+IF(K$3&lt;=$O$2,$D56,$D56-($D56-$I$49)*MIN(K$3-$O$2,$Q$2)/$Q$2))</f>
        <v>8402.89349411508</v>
      </c>
      <c r="L56" s="15" t="n">
        <f aca="false">K56*(1+IF(L$3&lt;=$O$2,$D56,$D56-($D56-$I$49)*MIN(L$3-$O$2,$Q$2)/$Q$2))</f>
        <v>8784.00672854067</v>
      </c>
      <c r="M56" s="15" t="n">
        <f aca="false">L56*(1+IF(M$3&lt;=$O$2,$D56,$D56-($D56-$I$49)*MIN(M$3-$O$2,$Q$2)/$Q$2))</f>
        <v>9063.5797026933</v>
      </c>
      <c r="N56" s="15" t="n">
        <f aca="false">M56*(1+IF(N$3&lt;=$O$2,$D56,$D56-($D56-$I$49)*MIN(N$3-$O$2,$Q$2)/$Q$2))</f>
        <v>9229.44321125258</v>
      </c>
      <c r="O56" s="15" t="n">
        <f aca="false">SUMPRODUCT(E56:N56,1/(1+$F$49)^$E$3:$N$3)*$E$2</f>
        <v>7583.13098667214</v>
      </c>
      <c r="P56" s="15" t="n">
        <f aca="false">N56*$E$2*(1+$I$49)/($F$49-$I$49)/(1+$F$49)^$N$3</f>
        <v>10000.2489328541</v>
      </c>
      <c r="Q56" s="15" t="n">
        <f aca="false">O56+P56</f>
        <v>17583.3799195263</v>
      </c>
      <c r="R56" s="15" t="n">
        <f aca="false">Q56-$G$2+$I$2</f>
        <v>12762.8799195263</v>
      </c>
      <c r="S56" s="42" t="n">
        <f aca="false">R56/$K$2</f>
        <v>66.61210813949</v>
      </c>
      <c r="T56" s="43" t="n">
        <f aca="false">S56-$M$2</f>
        <v>-0.350313572409846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0.0859375</v>
      </c>
      <c r="C57" s="25" t="n">
        <f aca="false">IF(T56&gt;0,D56,C56)</f>
        <v>0.109375</v>
      </c>
      <c r="D57" s="41" t="n">
        <f aca="false">(B57+C57)/2</f>
        <v>0.09765625</v>
      </c>
      <c r="E57" s="15" t="n">
        <f aca="false">$C$2*(1+IF(E$3&lt;=$O$2,$D57,$D57-($D57-$I$49)*MIN(E$3-$O$2,$Q$2)/$Q$2))</f>
        <v>5378.515625</v>
      </c>
      <c r="F57" s="15" t="n">
        <f aca="false">E57*(1+IF(F$3&lt;=$O$2,$D57,$D57-($D57-$I$49)*MIN(F$3-$O$2,$Q$2)/$Q$2))</f>
        <v>5903.76129150391</v>
      </c>
      <c r="G57" s="15" t="n">
        <f aca="false">F57*(1+IF(G$3&lt;=$O$2,$D57,$D57-($D57-$I$49)*MIN(G$3-$O$2,$Q$2)/$Q$2))</f>
        <v>6480.30048012734</v>
      </c>
      <c r="H57" s="15" t="n">
        <f aca="false">G57*(1+IF(H$3&lt;=$O$2,$D57,$D57-($D57-$I$49)*MIN(H$3-$O$2,$Q$2)/$Q$2))</f>
        <v>7113.14232388977</v>
      </c>
      <c r="I57" s="15" t="n">
        <f aca="false">H57*(1+IF(I$3&lt;=$O$2,$D57,$D57-($D57-$I$49)*MIN(I$3-$O$2,$Q$2)/$Q$2))</f>
        <v>7807.78512895713</v>
      </c>
      <c r="J57" s="15" t="n">
        <f aca="false">I57*(1+IF(J$3&lt;=$O$2,$D57,$D57-($D57-$I$49)*MIN(J$3-$O$2,$Q$2)/$Q$2))</f>
        <v>8446.34483572889</v>
      </c>
      <c r="K57" s="15" t="n">
        <f aca="false">J57*(1+IF(K$3&lt;=$O$2,$D57,$D57-($D57-$I$49)*MIN(K$3-$O$2,$Q$2)/$Q$2))</f>
        <v>9003.07509764491</v>
      </c>
      <c r="L57" s="15" t="n">
        <f aca="false">K57*(1+IF(L$3&lt;=$O$2,$D57,$D57-($D57-$I$49)*MIN(L$3-$O$2,$Q$2)/$Q$2))</f>
        <v>9453.61148321881</v>
      </c>
      <c r="M57" s="15" t="n">
        <f aca="false">L57*(1+IF(M$3&lt;=$O$2,$D57,$D57-($D57-$I$49)*MIN(M$3-$O$2,$Q$2)/$Q$2))</f>
        <v>9776.65320461475</v>
      </c>
      <c r="N57" s="15" t="n">
        <f aca="false">M57*(1+IF(N$3&lt;=$O$2,$D57,$D57-($D57-$I$49)*MIN(N$3-$O$2,$Q$2)/$Q$2))</f>
        <v>9955.5659582592</v>
      </c>
      <c r="O57" s="15" t="n">
        <f aca="false">SUMPRODUCT(E57:N57,1/(1+$F$49)^$E$3:$N$3)*$E$2</f>
        <v>7980.30369087398</v>
      </c>
      <c r="P57" s="15" t="n">
        <f aca="false">N57*$E$2*(1+$I$49)/($F$49-$I$49)/(1+$F$49)^$N$3</f>
        <v>10787.0145111959</v>
      </c>
      <c r="Q57" s="15" t="n">
        <f aca="false">O57+P57</f>
        <v>18767.3182020699</v>
      </c>
      <c r="R57" s="15" t="n">
        <f aca="false">Q57-$G$2+$I$2</f>
        <v>13946.8182020699</v>
      </c>
      <c r="S57" s="42" t="n">
        <f aca="false">R57/$K$2</f>
        <v>72.7913267331416</v>
      </c>
      <c r="T57" s="43" t="n">
        <f aca="false">S57-$M$2</f>
        <v>5.82890502124181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0.0859375</v>
      </c>
      <c r="C58" s="25" t="n">
        <f aca="false">IF(T57&gt;0,D57,C57)</f>
        <v>0.09765625</v>
      </c>
      <c r="D58" s="41" t="n">
        <f aca="false">(B58+C58)/2</f>
        <v>0.091796875</v>
      </c>
      <c r="E58" s="15" t="n">
        <f aca="false">$C$2*(1+IF(E$3&lt;=$O$2,$D58,$D58-($D58-$I$49)*MIN(E$3-$O$2,$Q$2)/$Q$2))</f>
        <v>5349.8046875</v>
      </c>
      <c r="F58" s="15" t="n">
        <f aca="false">E58*(1+IF(F$3&lt;=$O$2,$D58,$D58-($D58-$I$49)*MIN(F$3-$O$2,$Q$2)/$Q$2))</f>
        <v>5840.90003967285</v>
      </c>
      <c r="G58" s="15" t="n">
        <f aca="false">F58*(1+IF(G$3&lt;=$O$2,$D58,$D58-($D58-$I$49)*MIN(G$3-$O$2,$Q$2)/$Q$2))</f>
        <v>6377.0764105022</v>
      </c>
      <c r="H58" s="15" t="n">
        <f aca="false">G58*(1+IF(H$3&lt;=$O$2,$D58,$D58-($D58-$I$49)*MIN(H$3-$O$2,$Q$2)/$Q$2))</f>
        <v>6962.47209662251</v>
      </c>
      <c r="I58" s="15" t="n">
        <f aca="false">H58*(1+IF(I$3&lt;=$O$2,$D58,$D58-($D58-$I$49)*MIN(I$3-$O$2,$Q$2)/$Q$2))</f>
        <v>7601.60527736716</v>
      </c>
      <c r="J58" s="15" t="n">
        <f aca="false">I58*(1+IF(J$3&lt;=$O$2,$D58,$D58-($D58-$I$49)*MIN(J$3-$O$2,$Q$2)/$Q$2))</f>
        <v>8187.67004023897</v>
      </c>
      <c r="K58" s="15" t="n">
        <f aca="false">J58*(1+IF(K$3&lt;=$O$2,$D58,$D58-($D58-$I$49)*MIN(K$3-$O$2,$Q$2)/$Q$2))</f>
        <v>8698.56529886856</v>
      </c>
      <c r="L58" s="15" t="n">
        <f aca="false">K58*(1+IF(L$3&lt;=$O$2,$D58,$D58-($D58-$I$49)*MIN(L$3-$O$2,$Q$2)/$Q$2))</f>
        <v>9113.47599041797</v>
      </c>
      <c r="M58" s="15" t="n">
        <f aca="false">L58*(1+IF(M$3&lt;=$O$2,$D58,$D58-($D58-$I$49)*MIN(M$3-$O$2,$Q$2)/$Q$2))</f>
        <v>9414.21500217927</v>
      </c>
      <c r="N58" s="15" t="n">
        <f aca="false">M58*(1+IF(N$3&lt;=$O$2,$D58,$D58-($D58-$I$49)*MIN(N$3-$O$2,$Q$2)/$Q$2))</f>
        <v>9586.49513671915</v>
      </c>
      <c r="O58" s="15" t="n">
        <f aca="false">SUMPRODUCT(E58:N58,1/(1+$F$49)^$E$3:$N$3)*$E$2</f>
        <v>7779.19539914362</v>
      </c>
      <c r="P58" s="15" t="n">
        <f aca="false">N58*$E$2*(1+$I$49)/($F$49-$I$49)/(1+$F$49)^$N$3</f>
        <v>10387.120389224</v>
      </c>
      <c r="Q58" s="15" t="n">
        <f aca="false">O58+P58</f>
        <v>18166.3157883677</v>
      </c>
      <c r="R58" s="15" t="n">
        <f aca="false">Q58-$G$2+$I$2</f>
        <v>13345.8157883677</v>
      </c>
      <c r="S58" s="42" t="n">
        <f aca="false">R58/$K$2</f>
        <v>69.6545709204992</v>
      </c>
      <c r="T58" s="43" t="n">
        <f aca="false">S58-$M$2</f>
        <v>2.69214920859943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0.0859375</v>
      </c>
      <c r="C59" s="25" t="n">
        <f aca="false">IF(T58&gt;0,D58,C58)</f>
        <v>0.091796875</v>
      </c>
      <c r="D59" s="41" t="n">
        <f aca="false">(B59+C59)/2</f>
        <v>0.0888671875</v>
      </c>
      <c r="E59" s="15" t="n">
        <f aca="false">$C$2*(1+IF(E$3&lt;=$O$2,$D59,$D59-($D59-$I$49)*MIN(E$3-$O$2,$Q$2)/$Q$2))</f>
        <v>5335.44921875</v>
      </c>
      <c r="F59" s="15" t="n">
        <f aca="false">E59*(1+IF(F$3&lt;=$O$2,$D59,$D59-($D59-$I$49)*MIN(F$3-$O$2,$Q$2)/$Q$2))</f>
        <v>5809.59558486939</v>
      </c>
      <c r="G59" s="15" t="n">
        <f aca="false">F59*(1+IF(G$3&lt;=$O$2,$D59,$D59-($D59-$I$49)*MIN(G$3-$O$2,$Q$2)/$Q$2))</f>
        <v>6325.87800500914</v>
      </c>
      <c r="H59" s="15" t="n">
        <f aca="false">G59*(1+IF(H$3&lt;=$O$2,$D59,$D59-($D59-$I$49)*MIN(H$3-$O$2,$Q$2)/$Q$2))</f>
        <v>6888.04099178242</v>
      </c>
      <c r="I59" s="15" t="n">
        <f aca="false">H59*(1+IF(I$3&lt;=$O$2,$D59,$D59-($D59-$I$49)*MIN(I$3-$O$2,$Q$2)/$Q$2))</f>
        <v>7500.16182210683</v>
      </c>
      <c r="J59" s="15" t="n">
        <f aca="false">I59*(1+IF(J$3&lt;=$O$2,$D59,$D59-($D59-$I$49)*MIN(J$3-$O$2,$Q$2)/$Q$2))</f>
        <v>8060.82704391615</v>
      </c>
      <c r="K59" s="15" t="n">
        <f aca="false">J59*(1+IF(K$3&lt;=$O$2,$D59,$D59-($D59-$I$49)*MIN(K$3-$O$2,$Q$2)/$Q$2))</f>
        <v>8549.63811486768</v>
      </c>
      <c r="L59" s="15" t="n">
        <f aca="false">K59*(1+IF(L$3&lt;=$O$2,$D59,$D59-($D59-$I$49)*MIN(L$3-$O$2,$Q$2)/$Q$2))</f>
        <v>8947.42605873336</v>
      </c>
      <c r="M59" s="15" t="n">
        <f aca="false">L59*(1+IF(M$3&lt;=$O$2,$D59,$D59-($D59-$I$49)*MIN(M$3-$O$2,$Q$2)/$Q$2))</f>
        <v>9237.44289407399</v>
      </c>
      <c r="N59" s="15" t="n">
        <f aca="false">M59*(1+IF(N$3&lt;=$O$2,$D59,$D59-($D59-$I$49)*MIN(N$3-$O$2,$Q$2)/$Q$2))</f>
        <v>9406.48809903554</v>
      </c>
      <c r="O59" s="15" t="n">
        <f aca="false">SUMPRODUCT(E59:N59,1/(1+$F$49)^$E$3:$N$3)*$E$2</f>
        <v>7680.54010856743</v>
      </c>
      <c r="P59" s="15" t="n">
        <f aca="false">N59*$E$2*(1+$I$49)/($F$49-$I$49)/(1+$F$49)^$N$3</f>
        <v>10192.0798927066</v>
      </c>
      <c r="Q59" s="15" t="n">
        <f aca="false">O59+P59</f>
        <v>17872.6200012741</v>
      </c>
      <c r="R59" s="15" t="n">
        <f aca="false">Q59-$G$2+$I$2</f>
        <v>13052.1200012741</v>
      </c>
      <c r="S59" s="42" t="n">
        <f aca="false">R59/$K$2</f>
        <v>68.1217119064409</v>
      </c>
      <c r="T59" s="43" t="n">
        <f aca="false">S59-$M$2</f>
        <v>1.15929019454111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0.0859375</v>
      </c>
      <c r="C60" s="25" t="n">
        <f aca="false">IF(T59&gt;0,D59,C59)</f>
        <v>0.0888671875</v>
      </c>
      <c r="D60" s="41" t="n">
        <f aca="false">(B60+C60)/2</f>
        <v>0.08740234375</v>
      </c>
      <c r="E60" s="15" t="n">
        <f aca="false">$C$2*(1+IF(E$3&lt;=$O$2,$D60,$D60-($D60-$I$49)*MIN(E$3-$O$2,$Q$2)/$Q$2))</f>
        <v>5328.271484375</v>
      </c>
      <c r="F60" s="15" t="n">
        <f aca="false">E60*(1+IF(F$3&lt;=$O$2,$D60,$D60-($D60-$I$49)*MIN(F$3-$O$2,$Q$2)/$Q$2))</f>
        <v>5793.97490024567</v>
      </c>
      <c r="G60" s="15" t="n">
        <f aca="false">F60*(1+IF(G$3&lt;=$O$2,$D60,$D60-($D60-$I$49)*MIN(G$3-$O$2,$Q$2)/$Q$2))</f>
        <v>6300.38188615581</v>
      </c>
      <c r="H60" s="15" t="n">
        <f aca="false">G60*(1+IF(H$3&lt;=$O$2,$D60,$D60-($D60-$I$49)*MIN(H$3-$O$2,$Q$2)/$Q$2))</f>
        <v>6851.05002952587</v>
      </c>
      <c r="I60" s="15" t="n">
        <f aca="false">H60*(1+IF(I$3&lt;=$O$2,$D60,$D60-($D60-$I$49)*MIN(I$3-$O$2,$Q$2)/$Q$2))</f>
        <v>7449.84785925494</v>
      </c>
      <c r="J60" s="15" t="n">
        <f aca="false">I60*(1+IF(J$3&lt;=$O$2,$D60,$D60-($D60-$I$49)*MIN(J$3-$O$2,$Q$2)/$Q$2))</f>
        <v>7998.02163320366</v>
      </c>
      <c r="K60" s="15" t="n">
        <f aca="false">J60*(1+IF(K$3&lt;=$O$2,$D60,$D60-($D60-$I$49)*MIN(K$3-$O$2,$Q$2)/$Q$2))</f>
        <v>8475.99465322183</v>
      </c>
      <c r="L60" s="15" t="n">
        <f aca="false">K60*(1+IF(L$3&lt;=$O$2,$D60,$D60-($D60-$I$49)*MIN(L$3-$O$2,$Q$2)/$Q$2))</f>
        <v>8865.38979383583</v>
      </c>
      <c r="M60" s="15" t="n">
        <f aca="false">L60*(1+IF(M$3&lt;=$O$2,$D60,$D60-($D60-$I$49)*MIN(M$3-$O$2,$Q$2)/$Q$2))</f>
        <v>9150.1502696653</v>
      </c>
      <c r="N60" s="15" t="n">
        <f aca="false">M60*(1+IF(N$3&lt;=$O$2,$D60,$D60-($D60-$I$49)*MIN(N$3-$O$2,$Q$2)/$Q$2))</f>
        <v>9317.59801960018</v>
      </c>
      <c r="O60" s="15" t="n">
        <f aca="false">SUMPRODUCT(E60:N60,1/(1+$F$49)^$E$3:$N$3)*$E$2</f>
        <v>7631.68069336207</v>
      </c>
      <c r="P60" s="15" t="n">
        <f aca="false">N60*$E$2*(1+$I$49)/($F$49-$I$49)/(1+$F$49)^$N$3</f>
        <v>10095.7660738047</v>
      </c>
      <c r="Q60" s="15" t="n">
        <f aca="false">O60+P60</f>
        <v>17727.4467671667</v>
      </c>
      <c r="R60" s="15" t="n">
        <f aca="false">Q60-$G$2+$I$2</f>
        <v>12906.9467671667</v>
      </c>
      <c r="S60" s="42" t="n">
        <f aca="false">R60/$K$2</f>
        <v>67.3640227931457</v>
      </c>
      <c r="T60" s="43" t="n">
        <f aca="false">S60-$M$2</f>
        <v>0.401601081245943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0.0859375</v>
      </c>
      <c r="C61" s="25" t="n">
        <f aca="false">IF(T60&gt;0,D60,C60)</f>
        <v>0.08740234375</v>
      </c>
      <c r="D61" s="41" t="n">
        <f aca="false">(B61+C61)/2</f>
        <v>0.086669921875</v>
      </c>
      <c r="E61" s="15" t="n">
        <f aca="false">$C$2*(1+IF(E$3&lt;=$O$2,$D61,$D61-($D61-$I$49)*MIN(E$3-$O$2,$Q$2)/$Q$2))</f>
        <v>5324.6826171875</v>
      </c>
      <c r="F61" s="15" t="n">
        <f aca="false">E61*(1+IF(F$3&lt;=$O$2,$D61,$D61-($D61-$I$49)*MIN(F$3-$O$2,$Q$2)/$Q$2))</f>
        <v>5786.17244362831</v>
      </c>
      <c r="G61" s="15" t="n">
        <f aca="false">F61*(1+IF(G$3&lt;=$O$2,$D61,$D61-($D61-$I$49)*MIN(G$3-$O$2,$Q$2)/$Q$2))</f>
        <v>6287.65955727286</v>
      </c>
      <c r="H61" s="15" t="n">
        <f aca="false">G61*(1+IF(H$3&lt;=$O$2,$D61,$D61-($D61-$I$49)*MIN(H$3-$O$2,$Q$2)/$Q$2))</f>
        <v>6832.61051987829</v>
      </c>
      <c r="I61" s="15" t="n">
        <f aca="false">H61*(1+IF(I$3&lt;=$O$2,$D61,$D61-($D61-$I$49)*MIN(I$3-$O$2,$Q$2)/$Q$2))</f>
        <v>7424.79233983845</v>
      </c>
      <c r="J61" s="15" t="n">
        <f aca="false">I61*(1+IF(J$3&lt;=$O$2,$D61,$D61-($D61-$I$49)*MIN(J$3-$O$2,$Q$2)/$Q$2))</f>
        <v>7966.77201742777</v>
      </c>
      <c r="K61" s="15" t="n">
        <f aca="false">J61*(1+IF(K$3&lt;=$O$2,$D61,$D61-($D61-$I$49)*MIN(K$3-$O$2,$Q$2)/$Q$2))</f>
        <v>8439.37649360318</v>
      </c>
      <c r="L61" s="15" t="n">
        <f aca="false">K61*(1+IF(L$3&lt;=$O$2,$D61,$D61-($D61-$I$49)*MIN(L$3-$O$2,$Q$2)/$Q$2))</f>
        <v>8824.61688805266</v>
      </c>
      <c r="M61" s="15" t="n">
        <f aca="false">L61*(1+IF(M$3&lt;=$O$2,$D61,$D61-($D61-$I$49)*MIN(M$3-$O$2,$Q$2)/$Q$2))</f>
        <v>9106.77505054662</v>
      </c>
      <c r="N61" s="15" t="n">
        <f aca="false">M61*(1+IF(N$3&lt;=$O$2,$D61,$D61-($D61-$I$49)*MIN(N$3-$O$2,$Q$2)/$Q$2))</f>
        <v>9273.42903397162</v>
      </c>
      <c r="O61" s="15" t="n">
        <f aca="false">SUMPRODUCT(E61:N61,1/(1+$F$49)^$E$3:$N$3)*$E$2</f>
        <v>7607.36724054413</v>
      </c>
      <c r="P61" s="15" t="n">
        <f aca="false">N61*$E$2*(1+$I$49)/($F$49-$I$49)/(1+$F$49)^$N$3</f>
        <v>10047.9082733624</v>
      </c>
      <c r="Q61" s="15" t="n">
        <f aca="false">O61+P61</f>
        <v>17655.2755139065</v>
      </c>
      <c r="R61" s="15" t="n">
        <f aca="false">Q61-$G$2+$I$2</f>
        <v>12834.7755139065</v>
      </c>
      <c r="S61" s="42" t="n">
        <f aca="false">R61/$K$2</f>
        <v>66.987346105984</v>
      </c>
      <c r="T61" s="43" t="n">
        <f aca="false">S61-$M$2</f>
        <v>0.0249243940842234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0.0859375</v>
      </c>
      <c r="C62" s="25" t="n">
        <f aca="false">IF(T61&gt;0,D61,C61)</f>
        <v>0.086669921875</v>
      </c>
      <c r="D62" s="41" t="n">
        <f aca="false">(B62+C62)/2</f>
        <v>0.0863037109375</v>
      </c>
      <c r="E62" s="15" t="n">
        <f aca="false">$C$2*(1+IF(E$3&lt;=$O$2,$D62,$D62-($D62-$I$49)*MIN(E$3-$O$2,$Q$2)/$Q$2))</f>
        <v>5322.88818359375</v>
      </c>
      <c r="F62" s="15" t="n">
        <f aca="false">E62*(1+IF(F$3&lt;=$O$2,$D62,$D62-($D62-$I$49)*MIN(F$3-$O$2,$Q$2)/$Q$2))</f>
        <v>5782.27318674326</v>
      </c>
      <c r="G62" s="15" t="n">
        <f aca="false">F62*(1+IF(G$3&lt;=$O$2,$D62,$D62-($D62-$I$49)*MIN(G$3-$O$2,$Q$2)/$Q$2))</f>
        <v>6281.30482041361</v>
      </c>
      <c r="H62" s="15" t="n">
        <f aca="false">G62*(1+IF(H$3&lt;=$O$2,$D62,$D62-($D62-$I$49)*MIN(H$3-$O$2,$Q$2)/$Q$2))</f>
        <v>6823.40473594491</v>
      </c>
      <c r="I62" s="15" t="n">
        <f aca="false">H62*(1+IF(I$3&lt;=$O$2,$D62,$D62-($D62-$I$49)*MIN(I$3-$O$2,$Q$2)/$Q$2))</f>
        <v>7412.28988588547</v>
      </c>
      <c r="J62" s="15" t="n">
        <f aca="false">I62*(1+IF(J$3&lt;=$O$2,$D62,$D62-($D62-$I$49)*MIN(J$3-$O$2,$Q$2)/$Q$2))</f>
        <v>7951.18536582494</v>
      </c>
      <c r="K62" s="15" t="n">
        <f aca="false">J62*(1+IF(K$3&lt;=$O$2,$D62,$D62-($D62-$I$49)*MIN(K$3-$O$2,$Q$2)/$Q$2))</f>
        <v>8421.11812475636</v>
      </c>
      <c r="L62" s="15" t="n">
        <f aca="false">K62*(1+IF(L$3&lt;=$O$2,$D62,$D62-($D62-$I$49)*MIN(L$3-$O$2,$Q$2)/$Q$2))</f>
        <v>8804.29149952999</v>
      </c>
      <c r="M62" s="15" t="n">
        <f aca="false">L62*(1+IF(M$3&lt;=$O$2,$D62,$D62-($D62-$I$49)*MIN(M$3-$O$2,$Q$2)/$Q$2))</f>
        <v>9085.15493280009</v>
      </c>
      <c r="N62" s="15" t="n">
        <f aca="false">M62*(1+IF(N$3&lt;=$O$2,$D62,$D62-($D62-$I$49)*MIN(N$3-$O$2,$Q$2)/$Q$2))</f>
        <v>9251.41326807034</v>
      </c>
      <c r="O62" s="15" t="n">
        <f aca="false">SUMPRODUCT(E62:N62,1/(1+$F$49)^$E$3:$N$3)*$E$2</f>
        <v>7595.23947796943</v>
      </c>
      <c r="P62" s="15" t="n">
        <f aca="false">N62*$E$2*(1+$I$49)/($F$49-$I$49)/(1+$F$49)^$N$3</f>
        <v>10024.0538398477</v>
      </c>
      <c r="Q62" s="15" t="n">
        <f aca="false">O62+P62</f>
        <v>17619.2933178172</v>
      </c>
      <c r="R62" s="15" t="n">
        <f aca="false">Q62-$G$2+$I$2</f>
        <v>12798.7933178172</v>
      </c>
      <c r="S62" s="42" t="n">
        <f aca="false">R62/$K$2</f>
        <v>66.7995475877722</v>
      </c>
      <c r="T62" s="43" t="n">
        <f aca="false">S62-$M$2</f>
        <v>-0.162874124127598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0.0863037109375</v>
      </c>
      <c r="C63" s="25" t="n">
        <f aca="false">IF(T62&gt;0,D62,C62)</f>
        <v>0.086669921875</v>
      </c>
      <c r="D63" s="41" t="n">
        <f aca="false">(B63+C63)/2</f>
        <v>0.08648681640625</v>
      </c>
      <c r="E63" s="15" t="n">
        <f aca="false">$C$2*(1+IF(E$3&lt;=$O$2,$D63,$D63-($D63-$I$49)*MIN(E$3-$O$2,$Q$2)/$Q$2))</f>
        <v>5323.78540039063</v>
      </c>
      <c r="F63" s="15" t="n">
        <f aca="false">E63*(1+IF(F$3&lt;=$O$2,$D63,$D63-($D63-$I$49)*MIN(F$3-$O$2,$Q$2)/$Q$2))</f>
        <v>5784.22265090048</v>
      </c>
      <c r="G63" s="15" t="n">
        <f aca="false">F63*(1+IF(G$3&lt;=$O$2,$D63,$D63-($D63-$I$49)*MIN(G$3-$O$2,$Q$2)/$Q$2))</f>
        <v>6284.48165336179</v>
      </c>
      <c r="H63" s="15" t="n">
        <f aca="false">G63*(1+IF(H$3&lt;=$O$2,$D63,$D63-($D63-$I$49)*MIN(H$3-$O$2,$Q$2)/$Q$2))</f>
        <v>6828.00646432453</v>
      </c>
      <c r="I63" s="15" t="n">
        <f aca="false">H63*(1+IF(I$3&lt;=$O$2,$D63,$D63-($D63-$I$49)*MIN(I$3-$O$2,$Q$2)/$Q$2))</f>
        <v>7418.53900582526</v>
      </c>
      <c r="J63" s="15" t="n">
        <f aca="false">I63*(1+IF(J$3&lt;=$O$2,$D63,$D63-($D63-$I$49)*MIN(J$3-$O$2,$Q$2)/$Q$2))</f>
        <v>7958.97551538611</v>
      </c>
      <c r="K63" s="15" t="n">
        <f aca="false">J63*(1+IF(K$3&lt;=$O$2,$D63,$D63-($D63-$I$49)*MIN(K$3-$O$2,$Q$2)/$Q$2))</f>
        <v>8430.24308866736</v>
      </c>
      <c r="L63" s="15" t="n">
        <f aca="false">K63*(1+IF(L$3&lt;=$O$2,$D63,$D63-($D63-$I$49)*MIN(L$3-$O$2,$Q$2)/$Q$2))</f>
        <v>8814.44911228878</v>
      </c>
      <c r="M63" s="15" t="n">
        <f aca="false">L63*(1+IF(M$3&lt;=$O$2,$D63,$D63-($D63-$I$49)*MIN(M$3-$O$2,$Q$2)/$Q$2))</f>
        <v>9095.95937571204</v>
      </c>
      <c r="N63" s="15" t="n">
        <f aca="false">M63*(1+IF(N$3&lt;=$O$2,$D63,$D63-($D63-$I$49)*MIN(N$3-$O$2,$Q$2)/$Q$2))</f>
        <v>9262.41543228757</v>
      </c>
      <c r="O63" s="15" t="n">
        <f aca="false">SUMPRODUCT(E63:N63,1/(1+$F$49)^$E$3:$N$3)*$E$2</f>
        <v>7601.30094856983</v>
      </c>
      <c r="P63" s="15" t="n">
        <f aca="false">N63*$E$2*(1+$I$49)/($F$49-$I$49)/(1+$F$49)^$N$3</f>
        <v>10035.9748602662</v>
      </c>
      <c r="Q63" s="15" t="n">
        <f aca="false">O63+P63</f>
        <v>17637.275808836</v>
      </c>
      <c r="R63" s="15" t="n">
        <f aca="false">Q63-$G$2+$I$2</f>
        <v>12816.775808836</v>
      </c>
      <c r="S63" s="42" t="n">
        <f aca="false">R63/$K$2</f>
        <v>66.8934019250315</v>
      </c>
      <c r="T63" s="43" t="n">
        <f aca="false">S63-$M$2</f>
        <v>-0.0690197868683242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0.08648681640625</v>
      </c>
      <c r="C64" s="25" t="n">
        <f aca="false">IF(T63&gt;0,D63,C63)</f>
        <v>0.086669921875</v>
      </c>
      <c r="D64" s="41" t="n">
        <f aca="false">(B64+C64)/2</f>
        <v>0.086578369140625</v>
      </c>
      <c r="E64" s="15" t="n">
        <f aca="false">$C$2*(1+IF(E$3&lt;=$O$2,$D64,$D64-($D64-$I$49)*MIN(E$3-$O$2,$Q$2)/$Q$2))</f>
        <v>5324.23400878906</v>
      </c>
      <c r="F64" s="15" t="n">
        <f aca="false">E64*(1+IF(F$3&lt;=$O$2,$D64,$D64-($D64-$I$49)*MIN(F$3-$O$2,$Q$2)/$Q$2))</f>
        <v>5785.19750619307</v>
      </c>
      <c r="G64" s="15" t="n">
        <f aca="false">F64*(1+IF(G$3&lt;=$O$2,$D64,$D64-($D64-$I$49)*MIN(G$3-$O$2,$Q$2)/$Q$2))</f>
        <v>6286.07047143568</v>
      </c>
      <c r="H64" s="15" t="n">
        <f aca="false">G64*(1+IF(H$3&lt;=$O$2,$D64,$D64-($D64-$I$49)*MIN(H$3-$O$2,$Q$2)/$Q$2))</f>
        <v>6830.30820115562</v>
      </c>
      <c r="I64" s="15" t="n">
        <f aca="false">H64*(1+IF(I$3&lt;=$O$2,$D64,$D64-($D64-$I$49)*MIN(I$3-$O$2,$Q$2)/$Q$2))</f>
        <v>7421.66514593951</v>
      </c>
      <c r="J64" s="15" t="n">
        <f aca="false">I64*(1+IF(J$3&lt;=$O$2,$D64,$D64-($D64-$I$49)*MIN(J$3-$O$2,$Q$2)/$Q$2))</f>
        <v>7962.87297208826</v>
      </c>
      <c r="K64" s="15" t="n">
        <f aca="false">J64*(1+IF(K$3&lt;=$O$2,$D64,$D64-($D64-$I$49)*MIN(K$3-$O$2,$Q$2)/$Q$2))</f>
        <v>8434.80873560236</v>
      </c>
      <c r="L64" s="15" t="n">
        <f aca="false">K64*(1+IF(L$3&lt;=$O$2,$D64,$D64-($D64-$I$49)*MIN(L$3-$O$2,$Q$2)/$Q$2))</f>
        <v>8819.5317292559</v>
      </c>
      <c r="M64" s="15" t="n">
        <f aca="false">L64*(1+IF(M$3&lt;=$O$2,$D64,$D64-($D64-$I$49)*MIN(M$3-$O$2,$Q$2)/$Q$2))</f>
        <v>9101.3658085128</v>
      </c>
      <c r="N64" s="15" t="n">
        <f aca="false">M64*(1+IF(N$3&lt;=$O$2,$D64,$D64-($D64-$I$49)*MIN(N$3-$O$2,$Q$2)/$Q$2))</f>
        <v>9267.92080280858</v>
      </c>
      <c r="O64" s="15" t="n">
        <f aca="false">SUMPRODUCT(E64:N64,1/(1+$F$49)^$E$3:$N$3)*$E$2</f>
        <v>7604.33349166296</v>
      </c>
      <c r="P64" s="15" t="n">
        <f aca="false">N64*$E$2*(1+$I$49)/($F$49-$I$49)/(1+$F$49)^$N$3</f>
        <v>10041.9400170387</v>
      </c>
      <c r="Q64" s="15" t="n">
        <f aca="false">O64+P64</f>
        <v>17646.2735087016</v>
      </c>
      <c r="R64" s="15" t="n">
        <f aca="false">Q64-$G$2+$I$2</f>
        <v>12825.7735087016</v>
      </c>
      <c r="S64" s="42" t="n">
        <f aca="false">R64/$K$2</f>
        <v>66.9403627802799</v>
      </c>
      <c r="T64" s="43" t="n">
        <f aca="false">S64-$M$2</f>
        <v>-0.0220589316198812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0.086578369140625</v>
      </c>
      <c r="C65" s="25" t="n">
        <f aca="false">IF(T64&gt;0,D64,C64)</f>
        <v>0.086669921875</v>
      </c>
      <c r="D65" s="41" t="n">
        <f aca="false">(B65+C65)/2</f>
        <v>0.0866241455078125</v>
      </c>
      <c r="E65" s="15" t="n">
        <f aca="false">$C$2*(1+IF(E$3&lt;=$O$2,$D65,$D65-($D65-$I$49)*MIN(E$3-$O$2,$Q$2)/$Q$2))</f>
        <v>5324.45831298828</v>
      </c>
      <c r="F65" s="15" t="n">
        <f aca="false">E65*(1+IF(F$3&lt;=$O$2,$D65,$D65-($D65-$I$49)*MIN(F$3-$O$2,$Q$2)/$Q$2))</f>
        <v>5785.68496464286</v>
      </c>
      <c r="G65" s="15" t="n">
        <f aca="false">F65*(1+IF(G$3&lt;=$O$2,$D65,$D65-($D65-$I$49)*MIN(G$3-$O$2,$Q$2)/$Q$2))</f>
        <v>6286.86498088245</v>
      </c>
      <c r="H65" s="15" t="n">
        <f aca="false">G65*(1+IF(H$3&lt;=$O$2,$D65,$D65-($D65-$I$49)*MIN(H$3-$O$2,$Q$2)/$Q$2))</f>
        <v>6831.45928777438</v>
      </c>
      <c r="I65" s="15" t="n">
        <f aca="false">H65*(1+IF(I$3&lt;=$O$2,$D65,$D65-($D65-$I$49)*MIN(I$3-$O$2,$Q$2)/$Q$2))</f>
        <v>7423.22861114924</v>
      </c>
      <c r="J65" s="15" t="n">
        <f aca="false">I65*(1+IF(J$3&lt;=$O$2,$D65,$D65-($D65-$I$49)*MIN(J$3-$O$2,$Q$2)/$Q$2))</f>
        <v>7964.82229614601</v>
      </c>
      <c r="K65" s="15" t="n">
        <f aca="false">J65*(1+IF(K$3&lt;=$O$2,$D65,$D65-($D65-$I$49)*MIN(K$3-$O$2,$Q$2)/$Q$2))</f>
        <v>8437.09235066893</v>
      </c>
      <c r="L65" s="15" t="n">
        <f aca="false">K65*(1+IF(L$3&lt;=$O$2,$D65,$D65-($D65-$I$49)*MIN(L$3-$O$2,$Q$2)/$Q$2))</f>
        <v>8822.07399085815</v>
      </c>
      <c r="M65" s="15" t="n">
        <f aca="false">L65*(1+IF(M$3&lt;=$O$2,$D65,$D65-($D65-$I$49)*MIN(M$3-$O$2,$Q$2)/$Q$2))</f>
        <v>9104.07007829727</v>
      </c>
      <c r="N65" s="15" t="n">
        <f aca="false">M65*(1+IF(N$3&lt;=$O$2,$D65,$D65-($D65-$I$49)*MIN(N$3-$O$2,$Q$2)/$Q$2))</f>
        <v>9270.67456073011</v>
      </c>
      <c r="O65" s="15" t="n">
        <f aca="false">SUMPRODUCT(E65:N65,1/(1+$F$49)^$E$3:$N$3)*$E$2</f>
        <v>7605.85021535225</v>
      </c>
      <c r="P65" s="15" t="n">
        <f aca="false">N65*$E$2*(1+$I$49)/($F$49-$I$49)/(1+$F$49)^$N$3</f>
        <v>10044.9237576702</v>
      </c>
      <c r="Q65" s="15" t="n">
        <f aca="false">O65+P65</f>
        <v>17650.7739730225</v>
      </c>
      <c r="R65" s="15" t="n">
        <f aca="false">Q65-$G$2+$I$2</f>
        <v>12830.2739730225</v>
      </c>
      <c r="S65" s="42" t="n">
        <f aca="false">R65/$K$2</f>
        <v>66.963851633729</v>
      </c>
      <c r="T65" s="43" t="n">
        <f aca="false">S65-$M$2</f>
        <v>0.00142992182924218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0.086578369140625</v>
      </c>
      <c r="C66" s="25" t="n">
        <f aca="false">IF(T65&gt;0,D65,C65)</f>
        <v>0.0866241455078125</v>
      </c>
      <c r="D66" s="41" t="n">
        <f aca="false">(B66+C66)/2</f>
        <v>0.0866012573242188</v>
      </c>
      <c r="E66" s="15" t="n">
        <f aca="false">$C$2*(1+IF(E$3&lt;=$O$2,$D66,$D66-($D66-$I$49)*MIN(E$3-$O$2,$Q$2)/$Q$2))</f>
        <v>5324.34616088867</v>
      </c>
      <c r="F66" s="15" t="n">
        <f aca="false">E66*(1+IF(F$3&lt;=$O$2,$D66,$D66-($D66-$I$49)*MIN(F$3-$O$2,$Q$2)/$Q$2))</f>
        <v>5785.44123285101</v>
      </c>
      <c r="G66" s="15" t="n">
        <f aca="false">F66*(1+IF(G$3&lt;=$O$2,$D66,$D66-($D66-$I$49)*MIN(G$3-$O$2,$Q$2)/$Q$2))</f>
        <v>6286.46771779128</v>
      </c>
      <c r="H66" s="15" t="n">
        <f aca="false">G66*(1+IF(H$3&lt;=$O$2,$D66,$D66-($D66-$I$49)*MIN(H$3-$O$2,$Q$2)/$Q$2))</f>
        <v>6830.88372628012</v>
      </c>
      <c r="I66" s="15" t="n">
        <f aca="false">H66*(1+IF(I$3&lt;=$O$2,$D66,$D66-($D66-$I$49)*MIN(I$3-$O$2,$Q$2)/$Q$2))</f>
        <v>7422.44684561152</v>
      </c>
      <c r="J66" s="15" t="n">
        <f aca="false">I66*(1+IF(J$3&lt;=$O$2,$D66,$D66-($D66-$I$49)*MIN(J$3-$O$2,$Q$2)/$Q$2))</f>
        <v>7963.84758446817</v>
      </c>
      <c r="K66" s="15" t="n">
        <f aca="false">J66*(1+IF(K$3&lt;=$O$2,$D66,$D66-($D66-$I$49)*MIN(K$3-$O$2,$Q$2)/$Q$2))</f>
        <v>8435.95047715851</v>
      </c>
      <c r="L66" s="15" t="n">
        <f aca="false">K66*(1+IF(L$3&lt;=$O$2,$D66,$D66-($D66-$I$49)*MIN(L$3-$O$2,$Q$2)/$Q$2))</f>
        <v>8820.80278061642</v>
      </c>
      <c r="M66" s="15" t="n">
        <f aca="false">L66*(1+IF(M$3&lt;=$O$2,$D66,$D66-($D66-$I$49)*MIN(M$3-$O$2,$Q$2)/$Q$2))</f>
        <v>9102.71785560671</v>
      </c>
      <c r="N66" s="15" t="n">
        <f aca="false">M66*(1+IF(N$3&lt;=$O$2,$D66,$D66-($D66-$I$49)*MIN(N$3-$O$2,$Q$2)/$Q$2))</f>
        <v>9269.29759236432</v>
      </c>
      <c r="O66" s="15" t="n">
        <f aca="false">SUMPRODUCT(E66:N66,1/(1+$F$49)^$E$3:$N$3)*$E$2</f>
        <v>7605.09181582326</v>
      </c>
      <c r="P66" s="15" t="n">
        <f aca="false">N66*$E$2*(1+$I$49)/($F$49-$I$49)/(1+$F$49)^$N$3</f>
        <v>10043.4317904827</v>
      </c>
      <c r="Q66" s="15" t="n">
        <f aca="false">O66+P66</f>
        <v>17648.5236063059</v>
      </c>
      <c r="R66" s="15" t="n">
        <f aca="false">Q66-$G$2+$I$2</f>
        <v>12828.0236063059</v>
      </c>
      <c r="S66" s="42" t="n">
        <f aca="false">R66/$K$2</f>
        <v>66.9521065047282</v>
      </c>
      <c r="T66" s="43" t="n">
        <f aca="false">S66-$M$2</f>
        <v>-0.0103152071715726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0.0866012573242188</v>
      </c>
      <c r="C67" s="25" t="n">
        <f aca="false">IF(T66&gt;0,D66,C66)</f>
        <v>0.0866241455078125</v>
      </c>
      <c r="D67" s="41" t="n">
        <f aca="false">(B67+C67)/2</f>
        <v>0.0866127014160156</v>
      </c>
      <c r="E67" s="15" t="n">
        <f aca="false">$C$2*(1+IF(E$3&lt;=$O$2,$D67,$D67-($D67-$I$49)*MIN(E$3-$O$2,$Q$2)/$Q$2))</f>
        <v>5324.40223693848</v>
      </c>
      <c r="F67" s="15" t="n">
        <f aca="false">E67*(1+IF(F$3&lt;=$O$2,$D67,$D67-($D67-$I$49)*MIN(F$3-$O$2,$Q$2)/$Q$2))</f>
        <v>5785.56309810519</v>
      </c>
      <c r="G67" s="15" t="n">
        <f aca="false">F67*(1+IF(G$3&lt;=$O$2,$D67,$D67-($D67-$I$49)*MIN(G$3-$O$2,$Q$2)/$Q$2))</f>
        <v>6286.6663472449</v>
      </c>
      <c r="H67" s="15" t="n">
        <f aca="false">G67*(1+IF(H$3&lt;=$O$2,$D67,$D67-($D67-$I$49)*MIN(H$3-$O$2,$Q$2)/$Q$2))</f>
        <v>6831.17150248093</v>
      </c>
      <c r="I67" s="15" t="n">
        <f aca="false">H67*(1+IF(I$3&lt;=$O$2,$D67,$D67-($D67-$I$49)*MIN(I$3-$O$2,$Q$2)/$Q$2))</f>
        <v>7422.83772014691</v>
      </c>
      <c r="J67" s="15" t="n">
        <f aca="false">I67*(1+IF(J$3&lt;=$O$2,$D67,$D67-($D67-$I$49)*MIN(J$3-$O$2,$Q$2)/$Q$2))</f>
        <v>7964.33492789435</v>
      </c>
      <c r="K67" s="15" t="n">
        <f aca="false">J67*(1+IF(K$3&lt;=$O$2,$D67,$D67-($D67-$I$49)*MIN(K$3-$O$2,$Q$2)/$Q$2))</f>
        <v>8436.52139741865</v>
      </c>
      <c r="L67" s="15" t="n">
        <f aca="false">K67*(1+IF(L$3&lt;=$O$2,$D67,$D67-($D67-$I$49)*MIN(L$3-$O$2,$Q$2)/$Q$2))</f>
        <v>8821.43836587608</v>
      </c>
      <c r="M67" s="15" t="n">
        <f aca="false">L67*(1+IF(M$3&lt;=$O$2,$D67,$D67-($D67-$I$49)*MIN(M$3-$O$2,$Q$2)/$Q$2))</f>
        <v>9103.39394500119</v>
      </c>
      <c r="N67" s="15" t="n">
        <f aca="false">M67*(1+IF(N$3&lt;=$O$2,$D67,$D67-($D67-$I$49)*MIN(N$3-$O$2,$Q$2)/$Q$2))</f>
        <v>9269.98605419471</v>
      </c>
      <c r="O67" s="15" t="n">
        <f aca="false">SUMPRODUCT(E67:N67,1/(1+$F$49)^$E$3:$N$3)*$E$2</f>
        <v>7605.47100616623</v>
      </c>
      <c r="P67" s="15" t="n">
        <f aca="false">N67*$E$2*(1+$I$49)/($F$49-$I$49)/(1+$F$49)^$N$3</f>
        <v>10044.1777498572</v>
      </c>
      <c r="Q67" s="15" t="n">
        <f aca="false">O67+P67</f>
        <v>17649.6487560234</v>
      </c>
      <c r="R67" s="15" t="n">
        <f aca="false">Q67-$G$2+$I$2</f>
        <v>12829.1487560234</v>
      </c>
      <c r="S67" s="42" t="n">
        <f aca="false">R67/$K$2</f>
        <v>66.9579788936503</v>
      </c>
      <c r="T67" s="43" t="n">
        <f aca="false">S67-$M$2</f>
        <v>-0.00444281824952952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0.0866127014160156</v>
      </c>
      <c r="C68" s="25" t="n">
        <f aca="false">IF(T67&gt;0,D67,C67)</f>
        <v>0.0866241455078125</v>
      </c>
      <c r="D68" s="41" t="n">
        <f aca="false">(B68+C68)/2</f>
        <v>0.0866184234619141</v>
      </c>
      <c r="E68" s="15" t="n">
        <f aca="false">$C$2*(1+IF(E$3&lt;=$O$2,$D68,$D68-($D68-$I$49)*MIN(E$3-$O$2,$Q$2)/$Q$2))</f>
        <v>5324.43027496338</v>
      </c>
      <c r="F68" s="15" t="n">
        <f aca="false">E68*(1+IF(F$3&lt;=$O$2,$D68,$D68-($D68-$I$49)*MIN(F$3-$O$2,$Q$2)/$Q$2))</f>
        <v>5785.62403121359</v>
      </c>
      <c r="G68" s="15" t="n">
        <f aca="false">F68*(1+IF(G$3&lt;=$O$2,$D68,$D68-($D68-$I$49)*MIN(G$3-$O$2,$Q$2)/$Q$2))</f>
        <v>6286.76566354068</v>
      </c>
      <c r="H68" s="15" t="n">
        <f aca="false">G68*(1+IF(H$3&lt;=$O$2,$D68,$D68-($D68-$I$49)*MIN(H$3-$O$2,$Q$2)/$Q$2))</f>
        <v>6831.31539399107</v>
      </c>
      <c r="I68" s="15" t="n">
        <f aca="false">H68*(1+IF(I$3&lt;=$O$2,$D68,$D68-($D68-$I$49)*MIN(I$3-$O$2,$Q$2)/$Q$2))</f>
        <v>7423.03316358968</v>
      </c>
      <c r="J68" s="15" t="n">
        <f aca="false">I68*(1+IF(J$3&lt;=$O$2,$D68,$D68-($D68-$I$49)*MIN(J$3-$O$2,$Q$2)/$Q$2))</f>
        <v>7964.57860891693</v>
      </c>
      <c r="K68" s="15" t="n">
        <f aca="false">J68*(1+IF(K$3&lt;=$O$2,$D68,$D68-($D68-$I$49)*MIN(K$3-$O$2,$Q$2)/$Q$2))</f>
        <v>8436.80686991992</v>
      </c>
      <c r="L68" s="15" t="n">
        <f aca="false">K68*(1+IF(L$3&lt;=$O$2,$D68,$D68-($D68-$I$49)*MIN(L$3-$O$2,$Q$2)/$Q$2))</f>
        <v>8821.75617340169</v>
      </c>
      <c r="M68" s="15" t="n">
        <f aca="false">L68*(1+IF(M$3&lt;=$O$2,$D68,$D68-($D68-$I$49)*MIN(M$3-$O$2,$Q$2)/$Q$2))</f>
        <v>9103.73200616138</v>
      </c>
      <c r="N68" s="15" t="n">
        <f aca="false">M68*(1+IF(N$3&lt;=$O$2,$D68,$D68-($D68-$I$49)*MIN(N$3-$O$2,$Q$2)/$Q$2))</f>
        <v>9270.33030187413</v>
      </c>
      <c r="O68" s="15" t="n">
        <f aca="false">SUMPRODUCT(E68:N68,1/(1+$F$49)^$E$3:$N$3)*$E$2</f>
        <v>7605.66060840381</v>
      </c>
      <c r="P68" s="15" t="n">
        <f aca="false">N68*$E$2*(1+$I$49)/($F$49-$I$49)/(1+$F$49)^$N$3</f>
        <v>10044.5507477087</v>
      </c>
      <c r="Q68" s="15" t="n">
        <f aca="false">O68+P68</f>
        <v>17650.2113561125</v>
      </c>
      <c r="R68" s="15" t="n">
        <f aca="false">Q68-$G$2+$I$2</f>
        <v>12829.7113561125</v>
      </c>
      <c r="S68" s="42" t="n">
        <f aca="false">R68/$K$2</f>
        <v>66.9609152197939</v>
      </c>
      <c r="T68" s="43" t="n">
        <f aca="false">S68-$M$2</f>
        <v>-0.00150649210590359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0.0866184234619141</v>
      </c>
      <c r="C69" s="25" t="n">
        <f aca="false">IF(T68&gt;0,D68,C68)</f>
        <v>0.0866241455078125</v>
      </c>
      <c r="D69" s="41" t="n">
        <f aca="false">(B69+C69)/2</f>
        <v>0.0866212844848633</v>
      </c>
      <c r="E69" s="15" t="n">
        <f aca="false">$C$2*(1+IF(E$3&lt;=$O$2,$D69,$D69-($D69-$I$49)*MIN(E$3-$O$2,$Q$2)/$Q$2))</f>
        <v>5324.44429397583</v>
      </c>
      <c r="F69" s="15" t="n">
        <f aca="false">E69*(1+IF(F$3&lt;=$O$2,$D69,$D69-($D69-$I$49)*MIN(F$3-$O$2,$Q$2)/$Q$2))</f>
        <v>5785.65449788812</v>
      </c>
      <c r="G69" s="15" t="n">
        <f aca="false">F69*(1+IF(G$3&lt;=$O$2,$D69,$D69-($D69-$I$49)*MIN(G$3-$O$2,$Q$2)/$Q$2))</f>
        <v>6286.81532208081</v>
      </c>
      <c r="H69" s="15" t="n">
        <f aca="false">G69*(1+IF(H$3&lt;=$O$2,$D69,$D69-($D69-$I$49)*MIN(H$3-$O$2,$Q$2)/$Q$2))</f>
        <v>6831.38734059857</v>
      </c>
      <c r="I69" s="15" t="n">
        <f aca="false">H69*(1+IF(I$3&lt;=$O$2,$D69,$D69-($D69-$I$49)*MIN(I$3-$O$2,$Q$2)/$Q$2))</f>
        <v>7423.13088685486</v>
      </c>
      <c r="J69" s="15" t="n">
        <f aca="false">I69*(1+IF(J$3&lt;=$O$2,$D69,$D69-($D69-$I$49)*MIN(J$3-$O$2,$Q$2)/$Q$2))</f>
        <v>7964.70045175565</v>
      </c>
      <c r="K69" s="15" t="n">
        <f aca="false">J69*(1+IF(K$3&lt;=$O$2,$D69,$D69-($D69-$I$49)*MIN(K$3-$O$2,$Q$2)/$Q$2))</f>
        <v>8436.94960926345</v>
      </c>
      <c r="L69" s="15" t="n">
        <f aca="false">K69*(1+IF(L$3&lt;=$O$2,$D69,$D69-($D69-$I$49)*MIN(L$3-$O$2,$Q$2)/$Q$2))</f>
        <v>8821.91508088854</v>
      </c>
      <c r="M69" s="15" t="n">
        <f aca="false">L69*(1+IF(M$3&lt;=$O$2,$D69,$D69-($D69-$I$49)*MIN(M$3-$O$2,$Q$2)/$Q$2))</f>
        <v>9103.90104085734</v>
      </c>
      <c r="N69" s="15" t="n">
        <f aca="false">M69*(1+IF(N$3&lt;=$O$2,$D69,$D69-($D69-$I$49)*MIN(N$3-$O$2,$Q$2)/$Q$2))</f>
        <v>9270.50242990503</v>
      </c>
      <c r="O69" s="15" t="n">
        <f aca="false">SUMPRODUCT(E69:N69,1/(1+$F$49)^$E$3:$N$3)*$E$2</f>
        <v>7605.75541128916</v>
      </c>
      <c r="P69" s="15" t="n">
        <f aca="false">N69*$E$2*(1+$I$49)/($F$49-$I$49)/(1+$F$49)^$N$3</f>
        <v>10044.7372511757</v>
      </c>
      <c r="Q69" s="15" t="n">
        <f aca="false">O69+P69</f>
        <v>17650.4926624649</v>
      </c>
      <c r="R69" s="15" t="n">
        <f aca="false">Q69-$G$2+$I$2</f>
        <v>12829.9926624649</v>
      </c>
      <c r="S69" s="42" t="n">
        <f aca="false">R69/$K$2</f>
        <v>66.9623834157874</v>
      </c>
      <c r="T69" s="43" t="n">
        <f aca="false">S69-$M$2</f>
        <v>-3.82961124358872E-005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0.0866212844848633</v>
      </c>
      <c r="C70" s="25" t="n">
        <f aca="false">IF(T69&gt;0,D69,C69)</f>
        <v>0.0866241455078125</v>
      </c>
      <c r="D70" s="41" t="n">
        <f aca="false">(B70+C70)/2</f>
        <v>0.0866227149963379</v>
      </c>
      <c r="E70" s="15" t="n">
        <f aca="false">$C$2*(1+IF(E$3&lt;=$O$2,$D70,$D70-($D70-$I$49)*MIN(E$3-$O$2,$Q$2)/$Q$2))</f>
        <v>5324.45130348206</v>
      </c>
      <c r="F70" s="15" t="n">
        <f aca="false">E70*(1+IF(F$3&lt;=$O$2,$D70,$D70-($D70-$I$49)*MIN(F$3-$O$2,$Q$2)/$Q$2))</f>
        <v>5785.66973125546</v>
      </c>
      <c r="G70" s="15" t="n">
        <f aca="false">F70*(1+IF(G$3&lt;=$O$2,$D70,$D70-($D70-$I$49)*MIN(G$3-$O$2,$Q$2)/$Q$2))</f>
        <v>6286.84015144894</v>
      </c>
      <c r="H70" s="15" t="n">
        <f aca="false">G70*(1+IF(H$3&lt;=$O$2,$D70,$D70-($D70-$I$49)*MIN(H$3-$O$2,$Q$2)/$Q$2))</f>
        <v>6831.42331411544</v>
      </c>
      <c r="I70" s="15" t="n">
        <f aca="false">H70*(1+IF(I$3&lt;=$O$2,$D70,$D70-($D70-$I$49)*MIN(I$3-$O$2,$Q$2)/$Q$2))</f>
        <v>7423.1797488734</v>
      </c>
      <c r="J70" s="15" t="n">
        <f aca="false">I70*(1+IF(J$3&lt;=$O$2,$D70,$D70-($D70-$I$49)*MIN(J$3-$O$2,$Q$2)/$Q$2))</f>
        <v>7964.76137375687</v>
      </c>
      <c r="K70" s="15" t="n">
        <f aca="false">J70*(1+IF(K$3&lt;=$O$2,$D70,$D70-($D70-$I$49)*MIN(K$3-$O$2,$Q$2)/$Q$2))</f>
        <v>8437.02097970844</v>
      </c>
      <c r="L70" s="15" t="n">
        <f aca="false">K70*(1+IF(L$3&lt;=$O$2,$D70,$D70-($D70-$I$49)*MIN(L$3-$O$2,$Q$2)/$Q$2))</f>
        <v>8821.994535563</v>
      </c>
      <c r="M70" s="15" t="n">
        <f aca="false">L70*(1+IF(M$3&lt;=$O$2,$D70,$D70-($D70-$I$49)*MIN(M$3-$O$2,$Q$2)/$Q$2))</f>
        <v>9103.98555923431</v>
      </c>
      <c r="N70" s="15" t="n">
        <f aca="false">M70*(1+IF(N$3&lt;=$O$2,$D70,$D70-($D70-$I$49)*MIN(N$3-$O$2,$Q$2)/$Q$2))</f>
        <v>9270.5884949683</v>
      </c>
      <c r="O70" s="15" t="n">
        <f aca="false">SUMPRODUCT(E70:N70,1/(1+$F$49)^$E$3:$N$3)*$E$2</f>
        <v>7605.80281317349</v>
      </c>
      <c r="P70" s="15" t="n">
        <f aca="false">N70*$E$2*(1+$I$49)/($F$49-$I$49)/(1+$F$49)^$N$3</f>
        <v>10044.8305040445</v>
      </c>
      <c r="Q70" s="15" t="n">
        <f aca="false">O70+P70</f>
        <v>17650.633317218</v>
      </c>
      <c r="R70" s="15" t="n">
        <f aca="false">Q70-$G$2+$I$2</f>
        <v>12830.133317218</v>
      </c>
      <c r="S70" s="42" t="n">
        <f aca="false">R70/$K$2</f>
        <v>66.9631175220147</v>
      </c>
      <c r="T70" s="43" t="n">
        <f aca="false">S70-$M$2</f>
        <v>0.000695810114876849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0.0866212844848633</v>
      </c>
      <c r="C71" s="25" t="n">
        <f aca="false">IF(T70&gt;0,D70,C70)</f>
        <v>0.0866227149963379</v>
      </c>
      <c r="D71" s="41" t="n">
        <f aca="false">(B71+C71)/2</f>
        <v>0.0866219997406006</v>
      </c>
      <c r="E71" s="15" t="n">
        <f aca="false">$C$2*(1+IF(E$3&lt;=$O$2,$D71,$D71-($D71-$I$49)*MIN(E$3-$O$2,$Q$2)/$Q$2))</f>
        <v>5324.44779872894</v>
      </c>
      <c r="F71" s="15" t="n">
        <f aca="false">E71*(1+IF(F$3&lt;=$O$2,$D71,$D71-($D71-$I$49)*MIN(F$3-$O$2,$Q$2)/$Q$2))</f>
        <v>5785.66211456928</v>
      </c>
      <c r="G71" s="15" t="n">
        <f aca="false">F71*(1+IF(G$3&lt;=$O$2,$D71,$D71-($D71-$I$49)*MIN(G$3-$O$2,$Q$2)/$Q$2))</f>
        <v>6286.82773675671</v>
      </c>
      <c r="H71" s="15" t="n">
        <f aca="false">G71*(1+IF(H$3&lt;=$O$2,$D71,$D71-($D71-$I$49)*MIN(H$3-$O$2,$Q$2)/$Q$2))</f>
        <v>6831.40532733925</v>
      </c>
      <c r="I71" s="15" t="n">
        <f aca="false">H71*(1+IF(I$3&lt;=$O$2,$D71,$D71-($D71-$I$49)*MIN(I$3-$O$2,$Q$2)/$Q$2))</f>
        <v>7423.15531783196</v>
      </c>
      <c r="J71" s="15" t="n">
        <f aca="false">I71*(1+IF(J$3&lt;=$O$2,$D71,$D71-($D71-$I$49)*MIN(J$3-$O$2,$Q$2)/$Q$2))</f>
        <v>7964.73091270777</v>
      </c>
      <c r="K71" s="15" t="n">
        <f aca="false">J71*(1+IF(K$3&lt;=$O$2,$D71,$D71-($D71-$I$49)*MIN(K$3-$O$2,$Q$2)/$Q$2))</f>
        <v>8436.98529442151</v>
      </c>
      <c r="L71" s="15" t="n">
        <f aca="false">K71*(1+IF(L$3&lt;=$O$2,$D71,$D71-($D71-$I$49)*MIN(L$3-$O$2,$Q$2)/$Q$2))</f>
        <v>8821.95480814819</v>
      </c>
      <c r="M71" s="15" t="n">
        <f aca="false">L71*(1+IF(M$3&lt;=$O$2,$D71,$D71-($D71-$I$49)*MIN(M$3-$O$2,$Q$2)/$Q$2))</f>
        <v>9103.94329996008</v>
      </c>
      <c r="N71" s="15" t="n">
        <f aca="false">M71*(1+IF(N$3&lt;=$O$2,$D71,$D71-($D71-$I$49)*MIN(N$3-$O$2,$Q$2)/$Q$2))</f>
        <v>9270.54546234934</v>
      </c>
      <c r="O71" s="15" t="n">
        <f aca="false">SUMPRODUCT(E71:N71,1/(1+$F$49)^$E$3:$N$3)*$E$2</f>
        <v>7605.77911219452</v>
      </c>
      <c r="P71" s="15" t="n">
        <f aca="false">N71*$E$2*(1+$I$49)/($F$49-$I$49)/(1+$F$49)^$N$3</f>
        <v>10044.7838775155</v>
      </c>
      <c r="Q71" s="15" t="n">
        <f aca="false">O71+P71</f>
        <v>17650.56298971</v>
      </c>
      <c r="R71" s="15" t="n">
        <f aca="false">Q71-$G$2+$I$2</f>
        <v>12830.06298971</v>
      </c>
      <c r="S71" s="42" t="n">
        <f aca="false">R71/$K$2</f>
        <v>66.9627504682151</v>
      </c>
      <c r="T71" s="43" t="n">
        <f aca="false">S71-$M$2</f>
        <v>0.000328756315326473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0.0866212844848633</v>
      </c>
      <c r="C72" s="25" t="n">
        <f aca="false">IF(T71&gt;0,D71,C71)</f>
        <v>0.0866219997406006</v>
      </c>
      <c r="D72" s="41" t="n">
        <f aca="false">(B72+C72)/2</f>
        <v>0.0866216421127319</v>
      </c>
      <c r="E72" s="15" t="n">
        <f aca="false">$C$2*(1+IF(E$3&lt;=$O$2,$D72,$D72-($D72-$I$49)*MIN(E$3-$O$2,$Q$2)/$Q$2))</f>
        <v>5324.44604635239</v>
      </c>
      <c r="F72" s="15" t="n">
        <f aca="false">E72*(1+IF(F$3&lt;=$O$2,$D72,$D72-($D72-$I$49)*MIN(F$3-$O$2,$Q$2)/$Q$2))</f>
        <v>5785.65830622807</v>
      </c>
      <c r="G72" s="15" t="n">
        <f aca="false">F72*(1+IF(G$3&lt;=$O$2,$D72,$D72-($D72-$I$49)*MIN(G$3-$O$2,$Q$2)/$Q$2))</f>
        <v>6286.82152941672</v>
      </c>
      <c r="H72" s="15" t="n">
        <f aca="false">G72*(1+IF(H$3&lt;=$O$2,$D72,$D72-($D72-$I$49)*MIN(H$3-$O$2,$Q$2)/$Q$2))</f>
        <v>6831.39633396447</v>
      </c>
      <c r="I72" s="15" t="n">
        <f aca="false">H72*(1+IF(I$3&lt;=$O$2,$D72,$D72-($D72-$I$49)*MIN(I$3-$O$2,$Q$2)/$Q$2))</f>
        <v>7423.14310233537</v>
      </c>
      <c r="J72" s="15" t="n">
        <f aca="false">I72*(1+IF(J$3&lt;=$O$2,$D72,$D72-($D72-$I$49)*MIN(J$3-$O$2,$Q$2)/$Q$2))</f>
        <v>7964.71568221959</v>
      </c>
      <c r="K72" s="15" t="n">
        <f aca="false">J72*(1+IF(K$3&lt;=$O$2,$D72,$D72-($D72-$I$49)*MIN(K$3-$O$2,$Q$2)/$Q$2))</f>
        <v>8436.96745182637</v>
      </c>
      <c r="L72" s="15" t="n">
        <f aca="false">K72*(1+IF(L$3&lt;=$O$2,$D72,$D72-($D72-$I$49)*MIN(L$3-$O$2,$Q$2)/$Q$2))</f>
        <v>8821.93494449897</v>
      </c>
      <c r="M72" s="15" t="n">
        <f aca="false">L72*(1+IF(M$3&lt;=$O$2,$D72,$D72-($D72-$I$49)*MIN(M$3-$O$2,$Q$2)/$Q$2))</f>
        <v>9103.92217038727</v>
      </c>
      <c r="N72" s="15" t="n">
        <f aca="false">M72*(1+IF(N$3&lt;=$O$2,$D72,$D72-($D72-$I$49)*MIN(N$3-$O$2,$Q$2)/$Q$2))</f>
        <v>9270.52394610536</v>
      </c>
      <c r="O72" s="15" t="n">
        <f aca="false">SUMPRODUCT(E72:N72,1/(1+$F$49)^$E$3:$N$3)*$E$2</f>
        <v>7605.76726173264</v>
      </c>
      <c r="P72" s="15" t="n">
        <f aca="false">N72*$E$2*(1+$I$49)/($F$49-$I$49)/(1+$F$49)^$N$3</f>
        <v>10044.7605643219</v>
      </c>
      <c r="Q72" s="15" t="n">
        <f aca="false">O72+P72</f>
        <v>17650.5278260546</v>
      </c>
      <c r="R72" s="15" t="n">
        <f aca="false">Q72-$G$2+$I$2</f>
        <v>12830.0278260546</v>
      </c>
      <c r="S72" s="42" t="n">
        <f aca="false">R72/$K$2</f>
        <v>66.9625669418298</v>
      </c>
      <c r="T72" s="43" t="n">
        <f aca="false">S72-$M$2</f>
        <v>0.000145229930012647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0.0866212844848633</v>
      </c>
      <c r="C73" s="25" t="n">
        <f aca="false">IF(T72&gt;0,D72,C72)</f>
        <v>0.0866216421127319</v>
      </c>
      <c r="D73" s="41" t="n">
        <f aca="false">(B73+C73)/2</f>
        <v>0.0866214632987976</v>
      </c>
      <c r="E73" s="15" t="n">
        <f aca="false">$C$2*(1+IF(E$3&lt;=$O$2,$D73,$D73-($D73-$I$49)*MIN(E$3-$O$2,$Q$2)/$Q$2))</f>
        <v>5324.44517016411</v>
      </c>
      <c r="F73" s="15" t="n">
        <f aca="false">E73*(1+IF(F$3&lt;=$O$2,$D73,$D73-($D73-$I$49)*MIN(F$3-$O$2,$Q$2)/$Q$2))</f>
        <v>5785.65640205794</v>
      </c>
      <c r="G73" s="15" t="n">
        <f aca="false">F73*(1+IF(G$3&lt;=$O$2,$D73,$D73-($D73-$I$49)*MIN(G$3-$O$2,$Q$2)/$Q$2))</f>
        <v>6286.81842574825</v>
      </c>
      <c r="H73" s="15" t="n">
        <f aca="false">G73*(1+IF(H$3&lt;=$O$2,$D73,$D73-($D73-$I$49)*MIN(H$3-$O$2,$Q$2)/$Q$2))</f>
        <v>6831.39183728041</v>
      </c>
      <c r="I73" s="15" t="n">
        <f aca="false">H73*(1+IF(I$3&lt;=$O$2,$D73,$D73-($D73-$I$49)*MIN(I$3-$O$2,$Q$2)/$Q$2))</f>
        <v>7423.1369945931</v>
      </c>
      <c r="J73" s="15" t="n">
        <f aca="false">I73*(1+IF(J$3&lt;=$O$2,$D73,$D73-($D73-$I$49)*MIN(J$3-$O$2,$Q$2)/$Q$2))</f>
        <v>7964.70806698459</v>
      </c>
      <c r="K73" s="15" t="n">
        <f aca="false">J73*(1+IF(K$3&lt;=$O$2,$D73,$D73-($D73-$I$49)*MIN(K$3-$O$2,$Q$2)/$Q$2))</f>
        <v>8436.95853054088</v>
      </c>
      <c r="L73" s="15" t="n">
        <f aca="false">K73*(1+IF(L$3&lt;=$O$2,$D73,$D73-($D73-$I$49)*MIN(L$3-$O$2,$Q$2)/$Q$2))</f>
        <v>8821.92501268891</v>
      </c>
      <c r="M73" s="15" t="n">
        <f aca="false">L73*(1+IF(M$3&lt;=$O$2,$D73,$D73-($D73-$I$49)*MIN(M$3-$O$2,$Q$2)/$Q$2))</f>
        <v>9103.91160561695</v>
      </c>
      <c r="N73" s="15" t="n">
        <f aca="false">M73*(1+IF(N$3&lt;=$O$2,$D73,$D73-($D73-$I$49)*MIN(N$3-$O$2,$Q$2)/$Q$2))</f>
        <v>9270.51318799974</v>
      </c>
      <c r="O73" s="15" t="n">
        <f aca="false">SUMPRODUCT(E73:N73,1/(1+$F$49)^$E$3:$N$3)*$E$2</f>
        <v>7605.7613365086</v>
      </c>
      <c r="P73" s="15" t="n">
        <f aca="false">N73*$E$2*(1+$I$49)/($F$49-$I$49)/(1+$F$49)^$N$3</f>
        <v>10044.7489077429</v>
      </c>
      <c r="Q73" s="15" t="n">
        <f aca="false">O73+P73</f>
        <v>17650.5102442515</v>
      </c>
      <c r="R73" s="15" t="n">
        <f aca="false">Q73-$G$2+$I$2</f>
        <v>12830.0102442515</v>
      </c>
      <c r="S73" s="42" t="n">
        <f aca="false">R73/$K$2</f>
        <v>66.9624751787657</v>
      </c>
      <c r="T73" s="43" t="n">
        <f aca="false">S73-$M$2</f>
        <v>5.34668659355475E-005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0.0866212844848633</v>
      </c>
      <c r="C74" s="25" t="n">
        <f aca="false">IF(T73&gt;0,D73,C73)</f>
        <v>0.0866214632987976</v>
      </c>
      <c r="D74" s="41" t="n">
        <f aca="false">(B74+C74)/2</f>
        <v>0.0866213738918304</v>
      </c>
      <c r="E74" s="15" t="n">
        <f aca="false">$C$2*(1+IF(E$3&lt;=$O$2,$D74,$D74-($D74-$I$49)*MIN(E$3-$O$2,$Q$2)/$Q$2))</f>
        <v>5324.44473206997</v>
      </c>
      <c r="F74" s="15" t="n">
        <f aca="false">E74*(1+IF(F$3&lt;=$O$2,$D74,$D74-($D74-$I$49)*MIN(F$3-$O$2,$Q$2)/$Q$2))</f>
        <v>5785.65544997299</v>
      </c>
      <c r="G74" s="15" t="n">
        <f aca="false">F74*(1+IF(G$3&lt;=$O$2,$D74,$D74-($D74-$I$49)*MIN(G$3-$O$2,$Q$2)/$Q$2))</f>
        <v>6286.81687391441</v>
      </c>
      <c r="H74" s="15" t="n">
        <f aca="false">G74*(1+IF(H$3&lt;=$O$2,$D74,$D74-($D74-$I$49)*MIN(H$3-$O$2,$Q$2)/$Q$2))</f>
        <v>6831.38958893921</v>
      </c>
      <c r="I74" s="15" t="n">
        <f aca="false">H74*(1+IF(I$3&lt;=$O$2,$D74,$D74-($D74-$I$49)*MIN(I$3-$O$2,$Q$2)/$Q$2))</f>
        <v>7423.13394072348</v>
      </c>
      <c r="J74" s="15" t="n">
        <f aca="false">I74*(1+IF(J$3&lt;=$O$2,$D74,$D74-($D74-$I$49)*MIN(J$3-$O$2,$Q$2)/$Q$2))</f>
        <v>7964.70425936936</v>
      </c>
      <c r="K74" s="15" t="n">
        <f aca="false">J74*(1+IF(K$3&lt;=$O$2,$D74,$D74-($D74-$I$49)*MIN(K$3-$O$2,$Q$2)/$Q$2))</f>
        <v>8436.95406990116</v>
      </c>
      <c r="L74" s="15" t="n">
        <f aca="false">K74*(1+IF(L$3&lt;=$O$2,$D74,$D74-($D74-$I$49)*MIN(L$3-$O$2,$Q$2)/$Q$2))</f>
        <v>8821.92004678751</v>
      </c>
      <c r="M74" s="15" t="n">
        <f aca="false">L74*(1+IF(M$3&lt;=$O$2,$D74,$D74-($D74-$I$49)*MIN(M$3-$O$2,$Q$2)/$Q$2))</f>
        <v>9103.90632323581</v>
      </c>
      <c r="N74" s="15" t="n">
        <f aca="false">M74*(1+IF(N$3&lt;=$O$2,$D74,$D74-($D74-$I$49)*MIN(N$3-$O$2,$Q$2)/$Q$2))</f>
        <v>9270.50780895102</v>
      </c>
      <c r="O74" s="15" t="n">
        <f aca="false">SUMPRODUCT(E74:N74,1/(1+$F$49)^$E$3:$N$3)*$E$2</f>
        <v>7605.75837389831</v>
      </c>
      <c r="P74" s="15" t="n">
        <f aca="false">N74*$E$2*(1+$I$49)/($F$49-$I$49)/(1+$F$49)^$N$3</f>
        <v>10044.7430794578</v>
      </c>
      <c r="Q74" s="15" t="n">
        <f aca="false">O74+P74</f>
        <v>17650.5014533561</v>
      </c>
      <c r="R74" s="15" t="n">
        <f aca="false">Q74-$G$2+$I$2</f>
        <v>12830.0014533561</v>
      </c>
      <c r="S74" s="42" t="n">
        <f aca="false">R74/$K$2</f>
        <v>66.9624292972658</v>
      </c>
      <c r="T74" s="43" t="n">
        <f aca="false">S74-$M$2</f>
        <v>7.58536603484572E-006</v>
      </c>
    </row>
    <row r="76" customFormat="false" ht="15" hidden="false" customHeight="false" outlineLevel="0" collapsed="false">
      <c r="A76" s="38" t="s">
        <v>174</v>
      </c>
      <c r="E76" s="5" t="s">
        <v>11</v>
      </c>
      <c r="F76" s="12" t="n">
        <f aca="false">Sensitivity!$B$10</f>
        <v>0.0850848977416375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153</v>
      </c>
      <c r="B77" s="28" t="s">
        <v>154</v>
      </c>
      <c r="C77" s="28" t="s">
        <v>155</v>
      </c>
      <c r="D77" s="28" t="s">
        <v>156</v>
      </c>
      <c r="E77" s="28" t="s">
        <v>157</v>
      </c>
      <c r="F77" s="28" t="s">
        <v>158</v>
      </c>
      <c r="G77" s="28" t="s">
        <v>159</v>
      </c>
      <c r="H77" s="28" t="s">
        <v>160</v>
      </c>
      <c r="I77" s="28" t="s">
        <v>161</v>
      </c>
      <c r="J77" s="28" t="s">
        <v>162</v>
      </c>
      <c r="K77" s="28" t="s">
        <v>163</v>
      </c>
      <c r="L77" s="28" t="s">
        <v>164</v>
      </c>
      <c r="M77" s="28" t="s">
        <v>165</v>
      </c>
      <c r="N77" s="28" t="s">
        <v>166</v>
      </c>
      <c r="O77" s="28" t="s">
        <v>167</v>
      </c>
      <c r="P77" s="28" t="s">
        <v>168</v>
      </c>
      <c r="Q77" s="28" t="s">
        <v>169</v>
      </c>
      <c r="R77" s="28" t="s">
        <v>170</v>
      </c>
      <c r="S77" s="28" t="s">
        <v>171</v>
      </c>
      <c r="T77" s="28" t="s">
        <v>172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6125</v>
      </c>
      <c r="F78" s="15" t="n">
        <f aca="false">E78*(1+IF(F$3&lt;=$O$2,$D78,$D78-($D78-$I$76)*MIN(F$3-$O$2,$Q$2)/$Q$2))</f>
        <v>7656.25</v>
      </c>
      <c r="G78" s="15" t="n">
        <f aca="false">F78*(1+IF(G$3&lt;=$O$2,$D78,$D78-($D78-$I$76)*MIN(G$3-$O$2,$Q$2)/$Q$2))</f>
        <v>9570.3125</v>
      </c>
      <c r="H78" s="15" t="n">
        <f aca="false">G78*(1+IF(H$3&lt;=$O$2,$D78,$D78-($D78-$I$76)*MIN(H$3-$O$2,$Q$2)/$Q$2))</f>
        <v>11962.890625</v>
      </c>
      <c r="I78" s="15" t="n">
        <f aca="false">H78*(1+IF(I$3&lt;=$O$2,$D78,$D78-($D78-$I$76)*MIN(I$3-$O$2,$Q$2)/$Q$2))</f>
        <v>14953.61328125</v>
      </c>
      <c r="J78" s="15" t="n">
        <f aca="false">I78*(1+IF(J$3&lt;=$O$2,$D78,$D78-($D78-$I$76)*MIN(J$3-$O$2,$Q$2)/$Q$2))</f>
        <v>18014.0197753906</v>
      </c>
      <c r="K78" s="15" t="n">
        <f aca="false">J78*(1+IF(K$3&lt;=$O$2,$D78,$D78-($D78-$I$76)*MIN(K$3-$O$2,$Q$2)/$Q$2))</f>
        <v>20884.0134060059</v>
      </c>
      <c r="L78" s="15" t="n">
        <f aca="false">K78*(1+IF(L$3&lt;=$O$2,$D78,$D78-($D78-$I$76)*MIN(L$3-$O$2,$Q$2)/$Q$2))</f>
        <v>23264.3732540224</v>
      </c>
      <c r="M78" s="15" t="n">
        <f aca="false">L78*(1+IF(M$3&lt;=$O$2,$D78,$D78-($D78-$I$76)*MIN(M$3-$O$2,$Q$2)/$Q$2))</f>
        <v>24861.2398341785</v>
      </c>
      <c r="N78" s="15" t="n">
        <f aca="false">M78*(1+IF(N$3&lt;=$O$2,$D78,$D78-($D78-$I$76)*MIN(N$3-$O$2,$Q$2)/$Q$2))</f>
        <v>25440.5067223149</v>
      </c>
      <c r="O78" s="15" t="n">
        <f aca="false">SUMPRODUCT(E78:N78,1/(1+$F$76)^$E$3:$N$3)*$E$2</f>
        <v>15485.7960493773</v>
      </c>
      <c r="P78" s="15" t="n">
        <f aca="false">N78*$E$2*(1+$I$76)/($F$76-$I$76)/(1+$F$76)^$N$3</f>
        <v>29942.2360443942</v>
      </c>
      <c r="Q78" s="15" t="n">
        <f aca="false">O78+P78</f>
        <v>45428.0320937715</v>
      </c>
      <c r="R78" s="15" t="n">
        <f aca="false">Q78-$G$2+$I$2</f>
        <v>40607.5320937715</v>
      </c>
      <c r="S78" s="42" t="n">
        <f aca="false">R78/$K$2</f>
        <v>211.939102785864</v>
      </c>
      <c r="T78" s="43" t="n">
        <f aca="false">S78-$M$2</f>
        <v>144.976681073964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4287.5</v>
      </c>
      <c r="F79" s="15" t="n">
        <f aca="false">E79*(1+IF(F$3&lt;=$O$2,$D79,$D79-($D79-$I$76)*MIN(F$3-$O$2,$Q$2)/$Q$2))</f>
        <v>3751.5625</v>
      </c>
      <c r="G79" s="15" t="n">
        <f aca="false">F79*(1+IF(G$3&lt;=$O$2,$D79,$D79-($D79-$I$76)*MIN(G$3-$O$2,$Q$2)/$Q$2))</f>
        <v>3282.6171875</v>
      </c>
      <c r="H79" s="15" t="n">
        <f aca="false">G79*(1+IF(H$3&lt;=$O$2,$D79,$D79-($D79-$I$76)*MIN(H$3-$O$2,$Q$2)/$Q$2))</f>
        <v>2872.2900390625</v>
      </c>
      <c r="I79" s="15" t="n">
        <f aca="false">H79*(1+IF(I$3&lt;=$O$2,$D79,$D79-($D79-$I$76)*MIN(I$3-$O$2,$Q$2)/$Q$2))</f>
        <v>2513.25378417969</v>
      </c>
      <c r="J79" s="15" t="n">
        <f aca="false">I79*(1+IF(J$3&lt;=$O$2,$D79,$D79-($D79-$I$76)*MIN(J$3-$O$2,$Q$2)/$Q$2))</f>
        <v>2273.640168396</v>
      </c>
      <c r="K79" s="15" t="n">
        <f aca="false">J79*(1+IF(K$3&lt;=$O$2,$D79,$D79-($D79-$I$76)*MIN(K$3-$O$2,$Q$2)/$Q$2))</f>
        <v>2124.30748213575</v>
      </c>
      <c r="L79" s="15" t="n">
        <f aca="false">K79*(1+IF(L$3&lt;=$O$2,$D79,$D79-($D79-$I$76)*MIN(L$3-$O$2,$Q$2)/$Q$2))</f>
        <v>2047.78992662922</v>
      </c>
      <c r="M79" s="15" t="n">
        <f aca="false">L79*(1+IF(M$3&lt;=$O$2,$D79,$D79-($D79-$I$76)*MIN(M$3-$O$2,$Q$2)/$Q$2))</f>
        <v>2034.76598269586</v>
      </c>
      <c r="N79" s="15" t="n">
        <f aca="false">M79*(1+IF(N$3&lt;=$O$2,$D79,$D79-($D79-$I$76)*MIN(N$3-$O$2,$Q$2)/$Q$2))</f>
        <v>2082.17603009267</v>
      </c>
      <c r="O79" s="15" t="n">
        <f aca="false">SUMPRODUCT(E79:N79,1/(1+$F$76)^$E$3:$N$3)*$E$2</f>
        <v>3055.69467196603</v>
      </c>
      <c r="P79" s="15" t="n">
        <f aca="false">N79*$E$2*(1+$I$76)/($F$76-$I$76)/(1+$F$76)^$N$3</f>
        <v>2450.61966962824</v>
      </c>
      <c r="Q79" s="15" t="n">
        <f aca="false">O79+P79</f>
        <v>5506.31434159427</v>
      </c>
      <c r="R79" s="15" t="n">
        <f aca="false">Q79-$G$2+$I$2</f>
        <v>685.814341594274</v>
      </c>
      <c r="S79" s="42" t="n">
        <f aca="false">R79/$K$2</f>
        <v>3.57940679328953</v>
      </c>
      <c r="T79" s="43" t="n">
        <f aca="false">S79-$M$2</f>
        <v>-63.3830149186103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5206.25</v>
      </c>
      <c r="F80" s="15" t="n">
        <f aca="false">E80*(1+IF(F$3&lt;=$O$2,$D80,$D80-($D80-$I$76)*MIN(F$3-$O$2,$Q$2)/$Q$2))</f>
        <v>5531.640625</v>
      </c>
      <c r="G80" s="15" t="n">
        <f aca="false">F80*(1+IF(G$3&lt;=$O$2,$D80,$D80-($D80-$I$76)*MIN(G$3-$O$2,$Q$2)/$Q$2))</f>
        <v>5877.3681640625</v>
      </c>
      <c r="H80" s="15" t="n">
        <f aca="false">G80*(1+IF(H$3&lt;=$O$2,$D80,$D80-($D80-$I$76)*MIN(H$3-$O$2,$Q$2)/$Q$2))</f>
        <v>6244.70367431641</v>
      </c>
      <c r="I80" s="15" t="n">
        <f aca="false">H80*(1+IF(I$3&lt;=$O$2,$D80,$D80-($D80-$I$76)*MIN(I$3-$O$2,$Q$2)/$Q$2))</f>
        <v>6634.99765396118</v>
      </c>
      <c r="J80" s="15" t="n">
        <f aca="false">I80*(1+IF(J$3&lt;=$O$2,$D80,$D80-($D80-$I$76)*MIN(J$3-$O$2,$Q$2)/$Q$2))</f>
        <v>6997.6666257267</v>
      </c>
      <c r="K80" s="15" t="n">
        <f aca="false">J80*(1+IF(K$3&lt;=$O$2,$D80,$D80-($D80-$I$76)*MIN(K$3-$O$2,$Q$2)/$Q$2))</f>
        <v>7325.29737714322</v>
      </c>
      <c r="L80" s="15" t="n">
        <f aca="false">K80*(1+IF(L$3&lt;=$O$2,$D80,$D80-($D80-$I$76)*MIN(L$3-$O$2,$Q$2)/$Q$2))</f>
        <v>7610.83746890427</v>
      </c>
      <c r="M80" s="15" t="n">
        <f aca="false">L80*(1+IF(M$3&lt;=$O$2,$D80,$D80-($D80-$I$76)*MIN(M$3-$O$2,$Q$2)/$Q$2))</f>
        <v>7847.83894768595</v>
      </c>
      <c r="N80" s="15" t="n">
        <f aca="false">M80*(1+IF(N$3&lt;=$O$2,$D80,$D80-($D80-$I$76)*MIN(N$3-$O$2,$Q$2)/$Q$2))</f>
        <v>8030.69359516703</v>
      </c>
      <c r="O80" s="15" t="n">
        <f aca="false">SUMPRODUCT(E80:N80,1/(1+$F$76)^$E$3:$N$3)*$E$2</f>
        <v>6867.24507215921</v>
      </c>
      <c r="P80" s="15" t="n">
        <f aca="false">N80*$E$2*(1+$I$76)/($F$76-$I$76)/(1+$F$76)^$N$3</f>
        <v>9451.73482003727</v>
      </c>
      <c r="Q80" s="15" t="n">
        <f aca="false">O80+P80</f>
        <v>16318.9798921965</v>
      </c>
      <c r="R80" s="15" t="n">
        <f aca="false">Q80-$G$2+$I$2</f>
        <v>11498.4798921965</v>
      </c>
      <c r="S80" s="42" t="n">
        <f aca="false">R80/$K$2</f>
        <v>60.012943069919</v>
      </c>
      <c r="T80" s="43" t="n">
        <f aca="false">S80-$M$2</f>
        <v>-6.9494786419808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0.0625</v>
      </c>
      <c r="C81" s="25" t="n">
        <f aca="false">IF(T80&gt;0,D80,C80)</f>
        <v>0.25</v>
      </c>
      <c r="D81" s="41" t="n">
        <f aca="false">(B81+C81)/2</f>
        <v>0.15625</v>
      </c>
      <c r="E81" s="15" t="n">
        <f aca="false">$C$2*(1+IF(E$3&lt;=$O$2,$D81,$D81-($D81-$I$76)*MIN(E$3-$O$2,$Q$2)/$Q$2))</f>
        <v>5665.625</v>
      </c>
      <c r="F81" s="15" t="n">
        <f aca="false">E81*(1+IF(F$3&lt;=$O$2,$D81,$D81-($D81-$I$76)*MIN(F$3-$O$2,$Q$2)/$Q$2))</f>
        <v>6550.87890625</v>
      </c>
      <c r="G81" s="15" t="n">
        <f aca="false">F81*(1+IF(G$3&lt;=$O$2,$D81,$D81-($D81-$I$76)*MIN(G$3-$O$2,$Q$2)/$Q$2))</f>
        <v>7574.45373535156</v>
      </c>
      <c r="H81" s="15" t="n">
        <f aca="false">G81*(1+IF(H$3&lt;=$O$2,$D81,$D81-($D81-$I$76)*MIN(H$3-$O$2,$Q$2)/$Q$2))</f>
        <v>8757.96213150024</v>
      </c>
      <c r="I81" s="15" t="n">
        <f aca="false">H81*(1+IF(I$3&lt;=$O$2,$D81,$D81-($D81-$I$76)*MIN(I$3-$O$2,$Q$2)/$Q$2))</f>
        <v>10126.3937145472</v>
      </c>
      <c r="J81" s="15" t="n">
        <f aca="false">I81*(1+IF(J$3&lt;=$O$2,$D81,$D81-($D81-$I$76)*MIN(J$3-$O$2,$Q$2)/$Q$2))</f>
        <v>11439.3819235753</v>
      </c>
      <c r="K81" s="15" t="n">
        <f aca="false">J81*(1+IF(K$3&lt;=$O$2,$D81,$D81-($D81-$I$76)*MIN(K$3-$O$2,$Q$2)/$Q$2))</f>
        <v>12618.4390184383</v>
      </c>
      <c r="L81" s="15" t="n">
        <f aca="false">K81*(1+IF(L$3&lt;=$O$2,$D81,$D81-($D81-$I$76)*MIN(L$3-$O$2,$Q$2)/$Q$2))</f>
        <v>13583.4972345684</v>
      </c>
      <c r="M81" s="15" t="n">
        <f aca="false">L81*(1+IF(M$3&lt;=$O$2,$D81,$D81-($D81-$I$76)*MIN(M$3-$O$2,$Q$2)/$Q$2))</f>
        <v>14261.177911601</v>
      </c>
      <c r="N81" s="15" t="n">
        <f aca="false">M81*(1+IF(N$3&lt;=$O$2,$D81,$D81-($D81-$I$76)*MIN(N$3-$O$2,$Q$2)/$Q$2))</f>
        <v>14593.4633569413</v>
      </c>
      <c r="O81" s="15" t="n">
        <f aca="false">SUMPRODUCT(E81:N81,1/(1+$F$76)^$E$3:$N$3)*$E$2</f>
        <v>10331.5649577429</v>
      </c>
      <c r="P81" s="15" t="n">
        <f aca="false">N81*$E$2*(1+$I$76)/($F$76-$I$76)/(1+$F$76)^$N$3</f>
        <v>17175.7948577132</v>
      </c>
      <c r="Q81" s="15" t="n">
        <f aca="false">O81+P81</f>
        <v>27507.3598154561</v>
      </c>
      <c r="R81" s="15" t="n">
        <f aca="false">Q81-$G$2+$I$2</f>
        <v>22686.8598154561</v>
      </c>
      <c r="S81" s="42" t="n">
        <f aca="false">R81/$K$2</f>
        <v>118.407410310314</v>
      </c>
      <c r="T81" s="43" t="n">
        <f aca="false">S81-$M$2</f>
        <v>51.4449885984138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0.0625</v>
      </c>
      <c r="C82" s="25" t="n">
        <f aca="false">IF(T81&gt;0,D81,C81)</f>
        <v>0.15625</v>
      </c>
      <c r="D82" s="41" t="n">
        <f aca="false">(B82+C82)/2</f>
        <v>0.109375</v>
      </c>
      <c r="E82" s="15" t="n">
        <f aca="false">$C$2*(1+IF(E$3&lt;=$O$2,$D82,$D82-($D82-$I$76)*MIN(E$3-$O$2,$Q$2)/$Q$2))</f>
        <v>5435.9375</v>
      </c>
      <c r="F82" s="15" t="n">
        <f aca="false">E82*(1+IF(F$3&lt;=$O$2,$D82,$D82-($D82-$I$76)*MIN(F$3-$O$2,$Q$2)/$Q$2))</f>
        <v>6030.4931640625</v>
      </c>
      <c r="G82" s="15" t="n">
        <f aca="false">F82*(1+IF(G$3&lt;=$O$2,$D82,$D82-($D82-$I$76)*MIN(G$3-$O$2,$Q$2)/$Q$2))</f>
        <v>6690.07835388184</v>
      </c>
      <c r="H82" s="15" t="n">
        <f aca="false">G82*(1+IF(H$3&lt;=$O$2,$D82,$D82-($D82-$I$76)*MIN(H$3-$O$2,$Q$2)/$Q$2))</f>
        <v>7421.80567383766</v>
      </c>
      <c r="I82" s="15" t="n">
        <f aca="false">H82*(1+IF(I$3&lt;=$O$2,$D82,$D82-($D82-$I$76)*MIN(I$3-$O$2,$Q$2)/$Q$2))</f>
        <v>8233.56566941366</v>
      </c>
      <c r="J82" s="15" t="n">
        <f aca="false">I82*(1+IF(J$3&lt;=$O$2,$D82,$D82-($D82-$I$76)*MIN(J$3-$O$2,$Q$2)/$Q$2))</f>
        <v>8992.37108150682</v>
      </c>
      <c r="K82" s="15" t="n">
        <f aca="false">J82*(1+IF(K$3&lt;=$O$2,$D82,$D82-($D82-$I$76)*MIN(K$3-$O$2,$Q$2)/$Q$2))</f>
        <v>9666.30433221035</v>
      </c>
      <c r="L82" s="15" t="n">
        <f aca="false">K82*(1+IF(L$3&lt;=$O$2,$D82,$D82-($D82-$I$76)*MIN(L$3-$O$2,$Q$2)/$Q$2))</f>
        <v>10224.3400813089</v>
      </c>
      <c r="M82" s="15" t="n">
        <f aca="false">L82*(1+IF(M$3&lt;=$O$2,$D82,$D82-($D82-$I$76)*MIN(M$3-$O$2,$Q$2)/$Q$2))</f>
        <v>10638.5792197031</v>
      </c>
      <c r="N82" s="15" t="n">
        <f aca="false">M82*(1+IF(N$3&lt;=$O$2,$D82,$D82-($D82-$I$76)*MIN(N$3-$O$2,$Q$2)/$Q$2))</f>
        <v>10886.4581155222</v>
      </c>
      <c r="O82" s="15" t="n">
        <f aca="false">SUMPRODUCT(E82:N82,1/(1+$F$76)^$E$3:$N$3)*$E$2</f>
        <v>8424.94123807553</v>
      </c>
      <c r="P82" s="15" t="n">
        <f aca="false">N82*$E$2*(1+$I$76)/($F$76-$I$76)/(1+$F$76)^$N$3</f>
        <v>12812.8304259152</v>
      </c>
      <c r="Q82" s="15" t="n">
        <f aca="false">O82+P82</f>
        <v>21237.7716639907</v>
      </c>
      <c r="R82" s="15" t="n">
        <f aca="false">Q82-$G$2+$I$2</f>
        <v>16417.2716639907</v>
      </c>
      <c r="S82" s="42" t="n">
        <f aca="false">R82/$K$2</f>
        <v>85.6851339456717</v>
      </c>
      <c r="T82" s="43" t="n">
        <f aca="false">S82-$M$2</f>
        <v>18.7227122337719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0.0625</v>
      </c>
      <c r="C83" s="25" t="n">
        <f aca="false">IF(T82&gt;0,D82,C82)</f>
        <v>0.109375</v>
      </c>
      <c r="D83" s="41" t="n">
        <f aca="false">(B83+C83)/2</f>
        <v>0.0859375</v>
      </c>
      <c r="E83" s="15" t="n">
        <f aca="false">$C$2*(1+IF(E$3&lt;=$O$2,$D83,$D83-($D83-$I$76)*MIN(E$3-$O$2,$Q$2)/$Q$2))</f>
        <v>5321.09375</v>
      </c>
      <c r="F83" s="15" t="n">
        <f aca="false">E83*(1+IF(F$3&lt;=$O$2,$D83,$D83-($D83-$I$76)*MIN(F$3-$O$2,$Q$2)/$Q$2))</f>
        <v>5778.37524414063</v>
      </c>
      <c r="G83" s="15" t="n">
        <f aca="false">F83*(1+IF(G$3&lt;=$O$2,$D83,$D83-($D83-$I$76)*MIN(G$3-$O$2,$Q$2)/$Q$2))</f>
        <v>6274.95436668396</v>
      </c>
      <c r="H83" s="15" t="n">
        <f aca="false">G83*(1+IF(H$3&lt;=$O$2,$D83,$D83-($D83-$I$76)*MIN(H$3-$O$2,$Q$2)/$Q$2))</f>
        <v>6814.20825757086</v>
      </c>
      <c r="I83" s="15" t="n">
        <f aca="false">H83*(1+IF(I$3&lt;=$O$2,$D83,$D83-($D83-$I$76)*MIN(I$3-$O$2,$Q$2)/$Q$2))</f>
        <v>7399.80427970586</v>
      </c>
      <c r="J83" s="15" t="n">
        <f aca="false">I83*(1+IF(J$3&lt;=$O$2,$D83,$D83-($D83-$I$76)*MIN(J$3-$O$2,$Q$2)/$Q$2))</f>
        <v>7943.02391187907</v>
      </c>
      <c r="K83" s="15" t="n">
        <f aca="false">J83*(1+IF(K$3&lt;=$O$2,$D83,$D83-($D83-$I$76)*MIN(K$3-$O$2,$Q$2)/$Q$2))</f>
        <v>8426.61506519404</v>
      </c>
      <c r="L83" s="15" t="n">
        <f aca="false">K83*(1+IF(L$3&lt;=$O$2,$D83,$D83-($D83-$I$76)*MIN(L$3-$O$2,$Q$2)/$Q$2))</f>
        <v>8834.0840366715</v>
      </c>
      <c r="M83" s="15" t="n">
        <f aca="false">L83*(1+IF(M$3&lt;=$O$2,$D83,$D83-($D83-$I$76)*MIN(M$3-$O$2,$Q$2)/$Q$2))</f>
        <v>9150.58718249535</v>
      </c>
      <c r="N83" s="15" t="n">
        <f aca="false">M83*(1+IF(N$3&lt;=$O$2,$D83,$D83-($D83-$I$76)*MIN(N$3-$O$2,$Q$2)/$Q$2))</f>
        <v>9363.79586384749</v>
      </c>
      <c r="O83" s="15" t="n">
        <f aca="false">SUMPRODUCT(E83:N83,1/(1+$F$76)^$E$3:$N$3)*$E$2</f>
        <v>7606.45990624667</v>
      </c>
      <c r="P83" s="15" t="n">
        <f aca="false">N83*$E$2*(1+$I$76)/($F$76-$I$76)/(1+$F$76)^$N$3</f>
        <v>11020.7311940417</v>
      </c>
      <c r="Q83" s="15" t="n">
        <f aca="false">O83+P83</f>
        <v>18627.1911002884</v>
      </c>
      <c r="R83" s="15" t="n">
        <f aca="false">Q83-$G$2+$I$2</f>
        <v>13806.6911002884</v>
      </c>
      <c r="S83" s="42" t="n">
        <f aca="false">R83/$K$2</f>
        <v>72.0599744273924</v>
      </c>
      <c r="T83" s="43" t="n">
        <f aca="false">S83-$M$2</f>
        <v>5.09755271549264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0.0625</v>
      </c>
      <c r="C84" s="25" t="n">
        <f aca="false">IF(T83&gt;0,D83,C83)</f>
        <v>0.0859375</v>
      </c>
      <c r="D84" s="41" t="n">
        <f aca="false">(B84+C84)/2</f>
        <v>0.07421875</v>
      </c>
      <c r="E84" s="15" t="n">
        <f aca="false">$C$2*(1+IF(E$3&lt;=$O$2,$D84,$D84-($D84-$I$76)*MIN(E$3-$O$2,$Q$2)/$Q$2))</f>
        <v>5263.671875</v>
      </c>
      <c r="F84" s="15" t="n">
        <f aca="false">E84*(1+IF(F$3&lt;=$O$2,$D84,$D84-($D84-$I$76)*MIN(F$3-$O$2,$Q$2)/$Q$2))</f>
        <v>5654.33502197266</v>
      </c>
      <c r="G84" s="15" t="n">
        <f aca="false">F84*(1+IF(G$3&lt;=$O$2,$D84,$D84-($D84-$I$76)*MIN(G$3-$O$2,$Q$2)/$Q$2))</f>
        <v>6073.99269938469</v>
      </c>
      <c r="H84" s="15" t="n">
        <f aca="false">G84*(1+IF(H$3&lt;=$O$2,$D84,$D84-($D84-$I$76)*MIN(H$3-$O$2,$Q$2)/$Q$2))</f>
        <v>6524.79684504215</v>
      </c>
      <c r="I84" s="15" t="n">
        <f aca="false">H84*(1+IF(I$3&lt;=$O$2,$D84,$D84-($D84-$I$76)*MIN(I$3-$O$2,$Q$2)/$Q$2))</f>
        <v>7009.05911088512</v>
      </c>
      <c r="J84" s="15" t="n">
        <f aca="false">I84*(1+IF(J$3&lt;=$O$2,$D84,$D84-($D84-$I$76)*MIN(J$3-$O$2,$Q$2)/$Q$2))</f>
        <v>7457.88421105065</v>
      </c>
      <c r="K84" s="15" t="n">
        <f aca="false">J84*(1+IF(K$3&lt;=$O$2,$D84,$D84-($D84-$I$76)*MIN(K$3-$O$2,$Q$2)/$Q$2))</f>
        <v>7859.50059817099</v>
      </c>
      <c r="L84" s="15" t="n">
        <f aca="false">K84*(1+IF(L$3&lt;=$O$2,$D84,$D84-($D84-$I$76)*MIN(L$3-$O$2,$Q$2)/$Q$2))</f>
        <v>8202.70534054162</v>
      </c>
      <c r="M84" s="15" t="n">
        <f aca="false">L84*(1+IF(M$3&lt;=$O$2,$D84,$D84-($D84-$I$76)*MIN(M$3-$O$2,$Q$2)/$Q$2))</f>
        <v>8477.36267548798</v>
      </c>
      <c r="N84" s="15" t="n">
        <f aca="false">M84*(1+IF(N$3&lt;=$O$2,$D84,$D84-($D84-$I$76)*MIN(N$3-$O$2,$Q$2)/$Q$2))</f>
        <v>8674.88522582685</v>
      </c>
      <c r="O84" s="15" t="n">
        <f aca="false">SUMPRODUCT(E84:N84,1/(1+$F$76)^$E$3:$N$3)*$E$2</f>
        <v>7227.40731869935</v>
      </c>
      <c r="P84" s="15" t="n">
        <f aca="false">N84*$E$2*(1+$I$76)/($F$76-$I$76)/(1+$F$76)^$N$3</f>
        <v>10209.9169613592</v>
      </c>
      <c r="Q84" s="15" t="n">
        <f aca="false">O84+P84</f>
        <v>17437.3242800585</v>
      </c>
      <c r="R84" s="15" t="n">
        <f aca="false">Q84-$G$2+$I$2</f>
        <v>12616.8242800585</v>
      </c>
      <c r="S84" s="42" t="n">
        <f aca="false">R84/$K$2</f>
        <v>65.8498135702429</v>
      </c>
      <c r="T84" s="43" t="n">
        <f aca="false">S84-$M$2</f>
        <v>-1.11260814165685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0.07421875</v>
      </c>
      <c r="C85" s="25" t="n">
        <f aca="false">IF(T84&gt;0,D84,C84)</f>
        <v>0.0859375</v>
      </c>
      <c r="D85" s="41" t="n">
        <f aca="false">(B85+C85)/2</f>
        <v>0.080078125</v>
      </c>
      <c r="E85" s="15" t="n">
        <f aca="false">$C$2*(1+IF(E$3&lt;=$O$2,$D85,$D85-($D85-$I$76)*MIN(E$3-$O$2,$Q$2)/$Q$2))</f>
        <v>5292.3828125</v>
      </c>
      <c r="F85" s="15" t="n">
        <f aca="false">E85*(1+IF(F$3&lt;=$O$2,$D85,$D85-($D85-$I$76)*MIN(F$3-$O$2,$Q$2)/$Q$2))</f>
        <v>5716.18690490723</v>
      </c>
      <c r="G85" s="15" t="n">
        <f aca="false">F85*(1+IF(G$3&lt;=$O$2,$D85,$D85-($D85-$I$76)*MIN(G$3-$O$2,$Q$2)/$Q$2))</f>
        <v>6173.92843440175</v>
      </c>
      <c r="H85" s="15" t="n">
        <f aca="false">G85*(1+IF(H$3&lt;=$O$2,$D85,$D85-($D85-$I$76)*MIN(H$3-$O$2,$Q$2)/$Q$2))</f>
        <v>6668.32504731283</v>
      </c>
      <c r="I85" s="15" t="n">
        <f aca="false">H85*(1+IF(I$3&lt;=$O$2,$D85,$D85-($D85-$I$76)*MIN(I$3-$O$2,$Q$2)/$Q$2))</f>
        <v>7202.31201399218</v>
      </c>
      <c r="J85" s="15" t="n">
        <f aca="false">I85*(1+IF(J$3&lt;=$O$2,$D85,$D85-($D85-$I$76)*MIN(J$3-$O$2,$Q$2)/$Q$2))</f>
        <v>7697.27290137375</v>
      </c>
      <c r="K85" s="15" t="n">
        <f aca="false">J85*(1+IF(K$3&lt;=$O$2,$D85,$D85-($D85-$I$76)*MIN(K$3-$O$2,$Q$2)/$Q$2))</f>
        <v>8138.84139374775</v>
      </c>
      <c r="L85" s="15" t="n">
        <f aca="false">K85*(1+IF(L$3&lt;=$O$2,$D85,$D85-($D85-$I$76)*MIN(L$3-$O$2,$Q$2)/$Q$2))</f>
        <v>8513.31965982583</v>
      </c>
      <c r="M85" s="15" t="n">
        <f aca="false">L85*(1+IF(M$3&lt;=$O$2,$D85,$D85-($D85-$I$76)*MIN(M$3-$O$2,$Q$2)/$Q$2))</f>
        <v>8808.35407346188</v>
      </c>
      <c r="N85" s="15" t="n">
        <f aca="false">M85*(1+IF(N$3&lt;=$O$2,$D85,$D85-($D85-$I$76)*MIN(N$3-$O$2,$Q$2)/$Q$2))</f>
        <v>9013.58872337354</v>
      </c>
      <c r="O85" s="15" t="n">
        <f aca="false">SUMPRODUCT(E85:N85,1/(1+$F$76)^$E$3:$N$3)*$E$2</f>
        <v>7414.51590899903</v>
      </c>
      <c r="P85" s="15" t="n">
        <f aca="false">N85*$E$2*(1+$I$76)/($F$76-$I$76)/(1+$F$76)^$N$3</f>
        <v>10608.5544642714</v>
      </c>
      <c r="Q85" s="15" t="n">
        <f aca="false">O85+P85</f>
        <v>18023.0703732704</v>
      </c>
      <c r="R85" s="15" t="n">
        <f aca="false">Q85-$G$2+$I$2</f>
        <v>13202.5703732704</v>
      </c>
      <c r="S85" s="42" t="n">
        <f aca="false">R85/$K$2</f>
        <v>68.9069434930608</v>
      </c>
      <c r="T85" s="43" t="n">
        <f aca="false">S85-$M$2</f>
        <v>1.94452178116096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0.07421875</v>
      </c>
      <c r="C86" s="25" t="n">
        <f aca="false">IF(T85&gt;0,D85,C85)</f>
        <v>0.080078125</v>
      </c>
      <c r="D86" s="41" t="n">
        <f aca="false">(B86+C86)/2</f>
        <v>0.0771484375</v>
      </c>
      <c r="E86" s="15" t="n">
        <f aca="false">$C$2*(1+IF(E$3&lt;=$O$2,$D86,$D86-($D86-$I$76)*MIN(E$3-$O$2,$Q$2)/$Q$2))</f>
        <v>5278.02734375</v>
      </c>
      <c r="F86" s="15" t="n">
        <f aca="false">E86*(1+IF(F$3&lt;=$O$2,$D86,$D86-($D86-$I$76)*MIN(F$3-$O$2,$Q$2)/$Q$2))</f>
        <v>5685.21890640259</v>
      </c>
      <c r="G86" s="15" t="n">
        <f aca="false">F86*(1+IF(G$3&lt;=$O$2,$D86,$D86-($D86-$I$76)*MIN(G$3-$O$2,$Q$2)/$Q$2))</f>
        <v>6123.82466187701</v>
      </c>
      <c r="H86" s="15" t="n">
        <f aca="false">G86*(1+IF(H$3&lt;=$O$2,$D86,$D86-($D86-$I$76)*MIN(H$3-$O$2,$Q$2)/$Q$2))</f>
        <v>6596.26816606478</v>
      </c>
      <c r="I86" s="15" t="n">
        <f aca="false">H86*(1+IF(I$3&lt;=$O$2,$D86,$D86-($D86-$I$76)*MIN(I$3-$O$2,$Q$2)/$Q$2))</f>
        <v>7105.15994840767</v>
      </c>
      <c r="J86" s="15" t="n">
        <f aca="false">I86*(1+IF(J$3&lt;=$O$2,$D86,$D86-($D86-$I$76)*MIN(J$3-$O$2,$Q$2)/$Q$2))</f>
        <v>7576.79158433304</v>
      </c>
      <c r="K86" s="15" t="n">
        <f aca="false">J86*(1+IF(K$3&lt;=$O$2,$D86,$D86-($D86-$I$76)*MIN(K$3-$O$2,$Q$2)/$Q$2))</f>
        <v>7998.12986109569</v>
      </c>
      <c r="L86" s="15" t="n">
        <f aca="false">K86*(1+IF(L$3&lt;=$O$2,$D86,$D86-($D86-$I$76)*MIN(L$3-$O$2,$Q$2)/$Q$2))</f>
        <v>8356.76100523605</v>
      </c>
      <c r="M86" s="15" t="n">
        <f aca="false">L86*(1+IF(M$3&lt;=$O$2,$D86,$D86-($D86-$I$76)*MIN(M$3-$O$2,$Q$2)/$Q$2))</f>
        <v>8641.47324119663</v>
      </c>
      <c r="N86" s="15" t="n">
        <f aca="false">M86*(1+IF(N$3&lt;=$O$2,$D86,$D86-($D86-$I$76)*MIN(N$3-$O$2,$Q$2)/$Q$2))</f>
        <v>8842.81956771652</v>
      </c>
      <c r="O86" s="15" t="n">
        <f aca="false">SUMPRODUCT(E86:N86,1/(1+$F$76)^$E$3:$N$3)*$E$2</f>
        <v>7320.36433023299</v>
      </c>
      <c r="P86" s="15" t="n">
        <f aca="false">N86*$E$2*(1+$I$76)/($F$76-$I$76)/(1+$F$76)^$N$3</f>
        <v>10407.5674940198</v>
      </c>
      <c r="Q86" s="15" t="n">
        <f aca="false">O86+P86</f>
        <v>17727.9318242528</v>
      </c>
      <c r="R86" s="15" t="n">
        <f aca="false">Q86-$G$2+$I$2</f>
        <v>12907.4318242528</v>
      </c>
      <c r="S86" s="42" t="n">
        <f aca="false">R86/$K$2</f>
        <v>67.3665544063296</v>
      </c>
      <c r="T86" s="43" t="n">
        <f aca="false">S86-$M$2</f>
        <v>0.404132694429848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0.07421875</v>
      </c>
      <c r="C87" s="25" t="n">
        <f aca="false">IF(T86&gt;0,D86,C86)</f>
        <v>0.0771484375</v>
      </c>
      <c r="D87" s="41" t="n">
        <f aca="false">(B87+C87)/2</f>
        <v>0.07568359375</v>
      </c>
      <c r="E87" s="15" t="n">
        <f aca="false">$C$2*(1+IF(E$3&lt;=$O$2,$D87,$D87-($D87-$I$76)*MIN(E$3-$O$2,$Q$2)/$Q$2))</f>
        <v>5270.849609375</v>
      </c>
      <c r="F87" s="15" t="n">
        <f aca="false">E87*(1+IF(F$3&lt;=$O$2,$D87,$D87-($D87-$I$76)*MIN(F$3-$O$2,$Q$2)/$Q$2))</f>
        <v>5669.76644992828</v>
      </c>
      <c r="G87" s="15" t="n">
        <f aca="false">F87*(1+IF(G$3&lt;=$O$2,$D87,$D87-($D87-$I$76)*MIN(G$3-$O$2,$Q$2)/$Q$2))</f>
        <v>6098.87475058204</v>
      </c>
      <c r="H87" s="15" t="n">
        <f aca="false">G87*(1+IF(H$3&lt;=$O$2,$D87,$D87-($D87-$I$76)*MIN(H$3-$O$2,$Q$2)/$Q$2))</f>
        <v>6560.45950953722</v>
      </c>
      <c r="I87" s="15" t="n">
        <f aca="false">H87*(1+IF(I$3&lt;=$O$2,$D87,$D87-($D87-$I$76)*MIN(I$3-$O$2,$Q$2)/$Q$2))</f>
        <v>7056.97866187036</v>
      </c>
      <c r="J87" s="15" t="n">
        <f aca="false">I87*(1+IF(J$3&lt;=$O$2,$D87,$D87-($D87-$I$76)*MIN(J$3-$O$2,$Q$2)/$Q$2))</f>
        <v>7517.1421873526</v>
      </c>
      <c r="K87" s="15" t="n">
        <f aca="false">J87*(1+IF(K$3&lt;=$O$2,$D87,$D87-($D87-$I$76)*MIN(K$3-$O$2,$Q$2)/$Q$2))</f>
        <v>7928.55655381988</v>
      </c>
      <c r="L87" s="15" t="n">
        <f aca="false">K87*(1+IF(L$3&lt;=$O$2,$D87,$D87-($D87-$I$76)*MIN(L$3-$O$2,$Q$2)/$Q$2))</f>
        <v>8279.42243573956</v>
      </c>
      <c r="M87" s="15" t="n">
        <f aca="false">L87*(1+IF(M$3&lt;=$O$2,$D87,$D87-($D87-$I$76)*MIN(M$3-$O$2,$Q$2)/$Q$2))</f>
        <v>8559.07415876398</v>
      </c>
      <c r="N87" s="15" t="n">
        <f aca="false">M87*(1+IF(N$3&lt;=$O$2,$D87,$D87-($D87-$I$76)*MIN(N$3-$O$2,$Q$2)/$Q$2))</f>
        <v>8758.50058666318</v>
      </c>
      <c r="O87" s="15" t="n">
        <f aca="false">SUMPRODUCT(E87:N87,1/(1+$F$76)^$E$3:$N$3)*$E$2</f>
        <v>7273.73738832943</v>
      </c>
      <c r="P87" s="15" t="n">
        <f aca="false">N87*$E$2*(1+$I$76)/($F$76-$I$76)/(1+$F$76)^$N$3</f>
        <v>10308.3281643445</v>
      </c>
      <c r="Q87" s="15" t="n">
        <f aca="false">O87+P87</f>
        <v>17582.0655526739</v>
      </c>
      <c r="R87" s="15" t="n">
        <f aca="false">Q87-$G$2+$I$2</f>
        <v>12761.5655526739</v>
      </c>
      <c r="S87" s="42" t="n">
        <f aca="false">R87/$K$2</f>
        <v>66.6052481872334</v>
      </c>
      <c r="T87" s="43" t="n">
        <f aca="false">S87-$M$2</f>
        <v>-0.357173524666379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0.07568359375</v>
      </c>
      <c r="C88" s="25" t="n">
        <f aca="false">IF(T87&gt;0,D87,C87)</f>
        <v>0.0771484375</v>
      </c>
      <c r="D88" s="41" t="n">
        <f aca="false">(B88+C88)/2</f>
        <v>0.076416015625</v>
      </c>
      <c r="E88" s="15" t="n">
        <f aca="false">$C$2*(1+IF(E$3&lt;=$O$2,$D88,$D88-($D88-$I$76)*MIN(E$3-$O$2,$Q$2)/$Q$2))</f>
        <v>5274.4384765625</v>
      </c>
      <c r="F88" s="15" t="n">
        <f aca="false">E88*(1+IF(F$3&lt;=$O$2,$D88,$D88-($D88-$I$76)*MIN(F$3-$O$2,$Q$2)/$Q$2))</f>
        <v>5677.4900496006</v>
      </c>
      <c r="G88" s="15" t="n">
        <f aca="false">F88*(1+IF(G$3&lt;=$O$2,$D88,$D88-($D88-$I$76)*MIN(G$3-$O$2,$Q$2)/$Q$2))</f>
        <v>6111.34121794166</v>
      </c>
      <c r="H88" s="15" t="n">
        <f aca="false">G88*(1+IF(H$3&lt;=$O$2,$D88,$D88-($D88-$I$76)*MIN(H$3-$O$2,$Q$2)/$Q$2))</f>
        <v>6578.3455639416</v>
      </c>
      <c r="I88" s="15" t="n">
        <f aca="false">H88*(1+IF(I$3&lt;=$O$2,$D88,$D88-($D88-$I$76)*MIN(I$3-$O$2,$Q$2)/$Q$2))</f>
        <v>7081.03652134241</v>
      </c>
      <c r="J88" s="15" t="n">
        <f aca="false">I88*(1+IF(J$3&lt;=$O$2,$D88,$D88-($D88-$I$76)*MIN(J$3-$O$2,$Q$2)/$Q$2))</f>
        <v>7546.91782949674</v>
      </c>
      <c r="K88" s="15" t="n">
        <f aca="false">J88*(1+IF(K$3&lt;=$O$2,$D88,$D88-($D88-$I$76)*MIN(K$3-$O$2,$Q$2)/$Q$2))</f>
        <v>7963.2783381353</v>
      </c>
      <c r="L88" s="15" t="n">
        <f aca="false">K88*(1+IF(L$3&lt;=$O$2,$D88,$D88-($D88-$I$76)*MIN(L$3-$O$2,$Q$2)/$Q$2))</f>
        <v>8318.0137700677</v>
      </c>
      <c r="M88" s="15" t="n">
        <f aca="false">L88*(1+IF(M$3&lt;=$O$2,$D88,$D88-($D88-$I$76)*MIN(M$3-$O$2,$Q$2)/$Q$2))</f>
        <v>8600.18744078626</v>
      </c>
      <c r="N88" s="15" t="n">
        <f aca="false">M88*(1+IF(N$3&lt;=$O$2,$D88,$D88-($D88-$I$76)*MIN(N$3-$O$2,$Q$2)/$Q$2))</f>
        <v>8800.57180815658</v>
      </c>
      <c r="O88" s="15" t="n">
        <f aca="false">SUMPRODUCT(E88:N88,1/(1+$F$76)^$E$3:$N$3)*$E$2</f>
        <v>7297.01364000692</v>
      </c>
      <c r="P88" s="15" t="n">
        <f aca="false">N88*$E$2*(1+$I$76)/($F$76-$I$76)/(1+$F$76)^$N$3</f>
        <v>10357.8439408336</v>
      </c>
      <c r="Q88" s="15" t="n">
        <f aca="false">O88+P88</f>
        <v>17654.8575808405</v>
      </c>
      <c r="R88" s="15" t="n">
        <f aca="false">Q88-$G$2+$I$2</f>
        <v>12834.3575808405</v>
      </c>
      <c r="S88" s="42" t="n">
        <f aca="false">R88/$K$2</f>
        <v>66.9851648269338</v>
      </c>
      <c r="T88" s="43" t="n">
        <f aca="false">S88-$M$2</f>
        <v>0.0227431150339612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0.07568359375</v>
      </c>
      <c r="C89" s="25" t="n">
        <f aca="false">IF(T88&gt;0,D88,C88)</f>
        <v>0.076416015625</v>
      </c>
      <c r="D89" s="41" t="n">
        <f aca="false">(B89+C89)/2</f>
        <v>0.0760498046875</v>
      </c>
      <c r="E89" s="15" t="n">
        <f aca="false">$C$2*(1+IF(E$3&lt;=$O$2,$D89,$D89-($D89-$I$76)*MIN(E$3-$O$2,$Q$2)/$Q$2))</f>
        <v>5272.64404296875</v>
      </c>
      <c r="F89" s="15" t="n">
        <f aca="false">E89*(1+IF(F$3&lt;=$O$2,$D89,$D89-($D89-$I$76)*MIN(F$3-$O$2,$Q$2)/$Q$2))</f>
        <v>5673.62759262323</v>
      </c>
      <c r="G89" s="15" t="n">
        <f aca="false">F89*(1+IF(G$3&lt;=$O$2,$D89,$D89-($D89-$I$76)*MIN(G$3-$O$2,$Q$2)/$Q$2))</f>
        <v>6105.10586291184</v>
      </c>
      <c r="H89" s="15" t="n">
        <f aca="false">G89*(1+IF(H$3&lt;=$O$2,$D89,$D89-($D89-$I$76)*MIN(H$3-$O$2,$Q$2)/$Q$2))</f>
        <v>6569.3979713828</v>
      </c>
      <c r="I89" s="15" t="n">
        <f aca="false">H89*(1+IF(I$3&lt;=$O$2,$D89,$D89-($D89-$I$76)*MIN(I$3-$O$2,$Q$2)/$Q$2))</f>
        <v>7068.99940402092</v>
      </c>
      <c r="J89" s="15" t="n">
        <f aca="false">I89*(1+IF(J$3&lt;=$O$2,$D89,$D89-($D89-$I$76)*MIN(J$3-$O$2,$Q$2)/$Q$2))</f>
        <v>7532.01776045313</v>
      </c>
      <c r="K89" s="15" t="n">
        <f aca="false">J89*(1+IF(K$3&lt;=$O$2,$D89,$D89-($D89-$I$76)*MIN(K$3-$O$2,$Q$2)/$Q$2))</f>
        <v>7945.9012537317</v>
      </c>
      <c r="L89" s="15" t="n">
        <f aca="false">K89*(1+IF(L$3&lt;=$O$2,$D89,$D89-($D89-$I$76)*MIN(L$3-$O$2,$Q$2)/$Q$2))</f>
        <v>8298.69864862385</v>
      </c>
      <c r="M89" s="15" t="n">
        <f aca="false">L89*(1+IF(M$3&lt;=$O$2,$D89,$D89-($D89-$I$76)*MIN(M$3-$O$2,$Q$2)/$Q$2))</f>
        <v>8579.60927371185</v>
      </c>
      <c r="N89" s="15" t="n">
        <f aca="false">M89*(1+IF(N$3&lt;=$O$2,$D89,$D89-($D89-$I$76)*MIN(N$3-$O$2,$Q$2)/$Q$2))</f>
        <v>8779.51416978934</v>
      </c>
      <c r="O89" s="15" t="n">
        <f aca="false">SUMPRODUCT(E89:N89,1/(1+$F$76)^$E$3:$N$3)*$E$2</f>
        <v>7285.3662231518</v>
      </c>
      <c r="P89" s="15" t="n">
        <f aca="false">N89*$E$2*(1+$I$76)/($F$76-$I$76)/(1+$F$76)^$N$3</f>
        <v>10333.0601271536</v>
      </c>
      <c r="Q89" s="15" t="n">
        <f aca="false">O89+P89</f>
        <v>17618.4263503054</v>
      </c>
      <c r="R89" s="15" t="n">
        <f aca="false">Q89-$G$2+$I$2</f>
        <v>12797.9263503054</v>
      </c>
      <c r="S89" s="42" t="n">
        <f aca="false">R89/$K$2</f>
        <v>66.7950227051432</v>
      </c>
      <c r="T89" s="43" t="n">
        <f aca="false">S89-$M$2</f>
        <v>-0.167399006756582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0.0760498046875</v>
      </c>
      <c r="C90" s="25" t="n">
        <f aca="false">IF(T89&gt;0,D89,C89)</f>
        <v>0.076416015625</v>
      </c>
      <c r="D90" s="41" t="n">
        <f aca="false">(B90+C90)/2</f>
        <v>0.07623291015625</v>
      </c>
      <c r="E90" s="15" t="n">
        <f aca="false">$C$2*(1+IF(E$3&lt;=$O$2,$D90,$D90-($D90-$I$76)*MIN(E$3-$O$2,$Q$2)/$Q$2))</f>
        <v>5273.54125976563</v>
      </c>
      <c r="F90" s="15" t="n">
        <f aca="false">E90*(1+IF(F$3&lt;=$O$2,$D90,$D90-($D90-$I$76)*MIN(F$3-$O$2,$Q$2)/$Q$2))</f>
        <v>5675.55865682662</v>
      </c>
      <c r="G90" s="15" t="n">
        <f aca="false">F90*(1+IF(G$3&lt;=$O$2,$D90,$D90-($D90-$I$76)*MIN(G$3-$O$2,$Q$2)/$Q$2))</f>
        <v>6108.22300999901</v>
      </c>
      <c r="H90" s="15" t="n">
        <f aca="false">G90*(1+IF(H$3&lt;=$O$2,$D90,$D90-($D90-$I$76)*MIN(H$3-$O$2,$Q$2)/$Q$2))</f>
        <v>6573.8706259346</v>
      </c>
      <c r="I90" s="15" t="n">
        <f aca="false">H90*(1+IF(I$3&lt;=$O$2,$D90,$D90-($D90-$I$76)*MIN(I$3-$O$2,$Q$2)/$Q$2))</f>
        <v>7075.01591474028</v>
      </c>
      <c r="J90" s="15" t="n">
        <f aca="false">I90*(1+IF(J$3&lt;=$O$2,$D90,$D90-($D90-$I$76)*MIN(J$3-$O$2,$Q$2)/$Q$2))</f>
        <v>7539.46473096892</v>
      </c>
      <c r="K90" s="15" t="n">
        <f aca="false">J90*(1+IF(K$3&lt;=$O$2,$D90,$D90-($D90-$I$76)*MIN(K$3-$O$2,$Q$2)/$Q$2))</f>
        <v>7954.58574473885</v>
      </c>
      <c r="L90" s="15" t="n">
        <f aca="false">K90*(1+IF(L$3&lt;=$O$2,$D90,$D90-($D90-$I$76)*MIN(L$3-$O$2,$Q$2)/$Q$2))</f>
        <v>8308.35134161385</v>
      </c>
      <c r="M90" s="15" t="n">
        <f aca="false">L90*(1+IF(M$3&lt;=$O$2,$D90,$D90-($D90-$I$76)*MIN(M$3-$O$2,$Q$2)/$Q$2))</f>
        <v>8589.89297089589</v>
      </c>
      <c r="N90" s="15" t="n">
        <f aca="false">M90*(1+IF(N$3&lt;=$O$2,$D90,$D90-($D90-$I$76)*MIN(N$3-$O$2,$Q$2)/$Q$2))</f>
        <v>8790.03747711777</v>
      </c>
      <c r="O90" s="15" t="n">
        <f aca="false">SUMPRODUCT(E90:N90,1/(1+$F$76)^$E$3:$N$3)*$E$2</f>
        <v>7291.18760710138</v>
      </c>
      <c r="P90" s="15" t="n">
        <f aca="false">N90*$E$2*(1+$I$76)/($F$76-$I$76)/(1+$F$76)^$N$3</f>
        <v>10345.4455468088</v>
      </c>
      <c r="Q90" s="15" t="n">
        <f aca="false">O90+P90</f>
        <v>17636.6331539102</v>
      </c>
      <c r="R90" s="15" t="n">
        <f aca="false">Q90-$G$2+$I$2</f>
        <v>12816.1331539102</v>
      </c>
      <c r="S90" s="42" t="n">
        <f aca="false">R90/$K$2</f>
        <v>66.8900477761491</v>
      </c>
      <c r="T90" s="43" t="n">
        <f aca="false">S90-$M$2</f>
        <v>-0.0723739357507327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0.07623291015625</v>
      </c>
      <c r="C91" s="25" t="n">
        <f aca="false">IF(T90&gt;0,D90,C90)</f>
        <v>0.076416015625</v>
      </c>
      <c r="D91" s="41" t="n">
        <f aca="false">(B91+C91)/2</f>
        <v>0.076324462890625</v>
      </c>
      <c r="E91" s="15" t="n">
        <f aca="false">$C$2*(1+IF(E$3&lt;=$O$2,$D91,$D91-($D91-$I$76)*MIN(E$3-$O$2,$Q$2)/$Q$2))</f>
        <v>5273.98986816406</v>
      </c>
      <c r="F91" s="15" t="n">
        <f aca="false">E91*(1+IF(F$3&lt;=$O$2,$D91,$D91-($D91-$I$76)*MIN(F$3-$O$2,$Q$2)/$Q$2))</f>
        <v>5676.52431214228</v>
      </c>
      <c r="G91" s="15" t="n">
        <f aca="false">F91*(1+IF(G$3&lt;=$O$2,$D91,$D91-($D91-$I$76)*MIN(G$3-$O$2,$Q$2)/$Q$2))</f>
        <v>6109.78198135212</v>
      </c>
      <c r="H91" s="15" t="n">
        <f aca="false">G91*(1+IF(H$3&lt;=$O$2,$D91,$D91-($D91-$I$76)*MIN(H$3-$O$2,$Q$2)/$Q$2))</f>
        <v>6576.10780945764</v>
      </c>
      <c r="I91" s="15" t="n">
        <f aca="false">H91*(1+IF(I$3&lt;=$O$2,$D91,$D91-($D91-$I$76)*MIN(I$3-$O$2,$Q$2)/$Q$2))</f>
        <v>7078.02570592533</v>
      </c>
      <c r="J91" s="15" t="n">
        <f aca="false">I91*(1+IF(J$3&lt;=$O$2,$D91,$D91-($D91-$I$76)*MIN(J$3-$O$2,$Q$2)/$Q$2))</f>
        <v>7543.19051397958</v>
      </c>
      <c r="K91" s="15" t="n">
        <f aca="false">J91*(1+IF(K$3&lt;=$O$2,$D91,$D91-($D91-$I$76)*MIN(K$3-$O$2,$Q$2)/$Q$2))</f>
        <v>7958.93102824656</v>
      </c>
      <c r="L91" s="15" t="n">
        <f aca="false">K91*(1+IF(L$3&lt;=$O$2,$D91,$D91-($D91-$I$76)*MIN(L$3-$O$2,$Q$2)/$Q$2))</f>
        <v>8313.18133838722</v>
      </c>
      <c r="M91" s="15" t="n">
        <f aca="false">L91*(1+IF(M$3&lt;=$O$2,$D91,$D91-($D91-$I$76)*MIN(M$3-$O$2,$Q$2)/$Q$2))</f>
        <v>8595.03885864771</v>
      </c>
      <c r="N91" s="15" t="n">
        <f aca="false">M91*(1+IF(N$3&lt;=$O$2,$D91,$D91-($D91-$I$76)*MIN(N$3-$O$2,$Q$2)/$Q$2))</f>
        <v>8795.30326405421</v>
      </c>
      <c r="O91" s="15" t="n">
        <f aca="false">SUMPRODUCT(E91:N91,1/(1+$F$76)^$E$3:$N$3)*$E$2</f>
        <v>7294.10004221904</v>
      </c>
      <c r="P91" s="15" t="n">
        <f aca="false">N91*$E$2*(1+$I$76)/($F$76-$I$76)/(1+$F$76)^$N$3</f>
        <v>10351.6431212962</v>
      </c>
      <c r="Q91" s="15" t="n">
        <f aca="false">O91+P91</f>
        <v>17645.7431635153</v>
      </c>
      <c r="R91" s="15" t="n">
        <f aca="false">Q91-$G$2+$I$2</f>
        <v>12825.2431635153</v>
      </c>
      <c r="S91" s="42" t="n">
        <f aca="false">R91/$K$2</f>
        <v>66.9375947991404</v>
      </c>
      <c r="T91" s="43" t="n">
        <f aca="false">S91-$M$2</f>
        <v>-0.0248269127594227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0.076324462890625</v>
      </c>
      <c r="C92" s="25" t="n">
        <f aca="false">IF(T91&gt;0,D91,C91)</f>
        <v>0.076416015625</v>
      </c>
      <c r="D92" s="41" t="n">
        <f aca="false">(B92+C92)/2</f>
        <v>0.0763702392578125</v>
      </c>
      <c r="E92" s="15" t="n">
        <f aca="false">$C$2*(1+IF(E$3&lt;=$O$2,$D92,$D92-($D92-$I$76)*MIN(E$3-$O$2,$Q$2)/$Q$2))</f>
        <v>5274.21417236328</v>
      </c>
      <c r="F92" s="15" t="n">
        <f aca="false">E92*(1+IF(F$3&lt;=$O$2,$D92,$D92-($D92-$I$76)*MIN(F$3-$O$2,$Q$2)/$Q$2))</f>
        <v>5677.00717060361</v>
      </c>
      <c r="G92" s="15" t="n">
        <f aca="false">F92*(1+IF(G$3&lt;=$O$2,$D92,$D92-($D92-$I$76)*MIN(G$3-$O$2,$Q$2)/$Q$2))</f>
        <v>6110.56156649093</v>
      </c>
      <c r="H92" s="15" t="n">
        <f aca="false">G92*(1+IF(H$3&lt;=$O$2,$D92,$D92-($D92-$I$76)*MIN(H$3-$O$2,$Q$2)/$Q$2))</f>
        <v>6577.22661532343</v>
      </c>
      <c r="I92" s="15" t="n">
        <f aca="false">H92*(1+IF(I$3&lt;=$O$2,$D92,$D92-($D92-$I$76)*MIN(I$3-$O$2,$Q$2)/$Q$2))</f>
        <v>7079.53098558853</v>
      </c>
      <c r="J92" s="15" t="n">
        <f aca="false">I92*(1+IF(J$3&lt;=$O$2,$D92,$D92-($D92-$I$76)*MIN(J$3-$O$2,$Q$2)/$Q$2))</f>
        <v>7545.05398014337</v>
      </c>
      <c r="K92" s="15" t="n">
        <f aca="false">J92*(1+IF(K$3&lt;=$O$2,$D92,$D92-($D92-$I$76)*MIN(K$3-$O$2,$Q$2)/$Q$2))</f>
        <v>7961.1044298443</v>
      </c>
      <c r="L92" s="15" t="n">
        <f aca="false">K92*(1+IF(L$3&lt;=$O$2,$D92,$D92-($D92-$I$76)*MIN(L$3-$O$2,$Q$2)/$Q$2))</f>
        <v>8315.59724979898</v>
      </c>
      <c r="M92" s="15" t="n">
        <f aca="false">L92*(1+IF(M$3&lt;=$O$2,$D92,$D92-($D92-$I$76)*MIN(M$3-$O$2,$Q$2)/$Q$2))</f>
        <v>8597.61281284299</v>
      </c>
      <c r="N92" s="15" t="n">
        <f aca="false">M92*(1+IF(N$3&lt;=$O$2,$D92,$D92-($D92-$I$76)*MIN(N$3-$O$2,$Q$2)/$Q$2))</f>
        <v>8797.93719138223</v>
      </c>
      <c r="O92" s="15" t="n">
        <f aca="false">SUMPRODUCT(E92:N92,1/(1+$F$76)^$E$3:$N$3)*$E$2</f>
        <v>7295.55669575225</v>
      </c>
      <c r="P92" s="15" t="n">
        <f aca="false">N92*$E$2*(1+$I$76)/($F$76-$I$76)/(1+$F$76)^$N$3</f>
        <v>10354.7431253426</v>
      </c>
      <c r="Q92" s="15" t="n">
        <f aca="false">O92+P92</f>
        <v>17650.2998210948</v>
      </c>
      <c r="R92" s="15" t="n">
        <f aca="false">Q92-$G$2+$I$2</f>
        <v>12829.7998210948</v>
      </c>
      <c r="S92" s="42" t="n">
        <f aca="false">R92/$K$2</f>
        <v>66.9613769368205</v>
      </c>
      <c r="T92" s="43" t="n">
        <f aca="false">S92-$M$2</f>
        <v>-0.00104477507927925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0.0763702392578125</v>
      </c>
      <c r="C93" s="25" t="n">
        <f aca="false">IF(T92&gt;0,D92,C92)</f>
        <v>0.076416015625</v>
      </c>
      <c r="D93" s="41" t="n">
        <f aca="false">(B93+C93)/2</f>
        <v>0.0763931274414063</v>
      </c>
      <c r="E93" s="15" t="n">
        <f aca="false">$C$2*(1+IF(E$3&lt;=$O$2,$D93,$D93-($D93-$I$76)*MIN(E$3-$O$2,$Q$2)/$Q$2))</f>
        <v>5274.32632446289</v>
      </c>
      <c r="F93" s="15" t="n">
        <f aca="false">E93*(1+IF(F$3&lt;=$O$2,$D93,$D93-($D93-$I$76)*MIN(F$3-$O$2,$Q$2)/$Q$2))</f>
        <v>5677.24860753515</v>
      </c>
      <c r="G93" s="15" t="n">
        <f aca="false">F93*(1+IF(G$3&lt;=$O$2,$D93,$D93-($D93-$I$76)*MIN(G$3-$O$2,$Q$2)/$Q$2))</f>
        <v>6110.95138392713</v>
      </c>
      <c r="H93" s="15" t="n">
        <f aca="false">G93*(1+IF(H$3&lt;=$O$2,$D93,$D93-($D93-$I$76)*MIN(H$3-$O$2,$Q$2)/$Q$2))</f>
        <v>6577.78607178771</v>
      </c>
      <c r="I93" s="15" t="n">
        <f aca="false">H93*(1+IF(I$3&lt;=$O$2,$D93,$D93-($D93-$I$76)*MIN(I$3-$O$2,$Q$2)/$Q$2))</f>
        <v>7080.2837214521</v>
      </c>
      <c r="J93" s="15" t="n">
        <f aca="false">I93*(1+IF(J$3&lt;=$O$2,$D93,$D93-($D93-$I$76)*MIN(J$3-$O$2,$Q$2)/$Q$2))</f>
        <v>7545.98585691743</v>
      </c>
      <c r="K93" s="15" t="n">
        <f aca="false">J93*(1+IF(K$3&lt;=$O$2,$D93,$D93-($D93-$I$76)*MIN(K$3-$O$2,$Q$2)/$Q$2))</f>
        <v>7962.19132064702</v>
      </c>
      <c r="L93" s="15" t="n">
        <f aca="false">K93*(1+IF(L$3&lt;=$O$2,$D93,$D93-($D93-$I$76)*MIN(L$3-$O$2,$Q$2)/$Q$2))</f>
        <v>8316.80543381809</v>
      </c>
      <c r="M93" s="15" t="n">
        <f aca="false">L93*(1+IF(M$3&lt;=$O$2,$D93,$D93-($D93-$I$76)*MIN(M$3-$O$2,$Q$2)/$Q$2))</f>
        <v>8598.90004258666</v>
      </c>
      <c r="N93" s="15" t="n">
        <f aca="false">M93*(1+IF(N$3&lt;=$O$2,$D93,$D93-($D93-$I$76)*MIN(N$3-$O$2,$Q$2)/$Q$2))</f>
        <v>8799.25441357893</v>
      </c>
      <c r="O93" s="15" t="n">
        <f aca="false">SUMPRODUCT(E93:N93,1/(1+$F$76)^$E$3:$N$3)*$E$2</f>
        <v>7296.28513153603</v>
      </c>
      <c r="P93" s="15" t="n">
        <f aca="false">N93*$E$2*(1+$I$76)/($F$76-$I$76)/(1+$F$76)^$N$3</f>
        <v>10356.2934316461</v>
      </c>
      <c r="Q93" s="15" t="n">
        <f aca="false">O93+P93</f>
        <v>17652.5785631821</v>
      </c>
      <c r="R93" s="15" t="n">
        <f aca="false">Q93-$G$2+$I$2</f>
        <v>12832.0785631821</v>
      </c>
      <c r="S93" s="42" t="n">
        <f aca="false">R93/$K$2</f>
        <v>66.9732701627459</v>
      </c>
      <c r="T93" s="43" t="n">
        <f aca="false">S93-$M$2</f>
        <v>0.0108484508461402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0.0763702392578125</v>
      </c>
      <c r="C94" s="25" t="n">
        <f aca="false">IF(T93&gt;0,D93,C93)</f>
        <v>0.0763931274414063</v>
      </c>
      <c r="D94" s="41" t="n">
        <f aca="false">(B94+C94)/2</f>
        <v>0.0763816833496094</v>
      </c>
      <c r="E94" s="15" t="n">
        <f aca="false">$C$2*(1+IF(E$3&lt;=$O$2,$D94,$D94-($D94-$I$76)*MIN(E$3-$O$2,$Q$2)/$Q$2))</f>
        <v>5274.27024841309</v>
      </c>
      <c r="F94" s="15" t="n">
        <f aca="false">E94*(1+IF(F$3&lt;=$O$2,$D94,$D94-($D94-$I$76)*MIN(F$3-$O$2,$Q$2)/$Q$2))</f>
        <v>5677.12788842764</v>
      </c>
      <c r="G94" s="15" t="n">
        <f aca="false">F94*(1+IF(G$3&lt;=$O$2,$D94,$D94-($D94-$I$76)*MIN(G$3-$O$2,$Q$2)/$Q$2))</f>
        <v>6110.75647313676</v>
      </c>
      <c r="H94" s="15" t="n">
        <f aca="false">G94*(1+IF(H$3&lt;=$O$2,$D94,$D94-($D94-$I$76)*MIN(H$3-$O$2,$Q$2)/$Q$2))</f>
        <v>6577.50633909446</v>
      </c>
      <c r="I94" s="15" t="n">
        <f aca="false">H94*(1+IF(I$3&lt;=$O$2,$D94,$D94-($D94-$I$76)*MIN(I$3-$O$2,$Q$2)/$Q$2))</f>
        <v>7079.90734551723</v>
      </c>
      <c r="J94" s="15" t="n">
        <f aca="false">I94*(1+IF(J$3&lt;=$O$2,$D94,$D94-($D94-$I$76)*MIN(J$3-$O$2,$Q$2)/$Q$2))</f>
        <v>7545.51990655523</v>
      </c>
      <c r="K94" s="15" t="n">
        <f aca="false">J94*(1+IF(K$3&lt;=$O$2,$D94,$D94-($D94-$I$76)*MIN(K$3-$O$2,$Q$2)/$Q$2))</f>
        <v>7961.64785941073</v>
      </c>
      <c r="L94" s="15" t="n">
        <f aca="false">K94*(1+IF(L$3&lt;=$O$2,$D94,$D94-($D94-$I$76)*MIN(L$3-$O$2,$Q$2)/$Q$2))</f>
        <v>8316.20132278074</v>
      </c>
      <c r="M94" s="15" t="n">
        <f aca="false">L94*(1+IF(M$3&lt;=$O$2,$D94,$D94-($D94-$I$76)*MIN(M$3-$O$2,$Q$2)/$Q$2))</f>
        <v>8598.25640665902</v>
      </c>
      <c r="N94" s="15" t="n">
        <f aca="false">M94*(1+IF(N$3&lt;=$O$2,$D94,$D94-($D94-$I$76)*MIN(N$3-$O$2,$Q$2)/$Q$2))</f>
        <v>8798.59578093417</v>
      </c>
      <c r="O94" s="15" t="n">
        <f aca="false">SUMPRODUCT(E94:N94,1/(1+$F$76)^$E$3:$N$3)*$E$2</f>
        <v>7295.92090455867</v>
      </c>
      <c r="P94" s="15" t="n">
        <f aca="false">N94*$E$2*(1+$I$76)/($F$76-$I$76)/(1+$F$76)^$N$3</f>
        <v>10355.5182531353</v>
      </c>
      <c r="Q94" s="15" t="n">
        <f aca="false">O94+P94</f>
        <v>17651.4391576939</v>
      </c>
      <c r="R94" s="15" t="n">
        <f aca="false">Q94-$G$2+$I$2</f>
        <v>12830.9391576939</v>
      </c>
      <c r="S94" s="42" t="n">
        <f aca="false">R94/$K$2</f>
        <v>66.96732337001</v>
      </c>
      <c r="T94" s="43" t="n">
        <f aca="false">S94-$M$2</f>
        <v>0.00490165811022791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0.0763702392578125</v>
      </c>
      <c r="C95" s="25" t="n">
        <f aca="false">IF(T94&gt;0,D94,C94)</f>
        <v>0.0763816833496094</v>
      </c>
      <c r="D95" s="41" t="n">
        <f aca="false">(B95+C95)/2</f>
        <v>0.0763759613037109</v>
      </c>
      <c r="E95" s="15" t="n">
        <f aca="false">$C$2*(1+IF(E$3&lt;=$O$2,$D95,$D95-($D95-$I$76)*MIN(E$3-$O$2,$Q$2)/$Q$2))</f>
        <v>5274.24221038818</v>
      </c>
      <c r="F95" s="15" t="n">
        <f aca="false">E95*(1+IF(F$3&lt;=$O$2,$D95,$D95-($D95-$I$76)*MIN(F$3-$O$2,$Q$2)/$Q$2))</f>
        <v>5677.06752935519</v>
      </c>
      <c r="G95" s="15" t="n">
        <f aca="false">F95*(1+IF(G$3&lt;=$O$2,$D95,$D95-($D95-$I$76)*MIN(G$3-$O$2,$Q$2)/$Q$2))</f>
        <v>6110.65901929578</v>
      </c>
      <c r="H95" s="15" t="n">
        <f aca="false">G95*(1+IF(H$3&lt;=$O$2,$D95,$D95-($D95-$I$76)*MIN(H$3-$O$2,$Q$2)/$Q$2))</f>
        <v>6577.36647609368</v>
      </c>
      <c r="I95" s="15" t="n">
        <f aca="false">H95*(1+IF(I$3&lt;=$O$2,$D95,$D95-($D95-$I$76)*MIN(I$3-$O$2,$Q$2)/$Q$2))</f>
        <v>7079.71916355214</v>
      </c>
      <c r="J95" s="15" t="n">
        <f aca="false">I95*(1+IF(J$3&lt;=$O$2,$D95,$D95-($D95-$I$76)*MIN(J$3-$O$2,$Q$2)/$Q$2))</f>
        <v>7545.28694035557</v>
      </c>
      <c r="K95" s="15" t="n">
        <f aca="false">J95*(1+IF(K$3&lt;=$O$2,$D95,$D95-($D95-$I$76)*MIN(K$3-$O$2,$Q$2)/$Q$2))</f>
        <v>7961.37614066888</v>
      </c>
      <c r="L95" s="15" t="n">
        <f aca="false">K95*(1+IF(L$3&lt;=$O$2,$D95,$D95-($D95-$I$76)*MIN(L$3-$O$2,$Q$2)/$Q$2))</f>
        <v>8315.89928153304</v>
      </c>
      <c r="M95" s="15" t="n">
        <f aca="false">L95*(1+IF(M$3&lt;=$O$2,$D95,$D95-($D95-$I$76)*MIN(M$3-$O$2,$Q$2)/$Q$2))</f>
        <v>8597.9346044872</v>
      </c>
      <c r="N95" s="15" t="n">
        <f aca="false">M95*(1+IF(N$3&lt;=$O$2,$D95,$D95-($D95-$I$76)*MIN(N$3-$O$2,$Q$2)/$Q$2))</f>
        <v>8798.26648077175</v>
      </c>
      <c r="O95" s="15" t="n">
        <f aca="false">SUMPRODUCT(E95:N95,1/(1+$F$76)^$E$3:$N$3)*$E$2</f>
        <v>7295.73879788414</v>
      </c>
      <c r="P95" s="15" t="n">
        <f aca="false">N95*$E$2*(1+$I$76)/($F$76-$I$76)/(1+$F$76)^$N$3</f>
        <v>10355.1306828993</v>
      </c>
      <c r="Q95" s="15" t="n">
        <f aca="false">O95+P95</f>
        <v>17650.8694807835</v>
      </c>
      <c r="R95" s="15" t="n">
        <f aca="false">Q95-$G$2+$I$2</f>
        <v>12830.3694807835</v>
      </c>
      <c r="S95" s="42" t="n">
        <f aca="false">R95/$K$2</f>
        <v>66.9643501084732</v>
      </c>
      <c r="T95" s="43" t="n">
        <f aca="false">S95-$M$2</f>
        <v>0.0019283965733905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0.0763702392578125</v>
      </c>
      <c r="C96" s="25" t="n">
        <f aca="false">IF(T95&gt;0,D95,C95)</f>
        <v>0.0763759613037109</v>
      </c>
      <c r="D96" s="41" t="n">
        <f aca="false">(B96+C96)/2</f>
        <v>0.0763731002807617</v>
      </c>
      <c r="E96" s="15" t="n">
        <f aca="false">$C$2*(1+IF(E$3&lt;=$O$2,$D96,$D96-($D96-$I$76)*MIN(E$3-$O$2,$Q$2)/$Q$2))</f>
        <v>5274.22819137573</v>
      </c>
      <c r="F96" s="15" t="n">
        <f aca="false">E96*(1+IF(F$3&lt;=$O$2,$D96,$D96-($D96-$I$76)*MIN(F$3-$O$2,$Q$2)/$Q$2))</f>
        <v>5677.03734993929</v>
      </c>
      <c r="G96" s="15" t="n">
        <f aca="false">F96*(1+IF(G$3&lt;=$O$2,$D96,$D96-($D96-$I$76)*MIN(G$3-$O$2,$Q$2)/$Q$2))</f>
        <v>6110.61029276384</v>
      </c>
      <c r="H96" s="15" t="n">
        <f aca="false">G96*(1+IF(H$3&lt;=$O$2,$D96,$D96-($D96-$I$76)*MIN(H$3-$O$2,$Q$2)/$Q$2))</f>
        <v>6577.29654542974</v>
      </c>
      <c r="I96" s="15" t="n">
        <f aca="false">H96*(1+IF(I$3&lt;=$O$2,$D96,$D96-($D96-$I$76)*MIN(I$3-$O$2,$Q$2)/$Q$2))</f>
        <v>7079.62507407016</v>
      </c>
      <c r="J96" s="15" t="n">
        <f aca="false">I96*(1+IF(J$3&lt;=$O$2,$D96,$D96-($D96-$I$76)*MIN(J$3-$O$2,$Q$2)/$Q$2))</f>
        <v>7545.17045950105</v>
      </c>
      <c r="K96" s="15" t="n">
        <f aca="false">J96*(1+IF(K$3&lt;=$O$2,$D96,$D96-($D96-$I$76)*MIN(K$3-$O$2,$Q$2)/$Q$2))</f>
        <v>7961.24028426694</v>
      </c>
      <c r="L96" s="15" t="n">
        <f aca="false">K96*(1+IF(L$3&lt;=$O$2,$D96,$D96-($D96-$I$76)*MIN(L$3-$O$2,$Q$2)/$Q$2))</f>
        <v>8315.74826447682</v>
      </c>
      <c r="M96" s="15" t="n">
        <f aca="false">L96*(1+IF(M$3&lt;=$O$2,$D96,$D96-($D96-$I$76)*MIN(M$3-$O$2,$Q$2)/$Q$2))</f>
        <v>8597.77370734916</v>
      </c>
      <c r="N96" s="15" t="n">
        <f aca="false">M96*(1+IF(N$3&lt;=$O$2,$D96,$D96-($D96-$I$76)*MIN(N$3-$O$2,$Q$2)/$Q$2))</f>
        <v>8798.1018347304</v>
      </c>
      <c r="O96" s="15" t="n">
        <f aca="false">SUMPRODUCT(E96:N96,1/(1+$F$76)^$E$3:$N$3)*$E$2</f>
        <v>7295.64774625037</v>
      </c>
      <c r="P96" s="15" t="n">
        <f aca="false">N96*$E$2*(1+$I$76)/($F$76-$I$76)/(1+$F$76)^$N$3</f>
        <v>10354.9369025361</v>
      </c>
      <c r="Q96" s="15" t="n">
        <f aca="false">O96+P96</f>
        <v>17650.5846487864</v>
      </c>
      <c r="R96" s="15" t="n">
        <f aca="false">Q96-$G$2+$I$2</f>
        <v>12830.0846487864</v>
      </c>
      <c r="S96" s="42" t="n">
        <f aca="false">R96/$K$2</f>
        <v>66.9628635114115</v>
      </c>
      <c r="T96" s="43" t="n">
        <f aca="false">S96-$M$2</f>
        <v>0.000441799511676777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0.0763702392578125</v>
      </c>
      <c r="C97" s="25" t="n">
        <f aca="false">IF(T96&gt;0,D96,C96)</f>
        <v>0.0763731002807617</v>
      </c>
      <c r="D97" s="41" t="n">
        <f aca="false">(B97+C97)/2</f>
        <v>0.0763716697692871</v>
      </c>
      <c r="E97" s="15" t="n">
        <f aca="false">$C$2*(1+IF(E$3&lt;=$O$2,$D97,$D97-($D97-$I$76)*MIN(E$3-$O$2,$Q$2)/$Q$2))</f>
        <v>5274.22118186951</v>
      </c>
      <c r="F97" s="15" t="n">
        <f aca="false">E97*(1+IF(F$3&lt;=$O$2,$D97,$D97-($D97-$I$76)*MIN(F$3-$O$2,$Q$2)/$Q$2))</f>
        <v>5677.02226026142</v>
      </c>
      <c r="G97" s="15" t="n">
        <f aca="false">F97*(1+IF(G$3&lt;=$O$2,$D97,$D97-($D97-$I$76)*MIN(G$3-$O$2,$Q$2)/$Q$2))</f>
        <v>6110.585929595</v>
      </c>
      <c r="H97" s="15" t="n">
        <f aca="false">G97*(1+IF(H$3&lt;=$O$2,$D97,$D97-($D97-$I$76)*MIN(H$3-$O$2,$Q$2)/$Q$2))</f>
        <v>6577.26158030688</v>
      </c>
      <c r="I97" s="15" t="n">
        <f aca="false">H97*(1+IF(I$3&lt;=$O$2,$D97,$D97-($D97-$I$76)*MIN(I$3-$O$2,$Q$2)/$Q$2))</f>
        <v>7079.5780297043</v>
      </c>
      <c r="J97" s="15" t="n">
        <f aca="false">I97*(1+IF(J$3&lt;=$O$2,$D97,$D97-($D97-$I$76)*MIN(J$3-$O$2,$Q$2)/$Q$2))</f>
        <v>7545.1122196351</v>
      </c>
      <c r="K97" s="15" t="n">
        <f aca="false">J97*(1+IF(K$3&lt;=$O$2,$D97,$D97-($D97-$I$76)*MIN(K$3-$O$2,$Q$2)/$Q$2))</f>
        <v>7961.17235680821</v>
      </c>
      <c r="L97" s="15" t="n">
        <f aca="false">K97*(1+IF(L$3&lt;=$O$2,$D97,$D97-($D97-$I$76)*MIN(L$3-$O$2,$Q$2)/$Q$2))</f>
        <v>8315.6727568406</v>
      </c>
      <c r="M97" s="15" t="n">
        <f aca="false">L97*(1+IF(M$3&lt;=$O$2,$D97,$D97-($D97-$I$76)*MIN(M$3-$O$2,$Q$2)/$Q$2))</f>
        <v>8597.69325976709</v>
      </c>
      <c r="N97" s="15" t="n">
        <f aca="false">M97*(1+IF(N$3&lt;=$O$2,$D97,$D97-($D97-$I$76)*MIN(N$3-$O$2,$Q$2)/$Q$2))</f>
        <v>8798.01951271967</v>
      </c>
      <c r="O97" s="15" t="n">
        <f aca="false">SUMPRODUCT(E97:N97,1/(1+$F$76)^$E$3:$N$3)*$E$2</f>
        <v>7295.60222085935</v>
      </c>
      <c r="P97" s="15" t="n">
        <f aca="false">N97*$E$2*(1+$I$76)/($F$76-$I$76)/(1+$F$76)^$N$3</f>
        <v>10354.8400135431</v>
      </c>
      <c r="Q97" s="15" t="n">
        <f aca="false">O97+P97</f>
        <v>17650.4422344025</v>
      </c>
      <c r="R97" s="15" t="n">
        <f aca="false">Q97-$G$2+$I$2</f>
        <v>12829.9422344025</v>
      </c>
      <c r="S97" s="42" t="n">
        <f aca="false">R97/$K$2</f>
        <v>66.9621202213072</v>
      </c>
      <c r="T97" s="43" t="n">
        <f aca="false">S97-$M$2</f>
        <v>-0.000301490592647724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0.0763716697692871</v>
      </c>
      <c r="C98" s="25" t="n">
        <f aca="false">IF(T97&gt;0,D97,C97)</f>
        <v>0.0763731002807617</v>
      </c>
      <c r="D98" s="41" t="n">
        <f aca="false">(B98+C98)/2</f>
        <v>0.0763723850250244</v>
      </c>
      <c r="E98" s="15" t="n">
        <f aca="false">$C$2*(1+IF(E$3&lt;=$O$2,$D98,$D98-($D98-$I$76)*MIN(E$3-$O$2,$Q$2)/$Q$2))</f>
        <v>5274.22468662262</v>
      </c>
      <c r="F98" s="15" t="n">
        <f aca="false">E98*(1+IF(F$3&lt;=$O$2,$D98,$D98-($D98-$I$76)*MIN(F$3-$O$2,$Q$2)/$Q$2))</f>
        <v>5677.02980509785</v>
      </c>
      <c r="G98" s="15" t="n">
        <f aca="false">F98*(1+IF(G$3&lt;=$O$2,$D98,$D98-($D98-$I$76)*MIN(G$3-$O$2,$Q$2)/$Q$2))</f>
        <v>6110.59811117132</v>
      </c>
      <c r="H98" s="15" t="n">
        <f aca="false">G98*(1+IF(H$3&lt;=$O$2,$D98,$D98-($D98-$I$76)*MIN(H$3-$O$2,$Q$2)/$Q$2))</f>
        <v>6577.27906285089</v>
      </c>
      <c r="I98" s="15" t="n">
        <f aca="false">H98*(1+IF(I$3&lt;=$O$2,$D98,$D98-($D98-$I$76)*MIN(I$3-$O$2,$Q$2)/$Q$2))</f>
        <v>7079.60155185597</v>
      </c>
      <c r="J98" s="15" t="n">
        <f aca="false">I98*(1+IF(J$3&lt;=$O$2,$D98,$D98-($D98-$I$76)*MIN(J$3-$O$2,$Q$2)/$Q$2))</f>
        <v>7545.1413395213</v>
      </c>
      <c r="K98" s="15" t="n">
        <f aca="false">J98*(1+IF(K$3&lt;=$O$2,$D98,$D98-($D98-$I$76)*MIN(K$3-$O$2,$Q$2)/$Q$2))</f>
        <v>7961.20632047573</v>
      </c>
      <c r="L98" s="15" t="n">
        <f aca="false">K98*(1+IF(L$3&lt;=$O$2,$D98,$D98-($D98-$I$76)*MIN(L$3-$O$2,$Q$2)/$Q$2))</f>
        <v>8315.71051058439</v>
      </c>
      <c r="M98" s="15" t="n">
        <f aca="false">L98*(1+IF(M$3&lt;=$O$2,$D98,$D98-($D98-$I$76)*MIN(M$3-$O$2,$Q$2)/$Q$2))</f>
        <v>8597.73348347588</v>
      </c>
      <c r="N98" s="15" t="n">
        <f aca="false">M98*(1+IF(N$3&lt;=$O$2,$D98,$D98-($D98-$I$76)*MIN(N$3-$O$2,$Q$2)/$Q$2))</f>
        <v>8798.06067364087</v>
      </c>
      <c r="O98" s="15" t="n">
        <f aca="false">SUMPRODUCT(E98:N98,1/(1+$F$76)^$E$3:$N$3)*$E$2</f>
        <v>7295.62498351938</v>
      </c>
      <c r="P98" s="15" t="n">
        <f aca="false">N98*$E$2*(1+$I$76)/($F$76-$I$76)/(1+$F$76)^$N$3</f>
        <v>10354.8884579405</v>
      </c>
      <c r="Q98" s="15" t="n">
        <f aca="false">O98+P98</f>
        <v>17650.5134414599</v>
      </c>
      <c r="R98" s="15" t="n">
        <f aca="false">Q98-$G$2+$I$2</f>
        <v>12830.0134414599</v>
      </c>
      <c r="S98" s="42" t="n">
        <f aca="false">R98/$K$2</f>
        <v>66.9624918656571</v>
      </c>
      <c r="T98" s="43" t="n">
        <f aca="false">S98-$M$2</f>
        <v>7.01537573206679E-005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0.0763716697692871</v>
      </c>
      <c r="C99" s="25" t="n">
        <f aca="false">IF(T98&gt;0,D98,C98)</f>
        <v>0.0763723850250244</v>
      </c>
      <c r="D99" s="41" t="n">
        <f aca="false">(B99+C99)/2</f>
        <v>0.0763720273971558</v>
      </c>
      <c r="E99" s="15" t="n">
        <f aca="false">$C$2*(1+IF(E$3&lt;=$O$2,$D99,$D99-($D99-$I$76)*MIN(E$3-$O$2,$Q$2)/$Q$2))</f>
        <v>5274.22293424606</v>
      </c>
      <c r="F99" s="15" t="n">
        <f aca="false">E99*(1+IF(F$3&lt;=$O$2,$D99,$D99-($D99-$I$76)*MIN(F$3-$O$2,$Q$2)/$Q$2))</f>
        <v>5677.02603267901</v>
      </c>
      <c r="G99" s="15" t="n">
        <f aca="false">F99*(1+IF(G$3&lt;=$O$2,$D99,$D99-($D99-$I$76)*MIN(G$3-$O$2,$Q$2)/$Q$2))</f>
        <v>6110.59202038114</v>
      </c>
      <c r="H99" s="15" t="n">
        <f aca="false">G99*(1+IF(H$3&lt;=$O$2,$D99,$D99-($D99-$I$76)*MIN(H$3-$O$2,$Q$2)/$Q$2))</f>
        <v>6577.27032157453</v>
      </c>
      <c r="I99" s="15" t="n">
        <f aca="false">H99*(1+IF(I$3&lt;=$O$2,$D99,$D99-($D99-$I$76)*MIN(I$3-$O$2,$Q$2)/$Q$2))</f>
        <v>7079.58979077232</v>
      </c>
      <c r="J99" s="15" t="n">
        <f aca="false">I99*(1+IF(J$3&lt;=$O$2,$D99,$D99-($D99-$I$76)*MIN(J$3-$O$2,$Q$2)/$Q$2))</f>
        <v>7545.12677956651</v>
      </c>
      <c r="K99" s="15" t="n">
        <f aca="false">J99*(1+IF(K$3&lt;=$O$2,$D99,$D99-($D99-$I$76)*MIN(K$3-$O$2,$Q$2)/$Q$2))</f>
        <v>7961.18933862651</v>
      </c>
      <c r="L99" s="15" t="n">
        <f aca="false">K99*(1+IF(L$3&lt;=$O$2,$D99,$D99-($D99-$I$76)*MIN(L$3-$O$2,$Q$2)/$Q$2))</f>
        <v>8315.69163369392</v>
      </c>
      <c r="M99" s="15" t="n">
        <f aca="false">L99*(1+IF(M$3&lt;=$O$2,$D99,$D99-($D99-$I$76)*MIN(M$3-$O$2,$Q$2)/$Q$2))</f>
        <v>8597.71337160093</v>
      </c>
      <c r="N99" s="15" t="n">
        <f aca="false">M99*(1+IF(N$3&lt;=$O$2,$D99,$D99-($D99-$I$76)*MIN(N$3-$O$2,$Q$2)/$Q$2))</f>
        <v>8798.04009315923</v>
      </c>
      <c r="O99" s="15" t="n">
        <f aca="false">SUMPRODUCT(E99:N99,1/(1+$F$76)^$E$3:$N$3)*$E$2</f>
        <v>7295.61360218049</v>
      </c>
      <c r="P99" s="15" t="n">
        <f aca="false">N99*$E$2*(1+$I$76)/($F$76-$I$76)/(1+$F$76)^$N$3</f>
        <v>10354.8642357171</v>
      </c>
      <c r="Q99" s="15" t="n">
        <f aca="false">O99+P99</f>
        <v>17650.4778378975</v>
      </c>
      <c r="R99" s="15" t="n">
        <f aca="false">Q99-$G$2+$I$2</f>
        <v>12829.9778378975</v>
      </c>
      <c r="S99" s="42" t="n">
        <f aca="false">R99/$K$2</f>
        <v>66.9623060433066</v>
      </c>
      <c r="T99" s="43" t="n">
        <f aca="false">S99-$M$2</f>
        <v>-0.000115668593196006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0.0763720273971558</v>
      </c>
      <c r="C100" s="25" t="n">
        <f aca="false">IF(T99&gt;0,D99,C99)</f>
        <v>0.0763723850250244</v>
      </c>
      <c r="D100" s="41" t="n">
        <f aca="false">(B100+C100)/2</f>
        <v>0.0763722062110901</v>
      </c>
      <c r="E100" s="15" t="n">
        <f aca="false">$C$2*(1+IF(E$3&lt;=$O$2,$D100,$D100-($D100-$I$76)*MIN(E$3-$O$2,$Q$2)/$Q$2))</f>
        <v>5274.22381043434</v>
      </c>
      <c r="F100" s="15" t="n">
        <f aca="false">E100*(1+IF(F$3&lt;=$O$2,$D100,$D100-($D100-$I$76)*MIN(F$3-$O$2,$Q$2)/$Q$2))</f>
        <v>5677.02791888827</v>
      </c>
      <c r="G100" s="15" t="n">
        <f aca="false">F100*(1+IF(G$3&lt;=$O$2,$D100,$D100-($D100-$I$76)*MIN(G$3-$O$2,$Q$2)/$Q$2))</f>
        <v>6110.59506577573</v>
      </c>
      <c r="H100" s="15" t="n">
        <f aca="false">G100*(1+IF(H$3&lt;=$O$2,$D100,$D100-($D100-$I$76)*MIN(H$3-$O$2,$Q$2)/$Q$2))</f>
        <v>6577.27469221162</v>
      </c>
      <c r="I100" s="15" t="n">
        <f aca="false">H100*(1+IF(I$3&lt;=$O$2,$D100,$D100-($D100-$I$76)*MIN(I$3-$O$2,$Q$2)/$Q$2))</f>
        <v>7079.59567131219</v>
      </c>
      <c r="J100" s="15" t="n">
        <f aca="false">I100*(1+IF(J$3&lt;=$O$2,$D100,$D100-($D100-$I$76)*MIN(J$3-$O$2,$Q$2)/$Q$2))</f>
        <v>7545.13405954098</v>
      </c>
      <c r="K100" s="15" t="n">
        <f aca="false">J100*(1+IF(K$3&lt;=$O$2,$D100,$D100-($D100-$I$76)*MIN(K$3-$O$2,$Q$2)/$Q$2))</f>
        <v>7961.19782954725</v>
      </c>
      <c r="L100" s="15" t="n">
        <f aca="false">K100*(1+IF(L$3&lt;=$O$2,$D100,$D100-($D100-$I$76)*MIN(L$3-$O$2,$Q$2)/$Q$2))</f>
        <v>8315.70107213451</v>
      </c>
      <c r="M100" s="15" t="n">
        <f aca="false">L100*(1+IF(M$3&lt;=$O$2,$D100,$D100-($D100-$I$76)*MIN(M$3-$O$2,$Q$2)/$Q$2))</f>
        <v>8597.72342753327</v>
      </c>
      <c r="N100" s="15" t="n">
        <f aca="false">M100*(1+IF(N$3&lt;=$O$2,$D100,$D100-($D100-$I$76)*MIN(N$3-$O$2,$Q$2)/$Q$2))</f>
        <v>8798.05038339479</v>
      </c>
      <c r="O100" s="15" t="n">
        <f aca="false">SUMPRODUCT(E100:N100,1/(1+$F$76)^$E$3:$N$3)*$E$2</f>
        <v>7295.61929284772</v>
      </c>
      <c r="P100" s="15" t="n">
        <f aca="false">N100*$E$2*(1+$I$76)/($F$76-$I$76)/(1+$F$76)^$N$3</f>
        <v>10354.8763468226</v>
      </c>
      <c r="Q100" s="15" t="n">
        <f aca="false">O100+P100</f>
        <v>17650.4956396703</v>
      </c>
      <c r="R100" s="15" t="n">
        <f aca="false">Q100-$G$2+$I$2</f>
        <v>12829.9956396703</v>
      </c>
      <c r="S100" s="42" t="n">
        <f aca="false">R100/$K$2</f>
        <v>66.962398954438</v>
      </c>
      <c r="T100" s="43" t="n">
        <f aca="false">S100-$M$2</f>
        <v>-2.27574618207882E-005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0.0763722062110901</v>
      </c>
      <c r="C101" s="25" t="n">
        <f aca="false">IF(T100&gt;0,D100,C100)</f>
        <v>0.0763723850250244</v>
      </c>
      <c r="D101" s="41" t="n">
        <f aca="false">(B101+C101)/2</f>
        <v>0.0763722956180573</v>
      </c>
      <c r="E101" s="15" t="n">
        <f aca="false">$C$2*(1+IF(E$3&lt;=$O$2,$D101,$D101-($D101-$I$76)*MIN(E$3-$O$2,$Q$2)/$Q$2))</f>
        <v>5274.22424852848</v>
      </c>
      <c r="F101" s="15" t="n">
        <f aca="false">E101*(1+IF(F$3&lt;=$O$2,$D101,$D101-($D101-$I$76)*MIN(F$3-$O$2,$Q$2)/$Q$2))</f>
        <v>5677.02886199302</v>
      </c>
      <c r="G101" s="15" t="n">
        <f aca="false">F101*(1+IF(G$3&lt;=$O$2,$D101,$D101-($D101-$I$76)*MIN(G$3-$O$2,$Q$2)/$Q$2))</f>
        <v>6110.5965884734</v>
      </c>
      <c r="H101" s="15" t="n">
        <f aca="false">G101*(1+IF(H$3&lt;=$O$2,$D101,$D101-($D101-$I$76)*MIN(H$3-$O$2,$Q$2)/$Q$2))</f>
        <v>6577.27687753098</v>
      </c>
      <c r="I101" s="15" t="n">
        <f aca="false">H101*(1+IF(I$3&lt;=$O$2,$D101,$D101-($D101-$I$76)*MIN(I$3-$O$2,$Q$2)/$Q$2))</f>
        <v>7079.59861158359</v>
      </c>
      <c r="J101" s="15" t="n">
        <f aca="false">I101*(1+IF(J$3&lt;=$O$2,$D101,$D101-($D101-$I$76)*MIN(J$3-$O$2,$Q$2)/$Q$2))</f>
        <v>7545.13769953041</v>
      </c>
      <c r="K101" s="15" t="n">
        <f aca="false">J101*(1+IF(K$3&lt;=$O$2,$D101,$D101-($D101-$I$76)*MIN(K$3-$O$2,$Q$2)/$Q$2))</f>
        <v>7961.20207501052</v>
      </c>
      <c r="L101" s="15" t="n">
        <f aca="false">K101*(1+IF(L$3&lt;=$O$2,$D101,$D101-($D101-$I$76)*MIN(L$3-$O$2,$Q$2)/$Q$2))</f>
        <v>8315.70579135829</v>
      </c>
      <c r="M101" s="15" t="n">
        <f aca="false">L101*(1+IF(M$3&lt;=$O$2,$D101,$D101-($D101-$I$76)*MIN(M$3-$O$2,$Q$2)/$Q$2))</f>
        <v>8597.72845550329</v>
      </c>
      <c r="N101" s="15" t="n">
        <f aca="false">M101*(1+IF(N$3&lt;=$O$2,$D101,$D101-($D101-$I$76)*MIN(N$3-$O$2,$Q$2)/$Q$2))</f>
        <v>8798.05552851651</v>
      </c>
      <c r="O101" s="15" t="n">
        <f aca="false">SUMPRODUCT(E101:N101,1/(1+$F$76)^$E$3:$N$3)*$E$2</f>
        <v>7295.62213818299</v>
      </c>
      <c r="P101" s="15" t="n">
        <f aca="false">N101*$E$2*(1+$I$76)/($F$76-$I$76)/(1+$F$76)^$N$3</f>
        <v>10354.88240238</v>
      </c>
      <c r="Q101" s="15" t="n">
        <f aca="false">O101+P101</f>
        <v>17650.504540563</v>
      </c>
      <c r="R101" s="15" t="n">
        <f aca="false">Q101-$G$2+$I$2</f>
        <v>12830.004540563</v>
      </c>
      <c r="S101" s="42" t="n">
        <f aca="false">R101/$K$2</f>
        <v>66.9624454100366</v>
      </c>
      <c r="T101" s="43" t="n">
        <f aca="false">S101-$M$2</f>
        <v>2.36981367720546E-005</v>
      </c>
    </row>
    <row r="103" customFormat="false" ht="15" hidden="false" customHeight="false" outlineLevel="0" collapsed="false">
      <c r="A103" s="38" t="s">
        <v>175</v>
      </c>
      <c r="E103" s="5" t="s">
        <v>11</v>
      </c>
      <c r="F103" s="12" t="n">
        <f aca="false">Sensitivity!$B$10</f>
        <v>0.0850848977416375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153</v>
      </c>
      <c r="B104" s="28" t="s">
        <v>154</v>
      </c>
      <c r="C104" s="28" t="s">
        <v>155</v>
      </c>
      <c r="D104" s="28" t="s">
        <v>156</v>
      </c>
      <c r="E104" s="28" t="s">
        <v>157</v>
      </c>
      <c r="F104" s="28" t="s">
        <v>158</v>
      </c>
      <c r="G104" s="28" t="s">
        <v>159</v>
      </c>
      <c r="H104" s="28" t="s">
        <v>160</v>
      </c>
      <c r="I104" s="28" t="s">
        <v>161</v>
      </c>
      <c r="J104" s="28" t="s">
        <v>162</v>
      </c>
      <c r="K104" s="28" t="s">
        <v>163</v>
      </c>
      <c r="L104" s="28" t="s">
        <v>164</v>
      </c>
      <c r="M104" s="28" t="s">
        <v>165</v>
      </c>
      <c r="N104" s="28" t="s">
        <v>166</v>
      </c>
      <c r="O104" s="28" t="s">
        <v>167</v>
      </c>
      <c r="P104" s="28" t="s">
        <v>168</v>
      </c>
      <c r="Q104" s="28" t="s">
        <v>169</v>
      </c>
      <c r="R104" s="28" t="s">
        <v>170</v>
      </c>
      <c r="S104" s="28" t="s">
        <v>171</v>
      </c>
      <c r="T104" s="28" t="s">
        <v>172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6125</v>
      </c>
      <c r="F105" s="15" t="n">
        <f aca="false">E105*(1+IF(F$3&lt;=$O$2,$D105,$D105-($D105-$I$103)*MIN(F$3-$O$2,$Q$2)/$Q$2))</f>
        <v>7656.25</v>
      </c>
      <c r="G105" s="15" t="n">
        <f aca="false">F105*(1+IF(G$3&lt;=$O$2,$D105,$D105-($D105-$I$103)*MIN(G$3-$O$2,$Q$2)/$Q$2))</f>
        <v>9570.3125</v>
      </c>
      <c r="H105" s="15" t="n">
        <f aca="false">G105*(1+IF(H$3&lt;=$O$2,$D105,$D105-($D105-$I$103)*MIN(H$3-$O$2,$Q$2)/$Q$2))</f>
        <v>11962.890625</v>
      </c>
      <c r="I105" s="15" t="n">
        <f aca="false">H105*(1+IF(I$3&lt;=$O$2,$D105,$D105-($D105-$I$103)*MIN(I$3-$O$2,$Q$2)/$Q$2))</f>
        <v>14953.61328125</v>
      </c>
      <c r="J105" s="15" t="n">
        <f aca="false">I105*(1+IF(J$3&lt;=$O$2,$D105,$D105-($D105-$I$103)*MIN(J$3-$O$2,$Q$2)/$Q$2))</f>
        <v>18028.9733886719</v>
      </c>
      <c r="K105" s="15" t="n">
        <f aca="false">J105*(1+IF(K$3&lt;=$O$2,$D105,$D105-($D105-$I$103)*MIN(K$3-$O$2,$Q$2)/$Q$2))</f>
        <v>20937.4073757324</v>
      </c>
      <c r="L105" s="15" t="n">
        <f aca="false">K105*(1+IF(L$3&lt;=$O$2,$D105,$D105-($D105-$I$103)*MIN(L$3-$O$2,$Q$2)/$Q$2))</f>
        <v>23386.6652905456</v>
      </c>
      <c r="M105" s="15" t="n">
        <f aca="false">L105*(1+IF(M$3&lt;=$O$2,$D105,$D105-($D105-$I$103)*MIN(M$3-$O$2,$Q$2)/$Q$2))</f>
        <v>25085.4726572508</v>
      </c>
      <c r="N105" s="15" t="n">
        <f aca="false">M105*(1+IF(N$3&lt;=$O$2,$D105,$D105-($D105-$I$103)*MIN(N$3-$O$2,$Q$2)/$Q$2))</f>
        <v>25795.391533451</v>
      </c>
      <c r="O105" s="15" t="n">
        <f aca="false">SUMPRODUCT(E105:N105,1/(1+$F$103)^$E$3:$N$3)*$E$2</f>
        <v>15544.8578547145</v>
      </c>
      <c r="P105" s="15" t="n">
        <f aca="false">N105*$E$2*(1+$I$103)/($F$103-$I$103)/(1+$F$103)^$N$3</f>
        <v>33194.5619926763</v>
      </c>
      <c r="Q105" s="15" t="n">
        <f aca="false">O105+P105</f>
        <v>48739.4198473908</v>
      </c>
      <c r="R105" s="15" t="n">
        <f aca="false">Q105-$G$2+$I$2</f>
        <v>43918.9198473908</v>
      </c>
      <c r="S105" s="42" t="n">
        <f aca="false">R105/$K$2</f>
        <v>229.22191987156</v>
      </c>
      <c r="T105" s="43" t="n">
        <f aca="false">S105-$M$2</f>
        <v>162.25949815966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4287.5</v>
      </c>
      <c r="F106" s="15" t="n">
        <f aca="false">E106*(1+IF(F$3&lt;=$O$2,$D106,$D106-($D106-$I$103)*MIN(F$3-$O$2,$Q$2)/$Q$2))</f>
        <v>3751.5625</v>
      </c>
      <c r="G106" s="15" t="n">
        <f aca="false">F106*(1+IF(G$3&lt;=$O$2,$D106,$D106-($D106-$I$103)*MIN(G$3-$O$2,$Q$2)/$Q$2))</f>
        <v>3282.6171875</v>
      </c>
      <c r="H106" s="15" t="n">
        <f aca="false">G106*(1+IF(H$3&lt;=$O$2,$D106,$D106-($D106-$I$103)*MIN(H$3-$O$2,$Q$2)/$Q$2))</f>
        <v>2872.2900390625</v>
      </c>
      <c r="I106" s="15" t="n">
        <f aca="false">H106*(1+IF(I$3&lt;=$O$2,$D106,$D106-($D106-$I$103)*MIN(I$3-$O$2,$Q$2)/$Q$2))</f>
        <v>2513.25378417969</v>
      </c>
      <c r="J106" s="15" t="n">
        <f aca="false">I106*(1+IF(J$3&lt;=$O$2,$D106,$D106-($D106-$I$103)*MIN(J$3-$O$2,$Q$2)/$Q$2))</f>
        <v>2276.15342218018</v>
      </c>
      <c r="K106" s="15" t="n">
        <f aca="false">J106*(1+IF(K$3&lt;=$O$2,$D106,$D106-($D106-$I$103)*MIN(K$3-$O$2,$Q$2)/$Q$2))</f>
        <v>2131.20797225574</v>
      </c>
      <c r="L106" s="15" t="n">
        <f aca="false">K106*(1+IF(L$3&lt;=$O$2,$D106,$D106-($D106-$I$103)*MIN(L$3-$O$2,$Q$2)/$Q$2))</f>
        <v>2060.83548501186</v>
      </c>
      <c r="M106" s="15" t="n">
        <f aca="false">L106*(1+IF(M$3&lt;=$O$2,$D106,$D106-($D106-$I$103)*MIN(M$3-$O$2,$Q$2)/$Q$2))</f>
        <v>2055.97191326723</v>
      </c>
      <c r="N106" s="15" t="n">
        <f aca="false">M106*(1+IF(N$3&lt;=$O$2,$D106,$D106-($D106-$I$103)*MIN(N$3-$O$2,$Q$2)/$Q$2))</f>
        <v>2114.15591841269</v>
      </c>
      <c r="O106" s="15" t="n">
        <f aca="false">SUMPRODUCT(E106:N106,1/(1+$F$103)^$E$3:$N$3)*$E$2</f>
        <v>3061.56796447156</v>
      </c>
      <c r="P106" s="15" t="n">
        <f aca="false">N106*$E$2*(1+$I$103)/($F$103-$I$103)/(1+$F$103)^$N$3</f>
        <v>2720.58207005416</v>
      </c>
      <c r="Q106" s="15" t="n">
        <f aca="false">O106+P106</f>
        <v>5782.15003452571</v>
      </c>
      <c r="R106" s="15" t="n">
        <f aca="false">Q106-$G$2+$I$2</f>
        <v>961.650034525714</v>
      </c>
      <c r="S106" s="42" t="n">
        <f aca="false">R106/$K$2</f>
        <v>5.01905028458097</v>
      </c>
      <c r="T106" s="43" t="n">
        <f aca="false">S106-$M$2</f>
        <v>-61.9433714273188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5206.25</v>
      </c>
      <c r="F107" s="15" t="n">
        <f aca="false">E107*(1+IF(F$3&lt;=$O$2,$D107,$D107-($D107-$I$103)*MIN(F$3-$O$2,$Q$2)/$Q$2))</f>
        <v>5531.640625</v>
      </c>
      <c r="G107" s="15" t="n">
        <f aca="false">F107*(1+IF(G$3&lt;=$O$2,$D107,$D107-($D107-$I$103)*MIN(G$3-$O$2,$Q$2)/$Q$2))</f>
        <v>5877.3681640625</v>
      </c>
      <c r="H107" s="15" t="n">
        <f aca="false">G107*(1+IF(H$3&lt;=$O$2,$D107,$D107-($D107-$I$103)*MIN(H$3-$O$2,$Q$2)/$Q$2))</f>
        <v>6244.70367431641</v>
      </c>
      <c r="I107" s="15" t="n">
        <f aca="false">H107*(1+IF(I$3&lt;=$O$2,$D107,$D107-($D107-$I$103)*MIN(I$3-$O$2,$Q$2)/$Q$2))</f>
        <v>6634.99765396118</v>
      </c>
      <c r="J107" s="15" t="n">
        <f aca="false">I107*(1+IF(J$3&lt;=$O$2,$D107,$D107-($D107-$I$103)*MIN(J$3-$O$2,$Q$2)/$Q$2))</f>
        <v>7004.30162338066</v>
      </c>
      <c r="K107" s="15" t="n">
        <f aca="false">J107*(1+IF(K$3&lt;=$O$2,$D107,$D107-($D107-$I$103)*MIN(K$3-$O$2,$Q$2)/$Q$2))</f>
        <v>7346.25162863411</v>
      </c>
      <c r="L107" s="15" t="n">
        <f aca="false">K107*(1+IF(L$3&lt;=$O$2,$D107,$D107-($D107-$I$103)*MIN(L$3-$O$2,$Q$2)/$Q$2))</f>
        <v>7654.64727200416</v>
      </c>
      <c r="M107" s="15" t="n">
        <f aca="false">L107*(1+IF(M$3&lt;=$O$2,$D107,$D107-($D107-$I$103)*MIN(M$3-$O$2,$Q$2)/$Q$2))</f>
        <v>7923.63157714239</v>
      </c>
      <c r="N107" s="15" t="n">
        <f aca="false">M107*(1+IF(N$3&lt;=$O$2,$D107,$D107-($D107-$I$103)*MIN(N$3-$O$2,$Q$2)/$Q$2))</f>
        <v>8147.87035077552</v>
      </c>
      <c r="O107" s="15" t="n">
        <f aca="false">SUMPRODUCT(E107:N107,1/(1+$F$103)^$E$3:$N$3)*$E$2</f>
        <v>6887.63769843895</v>
      </c>
      <c r="P107" s="15" t="n">
        <f aca="false">N107*$E$2*(1+$I$103)/($F$103-$I$103)/(1+$F$103)^$N$3</f>
        <v>10485.011910611</v>
      </c>
      <c r="Q107" s="15" t="n">
        <f aca="false">O107+P107</f>
        <v>17372.6496090499</v>
      </c>
      <c r="R107" s="15" t="n">
        <f aca="false">Q107-$G$2+$I$2</f>
        <v>12552.1496090499</v>
      </c>
      <c r="S107" s="42" t="n">
        <f aca="false">R107/$K$2</f>
        <v>65.5122630952501</v>
      </c>
      <c r="T107" s="43" t="n">
        <f aca="false">S107-$M$2</f>
        <v>-1.45015861664969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0.0625</v>
      </c>
      <c r="C108" s="25" t="n">
        <f aca="false">IF(T107&gt;0,D107,C107)</f>
        <v>0.25</v>
      </c>
      <c r="D108" s="41" t="n">
        <f aca="false">(B108+C108)/2</f>
        <v>0.15625</v>
      </c>
      <c r="E108" s="15" t="n">
        <f aca="false">$C$2*(1+IF(E$3&lt;=$O$2,$D108,$D108-($D108-$I$103)*MIN(E$3-$O$2,$Q$2)/$Q$2))</f>
        <v>5665.625</v>
      </c>
      <c r="F108" s="15" t="n">
        <f aca="false">E108*(1+IF(F$3&lt;=$O$2,$D108,$D108-($D108-$I$103)*MIN(F$3-$O$2,$Q$2)/$Q$2))</f>
        <v>6550.87890625</v>
      </c>
      <c r="G108" s="15" t="n">
        <f aca="false">F108*(1+IF(G$3&lt;=$O$2,$D108,$D108-($D108-$I$103)*MIN(G$3-$O$2,$Q$2)/$Q$2))</f>
        <v>7574.45373535156</v>
      </c>
      <c r="H108" s="15" t="n">
        <f aca="false">G108*(1+IF(H$3&lt;=$O$2,$D108,$D108-($D108-$I$103)*MIN(H$3-$O$2,$Q$2)/$Q$2))</f>
        <v>8757.96213150024</v>
      </c>
      <c r="I108" s="15" t="n">
        <f aca="false">H108*(1+IF(I$3&lt;=$O$2,$D108,$D108-($D108-$I$103)*MIN(I$3-$O$2,$Q$2)/$Q$2))</f>
        <v>10126.3937145472</v>
      </c>
      <c r="J108" s="15" t="n">
        <f aca="false">I108*(1+IF(J$3&lt;=$O$2,$D108,$D108-($D108-$I$103)*MIN(J$3-$O$2,$Q$2)/$Q$2))</f>
        <v>11449.5083172899</v>
      </c>
      <c r="K108" s="15" t="n">
        <f aca="false">J108*(1+IF(K$3&lt;=$O$2,$D108,$D108-($D108-$I$103)*MIN(K$3-$O$2,$Q$2)/$Q$2))</f>
        <v>12652.5081561875</v>
      </c>
      <c r="L108" s="15" t="n">
        <f aca="false">K108*(1+IF(L$3&lt;=$O$2,$D108,$D108-($D108-$I$103)*MIN(L$3-$O$2,$Q$2)/$Q$2))</f>
        <v>13658.1295044413</v>
      </c>
      <c r="M108" s="15" t="n">
        <f aca="false">L108*(1+IF(M$3&lt;=$O$2,$D108,$D108-($D108-$I$103)*MIN(M$3-$O$2,$Q$2)/$Q$2))</f>
        <v>14394.1661034357</v>
      </c>
      <c r="N108" s="15" t="n">
        <f aca="false">M108*(1+IF(N$3&lt;=$O$2,$D108,$D108-($D108-$I$103)*MIN(N$3-$O$2,$Q$2)/$Q$2))</f>
        <v>14801.5210041629</v>
      </c>
      <c r="O108" s="15" t="n">
        <f aca="false">SUMPRODUCT(E108:N108,1/(1+$F$103)^$E$3:$N$3)*$E$2</f>
        <v>10366.9395368889</v>
      </c>
      <c r="P108" s="15" t="n">
        <f aca="false">N108*$E$2*(1+$I$103)/($F$103-$I$103)/(1+$F$103)^$N$3</f>
        <v>19047.2009669416</v>
      </c>
      <c r="Q108" s="15" t="n">
        <f aca="false">O108+P108</f>
        <v>29414.1405038305</v>
      </c>
      <c r="R108" s="15" t="n">
        <f aca="false">Q108-$G$2+$I$2</f>
        <v>24593.6405038305</v>
      </c>
      <c r="S108" s="42" t="n">
        <f aca="false">R108/$K$2</f>
        <v>128.359292817487</v>
      </c>
      <c r="T108" s="43" t="n">
        <f aca="false">S108-$M$2</f>
        <v>61.3968711055873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0.0625</v>
      </c>
      <c r="C109" s="25" t="n">
        <f aca="false">IF(T108&gt;0,D108,C108)</f>
        <v>0.15625</v>
      </c>
      <c r="D109" s="41" t="n">
        <f aca="false">(B109+C109)/2</f>
        <v>0.109375</v>
      </c>
      <c r="E109" s="15" t="n">
        <f aca="false">$C$2*(1+IF(E$3&lt;=$O$2,$D109,$D109-($D109-$I$103)*MIN(E$3-$O$2,$Q$2)/$Q$2))</f>
        <v>5435.9375</v>
      </c>
      <c r="F109" s="15" t="n">
        <f aca="false">E109*(1+IF(F$3&lt;=$O$2,$D109,$D109-($D109-$I$103)*MIN(F$3-$O$2,$Q$2)/$Q$2))</f>
        <v>6030.4931640625</v>
      </c>
      <c r="G109" s="15" t="n">
        <f aca="false">F109*(1+IF(G$3&lt;=$O$2,$D109,$D109-($D109-$I$103)*MIN(G$3-$O$2,$Q$2)/$Q$2))</f>
        <v>6690.07835388184</v>
      </c>
      <c r="H109" s="15" t="n">
        <f aca="false">G109*(1+IF(H$3&lt;=$O$2,$D109,$D109-($D109-$I$103)*MIN(H$3-$O$2,$Q$2)/$Q$2))</f>
        <v>7421.80567383766</v>
      </c>
      <c r="I109" s="15" t="n">
        <f aca="false">H109*(1+IF(I$3&lt;=$O$2,$D109,$D109-($D109-$I$103)*MIN(I$3-$O$2,$Q$2)/$Q$2))</f>
        <v>8233.56566941366</v>
      </c>
      <c r="J109" s="15" t="n">
        <f aca="false">I109*(1+IF(J$3&lt;=$O$2,$D109,$D109-($D109-$I$103)*MIN(J$3-$O$2,$Q$2)/$Q$2))</f>
        <v>9000.60464717623</v>
      </c>
      <c r="K109" s="15" t="n">
        <f aca="false">J109*(1+IF(K$3&lt;=$O$2,$D109,$D109-($D109-$I$103)*MIN(K$3-$O$2,$Q$2)/$Q$2))</f>
        <v>9693.15617175321</v>
      </c>
      <c r="L109" s="15" t="n">
        <f aca="false">K109*(1+IF(L$3&lt;=$O$2,$D109,$D109-($D109-$I$103)*MIN(L$3-$O$2,$Q$2)/$Q$2))</f>
        <v>10281.8215460638</v>
      </c>
      <c r="M109" s="15" t="n">
        <f aca="false">L109*(1+IF(M$3&lt;=$O$2,$D109,$D109-($D109-$I$103)*MIN(M$3-$O$2,$Q$2)/$Q$2))</f>
        <v>10739.5168321868</v>
      </c>
      <c r="N109" s="15" t="n">
        <f aca="false">M109*(1+IF(N$3&lt;=$O$2,$D109,$D109-($D109-$I$103)*MIN(N$3-$O$2,$Q$2)/$Q$2))</f>
        <v>11043.4451585377</v>
      </c>
      <c r="O109" s="15" t="n">
        <f aca="false">SUMPRODUCT(E109:N109,1/(1+$F$103)^$E$3:$N$3)*$E$2</f>
        <v>8451.9385607985</v>
      </c>
      <c r="P109" s="15" t="n">
        <f aca="false">N109*$E$2*(1+$I$103)/($F$103-$I$103)/(1+$F$103)^$N$3</f>
        <v>14211.1556807511</v>
      </c>
      <c r="Q109" s="15" t="n">
        <f aca="false">O109+P109</f>
        <v>22663.0942415496</v>
      </c>
      <c r="R109" s="15" t="n">
        <f aca="false">Q109-$G$2+$I$2</f>
        <v>17842.5942415496</v>
      </c>
      <c r="S109" s="42" t="n">
        <f aca="false">R109/$K$2</f>
        <v>93.124187064455</v>
      </c>
      <c r="T109" s="43" t="n">
        <f aca="false">S109-$M$2</f>
        <v>26.1617653525552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0.0625</v>
      </c>
      <c r="C110" s="25" t="n">
        <f aca="false">IF(T109&gt;0,D109,C109)</f>
        <v>0.109375</v>
      </c>
      <c r="D110" s="41" t="n">
        <f aca="false">(B110+C110)/2</f>
        <v>0.0859375</v>
      </c>
      <c r="E110" s="15" t="n">
        <f aca="false">$C$2*(1+IF(E$3&lt;=$O$2,$D110,$D110-($D110-$I$103)*MIN(E$3-$O$2,$Q$2)/$Q$2))</f>
        <v>5321.09375</v>
      </c>
      <c r="F110" s="15" t="n">
        <f aca="false">E110*(1+IF(F$3&lt;=$O$2,$D110,$D110-($D110-$I$103)*MIN(F$3-$O$2,$Q$2)/$Q$2))</f>
        <v>5778.37524414063</v>
      </c>
      <c r="G110" s="15" t="n">
        <f aca="false">F110*(1+IF(G$3&lt;=$O$2,$D110,$D110-($D110-$I$103)*MIN(G$3-$O$2,$Q$2)/$Q$2))</f>
        <v>6274.95436668396</v>
      </c>
      <c r="H110" s="15" t="n">
        <f aca="false">G110*(1+IF(H$3&lt;=$O$2,$D110,$D110-($D110-$I$103)*MIN(H$3-$O$2,$Q$2)/$Q$2))</f>
        <v>6814.20825757086</v>
      </c>
      <c r="I110" s="15" t="n">
        <f aca="false">H110*(1+IF(I$3&lt;=$O$2,$D110,$D110-($D110-$I$103)*MIN(I$3-$O$2,$Q$2)/$Q$2))</f>
        <v>7399.80427970586</v>
      </c>
      <c r="J110" s="15" t="n">
        <f aca="false">I110*(1+IF(J$3&lt;=$O$2,$D110,$D110-($D110-$I$103)*MIN(J$3-$O$2,$Q$2)/$Q$2))</f>
        <v>7950.42371615877</v>
      </c>
      <c r="K110" s="15" t="n">
        <f aca="false">J110*(1+IF(K$3&lt;=$O$2,$D110,$D110-($D110-$I$103)*MIN(K$3-$O$2,$Q$2)/$Q$2))</f>
        <v>8450.36623549013</v>
      </c>
      <c r="L110" s="15" t="n">
        <f aca="false">K110*(1+IF(L$3&lt;=$O$2,$D110,$D110-($D110-$I$103)*MIN(L$3-$O$2,$Q$2)/$Q$2))</f>
        <v>8884.33479351372</v>
      </c>
      <c r="M110" s="15" t="n">
        <f aca="false">L110*(1+IF(M$3&lt;=$O$2,$D110,$D110-($D110-$I$103)*MIN(M$3-$O$2,$Q$2)/$Q$2))</f>
        <v>9238.17563750239</v>
      </c>
      <c r="N110" s="15" t="n">
        <f aca="false">M110*(1+IF(N$3&lt;=$O$2,$D110,$D110-($D110-$I$103)*MIN(N$3-$O$2,$Q$2)/$Q$2))</f>
        <v>9499.61600804371</v>
      </c>
      <c r="O110" s="15" t="n">
        <f aca="false">SUMPRODUCT(E110:N110,1/(1+$F$103)^$E$3:$N$3)*$E$2</f>
        <v>7629.95510642063</v>
      </c>
      <c r="P110" s="15" t="n">
        <f aca="false">N110*$E$2*(1+$I$103)/($F$103-$I$103)/(1+$F$103)^$N$3</f>
        <v>12224.4933586957</v>
      </c>
      <c r="Q110" s="15" t="n">
        <f aca="false">O110+P110</f>
        <v>19854.4484651163</v>
      </c>
      <c r="R110" s="15" t="n">
        <f aca="false">Q110-$G$2+$I$2</f>
        <v>15033.9484651163</v>
      </c>
      <c r="S110" s="42" t="n">
        <f aca="false">R110/$K$2</f>
        <v>78.465284264699</v>
      </c>
      <c r="T110" s="43" t="n">
        <f aca="false">S110-$M$2</f>
        <v>11.5028625527992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0.0625</v>
      </c>
      <c r="C111" s="25" t="n">
        <f aca="false">IF(T110&gt;0,D110,C110)</f>
        <v>0.0859375</v>
      </c>
      <c r="D111" s="41" t="n">
        <f aca="false">(B111+C111)/2</f>
        <v>0.07421875</v>
      </c>
      <c r="E111" s="15" t="n">
        <f aca="false">$C$2*(1+IF(E$3&lt;=$O$2,$D111,$D111-($D111-$I$103)*MIN(E$3-$O$2,$Q$2)/$Q$2))</f>
        <v>5263.671875</v>
      </c>
      <c r="F111" s="15" t="n">
        <f aca="false">E111*(1+IF(F$3&lt;=$O$2,$D111,$D111-($D111-$I$103)*MIN(F$3-$O$2,$Q$2)/$Q$2))</f>
        <v>5654.33502197266</v>
      </c>
      <c r="G111" s="15" t="n">
        <f aca="false">F111*(1+IF(G$3&lt;=$O$2,$D111,$D111-($D111-$I$103)*MIN(G$3-$O$2,$Q$2)/$Q$2))</f>
        <v>6073.99269938469</v>
      </c>
      <c r="H111" s="15" t="n">
        <f aca="false">G111*(1+IF(H$3&lt;=$O$2,$D111,$D111-($D111-$I$103)*MIN(H$3-$O$2,$Q$2)/$Q$2))</f>
        <v>6524.79684504215</v>
      </c>
      <c r="I111" s="15" t="n">
        <f aca="false">H111*(1+IF(I$3&lt;=$O$2,$D111,$D111-($D111-$I$103)*MIN(I$3-$O$2,$Q$2)/$Q$2))</f>
        <v>7009.05911088512</v>
      </c>
      <c r="J111" s="15" t="n">
        <f aca="false">I111*(1+IF(J$3&lt;=$O$2,$D111,$D111-($D111-$I$103)*MIN(J$3-$O$2,$Q$2)/$Q$2))</f>
        <v>7464.89327016153</v>
      </c>
      <c r="K111" s="15" t="n">
        <f aca="false">J111*(1+IF(K$3&lt;=$O$2,$D111,$D111-($D111-$I$103)*MIN(K$3-$O$2,$Q$2)/$Q$2))</f>
        <v>7881.81689041664</v>
      </c>
      <c r="L111" s="15" t="n">
        <f aca="false">K111*(1+IF(L$3&lt;=$O$2,$D111,$D111-($D111-$I$103)*MIN(L$3-$O$2,$Q$2)/$Q$2))</f>
        <v>8249.64158015016</v>
      </c>
      <c r="M111" s="15" t="n">
        <f aca="false">L111*(1+IF(M$3&lt;=$O$2,$D111,$D111-($D111-$I$103)*MIN(M$3-$O$2,$Q$2)/$Q$2))</f>
        <v>8558.86908273011</v>
      </c>
      <c r="N111" s="15" t="n">
        <f aca="false">M111*(1+IF(N$3&lt;=$O$2,$D111,$D111-($D111-$I$103)*MIN(N$3-$O$2,$Q$2)/$Q$2))</f>
        <v>8801.08507777138</v>
      </c>
      <c r="O111" s="15" t="n">
        <f aca="false">SUMPRODUCT(E111:N111,1/(1+$F$103)^$E$3:$N$3)*$E$2</f>
        <v>7249.30381815302</v>
      </c>
      <c r="P111" s="15" t="n">
        <f aca="false">N111*$E$2*(1+$I$103)/($F$103-$I$103)/(1+$F$103)^$N$3</f>
        <v>11325.5952652646</v>
      </c>
      <c r="Q111" s="15" t="n">
        <f aca="false">O111+P111</f>
        <v>18574.8990834177</v>
      </c>
      <c r="R111" s="15" t="n">
        <f aca="false">Q111-$G$2+$I$2</f>
        <v>13754.3990834177</v>
      </c>
      <c r="S111" s="42" t="n">
        <f aca="false">R111/$K$2</f>
        <v>71.7870515835995</v>
      </c>
      <c r="T111" s="43" t="n">
        <f aca="false">S111-$M$2</f>
        <v>4.82462987169969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0.0625</v>
      </c>
      <c r="C112" s="25" t="n">
        <f aca="false">IF(T111&gt;0,D111,C111)</f>
        <v>0.07421875</v>
      </c>
      <c r="D112" s="41" t="n">
        <f aca="false">(B112+C112)/2</f>
        <v>0.068359375</v>
      </c>
      <c r="E112" s="15" t="n">
        <f aca="false">$C$2*(1+IF(E$3&lt;=$O$2,$D112,$D112-($D112-$I$103)*MIN(E$3-$O$2,$Q$2)/$Q$2))</f>
        <v>5234.9609375</v>
      </c>
      <c r="F112" s="15" t="n">
        <f aca="false">E112*(1+IF(F$3&lt;=$O$2,$D112,$D112-($D112-$I$103)*MIN(F$3-$O$2,$Q$2)/$Q$2))</f>
        <v>5592.81959533691</v>
      </c>
      <c r="G112" s="15" t="n">
        <f aca="false">F112*(1+IF(G$3&lt;=$O$2,$D112,$D112-($D112-$I$103)*MIN(G$3-$O$2,$Q$2)/$Q$2))</f>
        <v>5975.1412473619</v>
      </c>
      <c r="H112" s="15" t="n">
        <f aca="false">G112*(1+IF(H$3&lt;=$O$2,$D112,$D112-($D112-$I$103)*MIN(H$3-$O$2,$Q$2)/$Q$2))</f>
        <v>6383.59816856828</v>
      </c>
      <c r="I112" s="15" t="n">
        <f aca="false">H112*(1+IF(I$3&lt;=$O$2,$D112,$D112-($D112-$I$103)*MIN(I$3-$O$2,$Q$2)/$Q$2))</f>
        <v>6819.97694962275</v>
      </c>
      <c r="J112" s="15" t="n">
        <f aca="false">I112*(1+IF(J$3&lt;=$O$2,$D112,$D112-($D112-$I$103)*MIN(J$3-$O$2,$Q$2)/$Q$2))</f>
        <v>7231.54550859011</v>
      </c>
      <c r="K112" s="15" t="n">
        <f aca="false">J112*(1+IF(K$3&lt;=$O$2,$D112,$D112-($D112-$I$103)*MIN(K$3-$O$2,$Q$2)/$Q$2))</f>
        <v>7610.01296249812</v>
      </c>
      <c r="L112" s="15" t="n">
        <f aca="false">K112*(1+IF(L$3&lt;=$O$2,$D112,$D112-($D112-$I$103)*MIN(L$3-$O$2,$Q$2)/$Q$2))</f>
        <v>7947.31727454464</v>
      </c>
      <c r="M112" s="15" t="n">
        <f aca="false">L112*(1+IF(M$3&lt;=$O$2,$D112,$D112-($D112-$I$103)*MIN(M$3-$O$2,$Q$2)/$Q$2))</f>
        <v>8235.89926600325</v>
      </c>
      <c r="N112" s="15" t="n">
        <f aca="false">M112*(1+IF(N$3&lt;=$O$2,$D112,$D112-($D112-$I$103)*MIN(N$3-$O$2,$Q$2)/$Q$2))</f>
        <v>8468.97521523114</v>
      </c>
      <c r="O112" s="15" t="n">
        <f aca="false">SUMPRODUCT(E112:N112,1/(1+$F$103)^$E$3:$N$3)*$E$2</f>
        <v>7066.15374895105</v>
      </c>
      <c r="P112" s="15" t="n">
        <f aca="false">N112*$E$2*(1+$I$103)/($F$103-$I$103)/(1+$F$103)^$N$3</f>
        <v>10898.2227477289</v>
      </c>
      <c r="Q112" s="15" t="n">
        <f aca="false">O112+P112</f>
        <v>17964.3764966799</v>
      </c>
      <c r="R112" s="15" t="n">
        <f aca="false">Q112-$G$2+$I$2</f>
        <v>13143.8764966799</v>
      </c>
      <c r="S112" s="42" t="n">
        <f aca="false">R112/$K$2</f>
        <v>68.6006080202503</v>
      </c>
      <c r="T112" s="43" t="n">
        <f aca="false">S112-$M$2</f>
        <v>1.63818630835046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0.0625</v>
      </c>
      <c r="C113" s="25" t="n">
        <f aca="false">IF(T112&gt;0,D112,C112)</f>
        <v>0.068359375</v>
      </c>
      <c r="D113" s="41" t="n">
        <f aca="false">(B113+C113)/2</f>
        <v>0.0654296875</v>
      </c>
      <c r="E113" s="15" t="n">
        <f aca="false">$C$2*(1+IF(E$3&lt;=$O$2,$D113,$D113-($D113-$I$103)*MIN(E$3-$O$2,$Q$2)/$Q$2))</f>
        <v>5220.60546875</v>
      </c>
      <c r="F113" s="15" t="n">
        <f aca="false">E113*(1+IF(F$3&lt;=$O$2,$D113,$D113-($D113-$I$103)*MIN(F$3-$O$2,$Q$2)/$Q$2))</f>
        <v>5562.1880531311</v>
      </c>
      <c r="G113" s="15" t="n">
        <f aca="false">F113*(1+IF(G$3&lt;=$O$2,$D113,$D113-($D113-$I$103)*MIN(G$3-$O$2,$Q$2)/$Q$2))</f>
        <v>5926.12027926371</v>
      </c>
      <c r="H113" s="15" t="n">
        <f aca="false">G113*(1+IF(H$3&lt;=$O$2,$D113,$D113-($D113-$I$103)*MIN(H$3-$O$2,$Q$2)/$Q$2))</f>
        <v>6313.86447722334</v>
      </c>
      <c r="I113" s="15" t="n">
        <f aca="false">H113*(1+IF(I$3&lt;=$O$2,$D113,$D113-($D113-$I$103)*MIN(I$3-$O$2,$Q$2)/$Q$2))</f>
        <v>6726.97865688542</v>
      </c>
      <c r="J113" s="15" t="n">
        <f aca="false">I113*(1+IF(J$3&lt;=$O$2,$D113,$D113-($D113-$I$103)*MIN(J$3-$O$2,$Q$2)/$Q$2))</f>
        <v>7117.16864515473</v>
      </c>
      <c r="K113" s="15" t="n">
        <f aca="false">J113*(1+IF(K$3&lt;=$O$2,$D113,$D113-($D113-$I$103)*MIN(K$3-$O$2,$Q$2)/$Q$2))</f>
        <v>7477.13946642025</v>
      </c>
      <c r="L113" s="15" t="n">
        <f aca="false">K113*(1+IF(L$3&lt;=$O$2,$D113,$D113-($D113-$I$103)*MIN(L$3-$O$2,$Q$2)/$Q$2))</f>
        <v>7799.79205403278</v>
      </c>
      <c r="M113" s="15" t="n">
        <f aca="false">L113*(1+IF(M$3&lt;=$O$2,$D113,$D113-($D113-$I$103)*MIN(M$3-$O$2,$Q$2)/$Q$2))</f>
        <v>8078.44693746815</v>
      </c>
      <c r="N113" s="15" t="n">
        <f aca="false">M113*(1+IF(N$3&lt;=$O$2,$D113,$D113-($D113-$I$103)*MIN(N$3-$O$2,$Q$2)/$Q$2))</f>
        <v>8307.0669857985</v>
      </c>
      <c r="O113" s="15" t="n">
        <f aca="false">SUMPRODUCT(E113:N113,1/(1+$F$103)^$E$3:$N$3)*$E$2</f>
        <v>6976.32336220934</v>
      </c>
      <c r="P113" s="15" t="n">
        <f aca="false">N113*$E$2*(1+$I$103)/($F$103-$I$103)/(1+$F$103)^$N$3</f>
        <v>10689.8726340252</v>
      </c>
      <c r="Q113" s="15" t="n">
        <f aca="false">O113+P113</f>
        <v>17666.1959962345</v>
      </c>
      <c r="R113" s="15" t="n">
        <f aca="false">Q113-$G$2+$I$2</f>
        <v>12845.6959962345</v>
      </c>
      <c r="S113" s="42" t="n">
        <f aca="false">R113/$K$2</f>
        <v>67.0443423603055</v>
      </c>
      <c r="T113" s="43" t="n">
        <f aca="false">S113-$M$2</f>
        <v>0.0819206484057418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0.0625</v>
      </c>
      <c r="C114" s="25" t="n">
        <f aca="false">IF(T113&gt;0,D113,C113)</f>
        <v>0.0654296875</v>
      </c>
      <c r="D114" s="41" t="n">
        <f aca="false">(B114+C114)/2</f>
        <v>0.06396484375</v>
      </c>
      <c r="E114" s="15" t="n">
        <f aca="false">$C$2*(1+IF(E$3&lt;=$O$2,$D114,$D114-($D114-$I$103)*MIN(E$3-$O$2,$Q$2)/$Q$2))</f>
        <v>5213.427734375</v>
      </c>
      <c r="F114" s="15" t="n">
        <f aca="false">E114*(1+IF(F$3&lt;=$O$2,$D114,$D114-($D114-$I$103)*MIN(F$3-$O$2,$Q$2)/$Q$2))</f>
        <v>5546.90382480621</v>
      </c>
      <c r="G114" s="15" t="n">
        <f aca="false">F114*(1+IF(G$3&lt;=$O$2,$D114,$D114-($D114-$I$103)*MIN(G$3-$O$2,$Q$2)/$Q$2))</f>
        <v>5901.71066125622</v>
      </c>
      <c r="H114" s="15" t="n">
        <f aca="false">G114*(1+IF(H$3&lt;=$O$2,$D114,$D114-($D114-$I$103)*MIN(H$3-$O$2,$Q$2)/$Q$2))</f>
        <v>6279.21266156118</v>
      </c>
      <c r="I114" s="15" t="n">
        <f aca="false">H114*(1+IF(I$3&lt;=$O$2,$D114,$D114-($D114-$I$103)*MIN(I$3-$O$2,$Q$2)/$Q$2))</f>
        <v>6680.86151833097</v>
      </c>
      <c r="J114" s="15" t="n">
        <f aca="false">I114*(1+IF(J$3&lt;=$O$2,$D114,$D114-($D114-$I$103)*MIN(J$3-$O$2,$Q$2)/$Q$2))</f>
        <v>7060.54740503306</v>
      </c>
      <c r="K114" s="15" t="n">
        <f aca="false">J114*(1+IF(K$3&lt;=$O$2,$D114,$D114-($D114-$I$103)*MIN(K$3-$O$2,$Q$2)/$Q$2))</f>
        <v>7411.44888858948</v>
      </c>
      <c r="L114" s="15" t="n">
        <f aca="false">K114*(1+IF(L$3&lt;=$O$2,$D114,$D114-($D114-$I$103)*MIN(L$3-$O$2,$Q$2)/$Q$2))</f>
        <v>7726.92415876563</v>
      </c>
      <c r="M114" s="15" t="n">
        <f aca="false">L114*(1+IF(M$3&lt;=$O$2,$D114,$D114-($D114-$I$103)*MIN(M$3-$O$2,$Q$2)/$Q$2))</f>
        <v>8000.71202101679</v>
      </c>
      <c r="N114" s="15" t="n">
        <f aca="false">M114*(1+IF(N$3&lt;=$O$2,$D114,$D114-($D114-$I$103)*MIN(N$3-$O$2,$Q$2)/$Q$2))</f>
        <v>8227.13217121156</v>
      </c>
      <c r="O114" s="15" t="n">
        <f aca="false">SUMPRODUCT(E114:N114,1/(1+$F$103)^$E$3:$N$3)*$E$2</f>
        <v>6931.83829351961</v>
      </c>
      <c r="P114" s="15" t="n">
        <f aca="false">N114*$E$2*(1+$I$103)/($F$103-$I$103)/(1+$F$103)^$N$3</f>
        <v>10587.009254156</v>
      </c>
      <c r="Q114" s="15" t="n">
        <f aca="false">O114+P114</f>
        <v>17518.8475476756</v>
      </c>
      <c r="R114" s="15" t="n">
        <f aca="false">Q114-$G$2+$I$2</f>
        <v>12698.3475476756</v>
      </c>
      <c r="S114" s="42" t="n">
        <f aca="false">R114/$K$2</f>
        <v>66.2753003532132</v>
      </c>
      <c r="T114" s="43" t="n">
        <f aca="false">S114-$M$2</f>
        <v>-0.687121358686625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0.06396484375</v>
      </c>
      <c r="C115" s="25" t="n">
        <f aca="false">IF(T114&gt;0,D114,C114)</f>
        <v>0.0654296875</v>
      </c>
      <c r="D115" s="41" t="n">
        <f aca="false">(B115+C115)/2</f>
        <v>0.064697265625</v>
      </c>
      <c r="E115" s="15" t="n">
        <f aca="false">$C$2*(1+IF(E$3&lt;=$O$2,$D115,$D115-($D115-$I$103)*MIN(E$3-$O$2,$Q$2)/$Q$2))</f>
        <v>5217.0166015625</v>
      </c>
      <c r="F115" s="15" t="n">
        <f aca="false">E115*(1+IF(F$3&lt;=$O$2,$D115,$D115-($D115-$I$103)*MIN(F$3-$O$2,$Q$2)/$Q$2))</f>
        <v>5554.54331040382</v>
      </c>
      <c r="G115" s="15" t="n">
        <f aca="false">F115*(1+IF(G$3&lt;=$O$2,$D115,$D115-($D115-$I$103)*MIN(G$3-$O$2,$Q$2)/$Q$2))</f>
        <v>5913.90707438259</v>
      </c>
      <c r="H115" s="15" t="n">
        <f aca="false">G115*(1+IF(H$3&lt;=$O$2,$D115,$D115-($D115-$I$103)*MIN(H$3-$O$2,$Q$2)/$Q$2))</f>
        <v>6296.52069125548</v>
      </c>
      <c r="I115" s="15" t="n">
        <f aca="false">H115*(1+IF(I$3&lt;=$O$2,$D115,$D115-($D115-$I$103)*MIN(I$3-$O$2,$Q$2)/$Q$2))</f>
        <v>6703.88836293095</v>
      </c>
      <c r="J115" s="15" t="n">
        <f aca="false">I115*(1+IF(J$3&lt;=$O$2,$D115,$D115-($D115-$I$103)*MIN(J$3-$O$2,$Q$2)/$Q$2))</f>
        <v>7088.81096797465</v>
      </c>
      <c r="K115" s="15" t="n">
        <f aca="false">J115*(1+IF(K$3&lt;=$O$2,$D115,$D115-($D115-$I$103)*MIN(K$3-$O$2,$Q$2)/$Q$2))</f>
        <v>7444.2323198284</v>
      </c>
      <c r="L115" s="15" t="n">
        <f aca="false">K115*(1+IF(L$3&lt;=$O$2,$D115,$D115-($D115-$I$103)*MIN(L$3-$O$2,$Q$2)/$Q$2))</f>
        <v>7763.28397492715</v>
      </c>
      <c r="M115" s="15" t="n">
        <f aca="false">L115*(1+IF(M$3&lt;=$O$2,$D115,$D115-($D115-$I$103)*MIN(M$3-$O$2,$Q$2)/$Q$2))</f>
        <v>8039.49737320913</v>
      </c>
      <c r="N115" s="15" t="n">
        <f aca="false">M115*(1+IF(N$3&lt;=$O$2,$D115,$D115-($D115-$I$103)*MIN(N$3-$O$2,$Q$2)/$Q$2))</f>
        <v>8267.01514887095</v>
      </c>
      <c r="O115" s="15" t="n">
        <f aca="false">SUMPRODUCT(E115:N115,1/(1+$F$103)^$E$3:$N$3)*$E$2</f>
        <v>6954.0451623133</v>
      </c>
      <c r="P115" s="15" t="n">
        <f aca="false">N115*$E$2*(1+$I$103)/($F$103-$I$103)/(1+$F$103)^$N$3</f>
        <v>10638.3322965937</v>
      </c>
      <c r="Q115" s="15" t="n">
        <f aca="false">O115+P115</f>
        <v>17592.377458907</v>
      </c>
      <c r="R115" s="15" t="n">
        <f aca="false">Q115-$G$2+$I$2</f>
        <v>12771.877458907</v>
      </c>
      <c r="S115" s="42" t="n">
        <f aca="false">R115/$K$2</f>
        <v>66.6590681571346</v>
      </c>
      <c r="T115" s="43" t="n">
        <f aca="false">S115-$M$2</f>
        <v>-0.303353554765238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0.064697265625</v>
      </c>
      <c r="C116" s="25" t="n">
        <f aca="false">IF(T115&gt;0,D115,C115)</f>
        <v>0.0654296875</v>
      </c>
      <c r="D116" s="41" t="n">
        <f aca="false">(B116+C116)/2</f>
        <v>0.0650634765625</v>
      </c>
      <c r="E116" s="15" t="n">
        <f aca="false">$C$2*(1+IF(E$3&lt;=$O$2,$D116,$D116-($D116-$I$103)*MIN(E$3-$O$2,$Q$2)/$Q$2))</f>
        <v>5218.81103515625</v>
      </c>
      <c r="F116" s="15" t="n">
        <f aca="false">E116*(1+IF(F$3&lt;=$O$2,$D116,$D116-($D116-$I$103)*MIN(F$3-$O$2,$Q$2)/$Q$2))</f>
        <v>5558.36502462626</v>
      </c>
      <c r="G116" s="15" t="n">
        <f aca="false">F116*(1+IF(G$3&lt;=$O$2,$D116,$D116-($D116-$I$103)*MIN(G$3-$O$2,$Q$2)/$Q$2))</f>
        <v>5920.01157713185</v>
      </c>
      <c r="H116" s="15" t="n">
        <f aca="false">G116*(1+IF(H$3&lt;=$O$2,$D116,$D116-($D116-$I$103)*MIN(H$3-$O$2,$Q$2)/$Q$2))</f>
        <v>6305.18811163029</v>
      </c>
      <c r="I116" s="15" t="n">
        <f aca="false">H116*(1+IF(I$3&lt;=$O$2,$D116,$D116-($D116-$I$103)*MIN(I$3-$O$2,$Q$2)/$Q$2))</f>
        <v>6715.4255705535</v>
      </c>
      <c r="J116" s="15" t="n">
        <f aca="false">I116*(1+IF(J$3&lt;=$O$2,$D116,$D116-($D116-$I$103)*MIN(J$3-$O$2,$Q$2)/$Q$2))</f>
        <v>7102.97802665637</v>
      </c>
      <c r="K116" s="15" t="n">
        <f aca="false">J116*(1+IF(K$3&lt;=$O$2,$D116,$D116-($D116-$I$103)*MIN(K$3-$O$2,$Q$2)/$Q$2))</f>
        <v>7460.67040453491</v>
      </c>
      <c r="L116" s="15" t="n">
        <f aca="false">K116*(1+IF(L$3&lt;=$O$2,$D116,$D116-($D116-$I$103)*MIN(L$3-$O$2,$Q$2)/$Q$2))</f>
        <v>7781.51944960631</v>
      </c>
      <c r="M116" s="15" t="n">
        <f aca="false">L116*(1+IF(M$3&lt;=$O$2,$D116,$D116-($D116-$I$103)*MIN(M$3-$O$2,$Q$2)/$Q$2))</f>
        <v>8058.95159161141</v>
      </c>
      <c r="N116" s="15" t="n">
        <f aca="false">M116*(1+IF(N$3&lt;=$O$2,$D116,$D116-($D116-$I$103)*MIN(N$3-$O$2,$Q$2)/$Q$2))</f>
        <v>8287.01992165402</v>
      </c>
      <c r="O116" s="15" t="n">
        <f aca="false">SUMPRODUCT(E116:N116,1/(1+$F$103)^$E$3:$N$3)*$E$2</f>
        <v>6965.17533254957</v>
      </c>
      <c r="P116" s="15" t="n">
        <f aca="false">N116*$E$2*(1+$I$103)/($F$103-$I$103)/(1+$F$103)^$N$3</f>
        <v>10664.075254185</v>
      </c>
      <c r="Q116" s="15" t="n">
        <f aca="false">O116+P116</f>
        <v>17629.2505867346</v>
      </c>
      <c r="R116" s="15" t="n">
        <f aca="false">Q116-$G$2+$I$2</f>
        <v>12808.7505867346</v>
      </c>
      <c r="S116" s="42" t="n">
        <f aca="false">R116/$K$2</f>
        <v>66.8515166322263</v>
      </c>
      <c r="T116" s="43" t="n">
        <f aca="false">S116-$M$2</f>
        <v>-0.110905079673501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0.0650634765625</v>
      </c>
      <c r="C117" s="25" t="n">
        <f aca="false">IF(T116&gt;0,D116,C116)</f>
        <v>0.0654296875</v>
      </c>
      <c r="D117" s="41" t="n">
        <f aca="false">(B117+C117)/2</f>
        <v>0.06524658203125</v>
      </c>
      <c r="E117" s="15" t="n">
        <f aca="false">$C$2*(1+IF(E$3&lt;=$O$2,$D117,$D117-($D117-$I$103)*MIN(E$3-$O$2,$Q$2)/$Q$2))</f>
        <v>5219.70825195313</v>
      </c>
      <c r="F117" s="15" t="n">
        <f aca="false">E117*(1+IF(F$3&lt;=$O$2,$D117,$D117-($D117-$I$103)*MIN(F$3-$O$2,$Q$2)/$Q$2))</f>
        <v>5560.27637459338</v>
      </c>
      <c r="G117" s="15" t="n">
        <f aca="false">F117*(1+IF(G$3&lt;=$O$2,$D117,$D117-($D117-$I$103)*MIN(G$3-$O$2,$Q$2)/$Q$2))</f>
        <v>5923.06540318471</v>
      </c>
      <c r="H117" s="15" t="n">
        <f aca="false">G117*(1+IF(H$3&lt;=$O$2,$D117,$D117-($D117-$I$103)*MIN(H$3-$O$2,$Q$2)/$Q$2))</f>
        <v>6309.52517589006</v>
      </c>
      <c r="I117" s="15" t="n">
        <f aca="false">H117*(1+IF(I$3&lt;=$O$2,$D117,$D117-($D117-$I$103)*MIN(I$3-$O$2,$Q$2)/$Q$2))</f>
        <v>6721.200127857</v>
      </c>
      <c r="J117" s="15" t="n">
        <f aca="false">I117*(1+IF(J$3&lt;=$O$2,$D117,$D117-($D117-$I$103)*MIN(J$3-$O$2,$Q$2)/$Q$2))</f>
        <v>7110.07038897321</v>
      </c>
      <c r="K117" s="15" t="n">
        <f aca="false">J117*(1+IF(K$3&lt;=$O$2,$D117,$D117-($D117-$I$103)*MIN(K$3-$O$2,$Q$2)/$Q$2))</f>
        <v>7468.90106030565</v>
      </c>
      <c r="L117" s="15" t="n">
        <f aca="false">K117*(1+IF(L$3&lt;=$O$2,$D117,$D117-($D117-$I$103)*MIN(L$3-$O$2,$Q$2)/$Q$2))</f>
        <v>7790.65110659545</v>
      </c>
      <c r="M117" s="15" t="n">
        <f aca="false">L117*(1+IF(M$3&lt;=$O$2,$D117,$D117-($D117-$I$103)*MIN(M$3-$O$2,$Q$2)/$Q$2))</f>
        <v>8068.69411894943</v>
      </c>
      <c r="N117" s="15" t="n">
        <f aca="false">M117*(1+IF(N$3&lt;=$O$2,$D117,$D117-($D117-$I$103)*MIN(N$3-$O$2,$Q$2)/$Q$2))</f>
        <v>8297.0381625157</v>
      </c>
      <c r="O117" s="15" t="n">
        <f aca="false">SUMPRODUCT(E117:N117,1/(1+$F$103)^$E$3:$N$3)*$E$2</f>
        <v>6970.74711328413</v>
      </c>
      <c r="P117" s="15" t="n">
        <f aca="false">N117*$E$2*(1+$I$103)/($F$103-$I$103)/(1+$F$103)^$N$3</f>
        <v>10676.9671351595</v>
      </c>
      <c r="Q117" s="15" t="n">
        <f aca="false">O117+P117</f>
        <v>17647.7142484437</v>
      </c>
      <c r="R117" s="15" t="n">
        <f aca="false">Q117-$G$2+$I$2</f>
        <v>12827.2142484437</v>
      </c>
      <c r="S117" s="42" t="n">
        <f aca="false">R117/$K$2</f>
        <v>66.9478822987665</v>
      </c>
      <c r="T117" s="43" t="n">
        <f aca="false">S117-$M$2</f>
        <v>-0.0145394131333205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0.06524658203125</v>
      </c>
      <c r="C118" s="25" t="n">
        <f aca="false">IF(T117&gt;0,D117,C117)</f>
        <v>0.0654296875</v>
      </c>
      <c r="D118" s="41" t="n">
        <f aca="false">(B118+C118)/2</f>
        <v>0.065338134765625</v>
      </c>
      <c r="E118" s="15" t="n">
        <f aca="false">$C$2*(1+IF(E$3&lt;=$O$2,$D118,$D118-($D118-$I$103)*MIN(E$3-$O$2,$Q$2)/$Q$2))</f>
        <v>5220.15686035156</v>
      </c>
      <c r="F118" s="15" t="n">
        <f aca="false">E118*(1+IF(F$3&lt;=$O$2,$D118,$D118-($D118-$I$103)*MIN(F$3-$O$2,$Q$2)/$Q$2))</f>
        <v>5561.23217279092</v>
      </c>
      <c r="G118" s="15" t="n">
        <f aca="false">F118*(1+IF(G$3&lt;=$O$2,$D118,$D118-($D118-$I$103)*MIN(G$3-$O$2,$Q$2)/$Q$2))</f>
        <v>5924.59270995966</v>
      </c>
      <c r="H118" s="15" t="n">
        <f aca="false">G118*(1+IF(H$3&lt;=$O$2,$D118,$D118-($D118-$I$103)*MIN(H$3-$O$2,$Q$2)/$Q$2))</f>
        <v>6311.69454687444</v>
      </c>
      <c r="I118" s="15" t="n">
        <f aca="false">H118*(1+IF(I$3&lt;=$O$2,$D118,$D118-($D118-$I$103)*MIN(I$3-$O$2,$Q$2)/$Q$2))</f>
        <v>6724.08889577758</v>
      </c>
      <c r="J118" s="15" t="n">
        <f aca="false">I118*(1+IF(J$3&lt;=$O$2,$D118,$D118-($D118-$I$103)*MIN(J$3-$O$2,$Q$2)/$Q$2))</f>
        <v>7113.61878008637</v>
      </c>
      <c r="K118" s="15" t="n">
        <f aca="false">J118*(1+IF(K$3&lt;=$O$2,$D118,$D118-($D118-$I$103)*MIN(K$3-$O$2,$Q$2)/$Q$2))</f>
        <v>7473.01929419169</v>
      </c>
      <c r="L118" s="15" t="n">
        <f aca="false">K118*(1+IF(L$3&lt;=$O$2,$D118,$D118-($D118-$I$103)*MIN(L$3-$O$2,$Q$2)/$Q$2))</f>
        <v>7795.22041850707</v>
      </c>
      <c r="M118" s="15" t="n">
        <f aca="false">L118*(1+IF(M$3&lt;=$O$2,$D118,$D118-($D118-$I$103)*MIN(M$3-$O$2,$Q$2)/$Q$2))</f>
        <v>8073.5692412285</v>
      </c>
      <c r="N118" s="15" t="n">
        <f aca="false">M118*(1+IF(N$3&lt;=$O$2,$D118,$D118-($D118-$I$103)*MIN(N$3-$O$2,$Q$2)/$Q$2))</f>
        <v>8302.05125075527</v>
      </c>
      <c r="O118" s="15" t="n">
        <f aca="false">SUMPRODUCT(E118:N118,1/(1+$F$103)^$E$3:$N$3)*$E$2</f>
        <v>6973.53467901437</v>
      </c>
      <c r="P118" s="15" t="n">
        <f aca="false">N118*$E$2*(1+$I$103)/($F$103-$I$103)/(1+$F$103)^$N$3</f>
        <v>10683.4181815849</v>
      </c>
      <c r="Q118" s="15" t="n">
        <f aca="false">O118+P118</f>
        <v>17656.9528605993</v>
      </c>
      <c r="R118" s="15" t="n">
        <f aca="false">Q118-$G$2+$I$2</f>
        <v>12836.4528605993</v>
      </c>
      <c r="S118" s="42" t="n">
        <f aca="false">R118/$K$2</f>
        <v>66.9961005250484</v>
      </c>
      <c r="T118" s="43" t="n">
        <f aca="false">S118-$M$2</f>
        <v>0.0336788131485548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0.06524658203125</v>
      </c>
      <c r="C119" s="25" t="n">
        <f aca="false">IF(T118&gt;0,D118,C118)</f>
        <v>0.065338134765625</v>
      </c>
      <c r="D119" s="41" t="n">
        <f aca="false">(B119+C119)/2</f>
        <v>0.0652923583984375</v>
      </c>
      <c r="E119" s="15" t="n">
        <f aca="false">$C$2*(1+IF(E$3&lt;=$O$2,$D119,$D119-($D119-$I$103)*MIN(E$3-$O$2,$Q$2)/$Q$2))</f>
        <v>5219.93255615234</v>
      </c>
      <c r="F119" s="15" t="n">
        <f aca="false">E119*(1+IF(F$3&lt;=$O$2,$D119,$D119-($D119-$I$103)*MIN(F$3-$O$2,$Q$2)/$Q$2))</f>
        <v>5560.75426342432</v>
      </c>
      <c r="G119" s="15" t="n">
        <f aca="false">F119*(1+IF(G$3&lt;=$O$2,$D119,$D119-($D119-$I$103)*MIN(G$3-$O$2,$Q$2)/$Q$2))</f>
        <v>5923.82902375745</v>
      </c>
      <c r="H119" s="15" t="n">
        <f aca="false">G119*(1+IF(H$3&lt;=$O$2,$D119,$D119-($D119-$I$103)*MIN(H$3-$O$2,$Q$2)/$Q$2))</f>
        <v>6310.60979146769</v>
      </c>
      <c r="I119" s="15" t="n">
        <f aca="false">H119*(1+IF(I$3&lt;=$O$2,$D119,$D119-($D119-$I$103)*MIN(I$3-$O$2,$Q$2)/$Q$2))</f>
        <v>6722.64438768489</v>
      </c>
      <c r="J119" s="15" t="n">
        <f aca="false">I119*(1+IF(J$3&lt;=$O$2,$D119,$D119-($D119-$I$103)*MIN(J$3-$O$2,$Q$2)/$Q$2))</f>
        <v>7111.84440031596</v>
      </c>
      <c r="K119" s="15" t="n">
        <f aca="false">J119*(1+IF(K$3&lt;=$O$2,$D119,$D119-($D119-$I$103)*MIN(K$3-$O$2,$Q$2)/$Q$2))</f>
        <v>7470.95993500315</v>
      </c>
      <c r="L119" s="15" t="n">
        <f aca="false">K119*(1+IF(L$3&lt;=$O$2,$D119,$D119-($D119-$I$103)*MIN(L$3-$O$2,$Q$2)/$Q$2))</f>
        <v>7792.93547216214</v>
      </c>
      <c r="M119" s="15" t="n">
        <f aca="false">L119*(1+IF(M$3&lt;=$O$2,$D119,$D119-($D119-$I$103)*MIN(M$3-$O$2,$Q$2)/$Q$2))</f>
        <v>8071.13135841675</v>
      </c>
      <c r="N119" s="15" t="n">
        <f aca="false">M119*(1+IF(N$3&lt;=$O$2,$D119,$D119-($D119-$I$103)*MIN(N$3-$O$2,$Q$2)/$Q$2))</f>
        <v>8299.54437585994</v>
      </c>
      <c r="O119" s="15" t="n">
        <f aca="false">SUMPRODUCT(E119:N119,1/(1+$F$103)^$E$3:$N$3)*$E$2</f>
        <v>6972.14075649223</v>
      </c>
      <c r="P119" s="15" t="n">
        <f aca="false">N119*$E$2*(1+$I$103)/($F$103-$I$103)/(1+$F$103)^$N$3</f>
        <v>10680.1922327168</v>
      </c>
      <c r="Q119" s="15" t="n">
        <f aca="false">O119+P119</f>
        <v>17652.332989209</v>
      </c>
      <c r="R119" s="15" t="n">
        <f aca="false">Q119-$G$2+$I$2</f>
        <v>12831.832989209</v>
      </c>
      <c r="S119" s="42" t="n">
        <f aca="false">R119/$K$2</f>
        <v>66.9719884614248</v>
      </c>
      <c r="T119" s="43" t="n">
        <f aca="false">S119-$M$2</f>
        <v>0.00956674952496428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0.06524658203125</v>
      </c>
      <c r="C120" s="25" t="n">
        <f aca="false">IF(T119&gt;0,D119,C119)</f>
        <v>0.0652923583984375</v>
      </c>
      <c r="D120" s="41" t="n">
        <f aca="false">(B120+C120)/2</f>
        <v>0.0652694702148438</v>
      </c>
      <c r="E120" s="15" t="n">
        <f aca="false">$C$2*(1+IF(E$3&lt;=$O$2,$D120,$D120-($D120-$I$103)*MIN(E$3-$O$2,$Q$2)/$Q$2))</f>
        <v>5219.82040405273</v>
      </c>
      <c r="F120" s="15" t="n">
        <f aca="false">E120*(1+IF(F$3&lt;=$O$2,$D120,$D120-($D120-$I$103)*MIN(F$3-$O$2,$Q$2)/$Q$2))</f>
        <v>5560.51531644189</v>
      </c>
      <c r="G120" s="15" t="n">
        <f aca="false">F120*(1+IF(G$3&lt;=$O$2,$D120,$D120-($D120-$I$103)*MIN(G$3-$O$2,$Q$2)/$Q$2))</f>
        <v>5923.44720526758</v>
      </c>
      <c r="H120" s="15" t="n">
        <f aca="false">G120*(1+IF(H$3&lt;=$O$2,$D120,$D120-($D120-$I$103)*MIN(H$3-$O$2,$Q$2)/$Q$2))</f>
        <v>6310.06746620099</v>
      </c>
      <c r="I120" s="15" t="n">
        <f aca="false">H120*(1+IF(I$3&lt;=$O$2,$D120,$D120-($D120-$I$103)*MIN(I$3-$O$2,$Q$2)/$Q$2))</f>
        <v>6721.92222673985</v>
      </c>
      <c r="J120" s="15" t="n">
        <f aca="false">I120*(1+IF(J$3&lt;=$O$2,$D120,$D120-($D120-$I$103)*MIN(J$3-$O$2,$Q$2)/$Q$2))</f>
        <v>7110.95734859495</v>
      </c>
      <c r="K120" s="15" t="n">
        <f aca="false">J120*(1+IF(K$3&lt;=$O$2,$D120,$D120-($D120-$I$103)*MIN(K$3-$O$2,$Q$2)/$Q$2))</f>
        <v>7469.93043709893</v>
      </c>
      <c r="L120" s="15" t="n">
        <f aca="false">K120*(1+IF(L$3&lt;=$O$2,$D120,$D120-($D120-$I$103)*MIN(L$3-$O$2,$Q$2)/$Q$2))</f>
        <v>7791.79321678934</v>
      </c>
      <c r="M120" s="15" t="n">
        <f aca="false">L120*(1+IF(M$3&lt;=$O$2,$D120,$D120-($D120-$I$103)*MIN(M$3-$O$2,$Q$2)/$Q$2))</f>
        <v>8069.91265827414</v>
      </c>
      <c r="N120" s="15" t="n">
        <f aca="false">M120*(1+IF(N$3&lt;=$O$2,$D120,$D120-($D120-$I$103)*MIN(N$3-$O$2,$Q$2)/$Q$2))</f>
        <v>8298.2911865033</v>
      </c>
      <c r="O120" s="15" t="n">
        <f aca="false">SUMPRODUCT(E120:N120,1/(1+$F$103)^$E$3:$N$3)*$E$2</f>
        <v>6971.44389997718</v>
      </c>
      <c r="P120" s="15" t="n">
        <f aca="false">N120*$E$2*(1+$I$103)/($F$103-$I$103)/(1+$F$103)^$N$3</f>
        <v>10678.5795775363</v>
      </c>
      <c r="Q120" s="15" t="n">
        <f aca="false">O120+P120</f>
        <v>17650.0234775135</v>
      </c>
      <c r="R120" s="15" t="n">
        <f aca="false">Q120-$G$2+$I$2</f>
        <v>12829.5234775135</v>
      </c>
      <c r="S120" s="42" t="n">
        <f aca="false">R120/$K$2</f>
        <v>66.9599346425548</v>
      </c>
      <c r="T120" s="43" t="n">
        <f aca="false">S120-$M$2</f>
        <v>-0.00248706934495146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0.0652694702148438</v>
      </c>
      <c r="C121" s="25" t="n">
        <f aca="false">IF(T120&gt;0,D120,C120)</f>
        <v>0.0652923583984375</v>
      </c>
      <c r="D121" s="41" t="n">
        <f aca="false">(B121+C121)/2</f>
        <v>0.0652809143066406</v>
      </c>
      <c r="E121" s="15" t="n">
        <f aca="false">$C$2*(1+IF(E$3&lt;=$O$2,$D121,$D121-($D121-$I$103)*MIN(E$3-$O$2,$Q$2)/$Q$2))</f>
        <v>5219.87648010254</v>
      </c>
      <c r="F121" s="15" t="n">
        <f aca="false">E121*(1+IF(F$3&lt;=$O$2,$D121,$D121-($D121-$I$103)*MIN(F$3-$O$2,$Q$2)/$Q$2))</f>
        <v>5560.63478929136</v>
      </c>
      <c r="G121" s="15" t="n">
        <f aca="false">F121*(1+IF(G$3&lt;=$O$2,$D121,$D121-($D121-$I$103)*MIN(G$3-$O$2,$Q$2)/$Q$2))</f>
        <v>5923.63811246162</v>
      </c>
      <c r="H121" s="15" t="n">
        <f aca="false">G121*(1+IF(H$3&lt;=$O$2,$D121,$D121-($D121-$I$103)*MIN(H$3-$O$2,$Q$2)/$Q$2))</f>
        <v>6310.33862446477</v>
      </c>
      <c r="I121" s="15" t="n">
        <f aca="false">H121*(1+IF(I$3&lt;=$O$2,$D121,$D121-($D121-$I$103)*MIN(I$3-$O$2,$Q$2)/$Q$2))</f>
        <v>6722.28329945434</v>
      </c>
      <c r="J121" s="15" t="n">
        <f aca="false">I121*(1+IF(J$3&lt;=$O$2,$D121,$D121-($D121-$I$103)*MIN(J$3-$O$2,$Q$2)/$Q$2))</f>
        <v>7111.40086294257</v>
      </c>
      <c r="K121" s="15" t="n">
        <f aca="false">J121*(1+IF(K$3&lt;=$O$2,$D121,$D121-($D121-$I$103)*MIN(K$3-$O$2,$Q$2)/$Q$2))</f>
        <v>7470.44517091143</v>
      </c>
      <c r="L121" s="15" t="n">
        <f aca="false">K121*(1+IF(L$3&lt;=$O$2,$D121,$D121-($D121-$I$103)*MIN(L$3-$O$2,$Q$2)/$Q$2))</f>
        <v>7792.3643263274</v>
      </c>
      <c r="M121" s="15" t="n">
        <f aca="false">L121*(1+IF(M$3&lt;=$O$2,$D121,$D121-($D121-$I$103)*MIN(M$3-$O$2,$Q$2)/$Q$2))</f>
        <v>8070.52198824207</v>
      </c>
      <c r="N121" s="15" t="n">
        <f aca="false">M121*(1+IF(N$3&lt;=$O$2,$D121,$D121-($D121-$I$103)*MIN(N$3-$O$2,$Q$2)/$Q$2))</f>
        <v>8298.91776050932</v>
      </c>
      <c r="O121" s="15" t="n">
        <f aca="false">SUMPRODUCT(E121:N121,1/(1+$F$103)^$E$3:$N$3)*$E$2</f>
        <v>6971.79231950655</v>
      </c>
      <c r="P121" s="15" t="n">
        <f aca="false">N121*$E$2*(1+$I$103)/($F$103-$I$103)/(1+$F$103)^$N$3</f>
        <v>10679.3858785246</v>
      </c>
      <c r="Q121" s="15" t="n">
        <f aca="false">O121+P121</f>
        <v>17651.1781980311</v>
      </c>
      <c r="R121" s="15" t="n">
        <f aca="false">Q121-$G$2+$I$2</f>
        <v>12830.6781980311</v>
      </c>
      <c r="S121" s="42" t="n">
        <f aca="false">R121/$K$2</f>
        <v>66.9659613675946</v>
      </c>
      <c r="T121" s="43" t="n">
        <f aca="false">S121-$M$2</f>
        <v>0.00353965569483705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0.0652694702148438</v>
      </c>
      <c r="C122" s="25" t="n">
        <f aca="false">IF(T121&gt;0,D121,C121)</f>
        <v>0.0652809143066406</v>
      </c>
      <c r="D122" s="41" t="n">
        <f aca="false">(B122+C122)/2</f>
        <v>0.0652751922607422</v>
      </c>
      <c r="E122" s="15" t="n">
        <f aca="false">$C$2*(1+IF(E$3&lt;=$O$2,$D122,$D122-($D122-$I$103)*MIN(E$3-$O$2,$Q$2)/$Q$2))</f>
        <v>5219.84844207764</v>
      </c>
      <c r="F122" s="15" t="n">
        <f aca="false">E122*(1+IF(F$3&lt;=$O$2,$D122,$D122-($D122-$I$103)*MIN(F$3-$O$2,$Q$2)/$Q$2))</f>
        <v>5560.57505270619</v>
      </c>
      <c r="G122" s="15" t="n">
        <f aca="false">F122*(1+IF(G$3&lt;=$O$2,$D122,$D122-($D122-$I$103)*MIN(G$3-$O$2,$Q$2)/$Q$2))</f>
        <v>5923.54265835187</v>
      </c>
      <c r="H122" s="15" t="n">
        <f aca="false">G122*(1+IF(H$3&lt;=$O$2,$D122,$D122-($D122-$I$103)*MIN(H$3-$O$2,$Q$2)/$Q$2))</f>
        <v>6310.2030442405</v>
      </c>
      <c r="I122" s="15" t="n">
        <f aca="false">H122*(1+IF(I$3&lt;=$O$2,$D122,$D122-($D122-$I$103)*MIN(I$3-$O$2,$Q$2)/$Q$2))</f>
        <v>6722.10276115762</v>
      </c>
      <c r="J122" s="15" t="n">
        <f aca="false">I122*(1+IF(J$3&lt;=$O$2,$D122,$D122-($D122-$I$103)*MIN(J$3-$O$2,$Q$2)/$Q$2))</f>
        <v>7111.1791028906</v>
      </c>
      <c r="K122" s="15" t="n">
        <f aca="false">J122*(1+IF(K$3&lt;=$O$2,$D122,$D122-($D122-$I$103)*MIN(K$3-$O$2,$Q$2)/$Q$2))</f>
        <v>7470.18780022037</v>
      </c>
      <c r="L122" s="15" t="n">
        <f aca="false">K122*(1+IF(L$3&lt;=$O$2,$D122,$D122-($D122-$I$103)*MIN(L$3-$O$2,$Q$2)/$Q$2))</f>
        <v>7792.07876702141</v>
      </c>
      <c r="M122" s="15" t="n">
        <f aca="false">L122*(1+IF(M$3&lt;=$O$2,$D122,$D122-($D122-$I$103)*MIN(M$3-$O$2,$Q$2)/$Q$2))</f>
        <v>8070.2173182324</v>
      </c>
      <c r="N122" s="15" t="n">
        <f aca="false">M122*(1+IF(N$3&lt;=$O$2,$D122,$D122-($D122-$I$103)*MIN(N$3-$O$2,$Q$2)/$Q$2))</f>
        <v>8298.60446833838</v>
      </c>
      <c r="O122" s="15" t="n">
        <f aca="false">SUMPRODUCT(E122:N122,1/(1+$F$103)^$E$3:$N$3)*$E$2</f>
        <v>6971.61810755988</v>
      </c>
      <c r="P122" s="15" t="n">
        <f aca="false">N122*$E$2*(1+$I$103)/($F$103-$I$103)/(1+$F$103)^$N$3</f>
        <v>10678.9827213801</v>
      </c>
      <c r="Q122" s="15" t="n">
        <f aca="false">O122+P122</f>
        <v>17650.60082894</v>
      </c>
      <c r="R122" s="15" t="n">
        <f aca="false">Q122-$G$2+$I$2</f>
        <v>12830.10082894</v>
      </c>
      <c r="S122" s="42" t="n">
        <f aca="false">R122/$K$2</f>
        <v>66.9629479589772</v>
      </c>
      <c r="T122" s="43" t="n">
        <f aca="false">S122-$M$2</f>
        <v>0.000526247077388575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0.0652694702148438</v>
      </c>
      <c r="C123" s="25" t="n">
        <f aca="false">IF(T122&gt;0,D122,C122)</f>
        <v>0.0652751922607422</v>
      </c>
      <c r="D123" s="41" t="n">
        <f aca="false">(B123+C123)/2</f>
        <v>0.065272331237793</v>
      </c>
      <c r="E123" s="15" t="n">
        <f aca="false">$C$2*(1+IF(E$3&lt;=$O$2,$D123,$D123-($D123-$I$103)*MIN(E$3-$O$2,$Q$2)/$Q$2))</f>
        <v>5219.83442306519</v>
      </c>
      <c r="F123" s="15" t="n">
        <f aca="false">E123*(1+IF(F$3&lt;=$O$2,$D123,$D123-($D123-$I$103)*MIN(F$3-$O$2,$Q$2)/$Q$2))</f>
        <v>5560.54518453393</v>
      </c>
      <c r="G123" s="15" t="n">
        <f aca="false">F123*(1+IF(G$3&lt;=$O$2,$D123,$D123-($D123-$I$103)*MIN(G$3-$O$2,$Q$2)/$Q$2))</f>
        <v>5923.49493168154</v>
      </c>
      <c r="H123" s="15" t="n">
        <f aca="false">G123*(1+IF(H$3&lt;=$O$2,$D123,$D123-($D123-$I$103)*MIN(H$3-$O$2,$Q$2)/$Q$2))</f>
        <v>6310.13525494765</v>
      </c>
      <c r="I123" s="15" t="n">
        <f aca="false">H123*(1+IF(I$3&lt;=$O$2,$D123,$D123-($D123-$I$103)*MIN(I$3-$O$2,$Q$2)/$Q$2))</f>
        <v>6722.01249346387</v>
      </c>
      <c r="J123" s="15" t="n">
        <f aca="false">I123*(1+IF(J$3&lt;=$O$2,$D123,$D123-($D123-$I$103)*MIN(J$3-$O$2,$Q$2)/$Q$2))</f>
        <v>7111.06822502324</v>
      </c>
      <c r="K123" s="15" t="n">
        <f aca="false">J123*(1+IF(K$3&lt;=$O$2,$D123,$D123-($D123-$I$103)*MIN(K$3-$O$2,$Q$2)/$Q$2))</f>
        <v>7470.05911771346</v>
      </c>
      <c r="L123" s="15" t="n">
        <f aca="false">K123*(1+IF(L$3&lt;=$O$2,$D123,$D123-($D123-$I$103)*MIN(L$3-$O$2,$Q$2)/$Q$2))</f>
        <v>7791.93599077115</v>
      </c>
      <c r="M123" s="15" t="n">
        <f aca="false">L123*(1+IF(M$3&lt;=$O$2,$D123,$D123-($D123-$I$103)*MIN(M$3-$O$2,$Q$2)/$Q$2))</f>
        <v>8070.06498699687</v>
      </c>
      <c r="N123" s="15" t="n">
        <f aca="false">M123*(1+IF(N$3&lt;=$O$2,$D123,$D123-($D123-$I$103)*MIN(N$3-$O$2,$Q$2)/$Q$2))</f>
        <v>8298.44782612888</v>
      </c>
      <c r="O123" s="15" t="n">
        <f aca="false">SUMPRODUCT(E123:N123,1/(1+$F$103)^$E$3:$N$3)*$E$2</f>
        <v>6971.53100322304</v>
      </c>
      <c r="P123" s="15" t="n">
        <f aca="false">N123*$E$2*(1+$I$103)/($F$103-$I$103)/(1+$F$103)^$N$3</f>
        <v>10678.7811477957</v>
      </c>
      <c r="Q123" s="15" t="n">
        <f aca="false">O123+P123</f>
        <v>17650.3121510187</v>
      </c>
      <c r="R123" s="15" t="n">
        <f aca="false">Q123-$G$2+$I$2</f>
        <v>12829.8121510187</v>
      </c>
      <c r="S123" s="42" t="n">
        <f aca="false">R123/$K$2</f>
        <v>66.9614412892418</v>
      </c>
      <c r="T123" s="43" t="n">
        <f aca="false">S123-$M$2</f>
        <v>-0.000980422658003022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0.065272331237793</v>
      </c>
      <c r="C124" s="25" t="n">
        <f aca="false">IF(T123&gt;0,D123,C123)</f>
        <v>0.0652751922607422</v>
      </c>
      <c r="D124" s="41" t="n">
        <f aca="false">(B124+C124)/2</f>
        <v>0.0652737617492676</v>
      </c>
      <c r="E124" s="15" t="n">
        <f aca="false">$C$2*(1+IF(E$3&lt;=$O$2,$D124,$D124-($D124-$I$103)*MIN(E$3-$O$2,$Q$2)/$Q$2))</f>
        <v>5219.84143257141</v>
      </c>
      <c r="F124" s="15" t="n">
        <f aca="false">E124*(1+IF(F$3&lt;=$O$2,$D124,$D124-($D124-$I$103)*MIN(F$3-$O$2,$Q$2)/$Q$2))</f>
        <v>5560.56011861003</v>
      </c>
      <c r="G124" s="15" t="n">
        <f aca="false">F124*(1+IF(G$3&lt;=$O$2,$D124,$D124-($D124-$I$103)*MIN(G$3-$O$2,$Q$2)/$Q$2))</f>
        <v>5923.51879498466</v>
      </c>
      <c r="H124" s="15" t="n">
        <f aca="false">G124*(1+IF(H$3&lt;=$O$2,$D124,$D124-($D124-$I$103)*MIN(H$3-$O$2,$Q$2)/$Q$2))</f>
        <v>6310.1691495258</v>
      </c>
      <c r="I124" s="15" t="n">
        <f aca="false">H124*(1+IF(I$3&lt;=$O$2,$D124,$D124-($D124-$I$103)*MIN(I$3-$O$2,$Q$2)/$Q$2))</f>
        <v>6722.05762718953</v>
      </c>
      <c r="J124" s="15" t="n">
        <f aca="false">I124*(1+IF(J$3&lt;=$O$2,$D124,$D124-($D124-$I$103)*MIN(J$3-$O$2,$Q$2)/$Q$2))</f>
        <v>7111.12366377703</v>
      </c>
      <c r="K124" s="15" t="n">
        <f aca="false">J124*(1+IF(K$3&lt;=$O$2,$D124,$D124-($D124-$I$103)*MIN(K$3-$O$2,$Q$2)/$Q$2))</f>
        <v>7470.12345873037</v>
      </c>
      <c r="L124" s="15" t="n">
        <f aca="false">K124*(1+IF(L$3&lt;=$O$2,$D124,$D124-($D124-$I$103)*MIN(L$3-$O$2,$Q$2)/$Q$2))</f>
        <v>7792.00737861272</v>
      </c>
      <c r="M124" s="15" t="n">
        <f aca="false">L124*(1+IF(M$3&lt;=$O$2,$D124,$D124-($D124-$I$103)*MIN(M$3-$O$2,$Q$2)/$Q$2))</f>
        <v>8070.14115230053</v>
      </c>
      <c r="N124" s="15" t="n">
        <f aca="false">M124*(1+IF(N$3&lt;=$O$2,$D124,$D124-($D124-$I$103)*MIN(N$3-$O$2,$Q$2)/$Q$2))</f>
        <v>8298.52614691064</v>
      </c>
      <c r="O124" s="15" t="n">
        <f aca="false">SUMPRODUCT(E124:N124,1/(1+$F$103)^$E$3:$N$3)*$E$2</f>
        <v>6971.57455525509</v>
      </c>
      <c r="P124" s="15" t="n">
        <f aca="false">N124*$E$2*(1+$I$103)/($F$103-$I$103)/(1+$F$103)^$N$3</f>
        <v>10678.8819341723</v>
      </c>
      <c r="Q124" s="15" t="n">
        <f aca="false">O124+P124</f>
        <v>17650.4564894274</v>
      </c>
      <c r="R124" s="15" t="n">
        <f aca="false">Q124-$G$2+$I$2</f>
        <v>12829.9564894274</v>
      </c>
      <c r="S124" s="42" t="n">
        <f aca="false">R124/$K$2</f>
        <v>66.9621946212284</v>
      </c>
      <c r="T124" s="43" t="n">
        <f aca="false">S124-$M$2</f>
        <v>-0.000227090671373276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0.0652737617492676</v>
      </c>
      <c r="C125" s="25" t="n">
        <f aca="false">IF(T124&gt;0,D124,C124)</f>
        <v>0.0652751922607422</v>
      </c>
      <c r="D125" s="41" t="n">
        <f aca="false">(B125+C125)/2</f>
        <v>0.0652744770050049</v>
      </c>
      <c r="E125" s="15" t="n">
        <f aca="false">$C$2*(1+IF(E$3&lt;=$O$2,$D125,$D125-($D125-$I$103)*MIN(E$3-$O$2,$Q$2)/$Q$2))</f>
        <v>5219.84493732452</v>
      </c>
      <c r="F125" s="15" t="n">
        <f aca="false">E125*(1+IF(F$3&lt;=$O$2,$D125,$D125-($D125-$I$103)*MIN(F$3-$O$2,$Q$2)/$Q$2))</f>
        <v>5560.5675856556</v>
      </c>
      <c r="G125" s="15" t="n">
        <f aca="false">F125*(1+IF(G$3&lt;=$O$2,$D125,$D125-($D125-$I$103)*MIN(G$3-$O$2,$Q$2)/$Q$2))</f>
        <v>5923.53072666026</v>
      </c>
      <c r="H125" s="15" t="n">
        <f aca="false">G125*(1+IF(H$3&lt;=$O$2,$D125,$D125-($D125-$I$103)*MIN(H$3-$O$2,$Q$2)/$Q$2))</f>
        <v>6310.18609686608</v>
      </c>
      <c r="I125" s="15" t="n">
        <f aca="false">H125*(1+IF(I$3&lt;=$O$2,$D125,$D125-($D125-$I$103)*MIN(I$3-$O$2,$Q$2)/$Q$2))</f>
        <v>6722.08019414327</v>
      </c>
      <c r="J125" s="15" t="n">
        <f aca="false">I125*(1+IF(J$3&lt;=$O$2,$D125,$D125-($D125-$I$103)*MIN(J$3-$O$2,$Q$2)/$Q$2))</f>
        <v>7111.15138328884</v>
      </c>
      <c r="K125" s="15" t="n">
        <f aca="false">J125*(1+IF(K$3&lt;=$O$2,$D125,$D125-($D125-$I$103)*MIN(K$3-$O$2,$Q$2)/$Q$2))</f>
        <v>7470.15562941623</v>
      </c>
      <c r="L125" s="15" t="n">
        <f aca="false">K125*(1+IF(L$3&lt;=$O$2,$D125,$D125-($D125-$I$103)*MIN(L$3-$O$2,$Q$2)/$Q$2))</f>
        <v>7792.04307274617</v>
      </c>
      <c r="M125" s="15" t="n">
        <f aca="false">L125*(1+IF(M$3&lt;=$O$2,$D125,$D125-($D125-$I$103)*MIN(M$3-$O$2,$Q$2)/$Q$2))</f>
        <v>8070.17923518794</v>
      </c>
      <c r="N125" s="15" t="n">
        <f aca="false">M125*(1+IF(N$3&lt;=$O$2,$D125,$D125-($D125-$I$103)*MIN(N$3-$O$2,$Q$2)/$Q$2))</f>
        <v>8298.56530754376</v>
      </c>
      <c r="O125" s="15" t="n">
        <f aca="false">SUMPRODUCT(E125:N125,1/(1+$F$103)^$E$3:$N$3)*$E$2</f>
        <v>6971.59633137339</v>
      </c>
      <c r="P125" s="15" t="n">
        <f aca="false">N125*$E$2*(1+$I$103)/($F$103-$I$103)/(1+$F$103)^$N$3</f>
        <v>10678.9323276723</v>
      </c>
      <c r="Q125" s="15" t="n">
        <f aca="false">O125+P125</f>
        <v>17650.5286590457</v>
      </c>
      <c r="R125" s="15" t="n">
        <f aca="false">Q125-$G$2+$I$2</f>
        <v>12830.0286590457</v>
      </c>
      <c r="S125" s="42" t="n">
        <f aca="false">R125/$K$2</f>
        <v>66.9625712893825</v>
      </c>
      <c r="T125" s="43" t="n">
        <f aca="false">S125-$M$2</f>
        <v>0.000149577482716268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0.0652737617492676</v>
      </c>
      <c r="C126" s="25" t="n">
        <f aca="false">IF(T125&gt;0,D125,C125)</f>
        <v>0.0652744770050049</v>
      </c>
      <c r="D126" s="41" t="n">
        <f aca="false">(B126+C126)/2</f>
        <v>0.0652741193771362</v>
      </c>
      <c r="E126" s="15" t="n">
        <f aca="false">$C$2*(1+IF(E$3&lt;=$O$2,$D126,$D126-($D126-$I$103)*MIN(E$3-$O$2,$Q$2)/$Q$2))</f>
        <v>5219.84318494797</v>
      </c>
      <c r="F126" s="15" t="n">
        <f aca="false">E126*(1+IF(F$3&lt;=$O$2,$D126,$D126-($D126-$I$103)*MIN(F$3-$O$2,$Q$2)/$Q$2))</f>
        <v>5560.56385213219</v>
      </c>
      <c r="G126" s="15" t="n">
        <f aca="false">F126*(1+IF(G$3&lt;=$O$2,$D126,$D126-($D126-$I$103)*MIN(G$3-$O$2,$Q$2)/$Q$2))</f>
        <v>5923.52476082046</v>
      </c>
      <c r="H126" s="15" t="n">
        <f aca="false">G126*(1+IF(H$3&lt;=$O$2,$D126,$D126-($D126-$I$103)*MIN(H$3-$O$2,$Q$2)/$Q$2))</f>
        <v>6310.17762319168</v>
      </c>
      <c r="I126" s="15" t="n">
        <f aca="false">H126*(1+IF(I$3&lt;=$O$2,$D126,$D126-($D126-$I$103)*MIN(I$3-$O$2,$Q$2)/$Q$2))</f>
        <v>6722.06891065882</v>
      </c>
      <c r="J126" s="15" t="n">
        <f aca="false">I126*(1+IF(J$3&lt;=$O$2,$D126,$D126-($D126-$I$103)*MIN(J$3-$O$2,$Q$2)/$Q$2))</f>
        <v>7111.13752352169</v>
      </c>
      <c r="K126" s="15" t="n">
        <f aca="false">J126*(1+IF(K$3&lt;=$O$2,$D126,$D126-($D126-$I$103)*MIN(K$3-$O$2,$Q$2)/$Q$2))</f>
        <v>7470.13954405851</v>
      </c>
      <c r="L126" s="15" t="n">
        <f aca="false">K126*(1+IF(L$3&lt;=$O$2,$D126,$D126-($D126-$I$103)*MIN(L$3-$O$2,$Q$2)/$Q$2))</f>
        <v>7792.02522566172</v>
      </c>
      <c r="M126" s="15" t="n">
        <f aca="false">L126*(1+IF(M$3&lt;=$O$2,$D126,$D126-($D126-$I$103)*MIN(M$3-$O$2,$Q$2)/$Q$2))</f>
        <v>8070.1601937246</v>
      </c>
      <c r="N126" s="15" t="n">
        <f aca="false">M126*(1+IF(N$3&lt;=$O$2,$D126,$D126-($D126-$I$103)*MIN(N$3-$O$2,$Q$2)/$Q$2))</f>
        <v>8298.54572720701</v>
      </c>
      <c r="O126" s="15" t="n">
        <f aca="false">SUMPRODUCT(E126:N126,1/(1+$F$103)^$E$3:$N$3)*$E$2</f>
        <v>6971.58544330572</v>
      </c>
      <c r="P126" s="15" t="n">
        <f aca="false">N126*$E$2*(1+$I$103)/($F$103-$I$103)/(1+$F$103)^$N$3</f>
        <v>10678.9071308963</v>
      </c>
      <c r="Q126" s="15" t="n">
        <f aca="false">O126+P126</f>
        <v>17650.492574202</v>
      </c>
      <c r="R126" s="15" t="n">
        <f aca="false">Q126-$G$2+$I$2</f>
        <v>12829.992574202</v>
      </c>
      <c r="S126" s="42" t="n">
        <f aca="false">R126/$K$2</f>
        <v>66.9623829551254</v>
      </c>
      <c r="T126" s="43" t="n">
        <f aca="false">S126-$M$2</f>
        <v>-3.87567744013495E-005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0.0652741193771362</v>
      </c>
      <c r="C127" s="25" t="n">
        <f aca="false">IF(T126&gt;0,D126,C126)</f>
        <v>0.0652744770050049</v>
      </c>
      <c r="D127" s="41" t="n">
        <f aca="false">(B127+C127)/2</f>
        <v>0.0652742981910706</v>
      </c>
      <c r="E127" s="15" t="n">
        <f aca="false">$C$2*(1+IF(E$3&lt;=$O$2,$D127,$D127-($D127-$I$103)*MIN(E$3-$O$2,$Q$2)/$Q$2))</f>
        <v>5219.84406113625</v>
      </c>
      <c r="F127" s="15" t="n">
        <f aca="false">E127*(1+IF(F$3&lt;=$O$2,$D127,$D127-($D127-$I$103)*MIN(F$3-$O$2,$Q$2)/$Q$2))</f>
        <v>5560.56571889374</v>
      </c>
      <c r="G127" s="15" t="n">
        <f aca="false">F127*(1+IF(G$3&lt;=$O$2,$D127,$D127-($D127-$I$103)*MIN(G$3-$O$2,$Q$2)/$Q$2))</f>
        <v>5923.52774373986</v>
      </c>
      <c r="H127" s="15" t="n">
        <f aca="false">G127*(1+IF(H$3&lt;=$O$2,$D127,$D127-($D127-$I$103)*MIN(H$3-$O$2,$Q$2)/$Q$2))</f>
        <v>6310.18186002781</v>
      </c>
      <c r="I127" s="15" t="n">
        <f aca="false">H127*(1+IF(I$3&lt;=$O$2,$D127,$D127-($D127-$I$103)*MIN(I$3-$O$2,$Q$2)/$Q$2))</f>
        <v>6722.07455239915</v>
      </c>
      <c r="J127" s="15" t="n">
        <f aca="false">I127*(1+IF(J$3&lt;=$O$2,$D127,$D127-($D127-$I$103)*MIN(J$3-$O$2,$Q$2)/$Q$2))</f>
        <v>7111.14445340246</v>
      </c>
      <c r="K127" s="15" t="n">
        <f aca="false">J127*(1+IF(K$3&lt;=$O$2,$D127,$D127-($D127-$I$103)*MIN(K$3-$O$2,$Q$2)/$Q$2))</f>
        <v>7470.14758673368</v>
      </c>
      <c r="L127" s="15" t="n">
        <f aca="false">K127*(1+IF(L$3&lt;=$O$2,$D127,$D127-($D127-$I$103)*MIN(L$3-$O$2,$Q$2)/$Q$2))</f>
        <v>7792.03414919952</v>
      </c>
      <c r="M127" s="15" t="n">
        <f aca="false">L127*(1+IF(M$3&lt;=$O$2,$D127,$D127-($D127-$I$103)*MIN(M$3-$O$2,$Q$2)/$Q$2))</f>
        <v>8070.16971445137</v>
      </c>
      <c r="N127" s="15" t="n">
        <f aca="false">M127*(1+IF(N$3&lt;=$O$2,$D127,$D127-($D127-$I$103)*MIN(N$3-$O$2,$Q$2)/$Q$2))</f>
        <v>8298.55551737034</v>
      </c>
      <c r="O127" s="15" t="n">
        <f aca="false">SUMPRODUCT(E127:N127,1/(1+$F$103)^$E$3:$N$3)*$E$2</f>
        <v>6971.59088733742</v>
      </c>
      <c r="P127" s="15" t="n">
        <f aca="false">N127*$E$2*(1+$I$103)/($F$103-$I$103)/(1+$F$103)^$N$3</f>
        <v>10678.9197292778</v>
      </c>
      <c r="Q127" s="15" t="n">
        <f aca="false">O127+P127</f>
        <v>17650.5106166152</v>
      </c>
      <c r="R127" s="15" t="n">
        <f aca="false">Q127-$G$2+$I$2</f>
        <v>12830.0106166152</v>
      </c>
      <c r="S127" s="42" t="n">
        <f aca="false">R127/$K$2</f>
        <v>66.962477122209</v>
      </c>
      <c r="T127" s="43" t="n">
        <f aca="false">S127-$M$2</f>
        <v>5.54103091729985E-005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0.0652741193771362</v>
      </c>
      <c r="C128" s="25" t="n">
        <f aca="false">IF(T127&gt;0,D127,C127)</f>
        <v>0.0652742981910706</v>
      </c>
      <c r="D128" s="41" t="n">
        <f aca="false">(B128+C128)/2</f>
        <v>0.0652742087841034</v>
      </c>
      <c r="E128" s="15" t="n">
        <f aca="false">$C$2*(1+IF(E$3&lt;=$O$2,$D128,$D128-($D128-$I$103)*MIN(E$3-$O$2,$Q$2)/$Q$2))</f>
        <v>5219.84362304211</v>
      </c>
      <c r="F128" s="15" t="n">
        <f aca="false">E128*(1+IF(F$3&lt;=$O$2,$D128,$D128-($D128-$I$103)*MIN(F$3-$O$2,$Q$2)/$Q$2))</f>
        <v>5560.56478551293</v>
      </c>
      <c r="G128" s="15" t="n">
        <f aca="false">F128*(1+IF(G$3&lt;=$O$2,$D128,$D128-($D128-$I$103)*MIN(G$3-$O$2,$Q$2)/$Q$2))</f>
        <v>5923.52625228003</v>
      </c>
      <c r="H128" s="15" t="n">
        <f aca="false">G128*(1+IF(H$3&lt;=$O$2,$D128,$D128-($D128-$I$103)*MIN(H$3-$O$2,$Q$2)/$Q$2))</f>
        <v>6310.17974160948</v>
      </c>
      <c r="I128" s="15" t="n">
        <f aca="false">H128*(1+IF(I$3&lt;=$O$2,$D128,$D128-($D128-$I$103)*MIN(I$3-$O$2,$Q$2)/$Q$2))</f>
        <v>6722.07173152851</v>
      </c>
      <c r="J128" s="15" t="n">
        <f aca="false">I128*(1+IF(J$3&lt;=$O$2,$D128,$D128-($D128-$I$103)*MIN(J$3-$O$2,$Q$2)/$Q$2))</f>
        <v>7111.14098846138</v>
      </c>
      <c r="K128" s="15" t="n">
        <f aca="false">J128*(1+IF(K$3&lt;=$O$2,$D128,$D128-($D128-$I$103)*MIN(K$3-$O$2,$Q$2)/$Q$2))</f>
        <v>7470.14356539517</v>
      </c>
      <c r="L128" s="15" t="n">
        <f aca="false">K128*(1+IF(L$3&lt;=$O$2,$D128,$D128-($D128-$I$103)*MIN(L$3-$O$2,$Q$2)/$Q$2))</f>
        <v>7792.02968742951</v>
      </c>
      <c r="M128" s="15" t="n">
        <f aca="false">L128*(1+IF(M$3&lt;=$O$2,$D128,$D128-($D128-$I$103)*MIN(M$3-$O$2,$Q$2)/$Q$2))</f>
        <v>8070.16495408676</v>
      </c>
      <c r="N128" s="15" t="n">
        <f aca="false">M128*(1+IF(N$3&lt;=$O$2,$D128,$D128-($D128-$I$103)*MIN(N$3-$O$2,$Q$2)/$Q$2))</f>
        <v>8298.55062228741</v>
      </c>
      <c r="O128" s="15" t="n">
        <f aca="false">SUMPRODUCT(E128:N128,1/(1+$F$103)^$E$3:$N$3)*$E$2</f>
        <v>6971.58816532104</v>
      </c>
      <c r="P128" s="15" t="n">
        <f aca="false">N128*$E$2*(1+$I$103)/($F$103-$I$103)/(1+$F$103)^$N$3</f>
        <v>10678.9134300854</v>
      </c>
      <c r="Q128" s="15" t="n">
        <f aca="false">O128+P128</f>
        <v>17650.5015954065</v>
      </c>
      <c r="R128" s="15" t="n">
        <f aca="false">Q128-$G$2+$I$2</f>
        <v>12830.0015954065</v>
      </c>
      <c r="S128" s="42" t="n">
        <f aca="false">R128/$K$2</f>
        <v>66.9624300386559</v>
      </c>
      <c r="T128" s="43" t="n">
        <f aca="false">S128-$M$2</f>
        <v>8.32675614503842E-006</v>
      </c>
    </row>
    <row r="130" customFormat="false" ht="15" hidden="false" customHeight="false" outlineLevel="0" collapsed="false">
      <c r="A130" s="38" t="s">
        <v>176</v>
      </c>
      <c r="E130" s="5" t="s">
        <v>11</v>
      </c>
      <c r="F130" s="12" t="n">
        <f aca="false">Sensitivity!$B$10</f>
        <v>0.0850848977416375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153</v>
      </c>
      <c r="B131" s="28" t="s">
        <v>154</v>
      </c>
      <c r="C131" s="28" t="s">
        <v>155</v>
      </c>
      <c r="D131" s="28" t="s">
        <v>156</v>
      </c>
      <c r="E131" s="28" t="s">
        <v>157</v>
      </c>
      <c r="F131" s="28" t="s">
        <v>158</v>
      </c>
      <c r="G131" s="28" t="s">
        <v>159</v>
      </c>
      <c r="H131" s="28" t="s">
        <v>160</v>
      </c>
      <c r="I131" s="28" t="s">
        <v>161</v>
      </c>
      <c r="J131" s="28" t="s">
        <v>162</v>
      </c>
      <c r="K131" s="28" t="s">
        <v>163</v>
      </c>
      <c r="L131" s="28" t="s">
        <v>164</v>
      </c>
      <c r="M131" s="28" t="s">
        <v>165</v>
      </c>
      <c r="N131" s="28" t="s">
        <v>166</v>
      </c>
      <c r="O131" s="28" t="s">
        <v>167</v>
      </c>
      <c r="P131" s="28" t="s">
        <v>168</v>
      </c>
      <c r="Q131" s="28" t="s">
        <v>169</v>
      </c>
      <c r="R131" s="28" t="s">
        <v>170</v>
      </c>
      <c r="S131" s="28" t="s">
        <v>171</v>
      </c>
      <c r="T131" s="28" t="s">
        <v>172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6125</v>
      </c>
      <c r="F132" s="15" t="n">
        <f aca="false">E132*(1+IF(F$3&lt;=$O$2,$D132,$D132-($D132-$I$130)*MIN(F$3-$O$2,$Q$2)/$Q$2))</f>
        <v>7656.25</v>
      </c>
      <c r="G132" s="15" t="n">
        <f aca="false">F132*(1+IF(G$3&lt;=$O$2,$D132,$D132-($D132-$I$130)*MIN(G$3-$O$2,$Q$2)/$Q$2))</f>
        <v>9570.3125</v>
      </c>
      <c r="H132" s="15" t="n">
        <f aca="false">G132*(1+IF(H$3&lt;=$O$2,$D132,$D132-($D132-$I$130)*MIN(H$3-$O$2,$Q$2)/$Q$2))</f>
        <v>11962.890625</v>
      </c>
      <c r="I132" s="15" t="n">
        <f aca="false">H132*(1+IF(I$3&lt;=$O$2,$D132,$D132-($D132-$I$130)*MIN(I$3-$O$2,$Q$2)/$Q$2))</f>
        <v>14953.61328125</v>
      </c>
      <c r="J132" s="15" t="n">
        <f aca="false">I132*(1+IF(J$3&lt;=$O$2,$D132,$D132-($D132-$I$130)*MIN(J$3-$O$2,$Q$2)/$Q$2))</f>
        <v>18043.9270019531</v>
      </c>
      <c r="K132" s="15" t="n">
        <f aca="false">J132*(1+IF(K$3&lt;=$O$2,$D132,$D132-($D132-$I$130)*MIN(K$3-$O$2,$Q$2)/$Q$2))</f>
        <v>20990.8611599121</v>
      </c>
      <c r="L132" s="15" t="n">
        <f aca="false">K132*(1+IF(L$3&lt;=$O$2,$D132,$D132-($D132-$I$130)*MIN(L$3-$O$2,$Q$2)/$Q$2))</f>
        <v>23509.3446818784</v>
      </c>
      <c r="M132" s="15" t="n">
        <f aca="false">L132*(1+IF(M$3&lt;=$O$2,$D132,$D132-($D132-$I$130)*MIN(M$3-$O$2,$Q$2)/$Q$2))</f>
        <v>25311.1008582975</v>
      </c>
      <c r="N132" s="15" t="n">
        <f aca="false">M132*(1+IF(N$3&lt;=$O$2,$D132,$D132-($D132-$I$130)*MIN(N$3-$O$2,$Q$2)/$Q$2))</f>
        <v>26153.9605168788</v>
      </c>
      <c r="O132" s="15" t="n">
        <f aca="false">SUMPRODUCT(E132:N132,1/(1+$F$130)^$E$3:$N$3)*$E$2</f>
        <v>15604.3269003569</v>
      </c>
      <c r="P132" s="15" t="n">
        <f aca="false">N132*$E$2*(1+$I$130)/($F$130-$I$130)/(1+$F$130)^$N$3</f>
        <v>37085.0270973776</v>
      </c>
      <c r="Q132" s="15" t="n">
        <f aca="false">O132+P132</f>
        <v>52689.3539977344</v>
      </c>
      <c r="R132" s="15" t="n">
        <f aca="false">Q132-$G$2+$I$2</f>
        <v>47868.8539977344</v>
      </c>
      <c r="S132" s="42" t="n">
        <f aca="false">R132/$K$2</f>
        <v>249.837442576902</v>
      </c>
      <c r="T132" s="43" t="n">
        <f aca="false">S132-$M$2</f>
        <v>182.875020865002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4287.5</v>
      </c>
      <c r="F133" s="15" t="n">
        <f aca="false">E133*(1+IF(F$3&lt;=$O$2,$D133,$D133-($D133-$I$130)*MIN(F$3-$O$2,$Q$2)/$Q$2))</f>
        <v>3751.5625</v>
      </c>
      <c r="G133" s="15" t="n">
        <f aca="false">F133*(1+IF(G$3&lt;=$O$2,$D133,$D133-($D133-$I$130)*MIN(G$3-$O$2,$Q$2)/$Q$2))</f>
        <v>3282.6171875</v>
      </c>
      <c r="H133" s="15" t="n">
        <f aca="false">G133*(1+IF(H$3&lt;=$O$2,$D133,$D133-($D133-$I$130)*MIN(H$3-$O$2,$Q$2)/$Q$2))</f>
        <v>2872.2900390625</v>
      </c>
      <c r="I133" s="15" t="n">
        <f aca="false">H133*(1+IF(I$3&lt;=$O$2,$D133,$D133-($D133-$I$130)*MIN(I$3-$O$2,$Q$2)/$Q$2))</f>
        <v>2513.25378417969</v>
      </c>
      <c r="J133" s="15" t="n">
        <f aca="false">I133*(1+IF(J$3&lt;=$O$2,$D133,$D133-($D133-$I$130)*MIN(J$3-$O$2,$Q$2)/$Q$2))</f>
        <v>2278.66667596436</v>
      </c>
      <c r="K133" s="15" t="n">
        <f aca="false">J133*(1+IF(K$3&lt;=$O$2,$D133,$D133-($D133-$I$130)*MIN(K$3-$O$2,$Q$2)/$Q$2))</f>
        <v>2138.11851539087</v>
      </c>
      <c r="L133" s="15" t="n">
        <f aca="false">K133*(1+IF(L$3&lt;=$O$2,$D133,$D133-($D133-$I$130)*MIN(L$3-$O$2,$Q$2)/$Q$2))</f>
        <v>2073.93219755884</v>
      </c>
      <c r="M133" s="15" t="n">
        <f aca="false">L133*(1+IF(M$3&lt;=$O$2,$D133,$D133-($D133-$I$130)*MIN(M$3-$O$2,$Q$2)/$Q$2))</f>
        <v>2077.33344636284</v>
      </c>
      <c r="N133" s="15" t="n">
        <f aca="false">M133*(1+IF(N$3&lt;=$O$2,$D133,$D133-($D133-$I$130)*MIN(N$3-$O$2,$Q$2)/$Q$2))</f>
        <v>2146.50865012672</v>
      </c>
      <c r="O133" s="15" t="n">
        <f aca="false">SUMPRODUCT(E133:N133,1/(1+$F$130)^$E$3:$N$3)*$E$2</f>
        <v>3067.48494297561</v>
      </c>
      <c r="P133" s="15" t="n">
        <f aca="false">N133*$E$2*(1+$I$130)/($F$130-$I$130)/(1+$F$130)^$N$3</f>
        <v>3043.64348196257</v>
      </c>
      <c r="Q133" s="15" t="n">
        <f aca="false">O133+P133</f>
        <v>6111.12842493818</v>
      </c>
      <c r="R133" s="15" t="n">
        <f aca="false">Q133-$G$2+$I$2</f>
        <v>1290.62842493818</v>
      </c>
      <c r="S133" s="42" t="n">
        <f aca="false">R133/$K$2</f>
        <v>6.73605649758964</v>
      </c>
      <c r="T133" s="43" t="n">
        <f aca="false">S133-$M$2</f>
        <v>-60.2263652143102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5206.25</v>
      </c>
      <c r="F134" s="15" t="n">
        <f aca="false">E134*(1+IF(F$3&lt;=$O$2,$D134,$D134-($D134-$I$130)*MIN(F$3-$O$2,$Q$2)/$Q$2))</f>
        <v>5531.640625</v>
      </c>
      <c r="G134" s="15" t="n">
        <f aca="false">F134*(1+IF(G$3&lt;=$O$2,$D134,$D134-($D134-$I$130)*MIN(G$3-$O$2,$Q$2)/$Q$2))</f>
        <v>5877.3681640625</v>
      </c>
      <c r="H134" s="15" t="n">
        <f aca="false">G134*(1+IF(H$3&lt;=$O$2,$D134,$D134-($D134-$I$130)*MIN(H$3-$O$2,$Q$2)/$Q$2))</f>
        <v>6244.70367431641</v>
      </c>
      <c r="I134" s="15" t="n">
        <f aca="false">H134*(1+IF(I$3&lt;=$O$2,$D134,$D134-($D134-$I$130)*MIN(I$3-$O$2,$Q$2)/$Q$2))</f>
        <v>6634.99765396118</v>
      </c>
      <c r="J134" s="15" t="n">
        <f aca="false">I134*(1+IF(J$3&lt;=$O$2,$D134,$D134-($D134-$I$130)*MIN(J$3-$O$2,$Q$2)/$Q$2))</f>
        <v>7010.93662103462</v>
      </c>
      <c r="K134" s="15" t="n">
        <f aca="false">J134*(1+IF(K$3&lt;=$O$2,$D134,$D134-($D134-$I$130)*MIN(K$3-$O$2,$Q$2)/$Q$2))</f>
        <v>7367.2324201156</v>
      </c>
      <c r="L134" s="15" t="n">
        <f aca="false">K134*(1+IF(L$3&lt;=$O$2,$D134,$D134-($D134-$I$130)*MIN(L$3-$O$2,$Q$2)/$Q$2))</f>
        <v>7698.6105343724</v>
      </c>
      <c r="M134" s="15" t="n">
        <f aca="false">L134*(1+IF(M$3&lt;=$O$2,$D134,$D134-($D134-$I$130)*MIN(M$3-$O$2,$Q$2)/$Q$2))</f>
        <v>7999.93415068774</v>
      </c>
      <c r="N134" s="15" t="n">
        <f aca="false">M134*(1+IF(N$3&lt;=$O$2,$D134,$D134-($D134-$I$130)*MIN(N$3-$O$2,$Q$2)/$Q$2))</f>
        <v>8266.33195790564</v>
      </c>
      <c r="O134" s="15" t="n">
        <f aca="false">SUMPRODUCT(E134:N134,1/(1+$F$130)^$E$3:$N$3)*$E$2</f>
        <v>6908.17619920199</v>
      </c>
      <c r="P134" s="15" t="n">
        <f aca="false">N134*$E$2*(1+$I$130)/($F$130-$I$130)/(1+$F$130)^$N$3</f>
        <v>11721.2513361794</v>
      </c>
      <c r="Q134" s="15" t="n">
        <f aca="false">O134+P134</f>
        <v>18629.4275353814</v>
      </c>
      <c r="R134" s="15" t="n">
        <f aca="false">Q134-$G$2+$I$2</f>
        <v>13808.9275353814</v>
      </c>
      <c r="S134" s="42" t="n">
        <f aca="false">R134/$K$2</f>
        <v>72.0716468443704</v>
      </c>
      <c r="T134" s="43" t="n">
        <f aca="false">S134-$M$2</f>
        <v>5.10922513247063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4746.875</v>
      </c>
      <c r="F135" s="15" t="n">
        <f aca="false">E135*(1+IF(F$3&lt;=$O$2,$D135,$D135-($D135-$I$130)*MIN(F$3-$O$2,$Q$2)/$Q$2))</f>
        <v>4598.53515625</v>
      </c>
      <c r="G135" s="15" t="n">
        <f aca="false">F135*(1+IF(G$3&lt;=$O$2,$D135,$D135-($D135-$I$130)*MIN(G$3-$O$2,$Q$2)/$Q$2))</f>
        <v>4454.83093261719</v>
      </c>
      <c r="H135" s="15" t="n">
        <f aca="false">G135*(1+IF(H$3&lt;=$O$2,$D135,$D135-($D135-$I$130)*MIN(H$3-$O$2,$Q$2)/$Q$2))</f>
        <v>4315.6174659729</v>
      </c>
      <c r="I135" s="15" t="n">
        <f aca="false">H135*(1+IF(I$3&lt;=$O$2,$D135,$D135-($D135-$I$130)*MIN(I$3-$O$2,$Q$2)/$Q$2))</f>
        <v>4180.75442016125</v>
      </c>
      <c r="J135" s="15" t="n">
        <f aca="false">I135*(1+IF(J$3&lt;=$O$2,$D135,$D135-($D135-$I$130)*MIN(J$3-$O$2,$Q$2)/$Q$2))</f>
        <v>4104.07938409549</v>
      </c>
      <c r="K135" s="15" t="n">
        <f aca="false">J135*(1+IF(K$3&lt;=$O$2,$D135,$D135-($D135-$I$130)*MIN(K$3-$O$2,$Q$2)/$Q$2))</f>
        <v>4081.79423303985</v>
      </c>
      <c r="L135" s="15" t="n">
        <f aca="false">K135*(1+IF(L$3&lt;=$O$2,$D135,$D135-($D135-$I$130)*MIN(L$3-$O$2,$Q$2)/$Q$2))</f>
        <v>4112.32605390299</v>
      </c>
      <c r="M135" s="15" t="n">
        <f aca="false">L135*(1+IF(M$3&lt;=$O$2,$D135,$D135-($D135-$I$130)*MIN(M$3-$O$2,$Q$2)/$Q$2))</f>
        <v>4196.17638214207</v>
      </c>
      <c r="N135" s="15" t="n">
        <f aca="false">M135*(1+IF(N$3&lt;=$O$2,$D135,$D135-($D135-$I$130)*MIN(N$3-$O$2,$Q$2)/$Q$2))</f>
        <v>4335.9090556674</v>
      </c>
      <c r="O135" s="15" t="n">
        <f aca="false">SUMPRODUCT(E135:N135,1/(1+$F$130)^$E$3:$N$3)*$E$2</f>
        <v>4590.22320002633</v>
      </c>
      <c r="P135" s="15" t="n">
        <f aca="false">N135*$E$2*(1+$I$130)/($F$130-$I$130)/(1+$F$130)^$N$3</f>
        <v>6148.10535931709</v>
      </c>
      <c r="Q135" s="15" t="n">
        <f aca="false">O135+P135</f>
        <v>10738.3285593434</v>
      </c>
      <c r="R135" s="15" t="n">
        <f aca="false">Q135-$G$2+$I$2</f>
        <v>5917.82855934341</v>
      </c>
      <c r="S135" s="42" t="n">
        <f aca="false">R135/$K$2</f>
        <v>30.8863703514792</v>
      </c>
      <c r="T135" s="43" t="n">
        <f aca="false">S135-$M$2</f>
        <v>-36.0760513604206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4976.5625</v>
      </c>
      <c r="F136" s="15" t="n">
        <f aca="false">E136*(1+IF(F$3&lt;=$O$2,$D136,$D136-($D136-$I$130)*MIN(F$3-$O$2,$Q$2)/$Q$2))</f>
        <v>5054.3212890625</v>
      </c>
      <c r="G136" s="15" t="n">
        <f aca="false">F136*(1+IF(G$3&lt;=$O$2,$D136,$D136-($D136-$I$130)*MIN(G$3-$O$2,$Q$2)/$Q$2))</f>
        <v>5133.2950592041</v>
      </c>
      <c r="H136" s="15" t="n">
        <f aca="false">G136*(1+IF(H$3&lt;=$O$2,$D136,$D136-($D136-$I$130)*MIN(H$3-$O$2,$Q$2)/$Q$2))</f>
        <v>5213.50279450417</v>
      </c>
      <c r="I136" s="15" t="n">
        <f aca="false">H136*(1+IF(I$3&lt;=$O$2,$D136,$D136-($D136-$I$130)*MIN(I$3-$O$2,$Q$2)/$Q$2))</f>
        <v>5294.96377566829</v>
      </c>
      <c r="J136" s="15" t="n">
        <f aca="false">I136*(1+IF(J$3&lt;=$O$2,$D136,$D136-($D136-$I$130)*MIN(J$3-$O$2,$Q$2)/$Q$2))</f>
        <v>5396.4152816101</v>
      </c>
      <c r="K136" s="15" t="n">
        <f aca="false">J136*(1+IF(K$3&lt;=$O$2,$D136,$D136-($D136-$I$130)*MIN(K$3-$O$2,$Q$2)/$Q$2))</f>
        <v>5518.88692642624</v>
      </c>
      <c r="L136" s="15" t="n">
        <f aca="false">K136*(1+IF(L$3&lt;=$O$2,$D136,$D136-($D136-$I$130)*MIN(L$3-$O$2,$Q$2)/$Q$2))</f>
        <v>5663.6473305064</v>
      </c>
      <c r="M136" s="15" t="n">
        <f aca="false">L136*(1+IF(M$3&lt;=$O$2,$D136,$D136-($D136-$I$130)*MIN(M$3-$O$2,$Q$2)/$Q$2))</f>
        <v>5832.22579329892</v>
      </c>
      <c r="N136" s="15" t="n">
        <f aca="false">M136*(1+IF(N$3&lt;=$O$2,$D136,$D136-($D136-$I$130)*MIN(N$3-$O$2,$Q$2)/$Q$2))</f>
        <v>6026.43891221578</v>
      </c>
      <c r="O136" s="15" t="n">
        <f aca="false">SUMPRODUCT(E136:N136,1/(1+$F$130)^$E$3:$N$3)*$E$2</f>
        <v>5629.01103720647</v>
      </c>
      <c r="P136" s="15" t="n">
        <f aca="false">N136*$E$2*(1+$I$130)/($F$130-$I$130)/(1+$F$130)^$N$3</f>
        <v>8545.19338346403</v>
      </c>
      <c r="Q136" s="15" t="n">
        <f aca="false">O136+P136</f>
        <v>14174.2044206705</v>
      </c>
      <c r="R136" s="15" t="n">
        <f aca="false">Q136-$G$2+$I$2</f>
        <v>9353.70442067051</v>
      </c>
      <c r="S136" s="42" t="n">
        <f aca="false">R136/$K$2</f>
        <v>48.8189166005768</v>
      </c>
      <c r="T136" s="43" t="n">
        <f aca="false">S136-$M$2</f>
        <v>-18.143505111323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0.015625</v>
      </c>
      <c r="C137" s="25" t="n">
        <f aca="false">IF(T136&gt;0,D136,C136)</f>
        <v>0.0625</v>
      </c>
      <c r="D137" s="41" t="n">
        <f aca="false">(B137+C137)/2</f>
        <v>0.0390625</v>
      </c>
      <c r="E137" s="15" t="n">
        <f aca="false">$C$2*(1+IF(E$3&lt;=$O$2,$D137,$D137-($D137-$I$130)*MIN(E$3-$O$2,$Q$2)/$Q$2))</f>
        <v>5091.40625</v>
      </c>
      <c r="F137" s="15" t="n">
        <f aca="false">E137*(1+IF(F$3&lt;=$O$2,$D137,$D137-($D137-$I$130)*MIN(F$3-$O$2,$Q$2)/$Q$2))</f>
        <v>5290.28930664063</v>
      </c>
      <c r="G137" s="15" t="n">
        <f aca="false">F137*(1+IF(G$3&lt;=$O$2,$D137,$D137-($D137-$I$130)*MIN(G$3-$O$2,$Q$2)/$Q$2))</f>
        <v>5496.94123268127</v>
      </c>
      <c r="H137" s="15" t="n">
        <f aca="false">G137*(1+IF(H$3&lt;=$O$2,$D137,$D137-($D137-$I$130)*MIN(H$3-$O$2,$Q$2)/$Q$2))</f>
        <v>5711.66549958289</v>
      </c>
      <c r="I137" s="15" t="n">
        <f aca="false">H137*(1+IF(I$3&lt;=$O$2,$D137,$D137-($D137-$I$130)*MIN(I$3-$O$2,$Q$2)/$Q$2))</f>
        <v>5934.77743316034</v>
      </c>
      <c r="J137" s="15" t="n">
        <f aca="false">I137*(1+IF(J$3&lt;=$O$2,$D137,$D137-($D137-$I$130)*MIN(J$3-$O$2,$Q$2)/$Q$2))</f>
        <v>6159.76484565145</v>
      </c>
      <c r="K137" s="15" t="n">
        <f aca="false">J137*(1+IF(K$3&lt;=$O$2,$D137,$D137-($D137-$I$130)*MIN(K$3-$O$2,$Q$2)/$Q$2))</f>
        <v>6386.18240196549</v>
      </c>
      <c r="L137" s="15" t="n">
        <f aca="false">K137*(1+IF(L$3&lt;=$O$2,$D137,$D137-($D137-$I$130)*MIN(L$3-$O$2,$Q$2)/$Q$2))</f>
        <v>6613.56242638747</v>
      </c>
      <c r="M137" s="15" t="n">
        <f aca="false">L137*(1+IF(M$3&lt;=$O$2,$D137,$D137-($D137-$I$130)*MIN(M$3-$O$2,$Q$2)/$Q$2))</f>
        <v>6841.41618588258</v>
      </c>
      <c r="N137" s="15" t="n">
        <f aca="false">M137*(1+IF(N$3&lt;=$O$2,$D137,$D137-($D137-$I$130)*MIN(N$3-$O$2,$Q$2)/$Q$2))</f>
        <v>7069.23534487247</v>
      </c>
      <c r="O137" s="15" t="n">
        <f aca="false">SUMPRODUCT(E137:N137,1/(1+$F$130)^$E$3:$N$3)*$E$2</f>
        <v>6235.53638325539</v>
      </c>
      <c r="P137" s="15" t="n">
        <f aca="false">N137*$E$2*(1+$I$130)/($F$130-$I$130)/(1+$F$130)^$N$3</f>
        <v>10023.827334034</v>
      </c>
      <c r="Q137" s="15" t="n">
        <f aca="false">O137+P137</f>
        <v>16259.3637172893</v>
      </c>
      <c r="R137" s="15" t="n">
        <f aca="false">Q137-$G$2+$I$2</f>
        <v>11438.8637172893</v>
      </c>
      <c r="S137" s="42" t="n">
        <f aca="false">R137/$K$2</f>
        <v>59.7017939315728</v>
      </c>
      <c r="T137" s="43" t="n">
        <f aca="false">S137-$M$2</f>
        <v>-7.26062778032704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0.0390625</v>
      </c>
      <c r="C138" s="25" t="n">
        <f aca="false">IF(T137&gt;0,D137,C137)</f>
        <v>0.0625</v>
      </c>
      <c r="D138" s="41" t="n">
        <f aca="false">(B138+C138)/2</f>
        <v>0.05078125</v>
      </c>
      <c r="E138" s="15" t="n">
        <f aca="false">$C$2*(1+IF(E$3&lt;=$O$2,$D138,$D138-($D138-$I$130)*MIN(E$3-$O$2,$Q$2)/$Q$2))</f>
        <v>5148.828125</v>
      </c>
      <c r="F138" s="15" t="n">
        <f aca="false">E138*(1+IF(F$3&lt;=$O$2,$D138,$D138-($D138-$I$130)*MIN(F$3-$O$2,$Q$2)/$Q$2))</f>
        <v>5410.29205322266</v>
      </c>
      <c r="G138" s="15" t="n">
        <f aca="false">F138*(1+IF(G$3&lt;=$O$2,$D138,$D138-($D138-$I$130)*MIN(G$3-$O$2,$Q$2)/$Q$2))</f>
        <v>5685.03344655037</v>
      </c>
      <c r="H138" s="15" t="n">
        <f aca="false">G138*(1+IF(H$3&lt;=$O$2,$D138,$D138-($D138-$I$130)*MIN(H$3-$O$2,$Q$2)/$Q$2))</f>
        <v>5973.72655125801</v>
      </c>
      <c r="I138" s="15" t="n">
        <f aca="false">H138*(1+IF(I$3&lt;=$O$2,$D138,$D138-($D138-$I$130)*MIN(I$3-$O$2,$Q$2)/$Q$2))</f>
        <v>6277.07985268908</v>
      </c>
      <c r="J138" s="15" t="n">
        <f aca="false">I138*(1+IF(J$3&lt;=$O$2,$D138,$D138-($D138-$I$130)*MIN(J$3-$O$2,$Q$2)/$Q$2))</f>
        <v>6573.89157352348</v>
      </c>
      <c r="K138" s="15" t="n">
        <f aca="false">J138*(1+IF(K$3&lt;=$O$2,$D138,$D138-($D138-$I$130)*MIN(K$3-$O$2,$Q$2)/$Q$2))</f>
        <v>6861.75406816361</v>
      </c>
      <c r="L138" s="15" t="n">
        <f aca="false">K138*(1+IF(L$3&lt;=$O$2,$D138,$D138-($D138-$I$130)*MIN(L$3-$O$2,$Q$2)/$Q$2))</f>
        <v>7138.23129395509</v>
      </c>
      <c r="M138" s="15" t="n">
        <f aca="false">L138*(1+IF(M$3&lt;=$O$2,$D138,$D138-($D138-$I$130)*MIN(M$3-$O$2,$Q$2)/$Q$2))</f>
        <v>7400.89143720528</v>
      </c>
      <c r="N138" s="15" t="n">
        <f aca="false">M138*(1+IF(N$3&lt;=$O$2,$D138,$D138-($D138-$I$130)*MIN(N$3-$O$2,$Q$2)/$Q$2))</f>
        <v>7647.34112206422</v>
      </c>
      <c r="O138" s="15" t="n">
        <f aca="false">SUMPRODUCT(E138:N138,1/(1+$F$130)^$E$3:$N$3)*$E$2</f>
        <v>6563.18715897631</v>
      </c>
      <c r="P138" s="15" t="n">
        <f aca="false">N138*$E$2*(1+$I$130)/($F$130-$I$130)/(1+$F$130)^$N$3</f>
        <v>10843.5528359697</v>
      </c>
      <c r="Q138" s="15" t="n">
        <f aca="false">O138+P138</f>
        <v>17406.739994946</v>
      </c>
      <c r="R138" s="15" t="n">
        <f aca="false">Q138-$G$2+$I$2</f>
        <v>12586.239994946</v>
      </c>
      <c r="S138" s="42" t="n">
        <f aca="false">R138/$K$2</f>
        <v>65.6901878650627</v>
      </c>
      <c r="T138" s="43" t="n">
        <f aca="false">S138-$M$2</f>
        <v>-1.27223384683708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0.05078125</v>
      </c>
      <c r="C139" s="25" t="n">
        <f aca="false">IF(T138&gt;0,D138,C138)</f>
        <v>0.0625</v>
      </c>
      <c r="D139" s="41" t="n">
        <f aca="false">(B139+C139)/2</f>
        <v>0.056640625</v>
      </c>
      <c r="E139" s="15" t="n">
        <f aca="false">$C$2*(1+IF(E$3&lt;=$O$2,$D139,$D139-($D139-$I$130)*MIN(E$3-$O$2,$Q$2)/$Q$2))</f>
        <v>5177.5390625</v>
      </c>
      <c r="F139" s="15" t="n">
        <f aca="false">E139*(1+IF(F$3&lt;=$O$2,$D139,$D139-($D139-$I$130)*MIN(F$3-$O$2,$Q$2)/$Q$2))</f>
        <v>5470.79811096191</v>
      </c>
      <c r="G139" s="15" t="n">
        <f aca="false">F139*(1+IF(G$3&lt;=$O$2,$D139,$D139-($D139-$I$130)*MIN(G$3-$O$2,$Q$2)/$Q$2))</f>
        <v>5780.66753521562</v>
      </c>
      <c r="H139" s="15" t="n">
        <f aca="false">G139*(1+IF(H$3&lt;=$O$2,$D139,$D139-($D139-$I$130)*MIN(H$3-$O$2,$Q$2)/$Q$2))</f>
        <v>6108.08815732744</v>
      </c>
      <c r="I139" s="15" t="n">
        <f aca="false">H139*(1+IF(I$3&lt;=$O$2,$D139,$D139-($D139-$I$130)*MIN(I$3-$O$2,$Q$2)/$Q$2))</f>
        <v>6454.05408811356</v>
      </c>
      <c r="J139" s="15" t="n">
        <f aca="false">I139*(1+IF(J$3&lt;=$O$2,$D139,$D139-($D139-$I$130)*MIN(J$3-$O$2,$Q$2)/$Q$2))</f>
        <v>6789.48741420805</v>
      </c>
      <c r="K139" s="15" t="n">
        <f aca="false">J139*(1+IF(K$3&lt;=$O$2,$D139,$D139-($D139-$I$130)*MIN(K$3-$O$2,$Q$2)/$Q$2))</f>
        <v>7110.65987290752</v>
      </c>
      <c r="L139" s="15" t="n">
        <f aca="false">K139*(1+IF(L$3&lt;=$O$2,$D139,$D139-($D139-$I$130)*MIN(L$3-$O$2,$Q$2)/$Q$2))</f>
        <v>7413.83174491378</v>
      </c>
      <c r="M139" s="15" t="n">
        <f aca="false">L139*(1+IF(M$3&lt;=$O$2,$D139,$D139-($D139-$I$130)*MIN(M$3-$O$2,$Q$2)/$Q$2))</f>
        <v>7695.32103533363</v>
      </c>
      <c r="N139" s="15" t="n">
        <f aca="false">M139*(1+IF(N$3&lt;=$O$2,$D139,$D139-($D139-$I$130)*MIN(N$3-$O$2,$Q$2)/$Q$2))</f>
        <v>7951.57522581024</v>
      </c>
      <c r="O139" s="15" t="n">
        <f aca="false">SUMPRODUCT(E139:N139,1/(1+$F$130)^$E$3:$N$3)*$E$2</f>
        <v>6733.46191283387</v>
      </c>
      <c r="P139" s="15" t="n">
        <f aca="false">N139*$E$2*(1+$I$130)/($F$130-$I$130)/(1+$F$130)^$N$3</f>
        <v>11274.9418018621</v>
      </c>
      <c r="Q139" s="15" t="n">
        <f aca="false">O139+P139</f>
        <v>18008.403714696</v>
      </c>
      <c r="R139" s="15" t="n">
        <f aca="false">Q139-$G$2+$I$2</f>
        <v>13187.903714696</v>
      </c>
      <c r="S139" s="42" t="n">
        <f aca="false">R139/$K$2</f>
        <v>68.8303951706472</v>
      </c>
      <c r="T139" s="43" t="n">
        <f aca="false">S139-$M$2</f>
        <v>1.86797345874737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0.05078125</v>
      </c>
      <c r="C140" s="25" t="n">
        <f aca="false">IF(T139&gt;0,D139,C139)</f>
        <v>0.056640625</v>
      </c>
      <c r="D140" s="41" t="n">
        <f aca="false">(B140+C140)/2</f>
        <v>0.0537109375</v>
      </c>
      <c r="E140" s="15" t="n">
        <f aca="false">$C$2*(1+IF(E$3&lt;=$O$2,$D140,$D140-($D140-$I$130)*MIN(E$3-$O$2,$Q$2)/$Q$2))</f>
        <v>5163.18359375</v>
      </c>
      <c r="F140" s="15" t="n">
        <f aca="false">E140*(1+IF(F$3&lt;=$O$2,$D140,$D140-($D140-$I$130)*MIN(F$3-$O$2,$Q$2)/$Q$2))</f>
        <v>5440.50302505493</v>
      </c>
      <c r="G140" s="15" t="n">
        <f aca="false">F140*(1+IF(G$3&lt;=$O$2,$D140,$D140-($D140-$I$130)*MIN(G$3-$O$2,$Q$2)/$Q$2))</f>
        <v>5732.71754300222</v>
      </c>
      <c r="H140" s="15" t="n">
        <f aca="false">G140*(1+IF(H$3&lt;=$O$2,$D140,$D140-($D140-$I$130)*MIN(H$3-$O$2,$Q$2)/$Q$2))</f>
        <v>6040.62717665956</v>
      </c>
      <c r="I140" s="15" t="n">
        <f aca="false">H140*(1+IF(I$3&lt;=$O$2,$D140,$D140-($D140-$I$130)*MIN(I$3-$O$2,$Q$2)/$Q$2))</f>
        <v>6365.07492540593</v>
      </c>
      <c r="J140" s="15" t="n">
        <f aca="false">I140*(1+IF(J$3&lt;=$O$2,$D140,$D140-($D140-$I$130)*MIN(J$3-$O$2,$Q$2)/$Q$2))</f>
        <v>6680.96563761017</v>
      </c>
      <c r="K140" s="15" t="n">
        <f aca="false">J140*(1+IF(K$3&lt;=$O$2,$D140,$D140-($D140-$I$130)*MIN(K$3-$O$2,$Q$2)/$Q$2))</f>
        <v>6985.26065658393</v>
      </c>
      <c r="L140" s="15" t="n">
        <f aca="false">K140*(1+IF(L$3&lt;=$O$2,$D140,$D140-($D140-$I$130)*MIN(L$3-$O$2,$Q$2)/$Q$2))</f>
        <v>7274.90012392127</v>
      </c>
      <c r="M140" s="15" t="n">
        <f aca="false">L140*(1+IF(M$3&lt;=$O$2,$D140,$D140-($D140-$I$130)*MIN(M$3-$O$2,$Q$2)/$Q$2))</f>
        <v>7546.85180439747</v>
      </c>
      <c r="N140" s="15" t="n">
        <f aca="false">M140*(1+IF(N$3&lt;=$O$2,$D140,$D140-($D140-$I$130)*MIN(N$3-$O$2,$Q$2)/$Q$2))</f>
        <v>7798.16196948391</v>
      </c>
      <c r="O140" s="15" t="n">
        <f aca="false">SUMPRODUCT(E140:N140,1/(1+$F$130)^$E$3:$N$3)*$E$2</f>
        <v>6647.77624057772</v>
      </c>
      <c r="P140" s="15" t="n">
        <f aca="false">N140*$E$2*(1+$I$130)/($F$130-$I$130)/(1+$F$130)^$N$3</f>
        <v>11057.4093648805</v>
      </c>
      <c r="Q140" s="15" t="n">
        <f aca="false">O140+P140</f>
        <v>17705.1856054582</v>
      </c>
      <c r="R140" s="15" t="n">
        <f aca="false">Q140-$G$2+$I$2</f>
        <v>12884.6856054582</v>
      </c>
      <c r="S140" s="42" t="n">
        <f aca="false">R140/$K$2</f>
        <v>67.2478371892389</v>
      </c>
      <c r="T140" s="43" t="n">
        <f aca="false">S140-$M$2</f>
        <v>0.285415477339129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0.05078125</v>
      </c>
      <c r="C141" s="25" t="n">
        <f aca="false">IF(T140&gt;0,D140,C140)</f>
        <v>0.0537109375</v>
      </c>
      <c r="D141" s="41" t="n">
        <f aca="false">(B141+C141)/2</f>
        <v>0.05224609375</v>
      </c>
      <c r="E141" s="15" t="n">
        <f aca="false">$C$2*(1+IF(E$3&lt;=$O$2,$D141,$D141-($D141-$I$130)*MIN(E$3-$O$2,$Q$2)/$Q$2))</f>
        <v>5156.005859375</v>
      </c>
      <c r="F141" s="15" t="n">
        <f aca="false">E141*(1+IF(F$3&lt;=$O$2,$D141,$D141-($D141-$I$130)*MIN(F$3-$O$2,$Q$2)/$Q$2))</f>
        <v>5425.38702487946</v>
      </c>
      <c r="G141" s="15" t="n">
        <f aca="false">F141*(1+IF(G$3&lt;=$O$2,$D141,$D141-($D141-$I$130)*MIN(G$3-$O$2,$Q$2)/$Q$2))</f>
        <v>5708.84230401134</v>
      </c>
      <c r="H141" s="15" t="n">
        <f aca="false">G141*(1+IF(H$3&lt;=$O$2,$D141,$D141-($D141-$I$130)*MIN(H$3-$O$2,$Q$2)/$Q$2))</f>
        <v>6007.10701423068</v>
      </c>
      <c r="I141" s="15" t="n">
        <f aca="false">H141*(1+IF(I$3&lt;=$O$2,$D141,$D141-($D141-$I$130)*MIN(I$3-$O$2,$Q$2)/$Q$2))</f>
        <v>6320.95489046246</v>
      </c>
      <c r="J141" s="15" t="n">
        <f aca="false">I141*(1+IF(J$3&lt;=$O$2,$D141,$D141-($D141-$I$130)*MIN(J$3-$O$2,$Q$2)/$Q$2))</f>
        <v>6627.24861147024</v>
      </c>
      <c r="K141" s="15" t="n">
        <f aca="false">J141*(1+IF(K$3&lt;=$O$2,$D141,$D141-($D141-$I$130)*MIN(K$3-$O$2,$Q$2)/$Q$2))</f>
        <v>6923.27227433068</v>
      </c>
      <c r="L141" s="15" t="n">
        <f aca="false">K141*(1+IF(L$3&lt;=$O$2,$D141,$D141-($D141-$I$130)*MIN(L$3-$O$2,$Q$2)/$Q$2))</f>
        <v>7206.28482729239</v>
      </c>
      <c r="M141" s="15" t="n">
        <f aca="false">L141*(1+IF(M$3&lt;=$O$2,$D141,$D141-($D141-$I$130)*MIN(M$3-$O$2,$Q$2)/$Q$2))</f>
        <v>7473.56030162665</v>
      </c>
      <c r="N141" s="15" t="n">
        <f aca="false">M141*(1+IF(N$3&lt;=$O$2,$D141,$D141-($D141-$I$130)*MIN(N$3-$O$2,$Q$2)/$Q$2))</f>
        <v>7722.42985967082</v>
      </c>
      <c r="O141" s="15" t="n">
        <f aca="false">SUMPRODUCT(E141:N141,1/(1+$F$130)^$E$3:$N$3)*$E$2</f>
        <v>6605.34544915567</v>
      </c>
      <c r="P141" s="15" t="n">
        <f aca="false">N141*$E$2*(1+$I$130)/($F$130-$I$130)/(1+$F$130)^$N$3</f>
        <v>10950.024965384</v>
      </c>
      <c r="Q141" s="15" t="n">
        <f aca="false">O141+P141</f>
        <v>17555.3704145396</v>
      </c>
      <c r="R141" s="15" t="n">
        <f aca="false">Q141-$G$2+$I$2</f>
        <v>12734.8704145396</v>
      </c>
      <c r="S141" s="42" t="n">
        <f aca="false">R141/$K$2</f>
        <v>66.4659207439438</v>
      </c>
      <c r="T141" s="43" t="n">
        <f aca="false">S141-$M$2</f>
        <v>-0.49650096795601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0.05224609375</v>
      </c>
      <c r="C142" s="25" t="n">
        <f aca="false">IF(T141&gt;0,D141,C141)</f>
        <v>0.0537109375</v>
      </c>
      <c r="D142" s="41" t="n">
        <f aca="false">(B142+C142)/2</f>
        <v>0.052978515625</v>
      </c>
      <c r="E142" s="15" t="n">
        <f aca="false">$C$2*(1+IF(E$3&lt;=$O$2,$D142,$D142-($D142-$I$130)*MIN(E$3-$O$2,$Q$2)/$Q$2))</f>
        <v>5159.5947265625</v>
      </c>
      <c r="F142" s="15" t="n">
        <f aca="false">E142*(1+IF(F$3&lt;=$O$2,$D142,$D142-($D142-$I$130)*MIN(F$3-$O$2,$Q$2)/$Q$2))</f>
        <v>5432.94239640236</v>
      </c>
      <c r="G142" s="15" t="n">
        <f aca="false">F142*(1+IF(G$3&lt;=$O$2,$D142,$D142-($D142-$I$130)*MIN(G$3-$O$2,$Q$2)/$Q$2))</f>
        <v>5720.77162003989</v>
      </c>
      <c r="H142" s="15" t="n">
        <f aca="false">G142*(1+IF(H$3&lt;=$O$2,$D142,$D142-($D142-$I$130)*MIN(H$3-$O$2,$Q$2)/$Q$2))</f>
        <v>6023.84960869923</v>
      </c>
      <c r="I142" s="15" t="n">
        <f aca="false">H142*(1+IF(I$3&lt;=$O$2,$D142,$D142-($D142-$I$130)*MIN(I$3-$O$2,$Q$2)/$Q$2))</f>
        <v>6342.98421931635</v>
      </c>
      <c r="J142" s="15" t="n">
        <f aca="false">I142*(1+IF(J$3&lt;=$O$2,$D142,$D142-($D142-$I$130)*MIN(J$3-$O$2,$Q$2)/$Q$2))</f>
        <v>6654.06200507474</v>
      </c>
      <c r="K142" s="15" t="n">
        <f aca="false">J142*(1+IF(K$3&lt;=$O$2,$D142,$D142-($D142-$I$130)*MIN(K$3-$O$2,$Q$2)/$Q$2))</f>
        <v>6954.20750772568</v>
      </c>
      <c r="L142" s="15" t="n">
        <f aca="false">K142*(1+IF(L$3&lt;=$O$2,$D142,$D142-($D142-$I$130)*MIN(L$3-$O$2,$Q$2)/$Q$2))</f>
        <v>7240.52201017305</v>
      </c>
      <c r="M142" s="15" t="n">
        <f aca="false">L142*(1+IF(M$3&lt;=$O$2,$D142,$D142-($D142-$I$130)*MIN(M$3-$O$2,$Q$2)/$Q$2))</f>
        <v>7510.12793821388</v>
      </c>
      <c r="N142" s="15" t="n">
        <f aca="false">M142*(1+IF(N$3&lt;=$O$2,$D142,$D142-($D142-$I$130)*MIN(N$3-$O$2,$Q$2)/$Q$2))</f>
        <v>7760.21519855641</v>
      </c>
      <c r="O142" s="15" t="n">
        <f aca="false">SUMPRODUCT(E142:N142,1/(1+$F$130)^$E$3:$N$3)*$E$2</f>
        <v>6626.52667964606</v>
      </c>
      <c r="P142" s="15" t="n">
        <f aca="false">N142*$E$2*(1+$I$130)/($F$130-$I$130)/(1+$F$130)^$N$3</f>
        <v>11003.6027137923</v>
      </c>
      <c r="Q142" s="15" t="n">
        <f aca="false">O142+P142</f>
        <v>17630.1293934384</v>
      </c>
      <c r="R142" s="15" t="n">
        <f aca="false">Q142-$G$2+$I$2</f>
        <v>12809.6293934384</v>
      </c>
      <c r="S142" s="42" t="n">
        <f aca="false">R142/$K$2</f>
        <v>66.8561033060459</v>
      </c>
      <c r="T142" s="43" t="n">
        <f aca="false">S142-$M$2</f>
        <v>-0.106318405853926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0.052978515625</v>
      </c>
      <c r="C143" s="25" t="n">
        <f aca="false">IF(T142&gt;0,D142,C142)</f>
        <v>0.0537109375</v>
      </c>
      <c r="D143" s="41" t="n">
        <f aca="false">(B143+C143)/2</f>
        <v>0.0533447265625</v>
      </c>
      <c r="E143" s="15" t="n">
        <f aca="false">$C$2*(1+IF(E$3&lt;=$O$2,$D143,$D143-($D143-$I$130)*MIN(E$3-$O$2,$Q$2)/$Q$2))</f>
        <v>5161.38916015625</v>
      </c>
      <c r="F143" s="15" t="n">
        <f aca="false">E143*(1+IF(F$3&lt;=$O$2,$D143,$D143-($D143-$I$130)*MIN(F$3-$O$2,$Q$2)/$Q$2))</f>
        <v>5436.72205358744</v>
      </c>
      <c r="G143" s="15" t="n">
        <f aca="false">F143*(1+IF(G$3&lt;=$O$2,$D143,$D143-($D143-$I$130)*MIN(G$3-$O$2,$Q$2)/$Q$2))</f>
        <v>5726.74250493237</v>
      </c>
      <c r="H143" s="15" t="n">
        <f aca="false">G143*(1+IF(H$3&lt;=$O$2,$D143,$D143-($D143-$I$130)*MIN(H$3-$O$2,$Q$2)/$Q$2))</f>
        <v>6032.23401795184</v>
      </c>
      <c r="I143" s="15" t="n">
        <f aca="false">H143*(1+IF(I$3&lt;=$O$2,$D143,$D143-($D143-$I$130)*MIN(I$3-$O$2,$Q$2)/$Q$2))</f>
        <v>6354.02189220049</v>
      </c>
      <c r="J143" s="15" t="n">
        <f aca="false">I143*(1+IF(J$3&lt;=$O$2,$D143,$D143-($D143-$I$130)*MIN(J$3-$O$2,$Q$2)/$Q$2))</f>
        <v>6667.5025263318</v>
      </c>
      <c r="K143" s="15" t="n">
        <f aca="false">J143*(1+IF(K$3&lt;=$O$2,$D143,$D143-($D143-$I$130)*MIN(K$3-$O$2,$Q$2)/$Q$2))</f>
        <v>6969.71931945571</v>
      </c>
      <c r="L143" s="15" t="n">
        <f aca="false">K143*(1+IF(L$3&lt;=$O$2,$D143,$D143-($D143-$I$130)*MIN(L$3-$O$2,$Q$2)/$Q$2))</f>
        <v>7257.69341998393</v>
      </c>
      <c r="M143" s="15" t="n">
        <f aca="false">L143*(1+IF(M$3&lt;=$O$2,$D143,$D143-($D143-$I$130)*MIN(M$3-$O$2,$Q$2)/$Q$2))</f>
        <v>7528.470306885</v>
      </c>
      <c r="N143" s="15" t="n">
        <f aca="false">M143*(1+IF(N$3&lt;=$O$2,$D143,$D143-($D143-$I$130)*MIN(N$3-$O$2,$Q$2)/$Q$2))</f>
        <v>7779.16836810427</v>
      </c>
      <c r="O143" s="15" t="n">
        <f aca="false">SUMPRODUCT(E143:N143,1/(1+$F$130)^$E$3:$N$3)*$E$2</f>
        <v>6637.14290595672</v>
      </c>
      <c r="P143" s="15" t="n">
        <f aca="false">N143*$E$2*(1+$I$130)/($F$130-$I$130)/(1+$F$130)^$N$3</f>
        <v>11030.477374164</v>
      </c>
      <c r="Q143" s="15" t="n">
        <f aca="false">O143+P143</f>
        <v>17667.6202801207</v>
      </c>
      <c r="R143" s="15" t="n">
        <f aca="false">Q143-$G$2+$I$2</f>
        <v>12847.1202801207</v>
      </c>
      <c r="S143" s="42" t="n">
        <f aca="false">R143/$K$2</f>
        <v>67.0517759922791</v>
      </c>
      <c r="T143" s="43" t="n">
        <f aca="false">S143-$M$2</f>
        <v>0.0893542803792968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0.052978515625</v>
      </c>
      <c r="C144" s="25" t="n">
        <f aca="false">IF(T143&gt;0,D143,C143)</f>
        <v>0.0533447265625</v>
      </c>
      <c r="D144" s="41" t="n">
        <f aca="false">(B144+C144)/2</f>
        <v>0.05316162109375</v>
      </c>
      <c r="E144" s="15" t="n">
        <f aca="false">$C$2*(1+IF(E$3&lt;=$O$2,$D144,$D144-($D144-$I$130)*MIN(E$3-$O$2,$Q$2)/$Q$2))</f>
        <v>5160.49194335938</v>
      </c>
      <c r="F144" s="15" t="n">
        <f aca="false">E144*(1+IF(F$3&lt;=$O$2,$D144,$D144-($D144-$I$130)*MIN(F$3-$O$2,$Q$2)/$Q$2))</f>
        <v>5434.8320607096</v>
      </c>
      <c r="G144" s="15" t="n">
        <f aca="false">F144*(1+IF(G$3&lt;=$O$2,$D144,$D144-($D144-$I$130)*MIN(G$3-$O$2,$Q$2)/$Q$2))</f>
        <v>5723.7565434292</v>
      </c>
      <c r="H144" s="15" t="n">
        <f aca="false">G144*(1+IF(H$3&lt;=$O$2,$D144,$D144-($D144-$I$130)*MIN(H$3-$O$2,$Q$2)/$Q$2))</f>
        <v>6028.04072002386</v>
      </c>
      <c r="I144" s="15" t="n">
        <f aca="false">H144*(1+IF(I$3&lt;=$O$2,$D144,$D144-($D144-$I$130)*MIN(I$3-$O$2,$Q$2)/$Q$2))</f>
        <v>6348.50113671946</v>
      </c>
      <c r="J144" s="15" t="n">
        <f aca="false">I144*(1+IF(J$3&lt;=$O$2,$D144,$D144-($D144-$I$130)*MIN(J$3-$O$2,$Q$2)/$Q$2))</f>
        <v>6660.77944384483</v>
      </c>
      <c r="K144" s="15" t="n">
        <f aca="false">J144*(1+IF(K$3&lt;=$O$2,$D144,$D144-($D144-$I$130)*MIN(K$3-$O$2,$Q$2)/$Q$2))</f>
        <v>6961.95972582648</v>
      </c>
      <c r="L144" s="15" t="n">
        <f aca="false">K144*(1+IF(L$3&lt;=$O$2,$D144,$D144-($D144-$I$130)*MIN(L$3-$O$2,$Q$2)/$Q$2))</f>
        <v>7249.10330715422</v>
      </c>
      <c r="M144" s="15" t="n">
        <f aca="false">L144*(1+IF(M$3&lt;=$O$2,$D144,$D144-($D144-$I$130)*MIN(M$3-$O$2,$Q$2)/$Q$2))</f>
        <v>7519.29423591369</v>
      </c>
      <c r="N144" s="15" t="n">
        <f aca="false">M144*(1+IF(N$3&lt;=$O$2,$D144,$D144-($D144-$I$130)*MIN(N$3-$O$2,$Q$2)/$Q$2))</f>
        <v>7769.68673396962</v>
      </c>
      <c r="O144" s="15" t="n">
        <f aca="false">SUMPRODUCT(E144:N144,1/(1+$F$130)^$E$3:$N$3)*$E$2</f>
        <v>6631.83265587016</v>
      </c>
      <c r="P144" s="15" t="n">
        <f aca="false">N144*$E$2*(1+$I$130)/($F$130-$I$130)/(1+$F$130)^$N$3</f>
        <v>11017.0328842335</v>
      </c>
      <c r="Q144" s="15" t="n">
        <f aca="false">O144+P144</f>
        <v>17648.8655401036</v>
      </c>
      <c r="R144" s="15" t="n">
        <f aca="false">Q144-$G$2+$I$2</f>
        <v>12828.3655401036</v>
      </c>
      <c r="S144" s="42" t="n">
        <f aca="false">R144/$K$2</f>
        <v>66.9538911278896</v>
      </c>
      <c r="T144" s="43" t="n">
        <f aca="false">S144-$M$2</f>
        <v>-0.00853058401024498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0.05316162109375</v>
      </c>
      <c r="C145" s="25" t="n">
        <f aca="false">IF(T144&gt;0,D144,C144)</f>
        <v>0.0533447265625</v>
      </c>
      <c r="D145" s="41" t="n">
        <f aca="false">(B145+C145)/2</f>
        <v>0.053253173828125</v>
      </c>
      <c r="E145" s="15" t="n">
        <f aca="false">$C$2*(1+IF(E$3&lt;=$O$2,$D145,$D145-($D145-$I$130)*MIN(E$3-$O$2,$Q$2)/$Q$2))</f>
        <v>5160.94055175781</v>
      </c>
      <c r="F145" s="15" t="n">
        <f aca="false">E145*(1+IF(F$3&lt;=$O$2,$D145,$D145-($D145-$I$130)*MIN(F$3-$O$2,$Q$2)/$Q$2))</f>
        <v>5435.77701607719</v>
      </c>
      <c r="G145" s="15" t="n">
        <f aca="false">F145*(1+IF(G$3&lt;=$O$2,$D145,$D145-($D145-$I$130)*MIN(G$3-$O$2,$Q$2)/$Q$2))</f>
        <v>5725.24939440528</v>
      </c>
      <c r="H145" s="15" t="n">
        <f aca="false">G145*(1+IF(H$3&lt;=$O$2,$D145,$D145-($D145-$I$130)*MIN(H$3-$O$2,$Q$2)/$Q$2))</f>
        <v>6030.13709561491</v>
      </c>
      <c r="I145" s="15" t="n">
        <f aca="false">H145*(1+IF(I$3&lt;=$O$2,$D145,$D145-($D145-$I$130)*MIN(I$3-$O$2,$Q$2)/$Q$2))</f>
        <v>6351.26103457511</v>
      </c>
      <c r="J145" s="15" t="n">
        <f aca="false">I145*(1+IF(J$3&lt;=$O$2,$D145,$D145-($D145-$I$130)*MIN(J$3-$O$2,$Q$2)/$Q$2))</f>
        <v>6664.140279387</v>
      </c>
      <c r="K145" s="15" t="n">
        <f aca="false">J145*(1+IF(K$3&lt;=$O$2,$D145,$D145-($D145-$I$130)*MIN(K$3-$O$2,$Q$2)/$Q$2))</f>
        <v>6965.83860033636</v>
      </c>
      <c r="L145" s="15" t="n">
        <f aca="false">K145*(1+IF(L$3&lt;=$O$2,$D145,$D145-($D145-$I$130)*MIN(L$3-$O$2,$Q$2)/$Q$2))</f>
        <v>7253.39726110803</v>
      </c>
      <c r="M145" s="15" t="n">
        <f aca="false">L145*(1+IF(M$3&lt;=$O$2,$D145,$D145-($D145-$I$130)*MIN(M$3-$O$2,$Q$2)/$Q$2))</f>
        <v>7523.881049182</v>
      </c>
      <c r="N145" s="15" t="n">
        <f aca="false">M145*(1+IF(N$3&lt;=$O$2,$D145,$D145-($D145-$I$130)*MIN(N$3-$O$2,$Q$2)/$Q$2))</f>
        <v>7774.42628811976</v>
      </c>
      <c r="O145" s="15" t="n">
        <f aca="false">SUMPRODUCT(E145:N145,1/(1+$F$130)^$E$3:$N$3)*$E$2</f>
        <v>6634.48724647977</v>
      </c>
      <c r="P145" s="15" t="n">
        <f aca="false">N145*$E$2*(1+$I$130)/($F$130-$I$130)/(1+$F$130)^$N$3</f>
        <v>11023.7533384444</v>
      </c>
      <c r="Q145" s="15" t="n">
        <f aca="false">O145+P145</f>
        <v>17658.2405849242</v>
      </c>
      <c r="R145" s="15" t="n">
        <f aca="false">Q145-$G$2+$I$2</f>
        <v>12837.7405849242</v>
      </c>
      <c r="S145" s="42" t="n">
        <f aca="false">R145/$K$2</f>
        <v>67.0028214244476</v>
      </c>
      <c r="T145" s="43" t="n">
        <f aca="false">S145-$M$2</f>
        <v>0.0403997125477815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0.05316162109375</v>
      </c>
      <c r="C146" s="25" t="n">
        <f aca="false">IF(T145&gt;0,D145,C145)</f>
        <v>0.053253173828125</v>
      </c>
      <c r="D146" s="41" t="n">
        <f aca="false">(B146+C146)/2</f>
        <v>0.0532073974609375</v>
      </c>
      <c r="E146" s="15" t="n">
        <f aca="false">$C$2*(1+IF(E$3&lt;=$O$2,$D146,$D146-($D146-$I$130)*MIN(E$3-$O$2,$Q$2)/$Q$2))</f>
        <v>5160.71624755859</v>
      </c>
      <c r="F146" s="15" t="n">
        <f aca="false">E146*(1+IF(F$3&lt;=$O$2,$D146,$D146-($D146-$I$130)*MIN(F$3-$O$2,$Q$2)/$Q$2))</f>
        <v>5435.30452812556</v>
      </c>
      <c r="G146" s="15" t="n">
        <f aca="false">F146*(1+IF(G$3&lt;=$O$2,$D146,$D146-($D146-$I$130)*MIN(G$3-$O$2,$Q$2)/$Q$2))</f>
        <v>5724.50293647477</v>
      </c>
      <c r="H146" s="15" t="n">
        <f aca="false">G146*(1+IF(H$3&lt;=$O$2,$D146,$D146-($D146-$I$130)*MIN(H$3-$O$2,$Q$2)/$Q$2))</f>
        <v>6029.08883948209</v>
      </c>
      <c r="I146" s="15" t="n">
        <f aca="false">H146*(1+IF(I$3&lt;=$O$2,$D146,$D146-($D146-$I$130)*MIN(I$3-$O$2,$Q$2)/$Q$2))</f>
        <v>6349.88096569172</v>
      </c>
      <c r="J146" s="15" t="n">
        <f aca="false">I146*(1+IF(J$3&lt;=$O$2,$D146,$D146-($D146-$I$130)*MIN(J$3-$O$2,$Q$2)/$Q$2))</f>
        <v>6662.45968522018</v>
      </c>
      <c r="K146" s="15" t="n">
        <f aca="false">J146*(1+IF(K$3&lt;=$O$2,$D146,$D146-($D146-$I$130)*MIN(K$3-$O$2,$Q$2)/$Q$2))</f>
        <v>6963.89893255071</v>
      </c>
      <c r="L146" s="15" t="n">
        <f aca="false">K146*(1+IF(L$3&lt;=$O$2,$D146,$D146-($D146-$I$130)*MIN(L$3-$O$2,$Q$2)/$Q$2))</f>
        <v>7251.25000857588</v>
      </c>
      <c r="M146" s="15" t="n">
        <f aca="false">L146*(1+IF(M$3&lt;=$O$2,$D146,$D146-($D146-$I$130)*MIN(M$3-$O$2,$Q$2)/$Q$2))</f>
        <v>7521.58733706332</v>
      </c>
      <c r="N146" s="15" t="n">
        <f aca="false">M146*(1+IF(N$3&lt;=$O$2,$D146,$D146-($D146-$I$130)*MIN(N$3-$O$2,$Q$2)/$Q$2))</f>
        <v>7772.05619538753</v>
      </c>
      <c r="O146" s="15" t="n">
        <f aca="false">SUMPRODUCT(E146:N146,1/(1+$F$130)^$E$3:$N$3)*$E$2</f>
        <v>6633.15981759166</v>
      </c>
      <c r="P146" s="15" t="n">
        <f aca="false">N146*$E$2*(1+$I$130)/($F$130-$I$130)/(1+$F$130)^$N$3</f>
        <v>11020.3926637526</v>
      </c>
      <c r="Q146" s="15" t="n">
        <f aca="false">O146+P146</f>
        <v>17653.5524813443</v>
      </c>
      <c r="R146" s="15" t="n">
        <f aca="false">Q146-$G$2+$I$2</f>
        <v>12833.0524813443</v>
      </c>
      <c r="S146" s="42" t="n">
        <f aca="false">R146/$K$2</f>
        <v>66.9783532429243</v>
      </c>
      <c r="T146" s="43" t="n">
        <f aca="false">S146-$M$2</f>
        <v>0.0159315310245347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0.05316162109375</v>
      </c>
      <c r="C147" s="25" t="n">
        <f aca="false">IF(T146&gt;0,D146,C146)</f>
        <v>0.0532073974609375</v>
      </c>
      <c r="D147" s="41" t="n">
        <f aca="false">(B147+C147)/2</f>
        <v>0.0531845092773438</v>
      </c>
      <c r="E147" s="15" t="n">
        <f aca="false">$C$2*(1+IF(E$3&lt;=$O$2,$D147,$D147-($D147-$I$130)*MIN(E$3-$O$2,$Q$2)/$Q$2))</f>
        <v>5160.60409545898</v>
      </c>
      <c r="F147" s="15" t="n">
        <f aca="false">E147*(1+IF(F$3&lt;=$O$2,$D147,$D147-($D147-$I$130)*MIN(F$3-$O$2,$Q$2)/$Q$2))</f>
        <v>5435.06829185062</v>
      </c>
      <c r="G147" s="15" t="n">
        <f aca="false">F147*(1+IF(G$3&lt;=$O$2,$D147,$D147-($D147-$I$130)*MIN(G$3-$O$2,$Q$2)/$Q$2))</f>
        <v>5724.12973184155</v>
      </c>
      <c r="H147" s="15" t="n">
        <f aca="false">G147*(1+IF(H$3&lt;=$O$2,$D147,$D147-($D147-$I$130)*MIN(H$3-$O$2,$Q$2)/$Q$2))</f>
        <v>6028.56476266939</v>
      </c>
      <c r="I147" s="15" t="n">
        <f aca="false">H147*(1+IF(I$3&lt;=$O$2,$D147,$D147-($D147-$I$130)*MIN(I$3-$O$2,$Q$2)/$Q$2))</f>
        <v>6349.19102121865</v>
      </c>
      <c r="J147" s="15" t="n">
        <f aca="false">I147*(1+IF(J$3&lt;=$O$2,$D147,$D147-($D147-$I$130)*MIN(J$3-$O$2,$Q$2)/$Q$2))</f>
        <v>6661.61952043727</v>
      </c>
      <c r="K147" s="15" t="n">
        <f aca="false">J147*(1+IF(K$3&lt;=$O$2,$D147,$D147-($D147-$I$130)*MIN(K$3-$O$2,$Q$2)/$Q$2))</f>
        <v>6962.9292715616</v>
      </c>
      <c r="L147" s="15" t="n">
        <f aca="false">K147*(1+IF(L$3&lt;=$O$2,$D147,$D147-($D147-$I$130)*MIN(L$3-$O$2,$Q$2)/$Q$2))</f>
        <v>7250.17658898374</v>
      </c>
      <c r="M147" s="15" t="n">
        <f aca="false">L147*(1+IF(M$3&lt;=$O$2,$D147,$D147-($D147-$I$130)*MIN(M$3-$O$2,$Q$2)/$Q$2))</f>
        <v>7520.4407101261</v>
      </c>
      <c r="N147" s="15" t="n">
        <f aca="false">M147*(1+IF(N$3&lt;=$O$2,$D147,$D147-($D147-$I$130)*MIN(N$3-$O$2,$Q$2)/$Q$2))</f>
        <v>7770.8713857733</v>
      </c>
      <c r="O147" s="15" t="n">
        <f aca="false">SUMPRODUCT(E147:N147,1/(1+$F$130)^$E$3:$N$3)*$E$2</f>
        <v>6632.49620333823</v>
      </c>
      <c r="P147" s="15" t="n">
        <f aca="false">N147*$E$2*(1+$I$130)/($F$130-$I$130)/(1+$F$130)^$N$3</f>
        <v>11018.7126621093</v>
      </c>
      <c r="Q147" s="15" t="n">
        <f aca="false">O147+P147</f>
        <v>17651.2088654475</v>
      </c>
      <c r="R147" s="15" t="n">
        <f aca="false">Q147-$G$2+$I$2</f>
        <v>12830.7088654475</v>
      </c>
      <c r="S147" s="42" t="n">
        <f aca="false">R147/$K$2</f>
        <v>66.966121427179</v>
      </c>
      <c r="T147" s="43" t="n">
        <f aca="false">S147-$M$2</f>
        <v>0.00369971527919688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0.05316162109375</v>
      </c>
      <c r="C148" s="25" t="n">
        <f aca="false">IF(T147&gt;0,D147,C147)</f>
        <v>0.0531845092773438</v>
      </c>
      <c r="D148" s="41" t="n">
        <f aca="false">(B148+C148)/2</f>
        <v>0.0531730651855469</v>
      </c>
      <c r="E148" s="15" t="n">
        <f aca="false">$C$2*(1+IF(E$3&lt;=$O$2,$D148,$D148-($D148-$I$130)*MIN(E$3-$O$2,$Q$2)/$Q$2))</f>
        <v>5160.54801940918</v>
      </c>
      <c r="F148" s="15" t="n">
        <f aca="false">E148*(1+IF(F$3&lt;=$O$2,$D148,$D148-($D148-$I$130)*MIN(F$3-$O$2,$Q$2)/$Q$2))</f>
        <v>5434.95017563837</v>
      </c>
      <c r="G148" s="15" t="n">
        <f aca="false">F148*(1+IF(G$3&lt;=$O$2,$D148,$D148-($D148-$I$130)*MIN(G$3-$O$2,$Q$2)/$Q$2))</f>
        <v>5723.94313560779</v>
      </c>
      <c r="H148" s="15" t="n">
        <f aca="false">G148*(1+IF(H$3&lt;=$O$2,$D148,$D148-($D148-$I$130)*MIN(H$3-$O$2,$Q$2)/$Q$2))</f>
        <v>6028.30273707582</v>
      </c>
      <c r="I148" s="15" t="n">
        <f aca="false">H148*(1+IF(I$3&lt;=$O$2,$D148,$D148-($D148-$I$130)*MIN(I$3-$O$2,$Q$2)/$Q$2))</f>
        <v>6348.84607147257</v>
      </c>
      <c r="J148" s="15" t="n">
        <f aca="false">I148*(1+IF(J$3&lt;=$O$2,$D148,$D148-($D148-$I$130)*MIN(J$3-$O$2,$Q$2)/$Q$2))</f>
        <v>6661.19947111771</v>
      </c>
      <c r="K148" s="15" t="n">
        <f aca="false">J148*(1+IF(K$3&lt;=$O$2,$D148,$D148-($D148-$I$130)*MIN(K$3-$O$2,$Q$2)/$Q$2))</f>
        <v>6962.444484288</v>
      </c>
      <c r="L148" s="15" t="n">
        <f aca="false">K148*(1+IF(L$3&lt;=$O$2,$D148,$D148-($D148-$I$130)*MIN(L$3-$O$2,$Q$2)/$Q$2))</f>
        <v>7249.63993084959</v>
      </c>
      <c r="M148" s="15" t="n">
        <f aca="false">L148*(1+IF(M$3&lt;=$O$2,$D148,$D148-($D148-$I$130)*MIN(M$3-$O$2,$Q$2)/$Q$2))</f>
        <v>7519.86745393038</v>
      </c>
      <c r="N148" s="15" t="n">
        <f aca="false">M148*(1+IF(N$3&lt;=$O$2,$D148,$D148-($D148-$I$130)*MIN(N$3-$O$2,$Q$2)/$Q$2))</f>
        <v>7770.27904014627</v>
      </c>
      <c r="O148" s="15" t="n">
        <f aca="false">SUMPRODUCT(E148:N148,1/(1+$F$130)^$E$3:$N$3)*$E$2</f>
        <v>6632.16442125641</v>
      </c>
      <c r="P148" s="15" t="n">
        <f aca="false">N148*$E$2*(1+$I$130)/($F$130-$I$130)/(1+$F$130)^$N$3</f>
        <v>11017.872745202</v>
      </c>
      <c r="Q148" s="15" t="n">
        <f aca="false">O148+P148</f>
        <v>17650.0371664584</v>
      </c>
      <c r="R148" s="15" t="n">
        <f aca="false">Q148-$G$2+$I$2</f>
        <v>12829.5371664584</v>
      </c>
      <c r="S148" s="42" t="n">
        <f aca="false">R148/$K$2</f>
        <v>66.9600060879877</v>
      </c>
      <c r="T148" s="43" t="n">
        <f aca="false">S148-$M$2</f>
        <v>-0.00241562391211403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0.0531730651855469</v>
      </c>
      <c r="C149" s="25" t="n">
        <f aca="false">IF(T148&gt;0,D148,C148)</f>
        <v>0.0531845092773438</v>
      </c>
      <c r="D149" s="41" t="n">
        <f aca="false">(B149+C149)/2</f>
        <v>0.0531787872314453</v>
      </c>
      <c r="E149" s="15" t="n">
        <f aca="false">$C$2*(1+IF(E$3&lt;=$O$2,$D149,$D149-($D149-$I$130)*MIN(E$3-$O$2,$Q$2)/$Q$2))</f>
        <v>5160.57605743408</v>
      </c>
      <c r="F149" s="15" t="n">
        <f aca="false">E149*(1+IF(F$3&lt;=$O$2,$D149,$D149-($D149-$I$130)*MIN(F$3-$O$2,$Q$2)/$Q$2))</f>
        <v>5435.00923358406</v>
      </c>
      <c r="G149" s="15" t="n">
        <f aca="false">F149*(1+IF(G$3&lt;=$O$2,$D149,$D149-($D149-$I$130)*MIN(G$3-$O$2,$Q$2)/$Q$2))</f>
        <v>5724.03643321777</v>
      </c>
      <c r="H149" s="15" t="n">
        <f aca="false">G149*(1+IF(H$3&lt;=$O$2,$D149,$D149-($D149-$I$130)*MIN(H$3-$O$2,$Q$2)/$Q$2))</f>
        <v>6028.4337488049</v>
      </c>
      <c r="I149" s="15" t="n">
        <f aca="false">H149*(1+IF(I$3&lt;=$O$2,$D149,$D149-($D149-$I$130)*MIN(I$3-$O$2,$Q$2)/$Q$2))</f>
        <v>6349.01854447146</v>
      </c>
      <c r="J149" s="15" t="n">
        <f aca="false">I149*(1+IF(J$3&lt;=$O$2,$D149,$D149-($D149-$I$130)*MIN(J$3-$O$2,$Q$2)/$Q$2))</f>
        <v>6661.4094930216</v>
      </c>
      <c r="K149" s="15" t="n">
        <f aca="false">J149*(1+IF(K$3&lt;=$O$2,$D149,$D149-($D149-$I$130)*MIN(K$3-$O$2,$Q$2)/$Q$2))</f>
        <v>6962.6868743232</v>
      </c>
      <c r="L149" s="15" t="n">
        <f aca="false">K149*(1+IF(L$3&lt;=$O$2,$D149,$D149-($D149-$I$130)*MIN(L$3-$O$2,$Q$2)/$Q$2))</f>
        <v>7249.9082556117</v>
      </c>
      <c r="M149" s="15" t="n">
        <f aca="false">L149*(1+IF(M$3&lt;=$O$2,$D149,$D149-($D149-$I$130)*MIN(M$3-$O$2,$Q$2)/$Q$2))</f>
        <v>7520.15407725573</v>
      </c>
      <c r="N149" s="15" t="n">
        <f aca="false">M149*(1+IF(N$3&lt;=$O$2,$D149,$D149-($D149-$I$130)*MIN(N$3-$O$2,$Q$2)/$Q$2))</f>
        <v>7770.57520802835</v>
      </c>
      <c r="O149" s="15" t="n">
        <f aca="false">SUMPRODUCT(E149:N149,1/(1+$F$130)^$E$3:$N$3)*$E$2</f>
        <v>6632.33031021033</v>
      </c>
      <c r="P149" s="15" t="n">
        <f aca="false">N149*$E$2*(1+$I$130)/($F$130-$I$130)/(1+$F$130)^$N$3</f>
        <v>11018.2926966631</v>
      </c>
      <c r="Q149" s="15" t="n">
        <f aca="false">O149+P149</f>
        <v>17650.6230068734</v>
      </c>
      <c r="R149" s="15" t="n">
        <f aca="false">Q149-$G$2+$I$2</f>
        <v>12830.1230068734</v>
      </c>
      <c r="S149" s="42" t="n">
        <f aca="false">R149/$K$2</f>
        <v>66.9630637101954</v>
      </c>
      <c r="T149" s="43" t="n">
        <f aca="false">S149-$M$2</f>
        <v>0.000641998295591861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0.0531730651855469</v>
      </c>
      <c r="C150" s="25" t="n">
        <f aca="false">IF(T149&gt;0,D149,C149)</f>
        <v>0.0531787872314453</v>
      </c>
      <c r="D150" s="41" t="n">
        <f aca="false">(B150+C150)/2</f>
        <v>0.0531759262084961</v>
      </c>
      <c r="E150" s="15" t="n">
        <f aca="false">$C$2*(1+IF(E$3&lt;=$O$2,$D150,$D150-($D150-$I$130)*MIN(E$3-$O$2,$Q$2)/$Q$2))</f>
        <v>5160.56203842163</v>
      </c>
      <c r="F150" s="15" t="n">
        <f aca="false">E150*(1+IF(F$3&lt;=$O$2,$D150,$D150-($D150-$I$130)*MIN(F$3-$O$2,$Q$2)/$Q$2))</f>
        <v>5434.97970457111</v>
      </c>
      <c r="G150" s="15" t="n">
        <f aca="false">F150*(1+IF(G$3&lt;=$O$2,$D150,$D150-($D150-$I$130)*MIN(G$3-$O$2,$Q$2)/$Q$2))</f>
        <v>5723.98978428605</v>
      </c>
      <c r="H150" s="15" t="n">
        <f aca="false">G150*(1+IF(H$3&lt;=$O$2,$D150,$D150-($D150-$I$130)*MIN(H$3-$O$2,$Q$2)/$Q$2))</f>
        <v>6028.36824267343</v>
      </c>
      <c r="I150" s="15" t="n">
        <f aca="false">H150*(1+IF(I$3&lt;=$O$2,$D150,$D150-($D150-$I$130)*MIN(I$3-$O$2,$Q$2)/$Q$2))</f>
        <v>6348.93230750348</v>
      </c>
      <c r="J150" s="15" t="n">
        <f aca="false">I150*(1+IF(J$3&lt;=$O$2,$D150,$D150-($D150-$I$130)*MIN(J$3-$O$2,$Q$2)/$Q$2))</f>
        <v>6661.30448138069</v>
      </c>
      <c r="K150" s="15" t="n">
        <f aca="false">J150*(1+IF(K$3&lt;=$O$2,$D150,$D150-($D150-$I$130)*MIN(K$3-$O$2,$Q$2)/$Q$2))</f>
        <v>6962.56567840521</v>
      </c>
      <c r="L150" s="15" t="n">
        <f aca="false">K150*(1+IF(L$3&lt;=$O$2,$D150,$D150-($D150-$I$130)*MIN(L$3-$O$2,$Q$2)/$Q$2))</f>
        <v>7249.77409215442</v>
      </c>
      <c r="M150" s="15" t="n">
        <f aca="false">L150*(1+IF(M$3&lt;=$O$2,$D150,$D150-($D150-$I$130)*MIN(M$3-$O$2,$Q$2)/$Q$2))</f>
        <v>7520.01076439995</v>
      </c>
      <c r="N150" s="15" t="n">
        <f aca="false">M150*(1+IF(N$3&lt;=$O$2,$D150,$D150-($D150-$I$130)*MIN(N$3-$O$2,$Q$2)/$Q$2))</f>
        <v>7770.42712285447</v>
      </c>
      <c r="O150" s="15" t="n">
        <f aca="false">SUMPRODUCT(E150:N150,1/(1+$F$130)^$E$3:$N$3)*$E$2</f>
        <v>6632.24736521163</v>
      </c>
      <c r="P150" s="15" t="n">
        <f aca="false">N150*$E$2*(1+$I$130)/($F$130-$I$130)/(1+$F$130)^$N$3</f>
        <v>11018.0827191845</v>
      </c>
      <c r="Q150" s="15" t="n">
        <f aca="false">O150+P150</f>
        <v>17650.3300843961</v>
      </c>
      <c r="R150" s="15" t="n">
        <f aca="false">Q150-$G$2+$I$2</f>
        <v>12829.8300843961</v>
      </c>
      <c r="S150" s="42" t="n">
        <f aca="false">R150/$K$2</f>
        <v>66.9615348872447</v>
      </c>
      <c r="T150" s="43" t="n">
        <f aca="false">S150-$M$2</f>
        <v>-0.000886824655069063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0.0531759262084961</v>
      </c>
      <c r="C151" s="25" t="n">
        <f aca="false">IF(T150&gt;0,D150,C150)</f>
        <v>0.0531787872314453</v>
      </c>
      <c r="D151" s="41" t="n">
        <f aca="false">(B151+C151)/2</f>
        <v>0.0531773567199707</v>
      </c>
      <c r="E151" s="15" t="n">
        <f aca="false">$C$2*(1+IF(E$3&lt;=$O$2,$D151,$D151-($D151-$I$130)*MIN(E$3-$O$2,$Q$2)/$Q$2))</f>
        <v>5160.56904792786</v>
      </c>
      <c r="F151" s="15" t="n">
        <f aca="false">E151*(1+IF(F$3&lt;=$O$2,$D151,$D151-($D151-$I$130)*MIN(F$3-$O$2,$Q$2)/$Q$2))</f>
        <v>5434.99446906756</v>
      </c>
      <c r="G151" s="15" t="n">
        <f aca="false">F151*(1+IF(G$3&lt;=$O$2,$D151,$D151-($D151-$I$130)*MIN(G$3-$O$2,$Q$2)/$Q$2))</f>
        <v>5724.01310872023</v>
      </c>
      <c r="H151" s="15" t="n">
        <f aca="false">G151*(1+IF(H$3&lt;=$O$2,$D151,$D151-($D151-$I$130)*MIN(H$3-$O$2,$Q$2)/$Q$2))</f>
        <v>6028.40099567243</v>
      </c>
      <c r="I151" s="15" t="n">
        <f aca="false">H151*(1+IF(I$3&lt;=$O$2,$D151,$D151-($D151-$I$130)*MIN(I$3-$O$2,$Q$2)/$Q$2))</f>
        <v>6348.97542587033</v>
      </c>
      <c r="J151" s="15" t="n">
        <f aca="false">I151*(1+IF(J$3&lt;=$O$2,$D151,$D151-($D151-$I$130)*MIN(J$3-$O$2,$Q$2)/$Q$2))</f>
        <v>6661.3569870289</v>
      </c>
      <c r="K151" s="15" t="n">
        <f aca="false">J151*(1+IF(K$3&lt;=$O$2,$D151,$D151-($D151-$I$130)*MIN(K$3-$O$2,$Q$2)/$Q$2))</f>
        <v>6962.6262761391</v>
      </c>
      <c r="L151" s="15" t="n">
        <f aca="false">K151*(1+IF(L$3&lt;=$O$2,$D151,$D151-($D151-$I$130)*MIN(L$3-$O$2,$Q$2)/$Q$2))</f>
        <v>7249.841173614</v>
      </c>
      <c r="M151" s="15" t="n">
        <f aca="false">L151*(1+IF(M$3&lt;=$O$2,$D151,$D151-($D151-$I$130)*MIN(M$3-$O$2,$Q$2)/$Q$2))</f>
        <v>7520.08242052956</v>
      </c>
      <c r="N151" s="15" t="n">
        <f aca="false">M151*(1+IF(N$3&lt;=$O$2,$D151,$D151-($D151-$I$130)*MIN(N$3-$O$2,$Q$2)/$Q$2))</f>
        <v>7770.50116513319</v>
      </c>
      <c r="O151" s="15" t="n">
        <f aca="false">SUMPRODUCT(E151:N151,1/(1+$F$130)^$E$3:$N$3)*$E$2</f>
        <v>6632.28883758054</v>
      </c>
      <c r="P151" s="15" t="n">
        <f aca="false">N151*$E$2*(1+$I$130)/($F$130-$I$130)/(1+$F$130)^$N$3</f>
        <v>11018.1877074868</v>
      </c>
      <c r="Q151" s="15" t="n">
        <f aca="false">O151+P151</f>
        <v>17650.4765450673</v>
      </c>
      <c r="R151" s="15" t="n">
        <f aca="false">Q151-$G$2+$I$2</f>
        <v>12829.9765450673</v>
      </c>
      <c r="S151" s="42" t="n">
        <f aca="false">R151/$K$2</f>
        <v>66.9622992957583</v>
      </c>
      <c r="T151" s="43" t="n">
        <f aca="false">S151-$M$2</f>
        <v>-0.000122416141451254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0.0531773567199707</v>
      </c>
      <c r="C152" s="25" t="n">
        <f aca="false">IF(T151&gt;0,D151,C151)</f>
        <v>0.0531787872314453</v>
      </c>
      <c r="D152" s="41" t="n">
        <f aca="false">(B152+C152)/2</f>
        <v>0.053178071975708</v>
      </c>
      <c r="E152" s="15" t="n">
        <f aca="false">$C$2*(1+IF(E$3&lt;=$O$2,$D152,$D152-($D152-$I$130)*MIN(E$3-$O$2,$Q$2)/$Q$2))</f>
        <v>5160.57255268097</v>
      </c>
      <c r="F152" s="15" t="n">
        <f aca="false">E152*(1+IF(F$3&lt;=$O$2,$D152,$D152-($D152-$I$130)*MIN(F$3-$O$2,$Q$2)/$Q$2))</f>
        <v>5435.0018513233</v>
      </c>
      <c r="G152" s="15" t="n">
        <f aca="false">F152*(1+IF(G$3&lt;=$O$2,$D152,$D152-($D152-$I$130)*MIN(G$3-$O$2,$Q$2)/$Q$2))</f>
        <v>5724.02477096108</v>
      </c>
      <c r="H152" s="15" t="n">
        <f aca="false">G152*(1+IF(H$3&lt;=$O$2,$D152,$D152-($D152-$I$130)*MIN(H$3-$O$2,$Q$2)/$Q$2))</f>
        <v>6028.41737222198</v>
      </c>
      <c r="I152" s="15" t="n">
        <f aca="false">H152*(1+IF(I$3&lt;=$O$2,$D152,$D152-($D152-$I$130)*MIN(I$3-$O$2,$Q$2)/$Q$2))</f>
        <v>6348.99698514161</v>
      </c>
      <c r="J152" s="15" t="n">
        <f aca="false">I152*(1+IF(J$3&lt;=$O$2,$D152,$D152-($D152-$I$130)*MIN(J$3-$O$2,$Q$2)/$Q$2))</f>
        <v>6661.38323998219</v>
      </c>
      <c r="K152" s="15" t="n">
        <f aca="false">J152*(1+IF(K$3&lt;=$O$2,$D152,$D152-($D152-$I$130)*MIN(K$3-$O$2,$Q$2)/$Q$2))</f>
        <v>6962.65657517488</v>
      </c>
      <c r="L152" s="15" t="n">
        <f aca="false">K152*(1+IF(L$3&lt;=$O$2,$D152,$D152-($D152-$I$130)*MIN(L$3-$O$2,$Q$2)/$Q$2))</f>
        <v>7249.87471454558</v>
      </c>
      <c r="M152" s="15" t="n">
        <f aca="false">L152*(1+IF(M$3&lt;=$O$2,$D152,$D152-($D152-$I$130)*MIN(M$3-$O$2,$Q$2)/$Q$2))</f>
        <v>7520.11824881807</v>
      </c>
      <c r="N152" s="15" t="n">
        <f aca="false">M152*(1+IF(N$3&lt;=$O$2,$D152,$D152-($D152-$I$130)*MIN(N$3-$O$2,$Q$2)/$Q$2))</f>
        <v>7770.53818650371</v>
      </c>
      <c r="O152" s="15" t="n">
        <f aca="false">SUMPRODUCT(E152:N152,1/(1+$F$130)^$E$3:$N$3)*$E$2</f>
        <v>6632.30957386282</v>
      </c>
      <c r="P152" s="15" t="n">
        <f aca="false">N152*$E$2*(1+$I$130)/($F$130-$I$130)/(1+$F$130)^$N$3</f>
        <v>11018.2402019657</v>
      </c>
      <c r="Q152" s="15" t="n">
        <f aca="false">O152+P152</f>
        <v>17650.5497758285</v>
      </c>
      <c r="R152" s="15" t="n">
        <f aca="false">Q152-$G$2+$I$2</f>
        <v>12830.0497758285</v>
      </c>
      <c r="S152" s="42" t="n">
        <f aca="false">R152/$K$2</f>
        <v>66.9626815022364</v>
      </c>
      <c r="T152" s="43" t="n">
        <f aca="false">S152-$M$2</f>
        <v>0.000259790336613719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0.0531773567199707</v>
      </c>
      <c r="C153" s="25" t="n">
        <f aca="false">IF(T152&gt;0,D152,C152)</f>
        <v>0.053178071975708</v>
      </c>
      <c r="D153" s="41" t="n">
        <f aca="false">(B153+C153)/2</f>
        <v>0.0531777143478394</v>
      </c>
      <c r="E153" s="15" t="n">
        <f aca="false">$C$2*(1+IF(E$3&lt;=$O$2,$D153,$D153-($D153-$I$130)*MIN(E$3-$O$2,$Q$2)/$Q$2))</f>
        <v>5160.57080030441</v>
      </c>
      <c r="F153" s="15" t="n">
        <f aca="false">E153*(1+IF(F$3&lt;=$O$2,$D153,$D153-($D153-$I$130)*MIN(F$3-$O$2,$Q$2)/$Q$2))</f>
        <v>5434.9981601948</v>
      </c>
      <c r="G153" s="15" t="n">
        <f aca="false">F153*(1+IF(G$3&lt;=$O$2,$D153,$D153-($D153-$I$130)*MIN(G$3-$O$2,$Q$2)/$Q$2))</f>
        <v>5724.01893983867</v>
      </c>
      <c r="H153" s="15" t="n">
        <f aca="false">G153*(1+IF(H$3&lt;=$O$2,$D153,$D153-($D153-$I$130)*MIN(H$3-$O$2,$Q$2)/$Q$2))</f>
        <v>6028.40918394304</v>
      </c>
      <c r="I153" s="15" t="n">
        <f aca="false">H153*(1+IF(I$3&lt;=$O$2,$D153,$D153-($D153-$I$130)*MIN(I$3-$O$2,$Q$2)/$Q$2))</f>
        <v>6348.98620549865</v>
      </c>
      <c r="J153" s="15" t="n">
        <f aca="false">I153*(1+IF(J$3&lt;=$O$2,$D153,$D153-($D153-$I$130)*MIN(J$3-$O$2,$Q$2)/$Q$2))</f>
        <v>6661.37011349478</v>
      </c>
      <c r="K153" s="15" t="n">
        <f aca="false">J153*(1+IF(K$3&lt;=$O$2,$D153,$D153-($D153-$I$130)*MIN(K$3-$O$2,$Q$2)/$Q$2))</f>
        <v>6962.64142564292</v>
      </c>
      <c r="L153" s="15" t="n">
        <f aca="false">K153*(1+IF(L$3&lt;=$O$2,$D153,$D153-($D153-$I$130)*MIN(L$3-$O$2,$Q$2)/$Q$2))</f>
        <v>7249.85794406298</v>
      </c>
      <c r="M153" s="15" t="n">
        <f aca="false">L153*(1+IF(M$3&lt;=$O$2,$D153,$D153-($D153-$I$130)*MIN(M$3-$O$2,$Q$2)/$Q$2))</f>
        <v>7520.10033465517</v>
      </c>
      <c r="N153" s="15" t="n">
        <f aca="false">M153*(1+IF(N$3&lt;=$O$2,$D153,$D153-($D153-$I$130)*MIN(N$3-$O$2,$Q$2)/$Q$2))</f>
        <v>7770.51967579919</v>
      </c>
      <c r="O153" s="15" t="n">
        <f aca="false">SUMPRODUCT(E153:N153,1/(1+$F$130)^$E$3:$N$3)*$E$2</f>
        <v>6632.29920571353</v>
      </c>
      <c r="P153" s="15" t="n">
        <f aca="false">N153*$E$2*(1+$I$130)/($F$130-$I$130)/(1+$F$130)^$N$3</f>
        <v>11018.2139546989</v>
      </c>
      <c r="Q153" s="15" t="n">
        <f aca="false">O153+P153</f>
        <v>17650.5131604124</v>
      </c>
      <c r="R153" s="15" t="n">
        <f aca="false">Q153-$G$2+$I$2</f>
        <v>12830.0131604124</v>
      </c>
      <c r="S153" s="42" t="n">
        <f aca="false">R153/$K$2</f>
        <v>66.9624903988123</v>
      </c>
      <c r="T153" s="43" t="n">
        <f aca="false">S153-$M$2</f>
        <v>6.86869124706391E-005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0.0531773567199707</v>
      </c>
      <c r="C154" s="25" t="n">
        <f aca="false">IF(T153&gt;0,D153,C153)</f>
        <v>0.0531777143478394</v>
      </c>
      <c r="D154" s="41" t="n">
        <f aca="false">(B154+C154)/2</f>
        <v>0.053177535533905</v>
      </c>
      <c r="E154" s="15" t="n">
        <f aca="false">$C$2*(1+IF(E$3&lt;=$O$2,$D154,$D154-($D154-$I$130)*MIN(E$3-$O$2,$Q$2)/$Q$2))</f>
        <v>5160.56992411614</v>
      </c>
      <c r="F154" s="15" t="n">
        <f aca="false">E154*(1+IF(F$3&lt;=$O$2,$D154,$D154-($D154-$I$130)*MIN(F$3-$O$2,$Q$2)/$Q$2))</f>
        <v>5434.99631463102</v>
      </c>
      <c r="G154" s="15" t="n">
        <f aca="false">F154*(1+IF(G$3&lt;=$O$2,$D154,$D154-($D154-$I$130)*MIN(G$3-$O$2,$Q$2)/$Q$2))</f>
        <v>5724.01602427896</v>
      </c>
      <c r="H154" s="15" t="n">
        <f aca="false">G154*(1+IF(H$3&lt;=$O$2,$D154,$D154-($D154-$I$130)*MIN(H$3-$O$2,$Q$2)/$Q$2))</f>
        <v>6028.40508980669</v>
      </c>
      <c r="I154" s="15" t="n">
        <f aca="false">H154*(1+IF(I$3&lt;=$O$2,$D154,$D154-($D154-$I$130)*MIN(I$3-$O$2,$Q$2)/$Q$2))</f>
        <v>6348.98081568266</v>
      </c>
      <c r="J154" s="15" t="n">
        <f aca="false">I154*(1+IF(J$3&lt;=$O$2,$D154,$D154-($D154-$I$130)*MIN(J$3-$O$2,$Q$2)/$Q$2))</f>
        <v>6661.36355025915</v>
      </c>
      <c r="K154" s="15" t="n">
        <f aca="false">J154*(1+IF(K$3&lt;=$O$2,$D154,$D154-($D154-$I$130)*MIN(K$3-$O$2,$Q$2)/$Q$2))</f>
        <v>6962.6338508875</v>
      </c>
      <c r="L154" s="15" t="n">
        <f aca="false">K154*(1+IF(L$3&lt;=$O$2,$D154,$D154-($D154-$I$130)*MIN(L$3-$O$2,$Q$2)/$Q$2))</f>
        <v>7249.84955883429</v>
      </c>
      <c r="M154" s="15" t="n">
        <f aca="false">L154*(1+IF(M$3&lt;=$O$2,$D154,$D154-($D154-$I$130)*MIN(M$3-$O$2,$Q$2)/$Q$2))</f>
        <v>7520.09137758771</v>
      </c>
      <c r="N154" s="15" t="n">
        <f aca="false">M154*(1+IF(N$3&lt;=$O$2,$D154,$D154-($D154-$I$130)*MIN(N$3-$O$2,$Q$2)/$Q$2))</f>
        <v>7770.51042046138</v>
      </c>
      <c r="O154" s="15" t="n">
        <f aca="false">SUMPRODUCT(E154:N154,1/(1+$F$130)^$E$3:$N$3)*$E$2</f>
        <v>6632.294021645</v>
      </c>
      <c r="P154" s="15" t="n">
        <f aca="false">N154*$E$2*(1+$I$130)/($F$130-$I$130)/(1+$F$130)^$N$3</f>
        <v>11018.200831086</v>
      </c>
      <c r="Q154" s="15" t="n">
        <f aca="false">O154+P154</f>
        <v>17650.494852731</v>
      </c>
      <c r="R154" s="15" t="n">
        <f aca="false">Q154-$G$2+$I$2</f>
        <v>12829.994852731</v>
      </c>
      <c r="S154" s="42" t="n">
        <f aca="false">R154/$K$2</f>
        <v>66.962394847239</v>
      </c>
      <c r="T154" s="43" t="n">
        <f aca="false">S154-$M$2</f>
        <v>-2.68646607679557E-005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0.053177535533905</v>
      </c>
      <c r="C155" s="25" t="n">
        <f aca="false">IF(T154&gt;0,D154,C154)</f>
        <v>0.0531777143478394</v>
      </c>
      <c r="D155" s="41" t="n">
        <f aca="false">(B155+C155)/2</f>
        <v>0.0531776249408722</v>
      </c>
      <c r="E155" s="15" t="n">
        <f aca="false">$C$2*(1+IF(E$3&lt;=$O$2,$D155,$D155-($D155-$I$130)*MIN(E$3-$O$2,$Q$2)/$Q$2))</f>
        <v>5160.57036221027</v>
      </c>
      <c r="F155" s="15" t="n">
        <f aca="false">E155*(1+IF(F$3&lt;=$O$2,$D155,$D155-($D155-$I$130)*MIN(F$3-$O$2,$Q$2)/$Q$2))</f>
        <v>5434.99723741287</v>
      </c>
      <c r="G155" s="15" t="n">
        <f aca="false">F155*(1+IF(G$3&lt;=$O$2,$D155,$D155-($D155-$I$130)*MIN(G$3-$O$2,$Q$2)/$Q$2))</f>
        <v>5724.01748205869</v>
      </c>
      <c r="H155" s="15" t="n">
        <f aca="false">G155*(1+IF(H$3&lt;=$O$2,$D155,$D155-($D155-$I$130)*MIN(H$3-$O$2,$Q$2)/$Q$2))</f>
        <v>6028.4071368746</v>
      </c>
      <c r="I155" s="15" t="n">
        <f aca="false">H155*(1+IF(I$3&lt;=$O$2,$D155,$D155-($D155-$I$130)*MIN(I$3-$O$2,$Q$2)/$Q$2))</f>
        <v>6348.9835105902</v>
      </c>
      <c r="J155" s="15" t="n">
        <f aca="false">I155*(1+IF(J$3&lt;=$O$2,$D155,$D155-($D155-$I$130)*MIN(J$3-$O$2,$Q$2)/$Q$2))</f>
        <v>6661.36683187629</v>
      </c>
      <c r="K155" s="15" t="n">
        <f aca="false">J155*(1+IF(K$3&lt;=$O$2,$D155,$D155-($D155-$I$130)*MIN(K$3-$O$2,$Q$2)/$Q$2))</f>
        <v>6962.63763826433</v>
      </c>
      <c r="L155" s="15" t="n">
        <f aca="false">K155*(1+IF(L$3&lt;=$O$2,$D155,$D155-($D155-$I$130)*MIN(L$3-$O$2,$Q$2)/$Q$2))</f>
        <v>7249.85375144758</v>
      </c>
      <c r="M155" s="15" t="n">
        <f aca="false">L155*(1+IF(M$3&lt;=$O$2,$D155,$D155-($D155-$I$130)*MIN(M$3-$O$2,$Q$2)/$Q$2))</f>
        <v>7520.09585612027</v>
      </c>
      <c r="N155" s="15" t="n">
        <f aca="false">M155*(1+IF(N$3&lt;=$O$2,$D155,$D155-($D155-$I$130)*MIN(N$3-$O$2,$Q$2)/$Q$2))</f>
        <v>7770.51504812908</v>
      </c>
      <c r="O155" s="15" t="n">
        <f aca="false">SUMPRODUCT(E155:N155,1/(1+$F$130)^$E$3:$N$3)*$E$2</f>
        <v>6632.29661367875</v>
      </c>
      <c r="P155" s="15" t="n">
        <f aca="false">N155*$E$2*(1+$I$130)/($F$130-$I$130)/(1+$F$130)^$N$3</f>
        <v>11018.2073928907</v>
      </c>
      <c r="Q155" s="15" t="n">
        <f aca="false">O155+P155</f>
        <v>17650.5040065695</v>
      </c>
      <c r="R155" s="15" t="n">
        <f aca="false">Q155-$G$2+$I$2</f>
        <v>12830.0040065695</v>
      </c>
      <c r="S155" s="42" t="n">
        <f aca="false">R155/$K$2</f>
        <v>66.9624426230141</v>
      </c>
      <c r="T155" s="43" t="n">
        <f aca="false">S155-$M$2</f>
        <v>2.09111142623897E-005</v>
      </c>
    </row>
    <row r="157" customFormat="false" ht="15" hidden="false" customHeight="false" outlineLevel="0" collapsed="false">
      <c r="A157" s="38" t="s">
        <v>177</v>
      </c>
      <c r="E157" s="5" t="s">
        <v>11</v>
      </c>
      <c r="F157" s="12" t="n">
        <f aca="false">Sensitivity!$B$10</f>
        <v>0.0850848977416375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153</v>
      </c>
      <c r="B158" s="28" t="s">
        <v>154</v>
      </c>
      <c r="C158" s="28" t="s">
        <v>155</v>
      </c>
      <c r="D158" s="28" t="s">
        <v>156</v>
      </c>
      <c r="E158" s="28" t="s">
        <v>157</v>
      </c>
      <c r="F158" s="28" t="s">
        <v>158</v>
      </c>
      <c r="G158" s="28" t="s">
        <v>159</v>
      </c>
      <c r="H158" s="28" t="s">
        <v>160</v>
      </c>
      <c r="I158" s="28" t="s">
        <v>161</v>
      </c>
      <c r="J158" s="28" t="s">
        <v>162</v>
      </c>
      <c r="K158" s="28" t="s">
        <v>163</v>
      </c>
      <c r="L158" s="28" t="s">
        <v>164</v>
      </c>
      <c r="M158" s="28" t="s">
        <v>165</v>
      </c>
      <c r="N158" s="28" t="s">
        <v>166</v>
      </c>
      <c r="O158" s="28" t="s">
        <v>167</v>
      </c>
      <c r="P158" s="28" t="s">
        <v>168</v>
      </c>
      <c r="Q158" s="28" t="s">
        <v>169</v>
      </c>
      <c r="R158" s="28" t="s">
        <v>170</v>
      </c>
      <c r="S158" s="28" t="s">
        <v>171</v>
      </c>
      <c r="T158" s="28" t="s">
        <v>172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6125</v>
      </c>
      <c r="F159" s="15" t="n">
        <f aca="false">E159*(1+IF(F$3&lt;=$O$2,$D159,$D159-($D159-$I$157)*MIN(F$3-$O$2,$Q$2)/$Q$2))</f>
        <v>7656.25</v>
      </c>
      <c r="G159" s="15" t="n">
        <f aca="false">F159*(1+IF(G$3&lt;=$O$2,$D159,$D159-($D159-$I$157)*MIN(G$3-$O$2,$Q$2)/$Q$2))</f>
        <v>9570.3125</v>
      </c>
      <c r="H159" s="15" t="n">
        <f aca="false">G159*(1+IF(H$3&lt;=$O$2,$D159,$D159-($D159-$I$157)*MIN(H$3-$O$2,$Q$2)/$Q$2))</f>
        <v>11962.890625</v>
      </c>
      <c r="I159" s="15" t="n">
        <f aca="false">H159*(1+IF(I$3&lt;=$O$2,$D159,$D159-($D159-$I$157)*MIN(I$3-$O$2,$Q$2)/$Q$2))</f>
        <v>14953.61328125</v>
      </c>
      <c r="J159" s="15" t="n">
        <f aca="false">I159*(1+IF(J$3&lt;=$O$2,$D159,$D159-($D159-$I$157)*MIN(J$3-$O$2,$Q$2)/$Q$2))</f>
        <v>18058.8806152344</v>
      </c>
      <c r="K159" s="15" t="n">
        <f aca="false">J159*(1+IF(K$3&lt;=$O$2,$D159,$D159-($D159-$I$157)*MIN(K$3-$O$2,$Q$2)/$Q$2))</f>
        <v>21044.3747585449</v>
      </c>
      <c r="L159" s="15" t="n">
        <f aca="false">K159*(1+IF(L$3&lt;=$O$2,$D159,$D159-($D159-$I$157)*MIN(L$3-$O$2,$Q$2)/$Q$2))</f>
        <v>23632.4119663508</v>
      </c>
      <c r="M159" s="15" t="n">
        <f aca="false">L159*(1+IF(M$3&lt;=$O$2,$D159,$D159-($D159-$I$157)*MIN(M$3-$O$2,$Q$2)/$Q$2))</f>
        <v>25538.1296673173</v>
      </c>
      <c r="N159" s="15" t="n">
        <f aca="false">M159*(1+IF(N$3&lt;=$O$2,$D159,$D159-($D159-$I$157)*MIN(N$3-$O$2,$Q$2)/$Q$2))</f>
        <v>26516.2400335756</v>
      </c>
      <c r="O159" s="15" t="n">
        <f aca="false">SUMPRODUCT(E159:N159,1/(1+$F$157)^$E$3:$N$3)*$E$2</f>
        <v>15664.2055078883</v>
      </c>
      <c r="P159" s="15" t="n">
        <f aca="false">N159*$E$2*(1+$I$157)/($F$157-$I$157)/(1+$F$157)^$N$3</f>
        <v>41818.3546750728</v>
      </c>
      <c r="Q159" s="15" t="n">
        <f aca="false">O159+P159</f>
        <v>57482.5601829611</v>
      </c>
      <c r="R159" s="15" t="n">
        <f aca="false">Q159-$G$2+$I$2</f>
        <v>52662.0601829611</v>
      </c>
      <c r="S159" s="42" t="n">
        <f aca="false">R159/$K$2</f>
        <v>274.854176320257</v>
      </c>
      <c r="T159" s="43" t="n">
        <f aca="false">S159-$M$2</f>
        <v>207.891754608357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4287.5</v>
      </c>
      <c r="F160" s="15" t="n">
        <f aca="false">E160*(1+IF(F$3&lt;=$O$2,$D160,$D160-($D160-$I$157)*MIN(F$3-$O$2,$Q$2)/$Q$2))</f>
        <v>3751.5625</v>
      </c>
      <c r="G160" s="15" t="n">
        <f aca="false">F160*(1+IF(G$3&lt;=$O$2,$D160,$D160-($D160-$I$157)*MIN(G$3-$O$2,$Q$2)/$Q$2))</f>
        <v>3282.6171875</v>
      </c>
      <c r="H160" s="15" t="n">
        <f aca="false">G160*(1+IF(H$3&lt;=$O$2,$D160,$D160-($D160-$I$157)*MIN(H$3-$O$2,$Q$2)/$Q$2))</f>
        <v>2872.2900390625</v>
      </c>
      <c r="I160" s="15" t="n">
        <f aca="false">H160*(1+IF(I$3&lt;=$O$2,$D160,$D160-($D160-$I$157)*MIN(I$3-$O$2,$Q$2)/$Q$2))</f>
        <v>2513.25378417969</v>
      </c>
      <c r="J160" s="15" t="n">
        <f aca="false">I160*(1+IF(J$3&lt;=$O$2,$D160,$D160-($D160-$I$157)*MIN(J$3-$O$2,$Q$2)/$Q$2))</f>
        <v>2281.17992974854</v>
      </c>
      <c r="K160" s="15" t="n">
        <f aca="false">J160*(1+IF(K$3&lt;=$O$2,$D160,$D160-($D160-$I$157)*MIN(K$3-$O$2,$Q$2)/$Q$2))</f>
        <v>2145.03911154114</v>
      </c>
      <c r="L160" s="15" t="n">
        <f aca="false">K160*(1+IF(L$3&lt;=$O$2,$D160,$D160-($D160-$I$157)*MIN(L$3-$O$2,$Q$2)/$Q$2))</f>
        <v>2087.0801547473</v>
      </c>
      <c r="M160" s="15" t="n">
        <f aca="false">L160*(1+IF(M$3&lt;=$O$2,$D160,$D160-($D160-$I$157)*MIN(M$3-$O$2,$Q$2)/$Q$2))</f>
        <v>2098.85128682008</v>
      </c>
      <c r="N160" s="15" t="n">
        <f aca="false">M160*(1+IF(N$3&lt;=$O$2,$D160,$D160-($D160-$I$157)*MIN(N$3-$O$2,$Q$2)/$Q$2))</f>
        <v>2179.23729110529</v>
      </c>
      <c r="O160" s="15" t="n">
        <f aca="false">SUMPRODUCT(E160:N160,1/(1+$F$157)^$E$3:$N$3)*$E$2</f>
        <v>3073.44588726429</v>
      </c>
      <c r="P160" s="15" t="n">
        <f aca="false">N160*$E$2*(1+$I$157)/($F$157-$I$157)/(1+$F$157)^$N$3</f>
        <v>3436.8416429023</v>
      </c>
      <c r="Q160" s="15" t="n">
        <f aca="false">O160+P160</f>
        <v>6510.28753016659</v>
      </c>
      <c r="R160" s="15" t="n">
        <f aca="false">Q160-$G$2+$I$2</f>
        <v>1689.78753016659</v>
      </c>
      <c r="S160" s="42" t="n">
        <f aca="false">R160/$K$2</f>
        <v>8.81935036621394</v>
      </c>
      <c r="T160" s="43" t="n">
        <f aca="false">S160-$M$2</f>
        <v>-58.1430713456859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5206.25</v>
      </c>
      <c r="F161" s="15" t="n">
        <f aca="false">E161*(1+IF(F$3&lt;=$O$2,$D161,$D161-($D161-$I$157)*MIN(F$3-$O$2,$Q$2)/$Q$2))</f>
        <v>5531.640625</v>
      </c>
      <c r="G161" s="15" t="n">
        <f aca="false">F161*(1+IF(G$3&lt;=$O$2,$D161,$D161-($D161-$I$157)*MIN(G$3-$O$2,$Q$2)/$Q$2))</f>
        <v>5877.3681640625</v>
      </c>
      <c r="H161" s="15" t="n">
        <f aca="false">G161*(1+IF(H$3&lt;=$O$2,$D161,$D161-($D161-$I$157)*MIN(H$3-$O$2,$Q$2)/$Q$2))</f>
        <v>6244.70367431641</v>
      </c>
      <c r="I161" s="15" t="n">
        <f aca="false">H161*(1+IF(I$3&lt;=$O$2,$D161,$D161-($D161-$I$157)*MIN(I$3-$O$2,$Q$2)/$Q$2))</f>
        <v>6634.99765396118</v>
      </c>
      <c r="J161" s="15" t="n">
        <f aca="false">I161*(1+IF(J$3&lt;=$O$2,$D161,$D161-($D161-$I$157)*MIN(J$3-$O$2,$Q$2)/$Q$2))</f>
        <v>7017.57161868858</v>
      </c>
      <c r="K161" s="15" t="n">
        <f aca="false">J161*(1+IF(K$3&lt;=$O$2,$D161,$D161-($D161-$I$157)*MIN(K$3-$O$2,$Q$2)/$Q$2))</f>
        <v>7388.23975158772</v>
      </c>
      <c r="L161" s="15" t="n">
        <f aca="false">K161*(1+IF(L$3&lt;=$O$2,$D161,$D161-($D161-$I$157)*MIN(L$3-$O$2,$Q$2)/$Q$2))</f>
        <v>7742.72749486889</v>
      </c>
      <c r="M161" s="15" t="n">
        <f aca="false">L161*(1+IF(M$3&lt;=$O$2,$D161,$D161-($D161-$I$157)*MIN(M$3-$O$2,$Q$2)/$Q$2))</f>
        <v>8076.74875899754</v>
      </c>
      <c r="N161" s="15" t="n">
        <f aca="false">M161*(1+IF(N$3&lt;=$O$2,$D161,$D161-($D161-$I$157)*MIN(N$3-$O$2,$Q$2)/$Q$2))</f>
        <v>8386.08823646714</v>
      </c>
      <c r="O161" s="15" t="n">
        <f aca="false">SUMPRODUCT(E161:N161,1/(1+$F$157)^$E$3:$N$3)*$E$2</f>
        <v>6928.86145346522</v>
      </c>
      <c r="P161" s="15" t="n">
        <f aca="false">N161*$E$2*(1+$I$157)/($F$157-$I$157)/(1+$F$157)^$N$3</f>
        <v>13225.5708865579</v>
      </c>
      <c r="Q161" s="15" t="n">
        <f aca="false">O161+P161</f>
        <v>20154.4323400232</v>
      </c>
      <c r="R161" s="15" t="n">
        <f aca="false">Q161-$G$2+$I$2</f>
        <v>15333.9323400232</v>
      </c>
      <c r="S161" s="42" t="n">
        <f aca="false">R161/$K$2</f>
        <v>80.0309621086804</v>
      </c>
      <c r="T161" s="43" t="n">
        <f aca="false">S161-$M$2</f>
        <v>13.0685403967806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4746.875</v>
      </c>
      <c r="F162" s="15" t="n">
        <f aca="false">E162*(1+IF(F$3&lt;=$O$2,$D162,$D162-($D162-$I$157)*MIN(F$3-$O$2,$Q$2)/$Q$2))</f>
        <v>4598.53515625</v>
      </c>
      <c r="G162" s="15" t="n">
        <f aca="false">F162*(1+IF(G$3&lt;=$O$2,$D162,$D162-($D162-$I$157)*MIN(G$3-$O$2,$Q$2)/$Q$2))</f>
        <v>4454.83093261719</v>
      </c>
      <c r="H162" s="15" t="n">
        <f aca="false">G162*(1+IF(H$3&lt;=$O$2,$D162,$D162-($D162-$I$157)*MIN(H$3-$O$2,$Q$2)/$Q$2))</f>
        <v>4315.6174659729</v>
      </c>
      <c r="I162" s="15" t="n">
        <f aca="false">H162*(1+IF(I$3&lt;=$O$2,$D162,$D162-($D162-$I$157)*MIN(I$3-$O$2,$Q$2)/$Q$2))</f>
        <v>4180.75442016125</v>
      </c>
      <c r="J162" s="15" t="n">
        <f aca="false">I162*(1+IF(J$3&lt;=$O$2,$D162,$D162-($D162-$I$157)*MIN(J$3-$O$2,$Q$2)/$Q$2))</f>
        <v>4108.26013851565</v>
      </c>
      <c r="K162" s="15" t="n">
        <f aca="false">J162*(1+IF(K$3&lt;=$O$2,$D162,$D162-($D162-$I$157)*MIN(K$3-$O$2,$Q$2)/$Q$2))</f>
        <v>4094.16880624054</v>
      </c>
      <c r="L162" s="15" t="n">
        <f aca="false">K162*(1+IF(L$3&lt;=$O$2,$D162,$D162-($D162-$I$157)*MIN(L$3-$O$2,$Q$2)/$Q$2))</f>
        <v>4137.07569532994</v>
      </c>
      <c r="M162" s="15" t="n">
        <f aca="false">L162*(1+IF(M$3&lt;=$O$2,$D162,$D162-($D162-$I$157)*MIN(M$3-$O$2,$Q$2)/$Q$2))</f>
        <v>4237.97897153904</v>
      </c>
      <c r="N162" s="15" t="n">
        <f aca="false">M162*(1+IF(N$3&lt;=$O$2,$D162,$D162-($D162-$I$157)*MIN(N$3-$O$2,$Q$2)/$Q$2))</f>
        <v>4400.29356614899</v>
      </c>
      <c r="O162" s="15" t="n">
        <f aca="false">SUMPRODUCT(E162:N162,1/(1+$F$157)^$E$3:$N$3)*$E$2</f>
        <v>4601.62792914724</v>
      </c>
      <c r="P162" s="15" t="n">
        <f aca="false">N162*$E$2*(1+$I$157)/($F$157-$I$157)/(1+$F$157)^$N$3</f>
        <v>6939.63536273081</v>
      </c>
      <c r="Q162" s="15" t="n">
        <f aca="false">O162+P162</f>
        <v>11541.263291878</v>
      </c>
      <c r="R162" s="15" t="n">
        <f aca="false">Q162-$G$2+$I$2</f>
        <v>6720.76329187804</v>
      </c>
      <c r="S162" s="42" t="n">
        <f aca="false">R162/$K$2</f>
        <v>35.0770526715973</v>
      </c>
      <c r="T162" s="43" t="n">
        <f aca="false">S162-$M$2</f>
        <v>-31.8853690403025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4976.5625</v>
      </c>
      <c r="F163" s="15" t="n">
        <f aca="false">E163*(1+IF(F$3&lt;=$O$2,$D163,$D163-($D163-$I$157)*MIN(F$3-$O$2,$Q$2)/$Q$2))</f>
        <v>5054.3212890625</v>
      </c>
      <c r="G163" s="15" t="n">
        <f aca="false">F163*(1+IF(G$3&lt;=$O$2,$D163,$D163-($D163-$I$157)*MIN(G$3-$O$2,$Q$2)/$Q$2))</f>
        <v>5133.2950592041</v>
      </c>
      <c r="H163" s="15" t="n">
        <f aca="false">G163*(1+IF(H$3&lt;=$O$2,$D163,$D163-($D163-$I$157)*MIN(H$3-$O$2,$Q$2)/$Q$2))</f>
        <v>5213.50279450417</v>
      </c>
      <c r="I163" s="15" t="n">
        <f aca="false">H163*(1+IF(I$3&lt;=$O$2,$D163,$D163-($D163-$I$157)*MIN(I$3-$O$2,$Q$2)/$Q$2))</f>
        <v>5294.96377566829</v>
      </c>
      <c r="J163" s="15" t="n">
        <f aca="false">I163*(1+IF(J$3&lt;=$O$2,$D163,$D163-($D163-$I$157)*MIN(J$3-$O$2,$Q$2)/$Q$2))</f>
        <v>5401.71024538577</v>
      </c>
      <c r="K163" s="15" t="n">
        <f aca="false">J163*(1+IF(K$3&lt;=$O$2,$D163,$D163-($D163-$I$157)*MIN(K$3-$O$2,$Q$2)/$Q$2))</f>
        <v>5535.10547989557</v>
      </c>
      <c r="L163" s="15" t="n">
        <f aca="false">K163*(1+IF(L$3&lt;=$O$2,$D163,$D163-($D163-$I$157)*MIN(L$3-$O$2,$Q$2)/$Q$2))</f>
        <v>5696.89661307292</v>
      </c>
      <c r="M163" s="15" t="n">
        <f aca="false">L163*(1+IF(M$3&lt;=$O$2,$D163,$D163-($D163-$I$157)*MIN(M$3-$O$2,$Q$2)/$Q$2))</f>
        <v>5889.25232721332</v>
      </c>
      <c r="N163" s="15" t="n">
        <f aca="false">M163*(1+IF(N$3&lt;=$O$2,$D163,$D163-($D163-$I$157)*MIN(N$3-$O$2,$Q$2)/$Q$2))</f>
        <v>6114.81069134559</v>
      </c>
      <c r="O163" s="15" t="n">
        <f aca="false">SUMPRODUCT(E163:N163,1/(1+$F$157)^$E$3:$N$3)*$E$2</f>
        <v>5644.4641540302</v>
      </c>
      <c r="P163" s="15" t="n">
        <f aca="false">N163*$E$2*(1+$I$157)/($F$157-$I$157)/(1+$F$157)^$N$3</f>
        <v>9643.57397345283</v>
      </c>
      <c r="Q163" s="15" t="n">
        <f aca="false">O163+P163</f>
        <v>15288.038127483</v>
      </c>
      <c r="R163" s="15" t="n">
        <f aca="false">Q163-$G$2+$I$2</f>
        <v>10467.538127483</v>
      </c>
      <c r="S163" s="42" t="n">
        <f aca="false">R163/$K$2</f>
        <v>54.6322449242329</v>
      </c>
      <c r="T163" s="43" t="n">
        <f aca="false">S163-$M$2</f>
        <v>-12.3301767876669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0.015625</v>
      </c>
      <c r="C164" s="25" t="n">
        <f aca="false">IF(T163&gt;0,D163,C163)</f>
        <v>0.0625</v>
      </c>
      <c r="D164" s="41" t="n">
        <f aca="false">(B164+C164)/2</f>
        <v>0.0390625</v>
      </c>
      <c r="E164" s="15" t="n">
        <f aca="false">$C$2*(1+IF(E$3&lt;=$O$2,$D164,$D164-($D164-$I$157)*MIN(E$3-$O$2,$Q$2)/$Q$2))</f>
        <v>5091.40625</v>
      </c>
      <c r="F164" s="15" t="n">
        <f aca="false">E164*(1+IF(F$3&lt;=$O$2,$D164,$D164-($D164-$I$157)*MIN(F$3-$O$2,$Q$2)/$Q$2))</f>
        <v>5290.28930664063</v>
      </c>
      <c r="G164" s="15" t="n">
        <f aca="false">F164*(1+IF(G$3&lt;=$O$2,$D164,$D164-($D164-$I$157)*MIN(G$3-$O$2,$Q$2)/$Q$2))</f>
        <v>5496.94123268127</v>
      </c>
      <c r="H164" s="15" t="n">
        <f aca="false">G164*(1+IF(H$3&lt;=$O$2,$D164,$D164-($D164-$I$157)*MIN(H$3-$O$2,$Q$2)/$Q$2))</f>
        <v>5711.66549958289</v>
      </c>
      <c r="I164" s="15" t="n">
        <f aca="false">H164*(1+IF(I$3&lt;=$O$2,$D164,$D164-($D164-$I$157)*MIN(I$3-$O$2,$Q$2)/$Q$2))</f>
        <v>5934.77743316034</v>
      </c>
      <c r="J164" s="15" t="n">
        <f aca="false">I164*(1+IF(J$3&lt;=$O$2,$D164,$D164-($D164-$I$157)*MIN(J$3-$O$2,$Q$2)/$Q$2))</f>
        <v>6165.69962308461</v>
      </c>
      <c r="K164" s="15" t="n">
        <f aca="false">J164*(1+IF(K$3&lt;=$O$2,$D164,$D164-($D164-$I$157)*MIN(K$3-$O$2,$Q$2)/$Q$2))</f>
        <v>6404.66672622631</v>
      </c>
      <c r="L164" s="15" t="n">
        <f aca="false">K164*(1+IF(L$3&lt;=$O$2,$D164,$D164-($D164-$I$157)*MIN(L$3-$O$2,$Q$2)/$Q$2))</f>
        <v>6651.91888519228</v>
      </c>
      <c r="M164" s="15" t="n">
        <f aca="false">L164*(1+IF(M$3&lt;=$O$2,$D164,$D164-($D164-$I$157)*MIN(M$3-$O$2,$Q$2)/$Q$2))</f>
        <v>6907.70179612514</v>
      </c>
      <c r="N164" s="15" t="n">
        <f aca="false">M164*(1+IF(N$3&lt;=$O$2,$D164,$D164-($D164-$I$157)*MIN(N$3-$O$2,$Q$2)/$Q$2))</f>
        <v>7172.26677491673</v>
      </c>
      <c r="O164" s="15" t="n">
        <f aca="false">SUMPRODUCT(E164:N164,1/(1+$F$157)^$E$3:$N$3)*$E$2</f>
        <v>6253.44124539208</v>
      </c>
      <c r="P164" s="15" t="n">
        <f aca="false">N164*$E$2*(1+$I$157)/($F$157-$I$157)/(1+$F$157)^$N$3</f>
        <v>11311.2717126533</v>
      </c>
      <c r="Q164" s="15" t="n">
        <f aca="false">O164+P164</f>
        <v>17564.7129580454</v>
      </c>
      <c r="R164" s="15" t="n">
        <f aca="false">Q164-$G$2+$I$2</f>
        <v>12744.2129580454</v>
      </c>
      <c r="S164" s="42" t="n">
        <f aca="false">R164/$K$2</f>
        <v>66.5146814094227</v>
      </c>
      <c r="T164" s="43" t="n">
        <f aca="false">S164-$M$2</f>
        <v>-0.447740302477087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0.0390625</v>
      </c>
      <c r="C165" s="25" t="n">
        <f aca="false">IF(T164&gt;0,D164,C164)</f>
        <v>0.0625</v>
      </c>
      <c r="D165" s="41" t="n">
        <f aca="false">(B165+C165)/2</f>
        <v>0.05078125</v>
      </c>
      <c r="E165" s="15" t="n">
        <f aca="false">$C$2*(1+IF(E$3&lt;=$O$2,$D165,$D165-($D165-$I$157)*MIN(E$3-$O$2,$Q$2)/$Q$2))</f>
        <v>5148.828125</v>
      </c>
      <c r="F165" s="15" t="n">
        <f aca="false">E165*(1+IF(F$3&lt;=$O$2,$D165,$D165-($D165-$I$157)*MIN(F$3-$O$2,$Q$2)/$Q$2))</f>
        <v>5410.29205322266</v>
      </c>
      <c r="G165" s="15" t="n">
        <f aca="false">F165*(1+IF(G$3&lt;=$O$2,$D165,$D165-($D165-$I$157)*MIN(G$3-$O$2,$Q$2)/$Q$2))</f>
        <v>5685.03344655037</v>
      </c>
      <c r="H165" s="15" t="n">
        <f aca="false">G165*(1+IF(H$3&lt;=$O$2,$D165,$D165-($D165-$I$157)*MIN(H$3-$O$2,$Q$2)/$Q$2))</f>
        <v>5973.72655125801</v>
      </c>
      <c r="I165" s="15" t="n">
        <f aca="false">H165*(1+IF(I$3&lt;=$O$2,$D165,$D165-($D165-$I$157)*MIN(I$3-$O$2,$Q$2)/$Q$2))</f>
        <v>6277.07985268908</v>
      </c>
      <c r="J165" s="15" t="n">
        <f aca="false">I165*(1+IF(J$3&lt;=$O$2,$D165,$D165-($D165-$I$157)*MIN(J$3-$O$2,$Q$2)/$Q$2))</f>
        <v>6580.16865337617</v>
      </c>
      <c r="K165" s="15" t="n">
        <f aca="false">J165*(1+IF(K$3&lt;=$O$2,$D165,$D165-($D165-$I$157)*MIN(K$3-$O$2,$Q$2)/$Q$2))</f>
        <v>6881.46635080345</v>
      </c>
      <c r="L165" s="15" t="n">
        <f aca="false">K165*(1+IF(L$3&lt;=$O$2,$D165,$D165-($D165-$I$157)*MIN(L$3-$O$2,$Q$2)/$Q$2))</f>
        <v>7179.3822327956</v>
      </c>
      <c r="M165" s="15" t="n">
        <f aca="false">L165*(1+IF(M$3&lt;=$O$2,$D165,$D165-($D165-$I$157)*MIN(M$3-$O$2,$Q$2)/$Q$2))</f>
        <v>7472.27410521029</v>
      </c>
      <c r="N165" s="15" t="n">
        <f aca="false">M165*(1+IF(N$3&lt;=$O$2,$D165,$D165-($D165-$I$157)*MIN(N$3-$O$2,$Q$2)/$Q$2))</f>
        <v>7758.46220343985</v>
      </c>
      <c r="O165" s="15" t="n">
        <f aca="false">SUMPRODUCT(E165:N165,1/(1+$F$157)^$E$3:$N$3)*$E$2</f>
        <v>6582.43893120948</v>
      </c>
      <c r="P165" s="15" t="n">
        <f aca="false">N165*$E$2*(1+$I$157)/($F$157-$I$157)/(1+$F$157)^$N$3</f>
        <v>12235.7515147612</v>
      </c>
      <c r="Q165" s="15" t="n">
        <f aca="false">O165+P165</f>
        <v>18818.1904459707</v>
      </c>
      <c r="R165" s="15" t="n">
        <f aca="false">Q165-$G$2+$I$2</f>
        <v>13997.6904459707</v>
      </c>
      <c r="S165" s="42" t="n">
        <f aca="false">R165/$K$2</f>
        <v>73.0568394883649</v>
      </c>
      <c r="T165" s="43" t="n">
        <f aca="false">S165-$M$2</f>
        <v>6.09441777646507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0.0390625</v>
      </c>
      <c r="C166" s="25" t="n">
        <f aca="false">IF(T165&gt;0,D165,C165)</f>
        <v>0.05078125</v>
      </c>
      <c r="D166" s="41" t="n">
        <f aca="false">(B166+C166)/2</f>
        <v>0.044921875</v>
      </c>
      <c r="E166" s="15" t="n">
        <f aca="false">$C$2*(1+IF(E$3&lt;=$O$2,$D166,$D166-($D166-$I$157)*MIN(E$3-$O$2,$Q$2)/$Q$2))</f>
        <v>5120.1171875</v>
      </c>
      <c r="F166" s="15" t="n">
        <f aca="false">E166*(1+IF(F$3&lt;=$O$2,$D166,$D166-($D166-$I$157)*MIN(F$3-$O$2,$Q$2)/$Q$2))</f>
        <v>5350.12245178223</v>
      </c>
      <c r="G166" s="15" t="n">
        <f aca="false">F166*(1+IF(G$3&lt;=$O$2,$D166,$D166-($D166-$I$157)*MIN(G$3-$O$2,$Q$2)/$Q$2))</f>
        <v>5590.45998379588</v>
      </c>
      <c r="H166" s="15" t="n">
        <f aca="false">G166*(1+IF(H$3&lt;=$O$2,$D166,$D166-($D166-$I$157)*MIN(H$3-$O$2,$Q$2)/$Q$2))</f>
        <v>5841.59392838046</v>
      </c>
      <c r="I166" s="15" t="n">
        <f aca="false">H166*(1+IF(I$3&lt;=$O$2,$D166,$D166-($D166-$I$157)*MIN(I$3-$O$2,$Q$2)/$Q$2))</f>
        <v>6104.00928063193</v>
      </c>
      <c r="J166" s="15" t="n">
        <f aca="false">I166*(1+IF(J$3&lt;=$O$2,$D166,$D166-($D166-$I$157)*MIN(J$3-$O$2,$Q$2)/$Q$2))</f>
        <v>6370.12882524428</v>
      </c>
      <c r="K166" s="15" t="n">
        <f aca="false">J166*(1+IF(K$3&lt;=$O$2,$D166,$D166-($D166-$I$157)*MIN(K$3-$O$2,$Q$2)/$Q$2))</f>
        <v>6639.41407733993</v>
      </c>
      <c r="L166" s="15" t="n">
        <f aca="false">K166*(1+IF(L$3&lt;=$O$2,$D166,$D166-($D166-$I$157)*MIN(L$3-$O$2,$Q$2)/$Q$2))</f>
        <v>6911.28978453941</v>
      </c>
      <c r="M166" s="15" t="n">
        <f aca="false">L166*(1+IF(M$3&lt;=$O$2,$D166,$D166-($D166-$I$157)*MIN(M$3-$O$2,$Q$2)/$Q$2))</f>
        <v>7185.14532269567</v>
      </c>
      <c r="N166" s="15" t="n">
        <f aca="false">M166*(1+IF(N$3&lt;=$O$2,$D166,$D166-($D166-$I$157)*MIN(N$3-$O$2,$Q$2)/$Q$2))</f>
        <v>7460.33638855491</v>
      </c>
      <c r="O166" s="15" t="n">
        <f aca="false">SUMPRODUCT(E166:N166,1/(1+$F$157)^$E$3:$N$3)*$E$2</f>
        <v>6415.81420355528</v>
      </c>
      <c r="P166" s="15" t="n">
        <f aca="false">N166*$E$2*(1+$I$157)/($F$157-$I$157)/(1+$F$157)^$N$3</f>
        <v>11765.5818734823</v>
      </c>
      <c r="Q166" s="15" t="n">
        <f aca="false">O166+P166</f>
        <v>18181.3960770375</v>
      </c>
      <c r="R166" s="15" t="n">
        <f aca="false">Q166-$G$2+$I$2</f>
        <v>13360.8960770375</v>
      </c>
      <c r="S166" s="42" t="n">
        <f aca="false">R166/$K$2</f>
        <v>69.7332780638702</v>
      </c>
      <c r="T166" s="43" t="n">
        <f aca="false">S166-$M$2</f>
        <v>2.77085635197039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0.0390625</v>
      </c>
      <c r="C167" s="25" t="n">
        <f aca="false">IF(T166&gt;0,D166,C166)</f>
        <v>0.044921875</v>
      </c>
      <c r="D167" s="41" t="n">
        <f aca="false">(B167+C167)/2</f>
        <v>0.0419921875</v>
      </c>
      <c r="E167" s="15" t="n">
        <f aca="false">$C$2*(1+IF(E$3&lt;=$O$2,$D167,$D167-($D167-$I$157)*MIN(E$3-$O$2,$Q$2)/$Q$2))</f>
        <v>5105.76171875</v>
      </c>
      <c r="F167" s="15" t="n">
        <f aca="false">E167*(1+IF(F$3&lt;=$O$2,$D167,$D167-($D167-$I$157)*MIN(F$3-$O$2,$Q$2)/$Q$2))</f>
        <v>5320.16382217407</v>
      </c>
      <c r="G167" s="15" t="n">
        <f aca="false">F167*(1+IF(G$3&lt;=$O$2,$D167,$D167-($D167-$I$157)*MIN(G$3-$O$2,$Q$2)/$Q$2))</f>
        <v>5543.56913892552</v>
      </c>
      <c r="H167" s="15" t="n">
        <f aca="false">G167*(1+IF(H$3&lt;=$O$2,$D167,$D167-($D167-$I$157)*MIN(H$3-$O$2,$Q$2)/$Q$2))</f>
        <v>5776.3557336265</v>
      </c>
      <c r="I167" s="15" t="n">
        <f aca="false">H167*(1+IF(I$3&lt;=$O$2,$D167,$D167-($D167-$I$157)*MIN(I$3-$O$2,$Q$2)/$Q$2))</f>
        <v>6018.91754665964</v>
      </c>
      <c r="J167" s="15" t="n">
        <f aca="false">I167*(1+IF(J$3&lt;=$O$2,$D167,$D167-($D167-$I$157)*MIN(J$3-$O$2,$Q$2)/$Q$2))</f>
        <v>6267.22046640015</v>
      </c>
      <c r="K167" s="15" t="n">
        <f aca="false">J167*(1+IF(K$3&lt;=$O$2,$D167,$D167-($D167-$I$157)*MIN(K$3-$O$2,$Q$2)/$Q$2))</f>
        <v>6521.13886210275</v>
      </c>
      <c r="L167" s="15" t="n">
        <f aca="false">K167*(1+IF(L$3&lt;=$O$2,$D167,$D167-($D167-$I$157)*MIN(L$3-$O$2,$Q$2)/$Q$2))</f>
        <v>6780.52938747825</v>
      </c>
      <c r="M167" s="15" t="n">
        <f aca="false">L167*(1+IF(M$3&lt;=$O$2,$D167,$D167-($D167-$I$157)*MIN(M$3-$O$2,$Q$2)/$Q$2))</f>
        <v>7045.23066018824</v>
      </c>
      <c r="N167" s="15" t="n">
        <f aca="false">M167*(1+IF(N$3&lt;=$O$2,$D167,$D167-($D167-$I$157)*MIN(N$3-$O$2,$Q$2)/$Q$2))</f>
        <v>7315.06299447345</v>
      </c>
      <c r="O167" s="15" t="n">
        <f aca="false">SUMPRODUCT(E167:N167,1/(1+$F$157)^$E$3:$N$3)*$E$2</f>
        <v>6334.10266157299</v>
      </c>
      <c r="P167" s="15" t="n">
        <f aca="false">N167*$E$2*(1+$I$157)/($F$157-$I$157)/(1+$F$157)^$N$3</f>
        <v>11536.47343613</v>
      </c>
      <c r="Q167" s="15" t="n">
        <f aca="false">O167+P167</f>
        <v>17870.576097703</v>
      </c>
      <c r="R167" s="15" t="n">
        <f aca="false">Q167-$G$2+$I$2</f>
        <v>13050.076097703</v>
      </c>
      <c r="S167" s="42" t="n">
        <f aca="false">R167/$K$2</f>
        <v>68.1110443512681</v>
      </c>
      <c r="T167" s="43" t="n">
        <f aca="false">S167-$M$2</f>
        <v>1.14862263936831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0.0390625</v>
      </c>
      <c r="C168" s="25" t="n">
        <f aca="false">IF(T167&gt;0,D167,C167)</f>
        <v>0.0419921875</v>
      </c>
      <c r="D168" s="41" t="n">
        <f aca="false">(B168+C168)/2</f>
        <v>0.04052734375</v>
      </c>
      <c r="E168" s="15" t="n">
        <f aca="false">$C$2*(1+IF(E$3&lt;=$O$2,$D168,$D168-($D168-$I$157)*MIN(E$3-$O$2,$Q$2)/$Q$2))</f>
        <v>5098.583984375</v>
      </c>
      <c r="F168" s="15" t="n">
        <f aca="false">E168*(1+IF(F$3&lt;=$O$2,$D168,$D168-($D168-$I$157)*MIN(F$3-$O$2,$Q$2)/$Q$2))</f>
        <v>5305.21605014801</v>
      </c>
      <c r="G168" s="15" t="n">
        <f aca="false">F168*(1+IF(G$3&lt;=$O$2,$D168,$D168-($D168-$I$157)*MIN(G$3-$O$2,$Q$2)/$Q$2))</f>
        <v>5520.22236468038</v>
      </c>
      <c r="H168" s="15" t="n">
        <f aca="false">G168*(1+IF(H$3&lt;=$O$2,$D168,$D168-($D168-$I$157)*MIN(H$3-$O$2,$Q$2)/$Q$2))</f>
        <v>5743.94231403022</v>
      </c>
      <c r="I168" s="15" t="n">
        <f aca="false">H168*(1+IF(I$3&lt;=$O$2,$D168,$D168-($D168-$I$157)*MIN(I$3-$O$2,$Q$2)/$Q$2))</f>
        <v>5976.72903867109</v>
      </c>
      <c r="J168" s="15" t="n">
        <f aca="false">I168*(1+IF(J$3&lt;=$O$2,$D168,$D168-($D168-$I$157)*MIN(J$3-$O$2,$Q$2)/$Q$2))</f>
        <v>6216.28754490797</v>
      </c>
      <c r="K168" s="15" t="n">
        <f aca="false">J168*(1+IF(K$3&lt;=$O$2,$D168,$D168-($D168-$I$157)*MIN(K$3-$O$2,$Q$2)/$Q$2))</f>
        <v>6462.67884340476</v>
      </c>
      <c r="L168" s="15" t="n">
        <f aca="false">K168*(1+IF(L$3&lt;=$O$2,$D168,$D168-($D168-$I$157)*MIN(L$3-$O$2,$Q$2)/$Q$2))</f>
        <v>6715.95728603921</v>
      </c>
      <c r="M168" s="15" t="n">
        <f aca="false">L168*(1+IF(M$3&lt;=$O$2,$D168,$D168-($D168-$I$157)*MIN(M$3-$O$2,$Q$2)/$Q$2))</f>
        <v>6976.17019919178</v>
      </c>
      <c r="N168" s="15" t="n">
        <f aca="false">M168*(1+IF(N$3&lt;=$O$2,$D168,$D168-($D168-$I$157)*MIN(N$3-$O$2,$Q$2)/$Q$2))</f>
        <v>7243.35751782082</v>
      </c>
      <c r="O168" s="15" t="n">
        <f aca="false">SUMPRODUCT(E168:N168,1/(1+$F$157)^$E$3:$N$3)*$E$2</f>
        <v>6293.64148144005</v>
      </c>
      <c r="P168" s="15" t="n">
        <f aca="false">N168*$E$2*(1+$I$157)/($F$157-$I$157)/(1+$F$157)^$N$3</f>
        <v>11423.3878308176</v>
      </c>
      <c r="Q168" s="15" t="n">
        <f aca="false">O168+P168</f>
        <v>17717.0293122577</v>
      </c>
      <c r="R168" s="15" t="n">
        <f aca="false">Q168-$G$2+$I$2</f>
        <v>12896.5293122577</v>
      </c>
      <c r="S168" s="42" t="n">
        <f aca="false">R168/$K$2</f>
        <v>67.3096519428897</v>
      </c>
      <c r="T168" s="43" t="n">
        <f aca="false">S168-$M$2</f>
        <v>0.347230230989922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0.0390625</v>
      </c>
      <c r="C169" s="25" t="n">
        <f aca="false">IF(T168&gt;0,D168,C168)</f>
        <v>0.04052734375</v>
      </c>
      <c r="D169" s="41" t="n">
        <f aca="false">(B169+C169)/2</f>
        <v>0.039794921875</v>
      </c>
      <c r="E169" s="15" t="n">
        <f aca="false">$C$2*(1+IF(E$3&lt;=$O$2,$D169,$D169-($D169-$I$157)*MIN(E$3-$O$2,$Q$2)/$Q$2))</f>
        <v>5094.9951171875</v>
      </c>
      <c r="F169" s="15" t="n">
        <f aca="false">E169*(1+IF(F$3&lt;=$O$2,$D169,$D169-($D169-$I$157)*MIN(F$3-$O$2,$Q$2)/$Q$2))</f>
        <v>5297.75004982948</v>
      </c>
      <c r="G169" s="15" t="n">
        <f aca="false">F169*(1+IF(G$3&lt;=$O$2,$D169,$D169-($D169-$I$157)*MIN(G$3-$O$2,$Q$2)/$Q$2))</f>
        <v>5508.57359917573</v>
      </c>
      <c r="H169" s="15" t="n">
        <f aca="false">G169*(1+IF(H$3&lt;=$O$2,$D169,$D169-($D169-$I$157)*MIN(H$3-$O$2,$Q$2)/$Q$2))</f>
        <v>5727.78685519761</v>
      </c>
      <c r="I169" s="15" t="n">
        <f aca="false">H169*(1+IF(I$3&lt;=$O$2,$D169,$D169-($D169-$I$157)*MIN(I$3-$O$2,$Q$2)/$Q$2))</f>
        <v>5955.72368561685</v>
      </c>
      <c r="J169" s="15" t="n">
        <f aca="false">I169*(1+IF(J$3&lt;=$O$2,$D169,$D169-($D169-$I$157)*MIN(J$3-$O$2,$Q$2)/$Q$2))</f>
        <v>6190.95057607124</v>
      </c>
      <c r="K169" s="15" t="n">
        <f aca="false">J169*(1+IF(K$3&lt;=$O$2,$D169,$D169-($D169-$I$157)*MIN(K$3-$O$2,$Q$2)/$Q$2))</f>
        <v>6433.6169756007</v>
      </c>
      <c r="L169" s="15" t="n">
        <f aca="false">K169*(1+IF(L$3&lt;=$O$2,$D169,$D169-($D169-$I$157)*MIN(L$3-$O$2,$Q$2)/$Q$2))</f>
        <v>6683.87160766709</v>
      </c>
      <c r="M169" s="15" t="n">
        <f aca="false">L169*(1+IF(M$3&lt;=$O$2,$D169,$D169-($D169-$I$157)*MIN(M$3-$O$2,$Q$2)/$Q$2))</f>
        <v>6941.86226341593</v>
      </c>
      <c r="N169" s="15" t="n">
        <f aca="false">M169*(1+IF(N$3&lt;=$O$2,$D169,$D169-($D169-$I$157)*MIN(N$3-$O$2,$Q$2)/$Q$2))</f>
        <v>7207.73558810476</v>
      </c>
      <c r="O169" s="15" t="n">
        <f aca="false">SUMPRODUCT(E169:N169,1/(1+$F$157)^$E$3:$N$3)*$E$2</f>
        <v>6273.5088441592</v>
      </c>
      <c r="P169" s="15" t="n">
        <f aca="false">N169*$E$2*(1+$I$157)/($F$157-$I$157)/(1+$F$157)^$N$3</f>
        <v>11367.2090328738</v>
      </c>
      <c r="Q169" s="15" t="n">
        <f aca="false">O169+P169</f>
        <v>17640.717877033</v>
      </c>
      <c r="R169" s="15" t="n">
        <f aca="false">Q169-$G$2+$I$2</f>
        <v>12820.217877033</v>
      </c>
      <c r="S169" s="42" t="n">
        <f aca="false">R169/$K$2</f>
        <v>66.91136679036</v>
      </c>
      <c r="T169" s="43" t="n">
        <f aca="false">S169-$M$2</f>
        <v>-0.0510549215397589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0.039794921875</v>
      </c>
      <c r="C170" s="25" t="n">
        <f aca="false">IF(T169&gt;0,D169,C169)</f>
        <v>0.04052734375</v>
      </c>
      <c r="D170" s="41" t="n">
        <f aca="false">(B170+C170)/2</f>
        <v>0.0401611328125</v>
      </c>
      <c r="E170" s="15" t="n">
        <f aca="false">$C$2*(1+IF(E$3&lt;=$O$2,$D170,$D170-($D170-$I$157)*MIN(E$3-$O$2,$Q$2)/$Q$2))</f>
        <v>5096.78955078125</v>
      </c>
      <c r="F170" s="15" t="n">
        <f aca="false">E170*(1+IF(F$3&lt;=$O$2,$D170,$D170-($D170-$I$157)*MIN(F$3-$O$2,$Q$2)/$Q$2))</f>
        <v>5301.48239284754</v>
      </c>
      <c r="G170" s="15" t="n">
        <f aca="false">F170*(1+IF(G$3&lt;=$O$2,$D170,$D170-($D170-$I$157)*MIN(G$3-$O$2,$Q$2)/$Q$2))</f>
        <v>5514.39593132982</v>
      </c>
      <c r="H170" s="15" t="n">
        <f aca="false">G170*(1+IF(H$3&lt;=$O$2,$D170,$D170-($D170-$I$157)*MIN(H$3-$O$2,$Q$2)/$Q$2))</f>
        <v>5735.86031870867</v>
      </c>
      <c r="I170" s="15" t="n">
        <f aca="false">H170*(1+IF(I$3&lt;=$O$2,$D170,$D170-($D170-$I$157)*MIN(I$3-$O$2,$Q$2)/$Q$2))</f>
        <v>5966.21896676227</v>
      </c>
      <c r="J170" s="15" t="n">
        <f aca="false">I170*(1+IF(J$3&lt;=$O$2,$D170,$D170-($D170-$I$157)*MIN(J$3-$O$2,$Q$2)/$Q$2))</f>
        <v>6203.60829389775</v>
      </c>
      <c r="K170" s="15" t="n">
        <f aca="false">J170*(1+IF(K$3&lt;=$O$2,$D170,$D170-($D170-$I$157)*MIN(K$3-$O$2,$Q$2)/$Q$2))</f>
        <v>6448.13393492503</v>
      </c>
      <c r="L170" s="15" t="n">
        <f aca="false">K170*(1+IF(L$3&lt;=$O$2,$D170,$D170-($D170-$I$157)*MIN(L$3-$O$2,$Q$2)/$Q$2))</f>
        <v>6699.89779809094</v>
      </c>
      <c r="M170" s="15" t="n">
        <f aca="false">L170*(1+IF(M$3&lt;=$O$2,$D170,$D170-($D170-$I$157)*MIN(M$3-$O$2,$Q$2)/$Q$2))</f>
        <v>6958.9977636843</v>
      </c>
      <c r="N170" s="15" t="n">
        <f aca="false">M170*(1+IF(N$3&lt;=$O$2,$D170,$D170-($D170-$I$157)*MIN(N$3-$O$2,$Q$2)/$Q$2))</f>
        <v>7225.52737803341</v>
      </c>
      <c r="O170" s="15" t="n">
        <f aca="false">SUMPRODUCT(E170:N170,1/(1+$F$157)^$E$3:$N$3)*$E$2</f>
        <v>6283.56702066151</v>
      </c>
      <c r="P170" s="15" t="n">
        <f aca="false">N170*$E$2*(1+$I$157)/($F$157-$I$157)/(1+$F$157)^$N$3</f>
        <v>11395.2681913592</v>
      </c>
      <c r="Q170" s="15" t="n">
        <f aca="false">O170+P170</f>
        <v>17678.8352120208</v>
      </c>
      <c r="R170" s="15" t="n">
        <f aca="false">Q170-$G$2+$I$2</f>
        <v>12858.3352120208</v>
      </c>
      <c r="S170" s="42" t="n">
        <f aca="false">R170/$K$2</f>
        <v>67.1103090397743</v>
      </c>
      <c r="T170" s="43" t="n">
        <f aca="false">S170-$M$2</f>
        <v>0.147887327874514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0.039794921875</v>
      </c>
      <c r="C171" s="25" t="n">
        <f aca="false">IF(T170&gt;0,D170,C170)</f>
        <v>0.0401611328125</v>
      </c>
      <c r="D171" s="41" t="n">
        <f aca="false">(B171+C171)/2</f>
        <v>0.03997802734375</v>
      </c>
      <c r="E171" s="15" t="n">
        <f aca="false">$C$2*(1+IF(E$3&lt;=$O$2,$D171,$D171-($D171-$I$157)*MIN(E$3-$O$2,$Q$2)/$Q$2))</f>
        <v>5095.89233398438</v>
      </c>
      <c r="F171" s="15" t="n">
        <f aca="false">E171*(1+IF(F$3&lt;=$O$2,$D171,$D171-($D171-$I$157)*MIN(F$3-$O$2,$Q$2)/$Q$2))</f>
        <v>5299.61605705321</v>
      </c>
      <c r="G171" s="15" t="n">
        <f aca="false">F171*(1+IF(G$3&lt;=$O$2,$D171,$D171-($D171-$I$157)*MIN(G$3-$O$2,$Q$2)/$Q$2))</f>
        <v>5511.48425269346</v>
      </c>
      <c r="H171" s="15" t="n">
        <f aca="false">G171*(1+IF(H$3&lt;=$O$2,$D171,$D171-($D171-$I$157)*MIN(H$3-$O$2,$Q$2)/$Q$2))</f>
        <v>5731.82252085228</v>
      </c>
      <c r="I171" s="15" t="n">
        <f aca="false">H171*(1+IF(I$3&lt;=$O$2,$D171,$D171-($D171-$I$157)*MIN(I$3-$O$2,$Q$2)/$Q$2))</f>
        <v>5960.96947832044</v>
      </c>
      <c r="J171" s="15" t="n">
        <f aca="false">I171*(1+IF(J$3&lt;=$O$2,$D171,$D171-($D171-$I$157)*MIN(J$3-$O$2,$Q$2)/$Q$2))</f>
        <v>6197.27674516402</v>
      </c>
      <c r="K171" s="15" t="n">
        <f aca="false">J171*(1+IF(K$3&lt;=$O$2,$D171,$D171-($D171-$I$157)*MIN(K$3-$O$2,$Q$2)/$Q$2))</f>
        <v>6440.8719644049</v>
      </c>
      <c r="L171" s="15" t="n">
        <f aca="false">K171*(1+IF(L$3&lt;=$O$2,$D171,$D171-($D171-$I$157)*MIN(L$3-$O$2,$Q$2)/$Q$2))</f>
        <v>6691.88054435116</v>
      </c>
      <c r="M171" s="15" t="n">
        <f aca="false">L171*(1+IF(M$3&lt;=$O$2,$D171,$D171-($D171-$I$157)*MIN(M$3-$O$2,$Q$2)/$Q$2))</f>
        <v>6950.42540090671</v>
      </c>
      <c r="N171" s="15" t="n">
        <f aca="false">M171*(1+IF(N$3&lt;=$O$2,$D171,$D171-($D171-$I$157)*MIN(N$3-$O$2,$Q$2)/$Q$2))</f>
        <v>7216.62669376144</v>
      </c>
      <c r="O171" s="15" t="n">
        <f aca="false">SUMPRODUCT(E171:N171,1/(1+$F$157)^$E$3:$N$3)*$E$2</f>
        <v>6278.53589841758</v>
      </c>
      <c r="P171" s="15" t="n">
        <f aca="false">N171*$E$2*(1+$I$157)/($F$157-$I$157)/(1+$F$157)^$N$3</f>
        <v>11381.231058973</v>
      </c>
      <c r="Q171" s="15" t="n">
        <f aca="false">O171+P171</f>
        <v>17659.7669573906</v>
      </c>
      <c r="R171" s="15" t="n">
        <f aca="false">Q171-$G$2+$I$2</f>
        <v>12839.2669573906</v>
      </c>
      <c r="S171" s="42" t="n">
        <f aca="false">R171/$K$2</f>
        <v>67.0107878778215</v>
      </c>
      <c r="T171" s="43" t="n">
        <f aca="false">S171-$M$2</f>
        <v>0.0483661659216921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0.039794921875</v>
      </c>
      <c r="C172" s="25" t="n">
        <f aca="false">IF(T171&gt;0,D171,C171)</f>
        <v>0.03997802734375</v>
      </c>
      <c r="D172" s="41" t="n">
        <f aca="false">(B172+C172)/2</f>
        <v>0.039886474609375</v>
      </c>
      <c r="E172" s="15" t="n">
        <f aca="false">$C$2*(1+IF(E$3&lt;=$O$2,$D172,$D172-($D172-$I$157)*MIN(E$3-$O$2,$Q$2)/$Q$2))</f>
        <v>5095.44372558594</v>
      </c>
      <c r="F172" s="15" t="n">
        <f aca="false">E172*(1+IF(F$3&lt;=$O$2,$D172,$D172-($D172-$I$157)*MIN(F$3-$O$2,$Q$2)/$Q$2))</f>
        <v>5298.68301237002</v>
      </c>
      <c r="G172" s="15" t="n">
        <f aca="false">F172*(1+IF(G$3&lt;=$O$2,$D172,$D172-($D172-$I$157)*MIN(G$3-$O$2,$Q$2)/$Q$2))</f>
        <v>5510.02879780604</v>
      </c>
      <c r="H172" s="15" t="n">
        <f aca="false">G172*(1+IF(H$3&lt;=$O$2,$D172,$D172-($D172-$I$157)*MIN(H$3-$O$2,$Q$2)/$Q$2))</f>
        <v>5729.80442154666</v>
      </c>
      <c r="I172" s="15" t="n">
        <f aca="false">H172*(1+IF(I$3&lt;=$O$2,$D172,$D172-($D172-$I$157)*MIN(I$3-$O$2,$Q$2)/$Q$2))</f>
        <v>5958.34612012336</v>
      </c>
      <c r="J172" s="15" t="n">
        <f aca="false">I172*(1+IF(J$3&lt;=$O$2,$D172,$D172-($D172-$I$157)*MIN(J$3-$O$2,$Q$2)/$Q$2))</f>
        <v>6194.11298839084</v>
      </c>
      <c r="K172" s="15" t="n">
        <f aca="false">J172*(1+IF(K$3&lt;=$O$2,$D172,$D172-($D172-$I$157)*MIN(K$3-$O$2,$Q$2)/$Q$2))</f>
        <v>6437.24359763642</v>
      </c>
      <c r="L172" s="15" t="n">
        <f aca="false">K172*(1+IF(L$3&lt;=$O$2,$D172,$D172-($D172-$I$157)*MIN(L$3-$O$2,$Q$2)/$Q$2))</f>
        <v>6687.8750368347</v>
      </c>
      <c r="M172" s="15" t="n">
        <f aca="false">L172*(1+IF(M$3&lt;=$O$2,$D172,$D172-($D172-$I$157)*MIN(M$3-$O$2,$Q$2)/$Q$2))</f>
        <v>6946.14267953279</v>
      </c>
      <c r="N172" s="15" t="n">
        <f aca="false">M172*(1+IF(N$3&lt;=$O$2,$D172,$D172-($D172-$I$157)*MIN(N$3-$O$2,$Q$2)/$Q$2))</f>
        <v>7212.1799441589</v>
      </c>
      <c r="O172" s="15" t="n">
        <f aca="false">SUMPRODUCT(E172:N172,1/(1+$F$157)^$E$3:$N$3)*$E$2</f>
        <v>6276.0218629828</v>
      </c>
      <c r="P172" s="15" t="n">
        <f aca="false">N172*$E$2*(1+$I$157)/($F$157-$I$157)/(1+$F$157)^$N$3</f>
        <v>11374.2181585092</v>
      </c>
      <c r="Q172" s="15" t="n">
        <f aca="false">O172+P172</f>
        <v>17650.240021492</v>
      </c>
      <c r="R172" s="15" t="n">
        <f aca="false">Q172-$G$2+$I$2</f>
        <v>12829.740021492</v>
      </c>
      <c r="S172" s="42" t="n">
        <f aca="false">R172/$K$2</f>
        <v>66.961064830334</v>
      </c>
      <c r="T172" s="43" t="n">
        <f aca="false">S172-$M$2</f>
        <v>-0.00135688156575497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0.039886474609375</v>
      </c>
      <c r="C173" s="25" t="n">
        <f aca="false">IF(T172&gt;0,D172,C172)</f>
        <v>0.03997802734375</v>
      </c>
      <c r="D173" s="41" t="n">
        <f aca="false">(B173+C173)/2</f>
        <v>0.0399322509765625</v>
      </c>
      <c r="E173" s="15" t="n">
        <f aca="false">$C$2*(1+IF(E$3&lt;=$O$2,$D173,$D173-($D173-$I$157)*MIN(E$3-$O$2,$Q$2)/$Q$2))</f>
        <v>5095.66802978516</v>
      </c>
      <c r="F173" s="15" t="n">
        <f aca="false">E173*(1+IF(F$3&lt;=$O$2,$D173,$D173-($D173-$I$157)*MIN(F$3-$O$2,$Q$2)/$Q$2))</f>
        <v>5299.14952444378</v>
      </c>
      <c r="G173" s="15" t="n">
        <f aca="false">F173*(1+IF(G$3&lt;=$O$2,$D173,$D173-($D173-$I$157)*MIN(G$3-$O$2,$Q$2)/$Q$2))</f>
        <v>5510.7564932162</v>
      </c>
      <c r="H173" s="15" t="n">
        <f aca="false">G173*(1+IF(H$3&lt;=$O$2,$D173,$D173-($D173-$I$157)*MIN(H$3-$O$2,$Q$2)/$Q$2))</f>
        <v>5730.81340457404</v>
      </c>
      <c r="I173" s="15" t="n">
        <f aca="false">H173*(1+IF(I$3&lt;=$O$2,$D173,$D173-($D173-$I$157)*MIN(I$3-$O$2,$Q$2)/$Q$2))</f>
        <v>5959.65768374533</v>
      </c>
      <c r="J173" s="15" t="n">
        <f aca="false">I173*(1+IF(J$3&lt;=$O$2,$D173,$D173-($D173-$I$157)*MIN(J$3-$O$2,$Q$2)/$Q$2))</f>
        <v>6195.6946986922</v>
      </c>
      <c r="K173" s="15" t="n">
        <f aca="false">J173*(1+IF(K$3&lt;=$O$2,$D173,$D173-($D173-$I$157)*MIN(K$3-$O$2,$Q$2)/$Q$2))</f>
        <v>6439.05756288556</v>
      </c>
      <c r="L173" s="15" t="n">
        <f aca="false">K173*(1+IF(L$3&lt;=$O$2,$D173,$D173-($D173-$I$157)*MIN(L$3-$O$2,$Q$2)/$Q$2))</f>
        <v>6689.87753074215</v>
      </c>
      <c r="M173" s="15" t="n">
        <f aca="false">L173*(1+IF(M$3&lt;=$O$2,$D173,$D173-($D173-$I$157)*MIN(M$3-$O$2,$Q$2)/$Q$2))</f>
        <v>6948.2837519961</v>
      </c>
      <c r="N173" s="15" t="n">
        <f aca="false">M173*(1+IF(N$3&lt;=$O$2,$D173,$D173-($D173-$I$157)*MIN(N$3-$O$2,$Q$2)/$Q$2))</f>
        <v>7214.40301969755</v>
      </c>
      <c r="O173" s="15" t="n">
        <f aca="false">SUMPRODUCT(E173:N173,1/(1+$F$157)^$E$3:$N$3)*$E$2</f>
        <v>6277.27875359973</v>
      </c>
      <c r="P173" s="15" t="n">
        <f aca="false">N173*$E$2*(1+$I$157)/($F$157-$I$157)/(1+$F$157)^$N$3</f>
        <v>11377.7241367786</v>
      </c>
      <c r="Q173" s="15" t="n">
        <f aca="false">O173+P173</f>
        <v>17655.0028903784</v>
      </c>
      <c r="R173" s="15" t="n">
        <f aca="false">Q173-$G$2+$I$2</f>
        <v>12834.5028903784</v>
      </c>
      <c r="S173" s="42" t="n">
        <f aca="false">R173/$K$2</f>
        <v>66.9859232274444</v>
      </c>
      <c r="T173" s="43" t="n">
        <f aca="false">S173-$M$2</f>
        <v>0.0235015155446234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0.039886474609375</v>
      </c>
      <c r="C174" s="25" t="n">
        <f aca="false">IF(T173&gt;0,D173,C173)</f>
        <v>0.0399322509765625</v>
      </c>
      <c r="D174" s="41" t="n">
        <f aca="false">(B174+C174)/2</f>
        <v>0.0399093627929688</v>
      </c>
      <c r="E174" s="15" t="n">
        <f aca="false">$C$2*(1+IF(E$3&lt;=$O$2,$D174,$D174-($D174-$I$157)*MIN(E$3-$O$2,$Q$2)/$Q$2))</f>
        <v>5095.55587768555</v>
      </c>
      <c r="F174" s="15" t="n">
        <f aca="false">E174*(1+IF(F$3&lt;=$O$2,$D174,$D174-($D174-$I$157)*MIN(F$3-$O$2,$Q$2)/$Q$2))</f>
        <v>5298.91626583994</v>
      </c>
      <c r="G174" s="15" t="n">
        <f aca="false">F174*(1+IF(G$3&lt;=$O$2,$D174,$D174-($D174-$I$157)*MIN(G$3-$O$2,$Q$2)/$Q$2))</f>
        <v>5510.39263750291</v>
      </c>
      <c r="H174" s="15" t="n">
        <f aca="false">G174*(1+IF(H$3&lt;=$O$2,$D174,$D174-($D174-$I$157)*MIN(H$3-$O$2,$Q$2)/$Q$2))</f>
        <v>5730.30889640472</v>
      </c>
      <c r="I174" s="15" t="n">
        <f aca="false">H174*(1+IF(I$3&lt;=$O$2,$D174,$D174-($D174-$I$157)*MIN(I$3-$O$2,$Q$2)/$Q$2))</f>
        <v>5959.00187306711</v>
      </c>
      <c r="J174" s="15" t="n">
        <f aca="false">I174*(1+IF(J$3&lt;=$O$2,$D174,$D174-($D174-$I$157)*MIN(J$3-$O$2,$Q$2)/$Q$2))</f>
        <v>6194.90380152378</v>
      </c>
      <c r="K174" s="15" t="n">
        <f aca="false">J174*(1+IF(K$3&lt;=$O$2,$D174,$D174-($D174-$I$157)*MIN(K$3-$O$2,$Q$2)/$Q$2))</f>
        <v>6438.15052573266</v>
      </c>
      <c r="L174" s="15" t="n">
        <f aca="false">K174*(1+IF(L$3&lt;=$O$2,$D174,$D174-($D174-$I$157)*MIN(L$3-$O$2,$Q$2)/$Q$2))</f>
        <v>6688.87621883288</v>
      </c>
      <c r="M174" s="15" t="n">
        <f aca="false">L174*(1+IF(M$3&lt;=$O$2,$D174,$D174-($D174-$I$157)*MIN(M$3-$O$2,$Q$2)/$Q$2))</f>
        <v>6947.21314371685</v>
      </c>
      <c r="N174" s="15" t="n">
        <f aca="false">M174*(1+IF(N$3&lt;=$O$2,$D174,$D174-($D174-$I$157)*MIN(N$3-$O$2,$Q$2)/$Q$2))</f>
        <v>7213.2914071212</v>
      </c>
      <c r="O174" s="15" t="n">
        <f aca="false">SUMPRODUCT(E174:N174,1/(1+$F$157)^$E$3:$N$3)*$E$2</f>
        <v>6276.65027651916</v>
      </c>
      <c r="P174" s="15" t="n">
        <f aca="false">N174*$E$2*(1+$I$157)/($F$157-$I$157)/(1+$F$157)^$N$3</f>
        <v>11375.9710296669</v>
      </c>
      <c r="Q174" s="15" t="n">
        <f aca="false">O174+P174</f>
        <v>17652.6213061861</v>
      </c>
      <c r="R174" s="15" t="n">
        <f aca="false">Q174-$G$2+$I$2</f>
        <v>12832.1213061861</v>
      </c>
      <c r="S174" s="42" t="n">
        <f aca="false">R174/$K$2</f>
        <v>66.9734932473177</v>
      </c>
      <c r="T174" s="43" t="n">
        <f aca="false">S174-$M$2</f>
        <v>0.0110715354178978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0.039886474609375</v>
      </c>
      <c r="C175" s="25" t="n">
        <f aca="false">IF(T174&gt;0,D174,C174)</f>
        <v>0.0399093627929688</v>
      </c>
      <c r="D175" s="41" t="n">
        <f aca="false">(B175+C175)/2</f>
        <v>0.0398979187011719</v>
      </c>
      <c r="E175" s="15" t="n">
        <f aca="false">$C$2*(1+IF(E$3&lt;=$O$2,$D175,$D175-($D175-$I$157)*MIN(E$3-$O$2,$Q$2)/$Q$2))</f>
        <v>5095.49980163574</v>
      </c>
      <c r="F175" s="15" t="n">
        <f aca="false">E175*(1+IF(F$3&lt;=$O$2,$D175,$D175-($D175-$I$157)*MIN(F$3-$O$2,$Q$2)/$Q$2))</f>
        <v>5298.79963846324</v>
      </c>
      <c r="G175" s="15" t="n">
        <f aca="false">F175*(1+IF(G$3&lt;=$O$2,$D175,$D175-($D175-$I$157)*MIN(G$3-$O$2,$Q$2)/$Q$2))</f>
        <v>5510.21071565245</v>
      </c>
      <c r="H175" s="15" t="n">
        <f aca="false">G175*(1+IF(H$3&lt;=$O$2,$D175,$D175-($D175-$I$157)*MIN(H$3-$O$2,$Q$2)/$Q$2))</f>
        <v>5730.05665481188</v>
      </c>
      <c r="I175" s="15" t="n">
        <f aca="false">H175*(1+IF(I$3&lt;=$O$2,$D175,$D175-($D175-$I$157)*MIN(I$3-$O$2,$Q$2)/$Q$2))</f>
        <v>5958.67398937867</v>
      </c>
      <c r="J175" s="15" t="n">
        <f aca="false">I175*(1+IF(J$3&lt;=$O$2,$D175,$D175-($D175-$I$157)*MIN(J$3-$O$2,$Q$2)/$Q$2))</f>
        <v>6194.50838445332</v>
      </c>
      <c r="K175" s="15" t="n">
        <f aca="false">J175*(1+IF(K$3&lt;=$O$2,$D175,$D175-($D175-$I$157)*MIN(K$3-$O$2,$Q$2)/$Q$2))</f>
        <v>6437.69704805314</v>
      </c>
      <c r="L175" s="15" t="n">
        <f aca="false">K175*(1+IF(L$3&lt;=$O$2,$D175,$D175-($D175-$I$157)*MIN(L$3-$O$2,$Q$2)/$Q$2))</f>
        <v>6688.3756115958</v>
      </c>
      <c r="M175" s="15" t="n">
        <f aca="false">L175*(1+IF(M$3&lt;=$O$2,$D175,$D175-($D175-$I$157)*MIN(M$3-$O$2,$Q$2)/$Q$2))</f>
        <v>6946.67789361396</v>
      </c>
      <c r="N175" s="15" t="n">
        <f aca="false">M175*(1+IF(N$3&lt;=$O$2,$D175,$D175-($D175-$I$157)*MIN(N$3-$O$2,$Q$2)/$Q$2))</f>
        <v>7212.73565693938</v>
      </c>
      <c r="O175" s="15" t="n">
        <f aca="false">SUMPRODUCT(E175:N175,1/(1+$F$157)^$E$3:$N$3)*$E$2</f>
        <v>6276.33606180833</v>
      </c>
      <c r="P175" s="15" t="n">
        <f aca="false">N175*$E$2*(1+$I$157)/($F$157-$I$157)/(1+$F$157)^$N$3</f>
        <v>11375.0945645955</v>
      </c>
      <c r="Q175" s="15" t="n">
        <f aca="false">O175+P175</f>
        <v>17651.4306264038</v>
      </c>
      <c r="R175" s="15" t="n">
        <f aca="false">Q175-$G$2+$I$2</f>
        <v>12830.9306264038</v>
      </c>
      <c r="S175" s="42" t="n">
        <f aca="false">R175/$K$2</f>
        <v>66.9672788434438</v>
      </c>
      <c r="T175" s="43" t="n">
        <f aca="false">S175-$M$2</f>
        <v>0.00485713154402845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0.039886474609375</v>
      </c>
      <c r="C176" s="25" t="n">
        <f aca="false">IF(T175&gt;0,D175,C175)</f>
        <v>0.0398979187011719</v>
      </c>
      <c r="D176" s="41" t="n">
        <f aca="false">(B176+C176)/2</f>
        <v>0.0398921966552734</v>
      </c>
      <c r="E176" s="15" t="n">
        <f aca="false">$C$2*(1+IF(E$3&lt;=$O$2,$D176,$D176-($D176-$I$157)*MIN(E$3-$O$2,$Q$2)/$Q$2))</f>
        <v>5095.47176361084</v>
      </c>
      <c r="F176" s="15" t="n">
        <f aca="false">E176*(1+IF(F$3&lt;=$O$2,$D176,$D176-($D176-$I$157)*MIN(F$3-$O$2,$Q$2)/$Q$2))</f>
        <v>5298.7413252562</v>
      </c>
      <c r="G176" s="15" t="n">
        <f aca="false">F176*(1+IF(G$3&lt;=$O$2,$D176,$D176-($D176-$I$157)*MIN(G$3-$O$2,$Q$2)/$Q$2))</f>
        <v>5510.11975622874</v>
      </c>
      <c r="H176" s="15" t="n">
        <f aca="false">G176*(1+IF(H$3&lt;=$O$2,$D176,$D176-($D176-$I$157)*MIN(H$3-$O$2,$Q$2)/$Q$2))</f>
        <v>5729.93053713833</v>
      </c>
      <c r="I176" s="15" t="n">
        <f aca="false">H176*(1+IF(I$3&lt;=$O$2,$D176,$D176-($D176-$I$157)*MIN(I$3-$O$2,$Q$2)/$Q$2))</f>
        <v>5958.5100529469</v>
      </c>
      <c r="J176" s="15" t="n">
        <f aca="false">I176*(1+IF(J$3&lt;=$O$2,$D176,$D176-($D176-$I$157)*MIN(J$3-$O$2,$Q$2)/$Q$2))</f>
        <v>6194.31068379614</v>
      </c>
      <c r="K176" s="15" t="n">
        <f aca="false">J176*(1+IF(K$3&lt;=$O$2,$D176,$D176-($D176-$I$157)*MIN(K$3-$O$2,$Q$2)/$Q$2))</f>
        <v>6437.47031943701</v>
      </c>
      <c r="L176" s="15" t="n">
        <f aca="false">K176*(1+IF(L$3&lt;=$O$2,$D176,$D176-($D176-$I$157)*MIN(L$3-$O$2,$Q$2)/$Q$2))</f>
        <v>6688.12532015586</v>
      </c>
      <c r="M176" s="15" t="n">
        <f aca="false">L176*(1+IF(M$3&lt;=$O$2,$D176,$D176-($D176-$I$157)*MIN(M$3-$O$2,$Q$2)/$Q$2))</f>
        <v>6946.41028207079</v>
      </c>
      <c r="N176" s="15" t="n">
        <f aca="false">M176*(1+IF(N$3&lt;=$O$2,$D176,$D176-($D176-$I$157)*MIN(N$3-$O$2,$Q$2)/$Q$2))</f>
        <v>7212.45779587411</v>
      </c>
      <c r="O176" s="15" t="n">
        <f aca="false">SUMPRODUCT(E176:N176,1/(1+$F$157)^$E$3:$N$3)*$E$2</f>
        <v>6276.17896040995</v>
      </c>
      <c r="P176" s="15" t="n">
        <f aca="false">N176*$E$2*(1+$I$157)/($F$157-$I$157)/(1+$F$157)^$N$3</f>
        <v>11374.6563541794</v>
      </c>
      <c r="Q176" s="15" t="n">
        <f aca="false">O176+P176</f>
        <v>17650.8353145894</v>
      </c>
      <c r="R176" s="15" t="n">
        <f aca="false">Q176-$G$2+$I$2</f>
        <v>12830.3353145894</v>
      </c>
      <c r="S176" s="42" t="n">
        <f aca="false">R176/$K$2</f>
        <v>66.9641717880448</v>
      </c>
      <c r="T176" s="43" t="n">
        <f aca="false">S176-$M$2</f>
        <v>0.00175007614500089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0.039886474609375</v>
      </c>
      <c r="C177" s="25" t="n">
        <f aca="false">IF(T176&gt;0,D176,C176)</f>
        <v>0.0398921966552734</v>
      </c>
      <c r="D177" s="41" t="n">
        <f aca="false">(B177+C177)/2</f>
        <v>0.0398893356323242</v>
      </c>
      <c r="E177" s="15" t="n">
        <f aca="false">$C$2*(1+IF(E$3&lt;=$O$2,$D177,$D177-($D177-$I$157)*MIN(E$3-$O$2,$Q$2)/$Q$2))</f>
        <v>5095.45774459839</v>
      </c>
      <c r="F177" s="15" t="n">
        <f aca="false">E177*(1+IF(F$3&lt;=$O$2,$D177,$D177-($D177-$I$157)*MIN(F$3-$O$2,$Q$2)/$Q$2))</f>
        <v>5298.712168773</v>
      </c>
      <c r="G177" s="15" t="n">
        <f aca="false">F177*(1+IF(G$3&lt;=$O$2,$D177,$D177-($D177-$I$157)*MIN(G$3-$O$2,$Q$2)/$Q$2))</f>
        <v>5510.07427689227</v>
      </c>
      <c r="H177" s="15" t="n">
        <f aca="false">G177*(1+IF(H$3&lt;=$O$2,$D177,$D177-($D177-$I$157)*MIN(H$3-$O$2,$Q$2)/$Q$2))</f>
        <v>5729.86747908226</v>
      </c>
      <c r="I177" s="15" t="n">
        <f aca="false">H177*(1+IF(I$3&lt;=$O$2,$D177,$D177-($D177-$I$157)*MIN(I$3-$O$2,$Q$2)/$Q$2))</f>
        <v>5958.42808608411</v>
      </c>
      <c r="J177" s="15" t="n">
        <f aca="false">I177*(1+IF(J$3&lt;=$O$2,$D177,$D177-($D177-$I$157)*MIN(J$3-$O$2,$Q$2)/$Q$2))</f>
        <v>6194.21183543702</v>
      </c>
      <c r="K177" s="15" t="n">
        <f aca="false">J177*(1+IF(K$3&lt;=$O$2,$D177,$D177-($D177-$I$157)*MIN(K$3-$O$2,$Q$2)/$Q$2))</f>
        <v>6437.35695768479</v>
      </c>
      <c r="L177" s="15" t="n">
        <f aca="false">K177*(1+IF(L$3&lt;=$O$2,$D177,$D177-($D177-$I$157)*MIN(L$3-$O$2,$Q$2)/$Q$2))</f>
        <v>6688.00017748045</v>
      </c>
      <c r="M177" s="15" t="n">
        <f aca="false">L177*(1+IF(M$3&lt;=$O$2,$D177,$D177-($D177-$I$157)*MIN(M$3-$O$2,$Q$2)/$Q$2))</f>
        <v>6946.27647967616</v>
      </c>
      <c r="N177" s="15" t="n">
        <f aca="false">M177*(1+IF(N$3&lt;=$O$2,$D177,$D177-($D177-$I$157)*MIN(N$3-$O$2,$Q$2)/$Q$2))</f>
        <v>7212.31886884776</v>
      </c>
      <c r="O177" s="15" t="n">
        <f aca="false">SUMPRODUCT(E177:N177,1/(1+$F$157)^$E$3:$N$3)*$E$2</f>
        <v>6276.10041119998</v>
      </c>
      <c r="P177" s="15" t="n">
        <f aca="false">N177*$E$2*(1+$I$157)/($F$157-$I$157)/(1+$F$157)^$N$3</f>
        <v>11374.4372545011</v>
      </c>
      <c r="Q177" s="15" t="n">
        <f aca="false">O177+P177</f>
        <v>17650.5376657011</v>
      </c>
      <c r="R177" s="15" t="n">
        <f aca="false">Q177-$G$2+$I$2</f>
        <v>12830.0376657011</v>
      </c>
      <c r="S177" s="42" t="n">
        <f aca="false">R177/$K$2</f>
        <v>66.9626182969786</v>
      </c>
      <c r="T177" s="43" t="n">
        <f aca="false">S177-$M$2</f>
        <v>0.000196585078754197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0.039886474609375</v>
      </c>
      <c r="C178" s="25" t="n">
        <f aca="false">IF(T177&gt;0,D177,C177)</f>
        <v>0.0398893356323242</v>
      </c>
      <c r="D178" s="41" t="n">
        <f aca="false">(B178+C178)/2</f>
        <v>0.0398879051208496</v>
      </c>
      <c r="E178" s="15" t="n">
        <f aca="false">$C$2*(1+IF(E$3&lt;=$O$2,$D178,$D178-($D178-$I$157)*MIN(E$3-$O$2,$Q$2)/$Q$2))</f>
        <v>5095.45073509216</v>
      </c>
      <c r="F178" s="15" t="n">
        <f aca="false">E178*(1+IF(F$3&lt;=$O$2,$D178,$D178-($D178-$I$157)*MIN(F$3-$O$2,$Q$2)/$Q$2))</f>
        <v>5298.69759056148</v>
      </c>
      <c r="G178" s="15" t="n">
        <f aca="false">F178*(1+IF(G$3&lt;=$O$2,$D178,$D178-($D178-$I$157)*MIN(G$3-$O$2,$Q$2)/$Q$2))</f>
        <v>5510.05153731787</v>
      </c>
      <c r="H178" s="15" t="n">
        <f aca="false">G178*(1+IF(H$3&lt;=$O$2,$D178,$D178-($D178-$I$157)*MIN(H$3-$O$2,$Q$2)/$Q$2))</f>
        <v>5729.8359502494</v>
      </c>
      <c r="I178" s="15" t="n">
        <f aca="false">H178*(1+IF(I$3&lt;=$O$2,$D178,$D178-($D178-$I$157)*MIN(I$3-$O$2,$Q$2)/$Q$2))</f>
        <v>5958.38710299098</v>
      </c>
      <c r="J178" s="15" t="n">
        <f aca="false">I178*(1+IF(J$3&lt;=$O$2,$D178,$D178-($D178-$I$157)*MIN(J$3-$O$2,$Q$2)/$Q$2))</f>
        <v>6194.16241174981</v>
      </c>
      <c r="K178" s="15" t="n">
        <f aca="false">J178*(1+IF(K$3&lt;=$O$2,$D178,$D178-($D178-$I$157)*MIN(K$3-$O$2,$Q$2)/$Q$2))</f>
        <v>6437.30027744762</v>
      </c>
      <c r="L178" s="15" t="n">
        <f aca="false">K178*(1+IF(L$3&lt;=$O$2,$D178,$D178-($D178-$I$157)*MIN(L$3-$O$2,$Q$2)/$Q$2))</f>
        <v>6687.93760690387</v>
      </c>
      <c r="M178" s="15" t="n">
        <f aca="false">L178*(1+IF(M$3&lt;=$O$2,$D178,$D178-($D178-$I$157)*MIN(M$3-$O$2,$Q$2)/$Q$2))</f>
        <v>6946.20957932307</v>
      </c>
      <c r="N178" s="15" t="n">
        <f aca="false">M178*(1+IF(N$3&lt;=$O$2,$D178,$D178-($D178-$I$157)*MIN(N$3-$O$2,$Q$2)/$Q$2))</f>
        <v>7212.24940621115</v>
      </c>
      <c r="O178" s="15" t="n">
        <f aca="false">SUMPRODUCT(E178:N178,1/(1+$F$157)^$E$3:$N$3)*$E$2</f>
        <v>6276.06113696729</v>
      </c>
      <c r="P178" s="15" t="n">
        <f aca="false">N178*$E$2*(1+$I$157)/($F$157-$I$157)/(1+$F$157)^$N$3</f>
        <v>11374.3277060444</v>
      </c>
      <c r="Q178" s="15" t="n">
        <f aca="false">O178+P178</f>
        <v>17650.3888430117</v>
      </c>
      <c r="R178" s="15" t="n">
        <f aca="false">Q178-$G$2+$I$2</f>
        <v>12829.8888430117</v>
      </c>
      <c r="S178" s="42" t="n">
        <f aca="false">R178/$K$2</f>
        <v>66.9618415606036</v>
      </c>
      <c r="T178" s="43" t="n">
        <f aca="false">S178-$M$2</f>
        <v>-0.000580151296190934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0.0398879051208496</v>
      </c>
      <c r="C179" s="25" t="n">
        <f aca="false">IF(T178&gt;0,D178,C178)</f>
        <v>0.0398893356323242</v>
      </c>
      <c r="D179" s="41" t="n">
        <f aca="false">(B179+C179)/2</f>
        <v>0.0398886203765869</v>
      </c>
      <c r="E179" s="15" t="n">
        <f aca="false">$C$2*(1+IF(E$3&lt;=$O$2,$D179,$D179-($D179-$I$157)*MIN(E$3-$O$2,$Q$2)/$Q$2))</f>
        <v>5095.45423984528</v>
      </c>
      <c r="F179" s="15" t="n">
        <f aca="false">E179*(1+IF(F$3&lt;=$O$2,$D179,$D179-($D179-$I$157)*MIN(F$3-$O$2,$Q$2)/$Q$2))</f>
        <v>5298.70487966473</v>
      </c>
      <c r="G179" s="15" t="n">
        <f aca="false">F179*(1+IF(G$3&lt;=$O$2,$D179,$D179-($D179-$I$157)*MIN(G$3-$O$2,$Q$2)/$Q$2))</f>
        <v>5510.06290709725</v>
      </c>
      <c r="H179" s="15" t="n">
        <f aca="false">G179*(1+IF(H$3&lt;=$O$2,$D179,$D179-($D179-$I$157)*MIN(H$3-$O$2,$Q$2)/$Q$2))</f>
        <v>5729.85171464956</v>
      </c>
      <c r="I179" s="15" t="n">
        <f aca="false">H179*(1+IF(I$3&lt;=$O$2,$D179,$D179-($D179-$I$157)*MIN(I$3-$O$2,$Q$2)/$Q$2))</f>
        <v>5958.40759450936</v>
      </c>
      <c r="J179" s="15" t="n">
        <f aca="false">I179*(1+IF(J$3&lt;=$O$2,$D179,$D179-($D179-$I$157)*MIN(J$3-$O$2,$Q$2)/$Q$2))</f>
        <v>6194.18712355238</v>
      </c>
      <c r="K179" s="15" t="n">
        <f aca="false">J179*(1+IF(K$3&lt;=$O$2,$D179,$D179-($D179-$I$157)*MIN(K$3-$O$2,$Q$2)/$Q$2))</f>
        <v>6437.32861751296</v>
      </c>
      <c r="L179" s="15" t="n">
        <f aca="false">K179*(1+IF(L$3&lt;=$O$2,$D179,$D179-($D179-$I$157)*MIN(L$3-$O$2,$Q$2)/$Q$2))</f>
        <v>6687.96889212873</v>
      </c>
      <c r="M179" s="15" t="n">
        <f aca="false">L179*(1+IF(M$3&lt;=$O$2,$D179,$D179-($D179-$I$157)*MIN(M$3-$O$2,$Q$2)/$Q$2))</f>
        <v>6946.24302942927</v>
      </c>
      <c r="N179" s="15" t="n">
        <f aca="false">M179*(1+IF(N$3&lt;=$O$2,$D179,$D179-($D179-$I$157)*MIN(N$3-$O$2,$Q$2)/$Q$2))</f>
        <v>7212.28413745641</v>
      </c>
      <c r="O179" s="15" t="n">
        <f aca="false">SUMPRODUCT(E179:N179,1/(1+$F$157)^$E$3:$N$3)*$E$2</f>
        <v>6276.08077405261</v>
      </c>
      <c r="P179" s="15" t="n">
        <f aca="false">N179*$E$2*(1+$I$157)/($F$157-$I$157)/(1+$F$157)^$N$3</f>
        <v>11374.3824801575</v>
      </c>
      <c r="Q179" s="15" t="n">
        <f aca="false">O179+P179</f>
        <v>17650.4632542101</v>
      </c>
      <c r="R179" s="15" t="n">
        <f aca="false">Q179-$G$2+$I$2</f>
        <v>12829.9632542101</v>
      </c>
      <c r="S179" s="42" t="n">
        <f aca="false">R179/$K$2</f>
        <v>66.9622299280279</v>
      </c>
      <c r="T179" s="43" t="n">
        <f aca="false">S179-$M$2</f>
        <v>-0.000191783871912321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0.0398886203765869</v>
      </c>
      <c r="C180" s="25" t="n">
        <f aca="false">IF(T179&gt;0,D179,C179)</f>
        <v>0.0398893356323242</v>
      </c>
      <c r="D180" s="41" t="n">
        <f aca="false">(B180+C180)/2</f>
        <v>0.0398889780044556</v>
      </c>
      <c r="E180" s="15" t="n">
        <f aca="false">$C$2*(1+IF(E$3&lt;=$O$2,$D180,$D180-($D180-$I$157)*MIN(E$3-$O$2,$Q$2)/$Q$2))</f>
        <v>5095.45599222183</v>
      </c>
      <c r="F180" s="15" t="n">
        <f aca="false">E180*(1+IF(F$3&lt;=$O$2,$D180,$D180-($D180-$I$157)*MIN(F$3-$O$2,$Q$2)/$Q$2))</f>
        <v>5298.70852421824</v>
      </c>
      <c r="G180" s="15" t="n">
        <f aca="false">F180*(1+IF(G$3&lt;=$O$2,$D180,$D180-($D180-$I$157)*MIN(G$3-$O$2,$Q$2)/$Q$2))</f>
        <v>5510.0685919928</v>
      </c>
      <c r="H180" s="15" t="n">
        <f aca="false">G180*(1+IF(H$3&lt;=$O$2,$D180,$D180-($D180-$I$157)*MIN(H$3-$O$2,$Q$2)/$Q$2))</f>
        <v>5729.85959686185</v>
      </c>
      <c r="I180" s="15" t="n">
        <f aca="false">H180*(1+IF(I$3&lt;=$O$2,$D180,$D180-($D180-$I$157)*MIN(I$3-$O$2,$Q$2)/$Q$2))</f>
        <v>5958.41784028969</v>
      </c>
      <c r="J180" s="15" t="n">
        <f aca="false">I180*(1+IF(J$3&lt;=$O$2,$D180,$D180-($D180-$I$157)*MIN(J$3-$O$2,$Q$2)/$Q$2))</f>
        <v>6194.19947948444</v>
      </c>
      <c r="K180" s="15" t="n">
        <f aca="false">J180*(1+IF(K$3&lt;=$O$2,$D180,$D180-($D180-$I$157)*MIN(K$3-$O$2,$Q$2)/$Q$2))</f>
        <v>6437.34278758556</v>
      </c>
      <c r="L180" s="15" t="n">
        <f aca="false">K180*(1+IF(L$3&lt;=$O$2,$D180,$D180-($D180-$I$157)*MIN(L$3-$O$2,$Q$2)/$Q$2))</f>
        <v>6687.98453478874</v>
      </c>
      <c r="M180" s="15" t="n">
        <f aca="false">L180*(1+IF(M$3&lt;=$O$2,$D180,$D180-($D180-$I$157)*MIN(M$3-$O$2,$Q$2)/$Q$2))</f>
        <v>6946.25975453513</v>
      </c>
      <c r="N180" s="15" t="n">
        <f aca="false">M180*(1+IF(N$3&lt;=$O$2,$D180,$D180-($D180-$I$157)*MIN(N$3-$O$2,$Q$2)/$Q$2))</f>
        <v>7212.30150313382</v>
      </c>
      <c r="O180" s="15" t="n">
        <f aca="false">SUMPRODUCT(E180:N180,1/(1+$F$157)^$E$3:$N$3)*$E$2</f>
        <v>6276.09059261854</v>
      </c>
      <c r="P180" s="15" t="n">
        <f aca="false">N180*$E$2*(1+$I$157)/($F$157-$I$157)/(1+$F$157)^$N$3</f>
        <v>11374.4098673005</v>
      </c>
      <c r="Q180" s="15" t="n">
        <f aca="false">O180+P180</f>
        <v>17650.5004599191</v>
      </c>
      <c r="R180" s="15" t="n">
        <f aca="false">Q180-$G$2+$I$2</f>
        <v>12830.0004599191</v>
      </c>
      <c r="S180" s="42" t="n">
        <f aca="false">R180/$K$2</f>
        <v>66.9624241123125</v>
      </c>
      <c r="T180" s="43" t="n">
        <f aca="false">S180-$M$2</f>
        <v>2.40041265442414E-006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0.0398886203765869</v>
      </c>
      <c r="C181" s="25" t="n">
        <f aca="false">IF(T180&gt;0,D180,C180)</f>
        <v>0.0398889780044556</v>
      </c>
      <c r="D181" s="41" t="n">
        <f aca="false">(B181+C181)/2</f>
        <v>0.0398887991905212</v>
      </c>
      <c r="E181" s="15" t="n">
        <f aca="false">$C$2*(1+IF(E$3&lt;=$O$2,$D181,$D181-($D181-$I$157)*MIN(E$3-$O$2,$Q$2)/$Q$2))</f>
        <v>5095.45511603355</v>
      </c>
      <c r="F181" s="15" t="n">
        <f aca="false">E181*(1+IF(F$3&lt;=$O$2,$D181,$D181-($D181-$I$157)*MIN(F$3-$O$2,$Q$2)/$Q$2))</f>
        <v>5298.70670194133</v>
      </c>
      <c r="G181" s="15" t="n">
        <f aca="false">F181*(1+IF(G$3&lt;=$O$2,$D181,$D181-($D181-$I$157)*MIN(G$3-$O$2,$Q$2)/$Q$2))</f>
        <v>5510.06574954454</v>
      </c>
      <c r="H181" s="15" t="n">
        <f aca="false">G181*(1+IF(H$3&lt;=$O$2,$D181,$D181-($D181-$I$157)*MIN(H$3-$O$2,$Q$2)/$Q$2))</f>
        <v>5729.85565575469</v>
      </c>
      <c r="I181" s="15" t="n">
        <f aca="false">H181*(1+IF(I$3&lt;=$O$2,$D181,$D181-($D181-$I$157)*MIN(I$3-$O$2,$Q$2)/$Q$2))</f>
        <v>5958.41271739776</v>
      </c>
      <c r="J181" s="15" t="n">
        <f aca="false">I181*(1+IF(J$3&lt;=$O$2,$D181,$D181-($D181-$I$157)*MIN(J$3-$O$2,$Q$2)/$Q$2))</f>
        <v>6194.19330151585</v>
      </c>
      <c r="K181" s="15" t="n">
        <f aca="false">J181*(1+IF(K$3&lt;=$O$2,$D181,$D181-($D181-$I$157)*MIN(K$3-$O$2,$Q$2)/$Q$2))</f>
        <v>6437.33570254593</v>
      </c>
      <c r="L181" s="15" t="n">
        <f aca="false">K181*(1+IF(L$3&lt;=$O$2,$D181,$D181-($D181-$I$157)*MIN(L$3-$O$2,$Q$2)/$Q$2))</f>
        <v>6687.97671345477</v>
      </c>
      <c r="M181" s="15" t="n">
        <f aca="false">L181*(1+IF(M$3&lt;=$O$2,$D181,$D181-($D181-$I$157)*MIN(M$3-$O$2,$Q$2)/$Q$2))</f>
        <v>6946.2513919778</v>
      </c>
      <c r="N181" s="15" t="n">
        <f aca="false">M181*(1+IF(N$3&lt;=$O$2,$D181,$D181-($D181-$I$157)*MIN(N$3-$O$2,$Q$2)/$Q$2))</f>
        <v>7212.29282029055</v>
      </c>
      <c r="O181" s="15" t="n">
        <f aca="false">SUMPRODUCT(E181:N181,1/(1+$F$157)^$E$3:$N$3)*$E$2</f>
        <v>6276.08568333364</v>
      </c>
      <c r="P181" s="15" t="n">
        <f aca="false">N181*$E$2*(1+$I$157)/($F$157-$I$157)/(1+$F$157)^$N$3</f>
        <v>11374.3961737218</v>
      </c>
      <c r="Q181" s="15" t="n">
        <f aca="false">O181+P181</f>
        <v>17650.4818570555</v>
      </c>
      <c r="R181" s="15" t="n">
        <f aca="false">Q181-$G$2+$I$2</f>
        <v>12829.9818570555</v>
      </c>
      <c r="S181" s="42" t="n">
        <f aca="false">R181/$K$2</f>
        <v>66.9623270201225</v>
      </c>
      <c r="T181" s="43" t="n">
        <f aca="false">S181-$M$2</f>
        <v>-9.46917773347877E-005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0.0398887991905212</v>
      </c>
      <c r="C182" s="25" t="n">
        <f aca="false">IF(T181&gt;0,D181,C181)</f>
        <v>0.0398889780044556</v>
      </c>
      <c r="D182" s="41" t="n">
        <f aca="false">(B182+C182)/2</f>
        <v>0.0398888885974884</v>
      </c>
      <c r="E182" s="15" t="n">
        <f aca="false">$C$2*(1+IF(E$3&lt;=$O$2,$D182,$D182-($D182-$I$157)*MIN(E$3-$O$2,$Q$2)/$Q$2))</f>
        <v>5095.45555412769</v>
      </c>
      <c r="F182" s="15" t="n">
        <f aca="false">E182*(1+IF(F$3&lt;=$O$2,$D182,$D182-($D182-$I$157)*MIN(F$3-$O$2,$Q$2)/$Q$2))</f>
        <v>5298.70761307975</v>
      </c>
      <c r="G182" s="15" t="n">
        <f aca="false">F182*(1+IF(G$3&lt;=$O$2,$D182,$D182-($D182-$I$157)*MIN(G$3-$O$2,$Q$2)/$Q$2))</f>
        <v>5510.06717076855</v>
      </c>
      <c r="H182" s="15" t="n">
        <f aca="false">G182*(1+IF(H$3&lt;=$O$2,$D182,$D182-($D182-$I$157)*MIN(H$3-$O$2,$Q$2)/$Q$2))</f>
        <v>5729.85762630801</v>
      </c>
      <c r="I182" s="15" t="n">
        <f aca="false">H182*(1+IF(I$3&lt;=$O$2,$D182,$D182-($D182-$I$157)*MIN(I$3-$O$2,$Q$2)/$Q$2))</f>
        <v>5958.41527884328</v>
      </c>
      <c r="J182" s="15" t="n">
        <f aca="false">I182*(1+IF(J$3&lt;=$O$2,$D182,$D182-($D182-$I$157)*MIN(J$3-$O$2,$Q$2)/$Q$2))</f>
        <v>6194.19639049951</v>
      </c>
      <c r="K182" s="15" t="n">
        <f aca="false">J182*(1+IF(K$3&lt;=$O$2,$D182,$D182-($D182-$I$157)*MIN(K$3-$O$2,$Q$2)/$Q$2))</f>
        <v>6437.33924506492</v>
      </c>
      <c r="L182" s="15" t="n">
        <f aca="false">K182*(1+IF(L$3&lt;=$O$2,$D182,$D182-($D182-$I$157)*MIN(L$3-$O$2,$Q$2)/$Q$2))</f>
        <v>6687.98062412076</v>
      </c>
      <c r="M182" s="15" t="n">
        <f aca="false">L182*(1+IF(M$3&lt;=$O$2,$D182,$D182-($D182-$I$157)*MIN(M$3-$O$2,$Q$2)/$Q$2))</f>
        <v>6946.25557325537</v>
      </c>
      <c r="N182" s="15" t="n">
        <f aca="false">M182*(1+IF(N$3&lt;=$O$2,$D182,$D182-($D182-$I$157)*MIN(N$3-$O$2,$Q$2)/$Q$2))</f>
        <v>7212.29716171105</v>
      </c>
      <c r="O182" s="15" t="n">
        <f aca="false">SUMPRODUCT(E182:N182,1/(1+$F$157)^$E$3:$N$3)*$E$2</f>
        <v>6276.0881379756</v>
      </c>
      <c r="P182" s="15" t="n">
        <f aca="false">N182*$E$2*(1+$I$157)/($F$157-$I$157)/(1+$F$157)^$N$3</f>
        <v>11374.4030205094</v>
      </c>
      <c r="Q182" s="15" t="n">
        <f aca="false">O182+P182</f>
        <v>17650.491158485</v>
      </c>
      <c r="R182" s="15" t="n">
        <f aca="false">Q182-$G$2+$I$2</f>
        <v>12829.991158485</v>
      </c>
      <c r="S182" s="42" t="n">
        <f aca="false">R182/$K$2</f>
        <v>66.9623755662055</v>
      </c>
      <c r="T182" s="43" t="n">
        <f aca="false">S182-$M$2</f>
        <v>-4.61456942559835E-005</v>
      </c>
    </row>
    <row r="184" customFormat="false" ht="15" hidden="false" customHeight="false" outlineLevel="0" collapsed="false">
      <c r="A184" s="38" t="s">
        <v>178</v>
      </c>
      <c r="E184" s="5" t="s">
        <v>11</v>
      </c>
      <c r="F184" s="12" t="n">
        <f aca="false">Sensitivity!$B$11</f>
        <v>0.0900848977416375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153</v>
      </c>
      <c r="B185" s="28" t="s">
        <v>154</v>
      </c>
      <c r="C185" s="28" t="s">
        <v>155</v>
      </c>
      <c r="D185" s="28" t="s">
        <v>156</v>
      </c>
      <c r="E185" s="28" t="s">
        <v>157</v>
      </c>
      <c r="F185" s="28" t="s">
        <v>158</v>
      </c>
      <c r="G185" s="28" t="s">
        <v>159</v>
      </c>
      <c r="H185" s="28" t="s">
        <v>160</v>
      </c>
      <c r="I185" s="28" t="s">
        <v>161</v>
      </c>
      <c r="J185" s="28" t="s">
        <v>162</v>
      </c>
      <c r="K185" s="28" t="s">
        <v>163</v>
      </c>
      <c r="L185" s="28" t="s">
        <v>164</v>
      </c>
      <c r="M185" s="28" t="s">
        <v>165</v>
      </c>
      <c r="N185" s="28" t="s">
        <v>166</v>
      </c>
      <c r="O185" s="28" t="s">
        <v>167</v>
      </c>
      <c r="P185" s="28" t="s">
        <v>168</v>
      </c>
      <c r="Q185" s="28" t="s">
        <v>169</v>
      </c>
      <c r="R185" s="28" t="s">
        <v>170</v>
      </c>
      <c r="S185" s="28" t="s">
        <v>171</v>
      </c>
      <c r="T185" s="28" t="s">
        <v>172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6125</v>
      </c>
      <c r="F186" s="15" t="n">
        <f aca="false">E186*(1+IF(F$3&lt;=$O$2,$D186,$D186-($D186-$I$184)*MIN(F$3-$O$2,$Q$2)/$Q$2))</f>
        <v>7656.25</v>
      </c>
      <c r="G186" s="15" t="n">
        <f aca="false">F186*(1+IF(G$3&lt;=$O$2,$D186,$D186-($D186-$I$184)*MIN(G$3-$O$2,$Q$2)/$Q$2))</f>
        <v>9570.3125</v>
      </c>
      <c r="H186" s="15" t="n">
        <f aca="false">G186*(1+IF(H$3&lt;=$O$2,$D186,$D186-($D186-$I$184)*MIN(H$3-$O$2,$Q$2)/$Q$2))</f>
        <v>11962.890625</v>
      </c>
      <c r="I186" s="15" t="n">
        <f aca="false">H186*(1+IF(I$3&lt;=$O$2,$D186,$D186-($D186-$I$184)*MIN(I$3-$O$2,$Q$2)/$Q$2))</f>
        <v>14953.61328125</v>
      </c>
      <c r="J186" s="15" t="n">
        <f aca="false">I186*(1+IF(J$3&lt;=$O$2,$D186,$D186-($D186-$I$184)*MIN(J$3-$O$2,$Q$2)/$Q$2))</f>
        <v>17999.0661621094</v>
      </c>
      <c r="K186" s="15" t="n">
        <f aca="false">J186*(1+IF(K$3&lt;=$O$2,$D186,$D186-($D186-$I$184)*MIN(K$3-$O$2,$Q$2)/$Q$2))</f>
        <v>20830.6792507324</v>
      </c>
      <c r="L186" s="15" t="n">
        <f aca="false">K186*(1+IF(L$3&lt;=$O$2,$D186,$D186-($D186-$I$184)*MIN(L$3-$O$2,$Q$2)/$Q$2))</f>
        <v>23142.4680339787</v>
      </c>
      <c r="M186" s="15" t="n">
        <f aca="false">L186*(1+IF(M$3&lt;=$O$2,$D186,$D186-($D186-$I$184)*MIN(M$3-$O$2,$Q$2)/$Q$2))</f>
        <v>24638.3971676951</v>
      </c>
      <c r="N186" s="15" t="n">
        <f aca="false">M186*(1+IF(N$3&lt;=$O$2,$D186,$D186-($D186-$I$184)*MIN(N$3-$O$2,$Q$2)/$Q$2))</f>
        <v>25089.2798358639</v>
      </c>
      <c r="O186" s="15" t="n">
        <f aca="false">SUMPRODUCT(E186:N186,1/(1+$F$184)^$E$3:$N$3)*$E$2</f>
        <v>15000.130277398</v>
      </c>
      <c r="P186" s="15" t="n">
        <f aca="false">N186*$E$2*(1+$I$184)/($F$184-$I$184)/(1+$F$184)^$N$3</f>
        <v>24154.7554449966</v>
      </c>
      <c r="Q186" s="15" t="n">
        <f aca="false">O186+P186</f>
        <v>39154.8857223946</v>
      </c>
      <c r="R186" s="15" t="n">
        <f aca="false">Q186-$G$2+$I$2</f>
        <v>34334.3857223946</v>
      </c>
      <c r="S186" s="42" t="n">
        <f aca="false">R186/$K$2</f>
        <v>179.198255336089</v>
      </c>
      <c r="T186" s="43" t="n">
        <f aca="false">S186-$M$2</f>
        <v>112.235833624189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4287.5</v>
      </c>
      <c r="F187" s="15" t="n">
        <f aca="false">E187*(1+IF(F$3&lt;=$O$2,$D187,$D187-($D187-$I$184)*MIN(F$3-$O$2,$Q$2)/$Q$2))</f>
        <v>3751.5625</v>
      </c>
      <c r="G187" s="15" t="n">
        <f aca="false">F187*(1+IF(G$3&lt;=$O$2,$D187,$D187-($D187-$I$184)*MIN(G$3-$O$2,$Q$2)/$Q$2))</f>
        <v>3282.6171875</v>
      </c>
      <c r="H187" s="15" t="n">
        <f aca="false">G187*(1+IF(H$3&lt;=$O$2,$D187,$D187-($D187-$I$184)*MIN(H$3-$O$2,$Q$2)/$Q$2))</f>
        <v>2872.2900390625</v>
      </c>
      <c r="I187" s="15" t="n">
        <f aca="false">H187*(1+IF(I$3&lt;=$O$2,$D187,$D187-($D187-$I$184)*MIN(I$3-$O$2,$Q$2)/$Q$2))</f>
        <v>2513.25378417969</v>
      </c>
      <c r="J187" s="15" t="n">
        <f aca="false">I187*(1+IF(J$3&lt;=$O$2,$D187,$D187-($D187-$I$184)*MIN(J$3-$O$2,$Q$2)/$Q$2))</f>
        <v>2271.12691461182</v>
      </c>
      <c r="K187" s="15" t="n">
        <f aca="false">J187*(1+IF(K$3&lt;=$O$2,$D187,$D187-($D187-$I$184)*MIN(K$3-$O$2,$Q$2)/$Q$2))</f>
        <v>2117.41704503089</v>
      </c>
      <c r="L187" s="15" t="n">
        <f aca="false">K187*(1+IF(L$3&lt;=$O$2,$D187,$D187-($D187-$I$184)*MIN(L$3-$O$2,$Q$2)/$Q$2))</f>
        <v>2034.79543193378</v>
      </c>
      <c r="M187" s="15" t="n">
        <f aca="false">L187*(1+IF(M$3&lt;=$O$2,$D187,$D187-($D187-$I$184)*MIN(M$3-$O$2,$Q$2)/$Q$2))</f>
        <v>2013.71495125895</v>
      </c>
      <c r="N187" s="15" t="n">
        <f aca="false">M187*(1+IF(N$3&lt;=$O$2,$D187,$D187-($D187-$I$184)*MIN(N$3-$O$2,$Q$2)/$Q$2))</f>
        <v>2050.56593486699</v>
      </c>
      <c r="O187" s="15" t="n">
        <f aca="false">SUMPRODUCT(E187:N187,1/(1+$F$184)^$E$3:$N$3)*$E$2</f>
        <v>2993.26267214532</v>
      </c>
      <c r="P187" s="15" t="n">
        <f aca="false">N187*$E$2*(1+$I$184)/($F$184-$I$184)/(1+$F$184)^$N$3</f>
        <v>1974.18654519333</v>
      </c>
      <c r="Q187" s="15" t="n">
        <f aca="false">O187+P187</f>
        <v>4967.44921733865</v>
      </c>
      <c r="R187" s="15" t="n">
        <f aca="false">Q187-$G$2+$I$2</f>
        <v>146.949217338648</v>
      </c>
      <c r="S187" s="42" t="n">
        <f aca="false">R187/$K$2</f>
        <v>0.766958336840543</v>
      </c>
      <c r="T187" s="43" t="n">
        <f aca="false">S187-$M$2</f>
        <v>-66.1954633750593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5206.25</v>
      </c>
      <c r="F188" s="15" t="n">
        <f aca="false">E188*(1+IF(F$3&lt;=$O$2,$D188,$D188-($D188-$I$184)*MIN(F$3-$O$2,$Q$2)/$Q$2))</f>
        <v>5531.640625</v>
      </c>
      <c r="G188" s="15" t="n">
        <f aca="false">F188*(1+IF(G$3&lt;=$O$2,$D188,$D188-($D188-$I$184)*MIN(G$3-$O$2,$Q$2)/$Q$2))</f>
        <v>5877.3681640625</v>
      </c>
      <c r="H188" s="15" t="n">
        <f aca="false">G188*(1+IF(H$3&lt;=$O$2,$D188,$D188-($D188-$I$184)*MIN(H$3-$O$2,$Q$2)/$Q$2))</f>
        <v>6244.70367431641</v>
      </c>
      <c r="I188" s="15" t="n">
        <f aca="false">H188*(1+IF(I$3&lt;=$O$2,$D188,$D188-($D188-$I$184)*MIN(I$3-$O$2,$Q$2)/$Q$2))</f>
        <v>6634.99765396118</v>
      </c>
      <c r="J188" s="15" t="n">
        <f aca="false">I188*(1+IF(J$3&lt;=$O$2,$D188,$D188-($D188-$I$184)*MIN(J$3-$O$2,$Q$2)/$Q$2))</f>
        <v>6991.03162807274</v>
      </c>
      <c r="K188" s="15" t="n">
        <f aca="false">J188*(1+IF(K$3&lt;=$O$2,$D188,$D188-($D188-$I$184)*MIN(K$3-$O$2,$Q$2)/$Q$2))</f>
        <v>7304.36966564296</v>
      </c>
      <c r="L188" s="15" t="n">
        <f aca="false">K188*(1+IF(L$3&lt;=$O$2,$D188,$D188-($D188-$I$184)*MIN(L$3-$O$2,$Q$2)/$Q$2))</f>
        <v>7567.18088621279</v>
      </c>
      <c r="M188" s="15" t="n">
        <f aca="false">L188*(1+IF(M$3&lt;=$O$2,$D188,$D188-($D188-$I$184)*MIN(M$3-$O$2,$Q$2)/$Q$2))</f>
        <v>7772.55417546461</v>
      </c>
      <c r="N188" s="15" t="n">
        <f aca="false">M188*(1+IF(N$3&lt;=$O$2,$D188,$D188-($D188-$I$184)*MIN(N$3-$O$2,$Q$2)/$Q$2))</f>
        <v>7914.79191687561</v>
      </c>
      <c r="O188" s="15" t="n">
        <f aca="false">SUMPRODUCT(E188:N188,1/(1+$F$184)^$E$3:$N$3)*$E$2</f>
        <v>6684.9306819392</v>
      </c>
      <c r="P188" s="15" t="n">
        <f aca="false">N188*$E$2*(1+$I$184)/($F$184-$I$184)/(1+$F$184)^$N$3</f>
        <v>7619.98209597406</v>
      </c>
      <c r="Q188" s="15" t="n">
        <f aca="false">O188+P188</f>
        <v>14304.9127779133</v>
      </c>
      <c r="R188" s="15" t="n">
        <f aca="false">Q188-$G$2+$I$2</f>
        <v>9484.41277791325</v>
      </c>
      <c r="S188" s="42" t="n">
        <f aca="false">R188/$K$2</f>
        <v>49.5011105319063</v>
      </c>
      <c r="T188" s="43" t="n">
        <f aca="false">S188-$M$2</f>
        <v>-17.4613111799935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41" t="n">
        <f aca="false">(B189+C189)/2</f>
        <v>0.15625</v>
      </c>
      <c r="E189" s="15" t="n">
        <f aca="false">$C$2*(1+IF(E$3&lt;=$O$2,$D189,$D189-($D189-$I$184)*MIN(E$3-$O$2,$Q$2)/$Q$2))</f>
        <v>5665.625</v>
      </c>
      <c r="F189" s="15" t="n">
        <f aca="false">E189*(1+IF(F$3&lt;=$O$2,$D189,$D189-($D189-$I$184)*MIN(F$3-$O$2,$Q$2)/$Q$2))</f>
        <v>6550.87890625</v>
      </c>
      <c r="G189" s="15" t="n">
        <f aca="false">F189*(1+IF(G$3&lt;=$O$2,$D189,$D189-($D189-$I$184)*MIN(G$3-$O$2,$Q$2)/$Q$2))</f>
        <v>7574.45373535156</v>
      </c>
      <c r="H189" s="15" t="n">
        <f aca="false">G189*(1+IF(H$3&lt;=$O$2,$D189,$D189-($D189-$I$184)*MIN(H$3-$O$2,$Q$2)/$Q$2))</f>
        <v>8757.96213150024</v>
      </c>
      <c r="I189" s="15" t="n">
        <f aca="false">H189*(1+IF(I$3&lt;=$O$2,$D189,$D189-($D189-$I$184)*MIN(I$3-$O$2,$Q$2)/$Q$2))</f>
        <v>10126.3937145472</v>
      </c>
      <c r="J189" s="15" t="n">
        <f aca="false">I189*(1+IF(J$3&lt;=$O$2,$D189,$D189-($D189-$I$184)*MIN(J$3-$O$2,$Q$2)/$Q$2))</f>
        <v>11429.2555298608</v>
      </c>
      <c r="K189" s="15" t="n">
        <f aca="false">J189*(1+IF(K$3&lt;=$O$2,$D189,$D189-($D189-$I$184)*MIN(K$3-$O$2,$Q$2)/$Q$2))</f>
        <v>12584.4103862638</v>
      </c>
      <c r="L189" s="15" t="n">
        <f aca="false">K189*(1+IF(L$3&lt;=$O$2,$D189,$D189-($D189-$I$184)*MIN(L$3-$O$2,$Q$2)/$Q$2))</f>
        <v>13509.1128614465</v>
      </c>
      <c r="M189" s="15" t="n">
        <f aca="false">L189*(1+IF(M$3&lt;=$O$2,$D189,$D189-($D189-$I$184)*MIN(M$3-$O$2,$Q$2)/$Q$2))</f>
        <v>14129.0460506583</v>
      </c>
      <c r="N189" s="15" t="n">
        <f aca="false">M189*(1+IF(N$3&lt;=$O$2,$D189,$D189-($D189-$I$184)*MIN(N$3-$O$2,$Q$2)/$Q$2))</f>
        <v>14387.6075933853</v>
      </c>
      <c r="O189" s="15" t="n">
        <f aca="false">SUMPRODUCT(E189:N189,1/(1+$F$184)^$E$3:$N$3)*$E$2</f>
        <v>10030.502512191</v>
      </c>
      <c r="P189" s="15" t="n">
        <f aca="false">N189*$E$2*(1+$I$184)/($F$184-$I$184)/(1+$F$184)^$N$3</f>
        <v>13851.6986191059</v>
      </c>
      <c r="Q189" s="15" t="n">
        <f aca="false">O189+P189</f>
        <v>23882.2011312969</v>
      </c>
      <c r="R189" s="15" t="n">
        <f aca="false">Q189-$G$2+$I$2</f>
        <v>19061.7011312969</v>
      </c>
      <c r="S189" s="42" t="n">
        <f aca="false">R189/$K$2</f>
        <v>99.4869578877708</v>
      </c>
      <c r="T189" s="43" t="n">
        <f aca="false">S189-$M$2</f>
        <v>32.524536175871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41" t="n">
        <f aca="false">(B190+C190)/2</f>
        <v>0.109375</v>
      </c>
      <c r="E190" s="15" t="n">
        <f aca="false">$C$2*(1+IF(E$3&lt;=$O$2,$D190,$D190-($D190-$I$184)*MIN(E$3-$O$2,$Q$2)/$Q$2))</f>
        <v>5435.9375</v>
      </c>
      <c r="F190" s="15" t="n">
        <f aca="false">E190*(1+IF(F$3&lt;=$O$2,$D190,$D190-($D190-$I$184)*MIN(F$3-$O$2,$Q$2)/$Q$2))</f>
        <v>6030.4931640625</v>
      </c>
      <c r="G190" s="15" t="n">
        <f aca="false">F190*(1+IF(G$3&lt;=$O$2,$D190,$D190-($D190-$I$184)*MIN(G$3-$O$2,$Q$2)/$Q$2))</f>
        <v>6690.07835388184</v>
      </c>
      <c r="H190" s="15" t="n">
        <f aca="false">G190*(1+IF(H$3&lt;=$O$2,$D190,$D190-($D190-$I$184)*MIN(H$3-$O$2,$Q$2)/$Q$2))</f>
        <v>7421.80567383766</v>
      </c>
      <c r="I190" s="15" t="n">
        <f aca="false">H190*(1+IF(I$3&lt;=$O$2,$D190,$D190-($D190-$I$184)*MIN(I$3-$O$2,$Q$2)/$Q$2))</f>
        <v>8233.56566941366</v>
      </c>
      <c r="J190" s="15" t="n">
        <f aca="false">I190*(1+IF(J$3&lt;=$O$2,$D190,$D190-($D190-$I$184)*MIN(J$3-$O$2,$Q$2)/$Q$2))</f>
        <v>8984.13751583741</v>
      </c>
      <c r="K190" s="15" t="n">
        <f aca="false">J190*(1+IF(K$3&lt;=$O$2,$D190,$D190-($D190-$I$184)*MIN(K$3-$O$2,$Q$2)/$Q$2))</f>
        <v>9639.48542693017</v>
      </c>
      <c r="L190" s="15" t="n">
        <f aca="false">K190*(1+IF(L$3&lt;=$O$2,$D190,$D190-($D190-$I$184)*MIN(L$3-$O$2,$Q$2)/$Q$2))</f>
        <v>10167.0544643461</v>
      </c>
      <c r="M190" s="15" t="n">
        <f aca="false">L190*(1+IF(M$3&lt;=$O$2,$D190,$D190-($D190-$I$184)*MIN(M$3-$O$2,$Q$2)/$Q$2))</f>
        <v>10538.3044581117</v>
      </c>
      <c r="N190" s="15" t="n">
        <f aca="false">M190*(1+IF(N$3&lt;=$O$2,$D190,$D190-($D190-$I$184)*MIN(N$3-$O$2,$Q$2)/$Q$2))</f>
        <v>10731.1554296951</v>
      </c>
      <c r="O190" s="15" t="n">
        <f aca="false">SUMPRODUCT(E190:N190,1/(1+$F$184)^$E$3:$N$3)*$E$2</f>
        <v>8189.96803946523</v>
      </c>
      <c r="P190" s="15" t="n">
        <f aca="false">N190*$E$2*(1+$I$184)/($F$184-$I$184)/(1+$F$184)^$N$3</f>
        <v>10331.4418246476</v>
      </c>
      <c r="Q190" s="15" t="n">
        <f aca="false">O190+P190</f>
        <v>18521.4098641128</v>
      </c>
      <c r="R190" s="15" t="n">
        <f aca="false">Q190-$G$2+$I$2</f>
        <v>13700.9098641128</v>
      </c>
      <c r="S190" s="42" t="n">
        <f aca="false">R190/$K$2</f>
        <v>71.5078802928644</v>
      </c>
      <c r="T190" s="43" t="n">
        <f aca="false">S190-$M$2</f>
        <v>4.54545858096465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0.0625</v>
      </c>
      <c r="C191" s="25" t="n">
        <f aca="false">IF(T190&gt;0,D190,C190)</f>
        <v>0.109375</v>
      </c>
      <c r="D191" s="41" t="n">
        <f aca="false">(B191+C191)/2</f>
        <v>0.0859375</v>
      </c>
      <c r="E191" s="15" t="n">
        <f aca="false">$C$2*(1+IF(E$3&lt;=$O$2,$D191,$D191-($D191-$I$184)*MIN(E$3-$O$2,$Q$2)/$Q$2))</f>
        <v>5321.09375</v>
      </c>
      <c r="F191" s="15" t="n">
        <f aca="false">E191*(1+IF(F$3&lt;=$O$2,$D191,$D191-($D191-$I$184)*MIN(F$3-$O$2,$Q$2)/$Q$2))</f>
        <v>5778.37524414063</v>
      </c>
      <c r="G191" s="15" t="n">
        <f aca="false">F191*(1+IF(G$3&lt;=$O$2,$D191,$D191-($D191-$I$184)*MIN(G$3-$O$2,$Q$2)/$Q$2))</f>
        <v>6274.95436668396</v>
      </c>
      <c r="H191" s="15" t="n">
        <f aca="false">G191*(1+IF(H$3&lt;=$O$2,$D191,$D191-($D191-$I$184)*MIN(H$3-$O$2,$Q$2)/$Q$2))</f>
        <v>6814.20825757086</v>
      </c>
      <c r="I191" s="15" t="n">
        <f aca="false">H191*(1+IF(I$3&lt;=$O$2,$D191,$D191-($D191-$I$184)*MIN(I$3-$O$2,$Q$2)/$Q$2))</f>
        <v>7399.80427970586</v>
      </c>
      <c r="J191" s="15" t="n">
        <f aca="false">I191*(1+IF(J$3&lt;=$O$2,$D191,$D191-($D191-$I$184)*MIN(J$3-$O$2,$Q$2)/$Q$2))</f>
        <v>7935.62410759936</v>
      </c>
      <c r="K191" s="15" t="n">
        <f aca="false">J191*(1+IF(K$3&lt;=$O$2,$D191,$D191-($D191-$I$184)*MIN(K$3-$O$2,$Q$2)/$Q$2))</f>
        <v>8402.89349411508</v>
      </c>
      <c r="L191" s="15" t="n">
        <f aca="false">K191*(1+IF(L$3&lt;=$O$2,$D191,$D191-($D191-$I$184)*MIN(L$3-$O$2,$Q$2)/$Q$2))</f>
        <v>8784.00672854067</v>
      </c>
      <c r="M191" s="15" t="n">
        <f aca="false">L191*(1+IF(M$3&lt;=$O$2,$D191,$D191-($D191-$I$184)*MIN(M$3-$O$2,$Q$2)/$Q$2))</f>
        <v>9063.5797026933</v>
      </c>
      <c r="N191" s="15" t="n">
        <f aca="false">M191*(1+IF(N$3&lt;=$O$2,$D191,$D191-($D191-$I$184)*MIN(N$3-$O$2,$Q$2)/$Q$2))</f>
        <v>9229.44321125258</v>
      </c>
      <c r="O191" s="15" t="n">
        <f aca="false">SUMPRODUCT(E191:N191,1/(1+$F$184)^$E$3:$N$3)*$E$2</f>
        <v>7399.33162795211</v>
      </c>
      <c r="P191" s="15" t="n">
        <f aca="false">N191*$E$2*(1+$I$184)/($F$184-$I$184)/(1+$F$184)^$N$3</f>
        <v>8885.66531681054</v>
      </c>
      <c r="Q191" s="15" t="n">
        <f aca="false">O191+P191</f>
        <v>16284.9969447626</v>
      </c>
      <c r="R191" s="15" t="n">
        <f aca="false">Q191-$G$2+$I$2</f>
        <v>11464.4969447626</v>
      </c>
      <c r="S191" s="42" t="n">
        <f aca="false">R191/$K$2</f>
        <v>59.8355790436464</v>
      </c>
      <c r="T191" s="43" t="n">
        <f aca="false">S191-$M$2</f>
        <v>-7.1268426682534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0.0859375</v>
      </c>
      <c r="C192" s="25" t="n">
        <f aca="false">IF(T191&gt;0,D191,C191)</f>
        <v>0.109375</v>
      </c>
      <c r="D192" s="41" t="n">
        <f aca="false">(B192+C192)/2</f>
        <v>0.09765625</v>
      </c>
      <c r="E192" s="15" t="n">
        <f aca="false">$C$2*(1+IF(E$3&lt;=$O$2,$D192,$D192-($D192-$I$184)*MIN(E$3-$O$2,$Q$2)/$Q$2))</f>
        <v>5378.515625</v>
      </c>
      <c r="F192" s="15" t="n">
        <f aca="false">E192*(1+IF(F$3&lt;=$O$2,$D192,$D192-($D192-$I$184)*MIN(F$3-$O$2,$Q$2)/$Q$2))</f>
        <v>5903.76129150391</v>
      </c>
      <c r="G192" s="15" t="n">
        <f aca="false">F192*(1+IF(G$3&lt;=$O$2,$D192,$D192-($D192-$I$184)*MIN(G$3-$O$2,$Q$2)/$Q$2))</f>
        <v>6480.30048012734</v>
      </c>
      <c r="H192" s="15" t="n">
        <f aca="false">G192*(1+IF(H$3&lt;=$O$2,$D192,$D192-($D192-$I$184)*MIN(H$3-$O$2,$Q$2)/$Q$2))</f>
        <v>7113.14232388977</v>
      </c>
      <c r="I192" s="15" t="n">
        <f aca="false">H192*(1+IF(I$3&lt;=$O$2,$D192,$D192-($D192-$I$184)*MIN(I$3-$O$2,$Q$2)/$Q$2))</f>
        <v>7807.78512895713</v>
      </c>
      <c r="J192" s="15" t="n">
        <f aca="false">I192*(1+IF(J$3&lt;=$O$2,$D192,$D192-($D192-$I$184)*MIN(J$3-$O$2,$Q$2)/$Q$2))</f>
        <v>8446.34483572889</v>
      </c>
      <c r="K192" s="15" t="n">
        <f aca="false">J192*(1+IF(K$3&lt;=$O$2,$D192,$D192-($D192-$I$184)*MIN(K$3-$O$2,$Q$2)/$Q$2))</f>
        <v>9003.07509764491</v>
      </c>
      <c r="L192" s="15" t="n">
        <f aca="false">K192*(1+IF(L$3&lt;=$O$2,$D192,$D192-($D192-$I$184)*MIN(L$3-$O$2,$Q$2)/$Q$2))</f>
        <v>9453.61148321881</v>
      </c>
      <c r="M192" s="15" t="n">
        <f aca="false">L192*(1+IF(M$3&lt;=$O$2,$D192,$D192-($D192-$I$184)*MIN(M$3-$O$2,$Q$2)/$Q$2))</f>
        <v>9776.65320461475</v>
      </c>
      <c r="N192" s="15" t="n">
        <f aca="false">M192*(1+IF(N$3&lt;=$O$2,$D192,$D192-($D192-$I$184)*MIN(N$3-$O$2,$Q$2)/$Q$2))</f>
        <v>9955.5659582592</v>
      </c>
      <c r="O192" s="15" t="n">
        <f aca="false">SUMPRODUCT(E192:N192,1/(1+$F$184)^$E$3:$N$3)*$E$2</f>
        <v>7784.66701642591</v>
      </c>
      <c r="P192" s="15" t="n">
        <f aca="false">N192*$E$2*(1+$I$184)/($F$184-$I$184)/(1+$F$184)^$N$3</f>
        <v>9584.74147570141</v>
      </c>
      <c r="Q192" s="15" t="n">
        <f aca="false">O192+P192</f>
        <v>17369.4084921273</v>
      </c>
      <c r="R192" s="15" t="n">
        <f aca="false">Q192-$G$2+$I$2</f>
        <v>12548.9084921273</v>
      </c>
      <c r="S192" s="42" t="n">
        <f aca="false">R192/$K$2</f>
        <v>65.4953470361551</v>
      </c>
      <c r="T192" s="43" t="n">
        <f aca="false">S192-$M$2</f>
        <v>-1.4670746757447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0.09765625</v>
      </c>
      <c r="C193" s="25" t="n">
        <f aca="false">IF(T192&gt;0,D192,C192)</f>
        <v>0.109375</v>
      </c>
      <c r="D193" s="41" t="n">
        <f aca="false">(B193+C193)/2</f>
        <v>0.103515625</v>
      </c>
      <c r="E193" s="15" t="n">
        <f aca="false">$C$2*(1+IF(E$3&lt;=$O$2,$D193,$D193-($D193-$I$184)*MIN(E$3-$O$2,$Q$2)/$Q$2))</f>
        <v>5407.2265625</v>
      </c>
      <c r="F193" s="15" t="n">
        <f aca="false">E193*(1+IF(F$3&lt;=$O$2,$D193,$D193-($D193-$I$184)*MIN(F$3-$O$2,$Q$2)/$Q$2))</f>
        <v>5966.95899963379</v>
      </c>
      <c r="G193" s="15" t="n">
        <f aca="false">F193*(1+IF(G$3&lt;=$O$2,$D193,$D193-($D193-$I$184)*MIN(G$3-$O$2,$Q$2)/$Q$2))</f>
        <v>6584.63248983026</v>
      </c>
      <c r="H193" s="15" t="n">
        <f aca="false">G193*(1+IF(H$3&lt;=$O$2,$D193,$D193-($D193-$I$184)*MIN(H$3-$O$2,$Q$2)/$Q$2))</f>
        <v>7266.24483741034</v>
      </c>
      <c r="I193" s="15" t="n">
        <f aca="false">H193*(1+IF(I$3&lt;=$O$2,$D193,$D193-($D193-$I$184)*MIN(I$3-$O$2,$Q$2)/$Q$2))</f>
        <v>8018.4147131579</v>
      </c>
      <c r="J193" s="15" t="n">
        <f aca="false">I193*(1+IF(J$3&lt;=$O$2,$D193,$D193-($D193-$I$184)*MIN(J$3-$O$2,$Q$2)/$Q$2))</f>
        <v>8711.78707944144</v>
      </c>
      <c r="K193" s="15" t="n">
        <f aca="false">J193*(1+IF(K$3&lt;=$O$2,$D193,$D193-($D193-$I$184)*MIN(K$3-$O$2,$Q$2)/$Q$2))</f>
        <v>9316.64101150013</v>
      </c>
      <c r="L193" s="15" t="n">
        <f aca="false">K193*(1+IF(L$3&lt;=$O$2,$D193,$D193-($D193-$I$184)*MIN(L$3-$O$2,$Q$2)/$Q$2))</f>
        <v>9804.70489668883</v>
      </c>
      <c r="M193" s="15" t="n">
        <f aca="false">L193*(1+IF(M$3&lt;=$O$2,$D193,$D193-($D193-$I$184)*MIN(M$3-$O$2,$Q$2)/$Q$2))</f>
        <v>10151.2338074406</v>
      </c>
      <c r="N193" s="15" t="n">
        <f aca="false">M193*(1+IF(N$3&lt;=$O$2,$D193,$D193-($D193-$I$184)*MIN(N$3-$O$2,$Q$2)/$Q$2))</f>
        <v>10337.0013861168</v>
      </c>
      <c r="O193" s="15" t="n">
        <f aca="false">SUMPRODUCT(E193:N193,1/(1+$F$184)^$E$3:$N$3)*$E$2</f>
        <v>7984.76311016178</v>
      </c>
      <c r="P193" s="15" t="n">
        <f aca="false">N193*$E$2*(1+$I$184)/($F$184-$I$184)/(1+$F$184)^$N$3</f>
        <v>9951.96921353338</v>
      </c>
      <c r="Q193" s="15" t="n">
        <f aca="false">O193+P193</f>
        <v>17936.7323236952</v>
      </c>
      <c r="R193" s="15" t="n">
        <f aca="false">Q193-$G$2+$I$2</f>
        <v>13116.2323236952</v>
      </c>
      <c r="S193" s="42" t="n">
        <f aca="false">R193/$K$2</f>
        <v>68.4563273679288</v>
      </c>
      <c r="T193" s="43" t="n">
        <f aca="false">S193-$M$2</f>
        <v>1.49390565602904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0.09765625</v>
      </c>
      <c r="C194" s="25" t="n">
        <f aca="false">IF(T193&gt;0,D193,C193)</f>
        <v>0.103515625</v>
      </c>
      <c r="D194" s="41" t="n">
        <f aca="false">(B194+C194)/2</f>
        <v>0.1005859375</v>
      </c>
      <c r="E194" s="15" t="n">
        <f aca="false">$C$2*(1+IF(E$3&lt;=$O$2,$D194,$D194-($D194-$I$184)*MIN(E$3-$O$2,$Q$2)/$Q$2))</f>
        <v>5392.87109375</v>
      </c>
      <c r="F194" s="15" t="n">
        <f aca="false">E194*(1+IF(F$3&lt;=$O$2,$D194,$D194-($D194-$I$184)*MIN(F$3-$O$2,$Q$2)/$Q$2))</f>
        <v>5935.31808853149</v>
      </c>
      <c r="G194" s="15" t="n">
        <f aca="false">F194*(1+IF(G$3&lt;=$O$2,$D194,$D194-($D194-$I$184)*MIN(G$3-$O$2,$Q$2)/$Q$2))</f>
        <v>6532.32762282714</v>
      </c>
      <c r="H194" s="15" t="n">
        <f aca="false">G194*(1+IF(H$3&lt;=$O$2,$D194,$D194-($D194-$I$184)*MIN(H$3-$O$2,$Q$2)/$Q$2))</f>
        <v>7189.38792082636</v>
      </c>
      <c r="I194" s="15" t="n">
        <f aca="false">H194*(1+IF(I$3&lt;=$O$2,$D194,$D194-($D194-$I$184)*MIN(I$3-$O$2,$Q$2)/$Q$2))</f>
        <v>7912.53924489385</v>
      </c>
      <c r="J194" s="15" t="n">
        <f aca="false">I194*(1+IF(J$3&lt;=$O$2,$D194,$D194-($D194-$I$184)*MIN(J$3-$O$2,$Q$2)/$Q$2))</f>
        <v>8578.21128089272</v>
      </c>
      <c r="K194" s="15" t="n">
        <f aca="false">J194*(1+IF(K$3&lt;=$O$2,$D194,$D194-($D194-$I$184)*MIN(K$3-$O$2,$Q$2)/$Q$2))</f>
        <v>9158.71224172585</v>
      </c>
      <c r="L194" s="15" t="n">
        <f aca="false">K194*(1+IF(L$3&lt;=$O$2,$D194,$D194-($D194-$I$184)*MIN(L$3-$O$2,$Q$2)/$Q$2))</f>
        <v>9627.76996499069</v>
      </c>
      <c r="M194" s="15" t="n">
        <f aca="false">L194*(1+IF(M$3&lt;=$O$2,$D194,$D194-($D194-$I$184)*MIN(M$3-$O$2,$Q$2)/$Q$2))</f>
        <v>9962.40417087074</v>
      </c>
      <c r="N194" s="15" t="n">
        <f aca="false">M194*(1+IF(N$3&lt;=$O$2,$D194,$D194-($D194-$I$184)*MIN(N$3-$O$2,$Q$2)/$Q$2))</f>
        <v>10144.7161671977</v>
      </c>
      <c r="O194" s="15" t="n">
        <f aca="false">SUMPRODUCT(E194:N194,1/(1+$F$184)^$E$3:$N$3)*$E$2</f>
        <v>7884.0838911181</v>
      </c>
      <c r="P194" s="15" t="n">
        <f aca="false">N194*$E$2*(1+$I$184)/($F$184-$I$184)/(1+$F$184)^$N$3</f>
        <v>9766.84622598396</v>
      </c>
      <c r="Q194" s="15" t="n">
        <f aca="false">O194+P194</f>
        <v>17650.9301171021</v>
      </c>
      <c r="R194" s="15" t="n">
        <f aca="false">Q194-$G$2+$I$2</f>
        <v>12830.4301171021</v>
      </c>
      <c r="S194" s="42" t="n">
        <f aca="false">R194/$K$2</f>
        <v>66.9646665819523</v>
      </c>
      <c r="T194" s="43" t="n">
        <f aca="false">S194-$M$2</f>
        <v>0.00224487005247909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0.09765625</v>
      </c>
      <c r="C195" s="25" t="n">
        <f aca="false">IF(T194&gt;0,D194,C194)</f>
        <v>0.1005859375</v>
      </c>
      <c r="D195" s="41" t="n">
        <f aca="false">(B195+C195)/2</f>
        <v>0.09912109375</v>
      </c>
      <c r="E195" s="15" t="n">
        <f aca="false">$C$2*(1+IF(E$3&lt;=$O$2,$D195,$D195-($D195-$I$184)*MIN(E$3-$O$2,$Q$2)/$Q$2))</f>
        <v>5385.693359375</v>
      </c>
      <c r="F195" s="15" t="n">
        <f aca="false">E195*(1+IF(F$3&lt;=$O$2,$D195,$D195-($D195-$I$184)*MIN(F$3-$O$2,$Q$2)/$Q$2))</f>
        <v>5919.52917575836</v>
      </c>
      <c r="G195" s="15" t="n">
        <f aca="false">F195*(1+IF(G$3&lt;=$O$2,$D195,$D195-($D195-$I$184)*MIN(G$3-$O$2,$Q$2)/$Q$2))</f>
        <v>6506.27938214457</v>
      </c>
      <c r="H195" s="15" t="n">
        <f aca="false">G195*(1+IF(H$3&lt;=$O$2,$D195,$D195-($D195-$I$184)*MIN(H$3-$O$2,$Q$2)/$Q$2))</f>
        <v>7151.18891074581</v>
      </c>
      <c r="I195" s="15" t="n">
        <f aca="false">H195*(1+IF(I$3&lt;=$O$2,$D195,$D195-($D195-$I$184)*MIN(I$3-$O$2,$Q$2)/$Q$2))</f>
        <v>7860.02257719181</v>
      </c>
      <c r="J195" s="15" t="n">
        <f aca="false">I195*(1+IF(J$3&lt;=$O$2,$D195,$D195-($D195-$I$184)*MIN(J$3-$O$2,$Q$2)/$Q$2))</f>
        <v>8512.06548762509</v>
      </c>
      <c r="K195" s="15" t="n">
        <f aca="false">J195*(1+IF(K$3&lt;=$O$2,$D195,$D195-($D195-$I$184)*MIN(K$3-$O$2,$Q$2)/$Q$2))</f>
        <v>9080.60895171752</v>
      </c>
      <c r="L195" s="15" t="n">
        <f aca="false">K195*(1+IF(L$3&lt;=$O$2,$D195,$D195-($D195-$I$184)*MIN(L$3-$O$2,$Q$2)/$Q$2))</f>
        <v>9540.34599449149</v>
      </c>
      <c r="M195" s="15" t="n">
        <f aca="false">L195*(1+IF(M$3&lt;=$O$2,$D195,$D195-($D195-$I$184)*MIN(M$3-$O$2,$Q$2)/$Q$2))</f>
        <v>9869.14656579633</v>
      </c>
      <c r="N195" s="15" t="n">
        <f aca="false">M195*(1+IF(N$3&lt;=$O$2,$D195,$D195-($D195-$I$184)*MIN(N$3-$O$2,$Q$2)/$Q$2))</f>
        <v>10049.7519479504</v>
      </c>
      <c r="O195" s="15" t="n">
        <f aca="false">SUMPRODUCT(E195:N195,1/(1+$F$184)^$E$3:$N$3)*$E$2</f>
        <v>7834.21858155543</v>
      </c>
      <c r="P195" s="15" t="n">
        <f aca="false">N195*$E$2*(1+$I$184)/($F$184-$I$184)/(1+$F$184)^$N$3</f>
        <v>9675.41922979477</v>
      </c>
      <c r="Q195" s="15" t="n">
        <f aca="false">O195+P195</f>
        <v>17509.6378113502</v>
      </c>
      <c r="R195" s="15" t="n">
        <f aca="false">Q195-$G$2+$I$2</f>
        <v>12689.1378113502</v>
      </c>
      <c r="S195" s="42" t="n">
        <f aca="false">R195/$K$2</f>
        <v>66.227232835857</v>
      </c>
      <c r="T195" s="43" t="n">
        <f aca="false">S195-$M$2</f>
        <v>-0.735188876042813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0.09912109375</v>
      </c>
      <c r="C196" s="25" t="n">
        <f aca="false">IF(T195&gt;0,D195,C195)</f>
        <v>0.1005859375</v>
      </c>
      <c r="D196" s="41" t="n">
        <f aca="false">(B196+C196)/2</f>
        <v>0.099853515625</v>
      </c>
      <c r="E196" s="15" t="n">
        <f aca="false">$C$2*(1+IF(E$3&lt;=$O$2,$D196,$D196-($D196-$I$184)*MIN(E$3-$O$2,$Q$2)/$Q$2))</f>
        <v>5389.2822265625</v>
      </c>
      <c r="F196" s="15" t="n">
        <f aca="false">E196*(1+IF(F$3&lt;=$O$2,$D196,$D196-($D196-$I$184)*MIN(F$3-$O$2,$Q$2)/$Q$2))</f>
        <v>5927.42100358009</v>
      </c>
      <c r="G196" s="15" t="n">
        <f aca="false">F196*(1+IF(G$3&lt;=$O$2,$D196,$D196-($D196-$I$184)*MIN(G$3-$O$2,$Q$2)/$Q$2))</f>
        <v>6519.29482937703</v>
      </c>
      <c r="H196" s="15" t="n">
        <f aca="false">G196*(1+IF(H$3&lt;=$O$2,$D196,$D196-($D196-$I$184)*MIN(H$3-$O$2,$Q$2)/$Q$2))</f>
        <v>7170.26933748621</v>
      </c>
      <c r="I196" s="15" t="n">
        <f aca="false">H196*(1+IF(I$3&lt;=$O$2,$D196,$D196-($D196-$I$184)*MIN(I$3-$O$2,$Q$2)/$Q$2))</f>
        <v>7886.24593881235</v>
      </c>
      <c r="J196" s="15" t="n">
        <f aca="false">I196*(1+IF(J$3&lt;=$O$2,$D196,$D196-($D196-$I$184)*MIN(J$3-$O$2,$Q$2)/$Q$2))</f>
        <v>8545.08510460744</v>
      </c>
      <c r="K196" s="15" t="n">
        <f aca="false">J196*(1+IF(K$3&lt;=$O$2,$D196,$D196-($D196-$I$184)*MIN(K$3-$O$2,$Q$2)/$Q$2))</f>
        <v>9119.58920097909</v>
      </c>
      <c r="L196" s="15" t="n">
        <f aca="false">K196*(1+IF(L$3&lt;=$O$2,$D196,$D196-($D196-$I$184)*MIN(L$3-$O$2,$Q$2)/$Q$2))</f>
        <v>9583.97150751526</v>
      </c>
      <c r="M196" s="15" t="n">
        <f aca="false">L196*(1+IF(M$3&lt;=$O$2,$D196,$D196-($D196-$I$184)*MIN(M$3-$O$2,$Q$2)/$Q$2))</f>
        <v>9915.67950012033</v>
      </c>
      <c r="N196" s="15" t="n">
        <f aca="false">M196*(1+IF(N$3&lt;=$O$2,$D196,$D196-($D196-$I$184)*MIN(N$3-$O$2,$Q$2)/$Q$2))</f>
        <v>10097.1364349725</v>
      </c>
      <c r="O196" s="15" t="n">
        <f aca="false">SUMPRODUCT(E196:N196,1/(1+$F$184)^$E$3:$N$3)*$E$2</f>
        <v>7859.11190354357</v>
      </c>
      <c r="P196" s="15" t="n">
        <f aca="false">N196*$E$2*(1+$I$184)/($F$184-$I$184)/(1+$F$184)^$N$3</f>
        <v>9721.03874153022</v>
      </c>
      <c r="Q196" s="15" t="n">
        <f aca="false">O196+P196</f>
        <v>17580.1506450738</v>
      </c>
      <c r="R196" s="15" t="n">
        <f aca="false">Q196-$G$2+$I$2</f>
        <v>12759.6506450738</v>
      </c>
      <c r="S196" s="42" t="n">
        <f aca="false">R196/$K$2</f>
        <v>66.5952538886941</v>
      </c>
      <c r="T196" s="43" t="n">
        <f aca="false">S196-$M$2</f>
        <v>-0.367167823205705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0.099853515625</v>
      </c>
      <c r="C197" s="25" t="n">
        <f aca="false">IF(T196&gt;0,D196,C196)</f>
        <v>0.1005859375</v>
      </c>
      <c r="D197" s="41" t="n">
        <f aca="false">(B197+C197)/2</f>
        <v>0.1002197265625</v>
      </c>
      <c r="E197" s="15" t="n">
        <f aca="false">$C$2*(1+IF(E$3&lt;=$O$2,$D197,$D197-($D197-$I$184)*MIN(E$3-$O$2,$Q$2)/$Q$2))</f>
        <v>5391.07666015625</v>
      </c>
      <c r="F197" s="15" t="n">
        <f aca="false">E197*(1+IF(F$3&lt;=$O$2,$D197,$D197-($D197-$I$184)*MIN(F$3-$O$2,$Q$2)/$Q$2))</f>
        <v>5931.36888891459</v>
      </c>
      <c r="G197" s="15" t="n">
        <f aca="false">F197*(1+IF(G$3&lt;=$O$2,$D197,$D197-($D197-$I$184)*MIN(G$3-$O$2,$Q$2)/$Q$2))</f>
        <v>6525.80905710292</v>
      </c>
      <c r="H197" s="15" t="n">
        <f aca="false">G197*(1+IF(H$3&lt;=$O$2,$D197,$D197-($D197-$I$184)*MIN(H$3-$O$2,$Q$2)/$Q$2))</f>
        <v>7179.82385640487</v>
      </c>
      <c r="I197" s="15" t="n">
        <f aca="false">H197*(1+IF(I$3&lt;=$O$2,$D197,$D197-($D197-$I$184)*MIN(I$3-$O$2,$Q$2)/$Q$2))</f>
        <v>7899.38384006068</v>
      </c>
      <c r="J197" s="15" t="n">
        <f aca="false">I197*(1+IF(J$3&lt;=$O$2,$D197,$D197-($D197-$I$184)*MIN(J$3-$O$2,$Q$2)/$Q$2))</f>
        <v>8561.63485568579</v>
      </c>
      <c r="K197" s="15" t="n">
        <f aca="false">J197*(1+IF(K$3&lt;=$O$2,$D197,$D197-($D197-$I$184)*MIN(K$3-$O$2,$Q$2)/$Q$2))</f>
        <v>9139.13284532828</v>
      </c>
      <c r="L197" s="15" t="n">
        <f aca="false">K197*(1+IF(L$3&lt;=$O$2,$D197,$D197-($D197-$I$184)*MIN(L$3-$O$2,$Q$2)/$Q$2))</f>
        <v>9605.84908188085</v>
      </c>
      <c r="M197" s="15" t="n">
        <f aca="false">L197*(1+IF(M$3&lt;=$O$2,$D197,$D197-($D197-$I$184)*MIN(M$3-$O$2,$Q$2)/$Q$2))</f>
        <v>9939.01782611694</v>
      </c>
      <c r="N197" s="15" t="n">
        <f aca="false">M197*(1+IF(N$3&lt;=$O$2,$D197,$D197-($D197-$I$184)*MIN(N$3-$O$2,$Q$2)/$Q$2))</f>
        <v>10120.9018523349</v>
      </c>
      <c r="O197" s="15" t="n">
        <f aca="false">SUMPRODUCT(E197:N197,1/(1+$F$184)^$E$3:$N$3)*$E$2</f>
        <v>7871.58804975833</v>
      </c>
      <c r="P197" s="15" t="n">
        <f aca="false">N197*$E$2*(1+$I$184)/($F$184-$I$184)/(1+$F$184)^$N$3</f>
        <v>9743.91894567284</v>
      </c>
      <c r="Q197" s="15" t="n">
        <f aca="false">O197+P197</f>
        <v>17615.5069954312</v>
      </c>
      <c r="R197" s="15" t="n">
        <f aca="false">Q197-$G$2+$I$2</f>
        <v>12795.0069954312</v>
      </c>
      <c r="S197" s="42" t="n">
        <f aca="false">R197/$K$2</f>
        <v>66.7797859886804</v>
      </c>
      <c r="T197" s="43" t="n">
        <f aca="false">S197-$M$2</f>
        <v>-0.182635723219363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0.1002197265625</v>
      </c>
      <c r="C198" s="25" t="n">
        <f aca="false">IF(T197&gt;0,D197,C197)</f>
        <v>0.1005859375</v>
      </c>
      <c r="D198" s="41" t="n">
        <f aca="false">(B198+C198)/2</f>
        <v>0.10040283203125</v>
      </c>
      <c r="E198" s="15" t="n">
        <f aca="false">$C$2*(1+IF(E$3&lt;=$O$2,$D198,$D198-($D198-$I$184)*MIN(E$3-$O$2,$Q$2)/$Q$2))</f>
        <v>5391.97387695313</v>
      </c>
      <c r="F198" s="15" t="n">
        <f aca="false">E198*(1+IF(F$3&lt;=$O$2,$D198,$D198-($D198-$I$184)*MIN(F$3-$O$2,$Q$2)/$Q$2))</f>
        <v>5933.34332443774</v>
      </c>
      <c r="G198" s="15" t="n">
        <f aca="false">F198*(1+IF(G$3&lt;=$O$2,$D198,$D198-($D198-$I$184)*MIN(G$3-$O$2,$Q$2)/$Q$2))</f>
        <v>6529.067797625</v>
      </c>
      <c r="H198" s="15" t="n">
        <f aca="false">G198*(1+IF(H$3&lt;=$O$2,$D198,$D198-($D198-$I$184)*MIN(H$3-$O$2,$Q$2)/$Q$2))</f>
        <v>7184.60469503058</v>
      </c>
      <c r="I198" s="15" t="n">
        <f aca="false">H198*(1+IF(I$3&lt;=$O$2,$D198,$D198-($D198-$I$184)*MIN(I$3-$O$2,$Q$2)/$Q$2))</f>
        <v>7905.95935343667</v>
      </c>
      <c r="J198" s="15" t="n">
        <f aca="false">I198*(1+IF(J$3&lt;=$O$2,$D198,$D198-($D198-$I$184)*MIN(J$3-$O$2,$Q$2)/$Q$2))</f>
        <v>8569.91973187744</v>
      </c>
      <c r="K198" s="15" t="n">
        <f aca="false">J198*(1+IF(K$3&lt;=$O$2,$D198,$D198-($D198-$I$184)*MIN(K$3-$O$2,$Q$2)/$Q$2))</f>
        <v>9148.91807113138</v>
      </c>
      <c r="L198" s="15" t="n">
        <f aca="false">K198*(1+IF(L$3&lt;=$O$2,$D198,$D198-($D198-$I$184)*MIN(L$3-$O$2,$Q$2)/$Q$2))</f>
        <v>9616.80410529779</v>
      </c>
      <c r="M198" s="15" t="n">
        <f aca="false">L198*(1+IF(M$3&lt;=$O$2,$D198,$D198-($D198-$I$184)*MIN(M$3-$O$2,$Q$2)/$Q$2))</f>
        <v>9950.70499085168</v>
      </c>
      <c r="N198" s="15" t="n">
        <f aca="false">M198*(1+IF(N$3&lt;=$O$2,$D198,$D198-($D198-$I$184)*MIN(N$3-$O$2,$Q$2)/$Q$2))</f>
        <v>10132.8028921843</v>
      </c>
      <c r="O198" s="15" t="n">
        <f aca="false">SUMPRODUCT(E198:N198,1/(1+$F$184)^$E$3:$N$3)*$E$2</f>
        <v>7877.83350674633</v>
      </c>
      <c r="P198" s="15" t="n">
        <f aca="false">N198*$E$2*(1+$I$184)/($F$184-$I$184)/(1+$F$184)^$N$3</f>
        <v>9755.3766961138</v>
      </c>
      <c r="Q198" s="15" t="n">
        <f aca="false">O198+P198</f>
        <v>17633.2102028601</v>
      </c>
      <c r="R198" s="15" t="n">
        <f aca="false">Q198-$G$2+$I$2</f>
        <v>12812.7102028601</v>
      </c>
      <c r="S198" s="42" t="n">
        <f aca="false">R198/$K$2</f>
        <v>66.8721826871614</v>
      </c>
      <c r="T198" s="43" t="n">
        <f aca="false">S198-$M$2</f>
        <v>-0.0902390247383664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0.10040283203125</v>
      </c>
      <c r="C199" s="25" t="n">
        <f aca="false">IF(T198&gt;0,D198,C198)</f>
        <v>0.1005859375</v>
      </c>
      <c r="D199" s="41" t="n">
        <f aca="false">(B199+C199)/2</f>
        <v>0.100494384765625</v>
      </c>
      <c r="E199" s="15" t="n">
        <f aca="false">$C$2*(1+IF(E$3&lt;=$O$2,$D199,$D199-($D199-$I$184)*MIN(E$3-$O$2,$Q$2)/$Q$2))</f>
        <v>5392.42248535156</v>
      </c>
      <c r="F199" s="15" t="n">
        <f aca="false">E199*(1+IF(F$3&lt;=$O$2,$D199,$D199-($D199-$I$184)*MIN(F$3-$O$2,$Q$2)/$Q$2))</f>
        <v>5934.33066541329</v>
      </c>
      <c r="G199" s="15" t="n">
        <f aca="false">F199*(1+IF(G$3&lt;=$O$2,$D199,$D199-($D199-$I$184)*MIN(G$3-$O$2,$Q$2)/$Q$2))</f>
        <v>6530.69757462978</v>
      </c>
      <c r="H199" s="15" t="n">
        <f aca="false">G199*(1+IF(H$3&lt;=$O$2,$D199,$D199-($D199-$I$184)*MIN(H$3-$O$2,$Q$2)/$Q$2))</f>
        <v>7186.99600948256</v>
      </c>
      <c r="I199" s="15" t="n">
        <f aca="false">H199*(1+IF(I$3&lt;=$O$2,$D199,$D199-($D199-$I$184)*MIN(I$3-$O$2,$Q$2)/$Q$2))</f>
        <v>7909.24875176851</v>
      </c>
      <c r="J199" s="15" t="n">
        <f aca="false">I199*(1+IF(J$3&lt;=$O$2,$D199,$D199-($D199-$I$184)*MIN(J$3-$O$2,$Q$2)/$Q$2))</f>
        <v>8574.0646720138</v>
      </c>
      <c r="K199" s="15" t="n">
        <f aca="false">J199*(1+IF(K$3&lt;=$O$2,$D199,$D199-($D199-$I$184)*MIN(K$3-$O$2,$Q$2)/$Q$2))</f>
        <v>9153.81403790576</v>
      </c>
      <c r="L199" s="15" t="n">
        <f aca="false">K199*(1+IF(L$3&lt;=$O$2,$D199,$D199-($D199-$I$184)*MIN(L$3-$O$2,$Q$2)/$Q$2))</f>
        <v>9622.28568004128</v>
      </c>
      <c r="M199" s="15" t="n">
        <f aca="false">L199*(1+IF(M$3&lt;=$O$2,$D199,$D199-($D199-$I$184)*MIN(M$3-$O$2,$Q$2)/$Q$2))</f>
        <v>9956.55307828805</v>
      </c>
      <c r="N199" s="15" t="n">
        <f aca="false">M199*(1+IF(N$3&lt;=$O$2,$D199,$D199-($D199-$I$184)*MIN(N$3-$O$2,$Q$2)/$Q$2))</f>
        <v>10138.7579996207</v>
      </c>
      <c r="O199" s="15" t="n">
        <f aca="false">SUMPRODUCT(E199:N199,1/(1+$F$184)^$E$3:$N$3)*$E$2</f>
        <v>7880.95808278427</v>
      </c>
      <c r="P199" s="15" t="n">
        <f aca="false">N199*$E$2*(1+$I$184)/($F$184-$I$184)/(1+$F$184)^$N$3</f>
        <v>9761.10998797063</v>
      </c>
      <c r="Q199" s="15" t="n">
        <f aca="false">O199+P199</f>
        <v>17642.0680707549</v>
      </c>
      <c r="R199" s="15" t="n">
        <f aca="false">Q199-$G$2+$I$2</f>
        <v>12821.5680707549</v>
      </c>
      <c r="S199" s="42" t="n">
        <f aca="false">R199/$K$2</f>
        <v>66.9184137304535</v>
      </c>
      <c r="T199" s="43" t="n">
        <f aca="false">S199-$M$2</f>
        <v>-0.0440079814462848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0.100494384765625</v>
      </c>
      <c r="C200" s="25" t="n">
        <f aca="false">IF(T199&gt;0,D199,C199)</f>
        <v>0.1005859375</v>
      </c>
      <c r="D200" s="41" t="n">
        <f aca="false">(B200+C200)/2</f>
        <v>0.100540161132813</v>
      </c>
      <c r="E200" s="15" t="n">
        <f aca="false">$C$2*(1+IF(E$3&lt;=$O$2,$D200,$D200-($D200-$I$184)*MIN(E$3-$O$2,$Q$2)/$Q$2))</f>
        <v>5392.64678955078</v>
      </c>
      <c r="F200" s="15" t="n">
        <f aca="false">E200*(1+IF(F$3&lt;=$O$2,$D200,$D200-($D200-$I$184)*MIN(F$3-$O$2,$Q$2)/$Q$2))</f>
        <v>5934.82436670456</v>
      </c>
      <c r="G200" s="15" t="n">
        <f aca="false">F200*(1+IF(G$3&lt;=$O$2,$D200,$D200-($D200-$I$184)*MIN(G$3-$O$2,$Q$2)/$Q$2))</f>
        <v>6531.51256482798</v>
      </c>
      <c r="H200" s="15" t="n">
        <f aca="false">G200*(1+IF(H$3&lt;=$O$2,$D200,$D200-($D200-$I$184)*MIN(H$3-$O$2,$Q$2)/$Q$2))</f>
        <v>7188.19189053677</v>
      </c>
      <c r="I200" s="15" t="n">
        <f aca="false">H200*(1+IF(I$3&lt;=$O$2,$D200,$D200-($D200-$I$184)*MIN(I$3-$O$2,$Q$2)/$Q$2))</f>
        <v>7910.89386146492</v>
      </c>
      <c r="J200" s="15" t="n">
        <f aca="false">I200*(1+IF(J$3&lt;=$O$2,$D200,$D200-($D200-$I$184)*MIN(J$3-$O$2,$Q$2)/$Q$2))</f>
        <v>8576.13776782689</v>
      </c>
      <c r="K200" s="15" t="n">
        <f aca="false">J200*(1+IF(K$3&lt;=$O$2,$D200,$D200-($D200-$I$184)*MIN(K$3-$O$2,$Q$2)/$Q$2))</f>
        <v>9156.26286013209</v>
      </c>
      <c r="L200" s="15" t="n">
        <f aca="false">K200*(1+IF(L$3&lt;=$O$2,$D200,$D200-($D200-$I$184)*MIN(L$3-$O$2,$Q$2)/$Q$2))</f>
        <v>9625.02748366916</v>
      </c>
      <c r="M200" s="15" t="n">
        <f aca="false">L200*(1+IF(M$3&lt;=$O$2,$D200,$D200-($D200-$I$184)*MIN(M$3-$O$2,$Q$2)/$Q$2))</f>
        <v>9959.47824885325</v>
      </c>
      <c r="N200" s="15" t="n">
        <f aca="false">M200*(1+IF(N$3&lt;=$O$2,$D200,$D200-($D200-$I$184)*MIN(N$3-$O$2,$Q$2)/$Q$2))</f>
        <v>10141.7367008073</v>
      </c>
      <c r="O200" s="15" t="n">
        <f aca="false">SUMPRODUCT(E200:N200,1/(1+$F$184)^$E$3:$N$3)*$E$2</f>
        <v>7882.52083288607</v>
      </c>
      <c r="P200" s="15" t="n">
        <f aca="false">N200*$E$2*(1+$I$184)/($F$184-$I$184)/(1+$F$184)^$N$3</f>
        <v>9763.9777386265</v>
      </c>
      <c r="Q200" s="15" t="n">
        <f aca="false">O200+P200</f>
        <v>17646.4985715126</v>
      </c>
      <c r="R200" s="15" t="n">
        <f aca="false">Q200-$G$2+$I$2</f>
        <v>12825.9985715126</v>
      </c>
      <c r="S200" s="42" t="n">
        <f aca="false">R200/$K$2</f>
        <v>66.9415374296063</v>
      </c>
      <c r="T200" s="43" t="n">
        <f aca="false">S200-$M$2</f>
        <v>-0.020884282293494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0.100540161132813</v>
      </c>
      <c r="C201" s="25" t="n">
        <f aca="false">IF(T200&gt;0,D200,C200)</f>
        <v>0.1005859375</v>
      </c>
      <c r="D201" s="41" t="n">
        <f aca="false">(B201+C201)/2</f>
        <v>0.100563049316406</v>
      </c>
      <c r="E201" s="15" t="n">
        <f aca="false">$C$2*(1+IF(E$3&lt;=$O$2,$D201,$D201-($D201-$I$184)*MIN(E$3-$O$2,$Q$2)/$Q$2))</f>
        <v>5392.75894165039</v>
      </c>
      <c r="F201" s="15" t="n">
        <f aca="false">E201*(1+IF(F$3&lt;=$O$2,$D201,$D201-($D201-$I$184)*MIN(F$3-$O$2,$Q$2)/$Q$2))</f>
        <v>5935.07122505107</v>
      </c>
      <c r="G201" s="15" t="n">
        <f aca="false">F201*(1+IF(G$3&lt;=$O$2,$D201,$D201-($D201-$I$184)*MIN(G$3-$O$2,$Q$2)/$Q$2))</f>
        <v>6531.92008535226</v>
      </c>
      <c r="H201" s="15" t="n">
        <f aca="false">G201*(1+IF(H$3&lt;=$O$2,$D201,$D201-($D201-$I$184)*MIN(H$3-$O$2,$Q$2)/$Q$2))</f>
        <v>7188.78988702637</v>
      </c>
      <c r="I201" s="15" t="n">
        <f aca="false">H201*(1+IF(I$3&lt;=$O$2,$D201,$D201-($D201-$I$184)*MIN(I$3-$O$2,$Q$2)/$Q$2))</f>
        <v>7911.71651896068</v>
      </c>
      <c r="J201" s="15" t="n">
        <f aca="false">I201*(1+IF(J$3&lt;=$O$2,$D201,$D201-($D201-$I$184)*MIN(J$3-$O$2,$Q$2)/$Q$2))</f>
        <v>8577.17447219901</v>
      </c>
      <c r="K201" s="15" t="n">
        <f aca="false">J201*(1+IF(K$3&lt;=$O$2,$D201,$D201-($D201-$I$184)*MIN(K$3-$O$2,$Q$2)/$Q$2))</f>
        <v>9157.48748100141</v>
      </c>
      <c r="L201" s="15" t="n">
        <f aca="false">K201*(1+IF(L$3&lt;=$O$2,$D201,$D201-($D201-$I$184)*MIN(L$3-$O$2,$Q$2)/$Q$2))</f>
        <v>9626.39863960934</v>
      </c>
      <c r="M201" s="15" t="n">
        <f aca="false">L201*(1+IF(M$3&lt;=$O$2,$D201,$D201-($D201-$I$184)*MIN(M$3-$O$2,$Q$2)/$Q$2))</f>
        <v>9960.9411159201</v>
      </c>
      <c r="N201" s="15" t="n">
        <f aca="false">M201*(1+IF(N$3&lt;=$O$2,$D201,$D201-($D201-$I$184)*MIN(N$3-$O$2,$Q$2)/$Q$2))</f>
        <v>10143.2263383414</v>
      </c>
      <c r="O201" s="15" t="n">
        <f aca="false">SUMPRODUCT(E201:N201,1/(1+$F$184)^$E$3:$N$3)*$E$2</f>
        <v>7883.30232348229</v>
      </c>
      <c r="P201" s="15" t="n">
        <f aca="false">N201*$E$2*(1+$I$184)/($F$184-$I$184)/(1+$F$184)^$N$3</f>
        <v>9765.41189020737</v>
      </c>
      <c r="Q201" s="15" t="n">
        <f aca="false">O201+P201</f>
        <v>17648.7142136897</v>
      </c>
      <c r="R201" s="15" t="n">
        <f aca="false">Q201-$G$2+$I$2</f>
        <v>12828.2142136897</v>
      </c>
      <c r="S201" s="42" t="n">
        <f aca="false">R201/$K$2</f>
        <v>66.9531013240588</v>
      </c>
      <c r="T201" s="43" t="n">
        <f aca="false">S201-$M$2</f>
        <v>-0.00932038784101508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0.100563049316406</v>
      </c>
      <c r="C202" s="25" t="n">
        <f aca="false">IF(T201&gt;0,D201,C201)</f>
        <v>0.1005859375</v>
      </c>
      <c r="D202" s="41" t="n">
        <f aca="false">(B202+C202)/2</f>
        <v>0.100574493408203</v>
      </c>
      <c r="E202" s="15" t="n">
        <f aca="false">$C$2*(1+IF(E$3&lt;=$O$2,$D202,$D202-($D202-$I$184)*MIN(E$3-$O$2,$Q$2)/$Q$2))</f>
        <v>5392.8150177002</v>
      </c>
      <c r="F202" s="15" t="n">
        <f aca="false">E202*(1+IF(F$3&lt;=$O$2,$D202,$D202-($D202-$I$184)*MIN(F$3-$O$2,$Q$2)/$Q$2))</f>
        <v>5935.19465614954</v>
      </c>
      <c r="G202" s="15" t="n">
        <f aca="false">F202*(1+IF(G$3&lt;=$O$2,$D202,$D202-($D202-$I$184)*MIN(G$3-$O$2,$Q$2)/$Q$2))</f>
        <v>6532.12385197086</v>
      </c>
      <c r="H202" s="15" t="n">
        <f aca="false">G202*(1+IF(H$3&lt;=$O$2,$D202,$D202-($D202-$I$184)*MIN(H$3-$O$2,$Q$2)/$Q$2))</f>
        <v>7189.08889926247</v>
      </c>
      <c r="I202" s="15" t="n">
        <f aca="false">H202*(1+IF(I$3&lt;=$O$2,$D202,$D202-($D202-$I$184)*MIN(I$3-$O$2,$Q$2)/$Q$2))</f>
        <v>7912.12787337233</v>
      </c>
      <c r="J202" s="15" t="n">
        <f aca="false">I202*(1+IF(J$3&lt;=$O$2,$D202,$D202-($D202-$I$184)*MIN(J$3-$O$2,$Q$2)/$Q$2))</f>
        <v>8577.69286350514</v>
      </c>
      <c r="K202" s="15" t="n">
        <f aca="false">J202*(1+IF(K$3&lt;=$O$2,$D202,$D202-($D202-$I$184)*MIN(K$3-$O$2,$Q$2)/$Q$2))</f>
        <v>9158.09984388091</v>
      </c>
      <c r="L202" s="15" t="n">
        <f aca="false">K202*(1+IF(L$3&lt;=$O$2,$D202,$D202-($D202-$I$184)*MIN(L$3-$O$2,$Q$2)/$Q$2))</f>
        <v>9627.08428111875</v>
      </c>
      <c r="M202" s="15" t="n">
        <f aca="false">L202*(1+IF(M$3&lt;=$O$2,$D202,$D202-($D202-$I$184)*MIN(M$3-$O$2,$Q$2)/$Q$2))</f>
        <v>9961.67261990865</v>
      </c>
      <c r="N202" s="15" t="n">
        <f aca="false">M202*(1+IF(N$3&lt;=$O$2,$D202,$D202-($D202-$I$184)*MIN(N$3-$O$2,$Q$2)/$Q$2))</f>
        <v>10143.971228853</v>
      </c>
      <c r="O202" s="15" t="n">
        <f aca="false">SUMPRODUCT(E202:N202,1/(1+$F$184)^$E$3:$N$3)*$E$2</f>
        <v>7883.6930976698</v>
      </c>
      <c r="P202" s="15" t="n">
        <f aca="false">N202*$E$2*(1+$I$184)/($F$184-$I$184)/(1+$F$184)^$N$3</f>
        <v>9766.12903506993</v>
      </c>
      <c r="Q202" s="15" t="n">
        <f aca="false">O202+P202</f>
        <v>17649.8221327397</v>
      </c>
      <c r="R202" s="15" t="n">
        <f aca="false">Q202-$G$2+$I$2</f>
        <v>12829.3221327397</v>
      </c>
      <c r="S202" s="42" t="n">
        <f aca="false">R202/$K$2</f>
        <v>66.9588837825665</v>
      </c>
      <c r="T202" s="43" t="n">
        <f aca="false">S202-$M$2</f>
        <v>-0.00353792933333352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0.100574493408203</v>
      </c>
      <c r="C203" s="25" t="n">
        <f aca="false">IF(T202&gt;0,D202,C202)</f>
        <v>0.1005859375</v>
      </c>
      <c r="D203" s="41" t="n">
        <f aca="false">(B203+C203)/2</f>
        <v>0.100580215454102</v>
      </c>
      <c r="E203" s="15" t="n">
        <f aca="false">$C$2*(1+IF(E$3&lt;=$O$2,$D203,$D203-($D203-$I$184)*MIN(E$3-$O$2,$Q$2)/$Q$2))</f>
        <v>5392.8430557251</v>
      </c>
      <c r="F203" s="15" t="n">
        <f aca="false">E203*(1+IF(F$3&lt;=$O$2,$D203,$D203-($D203-$I$184)*MIN(F$3-$O$2,$Q$2)/$Q$2))</f>
        <v>5935.25637218008</v>
      </c>
      <c r="G203" s="15" t="n">
        <f aca="false">F203*(1+IF(G$3&lt;=$O$2,$D203,$D203-($D203-$I$184)*MIN(G$3-$O$2,$Q$2)/$Q$2))</f>
        <v>6532.22573686929</v>
      </c>
      <c r="H203" s="15" t="n">
        <f aca="false">G203*(1+IF(H$3&lt;=$O$2,$D203,$D203-($D203-$I$184)*MIN(H$3-$O$2,$Q$2)/$Q$2))</f>
        <v>7189.23840887843</v>
      </c>
      <c r="I203" s="15" t="n">
        <f aca="false">H203*(1+IF(I$3&lt;=$O$2,$D203,$D203-($D203-$I$184)*MIN(I$3-$O$2,$Q$2)/$Q$2))</f>
        <v>7912.33355699432</v>
      </c>
      <c r="J203" s="15" t="n">
        <f aca="false">I203*(1+IF(J$3&lt;=$O$2,$D203,$D203-($D203-$I$184)*MIN(J$3-$O$2,$Q$2)/$Q$2))</f>
        <v>8577.95206893869</v>
      </c>
      <c r="K203" s="15" t="n">
        <f aca="false">J203*(1+IF(K$3&lt;=$O$2,$D203,$D203-($D203-$I$184)*MIN(K$3-$O$2,$Q$2)/$Q$2))</f>
        <v>9158.4060384326</v>
      </c>
      <c r="L203" s="15" t="n">
        <f aca="false">K203*(1+IF(L$3&lt;=$O$2,$D203,$D203-($D203-$I$184)*MIN(L$3-$O$2,$Q$2)/$Q$2))</f>
        <v>9627.42711775927</v>
      </c>
      <c r="M203" s="15" t="n">
        <f aca="false">L203*(1+IF(M$3&lt;=$O$2,$D203,$D203-($D203-$I$184)*MIN(M$3-$O$2,$Q$2)/$Q$2))</f>
        <v>9962.03838951784</v>
      </c>
      <c r="N203" s="15" t="n">
        <f aca="false">M203*(1+IF(N$3&lt;=$O$2,$D203,$D203-($D203-$I$184)*MIN(N$3-$O$2,$Q$2)/$Q$2))</f>
        <v>10144.343692046</v>
      </c>
      <c r="O203" s="15" t="n">
        <f aca="false">SUMPRODUCT(E203:N203,1/(1+$F$184)^$E$3:$N$3)*$E$2</f>
        <v>7883.8884919863</v>
      </c>
      <c r="P203" s="15" t="n">
        <f aca="false">N203*$E$2*(1+$I$184)/($F$184-$I$184)/(1+$F$184)^$N$3</f>
        <v>9766.48762477035</v>
      </c>
      <c r="Q203" s="15" t="n">
        <f aca="false">O203+P203</f>
        <v>17650.3761167567</v>
      </c>
      <c r="R203" s="15" t="n">
        <f aca="false">Q203-$G$2+$I$2</f>
        <v>12829.8761167567</v>
      </c>
      <c r="S203" s="42" t="n">
        <f aca="false">R203/$K$2</f>
        <v>66.9617751396485</v>
      </c>
      <c r="T203" s="43" t="n">
        <f aca="false">S203-$M$2</f>
        <v>-0.000646572251298494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0.100580215454102</v>
      </c>
      <c r="C204" s="25" t="n">
        <f aca="false">IF(T203&gt;0,D203,C203)</f>
        <v>0.1005859375</v>
      </c>
      <c r="D204" s="41" t="n">
        <f aca="false">(B204+C204)/2</f>
        <v>0.100583076477051</v>
      </c>
      <c r="E204" s="15" t="n">
        <f aca="false">$C$2*(1+IF(E$3&lt;=$O$2,$D204,$D204-($D204-$I$184)*MIN(E$3-$O$2,$Q$2)/$Q$2))</f>
        <v>5392.85707473755</v>
      </c>
      <c r="F204" s="15" t="n">
        <f aca="false">E204*(1+IF(F$3&lt;=$O$2,$D204,$D204-($D204-$I$184)*MIN(F$3-$O$2,$Q$2)/$Q$2))</f>
        <v>5935.28723031568</v>
      </c>
      <c r="G204" s="15" t="n">
        <f aca="false">F204*(1+IF(G$3&lt;=$O$2,$D204,$D204-($D204-$I$184)*MIN(G$3-$O$2,$Q$2)/$Q$2))</f>
        <v>6532.27667971579</v>
      </c>
      <c r="H204" s="15" t="n">
        <f aca="false">G204*(1+IF(H$3&lt;=$O$2,$D204,$D204-($D204-$I$184)*MIN(H$3-$O$2,$Q$2)/$Q$2))</f>
        <v>7189.31316456089</v>
      </c>
      <c r="I204" s="15" t="n">
        <f aca="false">H204*(1+IF(I$3&lt;=$O$2,$D204,$D204-($D204-$I$184)*MIN(I$3-$O$2,$Q$2)/$Q$2))</f>
        <v>7912.43640040939</v>
      </c>
      <c r="J204" s="15" t="n">
        <f aca="false">I204*(1+IF(J$3&lt;=$O$2,$D204,$D204-($D204-$I$184)*MIN(J$3-$O$2,$Q$2)/$Q$2))</f>
        <v>8578.08167410063</v>
      </c>
      <c r="K204" s="15" t="n">
        <f aca="false">J204*(1+IF(K$3&lt;=$O$2,$D204,$D204-($D204-$I$184)*MIN(K$3-$O$2,$Q$2)/$Q$2))</f>
        <v>9158.55913898652</v>
      </c>
      <c r="L204" s="15" t="n">
        <f aca="false">K204*(1+IF(L$3&lt;=$O$2,$D204,$D204-($D204-$I$184)*MIN(L$3-$O$2,$Q$2)/$Q$2))</f>
        <v>9627.5985400511</v>
      </c>
      <c r="M204" s="15" t="n">
        <f aca="false">L204*(1+IF(M$3&lt;=$O$2,$D204,$D204-($D204-$I$184)*MIN(M$3-$O$2,$Q$2)/$Q$2))</f>
        <v>9962.22127872631</v>
      </c>
      <c r="N204" s="15" t="n">
        <f aca="false">M204*(1+IF(N$3&lt;=$O$2,$D204,$D204-($D204-$I$184)*MIN(N$3-$O$2,$Q$2)/$Q$2))</f>
        <v>10144.529928127</v>
      </c>
      <c r="O204" s="15" t="n">
        <f aca="false">SUMPRODUCT(E204:N204,1/(1+$F$184)^$E$3:$N$3)*$E$2</f>
        <v>7883.98619095028</v>
      </c>
      <c r="P204" s="15" t="n">
        <f aca="false">N204*$E$2*(1+$I$184)/($F$184-$I$184)/(1+$F$184)^$N$3</f>
        <v>9766.66692393798</v>
      </c>
      <c r="Q204" s="15" t="n">
        <f aca="false">O204+P204</f>
        <v>17650.6531148883</v>
      </c>
      <c r="R204" s="15" t="n">
        <f aca="false">Q204-$G$2+$I$2</f>
        <v>12830.1531148883</v>
      </c>
      <c r="S204" s="42" t="n">
        <f aca="false">R204/$K$2</f>
        <v>66.9632208501475</v>
      </c>
      <c r="T204" s="43" t="n">
        <f aca="false">S204-$M$2</f>
        <v>0.000799138247728592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0.100580215454102</v>
      </c>
      <c r="C205" s="25" t="n">
        <f aca="false">IF(T204&gt;0,D204,C204)</f>
        <v>0.100583076477051</v>
      </c>
      <c r="D205" s="41" t="n">
        <f aca="false">(B205+C205)/2</f>
        <v>0.100581645965576</v>
      </c>
      <c r="E205" s="15" t="n">
        <f aca="false">$C$2*(1+IF(E$3&lt;=$O$2,$D205,$D205-($D205-$I$184)*MIN(E$3-$O$2,$Q$2)/$Q$2))</f>
        <v>5392.85006523132</v>
      </c>
      <c r="F205" s="15" t="n">
        <f aca="false">E205*(1+IF(F$3&lt;=$O$2,$D205,$D205-($D205-$I$184)*MIN(F$3-$O$2,$Q$2)/$Q$2))</f>
        <v>5935.27180123786</v>
      </c>
      <c r="G205" s="15" t="n">
        <f aca="false">F205*(1+IF(G$3&lt;=$O$2,$D205,$D205-($D205-$I$184)*MIN(G$3-$O$2,$Q$2)/$Q$2))</f>
        <v>6532.25120825943</v>
      </c>
      <c r="H205" s="15" t="n">
        <f aca="false">G205*(1+IF(H$3&lt;=$O$2,$D205,$D205-($D205-$I$184)*MIN(H$3-$O$2,$Q$2)/$Q$2))</f>
        <v>7189.27578664679</v>
      </c>
      <c r="I205" s="15" t="n">
        <f aca="false">H205*(1+IF(I$3&lt;=$O$2,$D205,$D205-($D205-$I$184)*MIN(I$3-$O$2,$Q$2)/$Q$2))</f>
        <v>7912.38497856818</v>
      </c>
      <c r="J205" s="15" t="n">
        <f aca="false">I205*(1+IF(J$3&lt;=$O$2,$D205,$D205-($D205-$I$184)*MIN(J$3-$O$2,$Q$2)/$Q$2))</f>
        <v>8578.01687131589</v>
      </c>
      <c r="K205" s="15" t="n">
        <f aca="false">J205*(1+IF(K$3&lt;=$O$2,$D205,$D205-($D205-$I$184)*MIN(K$3-$O$2,$Q$2)/$Q$2))</f>
        <v>9158.48258843638</v>
      </c>
      <c r="L205" s="15" t="n">
        <f aca="false">K205*(1+IF(L$3&lt;=$O$2,$D205,$D205-($D205-$I$184)*MIN(L$3-$O$2,$Q$2)/$Q$2))</f>
        <v>9627.51282857422</v>
      </c>
      <c r="M205" s="15" t="n">
        <f aca="false">L205*(1+IF(M$3&lt;=$O$2,$D205,$D205-($D205-$I$184)*MIN(M$3-$O$2,$Q$2)/$Q$2))</f>
        <v>9962.12983375508</v>
      </c>
      <c r="N205" s="15" t="n">
        <f aca="false">M205*(1+IF(N$3&lt;=$O$2,$D205,$D205-($D205-$I$184)*MIN(N$3-$O$2,$Q$2)/$Q$2))</f>
        <v>10144.4368097128</v>
      </c>
      <c r="O205" s="15" t="n">
        <f aca="false">SUMPRODUCT(E205:N205,1/(1+$F$184)^$E$3:$N$3)*$E$2</f>
        <v>7883.93734131781</v>
      </c>
      <c r="P205" s="15" t="n">
        <f aca="false">N205*$E$2*(1+$I$184)/($F$184-$I$184)/(1+$F$184)^$N$3</f>
        <v>9766.57727399438</v>
      </c>
      <c r="Q205" s="15" t="n">
        <f aca="false">O205+P205</f>
        <v>17650.5146153122</v>
      </c>
      <c r="R205" s="15" t="n">
        <f aca="false">Q205-$G$2+$I$2</f>
        <v>12830.0146153122</v>
      </c>
      <c r="S205" s="42" t="n">
        <f aca="false">R205/$K$2</f>
        <v>66.9624979922348</v>
      </c>
      <c r="T205" s="43" t="n">
        <f aca="false">S205-$M$2</f>
        <v>7.62803350227159E-005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0.100580215454102</v>
      </c>
      <c r="C206" s="25" t="n">
        <f aca="false">IF(T205&gt;0,D205,C205)</f>
        <v>0.100581645965576</v>
      </c>
      <c r="D206" s="41" t="n">
        <f aca="false">(B206+C206)/2</f>
        <v>0.100580930709839</v>
      </c>
      <c r="E206" s="15" t="n">
        <f aca="false">$C$2*(1+IF(E$3&lt;=$O$2,$D206,$D206-($D206-$I$184)*MIN(E$3-$O$2,$Q$2)/$Q$2))</f>
        <v>5392.84656047821</v>
      </c>
      <c r="F206" s="15" t="n">
        <f aca="false">E206*(1+IF(F$3&lt;=$O$2,$D206,$D206-($D206-$I$184)*MIN(F$3-$O$2,$Q$2)/$Q$2))</f>
        <v>5935.26408670646</v>
      </c>
      <c r="G206" s="15" t="n">
        <f aca="false">F206*(1+IF(G$3&lt;=$O$2,$D206,$D206-($D206-$I$184)*MIN(G$3-$O$2,$Q$2)/$Q$2))</f>
        <v>6532.23847255608</v>
      </c>
      <c r="H206" s="15" t="n">
        <f aca="false">G206*(1+IF(H$3&lt;=$O$2,$D206,$D206-($D206-$I$184)*MIN(H$3-$O$2,$Q$2)/$Q$2))</f>
        <v>7189.25709774439</v>
      </c>
      <c r="I206" s="15" t="n">
        <f aca="false">H206*(1+IF(I$3&lt;=$O$2,$D206,$D206-($D206-$I$184)*MIN(I$3-$O$2,$Q$2)/$Q$2))</f>
        <v>7912.35926774783</v>
      </c>
      <c r="J206" s="15" t="n">
        <f aca="false">I206*(1+IF(J$3&lt;=$O$2,$D206,$D206-($D206-$I$184)*MIN(J$3-$O$2,$Q$2)/$Q$2))</f>
        <v>8577.98447007634</v>
      </c>
      <c r="K206" s="15" t="n">
        <f aca="false">J206*(1+IF(K$3&lt;=$O$2,$D206,$D206-($D206-$I$184)*MIN(K$3-$O$2,$Q$2)/$Q$2))</f>
        <v>9158.4443133662</v>
      </c>
      <c r="L206" s="15" t="n">
        <f aca="false">K206*(1+IF(L$3&lt;=$O$2,$D206,$D206-($D206-$I$184)*MIN(L$3-$O$2,$Q$2)/$Q$2))</f>
        <v>9627.469973084</v>
      </c>
      <c r="M206" s="15" t="n">
        <f aca="false">L206*(1+IF(M$3&lt;=$O$2,$D206,$D206-($D206-$I$184)*MIN(M$3-$O$2,$Q$2)/$Q$2))</f>
        <v>9962.08411154471</v>
      </c>
      <c r="N206" s="15" t="n">
        <f aca="false">M206*(1+IF(N$3&lt;=$O$2,$D206,$D206-($D206-$I$184)*MIN(N$3-$O$2,$Q$2)/$Q$2))</f>
        <v>10144.390250786</v>
      </c>
      <c r="O206" s="15" t="n">
        <f aca="false">SUMPRODUCT(E206:N206,1/(1+$F$184)^$E$3:$N$3)*$E$2</f>
        <v>7883.91291661444</v>
      </c>
      <c r="P206" s="15" t="n">
        <f aca="false">N206*$E$2*(1+$I$184)/($F$184-$I$184)/(1+$F$184)^$N$3</f>
        <v>9766.53244929242</v>
      </c>
      <c r="Q206" s="15" t="n">
        <f aca="false">O206+P206</f>
        <v>17650.4453659069</v>
      </c>
      <c r="R206" s="15" t="n">
        <f aca="false">Q206-$G$2+$I$2</f>
        <v>12829.9453659069</v>
      </c>
      <c r="S206" s="42" t="n">
        <f aca="false">R206/$K$2</f>
        <v>66.9621365652759</v>
      </c>
      <c r="T206" s="43" t="n">
        <f aca="false">S206-$M$2</f>
        <v>-0.000285146623937749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0.100580930709839</v>
      </c>
      <c r="C207" s="25" t="n">
        <f aca="false">IF(T206&gt;0,D206,C206)</f>
        <v>0.100581645965576</v>
      </c>
      <c r="D207" s="41" t="n">
        <f aca="false">(B207+C207)/2</f>
        <v>0.100581288337708</v>
      </c>
      <c r="E207" s="15" t="n">
        <f aca="false">$C$2*(1+IF(E$3&lt;=$O$2,$D207,$D207-($D207-$I$184)*MIN(E$3-$O$2,$Q$2)/$Q$2))</f>
        <v>5392.84831285477</v>
      </c>
      <c r="F207" s="15" t="n">
        <f aca="false">E207*(1+IF(F$3&lt;=$O$2,$D207,$D207-($D207-$I$184)*MIN(F$3-$O$2,$Q$2)/$Q$2))</f>
        <v>5935.26794397153</v>
      </c>
      <c r="G207" s="15" t="n">
        <f aca="false">F207*(1+IF(G$3&lt;=$O$2,$D207,$D207-($D207-$I$184)*MIN(G$3-$O$2,$Q$2)/$Q$2))</f>
        <v>6532.24484040569</v>
      </c>
      <c r="H207" s="15" t="n">
        <f aca="false">G207*(1+IF(H$3&lt;=$O$2,$D207,$D207-($D207-$I$184)*MIN(H$3-$O$2,$Q$2)/$Q$2))</f>
        <v>7189.26644219103</v>
      </c>
      <c r="I207" s="15" t="n">
        <f aca="false">H207*(1+IF(I$3&lt;=$O$2,$D207,$D207-($D207-$I$184)*MIN(I$3-$O$2,$Q$2)/$Q$2))</f>
        <v>7912.37212314965</v>
      </c>
      <c r="J207" s="15" t="n">
        <f aca="false">I207*(1+IF(J$3&lt;=$O$2,$D207,$D207-($D207-$I$184)*MIN(J$3-$O$2,$Q$2)/$Q$2))</f>
        <v>8578.00067068338</v>
      </c>
      <c r="K207" s="15" t="n">
        <f aca="false">J207*(1+IF(K$3&lt;=$O$2,$D207,$D207-($D207-$I$184)*MIN(K$3-$O$2,$Q$2)/$Q$2))</f>
        <v>9158.46345088422</v>
      </c>
      <c r="L207" s="15" t="n">
        <f aca="false">K207*(1+IF(L$3&lt;=$O$2,$D207,$D207-($D207-$I$184)*MIN(L$3-$O$2,$Q$2)/$Q$2))</f>
        <v>9627.49140080842</v>
      </c>
      <c r="M207" s="15" t="n">
        <f aca="false">L207*(1+IF(M$3&lt;=$O$2,$D207,$D207-($D207-$I$184)*MIN(M$3-$O$2,$Q$2)/$Q$2))</f>
        <v>9962.10697262696</v>
      </c>
      <c r="N207" s="15" t="n">
        <f aca="false">M207*(1+IF(N$3&lt;=$O$2,$D207,$D207-($D207-$I$184)*MIN(N$3-$O$2,$Q$2)/$Q$2))</f>
        <v>10144.413530226</v>
      </c>
      <c r="O207" s="15" t="n">
        <f aca="false">SUMPRODUCT(E207:N207,1/(1+$F$184)^$E$3:$N$3)*$E$2</f>
        <v>7883.92512895672</v>
      </c>
      <c r="P207" s="15" t="n">
        <f aca="false">N207*$E$2*(1+$I$184)/($F$184-$I$184)/(1+$F$184)^$N$3</f>
        <v>9766.55486162091</v>
      </c>
      <c r="Q207" s="15" t="n">
        <f aca="false">O207+P207</f>
        <v>17650.4799905776</v>
      </c>
      <c r="R207" s="15" t="n">
        <f aca="false">Q207-$G$2+$I$2</f>
        <v>12829.9799905776</v>
      </c>
      <c r="S207" s="42" t="n">
        <f aca="false">R207/$K$2</f>
        <v>66.9623172785889</v>
      </c>
      <c r="T207" s="43" t="n">
        <f aca="false">S207-$M$2</f>
        <v>-0.000104433310909258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0.100581288337708</v>
      </c>
      <c r="C208" s="25" t="n">
        <f aca="false">IF(T207&gt;0,D207,C207)</f>
        <v>0.100581645965576</v>
      </c>
      <c r="D208" s="41" t="n">
        <f aca="false">(B208+C208)/2</f>
        <v>0.100581467151642</v>
      </c>
      <c r="E208" s="15" t="n">
        <f aca="false">$C$2*(1+IF(E$3&lt;=$O$2,$D208,$D208-($D208-$I$184)*MIN(E$3-$O$2,$Q$2)/$Q$2))</f>
        <v>5392.84918904305</v>
      </c>
      <c r="F208" s="15" t="n">
        <f aca="false">E208*(1+IF(F$3&lt;=$O$2,$D208,$D208-($D208-$I$184)*MIN(F$3-$O$2,$Q$2)/$Q$2))</f>
        <v>5935.26987260454</v>
      </c>
      <c r="G208" s="15" t="n">
        <f aca="false">F208*(1+IF(G$3&lt;=$O$2,$D208,$D208-($D208-$I$184)*MIN(G$3-$O$2,$Q$2)/$Q$2))</f>
        <v>6532.24802433204</v>
      </c>
      <c r="H208" s="15" t="n">
        <f aca="false">G208*(1+IF(H$3&lt;=$O$2,$D208,$D208-($D208-$I$184)*MIN(H$3-$O$2,$Q$2)/$Q$2))</f>
        <v>7189.27111441777</v>
      </c>
      <c r="I208" s="15" t="n">
        <f aca="false">H208*(1+IF(I$3&lt;=$O$2,$D208,$D208-($D208-$I$184)*MIN(I$3-$O$2,$Q$2)/$Q$2))</f>
        <v>7912.37855085683</v>
      </c>
      <c r="J208" s="15" t="n">
        <f aca="false">I208*(1+IF(J$3&lt;=$O$2,$D208,$D208-($D208-$I$184)*MIN(J$3-$O$2,$Q$2)/$Q$2))</f>
        <v>8578.00877099645</v>
      </c>
      <c r="K208" s="15" t="n">
        <f aca="false">J208*(1+IF(K$3&lt;=$O$2,$D208,$D208-($D208-$I$184)*MIN(K$3-$O$2,$Q$2)/$Q$2))</f>
        <v>9158.47301965603</v>
      </c>
      <c r="L208" s="15" t="n">
        <f aca="false">K208*(1+IF(L$3&lt;=$O$2,$D208,$D208-($D208-$I$184)*MIN(L$3-$O$2,$Q$2)/$Q$2))</f>
        <v>9627.50211468615</v>
      </c>
      <c r="M208" s="15" t="n">
        <f aca="false">L208*(1+IF(M$3&lt;=$O$2,$D208,$D208-($D208-$I$184)*MIN(M$3-$O$2,$Q$2)/$Q$2))</f>
        <v>9962.11840318529</v>
      </c>
      <c r="N208" s="15" t="n">
        <f aca="false">M208*(1+IF(N$3&lt;=$O$2,$D208,$D208-($D208-$I$184)*MIN(N$3-$O$2,$Q$2)/$Q$2))</f>
        <v>10144.4251699636</v>
      </c>
      <c r="O208" s="15" t="n">
        <f aca="false">SUMPRODUCT(E208:N208,1/(1+$F$184)^$E$3:$N$3)*$E$2</f>
        <v>7883.93123513491</v>
      </c>
      <c r="P208" s="15" t="n">
        <f aca="false">N208*$E$2*(1+$I$184)/($F$184-$I$184)/(1+$F$184)^$N$3</f>
        <v>9766.56606780202</v>
      </c>
      <c r="Q208" s="15" t="n">
        <f aca="false">O208+P208</f>
        <v>17650.4973029369</v>
      </c>
      <c r="R208" s="15" t="n">
        <f aca="false">Q208-$G$2+$I$2</f>
        <v>12829.9973029369</v>
      </c>
      <c r="S208" s="42" t="n">
        <f aca="false">R208/$K$2</f>
        <v>66.9624076353702</v>
      </c>
      <c r="T208" s="43" t="n">
        <f aca="false">S208-$M$2</f>
        <v>-1.40765295668643E-005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0.100581467151642</v>
      </c>
      <c r="C209" s="25" t="n">
        <f aca="false">IF(T208&gt;0,D208,C208)</f>
        <v>0.100581645965576</v>
      </c>
      <c r="D209" s="41" t="n">
        <f aca="false">(B209+C209)/2</f>
        <v>0.100581556558609</v>
      </c>
      <c r="E209" s="15" t="n">
        <f aca="false">$C$2*(1+IF(E$3&lt;=$O$2,$D209,$D209-($D209-$I$184)*MIN(E$3-$O$2,$Q$2)/$Q$2))</f>
        <v>5392.84962713718</v>
      </c>
      <c r="F209" s="15" t="n">
        <f aca="false">E209*(1+IF(F$3&lt;=$O$2,$D209,$D209-($D209-$I$184)*MIN(F$3-$O$2,$Q$2)/$Q$2))</f>
        <v>5935.27083692116</v>
      </c>
      <c r="G209" s="15" t="n">
        <f aca="false">F209*(1+IF(G$3&lt;=$O$2,$D209,$D209-($D209-$I$184)*MIN(G$3-$O$2,$Q$2)/$Q$2))</f>
        <v>6532.2496162956</v>
      </c>
      <c r="H209" s="15" t="n">
        <f aca="false">G209*(1+IF(H$3&lt;=$O$2,$D209,$D209-($D209-$I$184)*MIN(H$3-$O$2,$Q$2)/$Q$2))</f>
        <v>7189.27345053199</v>
      </c>
      <c r="I209" s="15" t="n">
        <f aca="false">H209*(1+IF(I$3&lt;=$O$2,$D209,$D209-($D209-$I$184)*MIN(I$3-$O$2,$Q$2)/$Q$2))</f>
        <v>7912.38176471198</v>
      </c>
      <c r="J209" s="15" t="n">
        <f aca="false">I209*(1+IF(J$3&lt;=$O$2,$D209,$D209-($D209-$I$184)*MIN(J$3-$O$2,$Q$2)/$Q$2))</f>
        <v>8578.01282115538</v>
      </c>
      <c r="K209" s="15" t="n">
        <f aca="false">J209*(1+IF(K$3&lt;=$O$2,$D209,$D209-($D209-$I$184)*MIN(K$3-$O$2,$Q$2)/$Q$2))</f>
        <v>9158.47780404514</v>
      </c>
      <c r="L209" s="15" t="n">
        <f aca="false">K209*(1+IF(L$3&lt;=$O$2,$D209,$D209-($D209-$I$184)*MIN(L$3-$O$2,$Q$2)/$Q$2))</f>
        <v>9627.50747162889</v>
      </c>
      <c r="M209" s="15" t="n">
        <f aca="false">L209*(1+IF(M$3&lt;=$O$2,$D209,$D209-($D209-$I$184)*MIN(M$3-$O$2,$Q$2)/$Q$2))</f>
        <v>9962.12411846875</v>
      </c>
      <c r="N209" s="15" t="n">
        <f aca="false">M209*(1+IF(N$3&lt;=$O$2,$D209,$D209-($D209-$I$184)*MIN(N$3-$O$2,$Q$2)/$Q$2))</f>
        <v>10144.4309898367</v>
      </c>
      <c r="O209" s="15" t="n">
        <f aca="false">SUMPRODUCT(E209:N209,1/(1+$F$184)^$E$3:$N$3)*$E$2</f>
        <v>7883.93428822577</v>
      </c>
      <c r="P209" s="15" t="n">
        <f aca="false">N209*$E$2*(1+$I$184)/($F$184-$I$184)/(1+$F$184)^$N$3</f>
        <v>9766.5716708968</v>
      </c>
      <c r="Q209" s="15" t="n">
        <f aca="false">O209+P209</f>
        <v>17650.5059591226</v>
      </c>
      <c r="R209" s="15" t="n">
        <f aca="false">Q209-$G$2+$I$2</f>
        <v>12830.0059591226</v>
      </c>
      <c r="S209" s="42" t="n">
        <f aca="false">R209/$K$2</f>
        <v>66.9624528137921</v>
      </c>
      <c r="T209" s="43" t="n">
        <f aca="false">S209-$M$2</f>
        <v>3.11018923184747E-005</v>
      </c>
    </row>
    <row r="211" customFormat="false" ht="15" hidden="false" customHeight="false" outlineLevel="0" collapsed="false">
      <c r="A211" s="38" t="s">
        <v>179</v>
      </c>
      <c r="E211" s="5" t="s">
        <v>11</v>
      </c>
      <c r="F211" s="12" t="n">
        <f aca="false">Sensitivity!$B$11</f>
        <v>0.0900848977416375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153</v>
      </c>
      <c r="B212" s="28" t="s">
        <v>154</v>
      </c>
      <c r="C212" s="28" t="s">
        <v>155</v>
      </c>
      <c r="D212" s="28" t="s">
        <v>156</v>
      </c>
      <c r="E212" s="28" t="s">
        <v>157</v>
      </c>
      <c r="F212" s="28" t="s">
        <v>158</v>
      </c>
      <c r="G212" s="28" t="s">
        <v>159</v>
      </c>
      <c r="H212" s="28" t="s">
        <v>160</v>
      </c>
      <c r="I212" s="28" t="s">
        <v>161</v>
      </c>
      <c r="J212" s="28" t="s">
        <v>162</v>
      </c>
      <c r="K212" s="28" t="s">
        <v>163</v>
      </c>
      <c r="L212" s="28" t="s">
        <v>164</v>
      </c>
      <c r="M212" s="28" t="s">
        <v>165</v>
      </c>
      <c r="N212" s="28" t="s">
        <v>166</v>
      </c>
      <c r="O212" s="28" t="s">
        <v>167</v>
      </c>
      <c r="P212" s="28" t="s">
        <v>168</v>
      </c>
      <c r="Q212" s="28" t="s">
        <v>169</v>
      </c>
      <c r="R212" s="28" t="s">
        <v>170</v>
      </c>
      <c r="S212" s="28" t="s">
        <v>171</v>
      </c>
      <c r="T212" s="28" t="s">
        <v>172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6125</v>
      </c>
      <c r="F213" s="15" t="n">
        <f aca="false">E213*(1+IF(F$3&lt;=$O$2,$D213,$D213-($D213-$I$211)*MIN(F$3-$O$2,$Q$2)/$Q$2))</f>
        <v>7656.25</v>
      </c>
      <c r="G213" s="15" t="n">
        <f aca="false">F213*(1+IF(G$3&lt;=$O$2,$D213,$D213-($D213-$I$211)*MIN(G$3-$O$2,$Q$2)/$Q$2))</f>
        <v>9570.3125</v>
      </c>
      <c r="H213" s="15" t="n">
        <f aca="false">G213*(1+IF(H$3&lt;=$O$2,$D213,$D213-($D213-$I$211)*MIN(H$3-$O$2,$Q$2)/$Q$2))</f>
        <v>11962.890625</v>
      </c>
      <c r="I213" s="15" t="n">
        <f aca="false">H213*(1+IF(I$3&lt;=$O$2,$D213,$D213-($D213-$I$211)*MIN(I$3-$O$2,$Q$2)/$Q$2))</f>
        <v>14953.61328125</v>
      </c>
      <c r="J213" s="15" t="n">
        <f aca="false">I213*(1+IF(J$3&lt;=$O$2,$D213,$D213-($D213-$I$211)*MIN(J$3-$O$2,$Q$2)/$Q$2))</f>
        <v>18014.0197753906</v>
      </c>
      <c r="K213" s="15" t="n">
        <f aca="false">J213*(1+IF(K$3&lt;=$O$2,$D213,$D213-($D213-$I$211)*MIN(K$3-$O$2,$Q$2)/$Q$2))</f>
        <v>20884.0134060059</v>
      </c>
      <c r="L213" s="15" t="n">
        <f aca="false">K213*(1+IF(L$3&lt;=$O$2,$D213,$D213-($D213-$I$211)*MIN(L$3-$O$2,$Q$2)/$Q$2))</f>
        <v>23264.3732540224</v>
      </c>
      <c r="M213" s="15" t="n">
        <f aca="false">L213*(1+IF(M$3&lt;=$O$2,$D213,$D213-($D213-$I$211)*MIN(M$3-$O$2,$Q$2)/$Q$2))</f>
        <v>24861.2398341785</v>
      </c>
      <c r="N213" s="15" t="n">
        <f aca="false">M213*(1+IF(N$3&lt;=$O$2,$D213,$D213-($D213-$I$211)*MIN(N$3-$O$2,$Q$2)/$Q$2))</f>
        <v>25440.5067223149</v>
      </c>
      <c r="O213" s="15" t="n">
        <f aca="false">SUMPRODUCT(E213:N213,1/(1+$F$211)^$E$3:$N$3)*$E$2</f>
        <v>15056.4074801615</v>
      </c>
      <c r="P213" s="15" t="n">
        <f aca="false">N213*$E$2*(1+$I$211)/($F$211-$I$211)/(1+$F$211)^$N$3</f>
        <v>26455.8827857942</v>
      </c>
      <c r="Q213" s="15" t="n">
        <f aca="false">O213+P213</f>
        <v>41512.2902659557</v>
      </c>
      <c r="R213" s="15" t="n">
        <f aca="false">Q213-$G$2+$I$2</f>
        <v>36691.7902659557</v>
      </c>
      <c r="S213" s="42" t="n">
        <f aca="false">R213/$K$2</f>
        <v>191.502036878683</v>
      </c>
      <c r="T213" s="43" t="n">
        <f aca="false">S213-$M$2</f>
        <v>124.539615166783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4287.5</v>
      </c>
      <c r="F214" s="15" t="n">
        <f aca="false">E214*(1+IF(F$3&lt;=$O$2,$D214,$D214-($D214-$I$211)*MIN(F$3-$O$2,$Q$2)/$Q$2))</f>
        <v>3751.5625</v>
      </c>
      <c r="G214" s="15" t="n">
        <f aca="false">F214*(1+IF(G$3&lt;=$O$2,$D214,$D214-($D214-$I$211)*MIN(G$3-$O$2,$Q$2)/$Q$2))</f>
        <v>3282.6171875</v>
      </c>
      <c r="H214" s="15" t="n">
        <f aca="false">G214*(1+IF(H$3&lt;=$O$2,$D214,$D214-($D214-$I$211)*MIN(H$3-$O$2,$Q$2)/$Q$2))</f>
        <v>2872.2900390625</v>
      </c>
      <c r="I214" s="15" t="n">
        <f aca="false">H214*(1+IF(I$3&lt;=$O$2,$D214,$D214-($D214-$I$211)*MIN(I$3-$O$2,$Q$2)/$Q$2))</f>
        <v>2513.25378417969</v>
      </c>
      <c r="J214" s="15" t="n">
        <f aca="false">I214*(1+IF(J$3&lt;=$O$2,$D214,$D214-($D214-$I$211)*MIN(J$3-$O$2,$Q$2)/$Q$2))</f>
        <v>2273.640168396</v>
      </c>
      <c r="K214" s="15" t="n">
        <f aca="false">J214*(1+IF(K$3&lt;=$O$2,$D214,$D214-($D214-$I$211)*MIN(K$3-$O$2,$Q$2)/$Q$2))</f>
        <v>2124.30748213575</v>
      </c>
      <c r="L214" s="15" t="n">
        <f aca="false">K214*(1+IF(L$3&lt;=$O$2,$D214,$D214-($D214-$I$211)*MIN(L$3-$O$2,$Q$2)/$Q$2))</f>
        <v>2047.78992662922</v>
      </c>
      <c r="M214" s="15" t="n">
        <f aca="false">L214*(1+IF(M$3&lt;=$O$2,$D214,$D214-($D214-$I$211)*MIN(M$3-$O$2,$Q$2)/$Q$2))</f>
        <v>2034.76598269586</v>
      </c>
      <c r="N214" s="15" t="n">
        <f aca="false">M214*(1+IF(N$3&lt;=$O$2,$D214,$D214-($D214-$I$211)*MIN(N$3-$O$2,$Q$2)/$Q$2))</f>
        <v>2082.17603009267</v>
      </c>
      <c r="O214" s="15" t="n">
        <f aca="false">SUMPRODUCT(E214:N214,1/(1+$F$211)^$E$3:$N$3)*$E$2</f>
        <v>2998.8600257386</v>
      </c>
      <c r="P214" s="15" t="n">
        <f aca="false">N214*$E$2*(1+$I$211)/($F$211-$I$211)/(1+$F$211)^$N$3</f>
        <v>2165.27939450216</v>
      </c>
      <c r="Q214" s="15" t="n">
        <f aca="false">O214+P214</f>
        <v>5164.13942024076</v>
      </c>
      <c r="R214" s="15" t="n">
        <f aca="false">Q214-$G$2+$I$2</f>
        <v>343.639420240759</v>
      </c>
      <c r="S214" s="42" t="n">
        <f aca="false">R214/$K$2</f>
        <v>1.79352515783277</v>
      </c>
      <c r="T214" s="43" t="n">
        <f aca="false">S214-$M$2</f>
        <v>-65.168896554067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5206.25</v>
      </c>
      <c r="F215" s="15" t="n">
        <f aca="false">E215*(1+IF(F$3&lt;=$O$2,$D215,$D215-($D215-$I$211)*MIN(F$3-$O$2,$Q$2)/$Q$2))</f>
        <v>5531.640625</v>
      </c>
      <c r="G215" s="15" t="n">
        <f aca="false">F215*(1+IF(G$3&lt;=$O$2,$D215,$D215-($D215-$I$211)*MIN(G$3-$O$2,$Q$2)/$Q$2))</f>
        <v>5877.3681640625</v>
      </c>
      <c r="H215" s="15" t="n">
        <f aca="false">G215*(1+IF(H$3&lt;=$O$2,$D215,$D215-($D215-$I$211)*MIN(H$3-$O$2,$Q$2)/$Q$2))</f>
        <v>6244.70367431641</v>
      </c>
      <c r="I215" s="15" t="n">
        <f aca="false">H215*(1+IF(I$3&lt;=$O$2,$D215,$D215-($D215-$I$211)*MIN(I$3-$O$2,$Q$2)/$Q$2))</f>
        <v>6634.99765396118</v>
      </c>
      <c r="J215" s="15" t="n">
        <f aca="false">I215*(1+IF(J$3&lt;=$O$2,$D215,$D215-($D215-$I$211)*MIN(J$3-$O$2,$Q$2)/$Q$2))</f>
        <v>6997.6666257267</v>
      </c>
      <c r="K215" s="15" t="n">
        <f aca="false">J215*(1+IF(K$3&lt;=$O$2,$D215,$D215-($D215-$I$211)*MIN(K$3-$O$2,$Q$2)/$Q$2))</f>
        <v>7325.29737714322</v>
      </c>
      <c r="L215" s="15" t="n">
        <f aca="false">K215*(1+IF(L$3&lt;=$O$2,$D215,$D215-($D215-$I$211)*MIN(L$3-$O$2,$Q$2)/$Q$2))</f>
        <v>7610.83746890427</v>
      </c>
      <c r="M215" s="15" t="n">
        <f aca="false">L215*(1+IF(M$3&lt;=$O$2,$D215,$D215-($D215-$I$211)*MIN(M$3-$O$2,$Q$2)/$Q$2))</f>
        <v>7847.83894768595</v>
      </c>
      <c r="N215" s="15" t="n">
        <f aca="false">M215*(1+IF(N$3&lt;=$O$2,$D215,$D215-($D215-$I$211)*MIN(N$3-$O$2,$Q$2)/$Q$2))</f>
        <v>8030.69359516703</v>
      </c>
      <c r="O215" s="15" t="n">
        <f aca="false">SUMPRODUCT(E215:N215,1/(1+$F$211)^$E$3:$N$3)*$E$2</f>
        <v>6704.36308659816</v>
      </c>
      <c r="P215" s="15" t="n">
        <f aca="false">N215*$E$2*(1+$I$211)/($F$211-$I$211)/(1+$F$211)^$N$3</f>
        <v>8351.21292045693</v>
      </c>
      <c r="Q215" s="15" t="n">
        <f aca="false">O215+P215</f>
        <v>15055.5760070551</v>
      </c>
      <c r="R215" s="15" t="n">
        <f aca="false">Q215-$G$2+$I$2</f>
        <v>10235.0760070551</v>
      </c>
      <c r="S215" s="42" t="n">
        <f aca="false">R215/$K$2</f>
        <v>53.4189770723126</v>
      </c>
      <c r="T215" s="43" t="n">
        <f aca="false">S215-$M$2</f>
        <v>-13.5434446395872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41" t="n">
        <f aca="false">(B216+C216)/2</f>
        <v>0.15625</v>
      </c>
      <c r="E216" s="15" t="n">
        <f aca="false">$C$2*(1+IF(E$3&lt;=$O$2,$D216,$D216-($D216-$I$211)*MIN(E$3-$O$2,$Q$2)/$Q$2))</f>
        <v>5665.625</v>
      </c>
      <c r="F216" s="15" t="n">
        <f aca="false">E216*(1+IF(F$3&lt;=$O$2,$D216,$D216-($D216-$I$211)*MIN(F$3-$O$2,$Q$2)/$Q$2))</f>
        <v>6550.87890625</v>
      </c>
      <c r="G216" s="15" t="n">
        <f aca="false">F216*(1+IF(G$3&lt;=$O$2,$D216,$D216-($D216-$I$211)*MIN(G$3-$O$2,$Q$2)/$Q$2))</f>
        <v>7574.45373535156</v>
      </c>
      <c r="H216" s="15" t="n">
        <f aca="false">G216*(1+IF(H$3&lt;=$O$2,$D216,$D216-($D216-$I$211)*MIN(H$3-$O$2,$Q$2)/$Q$2))</f>
        <v>8757.96213150024</v>
      </c>
      <c r="I216" s="15" t="n">
        <f aca="false">H216*(1+IF(I$3&lt;=$O$2,$D216,$D216-($D216-$I$211)*MIN(I$3-$O$2,$Q$2)/$Q$2))</f>
        <v>10126.3937145472</v>
      </c>
      <c r="J216" s="15" t="n">
        <f aca="false">I216*(1+IF(J$3&lt;=$O$2,$D216,$D216-($D216-$I$211)*MIN(J$3-$O$2,$Q$2)/$Q$2))</f>
        <v>11439.3819235753</v>
      </c>
      <c r="K216" s="15" t="n">
        <f aca="false">J216*(1+IF(K$3&lt;=$O$2,$D216,$D216-($D216-$I$211)*MIN(K$3-$O$2,$Q$2)/$Q$2))</f>
        <v>12618.4390184383</v>
      </c>
      <c r="L216" s="15" t="n">
        <f aca="false">K216*(1+IF(L$3&lt;=$O$2,$D216,$D216-($D216-$I$211)*MIN(L$3-$O$2,$Q$2)/$Q$2))</f>
        <v>13583.4972345684</v>
      </c>
      <c r="M216" s="15" t="n">
        <f aca="false">L216*(1+IF(M$3&lt;=$O$2,$D216,$D216-($D216-$I$211)*MIN(M$3-$O$2,$Q$2)/$Q$2))</f>
        <v>14261.177911601</v>
      </c>
      <c r="N216" s="15" t="n">
        <f aca="false">M216*(1+IF(N$3&lt;=$O$2,$D216,$D216-($D216-$I$211)*MIN(N$3-$O$2,$Q$2)/$Q$2))</f>
        <v>14593.4633569413</v>
      </c>
      <c r="O216" s="15" t="n">
        <f aca="false">SUMPRODUCT(E216:N216,1/(1+$F$211)^$E$3:$N$3)*$E$2</f>
        <v>10064.2101932907</v>
      </c>
      <c r="P216" s="15" t="n">
        <f aca="false">N216*$E$2*(1+$I$211)/($F$211-$I$211)/(1+$F$211)^$N$3</f>
        <v>15175.9145454196</v>
      </c>
      <c r="Q216" s="15" t="n">
        <f aca="false">O216+P216</f>
        <v>25240.1247387103</v>
      </c>
      <c r="R216" s="15" t="n">
        <f aca="false">Q216-$G$2+$I$2</f>
        <v>20419.6247387103</v>
      </c>
      <c r="S216" s="42" t="n">
        <f aca="false">R216/$K$2</f>
        <v>106.574241851306</v>
      </c>
      <c r="T216" s="43" t="n">
        <f aca="false">S216-$M$2</f>
        <v>39.6118201394064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41" t="n">
        <f aca="false">(B217+C217)/2</f>
        <v>0.109375</v>
      </c>
      <c r="E217" s="15" t="n">
        <f aca="false">$C$2*(1+IF(E$3&lt;=$O$2,$D217,$D217-($D217-$I$211)*MIN(E$3-$O$2,$Q$2)/$Q$2))</f>
        <v>5435.9375</v>
      </c>
      <c r="F217" s="15" t="n">
        <f aca="false">E217*(1+IF(F$3&lt;=$O$2,$D217,$D217-($D217-$I$211)*MIN(F$3-$O$2,$Q$2)/$Q$2))</f>
        <v>6030.4931640625</v>
      </c>
      <c r="G217" s="15" t="n">
        <f aca="false">F217*(1+IF(G$3&lt;=$O$2,$D217,$D217-($D217-$I$211)*MIN(G$3-$O$2,$Q$2)/$Q$2))</f>
        <v>6690.07835388184</v>
      </c>
      <c r="H217" s="15" t="n">
        <f aca="false">G217*(1+IF(H$3&lt;=$O$2,$D217,$D217-($D217-$I$211)*MIN(H$3-$O$2,$Q$2)/$Q$2))</f>
        <v>7421.80567383766</v>
      </c>
      <c r="I217" s="15" t="n">
        <f aca="false">H217*(1+IF(I$3&lt;=$O$2,$D217,$D217-($D217-$I$211)*MIN(I$3-$O$2,$Q$2)/$Q$2))</f>
        <v>8233.56566941366</v>
      </c>
      <c r="J217" s="15" t="n">
        <f aca="false">I217*(1+IF(J$3&lt;=$O$2,$D217,$D217-($D217-$I$211)*MIN(J$3-$O$2,$Q$2)/$Q$2))</f>
        <v>8992.37108150682</v>
      </c>
      <c r="K217" s="15" t="n">
        <f aca="false">J217*(1+IF(K$3&lt;=$O$2,$D217,$D217-($D217-$I$211)*MIN(K$3-$O$2,$Q$2)/$Q$2))</f>
        <v>9666.30433221035</v>
      </c>
      <c r="L217" s="15" t="n">
        <f aca="false">K217*(1+IF(L$3&lt;=$O$2,$D217,$D217-($D217-$I$211)*MIN(L$3-$O$2,$Q$2)/$Q$2))</f>
        <v>10224.3400813089</v>
      </c>
      <c r="M217" s="15" t="n">
        <f aca="false">L217*(1+IF(M$3&lt;=$O$2,$D217,$D217-($D217-$I$211)*MIN(M$3-$O$2,$Q$2)/$Q$2))</f>
        <v>10638.5792197031</v>
      </c>
      <c r="N217" s="15" t="n">
        <f aca="false">M217*(1+IF(N$3&lt;=$O$2,$D217,$D217-($D217-$I$211)*MIN(N$3-$O$2,$Q$2)/$Q$2))</f>
        <v>10886.4581155222</v>
      </c>
      <c r="O217" s="15" t="n">
        <f aca="false">SUMPRODUCT(E217:N217,1/(1+$F$211)^$E$3:$N$3)*$E$2</f>
        <v>8215.69364672742</v>
      </c>
      <c r="P217" s="15" t="n">
        <f aca="false">N217*$E$2*(1+$I$211)/($F$211-$I$211)/(1+$F$211)^$N$3</f>
        <v>11320.9561036018</v>
      </c>
      <c r="Q217" s="15" t="n">
        <f aca="false">O217+P217</f>
        <v>19536.6497503292</v>
      </c>
      <c r="R217" s="15" t="n">
        <f aca="false">Q217-$G$2+$I$2</f>
        <v>14716.1497503292</v>
      </c>
      <c r="S217" s="42" t="n">
        <f aca="false">R217/$K$2</f>
        <v>76.8066270894008</v>
      </c>
      <c r="T217" s="43" t="n">
        <f aca="false">S217-$M$2</f>
        <v>9.84420537750097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0.0625</v>
      </c>
      <c r="C218" s="25" t="n">
        <f aca="false">IF(T217&gt;0,D217,C217)</f>
        <v>0.109375</v>
      </c>
      <c r="D218" s="41" t="n">
        <f aca="false">(B218+C218)/2</f>
        <v>0.0859375</v>
      </c>
      <c r="E218" s="15" t="n">
        <f aca="false">$C$2*(1+IF(E$3&lt;=$O$2,$D218,$D218-($D218-$I$211)*MIN(E$3-$O$2,$Q$2)/$Q$2))</f>
        <v>5321.09375</v>
      </c>
      <c r="F218" s="15" t="n">
        <f aca="false">E218*(1+IF(F$3&lt;=$O$2,$D218,$D218-($D218-$I$211)*MIN(F$3-$O$2,$Q$2)/$Q$2))</f>
        <v>5778.37524414063</v>
      </c>
      <c r="G218" s="15" t="n">
        <f aca="false">F218*(1+IF(G$3&lt;=$O$2,$D218,$D218-($D218-$I$211)*MIN(G$3-$O$2,$Q$2)/$Q$2))</f>
        <v>6274.95436668396</v>
      </c>
      <c r="H218" s="15" t="n">
        <f aca="false">G218*(1+IF(H$3&lt;=$O$2,$D218,$D218-($D218-$I$211)*MIN(H$3-$O$2,$Q$2)/$Q$2))</f>
        <v>6814.20825757086</v>
      </c>
      <c r="I218" s="15" t="n">
        <f aca="false">H218*(1+IF(I$3&lt;=$O$2,$D218,$D218-($D218-$I$211)*MIN(I$3-$O$2,$Q$2)/$Q$2))</f>
        <v>7399.80427970586</v>
      </c>
      <c r="J218" s="15" t="n">
        <f aca="false">I218*(1+IF(J$3&lt;=$O$2,$D218,$D218-($D218-$I$211)*MIN(J$3-$O$2,$Q$2)/$Q$2))</f>
        <v>7943.02391187907</v>
      </c>
      <c r="K218" s="15" t="n">
        <f aca="false">J218*(1+IF(K$3&lt;=$O$2,$D218,$D218-($D218-$I$211)*MIN(K$3-$O$2,$Q$2)/$Q$2))</f>
        <v>8426.61506519404</v>
      </c>
      <c r="L218" s="15" t="n">
        <f aca="false">K218*(1+IF(L$3&lt;=$O$2,$D218,$D218-($D218-$I$211)*MIN(L$3-$O$2,$Q$2)/$Q$2))</f>
        <v>8834.0840366715</v>
      </c>
      <c r="M218" s="15" t="n">
        <f aca="false">L218*(1+IF(M$3&lt;=$O$2,$D218,$D218-($D218-$I$211)*MIN(M$3-$O$2,$Q$2)/$Q$2))</f>
        <v>9150.58718249535</v>
      </c>
      <c r="N218" s="15" t="n">
        <f aca="false">M218*(1+IF(N$3&lt;=$O$2,$D218,$D218-($D218-$I$211)*MIN(N$3-$O$2,$Q$2)/$Q$2))</f>
        <v>9363.79586384749</v>
      </c>
      <c r="O218" s="15" t="n">
        <f aca="false">SUMPRODUCT(E218:N218,1/(1+$F$211)^$E$3:$N$3)*$E$2</f>
        <v>7421.72029123562</v>
      </c>
      <c r="P218" s="15" t="n">
        <f aca="false">N218*$E$2*(1+$I$211)/($F$211-$I$211)/(1+$F$211)^$N$3</f>
        <v>9737.52168178169</v>
      </c>
      <c r="Q218" s="15" t="n">
        <f aca="false">O218+P218</f>
        <v>17159.2419730173</v>
      </c>
      <c r="R218" s="15" t="n">
        <f aca="false">Q218-$G$2+$I$2</f>
        <v>12338.7419730173</v>
      </c>
      <c r="S218" s="42" t="n">
        <f aca="false">R218/$K$2</f>
        <v>64.398444535581</v>
      </c>
      <c r="T218" s="43" t="n">
        <f aca="false">S218-$M$2</f>
        <v>-2.56397717631883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0.0859375</v>
      </c>
      <c r="C219" s="25" t="n">
        <f aca="false">IF(T218&gt;0,D218,C218)</f>
        <v>0.109375</v>
      </c>
      <c r="D219" s="41" t="n">
        <f aca="false">(B219+C219)/2</f>
        <v>0.09765625</v>
      </c>
      <c r="E219" s="15" t="n">
        <f aca="false">$C$2*(1+IF(E$3&lt;=$O$2,$D219,$D219-($D219-$I$211)*MIN(E$3-$O$2,$Q$2)/$Q$2))</f>
        <v>5378.515625</v>
      </c>
      <c r="F219" s="15" t="n">
        <f aca="false">E219*(1+IF(F$3&lt;=$O$2,$D219,$D219-($D219-$I$211)*MIN(F$3-$O$2,$Q$2)/$Q$2))</f>
        <v>5903.76129150391</v>
      </c>
      <c r="G219" s="15" t="n">
        <f aca="false">F219*(1+IF(G$3&lt;=$O$2,$D219,$D219-($D219-$I$211)*MIN(G$3-$O$2,$Q$2)/$Q$2))</f>
        <v>6480.30048012734</v>
      </c>
      <c r="H219" s="15" t="n">
        <f aca="false">G219*(1+IF(H$3&lt;=$O$2,$D219,$D219-($D219-$I$211)*MIN(H$3-$O$2,$Q$2)/$Q$2))</f>
        <v>7113.14232388977</v>
      </c>
      <c r="I219" s="15" t="n">
        <f aca="false">H219*(1+IF(I$3&lt;=$O$2,$D219,$D219-($D219-$I$211)*MIN(I$3-$O$2,$Q$2)/$Q$2))</f>
        <v>7807.78512895713</v>
      </c>
      <c r="J219" s="15" t="n">
        <f aca="false">I219*(1+IF(J$3&lt;=$O$2,$D219,$D219-($D219-$I$211)*MIN(J$3-$O$2,$Q$2)/$Q$2))</f>
        <v>8454.15262085785</v>
      </c>
      <c r="K219" s="15" t="n">
        <f aca="false">J219*(1+IF(K$3&lt;=$O$2,$D219,$D219-($D219-$I$211)*MIN(K$3-$O$2,$Q$2)/$Q$2))</f>
        <v>9028.30582841263</v>
      </c>
      <c r="L219" s="15" t="n">
        <f aca="false">K219*(1+IF(L$3&lt;=$O$2,$D219,$D219-($D219-$I$211)*MIN(L$3-$O$2,$Q$2)/$Q$2))</f>
        <v>9507.18974031621</v>
      </c>
      <c r="M219" s="15" t="n">
        <f aca="false">L219*(1+IF(M$3&lt;=$O$2,$D219,$D219-($D219-$I$211)*MIN(M$3-$O$2,$Q$2)/$Q$2))</f>
        <v>9870.09105669125</v>
      </c>
      <c r="N219" s="15" t="n">
        <f aca="false">M219*(1+IF(N$3&lt;=$O$2,$D219,$D219-($D219-$I$211)*MIN(N$3-$O$2,$Q$2)/$Q$2))</f>
        <v>10100.0641783122</v>
      </c>
      <c r="O219" s="15" t="n">
        <f aca="false">SUMPRODUCT(E219:N219,1/(1+$F$211)^$E$3:$N$3)*$E$2</f>
        <v>7808.67410446971</v>
      </c>
      <c r="P219" s="15" t="n">
        <f aca="false">N219*$E$2*(1+$I$211)/($F$211-$I$211)/(1+$F$211)^$N$3</f>
        <v>10503.1757797516</v>
      </c>
      <c r="Q219" s="15" t="n">
        <f aca="false">O219+P219</f>
        <v>18311.8498842213</v>
      </c>
      <c r="R219" s="15" t="n">
        <f aca="false">Q219-$G$2+$I$2</f>
        <v>13491.3498842213</v>
      </c>
      <c r="S219" s="42" t="n">
        <f aca="false">R219/$K$2</f>
        <v>70.4141434458314</v>
      </c>
      <c r="T219" s="43" t="n">
        <f aca="false">S219-$M$2</f>
        <v>3.45172173393165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0.0859375</v>
      </c>
      <c r="C220" s="25" t="n">
        <f aca="false">IF(T219&gt;0,D219,C219)</f>
        <v>0.09765625</v>
      </c>
      <c r="D220" s="41" t="n">
        <f aca="false">(B220+C220)/2</f>
        <v>0.091796875</v>
      </c>
      <c r="E220" s="15" t="n">
        <f aca="false">$C$2*(1+IF(E$3&lt;=$O$2,$D220,$D220-($D220-$I$211)*MIN(E$3-$O$2,$Q$2)/$Q$2))</f>
        <v>5349.8046875</v>
      </c>
      <c r="F220" s="15" t="n">
        <f aca="false">E220*(1+IF(F$3&lt;=$O$2,$D220,$D220-($D220-$I$211)*MIN(F$3-$O$2,$Q$2)/$Q$2))</f>
        <v>5840.90003967285</v>
      </c>
      <c r="G220" s="15" t="n">
        <f aca="false">F220*(1+IF(G$3&lt;=$O$2,$D220,$D220-($D220-$I$211)*MIN(G$3-$O$2,$Q$2)/$Q$2))</f>
        <v>6377.0764105022</v>
      </c>
      <c r="H220" s="15" t="n">
        <f aca="false">G220*(1+IF(H$3&lt;=$O$2,$D220,$D220-($D220-$I$211)*MIN(H$3-$O$2,$Q$2)/$Q$2))</f>
        <v>6962.47209662251</v>
      </c>
      <c r="I220" s="15" t="n">
        <f aca="false">H220*(1+IF(I$3&lt;=$O$2,$D220,$D220-($D220-$I$211)*MIN(I$3-$O$2,$Q$2)/$Q$2))</f>
        <v>7601.60527736716</v>
      </c>
      <c r="J220" s="15" t="n">
        <f aca="false">I220*(1+IF(J$3&lt;=$O$2,$D220,$D220-($D220-$I$211)*MIN(J$3-$O$2,$Q$2)/$Q$2))</f>
        <v>8195.27164551634</v>
      </c>
      <c r="K220" s="15" t="n">
        <f aca="false">J220*(1+IF(K$3&lt;=$O$2,$D220,$D220-($D220-$I$211)*MIN(K$3-$O$2,$Q$2)/$Q$2))</f>
        <v>8723.03177335326</v>
      </c>
      <c r="L220" s="15" t="n">
        <f aca="false">K220*(1+IF(L$3&lt;=$O$2,$D220,$D220-($D220-$I$211)*MIN(L$3-$O$2,$Q$2)/$Q$2))</f>
        <v>9165.27858047255</v>
      </c>
      <c r="M220" s="15" t="n">
        <f aca="false">L220*(1+IF(M$3&lt;=$O$2,$D220,$D220-($D220-$I$211)*MIN(M$3-$O$2,$Q$2)/$Q$2))</f>
        <v>9504.38815965093</v>
      </c>
      <c r="N220" s="15" t="n">
        <f aca="false">M220*(1+IF(N$3&lt;=$O$2,$D220,$D220-($D220-$I$211)*MIN(N$3-$O$2,$Q$2)/$Q$2))</f>
        <v>9725.84040377079</v>
      </c>
      <c r="O220" s="15" t="n">
        <f aca="false">SUMPRODUCT(E220:N220,1/(1+$F$211)^$E$3:$N$3)*$E$2</f>
        <v>7612.74741819034</v>
      </c>
      <c r="P220" s="15" t="n">
        <f aca="false">N220*$E$2*(1+$I$211)/($F$211-$I$211)/(1+$F$211)^$N$3</f>
        <v>10114.0160659539</v>
      </c>
      <c r="Q220" s="15" t="n">
        <f aca="false">O220+P220</f>
        <v>17726.7634841443</v>
      </c>
      <c r="R220" s="15" t="n">
        <f aca="false">Q220-$G$2+$I$2</f>
        <v>12906.2634841443</v>
      </c>
      <c r="S220" s="42" t="n">
        <f aca="false">R220/$K$2</f>
        <v>67.3604565978302</v>
      </c>
      <c r="T220" s="43" t="n">
        <f aca="false">S220-$M$2</f>
        <v>0.398034885930386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0.0859375</v>
      </c>
      <c r="C221" s="25" t="n">
        <f aca="false">IF(T220&gt;0,D220,C220)</f>
        <v>0.091796875</v>
      </c>
      <c r="D221" s="41" t="n">
        <f aca="false">(B221+C221)/2</f>
        <v>0.0888671875</v>
      </c>
      <c r="E221" s="15" t="n">
        <f aca="false">$C$2*(1+IF(E$3&lt;=$O$2,$D221,$D221-($D221-$I$211)*MIN(E$3-$O$2,$Q$2)/$Q$2))</f>
        <v>5335.44921875</v>
      </c>
      <c r="F221" s="15" t="n">
        <f aca="false">E221*(1+IF(F$3&lt;=$O$2,$D221,$D221-($D221-$I$211)*MIN(F$3-$O$2,$Q$2)/$Q$2))</f>
        <v>5809.59558486939</v>
      </c>
      <c r="G221" s="15" t="n">
        <f aca="false">F221*(1+IF(G$3&lt;=$O$2,$D221,$D221-($D221-$I$211)*MIN(G$3-$O$2,$Q$2)/$Q$2))</f>
        <v>6325.87800500914</v>
      </c>
      <c r="H221" s="15" t="n">
        <f aca="false">G221*(1+IF(H$3&lt;=$O$2,$D221,$D221-($D221-$I$211)*MIN(H$3-$O$2,$Q$2)/$Q$2))</f>
        <v>6888.04099178242</v>
      </c>
      <c r="I221" s="15" t="n">
        <f aca="false">H221*(1+IF(I$3&lt;=$O$2,$D221,$D221-($D221-$I$211)*MIN(I$3-$O$2,$Q$2)/$Q$2))</f>
        <v>7500.16182210683</v>
      </c>
      <c r="J221" s="15" t="n">
        <f aca="false">I221*(1+IF(J$3&lt;=$O$2,$D221,$D221-($D221-$I$211)*MIN(J$3-$O$2,$Q$2)/$Q$2))</f>
        <v>8068.32720573826</v>
      </c>
      <c r="K221" s="15" t="n">
        <f aca="false">J221*(1+IF(K$3&lt;=$O$2,$D221,$D221-($D221-$I$211)*MIN(K$3-$O$2,$Q$2)/$Q$2))</f>
        <v>8573.72974325795</v>
      </c>
      <c r="L221" s="15" t="n">
        <f aca="false">K221*(1+IF(L$3&lt;=$O$2,$D221,$D221-($D221-$I$211)*MIN(L$3-$O$2,$Q$2)/$Q$2))</f>
        <v>8998.35978453607</v>
      </c>
      <c r="M221" s="15" t="n">
        <f aca="false">L221*(1+IF(M$3&lt;=$O$2,$D221,$D221-($D221-$I$211)*MIN(M$3-$O$2,$Q$2)/$Q$2))</f>
        <v>9326.02099615279</v>
      </c>
      <c r="N221" s="15" t="n">
        <f aca="false">M221*(1+IF(N$3&lt;=$O$2,$D221,$D221-($D221-$I$211)*MIN(N$3-$O$2,$Q$2)/$Q$2))</f>
        <v>9543.31728536315</v>
      </c>
      <c r="O221" s="15" t="n">
        <f aca="false">SUMPRODUCT(E221:N221,1/(1+$F$211)^$E$3:$N$3)*$E$2</f>
        <v>7516.62858504867</v>
      </c>
      <c r="P221" s="15" t="n">
        <f aca="false">N221*$E$2*(1+$I$211)/($F$211-$I$211)/(1+$F$211)^$N$3</f>
        <v>9924.20812387962</v>
      </c>
      <c r="Q221" s="15" t="n">
        <f aca="false">O221+P221</f>
        <v>17440.8367089283</v>
      </c>
      <c r="R221" s="15" t="n">
        <f aca="false">Q221-$G$2+$I$2</f>
        <v>12620.3367089283</v>
      </c>
      <c r="S221" s="42" t="n">
        <f aca="false">R221/$K$2</f>
        <v>65.868145662465</v>
      </c>
      <c r="T221" s="43" t="n">
        <f aca="false">S221-$M$2</f>
        <v>-1.09427604943483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0.0888671875</v>
      </c>
      <c r="C222" s="25" t="n">
        <f aca="false">IF(T221&gt;0,D221,C221)</f>
        <v>0.091796875</v>
      </c>
      <c r="D222" s="41" t="n">
        <f aca="false">(B222+C222)/2</f>
        <v>0.09033203125</v>
      </c>
      <c r="E222" s="15" t="n">
        <f aca="false">$C$2*(1+IF(E$3&lt;=$O$2,$D222,$D222-($D222-$I$211)*MIN(E$3-$O$2,$Q$2)/$Q$2))</f>
        <v>5342.626953125</v>
      </c>
      <c r="F222" s="15" t="n">
        <f aca="false">E222*(1+IF(F$3&lt;=$O$2,$D222,$D222-($D222-$I$211)*MIN(F$3-$O$2,$Q$2)/$Q$2))</f>
        <v>5825.23729801178</v>
      </c>
      <c r="G222" s="15" t="n">
        <f aca="false">F222*(1+IF(G$3&lt;=$O$2,$D222,$D222-($D222-$I$211)*MIN(G$3-$O$2,$Q$2)/$Q$2))</f>
        <v>6351.44281565445</v>
      </c>
      <c r="H222" s="15" t="n">
        <f aca="false">G222*(1+IF(H$3&lt;=$O$2,$D222,$D222-($D222-$I$211)*MIN(H$3-$O$2,$Q$2)/$Q$2))</f>
        <v>6925.18154656073</v>
      </c>
      <c r="I222" s="15" t="n">
        <f aca="false">H222*(1+IF(I$3&lt;=$O$2,$D222,$D222-($D222-$I$211)*MIN(I$3-$O$2,$Q$2)/$Q$2))</f>
        <v>7550.74726243658</v>
      </c>
      <c r="J222" s="15" t="n">
        <f aca="false">I222*(1+IF(J$3&lt;=$O$2,$D222,$D222-($D222-$I$211)*MIN(J$3-$O$2,$Q$2)/$Q$2))</f>
        <v>8131.59321481655</v>
      </c>
      <c r="K222" s="15" t="n">
        <f aca="false">J222*(1+IF(K$3&lt;=$O$2,$D222,$D222-($D222-$I$211)*MIN(K$3-$O$2,$Q$2)/$Q$2))</f>
        <v>8648.1056630145</v>
      </c>
      <c r="L222" s="15" t="n">
        <f aca="false">K222*(1+IF(L$3&lt;=$O$2,$D222,$D222-($D222-$I$211)*MIN(L$3-$O$2,$Q$2)/$Q$2))</f>
        <v>9081.48656058533</v>
      </c>
      <c r="M222" s="15" t="n">
        <f aca="false">L222*(1+IF(M$3&lt;=$O$2,$D222,$D222-($D222-$I$211)*MIN(M$3-$O$2,$Q$2)/$Q$2))</f>
        <v>9414.83529563209</v>
      </c>
      <c r="N222" s="15" t="n">
        <f aca="false">M222*(1+IF(N$3&lt;=$O$2,$D222,$D222-($D222-$I$211)*MIN(N$3-$O$2,$Q$2)/$Q$2))</f>
        <v>9634.20095802032</v>
      </c>
      <c r="O222" s="15" t="n">
        <f aca="false">SUMPRODUCT(E222:N222,1/(1+$F$211)^$E$3:$N$3)*$E$2</f>
        <v>7564.53579300684</v>
      </c>
      <c r="P222" s="15" t="n">
        <f aca="false">N222*$E$2*(1+$I$211)/($F$211-$I$211)/(1+$F$211)^$N$3</f>
        <v>10018.7191262431</v>
      </c>
      <c r="Q222" s="15" t="n">
        <f aca="false">O222+P222</f>
        <v>17583.2549192499</v>
      </c>
      <c r="R222" s="15" t="n">
        <f aca="false">Q222-$G$2+$I$2</f>
        <v>12762.7549192499</v>
      </c>
      <c r="S222" s="42" t="n">
        <f aca="false">R222/$K$2</f>
        <v>66.6114557372126</v>
      </c>
      <c r="T222" s="43" t="n">
        <f aca="false">S222-$M$2</f>
        <v>-0.350965974687242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0.09033203125</v>
      </c>
      <c r="C223" s="25" t="n">
        <f aca="false">IF(T222&gt;0,D222,C222)</f>
        <v>0.091796875</v>
      </c>
      <c r="D223" s="41" t="n">
        <f aca="false">(B223+C223)/2</f>
        <v>0.091064453125</v>
      </c>
      <c r="E223" s="15" t="n">
        <f aca="false">$C$2*(1+IF(E$3&lt;=$O$2,$D223,$D223-($D223-$I$211)*MIN(E$3-$O$2,$Q$2)/$Q$2))</f>
        <v>5346.2158203125</v>
      </c>
      <c r="F223" s="15" t="n">
        <f aca="false">E223*(1+IF(F$3&lt;=$O$2,$D223,$D223-($D223-$I$211)*MIN(F$3-$O$2,$Q$2)/$Q$2))</f>
        <v>5833.06604027748</v>
      </c>
      <c r="G223" s="15" t="n">
        <f aca="false">F223*(1+IF(G$3&lt;=$O$2,$D223,$D223-($D223-$I$211)*MIN(G$3-$O$2,$Q$2)/$Q$2))</f>
        <v>6364.25100927736</v>
      </c>
      <c r="H223" s="15" t="n">
        <f aca="false">G223*(1+IF(H$3&lt;=$O$2,$D223,$D223-($D223-$I$211)*MIN(H$3-$O$2,$Q$2)/$Q$2))</f>
        <v>6943.80804698743</v>
      </c>
      <c r="I223" s="15" t="n">
        <f aca="false">H223*(1+IF(I$3&lt;=$O$2,$D223,$D223-($D223-$I$211)*MIN(I$3-$O$2,$Q$2)/$Q$2))</f>
        <v>7576.14212939132</v>
      </c>
      <c r="J223" s="15" t="n">
        <f aca="false">I223*(1+IF(J$3&lt;=$O$2,$D223,$D223-($D223-$I$211)*MIN(J$3-$O$2,$Q$2)/$Q$2))</f>
        <v>8163.38074356252</v>
      </c>
      <c r="K223" s="15" t="n">
        <f aca="false">J223*(1+IF(K$3&lt;=$O$2,$D223,$D223-($D223-$I$211)*MIN(K$3-$O$2,$Q$2)/$Q$2))</f>
        <v>8685.49973393072</v>
      </c>
      <c r="L223" s="15" t="n">
        <f aca="false">K223*(1+IF(L$3&lt;=$O$2,$D223,$D223-($D223-$I$211)*MIN(L$3-$O$2,$Q$2)/$Q$2))</f>
        <v>9123.29913356617</v>
      </c>
      <c r="M223" s="15" t="n">
        <f aca="false">L223*(1+IF(M$3&lt;=$O$2,$D223,$D223-($D223-$I$211)*MIN(M$3-$O$2,$Q$2)/$Q$2))</f>
        <v>9459.51907867464</v>
      </c>
      <c r="N223" s="15" t="n">
        <f aca="false">M223*(1+IF(N$3&lt;=$O$2,$D223,$D223-($D223-$I$211)*MIN(N$3-$O$2,$Q$2)/$Q$2))</f>
        <v>9679.92587320776</v>
      </c>
      <c r="O223" s="15" t="n">
        <f aca="false">SUMPRODUCT(E223:N223,1/(1+$F$211)^$E$3:$N$3)*$E$2</f>
        <v>7588.60344154813</v>
      </c>
      <c r="P223" s="15" t="n">
        <f aca="false">N223*$E$2*(1+$I$211)/($F$211-$I$211)/(1+$F$211)^$N$3</f>
        <v>10066.2690044666</v>
      </c>
      <c r="Q223" s="15" t="n">
        <f aca="false">O223+P223</f>
        <v>17654.8724460147</v>
      </c>
      <c r="R223" s="15" t="n">
        <f aca="false">Q223-$G$2+$I$2</f>
        <v>12834.3724460147</v>
      </c>
      <c r="S223" s="42" t="n">
        <f aca="false">R223/$K$2</f>
        <v>66.9852424113501</v>
      </c>
      <c r="T223" s="43" t="n">
        <f aca="false">S223-$M$2</f>
        <v>0.0228206994503353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0.09033203125</v>
      </c>
      <c r="C224" s="25" t="n">
        <f aca="false">IF(T223&gt;0,D223,C223)</f>
        <v>0.091064453125</v>
      </c>
      <c r="D224" s="41" t="n">
        <f aca="false">(B224+C224)/2</f>
        <v>0.0906982421875</v>
      </c>
      <c r="E224" s="15" t="n">
        <f aca="false">$C$2*(1+IF(E$3&lt;=$O$2,$D224,$D224-($D224-$I$211)*MIN(E$3-$O$2,$Q$2)/$Q$2))</f>
        <v>5344.42138671875</v>
      </c>
      <c r="F224" s="15" t="n">
        <f aca="false">E224*(1+IF(F$3&lt;=$O$2,$D224,$D224-($D224-$I$211)*MIN(F$3-$O$2,$Q$2)/$Q$2))</f>
        <v>5829.15101200342</v>
      </c>
      <c r="G224" s="15" t="n">
        <f aca="false">F224*(1+IF(G$3&lt;=$O$2,$D224,$D224-($D224-$I$211)*MIN(G$3-$O$2,$Q$2)/$Q$2))</f>
        <v>6357.84476223762</v>
      </c>
      <c r="H224" s="15" t="n">
        <f aca="false">G224*(1+IF(H$3&lt;=$O$2,$D224,$D224-($D224-$I$211)*MIN(H$3-$O$2,$Q$2)/$Q$2))</f>
        <v>6934.49010627357</v>
      </c>
      <c r="I224" s="15" t="n">
        <f aca="false">H224*(1+IF(I$3&lt;=$O$2,$D224,$D224-($D224-$I$211)*MIN(I$3-$O$2,$Q$2)/$Q$2))</f>
        <v>7563.4361693792</v>
      </c>
      <c r="J224" s="15" t="n">
        <f aca="false">I224*(1+IF(J$3&lt;=$O$2,$D224,$D224-($D224-$I$211)*MIN(J$3-$O$2,$Q$2)/$Q$2))</f>
        <v>8147.47407429655</v>
      </c>
      <c r="K224" s="15" t="n">
        <f aca="false">J224*(1+IF(K$3&lt;=$O$2,$D224,$D224-($D224-$I$211)*MIN(K$3-$O$2,$Q$2)/$Q$2))</f>
        <v>8666.78547875315</v>
      </c>
      <c r="L224" s="15" t="n">
        <f aca="false">K224*(1+IF(L$3&lt;=$O$2,$D224,$D224-($D224-$I$211)*MIN(L$3-$O$2,$Q$2)/$Q$2))</f>
        <v>9102.37202308174</v>
      </c>
      <c r="M224" s="15" t="n">
        <f aca="false">L224*(1+IF(M$3&lt;=$O$2,$D224,$D224-($D224-$I$211)*MIN(M$3-$O$2,$Q$2)/$Q$2))</f>
        <v>9437.15406603802</v>
      </c>
      <c r="N224" s="15" t="n">
        <f aca="false">M224*(1+IF(N$3&lt;=$O$2,$D224,$D224-($D224-$I$211)*MIN(N$3-$O$2,$Q$2)/$Q$2))</f>
        <v>9657.03975577671</v>
      </c>
      <c r="O224" s="15" t="n">
        <f aca="false">SUMPRODUCT(E224:N224,1/(1+$F$211)^$E$3:$N$3)*$E$2</f>
        <v>7576.56009027431</v>
      </c>
      <c r="P224" s="15" t="n">
        <f aca="false">N224*$E$2*(1+$I$211)/($F$211-$I$211)/(1+$F$211)^$N$3</f>
        <v>10042.4694612111</v>
      </c>
      <c r="Q224" s="15" t="n">
        <f aca="false">O224+P224</f>
        <v>17619.0295514854</v>
      </c>
      <c r="R224" s="15" t="n">
        <f aca="false">Q224-$G$2+$I$2</f>
        <v>12798.5295514854</v>
      </c>
      <c r="S224" s="42" t="n">
        <f aca="false">R224/$K$2</f>
        <v>66.7981709367716</v>
      </c>
      <c r="T224" s="43" t="n">
        <f aca="false">S224-$M$2</f>
        <v>-0.164250775128238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0.0906982421875</v>
      </c>
      <c r="C225" s="25" t="n">
        <f aca="false">IF(T224&gt;0,D224,C224)</f>
        <v>0.091064453125</v>
      </c>
      <c r="D225" s="41" t="n">
        <f aca="false">(B225+C225)/2</f>
        <v>0.09088134765625</v>
      </c>
      <c r="E225" s="15" t="n">
        <f aca="false">$C$2*(1+IF(E$3&lt;=$O$2,$D225,$D225-($D225-$I$211)*MIN(E$3-$O$2,$Q$2)/$Q$2))</f>
        <v>5345.31860351563</v>
      </c>
      <c r="F225" s="15" t="n">
        <f aca="false">E225*(1+IF(F$3&lt;=$O$2,$D225,$D225-($D225-$I$211)*MIN(F$3-$O$2,$Q$2)/$Q$2))</f>
        <v>5831.10836185515</v>
      </c>
      <c r="G225" s="15" t="n">
        <f aca="false">F225*(1+IF(G$3&lt;=$O$2,$D225,$D225-($D225-$I$211)*MIN(G$3-$O$2,$Q$2)/$Q$2))</f>
        <v>6361.04734811017</v>
      </c>
      <c r="H225" s="15" t="n">
        <f aca="false">G225*(1+IF(H$3&lt;=$O$2,$D225,$D225-($D225-$I$211)*MIN(H$3-$O$2,$Q$2)/$Q$2))</f>
        <v>6939.14790361164</v>
      </c>
      <c r="I225" s="15" t="n">
        <f aca="false">H225*(1+IF(I$3&lt;=$O$2,$D225,$D225-($D225-$I$211)*MIN(I$3-$O$2,$Q$2)/$Q$2))</f>
        <v>7569.78701667791</v>
      </c>
      <c r="J225" s="15" t="n">
        <f aca="false">I225*(1+IF(J$3&lt;=$O$2,$D225,$D225-($D225-$I$211)*MIN(J$3-$O$2,$Q$2)/$Q$2))</f>
        <v>8155.42418061281</v>
      </c>
      <c r="K225" s="15" t="n">
        <f aca="false">J225*(1+IF(K$3&lt;=$O$2,$D225,$D225-($D225-$I$211)*MIN(K$3-$O$2,$Q$2)/$Q$2))</f>
        <v>8676.13829812159</v>
      </c>
      <c r="L225" s="15" t="n">
        <f aca="false">K225*(1+IF(L$3&lt;=$O$2,$D225,$D225-($D225-$I$211)*MIN(L$3-$O$2,$Q$2)/$Q$2))</f>
        <v>9112.83036792345</v>
      </c>
      <c r="M225" s="15" t="n">
        <f aca="false">L225*(1+IF(M$3&lt;=$O$2,$D225,$D225-($D225-$I$211)*MIN(M$3-$O$2,$Q$2)/$Q$2))</f>
        <v>9448.33078694148</v>
      </c>
      <c r="N225" s="15" t="n">
        <f aca="false">M225*(1+IF(N$3&lt;=$O$2,$D225,$D225-($D225-$I$211)*MIN(N$3-$O$2,$Q$2)/$Q$2))</f>
        <v>9668.47689427722</v>
      </c>
      <c r="O225" s="15" t="n">
        <f aca="false">SUMPRODUCT(E225:N225,1/(1+$F$211)^$E$3:$N$3)*$E$2</f>
        <v>7582.57938241064</v>
      </c>
      <c r="P225" s="15" t="n">
        <f aca="false">N225*$E$2*(1+$I$211)/($F$211-$I$211)/(1+$F$211)^$N$3</f>
        <v>10054.3630763375</v>
      </c>
      <c r="Q225" s="15" t="n">
        <f aca="false">O225+P225</f>
        <v>17636.9424587481</v>
      </c>
      <c r="R225" s="15" t="n">
        <f aca="false">Q225-$G$2+$I$2</f>
        <v>12816.4424587481</v>
      </c>
      <c r="S225" s="42" t="n">
        <f aca="false">R225/$K$2</f>
        <v>66.8916621020256</v>
      </c>
      <c r="T225" s="43" t="n">
        <f aca="false">S225-$M$2</f>
        <v>-0.0707596098742158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0.09088134765625</v>
      </c>
      <c r="C226" s="25" t="n">
        <f aca="false">IF(T225&gt;0,D225,C225)</f>
        <v>0.091064453125</v>
      </c>
      <c r="D226" s="41" t="n">
        <f aca="false">(B226+C226)/2</f>
        <v>0.090972900390625</v>
      </c>
      <c r="E226" s="15" t="n">
        <f aca="false">$C$2*(1+IF(E$3&lt;=$O$2,$D226,$D226-($D226-$I$211)*MIN(E$3-$O$2,$Q$2)/$Q$2))</f>
        <v>5345.76721191406</v>
      </c>
      <c r="F226" s="15" t="n">
        <f aca="false">E226*(1+IF(F$3&lt;=$O$2,$D226,$D226-($D226-$I$211)*MIN(F$3-$O$2,$Q$2)/$Q$2))</f>
        <v>5832.08715999499</v>
      </c>
      <c r="G226" s="15" t="n">
        <f aca="false">F226*(1+IF(G$3&lt;=$O$2,$D226,$D226-($D226-$I$211)*MIN(G$3-$O$2,$Q$2)/$Q$2))</f>
        <v>6362.64904427066</v>
      </c>
      <c r="H226" s="15" t="n">
        <f aca="false">G226*(1+IF(H$3&lt;=$O$2,$D226,$D226-($D226-$I$211)*MIN(H$3-$O$2,$Q$2)/$Q$2))</f>
        <v>6941.4776819956</v>
      </c>
      <c r="I226" s="15" t="n">
        <f aca="false">H226*(1+IF(I$3&lt;=$O$2,$D226,$D226-($D226-$I$211)*MIN(I$3-$O$2,$Q$2)/$Q$2))</f>
        <v>7572.96403972353</v>
      </c>
      <c r="J226" s="15" t="n">
        <f aca="false">I226*(1+IF(J$3&lt;=$O$2,$D226,$D226-($D226-$I$211)*MIN(J$3-$O$2,$Q$2)/$Q$2))</f>
        <v>8159.40165474668</v>
      </c>
      <c r="K226" s="15" t="n">
        <f aca="false">J226*(1+IF(K$3&lt;=$O$2,$D226,$D226-($D226-$I$211)*MIN(K$3-$O$2,$Q$2)/$Q$2))</f>
        <v>8680.81793855955</v>
      </c>
      <c r="L226" s="15" t="n">
        <f aca="false">K226*(1+IF(L$3&lt;=$O$2,$D226,$D226-($D226-$I$211)*MIN(L$3-$O$2,$Q$2)/$Q$2))</f>
        <v>9118.0634475941</v>
      </c>
      <c r="M226" s="15" t="n">
        <f aca="false">L226*(1+IF(M$3&lt;=$O$2,$D226,$D226-($D226-$I$211)*MIN(M$3-$O$2,$Q$2)/$Q$2))</f>
        <v>9453.92348581193</v>
      </c>
      <c r="N226" s="15" t="n">
        <f aca="false">M226*(1+IF(N$3&lt;=$O$2,$D226,$D226-($D226-$I$211)*MIN(N$3-$O$2,$Q$2)/$Q$2))</f>
        <v>9674.19990303135</v>
      </c>
      <c r="O226" s="15" t="n">
        <f aca="false">SUMPRODUCT(E226:N226,1/(1+$F$211)^$E$3:$N$3)*$E$2</f>
        <v>7585.59081588539</v>
      </c>
      <c r="P226" s="15" t="n">
        <f aca="false">N226*$E$2*(1+$I$211)/($F$211-$I$211)/(1+$F$211)^$N$3</f>
        <v>10060.314500593</v>
      </c>
      <c r="Q226" s="15" t="n">
        <f aca="false">O226+P226</f>
        <v>17645.9053164784</v>
      </c>
      <c r="R226" s="15" t="n">
        <f aca="false">Q226-$G$2+$I$2</f>
        <v>12825.4053164784</v>
      </c>
      <c r="S226" s="42" t="n">
        <f aca="false">R226/$K$2</f>
        <v>66.9384411089689</v>
      </c>
      <c r="T226" s="43" t="n">
        <f aca="false">S226-$M$2</f>
        <v>-0.0239806029309477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0.090972900390625</v>
      </c>
      <c r="C227" s="25" t="n">
        <f aca="false">IF(T226&gt;0,D226,C226)</f>
        <v>0.091064453125</v>
      </c>
      <c r="D227" s="41" t="n">
        <f aca="false">(B227+C227)/2</f>
        <v>0.0910186767578125</v>
      </c>
      <c r="E227" s="15" t="n">
        <f aca="false">$C$2*(1+IF(E$3&lt;=$O$2,$D227,$D227-($D227-$I$211)*MIN(E$3-$O$2,$Q$2)/$Q$2))</f>
        <v>5345.99151611328</v>
      </c>
      <c r="F227" s="15" t="n">
        <f aca="false">E227*(1+IF(F$3&lt;=$O$2,$D227,$D227-($D227-$I$211)*MIN(F$3-$O$2,$Q$2)/$Q$2))</f>
        <v>5832.5765898684</v>
      </c>
      <c r="G227" s="15" t="n">
        <f aca="false">F227*(1+IF(G$3&lt;=$O$2,$D227,$D227-($D227-$I$211)*MIN(G$3-$O$2,$Q$2)/$Q$2))</f>
        <v>6363.44999316682</v>
      </c>
      <c r="H227" s="15" t="n">
        <f aca="false">G227*(1+IF(H$3&lt;=$O$2,$D227,$D227-($D227-$I$211)*MIN(H$3-$O$2,$Q$2)/$Q$2))</f>
        <v>6942.64279115938</v>
      </c>
      <c r="I227" s="15" t="n">
        <f aca="false">H227*(1+IF(I$3&lt;=$O$2,$D227,$D227-($D227-$I$211)*MIN(I$3-$O$2,$Q$2)/$Q$2))</f>
        <v>7574.55295121287</v>
      </c>
      <c r="J227" s="15" t="n">
        <f aca="false">I227*(1+IF(J$3&lt;=$O$2,$D227,$D227-($D227-$I$211)*MIN(J$3-$O$2,$Q$2)/$Q$2))</f>
        <v>8161.39099728662</v>
      </c>
      <c r="K227" s="15" t="n">
        <f aca="false">J227*(1+IF(K$3&lt;=$O$2,$D227,$D227-($D227-$I$211)*MIN(K$3-$O$2,$Q$2)/$Q$2))</f>
        <v>8683.15856682703</v>
      </c>
      <c r="L227" s="15" t="n">
        <f aca="false">K227*(1+IF(L$3&lt;=$O$2,$D227,$D227-($D227-$I$211)*MIN(L$3-$O$2,$Q$2)/$Q$2))</f>
        <v>9120.68096472361</v>
      </c>
      <c r="M227" s="15" t="n">
        <f aca="false">L227*(1+IF(M$3&lt;=$O$2,$D227,$D227-($D227-$I$211)*MIN(M$3-$O$2,$Q$2)/$Q$2))</f>
        <v>9456.72092041392</v>
      </c>
      <c r="N227" s="15" t="n">
        <f aca="false">M227*(1+IF(N$3&lt;=$O$2,$D227,$D227-($D227-$I$211)*MIN(N$3-$O$2,$Q$2)/$Q$2))</f>
        <v>9677.06251785957</v>
      </c>
      <c r="O227" s="15" t="n">
        <f aca="false">SUMPRODUCT(E227:N227,1/(1+$F$211)^$E$3:$N$3)*$E$2</f>
        <v>7587.0969796659</v>
      </c>
      <c r="P227" s="15" t="n">
        <f aca="false">N227*$E$2*(1+$I$211)/($F$211-$I$211)/(1+$F$211)^$N$3</f>
        <v>10063.2913674921</v>
      </c>
      <c r="Q227" s="15" t="n">
        <f aca="false">O227+P227</f>
        <v>17650.388347158</v>
      </c>
      <c r="R227" s="15" t="n">
        <f aca="false">Q227-$G$2+$I$2</f>
        <v>12829.888347158</v>
      </c>
      <c r="S227" s="42" t="n">
        <f aca="false">R227/$K$2</f>
        <v>66.9618389726408</v>
      </c>
      <c r="T227" s="43" t="n">
        <f aca="false">S227-$M$2</f>
        <v>-0.000582739259016307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0.0910186767578125</v>
      </c>
      <c r="C228" s="25" t="n">
        <f aca="false">IF(T227&gt;0,D227,C227)</f>
        <v>0.091064453125</v>
      </c>
      <c r="D228" s="41" t="n">
        <f aca="false">(B228+C228)/2</f>
        <v>0.0910415649414063</v>
      </c>
      <c r="E228" s="15" t="n">
        <f aca="false">$C$2*(1+IF(E$3&lt;=$O$2,$D228,$D228-($D228-$I$211)*MIN(E$3-$O$2,$Q$2)/$Q$2))</f>
        <v>5346.10366821289</v>
      </c>
      <c r="F228" s="15" t="n">
        <f aca="false">E228*(1+IF(F$3&lt;=$O$2,$D228,$D228-($D228-$I$211)*MIN(F$3-$O$2,$Q$2)/$Q$2))</f>
        <v>5832.82131250599</v>
      </c>
      <c r="G228" s="15" t="n">
        <f aca="false">F228*(1+IF(G$3&lt;=$O$2,$D228,$D228-($D228-$I$211)*MIN(G$3-$O$2,$Q$2)/$Q$2))</f>
        <v>6363.85049282012</v>
      </c>
      <c r="H228" s="15" t="n">
        <f aca="false">G228*(1+IF(H$3&lt;=$O$2,$D228,$D228-($D228-$I$211)*MIN(H$3-$O$2,$Q$2)/$Q$2))</f>
        <v>6943.2254007396</v>
      </c>
      <c r="I228" s="15" t="n">
        <f aca="false">H228*(1+IF(I$3&lt;=$O$2,$D228,$D228-($D228-$I$211)*MIN(I$3-$O$2,$Q$2)/$Q$2))</f>
        <v>7575.34750696386</v>
      </c>
      <c r="J228" s="15" t="n">
        <f aca="false">I228*(1+IF(J$3&lt;=$O$2,$D228,$D228-($D228-$I$211)*MIN(J$3-$O$2,$Q$2)/$Q$2))</f>
        <v>8162.38581995348</v>
      </c>
      <c r="K228" s="15" t="n">
        <f aca="false">J228*(1+IF(K$3&lt;=$O$2,$D228,$D228-($D228-$I$211)*MIN(K$3-$O$2,$Q$2)/$Q$2))</f>
        <v>8684.32908301791</v>
      </c>
      <c r="L228" s="15" t="n">
        <f aca="false">K228*(1+IF(L$3&lt;=$O$2,$D228,$D228-($D228-$I$211)*MIN(L$3-$O$2,$Q$2)/$Q$2))</f>
        <v>9121.98996767215</v>
      </c>
      <c r="M228" s="15" t="n">
        <f aca="false">L228*(1+IF(M$3&lt;=$O$2,$D228,$D228-($D228-$I$211)*MIN(M$3-$O$2,$Q$2)/$Q$2))</f>
        <v>9458.1199090769</v>
      </c>
      <c r="N228" s="15" t="n">
        <f aca="false">M228*(1+IF(N$3&lt;=$O$2,$D228,$D228-($D228-$I$211)*MIN(N$3-$O$2,$Q$2)/$Q$2))</f>
        <v>9678.49410295839</v>
      </c>
      <c r="O228" s="15" t="n">
        <f aca="false">SUMPRODUCT(E228:N228,1/(1+$F$211)^$E$3:$N$3)*$E$2</f>
        <v>7587.85017334088</v>
      </c>
      <c r="P228" s="15" t="n">
        <f aca="false">N228*$E$2*(1+$I$211)/($F$211-$I$211)/(1+$F$211)^$N$3</f>
        <v>10064.7800897092</v>
      </c>
      <c r="Q228" s="15" t="n">
        <f aca="false">O228+P228</f>
        <v>17652.6302630501</v>
      </c>
      <c r="R228" s="15" t="n">
        <f aca="false">Q228-$G$2+$I$2</f>
        <v>12832.1302630501</v>
      </c>
      <c r="S228" s="42" t="n">
        <f aca="false">R228/$K$2</f>
        <v>66.9735399950421</v>
      </c>
      <c r="T228" s="43" t="n">
        <f aca="false">S228-$M$2</f>
        <v>0.0111182831423235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0.0910186767578125</v>
      </c>
      <c r="C229" s="25" t="n">
        <f aca="false">IF(T228&gt;0,D228,C228)</f>
        <v>0.0910415649414063</v>
      </c>
      <c r="D229" s="41" t="n">
        <f aca="false">(B229+C229)/2</f>
        <v>0.0910301208496094</v>
      </c>
      <c r="E229" s="15" t="n">
        <f aca="false">$C$2*(1+IF(E$3&lt;=$O$2,$D229,$D229-($D229-$I$211)*MIN(E$3-$O$2,$Q$2)/$Q$2))</f>
        <v>5346.04759216309</v>
      </c>
      <c r="F229" s="15" t="n">
        <f aca="false">E229*(1+IF(F$3&lt;=$O$2,$D229,$D229-($D229-$I$211)*MIN(F$3-$O$2,$Q$2)/$Q$2))</f>
        <v>5832.69895054546</v>
      </c>
      <c r="G229" s="15" t="n">
        <f aca="false">F229*(1+IF(G$3&lt;=$O$2,$D229,$D229-($D229-$I$211)*MIN(G$3-$O$2,$Q$2)/$Q$2))</f>
        <v>6363.650240893</v>
      </c>
      <c r="H229" s="15" t="n">
        <f aca="false">G229*(1+IF(H$3&lt;=$O$2,$D229,$D229-($D229-$I$211)*MIN(H$3-$O$2,$Q$2)/$Q$2))</f>
        <v>6942.93409136613</v>
      </c>
      <c r="I229" s="15" t="n">
        <f aca="false">H229*(1+IF(I$3&lt;=$O$2,$D229,$D229-($D229-$I$211)*MIN(I$3-$O$2,$Q$2)/$Q$2))</f>
        <v>7574.95022075406</v>
      </c>
      <c r="J229" s="15" t="n">
        <f aca="false">I229*(1+IF(J$3&lt;=$O$2,$D229,$D229-($D229-$I$211)*MIN(J$3-$O$2,$Q$2)/$Q$2))</f>
        <v>8161.88839600279</v>
      </c>
      <c r="K229" s="15" t="n">
        <f aca="false">J229*(1+IF(K$3&lt;=$O$2,$D229,$D229-($D229-$I$211)*MIN(K$3-$O$2,$Q$2)/$Q$2))</f>
        <v>8683.74380808303</v>
      </c>
      <c r="L229" s="15" t="n">
        <f aca="false">K229*(1+IF(L$3&lt;=$O$2,$D229,$D229-($D229-$I$211)*MIN(L$3-$O$2,$Q$2)/$Q$2))</f>
        <v>9121.33544583077</v>
      </c>
      <c r="M229" s="15" t="n">
        <f aca="false">L229*(1+IF(M$3&lt;=$O$2,$D229,$D229-($D229-$I$211)*MIN(M$3-$O$2,$Q$2)/$Q$2))</f>
        <v>9457.42039212982</v>
      </c>
      <c r="N229" s="15" t="n">
        <f aca="false">M229*(1+IF(N$3&lt;=$O$2,$D229,$D229-($D229-$I$211)*MIN(N$3-$O$2,$Q$2)/$Q$2))</f>
        <v>9677.77828726644</v>
      </c>
      <c r="O229" s="15" t="n">
        <f aca="false">SUMPRODUCT(E229:N229,1/(1+$F$211)^$E$3:$N$3)*$E$2</f>
        <v>7587.47356718728</v>
      </c>
      <c r="P229" s="15" t="n">
        <f aca="false">N229*$E$2*(1+$I$211)/($F$211-$I$211)/(1+$F$211)^$N$3</f>
        <v>10064.0357045344</v>
      </c>
      <c r="Q229" s="15" t="n">
        <f aca="false">O229+P229</f>
        <v>17651.5092717217</v>
      </c>
      <c r="R229" s="15" t="n">
        <f aca="false">Q229-$G$2+$I$2</f>
        <v>12831.0092717217</v>
      </c>
      <c r="S229" s="42" t="n">
        <f aca="false">R229/$K$2</f>
        <v>66.9676893096123</v>
      </c>
      <c r="T229" s="43" t="n">
        <f aca="false">S229-$M$2</f>
        <v>0.0052675977125034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0.0910186767578125</v>
      </c>
      <c r="C230" s="25" t="n">
        <f aca="false">IF(T229&gt;0,D229,C229)</f>
        <v>0.0910301208496094</v>
      </c>
      <c r="D230" s="41" t="n">
        <f aca="false">(B230+C230)/2</f>
        <v>0.0910243988037109</v>
      </c>
      <c r="E230" s="15" t="n">
        <f aca="false">$C$2*(1+IF(E$3&lt;=$O$2,$D230,$D230-($D230-$I$211)*MIN(E$3-$O$2,$Q$2)/$Q$2))</f>
        <v>5346.01955413818</v>
      </c>
      <c r="F230" s="15" t="n">
        <f aca="false">E230*(1+IF(F$3&lt;=$O$2,$D230,$D230-($D230-$I$211)*MIN(F$3-$O$2,$Q$2)/$Q$2))</f>
        <v>5832.6377700465</v>
      </c>
      <c r="G230" s="15" t="n">
        <f aca="false">F230*(1+IF(G$3&lt;=$O$2,$D230,$D230-($D230-$I$211)*MIN(G$3-$O$2,$Q$2)/$Q$2))</f>
        <v>6363.55011650479</v>
      </c>
      <c r="H230" s="15" t="n">
        <f aca="false">G230*(1+IF(H$3&lt;=$O$2,$D230,$D230-($D230-$I$211)*MIN(H$3-$O$2,$Q$2)/$Q$2))</f>
        <v>6942.78844011693</v>
      </c>
      <c r="I230" s="15" t="n">
        <f aca="false">H230*(1+IF(I$3&lt;=$O$2,$D230,$D230-($D230-$I$211)*MIN(I$3-$O$2,$Q$2)/$Q$2))</f>
        <v>7574.75158389992</v>
      </c>
      <c r="J230" s="15" t="n">
        <f aca="false">I230*(1+IF(J$3&lt;=$O$2,$D230,$D230-($D230-$I$211)*MIN(J$3-$O$2,$Q$2)/$Q$2))</f>
        <v>8161.63969349046</v>
      </c>
      <c r="K230" s="15" t="n">
        <f aca="false">J230*(1+IF(K$3&lt;=$O$2,$D230,$D230-($D230-$I$211)*MIN(K$3-$O$2,$Q$2)/$Q$2))</f>
        <v>8683.45118324527</v>
      </c>
      <c r="L230" s="15" t="n">
        <f aca="false">K230*(1+IF(L$3&lt;=$O$2,$D230,$D230-($D230-$I$211)*MIN(L$3-$O$2,$Q$2)/$Q$2))</f>
        <v>9121.00820018555</v>
      </c>
      <c r="M230" s="15" t="n">
        <f aca="false">L230*(1+IF(M$3&lt;=$O$2,$D230,$D230-($D230-$I$211)*MIN(M$3-$O$2,$Q$2)/$Q$2))</f>
        <v>9457.07065061813</v>
      </c>
      <c r="N230" s="15" t="n">
        <f aca="false">M230*(1+IF(N$3&lt;=$O$2,$D230,$D230-($D230-$I$211)*MIN(N$3-$O$2,$Q$2)/$Q$2))</f>
        <v>9677.42039677753</v>
      </c>
      <c r="O230" s="15" t="n">
        <f aca="false">SUMPRODUCT(E230:N230,1/(1+$F$211)^$E$3:$N$3)*$E$2</f>
        <v>7587.28527109762</v>
      </c>
      <c r="P230" s="15" t="n">
        <f aca="false">N230*$E$2*(1+$I$211)/($F$211-$I$211)/(1+$F$211)^$N$3</f>
        <v>10063.6635299969</v>
      </c>
      <c r="Q230" s="15" t="n">
        <f aca="false">O230+P230</f>
        <v>17650.9488010945</v>
      </c>
      <c r="R230" s="15" t="n">
        <f aca="false">Q230-$G$2+$I$2</f>
        <v>12830.4488010945</v>
      </c>
      <c r="S230" s="42" t="n">
        <f aca="false">R230/$K$2</f>
        <v>66.9647640975704</v>
      </c>
      <c r="T230" s="43" t="n">
        <f aca="false">S230-$M$2</f>
        <v>0.00234238567063017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0.0910186767578125</v>
      </c>
      <c r="C231" s="25" t="n">
        <f aca="false">IF(T230&gt;0,D230,C230)</f>
        <v>0.0910243988037109</v>
      </c>
      <c r="D231" s="41" t="n">
        <f aca="false">(B231+C231)/2</f>
        <v>0.0910215377807617</v>
      </c>
      <c r="E231" s="15" t="n">
        <f aca="false">$C$2*(1+IF(E$3&lt;=$O$2,$D231,$D231-($D231-$I$211)*MIN(E$3-$O$2,$Q$2)/$Q$2))</f>
        <v>5346.00553512573</v>
      </c>
      <c r="F231" s="15" t="n">
        <f aca="false">E231*(1+IF(F$3&lt;=$O$2,$D231,$D231-($D231-$I$211)*MIN(F$3-$O$2,$Q$2)/$Q$2))</f>
        <v>5832.60717991734</v>
      </c>
      <c r="G231" s="15" t="n">
        <f aca="false">F231*(1+IF(G$3&lt;=$O$2,$D231,$D231-($D231-$I$211)*MIN(G$3-$O$2,$Q$2)/$Q$2))</f>
        <v>6363.50005470453</v>
      </c>
      <c r="H231" s="15" t="n">
        <f aca="false">G231*(1+IF(H$3&lt;=$O$2,$D231,$D231-($D231-$I$211)*MIN(H$3-$O$2,$Q$2)/$Q$2))</f>
        <v>6942.7156153517</v>
      </c>
      <c r="I231" s="15" t="n">
        <f aca="false">H231*(1+IF(I$3&lt;=$O$2,$D231,$D231-($D231-$I$211)*MIN(I$3-$O$2,$Q$2)/$Q$2))</f>
        <v>7574.65226703552</v>
      </c>
      <c r="J231" s="15" t="n">
        <f aca="false">I231*(1+IF(J$3&lt;=$O$2,$D231,$D231-($D231-$I$211)*MIN(J$3-$O$2,$Q$2)/$Q$2))</f>
        <v>8161.51534459999</v>
      </c>
      <c r="K231" s="15" t="n">
        <f aca="false">J231*(1+IF(K$3&lt;=$O$2,$D231,$D231-($D231-$I$211)*MIN(K$3-$O$2,$Q$2)/$Q$2))</f>
        <v>8683.30487398372</v>
      </c>
      <c r="L231" s="15" t="n">
        <f aca="false">K231*(1+IF(L$3&lt;=$O$2,$D231,$D231-($D231-$I$211)*MIN(L$3-$O$2,$Q$2)/$Q$2))</f>
        <v>9120.84458118169</v>
      </c>
      <c r="M231" s="15" t="n">
        <f aca="false">L231*(1+IF(M$3&lt;=$O$2,$D231,$D231-($D231-$I$211)*MIN(M$3-$O$2,$Q$2)/$Q$2))</f>
        <v>9456.89578410261</v>
      </c>
      <c r="N231" s="15" t="n">
        <f aca="false">M231*(1+IF(N$3&lt;=$O$2,$D231,$D231-($D231-$I$211)*MIN(N$3-$O$2,$Q$2)/$Q$2))</f>
        <v>9677.24145587221</v>
      </c>
      <c r="O231" s="15" t="n">
        <f aca="false">SUMPRODUCT(E231:N231,1/(1+$F$211)^$E$3:$N$3)*$E$2</f>
        <v>7587.19112479952</v>
      </c>
      <c r="P231" s="15" t="n">
        <f aca="false">N231*$E$2*(1+$I$211)/($F$211-$I$211)/(1+$F$211)^$N$3</f>
        <v>10063.4774472404</v>
      </c>
      <c r="Q231" s="15" t="n">
        <f aca="false">O231+P231</f>
        <v>17650.6685720399</v>
      </c>
      <c r="R231" s="15" t="n">
        <f aca="false">Q231-$G$2+$I$2</f>
        <v>12830.1685720399</v>
      </c>
      <c r="S231" s="42" t="n">
        <f aca="false">R231/$K$2</f>
        <v>66.9633015242167</v>
      </c>
      <c r="T231" s="43" t="n">
        <f aca="false">S231-$M$2</f>
        <v>0.000879812316938455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0.0910186767578125</v>
      </c>
      <c r="C232" s="25" t="n">
        <f aca="false">IF(T231&gt;0,D231,C231)</f>
        <v>0.0910215377807617</v>
      </c>
      <c r="D232" s="41" t="n">
        <f aca="false">(B232+C232)/2</f>
        <v>0.0910201072692871</v>
      </c>
      <c r="E232" s="15" t="n">
        <f aca="false">$C$2*(1+IF(E$3&lt;=$O$2,$D232,$D232-($D232-$I$211)*MIN(E$3-$O$2,$Q$2)/$Q$2))</f>
        <v>5345.99852561951</v>
      </c>
      <c r="F232" s="15" t="n">
        <f aca="false">E232*(1+IF(F$3&lt;=$O$2,$D232,$D232-($D232-$I$211)*MIN(F$3-$O$2,$Q$2)/$Q$2))</f>
        <v>5832.59188488285</v>
      </c>
      <c r="G232" s="15" t="n">
        <f aca="false">F232*(1+IF(G$3&lt;=$O$2,$D232,$D232-($D232-$I$211)*MIN(G$3-$O$2,$Q$2)/$Q$2))</f>
        <v>6363.47502390286</v>
      </c>
      <c r="H232" s="15" t="n">
        <f aca="false">G232*(1+IF(H$3&lt;=$O$2,$D232,$D232-($D232-$I$211)*MIN(H$3-$O$2,$Q$2)/$Q$2))</f>
        <v>6942.67920318392</v>
      </c>
      <c r="I232" s="15" t="n">
        <f aca="false">H232*(1+IF(I$3&lt;=$O$2,$D232,$D232-($D232-$I$211)*MIN(I$3-$O$2,$Q$2)/$Q$2))</f>
        <v>7574.60260899397</v>
      </c>
      <c r="J232" s="15" t="n">
        <f aca="false">I232*(1+IF(J$3&lt;=$O$2,$D232,$D232-($D232-$I$211)*MIN(J$3-$O$2,$Q$2)/$Q$2))</f>
        <v>8161.45317074617</v>
      </c>
      <c r="K232" s="15" t="n">
        <f aca="false">J232*(1+IF(K$3&lt;=$O$2,$D232,$D232-($D232-$I$211)*MIN(K$3-$O$2,$Q$2)/$Q$2))</f>
        <v>8683.23172014227</v>
      </c>
      <c r="L232" s="15" t="n">
        <f aca="false">K232*(1+IF(L$3&lt;=$O$2,$D232,$D232-($D232-$I$211)*MIN(L$3-$O$2,$Q$2)/$Q$2))</f>
        <v>9120.76277263443</v>
      </c>
      <c r="M232" s="15" t="n">
        <f aca="false">L232*(1+IF(M$3&lt;=$O$2,$D232,$D232-($D232-$I$211)*MIN(M$3-$O$2,$Q$2)/$Q$2))</f>
        <v>9456.80835190491</v>
      </c>
      <c r="N232" s="15" t="n">
        <f aca="false">M232*(1+IF(N$3&lt;=$O$2,$D232,$D232-($D232-$I$211)*MIN(N$3-$O$2,$Q$2)/$Q$2))</f>
        <v>9677.1519865043</v>
      </c>
      <c r="O232" s="15" t="n">
        <f aca="false">SUMPRODUCT(E232:N232,1/(1+$F$211)^$E$3:$N$3)*$E$2</f>
        <v>7587.14405208715</v>
      </c>
      <c r="P232" s="15" t="n">
        <f aca="false">N232*$E$2*(1+$I$211)/($F$211-$I$211)/(1+$F$211)^$N$3</f>
        <v>10063.3844069902</v>
      </c>
      <c r="Q232" s="15" t="n">
        <f aca="false">O232+P232</f>
        <v>17650.5284590774</v>
      </c>
      <c r="R232" s="15" t="n">
        <f aca="false">Q232-$G$2+$I$2</f>
        <v>12830.0284590774</v>
      </c>
      <c r="S232" s="42" t="n">
        <f aca="false">R232/$K$2</f>
        <v>66.9625702457065</v>
      </c>
      <c r="T232" s="43" t="n">
        <f aca="false">S232-$M$2</f>
        <v>0.000148533806751061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0.0910186767578125</v>
      </c>
      <c r="C233" s="25" t="n">
        <f aca="false">IF(T232&gt;0,D232,C232)</f>
        <v>0.0910201072692871</v>
      </c>
      <c r="D233" s="41" t="n">
        <f aca="false">(B233+C233)/2</f>
        <v>0.0910193920135498</v>
      </c>
      <c r="E233" s="15" t="n">
        <f aca="false">$C$2*(1+IF(E$3&lt;=$O$2,$D233,$D233-($D233-$I$211)*MIN(E$3-$O$2,$Q$2)/$Q$2))</f>
        <v>5345.99502086639</v>
      </c>
      <c r="F233" s="15" t="n">
        <f aca="false">E233*(1+IF(F$3&lt;=$O$2,$D233,$D233-($D233-$I$211)*MIN(F$3-$O$2,$Q$2)/$Q$2))</f>
        <v>5832.58423737312</v>
      </c>
      <c r="G233" s="15" t="n">
        <f aca="false">F233*(1+IF(G$3&lt;=$O$2,$D233,$D233-($D233-$I$211)*MIN(G$3-$O$2,$Q$2)/$Q$2))</f>
        <v>6363.46250852663</v>
      </c>
      <c r="H233" s="15" t="n">
        <f aca="false">G233*(1+IF(H$3&lt;=$O$2,$D233,$D233-($D233-$I$211)*MIN(H$3-$O$2,$Q$2)/$Q$2))</f>
        <v>6942.66099715375</v>
      </c>
      <c r="I233" s="15" t="n">
        <f aca="false">H233*(1+IF(I$3&lt;=$O$2,$D233,$D233-($D233-$I$211)*MIN(I$3-$O$2,$Q$2)/$Q$2))</f>
        <v>7574.57778007087</v>
      </c>
      <c r="J233" s="15" t="n">
        <f aca="false">I233*(1+IF(J$3&lt;=$O$2,$D233,$D233-($D233-$I$211)*MIN(J$3-$O$2,$Q$2)/$Q$2))</f>
        <v>8161.42208396711</v>
      </c>
      <c r="K233" s="15" t="n">
        <f aca="false">J233*(1+IF(K$3&lt;=$O$2,$D233,$D233-($D233-$I$211)*MIN(K$3-$O$2,$Q$2)/$Q$2))</f>
        <v>8683.19514341887</v>
      </c>
      <c r="L233" s="15" t="n">
        <f aca="false">K233*(1+IF(L$3&lt;=$O$2,$D233,$D233-($D233-$I$211)*MIN(L$3-$O$2,$Q$2)/$Q$2))</f>
        <v>9120.72186859946</v>
      </c>
      <c r="M233" s="15" t="n">
        <f aca="false">L233*(1+IF(M$3&lt;=$O$2,$D233,$D233-($D233-$I$211)*MIN(M$3-$O$2,$Q$2)/$Q$2))</f>
        <v>9456.76463607108</v>
      </c>
      <c r="N233" s="15" t="n">
        <f aca="false">M233*(1+IF(N$3&lt;=$O$2,$D233,$D233-($D233-$I$211)*MIN(N$3-$O$2,$Q$2)/$Q$2))</f>
        <v>9677.10725209154</v>
      </c>
      <c r="O233" s="15" t="n">
        <f aca="false">SUMPRODUCT(E233:N233,1/(1+$F$211)^$E$3:$N$3)*$E$2</f>
        <v>7587.12051584014</v>
      </c>
      <c r="P233" s="15" t="n">
        <f aca="false">N233*$E$2*(1+$I$211)/($F$211-$I$211)/(1+$F$211)^$N$3</f>
        <v>10063.3378871471</v>
      </c>
      <c r="Q233" s="15" t="n">
        <f aca="false">O233+P233</f>
        <v>17650.4584029873</v>
      </c>
      <c r="R233" s="15" t="n">
        <f aca="false">Q233-$G$2+$I$2</f>
        <v>12829.9584029873</v>
      </c>
      <c r="S233" s="42" t="n">
        <f aca="false">R233/$K$2</f>
        <v>66.9622046084931</v>
      </c>
      <c r="T233" s="43" t="n">
        <f aca="false">S233-$M$2</f>
        <v>-0.000217103406711772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0.0910193920135498</v>
      </c>
      <c r="C234" s="25" t="n">
        <f aca="false">IF(T233&gt;0,D233,C233)</f>
        <v>0.0910201072692871</v>
      </c>
      <c r="D234" s="41" t="n">
        <f aca="false">(B234+C234)/2</f>
        <v>0.0910197496414185</v>
      </c>
      <c r="E234" s="15" t="n">
        <f aca="false">$C$2*(1+IF(E$3&lt;=$O$2,$D234,$D234-($D234-$I$211)*MIN(E$3-$O$2,$Q$2)/$Q$2))</f>
        <v>5345.99677324295</v>
      </c>
      <c r="F234" s="15" t="n">
        <f aca="false">E234*(1+IF(F$3&lt;=$O$2,$D234,$D234-($D234-$I$211)*MIN(F$3-$O$2,$Q$2)/$Q$2))</f>
        <v>5832.58806112736</v>
      </c>
      <c r="G234" s="15" t="n">
        <f aca="false">F234*(1+IF(G$3&lt;=$O$2,$D234,$D234-($D234-$I$211)*MIN(G$3-$O$2,$Q$2)/$Q$2))</f>
        <v>6363.46876621269</v>
      </c>
      <c r="H234" s="15" t="n">
        <f aca="false">G234*(1+IF(H$3&lt;=$O$2,$D234,$D234-($D234-$I$211)*MIN(H$3-$O$2,$Q$2)/$Q$2))</f>
        <v>6942.67010016436</v>
      </c>
      <c r="I234" s="15" t="n">
        <f aca="false">H234*(1+IF(I$3&lt;=$O$2,$D234,$D234-($D234-$I$211)*MIN(I$3-$O$2,$Q$2)/$Q$2))</f>
        <v>7574.59019452428</v>
      </c>
      <c r="J234" s="15" t="n">
        <f aca="false">I234*(1+IF(J$3&lt;=$O$2,$D234,$D234-($D234-$I$211)*MIN(J$3-$O$2,$Q$2)/$Q$2))</f>
        <v>8161.43762734432</v>
      </c>
      <c r="K234" s="15" t="n">
        <f aca="false">J234*(1+IF(K$3&lt;=$O$2,$D234,$D234-($D234-$I$211)*MIN(K$3-$O$2,$Q$2)/$Q$2))</f>
        <v>8683.21343176413</v>
      </c>
      <c r="L234" s="15" t="n">
        <f aca="false">K234*(1+IF(L$3&lt;=$O$2,$D234,$D234-($D234-$I$211)*MIN(L$3-$O$2,$Q$2)/$Q$2))</f>
        <v>9120.74232059706</v>
      </c>
      <c r="M234" s="15" t="n">
        <f aca="false">L234*(1+IF(M$3&lt;=$O$2,$D234,$D234-($D234-$I$211)*MIN(M$3-$O$2,$Q$2)/$Q$2))</f>
        <v>9456.78649396592</v>
      </c>
      <c r="N234" s="15" t="n">
        <f aca="false">M234*(1+IF(N$3&lt;=$O$2,$D234,$D234-($D234-$I$211)*MIN(N$3-$O$2,$Q$2)/$Q$2))</f>
        <v>9677.12961927532</v>
      </c>
      <c r="O234" s="15" t="n">
        <f aca="false">SUMPRODUCT(E234:N234,1/(1+$F$211)^$E$3:$N$3)*$E$2</f>
        <v>7587.13228395455</v>
      </c>
      <c r="P234" s="15" t="n">
        <f aca="false">N234*$E$2*(1+$I$211)/($F$211-$I$211)/(1+$F$211)^$N$3</f>
        <v>10063.3611470452</v>
      </c>
      <c r="Q234" s="15" t="n">
        <f aca="false">O234+P234</f>
        <v>17650.4934309997</v>
      </c>
      <c r="R234" s="15" t="n">
        <f aca="false">Q234-$G$2+$I$2</f>
        <v>12829.9934309997</v>
      </c>
      <c r="S234" s="42" t="n">
        <f aca="false">R234/$K$2</f>
        <v>66.9623874269297</v>
      </c>
      <c r="T234" s="43" t="n">
        <f aca="false">S234-$M$2</f>
        <v>-3.42849700984971E-005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0.0910197496414185</v>
      </c>
      <c r="C235" s="25" t="n">
        <f aca="false">IF(T234&gt;0,D234,C234)</f>
        <v>0.0910201072692871</v>
      </c>
      <c r="D235" s="41" t="n">
        <f aca="false">(B235+C235)/2</f>
        <v>0.0910199284553528</v>
      </c>
      <c r="E235" s="15" t="n">
        <f aca="false">$C$2*(1+IF(E$3&lt;=$O$2,$D235,$D235-($D235-$I$211)*MIN(E$3-$O$2,$Q$2)/$Q$2))</f>
        <v>5345.99764943123</v>
      </c>
      <c r="F235" s="15" t="n">
        <f aca="false">E235*(1+IF(F$3&lt;=$O$2,$D235,$D235-($D235-$I$211)*MIN(F$3-$O$2,$Q$2)/$Q$2))</f>
        <v>5832.58997300494</v>
      </c>
      <c r="G235" s="15" t="n">
        <f aca="false">F235*(1+IF(G$3&lt;=$O$2,$D235,$D235-($D235-$I$211)*MIN(G$3-$O$2,$Q$2)/$Q$2))</f>
        <v>6363.47189505726</v>
      </c>
      <c r="H235" s="15" t="n">
        <f aca="false">G235*(1+IF(H$3&lt;=$O$2,$D235,$D235-($D235-$I$211)*MIN(H$3-$O$2,$Q$2)/$Q$2))</f>
        <v>6942.67465167302</v>
      </c>
      <c r="I235" s="15" t="n">
        <f aca="false">H235*(1+IF(I$3&lt;=$O$2,$D235,$D235-($D235-$I$211)*MIN(I$3-$O$2,$Q$2)/$Q$2))</f>
        <v>7574.59640175709</v>
      </c>
      <c r="J235" s="15" t="n">
        <f aca="false">I235*(1+IF(J$3&lt;=$O$2,$D235,$D235-($D235-$I$211)*MIN(J$3-$O$2,$Q$2)/$Q$2))</f>
        <v>8161.44539904216</v>
      </c>
      <c r="K235" s="15" t="n">
        <f aca="false">J235*(1+IF(K$3&lt;=$O$2,$D235,$D235-($D235-$I$211)*MIN(K$3-$O$2,$Q$2)/$Q$2))</f>
        <v>8683.22257594909</v>
      </c>
      <c r="L235" s="15" t="n">
        <f aca="false">K235*(1+IF(L$3&lt;=$O$2,$D235,$D235-($D235-$I$211)*MIN(L$3-$O$2,$Q$2)/$Q$2))</f>
        <v>9120.75254661077</v>
      </c>
      <c r="M235" s="15" t="n">
        <f aca="false">L235*(1+IF(M$3&lt;=$O$2,$D235,$D235-($D235-$I$211)*MIN(M$3-$O$2,$Q$2)/$Q$2))</f>
        <v>9456.79742292989</v>
      </c>
      <c r="N235" s="15" t="n">
        <f aca="false">M235*(1+IF(N$3&lt;=$O$2,$D235,$D235-($D235-$I$211)*MIN(N$3-$O$2,$Q$2)/$Q$2))</f>
        <v>9677.14080288416</v>
      </c>
      <c r="O235" s="15" t="n">
        <f aca="false">SUMPRODUCT(E235:N235,1/(1+$F$211)^$E$3:$N$3)*$E$2</f>
        <v>7587.13816801858</v>
      </c>
      <c r="P235" s="15" t="n">
        <f aca="false">N235*$E$2*(1+$I$211)/($F$211-$I$211)/(1+$F$211)^$N$3</f>
        <v>10063.3727770118</v>
      </c>
      <c r="Q235" s="15" t="n">
        <f aca="false">O235+P235</f>
        <v>17650.5109450304</v>
      </c>
      <c r="R235" s="15" t="n">
        <f aca="false">Q235-$G$2+$I$2</f>
        <v>12830.0109450304</v>
      </c>
      <c r="S235" s="42" t="n">
        <f aca="false">R235/$K$2</f>
        <v>66.9624788362756</v>
      </c>
      <c r="T235" s="43" t="n">
        <f aca="false">S235-$M$2</f>
        <v>5.71243757860884E-005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0.0910197496414185</v>
      </c>
      <c r="C236" s="25" t="n">
        <f aca="false">IF(T235&gt;0,D235,C235)</f>
        <v>0.0910199284553528</v>
      </c>
      <c r="D236" s="41" t="n">
        <f aca="false">(B236+C236)/2</f>
        <v>0.0910198390483856</v>
      </c>
      <c r="E236" s="15" t="n">
        <f aca="false">$C$2*(1+IF(E$3&lt;=$O$2,$D236,$D236-($D236-$I$211)*MIN(E$3-$O$2,$Q$2)/$Q$2))</f>
        <v>5345.99721133709</v>
      </c>
      <c r="F236" s="15" t="n">
        <f aca="false">E236*(1+IF(F$3&lt;=$O$2,$D236,$D236-($D236-$I$211)*MIN(F$3-$O$2,$Q$2)/$Q$2))</f>
        <v>5832.58901706611</v>
      </c>
      <c r="G236" s="15" t="n">
        <f aca="false">F236*(1+IF(G$3&lt;=$O$2,$D236,$D236-($D236-$I$211)*MIN(G$3-$O$2,$Q$2)/$Q$2))</f>
        <v>6363.47033063485</v>
      </c>
      <c r="H236" s="15" t="n">
        <f aca="false">G236*(1+IF(H$3&lt;=$O$2,$D236,$D236-($D236-$I$211)*MIN(H$3-$O$2,$Q$2)/$Q$2))</f>
        <v>6942.67237591841</v>
      </c>
      <c r="I236" s="15" t="n">
        <f aca="false">H236*(1+IF(I$3&lt;=$O$2,$D236,$D236-($D236-$I$211)*MIN(I$3-$O$2,$Q$2)/$Q$2))</f>
        <v>7574.59329814018</v>
      </c>
      <c r="J236" s="15" t="n">
        <f aca="false">I236*(1+IF(J$3&lt;=$O$2,$D236,$D236-($D236-$I$211)*MIN(J$3-$O$2,$Q$2)/$Q$2))</f>
        <v>8161.44151319247</v>
      </c>
      <c r="K236" s="15" t="n">
        <f aca="false">J236*(1+IF(K$3&lt;=$O$2,$D236,$D236-($D236-$I$211)*MIN(K$3-$O$2,$Q$2)/$Q$2))</f>
        <v>8683.21800385558</v>
      </c>
      <c r="L236" s="15" t="n">
        <f aca="false">K236*(1+IF(L$3&lt;=$O$2,$D236,$D236-($D236-$I$211)*MIN(L$3-$O$2,$Q$2)/$Q$2))</f>
        <v>9120.74743360267</v>
      </c>
      <c r="M236" s="15" t="n">
        <f aca="false">L236*(1+IF(M$3&lt;=$O$2,$D236,$D236-($D236-$I$211)*MIN(M$3-$O$2,$Q$2)/$Q$2))</f>
        <v>9456.79195844652</v>
      </c>
      <c r="N236" s="15" t="n">
        <f aca="false">M236*(1+IF(N$3&lt;=$O$2,$D236,$D236-($D236-$I$211)*MIN(N$3-$O$2,$Q$2)/$Q$2))</f>
        <v>9677.13521107833</v>
      </c>
      <c r="O236" s="15" t="n">
        <f aca="false">SUMPRODUCT(E236:N236,1/(1+$F$211)^$E$3:$N$3)*$E$2</f>
        <v>7587.13522598599</v>
      </c>
      <c r="P236" s="15" t="n">
        <f aca="false">N236*$E$2*(1+$I$211)/($F$211-$I$211)/(1+$F$211)^$N$3</f>
        <v>10063.366962027</v>
      </c>
      <c r="Q236" s="15" t="n">
        <f aca="false">O236+P236</f>
        <v>17650.502188013</v>
      </c>
      <c r="R236" s="15" t="n">
        <f aca="false">Q236-$G$2+$I$2</f>
        <v>12830.002188013</v>
      </c>
      <c r="S236" s="42" t="n">
        <f aca="false">R236/$K$2</f>
        <v>66.962433131592</v>
      </c>
      <c r="T236" s="43" t="n">
        <f aca="false">S236-$M$2</f>
        <v>1.14196921856546E-005</v>
      </c>
    </row>
    <row r="238" customFormat="false" ht="15" hidden="false" customHeight="false" outlineLevel="0" collapsed="false">
      <c r="A238" s="38" t="s">
        <v>180</v>
      </c>
      <c r="E238" s="5" t="s">
        <v>11</v>
      </c>
      <c r="F238" s="12" t="n">
        <f aca="false">Sensitivity!$B$11</f>
        <v>0.0900848977416375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153</v>
      </c>
      <c r="B239" s="28" t="s">
        <v>154</v>
      </c>
      <c r="C239" s="28" t="s">
        <v>155</v>
      </c>
      <c r="D239" s="28" t="s">
        <v>156</v>
      </c>
      <c r="E239" s="28" t="s">
        <v>157</v>
      </c>
      <c r="F239" s="28" t="s">
        <v>158</v>
      </c>
      <c r="G239" s="28" t="s">
        <v>159</v>
      </c>
      <c r="H239" s="28" t="s">
        <v>160</v>
      </c>
      <c r="I239" s="28" t="s">
        <v>161</v>
      </c>
      <c r="J239" s="28" t="s">
        <v>162</v>
      </c>
      <c r="K239" s="28" t="s">
        <v>163</v>
      </c>
      <c r="L239" s="28" t="s">
        <v>164</v>
      </c>
      <c r="M239" s="28" t="s">
        <v>165</v>
      </c>
      <c r="N239" s="28" t="s">
        <v>166</v>
      </c>
      <c r="O239" s="28" t="s">
        <v>167</v>
      </c>
      <c r="P239" s="28" t="s">
        <v>168</v>
      </c>
      <c r="Q239" s="28" t="s">
        <v>169</v>
      </c>
      <c r="R239" s="28" t="s">
        <v>170</v>
      </c>
      <c r="S239" s="28" t="s">
        <v>171</v>
      </c>
      <c r="T239" s="28" t="s">
        <v>172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6125</v>
      </c>
      <c r="F240" s="15" t="n">
        <f aca="false">E240*(1+IF(F$3&lt;=$O$2,$D240,$D240-($D240-$I$238)*MIN(F$3-$O$2,$Q$2)/$Q$2))</f>
        <v>7656.25</v>
      </c>
      <c r="G240" s="15" t="n">
        <f aca="false">F240*(1+IF(G$3&lt;=$O$2,$D240,$D240-($D240-$I$238)*MIN(G$3-$O$2,$Q$2)/$Q$2))</f>
        <v>9570.3125</v>
      </c>
      <c r="H240" s="15" t="n">
        <f aca="false">G240*(1+IF(H$3&lt;=$O$2,$D240,$D240-($D240-$I$238)*MIN(H$3-$O$2,$Q$2)/$Q$2))</f>
        <v>11962.890625</v>
      </c>
      <c r="I240" s="15" t="n">
        <f aca="false">H240*(1+IF(I$3&lt;=$O$2,$D240,$D240-($D240-$I$238)*MIN(I$3-$O$2,$Q$2)/$Q$2))</f>
        <v>14953.61328125</v>
      </c>
      <c r="J240" s="15" t="n">
        <f aca="false">I240*(1+IF(J$3&lt;=$O$2,$D240,$D240-($D240-$I$238)*MIN(J$3-$O$2,$Q$2)/$Q$2))</f>
        <v>18028.9733886719</v>
      </c>
      <c r="K240" s="15" t="n">
        <f aca="false">J240*(1+IF(K$3&lt;=$O$2,$D240,$D240-($D240-$I$238)*MIN(K$3-$O$2,$Q$2)/$Q$2))</f>
        <v>20937.4073757324</v>
      </c>
      <c r="L240" s="15" t="n">
        <f aca="false">K240*(1+IF(L$3&lt;=$O$2,$D240,$D240-($D240-$I$238)*MIN(L$3-$O$2,$Q$2)/$Q$2))</f>
        <v>23386.6652905456</v>
      </c>
      <c r="M240" s="15" t="n">
        <f aca="false">L240*(1+IF(M$3&lt;=$O$2,$D240,$D240-($D240-$I$238)*MIN(M$3-$O$2,$Q$2)/$Q$2))</f>
        <v>25085.4726572508</v>
      </c>
      <c r="N240" s="15" t="n">
        <f aca="false">M240*(1+IF(N$3&lt;=$O$2,$D240,$D240-($D240-$I$238)*MIN(N$3-$O$2,$Q$2)/$Q$2))</f>
        <v>25795.391533451</v>
      </c>
      <c r="O240" s="15" t="n">
        <f aca="false">SUMPRODUCT(E240:N240,1/(1+$F$238)^$E$3:$N$3)*$E$2</f>
        <v>15113.0722451631</v>
      </c>
      <c r="P240" s="15" t="n">
        <f aca="false">N240*$E$2*(1+$I$238)/($F$238-$I$238)/(1+$F$238)^$N$3</f>
        <v>29137.441822208</v>
      </c>
      <c r="Q240" s="15" t="n">
        <f aca="false">O240+P240</f>
        <v>44250.5140673711</v>
      </c>
      <c r="R240" s="15" t="n">
        <f aca="false">Q240-$G$2+$I$2</f>
        <v>39430.0140673711</v>
      </c>
      <c r="S240" s="42" t="n">
        <f aca="false">R240/$K$2</f>
        <v>205.793392835966</v>
      </c>
      <c r="T240" s="43" t="n">
        <f aca="false">S240-$M$2</f>
        <v>138.830971124066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4287.5</v>
      </c>
      <c r="F241" s="15" t="n">
        <f aca="false">E241*(1+IF(F$3&lt;=$O$2,$D241,$D241-($D241-$I$238)*MIN(F$3-$O$2,$Q$2)/$Q$2))</f>
        <v>3751.5625</v>
      </c>
      <c r="G241" s="15" t="n">
        <f aca="false">F241*(1+IF(G$3&lt;=$O$2,$D241,$D241-($D241-$I$238)*MIN(G$3-$O$2,$Q$2)/$Q$2))</f>
        <v>3282.6171875</v>
      </c>
      <c r="H241" s="15" t="n">
        <f aca="false">G241*(1+IF(H$3&lt;=$O$2,$D241,$D241-($D241-$I$238)*MIN(H$3-$O$2,$Q$2)/$Q$2))</f>
        <v>2872.2900390625</v>
      </c>
      <c r="I241" s="15" t="n">
        <f aca="false">H241*(1+IF(I$3&lt;=$O$2,$D241,$D241-($D241-$I$238)*MIN(I$3-$O$2,$Q$2)/$Q$2))</f>
        <v>2513.25378417969</v>
      </c>
      <c r="J241" s="15" t="n">
        <f aca="false">I241*(1+IF(J$3&lt;=$O$2,$D241,$D241-($D241-$I$238)*MIN(J$3-$O$2,$Q$2)/$Q$2))</f>
        <v>2276.15342218018</v>
      </c>
      <c r="K241" s="15" t="n">
        <f aca="false">J241*(1+IF(K$3&lt;=$O$2,$D241,$D241-($D241-$I$238)*MIN(K$3-$O$2,$Q$2)/$Q$2))</f>
        <v>2131.20797225574</v>
      </c>
      <c r="L241" s="15" t="n">
        <f aca="false">K241*(1+IF(L$3&lt;=$O$2,$D241,$D241-($D241-$I$238)*MIN(L$3-$O$2,$Q$2)/$Q$2))</f>
        <v>2060.83548501186</v>
      </c>
      <c r="M241" s="15" t="n">
        <f aca="false">L241*(1+IF(M$3&lt;=$O$2,$D241,$D241-($D241-$I$238)*MIN(M$3-$O$2,$Q$2)/$Q$2))</f>
        <v>2055.97191326723</v>
      </c>
      <c r="N241" s="15" t="n">
        <f aca="false">M241*(1+IF(N$3&lt;=$O$2,$D241,$D241-($D241-$I$238)*MIN(N$3-$O$2,$Q$2)/$Q$2))</f>
        <v>2114.15591841269</v>
      </c>
      <c r="O241" s="15" t="n">
        <f aca="false">SUMPRODUCT(E241:N241,1/(1+$F$238)^$E$3:$N$3)*$E$2</f>
        <v>3004.4989387097</v>
      </c>
      <c r="P241" s="15" t="n">
        <f aca="false">N241*$E$2*(1+$I$238)/($F$238-$I$238)/(1+$F$238)^$N$3</f>
        <v>2388.06590688664</v>
      </c>
      <c r="Q241" s="15" t="n">
        <f aca="false">O241+P241</f>
        <v>5392.56484559634</v>
      </c>
      <c r="R241" s="15" t="n">
        <f aca="false">Q241-$G$2+$I$2</f>
        <v>572.064845596337</v>
      </c>
      <c r="S241" s="42" t="n">
        <f aca="false">R241/$K$2</f>
        <v>2.98572466386397</v>
      </c>
      <c r="T241" s="43" t="n">
        <f aca="false">S241-$M$2</f>
        <v>-63.9766970480358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5206.25</v>
      </c>
      <c r="F242" s="15" t="n">
        <f aca="false">E242*(1+IF(F$3&lt;=$O$2,$D242,$D242-($D242-$I$238)*MIN(F$3-$O$2,$Q$2)/$Q$2))</f>
        <v>5531.640625</v>
      </c>
      <c r="G242" s="15" t="n">
        <f aca="false">F242*(1+IF(G$3&lt;=$O$2,$D242,$D242-($D242-$I$238)*MIN(G$3-$O$2,$Q$2)/$Q$2))</f>
        <v>5877.3681640625</v>
      </c>
      <c r="H242" s="15" t="n">
        <f aca="false">G242*(1+IF(H$3&lt;=$O$2,$D242,$D242-($D242-$I$238)*MIN(H$3-$O$2,$Q$2)/$Q$2))</f>
        <v>6244.70367431641</v>
      </c>
      <c r="I242" s="15" t="n">
        <f aca="false">H242*(1+IF(I$3&lt;=$O$2,$D242,$D242-($D242-$I$238)*MIN(I$3-$O$2,$Q$2)/$Q$2))</f>
        <v>6634.99765396118</v>
      </c>
      <c r="J242" s="15" t="n">
        <f aca="false">I242*(1+IF(J$3&lt;=$O$2,$D242,$D242-($D242-$I$238)*MIN(J$3-$O$2,$Q$2)/$Q$2))</f>
        <v>7004.30162338066</v>
      </c>
      <c r="K242" s="15" t="n">
        <f aca="false">J242*(1+IF(K$3&lt;=$O$2,$D242,$D242-($D242-$I$238)*MIN(K$3-$O$2,$Q$2)/$Q$2))</f>
        <v>7346.25162863411</v>
      </c>
      <c r="L242" s="15" t="n">
        <f aca="false">K242*(1+IF(L$3&lt;=$O$2,$D242,$D242-($D242-$I$238)*MIN(L$3-$O$2,$Q$2)/$Q$2))</f>
        <v>7654.64727200416</v>
      </c>
      <c r="M242" s="15" t="n">
        <f aca="false">L242*(1+IF(M$3&lt;=$O$2,$D242,$D242-($D242-$I$238)*MIN(M$3-$O$2,$Q$2)/$Q$2))</f>
        <v>7923.63157714239</v>
      </c>
      <c r="N242" s="15" t="n">
        <f aca="false">M242*(1+IF(N$3&lt;=$O$2,$D242,$D242-($D242-$I$238)*MIN(N$3-$O$2,$Q$2)/$Q$2))</f>
        <v>8147.87035077552</v>
      </c>
      <c r="O242" s="15" t="n">
        <f aca="false">SUMPRODUCT(E242:N242,1/(1+$F$238)^$E$3:$N$3)*$E$2</f>
        <v>6723.93429245944</v>
      </c>
      <c r="P242" s="15" t="n">
        <f aca="false">N242*$E$2*(1+$I$238)/($F$238-$I$238)/(1+$F$238)^$N$3</f>
        <v>9203.5082317998</v>
      </c>
      <c r="Q242" s="15" t="n">
        <f aca="false">O242+P242</f>
        <v>15927.4425242592</v>
      </c>
      <c r="R242" s="15" t="n">
        <f aca="false">Q242-$G$2+$I$2</f>
        <v>11106.9425242592</v>
      </c>
      <c r="S242" s="42" t="n">
        <f aca="false">R242/$K$2</f>
        <v>57.9694286234825</v>
      </c>
      <c r="T242" s="43" t="n">
        <f aca="false">S242-$M$2</f>
        <v>-8.99299308841734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0.0625</v>
      </c>
      <c r="C243" s="25" t="n">
        <f aca="false">IF(T242&gt;0,D242,C242)</f>
        <v>0.25</v>
      </c>
      <c r="D243" s="41" t="n">
        <f aca="false">(B243+C243)/2</f>
        <v>0.15625</v>
      </c>
      <c r="E243" s="15" t="n">
        <f aca="false">$C$2*(1+IF(E$3&lt;=$O$2,$D243,$D243-($D243-$I$238)*MIN(E$3-$O$2,$Q$2)/$Q$2))</f>
        <v>5665.625</v>
      </c>
      <c r="F243" s="15" t="n">
        <f aca="false">E243*(1+IF(F$3&lt;=$O$2,$D243,$D243-($D243-$I$238)*MIN(F$3-$O$2,$Q$2)/$Q$2))</f>
        <v>6550.87890625</v>
      </c>
      <c r="G243" s="15" t="n">
        <f aca="false">F243*(1+IF(G$3&lt;=$O$2,$D243,$D243-($D243-$I$238)*MIN(G$3-$O$2,$Q$2)/$Q$2))</f>
        <v>7574.45373535156</v>
      </c>
      <c r="H243" s="15" t="n">
        <f aca="false">G243*(1+IF(H$3&lt;=$O$2,$D243,$D243-($D243-$I$238)*MIN(H$3-$O$2,$Q$2)/$Q$2))</f>
        <v>8757.96213150024</v>
      </c>
      <c r="I243" s="15" t="n">
        <f aca="false">H243*(1+IF(I$3&lt;=$O$2,$D243,$D243-($D243-$I$238)*MIN(I$3-$O$2,$Q$2)/$Q$2))</f>
        <v>10126.3937145472</v>
      </c>
      <c r="J243" s="15" t="n">
        <f aca="false">I243*(1+IF(J$3&lt;=$O$2,$D243,$D243-($D243-$I$238)*MIN(J$3-$O$2,$Q$2)/$Q$2))</f>
        <v>11449.5083172899</v>
      </c>
      <c r="K243" s="15" t="n">
        <f aca="false">J243*(1+IF(K$3&lt;=$O$2,$D243,$D243-($D243-$I$238)*MIN(K$3-$O$2,$Q$2)/$Q$2))</f>
        <v>12652.5081561875</v>
      </c>
      <c r="L243" s="15" t="n">
        <f aca="false">K243*(1+IF(L$3&lt;=$O$2,$D243,$D243-($D243-$I$238)*MIN(L$3-$O$2,$Q$2)/$Q$2))</f>
        <v>13658.1295044413</v>
      </c>
      <c r="M243" s="15" t="n">
        <f aca="false">L243*(1+IF(M$3&lt;=$O$2,$D243,$D243-($D243-$I$238)*MIN(M$3-$O$2,$Q$2)/$Q$2))</f>
        <v>14394.1661034357</v>
      </c>
      <c r="N243" s="15" t="n">
        <f aca="false">M243*(1+IF(N$3&lt;=$O$2,$D243,$D243-($D243-$I$238)*MIN(N$3-$O$2,$Q$2)/$Q$2))</f>
        <v>14801.5210041629</v>
      </c>
      <c r="O243" s="15" t="n">
        <f aca="false">SUMPRODUCT(E243:N243,1/(1+$F$238)^$E$3:$N$3)*$E$2</f>
        <v>10098.1542213919</v>
      </c>
      <c r="P243" s="15" t="n">
        <f aca="false">N243*$E$2*(1+$I$238)/($F$238-$I$238)/(1+$F$238)^$N$3</f>
        <v>16719.2056991929</v>
      </c>
      <c r="Q243" s="15" t="n">
        <f aca="false">O243+P243</f>
        <v>26817.3599205848</v>
      </c>
      <c r="R243" s="15" t="n">
        <f aca="false">Q243-$G$2+$I$2</f>
        <v>21996.8599205848</v>
      </c>
      <c r="S243" s="42" t="n">
        <f aca="false">R243/$K$2</f>
        <v>114.806158249399</v>
      </c>
      <c r="T243" s="43" t="n">
        <f aca="false">S243-$M$2</f>
        <v>47.843736537499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0.0625</v>
      </c>
      <c r="C244" s="25" t="n">
        <f aca="false">IF(T243&gt;0,D243,C243)</f>
        <v>0.15625</v>
      </c>
      <c r="D244" s="41" t="n">
        <f aca="false">(B244+C244)/2</f>
        <v>0.109375</v>
      </c>
      <c r="E244" s="15" t="n">
        <f aca="false">$C$2*(1+IF(E$3&lt;=$O$2,$D244,$D244-($D244-$I$238)*MIN(E$3-$O$2,$Q$2)/$Q$2))</f>
        <v>5435.9375</v>
      </c>
      <c r="F244" s="15" t="n">
        <f aca="false">E244*(1+IF(F$3&lt;=$O$2,$D244,$D244-($D244-$I$238)*MIN(F$3-$O$2,$Q$2)/$Q$2))</f>
        <v>6030.4931640625</v>
      </c>
      <c r="G244" s="15" t="n">
        <f aca="false">F244*(1+IF(G$3&lt;=$O$2,$D244,$D244-($D244-$I$238)*MIN(G$3-$O$2,$Q$2)/$Q$2))</f>
        <v>6690.07835388184</v>
      </c>
      <c r="H244" s="15" t="n">
        <f aca="false">G244*(1+IF(H$3&lt;=$O$2,$D244,$D244-($D244-$I$238)*MIN(H$3-$O$2,$Q$2)/$Q$2))</f>
        <v>7421.80567383766</v>
      </c>
      <c r="I244" s="15" t="n">
        <f aca="false">H244*(1+IF(I$3&lt;=$O$2,$D244,$D244-($D244-$I$238)*MIN(I$3-$O$2,$Q$2)/$Q$2))</f>
        <v>8233.56566941366</v>
      </c>
      <c r="J244" s="15" t="n">
        <f aca="false">I244*(1+IF(J$3&lt;=$O$2,$D244,$D244-($D244-$I$238)*MIN(J$3-$O$2,$Q$2)/$Q$2))</f>
        <v>9000.60464717623</v>
      </c>
      <c r="K244" s="15" t="n">
        <f aca="false">J244*(1+IF(K$3&lt;=$O$2,$D244,$D244-($D244-$I$238)*MIN(K$3-$O$2,$Q$2)/$Q$2))</f>
        <v>9693.15617175321</v>
      </c>
      <c r="L244" s="15" t="n">
        <f aca="false">K244*(1+IF(L$3&lt;=$O$2,$D244,$D244-($D244-$I$238)*MIN(L$3-$O$2,$Q$2)/$Q$2))</f>
        <v>10281.8215460638</v>
      </c>
      <c r="M244" s="15" t="n">
        <f aca="false">L244*(1+IF(M$3&lt;=$O$2,$D244,$D244-($D244-$I$238)*MIN(M$3-$O$2,$Q$2)/$Q$2))</f>
        <v>10739.5168321868</v>
      </c>
      <c r="N244" s="15" t="n">
        <f aca="false">M244*(1+IF(N$3&lt;=$O$2,$D244,$D244-($D244-$I$238)*MIN(N$3-$O$2,$Q$2)/$Q$2))</f>
        <v>11043.4451585377</v>
      </c>
      <c r="O244" s="15" t="n">
        <f aca="false">SUMPRODUCT(E244:N244,1/(1+$F$238)^$E$3:$N$3)*$E$2</f>
        <v>8241.60129947296</v>
      </c>
      <c r="P244" s="15" t="n">
        <f aca="false">N244*$E$2*(1+$I$238)/($F$238-$I$238)/(1+$F$238)^$N$3</f>
        <v>12474.2336400035</v>
      </c>
      <c r="Q244" s="15" t="n">
        <f aca="false">O244+P244</f>
        <v>20715.8349394765</v>
      </c>
      <c r="R244" s="15" t="n">
        <f aca="false">Q244-$G$2+$I$2</f>
        <v>15895.3349394765</v>
      </c>
      <c r="S244" s="42" t="n">
        <f aca="false">R244/$K$2</f>
        <v>82.9610383062447</v>
      </c>
      <c r="T244" s="43" t="n">
        <f aca="false">S244-$M$2</f>
        <v>15.9986165943449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0.0625</v>
      </c>
      <c r="C245" s="25" t="n">
        <f aca="false">IF(T244&gt;0,D244,C244)</f>
        <v>0.109375</v>
      </c>
      <c r="D245" s="41" t="n">
        <f aca="false">(B245+C245)/2</f>
        <v>0.0859375</v>
      </c>
      <c r="E245" s="15" t="n">
        <f aca="false">$C$2*(1+IF(E$3&lt;=$O$2,$D245,$D245-($D245-$I$238)*MIN(E$3-$O$2,$Q$2)/$Q$2))</f>
        <v>5321.09375</v>
      </c>
      <c r="F245" s="15" t="n">
        <f aca="false">E245*(1+IF(F$3&lt;=$O$2,$D245,$D245-($D245-$I$238)*MIN(F$3-$O$2,$Q$2)/$Q$2))</f>
        <v>5778.37524414063</v>
      </c>
      <c r="G245" s="15" t="n">
        <f aca="false">F245*(1+IF(G$3&lt;=$O$2,$D245,$D245-($D245-$I$238)*MIN(G$3-$O$2,$Q$2)/$Q$2))</f>
        <v>6274.95436668396</v>
      </c>
      <c r="H245" s="15" t="n">
        <f aca="false">G245*(1+IF(H$3&lt;=$O$2,$D245,$D245-($D245-$I$238)*MIN(H$3-$O$2,$Q$2)/$Q$2))</f>
        <v>6814.20825757086</v>
      </c>
      <c r="I245" s="15" t="n">
        <f aca="false">H245*(1+IF(I$3&lt;=$O$2,$D245,$D245-($D245-$I$238)*MIN(I$3-$O$2,$Q$2)/$Q$2))</f>
        <v>7399.80427970586</v>
      </c>
      <c r="J245" s="15" t="n">
        <f aca="false">I245*(1+IF(J$3&lt;=$O$2,$D245,$D245-($D245-$I$238)*MIN(J$3-$O$2,$Q$2)/$Q$2))</f>
        <v>7950.42371615877</v>
      </c>
      <c r="K245" s="15" t="n">
        <f aca="false">J245*(1+IF(K$3&lt;=$O$2,$D245,$D245-($D245-$I$238)*MIN(K$3-$O$2,$Q$2)/$Q$2))</f>
        <v>8450.36623549013</v>
      </c>
      <c r="L245" s="15" t="n">
        <f aca="false">K245*(1+IF(L$3&lt;=$O$2,$D245,$D245-($D245-$I$238)*MIN(L$3-$O$2,$Q$2)/$Q$2))</f>
        <v>8884.33479351372</v>
      </c>
      <c r="M245" s="15" t="n">
        <f aca="false">L245*(1+IF(M$3&lt;=$O$2,$D245,$D245-($D245-$I$238)*MIN(M$3-$O$2,$Q$2)/$Q$2))</f>
        <v>9238.17563750239</v>
      </c>
      <c r="N245" s="15" t="n">
        <f aca="false">M245*(1+IF(N$3&lt;=$O$2,$D245,$D245-($D245-$I$238)*MIN(N$3-$O$2,$Q$2)/$Q$2))</f>
        <v>9499.61600804371</v>
      </c>
      <c r="O245" s="15" t="n">
        <f aca="false">SUMPRODUCT(E245:N245,1/(1+$F$238)^$E$3:$N$3)*$E$2</f>
        <v>7444.26812449911</v>
      </c>
      <c r="P245" s="15" t="n">
        <f aca="false">N245*$E$2*(1+$I$238)/($F$238-$I$238)/(1+$F$238)^$N$3</f>
        <v>10730.3860229742</v>
      </c>
      <c r="Q245" s="15" t="n">
        <f aca="false">O245+P245</f>
        <v>18174.6541474733</v>
      </c>
      <c r="R245" s="15" t="n">
        <f aca="false">Q245-$G$2+$I$2</f>
        <v>13354.1541474733</v>
      </c>
      <c r="S245" s="42" t="n">
        <f aca="false">R245/$K$2</f>
        <v>69.6980905400485</v>
      </c>
      <c r="T245" s="43" t="n">
        <f aca="false">S245-$M$2</f>
        <v>2.73566882814872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0.0625</v>
      </c>
      <c r="C246" s="25" t="n">
        <f aca="false">IF(T245&gt;0,D245,C245)</f>
        <v>0.0859375</v>
      </c>
      <c r="D246" s="41" t="n">
        <f aca="false">(B246+C246)/2</f>
        <v>0.07421875</v>
      </c>
      <c r="E246" s="15" t="n">
        <f aca="false">$C$2*(1+IF(E$3&lt;=$O$2,$D246,$D246-($D246-$I$238)*MIN(E$3-$O$2,$Q$2)/$Q$2))</f>
        <v>5263.671875</v>
      </c>
      <c r="F246" s="15" t="n">
        <f aca="false">E246*(1+IF(F$3&lt;=$O$2,$D246,$D246-($D246-$I$238)*MIN(F$3-$O$2,$Q$2)/$Q$2))</f>
        <v>5654.33502197266</v>
      </c>
      <c r="G246" s="15" t="n">
        <f aca="false">F246*(1+IF(G$3&lt;=$O$2,$D246,$D246-($D246-$I$238)*MIN(G$3-$O$2,$Q$2)/$Q$2))</f>
        <v>6073.99269938469</v>
      </c>
      <c r="H246" s="15" t="n">
        <f aca="false">G246*(1+IF(H$3&lt;=$O$2,$D246,$D246-($D246-$I$238)*MIN(H$3-$O$2,$Q$2)/$Q$2))</f>
        <v>6524.79684504215</v>
      </c>
      <c r="I246" s="15" t="n">
        <f aca="false">H246*(1+IF(I$3&lt;=$O$2,$D246,$D246-($D246-$I$238)*MIN(I$3-$O$2,$Q$2)/$Q$2))</f>
        <v>7009.05911088512</v>
      </c>
      <c r="J246" s="15" t="n">
        <f aca="false">I246*(1+IF(J$3&lt;=$O$2,$D246,$D246-($D246-$I$238)*MIN(J$3-$O$2,$Q$2)/$Q$2))</f>
        <v>7464.89327016153</v>
      </c>
      <c r="K246" s="15" t="n">
        <f aca="false">J246*(1+IF(K$3&lt;=$O$2,$D246,$D246-($D246-$I$238)*MIN(K$3-$O$2,$Q$2)/$Q$2))</f>
        <v>7881.81689041664</v>
      </c>
      <c r="L246" s="15" t="n">
        <f aca="false">K246*(1+IF(L$3&lt;=$O$2,$D246,$D246-($D246-$I$238)*MIN(L$3-$O$2,$Q$2)/$Q$2))</f>
        <v>8249.64158015016</v>
      </c>
      <c r="M246" s="15" t="n">
        <f aca="false">L246*(1+IF(M$3&lt;=$O$2,$D246,$D246-($D246-$I$238)*MIN(M$3-$O$2,$Q$2)/$Q$2))</f>
        <v>8558.86908273011</v>
      </c>
      <c r="N246" s="15" t="n">
        <f aca="false">M246*(1+IF(N$3&lt;=$O$2,$D246,$D246-($D246-$I$238)*MIN(N$3-$O$2,$Q$2)/$Q$2))</f>
        <v>8801.08507777138</v>
      </c>
      <c r="O246" s="15" t="n">
        <f aca="false">SUMPRODUCT(E246:N246,1/(1+$F$238)^$E$3:$N$3)*$E$2</f>
        <v>7074.92533826075</v>
      </c>
      <c r="P246" s="15" t="n">
        <f aca="false">N246*$E$2*(1+$I$238)/($F$238-$I$238)/(1+$F$238)^$N$3</f>
        <v>9941.35344266119</v>
      </c>
      <c r="Q246" s="15" t="n">
        <f aca="false">O246+P246</f>
        <v>17016.2787809219</v>
      </c>
      <c r="R246" s="15" t="n">
        <f aca="false">Q246-$G$2+$I$2</f>
        <v>12195.7787809219</v>
      </c>
      <c r="S246" s="42" t="n">
        <f aca="false">R246/$K$2</f>
        <v>63.6522900883191</v>
      </c>
      <c r="T246" s="43" t="n">
        <f aca="false">S246-$M$2</f>
        <v>-3.3101316235807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0.07421875</v>
      </c>
      <c r="C247" s="25" t="n">
        <f aca="false">IF(T246&gt;0,D246,C246)</f>
        <v>0.0859375</v>
      </c>
      <c r="D247" s="41" t="n">
        <f aca="false">(B247+C247)/2</f>
        <v>0.080078125</v>
      </c>
      <c r="E247" s="15" t="n">
        <f aca="false">$C$2*(1+IF(E$3&lt;=$O$2,$D247,$D247-($D247-$I$238)*MIN(E$3-$O$2,$Q$2)/$Q$2))</f>
        <v>5292.3828125</v>
      </c>
      <c r="F247" s="15" t="n">
        <f aca="false">E247*(1+IF(F$3&lt;=$O$2,$D247,$D247-($D247-$I$238)*MIN(F$3-$O$2,$Q$2)/$Q$2))</f>
        <v>5716.18690490723</v>
      </c>
      <c r="G247" s="15" t="n">
        <f aca="false">F247*(1+IF(G$3&lt;=$O$2,$D247,$D247-($D247-$I$238)*MIN(G$3-$O$2,$Q$2)/$Q$2))</f>
        <v>6173.92843440175</v>
      </c>
      <c r="H247" s="15" t="n">
        <f aca="false">G247*(1+IF(H$3&lt;=$O$2,$D247,$D247-($D247-$I$238)*MIN(H$3-$O$2,$Q$2)/$Q$2))</f>
        <v>6668.32504731283</v>
      </c>
      <c r="I247" s="15" t="n">
        <f aca="false">H247*(1+IF(I$3&lt;=$O$2,$D247,$D247-($D247-$I$238)*MIN(I$3-$O$2,$Q$2)/$Q$2))</f>
        <v>7202.31201399218</v>
      </c>
      <c r="J247" s="15" t="n">
        <f aca="false">I247*(1+IF(J$3&lt;=$O$2,$D247,$D247-($D247-$I$238)*MIN(J$3-$O$2,$Q$2)/$Q$2))</f>
        <v>7704.47521338775</v>
      </c>
      <c r="K247" s="15" t="n">
        <f aca="false">J247*(1+IF(K$3&lt;=$O$2,$D247,$D247-($D247-$I$238)*MIN(K$3-$O$2,$Q$2)/$Q$2))</f>
        <v>8161.86583032153</v>
      </c>
      <c r="L247" s="15" t="n">
        <f aca="false">K247*(1+IF(L$3&lt;=$O$2,$D247,$D247-($D247-$I$238)*MIN(L$3-$O$2,$Q$2)/$Q$2))</f>
        <v>8561.88907699788</v>
      </c>
      <c r="M247" s="15" t="n">
        <f aca="false">L247*(1+IF(M$3&lt;=$O$2,$D247,$D247-($D247-$I$238)*MIN(M$3-$O$2,$Q$2)/$Q$2))</f>
        <v>8892.85425044991</v>
      </c>
      <c r="N247" s="15" t="n">
        <f aca="false">M247*(1+IF(N$3&lt;=$O$2,$D247,$D247-($D247-$I$238)*MIN(N$3-$O$2,$Q$2)/$Q$2))</f>
        <v>9144.52202573764</v>
      </c>
      <c r="O247" s="15" t="n">
        <f aca="false">SUMPRODUCT(E247:N247,1/(1+$F$238)^$E$3:$N$3)*$E$2</f>
        <v>7257.24806744517</v>
      </c>
      <c r="P247" s="15" t="n">
        <f aca="false">N247*$E$2*(1+$I$238)/($F$238-$I$238)/(1+$F$238)^$N$3</f>
        <v>10329.2860731075</v>
      </c>
      <c r="Q247" s="15" t="n">
        <f aca="false">O247+P247</f>
        <v>17586.5341405527</v>
      </c>
      <c r="R247" s="15" t="n">
        <f aca="false">Q247-$G$2+$I$2</f>
        <v>12766.0341405527</v>
      </c>
      <c r="S247" s="42" t="n">
        <f aca="false">R247/$K$2</f>
        <v>66.6285706709429</v>
      </c>
      <c r="T247" s="43" t="n">
        <f aca="false">S247-$M$2</f>
        <v>-0.333851040956915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0.080078125</v>
      </c>
      <c r="C248" s="25" t="n">
        <f aca="false">IF(T247&gt;0,D247,C247)</f>
        <v>0.0859375</v>
      </c>
      <c r="D248" s="41" t="n">
        <f aca="false">(B248+C248)/2</f>
        <v>0.0830078125</v>
      </c>
      <c r="E248" s="15" t="n">
        <f aca="false">$C$2*(1+IF(E$3&lt;=$O$2,$D248,$D248-($D248-$I$238)*MIN(E$3-$O$2,$Q$2)/$Q$2))</f>
        <v>5306.73828125</v>
      </c>
      <c r="F248" s="15" t="n">
        <f aca="false">E248*(1+IF(F$3&lt;=$O$2,$D248,$D248-($D248-$I$238)*MIN(F$3-$O$2,$Q$2)/$Q$2))</f>
        <v>5747.23901748657</v>
      </c>
      <c r="G248" s="15" t="n">
        <f aca="false">F248*(1+IF(G$3&lt;=$O$2,$D248,$D248-($D248-$I$238)*MIN(G$3-$O$2,$Q$2)/$Q$2))</f>
        <v>6224.30475624278</v>
      </c>
      <c r="H248" s="15" t="n">
        <f aca="false">G248*(1+IF(H$3&lt;=$O$2,$D248,$D248-($D248-$I$238)*MIN(H$3-$O$2,$Q$2)/$Q$2))</f>
        <v>6740.97067839184</v>
      </c>
      <c r="I248" s="15" t="n">
        <f aca="false">H248*(1+IF(I$3&lt;=$O$2,$D248,$D248-($D248-$I$238)*MIN(I$3-$O$2,$Q$2)/$Q$2))</f>
        <v>7300.52390853179</v>
      </c>
      <c r="J248" s="15" t="n">
        <f aca="false">I248*(1+IF(J$3&lt;=$O$2,$D248,$D248-($D248-$I$238)*MIN(J$3-$O$2,$Q$2)/$Q$2))</f>
        <v>7826.64528965502</v>
      </c>
      <c r="K248" s="15" t="n">
        <f aca="false">J248*(1+IF(K$3&lt;=$O$2,$D248,$D248-($D248-$I$238)*MIN(K$3-$O$2,$Q$2)/$Q$2))</f>
        <v>8305.04653715853</v>
      </c>
      <c r="L248" s="15" t="n">
        <f aca="false">K248*(1+IF(L$3&lt;=$O$2,$D248,$D248-($D248-$I$238)*MIN(L$3-$O$2,$Q$2)/$Q$2))</f>
        <v>8721.81972566357</v>
      </c>
      <c r="M248" s="15" t="n">
        <f aca="false">L248*(1+IF(M$3&lt;=$O$2,$D248,$D248-($D248-$I$238)*MIN(M$3-$O$2,$Q$2)/$Q$2))</f>
        <v>9064.07755954193</v>
      </c>
      <c r="N248" s="15" t="n">
        <f aca="false">M248*(1+IF(N$3&lt;=$O$2,$D248,$D248-($D248-$I$238)*MIN(N$3-$O$2,$Q$2)/$Q$2))</f>
        <v>9320.59095447697</v>
      </c>
      <c r="O248" s="15" t="n">
        <f aca="false">SUMPRODUCT(E248:N248,1/(1+$F$238)^$E$3:$N$3)*$E$2</f>
        <v>7350.16396932469</v>
      </c>
      <c r="P248" s="15" t="n">
        <f aca="false">N248*$E$2*(1+$I$238)/($F$238-$I$238)/(1+$F$238)^$N$3</f>
        <v>10528.1664878974</v>
      </c>
      <c r="Q248" s="15" t="n">
        <f aca="false">O248+P248</f>
        <v>17878.3304572221</v>
      </c>
      <c r="R248" s="15" t="n">
        <f aca="false">Q248-$G$2+$I$2</f>
        <v>13057.8304572221</v>
      </c>
      <c r="S248" s="42" t="n">
        <f aca="false">R248/$K$2</f>
        <v>68.1515159562739</v>
      </c>
      <c r="T248" s="43" t="n">
        <f aca="false">S248-$M$2</f>
        <v>1.18909424437412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0.080078125</v>
      </c>
      <c r="C249" s="25" t="n">
        <f aca="false">IF(T248&gt;0,D248,C248)</f>
        <v>0.0830078125</v>
      </c>
      <c r="D249" s="41" t="n">
        <f aca="false">(B249+C249)/2</f>
        <v>0.08154296875</v>
      </c>
      <c r="E249" s="15" t="n">
        <f aca="false">$C$2*(1+IF(E$3&lt;=$O$2,$D249,$D249-($D249-$I$238)*MIN(E$3-$O$2,$Q$2)/$Q$2))</f>
        <v>5299.560546875</v>
      </c>
      <c r="F249" s="15" t="n">
        <f aca="false">E249*(1+IF(F$3&lt;=$O$2,$D249,$D249-($D249-$I$238)*MIN(F$3-$O$2,$Q$2)/$Q$2))</f>
        <v>5731.70244693756</v>
      </c>
      <c r="G249" s="15" t="n">
        <f aca="false">F249*(1+IF(G$3&lt;=$O$2,$D249,$D249-($D249-$I$238)*MIN(G$3-$O$2,$Q$2)/$Q$2))</f>
        <v>6199.08248045249</v>
      </c>
      <c r="H249" s="15" t="n">
        <f aca="false">G249*(1+IF(H$3&lt;=$O$2,$D249,$D249-($D249-$I$238)*MIN(H$3-$O$2,$Q$2)/$Q$2))</f>
        <v>6704.5740694347</v>
      </c>
      <c r="I249" s="15" t="n">
        <f aca="false">H249*(1+IF(I$3&lt;=$O$2,$D249,$D249-($D249-$I$238)*MIN(I$3-$O$2,$Q$2)/$Q$2))</f>
        <v>7251.28494326067</v>
      </c>
      <c r="J249" s="15" t="n">
        <f aca="false">I249*(1+IF(J$3&lt;=$O$2,$D249,$D249-($D249-$I$238)*MIN(J$3-$O$2,$Q$2)/$Q$2))</f>
        <v>7765.36025726005</v>
      </c>
      <c r="K249" s="15" t="n">
        <f aca="false">J249*(1+IF(K$3&lt;=$O$2,$D249,$D249-($D249-$I$238)*MIN(K$3-$O$2,$Q$2)/$Q$2))</f>
        <v>8233.19045264638</v>
      </c>
      <c r="L249" s="15" t="n">
        <f aca="false">K249*(1+IF(L$3&lt;=$O$2,$D249,$D249-($D249-$I$238)*MIN(L$3-$O$2,$Q$2)/$Q$2))</f>
        <v>8641.53354324949</v>
      </c>
      <c r="M249" s="15" t="n">
        <f aca="false">L249*(1+IF(M$3&lt;=$O$2,$D249,$D249-($D249-$I$238)*MIN(M$3-$O$2,$Q$2)/$Q$2))</f>
        <v>8978.10912260252</v>
      </c>
      <c r="N249" s="15" t="n">
        <f aca="false">M249*(1+IF(N$3&lt;=$O$2,$D249,$D249-($D249-$I$238)*MIN(N$3-$O$2,$Q$2)/$Q$2))</f>
        <v>9232.18961077217</v>
      </c>
      <c r="O249" s="15" t="n">
        <f aca="false">SUMPRODUCT(E249:N249,1/(1+$F$238)^$E$3:$N$3)*$E$2</f>
        <v>7303.55836238554</v>
      </c>
      <c r="P249" s="15" t="n">
        <f aca="false">N249*$E$2*(1+$I$238)/($F$238-$I$238)/(1+$F$238)^$N$3</f>
        <v>10428.3118682897</v>
      </c>
      <c r="Q249" s="15" t="n">
        <f aca="false">O249+P249</f>
        <v>17731.8702306753</v>
      </c>
      <c r="R249" s="15" t="n">
        <f aca="false">Q249-$G$2+$I$2</f>
        <v>12911.3702306753</v>
      </c>
      <c r="S249" s="42" t="n">
        <f aca="false">R249/$K$2</f>
        <v>67.3871097634408</v>
      </c>
      <c r="T249" s="43" t="n">
        <f aca="false">S249-$M$2</f>
        <v>0.424688051540983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0.080078125</v>
      </c>
      <c r="C250" s="25" t="n">
        <f aca="false">IF(T249&gt;0,D249,C249)</f>
        <v>0.08154296875</v>
      </c>
      <c r="D250" s="41" t="n">
        <f aca="false">(B250+C250)/2</f>
        <v>0.080810546875</v>
      </c>
      <c r="E250" s="15" t="n">
        <f aca="false">$C$2*(1+IF(E$3&lt;=$O$2,$D250,$D250-($D250-$I$238)*MIN(E$3-$O$2,$Q$2)/$Q$2))</f>
        <v>5295.9716796875</v>
      </c>
      <c r="F250" s="15" t="n">
        <f aca="false">E250*(1+IF(F$3&lt;=$O$2,$D250,$D250-($D250-$I$238)*MIN(F$3-$O$2,$Q$2)/$Q$2))</f>
        <v>5723.94204735756</v>
      </c>
      <c r="G250" s="15" t="n">
        <f aca="false">F250*(1+IF(G$3&lt;=$O$2,$D250,$D250-($D250-$I$238)*MIN(G$3-$O$2,$Q$2)/$Q$2))</f>
        <v>6186.49693448533</v>
      </c>
      <c r="H250" s="15" t="n">
        <f aca="false">G250*(1+IF(H$3&lt;=$O$2,$D250,$D250-($D250-$I$238)*MIN(H$3-$O$2,$Q$2)/$Q$2))</f>
        <v>6686.4311350016</v>
      </c>
      <c r="I250" s="15" t="n">
        <f aca="false">H250*(1+IF(I$3&lt;=$O$2,$D250,$D250-($D250-$I$238)*MIN(I$3-$O$2,$Q$2)/$Q$2))</f>
        <v>7226.76529166311</v>
      </c>
      <c r="J250" s="15" t="n">
        <f aca="false">I250*(1+IF(J$3&lt;=$O$2,$D250,$D250-($D250-$I$238)*MIN(J$3-$O$2,$Q$2)/$Q$2))</f>
        <v>7734.86786749917</v>
      </c>
      <c r="K250" s="15" t="n">
        <f aca="false">J250*(1+IF(K$3&lt;=$O$2,$D250,$D250-($D250-$I$238)*MIN(K$3-$O$2,$Q$2)/$Q$2))</f>
        <v>8197.46191318635</v>
      </c>
      <c r="L250" s="15" t="n">
        <f aca="false">K250*(1+IF(L$3&lt;=$O$2,$D250,$D250-($D250-$I$238)*MIN(L$3-$O$2,$Q$2)/$Q$2))</f>
        <v>8601.63136854888</v>
      </c>
      <c r="M250" s="15" t="n">
        <f aca="false">L250*(1+IF(M$3&lt;=$O$2,$D250,$D250-($D250-$I$238)*MIN(M$3-$O$2,$Q$2)/$Q$2))</f>
        <v>8935.39280971475</v>
      </c>
      <c r="N250" s="15" t="n">
        <f aca="false">M250*(1+IF(N$3&lt;=$O$2,$D250,$D250-($D250-$I$238)*MIN(N$3-$O$2,$Q$2)/$Q$2))</f>
        <v>9188.26442622967</v>
      </c>
      <c r="O250" s="15" t="n">
        <f aca="false">SUMPRODUCT(E250:N250,1/(1+$F$238)^$E$3:$N$3)*$E$2</f>
        <v>7280.36640988325</v>
      </c>
      <c r="P250" s="15" t="n">
        <f aca="false">N250*$E$2*(1+$I$238)/($F$238-$I$238)/(1+$F$238)^$N$3</f>
        <v>10378.6957379248</v>
      </c>
      <c r="Q250" s="15" t="n">
        <f aca="false">O250+P250</f>
        <v>17659.0621478081</v>
      </c>
      <c r="R250" s="15" t="n">
        <f aca="false">Q250-$G$2+$I$2</f>
        <v>12838.5621478081</v>
      </c>
      <c r="S250" s="42" t="n">
        <f aca="false">R250/$K$2</f>
        <v>67.00710933094</v>
      </c>
      <c r="T250" s="43" t="n">
        <f aca="false">S250-$M$2</f>
        <v>0.0446876190401753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0.080078125</v>
      </c>
      <c r="C251" s="25" t="n">
        <f aca="false">IF(T250&gt;0,D250,C250)</f>
        <v>0.080810546875</v>
      </c>
      <c r="D251" s="41" t="n">
        <f aca="false">(B251+C251)/2</f>
        <v>0.0804443359375</v>
      </c>
      <c r="E251" s="15" t="n">
        <f aca="false">$C$2*(1+IF(E$3&lt;=$O$2,$D251,$D251-($D251-$I$238)*MIN(E$3-$O$2,$Q$2)/$Q$2))</f>
        <v>5294.17724609375</v>
      </c>
      <c r="F251" s="15" t="n">
        <f aca="false">E251*(1+IF(F$3&lt;=$O$2,$D251,$D251-($D251-$I$238)*MIN(F$3-$O$2,$Q$2)/$Q$2))</f>
        <v>5720.06381899118</v>
      </c>
      <c r="G251" s="15" t="n">
        <f aca="false">F251*(1+IF(G$3&lt;=$O$2,$D251,$D251-($D251-$I$238)*MIN(G$3-$O$2,$Q$2)/$Q$2))</f>
        <v>6180.21055443005</v>
      </c>
      <c r="H251" s="15" t="n">
        <f aca="false">G251*(1+IF(H$3&lt;=$O$2,$D251,$D251-($D251-$I$238)*MIN(H$3-$O$2,$Q$2)/$Q$2))</f>
        <v>6677.3734884351</v>
      </c>
      <c r="I251" s="15" t="n">
        <f aca="false">H251*(1+IF(I$3&lt;=$O$2,$D251,$D251-($D251-$I$238)*MIN(I$3-$O$2,$Q$2)/$Q$2))</f>
        <v>7214.53036451893</v>
      </c>
      <c r="J251" s="15" t="n">
        <f aca="false">I251*(1+IF(J$3&lt;=$O$2,$D251,$D251-($D251-$I$238)*MIN(J$3-$O$2,$Q$2)/$Q$2))</f>
        <v>7719.65908980184</v>
      </c>
      <c r="K251" s="15" t="n">
        <f aca="false">J251*(1+IF(K$3&lt;=$O$2,$D251,$D251-($D251-$I$238)*MIN(K$3-$O$2,$Q$2)/$Q$2))</f>
        <v>8179.64734018419</v>
      </c>
      <c r="L251" s="15" t="n">
        <f aca="false">K251*(1+IF(L$3&lt;=$O$2,$D251,$D251-($D251-$I$238)*MIN(L$3-$O$2,$Q$2)/$Q$2))</f>
        <v>8581.74027141414</v>
      </c>
      <c r="M251" s="15" t="n">
        <f aca="false">L251*(1+IF(M$3&lt;=$O$2,$D251,$D251-($D251-$I$238)*MIN(M$3-$O$2,$Q$2)/$Q$2))</f>
        <v>8914.10135062336</v>
      </c>
      <c r="N251" s="15" t="n">
        <f aca="false">M251*(1+IF(N$3&lt;=$O$2,$D251,$D251-($D251-$I$238)*MIN(N$3-$O$2,$Q$2)/$Q$2))</f>
        <v>9166.370418846</v>
      </c>
      <c r="O251" s="15" t="n">
        <f aca="false">SUMPRODUCT(E251:N251,1/(1+$F$238)^$E$3:$N$3)*$E$2</f>
        <v>7268.79805099662</v>
      </c>
      <c r="P251" s="15" t="n">
        <f aca="false">N251*$E$2*(1+$I$238)/($F$238-$I$238)/(1+$F$238)^$N$3</f>
        <v>10353.9651434863</v>
      </c>
      <c r="Q251" s="15" t="n">
        <f aca="false">O251+P251</f>
        <v>17622.7631944829</v>
      </c>
      <c r="R251" s="15" t="n">
        <f aca="false">Q251-$G$2+$I$2</f>
        <v>12802.2631944829</v>
      </c>
      <c r="S251" s="42" t="n">
        <f aca="false">R251/$K$2</f>
        <v>66.817657591247</v>
      </c>
      <c r="T251" s="43" t="n">
        <f aca="false">S251-$M$2</f>
        <v>-0.144764120652752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0.0804443359375</v>
      </c>
      <c r="C252" s="25" t="n">
        <f aca="false">IF(T251&gt;0,D251,C251)</f>
        <v>0.080810546875</v>
      </c>
      <c r="D252" s="41" t="n">
        <f aca="false">(B252+C252)/2</f>
        <v>0.08062744140625</v>
      </c>
      <c r="E252" s="15" t="n">
        <f aca="false">$C$2*(1+IF(E$3&lt;=$O$2,$D252,$D252-($D252-$I$238)*MIN(E$3-$O$2,$Q$2)/$Q$2))</f>
        <v>5295.07446289063</v>
      </c>
      <c r="F252" s="15" t="n">
        <f aca="false">E252*(1+IF(F$3&lt;=$O$2,$D252,$D252-($D252-$I$238)*MIN(F$3-$O$2,$Q$2)/$Q$2))</f>
        <v>5722.00276888907</v>
      </c>
      <c r="G252" s="15" t="n">
        <f aca="false">F252*(1+IF(G$3&lt;=$O$2,$D252,$D252-($D252-$I$238)*MIN(G$3-$O$2,$Q$2)/$Q$2))</f>
        <v>6183.35321186407</v>
      </c>
      <c r="H252" s="15" t="n">
        <f aca="false">G252*(1+IF(H$3&lt;=$O$2,$D252,$D252-($D252-$I$238)*MIN(H$3-$O$2,$Q$2)/$Q$2))</f>
        <v>6681.90116064779</v>
      </c>
      <c r="I252" s="15" t="n">
        <f aca="false">H252*(1+IF(I$3&lt;=$O$2,$D252,$D252-($D252-$I$238)*MIN(I$3-$O$2,$Q$2)/$Q$2))</f>
        <v>7220.64575496028</v>
      </c>
      <c r="J252" s="15" t="n">
        <f aca="false">I252*(1+IF(J$3&lt;=$O$2,$D252,$D252-($D252-$I$238)*MIN(J$3-$O$2,$Q$2)/$Q$2))</f>
        <v>7727.26036395203</v>
      </c>
      <c r="K252" s="15" t="n">
        <f aca="false">J252*(1+IF(K$3&lt;=$O$2,$D252,$D252-($D252-$I$238)*MIN(K$3-$O$2,$Q$2)/$Q$2))</f>
        <v>8188.55049060719</v>
      </c>
      <c r="L252" s="15" t="n">
        <f aca="false">K252*(1+IF(L$3&lt;=$O$2,$D252,$D252-($D252-$I$238)*MIN(L$3-$O$2,$Q$2)/$Q$2))</f>
        <v>8591.68082789113</v>
      </c>
      <c r="M252" s="15" t="n">
        <f aca="false">L252*(1+IF(M$3&lt;=$O$2,$D252,$D252-($D252-$I$238)*MIN(M$3-$O$2,$Q$2)/$Q$2))</f>
        <v>8924.74153034098</v>
      </c>
      <c r="N252" s="15" t="n">
        <f aca="false">M252*(1+IF(N$3&lt;=$O$2,$D252,$D252-($D252-$I$238)*MIN(N$3-$O$2,$Q$2)/$Q$2))</f>
        <v>9177.31171564963</v>
      </c>
      <c r="O252" s="15" t="n">
        <f aca="false">SUMPRODUCT(E252:N252,1/(1+$F$238)^$E$3:$N$3)*$E$2</f>
        <v>7274.57993182559</v>
      </c>
      <c r="P252" s="15" t="n">
        <f aca="false">N252*$E$2*(1+$I$238)/($F$238-$I$238)/(1+$F$238)^$N$3</f>
        <v>10366.3239944331</v>
      </c>
      <c r="Q252" s="15" t="n">
        <f aca="false">O252+P252</f>
        <v>17640.9039262587</v>
      </c>
      <c r="R252" s="15" t="n">
        <f aca="false">Q252-$G$2+$I$2</f>
        <v>12820.4039262587</v>
      </c>
      <c r="S252" s="42" t="n">
        <f aca="false">R252/$K$2</f>
        <v>66.9123378197217</v>
      </c>
      <c r="T252" s="43" t="n">
        <f aca="false">S252-$M$2</f>
        <v>-0.0500838921781366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0.08062744140625</v>
      </c>
      <c r="C253" s="25" t="n">
        <f aca="false">IF(T252&gt;0,D252,C252)</f>
        <v>0.080810546875</v>
      </c>
      <c r="D253" s="41" t="n">
        <f aca="false">(B253+C253)/2</f>
        <v>0.080718994140625</v>
      </c>
      <c r="E253" s="15" t="n">
        <f aca="false">$C$2*(1+IF(E$3&lt;=$O$2,$D253,$D253-($D253-$I$238)*MIN(E$3-$O$2,$Q$2)/$Q$2))</f>
        <v>5295.52307128906</v>
      </c>
      <c r="F253" s="15" t="n">
        <f aca="false">E253*(1+IF(F$3&lt;=$O$2,$D253,$D253-($D253-$I$238)*MIN(F$3-$O$2,$Q$2)/$Q$2))</f>
        <v>5722.97236705199</v>
      </c>
      <c r="G253" s="15" t="n">
        <f aca="false">F253*(1+IF(G$3&lt;=$O$2,$D253,$D253-($D253-$I$238)*MIN(G$3-$O$2,$Q$2)/$Q$2))</f>
        <v>6184.92494001502</v>
      </c>
      <c r="H253" s="15" t="n">
        <f aca="false">G253*(1+IF(H$3&lt;=$O$2,$D253,$D253-($D253-$I$238)*MIN(H$3-$O$2,$Q$2)/$Q$2))</f>
        <v>6684.1658600083</v>
      </c>
      <c r="I253" s="15" t="n">
        <f aca="false">H253*(1+IF(I$3&lt;=$O$2,$D253,$D253-($D253-$I$238)*MIN(I$3-$O$2,$Q$2)/$Q$2))</f>
        <v>7223.70500489727</v>
      </c>
      <c r="J253" s="15" t="n">
        <f aca="false">I253*(1+IF(J$3&lt;=$O$2,$D253,$D253-($D253-$I$238)*MIN(J$3-$O$2,$Q$2)/$Q$2))</f>
        <v>7731.06333679611</v>
      </c>
      <c r="K253" s="15" t="n">
        <f aca="false">J253*(1+IF(K$3&lt;=$O$2,$D253,$D253-($D253-$I$238)*MIN(K$3-$O$2,$Q$2)/$Q$2))</f>
        <v>8193.00516747883</v>
      </c>
      <c r="L253" s="15" t="n">
        <f aca="false">K253*(1+IF(L$3&lt;=$O$2,$D253,$D253-($D253-$I$238)*MIN(L$3-$O$2,$Q$2)/$Q$2))</f>
        <v>8596.65484966576</v>
      </c>
      <c r="M253" s="15" t="n">
        <f aca="false">L253*(1+IF(M$3&lt;=$O$2,$D253,$D253-($D253-$I$238)*MIN(M$3-$O$2,$Q$2)/$Q$2))</f>
        <v>8930.06578195002</v>
      </c>
      <c r="N253" s="15" t="n">
        <f aca="false">M253*(1+IF(N$3&lt;=$O$2,$D253,$D253-($D253-$I$238)*MIN(N$3-$O$2,$Q$2)/$Q$2))</f>
        <v>9182.7866435792</v>
      </c>
      <c r="O253" s="15" t="n">
        <f aca="false">SUMPRODUCT(E253:N253,1/(1+$F$238)^$E$3:$N$3)*$E$2</f>
        <v>7277.47259598854</v>
      </c>
      <c r="P253" s="15" t="n">
        <f aca="false">N253*$E$2*(1+$I$238)/($F$238-$I$238)/(1+$F$238)^$N$3</f>
        <v>10372.5082538897</v>
      </c>
      <c r="Q253" s="15" t="n">
        <f aca="false">O253+P253</f>
        <v>17649.9808498783</v>
      </c>
      <c r="R253" s="15" t="n">
        <f aca="false">Q253-$G$2+$I$2</f>
        <v>12829.4808498783</v>
      </c>
      <c r="S253" s="42" t="n">
        <f aca="false">R253/$K$2</f>
        <v>66.9597121601162</v>
      </c>
      <c r="T253" s="43" t="n">
        <f aca="false">S253-$M$2</f>
        <v>-0.00270955178358179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0.080718994140625</v>
      </c>
      <c r="C254" s="25" t="n">
        <f aca="false">IF(T253&gt;0,D253,C253)</f>
        <v>0.080810546875</v>
      </c>
      <c r="D254" s="41" t="n">
        <f aca="false">(B254+C254)/2</f>
        <v>0.0807647705078125</v>
      </c>
      <c r="E254" s="15" t="n">
        <f aca="false">$C$2*(1+IF(E$3&lt;=$O$2,$D254,$D254-($D254-$I$238)*MIN(E$3-$O$2,$Q$2)/$Q$2))</f>
        <v>5295.74737548828</v>
      </c>
      <c r="F254" s="15" t="n">
        <f aca="false">E254*(1+IF(F$3&lt;=$O$2,$D254,$D254-($D254-$I$238)*MIN(F$3-$O$2,$Q$2)/$Q$2))</f>
        <v>5723.45719693694</v>
      </c>
      <c r="G254" s="15" t="n">
        <f aca="false">F254*(1+IF(G$3&lt;=$O$2,$D254,$D254-($D254-$I$238)*MIN(G$3-$O$2,$Q$2)/$Q$2))</f>
        <v>6185.71090395884</v>
      </c>
      <c r="H254" s="15" t="n">
        <f aca="false">G254*(1+IF(H$3&lt;=$O$2,$D254,$D254-($D254-$I$238)*MIN(H$3-$O$2,$Q$2)/$Q$2))</f>
        <v>6685.29842554475</v>
      </c>
      <c r="I254" s="15" t="n">
        <f aca="false">H254*(1+IF(I$3&lt;=$O$2,$D254,$D254-($D254-$I$238)*MIN(I$3-$O$2,$Q$2)/$Q$2))</f>
        <v>7225.23501866011</v>
      </c>
      <c r="J254" s="15" t="n">
        <f aca="false">I254*(1+IF(J$3&lt;=$O$2,$D254,$D254-($D254-$I$238)*MIN(J$3-$O$2,$Q$2)/$Q$2))</f>
        <v>7732.96540738341</v>
      </c>
      <c r="K254" s="15" t="n">
        <f aca="false">J254*(1+IF(K$3&lt;=$O$2,$D254,$D254-($D254-$I$238)*MIN(K$3-$O$2,$Q$2)/$Q$2))</f>
        <v>8195.23328167829</v>
      </c>
      <c r="L254" s="15" t="n">
        <f aca="false">K254*(1+IF(L$3&lt;=$O$2,$D254,$D254-($D254-$I$238)*MIN(L$3-$O$2,$Q$2)/$Q$2))</f>
        <v>8599.14279690228</v>
      </c>
      <c r="M254" s="15" t="n">
        <f aca="false">L254*(1+IF(M$3&lt;=$O$2,$D254,$D254-($D254-$I$238)*MIN(M$3-$O$2,$Q$2)/$Q$2))</f>
        <v>8932.72894873529</v>
      </c>
      <c r="N254" s="15" t="n">
        <f aca="false">M254*(1+IF(N$3&lt;=$O$2,$D254,$D254-($D254-$I$238)*MIN(N$3-$O$2,$Q$2)/$Q$2))</f>
        <v>9185.5251779845</v>
      </c>
      <c r="O254" s="15" t="n">
        <f aca="false">SUMPRODUCT(E254:N254,1/(1+$F$238)^$E$3:$N$3)*$E$2</f>
        <v>7278.91935919288</v>
      </c>
      <c r="P254" s="15" t="n">
        <f aca="false">N254*$E$2*(1+$I$238)/($F$238-$I$238)/(1+$F$238)^$N$3</f>
        <v>10375.6015927448</v>
      </c>
      <c r="Q254" s="15" t="n">
        <f aca="false">O254+P254</f>
        <v>17654.5209519377</v>
      </c>
      <c r="R254" s="15" t="n">
        <f aca="false">Q254-$G$2+$I$2</f>
        <v>12834.0209519377</v>
      </c>
      <c r="S254" s="42" t="n">
        <f aca="false">R254/$K$2</f>
        <v>66.9834078911153</v>
      </c>
      <c r="T254" s="43" t="n">
        <f aca="false">S254-$M$2</f>
        <v>0.020986179215484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0.080718994140625</v>
      </c>
      <c r="C255" s="25" t="n">
        <f aca="false">IF(T254&gt;0,D254,C254)</f>
        <v>0.0807647705078125</v>
      </c>
      <c r="D255" s="41" t="n">
        <f aca="false">(B255+C255)/2</f>
        <v>0.0807418823242188</v>
      </c>
      <c r="E255" s="15" t="n">
        <f aca="false">$C$2*(1+IF(E$3&lt;=$O$2,$D255,$D255-($D255-$I$238)*MIN(E$3-$O$2,$Q$2)/$Q$2))</f>
        <v>5295.63522338867</v>
      </c>
      <c r="F255" s="15" t="n">
        <f aca="false">E255*(1+IF(F$3&lt;=$O$2,$D255,$D255-($D255-$I$238)*MIN(F$3-$O$2,$Q$2)/$Q$2))</f>
        <v>5723.21477942751</v>
      </c>
      <c r="G255" s="15" t="n">
        <f aca="false">F255*(1+IF(G$3&lt;=$O$2,$D255,$D255-($D255-$I$238)*MIN(G$3-$O$2,$Q$2)/$Q$2))</f>
        <v>6185.31791366427</v>
      </c>
      <c r="H255" s="15" t="n">
        <f aca="false">G255*(1+IF(H$3&lt;=$O$2,$D255,$D255-($D255-$I$238)*MIN(H$3-$O$2,$Q$2)/$Q$2))</f>
        <v>6684.73212478724</v>
      </c>
      <c r="I255" s="15" t="n">
        <f aca="false">H255*(1+IF(I$3&lt;=$O$2,$D255,$D255-($D255-$I$238)*MIN(I$3-$O$2,$Q$2)/$Q$2))</f>
        <v>7224.46997937573</v>
      </c>
      <c r="J255" s="15" t="n">
        <f aca="false">I255*(1+IF(J$3&lt;=$O$2,$D255,$D255-($D255-$I$238)*MIN(J$3-$O$2,$Q$2)/$Q$2))</f>
        <v>7732.01432340268</v>
      </c>
      <c r="K255" s="15" t="n">
        <f aca="false">J255*(1+IF(K$3&lt;=$O$2,$D255,$D255-($D255-$I$238)*MIN(K$3-$O$2,$Q$2)/$Q$2))</f>
        <v>8194.11915992121</v>
      </c>
      <c r="L255" s="15" t="n">
        <f aca="false">K255*(1+IF(L$3&lt;=$O$2,$D255,$D255-($D255-$I$238)*MIN(L$3-$O$2,$Q$2)/$Q$2))</f>
        <v>8597.89874524107</v>
      </c>
      <c r="M255" s="15" t="n">
        <f aca="false">L255*(1+IF(M$3&lt;=$O$2,$D255,$D255-($D255-$I$238)*MIN(M$3-$O$2,$Q$2)/$Q$2))</f>
        <v>8931.39727857809</v>
      </c>
      <c r="N255" s="15" t="n">
        <f aca="false">M255*(1+IF(N$3&lt;=$O$2,$D255,$D255-($D255-$I$238)*MIN(N$3-$O$2,$Q$2)/$Q$2))</f>
        <v>9184.15582156185</v>
      </c>
      <c r="O255" s="15" t="n">
        <f aca="false">SUMPRODUCT(E255:N255,1/(1+$F$238)^$E$3:$N$3)*$E$2</f>
        <v>7278.19594165827</v>
      </c>
      <c r="P255" s="15" t="n">
        <f aca="false">N255*$E$2*(1+$I$238)/($F$238-$I$238)/(1+$F$238)^$N$3</f>
        <v>10374.0548225379</v>
      </c>
      <c r="Q255" s="15" t="n">
        <f aca="false">O255+P255</f>
        <v>17652.2507641962</v>
      </c>
      <c r="R255" s="15" t="n">
        <f aca="false">Q255-$G$2+$I$2</f>
        <v>12831.7507641962</v>
      </c>
      <c r="S255" s="42" t="n">
        <f aca="false">R255/$K$2</f>
        <v>66.9715593120887</v>
      </c>
      <c r="T255" s="43" t="n">
        <f aca="false">S255-$M$2</f>
        <v>0.00913760018892162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0.080718994140625</v>
      </c>
      <c r="C256" s="25" t="n">
        <f aca="false">IF(T255&gt;0,D255,C255)</f>
        <v>0.0807418823242188</v>
      </c>
      <c r="D256" s="41" t="n">
        <f aca="false">(B256+C256)/2</f>
        <v>0.0807304382324219</v>
      </c>
      <c r="E256" s="15" t="n">
        <f aca="false">$C$2*(1+IF(E$3&lt;=$O$2,$D256,$D256-($D256-$I$238)*MIN(E$3-$O$2,$Q$2)/$Q$2))</f>
        <v>5295.57914733887</v>
      </c>
      <c r="F256" s="15" t="n">
        <f aca="false">E256*(1+IF(F$3&lt;=$O$2,$D256,$D256-($D256-$I$238)*MIN(F$3-$O$2,$Q$2)/$Q$2))</f>
        <v>5723.09357259801</v>
      </c>
      <c r="G256" s="15" t="n">
        <f aca="false">F256*(1+IF(G$3&lt;=$O$2,$D256,$D256-($D256-$I$238)*MIN(G$3-$O$2,$Q$2)/$Q$2))</f>
        <v>6185.121424759</v>
      </c>
      <c r="H256" s="15" t="n">
        <f aca="false">G256*(1+IF(H$3&lt;=$O$2,$D256,$D256-($D256-$I$238)*MIN(H$3-$O$2,$Q$2)/$Q$2))</f>
        <v>6684.44898790054</v>
      </c>
      <c r="I256" s="15" t="n">
        <f aca="false">H256*(1+IF(I$3&lt;=$O$2,$D256,$D256-($D256-$I$238)*MIN(I$3-$O$2,$Q$2)/$Q$2))</f>
        <v>7224.08748403602</v>
      </c>
      <c r="J256" s="15" t="n">
        <f aca="false">I256*(1+IF(J$3&lt;=$O$2,$D256,$D256-($D256-$I$238)*MIN(J$3-$O$2,$Q$2)/$Q$2))</f>
        <v>7731.53881792813</v>
      </c>
      <c r="K256" s="15" t="n">
        <f aca="false">J256*(1+IF(K$3&lt;=$O$2,$D256,$D256-($D256-$I$238)*MIN(K$3-$O$2,$Q$2)/$Q$2))</f>
        <v>8193.56214753647</v>
      </c>
      <c r="L256" s="15" t="n">
        <f aca="false">K256*(1+IF(L$3&lt;=$O$2,$D256,$D256-($D256-$I$238)*MIN(L$3-$O$2,$Q$2)/$Q$2))</f>
        <v>8597.27677794372</v>
      </c>
      <c r="M256" s="15" t="n">
        <f aca="false">L256*(1+IF(M$3&lt;=$O$2,$D256,$D256-($D256-$I$238)*MIN(M$3-$O$2,$Q$2)/$Q$2))</f>
        <v>8930.73150857413</v>
      </c>
      <c r="N256" s="15" t="n">
        <f aca="false">M256*(1+IF(N$3&lt;=$O$2,$D256,$D256-($D256-$I$238)*MIN(N$3-$O$2,$Q$2)/$Q$2))</f>
        <v>9183.47121026677</v>
      </c>
      <c r="O256" s="15" t="n">
        <f aca="false">SUMPRODUCT(E256:N256,1/(1+$F$238)^$E$3:$N$3)*$E$2</f>
        <v>7277.83425984071</v>
      </c>
      <c r="P256" s="15" t="n">
        <f aca="false">N256*$E$2*(1+$I$238)/($F$238-$I$238)/(1+$F$238)^$N$3</f>
        <v>10373.2815130204</v>
      </c>
      <c r="Q256" s="15" t="n">
        <f aca="false">O256+P256</f>
        <v>17651.1157728611</v>
      </c>
      <c r="R256" s="15" t="n">
        <f aca="false">Q256-$G$2+$I$2</f>
        <v>12830.6157728611</v>
      </c>
      <c r="S256" s="42" t="n">
        <f aca="false">R256/$K$2</f>
        <v>66.9656355577302</v>
      </c>
      <c r="T256" s="43" t="n">
        <f aca="false">S256-$M$2</f>
        <v>0.00321384583043027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0.080718994140625</v>
      </c>
      <c r="C257" s="25" t="n">
        <f aca="false">IF(T256&gt;0,D256,C256)</f>
        <v>0.0807304382324219</v>
      </c>
      <c r="D257" s="41" t="n">
        <f aca="false">(B257+C257)/2</f>
        <v>0.0807247161865234</v>
      </c>
      <c r="E257" s="15" t="n">
        <f aca="false">$C$2*(1+IF(E$3&lt;=$O$2,$D257,$D257-($D257-$I$238)*MIN(E$3-$O$2,$Q$2)/$Q$2))</f>
        <v>5295.55110931397</v>
      </c>
      <c r="F257" s="15" t="n">
        <f aca="false">E257*(1+IF(F$3&lt;=$O$2,$D257,$D257-($D257-$I$238)*MIN(F$3-$O$2,$Q$2)/$Q$2))</f>
        <v>5723.03296966456</v>
      </c>
      <c r="G257" s="15" t="n">
        <f aca="false">F257*(1+IF(G$3&lt;=$O$2,$D257,$D257-($D257-$I$238)*MIN(G$3-$O$2,$Q$2)/$Q$2))</f>
        <v>6185.02318186685</v>
      </c>
      <c r="H257" s="15" t="n">
        <f aca="false">G257*(1+IF(H$3&lt;=$O$2,$D257,$D257-($D257-$I$238)*MIN(H$3-$O$2,$Q$2)/$Q$2))</f>
        <v>6684.30742283012</v>
      </c>
      <c r="I257" s="15" t="n">
        <f aca="false">H257*(1+IF(I$3&lt;=$O$2,$D257,$D257-($D257-$I$238)*MIN(I$3-$O$2,$Q$2)/$Q$2))</f>
        <v>7223.89624244156</v>
      </c>
      <c r="J257" s="15" t="n">
        <f aca="false">I257*(1+IF(J$3&lt;=$O$2,$D257,$D257-($D257-$I$238)*MIN(J$3-$O$2,$Q$2)/$Q$2))</f>
        <v>7731.30107431937</v>
      </c>
      <c r="K257" s="15" t="n">
        <f aca="false">J257*(1+IF(K$3&lt;=$O$2,$D257,$D257-($D257-$I$238)*MIN(K$3-$O$2,$Q$2)/$Q$2))</f>
        <v>8193.28365346686</v>
      </c>
      <c r="L257" s="15" t="n">
        <f aca="false">K257*(1+IF(L$3&lt;=$O$2,$D257,$D257-($D257-$I$238)*MIN(L$3-$O$2,$Q$2)/$Q$2))</f>
        <v>8596.96580892744</v>
      </c>
      <c r="M257" s="15" t="n">
        <f aca="false">L257*(1+IF(M$3&lt;=$O$2,$D257,$D257-($D257-$I$238)*MIN(M$3-$O$2,$Q$2)/$Q$2))</f>
        <v>8930.39863983974</v>
      </c>
      <c r="N257" s="15" t="n">
        <f aca="false">M257*(1+IF(N$3&lt;=$O$2,$D257,$D257-($D257-$I$238)*MIN(N$3-$O$2,$Q$2)/$Q$2))</f>
        <v>9183.12892134721</v>
      </c>
      <c r="O257" s="15" t="n">
        <f aca="false">SUMPRODUCT(E257:N257,1/(1+$F$238)^$E$3:$N$3)*$E$2</f>
        <v>7277.653425669</v>
      </c>
      <c r="P257" s="15" t="n">
        <f aca="false">N257*$E$2*(1+$I$238)/($F$238-$I$238)/(1+$F$238)^$N$3</f>
        <v>10372.8948771569</v>
      </c>
      <c r="Q257" s="15" t="n">
        <f aca="false">O257+P257</f>
        <v>17650.5483028259</v>
      </c>
      <c r="R257" s="15" t="n">
        <f aca="false">Q257-$G$2+$I$2</f>
        <v>12830.0483028259</v>
      </c>
      <c r="S257" s="42" t="n">
        <f aca="false">R257/$K$2</f>
        <v>66.9626738143314</v>
      </c>
      <c r="T257" s="43" t="n">
        <f aca="false">S257-$M$2</f>
        <v>0.000252102431574031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0.080718994140625</v>
      </c>
      <c r="C258" s="25" t="n">
        <f aca="false">IF(T257&gt;0,D257,C257)</f>
        <v>0.0807247161865234</v>
      </c>
      <c r="D258" s="41" t="n">
        <f aca="false">(B258+C258)/2</f>
        <v>0.0807218551635742</v>
      </c>
      <c r="E258" s="15" t="n">
        <f aca="false">$C$2*(1+IF(E$3&lt;=$O$2,$D258,$D258-($D258-$I$238)*MIN(E$3-$O$2,$Q$2)/$Q$2))</f>
        <v>5295.53709030151</v>
      </c>
      <c r="F258" s="15" t="n">
        <f aca="false">E258*(1+IF(F$3&lt;=$O$2,$D258,$D258-($D258-$I$238)*MIN(F$3-$O$2,$Q$2)/$Q$2))</f>
        <v>5723.00266831817</v>
      </c>
      <c r="G258" s="15" t="n">
        <f aca="false">F258*(1+IF(G$3&lt;=$O$2,$D258,$D258-($D258-$I$238)*MIN(G$3-$O$2,$Q$2)/$Q$2))</f>
        <v>6184.9740608109</v>
      </c>
      <c r="H258" s="15" t="n">
        <f aca="false">G258*(1+IF(H$3&lt;=$O$2,$D258,$D258-($D258-$I$238)*MIN(H$3-$O$2,$Q$2)/$Q$2))</f>
        <v>6684.23664113814</v>
      </c>
      <c r="I258" s="15" t="n">
        <f aca="false">H258*(1+IF(I$3&lt;=$O$2,$D258,$D258-($D258-$I$238)*MIN(I$3-$O$2,$Q$2)/$Q$2))</f>
        <v>7223.80062316314</v>
      </c>
      <c r="J258" s="15" t="n">
        <f aca="false">I258*(1+IF(J$3&lt;=$O$2,$D258,$D258-($D258-$I$238)*MIN(J$3-$O$2,$Q$2)/$Q$2))</f>
        <v>7731.18220479706</v>
      </c>
      <c r="K258" s="15" t="n">
        <f aca="false">J258*(1+IF(K$3&lt;=$O$2,$D258,$D258-($D258-$I$238)*MIN(K$3-$O$2,$Q$2)/$Q$2))</f>
        <v>8193.14440946266</v>
      </c>
      <c r="L258" s="15" t="n">
        <f aca="false">K258*(1+IF(L$3&lt;=$O$2,$D258,$D258-($D258-$I$238)*MIN(L$3-$O$2,$Q$2)/$Q$2))</f>
        <v>8596.81032807729</v>
      </c>
      <c r="M258" s="15" t="n">
        <f aca="false">L258*(1+IF(M$3&lt;=$O$2,$D258,$D258-($D258-$I$238)*MIN(M$3-$O$2,$Q$2)/$Q$2))</f>
        <v>8930.23220953932</v>
      </c>
      <c r="N258" s="15" t="n">
        <f aca="false">M258*(1+IF(N$3&lt;=$O$2,$D258,$D258-($D258-$I$238)*MIN(N$3-$O$2,$Q$2)/$Q$2))</f>
        <v>9182.95778106928</v>
      </c>
      <c r="O258" s="15" t="n">
        <f aca="false">SUMPRODUCT(E258:N258,1/(1+$F$238)^$E$3:$N$3)*$E$2</f>
        <v>7277.56301026737</v>
      </c>
      <c r="P258" s="15" t="n">
        <f aca="false">N258*$E$2*(1+$I$238)/($F$238-$I$238)/(1+$F$238)^$N$3</f>
        <v>10372.7015639488</v>
      </c>
      <c r="Q258" s="15" t="n">
        <f aca="false">O258+P258</f>
        <v>17650.2645742162</v>
      </c>
      <c r="R258" s="15" t="n">
        <f aca="false">Q258-$G$2+$I$2</f>
        <v>12829.7645742162</v>
      </c>
      <c r="S258" s="42" t="n">
        <f aca="false">R258/$K$2</f>
        <v>66.961192976076</v>
      </c>
      <c r="T258" s="43" t="n">
        <f aca="false">S258-$M$2</f>
        <v>-0.00122873582382965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0.0807218551635742</v>
      </c>
      <c r="C259" s="25" t="n">
        <f aca="false">IF(T258&gt;0,D258,C258)</f>
        <v>0.0807247161865234</v>
      </c>
      <c r="D259" s="41" t="n">
        <f aca="false">(B259+C259)/2</f>
        <v>0.0807232856750488</v>
      </c>
      <c r="E259" s="15" t="n">
        <f aca="false">$C$2*(1+IF(E$3&lt;=$O$2,$D259,$D259-($D259-$I$238)*MIN(E$3-$O$2,$Q$2)/$Q$2))</f>
        <v>5295.54409980774</v>
      </c>
      <c r="F259" s="15" t="n">
        <f aca="false">E259*(1+IF(F$3&lt;=$O$2,$D259,$D259-($D259-$I$238)*MIN(F$3-$O$2,$Q$2)/$Q$2))</f>
        <v>5723.01781898134</v>
      </c>
      <c r="G259" s="15" t="n">
        <f aca="false">F259*(1+IF(G$3&lt;=$O$2,$D259,$D259-($D259-$I$238)*MIN(G$3-$O$2,$Q$2)/$Q$2))</f>
        <v>6184.99862130636</v>
      </c>
      <c r="H259" s="15" t="n">
        <f aca="false">G259*(1+IF(H$3&lt;=$O$2,$D259,$D259-($D259-$I$238)*MIN(H$3-$O$2,$Q$2)/$Q$2))</f>
        <v>6684.27203191386</v>
      </c>
      <c r="I259" s="15" t="n">
        <f aca="false">H259*(1+IF(I$3&lt;=$O$2,$D259,$D259-($D259-$I$238)*MIN(I$3-$O$2,$Q$2)/$Q$2))</f>
        <v>7223.84843267578</v>
      </c>
      <c r="J259" s="15" t="n">
        <f aca="false">I259*(1+IF(J$3&lt;=$O$2,$D259,$D259-($D259-$I$238)*MIN(J$3-$O$2,$Q$2)/$Q$2))</f>
        <v>7731.24163936804</v>
      </c>
      <c r="K259" s="15" t="n">
        <f aca="false">J259*(1+IF(K$3&lt;=$O$2,$D259,$D259-($D259-$I$238)*MIN(K$3-$O$2,$Q$2)/$Q$2))</f>
        <v>8193.21403121221</v>
      </c>
      <c r="L259" s="15" t="n">
        <f aca="false">K259*(1+IF(L$3&lt;=$O$2,$D259,$D259-($D259-$I$238)*MIN(L$3-$O$2,$Q$2)/$Q$2))</f>
        <v>8596.88806819754</v>
      </c>
      <c r="M259" s="15" t="n">
        <f aca="false">L259*(1+IF(M$3&lt;=$O$2,$D259,$D259-($D259-$I$238)*MIN(M$3-$O$2,$Q$2)/$Q$2))</f>
        <v>8930.31542435064</v>
      </c>
      <c r="N259" s="15" t="n">
        <f aca="false">M259*(1+IF(N$3&lt;=$O$2,$D259,$D259-($D259-$I$238)*MIN(N$3-$O$2,$Q$2)/$Q$2))</f>
        <v>9183.04335085976</v>
      </c>
      <c r="O259" s="15" t="n">
        <f aca="false">SUMPRODUCT(E259:N259,1/(1+$F$238)^$E$3:$N$3)*$E$2</f>
        <v>7277.60821782784</v>
      </c>
      <c r="P259" s="15" t="n">
        <f aca="false">N259*$E$2*(1+$I$238)/($F$238-$I$238)/(1+$F$238)^$N$3</f>
        <v>10372.7982201592</v>
      </c>
      <c r="Q259" s="15" t="n">
        <f aca="false">O259+P259</f>
        <v>17650.406437987</v>
      </c>
      <c r="R259" s="15" t="n">
        <f aca="false">Q259-$G$2+$I$2</f>
        <v>12829.906437987</v>
      </c>
      <c r="S259" s="42" t="n">
        <f aca="false">R259/$K$2</f>
        <v>66.9619333924167</v>
      </c>
      <c r="T259" s="43" t="n">
        <f aca="false">S259-$M$2</f>
        <v>-0.0004883194831109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0.0807232856750488</v>
      </c>
      <c r="C260" s="25" t="n">
        <f aca="false">IF(T259&gt;0,D259,C259)</f>
        <v>0.0807247161865234</v>
      </c>
      <c r="D260" s="41" t="n">
        <f aca="false">(B260+C260)/2</f>
        <v>0.0807240009307861</v>
      </c>
      <c r="E260" s="15" t="n">
        <f aca="false">$C$2*(1+IF(E$3&lt;=$O$2,$D260,$D260-($D260-$I$238)*MIN(E$3-$O$2,$Q$2)/$Q$2))</f>
        <v>5295.54760456085</v>
      </c>
      <c r="F260" s="15" t="n">
        <f aca="false">E260*(1+IF(F$3&lt;=$O$2,$D260,$D260-($D260-$I$238)*MIN(F$3-$O$2,$Q$2)/$Q$2))</f>
        <v>5723.02539432044</v>
      </c>
      <c r="G260" s="15" t="n">
        <f aca="false">F260*(1+IF(G$3&lt;=$O$2,$D260,$D260-($D260-$I$238)*MIN(G$3-$O$2,$Q$2)/$Q$2))</f>
        <v>6185.01090157848</v>
      </c>
      <c r="H260" s="15" t="n">
        <f aca="false">G260*(1+IF(H$3&lt;=$O$2,$D260,$D260-($D260-$I$238)*MIN(H$3-$O$2,$Q$2)/$Q$2))</f>
        <v>6684.28972735442</v>
      </c>
      <c r="I260" s="15" t="n">
        <f aca="false">H260*(1+IF(I$3&lt;=$O$2,$D260,$D260-($D260-$I$238)*MIN(I$3-$O$2,$Q$2)/$Q$2))</f>
        <v>7223.87233752703</v>
      </c>
      <c r="J260" s="15" t="n">
        <f aca="false">I260*(1+IF(J$3&lt;=$O$2,$D260,$D260-($D260-$I$238)*MIN(J$3-$O$2,$Q$2)/$Q$2))</f>
        <v>7731.27135679616</v>
      </c>
      <c r="K260" s="15" t="n">
        <f aca="false">J260*(1+IF(K$3&lt;=$O$2,$D260,$D260-($D260-$I$238)*MIN(K$3-$O$2,$Q$2)/$Q$2))</f>
        <v>8193.24884227639</v>
      </c>
      <c r="L260" s="15" t="n">
        <f aca="false">K260*(1+IF(L$3&lt;=$O$2,$D260,$D260-($D260-$I$238)*MIN(L$3-$O$2,$Q$2)/$Q$2))</f>
        <v>8596.92693848628</v>
      </c>
      <c r="M260" s="15" t="n">
        <f aca="false">L260*(1+IF(M$3&lt;=$O$2,$D260,$D260-($D260-$I$238)*MIN(M$3-$O$2,$Q$2)/$Q$2))</f>
        <v>8930.35703201047</v>
      </c>
      <c r="N260" s="15" t="n">
        <f aca="false">M260*(1+IF(N$3&lt;=$O$2,$D260,$D260-($D260-$I$238)*MIN(N$3-$O$2,$Q$2)/$Q$2))</f>
        <v>9183.08613601636</v>
      </c>
      <c r="O260" s="15" t="n">
        <f aca="false">SUMPRODUCT(E260:N260,1/(1+$F$238)^$E$3:$N$3)*$E$2</f>
        <v>7277.63082171333</v>
      </c>
      <c r="P260" s="15" t="n">
        <f aca="false">N260*$E$2*(1+$I$238)/($F$238-$I$238)/(1+$F$238)^$N$3</f>
        <v>10372.8465485596</v>
      </c>
      <c r="Q260" s="15" t="n">
        <f aca="false">O260+P260</f>
        <v>17650.477370273</v>
      </c>
      <c r="R260" s="15" t="n">
        <f aca="false">Q260-$G$2+$I$2</f>
        <v>12829.977370273</v>
      </c>
      <c r="S260" s="42" t="n">
        <f aca="false">R260/$K$2</f>
        <v>66.9623036026773</v>
      </c>
      <c r="T260" s="43" t="n">
        <f aca="false">S260-$M$2</f>
        <v>-0.000118109222540852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0.0807240009307861</v>
      </c>
      <c r="C261" s="25" t="n">
        <f aca="false">IF(T260&gt;0,D260,C260)</f>
        <v>0.0807247161865234</v>
      </c>
      <c r="D261" s="41" t="n">
        <f aca="false">(B261+C261)/2</f>
        <v>0.0807243585586548</v>
      </c>
      <c r="E261" s="15" t="n">
        <f aca="false">$C$2*(1+IF(E$3&lt;=$O$2,$D261,$D261-($D261-$I$238)*MIN(E$3-$O$2,$Q$2)/$Q$2))</f>
        <v>5295.54935693741</v>
      </c>
      <c r="F261" s="15" t="n">
        <f aca="false">E261*(1+IF(F$3&lt;=$O$2,$D261,$D261-($D261-$I$238)*MIN(F$3-$O$2,$Q$2)/$Q$2))</f>
        <v>5723.02918199188</v>
      </c>
      <c r="G261" s="15" t="n">
        <f aca="false">F261*(1+IF(G$3&lt;=$O$2,$D261,$D261-($D261-$I$238)*MIN(G$3-$O$2,$Q$2)/$Q$2))</f>
        <v>6185.01704172064</v>
      </c>
      <c r="H261" s="15" t="n">
        <f aca="false">G261*(1+IF(H$3&lt;=$O$2,$D261,$D261-($D261-$I$238)*MIN(H$3-$O$2,$Q$2)/$Q$2))</f>
        <v>6684.29857508788</v>
      </c>
      <c r="I261" s="15" t="n">
        <f aca="false">H261*(1+IF(I$3&lt;=$O$2,$D261,$D261-($D261-$I$238)*MIN(I$3-$O$2,$Q$2)/$Q$2))</f>
        <v>7223.88428997638</v>
      </c>
      <c r="J261" s="15" t="n">
        <f aca="false">I261*(1+IF(J$3&lt;=$O$2,$D261,$D261-($D261-$I$238)*MIN(J$3-$O$2,$Q$2)/$Q$2))</f>
        <v>7731.28621554588</v>
      </c>
      <c r="K261" s="15" t="n">
        <f aca="false">J261*(1+IF(K$3&lt;=$O$2,$D261,$D261-($D261-$I$238)*MIN(K$3-$O$2,$Q$2)/$Q$2))</f>
        <v>8193.26624785584</v>
      </c>
      <c r="L261" s="15" t="n">
        <f aca="false">K261*(1+IF(L$3&lt;=$O$2,$D261,$D261-($D261-$I$238)*MIN(L$3-$O$2,$Q$2)/$Q$2))</f>
        <v>8596.94637368781</v>
      </c>
      <c r="M261" s="15" t="n">
        <f aca="false">L261*(1+IF(M$3&lt;=$O$2,$D261,$D261-($D261-$I$238)*MIN(M$3-$O$2,$Q$2)/$Q$2))</f>
        <v>8930.37783590392</v>
      </c>
      <c r="N261" s="15" t="n">
        <f aca="false">M261*(1+IF(N$3&lt;=$O$2,$D261,$D261-($D261-$I$238)*MIN(N$3-$O$2,$Q$2)/$Q$2))</f>
        <v>9183.10752866</v>
      </c>
      <c r="O261" s="15" t="n">
        <f aca="false">SUMPRODUCT(E261:N261,1/(1+$F$238)^$E$3:$N$3)*$E$2</f>
        <v>7277.6421236824</v>
      </c>
      <c r="P261" s="15" t="n">
        <f aca="false">N261*$E$2*(1+$I$238)/($F$238-$I$238)/(1+$F$238)^$N$3</f>
        <v>10372.8707128337</v>
      </c>
      <c r="Q261" s="15" t="n">
        <f aca="false">O261+P261</f>
        <v>17650.5128365161</v>
      </c>
      <c r="R261" s="15" t="n">
        <f aca="false">Q261-$G$2+$I$2</f>
        <v>12830.0128365161</v>
      </c>
      <c r="S261" s="42" t="n">
        <f aca="false">R261/$K$2</f>
        <v>66.9624887083301</v>
      </c>
      <c r="T261" s="43" t="n">
        <f aca="false">S261-$M$2</f>
        <v>6.6996430334143E-005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0.0807240009307861</v>
      </c>
      <c r="C262" s="25" t="n">
        <f aca="false">IF(T261&gt;0,D261,C261)</f>
        <v>0.0807243585586548</v>
      </c>
      <c r="D262" s="41" t="n">
        <f aca="false">(B262+C262)/2</f>
        <v>0.0807241797447205</v>
      </c>
      <c r="E262" s="15" t="n">
        <f aca="false">$C$2*(1+IF(E$3&lt;=$O$2,$D262,$D262-($D262-$I$238)*MIN(E$3-$O$2,$Q$2)/$Q$2))</f>
        <v>5295.54848074913</v>
      </c>
      <c r="F262" s="15" t="n">
        <f aca="false">E262*(1+IF(F$3&lt;=$O$2,$D262,$D262-($D262-$I$238)*MIN(F$3-$O$2,$Q$2)/$Q$2))</f>
        <v>5723.027288156</v>
      </c>
      <c r="G262" s="15" t="n">
        <f aca="false">F262*(1+IF(G$3&lt;=$O$2,$D262,$D262-($D262-$I$238)*MIN(G$3-$O$2,$Q$2)/$Q$2))</f>
        <v>6185.01397164905</v>
      </c>
      <c r="H262" s="15" t="n">
        <f aca="false">G262*(1+IF(H$3&lt;=$O$2,$D262,$D262-($D262-$I$238)*MIN(H$3-$O$2,$Q$2)/$Q$2))</f>
        <v>6684.29415122006</v>
      </c>
      <c r="I262" s="15" t="n">
        <f aca="false">H262*(1+IF(I$3&lt;=$O$2,$D262,$D262-($D262-$I$238)*MIN(I$3-$O$2,$Q$2)/$Q$2))</f>
        <v>7223.87831374973</v>
      </c>
      <c r="J262" s="15" t="n">
        <f aca="false">I262*(1+IF(J$3&lt;=$O$2,$D262,$D262-($D262-$I$238)*MIN(J$3-$O$2,$Q$2)/$Q$2))</f>
        <v>7731.27878616805</v>
      </c>
      <c r="K262" s="15" t="n">
        <f aca="false">J262*(1+IF(K$3&lt;=$O$2,$D262,$D262-($D262-$I$238)*MIN(K$3-$O$2,$Q$2)/$Q$2))</f>
        <v>8193.25754506217</v>
      </c>
      <c r="L262" s="15" t="n">
        <f aca="false">K262*(1+IF(L$3&lt;=$O$2,$D262,$D262-($D262-$I$238)*MIN(L$3-$O$2,$Q$2)/$Q$2))</f>
        <v>8596.93665608228</v>
      </c>
      <c r="M262" s="15" t="n">
        <f aca="false">L262*(1+IF(M$3&lt;=$O$2,$D262,$D262-($D262-$I$238)*MIN(M$3-$O$2,$Q$2)/$Q$2))</f>
        <v>8930.3674339519</v>
      </c>
      <c r="N262" s="15" t="n">
        <f aca="false">M262*(1+IF(N$3&lt;=$O$2,$D262,$D262-($D262-$I$238)*MIN(N$3-$O$2,$Q$2)/$Q$2))</f>
        <v>9183.09683233274</v>
      </c>
      <c r="O262" s="15" t="n">
        <f aca="false">SUMPRODUCT(E262:N262,1/(1+$F$238)^$E$3:$N$3)*$E$2</f>
        <v>7277.63647269567</v>
      </c>
      <c r="P262" s="15" t="n">
        <f aca="false">N262*$E$2*(1+$I$238)/($F$238-$I$238)/(1+$F$238)^$N$3</f>
        <v>10372.8586306905</v>
      </c>
      <c r="Q262" s="15" t="n">
        <f aca="false">O262+P262</f>
        <v>17650.4951033862</v>
      </c>
      <c r="R262" s="15" t="n">
        <f aca="false">Q262-$G$2+$I$2</f>
        <v>12829.9951033862</v>
      </c>
      <c r="S262" s="42" t="n">
        <f aca="false">R262/$K$2</f>
        <v>66.9623961554602</v>
      </c>
      <c r="T262" s="43" t="n">
        <f aca="false">S262-$M$2</f>
        <v>-2.55564396383079E-005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0.0807241797447205</v>
      </c>
      <c r="C263" s="25" t="n">
        <f aca="false">IF(T262&gt;0,D262,C262)</f>
        <v>0.0807243585586548</v>
      </c>
      <c r="D263" s="41" t="n">
        <f aca="false">(B263+C263)/2</f>
        <v>0.0807242691516876</v>
      </c>
      <c r="E263" s="15" t="n">
        <f aca="false">$C$2*(1+IF(E$3&lt;=$O$2,$D263,$D263-($D263-$I$238)*MIN(E$3-$O$2,$Q$2)/$Q$2))</f>
        <v>5295.54891884327</v>
      </c>
      <c r="F263" s="15" t="n">
        <f aca="false">E263*(1+IF(F$3&lt;=$O$2,$D263,$D263-($D263-$I$238)*MIN(F$3-$O$2,$Q$2)/$Q$2))</f>
        <v>5723.0282350739</v>
      </c>
      <c r="G263" s="15" t="n">
        <f aca="false">F263*(1+IF(G$3&lt;=$O$2,$D263,$D263-($D263-$I$238)*MIN(G$3-$O$2,$Q$2)/$Q$2))</f>
        <v>6185.01550668472</v>
      </c>
      <c r="H263" s="15" t="n">
        <f aca="false">G263*(1+IF(H$3&lt;=$O$2,$D263,$D263-($D263-$I$238)*MIN(H$3-$O$2,$Q$2)/$Q$2))</f>
        <v>6684.29636315369</v>
      </c>
      <c r="I263" s="15" t="n">
        <f aca="false">H263*(1+IF(I$3&lt;=$O$2,$D263,$D263-($D263-$I$238)*MIN(I$3-$O$2,$Q$2)/$Q$2))</f>
        <v>7223.88130186256</v>
      </c>
      <c r="J263" s="15" t="n">
        <f aca="false">I263*(1+IF(J$3&lt;=$O$2,$D263,$D263-($D263-$I$238)*MIN(J$3-$O$2,$Q$2)/$Q$2))</f>
        <v>7731.28250085622</v>
      </c>
      <c r="K263" s="15" t="n">
        <f aca="false">J263*(1+IF(K$3&lt;=$O$2,$D263,$D263-($D263-$I$238)*MIN(K$3-$O$2,$Q$2)/$Q$2))</f>
        <v>8193.26189645802</v>
      </c>
      <c r="L263" s="15" t="n">
        <f aca="false">K263*(1+IF(L$3&lt;=$O$2,$D263,$D263-($D263-$I$238)*MIN(L$3-$O$2,$Q$2)/$Q$2))</f>
        <v>8596.94151488386</v>
      </c>
      <c r="M263" s="15" t="n">
        <f aca="false">L263*(1+IF(M$3&lt;=$O$2,$D263,$D263-($D263-$I$238)*MIN(M$3-$O$2,$Q$2)/$Q$2))</f>
        <v>8930.37263492659</v>
      </c>
      <c r="N263" s="15" t="n">
        <f aca="false">M263*(1+IF(N$3&lt;=$O$2,$D263,$D263-($D263-$I$238)*MIN(N$3-$O$2,$Q$2)/$Q$2))</f>
        <v>9183.10218049501</v>
      </c>
      <c r="O263" s="15" t="n">
        <f aca="false">SUMPRODUCT(E263:N263,1/(1+$F$238)^$E$3:$N$3)*$E$2</f>
        <v>7277.63929818848</v>
      </c>
      <c r="P263" s="15" t="n">
        <f aca="false">N263*$E$2*(1+$I$238)/($F$238-$I$238)/(1+$F$238)^$N$3</f>
        <v>10372.8646717605</v>
      </c>
      <c r="Q263" s="15" t="n">
        <f aca="false">O263+P263</f>
        <v>17650.503969949</v>
      </c>
      <c r="R263" s="15" t="n">
        <f aca="false">Q263-$G$2+$I$2</f>
        <v>12830.003969949</v>
      </c>
      <c r="S263" s="42" t="n">
        <f aca="false">R263/$K$2</f>
        <v>66.9624424318843</v>
      </c>
      <c r="T263" s="43" t="n">
        <f aca="false">S263-$M$2</f>
        <v>2.07199844624029E-005</v>
      </c>
    </row>
    <row r="265" customFormat="false" ht="15" hidden="false" customHeight="false" outlineLevel="0" collapsed="false">
      <c r="A265" s="38" t="s">
        <v>181</v>
      </c>
      <c r="E265" s="5" t="s">
        <v>11</v>
      </c>
      <c r="F265" s="12" t="n">
        <f aca="false">Sensitivity!$B$11</f>
        <v>0.0900848977416375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153</v>
      </c>
      <c r="B266" s="28" t="s">
        <v>154</v>
      </c>
      <c r="C266" s="28" t="s">
        <v>155</v>
      </c>
      <c r="D266" s="28" t="s">
        <v>156</v>
      </c>
      <c r="E266" s="28" t="s">
        <v>157</v>
      </c>
      <c r="F266" s="28" t="s">
        <v>158</v>
      </c>
      <c r="G266" s="28" t="s">
        <v>159</v>
      </c>
      <c r="H266" s="28" t="s">
        <v>160</v>
      </c>
      <c r="I266" s="28" t="s">
        <v>161</v>
      </c>
      <c r="J266" s="28" t="s">
        <v>162</v>
      </c>
      <c r="K266" s="28" t="s">
        <v>163</v>
      </c>
      <c r="L266" s="28" t="s">
        <v>164</v>
      </c>
      <c r="M266" s="28" t="s">
        <v>165</v>
      </c>
      <c r="N266" s="28" t="s">
        <v>166</v>
      </c>
      <c r="O266" s="28" t="s">
        <v>167</v>
      </c>
      <c r="P266" s="28" t="s">
        <v>168</v>
      </c>
      <c r="Q266" s="28" t="s">
        <v>169</v>
      </c>
      <c r="R266" s="28" t="s">
        <v>170</v>
      </c>
      <c r="S266" s="28" t="s">
        <v>171</v>
      </c>
      <c r="T266" s="28" t="s">
        <v>172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6125</v>
      </c>
      <c r="F267" s="15" t="n">
        <f aca="false">E267*(1+IF(F$3&lt;=$O$2,$D267,$D267-($D267-$I$265)*MIN(F$3-$O$2,$Q$2)/$Q$2))</f>
        <v>7656.25</v>
      </c>
      <c r="G267" s="15" t="n">
        <f aca="false">F267*(1+IF(G$3&lt;=$O$2,$D267,$D267-($D267-$I$265)*MIN(G$3-$O$2,$Q$2)/$Q$2))</f>
        <v>9570.3125</v>
      </c>
      <c r="H267" s="15" t="n">
        <f aca="false">G267*(1+IF(H$3&lt;=$O$2,$D267,$D267-($D267-$I$265)*MIN(H$3-$O$2,$Q$2)/$Q$2))</f>
        <v>11962.890625</v>
      </c>
      <c r="I267" s="15" t="n">
        <f aca="false">H267*(1+IF(I$3&lt;=$O$2,$D267,$D267-($D267-$I$265)*MIN(I$3-$O$2,$Q$2)/$Q$2))</f>
        <v>14953.61328125</v>
      </c>
      <c r="J267" s="15" t="n">
        <f aca="false">I267*(1+IF(J$3&lt;=$O$2,$D267,$D267-($D267-$I$265)*MIN(J$3-$O$2,$Q$2)/$Q$2))</f>
        <v>18043.9270019531</v>
      </c>
      <c r="K267" s="15" t="n">
        <f aca="false">J267*(1+IF(K$3&lt;=$O$2,$D267,$D267-($D267-$I$265)*MIN(K$3-$O$2,$Q$2)/$Q$2))</f>
        <v>20990.8611599121</v>
      </c>
      <c r="L267" s="15" t="n">
        <f aca="false">K267*(1+IF(L$3&lt;=$O$2,$D267,$D267-($D267-$I$265)*MIN(L$3-$O$2,$Q$2)/$Q$2))</f>
        <v>23509.3446818784</v>
      </c>
      <c r="M267" s="15" t="n">
        <f aca="false">L267*(1+IF(M$3&lt;=$O$2,$D267,$D267-($D267-$I$265)*MIN(M$3-$O$2,$Q$2)/$Q$2))</f>
        <v>25311.1008582975</v>
      </c>
      <c r="N267" s="15" t="n">
        <f aca="false">M267*(1+IF(N$3&lt;=$O$2,$D267,$D267-($D267-$I$265)*MIN(N$3-$O$2,$Q$2)/$Q$2))</f>
        <v>26153.9605168788</v>
      </c>
      <c r="O267" s="15" t="n">
        <f aca="false">SUMPRODUCT(E267:N267,1/(1+$F$265)^$E$3:$N$3)*$E$2</f>
        <v>15170.1267835119</v>
      </c>
      <c r="P267" s="15" t="n">
        <f aca="false">N267*$E$2*(1+$I$265)/($F$265-$I$265)/(1+$F$265)^$N$3</f>
        <v>32300.0233852605</v>
      </c>
      <c r="Q267" s="15" t="n">
        <f aca="false">O267+P267</f>
        <v>47470.1501687724</v>
      </c>
      <c r="R267" s="15" t="n">
        <f aca="false">Q267-$G$2+$I$2</f>
        <v>42649.6501687724</v>
      </c>
      <c r="S267" s="42" t="n">
        <f aca="false">R267/$K$2</f>
        <v>222.597339085451</v>
      </c>
      <c r="T267" s="43" t="n">
        <f aca="false">S267-$M$2</f>
        <v>155.634917373551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4287.5</v>
      </c>
      <c r="F268" s="15" t="n">
        <f aca="false">E268*(1+IF(F$3&lt;=$O$2,$D268,$D268-($D268-$I$265)*MIN(F$3-$O$2,$Q$2)/$Q$2))</f>
        <v>3751.5625</v>
      </c>
      <c r="G268" s="15" t="n">
        <f aca="false">F268*(1+IF(G$3&lt;=$O$2,$D268,$D268-($D268-$I$265)*MIN(G$3-$O$2,$Q$2)/$Q$2))</f>
        <v>3282.6171875</v>
      </c>
      <c r="H268" s="15" t="n">
        <f aca="false">G268*(1+IF(H$3&lt;=$O$2,$D268,$D268-($D268-$I$265)*MIN(H$3-$O$2,$Q$2)/$Q$2))</f>
        <v>2872.2900390625</v>
      </c>
      <c r="I268" s="15" t="n">
        <f aca="false">H268*(1+IF(I$3&lt;=$O$2,$D268,$D268-($D268-$I$265)*MIN(I$3-$O$2,$Q$2)/$Q$2))</f>
        <v>2513.25378417969</v>
      </c>
      <c r="J268" s="15" t="n">
        <f aca="false">I268*(1+IF(J$3&lt;=$O$2,$D268,$D268-($D268-$I$265)*MIN(J$3-$O$2,$Q$2)/$Q$2))</f>
        <v>2278.66667596436</v>
      </c>
      <c r="K268" s="15" t="n">
        <f aca="false">J268*(1+IF(K$3&lt;=$O$2,$D268,$D268-($D268-$I$265)*MIN(K$3-$O$2,$Q$2)/$Q$2))</f>
        <v>2138.11851539087</v>
      </c>
      <c r="L268" s="15" t="n">
        <f aca="false">K268*(1+IF(L$3&lt;=$O$2,$D268,$D268-($D268-$I$265)*MIN(L$3-$O$2,$Q$2)/$Q$2))</f>
        <v>2073.93219755884</v>
      </c>
      <c r="M268" s="15" t="n">
        <f aca="false">L268*(1+IF(M$3&lt;=$O$2,$D268,$D268-($D268-$I$265)*MIN(M$3-$O$2,$Q$2)/$Q$2))</f>
        <v>2077.33344636284</v>
      </c>
      <c r="N268" s="15" t="n">
        <f aca="false">M268*(1+IF(N$3&lt;=$O$2,$D268,$D268-($D268-$I$265)*MIN(N$3-$O$2,$Q$2)/$Q$2))</f>
        <v>2146.50865012672</v>
      </c>
      <c r="O268" s="15" t="n">
        <f aca="false">SUMPRODUCT(E268:N268,1/(1+$F$265)^$E$3:$N$3)*$E$2</f>
        <v>3010.17967741524</v>
      </c>
      <c r="P268" s="15" t="n">
        <f aca="false">N268*$E$2*(1+$I$265)/($F$265-$I$265)/(1+$F$265)^$N$3</f>
        <v>2650.9285104645</v>
      </c>
      <c r="Q268" s="15" t="n">
        <f aca="false">O268+P268</f>
        <v>5661.10818787974</v>
      </c>
      <c r="R268" s="15" t="n">
        <f aca="false">Q268-$G$2+$I$2</f>
        <v>840.608187879742</v>
      </c>
      <c r="S268" s="42" t="n">
        <f aca="false">R268/$K$2</f>
        <v>4.38730786993602</v>
      </c>
      <c r="T268" s="43" t="n">
        <f aca="false">S268-$M$2</f>
        <v>-62.5751138419638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5206.25</v>
      </c>
      <c r="F269" s="15" t="n">
        <f aca="false">E269*(1+IF(F$3&lt;=$O$2,$D269,$D269-($D269-$I$265)*MIN(F$3-$O$2,$Q$2)/$Q$2))</f>
        <v>5531.640625</v>
      </c>
      <c r="G269" s="15" t="n">
        <f aca="false">F269*(1+IF(G$3&lt;=$O$2,$D269,$D269-($D269-$I$265)*MIN(G$3-$O$2,$Q$2)/$Q$2))</f>
        <v>5877.3681640625</v>
      </c>
      <c r="H269" s="15" t="n">
        <f aca="false">G269*(1+IF(H$3&lt;=$O$2,$D269,$D269-($D269-$I$265)*MIN(H$3-$O$2,$Q$2)/$Q$2))</f>
        <v>6244.70367431641</v>
      </c>
      <c r="I269" s="15" t="n">
        <f aca="false">H269*(1+IF(I$3&lt;=$O$2,$D269,$D269-($D269-$I$265)*MIN(I$3-$O$2,$Q$2)/$Q$2))</f>
        <v>6634.99765396118</v>
      </c>
      <c r="J269" s="15" t="n">
        <f aca="false">I269*(1+IF(J$3&lt;=$O$2,$D269,$D269-($D269-$I$265)*MIN(J$3-$O$2,$Q$2)/$Q$2))</f>
        <v>7010.93662103462</v>
      </c>
      <c r="K269" s="15" t="n">
        <f aca="false">J269*(1+IF(K$3&lt;=$O$2,$D269,$D269-($D269-$I$265)*MIN(K$3-$O$2,$Q$2)/$Q$2))</f>
        <v>7367.2324201156</v>
      </c>
      <c r="L269" s="15" t="n">
        <f aca="false">K269*(1+IF(L$3&lt;=$O$2,$D269,$D269-($D269-$I$265)*MIN(L$3-$O$2,$Q$2)/$Q$2))</f>
        <v>7698.6105343724</v>
      </c>
      <c r="M269" s="15" t="n">
        <f aca="false">L269*(1+IF(M$3&lt;=$O$2,$D269,$D269-($D269-$I$265)*MIN(M$3-$O$2,$Q$2)/$Q$2))</f>
        <v>7999.93415068774</v>
      </c>
      <c r="N269" s="15" t="n">
        <f aca="false">M269*(1+IF(N$3&lt;=$O$2,$D269,$D269-($D269-$I$265)*MIN(N$3-$O$2,$Q$2)/$Q$2))</f>
        <v>8266.33195790564</v>
      </c>
      <c r="O269" s="15" t="n">
        <f aca="false">SUMPRODUCT(E269:N269,1/(1+$F$265)^$E$3:$N$3)*$E$2</f>
        <v>6743.64513654431</v>
      </c>
      <c r="P269" s="15" t="n">
        <f aca="false">N269*$E$2*(1+$I$265)/($F$265-$I$265)/(1+$F$265)^$N$3</f>
        <v>10208.8827188664</v>
      </c>
      <c r="Q269" s="15" t="n">
        <f aca="false">O269+P269</f>
        <v>16952.5278554107</v>
      </c>
      <c r="R269" s="15" t="n">
        <f aca="false">Q269-$G$2+$I$2</f>
        <v>12132.0278554107</v>
      </c>
      <c r="S269" s="42" t="n">
        <f aca="false">R269/$K$2</f>
        <v>63.3195608319975</v>
      </c>
      <c r="T269" s="43" t="n">
        <f aca="false">S269-$M$2</f>
        <v>-3.64286087990231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0.0625</v>
      </c>
      <c r="C270" s="25" t="n">
        <f aca="false">IF(T269&gt;0,D269,C269)</f>
        <v>0.25</v>
      </c>
      <c r="D270" s="41" t="n">
        <f aca="false">(B270+C270)/2</f>
        <v>0.15625</v>
      </c>
      <c r="E270" s="15" t="n">
        <f aca="false">$C$2*(1+IF(E$3&lt;=$O$2,$D270,$D270-($D270-$I$265)*MIN(E$3-$O$2,$Q$2)/$Q$2))</f>
        <v>5665.625</v>
      </c>
      <c r="F270" s="15" t="n">
        <f aca="false">E270*(1+IF(F$3&lt;=$O$2,$D270,$D270-($D270-$I$265)*MIN(F$3-$O$2,$Q$2)/$Q$2))</f>
        <v>6550.87890625</v>
      </c>
      <c r="G270" s="15" t="n">
        <f aca="false">F270*(1+IF(G$3&lt;=$O$2,$D270,$D270-($D270-$I$265)*MIN(G$3-$O$2,$Q$2)/$Q$2))</f>
        <v>7574.45373535156</v>
      </c>
      <c r="H270" s="15" t="n">
        <f aca="false">G270*(1+IF(H$3&lt;=$O$2,$D270,$D270-($D270-$I$265)*MIN(H$3-$O$2,$Q$2)/$Q$2))</f>
        <v>8757.96213150024</v>
      </c>
      <c r="I270" s="15" t="n">
        <f aca="false">H270*(1+IF(I$3&lt;=$O$2,$D270,$D270-($D270-$I$265)*MIN(I$3-$O$2,$Q$2)/$Q$2))</f>
        <v>10126.3937145472</v>
      </c>
      <c r="J270" s="15" t="n">
        <f aca="false">I270*(1+IF(J$3&lt;=$O$2,$D270,$D270-($D270-$I$265)*MIN(J$3-$O$2,$Q$2)/$Q$2))</f>
        <v>11459.6347110044</v>
      </c>
      <c r="K270" s="15" t="n">
        <f aca="false">J270*(1+IF(K$3&lt;=$O$2,$D270,$D270-($D270-$I$265)*MIN(K$3-$O$2,$Q$2)/$Q$2))</f>
        <v>12686.6177995117</v>
      </c>
      <c r="L270" s="15" t="n">
        <f aca="false">K270*(1+IF(L$3&lt;=$O$2,$D270,$D270-($D270-$I$265)*MIN(L$3-$O$2,$Q$2)/$Q$2))</f>
        <v>13733.0100356154</v>
      </c>
      <c r="M270" s="15" t="n">
        <f aca="false">L270*(1+IF(M$3&lt;=$O$2,$D270,$D270-($D270-$I$265)*MIN(M$3-$O$2,$Q$2)/$Q$2))</f>
        <v>14528.0139865772</v>
      </c>
      <c r="N270" s="15" t="n">
        <f aca="false">M270*(1+IF(N$3&lt;=$O$2,$D270,$D270-($D270-$I$265)*MIN(N$3-$O$2,$Q$2)/$Q$2))</f>
        <v>15011.7968523302</v>
      </c>
      <c r="O270" s="15" t="n">
        <f aca="false">SUMPRODUCT(E270:N270,1/(1+$F$265)^$E$3:$N$3)*$E$2</f>
        <v>10132.3359819468</v>
      </c>
      <c r="P270" s="15" t="n">
        <f aca="false">N270*$E$2*(1+$I$265)/($F$265-$I$265)/(1+$F$265)^$N$3</f>
        <v>18539.5014675548</v>
      </c>
      <c r="Q270" s="15" t="n">
        <f aca="false">O270+P270</f>
        <v>28671.8374495017</v>
      </c>
      <c r="R270" s="15" t="n">
        <f aca="false">Q270-$G$2+$I$2</f>
        <v>23851.3374495017</v>
      </c>
      <c r="S270" s="42" t="n">
        <f aca="false">R270/$K$2</f>
        <v>124.485059757316</v>
      </c>
      <c r="T270" s="43" t="n">
        <f aca="false">S270-$M$2</f>
        <v>57.5226380454158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0.0625</v>
      </c>
      <c r="C271" s="25" t="n">
        <f aca="false">IF(T270&gt;0,D270,C270)</f>
        <v>0.15625</v>
      </c>
      <c r="D271" s="41" t="n">
        <f aca="false">(B271+C271)/2</f>
        <v>0.109375</v>
      </c>
      <c r="E271" s="15" t="n">
        <f aca="false">$C$2*(1+IF(E$3&lt;=$O$2,$D271,$D271-($D271-$I$265)*MIN(E$3-$O$2,$Q$2)/$Q$2))</f>
        <v>5435.9375</v>
      </c>
      <c r="F271" s="15" t="n">
        <f aca="false">E271*(1+IF(F$3&lt;=$O$2,$D271,$D271-($D271-$I$265)*MIN(F$3-$O$2,$Q$2)/$Q$2))</f>
        <v>6030.4931640625</v>
      </c>
      <c r="G271" s="15" t="n">
        <f aca="false">F271*(1+IF(G$3&lt;=$O$2,$D271,$D271-($D271-$I$265)*MIN(G$3-$O$2,$Q$2)/$Q$2))</f>
        <v>6690.07835388184</v>
      </c>
      <c r="H271" s="15" t="n">
        <f aca="false">G271*(1+IF(H$3&lt;=$O$2,$D271,$D271-($D271-$I$265)*MIN(H$3-$O$2,$Q$2)/$Q$2))</f>
        <v>7421.80567383766</v>
      </c>
      <c r="I271" s="15" t="n">
        <f aca="false">H271*(1+IF(I$3&lt;=$O$2,$D271,$D271-($D271-$I$265)*MIN(I$3-$O$2,$Q$2)/$Q$2))</f>
        <v>8233.56566941366</v>
      </c>
      <c r="J271" s="15" t="n">
        <f aca="false">I271*(1+IF(J$3&lt;=$O$2,$D271,$D271-($D271-$I$265)*MIN(J$3-$O$2,$Q$2)/$Q$2))</f>
        <v>9008.83821284565</v>
      </c>
      <c r="K271" s="15" t="n">
        <f aca="false">J271*(1+IF(K$3&lt;=$O$2,$D271,$D271-($D271-$I$265)*MIN(K$3-$O$2,$Q$2)/$Q$2))</f>
        <v>9720.04094555875</v>
      </c>
      <c r="L271" s="15" t="n">
        <f aca="false">K271*(1+IF(L$3&lt;=$O$2,$D271,$D271-($D271-$I$265)*MIN(L$3-$O$2,$Q$2)/$Q$2))</f>
        <v>10339.4991550192</v>
      </c>
      <c r="M271" s="15" t="n">
        <f aca="false">L271*(1+IF(M$3&lt;=$O$2,$D271,$D271-($D271-$I$265)*MIN(M$3-$O$2,$Q$2)/$Q$2))</f>
        <v>10841.119956525</v>
      </c>
      <c r="N271" s="15" t="n">
        <f aca="false">M271*(1+IF(N$3&lt;=$O$2,$D271,$D271-($D271-$I$265)*MIN(N$3-$O$2,$Q$2)/$Q$2))</f>
        <v>11202.1292510772</v>
      </c>
      <c r="O271" s="15" t="n">
        <f aca="false">SUMPRODUCT(E271:N271,1/(1+$F$265)^$E$3:$N$3)*$E$2</f>
        <v>8267.69207988939</v>
      </c>
      <c r="P271" s="15" t="n">
        <f aca="false">N271*$E$2*(1+$I$265)/($F$265-$I$265)/(1+$F$265)^$N$3</f>
        <v>13834.579146856</v>
      </c>
      <c r="Q271" s="15" t="n">
        <f aca="false">O271+P271</f>
        <v>22102.2712267453</v>
      </c>
      <c r="R271" s="15" t="n">
        <f aca="false">Q271-$G$2+$I$2</f>
        <v>17281.7712267453</v>
      </c>
      <c r="S271" s="42" t="n">
        <f aca="false">R271/$K$2</f>
        <v>90.1971358389632</v>
      </c>
      <c r="T271" s="43" t="n">
        <f aca="false">S271-$M$2</f>
        <v>23.2347141270634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0.0625</v>
      </c>
      <c r="C272" s="25" t="n">
        <f aca="false">IF(T271&gt;0,D271,C271)</f>
        <v>0.109375</v>
      </c>
      <c r="D272" s="41" t="n">
        <f aca="false">(B272+C272)/2</f>
        <v>0.0859375</v>
      </c>
      <c r="E272" s="15" t="n">
        <f aca="false">$C$2*(1+IF(E$3&lt;=$O$2,$D272,$D272-($D272-$I$265)*MIN(E$3-$O$2,$Q$2)/$Q$2))</f>
        <v>5321.09375</v>
      </c>
      <c r="F272" s="15" t="n">
        <f aca="false">E272*(1+IF(F$3&lt;=$O$2,$D272,$D272-($D272-$I$265)*MIN(F$3-$O$2,$Q$2)/$Q$2))</f>
        <v>5778.37524414063</v>
      </c>
      <c r="G272" s="15" t="n">
        <f aca="false">F272*(1+IF(G$3&lt;=$O$2,$D272,$D272-($D272-$I$265)*MIN(G$3-$O$2,$Q$2)/$Q$2))</f>
        <v>6274.95436668396</v>
      </c>
      <c r="H272" s="15" t="n">
        <f aca="false">G272*(1+IF(H$3&lt;=$O$2,$D272,$D272-($D272-$I$265)*MIN(H$3-$O$2,$Q$2)/$Q$2))</f>
        <v>6814.20825757086</v>
      </c>
      <c r="I272" s="15" t="n">
        <f aca="false">H272*(1+IF(I$3&lt;=$O$2,$D272,$D272-($D272-$I$265)*MIN(I$3-$O$2,$Q$2)/$Q$2))</f>
        <v>7399.80427970586</v>
      </c>
      <c r="J272" s="15" t="n">
        <f aca="false">I272*(1+IF(J$3&lt;=$O$2,$D272,$D272-($D272-$I$265)*MIN(J$3-$O$2,$Q$2)/$Q$2))</f>
        <v>7957.82352043848</v>
      </c>
      <c r="K272" s="15" t="n">
        <f aca="false">J272*(1+IF(K$3&lt;=$O$2,$D272,$D272-($D272-$I$265)*MIN(K$3-$O$2,$Q$2)/$Q$2))</f>
        <v>8474.14700500333</v>
      </c>
      <c r="L272" s="15" t="n">
        <f aca="false">K272*(1+IF(L$3&lt;=$O$2,$D272,$D272-($D272-$I$265)*MIN(L$3-$O$2,$Q$2)/$Q$2))</f>
        <v>8934.75926546028</v>
      </c>
      <c r="M272" s="15" t="n">
        <f aca="false">L272*(1+IF(M$3&lt;=$O$2,$D272,$D272-($D272-$I$265)*MIN(M$3-$O$2,$Q$2)/$Q$2))</f>
        <v>9326.34742716724</v>
      </c>
      <c r="N272" s="15" t="n">
        <f aca="false">M272*(1+IF(N$3&lt;=$O$2,$D272,$D272-($D272-$I$265)*MIN(N$3-$O$2,$Q$2)/$Q$2))</f>
        <v>9636.91479649191</v>
      </c>
      <c r="O272" s="15" t="n">
        <f aca="false">SUMPRODUCT(E272:N272,1/(1+$F$265)^$E$3:$N$3)*$E$2</f>
        <v>7466.97608070587</v>
      </c>
      <c r="P272" s="15" t="n">
        <f aca="false">N272*$E$2*(1+$I$265)/($F$265-$I$265)/(1+$F$265)^$N$3</f>
        <v>11901.5463484992</v>
      </c>
      <c r="Q272" s="15" t="n">
        <f aca="false">O272+P272</f>
        <v>19368.5224292051</v>
      </c>
      <c r="R272" s="15" t="n">
        <f aca="false">Q272-$G$2+$I$2</f>
        <v>14548.0224292051</v>
      </c>
      <c r="S272" s="42" t="n">
        <f aca="false">R272/$K$2</f>
        <v>75.9291358518011</v>
      </c>
      <c r="T272" s="43" t="n">
        <f aca="false">S272-$M$2</f>
        <v>8.96671413990127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0.0625</v>
      </c>
      <c r="C273" s="25" t="n">
        <f aca="false">IF(T272&gt;0,D272,C272)</f>
        <v>0.0859375</v>
      </c>
      <c r="D273" s="41" t="n">
        <f aca="false">(B273+C273)/2</f>
        <v>0.07421875</v>
      </c>
      <c r="E273" s="15" t="n">
        <f aca="false">$C$2*(1+IF(E$3&lt;=$O$2,$D273,$D273-($D273-$I$265)*MIN(E$3-$O$2,$Q$2)/$Q$2))</f>
        <v>5263.671875</v>
      </c>
      <c r="F273" s="15" t="n">
        <f aca="false">E273*(1+IF(F$3&lt;=$O$2,$D273,$D273-($D273-$I$265)*MIN(F$3-$O$2,$Q$2)/$Q$2))</f>
        <v>5654.33502197266</v>
      </c>
      <c r="G273" s="15" t="n">
        <f aca="false">F273*(1+IF(G$3&lt;=$O$2,$D273,$D273-($D273-$I$265)*MIN(G$3-$O$2,$Q$2)/$Q$2))</f>
        <v>6073.99269938469</v>
      </c>
      <c r="H273" s="15" t="n">
        <f aca="false">G273*(1+IF(H$3&lt;=$O$2,$D273,$D273-($D273-$I$265)*MIN(H$3-$O$2,$Q$2)/$Q$2))</f>
        <v>6524.79684504215</v>
      </c>
      <c r="I273" s="15" t="n">
        <f aca="false">H273*(1+IF(I$3&lt;=$O$2,$D273,$D273-($D273-$I$265)*MIN(I$3-$O$2,$Q$2)/$Q$2))</f>
        <v>7009.05911088512</v>
      </c>
      <c r="J273" s="15" t="n">
        <f aca="false">I273*(1+IF(J$3&lt;=$O$2,$D273,$D273-($D273-$I$265)*MIN(J$3-$O$2,$Q$2)/$Q$2))</f>
        <v>7471.90232927242</v>
      </c>
      <c r="K273" s="15" t="n">
        <f aca="false">J273*(1+IF(K$3&lt;=$O$2,$D273,$D273-($D273-$I$265)*MIN(K$3-$O$2,$Q$2)/$Q$2))</f>
        <v>7904.16121889874</v>
      </c>
      <c r="L273" s="15" t="n">
        <f aca="false">K273*(1+IF(L$3&lt;=$O$2,$D273,$D273-($D273-$I$265)*MIN(L$3-$O$2,$Q$2)/$Q$2))</f>
        <v>8296.74114623839</v>
      </c>
      <c r="M273" s="15" t="n">
        <f aca="false">L273*(1+IF(M$3&lt;=$O$2,$D273,$D273-($D273-$I$265)*MIN(M$3-$O$2,$Q$2)/$Q$2))</f>
        <v>8640.92108176366</v>
      </c>
      <c r="N273" s="15" t="n">
        <f aca="false">M273*(1+IF(N$3&lt;=$O$2,$D273,$D273-($D273-$I$265)*MIN(N$3-$O$2,$Q$2)/$Q$2))</f>
        <v>8928.66375378639</v>
      </c>
      <c r="O273" s="15" t="n">
        <f aca="false">SUMPRODUCT(E273:N273,1/(1+$F$265)^$E$3:$N$3)*$E$2</f>
        <v>7096.08896484429</v>
      </c>
      <c r="P273" s="15" t="n">
        <f aca="false">N273*$E$2*(1+$I$265)/($F$265-$I$265)/(1+$F$265)^$N$3</f>
        <v>11026.8595022275</v>
      </c>
      <c r="Q273" s="15" t="n">
        <f aca="false">O273+P273</f>
        <v>18122.9484670718</v>
      </c>
      <c r="R273" s="15" t="n">
        <f aca="false">Q273-$G$2+$I$2</f>
        <v>13302.4484670718</v>
      </c>
      <c r="S273" s="42" t="n">
        <f aca="false">R273/$K$2</f>
        <v>69.4282279074728</v>
      </c>
      <c r="T273" s="43" t="n">
        <f aca="false">S273-$M$2</f>
        <v>2.46580619557304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0.0625</v>
      </c>
      <c r="C274" s="25" t="n">
        <f aca="false">IF(T273&gt;0,D273,C273)</f>
        <v>0.07421875</v>
      </c>
      <c r="D274" s="41" t="n">
        <f aca="false">(B274+C274)/2</f>
        <v>0.068359375</v>
      </c>
      <c r="E274" s="15" t="n">
        <f aca="false">$C$2*(1+IF(E$3&lt;=$O$2,$D274,$D274-($D274-$I$265)*MIN(E$3-$O$2,$Q$2)/$Q$2))</f>
        <v>5234.9609375</v>
      </c>
      <c r="F274" s="15" t="n">
        <f aca="false">E274*(1+IF(F$3&lt;=$O$2,$D274,$D274-($D274-$I$265)*MIN(F$3-$O$2,$Q$2)/$Q$2))</f>
        <v>5592.81959533691</v>
      </c>
      <c r="G274" s="15" t="n">
        <f aca="false">F274*(1+IF(G$3&lt;=$O$2,$D274,$D274-($D274-$I$265)*MIN(G$3-$O$2,$Q$2)/$Q$2))</f>
        <v>5975.1412473619</v>
      </c>
      <c r="H274" s="15" t="n">
        <f aca="false">G274*(1+IF(H$3&lt;=$O$2,$D274,$D274-($D274-$I$265)*MIN(H$3-$O$2,$Q$2)/$Q$2))</f>
        <v>6383.59816856828</v>
      </c>
      <c r="I274" s="15" t="n">
        <f aca="false">H274*(1+IF(I$3&lt;=$O$2,$D274,$D274-($D274-$I$265)*MIN(I$3-$O$2,$Q$2)/$Q$2))</f>
        <v>6819.97694962275</v>
      </c>
      <c r="J274" s="15" t="n">
        <f aca="false">I274*(1+IF(J$3&lt;=$O$2,$D274,$D274-($D274-$I$265)*MIN(J$3-$O$2,$Q$2)/$Q$2))</f>
        <v>7238.36548553973</v>
      </c>
      <c r="K274" s="15" t="n">
        <f aca="false">J274*(1+IF(K$3&lt;=$O$2,$D274,$D274-($D274-$I$265)*MIN(K$3-$O$2,$Q$2)/$Q$2))</f>
        <v>7631.66659817496</v>
      </c>
      <c r="L274" s="15" t="n">
        <f aca="false">K274*(1+IF(L$3&lt;=$O$2,$D274,$D274-($D274-$I$265)*MIN(L$3-$O$2,$Q$2)/$Q$2))</f>
        <v>7992.82568035035</v>
      </c>
      <c r="M274" s="15" t="n">
        <f aca="false">L274*(1+IF(M$3&lt;=$O$2,$D274,$D274-($D274-$I$265)*MIN(M$3-$O$2,$Q$2)/$Q$2))</f>
        <v>8315.03147007342</v>
      </c>
      <c r="N274" s="15" t="n">
        <f aca="false">M274*(1+IF(N$3&lt;=$O$2,$D274,$D274-($D274-$I$265)*MIN(N$3-$O$2,$Q$2)/$Q$2))</f>
        <v>8591.92201802686</v>
      </c>
      <c r="O274" s="15" t="n">
        <f aca="false">SUMPRODUCT(E274:N274,1/(1+$F$265)^$E$3:$N$3)*$E$2</f>
        <v>6917.61606970463</v>
      </c>
      <c r="P274" s="15" t="n">
        <f aca="false">N274*$E$2*(1+$I$265)/($F$265-$I$265)/(1+$F$265)^$N$3</f>
        <v>10610.9849759657</v>
      </c>
      <c r="Q274" s="15" t="n">
        <f aca="false">O274+P274</f>
        <v>17528.6010456704</v>
      </c>
      <c r="R274" s="15" t="n">
        <f aca="false">Q274-$G$2+$I$2</f>
        <v>12708.1010456704</v>
      </c>
      <c r="S274" s="42" t="n">
        <f aca="false">R274/$K$2</f>
        <v>66.3262058751064</v>
      </c>
      <c r="T274" s="43" t="n">
        <f aca="false">S274-$M$2</f>
        <v>-0.63621583679344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0.068359375</v>
      </c>
      <c r="C275" s="25" t="n">
        <f aca="false">IF(T274&gt;0,D274,C274)</f>
        <v>0.07421875</v>
      </c>
      <c r="D275" s="41" t="n">
        <f aca="false">(B275+C275)/2</f>
        <v>0.0712890625</v>
      </c>
      <c r="E275" s="15" t="n">
        <f aca="false">$C$2*(1+IF(E$3&lt;=$O$2,$D275,$D275-($D275-$I$265)*MIN(E$3-$O$2,$Q$2)/$Q$2))</f>
        <v>5249.31640625</v>
      </c>
      <c r="F275" s="15" t="n">
        <f aca="false">E275*(1+IF(F$3&lt;=$O$2,$D275,$D275-($D275-$I$265)*MIN(F$3-$O$2,$Q$2)/$Q$2))</f>
        <v>5623.53525161743</v>
      </c>
      <c r="G275" s="15" t="n">
        <f aca="false">F275*(1+IF(G$3&lt;=$O$2,$D275,$D275-($D275-$I$265)*MIN(G$3-$O$2,$Q$2)/$Q$2))</f>
        <v>6024.43180764094</v>
      </c>
      <c r="H275" s="15" t="n">
        <f aca="false">G275*(1+IF(H$3&lt;=$O$2,$D275,$D275-($D275-$I$265)*MIN(H$3-$O$2,$Q$2)/$Q$2))</f>
        <v>6453.90790330284</v>
      </c>
      <c r="I275" s="15" t="n">
        <f aca="false">H275*(1+IF(I$3&lt;=$O$2,$D275,$D275-($D275-$I$265)*MIN(I$3-$O$2,$Q$2)/$Q$2))</f>
        <v>6914.00094719064</v>
      </c>
      <c r="J275" s="15" t="n">
        <f aca="false">I275*(1+IF(J$3&lt;=$O$2,$D275,$D275-($D275-$I$265)*MIN(J$3-$O$2,$Q$2)/$Q$2))</f>
        <v>7354.3623100184</v>
      </c>
      <c r="K275" s="15" t="n">
        <f aca="false">J275*(1+IF(K$3&lt;=$O$2,$D275,$D275-($D275-$I$265)*MIN(K$3-$O$2,$Q$2)/$Q$2))</f>
        <v>7766.89377260777</v>
      </c>
      <c r="L275" s="15" t="n">
        <f aca="false">K275*(1+IF(L$3&lt;=$O$2,$D275,$D275-($D275-$I$265)*MIN(L$3-$O$2,$Q$2)/$Q$2))</f>
        <v>8143.55414041899</v>
      </c>
      <c r="M275" s="15" t="n">
        <f aca="false">L275*(1+IF(M$3&lt;=$O$2,$D275,$D275-($D275-$I$265)*MIN(M$3-$O$2,$Q$2)/$Q$2))</f>
        <v>8476.60769073745</v>
      </c>
      <c r="N275" s="15" t="n">
        <f aca="false">M275*(1+IF(N$3&lt;=$O$2,$D275,$D275-($D275-$I$265)*MIN(N$3-$O$2,$Q$2)/$Q$2))</f>
        <v>8758.87872683901</v>
      </c>
      <c r="O275" s="15" t="n">
        <f aca="false">SUMPRODUCT(E275:N275,1/(1+$F$265)^$E$3:$N$3)*$E$2</f>
        <v>7006.28305587541</v>
      </c>
      <c r="P275" s="15" t="n">
        <f aca="false">N275*$E$2*(1+$I$265)/($F$265-$I$265)/(1+$F$265)^$N$3</f>
        <v>10817.1757590205</v>
      </c>
      <c r="Q275" s="15" t="n">
        <f aca="false">O275+P275</f>
        <v>17823.4588148959</v>
      </c>
      <c r="R275" s="15" t="n">
        <f aca="false">Q275-$G$2+$I$2</f>
        <v>13002.9588148959</v>
      </c>
      <c r="S275" s="42" t="n">
        <f aca="false">R275/$K$2</f>
        <v>67.8651295140705</v>
      </c>
      <c r="T275" s="43" t="n">
        <f aca="false">S275-$M$2</f>
        <v>0.902707802170667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0.068359375</v>
      </c>
      <c r="C276" s="25" t="n">
        <f aca="false">IF(T275&gt;0,D275,C275)</f>
        <v>0.0712890625</v>
      </c>
      <c r="D276" s="41" t="n">
        <f aca="false">(B276+C276)/2</f>
        <v>0.06982421875</v>
      </c>
      <c r="E276" s="15" t="n">
        <f aca="false">$C$2*(1+IF(E$3&lt;=$O$2,$D276,$D276-($D276-$I$265)*MIN(E$3-$O$2,$Q$2)/$Q$2))</f>
        <v>5242.138671875</v>
      </c>
      <c r="F276" s="15" t="n">
        <f aca="false">E276*(1+IF(F$3&lt;=$O$2,$D276,$D276-($D276-$I$265)*MIN(F$3-$O$2,$Q$2)/$Q$2))</f>
        <v>5608.16690921783</v>
      </c>
      <c r="G276" s="15" t="n">
        <f aca="false">F276*(1+IF(G$3&lt;=$O$2,$D276,$D276-($D276-$I$265)*MIN(G$3-$O$2,$Q$2)/$Q$2))</f>
        <v>5999.75278227357</v>
      </c>
      <c r="H276" s="15" t="n">
        <f aca="false">G276*(1+IF(H$3&lt;=$O$2,$D276,$D276-($D276-$I$265)*MIN(H$3-$O$2,$Q$2)/$Q$2))</f>
        <v>6418.68083298896</v>
      </c>
      <c r="I276" s="15" t="n">
        <f aca="false">H276*(1+IF(I$3&lt;=$O$2,$D276,$D276-($D276-$I$265)*MIN(I$3-$O$2,$Q$2)/$Q$2))</f>
        <v>6866.86020755802</v>
      </c>
      <c r="J276" s="15" t="n">
        <f aca="false">I276*(1+IF(J$3&lt;=$O$2,$D276,$D276-($D276-$I$265)*MIN(J$3-$O$2,$Q$2)/$Q$2))</f>
        <v>7296.17201594691</v>
      </c>
      <c r="K276" s="15" t="n">
        <f aca="false">J276*(1+IF(K$3&lt;=$O$2,$D276,$D276-($D276-$I$265)*MIN(K$3-$O$2,$Q$2)/$Q$2))</f>
        <v>7699.02673372679</v>
      </c>
      <c r="L276" s="15" t="n">
        <f aca="false">K276*(1+IF(L$3&lt;=$O$2,$D276,$D276-($D276-$I$265)*MIN(L$3-$O$2,$Q$2)/$Q$2))</f>
        <v>8067.88469859379</v>
      </c>
      <c r="M276" s="15" t="n">
        <f aca="false">L276*(1+IF(M$3&lt;=$O$2,$D276,$D276-($D276-$I$265)*MIN(M$3-$O$2,$Q$2)/$Q$2))</f>
        <v>8395.4798961732</v>
      </c>
      <c r="N276" s="15" t="n">
        <f aca="false">M276*(1+IF(N$3&lt;=$O$2,$D276,$D276-($D276-$I$265)*MIN(N$3-$O$2,$Q$2)/$Q$2))</f>
        <v>8675.04937671577</v>
      </c>
      <c r="O276" s="15" t="n">
        <f aca="false">SUMPRODUCT(E276:N276,1/(1+$F$265)^$E$3:$N$3)*$E$2</f>
        <v>6961.80804238262</v>
      </c>
      <c r="P276" s="15" t="n">
        <f aca="false">N276*$E$2*(1+$I$265)/($F$265-$I$265)/(1+$F$265)^$N$3</f>
        <v>10713.6468893641</v>
      </c>
      <c r="Q276" s="15" t="n">
        <f aca="false">O276+P276</f>
        <v>17675.4549317467</v>
      </c>
      <c r="R276" s="15" t="n">
        <f aca="false">Q276-$G$2+$I$2</f>
        <v>12854.9549317467</v>
      </c>
      <c r="S276" s="42" t="n">
        <f aca="false">R276/$K$2</f>
        <v>67.0926666583855</v>
      </c>
      <c r="T276" s="43" t="n">
        <f aca="false">S276-$M$2</f>
        <v>0.130244946485746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0.068359375</v>
      </c>
      <c r="C277" s="25" t="n">
        <f aca="false">IF(T276&gt;0,D276,C276)</f>
        <v>0.06982421875</v>
      </c>
      <c r="D277" s="41" t="n">
        <f aca="false">(B277+C277)/2</f>
        <v>0.069091796875</v>
      </c>
      <c r="E277" s="15" t="n">
        <f aca="false">$C$2*(1+IF(E$3&lt;=$O$2,$D277,$D277-($D277-$I$265)*MIN(E$3-$O$2,$Q$2)/$Q$2))</f>
        <v>5238.5498046875</v>
      </c>
      <c r="F277" s="15" t="n">
        <f aca="false">E277*(1+IF(F$3&lt;=$O$2,$D277,$D277-($D277-$I$265)*MIN(F$3-$O$2,$Q$2)/$Q$2))</f>
        <v>5600.49062371254</v>
      </c>
      <c r="G277" s="15" t="n">
        <f aca="false">F277*(1+IF(G$3&lt;=$O$2,$D277,$D277-($D277-$I$265)*MIN(G$3-$O$2,$Q$2)/$Q$2))</f>
        <v>5987.43858428643</v>
      </c>
      <c r="H277" s="15" t="n">
        <f aca="false">G277*(1+IF(H$3&lt;=$O$2,$D277,$D277-($D277-$I$265)*MIN(H$3-$O$2,$Q$2)/$Q$2))</f>
        <v>6401.12147475348</v>
      </c>
      <c r="I277" s="15" t="n">
        <f aca="false">H277*(1+IF(I$3&lt;=$O$2,$D277,$D277-($D277-$I$265)*MIN(I$3-$O$2,$Q$2)/$Q$2))</f>
        <v>6843.38645945935</v>
      </c>
      <c r="J277" s="15" t="n">
        <f aca="false">I277*(1+IF(J$3&lt;=$O$2,$D277,$D277-($D277-$I$265)*MIN(J$3-$O$2,$Q$2)/$Q$2))</f>
        <v>7267.22090703462</v>
      </c>
      <c r="K277" s="15" t="n">
        <f aca="false">J277*(1+IF(K$3&lt;=$O$2,$D277,$D277-($D277-$I$265)*MIN(K$3-$O$2,$Q$2)/$Q$2))</f>
        <v>7665.28349996908</v>
      </c>
      <c r="L277" s="15" t="n">
        <f aca="false">K277*(1+IF(L$3&lt;=$O$2,$D277,$D277-($D277-$I$265)*MIN(L$3-$O$2,$Q$2)/$Q$2))</f>
        <v>8030.27914852612</v>
      </c>
      <c r="M277" s="15" t="n">
        <f aca="false">L277*(1+IF(M$3&lt;=$O$2,$D277,$D277-($D277-$I$265)*MIN(M$3-$O$2,$Q$2)/$Q$2))</f>
        <v>8355.17106819876</v>
      </c>
      <c r="N277" s="15" t="n">
        <f aca="false">M277*(1+IF(N$3&lt;=$O$2,$D277,$D277-($D277-$I$265)*MIN(N$3-$O$2,$Q$2)/$Q$2))</f>
        <v>8633.39826476978</v>
      </c>
      <c r="O277" s="15" t="n">
        <f aca="false">SUMPRODUCT(E277:N277,1/(1+$F$265)^$E$3:$N$3)*$E$2</f>
        <v>6939.6767810832</v>
      </c>
      <c r="P277" s="15" t="n">
        <f aca="false">N277*$E$2*(1+$I$265)/($F$265-$I$265)/(1+$F$265)^$N$3</f>
        <v>10662.207953796</v>
      </c>
      <c r="Q277" s="15" t="n">
        <f aca="false">O277+P277</f>
        <v>17601.8847348792</v>
      </c>
      <c r="R277" s="15" t="n">
        <f aca="false">Q277-$G$2+$I$2</f>
        <v>12781.3847348792</v>
      </c>
      <c r="S277" s="42" t="n">
        <f aca="false">R277/$K$2</f>
        <v>66.7086885954028</v>
      </c>
      <c r="T277" s="43" t="n">
        <f aca="false">S277-$M$2</f>
        <v>-0.25373311649696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0.069091796875</v>
      </c>
      <c r="C278" s="25" t="n">
        <f aca="false">IF(T277&gt;0,D277,C277)</f>
        <v>0.06982421875</v>
      </c>
      <c r="D278" s="41" t="n">
        <f aca="false">(B278+C278)/2</f>
        <v>0.0694580078125</v>
      </c>
      <c r="E278" s="15" t="n">
        <f aca="false">$C$2*(1+IF(E$3&lt;=$O$2,$D278,$D278-($D278-$I$265)*MIN(E$3-$O$2,$Q$2)/$Q$2))</f>
        <v>5240.34423828125</v>
      </c>
      <c r="F278" s="15" t="n">
        <f aca="false">E278*(1+IF(F$3&lt;=$O$2,$D278,$D278-($D278-$I$265)*MIN(F$3-$O$2,$Q$2)/$Q$2))</f>
        <v>5604.32810932398</v>
      </c>
      <c r="G278" s="15" t="n">
        <f aca="false">F278*(1+IF(G$3&lt;=$O$2,$D278,$D278-($D278-$I$265)*MIN(G$3-$O$2,$Q$2)/$Q$2))</f>
        <v>5993.59357492522</v>
      </c>
      <c r="H278" s="15" t="n">
        <f aca="false">G278*(1+IF(H$3&lt;=$O$2,$D278,$D278-($D278-$I$265)*MIN(H$3-$O$2,$Q$2)/$Q$2))</f>
        <v>6409.89664427732</v>
      </c>
      <c r="I278" s="15" t="n">
        <f aca="false">H278*(1+IF(I$3&lt;=$O$2,$D278,$D278-($D278-$I$265)*MIN(I$3-$O$2,$Q$2)/$Q$2))</f>
        <v>6855.11529547285</v>
      </c>
      <c r="J278" s="15" t="n">
        <f aca="false">I278*(1+IF(J$3&lt;=$O$2,$D278,$D278-($D278-$I$265)*MIN(J$3-$O$2,$Q$2)/$Q$2))</f>
        <v>7281.68448473954</v>
      </c>
      <c r="K278" s="15" t="n">
        <f aca="false">J278*(1+IF(K$3&lt;=$O$2,$D278,$D278-($D278-$I$265)*MIN(K$3-$O$2,$Q$2)/$Q$2))</f>
        <v>7682.13930077379</v>
      </c>
      <c r="L278" s="15" t="n">
        <f aca="false">K278*(1+IF(L$3&lt;=$O$2,$D278,$D278-($D278-$I$265)*MIN(L$3-$O$2,$Q$2)/$Q$2))</f>
        <v>8049.06288063119</v>
      </c>
      <c r="M278" s="15" t="n">
        <f aca="false">L278*(1+IF(M$3&lt;=$O$2,$D278,$D278-($D278-$I$265)*MIN(M$3-$O$2,$Q$2)/$Q$2))</f>
        <v>8375.30429026044</v>
      </c>
      <c r="N278" s="15" t="n">
        <f aca="false">M278*(1+IF(N$3&lt;=$O$2,$D278,$D278-($D278-$I$265)*MIN(N$3-$O$2,$Q$2)/$Q$2))</f>
        <v>8654.20192312612</v>
      </c>
      <c r="O278" s="15" t="n">
        <f aca="false">SUMPRODUCT(E278:N278,1/(1+$F$265)^$E$3:$N$3)*$E$2</f>
        <v>6950.73357987133</v>
      </c>
      <c r="P278" s="15" t="n">
        <f aca="false">N278*$E$2*(1+$I$265)/($F$265-$I$265)/(1+$F$265)^$N$3</f>
        <v>10687.9003781221</v>
      </c>
      <c r="Q278" s="15" t="n">
        <f aca="false">O278+P278</f>
        <v>17638.6339579934</v>
      </c>
      <c r="R278" s="15" t="n">
        <f aca="false">Q278-$G$2+$I$2</f>
        <v>12818.1339579934</v>
      </c>
      <c r="S278" s="42" t="n">
        <f aca="false">R278/$K$2</f>
        <v>66.9004903861871</v>
      </c>
      <c r="T278" s="43" t="n">
        <f aca="false">S278-$M$2</f>
        <v>-0.0619313257127061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0.0694580078125</v>
      </c>
      <c r="C279" s="25" t="n">
        <f aca="false">IF(T278&gt;0,D278,C278)</f>
        <v>0.06982421875</v>
      </c>
      <c r="D279" s="41" t="n">
        <f aca="false">(B279+C279)/2</f>
        <v>0.06964111328125</v>
      </c>
      <c r="E279" s="15" t="n">
        <f aca="false">$C$2*(1+IF(E$3&lt;=$O$2,$D279,$D279-($D279-$I$265)*MIN(E$3-$O$2,$Q$2)/$Q$2))</f>
        <v>5241.24145507813</v>
      </c>
      <c r="F279" s="15" t="n">
        <f aca="false">E279*(1+IF(F$3&lt;=$O$2,$D279,$D279-($D279-$I$265)*MIN(F$3-$O$2,$Q$2)/$Q$2))</f>
        <v>5606.2473449856</v>
      </c>
      <c r="G279" s="15" t="n">
        <f aca="false">F279*(1+IF(G$3&lt;=$O$2,$D279,$D279-($D279-$I$265)*MIN(G$3-$O$2,$Q$2)/$Q$2))</f>
        <v>5996.67265142045</v>
      </c>
      <c r="H279" s="15" t="n">
        <f aca="false">G279*(1+IF(H$3&lt;=$O$2,$D279,$D279-($D279-$I$265)*MIN(H$3-$O$2,$Q$2)/$Q$2))</f>
        <v>6414.2876108486</v>
      </c>
      <c r="I279" s="15" t="n">
        <f aca="false">H279*(1+IF(I$3&lt;=$O$2,$D279,$D279-($D279-$I$265)*MIN(I$3-$O$2,$Q$2)/$Q$2))</f>
        <v>6860.98574097423</v>
      </c>
      <c r="J279" s="15" t="n">
        <f aca="false">I279*(1+IF(J$3&lt;=$O$2,$D279,$D279-($D279-$I$265)*MIN(J$3-$O$2,$Q$2)/$Q$2))</f>
        <v>7288.9252541757</v>
      </c>
      <c r="K279" s="15" t="n">
        <f aca="false">J279*(1+IF(K$3&lt;=$O$2,$D279,$D279-($D279-$I$265)*MIN(K$3-$O$2,$Q$2)/$Q$2))</f>
        <v>7690.57906015608</v>
      </c>
      <c r="L279" s="15" t="n">
        <f aca="false">K279*(1+IF(L$3&lt;=$O$2,$D279,$D279-($D279-$I$265)*MIN(L$3-$O$2,$Q$2)/$Q$2))</f>
        <v>8058.4690247887</v>
      </c>
      <c r="M279" s="15" t="n">
        <f aca="false">L279*(1+IF(M$3&lt;=$O$2,$D279,$D279-($D279-$I$265)*MIN(M$3-$O$2,$Q$2)/$Q$2))</f>
        <v>8385.38679045482</v>
      </c>
      <c r="N279" s="15" t="n">
        <f aca="false">M279*(1+IF(N$3&lt;=$O$2,$D279,$D279-($D279-$I$265)*MIN(N$3-$O$2,$Q$2)/$Q$2))</f>
        <v>8664.62017057697</v>
      </c>
      <c r="O279" s="15" t="n">
        <f aca="false">SUMPRODUCT(E279:N279,1/(1+$F$265)^$E$3:$N$3)*$E$2</f>
        <v>6956.26860151954</v>
      </c>
      <c r="P279" s="15" t="n">
        <f aca="false">N279*$E$2*(1+$I$265)/($F$265-$I$265)/(1+$F$265)^$N$3</f>
        <v>10700.766866778</v>
      </c>
      <c r="Q279" s="15" t="n">
        <f aca="false">O279+P279</f>
        <v>17657.0354682975</v>
      </c>
      <c r="R279" s="15" t="n">
        <f aca="false">Q279-$G$2+$I$2</f>
        <v>12836.5354682975</v>
      </c>
      <c r="S279" s="42" t="n">
        <f aca="false">R279/$K$2</f>
        <v>66.9965316716989</v>
      </c>
      <c r="T279" s="43" t="n">
        <f aca="false">S279-$M$2</f>
        <v>0.0341099597990819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0.0694580078125</v>
      </c>
      <c r="C280" s="25" t="n">
        <f aca="false">IF(T279&gt;0,D279,C279)</f>
        <v>0.06964111328125</v>
      </c>
      <c r="D280" s="41" t="n">
        <f aca="false">(B280+C280)/2</f>
        <v>0.069549560546875</v>
      </c>
      <c r="E280" s="15" t="n">
        <f aca="false">$C$2*(1+IF(E$3&lt;=$O$2,$D280,$D280-($D280-$I$265)*MIN(E$3-$O$2,$Q$2)/$Q$2))</f>
        <v>5240.79284667969</v>
      </c>
      <c r="F280" s="15" t="n">
        <f aca="false">E280*(1+IF(F$3&lt;=$O$2,$D280,$D280-($D280-$I$265)*MIN(F$3-$O$2,$Q$2)/$Q$2))</f>
        <v>5605.28768608347</v>
      </c>
      <c r="G280" s="15" t="n">
        <f aca="false">F280*(1+IF(G$3&lt;=$O$2,$D280,$D280-($D280-$I$265)*MIN(G$3-$O$2,$Q$2)/$Q$2))</f>
        <v>5995.13298138938</v>
      </c>
      <c r="H280" s="15" t="n">
        <f aca="false">G280*(1+IF(H$3&lt;=$O$2,$D280,$D280-($D280-$I$265)*MIN(H$3-$O$2,$Q$2)/$Q$2))</f>
        <v>6412.09184566509</v>
      </c>
      <c r="I280" s="15" t="n">
        <f aca="false">H280*(1+IF(I$3&lt;=$O$2,$D280,$D280-($D280-$I$265)*MIN(I$3-$O$2,$Q$2)/$Q$2))</f>
        <v>6858.0500157173</v>
      </c>
      <c r="J280" s="15" t="n">
        <f aca="false">I280*(1+IF(J$3&lt;=$O$2,$D280,$D280-($D280-$I$265)*MIN(J$3-$O$2,$Q$2)/$Q$2))</f>
        <v>7285.30412066328</v>
      </c>
      <c r="K280" s="15" t="n">
        <f aca="false">J280*(1+IF(K$3&lt;=$O$2,$D280,$D280-($D280-$I$265)*MIN(K$3-$O$2,$Q$2)/$Q$2))</f>
        <v>7686.35819157599</v>
      </c>
      <c r="L280" s="15" t="n">
        <f aca="false">K280*(1+IF(L$3&lt;=$O$2,$D280,$D280-($D280-$I$265)*MIN(L$3-$O$2,$Q$2)/$Q$2))</f>
        <v>8053.76476201567</v>
      </c>
      <c r="M280" s="15" t="n">
        <f aca="false">L280*(1+IF(M$3&lt;=$O$2,$D280,$D280-($D280-$I$265)*MIN(M$3-$O$2,$Q$2)/$Q$2))</f>
        <v>8380.34421526499</v>
      </c>
      <c r="N280" s="15" t="n">
        <f aca="false">M280*(1+IF(N$3&lt;=$O$2,$D280,$D280-($D280-$I$265)*MIN(N$3-$O$2,$Q$2)/$Q$2))</f>
        <v>8659.40967763332</v>
      </c>
      <c r="O280" s="15" t="n">
        <f aca="false">SUMPRODUCT(E280:N280,1/(1+$F$265)^$E$3:$N$3)*$E$2</f>
        <v>6953.50053849892</v>
      </c>
      <c r="P280" s="15" t="n">
        <f aca="false">N280*$E$2*(1+$I$265)/($F$265-$I$265)/(1+$F$265)^$N$3</f>
        <v>10694.3319314717</v>
      </c>
      <c r="Q280" s="15" t="n">
        <f aca="false">O280+P280</f>
        <v>17647.8324699706</v>
      </c>
      <c r="R280" s="15" t="n">
        <f aca="false">Q280-$G$2+$I$2</f>
        <v>12827.3324699706</v>
      </c>
      <c r="S280" s="42" t="n">
        <f aca="false">R280/$K$2</f>
        <v>66.9484993213498</v>
      </c>
      <c r="T280" s="43" t="n">
        <f aca="false">S280-$M$2</f>
        <v>-0.0139223905499932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0.069549560546875</v>
      </c>
      <c r="C281" s="25" t="n">
        <f aca="false">IF(T280&gt;0,D280,C280)</f>
        <v>0.06964111328125</v>
      </c>
      <c r="D281" s="41" t="n">
        <f aca="false">(B281+C281)/2</f>
        <v>0.0695953369140625</v>
      </c>
      <c r="E281" s="15" t="n">
        <f aca="false">$C$2*(1+IF(E$3&lt;=$O$2,$D281,$D281-($D281-$I$265)*MIN(E$3-$O$2,$Q$2)/$Q$2))</f>
        <v>5241.01715087891</v>
      </c>
      <c r="F281" s="15" t="n">
        <f aca="false">E281*(1+IF(F$3&lt;=$O$2,$D281,$D281-($D281-$I$265)*MIN(F$3-$O$2,$Q$2)/$Q$2))</f>
        <v>5605.7675052667</v>
      </c>
      <c r="G281" s="15" t="n">
        <f aca="false">F281*(1+IF(G$3&lt;=$O$2,$D281,$D281-($D281-$I$265)*MIN(G$3-$O$2,$Q$2)/$Q$2))</f>
        <v>5995.90278345764</v>
      </c>
      <c r="H281" s="15" t="n">
        <f aca="false">G281*(1+IF(H$3&lt;=$O$2,$D281,$D281-($D281-$I$265)*MIN(H$3-$O$2,$Q$2)/$Q$2))</f>
        <v>6413.18965777634</v>
      </c>
      <c r="I281" s="15" t="n">
        <f aca="false">H281*(1+IF(I$3&lt;=$O$2,$D281,$D281-($D281-$I$265)*MIN(I$3-$O$2,$Q$2)/$Q$2))</f>
        <v>6859.51775270307</v>
      </c>
      <c r="J281" s="15" t="n">
        <f aca="false">I281*(1+IF(J$3&lt;=$O$2,$D281,$D281-($D281-$I$265)*MIN(J$3-$O$2,$Q$2)/$Q$2))</f>
        <v>7287.11450018996</v>
      </c>
      <c r="K281" s="15" t="n">
        <f aca="false">J281*(1+IF(K$3&lt;=$O$2,$D281,$D281-($D281-$I$265)*MIN(K$3-$O$2,$Q$2)/$Q$2))</f>
        <v>7688.46837859574</v>
      </c>
      <c r="L281" s="15" t="n">
        <f aca="false">K281*(1+IF(L$3&lt;=$O$2,$D281,$D281-($D281-$I$265)*MIN(L$3-$O$2,$Q$2)/$Q$2))</f>
        <v>8056.11659566467</v>
      </c>
      <c r="M281" s="15" t="n">
        <f aca="false">L281*(1+IF(M$3&lt;=$O$2,$D281,$D281-($D281-$I$265)*MIN(M$3-$O$2,$Q$2)/$Q$2))</f>
        <v>8382.86517151203</v>
      </c>
      <c r="N281" s="15" t="n">
        <f aca="false">M281*(1+IF(N$3&lt;=$O$2,$D281,$D281-($D281-$I$265)*MIN(N$3-$O$2,$Q$2)/$Q$2))</f>
        <v>8662.01458172338</v>
      </c>
      <c r="O281" s="15" t="n">
        <f aca="false">SUMPRODUCT(E281:N281,1/(1+$F$265)^$E$3:$N$3)*$E$2</f>
        <v>6954.88443193444</v>
      </c>
      <c r="P281" s="15" t="n">
        <f aca="false">N281*$E$2*(1+$I$265)/($F$265-$I$265)/(1+$F$265)^$N$3</f>
        <v>10697.5489762849</v>
      </c>
      <c r="Q281" s="15" t="n">
        <f aca="false">O281+P281</f>
        <v>17652.4334082193</v>
      </c>
      <c r="R281" s="15" t="n">
        <f aca="false">Q281-$G$2+$I$2</f>
        <v>12831.9334082193</v>
      </c>
      <c r="S281" s="42" t="n">
        <f aca="false">R281/$K$2</f>
        <v>66.9725125689945</v>
      </c>
      <c r="T281" s="43" t="n">
        <f aca="false">S281-$M$2</f>
        <v>0.0100908570946672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0.069549560546875</v>
      </c>
      <c r="C282" s="25" t="n">
        <f aca="false">IF(T281&gt;0,D281,C281)</f>
        <v>0.0695953369140625</v>
      </c>
      <c r="D282" s="41" t="n">
        <f aca="false">(B282+C282)/2</f>
        <v>0.0695724487304688</v>
      </c>
      <c r="E282" s="15" t="n">
        <f aca="false">$C$2*(1+IF(E$3&lt;=$O$2,$D282,$D282-($D282-$I$265)*MIN(E$3-$O$2,$Q$2)/$Q$2))</f>
        <v>5240.9049987793</v>
      </c>
      <c r="F282" s="15" t="n">
        <f aca="false">E282*(1+IF(F$3&lt;=$O$2,$D282,$D282-($D282-$I$265)*MIN(F$3-$O$2,$Q$2)/$Q$2))</f>
        <v>5605.52759310813</v>
      </c>
      <c r="G282" s="15" t="n">
        <f aca="false">F282*(1+IF(G$3&lt;=$O$2,$D282,$D282-($D282-$I$265)*MIN(G$3-$O$2,$Q$2)/$Q$2))</f>
        <v>5995.51787418687</v>
      </c>
      <c r="H282" s="15" t="n">
        <f aca="false">G282*(1+IF(H$3&lt;=$O$2,$D282,$D282-($D282-$I$265)*MIN(H$3-$O$2,$Q$2)/$Q$2))</f>
        <v>6412.64073410135</v>
      </c>
      <c r="I282" s="15" t="n">
        <f aca="false">H282*(1+IF(I$3&lt;=$O$2,$D282,$D282-($D282-$I$265)*MIN(I$3-$O$2,$Q$2)/$Q$2))</f>
        <v>6858.78385280153</v>
      </c>
      <c r="J282" s="15" t="n">
        <f aca="false">I282*(1+IF(J$3&lt;=$O$2,$D282,$D282-($D282-$I$265)*MIN(J$3-$O$2,$Q$2)/$Q$2))</f>
        <v>7286.20926362311</v>
      </c>
      <c r="K282" s="15" t="n">
        <f aca="false">J282*(1+IF(K$3&lt;=$O$2,$D282,$D282-($D282-$I$265)*MIN(K$3-$O$2,$Q$2)/$Q$2))</f>
        <v>7687.4132232743</v>
      </c>
      <c r="L282" s="15" t="n">
        <f aca="false">K282*(1+IF(L$3&lt;=$O$2,$D282,$D282-($D282-$I$265)*MIN(L$3-$O$2,$Q$2)/$Q$2))</f>
        <v>8054.94060441379</v>
      </c>
      <c r="M282" s="15" t="n">
        <f aca="false">L282*(1+IF(M$3&lt;=$O$2,$D282,$D282-($D282-$I$265)*MIN(M$3-$O$2,$Q$2)/$Q$2))</f>
        <v>8381.60461056088</v>
      </c>
      <c r="N282" s="15" t="n">
        <f aca="false">M282*(1+IF(N$3&lt;=$O$2,$D282,$D282-($D282-$I$265)*MIN(N$3-$O$2,$Q$2)/$Q$2))</f>
        <v>8660.71204409256</v>
      </c>
      <c r="O282" s="15" t="n">
        <f aca="false">SUMPRODUCT(E282:N282,1/(1+$F$265)^$E$3:$N$3)*$E$2</f>
        <v>6954.19245070119</v>
      </c>
      <c r="P282" s="15" t="n">
        <f aca="false">N282*$E$2*(1+$I$265)/($F$265-$I$265)/(1+$F$265)^$N$3</f>
        <v>10695.9403481802</v>
      </c>
      <c r="Q282" s="15" t="n">
        <f aca="false">O282+P282</f>
        <v>17650.1327988814</v>
      </c>
      <c r="R282" s="15" t="n">
        <f aca="false">Q282-$G$2+$I$2</f>
        <v>12829.6327988814</v>
      </c>
      <c r="S282" s="42" t="n">
        <f aca="false">R282/$K$2</f>
        <v>66.9605052133686</v>
      </c>
      <c r="T282" s="43" t="n">
        <f aca="false">S282-$M$2</f>
        <v>-0.00191649853120168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0.0695724487304688</v>
      </c>
      <c r="C283" s="25" t="n">
        <f aca="false">IF(T282&gt;0,D282,C282)</f>
        <v>0.0695953369140625</v>
      </c>
      <c r="D283" s="41" t="n">
        <f aca="false">(B283+C283)/2</f>
        <v>0.0695838928222656</v>
      </c>
      <c r="E283" s="15" t="n">
        <f aca="false">$C$2*(1+IF(E$3&lt;=$O$2,$D283,$D283-($D283-$I$265)*MIN(E$3-$O$2,$Q$2)/$Q$2))</f>
        <v>5240.9610748291</v>
      </c>
      <c r="F283" s="15" t="n">
        <f aca="false">E283*(1+IF(F$3&lt;=$O$2,$D283,$D283-($D283-$I$265)*MIN(F$3-$O$2,$Q$2)/$Q$2))</f>
        <v>5605.64754854568</v>
      </c>
      <c r="G283" s="15" t="n">
        <f aca="false">F283*(1+IF(G$3&lt;=$O$2,$D283,$D283-($D283-$I$265)*MIN(G$3-$O$2,$Q$2)/$Q$2))</f>
        <v>5995.71032676308</v>
      </c>
      <c r="H283" s="15" t="n">
        <f aca="false">G283*(1+IF(H$3&lt;=$O$2,$D283,$D283-($D283-$I$265)*MIN(H$3-$O$2,$Q$2)/$Q$2))</f>
        <v>6412.91519153391</v>
      </c>
      <c r="I283" s="15" t="n">
        <f aca="false">H283*(1+IF(I$3&lt;=$O$2,$D283,$D283-($D283-$I$265)*MIN(I$3-$O$2,$Q$2)/$Q$2))</f>
        <v>6859.15079489988</v>
      </c>
      <c r="J283" s="15" t="n">
        <f aca="false">I283*(1+IF(J$3&lt;=$O$2,$D283,$D283-($D283-$I$265)*MIN(J$3-$O$2,$Q$2)/$Q$2))</f>
        <v>7286.66187020517</v>
      </c>
      <c r="K283" s="15" t="n">
        <f aca="false">J283*(1+IF(K$3&lt;=$O$2,$D283,$D283-($D283-$I$265)*MIN(K$3-$O$2,$Q$2)/$Q$2))</f>
        <v>7687.94078548137</v>
      </c>
      <c r="L283" s="15" t="n">
        <f aca="false">K283*(1+IF(L$3&lt;=$O$2,$D283,$D283-($D283-$I$265)*MIN(L$3-$O$2,$Q$2)/$Q$2))</f>
        <v>8055.52858143164</v>
      </c>
      <c r="M283" s="15" t="n">
        <f aca="false">L283*(1+IF(M$3&lt;=$O$2,$D283,$D283-($D283-$I$265)*MIN(M$3-$O$2,$Q$2)/$Q$2))</f>
        <v>8382.23487032838</v>
      </c>
      <c r="N283" s="15" t="n">
        <f aca="false">M283*(1+IF(N$3&lt;=$O$2,$D283,$D283-($D283-$I$265)*MIN(N$3-$O$2,$Q$2)/$Q$2))</f>
        <v>8661.36329151032</v>
      </c>
      <c r="O283" s="15" t="n">
        <f aca="false">SUMPRODUCT(E283:N283,1/(1+$F$265)^$E$3:$N$3)*$E$2</f>
        <v>6954.53843268854</v>
      </c>
      <c r="P283" s="15" t="n">
        <f aca="false">N283*$E$2*(1+$I$265)/($F$265-$I$265)/(1+$F$265)^$N$3</f>
        <v>10696.7446358066</v>
      </c>
      <c r="Q283" s="15" t="n">
        <f aca="false">O283+P283</f>
        <v>17651.2830684951</v>
      </c>
      <c r="R283" s="15" t="n">
        <f aca="false">Q283-$G$2+$I$2</f>
        <v>12830.7830684951</v>
      </c>
      <c r="S283" s="42" t="n">
        <f aca="false">R283/$K$2</f>
        <v>66.9665087082208</v>
      </c>
      <c r="T283" s="43" t="n">
        <f aca="false">S283-$M$2</f>
        <v>0.00408699632100706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0.0695724487304688</v>
      </c>
      <c r="C284" s="25" t="n">
        <f aca="false">IF(T283&gt;0,D283,C283)</f>
        <v>0.0695838928222656</v>
      </c>
      <c r="D284" s="41" t="n">
        <f aca="false">(B284+C284)/2</f>
        <v>0.0695781707763672</v>
      </c>
      <c r="E284" s="15" t="n">
        <f aca="false">$C$2*(1+IF(E$3&lt;=$O$2,$D284,$D284-($D284-$I$265)*MIN(E$3-$O$2,$Q$2)/$Q$2))</f>
        <v>5240.9330368042</v>
      </c>
      <c r="F284" s="15" t="n">
        <f aca="false">E284*(1+IF(F$3&lt;=$O$2,$D284,$D284-($D284-$I$265)*MIN(F$3-$O$2,$Q$2)/$Q$2))</f>
        <v>5605.58757066647</v>
      </c>
      <c r="G284" s="15" t="n">
        <f aca="false">F284*(1+IF(G$3&lt;=$O$2,$D284,$D284-($D284-$I$265)*MIN(G$3-$O$2,$Q$2)/$Q$2))</f>
        <v>5995.61409996018</v>
      </c>
      <c r="H284" s="15" t="n">
        <f aca="false">G284*(1+IF(H$3&lt;=$O$2,$D284,$D284-($D284-$I$265)*MIN(H$3-$O$2,$Q$2)/$Q$2))</f>
        <v>6412.7779617164</v>
      </c>
      <c r="I284" s="15" t="n">
        <f aca="false">H284*(1+IF(I$3&lt;=$O$2,$D284,$D284-($D284-$I$265)*MIN(I$3-$O$2,$Q$2)/$Q$2))</f>
        <v>6858.96732188763</v>
      </c>
      <c r="J284" s="15" t="n">
        <f aca="false">I284*(1+IF(J$3&lt;=$O$2,$D284,$D284-($D284-$I$265)*MIN(J$3-$O$2,$Q$2)/$Q$2))</f>
        <v>7286.43556398886</v>
      </c>
      <c r="K284" s="15" t="n">
        <f aca="false">J284*(1+IF(K$3&lt;=$O$2,$D284,$D284-($D284-$I$265)*MIN(K$3-$O$2,$Q$2)/$Q$2))</f>
        <v>7687.67700051452</v>
      </c>
      <c r="L284" s="15" t="n">
        <f aca="false">K284*(1+IF(L$3&lt;=$O$2,$D284,$D284-($D284-$I$265)*MIN(L$3-$O$2,$Q$2)/$Q$2))</f>
        <v>8055.23458827094</v>
      </c>
      <c r="M284" s="15" t="n">
        <f aca="false">L284*(1+IF(M$3&lt;=$O$2,$D284,$D284-($D284-$I$265)*MIN(M$3-$O$2,$Q$2)/$Q$2))</f>
        <v>8381.91973526776</v>
      </c>
      <c r="N284" s="15" t="n">
        <f aca="false">M284*(1+IF(N$3&lt;=$O$2,$D284,$D284-($D284-$I$265)*MIN(N$3-$O$2,$Q$2)/$Q$2))</f>
        <v>8661.03766245218</v>
      </c>
      <c r="O284" s="15" t="n">
        <f aca="false">SUMPRODUCT(E284:N284,1/(1+$F$265)^$E$3:$N$3)*$E$2</f>
        <v>6954.3654395376</v>
      </c>
      <c r="P284" s="15" t="n">
        <f aca="false">N284*$E$2*(1+$I$265)/($F$265-$I$265)/(1+$F$265)^$N$3</f>
        <v>10696.3424853871</v>
      </c>
      <c r="Q284" s="15" t="n">
        <f aca="false">O284+P284</f>
        <v>17650.7079249247</v>
      </c>
      <c r="R284" s="15" t="n">
        <f aca="false">Q284-$G$2+$I$2</f>
        <v>12830.2079249247</v>
      </c>
      <c r="S284" s="42" t="n">
        <f aca="false">R284/$K$2</f>
        <v>66.9635069150558</v>
      </c>
      <c r="T284" s="43" t="n">
        <f aca="false">S284-$M$2</f>
        <v>0.00108520315599492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0.0695724487304688</v>
      </c>
      <c r="C285" s="25" t="n">
        <f aca="false">IF(T284&gt;0,D284,C284)</f>
        <v>0.0695781707763672</v>
      </c>
      <c r="D285" s="41" t="n">
        <f aca="false">(B285+C285)/2</f>
        <v>0.069575309753418</v>
      </c>
      <c r="E285" s="15" t="n">
        <f aca="false">$C$2*(1+IF(E$3&lt;=$O$2,$D285,$D285-($D285-$I$265)*MIN(E$3-$O$2,$Q$2)/$Q$2))</f>
        <v>5240.91901779175</v>
      </c>
      <c r="F285" s="15" t="n">
        <f aca="false">E285*(1+IF(F$3&lt;=$O$2,$D285,$D285-($D285-$I$265)*MIN(F$3-$O$2,$Q$2)/$Q$2))</f>
        <v>5605.55758184719</v>
      </c>
      <c r="G285" s="15" t="n">
        <f aca="false">F285*(1+IF(G$3&lt;=$O$2,$D285,$D285-($D285-$I$265)*MIN(G$3-$O$2,$Q$2)/$Q$2))</f>
        <v>5995.56598694483</v>
      </c>
      <c r="H285" s="15" t="n">
        <f aca="false">G285*(1+IF(H$3&lt;=$O$2,$D285,$D285-($D285-$I$265)*MIN(H$3-$O$2,$Q$2)/$Q$2))</f>
        <v>6412.70934763357</v>
      </c>
      <c r="I285" s="15" t="n">
        <f aca="false">H285*(1+IF(I$3&lt;=$O$2,$D285,$D285-($D285-$I$265)*MIN(I$3-$O$2,$Q$2)/$Q$2))</f>
        <v>6858.87558685381</v>
      </c>
      <c r="J285" s="15" t="n">
        <f aca="false">I285*(1+IF(J$3&lt;=$O$2,$D285,$D285-($D285-$I$265)*MIN(J$3-$O$2,$Q$2)/$Q$2))</f>
        <v>7286.32241307467</v>
      </c>
      <c r="K285" s="15" t="n">
        <f aca="false">J285*(1+IF(K$3&lt;=$O$2,$D285,$D285-($D285-$I$265)*MIN(K$3-$O$2,$Q$2)/$Q$2))</f>
        <v>7687.54511092859</v>
      </c>
      <c r="L285" s="15" t="n">
        <f aca="false">K285*(1+IF(L$3&lt;=$O$2,$D285,$D285-($D285-$I$265)*MIN(L$3-$O$2,$Q$2)/$Q$2))</f>
        <v>8055.08759517944</v>
      </c>
      <c r="M285" s="15" t="n">
        <f aca="false">L285*(1+IF(M$3&lt;=$O$2,$D285,$D285-($D285-$I$265)*MIN(M$3-$O$2,$Q$2)/$Q$2))</f>
        <v>8381.76217162012</v>
      </c>
      <c r="N285" s="15" t="n">
        <f aca="false">M285*(1+IF(N$3&lt;=$O$2,$D285,$D285-($D285-$I$265)*MIN(N$3-$O$2,$Q$2)/$Q$2))</f>
        <v>8660.87485193507</v>
      </c>
      <c r="O285" s="15" t="n">
        <f aca="false">SUMPRODUCT(E285:N285,1/(1+$F$265)^$E$3:$N$3)*$E$2</f>
        <v>6954.27894458008</v>
      </c>
      <c r="P285" s="15" t="n">
        <f aca="false">N285*$E$2*(1+$I$265)/($F$265-$I$265)/(1+$F$265)^$N$3</f>
        <v>10696.1414151321</v>
      </c>
      <c r="Q285" s="15" t="n">
        <f aca="false">O285+P285</f>
        <v>17650.4203597122</v>
      </c>
      <c r="R285" s="15" t="n">
        <f aca="false">Q285-$G$2+$I$2</f>
        <v>12829.9203597122</v>
      </c>
      <c r="S285" s="42" t="n">
        <f aca="false">R285/$K$2</f>
        <v>66.9620060527776</v>
      </c>
      <c r="T285" s="43" t="n">
        <f aca="false">S285-$M$2</f>
        <v>-0.000415659122182888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0.069575309753418</v>
      </c>
      <c r="C286" s="25" t="n">
        <f aca="false">IF(T285&gt;0,D285,C285)</f>
        <v>0.0695781707763672</v>
      </c>
      <c r="D286" s="41" t="n">
        <f aca="false">(B286+C286)/2</f>
        <v>0.0695767402648926</v>
      </c>
      <c r="E286" s="15" t="n">
        <f aca="false">$C$2*(1+IF(E$3&lt;=$O$2,$D286,$D286-($D286-$I$265)*MIN(E$3-$O$2,$Q$2)/$Q$2))</f>
        <v>5240.92602729797</v>
      </c>
      <c r="F286" s="15" t="n">
        <f aca="false">E286*(1+IF(F$3&lt;=$O$2,$D286,$D286-($D286-$I$265)*MIN(F$3-$O$2,$Q$2)/$Q$2))</f>
        <v>5605.5725762468</v>
      </c>
      <c r="G286" s="15" t="n">
        <f aca="false">F286*(1+IF(G$3&lt;=$O$2,$D286,$D286-($D286-$I$265)*MIN(G$3-$O$2,$Q$2)/$Q$2))</f>
        <v>5995.59004342033</v>
      </c>
      <c r="H286" s="15" t="n">
        <f aca="false">G286*(1+IF(H$3&lt;=$O$2,$D286,$D286-($D286-$I$265)*MIN(H$3-$O$2,$Q$2)/$Q$2))</f>
        <v>6412.74365460616</v>
      </c>
      <c r="I286" s="15" t="n">
        <f aca="false">H286*(1+IF(I$3&lt;=$O$2,$D286,$D286-($D286-$I$265)*MIN(I$3-$O$2,$Q$2)/$Q$2))</f>
        <v>6858.92145424803</v>
      </c>
      <c r="J286" s="15" t="n">
        <f aca="false">I286*(1+IF(J$3&lt;=$O$2,$D286,$D286-($D286-$I$265)*MIN(J$3-$O$2,$Q$2)/$Q$2))</f>
        <v>7286.37898834894</v>
      </c>
      <c r="K286" s="15" t="n">
        <f aca="false">J286*(1+IF(K$3&lt;=$O$2,$D286,$D286-($D286-$I$265)*MIN(K$3-$O$2,$Q$2)/$Q$2))</f>
        <v>7687.6110554801</v>
      </c>
      <c r="L286" s="15" t="n">
        <f aca="false">K286*(1+IF(L$3&lt;=$O$2,$D286,$D286-($D286-$I$265)*MIN(L$3-$O$2,$Q$2)/$Q$2))</f>
        <v>8055.16109143445</v>
      </c>
      <c r="M286" s="15" t="n">
        <f aca="false">L286*(1+IF(M$3&lt;=$O$2,$D286,$D286-($D286-$I$265)*MIN(M$3-$O$2,$Q$2)/$Q$2))</f>
        <v>8381.84095312039</v>
      </c>
      <c r="N286" s="15" t="n">
        <f aca="false">M286*(1+IF(N$3&lt;=$O$2,$D286,$D286-($D286-$I$265)*MIN(N$3-$O$2,$Q$2)/$Q$2))</f>
        <v>8660.9562568593</v>
      </c>
      <c r="O286" s="15" t="n">
        <f aca="false">SUMPRODUCT(E286:N286,1/(1+$F$265)^$E$3:$N$3)*$E$2</f>
        <v>6954.32219192401</v>
      </c>
      <c r="P286" s="15" t="n">
        <f aca="false">N286*$E$2*(1+$I$265)/($F$265-$I$265)/(1+$F$265)^$N$3</f>
        <v>10696.2419498467</v>
      </c>
      <c r="Q286" s="15" t="n">
        <f aca="false">O286+P286</f>
        <v>17650.5641417707</v>
      </c>
      <c r="R286" s="15" t="n">
        <f aca="false">Q286-$G$2+$I$2</f>
        <v>12830.0641417707</v>
      </c>
      <c r="S286" s="42" t="n">
        <f aca="false">R286/$K$2</f>
        <v>66.962756481058</v>
      </c>
      <c r="T286" s="43" t="n">
        <f aca="false">S286-$M$2</f>
        <v>0.000334769158200743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0.069575309753418</v>
      </c>
      <c r="C287" s="25" t="n">
        <f aca="false">IF(T286&gt;0,D286,C286)</f>
        <v>0.0695767402648926</v>
      </c>
      <c r="D287" s="41" t="n">
        <f aca="false">(B287+C287)/2</f>
        <v>0.0695760250091553</v>
      </c>
      <c r="E287" s="15" t="n">
        <f aca="false">$C$2*(1+IF(E$3&lt;=$O$2,$D287,$D287-($D287-$I$265)*MIN(E$3-$O$2,$Q$2)/$Q$2))</f>
        <v>5240.92252254486</v>
      </c>
      <c r="F287" s="15" t="n">
        <f aca="false">E287*(1+IF(F$3&lt;=$O$2,$D287,$D287-($D287-$I$265)*MIN(F$3-$O$2,$Q$2)/$Q$2))</f>
        <v>5605.56507904449</v>
      </c>
      <c r="G287" s="15" t="n">
        <f aca="false">F287*(1+IF(G$3&lt;=$O$2,$D287,$D287-($D287-$I$265)*MIN(G$3-$O$2,$Q$2)/$Q$2))</f>
        <v>5995.57801517453</v>
      </c>
      <c r="H287" s="15" t="n">
        <f aca="false">G287*(1+IF(H$3&lt;=$O$2,$D287,$D287-($D287-$I$265)*MIN(H$3-$O$2,$Q$2)/$Q$2))</f>
        <v>6412.72650110266</v>
      </c>
      <c r="I287" s="15" t="n">
        <f aca="false">H287*(1+IF(I$3&lt;=$O$2,$D287,$D287-($D287-$I$265)*MIN(I$3-$O$2,$Q$2)/$Q$2))</f>
        <v>6858.89852052025</v>
      </c>
      <c r="J287" s="15" t="n">
        <f aca="false">I287*(1+IF(J$3&lt;=$O$2,$D287,$D287-($D287-$I$265)*MIN(J$3-$O$2,$Q$2)/$Q$2))</f>
        <v>7286.3507006661</v>
      </c>
      <c r="K287" s="15" t="n">
        <f aca="false">J287*(1+IF(K$3&lt;=$O$2,$D287,$D287-($D287-$I$265)*MIN(K$3-$O$2,$Q$2)/$Q$2))</f>
        <v>7687.57808314398</v>
      </c>
      <c r="L287" s="15" t="n">
        <f aca="false">K287*(1+IF(L$3&lt;=$O$2,$D287,$D287-($D287-$I$265)*MIN(L$3-$O$2,$Q$2)/$Q$2))</f>
        <v>8055.12434323426</v>
      </c>
      <c r="M287" s="15" t="n">
        <f aca="false">L287*(1+IF(M$3&lt;=$O$2,$D287,$D287-($D287-$I$265)*MIN(M$3-$O$2,$Q$2)/$Q$2))</f>
        <v>8381.80156228936</v>
      </c>
      <c r="N287" s="15" t="n">
        <f aca="false">M287*(1+IF(N$3&lt;=$O$2,$D287,$D287-($D287-$I$265)*MIN(N$3-$O$2,$Q$2)/$Q$2))</f>
        <v>8660.9155543136</v>
      </c>
      <c r="O287" s="15" t="n">
        <f aca="false">SUMPRODUCT(E287:N287,1/(1+$F$265)^$E$3:$N$3)*$E$2</f>
        <v>6954.30056821834</v>
      </c>
      <c r="P287" s="15" t="n">
        <f aca="false">N287*$E$2*(1+$I$265)/($F$265-$I$265)/(1+$F$265)^$N$3</f>
        <v>10696.1916823862</v>
      </c>
      <c r="Q287" s="15" t="n">
        <f aca="false">O287+P287</f>
        <v>17650.4922506045</v>
      </c>
      <c r="R287" s="15" t="n">
        <f aca="false">Q287-$G$2+$I$2</f>
        <v>12829.9922506045</v>
      </c>
      <c r="S287" s="42" t="n">
        <f aca="false">R287/$K$2</f>
        <v>66.9623812662031</v>
      </c>
      <c r="T287" s="43" t="n">
        <f aca="false">S287-$M$2</f>
        <v>-4.04456966691669E-005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0.0695760250091553</v>
      </c>
      <c r="C288" s="25" t="n">
        <f aca="false">IF(T287&gt;0,D287,C287)</f>
        <v>0.0695767402648926</v>
      </c>
      <c r="D288" s="41" t="n">
        <f aca="false">(B288+C288)/2</f>
        <v>0.0695763826370239</v>
      </c>
      <c r="E288" s="15" t="n">
        <f aca="false">$C$2*(1+IF(E$3&lt;=$O$2,$D288,$D288-($D288-$I$265)*MIN(E$3-$O$2,$Q$2)/$Q$2))</f>
        <v>5240.92427492142</v>
      </c>
      <c r="F288" s="15" t="n">
        <f aca="false">E288*(1+IF(F$3&lt;=$O$2,$D288,$D288-($D288-$I$265)*MIN(F$3-$O$2,$Q$2)/$Q$2))</f>
        <v>5605.56882764502</v>
      </c>
      <c r="G288" s="15" t="n">
        <f aca="false">F288*(1+IF(G$3&lt;=$O$2,$D288,$D288-($D288-$I$265)*MIN(G$3-$O$2,$Q$2)/$Q$2))</f>
        <v>5995.58402929542</v>
      </c>
      <c r="H288" s="15" t="n">
        <f aca="false">G288*(1+IF(H$3&lt;=$O$2,$D288,$D288-($D288-$I$265)*MIN(H$3-$O$2,$Q$2)/$Q$2))</f>
        <v>6412.73507785011</v>
      </c>
      <c r="I288" s="15" t="n">
        <f aca="false">H288*(1+IF(I$3&lt;=$O$2,$D288,$D288-($D288-$I$265)*MIN(I$3-$O$2,$Q$2)/$Q$2))</f>
        <v>6858.90998737647</v>
      </c>
      <c r="J288" s="15" t="n">
        <f aca="false">I288*(1+IF(J$3&lt;=$O$2,$D288,$D288-($D288-$I$265)*MIN(J$3-$O$2,$Q$2)/$Q$2))</f>
        <v>7286.36484449609</v>
      </c>
      <c r="K288" s="15" t="n">
        <f aca="false">J288*(1+IF(K$3&lt;=$O$2,$D288,$D288-($D288-$I$265)*MIN(K$3-$O$2,$Q$2)/$Q$2))</f>
        <v>7687.59456929695</v>
      </c>
      <c r="L288" s="15" t="n">
        <f aca="false">K288*(1+IF(L$3&lt;=$O$2,$D288,$D288-($D288-$I$265)*MIN(L$3-$O$2,$Q$2)/$Q$2))</f>
        <v>8055.14271731619</v>
      </c>
      <c r="M288" s="15" t="n">
        <f aca="false">L288*(1+IF(M$3&lt;=$O$2,$D288,$D288-($D288-$I$265)*MIN(M$3-$O$2,$Q$2)/$Q$2))</f>
        <v>8381.82125768466</v>
      </c>
      <c r="N288" s="15" t="n">
        <f aca="false">M288*(1+IF(N$3&lt;=$O$2,$D288,$D288-($D288-$I$265)*MIN(N$3-$O$2,$Q$2)/$Q$2))</f>
        <v>8660.93590556556</v>
      </c>
      <c r="O288" s="15" t="n">
        <f aca="false">SUMPRODUCT(E288:N288,1/(1+$F$265)^$E$3:$N$3)*$E$2</f>
        <v>6954.31138006275</v>
      </c>
      <c r="P288" s="15" t="n">
        <f aca="false">N288*$E$2*(1+$I$265)/($F$265-$I$265)/(1+$F$265)^$N$3</f>
        <v>10696.2168160906</v>
      </c>
      <c r="Q288" s="15" t="n">
        <f aca="false">O288+P288</f>
        <v>17650.5281961534</v>
      </c>
      <c r="R288" s="15" t="n">
        <f aca="false">Q288-$G$2+$I$2</f>
        <v>12830.0281961534</v>
      </c>
      <c r="S288" s="42" t="n">
        <f aca="false">R288/$K$2</f>
        <v>66.9625688734519</v>
      </c>
      <c r="T288" s="43" t="n">
        <f aca="false">S288-$M$2</f>
        <v>0.000147161552149555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0.0695760250091553</v>
      </c>
      <c r="C289" s="25" t="n">
        <f aca="false">IF(T288&gt;0,D288,C288)</f>
        <v>0.0695763826370239</v>
      </c>
      <c r="D289" s="41" t="n">
        <f aca="false">(B289+C289)/2</f>
        <v>0.0695762038230896</v>
      </c>
      <c r="E289" s="15" t="n">
        <f aca="false">$C$2*(1+IF(E$3&lt;=$O$2,$D289,$D289-($D289-$I$265)*MIN(E$3-$O$2,$Q$2)/$Q$2))</f>
        <v>5240.92339873314</v>
      </c>
      <c r="F289" s="15" t="n">
        <f aca="false">E289*(1+IF(F$3&lt;=$O$2,$D289,$D289-($D289-$I$265)*MIN(F$3-$O$2,$Q$2)/$Q$2))</f>
        <v>5605.5669533446</v>
      </c>
      <c r="G289" s="15" t="n">
        <f aca="false">F289*(1+IF(G$3&lt;=$O$2,$D289,$D289-($D289-$I$265)*MIN(G$3-$O$2,$Q$2)/$Q$2))</f>
        <v>5995.58102223447</v>
      </c>
      <c r="H289" s="15" t="n">
        <f aca="false">G289*(1+IF(H$3&lt;=$O$2,$D289,$D289-($D289-$I$265)*MIN(H$3-$O$2,$Q$2)/$Q$2))</f>
        <v>6412.73078947531</v>
      </c>
      <c r="I289" s="15" t="n">
        <f aca="false">H289*(1+IF(I$3&lt;=$O$2,$D289,$D289-($D289-$I$265)*MIN(I$3-$O$2,$Q$2)/$Q$2))</f>
        <v>6858.90425394644</v>
      </c>
      <c r="J289" s="15" t="n">
        <f aca="false">I289*(1+IF(J$3&lt;=$O$2,$D289,$D289-($D289-$I$265)*MIN(J$3-$O$2,$Q$2)/$Q$2))</f>
        <v>7286.35777257824</v>
      </c>
      <c r="K289" s="15" t="n">
        <f aca="false">J289*(1+IF(K$3&lt;=$O$2,$D289,$D289-($D289-$I$265)*MIN(K$3-$O$2,$Q$2)/$Q$2))</f>
        <v>7687.58632621669</v>
      </c>
      <c r="L289" s="15" t="n">
        <f aca="false">K289*(1+IF(L$3&lt;=$O$2,$D289,$D289-($D289-$I$265)*MIN(L$3-$O$2,$Q$2)/$Q$2))</f>
        <v>8055.13353027068</v>
      </c>
      <c r="M289" s="15" t="n">
        <f aca="false">L289*(1+IF(M$3&lt;=$O$2,$D289,$D289-($D289-$I$265)*MIN(M$3-$O$2,$Q$2)/$Q$2))</f>
        <v>8381.81140998196</v>
      </c>
      <c r="N289" s="15" t="n">
        <f aca="false">M289*(1+IF(N$3&lt;=$O$2,$D289,$D289-($D289-$I$265)*MIN(N$3-$O$2,$Q$2)/$Q$2))</f>
        <v>8660.92572993436</v>
      </c>
      <c r="O289" s="15" t="n">
        <f aca="false">SUMPRODUCT(E289:N289,1/(1+$F$265)^$E$3:$N$3)*$E$2</f>
        <v>6954.30597413844</v>
      </c>
      <c r="P289" s="15" t="n">
        <f aca="false">N289*$E$2*(1+$I$265)/($F$265-$I$265)/(1+$F$265)^$N$3</f>
        <v>10696.204249232</v>
      </c>
      <c r="Q289" s="15" t="n">
        <f aca="false">O289+P289</f>
        <v>17650.5102233704</v>
      </c>
      <c r="R289" s="15" t="n">
        <f aca="false">Q289-$G$2+$I$2</f>
        <v>12830.0102233704</v>
      </c>
      <c r="S289" s="42" t="n">
        <f aca="false">R289/$K$2</f>
        <v>66.9624750697829</v>
      </c>
      <c r="T289" s="43" t="n">
        <f aca="false">S289-$M$2</f>
        <v>5.33578830612669E-005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0.0695760250091553</v>
      </c>
      <c r="C290" s="25" t="n">
        <f aca="false">IF(T289&gt;0,D289,C289)</f>
        <v>0.0695762038230896</v>
      </c>
      <c r="D290" s="41" t="n">
        <f aca="false">(B290+C290)/2</f>
        <v>0.0695761144161224</v>
      </c>
      <c r="E290" s="15" t="n">
        <f aca="false">$C$2*(1+IF(E$3&lt;=$O$2,$D290,$D290-($D290-$I$265)*MIN(E$3-$O$2,$Q$2)/$Q$2))</f>
        <v>5240.922960639</v>
      </c>
      <c r="F290" s="15" t="n">
        <f aca="false">E290*(1+IF(F$3&lt;=$O$2,$D290,$D290-($D290-$I$265)*MIN(F$3-$O$2,$Q$2)/$Q$2))</f>
        <v>5605.5660161945</v>
      </c>
      <c r="G290" s="15" t="n">
        <f aca="false">F290*(1+IF(G$3&lt;=$O$2,$D290,$D290-($D290-$I$265)*MIN(G$3-$O$2,$Q$2)/$Q$2))</f>
        <v>5995.57951870438</v>
      </c>
      <c r="H290" s="15" t="n">
        <f aca="false">G290*(1+IF(H$3&lt;=$O$2,$D290,$D290-($D290-$I$265)*MIN(H$3-$O$2,$Q$2)/$Q$2))</f>
        <v>6412.72864528872</v>
      </c>
      <c r="I290" s="15" t="n">
        <f aca="false">H290*(1+IF(I$3&lt;=$O$2,$D290,$D290-($D290-$I$265)*MIN(I$3-$O$2,$Q$2)/$Q$2))</f>
        <v>6858.90138723287</v>
      </c>
      <c r="J290" s="15" t="n">
        <f aca="false">I290*(1+IF(J$3&lt;=$O$2,$D290,$D290-($D290-$I$265)*MIN(J$3-$O$2,$Q$2)/$Q$2))</f>
        <v>7286.35423662145</v>
      </c>
      <c r="K290" s="15" t="n">
        <f aca="false">J290*(1+IF(K$3&lt;=$O$2,$D290,$D290-($D290-$I$265)*MIN(K$3-$O$2,$Q$2)/$Q$2))</f>
        <v>7687.58220467939</v>
      </c>
      <c r="L290" s="15" t="n">
        <f aca="false">K290*(1+IF(L$3&lt;=$O$2,$D290,$D290-($D290-$I$265)*MIN(L$3-$O$2,$Q$2)/$Q$2))</f>
        <v>8055.12893675134</v>
      </c>
      <c r="M290" s="15" t="n">
        <f aca="false">L290*(1+IF(M$3&lt;=$O$2,$D290,$D290-($D290-$I$265)*MIN(M$3-$O$2,$Q$2)/$Q$2))</f>
        <v>8381.8064861344</v>
      </c>
      <c r="N290" s="15" t="n">
        <f aca="false">M290*(1+IF(N$3&lt;=$O$2,$D290,$D290-($D290-$I$265)*MIN(N$3-$O$2,$Q$2)/$Q$2))</f>
        <v>8660.92064212267</v>
      </c>
      <c r="O290" s="15" t="n">
        <f aca="false">SUMPRODUCT(E290:N290,1/(1+$F$265)^$E$3:$N$3)*$E$2</f>
        <v>6954.30327117786</v>
      </c>
      <c r="P290" s="15" t="n">
        <f aca="false">N290*$E$2*(1+$I$265)/($F$265-$I$265)/(1+$F$265)^$N$3</f>
        <v>10696.1979658075</v>
      </c>
      <c r="Q290" s="15" t="n">
        <f aca="false">O290+P290</f>
        <v>17650.5012369853</v>
      </c>
      <c r="R290" s="15" t="n">
        <f aca="false">Q290-$G$2+$I$2</f>
        <v>12830.0012369853</v>
      </c>
      <c r="S290" s="42" t="n">
        <f aca="false">R290/$K$2</f>
        <v>66.9624281679818</v>
      </c>
      <c r="T290" s="43" t="n">
        <f aca="false">S290-$M$2</f>
        <v>6.45608204763448E-006</v>
      </c>
    </row>
    <row r="292" customFormat="false" ht="15" hidden="false" customHeight="false" outlineLevel="0" collapsed="false">
      <c r="A292" s="38" t="s">
        <v>182</v>
      </c>
      <c r="E292" s="5" t="s">
        <v>11</v>
      </c>
      <c r="F292" s="12" t="n">
        <f aca="false">Sensitivity!$B$11</f>
        <v>0.0900848977416375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153</v>
      </c>
      <c r="B293" s="28" t="s">
        <v>154</v>
      </c>
      <c r="C293" s="28" t="s">
        <v>155</v>
      </c>
      <c r="D293" s="28" t="s">
        <v>156</v>
      </c>
      <c r="E293" s="28" t="s">
        <v>157</v>
      </c>
      <c r="F293" s="28" t="s">
        <v>158</v>
      </c>
      <c r="G293" s="28" t="s">
        <v>159</v>
      </c>
      <c r="H293" s="28" t="s">
        <v>160</v>
      </c>
      <c r="I293" s="28" t="s">
        <v>161</v>
      </c>
      <c r="J293" s="28" t="s">
        <v>162</v>
      </c>
      <c r="K293" s="28" t="s">
        <v>163</v>
      </c>
      <c r="L293" s="28" t="s">
        <v>164</v>
      </c>
      <c r="M293" s="28" t="s">
        <v>165</v>
      </c>
      <c r="N293" s="28" t="s">
        <v>166</v>
      </c>
      <c r="O293" s="28" t="s">
        <v>167</v>
      </c>
      <c r="P293" s="28" t="s">
        <v>168</v>
      </c>
      <c r="Q293" s="28" t="s">
        <v>169</v>
      </c>
      <c r="R293" s="28" t="s">
        <v>170</v>
      </c>
      <c r="S293" s="28" t="s">
        <v>171</v>
      </c>
      <c r="T293" s="28" t="s">
        <v>172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6125</v>
      </c>
      <c r="F294" s="15" t="n">
        <f aca="false">E294*(1+IF(F$3&lt;=$O$2,$D294,$D294-($D294-$I$292)*MIN(F$3-$O$2,$Q$2)/$Q$2))</f>
        <v>7656.25</v>
      </c>
      <c r="G294" s="15" t="n">
        <f aca="false">F294*(1+IF(G$3&lt;=$O$2,$D294,$D294-($D294-$I$292)*MIN(G$3-$O$2,$Q$2)/$Q$2))</f>
        <v>9570.3125</v>
      </c>
      <c r="H294" s="15" t="n">
        <f aca="false">G294*(1+IF(H$3&lt;=$O$2,$D294,$D294-($D294-$I$292)*MIN(H$3-$O$2,$Q$2)/$Q$2))</f>
        <v>11962.890625</v>
      </c>
      <c r="I294" s="15" t="n">
        <f aca="false">H294*(1+IF(I$3&lt;=$O$2,$D294,$D294-($D294-$I$292)*MIN(I$3-$O$2,$Q$2)/$Q$2))</f>
        <v>14953.61328125</v>
      </c>
      <c r="J294" s="15" t="n">
        <f aca="false">I294*(1+IF(J$3&lt;=$O$2,$D294,$D294-($D294-$I$292)*MIN(J$3-$O$2,$Q$2)/$Q$2))</f>
        <v>18058.8806152344</v>
      </c>
      <c r="K294" s="15" t="n">
        <f aca="false">J294*(1+IF(K$3&lt;=$O$2,$D294,$D294-($D294-$I$292)*MIN(K$3-$O$2,$Q$2)/$Q$2))</f>
        <v>21044.3747585449</v>
      </c>
      <c r="L294" s="15" t="n">
        <f aca="false">K294*(1+IF(L$3&lt;=$O$2,$D294,$D294-($D294-$I$292)*MIN(L$3-$O$2,$Q$2)/$Q$2))</f>
        <v>23632.4119663508</v>
      </c>
      <c r="M294" s="15" t="n">
        <f aca="false">L294*(1+IF(M$3&lt;=$O$2,$D294,$D294-($D294-$I$292)*MIN(M$3-$O$2,$Q$2)/$Q$2))</f>
        <v>25538.1296673173</v>
      </c>
      <c r="N294" s="15" t="n">
        <f aca="false">M294*(1+IF(N$3&lt;=$O$2,$D294,$D294-($D294-$I$292)*MIN(N$3-$O$2,$Q$2)/$Q$2))</f>
        <v>26516.2400335756</v>
      </c>
      <c r="O294" s="15" t="n">
        <f aca="false">SUMPRODUCT(E294:N294,1/(1+$F$292)^$E$3:$N$3)*$E$2</f>
        <v>15227.573314649</v>
      </c>
      <c r="P294" s="15" t="n">
        <f aca="false">N294*$E$2*(1+$I$292)/($F$292-$I$292)/(1+$F$292)^$N$3</f>
        <v>36083.0686334877</v>
      </c>
      <c r="Q294" s="15" t="n">
        <f aca="false">O294+P294</f>
        <v>51310.6419481366</v>
      </c>
      <c r="R294" s="15" t="n">
        <f aca="false">Q294-$G$2+$I$2</f>
        <v>46490.1419481366</v>
      </c>
      <c r="S294" s="42" t="n">
        <f aca="false">R294/$K$2</f>
        <v>242.641659437039</v>
      </c>
      <c r="T294" s="43" t="n">
        <f aca="false">S294-$M$2</f>
        <v>175.679237725139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4287.5</v>
      </c>
      <c r="F295" s="15" t="n">
        <f aca="false">E295*(1+IF(F$3&lt;=$O$2,$D295,$D295-($D295-$I$292)*MIN(F$3-$O$2,$Q$2)/$Q$2))</f>
        <v>3751.5625</v>
      </c>
      <c r="G295" s="15" t="n">
        <f aca="false">F295*(1+IF(G$3&lt;=$O$2,$D295,$D295-($D295-$I$292)*MIN(G$3-$O$2,$Q$2)/$Q$2))</f>
        <v>3282.6171875</v>
      </c>
      <c r="H295" s="15" t="n">
        <f aca="false">G295*(1+IF(H$3&lt;=$O$2,$D295,$D295-($D295-$I$292)*MIN(H$3-$O$2,$Q$2)/$Q$2))</f>
        <v>2872.2900390625</v>
      </c>
      <c r="I295" s="15" t="n">
        <f aca="false">H295*(1+IF(I$3&lt;=$O$2,$D295,$D295-($D295-$I$292)*MIN(I$3-$O$2,$Q$2)/$Q$2))</f>
        <v>2513.25378417969</v>
      </c>
      <c r="J295" s="15" t="n">
        <f aca="false">I295*(1+IF(J$3&lt;=$O$2,$D295,$D295-($D295-$I$292)*MIN(J$3-$O$2,$Q$2)/$Q$2))</f>
        <v>2281.17992974854</v>
      </c>
      <c r="K295" s="15" t="n">
        <f aca="false">J295*(1+IF(K$3&lt;=$O$2,$D295,$D295-($D295-$I$292)*MIN(K$3-$O$2,$Q$2)/$Q$2))</f>
        <v>2145.03911154114</v>
      </c>
      <c r="L295" s="15" t="n">
        <f aca="false">K295*(1+IF(L$3&lt;=$O$2,$D295,$D295-($D295-$I$292)*MIN(L$3-$O$2,$Q$2)/$Q$2))</f>
        <v>2087.0801547473</v>
      </c>
      <c r="M295" s="15" t="n">
        <f aca="false">L295*(1+IF(M$3&lt;=$O$2,$D295,$D295-($D295-$I$292)*MIN(M$3-$O$2,$Q$2)/$Q$2))</f>
        <v>2098.85128682008</v>
      </c>
      <c r="N295" s="15" t="n">
        <f aca="false">M295*(1+IF(N$3&lt;=$O$2,$D295,$D295-($D295-$I$292)*MIN(N$3-$O$2,$Q$2)/$Q$2))</f>
        <v>2179.23729110529</v>
      </c>
      <c r="O295" s="15" t="n">
        <f aca="false">SUMPRODUCT(E295:N295,1/(1+$F$292)^$E$3:$N$3)*$E$2</f>
        <v>3015.90250937574</v>
      </c>
      <c r="P295" s="15" t="n">
        <f aca="false">N295*$E$2*(1+$I$292)/($F$292-$I$292)/(1+$F$292)^$N$3</f>
        <v>2965.48713709183</v>
      </c>
      <c r="Q295" s="15" t="n">
        <f aca="false">O295+P295</f>
        <v>5981.38964646757</v>
      </c>
      <c r="R295" s="15" t="n">
        <f aca="false">Q295-$G$2+$I$2</f>
        <v>1160.88964646757</v>
      </c>
      <c r="S295" s="42" t="n">
        <f aca="false">R295/$K$2</f>
        <v>6.05892299826499</v>
      </c>
      <c r="T295" s="43" t="n">
        <f aca="false">S295-$M$2</f>
        <v>-60.9034987136348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5206.25</v>
      </c>
      <c r="F296" s="15" t="n">
        <f aca="false">E296*(1+IF(F$3&lt;=$O$2,$D296,$D296-($D296-$I$292)*MIN(F$3-$O$2,$Q$2)/$Q$2))</f>
        <v>5531.640625</v>
      </c>
      <c r="G296" s="15" t="n">
        <f aca="false">F296*(1+IF(G$3&lt;=$O$2,$D296,$D296-($D296-$I$292)*MIN(G$3-$O$2,$Q$2)/$Q$2))</f>
        <v>5877.3681640625</v>
      </c>
      <c r="H296" s="15" t="n">
        <f aca="false">G296*(1+IF(H$3&lt;=$O$2,$D296,$D296-($D296-$I$292)*MIN(H$3-$O$2,$Q$2)/$Q$2))</f>
        <v>6244.70367431641</v>
      </c>
      <c r="I296" s="15" t="n">
        <f aca="false">H296*(1+IF(I$3&lt;=$O$2,$D296,$D296-($D296-$I$292)*MIN(I$3-$O$2,$Q$2)/$Q$2))</f>
        <v>6634.99765396118</v>
      </c>
      <c r="J296" s="15" t="n">
        <f aca="false">I296*(1+IF(J$3&lt;=$O$2,$D296,$D296-($D296-$I$292)*MIN(J$3-$O$2,$Q$2)/$Q$2))</f>
        <v>7017.57161868858</v>
      </c>
      <c r="K296" s="15" t="n">
        <f aca="false">J296*(1+IF(K$3&lt;=$O$2,$D296,$D296-($D296-$I$292)*MIN(K$3-$O$2,$Q$2)/$Q$2))</f>
        <v>7388.23975158772</v>
      </c>
      <c r="L296" s="15" t="n">
        <f aca="false">K296*(1+IF(L$3&lt;=$O$2,$D296,$D296-($D296-$I$292)*MIN(L$3-$O$2,$Q$2)/$Q$2))</f>
        <v>7742.72749486889</v>
      </c>
      <c r="M296" s="15" t="n">
        <f aca="false">L296*(1+IF(M$3&lt;=$O$2,$D296,$D296-($D296-$I$292)*MIN(M$3-$O$2,$Q$2)/$Q$2))</f>
        <v>8076.74875899754</v>
      </c>
      <c r="N296" s="15" t="n">
        <f aca="false">M296*(1+IF(N$3&lt;=$O$2,$D296,$D296-($D296-$I$292)*MIN(N$3-$O$2,$Q$2)/$Q$2))</f>
        <v>8386.08823646714</v>
      </c>
      <c r="O296" s="15" t="n">
        <f aca="false">SUMPRODUCT(E296:N296,1/(1+$F$292)^$E$3:$N$3)*$E$2</f>
        <v>6763.49645925881</v>
      </c>
      <c r="P296" s="15" t="n">
        <f aca="false">N296*$E$2*(1+$I$292)/($F$292-$I$292)/(1+$F$292)^$N$3</f>
        <v>11411.7158775065</v>
      </c>
      <c r="Q296" s="15" t="n">
        <f aca="false">O296+P296</f>
        <v>18175.2123367653</v>
      </c>
      <c r="R296" s="15" t="n">
        <f aca="false">Q296-$G$2+$I$2</f>
        <v>13354.7123367653</v>
      </c>
      <c r="S296" s="42" t="n">
        <f aca="false">R296/$K$2</f>
        <v>69.7010038453304</v>
      </c>
      <c r="T296" s="43" t="n">
        <f aca="false">S296-$M$2</f>
        <v>2.73858213343063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4746.875</v>
      </c>
      <c r="F297" s="15" t="n">
        <f aca="false">E297*(1+IF(F$3&lt;=$O$2,$D297,$D297-($D297-$I$292)*MIN(F$3-$O$2,$Q$2)/$Q$2))</f>
        <v>4598.53515625</v>
      </c>
      <c r="G297" s="15" t="n">
        <f aca="false">F297*(1+IF(G$3&lt;=$O$2,$D297,$D297-($D297-$I$292)*MIN(G$3-$O$2,$Q$2)/$Q$2))</f>
        <v>4454.83093261719</v>
      </c>
      <c r="H297" s="15" t="n">
        <f aca="false">G297*(1+IF(H$3&lt;=$O$2,$D297,$D297-($D297-$I$292)*MIN(H$3-$O$2,$Q$2)/$Q$2))</f>
        <v>4315.6174659729</v>
      </c>
      <c r="I297" s="15" t="n">
        <f aca="false">H297*(1+IF(I$3&lt;=$O$2,$D297,$D297-($D297-$I$292)*MIN(I$3-$O$2,$Q$2)/$Q$2))</f>
        <v>4180.75442016125</v>
      </c>
      <c r="J297" s="15" t="n">
        <f aca="false">I297*(1+IF(J$3&lt;=$O$2,$D297,$D297-($D297-$I$292)*MIN(J$3-$O$2,$Q$2)/$Q$2))</f>
        <v>4108.26013851565</v>
      </c>
      <c r="K297" s="15" t="n">
        <f aca="false">J297*(1+IF(K$3&lt;=$O$2,$D297,$D297-($D297-$I$292)*MIN(K$3-$O$2,$Q$2)/$Q$2))</f>
        <v>4094.16880624054</v>
      </c>
      <c r="L297" s="15" t="n">
        <f aca="false">K297*(1+IF(L$3&lt;=$O$2,$D297,$D297-($D297-$I$292)*MIN(L$3-$O$2,$Q$2)/$Q$2))</f>
        <v>4137.07569532994</v>
      </c>
      <c r="M297" s="15" t="n">
        <f aca="false">L297*(1+IF(M$3&lt;=$O$2,$D297,$D297-($D297-$I$292)*MIN(M$3-$O$2,$Q$2)/$Q$2))</f>
        <v>4237.97897153904</v>
      </c>
      <c r="N297" s="15" t="n">
        <f aca="false">M297*(1+IF(N$3&lt;=$O$2,$D297,$D297-($D297-$I$292)*MIN(N$3-$O$2,$Q$2)/$Q$2))</f>
        <v>4400.29356614899</v>
      </c>
      <c r="O297" s="15" t="n">
        <f aca="false">SUMPRODUCT(E297:N297,1/(1+$F$292)^$E$3:$N$3)*$E$2</f>
        <v>4503.11951231522</v>
      </c>
      <c r="P297" s="15" t="n">
        <f aca="false">N297*$E$2*(1+$I$292)/($F$292-$I$292)/(1+$F$292)^$N$3</f>
        <v>5987.88118352382</v>
      </c>
      <c r="Q297" s="15" t="n">
        <f aca="false">O297+P297</f>
        <v>10491.000695839</v>
      </c>
      <c r="R297" s="15" t="n">
        <f aca="false">Q297-$G$2+$I$2</f>
        <v>5670.50069583904</v>
      </c>
      <c r="S297" s="42" t="n">
        <f aca="false">R297/$K$2</f>
        <v>29.5955151139825</v>
      </c>
      <c r="T297" s="43" t="n">
        <f aca="false">S297-$M$2</f>
        <v>-37.3669065979173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4976.5625</v>
      </c>
      <c r="F298" s="15" t="n">
        <f aca="false">E298*(1+IF(F$3&lt;=$O$2,$D298,$D298-($D298-$I$292)*MIN(F$3-$O$2,$Q$2)/$Q$2))</f>
        <v>5054.3212890625</v>
      </c>
      <c r="G298" s="15" t="n">
        <f aca="false">F298*(1+IF(G$3&lt;=$O$2,$D298,$D298-($D298-$I$292)*MIN(G$3-$O$2,$Q$2)/$Q$2))</f>
        <v>5133.2950592041</v>
      </c>
      <c r="H298" s="15" t="n">
        <f aca="false">G298*(1+IF(H$3&lt;=$O$2,$D298,$D298-($D298-$I$292)*MIN(H$3-$O$2,$Q$2)/$Q$2))</f>
        <v>5213.50279450417</v>
      </c>
      <c r="I298" s="15" t="n">
        <f aca="false">H298*(1+IF(I$3&lt;=$O$2,$D298,$D298-($D298-$I$292)*MIN(I$3-$O$2,$Q$2)/$Q$2))</f>
        <v>5294.96377566829</v>
      </c>
      <c r="J298" s="15" t="n">
        <f aca="false">I298*(1+IF(J$3&lt;=$O$2,$D298,$D298-($D298-$I$292)*MIN(J$3-$O$2,$Q$2)/$Q$2))</f>
        <v>5401.71024538577</v>
      </c>
      <c r="K298" s="15" t="n">
        <f aca="false">J298*(1+IF(K$3&lt;=$O$2,$D298,$D298-($D298-$I$292)*MIN(K$3-$O$2,$Q$2)/$Q$2))</f>
        <v>5535.10547989557</v>
      </c>
      <c r="L298" s="15" t="n">
        <f aca="false">K298*(1+IF(L$3&lt;=$O$2,$D298,$D298-($D298-$I$292)*MIN(L$3-$O$2,$Q$2)/$Q$2))</f>
        <v>5696.89661307292</v>
      </c>
      <c r="M298" s="15" t="n">
        <f aca="false">L298*(1+IF(M$3&lt;=$O$2,$D298,$D298-($D298-$I$292)*MIN(M$3-$O$2,$Q$2)/$Q$2))</f>
        <v>5889.25232721332</v>
      </c>
      <c r="N298" s="15" t="n">
        <f aca="false">M298*(1+IF(N$3&lt;=$O$2,$D298,$D298-($D298-$I$292)*MIN(N$3-$O$2,$Q$2)/$Q$2))</f>
        <v>6114.81069134559</v>
      </c>
      <c r="O298" s="15" t="n">
        <f aca="false">SUMPRODUCT(E298:N298,1/(1+$F$292)^$E$3:$N$3)*$E$2</f>
        <v>5516.49827757577</v>
      </c>
      <c r="P298" s="15" t="n">
        <f aca="false">N298*$E$2*(1+$I$292)/($F$292-$I$292)/(1+$F$292)^$N$3</f>
        <v>8320.98116389147</v>
      </c>
      <c r="Q298" s="15" t="n">
        <f aca="false">O298+P298</f>
        <v>13837.4794414672</v>
      </c>
      <c r="R298" s="15" t="n">
        <f aca="false">Q298-$G$2+$I$2</f>
        <v>9016.97944146724</v>
      </c>
      <c r="S298" s="42" t="n">
        <f aca="false">R298/$K$2</f>
        <v>47.0614793395994</v>
      </c>
      <c r="T298" s="43" t="n">
        <f aca="false">S298-$M$2</f>
        <v>-19.9009423723004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0.015625</v>
      </c>
      <c r="C299" s="25" t="n">
        <f aca="false">IF(T298&gt;0,D298,C298)</f>
        <v>0.0625</v>
      </c>
      <c r="D299" s="41" t="n">
        <f aca="false">(B299+C299)/2</f>
        <v>0.0390625</v>
      </c>
      <c r="E299" s="15" t="n">
        <f aca="false">$C$2*(1+IF(E$3&lt;=$O$2,$D299,$D299-($D299-$I$292)*MIN(E$3-$O$2,$Q$2)/$Q$2))</f>
        <v>5091.40625</v>
      </c>
      <c r="F299" s="15" t="n">
        <f aca="false">E299*(1+IF(F$3&lt;=$O$2,$D299,$D299-($D299-$I$292)*MIN(F$3-$O$2,$Q$2)/$Q$2))</f>
        <v>5290.28930664063</v>
      </c>
      <c r="G299" s="15" t="n">
        <f aca="false">F299*(1+IF(G$3&lt;=$O$2,$D299,$D299-($D299-$I$292)*MIN(G$3-$O$2,$Q$2)/$Q$2))</f>
        <v>5496.94123268127</v>
      </c>
      <c r="H299" s="15" t="n">
        <f aca="false">G299*(1+IF(H$3&lt;=$O$2,$D299,$D299-($D299-$I$292)*MIN(H$3-$O$2,$Q$2)/$Q$2))</f>
        <v>5711.66549958289</v>
      </c>
      <c r="I299" s="15" t="n">
        <f aca="false">H299*(1+IF(I$3&lt;=$O$2,$D299,$D299-($D299-$I$292)*MIN(I$3-$O$2,$Q$2)/$Q$2))</f>
        <v>5934.77743316034</v>
      </c>
      <c r="J299" s="15" t="n">
        <f aca="false">I299*(1+IF(J$3&lt;=$O$2,$D299,$D299-($D299-$I$292)*MIN(J$3-$O$2,$Q$2)/$Q$2))</f>
        <v>6165.69962308461</v>
      </c>
      <c r="K299" s="15" t="n">
        <f aca="false">J299*(1+IF(K$3&lt;=$O$2,$D299,$D299-($D299-$I$292)*MIN(K$3-$O$2,$Q$2)/$Q$2))</f>
        <v>6404.66672622631</v>
      </c>
      <c r="L299" s="15" t="n">
        <f aca="false">K299*(1+IF(L$3&lt;=$O$2,$D299,$D299-($D299-$I$292)*MIN(L$3-$O$2,$Q$2)/$Q$2))</f>
        <v>6651.91888519228</v>
      </c>
      <c r="M299" s="15" t="n">
        <f aca="false">L299*(1+IF(M$3&lt;=$O$2,$D299,$D299-($D299-$I$292)*MIN(M$3-$O$2,$Q$2)/$Q$2))</f>
        <v>6907.70179612514</v>
      </c>
      <c r="N299" s="15" t="n">
        <f aca="false">M299*(1+IF(N$3&lt;=$O$2,$D299,$D299-($D299-$I$292)*MIN(N$3-$O$2,$Q$2)/$Q$2))</f>
        <v>7172.26677491673</v>
      </c>
      <c r="O299" s="15" t="n">
        <f aca="false">SUMPRODUCT(E299:N299,1/(1+$F$292)^$E$3:$N$3)*$E$2</f>
        <v>6107.87563924706</v>
      </c>
      <c r="P299" s="15" t="n">
        <f aca="false">N299*$E$2*(1+$I$292)/($F$292-$I$292)/(1+$F$292)^$N$3</f>
        <v>9759.9581980442</v>
      </c>
      <c r="Q299" s="15" t="n">
        <f aca="false">O299+P299</f>
        <v>15867.8338372913</v>
      </c>
      <c r="R299" s="15" t="n">
        <f aca="false">Q299-$G$2+$I$2</f>
        <v>11047.3338372913</v>
      </c>
      <c r="S299" s="42" t="n">
        <f aca="false">R299/$K$2</f>
        <v>57.6583185662383</v>
      </c>
      <c r="T299" s="43" t="n">
        <f aca="false">S299-$M$2</f>
        <v>-9.30410314566149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0.0390625</v>
      </c>
      <c r="C300" s="25" t="n">
        <f aca="false">IF(T299&gt;0,D299,C299)</f>
        <v>0.0625</v>
      </c>
      <c r="D300" s="41" t="n">
        <f aca="false">(B300+C300)/2</f>
        <v>0.05078125</v>
      </c>
      <c r="E300" s="15" t="n">
        <f aca="false">$C$2*(1+IF(E$3&lt;=$O$2,$D300,$D300-($D300-$I$292)*MIN(E$3-$O$2,$Q$2)/$Q$2))</f>
        <v>5148.828125</v>
      </c>
      <c r="F300" s="15" t="n">
        <f aca="false">E300*(1+IF(F$3&lt;=$O$2,$D300,$D300-($D300-$I$292)*MIN(F$3-$O$2,$Q$2)/$Q$2))</f>
        <v>5410.29205322266</v>
      </c>
      <c r="G300" s="15" t="n">
        <f aca="false">F300*(1+IF(G$3&lt;=$O$2,$D300,$D300-($D300-$I$292)*MIN(G$3-$O$2,$Q$2)/$Q$2))</f>
        <v>5685.03344655037</v>
      </c>
      <c r="H300" s="15" t="n">
        <f aca="false">G300*(1+IF(H$3&lt;=$O$2,$D300,$D300-($D300-$I$292)*MIN(H$3-$O$2,$Q$2)/$Q$2))</f>
        <v>5973.72655125801</v>
      </c>
      <c r="I300" s="15" t="n">
        <f aca="false">H300*(1+IF(I$3&lt;=$O$2,$D300,$D300-($D300-$I$292)*MIN(I$3-$O$2,$Q$2)/$Q$2))</f>
        <v>6277.07985268908</v>
      </c>
      <c r="J300" s="15" t="n">
        <f aca="false">I300*(1+IF(J$3&lt;=$O$2,$D300,$D300-($D300-$I$292)*MIN(J$3-$O$2,$Q$2)/$Q$2))</f>
        <v>6580.16865337617</v>
      </c>
      <c r="K300" s="15" t="n">
        <f aca="false">J300*(1+IF(K$3&lt;=$O$2,$D300,$D300-($D300-$I$292)*MIN(K$3-$O$2,$Q$2)/$Q$2))</f>
        <v>6881.46635080345</v>
      </c>
      <c r="L300" s="15" t="n">
        <f aca="false">K300*(1+IF(L$3&lt;=$O$2,$D300,$D300-($D300-$I$292)*MIN(L$3-$O$2,$Q$2)/$Q$2))</f>
        <v>7179.3822327956</v>
      </c>
      <c r="M300" s="15" t="n">
        <f aca="false">L300*(1+IF(M$3&lt;=$O$2,$D300,$D300-($D300-$I$292)*MIN(M$3-$O$2,$Q$2)/$Q$2))</f>
        <v>7472.27410521029</v>
      </c>
      <c r="N300" s="15" t="n">
        <f aca="false">M300*(1+IF(N$3&lt;=$O$2,$D300,$D300-($D300-$I$292)*MIN(N$3-$O$2,$Q$2)/$Q$2))</f>
        <v>7758.46220343985</v>
      </c>
      <c r="O300" s="15" t="n">
        <f aca="false">SUMPRODUCT(E300:N300,1/(1+$F$292)^$E$3:$N$3)*$E$2</f>
        <v>6427.26304580551</v>
      </c>
      <c r="P300" s="15" t="n">
        <f aca="false">N300*$E$2*(1+$I$292)/($F$292-$I$292)/(1+$F$292)^$N$3</f>
        <v>10557.647834782</v>
      </c>
      <c r="Q300" s="15" t="n">
        <f aca="false">O300+P300</f>
        <v>16984.9108805876</v>
      </c>
      <c r="R300" s="15" t="n">
        <f aca="false">Q300-$G$2+$I$2</f>
        <v>12164.4108805876</v>
      </c>
      <c r="S300" s="42" t="n">
        <f aca="false">R300/$K$2</f>
        <v>63.488574533338</v>
      </c>
      <c r="T300" s="43" t="n">
        <f aca="false">S300-$M$2</f>
        <v>-3.4738471785618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0.05078125</v>
      </c>
      <c r="C301" s="25" t="n">
        <f aca="false">IF(T300&gt;0,D300,C300)</f>
        <v>0.0625</v>
      </c>
      <c r="D301" s="41" t="n">
        <f aca="false">(B301+C301)/2</f>
        <v>0.056640625</v>
      </c>
      <c r="E301" s="15" t="n">
        <f aca="false">$C$2*(1+IF(E$3&lt;=$O$2,$D301,$D301-($D301-$I$292)*MIN(E$3-$O$2,$Q$2)/$Q$2))</f>
        <v>5177.5390625</v>
      </c>
      <c r="F301" s="15" t="n">
        <f aca="false">E301*(1+IF(F$3&lt;=$O$2,$D301,$D301-($D301-$I$292)*MIN(F$3-$O$2,$Q$2)/$Q$2))</f>
        <v>5470.79811096191</v>
      </c>
      <c r="G301" s="15" t="n">
        <f aca="false">F301*(1+IF(G$3&lt;=$O$2,$D301,$D301-($D301-$I$292)*MIN(G$3-$O$2,$Q$2)/$Q$2))</f>
        <v>5780.66753521562</v>
      </c>
      <c r="H301" s="15" t="n">
        <f aca="false">G301*(1+IF(H$3&lt;=$O$2,$D301,$D301-($D301-$I$292)*MIN(H$3-$O$2,$Q$2)/$Q$2))</f>
        <v>6108.08815732744</v>
      </c>
      <c r="I301" s="15" t="n">
        <f aca="false">H301*(1+IF(I$3&lt;=$O$2,$D301,$D301-($D301-$I$292)*MIN(I$3-$O$2,$Q$2)/$Q$2))</f>
        <v>6454.05408811356</v>
      </c>
      <c r="J301" s="15" t="n">
        <f aca="false">I301*(1+IF(J$3&lt;=$O$2,$D301,$D301-($D301-$I$292)*MIN(J$3-$O$2,$Q$2)/$Q$2))</f>
        <v>6795.94146829616</v>
      </c>
      <c r="K301" s="15" t="n">
        <f aca="false">J301*(1+IF(K$3&lt;=$O$2,$D301,$D301-($D301-$I$292)*MIN(K$3-$O$2,$Q$2)/$Q$2))</f>
        <v>7131.01111492708</v>
      </c>
      <c r="L301" s="15" t="n">
        <f aca="false">K301*(1+IF(L$3&lt;=$O$2,$D301,$D301-($D301-$I$292)*MIN(L$3-$O$2,$Q$2)/$Q$2))</f>
        <v>7456.44372092068</v>
      </c>
      <c r="M301" s="15" t="n">
        <f aca="false">L301*(1+IF(M$3&lt;=$O$2,$D301,$D301-($D301-$I$292)*MIN(M$3-$O$2,$Q$2)/$Q$2))</f>
        <v>7769.37668305574</v>
      </c>
      <c r="N301" s="15" t="n">
        <f aca="false">M301*(1+IF(N$3&lt;=$O$2,$D301,$D301-($D301-$I$292)*MIN(N$3-$O$2,$Q$2)/$Q$2))</f>
        <v>8066.94381001677</v>
      </c>
      <c r="O301" s="15" t="n">
        <f aca="false">SUMPRODUCT(E301:N301,1/(1+$F$292)^$E$3:$N$3)*$E$2</f>
        <v>6593.2231098272</v>
      </c>
      <c r="P301" s="15" t="n">
        <f aca="false">N301*$E$2*(1+$I$292)/($F$292-$I$292)/(1+$F$292)^$N$3</f>
        <v>10977.4269199083</v>
      </c>
      <c r="Q301" s="15" t="n">
        <f aca="false">O301+P301</f>
        <v>17570.6500297355</v>
      </c>
      <c r="R301" s="15" t="n">
        <f aca="false">Q301-$G$2+$I$2</f>
        <v>12750.1500297355</v>
      </c>
      <c r="S301" s="42" t="n">
        <f aca="false">R301/$K$2</f>
        <v>66.5456682136511</v>
      </c>
      <c r="T301" s="43" t="n">
        <f aca="false">S301-$M$2</f>
        <v>-0.416753498248724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0.056640625</v>
      </c>
      <c r="C302" s="25" t="n">
        <f aca="false">IF(T301&gt;0,D301,C301)</f>
        <v>0.0625</v>
      </c>
      <c r="D302" s="41" t="n">
        <f aca="false">(B302+C302)/2</f>
        <v>0.0595703125</v>
      </c>
      <c r="E302" s="15" t="n">
        <f aca="false">$C$2*(1+IF(E$3&lt;=$O$2,$D302,$D302-($D302-$I$292)*MIN(E$3-$O$2,$Q$2)/$Q$2))</f>
        <v>5191.89453125</v>
      </c>
      <c r="F302" s="15" t="n">
        <f aca="false">E302*(1+IF(F$3&lt;=$O$2,$D302,$D302-($D302-$I$292)*MIN(F$3-$O$2,$Q$2)/$Q$2))</f>
        <v>5501.1773109436</v>
      </c>
      <c r="G302" s="15" t="n">
        <f aca="false">F302*(1+IF(G$3&lt;=$O$2,$D302,$D302-($D302-$I$292)*MIN(G$3-$O$2,$Q$2)/$Q$2))</f>
        <v>5828.88416247442</v>
      </c>
      <c r="H302" s="15" t="n">
        <f aca="false">G302*(1+IF(H$3&lt;=$O$2,$D302,$D302-($D302-$I$292)*MIN(H$3-$O$2,$Q$2)/$Q$2))</f>
        <v>6176.11261355933</v>
      </c>
      <c r="I302" s="15" t="n">
        <f aca="false">H302*(1+IF(I$3&lt;=$O$2,$D302,$D302-($D302-$I$292)*MIN(I$3-$O$2,$Q$2)/$Q$2))</f>
        <v>6544.02557198425</v>
      </c>
      <c r="J302" s="15" t="n">
        <f aca="false">I302*(1+IF(J$3&lt;=$O$2,$D302,$D302-($D302-$I$292)*MIN(J$3-$O$2,$Q$2)/$Q$2))</f>
        <v>6906.01652653052</v>
      </c>
      <c r="K302" s="15" t="n">
        <f aca="false">J302*(1+IF(K$3&lt;=$O$2,$D302,$D302-($D302-$I$292)*MIN(K$3-$O$2,$Q$2)/$Q$2))</f>
        <v>7258.65283728632</v>
      </c>
      <c r="L302" s="15" t="n">
        <f aca="false">K302*(1+IF(L$3&lt;=$O$2,$D302,$D302-($D302-$I$292)*MIN(L$3-$O$2,$Q$2)/$Q$2))</f>
        <v>7598.41676662562</v>
      </c>
      <c r="M302" s="15" t="n">
        <f aca="false">L302*(1+IF(M$3&lt;=$O$2,$D302,$D302-($D302-$I$292)*MIN(M$3-$O$2,$Q$2)/$Q$2))</f>
        <v>7921.76026861366</v>
      </c>
      <c r="N302" s="15" t="n">
        <f aca="false">M302*(1+IF(N$3&lt;=$O$2,$D302,$D302-($D302-$I$292)*MIN(N$3-$O$2,$Q$2)/$Q$2))</f>
        <v>8225.16368690156</v>
      </c>
      <c r="O302" s="15" t="n">
        <f aca="false">SUMPRODUCT(E302:N302,1/(1+$F$292)^$E$3:$N$3)*$E$2</f>
        <v>6677.8141456382</v>
      </c>
      <c r="P302" s="15" t="n">
        <f aca="false">N302*$E$2*(1+$I$292)/($F$292-$I$292)/(1+$F$292)^$N$3</f>
        <v>11192.7311511865</v>
      </c>
      <c r="Q302" s="15" t="n">
        <f aca="false">O302+P302</f>
        <v>17870.5452968247</v>
      </c>
      <c r="R302" s="15" t="n">
        <f aca="false">Q302-$G$2+$I$2</f>
        <v>13050.0452968247</v>
      </c>
      <c r="S302" s="42" t="n">
        <f aca="false">R302/$K$2</f>
        <v>68.1108835951185</v>
      </c>
      <c r="T302" s="43" t="n">
        <f aca="false">S302-$M$2</f>
        <v>1.14846188321866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0.056640625</v>
      </c>
      <c r="C303" s="25" t="n">
        <f aca="false">IF(T302&gt;0,D302,C302)</f>
        <v>0.0595703125</v>
      </c>
      <c r="D303" s="41" t="n">
        <f aca="false">(B303+C303)/2</f>
        <v>0.05810546875</v>
      </c>
      <c r="E303" s="15" t="n">
        <f aca="false">$C$2*(1+IF(E$3&lt;=$O$2,$D303,$D303-($D303-$I$292)*MIN(E$3-$O$2,$Q$2)/$Q$2))</f>
        <v>5184.716796875</v>
      </c>
      <c r="F303" s="15" t="n">
        <f aca="false">E303*(1+IF(F$3&lt;=$O$2,$D303,$D303-($D303-$I$292)*MIN(F$3-$O$2,$Q$2)/$Q$2))</f>
        <v>5485.97719669342</v>
      </c>
      <c r="G303" s="15" t="n">
        <f aca="false">F303*(1+IF(G$3&lt;=$O$2,$D303,$D303-($D303-$I$292)*MIN(G$3-$O$2,$Q$2)/$Q$2))</f>
        <v>5804.7424732591</v>
      </c>
      <c r="H303" s="15" t="n">
        <f aca="false">G303*(1+IF(H$3&lt;=$O$2,$D303,$D303-($D303-$I$292)*MIN(H$3-$O$2,$Q$2)/$Q$2))</f>
        <v>6142.02975564086</v>
      </c>
      <c r="I303" s="15" t="n">
        <f aca="false">H303*(1+IF(I$3&lt;=$O$2,$D303,$D303-($D303-$I$292)*MIN(I$3-$O$2,$Q$2)/$Q$2))</f>
        <v>6498.91527366882</v>
      </c>
      <c r="J303" s="15" t="n">
        <f aca="false">I303*(1+IF(J$3&lt;=$O$2,$D303,$D303-($D303-$I$292)*MIN(J$3-$O$2,$Q$2)/$Q$2))</f>
        <v>6850.79497933957</v>
      </c>
      <c r="K303" s="15" t="n">
        <f aca="false">J303*(1+IF(K$3&lt;=$O$2,$D303,$D303-($D303-$I$292)*MIN(K$3-$O$2,$Q$2)/$Q$2))</f>
        <v>7194.59035057385</v>
      </c>
      <c r="L303" s="15" t="n">
        <f aca="false">K303*(1+IF(L$3&lt;=$O$2,$D303,$D303-($D303-$I$292)*MIN(L$3-$O$2,$Q$2)/$Q$2))</f>
        <v>7527.14005474377</v>
      </c>
      <c r="M303" s="15" t="n">
        <f aca="false">L303*(1+IF(M$3&lt;=$O$2,$D303,$D303-($D303-$I$292)*MIN(M$3-$O$2,$Q$2)/$Q$2))</f>
        <v>7845.24522626668</v>
      </c>
      <c r="N303" s="15" t="n">
        <f aca="false">M303*(1+IF(N$3&lt;=$O$2,$D303,$D303-($D303-$I$292)*MIN(N$3-$O$2,$Q$2)/$Q$2))</f>
        <v>8145.71811843269</v>
      </c>
      <c r="O303" s="15" t="n">
        <f aca="false">SUMPRODUCT(E303:N303,1/(1+$F$292)^$E$3:$N$3)*$E$2</f>
        <v>6635.38303305543</v>
      </c>
      <c r="P303" s="15" t="n">
        <f aca="false">N303*$E$2*(1+$I$292)/($F$292-$I$292)/(1+$F$292)^$N$3</f>
        <v>11084.6223131288</v>
      </c>
      <c r="Q303" s="15" t="n">
        <f aca="false">O303+P303</f>
        <v>17720.0053461842</v>
      </c>
      <c r="R303" s="15" t="n">
        <f aca="false">Q303-$G$2+$I$2</f>
        <v>12899.5053461842</v>
      </c>
      <c r="S303" s="42" t="n">
        <f aca="false">R303/$K$2</f>
        <v>67.3251844790409</v>
      </c>
      <c r="T303" s="43" t="n">
        <f aca="false">S303-$M$2</f>
        <v>0.362762767141106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0.056640625</v>
      </c>
      <c r="C304" s="25" t="n">
        <f aca="false">IF(T303&gt;0,D303,C303)</f>
        <v>0.05810546875</v>
      </c>
      <c r="D304" s="41" t="n">
        <f aca="false">(B304+C304)/2</f>
        <v>0.057373046875</v>
      </c>
      <c r="E304" s="15" t="n">
        <f aca="false">$C$2*(1+IF(E$3&lt;=$O$2,$D304,$D304-($D304-$I$292)*MIN(E$3-$O$2,$Q$2)/$Q$2))</f>
        <v>5181.1279296875</v>
      </c>
      <c r="F304" s="15" t="n">
        <f aca="false">E304*(1+IF(F$3&lt;=$O$2,$D304,$D304-($D304-$I$292)*MIN(F$3-$O$2,$Q$2)/$Q$2))</f>
        <v>5478.38502526283</v>
      </c>
      <c r="G304" s="15" t="n">
        <f aca="false">F304*(1+IF(G$3&lt;=$O$2,$D304,$D304-($D304-$I$292)*MIN(G$3-$O$2,$Q$2)/$Q$2))</f>
        <v>5792.69666611654</v>
      </c>
      <c r="H304" s="15" t="n">
        <f aca="false">G304*(1+IF(H$3&lt;=$O$2,$D304,$D304-($D304-$I$292)*MIN(H$3-$O$2,$Q$2)/$Q$2))</f>
        <v>6125.0413234743</v>
      </c>
      <c r="I304" s="15" t="n">
        <f aca="false">H304*(1+IF(I$3&lt;=$O$2,$D304,$D304-($D304-$I$292)*MIN(I$3-$O$2,$Q$2)/$Q$2))</f>
        <v>6476.4536064373</v>
      </c>
      <c r="J304" s="15" t="n">
        <f aca="false">I304*(1+IF(J$3&lt;=$O$2,$D304,$D304-($D304-$I$292)*MIN(J$3-$O$2,$Q$2)/$Q$2))</f>
        <v>6823.32234213932</v>
      </c>
      <c r="K304" s="15" t="n">
        <f aca="false">J304*(1+IF(K$3&lt;=$O$2,$D304,$D304-($D304-$I$292)*MIN(K$3-$O$2,$Q$2)/$Q$2))</f>
        <v>7162.74051596817</v>
      </c>
      <c r="L304" s="15" t="n">
        <f aca="false">K304*(1+IF(L$3&lt;=$O$2,$D304,$D304-($D304-$I$292)*MIN(L$3-$O$2,$Q$2)/$Q$2))</f>
        <v>7491.71959197556</v>
      </c>
      <c r="M304" s="15" t="n">
        <f aca="false">L304*(1+IF(M$3&lt;=$O$2,$D304,$D304-($D304-$I$292)*MIN(M$3-$O$2,$Q$2)/$Q$2))</f>
        <v>7807.23043613865</v>
      </c>
      <c r="N304" s="15" t="n">
        <f aca="false">M304*(1+IF(N$3&lt;=$O$2,$D304,$D304-($D304-$I$292)*MIN(N$3-$O$2,$Q$2)/$Q$2))</f>
        <v>8106.24736184276</v>
      </c>
      <c r="O304" s="15" t="n">
        <f aca="false">SUMPRODUCT(E304:N304,1/(1+$F$292)^$E$3:$N$3)*$E$2</f>
        <v>6614.26927419018</v>
      </c>
      <c r="P304" s="15" t="n">
        <f aca="false">N304*$E$2*(1+$I$292)/($F$292-$I$292)/(1+$F$292)^$N$3</f>
        <v>11030.9108511249</v>
      </c>
      <c r="Q304" s="15" t="n">
        <f aca="false">O304+P304</f>
        <v>17645.1801253151</v>
      </c>
      <c r="R304" s="15" t="n">
        <f aca="false">Q304-$G$2+$I$2</f>
        <v>12824.6801253151</v>
      </c>
      <c r="S304" s="42" t="n">
        <f aca="false">R304/$K$2</f>
        <v>66.9346561864043</v>
      </c>
      <c r="T304" s="43" t="n">
        <f aca="false">S304-$M$2</f>
        <v>-0.0277655254954965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0.057373046875</v>
      </c>
      <c r="C305" s="25" t="n">
        <f aca="false">IF(T304&gt;0,D304,C304)</f>
        <v>0.05810546875</v>
      </c>
      <c r="D305" s="41" t="n">
        <f aca="false">(B305+C305)/2</f>
        <v>0.0577392578125</v>
      </c>
      <c r="E305" s="15" t="n">
        <f aca="false">$C$2*(1+IF(E$3&lt;=$O$2,$D305,$D305-($D305-$I$292)*MIN(E$3-$O$2,$Q$2)/$Q$2))</f>
        <v>5182.92236328125</v>
      </c>
      <c r="F305" s="15" t="n">
        <f aca="false">E305*(1+IF(F$3&lt;=$O$2,$D305,$D305-($D305-$I$292)*MIN(F$3-$O$2,$Q$2)/$Q$2))</f>
        <v>5482.18045383692</v>
      </c>
      <c r="G305" s="15" t="n">
        <f aca="false">F305*(1+IF(G$3&lt;=$O$2,$D305,$D305-($D305-$I$292)*MIN(G$3-$O$2,$Q$2)/$Q$2))</f>
        <v>5798.71748443566</v>
      </c>
      <c r="H305" s="15" t="n">
        <f aca="false">G305*(1+IF(H$3&lt;=$O$2,$D305,$D305-($D305-$I$292)*MIN(H$3-$O$2,$Q$2)/$Q$2))</f>
        <v>6133.53112825134</v>
      </c>
      <c r="I305" s="15" t="n">
        <f aca="false">H305*(1+IF(I$3&lt;=$O$2,$D305,$D305-($D305-$I$292)*MIN(I$3-$O$2,$Q$2)/$Q$2))</f>
        <v>6487.67666336644</v>
      </c>
      <c r="J305" s="15" t="n">
        <f aca="false">I305*(1+IF(J$3&lt;=$O$2,$D305,$D305-($D305-$I$292)*MIN(J$3-$O$2,$Q$2)/$Q$2))</f>
        <v>6837.04717498403</v>
      </c>
      <c r="K305" s="15" t="n">
        <f aca="false">J305*(1+IF(K$3&lt;=$O$2,$D305,$D305-($D305-$I$292)*MIN(K$3-$O$2,$Q$2)/$Q$2))</f>
        <v>7178.65035541236</v>
      </c>
      <c r="L305" s="15" t="n">
        <f aca="false">K305*(1+IF(L$3&lt;=$O$2,$D305,$D305-($D305-$I$292)*MIN(L$3-$O$2,$Q$2)/$Q$2))</f>
        <v>7509.41171802651</v>
      </c>
      <c r="M305" s="15" t="n">
        <f aca="false">L305*(1+IF(M$3&lt;=$O$2,$D305,$D305-($D305-$I$292)*MIN(M$3-$O$2,$Q$2)/$Q$2))</f>
        <v>7826.21766490831</v>
      </c>
      <c r="N305" s="15" t="n">
        <f aca="false">M305*(1+IF(N$3&lt;=$O$2,$D305,$D305-($D305-$I$292)*MIN(N$3-$O$2,$Q$2)/$Q$2))</f>
        <v>8125.9618014743</v>
      </c>
      <c r="O305" s="15" t="n">
        <f aca="false">SUMPRODUCT(E305:N305,1/(1+$F$292)^$E$3:$N$3)*$E$2</f>
        <v>6624.81769165336</v>
      </c>
      <c r="P305" s="15" t="n">
        <f aca="false">N305*$E$2*(1+$I$292)/($F$292-$I$292)/(1+$F$292)^$N$3</f>
        <v>11057.7380889759</v>
      </c>
      <c r="Q305" s="15" t="n">
        <f aca="false">O305+P305</f>
        <v>17682.5557806293</v>
      </c>
      <c r="R305" s="15" t="n">
        <f aca="false">Q305-$G$2+$I$2</f>
        <v>12862.0557806293</v>
      </c>
      <c r="S305" s="42" t="n">
        <f aca="false">R305/$K$2</f>
        <v>67.1297274563115</v>
      </c>
      <c r="T305" s="43" t="n">
        <f aca="false">S305-$M$2</f>
        <v>0.167305744411664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0.057373046875</v>
      </c>
      <c r="C306" s="25" t="n">
        <f aca="false">IF(T305&gt;0,D305,C305)</f>
        <v>0.0577392578125</v>
      </c>
      <c r="D306" s="41" t="n">
        <f aca="false">(B306+C306)/2</f>
        <v>0.05755615234375</v>
      </c>
      <c r="E306" s="15" t="n">
        <f aca="false">$C$2*(1+IF(E$3&lt;=$O$2,$D306,$D306-($D306-$I$292)*MIN(E$3-$O$2,$Q$2)/$Q$2))</f>
        <v>5182.02514648438</v>
      </c>
      <c r="F306" s="15" t="n">
        <f aca="false">E306*(1+IF(F$3&lt;=$O$2,$D306,$D306-($D306-$I$292)*MIN(F$3-$O$2,$Q$2)/$Q$2))</f>
        <v>5480.28257526457</v>
      </c>
      <c r="G306" s="15" t="n">
        <f aca="false">F306*(1+IF(G$3&lt;=$O$2,$D306,$D306-($D306-$I$292)*MIN(G$3-$O$2,$Q$2)/$Q$2))</f>
        <v>5795.7065540533</v>
      </c>
      <c r="H306" s="15" t="n">
        <f aca="false">G306*(1+IF(H$3&lt;=$O$2,$D306,$D306-($D306-$I$292)*MIN(H$3-$O$2,$Q$2)/$Q$2))</f>
        <v>6129.28512341806</v>
      </c>
      <c r="I306" s="15" t="n">
        <f aca="false">H306*(1+IF(I$3&lt;=$O$2,$D306,$D306-($D306-$I$292)*MIN(I$3-$O$2,$Q$2)/$Q$2))</f>
        <v>6482.06319173979</v>
      </c>
      <c r="J306" s="15" t="n">
        <f aca="false">I306*(1+IF(J$3&lt;=$O$2,$D306,$D306-($D306-$I$292)*MIN(J$3-$O$2,$Q$2)/$Q$2))</f>
        <v>6830.18188904099</v>
      </c>
      <c r="K306" s="15" t="n">
        <f aca="false">J306*(1+IF(K$3&lt;=$O$2,$D306,$D306-($D306-$I$292)*MIN(K$3-$O$2,$Q$2)/$Q$2))</f>
        <v>7170.6916691858</v>
      </c>
      <c r="L306" s="15" t="n">
        <f aca="false">K306*(1+IF(L$3&lt;=$O$2,$D306,$D306-($D306-$I$292)*MIN(L$3-$O$2,$Q$2)/$Q$2))</f>
        <v>7500.56113259238</v>
      </c>
      <c r="M306" s="15" t="n">
        <f aca="false">L306*(1+IF(M$3&lt;=$O$2,$D306,$D306-($D306-$I$292)*MIN(M$3-$O$2,$Q$2)/$Q$2))</f>
        <v>7816.71901353723</v>
      </c>
      <c r="N306" s="15" t="n">
        <f aca="false">M306*(1+IF(N$3&lt;=$O$2,$D306,$D306-($D306-$I$292)*MIN(N$3-$O$2,$Q$2)/$Q$2))</f>
        <v>8116.0993517557</v>
      </c>
      <c r="O306" s="15" t="n">
        <f aca="false">SUMPRODUCT(E306:N306,1/(1+$F$292)^$E$3:$N$3)*$E$2</f>
        <v>6619.54136901278</v>
      </c>
      <c r="P306" s="15" t="n">
        <f aca="false">N306*$E$2*(1+$I$292)/($F$292-$I$292)/(1+$F$292)^$N$3</f>
        <v>11044.3173532442</v>
      </c>
      <c r="Q306" s="15" t="n">
        <f aca="false">O306+P306</f>
        <v>17663.8587222569</v>
      </c>
      <c r="R306" s="15" t="n">
        <f aca="false">Q306-$G$2+$I$2</f>
        <v>12843.3587222569</v>
      </c>
      <c r="S306" s="42" t="n">
        <f aca="false">R306/$K$2</f>
        <v>67.0321436443472</v>
      </c>
      <c r="T306" s="43" t="n">
        <f aca="false">S306-$M$2</f>
        <v>0.0697219324474219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0.057373046875</v>
      </c>
      <c r="C307" s="25" t="n">
        <f aca="false">IF(T306&gt;0,D306,C306)</f>
        <v>0.05755615234375</v>
      </c>
      <c r="D307" s="41" t="n">
        <f aca="false">(B307+C307)/2</f>
        <v>0.057464599609375</v>
      </c>
      <c r="E307" s="15" t="n">
        <f aca="false">$C$2*(1+IF(E$3&lt;=$O$2,$D307,$D307-($D307-$I$292)*MIN(E$3-$O$2,$Q$2)/$Q$2))</f>
        <v>5181.57653808594</v>
      </c>
      <c r="F307" s="15" t="n">
        <f aca="false">E307*(1+IF(F$3&lt;=$O$2,$D307,$D307-($D307-$I$292)*MIN(F$3-$O$2,$Q$2)/$Q$2))</f>
        <v>5479.33375919238</v>
      </c>
      <c r="G307" s="15" t="n">
        <f aca="false">F307*(1+IF(G$3&lt;=$O$2,$D307,$D307-($D307-$I$292)*MIN(G$3-$O$2,$Q$2)/$Q$2))</f>
        <v>5794.2014797905</v>
      </c>
      <c r="H307" s="15" t="n">
        <f aca="false">G307*(1+IF(H$3&lt;=$O$2,$D307,$D307-($D307-$I$292)*MIN(H$3-$O$2,$Q$2)/$Q$2))</f>
        <v>6127.16294788271</v>
      </c>
      <c r="I307" s="15" t="n">
        <f aca="false">H307*(1+IF(I$3&lt;=$O$2,$D307,$D307-($D307-$I$292)*MIN(I$3-$O$2,$Q$2)/$Q$2))</f>
        <v>6479.25791342419</v>
      </c>
      <c r="J307" s="15" t="n">
        <f aca="false">I307*(1+IF(J$3&lt;=$O$2,$D307,$D307-($D307-$I$292)*MIN(J$3-$O$2,$Q$2)/$Q$2))</f>
        <v>6826.75139844965</v>
      </c>
      <c r="K307" s="15" t="n">
        <f aca="false">J307*(1+IF(K$3&lt;=$O$2,$D307,$D307-($D307-$I$292)*MIN(K$3-$O$2,$Q$2)/$Q$2))</f>
        <v>7166.71515132069</v>
      </c>
      <c r="L307" s="15" t="n">
        <f aca="false">K307*(1+IF(L$3&lt;=$O$2,$D307,$D307-($D307-$I$292)*MIN(L$3-$O$2,$Q$2)/$Q$2))</f>
        <v>7496.13923217207</v>
      </c>
      <c r="M307" s="15" t="n">
        <f aca="false">L307*(1+IF(M$3&lt;=$O$2,$D307,$D307-($D307-$I$292)*MIN(M$3-$O$2,$Q$2)/$Q$2))</f>
        <v>7811.97346616441</v>
      </c>
      <c r="N307" s="15" t="n">
        <f aca="false">M307*(1+IF(N$3&lt;=$O$2,$D307,$D307-($D307-$I$292)*MIN(N$3-$O$2,$Q$2)/$Q$2))</f>
        <v>8111.1720499185</v>
      </c>
      <c r="O307" s="15" t="n">
        <f aca="false">SUMPRODUCT(E307:N307,1/(1+$F$292)^$E$3:$N$3)*$E$2</f>
        <v>6616.90479332204</v>
      </c>
      <c r="P307" s="15" t="n">
        <f aca="false">N307*$E$2*(1+$I$292)/($F$292-$I$292)/(1+$F$292)^$N$3</f>
        <v>11037.6123237926</v>
      </c>
      <c r="Q307" s="15" t="n">
        <f aca="false">O307+P307</f>
        <v>17654.5171171146</v>
      </c>
      <c r="R307" s="15" t="n">
        <f aca="false">Q307-$G$2+$I$2</f>
        <v>12834.0171171146</v>
      </c>
      <c r="S307" s="42" t="n">
        <f aca="false">R307/$K$2</f>
        <v>66.9833878763812</v>
      </c>
      <c r="T307" s="43" t="n">
        <f aca="false">S307-$M$2</f>
        <v>0.0209661644813934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0.057373046875</v>
      </c>
      <c r="C308" s="25" t="n">
        <f aca="false">IF(T307&gt;0,D307,C307)</f>
        <v>0.057464599609375</v>
      </c>
      <c r="D308" s="41" t="n">
        <f aca="false">(B308+C308)/2</f>
        <v>0.0574188232421875</v>
      </c>
      <c r="E308" s="15" t="n">
        <f aca="false">$C$2*(1+IF(E$3&lt;=$O$2,$D308,$D308-($D308-$I$292)*MIN(E$3-$O$2,$Q$2)/$Q$2))</f>
        <v>5181.35223388672</v>
      </c>
      <c r="F308" s="15" t="n">
        <f aca="false">E308*(1+IF(F$3&lt;=$O$2,$D308,$D308-($D308-$I$292)*MIN(F$3-$O$2,$Q$2)/$Q$2))</f>
        <v>5478.85938195977</v>
      </c>
      <c r="G308" s="15" t="n">
        <f aca="false">F308*(1+IF(G$3&lt;=$O$2,$D308,$D308-($D308-$I$292)*MIN(G$3-$O$2,$Q$2)/$Q$2))</f>
        <v>5793.44904038132</v>
      </c>
      <c r="H308" s="15" t="n">
        <f aca="false">G308*(1+IF(H$3&lt;=$O$2,$D308,$D308-($D308-$I$292)*MIN(H$3-$O$2,$Q$2)/$Q$2))</f>
        <v>6126.1020667936</v>
      </c>
      <c r="I308" s="15" t="n">
        <f aca="false">H308*(1+IF(I$3&lt;=$O$2,$D308,$D308-($D308-$I$292)*MIN(I$3-$O$2,$Q$2)/$Q$2))</f>
        <v>6477.85563853042</v>
      </c>
      <c r="J308" s="15" t="n">
        <f aca="false">I308*(1+IF(J$3&lt;=$O$2,$D308,$D308-($D308-$I$292)*MIN(J$3-$O$2,$Q$2)/$Q$2))</f>
        <v>6825.03669103931</v>
      </c>
      <c r="K308" s="15" t="n">
        <f aca="false">J308*(1+IF(K$3&lt;=$O$2,$D308,$D308-($D308-$I$292)*MIN(K$3-$O$2,$Q$2)/$Q$2))</f>
        <v>7164.72759837657</v>
      </c>
      <c r="L308" s="15" t="n">
        <f aca="false">K308*(1+IF(L$3&lt;=$O$2,$D308,$D308-($D308-$I$292)*MIN(L$3-$O$2,$Q$2)/$Q$2))</f>
        <v>7493.92912960711</v>
      </c>
      <c r="M308" s="15" t="n">
        <f aca="false">L308*(1+IF(M$3&lt;=$O$2,$D308,$D308-($D308-$I$292)*MIN(M$3-$O$2,$Q$2)/$Q$2))</f>
        <v>7809.60163655475</v>
      </c>
      <c r="N308" s="15" t="n">
        <f aca="false">M308*(1+IF(N$3&lt;=$O$2,$D308,$D308-($D308-$I$292)*MIN(N$3-$O$2,$Q$2)/$Q$2))</f>
        <v>8108.70937923479</v>
      </c>
      <c r="O308" s="15" t="n">
        <f aca="false">SUMPRODUCT(E308:N308,1/(1+$F$292)^$E$3:$N$3)*$E$2</f>
        <v>6615.58690171097</v>
      </c>
      <c r="P308" s="15" t="n">
        <f aca="false">N308*$E$2*(1+$I$292)/($F$292-$I$292)/(1+$F$292)^$N$3</f>
        <v>11034.2611429619</v>
      </c>
      <c r="Q308" s="15" t="n">
        <f aca="false">O308+P308</f>
        <v>17649.8480446729</v>
      </c>
      <c r="R308" s="15" t="n">
        <f aca="false">Q308-$G$2+$I$2</f>
        <v>12829.3480446729</v>
      </c>
      <c r="S308" s="42" t="n">
        <f aca="false">R308/$K$2</f>
        <v>66.9590190223011</v>
      </c>
      <c r="T308" s="43" t="n">
        <f aca="false">S308-$M$2</f>
        <v>-0.00340268959865853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0.0574188232421875</v>
      </c>
      <c r="C309" s="25" t="n">
        <f aca="false">IF(T308&gt;0,D308,C308)</f>
        <v>0.057464599609375</v>
      </c>
      <c r="D309" s="41" t="n">
        <f aca="false">(B309+C309)/2</f>
        <v>0.0574417114257813</v>
      </c>
      <c r="E309" s="15" t="n">
        <f aca="false">$C$2*(1+IF(E$3&lt;=$O$2,$D309,$D309-($D309-$I$292)*MIN(E$3-$O$2,$Q$2)/$Q$2))</f>
        <v>5181.46438598633</v>
      </c>
      <c r="F309" s="15" t="n">
        <f aca="false">E309*(1+IF(F$3&lt;=$O$2,$D309,$D309-($D309-$I$292)*MIN(F$3-$O$2,$Q$2)/$Q$2))</f>
        <v>5479.09656800912</v>
      </c>
      <c r="G309" s="15" t="n">
        <f aca="false">F309*(1+IF(G$3&lt;=$O$2,$D309,$D309-($D309-$I$292)*MIN(G$3-$O$2,$Q$2)/$Q$2))</f>
        <v>5793.82525194269</v>
      </c>
      <c r="H309" s="15" t="n">
        <f aca="false">G309*(1+IF(H$3&lt;=$O$2,$D309,$D309-($D309-$I$292)*MIN(H$3-$O$2,$Q$2)/$Q$2))</f>
        <v>6126.63249011618</v>
      </c>
      <c r="I309" s="15" t="n">
        <f aca="false">H309*(1+IF(I$3&lt;=$O$2,$D309,$D309-($D309-$I$292)*MIN(I$3-$O$2,$Q$2)/$Q$2))</f>
        <v>6478.55674562525</v>
      </c>
      <c r="J309" s="15" t="n">
        <f aca="false">I309*(1+IF(J$3&lt;=$O$2,$D309,$D309-($D309-$I$292)*MIN(J$3-$O$2,$Q$2)/$Q$2))</f>
        <v>6825.89399992695</v>
      </c>
      <c r="K309" s="15" t="n">
        <f aca="false">J309*(1+IF(K$3&lt;=$O$2,$D309,$D309-($D309-$I$292)*MIN(K$3-$O$2,$Q$2)/$Q$2))</f>
        <v>7165.72131602589</v>
      </c>
      <c r="L309" s="15" t="n">
        <f aca="false">K309*(1+IF(L$3&lt;=$O$2,$D309,$D309-($D309-$I$292)*MIN(L$3-$O$2,$Q$2)/$Q$2))</f>
        <v>7495.03411026526</v>
      </c>
      <c r="M309" s="15" t="n">
        <f aca="false">L309*(1+IF(M$3&lt;=$O$2,$D309,$D309-($D309-$I$292)*MIN(M$3-$O$2,$Q$2)/$Q$2))</f>
        <v>7810.78747270143</v>
      </c>
      <c r="N309" s="15" t="n">
        <f aca="false">M309*(1+IF(N$3&lt;=$O$2,$D309,$D309-($D309-$I$292)*MIN(N$3-$O$2,$Q$2)/$Q$2))</f>
        <v>8109.9406329059</v>
      </c>
      <c r="O309" s="15" t="n">
        <f aca="false">SUMPRODUCT(E309:N309,1/(1+$F$292)^$E$3:$N$3)*$E$2</f>
        <v>6616.24581450213</v>
      </c>
      <c r="P309" s="15" t="n">
        <f aca="false">N309*$E$2*(1+$I$292)/($F$292-$I$292)/(1+$F$292)^$N$3</f>
        <v>11035.9366222404</v>
      </c>
      <c r="Q309" s="15" t="n">
        <f aca="false">O309+P309</f>
        <v>17652.1824367426</v>
      </c>
      <c r="R309" s="15" t="n">
        <f aca="false">Q309-$G$2+$I$2</f>
        <v>12831.6824367426</v>
      </c>
      <c r="S309" s="42" t="n">
        <f aca="false">R309/$K$2</f>
        <v>66.9712026969862</v>
      </c>
      <c r="T309" s="43" t="n">
        <f aca="false">S309-$M$2</f>
        <v>0.00878098508637493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0.0574188232421875</v>
      </c>
      <c r="C310" s="25" t="n">
        <f aca="false">IF(T309&gt;0,D309,C309)</f>
        <v>0.0574417114257813</v>
      </c>
      <c r="D310" s="41" t="n">
        <f aca="false">(B310+C310)/2</f>
        <v>0.0574302673339844</v>
      </c>
      <c r="E310" s="15" t="n">
        <f aca="false">$C$2*(1+IF(E$3&lt;=$O$2,$D310,$D310-($D310-$I$292)*MIN(E$3-$O$2,$Q$2)/$Q$2))</f>
        <v>5181.40830993652</v>
      </c>
      <c r="F310" s="15" t="n">
        <f aca="false">E310*(1+IF(F$3&lt;=$O$2,$D310,$D310-($D310-$I$292)*MIN(F$3-$O$2,$Q$2)/$Q$2))</f>
        <v>5478.97797434271</v>
      </c>
      <c r="G310" s="15" t="n">
        <f aca="false">F310*(1+IF(G$3&lt;=$O$2,$D310,$D310-($D310-$I$292)*MIN(G$3-$O$2,$Q$2)/$Q$2))</f>
        <v>5793.63714412622</v>
      </c>
      <c r="H310" s="15" t="n">
        <f aca="false">G310*(1+IF(H$3&lt;=$O$2,$D310,$D310-($D310-$I$292)*MIN(H$3-$O$2,$Q$2)/$Q$2))</f>
        <v>6126.36727414949</v>
      </c>
      <c r="I310" s="15" t="n">
        <f aca="false">H310*(1+IF(I$3&lt;=$O$2,$D310,$D310-($D310-$I$292)*MIN(I$3-$O$2,$Q$2)/$Q$2))</f>
        <v>6478.20618449007</v>
      </c>
      <c r="J310" s="15" t="n">
        <f aca="false">I310*(1+IF(J$3&lt;=$O$2,$D310,$D310-($D310-$I$292)*MIN(J$3-$O$2,$Q$2)/$Q$2))</f>
        <v>6825.46533427921</v>
      </c>
      <c r="K310" s="15" t="n">
        <f aca="false">J310*(1+IF(K$3&lt;=$O$2,$D310,$D310-($D310-$I$292)*MIN(K$3-$O$2,$Q$2)/$Q$2))</f>
        <v>7165.22444249627</v>
      </c>
      <c r="L310" s="15" t="n">
        <f aca="false">K310*(1+IF(L$3&lt;=$O$2,$D310,$D310-($D310-$I$292)*MIN(L$3-$O$2,$Q$2)/$Q$2))</f>
        <v>7494.48160228106</v>
      </c>
      <c r="M310" s="15" t="n">
        <f aca="false">L310*(1+IF(M$3&lt;=$O$2,$D310,$D310-($D310-$I$292)*MIN(M$3-$O$2,$Q$2)/$Q$2))</f>
        <v>7810.19453496467</v>
      </c>
      <c r="N310" s="15" t="n">
        <f aca="false">M310*(1+IF(N$3&lt;=$O$2,$D310,$D310-($D310-$I$292)*MIN(N$3-$O$2,$Q$2)/$Q$2))</f>
        <v>8109.32498565382</v>
      </c>
      <c r="O310" s="15" t="n">
        <f aca="false">SUMPRODUCT(E310:N310,1/(1+$F$292)^$E$3:$N$3)*$E$2</f>
        <v>6615.91634985334</v>
      </c>
      <c r="P310" s="15" t="n">
        <f aca="false">N310*$E$2*(1+$I$292)/($F$292-$I$292)/(1+$F$292)^$N$3</f>
        <v>11035.0988548185</v>
      </c>
      <c r="Q310" s="15" t="n">
        <f aca="false">O310+P310</f>
        <v>17651.0152046719</v>
      </c>
      <c r="R310" s="15" t="n">
        <f aca="false">Q310-$G$2+$I$2</f>
        <v>12830.5152046719</v>
      </c>
      <c r="S310" s="42" t="n">
        <f aca="false">R310/$K$2</f>
        <v>66.9651106715652</v>
      </c>
      <c r="T310" s="43" t="n">
        <f aca="false">S310-$M$2</f>
        <v>0.00268895966537741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0.0574188232421875</v>
      </c>
      <c r="C311" s="25" t="n">
        <f aca="false">IF(T310&gt;0,D310,C310)</f>
        <v>0.0574302673339844</v>
      </c>
      <c r="D311" s="41" t="n">
        <f aca="false">(B311+C311)/2</f>
        <v>0.0574245452880859</v>
      </c>
      <c r="E311" s="15" t="n">
        <f aca="false">$C$2*(1+IF(E$3&lt;=$O$2,$D311,$D311-($D311-$I$292)*MIN(E$3-$O$2,$Q$2)/$Q$2))</f>
        <v>5181.38027191162</v>
      </c>
      <c r="F311" s="15" t="n">
        <f aca="false">E311*(1+IF(F$3&lt;=$O$2,$D311,$D311-($D311-$I$292)*MIN(F$3-$O$2,$Q$2)/$Q$2))</f>
        <v>5478.91867799081</v>
      </c>
      <c r="G311" s="15" t="n">
        <f aca="false">F311*(1+IF(G$3&lt;=$O$2,$D311,$D311-($D311-$I$292)*MIN(G$3-$O$2,$Q$2)/$Q$2))</f>
        <v>5793.54309174483</v>
      </c>
      <c r="H311" s="15" t="n">
        <f aca="false">G311*(1+IF(H$3&lt;=$O$2,$D311,$D311-($D311-$I$292)*MIN(H$3-$O$2,$Q$2)/$Q$2))</f>
        <v>6126.23466939521</v>
      </c>
      <c r="I311" s="15" t="n">
        <f aca="false">H311*(1+IF(I$3&lt;=$O$2,$D311,$D311-($D311-$I$292)*MIN(I$3-$O$2,$Q$2)/$Q$2))</f>
        <v>6478.03090961333</v>
      </c>
      <c r="J311" s="15" t="n">
        <f aca="false">I311*(1+IF(J$3&lt;=$O$2,$D311,$D311-($D311-$I$292)*MIN(J$3-$O$2,$Q$2)/$Q$2))</f>
        <v>6825.25100985834</v>
      </c>
      <c r="K311" s="15" t="n">
        <f aca="false">J311*(1+IF(K$3&lt;=$O$2,$D311,$D311-($D311-$I$292)*MIN(K$3-$O$2,$Q$2)/$Q$2))</f>
        <v>7164.97601676027</v>
      </c>
      <c r="L311" s="15" t="n">
        <f aca="false">K311*(1+IF(L$3&lt;=$O$2,$D311,$D311-($D311-$I$292)*MIN(L$3-$O$2,$Q$2)/$Q$2))</f>
        <v>7494.20536153042</v>
      </c>
      <c r="M311" s="15" t="n">
        <f aca="false">L311*(1+IF(M$3&lt;=$O$2,$D311,$D311-($D311-$I$292)*MIN(M$3-$O$2,$Q$2)/$Q$2))</f>
        <v>7809.898080844</v>
      </c>
      <c r="N311" s="15" t="n">
        <f aca="false">M311*(1+IF(N$3&lt;=$O$2,$D311,$D311-($D311-$I$292)*MIN(N$3-$O$2,$Q$2)/$Q$2))</f>
        <v>8109.01717734032</v>
      </c>
      <c r="O311" s="15" t="n">
        <f aca="false">SUMPRODUCT(E311:N311,1/(1+$F$292)^$E$3:$N$3)*$E$2</f>
        <v>6615.7516237189</v>
      </c>
      <c r="P311" s="15" t="n">
        <f aca="false">N311*$E$2*(1+$I$292)/($F$292-$I$292)/(1+$F$292)^$N$3</f>
        <v>11034.6799919448</v>
      </c>
      <c r="Q311" s="15" t="n">
        <f aca="false">O311+P311</f>
        <v>17650.4316156637</v>
      </c>
      <c r="R311" s="15" t="n">
        <f aca="false">Q311-$G$2+$I$2</f>
        <v>12829.9316156637</v>
      </c>
      <c r="S311" s="42" t="n">
        <f aca="false">R311/$K$2</f>
        <v>66.9620647999148</v>
      </c>
      <c r="T311" s="43" t="n">
        <f aca="false">S311-$M$2</f>
        <v>-0.000356911984980002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0.0574245452880859</v>
      </c>
      <c r="C312" s="25" t="n">
        <f aca="false">IF(T311&gt;0,D311,C311)</f>
        <v>0.0574302673339844</v>
      </c>
      <c r="D312" s="41" t="n">
        <f aca="false">(B312+C312)/2</f>
        <v>0.0574274063110352</v>
      </c>
      <c r="E312" s="15" t="n">
        <f aca="false">$C$2*(1+IF(E$3&lt;=$O$2,$D312,$D312-($D312-$I$292)*MIN(E$3-$O$2,$Q$2)/$Q$2))</f>
        <v>5181.39429092407</v>
      </c>
      <c r="F312" s="15" t="n">
        <f aca="false">E312*(1+IF(F$3&lt;=$O$2,$D312,$D312-($D312-$I$292)*MIN(F$3-$O$2,$Q$2)/$Q$2))</f>
        <v>5478.94832612665</v>
      </c>
      <c r="G312" s="15" t="n">
        <f aca="false">F312*(1+IF(G$3&lt;=$O$2,$D312,$D312-($D312-$I$292)*MIN(G$3-$O$2,$Q$2)/$Q$2))</f>
        <v>5793.59011780829</v>
      </c>
      <c r="H312" s="15" t="n">
        <f aca="false">G312*(1+IF(H$3&lt;=$O$2,$D312,$D312-($D312-$I$292)*MIN(H$3-$O$2,$Q$2)/$Q$2))</f>
        <v>6126.30097150326</v>
      </c>
      <c r="I312" s="15" t="n">
        <f aca="false">H312*(1+IF(I$3&lt;=$O$2,$D312,$D312-($D312-$I$292)*MIN(I$3-$O$2,$Q$2)/$Q$2))</f>
        <v>6478.11854657747</v>
      </c>
      <c r="J312" s="15" t="n">
        <f aca="false">I312*(1+IF(J$3&lt;=$O$2,$D312,$D312-($D312-$I$292)*MIN(J$3-$O$2,$Q$2)/$Q$2))</f>
        <v>6825.35817136854</v>
      </c>
      <c r="K312" s="15" t="n">
        <f aca="false">J312*(1+IF(K$3&lt;=$O$2,$D312,$D312-($D312-$I$292)*MIN(K$3-$O$2,$Q$2)/$Q$2))</f>
        <v>7165.10022870922</v>
      </c>
      <c r="L312" s="15" t="n">
        <f aca="false">K312*(1+IF(L$3&lt;=$O$2,$D312,$D312-($D312-$I$292)*MIN(L$3-$O$2,$Q$2)/$Q$2))</f>
        <v>7494.34348080231</v>
      </c>
      <c r="M312" s="15" t="n">
        <f aca="false">L312*(1+IF(M$3&lt;=$O$2,$D312,$D312-($D312-$I$292)*MIN(M$3-$O$2,$Q$2)/$Q$2))</f>
        <v>7810.04630667539</v>
      </c>
      <c r="N312" s="15" t="n">
        <f aca="false">M312*(1+IF(N$3&lt;=$O$2,$D312,$D312-($D312-$I$292)*MIN(N$3-$O$2,$Q$2)/$Q$2))</f>
        <v>8109.17108022106</v>
      </c>
      <c r="O312" s="15" t="n">
        <f aca="false">SUMPRODUCT(E312:N312,1/(1+$F$292)^$E$3:$N$3)*$E$2</f>
        <v>6615.8339862703</v>
      </c>
      <c r="P312" s="15" t="n">
        <f aca="false">N312*$E$2*(1+$I$292)/($F$292-$I$292)/(1+$F$292)^$N$3</f>
        <v>11034.8894216453</v>
      </c>
      <c r="Q312" s="15" t="n">
        <f aca="false">O312+P312</f>
        <v>17650.7234079156</v>
      </c>
      <c r="R312" s="15" t="n">
        <f aca="false">Q312-$G$2+$I$2</f>
        <v>12830.2234079156</v>
      </c>
      <c r="S312" s="42" t="n">
        <f aca="false">R312/$K$2</f>
        <v>66.9635877239852</v>
      </c>
      <c r="T312" s="43" t="n">
        <f aca="false">S312-$M$2</f>
        <v>0.00116601208544864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0.0574245452880859</v>
      </c>
      <c r="C313" s="25" t="n">
        <f aca="false">IF(T312&gt;0,D312,C312)</f>
        <v>0.0574274063110352</v>
      </c>
      <c r="D313" s="41" t="n">
        <f aca="false">(B313+C313)/2</f>
        <v>0.0574259757995606</v>
      </c>
      <c r="E313" s="15" t="n">
        <f aca="false">$C$2*(1+IF(E$3&lt;=$O$2,$D313,$D313-($D313-$I$292)*MIN(E$3-$O$2,$Q$2)/$Q$2))</f>
        <v>5181.38728141785</v>
      </c>
      <c r="F313" s="15" t="n">
        <f aca="false">E313*(1+IF(F$3&lt;=$O$2,$D313,$D313-($D313-$I$292)*MIN(F$3-$O$2,$Q$2)/$Q$2))</f>
        <v>5478.9335020487</v>
      </c>
      <c r="G313" s="15" t="n">
        <f aca="false">F313*(1+IF(G$3&lt;=$O$2,$D313,$D313-($D313-$I$292)*MIN(G$3-$O$2,$Q$2)/$Q$2))</f>
        <v>5793.56660474475</v>
      </c>
      <c r="H313" s="15" t="n">
        <f aca="false">G313*(1+IF(H$3&lt;=$O$2,$D313,$D313-($D313-$I$292)*MIN(H$3-$O$2,$Q$2)/$Q$2))</f>
        <v>6126.26782038196</v>
      </c>
      <c r="I313" s="15" t="n">
        <f aca="false">H313*(1+IF(I$3&lt;=$O$2,$D313,$D313-($D313-$I$292)*MIN(I$3-$O$2,$Q$2)/$Q$2))</f>
        <v>6478.07472797684</v>
      </c>
      <c r="J313" s="15" t="n">
        <f aca="false">I313*(1+IF(J$3&lt;=$O$2,$D313,$D313-($D313-$I$292)*MIN(J$3-$O$2,$Q$2)/$Q$2))</f>
        <v>6825.30459043838</v>
      </c>
      <c r="K313" s="15" t="n">
        <f aca="false">J313*(1+IF(K$3&lt;=$O$2,$D313,$D313-($D313-$I$292)*MIN(K$3-$O$2,$Q$2)/$Q$2))</f>
        <v>7165.03812250498</v>
      </c>
      <c r="L313" s="15" t="n">
        <f aca="false">K313*(1+IF(L$3&lt;=$O$2,$D313,$D313-($D313-$I$292)*MIN(L$3-$O$2,$Q$2)/$Q$2))</f>
        <v>7494.27442089051</v>
      </c>
      <c r="M313" s="15" t="n">
        <f aca="false">L313*(1+IF(M$3&lt;=$O$2,$D313,$D313-($D313-$I$292)*MIN(M$3-$O$2,$Q$2)/$Q$2))</f>
        <v>7809.97219345246</v>
      </c>
      <c r="N313" s="15" t="n">
        <f aca="false">M313*(1+IF(N$3&lt;=$O$2,$D313,$D313-($D313-$I$292)*MIN(N$3-$O$2,$Q$2)/$Q$2))</f>
        <v>8109.09412846169</v>
      </c>
      <c r="O313" s="15" t="n">
        <f aca="false">SUMPRODUCT(E313:N313,1/(1+$F$292)^$E$3:$N$3)*$E$2</f>
        <v>6615.79280486565</v>
      </c>
      <c r="P313" s="15" t="n">
        <f aca="false">N313*$E$2*(1+$I$292)/($F$292-$I$292)/(1+$F$292)^$N$3</f>
        <v>11034.7847063609</v>
      </c>
      <c r="Q313" s="15" t="n">
        <f aca="false">O313+P313</f>
        <v>17650.5775112266</v>
      </c>
      <c r="R313" s="15" t="n">
        <f aca="false">Q313-$G$2+$I$2</f>
        <v>12830.0775112266</v>
      </c>
      <c r="S313" s="42" t="n">
        <f aca="false">R313/$K$2</f>
        <v>66.9628262590114</v>
      </c>
      <c r="T313" s="43" t="n">
        <f aca="false">S313-$M$2</f>
        <v>0.000404547111571674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0.0574245452880859</v>
      </c>
      <c r="C314" s="25" t="n">
        <f aca="false">IF(T313&gt;0,D313,C313)</f>
        <v>0.0574259757995606</v>
      </c>
      <c r="D314" s="41" t="n">
        <f aca="false">(B314+C314)/2</f>
        <v>0.0574252605438232</v>
      </c>
      <c r="E314" s="15" t="n">
        <f aca="false">$C$2*(1+IF(E$3&lt;=$O$2,$D314,$D314-($D314-$I$292)*MIN(E$3-$O$2,$Q$2)/$Q$2))</f>
        <v>5181.38377666473</v>
      </c>
      <c r="F314" s="15" t="n">
        <f aca="false">E314*(1+IF(F$3&lt;=$O$2,$D314,$D314-($D314-$I$292)*MIN(F$3-$O$2,$Q$2)/$Q$2))</f>
        <v>5478.92609001725</v>
      </c>
      <c r="G314" s="15" t="n">
        <f aca="false">F314*(1+IF(G$3&lt;=$O$2,$D314,$D314-($D314-$I$292)*MIN(G$3-$O$2,$Q$2)/$Q$2))</f>
        <v>5793.55484823684</v>
      </c>
      <c r="H314" s="15" t="n">
        <f aca="false">G314*(1+IF(H$3&lt;=$O$2,$D314,$D314-($D314-$I$292)*MIN(H$3-$O$2,$Q$2)/$Q$2))</f>
        <v>6126.25124487177</v>
      </c>
      <c r="I314" s="15" t="n">
        <f aca="false">H314*(1+IF(I$3&lt;=$O$2,$D314,$D314-($D314-$I$292)*MIN(I$3-$O$2,$Q$2)/$Q$2))</f>
        <v>6478.05281876545</v>
      </c>
      <c r="J314" s="15" t="n">
        <f aca="false">I314*(1+IF(J$3&lt;=$O$2,$D314,$D314-($D314-$I$292)*MIN(J$3-$O$2,$Q$2)/$Q$2))</f>
        <v>6825.2778001046</v>
      </c>
      <c r="K314" s="15" t="n">
        <f aca="false">J314*(1+IF(K$3&lt;=$O$2,$D314,$D314-($D314-$I$292)*MIN(K$3-$O$2,$Q$2)/$Q$2))</f>
        <v>7165.00706957519</v>
      </c>
      <c r="L314" s="15" t="n">
        <f aca="false">K314*(1+IF(L$3&lt;=$O$2,$D314,$D314-($D314-$I$292)*MIN(L$3-$O$2,$Q$2)/$Q$2))</f>
        <v>7494.2398911415</v>
      </c>
      <c r="M314" s="15" t="n">
        <f aca="false">L314*(1+IF(M$3&lt;=$O$2,$D314,$D314-($D314-$I$292)*MIN(M$3-$O$2,$Q$2)/$Q$2))</f>
        <v>7809.93513707142</v>
      </c>
      <c r="N314" s="15" t="n">
        <f aca="false">M314*(1+IF(N$3&lt;=$O$2,$D314,$D314-($D314-$I$292)*MIN(N$3-$O$2,$Q$2)/$Q$2))</f>
        <v>8109.05565282125</v>
      </c>
      <c r="O314" s="15" t="n">
        <f aca="false">SUMPRODUCT(E314:N314,1/(1+$F$292)^$E$3:$N$3)*$E$2</f>
        <v>6615.77221426004</v>
      </c>
      <c r="P314" s="15" t="n">
        <f aca="false">N314*$E$2*(1+$I$292)/($F$292-$I$292)/(1+$F$292)^$N$3</f>
        <v>11034.7323490443</v>
      </c>
      <c r="Q314" s="15" t="n">
        <f aca="false">O314+P314</f>
        <v>17650.5045633044</v>
      </c>
      <c r="R314" s="15" t="n">
        <f aca="false">Q314-$G$2+$I$2</f>
        <v>12830.0045633044</v>
      </c>
      <c r="S314" s="42" t="n">
        <f aca="false">R314/$K$2</f>
        <v>66.9624455287284</v>
      </c>
      <c r="T314" s="43" t="n">
        <f aca="false">S314-$M$2</f>
        <v>2.38168286301743E-005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0.0574245452880859</v>
      </c>
      <c r="C315" s="25" t="n">
        <f aca="false">IF(T314&gt;0,D314,C314)</f>
        <v>0.0574252605438232</v>
      </c>
      <c r="D315" s="41" t="n">
        <f aca="false">(B315+C315)/2</f>
        <v>0.0574249029159546</v>
      </c>
      <c r="E315" s="15" t="n">
        <f aca="false">$C$2*(1+IF(E$3&lt;=$O$2,$D315,$D315-($D315-$I$292)*MIN(E$3-$O$2,$Q$2)/$Q$2))</f>
        <v>5181.38202428818</v>
      </c>
      <c r="F315" s="15" t="n">
        <f aca="false">E315*(1+IF(F$3&lt;=$O$2,$D315,$D315-($D315-$I$292)*MIN(F$3-$O$2,$Q$2)/$Q$2))</f>
        <v>5478.9223840034</v>
      </c>
      <c r="G315" s="15" t="n">
        <f aca="false">F315*(1+IF(G$3&lt;=$O$2,$D315,$D315-($D315-$I$292)*MIN(G$3-$O$2,$Q$2)/$Q$2))</f>
        <v>5793.54896998884</v>
      </c>
      <c r="H315" s="15" t="n">
        <f aca="false">G315*(1+IF(H$3&lt;=$O$2,$D315,$D315-($D315-$I$292)*MIN(H$3-$O$2,$Q$2)/$Q$2))</f>
        <v>6126.24295712928</v>
      </c>
      <c r="I315" s="15" t="n">
        <f aca="false">H315*(1+IF(I$3&lt;=$O$2,$D315,$D315-($D315-$I$292)*MIN(I$3-$O$2,$Q$2)/$Q$2))</f>
        <v>6478.04186418198</v>
      </c>
      <c r="J315" s="15" t="n">
        <f aca="false">I315*(1+IF(J$3&lt;=$O$2,$D315,$D315-($D315-$I$292)*MIN(J$3-$O$2,$Q$2)/$Q$2))</f>
        <v>6825.26440497053</v>
      </c>
      <c r="K315" s="15" t="n">
        <f aca="false">J315*(1+IF(K$3&lt;=$O$2,$D315,$D315-($D315-$I$292)*MIN(K$3-$O$2,$Q$2)/$Q$2))</f>
        <v>7164.99154315337</v>
      </c>
      <c r="L315" s="15" t="n">
        <f aca="false">K315*(1+IF(L$3&lt;=$O$2,$D315,$D315-($D315-$I$292)*MIN(L$3-$O$2,$Q$2)/$Q$2))</f>
        <v>7494.22262631872</v>
      </c>
      <c r="M315" s="15" t="n">
        <f aca="false">L315*(1+IF(M$3&lt;=$O$2,$D315,$D315-($D315-$I$292)*MIN(M$3-$O$2,$Q$2)/$Q$2))</f>
        <v>7809.91660893851</v>
      </c>
      <c r="N315" s="15" t="n">
        <f aca="false">M315*(1+IF(N$3&lt;=$O$2,$D315,$D315-($D315-$I$292)*MIN(N$3-$O$2,$Q$2)/$Q$2))</f>
        <v>8109.03641506085</v>
      </c>
      <c r="O315" s="15" t="n">
        <f aca="false">SUMPRODUCT(E315:N315,1/(1+$F$292)^$E$3:$N$3)*$E$2</f>
        <v>6615.76191898141</v>
      </c>
      <c r="P315" s="15" t="n">
        <f aca="false">N315*$E$2*(1+$I$292)/($F$292-$I$292)/(1+$F$292)^$N$3</f>
        <v>11034.7061704674</v>
      </c>
      <c r="Q315" s="15" t="n">
        <f aca="false">O315+P315</f>
        <v>17650.4680894488</v>
      </c>
      <c r="R315" s="15" t="n">
        <f aca="false">Q315-$G$2+$I$2</f>
        <v>12829.9680894488</v>
      </c>
      <c r="S315" s="42" t="n">
        <f aca="false">R315/$K$2</f>
        <v>66.962255164138</v>
      </c>
      <c r="T315" s="43" t="n">
        <f aca="false">S315-$M$2</f>
        <v>-0.000166547761821789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0.0574249029159546</v>
      </c>
      <c r="C316" s="25" t="n">
        <f aca="false">IF(T315&gt;0,D315,C315)</f>
        <v>0.0574252605438232</v>
      </c>
      <c r="D316" s="41" t="n">
        <f aca="false">(B316+C316)/2</f>
        <v>0.0574250817298889</v>
      </c>
      <c r="E316" s="15" t="n">
        <f aca="false">$C$2*(1+IF(E$3&lt;=$O$2,$D316,$D316-($D316-$I$292)*MIN(E$3-$O$2,$Q$2)/$Q$2))</f>
        <v>5181.38290047646</v>
      </c>
      <c r="F316" s="15" t="n">
        <f aca="false">E316*(1+IF(F$3&lt;=$O$2,$D316,$D316-($D316-$I$292)*MIN(F$3-$O$2,$Q$2)/$Q$2))</f>
        <v>5478.92423701017</v>
      </c>
      <c r="G316" s="15" t="n">
        <f aca="false">F316*(1+IF(G$3&lt;=$O$2,$D316,$D316-($D316-$I$292)*MIN(G$3-$O$2,$Q$2)/$Q$2))</f>
        <v>5793.55190911234</v>
      </c>
      <c r="H316" s="15" t="n">
        <f aca="false">G316*(1+IF(H$3&lt;=$O$2,$D316,$D316-($D316-$I$292)*MIN(H$3-$O$2,$Q$2)/$Q$2))</f>
        <v>6126.24710099947</v>
      </c>
      <c r="I316" s="15" t="n">
        <f aca="false">H316*(1+IF(I$3&lt;=$O$2,$D316,$D316-($D316-$I$292)*MIN(I$3-$O$2,$Q$2)/$Q$2))</f>
        <v>6478.04734147186</v>
      </c>
      <c r="J316" s="15" t="n">
        <f aca="false">I316*(1+IF(J$3&lt;=$O$2,$D316,$D316-($D316-$I$292)*MIN(J$3-$O$2,$Q$2)/$Q$2))</f>
        <v>6825.27110253482</v>
      </c>
      <c r="K316" s="15" t="n">
        <f aca="false">J316*(1+IF(K$3&lt;=$O$2,$D316,$D316-($D316-$I$292)*MIN(K$3-$O$2,$Q$2)/$Q$2))</f>
        <v>7164.99930636069</v>
      </c>
      <c r="L316" s="15" t="n">
        <f aca="false">K316*(1+IF(L$3&lt;=$O$2,$D316,$D316-($D316-$I$292)*MIN(L$3-$O$2,$Q$2)/$Q$2))</f>
        <v>7494.2312587258</v>
      </c>
      <c r="M316" s="15" t="n">
        <f aca="false">L316*(1+IF(M$3&lt;=$O$2,$D316,$D316-($D316-$I$292)*MIN(M$3-$O$2,$Q$2)/$Q$2))</f>
        <v>7809.92587300016</v>
      </c>
      <c r="N316" s="15" t="n">
        <f aca="false">M316*(1+IF(N$3&lt;=$O$2,$D316,$D316-($D316-$I$292)*MIN(N$3-$O$2,$Q$2)/$Q$2))</f>
        <v>8109.04603393607</v>
      </c>
      <c r="O316" s="15" t="n">
        <f aca="false">SUMPRODUCT(E316:N316,1/(1+$F$292)^$E$3:$N$3)*$E$2</f>
        <v>6615.76706661871</v>
      </c>
      <c r="P316" s="15" t="n">
        <f aca="false">N316*$E$2*(1+$I$292)/($F$292-$I$292)/(1+$F$292)^$N$3</f>
        <v>11034.7192597491</v>
      </c>
      <c r="Q316" s="15" t="n">
        <f aca="false">O316+P316</f>
        <v>17650.4863263678</v>
      </c>
      <c r="R316" s="15" t="n">
        <f aca="false">Q316-$G$2+$I$2</f>
        <v>12829.9863263678</v>
      </c>
      <c r="S316" s="42" t="n">
        <f aca="false">R316/$K$2</f>
        <v>66.9623503463873</v>
      </c>
      <c r="T316" s="43" t="n">
        <f aca="false">S316-$M$2</f>
        <v>-7.13655125395007E-005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0.0574250817298889</v>
      </c>
      <c r="C317" s="25" t="n">
        <f aca="false">IF(T316&gt;0,D316,C316)</f>
        <v>0.0574252605438232</v>
      </c>
      <c r="D317" s="41" t="n">
        <f aca="false">(B317+C317)/2</f>
        <v>0.0574251711368561</v>
      </c>
      <c r="E317" s="15" t="n">
        <f aca="false">$C$2*(1+IF(E$3&lt;=$O$2,$D317,$D317-($D317-$I$292)*MIN(E$3-$O$2,$Q$2)/$Q$2))</f>
        <v>5181.3833385706</v>
      </c>
      <c r="F317" s="15" t="n">
        <f aca="false">E317*(1+IF(F$3&lt;=$O$2,$D317,$D317-($D317-$I$292)*MIN(F$3-$O$2,$Q$2)/$Q$2))</f>
        <v>5478.92516351367</v>
      </c>
      <c r="G317" s="15" t="n">
        <f aca="false">F317*(1+IF(G$3&lt;=$O$2,$D317,$D317-($D317-$I$292)*MIN(G$3-$O$2,$Q$2)/$Q$2))</f>
        <v>5793.55337867447</v>
      </c>
      <c r="H317" s="15" t="n">
        <f aca="false">G317*(1+IF(H$3&lt;=$O$2,$D317,$D317-($D317-$I$292)*MIN(H$3-$O$2,$Q$2)/$Q$2))</f>
        <v>6126.24917293536</v>
      </c>
      <c r="I317" s="15" t="n">
        <f aca="false">H317*(1+IF(I$3&lt;=$O$2,$D317,$D317-($D317-$I$292)*MIN(I$3-$O$2,$Q$2)/$Q$2))</f>
        <v>6478.05008011819</v>
      </c>
      <c r="J317" s="15" t="n">
        <f aca="false">I317*(1+IF(J$3&lt;=$O$2,$D317,$D317-($D317-$I$292)*MIN(J$3-$O$2,$Q$2)/$Q$2))</f>
        <v>6825.27445131903</v>
      </c>
      <c r="K317" s="15" t="n">
        <f aca="false">J317*(1+IF(K$3&lt;=$O$2,$D317,$D317-($D317-$I$292)*MIN(K$3-$O$2,$Q$2)/$Q$2))</f>
        <v>7165.00318796704</v>
      </c>
      <c r="L317" s="15" t="n">
        <f aca="false">K317*(1+IF(L$3&lt;=$O$2,$D317,$D317-($D317-$I$292)*MIN(L$3-$O$2,$Q$2)/$Q$2))</f>
        <v>7494.23557493257</v>
      </c>
      <c r="M317" s="15" t="n">
        <f aca="false">L317*(1+IF(M$3&lt;=$O$2,$D317,$D317-($D317-$I$292)*MIN(M$3-$O$2,$Q$2)/$Q$2))</f>
        <v>7809.93050503459</v>
      </c>
      <c r="N317" s="15" t="n">
        <f aca="false">M317*(1+IF(N$3&lt;=$O$2,$D317,$D317-($D317-$I$292)*MIN(N$3-$O$2,$Q$2)/$Q$2))</f>
        <v>8109.05084337741</v>
      </c>
      <c r="O317" s="15" t="n">
        <f aca="false">SUMPRODUCT(E317:N317,1/(1+$F$292)^$E$3:$N$3)*$E$2</f>
        <v>6615.76964043887</v>
      </c>
      <c r="P317" s="15" t="n">
        <f aca="false">N317*$E$2*(1+$I$292)/($F$292-$I$292)/(1+$F$292)^$N$3</f>
        <v>11034.725804395</v>
      </c>
      <c r="Q317" s="15" t="n">
        <f aca="false">O317+P317</f>
        <v>17650.4954448339</v>
      </c>
      <c r="R317" s="15" t="n">
        <f aca="false">Q317-$G$2+$I$2</f>
        <v>12829.9954448339</v>
      </c>
      <c r="S317" s="42" t="n">
        <f aca="false">R317/$K$2</f>
        <v>66.9623979375464</v>
      </c>
      <c r="T317" s="43" t="n">
        <f aca="false">S317-$M$2</f>
        <v>-2.3774353422823E-005</v>
      </c>
    </row>
    <row r="319" customFormat="false" ht="15" hidden="false" customHeight="false" outlineLevel="0" collapsed="false">
      <c r="A319" s="38" t="s">
        <v>183</v>
      </c>
      <c r="E319" s="5" t="s">
        <v>11</v>
      </c>
      <c r="F319" s="12" t="n">
        <f aca="false">Sensitivity!$B$12</f>
        <v>0.0950848977416375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153</v>
      </c>
      <c r="B320" s="28" t="s">
        <v>154</v>
      </c>
      <c r="C320" s="28" t="s">
        <v>155</v>
      </c>
      <c r="D320" s="28" t="s">
        <v>156</v>
      </c>
      <c r="E320" s="28" t="s">
        <v>157</v>
      </c>
      <c r="F320" s="28" t="s">
        <v>158</v>
      </c>
      <c r="G320" s="28" t="s">
        <v>159</v>
      </c>
      <c r="H320" s="28" t="s">
        <v>160</v>
      </c>
      <c r="I320" s="28" t="s">
        <v>161</v>
      </c>
      <c r="J320" s="28" t="s">
        <v>162</v>
      </c>
      <c r="K320" s="28" t="s">
        <v>163</v>
      </c>
      <c r="L320" s="28" t="s">
        <v>164</v>
      </c>
      <c r="M320" s="28" t="s">
        <v>165</v>
      </c>
      <c r="N320" s="28" t="s">
        <v>166</v>
      </c>
      <c r="O320" s="28" t="s">
        <v>167</v>
      </c>
      <c r="P320" s="28" t="s">
        <v>168</v>
      </c>
      <c r="Q320" s="28" t="s">
        <v>169</v>
      </c>
      <c r="R320" s="28" t="s">
        <v>170</v>
      </c>
      <c r="S320" s="28" t="s">
        <v>171</v>
      </c>
      <c r="T320" s="28" t="s">
        <v>172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6125</v>
      </c>
      <c r="F321" s="15" t="n">
        <f aca="false">E321*(1+IF(F$3&lt;=$O$2,$D321,$D321-($D321-$I$319)*MIN(F$3-$O$2,$Q$2)/$Q$2))</f>
        <v>7656.25</v>
      </c>
      <c r="G321" s="15" t="n">
        <f aca="false">F321*(1+IF(G$3&lt;=$O$2,$D321,$D321-($D321-$I$319)*MIN(G$3-$O$2,$Q$2)/$Q$2))</f>
        <v>9570.3125</v>
      </c>
      <c r="H321" s="15" t="n">
        <f aca="false">G321*(1+IF(H$3&lt;=$O$2,$D321,$D321-($D321-$I$319)*MIN(H$3-$O$2,$Q$2)/$Q$2))</f>
        <v>11962.890625</v>
      </c>
      <c r="I321" s="15" t="n">
        <f aca="false">H321*(1+IF(I$3&lt;=$O$2,$D321,$D321-($D321-$I$319)*MIN(I$3-$O$2,$Q$2)/$Q$2))</f>
        <v>14953.61328125</v>
      </c>
      <c r="J321" s="15" t="n">
        <f aca="false">I321*(1+IF(J$3&lt;=$O$2,$D321,$D321-($D321-$I$319)*MIN(J$3-$O$2,$Q$2)/$Q$2))</f>
        <v>17999.0661621094</v>
      </c>
      <c r="K321" s="15" t="n">
        <f aca="false">J321*(1+IF(K$3&lt;=$O$2,$D321,$D321-($D321-$I$319)*MIN(K$3-$O$2,$Q$2)/$Q$2))</f>
        <v>20830.6792507324</v>
      </c>
      <c r="L321" s="15" t="n">
        <f aca="false">K321*(1+IF(L$3&lt;=$O$2,$D321,$D321-($D321-$I$319)*MIN(L$3-$O$2,$Q$2)/$Q$2))</f>
        <v>23142.4680339787</v>
      </c>
      <c r="M321" s="15" t="n">
        <f aca="false">L321*(1+IF(M$3&lt;=$O$2,$D321,$D321-($D321-$I$319)*MIN(M$3-$O$2,$Q$2)/$Q$2))</f>
        <v>24638.3971676951</v>
      </c>
      <c r="N321" s="15" t="n">
        <f aca="false">M321*(1+IF(N$3&lt;=$O$2,$D321,$D321-($D321-$I$319)*MIN(N$3-$O$2,$Q$2)/$Q$2))</f>
        <v>25089.2798358639</v>
      </c>
      <c r="O321" s="15" t="n">
        <f aca="false">SUMPRODUCT(E321:N321,1/(1+$F$319)^$E$3:$N$3)*$E$2</f>
        <v>14589.0534917869</v>
      </c>
      <c r="P321" s="15" t="n">
        <f aca="false">N321*$E$2*(1+$I$319)/($F$319-$I$319)/(1+$F$319)^$N$3</f>
        <v>21571.7437539714</v>
      </c>
      <c r="Q321" s="15" t="n">
        <f aca="false">O321+P321</f>
        <v>36160.7972457583</v>
      </c>
      <c r="R321" s="15" t="n">
        <f aca="false">Q321-$G$2+$I$2</f>
        <v>31340.2972457583</v>
      </c>
      <c r="S321" s="42" t="n">
        <f aca="false">R321/$K$2</f>
        <v>163.571488756567</v>
      </c>
      <c r="T321" s="43" t="n">
        <f aca="false">S321-$M$2</f>
        <v>96.6090670446673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4287.5</v>
      </c>
      <c r="F322" s="15" t="n">
        <f aca="false">E322*(1+IF(F$3&lt;=$O$2,$D322,$D322-($D322-$I$319)*MIN(F$3-$O$2,$Q$2)/$Q$2))</f>
        <v>3751.5625</v>
      </c>
      <c r="G322" s="15" t="n">
        <f aca="false">F322*(1+IF(G$3&lt;=$O$2,$D322,$D322-($D322-$I$319)*MIN(G$3-$O$2,$Q$2)/$Q$2))</f>
        <v>3282.6171875</v>
      </c>
      <c r="H322" s="15" t="n">
        <f aca="false">G322*(1+IF(H$3&lt;=$O$2,$D322,$D322-($D322-$I$319)*MIN(H$3-$O$2,$Q$2)/$Q$2))</f>
        <v>2872.2900390625</v>
      </c>
      <c r="I322" s="15" t="n">
        <f aca="false">H322*(1+IF(I$3&lt;=$O$2,$D322,$D322-($D322-$I$319)*MIN(I$3-$O$2,$Q$2)/$Q$2))</f>
        <v>2513.25378417969</v>
      </c>
      <c r="J322" s="15" t="n">
        <f aca="false">I322*(1+IF(J$3&lt;=$O$2,$D322,$D322-($D322-$I$319)*MIN(J$3-$O$2,$Q$2)/$Q$2))</f>
        <v>2271.12691461182</v>
      </c>
      <c r="K322" s="15" t="n">
        <f aca="false">J322*(1+IF(K$3&lt;=$O$2,$D322,$D322-($D322-$I$319)*MIN(K$3-$O$2,$Q$2)/$Q$2))</f>
        <v>2117.41704503089</v>
      </c>
      <c r="L322" s="15" t="n">
        <f aca="false">K322*(1+IF(L$3&lt;=$O$2,$D322,$D322-($D322-$I$319)*MIN(L$3-$O$2,$Q$2)/$Q$2))</f>
        <v>2034.79543193378</v>
      </c>
      <c r="M322" s="15" t="n">
        <f aca="false">L322*(1+IF(M$3&lt;=$O$2,$D322,$D322-($D322-$I$319)*MIN(M$3-$O$2,$Q$2)/$Q$2))</f>
        <v>2013.71495125895</v>
      </c>
      <c r="N322" s="15" t="n">
        <f aca="false">M322*(1+IF(N$3&lt;=$O$2,$D322,$D322-($D322-$I$319)*MIN(N$3-$O$2,$Q$2)/$Q$2))</f>
        <v>2050.56593486699</v>
      </c>
      <c r="O322" s="15" t="n">
        <f aca="false">SUMPRODUCT(E322:N322,1/(1+$F$319)^$E$3:$N$3)*$E$2</f>
        <v>2938.4221431975</v>
      </c>
      <c r="P322" s="15" t="n">
        <f aca="false">N322*$E$2*(1+$I$319)/($F$319-$I$319)/(1+$F$319)^$N$3</f>
        <v>1763.07503391718</v>
      </c>
      <c r="Q322" s="15" t="n">
        <f aca="false">O322+P322</f>
        <v>4701.49717711468</v>
      </c>
      <c r="R322" s="15" t="n">
        <f aca="false">Q322-$G$2+$I$2</f>
        <v>-119.002822885322</v>
      </c>
      <c r="S322" s="42" t="n">
        <f aca="false">R322/$K$2</f>
        <v>-0.621100328211491</v>
      </c>
      <c r="T322" s="43" t="n">
        <f aca="false">S322-$M$2</f>
        <v>-67.5835220401113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5206.25</v>
      </c>
      <c r="F323" s="15" t="n">
        <f aca="false">E323*(1+IF(F$3&lt;=$O$2,$D323,$D323-($D323-$I$319)*MIN(F$3-$O$2,$Q$2)/$Q$2))</f>
        <v>5531.640625</v>
      </c>
      <c r="G323" s="15" t="n">
        <f aca="false">F323*(1+IF(G$3&lt;=$O$2,$D323,$D323-($D323-$I$319)*MIN(G$3-$O$2,$Q$2)/$Q$2))</f>
        <v>5877.3681640625</v>
      </c>
      <c r="H323" s="15" t="n">
        <f aca="false">G323*(1+IF(H$3&lt;=$O$2,$D323,$D323-($D323-$I$319)*MIN(H$3-$O$2,$Q$2)/$Q$2))</f>
        <v>6244.70367431641</v>
      </c>
      <c r="I323" s="15" t="n">
        <f aca="false">H323*(1+IF(I$3&lt;=$O$2,$D323,$D323-($D323-$I$319)*MIN(I$3-$O$2,$Q$2)/$Q$2))</f>
        <v>6634.99765396118</v>
      </c>
      <c r="J323" s="15" t="n">
        <f aca="false">I323*(1+IF(J$3&lt;=$O$2,$D323,$D323-($D323-$I$319)*MIN(J$3-$O$2,$Q$2)/$Q$2))</f>
        <v>6991.03162807274</v>
      </c>
      <c r="K323" s="15" t="n">
        <f aca="false">J323*(1+IF(K$3&lt;=$O$2,$D323,$D323-($D323-$I$319)*MIN(K$3-$O$2,$Q$2)/$Q$2))</f>
        <v>7304.36966564296</v>
      </c>
      <c r="L323" s="15" t="n">
        <f aca="false">K323*(1+IF(L$3&lt;=$O$2,$D323,$D323-($D323-$I$319)*MIN(L$3-$O$2,$Q$2)/$Q$2))</f>
        <v>7567.18088621279</v>
      </c>
      <c r="M323" s="15" t="n">
        <f aca="false">L323*(1+IF(M$3&lt;=$O$2,$D323,$D323-($D323-$I$319)*MIN(M$3-$O$2,$Q$2)/$Q$2))</f>
        <v>7772.55417546461</v>
      </c>
      <c r="N323" s="15" t="n">
        <f aca="false">M323*(1+IF(N$3&lt;=$O$2,$D323,$D323-($D323-$I$319)*MIN(N$3-$O$2,$Q$2)/$Q$2))</f>
        <v>7914.79191687561</v>
      </c>
      <c r="O323" s="15" t="n">
        <f aca="false">SUMPRODUCT(E323:N323,1/(1+$F$319)^$E$3:$N$3)*$E$2</f>
        <v>6528.51763279939</v>
      </c>
      <c r="P323" s="15" t="n">
        <f aca="false">N323*$E$2*(1+$I$319)/($F$319-$I$319)/(1+$F$319)^$N$3</f>
        <v>6805.13208086531</v>
      </c>
      <c r="Q323" s="15" t="n">
        <f aca="false">O323+P323</f>
        <v>13333.6497136647</v>
      </c>
      <c r="R323" s="15" t="n">
        <f aca="false">Q323-$G$2+$I$2</f>
        <v>8513.14971366469</v>
      </c>
      <c r="S323" s="42" t="n">
        <f aca="false">R323/$K$2</f>
        <v>44.4318878583752</v>
      </c>
      <c r="T323" s="43" t="n">
        <f aca="false">S323-$M$2</f>
        <v>-22.5305338535246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5665.625</v>
      </c>
      <c r="F324" s="15" t="n">
        <f aca="false">E324*(1+IF(F$3&lt;=$O$2,$D324,$D324-($D324-$I$319)*MIN(F$3-$O$2,$Q$2)/$Q$2))</f>
        <v>6550.87890625</v>
      </c>
      <c r="G324" s="15" t="n">
        <f aca="false">F324*(1+IF(G$3&lt;=$O$2,$D324,$D324-($D324-$I$319)*MIN(G$3-$O$2,$Q$2)/$Q$2))</f>
        <v>7574.45373535156</v>
      </c>
      <c r="H324" s="15" t="n">
        <f aca="false">G324*(1+IF(H$3&lt;=$O$2,$D324,$D324-($D324-$I$319)*MIN(H$3-$O$2,$Q$2)/$Q$2))</f>
        <v>8757.96213150024</v>
      </c>
      <c r="I324" s="15" t="n">
        <f aca="false">H324*(1+IF(I$3&lt;=$O$2,$D324,$D324-($D324-$I$319)*MIN(I$3-$O$2,$Q$2)/$Q$2))</f>
        <v>10126.3937145472</v>
      </c>
      <c r="J324" s="15" t="n">
        <f aca="false">I324*(1+IF(J$3&lt;=$O$2,$D324,$D324-($D324-$I$319)*MIN(J$3-$O$2,$Q$2)/$Q$2))</f>
        <v>11429.2555298608</v>
      </c>
      <c r="K324" s="15" t="n">
        <f aca="false">J324*(1+IF(K$3&lt;=$O$2,$D324,$D324-($D324-$I$319)*MIN(K$3-$O$2,$Q$2)/$Q$2))</f>
        <v>12584.4103862638</v>
      </c>
      <c r="L324" s="15" t="n">
        <f aca="false">K324*(1+IF(L$3&lt;=$O$2,$D324,$D324-($D324-$I$319)*MIN(L$3-$O$2,$Q$2)/$Q$2))</f>
        <v>13509.1128614465</v>
      </c>
      <c r="M324" s="15" t="n">
        <f aca="false">L324*(1+IF(M$3&lt;=$O$2,$D324,$D324-($D324-$I$319)*MIN(M$3-$O$2,$Q$2)/$Q$2))</f>
        <v>14129.0460506583</v>
      </c>
      <c r="N324" s="15" t="n">
        <f aca="false">M324*(1+IF(N$3&lt;=$O$2,$D324,$D324-($D324-$I$319)*MIN(N$3-$O$2,$Q$2)/$Q$2))</f>
        <v>14387.6075933853</v>
      </c>
      <c r="O324" s="15" t="n">
        <f aca="false">SUMPRODUCT(E324:N324,1/(1+$F$319)^$E$3:$N$3)*$E$2</f>
        <v>9774.20203605914</v>
      </c>
      <c r="P324" s="15" t="n">
        <f aca="false">N324*$E$2*(1+$I$319)/($F$319-$I$319)/(1+$F$319)^$N$3</f>
        <v>12370.4540850769</v>
      </c>
      <c r="Q324" s="15" t="n">
        <f aca="false">O324+P324</f>
        <v>22144.6561211361</v>
      </c>
      <c r="R324" s="15" t="n">
        <f aca="false">Q324-$G$2+$I$2</f>
        <v>17324.1561211361</v>
      </c>
      <c r="S324" s="42" t="n">
        <f aca="false">R324/$K$2</f>
        <v>90.4183513629231</v>
      </c>
      <c r="T324" s="43" t="n">
        <f aca="false">S324-$M$2</f>
        <v>23.4559296510233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5435.9375</v>
      </c>
      <c r="F325" s="15" t="n">
        <f aca="false">E325*(1+IF(F$3&lt;=$O$2,$D325,$D325-($D325-$I$319)*MIN(F$3-$O$2,$Q$2)/$Q$2))</f>
        <v>6030.4931640625</v>
      </c>
      <c r="G325" s="15" t="n">
        <f aca="false">F325*(1+IF(G$3&lt;=$O$2,$D325,$D325-($D325-$I$319)*MIN(G$3-$O$2,$Q$2)/$Q$2))</f>
        <v>6690.07835388184</v>
      </c>
      <c r="H325" s="15" t="n">
        <f aca="false">G325*(1+IF(H$3&lt;=$O$2,$D325,$D325-($D325-$I$319)*MIN(H$3-$O$2,$Q$2)/$Q$2))</f>
        <v>7421.80567383766</v>
      </c>
      <c r="I325" s="15" t="n">
        <f aca="false">H325*(1+IF(I$3&lt;=$O$2,$D325,$D325-($D325-$I$319)*MIN(I$3-$O$2,$Q$2)/$Q$2))</f>
        <v>8233.56566941366</v>
      </c>
      <c r="J325" s="15" t="n">
        <f aca="false">I325*(1+IF(J$3&lt;=$O$2,$D325,$D325-($D325-$I$319)*MIN(J$3-$O$2,$Q$2)/$Q$2))</f>
        <v>8984.13751583741</v>
      </c>
      <c r="K325" s="15" t="n">
        <f aca="false">J325*(1+IF(K$3&lt;=$O$2,$D325,$D325-($D325-$I$319)*MIN(K$3-$O$2,$Q$2)/$Q$2))</f>
        <v>9639.48542693017</v>
      </c>
      <c r="L325" s="15" t="n">
        <f aca="false">K325*(1+IF(L$3&lt;=$O$2,$D325,$D325-($D325-$I$319)*MIN(L$3-$O$2,$Q$2)/$Q$2))</f>
        <v>10167.0544643461</v>
      </c>
      <c r="M325" s="15" t="n">
        <f aca="false">L325*(1+IF(M$3&lt;=$O$2,$D325,$D325-($D325-$I$319)*MIN(M$3-$O$2,$Q$2)/$Q$2))</f>
        <v>10538.3044581117</v>
      </c>
      <c r="N325" s="15" t="n">
        <f aca="false">M325*(1+IF(N$3&lt;=$O$2,$D325,$D325-($D325-$I$319)*MIN(N$3-$O$2,$Q$2)/$Q$2))</f>
        <v>10731.1554296951</v>
      </c>
      <c r="O325" s="15" t="n">
        <f aca="false">SUMPRODUCT(E325:N325,1/(1+$F$319)^$E$3:$N$3)*$E$2</f>
        <v>7989.21131319067</v>
      </c>
      <c r="P325" s="15" t="n">
        <f aca="false">N325*$E$2*(1+$I$319)/($F$319-$I$319)/(1+$F$319)^$N$3</f>
        <v>9226.63929087824</v>
      </c>
      <c r="Q325" s="15" t="n">
        <f aca="false">O325+P325</f>
        <v>17215.8506040689</v>
      </c>
      <c r="R325" s="15" t="n">
        <f aca="false">Q325-$G$2+$I$2</f>
        <v>12395.3506040689</v>
      </c>
      <c r="S325" s="42" t="n">
        <f aca="false">R325/$K$2</f>
        <v>64.6938966809442</v>
      </c>
      <c r="T325" s="43" t="n">
        <f aca="false">S325-$M$2</f>
        <v>-2.26852503095563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0.109375</v>
      </c>
      <c r="C326" s="25" t="n">
        <f aca="false">IF(T325&gt;0,D325,C325)</f>
        <v>0.15625</v>
      </c>
      <c r="D326" s="41" t="n">
        <f aca="false">(B326+C326)/2</f>
        <v>0.1328125</v>
      </c>
      <c r="E326" s="15" t="n">
        <f aca="false">$C$2*(1+IF(E$3&lt;=$O$2,$D326,$D326-($D326-$I$319)*MIN(E$3-$O$2,$Q$2)/$Q$2))</f>
        <v>5550.78125</v>
      </c>
      <c r="F326" s="15" t="n">
        <f aca="false">E326*(1+IF(F$3&lt;=$O$2,$D326,$D326-($D326-$I$319)*MIN(F$3-$O$2,$Q$2)/$Q$2))</f>
        <v>6287.99438476563</v>
      </c>
      <c r="G326" s="15" t="n">
        <f aca="false">F326*(1+IF(G$3&lt;=$O$2,$D326,$D326-($D326-$I$319)*MIN(G$3-$O$2,$Q$2)/$Q$2))</f>
        <v>7123.11863899231</v>
      </c>
      <c r="H326" s="15" t="n">
        <f aca="false">G326*(1+IF(H$3&lt;=$O$2,$D326,$D326-($D326-$I$319)*MIN(H$3-$O$2,$Q$2)/$Q$2))</f>
        <v>8069.15783323348</v>
      </c>
      <c r="I326" s="15" t="n">
        <f aca="false">H326*(1+IF(I$3&lt;=$O$2,$D326,$D326-($D326-$I$319)*MIN(I$3-$O$2,$Q$2)/$Q$2))</f>
        <v>9140.8428579598</v>
      </c>
      <c r="J326" s="15" t="n">
        <f aca="false">I326*(1+IF(J$3&lt;=$O$2,$D326,$D326-($D326-$I$319)*MIN(J$3-$O$2,$Q$2)/$Q$2))</f>
        <v>10145.5128964782</v>
      </c>
      <c r="K326" s="15" t="n">
        <f aca="false">J326*(1+IF(K$3&lt;=$O$2,$D326,$D326-($D326-$I$319)*MIN(K$3-$O$2,$Q$2)/$Q$2))</f>
        <v>11028.2486098185</v>
      </c>
      <c r="L326" s="15" t="n">
        <f aca="false">K326*(1+IF(L$3&lt;=$O$2,$D326,$D326-($D326-$I$319)*MIN(L$3-$O$2,$Q$2)/$Q$2))</f>
        <v>11735.2144869509</v>
      </c>
      <c r="M326" s="15" t="n">
        <f aca="false">L326*(1+IF(M$3&lt;=$O$2,$D326,$D326-($D326-$I$319)*MIN(M$3-$O$2,$Q$2)/$Q$2))</f>
        <v>12218.7346618495</v>
      </c>
      <c r="N326" s="15" t="n">
        <f aca="false">M326*(1+IF(N$3&lt;=$O$2,$D326,$D326-($D326-$I$319)*MIN(N$3-$O$2,$Q$2)/$Q$2))</f>
        <v>12442.3375061613</v>
      </c>
      <c r="O326" s="15" t="n">
        <f aca="false">SUMPRODUCT(E326:N326,1/(1+$F$319)^$E$3:$N$3)*$E$2</f>
        <v>8837.33472466289</v>
      </c>
      <c r="P326" s="15" t="n">
        <f aca="false">N326*$E$2*(1+$I$319)/($F$319-$I$319)/(1+$F$319)^$N$3</f>
        <v>10697.9123410179</v>
      </c>
      <c r="Q326" s="15" t="n">
        <f aca="false">O326+P326</f>
        <v>19535.2470656808</v>
      </c>
      <c r="R326" s="15" t="n">
        <f aca="false">Q326-$G$2+$I$2</f>
        <v>14714.7470656808</v>
      </c>
      <c r="S326" s="42" t="n">
        <f aca="false">R326/$K$2</f>
        <v>76.799306188313</v>
      </c>
      <c r="T326" s="43" t="n">
        <f aca="false">S326-$M$2</f>
        <v>9.83688447641318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0.109375</v>
      </c>
      <c r="C327" s="25" t="n">
        <f aca="false">IF(T326&gt;0,D326,C326)</f>
        <v>0.1328125</v>
      </c>
      <c r="D327" s="41" t="n">
        <f aca="false">(B327+C327)/2</f>
        <v>0.12109375</v>
      </c>
      <c r="E327" s="15" t="n">
        <f aca="false">$C$2*(1+IF(E$3&lt;=$O$2,$D327,$D327-($D327-$I$319)*MIN(E$3-$O$2,$Q$2)/$Q$2))</f>
        <v>5493.359375</v>
      </c>
      <c r="F327" s="15" t="n">
        <f aca="false">E327*(1+IF(F$3&lt;=$O$2,$D327,$D327-($D327-$I$319)*MIN(F$3-$O$2,$Q$2)/$Q$2))</f>
        <v>6158.57086181641</v>
      </c>
      <c r="G327" s="15" t="n">
        <f aca="false">F327*(1+IF(G$3&lt;=$O$2,$D327,$D327-($D327-$I$319)*MIN(G$3-$O$2,$Q$2)/$Q$2))</f>
        <v>6904.33530211449</v>
      </c>
      <c r="H327" s="15" t="n">
        <f aca="false">G327*(1+IF(H$3&lt;=$O$2,$D327,$D327-($D327-$I$319)*MIN(H$3-$O$2,$Q$2)/$Q$2))</f>
        <v>7740.40715510491</v>
      </c>
      <c r="I327" s="15" t="n">
        <f aca="false">H327*(1+IF(I$3&lt;=$O$2,$D327,$D327-($D327-$I$319)*MIN(I$3-$O$2,$Q$2)/$Q$2))</f>
        <v>8677.7220840434</v>
      </c>
      <c r="J327" s="15" t="n">
        <f aca="false">I327*(1+IF(J$3&lt;=$O$2,$D327,$D327-($D327-$I$319)*MIN(J$3-$O$2,$Q$2)/$Q$2))</f>
        <v>9550.1368737627</v>
      </c>
      <c r="K327" s="15" t="n">
        <f aca="false">J327*(1+IF(K$3&lt;=$O$2,$D327,$D327-($D327-$I$319)*MIN(K$3-$O$2,$Q$2)/$Q$2))</f>
        <v>10313.921007913</v>
      </c>
      <c r="L327" s="15" t="n">
        <f aca="false">K327*(1+IF(L$3&lt;=$O$2,$D327,$D327-($D327-$I$319)*MIN(L$3-$O$2,$Q$2)/$Q$2))</f>
        <v>10926.7484094006</v>
      </c>
      <c r="M327" s="15" t="n">
        <f aca="false">L327*(1+IF(M$3&lt;=$O$2,$D327,$D327-($D327-$I$319)*MIN(M$3-$O$2,$Q$2)/$Q$2))</f>
        <v>11351.3481941544</v>
      </c>
      <c r="N327" s="15" t="n">
        <f aca="false">M327*(1+IF(N$3&lt;=$O$2,$D327,$D327-($D327-$I$319)*MIN(N$3-$O$2,$Q$2)/$Q$2))</f>
        <v>11559.0778661075</v>
      </c>
      <c r="O327" s="15" t="n">
        <f aca="false">SUMPRODUCT(E327:N327,1/(1+$F$319)^$E$3:$N$3)*$E$2</f>
        <v>8402.68347305811</v>
      </c>
      <c r="P327" s="15" t="n">
        <f aca="false">N327*$E$2*(1+$I$319)/($F$319-$I$319)/(1+$F$319)^$N$3</f>
        <v>9938.48637310981</v>
      </c>
      <c r="Q327" s="15" t="n">
        <f aca="false">O327+P327</f>
        <v>18341.1698461679</v>
      </c>
      <c r="R327" s="15" t="n">
        <f aca="false">Q327-$G$2+$I$2</f>
        <v>13520.6698461679</v>
      </c>
      <c r="S327" s="42" t="n">
        <f aca="false">R327/$K$2</f>
        <v>70.5671703870977</v>
      </c>
      <c r="T327" s="43" t="n">
        <f aca="false">S327-$M$2</f>
        <v>3.60474867519791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0.109375</v>
      </c>
      <c r="C328" s="25" t="n">
        <f aca="false">IF(T327&gt;0,D327,C327)</f>
        <v>0.12109375</v>
      </c>
      <c r="D328" s="41" t="n">
        <f aca="false">(B328+C328)/2</f>
        <v>0.115234375</v>
      </c>
      <c r="E328" s="15" t="n">
        <f aca="false">$C$2*(1+IF(E$3&lt;=$O$2,$D328,$D328-($D328-$I$319)*MIN(E$3-$O$2,$Q$2)/$Q$2))</f>
        <v>5464.6484375</v>
      </c>
      <c r="F328" s="15" t="n">
        <f aca="false">E328*(1+IF(F$3&lt;=$O$2,$D328,$D328-($D328-$I$319)*MIN(F$3-$O$2,$Q$2)/$Q$2))</f>
        <v>6094.36378479004</v>
      </c>
      <c r="G328" s="15" t="n">
        <f aca="false">F328*(1+IF(G$3&lt;=$O$2,$D328,$D328-($D328-$I$319)*MIN(G$3-$O$2,$Q$2)/$Q$2))</f>
        <v>6796.64398655295</v>
      </c>
      <c r="H328" s="15" t="n">
        <f aca="false">G328*(1+IF(H$3&lt;=$O$2,$D328,$D328-($D328-$I$319)*MIN(H$3-$O$2,$Q$2)/$Q$2))</f>
        <v>7579.85100844089</v>
      </c>
      <c r="I328" s="15" t="n">
        <f aca="false">H328*(1+IF(I$3&lt;=$O$2,$D328,$D328-($D328-$I$319)*MIN(I$3-$O$2,$Q$2)/$Q$2))</f>
        <v>8453.3104019917</v>
      </c>
      <c r="J328" s="15" t="n">
        <f aca="false">I328*(1+IF(J$3&lt;=$O$2,$D328,$D328-($D328-$I$319)*MIN(J$3-$O$2,$Q$2)/$Q$2))</f>
        <v>9263.5390707466</v>
      </c>
      <c r="K328" s="15" t="n">
        <f aca="false">J328*(1+IF(K$3&lt;=$O$2,$D328,$D328-($D328-$I$319)*MIN(K$3-$O$2,$Q$2)/$Q$2))</f>
        <v>9971.8350578078</v>
      </c>
      <c r="L328" s="15" t="n">
        <f aca="false">K328*(1+IF(L$3&lt;=$O$2,$D328,$D328-($D328-$I$319)*MIN(L$3-$O$2,$Q$2)/$Q$2))</f>
        <v>10540.9650789384</v>
      </c>
      <c r="M328" s="15" t="n">
        <f aca="false">L328*(1+IF(M$3&lt;=$O$2,$D328,$D328-($D328-$I$319)*MIN(M$3-$O$2,$Q$2)/$Q$2))</f>
        <v>10938.2211122477</v>
      </c>
      <c r="N328" s="15" t="n">
        <f aca="false">M328*(1+IF(N$3&lt;=$O$2,$D328,$D328-($D328-$I$319)*MIN(N$3-$O$2,$Q$2)/$Q$2))</f>
        <v>11138.3905586018</v>
      </c>
      <c r="O328" s="15" t="n">
        <f aca="false">SUMPRODUCT(E328:N328,1/(1+$F$319)^$E$3:$N$3)*$E$2</f>
        <v>8193.36076642199</v>
      </c>
      <c r="P328" s="15" t="n">
        <f aca="false">N328*$E$2*(1+$I$319)/($F$319-$I$319)/(1+$F$319)^$N$3</f>
        <v>9576.77974552109</v>
      </c>
      <c r="Q328" s="15" t="n">
        <f aca="false">O328+P328</f>
        <v>17770.1405119431</v>
      </c>
      <c r="R328" s="15" t="n">
        <f aca="false">Q328-$G$2+$I$2</f>
        <v>12949.6405119431</v>
      </c>
      <c r="S328" s="42" t="n">
        <f aca="false">R328/$K$2</f>
        <v>67.5868502711017</v>
      </c>
      <c r="T328" s="43" t="n">
        <f aca="false">S328-$M$2</f>
        <v>0.624428559201888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0.109375</v>
      </c>
      <c r="C329" s="25" t="n">
        <f aca="false">IF(T328&gt;0,D328,C328)</f>
        <v>0.115234375</v>
      </c>
      <c r="D329" s="41" t="n">
        <f aca="false">(B329+C329)/2</f>
        <v>0.1123046875</v>
      </c>
      <c r="E329" s="15" t="n">
        <f aca="false">$C$2*(1+IF(E$3&lt;=$O$2,$D329,$D329-($D329-$I$319)*MIN(E$3-$O$2,$Q$2)/$Q$2))</f>
        <v>5450.29296875</v>
      </c>
      <c r="F329" s="15" t="n">
        <f aca="false">E329*(1+IF(F$3&lt;=$O$2,$D329,$D329-($D329-$I$319)*MIN(F$3-$O$2,$Q$2)/$Q$2))</f>
        <v>6062.38641738892</v>
      </c>
      <c r="G329" s="15" t="n">
        <f aca="false">F329*(1+IF(G$3&lt;=$O$2,$D329,$D329-($D329-$I$319)*MIN(G$3-$O$2,$Q$2)/$Q$2))</f>
        <v>6743.22082949802</v>
      </c>
      <c r="H329" s="15" t="n">
        <f aca="false">G329*(1+IF(H$3&lt;=$O$2,$D329,$D329-($D329-$I$319)*MIN(H$3-$O$2,$Q$2)/$Q$2))</f>
        <v>7500.51613749829</v>
      </c>
      <c r="I329" s="15" t="n">
        <f aca="false">H329*(1+IF(I$3&lt;=$O$2,$D329,$D329-($D329-$I$319)*MIN(I$3-$O$2,$Q$2)/$Q$2))</f>
        <v>8342.85925840874</v>
      </c>
      <c r="J329" s="15" t="n">
        <f aca="false">I329*(1+IF(J$3&lt;=$O$2,$D329,$D329-($D329-$I$319)*MIN(J$3-$O$2,$Q$2)/$Q$2))</f>
        <v>9122.94788479218</v>
      </c>
      <c r="K329" s="15" t="n">
        <f aca="false">J329*(1+IF(K$3&lt;=$O$2,$D329,$D329-($D329-$I$319)*MIN(K$3-$O$2,$Q$2)/$Q$2))</f>
        <v>9804.45775007708</v>
      </c>
      <c r="L329" s="15" t="n">
        <f aca="false">K329*(1+IF(L$3&lt;=$O$2,$D329,$D329-($D329-$I$319)*MIN(L$3-$O$2,$Q$2)/$Q$2))</f>
        <v>10352.5453216647</v>
      </c>
      <c r="M329" s="15" t="n">
        <f aca="false">L329*(1+IF(M$3&lt;=$O$2,$D329,$D329-($D329-$I$319)*MIN(M$3-$O$2,$Q$2)/$Q$2))</f>
        <v>10736.6344586097</v>
      </c>
      <c r="N329" s="15" t="n">
        <f aca="false">M329*(1+IF(N$3&lt;=$O$2,$D329,$D329-($D329-$I$319)*MIN(N$3-$O$2,$Q$2)/$Q$2))</f>
        <v>10933.1148692022</v>
      </c>
      <c r="O329" s="15" t="n">
        <f aca="false">SUMPRODUCT(E329:N329,1/(1+$F$319)^$E$3:$N$3)*$E$2</f>
        <v>8090.64684577078</v>
      </c>
      <c r="P329" s="15" t="n">
        <f aca="false">N329*$E$2*(1+$I$319)/($F$319-$I$319)/(1+$F$319)^$N$3</f>
        <v>9400.28386362982</v>
      </c>
      <c r="Q329" s="15" t="n">
        <f aca="false">O329+P329</f>
        <v>17490.9307094006</v>
      </c>
      <c r="R329" s="15" t="n">
        <f aca="false">Q329-$G$2+$I$2</f>
        <v>12670.4307094006</v>
      </c>
      <c r="S329" s="42" t="n">
        <f aca="false">R329/$K$2</f>
        <v>66.1295966043873</v>
      </c>
      <c r="T329" s="43" t="n">
        <f aca="false">S329-$M$2</f>
        <v>-0.832825107512505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0.1123046875</v>
      </c>
      <c r="C330" s="25" t="n">
        <f aca="false">IF(T329&gt;0,D329,C329)</f>
        <v>0.115234375</v>
      </c>
      <c r="D330" s="41" t="n">
        <f aca="false">(B330+C330)/2</f>
        <v>0.11376953125</v>
      </c>
      <c r="E330" s="15" t="n">
        <f aca="false">$C$2*(1+IF(E$3&lt;=$O$2,$D330,$D330-($D330-$I$319)*MIN(E$3-$O$2,$Q$2)/$Q$2))</f>
        <v>5457.470703125</v>
      </c>
      <c r="F330" s="15" t="n">
        <f aca="false">E330*(1+IF(F$3&lt;=$O$2,$D330,$D330-($D330-$I$319)*MIN(F$3-$O$2,$Q$2)/$Q$2))</f>
        <v>6078.36458683014</v>
      </c>
      <c r="G330" s="15" t="n">
        <f aca="false">F330*(1+IF(G$3&lt;=$O$2,$D330,$D330-($D330-$I$319)*MIN(G$3-$O$2,$Q$2)/$Q$2))</f>
        <v>6769.8972766404</v>
      </c>
      <c r="H330" s="15" t="n">
        <f aca="false">G330*(1+IF(H$3&lt;=$O$2,$D330,$D330-($D330-$I$319)*MIN(H$3-$O$2,$Q$2)/$Q$2))</f>
        <v>7540.10531641443</v>
      </c>
      <c r="I330" s="15" t="n">
        <f aca="false">H330*(1+IF(I$3&lt;=$O$2,$D330,$D330-($D330-$I$319)*MIN(I$3-$O$2,$Q$2)/$Q$2))</f>
        <v>8397.93956383854</v>
      </c>
      <c r="J330" s="15" t="n">
        <f aca="false">I330*(1+IF(J$3&lt;=$O$2,$D330,$D330-($D330-$I$319)*MIN(J$3-$O$2,$Q$2)/$Q$2))</f>
        <v>9193.01974075718</v>
      </c>
      <c r="K330" s="15" t="n">
        <f aca="false">J330*(1+IF(K$3&lt;=$O$2,$D330,$D330-($D330-$I$319)*MIN(K$3-$O$2,$Q$2)/$Q$2))</f>
        <v>9887.84397326629</v>
      </c>
      <c r="L330" s="15" t="n">
        <f aca="false">K330*(1+IF(L$3&lt;=$O$2,$D330,$D330-($D330-$I$319)*MIN(L$3-$O$2,$Q$2)/$Q$2))</f>
        <v>10446.3866496574</v>
      </c>
      <c r="M330" s="15" t="n">
        <f aca="false">L330*(1+IF(M$3&lt;=$O$2,$D330,$D330-($D330-$I$319)*MIN(M$3-$O$2,$Q$2)/$Q$2))</f>
        <v>10837.0178526859</v>
      </c>
      <c r="N330" s="15" t="n">
        <f aca="false">M330*(1+IF(N$3&lt;=$O$2,$D330,$D330-($D330-$I$319)*MIN(N$3-$O$2,$Q$2)/$Q$2))</f>
        <v>11035.3352793901</v>
      </c>
      <c r="O330" s="15" t="n">
        <f aca="false">SUMPRODUCT(E330:N330,1/(1+$F$319)^$E$3:$N$3)*$E$2</f>
        <v>8141.84308060184</v>
      </c>
      <c r="P330" s="15" t="n">
        <f aca="false">N330*$E$2*(1+$I$319)/($F$319-$I$319)/(1+$F$319)^$N$3</f>
        <v>9488.17289469905</v>
      </c>
      <c r="Q330" s="15" t="n">
        <f aca="false">O330+P330</f>
        <v>17630.0159753009</v>
      </c>
      <c r="R330" s="15" t="n">
        <f aca="false">Q330-$G$2+$I$2</f>
        <v>12809.5159753009</v>
      </c>
      <c r="S330" s="42" t="n">
        <f aca="false">R330/$K$2</f>
        <v>66.8555113533449</v>
      </c>
      <c r="T330" s="43" t="n">
        <f aca="false">S330-$M$2</f>
        <v>-0.106910358554856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0.11376953125</v>
      </c>
      <c r="C331" s="25" t="n">
        <f aca="false">IF(T330&gt;0,D330,C330)</f>
        <v>0.115234375</v>
      </c>
      <c r="D331" s="41" t="n">
        <f aca="false">(B331+C331)/2</f>
        <v>0.114501953125</v>
      </c>
      <c r="E331" s="15" t="n">
        <f aca="false">$C$2*(1+IF(E$3&lt;=$O$2,$D331,$D331-($D331-$I$319)*MIN(E$3-$O$2,$Q$2)/$Q$2))</f>
        <v>5461.0595703125</v>
      </c>
      <c r="F331" s="15" t="n">
        <f aca="false">E331*(1+IF(F$3&lt;=$O$2,$D331,$D331-($D331-$I$319)*MIN(F$3-$O$2,$Q$2)/$Q$2))</f>
        <v>6086.36155724525</v>
      </c>
      <c r="G331" s="15" t="n">
        <f aca="false">F331*(1+IF(G$3&lt;=$O$2,$D331,$D331-($D331-$I$319)*MIN(G$3-$O$2,$Q$2)/$Q$2))</f>
        <v>6783.26184297475</v>
      </c>
      <c r="H331" s="15" t="n">
        <f aca="false">G331*(1+IF(H$3&lt;=$O$2,$D331,$D331-($D331-$I$319)*MIN(H$3-$O$2,$Q$2)/$Q$2))</f>
        <v>7559.95857255365</v>
      </c>
      <c r="I331" s="15" t="n">
        <f aca="false">H331*(1+IF(I$3&lt;=$O$2,$D331,$D331-($D331-$I$319)*MIN(I$3-$O$2,$Q$2)/$Q$2))</f>
        <v>8425.58859465513</v>
      </c>
      <c r="J331" s="15" t="n">
        <f aca="false">I331*(1+IF(J$3&lt;=$O$2,$D331,$D331-($D331-$I$319)*MIN(J$3-$O$2,$Q$2)/$Q$2))</f>
        <v>9228.22332916416</v>
      </c>
      <c r="K331" s="15" t="n">
        <f aca="false">J331*(1+IF(K$3&lt;=$O$2,$D331,$D331-($D331-$I$319)*MIN(K$3-$O$2,$Q$2)/$Q$2))</f>
        <v>9929.76368097143</v>
      </c>
      <c r="L331" s="15" t="n">
        <f aca="false">K331*(1+IF(L$3&lt;=$O$2,$D331,$D331-($D331-$I$319)*MIN(L$3-$O$2,$Q$2)/$Q$2))</f>
        <v>10493.5834204049</v>
      </c>
      <c r="M331" s="15" t="n">
        <f aca="false">L331*(1+IF(M$3&lt;=$O$2,$D331,$D331-($D331-$I$319)*MIN(M$3-$O$2,$Q$2)/$Q$2))</f>
        <v>10887.5166410629</v>
      </c>
      <c r="N331" s="15" t="n">
        <f aca="false">M331*(1+IF(N$3&lt;=$O$2,$D331,$D331-($D331-$I$319)*MIN(N$3-$O$2,$Q$2)/$Q$2))</f>
        <v>11086.7581955943</v>
      </c>
      <c r="O331" s="15" t="n">
        <f aca="false">SUMPRODUCT(E331:N331,1/(1+$F$319)^$E$3:$N$3)*$E$2</f>
        <v>8167.56162575559</v>
      </c>
      <c r="P331" s="15" t="n">
        <f aca="false">N331*$E$2*(1+$I$319)/($F$319-$I$319)/(1+$F$319)^$N$3</f>
        <v>9532.38627900887</v>
      </c>
      <c r="Q331" s="15" t="n">
        <f aca="false">O331+P331</f>
        <v>17699.9479047645</v>
      </c>
      <c r="R331" s="15" t="n">
        <f aca="false">Q331-$G$2+$I$2</f>
        <v>12879.4479047645</v>
      </c>
      <c r="S331" s="42" t="n">
        <f aca="false">R331/$K$2</f>
        <v>67.2205005467874</v>
      </c>
      <c r="T331" s="43" t="n">
        <f aca="false">S331-$M$2</f>
        <v>0.258078834887598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0.11376953125</v>
      </c>
      <c r="C332" s="25" t="n">
        <f aca="false">IF(T331&gt;0,D331,C331)</f>
        <v>0.114501953125</v>
      </c>
      <c r="D332" s="41" t="n">
        <f aca="false">(B332+C332)/2</f>
        <v>0.1141357421875</v>
      </c>
      <c r="E332" s="15" t="n">
        <f aca="false">$C$2*(1+IF(E$3&lt;=$O$2,$D332,$D332-($D332-$I$319)*MIN(E$3-$O$2,$Q$2)/$Q$2))</f>
        <v>5459.26513671875</v>
      </c>
      <c r="F332" s="15" t="n">
        <f aca="false">E332*(1+IF(F$3&lt;=$O$2,$D332,$D332-($D332-$I$319)*MIN(F$3-$O$2,$Q$2)/$Q$2))</f>
        <v>6082.36241489649</v>
      </c>
      <c r="G332" s="15" t="n">
        <f aca="false">F332*(1+IF(G$3&lt;=$O$2,$D332,$D332-($D332-$I$319)*MIN(G$3-$O$2,$Q$2)/$Q$2))</f>
        <v>6776.57736337405</v>
      </c>
      <c r="H332" s="15" t="n">
        <f aca="false">G332*(1+IF(H$3&lt;=$O$2,$D332,$D332-($D332-$I$319)*MIN(H$3-$O$2,$Q$2)/$Q$2))</f>
        <v>7550.02705023376</v>
      </c>
      <c r="I332" s="15" t="n">
        <f aca="false">H332*(1+IF(I$3&lt;=$O$2,$D332,$D332-($D332-$I$319)*MIN(I$3-$O$2,$Q$2)/$Q$2))</f>
        <v>8411.7549911479</v>
      </c>
      <c r="J332" s="15" t="n">
        <f aca="false">I332*(1+IF(J$3&lt;=$O$2,$D332,$D332-($D332-$I$319)*MIN(J$3-$O$2,$Q$2)/$Q$2))</f>
        <v>9210.60753362675</v>
      </c>
      <c r="K332" s="15" t="n">
        <f aca="false">J332*(1+IF(K$3&lt;=$O$2,$D332,$D332-($D332-$I$319)*MIN(K$3-$O$2,$Q$2)/$Q$2))</f>
        <v>9908.78489688186</v>
      </c>
      <c r="L332" s="15" t="n">
        <f aca="false">K332*(1+IF(L$3&lt;=$O$2,$D332,$D332-($D332-$I$319)*MIN(L$3-$O$2,$Q$2)/$Q$2))</f>
        <v>10469.9619624024</v>
      </c>
      <c r="M332" s="15" t="n">
        <f aca="false">L332*(1+IF(M$3&lt;=$O$2,$D332,$D332-($D332-$I$319)*MIN(M$3-$O$2,$Q$2)/$Q$2))</f>
        <v>10862.2415813827</v>
      </c>
      <c r="N332" s="15" t="n">
        <f aca="false">M332*(1+IF(N$3&lt;=$O$2,$D332,$D332-($D332-$I$319)*MIN(N$3-$O$2,$Q$2)/$Q$2))</f>
        <v>11061.020602322</v>
      </c>
      <c r="O332" s="15" t="n">
        <f aca="false">SUMPRODUCT(E332:N332,1/(1+$F$319)^$E$3:$N$3)*$E$2</f>
        <v>8154.69229331028</v>
      </c>
      <c r="P332" s="15" t="n">
        <f aca="false">N332*$E$2*(1+$I$319)/($F$319-$I$319)/(1+$F$319)^$N$3</f>
        <v>9510.25711585444</v>
      </c>
      <c r="Q332" s="15" t="n">
        <f aca="false">O332+P332</f>
        <v>17664.9494091647</v>
      </c>
      <c r="R332" s="15" t="n">
        <f aca="false">Q332-$G$2+$I$2</f>
        <v>12844.4494091647</v>
      </c>
      <c r="S332" s="42" t="n">
        <f aca="false">R332/$K$2</f>
        <v>67.0378361647428</v>
      </c>
      <c r="T332" s="43" t="n">
        <f aca="false">S332-$M$2</f>
        <v>0.0754144528429919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0.11376953125</v>
      </c>
      <c r="C333" s="25" t="n">
        <f aca="false">IF(T332&gt;0,D332,C332)</f>
        <v>0.1141357421875</v>
      </c>
      <c r="D333" s="41" t="n">
        <f aca="false">(B333+C333)/2</f>
        <v>0.11395263671875</v>
      </c>
      <c r="E333" s="15" t="n">
        <f aca="false">$C$2*(1+IF(E$3&lt;=$O$2,$D333,$D333-($D333-$I$319)*MIN(E$3-$O$2,$Q$2)/$Q$2))</f>
        <v>5458.36791992188</v>
      </c>
      <c r="F333" s="15" t="n">
        <f aca="false">E333*(1+IF(F$3&lt;=$O$2,$D333,$D333-($D333-$I$319)*MIN(F$3-$O$2,$Q$2)/$Q$2))</f>
        <v>6080.36333657801</v>
      </c>
      <c r="G333" s="15" t="n">
        <f aca="false">F333*(1+IF(G$3&lt;=$O$2,$D333,$D333-($D333-$I$319)*MIN(G$3-$O$2,$Q$2)/$Q$2))</f>
        <v>6773.23677098909</v>
      </c>
      <c r="H333" s="15" t="n">
        <f aca="false">G333*(1+IF(H$3&lt;=$O$2,$D333,$D333-($D333-$I$319)*MIN(H$3-$O$2,$Q$2)/$Q$2))</f>
        <v>7545.06496016369</v>
      </c>
      <c r="I333" s="15" t="n">
        <f aca="false">H333*(1+IF(I$3&lt;=$O$2,$D333,$D333-($D333-$I$319)*MIN(I$3-$O$2,$Q$2)/$Q$2))</f>
        <v>8404.8450065886</v>
      </c>
      <c r="J333" s="15" t="n">
        <f aca="false">I333*(1+IF(J$3&lt;=$O$2,$D333,$D333-($D333-$I$319)*MIN(J$3-$O$2,$Q$2)/$Q$2))</f>
        <v>9201.81013908326</v>
      </c>
      <c r="K333" s="15" t="n">
        <f aca="false">J333*(1+IF(K$3&lt;=$O$2,$D333,$D333-($D333-$I$319)*MIN(K$3-$O$2,$Q$2)/$Q$2))</f>
        <v>9898.30970606167</v>
      </c>
      <c r="L333" s="15" t="n">
        <f aca="false">K333*(1+IF(L$3&lt;=$O$2,$D333,$D333-($D333-$I$319)*MIN(L$3-$O$2,$Q$2)/$Q$2))</f>
        <v>10458.16854266</v>
      </c>
      <c r="M333" s="15" t="n">
        <f aca="false">L333*(1+IF(M$3&lt;=$O$2,$D333,$D333-($D333-$I$319)*MIN(M$3-$O$2,$Q$2)/$Q$2))</f>
        <v>10849.6233062616</v>
      </c>
      <c r="N333" s="15" t="n">
        <f aca="false">M333*(1+IF(N$3&lt;=$O$2,$D333,$D333-($D333-$I$319)*MIN(N$3-$O$2,$Q$2)/$Q$2))</f>
        <v>11048.1714127662</v>
      </c>
      <c r="O333" s="15" t="n">
        <f aca="false">SUMPRODUCT(E333:N333,1/(1+$F$319)^$E$3:$N$3)*$E$2</f>
        <v>8148.26517380828</v>
      </c>
      <c r="P333" s="15" t="n">
        <f aca="false">N333*$E$2*(1+$I$319)/($F$319-$I$319)/(1+$F$319)^$N$3</f>
        <v>9499.20939243006</v>
      </c>
      <c r="Q333" s="15" t="n">
        <f aca="false">O333+P333</f>
        <v>17647.4745662383</v>
      </c>
      <c r="R333" s="15" t="n">
        <f aca="false">Q333-$G$2+$I$2</f>
        <v>12826.9745662383</v>
      </c>
      <c r="S333" s="42" t="n">
        <f aca="false">R333/$K$2</f>
        <v>66.9466313477993</v>
      </c>
      <c r="T333" s="43" t="n">
        <f aca="false">S333-$M$2</f>
        <v>-0.015790364100539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0.11395263671875</v>
      </c>
      <c r="C334" s="25" t="n">
        <f aca="false">IF(T333&gt;0,D333,C333)</f>
        <v>0.1141357421875</v>
      </c>
      <c r="D334" s="41" t="n">
        <f aca="false">(B334+C334)/2</f>
        <v>0.114044189453125</v>
      </c>
      <c r="E334" s="15" t="n">
        <f aca="false">$C$2*(1+IF(E$3&lt;=$O$2,$D334,$D334-($D334-$I$319)*MIN(E$3-$O$2,$Q$2)/$Q$2))</f>
        <v>5458.81652832031</v>
      </c>
      <c r="F334" s="15" t="n">
        <f aca="false">E334*(1+IF(F$3&lt;=$O$2,$D334,$D334-($D334-$I$319)*MIN(F$3-$O$2,$Q$2)/$Q$2))</f>
        <v>6081.36283466592</v>
      </c>
      <c r="G334" s="15" t="n">
        <f aca="false">F334*(1+IF(G$3&lt;=$O$2,$D334,$D334-($D334-$I$319)*MIN(G$3-$O$2,$Q$2)/$Q$2))</f>
        <v>6774.90692991576</v>
      </c>
      <c r="H334" s="15" t="n">
        <f aca="false">G334*(1+IF(H$3&lt;=$O$2,$D334,$D334-($D334-$I$319)*MIN(H$3-$O$2,$Q$2)/$Q$2))</f>
        <v>7547.54569935836</v>
      </c>
      <c r="I334" s="15" t="n">
        <f aca="false">H334*(1+IF(I$3&lt;=$O$2,$D334,$D334-($D334-$I$319)*MIN(I$3-$O$2,$Q$2)/$Q$2))</f>
        <v>8408.2994310021</v>
      </c>
      <c r="J334" s="15" t="n">
        <f aca="false">I334*(1+IF(J$3&lt;=$O$2,$D334,$D334-($D334-$I$319)*MIN(J$3-$O$2,$Q$2)/$Q$2))</f>
        <v>9206.20796154982</v>
      </c>
      <c r="K334" s="15" t="n">
        <f aca="false">J334*(1+IF(K$3&lt;=$O$2,$D334,$D334-($D334-$I$319)*MIN(K$3-$O$2,$Q$2)/$Q$2))</f>
        <v>9903.54611877547</v>
      </c>
      <c r="L334" s="15" t="n">
        <f aca="false">K334*(1+IF(L$3&lt;=$O$2,$D334,$D334-($D334-$I$319)*MIN(L$3-$O$2,$Q$2)/$Q$2))</f>
        <v>10464.0638110906</v>
      </c>
      <c r="M334" s="15" t="n">
        <f aca="false">L334*(1+IF(M$3&lt;=$O$2,$D334,$D334-($D334-$I$319)*MIN(M$3-$O$2,$Q$2)/$Q$2))</f>
        <v>10855.9308404293</v>
      </c>
      <c r="N334" s="15" t="n">
        <f aca="false">M334*(1+IF(N$3&lt;=$O$2,$D334,$D334-($D334-$I$319)*MIN(N$3-$O$2,$Q$2)/$Q$2))</f>
        <v>11054.5943748091</v>
      </c>
      <c r="O334" s="15" t="n">
        <f aca="false">SUMPRODUCT(E334:N334,1/(1+$F$319)^$E$3:$N$3)*$E$2</f>
        <v>8151.47810504501</v>
      </c>
      <c r="P334" s="15" t="n">
        <f aca="false">N334*$E$2*(1+$I$319)/($F$319-$I$319)/(1+$F$319)^$N$3</f>
        <v>9504.73185031796</v>
      </c>
      <c r="Q334" s="15" t="n">
        <f aca="false">O334+P334</f>
        <v>17656.209955363</v>
      </c>
      <c r="R334" s="15" t="n">
        <f aca="false">Q334-$G$2+$I$2</f>
        <v>12835.709955363</v>
      </c>
      <c r="S334" s="42" t="n">
        <f aca="false">R334/$K$2</f>
        <v>66.992223149076</v>
      </c>
      <c r="T334" s="43" t="n">
        <f aca="false">S334-$M$2</f>
        <v>0.0298014371762321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0.11395263671875</v>
      </c>
      <c r="C335" s="25" t="n">
        <f aca="false">IF(T334&gt;0,D334,C334)</f>
        <v>0.114044189453125</v>
      </c>
      <c r="D335" s="41" t="n">
        <f aca="false">(B335+C335)/2</f>
        <v>0.113998413085938</v>
      </c>
      <c r="E335" s="15" t="n">
        <f aca="false">$C$2*(1+IF(E$3&lt;=$O$2,$D335,$D335-($D335-$I$319)*MIN(E$3-$O$2,$Q$2)/$Q$2))</f>
        <v>5458.59222412109</v>
      </c>
      <c r="F335" s="15" t="n">
        <f aca="false">E335*(1+IF(F$3&lt;=$O$2,$D335,$D335-($D335-$I$319)*MIN(F$3-$O$2,$Q$2)/$Q$2))</f>
        <v>6080.86307535414</v>
      </c>
      <c r="G335" s="15" t="n">
        <f aca="false">F335*(1+IF(G$3&lt;=$O$2,$D335,$D335-($D335-$I$319)*MIN(G$3-$O$2,$Q$2)/$Q$2))</f>
        <v>6774.07181613738</v>
      </c>
      <c r="H335" s="15" t="n">
        <f aca="false">G335*(1+IF(H$3&lt;=$O$2,$D335,$D335-($D335-$I$319)*MIN(H$3-$O$2,$Q$2)/$Q$2))</f>
        <v>7546.30525330722</v>
      </c>
      <c r="I335" s="15" t="n">
        <f aca="false">H335*(1+IF(I$3&lt;=$O$2,$D335,$D335-($D335-$I$319)*MIN(I$3-$O$2,$Q$2)/$Q$2))</f>
        <v>8406.57207684631</v>
      </c>
      <c r="J335" s="15" t="n">
        <f aca="false">I335*(1+IF(J$3&lt;=$O$2,$D335,$D335-($D335-$I$319)*MIN(J$3-$O$2,$Q$2)/$Q$2))</f>
        <v>9204.00883165</v>
      </c>
      <c r="K335" s="15" t="n">
        <f aca="false">J335*(1+IF(K$3&lt;=$O$2,$D335,$D335-($D335-$I$319)*MIN(K$3-$O$2,$Q$2)/$Q$2))</f>
        <v>9900.92761679991</v>
      </c>
      <c r="L335" s="15" t="n">
        <f aca="false">K335*(1+IF(L$3&lt;=$O$2,$D335,$D335-($D335-$I$319)*MIN(L$3-$O$2,$Q$2)/$Q$2))</f>
        <v>10461.1158165899</v>
      </c>
      <c r="M335" s="15" t="n">
        <f aca="false">L335*(1+IF(M$3&lt;=$O$2,$D335,$D335-($D335-$I$319)*MIN(M$3-$O$2,$Q$2)/$Q$2))</f>
        <v>10852.7766725847</v>
      </c>
      <c r="N335" s="15" t="n">
        <f aca="false">M335*(1+IF(N$3&lt;=$O$2,$D335,$D335-($D335-$I$319)*MIN(N$3-$O$2,$Q$2)/$Q$2))</f>
        <v>11051.382485693</v>
      </c>
      <c r="O335" s="15" t="n">
        <f aca="false">SUMPRODUCT(E335:N335,1/(1+$F$319)^$E$3:$N$3)*$E$2</f>
        <v>8149.8714823265</v>
      </c>
      <c r="P335" s="15" t="n">
        <f aca="false">N335*$E$2*(1+$I$319)/($F$319-$I$319)/(1+$F$319)^$N$3</f>
        <v>9501.97027049453</v>
      </c>
      <c r="Q335" s="15" t="n">
        <f aca="false">O335+P335</f>
        <v>17651.841752821</v>
      </c>
      <c r="R335" s="15" t="n">
        <f aca="false">Q335-$G$2+$I$2</f>
        <v>12831.341752821</v>
      </c>
      <c r="S335" s="42" t="n">
        <f aca="false">R335/$K$2</f>
        <v>66.969424597187</v>
      </c>
      <c r="T335" s="43" t="n">
        <f aca="false">S335-$M$2</f>
        <v>0.00700288528719284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0.11395263671875</v>
      </c>
      <c r="C336" s="25" t="n">
        <f aca="false">IF(T335&gt;0,D335,C335)</f>
        <v>0.113998413085938</v>
      </c>
      <c r="D336" s="41" t="n">
        <f aca="false">(B336+C336)/2</f>
        <v>0.113975524902344</v>
      </c>
      <c r="E336" s="15" t="n">
        <f aca="false">$C$2*(1+IF(E$3&lt;=$O$2,$D336,$D336-($D336-$I$319)*MIN(E$3-$O$2,$Q$2)/$Q$2))</f>
        <v>5458.48007202148</v>
      </c>
      <c r="F336" s="15" t="n">
        <f aca="false">E336*(1+IF(F$3&lt;=$O$2,$D336,$D336-($D336-$I$319)*MIN(F$3-$O$2,$Q$2)/$Q$2))</f>
        <v>6080.61320339912</v>
      </c>
      <c r="G336" s="15" t="n">
        <f aca="false">F336*(1+IF(G$3&lt;=$O$2,$D336,$D336-($D336-$I$319)*MIN(G$3-$O$2,$Q$2)/$Q$2))</f>
        <v>6773.65428498465</v>
      </c>
      <c r="H336" s="15" t="n">
        <f aca="false">G336*(1+IF(H$3&lt;=$O$2,$D336,$D336-($D336-$I$319)*MIN(H$3-$O$2,$Q$2)/$Q$2))</f>
        <v>7545.68508762279</v>
      </c>
      <c r="I336" s="15" t="n">
        <f aca="false">H336*(1+IF(I$3&lt;=$O$2,$D336,$D336-($D336-$I$319)*MIN(I$3-$O$2,$Q$2)/$Q$2))</f>
        <v>8405.70850623238</v>
      </c>
      <c r="J336" s="15" t="n">
        <f aca="false">I336*(1+IF(J$3&lt;=$O$2,$D336,$D336-($D336-$I$319)*MIN(J$3-$O$2,$Q$2)/$Q$2))</f>
        <v>9202.90943070434</v>
      </c>
      <c r="K336" s="15" t="n">
        <f aca="false">J336*(1+IF(K$3&lt;=$O$2,$D336,$D336-($D336-$I$319)*MIN(K$3-$O$2,$Q$2)/$Q$2))</f>
        <v>9899.61858753305</v>
      </c>
      <c r="L336" s="15" t="n">
        <f aca="false">K336*(1+IF(L$3&lt;=$O$2,$D336,$D336-($D336-$I$319)*MIN(L$3-$O$2,$Q$2)/$Q$2))</f>
        <v>10459.642089563</v>
      </c>
      <c r="M336" s="15" t="n">
        <f aca="false">L336*(1+IF(M$3&lt;=$O$2,$D336,$D336-($D336-$I$319)*MIN(M$3-$O$2,$Q$2)/$Q$2))</f>
        <v>10851.1998892439</v>
      </c>
      <c r="N336" s="15" t="n">
        <f aca="false">M336*(1+IF(N$3&lt;=$O$2,$D336,$D336-($D336-$I$319)*MIN(N$3-$O$2,$Q$2)/$Q$2))</f>
        <v>11049.7768472171</v>
      </c>
      <c r="O336" s="15" t="n">
        <f aca="false">SUMPRODUCT(E336:N336,1/(1+$F$319)^$E$3:$N$3)*$E$2</f>
        <v>8149.0682887959</v>
      </c>
      <c r="P336" s="15" t="n">
        <f aca="false">N336*$E$2*(1+$I$319)/($F$319-$I$319)/(1+$F$319)^$N$3</f>
        <v>9500.58974375199</v>
      </c>
      <c r="Q336" s="15" t="n">
        <f aca="false">O336+P336</f>
        <v>17649.6580325479</v>
      </c>
      <c r="R336" s="15" t="n">
        <f aca="false">Q336-$G$2+$I$2</f>
        <v>12829.1580325479</v>
      </c>
      <c r="S336" s="42" t="n">
        <f aca="false">R336/$K$2</f>
        <v>66.9580273097489</v>
      </c>
      <c r="T336" s="43" t="n">
        <f aca="false">S336-$M$2</f>
        <v>-0.00439440215085085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0.113975524902344</v>
      </c>
      <c r="C337" s="25" t="n">
        <f aca="false">IF(T336&gt;0,D336,C336)</f>
        <v>0.113998413085938</v>
      </c>
      <c r="D337" s="41" t="n">
        <f aca="false">(B337+C337)/2</f>
        <v>0.113986968994141</v>
      </c>
      <c r="E337" s="15" t="n">
        <f aca="false">$C$2*(1+IF(E$3&lt;=$O$2,$D337,$D337-($D337-$I$319)*MIN(E$3-$O$2,$Q$2)/$Q$2))</f>
        <v>5458.53614807129</v>
      </c>
      <c r="F337" s="15" t="n">
        <f aca="false">E337*(1+IF(F$3&lt;=$O$2,$D337,$D337-($D337-$I$319)*MIN(F$3-$O$2,$Q$2)/$Q$2))</f>
        <v>6080.73813873489</v>
      </c>
      <c r="G337" s="15" t="n">
        <f aca="false">F337*(1+IF(G$3&lt;=$O$2,$D337,$D337-($D337-$I$319)*MIN(G$3-$O$2,$Q$2)/$Q$2))</f>
        <v>6773.86304841635</v>
      </c>
      <c r="H337" s="15" t="n">
        <f aca="false">G337*(1+IF(H$3&lt;=$O$2,$D337,$D337-($D337-$I$319)*MIN(H$3-$O$2,$Q$2)/$Q$2))</f>
        <v>7545.99516568674</v>
      </c>
      <c r="I337" s="15" t="n">
        <f aca="false">H337*(1+IF(I$3&lt;=$O$2,$D337,$D337-($D337-$I$319)*MIN(I$3-$O$2,$Q$2)/$Q$2))</f>
        <v>8406.14028266781</v>
      </c>
      <c r="J337" s="15" t="n">
        <f aca="false">I337*(1+IF(J$3&lt;=$O$2,$D337,$D337-($D337-$I$319)*MIN(J$3-$O$2,$Q$2)/$Q$2))</f>
        <v>9203.45911751105</v>
      </c>
      <c r="K337" s="15" t="n">
        <f aca="false">J337*(1+IF(K$3&lt;=$O$2,$D337,$D337-($D337-$I$319)*MIN(K$3-$O$2,$Q$2)/$Q$2))</f>
        <v>9900.27308369118</v>
      </c>
      <c r="L337" s="15" t="n">
        <f aca="false">K337*(1+IF(L$3&lt;=$O$2,$D337,$D337-($D337-$I$319)*MIN(L$3-$O$2,$Q$2)/$Q$2))</f>
        <v>10460.3789305598</v>
      </c>
      <c r="M337" s="15" t="n">
        <f aca="false">L337*(1+IF(M$3&lt;=$O$2,$D337,$D337-($D337-$I$319)*MIN(M$3-$O$2,$Q$2)/$Q$2))</f>
        <v>10851.9882558681</v>
      </c>
      <c r="N337" s="15" t="n">
        <f aca="false">M337*(1+IF(N$3&lt;=$O$2,$D337,$D337-($D337-$I$319)*MIN(N$3-$O$2,$Q$2)/$Q$2))</f>
        <v>11050.5796409505</v>
      </c>
      <c r="O337" s="15" t="n">
        <f aca="false">SUMPRODUCT(E337:N337,1/(1+$F$319)^$E$3:$N$3)*$E$2</f>
        <v>8149.46987574288</v>
      </c>
      <c r="P337" s="15" t="n">
        <f aca="false">N337*$E$2*(1+$I$319)/($F$319-$I$319)/(1+$F$319)^$N$3</f>
        <v>9501.2799851945</v>
      </c>
      <c r="Q337" s="15" t="n">
        <f aca="false">O337+P337</f>
        <v>17650.7498609374</v>
      </c>
      <c r="R337" s="15" t="n">
        <f aca="false">Q337-$G$2+$I$2</f>
        <v>12830.2498609374</v>
      </c>
      <c r="S337" s="42" t="n">
        <f aca="false">R337/$K$2</f>
        <v>66.9637257877734</v>
      </c>
      <c r="T337" s="43" t="n">
        <f aca="false">S337-$M$2</f>
        <v>0.00130407587359116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0.113975524902344</v>
      </c>
      <c r="C338" s="25" t="n">
        <f aca="false">IF(T337&gt;0,D337,C337)</f>
        <v>0.113986968994141</v>
      </c>
      <c r="D338" s="41" t="n">
        <f aca="false">(B338+C338)/2</f>
        <v>0.113981246948242</v>
      </c>
      <c r="E338" s="15" t="n">
        <f aca="false">$C$2*(1+IF(E$3&lt;=$O$2,$D338,$D338-($D338-$I$319)*MIN(E$3-$O$2,$Q$2)/$Q$2))</f>
        <v>5458.50811004639</v>
      </c>
      <c r="F338" s="15" t="n">
        <f aca="false">E338*(1+IF(F$3&lt;=$O$2,$D338,$D338-($D338-$I$319)*MIN(F$3-$O$2,$Q$2)/$Q$2))</f>
        <v>6080.67567090657</v>
      </c>
      <c r="G338" s="15" t="n">
        <f aca="false">F338*(1+IF(G$3&lt;=$O$2,$D338,$D338-($D338-$I$319)*MIN(G$3-$O$2,$Q$2)/$Q$2))</f>
        <v>6773.75866616434</v>
      </c>
      <c r="H338" s="15" t="n">
        <f aca="false">G338*(1+IF(H$3&lt;=$O$2,$D338,$D338-($D338-$I$319)*MIN(H$3-$O$2,$Q$2)/$Q$2))</f>
        <v>7545.84012546021</v>
      </c>
      <c r="I338" s="15" t="n">
        <f aca="false">H338*(1+IF(I$3&lt;=$O$2,$D338,$D338-($D338-$I$319)*MIN(I$3-$O$2,$Q$2)/$Q$2))</f>
        <v>8405.92439223224</v>
      </c>
      <c r="J338" s="15" t="n">
        <f aca="false">I338*(1+IF(J$3&lt;=$O$2,$D338,$D338-($D338-$I$319)*MIN(J$3-$O$2,$Q$2)/$Q$2))</f>
        <v>9203.18427069123</v>
      </c>
      <c r="K338" s="15" t="n">
        <f aca="false">J338*(1+IF(K$3&lt;=$O$2,$D338,$D338-($D338-$I$319)*MIN(K$3-$O$2,$Q$2)/$Q$2))</f>
        <v>9899.9458309934</v>
      </c>
      <c r="L338" s="15" t="n">
        <f aca="false">K338*(1+IF(L$3&lt;=$O$2,$D338,$D338-($D338-$I$319)*MIN(L$3-$O$2,$Q$2)/$Q$2))</f>
        <v>10460.0105044324</v>
      </c>
      <c r="M338" s="15" t="n">
        <f aca="false">L338*(1+IF(M$3&lt;=$O$2,$D338,$D338-($D338-$I$319)*MIN(M$3-$O$2,$Q$2)/$Q$2))</f>
        <v>10851.5940662946</v>
      </c>
      <c r="N338" s="15" t="n">
        <f aca="false">M338*(1+IF(N$3&lt;=$O$2,$D338,$D338-($D338-$I$319)*MIN(N$3-$O$2,$Q$2)/$Q$2))</f>
        <v>11050.1782377078</v>
      </c>
      <c r="O338" s="15" t="n">
        <f aca="false">SUMPRODUCT(E338:N338,1/(1+$F$319)^$E$3:$N$3)*$E$2</f>
        <v>8149.26907981487</v>
      </c>
      <c r="P338" s="15" t="n">
        <f aca="false">N338*$E$2*(1+$I$319)/($F$319-$I$319)/(1+$F$319)^$N$3</f>
        <v>9500.9348589912</v>
      </c>
      <c r="Q338" s="15" t="n">
        <f aca="false">O338+P338</f>
        <v>17650.2039388061</v>
      </c>
      <c r="R338" s="15" t="n">
        <f aca="false">Q338-$G$2+$I$2</f>
        <v>12829.7039388061</v>
      </c>
      <c r="S338" s="42" t="n">
        <f aca="false">R338/$K$2</f>
        <v>66.9608765073386</v>
      </c>
      <c r="T338" s="43" t="n">
        <f aca="false">S338-$M$2</f>
        <v>-0.00154520456121077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0.113981246948242</v>
      </c>
      <c r="C339" s="25" t="n">
        <f aca="false">IF(T338&gt;0,D338,C338)</f>
        <v>0.113986968994141</v>
      </c>
      <c r="D339" s="41" t="n">
        <f aca="false">(B339+C339)/2</f>
        <v>0.113984107971191</v>
      </c>
      <c r="E339" s="15" t="n">
        <f aca="false">$C$2*(1+IF(E$3&lt;=$O$2,$D339,$D339-($D339-$I$319)*MIN(E$3-$O$2,$Q$2)/$Q$2))</f>
        <v>5458.52212905884</v>
      </c>
      <c r="F339" s="15" t="n">
        <f aca="false">E339*(1+IF(F$3&lt;=$O$2,$D339,$D339-($D339-$I$319)*MIN(F$3-$O$2,$Q$2)/$Q$2))</f>
        <v>6080.70690478062</v>
      </c>
      <c r="G339" s="15" t="n">
        <f aca="false">F339*(1+IF(G$3&lt;=$O$2,$D339,$D339-($D339-$I$319)*MIN(G$3-$O$2,$Q$2)/$Q$2))</f>
        <v>6773.8108571563</v>
      </c>
      <c r="H339" s="15" t="n">
        <f aca="false">G339*(1+IF(H$3&lt;=$O$2,$D339,$D339-($D339-$I$319)*MIN(H$3-$O$2,$Q$2)/$Q$2))</f>
        <v>7545.91764527483</v>
      </c>
      <c r="I339" s="15" t="n">
        <f aca="false">H339*(1+IF(I$3&lt;=$O$2,$D339,$D339-($D339-$I$319)*MIN(I$3-$O$2,$Q$2)/$Q$2))</f>
        <v>8406.03233689556</v>
      </c>
      <c r="J339" s="15" t="n">
        <f aca="false">I339*(1+IF(J$3&lt;=$O$2,$D339,$D339-($D339-$I$319)*MIN(J$3-$O$2,$Q$2)/$Q$2))</f>
        <v>9203.32169324702</v>
      </c>
      <c r="K339" s="15" t="n">
        <f aca="false">J339*(1+IF(K$3&lt;=$O$2,$D339,$D339-($D339-$I$319)*MIN(K$3-$O$2,$Q$2)/$Q$2))</f>
        <v>9900.1094561876</v>
      </c>
      <c r="L339" s="15" t="n">
        <f aca="false">K339*(1+IF(L$3&lt;=$O$2,$D339,$D339-($D339-$I$319)*MIN(L$3-$O$2,$Q$2)/$Q$2))</f>
        <v>10460.1947160888</v>
      </c>
      <c r="M339" s="15" t="n">
        <f aca="false">L339*(1+IF(M$3&lt;=$O$2,$D339,$D339-($D339-$I$319)*MIN(M$3-$O$2,$Q$2)/$Q$2))</f>
        <v>10851.791159516</v>
      </c>
      <c r="N339" s="15" t="n">
        <f aca="false">M339*(1+IF(N$3&lt;=$O$2,$D339,$D339-($D339-$I$319)*MIN(N$3-$O$2,$Q$2)/$Q$2))</f>
        <v>11050.3789377352</v>
      </c>
      <c r="O339" s="15" t="n">
        <f aca="false">SUMPRODUCT(E339:N339,1/(1+$F$319)^$E$3:$N$3)*$E$2</f>
        <v>8149.36947716524</v>
      </c>
      <c r="P339" s="15" t="n">
        <f aca="false">N339*$E$2*(1+$I$319)/($F$319-$I$319)/(1+$F$319)^$N$3</f>
        <v>9501.10742072232</v>
      </c>
      <c r="Q339" s="15" t="n">
        <f aca="false">O339+P339</f>
        <v>17650.4768978876</v>
      </c>
      <c r="R339" s="15" t="n">
        <f aca="false">Q339-$G$2+$I$2</f>
        <v>12829.9768978876</v>
      </c>
      <c r="S339" s="42" t="n">
        <f aca="false">R339/$K$2</f>
        <v>66.9623011372002</v>
      </c>
      <c r="T339" s="43" t="n">
        <f aca="false">S339-$M$2</f>
        <v>-0.000120574699579379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0.113984107971191</v>
      </c>
      <c r="C340" s="25" t="n">
        <f aca="false">IF(T339&gt;0,D339,C339)</f>
        <v>0.113986968994141</v>
      </c>
      <c r="D340" s="41" t="n">
        <f aca="false">(B340+C340)/2</f>
        <v>0.113985538482666</v>
      </c>
      <c r="E340" s="15" t="n">
        <f aca="false">$C$2*(1+IF(E$3&lt;=$O$2,$D340,$D340-($D340-$I$319)*MIN(E$3-$O$2,$Q$2)/$Q$2))</f>
        <v>5458.52913856506</v>
      </c>
      <c r="F340" s="15" t="n">
        <f aca="false">E340*(1+IF(F$3&lt;=$O$2,$D340,$D340-($D340-$I$319)*MIN(F$3-$O$2,$Q$2)/$Q$2))</f>
        <v>6080.72252174773</v>
      </c>
      <c r="G340" s="15" t="n">
        <f aca="false">F340*(1+IF(G$3&lt;=$O$2,$D340,$D340-($D340-$I$319)*MIN(G$3-$O$2,$Q$2)/$Q$2))</f>
        <v>6773.83695275282</v>
      </c>
      <c r="H340" s="15" t="n">
        <f aca="false">G340*(1+IF(H$3&lt;=$O$2,$D340,$D340-($D340-$I$319)*MIN(H$3-$O$2,$Q$2)/$Q$2))</f>
        <v>7545.95640540613</v>
      </c>
      <c r="I340" s="15" t="n">
        <f aca="false">H340*(1+IF(I$3&lt;=$O$2,$D340,$D340-($D340-$I$319)*MIN(I$3-$O$2,$Q$2)/$Q$2))</f>
        <v>8406.08630964307</v>
      </c>
      <c r="J340" s="15" t="n">
        <f aca="false">I340*(1+IF(J$3&lt;=$O$2,$D340,$D340-($D340-$I$319)*MIN(J$3-$O$2,$Q$2)/$Q$2))</f>
        <v>9203.3904051655</v>
      </c>
      <c r="K340" s="15" t="n">
        <f aca="false">J340*(1+IF(K$3&lt;=$O$2,$D340,$D340-($D340-$I$319)*MIN(K$3-$O$2,$Q$2)/$Q$2))</f>
        <v>9900.19126965071</v>
      </c>
      <c r="L340" s="15" t="n">
        <f aca="false">K340*(1+IF(L$3&lt;=$O$2,$D340,$D340-($D340-$I$319)*MIN(L$3-$O$2,$Q$2)/$Q$2))</f>
        <v>10460.2868229725</v>
      </c>
      <c r="M340" s="15" t="n">
        <f aca="false">L340*(1+IF(M$3&lt;=$O$2,$D340,$D340-($D340-$I$319)*MIN(M$3-$O$2,$Q$2)/$Q$2))</f>
        <v>10851.8897073007</v>
      </c>
      <c r="N340" s="15" t="n">
        <f aca="false">M340*(1+IF(N$3&lt;=$O$2,$D340,$D340-($D340-$I$319)*MIN(N$3-$O$2,$Q$2)/$Q$2))</f>
        <v>11050.4792889443</v>
      </c>
      <c r="O340" s="15" t="n">
        <f aca="false">SUMPRODUCT(E340:N340,1/(1+$F$319)^$E$3:$N$3)*$E$2</f>
        <v>8149.41967630065</v>
      </c>
      <c r="P340" s="15" t="n">
        <f aca="false">N340*$E$2*(1+$I$319)/($F$319-$I$319)/(1+$F$319)^$N$3</f>
        <v>9501.19370261577</v>
      </c>
      <c r="Q340" s="15" t="n">
        <f aca="false">O340+P340</f>
        <v>17650.6133789164</v>
      </c>
      <c r="R340" s="15" t="n">
        <f aca="false">Q340-$G$2+$I$2</f>
        <v>12830.1133789164</v>
      </c>
      <c r="S340" s="42" t="n">
        <f aca="false">R340/$K$2</f>
        <v>66.9630134598978</v>
      </c>
      <c r="T340" s="43" t="n">
        <f aca="false">S340-$M$2</f>
        <v>0.000591747998029746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0.113984107971191</v>
      </c>
      <c r="C341" s="25" t="n">
        <f aca="false">IF(T340&gt;0,D340,C340)</f>
        <v>0.113985538482666</v>
      </c>
      <c r="D341" s="41" t="n">
        <f aca="false">(B341+C341)/2</f>
        <v>0.113984823226929</v>
      </c>
      <c r="E341" s="15" t="n">
        <f aca="false">$C$2*(1+IF(E$3&lt;=$O$2,$D341,$D341-($D341-$I$319)*MIN(E$3-$O$2,$Q$2)/$Q$2))</f>
        <v>5458.52563381195</v>
      </c>
      <c r="F341" s="15" t="n">
        <f aca="false">E341*(1+IF(F$3&lt;=$O$2,$D341,$D341-($D341-$I$319)*MIN(F$3-$O$2,$Q$2)/$Q$2))</f>
        <v>6080.71471326167</v>
      </c>
      <c r="G341" s="15" t="n">
        <f aca="false">F341*(1+IF(G$3&lt;=$O$2,$D341,$D341-($D341-$I$319)*MIN(G$3-$O$2,$Q$2)/$Q$2))</f>
        <v>6773.82390494618</v>
      </c>
      <c r="H341" s="15" t="n">
        <f aca="false">G341*(1+IF(H$3&lt;=$O$2,$D341,$D341-($D341-$I$319)*MIN(H$3-$O$2,$Q$2)/$Q$2))</f>
        <v>7545.93702532181</v>
      </c>
      <c r="I341" s="15" t="n">
        <f aca="false">H341*(1+IF(I$3&lt;=$O$2,$D341,$D341-($D341-$I$319)*MIN(I$3-$O$2,$Q$2)/$Q$2))</f>
        <v>8406.05932323466</v>
      </c>
      <c r="J341" s="15" t="n">
        <f aca="false">I341*(1+IF(J$3&lt;=$O$2,$D341,$D341-($D341-$I$319)*MIN(J$3-$O$2,$Q$2)/$Q$2))</f>
        <v>9203.35604915288</v>
      </c>
      <c r="K341" s="15" t="n">
        <f aca="false">J341*(1+IF(K$3&lt;=$O$2,$D341,$D341-($D341-$I$319)*MIN(K$3-$O$2,$Q$2)/$Q$2))</f>
        <v>9900.15036284698</v>
      </c>
      <c r="L341" s="15" t="n">
        <f aca="false">K341*(1+IF(L$3&lt;=$O$2,$D341,$D341-($D341-$I$319)*MIN(L$3-$O$2,$Q$2)/$Q$2))</f>
        <v>10460.2407694427</v>
      </c>
      <c r="M341" s="15" t="n">
        <f aca="false">L341*(1+IF(M$3&lt;=$O$2,$D341,$D341-($D341-$I$319)*MIN(M$3-$O$2,$Q$2)/$Q$2))</f>
        <v>10851.8404333105</v>
      </c>
      <c r="N341" s="15" t="n">
        <f aca="false">M341*(1+IF(N$3&lt;=$O$2,$D341,$D341-($D341-$I$319)*MIN(N$3-$O$2,$Q$2)/$Q$2))</f>
        <v>11050.4291132401</v>
      </c>
      <c r="O341" s="15" t="n">
        <f aca="false">SUMPRODUCT(E341:N341,1/(1+$F$319)^$E$3:$N$3)*$E$2</f>
        <v>8149.39457669459</v>
      </c>
      <c r="P341" s="15" t="n">
        <f aca="false">N341*$E$2*(1+$I$319)/($F$319-$I$319)/(1+$F$319)^$N$3</f>
        <v>9501.15056158339</v>
      </c>
      <c r="Q341" s="15" t="n">
        <f aca="false">O341+P341</f>
        <v>17650.545138278</v>
      </c>
      <c r="R341" s="15" t="n">
        <f aca="false">Q341-$G$2+$I$2</f>
        <v>12830.045138278</v>
      </c>
      <c r="S341" s="42" t="n">
        <f aca="false">R341/$K$2</f>
        <v>66.9626572979018</v>
      </c>
      <c r="T341" s="43" t="n">
        <f aca="false">S341-$M$2</f>
        <v>0.000235586001977595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0.113984107971191</v>
      </c>
      <c r="C342" s="25" t="n">
        <f aca="false">IF(T341&gt;0,D341,C341)</f>
        <v>0.113984823226929</v>
      </c>
      <c r="D342" s="41" t="n">
        <f aca="false">(B342+C342)/2</f>
        <v>0.11398446559906</v>
      </c>
      <c r="E342" s="15" t="n">
        <f aca="false">$C$2*(1+IF(E$3&lt;=$O$2,$D342,$D342-($D342-$I$319)*MIN(E$3-$O$2,$Q$2)/$Q$2))</f>
        <v>5458.52388143539</v>
      </c>
      <c r="F342" s="15" t="n">
        <f aca="false">E342*(1+IF(F$3&lt;=$O$2,$D342,$D342-($D342-$I$319)*MIN(F$3-$O$2,$Q$2)/$Q$2))</f>
        <v>6080.71080902052</v>
      </c>
      <c r="G342" s="15" t="n">
        <f aca="false">F342*(1+IF(G$3&lt;=$O$2,$D342,$D342-($D342-$I$319)*MIN(G$3-$O$2,$Q$2)/$Q$2))</f>
        <v>6773.81738104915</v>
      </c>
      <c r="H342" s="15" t="n">
        <f aca="false">G342*(1+IF(H$3&lt;=$O$2,$D342,$D342-($D342-$I$319)*MIN(H$3-$O$2,$Q$2)/$Q$2))</f>
        <v>7545.92733529366</v>
      </c>
      <c r="I342" s="15" t="n">
        <f aca="false">H342*(1+IF(I$3&lt;=$O$2,$D342,$D342-($D342-$I$319)*MIN(I$3-$O$2,$Q$2)/$Q$2))</f>
        <v>8406.04583005644</v>
      </c>
      <c r="J342" s="15" t="n">
        <f aca="false">I342*(1+IF(J$3&lt;=$O$2,$D342,$D342-($D342-$I$319)*MIN(J$3-$O$2,$Q$2)/$Q$2))</f>
        <v>9203.33887118661</v>
      </c>
      <c r="K342" s="15" t="n">
        <f aca="false">J342*(1+IF(K$3&lt;=$O$2,$D342,$D342-($D342-$I$319)*MIN(K$3-$O$2,$Q$2)/$Q$2))</f>
        <v>9900.12990949925</v>
      </c>
      <c r="L342" s="15" t="n">
        <f aca="false">K342*(1+IF(L$3&lt;=$O$2,$D342,$D342-($D342-$I$319)*MIN(L$3-$O$2,$Q$2)/$Q$2))</f>
        <v>10460.2177427438</v>
      </c>
      <c r="M342" s="15" t="n">
        <f aca="false">L342*(1+IF(M$3&lt;=$O$2,$D342,$D342-($D342-$I$319)*MIN(M$3-$O$2,$Q$2)/$Q$2))</f>
        <v>10851.8157963888</v>
      </c>
      <c r="N342" s="15" t="n">
        <f aca="false">M342*(1+IF(N$3&lt;=$O$2,$D342,$D342-($D342-$I$319)*MIN(N$3-$O$2,$Q$2)/$Q$2))</f>
        <v>11050.4040254627</v>
      </c>
      <c r="O342" s="15" t="n">
        <f aca="false">SUMPRODUCT(E342:N342,1/(1+$F$319)^$E$3:$N$3)*$E$2</f>
        <v>8149.38202692033</v>
      </c>
      <c r="P342" s="15" t="n">
        <f aca="false">N342*$E$2*(1+$I$319)/($F$319-$I$319)/(1+$F$319)^$N$3</f>
        <v>9501.12899113144</v>
      </c>
      <c r="Q342" s="15" t="n">
        <f aca="false">O342+P342</f>
        <v>17650.5110180518</v>
      </c>
      <c r="R342" s="15" t="n">
        <f aca="false">Q342-$G$2+$I$2</f>
        <v>12830.0110180518</v>
      </c>
      <c r="S342" s="42" t="n">
        <f aca="false">R342/$K$2</f>
        <v>66.9624792173892</v>
      </c>
      <c r="T342" s="43" t="n">
        <f aca="false">S342-$M$2</f>
        <v>5.75054893801052E-005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0.113984107971191</v>
      </c>
      <c r="C343" s="25" t="n">
        <f aca="false">IF(T342&gt;0,D342,C342)</f>
        <v>0.11398446559906</v>
      </c>
      <c r="D343" s="41" t="n">
        <f aca="false">(B343+C343)/2</f>
        <v>0.113984286785126</v>
      </c>
      <c r="E343" s="15" t="n">
        <f aca="false">$C$2*(1+IF(E$3&lt;=$O$2,$D343,$D343-($D343-$I$319)*MIN(E$3-$O$2,$Q$2)/$Q$2))</f>
        <v>5458.52300524712</v>
      </c>
      <c r="F343" s="15" t="n">
        <f aca="false">E343*(1+IF(F$3&lt;=$O$2,$D343,$D343-($D343-$I$319)*MIN(F$3-$O$2,$Q$2)/$Q$2))</f>
        <v>6080.70885690041</v>
      </c>
      <c r="G343" s="15" t="n">
        <f aca="false">F343*(1+IF(G$3&lt;=$O$2,$D343,$D343-($D343-$I$319)*MIN(G$3-$O$2,$Q$2)/$Q$2))</f>
        <v>6773.8141191022</v>
      </c>
      <c r="H343" s="15" t="n">
        <f aca="false">G343*(1+IF(H$3&lt;=$O$2,$D343,$D343-($D343-$I$319)*MIN(H$3-$O$2,$Q$2)/$Q$2))</f>
        <v>7545.92249028308</v>
      </c>
      <c r="I343" s="15" t="n">
        <f aca="false">H343*(1+IF(I$3&lt;=$O$2,$D343,$D343-($D343-$I$319)*MIN(I$3-$O$2,$Q$2)/$Q$2))</f>
        <v>8406.03908347384</v>
      </c>
      <c r="J343" s="15" t="n">
        <f aca="false">I343*(1+IF(J$3&lt;=$O$2,$D343,$D343-($D343-$I$319)*MIN(J$3-$O$2,$Q$2)/$Q$2))</f>
        <v>9203.33028221348</v>
      </c>
      <c r="K343" s="15" t="n">
        <f aca="false">J343*(1+IF(K$3&lt;=$O$2,$D343,$D343-($D343-$I$319)*MIN(K$3-$O$2,$Q$2)/$Q$2))</f>
        <v>9900.11968283891</v>
      </c>
      <c r="L343" s="15" t="n">
        <f aca="false">K343*(1+IF(L$3&lt;=$O$2,$D343,$D343-($D343-$I$319)*MIN(L$3-$O$2,$Q$2)/$Q$2))</f>
        <v>10460.2062294108</v>
      </c>
      <c r="M343" s="15" t="n">
        <f aca="false">L343*(1+IF(M$3&lt;=$O$2,$D343,$D343-($D343-$I$319)*MIN(M$3-$O$2,$Q$2)/$Q$2))</f>
        <v>10851.8034779463</v>
      </c>
      <c r="N343" s="15" t="n">
        <f aca="false">M343*(1+IF(N$3&lt;=$O$2,$D343,$D343-($D343-$I$319)*MIN(N$3-$O$2,$Q$2)/$Q$2))</f>
        <v>11050.3914815927</v>
      </c>
      <c r="O343" s="15" t="n">
        <f aca="false">SUMPRODUCT(E343:N343,1/(1+$F$319)^$E$3:$N$3)*$E$2</f>
        <v>8149.37575204039</v>
      </c>
      <c r="P343" s="15" t="n">
        <f aca="false">N343*$E$2*(1+$I$319)/($F$319-$I$319)/(1+$F$319)^$N$3</f>
        <v>9501.11820592153</v>
      </c>
      <c r="Q343" s="15" t="n">
        <f aca="false">O343+P343</f>
        <v>17650.4939579619</v>
      </c>
      <c r="R343" s="15" t="n">
        <f aca="false">Q343-$G$2+$I$2</f>
        <v>12829.9939579619</v>
      </c>
      <c r="S343" s="42" t="n">
        <f aca="false">R343/$K$2</f>
        <v>66.9623901772543</v>
      </c>
      <c r="T343" s="43" t="n">
        <f aca="false">S343-$M$2</f>
        <v>-3.15346455437293E-005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0.113984286785126</v>
      </c>
      <c r="C344" s="25" t="n">
        <f aca="false">IF(T343&gt;0,D343,C343)</f>
        <v>0.11398446559906</v>
      </c>
      <c r="D344" s="41" t="n">
        <f aca="false">(B344+C344)/2</f>
        <v>0.113984376192093</v>
      </c>
      <c r="E344" s="15" t="n">
        <f aca="false">$C$2*(1+IF(E$3&lt;=$O$2,$D344,$D344-($D344-$I$319)*MIN(E$3-$O$2,$Q$2)/$Q$2))</f>
        <v>5458.52344334126</v>
      </c>
      <c r="F344" s="15" t="n">
        <f aca="false">E344*(1+IF(F$3&lt;=$O$2,$D344,$D344-($D344-$I$319)*MIN(F$3-$O$2,$Q$2)/$Q$2))</f>
        <v>6080.70983296042</v>
      </c>
      <c r="G344" s="15" t="n">
        <f aca="false">F344*(1+IF(G$3&lt;=$O$2,$D344,$D344-($D344-$I$319)*MIN(G$3-$O$2,$Q$2)/$Q$2))</f>
        <v>6773.81575007554</v>
      </c>
      <c r="H344" s="15" t="n">
        <f aca="false">G344*(1+IF(H$3&lt;=$O$2,$D344,$D344-($D344-$I$319)*MIN(H$3-$O$2,$Q$2)/$Q$2))</f>
        <v>7545.92491278808</v>
      </c>
      <c r="I344" s="15" t="n">
        <f aca="false">H344*(1+IF(I$3&lt;=$O$2,$D344,$D344-($D344-$I$319)*MIN(I$3-$O$2,$Q$2)/$Q$2))</f>
        <v>8406.0424567646</v>
      </c>
      <c r="J344" s="15" t="n">
        <f aca="false">I344*(1+IF(J$3&lt;=$O$2,$D344,$D344-($D344-$I$319)*MIN(J$3-$O$2,$Q$2)/$Q$2))</f>
        <v>9203.3345766992</v>
      </c>
      <c r="K344" s="15" t="n">
        <f aca="false">J344*(1+IF(K$3&lt;=$O$2,$D344,$D344-($D344-$I$319)*MIN(K$3-$O$2,$Q$2)/$Q$2))</f>
        <v>9900.12479616795</v>
      </c>
      <c r="L344" s="15" t="n">
        <f aca="false">K344*(1+IF(L$3&lt;=$O$2,$D344,$D344-($D344-$I$319)*MIN(L$3-$O$2,$Q$2)/$Q$2))</f>
        <v>10460.2119860759</v>
      </c>
      <c r="M344" s="15" t="n">
        <f aca="false">L344*(1+IF(M$3&lt;=$O$2,$D344,$D344-($D344-$I$319)*MIN(M$3-$O$2,$Q$2)/$Q$2))</f>
        <v>10851.809637166</v>
      </c>
      <c r="N344" s="15" t="n">
        <f aca="false">M344*(1+IF(N$3&lt;=$O$2,$D344,$D344-($D344-$I$319)*MIN(N$3-$O$2,$Q$2)/$Q$2))</f>
        <v>11050.3977535262</v>
      </c>
      <c r="O344" s="15" t="n">
        <f aca="false">SUMPRODUCT(E344:N344,1/(1+$F$319)^$E$3:$N$3)*$E$2</f>
        <v>8149.37888947976</v>
      </c>
      <c r="P344" s="15" t="n">
        <f aca="false">N344*$E$2*(1+$I$319)/($F$319-$I$319)/(1+$F$319)^$N$3</f>
        <v>9501.12359852514</v>
      </c>
      <c r="Q344" s="15" t="n">
        <f aca="false">O344+P344</f>
        <v>17650.5024880049</v>
      </c>
      <c r="R344" s="15" t="n">
        <f aca="false">Q344-$G$2+$I$2</f>
        <v>12830.0024880049</v>
      </c>
      <c r="S344" s="42" t="n">
        <f aca="false">R344/$K$2</f>
        <v>66.9624346973116</v>
      </c>
      <c r="T344" s="43" t="n">
        <f aca="false">S344-$M$2</f>
        <v>1.29854118000594E-005</v>
      </c>
    </row>
    <row r="346" customFormat="false" ht="15" hidden="false" customHeight="false" outlineLevel="0" collapsed="false">
      <c r="A346" s="38" t="s">
        <v>184</v>
      </c>
      <c r="E346" s="5" t="s">
        <v>11</v>
      </c>
      <c r="F346" s="12" t="n">
        <f aca="false">Sensitivity!$B$12</f>
        <v>0.0950848977416375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153</v>
      </c>
      <c r="B347" s="28" t="s">
        <v>154</v>
      </c>
      <c r="C347" s="28" t="s">
        <v>155</v>
      </c>
      <c r="D347" s="28" t="s">
        <v>156</v>
      </c>
      <c r="E347" s="28" t="s">
        <v>157</v>
      </c>
      <c r="F347" s="28" t="s">
        <v>158</v>
      </c>
      <c r="G347" s="28" t="s">
        <v>159</v>
      </c>
      <c r="H347" s="28" t="s">
        <v>160</v>
      </c>
      <c r="I347" s="28" t="s">
        <v>161</v>
      </c>
      <c r="J347" s="28" t="s">
        <v>162</v>
      </c>
      <c r="K347" s="28" t="s">
        <v>163</v>
      </c>
      <c r="L347" s="28" t="s">
        <v>164</v>
      </c>
      <c r="M347" s="28" t="s">
        <v>165</v>
      </c>
      <c r="N347" s="28" t="s">
        <v>166</v>
      </c>
      <c r="O347" s="28" t="s">
        <v>167</v>
      </c>
      <c r="P347" s="28" t="s">
        <v>168</v>
      </c>
      <c r="Q347" s="28" t="s">
        <v>169</v>
      </c>
      <c r="R347" s="28" t="s">
        <v>170</v>
      </c>
      <c r="S347" s="28" t="s">
        <v>171</v>
      </c>
      <c r="T347" s="28" t="s">
        <v>172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6125</v>
      </c>
      <c r="F348" s="15" t="n">
        <f aca="false">E348*(1+IF(F$3&lt;=$O$2,$D348,$D348-($D348-$I$346)*MIN(F$3-$O$2,$Q$2)/$Q$2))</f>
        <v>7656.25</v>
      </c>
      <c r="G348" s="15" t="n">
        <f aca="false">F348*(1+IF(G$3&lt;=$O$2,$D348,$D348-($D348-$I$346)*MIN(G$3-$O$2,$Q$2)/$Q$2))</f>
        <v>9570.3125</v>
      </c>
      <c r="H348" s="15" t="n">
        <f aca="false">G348*(1+IF(H$3&lt;=$O$2,$D348,$D348-($D348-$I$346)*MIN(H$3-$O$2,$Q$2)/$Q$2))</f>
        <v>11962.890625</v>
      </c>
      <c r="I348" s="15" t="n">
        <f aca="false">H348*(1+IF(I$3&lt;=$O$2,$D348,$D348-($D348-$I$346)*MIN(I$3-$O$2,$Q$2)/$Q$2))</f>
        <v>14953.61328125</v>
      </c>
      <c r="J348" s="15" t="n">
        <f aca="false">I348*(1+IF(J$3&lt;=$O$2,$D348,$D348-($D348-$I$346)*MIN(J$3-$O$2,$Q$2)/$Q$2))</f>
        <v>18014.0197753906</v>
      </c>
      <c r="K348" s="15" t="n">
        <f aca="false">J348*(1+IF(K$3&lt;=$O$2,$D348,$D348-($D348-$I$346)*MIN(K$3-$O$2,$Q$2)/$Q$2))</f>
        <v>20884.0134060059</v>
      </c>
      <c r="L348" s="15" t="n">
        <f aca="false">K348*(1+IF(L$3&lt;=$O$2,$D348,$D348-($D348-$I$346)*MIN(L$3-$O$2,$Q$2)/$Q$2))</f>
        <v>23264.3732540224</v>
      </c>
      <c r="M348" s="15" t="n">
        <f aca="false">L348*(1+IF(M$3&lt;=$O$2,$D348,$D348-($D348-$I$346)*MIN(M$3-$O$2,$Q$2)/$Q$2))</f>
        <v>24861.2398341785</v>
      </c>
      <c r="N348" s="15" t="n">
        <f aca="false">M348*(1+IF(N$3&lt;=$O$2,$D348,$D348-($D348-$I$346)*MIN(N$3-$O$2,$Q$2)/$Q$2))</f>
        <v>25440.5067223149</v>
      </c>
      <c r="O348" s="15" t="n">
        <f aca="false">SUMPRODUCT(E348:N348,1/(1+$F$346)^$E$3:$N$3)*$E$2</f>
        <v>14643.0591116261</v>
      </c>
      <c r="P348" s="15" t="n">
        <f aca="false">N348*$E$2*(1+$I$346)/($F$346-$I$346)/(1+$F$346)^$N$3</f>
        <v>23512.1730299415</v>
      </c>
      <c r="Q348" s="15" t="n">
        <f aca="false">O348+P348</f>
        <v>38155.2321415677</v>
      </c>
      <c r="R348" s="15" t="n">
        <f aca="false">Q348-$G$2+$I$2</f>
        <v>33334.7321415677</v>
      </c>
      <c r="S348" s="42" t="n">
        <f aca="false">R348/$K$2</f>
        <v>173.980856688766</v>
      </c>
      <c r="T348" s="43" t="n">
        <f aca="false">S348-$M$2</f>
        <v>107.018434976867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4287.5</v>
      </c>
      <c r="F349" s="15" t="n">
        <f aca="false">E349*(1+IF(F$3&lt;=$O$2,$D349,$D349-($D349-$I$346)*MIN(F$3-$O$2,$Q$2)/$Q$2))</f>
        <v>3751.5625</v>
      </c>
      <c r="G349" s="15" t="n">
        <f aca="false">F349*(1+IF(G$3&lt;=$O$2,$D349,$D349-($D349-$I$346)*MIN(G$3-$O$2,$Q$2)/$Q$2))</f>
        <v>3282.6171875</v>
      </c>
      <c r="H349" s="15" t="n">
        <f aca="false">G349*(1+IF(H$3&lt;=$O$2,$D349,$D349-($D349-$I$346)*MIN(H$3-$O$2,$Q$2)/$Q$2))</f>
        <v>2872.2900390625</v>
      </c>
      <c r="I349" s="15" t="n">
        <f aca="false">H349*(1+IF(I$3&lt;=$O$2,$D349,$D349-($D349-$I$346)*MIN(I$3-$O$2,$Q$2)/$Q$2))</f>
        <v>2513.25378417969</v>
      </c>
      <c r="J349" s="15" t="n">
        <f aca="false">I349*(1+IF(J$3&lt;=$O$2,$D349,$D349-($D349-$I$346)*MIN(J$3-$O$2,$Q$2)/$Q$2))</f>
        <v>2273.640168396</v>
      </c>
      <c r="K349" s="15" t="n">
        <f aca="false">J349*(1+IF(K$3&lt;=$O$2,$D349,$D349-($D349-$I$346)*MIN(K$3-$O$2,$Q$2)/$Q$2))</f>
        <v>2124.30748213575</v>
      </c>
      <c r="L349" s="15" t="n">
        <f aca="false">K349*(1+IF(L$3&lt;=$O$2,$D349,$D349-($D349-$I$346)*MIN(L$3-$O$2,$Q$2)/$Q$2))</f>
        <v>2047.78992662922</v>
      </c>
      <c r="M349" s="15" t="n">
        <f aca="false">L349*(1+IF(M$3&lt;=$O$2,$D349,$D349-($D349-$I$346)*MIN(M$3-$O$2,$Q$2)/$Q$2))</f>
        <v>2034.76598269586</v>
      </c>
      <c r="N349" s="15" t="n">
        <f aca="false">M349*(1+IF(N$3&lt;=$O$2,$D349,$D349-($D349-$I$346)*MIN(N$3-$O$2,$Q$2)/$Q$2))</f>
        <v>2082.17603009267</v>
      </c>
      <c r="O349" s="15" t="n">
        <f aca="false">SUMPRODUCT(E349:N349,1/(1+$F$346)^$E$3:$N$3)*$E$2</f>
        <v>2943.79739560693</v>
      </c>
      <c r="P349" s="15" t="n">
        <f aca="false">N349*$E$2*(1+$I$346)/($F$346-$I$346)/(1+$F$346)^$N$3</f>
        <v>1924.35172902409</v>
      </c>
      <c r="Q349" s="15" t="n">
        <f aca="false">O349+P349</f>
        <v>4868.14912463102</v>
      </c>
      <c r="R349" s="15" t="n">
        <f aca="false">Q349-$G$2+$I$2</f>
        <v>47.6491246310234</v>
      </c>
      <c r="S349" s="42" t="n">
        <f aca="false">R349/$K$2</f>
        <v>0.248690629598243</v>
      </c>
      <c r="T349" s="43" t="n">
        <f aca="false">S349-$M$2</f>
        <v>-66.7137310823016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5206.25</v>
      </c>
      <c r="F350" s="15" t="n">
        <f aca="false">E350*(1+IF(F$3&lt;=$O$2,$D350,$D350-($D350-$I$346)*MIN(F$3-$O$2,$Q$2)/$Q$2))</f>
        <v>5531.640625</v>
      </c>
      <c r="G350" s="15" t="n">
        <f aca="false">F350*(1+IF(G$3&lt;=$O$2,$D350,$D350-($D350-$I$346)*MIN(G$3-$O$2,$Q$2)/$Q$2))</f>
        <v>5877.3681640625</v>
      </c>
      <c r="H350" s="15" t="n">
        <f aca="false">G350*(1+IF(H$3&lt;=$O$2,$D350,$D350-($D350-$I$346)*MIN(H$3-$O$2,$Q$2)/$Q$2))</f>
        <v>6244.70367431641</v>
      </c>
      <c r="I350" s="15" t="n">
        <f aca="false">H350*(1+IF(I$3&lt;=$O$2,$D350,$D350-($D350-$I$346)*MIN(I$3-$O$2,$Q$2)/$Q$2))</f>
        <v>6634.99765396118</v>
      </c>
      <c r="J350" s="15" t="n">
        <f aca="false">I350*(1+IF(J$3&lt;=$O$2,$D350,$D350-($D350-$I$346)*MIN(J$3-$O$2,$Q$2)/$Q$2))</f>
        <v>6997.6666257267</v>
      </c>
      <c r="K350" s="15" t="n">
        <f aca="false">J350*(1+IF(K$3&lt;=$O$2,$D350,$D350-($D350-$I$346)*MIN(K$3-$O$2,$Q$2)/$Q$2))</f>
        <v>7325.29737714322</v>
      </c>
      <c r="L350" s="15" t="n">
        <f aca="false">K350*(1+IF(L$3&lt;=$O$2,$D350,$D350-($D350-$I$346)*MIN(L$3-$O$2,$Q$2)/$Q$2))</f>
        <v>7610.83746890427</v>
      </c>
      <c r="M350" s="15" t="n">
        <f aca="false">L350*(1+IF(M$3&lt;=$O$2,$D350,$D350-($D350-$I$346)*MIN(M$3-$O$2,$Q$2)/$Q$2))</f>
        <v>7847.83894768595</v>
      </c>
      <c r="N350" s="15" t="n">
        <f aca="false">M350*(1+IF(N$3&lt;=$O$2,$D350,$D350-($D350-$I$346)*MIN(N$3-$O$2,$Q$2)/$Q$2))</f>
        <v>8030.69359516703</v>
      </c>
      <c r="O350" s="15" t="n">
        <f aca="false">SUMPRODUCT(E350:N350,1/(1+$F$346)^$E$3:$N$3)*$E$2</f>
        <v>6547.17163705795</v>
      </c>
      <c r="P350" s="15" t="n">
        <f aca="false">N350*$E$2*(1+$I$346)/($F$346-$I$346)/(1+$F$346)^$N$3</f>
        <v>7421.98492431717</v>
      </c>
      <c r="Q350" s="15" t="n">
        <f aca="false">O350+P350</f>
        <v>13969.1565613751</v>
      </c>
      <c r="R350" s="15" t="n">
        <f aca="false">Q350-$G$2+$I$2</f>
        <v>9148.65656137512</v>
      </c>
      <c r="S350" s="42" t="n">
        <f aca="false">R350/$K$2</f>
        <v>47.7487294435027</v>
      </c>
      <c r="T350" s="43" t="n">
        <f aca="false">S350-$M$2</f>
        <v>-19.2136922683971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41" t="n">
        <f aca="false">(B351+C351)/2</f>
        <v>0.15625</v>
      </c>
      <c r="E351" s="15" t="n">
        <f aca="false">$C$2*(1+IF(E$3&lt;=$O$2,$D351,$D351-($D351-$I$346)*MIN(E$3-$O$2,$Q$2)/$Q$2))</f>
        <v>5665.625</v>
      </c>
      <c r="F351" s="15" t="n">
        <f aca="false">E351*(1+IF(F$3&lt;=$O$2,$D351,$D351-($D351-$I$346)*MIN(F$3-$O$2,$Q$2)/$Q$2))</f>
        <v>6550.87890625</v>
      </c>
      <c r="G351" s="15" t="n">
        <f aca="false">F351*(1+IF(G$3&lt;=$O$2,$D351,$D351-($D351-$I$346)*MIN(G$3-$O$2,$Q$2)/$Q$2))</f>
        <v>7574.45373535156</v>
      </c>
      <c r="H351" s="15" t="n">
        <f aca="false">G351*(1+IF(H$3&lt;=$O$2,$D351,$D351-($D351-$I$346)*MIN(H$3-$O$2,$Q$2)/$Q$2))</f>
        <v>8757.96213150024</v>
      </c>
      <c r="I351" s="15" t="n">
        <f aca="false">H351*(1+IF(I$3&lt;=$O$2,$D351,$D351-($D351-$I$346)*MIN(I$3-$O$2,$Q$2)/$Q$2))</f>
        <v>10126.3937145472</v>
      </c>
      <c r="J351" s="15" t="n">
        <f aca="false">I351*(1+IF(J$3&lt;=$O$2,$D351,$D351-($D351-$I$346)*MIN(J$3-$O$2,$Q$2)/$Q$2))</f>
        <v>11439.3819235753</v>
      </c>
      <c r="K351" s="15" t="n">
        <f aca="false">J351*(1+IF(K$3&lt;=$O$2,$D351,$D351-($D351-$I$346)*MIN(K$3-$O$2,$Q$2)/$Q$2))</f>
        <v>12618.4390184383</v>
      </c>
      <c r="L351" s="15" t="n">
        <f aca="false">K351*(1+IF(L$3&lt;=$O$2,$D351,$D351-($D351-$I$346)*MIN(L$3-$O$2,$Q$2)/$Q$2))</f>
        <v>13583.4972345684</v>
      </c>
      <c r="M351" s="15" t="n">
        <f aca="false">L351*(1+IF(M$3&lt;=$O$2,$D351,$D351-($D351-$I$346)*MIN(M$3-$O$2,$Q$2)/$Q$2))</f>
        <v>14261.177911601</v>
      </c>
      <c r="N351" s="15" t="n">
        <f aca="false">M351*(1+IF(N$3&lt;=$O$2,$D351,$D351-($D351-$I$346)*MIN(N$3-$O$2,$Q$2)/$Q$2))</f>
        <v>14593.4633569413</v>
      </c>
      <c r="O351" s="15" t="n">
        <f aca="false">SUMPRODUCT(E351:N351,1/(1+$F$346)^$E$3:$N$3)*$E$2</f>
        <v>9806.55406610912</v>
      </c>
      <c r="P351" s="15" t="n">
        <f aca="false">N351*$E$2*(1+$I$346)/($F$346-$I$346)/(1+$F$346)^$N$3</f>
        <v>13487.3113692169</v>
      </c>
      <c r="Q351" s="15" t="n">
        <f aca="false">O351+P351</f>
        <v>23293.865435326</v>
      </c>
      <c r="R351" s="15" t="n">
        <f aca="false">Q351-$G$2+$I$2</f>
        <v>18473.365435326</v>
      </c>
      <c r="S351" s="42" t="n">
        <f aca="false">R351/$K$2</f>
        <v>96.4163122929332</v>
      </c>
      <c r="T351" s="43" t="n">
        <f aca="false">S351-$M$2</f>
        <v>29.4538905810335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41" t="n">
        <f aca="false">(B352+C352)/2</f>
        <v>0.109375</v>
      </c>
      <c r="E352" s="15" t="n">
        <f aca="false">$C$2*(1+IF(E$3&lt;=$O$2,$D352,$D352-($D352-$I$346)*MIN(E$3-$O$2,$Q$2)/$Q$2))</f>
        <v>5435.9375</v>
      </c>
      <c r="F352" s="15" t="n">
        <f aca="false">E352*(1+IF(F$3&lt;=$O$2,$D352,$D352-($D352-$I$346)*MIN(F$3-$O$2,$Q$2)/$Q$2))</f>
        <v>6030.4931640625</v>
      </c>
      <c r="G352" s="15" t="n">
        <f aca="false">F352*(1+IF(G$3&lt;=$O$2,$D352,$D352-($D352-$I$346)*MIN(G$3-$O$2,$Q$2)/$Q$2))</f>
        <v>6690.07835388184</v>
      </c>
      <c r="H352" s="15" t="n">
        <f aca="false">G352*(1+IF(H$3&lt;=$O$2,$D352,$D352-($D352-$I$346)*MIN(H$3-$O$2,$Q$2)/$Q$2))</f>
        <v>7421.80567383766</v>
      </c>
      <c r="I352" s="15" t="n">
        <f aca="false">H352*(1+IF(I$3&lt;=$O$2,$D352,$D352-($D352-$I$346)*MIN(I$3-$O$2,$Q$2)/$Q$2))</f>
        <v>8233.56566941366</v>
      </c>
      <c r="J352" s="15" t="n">
        <f aca="false">I352*(1+IF(J$3&lt;=$O$2,$D352,$D352-($D352-$I$346)*MIN(J$3-$O$2,$Q$2)/$Q$2))</f>
        <v>8992.37108150682</v>
      </c>
      <c r="K352" s="15" t="n">
        <f aca="false">J352*(1+IF(K$3&lt;=$O$2,$D352,$D352-($D352-$I$346)*MIN(K$3-$O$2,$Q$2)/$Q$2))</f>
        <v>9666.30433221035</v>
      </c>
      <c r="L352" s="15" t="n">
        <f aca="false">K352*(1+IF(L$3&lt;=$O$2,$D352,$D352-($D352-$I$346)*MIN(L$3-$O$2,$Q$2)/$Q$2))</f>
        <v>10224.3400813089</v>
      </c>
      <c r="M352" s="15" t="n">
        <f aca="false">L352*(1+IF(M$3&lt;=$O$2,$D352,$D352-($D352-$I$346)*MIN(M$3-$O$2,$Q$2)/$Q$2))</f>
        <v>10638.5792197031</v>
      </c>
      <c r="N352" s="15" t="n">
        <f aca="false">M352*(1+IF(N$3&lt;=$O$2,$D352,$D352-($D352-$I$346)*MIN(N$3-$O$2,$Q$2)/$Q$2))</f>
        <v>10886.4581155222</v>
      </c>
      <c r="O352" s="15" t="n">
        <f aca="false">SUMPRODUCT(E352:N352,1/(1+$F$346)^$E$3:$N$3)*$E$2</f>
        <v>8013.90431171246</v>
      </c>
      <c r="P352" s="15" t="n">
        <f aca="false">N352*$E$2*(1+$I$346)/($F$346-$I$346)/(1+$F$346)^$N$3</f>
        <v>10061.2888606834</v>
      </c>
      <c r="Q352" s="15" t="n">
        <f aca="false">O352+P352</f>
        <v>18075.1931723959</v>
      </c>
      <c r="R352" s="15" t="n">
        <f aca="false">Q352-$G$2+$I$2</f>
        <v>13254.6931723959</v>
      </c>
      <c r="S352" s="42" t="n">
        <f aca="false">R352/$K$2</f>
        <v>69.178983154467</v>
      </c>
      <c r="T352" s="43" t="n">
        <f aca="false">S352-$M$2</f>
        <v>2.21656144256724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0.0625</v>
      </c>
      <c r="C353" s="25" t="n">
        <f aca="false">IF(T352&gt;0,D352,C352)</f>
        <v>0.109375</v>
      </c>
      <c r="D353" s="41" t="n">
        <f aca="false">(B353+C353)/2</f>
        <v>0.0859375</v>
      </c>
      <c r="E353" s="15" t="n">
        <f aca="false">$C$2*(1+IF(E$3&lt;=$O$2,$D353,$D353-($D353-$I$346)*MIN(E$3-$O$2,$Q$2)/$Q$2))</f>
        <v>5321.09375</v>
      </c>
      <c r="F353" s="15" t="n">
        <f aca="false">E353*(1+IF(F$3&lt;=$O$2,$D353,$D353-($D353-$I$346)*MIN(F$3-$O$2,$Q$2)/$Q$2))</f>
        <v>5778.37524414063</v>
      </c>
      <c r="G353" s="15" t="n">
        <f aca="false">F353*(1+IF(G$3&lt;=$O$2,$D353,$D353-($D353-$I$346)*MIN(G$3-$O$2,$Q$2)/$Q$2))</f>
        <v>6274.95436668396</v>
      </c>
      <c r="H353" s="15" t="n">
        <f aca="false">G353*(1+IF(H$3&lt;=$O$2,$D353,$D353-($D353-$I$346)*MIN(H$3-$O$2,$Q$2)/$Q$2))</f>
        <v>6814.20825757086</v>
      </c>
      <c r="I353" s="15" t="n">
        <f aca="false">H353*(1+IF(I$3&lt;=$O$2,$D353,$D353-($D353-$I$346)*MIN(I$3-$O$2,$Q$2)/$Q$2))</f>
        <v>7399.80427970586</v>
      </c>
      <c r="J353" s="15" t="n">
        <f aca="false">I353*(1+IF(J$3&lt;=$O$2,$D353,$D353-($D353-$I$346)*MIN(J$3-$O$2,$Q$2)/$Q$2))</f>
        <v>7943.02391187907</v>
      </c>
      <c r="K353" s="15" t="n">
        <f aca="false">J353*(1+IF(K$3&lt;=$O$2,$D353,$D353-($D353-$I$346)*MIN(K$3-$O$2,$Q$2)/$Q$2))</f>
        <v>8426.61506519404</v>
      </c>
      <c r="L353" s="15" t="n">
        <f aca="false">K353*(1+IF(L$3&lt;=$O$2,$D353,$D353-($D353-$I$346)*MIN(L$3-$O$2,$Q$2)/$Q$2))</f>
        <v>8834.0840366715</v>
      </c>
      <c r="M353" s="15" t="n">
        <f aca="false">L353*(1+IF(M$3&lt;=$O$2,$D353,$D353-($D353-$I$346)*MIN(M$3-$O$2,$Q$2)/$Q$2))</f>
        <v>9150.58718249535</v>
      </c>
      <c r="N353" s="15" t="n">
        <f aca="false">M353*(1+IF(N$3&lt;=$O$2,$D353,$D353-($D353-$I$346)*MIN(N$3-$O$2,$Q$2)/$Q$2))</f>
        <v>9363.79586384749</v>
      </c>
      <c r="O353" s="15" t="n">
        <f aca="false">SUMPRODUCT(E353:N353,1/(1+$F$346)^$E$3:$N$3)*$E$2</f>
        <v>7243.50192266211</v>
      </c>
      <c r="P353" s="15" t="n">
        <f aca="false">N353*$E$2*(1+$I$346)/($F$346-$I$346)/(1+$F$346)^$N$3</f>
        <v>8654.04101305574</v>
      </c>
      <c r="Q353" s="15" t="n">
        <f aca="false">O353+P353</f>
        <v>15897.5429357179</v>
      </c>
      <c r="R353" s="15" t="n">
        <f aca="false">Q353-$G$2+$I$2</f>
        <v>11077.0429357179</v>
      </c>
      <c r="S353" s="42" t="n">
        <f aca="false">R353/$K$2</f>
        <v>57.8133764912205</v>
      </c>
      <c r="T353" s="43" t="n">
        <f aca="false">S353-$M$2</f>
        <v>-9.14904522067928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0.0859375</v>
      </c>
      <c r="C354" s="25" t="n">
        <f aca="false">IF(T353&gt;0,D353,C353)</f>
        <v>0.109375</v>
      </c>
      <c r="D354" s="41" t="n">
        <f aca="false">(B354+C354)/2</f>
        <v>0.09765625</v>
      </c>
      <c r="E354" s="15" t="n">
        <f aca="false">$C$2*(1+IF(E$3&lt;=$O$2,$D354,$D354-($D354-$I$346)*MIN(E$3-$O$2,$Q$2)/$Q$2))</f>
        <v>5378.515625</v>
      </c>
      <c r="F354" s="15" t="n">
        <f aca="false">E354*(1+IF(F$3&lt;=$O$2,$D354,$D354-($D354-$I$346)*MIN(F$3-$O$2,$Q$2)/$Q$2))</f>
        <v>5903.76129150391</v>
      </c>
      <c r="G354" s="15" t="n">
        <f aca="false">F354*(1+IF(G$3&lt;=$O$2,$D354,$D354-($D354-$I$346)*MIN(G$3-$O$2,$Q$2)/$Q$2))</f>
        <v>6480.30048012734</v>
      </c>
      <c r="H354" s="15" t="n">
        <f aca="false">G354*(1+IF(H$3&lt;=$O$2,$D354,$D354-($D354-$I$346)*MIN(H$3-$O$2,$Q$2)/$Q$2))</f>
        <v>7113.14232388977</v>
      </c>
      <c r="I354" s="15" t="n">
        <f aca="false">H354*(1+IF(I$3&lt;=$O$2,$D354,$D354-($D354-$I$346)*MIN(I$3-$O$2,$Q$2)/$Q$2))</f>
        <v>7807.78512895713</v>
      </c>
      <c r="J354" s="15" t="n">
        <f aca="false">I354*(1+IF(J$3&lt;=$O$2,$D354,$D354-($D354-$I$346)*MIN(J$3-$O$2,$Q$2)/$Q$2))</f>
        <v>8454.15262085785</v>
      </c>
      <c r="K354" s="15" t="n">
        <f aca="false">J354*(1+IF(K$3&lt;=$O$2,$D354,$D354-($D354-$I$346)*MIN(K$3-$O$2,$Q$2)/$Q$2))</f>
        <v>9028.30582841263</v>
      </c>
      <c r="L354" s="15" t="n">
        <f aca="false">K354*(1+IF(L$3&lt;=$O$2,$D354,$D354-($D354-$I$346)*MIN(L$3-$O$2,$Q$2)/$Q$2))</f>
        <v>9507.18974031621</v>
      </c>
      <c r="M354" s="15" t="n">
        <f aca="false">L354*(1+IF(M$3&lt;=$O$2,$D354,$D354-($D354-$I$346)*MIN(M$3-$O$2,$Q$2)/$Q$2))</f>
        <v>9870.09105669125</v>
      </c>
      <c r="N354" s="15" t="n">
        <f aca="false">M354*(1+IF(N$3&lt;=$O$2,$D354,$D354-($D354-$I$346)*MIN(N$3-$O$2,$Q$2)/$Q$2))</f>
        <v>10100.0641783122</v>
      </c>
      <c r="O354" s="15" t="n">
        <f aca="false">SUMPRODUCT(E354:N354,1/(1+$F$346)^$E$3:$N$3)*$E$2</f>
        <v>7619.00443395316</v>
      </c>
      <c r="P354" s="15" t="n">
        <f aca="false">N354*$E$2*(1+$I$346)/($F$346-$I$346)/(1+$F$346)^$N$3</f>
        <v>9334.50183072382</v>
      </c>
      <c r="Q354" s="15" t="n">
        <f aca="false">O354+P354</f>
        <v>16953.506264677</v>
      </c>
      <c r="R354" s="15" t="n">
        <f aca="false">Q354-$G$2+$I$2</f>
        <v>12133.006264677</v>
      </c>
      <c r="S354" s="42" t="n">
        <f aca="false">R354/$K$2</f>
        <v>63.3246673521763</v>
      </c>
      <c r="T354" s="43" t="n">
        <f aca="false">S354-$M$2</f>
        <v>-3.63775435972349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0.09765625</v>
      </c>
      <c r="C355" s="25" t="n">
        <f aca="false">IF(T354&gt;0,D354,C354)</f>
        <v>0.109375</v>
      </c>
      <c r="D355" s="41" t="n">
        <f aca="false">(B355+C355)/2</f>
        <v>0.103515625</v>
      </c>
      <c r="E355" s="15" t="n">
        <f aca="false">$C$2*(1+IF(E$3&lt;=$O$2,$D355,$D355-($D355-$I$346)*MIN(E$3-$O$2,$Q$2)/$Q$2))</f>
        <v>5407.2265625</v>
      </c>
      <c r="F355" s="15" t="n">
        <f aca="false">E355*(1+IF(F$3&lt;=$O$2,$D355,$D355-($D355-$I$346)*MIN(F$3-$O$2,$Q$2)/$Q$2))</f>
        <v>5966.95899963379</v>
      </c>
      <c r="G355" s="15" t="n">
        <f aca="false">F355*(1+IF(G$3&lt;=$O$2,$D355,$D355-($D355-$I$346)*MIN(G$3-$O$2,$Q$2)/$Q$2))</f>
        <v>6584.63248983026</v>
      </c>
      <c r="H355" s="15" t="n">
        <f aca="false">G355*(1+IF(H$3&lt;=$O$2,$D355,$D355-($D355-$I$346)*MIN(H$3-$O$2,$Q$2)/$Q$2))</f>
        <v>7266.24483741034</v>
      </c>
      <c r="I355" s="15" t="n">
        <f aca="false">H355*(1+IF(I$3&lt;=$O$2,$D355,$D355-($D355-$I$346)*MIN(I$3-$O$2,$Q$2)/$Q$2))</f>
        <v>8018.4147131579</v>
      </c>
      <c r="J355" s="15" t="n">
        <f aca="false">I355*(1+IF(J$3&lt;=$O$2,$D355,$D355-($D355-$I$346)*MIN(J$3-$O$2,$Q$2)/$Q$2))</f>
        <v>8719.8054941546</v>
      </c>
      <c r="K355" s="15" t="n">
        <f aca="false">J355*(1+IF(K$3&lt;=$O$2,$D355,$D355-($D355-$I$346)*MIN(K$3-$O$2,$Q$2)/$Q$2))</f>
        <v>9342.65575072363</v>
      </c>
      <c r="L355" s="15" t="n">
        <f aca="false">K355*(1+IF(L$3&lt;=$O$2,$D355,$D355-($D355-$I$346)*MIN(L$3-$O$2,$Q$2)/$Q$2))</f>
        <v>9860.11041779715</v>
      </c>
      <c r="M355" s="15" t="n">
        <f aca="false">L355*(1+IF(M$3&lt;=$O$2,$D355,$D355-($D355-$I$346)*MIN(M$3-$O$2,$Q$2)/$Q$2))</f>
        <v>10248.0379744783</v>
      </c>
      <c r="N355" s="15" t="n">
        <f aca="false">M355*(1+IF(N$3&lt;=$O$2,$D355,$D355-($D355-$I$346)*MIN(N$3-$O$2,$Q$2)/$Q$2))</f>
        <v>10486.8172592837</v>
      </c>
      <c r="O355" s="15" t="n">
        <f aca="false">SUMPRODUCT(E355:N355,1/(1+$F$346)^$E$3:$N$3)*$E$2</f>
        <v>7813.97276755097</v>
      </c>
      <c r="P355" s="15" t="n">
        <f aca="false">N355*$E$2*(1+$I$346)/($F$346-$I$346)/(1+$F$346)^$N$3</f>
        <v>9691.93989038674</v>
      </c>
      <c r="Q355" s="15" t="n">
        <f aca="false">O355+P355</f>
        <v>17505.9126579377</v>
      </c>
      <c r="R355" s="15" t="n">
        <f aca="false">Q355-$G$2+$I$2</f>
        <v>12685.4126579377</v>
      </c>
      <c r="S355" s="42" t="n">
        <f aca="false">R355/$K$2</f>
        <v>66.2077904902803</v>
      </c>
      <c r="T355" s="43" t="n">
        <f aca="false">S355-$M$2</f>
        <v>-0.754631221619491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0.103515625</v>
      </c>
      <c r="C356" s="25" t="n">
        <f aca="false">IF(T355&gt;0,D355,C355)</f>
        <v>0.109375</v>
      </c>
      <c r="D356" s="41" t="n">
        <f aca="false">(B356+C356)/2</f>
        <v>0.1064453125</v>
      </c>
      <c r="E356" s="15" t="n">
        <f aca="false">$C$2*(1+IF(E$3&lt;=$O$2,$D356,$D356-($D356-$I$346)*MIN(E$3-$O$2,$Q$2)/$Q$2))</f>
        <v>5421.58203125</v>
      </c>
      <c r="F356" s="15" t="n">
        <f aca="false">E356*(1+IF(F$3&lt;=$O$2,$D356,$D356-($D356-$I$346)*MIN(F$3-$O$2,$Q$2)/$Q$2))</f>
        <v>5998.68402481079</v>
      </c>
      <c r="G356" s="15" t="n">
        <f aca="false">F356*(1+IF(G$3&lt;=$O$2,$D356,$D356-($D356-$I$346)*MIN(G$3-$O$2,$Q$2)/$Q$2))</f>
        <v>6637.21582042053</v>
      </c>
      <c r="H356" s="15" t="n">
        <f aca="false">G356*(1+IF(H$3&lt;=$O$2,$D356,$D356-($D356-$I$346)*MIN(H$3-$O$2,$Q$2)/$Q$2))</f>
        <v>7343.71633255514</v>
      </c>
      <c r="I356" s="15" t="n">
        <f aca="false">H356*(1+IF(I$3&lt;=$O$2,$D356,$D356-($D356-$I$346)*MIN(I$3-$O$2,$Q$2)/$Q$2))</f>
        <v>8125.42051248533</v>
      </c>
      <c r="J356" s="15" t="n">
        <f aca="false">I356*(1+IF(J$3&lt;=$O$2,$D356,$D356-($D356-$I$346)*MIN(J$3-$O$2,$Q$2)/$Q$2))</f>
        <v>8855.21531258984</v>
      </c>
      <c r="K356" s="15" t="n">
        <f aca="false">J356*(1+IF(K$3&lt;=$O$2,$D356,$D356-($D356-$I$346)*MIN(K$3-$O$2,$Q$2)/$Q$2))</f>
        <v>9503.30361602522</v>
      </c>
      <c r="L356" s="15" t="n">
        <f aca="false">K356*(1+IF(L$3&lt;=$O$2,$D356,$D356-($D356-$I$346)*MIN(L$3-$O$2,$Q$2)/$Q$2))</f>
        <v>10040.7926498533</v>
      </c>
      <c r="M356" s="15" t="n">
        <f aca="false">L356*(1+IF(M$3&lt;=$O$2,$D356,$D356-($D356-$I$346)*MIN(M$3-$O$2,$Q$2)/$Q$2))</f>
        <v>10441.7120871189</v>
      </c>
      <c r="N356" s="15" t="n">
        <f aca="false">M356*(1+IF(N$3&lt;=$O$2,$D356,$D356-($D356-$I$346)*MIN(N$3-$O$2,$Q$2)/$Q$2))</f>
        <v>10685.0039787487</v>
      </c>
      <c r="O356" s="15" t="n">
        <f aca="false">SUMPRODUCT(E356:N356,1/(1+$F$346)^$E$3:$N$3)*$E$2</f>
        <v>7913.31089489787</v>
      </c>
      <c r="P356" s="15" t="n">
        <f aca="false">N356*$E$2*(1+$I$346)/($F$346-$I$346)/(1+$F$346)^$N$3</f>
        <v>9875.10449835468</v>
      </c>
      <c r="Q356" s="15" t="n">
        <f aca="false">O356+P356</f>
        <v>17788.4153932525</v>
      </c>
      <c r="R356" s="15" t="n">
        <f aca="false">Q356-$G$2+$I$2</f>
        <v>12967.9153932525</v>
      </c>
      <c r="S356" s="42" t="n">
        <f aca="false">R356/$K$2</f>
        <v>67.6822306537189</v>
      </c>
      <c r="T356" s="43" t="n">
        <f aca="false">S356-$M$2</f>
        <v>0.719808941819125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0.103515625</v>
      </c>
      <c r="C357" s="25" t="n">
        <f aca="false">IF(T356&gt;0,D356,C356)</f>
        <v>0.1064453125</v>
      </c>
      <c r="D357" s="41" t="n">
        <f aca="false">(B357+C357)/2</f>
        <v>0.10498046875</v>
      </c>
      <c r="E357" s="15" t="n">
        <f aca="false">$C$2*(1+IF(E$3&lt;=$O$2,$D357,$D357-($D357-$I$346)*MIN(E$3-$O$2,$Q$2)/$Q$2))</f>
        <v>5414.404296875</v>
      </c>
      <c r="F357" s="15" t="n">
        <f aca="false">E357*(1+IF(F$3&lt;=$O$2,$D357,$D357-($D357-$I$346)*MIN(F$3-$O$2,$Q$2)/$Q$2))</f>
        <v>5982.81099796295</v>
      </c>
      <c r="G357" s="15" t="n">
        <f aca="false">F357*(1+IF(G$3&lt;=$O$2,$D357,$D357-($D357-$I$346)*MIN(G$3-$O$2,$Q$2)/$Q$2))</f>
        <v>6610.88930097176</v>
      </c>
      <c r="H357" s="15" t="n">
        <f aca="false">G357*(1+IF(H$3&lt;=$O$2,$D357,$D357-($D357-$I$346)*MIN(H$3-$O$2,$Q$2)/$Q$2))</f>
        <v>7304.90355864213</v>
      </c>
      <c r="I357" s="15" t="n">
        <f aca="false">H357*(1+IF(I$3&lt;=$O$2,$D357,$D357-($D357-$I$346)*MIN(I$3-$O$2,$Q$2)/$Q$2))</f>
        <v>8071.77575840193</v>
      </c>
      <c r="J357" s="15" t="n">
        <f aca="false">I357*(1+IF(J$3&lt;=$O$2,$D357,$D357-($D357-$I$346)*MIN(J$3-$O$2,$Q$2)/$Q$2))</f>
        <v>8787.29327564562</v>
      </c>
      <c r="K357" s="15" t="n">
        <f aca="false">J357*(1+IF(K$3&lt;=$O$2,$D357,$D357-($D357-$I$346)*MIN(K$3-$O$2,$Q$2)/$Q$2))</f>
        <v>9422.68734924723</v>
      </c>
      <c r="L357" s="15" t="n">
        <f aca="false">K357*(1+IF(L$3&lt;=$O$2,$D357,$D357-($D357-$I$346)*MIN(L$3-$O$2,$Q$2)/$Q$2))</f>
        <v>9950.09577231318</v>
      </c>
      <c r="M357" s="15" t="n">
        <f aca="false">L357*(1+IF(M$3&lt;=$O$2,$D357,$D357-($D357-$I$346)*MIN(M$3-$O$2,$Q$2)/$Q$2))</f>
        <v>10344.4787011661</v>
      </c>
      <c r="N357" s="15" t="n">
        <f aca="false">M357*(1+IF(N$3&lt;=$O$2,$D357,$D357-($D357-$I$346)*MIN(N$3-$O$2,$Q$2)/$Q$2))</f>
        <v>10585.5050549032</v>
      </c>
      <c r="O357" s="15" t="n">
        <f aca="false">SUMPRODUCT(E357:N357,1/(1+$F$346)^$E$3:$N$3)*$E$2</f>
        <v>7863.485831181</v>
      </c>
      <c r="P357" s="15" t="n">
        <f aca="false">N357*$E$2*(1+$I$346)/($F$346-$I$346)/(1+$F$346)^$N$3</f>
        <v>9783.14737111332</v>
      </c>
      <c r="Q357" s="15" t="n">
        <f aca="false">O357+P357</f>
        <v>17646.6332022943</v>
      </c>
      <c r="R357" s="15" t="n">
        <f aca="false">Q357-$G$2+$I$2</f>
        <v>12826.1332022943</v>
      </c>
      <c r="S357" s="42" t="n">
        <f aca="false">R357/$K$2</f>
        <v>66.9422400954818</v>
      </c>
      <c r="T357" s="43" t="n">
        <f aca="false">S357-$M$2</f>
        <v>-0.0201816164179718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0.10498046875</v>
      </c>
      <c r="C358" s="25" t="n">
        <f aca="false">IF(T357&gt;0,D357,C357)</f>
        <v>0.1064453125</v>
      </c>
      <c r="D358" s="41" t="n">
        <f aca="false">(B358+C358)/2</f>
        <v>0.105712890625</v>
      </c>
      <c r="E358" s="15" t="n">
        <f aca="false">$C$2*(1+IF(E$3&lt;=$O$2,$D358,$D358-($D358-$I$346)*MIN(E$3-$O$2,$Q$2)/$Q$2))</f>
        <v>5417.9931640625</v>
      </c>
      <c r="F358" s="15" t="n">
        <f aca="false">E358*(1+IF(F$3&lt;=$O$2,$D358,$D358-($D358-$I$346)*MIN(F$3-$O$2,$Q$2)/$Q$2))</f>
        <v>5990.74488282204</v>
      </c>
      <c r="G358" s="15" t="n">
        <f aca="false">F358*(1+IF(G$3&lt;=$O$2,$D358,$D358-($D358-$I$346)*MIN(G$3-$O$2,$Q$2)/$Q$2))</f>
        <v>6624.04384138208</v>
      </c>
      <c r="H358" s="15" t="n">
        <f aca="false">G358*(1+IF(H$3&lt;=$O$2,$D358,$D358-($D358-$I$346)*MIN(H$3-$O$2,$Q$2)/$Q$2))</f>
        <v>7324.29066348131</v>
      </c>
      <c r="I358" s="15" t="n">
        <f aca="false">H358*(1+IF(I$3&lt;=$O$2,$D358,$D358-($D358-$I$346)*MIN(I$3-$O$2,$Q$2)/$Q$2))</f>
        <v>8098.56260129562</v>
      </c>
      <c r="J358" s="15" t="n">
        <f aca="false">I358*(1+IF(J$3&lt;=$O$2,$D358,$D358-($D358-$I$346)*MIN(J$3-$O$2,$Q$2)/$Q$2))</f>
        <v>8821.19987301004</v>
      </c>
      <c r="K358" s="15" t="n">
        <f aca="false">J358*(1+IF(K$3&lt;=$O$2,$D358,$D358-($D358-$I$346)*MIN(K$3-$O$2,$Q$2)/$Q$2))</f>
        <v>9462.92217824056</v>
      </c>
      <c r="L358" s="15" t="n">
        <f aca="false">K358*(1+IF(L$3&lt;=$O$2,$D358,$D358-($D358-$I$346)*MIN(L$3-$O$2,$Q$2)/$Q$2))</f>
        <v>9995.35497318085</v>
      </c>
      <c r="M358" s="15" t="n">
        <f aca="false">L358*(1+IF(M$3&lt;=$O$2,$D358,$D358-($D358-$I$346)*MIN(M$3-$O$2,$Q$2)/$Q$2))</f>
        <v>10392.9959632885</v>
      </c>
      <c r="N358" s="15" t="n">
        <f aca="false">M358*(1+IF(N$3&lt;=$O$2,$D358,$D358-($D358-$I$346)*MIN(N$3-$O$2,$Q$2)/$Q$2))</f>
        <v>10635.1527692332</v>
      </c>
      <c r="O358" s="15" t="n">
        <f aca="false">SUMPRODUCT(E358:N358,1/(1+$F$346)^$E$3:$N$3)*$E$2</f>
        <v>7888.35924949479</v>
      </c>
      <c r="P358" s="15" t="n">
        <f aca="false">N358*$E$2*(1+$I$346)/($F$346-$I$346)/(1+$F$346)^$N$3</f>
        <v>9829.03189938187</v>
      </c>
      <c r="Q358" s="15" t="n">
        <f aca="false">O358+P358</f>
        <v>17717.3911488767</v>
      </c>
      <c r="R358" s="15" t="n">
        <f aca="false">Q358-$G$2+$I$2</f>
        <v>12896.8911488767</v>
      </c>
      <c r="S358" s="42" t="n">
        <f aca="false">R358/$K$2</f>
        <v>67.3115404429888</v>
      </c>
      <c r="T358" s="43" t="n">
        <f aca="false">S358-$M$2</f>
        <v>0.34911873108905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0.10498046875</v>
      </c>
      <c r="C359" s="25" t="n">
        <f aca="false">IF(T358&gt;0,D358,C358)</f>
        <v>0.105712890625</v>
      </c>
      <c r="D359" s="41" t="n">
        <f aca="false">(B359+C359)/2</f>
        <v>0.1053466796875</v>
      </c>
      <c r="E359" s="15" t="n">
        <f aca="false">$C$2*(1+IF(E$3&lt;=$O$2,$D359,$D359-($D359-$I$346)*MIN(E$3-$O$2,$Q$2)/$Q$2))</f>
        <v>5416.19873046875</v>
      </c>
      <c r="F359" s="15" t="n">
        <f aca="false">E359*(1+IF(F$3&lt;=$O$2,$D359,$D359-($D359-$I$346)*MIN(F$3-$O$2,$Q$2)/$Q$2))</f>
        <v>5986.77728325129</v>
      </c>
      <c r="G359" s="15" t="n">
        <f aca="false">F359*(1+IF(G$3&lt;=$O$2,$D359,$D359-($D359-$I$346)*MIN(G$3-$O$2,$Q$2)/$Q$2))</f>
        <v>6617.46439207036</v>
      </c>
      <c r="H359" s="15" t="n">
        <f aca="false">G359*(1+IF(H$3&lt;=$O$2,$D359,$D359-($D359-$I$346)*MIN(H$3-$O$2,$Q$2)/$Q$2))</f>
        <v>7314.59229372523</v>
      </c>
      <c r="I359" s="15" t="n">
        <f aca="false">H359*(1+IF(I$3&lt;=$O$2,$D359,$D359-($D359-$I$346)*MIN(I$3-$O$2,$Q$2)/$Q$2))</f>
        <v>8085.16030513696</v>
      </c>
      <c r="J359" s="15" t="n">
        <f aca="false">I359*(1+IF(J$3&lt;=$O$2,$D359,$D359-($D359-$I$346)*MIN(J$3-$O$2,$Q$2)/$Q$2))</f>
        <v>8804.23298646878</v>
      </c>
      <c r="K359" s="15" t="n">
        <f aca="false">J359*(1+IF(K$3&lt;=$O$2,$D359,$D359-($D359-$I$346)*MIN(K$3-$O$2,$Q$2)/$Q$2))</f>
        <v>9442.78646529446</v>
      </c>
      <c r="L359" s="15" t="n">
        <f aca="false">K359*(1+IF(L$3&lt;=$O$2,$D359,$D359-($D359-$I$346)*MIN(L$3-$O$2,$Q$2)/$Q$2))</f>
        <v>9972.70310052601</v>
      </c>
      <c r="M359" s="15" t="n">
        <f aca="false">L359*(1+IF(M$3&lt;=$O$2,$D359,$D359-($D359-$I$346)*MIN(M$3-$O$2,$Q$2)/$Q$2))</f>
        <v>10368.7125181497</v>
      </c>
      <c r="N359" s="15" t="n">
        <f aca="false">M359*(1+IF(N$3&lt;=$O$2,$D359,$D359-($D359-$I$346)*MIN(N$3-$O$2,$Q$2)/$Q$2))</f>
        <v>10610.3035198226</v>
      </c>
      <c r="O359" s="15" t="n">
        <f aca="false">SUMPRODUCT(E359:N359,1/(1+$F$346)^$E$3:$N$3)*$E$2</f>
        <v>7875.91277616582</v>
      </c>
      <c r="P359" s="15" t="n">
        <f aca="false">N359*$E$2*(1+$I$346)/($F$346-$I$346)/(1+$F$346)^$N$3</f>
        <v>9806.06616767764</v>
      </c>
      <c r="Q359" s="15" t="n">
        <f aca="false">O359+P359</f>
        <v>17681.9789438435</v>
      </c>
      <c r="R359" s="15" t="n">
        <f aca="false">Q359-$G$2+$I$2</f>
        <v>12861.4789438435</v>
      </c>
      <c r="S359" s="42" t="n">
        <f aca="false">R359/$K$2</f>
        <v>67.1267168259054</v>
      </c>
      <c r="T359" s="43" t="n">
        <f aca="false">S359-$M$2</f>
        <v>0.164295114005569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0.10498046875</v>
      </c>
      <c r="C360" s="25" t="n">
        <f aca="false">IF(T359&gt;0,D359,C359)</f>
        <v>0.1053466796875</v>
      </c>
      <c r="D360" s="41" t="n">
        <f aca="false">(B360+C360)/2</f>
        <v>0.10516357421875</v>
      </c>
      <c r="E360" s="15" t="n">
        <f aca="false">$C$2*(1+IF(E$3&lt;=$O$2,$D360,$D360-($D360-$I$346)*MIN(E$3-$O$2,$Q$2)/$Q$2))</f>
        <v>5415.30151367188</v>
      </c>
      <c r="F360" s="15" t="n">
        <f aca="false">E360*(1+IF(F$3&lt;=$O$2,$D360,$D360-($D360-$I$346)*MIN(F$3-$O$2,$Q$2)/$Q$2))</f>
        <v>5984.79397632182</v>
      </c>
      <c r="G360" s="15" t="n">
        <f aca="false">F360*(1+IF(G$3&lt;=$O$2,$D360,$D360-($D360-$I$346)*MIN(G$3-$O$2,$Q$2)/$Q$2))</f>
        <v>6614.17630183466</v>
      </c>
      <c r="H360" s="15" t="n">
        <f aca="false">G360*(1+IF(H$3&lt;=$O$2,$D360,$D360-($D360-$I$346)*MIN(H$3-$O$2,$Q$2)/$Q$2))</f>
        <v>7309.74672224855</v>
      </c>
      <c r="I360" s="15" t="n">
        <f aca="false">H360*(1+IF(I$3&lt;=$O$2,$D360,$D360-($D360-$I$346)*MIN(I$3-$O$2,$Q$2)/$Q$2))</f>
        <v>8078.465814194</v>
      </c>
      <c r="J360" s="15" t="n">
        <f aca="false">I360*(1+IF(J$3&lt;=$O$2,$D360,$D360-($D360-$I$346)*MIN(J$3-$O$2,$Q$2)/$Q$2))</f>
        <v>8795.75973626784</v>
      </c>
      <c r="K360" s="15" t="n">
        <f aca="false">J360*(1+IF(K$3&lt;=$O$2,$D360,$D360-($D360-$I$346)*MIN(K$3-$O$2,$Q$2)/$Q$2))</f>
        <v>9432.73233611104</v>
      </c>
      <c r="L360" s="15" t="n">
        <f aca="false">K360*(1+IF(L$3&lt;=$O$2,$D360,$D360-($D360-$I$346)*MIN(L$3-$O$2,$Q$2)/$Q$2))</f>
        <v>9961.39387301556</v>
      </c>
      <c r="M360" s="15" t="n">
        <f aca="false">L360*(1+IF(M$3&lt;=$O$2,$D360,$D360-($D360-$I$346)*MIN(M$3-$O$2,$Q$2)/$Q$2))</f>
        <v>10356.589411586</v>
      </c>
      <c r="N360" s="15" t="n">
        <f aca="false">M360*(1+IF(N$3&lt;=$O$2,$D360,$D360-($D360-$I$346)*MIN(N$3-$O$2,$Q$2)/$Q$2))</f>
        <v>10597.8979448759</v>
      </c>
      <c r="O360" s="15" t="n">
        <f aca="false">SUMPRODUCT(E360:N360,1/(1+$F$346)^$E$3:$N$3)*$E$2</f>
        <v>7869.69686440519</v>
      </c>
      <c r="P360" s="15" t="n">
        <f aca="false">N360*$E$2*(1+$I$346)/($F$346-$I$346)/(1+$F$346)^$N$3</f>
        <v>9794.60090765486</v>
      </c>
      <c r="Q360" s="15" t="n">
        <f aca="false">O360+P360</f>
        <v>17664.2977720601</v>
      </c>
      <c r="R360" s="15" t="n">
        <f aca="false">Q360-$G$2+$I$2</f>
        <v>12843.7977720601</v>
      </c>
      <c r="S360" s="42" t="n">
        <f aca="false">R360/$K$2</f>
        <v>67.0344351360128</v>
      </c>
      <c r="T360" s="43" t="n">
        <f aca="false">S360-$M$2</f>
        <v>0.0720134241130097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0.10498046875</v>
      </c>
      <c r="C361" s="25" t="n">
        <f aca="false">IF(T360&gt;0,D360,C360)</f>
        <v>0.10516357421875</v>
      </c>
      <c r="D361" s="41" t="n">
        <f aca="false">(B361+C361)/2</f>
        <v>0.105072021484375</v>
      </c>
      <c r="E361" s="15" t="n">
        <f aca="false">$C$2*(1+IF(E$3&lt;=$O$2,$D361,$D361-($D361-$I$346)*MIN(E$3-$O$2,$Q$2)/$Q$2))</f>
        <v>5414.85290527344</v>
      </c>
      <c r="F361" s="15" t="n">
        <f aca="false">E361*(1+IF(F$3&lt;=$O$2,$D361,$D361-($D361-$I$346)*MIN(F$3-$O$2,$Q$2)/$Q$2))</f>
        <v>5983.80244607106</v>
      </c>
      <c r="G361" s="15" t="n">
        <f aca="false">F361*(1+IF(G$3&lt;=$O$2,$D361,$D361-($D361-$I$346)*MIN(G$3-$O$2,$Q$2)/$Q$2))</f>
        <v>6612.53266524289</v>
      </c>
      <c r="H361" s="15" t="n">
        <f aca="false">G361*(1+IF(H$3&lt;=$O$2,$D361,$D361-($D361-$I$346)*MIN(H$3-$O$2,$Q$2)/$Q$2))</f>
        <v>7307.32483951143</v>
      </c>
      <c r="I361" s="15" t="n">
        <f aca="false">H361*(1+IF(I$3&lt;=$O$2,$D361,$D361-($D361-$I$346)*MIN(I$3-$O$2,$Q$2)/$Q$2))</f>
        <v>8075.12023204188</v>
      </c>
      <c r="J361" s="15" t="n">
        <f aca="false">I361*(1+IF(J$3&lt;=$O$2,$D361,$D361-($D361-$I$346)*MIN(J$3-$O$2,$Q$2)/$Q$2))</f>
        <v>8791.5256575312</v>
      </c>
      <c r="K361" s="15" t="n">
        <f aca="false">J361*(1+IF(K$3&lt;=$O$2,$D361,$D361-($D361-$I$346)*MIN(K$3-$O$2,$Q$2)/$Q$2))</f>
        <v>9427.70870032053</v>
      </c>
      <c r="L361" s="15" t="n">
        <f aca="false">K361*(1+IF(L$3&lt;=$O$2,$D361,$D361-($D361-$I$346)*MIN(L$3-$O$2,$Q$2)/$Q$2))</f>
        <v>9955.74343239441</v>
      </c>
      <c r="M361" s="15" t="n">
        <f aca="false">L361*(1+IF(M$3&lt;=$O$2,$D361,$D361-($D361-$I$346)*MIN(M$3-$O$2,$Q$2)/$Q$2))</f>
        <v>10350.5325075385</v>
      </c>
      <c r="N361" s="15" t="n">
        <f aca="false">M361*(1+IF(N$3&lt;=$O$2,$D361,$D361-($D361-$I$346)*MIN(N$3-$O$2,$Q$2)/$Q$2))</f>
        <v>10591.6999149642</v>
      </c>
      <c r="O361" s="15" t="n">
        <f aca="false">SUMPRODUCT(E361:N361,1/(1+$F$346)^$E$3:$N$3)*$E$2</f>
        <v>7866.59073819777</v>
      </c>
      <c r="P361" s="15" t="n">
        <f aca="false">N361*$E$2*(1+$I$346)/($F$346-$I$346)/(1+$F$346)^$N$3</f>
        <v>9788.87267459251</v>
      </c>
      <c r="Q361" s="15" t="n">
        <f aca="false">O361+P361</f>
        <v>17655.4634127903</v>
      </c>
      <c r="R361" s="15" t="n">
        <f aca="false">Q361-$G$2+$I$2</f>
        <v>12834.9634127903</v>
      </c>
      <c r="S361" s="42" t="n">
        <f aca="false">R361/$K$2</f>
        <v>66.9883267890933</v>
      </c>
      <c r="T361" s="43" t="n">
        <f aca="false">S361-$M$2</f>
        <v>0.0259050771934994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0.10498046875</v>
      </c>
      <c r="C362" s="25" t="n">
        <f aca="false">IF(T361&gt;0,D361,C361)</f>
        <v>0.105072021484375</v>
      </c>
      <c r="D362" s="41" t="n">
        <f aca="false">(B362+C362)/2</f>
        <v>0.105026245117188</v>
      </c>
      <c r="E362" s="15" t="n">
        <f aca="false">$C$2*(1+IF(E$3&lt;=$O$2,$D362,$D362-($D362-$I$346)*MIN(E$3-$O$2,$Q$2)/$Q$2))</f>
        <v>5414.62860107422</v>
      </c>
      <c r="F362" s="15" t="n">
        <f aca="false">E362*(1+IF(F$3&lt;=$O$2,$D362,$D362-($D362-$I$346)*MIN(F$3-$O$2,$Q$2)/$Q$2))</f>
        <v>5983.30671174917</v>
      </c>
      <c r="G362" s="15" t="n">
        <f aca="false">F362*(1+IF(G$3&lt;=$O$2,$D362,$D362-($D362-$I$346)*MIN(G$3-$O$2,$Q$2)/$Q$2))</f>
        <v>6611.71094906866</v>
      </c>
      <c r="H362" s="15" t="n">
        <f aca="false">G362*(1+IF(H$3&lt;=$O$2,$D362,$D362-($D362-$I$346)*MIN(H$3-$O$2,$Q$2)/$Q$2))</f>
        <v>7306.11412384953</v>
      </c>
      <c r="I362" s="15" t="n">
        <f aca="false">H362*(1+IF(I$3&lt;=$O$2,$D362,$D362-($D362-$I$346)*MIN(I$3-$O$2,$Q$2)/$Q$2))</f>
        <v>8073.4478566751</v>
      </c>
      <c r="J362" s="15" t="n">
        <f aca="false">I362*(1+IF(J$3&lt;=$O$2,$D362,$D362-($D362-$I$346)*MIN(J$3-$O$2,$Q$2)/$Q$2))</f>
        <v>8789.409254516</v>
      </c>
      <c r="K362" s="15" t="n">
        <f aca="false">J362*(1+IF(K$3&lt;=$O$2,$D362,$D362-($D362-$I$346)*MIN(K$3-$O$2,$Q$2)/$Q$2))</f>
        <v>9425.19773924813</v>
      </c>
      <c r="L362" s="15" t="n">
        <f aca="false">K362*(1+IF(L$3&lt;=$O$2,$D362,$D362-($D362-$I$346)*MIN(L$3-$O$2,$Q$2)/$Q$2))</f>
        <v>9952.91925485891</v>
      </c>
      <c r="M362" s="15" t="n">
        <f aca="false">L362*(1+IF(M$3&lt;=$O$2,$D362,$D362-($D362-$I$346)*MIN(M$3-$O$2,$Q$2)/$Q$2))</f>
        <v>10347.505217228</v>
      </c>
      <c r="N362" s="15" t="n">
        <f aca="false">M362*(1+IF(N$3&lt;=$O$2,$D362,$D362-($D362-$I$346)*MIN(N$3-$O$2,$Q$2)/$Q$2))</f>
        <v>10588.6020887894</v>
      </c>
      <c r="O362" s="15" t="n">
        <f aca="false">SUMPRODUCT(E362:N362,1/(1+$F$346)^$E$3:$N$3)*$E$2</f>
        <v>7865.03813231826</v>
      </c>
      <c r="P362" s="15" t="n">
        <f aca="false">N362*$E$2*(1+$I$346)/($F$346-$I$346)/(1+$F$346)^$N$3</f>
        <v>9786.00965673544</v>
      </c>
      <c r="Q362" s="15" t="n">
        <f aca="false">O362+P362</f>
        <v>17651.0477890537</v>
      </c>
      <c r="R362" s="15" t="n">
        <f aca="false">Q362-$G$2+$I$2</f>
        <v>12830.5477890537</v>
      </c>
      <c r="S362" s="42" t="n">
        <f aca="false">R362/$K$2</f>
        <v>66.9652807361884</v>
      </c>
      <c r="T362" s="43" t="n">
        <f aca="false">S362-$M$2</f>
        <v>0.00285902428861107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0.10498046875</v>
      </c>
      <c r="C363" s="25" t="n">
        <f aca="false">IF(T362&gt;0,D362,C362)</f>
        <v>0.105026245117188</v>
      </c>
      <c r="D363" s="41" t="n">
        <f aca="false">(B363+C363)/2</f>
        <v>0.105003356933594</v>
      </c>
      <c r="E363" s="15" t="n">
        <f aca="false">$C$2*(1+IF(E$3&lt;=$O$2,$D363,$D363-($D363-$I$346)*MIN(E$3-$O$2,$Q$2)/$Q$2))</f>
        <v>5414.51644897461</v>
      </c>
      <c r="F363" s="15" t="n">
        <f aca="false">E363*(1+IF(F$3&lt;=$O$2,$D363,$D363-($D363-$I$346)*MIN(F$3-$O$2,$Q$2)/$Q$2))</f>
        <v>5983.05885228911</v>
      </c>
      <c r="G363" s="15" t="n">
        <f aca="false">F363*(1+IF(G$3&lt;=$O$2,$D363,$D363-($D363-$I$346)*MIN(G$3-$O$2,$Q$2)/$Q$2))</f>
        <v>6611.30011651072</v>
      </c>
      <c r="H363" s="15" t="n">
        <f aca="false">G363*(1+IF(H$3&lt;=$O$2,$D363,$D363-($D363-$I$346)*MIN(H$3-$O$2,$Q$2)/$Q$2))</f>
        <v>7305.5088224398</v>
      </c>
      <c r="I363" s="15" t="n">
        <f aca="false">H363*(1+IF(I$3&lt;=$O$2,$D363,$D363-($D363-$I$346)*MIN(I$3-$O$2,$Q$2)/$Q$2))</f>
        <v>8072.61177290396</v>
      </c>
      <c r="J363" s="15" t="n">
        <f aca="false">I363*(1+IF(J$3&lt;=$O$2,$D363,$D363-($D363-$I$346)*MIN(J$3-$O$2,$Q$2)/$Q$2))</f>
        <v>8788.35121206695</v>
      </c>
      <c r="K363" s="15" t="n">
        <f aca="false">J363*(1+IF(K$3&lt;=$O$2,$D363,$D363-($D363-$I$346)*MIN(K$3-$O$2,$Q$2)/$Q$2))</f>
        <v>9423.94247287048</v>
      </c>
      <c r="L363" s="15" t="n">
        <f aca="false">K363*(1+IF(L$3&lt;=$O$2,$D363,$D363-($D363-$I$346)*MIN(L$3-$O$2,$Q$2)/$Q$2))</f>
        <v>9951.5074267214</v>
      </c>
      <c r="M363" s="15" t="n">
        <f aca="false">L363*(1+IF(M$3&lt;=$O$2,$D363,$D363-($D363-$I$346)*MIN(M$3-$O$2,$Q$2)/$Q$2))</f>
        <v>10345.9918624266</v>
      </c>
      <c r="N363" s="15" t="n">
        <f aca="false">M363*(1+IF(N$3&lt;=$O$2,$D363,$D363-($D363-$I$346)*MIN(N$3-$O$2,$Q$2)/$Q$2))</f>
        <v>10587.0534728211</v>
      </c>
      <c r="O363" s="15" t="n">
        <f aca="false">SUMPRODUCT(E363:N363,1/(1+$F$346)^$E$3:$N$3)*$E$2</f>
        <v>7864.26194366031</v>
      </c>
      <c r="P363" s="15" t="n">
        <f aca="false">N363*$E$2*(1+$I$346)/($F$346-$I$346)/(1+$F$346)^$N$3</f>
        <v>9784.57842240506</v>
      </c>
      <c r="Q363" s="15" t="n">
        <f aca="false">O363+P363</f>
        <v>17648.8403660654</v>
      </c>
      <c r="R363" s="15" t="n">
        <f aca="false">Q363-$G$2+$I$2</f>
        <v>12828.3403660654</v>
      </c>
      <c r="S363" s="42" t="n">
        <f aca="false">R363/$K$2</f>
        <v>66.9537597393809</v>
      </c>
      <c r="T363" s="43" t="n">
        <f aca="false">S363-$M$2</f>
        <v>-0.00866197251893652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0.105003356933594</v>
      </c>
      <c r="C364" s="25" t="n">
        <f aca="false">IF(T363&gt;0,D363,C363)</f>
        <v>0.105026245117188</v>
      </c>
      <c r="D364" s="41" t="n">
        <f aca="false">(B364+C364)/2</f>
        <v>0.105014801025391</v>
      </c>
      <c r="E364" s="15" t="n">
        <f aca="false">$C$2*(1+IF(E$3&lt;=$O$2,$D364,$D364-($D364-$I$346)*MIN(E$3-$O$2,$Q$2)/$Q$2))</f>
        <v>5414.57252502441</v>
      </c>
      <c r="F364" s="15" t="n">
        <f aca="false">E364*(1+IF(F$3&lt;=$O$2,$D364,$D364-($D364-$I$346)*MIN(F$3-$O$2,$Q$2)/$Q$2))</f>
        <v>5983.1827813774</v>
      </c>
      <c r="G364" s="15" t="n">
        <f aca="false">F364*(1+IF(G$3&lt;=$O$2,$D364,$D364-($D364-$I$346)*MIN(G$3-$O$2,$Q$2)/$Q$2))</f>
        <v>6611.50553066229</v>
      </c>
      <c r="H364" s="15" t="n">
        <f aca="false">G364*(1+IF(H$3&lt;=$O$2,$D364,$D364-($D364-$I$346)*MIN(H$3-$O$2,$Q$2)/$Q$2))</f>
        <v>7305.81146844306</v>
      </c>
      <c r="I364" s="15" t="n">
        <f aca="false">H364*(1+IF(I$3&lt;=$O$2,$D364,$D364-($D364-$I$346)*MIN(I$3-$O$2,$Q$2)/$Q$2))</f>
        <v>8073.02980613063</v>
      </c>
      <c r="J364" s="15" t="n">
        <f aca="false">I364*(1+IF(J$3&lt;=$O$2,$D364,$D364-($D364-$I$346)*MIN(J$3-$O$2,$Q$2)/$Q$2))</f>
        <v>8788.88022003748</v>
      </c>
      <c r="K364" s="15" t="n">
        <f aca="false">J364*(1+IF(K$3&lt;=$O$2,$D364,$D364-($D364-$I$346)*MIN(K$3-$O$2,$Q$2)/$Q$2))</f>
        <v>9424.57008821417</v>
      </c>
      <c r="L364" s="15" t="n">
        <f aca="false">K364*(1+IF(L$3&lt;=$O$2,$D364,$D364-($D364-$I$346)*MIN(L$3-$O$2,$Q$2)/$Q$2))</f>
        <v>9952.21331907286</v>
      </c>
      <c r="M364" s="15" t="n">
        <f aca="false">L364*(1+IF(M$3&lt;=$O$2,$D364,$D364-($D364-$I$346)*MIN(M$3-$O$2,$Q$2)/$Q$2))</f>
        <v>10346.7485156333</v>
      </c>
      <c r="N364" s="15" t="n">
        <f aca="false">M364*(1+IF(N$3&lt;=$O$2,$D364,$D364-($D364-$I$346)*MIN(N$3-$O$2,$Q$2)/$Q$2))</f>
        <v>10587.8277560476</v>
      </c>
      <c r="O364" s="15" t="n">
        <f aca="false">SUMPRODUCT(E364:N364,1/(1+$F$346)^$E$3:$N$3)*$E$2</f>
        <v>7864.65002846652</v>
      </c>
      <c r="P364" s="15" t="n">
        <f aca="false">N364*$E$2*(1+$I$346)/($F$346-$I$346)/(1+$F$346)^$N$3</f>
        <v>9785.29401668917</v>
      </c>
      <c r="Q364" s="15" t="n">
        <f aca="false">O364+P364</f>
        <v>17649.9440451557</v>
      </c>
      <c r="R364" s="15" t="n">
        <f aca="false">Q364-$G$2+$I$2</f>
        <v>12829.4440451557</v>
      </c>
      <c r="S364" s="42" t="n">
        <f aca="false">R364/$K$2</f>
        <v>66.9595200686623</v>
      </c>
      <c r="T364" s="43" t="n">
        <f aca="false">S364-$M$2</f>
        <v>-0.00290164323753572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0.105014801025391</v>
      </c>
      <c r="C365" s="25" t="n">
        <f aca="false">IF(T364&gt;0,D364,C364)</f>
        <v>0.105026245117188</v>
      </c>
      <c r="D365" s="41" t="n">
        <f aca="false">(B365+C365)/2</f>
        <v>0.105020523071289</v>
      </c>
      <c r="E365" s="15" t="n">
        <f aca="false">$C$2*(1+IF(E$3&lt;=$O$2,$D365,$D365-($D365-$I$346)*MIN(E$3-$O$2,$Q$2)/$Q$2))</f>
        <v>5414.60056304932</v>
      </c>
      <c r="F365" s="15" t="n">
        <f aca="false">E365*(1+IF(F$3&lt;=$O$2,$D365,$D365-($D365-$I$346)*MIN(F$3-$O$2,$Q$2)/$Q$2))</f>
        <v>5983.24474640285</v>
      </c>
      <c r="G365" s="15" t="n">
        <f aca="false">F365*(1+IF(G$3&lt;=$O$2,$D365,$D365-($D365-$I$346)*MIN(G$3-$O$2,$Q$2)/$Q$2))</f>
        <v>6611.60823933362</v>
      </c>
      <c r="H365" s="15" t="n">
        <f aca="false">G365*(1+IF(H$3&lt;=$O$2,$D365,$D365-($D365-$I$346)*MIN(H$3-$O$2,$Q$2)/$Q$2))</f>
        <v>7305.96279497088</v>
      </c>
      <c r="I365" s="15" t="n">
        <f aca="false">H365*(1+IF(I$3&lt;=$O$2,$D365,$D365-($D365-$I$346)*MIN(I$3-$O$2,$Q$2)/$Q$2))</f>
        <v>8073.2388292381</v>
      </c>
      <c r="J365" s="15" t="n">
        <f aca="false">I365*(1+IF(J$3&lt;=$O$2,$D365,$D365-($D365-$I$346)*MIN(J$3-$O$2,$Q$2)/$Q$2))</f>
        <v>8789.14473396317</v>
      </c>
      <c r="K365" s="15" t="n">
        <f aca="false">J365*(1+IF(K$3&lt;=$O$2,$D365,$D365-($D365-$I$346)*MIN(K$3-$O$2,$Q$2)/$Q$2))</f>
        <v>9424.88390926976</v>
      </c>
      <c r="L365" s="15" t="n">
        <f aca="false">K365*(1+IF(L$3&lt;=$O$2,$D365,$D365-($D365-$I$346)*MIN(L$3-$O$2,$Q$2)/$Q$2))</f>
        <v>9952.56628153642</v>
      </c>
      <c r="M365" s="15" t="n">
        <f aca="false">L365*(1+IF(M$3&lt;=$O$2,$D365,$D365-($D365-$I$346)*MIN(M$3-$O$2,$Q$2)/$Q$2))</f>
        <v>10347.126860382</v>
      </c>
      <c r="N365" s="15" t="n">
        <f aca="false">M365*(1+IF(N$3&lt;=$O$2,$D365,$D365-($D365-$I$346)*MIN(N$3-$O$2,$Q$2)/$Q$2))</f>
        <v>10588.2149162289</v>
      </c>
      <c r="O365" s="15" t="n">
        <f aca="false">SUMPRODUCT(E365:N365,1/(1+$F$346)^$E$3:$N$3)*$E$2</f>
        <v>7864.84407801165</v>
      </c>
      <c r="P365" s="15" t="n">
        <f aca="false">N365*$E$2*(1+$I$346)/($F$346-$I$346)/(1+$F$346)^$N$3</f>
        <v>9785.65183099187</v>
      </c>
      <c r="Q365" s="15" t="n">
        <f aca="false">O365+P365</f>
        <v>17650.4959090035</v>
      </c>
      <c r="R365" s="15" t="n">
        <f aca="false">Q365-$G$2+$I$2</f>
        <v>12829.9959090035</v>
      </c>
      <c r="S365" s="42" t="n">
        <f aca="false">R365/$K$2</f>
        <v>66.9624003601436</v>
      </c>
      <c r="T365" s="43" t="n">
        <f aca="false">S365-$M$2</f>
        <v>-2.13517561604704E-005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0.105020523071289</v>
      </c>
      <c r="C366" s="25" t="n">
        <f aca="false">IF(T365&gt;0,D365,C365)</f>
        <v>0.105026245117188</v>
      </c>
      <c r="D366" s="41" t="n">
        <f aca="false">(B366+C366)/2</f>
        <v>0.105023384094238</v>
      </c>
      <c r="E366" s="15" t="n">
        <f aca="false">$C$2*(1+IF(E$3&lt;=$O$2,$D366,$D366-($D366-$I$346)*MIN(E$3-$O$2,$Q$2)/$Q$2))</f>
        <v>5414.61458206177</v>
      </c>
      <c r="F366" s="15" t="n">
        <f aca="false">E366*(1+IF(F$3&lt;=$O$2,$D366,$D366-($D366-$I$346)*MIN(F$3-$O$2,$Q$2)/$Q$2))</f>
        <v>5983.2757290359</v>
      </c>
      <c r="G366" s="15" t="n">
        <f aca="false">F366*(1+IF(G$3&lt;=$O$2,$D366,$D366-($D366-$I$346)*MIN(G$3-$O$2,$Q$2)/$Q$2))</f>
        <v>6611.65959406818</v>
      </c>
      <c r="H366" s="15" t="n">
        <f aca="false">G366*(1+IF(H$3&lt;=$O$2,$D366,$D366-($D366-$I$346)*MIN(H$3-$O$2,$Q$2)/$Q$2))</f>
        <v>7306.03845911635</v>
      </c>
      <c r="I366" s="15" t="n">
        <f aca="false">H366*(1+IF(I$3&lt;=$O$2,$D366,$D366-($D366-$I$346)*MIN(I$3-$O$2,$Q$2)/$Q$2))</f>
        <v>8073.34334241541</v>
      </c>
      <c r="J366" s="15" t="n">
        <f aca="false">I366*(1+IF(J$3&lt;=$O$2,$D366,$D366-($D366-$I$346)*MIN(J$3-$O$2,$Q$2)/$Q$2))</f>
        <v>8789.27699341119</v>
      </c>
      <c r="K366" s="15" t="n">
        <f aca="false">J366*(1+IF(K$3&lt;=$O$2,$D366,$D366-($D366-$I$346)*MIN(K$3-$O$2,$Q$2)/$Q$2))</f>
        <v>9425.04082314358</v>
      </c>
      <c r="L366" s="15" t="n">
        <f aca="false">K366*(1+IF(L$3&lt;=$O$2,$D366,$D366-($D366-$I$346)*MIN(L$3-$O$2,$Q$2)/$Q$2))</f>
        <v>9952.74276684029</v>
      </c>
      <c r="M366" s="15" t="n">
        <f aca="false">L366*(1+IF(M$3&lt;=$O$2,$D366,$D366-($D366-$I$346)*MIN(M$3-$O$2,$Q$2)/$Q$2))</f>
        <v>10347.3160372928</v>
      </c>
      <c r="N366" s="15" t="n">
        <f aca="false">M366*(1+IF(N$3&lt;=$O$2,$D366,$D366-($D366-$I$346)*MIN(N$3-$O$2,$Q$2)/$Q$2))</f>
        <v>10588.4085009617</v>
      </c>
      <c r="O366" s="15" t="n">
        <f aca="false">SUMPRODUCT(E366:N366,1/(1+$F$346)^$E$3:$N$3)*$E$2</f>
        <v>7864.94110456976</v>
      </c>
      <c r="P366" s="15" t="n">
        <f aca="false">N366*$E$2*(1+$I$346)/($F$346-$I$346)/(1+$F$346)^$N$3</f>
        <v>9785.83074243353</v>
      </c>
      <c r="Q366" s="15" t="n">
        <f aca="false">O366+P366</f>
        <v>17650.7718470033</v>
      </c>
      <c r="R366" s="15" t="n">
        <f aca="false">Q366-$G$2+$I$2</f>
        <v>12830.2718470033</v>
      </c>
      <c r="S366" s="42" t="n">
        <f aca="false">R366/$K$2</f>
        <v>66.9638405375955</v>
      </c>
      <c r="T366" s="43" t="n">
        <f aca="false">S366-$M$2</f>
        <v>0.00141882569566576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0.105020523071289</v>
      </c>
      <c r="C367" s="25" t="n">
        <f aca="false">IF(T366&gt;0,D366,C366)</f>
        <v>0.105023384094238</v>
      </c>
      <c r="D367" s="41" t="n">
        <f aca="false">(B367+C367)/2</f>
        <v>0.105021953582764</v>
      </c>
      <c r="E367" s="15" t="n">
        <f aca="false">$C$2*(1+IF(E$3&lt;=$O$2,$D367,$D367-($D367-$I$346)*MIN(E$3-$O$2,$Q$2)/$Q$2))</f>
        <v>5414.60757255554</v>
      </c>
      <c r="F367" s="15" t="n">
        <f aca="false">E367*(1+IF(F$3&lt;=$O$2,$D367,$D367-($D367-$I$346)*MIN(F$3-$O$2,$Q$2)/$Q$2))</f>
        <v>5983.26023770935</v>
      </c>
      <c r="G367" s="15" t="n">
        <f aca="false">F367*(1+IF(G$3&lt;=$O$2,$D367,$D367-($D367-$I$346)*MIN(G$3-$O$2,$Q$2)/$Q$2))</f>
        <v>6611.63391666766</v>
      </c>
      <c r="H367" s="15" t="n">
        <f aca="false">G367*(1+IF(H$3&lt;=$O$2,$D367,$D367-($D367-$I$346)*MIN(H$3-$O$2,$Q$2)/$Q$2))</f>
        <v>7306.00062697015</v>
      </c>
      <c r="I367" s="15" t="n">
        <f aca="false">H367*(1+IF(I$3&lt;=$O$2,$D367,$D367-($D367-$I$346)*MIN(I$3-$O$2,$Q$2)/$Q$2))</f>
        <v>8073.29108569146</v>
      </c>
      <c r="J367" s="15" t="n">
        <f aca="false">I367*(1+IF(J$3&lt;=$O$2,$D367,$D367-($D367-$I$346)*MIN(J$3-$O$2,$Q$2)/$Q$2))</f>
        <v>8789.21086348008</v>
      </c>
      <c r="K367" s="15" t="n">
        <f aca="false">J367*(1+IF(K$3&lt;=$O$2,$D367,$D367-($D367-$I$346)*MIN(K$3-$O$2,$Q$2)/$Q$2))</f>
        <v>9424.96236592783</v>
      </c>
      <c r="L367" s="15" t="n">
        <f aca="false">K367*(1+IF(L$3&lt;=$O$2,$D367,$D367-($D367-$I$346)*MIN(L$3-$O$2,$Q$2)/$Q$2))</f>
        <v>9952.65452384901</v>
      </c>
      <c r="M367" s="15" t="n">
        <f aca="false">L367*(1+IF(M$3&lt;=$O$2,$D367,$D367-($D367-$I$346)*MIN(M$3-$O$2,$Q$2)/$Q$2))</f>
        <v>10347.2214484593</v>
      </c>
      <c r="N367" s="15" t="n">
        <f aca="false">M367*(1+IF(N$3&lt;=$O$2,$D367,$D367-($D367-$I$346)*MIN(N$3-$O$2,$Q$2)/$Q$2))</f>
        <v>10588.3117082084</v>
      </c>
      <c r="O367" s="15" t="n">
        <f aca="false">SUMPRODUCT(E367:N367,1/(1+$F$346)^$E$3:$N$3)*$E$2</f>
        <v>7864.89259114191</v>
      </c>
      <c r="P367" s="15" t="n">
        <f aca="false">N367*$E$2*(1+$I$346)/($F$346-$I$346)/(1+$F$346)^$N$3</f>
        <v>9785.74128635517</v>
      </c>
      <c r="Q367" s="15" t="n">
        <f aca="false">O367+P367</f>
        <v>17650.6338774971</v>
      </c>
      <c r="R367" s="15" t="n">
        <f aca="false">Q367-$G$2+$I$2</f>
        <v>12830.1338774971</v>
      </c>
      <c r="S367" s="42" t="n">
        <f aca="false">R367/$K$2</f>
        <v>66.9631204462269</v>
      </c>
      <c r="T367" s="43" t="n">
        <f aca="false">S367-$M$2</f>
        <v>0.000698734327116313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0.105020523071289</v>
      </c>
      <c r="C368" s="25" t="n">
        <f aca="false">IF(T367&gt;0,D367,C367)</f>
        <v>0.105021953582764</v>
      </c>
      <c r="D368" s="41" t="n">
        <f aca="false">(B368+C368)/2</f>
        <v>0.105021238327026</v>
      </c>
      <c r="E368" s="15" t="n">
        <f aca="false">$C$2*(1+IF(E$3&lt;=$O$2,$D368,$D368-($D368-$I$346)*MIN(E$3-$O$2,$Q$2)/$Q$2))</f>
        <v>5414.60406780243</v>
      </c>
      <c r="F368" s="15" t="n">
        <f aca="false">E368*(1+IF(F$3&lt;=$O$2,$D368,$D368-($D368-$I$346)*MIN(F$3-$O$2,$Q$2)/$Q$2))</f>
        <v>5983.25249205359</v>
      </c>
      <c r="G368" s="15" t="n">
        <f aca="false">F368*(1+IF(G$3&lt;=$O$2,$D368,$D368-($D368-$I$346)*MIN(G$3-$O$2,$Q$2)/$Q$2))</f>
        <v>6611.62107799233</v>
      </c>
      <c r="H368" s="15" t="n">
        <f aca="false">G368*(1+IF(H$3&lt;=$O$2,$D368,$D368-($D368-$I$346)*MIN(H$3-$O$2,$Q$2)/$Q$2))</f>
        <v>7305.98171095215</v>
      </c>
      <c r="I368" s="15" t="n">
        <f aca="false">H368*(1+IF(I$3&lt;=$O$2,$D368,$D368-($D368-$I$346)*MIN(I$3-$O$2,$Q$2)/$Q$2))</f>
        <v>8073.26495743095</v>
      </c>
      <c r="J368" s="15" t="n">
        <f aca="false">I368*(1+IF(J$3&lt;=$O$2,$D368,$D368-($D368-$I$346)*MIN(J$3-$O$2,$Q$2)/$Q$2))</f>
        <v>8789.17779866985</v>
      </c>
      <c r="K368" s="15" t="n">
        <f aca="false">J368*(1+IF(K$3&lt;=$O$2,$D368,$D368-($D368-$I$346)*MIN(K$3-$O$2,$Q$2)/$Q$2))</f>
        <v>9424.92313752908</v>
      </c>
      <c r="L368" s="15" t="n">
        <f aca="false">K368*(1+IF(L$3&lt;=$O$2,$D368,$D368-($D368-$I$346)*MIN(L$3-$O$2,$Q$2)/$Q$2))</f>
        <v>9952.61040260788</v>
      </c>
      <c r="M368" s="15" t="n">
        <f aca="false">L368*(1+IF(M$3&lt;=$O$2,$D368,$D368-($D368-$I$346)*MIN(M$3-$O$2,$Q$2)/$Q$2))</f>
        <v>10347.1741543262</v>
      </c>
      <c r="N368" s="15" t="n">
        <f aca="false">M368*(1+IF(N$3&lt;=$O$2,$D368,$D368-($D368-$I$346)*MIN(N$3-$O$2,$Q$2)/$Q$2))</f>
        <v>10588.263312122</v>
      </c>
      <c r="O368" s="15" t="n">
        <f aca="false">SUMPRODUCT(E368:N368,1/(1+$F$346)^$E$3:$N$3)*$E$2</f>
        <v>7864.86833453958</v>
      </c>
      <c r="P368" s="15" t="n">
        <f aca="false">N368*$E$2*(1+$I$346)/($F$346-$I$346)/(1+$F$346)^$N$3</f>
        <v>9785.69655858414</v>
      </c>
      <c r="Q368" s="15" t="n">
        <f aca="false">O368+P368</f>
        <v>17650.5648931237</v>
      </c>
      <c r="R368" s="15" t="n">
        <f aca="false">Q368-$G$2+$I$2</f>
        <v>12830.0648931237</v>
      </c>
      <c r="S368" s="42" t="n">
        <f aca="false">R368/$K$2</f>
        <v>66.9627604025246</v>
      </c>
      <c r="T368" s="43" t="n">
        <f aca="false">S368-$M$2</f>
        <v>0.000338690624815285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0.105020523071289</v>
      </c>
      <c r="C369" s="25" t="n">
        <f aca="false">IF(T368&gt;0,D368,C368)</f>
        <v>0.105021238327026</v>
      </c>
      <c r="D369" s="41" t="n">
        <f aca="false">(B369+C369)/2</f>
        <v>0.105020880699158</v>
      </c>
      <c r="E369" s="15" t="n">
        <f aca="false">$C$2*(1+IF(E$3&lt;=$O$2,$D369,$D369-($D369-$I$346)*MIN(E$3-$O$2,$Q$2)/$Q$2))</f>
        <v>5414.60231542587</v>
      </c>
      <c r="F369" s="15" t="n">
        <f aca="false">E369*(1+IF(F$3&lt;=$O$2,$D369,$D369-($D369-$I$346)*MIN(F$3-$O$2,$Q$2)/$Q$2))</f>
        <v>5983.2486192276</v>
      </c>
      <c r="G369" s="15" t="n">
        <f aca="false">F369*(1+IF(G$3&lt;=$O$2,$D369,$D369-($D369-$I$346)*MIN(G$3-$O$2,$Q$2)/$Q$2))</f>
        <v>6611.6146586609</v>
      </c>
      <c r="H369" s="15" t="n">
        <f aca="false">G369*(1+IF(H$3&lt;=$O$2,$D369,$D369-($D369-$I$346)*MIN(H$3-$O$2,$Q$2)/$Q$2))</f>
        <v>7305.97225295693</v>
      </c>
      <c r="I369" s="15" t="n">
        <f aca="false">H369*(1+IF(I$3&lt;=$O$2,$D369,$D369-($D369-$I$346)*MIN(I$3-$O$2,$Q$2)/$Q$2))</f>
        <v>8073.25189332607</v>
      </c>
      <c r="J369" s="15" t="n">
        <f aca="false">I369*(1+IF(J$3&lt;=$O$2,$D369,$D369-($D369-$I$346)*MIN(J$3-$O$2,$Q$2)/$Q$2))</f>
        <v>8789.16126630357</v>
      </c>
      <c r="K369" s="15" t="n">
        <f aca="false">J369*(1+IF(K$3&lt;=$O$2,$D369,$D369-($D369-$I$346)*MIN(K$3-$O$2,$Q$2)/$Q$2))</f>
        <v>9424.903523382</v>
      </c>
      <c r="L369" s="15" t="n">
        <f aca="false">K369*(1+IF(L$3&lt;=$O$2,$D369,$D369-($D369-$I$346)*MIN(L$3-$O$2,$Q$2)/$Q$2))</f>
        <v>9952.58834205095</v>
      </c>
      <c r="M369" s="15" t="n">
        <f aca="false">L369*(1+IF(M$3&lt;=$O$2,$D369,$D369-($D369-$I$346)*MIN(M$3-$O$2,$Q$2)/$Q$2))</f>
        <v>10347.1505073304</v>
      </c>
      <c r="N369" s="15" t="n">
        <f aca="false">M369*(1+IF(N$3&lt;=$O$2,$D369,$D369-($D369-$I$346)*MIN(N$3-$O$2,$Q$2)/$Q$2))</f>
        <v>10588.2391141512</v>
      </c>
      <c r="O369" s="15" t="n">
        <f aca="false">SUMPRODUCT(E369:N369,1/(1+$F$346)^$E$3:$N$3)*$E$2</f>
        <v>7864.85620626631</v>
      </c>
      <c r="P369" s="15" t="n">
        <f aca="false">N369*$E$2*(1+$I$346)/($F$346-$I$346)/(1+$F$346)^$N$3</f>
        <v>9785.67419476566</v>
      </c>
      <c r="Q369" s="15" t="n">
        <f aca="false">O369+P369</f>
        <v>17650.530401032</v>
      </c>
      <c r="R369" s="15" t="n">
        <f aca="false">Q369-$G$2+$I$2</f>
        <v>12830.030401032</v>
      </c>
      <c r="S369" s="42" t="n">
        <f aca="false">R369/$K$2</f>
        <v>66.962580381169</v>
      </c>
      <c r="T369" s="43" t="n">
        <f aca="false">S369-$M$2</f>
        <v>0.000158669269183065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0.105020523071289</v>
      </c>
      <c r="C370" s="25" t="n">
        <f aca="false">IF(T369&gt;0,D369,C369)</f>
        <v>0.105020880699158</v>
      </c>
      <c r="D370" s="41" t="n">
        <f aca="false">(B370+C370)/2</f>
        <v>0.105020701885223</v>
      </c>
      <c r="E370" s="15" t="n">
        <f aca="false">$C$2*(1+IF(E$3&lt;=$O$2,$D370,$D370-($D370-$I$346)*MIN(E$3-$O$2,$Q$2)/$Q$2))</f>
        <v>5414.6014392376</v>
      </c>
      <c r="F370" s="15" t="n">
        <f aca="false">E370*(1+IF(F$3&lt;=$O$2,$D370,$D370-($D370-$I$346)*MIN(F$3-$O$2,$Q$2)/$Q$2))</f>
        <v>5983.24668281507</v>
      </c>
      <c r="G370" s="15" t="n">
        <f aca="false">F370*(1+IF(G$3&lt;=$O$2,$D370,$D370-($D370-$I$346)*MIN(G$3-$O$2,$Q$2)/$Q$2))</f>
        <v>6611.61144899674</v>
      </c>
      <c r="H370" s="15" t="n">
        <f aca="false">G370*(1+IF(H$3&lt;=$O$2,$D370,$D370-($D370-$I$346)*MIN(H$3-$O$2,$Q$2)/$Q$2))</f>
        <v>7305.96752396276</v>
      </c>
      <c r="I370" s="15" t="n">
        <f aca="false">H370*(1+IF(I$3&lt;=$O$2,$D370,$D370-($D370-$I$346)*MIN(I$3-$O$2,$Q$2)/$Q$2))</f>
        <v>8073.24536127997</v>
      </c>
      <c r="J370" s="15" t="n">
        <f aca="false">I370*(1+IF(J$3&lt;=$O$2,$D370,$D370-($D370-$I$346)*MIN(J$3-$O$2,$Q$2)/$Q$2))</f>
        <v>8789.15300013013</v>
      </c>
      <c r="K370" s="15" t="n">
        <f aca="false">J370*(1+IF(K$3&lt;=$O$2,$D370,$D370-($D370-$I$346)*MIN(K$3-$O$2,$Q$2)/$Q$2))</f>
        <v>9424.89371632152</v>
      </c>
      <c r="L370" s="15" t="n">
        <f aca="false">K370*(1+IF(L$3&lt;=$O$2,$D370,$D370-($D370-$I$346)*MIN(L$3-$O$2,$Q$2)/$Q$2))</f>
        <v>9952.57731178838</v>
      </c>
      <c r="M370" s="15" t="n">
        <f aca="false">L370*(1+IF(M$3&lt;=$O$2,$D370,$D370-($D370-$I$346)*MIN(M$3-$O$2,$Q$2)/$Q$2))</f>
        <v>10347.1386838503</v>
      </c>
      <c r="N370" s="15" t="n">
        <f aca="false">M370*(1+IF(N$3&lt;=$O$2,$D370,$D370-($D370-$I$346)*MIN(N$3-$O$2,$Q$2)/$Q$2))</f>
        <v>10588.227015184</v>
      </c>
      <c r="O370" s="15" t="n">
        <f aca="false">SUMPRODUCT(E370:N370,1/(1+$F$346)^$E$3:$N$3)*$E$2</f>
        <v>7864.85014213665</v>
      </c>
      <c r="P370" s="15" t="n">
        <f aca="false">N370*$E$2*(1+$I$346)/($F$346-$I$346)/(1+$F$346)^$N$3</f>
        <v>9785.66301287318</v>
      </c>
      <c r="Q370" s="15" t="n">
        <f aca="false">O370+P370</f>
        <v>17650.5131550098</v>
      </c>
      <c r="R370" s="15" t="n">
        <f aca="false">Q370-$G$2+$I$2</f>
        <v>12830.0131550098</v>
      </c>
      <c r="S370" s="42" t="n">
        <f aca="false">R370/$K$2</f>
        <v>66.962490370615</v>
      </c>
      <c r="T370" s="43" t="n">
        <f aca="false">S370-$M$2</f>
        <v>6.86587151932372E-005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0.105020523071289</v>
      </c>
      <c r="C371" s="25" t="n">
        <f aca="false">IF(T370&gt;0,D370,C370)</f>
        <v>0.105020701885223</v>
      </c>
      <c r="D371" s="41" t="n">
        <f aca="false">(B371+C371)/2</f>
        <v>0.105020612478256</v>
      </c>
      <c r="E371" s="15" t="n">
        <f aca="false">$C$2*(1+IF(E$3&lt;=$O$2,$D371,$D371-($D371-$I$346)*MIN(E$3-$O$2,$Q$2)/$Q$2))</f>
        <v>5414.60100114346</v>
      </c>
      <c r="F371" s="15" t="n">
        <f aca="false">E371*(1+IF(F$3&lt;=$O$2,$D371,$D371-($D371-$I$346)*MIN(F$3-$O$2,$Q$2)/$Q$2))</f>
        <v>5983.24571460892</v>
      </c>
      <c r="G371" s="15" t="n">
        <f aca="false">F371*(1+IF(G$3&lt;=$O$2,$D371,$D371-($D371-$I$346)*MIN(G$3-$O$2,$Q$2)/$Q$2))</f>
        <v>6611.60984416505</v>
      </c>
      <c r="H371" s="15" t="n">
        <f aca="false">G371*(1+IF(H$3&lt;=$O$2,$D371,$D371-($D371-$I$346)*MIN(H$3-$O$2,$Q$2)/$Q$2))</f>
        <v>7305.96515946653</v>
      </c>
      <c r="I371" s="15" t="n">
        <f aca="false">H371*(1+IF(I$3&lt;=$O$2,$D371,$D371-($D371-$I$346)*MIN(I$3-$O$2,$Q$2)/$Q$2))</f>
        <v>8073.24209525851</v>
      </c>
      <c r="J371" s="15" t="n">
        <f aca="false">I371*(1+IF(J$3&lt;=$O$2,$D371,$D371-($D371-$I$346)*MIN(J$3-$O$2,$Q$2)/$Q$2))</f>
        <v>8789.14886704585</v>
      </c>
      <c r="K371" s="15" t="n">
        <f aca="false">J371*(1+IF(K$3&lt;=$O$2,$D371,$D371-($D371-$I$346)*MIN(K$3-$O$2,$Q$2)/$Q$2))</f>
        <v>9424.88881279455</v>
      </c>
      <c r="L371" s="15" t="n">
        <f aca="false">K371*(1+IF(L$3&lt;=$O$2,$D371,$D371-($D371-$I$346)*MIN(L$3-$O$2,$Q$2)/$Q$2))</f>
        <v>9952.57179666108</v>
      </c>
      <c r="M371" s="15" t="n">
        <f aca="false">L371*(1+IF(M$3&lt;=$O$2,$D371,$D371-($D371-$I$346)*MIN(M$3-$O$2,$Q$2)/$Q$2))</f>
        <v>10347.1327721147</v>
      </c>
      <c r="N371" s="15" t="n">
        <f aca="false">M371*(1+IF(N$3&lt;=$O$2,$D371,$D371-($D371-$I$346)*MIN(N$3-$O$2,$Q$2)/$Q$2))</f>
        <v>10588.2209657049</v>
      </c>
      <c r="O371" s="15" t="n">
        <f aca="false">SUMPRODUCT(E371:N371,1/(1+$F$346)^$E$3:$N$3)*$E$2</f>
        <v>7864.84711007357</v>
      </c>
      <c r="P371" s="15" t="n">
        <f aca="false">N371*$E$2*(1+$I$346)/($F$346-$I$346)/(1+$F$346)^$N$3</f>
        <v>9785.65742193113</v>
      </c>
      <c r="Q371" s="15" t="n">
        <f aca="false">O371+P371</f>
        <v>17650.5045320047</v>
      </c>
      <c r="R371" s="15" t="n">
        <f aca="false">Q371-$G$2+$I$2</f>
        <v>12830.0045320047</v>
      </c>
      <c r="S371" s="42" t="n">
        <f aca="false">R371/$K$2</f>
        <v>66.962445365369</v>
      </c>
      <c r="T371" s="43" t="n">
        <f aca="false">S371-$M$2</f>
        <v>2.36534691993029E-005</v>
      </c>
    </row>
    <row r="373" customFormat="false" ht="15" hidden="false" customHeight="false" outlineLevel="0" collapsed="false">
      <c r="A373" s="38" t="s">
        <v>185</v>
      </c>
      <c r="E373" s="5" t="s">
        <v>11</v>
      </c>
      <c r="F373" s="12" t="n">
        <f aca="false">Sensitivity!$B$12</f>
        <v>0.0950848977416375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153</v>
      </c>
      <c r="B374" s="28" t="s">
        <v>154</v>
      </c>
      <c r="C374" s="28" t="s">
        <v>155</v>
      </c>
      <c r="D374" s="28" t="s">
        <v>156</v>
      </c>
      <c r="E374" s="28" t="s">
        <v>157</v>
      </c>
      <c r="F374" s="28" t="s">
        <v>158</v>
      </c>
      <c r="G374" s="28" t="s">
        <v>159</v>
      </c>
      <c r="H374" s="28" t="s">
        <v>160</v>
      </c>
      <c r="I374" s="28" t="s">
        <v>161</v>
      </c>
      <c r="J374" s="28" t="s">
        <v>162</v>
      </c>
      <c r="K374" s="28" t="s">
        <v>163</v>
      </c>
      <c r="L374" s="28" t="s">
        <v>164</v>
      </c>
      <c r="M374" s="28" t="s">
        <v>165</v>
      </c>
      <c r="N374" s="28" t="s">
        <v>166</v>
      </c>
      <c r="O374" s="28" t="s">
        <v>167</v>
      </c>
      <c r="P374" s="28" t="s">
        <v>168</v>
      </c>
      <c r="Q374" s="28" t="s">
        <v>169</v>
      </c>
      <c r="R374" s="28" t="s">
        <v>170</v>
      </c>
      <c r="S374" s="28" t="s">
        <v>171</v>
      </c>
      <c r="T374" s="28" t="s">
        <v>172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6125</v>
      </c>
      <c r="F375" s="15" t="n">
        <f aca="false">E375*(1+IF(F$3&lt;=$O$2,$D375,$D375-($D375-$I$373)*MIN(F$3-$O$2,$Q$2)/$Q$2))</f>
        <v>7656.25</v>
      </c>
      <c r="G375" s="15" t="n">
        <f aca="false">F375*(1+IF(G$3&lt;=$O$2,$D375,$D375-($D375-$I$373)*MIN(G$3-$O$2,$Q$2)/$Q$2))</f>
        <v>9570.3125</v>
      </c>
      <c r="H375" s="15" t="n">
        <f aca="false">G375*(1+IF(H$3&lt;=$O$2,$D375,$D375-($D375-$I$373)*MIN(H$3-$O$2,$Q$2)/$Q$2))</f>
        <v>11962.890625</v>
      </c>
      <c r="I375" s="15" t="n">
        <f aca="false">H375*(1+IF(I$3&lt;=$O$2,$D375,$D375-($D375-$I$373)*MIN(I$3-$O$2,$Q$2)/$Q$2))</f>
        <v>14953.61328125</v>
      </c>
      <c r="J375" s="15" t="n">
        <f aca="false">I375*(1+IF(J$3&lt;=$O$2,$D375,$D375-($D375-$I$373)*MIN(J$3-$O$2,$Q$2)/$Q$2))</f>
        <v>18028.9733886719</v>
      </c>
      <c r="K375" s="15" t="n">
        <f aca="false">J375*(1+IF(K$3&lt;=$O$2,$D375,$D375-($D375-$I$373)*MIN(K$3-$O$2,$Q$2)/$Q$2))</f>
        <v>20937.4073757324</v>
      </c>
      <c r="L375" s="15" t="n">
        <f aca="false">K375*(1+IF(L$3&lt;=$O$2,$D375,$D375-($D375-$I$373)*MIN(L$3-$O$2,$Q$2)/$Q$2))</f>
        <v>23386.6652905456</v>
      </c>
      <c r="M375" s="15" t="n">
        <f aca="false">L375*(1+IF(M$3&lt;=$O$2,$D375,$D375-($D375-$I$373)*MIN(M$3-$O$2,$Q$2)/$Q$2))</f>
        <v>25085.4726572508</v>
      </c>
      <c r="N375" s="15" t="n">
        <f aca="false">M375*(1+IF(N$3&lt;=$O$2,$D375,$D375-($D375-$I$373)*MIN(N$3-$O$2,$Q$2)/$Q$2))</f>
        <v>25795.391533451</v>
      </c>
      <c r="O375" s="15" t="n">
        <f aca="false">SUMPRODUCT(E375:N375,1/(1+$F$373)^$E$3:$N$3)*$E$2</f>
        <v>14697.4357514414</v>
      </c>
      <c r="P375" s="15" t="n">
        <f aca="false">N375*$E$2*(1+$I$373)/($F$373-$I$373)/(1+$F$373)^$N$3</f>
        <v>25750.2125613284</v>
      </c>
      <c r="Q375" s="15" t="n">
        <f aca="false">O375+P375</f>
        <v>40447.6483127698</v>
      </c>
      <c r="R375" s="15" t="n">
        <f aca="false">Q375-$G$2+$I$2</f>
        <v>35627.1483127698</v>
      </c>
      <c r="S375" s="42" t="n">
        <f aca="false">R375/$K$2</f>
        <v>185.945450484185</v>
      </c>
      <c r="T375" s="43" t="n">
        <f aca="false">S375-$M$2</f>
        <v>118.983028772285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4287.5</v>
      </c>
      <c r="F376" s="15" t="n">
        <f aca="false">E376*(1+IF(F$3&lt;=$O$2,$D376,$D376-($D376-$I$373)*MIN(F$3-$O$2,$Q$2)/$Q$2))</f>
        <v>3751.5625</v>
      </c>
      <c r="G376" s="15" t="n">
        <f aca="false">F376*(1+IF(G$3&lt;=$O$2,$D376,$D376-($D376-$I$373)*MIN(G$3-$O$2,$Q$2)/$Q$2))</f>
        <v>3282.6171875</v>
      </c>
      <c r="H376" s="15" t="n">
        <f aca="false">G376*(1+IF(H$3&lt;=$O$2,$D376,$D376-($D376-$I$373)*MIN(H$3-$O$2,$Q$2)/$Q$2))</f>
        <v>2872.2900390625</v>
      </c>
      <c r="I376" s="15" t="n">
        <f aca="false">H376*(1+IF(I$3&lt;=$O$2,$D376,$D376-($D376-$I$373)*MIN(I$3-$O$2,$Q$2)/$Q$2))</f>
        <v>2513.25378417969</v>
      </c>
      <c r="J376" s="15" t="n">
        <f aca="false">I376*(1+IF(J$3&lt;=$O$2,$D376,$D376-($D376-$I$373)*MIN(J$3-$O$2,$Q$2)/$Q$2))</f>
        <v>2276.15342218018</v>
      </c>
      <c r="K376" s="15" t="n">
        <f aca="false">J376*(1+IF(K$3&lt;=$O$2,$D376,$D376-($D376-$I$373)*MIN(K$3-$O$2,$Q$2)/$Q$2))</f>
        <v>2131.20797225574</v>
      </c>
      <c r="L376" s="15" t="n">
        <f aca="false">K376*(1+IF(L$3&lt;=$O$2,$D376,$D376-($D376-$I$373)*MIN(L$3-$O$2,$Q$2)/$Q$2))</f>
        <v>2060.83548501186</v>
      </c>
      <c r="M376" s="15" t="n">
        <f aca="false">L376*(1+IF(M$3&lt;=$O$2,$D376,$D376-($D376-$I$373)*MIN(M$3-$O$2,$Q$2)/$Q$2))</f>
        <v>2055.97191326723</v>
      </c>
      <c r="N376" s="15" t="n">
        <f aca="false">M376*(1+IF(N$3&lt;=$O$2,$D376,$D376-($D376-$I$373)*MIN(N$3-$O$2,$Q$2)/$Q$2))</f>
        <v>2114.15591841269</v>
      </c>
      <c r="O376" s="15" t="n">
        <f aca="false">SUMPRODUCT(E376:N376,1/(1+$F$373)^$E$3:$N$3)*$E$2</f>
        <v>2949.21244642444</v>
      </c>
      <c r="P376" s="15" t="n">
        <f aca="false">N376*$E$2*(1+$I$373)/($F$373-$I$373)/(1+$F$373)^$N$3</f>
        <v>2110.4531100573</v>
      </c>
      <c r="Q376" s="15" t="n">
        <f aca="false">O376+P376</f>
        <v>5059.66555648174</v>
      </c>
      <c r="R376" s="15" t="n">
        <f aca="false">Q376-$G$2+$I$2</f>
        <v>239.165556481736</v>
      </c>
      <c r="S376" s="42" t="n">
        <f aca="false">R376/$K$2</f>
        <v>1.2482544701552</v>
      </c>
      <c r="T376" s="43" t="n">
        <f aca="false">S376-$M$2</f>
        <v>-65.7141672417446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5206.25</v>
      </c>
      <c r="F377" s="15" t="n">
        <f aca="false">E377*(1+IF(F$3&lt;=$O$2,$D377,$D377-($D377-$I$373)*MIN(F$3-$O$2,$Q$2)/$Q$2))</f>
        <v>5531.640625</v>
      </c>
      <c r="G377" s="15" t="n">
        <f aca="false">F377*(1+IF(G$3&lt;=$O$2,$D377,$D377-($D377-$I$373)*MIN(G$3-$O$2,$Q$2)/$Q$2))</f>
        <v>5877.3681640625</v>
      </c>
      <c r="H377" s="15" t="n">
        <f aca="false">G377*(1+IF(H$3&lt;=$O$2,$D377,$D377-($D377-$I$373)*MIN(H$3-$O$2,$Q$2)/$Q$2))</f>
        <v>6244.70367431641</v>
      </c>
      <c r="I377" s="15" t="n">
        <f aca="false">H377*(1+IF(I$3&lt;=$O$2,$D377,$D377-($D377-$I$373)*MIN(I$3-$O$2,$Q$2)/$Q$2))</f>
        <v>6634.99765396118</v>
      </c>
      <c r="J377" s="15" t="n">
        <f aca="false">I377*(1+IF(J$3&lt;=$O$2,$D377,$D377-($D377-$I$373)*MIN(J$3-$O$2,$Q$2)/$Q$2))</f>
        <v>7004.30162338066</v>
      </c>
      <c r="K377" s="15" t="n">
        <f aca="false">J377*(1+IF(K$3&lt;=$O$2,$D377,$D377-($D377-$I$373)*MIN(K$3-$O$2,$Q$2)/$Q$2))</f>
        <v>7346.25162863411</v>
      </c>
      <c r="L377" s="15" t="n">
        <f aca="false">K377*(1+IF(L$3&lt;=$O$2,$D377,$D377-($D377-$I$373)*MIN(L$3-$O$2,$Q$2)/$Q$2))</f>
        <v>7654.64727200416</v>
      </c>
      <c r="M377" s="15" t="n">
        <f aca="false">L377*(1+IF(M$3&lt;=$O$2,$D377,$D377-($D377-$I$373)*MIN(M$3-$O$2,$Q$2)/$Q$2))</f>
        <v>7923.63157714239</v>
      </c>
      <c r="N377" s="15" t="n">
        <f aca="false">M377*(1+IF(N$3&lt;=$O$2,$D377,$D377-($D377-$I$373)*MIN(N$3-$O$2,$Q$2)/$Q$2))</f>
        <v>8147.87035077552</v>
      </c>
      <c r="O377" s="15" t="n">
        <f aca="false">SUMPRODUCT(E377:N377,1/(1+$F$373)^$E$3:$N$3)*$E$2</f>
        <v>6565.95853766999</v>
      </c>
      <c r="P377" s="15" t="n">
        <f aca="false">N377*$E$2*(1+$I$373)/($F$373-$I$373)/(1+$F$373)^$N$3</f>
        <v>8133.59987897598</v>
      </c>
      <c r="Q377" s="15" t="n">
        <f aca="false">O377+P377</f>
        <v>14699.558416646</v>
      </c>
      <c r="R377" s="15" t="n">
        <f aca="false">Q377-$G$2+$I$2</f>
        <v>9879.05841664597</v>
      </c>
      <c r="S377" s="42" t="n">
        <f aca="false">R377/$K$2</f>
        <v>51.5608476860437</v>
      </c>
      <c r="T377" s="43" t="n">
        <f aca="false">S377-$M$2</f>
        <v>-15.4015740258561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41" t="n">
        <f aca="false">(B378+C378)/2</f>
        <v>0.15625</v>
      </c>
      <c r="E378" s="15" t="n">
        <f aca="false">$C$2*(1+IF(E$3&lt;=$O$2,$D378,$D378-($D378-$I$373)*MIN(E$3-$O$2,$Q$2)/$Q$2))</f>
        <v>5665.625</v>
      </c>
      <c r="F378" s="15" t="n">
        <f aca="false">E378*(1+IF(F$3&lt;=$O$2,$D378,$D378-($D378-$I$373)*MIN(F$3-$O$2,$Q$2)/$Q$2))</f>
        <v>6550.87890625</v>
      </c>
      <c r="G378" s="15" t="n">
        <f aca="false">F378*(1+IF(G$3&lt;=$O$2,$D378,$D378-($D378-$I$373)*MIN(G$3-$O$2,$Q$2)/$Q$2))</f>
        <v>7574.45373535156</v>
      </c>
      <c r="H378" s="15" t="n">
        <f aca="false">G378*(1+IF(H$3&lt;=$O$2,$D378,$D378-($D378-$I$373)*MIN(H$3-$O$2,$Q$2)/$Q$2))</f>
        <v>8757.96213150024</v>
      </c>
      <c r="I378" s="15" t="n">
        <f aca="false">H378*(1+IF(I$3&lt;=$O$2,$D378,$D378-($D378-$I$373)*MIN(I$3-$O$2,$Q$2)/$Q$2))</f>
        <v>10126.3937145472</v>
      </c>
      <c r="J378" s="15" t="n">
        <f aca="false">I378*(1+IF(J$3&lt;=$O$2,$D378,$D378-($D378-$I$373)*MIN(J$3-$O$2,$Q$2)/$Q$2))</f>
        <v>11449.5083172899</v>
      </c>
      <c r="K378" s="15" t="n">
        <f aca="false">J378*(1+IF(K$3&lt;=$O$2,$D378,$D378-($D378-$I$373)*MIN(K$3-$O$2,$Q$2)/$Q$2))</f>
        <v>12652.5081561875</v>
      </c>
      <c r="L378" s="15" t="n">
        <f aca="false">K378*(1+IF(L$3&lt;=$O$2,$D378,$D378-($D378-$I$373)*MIN(L$3-$O$2,$Q$2)/$Q$2))</f>
        <v>13658.1295044413</v>
      </c>
      <c r="M378" s="15" t="n">
        <f aca="false">L378*(1+IF(M$3&lt;=$O$2,$D378,$D378-($D378-$I$373)*MIN(M$3-$O$2,$Q$2)/$Q$2))</f>
        <v>14394.1661034357</v>
      </c>
      <c r="N378" s="15" t="n">
        <f aca="false">M378*(1+IF(N$3&lt;=$O$2,$D378,$D378-($D378-$I$373)*MIN(N$3-$O$2,$Q$2)/$Q$2))</f>
        <v>14801.5210041629</v>
      </c>
      <c r="O378" s="15" t="n">
        <f aca="false">SUMPRODUCT(E378:N378,1/(1+$F$373)^$E$3:$N$3)*$E$2</f>
        <v>9839.13237115575</v>
      </c>
      <c r="P378" s="15" t="n">
        <f aca="false">N378*$E$2*(1+$I$373)/($F$373-$I$373)/(1+$F$373)^$N$3</f>
        <v>14775.59709043</v>
      </c>
      <c r="Q378" s="15" t="n">
        <f aca="false">O378+P378</f>
        <v>24614.7294615858</v>
      </c>
      <c r="R378" s="15" t="n">
        <f aca="false">Q378-$G$2+$I$2</f>
        <v>19794.2294615858</v>
      </c>
      <c r="S378" s="42" t="n">
        <f aca="false">R378/$K$2</f>
        <v>103.310174642932</v>
      </c>
      <c r="T378" s="43" t="n">
        <f aca="false">S378-$M$2</f>
        <v>36.3477529310322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41" t="n">
        <f aca="false">(B379+C379)/2</f>
        <v>0.109375</v>
      </c>
      <c r="E379" s="15" t="n">
        <f aca="false">$C$2*(1+IF(E$3&lt;=$O$2,$D379,$D379-($D379-$I$373)*MIN(E$3-$O$2,$Q$2)/$Q$2))</f>
        <v>5435.9375</v>
      </c>
      <c r="F379" s="15" t="n">
        <f aca="false">E379*(1+IF(F$3&lt;=$O$2,$D379,$D379-($D379-$I$373)*MIN(F$3-$O$2,$Q$2)/$Q$2))</f>
        <v>6030.4931640625</v>
      </c>
      <c r="G379" s="15" t="n">
        <f aca="false">F379*(1+IF(G$3&lt;=$O$2,$D379,$D379-($D379-$I$373)*MIN(G$3-$O$2,$Q$2)/$Q$2))</f>
        <v>6690.07835388184</v>
      </c>
      <c r="H379" s="15" t="n">
        <f aca="false">G379*(1+IF(H$3&lt;=$O$2,$D379,$D379-($D379-$I$373)*MIN(H$3-$O$2,$Q$2)/$Q$2))</f>
        <v>7421.80567383766</v>
      </c>
      <c r="I379" s="15" t="n">
        <f aca="false">H379*(1+IF(I$3&lt;=$O$2,$D379,$D379-($D379-$I$373)*MIN(I$3-$O$2,$Q$2)/$Q$2))</f>
        <v>8233.56566941366</v>
      </c>
      <c r="J379" s="15" t="n">
        <f aca="false">I379*(1+IF(J$3&lt;=$O$2,$D379,$D379-($D379-$I$373)*MIN(J$3-$O$2,$Q$2)/$Q$2))</f>
        <v>9000.60464717623</v>
      </c>
      <c r="K379" s="15" t="n">
        <f aca="false">J379*(1+IF(K$3&lt;=$O$2,$D379,$D379-($D379-$I$373)*MIN(K$3-$O$2,$Q$2)/$Q$2))</f>
        <v>9693.15617175321</v>
      </c>
      <c r="L379" s="15" t="n">
        <f aca="false">K379*(1+IF(L$3&lt;=$O$2,$D379,$D379-($D379-$I$373)*MIN(L$3-$O$2,$Q$2)/$Q$2))</f>
        <v>10281.8215460638</v>
      </c>
      <c r="M379" s="15" t="n">
        <f aca="false">L379*(1+IF(M$3&lt;=$O$2,$D379,$D379-($D379-$I$373)*MIN(M$3-$O$2,$Q$2)/$Q$2))</f>
        <v>10739.5168321868</v>
      </c>
      <c r="N379" s="15" t="n">
        <f aca="false">M379*(1+IF(N$3&lt;=$O$2,$D379,$D379-($D379-$I$373)*MIN(N$3-$O$2,$Q$2)/$Q$2))</f>
        <v>11043.4451585377</v>
      </c>
      <c r="O379" s="15" t="n">
        <f aca="false">SUMPRODUCT(E379:N379,1/(1+$F$373)^$E$3:$N$3)*$E$2</f>
        <v>8038.77160433757</v>
      </c>
      <c r="P379" s="15" t="n">
        <f aca="false">N379*$E$2*(1+$I$373)/($F$373-$I$373)/(1+$F$373)^$N$3</f>
        <v>11024.1032733677</v>
      </c>
      <c r="Q379" s="15" t="n">
        <f aca="false">O379+P379</f>
        <v>19062.8748777053</v>
      </c>
      <c r="R379" s="15" t="n">
        <f aca="false">Q379-$G$2+$I$2</f>
        <v>14242.3748777053</v>
      </c>
      <c r="S379" s="42" t="n">
        <f aca="false">R379/$K$2</f>
        <v>74.333898109109</v>
      </c>
      <c r="T379" s="43" t="n">
        <f aca="false">S379-$M$2</f>
        <v>7.37147639720917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0.0625</v>
      </c>
      <c r="C380" s="25" t="n">
        <f aca="false">IF(T379&gt;0,D379,C379)</f>
        <v>0.109375</v>
      </c>
      <c r="D380" s="41" t="n">
        <f aca="false">(B380+C380)/2</f>
        <v>0.0859375</v>
      </c>
      <c r="E380" s="15" t="n">
        <f aca="false">$C$2*(1+IF(E$3&lt;=$O$2,$D380,$D380-($D380-$I$373)*MIN(E$3-$O$2,$Q$2)/$Q$2))</f>
        <v>5321.09375</v>
      </c>
      <c r="F380" s="15" t="n">
        <f aca="false">E380*(1+IF(F$3&lt;=$O$2,$D380,$D380-($D380-$I$373)*MIN(F$3-$O$2,$Q$2)/$Q$2))</f>
        <v>5778.37524414063</v>
      </c>
      <c r="G380" s="15" t="n">
        <f aca="false">F380*(1+IF(G$3&lt;=$O$2,$D380,$D380-($D380-$I$373)*MIN(G$3-$O$2,$Q$2)/$Q$2))</f>
        <v>6274.95436668396</v>
      </c>
      <c r="H380" s="15" t="n">
        <f aca="false">G380*(1+IF(H$3&lt;=$O$2,$D380,$D380-($D380-$I$373)*MIN(H$3-$O$2,$Q$2)/$Q$2))</f>
        <v>6814.20825757086</v>
      </c>
      <c r="I380" s="15" t="n">
        <f aca="false">H380*(1+IF(I$3&lt;=$O$2,$D380,$D380-($D380-$I$373)*MIN(I$3-$O$2,$Q$2)/$Q$2))</f>
        <v>7399.80427970586</v>
      </c>
      <c r="J380" s="15" t="n">
        <f aca="false">I380*(1+IF(J$3&lt;=$O$2,$D380,$D380-($D380-$I$373)*MIN(J$3-$O$2,$Q$2)/$Q$2))</f>
        <v>7950.42371615877</v>
      </c>
      <c r="K380" s="15" t="n">
        <f aca="false">J380*(1+IF(K$3&lt;=$O$2,$D380,$D380-($D380-$I$373)*MIN(K$3-$O$2,$Q$2)/$Q$2))</f>
        <v>8450.36623549013</v>
      </c>
      <c r="L380" s="15" t="n">
        <f aca="false">K380*(1+IF(L$3&lt;=$O$2,$D380,$D380-($D380-$I$373)*MIN(L$3-$O$2,$Q$2)/$Q$2))</f>
        <v>8884.33479351372</v>
      </c>
      <c r="M380" s="15" t="n">
        <f aca="false">L380*(1+IF(M$3&lt;=$O$2,$D380,$D380-($D380-$I$373)*MIN(M$3-$O$2,$Q$2)/$Q$2))</f>
        <v>9238.17563750239</v>
      </c>
      <c r="N380" s="15" t="n">
        <f aca="false">M380*(1+IF(N$3&lt;=$O$2,$D380,$D380-($D380-$I$373)*MIN(N$3-$O$2,$Q$2)/$Q$2))</f>
        <v>9499.61600804371</v>
      </c>
      <c r="O380" s="15" t="n">
        <f aca="false">SUMPRODUCT(E380:N380,1/(1+$F$373)^$E$3:$N$3)*$E$2</f>
        <v>7265.14522756716</v>
      </c>
      <c r="P380" s="15" t="n">
        <f aca="false">N380*$E$2*(1+$I$373)/($F$373-$I$373)/(1+$F$373)^$N$3</f>
        <v>9482.97804051194</v>
      </c>
      <c r="Q380" s="15" t="n">
        <f aca="false">O380+P380</f>
        <v>16748.1232680791</v>
      </c>
      <c r="R380" s="15" t="n">
        <f aca="false">Q380-$G$2+$I$2</f>
        <v>11927.6232680791</v>
      </c>
      <c r="S380" s="42" t="n">
        <f aca="false">R380/$K$2</f>
        <v>62.2527310442542</v>
      </c>
      <c r="T380" s="43" t="n">
        <f aca="false">S380-$M$2</f>
        <v>-4.7096906676456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0.0859375</v>
      </c>
      <c r="C381" s="25" t="n">
        <f aca="false">IF(T380&gt;0,D380,C380)</f>
        <v>0.109375</v>
      </c>
      <c r="D381" s="41" t="n">
        <f aca="false">(B381+C381)/2</f>
        <v>0.09765625</v>
      </c>
      <c r="E381" s="15" t="n">
        <f aca="false">$C$2*(1+IF(E$3&lt;=$O$2,$D381,$D381-($D381-$I$373)*MIN(E$3-$O$2,$Q$2)/$Q$2))</f>
        <v>5378.515625</v>
      </c>
      <c r="F381" s="15" t="n">
        <f aca="false">E381*(1+IF(F$3&lt;=$O$2,$D381,$D381-($D381-$I$373)*MIN(F$3-$O$2,$Q$2)/$Q$2))</f>
        <v>5903.76129150391</v>
      </c>
      <c r="G381" s="15" t="n">
        <f aca="false">F381*(1+IF(G$3&lt;=$O$2,$D381,$D381-($D381-$I$373)*MIN(G$3-$O$2,$Q$2)/$Q$2))</f>
        <v>6480.30048012734</v>
      </c>
      <c r="H381" s="15" t="n">
        <f aca="false">G381*(1+IF(H$3&lt;=$O$2,$D381,$D381-($D381-$I$373)*MIN(H$3-$O$2,$Q$2)/$Q$2))</f>
        <v>7113.14232388977</v>
      </c>
      <c r="I381" s="15" t="n">
        <f aca="false">H381*(1+IF(I$3&lt;=$O$2,$D381,$D381-($D381-$I$373)*MIN(I$3-$O$2,$Q$2)/$Q$2))</f>
        <v>7807.78512895713</v>
      </c>
      <c r="J381" s="15" t="n">
        <f aca="false">I381*(1+IF(J$3&lt;=$O$2,$D381,$D381-($D381-$I$373)*MIN(J$3-$O$2,$Q$2)/$Q$2))</f>
        <v>8461.9604059868</v>
      </c>
      <c r="K381" s="15" t="n">
        <f aca="false">J381*(1+IF(K$3&lt;=$O$2,$D381,$D381-($D381-$I$373)*MIN(K$3-$O$2,$Q$2)/$Q$2))</f>
        <v>9053.56779032086</v>
      </c>
      <c r="L381" s="15" t="n">
        <f aca="false">K381*(1+IF(L$3&lt;=$O$2,$D381,$D381-($D381-$I$373)*MIN(L$3-$O$2,$Q$2)/$Q$2))</f>
        <v>9560.95236320992</v>
      </c>
      <c r="M381" s="15" t="n">
        <f aca="false">L381*(1+IF(M$3&lt;=$O$2,$D381,$D381-($D381-$I$373)*MIN(M$3-$O$2,$Q$2)/$Q$2))</f>
        <v>9964.14967555694</v>
      </c>
      <c r="N381" s="15" t="n">
        <f aca="false">M381*(1+IF(N$3&lt;=$O$2,$D381,$D381-($D381-$I$373)*MIN(N$3-$O$2,$Q$2)/$Q$2))</f>
        <v>10246.1351113752</v>
      </c>
      <c r="O381" s="15" t="n">
        <f aca="false">SUMPRODUCT(E381:N381,1/(1+$F$373)^$E$3:$N$3)*$E$2</f>
        <v>7642.21140969786</v>
      </c>
      <c r="P381" s="15" t="n">
        <f aca="false">N381*$E$2*(1+$I$373)/($F$373-$I$373)/(1+$F$373)^$N$3</f>
        <v>10228.1896635629</v>
      </c>
      <c r="Q381" s="15" t="n">
        <f aca="false">O381+P381</f>
        <v>17870.4010732608</v>
      </c>
      <c r="R381" s="15" t="n">
        <f aca="false">Q381-$G$2+$I$2</f>
        <v>13049.9010732608</v>
      </c>
      <c r="S381" s="42" t="n">
        <f aca="false">R381/$K$2</f>
        <v>68.1101308625301</v>
      </c>
      <c r="T381" s="43" t="n">
        <f aca="false">S381-$M$2</f>
        <v>1.14770915063029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0.0859375</v>
      </c>
      <c r="C382" s="25" t="n">
        <f aca="false">IF(T381&gt;0,D381,C381)</f>
        <v>0.09765625</v>
      </c>
      <c r="D382" s="41" t="n">
        <f aca="false">(B382+C382)/2</f>
        <v>0.091796875</v>
      </c>
      <c r="E382" s="15" t="n">
        <f aca="false">$C$2*(1+IF(E$3&lt;=$O$2,$D382,$D382-($D382-$I$373)*MIN(E$3-$O$2,$Q$2)/$Q$2))</f>
        <v>5349.8046875</v>
      </c>
      <c r="F382" s="15" t="n">
        <f aca="false">E382*(1+IF(F$3&lt;=$O$2,$D382,$D382-($D382-$I$373)*MIN(F$3-$O$2,$Q$2)/$Q$2))</f>
        <v>5840.90003967285</v>
      </c>
      <c r="G382" s="15" t="n">
        <f aca="false">F382*(1+IF(G$3&lt;=$O$2,$D382,$D382-($D382-$I$373)*MIN(G$3-$O$2,$Q$2)/$Q$2))</f>
        <v>6377.0764105022</v>
      </c>
      <c r="H382" s="15" t="n">
        <f aca="false">G382*(1+IF(H$3&lt;=$O$2,$D382,$D382-($D382-$I$373)*MIN(H$3-$O$2,$Q$2)/$Q$2))</f>
        <v>6962.47209662251</v>
      </c>
      <c r="I382" s="15" t="n">
        <f aca="false">H382*(1+IF(I$3&lt;=$O$2,$D382,$D382-($D382-$I$373)*MIN(I$3-$O$2,$Q$2)/$Q$2))</f>
        <v>7601.60527736716</v>
      </c>
      <c r="J382" s="15" t="n">
        <f aca="false">I382*(1+IF(J$3&lt;=$O$2,$D382,$D382-($D382-$I$373)*MIN(J$3-$O$2,$Q$2)/$Q$2))</f>
        <v>8202.87325079371</v>
      </c>
      <c r="K382" s="15" t="n">
        <f aca="false">J382*(1+IF(K$3&lt;=$O$2,$D382,$D382-($D382-$I$373)*MIN(K$3-$O$2,$Q$2)/$Q$2))</f>
        <v>8747.52865425907</v>
      </c>
      <c r="L382" s="15" t="n">
        <f aca="false">K382*(1+IF(L$3&lt;=$O$2,$D382,$D382-($D382-$I$373)*MIN(L$3-$O$2,$Q$2)/$Q$2))</f>
        <v>9217.26000858196</v>
      </c>
      <c r="M382" s="15" t="n">
        <f aca="false">L382*(1+IF(M$3&lt;=$O$2,$D382,$D382-($D382-$I$373)*MIN(M$3-$O$2,$Q$2)/$Q$2))</f>
        <v>9595.16190814631</v>
      </c>
      <c r="N382" s="15" t="n">
        <f aca="false">M382*(1+IF(N$3&lt;=$O$2,$D382,$D382-($D382-$I$373)*MIN(N$3-$O$2,$Q$2)/$Q$2))</f>
        <v>9866.70499014685</v>
      </c>
      <c r="O382" s="15" t="n">
        <f aca="false">SUMPRODUCT(E382:N382,1/(1+$F$373)^$E$3:$N$3)*$E$2</f>
        <v>7451.29823227442</v>
      </c>
      <c r="P382" s="15" t="n">
        <f aca="false">N382*$E$2*(1+$I$373)/($F$373-$I$373)/(1+$F$373)^$N$3</f>
        <v>9849.42408983124</v>
      </c>
      <c r="Q382" s="15" t="n">
        <f aca="false">O382+P382</f>
        <v>17300.7223221057</v>
      </c>
      <c r="R382" s="15" t="n">
        <f aca="false">Q382-$G$2+$I$2</f>
        <v>12480.2223221057</v>
      </c>
      <c r="S382" s="42" t="n">
        <f aca="false">R382/$K$2</f>
        <v>65.1368597187143</v>
      </c>
      <c r="T382" s="43" t="n">
        <f aca="false">S382-$M$2</f>
        <v>-1.82556199318546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0.091796875</v>
      </c>
      <c r="C383" s="25" t="n">
        <f aca="false">IF(T382&gt;0,D382,C382)</f>
        <v>0.09765625</v>
      </c>
      <c r="D383" s="41" t="n">
        <f aca="false">(B383+C383)/2</f>
        <v>0.0947265625</v>
      </c>
      <c r="E383" s="15" t="n">
        <f aca="false">$C$2*(1+IF(E$3&lt;=$O$2,$D383,$D383-($D383-$I$373)*MIN(E$3-$O$2,$Q$2)/$Q$2))</f>
        <v>5364.16015625</v>
      </c>
      <c r="F383" s="15" t="n">
        <f aca="false">E383*(1+IF(F$3&lt;=$O$2,$D383,$D383-($D383-$I$373)*MIN(F$3-$O$2,$Q$2)/$Q$2))</f>
        <v>5872.28860855103</v>
      </c>
      <c r="G383" s="15" t="n">
        <f aca="false">F383*(1+IF(G$3&lt;=$O$2,$D383,$D383-($D383-$I$373)*MIN(G$3-$O$2,$Q$2)/$Q$2))</f>
        <v>6428.55032244697</v>
      </c>
      <c r="H383" s="15" t="n">
        <f aca="false">G383*(1+IF(H$3&lt;=$O$2,$D383,$D383-($D383-$I$373)*MIN(H$3-$O$2,$Q$2)/$Q$2))</f>
        <v>7037.50479635064</v>
      </c>
      <c r="I383" s="15" t="n">
        <f aca="false">H383*(1+IF(I$3&lt;=$O$2,$D383,$D383-($D383-$I$373)*MIN(I$3-$O$2,$Q$2)/$Q$2))</f>
        <v>7704.1434342862</v>
      </c>
      <c r="J383" s="15" t="n">
        <f aca="false">I383*(1+IF(J$3&lt;=$O$2,$D383,$D383-($D383-$I$373)*MIN(J$3-$O$2,$Q$2)/$Q$2))</f>
        <v>8331.57850575376</v>
      </c>
      <c r="K383" s="15" t="n">
        <f aca="false">J383*(1+IF(K$3&lt;=$O$2,$D383,$D383-($D383-$I$373)*MIN(K$3-$O$2,$Q$2)/$Q$2))</f>
        <v>8899.42504966826</v>
      </c>
      <c r="L383" s="15" t="n">
        <f aca="false">K383*(1+IF(L$3&lt;=$O$2,$D383,$D383-($D383-$I$373)*MIN(L$3-$O$2,$Q$2)/$Q$2))</f>
        <v>9387.74206428421</v>
      </c>
      <c r="M383" s="15" t="n">
        <f aca="false">L383*(1+IF(M$3&lt;=$O$2,$D383,$D383-($D383-$I$373)*MIN(M$3-$O$2,$Q$2)/$Q$2))</f>
        <v>9778.13425169687</v>
      </c>
      <c r="N383" s="15" t="n">
        <f aca="false">M383*(1+IF(N$3&lt;=$O$2,$D383,$D383-($D383-$I$373)*MIN(N$3-$O$2,$Q$2)/$Q$2))</f>
        <v>10054.8554510199</v>
      </c>
      <c r="O383" s="15" t="n">
        <f aca="false">SUMPRODUCT(E383:N383,1/(1+$F$373)^$E$3:$N$3)*$E$2</f>
        <v>7546.15280597261</v>
      </c>
      <c r="P383" s="15" t="n">
        <f aca="false">N383*$E$2*(1+$I$373)/($F$373-$I$373)/(1+$F$373)^$N$3</f>
        <v>10037.2450172519</v>
      </c>
      <c r="Q383" s="15" t="n">
        <f aca="false">O383+P383</f>
        <v>17583.3978232245</v>
      </c>
      <c r="R383" s="15" t="n">
        <f aca="false">Q383-$G$2+$I$2</f>
        <v>12762.8978232245</v>
      </c>
      <c r="S383" s="42" t="n">
        <f aca="false">R383/$K$2</f>
        <v>66.6122015825915</v>
      </c>
      <c r="T383" s="43" t="n">
        <f aca="false">S383-$M$2</f>
        <v>-0.350220129308269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0.0947265625</v>
      </c>
      <c r="C384" s="25" t="n">
        <f aca="false">IF(T383&gt;0,D383,C383)</f>
        <v>0.09765625</v>
      </c>
      <c r="D384" s="41" t="n">
        <f aca="false">(B384+C384)/2</f>
        <v>0.09619140625</v>
      </c>
      <c r="E384" s="15" t="n">
        <f aca="false">$C$2*(1+IF(E$3&lt;=$O$2,$D384,$D384-($D384-$I$373)*MIN(E$3-$O$2,$Q$2)/$Q$2))</f>
        <v>5371.337890625</v>
      </c>
      <c r="F384" s="15" t="n">
        <f aca="false">E384*(1+IF(F$3&lt;=$O$2,$D384,$D384-($D384-$I$373)*MIN(F$3-$O$2,$Q$2)/$Q$2))</f>
        <v>5888.01443576813</v>
      </c>
      <c r="G384" s="15" t="n">
        <f aca="false">F384*(1+IF(G$3&lt;=$O$2,$D384,$D384-($D384-$I$373)*MIN(G$3-$O$2,$Q$2)/$Q$2))</f>
        <v>6454.39082436496</v>
      </c>
      <c r="H384" s="15" t="n">
        <f aca="false">G384*(1+IF(H$3&lt;=$O$2,$D384,$D384-($D384-$I$373)*MIN(H$3-$O$2,$Q$2)/$Q$2))</f>
        <v>7075.24775424773</v>
      </c>
      <c r="I384" s="15" t="n">
        <f aca="false">H384*(1+IF(I$3&lt;=$O$2,$D384,$D384-($D384-$I$373)*MIN(I$3-$O$2,$Q$2)/$Q$2))</f>
        <v>7755.82578529597</v>
      </c>
      <c r="J384" s="15" t="n">
        <f aca="false">I384*(1+IF(J$3&lt;=$O$2,$D384,$D384-($D384-$I$373)*MIN(J$3-$O$2,$Q$2)/$Q$2))</f>
        <v>8396.55879037485</v>
      </c>
      <c r="K384" s="15" t="n">
        <f aca="false">J384*(1+IF(K$3&lt;=$O$2,$D384,$D384-($D384-$I$373)*MIN(K$3-$O$2,$Q$2)/$Q$2))</f>
        <v>8976.21391450607</v>
      </c>
      <c r="L384" s="15" t="n">
        <f aca="false">K384*(1+IF(L$3&lt;=$O$2,$D384,$D384-($D384-$I$373)*MIN(L$3-$O$2,$Q$2)/$Q$2))</f>
        <v>9474.00388246924</v>
      </c>
      <c r="M384" s="15" t="n">
        <f aca="false">L384*(1+IF(M$3&lt;=$O$2,$D384,$D384-($D384-$I$373)*MIN(M$3-$O$2,$Q$2)/$Q$2))</f>
        <v>9870.75888162288</v>
      </c>
      <c r="N384" s="15" t="n">
        <f aca="false">M384*(1+IF(N$3&lt;=$O$2,$D384,$D384-($D384-$I$373)*MIN(N$3-$O$2,$Q$2)/$Q$2))</f>
        <v>10150.1013579728</v>
      </c>
      <c r="O384" s="15" t="n">
        <f aca="false">SUMPRODUCT(E384:N384,1/(1+$F$373)^$E$3:$N$3)*$E$2</f>
        <v>7594.03072211188</v>
      </c>
      <c r="P384" s="15" t="n">
        <f aca="false">N384*$E$2*(1+$I$373)/($F$373-$I$373)/(1+$F$373)^$N$3</f>
        <v>10132.3241071139</v>
      </c>
      <c r="Q384" s="15" t="n">
        <f aca="false">O384+P384</f>
        <v>17726.3548292258</v>
      </c>
      <c r="R384" s="15" t="n">
        <f aca="false">Q384-$G$2+$I$2</f>
        <v>12905.8548292258</v>
      </c>
      <c r="S384" s="42" t="n">
        <f aca="false">R384/$K$2</f>
        <v>67.3583237433497</v>
      </c>
      <c r="T384" s="43" t="n">
        <f aca="false">S384-$M$2</f>
        <v>0.395902031449893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0.0947265625</v>
      </c>
      <c r="C385" s="25" t="n">
        <f aca="false">IF(T384&gt;0,D384,C384)</f>
        <v>0.09619140625</v>
      </c>
      <c r="D385" s="41" t="n">
        <f aca="false">(B385+C385)/2</f>
        <v>0.095458984375</v>
      </c>
      <c r="E385" s="15" t="n">
        <f aca="false">$C$2*(1+IF(E$3&lt;=$O$2,$D385,$D385-($D385-$I$373)*MIN(E$3-$O$2,$Q$2)/$Q$2))</f>
        <v>5367.7490234375</v>
      </c>
      <c r="F385" s="15" t="n">
        <f aca="false">E385*(1+IF(F$3&lt;=$O$2,$D385,$D385-($D385-$I$373)*MIN(F$3-$O$2,$Q$2)/$Q$2))</f>
        <v>5880.14889359474</v>
      </c>
      <c r="G385" s="15" t="n">
        <f aca="false">F385*(1+IF(G$3&lt;=$O$2,$D385,$D385-($D385-$I$373)*MIN(G$3-$O$2,$Q$2)/$Q$2))</f>
        <v>6441.46193495108</v>
      </c>
      <c r="H385" s="15" t="n">
        <f aca="false">G385*(1+IF(H$3&lt;=$O$2,$D385,$D385-($D385-$I$373)*MIN(H$3-$O$2,$Q$2)/$Q$2))</f>
        <v>7056.35734915173</v>
      </c>
      <c r="I385" s="15" t="n">
        <f aca="false">H385*(1+IF(I$3&lt;=$O$2,$D385,$D385-($D385-$I$373)*MIN(I$3-$O$2,$Q$2)/$Q$2))</f>
        <v>7729.95005508882</v>
      </c>
      <c r="J385" s="15" t="n">
        <f aca="false">I385*(1+IF(J$3&lt;=$O$2,$D385,$D385-($D385-$I$373)*MIN(J$3-$O$2,$Q$2)/$Q$2))</f>
        <v>8364.01611762323</v>
      </c>
      <c r="K385" s="15" t="n">
        <f aca="false">J385*(1+IF(K$3&lt;=$O$2,$D385,$D385-($D385-$I$373)*MIN(K$3-$O$2,$Q$2)/$Q$2))</f>
        <v>8937.74907040539</v>
      </c>
      <c r="L385" s="15" t="n">
        <f aca="false">K385*(1+IF(L$3&lt;=$O$2,$D385,$D385-($D385-$I$373)*MIN(L$3-$O$2,$Q$2)/$Q$2))</f>
        <v>9430.78742916467</v>
      </c>
      <c r="M385" s="15" t="n">
        <f aca="false">L385*(1+IF(M$3&lt;=$O$2,$D385,$D385-($D385-$I$373)*MIN(M$3-$O$2,$Q$2)/$Q$2))</f>
        <v>9824.35113452987</v>
      </c>
      <c r="N385" s="15" t="n">
        <f aca="false">M385*(1+IF(N$3&lt;=$O$2,$D385,$D385-($D385-$I$373)*MIN(N$3-$O$2,$Q$2)/$Q$2))</f>
        <v>10102.3802716371</v>
      </c>
      <c r="O385" s="15" t="n">
        <f aca="false">SUMPRODUCT(E385:N385,1/(1+$F$373)^$E$3:$N$3)*$E$2</f>
        <v>7570.0540282074</v>
      </c>
      <c r="P385" s="15" t="n">
        <f aca="false">N385*$E$2*(1+$I$373)/($F$373-$I$373)/(1+$F$373)^$N$3</f>
        <v>10084.6866011971</v>
      </c>
      <c r="Q385" s="15" t="n">
        <f aca="false">O385+P385</f>
        <v>17654.7406294045</v>
      </c>
      <c r="R385" s="15" t="n">
        <f aca="false">Q385-$G$2+$I$2</f>
        <v>12834.2406294045</v>
      </c>
      <c r="S385" s="42" t="n">
        <f aca="false">R385/$K$2</f>
        <v>66.9845544332174</v>
      </c>
      <c r="T385" s="43" t="n">
        <f aca="false">S385-$M$2</f>
        <v>0.0221327213176039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0.0947265625</v>
      </c>
      <c r="C386" s="25" t="n">
        <f aca="false">IF(T385&gt;0,D385,C385)</f>
        <v>0.095458984375</v>
      </c>
      <c r="D386" s="41" t="n">
        <f aca="false">(B386+C386)/2</f>
        <v>0.0950927734375</v>
      </c>
      <c r="E386" s="15" t="n">
        <f aca="false">$C$2*(1+IF(E$3&lt;=$O$2,$D386,$D386-($D386-$I$373)*MIN(E$3-$O$2,$Q$2)/$Q$2))</f>
        <v>5365.95458984375</v>
      </c>
      <c r="F386" s="15" t="n">
        <f aca="false">E386*(1+IF(F$3&lt;=$O$2,$D386,$D386-($D386-$I$373)*MIN(F$3-$O$2,$Q$2)/$Q$2))</f>
        <v>5876.21809393168</v>
      </c>
      <c r="G386" s="15" t="n">
        <f aca="false">F386*(1+IF(G$3&lt;=$O$2,$D386,$D386-($D386-$I$373)*MIN(G$3-$O$2,$Q$2)/$Q$2))</f>
        <v>6435.00396980726</v>
      </c>
      <c r="H386" s="15" t="n">
        <f aca="false">G386*(1+IF(H$3&lt;=$O$2,$D386,$D386-($D386-$I$373)*MIN(H$3-$O$2,$Q$2)/$Q$2))</f>
        <v>7046.92634437755</v>
      </c>
      <c r="I386" s="15" t="n">
        <f aca="false">H386*(1+IF(I$3&lt;=$O$2,$D386,$D386-($D386-$I$373)*MIN(I$3-$O$2,$Q$2)/$Q$2))</f>
        <v>7717.0381146742</v>
      </c>
      <c r="J386" s="15" t="n">
        <f aca="false">I386*(1+IF(J$3&lt;=$O$2,$D386,$D386-($D386-$I$373)*MIN(J$3-$O$2,$Q$2)/$Q$2))</f>
        <v>8347.78419604107</v>
      </c>
      <c r="K386" s="15" t="n">
        <f aca="false">J386*(1+IF(K$3&lt;=$O$2,$D386,$D386-($D386-$I$373)*MIN(K$3-$O$2,$Q$2)/$Q$2))</f>
        <v>8918.56948389582</v>
      </c>
      <c r="L386" s="15" t="n">
        <f aca="false">K386*(1+IF(L$3&lt;=$O$2,$D386,$D386-($D386-$I$373)*MIN(L$3-$O$2,$Q$2)/$Q$2))</f>
        <v>9409.24339665985</v>
      </c>
      <c r="M386" s="15" t="n">
        <f aca="false">L386*(1+IF(M$3&lt;=$O$2,$D386,$D386-($D386-$I$373)*MIN(M$3-$O$2,$Q$2)/$Q$2))</f>
        <v>9801.2188772676</v>
      </c>
      <c r="N386" s="15" t="n">
        <f aca="false">M386*(1+IF(N$3&lt;=$O$2,$D386,$D386-($D386-$I$373)*MIN(N$3-$O$2,$Q$2)/$Q$2))</f>
        <v>10078.5933714943</v>
      </c>
      <c r="O386" s="15" t="n">
        <f aca="false">SUMPRODUCT(E386:N386,1/(1+$F$373)^$E$3:$N$3)*$E$2</f>
        <v>7558.09399692513</v>
      </c>
      <c r="P386" s="15" t="n">
        <f aca="false">N386*$E$2*(1+$I$373)/($F$373-$I$373)/(1+$F$373)^$N$3</f>
        <v>10060.9413622827</v>
      </c>
      <c r="Q386" s="15" t="n">
        <f aca="false">O386+P386</f>
        <v>17619.0353592078</v>
      </c>
      <c r="R386" s="15" t="n">
        <f aca="false">Q386-$G$2+$I$2</f>
        <v>12798.5353592078</v>
      </c>
      <c r="S386" s="42" t="n">
        <f aca="false">R386/$K$2</f>
        <v>66.7982012484749</v>
      </c>
      <c r="T386" s="43" t="n">
        <f aca="false">S386-$M$2</f>
        <v>-0.164220463424869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0.0950927734375</v>
      </c>
      <c r="C387" s="25" t="n">
        <f aca="false">IF(T386&gt;0,D386,C386)</f>
        <v>0.095458984375</v>
      </c>
      <c r="D387" s="41" t="n">
        <f aca="false">(B387+C387)/2</f>
        <v>0.09527587890625</v>
      </c>
      <c r="E387" s="15" t="n">
        <f aca="false">$C$2*(1+IF(E$3&lt;=$O$2,$D387,$D387-($D387-$I$373)*MIN(E$3-$O$2,$Q$2)/$Q$2))</f>
        <v>5366.85180664063</v>
      </c>
      <c r="F387" s="15" t="n">
        <f aca="false">E387*(1+IF(F$3&lt;=$O$2,$D387,$D387-($D387-$I$373)*MIN(F$3-$O$2,$Q$2)/$Q$2))</f>
        <v>5878.18332947791</v>
      </c>
      <c r="G387" s="15" t="n">
        <f aca="false">F387*(1+IF(G$3&lt;=$O$2,$D387,$D387-($D387-$I$373)*MIN(G$3-$O$2,$Q$2)/$Q$2))</f>
        <v>6438.23241256598</v>
      </c>
      <c r="H387" s="15" t="n">
        <f aca="false">G387*(1+IF(H$3&lt;=$O$2,$D387,$D387-($D387-$I$373)*MIN(H$3-$O$2,$Q$2)/$Q$2))</f>
        <v>7051.64066427591</v>
      </c>
      <c r="I387" s="15" t="n">
        <f aca="false">H387*(1+IF(I$3&lt;=$O$2,$D387,$D387-($D387-$I$373)*MIN(I$3-$O$2,$Q$2)/$Q$2))</f>
        <v>7723.49192629585</v>
      </c>
      <c r="J387" s="15" t="n">
        <f aca="false">I387*(1+IF(J$3&lt;=$O$2,$D387,$D387-($D387-$I$373)*MIN(J$3-$O$2,$Q$2)/$Q$2))</f>
        <v>8355.89687580122</v>
      </c>
      <c r="K387" s="15" t="n">
        <f aca="false">J387*(1+IF(K$3&lt;=$O$2,$D387,$D387-($D387-$I$373)*MIN(K$3-$O$2,$Q$2)/$Q$2))</f>
        <v>8928.15487977045</v>
      </c>
      <c r="L387" s="15" t="n">
        <f aca="false">K387*(1+IF(L$3&lt;=$O$2,$D387,$D387-($D387-$I$373)*MIN(L$3-$O$2,$Q$2)/$Q$2))</f>
        <v>9420.01007090146</v>
      </c>
      <c r="M387" s="15" t="n">
        <f aca="false">L387*(1+IF(M$3&lt;=$O$2,$D387,$D387-($D387-$I$373)*MIN(M$3-$O$2,$Q$2)/$Q$2))</f>
        <v>9812.77904666884</v>
      </c>
      <c r="N387" s="15" t="n">
        <f aca="false">M387*(1+IF(N$3&lt;=$O$2,$D387,$D387-($D387-$I$373)*MIN(N$3-$O$2,$Q$2)/$Q$2))</f>
        <v>10090.4806936896</v>
      </c>
      <c r="O387" s="15" t="n">
        <f aca="false">SUMPRODUCT(E387:N387,1/(1+$F$373)^$E$3:$N$3)*$E$2</f>
        <v>7564.07165580219</v>
      </c>
      <c r="P387" s="15" t="n">
        <f aca="false">N387*$E$2*(1+$I$373)/($F$373-$I$373)/(1+$F$373)^$N$3</f>
        <v>10072.8078645963</v>
      </c>
      <c r="Q387" s="15" t="n">
        <f aca="false">O387+P387</f>
        <v>17636.8795203985</v>
      </c>
      <c r="R387" s="15" t="n">
        <f aca="false">Q387-$G$2+$I$2</f>
        <v>12816.3795203985</v>
      </c>
      <c r="S387" s="42" t="n">
        <f aca="false">R387/$K$2</f>
        <v>66.891333613771</v>
      </c>
      <c r="T387" s="43" t="n">
        <f aca="false">S387-$M$2</f>
        <v>-0.0710880981288256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0.09527587890625</v>
      </c>
      <c r="C388" s="25" t="n">
        <f aca="false">IF(T387&gt;0,D387,C387)</f>
        <v>0.095458984375</v>
      </c>
      <c r="D388" s="41" t="n">
        <f aca="false">(B388+C388)/2</f>
        <v>0.095367431640625</v>
      </c>
      <c r="E388" s="15" t="n">
        <f aca="false">$C$2*(1+IF(E$3&lt;=$O$2,$D388,$D388-($D388-$I$373)*MIN(E$3-$O$2,$Q$2)/$Q$2))</f>
        <v>5367.30041503906</v>
      </c>
      <c r="F388" s="15" t="n">
        <f aca="false">E388*(1+IF(F$3&lt;=$O$2,$D388,$D388-($D388-$I$373)*MIN(F$3-$O$2,$Q$2)/$Q$2))</f>
        <v>5879.166070465</v>
      </c>
      <c r="G388" s="15" t="n">
        <f aca="false">F388*(1+IF(G$3&lt;=$O$2,$D388,$D388-($D388-$I$373)*MIN(G$3-$O$2,$Q$2)/$Q$2))</f>
        <v>6439.84703879395</v>
      </c>
      <c r="H388" s="15" t="n">
        <f aca="false">G388*(1+IF(H$3&lt;=$O$2,$D388,$D388-($D388-$I$373)*MIN(H$3-$O$2,$Q$2)/$Q$2))</f>
        <v>7053.99871104222</v>
      </c>
      <c r="I388" s="15" t="n">
        <f aca="false">H388*(1+IF(I$3&lt;=$O$2,$D388,$D388-($D388-$I$373)*MIN(I$3-$O$2,$Q$2)/$Q$2))</f>
        <v>7726.72045091059</v>
      </c>
      <c r="J388" s="15" t="n">
        <f aca="false">I388*(1+IF(J$3&lt;=$O$2,$D388,$D388-($D388-$I$373)*MIN(J$3-$O$2,$Q$2)/$Q$2))</f>
        <v>8359.95567618949</v>
      </c>
      <c r="K388" s="15" t="n">
        <f aca="false">J388*(1+IF(K$3&lt;=$O$2,$D388,$D388-($D388-$I$373)*MIN(K$3-$O$2,$Q$2)/$Q$2))</f>
        <v>8932.95087532455</v>
      </c>
      <c r="L388" s="15" t="n">
        <f aca="false">K388*(1+IF(L$3&lt;=$O$2,$D388,$D388-($D388-$I$373)*MIN(L$3-$O$2,$Q$2)/$Q$2))</f>
        <v>9425.39741396819</v>
      </c>
      <c r="M388" s="15" t="n">
        <f aca="false">L388*(1+IF(M$3&lt;=$O$2,$D388,$D388-($D388-$I$373)*MIN(M$3-$O$2,$Q$2)/$Q$2))</f>
        <v>9818.5636001329</v>
      </c>
      <c r="N388" s="15" t="n">
        <f aca="false">M388*(1+IF(N$3&lt;=$O$2,$D388,$D388-($D388-$I$373)*MIN(N$3-$O$2,$Q$2)/$Q$2))</f>
        <v>10096.4289500167</v>
      </c>
      <c r="O388" s="15" t="n">
        <f aca="false">SUMPRODUCT(E388:N388,1/(1+$F$373)^$E$3:$N$3)*$E$2</f>
        <v>7567.0622525983</v>
      </c>
      <c r="P388" s="15" t="n">
        <f aca="false">N388*$E$2*(1+$I$373)/($F$373-$I$373)/(1+$F$373)^$N$3</f>
        <v>10078.7457029344</v>
      </c>
      <c r="Q388" s="15" t="n">
        <f aca="false">O388+P388</f>
        <v>17645.8079555327</v>
      </c>
      <c r="R388" s="15" t="n">
        <f aca="false">Q388-$G$2+$I$2</f>
        <v>12825.3079555327</v>
      </c>
      <c r="S388" s="42" t="n">
        <f aca="false">R388/$K$2</f>
        <v>66.9379329620703</v>
      </c>
      <c r="T388" s="43" t="n">
        <f aca="false">S388-$M$2</f>
        <v>-0.0244887498295299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0.095367431640625</v>
      </c>
      <c r="C389" s="25" t="n">
        <f aca="false">IF(T388&gt;0,D388,C388)</f>
        <v>0.095458984375</v>
      </c>
      <c r="D389" s="41" t="n">
        <f aca="false">(B389+C389)/2</f>
        <v>0.0954132080078125</v>
      </c>
      <c r="E389" s="15" t="n">
        <f aca="false">$C$2*(1+IF(E$3&lt;=$O$2,$D389,$D389-($D389-$I$373)*MIN(E$3-$O$2,$Q$2)/$Q$2))</f>
        <v>5367.52471923828</v>
      </c>
      <c r="F389" s="15" t="n">
        <f aca="false">E389*(1+IF(F$3&lt;=$O$2,$D389,$D389-($D389-$I$373)*MIN(F$3-$O$2,$Q$2)/$Q$2))</f>
        <v>5879.65747176204</v>
      </c>
      <c r="G389" s="15" t="n">
        <f aca="false">F389*(1+IF(G$3&lt;=$O$2,$D389,$D389-($D389-$I$373)*MIN(G$3-$O$2,$Q$2)/$Q$2))</f>
        <v>6440.65445312996</v>
      </c>
      <c r="H389" s="15" t="n">
        <f aca="false">G389*(1+IF(H$3&lt;=$O$2,$D389,$D389-($D389-$I$373)*MIN(H$3-$O$2,$Q$2)/$Q$2))</f>
        <v>7055.17795617289</v>
      </c>
      <c r="I389" s="15" t="n">
        <f aca="false">H389*(1+IF(I$3&lt;=$O$2,$D389,$D389-($D389-$I$373)*MIN(I$3-$O$2,$Q$2)/$Q$2))</f>
        <v>7728.33511803735</v>
      </c>
      <c r="J389" s="15" t="n">
        <f aca="false">I389*(1+IF(J$3&lt;=$O$2,$D389,$D389-($D389-$I$373)*MIN(J$3-$O$2,$Q$2)/$Q$2))</f>
        <v>8361.98569174254</v>
      </c>
      <c r="K389" s="15" t="n">
        <f aca="false">J389*(1+IF(K$3&lt;=$O$2,$D389,$D389-($D389-$I$373)*MIN(K$3-$O$2,$Q$2)/$Q$2))</f>
        <v>8935.34969787182</v>
      </c>
      <c r="L389" s="15" t="n">
        <f aca="false">K389*(1+IF(L$3&lt;=$O$2,$D389,$D389-($D389-$I$373)*MIN(L$3-$O$2,$Q$2)/$Q$2))</f>
        <v>9428.09208747992</v>
      </c>
      <c r="M389" s="15" t="n">
        <f aca="false">L389*(1+IF(M$3&lt;=$O$2,$D389,$D389-($D389-$I$373)*MIN(M$3-$O$2,$Q$2)/$Q$2))</f>
        <v>9821.45699463237</v>
      </c>
      <c r="N389" s="15" t="n">
        <f aca="false">M389*(1+IF(N$3&lt;=$O$2,$D389,$D389-($D389-$I$373)*MIN(N$3-$O$2,$Q$2)/$Q$2))</f>
        <v>10099.4042275805</v>
      </c>
      <c r="O389" s="15" t="n">
        <f aca="false">SUMPRODUCT(E389:N389,1/(1+$F$373)^$E$3:$N$3)*$E$2</f>
        <v>7568.55799302428</v>
      </c>
      <c r="P389" s="15" t="n">
        <f aca="false">N389*$E$2*(1+$I$373)/($F$373-$I$373)/(1+$F$373)^$N$3</f>
        <v>10081.7157694905</v>
      </c>
      <c r="Q389" s="15" t="n">
        <f aca="false">O389+P389</f>
        <v>17650.2737625148</v>
      </c>
      <c r="R389" s="15" t="n">
        <f aca="false">Q389-$G$2+$I$2</f>
        <v>12829.7737625148</v>
      </c>
      <c r="S389" s="42" t="n">
        <f aca="false">R389/$K$2</f>
        <v>66.9612409317058</v>
      </c>
      <c r="T389" s="43" t="n">
        <f aca="false">S389-$M$2</f>
        <v>-0.00118078019403356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0.0954132080078125</v>
      </c>
      <c r="C390" s="25" t="n">
        <f aca="false">IF(T389&gt;0,D389,C389)</f>
        <v>0.095458984375</v>
      </c>
      <c r="D390" s="41" t="n">
        <f aca="false">(B390+C390)/2</f>
        <v>0.0954360961914063</v>
      </c>
      <c r="E390" s="15" t="n">
        <f aca="false">$C$2*(1+IF(E$3&lt;=$O$2,$D390,$D390-($D390-$I$373)*MIN(E$3-$O$2,$Q$2)/$Q$2))</f>
        <v>5367.63687133789</v>
      </c>
      <c r="F390" s="15" t="n">
        <f aca="false">E390*(1+IF(F$3&lt;=$O$2,$D390,$D390-($D390-$I$373)*MIN(F$3-$O$2,$Q$2)/$Q$2))</f>
        <v>5879.90318011143</v>
      </c>
      <c r="G390" s="15" t="n">
        <f aca="false">F390*(1+IF(G$3&lt;=$O$2,$D390,$D390-($D390-$I$373)*MIN(G$3-$O$2,$Q$2)/$Q$2))</f>
        <v>6441.0581856047</v>
      </c>
      <c r="H390" s="15" t="n">
        <f aca="false">G390*(1+IF(H$3&lt;=$O$2,$D390,$D390-($D390-$I$373)*MIN(H$3-$O$2,$Q$2)/$Q$2))</f>
        <v>7055.76763418052</v>
      </c>
      <c r="I390" s="15" t="n">
        <f aca="false">H390*(1+IF(I$3&lt;=$O$2,$D390,$D390-($D390-$I$373)*MIN(I$3-$O$2,$Q$2)/$Q$2))</f>
        <v>7729.14255282038</v>
      </c>
      <c r="J390" s="15" t="n">
        <f aca="false">I390*(1+IF(J$3&lt;=$O$2,$D390,$D390-($D390-$I$373)*MIN(J$3-$O$2,$Q$2)/$Q$2))</f>
        <v>8363.00085338779</v>
      </c>
      <c r="K390" s="15" t="n">
        <f aca="false">J390*(1+IF(K$3&lt;=$O$2,$D390,$D390-($D390-$I$373)*MIN(K$3-$O$2,$Q$2)/$Q$2))</f>
        <v>8936.54931538378</v>
      </c>
      <c r="L390" s="15" t="n">
        <f aca="false">K390*(1+IF(L$3&lt;=$O$2,$D390,$D390-($D390-$I$373)*MIN(L$3-$O$2,$Q$2)/$Q$2))</f>
        <v>9429.43967479188</v>
      </c>
      <c r="M390" s="15" t="n">
        <f aca="false">L390*(1+IF(M$3&lt;=$O$2,$D390,$D390-($D390-$I$373)*MIN(M$3-$O$2,$Q$2)/$Q$2))</f>
        <v>9822.90397139607</v>
      </c>
      <c r="N390" s="15" t="n">
        <f aca="false">M390*(1+IF(N$3&lt;=$O$2,$D390,$D390-($D390-$I$373)*MIN(N$3-$O$2,$Q$2)/$Q$2))</f>
        <v>10100.8921537866</v>
      </c>
      <c r="O390" s="15" t="n">
        <f aca="false">SUMPRODUCT(E390:N390,1/(1+$F$373)^$E$3:$N$3)*$E$2</f>
        <v>7569.30597376783</v>
      </c>
      <c r="P390" s="15" t="n">
        <f aca="false">N390*$E$2*(1+$I$373)/($F$373-$I$373)/(1+$F$373)^$N$3</f>
        <v>10083.2010896894</v>
      </c>
      <c r="Q390" s="15" t="n">
        <f aca="false">O390+P390</f>
        <v>17652.5070634573</v>
      </c>
      <c r="R390" s="15" t="n">
        <f aca="false">Q390-$G$2+$I$2</f>
        <v>12832.0070634573</v>
      </c>
      <c r="S390" s="42" t="n">
        <f aca="false">R390/$K$2</f>
        <v>66.9728969909043</v>
      </c>
      <c r="T390" s="43" t="n">
        <f aca="false">S390-$M$2</f>
        <v>0.0104752790044955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0.0954132080078125</v>
      </c>
      <c r="C391" s="25" t="n">
        <f aca="false">IF(T390&gt;0,D390,C390)</f>
        <v>0.0954360961914063</v>
      </c>
      <c r="D391" s="41" t="n">
        <f aca="false">(B391+C391)/2</f>
        <v>0.0954246520996094</v>
      </c>
      <c r="E391" s="15" t="n">
        <f aca="false">$C$2*(1+IF(E$3&lt;=$O$2,$D391,$D391-($D391-$I$373)*MIN(E$3-$O$2,$Q$2)/$Q$2))</f>
        <v>5367.58079528809</v>
      </c>
      <c r="F391" s="15" t="n">
        <f aca="false">E391*(1+IF(F$3&lt;=$O$2,$D391,$D391-($D391-$I$373)*MIN(F$3-$O$2,$Q$2)/$Q$2))</f>
        <v>5879.780325295</v>
      </c>
      <c r="G391" s="15" t="n">
        <f aca="false">F391*(1+IF(G$3&lt;=$O$2,$D391,$D391-($D391-$I$373)*MIN(G$3-$O$2,$Q$2)/$Q$2))</f>
        <v>6440.8563172584</v>
      </c>
      <c r="H391" s="15" t="n">
        <f aca="false">G391*(1+IF(H$3&lt;=$O$2,$D391,$D391-($D391-$I$373)*MIN(H$3-$O$2,$Q$2)/$Q$2))</f>
        <v>7055.47279055635</v>
      </c>
      <c r="I391" s="15" t="n">
        <f aca="false">H391*(1+IF(I$3&lt;=$O$2,$D391,$D391-($D391-$I$373)*MIN(I$3-$O$2,$Q$2)/$Q$2))</f>
        <v>7728.73882699345</v>
      </c>
      <c r="J391" s="15" t="n">
        <f aca="false">I391*(1+IF(J$3&lt;=$O$2,$D391,$D391-($D391-$I$373)*MIN(J$3-$O$2,$Q$2)/$Q$2))</f>
        <v>8362.49325974191</v>
      </c>
      <c r="K391" s="15" t="n">
        <f aca="false">J391*(1+IF(K$3&lt;=$O$2,$D391,$D391-($D391-$I$373)*MIN(K$3-$O$2,$Q$2)/$Q$2))</f>
        <v>8935.94948943991</v>
      </c>
      <c r="L391" s="15" t="n">
        <f aca="false">K391*(1+IF(L$3&lt;=$O$2,$D391,$D391-($D391-$I$373)*MIN(L$3-$O$2,$Q$2)/$Q$2))</f>
        <v>9428.76586025439</v>
      </c>
      <c r="M391" s="15" t="n">
        <f aca="false">L391*(1+IF(M$3&lt;=$O$2,$D391,$D391-($D391-$I$373)*MIN(M$3-$O$2,$Q$2)/$Q$2))</f>
        <v>9822.18045971924</v>
      </c>
      <c r="N391" s="15" t="n">
        <f aca="false">M391*(1+IF(N$3&lt;=$O$2,$D391,$D391-($D391-$I$373)*MIN(N$3-$O$2,$Q$2)/$Q$2))</f>
        <v>10100.1481667293</v>
      </c>
      <c r="O391" s="15" t="n">
        <f aca="false">SUMPRODUCT(E391:N391,1/(1+$F$373)^$E$3:$N$3)*$E$2</f>
        <v>7568.93197418448</v>
      </c>
      <c r="P391" s="15" t="n">
        <f aca="false">N391*$E$2*(1+$I$373)/($F$373-$I$373)/(1+$F$373)^$N$3</f>
        <v>10082.4584056777</v>
      </c>
      <c r="Q391" s="15" t="n">
        <f aca="false">O391+P391</f>
        <v>17651.3903798622</v>
      </c>
      <c r="R391" s="15" t="n">
        <f aca="false">Q391-$G$2+$I$2</f>
        <v>12830.8903798622</v>
      </c>
      <c r="S391" s="42" t="n">
        <f aca="false">R391/$K$2</f>
        <v>66.9670687884248</v>
      </c>
      <c r="T391" s="43" t="n">
        <f aca="false">S391-$M$2</f>
        <v>0.00464707652501772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0.0954132080078125</v>
      </c>
      <c r="C392" s="25" t="n">
        <f aca="false">IF(T391&gt;0,D391,C391)</f>
        <v>0.0954246520996094</v>
      </c>
      <c r="D392" s="41" t="n">
        <f aca="false">(B392+C392)/2</f>
        <v>0.0954189300537109</v>
      </c>
      <c r="E392" s="15" t="n">
        <f aca="false">$C$2*(1+IF(E$3&lt;=$O$2,$D392,$D392-($D392-$I$373)*MIN(E$3-$O$2,$Q$2)/$Q$2))</f>
        <v>5367.55275726318</v>
      </c>
      <c r="F392" s="15" t="n">
        <f aca="false">E392*(1+IF(F$3&lt;=$O$2,$D392,$D392-($D392-$I$373)*MIN(F$3-$O$2,$Q$2)/$Q$2))</f>
        <v>5879.71889836808</v>
      </c>
      <c r="G392" s="15" t="n">
        <f aca="false">F392*(1+IF(G$3&lt;=$O$2,$D392,$D392-($D392-$I$373)*MIN(G$3-$O$2,$Q$2)/$Q$2))</f>
        <v>6440.75538466695</v>
      </c>
      <c r="H392" s="15" t="n">
        <f aca="false">G392*(1+IF(H$3&lt;=$O$2,$D392,$D392-($D392-$I$373)*MIN(H$3-$O$2,$Q$2)/$Q$2))</f>
        <v>7055.32537220955</v>
      </c>
      <c r="I392" s="15" t="n">
        <f aca="false">H392*(1+IF(I$3&lt;=$O$2,$D392,$D392-($D392-$I$373)*MIN(I$3-$O$2,$Q$2)/$Q$2))</f>
        <v>7728.53697040658</v>
      </c>
      <c r="J392" s="15" t="n">
        <f aca="false">I392*(1+IF(J$3&lt;=$O$2,$D392,$D392-($D392-$I$373)*MIN(J$3-$O$2,$Q$2)/$Q$2))</f>
        <v>8362.23947253648</v>
      </c>
      <c r="K392" s="15" t="n">
        <f aca="false">J392*(1+IF(K$3&lt;=$O$2,$D392,$D392-($D392-$I$373)*MIN(K$3-$O$2,$Q$2)/$Q$2))</f>
        <v>8935.64958935899</v>
      </c>
      <c r="L392" s="15" t="n">
        <f aca="false">K392*(1+IF(L$3&lt;=$O$2,$D392,$D392-($D392-$I$373)*MIN(L$3-$O$2,$Q$2)/$Q$2))</f>
        <v>9428.42896864692</v>
      </c>
      <c r="M392" s="15" t="n">
        <f aca="false">L392*(1+IF(M$3&lt;=$O$2,$D392,$D392-($D392-$I$373)*MIN(M$3-$O$2,$Q$2)/$Q$2))</f>
        <v>9821.81872135222</v>
      </c>
      <c r="N392" s="15" t="n">
        <f aca="false">M392*(1+IF(N$3&lt;=$O$2,$D392,$D392-($D392-$I$373)*MIN(N$3-$O$2,$Q$2)/$Q$2))</f>
        <v>10099.7761911665</v>
      </c>
      <c r="O392" s="15" t="n">
        <f aca="false">SUMPRODUCT(E392:N392,1/(1+$F$373)^$E$3:$N$3)*$E$2</f>
        <v>7568.74498130154</v>
      </c>
      <c r="P392" s="15" t="n">
        <f aca="false">N392*$E$2*(1+$I$373)/($F$373-$I$373)/(1+$F$373)^$N$3</f>
        <v>10082.0870816062</v>
      </c>
      <c r="Q392" s="15" t="n">
        <f aca="false">O392+P392</f>
        <v>17650.8320629078</v>
      </c>
      <c r="R392" s="15" t="n">
        <f aca="false">Q392-$G$2+$I$2</f>
        <v>12830.3320629078</v>
      </c>
      <c r="S392" s="42" t="n">
        <f aca="false">R392/$K$2</f>
        <v>66.9641548168464</v>
      </c>
      <c r="T392" s="43" t="n">
        <f aca="false">S392-$M$2</f>
        <v>0.00173310494655254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0.0954132080078125</v>
      </c>
      <c r="C393" s="25" t="n">
        <f aca="false">IF(T392&gt;0,D392,C392)</f>
        <v>0.0954189300537109</v>
      </c>
      <c r="D393" s="41" t="n">
        <f aca="false">(B393+C393)/2</f>
        <v>0.0954160690307617</v>
      </c>
      <c r="E393" s="15" t="n">
        <f aca="false">$C$2*(1+IF(E$3&lt;=$O$2,$D393,$D393-($D393-$I$373)*MIN(E$3-$O$2,$Q$2)/$Q$2))</f>
        <v>5367.53873825073</v>
      </c>
      <c r="F393" s="15" t="n">
        <f aca="false">E393*(1+IF(F$3&lt;=$O$2,$D393,$D393-($D393-$I$373)*MIN(F$3-$O$2,$Q$2)/$Q$2))</f>
        <v>5879.68818502495</v>
      </c>
      <c r="G393" s="15" t="n">
        <f aca="false">F393*(1+IF(G$3&lt;=$O$2,$D393,$D393-($D393-$I$373)*MIN(G$3-$O$2,$Q$2)/$Q$2))</f>
        <v>6440.70491876665</v>
      </c>
      <c r="H393" s="15" t="n">
        <f aca="false">G393*(1+IF(H$3&lt;=$O$2,$D393,$D393-($D393-$I$373)*MIN(H$3-$O$2,$Q$2)/$Q$2))</f>
        <v>7055.25166390245</v>
      </c>
      <c r="I393" s="15" t="n">
        <f aca="false">H393*(1+IF(I$3&lt;=$O$2,$D393,$D393-($D393-$I$373)*MIN(I$3-$O$2,$Q$2)/$Q$2))</f>
        <v>7728.43604369477</v>
      </c>
      <c r="J393" s="15" t="n">
        <f aca="false">I393*(1+IF(J$3&lt;=$O$2,$D393,$D393-($D393-$I$373)*MIN(J$3-$O$2,$Q$2)/$Q$2))</f>
        <v>8362.11258133808</v>
      </c>
      <c r="K393" s="15" t="n">
        <f aca="false">J393*(1+IF(K$3&lt;=$O$2,$D393,$D393-($D393-$I$373)*MIN(K$3-$O$2,$Q$2)/$Q$2))</f>
        <v>8935.49964254121</v>
      </c>
      <c r="L393" s="15" t="n">
        <f aca="false">K393*(1+IF(L$3&lt;=$O$2,$D393,$D393-($D393-$I$373)*MIN(L$3-$O$2,$Q$2)/$Q$2))</f>
        <v>9428.26052675838</v>
      </c>
      <c r="M393" s="15" t="n">
        <f aca="false">L393*(1+IF(M$3&lt;=$O$2,$D393,$D393-($D393-$I$373)*MIN(M$3-$O$2,$Q$2)/$Q$2))</f>
        <v>9821.63785653642</v>
      </c>
      <c r="N393" s="15" t="n">
        <f aca="false">M393*(1+IF(N$3&lt;=$O$2,$D393,$D393-($D393-$I$373)*MIN(N$3-$O$2,$Q$2)/$Q$2))</f>
        <v>10099.5902078764</v>
      </c>
      <c r="O393" s="15" t="n">
        <f aca="false">SUMPRODUCT(E393:N393,1/(1+$F$373)^$E$3:$N$3)*$E$2</f>
        <v>7568.65148658721</v>
      </c>
      <c r="P393" s="15" t="n">
        <f aca="false">N393*$E$2*(1+$I$373)/($F$373-$I$373)/(1+$F$373)^$N$3</f>
        <v>10081.9014240539</v>
      </c>
      <c r="Q393" s="15" t="n">
        <f aca="false">O393+P393</f>
        <v>17650.5529106411</v>
      </c>
      <c r="R393" s="15" t="n">
        <f aca="false">Q393-$G$2+$I$2</f>
        <v>12830.0529106411</v>
      </c>
      <c r="S393" s="42" t="n">
        <f aca="false">R393/$K$2</f>
        <v>66.9626978634715</v>
      </c>
      <c r="T393" s="43" t="n">
        <f aca="false">S393-$M$2</f>
        <v>0.000276151571682703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0.0954132080078125</v>
      </c>
      <c r="C394" s="25" t="n">
        <f aca="false">IF(T393&gt;0,D393,C393)</f>
        <v>0.0954160690307617</v>
      </c>
      <c r="D394" s="41" t="n">
        <f aca="false">(B394+C394)/2</f>
        <v>0.0954146385192871</v>
      </c>
      <c r="E394" s="15" t="n">
        <f aca="false">$C$2*(1+IF(E$3&lt;=$O$2,$D394,$D394-($D394-$I$373)*MIN(E$3-$O$2,$Q$2)/$Q$2))</f>
        <v>5367.53172874451</v>
      </c>
      <c r="F394" s="15" t="n">
        <f aca="false">E394*(1+IF(F$3&lt;=$O$2,$D394,$D394-($D394-$I$373)*MIN(F$3-$O$2,$Q$2)/$Q$2))</f>
        <v>5879.67282838347</v>
      </c>
      <c r="G394" s="15" t="n">
        <f aca="false">F394*(1+IF(G$3&lt;=$O$2,$D394,$D394-($D394-$I$373)*MIN(G$3-$O$2,$Q$2)/$Q$2))</f>
        <v>6440.67968591535</v>
      </c>
      <c r="H394" s="15" t="n">
        <f aca="false">G394*(1+IF(H$3&lt;=$O$2,$D394,$D394-($D394-$I$373)*MIN(H$3-$O$2,$Q$2)/$Q$2))</f>
        <v>7055.21480996548</v>
      </c>
      <c r="I394" s="15" t="n">
        <f aca="false">H394*(1+IF(I$3&lt;=$O$2,$D394,$D394-($D394-$I$373)*MIN(I$3-$O$2,$Q$2)/$Q$2))</f>
        <v>7728.38558073426</v>
      </c>
      <c r="J394" s="15" t="n">
        <f aca="false">I394*(1+IF(J$3&lt;=$O$2,$D394,$D394-($D394-$I$373)*MIN(J$3-$O$2,$Q$2)/$Q$2))</f>
        <v>8362.04913633996</v>
      </c>
      <c r="K394" s="15" t="n">
        <f aca="false">J394*(1+IF(K$3&lt;=$O$2,$D394,$D394-($D394-$I$373)*MIN(K$3-$O$2,$Q$2)/$Q$2))</f>
        <v>8935.42466993796</v>
      </c>
      <c r="L394" s="15" t="n">
        <f aca="false">K394*(1+IF(L$3&lt;=$O$2,$D394,$D394-($D394-$I$373)*MIN(L$3-$O$2,$Q$2)/$Q$2))</f>
        <v>9428.17630679289</v>
      </c>
      <c r="M394" s="15" t="n">
        <f aca="false">L394*(1+IF(M$3&lt;=$O$2,$D394,$D394-($D394-$I$373)*MIN(M$3-$O$2,$Q$2)/$Q$2))</f>
        <v>9821.54742522043</v>
      </c>
      <c r="N394" s="15" t="n">
        <f aca="false">M394*(1+IF(N$3&lt;=$O$2,$D394,$D394-($D394-$I$373)*MIN(N$3-$O$2,$Q$2)/$Q$2))</f>
        <v>10099.4972173542</v>
      </c>
      <c r="O394" s="15" t="n">
        <f aca="false">SUMPRODUCT(E394:N394,1/(1+$F$373)^$E$3:$N$3)*$E$2</f>
        <v>7568.60473966182</v>
      </c>
      <c r="P394" s="15" t="n">
        <f aca="false">N394*$E$2*(1+$I$373)/($F$373-$I$373)/(1+$F$373)^$N$3</f>
        <v>10081.8085963986</v>
      </c>
      <c r="Q394" s="15" t="n">
        <f aca="false">O394+P394</f>
        <v>17650.4133360604</v>
      </c>
      <c r="R394" s="15" t="n">
        <f aca="false">Q394-$G$2+$I$2</f>
        <v>12829.9133360604</v>
      </c>
      <c r="S394" s="42" t="n">
        <f aca="false">R394/$K$2</f>
        <v>66.9619693948875</v>
      </c>
      <c r="T394" s="43" t="n">
        <f aca="false">S394-$M$2</f>
        <v>-0.000452317012303638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0.0954146385192871</v>
      </c>
      <c r="C395" s="25" t="n">
        <f aca="false">IF(T394&gt;0,D394,C394)</f>
        <v>0.0954160690307617</v>
      </c>
      <c r="D395" s="41" t="n">
        <f aca="false">(B395+C395)/2</f>
        <v>0.0954153537750244</v>
      </c>
      <c r="E395" s="15" t="n">
        <f aca="false">$C$2*(1+IF(E$3&lt;=$O$2,$D395,$D395-($D395-$I$373)*MIN(E$3-$O$2,$Q$2)/$Q$2))</f>
        <v>5367.53523349762</v>
      </c>
      <c r="F395" s="15" t="n">
        <f aca="false">E395*(1+IF(F$3&lt;=$O$2,$D395,$D395-($D395-$I$373)*MIN(F$3-$O$2,$Q$2)/$Q$2))</f>
        <v>5879.6805067017</v>
      </c>
      <c r="G395" s="15" t="n">
        <f aca="false">F395*(1+IF(G$3&lt;=$O$2,$D395,$D395-($D395-$I$373)*MIN(G$3-$O$2,$Q$2)/$Q$2))</f>
        <v>6440.69230233276</v>
      </c>
      <c r="H395" s="15" t="n">
        <f aca="false">G395*(1+IF(H$3&lt;=$O$2,$D395,$D395-($D395-$I$373)*MIN(H$3-$O$2,$Q$2)/$Q$2))</f>
        <v>7055.23323691592</v>
      </c>
      <c r="I395" s="15" t="n">
        <f aca="false">H395*(1+IF(I$3&lt;=$O$2,$D395,$D395-($D395-$I$373)*MIN(I$3-$O$2,$Q$2)/$Q$2))</f>
        <v>7728.41081218156</v>
      </c>
      <c r="J395" s="15" t="n">
        <f aca="false">I395*(1+IF(J$3&lt;=$O$2,$D395,$D395-($D395-$I$373)*MIN(J$3-$O$2,$Q$2)/$Q$2))</f>
        <v>8362.08085878893</v>
      </c>
      <c r="K395" s="15" t="n">
        <f aca="false">J395*(1+IF(K$3&lt;=$O$2,$D395,$D395-($D395-$I$373)*MIN(K$3-$O$2,$Q$2)/$Q$2))</f>
        <v>8935.46215617244</v>
      </c>
      <c r="L395" s="15" t="n">
        <f aca="false">K395*(1+IF(L$3&lt;=$O$2,$D395,$D395-($D395-$I$373)*MIN(L$3-$O$2,$Q$2)/$Q$2))</f>
        <v>9428.21841669407</v>
      </c>
      <c r="M395" s="15" t="n">
        <f aca="false">L395*(1+IF(M$3&lt;=$O$2,$D395,$D395-($D395-$I$373)*MIN(M$3-$O$2,$Q$2)/$Q$2))</f>
        <v>9821.59264078743</v>
      </c>
      <c r="N395" s="15" t="n">
        <f aca="false">M395*(1+IF(N$3&lt;=$O$2,$D395,$D395-($D395-$I$373)*MIN(N$3-$O$2,$Q$2)/$Q$2))</f>
        <v>10099.5437125217</v>
      </c>
      <c r="O395" s="15" t="n">
        <f aca="false">SUMPRODUCT(E395:N395,1/(1+$F$373)^$E$3:$N$3)*$E$2</f>
        <v>7568.62811308853</v>
      </c>
      <c r="P395" s="15" t="n">
        <f aca="false">N395*$E$2*(1+$I$373)/($F$373-$I$373)/(1+$F$373)^$N$3</f>
        <v>10081.8550101329</v>
      </c>
      <c r="Q395" s="15" t="n">
        <f aca="false">O395+P395</f>
        <v>17650.4831232214</v>
      </c>
      <c r="R395" s="15" t="n">
        <f aca="false">Q395-$G$2+$I$2</f>
        <v>12829.9831232214</v>
      </c>
      <c r="S395" s="42" t="n">
        <f aca="false">R395/$K$2</f>
        <v>66.9623336285042</v>
      </c>
      <c r="T395" s="43" t="n">
        <f aca="false">S395-$M$2</f>
        <v>-8.80833956102833E-005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0.0954153537750244</v>
      </c>
      <c r="C396" s="25" t="n">
        <f aca="false">IF(T395&gt;0,D395,C395)</f>
        <v>0.0954160690307617</v>
      </c>
      <c r="D396" s="41" t="n">
        <f aca="false">(B396+C396)/2</f>
        <v>0.0954157114028931</v>
      </c>
      <c r="E396" s="15" t="n">
        <f aca="false">$C$2*(1+IF(E$3&lt;=$O$2,$D396,$D396-($D396-$I$373)*MIN(E$3-$O$2,$Q$2)/$Q$2))</f>
        <v>5367.53698587418</v>
      </c>
      <c r="F396" s="15" t="n">
        <f aca="false">E396*(1+IF(F$3&lt;=$O$2,$D396,$D396-($D396-$I$373)*MIN(F$3-$O$2,$Q$2)/$Q$2))</f>
        <v>5879.6843458627</v>
      </c>
      <c r="G396" s="15" t="n">
        <f aca="false">F396*(1+IF(G$3&lt;=$O$2,$D396,$D396-($D396-$I$373)*MIN(G$3-$O$2,$Q$2)/$Q$2))</f>
        <v>6440.69861054764</v>
      </c>
      <c r="H396" s="15" t="n">
        <f aca="false">G396*(1+IF(H$3&lt;=$O$2,$D396,$D396-($D396-$I$373)*MIN(H$3-$O$2,$Q$2)/$Q$2))</f>
        <v>7055.24245040467</v>
      </c>
      <c r="I396" s="15" t="n">
        <f aca="false">H396*(1+IF(I$3&lt;=$O$2,$D396,$D396-($D396-$I$373)*MIN(I$3-$O$2,$Q$2)/$Q$2))</f>
        <v>7728.42342792993</v>
      </c>
      <c r="J396" s="15" t="n">
        <f aca="false">I396*(1+IF(J$3&lt;=$O$2,$D396,$D396-($D396-$I$373)*MIN(J$3-$O$2,$Q$2)/$Q$2))</f>
        <v>8362.09672005098</v>
      </c>
      <c r="K396" s="15" t="n">
        <f aca="false">J396*(1+IF(K$3&lt;=$O$2,$D396,$D396-($D396-$I$373)*MIN(K$3-$O$2,$Q$2)/$Q$2))</f>
        <v>8935.48089934004</v>
      </c>
      <c r="L396" s="15" t="n">
        <f aca="false">K396*(1+IF(L$3&lt;=$O$2,$D396,$D396-($D396-$I$373)*MIN(L$3-$O$2,$Q$2)/$Q$2))</f>
        <v>9428.23947170583</v>
      </c>
      <c r="M396" s="15" t="n">
        <f aca="false">L396*(1+IF(M$3&lt;=$O$2,$D396,$D396-($D396-$I$373)*MIN(M$3-$O$2,$Q$2)/$Q$2))</f>
        <v>9821.61524863918</v>
      </c>
      <c r="N396" s="15" t="n">
        <f aca="false">M396*(1+IF(N$3&lt;=$O$2,$D396,$D396-($D396-$I$373)*MIN(N$3-$O$2,$Q$2)/$Q$2))</f>
        <v>10099.5669601757</v>
      </c>
      <c r="O396" s="15" t="n">
        <f aca="false">SUMPRODUCT(E396:N396,1/(1+$F$373)^$E$3:$N$3)*$E$2</f>
        <v>7568.63979982887</v>
      </c>
      <c r="P396" s="15" t="n">
        <f aca="false">N396*$E$2*(1+$I$373)/($F$373-$I$373)/(1+$F$373)^$N$3</f>
        <v>10081.8782170701</v>
      </c>
      <c r="Q396" s="15" t="n">
        <f aca="false">O396+P396</f>
        <v>17650.5180168989</v>
      </c>
      <c r="R396" s="15" t="n">
        <f aca="false">Q396-$G$2+$I$2</f>
        <v>12830.0180168989</v>
      </c>
      <c r="S396" s="42" t="n">
        <f aca="false">R396/$K$2</f>
        <v>66.962515745819</v>
      </c>
      <c r="T396" s="43" t="n">
        <f aca="false">S396-$M$2</f>
        <v>9.4033919211256E-005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0.0954153537750244</v>
      </c>
      <c r="C397" s="25" t="n">
        <f aca="false">IF(T396&gt;0,D396,C396)</f>
        <v>0.0954157114028931</v>
      </c>
      <c r="D397" s="41" t="n">
        <f aca="false">(B397+C397)/2</f>
        <v>0.0954155325889587</v>
      </c>
      <c r="E397" s="15" t="n">
        <f aca="false">$C$2*(1+IF(E$3&lt;=$O$2,$D397,$D397-($D397-$I$373)*MIN(E$3-$O$2,$Q$2)/$Q$2))</f>
        <v>5367.5361096859</v>
      </c>
      <c r="F397" s="15" t="n">
        <f aca="false">E397*(1+IF(F$3&lt;=$O$2,$D397,$D397-($D397-$I$373)*MIN(F$3-$O$2,$Q$2)/$Q$2))</f>
        <v>5879.68242628205</v>
      </c>
      <c r="G397" s="15" t="n">
        <f aca="false">F397*(1+IF(G$3&lt;=$O$2,$D397,$D397-($D397-$I$373)*MIN(G$3-$O$2,$Q$2)/$Q$2))</f>
        <v>6440.69545643969</v>
      </c>
      <c r="H397" s="15" t="n">
        <f aca="false">G397*(1+IF(H$3&lt;=$O$2,$D397,$D397-($D397-$I$373)*MIN(H$3-$O$2,$Q$2)/$Q$2))</f>
        <v>7055.23784365917</v>
      </c>
      <c r="I397" s="15" t="n">
        <f aca="false">H397*(1+IF(I$3&lt;=$O$2,$D397,$D397-($D397-$I$373)*MIN(I$3-$O$2,$Q$2)/$Q$2))</f>
        <v>7728.41712005368</v>
      </c>
      <c r="J397" s="15" t="n">
        <f aca="false">I397*(1+IF(J$3&lt;=$O$2,$D397,$D397-($D397-$I$373)*MIN(J$3-$O$2,$Q$2)/$Q$2))</f>
        <v>8362.08878941683</v>
      </c>
      <c r="K397" s="15" t="n">
        <f aca="false">J397*(1+IF(K$3&lt;=$O$2,$D397,$D397-($D397-$I$373)*MIN(K$3-$O$2,$Q$2)/$Q$2))</f>
        <v>8935.47152775205</v>
      </c>
      <c r="L397" s="15" t="n">
        <f aca="false">K397*(1+IF(L$3&lt;=$O$2,$D397,$D397-($D397-$I$373)*MIN(L$3-$O$2,$Q$2)/$Q$2))</f>
        <v>9428.22894419485</v>
      </c>
      <c r="M397" s="15" t="n">
        <f aca="false">L397*(1+IF(M$3&lt;=$O$2,$D397,$D397-($D397-$I$373)*MIN(M$3-$O$2,$Q$2)/$Q$2))</f>
        <v>9821.60394470762</v>
      </c>
      <c r="N397" s="15" t="n">
        <f aca="false">M397*(1+IF(N$3&lt;=$O$2,$D397,$D397-($D397-$I$373)*MIN(N$3-$O$2,$Q$2)/$Q$2))</f>
        <v>10099.5553363428</v>
      </c>
      <c r="O397" s="15" t="n">
        <f aca="false">SUMPRODUCT(E397:N397,1/(1+$F$373)^$E$3:$N$3)*$E$2</f>
        <v>7568.63395645645</v>
      </c>
      <c r="P397" s="15" t="n">
        <f aca="false">N397*$E$2*(1+$I$373)/($F$373-$I$373)/(1+$F$373)^$N$3</f>
        <v>10081.8666135956</v>
      </c>
      <c r="Q397" s="15" t="n">
        <f aca="false">O397+P397</f>
        <v>17650.5005700521</v>
      </c>
      <c r="R397" s="15" t="n">
        <f aca="false">Q397-$G$2+$I$2</f>
        <v>12830.0005700521</v>
      </c>
      <c r="S397" s="42" t="n">
        <f aca="false">R397/$K$2</f>
        <v>66.9624246871194</v>
      </c>
      <c r="T397" s="43" t="n">
        <f aca="false">S397-$M$2</f>
        <v>2.97521961556413E-006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0.0954153537750244</v>
      </c>
      <c r="C398" s="25" t="n">
        <f aca="false">IF(T397&gt;0,D397,C397)</f>
        <v>0.0954155325889587</v>
      </c>
      <c r="D398" s="41" t="n">
        <f aca="false">(B398+C398)/2</f>
        <v>0.0954154431819916</v>
      </c>
      <c r="E398" s="15" t="n">
        <f aca="false">$C$2*(1+IF(E$3&lt;=$O$2,$D398,$D398-($D398-$I$373)*MIN(E$3-$O$2,$Q$2)/$Q$2))</f>
        <v>5367.53567159176</v>
      </c>
      <c r="F398" s="15" t="n">
        <f aca="false">E398*(1+IF(F$3&lt;=$O$2,$D398,$D398-($D398-$I$373)*MIN(F$3-$O$2,$Q$2)/$Q$2))</f>
        <v>5879.68146649184</v>
      </c>
      <c r="G398" s="15" t="n">
        <f aca="false">F398*(1+IF(G$3&lt;=$O$2,$D398,$D398-($D398-$I$373)*MIN(G$3-$O$2,$Q$2)/$Q$2))</f>
        <v>6440.6938793861</v>
      </c>
      <c r="H398" s="15" t="n">
        <f aca="false">G398*(1+IF(H$3&lt;=$O$2,$D398,$D398-($D398-$I$373)*MIN(H$3-$O$2,$Q$2)/$Q$2))</f>
        <v>7055.23554028726</v>
      </c>
      <c r="I398" s="15" t="n">
        <f aca="false">H398*(1+IF(I$3&lt;=$O$2,$D398,$D398-($D398-$I$373)*MIN(I$3-$O$2,$Q$2)/$Q$2))</f>
        <v>7728.41396611711</v>
      </c>
      <c r="J398" s="15" t="n">
        <f aca="false">I398*(1+IF(J$3&lt;=$O$2,$D398,$D398-($D398-$I$373)*MIN(J$3-$O$2,$Q$2)/$Q$2))</f>
        <v>8362.0848241021</v>
      </c>
      <c r="K398" s="15" t="n">
        <f aca="false">J398*(1+IF(K$3&lt;=$O$2,$D398,$D398-($D398-$I$373)*MIN(K$3-$O$2,$Q$2)/$Q$2))</f>
        <v>8935.4668419612</v>
      </c>
      <c r="L398" s="15" t="n">
        <f aca="false">K398*(1+IF(L$3&lt;=$O$2,$D398,$D398-($D398-$I$373)*MIN(L$3-$O$2,$Q$2)/$Q$2))</f>
        <v>9428.22368044319</v>
      </c>
      <c r="M398" s="15" t="n">
        <f aca="false">L398*(1+IF(M$3&lt;=$O$2,$D398,$D398-($D398-$I$373)*MIN(M$3-$O$2,$Q$2)/$Q$2))</f>
        <v>9821.59829274611</v>
      </c>
      <c r="N398" s="15" t="n">
        <f aca="false">M398*(1+IF(N$3&lt;=$O$2,$D398,$D398-($D398-$I$373)*MIN(N$3-$O$2,$Q$2)/$Q$2))</f>
        <v>10099.5495244308</v>
      </c>
      <c r="O398" s="15" t="n">
        <f aca="false">SUMPRODUCT(E398:N398,1/(1+$F$373)^$E$3:$N$3)*$E$2</f>
        <v>7568.63103477193</v>
      </c>
      <c r="P398" s="15" t="n">
        <f aca="false">N398*$E$2*(1+$I$373)/($F$373-$I$373)/(1+$F$373)^$N$3</f>
        <v>10081.8608118628</v>
      </c>
      <c r="Q398" s="15" t="n">
        <f aca="false">O398+P398</f>
        <v>17650.4918466347</v>
      </c>
      <c r="R398" s="15" t="n">
        <f aca="false">Q398-$G$2+$I$2</f>
        <v>12829.9918466347</v>
      </c>
      <c r="S398" s="42" t="n">
        <f aca="false">R398/$K$2</f>
        <v>66.9623791578013</v>
      </c>
      <c r="T398" s="43" t="n">
        <f aca="false">S398-$M$2</f>
        <v>-4.25540985418138E-005</v>
      </c>
    </row>
    <row r="400" customFormat="false" ht="15" hidden="false" customHeight="false" outlineLevel="0" collapsed="false">
      <c r="A400" s="38" t="s">
        <v>186</v>
      </c>
      <c r="E400" s="5" t="s">
        <v>11</v>
      </c>
      <c r="F400" s="12" t="n">
        <f aca="false">Sensitivity!$B$12</f>
        <v>0.0950848977416375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153</v>
      </c>
      <c r="B401" s="28" t="s">
        <v>154</v>
      </c>
      <c r="C401" s="28" t="s">
        <v>155</v>
      </c>
      <c r="D401" s="28" t="s">
        <v>156</v>
      </c>
      <c r="E401" s="28" t="s">
        <v>157</v>
      </c>
      <c r="F401" s="28" t="s">
        <v>158</v>
      </c>
      <c r="G401" s="28" t="s">
        <v>159</v>
      </c>
      <c r="H401" s="28" t="s">
        <v>160</v>
      </c>
      <c r="I401" s="28" t="s">
        <v>161</v>
      </c>
      <c r="J401" s="28" t="s">
        <v>162</v>
      </c>
      <c r="K401" s="28" t="s">
        <v>163</v>
      </c>
      <c r="L401" s="28" t="s">
        <v>164</v>
      </c>
      <c r="M401" s="28" t="s">
        <v>165</v>
      </c>
      <c r="N401" s="28" t="s">
        <v>166</v>
      </c>
      <c r="O401" s="28" t="s">
        <v>167</v>
      </c>
      <c r="P401" s="28" t="s">
        <v>168</v>
      </c>
      <c r="Q401" s="28" t="s">
        <v>169</v>
      </c>
      <c r="R401" s="28" t="s">
        <v>170</v>
      </c>
      <c r="S401" s="28" t="s">
        <v>171</v>
      </c>
      <c r="T401" s="28" t="s">
        <v>172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6125</v>
      </c>
      <c r="F402" s="15" t="n">
        <f aca="false">E402*(1+IF(F$3&lt;=$O$2,$D402,$D402-($D402-$I$400)*MIN(F$3-$O$2,$Q$2)/$Q$2))</f>
        <v>7656.25</v>
      </c>
      <c r="G402" s="15" t="n">
        <f aca="false">F402*(1+IF(G$3&lt;=$O$2,$D402,$D402-($D402-$I$400)*MIN(G$3-$O$2,$Q$2)/$Q$2))</f>
        <v>9570.3125</v>
      </c>
      <c r="H402" s="15" t="n">
        <f aca="false">G402*(1+IF(H$3&lt;=$O$2,$D402,$D402-($D402-$I$400)*MIN(H$3-$O$2,$Q$2)/$Q$2))</f>
        <v>11962.890625</v>
      </c>
      <c r="I402" s="15" t="n">
        <f aca="false">H402*(1+IF(I$3&lt;=$O$2,$D402,$D402-($D402-$I$400)*MIN(I$3-$O$2,$Q$2)/$Q$2))</f>
        <v>14953.61328125</v>
      </c>
      <c r="J402" s="15" t="n">
        <f aca="false">I402*(1+IF(J$3&lt;=$O$2,$D402,$D402-($D402-$I$400)*MIN(J$3-$O$2,$Q$2)/$Q$2))</f>
        <v>18043.9270019531</v>
      </c>
      <c r="K402" s="15" t="n">
        <f aca="false">J402*(1+IF(K$3&lt;=$O$2,$D402,$D402-($D402-$I$400)*MIN(K$3-$O$2,$Q$2)/$Q$2))</f>
        <v>20990.8611599121</v>
      </c>
      <c r="L402" s="15" t="n">
        <f aca="false">K402*(1+IF(L$3&lt;=$O$2,$D402,$D402-($D402-$I$400)*MIN(L$3-$O$2,$Q$2)/$Q$2))</f>
        <v>23509.3446818784</v>
      </c>
      <c r="M402" s="15" t="n">
        <f aca="false">L402*(1+IF(M$3&lt;=$O$2,$D402,$D402-($D402-$I$400)*MIN(M$3-$O$2,$Q$2)/$Q$2))</f>
        <v>25311.1008582975</v>
      </c>
      <c r="N402" s="15" t="n">
        <f aca="false">M402*(1+IF(N$3&lt;=$O$2,$D402,$D402-($D402-$I$400)*MIN(N$3-$O$2,$Q$2)/$Q$2))</f>
        <v>26153.9605168788</v>
      </c>
      <c r="O402" s="15" t="n">
        <f aca="false">SUMPRODUCT(E402:N402,1/(1+$F$400)^$E$3:$N$3)*$E$2</f>
        <v>14752.1855255089</v>
      </c>
      <c r="P402" s="15" t="n">
        <f aca="false">N402*$E$2*(1+$I$400)/($F$400-$I$400)/(1+$F$400)^$N$3</f>
        <v>28358.201539398</v>
      </c>
      <c r="Q402" s="15" t="n">
        <f aca="false">O402+P402</f>
        <v>43110.3870649069</v>
      </c>
      <c r="R402" s="15" t="n">
        <f aca="false">Q402-$G$2+$I$2</f>
        <v>38289.8870649069</v>
      </c>
      <c r="S402" s="42" t="n">
        <f aca="false">R402/$K$2</f>
        <v>199.84283436799</v>
      </c>
      <c r="T402" s="43" t="n">
        <f aca="false">S402-$M$2</f>
        <v>132.88041265609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4287.5</v>
      </c>
      <c r="F403" s="15" t="n">
        <f aca="false">E403*(1+IF(F$3&lt;=$O$2,$D403,$D403-($D403-$I$400)*MIN(F$3-$O$2,$Q$2)/$Q$2))</f>
        <v>3751.5625</v>
      </c>
      <c r="G403" s="15" t="n">
        <f aca="false">F403*(1+IF(G$3&lt;=$O$2,$D403,$D403-($D403-$I$400)*MIN(G$3-$O$2,$Q$2)/$Q$2))</f>
        <v>3282.6171875</v>
      </c>
      <c r="H403" s="15" t="n">
        <f aca="false">G403*(1+IF(H$3&lt;=$O$2,$D403,$D403-($D403-$I$400)*MIN(H$3-$O$2,$Q$2)/$Q$2))</f>
        <v>2872.2900390625</v>
      </c>
      <c r="I403" s="15" t="n">
        <f aca="false">H403*(1+IF(I$3&lt;=$O$2,$D403,$D403-($D403-$I$400)*MIN(I$3-$O$2,$Q$2)/$Q$2))</f>
        <v>2513.25378417969</v>
      </c>
      <c r="J403" s="15" t="n">
        <f aca="false">I403*(1+IF(J$3&lt;=$O$2,$D403,$D403-($D403-$I$400)*MIN(J$3-$O$2,$Q$2)/$Q$2))</f>
        <v>2278.66667596436</v>
      </c>
      <c r="K403" s="15" t="n">
        <f aca="false">J403*(1+IF(K$3&lt;=$O$2,$D403,$D403-($D403-$I$400)*MIN(K$3-$O$2,$Q$2)/$Q$2))</f>
        <v>2138.11851539087</v>
      </c>
      <c r="L403" s="15" t="n">
        <f aca="false">K403*(1+IF(L$3&lt;=$O$2,$D403,$D403-($D403-$I$400)*MIN(L$3-$O$2,$Q$2)/$Q$2))</f>
        <v>2073.93219755884</v>
      </c>
      <c r="M403" s="15" t="n">
        <f aca="false">L403*(1+IF(M$3&lt;=$O$2,$D403,$D403-($D403-$I$400)*MIN(M$3-$O$2,$Q$2)/$Q$2))</f>
        <v>2077.33344636284</v>
      </c>
      <c r="N403" s="15" t="n">
        <f aca="false">M403*(1+IF(N$3&lt;=$O$2,$D403,$D403-($D403-$I$400)*MIN(N$3-$O$2,$Q$2)/$Q$2))</f>
        <v>2146.50865012672</v>
      </c>
      <c r="O403" s="15" t="n">
        <f aca="false">SUMPRODUCT(E403:N403,1/(1+$F$400)^$E$3:$N$3)*$E$2</f>
        <v>2954.66755038415</v>
      </c>
      <c r="P403" s="15" t="n">
        <f aca="false">N403*$E$2*(1+$I$400)/($F$400-$I$400)/(1+$F$400)^$N$3</f>
        <v>2327.41518696836</v>
      </c>
      <c r="Q403" s="15" t="n">
        <f aca="false">O403+P403</f>
        <v>5282.08273735251</v>
      </c>
      <c r="R403" s="15" t="n">
        <f aca="false">Q403-$G$2+$I$2</f>
        <v>461.582737352509</v>
      </c>
      <c r="S403" s="42" t="n">
        <f aca="false">R403/$K$2</f>
        <v>2.40909570643272</v>
      </c>
      <c r="T403" s="43" t="n">
        <f aca="false">S403-$M$2</f>
        <v>-64.5533260054671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5206.25</v>
      </c>
      <c r="F404" s="15" t="n">
        <f aca="false">E404*(1+IF(F$3&lt;=$O$2,$D404,$D404-($D404-$I$400)*MIN(F$3-$O$2,$Q$2)/$Q$2))</f>
        <v>5531.640625</v>
      </c>
      <c r="G404" s="15" t="n">
        <f aca="false">F404*(1+IF(G$3&lt;=$O$2,$D404,$D404-($D404-$I$400)*MIN(G$3-$O$2,$Q$2)/$Q$2))</f>
        <v>5877.3681640625</v>
      </c>
      <c r="H404" s="15" t="n">
        <f aca="false">G404*(1+IF(H$3&lt;=$O$2,$D404,$D404-($D404-$I$400)*MIN(H$3-$O$2,$Q$2)/$Q$2))</f>
        <v>6244.70367431641</v>
      </c>
      <c r="I404" s="15" t="n">
        <f aca="false">H404*(1+IF(I$3&lt;=$O$2,$D404,$D404-($D404-$I$400)*MIN(I$3-$O$2,$Q$2)/$Q$2))</f>
        <v>6634.99765396118</v>
      </c>
      <c r="J404" s="15" t="n">
        <f aca="false">I404*(1+IF(J$3&lt;=$O$2,$D404,$D404-($D404-$I$400)*MIN(J$3-$O$2,$Q$2)/$Q$2))</f>
        <v>7010.93662103462</v>
      </c>
      <c r="K404" s="15" t="n">
        <f aca="false">J404*(1+IF(K$3&lt;=$O$2,$D404,$D404-($D404-$I$400)*MIN(K$3-$O$2,$Q$2)/$Q$2))</f>
        <v>7367.2324201156</v>
      </c>
      <c r="L404" s="15" t="n">
        <f aca="false">K404*(1+IF(L$3&lt;=$O$2,$D404,$D404-($D404-$I$400)*MIN(L$3-$O$2,$Q$2)/$Q$2))</f>
        <v>7698.6105343724</v>
      </c>
      <c r="M404" s="15" t="n">
        <f aca="false">L404*(1+IF(M$3&lt;=$O$2,$D404,$D404-($D404-$I$400)*MIN(M$3-$O$2,$Q$2)/$Q$2))</f>
        <v>7999.93415068774</v>
      </c>
      <c r="N404" s="15" t="n">
        <f aca="false">M404*(1+IF(N$3&lt;=$O$2,$D404,$D404-($D404-$I$400)*MIN(N$3-$O$2,$Q$2)/$Q$2))</f>
        <v>8266.33195790564</v>
      </c>
      <c r="O404" s="15" t="n">
        <f aca="false">SUMPRODUCT(E404:N404,1/(1+$F$400)^$E$3:$N$3)*$E$2</f>
        <v>6584.87913506103</v>
      </c>
      <c r="P404" s="15" t="n">
        <f aca="false">N404*$E$2*(1+$I$400)/($F$400-$I$400)/(1+$F$400)^$N$3</f>
        <v>8963.01374709842</v>
      </c>
      <c r="Q404" s="15" t="n">
        <f aca="false">O404+P404</f>
        <v>15547.8928821594</v>
      </c>
      <c r="R404" s="15" t="n">
        <f aca="false">Q404-$G$2+$I$2</f>
        <v>10727.3928821594</v>
      </c>
      <c r="S404" s="42" t="n">
        <f aca="false">R404/$K$2</f>
        <v>55.9884805958218</v>
      </c>
      <c r="T404" s="43" t="n">
        <f aca="false">S404-$M$2</f>
        <v>-10.973941116078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0.0625</v>
      </c>
      <c r="C405" s="25" t="n">
        <f aca="false">IF(T404&gt;0,D404,C404)</f>
        <v>0.25</v>
      </c>
      <c r="D405" s="41" t="n">
        <f aca="false">(B405+C405)/2</f>
        <v>0.15625</v>
      </c>
      <c r="E405" s="15" t="n">
        <f aca="false">$C$2*(1+IF(E$3&lt;=$O$2,$D405,$D405-($D405-$I$400)*MIN(E$3-$O$2,$Q$2)/$Q$2))</f>
        <v>5665.625</v>
      </c>
      <c r="F405" s="15" t="n">
        <f aca="false">E405*(1+IF(F$3&lt;=$O$2,$D405,$D405-($D405-$I$400)*MIN(F$3-$O$2,$Q$2)/$Q$2))</f>
        <v>6550.87890625</v>
      </c>
      <c r="G405" s="15" t="n">
        <f aca="false">F405*(1+IF(G$3&lt;=$O$2,$D405,$D405-($D405-$I$400)*MIN(G$3-$O$2,$Q$2)/$Q$2))</f>
        <v>7574.45373535156</v>
      </c>
      <c r="H405" s="15" t="n">
        <f aca="false">G405*(1+IF(H$3&lt;=$O$2,$D405,$D405-($D405-$I$400)*MIN(H$3-$O$2,$Q$2)/$Q$2))</f>
        <v>8757.96213150024</v>
      </c>
      <c r="I405" s="15" t="n">
        <f aca="false">H405*(1+IF(I$3&lt;=$O$2,$D405,$D405-($D405-$I$400)*MIN(I$3-$O$2,$Q$2)/$Q$2))</f>
        <v>10126.3937145472</v>
      </c>
      <c r="J405" s="15" t="n">
        <f aca="false">I405*(1+IF(J$3&lt;=$O$2,$D405,$D405-($D405-$I$400)*MIN(J$3-$O$2,$Q$2)/$Q$2))</f>
        <v>11459.6347110044</v>
      </c>
      <c r="K405" s="15" t="n">
        <f aca="false">J405*(1+IF(K$3&lt;=$O$2,$D405,$D405-($D405-$I$400)*MIN(K$3-$O$2,$Q$2)/$Q$2))</f>
        <v>12686.6177995117</v>
      </c>
      <c r="L405" s="15" t="n">
        <f aca="false">K405*(1+IF(L$3&lt;=$O$2,$D405,$D405-($D405-$I$400)*MIN(L$3-$O$2,$Q$2)/$Q$2))</f>
        <v>13733.0100356154</v>
      </c>
      <c r="M405" s="15" t="n">
        <f aca="false">L405*(1+IF(M$3&lt;=$O$2,$D405,$D405-($D405-$I$400)*MIN(M$3-$O$2,$Q$2)/$Q$2))</f>
        <v>14528.0139865772</v>
      </c>
      <c r="N405" s="15" t="n">
        <f aca="false">M405*(1+IF(N$3&lt;=$O$2,$D405,$D405-($D405-$I$400)*MIN(N$3-$O$2,$Q$2)/$Q$2))</f>
        <v>15011.7968523302</v>
      </c>
      <c r="O405" s="15" t="n">
        <f aca="false">SUMPRODUCT(E405:N405,1/(1+$F$400)^$E$3:$N$3)*$E$2</f>
        <v>9871.93827602506</v>
      </c>
      <c r="P405" s="15" t="n">
        <f aca="false">N405*$E$2*(1+$I$400)/($F$400-$I$400)/(1+$F$400)^$N$3</f>
        <v>16276.98261348</v>
      </c>
      <c r="Q405" s="15" t="n">
        <f aca="false">O405+P405</f>
        <v>26148.9208895051</v>
      </c>
      <c r="R405" s="15" t="n">
        <f aca="false">Q405-$G$2+$I$2</f>
        <v>21328.4208895051</v>
      </c>
      <c r="S405" s="42" t="n">
        <f aca="false">R405/$K$2</f>
        <v>111.317436792824</v>
      </c>
      <c r="T405" s="43" t="n">
        <f aca="false">S405-$M$2</f>
        <v>44.3550150809242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0.0625</v>
      </c>
      <c r="C406" s="25" t="n">
        <f aca="false">IF(T405&gt;0,D405,C405)</f>
        <v>0.15625</v>
      </c>
      <c r="D406" s="41" t="n">
        <f aca="false">(B406+C406)/2</f>
        <v>0.109375</v>
      </c>
      <c r="E406" s="15" t="n">
        <f aca="false">$C$2*(1+IF(E$3&lt;=$O$2,$D406,$D406-($D406-$I$400)*MIN(E$3-$O$2,$Q$2)/$Q$2))</f>
        <v>5435.9375</v>
      </c>
      <c r="F406" s="15" t="n">
        <f aca="false">E406*(1+IF(F$3&lt;=$O$2,$D406,$D406-($D406-$I$400)*MIN(F$3-$O$2,$Q$2)/$Q$2))</f>
        <v>6030.4931640625</v>
      </c>
      <c r="G406" s="15" t="n">
        <f aca="false">F406*(1+IF(G$3&lt;=$O$2,$D406,$D406-($D406-$I$400)*MIN(G$3-$O$2,$Q$2)/$Q$2))</f>
        <v>6690.07835388184</v>
      </c>
      <c r="H406" s="15" t="n">
        <f aca="false">G406*(1+IF(H$3&lt;=$O$2,$D406,$D406-($D406-$I$400)*MIN(H$3-$O$2,$Q$2)/$Q$2))</f>
        <v>7421.80567383766</v>
      </c>
      <c r="I406" s="15" t="n">
        <f aca="false">H406*(1+IF(I$3&lt;=$O$2,$D406,$D406-($D406-$I$400)*MIN(I$3-$O$2,$Q$2)/$Q$2))</f>
        <v>8233.56566941366</v>
      </c>
      <c r="J406" s="15" t="n">
        <f aca="false">I406*(1+IF(J$3&lt;=$O$2,$D406,$D406-($D406-$I$400)*MIN(J$3-$O$2,$Q$2)/$Q$2))</f>
        <v>9008.83821284565</v>
      </c>
      <c r="K406" s="15" t="n">
        <f aca="false">J406*(1+IF(K$3&lt;=$O$2,$D406,$D406-($D406-$I$400)*MIN(K$3-$O$2,$Q$2)/$Q$2))</f>
        <v>9720.04094555875</v>
      </c>
      <c r="L406" s="15" t="n">
        <f aca="false">K406*(1+IF(L$3&lt;=$O$2,$D406,$D406-($D406-$I$400)*MIN(L$3-$O$2,$Q$2)/$Q$2))</f>
        <v>10339.4991550192</v>
      </c>
      <c r="M406" s="15" t="n">
        <f aca="false">L406*(1+IF(M$3&lt;=$O$2,$D406,$D406-($D406-$I$400)*MIN(M$3-$O$2,$Q$2)/$Q$2))</f>
        <v>10841.119956525</v>
      </c>
      <c r="N406" s="15" t="n">
        <f aca="false">M406*(1+IF(N$3&lt;=$O$2,$D406,$D406-($D406-$I$400)*MIN(N$3-$O$2,$Q$2)/$Q$2))</f>
        <v>11202.1292510772</v>
      </c>
      <c r="O406" s="15" t="n">
        <f aca="false">SUMPRODUCT(E406:N406,1/(1+$F$400)^$E$3:$N$3)*$E$2</f>
        <v>8063.81422591791</v>
      </c>
      <c r="P406" s="15" t="n">
        <f aca="false">N406*$E$2*(1+$I$400)/($F$400-$I$400)/(1+$F$400)^$N$3</f>
        <v>12146.238378215</v>
      </c>
      <c r="Q406" s="15" t="n">
        <f aca="false">O406+P406</f>
        <v>20210.0526041329</v>
      </c>
      <c r="R406" s="15" t="n">
        <f aca="false">Q406-$G$2+$I$2</f>
        <v>15389.5526041329</v>
      </c>
      <c r="S406" s="42" t="n">
        <f aca="false">R406/$K$2</f>
        <v>80.3212557626979</v>
      </c>
      <c r="T406" s="43" t="n">
        <f aca="false">S406-$M$2</f>
        <v>13.3588340507981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0.0625</v>
      </c>
      <c r="C407" s="25" t="n">
        <f aca="false">IF(T406&gt;0,D406,C406)</f>
        <v>0.109375</v>
      </c>
      <c r="D407" s="41" t="n">
        <f aca="false">(B407+C407)/2</f>
        <v>0.0859375</v>
      </c>
      <c r="E407" s="15" t="n">
        <f aca="false">$C$2*(1+IF(E$3&lt;=$O$2,$D407,$D407-($D407-$I$400)*MIN(E$3-$O$2,$Q$2)/$Q$2))</f>
        <v>5321.09375</v>
      </c>
      <c r="F407" s="15" t="n">
        <f aca="false">E407*(1+IF(F$3&lt;=$O$2,$D407,$D407-($D407-$I$400)*MIN(F$3-$O$2,$Q$2)/$Q$2))</f>
        <v>5778.37524414063</v>
      </c>
      <c r="G407" s="15" t="n">
        <f aca="false">F407*(1+IF(G$3&lt;=$O$2,$D407,$D407-($D407-$I$400)*MIN(G$3-$O$2,$Q$2)/$Q$2))</f>
        <v>6274.95436668396</v>
      </c>
      <c r="H407" s="15" t="n">
        <f aca="false">G407*(1+IF(H$3&lt;=$O$2,$D407,$D407-($D407-$I$400)*MIN(H$3-$O$2,$Q$2)/$Q$2))</f>
        <v>6814.20825757086</v>
      </c>
      <c r="I407" s="15" t="n">
        <f aca="false">H407*(1+IF(I$3&lt;=$O$2,$D407,$D407-($D407-$I$400)*MIN(I$3-$O$2,$Q$2)/$Q$2))</f>
        <v>7399.80427970586</v>
      </c>
      <c r="J407" s="15" t="n">
        <f aca="false">I407*(1+IF(J$3&lt;=$O$2,$D407,$D407-($D407-$I$400)*MIN(J$3-$O$2,$Q$2)/$Q$2))</f>
        <v>7957.82352043848</v>
      </c>
      <c r="K407" s="15" t="n">
        <f aca="false">J407*(1+IF(K$3&lt;=$O$2,$D407,$D407-($D407-$I$400)*MIN(K$3-$O$2,$Q$2)/$Q$2))</f>
        <v>8474.14700500333</v>
      </c>
      <c r="L407" s="15" t="n">
        <f aca="false">K407*(1+IF(L$3&lt;=$O$2,$D407,$D407-($D407-$I$400)*MIN(L$3-$O$2,$Q$2)/$Q$2))</f>
        <v>8934.75926546028</v>
      </c>
      <c r="M407" s="15" t="n">
        <f aca="false">L407*(1+IF(M$3&lt;=$O$2,$D407,$D407-($D407-$I$400)*MIN(M$3-$O$2,$Q$2)/$Q$2))</f>
        <v>9326.34742716724</v>
      </c>
      <c r="N407" s="15" t="n">
        <f aca="false">M407*(1+IF(N$3&lt;=$O$2,$D407,$D407-($D407-$I$400)*MIN(N$3-$O$2,$Q$2)/$Q$2))</f>
        <v>9636.91479649191</v>
      </c>
      <c r="O407" s="15" t="n">
        <f aca="false">SUMPRODUCT(E407:N407,1/(1+$F$400)^$E$3:$N$3)*$E$2</f>
        <v>7286.94183934359</v>
      </c>
      <c r="P407" s="15" t="n">
        <f aca="false">N407*$E$2*(1+$I$400)/($F$400-$I$400)/(1+$F$400)^$N$3</f>
        <v>10449.1085333158</v>
      </c>
      <c r="Q407" s="15" t="n">
        <f aca="false">O407+P407</f>
        <v>17736.0503726594</v>
      </c>
      <c r="R407" s="15" t="n">
        <f aca="false">Q407-$G$2+$I$2</f>
        <v>12915.5503726594</v>
      </c>
      <c r="S407" s="42" t="n">
        <f aca="false">R407/$K$2</f>
        <v>67.4089267884103</v>
      </c>
      <c r="T407" s="43" t="n">
        <f aca="false">S407-$M$2</f>
        <v>0.446505076510533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0.0625</v>
      </c>
      <c r="C408" s="25" t="n">
        <f aca="false">IF(T407&gt;0,D407,C407)</f>
        <v>0.0859375</v>
      </c>
      <c r="D408" s="41" t="n">
        <f aca="false">(B408+C408)/2</f>
        <v>0.07421875</v>
      </c>
      <c r="E408" s="15" t="n">
        <f aca="false">$C$2*(1+IF(E$3&lt;=$O$2,$D408,$D408-($D408-$I$400)*MIN(E$3-$O$2,$Q$2)/$Q$2))</f>
        <v>5263.671875</v>
      </c>
      <c r="F408" s="15" t="n">
        <f aca="false">E408*(1+IF(F$3&lt;=$O$2,$D408,$D408-($D408-$I$400)*MIN(F$3-$O$2,$Q$2)/$Q$2))</f>
        <v>5654.33502197266</v>
      </c>
      <c r="G408" s="15" t="n">
        <f aca="false">F408*(1+IF(G$3&lt;=$O$2,$D408,$D408-($D408-$I$400)*MIN(G$3-$O$2,$Q$2)/$Q$2))</f>
        <v>6073.99269938469</v>
      </c>
      <c r="H408" s="15" t="n">
        <f aca="false">G408*(1+IF(H$3&lt;=$O$2,$D408,$D408-($D408-$I$400)*MIN(H$3-$O$2,$Q$2)/$Q$2))</f>
        <v>6524.79684504215</v>
      </c>
      <c r="I408" s="15" t="n">
        <f aca="false">H408*(1+IF(I$3&lt;=$O$2,$D408,$D408-($D408-$I$400)*MIN(I$3-$O$2,$Q$2)/$Q$2))</f>
        <v>7009.05911088512</v>
      </c>
      <c r="J408" s="15" t="n">
        <f aca="false">I408*(1+IF(J$3&lt;=$O$2,$D408,$D408-($D408-$I$400)*MIN(J$3-$O$2,$Q$2)/$Q$2))</f>
        <v>7471.90232927242</v>
      </c>
      <c r="K408" s="15" t="n">
        <f aca="false">J408*(1+IF(K$3&lt;=$O$2,$D408,$D408-($D408-$I$400)*MIN(K$3-$O$2,$Q$2)/$Q$2))</f>
        <v>7904.16121889874</v>
      </c>
      <c r="L408" s="15" t="n">
        <f aca="false">K408*(1+IF(L$3&lt;=$O$2,$D408,$D408-($D408-$I$400)*MIN(L$3-$O$2,$Q$2)/$Q$2))</f>
        <v>8296.74114623839</v>
      </c>
      <c r="M408" s="15" t="n">
        <f aca="false">L408*(1+IF(M$3&lt;=$O$2,$D408,$D408-($D408-$I$400)*MIN(M$3-$O$2,$Q$2)/$Q$2))</f>
        <v>8640.92108176366</v>
      </c>
      <c r="N408" s="15" t="n">
        <f aca="false">M408*(1+IF(N$3&lt;=$O$2,$D408,$D408-($D408-$I$400)*MIN(N$3-$O$2,$Q$2)/$Q$2))</f>
        <v>8928.66375378639</v>
      </c>
      <c r="O408" s="15" t="n">
        <f aca="false">SUMPRODUCT(E408:N408,1/(1+$F$400)^$E$3:$N$3)*$E$2</f>
        <v>6926.9947318604</v>
      </c>
      <c r="P408" s="15" t="n">
        <f aca="false">N408*$E$2*(1+$I$400)/($F$400-$I$400)/(1+$F$400)^$N$3</f>
        <v>9681.16649269946</v>
      </c>
      <c r="Q408" s="15" t="n">
        <f aca="false">O408+P408</f>
        <v>16608.1612245599</v>
      </c>
      <c r="R408" s="15" t="n">
        <f aca="false">Q408-$G$2+$I$2</f>
        <v>11787.6612245599</v>
      </c>
      <c r="S408" s="42" t="n">
        <f aca="false">R408/$K$2</f>
        <v>61.5222402116903</v>
      </c>
      <c r="T408" s="43" t="n">
        <f aca="false">S408-$M$2</f>
        <v>-5.44018150020953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0.07421875</v>
      </c>
      <c r="C409" s="25" t="n">
        <f aca="false">IF(T408&gt;0,D408,C408)</f>
        <v>0.0859375</v>
      </c>
      <c r="D409" s="41" t="n">
        <f aca="false">(B409+C409)/2</f>
        <v>0.080078125</v>
      </c>
      <c r="E409" s="15" t="n">
        <f aca="false">$C$2*(1+IF(E$3&lt;=$O$2,$D409,$D409-($D409-$I$400)*MIN(E$3-$O$2,$Q$2)/$Q$2))</f>
        <v>5292.3828125</v>
      </c>
      <c r="F409" s="15" t="n">
        <f aca="false">E409*(1+IF(F$3&lt;=$O$2,$D409,$D409-($D409-$I$400)*MIN(F$3-$O$2,$Q$2)/$Q$2))</f>
        <v>5716.18690490723</v>
      </c>
      <c r="G409" s="15" t="n">
        <f aca="false">F409*(1+IF(G$3&lt;=$O$2,$D409,$D409-($D409-$I$400)*MIN(G$3-$O$2,$Q$2)/$Q$2))</f>
        <v>6173.92843440175</v>
      </c>
      <c r="H409" s="15" t="n">
        <f aca="false">G409*(1+IF(H$3&lt;=$O$2,$D409,$D409-($D409-$I$400)*MIN(H$3-$O$2,$Q$2)/$Q$2))</f>
        <v>6668.32504731283</v>
      </c>
      <c r="I409" s="15" t="n">
        <f aca="false">H409*(1+IF(I$3&lt;=$O$2,$D409,$D409-($D409-$I$400)*MIN(I$3-$O$2,$Q$2)/$Q$2))</f>
        <v>7202.31201399218</v>
      </c>
      <c r="J409" s="15" t="n">
        <f aca="false">I409*(1+IF(J$3&lt;=$O$2,$D409,$D409-($D409-$I$400)*MIN(J$3-$O$2,$Q$2)/$Q$2))</f>
        <v>7711.67752540174</v>
      </c>
      <c r="K409" s="15" t="n">
        <f aca="false">J409*(1+IF(K$3&lt;=$O$2,$D409,$D409-($D409-$I$400)*MIN(K$3-$O$2,$Q$2)/$Q$2))</f>
        <v>8184.91907614338</v>
      </c>
      <c r="L409" s="15" t="n">
        <f aca="false">K409*(1+IF(L$3&lt;=$O$2,$D409,$D409-($D409-$I$400)*MIN(L$3-$O$2,$Q$2)/$Q$2))</f>
        <v>8610.62694844244</v>
      </c>
      <c r="M409" s="15" t="n">
        <f aca="false">L409*(1+IF(M$3&lt;=$O$2,$D409,$D409-($D409-$I$400)*MIN(M$3-$O$2,$Q$2)/$Q$2))</f>
        <v>8977.91862257009</v>
      </c>
      <c r="N409" s="15" t="n">
        <f aca="false">M409*(1+IF(N$3&lt;=$O$2,$D409,$D409-($D409-$I$400)*MIN(N$3-$O$2,$Q$2)/$Q$2))</f>
        <v>9276.88331270168</v>
      </c>
      <c r="O409" s="15" t="n">
        <f aca="false">SUMPRODUCT(E409:N409,1/(1+$F$400)^$E$3:$N$3)*$E$2</f>
        <v>7104.686303926</v>
      </c>
      <c r="P409" s="15" t="n">
        <f aca="false">N409*$E$2*(1+$I$400)/($F$400-$I$400)/(1+$F$400)^$N$3</f>
        <v>10058.7337993912</v>
      </c>
      <c r="Q409" s="15" t="n">
        <f aca="false">O409+P409</f>
        <v>17163.4201033172</v>
      </c>
      <c r="R409" s="15" t="n">
        <f aca="false">Q409-$G$2+$I$2</f>
        <v>12342.9201033172</v>
      </c>
      <c r="S409" s="42" t="n">
        <f aca="false">R409/$K$2</f>
        <v>64.4202510611544</v>
      </c>
      <c r="T409" s="43" t="n">
        <f aca="false">S409-$M$2</f>
        <v>-2.54217065074536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0.080078125</v>
      </c>
      <c r="C410" s="25" t="n">
        <f aca="false">IF(T409&gt;0,D409,C409)</f>
        <v>0.0859375</v>
      </c>
      <c r="D410" s="41" t="n">
        <f aca="false">(B410+C410)/2</f>
        <v>0.0830078125</v>
      </c>
      <c r="E410" s="15" t="n">
        <f aca="false">$C$2*(1+IF(E$3&lt;=$O$2,$D410,$D410-($D410-$I$400)*MIN(E$3-$O$2,$Q$2)/$Q$2))</f>
        <v>5306.73828125</v>
      </c>
      <c r="F410" s="15" t="n">
        <f aca="false">E410*(1+IF(F$3&lt;=$O$2,$D410,$D410-($D410-$I$400)*MIN(F$3-$O$2,$Q$2)/$Q$2))</f>
        <v>5747.23901748657</v>
      </c>
      <c r="G410" s="15" t="n">
        <f aca="false">F410*(1+IF(G$3&lt;=$O$2,$D410,$D410-($D410-$I$400)*MIN(G$3-$O$2,$Q$2)/$Q$2))</f>
        <v>6224.30475624278</v>
      </c>
      <c r="H410" s="15" t="n">
        <f aca="false">G410*(1+IF(H$3&lt;=$O$2,$D410,$D410-($D410-$I$400)*MIN(H$3-$O$2,$Q$2)/$Q$2))</f>
        <v>6740.97067839184</v>
      </c>
      <c r="I410" s="15" t="n">
        <f aca="false">H410*(1+IF(I$3&lt;=$O$2,$D410,$D410-($D410-$I$400)*MIN(I$3-$O$2,$Q$2)/$Q$2))</f>
        <v>7300.52390853179</v>
      </c>
      <c r="J410" s="15" t="n">
        <f aca="false">I410*(1+IF(J$3&lt;=$O$2,$D410,$D410-($D410-$I$400)*MIN(J$3-$O$2,$Q$2)/$Q$2))</f>
        <v>7833.94581356355</v>
      </c>
      <c r="K410" s="15" t="n">
        <f aca="false">J410*(1+IF(K$3&lt;=$O$2,$D410,$D410-($D410-$I$400)*MIN(K$3-$O$2,$Q$2)/$Q$2))</f>
        <v>8328.46119493668</v>
      </c>
      <c r="L410" s="15" t="n">
        <f aca="false">K410*(1+IF(L$3&lt;=$O$2,$D410,$D410-($D410-$I$400)*MIN(L$3-$O$2,$Q$2)/$Q$2))</f>
        <v>8771.39478772465</v>
      </c>
      <c r="M410" s="15" t="n">
        <f aca="false">L410*(1+IF(M$3&lt;=$O$2,$D410,$D410-($D410-$I$400)*MIN(M$3-$O$2,$Q$2)/$Q$2))</f>
        <v>9150.68360365022</v>
      </c>
      <c r="N410" s="15" t="n">
        <f aca="false">M410*(1+IF(N$3&lt;=$O$2,$D410,$D410-($D410-$I$400)*MIN(N$3-$O$2,$Q$2)/$Q$2))</f>
        <v>9455.40136765177</v>
      </c>
      <c r="O410" s="15" t="n">
        <f aca="false">SUMPRODUCT(E410:N410,1/(1+$F$400)^$E$3:$N$3)*$E$2</f>
        <v>7195.2368261667</v>
      </c>
      <c r="P410" s="15" t="n">
        <f aca="false">N410*$E$2*(1+$I$400)/($F$400-$I$400)/(1+$F$400)^$N$3</f>
        <v>10252.2972551985</v>
      </c>
      <c r="Q410" s="15" t="n">
        <f aca="false">O410+P410</f>
        <v>17447.5340813652</v>
      </c>
      <c r="R410" s="15" t="n">
        <f aca="false">Q410-$G$2+$I$2</f>
        <v>12627.0340813652</v>
      </c>
      <c r="S410" s="42" t="n">
        <f aca="false">R410/$K$2</f>
        <v>65.9031006334303</v>
      </c>
      <c r="T410" s="43" t="n">
        <f aca="false">S410-$M$2</f>
        <v>-1.05932107846952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0.0830078125</v>
      </c>
      <c r="C411" s="25" t="n">
        <f aca="false">IF(T410&gt;0,D410,C410)</f>
        <v>0.0859375</v>
      </c>
      <c r="D411" s="41" t="n">
        <f aca="false">(B411+C411)/2</f>
        <v>0.08447265625</v>
      </c>
      <c r="E411" s="15" t="n">
        <f aca="false">$C$2*(1+IF(E$3&lt;=$O$2,$D411,$D411-($D411-$I$400)*MIN(E$3-$O$2,$Q$2)/$Q$2))</f>
        <v>5313.916015625</v>
      </c>
      <c r="F411" s="15" t="n">
        <f aca="false">E411*(1+IF(F$3&lt;=$O$2,$D411,$D411-($D411-$I$400)*MIN(F$3-$O$2,$Q$2)/$Q$2))</f>
        <v>5762.79661655426</v>
      </c>
      <c r="G411" s="15" t="n">
        <f aca="false">F411*(1+IF(G$3&lt;=$O$2,$D411,$D411-($D411-$I$400)*MIN(G$3-$O$2,$Q$2)/$Q$2))</f>
        <v>6249.59535418311</v>
      </c>
      <c r="H411" s="15" t="n">
        <f aca="false">G411*(1+IF(H$3&lt;=$O$2,$D411,$D411-($D411-$I$400)*MIN(H$3-$O$2,$Q$2)/$Q$2))</f>
        <v>6777.51527423862</v>
      </c>
      <c r="I411" s="15" t="n">
        <f aca="false">H411*(1+IF(I$3&lt;=$O$2,$D411,$D411-($D411-$I$400)*MIN(I$3-$O$2,$Q$2)/$Q$2))</f>
        <v>7350.0299922285</v>
      </c>
      <c r="J411" s="15" t="n">
        <f aca="false">I411*(1+IF(J$3&lt;=$O$2,$D411,$D411-($D411-$I$400)*MIN(J$3-$O$2,$Q$2)/$Q$2))</f>
        <v>7895.68243754531</v>
      </c>
      <c r="K411" s="15" t="n">
        <f aca="false">J411*(1+IF(K$3&lt;=$O$2,$D411,$D411-($D411-$I$400)*MIN(K$3-$O$2,$Q$2)/$Q$2))</f>
        <v>8401.03448865697</v>
      </c>
      <c r="L411" s="15" t="n">
        <f aca="false">K411*(1+IF(L$3&lt;=$O$2,$D411,$D411-($D411-$I$400)*MIN(L$3-$O$2,$Q$2)/$Q$2))</f>
        <v>8852.75023714222</v>
      </c>
      <c r="M411" s="15" t="n">
        <f aca="false">L411*(1+IF(M$3&lt;=$O$2,$D411,$D411-($D411-$I$400)*MIN(M$3-$O$2,$Q$2)/$Q$2))</f>
        <v>9238.15056898954</v>
      </c>
      <c r="N411" s="15" t="n">
        <f aca="false">M411*(1+IF(N$3&lt;=$O$2,$D411,$D411-($D411-$I$400)*MIN(N$3-$O$2,$Q$2)/$Q$2))</f>
        <v>9545.78098293689</v>
      </c>
      <c r="O411" s="15" t="n">
        <f aca="false">SUMPRODUCT(E411:N411,1/(1+$F$400)^$E$3:$N$3)*$E$2</f>
        <v>7240.94417005586</v>
      </c>
      <c r="P411" s="15" t="n">
        <f aca="false">N411*$E$2*(1+$I$400)/($F$400-$I$400)/(1+$F$400)^$N$3</f>
        <v>10350.2940134201</v>
      </c>
      <c r="Q411" s="15" t="n">
        <f aca="false">O411+P411</f>
        <v>17591.238183476</v>
      </c>
      <c r="R411" s="15" t="n">
        <f aca="false">Q411-$G$2+$I$2</f>
        <v>12770.738183476</v>
      </c>
      <c r="S411" s="42" t="n">
        <f aca="false">R411/$K$2</f>
        <v>66.6531220431939</v>
      </c>
      <c r="T411" s="43" t="n">
        <f aca="false">S411-$M$2</f>
        <v>-0.309299668705862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0.08447265625</v>
      </c>
      <c r="C412" s="25" t="n">
        <f aca="false">IF(T411&gt;0,D411,C411)</f>
        <v>0.0859375</v>
      </c>
      <c r="D412" s="41" t="n">
        <f aca="false">(B412+C412)/2</f>
        <v>0.085205078125</v>
      </c>
      <c r="E412" s="15" t="n">
        <f aca="false">$C$2*(1+IF(E$3&lt;=$O$2,$D412,$D412-($D412-$I$400)*MIN(E$3-$O$2,$Q$2)/$Q$2))</f>
        <v>5317.5048828125</v>
      </c>
      <c r="F412" s="15" t="n">
        <f aca="false">E412*(1+IF(F$3&lt;=$O$2,$D412,$D412-($D412-$I$400)*MIN(F$3-$O$2,$Q$2)/$Q$2))</f>
        <v>5770.58330178261</v>
      </c>
      <c r="G412" s="15" t="n">
        <f aca="false">F412*(1+IF(G$3&lt;=$O$2,$D412,$D412-($D412-$I$400)*MIN(G$3-$O$2,$Q$2)/$Q$2))</f>
        <v>6262.26630283782</v>
      </c>
      <c r="H412" s="15" t="n">
        <f aca="false">G412*(1+IF(H$3&lt;=$O$2,$D412,$D412-($D412-$I$400)*MIN(H$3-$O$2,$Q$2)/$Q$2))</f>
        <v>6795.84319241067</v>
      </c>
      <c r="I412" s="15" t="n">
        <f aca="false">H412*(1+IF(I$3&lt;=$O$2,$D412,$D412-($D412-$I$400)*MIN(I$3-$O$2,$Q$2)/$Q$2))</f>
        <v>7374.88354254527</v>
      </c>
      <c r="J412" s="15" t="n">
        <f aca="false">I412*(1+IF(J$3&lt;=$O$2,$D412,$D412-($D412-$I$400)*MIN(J$3-$O$2,$Q$2)/$Q$2))</f>
        <v>7926.7022896629</v>
      </c>
      <c r="K412" s="15" t="n">
        <f aca="false">J412*(1+IF(K$3&lt;=$O$2,$D412,$D412-($D412-$I$400)*MIN(K$3-$O$2,$Q$2)/$Q$2))</f>
        <v>8437.52313687981</v>
      </c>
      <c r="L412" s="15" t="n">
        <f aca="false">K412*(1+IF(L$3&lt;=$O$2,$D412,$D412-($D412-$I$400)*MIN(L$3-$O$2,$Q$2)/$Q$2))</f>
        <v>8893.6727763784</v>
      </c>
      <c r="M412" s="15" t="n">
        <f aca="false">L412*(1+IF(M$3&lt;=$O$2,$D412,$D412-($D412-$I$400)*MIN(M$3-$O$2,$Q$2)/$Q$2))</f>
        <v>9282.15743588703</v>
      </c>
      <c r="N412" s="15" t="n">
        <f aca="false">M412*(1+IF(N$3&lt;=$O$2,$D412,$D412-($D412-$I$400)*MIN(N$3-$O$2,$Q$2)/$Q$2))</f>
        <v>9591.25327850207</v>
      </c>
      <c r="O412" s="15" t="n">
        <f aca="false">SUMPRODUCT(E412:N412,1/(1+$F$400)^$E$3:$N$3)*$E$2</f>
        <v>7263.90660713187</v>
      </c>
      <c r="P412" s="15" t="n">
        <f aca="false">N412*$E$2*(1+$I$400)/($F$400-$I$400)/(1+$F$400)^$N$3</f>
        <v>10399.5986883761</v>
      </c>
      <c r="Q412" s="15" t="n">
        <f aca="false">O412+P412</f>
        <v>17663.5052955079</v>
      </c>
      <c r="R412" s="15" t="n">
        <f aca="false">Q412-$G$2+$I$2</f>
        <v>12843.0052955079</v>
      </c>
      <c r="S412" s="42" t="n">
        <f aca="false">R412/$K$2</f>
        <v>67.0302990370979</v>
      </c>
      <c r="T412" s="43" t="n">
        <f aca="false">S412-$M$2</f>
        <v>0.0678773251980545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0.08447265625</v>
      </c>
      <c r="C413" s="25" t="n">
        <f aca="false">IF(T412&gt;0,D412,C412)</f>
        <v>0.085205078125</v>
      </c>
      <c r="D413" s="41" t="n">
        <f aca="false">(B413+C413)/2</f>
        <v>0.0848388671875</v>
      </c>
      <c r="E413" s="15" t="n">
        <f aca="false">$C$2*(1+IF(E$3&lt;=$O$2,$D413,$D413-($D413-$I$400)*MIN(E$3-$O$2,$Q$2)/$Q$2))</f>
        <v>5315.71044921875</v>
      </c>
      <c r="F413" s="15" t="n">
        <f aca="false">E413*(1+IF(F$3&lt;=$O$2,$D413,$D413-($D413-$I$400)*MIN(F$3-$O$2,$Q$2)/$Q$2))</f>
        <v>5766.68930202723</v>
      </c>
      <c r="G413" s="15" t="n">
        <f aca="false">F413*(1+IF(G$3&lt;=$O$2,$D413,$D413-($D413-$I$400)*MIN(G$3-$O$2,$Q$2)/$Q$2))</f>
        <v>6255.92868983349</v>
      </c>
      <c r="H413" s="15" t="n">
        <f aca="false">G413*(1+IF(H$3&lt;=$O$2,$D413,$D413-($D413-$I$400)*MIN(H$3-$O$2,$Q$2)/$Q$2))</f>
        <v>6786.67459308475</v>
      </c>
      <c r="I413" s="15" t="n">
        <f aca="false">H413*(1+IF(I$3&lt;=$O$2,$D413,$D413-($D413-$I$400)*MIN(I$3-$O$2,$Q$2)/$Q$2))</f>
        <v>7362.44837753224</v>
      </c>
      <c r="J413" s="15" t="n">
        <f aca="false">I413*(1+IF(J$3&lt;=$O$2,$D413,$D413-($D413-$I$400)*MIN(J$3-$O$2,$Q$2)/$Q$2))</f>
        <v>7911.17970778763</v>
      </c>
      <c r="K413" s="15" t="n">
        <f aca="false">J413*(1+IF(K$3&lt;=$O$2,$D413,$D413-($D413-$I$400)*MIN(K$3-$O$2,$Q$2)/$Q$2))</f>
        <v>8419.26193621063</v>
      </c>
      <c r="L413" s="15" t="n">
        <f aca="false">K413*(1+IF(L$3&lt;=$O$2,$D413,$D413-($D413-$I$400)*MIN(L$3-$O$2,$Q$2)/$Q$2))</f>
        <v>8873.1910477853</v>
      </c>
      <c r="M413" s="15" t="n">
        <f aca="false">L413*(1+IF(M$3&lt;=$O$2,$D413,$D413-($D413-$I$400)*MIN(M$3-$O$2,$Q$2)/$Q$2))</f>
        <v>9260.13115266477</v>
      </c>
      <c r="N413" s="15" t="n">
        <f aca="false">M413*(1+IF(N$3&lt;=$O$2,$D413,$D413-($D413-$I$400)*MIN(N$3-$O$2,$Q$2)/$Q$2))</f>
        <v>9568.49352004851</v>
      </c>
      <c r="O413" s="15" t="n">
        <f aca="false">SUMPRODUCT(E413:N413,1/(1+$F$400)^$E$3:$N$3)*$E$2</f>
        <v>7252.41630258486</v>
      </c>
      <c r="P413" s="15" t="n">
        <f aca="false">N413*$E$2*(1+$I$400)/($F$400-$I$400)/(1+$F$400)^$N$3</f>
        <v>10374.9207503331</v>
      </c>
      <c r="Q413" s="15" t="n">
        <f aca="false">O413+P413</f>
        <v>17627.337052918</v>
      </c>
      <c r="R413" s="15" t="n">
        <f aca="false">Q413-$G$2+$I$2</f>
        <v>12806.837052918</v>
      </c>
      <c r="S413" s="42" t="n">
        <f aca="false">R413/$K$2</f>
        <v>66.8415295037472</v>
      </c>
      <c r="T413" s="43" t="n">
        <f aca="false">S413-$M$2</f>
        <v>-0.120892208152554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0.0848388671875</v>
      </c>
      <c r="C414" s="25" t="n">
        <f aca="false">IF(T413&gt;0,D413,C413)</f>
        <v>0.085205078125</v>
      </c>
      <c r="D414" s="41" t="n">
        <f aca="false">(B414+C414)/2</f>
        <v>0.08502197265625</v>
      </c>
      <c r="E414" s="15" t="n">
        <f aca="false">$C$2*(1+IF(E$3&lt;=$O$2,$D414,$D414-($D414-$I$400)*MIN(E$3-$O$2,$Q$2)/$Q$2))</f>
        <v>5316.60766601563</v>
      </c>
      <c r="F414" s="15" t="n">
        <f aca="false">E414*(1+IF(F$3&lt;=$O$2,$D414,$D414-($D414-$I$400)*MIN(F$3-$O$2,$Q$2)/$Q$2))</f>
        <v>5768.63613761962</v>
      </c>
      <c r="G414" s="15" t="n">
        <f aca="false">F414*(1+IF(G$3&lt;=$O$2,$D414,$D414-($D414-$I$400)*MIN(G$3-$O$2,$Q$2)/$Q$2))</f>
        <v>6259.09696157617</v>
      </c>
      <c r="H414" s="15" t="n">
        <f aca="false">G414*(1+IF(H$3&lt;=$O$2,$D414,$D414-($D414-$I$400)*MIN(H$3-$O$2,$Q$2)/$Q$2))</f>
        <v>6791.25773229611</v>
      </c>
      <c r="I414" s="15" t="n">
        <f aca="false">H414*(1+IF(I$3&lt;=$O$2,$D414,$D414-($D414-$I$400)*MIN(I$3-$O$2,$Q$2)/$Q$2))</f>
        <v>7368.66386151294</v>
      </c>
      <c r="J414" s="15" t="n">
        <f aca="false">I414*(1+IF(J$3&lt;=$O$2,$D414,$D414-($D414-$I$400)*MIN(J$3-$O$2,$Q$2)/$Q$2))</f>
        <v>7918.93783270793</v>
      </c>
      <c r="K414" s="15" t="n">
        <f aca="false">J414*(1+IF(K$3&lt;=$O$2,$D414,$D414-($D414-$I$400)*MIN(K$3-$O$2,$Q$2)/$Q$2))</f>
        <v>8428.38831416703</v>
      </c>
      <c r="L414" s="15" t="n">
        <f aca="false">K414*(1+IF(L$3&lt;=$O$2,$D414,$D414-($D414-$I$400)*MIN(L$3-$O$2,$Q$2)/$Q$2))</f>
        <v>8883.42679299743</v>
      </c>
      <c r="M414" s="15" t="n">
        <f aca="false">L414*(1+IF(M$3&lt;=$O$2,$D414,$D414-($D414-$I$400)*MIN(M$3-$O$2,$Q$2)/$Q$2))</f>
        <v>9271.13857674049</v>
      </c>
      <c r="N414" s="15" t="n">
        <f aca="false">M414*(1+IF(N$3&lt;=$O$2,$D414,$D414-($D414-$I$400)*MIN(N$3-$O$2,$Q$2)/$Q$2))</f>
        <v>9579.86749134595</v>
      </c>
      <c r="O414" s="15" t="n">
        <f aca="false">SUMPRODUCT(E414:N414,1/(1+$F$400)^$E$3:$N$3)*$E$2</f>
        <v>7258.15918168458</v>
      </c>
      <c r="P414" s="15" t="n">
        <f aca="false">N414*$E$2*(1+$I$400)/($F$400-$I$400)/(1+$F$400)^$N$3</f>
        <v>10387.2533135083</v>
      </c>
      <c r="Q414" s="15" t="n">
        <f aca="false">O414+P414</f>
        <v>17645.4124951929</v>
      </c>
      <c r="R414" s="15" t="n">
        <f aca="false">Q414-$G$2+$I$2</f>
        <v>12824.9124951929</v>
      </c>
      <c r="S414" s="42" t="n">
        <f aca="false">R414/$K$2</f>
        <v>66.935868972823</v>
      </c>
      <c r="T414" s="43" t="n">
        <f aca="false">S414-$M$2</f>
        <v>-0.0265527390768341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0.08502197265625</v>
      </c>
      <c r="C415" s="25" t="n">
        <f aca="false">IF(T414&gt;0,D414,C414)</f>
        <v>0.085205078125</v>
      </c>
      <c r="D415" s="41" t="n">
        <f aca="false">(B415+C415)/2</f>
        <v>0.085113525390625</v>
      </c>
      <c r="E415" s="15" t="n">
        <f aca="false">$C$2*(1+IF(E$3&lt;=$O$2,$D415,$D415-($D415-$I$400)*MIN(E$3-$O$2,$Q$2)/$Q$2))</f>
        <v>5317.05627441406</v>
      </c>
      <c r="F415" s="15" t="n">
        <f aca="false">E415*(1+IF(F$3&lt;=$O$2,$D415,$D415-($D415-$I$400)*MIN(F$3-$O$2,$Q$2)/$Q$2))</f>
        <v>5769.60967862979</v>
      </c>
      <c r="G415" s="15" t="n">
        <f aca="false">F415*(1+IF(G$3&lt;=$O$2,$D415,$D415-($D415-$I$400)*MIN(G$3-$O$2,$Q$2)/$Q$2))</f>
        <v>6260.68149850584</v>
      </c>
      <c r="H415" s="15" t="n">
        <f aca="false">G415*(1+IF(H$3&lt;=$O$2,$D415,$D415-($D415-$I$400)*MIN(H$3-$O$2,$Q$2)/$Q$2))</f>
        <v>6793.55017219153</v>
      </c>
      <c r="I415" s="15" t="n">
        <f aca="false">H415*(1+IF(I$3&lt;=$O$2,$D415,$D415-($D415-$I$400)*MIN(I$3-$O$2,$Q$2)/$Q$2))</f>
        <v>7371.77317726484</v>
      </c>
      <c r="J415" s="15" t="n">
        <f aca="false">I415*(1+IF(J$3&lt;=$O$2,$D415,$D415-($D415-$I$400)*MIN(J$3-$O$2,$Q$2)/$Q$2))</f>
        <v>7922.81926942307</v>
      </c>
      <c r="K415" s="15" t="n">
        <f aca="false">J415*(1+IF(K$3&lt;=$O$2,$D415,$D415-($D415-$I$400)*MIN(K$3-$O$2,$Q$2)/$Q$2))</f>
        <v>8432.95466952381</v>
      </c>
      <c r="L415" s="15" t="n">
        <f aca="false">K415*(1+IF(L$3&lt;=$O$2,$D415,$D415-($D415-$I$400)*MIN(L$3-$O$2,$Q$2)/$Q$2))</f>
        <v>8888.5485043739</v>
      </c>
      <c r="M415" s="15" t="n">
        <f aca="false">L415*(1+IF(M$3&lt;=$O$2,$D415,$D415-($D415-$I$400)*MIN(M$3-$O$2,$Q$2)/$Q$2))</f>
        <v>9276.64657629299</v>
      </c>
      <c r="N415" s="15" t="n">
        <f aca="false">M415*(1+IF(N$3&lt;=$O$2,$D415,$D415-($D415-$I$400)*MIN(N$3-$O$2,$Q$2)/$Q$2))</f>
        <v>9585.55890728354</v>
      </c>
      <c r="O415" s="15" t="n">
        <f aca="false">SUMPRODUCT(E415:N415,1/(1+$F$400)^$E$3:$N$3)*$E$2</f>
        <v>7261.03232590572</v>
      </c>
      <c r="P415" s="15" t="n">
        <f aca="false">N415*$E$2*(1+$I$400)/($F$400-$I$400)/(1+$F$400)^$N$3</f>
        <v>10393.424398767</v>
      </c>
      <c r="Q415" s="15" t="n">
        <f aca="false">O415+P415</f>
        <v>17654.4567246727</v>
      </c>
      <c r="R415" s="15" t="n">
        <f aca="false">Q415-$G$2+$I$2</f>
        <v>12833.9567246727</v>
      </c>
      <c r="S415" s="42" t="n">
        <f aca="false">R415/$K$2</f>
        <v>66.983072675745</v>
      </c>
      <c r="T415" s="43" t="n">
        <f aca="false">S415-$M$2</f>
        <v>0.0206509638452275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0.08502197265625</v>
      </c>
      <c r="C416" s="25" t="n">
        <f aca="false">IF(T415&gt;0,D415,C415)</f>
        <v>0.085113525390625</v>
      </c>
      <c r="D416" s="41" t="n">
        <f aca="false">(B416+C416)/2</f>
        <v>0.0850677490234375</v>
      </c>
      <c r="E416" s="15" t="n">
        <f aca="false">$C$2*(1+IF(E$3&lt;=$O$2,$D416,$D416-($D416-$I$400)*MIN(E$3-$O$2,$Q$2)/$Q$2))</f>
        <v>5316.83197021484</v>
      </c>
      <c r="F416" s="15" t="n">
        <f aca="false">E416*(1+IF(F$3&lt;=$O$2,$D416,$D416-($D416-$I$400)*MIN(F$3-$O$2,$Q$2)/$Q$2))</f>
        <v>5769.12289785687</v>
      </c>
      <c r="G416" s="15" t="n">
        <f aca="false">F416*(1+IF(G$3&lt;=$O$2,$D416,$D416-($D416-$I$400)*MIN(G$3-$O$2,$Q$2)/$Q$2))</f>
        <v>6259.88919661712</v>
      </c>
      <c r="H416" s="15" t="n">
        <f aca="false">G416*(1+IF(H$3&lt;=$O$2,$D416,$D416-($D416-$I$400)*MIN(H$3-$O$2,$Q$2)/$Q$2))</f>
        <v>6792.40387970948</v>
      </c>
      <c r="I416" s="15" t="n">
        <f aca="false">H416*(1+IF(I$3&lt;=$O$2,$D416,$D416-($D416-$I$400)*MIN(I$3-$O$2,$Q$2)/$Q$2))</f>
        <v>7370.21838821443</v>
      </c>
      <c r="J416" s="15" t="n">
        <f aca="false">I416*(1+IF(J$3&lt;=$O$2,$D416,$D416-($D416-$I$400)*MIN(J$3-$O$2,$Q$2)/$Q$2))</f>
        <v>7920.87835315717</v>
      </c>
      <c r="K416" s="15" t="n">
        <f aca="false">J416*(1+IF(K$3&lt;=$O$2,$D416,$D416-($D416-$I$400)*MIN(K$3-$O$2,$Q$2)/$Q$2))</f>
        <v>8430.67122789616</v>
      </c>
      <c r="L416" s="15" t="n">
        <f aca="false">K416*(1+IF(L$3&lt;=$O$2,$D416,$D416-($D416-$I$400)*MIN(L$3-$O$2,$Q$2)/$Q$2))</f>
        <v>8885.98732867504</v>
      </c>
      <c r="M416" s="15" t="n">
        <f aca="false">L416*(1+IF(M$3&lt;=$O$2,$D416,$D416-($D416-$I$400)*MIN(M$3-$O$2,$Q$2)/$Q$2))</f>
        <v>9273.89221909118</v>
      </c>
      <c r="N416" s="15" t="n">
        <f aca="false">M416*(1+IF(N$3&lt;=$O$2,$D416,$D416-($D416-$I$400)*MIN(N$3-$O$2,$Q$2)/$Q$2))</f>
        <v>9582.71282998691</v>
      </c>
      <c r="O416" s="15" t="n">
        <f aca="false">SUMPRODUCT(E416:N416,1/(1+$F$400)^$E$3:$N$3)*$E$2</f>
        <v>7259.59561169566</v>
      </c>
      <c r="P416" s="15" t="n">
        <f aca="false">N416*$E$2*(1+$I$400)/($F$400-$I$400)/(1+$F$400)^$N$3</f>
        <v>10390.3384556831</v>
      </c>
      <c r="Q416" s="15" t="n">
        <f aca="false">O416+P416</f>
        <v>17649.9340673788</v>
      </c>
      <c r="R416" s="15" t="n">
        <f aca="false">Q416-$G$2+$I$2</f>
        <v>12829.4340673788</v>
      </c>
      <c r="S416" s="42" t="n">
        <f aca="false">R416/$K$2</f>
        <v>66.9594679925822</v>
      </c>
      <c r="T416" s="43" t="n">
        <f aca="false">S416-$M$2</f>
        <v>-0.00295371931757416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0.0850677490234375</v>
      </c>
      <c r="C417" s="25" t="n">
        <f aca="false">IF(T416&gt;0,D416,C416)</f>
        <v>0.085113525390625</v>
      </c>
      <c r="D417" s="41" t="n">
        <f aca="false">(B417+C417)/2</f>
        <v>0.0850906372070313</v>
      </c>
      <c r="E417" s="15" t="n">
        <f aca="false">$C$2*(1+IF(E$3&lt;=$O$2,$D417,$D417-($D417-$I$400)*MIN(E$3-$O$2,$Q$2)/$Q$2))</f>
        <v>5316.94412231445</v>
      </c>
      <c r="F417" s="15" t="n">
        <f aca="false">E417*(1+IF(F$3&lt;=$O$2,$D417,$D417-($D417-$I$400)*MIN(F$3-$O$2,$Q$2)/$Q$2))</f>
        <v>5769.36628567637</v>
      </c>
      <c r="G417" s="15" t="n">
        <f aca="false">F417*(1+IF(G$3&lt;=$O$2,$D417,$D417-($D417-$I$400)*MIN(G$3-$O$2,$Q$2)/$Q$2))</f>
        <v>6260.28533920534</v>
      </c>
      <c r="H417" s="15" t="n">
        <f aca="false">G417*(1+IF(H$3&lt;=$O$2,$D417,$D417-($D417-$I$400)*MIN(H$3-$O$2,$Q$2)/$Q$2))</f>
        <v>6792.97700781615</v>
      </c>
      <c r="I417" s="15" t="n">
        <f aca="false">H417*(1+IF(I$3&lt;=$O$2,$D417,$D417-($D417-$I$400)*MIN(I$3-$O$2,$Q$2)/$Q$2))</f>
        <v>7370.99574994394</v>
      </c>
      <c r="J417" s="15" t="n">
        <f aca="false">I417*(1+IF(J$3&lt;=$O$2,$D417,$D417-($D417-$I$400)*MIN(J$3-$O$2,$Q$2)/$Q$2))</f>
        <v>7921.84876180901</v>
      </c>
      <c r="K417" s="15" t="n">
        <f aca="false">J417*(1+IF(K$3&lt;=$O$2,$D417,$D417-($D417-$I$400)*MIN(K$3-$O$2,$Q$2)/$Q$2))</f>
        <v>8431.81288271634</v>
      </c>
      <c r="L417" s="15" t="n">
        <f aca="false">K417*(1+IF(L$3&lt;=$O$2,$D417,$D417-($D417-$I$400)*MIN(L$3-$O$2,$Q$2)/$Q$2))</f>
        <v>8887.26783651333</v>
      </c>
      <c r="M417" s="15" t="n">
        <f aca="false">L417*(1+IF(M$3&lt;=$O$2,$D417,$D417-($D417-$I$400)*MIN(M$3-$O$2,$Q$2)/$Q$2))</f>
        <v>9275.26930832574</v>
      </c>
      <c r="N417" s="15" t="n">
        <f aca="false">M417*(1+IF(N$3&lt;=$O$2,$D417,$D417-($D417-$I$400)*MIN(N$3-$O$2,$Q$2)/$Q$2))</f>
        <v>9584.13577629298</v>
      </c>
      <c r="O417" s="15" t="n">
        <f aca="false">SUMPRODUCT(E417:N417,1/(1+$F$400)^$E$3:$N$3)*$E$2</f>
        <v>7260.31393327255</v>
      </c>
      <c r="P417" s="15" t="n">
        <f aca="false">N417*$E$2*(1+$I$400)/($F$400-$I$400)/(1+$F$400)^$N$3</f>
        <v>10391.8813271003</v>
      </c>
      <c r="Q417" s="15" t="n">
        <f aca="false">O417+P417</f>
        <v>17652.1952603728</v>
      </c>
      <c r="R417" s="15" t="n">
        <f aca="false">Q417-$G$2+$I$2</f>
        <v>12831.6952603728</v>
      </c>
      <c r="S417" s="42" t="n">
        <f aca="false">R417/$K$2</f>
        <v>66.9712696261629</v>
      </c>
      <c r="T417" s="43" t="n">
        <f aca="false">S417-$M$2</f>
        <v>0.00884791426310017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0.0850677490234375</v>
      </c>
      <c r="C418" s="25" t="n">
        <f aca="false">IF(T417&gt;0,D417,C417)</f>
        <v>0.0850906372070313</v>
      </c>
      <c r="D418" s="41" t="n">
        <f aca="false">(B418+C418)/2</f>
        <v>0.0850791931152344</v>
      </c>
      <c r="E418" s="15" t="n">
        <f aca="false">$C$2*(1+IF(E$3&lt;=$O$2,$D418,$D418-($D418-$I$400)*MIN(E$3-$O$2,$Q$2)/$Q$2))</f>
        <v>5316.88804626465</v>
      </c>
      <c r="F418" s="15" t="n">
        <f aca="false">E418*(1+IF(F$3&lt;=$O$2,$D418,$D418-($D418-$I$400)*MIN(F$3-$O$2,$Q$2)/$Q$2))</f>
        <v>5769.24459112488</v>
      </c>
      <c r="G418" s="15" t="n">
        <f aca="false">F418*(1+IF(G$3&lt;=$O$2,$D418,$D418-($D418-$I$400)*MIN(G$3-$O$2,$Q$2)/$Q$2))</f>
        <v>6260.08726582221</v>
      </c>
      <c r="H418" s="15" t="n">
        <f aca="false">G418*(1+IF(H$3&lt;=$O$2,$D418,$D418-($D418-$I$400)*MIN(H$3-$O$2,$Q$2)/$Q$2))</f>
        <v>6792.69043922932</v>
      </c>
      <c r="I418" s="15" t="n">
        <f aca="false">H418*(1+IF(I$3&lt;=$O$2,$D418,$D418-($D418-$I$400)*MIN(I$3-$O$2,$Q$2)/$Q$2))</f>
        <v>7370.60706088052</v>
      </c>
      <c r="J418" s="15" t="n">
        <f aca="false">I418*(1+IF(J$3&lt;=$O$2,$D418,$D418-($D418-$I$400)*MIN(J$3-$O$2,$Q$2)/$Q$2))</f>
        <v>7921.36354511331</v>
      </c>
      <c r="K418" s="15" t="n">
        <f aca="false">J418*(1+IF(K$3&lt;=$O$2,$D418,$D418-($D418-$I$400)*MIN(K$3-$O$2,$Q$2)/$Q$2))</f>
        <v>8431.24203880863</v>
      </c>
      <c r="L418" s="15" t="n">
        <f aca="false">K418*(1+IF(L$3&lt;=$O$2,$D418,$D418-($D418-$I$400)*MIN(L$3-$O$2,$Q$2)/$Q$2))</f>
        <v>8886.62756259246</v>
      </c>
      <c r="M418" s="15" t="n">
        <f aca="false">L418*(1+IF(M$3&lt;=$O$2,$D418,$D418-($D418-$I$400)*MIN(M$3-$O$2,$Q$2)/$Q$2))</f>
        <v>9274.58074136811</v>
      </c>
      <c r="N418" s="15" t="n">
        <f aca="false">M418*(1+IF(N$3&lt;=$O$2,$D418,$D418-($D418-$I$400)*MIN(N$3-$O$2,$Q$2)/$Q$2))</f>
        <v>9583.42428005567</v>
      </c>
      <c r="O418" s="15" t="n">
        <f aca="false">SUMPRODUCT(E418:N418,1/(1+$F$400)^$E$3:$N$3)*$E$2</f>
        <v>7259.95476360248</v>
      </c>
      <c r="P418" s="15" t="n">
        <f aca="false">N418*$E$2*(1+$I$400)/($F$400-$I$400)/(1+$F$400)^$N$3</f>
        <v>10391.1098663619</v>
      </c>
      <c r="Q418" s="15" t="n">
        <f aca="false">O418+P418</f>
        <v>17651.0646299643</v>
      </c>
      <c r="R418" s="15" t="n">
        <f aca="false">Q418-$G$2+$I$2</f>
        <v>12830.5646299643</v>
      </c>
      <c r="S418" s="42" t="n">
        <f aca="false">R418/$K$2</f>
        <v>66.9653686323818</v>
      </c>
      <c r="T418" s="43" t="n">
        <f aca="false">S418-$M$2</f>
        <v>0.00294692048196055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0.0850677490234375</v>
      </c>
      <c r="C419" s="25" t="n">
        <f aca="false">IF(T418&gt;0,D418,C418)</f>
        <v>0.0850791931152344</v>
      </c>
      <c r="D419" s="41" t="n">
        <f aca="false">(B419+C419)/2</f>
        <v>0.0850734710693359</v>
      </c>
      <c r="E419" s="15" t="n">
        <f aca="false">$C$2*(1+IF(E$3&lt;=$O$2,$D419,$D419-($D419-$I$400)*MIN(E$3-$O$2,$Q$2)/$Q$2))</f>
        <v>5316.86000823975</v>
      </c>
      <c r="F419" s="15" t="n">
        <f aca="false">E419*(1+IF(F$3&lt;=$O$2,$D419,$D419-($D419-$I$400)*MIN(F$3-$O$2,$Q$2)/$Q$2))</f>
        <v>5769.18374433044</v>
      </c>
      <c r="G419" s="15" t="n">
        <f aca="false">F419*(1+IF(G$3&lt;=$O$2,$D419,$D419-($D419-$I$400)*MIN(G$3-$O$2,$Q$2)/$Q$2))</f>
        <v>6259.98823069742</v>
      </c>
      <c r="H419" s="15" t="n">
        <f aca="false">G419*(1+IF(H$3&lt;=$O$2,$D419,$D419-($D419-$I$400)*MIN(H$3-$O$2,$Q$2)/$Q$2))</f>
        <v>6792.54715833604</v>
      </c>
      <c r="I419" s="15" t="n">
        <f aca="false">H419*(1+IF(I$3&lt;=$O$2,$D419,$D419-($D419-$I$400)*MIN(I$3-$O$2,$Q$2)/$Q$2))</f>
        <v>7370.41272249784</v>
      </c>
      <c r="J419" s="15" t="n">
        <f aca="false">I419*(1+IF(J$3&lt;=$O$2,$D419,$D419-($D419-$I$400)*MIN(J$3-$O$2,$Q$2)/$Q$2))</f>
        <v>7921.12094604286</v>
      </c>
      <c r="K419" s="15" t="n">
        <f aca="false">J419*(1+IF(K$3&lt;=$O$2,$D419,$D419-($D419-$I$400)*MIN(K$3-$O$2,$Q$2)/$Q$2))</f>
        <v>8430.95662922809</v>
      </c>
      <c r="L419" s="15" t="n">
        <f aca="false">K419*(1+IF(L$3&lt;=$O$2,$D419,$D419-($D419-$I$400)*MIN(L$3-$O$2,$Q$2)/$Q$2))</f>
        <v>8886.30744063345</v>
      </c>
      <c r="M419" s="15" t="n">
        <f aca="false">L419*(1+IF(M$3&lt;=$O$2,$D419,$D419-($D419-$I$400)*MIN(M$3-$O$2,$Q$2)/$Q$2))</f>
        <v>9274.23647464472</v>
      </c>
      <c r="N419" s="15" t="n">
        <f aca="false">M419*(1+IF(N$3&lt;=$O$2,$D419,$D419-($D419-$I$400)*MIN(N$3-$O$2,$Q$2)/$Q$2))</f>
        <v>9583.06854925039</v>
      </c>
      <c r="O419" s="15" t="n">
        <f aca="false">SUMPRODUCT(E419:N419,1/(1+$F$400)^$E$3:$N$3)*$E$2</f>
        <v>7259.77518542871</v>
      </c>
      <c r="P419" s="15" t="n">
        <f aca="false">N419*$E$2*(1+$I$400)/($F$400-$I$400)/(1+$F$400)^$N$3</f>
        <v>10390.7241547652</v>
      </c>
      <c r="Q419" s="15" t="n">
        <f aca="false">O419+P419</f>
        <v>17650.4993401939</v>
      </c>
      <c r="R419" s="15" t="n">
        <f aca="false">Q419-$G$2+$I$2</f>
        <v>12829.9993401939</v>
      </c>
      <c r="S419" s="42" t="n">
        <f aca="false">R419/$K$2</f>
        <v>66.9624182682355</v>
      </c>
      <c r="T419" s="43" t="n">
        <f aca="false">S419-$M$2</f>
        <v>-3.44366431193066E-006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0.0850734710693359</v>
      </c>
      <c r="C420" s="25" t="n">
        <f aca="false">IF(T419&gt;0,D419,C419)</f>
        <v>0.0850791931152344</v>
      </c>
      <c r="D420" s="41" t="n">
        <f aca="false">(B420+C420)/2</f>
        <v>0.0850763320922852</v>
      </c>
      <c r="E420" s="15" t="n">
        <f aca="false">$C$2*(1+IF(E$3&lt;=$O$2,$D420,$D420-($D420-$I$400)*MIN(E$3-$O$2,$Q$2)/$Q$2))</f>
        <v>5316.8740272522</v>
      </c>
      <c r="F420" s="15" t="n">
        <f aca="false">E420*(1+IF(F$3&lt;=$O$2,$D420,$D420-($D420-$I$400)*MIN(F$3-$O$2,$Q$2)/$Q$2))</f>
        <v>5769.21416768755</v>
      </c>
      <c r="G420" s="15" t="n">
        <f aca="false">F420*(1+IF(G$3&lt;=$O$2,$D420,$D420-($D420-$I$400)*MIN(G$3-$O$2,$Q$2)/$Q$2))</f>
        <v>6260.03774812925</v>
      </c>
      <c r="H420" s="15" t="n">
        <f aca="false">G420*(1+IF(H$3&lt;=$O$2,$D420,$D420-($D420-$I$400)*MIN(H$3-$O$2,$Q$2)/$Q$2))</f>
        <v>6792.61879849934</v>
      </c>
      <c r="I420" s="15" t="n">
        <f aca="false">H420*(1+IF(I$3&lt;=$O$2,$D420,$D420-($D420-$I$400)*MIN(I$3-$O$2,$Q$2)/$Q$2))</f>
        <v>7370.50989117677</v>
      </c>
      <c r="J420" s="15" t="n">
        <f aca="false">I420*(1+IF(J$3&lt;=$O$2,$D420,$D420-($D420-$I$400)*MIN(J$3-$O$2,$Q$2)/$Q$2))</f>
        <v>7921.24224480499</v>
      </c>
      <c r="K420" s="15" t="n">
        <f aca="false">J420*(1+IF(K$3&lt;=$O$2,$D420,$D420-($D420-$I$400)*MIN(K$3-$O$2,$Q$2)/$Q$2))</f>
        <v>8431.09933298727</v>
      </c>
      <c r="L420" s="15" t="n">
        <f aca="false">K420*(1+IF(L$3&lt;=$O$2,$D420,$D420-($D420-$I$400)*MIN(L$3-$O$2,$Q$2)/$Q$2))</f>
        <v>8886.46750036286</v>
      </c>
      <c r="M420" s="15" t="n">
        <f aca="false">L420*(1+IF(M$3&lt;=$O$2,$D420,$D420-($D420-$I$400)*MIN(M$3-$O$2,$Q$2)/$Q$2))</f>
        <v>9274.40860661016</v>
      </c>
      <c r="N420" s="15" t="n">
        <f aca="false">M420*(1+IF(N$3&lt;=$O$2,$D420,$D420-($D420-$I$400)*MIN(N$3-$O$2,$Q$2)/$Q$2))</f>
        <v>9583.24641321028</v>
      </c>
      <c r="O420" s="15" t="n">
        <f aca="false">SUMPRODUCT(E420:N420,1/(1+$F$400)^$E$3:$N$3)*$E$2</f>
        <v>7259.8649739605</v>
      </c>
      <c r="P420" s="15" t="n">
        <f aca="false">N420*$E$2*(1+$I$400)/($F$400-$I$400)/(1+$F$400)^$N$3</f>
        <v>10390.9170089992</v>
      </c>
      <c r="Q420" s="15" t="n">
        <f aca="false">O420+P420</f>
        <v>17650.7819829597</v>
      </c>
      <c r="R420" s="15" t="n">
        <f aca="false">Q420-$G$2+$I$2</f>
        <v>12830.2819829597</v>
      </c>
      <c r="S420" s="42" t="n">
        <f aca="false">R420/$K$2</f>
        <v>66.9638934392469</v>
      </c>
      <c r="T420" s="43" t="n">
        <f aca="false">S420-$M$2</f>
        <v>0.00147172734706658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0.0850734710693359</v>
      </c>
      <c r="C421" s="25" t="n">
        <f aca="false">IF(T420&gt;0,D420,C420)</f>
        <v>0.0850763320922852</v>
      </c>
      <c r="D421" s="41" t="n">
        <f aca="false">(B421+C421)/2</f>
        <v>0.0850749015808106</v>
      </c>
      <c r="E421" s="15" t="n">
        <f aca="false">$C$2*(1+IF(E$3&lt;=$O$2,$D421,$D421-($D421-$I$400)*MIN(E$3-$O$2,$Q$2)/$Q$2))</f>
        <v>5316.86701774597</v>
      </c>
      <c r="F421" s="15" t="n">
        <f aca="false">E421*(1+IF(F$3&lt;=$O$2,$D421,$D421-($D421-$I$400)*MIN(F$3-$O$2,$Q$2)/$Q$2))</f>
        <v>5769.19895599897</v>
      </c>
      <c r="G421" s="15" t="n">
        <f aca="false">F421*(1+IF(G$3&lt;=$O$2,$D421,$D421-($D421-$I$400)*MIN(G$3-$O$2,$Q$2)/$Q$2))</f>
        <v>6260.0129893807</v>
      </c>
      <c r="H421" s="15" t="n">
        <f aca="false">G421*(1+IF(H$3&lt;=$O$2,$D421,$D421-($D421-$I$400)*MIN(H$3-$O$2,$Q$2)/$Q$2))</f>
        <v>6792.58297834685</v>
      </c>
      <c r="I421" s="15" t="n">
        <f aca="false">H421*(1+IF(I$3&lt;=$O$2,$D421,$D421-($D421-$I$400)*MIN(I$3-$O$2,$Q$2)/$Q$2))</f>
        <v>7370.4613067092</v>
      </c>
      <c r="J421" s="15" t="n">
        <f aca="false">I421*(1+IF(J$3&lt;=$O$2,$D421,$D421-($D421-$I$400)*MIN(J$3-$O$2,$Q$2)/$Q$2))</f>
        <v>7921.18159523065</v>
      </c>
      <c r="K421" s="15" t="n">
        <f aca="false">J421*(1+IF(K$3&lt;=$O$2,$D421,$D421-($D421-$I$400)*MIN(K$3-$O$2,$Q$2)/$Q$2))</f>
        <v>8431.02798084991</v>
      </c>
      <c r="L421" s="15" t="n">
        <f aca="false">K421*(1+IF(L$3&lt;=$O$2,$D421,$D421-($D421-$I$400)*MIN(L$3-$O$2,$Q$2)/$Q$2))</f>
        <v>8886.38747018564</v>
      </c>
      <c r="M421" s="15" t="n">
        <f aca="false">L421*(1+IF(M$3&lt;=$O$2,$D421,$D421-($D421-$I$400)*MIN(M$3-$O$2,$Q$2)/$Q$2))</f>
        <v>9274.32254027838</v>
      </c>
      <c r="N421" s="15" t="n">
        <f aca="false">M421*(1+IF(N$3&lt;=$O$2,$D421,$D421-($D421-$I$400)*MIN(N$3-$O$2,$Q$2)/$Q$2))</f>
        <v>9583.15748086965</v>
      </c>
      <c r="O421" s="15" t="n">
        <f aca="false">SUMPRODUCT(E421:N421,1/(1+$F$400)^$E$3:$N$3)*$E$2</f>
        <v>7259.82007955583</v>
      </c>
      <c r="P421" s="15" t="n">
        <f aca="false">N421*$E$2*(1+$I$400)/($F$400-$I$400)/(1+$F$400)^$N$3</f>
        <v>10390.8205814911</v>
      </c>
      <c r="Q421" s="15" t="n">
        <f aca="false">O421+P421</f>
        <v>17650.640661047</v>
      </c>
      <c r="R421" s="15" t="n">
        <f aca="false">Q421-$G$2+$I$2</f>
        <v>12830.140661047</v>
      </c>
      <c r="S421" s="42" t="n">
        <f aca="false">R421/$K$2</f>
        <v>66.9631558509758</v>
      </c>
      <c r="T421" s="43" t="n">
        <f aca="false">S421-$M$2</f>
        <v>0.000734139075973417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0.0850734710693359</v>
      </c>
      <c r="C422" s="25" t="n">
        <f aca="false">IF(T421&gt;0,D421,C421)</f>
        <v>0.0850749015808106</v>
      </c>
      <c r="D422" s="41" t="n">
        <f aca="false">(B422+C422)/2</f>
        <v>0.0850741863250732</v>
      </c>
      <c r="E422" s="15" t="n">
        <f aca="false">$C$2*(1+IF(E$3&lt;=$O$2,$D422,$D422-($D422-$I$400)*MIN(E$3-$O$2,$Q$2)/$Q$2))</f>
        <v>5316.86351299286</v>
      </c>
      <c r="F422" s="15" t="n">
        <f aca="false">E422*(1+IF(F$3&lt;=$O$2,$D422,$D422-($D422-$I$400)*MIN(F$3-$O$2,$Q$2)/$Q$2))</f>
        <v>5769.1913501622</v>
      </c>
      <c r="G422" s="15" t="n">
        <f aca="false">F422*(1+IF(G$3&lt;=$O$2,$D422,$D422-($D422-$I$400)*MIN(G$3-$O$2,$Q$2)/$Q$2))</f>
        <v>6260.0006100309</v>
      </c>
      <c r="H422" s="15" t="n">
        <f aca="false">G422*(1+IF(H$3&lt;=$O$2,$D422,$D422-($D422-$I$400)*MIN(H$3-$O$2,$Q$2)/$Q$2))</f>
        <v>6792.56506832374</v>
      </c>
      <c r="I422" s="15" t="n">
        <f aca="false">H422*(1+IF(I$3&lt;=$O$2,$D422,$D422-($D422-$I$400)*MIN(I$3-$O$2,$Q$2)/$Q$2))</f>
        <v>7370.4370145715</v>
      </c>
      <c r="J422" s="15" t="n">
        <f aca="false">I422*(1+IF(J$3&lt;=$O$2,$D422,$D422-($D422-$I$400)*MIN(J$3-$O$2,$Q$2)/$Q$2))</f>
        <v>7921.15127058844</v>
      </c>
      <c r="K422" s="15" t="n">
        <f aca="false">J422*(1+IF(K$3&lt;=$O$2,$D422,$D422-($D422-$I$400)*MIN(K$3-$O$2,$Q$2)/$Q$2))</f>
        <v>8430.99230497456</v>
      </c>
      <c r="L422" s="15" t="n">
        <f aca="false">K422*(1+IF(L$3&lt;=$O$2,$D422,$D422-($D422-$I$400)*MIN(L$3-$O$2,$Q$2)/$Q$2))</f>
        <v>8886.34745533141</v>
      </c>
      <c r="M422" s="15" t="n">
        <f aca="false">L422*(1+IF(M$3&lt;=$O$2,$D422,$D422-($D422-$I$400)*MIN(M$3-$O$2,$Q$2)/$Q$2))</f>
        <v>9274.27950737428</v>
      </c>
      <c r="N422" s="15" t="n">
        <f aca="false">M422*(1+IF(N$3&lt;=$O$2,$D422,$D422-($D422-$I$400)*MIN(N$3-$O$2,$Q$2)/$Q$2))</f>
        <v>9583.11301496985</v>
      </c>
      <c r="O422" s="15" t="n">
        <f aca="false">SUMPRODUCT(E422:N422,1/(1+$F$400)^$E$3:$N$3)*$E$2</f>
        <v>7259.79763245758</v>
      </c>
      <c r="P422" s="15" t="n">
        <f aca="false">N422*$E$2*(1+$I$400)/($F$400-$I$400)/(1+$F$400)^$N$3</f>
        <v>10390.7723680304</v>
      </c>
      <c r="Q422" s="15" t="n">
        <f aca="false">O422+P422</f>
        <v>17650.570000488</v>
      </c>
      <c r="R422" s="15" t="n">
        <f aca="false">Q422-$G$2+$I$2</f>
        <v>12830.070000488</v>
      </c>
      <c r="S422" s="42" t="n">
        <f aca="false">R422/$K$2</f>
        <v>66.9627870589143</v>
      </c>
      <c r="T422" s="43" t="n">
        <f aca="false">S422-$M$2</f>
        <v>0.000365347014465556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0.0850734710693359</v>
      </c>
      <c r="C423" s="25" t="n">
        <f aca="false">IF(T422&gt;0,D422,C422)</f>
        <v>0.0850741863250732</v>
      </c>
      <c r="D423" s="41" t="n">
        <f aca="false">(B423+C423)/2</f>
        <v>0.0850738286972046</v>
      </c>
      <c r="E423" s="15" t="n">
        <f aca="false">$C$2*(1+IF(E$3&lt;=$O$2,$D423,$D423-($D423-$I$400)*MIN(E$3-$O$2,$Q$2)/$Q$2))</f>
        <v>5316.8617606163</v>
      </c>
      <c r="F423" s="15" t="n">
        <f aca="false">E423*(1+IF(F$3&lt;=$O$2,$D423,$D423-($D423-$I$400)*MIN(F$3-$O$2,$Q$2)/$Q$2))</f>
        <v>5769.18754724569</v>
      </c>
      <c r="G423" s="15" t="n">
        <f aca="false">F423*(1+IF(G$3&lt;=$O$2,$D423,$D423-($D423-$I$400)*MIN(G$3-$O$2,$Q$2)/$Q$2))</f>
        <v>6259.99442036212</v>
      </c>
      <c r="H423" s="15" t="n">
        <f aca="false">G423*(1+IF(H$3&lt;=$O$2,$D423,$D423-($D423-$I$400)*MIN(H$3-$O$2,$Q$2)/$Q$2))</f>
        <v>6792.55611332546</v>
      </c>
      <c r="I423" s="15" t="n">
        <f aca="false">H423*(1+IF(I$3&lt;=$O$2,$D423,$D423-($D423-$I$400)*MIN(I$3-$O$2,$Q$2)/$Q$2))</f>
        <v>7370.42486852666</v>
      </c>
      <c r="J423" s="15" t="n">
        <f aca="false">I423*(1+IF(J$3&lt;=$O$2,$D423,$D423-($D423-$I$400)*MIN(J$3-$O$2,$Q$2)/$Q$2))</f>
        <v>7921.13610830357</v>
      </c>
      <c r="K423" s="15" t="n">
        <f aca="false">J423*(1+IF(K$3&lt;=$O$2,$D423,$D423-($D423-$I$400)*MIN(K$3-$O$2,$Q$2)/$Q$2))</f>
        <v>8430.97446708521</v>
      </c>
      <c r="L423" s="15" t="n">
        <f aca="false">K423*(1+IF(L$3&lt;=$O$2,$D423,$D423-($D423-$I$400)*MIN(L$3-$O$2,$Q$2)/$Q$2))</f>
        <v>8886.3274479629</v>
      </c>
      <c r="M423" s="15" t="n">
        <f aca="false">L423*(1+IF(M$3&lt;=$O$2,$D423,$D423-($D423-$I$400)*MIN(M$3-$O$2,$Q$2)/$Q$2))</f>
        <v>9274.25799098768</v>
      </c>
      <c r="N423" s="15" t="n">
        <f aca="false">M423*(1+IF(N$3&lt;=$O$2,$D423,$D423-($D423-$I$400)*MIN(N$3-$O$2,$Q$2)/$Q$2))</f>
        <v>9583.09078208757</v>
      </c>
      <c r="O423" s="15" t="n">
        <f aca="false">SUMPRODUCT(E423:N423,1/(1+$F$400)^$E$3:$N$3)*$E$2</f>
        <v>7259.78640893447</v>
      </c>
      <c r="P423" s="15" t="n">
        <f aca="false">N423*$E$2*(1+$I$400)/($F$400-$I$400)/(1+$F$400)^$N$3</f>
        <v>10390.7482613734</v>
      </c>
      <c r="Q423" s="15" t="n">
        <f aca="false">O423+P423</f>
        <v>17650.5346703078</v>
      </c>
      <c r="R423" s="15" t="n">
        <f aca="false">Q423-$G$2+$I$2</f>
        <v>12830.0346703078</v>
      </c>
      <c r="S423" s="42" t="n">
        <f aca="false">R423/$K$2</f>
        <v>66.962602663402</v>
      </c>
      <c r="T423" s="43" t="n">
        <f aca="false">S423-$M$2</f>
        <v>0.000180951502215976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0.0850734710693359</v>
      </c>
      <c r="C424" s="25" t="n">
        <f aca="false">IF(T423&gt;0,D423,C423)</f>
        <v>0.0850738286972046</v>
      </c>
      <c r="D424" s="41" t="n">
        <f aca="false">(B424+C424)/2</f>
        <v>0.0850736498832703</v>
      </c>
      <c r="E424" s="15" t="n">
        <f aca="false">$C$2*(1+IF(E$3&lt;=$O$2,$D424,$D424-($D424-$I$400)*MIN(E$3-$O$2,$Q$2)/$Q$2))</f>
        <v>5316.86088442802</v>
      </c>
      <c r="F424" s="15" t="n">
        <f aca="false">E424*(1+IF(F$3&lt;=$O$2,$D424,$D424-($D424-$I$400)*MIN(F$3-$O$2,$Q$2)/$Q$2))</f>
        <v>5769.18564578791</v>
      </c>
      <c r="G424" s="15" t="n">
        <f aca="false">F424*(1+IF(G$3&lt;=$O$2,$D424,$D424-($D424-$I$400)*MIN(G$3-$O$2,$Q$2)/$Q$2))</f>
        <v>6259.99132552926</v>
      </c>
      <c r="H424" s="15" t="n">
        <f aca="false">G424*(1+IF(H$3&lt;=$O$2,$D424,$D424-($D424-$I$400)*MIN(H$3-$O$2,$Q$2)/$Q$2))</f>
        <v>6792.55163582964</v>
      </c>
      <c r="I424" s="15" t="n">
        <f aca="false">H424*(1+IF(I$3&lt;=$O$2,$D424,$D424-($D424-$I$400)*MIN(I$3-$O$2,$Q$2)/$Q$2))</f>
        <v>7370.41879551025</v>
      </c>
      <c r="J424" s="15" t="n">
        <f aca="false">I424*(1+IF(J$3&lt;=$O$2,$D424,$D424-($D424-$I$400)*MIN(J$3-$O$2,$Q$2)/$Q$2))</f>
        <v>7921.1285271702</v>
      </c>
      <c r="K424" s="15" t="n">
        <f aca="false">J424*(1+IF(K$3&lt;=$O$2,$D424,$D424-($D424-$I$400)*MIN(K$3-$O$2,$Q$2)/$Q$2))</f>
        <v>8430.96554815262</v>
      </c>
      <c r="L424" s="15" t="n">
        <f aca="false">K424*(1+IF(L$3&lt;=$O$2,$D424,$D424-($D424-$I$400)*MIN(L$3-$O$2,$Q$2)/$Q$2))</f>
        <v>8886.31744429329</v>
      </c>
      <c r="M424" s="15" t="n">
        <f aca="false">L424*(1+IF(M$3&lt;=$O$2,$D424,$D424-($D424-$I$400)*MIN(M$3-$O$2,$Q$2)/$Q$2))</f>
        <v>9274.24723281075</v>
      </c>
      <c r="N424" s="15" t="n">
        <f aca="false">M424*(1+IF(N$3&lt;=$O$2,$D424,$D424-($D424-$I$400)*MIN(N$3-$O$2,$Q$2)/$Q$2))</f>
        <v>9583.07966566335</v>
      </c>
      <c r="O424" s="15" t="n">
        <f aca="false">SUMPRODUCT(E424:N424,1/(1+$F$400)^$E$3:$N$3)*$E$2</f>
        <v>7259.78079717942</v>
      </c>
      <c r="P424" s="15" t="n">
        <f aca="false">N424*$E$2*(1+$I$400)/($F$400-$I$400)/(1+$F$400)^$N$3</f>
        <v>10390.7362080632</v>
      </c>
      <c r="Q424" s="15" t="n">
        <f aca="false">O424+P424</f>
        <v>17650.5170052426</v>
      </c>
      <c r="R424" s="15" t="n">
        <f aca="false">Q424-$G$2+$I$2</f>
        <v>12830.0170052426</v>
      </c>
      <c r="S424" s="42" t="n">
        <f aca="false">R424/$K$2</f>
        <v>66.9625104657756</v>
      </c>
      <c r="T424" s="43" t="n">
        <f aca="false">S424-$M$2</f>
        <v>8.87538757581297E-005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0.0850734710693359</v>
      </c>
      <c r="C425" s="25" t="n">
        <f aca="false">IF(T424&gt;0,D424,C424)</f>
        <v>0.0850736498832703</v>
      </c>
      <c r="D425" s="41" t="n">
        <f aca="false">(B425+C425)/2</f>
        <v>0.0850735604763031</v>
      </c>
      <c r="E425" s="15" t="n">
        <f aca="false">$C$2*(1+IF(E$3&lt;=$O$2,$D425,$D425-($D425-$I$400)*MIN(E$3-$O$2,$Q$2)/$Q$2))</f>
        <v>5316.86044633389</v>
      </c>
      <c r="F425" s="15" t="n">
        <f aca="false">E425*(1+IF(F$3&lt;=$O$2,$D425,$D425-($D425-$I$400)*MIN(F$3-$O$2,$Q$2)/$Q$2))</f>
        <v>5769.18469505914</v>
      </c>
      <c r="G425" s="15" t="n">
        <f aca="false">F425*(1+IF(G$3&lt;=$O$2,$D425,$D425-($D425-$I$400)*MIN(G$3-$O$2,$Q$2)/$Q$2))</f>
        <v>6259.98977811321</v>
      </c>
      <c r="H425" s="15" t="n">
        <f aca="false">G425*(1+IF(H$3&lt;=$O$2,$D425,$D425-($D425-$I$400)*MIN(H$3-$O$2,$Q$2)/$Q$2))</f>
        <v>6792.54939708257</v>
      </c>
      <c r="I425" s="15" t="n">
        <f aca="false">H425*(1+IF(I$3&lt;=$O$2,$D425,$D425-($D425-$I$400)*MIN(I$3-$O$2,$Q$2)/$Q$2))</f>
        <v>7370.41575900355</v>
      </c>
      <c r="J425" s="15" t="n">
        <f aca="false">I425*(1+IF(J$3&lt;=$O$2,$D425,$D425-($D425-$I$400)*MIN(J$3-$O$2,$Q$2)/$Q$2))</f>
        <v>7921.12473660578</v>
      </c>
      <c r="K425" s="15" t="n">
        <f aca="false">J425*(1+IF(K$3&lt;=$O$2,$D425,$D425-($D425-$I$400)*MIN(K$3-$O$2,$Q$2)/$Q$2))</f>
        <v>8430.96108868935</v>
      </c>
      <c r="L425" s="15" t="n">
        <f aca="false">K425*(1+IF(L$3&lt;=$O$2,$D425,$D425-($D425-$I$400)*MIN(L$3-$O$2,$Q$2)/$Q$2))</f>
        <v>8886.31244246215</v>
      </c>
      <c r="M425" s="15" t="n">
        <f aca="false">L425*(1+IF(M$3&lt;=$O$2,$D425,$D425-($D425-$I$400)*MIN(M$3-$O$2,$Q$2)/$Q$2))</f>
        <v>9274.24185372637</v>
      </c>
      <c r="N425" s="15" t="n">
        <f aca="false">M425*(1+IF(N$3&lt;=$O$2,$D425,$D425-($D425-$I$400)*MIN(N$3-$O$2,$Q$2)/$Q$2))</f>
        <v>9583.07410745546</v>
      </c>
      <c r="O425" s="15" t="n">
        <f aca="false">SUMPRODUCT(E425:N425,1/(1+$F$400)^$E$3:$N$3)*$E$2</f>
        <v>7259.77799130353</v>
      </c>
      <c r="P425" s="15" t="n">
        <f aca="false">N425*$E$2*(1+$I$400)/($F$400-$I$400)/(1+$F$400)^$N$3</f>
        <v>10390.7301814127</v>
      </c>
      <c r="Q425" s="15" t="n">
        <f aca="false">O425+P425</f>
        <v>17650.5081727162</v>
      </c>
      <c r="R425" s="15" t="n">
        <f aca="false">Q425-$G$2+$I$2</f>
        <v>12830.0081727162</v>
      </c>
      <c r="S425" s="42" t="n">
        <f aca="false">R425/$K$2</f>
        <v>66.9624643669947</v>
      </c>
      <c r="T425" s="43" t="n">
        <f aca="false">S425-$M$2</f>
        <v>4.26550949441662E-005</v>
      </c>
    </row>
    <row r="427" customFormat="false" ht="15" hidden="false" customHeight="false" outlineLevel="0" collapsed="false">
      <c r="A427" s="38" t="s">
        <v>187</v>
      </c>
      <c r="E427" s="5" t="s">
        <v>11</v>
      </c>
      <c r="F427" s="12" t="n">
        <f aca="false">Sensitivity!$B$12</f>
        <v>0.0950848977416375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153</v>
      </c>
      <c r="B428" s="28" t="s">
        <v>154</v>
      </c>
      <c r="C428" s="28" t="s">
        <v>155</v>
      </c>
      <c r="D428" s="28" t="s">
        <v>156</v>
      </c>
      <c r="E428" s="28" t="s">
        <v>157</v>
      </c>
      <c r="F428" s="28" t="s">
        <v>158</v>
      </c>
      <c r="G428" s="28" t="s">
        <v>159</v>
      </c>
      <c r="H428" s="28" t="s">
        <v>160</v>
      </c>
      <c r="I428" s="28" t="s">
        <v>161</v>
      </c>
      <c r="J428" s="28" t="s">
        <v>162</v>
      </c>
      <c r="K428" s="28" t="s">
        <v>163</v>
      </c>
      <c r="L428" s="28" t="s">
        <v>164</v>
      </c>
      <c r="M428" s="28" t="s">
        <v>165</v>
      </c>
      <c r="N428" s="28" t="s">
        <v>166</v>
      </c>
      <c r="O428" s="28" t="s">
        <v>167</v>
      </c>
      <c r="P428" s="28" t="s">
        <v>168</v>
      </c>
      <c r="Q428" s="28" t="s">
        <v>169</v>
      </c>
      <c r="R428" s="28" t="s">
        <v>170</v>
      </c>
      <c r="S428" s="28" t="s">
        <v>171</v>
      </c>
      <c r="T428" s="28" t="s">
        <v>172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6125</v>
      </c>
      <c r="F429" s="15" t="n">
        <f aca="false">E429*(1+IF(F$3&lt;=$O$2,$D429,$D429-($D429-$I$427)*MIN(F$3-$O$2,$Q$2)/$Q$2))</f>
        <v>7656.25</v>
      </c>
      <c r="G429" s="15" t="n">
        <f aca="false">F429*(1+IF(G$3&lt;=$O$2,$D429,$D429-($D429-$I$427)*MIN(G$3-$O$2,$Q$2)/$Q$2))</f>
        <v>9570.3125</v>
      </c>
      <c r="H429" s="15" t="n">
        <f aca="false">G429*(1+IF(H$3&lt;=$O$2,$D429,$D429-($D429-$I$427)*MIN(H$3-$O$2,$Q$2)/$Q$2))</f>
        <v>11962.890625</v>
      </c>
      <c r="I429" s="15" t="n">
        <f aca="false">H429*(1+IF(I$3&lt;=$O$2,$D429,$D429-($D429-$I$427)*MIN(I$3-$O$2,$Q$2)/$Q$2))</f>
        <v>14953.61328125</v>
      </c>
      <c r="J429" s="15" t="n">
        <f aca="false">I429*(1+IF(J$3&lt;=$O$2,$D429,$D429-($D429-$I$427)*MIN(J$3-$O$2,$Q$2)/$Q$2))</f>
        <v>18058.8806152344</v>
      </c>
      <c r="K429" s="15" t="n">
        <f aca="false">J429*(1+IF(K$3&lt;=$O$2,$D429,$D429-($D429-$I$427)*MIN(K$3-$O$2,$Q$2)/$Q$2))</f>
        <v>21044.3747585449</v>
      </c>
      <c r="L429" s="15" t="n">
        <f aca="false">K429*(1+IF(L$3&lt;=$O$2,$D429,$D429-($D429-$I$427)*MIN(L$3-$O$2,$Q$2)/$Q$2))</f>
        <v>23632.4119663508</v>
      </c>
      <c r="M429" s="15" t="n">
        <f aca="false">L429*(1+IF(M$3&lt;=$O$2,$D429,$D429-($D429-$I$427)*MIN(M$3-$O$2,$Q$2)/$Q$2))</f>
        <v>25538.1296673173</v>
      </c>
      <c r="N429" s="15" t="n">
        <f aca="false">M429*(1+IF(N$3&lt;=$O$2,$D429,$D429-($D429-$I$427)*MIN(N$3-$O$2,$Q$2)/$Q$2))</f>
        <v>26516.2400335756</v>
      </c>
      <c r="O429" s="15" t="n">
        <f aca="false">SUMPRODUCT(E429:N429,1/(1+$F$427)^$E$3:$N$3)*$E$2</f>
        <v>14807.3105560669</v>
      </c>
      <c r="P429" s="15" t="n">
        <f aca="false">N429*$E$2*(1+$I$427)/($F$427-$I$427)/(1+$F$427)^$N$3</f>
        <v>31433.9582096867</v>
      </c>
      <c r="Q429" s="15" t="n">
        <f aca="false">O429+P429</f>
        <v>46241.2687657536</v>
      </c>
      <c r="R429" s="15" t="n">
        <f aca="false">Q429-$G$2+$I$2</f>
        <v>41420.7687657536</v>
      </c>
      <c r="S429" s="42" t="n">
        <f aca="false">R429/$K$2</f>
        <v>216.183553057169</v>
      </c>
      <c r="T429" s="43" t="n">
        <f aca="false">S429-$M$2</f>
        <v>149.221131345269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4287.5</v>
      </c>
      <c r="F430" s="15" t="n">
        <f aca="false">E430*(1+IF(F$3&lt;=$O$2,$D430,$D430-($D430-$I$427)*MIN(F$3-$O$2,$Q$2)/$Q$2))</f>
        <v>3751.5625</v>
      </c>
      <c r="G430" s="15" t="n">
        <f aca="false">F430*(1+IF(G$3&lt;=$O$2,$D430,$D430-($D430-$I$427)*MIN(G$3-$O$2,$Q$2)/$Q$2))</f>
        <v>3282.6171875</v>
      </c>
      <c r="H430" s="15" t="n">
        <f aca="false">G430*(1+IF(H$3&lt;=$O$2,$D430,$D430-($D430-$I$427)*MIN(H$3-$O$2,$Q$2)/$Q$2))</f>
        <v>2872.2900390625</v>
      </c>
      <c r="I430" s="15" t="n">
        <f aca="false">H430*(1+IF(I$3&lt;=$O$2,$D430,$D430-($D430-$I$427)*MIN(I$3-$O$2,$Q$2)/$Q$2))</f>
        <v>2513.25378417969</v>
      </c>
      <c r="J430" s="15" t="n">
        <f aca="false">I430*(1+IF(J$3&lt;=$O$2,$D430,$D430-($D430-$I$427)*MIN(J$3-$O$2,$Q$2)/$Q$2))</f>
        <v>2281.17992974854</v>
      </c>
      <c r="K430" s="15" t="n">
        <f aca="false">J430*(1+IF(K$3&lt;=$O$2,$D430,$D430-($D430-$I$427)*MIN(K$3-$O$2,$Q$2)/$Q$2))</f>
        <v>2145.03911154114</v>
      </c>
      <c r="L430" s="15" t="n">
        <f aca="false">K430*(1+IF(L$3&lt;=$O$2,$D430,$D430-($D430-$I$427)*MIN(L$3-$O$2,$Q$2)/$Q$2))</f>
        <v>2087.0801547473</v>
      </c>
      <c r="M430" s="15" t="n">
        <f aca="false">L430*(1+IF(M$3&lt;=$O$2,$D430,$D430-($D430-$I$427)*MIN(M$3-$O$2,$Q$2)/$Q$2))</f>
        <v>2098.85128682008</v>
      </c>
      <c r="N430" s="15" t="n">
        <f aca="false">M430*(1+IF(N$3&lt;=$O$2,$D430,$D430-($D430-$I$427)*MIN(N$3-$O$2,$Q$2)/$Q$2))</f>
        <v>2179.23729110529</v>
      </c>
      <c r="O430" s="15" t="n">
        <f aca="false">SUMPRODUCT(E430:N430,1/(1+$F$427)^$E$3:$N$3)*$E$2</f>
        <v>2960.1629633325</v>
      </c>
      <c r="P430" s="15" t="n">
        <f aca="false">N430*$E$2*(1+$I$427)/($F$427-$I$427)/(1+$F$427)^$N$3</f>
        <v>2583.39997868685</v>
      </c>
      <c r="Q430" s="15" t="n">
        <f aca="false">O430+P430</f>
        <v>5543.56294201934</v>
      </c>
      <c r="R430" s="15" t="n">
        <f aca="false">Q430-$G$2+$I$2</f>
        <v>723.062942019342</v>
      </c>
      <c r="S430" s="42" t="n">
        <f aca="false">R430/$K$2</f>
        <v>3.77381493747047</v>
      </c>
      <c r="T430" s="43" t="n">
        <f aca="false">S430-$M$2</f>
        <v>-63.1886067744293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5206.25</v>
      </c>
      <c r="F431" s="15" t="n">
        <f aca="false">E431*(1+IF(F$3&lt;=$O$2,$D431,$D431-($D431-$I$427)*MIN(F$3-$O$2,$Q$2)/$Q$2))</f>
        <v>5531.640625</v>
      </c>
      <c r="G431" s="15" t="n">
        <f aca="false">F431*(1+IF(G$3&lt;=$O$2,$D431,$D431-($D431-$I$427)*MIN(G$3-$O$2,$Q$2)/$Q$2))</f>
        <v>5877.3681640625</v>
      </c>
      <c r="H431" s="15" t="n">
        <f aca="false">G431*(1+IF(H$3&lt;=$O$2,$D431,$D431-($D431-$I$427)*MIN(H$3-$O$2,$Q$2)/$Q$2))</f>
        <v>6244.70367431641</v>
      </c>
      <c r="I431" s="15" t="n">
        <f aca="false">H431*(1+IF(I$3&lt;=$O$2,$D431,$D431-($D431-$I$427)*MIN(I$3-$O$2,$Q$2)/$Q$2))</f>
        <v>6634.99765396118</v>
      </c>
      <c r="J431" s="15" t="n">
        <f aca="false">I431*(1+IF(J$3&lt;=$O$2,$D431,$D431-($D431-$I$427)*MIN(J$3-$O$2,$Q$2)/$Q$2))</f>
        <v>7017.57161868858</v>
      </c>
      <c r="K431" s="15" t="n">
        <f aca="false">J431*(1+IF(K$3&lt;=$O$2,$D431,$D431-($D431-$I$427)*MIN(K$3-$O$2,$Q$2)/$Q$2))</f>
        <v>7388.23975158772</v>
      </c>
      <c r="L431" s="15" t="n">
        <f aca="false">K431*(1+IF(L$3&lt;=$O$2,$D431,$D431-($D431-$I$427)*MIN(L$3-$O$2,$Q$2)/$Q$2))</f>
        <v>7742.72749486889</v>
      </c>
      <c r="M431" s="15" t="n">
        <f aca="false">L431*(1+IF(M$3&lt;=$O$2,$D431,$D431-($D431-$I$427)*MIN(M$3-$O$2,$Q$2)/$Q$2))</f>
        <v>8076.74875899754</v>
      </c>
      <c r="N431" s="15" t="n">
        <f aca="false">M431*(1+IF(N$3&lt;=$O$2,$D431,$D431-($D431-$I$427)*MIN(N$3-$O$2,$Q$2)/$Q$2))</f>
        <v>8386.08823646714</v>
      </c>
      <c r="O431" s="15" t="n">
        <f aca="false">SUMPRODUCT(E431:N431,1/(1+$F$427)^$E$3:$N$3)*$E$2</f>
        <v>6603.93423289117</v>
      </c>
      <c r="P431" s="15" t="n">
        <f aca="false">N431*$E$2*(1+$I$427)/($F$427-$I$427)/(1+$F$427)^$N$3</f>
        <v>9941.37731571543</v>
      </c>
      <c r="Q431" s="15" t="n">
        <f aca="false">O431+P431</f>
        <v>16545.3115486066</v>
      </c>
      <c r="R431" s="15" t="n">
        <f aca="false">Q431-$G$2+$I$2</f>
        <v>11724.8115486066</v>
      </c>
      <c r="S431" s="42" t="n">
        <f aca="false">R431/$K$2</f>
        <v>61.1942147630824</v>
      </c>
      <c r="T431" s="43" t="n">
        <f aca="false">S431-$M$2</f>
        <v>-5.76820694881736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0.0625</v>
      </c>
      <c r="C432" s="25" t="n">
        <f aca="false">IF(T431&gt;0,D431,C431)</f>
        <v>0.25</v>
      </c>
      <c r="D432" s="41" t="n">
        <f aca="false">(B432+C432)/2</f>
        <v>0.15625</v>
      </c>
      <c r="E432" s="15" t="n">
        <f aca="false">$C$2*(1+IF(E$3&lt;=$O$2,$D432,$D432-($D432-$I$427)*MIN(E$3-$O$2,$Q$2)/$Q$2))</f>
        <v>5665.625</v>
      </c>
      <c r="F432" s="15" t="n">
        <f aca="false">E432*(1+IF(F$3&lt;=$O$2,$D432,$D432-($D432-$I$427)*MIN(F$3-$O$2,$Q$2)/$Q$2))</f>
        <v>6550.87890625</v>
      </c>
      <c r="G432" s="15" t="n">
        <f aca="false">F432*(1+IF(G$3&lt;=$O$2,$D432,$D432-($D432-$I$427)*MIN(G$3-$O$2,$Q$2)/$Q$2))</f>
        <v>7574.45373535156</v>
      </c>
      <c r="H432" s="15" t="n">
        <f aca="false">G432*(1+IF(H$3&lt;=$O$2,$D432,$D432-($D432-$I$427)*MIN(H$3-$O$2,$Q$2)/$Q$2))</f>
        <v>8757.96213150024</v>
      </c>
      <c r="I432" s="15" t="n">
        <f aca="false">H432*(1+IF(I$3&lt;=$O$2,$D432,$D432-($D432-$I$427)*MIN(I$3-$O$2,$Q$2)/$Q$2))</f>
        <v>10126.3937145472</v>
      </c>
      <c r="J432" s="15" t="n">
        <f aca="false">I432*(1+IF(J$3&lt;=$O$2,$D432,$D432-($D432-$I$427)*MIN(J$3-$O$2,$Q$2)/$Q$2))</f>
        <v>11469.761104719</v>
      </c>
      <c r="K432" s="15" t="n">
        <f aca="false">J432*(1+IF(K$3&lt;=$O$2,$D432,$D432-($D432-$I$427)*MIN(K$3-$O$2,$Q$2)/$Q$2))</f>
        <v>12720.7679484107</v>
      </c>
      <c r="L432" s="15" t="n">
        <f aca="false">K432*(1+IF(L$3&lt;=$O$2,$D432,$D432-($D432-$I$427)*MIN(L$3-$O$2,$Q$2)/$Q$2))</f>
        <v>13808.1391926408</v>
      </c>
      <c r="M432" s="15" t="n">
        <f aca="false">L432*(1+IF(M$3&lt;=$O$2,$D432,$D432-($D432-$I$427)*MIN(M$3-$O$2,$Q$2)/$Q$2))</f>
        <v>14662.7249272734</v>
      </c>
      <c r="N432" s="15" t="n">
        <f aca="false">M432*(1+IF(N$3&lt;=$O$2,$D432,$D432-($D432-$I$427)*MIN(N$3-$O$2,$Q$2)/$Q$2))</f>
        <v>15224.3072919879</v>
      </c>
      <c r="O432" s="15" t="n">
        <f aca="false">SUMPRODUCT(E432:N432,1/(1+$F$427)^$E$3:$N$3)*$E$2</f>
        <v>9904.97311070716</v>
      </c>
      <c r="P432" s="15" t="n">
        <f aca="false">N432*$E$2*(1+$I$427)/($F$427-$I$427)/(1+$F$427)^$N$3</f>
        <v>18047.8166807138</v>
      </c>
      <c r="Q432" s="15" t="n">
        <f aca="false">O432+P432</f>
        <v>27952.789791421</v>
      </c>
      <c r="R432" s="15" t="n">
        <f aca="false">Q432-$G$2+$I$2</f>
        <v>23132.289791421</v>
      </c>
      <c r="S432" s="42" t="n">
        <f aca="false">R432/$K$2</f>
        <v>120.732201416602</v>
      </c>
      <c r="T432" s="43" t="n">
        <f aca="false">S432-$M$2</f>
        <v>53.7697797047026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0.0625</v>
      </c>
      <c r="C433" s="25" t="n">
        <f aca="false">IF(T432&gt;0,D432,C432)</f>
        <v>0.15625</v>
      </c>
      <c r="D433" s="41" t="n">
        <f aca="false">(B433+C433)/2</f>
        <v>0.109375</v>
      </c>
      <c r="E433" s="15" t="n">
        <f aca="false">$C$2*(1+IF(E$3&lt;=$O$2,$D433,$D433-($D433-$I$427)*MIN(E$3-$O$2,$Q$2)/$Q$2))</f>
        <v>5435.9375</v>
      </c>
      <c r="F433" s="15" t="n">
        <f aca="false">E433*(1+IF(F$3&lt;=$O$2,$D433,$D433-($D433-$I$427)*MIN(F$3-$O$2,$Q$2)/$Q$2))</f>
        <v>6030.4931640625</v>
      </c>
      <c r="G433" s="15" t="n">
        <f aca="false">F433*(1+IF(G$3&lt;=$O$2,$D433,$D433-($D433-$I$427)*MIN(G$3-$O$2,$Q$2)/$Q$2))</f>
        <v>6690.07835388184</v>
      </c>
      <c r="H433" s="15" t="n">
        <f aca="false">G433*(1+IF(H$3&lt;=$O$2,$D433,$D433-($D433-$I$427)*MIN(H$3-$O$2,$Q$2)/$Q$2))</f>
        <v>7421.80567383766</v>
      </c>
      <c r="I433" s="15" t="n">
        <f aca="false">H433*(1+IF(I$3&lt;=$O$2,$D433,$D433-($D433-$I$427)*MIN(I$3-$O$2,$Q$2)/$Q$2))</f>
        <v>8233.56566941366</v>
      </c>
      <c r="J433" s="15" t="n">
        <f aca="false">I433*(1+IF(J$3&lt;=$O$2,$D433,$D433-($D433-$I$427)*MIN(J$3-$O$2,$Q$2)/$Q$2))</f>
        <v>9017.07177851506</v>
      </c>
      <c r="K433" s="15" t="n">
        <f aca="false">J433*(1+IF(K$3&lt;=$O$2,$D433,$D433-($D433-$I$427)*MIN(K$3-$O$2,$Q$2)/$Q$2))</f>
        <v>9746.95865362696</v>
      </c>
      <c r="L433" s="15" t="n">
        <f aca="false">K433*(1+IF(L$3&lt;=$O$2,$D433,$D433-($D433-$I$427)*MIN(L$3-$O$2,$Q$2)/$Q$2))</f>
        <v>10397.3732045835</v>
      </c>
      <c r="M433" s="15" t="n">
        <f aca="false">L433*(1+IF(M$3&lt;=$O$2,$D433,$D433-($D433-$I$427)*MIN(M$3-$O$2,$Q$2)/$Q$2))</f>
        <v>10943.3912584222</v>
      </c>
      <c r="N433" s="15" t="n">
        <f aca="false">M433*(1+IF(N$3&lt;=$O$2,$D433,$D433-($D433-$I$427)*MIN(N$3-$O$2,$Q$2)/$Q$2))</f>
        <v>11362.5231436198</v>
      </c>
      <c r="O433" s="15" t="n">
        <f aca="false">SUMPRODUCT(E433:N433,1/(1+$F$427)^$E$3:$N$3)*$E$2</f>
        <v>8089.0332154117</v>
      </c>
      <c r="P433" s="15" t="n">
        <f aca="false">N433*$E$2*(1+$I$427)/($F$427-$I$427)/(1+$F$427)^$N$3</f>
        <v>13469.8236703577</v>
      </c>
      <c r="Q433" s="15" t="n">
        <f aca="false">O433+P433</f>
        <v>21558.8568857694</v>
      </c>
      <c r="R433" s="15" t="n">
        <f aca="false">Q433-$G$2+$I$2</f>
        <v>16738.3568857694</v>
      </c>
      <c r="S433" s="42" t="n">
        <f aca="false">R433/$K$2</f>
        <v>87.3609440802158</v>
      </c>
      <c r="T433" s="43" t="n">
        <f aca="false">S433-$M$2</f>
        <v>20.398522368316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0.0625</v>
      </c>
      <c r="C434" s="25" t="n">
        <f aca="false">IF(T433&gt;0,D433,C433)</f>
        <v>0.109375</v>
      </c>
      <c r="D434" s="41" t="n">
        <f aca="false">(B434+C434)/2</f>
        <v>0.0859375</v>
      </c>
      <c r="E434" s="15" t="n">
        <f aca="false">$C$2*(1+IF(E$3&lt;=$O$2,$D434,$D434-($D434-$I$427)*MIN(E$3-$O$2,$Q$2)/$Q$2))</f>
        <v>5321.09375</v>
      </c>
      <c r="F434" s="15" t="n">
        <f aca="false">E434*(1+IF(F$3&lt;=$O$2,$D434,$D434-($D434-$I$427)*MIN(F$3-$O$2,$Q$2)/$Q$2))</f>
        <v>5778.37524414063</v>
      </c>
      <c r="G434" s="15" t="n">
        <f aca="false">F434*(1+IF(G$3&lt;=$O$2,$D434,$D434-($D434-$I$427)*MIN(G$3-$O$2,$Q$2)/$Q$2))</f>
        <v>6274.95436668396</v>
      </c>
      <c r="H434" s="15" t="n">
        <f aca="false">G434*(1+IF(H$3&lt;=$O$2,$D434,$D434-($D434-$I$427)*MIN(H$3-$O$2,$Q$2)/$Q$2))</f>
        <v>6814.20825757086</v>
      </c>
      <c r="I434" s="15" t="n">
        <f aca="false">H434*(1+IF(I$3&lt;=$O$2,$D434,$D434-($D434-$I$427)*MIN(I$3-$O$2,$Q$2)/$Q$2))</f>
        <v>7399.80427970586</v>
      </c>
      <c r="J434" s="15" t="n">
        <f aca="false">I434*(1+IF(J$3&lt;=$O$2,$D434,$D434-($D434-$I$427)*MIN(J$3-$O$2,$Q$2)/$Q$2))</f>
        <v>7965.22332471818</v>
      </c>
      <c r="K434" s="15" t="n">
        <f aca="false">J434*(1+IF(K$3&lt;=$O$2,$D434,$D434-($D434-$I$427)*MIN(K$3-$O$2,$Q$2)/$Q$2))</f>
        <v>8497.95737373365</v>
      </c>
      <c r="L434" s="15" t="n">
        <f aca="false">K434*(1+IF(L$3&lt;=$O$2,$D434,$D434-($D434-$I$427)*MIN(L$3-$O$2,$Q$2)/$Q$2))</f>
        <v>8985.35771890414</v>
      </c>
      <c r="M434" s="15" t="n">
        <f aca="false">L434*(1+IF(M$3&lt;=$O$2,$D434,$D434-($D434-$I$427)*MIN(M$3-$O$2,$Q$2)/$Q$2))</f>
        <v>9415.10491520503</v>
      </c>
      <c r="N434" s="15" t="n">
        <f aca="false">M434*(1+IF(N$3&lt;=$O$2,$D434,$D434-($D434-$I$427)*MIN(N$3-$O$2,$Q$2)/$Q$2))</f>
        <v>9775.70343345738</v>
      </c>
      <c r="O434" s="15" t="n">
        <f aca="false">SUMPRODUCT(E434:N434,1/(1+$F$427)^$E$3:$N$3)*$E$2</f>
        <v>7308.89267292948</v>
      </c>
      <c r="P434" s="15" t="n">
        <f aca="false">N434*$E$2*(1+$I$427)/($F$427-$I$427)/(1+$F$427)^$N$3</f>
        <v>11588.7114013334</v>
      </c>
      <c r="Q434" s="15" t="n">
        <f aca="false">O434+P434</f>
        <v>18897.6040742629</v>
      </c>
      <c r="R434" s="15" t="n">
        <f aca="false">Q434-$G$2+$I$2</f>
        <v>14077.1040742629</v>
      </c>
      <c r="S434" s="42" t="n">
        <f aca="false">R434/$K$2</f>
        <v>73.4713156276768</v>
      </c>
      <c r="T434" s="43" t="n">
        <f aca="false">S434-$M$2</f>
        <v>6.50889391577701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0.0625</v>
      </c>
      <c r="C435" s="25" t="n">
        <f aca="false">IF(T434&gt;0,D434,C434)</f>
        <v>0.0859375</v>
      </c>
      <c r="D435" s="41" t="n">
        <f aca="false">(B435+C435)/2</f>
        <v>0.07421875</v>
      </c>
      <c r="E435" s="15" t="n">
        <f aca="false">$C$2*(1+IF(E$3&lt;=$O$2,$D435,$D435-($D435-$I$427)*MIN(E$3-$O$2,$Q$2)/$Q$2))</f>
        <v>5263.671875</v>
      </c>
      <c r="F435" s="15" t="n">
        <f aca="false">E435*(1+IF(F$3&lt;=$O$2,$D435,$D435-($D435-$I$427)*MIN(F$3-$O$2,$Q$2)/$Q$2))</f>
        <v>5654.33502197266</v>
      </c>
      <c r="G435" s="15" t="n">
        <f aca="false">F435*(1+IF(G$3&lt;=$O$2,$D435,$D435-($D435-$I$427)*MIN(G$3-$O$2,$Q$2)/$Q$2))</f>
        <v>6073.99269938469</v>
      </c>
      <c r="H435" s="15" t="n">
        <f aca="false">G435*(1+IF(H$3&lt;=$O$2,$D435,$D435-($D435-$I$427)*MIN(H$3-$O$2,$Q$2)/$Q$2))</f>
        <v>6524.79684504215</v>
      </c>
      <c r="I435" s="15" t="n">
        <f aca="false">H435*(1+IF(I$3&lt;=$O$2,$D435,$D435-($D435-$I$427)*MIN(I$3-$O$2,$Q$2)/$Q$2))</f>
        <v>7009.05911088512</v>
      </c>
      <c r="J435" s="15" t="n">
        <f aca="false">I435*(1+IF(J$3&lt;=$O$2,$D435,$D435-($D435-$I$427)*MIN(J$3-$O$2,$Q$2)/$Q$2))</f>
        <v>7478.9113883833</v>
      </c>
      <c r="K435" s="15" t="n">
        <f aca="false">J435*(1+IF(K$3&lt;=$O$2,$D435,$D435-($D435-$I$427)*MIN(K$3-$O$2,$Q$2)/$Q$2))</f>
        <v>7926.53358361728</v>
      </c>
      <c r="L435" s="15" t="n">
        <f aca="false">K435*(1+IF(L$3&lt;=$O$2,$D435,$D435-($D435-$I$427)*MIN(L$3-$O$2,$Q$2)/$Q$2))</f>
        <v>8344.00429113244</v>
      </c>
      <c r="M435" s="15" t="n">
        <f aca="false">L435*(1+IF(M$3&lt;=$O$2,$D435,$D435-($D435-$I$427)*MIN(M$3-$O$2,$Q$2)/$Q$2))</f>
        <v>8723.52089630924</v>
      </c>
      <c r="N435" s="15" t="n">
        <f aca="false">M435*(1+IF(N$3&lt;=$O$2,$D435,$D435-($D435-$I$427)*MIN(N$3-$O$2,$Q$2)/$Q$2))</f>
        <v>9057.63174663788</v>
      </c>
      <c r="O435" s="15" t="n">
        <f aca="false">SUMPRODUCT(E435:N435,1/(1+$F$427)^$E$3:$N$3)*$E$2</f>
        <v>6947.45349971529</v>
      </c>
      <c r="P435" s="15" t="n">
        <f aca="false">N435*$E$2*(1+$I$427)/($F$427-$I$427)/(1+$F$427)^$N$3</f>
        <v>10737.465698079</v>
      </c>
      <c r="Q435" s="15" t="n">
        <f aca="false">O435+P435</f>
        <v>17684.9191977943</v>
      </c>
      <c r="R435" s="15" t="n">
        <f aca="false">Q435-$G$2+$I$2</f>
        <v>12864.4191977943</v>
      </c>
      <c r="S435" s="42" t="n">
        <f aca="false">R435/$K$2</f>
        <v>67.1420626189681</v>
      </c>
      <c r="T435" s="43" t="n">
        <f aca="false">S435-$M$2</f>
        <v>0.179640907068276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0.0625</v>
      </c>
      <c r="C436" s="25" t="n">
        <f aca="false">IF(T435&gt;0,D435,C435)</f>
        <v>0.07421875</v>
      </c>
      <c r="D436" s="41" t="n">
        <f aca="false">(B436+C436)/2</f>
        <v>0.068359375</v>
      </c>
      <c r="E436" s="15" t="n">
        <f aca="false">$C$2*(1+IF(E$3&lt;=$O$2,$D436,$D436-($D436-$I$427)*MIN(E$3-$O$2,$Q$2)/$Q$2))</f>
        <v>5234.9609375</v>
      </c>
      <c r="F436" s="15" t="n">
        <f aca="false">E436*(1+IF(F$3&lt;=$O$2,$D436,$D436-($D436-$I$427)*MIN(F$3-$O$2,$Q$2)/$Q$2))</f>
        <v>5592.81959533691</v>
      </c>
      <c r="G436" s="15" t="n">
        <f aca="false">F436*(1+IF(G$3&lt;=$O$2,$D436,$D436-($D436-$I$427)*MIN(G$3-$O$2,$Q$2)/$Q$2))</f>
        <v>5975.1412473619</v>
      </c>
      <c r="H436" s="15" t="n">
        <f aca="false">G436*(1+IF(H$3&lt;=$O$2,$D436,$D436-($D436-$I$427)*MIN(H$3-$O$2,$Q$2)/$Q$2))</f>
        <v>6383.59816856828</v>
      </c>
      <c r="I436" s="15" t="n">
        <f aca="false">H436*(1+IF(I$3&lt;=$O$2,$D436,$D436-($D436-$I$427)*MIN(I$3-$O$2,$Q$2)/$Q$2))</f>
        <v>6819.97694962275</v>
      </c>
      <c r="J436" s="15" t="n">
        <f aca="false">I436*(1+IF(J$3&lt;=$O$2,$D436,$D436-($D436-$I$427)*MIN(J$3-$O$2,$Q$2)/$Q$2))</f>
        <v>7245.18546248935</v>
      </c>
      <c r="K436" s="15" t="n">
        <f aca="false">J436*(1+IF(K$3&lt;=$O$2,$D436,$D436-($D436-$I$427)*MIN(K$3-$O$2,$Q$2)/$Q$2))</f>
        <v>7653.34751375961</v>
      </c>
      <c r="L436" s="15" t="n">
        <f aca="false">K436*(1+IF(L$3&lt;=$O$2,$D436,$D436-($D436-$I$427)*MIN(L$3-$O$2,$Q$2)/$Q$2))</f>
        <v>8038.49266070517</v>
      </c>
      <c r="M436" s="15" t="n">
        <f aca="false">L436*(1+IF(M$3&lt;=$O$2,$D436,$D436-($D436-$I$427)*MIN(M$3-$O$2,$Q$2)/$Q$2))</f>
        <v>8394.69334267475</v>
      </c>
      <c r="N436" s="15" t="n">
        <f aca="false">M436*(1+IF(N$3&lt;=$O$2,$D436,$D436-($D436-$I$427)*MIN(N$3-$O$2,$Q$2)/$Q$2))</f>
        <v>8716.21009769919</v>
      </c>
      <c r="O436" s="15" t="n">
        <f aca="false">SUMPRODUCT(E436:N436,1/(1+$F$427)^$E$3:$N$3)*$E$2</f>
        <v>6773.50666187065</v>
      </c>
      <c r="P436" s="15" t="n">
        <f aca="false">N436*$E$2*(1+$I$427)/($F$427-$I$427)/(1+$F$427)^$N$3</f>
        <v>10332.7237802569</v>
      </c>
      <c r="Q436" s="15" t="n">
        <f aca="false">O436+P436</f>
        <v>17106.2304421275</v>
      </c>
      <c r="R436" s="15" t="n">
        <f aca="false">Q436-$G$2+$I$2</f>
        <v>12285.7304421275</v>
      </c>
      <c r="S436" s="42" t="n">
        <f aca="false">R436/$K$2</f>
        <v>64.121766399413</v>
      </c>
      <c r="T436" s="43" t="n">
        <f aca="false">S436-$M$2</f>
        <v>-2.8406553124868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0.068359375</v>
      </c>
      <c r="C437" s="25" t="n">
        <f aca="false">IF(T436&gt;0,D436,C436)</f>
        <v>0.07421875</v>
      </c>
      <c r="D437" s="41" t="n">
        <f aca="false">(B437+C437)/2</f>
        <v>0.0712890625</v>
      </c>
      <c r="E437" s="15" t="n">
        <f aca="false">$C$2*(1+IF(E$3&lt;=$O$2,$D437,$D437-($D437-$I$427)*MIN(E$3-$O$2,$Q$2)/$Q$2))</f>
        <v>5249.31640625</v>
      </c>
      <c r="F437" s="15" t="n">
        <f aca="false">E437*(1+IF(F$3&lt;=$O$2,$D437,$D437-($D437-$I$427)*MIN(F$3-$O$2,$Q$2)/$Q$2))</f>
        <v>5623.53525161743</v>
      </c>
      <c r="G437" s="15" t="n">
        <f aca="false">F437*(1+IF(G$3&lt;=$O$2,$D437,$D437-($D437-$I$427)*MIN(G$3-$O$2,$Q$2)/$Q$2))</f>
        <v>6024.43180764094</v>
      </c>
      <c r="H437" s="15" t="n">
        <f aca="false">G437*(1+IF(H$3&lt;=$O$2,$D437,$D437-($D437-$I$427)*MIN(H$3-$O$2,$Q$2)/$Q$2))</f>
        <v>6453.90790330284</v>
      </c>
      <c r="I437" s="15" t="n">
        <f aca="false">H437*(1+IF(I$3&lt;=$O$2,$D437,$D437-($D437-$I$427)*MIN(I$3-$O$2,$Q$2)/$Q$2))</f>
        <v>6914.00094719064</v>
      </c>
      <c r="J437" s="15" t="n">
        <f aca="false">I437*(1+IF(J$3&lt;=$O$2,$D437,$D437-($D437-$I$427)*MIN(J$3-$O$2,$Q$2)/$Q$2))</f>
        <v>7361.27631096559</v>
      </c>
      <c r="K437" s="15" t="n">
        <f aca="false">J437*(1+IF(K$3&lt;=$O$2,$D437,$D437-($D437-$I$427)*MIN(K$3-$O$2,$Q$2)/$Q$2))</f>
        <v>7788.9181562569</v>
      </c>
      <c r="L437" s="15" t="n">
        <f aca="false">K437*(1+IF(L$3&lt;=$O$2,$D437,$D437-($D437-$I$427)*MIN(L$3-$O$2,$Q$2)/$Q$2))</f>
        <v>8190.0133647872</v>
      </c>
      <c r="M437" s="15" t="n">
        <f aca="false">L437*(1+IF(M$3&lt;=$O$2,$D437,$D437-($D437-$I$427)*MIN(M$3-$O$2,$Q$2)/$Q$2))</f>
        <v>8557.72704921191</v>
      </c>
      <c r="N437" s="15" t="n">
        <f aca="false">M437*(1+IF(N$3&lt;=$O$2,$D437,$D437-($D437-$I$427)*MIN(N$3-$O$2,$Q$2)/$Q$2))</f>
        <v>8885.48799519672</v>
      </c>
      <c r="O437" s="15" t="n">
        <f aca="false">SUMPRODUCT(E437:N437,1/(1+$F$427)^$E$3:$N$3)*$E$2</f>
        <v>6859.92676651473</v>
      </c>
      <c r="P437" s="15" t="n">
        <f aca="false">N437*$E$2*(1+$I$427)/($F$427-$I$427)/(1+$F$427)^$N$3</f>
        <v>10533.3960606791</v>
      </c>
      <c r="Q437" s="15" t="n">
        <f aca="false">O437+P437</f>
        <v>17393.3228271938</v>
      </c>
      <c r="R437" s="15" t="n">
        <f aca="false">Q437-$G$2+$I$2</f>
        <v>12572.8228271938</v>
      </c>
      <c r="S437" s="42" t="n">
        <f aca="false">R437/$K$2</f>
        <v>65.6201608934961</v>
      </c>
      <c r="T437" s="43" t="n">
        <f aca="false">S437-$M$2</f>
        <v>-1.34226081840374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0.0712890625</v>
      </c>
      <c r="C438" s="25" t="n">
        <f aca="false">IF(T437&gt;0,D437,C437)</f>
        <v>0.07421875</v>
      </c>
      <c r="D438" s="41" t="n">
        <f aca="false">(B438+C438)/2</f>
        <v>0.07275390625</v>
      </c>
      <c r="E438" s="15" t="n">
        <f aca="false">$C$2*(1+IF(E$3&lt;=$O$2,$D438,$D438-($D438-$I$427)*MIN(E$3-$O$2,$Q$2)/$Q$2))</f>
        <v>5256.494140625</v>
      </c>
      <c r="F438" s="15" t="n">
        <f aca="false">E438*(1+IF(F$3&lt;=$O$2,$D438,$D438-($D438-$I$427)*MIN(F$3-$O$2,$Q$2)/$Q$2))</f>
        <v>5638.92462253571</v>
      </c>
      <c r="G438" s="15" t="n">
        <f aca="false">F438*(1+IF(G$3&lt;=$O$2,$D438,$D438-($D438-$I$427)*MIN(G$3-$O$2,$Q$2)/$Q$2))</f>
        <v>6049.17841587449</v>
      </c>
      <c r="H438" s="15" t="n">
        <f aca="false">G438*(1+IF(H$3&lt;=$O$2,$D438,$D438-($D438-$I$427)*MIN(H$3-$O$2,$Q$2)/$Q$2))</f>
        <v>6489.27977523254</v>
      </c>
      <c r="I438" s="15" t="n">
        <f aca="false">H438*(1+IF(I$3&lt;=$O$2,$D438,$D438-($D438-$I$427)*MIN(I$3-$O$2,$Q$2)/$Q$2))</f>
        <v>6961.40022762983</v>
      </c>
      <c r="J438" s="15" t="n">
        <f aca="false">I438*(1+IF(J$3&lt;=$O$2,$D438,$D438-($D438-$I$427)*MIN(J$3-$O$2,$Q$2)/$Q$2))</f>
        <v>7419.89980099724</v>
      </c>
      <c r="K438" s="15" t="n">
        <f aca="false">J438*(1+IF(K$3&lt;=$O$2,$D438,$D438-($D438-$I$427)*MIN(K$3-$O$2,$Q$2)/$Q$2))</f>
        <v>7857.46868265221</v>
      </c>
      <c r="L438" s="15" t="n">
        <f aca="false">K438*(1+IF(L$3&lt;=$O$2,$D438,$D438-($D438-$I$427)*MIN(L$3-$O$2,$Q$2)/$Q$2))</f>
        <v>8266.69792893955</v>
      </c>
      <c r="M438" s="15" t="n">
        <f aca="false">L438*(1+IF(M$3&lt;=$O$2,$D438,$D438-($D438-$I$427)*MIN(M$3-$O$2,$Q$2)/$Q$2))</f>
        <v>8640.27646670609</v>
      </c>
      <c r="N438" s="15" t="n">
        <f aca="false">M438*(1+IF(N$3&lt;=$O$2,$D438,$D438-($D438-$I$427)*MIN(N$3-$O$2,$Q$2)/$Q$2))</f>
        <v>8971.19905538093</v>
      </c>
      <c r="O438" s="15" t="n">
        <f aca="false">SUMPRODUCT(E438:N438,1/(1+$F$427)^$E$3:$N$3)*$E$2</f>
        <v>6903.55098303474</v>
      </c>
      <c r="P438" s="15" t="n">
        <f aca="false">N438*$E$2*(1+$I$427)/($F$427-$I$427)/(1+$F$427)^$N$3</f>
        <v>10635.0031467715</v>
      </c>
      <c r="Q438" s="15" t="n">
        <f aca="false">O438+P438</f>
        <v>17538.5541298063</v>
      </c>
      <c r="R438" s="15" t="n">
        <f aca="false">Q438-$G$2+$I$2</f>
        <v>12718.0541298063</v>
      </c>
      <c r="S438" s="42" t="n">
        <f aca="false">R438/$K$2</f>
        <v>66.3781530783208</v>
      </c>
      <c r="T438" s="43" t="n">
        <f aca="false">S438-$M$2</f>
        <v>-0.584268633579043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0.07275390625</v>
      </c>
      <c r="C439" s="25" t="n">
        <f aca="false">IF(T438&gt;0,D438,C438)</f>
        <v>0.07421875</v>
      </c>
      <c r="D439" s="41" t="n">
        <f aca="false">(B439+C439)/2</f>
        <v>0.073486328125</v>
      </c>
      <c r="E439" s="15" t="n">
        <f aca="false">$C$2*(1+IF(E$3&lt;=$O$2,$D439,$D439-($D439-$I$427)*MIN(E$3-$O$2,$Q$2)/$Q$2))</f>
        <v>5260.0830078125</v>
      </c>
      <c r="F439" s="15" t="n">
        <f aca="false">E439*(1+IF(F$3&lt;=$O$2,$D439,$D439-($D439-$I$427)*MIN(F$3-$O$2,$Q$2)/$Q$2))</f>
        <v>5646.62719368935</v>
      </c>
      <c r="G439" s="15" t="n">
        <f aca="false">F439*(1+IF(G$3&lt;=$O$2,$D439,$D439-($D439-$I$427)*MIN(G$3-$O$2,$Q$2)/$Q$2))</f>
        <v>6061.57709244435</v>
      </c>
      <c r="H439" s="15" t="n">
        <f aca="false">G439*(1+IF(H$3&lt;=$O$2,$D439,$D439-($D439-$I$427)*MIN(H$3-$O$2,$Q$2)/$Q$2))</f>
        <v>6507.0201356147</v>
      </c>
      <c r="I439" s="15" t="n">
        <f aca="false">H439*(1+IF(I$3&lt;=$O$2,$D439,$D439-($D439-$I$427)*MIN(I$3-$O$2,$Q$2)/$Q$2))</f>
        <v>6985.19715241646</v>
      </c>
      <c r="J439" s="15" t="n">
        <f aca="false">I439*(1+IF(J$3&lt;=$O$2,$D439,$D439-($D439-$I$427)*MIN(J$3-$O$2,$Q$2)/$Q$2))</f>
        <v>7449.35695457221</v>
      </c>
      <c r="K439" s="15" t="n">
        <f aca="false">J439*(1+IF(K$3&lt;=$O$2,$D439,$D439-($D439-$I$427)*MIN(K$3-$O$2,$Q$2)/$Q$2))</f>
        <v>7891.93663680662</v>
      </c>
      <c r="L439" s="15" t="n">
        <f aca="false">K439*(1+IF(L$3&lt;=$O$2,$D439,$D439-($D439-$I$427)*MIN(L$3-$O$2,$Q$2)/$Q$2))</f>
        <v>8305.27311881407</v>
      </c>
      <c r="M439" s="15" t="n">
        <f aca="false">L439*(1+IF(M$3&lt;=$O$2,$D439,$D439-($D439-$I$427)*MIN(M$3-$O$2,$Q$2)/$Q$2))</f>
        <v>8681.81149228991</v>
      </c>
      <c r="N439" s="15" t="n">
        <f aca="false">M439*(1+IF(N$3&lt;=$O$2,$D439,$D439-($D439-$I$427)*MIN(N$3-$O$2,$Q$2)/$Q$2))</f>
        <v>9014.32487244462</v>
      </c>
      <c r="O439" s="15" t="n">
        <f aca="false">SUMPRODUCT(E439:N439,1/(1+$F$427)^$E$3:$N$3)*$E$2</f>
        <v>6925.46735070289</v>
      </c>
      <c r="P439" s="15" t="n">
        <f aca="false">N439*$E$2*(1+$I$427)/($F$427-$I$427)/(1+$F$427)^$N$3</f>
        <v>10686.1271043772</v>
      </c>
      <c r="Q439" s="15" t="n">
        <f aca="false">O439+P439</f>
        <v>17611.5944550801</v>
      </c>
      <c r="R439" s="15" t="n">
        <f aca="false">Q439-$G$2+$I$2</f>
        <v>12791.0944550801</v>
      </c>
      <c r="S439" s="42" t="n">
        <f aca="false">R439/$K$2</f>
        <v>66.759365631942</v>
      </c>
      <c r="T439" s="43" t="n">
        <f aca="false">S439-$M$2</f>
        <v>-0.203056079957818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0.073486328125</v>
      </c>
      <c r="C440" s="25" t="n">
        <f aca="false">IF(T439&gt;0,D439,C439)</f>
        <v>0.07421875</v>
      </c>
      <c r="D440" s="41" t="n">
        <f aca="false">(B440+C440)/2</f>
        <v>0.0738525390625</v>
      </c>
      <c r="E440" s="15" t="n">
        <f aca="false">$C$2*(1+IF(E$3&lt;=$O$2,$D440,$D440-($D440-$I$427)*MIN(E$3-$O$2,$Q$2)/$Q$2))</f>
        <v>5261.87744140625</v>
      </c>
      <c r="F440" s="15" t="n">
        <f aca="false">E440*(1+IF(F$3&lt;=$O$2,$D440,$D440-($D440-$I$427)*MIN(F$3-$O$2,$Q$2)/$Q$2))</f>
        <v>5650.48045068979</v>
      </c>
      <c r="G440" s="15" t="n">
        <f aca="false">F440*(1+IF(G$3&lt;=$O$2,$D440,$D440-($D440-$I$427)*MIN(G$3-$O$2,$Q$2)/$Q$2))</f>
        <v>6067.78277889625</v>
      </c>
      <c r="H440" s="15" t="n">
        <f aca="false">G440*(1+IF(H$3&lt;=$O$2,$D440,$D440-($D440-$I$427)*MIN(H$3-$O$2,$Q$2)/$Q$2))</f>
        <v>6515.90394359745</v>
      </c>
      <c r="I440" s="15" t="n">
        <f aca="false">H440*(1+IF(I$3&lt;=$O$2,$D440,$D440-($D440-$I$427)*MIN(I$3-$O$2,$Q$2)/$Q$2))</f>
        <v>6997.11999411948</v>
      </c>
      <c r="J440" s="15" t="n">
        <f aca="false">I440*(1+IF(J$3&lt;=$O$2,$D440,$D440-($D440-$I$427)*MIN(J$3-$O$2,$Q$2)/$Q$2))</f>
        <v>7464.12199542701</v>
      </c>
      <c r="K440" s="15" t="n">
        <f aca="false">J440*(1+IF(K$3&lt;=$O$2,$D440,$D440-($D440-$I$427)*MIN(K$3-$O$2,$Q$2)/$Q$2))</f>
        <v>7909.21896113767</v>
      </c>
      <c r="L440" s="15" t="n">
        <f aca="false">K440*(1+IF(L$3&lt;=$O$2,$D440,$D440-($D440-$I$427)*MIN(L$3-$O$2,$Q$2)/$Q$2))</f>
        <v>8324.61917377713</v>
      </c>
      <c r="M440" s="15" t="n">
        <f aca="false">L440*(1+IF(M$3&lt;=$O$2,$D440,$D440-($D440-$I$427)*MIN(M$3-$O$2,$Q$2)/$Q$2))</f>
        <v>8702.64435780402</v>
      </c>
      <c r="N440" s="15" t="n">
        <f aca="false">M440*(1+IF(N$3&lt;=$O$2,$D440,$D440-($D440-$I$427)*MIN(N$3-$O$2,$Q$2)/$Q$2))</f>
        <v>9035.95563670792</v>
      </c>
      <c r="O440" s="15" t="n">
        <f aca="false">SUMPRODUCT(E440:N440,1/(1+$F$427)^$E$3:$N$3)*$E$2</f>
        <v>6936.45168961801</v>
      </c>
      <c r="P440" s="15" t="n">
        <f aca="false">N440*$E$2*(1+$I$427)/($F$427-$I$427)/(1+$F$427)^$N$3</f>
        <v>10711.7695234772</v>
      </c>
      <c r="Q440" s="15" t="n">
        <f aca="false">O440+P440</f>
        <v>17648.2212130952</v>
      </c>
      <c r="R440" s="15" t="n">
        <f aca="false">Q440-$G$2+$I$2</f>
        <v>12827.7212130952</v>
      </c>
      <c r="S440" s="42" t="n">
        <f aca="false">R440/$K$2</f>
        <v>66.9505282520624</v>
      </c>
      <c r="T440" s="43" t="n">
        <f aca="false">S440-$M$2</f>
        <v>-0.0118934598373528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0.0738525390625</v>
      </c>
      <c r="C441" s="25" t="n">
        <f aca="false">IF(T440&gt;0,D440,C440)</f>
        <v>0.07421875</v>
      </c>
      <c r="D441" s="41" t="n">
        <f aca="false">(B441+C441)/2</f>
        <v>0.07403564453125</v>
      </c>
      <c r="E441" s="15" t="n">
        <f aca="false">$C$2*(1+IF(E$3&lt;=$O$2,$D441,$D441-($D441-$I$427)*MIN(E$3-$O$2,$Q$2)/$Q$2))</f>
        <v>5262.77465820313</v>
      </c>
      <c r="F441" s="15" t="n">
        <f aca="false">E441*(1+IF(F$3&lt;=$O$2,$D441,$D441-($D441-$I$427)*MIN(F$3-$O$2,$Q$2)/$Q$2))</f>
        <v>5652.40757204592</v>
      </c>
      <c r="G441" s="15" t="n">
        <f aca="false">F441*(1+IF(G$3&lt;=$O$2,$D441,$D441-($D441-$I$427)*MIN(G$3-$O$2,$Q$2)/$Q$2))</f>
        <v>6070.88720979566</v>
      </c>
      <c r="H441" s="15" t="n">
        <f aca="false">G441*(1+IF(H$3&lt;=$O$2,$D441,$D441-($D441-$I$427)*MIN(H$3-$O$2,$Q$2)/$Q$2))</f>
        <v>6520.3492572494</v>
      </c>
      <c r="I441" s="15" t="n">
        <f aca="false">H441*(1+IF(I$3&lt;=$O$2,$D441,$D441-($D441-$I$427)*MIN(I$3-$O$2,$Q$2)/$Q$2))</f>
        <v>7003.08751707872</v>
      </c>
      <c r="J441" s="15" t="n">
        <f aca="false">I441*(1+IF(J$3&lt;=$O$2,$D441,$D441-($D441-$I$427)*MIN(J$3-$O$2,$Q$2)/$Q$2))</f>
        <v>7471.51364588808</v>
      </c>
      <c r="K441" s="15" t="n">
        <f aca="false">J441*(1+IF(K$3&lt;=$O$2,$D441,$D441-($D441-$I$427)*MIN(K$3-$O$2,$Q$2)/$Q$2))</f>
        <v>7917.8722319815</v>
      </c>
      <c r="L441" s="15" t="n">
        <f aca="false">K441*(1+IF(L$3&lt;=$O$2,$D441,$D441-($D441-$I$427)*MIN(L$3-$O$2,$Q$2)/$Q$2))</f>
        <v>8334.30684547677</v>
      </c>
      <c r="M441" s="15" t="n">
        <f aca="false">L441*(1+IF(M$3&lt;=$O$2,$D441,$D441-($D441-$I$427)*MIN(M$3-$O$2,$Q$2)/$Q$2))</f>
        <v>8713.07716302739</v>
      </c>
      <c r="N441" s="15" t="n">
        <f aca="false">M441*(1+IF(N$3&lt;=$O$2,$D441,$D441-($D441-$I$427)*MIN(N$3-$O$2,$Q$2)/$Q$2))</f>
        <v>9046.78801837134</v>
      </c>
      <c r="O441" s="15" t="n">
        <f aca="false">SUMPRODUCT(E441:N441,1/(1+$F$427)^$E$3:$N$3)*$E$2</f>
        <v>6941.95040915168</v>
      </c>
      <c r="P441" s="15" t="n">
        <f aca="false">N441*$E$2*(1+$I$427)/($F$427-$I$427)/(1+$F$427)^$N$3</f>
        <v>10724.6108853025</v>
      </c>
      <c r="Q441" s="15" t="n">
        <f aca="false">O441+P441</f>
        <v>17666.5612944542</v>
      </c>
      <c r="R441" s="15" t="n">
        <f aca="false">Q441-$G$2+$I$2</f>
        <v>12846.0612944542</v>
      </c>
      <c r="S441" s="42" t="n">
        <f aca="false">R441/$K$2</f>
        <v>67.046248927214</v>
      </c>
      <c r="T441" s="43" t="n">
        <f aca="false">S441-$M$2</f>
        <v>0.0838272153142157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0.0738525390625</v>
      </c>
      <c r="C442" s="25" t="n">
        <f aca="false">IF(T441&gt;0,D441,C441)</f>
        <v>0.07403564453125</v>
      </c>
      <c r="D442" s="41" t="n">
        <f aca="false">(B442+C442)/2</f>
        <v>0.073944091796875</v>
      </c>
      <c r="E442" s="15" t="n">
        <f aca="false">$C$2*(1+IF(E$3&lt;=$O$2,$D442,$D442-($D442-$I$427)*MIN(E$3-$O$2,$Q$2)/$Q$2))</f>
        <v>5262.32604980469</v>
      </c>
      <c r="F442" s="15" t="n">
        <f aca="false">E442*(1+IF(F$3&lt;=$O$2,$D442,$D442-($D442-$I$427)*MIN(F$3-$O$2,$Q$2)/$Q$2))</f>
        <v>5651.44397029653</v>
      </c>
      <c r="G442" s="15" t="n">
        <f aca="false">F442*(1+IF(G$3&lt;=$O$2,$D442,$D442-($D442-$I$427)*MIN(G$3-$O$2,$Q$2)/$Q$2))</f>
        <v>6069.33486202103</v>
      </c>
      <c r="H442" s="15" t="n">
        <f aca="false">G442*(1+IF(H$3&lt;=$O$2,$D442,$D442-($D442-$I$427)*MIN(H$3-$O$2,$Q$2)/$Q$2))</f>
        <v>6518.12631620429</v>
      </c>
      <c r="I442" s="15" t="n">
        <f aca="false">H442*(1+IF(I$3&lt;=$O$2,$D442,$D442-($D442-$I$427)*MIN(I$3-$O$2,$Q$2)/$Q$2))</f>
        <v>7000.10324687333</v>
      </c>
      <c r="J442" s="15" t="n">
        <f aca="false">I442*(1+IF(J$3&lt;=$O$2,$D442,$D442-($D442-$I$427)*MIN(J$3-$O$2,$Q$2)/$Q$2))</f>
        <v>7467.8170594039</v>
      </c>
      <c r="K442" s="15" t="n">
        <f aca="false">J442*(1+IF(K$3&lt;=$O$2,$D442,$D442-($D442-$I$427)*MIN(K$3-$O$2,$Q$2)/$Q$2))</f>
        <v>7913.54458685167</v>
      </c>
      <c r="L442" s="15" t="n">
        <f aca="false">K442*(1+IF(L$3&lt;=$O$2,$D442,$D442-($D442-$I$427)*MIN(L$3-$O$2,$Q$2)/$Q$2))</f>
        <v>8329.46178840505</v>
      </c>
      <c r="M442" s="15" t="n">
        <f aca="false">L442*(1+IF(M$3&lt;=$O$2,$D442,$D442-($D442-$I$427)*MIN(M$3-$O$2,$Q$2)/$Q$2))</f>
        <v>8707.85939502186</v>
      </c>
      <c r="N442" s="15" t="n">
        <f aca="false">M442*(1+IF(N$3&lt;=$O$2,$D442,$D442-($D442-$I$427)*MIN(N$3-$O$2,$Q$2)/$Q$2))</f>
        <v>9041.37040985119</v>
      </c>
      <c r="O442" s="15" t="n">
        <f aca="false">SUMPRODUCT(E442:N442,1/(1+$F$427)^$E$3:$N$3)*$E$2</f>
        <v>6939.20050320833</v>
      </c>
      <c r="P442" s="15" t="n">
        <f aca="false">N442*$E$2*(1+$I$427)/($F$427-$I$427)/(1+$F$427)^$N$3</f>
        <v>10718.188523776</v>
      </c>
      <c r="Q442" s="15" t="n">
        <f aca="false">O442+P442</f>
        <v>17657.3890269844</v>
      </c>
      <c r="R442" s="15" t="n">
        <f aca="false">Q442-$G$2+$I$2</f>
        <v>12836.8890269844</v>
      </c>
      <c r="S442" s="42" t="n">
        <f aca="false">R442/$K$2</f>
        <v>66.9983769675593</v>
      </c>
      <c r="T442" s="43" t="n">
        <f aca="false">S442-$M$2</f>
        <v>0.0359552556595446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0.0738525390625</v>
      </c>
      <c r="C443" s="25" t="n">
        <f aca="false">IF(T442&gt;0,D442,C442)</f>
        <v>0.073944091796875</v>
      </c>
      <c r="D443" s="41" t="n">
        <f aca="false">(B443+C443)/2</f>
        <v>0.0738983154296875</v>
      </c>
      <c r="E443" s="15" t="n">
        <f aca="false">$C$2*(1+IF(E$3&lt;=$O$2,$D443,$D443-($D443-$I$427)*MIN(E$3-$O$2,$Q$2)/$Q$2))</f>
        <v>5262.10174560547</v>
      </c>
      <c r="F443" s="15" t="n">
        <f aca="false">E443*(1+IF(F$3&lt;=$O$2,$D443,$D443-($D443-$I$427)*MIN(F$3-$O$2,$Q$2)/$Q$2))</f>
        <v>5650.96220022533</v>
      </c>
      <c r="G443" s="15" t="n">
        <f aca="false">F443*(1+IF(G$3&lt;=$O$2,$D443,$D443-($D443-$I$427)*MIN(G$3-$O$2,$Q$2)/$Q$2))</f>
        <v>6068.55878737882</v>
      </c>
      <c r="H443" s="15" t="n">
        <f aca="false">G443*(1+IF(H$3&lt;=$O$2,$D443,$D443-($D443-$I$427)*MIN(H$3-$O$2,$Q$2)/$Q$2))</f>
        <v>6517.01505885215</v>
      </c>
      <c r="I443" s="15" t="n">
        <f aca="false">H443*(1+IF(I$3&lt;=$O$2,$D443,$D443-($D443-$I$427)*MIN(I$3-$O$2,$Q$2)/$Q$2))</f>
        <v>6998.61149333123</v>
      </c>
      <c r="J443" s="15" t="n">
        <f aca="false">I443*(1+IF(J$3&lt;=$O$2,$D443,$D443-($D443-$I$427)*MIN(J$3-$O$2,$Q$2)/$Q$2))</f>
        <v>7465.96933713336</v>
      </c>
      <c r="K443" s="15" t="n">
        <f aca="false">J443*(1+IF(K$3&lt;=$O$2,$D443,$D443-($D443-$I$427)*MIN(K$3-$O$2,$Q$2)/$Q$2))</f>
        <v>7911.38152161656</v>
      </c>
      <c r="L443" s="15" t="n">
        <f aca="false">K443*(1+IF(L$3&lt;=$O$2,$D443,$D443-($D443-$I$427)*MIN(L$3-$O$2,$Q$2)/$Q$2))</f>
        <v>8327.04017585092</v>
      </c>
      <c r="M443" s="15" t="n">
        <f aca="false">L443*(1+IF(M$3&lt;=$O$2,$D443,$D443-($D443-$I$427)*MIN(M$3-$O$2,$Q$2)/$Q$2))</f>
        <v>8705.25153514113</v>
      </c>
      <c r="N443" s="15" t="n">
        <f aca="false">M443*(1+IF(N$3&lt;=$O$2,$D443,$D443-($D443-$I$427)*MIN(N$3-$O$2,$Q$2)/$Q$2))</f>
        <v>9038.66266893704</v>
      </c>
      <c r="O443" s="15" t="n">
        <f aca="false">SUMPRODUCT(E443:N443,1/(1+$F$427)^$E$3:$N$3)*$E$2</f>
        <v>6937.82595989431</v>
      </c>
      <c r="P443" s="15" t="n">
        <f aca="false">N443*$E$2*(1+$I$427)/($F$427-$I$427)/(1+$F$427)^$N$3</f>
        <v>10714.9786035675</v>
      </c>
      <c r="Q443" s="15" t="n">
        <f aca="false">O443+P443</f>
        <v>17652.8045634618</v>
      </c>
      <c r="R443" s="15" t="n">
        <f aca="false">Q443-$G$2+$I$2</f>
        <v>12832.3045634618</v>
      </c>
      <c r="S443" s="42" t="n">
        <f aca="false">R443/$K$2</f>
        <v>66.9744497049155</v>
      </c>
      <c r="T443" s="43" t="n">
        <f aca="false">S443-$M$2</f>
        <v>0.0120279930157068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0.0738525390625</v>
      </c>
      <c r="C444" s="25" t="n">
        <f aca="false">IF(T443&gt;0,D443,C443)</f>
        <v>0.0738983154296875</v>
      </c>
      <c r="D444" s="41" t="n">
        <f aca="false">(B444+C444)/2</f>
        <v>0.0738754272460938</v>
      </c>
      <c r="E444" s="15" t="n">
        <f aca="false">$C$2*(1+IF(E$3&lt;=$O$2,$D444,$D444-($D444-$I$427)*MIN(E$3-$O$2,$Q$2)/$Q$2))</f>
        <v>5261.98959350586</v>
      </c>
      <c r="F444" s="15" t="n">
        <f aca="false">E444*(1+IF(F$3&lt;=$O$2,$D444,$D444-($D444-$I$427)*MIN(F$3-$O$2,$Q$2)/$Q$2))</f>
        <v>5650.7213228906</v>
      </c>
      <c r="G444" s="15" t="n">
        <f aca="false">F444*(1+IF(G$3&lt;=$O$2,$D444,$D444-($D444-$I$427)*MIN(G$3-$O$2,$Q$2)/$Q$2))</f>
        <v>6068.17077486776</v>
      </c>
      <c r="H444" s="15" t="n">
        <f aca="false">G444*(1+IF(H$3&lt;=$O$2,$D444,$D444-($D444-$I$427)*MIN(H$3-$O$2,$Q$2)/$Q$2))</f>
        <v>6516.45948346337</v>
      </c>
      <c r="I444" s="15" t="n">
        <f aca="false">H444*(1+IF(I$3&lt;=$O$2,$D444,$D444-($D444-$I$427)*MIN(I$3-$O$2,$Q$2)/$Q$2))</f>
        <v>6997.86571193609</v>
      </c>
      <c r="J444" s="15" t="n">
        <f aca="false">I444*(1+IF(J$3&lt;=$O$2,$D444,$D444-($D444-$I$427)*MIN(J$3-$O$2,$Q$2)/$Q$2))</f>
        <v>7465.04561871358</v>
      </c>
      <c r="K444" s="15" t="n">
        <f aca="false">J444*(1+IF(K$3&lt;=$O$2,$D444,$D444-($D444-$I$427)*MIN(K$3-$O$2,$Q$2)/$Q$2))</f>
        <v>7910.3001782887</v>
      </c>
      <c r="L444" s="15" t="n">
        <f aca="false">K444*(1+IF(L$3&lt;=$O$2,$D444,$D444-($D444-$I$427)*MIN(L$3-$O$2,$Q$2)/$Q$2))</f>
        <v>8325.82959851214</v>
      </c>
      <c r="M444" s="15" t="n">
        <f aca="false">L444*(1+IF(M$3&lt;=$O$2,$D444,$D444-($D444-$I$427)*MIN(M$3-$O$2,$Q$2)/$Q$2))</f>
        <v>8703.94786116421</v>
      </c>
      <c r="N444" s="15" t="n">
        <f aca="false">M444*(1+IF(N$3&lt;=$O$2,$D444,$D444-($D444-$I$427)*MIN(N$3-$O$2,$Q$2)/$Q$2))</f>
        <v>9037.3090642468</v>
      </c>
      <c r="O444" s="15" t="n">
        <f aca="false">SUMPRODUCT(E444:N444,1/(1+$F$427)^$E$3:$N$3)*$E$2</f>
        <v>6937.13879062961</v>
      </c>
      <c r="P444" s="15" t="n">
        <f aca="false">N444*$E$2*(1+$I$427)/($F$427-$I$427)/(1+$F$427)^$N$3</f>
        <v>10713.3739585193</v>
      </c>
      <c r="Q444" s="15" t="n">
        <f aca="false">O444+P444</f>
        <v>17650.512749149</v>
      </c>
      <c r="R444" s="15" t="n">
        <f aca="false">Q444-$G$2+$I$2</f>
        <v>12830.012749149</v>
      </c>
      <c r="S444" s="42" t="n">
        <f aca="false">R444/$K$2</f>
        <v>66.9624882523432</v>
      </c>
      <c r="T444" s="43" t="n">
        <f aca="false">S444-$M$2</f>
        <v>6.65404433703998E-005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0.0738525390625</v>
      </c>
      <c r="C445" s="25" t="n">
        <f aca="false">IF(T444&gt;0,D444,C444)</f>
        <v>0.0738754272460938</v>
      </c>
      <c r="D445" s="41" t="n">
        <f aca="false">(B445+C445)/2</f>
        <v>0.0738639831542969</v>
      </c>
      <c r="E445" s="15" t="n">
        <f aca="false">$C$2*(1+IF(E$3&lt;=$O$2,$D445,$D445-($D445-$I$427)*MIN(E$3-$O$2,$Q$2)/$Q$2))</f>
        <v>5261.93351745606</v>
      </c>
      <c r="F445" s="15" t="n">
        <f aca="false">E445*(1+IF(F$3&lt;=$O$2,$D445,$D445-($D445-$I$427)*MIN(F$3-$O$2,$Q$2)/$Q$2))</f>
        <v>5650.60088614846</v>
      </c>
      <c r="G445" s="15" t="n">
        <f aca="false">F445*(1+IF(G$3&lt;=$O$2,$D445,$D445-($D445-$I$427)*MIN(G$3-$O$2,$Q$2)/$Q$2))</f>
        <v>6067.97677481458</v>
      </c>
      <c r="H445" s="15" t="n">
        <f aca="false">G445*(1+IF(H$3&lt;=$O$2,$D445,$D445-($D445-$I$427)*MIN(H$3-$O$2,$Q$2)/$Q$2))</f>
        <v>6516.18170909015</v>
      </c>
      <c r="I445" s="15" t="n">
        <f aca="false">H445*(1+IF(I$3&lt;=$O$2,$D445,$D445-($D445-$I$427)*MIN(I$3-$O$2,$Q$2)/$Q$2))</f>
        <v>6997.49284508073</v>
      </c>
      <c r="J445" s="15" t="n">
        <f aca="false">I445*(1+IF(J$3&lt;=$O$2,$D445,$D445-($D445-$I$427)*MIN(J$3-$O$2,$Q$2)/$Q$2))</f>
        <v>7464.58379517913</v>
      </c>
      <c r="K445" s="15" t="n">
        <f aca="false">J445*(1+IF(K$3&lt;=$O$2,$D445,$D445-($D445-$I$427)*MIN(K$3-$O$2,$Q$2)/$Q$2))</f>
        <v>7909.75955394184</v>
      </c>
      <c r="L445" s="15" t="n">
        <f aca="false">K445*(1+IF(L$3&lt;=$O$2,$D445,$D445-($D445-$I$427)*MIN(L$3-$O$2,$Q$2)/$Q$2))</f>
        <v>8325.22436707019</v>
      </c>
      <c r="M445" s="15" t="n">
        <f aca="false">L445*(1+IF(M$3&lt;=$O$2,$D445,$D445-($D445-$I$427)*MIN(M$3-$O$2,$Q$2)/$Q$2))</f>
        <v>8703.29608815822</v>
      </c>
      <c r="N445" s="15" t="n">
        <f aca="false">M445*(1+IF(N$3&lt;=$O$2,$D445,$D445-($D445-$I$427)*MIN(N$3-$O$2,$Q$2)/$Q$2))</f>
        <v>9036.63232833468</v>
      </c>
      <c r="O445" s="15" t="n">
        <f aca="false">SUMPRODUCT(E445:N445,1/(1+$F$427)^$E$3:$N$3)*$E$2</f>
        <v>6936.79523159256</v>
      </c>
      <c r="P445" s="15" t="n">
        <f aca="false">N445*$E$2*(1+$I$427)/($F$427-$I$427)/(1+$F$427)^$N$3</f>
        <v>10712.571714749</v>
      </c>
      <c r="Q445" s="15" t="n">
        <f aca="false">O445+P445</f>
        <v>17649.3669463415</v>
      </c>
      <c r="R445" s="15" t="n">
        <f aca="false">Q445-$G$2+$I$2</f>
        <v>12828.8669463415</v>
      </c>
      <c r="S445" s="42" t="n">
        <f aca="false">R445/$K$2</f>
        <v>66.9565080706761</v>
      </c>
      <c r="T445" s="43" t="n">
        <f aca="false">S445-$M$2</f>
        <v>-0.00591364122371374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0.0738639831542969</v>
      </c>
      <c r="C446" s="25" t="n">
        <f aca="false">IF(T445&gt;0,D445,C445)</f>
        <v>0.0738754272460938</v>
      </c>
      <c r="D446" s="41" t="n">
        <f aca="false">(B446+C446)/2</f>
        <v>0.0738697052001953</v>
      </c>
      <c r="E446" s="15" t="n">
        <f aca="false">$C$2*(1+IF(E$3&lt;=$O$2,$D446,$D446-($D446-$I$427)*MIN(E$3-$O$2,$Q$2)/$Q$2))</f>
        <v>5261.96155548096</v>
      </c>
      <c r="F446" s="15" t="n">
        <f aca="false">E446*(1+IF(F$3&lt;=$O$2,$D446,$D446-($D446-$I$427)*MIN(F$3-$O$2,$Q$2)/$Q$2))</f>
        <v>5650.6611043591</v>
      </c>
      <c r="G446" s="15" t="n">
        <f aca="false">F446*(1+IF(G$3&lt;=$O$2,$D446,$D446-($D446-$I$427)*MIN(G$3-$O$2,$Q$2)/$Q$2))</f>
        <v>6068.07377432431</v>
      </c>
      <c r="H446" s="15" t="n">
        <f aca="false">G446*(1+IF(H$3&lt;=$O$2,$D446,$D446-($D446-$I$427)*MIN(H$3-$O$2,$Q$2)/$Q$2))</f>
        <v>6516.32059516669</v>
      </c>
      <c r="I446" s="15" t="n">
        <f aca="false">H446*(1+IF(I$3&lt;=$O$2,$D446,$D446-($D446-$I$427)*MIN(I$3-$O$2,$Q$2)/$Q$2))</f>
        <v>6997.67927652161</v>
      </c>
      <c r="J446" s="15" t="n">
        <f aca="false">I446*(1+IF(J$3&lt;=$O$2,$D446,$D446-($D446-$I$427)*MIN(J$3-$O$2,$Q$2)/$Q$2))</f>
        <v>7464.8147039735</v>
      </c>
      <c r="K446" s="15" t="n">
        <f aca="false">J446*(1+IF(K$3&lt;=$O$2,$D446,$D446-($D446-$I$427)*MIN(K$3-$O$2,$Q$2)/$Q$2))</f>
        <v>7910.02986217234</v>
      </c>
      <c r="L446" s="15" t="n">
        <f aca="false">K446*(1+IF(L$3&lt;=$O$2,$D446,$D446-($D446-$I$427)*MIN(L$3-$O$2,$Q$2)/$Q$2))</f>
        <v>8325.52697802242</v>
      </c>
      <c r="M446" s="15" t="n">
        <f aca="false">L446*(1+IF(M$3&lt;=$O$2,$D446,$D446-($D446-$I$427)*MIN(M$3-$O$2,$Q$2)/$Q$2))</f>
        <v>8703.62196932959</v>
      </c>
      <c r="N446" s="15" t="n">
        <f aca="false">M446*(1+IF(N$3&lt;=$O$2,$D446,$D446-($D446-$I$427)*MIN(N$3-$O$2,$Q$2)/$Q$2))</f>
        <v>9036.97069075491</v>
      </c>
      <c r="O446" s="15" t="n">
        <f aca="false">SUMPRODUCT(E446:N446,1/(1+$F$427)^$E$3:$N$3)*$E$2</f>
        <v>6936.96700897822</v>
      </c>
      <c r="P446" s="15" t="n">
        <f aca="false">N446*$E$2*(1+$I$427)/($F$427-$I$427)/(1+$F$427)^$N$3</f>
        <v>10712.9728300717</v>
      </c>
      <c r="Q446" s="15" t="n">
        <f aca="false">O446+P446</f>
        <v>17649.9398390499</v>
      </c>
      <c r="R446" s="15" t="n">
        <f aca="false">Q446-$G$2+$I$2</f>
        <v>12829.4398390499</v>
      </c>
      <c r="S446" s="42" t="n">
        <f aca="false">R446/$K$2</f>
        <v>66.9594981161267</v>
      </c>
      <c r="T446" s="43" t="n">
        <f aca="false">S446-$M$2</f>
        <v>-0.0029235957730549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0.0738697052001953</v>
      </c>
      <c r="C447" s="25" t="n">
        <f aca="false">IF(T446&gt;0,D446,C446)</f>
        <v>0.0738754272460938</v>
      </c>
      <c r="D447" s="41" t="n">
        <f aca="false">(B447+C447)/2</f>
        <v>0.0738725662231445</v>
      </c>
      <c r="E447" s="15" t="n">
        <f aca="false">$C$2*(1+IF(E$3&lt;=$O$2,$D447,$D447-($D447-$I$427)*MIN(E$3-$O$2,$Q$2)/$Q$2))</f>
        <v>5261.97557449341</v>
      </c>
      <c r="F447" s="15" t="n">
        <f aca="false">E447*(1+IF(F$3&lt;=$O$2,$D447,$D447-($D447-$I$427)*MIN(F$3-$O$2,$Q$2)/$Q$2))</f>
        <v>5650.69121358474</v>
      </c>
      <c r="G447" s="15" t="n">
        <f aca="false">F447*(1+IF(G$3&lt;=$O$2,$D447,$D447-($D447-$I$427)*MIN(G$3-$O$2,$Q$2)/$Q$2))</f>
        <v>6068.12227446682</v>
      </c>
      <c r="H447" s="15" t="n">
        <f aca="false">G447*(1+IF(H$3&lt;=$O$2,$D447,$D447-($D447-$I$427)*MIN(H$3-$O$2,$Q$2)/$Q$2))</f>
        <v>6516.39003903751</v>
      </c>
      <c r="I447" s="15" t="n">
        <f aca="false">H447*(1+IF(I$3&lt;=$O$2,$D447,$D447-($D447-$I$427)*MIN(I$3-$O$2,$Q$2)/$Q$2))</f>
        <v>6997.77249373215</v>
      </c>
      <c r="J447" s="15" t="n">
        <f aca="false">I447*(1+IF(J$3&lt;=$O$2,$D447,$D447-($D447-$I$427)*MIN(J$3-$O$2,$Q$2)/$Q$2))</f>
        <v>7464.93016060032</v>
      </c>
      <c r="K447" s="15" t="n">
        <f aca="false">J447*(1+IF(K$3&lt;=$O$2,$D447,$D447-($D447-$I$427)*MIN(K$3-$O$2,$Q$2)/$Q$2))</f>
        <v>7910.16501924477</v>
      </c>
      <c r="L447" s="15" t="n">
        <f aca="false">K447*(1+IF(L$3&lt;=$O$2,$D447,$D447-($D447-$I$427)*MIN(L$3-$O$2,$Q$2)/$Q$2))</f>
        <v>8325.67828707508</v>
      </c>
      <c r="M447" s="15" t="n">
        <f aca="false">L447*(1+IF(M$3&lt;=$O$2,$D447,$D447-($D447-$I$427)*MIN(M$3-$O$2,$Q$2)/$Q$2))</f>
        <v>8703.78491391397</v>
      </c>
      <c r="N447" s="15" t="n">
        <f aca="false">M447*(1+IF(N$3&lt;=$O$2,$D447,$D447-($D447-$I$427)*MIN(N$3-$O$2,$Q$2)/$Q$2))</f>
        <v>9037.13987611688</v>
      </c>
      <c r="O447" s="15" t="n">
        <f aca="false">SUMPRODUCT(E447:N447,1/(1+$F$427)^$E$3:$N$3)*$E$2</f>
        <v>6937.05289927069</v>
      </c>
      <c r="P447" s="15" t="n">
        <f aca="false">N447*$E$2*(1+$I$427)/($F$427-$I$427)/(1+$F$427)^$N$3</f>
        <v>10713.1733926549</v>
      </c>
      <c r="Q447" s="15" t="n">
        <f aca="false">O447+P447</f>
        <v>17650.2262919255</v>
      </c>
      <c r="R447" s="15" t="n">
        <f aca="false">Q447-$G$2+$I$2</f>
        <v>12829.7262919255</v>
      </c>
      <c r="S447" s="42" t="n">
        <f aca="false">R447/$K$2</f>
        <v>66.9609931728891</v>
      </c>
      <c r="T447" s="43" t="n">
        <f aca="false">S447-$M$2</f>
        <v>-0.00142853901073181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0.0738725662231445</v>
      </c>
      <c r="C448" s="25" t="n">
        <f aca="false">IF(T447&gt;0,D447,C447)</f>
        <v>0.0738754272460938</v>
      </c>
      <c r="D448" s="41" t="n">
        <f aca="false">(B448+C448)/2</f>
        <v>0.0738739967346191</v>
      </c>
      <c r="E448" s="15" t="n">
        <f aca="false">$C$2*(1+IF(E$3&lt;=$O$2,$D448,$D448-($D448-$I$427)*MIN(E$3-$O$2,$Q$2)/$Q$2))</f>
        <v>5261.98258399963</v>
      </c>
      <c r="F448" s="15" t="n">
        <f aca="false">E448*(1+IF(F$3&lt;=$O$2,$D448,$D448-($D448-$I$427)*MIN(F$3-$O$2,$Q$2)/$Q$2))</f>
        <v>5650.70626822765</v>
      </c>
      <c r="G448" s="15" t="n">
        <f aca="false">F448*(1+IF(G$3&lt;=$O$2,$D448,$D448-($D448-$I$427)*MIN(G$3-$O$2,$Q$2)/$Q$2))</f>
        <v>6068.14652463499</v>
      </c>
      <c r="H448" s="15" t="n">
        <f aca="false">G448*(1+IF(H$3&lt;=$O$2,$D448,$D448-($D448-$I$427)*MIN(H$3-$O$2,$Q$2)/$Q$2))</f>
        <v>6516.42476118106</v>
      </c>
      <c r="I448" s="15" t="n">
        <f aca="false">H448*(1+IF(I$3&lt;=$O$2,$D448,$D448-($D448-$I$427)*MIN(I$3-$O$2,$Q$2)/$Q$2))</f>
        <v>6997.81910270994</v>
      </c>
      <c r="J448" s="15" t="n">
        <f aca="false">I448*(1+IF(J$3&lt;=$O$2,$D448,$D448-($D448-$I$427)*MIN(J$3-$O$2,$Q$2)/$Q$2))</f>
        <v>7464.98788947114</v>
      </c>
      <c r="K448" s="15" t="n">
        <f aca="false">J448*(1+IF(K$3&lt;=$O$2,$D448,$D448-($D448-$I$427)*MIN(K$3-$O$2,$Q$2)/$Q$2))</f>
        <v>7910.2325985203</v>
      </c>
      <c r="L448" s="15" t="n">
        <f aca="false">K448*(1+IF(L$3&lt;=$O$2,$D448,$D448-($D448-$I$427)*MIN(L$3-$O$2,$Q$2)/$Q$2))</f>
        <v>8325.75394249556</v>
      </c>
      <c r="M448" s="15" t="n">
        <f aca="false">L448*(1+IF(M$3&lt;=$O$2,$D448,$D448-($D448-$I$427)*MIN(M$3-$O$2,$Q$2)/$Q$2))</f>
        <v>8703.86638720586</v>
      </c>
      <c r="N448" s="15" t="n">
        <f aca="false">M448*(1+IF(N$3&lt;=$O$2,$D448,$D448-($D448-$I$427)*MIN(N$3-$O$2,$Q$2)/$Q$2))</f>
        <v>9037.22446983584</v>
      </c>
      <c r="O448" s="15" t="n">
        <f aca="false">SUMPRODUCT(E448:N448,1/(1+$F$427)^$E$3:$N$3)*$E$2</f>
        <v>6937.09584481684</v>
      </c>
      <c r="P448" s="15" t="n">
        <f aca="false">N448*$E$2*(1+$I$427)/($F$427-$I$427)/(1+$F$427)^$N$3</f>
        <v>10713.2736751769</v>
      </c>
      <c r="Q448" s="15" t="n">
        <f aca="false">O448+P448</f>
        <v>17650.3695199938</v>
      </c>
      <c r="R448" s="15" t="n">
        <f aca="false">Q448-$G$2+$I$2</f>
        <v>12829.8695199938</v>
      </c>
      <c r="S448" s="42" t="n">
        <f aca="false">R448/$K$2</f>
        <v>66.9617407097796</v>
      </c>
      <c r="T448" s="43" t="n">
        <f aca="false">S448-$M$2</f>
        <v>-0.000681002120188623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0.0738739967346191</v>
      </c>
      <c r="C449" s="25" t="n">
        <f aca="false">IF(T448&gt;0,D448,C448)</f>
        <v>0.0738754272460938</v>
      </c>
      <c r="D449" s="41" t="n">
        <f aca="false">(B449+C449)/2</f>
        <v>0.0738747119903565</v>
      </c>
      <c r="E449" s="15" t="n">
        <f aca="false">$C$2*(1+IF(E$3&lt;=$O$2,$D449,$D449-($D449-$I$427)*MIN(E$3-$O$2,$Q$2)/$Q$2))</f>
        <v>5261.98608875275</v>
      </c>
      <c r="F449" s="15" t="n">
        <f aca="false">E449*(1+IF(F$3&lt;=$O$2,$D449,$D449-($D449-$I$427)*MIN(F$3-$O$2,$Q$2)/$Q$2))</f>
        <v>5650.71379555662</v>
      </c>
      <c r="G449" s="15" t="n">
        <f aca="false">F449*(1+IF(G$3&lt;=$O$2,$D449,$D449-($D449-$I$427)*MIN(G$3-$O$2,$Q$2)/$Q$2))</f>
        <v>6068.1586497433</v>
      </c>
      <c r="H449" s="15" t="n">
        <f aca="false">G449*(1+IF(H$3&lt;=$O$2,$D449,$D449-($D449-$I$427)*MIN(H$3-$O$2,$Q$2)/$Q$2))</f>
        <v>6516.44212230487</v>
      </c>
      <c r="I449" s="15" t="n">
        <f aca="false">H449*(1+IF(I$3&lt;=$O$2,$D449,$D449-($D449-$I$427)*MIN(I$3-$O$2,$Q$2)/$Q$2))</f>
        <v>6997.84240729197</v>
      </c>
      <c r="J449" s="15" t="n">
        <f aca="false">I449*(1+IF(J$3&lt;=$O$2,$D449,$D449-($D449-$I$427)*MIN(J$3-$O$2,$Q$2)/$Q$2))</f>
        <v>7465.01675404591</v>
      </c>
      <c r="K449" s="15" t="n">
        <f aca="false">J449*(1+IF(K$3&lt;=$O$2,$D449,$D449-($D449-$I$427)*MIN(K$3-$O$2,$Q$2)/$Q$2))</f>
        <v>7910.26638834289</v>
      </c>
      <c r="L449" s="15" t="n">
        <f aca="false">K449*(1+IF(L$3&lt;=$O$2,$D449,$D449-($D449-$I$427)*MIN(L$3-$O$2,$Q$2)/$Q$2))</f>
        <v>8325.79177042934</v>
      </c>
      <c r="M449" s="15" t="n">
        <f aca="false">L449*(1+IF(M$3&lt;=$O$2,$D449,$D449-($D449-$I$427)*MIN(M$3-$O$2,$Q$2)/$Q$2))</f>
        <v>8703.90712410172</v>
      </c>
      <c r="N449" s="15" t="n">
        <f aca="false">M449*(1+IF(N$3&lt;=$O$2,$D449,$D449-($D449-$I$427)*MIN(N$3-$O$2,$Q$2)/$Q$2))</f>
        <v>9037.26676695482</v>
      </c>
      <c r="O449" s="15" t="n">
        <f aca="false">SUMPRODUCT(E449:N449,1/(1+$F$427)^$E$3:$N$3)*$E$2</f>
        <v>6937.1173176899</v>
      </c>
      <c r="P449" s="15" t="n">
        <f aca="false">N449*$E$2*(1+$I$427)/($F$427-$I$427)/(1+$F$427)^$N$3</f>
        <v>10713.3238167456</v>
      </c>
      <c r="Q449" s="15" t="n">
        <f aca="false">O449+P449</f>
        <v>17650.4411344355</v>
      </c>
      <c r="R449" s="15" t="n">
        <f aca="false">Q449-$G$2+$I$2</f>
        <v>12829.9411344355</v>
      </c>
      <c r="S449" s="42" t="n">
        <f aca="false">R449/$K$2</f>
        <v>66.9621144803523</v>
      </c>
      <c r="T449" s="43" t="n">
        <f aca="false">S449-$M$2</f>
        <v>-0.000307231547537867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0.0738747119903565</v>
      </c>
      <c r="C450" s="25" t="n">
        <f aca="false">IF(T449&gt;0,D449,C449)</f>
        <v>0.0738754272460938</v>
      </c>
      <c r="D450" s="41" t="n">
        <f aca="false">(B450+C450)/2</f>
        <v>0.0738750696182251</v>
      </c>
      <c r="E450" s="15" t="n">
        <f aca="false">$C$2*(1+IF(E$3&lt;=$O$2,$D450,$D450-($D450-$I$427)*MIN(E$3-$O$2,$Q$2)/$Q$2))</f>
        <v>5261.9878411293</v>
      </c>
      <c r="F450" s="15" t="n">
        <f aca="false">E450*(1+IF(F$3&lt;=$O$2,$D450,$D450-($D450-$I$427)*MIN(F$3-$O$2,$Q$2)/$Q$2))</f>
        <v>5650.71755922298</v>
      </c>
      <c r="G450" s="15" t="n">
        <f aca="false">F450*(1+IF(G$3&lt;=$O$2,$D450,$D450-($D450-$I$427)*MIN(G$3-$O$2,$Q$2)/$Q$2))</f>
        <v>6068.16471230351</v>
      </c>
      <c r="H450" s="15" t="n">
        <f aca="false">G450*(1+IF(H$3&lt;=$O$2,$D450,$D450-($D450-$I$427)*MIN(H$3-$O$2,$Q$2)/$Q$2))</f>
        <v>6516.45080287979</v>
      </c>
      <c r="I450" s="15" t="n">
        <f aca="false">H450*(1+IF(I$3&lt;=$O$2,$D450,$D450-($D450-$I$427)*MIN(I$3-$O$2,$Q$2)/$Q$2))</f>
        <v>6997.85405960627</v>
      </c>
      <c r="J450" s="15" t="n">
        <f aca="false">I450*(1+IF(J$3&lt;=$O$2,$D450,$D450-($D450-$I$427)*MIN(J$3-$O$2,$Q$2)/$Q$2))</f>
        <v>7465.03118636813</v>
      </c>
      <c r="K450" s="15" t="n">
        <f aca="false">J450*(1+IF(K$3&lt;=$O$2,$D450,$D450-($D450-$I$427)*MIN(K$3-$O$2,$Q$2)/$Q$2))</f>
        <v>7910.28328330039</v>
      </c>
      <c r="L450" s="15" t="n">
        <f aca="false">K450*(1+IF(L$3&lt;=$O$2,$D450,$D450-($D450-$I$427)*MIN(L$3-$O$2,$Q$2)/$Q$2))</f>
        <v>8325.81068445211</v>
      </c>
      <c r="M450" s="15" t="n">
        <f aca="false">L450*(1+IF(M$3&lt;=$O$2,$D450,$D450-($D450-$I$427)*MIN(M$3-$O$2,$Q$2)/$Q$2))</f>
        <v>8703.92749261214</v>
      </c>
      <c r="N450" s="15" t="n">
        <f aca="false">M450*(1+IF(N$3&lt;=$O$2,$D450,$D450-($D450-$I$427)*MIN(N$3-$O$2,$Q$2)/$Q$2))</f>
        <v>9037.28791557918</v>
      </c>
      <c r="O450" s="15" t="n">
        <f aca="false">SUMPRODUCT(E450:N450,1/(1+$F$427)^$E$3:$N$3)*$E$2</f>
        <v>6937.12805415142</v>
      </c>
      <c r="P450" s="15" t="n">
        <f aca="false">N450*$E$2*(1+$I$427)/($F$427-$I$427)/(1+$F$427)^$N$3</f>
        <v>10713.3488876068</v>
      </c>
      <c r="Q450" s="15" t="n">
        <f aca="false">O450+P450</f>
        <v>17650.4769417583</v>
      </c>
      <c r="R450" s="15" t="n">
        <f aca="false">Q450-$G$2+$I$2</f>
        <v>12829.9769417583</v>
      </c>
      <c r="S450" s="42" t="n">
        <f aca="false">R450/$K$2</f>
        <v>66.9623013661704</v>
      </c>
      <c r="T450" s="43" t="n">
        <f aca="false">S450-$M$2</f>
        <v>-0.000120345729371252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0.0738750696182251</v>
      </c>
      <c r="C451" s="25" t="n">
        <f aca="false">IF(T450&gt;0,D450,C450)</f>
        <v>0.0738754272460938</v>
      </c>
      <c r="D451" s="41" t="n">
        <f aca="false">(B451+C451)/2</f>
        <v>0.0738752484321594</v>
      </c>
      <c r="E451" s="15" t="n">
        <f aca="false">$C$2*(1+IF(E$3&lt;=$O$2,$D451,$D451-($D451-$I$427)*MIN(E$3-$O$2,$Q$2)/$Q$2))</f>
        <v>5261.98871731758</v>
      </c>
      <c r="F451" s="15" t="n">
        <f aca="false">E451*(1+IF(F$3&lt;=$O$2,$D451,$D451-($D451-$I$427)*MIN(F$3-$O$2,$Q$2)/$Q$2))</f>
        <v>5650.71944105664</v>
      </c>
      <c r="G451" s="15" t="n">
        <f aca="false">F451*(1+IF(G$3&lt;=$O$2,$D451,$D451-($D451-$I$427)*MIN(G$3-$O$2,$Q$2)/$Q$2))</f>
        <v>6068.16774358513</v>
      </c>
      <c r="H451" s="15" t="n">
        <f aca="false">G451*(1+IF(H$3&lt;=$O$2,$D451,$D451-($D451-$I$427)*MIN(H$3-$O$2,$Q$2)/$Q$2))</f>
        <v>6516.4551431705</v>
      </c>
      <c r="I451" s="15" t="n">
        <f aca="false">H451*(1+IF(I$3&lt;=$O$2,$D451,$D451-($D451-$I$427)*MIN(I$3-$O$2,$Q$2)/$Q$2))</f>
        <v>6997.85988576924</v>
      </c>
      <c r="J451" s="15" t="n">
        <f aca="false">I451*(1+IF(J$3&lt;=$O$2,$D451,$D451-($D451-$I$427)*MIN(J$3-$O$2,$Q$2)/$Q$2))</f>
        <v>7465.03840253795</v>
      </c>
      <c r="K451" s="15" t="n">
        <f aca="false">J451*(1+IF(K$3&lt;=$O$2,$D451,$D451-($D451-$I$427)*MIN(K$3-$O$2,$Q$2)/$Q$2))</f>
        <v>7910.29173079069</v>
      </c>
      <c r="L451" s="15" t="n">
        <f aca="false">K451*(1+IF(L$3&lt;=$O$2,$D451,$D451-($D451-$I$427)*MIN(L$3-$O$2,$Q$2)/$Q$2))</f>
        <v>8325.82014147747</v>
      </c>
      <c r="M451" s="15" t="n">
        <f aca="false">L451*(1+IF(M$3&lt;=$O$2,$D451,$D451-($D451-$I$427)*MIN(M$3-$O$2,$Q$2)/$Q$2))</f>
        <v>8703.93767688296</v>
      </c>
      <c r="N451" s="15" t="n">
        <f aca="false">M451*(1+IF(N$3&lt;=$O$2,$D451,$D451-($D451-$I$427)*MIN(N$3-$O$2,$Q$2)/$Q$2))</f>
        <v>9037.29848990758</v>
      </c>
      <c r="O451" s="15" t="n">
        <f aca="false">SUMPRODUCT(E451:N451,1/(1+$F$427)^$E$3:$N$3)*$E$2</f>
        <v>6937.13342238843</v>
      </c>
      <c r="P451" s="15" t="n">
        <f aca="false">N451*$E$2*(1+$I$427)/($F$427-$I$427)/(1+$F$427)^$N$3</f>
        <v>10713.3614230567</v>
      </c>
      <c r="Q451" s="15" t="n">
        <f aca="false">O451+P451</f>
        <v>17650.4948454451</v>
      </c>
      <c r="R451" s="15" t="n">
        <f aca="false">Q451-$G$2+$I$2</f>
        <v>12829.9948454451</v>
      </c>
      <c r="S451" s="42" t="n">
        <f aca="false">R451/$K$2</f>
        <v>66.9623948092125</v>
      </c>
      <c r="T451" s="43" t="n">
        <f aca="false">S451-$M$2</f>
        <v>-2.69026873240819E-005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0.0738752484321594</v>
      </c>
      <c r="C452" s="25" t="n">
        <f aca="false">IF(T451&gt;0,D451,C451)</f>
        <v>0.0738754272460938</v>
      </c>
      <c r="D452" s="41" t="n">
        <f aca="false">(B452+C452)/2</f>
        <v>0.0738753378391266</v>
      </c>
      <c r="E452" s="15" t="n">
        <f aca="false">$C$2*(1+IF(E$3&lt;=$O$2,$D452,$D452-($D452-$I$427)*MIN(E$3-$O$2,$Q$2)/$Q$2))</f>
        <v>5261.98915541172</v>
      </c>
      <c r="F452" s="15" t="n">
        <f aca="false">E452*(1+IF(F$3&lt;=$O$2,$D452,$D452-($D452-$I$427)*MIN(F$3-$O$2,$Q$2)/$Q$2))</f>
        <v>5650.72038197358</v>
      </c>
      <c r="G452" s="15" t="n">
        <f aca="false">F452*(1+IF(G$3&lt;=$O$2,$D452,$D452-($D452-$I$427)*MIN(G$3-$O$2,$Q$2)/$Q$2))</f>
        <v>6068.16925922632</v>
      </c>
      <c r="H452" s="15" t="n">
        <f aca="false">G452*(1+IF(H$3&lt;=$O$2,$D452,$D452-($D452-$I$427)*MIN(H$3-$O$2,$Q$2)/$Q$2))</f>
        <v>6516.45731331667</v>
      </c>
      <c r="I452" s="15" t="n">
        <f aca="false">H452*(1+IF(I$3&lt;=$O$2,$D452,$D452-($D452-$I$427)*MIN(I$3-$O$2,$Q$2)/$Q$2))</f>
        <v>6997.86279885218</v>
      </c>
      <c r="J452" s="15" t="n">
        <f aca="false">I452*(1+IF(J$3&lt;=$O$2,$D452,$D452-($D452-$I$427)*MIN(J$3-$O$2,$Q$2)/$Q$2))</f>
        <v>7465.04201062504</v>
      </c>
      <c r="K452" s="15" t="n">
        <f aca="false">J452*(1+IF(K$3&lt;=$O$2,$D452,$D452-($D452-$I$427)*MIN(K$3-$O$2,$Q$2)/$Q$2))</f>
        <v>7910.29595453873</v>
      </c>
      <c r="L452" s="15" t="n">
        <f aca="false">K452*(1+IF(L$3&lt;=$O$2,$D452,$D452-($D452-$I$427)*MIN(L$3-$O$2,$Q$2)/$Q$2))</f>
        <v>8325.82486999364</v>
      </c>
      <c r="M452" s="15" t="n">
        <f aca="false">L452*(1+IF(M$3&lt;=$O$2,$D452,$D452-($D452-$I$427)*MIN(M$3-$O$2,$Q$2)/$Q$2))</f>
        <v>8703.94276902229</v>
      </c>
      <c r="N452" s="15" t="n">
        <f aca="false">M452*(1+IF(N$3&lt;=$O$2,$D452,$D452-($D452-$I$427)*MIN(N$3-$O$2,$Q$2)/$Q$2))</f>
        <v>9037.30377707584</v>
      </c>
      <c r="O452" s="15" t="n">
        <f aca="false">SUMPRODUCT(E452:N452,1/(1+$F$427)^$E$3:$N$3)*$E$2</f>
        <v>6937.1361065085</v>
      </c>
      <c r="P452" s="15" t="n">
        <f aca="false">N452*$E$2*(1+$I$427)/($F$427-$I$427)/(1+$F$427)^$N$3</f>
        <v>10713.3676907864</v>
      </c>
      <c r="Q452" s="15" t="n">
        <f aca="false">O452+P452</f>
        <v>17650.5037972949</v>
      </c>
      <c r="R452" s="15" t="n">
        <f aca="false">Q452-$G$2+$I$2</f>
        <v>12830.0037972949</v>
      </c>
      <c r="S452" s="42" t="n">
        <f aca="false">R452/$K$2</f>
        <v>66.9624415307667</v>
      </c>
      <c r="T452" s="43" t="n">
        <f aca="false">S452-$M$2</f>
        <v>1.98188669457977E-005</v>
      </c>
    </row>
    <row r="454" customFormat="false" ht="15" hidden="false" customHeight="false" outlineLevel="0" collapsed="false">
      <c r="A454" s="38" t="s">
        <v>188</v>
      </c>
      <c r="E454" s="5" t="s">
        <v>11</v>
      </c>
      <c r="F454" s="12" t="n">
        <f aca="false">Sensitivity!$B$13</f>
        <v>0.100084897741638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153</v>
      </c>
      <c r="B455" s="28" t="s">
        <v>154</v>
      </c>
      <c r="C455" s="28" t="s">
        <v>155</v>
      </c>
      <c r="D455" s="28" t="s">
        <v>156</v>
      </c>
      <c r="E455" s="28" t="s">
        <v>157</v>
      </c>
      <c r="F455" s="28" t="s">
        <v>158</v>
      </c>
      <c r="G455" s="28" t="s">
        <v>159</v>
      </c>
      <c r="H455" s="28" t="s">
        <v>160</v>
      </c>
      <c r="I455" s="28" t="s">
        <v>161</v>
      </c>
      <c r="J455" s="28" t="s">
        <v>162</v>
      </c>
      <c r="K455" s="28" t="s">
        <v>163</v>
      </c>
      <c r="L455" s="28" t="s">
        <v>164</v>
      </c>
      <c r="M455" s="28" t="s">
        <v>165</v>
      </c>
      <c r="N455" s="28" t="s">
        <v>166</v>
      </c>
      <c r="O455" s="28" t="s">
        <v>167</v>
      </c>
      <c r="P455" s="28" t="s">
        <v>168</v>
      </c>
      <c r="Q455" s="28" t="s">
        <v>169</v>
      </c>
      <c r="R455" s="28" t="s">
        <v>170</v>
      </c>
      <c r="S455" s="28" t="s">
        <v>171</v>
      </c>
      <c r="T455" s="28" t="s">
        <v>172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6125</v>
      </c>
      <c r="F456" s="15" t="n">
        <f aca="false">E456*(1+IF(F$3&lt;=$O$2,$D456,$D456-($D456-$I$454)*MIN(F$3-$O$2,$Q$2)/$Q$2))</f>
        <v>7656.25</v>
      </c>
      <c r="G456" s="15" t="n">
        <f aca="false">F456*(1+IF(G$3&lt;=$O$2,$D456,$D456-($D456-$I$454)*MIN(G$3-$O$2,$Q$2)/$Q$2))</f>
        <v>9570.3125</v>
      </c>
      <c r="H456" s="15" t="n">
        <f aca="false">G456*(1+IF(H$3&lt;=$O$2,$D456,$D456-($D456-$I$454)*MIN(H$3-$O$2,$Q$2)/$Q$2))</f>
        <v>11962.890625</v>
      </c>
      <c r="I456" s="15" t="n">
        <f aca="false">H456*(1+IF(I$3&lt;=$O$2,$D456,$D456-($D456-$I$454)*MIN(I$3-$O$2,$Q$2)/$Q$2))</f>
        <v>14953.61328125</v>
      </c>
      <c r="J456" s="15" t="n">
        <f aca="false">I456*(1+IF(J$3&lt;=$O$2,$D456,$D456-($D456-$I$454)*MIN(J$3-$O$2,$Q$2)/$Q$2))</f>
        <v>17999.0661621094</v>
      </c>
      <c r="K456" s="15" t="n">
        <f aca="false">J456*(1+IF(K$3&lt;=$O$2,$D456,$D456-($D456-$I$454)*MIN(K$3-$O$2,$Q$2)/$Q$2))</f>
        <v>20830.6792507324</v>
      </c>
      <c r="L456" s="15" t="n">
        <f aca="false">K456*(1+IF(L$3&lt;=$O$2,$D456,$D456-($D456-$I$454)*MIN(L$3-$O$2,$Q$2)/$Q$2))</f>
        <v>23142.4680339787</v>
      </c>
      <c r="M456" s="15" t="n">
        <f aca="false">L456*(1+IF(M$3&lt;=$O$2,$D456,$D456-($D456-$I$454)*MIN(M$3-$O$2,$Q$2)/$Q$2))</f>
        <v>24638.3971676951</v>
      </c>
      <c r="N456" s="15" t="n">
        <f aca="false">M456*(1+IF(N$3&lt;=$O$2,$D456,$D456-($D456-$I$454)*MIN(N$3-$O$2,$Q$2)/$Q$2))</f>
        <v>25089.2798358639</v>
      </c>
      <c r="O456" s="15" t="n">
        <f aca="false">SUMPRODUCT(E456:N456,1/(1+$F$454)^$E$3:$N$3)*$E$2</f>
        <v>14193.204025877</v>
      </c>
      <c r="P456" s="15" t="n">
        <f aca="false">N456*$E$2*(1+$I$454)/($F$454-$I$454)/(1+$F$454)^$N$3</f>
        <v>19351.0180747223</v>
      </c>
      <c r="Q456" s="15" t="n">
        <f aca="false">O456+P456</f>
        <v>33544.2221005994</v>
      </c>
      <c r="R456" s="15" t="n">
        <f aca="false">Q456-$G$2+$I$2</f>
        <v>28723.7221005994</v>
      </c>
      <c r="S456" s="42" t="n">
        <f aca="false">R456/$K$2</f>
        <v>149.915042278702</v>
      </c>
      <c r="T456" s="43" t="n">
        <f aca="false">S456-$M$2</f>
        <v>82.9526205668024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4287.5</v>
      </c>
      <c r="F457" s="15" t="n">
        <f aca="false">E457*(1+IF(F$3&lt;=$O$2,$D457,$D457-($D457-$I$454)*MIN(F$3-$O$2,$Q$2)/$Q$2))</f>
        <v>3751.5625</v>
      </c>
      <c r="G457" s="15" t="n">
        <f aca="false">F457*(1+IF(G$3&lt;=$O$2,$D457,$D457-($D457-$I$454)*MIN(G$3-$O$2,$Q$2)/$Q$2))</f>
        <v>3282.6171875</v>
      </c>
      <c r="H457" s="15" t="n">
        <f aca="false">G457*(1+IF(H$3&lt;=$O$2,$D457,$D457-($D457-$I$454)*MIN(H$3-$O$2,$Q$2)/$Q$2))</f>
        <v>2872.2900390625</v>
      </c>
      <c r="I457" s="15" t="n">
        <f aca="false">H457*(1+IF(I$3&lt;=$O$2,$D457,$D457-($D457-$I$454)*MIN(I$3-$O$2,$Q$2)/$Q$2))</f>
        <v>2513.25378417969</v>
      </c>
      <c r="J457" s="15" t="n">
        <f aca="false">I457*(1+IF(J$3&lt;=$O$2,$D457,$D457-($D457-$I$454)*MIN(J$3-$O$2,$Q$2)/$Q$2))</f>
        <v>2271.12691461182</v>
      </c>
      <c r="K457" s="15" t="n">
        <f aca="false">J457*(1+IF(K$3&lt;=$O$2,$D457,$D457-($D457-$I$454)*MIN(K$3-$O$2,$Q$2)/$Q$2))</f>
        <v>2117.41704503089</v>
      </c>
      <c r="L457" s="15" t="n">
        <f aca="false">K457*(1+IF(L$3&lt;=$O$2,$D457,$D457-($D457-$I$454)*MIN(L$3-$O$2,$Q$2)/$Q$2))</f>
        <v>2034.79543193378</v>
      </c>
      <c r="M457" s="15" t="n">
        <f aca="false">L457*(1+IF(M$3&lt;=$O$2,$D457,$D457-($D457-$I$454)*MIN(M$3-$O$2,$Q$2)/$Q$2))</f>
        <v>2013.71495125895</v>
      </c>
      <c r="N457" s="15" t="n">
        <f aca="false">M457*(1+IF(N$3&lt;=$O$2,$D457,$D457-($D457-$I$454)*MIN(N$3-$O$2,$Q$2)/$Q$2))</f>
        <v>2050.56593486699</v>
      </c>
      <c r="O457" s="15" t="n">
        <f aca="false">SUMPRODUCT(E457:N457,1/(1+$F$454)^$E$3:$N$3)*$E$2</f>
        <v>2885.27243850004</v>
      </c>
      <c r="P457" s="15" t="n">
        <f aca="false">N457*$E$2*(1+$I$454)/($F$454-$I$454)/(1+$F$454)^$N$3</f>
        <v>1581.57343409672</v>
      </c>
      <c r="Q457" s="15" t="n">
        <f aca="false">O457+P457</f>
        <v>4466.84587259676</v>
      </c>
      <c r="R457" s="15" t="n">
        <f aca="false">Q457-$G$2+$I$2</f>
        <v>-353.654127403242</v>
      </c>
      <c r="S457" s="42" t="n">
        <f aca="false">R457/$K$2</f>
        <v>-1.8457939843593</v>
      </c>
      <c r="T457" s="43" t="n">
        <f aca="false">S457-$M$2</f>
        <v>-68.8082156962591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5206.25</v>
      </c>
      <c r="F458" s="15" t="n">
        <f aca="false">E458*(1+IF(F$3&lt;=$O$2,$D458,$D458-($D458-$I$454)*MIN(F$3-$O$2,$Q$2)/$Q$2))</f>
        <v>5531.640625</v>
      </c>
      <c r="G458" s="15" t="n">
        <f aca="false">F458*(1+IF(G$3&lt;=$O$2,$D458,$D458-($D458-$I$454)*MIN(G$3-$O$2,$Q$2)/$Q$2))</f>
        <v>5877.3681640625</v>
      </c>
      <c r="H458" s="15" t="n">
        <f aca="false">G458*(1+IF(H$3&lt;=$O$2,$D458,$D458-($D458-$I$454)*MIN(H$3-$O$2,$Q$2)/$Q$2))</f>
        <v>6244.70367431641</v>
      </c>
      <c r="I458" s="15" t="n">
        <f aca="false">H458*(1+IF(I$3&lt;=$O$2,$D458,$D458-($D458-$I$454)*MIN(I$3-$O$2,$Q$2)/$Q$2))</f>
        <v>6634.99765396118</v>
      </c>
      <c r="J458" s="15" t="n">
        <f aca="false">I458*(1+IF(J$3&lt;=$O$2,$D458,$D458-($D458-$I$454)*MIN(J$3-$O$2,$Q$2)/$Q$2))</f>
        <v>6991.03162807274</v>
      </c>
      <c r="K458" s="15" t="n">
        <f aca="false">J458*(1+IF(K$3&lt;=$O$2,$D458,$D458-($D458-$I$454)*MIN(K$3-$O$2,$Q$2)/$Q$2))</f>
        <v>7304.36966564296</v>
      </c>
      <c r="L458" s="15" t="n">
        <f aca="false">K458*(1+IF(L$3&lt;=$O$2,$D458,$D458-($D458-$I$454)*MIN(L$3-$O$2,$Q$2)/$Q$2))</f>
        <v>7567.18088621279</v>
      </c>
      <c r="M458" s="15" t="n">
        <f aca="false">L458*(1+IF(M$3&lt;=$O$2,$D458,$D458-($D458-$I$454)*MIN(M$3-$O$2,$Q$2)/$Q$2))</f>
        <v>7772.55417546461</v>
      </c>
      <c r="N458" s="15" t="n">
        <f aca="false">M458*(1+IF(N$3&lt;=$O$2,$D458,$D458-($D458-$I$454)*MIN(N$3-$O$2,$Q$2)/$Q$2))</f>
        <v>7914.79191687561</v>
      </c>
      <c r="O458" s="15" t="n">
        <f aca="false">SUMPRODUCT(E458:N458,1/(1+$F$454)^$E$3:$N$3)*$E$2</f>
        <v>6377.51697995413</v>
      </c>
      <c r="P458" s="15" t="n">
        <f aca="false">N458*$E$2*(1+$I$454)/($F$454-$I$454)/(1+$F$454)^$N$3</f>
        <v>6104.57065500111</v>
      </c>
      <c r="Q458" s="15" t="n">
        <f aca="false">O458+P458</f>
        <v>12482.0876349552</v>
      </c>
      <c r="R458" s="15" t="n">
        <f aca="false">Q458-$G$2+$I$2</f>
        <v>7661.58763495524</v>
      </c>
      <c r="S458" s="42" t="n">
        <f aca="false">R458/$K$2</f>
        <v>39.9874093682424</v>
      </c>
      <c r="T458" s="43" t="n">
        <f aca="false">S458-$M$2</f>
        <v>-26.9750123436574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5665.625</v>
      </c>
      <c r="F459" s="15" t="n">
        <f aca="false">E459*(1+IF(F$3&lt;=$O$2,$D459,$D459-($D459-$I$454)*MIN(F$3-$O$2,$Q$2)/$Q$2))</f>
        <v>6550.87890625</v>
      </c>
      <c r="G459" s="15" t="n">
        <f aca="false">F459*(1+IF(G$3&lt;=$O$2,$D459,$D459-($D459-$I$454)*MIN(G$3-$O$2,$Q$2)/$Q$2))</f>
        <v>7574.45373535156</v>
      </c>
      <c r="H459" s="15" t="n">
        <f aca="false">G459*(1+IF(H$3&lt;=$O$2,$D459,$D459-($D459-$I$454)*MIN(H$3-$O$2,$Q$2)/$Q$2))</f>
        <v>8757.96213150024</v>
      </c>
      <c r="I459" s="15" t="n">
        <f aca="false">H459*(1+IF(I$3&lt;=$O$2,$D459,$D459-($D459-$I$454)*MIN(I$3-$O$2,$Q$2)/$Q$2))</f>
        <v>10126.3937145472</v>
      </c>
      <c r="J459" s="15" t="n">
        <f aca="false">I459*(1+IF(J$3&lt;=$O$2,$D459,$D459-($D459-$I$454)*MIN(J$3-$O$2,$Q$2)/$Q$2))</f>
        <v>11429.2555298608</v>
      </c>
      <c r="K459" s="15" t="n">
        <f aca="false">J459*(1+IF(K$3&lt;=$O$2,$D459,$D459-($D459-$I$454)*MIN(K$3-$O$2,$Q$2)/$Q$2))</f>
        <v>12584.4103862638</v>
      </c>
      <c r="L459" s="15" t="n">
        <f aca="false">K459*(1+IF(L$3&lt;=$O$2,$D459,$D459-($D459-$I$454)*MIN(L$3-$O$2,$Q$2)/$Q$2))</f>
        <v>13509.1128614465</v>
      </c>
      <c r="M459" s="15" t="n">
        <f aca="false">L459*(1+IF(M$3&lt;=$O$2,$D459,$D459-($D459-$I$454)*MIN(M$3-$O$2,$Q$2)/$Q$2))</f>
        <v>14129.0460506583</v>
      </c>
      <c r="N459" s="15" t="n">
        <f aca="false">M459*(1+IF(N$3&lt;=$O$2,$D459,$D459-($D459-$I$454)*MIN(N$3-$O$2,$Q$2)/$Q$2))</f>
        <v>14387.6075933853</v>
      </c>
      <c r="O459" s="15" t="n">
        <f aca="false">SUMPRODUCT(E459:N459,1/(1+$F$454)^$E$3:$N$3)*$E$2</f>
        <v>9527.1163419515</v>
      </c>
      <c r="P459" s="15" t="n">
        <f aca="false">N459*$E$2*(1+$I$454)/($F$454-$I$454)/(1+$F$454)^$N$3</f>
        <v>11096.9647759132</v>
      </c>
      <c r="Q459" s="15" t="n">
        <f aca="false">O459+P459</f>
        <v>20624.0811178647</v>
      </c>
      <c r="R459" s="15" t="n">
        <f aca="false">Q459-$G$2+$I$2</f>
        <v>15803.5811178647</v>
      </c>
      <c r="S459" s="42" t="n">
        <f aca="false">R459/$K$2</f>
        <v>82.4821561475193</v>
      </c>
      <c r="T459" s="43" t="n">
        <f aca="false">S459-$M$2</f>
        <v>15.5197344356195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5435.9375</v>
      </c>
      <c r="F460" s="15" t="n">
        <f aca="false">E460*(1+IF(F$3&lt;=$O$2,$D460,$D460-($D460-$I$454)*MIN(F$3-$O$2,$Q$2)/$Q$2))</f>
        <v>6030.4931640625</v>
      </c>
      <c r="G460" s="15" t="n">
        <f aca="false">F460*(1+IF(G$3&lt;=$O$2,$D460,$D460-($D460-$I$454)*MIN(G$3-$O$2,$Q$2)/$Q$2))</f>
        <v>6690.07835388184</v>
      </c>
      <c r="H460" s="15" t="n">
        <f aca="false">G460*(1+IF(H$3&lt;=$O$2,$D460,$D460-($D460-$I$454)*MIN(H$3-$O$2,$Q$2)/$Q$2))</f>
        <v>7421.80567383766</v>
      </c>
      <c r="I460" s="15" t="n">
        <f aca="false">H460*(1+IF(I$3&lt;=$O$2,$D460,$D460-($D460-$I$454)*MIN(I$3-$O$2,$Q$2)/$Q$2))</f>
        <v>8233.56566941366</v>
      </c>
      <c r="J460" s="15" t="n">
        <f aca="false">I460*(1+IF(J$3&lt;=$O$2,$D460,$D460-($D460-$I$454)*MIN(J$3-$O$2,$Q$2)/$Q$2))</f>
        <v>8984.13751583741</v>
      </c>
      <c r="K460" s="15" t="n">
        <f aca="false">J460*(1+IF(K$3&lt;=$O$2,$D460,$D460-($D460-$I$454)*MIN(K$3-$O$2,$Q$2)/$Q$2))</f>
        <v>9639.48542693017</v>
      </c>
      <c r="L460" s="15" t="n">
        <f aca="false">K460*(1+IF(L$3&lt;=$O$2,$D460,$D460-($D460-$I$454)*MIN(L$3-$O$2,$Q$2)/$Q$2))</f>
        <v>10167.0544643461</v>
      </c>
      <c r="M460" s="15" t="n">
        <f aca="false">L460*(1+IF(M$3&lt;=$O$2,$D460,$D460-($D460-$I$454)*MIN(M$3-$O$2,$Q$2)/$Q$2))</f>
        <v>10538.3044581117</v>
      </c>
      <c r="N460" s="15" t="n">
        <f aca="false">M460*(1+IF(N$3&lt;=$O$2,$D460,$D460-($D460-$I$454)*MIN(N$3-$O$2,$Q$2)/$Q$2))</f>
        <v>10731.1554296951</v>
      </c>
      <c r="O460" s="15" t="n">
        <f aca="false">SUMPRODUCT(E460:N460,1/(1+$F$454)^$E$3:$N$3)*$E$2</f>
        <v>7795.54428858969</v>
      </c>
      <c r="P460" s="15" t="n">
        <f aca="false">N460*$E$2*(1+$I$454)/($F$454-$I$454)/(1+$F$454)^$N$3</f>
        <v>8276.79327749559</v>
      </c>
      <c r="Q460" s="15" t="n">
        <f aca="false">O460+P460</f>
        <v>16072.3375660853</v>
      </c>
      <c r="R460" s="15" t="n">
        <f aca="false">Q460-$G$2+$I$2</f>
        <v>11251.8375660853</v>
      </c>
      <c r="S460" s="42" t="n">
        <f aca="false">R460/$K$2</f>
        <v>58.7256657937645</v>
      </c>
      <c r="T460" s="43" t="n">
        <f aca="false">S460-$M$2</f>
        <v>-8.2367559181353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0.109375</v>
      </c>
      <c r="C461" s="25" t="n">
        <f aca="false">IF(T460&gt;0,D460,C460)</f>
        <v>0.15625</v>
      </c>
      <c r="D461" s="41" t="n">
        <f aca="false">(B461+C461)/2</f>
        <v>0.1328125</v>
      </c>
      <c r="E461" s="15" t="n">
        <f aca="false">$C$2*(1+IF(E$3&lt;=$O$2,$D461,$D461-($D461-$I$454)*MIN(E$3-$O$2,$Q$2)/$Q$2))</f>
        <v>5550.78125</v>
      </c>
      <c r="F461" s="15" t="n">
        <f aca="false">E461*(1+IF(F$3&lt;=$O$2,$D461,$D461-($D461-$I$454)*MIN(F$3-$O$2,$Q$2)/$Q$2))</f>
        <v>6287.99438476563</v>
      </c>
      <c r="G461" s="15" t="n">
        <f aca="false">F461*(1+IF(G$3&lt;=$O$2,$D461,$D461-($D461-$I$454)*MIN(G$3-$O$2,$Q$2)/$Q$2))</f>
        <v>7123.11863899231</v>
      </c>
      <c r="H461" s="15" t="n">
        <f aca="false">G461*(1+IF(H$3&lt;=$O$2,$D461,$D461-($D461-$I$454)*MIN(H$3-$O$2,$Q$2)/$Q$2))</f>
        <v>8069.15783323348</v>
      </c>
      <c r="I461" s="15" t="n">
        <f aca="false">H461*(1+IF(I$3&lt;=$O$2,$D461,$D461-($D461-$I$454)*MIN(I$3-$O$2,$Q$2)/$Q$2))</f>
        <v>9140.8428579598</v>
      </c>
      <c r="J461" s="15" t="n">
        <f aca="false">I461*(1+IF(J$3&lt;=$O$2,$D461,$D461-($D461-$I$454)*MIN(J$3-$O$2,$Q$2)/$Q$2))</f>
        <v>10145.5128964782</v>
      </c>
      <c r="K461" s="15" t="n">
        <f aca="false">J461*(1+IF(K$3&lt;=$O$2,$D461,$D461-($D461-$I$454)*MIN(K$3-$O$2,$Q$2)/$Q$2))</f>
        <v>11028.2486098185</v>
      </c>
      <c r="L461" s="15" t="n">
        <f aca="false">K461*(1+IF(L$3&lt;=$O$2,$D461,$D461-($D461-$I$454)*MIN(L$3-$O$2,$Q$2)/$Q$2))</f>
        <v>11735.2144869509</v>
      </c>
      <c r="M461" s="15" t="n">
        <f aca="false">L461*(1+IF(M$3&lt;=$O$2,$D461,$D461-($D461-$I$454)*MIN(M$3-$O$2,$Q$2)/$Q$2))</f>
        <v>12218.7346618495</v>
      </c>
      <c r="N461" s="15" t="n">
        <f aca="false">M461*(1+IF(N$3&lt;=$O$2,$D461,$D461-($D461-$I$454)*MIN(N$3-$O$2,$Q$2)/$Q$2))</f>
        <v>12442.3375061613</v>
      </c>
      <c r="O461" s="15" t="n">
        <f aca="false">SUMPRODUCT(E461:N461,1/(1+$F$454)^$E$3:$N$3)*$E$2</f>
        <v>8618.43810903177</v>
      </c>
      <c r="P461" s="15" t="n">
        <f aca="false">N461*$E$2*(1+$I$454)/($F$454-$I$454)/(1+$F$454)^$N$3</f>
        <v>9596.6045876435</v>
      </c>
      <c r="Q461" s="15" t="n">
        <f aca="false">O461+P461</f>
        <v>18215.0426966753</v>
      </c>
      <c r="R461" s="15" t="n">
        <f aca="false">Q461-$G$2+$I$2</f>
        <v>13394.5426966753</v>
      </c>
      <c r="S461" s="42" t="n">
        <f aca="false">R461/$K$2</f>
        <v>69.9088867258626</v>
      </c>
      <c r="T461" s="43" t="n">
        <f aca="false">S461-$M$2</f>
        <v>2.94646501396279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0.109375</v>
      </c>
      <c r="C462" s="25" t="n">
        <f aca="false">IF(T461&gt;0,D461,C461)</f>
        <v>0.1328125</v>
      </c>
      <c r="D462" s="41" t="n">
        <f aca="false">(B462+C462)/2</f>
        <v>0.12109375</v>
      </c>
      <c r="E462" s="15" t="n">
        <f aca="false">$C$2*(1+IF(E$3&lt;=$O$2,$D462,$D462-($D462-$I$454)*MIN(E$3-$O$2,$Q$2)/$Q$2))</f>
        <v>5493.359375</v>
      </c>
      <c r="F462" s="15" t="n">
        <f aca="false">E462*(1+IF(F$3&lt;=$O$2,$D462,$D462-($D462-$I$454)*MIN(F$3-$O$2,$Q$2)/$Q$2))</f>
        <v>6158.57086181641</v>
      </c>
      <c r="G462" s="15" t="n">
        <f aca="false">F462*(1+IF(G$3&lt;=$O$2,$D462,$D462-($D462-$I$454)*MIN(G$3-$O$2,$Q$2)/$Q$2))</f>
        <v>6904.33530211449</v>
      </c>
      <c r="H462" s="15" t="n">
        <f aca="false">G462*(1+IF(H$3&lt;=$O$2,$D462,$D462-($D462-$I$454)*MIN(H$3-$O$2,$Q$2)/$Q$2))</f>
        <v>7740.40715510491</v>
      </c>
      <c r="I462" s="15" t="n">
        <f aca="false">H462*(1+IF(I$3&lt;=$O$2,$D462,$D462-($D462-$I$454)*MIN(I$3-$O$2,$Q$2)/$Q$2))</f>
        <v>8677.7220840434</v>
      </c>
      <c r="J462" s="15" t="n">
        <f aca="false">I462*(1+IF(J$3&lt;=$O$2,$D462,$D462-($D462-$I$454)*MIN(J$3-$O$2,$Q$2)/$Q$2))</f>
        <v>9550.1368737627</v>
      </c>
      <c r="K462" s="15" t="n">
        <f aca="false">J462*(1+IF(K$3&lt;=$O$2,$D462,$D462-($D462-$I$454)*MIN(K$3-$O$2,$Q$2)/$Q$2))</f>
        <v>10313.921007913</v>
      </c>
      <c r="L462" s="15" t="n">
        <f aca="false">K462*(1+IF(L$3&lt;=$O$2,$D462,$D462-($D462-$I$454)*MIN(L$3-$O$2,$Q$2)/$Q$2))</f>
        <v>10926.7484094006</v>
      </c>
      <c r="M462" s="15" t="n">
        <f aca="false">L462*(1+IF(M$3&lt;=$O$2,$D462,$D462-($D462-$I$454)*MIN(M$3-$O$2,$Q$2)/$Q$2))</f>
        <v>11351.3481941544</v>
      </c>
      <c r="N462" s="15" t="n">
        <f aca="false">M462*(1+IF(N$3&lt;=$O$2,$D462,$D462-($D462-$I$454)*MIN(N$3-$O$2,$Q$2)/$Q$2))</f>
        <v>11559.0778661075</v>
      </c>
      <c r="O462" s="15" t="n">
        <f aca="false">SUMPRODUCT(E462:N462,1/(1+$F$454)^$E$3:$N$3)*$E$2</f>
        <v>8196.7537347674</v>
      </c>
      <c r="P462" s="15" t="n">
        <f aca="false">N462*$E$2*(1+$I$454)/($F$454-$I$454)/(1+$F$454)^$N$3</f>
        <v>8915.35851875781</v>
      </c>
      <c r="Q462" s="15" t="n">
        <f aca="false">O462+P462</f>
        <v>17112.1122535252</v>
      </c>
      <c r="R462" s="15" t="n">
        <f aca="false">Q462-$G$2+$I$2</f>
        <v>12291.6122535252</v>
      </c>
      <c r="S462" s="42" t="n">
        <f aca="false">R462/$K$2</f>
        <v>64.1524647887537</v>
      </c>
      <c r="T462" s="43" t="n">
        <f aca="false">S462-$M$2</f>
        <v>-2.80995692314606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0.12109375</v>
      </c>
      <c r="C463" s="25" t="n">
        <f aca="false">IF(T462&gt;0,D462,C462)</f>
        <v>0.1328125</v>
      </c>
      <c r="D463" s="41" t="n">
        <f aca="false">(B463+C463)/2</f>
        <v>0.126953125</v>
      </c>
      <c r="E463" s="15" t="n">
        <f aca="false">$C$2*(1+IF(E$3&lt;=$O$2,$D463,$D463-($D463-$I$454)*MIN(E$3-$O$2,$Q$2)/$Q$2))</f>
        <v>5522.0703125</v>
      </c>
      <c r="F463" s="15" t="n">
        <f aca="false">E463*(1+IF(F$3&lt;=$O$2,$D463,$D463-($D463-$I$454)*MIN(F$3-$O$2,$Q$2)/$Q$2))</f>
        <v>6223.1143951416</v>
      </c>
      <c r="G463" s="15" t="n">
        <f aca="false">F463*(1+IF(G$3&lt;=$O$2,$D463,$D463-($D463-$I$454)*MIN(G$3-$O$2,$Q$2)/$Q$2))</f>
        <v>7013.15821483731</v>
      </c>
      <c r="H463" s="15" t="n">
        <f aca="false">G463*(1+IF(H$3&lt;=$O$2,$D463,$D463-($D463-$I$454)*MIN(H$3-$O$2,$Q$2)/$Q$2))</f>
        <v>7903.50056633033</v>
      </c>
      <c r="I463" s="15" t="n">
        <f aca="false">H463*(1+IF(I$3&lt;=$O$2,$D463,$D463-($D463-$I$454)*MIN(I$3-$O$2,$Q$2)/$Q$2))</f>
        <v>8906.87466166524</v>
      </c>
      <c r="J463" s="15" t="n">
        <f aca="false">I463*(1+IF(J$3&lt;=$O$2,$D463,$D463-($D463-$I$454)*MIN(J$3-$O$2,$Q$2)/$Q$2))</f>
        <v>9844.07828075231</v>
      </c>
      <c r="K463" s="15" t="n">
        <f aca="false">J463*(1+IF(K$3&lt;=$O$2,$D463,$D463-($D463-$I$454)*MIN(K$3-$O$2,$Q$2)/$Q$2))</f>
        <v>10665.9788340591</v>
      </c>
      <c r="L463" s="15" t="n">
        <f aca="false">K463*(1+IF(L$3&lt;=$O$2,$D463,$D463-($D463-$I$454)*MIN(L$3-$O$2,$Q$2)/$Q$2))</f>
        <v>11324.7230193241</v>
      </c>
      <c r="M463" s="15" t="n">
        <f aca="false">L463*(1+IF(M$3&lt;=$O$2,$D463,$D463-($D463-$I$454)*MIN(M$3-$O$2,$Q$2)/$Q$2))</f>
        <v>11778.0587597396</v>
      </c>
      <c r="N463" s="15" t="n">
        <f aca="false">M463*(1+IF(N$3&lt;=$O$2,$D463,$D463-($D463-$I$454)*MIN(N$3-$O$2,$Q$2)/$Q$2))</f>
        <v>11993.5972350428</v>
      </c>
      <c r="O463" s="15" t="n">
        <f aca="false">SUMPRODUCT(E463:N463,1/(1+$F$454)^$E$3:$N$3)*$E$2</f>
        <v>8404.97736016391</v>
      </c>
      <c r="P463" s="15" t="n">
        <f aca="false">N463*$E$2*(1+$I$454)/($F$454-$I$454)/(1+$F$454)^$N$3</f>
        <v>9250.49735961307</v>
      </c>
      <c r="Q463" s="15" t="n">
        <f aca="false">O463+P463</f>
        <v>17655.474719777</v>
      </c>
      <c r="R463" s="15" t="n">
        <f aca="false">Q463-$G$2+$I$2</f>
        <v>12834.974719777</v>
      </c>
      <c r="S463" s="42" t="n">
        <f aca="false">R463/$K$2</f>
        <v>66.9883858025938</v>
      </c>
      <c r="T463" s="43" t="n">
        <f aca="false">S463-$M$2</f>
        <v>0.0259640906940319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0.12109375</v>
      </c>
      <c r="C464" s="25" t="n">
        <f aca="false">IF(T463&gt;0,D463,C463)</f>
        <v>0.126953125</v>
      </c>
      <c r="D464" s="41" t="n">
        <f aca="false">(B464+C464)/2</f>
        <v>0.1240234375</v>
      </c>
      <c r="E464" s="15" t="n">
        <f aca="false">$C$2*(1+IF(E$3&lt;=$O$2,$D464,$D464-($D464-$I$454)*MIN(E$3-$O$2,$Q$2)/$Q$2))</f>
        <v>5507.71484375</v>
      </c>
      <c r="F464" s="15" t="n">
        <f aca="false">E464*(1+IF(F$3&lt;=$O$2,$D464,$D464-($D464-$I$454)*MIN(F$3-$O$2,$Q$2)/$Q$2))</f>
        <v>6190.80057144165</v>
      </c>
      <c r="G464" s="15" t="n">
        <f aca="false">F464*(1+IF(G$3&lt;=$O$2,$D464,$D464-($D464-$I$454)*MIN(G$3-$O$2,$Q$2)/$Q$2))</f>
        <v>6958.60493918881</v>
      </c>
      <c r="H464" s="15" t="n">
        <f aca="false">G464*(1+IF(H$3&lt;=$O$2,$D464,$D464-($D464-$I$454)*MIN(H$3-$O$2,$Q$2)/$Q$2))</f>
        <v>7821.63504395148</v>
      </c>
      <c r="I464" s="15" t="n">
        <f aca="false">H464*(1+IF(I$3&lt;=$O$2,$D464,$D464-($D464-$I$454)*MIN(I$3-$O$2,$Q$2)/$Q$2))</f>
        <v>8791.70110897281</v>
      </c>
      <c r="J464" s="15" t="n">
        <f aca="false">I464*(1+IF(J$3&lt;=$O$2,$D464,$D464-($D464-$I$454)*MIN(J$3-$O$2,$Q$2)/$Q$2))</f>
        <v>9696.18032943755</v>
      </c>
      <c r="K464" s="15" t="n">
        <f aca="false">J464*(1+IF(K$3&lt;=$O$2,$D464,$D464-($D464-$I$454)*MIN(K$3-$O$2,$Q$2)/$Q$2))</f>
        <v>10488.6885384951</v>
      </c>
      <c r="L464" s="15" t="n">
        <f aca="false">K464*(1+IF(L$3&lt;=$O$2,$D464,$D464-($D464-$I$454)*MIN(L$3-$O$2,$Q$2)/$Q$2))</f>
        <v>11124.1916216121</v>
      </c>
      <c r="M464" s="15" t="n">
        <f aca="false">L464*(1+IF(M$3&lt;=$O$2,$D464,$D464-($D464-$I$454)*MIN(M$3-$O$2,$Q$2)/$Q$2))</f>
        <v>11562.9818838168</v>
      </c>
      <c r="N464" s="15" t="n">
        <f aca="false">M464*(1+IF(N$3&lt;=$O$2,$D464,$D464-($D464-$I$454)*MIN(N$3-$O$2,$Q$2)/$Q$2))</f>
        <v>11774.5844522906</v>
      </c>
      <c r="O464" s="15" t="n">
        <f aca="false">SUMPRODUCT(E464:N464,1/(1+$F$454)^$E$3:$N$3)*$E$2</f>
        <v>8300.2183987293</v>
      </c>
      <c r="P464" s="15" t="n">
        <f aca="false">N464*$E$2*(1+$I$454)/($F$454-$I$454)/(1+$F$454)^$N$3</f>
        <v>9081.57579847783</v>
      </c>
      <c r="Q464" s="15" t="n">
        <f aca="false">O464+P464</f>
        <v>17381.7941972071</v>
      </c>
      <c r="R464" s="15" t="n">
        <f aca="false">Q464-$G$2+$I$2</f>
        <v>12561.2941972071</v>
      </c>
      <c r="S464" s="42" t="n">
        <f aca="false">R464/$K$2</f>
        <v>65.5599905908514</v>
      </c>
      <c r="T464" s="43" t="n">
        <f aca="false">S464-$M$2</f>
        <v>-1.40243112104839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0.1240234375</v>
      </c>
      <c r="C465" s="25" t="n">
        <f aca="false">IF(T464&gt;0,D464,C464)</f>
        <v>0.126953125</v>
      </c>
      <c r="D465" s="41" t="n">
        <f aca="false">(B465+C465)/2</f>
        <v>0.12548828125</v>
      </c>
      <c r="E465" s="15" t="n">
        <f aca="false">$C$2*(1+IF(E$3&lt;=$O$2,$D465,$D465-($D465-$I$454)*MIN(E$3-$O$2,$Q$2)/$Q$2))</f>
        <v>5514.892578125</v>
      </c>
      <c r="F465" s="15" t="n">
        <f aca="false">E465*(1+IF(F$3&lt;=$O$2,$D465,$D465-($D465-$I$454)*MIN(F$3-$O$2,$Q$2)/$Q$2))</f>
        <v>6206.94696903229</v>
      </c>
      <c r="G465" s="15" t="n">
        <f aca="false">F465*(1+IF(G$3&lt;=$O$2,$D465,$D465-($D465-$I$454)*MIN(G$3-$O$2,$Q$2)/$Q$2))</f>
        <v>6985.84607598605</v>
      </c>
      <c r="H465" s="15" t="n">
        <f aca="false">G465*(1+IF(H$3&lt;=$O$2,$D465,$D465-($D465-$I$454)*MIN(H$3-$O$2,$Q$2)/$Q$2))</f>
        <v>7862.48789313859</v>
      </c>
      <c r="I465" s="15" t="n">
        <f aca="false">H465*(1+IF(I$3&lt;=$O$2,$D465,$D465-($D465-$I$454)*MIN(I$3-$O$2,$Q$2)/$Q$2))</f>
        <v>8849.13798519749</v>
      </c>
      <c r="J465" s="15" t="n">
        <f aca="false">I465*(1+IF(J$3&lt;=$O$2,$D465,$D465-($D465-$I$454)*MIN(J$3-$O$2,$Q$2)/$Q$2))</f>
        <v>9769.89632326853</v>
      </c>
      <c r="K465" s="15" t="n">
        <f aca="false">J465*(1+IF(K$3&lt;=$O$2,$D465,$D465-($D465-$I$454)*MIN(K$3-$O$2,$Q$2)/$Q$2))</f>
        <v>10577.0164629134</v>
      </c>
      <c r="L465" s="15" t="n">
        <f aca="false">K465*(1+IF(L$3&lt;=$O$2,$D465,$D465-($D465-$I$454)*MIN(L$3-$O$2,$Q$2)/$Q$2))</f>
        <v>11224.0687503498</v>
      </c>
      <c r="M465" s="15" t="n">
        <f aca="false">L465*(1+IF(M$3&lt;=$O$2,$D465,$D465-($D465-$I$454)*MIN(M$3-$O$2,$Q$2)/$Q$2))</f>
        <v>11670.0869360776</v>
      </c>
      <c r="N465" s="15" t="n">
        <f aca="false">M465*(1+IF(N$3&lt;=$O$2,$D465,$D465-($D465-$I$454)*MIN(N$3-$O$2,$Q$2)/$Q$2))</f>
        <v>11883.6495270078</v>
      </c>
      <c r="O465" s="15" t="n">
        <f aca="false">SUMPRODUCT(E465:N465,1/(1+$F$454)^$E$3:$N$3)*$E$2</f>
        <v>8352.43516161697</v>
      </c>
      <c r="P465" s="15" t="n">
        <f aca="false">N465*$E$2*(1+$I$454)/($F$454-$I$454)/(1+$F$454)^$N$3</f>
        <v>9165.69619754791</v>
      </c>
      <c r="Q465" s="15" t="n">
        <f aca="false">O465+P465</f>
        <v>17518.1313591649</v>
      </c>
      <c r="R465" s="15" t="n">
        <f aca="false">Q465-$G$2+$I$2</f>
        <v>12697.6313591649</v>
      </c>
      <c r="S465" s="42" t="n">
        <f aca="false">R465/$K$2</f>
        <v>66.2715624173532</v>
      </c>
      <c r="T465" s="43" t="n">
        <f aca="false">S465-$M$2</f>
        <v>-0.69085929454657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0.12548828125</v>
      </c>
      <c r="C466" s="25" t="n">
        <f aca="false">IF(T465&gt;0,D465,C465)</f>
        <v>0.126953125</v>
      </c>
      <c r="D466" s="41" t="n">
        <f aca="false">(B466+C466)/2</f>
        <v>0.126220703125</v>
      </c>
      <c r="E466" s="15" t="n">
        <f aca="false">$C$2*(1+IF(E$3&lt;=$O$2,$D466,$D466-($D466-$I$454)*MIN(E$3-$O$2,$Q$2)/$Q$2))</f>
        <v>5518.4814453125</v>
      </c>
      <c r="F466" s="15" t="n">
        <f aca="false">E466*(1+IF(F$3&lt;=$O$2,$D466,$D466-($D466-$I$454)*MIN(F$3-$O$2,$Q$2)/$Q$2))</f>
        <v>6215.02805352211</v>
      </c>
      <c r="G466" s="15" t="n">
        <f aca="false">F466*(1+IF(G$3&lt;=$O$2,$D466,$D466-($D466-$I$454)*MIN(G$3-$O$2,$Q$2)/$Q$2))</f>
        <v>6999.49326437927</v>
      </c>
      <c r="H466" s="15" t="n">
        <f aca="false">G466*(1+IF(H$3&lt;=$O$2,$D466,$D466-($D466-$I$454)*MIN(H$3-$O$2,$Q$2)/$Q$2))</f>
        <v>7882.97422572792</v>
      </c>
      <c r="I466" s="15" t="n">
        <f aca="false">H466*(1+IF(I$3&lt;=$O$2,$D466,$D466-($D466-$I$454)*MIN(I$3-$O$2,$Q$2)/$Q$2))</f>
        <v>8877.96877521556</v>
      </c>
      <c r="J466" s="15" t="n">
        <f aca="false">I466*(1+IF(J$3&lt;=$O$2,$D466,$D466-($D466-$I$454)*MIN(J$3-$O$2,$Q$2)/$Q$2))</f>
        <v>9806.92890983645</v>
      </c>
      <c r="K466" s="15" t="n">
        <f aca="false">J466*(1+IF(K$3&lt;=$O$2,$D466,$D466-($D466-$I$454)*MIN(K$3-$O$2,$Q$2)/$Q$2))</f>
        <v>10621.4181069543</v>
      </c>
      <c r="L466" s="15" t="n">
        <f aca="false">K466*(1+IF(L$3&lt;=$O$2,$D466,$D466-($D466-$I$454)*MIN(L$3-$O$2,$Q$2)/$Q$2))</f>
        <v>11274.2984224264</v>
      </c>
      <c r="M466" s="15" t="n">
        <f aca="false">L466*(1+IF(M$3&lt;=$O$2,$D466,$D466-($D466-$I$454)*MIN(M$3-$O$2,$Q$2)/$Q$2))</f>
        <v>11723.9641261547</v>
      </c>
      <c r="N466" s="15" t="n">
        <f aca="false">M466*(1+IF(N$3&lt;=$O$2,$D466,$D466-($D466-$I$454)*MIN(N$3-$O$2,$Q$2)/$Q$2))</f>
        <v>11938.5126696633</v>
      </c>
      <c r="O466" s="15" t="n">
        <f aca="false">SUMPRODUCT(E466:N466,1/(1+$F$454)^$E$3:$N$3)*$E$2</f>
        <v>8378.66546459526</v>
      </c>
      <c r="P466" s="15" t="n">
        <f aca="false">N466*$E$2*(1+$I$454)/($F$454-$I$454)/(1+$F$454)^$N$3</f>
        <v>9208.01138842259</v>
      </c>
      <c r="Q466" s="15" t="n">
        <f aca="false">O466+P466</f>
        <v>17586.6768530178</v>
      </c>
      <c r="R466" s="15" t="n">
        <f aca="false">Q466-$G$2+$I$2</f>
        <v>12766.1768530178</v>
      </c>
      <c r="S466" s="42" t="n">
        <f aca="false">R466/$K$2</f>
        <v>66.6293155167946</v>
      </c>
      <c r="T466" s="43" t="n">
        <f aca="false">S466-$M$2</f>
        <v>-0.333106195105188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0.126220703125</v>
      </c>
      <c r="C467" s="25" t="n">
        <f aca="false">IF(T466&gt;0,D466,C466)</f>
        <v>0.126953125</v>
      </c>
      <c r="D467" s="41" t="n">
        <f aca="false">(B467+C467)/2</f>
        <v>0.1265869140625</v>
      </c>
      <c r="E467" s="15" t="n">
        <f aca="false">$C$2*(1+IF(E$3&lt;=$O$2,$D467,$D467-($D467-$I$454)*MIN(E$3-$O$2,$Q$2)/$Q$2))</f>
        <v>5520.27587890625</v>
      </c>
      <c r="F467" s="15" t="n">
        <f aca="false">E467*(1+IF(F$3&lt;=$O$2,$D467,$D467-($D467-$I$454)*MIN(F$3-$O$2,$Q$2)/$Q$2))</f>
        <v>6219.07056719065</v>
      </c>
      <c r="G467" s="15" t="n">
        <f aca="false">F467*(1+IF(G$3&lt;=$O$2,$D467,$D467-($D467-$I$454)*MIN(G$3-$O$2,$Q$2)/$Q$2))</f>
        <v>7006.32351862823</v>
      </c>
      <c r="H467" s="15" t="n">
        <f aca="false">G467*(1+IF(H$3&lt;=$O$2,$D467,$D467-($D467-$I$454)*MIN(H$3-$O$2,$Q$2)/$Q$2))</f>
        <v>7893.2323917749</v>
      </c>
      <c r="I467" s="15" t="n">
        <f aca="false">H467*(1+IF(I$3&lt;=$O$2,$D467,$D467-($D467-$I$454)*MIN(I$3-$O$2,$Q$2)/$Q$2))</f>
        <v>8892.41232222785</v>
      </c>
      <c r="J467" s="15" t="n">
        <f aca="false">I467*(1+IF(J$3&lt;=$O$2,$D467,$D467-($D467-$I$454)*MIN(J$3-$O$2,$Q$2)/$Q$2))</f>
        <v>9825.48897888094</v>
      </c>
      <c r="K467" s="15" t="n">
        <f aca="false">J467*(1+IF(K$3&lt;=$O$2,$D467,$D467-($D467-$I$454)*MIN(K$3-$O$2,$Q$2)/$Q$2))</f>
        <v>10643.6785556013</v>
      </c>
      <c r="L467" s="15" t="n">
        <f aca="false">K467*(1+IF(L$3&lt;=$O$2,$D467,$D467-($D467-$I$454)*MIN(L$3-$O$2,$Q$2)/$Q$2))</f>
        <v>11299.4863151926</v>
      </c>
      <c r="M467" s="15" t="n">
        <f aca="false">L467*(1+IF(M$3&lt;=$O$2,$D467,$D467-($D467-$I$454)*MIN(M$3-$O$2,$Q$2)/$Q$2))</f>
        <v>11750.9842154733</v>
      </c>
      <c r="N467" s="15" t="n">
        <f aca="false">M467*(1+IF(N$3&lt;=$O$2,$D467,$D467-($D467-$I$454)*MIN(N$3-$O$2,$Q$2)/$Q$2))</f>
        <v>11966.0272266165</v>
      </c>
      <c r="O467" s="15" t="n">
        <f aca="false">SUMPRODUCT(E467:N467,1/(1+$F$454)^$E$3:$N$3)*$E$2</f>
        <v>8391.81119866928</v>
      </c>
      <c r="P467" s="15" t="n">
        <f aca="false">N467*$E$2*(1+$I$454)/($F$454-$I$454)/(1+$F$454)^$N$3</f>
        <v>9229.23298953675</v>
      </c>
      <c r="Q467" s="15" t="n">
        <f aca="false">O467+P467</f>
        <v>17621.044188206</v>
      </c>
      <c r="R467" s="15" t="n">
        <f aca="false">Q467-$G$2+$I$2</f>
        <v>12800.544188206</v>
      </c>
      <c r="S467" s="42" t="n">
        <f aca="false">R467/$K$2</f>
        <v>66.8086857422026</v>
      </c>
      <c r="T467" s="43" t="n">
        <f aca="false">S467-$M$2</f>
        <v>-0.153735969697166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0.1265869140625</v>
      </c>
      <c r="C468" s="25" t="n">
        <f aca="false">IF(T467&gt;0,D467,C467)</f>
        <v>0.126953125</v>
      </c>
      <c r="D468" s="41" t="n">
        <f aca="false">(B468+C468)/2</f>
        <v>0.12677001953125</v>
      </c>
      <c r="E468" s="15" t="n">
        <f aca="false">$C$2*(1+IF(E$3&lt;=$O$2,$D468,$D468-($D468-$I$454)*MIN(E$3-$O$2,$Q$2)/$Q$2))</f>
        <v>5521.17309570313</v>
      </c>
      <c r="F468" s="15" t="n">
        <f aca="false">E468*(1+IF(F$3&lt;=$O$2,$D468,$D468-($D468-$I$454)*MIN(F$3-$O$2,$Q$2)/$Q$2))</f>
        <v>6221.09231688082</v>
      </c>
      <c r="G468" s="15" t="n">
        <f aca="false">F468*(1+IF(G$3&lt;=$O$2,$D468,$D468-($D468-$I$454)*MIN(G$3-$O$2,$Q$2)/$Q$2))</f>
        <v>7009.74031139751</v>
      </c>
      <c r="H468" s="15" t="n">
        <f aca="false">G468*(1+IF(H$3&lt;=$O$2,$D468,$D468-($D468-$I$454)*MIN(H$3-$O$2,$Q$2)/$Q$2))</f>
        <v>7898.36522758237</v>
      </c>
      <c r="I468" s="15" t="n">
        <f aca="false">H468*(1+IF(I$3&lt;=$O$2,$D468,$D468-($D468-$I$454)*MIN(I$3-$O$2,$Q$2)/$Q$2))</f>
        <v>8899.64114174793</v>
      </c>
      <c r="J468" s="15" t="n">
        <f aca="false">I468*(1+IF(J$3&lt;=$O$2,$D468,$D468-($D468-$I$454)*MIN(J$3-$O$2,$Q$2)/$Q$2))</f>
        <v>9834.77997341513</v>
      </c>
      <c r="K468" s="15" t="n">
        <f aca="false">J468*(1+IF(K$3&lt;=$O$2,$D468,$D468-($D468-$I$454)*MIN(K$3-$O$2,$Q$2)/$Q$2))</f>
        <v>10654.8237124098</v>
      </c>
      <c r="L468" s="15" t="n">
        <f aca="false">K468*(1+IF(L$3&lt;=$O$2,$D468,$D468-($D468-$I$454)*MIN(L$3-$O$2,$Q$2)/$Q$2))</f>
        <v>11312.0985608217</v>
      </c>
      <c r="M468" s="15" t="n">
        <f aca="false">L468*(1+IF(M$3&lt;=$O$2,$D468,$D468-($D468-$I$454)*MIN(M$3-$O$2,$Q$2)/$Q$2))</f>
        <v>11764.5146748511</v>
      </c>
      <c r="N468" s="15" t="n">
        <f aca="false">M468*(1+IF(N$3&lt;=$O$2,$D468,$D468-($D468-$I$454)*MIN(N$3-$O$2,$Q$2)/$Q$2))</f>
        <v>11979.8052934009</v>
      </c>
      <c r="O468" s="15" t="n">
        <f aca="false">SUMPRODUCT(E468:N468,1/(1+$F$454)^$E$3:$N$3)*$E$2</f>
        <v>8398.39172415746</v>
      </c>
      <c r="P468" s="15" t="n">
        <f aca="false">N468*$E$2*(1+$I$454)/($F$454-$I$454)/(1+$F$454)^$N$3</f>
        <v>9239.85982383107</v>
      </c>
      <c r="Q468" s="15" t="n">
        <f aca="false">O468+P468</f>
        <v>17638.2515479885</v>
      </c>
      <c r="R468" s="15" t="n">
        <f aca="false">Q468-$G$2+$I$2</f>
        <v>12817.7515479885</v>
      </c>
      <c r="S468" s="42" t="n">
        <f aca="false">R468/$K$2</f>
        <v>66.8984945093347</v>
      </c>
      <c r="T468" s="43" t="n">
        <f aca="false">S468-$M$2</f>
        <v>-0.0639272025650683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0.12677001953125</v>
      </c>
      <c r="C469" s="25" t="n">
        <f aca="false">IF(T468&gt;0,D468,C468)</f>
        <v>0.126953125</v>
      </c>
      <c r="D469" s="41" t="n">
        <f aca="false">(B469+C469)/2</f>
        <v>0.126861572265625</v>
      </c>
      <c r="E469" s="15" t="n">
        <f aca="false">$C$2*(1+IF(E$3&lt;=$O$2,$D469,$D469-($D469-$I$454)*MIN(E$3-$O$2,$Q$2)/$Q$2))</f>
        <v>5521.62170410156</v>
      </c>
      <c r="F469" s="15" t="n">
        <f aca="false">E469*(1+IF(F$3&lt;=$O$2,$D469,$D469-($D469-$I$454)*MIN(F$3-$O$2,$Q$2)/$Q$2))</f>
        <v>6222.10331493989</v>
      </c>
      <c r="G469" s="15" t="n">
        <f aca="false">F469*(1+IF(G$3&lt;=$O$2,$D469,$D469-($D469-$I$454)*MIN(G$3-$O$2,$Q$2)/$Q$2))</f>
        <v>7011.44912427232</v>
      </c>
      <c r="H469" s="15" t="n">
        <f aca="false">G469*(1+IF(H$3&lt;=$O$2,$D469,$D469-($D469-$I$454)*MIN(H$3-$O$2,$Q$2)/$Q$2))</f>
        <v>7900.93258403794</v>
      </c>
      <c r="I469" s="15" t="n">
        <f aca="false">H469*(1+IF(I$3&lt;=$O$2,$D469,$D469-($D469-$I$454)*MIN(I$3-$O$2,$Q$2)/$Q$2))</f>
        <v>8903.25731401371</v>
      </c>
      <c r="J469" s="15" t="n">
        <f aca="false">I469*(1+IF(J$3&lt;=$O$2,$D469,$D469-($D469-$I$454)*MIN(J$3-$O$2,$Q$2)/$Q$2))</f>
        <v>9839.42821269596</v>
      </c>
      <c r="K469" s="15" t="n">
        <f aca="false">J469*(1+IF(K$3&lt;=$O$2,$D469,$D469-($D469-$I$454)*MIN(K$3-$O$2,$Q$2)/$Q$2))</f>
        <v>10660.4000271673</v>
      </c>
      <c r="L469" s="15" t="n">
        <f aca="false">K469*(1+IF(L$3&lt;=$O$2,$D469,$D469-($D469-$I$454)*MIN(L$3-$O$2,$Q$2)/$Q$2))</f>
        <v>11318.4092628364</v>
      </c>
      <c r="M469" s="15" t="n">
        <f aca="false">L469*(1+IF(M$3&lt;=$O$2,$D469,$D469-($D469-$I$454)*MIN(M$3-$O$2,$Q$2)/$Q$2))</f>
        <v>11771.2850133702</v>
      </c>
      <c r="N469" s="15" t="n">
        <f aca="false">M469*(1+IF(N$3&lt;=$O$2,$D469,$D469-($D469-$I$454)*MIN(N$3-$O$2,$Q$2)/$Q$2))</f>
        <v>11986.6995291148</v>
      </c>
      <c r="O469" s="15" t="n">
        <f aca="false">SUMPRODUCT(E469:N469,1/(1+$F$454)^$E$3:$N$3)*$E$2</f>
        <v>8401.68390311683</v>
      </c>
      <c r="P469" s="15" t="n">
        <f aca="false">N469*$E$2*(1+$I$454)/($F$454-$I$454)/(1+$F$454)^$N$3</f>
        <v>9245.1772534578</v>
      </c>
      <c r="Q469" s="15" t="n">
        <f aca="false">O469+P469</f>
        <v>17646.8611565746</v>
      </c>
      <c r="R469" s="15" t="n">
        <f aca="false">Q469-$G$2+$I$2</f>
        <v>12826.3611565746</v>
      </c>
      <c r="S469" s="42" t="n">
        <f aca="false">R469/$K$2</f>
        <v>66.9434298359845</v>
      </c>
      <c r="T469" s="43" t="n">
        <f aca="false">S469-$M$2</f>
        <v>-0.0189918759152761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0.126861572265625</v>
      </c>
      <c r="C470" s="25" t="n">
        <f aca="false">IF(T469&gt;0,D469,C469)</f>
        <v>0.126953125</v>
      </c>
      <c r="D470" s="41" t="n">
        <f aca="false">(B470+C470)/2</f>
        <v>0.126907348632813</v>
      </c>
      <c r="E470" s="15" t="n">
        <f aca="false">$C$2*(1+IF(E$3&lt;=$O$2,$D470,$D470-($D470-$I$454)*MIN(E$3-$O$2,$Q$2)/$Q$2))</f>
        <v>5521.84600830078</v>
      </c>
      <c r="F470" s="15" t="n">
        <f aca="false">E470*(1+IF(F$3&lt;=$O$2,$D470,$D470-($D470-$I$454)*MIN(F$3-$O$2,$Q$2)/$Q$2))</f>
        <v>6222.60884477291</v>
      </c>
      <c r="G470" s="15" t="n">
        <f aca="false">F470*(1+IF(G$3&lt;=$O$2,$D470,$D470-($D470-$I$454)*MIN(G$3-$O$2,$Q$2)/$Q$2))</f>
        <v>7012.30363484213</v>
      </c>
      <c r="H470" s="15" t="n">
        <f aca="false">G470*(1+IF(H$3&lt;=$O$2,$D470,$D470-($D470-$I$454)*MIN(H$3-$O$2,$Q$2)/$Q$2))</f>
        <v>7902.21649694818</v>
      </c>
      <c r="I470" s="15" t="n">
        <f aca="false">H470*(1+IF(I$3&lt;=$O$2,$D470,$D470-($D470-$I$454)*MIN(I$3-$O$2,$Q$2)/$Q$2))</f>
        <v>8905.06584089835</v>
      </c>
      <c r="J470" s="15" t="n">
        <f aca="false">I470*(1+IF(J$3&lt;=$O$2,$D470,$D470-($D470-$I$454)*MIN(J$3-$O$2,$Q$2)/$Q$2))</f>
        <v>9841.75301809126</v>
      </c>
      <c r="K470" s="15" t="n">
        <f aca="false">J470*(1+IF(K$3&lt;=$O$2,$D470,$D470-($D470-$I$454)*MIN(K$3-$O$2,$Q$2)/$Q$2))</f>
        <v>10663.1891190387</v>
      </c>
      <c r="L470" s="15" t="n">
        <f aca="false">K470*(1+IF(L$3&lt;=$O$2,$D470,$D470-($D470-$I$454)*MIN(L$3-$O$2,$Q$2)/$Q$2))</f>
        <v>11321.5657591927</v>
      </c>
      <c r="M470" s="15" t="n">
        <f aca="false">L470*(1+IF(M$3&lt;=$O$2,$D470,$D470-($D470-$I$454)*MIN(M$3-$O$2,$Q$2)/$Q$2))</f>
        <v>11774.6714604815</v>
      </c>
      <c r="N470" s="15" t="n">
        <f aca="false">M470*(1+IF(N$3&lt;=$O$2,$D470,$D470-($D470-$I$454)*MIN(N$3-$O$2,$Q$2)/$Q$2))</f>
        <v>11990.1479482083</v>
      </c>
      <c r="O470" s="15" t="n">
        <f aca="false">SUMPRODUCT(E470:N470,1/(1+$F$454)^$E$3:$N$3)*$E$2</f>
        <v>8403.33047185077</v>
      </c>
      <c r="P470" s="15" t="n">
        <f aca="false">N470*$E$2*(1+$I$454)/($F$454-$I$454)/(1+$F$454)^$N$3</f>
        <v>9247.83697189706</v>
      </c>
      <c r="Q470" s="15" t="n">
        <f aca="false">O470+P470</f>
        <v>17651.1674437478</v>
      </c>
      <c r="R470" s="15" t="n">
        <f aca="false">Q470-$G$2+$I$2</f>
        <v>12830.6674437478</v>
      </c>
      <c r="S470" s="42" t="n">
        <f aca="false">R470/$K$2</f>
        <v>66.9659052387673</v>
      </c>
      <c r="T470" s="43" t="n">
        <f aca="false">S470-$M$2</f>
        <v>0.00348352686754083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0.126861572265625</v>
      </c>
      <c r="C471" s="25" t="n">
        <f aca="false">IF(T470&gt;0,D470,C470)</f>
        <v>0.126907348632813</v>
      </c>
      <c r="D471" s="41" t="n">
        <f aca="false">(B471+C471)/2</f>
        <v>0.126884460449219</v>
      </c>
      <c r="E471" s="15" t="n">
        <f aca="false">$C$2*(1+IF(E$3&lt;=$O$2,$D471,$D471-($D471-$I$454)*MIN(E$3-$O$2,$Q$2)/$Q$2))</f>
        <v>5521.73385620117</v>
      </c>
      <c r="F471" s="15" t="n">
        <f aca="false">E471*(1+IF(F$3&lt;=$O$2,$D471,$D471-($D471-$I$454)*MIN(F$3-$O$2,$Q$2)/$Q$2))</f>
        <v>6222.35607728944</v>
      </c>
      <c r="G471" s="15" t="n">
        <f aca="false">F471*(1+IF(G$3&lt;=$O$2,$D471,$D471-($D471-$I$454)*MIN(G$3-$O$2,$Q$2)/$Q$2))</f>
        <v>7011.87637087923</v>
      </c>
      <c r="H471" s="15" t="n">
        <f aca="false">G471*(1+IF(H$3&lt;=$O$2,$D471,$D471-($D471-$I$454)*MIN(H$3-$O$2,$Q$2)/$Q$2))</f>
        <v>7901.57452093487</v>
      </c>
      <c r="I471" s="15" t="n">
        <f aca="false">H471*(1+IF(I$3&lt;=$O$2,$D471,$D471-($D471-$I$454)*MIN(I$3-$O$2,$Q$2)/$Q$2))</f>
        <v>8904.16154072298</v>
      </c>
      <c r="J471" s="15" t="n">
        <f aca="false">I471*(1+IF(J$3&lt;=$O$2,$D471,$D471-($D471-$I$454)*MIN(J$3-$O$2,$Q$2)/$Q$2))</f>
        <v>9840.59055823988</v>
      </c>
      <c r="K471" s="15" t="n">
        <f aca="false">J471*(1+IF(K$3&lt;=$O$2,$D471,$D471-($D471-$I$454)*MIN(K$3-$O$2,$Q$2)/$Q$2))</f>
        <v>10661.7944952166</v>
      </c>
      <c r="L471" s="15" t="n">
        <f aca="false">K471*(1+IF(L$3&lt;=$O$2,$D471,$D471-($D471-$I$454)*MIN(L$3-$O$2,$Q$2)/$Q$2))</f>
        <v>11319.9874155524</v>
      </c>
      <c r="M471" s="15" t="n">
        <f aca="false">L471*(1+IF(M$3&lt;=$O$2,$D471,$D471-($D471-$I$454)*MIN(M$3-$O$2,$Q$2)/$Q$2))</f>
        <v>11772.978130419</v>
      </c>
      <c r="N471" s="15" t="n">
        <f aca="false">M471*(1+IF(N$3&lt;=$O$2,$D471,$D471-($D471-$I$454)*MIN(N$3-$O$2,$Q$2)/$Q$2))</f>
        <v>11988.4236302057</v>
      </c>
      <c r="O471" s="15" t="n">
        <f aca="false">SUMPRODUCT(E471:N471,1/(1+$F$454)^$E$3:$N$3)*$E$2</f>
        <v>8402.50714753998</v>
      </c>
      <c r="P471" s="15" t="n">
        <f aca="false">N471*$E$2*(1+$I$454)/($F$454-$I$454)/(1+$F$454)^$N$3</f>
        <v>9246.50702902687</v>
      </c>
      <c r="Q471" s="15" t="n">
        <f aca="false">O471+P471</f>
        <v>17649.0141765668</v>
      </c>
      <c r="R471" s="15" t="n">
        <f aca="false">Q471-$G$2+$I$2</f>
        <v>12828.5141765668</v>
      </c>
      <c r="S471" s="42" t="n">
        <f aca="false">R471/$K$2</f>
        <v>66.9546668923113</v>
      </c>
      <c r="T471" s="43" t="n">
        <f aca="false">S471-$M$2</f>
        <v>-0.00775481958849866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0.126884460449219</v>
      </c>
      <c r="C472" s="25" t="n">
        <f aca="false">IF(T471&gt;0,D471,C471)</f>
        <v>0.126907348632813</v>
      </c>
      <c r="D472" s="41" t="n">
        <f aca="false">(B472+C472)/2</f>
        <v>0.126895904541016</v>
      </c>
      <c r="E472" s="15" t="n">
        <f aca="false">$C$2*(1+IF(E$3&lt;=$O$2,$D472,$D472-($D472-$I$454)*MIN(E$3-$O$2,$Q$2)/$Q$2))</f>
        <v>5521.78993225098</v>
      </c>
      <c r="F472" s="15" t="n">
        <f aca="false">E472*(1+IF(F$3&lt;=$O$2,$D472,$D472-($D472-$I$454)*MIN(F$3-$O$2,$Q$2)/$Q$2))</f>
        <v>6222.48246038944</v>
      </c>
      <c r="G472" s="15" t="n">
        <f aca="false">F472*(1+IF(G$3&lt;=$O$2,$D472,$D472-($D472-$I$454)*MIN(G$3-$O$2,$Q$2)/$Q$2))</f>
        <v>7012.09000069116</v>
      </c>
      <c r="H472" s="15" t="n">
        <f aca="false">G472*(1+IF(H$3&lt;=$O$2,$D472,$D472-($D472-$I$454)*MIN(H$3-$O$2,$Q$2)/$Q$2))</f>
        <v>7901.89550405188</v>
      </c>
      <c r="I472" s="15" t="n">
        <f aca="false">H472*(1+IF(I$3&lt;=$O$2,$D472,$D472-($D472-$I$454)*MIN(I$3-$O$2,$Q$2)/$Q$2))</f>
        <v>8904.61368162712</v>
      </c>
      <c r="J472" s="15" t="n">
        <f aca="false">I472*(1+IF(J$3&lt;=$O$2,$D472,$D472-($D472-$I$454)*MIN(J$3-$O$2,$Q$2)/$Q$2))</f>
        <v>9841.17177387658</v>
      </c>
      <c r="K472" s="15" t="n">
        <f aca="false">J472*(1+IF(K$3&lt;=$O$2,$D472,$D472-($D472-$I$454)*MIN(K$3-$O$2,$Q$2)/$Q$2))</f>
        <v>10662.4917876551</v>
      </c>
      <c r="L472" s="15" t="n">
        <f aca="false">K472*(1+IF(L$3&lt;=$O$2,$D472,$D472-($D472-$I$454)*MIN(L$3-$O$2,$Q$2)/$Q$2))</f>
        <v>11320.7765635058</v>
      </c>
      <c r="M472" s="15" t="n">
        <f aca="false">L472*(1+IF(M$3&lt;=$O$2,$D472,$D472-($D472-$I$454)*MIN(M$3-$O$2,$Q$2)/$Q$2))</f>
        <v>11773.8247688221</v>
      </c>
      <c r="N472" s="15" t="n">
        <f aca="false">M472*(1+IF(N$3&lt;=$O$2,$D472,$D472-($D472-$I$454)*MIN(N$3-$O$2,$Q$2)/$Q$2))</f>
        <v>11989.2857620915</v>
      </c>
      <c r="O472" s="15" t="n">
        <f aca="false">SUMPRODUCT(E472:N472,1/(1+$F$454)^$E$3:$N$3)*$E$2</f>
        <v>8402.91879970897</v>
      </c>
      <c r="P472" s="15" t="n">
        <f aca="false">N472*$E$2*(1+$I$454)/($F$454-$I$454)/(1+$F$454)^$N$3</f>
        <v>9247.17197954819</v>
      </c>
      <c r="Q472" s="15" t="n">
        <f aca="false">O472+P472</f>
        <v>17650.0907792572</v>
      </c>
      <c r="R472" s="15" t="n">
        <f aca="false">Q472-$G$2+$I$2</f>
        <v>12829.5907792572</v>
      </c>
      <c r="S472" s="42" t="n">
        <f aca="false">R472/$K$2</f>
        <v>66.9602859042649</v>
      </c>
      <c r="T472" s="43" t="n">
        <f aca="false">S472-$M$2</f>
        <v>-0.00213580763487187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0.126895904541016</v>
      </c>
      <c r="C473" s="25" t="n">
        <f aca="false">IF(T472&gt;0,D472,C472)</f>
        <v>0.126907348632813</v>
      </c>
      <c r="D473" s="41" t="n">
        <f aca="false">(B473+C473)/2</f>
        <v>0.126901626586914</v>
      </c>
      <c r="E473" s="15" t="n">
        <f aca="false">$C$2*(1+IF(E$3&lt;=$O$2,$D473,$D473-($D473-$I$454)*MIN(E$3-$O$2,$Q$2)/$Q$2))</f>
        <v>5521.81797027588</v>
      </c>
      <c r="F473" s="15" t="n">
        <f aca="false">E473*(1+IF(F$3&lt;=$O$2,$D473,$D473-($D473-$I$454)*MIN(F$3-$O$2,$Q$2)/$Q$2))</f>
        <v>6222.54565242074</v>
      </c>
      <c r="G473" s="15" t="n">
        <f aca="false">F473*(1+IF(G$3&lt;=$O$2,$D473,$D473-($D473-$I$454)*MIN(G$3-$O$2,$Q$2)/$Q$2))</f>
        <v>7012.19681722426</v>
      </c>
      <c r="H473" s="15" t="n">
        <f aca="false">G473*(1+IF(H$3&lt;=$O$2,$D473,$D473-($D473-$I$454)*MIN(H$3-$O$2,$Q$2)/$Q$2))</f>
        <v>7902.0559992776</v>
      </c>
      <c r="I473" s="15" t="n">
        <f aca="false">H473*(1+IF(I$3&lt;=$O$2,$D473,$D473-($D473-$I$454)*MIN(I$3-$O$2,$Q$2)/$Q$2))</f>
        <v>8904.83975896681</v>
      </c>
      <c r="J473" s="15" t="n">
        <f aca="false">I473*(1+IF(J$3&lt;=$O$2,$D473,$D473-($D473-$I$454)*MIN(J$3-$O$2,$Q$2)/$Q$2))</f>
        <v>9841.4623924116</v>
      </c>
      <c r="K473" s="15" t="n">
        <f aca="false">J473*(1+IF(K$3&lt;=$O$2,$D473,$D473-($D473-$I$454)*MIN(K$3-$O$2,$Q$2)/$Q$2))</f>
        <v>10662.8404484786</v>
      </c>
      <c r="L473" s="15" t="n">
        <f aca="false">K473*(1+IF(L$3&lt;=$O$2,$D473,$D473-($D473-$I$454)*MIN(L$3-$O$2,$Q$2)/$Q$2))</f>
        <v>11321.1711553824</v>
      </c>
      <c r="M473" s="15" t="n">
        <f aca="false">L473*(1+IF(M$3&lt;=$O$2,$D473,$D473-($D473-$I$454)*MIN(M$3-$O$2,$Q$2)/$Q$2))</f>
        <v>11774.2481079946</v>
      </c>
      <c r="N473" s="15" t="n">
        <f aca="false">M473*(1+IF(N$3&lt;=$O$2,$D473,$D473-($D473-$I$454)*MIN(N$3-$O$2,$Q$2)/$Q$2))</f>
        <v>11989.7168483709</v>
      </c>
      <c r="O473" s="15" t="n">
        <f aca="false">SUMPRODUCT(E473:N473,1/(1+$F$454)^$E$3:$N$3)*$E$2</f>
        <v>8403.12463328321</v>
      </c>
      <c r="P473" s="15" t="n">
        <f aca="false">N473*$E$2*(1+$I$454)/($F$454-$I$454)/(1+$F$454)^$N$3</f>
        <v>9247.50447049404</v>
      </c>
      <c r="Q473" s="15" t="n">
        <f aca="false">O473+P473</f>
        <v>17650.6291037772</v>
      </c>
      <c r="R473" s="15" t="n">
        <f aca="false">Q473-$G$2+$I$2</f>
        <v>12830.1291037772</v>
      </c>
      <c r="S473" s="42" t="n">
        <f aca="false">R473/$K$2</f>
        <v>66.9630955311965</v>
      </c>
      <c r="T473" s="43" t="n">
        <f aca="false">S473-$M$2</f>
        <v>0.000673819296693523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0.126895904541016</v>
      </c>
      <c r="C474" s="25" t="n">
        <f aca="false">IF(T473&gt;0,D473,C473)</f>
        <v>0.126901626586914</v>
      </c>
      <c r="D474" s="41" t="n">
        <f aca="false">(B474+C474)/2</f>
        <v>0.126898765563965</v>
      </c>
      <c r="E474" s="15" t="n">
        <f aca="false">$C$2*(1+IF(E$3&lt;=$O$2,$D474,$D474-($D474-$I$454)*MIN(E$3-$O$2,$Q$2)/$Q$2))</f>
        <v>5521.80395126343</v>
      </c>
      <c r="F474" s="15" t="n">
        <f aca="false">E474*(1+IF(F$3&lt;=$O$2,$D474,$D474-($D474-$I$454)*MIN(F$3-$O$2,$Q$2)/$Q$2))</f>
        <v>6222.51405636498</v>
      </c>
      <c r="G474" s="15" t="n">
        <f aca="false">F474*(1+IF(G$3&lt;=$O$2,$D474,$D474-($D474-$I$454)*MIN(G$3-$O$2,$Q$2)/$Q$2))</f>
        <v>7012.14340882212</v>
      </c>
      <c r="H474" s="15" t="n">
        <f aca="false">G474*(1+IF(H$3&lt;=$O$2,$D474,$D474-($D474-$I$454)*MIN(H$3-$O$2,$Q$2)/$Q$2))</f>
        <v>7901.97575135914</v>
      </c>
      <c r="I474" s="15" t="n">
        <f aca="false">H474*(1+IF(I$3&lt;=$O$2,$D474,$D474-($D474-$I$454)*MIN(I$3-$O$2,$Q$2)/$Q$2))</f>
        <v>8904.72671972299</v>
      </c>
      <c r="J474" s="15" t="n">
        <f aca="false">I474*(1+IF(J$3&lt;=$O$2,$D474,$D474-($D474-$I$454)*MIN(J$3-$O$2,$Q$2)/$Q$2))</f>
        <v>9841.31708225102</v>
      </c>
      <c r="K474" s="15" t="n">
        <f aca="false">J474*(1+IF(K$3&lt;=$O$2,$D474,$D474-($D474-$I$454)*MIN(K$3-$O$2,$Q$2)/$Q$2))</f>
        <v>10662.6661168498</v>
      </c>
      <c r="L474" s="15" t="n">
        <f aca="false">K474*(1+IF(L$3&lt;=$O$2,$D474,$D474-($D474-$I$454)*MIN(L$3-$O$2,$Q$2)/$Q$2))</f>
        <v>11320.9738579524</v>
      </c>
      <c r="M474" s="15" t="n">
        <f aca="false">L474*(1+IF(M$3&lt;=$O$2,$D474,$D474-($D474-$I$454)*MIN(M$3-$O$2,$Q$2)/$Q$2))</f>
        <v>11774.0364367441</v>
      </c>
      <c r="N474" s="15" t="n">
        <f aca="false">M474*(1+IF(N$3&lt;=$O$2,$D474,$D474-($D474-$I$454)*MIN(N$3-$O$2,$Q$2)/$Q$2))</f>
        <v>11989.5013035365</v>
      </c>
      <c r="O474" s="15" t="n">
        <f aca="false">SUMPRODUCT(E474:N474,1/(1+$F$454)^$E$3:$N$3)*$E$2</f>
        <v>8403.02171587193</v>
      </c>
      <c r="P474" s="15" t="n">
        <f aca="false">N474*$E$2*(1+$I$454)/($F$454-$I$454)/(1+$F$454)^$N$3</f>
        <v>9247.33822371399</v>
      </c>
      <c r="Q474" s="15" t="n">
        <f aca="false">O474+P474</f>
        <v>17650.3599395859</v>
      </c>
      <c r="R474" s="15" t="n">
        <f aca="false">Q474-$G$2+$I$2</f>
        <v>12829.8599395859</v>
      </c>
      <c r="S474" s="42" t="n">
        <f aca="false">R474/$K$2</f>
        <v>66.9616907076509</v>
      </c>
      <c r="T474" s="43" t="n">
        <f aca="false">S474-$M$2</f>
        <v>-0.000731004248848421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0.126898765563965</v>
      </c>
      <c r="C475" s="25" t="n">
        <f aca="false">IF(T474&gt;0,D474,C474)</f>
        <v>0.126901626586914</v>
      </c>
      <c r="D475" s="41" t="n">
        <f aca="false">(B475+C475)/2</f>
        <v>0.126900196075439</v>
      </c>
      <c r="E475" s="15" t="n">
        <f aca="false">$C$2*(1+IF(E$3&lt;=$O$2,$D475,$D475-($D475-$I$454)*MIN(E$3-$O$2,$Q$2)/$Q$2))</f>
        <v>5521.81096076965</v>
      </c>
      <c r="F475" s="15" t="n">
        <f aca="false">E475*(1+IF(F$3&lt;=$O$2,$D475,$D475-($D475-$I$454)*MIN(F$3-$O$2,$Q$2)/$Q$2))</f>
        <v>6222.52985438283</v>
      </c>
      <c r="G475" s="15" t="n">
        <f aca="false">F475*(1+IF(G$3&lt;=$O$2,$D475,$D475-($D475-$I$454)*MIN(G$3-$O$2,$Q$2)/$Q$2))</f>
        <v>7012.17011298929</v>
      </c>
      <c r="H475" s="15" t="n">
        <f aca="false">G475*(1+IF(H$3&lt;=$O$2,$D475,$D475-($D475-$I$454)*MIN(H$3-$O$2,$Q$2)/$Q$2))</f>
        <v>7902.01587524197</v>
      </c>
      <c r="I475" s="15" t="n">
        <f aca="false">H475*(1+IF(I$3&lt;=$O$2,$D475,$D475-($D475-$I$454)*MIN(I$3-$O$2,$Q$2)/$Q$2))</f>
        <v>8904.78323920141</v>
      </c>
      <c r="J475" s="15" t="n">
        <f aca="false">I475*(1+IF(J$3&lt;=$O$2,$D475,$D475-($D475-$I$454)*MIN(J$3-$O$2,$Q$2)/$Q$2))</f>
        <v>9841.38973710804</v>
      </c>
      <c r="K475" s="15" t="n">
        <f aca="false">J475*(1+IF(K$3&lt;=$O$2,$D475,$D475-($D475-$I$454)*MIN(K$3-$O$2,$Q$2)/$Q$2))</f>
        <v>10662.75328236</v>
      </c>
      <c r="L475" s="15" t="n">
        <f aca="false">K475*(1+IF(L$3&lt;=$O$2,$D475,$D475-($D475-$I$454)*MIN(L$3-$O$2,$Q$2)/$Q$2))</f>
        <v>11321.0725062945</v>
      </c>
      <c r="M475" s="15" t="n">
        <f aca="false">L475*(1+IF(M$3&lt;=$O$2,$D475,$D475-($D475-$I$454)*MIN(M$3-$O$2,$Q$2)/$Q$2))</f>
        <v>11774.1422719532</v>
      </c>
      <c r="N475" s="15" t="n">
        <f aca="false">M475*(1+IF(N$3&lt;=$O$2,$D475,$D475-($D475-$I$454)*MIN(N$3-$O$2,$Q$2)/$Q$2))</f>
        <v>11989.60907553</v>
      </c>
      <c r="O475" s="15" t="n">
        <f aca="false">SUMPRODUCT(E475:N475,1/(1+$F$454)^$E$3:$N$3)*$E$2</f>
        <v>8403.07317442153</v>
      </c>
      <c r="P475" s="15" t="n">
        <f aca="false">N475*$E$2*(1+$I$454)/($F$454-$I$454)/(1+$F$454)^$N$3</f>
        <v>9247.42134677723</v>
      </c>
      <c r="Q475" s="15" t="n">
        <f aca="false">O475+P475</f>
        <v>17650.4945211988</v>
      </c>
      <c r="R475" s="15" t="n">
        <f aca="false">Q475-$G$2+$I$2</f>
        <v>12829.9945211988</v>
      </c>
      <c r="S475" s="42" t="n">
        <f aca="false">R475/$K$2</f>
        <v>66.9623931169038</v>
      </c>
      <c r="T475" s="43" t="n">
        <f aca="false">S475-$M$2</f>
        <v>-2.85949960385778E-005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0.126900196075439</v>
      </c>
      <c r="C476" s="25" t="n">
        <f aca="false">IF(T475&gt;0,D475,C475)</f>
        <v>0.126901626586914</v>
      </c>
      <c r="D476" s="41" t="n">
        <f aca="false">(B476+C476)/2</f>
        <v>0.126900911331177</v>
      </c>
      <c r="E476" s="15" t="n">
        <f aca="false">$C$2*(1+IF(E$3&lt;=$O$2,$D476,$D476-($D476-$I$454)*MIN(E$3-$O$2,$Q$2)/$Q$2))</f>
        <v>5521.81446552277</v>
      </c>
      <c r="F476" s="15" t="n">
        <f aca="false">E476*(1+IF(F$3&lt;=$O$2,$D476,$D476-($D476-$I$454)*MIN(F$3-$O$2,$Q$2)/$Q$2))</f>
        <v>6222.53775339928</v>
      </c>
      <c r="G476" s="15" t="n">
        <f aca="false">F476*(1+IF(G$3&lt;=$O$2,$D476,$D476-($D476-$I$454)*MIN(G$3-$O$2,$Q$2)/$Q$2))</f>
        <v>7012.1834650983</v>
      </c>
      <c r="H476" s="15" t="n">
        <f aca="false">G476*(1+IF(H$3&lt;=$O$2,$D476,$D476-($D476-$I$454)*MIN(H$3-$O$2,$Q$2)/$Q$2))</f>
        <v>7902.03593724069</v>
      </c>
      <c r="I476" s="15" t="n">
        <f aca="false">H476*(1+IF(I$3&lt;=$O$2,$D476,$D476-($D476-$I$454)*MIN(I$3-$O$2,$Q$2)/$Q$2))</f>
        <v>8904.81149904824</v>
      </c>
      <c r="J476" s="15" t="n">
        <f aca="false">I476*(1+IF(J$3&lt;=$O$2,$D476,$D476-($D476-$I$454)*MIN(J$3-$O$2,$Q$2)/$Q$2))</f>
        <v>9841.42606470401</v>
      </c>
      <c r="K476" s="15" t="n">
        <f aca="false">J476*(1+IF(K$3&lt;=$O$2,$D476,$D476-($D476-$I$454)*MIN(K$3-$O$2,$Q$2)/$Q$2))</f>
        <v>10662.7968653432</v>
      </c>
      <c r="L476" s="15" t="n">
        <f aca="false">K476*(1+IF(L$3&lt;=$O$2,$D476,$D476-($D476-$I$454)*MIN(L$3-$O$2,$Q$2)/$Q$2))</f>
        <v>11321.1218307452</v>
      </c>
      <c r="M476" s="15" t="n">
        <f aca="false">L476*(1+IF(M$3&lt;=$O$2,$D476,$D476-($D476-$I$454)*MIN(M$3-$O$2,$Q$2)/$Q$2))</f>
        <v>11774.1951898699</v>
      </c>
      <c r="N476" s="15" t="n">
        <f aca="false">M476*(1+IF(N$3&lt;=$O$2,$D476,$D476-($D476-$I$454)*MIN(N$3-$O$2,$Q$2)/$Q$2))</f>
        <v>11989.6629618445</v>
      </c>
      <c r="O476" s="15" t="n">
        <f aca="false">SUMPRODUCT(E476:N476,1/(1+$F$454)^$E$3:$N$3)*$E$2</f>
        <v>8403.09890381336</v>
      </c>
      <c r="P476" s="15" t="n">
        <f aca="false">N476*$E$2*(1+$I$454)/($F$454-$I$454)/(1+$F$454)^$N$3</f>
        <v>9247.46290855394</v>
      </c>
      <c r="Q476" s="15" t="n">
        <f aca="false">O476+P476</f>
        <v>17650.5618123673</v>
      </c>
      <c r="R476" s="15" t="n">
        <f aca="false">Q476-$G$2+$I$2</f>
        <v>12830.0618123673</v>
      </c>
      <c r="S476" s="42" t="n">
        <f aca="false">R476/$K$2</f>
        <v>66.9627443234202</v>
      </c>
      <c r="T476" s="43" t="n">
        <f aca="false">S476-$M$2</f>
        <v>0.000322611520360283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0.126900196075439</v>
      </c>
      <c r="C477" s="25" t="n">
        <f aca="false">IF(T476&gt;0,D476,C476)</f>
        <v>0.126900911331177</v>
      </c>
      <c r="D477" s="41" t="n">
        <f aca="false">(B477+C477)/2</f>
        <v>0.126900553703308</v>
      </c>
      <c r="E477" s="15" t="n">
        <f aca="false">$C$2*(1+IF(E$3&lt;=$O$2,$D477,$D477-($D477-$I$454)*MIN(E$3-$O$2,$Q$2)/$Q$2))</f>
        <v>5521.81271314621</v>
      </c>
      <c r="F477" s="15" t="n">
        <f aca="false">E477*(1+IF(F$3&lt;=$O$2,$D477,$D477-($D477-$I$454)*MIN(F$3-$O$2,$Q$2)/$Q$2))</f>
        <v>6222.53380389043</v>
      </c>
      <c r="G477" s="15" t="n">
        <f aca="false">F477*(1+IF(G$3&lt;=$O$2,$D477,$D477-($D477-$I$454)*MIN(G$3-$O$2,$Q$2)/$Q$2))</f>
        <v>7012.17678904168</v>
      </c>
      <c r="H477" s="15" t="n">
        <f aca="false">G477*(1+IF(H$3&lt;=$O$2,$D477,$D477-($D477-$I$454)*MIN(H$3-$O$2,$Q$2)/$Q$2))</f>
        <v>7902.02590623655</v>
      </c>
      <c r="I477" s="15" t="n">
        <f aca="false">H477*(1+IF(I$3&lt;=$O$2,$D477,$D477-($D477-$I$454)*MIN(I$3-$O$2,$Q$2)/$Q$2))</f>
        <v>8904.79736911586</v>
      </c>
      <c r="J477" s="15" t="n">
        <f aca="false">I477*(1+IF(J$3&lt;=$O$2,$D477,$D477-($D477-$I$454)*MIN(J$3-$O$2,$Q$2)/$Q$2))</f>
        <v>9841.40790089207</v>
      </c>
      <c r="K477" s="15" t="n">
        <f aca="false">J477*(1+IF(K$3&lt;=$O$2,$D477,$D477-($D477-$I$454)*MIN(K$3-$O$2,$Q$2)/$Q$2))</f>
        <v>10662.7750738326</v>
      </c>
      <c r="L477" s="15" t="n">
        <f aca="false">K477*(1+IF(L$3&lt;=$O$2,$D477,$D477-($D477-$I$454)*MIN(L$3-$O$2,$Q$2)/$Q$2))</f>
        <v>11321.0971684965</v>
      </c>
      <c r="M477" s="15" t="n">
        <f aca="false">L477*(1+IF(M$3&lt;=$O$2,$D477,$D477-($D477-$I$454)*MIN(M$3-$O$2,$Q$2)/$Q$2))</f>
        <v>11774.1687308856</v>
      </c>
      <c r="N477" s="15" t="n">
        <f aca="false">M477*(1+IF(N$3&lt;=$O$2,$D477,$D477-($D477-$I$454)*MIN(N$3-$O$2,$Q$2)/$Q$2))</f>
        <v>11989.6360186608</v>
      </c>
      <c r="O477" s="15" t="n">
        <f aca="false">SUMPRODUCT(E477:N477,1/(1+$F$454)^$E$3:$N$3)*$E$2</f>
        <v>8403.0860391077</v>
      </c>
      <c r="P477" s="15" t="n">
        <f aca="false">N477*$E$2*(1+$I$454)/($F$454-$I$454)/(1+$F$454)^$N$3</f>
        <v>9247.44212764516</v>
      </c>
      <c r="Q477" s="15" t="n">
        <f aca="false">O477+P477</f>
        <v>17650.5281667529</v>
      </c>
      <c r="R477" s="15" t="n">
        <f aca="false">Q477-$G$2+$I$2</f>
        <v>12830.0281667529</v>
      </c>
      <c r="S477" s="42" t="n">
        <f aca="false">R477/$K$2</f>
        <v>66.9625687200045</v>
      </c>
      <c r="T477" s="43" t="n">
        <f aca="false">S477-$M$2</f>
        <v>0.00014700810466195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0.126900196075439</v>
      </c>
      <c r="C478" s="25" t="n">
        <f aca="false">IF(T477&gt;0,D477,C477)</f>
        <v>0.126900553703308</v>
      </c>
      <c r="D478" s="41" t="n">
        <f aca="false">(B478+C478)/2</f>
        <v>0.126900374889374</v>
      </c>
      <c r="E478" s="15" t="n">
        <f aca="false">$C$2*(1+IF(E$3&lt;=$O$2,$D478,$D478-($D478-$I$454)*MIN(E$3-$O$2,$Q$2)/$Q$2))</f>
        <v>5521.81183695793</v>
      </c>
      <c r="F478" s="15" t="n">
        <f aca="false">E478*(1+IF(F$3&lt;=$O$2,$D478,$D478-($D478-$I$454)*MIN(F$3-$O$2,$Q$2)/$Q$2))</f>
        <v>6222.53182913648</v>
      </c>
      <c r="G478" s="15" t="n">
        <f aca="false">F478*(1+IF(G$3&lt;=$O$2,$D478,$D478-($D478-$I$454)*MIN(G$3-$O$2,$Q$2)/$Q$2))</f>
        <v>7012.17345101495</v>
      </c>
      <c r="H478" s="15" t="n">
        <f aca="false">G478*(1+IF(H$3&lt;=$O$2,$D478,$D478-($D478-$I$454)*MIN(H$3-$O$2,$Q$2)/$Q$2))</f>
        <v>7902.02089073807</v>
      </c>
      <c r="I478" s="15" t="n">
        <f aca="false">H478*(1+IF(I$3&lt;=$O$2,$D478,$D478-($D478-$I$454)*MIN(I$3-$O$2,$Q$2)/$Q$2))</f>
        <v>8904.79030415639</v>
      </c>
      <c r="J478" s="15" t="n">
        <f aca="false">I478*(1+IF(J$3&lt;=$O$2,$D478,$D478-($D478-$I$454)*MIN(J$3-$O$2,$Q$2)/$Q$2))</f>
        <v>9841.39881899657</v>
      </c>
      <c r="K478" s="15" t="n">
        <f aca="false">J478*(1+IF(K$3&lt;=$O$2,$D478,$D478-($D478-$I$454)*MIN(K$3-$O$2,$Q$2)/$Q$2))</f>
        <v>10662.7641780915</v>
      </c>
      <c r="L478" s="15" t="n">
        <f aca="false">K478*(1+IF(L$3&lt;=$O$2,$D478,$D478-($D478-$I$454)*MIN(L$3-$O$2,$Q$2)/$Q$2))</f>
        <v>11321.0848373897</v>
      </c>
      <c r="M478" s="15" t="n">
        <f aca="false">L478*(1+IF(M$3&lt;=$O$2,$D478,$D478-($D478-$I$454)*MIN(M$3-$O$2,$Q$2)/$Q$2))</f>
        <v>11774.1555014129</v>
      </c>
      <c r="N478" s="15" t="n">
        <f aca="false">M478*(1+IF(N$3&lt;=$O$2,$D478,$D478-($D478-$I$454)*MIN(N$3-$O$2,$Q$2)/$Q$2))</f>
        <v>11989.6225470888</v>
      </c>
      <c r="O478" s="15" t="n">
        <f aca="false">SUMPRODUCT(E478:N478,1/(1+$F$454)^$E$3:$N$3)*$E$2</f>
        <v>8403.07960676218</v>
      </c>
      <c r="P478" s="15" t="n">
        <f aca="false">N478*$E$2*(1+$I$454)/($F$454-$I$454)/(1+$F$454)^$N$3</f>
        <v>9247.43173720609</v>
      </c>
      <c r="Q478" s="15" t="n">
        <f aca="false">O478+P478</f>
        <v>17650.5113439683</v>
      </c>
      <c r="R478" s="15" t="n">
        <f aca="false">Q478-$G$2+$I$2</f>
        <v>12830.0113439683</v>
      </c>
      <c r="S478" s="42" t="n">
        <f aca="false">R478/$K$2</f>
        <v>66.9624809184147</v>
      </c>
      <c r="T478" s="43" t="n">
        <f aca="false">S478-$M$2</f>
        <v>5.92065149334076E-005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0.126900196075439</v>
      </c>
      <c r="C479" s="25" t="n">
        <f aca="false">IF(T478&gt;0,D478,C478)</f>
        <v>0.126900374889374</v>
      </c>
      <c r="D479" s="41" t="n">
        <f aca="false">(B479+C479)/2</f>
        <v>0.126900285482407</v>
      </c>
      <c r="E479" s="15" t="n">
        <f aca="false">$C$2*(1+IF(E$3&lt;=$O$2,$D479,$D479-($D479-$I$454)*MIN(E$3-$O$2,$Q$2)/$Q$2))</f>
        <v>5521.81139886379</v>
      </c>
      <c r="F479" s="15" t="n">
        <f aca="false">E479*(1+IF(F$3&lt;=$O$2,$D479,$D479-($D479-$I$454)*MIN(F$3-$O$2,$Q$2)/$Q$2))</f>
        <v>6222.53084175961</v>
      </c>
      <c r="G479" s="15" t="n">
        <f aca="false">F479*(1+IF(G$3&lt;=$O$2,$D479,$D479-($D479-$I$454)*MIN(G$3-$O$2,$Q$2)/$Q$2))</f>
        <v>7012.17178200199</v>
      </c>
      <c r="H479" s="15" t="n">
        <f aca="false">G479*(1+IF(H$3&lt;=$O$2,$D479,$D479-($D479-$I$454)*MIN(H$3-$O$2,$Q$2)/$Q$2))</f>
        <v>7902.01838298972</v>
      </c>
      <c r="I479" s="15" t="n">
        <f aca="false">H479*(1+IF(I$3&lt;=$O$2,$D479,$D479-($D479-$I$454)*MIN(I$3-$O$2,$Q$2)/$Q$2))</f>
        <v>8904.78677167834</v>
      </c>
      <c r="J479" s="15" t="n">
        <f aca="false">I479*(1+IF(J$3&lt;=$O$2,$D479,$D479-($D479-$I$454)*MIN(J$3-$O$2,$Q$2)/$Q$2))</f>
        <v>9841.39427805143</v>
      </c>
      <c r="K479" s="15" t="n">
        <f aca="false">J479*(1+IF(K$3&lt;=$O$2,$D479,$D479-($D479-$I$454)*MIN(K$3-$O$2,$Q$2)/$Q$2))</f>
        <v>10662.7587302246</v>
      </c>
      <c r="L479" s="15" t="n">
        <f aca="false">K479*(1+IF(L$3&lt;=$O$2,$D479,$D479-($D479-$I$454)*MIN(L$3-$O$2,$Q$2)/$Q$2))</f>
        <v>11321.0786718406</v>
      </c>
      <c r="M479" s="15" t="n">
        <f aca="false">L479*(1+IF(M$3&lt;=$O$2,$D479,$D479-($D479-$I$454)*MIN(M$3-$O$2,$Q$2)/$Q$2))</f>
        <v>11774.1488866815</v>
      </c>
      <c r="N479" s="15" t="n">
        <f aca="false">M479*(1+IF(N$3&lt;=$O$2,$D479,$D479-($D479-$I$454)*MIN(N$3-$O$2,$Q$2)/$Q$2))</f>
        <v>11989.6158113077</v>
      </c>
      <c r="O479" s="15" t="n">
        <f aca="false">SUMPRODUCT(E479:N479,1/(1+$F$454)^$E$3:$N$3)*$E$2</f>
        <v>8403.07639059124</v>
      </c>
      <c r="P479" s="15" t="n">
        <f aca="false">N479*$E$2*(1+$I$454)/($F$454-$I$454)/(1+$F$454)^$N$3</f>
        <v>9247.42654199038</v>
      </c>
      <c r="Q479" s="15" t="n">
        <f aca="false">O479+P479</f>
        <v>17650.5029325816</v>
      </c>
      <c r="R479" s="15" t="n">
        <f aca="false">Q479-$G$2+$I$2</f>
        <v>12830.0029325816</v>
      </c>
      <c r="S479" s="42" t="n">
        <f aca="false">R479/$K$2</f>
        <v>66.9624370176494</v>
      </c>
      <c r="T479" s="43" t="n">
        <f aca="false">S479-$M$2</f>
        <v>1.53057496277143E-005</v>
      </c>
    </row>
    <row r="481" customFormat="false" ht="15" hidden="false" customHeight="false" outlineLevel="0" collapsed="false">
      <c r="A481" s="38" t="s">
        <v>189</v>
      </c>
      <c r="E481" s="5" t="s">
        <v>11</v>
      </c>
      <c r="F481" s="12" t="n">
        <f aca="false">Sensitivity!$B$13</f>
        <v>0.100084897741638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153</v>
      </c>
      <c r="B482" s="28" t="s">
        <v>154</v>
      </c>
      <c r="C482" s="28" t="s">
        <v>155</v>
      </c>
      <c r="D482" s="28" t="s">
        <v>156</v>
      </c>
      <c r="E482" s="28" t="s">
        <v>157</v>
      </c>
      <c r="F482" s="28" t="s">
        <v>158</v>
      </c>
      <c r="G482" s="28" t="s">
        <v>159</v>
      </c>
      <c r="H482" s="28" t="s">
        <v>160</v>
      </c>
      <c r="I482" s="28" t="s">
        <v>161</v>
      </c>
      <c r="J482" s="28" t="s">
        <v>162</v>
      </c>
      <c r="K482" s="28" t="s">
        <v>163</v>
      </c>
      <c r="L482" s="28" t="s">
        <v>164</v>
      </c>
      <c r="M482" s="28" t="s">
        <v>165</v>
      </c>
      <c r="N482" s="28" t="s">
        <v>166</v>
      </c>
      <c r="O482" s="28" t="s">
        <v>167</v>
      </c>
      <c r="P482" s="28" t="s">
        <v>168</v>
      </c>
      <c r="Q482" s="28" t="s">
        <v>169</v>
      </c>
      <c r="R482" s="28" t="s">
        <v>170</v>
      </c>
      <c r="S482" s="28" t="s">
        <v>171</v>
      </c>
      <c r="T482" s="28" t="s">
        <v>172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6125</v>
      </c>
      <c r="F483" s="15" t="n">
        <f aca="false">E483*(1+IF(F$3&lt;=$O$2,$D483,$D483-($D483-$I$481)*MIN(F$3-$O$2,$Q$2)/$Q$2))</f>
        <v>7656.25</v>
      </c>
      <c r="G483" s="15" t="n">
        <f aca="false">F483*(1+IF(G$3&lt;=$O$2,$D483,$D483-($D483-$I$481)*MIN(G$3-$O$2,$Q$2)/$Q$2))</f>
        <v>9570.3125</v>
      </c>
      <c r="H483" s="15" t="n">
        <f aca="false">G483*(1+IF(H$3&lt;=$O$2,$D483,$D483-($D483-$I$481)*MIN(H$3-$O$2,$Q$2)/$Q$2))</f>
        <v>11962.890625</v>
      </c>
      <c r="I483" s="15" t="n">
        <f aca="false">H483*(1+IF(I$3&lt;=$O$2,$D483,$D483-($D483-$I$481)*MIN(I$3-$O$2,$Q$2)/$Q$2))</f>
        <v>14953.61328125</v>
      </c>
      <c r="J483" s="15" t="n">
        <f aca="false">I483*(1+IF(J$3&lt;=$O$2,$D483,$D483-($D483-$I$481)*MIN(J$3-$O$2,$Q$2)/$Q$2))</f>
        <v>18014.0197753906</v>
      </c>
      <c r="K483" s="15" t="n">
        <f aca="false">J483*(1+IF(K$3&lt;=$O$2,$D483,$D483-($D483-$I$481)*MIN(K$3-$O$2,$Q$2)/$Q$2))</f>
        <v>20884.0134060059</v>
      </c>
      <c r="L483" s="15" t="n">
        <f aca="false">K483*(1+IF(L$3&lt;=$O$2,$D483,$D483-($D483-$I$481)*MIN(L$3-$O$2,$Q$2)/$Q$2))</f>
        <v>23264.3732540224</v>
      </c>
      <c r="M483" s="15" t="n">
        <f aca="false">L483*(1+IF(M$3&lt;=$O$2,$D483,$D483-($D483-$I$481)*MIN(M$3-$O$2,$Q$2)/$Q$2))</f>
        <v>24861.2398341785</v>
      </c>
      <c r="N483" s="15" t="n">
        <f aca="false">M483*(1+IF(N$3&lt;=$O$2,$D483,$D483-($D483-$I$481)*MIN(N$3-$O$2,$Q$2)/$Q$2))</f>
        <v>25440.5067223149</v>
      </c>
      <c r="O483" s="15" t="n">
        <f aca="false">SUMPRODUCT(E483:N483,1/(1+$F$481)^$E$3:$N$3)*$E$2</f>
        <v>14245.0407385013</v>
      </c>
      <c r="P483" s="15" t="n">
        <f aca="false">N483*$E$2*(1+$I$481)/($F$481-$I$481)/(1+$F$481)^$N$3</f>
        <v>21002.2544371033</v>
      </c>
      <c r="Q483" s="15" t="n">
        <f aca="false">O483+P483</f>
        <v>35247.2951756046</v>
      </c>
      <c r="R483" s="15" t="n">
        <f aca="false">Q483-$G$2+$I$2</f>
        <v>30426.7951756046</v>
      </c>
      <c r="S483" s="42" t="n">
        <f aca="false">R483/$K$2</f>
        <v>158.803732649294</v>
      </c>
      <c r="T483" s="43" t="n">
        <f aca="false">S483-$M$2</f>
        <v>91.8413109373937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4287.5</v>
      </c>
      <c r="F484" s="15" t="n">
        <f aca="false">E484*(1+IF(F$3&lt;=$O$2,$D484,$D484-($D484-$I$481)*MIN(F$3-$O$2,$Q$2)/$Q$2))</f>
        <v>3751.5625</v>
      </c>
      <c r="G484" s="15" t="n">
        <f aca="false">F484*(1+IF(G$3&lt;=$O$2,$D484,$D484-($D484-$I$481)*MIN(G$3-$O$2,$Q$2)/$Q$2))</f>
        <v>3282.6171875</v>
      </c>
      <c r="H484" s="15" t="n">
        <f aca="false">G484*(1+IF(H$3&lt;=$O$2,$D484,$D484-($D484-$I$481)*MIN(H$3-$O$2,$Q$2)/$Q$2))</f>
        <v>2872.2900390625</v>
      </c>
      <c r="I484" s="15" t="n">
        <f aca="false">H484*(1+IF(I$3&lt;=$O$2,$D484,$D484-($D484-$I$481)*MIN(I$3-$O$2,$Q$2)/$Q$2))</f>
        <v>2513.25378417969</v>
      </c>
      <c r="J484" s="15" t="n">
        <f aca="false">I484*(1+IF(J$3&lt;=$O$2,$D484,$D484-($D484-$I$481)*MIN(J$3-$O$2,$Q$2)/$Q$2))</f>
        <v>2273.640168396</v>
      </c>
      <c r="K484" s="15" t="n">
        <f aca="false">J484*(1+IF(K$3&lt;=$O$2,$D484,$D484-($D484-$I$481)*MIN(K$3-$O$2,$Q$2)/$Q$2))</f>
        <v>2124.30748213575</v>
      </c>
      <c r="L484" s="15" t="n">
        <f aca="false">K484*(1+IF(L$3&lt;=$O$2,$D484,$D484-($D484-$I$481)*MIN(L$3-$O$2,$Q$2)/$Q$2))</f>
        <v>2047.78992662922</v>
      </c>
      <c r="M484" s="15" t="n">
        <f aca="false">L484*(1+IF(M$3&lt;=$O$2,$D484,$D484-($D484-$I$481)*MIN(M$3-$O$2,$Q$2)/$Q$2))</f>
        <v>2034.76598269586</v>
      </c>
      <c r="N484" s="15" t="n">
        <f aca="false">M484*(1+IF(N$3&lt;=$O$2,$D484,$D484-($D484-$I$481)*MIN(N$3-$O$2,$Q$2)/$Q$2))</f>
        <v>2082.17603009267</v>
      </c>
      <c r="O484" s="15" t="n">
        <f aca="false">SUMPRODUCT(E484:N484,1/(1+$F$481)^$E$3:$N$3)*$E$2</f>
        <v>2890.43550234533</v>
      </c>
      <c r="P484" s="15" t="n">
        <f aca="false">N484*$E$2*(1+$I$481)/($F$481-$I$481)/(1+$F$481)^$N$3</f>
        <v>1718.92766304401</v>
      </c>
      <c r="Q484" s="15" t="n">
        <f aca="false">O484+P484</f>
        <v>4609.36316538933</v>
      </c>
      <c r="R484" s="15" t="n">
        <f aca="false">Q484-$G$2+$I$2</f>
        <v>-211.136834610666</v>
      </c>
      <c r="S484" s="42" t="n">
        <f aca="false">R484/$K$2</f>
        <v>-1.10196677771747</v>
      </c>
      <c r="T484" s="43" t="n">
        <f aca="false">S484-$M$2</f>
        <v>-68.0643884896173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5206.25</v>
      </c>
      <c r="F485" s="15" t="n">
        <f aca="false">E485*(1+IF(F$3&lt;=$O$2,$D485,$D485-($D485-$I$481)*MIN(F$3-$O$2,$Q$2)/$Q$2))</f>
        <v>5531.640625</v>
      </c>
      <c r="G485" s="15" t="n">
        <f aca="false">F485*(1+IF(G$3&lt;=$O$2,$D485,$D485-($D485-$I$481)*MIN(G$3-$O$2,$Q$2)/$Q$2))</f>
        <v>5877.3681640625</v>
      </c>
      <c r="H485" s="15" t="n">
        <f aca="false">G485*(1+IF(H$3&lt;=$O$2,$D485,$D485-($D485-$I$481)*MIN(H$3-$O$2,$Q$2)/$Q$2))</f>
        <v>6244.70367431641</v>
      </c>
      <c r="I485" s="15" t="n">
        <f aca="false">H485*(1+IF(I$3&lt;=$O$2,$D485,$D485-($D485-$I$481)*MIN(I$3-$O$2,$Q$2)/$Q$2))</f>
        <v>6634.99765396118</v>
      </c>
      <c r="J485" s="15" t="n">
        <f aca="false">I485*(1+IF(J$3&lt;=$O$2,$D485,$D485-($D485-$I$481)*MIN(J$3-$O$2,$Q$2)/$Q$2))</f>
        <v>6997.6666257267</v>
      </c>
      <c r="K485" s="15" t="n">
        <f aca="false">J485*(1+IF(K$3&lt;=$O$2,$D485,$D485-($D485-$I$481)*MIN(K$3-$O$2,$Q$2)/$Q$2))</f>
        <v>7325.29737714322</v>
      </c>
      <c r="L485" s="15" t="n">
        <f aca="false">K485*(1+IF(L$3&lt;=$O$2,$D485,$D485-($D485-$I$481)*MIN(L$3-$O$2,$Q$2)/$Q$2))</f>
        <v>7610.83746890427</v>
      </c>
      <c r="M485" s="15" t="n">
        <f aca="false">L485*(1+IF(M$3&lt;=$O$2,$D485,$D485-($D485-$I$481)*MIN(M$3-$O$2,$Q$2)/$Q$2))</f>
        <v>7847.83894768595</v>
      </c>
      <c r="N485" s="15" t="n">
        <f aca="false">M485*(1+IF(N$3&lt;=$O$2,$D485,$D485-($D485-$I$481)*MIN(N$3-$O$2,$Q$2)/$Q$2))</f>
        <v>8030.69359516703</v>
      </c>
      <c r="O485" s="15" t="n">
        <f aca="false">SUMPRODUCT(E485:N485,1/(1+$F$481)^$E$3:$N$3)*$E$2</f>
        <v>6395.42756876811</v>
      </c>
      <c r="P485" s="15" t="n">
        <f aca="false">N485*$E$2*(1+$I$481)/($F$481-$I$481)/(1+$F$481)^$N$3</f>
        <v>6629.689889163</v>
      </c>
      <c r="Q485" s="15" t="n">
        <f aca="false">O485+P485</f>
        <v>13025.1174579311</v>
      </c>
      <c r="R485" s="15" t="n">
        <f aca="false">Q485-$G$2+$I$2</f>
        <v>8204.61745793111</v>
      </c>
      <c r="S485" s="42" t="n">
        <f aca="false">R485/$K$2</f>
        <v>42.8215942480747</v>
      </c>
      <c r="T485" s="43" t="n">
        <f aca="false">S485-$M$2</f>
        <v>-24.1408274638251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5665.625</v>
      </c>
      <c r="F486" s="15" t="n">
        <f aca="false">E486*(1+IF(F$3&lt;=$O$2,$D486,$D486-($D486-$I$481)*MIN(F$3-$O$2,$Q$2)/$Q$2))</f>
        <v>6550.87890625</v>
      </c>
      <c r="G486" s="15" t="n">
        <f aca="false">F486*(1+IF(G$3&lt;=$O$2,$D486,$D486-($D486-$I$481)*MIN(G$3-$O$2,$Q$2)/$Q$2))</f>
        <v>7574.45373535156</v>
      </c>
      <c r="H486" s="15" t="n">
        <f aca="false">G486*(1+IF(H$3&lt;=$O$2,$D486,$D486-($D486-$I$481)*MIN(H$3-$O$2,$Q$2)/$Q$2))</f>
        <v>8757.96213150024</v>
      </c>
      <c r="I486" s="15" t="n">
        <f aca="false">H486*(1+IF(I$3&lt;=$O$2,$D486,$D486-($D486-$I$481)*MIN(I$3-$O$2,$Q$2)/$Q$2))</f>
        <v>10126.3937145472</v>
      </c>
      <c r="J486" s="15" t="n">
        <f aca="false">I486*(1+IF(J$3&lt;=$O$2,$D486,$D486-($D486-$I$481)*MIN(J$3-$O$2,$Q$2)/$Q$2))</f>
        <v>11439.3819235753</v>
      </c>
      <c r="K486" s="15" t="n">
        <f aca="false">J486*(1+IF(K$3&lt;=$O$2,$D486,$D486-($D486-$I$481)*MIN(K$3-$O$2,$Q$2)/$Q$2))</f>
        <v>12618.4390184383</v>
      </c>
      <c r="L486" s="15" t="n">
        <f aca="false">K486*(1+IF(L$3&lt;=$O$2,$D486,$D486-($D486-$I$481)*MIN(L$3-$O$2,$Q$2)/$Q$2))</f>
        <v>13583.4972345684</v>
      </c>
      <c r="M486" s="15" t="n">
        <f aca="false">L486*(1+IF(M$3&lt;=$O$2,$D486,$D486-($D486-$I$481)*MIN(M$3-$O$2,$Q$2)/$Q$2))</f>
        <v>14261.177911601</v>
      </c>
      <c r="N486" s="15" t="n">
        <f aca="false">M486*(1+IF(N$3&lt;=$O$2,$D486,$D486-($D486-$I$481)*MIN(N$3-$O$2,$Q$2)/$Q$2))</f>
        <v>14593.4633569413</v>
      </c>
      <c r="O486" s="15" t="n">
        <f aca="false">SUMPRODUCT(E486:N486,1/(1+$F$481)^$E$3:$N$3)*$E$2</f>
        <v>9558.17383165526</v>
      </c>
      <c r="P486" s="15" t="n">
        <f aca="false">N486*$E$2*(1+$I$481)/($F$481-$I$481)/(1+$F$481)^$N$3</f>
        <v>12047.544252418</v>
      </c>
      <c r="Q486" s="15" t="n">
        <f aca="false">O486+P486</f>
        <v>21605.7180840733</v>
      </c>
      <c r="R486" s="15" t="n">
        <f aca="false">Q486-$G$2+$I$2</f>
        <v>16785.2180840733</v>
      </c>
      <c r="S486" s="42" t="n">
        <f aca="false">R486/$K$2</f>
        <v>87.6055223594638</v>
      </c>
      <c r="T486" s="43" t="n">
        <f aca="false">S486-$M$2</f>
        <v>20.643100647564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5435.9375</v>
      </c>
      <c r="F487" s="15" t="n">
        <f aca="false">E487*(1+IF(F$3&lt;=$O$2,$D487,$D487-($D487-$I$481)*MIN(F$3-$O$2,$Q$2)/$Q$2))</f>
        <v>6030.4931640625</v>
      </c>
      <c r="G487" s="15" t="n">
        <f aca="false">F487*(1+IF(G$3&lt;=$O$2,$D487,$D487-($D487-$I$481)*MIN(G$3-$O$2,$Q$2)/$Q$2))</f>
        <v>6690.07835388184</v>
      </c>
      <c r="H487" s="15" t="n">
        <f aca="false">G487*(1+IF(H$3&lt;=$O$2,$D487,$D487-($D487-$I$481)*MIN(H$3-$O$2,$Q$2)/$Q$2))</f>
        <v>7421.80567383766</v>
      </c>
      <c r="I487" s="15" t="n">
        <f aca="false">H487*(1+IF(I$3&lt;=$O$2,$D487,$D487-($D487-$I$481)*MIN(I$3-$O$2,$Q$2)/$Q$2))</f>
        <v>8233.56566941366</v>
      </c>
      <c r="J487" s="15" t="n">
        <f aca="false">I487*(1+IF(J$3&lt;=$O$2,$D487,$D487-($D487-$I$481)*MIN(J$3-$O$2,$Q$2)/$Q$2))</f>
        <v>8992.37108150682</v>
      </c>
      <c r="K487" s="15" t="n">
        <f aca="false">J487*(1+IF(K$3&lt;=$O$2,$D487,$D487-($D487-$I$481)*MIN(K$3-$O$2,$Q$2)/$Q$2))</f>
        <v>9666.30433221035</v>
      </c>
      <c r="L487" s="15" t="n">
        <f aca="false">K487*(1+IF(L$3&lt;=$O$2,$D487,$D487-($D487-$I$481)*MIN(L$3-$O$2,$Q$2)/$Q$2))</f>
        <v>10224.3400813089</v>
      </c>
      <c r="M487" s="15" t="n">
        <f aca="false">L487*(1+IF(M$3&lt;=$O$2,$D487,$D487-($D487-$I$481)*MIN(M$3-$O$2,$Q$2)/$Q$2))</f>
        <v>10638.5792197031</v>
      </c>
      <c r="N487" s="15" t="n">
        <f aca="false">M487*(1+IF(N$3&lt;=$O$2,$D487,$D487-($D487-$I$481)*MIN(N$3-$O$2,$Q$2)/$Q$2))</f>
        <v>10886.4581155222</v>
      </c>
      <c r="O487" s="15" t="n">
        <f aca="false">SUMPRODUCT(E487:N487,1/(1+$F$481)^$E$3:$N$3)*$E$2</f>
        <v>7819.25115943427</v>
      </c>
      <c r="P487" s="15" t="n">
        <f aca="false">N487*$E$2*(1+$I$481)/($F$481-$I$481)/(1+$F$481)^$N$3</f>
        <v>8987.24879015542</v>
      </c>
      <c r="Q487" s="15" t="n">
        <f aca="false">O487+P487</f>
        <v>16806.4999495897</v>
      </c>
      <c r="R487" s="15" t="n">
        <f aca="false">Q487-$G$2+$I$2</f>
        <v>11985.9999495897</v>
      </c>
      <c r="S487" s="42" t="n">
        <f aca="false">R487/$K$2</f>
        <v>62.5574110103846</v>
      </c>
      <c r="T487" s="43" t="n">
        <f aca="false">S487-$M$2</f>
        <v>-4.4050107015152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0.109375</v>
      </c>
      <c r="C488" s="25" t="n">
        <f aca="false">IF(T487&gt;0,D487,C487)</f>
        <v>0.15625</v>
      </c>
      <c r="D488" s="41" t="n">
        <f aca="false">(B488+C488)/2</f>
        <v>0.1328125</v>
      </c>
      <c r="E488" s="15" t="n">
        <f aca="false">$C$2*(1+IF(E$3&lt;=$O$2,$D488,$D488-($D488-$I$481)*MIN(E$3-$O$2,$Q$2)/$Q$2))</f>
        <v>5550.78125</v>
      </c>
      <c r="F488" s="15" t="n">
        <f aca="false">E488*(1+IF(F$3&lt;=$O$2,$D488,$D488-($D488-$I$481)*MIN(F$3-$O$2,$Q$2)/$Q$2))</f>
        <v>6287.99438476563</v>
      </c>
      <c r="G488" s="15" t="n">
        <f aca="false">F488*(1+IF(G$3&lt;=$O$2,$D488,$D488-($D488-$I$481)*MIN(G$3-$O$2,$Q$2)/$Q$2))</f>
        <v>7123.11863899231</v>
      </c>
      <c r="H488" s="15" t="n">
        <f aca="false">G488*(1+IF(H$3&lt;=$O$2,$D488,$D488-($D488-$I$481)*MIN(H$3-$O$2,$Q$2)/$Q$2))</f>
        <v>8069.15783323348</v>
      </c>
      <c r="I488" s="15" t="n">
        <f aca="false">H488*(1+IF(I$3&lt;=$O$2,$D488,$D488-($D488-$I$481)*MIN(I$3-$O$2,$Q$2)/$Q$2))</f>
        <v>9140.8428579598</v>
      </c>
      <c r="J488" s="15" t="n">
        <f aca="false">I488*(1+IF(J$3&lt;=$O$2,$D488,$D488-($D488-$I$481)*MIN(J$3-$O$2,$Q$2)/$Q$2))</f>
        <v>10154.6537393361</v>
      </c>
      <c r="K488" s="15" t="n">
        <f aca="false">J488*(1+IF(K$3&lt;=$O$2,$D488,$D488-($D488-$I$481)*MIN(K$3-$O$2,$Q$2)/$Q$2))</f>
        <v>11058.4940820401</v>
      </c>
      <c r="L488" s="15" t="n">
        <f aca="false">K488*(1+IF(L$3&lt;=$O$2,$D488,$D488-($D488-$I$481)*MIN(L$3-$O$2,$Q$2)/$Q$2))</f>
        <v>11800.5743274154</v>
      </c>
      <c r="M488" s="15" t="n">
        <f aca="false">L488*(1+IF(M$3&lt;=$O$2,$D488,$D488-($D488-$I$481)*MIN(M$3-$O$2,$Q$2)/$Q$2))</f>
        <v>12333.9897884504</v>
      </c>
      <c r="N488" s="15" t="n">
        <f aca="false">M488*(1+IF(N$3&lt;=$O$2,$D488,$D488-($D488-$I$481)*MIN(N$3-$O$2,$Q$2)/$Q$2))</f>
        <v>12621.3717505213</v>
      </c>
      <c r="O488" s="15" t="n">
        <f aca="false">SUMPRODUCT(E488:N488,1/(1+$F$481)^$E$3:$N$3)*$E$2</f>
        <v>8645.60609409328</v>
      </c>
      <c r="P488" s="15" t="n">
        <f aca="false">N488*$E$2*(1+$I$481)/($F$481-$I$481)/(1+$F$481)^$N$3</f>
        <v>10419.4961107912</v>
      </c>
      <c r="Q488" s="15" t="n">
        <f aca="false">O488+P488</f>
        <v>19065.1022048844</v>
      </c>
      <c r="R488" s="15" t="n">
        <f aca="false">Q488-$G$2+$I$2</f>
        <v>14244.6022048844</v>
      </c>
      <c r="S488" s="42" t="n">
        <f aca="false">R488/$K$2</f>
        <v>74.3455229900023</v>
      </c>
      <c r="T488" s="43" t="n">
        <f aca="false">S488-$M$2</f>
        <v>7.38310127810246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0.109375</v>
      </c>
      <c r="C489" s="25" t="n">
        <f aca="false">IF(T488&gt;0,D488,C488)</f>
        <v>0.1328125</v>
      </c>
      <c r="D489" s="41" t="n">
        <f aca="false">(B489+C489)/2</f>
        <v>0.12109375</v>
      </c>
      <c r="E489" s="15" t="n">
        <f aca="false">$C$2*(1+IF(E$3&lt;=$O$2,$D489,$D489-($D489-$I$481)*MIN(E$3-$O$2,$Q$2)/$Q$2))</f>
        <v>5493.359375</v>
      </c>
      <c r="F489" s="15" t="n">
        <f aca="false">E489*(1+IF(F$3&lt;=$O$2,$D489,$D489-($D489-$I$481)*MIN(F$3-$O$2,$Q$2)/$Q$2))</f>
        <v>6158.57086181641</v>
      </c>
      <c r="G489" s="15" t="n">
        <f aca="false">F489*(1+IF(G$3&lt;=$O$2,$D489,$D489-($D489-$I$481)*MIN(G$3-$O$2,$Q$2)/$Q$2))</f>
        <v>6904.33530211449</v>
      </c>
      <c r="H489" s="15" t="n">
        <f aca="false">G489*(1+IF(H$3&lt;=$O$2,$D489,$D489-($D489-$I$481)*MIN(H$3-$O$2,$Q$2)/$Q$2))</f>
        <v>7740.40715510491</v>
      </c>
      <c r="I489" s="15" t="n">
        <f aca="false">H489*(1+IF(I$3&lt;=$O$2,$D489,$D489-($D489-$I$481)*MIN(I$3-$O$2,$Q$2)/$Q$2))</f>
        <v>8677.7220840434</v>
      </c>
      <c r="J489" s="15" t="n">
        <f aca="false">I489*(1+IF(J$3&lt;=$O$2,$D489,$D489-($D489-$I$481)*MIN(J$3-$O$2,$Q$2)/$Q$2))</f>
        <v>9558.81459584675</v>
      </c>
      <c r="K489" s="15" t="n">
        <f aca="false">J489*(1+IF(K$3&lt;=$O$2,$D489,$D489-($D489-$I$481)*MIN(K$3-$O$2,$Q$2)/$Q$2))</f>
        <v>10342.4103708595</v>
      </c>
      <c r="L489" s="15" t="n">
        <f aca="false">K489*(1+IF(L$3&lt;=$O$2,$D489,$D489-($D489-$I$481)*MIN(L$3-$O$2,$Q$2)/$Q$2))</f>
        <v>10987.9577701827</v>
      </c>
      <c r="M489" s="15" t="n">
        <f aca="false">L489*(1+IF(M$3&lt;=$O$2,$D489,$D489-($D489-$I$481)*MIN(M$3-$O$2,$Q$2)/$Q$2))</f>
        <v>11458.8879052655</v>
      </c>
      <c r="N489" s="15" t="n">
        <f aca="false">M489*(1+IF(N$3&lt;=$O$2,$D489,$D489-($D489-$I$481)*MIN(N$3-$O$2,$Q$2)/$Q$2))</f>
        <v>11725.8799934582</v>
      </c>
      <c r="O489" s="15" t="n">
        <f aca="false">SUMPRODUCT(E489:N489,1/(1+$F$481)^$E$3:$N$3)*$E$2</f>
        <v>8222.14023006929</v>
      </c>
      <c r="P489" s="15" t="n">
        <f aca="false">N489*$E$2*(1+$I$481)/($F$481-$I$481)/(1+$F$481)^$N$3</f>
        <v>9680.22837790156</v>
      </c>
      <c r="Q489" s="15" t="n">
        <f aca="false">O489+P489</f>
        <v>17902.3686079709</v>
      </c>
      <c r="R489" s="15" t="n">
        <f aca="false">Q489-$G$2+$I$2</f>
        <v>13081.8686079709</v>
      </c>
      <c r="S489" s="42" t="n">
        <f aca="false">R489/$K$2</f>
        <v>68.2769760332508</v>
      </c>
      <c r="T489" s="43" t="n">
        <f aca="false">S489-$M$2</f>
        <v>1.31455432135101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0.109375</v>
      </c>
      <c r="C490" s="25" t="n">
        <f aca="false">IF(T489&gt;0,D489,C489)</f>
        <v>0.12109375</v>
      </c>
      <c r="D490" s="41" t="n">
        <f aca="false">(B490+C490)/2</f>
        <v>0.115234375</v>
      </c>
      <c r="E490" s="15" t="n">
        <f aca="false">$C$2*(1+IF(E$3&lt;=$O$2,$D490,$D490-($D490-$I$481)*MIN(E$3-$O$2,$Q$2)/$Q$2))</f>
        <v>5464.6484375</v>
      </c>
      <c r="F490" s="15" t="n">
        <f aca="false">E490*(1+IF(F$3&lt;=$O$2,$D490,$D490-($D490-$I$481)*MIN(F$3-$O$2,$Q$2)/$Q$2))</f>
        <v>6094.36378479004</v>
      </c>
      <c r="G490" s="15" t="n">
        <f aca="false">F490*(1+IF(G$3&lt;=$O$2,$D490,$D490-($D490-$I$481)*MIN(G$3-$O$2,$Q$2)/$Q$2))</f>
        <v>6796.64398655295</v>
      </c>
      <c r="H490" s="15" t="n">
        <f aca="false">G490*(1+IF(H$3&lt;=$O$2,$D490,$D490-($D490-$I$481)*MIN(H$3-$O$2,$Q$2)/$Q$2))</f>
        <v>7579.85100844089</v>
      </c>
      <c r="I490" s="15" t="n">
        <f aca="false">H490*(1+IF(I$3&lt;=$O$2,$D490,$D490-($D490-$I$481)*MIN(I$3-$O$2,$Q$2)/$Q$2))</f>
        <v>8453.3104019917</v>
      </c>
      <c r="J490" s="15" t="n">
        <f aca="false">I490*(1+IF(J$3&lt;=$O$2,$D490,$D490-($D490-$I$481)*MIN(J$3-$O$2,$Q$2)/$Q$2))</f>
        <v>9271.99238114859</v>
      </c>
      <c r="K490" s="15" t="n">
        <f aca="false">J490*(1+IF(K$3&lt;=$O$2,$D490,$D490-($D490-$I$481)*MIN(K$3-$O$2,$Q$2)/$Q$2))</f>
        <v>9999.47869836875</v>
      </c>
      <c r="L490" s="15" t="n">
        <f aca="false">K490*(1+IF(L$3&lt;=$O$2,$D490,$D490-($D490-$I$481)*MIN(L$3-$O$2,$Q$2)/$Q$2))</f>
        <v>10600.1848818249</v>
      </c>
      <c r="M490" s="15" t="n">
        <f aca="false">L490*(1+IF(M$3&lt;=$O$2,$D490,$D490-($D490-$I$481)*MIN(M$3-$O$2,$Q$2)/$Q$2))</f>
        <v>11042.0734639704</v>
      </c>
      <c r="N490" s="15" t="n">
        <f aca="false">M490*(1+IF(N$3&lt;=$O$2,$D490,$D490-($D490-$I$481)*MIN(N$3-$O$2,$Q$2)/$Q$2))</f>
        <v>11299.3537756809</v>
      </c>
      <c r="O490" s="15" t="n">
        <f aca="false">SUMPRODUCT(E490:N490,1/(1+$F$481)^$E$3:$N$3)*$E$2</f>
        <v>8018.1825193884</v>
      </c>
      <c r="P490" s="15" t="n">
        <f aca="false">N490*$E$2*(1+$I$481)/($F$481-$I$481)/(1+$F$481)^$N$3</f>
        <v>9328.11227236835</v>
      </c>
      <c r="Q490" s="15" t="n">
        <f aca="false">O490+P490</f>
        <v>17346.2947917567</v>
      </c>
      <c r="R490" s="15" t="n">
        <f aca="false">Q490-$G$2+$I$2</f>
        <v>12525.7947917567</v>
      </c>
      <c r="S490" s="42" t="n">
        <f aca="false">R490/$K$2</f>
        <v>65.374711856768</v>
      </c>
      <c r="T490" s="43" t="n">
        <f aca="false">S490-$M$2</f>
        <v>-1.58770985513182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0.115234375</v>
      </c>
      <c r="C491" s="25" t="n">
        <f aca="false">IF(T490&gt;0,D490,C490)</f>
        <v>0.12109375</v>
      </c>
      <c r="D491" s="41" t="n">
        <f aca="false">(B491+C491)/2</f>
        <v>0.1181640625</v>
      </c>
      <c r="E491" s="15" t="n">
        <f aca="false">$C$2*(1+IF(E$3&lt;=$O$2,$D491,$D491-($D491-$I$481)*MIN(E$3-$O$2,$Q$2)/$Q$2))</f>
        <v>5479.00390625</v>
      </c>
      <c r="F491" s="15" t="n">
        <f aca="false">E491*(1+IF(F$3&lt;=$O$2,$D491,$D491-($D491-$I$481)*MIN(F$3-$O$2,$Q$2)/$Q$2))</f>
        <v>6126.42526626587</v>
      </c>
      <c r="G491" s="15" t="n">
        <f aca="false">F491*(1+IF(G$3&lt;=$O$2,$D491,$D491-($D491-$I$481)*MIN(G$3-$O$2,$Q$2)/$Q$2))</f>
        <v>6850.34856433049</v>
      </c>
      <c r="H491" s="15" t="n">
        <f aca="false">G491*(1+IF(H$3&lt;=$O$2,$D491,$D491-($D491-$I$481)*MIN(H$3-$O$2,$Q$2)/$Q$2))</f>
        <v>7659.81358023282</v>
      </c>
      <c r="I491" s="15" t="n">
        <f aca="false">H491*(1+IF(I$3&lt;=$O$2,$D491,$D491-($D491-$I$481)*MIN(I$3-$O$2,$Q$2)/$Q$2))</f>
        <v>8564.9282708658</v>
      </c>
      <c r="J491" s="15" t="n">
        <f aca="false">I491*(1+IF(J$3&lt;=$O$2,$D491,$D491-($D491-$I$481)*MIN(J$3-$O$2,$Q$2)/$Q$2))</f>
        <v>9414.49421221332</v>
      </c>
      <c r="K491" s="15" t="n">
        <f aca="false">J491*(1+IF(K$3&lt;=$O$2,$D491,$D491-($D491-$I$481)*MIN(K$3-$O$2,$Q$2)/$Q$2))</f>
        <v>10169.7102277699</v>
      </c>
      <c r="L491" s="15" t="n">
        <f aca="false">K491*(1+IF(L$3&lt;=$O$2,$D491,$D491-($D491-$I$481)*MIN(L$3-$O$2,$Q$2)/$Q$2))</f>
        <v>10792.5604867385</v>
      </c>
      <c r="M491" s="15" t="n">
        <f aca="false">L491*(1+IF(M$3&lt;=$O$2,$D491,$D491-($D491-$I$481)*MIN(M$3-$O$2,$Q$2)/$Q$2))</f>
        <v>11248.7923725893</v>
      </c>
      <c r="N491" s="15" t="n">
        <f aca="false">M491*(1+IF(N$3&lt;=$O$2,$D491,$D491-($D491-$I$481)*MIN(N$3-$O$2,$Q$2)/$Q$2))</f>
        <v>11510.8892348707</v>
      </c>
      <c r="O491" s="15" t="n">
        <f aca="false">SUMPRODUCT(E491:N491,1/(1+$F$481)^$E$3:$N$3)*$E$2</f>
        <v>8119.52580724265</v>
      </c>
      <c r="P491" s="15" t="n">
        <f aca="false">N491*$E$2*(1+$I$481)/($F$481-$I$481)/(1+$F$481)^$N$3</f>
        <v>9502.74407451228</v>
      </c>
      <c r="Q491" s="15" t="n">
        <f aca="false">O491+P491</f>
        <v>17622.2698817549</v>
      </c>
      <c r="R491" s="15" t="n">
        <f aca="false">Q491-$G$2+$I$2</f>
        <v>12801.7698817549</v>
      </c>
      <c r="S491" s="42" t="n">
        <f aca="false">R491/$K$2</f>
        <v>66.8150828901615</v>
      </c>
      <c r="T491" s="43" t="n">
        <f aca="false">S491-$M$2</f>
        <v>-0.14733882173833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0.1181640625</v>
      </c>
      <c r="C492" s="25" t="n">
        <f aca="false">IF(T491&gt;0,D491,C491)</f>
        <v>0.12109375</v>
      </c>
      <c r="D492" s="41" t="n">
        <f aca="false">(B492+C492)/2</f>
        <v>0.11962890625</v>
      </c>
      <c r="E492" s="15" t="n">
        <f aca="false">$C$2*(1+IF(E$3&lt;=$O$2,$D492,$D492-($D492-$I$481)*MIN(E$3-$O$2,$Q$2)/$Q$2))</f>
        <v>5486.181640625</v>
      </c>
      <c r="F492" s="15" t="n">
        <f aca="false">E492*(1+IF(F$3&lt;=$O$2,$D492,$D492-($D492-$I$481)*MIN(F$3-$O$2,$Q$2)/$Q$2))</f>
        <v>6142.4875497818</v>
      </c>
      <c r="G492" s="15" t="n">
        <f aca="false">F492*(1+IF(G$3&lt;=$O$2,$D492,$D492-($D492-$I$481)*MIN(G$3-$O$2,$Q$2)/$Q$2))</f>
        <v>6877.30661701644</v>
      </c>
      <c r="H492" s="15" t="n">
        <f aca="false">G492*(1+IF(H$3&lt;=$O$2,$D492,$D492-($D492-$I$481)*MIN(H$3-$O$2,$Q$2)/$Q$2))</f>
        <v>7700.031285556</v>
      </c>
      <c r="I492" s="15" t="n">
        <f aca="false">H492*(1+IF(I$3&lt;=$O$2,$D492,$D492-($D492-$I$481)*MIN(I$3-$O$2,$Q$2)/$Q$2))</f>
        <v>8621.17760633785</v>
      </c>
      <c r="J492" s="15" t="n">
        <f aca="false">I492*(1+IF(J$3&lt;=$O$2,$D492,$D492-($D492-$I$481)*MIN(J$3-$O$2,$Q$2)/$Q$2))</f>
        <v>9486.42593208993</v>
      </c>
      <c r="K492" s="15" t="n">
        <f aca="false">J492*(1+IF(K$3&lt;=$O$2,$D492,$D492-($D492-$I$481)*MIN(K$3-$O$2,$Q$2)/$Q$2))</f>
        <v>10255.7498768635</v>
      </c>
      <c r="L492" s="15" t="n">
        <f aca="false">K492*(1+IF(L$3&lt;=$O$2,$D492,$D492-($D492-$I$481)*MIN(L$3-$O$2,$Q$2)/$Q$2))</f>
        <v>10889.8789163592</v>
      </c>
      <c r="M492" s="15" t="n">
        <f aca="false">L492*(1+IF(M$3&lt;=$O$2,$D492,$D492-($D492-$I$481)*MIN(M$3-$O$2,$Q$2)/$Q$2))</f>
        <v>11353.4151201519</v>
      </c>
      <c r="N492" s="15" t="n">
        <f aca="false">M492*(1+IF(N$3&lt;=$O$2,$D492,$D492-($D492-$I$481)*MIN(N$3-$O$2,$Q$2)/$Q$2))</f>
        <v>11617.9496924515</v>
      </c>
      <c r="O492" s="15" t="n">
        <f aca="false">SUMPRODUCT(E492:N492,1/(1+$F$481)^$E$3:$N$3)*$E$2</f>
        <v>8170.6732096031</v>
      </c>
      <c r="P492" s="15" t="n">
        <f aca="false">N492*$E$2*(1+$I$481)/($F$481-$I$481)/(1+$F$481)^$N$3</f>
        <v>9591.12717925181</v>
      </c>
      <c r="Q492" s="15" t="n">
        <f aca="false">O492+P492</f>
        <v>17761.8003888549</v>
      </c>
      <c r="R492" s="15" t="n">
        <f aca="false">Q492-$G$2+$I$2</f>
        <v>12941.3003888549</v>
      </c>
      <c r="S492" s="42" t="n">
        <f aca="false">R492/$K$2</f>
        <v>67.543321444963</v>
      </c>
      <c r="T492" s="43" t="n">
        <f aca="false">S492-$M$2</f>
        <v>0.580899733063191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0.1181640625</v>
      </c>
      <c r="C493" s="25" t="n">
        <f aca="false">IF(T492&gt;0,D492,C492)</f>
        <v>0.11962890625</v>
      </c>
      <c r="D493" s="41" t="n">
        <f aca="false">(B493+C493)/2</f>
        <v>0.118896484375</v>
      </c>
      <c r="E493" s="15" t="n">
        <f aca="false">$C$2*(1+IF(E$3&lt;=$O$2,$D493,$D493-($D493-$I$481)*MIN(E$3-$O$2,$Q$2)/$Q$2))</f>
        <v>5482.5927734375</v>
      </c>
      <c r="F493" s="15" t="n">
        <f aca="false">E493*(1+IF(F$3&lt;=$O$2,$D493,$D493-($D493-$I$481)*MIN(F$3-$O$2,$Q$2)/$Q$2))</f>
        <v>6134.453779459</v>
      </c>
      <c r="G493" s="15" t="n">
        <f aca="false">F493*(1+IF(G$3&lt;=$O$2,$D493,$D493-($D493-$I$481)*MIN(G$3-$O$2,$Q$2)/$Q$2))</f>
        <v>6863.81876739761</v>
      </c>
      <c r="H493" s="15" t="n">
        <f aca="false">G493*(1+IF(H$3&lt;=$O$2,$D493,$D493-($D493-$I$481)*MIN(H$3-$O$2,$Q$2)/$Q$2))</f>
        <v>7679.90268822833</v>
      </c>
      <c r="I493" s="15" t="n">
        <f aca="false">H493*(1+IF(I$3&lt;=$O$2,$D493,$D493-($D493-$I$481)*MIN(I$3-$O$2,$Q$2)/$Q$2))</f>
        <v>8593.01611820079</v>
      </c>
      <c r="J493" s="15" t="n">
        <f aca="false">I493*(1+IF(J$3&lt;=$O$2,$D493,$D493-($D493-$I$481)*MIN(J$3-$O$2,$Q$2)/$Q$2))</f>
        <v>9450.40309861703</v>
      </c>
      <c r="K493" s="15" t="n">
        <f aca="false">J493*(1+IF(K$3&lt;=$O$2,$D493,$D493-($D493-$I$481)*MIN(K$3-$O$2,$Q$2)/$Q$2))</f>
        <v>10212.6526781074</v>
      </c>
      <c r="L493" s="15" t="n">
        <f aca="false">K493*(1+IF(L$3&lt;=$O$2,$D493,$D493-($D493-$I$481)*MIN(L$3-$O$2,$Q$2)/$Q$2))</f>
        <v>10841.1249623753</v>
      </c>
      <c r="M493" s="15" t="n">
        <f aca="false">L493*(1+IF(M$3&lt;=$O$2,$D493,$D493-($D493-$I$481)*MIN(M$3-$O$2,$Q$2)/$Q$2))</f>
        <v>11300.9978606133</v>
      </c>
      <c r="N493" s="15" t="n">
        <f aca="false">M493*(1+IF(N$3&lt;=$O$2,$D493,$D493-($D493-$I$481)*MIN(N$3-$O$2,$Q$2)/$Q$2))</f>
        <v>11564.3111107656</v>
      </c>
      <c r="O493" s="15" t="n">
        <f aca="false">SUMPRODUCT(E493:N493,1/(1+$F$481)^$E$3:$N$3)*$E$2</f>
        <v>8145.05967116529</v>
      </c>
      <c r="P493" s="15" t="n">
        <f aca="false">N493*$E$2*(1+$I$481)/($F$481-$I$481)/(1+$F$481)^$N$3</f>
        <v>9546.84617681314</v>
      </c>
      <c r="Q493" s="15" t="n">
        <f aca="false">O493+P493</f>
        <v>17691.9058479784</v>
      </c>
      <c r="R493" s="15" t="n">
        <f aca="false">Q493-$G$2+$I$2</f>
        <v>12871.4058479784</v>
      </c>
      <c r="S493" s="42" t="n">
        <f aca="false">R493/$K$2</f>
        <v>67.1785273902841</v>
      </c>
      <c r="T493" s="43" t="n">
        <f aca="false">S493-$M$2</f>
        <v>0.216105678384267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0.1181640625</v>
      </c>
      <c r="C494" s="25" t="n">
        <f aca="false">IF(T493&gt;0,D493,C493)</f>
        <v>0.118896484375</v>
      </c>
      <c r="D494" s="41" t="n">
        <f aca="false">(B494+C494)/2</f>
        <v>0.1185302734375</v>
      </c>
      <c r="E494" s="15" t="n">
        <f aca="false">$C$2*(1+IF(E$3&lt;=$O$2,$D494,$D494-($D494-$I$481)*MIN(E$3-$O$2,$Q$2)/$Q$2))</f>
        <v>5480.79833984375</v>
      </c>
      <c r="F494" s="15" t="n">
        <f aca="false">E494*(1+IF(F$3&lt;=$O$2,$D494,$D494-($D494-$I$481)*MIN(F$3-$O$2,$Q$2)/$Q$2))</f>
        <v>6130.43886572123</v>
      </c>
      <c r="G494" s="15" t="n">
        <f aca="false">F494*(1+IF(G$3&lt;=$O$2,$D494,$D494-($D494-$I$481)*MIN(G$3-$O$2,$Q$2)/$Q$2))</f>
        <v>6857.08146076704</v>
      </c>
      <c r="H494" s="15" t="n">
        <f aca="false">G494*(1+IF(H$3&lt;=$O$2,$D494,$D494-($D494-$I$481)*MIN(H$3-$O$2,$Q$2)/$Q$2))</f>
        <v>7669.85320129497</v>
      </c>
      <c r="I494" s="15" t="n">
        <f aca="false">H494*(1+IF(I$3&lt;=$O$2,$D494,$D494-($D494-$I$481)*MIN(I$3-$O$2,$Q$2)/$Q$2))</f>
        <v>8578.96299846995</v>
      </c>
      <c r="J494" s="15" t="n">
        <f aca="false">I494*(1+IF(J$3&lt;=$O$2,$D494,$D494-($D494-$I$481)*MIN(J$3-$O$2,$Q$2)/$Q$2))</f>
        <v>9432.43443005789</v>
      </c>
      <c r="K494" s="15" t="n">
        <f aca="false">J494*(1+IF(K$3&lt;=$O$2,$D494,$D494-($D494-$I$481)*MIN(K$3-$O$2,$Q$2)/$Q$2))</f>
        <v>10191.1621382517</v>
      </c>
      <c r="L494" s="15" t="n">
        <f aca="false">K494*(1+IF(L$3&lt;=$O$2,$D494,$D494-($D494-$I$481)*MIN(L$3-$O$2,$Q$2)/$Q$2))</f>
        <v>10816.8190789016</v>
      </c>
      <c r="M494" s="15" t="n">
        <f aca="false">L494*(1+IF(M$3&lt;=$O$2,$D494,$D494-($D494-$I$481)*MIN(M$3-$O$2,$Q$2)/$Q$2))</f>
        <v>11274.8686911615</v>
      </c>
      <c r="N494" s="15" t="n">
        <f aca="false">M494*(1+IF(N$3&lt;=$O$2,$D494,$D494-($D494-$I$481)*MIN(N$3-$O$2,$Q$2)/$Q$2))</f>
        <v>11537.5731316656</v>
      </c>
      <c r="O494" s="15" t="n">
        <f aca="false">SUMPRODUCT(E494:N494,1/(1+$F$481)^$E$3:$N$3)*$E$2</f>
        <v>8132.2827942339</v>
      </c>
      <c r="P494" s="15" t="n">
        <f aca="false">N494*$E$2*(1+$I$481)/($F$481-$I$481)/(1+$F$481)^$N$3</f>
        <v>9524.77280200492</v>
      </c>
      <c r="Q494" s="15" t="n">
        <f aca="false">O494+P494</f>
        <v>17657.0555962388</v>
      </c>
      <c r="R494" s="15" t="n">
        <f aca="false">Q494-$G$2+$I$2</f>
        <v>12836.5555962388</v>
      </c>
      <c r="S494" s="42" t="n">
        <f aca="false">R494/$K$2</f>
        <v>66.9966367235846</v>
      </c>
      <c r="T494" s="43" t="n">
        <f aca="false">S494-$M$2</f>
        <v>0.0342150116848501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0.1181640625</v>
      </c>
      <c r="C495" s="25" t="n">
        <f aca="false">IF(T494&gt;0,D494,C494)</f>
        <v>0.1185302734375</v>
      </c>
      <c r="D495" s="41" t="n">
        <f aca="false">(B495+C495)/2</f>
        <v>0.11834716796875</v>
      </c>
      <c r="E495" s="15" t="n">
        <f aca="false">$C$2*(1+IF(E$3&lt;=$O$2,$D495,$D495-($D495-$I$481)*MIN(E$3-$O$2,$Q$2)/$Q$2))</f>
        <v>5479.90112304688</v>
      </c>
      <c r="F495" s="15" t="n">
        <f aca="false">E495*(1+IF(F$3&lt;=$O$2,$D495,$D495-($D495-$I$481)*MIN(F$3-$O$2,$Q$2)/$Q$2))</f>
        <v>6128.43190170825</v>
      </c>
      <c r="G495" s="15" t="n">
        <f aca="false">F495*(1+IF(G$3&lt;=$O$2,$D495,$D495-($D495-$I$481)*MIN(G$3-$O$2,$Q$2)/$Q$2))</f>
        <v>6853.71446136476</v>
      </c>
      <c r="H495" s="15" t="n">
        <f aca="false">G495*(1+IF(H$3&lt;=$O$2,$D495,$D495-($D495-$I$481)*MIN(H$3-$O$2,$Q$2)/$Q$2))</f>
        <v>7664.83215793374</v>
      </c>
      <c r="I495" s="15" t="n">
        <f aca="false">H495*(1+IF(I$3&lt;=$O$2,$D495,$D495-($D495-$I$481)*MIN(I$3-$O$2,$Q$2)/$Q$2))</f>
        <v>8571.943336781</v>
      </c>
      <c r="J495" s="15" t="n">
        <f aca="false">I495*(1+IF(J$3&lt;=$O$2,$D495,$D495-($D495-$I$481)*MIN(J$3-$O$2,$Q$2)/$Q$2))</f>
        <v>9423.46076704771</v>
      </c>
      <c r="K495" s="15" t="n">
        <f aca="false">J495*(1+IF(K$3&lt;=$O$2,$D495,$D495-($D495-$I$481)*MIN(K$3-$O$2,$Q$2)/$Q$2))</f>
        <v>10180.4313579434</v>
      </c>
      <c r="L495" s="15" t="n">
        <f aca="false">K495*(1+IF(L$3&lt;=$O$2,$D495,$D495-($D495-$I$481)*MIN(L$3-$O$2,$Q$2)/$Q$2))</f>
        <v>10804.6838762926</v>
      </c>
      <c r="M495" s="15" t="n">
        <f aca="false">L495*(1+IF(M$3&lt;=$O$2,$D495,$D495-($D495-$I$481)*MIN(M$3-$O$2,$Q$2)/$Q$2))</f>
        <v>11261.8239312581</v>
      </c>
      <c r="N495" s="15" t="n">
        <f aca="false">M495*(1+IF(N$3&lt;=$O$2,$D495,$D495-($D495-$I$481)*MIN(N$3-$O$2,$Q$2)/$Q$2))</f>
        <v>11524.2244288564</v>
      </c>
      <c r="O495" s="15" t="n">
        <f aca="false">SUMPRODUCT(E495:N495,1/(1+$F$481)^$E$3:$N$3)*$E$2</f>
        <v>8125.90181628684</v>
      </c>
      <c r="P495" s="15" t="n">
        <f aca="false">N495*$E$2*(1+$I$481)/($F$481-$I$481)/(1+$F$481)^$N$3</f>
        <v>9513.75286219538</v>
      </c>
      <c r="Q495" s="15" t="n">
        <f aca="false">O495+P495</f>
        <v>17639.6546784822</v>
      </c>
      <c r="R495" s="15" t="n">
        <f aca="false">Q495-$G$2+$I$2</f>
        <v>12819.1546784822</v>
      </c>
      <c r="S495" s="42" t="n">
        <f aca="false">R495/$K$2</f>
        <v>66.9058177373811</v>
      </c>
      <c r="T495" s="43" t="n">
        <f aca="false">S495-$M$2</f>
        <v>-0.0566039745186657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0.11834716796875</v>
      </c>
      <c r="C496" s="25" t="n">
        <f aca="false">IF(T495&gt;0,D495,C495)</f>
        <v>0.1185302734375</v>
      </c>
      <c r="D496" s="41" t="n">
        <f aca="false">(B496+C496)/2</f>
        <v>0.118438720703125</v>
      </c>
      <c r="E496" s="15" t="n">
        <f aca="false">$C$2*(1+IF(E$3&lt;=$O$2,$D496,$D496-($D496-$I$481)*MIN(E$3-$O$2,$Q$2)/$Q$2))</f>
        <v>5480.34973144531</v>
      </c>
      <c r="F496" s="15" t="n">
        <f aca="false">E496*(1+IF(F$3&lt;=$O$2,$D496,$D496-($D496-$I$481)*MIN(F$3-$O$2,$Q$2)/$Q$2))</f>
        <v>6129.43534264341</v>
      </c>
      <c r="G496" s="15" t="n">
        <f aca="false">F496*(1+IF(G$3&lt;=$O$2,$D496,$D496-($D496-$I$481)*MIN(G$3-$O$2,$Q$2)/$Q$2))</f>
        <v>6855.39782325862</v>
      </c>
      <c r="H496" s="15" t="n">
        <f aca="false">G496*(1+IF(H$3&lt;=$O$2,$D496,$D496-($D496-$I$481)*MIN(H$3-$O$2,$Q$2)/$Q$2))</f>
        <v>7667.34237135635</v>
      </c>
      <c r="I496" s="15" t="n">
        <f aca="false">H496*(1+IF(I$3&lt;=$O$2,$D496,$D496-($D496-$I$481)*MIN(I$3-$O$2,$Q$2)/$Q$2))</f>
        <v>8575.45259301267</v>
      </c>
      <c r="J496" s="15" t="n">
        <f aca="false">I496*(1+IF(J$3&lt;=$O$2,$D496,$D496-($D496-$I$481)*MIN(J$3-$O$2,$Q$2)/$Q$2))</f>
        <v>9427.94670974948</v>
      </c>
      <c r="K496" s="15" t="n">
        <f aca="false">J496*(1+IF(K$3&lt;=$O$2,$D496,$D496-($D496-$I$481)*MIN(K$3-$O$2,$Q$2)/$Q$2))</f>
        <v>10185.7955413803</v>
      </c>
      <c r="L496" s="15" t="n">
        <f aca="false">K496*(1+IF(L$3&lt;=$O$2,$D496,$D496-($D496-$I$481)*MIN(L$3-$O$2,$Q$2)/$Q$2))</f>
        <v>10810.7500003547</v>
      </c>
      <c r="M496" s="15" t="n">
        <f aca="false">L496*(1+IF(M$3&lt;=$O$2,$D496,$D496-($D496-$I$481)*MIN(M$3-$O$2,$Q$2)/$Q$2))</f>
        <v>11268.344660338</v>
      </c>
      <c r="N496" s="15" t="n">
        <f aca="false">M496*(1+IF(N$3&lt;=$O$2,$D496,$D496-($D496-$I$481)*MIN(N$3-$O$2,$Q$2)/$Q$2))</f>
        <v>11530.8970909238</v>
      </c>
      <c r="O496" s="15" t="n">
        <f aca="false">SUMPRODUCT(E496:N496,1/(1+$F$481)^$E$3:$N$3)*$E$2</f>
        <v>8129.09168392371</v>
      </c>
      <c r="P496" s="15" t="n">
        <f aca="false">N496*$E$2*(1+$I$481)/($F$481-$I$481)/(1+$F$481)^$N$3</f>
        <v>9519.26143747822</v>
      </c>
      <c r="Q496" s="15" t="n">
        <f aca="false">O496+P496</f>
        <v>17648.3531214019</v>
      </c>
      <c r="R496" s="15" t="n">
        <f aca="false">Q496-$G$2+$I$2</f>
        <v>12827.8531214019</v>
      </c>
      <c r="S496" s="42" t="n">
        <f aca="false">R496/$K$2</f>
        <v>66.9512167087784</v>
      </c>
      <c r="T496" s="43" t="n">
        <f aca="false">S496-$M$2</f>
        <v>-0.0112050031214466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0.118438720703125</v>
      </c>
      <c r="C497" s="25" t="n">
        <f aca="false">IF(T496&gt;0,D496,C496)</f>
        <v>0.1185302734375</v>
      </c>
      <c r="D497" s="41" t="n">
        <f aca="false">(B497+C497)/2</f>
        <v>0.118484497070313</v>
      </c>
      <c r="E497" s="15" t="n">
        <f aca="false">$C$2*(1+IF(E$3&lt;=$O$2,$D497,$D497-($D497-$I$481)*MIN(E$3-$O$2,$Q$2)/$Q$2))</f>
        <v>5480.57403564453</v>
      </c>
      <c r="F497" s="15" t="n">
        <f aca="false">E497*(1+IF(F$3&lt;=$O$2,$D497,$D497-($D497-$I$481)*MIN(F$3-$O$2,$Q$2)/$Q$2))</f>
        <v>6129.93709391449</v>
      </c>
      <c r="G497" s="15" t="n">
        <f aca="false">F497*(1+IF(G$3&lt;=$O$2,$D497,$D497-($D497-$I$481)*MIN(G$3-$O$2,$Q$2)/$Q$2))</f>
        <v>6856.2396075596</v>
      </c>
      <c r="H497" s="15" t="n">
        <f aca="false">G497*(1+IF(H$3&lt;=$O$2,$D497,$D497-($D497-$I$481)*MIN(H$3-$O$2,$Q$2)/$Q$2))</f>
        <v>7668.59770925485</v>
      </c>
      <c r="I497" s="15" t="n">
        <f aca="false">H497*(1+IF(I$3&lt;=$O$2,$D497,$D497-($D497-$I$481)*MIN(I$3-$O$2,$Q$2)/$Q$2))</f>
        <v>8577.20765207047</v>
      </c>
      <c r="J497" s="15" t="n">
        <f aca="false">I497*(1+IF(J$3&lt;=$O$2,$D497,$D497-($D497-$I$481)*MIN(J$3-$O$2,$Q$2)/$Q$2))</f>
        <v>9430.19034766768</v>
      </c>
      <c r="K497" s="15" t="n">
        <f aca="false">J497*(1+IF(K$3&lt;=$O$2,$D497,$D497-($D497-$I$481)*MIN(K$3-$O$2,$Q$2)/$Q$2))</f>
        <v>10188.4785380804</v>
      </c>
      <c r="L497" s="15" t="n">
        <f aca="false">K497*(1+IF(L$3&lt;=$O$2,$D497,$D497-($D497-$I$481)*MIN(L$3-$O$2,$Q$2)/$Q$2))</f>
        <v>10813.7841702412</v>
      </c>
      <c r="M497" s="15" t="n">
        <f aca="false">L497*(1+IF(M$3&lt;=$O$2,$D497,$D497-($D497-$I$481)*MIN(M$3-$O$2,$Q$2)/$Q$2))</f>
        <v>11271.6062629421</v>
      </c>
      <c r="N497" s="15" t="n">
        <f aca="false">M497*(1+IF(N$3&lt;=$O$2,$D497,$D497-($D497-$I$481)*MIN(N$3-$O$2,$Q$2)/$Q$2))</f>
        <v>11534.2346888686</v>
      </c>
      <c r="O497" s="15" t="n">
        <f aca="false">SUMPRODUCT(E497:N497,1/(1+$F$481)^$E$3:$N$3)*$E$2</f>
        <v>8130.68708371666</v>
      </c>
      <c r="P497" s="15" t="n">
        <f aca="false">N497*$E$2*(1+$I$481)/($F$481-$I$481)/(1+$F$481)^$N$3</f>
        <v>9522.0167710103</v>
      </c>
      <c r="Q497" s="15" t="n">
        <f aca="false">O497+P497</f>
        <v>17652.703854727</v>
      </c>
      <c r="R497" s="15" t="n">
        <f aca="false">Q497-$G$2+$I$2</f>
        <v>12832.203854727</v>
      </c>
      <c r="S497" s="42" t="n">
        <f aca="false">R497/$K$2</f>
        <v>66.9739240852138</v>
      </c>
      <c r="T497" s="43" t="n">
        <f aca="false">S497-$M$2</f>
        <v>0.0115023733139594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0.118438720703125</v>
      </c>
      <c r="C498" s="25" t="n">
        <f aca="false">IF(T497&gt;0,D497,C497)</f>
        <v>0.118484497070313</v>
      </c>
      <c r="D498" s="41" t="n">
        <f aca="false">(B498+C498)/2</f>
        <v>0.118461608886719</v>
      </c>
      <c r="E498" s="15" t="n">
        <f aca="false">$C$2*(1+IF(E$3&lt;=$O$2,$D498,$D498-($D498-$I$481)*MIN(E$3-$O$2,$Q$2)/$Q$2))</f>
        <v>5480.46188354492</v>
      </c>
      <c r="F498" s="15" t="n">
        <f aca="false">E498*(1+IF(F$3&lt;=$O$2,$D498,$D498-($D498-$I$481)*MIN(F$3-$O$2,$Q$2)/$Q$2))</f>
        <v>6129.68621571199</v>
      </c>
      <c r="G498" s="15" t="n">
        <f aca="false">F498*(1+IF(G$3&lt;=$O$2,$D498,$D498-($D498-$I$481)*MIN(G$3-$O$2,$Q$2)/$Q$2))</f>
        <v>6855.81870679598</v>
      </c>
      <c r="H498" s="15" t="n">
        <f aca="false">G498*(1+IF(H$3&lt;=$O$2,$D498,$D498-($D498-$I$481)*MIN(H$3-$O$2,$Q$2)/$Q$2))</f>
        <v>7667.97002103869</v>
      </c>
      <c r="I498" s="15" t="n">
        <f aca="false">H498*(1+IF(I$3&lt;=$O$2,$D498,$D498-($D498-$I$481)*MIN(I$3-$O$2,$Q$2)/$Q$2))</f>
        <v>8576.33008662606</v>
      </c>
      <c r="J498" s="15" t="n">
        <f aca="false">I498*(1+IF(J$3&lt;=$O$2,$D498,$D498-($D498-$I$481)*MIN(J$3-$O$2,$Q$2)/$Q$2))</f>
        <v>9429.06847315397</v>
      </c>
      <c r="K498" s="15" t="n">
        <f aca="false">J498*(1+IF(K$3&lt;=$O$2,$D498,$D498-($D498-$I$481)*MIN(K$3-$O$2,$Q$2)/$Q$2))</f>
        <v>10187.1369643035</v>
      </c>
      <c r="L498" s="15" t="n">
        <f aca="false">K498*(1+IF(L$3&lt;=$O$2,$D498,$D498-($D498-$I$481)*MIN(L$3-$O$2,$Q$2)/$Q$2))</f>
        <v>10812.2669929607</v>
      </c>
      <c r="M498" s="15" t="n">
        <f aca="false">L498*(1+IF(M$3&lt;=$O$2,$D498,$D498-($D498-$I$481)*MIN(M$3-$O$2,$Q$2)/$Q$2))</f>
        <v>11269.9753584493</v>
      </c>
      <c r="N498" s="15" t="n">
        <f aca="false">M498*(1+IF(N$3&lt;=$O$2,$D498,$D498-($D498-$I$481)*MIN(N$3-$O$2,$Q$2)/$Q$2))</f>
        <v>11532.5657843012</v>
      </c>
      <c r="O498" s="15" t="n">
        <f aca="false">SUMPRODUCT(E498:N498,1/(1+$F$481)^$E$3:$N$3)*$E$2</f>
        <v>8129.88934498315</v>
      </c>
      <c r="P498" s="15" t="n">
        <f aca="false">N498*$E$2*(1+$I$481)/($F$481-$I$481)/(1+$F$481)^$N$3</f>
        <v>9520.63901707091</v>
      </c>
      <c r="Q498" s="15" t="n">
        <f aca="false">O498+P498</f>
        <v>17650.5283620541</v>
      </c>
      <c r="R498" s="15" t="n">
        <f aca="false">Q498-$G$2+$I$2</f>
        <v>12830.0283620541</v>
      </c>
      <c r="S498" s="42" t="n">
        <f aca="false">R498/$K$2</f>
        <v>66.9625697393218</v>
      </c>
      <c r="T498" s="43" t="n">
        <f aca="false">S498-$M$2</f>
        <v>0.000148027422028463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0.118438720703125</v>
      </c>
      <c r="C499" s="25" t="n">
        <f aca="false">IF(T498&gt;0,D498,C498)</f>
        <v>0.118461608886719</v>
      </c>
      <c r="D499" s="41" t="n">
        <f aca="false">(B499+C499)/2</f>
        <v>0.118450164794922</v>
      </c>
      <c r="E499" s="15" t="n">
        <f aca="false">$C$2*(1+IF(E$3&lt;=$O$2,$D499,$D499-($D499-$I$481)*MIN(E$3-$O$2,$Q$2)/$Q$2))</f>
        <v>5480.40580749512</v>
      </c>
      <c r="F499" s="15" t="n">
        <f aca="false">E499*(1+IF(F$3&lt;=$O$2,$D499,$D499-($D499-$I$481)*MIN(F$3-$O$2,$Q$2)/$Q$2))</f>
        <v>6129.56077853596</v>
      </c>
      <c r="G499" s="15" t="n">
        <f aca="false">F499*(1+IF(G$3&lt;=$O$2,$D499,$D499-($D499-$I$481)*MIN(G$3-$O$2,$Q$2)/$Q$2))</f>
        <v>6855.60826287404</v>
      </c>
      <c r="H499" s="15" t="n">
        <f aca="false">G499*(1+IF(H$3&lt;=$O$2,$D499,$D499-($D499-$I$481)*MIN(H$3-$O$2,$Q$2)/$Q$2))</f>
        <v>7667.65619138089</v>
      </c>
      <c r="I499" s="15" t="n">
        <f aca="false">H499*(1+IF(I$3&lt;=$O$2,$D499,$D499-($D499-$I$481)*MIN(I$3-$O$2,$Q$2)/$Q$2))</f>
        <v>8575.89133084076</v>
      </c>
      <c r="J499" s="15" t="n">
        <f aca="false">I499*(1+IF(J$3&lt;=$O$2,$D499,$D499-($D499-$I$481)*MIN(J$3-$O$2,$Q$2)/$Q$2))</f>
        <v>9428.50757756363</v>
      </c>
      <c r="K499" s="15" t="n">
        <f aca="false">J499*(1+IF(K$3&lt;=$O$2,$D499,$D499-($D499-$I$481)*MIN(K$3-$O$2,$Q$2)/$Q$2))</f>
        <v>10186.4662339861</v>
      </c>
      <c r="L499" s="15" t="n">
        <f aca="false">K499*(1+IF(L$3&lt;=$O$2,$D499,$D499-($D499-$I$481)*MIN(L$3-$O$2,$Q$2)/$Q$2))</f>
        <v>10811.5084735746</v>
      </c>
      <c r="M499" s="15" t="n">
        <f aca="false">L499*(1+IF(M$3&lt;=$O$2,$D499,$D499-($D499-$I$481)*MIN(M$3-$O$2,$Q$2)/$Q$2))</f>
        <v>11269.1599835974</v>
      </c>
      <c r="N499" s="15" t="n">
        <f aca="false">M499*(1+IF(N$3&lt;=$O$2,$D499,$D499-($D499-$I$481)*MIN(N$3-$O$2,$Q$2)/$Q$2))</f>
        <v>11531.7314112152</v>
      </c>
      <c r="O499" s="15" t="n">
        <f aca="false">SUMPRODUCT(E499:N499,1/(1+$F$481)^$E$3:$N$3)*$E$2</f>
        <v>8129.49050474461</v>
      </c>
      <c r="P499" s="15" t="n">
        <f aca="false">N499*$E$2*(1+$I$481)/($F$481-$I$481)/(1+$F$481)^$N$3</f>
        <v>9519.95020548242</v>
      </c>
      <c r="Q499" s="15" t="n">
        <f aca="false">O499+P499</f>
        <v>17649.440710227</v>
      </c>
      <c r="R499" s="15" t="n">
        <f aca="false">Q499-$G$2+$I$2</f>
        <v>12828.940710227</v>
      </c>
      <c r="S499" s="42" t="n">
        <f aca="false">R499/$K$2</f>
        <v>66.95689305964</v>
      </c>
      <c r="T499" s="43" t="n">
        <f aca="false">S499-$M$2</f>
        <v>-0.00552865225976973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0.118450164794922</v>
      </c>
      <c r="C500" s="25" t="n">
        <f aca="false">IF(T499&gt;0,D499,C499)</f>
        <v>0.118461608886719</v>
      </c>
      <c r="D500" s="41" t="n">
        <f aca="false">(B500+C500)/2</f>
        <v>0.11845588684082</v>
      </c>
      <c r="E500" s="15" t="n">
        <f aca="false">$C$2*(1+IF(E$3&lt;=$O$2,$D500,$D500-($D500-$I$481)*MIN(E$3-$O$2,$Q$2)/$Q$2))</f>
        <v>5480.43384552002</v>
      </c>
      <c r="F500" s="15" t="n">
        <f aca="false">E500*(1+IF(F$3&lt;=$O$2,$D500,$D500-($D500-$I$481)*MIN(F$3-$O$2,$Q$2)/$Q$2))</f>
        <v>6129.62349696354</v>
      </c>
      <c r="G500" s="15" t="n">
        <f aca="false">F500*(1+IF(G$3&lt;=$O$2,$D500,$D500-($D500-$I$481)*MIN(G$3-$O$2,$Q$2)/$Q$2))</f>
        <v>6855.71348429669</v>
      </c>
      <c r="H500" s="15" t="n">
        <f aca="false">G500*(1+IF(H$3&lt;=$O$2,$D500,$D500-($D500-$I$481)*MIN(H$3-$O$2,$Q$2)/$Q$2))</f>
        <v>7667.81310500562</v>
      </c>
      <c r="I500" s="15" t="n">
        <f aca="false">H500*(1+IF(I$3&lt;=$O$2,$D500,$D500-($D500-$I$481)*MIN(I$3-$O$2,$Q$2)/$Q$2))</f>
        <v>8576.11070648873</v>
      </c>
      <c r="J500" s="15" t="n">
        <f aca="false">I500*(1+IF(J$3&lt;=$O$2,$D500,$D500-($D500-$I$481)*MIN(J$3-$O$2,$Q$2)/$Q$2))</f>
        <v>9428.78802188671</v>
      </c>
      <c r="K500" s="15" t="n">
        <f aca="false">J500*(1+IF(K$3&lt;=$O$2,$D500,$D500-($D500-$I$481)*MIN(K$3-$O$2,$Q$2)/$Q$2))</f>
        <v>10186.8015944307</v>
      </c>
      <c r="L500" s="15" t="n">
        <f aca="false">K500*(1+IF(L$3&lt;=$O$2,$D500,$D500-($D500-$I$481)*MIN(L$3-$O$2,$Q$2)/$Q$2))</f>
        <v>10811.8877274968</v>
      </c>
      <c r="M500" s="15" t="n">
        <f aca="false">L500*(1+IF(M$3&lt;=$O$2,$D500,$D500-($D500-$I$481)*MIN(M$3-$O$2,$Q$2)/$Q$2))</f>
        <v>11269.5676645741</v>
      </c>
      <c r="N500" s="15" t="n">
        <f aca="false">M500*(1+IF(N$3&lt;=$O$2,$D500,$D500-($D500-$I$481)*MIN(N$3-$O$2,$Q$2)/$Q$2))</f>
        <v>11532.1485911587</v>
      </c>
      <c r="O500" s="15" t="n">
        <f aca="false">SUMPRODUCT(E500:N500,1/(1+$F$481)^$E$3:$N$3)*$E$2</f>
        <v>8129.68992243662</v>
      </c>
      <c r="P500" s="15" t="n">
        <f aca="false">N500*$E$2*(1+$I$481)/($F$481-$I$481)/(1+$F$481)^$N$3</f>
        <v>9520.29460582848</v>
      </c>
      <c r="Q500" s="15" t="n">
        <f aca="false">O500+P500</f>
        <v>17649.9845282651</v>
      </c>
      <c r="R500" s="15" t="n">
        <f aca="false">Q500-$G$2+$I$2</f>
        <v>12829.4845282651</v>
      </c>
      <c r="S500" s="42" t="n">
        <f aca="false">R500/$K$2</f>
        <v>66.9597313583773</v>
      </c>
      <c r="T500" s="43" t="n">
        <f aca="false">S500-$M$2</f>
        <v>-0.00269035352245339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0.11845588684082</v>
      </c>
      <c r="C501" s="25" t="n">
        <f aca="false">IF(T500&gt;0,D500,C500)</f>
        <v>0.118461608886719</v>
      </c>
      <c r="D501" s="41" t="n">
        <f aca="false">(B501+C501)/2</f>
        <v>0.11845874786377</v>
      </c>
      <c r="E501" s="15" t="n">
        <f aca="false">$C$2*(1+IF(E$3&lt;=$O$2,$D501,$D501-($D501-$I$481)*MIN(E$3-$O$2,$Q$2)/$Q$2))</f>
        <v>5480.44786453247</v>
      </c>
      <c r="F501" s="15" t="n">
        <f aca="false">E501*(1+IF(F$3&lt;=$O$2,$D501,$D501-($D501-$I$481)*MIN(F$3-$O$2,$Q$2)/$Q$2))</f>
        <v>6129.65485629766</v>
      </c>
      <c r="G501" s="15" t="n">
        <f aca="false">F501*(1+IF(G$3&lt;=$O$2,$D501,$D501-($D501-$I$481)*MIN(G$3-$O$2,$Q$2)/$Q$2))</f>
        <v>6855.76609541175</v>
      </c>
      <c r="H501" s="15" t="n">
        <f aca="false">G501*(1+IF(H$3&lt;=$O$2,$D501,$D501-($D501-$I$481)*MIN(H$3-$O$2,$Q$2)/$Q$2))</f>
        <v>7667.89156272111</v>
      </c>
      <c r="I501" s="15" t="n">
        <f aca="false">H501*(1+IF(I$3&lt;=$O$2,$D501,$D501-($D501-$I$481)*MIN(I$3-$O$2,$Q$2)/$Q$2))</f>
        <v>8576.22039599622</v>
      </c>
      <c r="J501" s="15" t="n">
        <f aca="false">I501*(1+IF(J$3&lt;=$O$2,$D501,$D501-($D501-$I$481)*MIN(J$3-$O$2,$Q$2)/$Q$2))</f>
        <v>9428.92824665231</v>
      </c>
      <c r="K501" s="15" t="n">
        <f aca="false">J501*(1+IF(K$3&lt;=$O$2,$D501,$D501-($D501-$I$481)*MIN(K$3-$O$2,$Q$2)/$Q$2))</f>
        <v>10186.9692781886</v>
      </c>
      <c r="L501" s="15" t="n">
        <f aca="false">K501*(1+IF(L$3&lt;=$O$2,$D501,$D501-($D501-$I$481)*MIN(L$3-$O$2,$Q$2)/$Q$2))</f>
        <v>10812.077358786</v>
      </c>
      <c r="M501" s="15" t="n">
        <f aca="false">L501*(1+IF(M$3&lt;=$O$2,$D501,$D501-($D501-$I$481)*MIN(M$3-$O$2,$Q$2)/$Q$2))</f>
        <v>11269.7715098994</v>
      </c>
      <c r="N501" s="15" t="n">
        <f aca="false">M501*(1+IF(N$3&lt;=$O$2,$D501,$D501-($D501-$I$481)*MIN(N$3-$O$2,$Q$2)/$Q$2))</f>
        <v>11532.35718608</v>
      </c>
      <c r="O501" s="15" t="n">
        <f aca="false">SUMPRODUCT(E501:N501,1/(1+$F$481)^$E$3:$N$3)*$E$2</f>
        <v>8129.78963310306</v>
      </c>
      <c r="P501" s="15" t="n">
        <f aca="false">N501*$E$2*(1+$I$481)/($F$481-$I$481)/(1+$F$481)^$N$3</f>
        <v>9520.46681008763</v>
      </c>
      <c r="Q501" s="15" t="n">
        <f aca="false">O501+P501</f>
        <v>17650.2564431907</v>
      </c>
      <c r="R501" s="15" t="n">
        <f aca="false">Q501-$G$2+$I$2</f>
        <v>12829.7564431907</v>
      </c>
      <c r="S501" s="42" t="n">
        <f aca="false">R501/$K$2</f>
        <v>66.9611505385736</v>
      </c>
      <c r="T501" s="43" t="n">
        <f aca="false">S501-$M$2</f>
        <v>-0.00127117332623072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0.11845874786377</v>
      </c>
      <c r="C502" s="25" t="n">
        <f aca="false">IF(T501&gt;0,D501,C501)</f>
        <v>0.118461608886719</v>
      </c>
      <c r="D502" s="41" t="n">
        <f aca="false">(B502+C502)/2</f>
        <v>0.118460178375244</v>
      </c>
      <c r="E502" s="15" t="n">
        <f aca="false">$C$2*(1+IF(E$3&lt;=$O$2,$D502,$D502-($D502-$I$481)*MIN(E$3-$O$2,$Q$2)/$Q$2))</f>
        <v>5480.4548740387</v>
      </c>
      <c r="F502" s="15" t="n">
        <f aca="false">E502*(1+IF(F$3&lt;=$O$2,$D502,$D502-($D502-$I$481)*MIN(F$3-$O$2,$Q$2)/$Q$2))</f>
        <v>6129.6705359948</v>
      </c>
      <c r="G502" s="15" t="n">
        <f aca="false">F502*(1+IF(G$3&lt;=$O$2,$D502,$D502-($D502-$I$481)*MIN(G$3-$O$2,$Q$2)/$Q$2))</f>
        <v>6855.79240107022</v>
      </c>
      <c r="H502" s="15" t="n">
        <f aca="false">G502*(1+IF(H$3&lt;=$O$2,$D502,$D502-($D502-$I$481)*MIN(H$3-$O$2,$Q$2)/$Q$2))</f>
        <v>7667.93079180464</v>
      </c>
      <c r="I502" s="15" t="n">
        <f aca="false">H502*(1+IF(I$3&lt;=$O$2,$D502,$D502-($D502-$I$481)*MIN(I$3-$O$2,$Q$2)/$Q$2))</f>
        <v>8576.27524117084</v>
      </c>
      <c r="J502" s="15" t="n">
        <f aca="false">I502*(1+IF(J$3&lt;=$O$2,$D502,$D502-($D502-$I$481)*MIN(J$3-$O$2,$Q$2)/$Q$2))</f>
        <v>9428.99835968613</v>
      </c>
      <c r="K502" s="15" t="n">
        <f aca="false">J502*(1+IF(K$3&lt;=$O$2,$D502,$D502-($D502-$I$481)*MIN(K$3-$O$2,$Q$2)/$Q$2))</f>
        <v>10187.0531209514</v>
      </c>
      <c r="L502" s="15" t="n">
        <f aca="false">K502*(1+IF(L$3&lt;=$O$2,$D502,$D502-($D502-$I$481)*MIN(L$3-$O$2,$Q$2)/$Q$2))</f>
        <v>10812.1721755127</v>
      </c>
      <c r="M502" s="15" t="n">
        <f aca="false">L502*(1+IF(M$3&lt;=$O$2,$D502,$D502-($D502-$I$481)*MIN(M$3-$O$2,$Q$2)/$Q$2))</f>
        <v>11269.8734337713</v>
      </c>
      <c r="N502" s="15" t="n">
        <f aca="false">M502*(1+IF(N$3&lt;=$O$2,$D502,$D502-($D502-$I$481)*MIN(N$3-$O$2,$Q$2)/$Q$2))</f>
        <v>11532.4614847781</v>
      </c>
      <c r="O502" s="15" t="n">
        <f aca="false">SUMPRODUCT(E502:N502,1/(1+$F$481)^$E$3:$N$3)*$E$2</f>
        <v>8129.8394888914</v>
      </c>
      <c r="P502" s="15" t="n">
        <f aca="false">N502*$E$2*(1+$I$481)/($F$481-$I$481)/(1+$F$481)^$N$3</f>
        <v>9520.55291323875</v>
      </c>
      <c r="Q502" s="15" t="n">
        <f aca="false">O502+P502</f>
        <v>17650.3924021302</v>
      </c>
      <c r="R502" s="15" t="n">
        <f aca="false">Q502-$G$2+$I$2</f>
        <v>12829.8924021302</v>
      </c>
      <c r="S502" s="42" t="n">
        <f aca="false">R502/$K$2</f>
        <v>66.9618601363787</v>
      </c>
      <c r="T502" s="43" t="n">
        <f aca="false">S502-$M$2</f>
        <v>-0.00056157552113234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0.118460178375244</v>
      </c>
      <c r="C503" s="25" t="n">
        <f aca="false">IF(T502&gt;0,D502,C502)</f>
        <v>0.118461608886719</v>
      </c>
      <c r="D503" s="41" t="n">
        <f aca="false">(B503+C503)/2</f>
        <v>0.118460893630981</v>
      </c>
      <c r="E503" s="15" t="n">
        <f aca="false">$C$2*(1+IF(E$3&lt;=$O$2,$D503,$D503-($D503-$I$481)*MIN(E$3-$O$2,$Q$2)/$Q$2))</f>
        <v>5480.45837879181</v>
      </c>
      <c r="F503" s="15" t="n">
        <f aca="false">E503*(1+IF(F$3&lt;=$O$2,$D503,$D503-($D503-$I$481)*MIN(F$3-$O$2,$Q$2)/$Q$2))</f>
        <v>6129.67837585089</v>
      </c>
      <c r="G503" s="15" t="n">
        <f aca="false">F503*(1+IF(G$3&lt;=$O$2,$D503,$D503-($D503-$I$481)*MIN(G$3-$O$2,$Q$2)/$Q$2))</f>
        <v>6855.80555392469</v>
      </c>
      <c r="H503" s="15" t="n">
        <f aca="false">G503*(1+IF(H$3&lt;=$O$2,$D503,$D503-($D503-$I$481)*MIN(H$3-$O$2,$Q$2)/$Q$2))</f>
        <v>7667.95040640285</v>
      </c>
      <c r="I503" s="15" t="n">
        <f aca="false">H503*(1+IF(I$3&lt;=$O$2,$D503,$D503-($D503-$I$481)*MIN(I$3-$O$2,$Q$2)/$Q$2))</f>
        <v>8576.30266386338</v>
      </c>
      <c r="J503" s="15" t="n">
        <f aca="false">I503*(1+IF(J$3&lt;=$O$2,$D503,$D503-($D503-$I$481)*MIN(J$3-$O$2,$Q$2)/$Q$2))</f>
        <v>9429.0334163658</v>
      </c>
      <c r="K503" s="15" t="n">
        <f aca="false">J503*(1+IF(K$3&lt;=$O$2,$D503,$D503-($D503-$I$481)*MIN(K$3-$O$2,$Q$2)/$Q$2))</f>
        <v>10187.0950425538</v>
      </c>
      <c r="L503" s="15" t="n">
        <f aca="false">K503*(1+IF(L$3&lt;=$O$2,$D503,$D503-($D503-$I$481)*MIN(L$3-$O$2,$Q$2)/$Q$2))</f>
        <v>10812.2195841465</v>
      </c>
      <c r="M503" s="15" t="n">
        <f aca="false">L503*(1+IF(M$3&lt;=$O$2,$D503,$D503-($D503-$I$481)*MIN(M$3-$O$2,$Q$2)/$Q$2))</f>
        <v>11269.9243960095</v>
      </c>
      <c r="N503" s="15" t="n">
        <f aca="false">M503*(1+IF(N$3&lt;=$O$2,$D503,$D503-($D503-$I$481)*MIN(N$3-$O$2,$Q$2)/$Q$2))</f>
        <v>11532.5136344365</v>
      </c>
      <c r="O503" s="15" t="n">
        <f aca="false">SUMPRODUCT(E503:N503,1/(1+$F$481)^$E$3:$N$3)*$E$2</f>
        <v>8129.86441689935</v>
      </c>
      <c r="P503" s="15" t="n">
        <f aca="false">N503*$E$2*(1+$I$481)/($F$481-$I$481)/(1+$F$481)^$N$3</f>
        <v>9520.5959650697</v>
      </c>
      <c r="Q503" s="15" t="n">
        <f aca="false">O503+P503</f>
        <v>17650.4603819691</v>
      </c>
      <c r="R503" s="15" t="n">
        <f aca="false">Q503-$G$2+$I$2</f>
        <v>12829.9603819691</v>
      </c>
      <c r="S503" s="42" t="n">
        <f aca="false">R503/$K$2</f>
        <v>66.962214937208</v>
      </c>
      <c r="T503" s="43" t="n">
        <f aca="false">S503-$M$2</f>
        <v>-0.000206774691804412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0.118460893630981</v>
      </c>
      <c r="C504" s="25" t="n">
        <f aca="false">IF(T503&gt;0,D503,C503)</f>
        <v>0.118461608886719</v>
      </c>
      <c r="D504" s="41" t="n">
        <f aca="false">(B504+C504)/2</f>
        <v>0.11846125125885</v>
      </c>
      <c r="E504" s="15" t="n">
        <f aca="false">$C$2*(1+IF(E$3&lt;=$O$2,$D504,$D504-($D504-$I$481)*MIN(E$3-$O$2,$Q$2)/$Q$2))</f>
        <v>5480.46013116837</v>
      </c>
      <c r="F504" s="15" t="n">
        <f aca="false">E504*(1+IF(F$3&lt;=$O$2,$D504,$D504-($D504-$I$481)*MIN(F$3-$O$2,$Q$2)/$Q$2))</f>
        <v>6129.68229578081</v>
      </c>
      <c r="G504" s="15" t="n">
        <f aca="false">F504*(1+IF(G$3&lt;=$O$2,$D504,$D504-($D504-$I$481)*MIN(G$3-$O$2,$Q$2)/$Q$2))</f>
        <v>6855.81213035823</v>
      </c>
      <c r="H504" s="15" t="n">
        <f aca="false">G504*(1+IF(H$3&lt;=$O$2,$D504,$D504-($D504-$I$481)*MIN(H$3-$O$2,$Q$2)/$Q$2))</f>
        <v>7667.96021371607</v>
      </c>
      <c r="I504" s="15" t="n">
        <f aca="false">H504*(1+IF(I$3&lt;=$O$2,$D504,$D504-($D504-$I$481)*MIN(I$3-$O$2,$Q$2)/$Q$2))</f>
        <v>8576.31637523595</v>
      </c>
      <c r="J504" s="15" t="n">
        <f aca="false">I504*(1+IF(J$3&lt;=$O$2,$D504,$D504-($D504-$I$481)*MIN(J$3-$O$2,$Q$2)/$Q$2))</f>
        <v>9429.05094474632</v>
      </c>
      <c r="K504" s="15" t="n">
        <f aca="false">J504*(1+IF(K$3&lt;=$O$2,$D504,$D504-($D504-$I$481)*MIN(K$3-$O$2,$Q$2)/$Q$2))</f>
        <v>10187.1160034102</v>
      </c>
      <c r="L504" s="15" t="n">
        <f aca="false">K504*(1+IF(L$3&lt;=$O$2,$D504,$D504-($D504-$I$481)*MIN(L$3-$O$2,$Q$2)/$Q$2))</f>
        <v>10812.2432885311</v>
      </c>
      <c r="M504" s="15" t="n">
        <f aca="false">L504*(1+IF(M$3&lt;=$O$2,$D504,$D504-($D504-$I$481)*MIN(M$3-$O$2,$Q$2)/$Q$2))</f>
        <v>11269.9498772042</v>
      </c>
      <c r="N504" s="15" t="n">
        <f aca="false">M504*(1+IF(N$3&lt;=$O$2,$D504,$D504-($D504-$I$481)*MIN(N$3-$O$2,$Q$2)/$Q$2))</f>
        <v>11532.5397093431</v>
      </c>
      <c r="O504" s="15" t="n">
        <f aca="false">SUMPRODUCT(E504:N504,1/(1+$F$481)^$E$3:$N$3)*$E$2</f>
        <v>8129.87688093177</v>
      </c>
      <c r="P504" s="15" t="n">
        <f aca="false">N504*$E$2*(1+$I$481)/($F$481-$I$481)/(1+$F$481)^$N$3</f>
        <v>9520.61749104903</v>
      </c>
      <c r="Q504" s="15" t="n">
        <f aca="false">O504+P504</f>
        <v>17650.4943719808</v>
      </c>
      <c r="R504" s="15" t="n">
        <f aca="false">Q504-$G$2+$I$2</f>
        <v>12829.9943719808</v>
      </c>
      <c r="S504" s="42" t="n">
        <f aca="false">R504/$K$2</f>
        <v>66.9623923381044</v>
      </c>
      <c r="T504" s="43" t="n">
        <f aca="false">S504-$M$2</f>
        <v>-2.93737954422113E-005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0.11846125125885</v>
      </c>
      <c r="C505" s="25" t="n">
        <f aca="false">IF(T504&gt;0,D504,C504)</f>
        <v>0.118461608886719</v>
      </c>
      <c r="D505" s="41" t="n">
        <f aca="false">(B505+C505)/2</f>
        <v>0.118461430072784</v>
      </c>
      <c r="E505" s="15" t="n">
        <f aca="false">$C$2*(1+IF(E$3&lt;=$O$2,$D505,$D505-($D505-$I$481)*MIN(E$3-$O$2,$Q$2)/$Q$2))</f>
        <v>5480.46100735664</v>
      </c>
      <c r="F505" s="15" t="n">
        <f aca="false">E505*(1+IF(F$3&lt;=$O$2,$D505,$D505-($D505-$I$481)*MIN(F$3-$O$2,$Q$2)/$Q$2))</f>
        <v>6129.68425574624</v>
      </c>
      <c r="G505" s="15" t="n">
        <f aca="false">F505*(1+IF(G$3&lt;=$O$2,$D505,$D505-($D505-$I$481)*MIN(G$3-$O$2,$Q$2)/$Q$2))</f>
        <v>6855.81541857658</v>
      </c>
      <c r="H505" s="15" t="n">
        <f aca="false">G505*(1+IF(H$3&lt;=$O$2,$D505,$D505-($D505-$I$481)*MIN(H$3-$O$2,$Q$2)/$Q$2))</f>
        <v>7667.9651173762</v>
      </c>
      <c r="I505" s="15" t="n">
        <f aca="false">H505*(1+IF(I$3&lt;=$O$2,$D505,$D505-($D505-$I$481)*MIN(I$3-$O$2,$Q$2)/$Q$2))</f>
        <v>8576.32323092881</v>
      </c>
      <c r="J505" s="15" t="n">
        <f aca="false">I505*(1+IF(J$3&lt;=$O$2,$D505,$D505-($D505-$I$481)*MIN(J$3-$O$2,$Q$2)/$Q$2))</f>
        <v>9429.05970894676</v>
      </c>
      <c r="K505" s="15" t="n">
        <f aca="false">J505*(1+IF(K$3&lt;=$O$2,$D505,$D505-($D505-$I$481)*MIN(K$3-$O$2,$Q$2)/$Q$2))</f>
        <v>10187.1264838522</v>
      </c>
      <c r="L505" s="15" t="n">
        <f aca="false">K505*(1+IF(L$3&lt;=$O$2,$D505,$D505-($D505-$I$481)*MIN(L$3-$O$2,$Q$2)/$Q$2))</f>
        <v>10812.2551407403</v>
      </c>
      <c r="M505" s="15" t="n">
        <f aca="false">L505*(1+IF(M$3&lt;=$O$2,$D505,$D505-($D505-$I$481)*MIN(M$3-$O$2,$Q$2)/$Q$2))</f>
        <v>11269.9626178205</v>
      </c>
      <c r="N505" s="15" t="n">
        <f aca="false">M505*(1+IF(N$3&lt;=$O$2,$D505,$D505-($D505-$I$481)*MIN(N$3-$O$2,$Q$2)/$Q$2))</f>
        <v>11532.5527468157</v>
      </c>
      <c r="O505" s="15" t="n">
        <f aca="false">SUMPRODUCT(E505:N505,1/(1+$F$481)^$E$3:$N$3)*$E$2</f>
        <v>8129.88311295509</v>
      </c>
      <c r="P505" s="15" t="n">
        <f aca="false">N505*$E$2*(1+$I$481)/($F$481-$I$481)/(1+$F$481)^$N$3</f>
        <v>9520.62825405465</v>
      </c>
      <c r="Q505" s="15" t="n">
        <f aca="false">O505+P505</f>
        <v>17650.5113670097</v>
      </c>
      <c r="R505" s="15" t="n">
        <f aca="false">Q505-$G$2+$I$2</f>
        <v>12830.0113670097</v>
      </c>
      <c r="S505" s="42" t="n">
        <f aca="false">R505/$K$2</f>
        <v>66.9624810386729</v>
      </c>
      <c r="T505" s="43" t="n">
        <f aca="false">S505-$M$2</f>
        <v>5.93267731403557E-005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0.11846125125885</v>
      </c>
      <c r="C506" s="25" t="n">
        <f aca="false">IF(T505&gt;0,D505,C505)</f>
        <v>0.118461430072784</v>
      </c>
      <c r="D506" s="41" t="n">
        <f aca="false">(B506+C506)/2</f>
        <v>0.118461340665817</v>
      </c>
      <c r="E506" s="15" t="n">
        <f aca="false">$C$2*(1+IF(E$3&lt;=$O$2,$D506,$D506-($D506-$I$481)*MIN(E$3-$O$2,$Q$2)/$Q$2))</f>
        <v>5480.46056926251</v>
      </c>
      <c r="F506" s="15" t="n">
        <f aca="false">E506*(1+IF(F$3&lt;=$O$2,$D506,$D506-($D506-$I$481)*MIN(F$3-$O$2,$Q$2)/$Q$2))</f>
        <v>6129.68327576349</v>
      </c>
      <c r="G506" s="15" t="n">
        <f aca="false">F506*(1+IF(G$3&lt;=$O$2,$D506,$D506-($D506-$I$481)*MIN(G$3-$O$2,$Q$2)/$Q$2))</f>
        <v>6855.81377446727</v>
      </c>
      <c r="H506" s="15" t="n">
        <f aca="false">G506*(1+IF(H$3&lt;=$O$2,$D506,$D506-($D506-$I$481)*MIN(H$3-$O$2,$Q$2)/$Q$2))</f>
        <v>7667.96266554584</v>
      </c>
      <c r="I506" s="15" t="n">
        <f aca="false">H506*(1+IF(I$3&lt;=$O$2,$D506,$D506-($D506-$I$481)*MIN(I$3-$O$2,$Q$2)/$Q$2))</f>
        <v>8576.31980308184</v>
      </c>
      <c r="J506" s="15" t="n">
        <f aca="false">I506*(1+IF(J$3&lt;=$O$2,$D506,$D506-($D506-$I$481)*MIN(J$3-$O$2,$Q$2)/$Q$2))</f>
        <v>9429.0553268457</v>
      </c>
      <c r="K506" s="15" t="n">
        <f aca="false">J506*(1+IF(K$3&lt;=$O$2,$D506,$D506-($D506-$I$481)*MIN(K$3-$O$2,$Q$2)/$Q$2))</f>
        <v>10187.1212436301</v>
      </c>
      <c r="L506" s="15" t="n">
        <f aca="false">K506*(1+IF(L$3&lt;=$O$2,$D506,$D506-($D506-$I$481)*MIN(L$3-$O$2,$Q$2)/$Q$2))</f>
        <v>10812.2492146343</v>
      </c>
      <c r="M506" s="15" t="n">
        <f aca="false">L506*(1+IF(M$3&lt;=$O$2,$D506,$D506-($D506-$I$481)*MIN(M$3-$O$2,$Q$2)/$Q$2))</f>
        <v>11269.9562475108</v>
      </c>
      <c r="N506" s="15" t="n">
        <f aca="false">M506*(1+IF(N$3&lt;=$O$2,$D506,$D506-($D506-$I$481)*MIN(N$3-$O$2,$Q$2)/$Q$2))</f>
        <v>11532.5462280778</v>
      </c>
      <c r="O506" s="15" t="n">
        <f aca="false">SUMPRODUCT(E506:N506,1/(1+$F$481)^$E$3:$N$3)*$E$2</f>
        <v>8129.87999694284</v>
      </c>
      <c r="P506" s="15" t="n">
        <f aca="false">N506*$E$2*(1+$I$481)/($F$481-$I$481)/(1+$F$481)^$N$3</f>
        <v>9520.62287255051</v>
      </c>
      <c r="Q506" s="15" t="n">
        <f aca="false">O506+P506</f>
        <v>17650.5028694933</v>
      </c>
      <c r="R506" s="15" t="n">
        <f aca="false">Q506-$G$2+$I$2</f>
        <v>12830.0028694933</v>
      </c>
      <c r="S506" s="42" t="n">
        <f aca="false">R506/$K$2</f>
        <v>66.9624366883786</v>
      </c>
      <c r="T506" s="43" t="n">
        <f aca="false">S506-$M$2</f>
        <v>1.49764788233142E-005</v>
      </c>
    </row>
    <row r="508" customFormat="false" ht="15" hidden="false" customHeight="false" outlineLevel="0" collapsed="false">
      <c r="A508" s="38" t="s">
        <v>190</v>
      </c>
      <c r="E508" s="5" t="s">
        <v>11</v>
      </c>
      <c r="F508" s="12" t="n">
        <f aca="false">Sensitivity!$B$13</f>
        <v>0.100084897741638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153</v>
      </c>
      <c r="B509" s="28" t="s">
        <v>154</v>
      </c>
      <c r="C509" s="28" t="s">
        <v>155</v>
      </c>
      <c r="D509" s="28" t="s">
        <v>156</v>
      </c>
      <c r="E509" s="28" t="s">
        <v>157</v>
      </c>
      <c r="F509" s="28" t="s">
        <v>158</v>
      </c>
      <c r="G509" s="28" t="s">
        <v>159</v>
      </c>
      <c r="H509" s="28" t="s">
        <v>160</v>
      </c>
      <c r="I509" s="28" t="s">
        <v>161</v>
      </c>
      <c r="J509" s="28" t="s">
        <v>162</v>
      </c>
      <c r="K509" s="28" t="s">
        <v>163</v>
      </c>
      <c r="L509" s="28" t="s">
        <v>164</v>
      </c>
      <c r="M509" s="28" t="s">
        <v>165</v>
      </c>
      <c r="N509" s="28" t="s">
        <v>166</v>
      </c>
      <c r="O509" s="28" t="s">
        <v>167</v>
      </c>
      <c r="P509" s="28" t="s">
        <v>168</v>
      </c>
      <c r="Q509" s="28" t="s">
        <v>169</v>
      </c>
      <c r="R509" s="28" t="s">
        <v>170</v>
      </c>
      <c r="S509" s="28" t="s">
        <v>171</v>
      </c>
      <c r="T509" s="28" t="s">
        <v>172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6125</v>
      </c>
      <c r="F510" s="15" t="n">
        <f aca="false">E510*(1+IF(F$3&lt;=$O$2,$D510,$D510-($D510-$I$508)*MIN(F$3-$O$2,$Q$2)/$Q$2))</f>
        <v>7656.25</v>
      </c>
      <c r="G510" s="15" t="n">
        <f aca="false">F510*(1+IF(G$3&lt;=$O$2,$D510,$D510-($D510-$I$508)*MIN(G$3-$O$2,$Q$2)/$Q$2))</f>
        <v>9570.3125</v>
      </c>
      <c r="H510" s="15" t="n">
        <f aca="false">G510*(1+IF(H$3&lt;=$O$2,$D510,$D510-($D510-$I$508)*MIN(H$3-$O$2,$Q$2)/$Q$2))</f>
        <v>11962.890625</v>
      </c>
      <c r="I510" s="15" t="n">
        <f aca="false">H510*(1+IF(I$3&lt;=$O$2,$D510,$D510-($D510-$I$508)*MIN(I$3-$O$2,$Q$2)/$Q$2))</f>
        <v>14953.61328125</v>
      </c>
      <c r="J510" s="15" t="n">
        <f aca="false">I510*(1+IF(J$3&lt;=$O$2,$D510,$D510-($D510-$I$508)*MIN(J$3-$O$2,$Q$2)/$Q$2))</f>
        <v>18028.9733886719</v>
      </c>
      <c r="K510" s="15" t="n">
        <f aca="false">J510*(1+IF(K$3&lt;=$O$2,$D510,$D510-($D510-$I$508)*MIN(K$3-$O$2,$Q$2)/$Q$2))</f>
        <v>20937.4073757324</v>
      </c>
      <c r="L510" s="15" t="n">
        <f aca="false">K510*(1+IF(L$3&lt;=$O$2,$D510,$D510-($D510-$I$508)*MIN(L$3-$O$2,$Q$2)/$Q$2))</f>
        <v>23386.6652905456</v>
      </c>
      <c r="M510" s="15" t="n">
        <f aca="false">L510*(1+IF(M$3&lt;=$O$2,$D510,$D510-($D510-$I$508)*MIN(M$3-$O$2,$Q$2)/$Q$2))</f>
        <v>25085.4726572508</v>
      </c>
      <c r="N510" s="15" t="n">
        <f aca="false">M510*(1+IF(N$3&lt;=$O$2,$D510,$D510-($D510-$I$508)*MIN(N$3-$O$2,$Q$2)/$Q$2))</f>
        <v>25795.391533451</v>
      </c>
      <c r="O510" s="15" t="n">
        <f aca="false">SUMPRODUCT(E510:N510,1/(1+$F$508)^$E$3:$N$3)*$E$2</f>
        <v>14297.2327091436</v>
      </c>
      <c r="P510" s="15" t="n">
        <f aca="false">N510*$E$2*(1+$I$508)/($F$508-$I$508)/(1+$F$508)^$N$3</f>
        <v>22889.7931595572</v>
      </c>
      <c r="Q510" s="15" t="n">
        <f aca="false">O510+P510</f>
        <v>37187.0258687008</v>
      </c>
      <c r="R510" s="15" t="n">
        <f aca="false">Q510-$G$2+$I$2</f>
        <v>32366.5258687008</v>
      </c>
      <c r="S510" s="42" t="n">
        <f aca="false">R510/$K$2</f>
        <v>168.927588041236</v>
      </c>
      <c r="T510" s="43" t="n">
        <f aca="false">S510-$M$2</f>
        <v>101.965166329336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4287.5</v>
      </c>
      <c r="F511" s="15" t="n">
        <f aca="false">E511*(1+IF(F$3&lt;=$O$2,$D511,$D511-($D511-$I$508)*MIN(F$3-$O$2,$Q$2)/$Q$2))</f>
        <v>3751.5625</v>
      </c>
      <c r="G511" s="15" t="n">
        <f aca="false">F511*(1+IF(G$3&lt;=$O$2,$D511,$D511-($D511-$I$508)*MIN(G$3-$O$2,$Q$2)/$Q$2))</f>
        <v>3282.6171875</v>
      </c>
      <c r="H511" s="15" t="n">
        <f aca="false">G511*(1+IF(H$3&lt;=$O$2,$D511,$D511-($D511-$I$508)*MIN(H$3-$O$2,$Q$2)/$Q$2))</f>
        <v>2872.2900390625</v>
      </c>
      <c r="I511" s="15" t="n">
        <f aca="false">H511*(1+IF(I$3&lt;=$O$2,$D511,$D511-($D511-$I$508)*MIN(I$3-$O$2,$Q$2)/$Q$2))</f>
        <v>2513.25378417969</v>
      </c>
      <c r="J511" s="15" t="n">
        <f aca="false">I511*(1+IF(J$3&lt;=$O$2,$D511,$D511-($D511-$I$508)*MIN(J$3-$O$2,$Q$2)/$Q$2))</f>
        <v>2276.15342218018</v>
      </c>
      <c r="K511" s="15" t="n">
        <f aca="false">J511*(1+IF(K$3&lt;=$O$2,$D511,$D511-($D511-$I$508)*MIN(K$3-$O$2,$Q$2)/$Q$2))</f>
        <v>2131.20797225574</v>
      </c>
      <c r="L511" s="15" t="n">
        <f aca="false">K511*(1+IF(L$3&lt;=$O$2,$D511,$D511-($D511-$I$508)*MIN(L$3-$O$2,$Q$2)/$Q$2))</f>
        <v>2060.83548501186</v>
      </c>
      <c r="M511" s="15" t="n">
        <f aca="false">L511*(1+IF(M$3&lt;=$O$2,$D511,$D511-($D511-$I$508)*MIN(M$3-$O$2,$Q$2)/$Q$2))</f>
        <v>2055.97191326723</v>
      </c>
      <c r="N511" s="15" t="n">
        <f aca="false">M511*(1+IF(N$3&lt;=$O$2,$D511,$D511-($D511-$I$508)*MIN(N$3-$O$2,$Q$2)/$Q$2))</f>
        <v>2114.15591841269</v>
      </c>
      <c r="O511" s="15" t="n">
        <f aca="false">SUMPRODUCT(E511:N511,1/(1+$F$508)^$E$3:$N$3)*$E$2</f>
        <v>2895.63668622063</v>
      </c>
      <c r="P511" s="15" t="n">
        <f aca="false">N511*$E$2*(1+$I$508)/($F$508-$I$508)/(1+$F$508)^$N$3</f>
        <v>1876.01694732043</v>
      </c>
      <c r="Q511" s="15" t="n">
        <f aca="false">O511+P511</f>
        <v>4771.65363354107</v>
      </c>
      <c r="R511" s="15" t="n">
        <f aca="false">Q511-$G$2+$I$2</f>
        <v>-48.8463664589335</v>
      </c>
      <c r="S511" s="42" t="n">
        <f aca="false">R511/$K$2</f>
        <v>-0.254939282144747</v>
      </c>
      <c r="T511" s="43" t="n">
        <f aca="false">S511-$M$2</f>
        <v>-67.2173609940445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5206.25</v>
      </c>
      <c r="F512" s="15" t="n">
        <f aca="false">E512*(1+IF(F$3&lt;=$O$2,$D512,$D512-($D512-$I$508)*MIN(F$3-$O$2,$Q$2)/$Q$2))</f>
        <v>5531.640625</v>
      </c>
      <c r="G512" s="15" t="n">
        <f aca="false">F512*(1+IF(G$3&lt;=$O$2,$D512,$D512-($D512-$I$508)*MIN(G$3-$O$2,$Q$2)/$Q$2))</f>
        <v>5877.3681640625</v>
      </c>
      <c r="H512" s="15" t="n">
        <f aca="false">G512*(1+IF(H$3&lt;=$O$2,$D512,$D512-($D512-$I$508)*MIN(H$3-$O$2,$Q$2)/$Q$2))</f>
        <v>6244.70367431641</v>
      </c>
      <c r="I512" s="15" t="n">
        <f aca="false">H512*(1+IF(I$3&lt;=$O$2,$D512,$D512-($D512-$I$508)*MIN(I$3-$O$2,$Q$2)/$Q$2))</f>
        <v>6634.99765396118</v>
      </c>
      <c r="J512" s="15" t="n">
        <f aca="false">I512*(1+IF(J$3&lt;=$O$2,$D512,$D512-($D512-$I$508)*MIN(J$3-$O$2,$Q$2)/$Q$2))</f>
        <v>7004.30162338066</v>
      </c>
      <c r="K512" s="15" t="n">
        <f aca="false">J512*(1+IF(K$3&lt;=$O$2,$D512,$D512-($D512-$I$508)*MIN(K$3-$O$2,$Q$2)/$Q$2))</f>
        <v>7346.25162863411</v>
      </c>
      <c r="L512" s="15" t="n">
        <f aca="false">K512*(1+IF(L$3&lt;=$O$2,$D512,$D512-($D512-$I$508)*MIN(L$3-$O$2,$Q$2)/$Q$2))</f>
        <v>7654.64727200416</v>
      </c>
      <c r="M512" s="15" t="n">
        <f aca="false">L512*(1+IF(M$3&lt;=$O$2,$D512,$D512-($D512-$I$508)*MIN(M$3-$O$2,$Q$2)/$Q$2))</f>
        <v>7923.63157714239</v>
      </c>
      <c r="N512" s="15" t="n">
        <f aca="false">M512*(1+IF(N$3&lt;=$O$2,$D512,$D512-($D512-$I$508)*MIN(N$3-$O$2,$Q$2)/$Q$2))</f>
        <v>8147.87035077552</v>
      </c>
      <c r="O512" s="15" t="n">
        <f aca="false">SUMPRODUCT(E512:N512,1/(1+$F$508)^$E$3:$N$3)*$E$2</f>
        <v>6413.46542689761</v>
      </c>
      <c r="P512" s="15" t="n">
        <f aca="false">N512*$E$2*(1+$I$508)/($F$508-$I$508)/(1+$F$508)^$N$3</f>
        <v>7230.09250618609</v>
      </c>
      <c r="Q512" s="15" t="n">
        <f aca="false">O512+P512</f>
        <v>13643.5579330837</v>
      </c>
      <c r="R512" s="15" t="n">
        <f aca="false">Q512-$G$2+$I$2</f>
        <v>8823.0579330837</v>
      </c>
      <c r="S512" s="42" t="n">
        <f aca="false">R512/$K$2</f>
        <v>46.049362907535</v>
      </c>
      <c r="T512" s="43" t="n">
        <f aca="false">S512-$M$2</f>
        <v>-20.9130588043648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5665.625</v>
      </c>
      <c r="F513" s="15" t="n">
        <f aca="false">E513*(1+IF(F$3&lt;=$O$2,$D513,$D513-($D513-$I$508)*MIN(F$3-$O$2,$Q$2)/$Q$2))</f>
        <v>6550.87890625</v>
      </c>
      <c r="G513" s="15" t="n">
        <f aca="false">F513*(1+IF(G$3&lt;=$O$2,$D513,$D513-($D513-$I$508)*MIN(G$3-$O$2,$Q$2)/$Q$2))</f>
        <v>7574.45373535156</v>
      </c>
      <c r="H513" s="15" t="n">
        <f aca="false">G513*(1+IF(H$3&lt;=$O$2,$D513,$D513-($D513-$I$508)*MIN(H$3-$O$2,$Q$2)/$Q$2))</f>
        <v>8757.96213150024</v>
      </c>
      <c r="I513" s="15" t="n">
        <f aca="false">H513*(1+IF(I$3&lt;=$O$2,$D513,$D513-($D513-$I$508)*MIN(I$3-$O$2,$Q$2)/$Q$2))</f>
        <v>10126.3937145472</v>
      </c>
      <c r="J513" s="15" t="n">
        <f aca="false">I513*(1+IF(J$3&lt;=$O$2,$D513,$D513-($D513-$I$508)*MIN(J$3-$O$2,$Q$2)/$Q$2))</f>
        <v>11449.5083172899</v>
      </c>
      <c r="K513" s="15" t="n">
        <f aca="false">J513*(1+IF(K$3&lt;=$O$2,$D513,$D513-($D513-$I$508)*MIN(K$3-$O$2,$Q$2)/$Q$2))</f>
        <v>12652.5081561875</v>
      </c>
      <c r="L513" s="15" t="n">
        <f aca="false">K513*(1+IF(L$3&lt;=$O$2,$D513,$D513-($D513-$I$508)*MIN(L$3-$O$2,$Q$2)/$Q$2))</f>
        <v>13658.1295044413</v>
      </c>
      <c r="M513" s="15" t="n">
        <f aca="false">L513*(1+IF(M$3&lt;=$O$2,$D513,$D513-($D513-$I$508)*MIN(M$3-$O$2,$Q$2)/$Q$2))</f>
        <v>14394.1661034357</v>
      </c>
      <c r="N513" s="15" t="n">
        <f aca="false">M513*(1+IF(N$3&lt;=$O$2,$D513,$D513-($D513-$I$508)*MIN(N$3-$O$2,$Q$2)/$Q$2))</f>
        <v>14801.5210041629</v>
      </c>
      <c r="O513" s="15" t="n">
        <f aca="false">SUMPRODUCT(E513:N513,1/(1+$F$508)^$E$3:$N$3)*$E$2</f>
        <v>9589.44799886025</v>
      </c>
      <c r="P513" s="15" t="n">
        <f aca="false">N513*$E$2*(1+$I$508)/($F$508-$I$508)/(1+$F$508)^$N$3</f>
        <v>13134.2745386429</v>
      </c>
      <c r="Q513" s="15" t="n">
        <f aca="false">O513+P513</f>
        <v>22723.7225375031</v>
      </c>
      <c r="R513" s="15" t="n">
        <f aca="false">Q513-$G$2+$I$2</f>
        <v>17903.2225375031</v>
      </c>
      <c r="S513" s="42" t="n">
        <f aca="false">R513/$K$2</f>
        <v>93.4406186717282</v>
      </c>
      <c r="T513" s="43" t="n">
        <f aca="false">S513-$M$2</f>
        <v>26.4781969598284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5435.9375</v>
      </c>
      <c r="F514" s="15" t="n">
        <f aca="false">E514*(1+IF(F$3&lt;=$O$2,$D514,$D514-($D514-$I$508)*MIN(F$3-$O$2,$Q$2)/$Q$2))</f>
        <v>6030.4931640625</v>
      </c>
      <c r="G514" s="15" t="n">
        <f aca="false">F514*(1+IF(G$3&lt;=$O$2,$D514,$D514-($D514-$I$508)*MIN(G$3-$O$2,$Q$2)/$Q$2))</f>
        <v>6690.07835388184</v>
      </c>
      <c r="H514" s="15" t="n">
        <f aca="false">G514*(1+IF(H$3&lt;=$O$2,$D514,$D514-($D514-$I$508)*MIN(H$3-$O$2,$Q$2)/$Q$2))</f>
        <v>7421.80567383766</v>
      </c>
      <c r="I514" s="15" t="n">
        <f aca="false">H514*(1+IF(I$3&lt;=$O$2,$D514,$D514-($D514-$I$508)*MIN(I$3-$O$2,$Q$2)/$Q$2))</f>
        <v>8233.56566941366</v>
      </c>
      <c r="J514" s="15" t="n">
        <f aca="false">I514*(1+IF(J$3&lt;=$O$2,$D514,$D514-($D514-$I$508)*MIN(J$3-$O$2,$Q$2)/$Q$2))</f>
        <v>9000.60464717623</v>
      </c>
      <c r="K514" s="15" t="n">
        <f aca="false">J514*(1+IF(K$3&lt;=$O$2,$D514,$D514-($D514-$I$508)*MIN(K$3-$O$2,$Q$2)/$Q$2))</f>
        <v>9693.15617175321</v>
      </c>
      <c r="L514" s="15" t="n">
        <f aca="false">K514*(1+IF(L$3&lt;=$O$2,$D514,$D514-($D514-$I$508)*MIN(L$3-$O$2,$Q$2)/$Q$2))</f>
        <v>10281.8215460638</v>
      </c>
      <c r="M514" s="15" t="n">
        <f aca="false">L514*(1+IF(M$3&lt;=$O$2,$D514,$D514-($D514-$I$508)*MIN(M$3-$O$2,$Q$2)/$Q$2))</f>
        <v>10739.5168321868</v>
      </c>
      <c r="N514" s="15" t="n">
        <f aca="false">M514*(1+IF(N$3&lt;=$O$2,$D514,$D514-($D514-$I$508)*MIN(N$3-$O$2,$Q$2)/$Q$2))</f>
        <v>11043.4451585377</v>
      </c>
      <c r="O514" s="15" t="n">
        <f aca="false">SUMPRODUCT(E514:N514,1/(1+$F$508)^$E$3:$N$3)*$E$2</f>
        <v>7843.1249379411</v>
      </c>
      <c r="P514" s="15" t="n">
        <f aca="false">N514*$E$2*(1+$I$508)/($F$508-$I$508)/(1+$F$508)^$N$3</f>
        <v>9799.50915340973</v>
      </c>
      <c r="Q514" s="15" t="n">
        <f aca="false">O514+P514</f>
        <v>17642.6340913508</v>
      </c>
      <c r="R514" s="15" t="n">
        <f aca="false">Q514-$G$2+$I$2</f>
        <v>12822.1340913508</v>
      </c>
      <c r="S514" s="42" t="n">
        <f aca="false">R514/$K$2</f>
        <v>66.9213679089291</v>
      </c>
      <c r="T514" s="43" t="n">
        <f aca="false">S514-$M$2</f>
        <v>-0.04105380297068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0.109375</v>
      </c>
      <c r="C515" s="25" t="n">
        <f aca="false">IF(T514&gt;0,D514,C514)</f>
        <v>0.15625</v>
      </c>
      <c r="D515" s="41" t="n">
        <f aca="false">(B515+C515)/2</f>
        <v>0.1328125</v>
      </c>
      <c r="E515" s="15" t="n">
        <f aca="false">$C$2*(1+IF(E$3&lt;=$O$2,$D515,$D515-($D515-$I$508)*MIN(E$3-$O$2,$Q$2)/$Q$2))</f>
        <v>5550.78125</v>
      </c>
      <c r="F515" s="15" t="n">
        <f aca="false">E515*(1+IF(F$3&lt;=$O$2,$D515,$D515-($D515-$I$508)*MIN(F$3-$O$2,$Q$2)/$Q$2))</f>
        <v>6287.99438476563</v>
      </c>
      <c r="G515" s="15" t="n">
        <f aca="false">F515*(1+IF(G$3&lt;=$O$2,$D515,$D515-($D515-$I$508)*MIN(G$3-$O$2,$Q$2)/$Q$2))</f>
        <v>7123.11863899231</v>
      </c>
      <c r="H515" s="15" t="n">
        <f aca="false">G515*(1+IF(H$3&lt;=$O$2,$D515,$D515-($D515-$I$508)*MIN(H$3-$O$2,$Q$2)/$Q$2))</f>
        <v>8069.15783323348</v>
      </c>
      <c r="I515" s="15" t="n">
        <f aca="false">H515*(1+IF(I$3&lt;=$O$2,$D515,$D515-($D515-$I$508)*MIN(I$3-$O$2,$Q$2)/$Q$2))</f>
        <v>9140.8428579598</v>
      </c>
      <c r="J515" s="15" t="n">
        <f aca="false">I515*(1+IF(J$3&lt;=$O$2,$D515,$D515-($D515-$I$508)*MIN(J$3-$O$2,$Q$2)/$Q$2))</f>
        <v>10163.7945821941</v>
      </c>
      <c r="K515" s="15" t="n">
        <f aca="false">J515*(1+IF(K$3&lt;=$O$2,$D515,$D515-($D515-$I$508)*MIN(K$3-$O$2,$Q$2)/$Q$2))</f>
        <v>11088.7761176331</v>
      </c>
      <c r="L515" s="15" t="n">
        <f aca="false">K515*(1+IF(L$3&lt;=$O$2,$D515,$D515-($D515-$I$508)*MIN(L$3-$O$2,$Q$2)/$Q$2))</f>
        <v>11866.1547673598</v>
      </c>
      <c r="M515" s="15" t="n">
        <f aca="false">L515*(1+IF(M$3&lt;=$O$2,$D515,$D515-($D515-$I$508)*MIN(M$3-$O$2,$Q$2)/$Q$2))</f>
        <v>12449.9992473008</v>
      </c>
      <c r="N515" s="15" t="n">
        <f aca="false">M515*(1+IF(N$3&lt;=$O$2,$D515,$D515-($D515-$I$508)*MIN(N$3-$O$2,$Q$2)/$Q$2))</f>
        <v>12802.3342259994</v>
      </c>
      <c r="O515" s="15" t="n">
        <f aca="false">SUMPRODUCT(E515:N515,1/(1+$F$508)^$E$3:$N$3)*$E$2</f>
        <v>8672.96448272283</v>
      </c>
      <c r="P515" s="15" t="n">
        <f aca="false">N515*$E$2*(1+$I$508)/($F$508-$I$508)/(1+$F$508)^$N$3</f>
        <v>11360.2765832274</v>
      </c>
      <c r="Q515" s="15" t="n">
        <f aca="false">O515+P515</f>
        <v>20033.2410659502</v>
      </c>
      <c r="R515" s="15" t="n">
        <f aca="false">Q515-$G$2+$I$2</f>
        <v>15212.7410659502</v>
      </c>
      <c r="S515" s="42" t="n">
        <f aca="false">R515/$K$2</f>
        <v>79.3984398014104</v>
      </c>
      <c r="T515" s="43" t="n">
        <f aca="false">S515-$M$2</f>
        <v>12.4360180895106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0.109375</v>
      </c>
      <c r="C516" s="25" t="n">
        <f aca="false">IF(T515&gt;0,D515,C515)</f>
        <v>0.1328125</v>
      </c>
      <c r="D516" s="41" t="n">
        <f aca="false">(B516+C516)/2</f>
        <v>0.12109375</v>
      </c>
      <c r="E516" s="15" t="n">
        <f aca="false">$C$2*(1+IF(E$3&lt;=$O$2,$D516,$D516-($D516-$I$508)*MIN(E$3-$O$2,$Q$2)/$Q$2))</f>
        <v>5493.359375</v>
      </c>
      <c r="F516" s="15" t="n">
        <f aca="false">E516*(1+IF(F$3&lt;=$O$2,$D516,$D516-($D516-$I$508)*MIN(F$3-$O$2,$Q$2)/$Q$2))</f>
        <v>6158.57086181641</v>
      </c>
      <c r="G516" s="15" t="n">
        <f aca="false">F516*(1+IF(G$3&lt;=$O$2,$D516,$D516-($D516-$I$508)*MIN(G$3-$O$2,$Q$2)/$Q$2))</f>
        <v>6904.33530211449</v>
      </c>
      <c r="H516" s="15" t="n">
        <f aca="false">G516*(1+IF(H$3&lt;=$O$2,$D516,$D516-($D516-$I$508)*MIN(H$3-$O$2,$Q$2)/$Q$2))</f>
        <v>7740.40715510491</v>
      </c>
      <c r="I516" s="15" t="n">
        <f aca="false">H516*(1+IF(I$3&lt;=$O$2,$D516,$D516-($D516-$I$508)*MIN(I$3-$O$2,$Q$2)/$Q$2))</f>
        <v>8677.7220840434</v>
      </c>
      <c r="J516" s="15" t="n">
        <f aca="false">I516*(1+IF(J$3&lt;=$O$2,$D516,$D516-($D516-$I$508)*MIN(J$3-$O$2,$Q$2)/$Q$2))</f>
        <v>9567.49231793079</v>
      </c>
      <c r="K516" s="15" t="n">
        <f aca="false">J516*(1+IF(K$3&lt;=$O$2,$D516,$D516-($D516-$I$508)*MIN(K$3-$O$2,$Q$2)/$Q$2))</f>
        <v>10370.9344446944</v>
      </c>
      <c r="L516" s="15" t="n">
        <f aca="false">K516*(1+IF(L$3&lt;=$O$2,$D516,$D516-($D516-$I$508)*MIN(L$3-$O$2,$Q$2)/$Q$2))</f>
        <v>11049.3750487302</v>
      </c>
      <c r="M516" s="15" t="n">
        <f aca="false">L516*(1+IF(M$3&lt;=$O$2,$D516,$D516-($D516-$I$508)*MIN(M$3-$O$2,$Q$2)/$Q$2))</f>
        <v>11567.1349517949</v>
      </c>
      <c r="N516" s="15" t="n">
        <f aca="false">M516*(1+IF(N$3&lt;=$O$2,$D516,$D516-($D516-$I$508)*MIN(N$3-$O$2,$Q$2)/$Q$2))</f>
        <v>11894.4848709307</v>
      </c>
      <c r="O516" s="15" t="n">
        <f aca="false">SUMPRODUCT(E516:N516,1/(1+$F$508)^$E$3:$N$3)*$E$2</f>
        <v>8247.70504978846</v>
      </c>
      <c r="P516" s="15" t="n">
        <f aca="false">N516*$E$2*(1+$I$508)/($F$508-$I$508)/(1+$F$508)^$N$3</f>
        <v>10554.6875720813</v>
      </c>
      <c r="Q516" s="15" t="n">
        <f aca="false">O516+P516</f>
        <v>18802.3926218697</v>
      </c>
      <c r="R516" s="15" t="n">
        <f aca="false">Q516-$G$2+$I$2</f>
        <v>13981.8926218697</v>
      </c>
      <c r="S516" s="42" t="n">
        <f aca="false">R516/$K$2</f>
        <v>72.9743873792783</v>
      </c>
      <c r="T516" s="43" t="n">
        <f aca="false">S516-$M$2</f>
        <v>6.01196566737855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0.109375</v>
      </c>
      <c r="C517" s="25" t="n">
        <f aca="false">IF(T516&gt;0,D516,C516)</f>
        <v>0.12109375</v>
      </c>
      <c r="D517" s="41" t="n">
        <f aca="false">(B517+C517)/2</f>
        <v>0.115234375</v>
      </c>
      <c r="E517" s="15" t="n">
        <f aca="false">$C$2*(1+IF(E$3&lt;=$O$2,$D517,$D517-($D517-$I$508)*MIN(E$3-$O$2,$Q$2)/$Q$2))</f>
        <v>5464.6484375</v>
      </c>
      <c r="F517" s="15" t="n">
        <f aca="false">E517*(1+IF(F$3&lt;=$O$2,$D517,$D517-($D517-$I$508)*MIN(F$3-$O$2,$Q$2)/$Q$2))</f>
        <v>6094.36378479004</v>
      </c>
      <c r="G517" s="15" t="n">
        <f aca="false">F517*(1+IF(G$3&lt;=$O$2,$D517,$D517-($D517-$I$508)*MIN(G$3-$O$2,$Q$2)/$Q$2))</f>
        <v>6796.64398655295</v>
      </c>
      <c r="H517" s="15" t="n">
        <f aca="false">G517*(1+IF(H$3&lt;=$O$2,$D517,$D517-($D517-$I$508)*MIN(H$3-$O$2,$Q$2)/$Q$2))</f>
        <v>7579.85100844089</v>
      </c>
      <c r="I517" s="15" t="n">
        <f aca="false">H517*(1+IF(I$3&lt;=$O$2,$D517,$D517-($D517-$I$508)*MIN(I$3-$O$2,$Q$2)/$Q$2))</f>
        <v>8453.3104019917</v>
      </c>
      <c r="J517" s="15" t="n">
        <f aca="false">I517*(1+IF(J$3&lt;=$O$2,$D517,$D517-($D517-$I$508)*MIN(J$3-$O$2,$Q$2)/$Q$2))</f>
        <v>9280.44569155058</v>
      </c>
      <c r="K517" s="15" t="n">
        <f aca="false">J517*(1+IF(K$3&lt;=$O$2,$D517,$D517-($D517-$I$508)*MIN(K$3-$O$2,$Q$2)/$Q$2))</f>
        <v>10027.1561521713</v>
      </c>
      <c r="L517" s="15" t="n">
        <f aca="false">K517*(1+IF(L$3&lt;=$O$2,$D517,$D517-($D517-$I$508)*MIN(L$3-$O$2,$Q$2)/$Q$2))</f>
        <v>10659.6064925243</v>
      </c>
      <c r="M517" s="15" t="n">
        <f aca="false">L517*(1+IF(M$3&lt;=$O$2,$D517,$D517-($D517-$I$508)*MIN(M$3-$O$2,$Q$2)/$Q$2))</f>
        <v>11146.6106018975</v>
      </c>
      <c r="N517" s="15" t="n">
        <f aca="false">M517*(1+IF(N$3&lt;=$O$2,$D517,$D517-($D517-$I$508)*MIN(N$3-$O$2,$Q$2)/$Q$2))</f>
        <v>11462.0596819312</v>
      </c>
      <c r="O517" s="15" t="n">
        <f aca="false">SUMPRODUCT(E517:N517,1/(1+$F$508)^$E$3:$N$3)*$E$2</f>
        <v>8042.88931994808</v>
      </c>
      <c r="P517" s="15" t="n">
        <f aca="false">N517*$E$2*(1+$I$508)/($F$508-$I$508)/(1+$F$508)^$N$3</f>
        <v>10170.9708480941</v>
      </c>
      <c r="Q517" s="15" t="n">
        <f aca="false">O517+P517</f>
        <v>18213.8601680422</v>
      </c>
      <c r="R517" s="15" t="n">
        <f aca="false">Q517-$G$2+$I$2</f>
        <v>13393.3601680422</v>
      </c>
      <c r="S517" s="42" t="n">
        <f aca="false">R517/$K$2</f>
        <v>69.9027148645208</v>
      </c>
      <c r="T517" s="43" t="n">
        <f aca="false">S517-$M$2</f>
        <v>2.94029315262102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0.109375</v>
      </c>
      <c r="C518" s="25" t="n">
        <f aca="false">IF(T517&gt;0,D517,C517)</f>
        <v>0.115234375</v>
      </c>
      <c r="D518" s="41" t="n">
        <f aca="false">(B518+C518)/2</f>
        <v>0.1123046875</v>
      </c>
      <c r="E518" s="15" t="n">
        <f aca="false">$C$2*(1+IF(E$3&lt;=$O$2,$D518,$D518-($D518-$I$508)*MIN(E$3-$O$2,$Q$2)/$Q$2))</f>
        <v>5450.29296875</v>
      </c>
      <c r="F518" s="15" t="n">
        <f aca="false">E518*(1+IF(F$3&lt;=$O$2,$D518,$D518-($D518-$I$508)*MIN(F$3-$O$2,$Q$2)/$Q$2))</f>
        <v>6062.38641738892</v>
      </c>
      <c r="G518" s="15" t="n">
        <f aca="false">F518*(1+IF(G$3&lt;=$O$2,$D518,$D518-($D518-$I$508)*MIN(G$3-$O$2,$Q$2)/$Q$2))</f>
        <v>6743.22082949802</v>
      </c>
      <c r="H518" s="15" t="n">
        <f aca="false">G518*(1+IF(H$3&lt;=$O$2,$D518,$D518-($D518-$I$508)*MIN(H$3-$O$2,$Q$2)/$Q$2))</f>
        <v>7500.51613749829</v>
      </c>
      <c r="I518" s="15" t="n">
        <f aca="false">H518*(1+IF(I$3&lt;=$O$2,$D518,$D518-($D518-$I$508)*MIN(I$3-$O$2,$Q$2)/$Q$2))</f>
        <v>8342.85925840874</v>
      </c>
      <c r="J518" s="15" t="n">
        <f aca="false">I518*(1+IF(J$3&lt;=$O$2,$D518,$D518-($D518-$I$508)*MIN(J$3-$O$2,$Q$2)/$Q$2))</f>
        <v>9139.633603309</v>
      </c>
      <c r="K518" s="15" t="n">
        <f aca="false">J518*(1+IF(K$3&lt;=$O$2,$D518,$D518-($D518-$I$508)*MIN(K$3-$O$2,$Q$2)/$Q$2))</f>
        <v>9858.94847310892</v>
      </c>
      <c r="L518" s="15" t="n">
        <f aca="false">K518*(1+IF(L$3&lt;=$O$2,$D518,$D518-($D518-$I$508)*MIN(L$3-$O$2,$Q$2)/$Q$2))</f>
        <v>10469.2358691228</v>
      </c>
      <c r="M518" s="15" t="n">
        <f aca="false">L518*(1+IF(M$3&lt;=$O$2,$D518,$D518-($D518-$I$508)*MIN(M$3-$O$2,$Q$2)/$Q$2))</f>
        <v>10941.4082217288</v>
      </c>
      <c r="N518" s="15" t="n">
        <f aca="false">M518*(1+IF(N$3&lt;=$O$2,$D518,$D518-($D518-$I$508)*MIN(N$3-$O$2,$Q$2)/$Q$2))</f>
        <v>11251.0500744037</v>
      </c>
      <c r="O518" s="15" t="n">
        <f aca="false">SUMPRODUCT(E518:N518,1/(1+$F$508)^$E$3:$N$3)*$E$2</f>
        <v>7942.38298676825</v>
      </c>
      <c r="P518" s="15" t="n">
        <f aca="false">N518*$E$2*(1+$I$508)/($F$508-$I$508)/(1+$F$508)^$N$3</f>
        <v>9983.72940751669</v>
      </c>
      <c r="Q518" s="15" t="n">
        <f aca="false">O518+P518</f>
        <v>17926.1123942849</v>
      </c>
      <c r="R518" s="15" t="n">
        <f aca="false">Q518-$G$2+$I$2</f>
        <v>13105.6123942849</v>
      </c>
      <c r="S518" s="42" t="n">
        <f aca="false">R518/$K$2</f>
        <v>68.4008997614037</v>
      </c>
      <c r="T518" s="43" t="n">
        <f aca="false">S518-$M$2</f>
        <v>1.43847804950389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0.109375</v>
      </c>
      <c r="C519" s="25" t="n">
        <f aca="false">IF(T518&gt;0,D518,C518)</f>
        <v>0.1123046875</v>
      </c>
      <c r="D519" s="41" t="n">
        <f aca="false">(B519+C519)/2</f>
        <v>0.11083984375</v>
      </c>
      <c r="E519" s="15" t="n">
        <f aca="false">$C$2*(1+IF(E$3&lt;=$O$2,$D519,$D519-($D519-$I$508)*MIN(E$3-$O$2,$Q$2)/$Q$2))</f>
        <v>5443.115234375</v>
      </c>
      <c r="F519" s="15" t="n">
        <f aca="false">E519*(1+IF(F$3&lt;=$O$2,$D519,$D519-($D519-$I$508)*MIN(F$3-$O$2,$Q$2)/$Q$2))</f>
        <v>6046.42927646637</v>
      </c>
      <c r="G519" s="15" t="n">
        <f aca="false">F519*(1+IF(G$3&lt;=$O$2,$D519,$D519-($D519-$I$508)*MIN(G$3-$O$2,$Q$2)/$Q$2))</f>
        <v>6716.61455271533</v>
      </c>
      <c r="H519" s="15" t="n">
        <f aca="false">G519*(1+IF(H$3&lt;=$O$2,$D519,$D519-($D519-$I$508)*MIN(H$3-$O$2,$Q$2)/$Q$2))</f>
        <v>7461.08306026727</v>
      </c>
      <c r="I519" s="15" t="n">
        <f aca="false">H519*(1+IF(I$3&lt;=$O$2,$D519,$D519-($D519-$I$508)*MIN(I$3-$O$2,$Q$2)/$Q$2))</f>
        <v>8288.06834087307</v>
      </c>
      <c r="J519" s="15" t="n">
        <f aca="false">I519*(1+IF(J$3&lt;=$O$2,$D519,$D519-($D519-$I$508)*MIN(J$3-$O$2,$Q$2)/$Q$2))</f>
        <v>9069.89736759576</v>
      </c>
      <c r="K519" s="15" t="n">
        <f aca="false">J519*(1+IF(K$3&lt;=$O$2,$D519,$D519-($D519-$I$508)*MIN(K$3-$O$2,$Q$2)/$Q$2))</f>
        <v>9775.75221002865</v>
      </c>
      <c r="L519" s="15" t="n">
        <f aca="false">K519*(1+IF(L$3&lt;=$O$2,$D519,$D519-($D519-$I$508)*MIN(L$3-$O$2,$Q$2)/$Q$2))</f>
        <v>10375.1616215543</v>
      </c>
      <c r="M519" s="15" t="n">
        <f aca="false">L519*(1+IF(M$3&lt;=$O$2,$D519,$D519-($D519-$I$508)*MIN(M$3-$O$2,$Q$2)/$Q$2))</f>
        <v>10840.0515392691</v>
      </c>
      <c r="N519" s="15" t="n">
        <f aca="false">M519*(1+IF(N$3&lt;=$O$2,$D519,$D519-($D519-$I$508)*MIN(N$3-$O$2,$Q$2)/$Q$2))</f>
        <v>11146.8249978304</v>
      </c>
      <c r="O519" s="15" t="n">
        <f aca="false">SUMPRODUCT(E519:N519,1/(1+$F$508)^$E$3:$N$3)*$E$2</f>
        <v>7892.5988283946</v>
      </c>
      <c r="P519" s="15" t="n">
        <f aca="false">N519*$E$2*(1+$I$508)/($F$508-$I$508)/(1+$F$508)^$N$3</f>
        <v>9891.24426567616</v>
      </c>
      <c r="Q519" s="15" t="n">
        <f aca="false">O519+P519</f>
        <v>17783.8430940708</v>
      </c>
      <c r="R519" s="15" t="n">
        <f aca="false">Q519-$G$2+$I$2</f>
        <v>12963.3430940708</v>
      </c>
      <c r="S519" s="42" t="n">
        <f aca="false">R519/$K$2</f>
        <v>67.6583668792837</v>
      </c>
      <c r="T519" s="43" t="n">
        <f aca="false">S519-$M$2</f>
        <v>0.69594516738394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0.109375</v>
      </c>
      <c r="C520" s="25" t="n">
        <f aca="false">IF(T519&gt;0,D519,C519)</f>
        <v>0.11083984375</v>
      </c>
      <c r="D520" s="41" t="n">
        <f aca="false">(B520+C520)/2</f>
        <v>0.110107421875</v>
      </c>
      <c r="E520" s="15" t="n">
        <f aca="false">$C$2*(1+IF(E$3&lt;=$O$2,$D520,$D520-($D520-$I$508)*MIN(E$3-$O$2,$Q$2)/$Q$2))</f>
        <v>5439.5263671875</v>
      </c>
      <c r="F520" s="15" t="n">
        <f aca="false">E520*(1+IF(F$3&lt;=$O$2,$D520,$D520-($D520-$I$508)*MIN(F$3-$O$2,$Q$2)/$Q$2))</f>
        <v>6038.4585916996</v>
      </c>
      <c r="G520" s="15" t="n">
        <f aca="false">F520*(1+IF(G$3&lt;=$O$2,$D520,$D520-($D520-$I$508)*MIN(G$3-$O$2,$Q$2)/$Q$2))</f>
        <v>6703.33769933059</v>
      </c>
      <c r="H520" s="15" t="n">
        <f aca="false">G520*(1+IF(H$3&lt;=$O$2,$D520,$D520-($D520-$I$508)*MIN(H$3-$O$2,$Q$2)/$Q$2))</f>
        <v>7441.42493136137</v>
      </c>
      <c r="I520" s="15" t="n">
        <f aca="false">H520*(1+IF(I$3&lt;=$O$2,$D520,$D520-($D520-$I$508)*MIN(I$3-$O$2,$Q$2)/$Q$2))</f>
        <v>8260.78104562992</v>
      </c>
      <c r="J520" s="15" t="n">
        <f aca="false">I520*(1+IF(J$3&lt;=$O$2,$D520,$D520-($D520-$I$508)*MIN(J$3-$O$2,$Q$2)/$Q$2))</f>
        <v>9035.19570923473</v>
      </c>
      <c r="K520" s="15" t="n">
        <f aca="false">J520*(1+IF(K$3&lt;=$O$2,$D520,$D520-($D520-$I$508)*MIN(K$3-$O$2,$Q$2)/$Q$2))</f>
        <v>9734.3793880712</v>
      </c>
      <c r="L520" s="15" t="n">
        <f aca="false">K520*(1+IF(L$3&lt;=$O$2,$D520,$D520-($D520-$I$508)*MIN(L$3-$O$2,$Q$2)/$Q$2))</f>
        <v>10328.4001172701</v>
      </c>
      <c r="M520" s="15" t="n">
        <f aca="false">L520*(1+IF(M$3&lt;=$O$2,$D520,$D520-($D520-$I$508)*MIN(M$3-$O$2,$Q$2)/$Q$2))</f>
        <v>10789.6817977263</v>
      </c>
      <c r="N520" s="15" t="n">
        <f aca="false">M520*(1+IF(N$3&lt;=$O$2,$D520,$D520-($D520-$I$508)*MIN(N$3-$O$2,$Q$2)/$Q$2))</f>
        <v>11095.029792602</v>
      </c>
      <c r="O520" s="15" t="n">
        <f aca="false">SUMPRODUCT(E520:N520,1/(1+$F$508)^$E$3:$N$3)*$E$2</f>
        <v>7867.82321188179</v>
      </c>
      <c r="P520" s="15" t="n">
        <f aca="false">N520*$E$2*(1+$I$508)/($F$508-$I$508)/(1+$F$508)^$N$3</f>
        <v>9845.28328335118</v>
      </c>
      <c r="Q520" s="15" t="n">
        <f aca="false">O520+P520</f>
        <v>17713.106495233</v>
      </c>
      <c r="R520" s="15" t="n">
        <f aca="false">Q520-$G$2+$I$2</f>
        <v>12892.606495233</v>
      </c>
      <c r="S520" s="42" t="n">
        <f aca="false">R520/$K$2</f>
        <v>67.2891779500677</v>
      </c>
      <c r="T520" s="43" t="n">
        <f aca="false">S520-$M$2</f>
        <v>0.326756238167917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0.109375</v>
      </c>
      <c r="C521" s="25" t="n">
        <f aca="false">IF(T520&gt;0,D520,C520)</f>
        <v>0.110107421875</v>
      </c>
      <c r="D521" s="41" t="n">
        <f aca="false">(B521+C521)/2</f>
        <v>0.1097412109375</v>
      </c>
      <c r="E521" s="15" t="n">
        <f aca="false">$C$2*(1+IF(E$3&lt;=$O$2,$D521,$D521-($D521-$I$508)*MIN(E$3-$O$2,$Q$2)/$Q$2))</f>
        <v>5437.73193359375</v>
      </c>
      <c r="F521" s="15" t="n">
        <f aca="false">E521*(1+IF(F$3&lt;=$O$2,$D521,$D521-($D521-$I$508)*MIN(F$3-$O$2,$Q$2)/$Q$2))</f>
        <v>6034.47522073984</v>
      </c>
      <c r="G521" s="15" t="n">
        <f aca="false">F521*(1+IF(G$3&lt;=$O$2,$D521,$D521-($D521-$I$508)*MIN(G$3-$O$2,$Q$2)/$Q$2))</f>
        <v>6696.70583883617</v>
      </c>
      <c r="H521" s="15" t="n">
        <f aca="false">G521*(1+IF(H$3&lt;=$O$2,$D521,$D521-($D521-$I$508)*MIN(H$3-$O$2,$Q$2)/$Q$2))</f>
        <v>7431.61044688228</v>
      </c>
      <c r="I521" s="15" t="n">
        <f aca="false">H521*(1+IF(I$3&lt;=$O$2,$D521,$D521-($D521-$I$508)*MIN(I$3-$O$2,$Q$2)/$Q$2))</f>
        <v>8247.16437653891</v>
      </c>
      <c r="J521" s="15" t="n">
        <f aca="false">I521*(1+IF(J$3&lt;=$O$2,$D521,$D521-($D521-$I$508)*MIN(J$3-$O$2,$Q$2)/$Q$2))</f>
        <v>9017.88637129572</v>
      </c>
      <c r="K521" s="15" t="n">
        <f aca="false">J521*(1+IF(K$3&lt;=$O$2,$D521,$D521-($D521-$I$508)*MIN(K$3-$O$2,$Q$2)/$Q$2))</f>
        <v>9713.74910730845</v>
      </c>
      <c r="L521" s="15" t="n">
        <f aca="false">K521*(1+IF(L$3&lt;=$O$2,$D521,$D521-($D521-$I$508)*MIN(L$3-$O$2,$Q$2)/$Q$2))</f>
        <v>10305.0880030622</v>
      </c>
      <c r="M521" s="15" t="n">
        <f aca="false">L521*(1+IF(M$3&lt;=$O$2,$D521,$D521-($D521-$I$508)*MIN(M$3-$O$2,$Q$2)/$Q$2))</f>
        <v>10764.5737627062</v>
      </c>
      <c r="N521" s="15" t="n">
        <f aca="false">M521*(1+IF(N$3&lt;=$O$2,$D521,$D521-($D521-$I$508)*MIN(N$3-$O$2,$Q$2)/$Q$2))</f>
        <v>11069.2112001908</v>
      </c>
      <c r="O521" s="15" t="n">
        <f aca="false">SUMPRODUCT(E521:N521,1/(1+$F$508)^$E$3:$N$3)*$E$2</f>
        <v>7855.46442108464</v>
      </c>
      <c r="P521" s="15" t="n">
        <f aca="false">N521*$E$2*(1+$I$508)/($F$508-$I$508)/(1+$F$508)^$N$3</f>
        <v>9822.37290266569</v>
      </c>
      <c r="Q521" s="15" t="n">
        <f aca="false">O521+P521</f>
        <v>17677.8373237503</v>
      </c>
      <c r="R521" s="15" t="n">
        <f aca="false">Q521-$G$2+$I$2</f>
        <v>12857.3373237503</v>
      </c>
      <c r="S521" s="42" t="n">
        <f aca="false">R521/$K$2</f>
        <v>67.1051008546468</v>
      </c>
      <c r="T521" s="43" t="n">
        <f aca="false">S521-$M$2</f>
        <v>0.142679142747028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0.109375</v>
      </c>
      <c r="C522" s="25" t="n">
        <f aca="false">IF(T521&gt;0,D521,C521)</f>
        <v>0.1097412109375</v>
      </c>
      <c r="D522" s="41" t="n">
        <f aca="false">(B522+C522)/2</f>
        <v>0.10955810546875</v>
      </c>
      <c r="E522" s="15" t="n">
        <f aca="false">$C$2*(1+IF(E$3&lt;=$O$2,$D522,$D522-($D522-$I$508)*MIN(E$3-$O$2,$Q$2)/$Q$2))</f>
        <v>5436.83471679688</v>
      </c>
      <c r="F522" s="15" t="n">
        <f aca="false">E522*(1+IF(F$3&lt;=$O$2,$D522,$D522-($D522-$I$508)*MIN(F$3-$O$2,$Q$2)/$Q$2))</f>
        <v>6032.48402811587</v>
      </c>
      <c r="G522" s="15" t="n">
        <f aca="false">F522*(1+IF(G$3&lt;=$O$2,$D522,$D522-($D522-$I$508)*MIN(G$3-$O$2,$Q$2)/$Q$2))</f>
        <v>6693.39154950674</v>
      </c>
      <c r="H522" s="15" t="n">
        <f aca="false">G522*(1+IF(H$3&lt;=$O$2,$D522,$D522-($D522-$I$508)*MIN(H$3-$O$2,$Q$2)/$Q$2))</f>
        <v>7426.70684683124</v>
      </c>
      <c r="I522" s="15" t="n">
        <f aca="false">H522*(1+IF(I$3&lt;=$O$2,$D522,$D522-($D522-$I$508)*MIN(I$3-$O$2,$Q$2)/$Q$2))</f>
        <v>8240.36277884186</v>
      </c>
      <c r="J522" s="15" t="n">
        <f aca="false">I522*(1+IF(J$3&lt;=$O$2,$D522,$D522-($D522-$I$508)*MIN(J$3-$O$2,$Q$2)/$Q$2))</f>
        <v>9009.2420597102</v>
      </c>
      <c r="K522" s="15" t="n">
        <f aca="false">J522*(1+IF(K$3&lt;=$O$2,$D522,$D522-($D522-$I$508)*MIN(K$3-$O$2,$Q$2)/$Q$2))</f>
        <v>9703.44797488886</v>
      </c>
      <c r="L522" s="15" t="n">
        <f aca="false">K522*(1+IF(L$3&lt;=$O$2,$D522,$D522-($D522-$I$508)*MIN(L$3-$O$2,$Q$2)/$Q$2))</f>
        <v>10293.4490721598</v>
      </c>
      <c r="M522" s="15" t="n">
        <f aca="false">L522*(1+IF(M$3&lt;=$O$2,$D522,$D522-($D522-$I$508)*MIN(M$3-$O$2,$Q$2)/$Q$2))</f>
        <v>10752.0389149705</v>
      </c>
      <c r="N522" s="15" t="n">
        <f aca="false">M522*(1+IF(N$3&lt;=$O$2,$D522,$D522-($D522-$I$508)*MIN(N$3-$O$2,$Q$2)/$Q$2))</f>
        <v>11056.3216162642</v>
      </c>
      <c r="O522" s="15" t="n">
        <f aca="false">SUMPRODUCT(E522:N522,1/(1+$F$508)^$E$3:$N$3)*$E$2</f>
        <v>7849.29226780359</v>
      </c>
      <c r="P522" s="15" t="n">
        <f aca="false">N522*$E$2*(1+$I$508)/($F$508-$I$508)/(1+$F$508)^$N$3</f>
        <v>9810.93520420661</v>
      </c>
      <c r="Q522" s="15" t="n">
        <f aca="false">O522+P522</f>
        <v>17660.2274720102</v>
      </c>
      <c r="R522" s="15" t="n">
        <f aca="false">Q522-$G$2+$I$2</f>
        <v>12839.7274720102</v>
      </c>
      <c r="S522" s="42" t="n">
        <f aca="false">R522/$K$2</f>
        <v>67.0131913988006</v>
      </c>
      <c r="T522" s="43" t="n">
        <f aca="false">S522-$M$2</f>
        <v>0.0507696869008356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0.109375</v>
      </c>
      <c r="C523" s="25" t="n">
        <f aca="false">IF(T522&gt;0,D522,C522)</f>
        <v>0.10955810546875</v>
      </c>
      <c r="D523" s="41" t="n">
        <f aca="false">(B523+C523)/2</f>
        <v>0.109466552734375</v>
      </c>
      <c r="E523" s="15" t="n">
        <f aca="false">$C$2*(1+IF(E$3&lt;=$O$2,$D523,$D523-($D523-$I$508)*MIN(E$3-$O$2,$Q$2)/$Q$2))</f>
        <v>5436.38610839844</v>
      </c>
      <c r="F523" s="15" t="n">
        <f aca="false">E523*(1+IF(F$3&lt;=$O$2,$D523,$D523-($D523-$I$508)*MIN(F$3-$O$2,$Q$2)/$Q$2))</f>
        <v>6031.48855501786</v>
      </c>
      <c r="G523" s="15" t="n">
        <f aca="false">F523*(1+IF(G$3&lt;=$O$2,$D523,$D523-($D523-$I$508)*MIN(G$3-$O$2,$Q$2)/$Q$2))</f>
        <v>6691.7348149925</v>
      </c>
      <c r="H523" s="15" t="n">
        <f aca="false">G523*(1+IF(H$3&lt;=$O$2,$D523,$D523-($D523-$I$508)*MIN(H$3-$O$2,$Q$2)/$Q$2))</f>
        <v>7424.25595700233</v>
      </c>
      <c r="I523" s="15" t="n">
        <f aca="false">H523*(1+IF(I$3&lt;=$O$2,$D523,$D523-($D523-$I$508)*MIN(I$3-$O$2,$Q$2)/$Q$2))</f>
        <v>8236.96366323302</v>
      </c>
      <c r="J523" s="15" t="n">
        <f aca="false">I523*(1+IF(J$3&lt;=$O$2,$D523,$D523-($D523-$I$508)*MIN(J$3-$O$2,$Q$2)/$Q$2))</f>
        <v>9004.92249133686</v>
      </c>
      <c r="K523" s="15" t="n">
        <f aca="false">J523*(1+IF(K$3&lt;=$O$2,$D523,$D523-($D523-$I$508)*MIN(K$3-$O$2,$Q$2)/$Q$2))</f>
        <v>9698.30090759893</v>
      </c>
      <c r="L523" s="15" t="n">
        <f aca="false">K523*(1+IF(L$3&lt;=$O$2,$D523,$D523-($D523-$I$508)*MIN(L$3-$O$2,$Q$2)/$Q$2))</f>
        <v>10287.6338841042</v>
      </c>
      <c r="M523" s="15" t="n">
        <f aca="false">L523*(1+IF(M$3&lt;=$O$2,$D523,$D523-($D523-$I$508)*MIN(M$3-$O$2,$Q$2)/$Q$2))</f>
        <v>10745.7762786575</v>
      </c>
      <c r="N523" s="15" t="n">
        <f aca="false">M523*(1+IF(N$3&lt;=$O$2,$D523,$D523-($D523-$I$508)*MIN(N$3-$O$2,$Q$2)/$Q$2))</f>
        <v>11049.8817473435</v>
      </c>
      <c r="O523" s="15" t="n">
        <f aca="false">SUMPRODUCT(E523:N523,1/(1+$F$508)^$E$3:$N$3)*$E$2</f>
        <v>7846.20800016333</v>
      </c>
      <c r="P523" s="15" t="n">
        <f aca="false">N523*$E$2*(1+$I$508)/($F$508-$I$508)/(1+$F$508)^$N$3</f>
        <v>9805.22072348719</v>
      </c>
      <c r="Q523" s="15" t="n">
        <f aca="false">O523+P523</f>
        <v>17651.4287236505</v>
      </c>
      <c r="R523" s="15" t="n">
        <f aca="false">Q523-$G$2+$I$2</f>
        <v>12830.9287236505</v>
      </c>
      <c r="S523" s="42" t="n">
        <f aca="false">R523/$K$2</f>
        <v>66.967268912581</v>
      </c>
      <c r="T523" s="43" t="n">
        <f aca="false">S523-$M$2</f>
        <v>0.00484720068116928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0.109375</v>
      </c>
      <c r="C524" s="25" t="n">
        <f aca="false">IF(T523&gt;0,D523,C523)</f>
        <v>0.109466552734375</v>
      </c>
      <c r="D524" s="41" t="n">
        <f aca="false">(B524+C524)/2</f>
        <v>0.109420776367188</v>
      </c>
      <c r="E524" s="15" t="n">
        <f aca="false">$C$2*(1+IF(E$3&lt;=$O$2,$D524,$D524-($D524-$I$508)*MIN(E$3-$O$2,$Q$2)/$Q$2))</f>
        <v>5436.16180419922</v>
      </c>
      <c r="F524" s="15" t="n">
        <f aca="false">E524*(1+IF(F$3&lt;=$O$2,$D524,$D524-($D524-$I$508)*MIN(F$3-$O$2,$Q$2)/$Q$2))</f>
        <v>6030.99084927235</v>
      </c>
      <c r="G524" s="15" t="n">
        <f aca="false">F524*(1+IF(G$3&lt;=$O$2,$D524,$D524-($D524-$I$508)*MIN(G$3-$O$2,$Q$2)/$Q$2))</f>
        <v>6690.90655026313</v>
      </c>
      <c r="H524" s="15" t="n">
        <f aca="false">G524*(1+IF(H$3&lt;=$O$2,$D524,$D524-($D524-$I$508)*MIN(H$3-$O$2,$Q$2)/$Q$2))</f>
        <v>7423.03073959322</v>
      </c>
      <c r="I524" s="15" t="n">
        <f aca="false">H524*(1+IF(I$3&lt;=$O$2,$D524,$D524-($D524-$I$508)*MIN(I$3-$O$2,$Q$2)/$Q$2))</f>
        <v>8235.26452611701</v>
      </c>
      <c r="J524" s="15" t="n">
        <f aca="false">I524*(1+IF(J$3&lt;=$O$2,$D524,$D524-($D524-$I$508)*MIN(J$3-$O$2,$Q$2)/$Q$2))</f>
        <v>9002.76335376434</v>
      </c>
      <c r="K524" s="15" t="n">
        <f aca="false">J524*(1+IF(K$3&lt;=$O$2,$D524,$D524-($D524-$I$508)*MIN(K$3-$O$2,$Q$2)/$Q$2))</f>
        <v>9695.72824830033</v>
      </c>
      <c r="L524" s="15" t="n">
        <f aca="false">K524*(1+IF(L$3&lt;=$O$2,$D524,$D524-($D524-$I$508)*MIN(L$3-$O$2,$Q$2)/$Q$2))</f>
        <v>10284.7273589062</v>
      </c>
      <c r="M524" s="15" t="n">
        <f aca="false">L524*(1+IF(M$3&lt;=$O$2,$D524,$D524-($D524-$I$508)*MIN(M$3-$O$2,$Q$2)/$Q$2))</f>
        <v>10742.6461567791</v>
      </c>
      <c r="N524" s="15" t="n">
        <f aca="false">M524*(1+IF(N$3&lt;=$O$2,$D524,$D524-($D524-$I$508)*MIN(N$3-$O$2,$Q$2)/$Q$2))</f>
        <v>11046.6630430159</v>
      </c>
      <c r="O524" s="15" t="n">
        <f aca="false">SUMPRODUCT(E524:N524,1/(1+$F$508)^$E$3:$N$3)*$E$2</f>
        <v>7844.66631840224</v>
      </c>
      <c r="P524" s="15" t="n">
        <f aca="false">N524*$E$2*(1+$I$508)/($F$508-$I$508)/(1+$F$508)^$N$3</f>
        <v>9802.36457469778</v>
      </c>
      <c r="Q524" s="15" t="n">
        <f aca="false">O524+P524</f>
        <v>17647.0308931</v>
      </c>
      <c r="R524" s="15" t="n">
        <f aca="false">Q524-$G$2+$I$2</f>
        <v>12826.5308931</v>
      </c>
      <c r="S524" s="42" t="n">
        <f aca="false">R524/$K$2</f>
        <v>66.9443157259918</v>
      </c>
      <c r="T524" s="43" t="n">
        <f aca="false">S524-$M$2</f>
        <v>-0.0181059859080222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0.109420776367188</v>
      </c>
      <c r="C525" s="25" t="n">
        <f aca="false">IF(T524&gt;0,D524,C524)</f>
        <v>0.109466552734375</v>
      </c>
      <c r="D525" s="41" t="n">
        <f aca="false">(B525+C525)/2</f>
        <v>0.109443664550781</v>
      </c>
      <c r="E525" s="15" t="n">
        <f aca="false">$C$2*(1+IF(E$3&lt;=$O$2,$D525,$D525-($D525-$I$508)*MIN(E$3-$O$2,$Q$2)/$Q$2))</f>
        <v>5436.27395629883</v>
      </c>
      <c r="F525" s="15" t="n">
        <f aca="false">E525*(1+IF(F$3&lt;=$O$2,$D525,$D525-($D525-$I$508)*MIN(F$3-$O$2,$Q$2)/$Q$2))</f>
        <v>6031.23969957815</v>
      </c>
      <c r="G525" s="15" t="n">
        <f aca="false">F525*(1+IF(G$3&lt;=$O$2,$D525,$D525-($D525-$I$508)*MIN(G$3-$O$2,$Q$2)/$Q$2))</f>
        <v>6691.32067408413</v>
      </c>
      <c r="H525" s="15" t="n">
        <f aca="false">G525*(1+IF(H$3&lt;=$O$2,$D525,$D525-($D525-$I$508)*MIN(H$3-$O$2,$Q$2)/$Q$2))</f>
        <v>7423.6433293403</v>
      </c>
      <c r="I525" s="15" t="n">
        <f aca="false">H525*(1+IF(I$3&lt;=$O$2,$D525,$D525-($D525-$I$508)*MIN(I$3-$O$2,$Q$2)/$Q$2))</f>
        <v>8236.11405962127</v>
      </c>
      <c r="J525" s="15" t="n">
        <f aca="false">I525*(1+IF(J$3&lt;=$O$2,$D525,$D525-($D525-$I$508)*MIN(J$3-$O$2,$Q$2)/$Q$2))</f>
        <v>9003.84286867325</v>
      </c>
      <c r="K525" s="15" t="n">
        <f aca="false">J525*(1+IF(K$3&lt;=$O$2,$D525,$D525-($D525-$I$508)*MIN(K$3-$O$2,$Q$2)/$Q$2))</f>
        <v>9697.01450509885</v>
      </c>
      <c r="L525" s="15" t="n">
        <f aca="false">K525*(1+IF(L$3&lt;=$O$2,$D525,$D525-($D525-$I$508)*MIN(L$3-$O$2,$Q$2)/$Q$2))</f>
        <v>10286.1805324515</v>
      </c>
      <c r="M525" s="15" t="n">
        <f aca="false">L525*(1+IF(M$3&lt;=$O$2,$D525,$D525-($D525-$I$508)*MIN(M$3-$O$2,$Q$2)/$Q$2))</f>
        <v>10744.2111180466</v>
      </c>
      <c r="N525" s="15" t="n">
        <f aca="false">M525*(1+IF(N$3&lt;=$O$2,$D525,$D525-($D525-$I$508)*MIN(N$3-$O$2,$Q$2)/$Q$2))</f>
        <v>11048.2722926874</v>
      </c>
      <c r="O525" s="15" t="n">
        <f aca="false">SUMPRODUCT(E525:N525,1/(1+$F$508)^$E$3:$N$3)*$E$2</f>
        <v>7845.43712161688</v>
      </c>
      <c r="P525" s="15" t="n">
        <f aca="false">N525*$E$2*(1+$I$508)/($F$508-$I$508)/(1+$F$508)^$N$3</f>
        <v>9803.79255814487</v>
      </c>
      <c r="Q525" s="15" t="n">
        <f aca="false">O525+P525</f>
        <v>17649.2296797618</v>
      </c>
      <c r="R525" s="15" t="n">
        <f aca="false">Q525-$G$2+$I$2</f>
        <v>12828.7296797618</v>
      </c>
      <c r="S525" s="42" t="n">
        <f aca="false">R525/$K$2</f>
        <v>66.9557916480259</v>
      </c>
      <c r="T525" s="43" t="n">
        <f aca="false">S525-$M$2</f>
        <v>-0.00663006387394205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0.109443664550781</v>
      </c>
      <c r="C526" s="25" t="n">
        <f aca="false">IF(T525&gt;0,D525,C525)</f>
        <v>0.109466552734375</v>
      </c>
      <c r="D526" s="41" t="n">
        <f aca="false">(B526+C526)/2</f>
        <v>0.109455108642578</v>
      </c>
      <c r="E526" s="15" t="n">
        <f aca="false">$C$2*(1+IF(E$3&lt;=$O$2,$D526,$D526-($D526-$I$508)*MIN(E$3-$O$2,$Q$2)/$Q$2))</f>
        <v>5436.33003234863</v>
      </c>
      <c r="F526" s="15" t="n">
        <f aca="false">E526*(1+IF(F$3&lt;=$O$2,$D526,$D526-($D526-$I$508)*MIN(F$3-$O$2,$Q$2)/$Q$2))</f>
        <v>6031.36412665626</v>
      </c>
      <c r="G526" s="15" t="n">
        <f aca="false">F526*(1+IF(G$3&lt;=$O$2,$D526,$D526-($D526-$I$508)*MIN(G$3-$O$2,$Q$2)/$Q$2))</f>
        <v>6691.52774240237</v>
      </c>
      <c r="H526" s="15" t="n">
        <f aca="false">G526*(1+IF(H$3&lt;=$O$2,$D526,$D526-($D526-$I$508)*MIN(H$3-$O$2,$Q$2)/$Q$2))</f>
        <v>7423.94963843185</v>
      </c>
      <c r="I526" s="15" t="n">
        <f aca="false">H526*(1+IF(I$3&lt;=$O$2,$D526,$D526-($D526-$I$508)*MIN(I$3-$O$2,$Q$2)/$Q$2))</f>
        <v>8236.53885266344</v>
      </c>
      <c r="J526" s="15" t="n">
        <f aca="false">I526*(1+IF(J$3&lt;=$O$2,$D526,$D526-($D526-$I$508)*MIN(J$3-$O$2,$Q$2)/$Q$2))</f>
        <v>9004.38266653519</v>
      </c>
      <c r="K526" s="15" t="n">
        <f aca="false">J526*(1+IF(K$3&lt;=$O$2,$D526,$D526-($D526-$I$508)*MIN(K$3-$O$2,$Q$2)/$Q$2))</f>
        <v>9697.65768813534</v>
      </c>
      <c r="L526" s="15" t="n">
        <f aca="false">K526*(1+IF(L$3&lt;=$O$2,$D526,$D526-($D526-$I$508)*MIN(L$3-$O$2,$Q$2)/$Q$2))</f>
        <v>10286.9071860132</v>
      </c>
      <c r="M526" s="15" t="n">
        <f aca="false">L526*(1+IF(M$3&lt;=$O$2,$D526,$D526-($D526-$I$508)*MIN(M$3-$O$2,$Q$2)/$Q$2))</f>
        <v>10744.9936734328</v>
      </c>
      <c r="N526" s="15" t="n">
        <f aca="false">M526*(1+IF(N$3&lt;=$O$2,$D526,$D526-($D526-$I$508)*MIN(N$3-$O$2,$Q$2)/$Q$2))</f>
        <v>11049.076994391</v>
      </c>
      <c r="O526" s="15" t="n">
        <f aca="false">SUMPRODUCT(E526:N526,1/(1+$F$508)^$E$3:$N$3)*$E$2</f>
        <v>7845.8225514732</v>
      </c>
      <c r="P526" s="15" t="n">
        <f aca="false">N526*$E$2*(1+$I$508)/($F$508-$I$508)/(1+$F$508)^$N$3</f>
        <v>9804.50661807788</v>
      </c>
      <c r="Q526" s="15" t="n">
        <f aca="false">O526+P526</f>
        <v>17650.3291695511</v>
      </c>
      <c r="R526" s="15" t="n">
        <f aca="false">Q526-$G$2+$I$2</f>
        <v>12829.8291695511</v>
      </c>
      <c r="S526" s="42" t="n">
        <f aca="false">R526/$K$2</f>
        <v>66.9615301124796</v>
      </c>
      <c r="T526" s="43" t="n">
        <f aca="false">S526-$M$2</f>
        <v>-0.000891599420228317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0.109455108642578</v>
      </c>
      <c r="C527" s="25" t="n">
        <f aca="false">IF(T526&gt;0,D526,C526)</f>
        <v>0.109466552734375</v>
      </c>
      <c r="D527" s="41" t="n">
        <f aca="false">(B527+C527)/2</f>
        <v>0.109460830688477</v>
      </c>
      <c r="E527" s="15" t="n">
        <f aca="false">$C$2*(1+IF(E$3&lt;=$O$2,$D527,$D527-($D527-$I$508)*MIN(E$3-$O$2,$Q$2)/$Q$2))</f>
        <v>5436.35807037354</v>
      </c>
      <c r="F527" s="15" t="n">
        <f aca="false">E527*(1+IF(F$3&lt;=$O$2,$D527,$D527-($D527-$I$508)*MIN(F$3-$O$2,$Q$2)/$Q$2))</f>
        <v>6031.42634067663</v>
      </c>
      <c r="G527" s="15" t="n">
        <f aca="false">F527*(1+IF(G$3&lt;=$O$2,$D527,$D527-($D527-$I$508)*MIN(G$3-$O$2,$Q$2)/$Q$2))</f>
        <v>6691.63127816345</v>
      </c>
      <c r="H527" s="15" t="n">
        <f aca="false">G527*(1+IF(H$3&lt;=$O$2,$D527,$D527-($D527-$I$508)*MIN(H$3-$O$2,$Q$2)/$Q$2))</f>
        <v>7424.10279653221</v>
      </c>
      <c r="I527" s="15" t="n">
        <f aca="false">H527*(1+IF(I$3&lt;=$O$2,$D527,$D527-($D527-$I$508)*MIN(I$3-$O$2,$Q$2)/$Q$2))</f>
        <v>8236.75125575727</v>
      </c>
      <c r="J527" s="15" t="n">
        <f aca="false">I527*(1+IF(J$3&lt;=$O$2,$D527,$D527-($D527-$I$508)*MIN(J$3-$O$2,$Q$2)/$Q$2))</f>
        <v>9004.65257556849</v>
      </c>
      <c r="K527" s="15" t="n">
        <f aca="false">J527*(1+IF(K$3&lt;=$O$2,$D527,$D527-($D527-$I$508)*MIN(K$3-$O$2,$Q$2)/$Q$2))</f>
        <v>9697.97929331364</v>
      </c>
      <c r="L527" s="15" t="n">
        <f aca="false">K527*(1+IF(L$3&lt;=$O$2,$D527,$D527-($D527-$I$508)*MIN(L$3-$O$2,$Q$2)/$Q$2))</f>
        <v>10287.2705294924</v>
      </c>
      <c r="M527" s="15" t="n">
        <f aca="false">L527*(1+IF(M$3&lt;=$O$2,$D527,$D527-($D527-$I$508)*MIN(M$3-$O$2,$Q$2)/$Q$2))</f>
        <v>10745.3849698152</v>
      </c>
      <c r="N527" s="15" t="n">
        <f aca="false">M527*(1+IF(N$3&lt;=$O$2,$D527,$D527-($D527-$I$508)*MIN(N$3-$O$2,$Q$2)/$Q$2))</f>
        <v>11049.4793644609</v>
      </c>
      <c r="O527" s="15" t="n">
        <f aca="false">SUMPRODUCT(E527:N527,1/(1+$F$508)^$E$3:$N$3)*$E$2</f>
        <v>7846.01527346399</v>
      </c>
      <c r="P527" s="15" t="n">
        <f aca="false">N527*$E$2*(1+$I$508)/($F$508-$I$508)/(1+$F$508)^$N$3</f>
        <v>9804.86366509784</v>
      </c>
      <c r="Q527" s="15" t="n">
        <f aca="false">O527+P527</f>
        <v>17650.8789385618</v>
      </c>
      <c r="R527" s="15" t="n">
        <f aca="false">Q527-$G$2+$I$2</f>
        <v>12830.3789385618</v>
      </c>
      <c r="S527" s="42" t="n">
        <f aca="false">R527/$K$2</f>
        <v>66.9643994705732</v>
      </c>
      <c r="T527" s="43" t="n">
        <f aca="false">S527-$M$2</f>
        <v>0.00197775867343353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0.109455108642578</v>
      </c>
      <c r="C528" s="25" t="n">
        <f aca="false">IF(T527&gt;0,D527,C527)</f>
        <v>0.109460830688477</v>
      </c>
      <c r="D528" s="41" t="n">
        <f aca="false">(B528+C528)/2</f>
        <v>0.109457969665527</v>
      </c>
      <c r="E528" s="15" t="n">
        <f aca="false">$C$2*(1+IF(E$3&lt;=$O$2,$D528,$D528-($D528-$I$508)*MIN(E$3-$O$2,$Q$2)/$Q$2))</f>
        <v>5436.34405136108</v>
      </c>
      <c r="F528" s="15" t="n">
        <f aca="false">E528*(1+IF(F$3&lt;=$O$2,$D528,$D528-($D528-$I$508)*MIN(F$3-$O$2,$Q$2)/$Q$2))</f>
        <v>6031.39523362634</v>
      </c>
      <c r="G528" s="15" t="n">
        <f aca="false">F528*(1+IF(G$3&lt;=$O$2,$D528,$D528-($D528-$I$508)*MIN(G$3-$O$2,$Q$2)/$Q$2))</f>
        <v>6691.57951014941</v>
      </c>
      <c r="H528" s="15" t="n">
        <f aca="false">G528*(1+IF(H$3&lt;=$O$2,$D528,$D528-($D528-$I$508)*MIN(H$3-$O$2,$Q$2)/$Q$2))</f>
        <v>7424.02621718581</v>
      </c>
      <c r="I528" s="15" t="n">
        <f aca="false">H528*(1+IF(I$3&lt;=$O$2,$D528,$D528-($D528-$I$508)*MIN(I$3-$O$2,$Q$2)/$Q$2))</f>
        <v>8236.64505366262</v>
      </c>
      <c r="J528" s="15" t="n">
        <f aca="false">I528*(1+IF(J$3&lt;=$O$2,$D528,$D528-($D528-$I$508)*MIN(J$3-$O$2,$Q$2)/$Q$2))</f>
        <v>9004.51762020996</v>
      </c>
      <c r="K528" s="15" t="n">
        <f aca="false">J528*(1+IF(K$3&lt;=$O$2,$D528,$D528-($D528-$I$508)*MIN(K$3-$O$2,$Q$2)/$Q$2))</f>
        <v>9697.81848958613</v>
      </c>
      <c r="L528" s="15" t="n">
        <f aca="false">K528*(1+IF(L$3&lt;=$O$2,$D528,$D528-($D528-$I$508)*MIN(L$3-$O$2,$Q$2)/$Q$2))</f>
        <v>10287.0888563613</v>
      </c>
      <c r="M528" s="15" t="n">
        <f aca="false">L528*(1+IF(M$3&lt;=$O$2,$D528,$D528-($D528-$I$508)*MIN(M$3-$O$2,$Q$2)/$Q$2))</f>
        <v>10745.1893200665</v>
      </c>
      <c r="N528" s="15" t="n">
        <f aca="false">M528*(1+IF(N$3&lt;=$O$2,$D528,$D528-($D528-$I$508)*MIN(N$3-$O$2,$Q$2)/$Q$2))</f>
        <v>11049.2781778244</v>
      </c>
      <c r="O528" s="15" t="n">
        <f aca="false">SUMPRODUCT(E528:N528,1/(1+$F$508)^$E$3:$N$3)*$E$2</f>
        <v>7845.91891188003</v>
      </c>
      <c r="P528" s="15" t="n">
        <f aca="false">N528*$E$2*(1+$I$508)/($F$508-$I$508)/(1+$F$508)^$N$3</f>
        <v>9804.68514016671</v>
      </c>
      <c r="Q528" s="15" t="n">
        <f aca="false">O528+P528</f>
        <v>17650.6040520467</v>
      </c>
      <c r="R528" s="15" t="n">
        <f aca="false">Q528-$G$2+$I$2</f>
        <v>12830.1040520467</v>
      </c>
      <c r="S528" s="42" t="n">
        <f aca="false">R528/$K$2</f>
        <v>66.9629647810373</v>
      </c>
      <c r="T528" s="43" t="n">
        <f aca="false">S528-$M$2</f>
        <v>0.000543069137478369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0.109455108642578</v>
      </c>
      <c r="C529" s="25" t="n">
        <f aca="false">IF(T528&gt;0,D528,C528)</f>
        <v>0.109457969665527</v>
      </c>
      <c r="D529" s="41" t="n">
        <f aca="false">(B529+C529)/2</f>
        <v>0.109456539154053</v>
      </c>
      <c r="E529" s="15" t="n">
        <f aca="false">$C$2*(1+IF(E$3&lt;=$O$2,$D529,$D529-($D529-$I$508)*MIN(E$3-$O$2,$Q$2)/$Q$2))</f>
        <v>5436.33704185486</v>
      </c>
      <c r="F529" s="15" t="n">
        <f aca="false">E529*(1+IF(F$3&lt;=$O$2,$D529,$D529-($D529-$I$508)*MIN(F$3-$O$2,$Q$2)/$Q$2))</f>
        <v>6031.37968013127</v>
      </c>
      <c r="G529" s="15" t="n">
        <f aca="false">F529*(1+IF(G$3&lt;=$O$2,$D529,$D529-($D529-$I$508)*MIN(G$3-$O$2,$Q$2)/$Q$2))</f>
        <v>6691.55362624252</v>
      </c>
      <c r="H529" s="15" t="n">
        <f aca="false">G529*(1+IF(H$3&lt;=$O$2,$D529,$D529-($D529-$I$508)*MIN(H$3-$O$2,$Q$2)/$Q$2))</f>
        <v>7423.98792773478</v>
      </c>
      <c r="I529" s="15" t="n">
        <f aca="false">H529*(1+IF(I$3&lt;=$O$2,$D529,$D529-($D529-$I$508)*MIN(I$3-$O$2,$Q$2)/$Q$2))</f>
        <v>8236.59195302609</v>
      </c>
      <c r="J529" s="15" t="n">
        <f aca="false">I529*(1+IF(J$3&lt;=$O$2,$D529,$D529-($D529-$I$508)*MIN(J$3-$O$2,$Q$2)/$Q$2))</f>
        <v>9004.45014316211</v>
      </c>
      <c r="K529" s="15" t="n">
        <f aca="false">J529*(1+IF(K$3&lt;=$O$2,$D529,$D529-($D529-$I$508)*MIN(K$3-$O$2,$Q$2)/$Q$2))</f>
        <v>9697.73808857614</v>
      </c>
      <c r="L529" s="15" t="n">
        <f aca="false">K529*(1+IF(L$3&lt;=$O$2,$D529,$D529-($D529-$I$508)*MIN(L$3-$O$2,$Q$2)/$Q$2))</f>
        <v>10286.9980208394</v>
      </c>
      <c r="M529" s="15" t="n">
        <f aca="false">L529*(1+IF(M$3&lt;=$O$2,$D529,$D529-($D529-$I$508)*MIN(M$3-$O$2,$Q$2)/$Q$2))</f>
        <v>10745.0914963603</v>
      </c>
      <c r="N529" s="15" t="n">
        <f aca="false">M529*(1+IF(N$3&lt;=$O$2,$D529,$D529-($D529-$I$508)*MIN(N$3-$O$2,$Q$2)/$Q$2))</f>
        <v>11049.1775857073</v>
      </c>
      <c r="O529" s="15" t="n">
        <f aca="false">SUMPRODUCT(E529:N529,1/(1+$F$508)^$E$3:$N$3)*$E$2</f>
        <v>7845.87073152948</v>
      </c>
      <c r="P529" s="15" t="n">
        <f aca="false">N529*$E$2*(1+$I$508)/($F$508-$I$508)/(1+$F$508)^$N$3</f>
        <v>9804.59587876701</v>
      </c>
      <c r="Q529" s="15" t="n">
        <f aca="false">O529+P529</f>
        <v>17650.4666102965</v>
      </c>
      <c r="R529" s="15" t="n">
        <f aca="false">Q529-$G$2+$I$2</f>
        <v>12829.9666102965</v>
      </c>
      <c r="S529" s="42" t="n">
        <f aca="false">R529/$K$2</f>
        <v>66.9622474441362</v>
      </c>
      <c r="T529" s="43" t="n">
        <f aca="false">S529-$M$2</f>
        <v>-0.000174267763640046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0.109456539154053</v>
      </c>
      <c r="C530" s="25" t="n">
        <f aca="false">IF(T529&gt;0,D529,C529)</f>
        <v>0.109457969665527</v>
      </c>
      <c r="D530" s="41" t="n">
        <f aca="false">(B530+C530)/2</f>
        <v>0.10945725440979</v>
      </c>
      <c r="E530" s="15" t="n">
        <f aca="false">$C$2*(1+IF(E$3&lt;=$O$2,$D530,$D530-($D530-$I$508)*MIN(E$3-$O$2,$Q$2)/$Q$2))</f>
        <v>5436.34054660797</v>
      </c>
      <c r="F530" s="15" t="n">
        <f aca="false">E530*(1+IF(F$3&lt;=$O$2,$D530,$D530-($D530-$I$508)*MIN(F$3-$O$2,$Q$2)/$Q$2))</f>
        <v>6031.3874568763</v>
      </c>
      <c r="G530" s="15" t="n">
        <f aca="false">F530*(1+IF(G$3&lt;=$O$2,$D530,$D530-($D530-$I$508)*MIN(G$3-$O$2,$Q$2)/$Q$2))</f>
        <v>6691.56656818762</v>
      </c>
      <c r="H530" s="15" t="n">
        <f aca="false">G530*(1+IF(H$3&lt;=$O$2,$D530,$D530-($D530-$I$508)*MIN(H$3-$O$2,$Q$2)/$Q$2))</f>
        <v>7424.00707244178</v>
      </c>
      <c r="I530" s="15" t="n">
        <f aca="false">H530*(1+IF(I$3&lt;=$O$2,$D530,$D530-($D530-$I$508)*MIN(I$3-$O$2,$Q$2)/$Q$2))</f>
        <v>8236.61850331012</v>
      </c>
      <c r="J530" s="15" t="n">
        <f aca="false">I530*(1+IF(J$3&lt;=$O$2,$D530,$D530-($D530-$I$508)*MIN(J$3-$O$2,$Q$2)/$Q$2))</f>
        <v>9004.48388163342</v>
      </c>
      <c r="K530" s="15" t="n">
        <f aca="false">J530*(1+IF(K$3&lt;=$O$2,$D530,$D530-($D530-$I$508)*MIN(K$3-$O$2,$Q$2)/$Q$2))</f>
        <v>9697.77828900999</v>
      </c>
      <c r="L530" s="15" t="n">
        <f aca="false">K530*(1+IF(L$3&lt;=$O$2,$D530,$D530-($D530-$I$508)*MIN(L$3-$O$2,$Q$2)/$Q$2))</f>
        <v>10287.0434385133</v>
      </c>
      <c r="M530" s="15" t="n">
        <f aca="false">L530*(1+IF(M$3&lt;=$O$2,$D530,$D530-($D530-$I$508)*MIN(M$3-$O$2,$Q$2)/$Q$2))</f>
        <v>10745.1404081161</v>
      </c>
      <c r="N530" s="15" t="n">
        <f aca="false">M530*(1+IF(N$3&lt;=$O$2,$D530,$D530-($D530-$I$508)*MIN(N$3-$O$2,$Q$2)/$Q$2))</f>
        <v>11049.2278816658</v>
      </c>
      <c r="O530" s="15" t="n">
        <f aca="false">SUMPRODUCT(E530:N530,1/(1+$F$508)^$E$3:$N$3)*$E$2</f>
        <v>7845.89482166797</v>
      </c>
      <c r="P530" s="15" t="n">
        <f aca="false">N530*$E$2*(1+$I$508)/($F$508-$I$508)/(1+$F$508)^$N$3</f>
        <v>9804.64050937804</v>
      </c>
      <c r="Q530" s="15" t="n">
        <f aca="false">O530+P530</f>
        <v>17650.535331046</v>
      </c>
      <c r="R530" s="15" t="n">
        <f aca="false">Q530-$G$2+$I$2</f>
        <v>12830.035331046</v>
      </c>
      <c r="S530" s="42" t="n">
        <f aca="false">R530/$K$2</f>
        <v>66.9626061119312</v>
      </c>
      <c r="T530" s="43" t="n">
        <f aca="false">S530-$M$2</f>
        <v>0.000184400031372434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0.109456539154053</v>
      </c>
      <c r="C531" s="25" t="n">
        <f aca="false">IF(T530&gt;0,D530,C530)</f>
        <v>0.10945725440979</v>
      </c>
      <c r="D531" s="41" t="n">
        <f aca="false">(B531+C531)/2</f>
        <v>0.109456896781921</v>
      </c>
      <c r="E531" s="15" t="n">
        <f aca="false">$C$2*(1+IF(E$3&lt;=$O$2,$D531,$D531-($D531-$I$508)*MIN(E$3-$O$2,$Q$2)/$Q$2))</f>
        <v>5436.33879423142</v>
      </c>
      <c r="F531" s="15" t="n">
        <f aca="false">E531*(1+IF(F$3&lt;=$O$2,$D531,$D531-($D531-$I$508)*MIN(F$3-$O$2,$Q$2)/$Q$2))</f>
        <v>6031.38356850316</v>
      </c>
      <c r="G531" s="15" t="n">
        <f aca="false">F531*(1+IF(G$3&lt;=$O$2,$D531,$D531-($D531-$I$508)*MIN(G$3-$O$2,$Q$2)/$Q$2))</f>
        <v>6691.56009721299</v>
      </c>
      <c r="H531" s="15" t="n">
        <f aca="false">G531*(1+IF(H$3&lt;=$O$2,$D531,$D531-($D531-$I$508)*MIN(H$3-$O$2,$Q$2)/$Q$2))</f>
        <v>7423.99750008365</v>
      </c>
      <c r="I531" s="15" t="n">
        <f aca="false">H531*(1+IF(I$3&lt;=$O$2,$D531,$D531-($D531-$I$508)*MIN(I$3-$O$2,$Q$2)/$Q$2))</f>
        <v>8236.60522815955</v>
      </c>
      <c r="J531" s="15" t="n">
        <f aca="false">I531*(1+IF(J$3&lt;=$O$2,$D531,$D531-($D531-$I$508)*MIN(J$3-$O$2,$Q$2)/$Q$2))</f>
        <v>9004.46701238461</v>
      </c>
      <c r="K531" s="15" t="n">
        <f aca="false">J531*(1+IF(K$3&lt;=$O$2,$D531,$D531-($D531-$I$508)*MIN(K$3-$O$2,$Q$2)/$Q$2))</f>
        <v>9697.75818877528</v>
      </c>
      <c r="L531" s="15" t="n">
        <f aca="false">K531*(1+IF(L$3&lt;=$O$2,$D531,$D531-($D531-$I$508)*MIN(L$3-$O$2,$Q$2)/$Q$2))</f>
        <v>10287.0207296546</v>
      </c>
      <c r="M531" s="15" t="n">
        <f aca="false">L531*(1+IF(M$3&lt;=$O$2,$D531,$D531-($D531-$I$508)*MIN(M$3-$O$2,$Q$2)/$Q$2))</f>
        <v>10745.1159522138</v>
      </c>
      <c r="N531" s="15" t="n">
        <f aca="false">M531*(1+IF(N$3&lt;=$O$2,$D531,$D531-($D531-$I$508)*MIN(N$3-$O$2,$Q$2)/$Q$2))</f>
        <v>11049.2027336615</v>
      </c>
      <c r="O531" s="15" t="n">
        <f aca="false">SUMPRODUCT(E531:N531,1/(1+$F$508)^$E$3:$N$3)*$E$2</f>
        <v>7845.88277658953</v>
      </c>
      <c r="P531" s="15" t="n">
        <f aca="false">N531*$E$2*(1+$I$508)/($F$508-$I$508)/(1+$F$508)^$N$3</f>
        <v>9804.61819405032</v>
      </c>
      <c r="Q531" s="15" t="n">
        <f aca="false">O531+P531</f>
        <v>17650.5009706399</v>
      </c>
      <c r="R531" s="15" t="n">
        <f aca="false">Q531-$G$2+$I$2</f>
        <v>12830.0009706398</v>
      </c>
      <c r="S531" s="42" t="n">
        <f aca="false">R531/$K$2</f>
        <v>66.9624267778698</v>
      </c>
      <c r="T531" s="43" t="n">
        <f aca="false">S531-$M$2</f>
        <v>5.06596998661735E-006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0.109456539154053</v>
      </c>
      <c r="C532" s="25" t="n">
        <f aca="false">IF(T531&gt;0,D531,C531)</f>
        <v>0.109456896781921</v>
      </c>
      <c r="D532" s="41" t="n">
        <f aca="false">(B532+C532)/2</f>
        <v>0.109456717967987</v>
      </c>
      <c r="E532" s="15" t="n">
        <f aca="false">$C$2*(1+IF(E$3&lt;=$O$2,$D532,$D532-($D532-$I$508)*MIN(E$3-$O$2,$Q$2)/$Q$2))</f>
        <v>5436.33791804314</v>
      </c>
      <c r="F532" s="15" t="n">
        <f aca="false">E532*(1+IF(F$3&lt;=$O$2,$D532,$D532-($D532-$I$508)*MIN(F$3-$O$2,$Q$2)/$Q$2))</f>
        <v>6031.38162431706</v>
      </c>
      <c r="G532" s="15" t="n">
        <f aca="false">F532*(1+IF(G$3&lt;=$O$2,$D532,$D532-($D532-$I$508)*MIN(G$3-$O$2,$Q$2)/$Q$2))</f>
        <v>6691.55686172723</v>
      </c>
      <c r="H532" s="15" t="n">
        <f aca="false">G532*(1+IF(H$3&lt;=$O$2,$D532,$D532-($D532-$I$508)*MIN(H$3-$O$2,$Q$2)/$Q$2))</f>
        <v>7423.99271390806</v>
      </c>
      <c r="I532" s="15" t="n">
        <f aca="false">H532*(1+IF(I$3&lt;=$O$2,$D532,$D532-($D532-$I$508)*MIN(I$3-$O$2,$Q$2)/$Q$2))</f>
        <v>8236.59859059068</v>
      </c>
      <c r="J532" s="15" t="n">
        <f aca="false">I532*(1+IF(J$3&lt;=$O$2,$D532,$D532-($D532-$I$508)*MIN(J$3-$O$2,$Q$2)/$Q$2))</f>
        <v>9004.45857777007</v>
      </c>
      <c r="K532" s="15" t="n">
        <f aca="false">J532*(1+IF(K$3&lt;=$O$2,$D532,$D532-($D532-$I$508)*MIN(K$3-$O$2,$Q$2)/$Q$2))</f>
        <v>9697.74813867126</v>
      </c>
      <c r="L532" s="15" t="n">
        <f aca="false">K532*(1+IF(L$3&lt;=$O$2,$D532,$D532-($D532-$I$508)*MIN(L$3-$O$2,$Q$2)/$Q$2))</f>
        <v>10287.0093752415</v>
      </c>
      <c r="M532" s="15" t="n">
        <f aca="false">L532*(1+IF(M$3&lt;=$O$2,$D532,$D532-($D532-$I$508)*MIN(M$3-$O$2,$Q$2)/$Q$2))</f>
        <v>10745.103724281</v>
      </c>
      <c r="N532" s="15" t="n">
        <f aca="false">M532*(1+IF(N$3&lt;=$O$2,$D532,$D532-($D532-$I$508)*MIN(N$3-$O$2,$Q$2)/$Q$2))</f>
        <v>11049.1901596781</v>
      </c>
      <c r="O532" s="15" t="n">
        <f aca="false">SUMPRODUCT(E532:N532,1/(1+$F$508)^$E$3:$N$3)*$E$2</f>
        <v>7845.8767540572</v>
      </c>
      <c r="P532" s="15" t="n">
        <f aca="false">N532*$E$2*(1+$I$508)/($F$508-$I$508)/(1+$F$508)^$N$3</f>
        <v>9804.60703640312</v>
      </c>
      <c r="Q532" s="15" t="n">
        <f aca="false">O532+P532</f>
        <v>17650.4837904603</v>
      </c>
      <c r="R532" s="15" t="n">
        <f aca="false">Q532-$G$2+$I$2</f>
        <v>12829.9837904603</v>
      </c>
      <c r="S532" s="42" t="n">
        <f aca="false">R532/$K$2</f>
        <v>66.962337110962</v>
      </c>
      <c r="T532" s="43" t="n">
        <f aca="false">S532-$M$2</f>
        <v>-8.46009377966084E-005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0.109456717967987</v>
      </c>
      <c r="C533" s="25" t="n">
        <f aca="false">IF(T532&gt;0,D532,C532)</f>
        <v>0.109456896781921</v>
      </c>
      <c r="D533" s="41" t="n">
        <f aca="false">(B533+C533)/2</f>
        <v>0.109456807374954</v>
      </c>
      <c r="E533" s="15" t="n">
        <f aca="false">$C$2*(1+IF(E$3&lt;=$O$2,$D533,$D533-($D533-$I$508)*MIN(E$3-$O$2,$Q$2)/$Q$2))</f>
        <v>5436.33835613728</v>
      </c>
      <c r="F533" s="15" t="n">
        <f aca="false">E533*(1+IF(F$3&lt;=$O$2,$D533,$D533-($D533-$I$508)*MIN(F$3-$O$2,$Q$2)/$Q$2))</f>
        <v>6031.38259641007</v>
      </c>
      <c r="G533" s="15" t="n">
        <f aca="false">F533*(1+IF(G$3&lt;=$O$2,$D533,$D533-($D533-$I$508)*MIN(G$3-$O$2,$Q$2)/$Q$2))</f>
        <v>6691.55847946998</v>
      </c>
      <c r="H533" s="15" t="n">
        <f aca="false">G533*(1+IF(H$3&lt;=$O$2,$D533,$D533-($D533-$I$508)*MIN(H$3-$O$2,$Q$2)/$Q$2))</f>
        <v>7423.99510699556</v>
      </c>
      <c r="I533" s="15" t="n">
        <f aca="false">H533*(1+IF(I$3&lt;=$O$2,$D533,$D533-($D533-$I$508)*MIN(I$3-$O$2,$Q$2)/$Q$2))</f>
        <v>8236.60190937458</v>
      </c>
      <c r="J533" s="15" t="n">
        <f aca="false">I533*(1+IF(J$3&lt;=$O$2,$D533,$D533-($D533-$I$508)*MIN(J$3-$O$2,$Q$2)/$Q$2))</f>
        <v>9004.46279507651</v>
      </c>
      <c r="K533" s="15" t="n">
        <f aca="false">J533*(1+IF(K$3&lt;=$O$2,$D533,$D533-($D533-$I$508)*MIN(K$3-$O$2,$Q$2)/$Q$2))</f>
        <v>9697.75316372216</v>
      </c>
      <c r="L533" s="15" t="n">
        <f aca="false">K533*(1+IF(L$3&lt;=$O$2,$D533,$D533-($D533-$I$508)*MIN(L$3-$O$2,$Q$2)/$Q$2))</f>
        <v>10287.0150524467</v>
      </c>
      <c r="M533" s="15" t="n">
        <f aca="false">L533*(1+IF(M$3&lt;=$O$2,$D533,$D533-($D533-$I$508)*MIN(M$3-$O$2,$Q$2)/$Q$2))</f>
        <v>10745.1098382459</v>
      </c>
      <c r="N533" s="15" t="n">
        <f aca="false">M533*(1+IF(N$3&lt;=$O$2,$D533,$D533-($D533-$I$508)*MIN(N$3-$O$2,$Q$2)/$Q$2))</f>
        <v>11049.1964466683</v>
      </c>
      <c r="O533" s="15" t="n">
        <f aca="false">SUMPRODUCT(E533:N533,1/(1+$F$508)^$E$3:$N$3)*$E$2</f>
        <v>7845.87976532279</v>
      </c>
      <c r="P533" s="15" t="n">
        <f aca="false">N533*$E$2*(1+$I$508)/($F$508-$I$508)/(1+$F$508)^$N$3</f>
        <v>9804.61261522533</v>
      </c>
      <c r="Q533" s="15" t="n">
        <f aca="false">O533+P533</f>
        <v>17650.4923805481</v>
      </c>
      <c r="R533" s="15" t="n">
        <f aca="false">Q533-$G$2+$I$2</f>
        <v>12829.9923805481</v>
      </c>
      <c r="S533" s="42" t="n">
        <f aca="false">R533/$K$2</f>
        <v>66.9623819444056</v>
      </c>
      <c r="T533" s="43" t="n">
        <f aca="false">S533-$M$2</f>
        <v>-3.97674941723381E-005</v>
      </c>
    </row>
    <row r="535" customFormat="false" ht="15" hidden="false" customHeight="false" outlineLevel="0" collapsed="false">
      <c r="A535" s="38" t="s">
        <v>191</v>
      </c>
      <c r="E535" s="5" t="s">
        <v>11</v>
      </c>
      <c r="F535" s="12" t="n">
        <f aca="false">Sensitivity!$B$13</f>
        <v>0.100084897741638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153</v>
      </c>
      <c r="B536" s="28" t="s">
        <v>154</v>
      </c>
      <c r="C536" s="28" t="s">
        <v>155</v>
      </c>
      <c r="D536" s="28" t="s">
        <v>156</v>
      </c>
      <c r="E536" s="28" t="s">
        <v>157</v>
      </c>
      <c r="F536" s="28" t="s">
        <v>158</v>
      </c>
      <c r="G536" s="28" t="s">
        <v>159</v>
      </c>
      <c r="H536" s="28" t="s">
        <v>160</v>
      </c>
      <c r="I536" s="28" t="s">
        <v>161</v>
      </c>
      <c r="J536" s="28" t="s">
        <v>162</v>
      </c>
      <c r="K536" s="28" t="s">
        <v>163</v>
      </c>
      <c r="L536" s="28" t="s">
        <v>164</v>
      </c>
      <c r="M536" s="28" t="s">
        <v>165</v>
      </c>
      <c r="N536" s="28" t="s">
        <v>166</v>
      </c>
      <c r="O536" s="28" t="s">
        <v>167</v>
      </c>
      <c r="P536" s="28" t="s">
        <v>168</v>
      </c>
      <c r="Q536" s="28" t="s">
        <v>169</v>
      </c>
      <c r="R536" s="28" t="s">
        <v>170</v>
      </c>
      <c r="S536" s="28" t="s">
        <v>171</v>
      </c>
      <c r="T536" s="28" t="s">
        <v>172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6125</v>
      </c>
      <c r="F537" s="15" t="n">
        <f aca="false">E537*(1+IF(F$3&lt;=$O$2,$D537,$D537-($D537-$I$535)*MIN(F$3-$O$2,$Q$2)/$Q$2))</f>
        <v>7656.25</v>
      </c>
      <c r="G537" s="15" t="n">
        <f aca="false">F537*(1+IF(G$3&lt;=$O$2,$D537,$D537-($D537-$I$535)*MIN(G$3-$O$2,$Q$2)/$Q$2))</f>
        <v>9570.3125</v>
      </c>
      <c r="H537" s="15" t="n">
        <f aca="false">G537*(1+IF(H$3&lt;=$O$2,$D537,$D537-($D537-$I$535)*MIN(H$3-$O$2,$Q$2)/$Q$2))</f>
        <v>11962.890625</v>
      </c>
      <c r="I537" s="15" t="n">
        <f aca="false">H537*(1+IF(I$3&lt;=$O$2,$D537,$D537-($D537-$I$535)*MIN(I$3-$O$2,$Q$2)/$Q$2))</f>
        <v>14953.61328125</v>
      </c>
      <c r="J537" s="15" t="n">
        <f aca="false">I537*(1+IF(J$3&lt;=$O$2,$D537,$D537-($D537-$I$535)*MIN(J$3-$O$2,$Q$2)/$Q$2))</f>
        <v>18043.9270019531</v>
      </c>
      <c r="K537" s="15" t="n">
        <f aca="false">J537*(1+IF(K$3&lt;=$O$2,$D537,$D537-($D537-$I$535)*MIN(K$3-$O$2,$Q$2)/$Q$2))</f>
        <v>20990.8611599121</v>
      </c>
      <c r="L537" s="15" t="n">
        <f aca="false">K537*(1+IF(L$3&lt;=$O$2,$D537,$D537-($D537-$I$535)*MIN(L$3-$O$2,$Q$2)/$Q$2))</f>
        <v>23509.3446818784</v>
      </c>
      <c r="M537" s="15" t="n">
        <f aca="false">L537*(1+IF(M$3&lt;=$O$2,$D537,$D537-($D537-$I$535)*MIN(M$3-$O$2,$Q$2)/$Q$2))</f>
        <v>25311.1008582975</v>
      </c>
      <c r="N537" s="15" t="n">
        <f aca="false">M537*(1+IF(N$3&lt;=$O$2,$D537,$D537-($D537-$I$535)*MIN(N$3-$O$2,$Q$2)/$Q$2))</f>
        <v>26153.9605168788</v>
      </c>
      <c r="O537" s="15" t="n">
        <f aca="false">SUMPRODUCT(E537:N537,1/(1+$F$535)^$E$3:$N$3)*$E$2</f>
        <v>14349.7819599092</v>
      </c>
      <c r="P537" s="15" t="n">
        <f aca="false">N537*$E$2*(1+$I$535)/($F$535-$I$535)/(1+$F$535)^$N$3</f>
        <v>25066.7841981787</v>
      </c>
      <c r="Q537" s="15" t="n">
        <f aca="false">O537+P537</f>
        <v>39416.5661580879</v>
      </c>
      <c r="R537" s="15" t="n">
        <f aca="false">Q537-$G$2+$I$2</f>
        <v>34596.0661580879</v>
      </c>
      <c r="S537" s="42" t="n">
        <f aca="false">R537/$K$2</f>
        <v>180.564019614237</v>
      </c>
      <c r="T537" s="43" t="n">
        <f aca="false">S537-$M$2</f>
        <v>113.601597902338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4287.5</v>
      </c>
      <c r="F538" s="15" t="n">
        <f aca="false">E538*(1+IF(F$3&lt;=$O$2,$D538,$D538-($D538-$I$535)*MIN(F$3-$O$2,$Q$2)/$Q$2))</f>
        <v>3751.5625</v>
      </c>
      <c r="G538" s="15" t="n">
        <f aca="false">F538*(1+IF(G$3&lt;=$O$2,$D538,$D538-($D538-$I$535)*MIN(G$3-$O$2,$Q$2)/$Q$2))</f>
        <v>3282.6171875</v>
      </c>
      <c r="H538" s="15" t="n">
        <f aca="false">G538*(1+IF(H$3&lt;=$O$2,$D538,$D538-($D538-$I$535)*MIN(H$3-$O$2,$Q$2)/$Q$2))</f>
        <v>2872.2900390625</v>
      </c>
      <c r="I538" s="15" t="n">
        <f aca="false">H538*(1+IF(I$3&lt;=$O$2,$D538,$D538-($D538-$I$535)*MIN(I$3-$O$2,$Q$2)/$Q$2))</f>
        <v>2513.25378417969</v>
      </c>
      <c r="J538" s="15" t="n">
        <f aca="false">I538*(1+IF(J$3&lt;=$O$2,$D538,$D538-($D538-$I$535)*MIN(J$3-$O$2,$Q$2)/$Q$2))</f>
        <v>2278.66667596436</v>
      </c>
      <c r="K538" s="15" t="n">
        <f aca="false">J538*(1+IF(K$3&lt;=$O$2,$D538,$D538-($D538-$I$535)*MIN(K$3-$O$2,$Q$2)/$Q$2))</f>
        <v>2138.11851539087</v>
      </c>
      <c r="L538" s="15" t="n">
        <f aca="false">K538*(1+IF(L$3&lt;=$O$2,$D538,$D538-($D538-$I$535)*MIN(L$3-$O$2,$Q$2)/$Q$2))</f>
        <v>2073.93219755884</v>
      </c>
      <c r="M538" s="15" t="n">
        <f aca="false">L538*(1+IF(M$3&lt;=$O$2,$D538,$D538-($D538-$I$535)*MIN(M$3-$O$2,$Q$2)/$Q$2))</f>
        <v>2077.33344636284</v>
      </c>
      <c r="N538" s="15" t="n">
        <f aca="false">M538*(1+IF(N$3&lt;=$O$2,$D538,$D538-($D538-$I$535)*MIN(N$3-$O$2,$Q$2)/$Q$2))</f>
        <v>2146.50865012672</v>
      </c>
      <c r="O538" s="15" t="n">
        <f aca="false">SUMPRODUCT(E538:N538,1/(1+$F$535)^$E$3:$N$3)*$E$2</f>
        <v>2900.87623379548</v>
      </c>
      <c r="P538" s="15" t="n">
        <f aca="false">N538*$E$2*(1+$I$535)/($F$535-$I$535)/(1+$F$535)^$N$3</f>
        <v>2057.28188193623</v>
      </c>
      <c r="Q538" s="15" t="n">
        <f aca="false">O538+P538</f>
        <v>4958.15811573171</v>
      </c>
      <c r="R538" s="15" t="n">
        <f aca="false">Q538-$G$2+$I$2</f>
        <v>137.658115731712</v>
      </c>
      <c r="S538" s="42" t="n">
        <f aca="false">R538/$K$2</f>
        <v>0.718466157263634</v>
      </c>
      <c r="T538" s="43" t="n">
        <f aca="false">S538-$M$2</f>
        <v>-66.2439555546362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5206.25</v>
      </c>
      <c r="F539" s="15" t="n">
        <f aca="false">E539*(1+IF(F$3&lt;=$O$2,$D539,$D539-($D539-$I$535)*MIN(F$3-$O$2,$Q$2)/$Q$2))</f>
        <v>5531.640625</v>
      </c>
      <c r="G539" s="15" t="n">
        <f aca="false">F539*(1+IF(G$3&lt;=$O$2,$D539,$D539-($D539-$I$535)*MIN(G$3-$O$2,$Q$2)/$Q$2))</f>
        <v>5877.3681640625</v>
      </c>
      <c r="H539" s="15" t="n">
        <f aca="false">G539*(1+IF(H$3&lt;=$O$2,$D539,$D539-($D539-$I$535)*MIN(H$3-$O$2,$Q$2)/$Q$2))</f>
        <v>6244.70367431641</v>
      </c>
      <c r="I539" s="15" t="n">
        <f aca="false">H539*(1+IF(I$3&lt;=$O$2,$D539,$D539-($D539-$I$535)*MIN(I$3-$O$2,$Q$2)/$Q$2))</f>
        <v>6634.99765396118</v>
      </c>
      <c r="J539" s="15" t="n">
        <f aca="false">I539*(1+IF(J$3&lt;=$O$2,$D539,$D539-($D539-$I$535)*MIN(J$3-$O$2,$Q$2)/$Q$2))</f>
        <v>7010.93662103462</v>
      </c>
      <c r="K539" s="15" t="n">
        <f aca="false">J539*(1+IF(K$3&lt;=$O$2,$D539,$D539-($D539-$I$535)*MIN(K$3-$O$2,$Q$2)/$Q$2))</f>
        <v>7367.2324201156</v>
      </c>
      <c r="L539" s="15" t="n">
        <f aca="false">K539*(1+IF(L$3&lt;=$O$2,$D539,$D539-($D539-$I$535)*MIN(L$3-$O$2,$Q$2)/$Q$2))</f>
        <v>7698.6105343724</v>
      </c>
      <c r="M539" s="15" t="n">
        <f aca="false">L539*(1+IF(M$3&lt;=$O$2,$D539,$D539-($D539-$I$535)*MIN(M$3-$O$2,$Q$2)/$Q$2))</f>
        <v>7999.93415068774</v>
      </c>
      <c r="N539" s="15" t="n">
        <f aca="false">M539*(1+IF(N$3&lt;=$O$2,$D539,$D539-($D539-$I$535)*MIN(N$3-$O$2,$Q$2)/$Q$2))</f>
        <v>8266.33195790564</v>
      </c>
      <c r="O539" s="15" t="n">
        <f aca="false">SUMPRODUCT(E539:N539,1/(1+$F$535)^$E$3:$N$3)*$E$2</f>
        <v>6431.63131993189</v>
      </c>
      <c r="P539" s="15" t="n">
        <f aca="false">N539*$E$2*(1+$I$535)/($F$535-$I$535)/(1+$F$535)^$N$3</f>
        <v>7922.71438834674</v>
      </c>
      <c r="Q539" s="15" t="n">
        <f aca="false">O539+P539</f>
        <v>14354.3457082786</v>
      </c>
      <c r="R539" s="15" t="n">
        <f aca="false">Q539-$G$2+$I$2</f>
        <v>9533.84570827863</v>
      </c>
      <c r="S539" s="42" t="n">
        <f aca="false">R539/$K$2</f>
        <v>49.7591112123102</v>
      </c>
      <c r="T539" s="43" t="n">
        <f aca="false">S539-$M$2</f>
        <v>-17.2033104995896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41" t="n">
        <f aca="false">(B540+C540)/2</f>
        <v>0.15625</v>
      </c>
      <c r="E540" s="15" t="n">
        <f aca="false">$C$2*(1+IF(E$3&lt;=$O$2,$D540,$D540-($D540-$I$535)*MIN(E$3-$O$2,$Q$2)/$Q$2))</f>
        <v>5665.625</v>
      </c>
      <c r="F540" s="15" t="n">
        <f aca="false">E540*(1+IF(F$3&lt;=$O$2,$D540,$D540-($D540-$I$535)*MIN(F$3-$O$2,$Q$2)/$Q$2))</f>
        <v>6550.87890625</v>
      </c>
      <c r="G540" s="15" t="n">
        <f aca="false">F540*(1+IF(G$3&lt;=$O$2,$D540,$D540-($D540-$I$535)*MIN(G$3-$O$2,$Q$2)/$Q$2))</f>
        <v>7574.45373535156</v>
      </c>
      <c r="H540" s="15" t="n">
        <f aca="false">G540*(1+IF(H$3&lt;=$O$2,$D540,$D540-($D540-$I$535)*MIN(H$3-$O$2,$Q$2)/$Q$2))</f>
        <v>8757.96213150024</v>
      </c>
      <c r="I540" s="15" t="n">
        <f aca="false">H540*(1+IF(I$3&lt;=$O$2,$D540,$D540-($D540-$I$535)*MIN(I$3-$O$2,$Q$2)/$Q$2))</f>
        <v>10126.3937145472</v>
      </c>
      <c r="J540" s="15" t="n">
        <f aca="false">I540*(1+IF(J$3&lt;=$O$2,$D540,$D540-($D540-$I$535)*MIN(J$3-$O$2,$Q$2)/$Q$2))</f>
        <v>11459.6347110044</v>
      </c>
      <c r="K540" s="15" t="n">
        <f aca="false">J540*(1+IF(K$3&lt;=$O$2,$D540,$D540-($D540-$I$535)*MIN(K$3-$O$2,$Q$2)/$Q$2))</f>
        <v>12686.6177995117</v>
      </c>
      <c r="L540" s="15" t="n">
        <f aca="false">K540*(1+IF(L$3&lt;=$O$2,$D540,$D540-($D540-$I$535)*MIN(L$3-$O$2,$Q$2)/$Q$2))</f>
        <v>13733.0100356154</v>
      </c>
      <c r="M540" s="15" t="n">
        <f aca="false">L540*(1+IF(M$3&lt;=$O$2,$D540,$D540-($D540-$I$535)*MIN(M$3-$O$2,$Q$2)/$Q$2))</f>
        <v>14528.0139865772</v>
      </c>
      <c r="N540" s="15" t="n">
        <f aca="false">M540*(1+IF(N$3&lt;=$O$2,$D540,$D540-($D540-$I$535)*MIN(N$3-$O$2,$Q$2)/$Q$2))</f>
        <v>15011.7968523302</v>
      </c>
      <c r="O540" s="15" t="n">
        <f aca="false">SUMPRODUCT(E540:N540,1/(1+$F$535)^$E$3:$N$3)*$E$2</f>
        <v>9620.94011068322</v>
      </c>
      <c r="P540" s="15" t="n">
        <f aca="false">N540*$E$2*(1+$I$535)/($F$535-$I$535)/(1+$F$535)^$N$3</f>
        <v>14387.7816088852</v>
      </c>
      <c r="Q540" s="15" t="n">
        <f aca="false">O540+P540</f>
        <v>24008.7217195684</v>
      </c>
      <c r="R540" s="15" t="n">
        <f aca="false">Q540-$G$2+$I$2</f>
        <v>19188.2217195684</v>
      </c>
      <c r="S540" s="42" t="n">
        <f aca="false">R540/$K$2</f>
        <v>100.147294987309</v>
      </c>
      <c r="T540" s="43" t="n">
        <f aca="false">S540-$M$2</f>
        <v>33.1848732754093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41" t="n">
        <f aca="false">(B541+C541)/2</f>
        <v>0.109375</v>
      </c>
      <c r="E541" s="15" t="n">
        <f aca="false">$C$2*(1+IF(E$3&lt;=$O$2,$D541,$D541-($D541-$I$535)*MIN(E$3-$O$2,$Q$2)/$Q$2))</f>
        <v>5435.9375</v>
      </c>
      <c r="F541" s="15" t="n">
        <f aca="false">E541*(1+IF(F$3&lt;=$O$2,$D541,$D541-($D541-$I$535)*MIN(F$3-$O$2,$Q$2)/$Q$2))</f>
        <v>6030.4931640625</v>
      </c>
      <c r="G541" s="15" t="n">
        <f aca="false">F541*(1+IF(G$3&lt;=$O$2,$D541,$D541-($D541-$I$535)*MIN(G$3-$O$2,$Q$2)/$Q$2))</f>
        <v>6690.07835388184</v>
      </c>
      <c r="H541" s="15" t="n">
        <f aca="false">G541*(1+IF(H$3&lt;=$O$2,$D541,$D541-($D541-$I$535)*MIN(H$3-$O$2,$Q$2)/$Q$2))</f>
        <v>7421.80567383766</v>
      </c>
      <c r="I541" s="15" t="n">
        <f aca="false">H541*(1+IF(I$3&lt;=$O$2,$D541,$D541-($D541-$I$535)*MIN(I$3-$O$2,$Q$2)/$Q$2))</f>
        <v>8233.56566941366</v>
      </c>
      <c r="J541" s="15" t="n">
        <f aca="false">I541*(1+IF(J$3&lt;=$O$2,$D541,$D541-($D541-$I$535)*MIN(J$3-$O$2,$Q$2)/$Q$2))</f>
        <v>9008.83821284565</v>
      </c>
      <c r="K541" s="15" t="n">
        <f aca="false">J541*(1+IF(K$3&lt;=$O$2,$D541,$D541-($D541-$I$535)*MIN(K$3-$O$2,$Q$2)/$Q$2))</f>
        <v>9720.04094555875</v>
      </c>
      <c r="L541" s="15" t="n">
        <f aca="false">K541*(1+IF(L$3&lt;=$O$2,$D541,$D541-($D541-$I$535)*MIN(L$3-$O$2,$Q$2)/$Q$2))</f>
        <v>10339.4991550192</v>
      </c>
      <c r="M541" s="15" t="n">
        <f aca="false">L541*(1+IF(M$3&lt;=$O$2,$D541,$D541-($D541-$I$535)*MIN(M$3-$O$2,$Q$2)/$Q$2))</f>
        <v>10841.119956525</v>
      </c>
      <c r="N541" s="15" t="n">
        <f aca="false">M541*(1+IF(N$3&lt;=$O$2,$D541,$D541-($D541-$I$535)*MIN(N$3-$O$2,$Q$2)/$Q$2))</f>
        <v>11202.1292510772</v>
      </c>
      <c r="O541" s="15" t="n">
        <f aca="false">SUMPRODUCT(E541:N541,1/(1+$F$535)^$E$3:$N$3)*$E$2</f>
        <v>7867.16661390312</v>
      </c>
      <c r="P541" s="15" t="n">
        <f aca="false">N541*$E$2*(1+$I$535)/($F$535-$I$535)/(1+$F$535)^$N$3</f>
        <v>10736.4755068602</v>
      </c>
      <c r="Q541" s="15" t="n">
        <f aca="false">O541+P541</f>
        <v>18603.6421207633</v>
      </c>
      <c r="R541" s="15" t="n">
        <f aca="false">Q541-$G$2+$I$2</f>
        <v>13783.1421207633</v>
      </c>
      <c r="S541" s="42" t="n">
        <f aca="false">R541/$K$2</f>
        <v>71.9370674361342</v>
      </c>
      <c r="T541" s="43" t="n">
        <f aca="false">S541-$M$2</f>
        <v>4.97464572423444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0.0625</v>
      </c>
      <c r="C542" s="25" t="n">
        <f aca="false">IF(T541&gt;0,D541,C541)</f>
        <v>0.109375</v>
      </c>
      <c r="D542" s="41" t="n">
        <f aca="false">(B542+C542)/2</f>
        <v>0.0859375</v>
      </c>
      <c r="E542" s="15" t="n">
        <f aca="false">$C$2*(1+IF(E$3&lt;=$O$2,$D542,$D542-($D542-$I$535)*MIN(E$3-$O$2,$Q$2)/$Q$2))</f>
        <v>5321.09375</v>
      </c>
      <c r="F542" s="15" t="n">
        <f aca="false">E542*(1+IF(F$3&lt;=$O$2,$D542,$D542-($D542-$I$535)*MIN(F$3-$O$2,$Q$2)/$Q$2))</f>
        <v>5778.37524414063</v>
      </c>
      <c r="G542" s="15" t="n">
        <f aca="false">F542*(1+IF(G$3&lt;=$O$2,$D542,$D542-($D542-$I$535)*MIN(G$3-$O$2,$Q$2)/$Q$2))</f>
        <v>6274.95436668396</v>
      </c>
      <c r="H542" s="15" t="n">
        <f aca="false">G542*(1+IF(H$3&lt;=$O$2,$D542,$D542-($D542-$I$535)*MIN(H$3-$O$2,$Q$2)/$Q$2))</f>
        <v>6814.20825757086</v>
      </c>
      <c r="I542" s="15" t="n">
        <f aca="false">H542*(1+IF(I$3&lt;=$O$2,$D542,$D542-($D542-$I$535)*MIN(I$3-$O$2,$Q$2)/$Q$2))</f>
        <v>7399.80427970586</v>
      </c>
      <c r="J542" s="15" t="n">
        <f aca="false">I542*(1+IF(J$3&lt;=$O$2,$D542,$D542-($D542-$I$535)*MIN(J$3-$O$2,$Q$2)/$Q$2))</f>
        <v>7957.82352043848</v>
      </c>
      <c r="K542" s="15" t="n">
        <f aca="false">J542*(1+IF(K$3&lt;=$O$2,$D542,$D542-($D542-$I$535)*MIN(K$3-$O$2,$Q$2)/$Q$2))</f>
        <v>8474.14700500333</v>
      </c>
      <c r="L542" s="15" t="n">
        <f aca="false">K542*(1+IF(L$3&lt;=$O$2,$D542,$D542-($D542-$I$535)*MIN(L$3-$O$2,$Q$2)/$Q$2))</f>
        <v>8934.75926546028</v>
      </c>
      <c r="M542" s="15" t="n">
        <f aca="false">L542*(1+IF(M$3&lt;=$O$2,$D542,$D542-($D542-$I$535)*MIN(M$3-$O$2,$Q$2)/$Q$2))</f>
        <v>9326.34742716724</v>
      </c>
      <c r="N542" s="15" t="n">
        <f aca="false">M542*(1+IF(N$3&lt;=$O$2,$D542,$D542-($D542-$I$535)*MIN(N$3-$O$2,$Q$2)/$Q$2))</f>
        <v>9636.91479649191</v>
      </c>
      <c r="O542" s="15" t="n">
        <f aca="false">SUMPRODUCT(E542:N542,1/(1+$F$535)^$E$3:$N$3)*$E$2</f>
        <v>7113.23038986114</v>
      </c>
      <c r="P542" s="15" t="n">
        <f aca="false">N542*$E$2*(1+$I$535)/($F$535-$I$535)/(1+$F$535)^$N$3</f>
        <v>9236.32439469346</v>
      </c>
      <c r="Q542" s="15" t="n">
        <f aca="false">O542+P542</f>
        <v>16349.5547845546</v>
      </c>
      <c r="R542" s="15" t="n">
        <f aca="false">Q542-$G$2+$I$2</f>
        <v>11529.0547845546</v>
      </c>
      <c r="S542" s="42" t="n">
        <f aca="false">R542/$K$2</f>
        <v>60.1725197523727</v>
      </c>
      <c r="T542" s="43" t="n">
        <f aca="false">S542-$M$2</f>
        <v>-6.78990195952711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0.0859375</v>
      </c>
      <c r="C543" s="25" t="n">
        <f aca="false">IF(T542&gt;0,D542,C542)</f>
        <v>0.109375</v>
      </c>
      <c r="D543" s="41" t="n">
        <f aca="false">(B543+C543)/2</f>
        <v>0.09765625</v>
      </c>
      <c r="E543" s="15" t="n">
        <f aca="false">$C$2*(1+IF(E$3&lt;=$O$2,$D543,$D543-($D543-$I$535)*MIN(E$3-$O$2,$Q$2)/$Q$2))</f>
        <v>5378.515625</v>
      </c>
      <c r="F543" s="15" t="n">
        <f aca="false">E543*(1+IF(F$3&lt;=$O$2,$D543,$D543-($D543-$I$535)*MIN(F$3-$O$2,$Q$2)/$Q$2))</f>
        <v>5903.76129150391</v>
      </c>
      <c r="G543" s="15" t="n">
        <f aca="false">F543*(1+IF(G$3&lt;=$O$2,$D543,$D543-($D543-$I$535)*MIN(G$3-$O$2,$Q$2)/$Q$2))</f>
        <v>6480.30048012734</v>
      </c>
      <c r="H543" s="15" t="n">
        <f aca="false">G543*(1+IF(H$3&lt;=$O$2,$D543,$D543-($D543-$I$535)*MIN(H$3-$O$2,$Q$2)/$Q$2))</f>
        <v>7113.14232388977</v>
      </c>
      <c r="I543" s="15" t="n">
        <f aca="false">H543*(1+IF(I$3&lt;=$O$2,$D543,$D543-($D543-$I$535)*MIN(I$3-$O$2,$Q$2)/$Q$2))</f>
        <v>7807.78512895713</v>
      </c>
      <c r="J543" s="15" t="n">
        <f aca="false">I543*(1+IF(J$3&lt;=$O$2,$D543,$D543-($D543-$I$535)*MIN(J$3-$O$2,$Q$2)/$Q$2))</f>
        <v>8469.76819111576</v>
      </c>
      <c r="K543" s="15" t="n">
        <f aca="false">J543*(1+IF(K$3&lt;=$O$2,$D543,$D543-($D543-$I$535)*MIN(K$3-$O$2,$Q$2)/$Q$2))</f>
        <v>9078.86098336961</v>
      </c>
      <c r="L543" s="15" t="n">
        <f aca="false">K543*(1+IF(L$3&lt;=$O$2,$D543,$D543-($D543-$I$535)*MIN(L$3-$O$2,$Q$2)/$Q$2))</f>
        <v>9614.89963298021</v>
      </c>
      <c r="M543" s="15" t="n">
        <f aca="false">L543*(1+IF(M$3&lt;=$O$2,$D543,$D543-($D543-$I$535)*MIN(M$3-$O$2,$Q$2)/$Q$2))</f>
        <v>10058.8315676594</v>
      </c>
      <c r="N543" s="15" t="n">
        <f aca="false">M543*(1+IF(N$3&lt;=$O$2,$D543,$D543-($D543-$I$535)*MIN(N$3-$O$2,$Q$2)/$Q$2))</f>
        <v>10393.7906588625</v>
      </c>
      <c r="O543" s="15" t="n">
        <f aca="false">SUMPRODUCT(E543:N543,1/(1+$F$535)^$E$3:$N$3)*$E$2</f>
        <v>7480.72762407923</v>
      </c>
      <c r="P543" s="15" t="n">
        <f aca="false">N543*$E$2*(1+$I$535)/($F$535-$I$535)/(1+$F$535)^$N$3</f>
        <v>9961.73819558263</v>
      </c>
      <c r="Q543" s="15" t="n">
        <f aca="false">O543+P543</f>
        <v>17442.4658196619</v>
      </c>
      <c r="R543" s="15" t="n">
        <f aca="false">Q543-$G$2+$I$2</f>
        <v>12621.9658196619</v>
      </c>
      <c r="S543" s="42" t="n">
        <f aca="false">R543/$K$2</f>
        <v>65.876648328089</v>
      </c>
      <c r="T543" s="43" t="n">
        <f aca="false">S543-$M$2</f>
        <v>-1.08577338381076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0.09765625</v>
      </c>
      <c r="C544" s="25" t="n">
        <f aca="false">IF(T543&gt;0,D543,C543)</f>
        <v>0.109375</v>
      </c>
      <c r="D544" s="41" t="n">
        <f aca="false">(B544+C544)/2</f>
        <v>0.103515625</v>
      </c>
      <c r="E544" s="15" t="n">
        <f aca="false">$C$2*(1+IF(E$3&lt;=$O$2,$D544,$D544-($D544-$I$535)*MIN(E$3-$O$2,$Q$2)/$Q$2))</f>
        <v>5407.2265625</v>
      </c>
      <c r="F544" s="15" t="n">
        <f aca="false">E544*(1+IF(F$3&lt;=$O$2,$D544,$D544-($D544-$I$535)*MIN(F$3-$O$2,$Q$2)/$Q$2))</f>
        <v>5966.95899963379</v>
      </c>
      <c r="G544" s="15" t="n">
        <f aca="false">F544*(1+IF(G$3&lt;=$O$2,$D544,$D544-($D544-$I$535)*MIN(G$3-$O$2,$Q$2)/$Q$2))</f>
        <v>6584.63248983026</v>
      </c>
      <c r="H544" s="15" t="n">
        <f aca="false">G544*(1+IF(H$3&lt;=$O$2,$D544,$D544-($D544-$I$535)*MIN(H$3-$O$2,$Q$2)/$Q$2))</f>
        <v>7266.24483741034</v>
      </c>
      <c r="I544" s="15" t="n">
        <f aca="false">H544*(1+IF(I$3&lt;=$O$2,$D544,$D544-($D544-$I$535)*MIN(I$3-$O$2,$Q$2)/$Q$2))</f>
        <v>8018.4147131579</v>
      </c>
      <c r="J544" s="15" t="n">
        <f aca="false">I544*(1+IF(J$3&lt;=$O$2,$D544,$D544-($D544-$I$535)*MIN(J$3-$O$2,$Q$2)/$Q$2))</f>
        <v>8735.84232358092</v>
      </c>
      <c r="K544" s="15" t="n">
        <f aca="false">J544*(1+IF(K$3&lt;=$O$2,$D544,$D544-($D544-$I$535)*MIN(K$3-$O$2,$Q$2)/$Q$2))</f>
        <v>9394.78145014717</v>
      </c>
      <c r="L544" s="15" t="n">
        <f aca="false">K544*(1+IF(L$3&lt;=$O$2,$D544,$D544-($D544-$I$535)*MIN(L$3-$O$2,$Q$2)/$Q$2))</f>
        <v>9971.49185294127</v>
      </c>
      <c r="M544" s="15" t="n">
        <f aca="false">L544*(1+IF(M$3&lt;=$O$2,$D544,$D544-($D544-$I$535)*MIN(M$3-$O$2,$Q$2)/$Q$2))</f>
        <v>10443.5734381716</v>
      </c>
      <c r="N544" s="15" t="n">
        <f aca="false">M544*(1+IF(N$3&lt;=$O$2,$D544,$D544-($D544-$I$535)*MIN(N$3-$O$2,$Q$2)/$Q$2))</f>
        <v>10791.3444336627</v>
      </c>
      <c r="O544" s="15" t="n">
        <f aca="false">SUMPRODUCT(E544:N544,1/(1+$F$535)^$E$3:$N$3)*$E$2</f>
        <v>7671.52388396197</v>
      </c>
      <c r="P544" s="15" t="n">
        <f aca="false">N544*$E$2*(1+$I$535)/($F$535-$I$535)/(1+$F$535)^$N$3</f>
        <v>10342.7663260509</v>
      </c>
      <c r="Q544" s="15" t="n">
        <f aca="false">O544+P544</f>
        <v>18014.2902100128</v>
      </c>
      <c r="R544" s="15" t="n">
        <f aca="false">Q544-$G$2+$I$2</f>
        <v>13193.7902100128</v>
      </c>
      <c r="S544" s="42" t="n">
        <f aca="false">R544/$K$2</f>
        <v>68.8611180063301</v>
      </c>
      <c r="T544" s="43" t="n">
        <f aca="false">S544-$M$2</f>
        <v>1.89869629443029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0.09765625</v>
      </c>
      <c r="C545" s="25" t="n">
        <f aca="false">IF(T544&gt;0,D544,C544)</f>
        <v>0.103515625</v>
      </c>
      <c r="D545" s="41" t="n">
        <f aca="false">(B545+C545)/2</f>
        <v>0.1005859375</v>
      </c>
      <c r="E545" s="15" t="n">
        <f aca="false">$C$2*(1+IF(E$3&lt;=$O$2,$D545,$D545-($D545-$I$535)*MIN(E$3-$O$2,$Q$2)/$Q$2))</f>
        <v>5392.87109375</v>
      </c>
      <c r="F545" s="15" t="n">
        <f aca="false">E545*(1+IF(F$3&lt;=$O$2,$D545,$D545-($D545-$I$535)*MIN(F$3-$O$2,$Q$2)/$Q$2))</f>
        <v>5935.31808853149</v>
      </c>
      <c r="G545" s="15" t="n">
        <f aca="false">F545*(1+IF(G$3&lt;=$O$2,$D545,$D545-($D545-$I$535)*MIN(G$3-$O$2,$Q$2)/$Q$2))</f>
        <v>6532.32762282714</v>
      </c>
      <c r="H545" s="15" t="n">
        <f aca="false">G545*(1+IF(H$3&lt;=$O$2,$D545,$D545-($D545-$I$535)*MIN(H$3-$O$2,$Q$2)/$Q$2))</f>
        <v>7189.38792082636</v>
      </c>
      <c r="I545" s="15" t="n">
        <f aca="false">H545*(1+IF(I$3&lt;=$O$2,$D545,$D545-($D545-$I$535)*MIN(I$3-$O$2,$Q$2)/$Q$2))</f>
        <v>7912.53924489385</v>
      </c>
      <c r="J545" s="15" t="n">
        <f aca="false">I545*(1+IF(J$3&lt;=$O$2,$D545,$D545-($D545-$I$535)*MIN(J$3-$O$2,$Q$2)/$Q$2))</f>
        <v>8601.9488986274</v>
      </c>
      <c r="K545" s="15" t="n">
        <f aca="false">J545*(1+IF(K$3&lt;=$O$2,$D545,$D545-($D545-$I$535)*MIN(K$3-$O$2,$Q$2)/$Q$2))</f>
        <v>9235.66791453443</v>
      </c>
      <c r="L545" s="15" t="n">
        <f aca="false">K545*(1+IF(L$3&lt;=$O$2,$D545,$D545-($D545-$I$535)*MIN(L$3-$O$2,$Q$2)/$Q$2))</f>
        <v>9791.78788571568</v>
      </c>
      <c r="M545" s="15" t="n">
        <f aca="false">L545*(1+IF(M$3&lt;=$O$2,$D545,$D545-($D545-$I$535)*MIN(M$3-$O$2,$Q$2)/$Q$2))</f>
        <v>10249.6243478483</v>
      </c>
      <c r="N545" s="15" t="n">
        <f aca="false">M545*(1+IF(N$3&lt;=$O$2,$D545,$D545-($D545-$I$535)*MIN(N$3-$O$2,$Q$2)/$Q$2))</f>
        <v>10590.9368386317</v>
      </c>
      <c r="O545" s="15" t="n">
        <f aca="false">SUMPRODUCT(E545:N545,1/(1+$F$535)^$E$3:$N$3)*$E$2</f>
        <v>7575.52697247457</v>
      </c>
      <c r="P545" s="15" t="n">
        <f aca="false">N545*$E$2*(1+$I$535)/($F$535-$I$535)/(1+$F$535)^$N$3</f>
        <v>10150.6893389699</v>
      </c>
      <c r="Q545" s="15" t="n">
        <f aca="false">O545+P545</f>
        <v>17726.2163114444</v>
      </c>
      <c r="R545" s="15" t="n">
        <f aca="false">Q545-$G$2+$I$2</f>
        <v>12905.7163114444</v>
      </c>
      <c r="S545" s="42" t="n">
        <f aca="false">R545/$K$2</f>
        <v>67.3576007904198</v>
      </c>
      <c r="T545" s="43" t="n">
        <f aca="false">S545-$M$2</f>
        <v>0.395179078519959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0.09765625</v>
      </c>
      <c r="C546" s="25" t="n">
        <f aca="false">IF(T545&gt;0,D545,C545)</f>
        <v>0.1005859375</v>
      </c>
      <c r="D546" s="41" t="n">
        <f aca="false">(B546+C546)/2</f>
        <v>0.09912109375</v>
      </c>
      <c r="E546" s="15" t="n">
        <f aca="false">$C$2*(1+IF(E$3&lt;=$O$2,$D546,$D546-($D546-$I$535)*MIN(E$3-$O$2,$Q$2)/$Q$2))</f>
        <v>5385.693359375</v>
      </c>
      <c r="F546" s="15" t="n">
        <f aca="false">E546*(1+IF(F$3&lt;=$O$2,$D546,$D546-($D546-$I$535)*MIN(F$3-$O$2,$Q$2)/$Q$2))</f>
        <v>5919.52917575836</v>
      </c>
      <c r="G546" s="15" t="n">
        <f aca="false">F546*(1+IF(G$3&lt;=$O$2,$D546,$D546-($D546-$I$535)*MIN(G$3-$O$2,$Q$2)/$Q$2))</f>
        <v>6506.27938214457</v>
      </c>
      <c r="H546" s="15" t="n">
        <f aca="false">G546*(1+IF(H$3&lt;=$O$2,$D546,$D546-($D546-$I$535)*MIN(H$3-$O$2,$Q$2)/$Q$2))</f>
        <v>7151.18891074581</v>
      </c>
      <c r="I546" s="15" t="n">
        <f aca="false">H546*(1+IF(I$3&lt;=$O$2,$D546,$D546-($D546-$I$535)*MIN(I$3-$O$2,$Q$2)/$Q$2))</f>
        <v>7860.02257719181</v>
      </c>
      <c r="J546" s="15" t="n">
        <f aca="false">I546*(1+IF(J$3&lt;=$O$2,$D546,$D546-($D546-$I$535)*MIN(J$3-$O$2,$Q$2)/$Q$2))</f>
        <v>8535.64555535666</v>
      </c>
      <c r="K546" s="15" t="n">
        <f aca="false">J546*(1+IF(K$3&lt;=$O$2,$D546,$D546-($D546-$I$535)*MIN(K$3-$O$2,$Q$2)/$Q$2))</f>
        <v>9156.97786813958</v>
      </c>
      <c r="L546" s="15" t="n">
        <f aca="false">K546*(1+IF(L$3&lt;=$O$2,$D546,$D546-($D546-$I$535)*MIN(L$3-$O$2,$Q$2)/$Q$2))</f>
        <v>9702.99415063882</v>
      </c>
      <c r="M546" s="15" t="n">
        <f aca="false">L546*(1+IF(M$3&lt;=$O$2,$D546,$D546-($D546-$I$535)*MIN(M$3-$O$2,$Q$2)/$Q$2))</f>
        <v>10153.8361933841</v>
      </c>
      <c r="N546" s="15" t="n">
        <f aca="false">M546*(1+IF(N$3&lt;=$O$2,$D546,$D546-($D546-$I$535)*MIN(N$3-$O$2,$Q$2)/$Q$2))</f>
        <v>10491.9589386238</v>
      </c>
      <c r="O546" s="15" t="n">
        <f aca="false">SUMPRODUCT(E546:N546,1/(1+$F$535)^$E$3:$N$3)*$E$2</f>
        <v>7527.97847355485</v>
      </c>
      <c r="P546" s="15" t="n">
        <f aca="false">N546*$E$2*(1+$I$535)/($F$535-$I$535)/(1+$F$535)^$N$3</f>
        <v>10055.8257844315</v>
      </c>
      <c r="Q546" s="15" t="n">
        <f aca="false">O546+P546</f>
        <v>17583.8042579864</v>
      </c>
      <c r="R546" s="15" t="n">
        <f aca="false">Q546-$G$2+$I$2</f>
        <v>12763.3042579864</v>
      </c>
      <c r="S546" s="42" t="n">
        <f aca="false">R546/$K$2</f>
        <v>66.6143228496156</v>
      </c>
      <c r="T546" s="43" t="n">
        <f aca="false">S546-$M$2</f>
        <v>-0.348098862284161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0.09912109375</v>
      </c>
      <c r="C547" s="25" t="n">
        <f aca="false">IF(T546&gt;0,D546,C546)</f>
        <v>0.1005859375</v>
      </c>
      <c r="D547" s="41" t="n">
        <f aca="false">(B547+C547)/2</f>
        <v>0.099853515625</v>
      </c>
      <c r="E547" s="15" t="n">
        <f aca="false">$C$2*(1+IF(E$3&lt;=$O$2,$D547,$D547-($D547-$I$535)*MIN(E$3-$O$2,$Q$2)/$Q$2))</f>
        <v>5389.2822265625</v>
      </c>
      <c r="F547" s="15" t="n">
        <f aca="false">E547*(1+IF(F$3&lt;=$O$2,$D547,$D547-($D547-$I$535)*MIN(F$3-$O$2,$Q$2)/$Q$2))</f>
        <v>5927.42100358009</v>
      </c>
      <c r="G547" s="15" t="n">
        <f aca="false">F547*(1+IF(G$3&lt;=$O$2,$D547,$D547-($D547-$I$535)*MIN(G$3-$O$2,$Q$2)/$Q$2))</f>
        <v>6519.29482937703</v>
      </c>
      <c r="H547" s="15" t="n">
        <f aca="false">G547*(1+IF(H$3&lt;=$O$2,$D547,$D547-($D547-$I$535)*MIN(H$3-$O$2,$Q$2)/$Q$2))</f>
        <v>7170.26933748621</v>
      </c>
      <c r="I547" s="15" t="n">
        <f aca="false">H547*(1+IF(I$3&lt;=$O$2,$D547,$D547-($D547-$I$535)*MIN(I$3-$O$2,$Q$2)/$Q$2))</f>
        <v>7886.24593881235</v>
      </c>
      <c r="J547" s="15" t="n">
        <f aca="false">I547*(1+IF(J$3&lt;=$O$2,$D547,$D547-($D547-$I$535)*MIN(J$3-$O$2,$Q$2)/$Q$2))</f>
        <v>8568.74384242388</v>
      </c>
      <c r="K547" s="15" t="n">
        <f aca="false">J547*(1+IF(K$3&lt;=$O$2,$D547,$D547-($D547-$I$535)*MIN(K$3-$O$2,$Q$2)/$Q$2))</f>
        <v>9196.25102869862</v>
      </c>
      <c r="L547" s="15" t="n">
        <f aca="false">K547*(1+IF(L$3&lt;=$O$2,$D547,$D547-($D547-$I$535)*MIN(L$3-$O$2,$Q$2)/$Q$2))</f>
        <v>9747.30332256625</v>
      </c>
      <c r="M547" s="15" t="n">
        <f aca="false">L547*(1+IF(M$3&lt;=$O$2,$D547,$D547-($D547-$I$535)*MIN(M$3-$O$2,$Q$2)/$Q$2))</f>
        <v>10201.6319840037</v>
      </c>
      <c r="N547" s="15" t="n">
        <f aca="false">M547*(1+IF(N$3&lt;=$O$2,$D547,$D547-($D547-$I$535)*MIN(N$3-$O$2,$Q$2)/$Q$2))</f>
        <v>10541.346329071</v>
      </c>
      <c r="O547" s="15" t="n">
        <f aca="false">SUMPRODUCT(E547:N547,1/(1+$F$535)^$E$3:$N$3)*$E$2</f>
        <v>7551.71540834467</v>
      </c>
      <c r="P547" s="15" t="n">
        <f aca="false">N547*$E$2*(1+$I$535)/($F$535-$I$535)/(1+$F$535)^$N$3</f>
        <v>10103.1602238046</v>
      </c>
      <c r="Q547" s="15" t="n">
        <f aca="false">O547+P547</f>
        <v>17654.8756321493</v>
      </c>
      <c r="R547" s="15" t="n">
        <f aca="false">Q547-$G$2+$I$2</f>
        <v>12834.3756321493</v>
      </c>
      <c r="S547" s="42" t="n">
        <f aca="false">R547/$K$2</f>
        <v>66.9852590404451</v>
      </c>
      <c r="T547" s="43" t="n">
        <f aca="false">S547-$M$2</f>
        <v>0.0228373285453216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0.09912109375</v>
      </c>
      <c r="C548" s="25" t="n">
        <f aca="false">IF(T547&gt;0,D547,C547)</f>
        <v>0.099853515625</v>
      </c>
      <c r="D548" s="41" t="n">
        <f aca="false">(B548+C548)/2</f>
        <v>0.0994873046875</v>
      </c>
      <c r="E548" s="15" t="n">
        <f aca="false">$C$2*(1+IF(E$3&lt;=$O$2,$D548,$D548-($D548-$I$535)*MIN(E$3-$O$2,$Q$2)/$Q$2))</f>
        <v>5387.48779296875</v>
      </c>
      <c r="F548" s="15" t="n">
        <f aca="false">E548*(1+IF(F$3&lt;=$O$2,$D548,$D548-($D548-$I$535)*MIN(F$3-$O$2,$Q$2)/$Q$2))</f>
        <v>5923.47443252802</v>
      </c>
      <c r="G548" s="15" t="n">
        <f aca="false">F548*(1+IF(G$3&lt;=$O$2,$D548,$D548-($D548-$I$535)*MIN(G$3-$O$2,$Q$2)/$Q$2))</f>
        <v>6512.78493820555</v>
      </c>
      <c r="H548" s="15" t="n">
        <f aca="false">G548*(1+IF(H$3&lt;=$O$2,$D548,$D548-($D548-$I$535)*MIN(H$3-$O$2,$Q$2)/$Q$2))</f>
        <v>7160.72435771697</v>
      </c>
      <c r="I548" s="15" t="n">
        <f aca="false">H548*(1+IF(I$3&lt;=$O$2,$D548,$D548-($D548-$I$535)*MIN(I$3-$O$2,$Q$2)/$Q$2))</f>
        <v>7873.12552367636</v>
      </c>
      <c r="J548" s="15" t="n">
        <f aca="false">I548*(1+IF(J$3&lt;=$O$2,$D548,$D548-($D548-$I$535)*MIN(J$3-$O$2,$Q$2)/$Q$2))</f>
        <v>8552.18136991758</v>
      </c>
      <c r="K548" s="15" t="n">
        <f aca="false">J548*(1+IF(K$3&lt;=$O$2,$D548,$D548-($D548-$I$535)*MIN(K$3-$O$2,$Q$2)/$Q$2))</f>
        <v>9176.59650997993</v>
      </c>
      <c r="L548" s="15" t="n">
        <f aca="false">K548*(1+IF(L$3&lt;=$O$2,$D548,$D548-($D548-$I$535)*MIN(L$3-$O$2,$Q$2)/$Q$2))</f>
        <v>9725.12684944238</v>
      </c>
      <c r="M548" s="15" t="n">
        <f aca="false">L548*(1+IF(M$3&lt;=$O$2,$D548,$D548-($D548-$I$535)*MIN(M$3-$O$2,$Q$2)/$Q$2))</f>
        <v>10177.7095603105</v>
      </c>
      <c r="N548" s="15" t="n">
        <f aca="false">M548*(1+IF(N$3&lt;=$O$2,$D548,$D548-($D548-$I$535)*MIN(N$3-$O$2,$Q$2)/$Q$2))</f>
        <v>10516.6272886689</v>
      </c>
      <c r="O548" s="15" t="n">
        <f aca="false">SUMPRODUCT(E548:N548,1/(1+$F$535)^$E$3:$N$3)*$E$2</f>
        <v>7539.83762586487</v>
      </c>
      <c r="P548" s="15" t="n">
        <f aca="false">N548*$E$2*(1+$I$535)/($F$535-$I$535)/(1+$F$535)^$N$3</f>
        <v>10079.4687124961</v>
      </c>
      <c r="Q548" s="15" t="n">
        <f aca="false">O548+P548</f>
        <v>17619.306338361</v>
      </c>
      <c r="R548" s="15" t="n">
        <f aca="false">Q548-$G$2+$I$2</f>
        <v>12798.806338361</v>
      </c>
      <c r="S548" s="42" t="n">
        <f aca="false">R548/$K$2</f>
        <v>66.7996155446817</v>
      </c>
      <c r="T548" s="43" t="n">
        <f aca="false">S548-$M$2</f>
        <v>-0.162806167218108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0.0994873046875</v>
      </c>
      <c r="C549" s="25" t="n">
        <f aca="false">IF(T548&gt;0,D548,C548)</f>
        <v>0.099853515625</v>
      </c>
      <c r="D549" s="41" t="n">
        <f aca="false">(B549+C549)/2</f>
        <v>0.09967041015625</v>
      </c>
      <c r="E549" s="15" t="n">
        <f aca="false">$C$2*(1+IF(E$3&lt;=$O$2,$D549,$D549-($D549-$I$535)*MIN(E$3-$O$2,$Q$2)/$Q$2))</f>
        <v>5388.38500976563</v>
      </c>
      <c r="F549" s="15" t="n">
        <f aca="false">E549*(1+IF(F$3&lt;=$O$2,$D549,$D549-($D549-$I$535)*MIN(F$3-$O$2,$Q$2)/$Q$2))</f>
        <v>5925.44755376875</v>
      </c>
      <c r="G549" s="15" t="n">
        <f aca="false">F549*(1+IF(G$3&lt;=$O$2,$D549,$D549-($D549-$I$535)*MIN(G$3-$O$2,$Q$2)/$Q$2))</f>
        <v>6516.03934181223</v>
      </c>
      <c r="H549" s="15" t="n">
        <f aca="false">G549*(1+IF(H$3&lt;=$O$2,$D549,$D549-($D549-$I$535)*MIN(H$3-$O$2,$Q$2)/$Q$2))</f>
        <v>7165.49565560492</v>
      </c>
      <c r="I549" s="15" t="n">
        <f aca="false">H549*(1+IF(I$3&lt;=$O$2,$D549,$D549-($D549-$I$535)*MIN(I$3-$O$2,$Q$2)/$Q$2))</f>
        <v>7879.68354657189</v>
      </c>
      <c r="J549" s="15" t="n">
        <f aca="false">I549*(1+IF(J$3&lt;=$O$2,$D549,$D549-($D549-$I$535)*MIN(J$3-$O$2,$Q$2)/$Q$2))</f>
        <v>8560.45927178268</v>
      </c>
      <c r="K549" s="15" t="n">
        <f aca="false">J549*(1+IF(K$3&lt;=$O$2,$D549,$D549-($D549-$I$535)*MIN(K$3-$O$2,$Q$2)/$Q$2))</f>
        <v>9186.4192813295</v>
      </c>
      <c r="L549" s="15" t="n">
        <f aca="false">K549*(1+IF(L$3&lt;=$O$2,$D549,$D549-($D549-$I$535)*MIN(L$3-$O$2,$Q$2)/$Q$2))</f>
        <v>9736.20960962542</v>
      </c>
      <c r="M549" s="15" t="n">
        <f aca="false">L549*(1+IF(M$3&lt;=$O$2,$D549,$D549-($D549-$I$535)*MIN(M$3-$O$2,$Q$2)/$Q$2))</f>
        <v>10189.6646346576</v>
      </c>
      <c r="N549" s="15" t="n">
        <f aca="false">M549*(1+IF(N$3&lt;=$O$2,$D549,$D549-($D549-$I$535)*MIN(N$3-$O$2,$Q$2)/$Q$2))</f>
        <v>10528.9804669917</v>
      </c>
      <c r="O549" s="15" t="n">
        <f aca="false">SUMPRODUCT(E549:N549,1/(1+$F$535)^$E$3:$N$3)*$E$2</f>
        <v>7545.77418663706</v>
      </c>
      <c r="P549" s="15" t="n">
        <f aca="false">N549*$E$2*(1+$I$535)/($F$535-$I$535)/(1+$F$535)^$N$3</f>
        <v>10091.3083898933</v>
      </c>
      <c r="Q549" s="15" t="n">
        <f aca="false">O549+P549</f>
        <v>17637.0825765304</v>
      </c>
      <c r="R549" s="15" t="n">
        <f aca="false">Q549-$G$2+$I$2</f>
        <v>12816.5825765304</v>
      </c>
      <c r="S549" s="42" t="n">
        <f aca="false">R549/$K$2</f>
        <v>66.892393405691</v>
      </c>
      <c r="T549" s="43" t="n">
        <f aca="false">S549-$M$2</f>
        <v>-0.0700283062088403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0.09967041015625</v>
      </c>
      <c r="C550" s="25" t="n">
        <f aca="false">IF(T549&gt;0,D549,C549)</f>
        <v>0.099853515625</v>
      </c>
      <c r="D550" s="41" t="n">
        <f aca="false">(B550+C550)/2</f>
        <v>0.099761962890625</v>
      </c>
      <c r="E550" s="15" t="n">
        <f aca="false">$C$2*(1+IF(E$3&lt;=$O$2,$D550,$D550-($D550-$I$535)*MIN(E$3-$O$2,$Q$2)/$Q$2))</f>
        <v>5388.83361816406</v>
      </c>
      <c r="F550" s="15" t="n">
        <f aca="false">E550*(1+IF(F$3&lt;=$O$2,$D550,$D550-($D550-$I$535)*MIN(F$3-$O$2,$Q$2)/$Q$2))</f>
        <v>5926.4342376031</v>
      </c>
      <c r="G550" s="15" t="n">
        <f aca="false">F550*(1+IF(G$3&lt;=$O$2,$D550,$D550-($D550-$I$535)*MIN(G$3-$O$2,$Q$2)/$Q$2))</f>
        <v>6517.66695008859</v>
      </c>
      <c r="H550" s="15" t="n">
        <f aca="false">G550*(1+IF(H$3&lt;=$O$2,$D550,$D550-($D550-$I$535)*MIN(H$3-$O$2,$Q$2)/$Q$2))</f>
        <v>7167.88219849678</v>
      </c>
      <c r="I550" s="15" t="n">
        <f aca="false">H550*(1+IF(I$3&lt;=$O$2,$D550,$D550-($D550-$I$535)*MIN(I$3-$O$2,$Q$2)/$Q$2))</f>
        <v>7882.96419638759</v>
      </c>
      <c r="J550" s="15" t="n">
        <f aca="false">I550*(1+IF(J$3&lt;=$O$2,$D550,$D550-($D550-$I$535)*MIN(J$3-$O$2,$Q$2)/$Q$2))</f>
        <v>8564.60072323804</v>
      </c>
      <c r="K550" s="15" t="n">
        <f aca="false">J550*(1+IF(K$3&lt;=$O$2,$D550,$D550-($D550-$I$535)*MIN(K$3-$O$2,$Q$2)/$Q$2))</f>
        <v>9191.33403258639</v>
      </c>
      <c r="L550" s="15" t="n">
        <f aca="false">K550*(1+IF(L$3&lt;=$O$2,$D550,$D550-($D550-$I$535)*MIN(L$3-$O$2,$Q$2)/$Q$2))</f>
        <v>9741.75509642716</v>
      </c>
      <c r="M550" s="15" t="n">
        <f aca="false">L550*(1+IF(M$3&lt;=$O$2,$D550,$D550-($D550-$I$535)*MIN(M$3-$O$2,$Q$2)/$Q$2))</f>
        <v>10195.6467742798</v>
      </c>
      <c r="N550" s="15" t="n">
        <f aca="false">M550*(1+IF(N$3&lt;=$O$2,$D550,$D550-($D550-$I$535)*MIN(N$3-$O$2,$Q$2)/$Q$2))</f>
        <v>10535.1618118634</v>
      </c>
      <c r="O550" s="15" t="n">
        <f aca="false">SUMPRODUCT(E550:N550,1/(1+$F$535)^$E$3:$N$3)*$E$2</f>
        <v>7548.74421466176</v>
      </c>
      <c r="P550" s="15" t="n">
        <f aca="false">N550*$E$2*(1+$I$535)/($F$535-$I$535)/(1+$F$535)^$N$3</f>
        <v>10097.2327866153</v>
      </c>
      <c r="Q550" s="15" t="n">
        <f aca="false">O550+P550</f>
        <v>17645.9770012771</v>
      </c>
      <c r="R550" s="15" t="n">
        <f aca="false">Q550-$G$2+$I$2</f>
        <v>12825.4770012771</v>
      </c>
      <c r="S550" s="42" t="n">
        <f aca="false">R550/$K$2</f>
        <v>66.9388152467489</v>
      </c>
      <c r="T550" s="43" t="n">
        <f aca="false">S550-$M$2</f>
        <v>-0.0236064651508485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0.099761962890625</v>
      </c>
      <c r="C551" s="25" t="n">
        <f aca="false">IF(T550&gt;0,D550,C550)</f>
        <v>0.099853515625</v>
      </c>
      <c r="D551" s="41" t="n">
        <f aca="false">(B551+C551)/2</f>
        <v>0.0998077392578125</v>
      </c>
      <c r="E551" s="15" t="n">
        <f aca="false">$C$2*(1+IF(E$3&lt;=$O$2,$D551,$D551-($D551-$I$535)*MIN(E$3-$O$2,$Q$2)/$Q$2))</f>
        <v>5389.05792236328</v>
      </c>
      <c r="F551" s="15" t="n">
        <f aca="false">E551*(1+IF(F$3&lt;=$O$2,$D551,$D551-($D551-$I$535)*MIN(F$3-$O$2,$Q$2)/$Q$2))</f>
        <v>5926.92761032376</v>
      </c>
      <c r="G551" s="15" t="n">
        <f aca="false">F551*(1+IF(G$3&lt;=$O$2,$D551,$D551-($D551-$I$535)*MIN(G$3-$O$2,$Q$2)/$Q$2))</f>
        <v>6518.48085585489</v>
      </c>
      <c r="H551" s="15" t="n">
        <f aca="false">G551*(1+IF(H$3&lt;=$O$2,$D551,$D551-($D551-$I$535)*MIN(H$3-$O$2,$Q$2)/$Q$2))</f>
        <v>7169.0756934731</v>
      </c>
      <c r="I551" s="15" t="n">
        <f aca="false">H551*(1+IF(I$3&lt;=$O$2,$D551,$D551-($D551-$I$535)*MIN(I$3-$O$2,$Q$2)/$Q$2))</f>
        <v>7884.60493100678</v>
      </c>
      <c r="J551" s="15" t="n">
        <f aca="false">I551*(1+IF(J$3&lt;=$O$2,$D551,$D551-($D551-$I$535)*MIN(J$3-$O$2,$Q$2)/$Q$2))</f>
        <v>8566.67207433111</v>
      </c>
      <c r="K551" s="15" t="n">
        <f aca="false">J551*(1+IF(K$3&lt;=$O$2,$D551,$D551-($D551-$I$535)*MIN(K$3-$O$2,$Q$2)/$Q$2))</f>
        <v>9193.79224998242</v>
      </c>
      <c r="L551" s="15" t="n">
        <f aca="false">K551*(1+IF(L$3&lt;=$O$2,$D551,$D551-($D551-$I$535)*MIN(L$3-$O$2,$Q$2)/$Q$2))</f>
        <v>9744.52886700777</v>
      </c>
      <c r="M551" s="15" t="n">
        <f aca="false">L551*(1+IF(M$3&lt;=$O$2,$D551,$D551-($D551-$I$535)*MIN(M$3-$O$2,$Q$2)/$Q$2))</f>
        <v>10198.6389952946</v>
      </c>
      <c r="N551" s="15" t="n">
        <f aca="false">M551*(1+IF(N$3&lt;=$O$2,$D551,$D551-($D551-$I$535)*MIN(N$3-$O$2,$Q$2)/$Q$2))</f>
        <v>10538.2536738379</v>
      </c>
      <c r="O551" s="15" t="n">
        <f aca="false">SUMPRODUCT(E551:N551,1/(1+$F$535)^$E$3:$N$3)*$E$2</f>
        <v>7550.22966576941</v>
      </c>
      <c r="P551" s="15" t="n">
        <f aca="false">N551*$E$2*(1+$I$535)/($F$535-$I$535)/(1+$F$535)^$N$3</f>
        <v>10100.1961250679</v>
      </c>
      <c r="Q551" s="15" t="n">
        <f aca="false">O551+P551</f>
        <v>17650.4257908373</v>
      </c>
      <c r="R551" s="15" t="n">
        <f aca="false">Q551-$G$2+$I$2</f>
        <v>12829.9257908373</v>
      </c>
      <c r="S551" s="42" t="n">
        <f aca="false">R551/$K$2</f>
        <v>66.9620343989419</v>
      </c>
      <c r="T551" s="43" t="n">
        <f aca="false">S551-$M$2</f>
        <v>-0.000387312957855102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0.0998077392578125</v>
      </c>
      <c r="C552" s="25" t="n">
        <f aca="false">IF(T551&gt;0,D551,C551)</f>
        <v>0.099853515625</v>
      </c>
      <c r="D552" s="41" t="n">
        <f aca="false">(B552+C552)/2</f>
        <v>0.0998306274414063</v>
      </c>
      <c r="E552" s="15" t="n">
        <f aca="false">$C$2*(1+IF(E$3&lt;=$O$2,$D552,$D552-($D552-$I$535)*MIN(E$3-$O$2,$Q$2)/$Q$2))</f>
        <v>5389.17007446289</v>
      </c>
      <c r="F552" s="15" t="n">
        <f aca="false">E552*(1+IF(F$3&lt;=$O$2,$D552,$D552-($D552-$I$535)*MIN(F$3-$O$2,$Q$2)/$Q$2))</f>
        <v>5927.17430438497</v>
      </c>
      <c r="G552" s="15" t="n">
        <f aca="false">F552*(1+IF(G$3&lt;=$O$2,$D552,$D552-($D552-$I$535)*MIN(G$3-$O$2,$Q$2)/$Q$2))</f>
        <v>6518.8878341463</v>
      </c>
      <c r="H552" s="15" t="n">
        <f aca="false">G552*(1+IF(H$3&lt;=$O$2,$D552,$D552-($D552-$I$535)*MIN(H$3-$O$2,$Q$2)/$Q$2))</f>
        <v>7169.67249684928</v>
      </c>
      <c r="I552" s="15" t="n">
        <f aca="false">H552*(1+IF(I$3&lt;=$O$2,$D552,$D552-($D552-$I$535)*MIN(I$3-$O$2,$Q$2)/$Q$2))</f>
        <v>7885.42540075914</v>
      </c>
      <c r="J552" s="15" t="n">
        <f aca="false">I552*(1+IF(J$3&lt;=$O$2,$D552,$D552-($D552-$I$535)*MIN(J$3-$O$2,$Q$2)/$Q$2))</f>
        <v>8567.70790624834</v>
      </c>
      <c r="K552" s="15" t="n">
        <f aca="false">J552*(1+IF(K$3&lt;=$O$2,$D552,$D552-($D552-$I$535)*MIN(K$3-$O$2,$Q$2)/$Q$2))</f>
        <v>9195.02156916885</v>
      </c>
      <c r="L552" s="15" t="n">
        <f aca="false">K552*(1+IF(L$3&lt;=$O$2,$D552,$D552-($D552-$I$535)*MIN(L$3-$O$2,$Q$2)/$Q$2))</f>
        <v>9745.9160091558</v>
      </c>
      <c r="M552" s="15" t="n">
        <f aca="false">L552*(1+IF(M$3&lt;=$O$2,$D552,$D552-($D552-$I$535)*MIN(M$3-$O$2,$Q$2)/$Q$2))</f>
        <v>10200.1353936768</v>
      </c>
      <c r="N552" s="15" t="n">
        <f aca="false">M552*(1+IF(N$3&lt;=$O$2,$D552,$D552-($D552-$I$535)*MIN(N$3-$O$2,$Q$2)/$Q$2))</f>
        <v>10539.7999022862</v>
      </c>
      <c r="O552" s="15" t="n">
        <f aca="false">SUMPRODUCT(E552:N552,1/(1+$F$535)^$E$3:$N$3)*$E$2</f>
        <v>7550.97250062027</v>
      </c>
      <c r="P552" s="15" t="n">
        <f aca="false">N552*$E$2*(1+$I$535)/($F$535-$I$535)/(1+$F$535)^$N$3</f>
        <v>10101.6780793902</v>
      </c>
      <c r="Q552" s="15" t="n">
        <f aca="false">O552+P552</f>
        <v>17652.6505800105</v>
      </c>
      <c r="R552" s="15" t="n">
        <f aca="false">Q552-$G$2+$I$2</f>
        <v>12832.1505800105</v>
      </c>
      <c r="S552" s="42" t="n">
        <f aca="false">R552/$K$2</f>
        <v>66.9736460334578</v>
      </c>
      <c r="T552" s="43" t="n">
        <f aca="false">S552-$M$2</f>
        <v>0.0112243215580179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0.0998077392578125</v>
      </c>
      <c r="C553" s="25" t="n">
        <f aca="false">IF(T552&gt;0,D552,C552)</f>
        <v>0.0998306274414063</v>
      </c>
      <c r="D553" s="41" t="n">
        <f aca="false">(B553+C553)/2</f>
        <v>0.0998191833496094</v>
      </c>
      <c r="E553" s="15" t="n">
        <f aca="false">$C$2*(1+IF(E$3&lt;=$O$2,$D553,$D553-($D553-$I$535)*MIN(E$3-$O$2,$Q$2)/$Q$2))</f>
        <v>5389.11399841309</v>
      </c>
      <c r="F553" s="15" t="n">
        <f aca="false">E553*(1+IF(F$3&lt;=$O$2,$D553,$D553-($D553-$I$535)*MIN(F$3-$O$2,$Q$2)/$Q$2))</f>
        <v>5927.05095671263</v>
      </c>
      <c r="G553" s="15" t="n">
        <f aca="false">F553*(1+IF(G$3&lt;=$O$2,$D553,$D553-($D553-$I$535)*MIN(G$3-$O$2,$Q$2)/$Q$2))</f>
        <v>6518.6843428832</v>
      </c>
      <c r="H553" s="15" t="n">
        <f aca="false">G553*(1+IF(H$3&lt;=$O$2,$D553,$D553-($D553-$I$535)*MIN(H$3-$O$2,$Q$2)/$Q$2))</f>
        <v>7169.37409050369</v>
      </c>
      <c r="I553" s="15" t="n">
        <f aca="false">H553*(1+IF(I$3&lt;=$O$2,$D553,$D553-($D553-$I$535)*MIN(I$3-$O$2,$Q$2)/$Q$2))</f>
        <v>7885.01515734562</v>
      </c>
      <c r="J553" s="15" t="n">
        <f aca="false">I553*(1+IF(J$3&lt;=$O$2,$D553,$D553-($D553-$I$535)*MIN(J$3-$O$2,$Q$2)/$Q$2))</f>
        <v>8567.18997725796</v>
      </c>
      <c r="K553" s="15" t="n">
        <f aca="false">J553*(1+IF(K$3&lt;=$O$2,$D553,$D553-($D553-$I$535)*MIN(K$3-$O$2,$Q$2)/$Q$2))</f>
        <v>9194.40689203355</v>
      </c>
      <c r="L553" s="15" t="n">
        <f aca="false">K553*(1+IF(L$3&lt;=$O$2,$D553,$D553-($D553-$I$535)*MIN(L$3-$O$2,$Q$2)/$Q$2))</f>
        <v>9745.2224166751</v>
      </c>
      <c r="M553" s="15" t="n">
        <f aca="false">L553*(1+IF(M$3&lt;=$O$2,$D553,$D553-($D553-$I$535)*MIN(M$3-$O$2,$Q$2)/$Q$2))</f>
        <v>10199.3871704939</v>
      </c>
      <c r="N553" s="15" t="n">
        <f aca="false">M553*(1+IF(N$3&lt;=$O$2,$D553,$D553-($D553-$I$535)*MIN(N$3-$O$2,$Q$2)/$Q$2))</f>
        <v>10539.0267632713</v>
      </c>
      <c r="O553" s="15" t="n">
        <f aca="false">SUMPRODUCT(E553:N553,1/(1+$F$535)^$E$3:$N$3)*$E$2</f>
        <v>7550.60107408607</v>
      </c>
      <c r="P553" s="15" t="n">
        <f aca="false">N553*$E$2*(1+$I$535)/($F$535-$I$535)/(1+$F$535)^$N$3</f>
        <v>10100.9370784689</v>
      </c>
      <c r="Q553" s="15" t="n">
        <f aca="false">O553+P553</f>
        <v>17651.5381525549</v>
      </c>
      <c r="R553" s="15" t="n">
        <f aca="false">Q553-$G$2+$I$2</f>
        <v>12831.0381525549</v>
      </c>
      <c r="S553" s="42" t="n">
        <f aca="false">R553/$K$2</f>
        <v>66.96784004465</v>
      </c>
      <c r="T553" s="43" t="n">
        <f aca="false">S553-$M$2</f>
        <v>0.00541833275016757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0.0998077392578125</v>
      </c>
      <c r="C554" s="25" t="n">
        <f aca="false">IF(T553&gt;0,D553,C553)</f>
        <v>0.0998191833496094</v>
      </c>
      <c r="D554" s="41" t="n">
        <f aca="false">(B554+C554)/2</f>
        <v>0.0998134613037109</v>
      </c>
      <c r="E554" s="15" t="n">
        <f aca="false">$C$2*(1+IF(E$3&lt;=$O$2,$D554,$D554-($D554-$I$535)*MIN(E$3-$O$2,$Q$2)/$Q$2))</f>
        <v>5389.08596038818</v>
      </c>
      <c r="F554" s="15" t="n">
        <f aca="false">E554*(1+IF(F$3&lt;=$O$2,$D554,$D554-($D554-$I$535)*MIN(F$3-$O$2,$Q$2)/$Q$2))</f>
        <v>5926.98928335776</v>
      </c>
      <c r="G554" s="15" t="n">
        <f aca="false">F554*(1+IF(G$3&lt;=$O$2,$D554,$D554-($D554-$I$535)*MIN(G$3-$O$2,$Q$2)/$Q$2))</f>
        <v>6518.5825988397</v>
      </c>
      <c r="H554" s="15" t="n">
        <f aca="false">G554*(1+IF(H$3&lt;=$O$2,$D554,$D554-($D554-$I$535)*MIN(H$3-$O$2,$Q$2)/$Q$2))</f>
        <v>7169.22489082403</v>
      </c>
      <c r="I554" s="15" t="n">
        <f aca="false">H554*(1+IF(I$3&lt;=$O$2,$D554,$D554-($D554-$I$535)*MIN(I$3-$O$2,$Q$2)/$Q$2))</f>
        <v>7884.8100420419</v>
      </c>
      <c r="J554" s="15" t="n">
        <f aca="false">I554*(1+IF(J$3&lt;=$O$2,$D554,$D554-($D554-$I$535)*MIN(J$3-$O$2,$Q$2)/$Q$2))</f>
        <v>8566.93102253666</v>
      </c>
      <c r="K554" s="15" t="n">
        <f aca="false">J554*(1+IF(K$3&lt;=$O$2,$D554,$D554-($D554-$I$535)*MIN(K$3-$O$2,$Q$2)/$Q$2))</f>
        <v>9194.09956662257</v>
      </c>
      <c r="L554" s="15" t="n">
        <f aca="false">K554*(1+IF(L$3&lt;=$O$2,$D554,$D554-($D554-$I$535)*MIN(L$3-$O$2,$Q$2)/$Q$2))</f>
        <v>9744.8756364899</v>
      </c>
      <c r="M554" s="15" t="n">
        <f aca="false">L554*(1+IF(M$3&lt;=$O$2,$D554,$D554-($D554-$I$535)*MIN(M$3-$O$2,$Q$2)/$Q$2))</f>
        <v>10199.0130768964</v>
      </c>
      <c r="N554" s="15" t="n">
        <f aca="false">M554*(1+IF(N$3&lt;=$O$2,$D554,$D554-($D554-$I$535)*MIN(N$3-$O$2,$Q$2)/$Q$2))</f>
        <v>10538.6402123571</v>
      </c>
      <c r="O554" s="15" t="n">
        <f aca="false">SUMPRODUCT(E554:N554,1/(1+$F$535)^$E$3:$N$3)*$E$2</f>
        <v>7550.4153676506</v>
      </c>
      <c r="P554" s="15" t="n">
        <f aca="false">N554*$E$2*(1+$I$535)/($F$535-$I$535)/(1+$F$535)^$N$3</f>
        <v>10100.5665958285</v>
      </c>
      <c r="Q554" s="15" t="n">
        <f aca="false">O554+P554</f>
        <v>17650.9819634791</v>
      </c>
      <c r="R554" s="15" t="n">
        <f aca="false">Q554-$G$2+$I$2</f>
        <v>12830.4819634791</v>
      </c>
      <c r="S554" s="42" t="n">
        <f aca="false">R554/$K$2</f>
        <v>66.9649371789096</v>
      </c>
      <c r="T554" s="43" t="n">
        <f aca="false">S554-$M$2</f>
        <v>0.0025154670097578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0.0998077392578125</v>
      </c>
      <c r="C555" s="25" t="n">
        <f aca="false">IF(T554&gt;0,D554,C554)</f>
        <v>0.0998134613037109</v>
      </c>
      <c r="D555" s="41" t="n">
        <f aca="false">(B555+C555)/2</f>
        <v>0.0998106002807617</v>
      </c>
      <c r="E555" s="15" t="n">
        <f aca="false">$C$2*(1+IF(E$3&lt;=$O$2,$D555,$D555-($D555-$I$535)*MIN(E$3-$O$2,$Q$2)/$Q$2))</f>
        <v>5389.07194137573</v>
      </c>
      <c r="F555" s="15" t="n">
        <f aca="false">E555*(1+IF(F$3&lt;=$O$2,$D555,$D555-($D555-$I$535)*MIN(F$3-$O$2,$Q$2)/$Q$2))</f>
        <v>5926.95844680065</v>
      </c>
      <c r="G555" s="15" t="n">
        <f aca="false">F555*(1+IF(G$3&lt;=$O$2,$D555,$D555-($D555-$I$535)*MIN(G$3-$O$2,$Q$2)/$Q$2))</f>
        <v>6518.53172721496</v>
      </c>
      <c r="H555" s="15" t="n">
        <f aca="false">G555*(1+IF(H$3&lt;=$O$2,$D555,$D555-($D555-$I$535)*MIN(H$3-$O$2,$Q$2)/$Q$2))</f>
        <v>7169.15029185747</v>
      </c>
      <c r="I555" s="15" t="n">
        <f aca="false">H555*(1+IF(I$3&lt;=$O$2,$D555,$D555-($D555-$I$535)*MIN(I$3-$O$2,$Q$2)/$Q$2))</f>
        <v>7884.70748599077</v>
      </c>
      <c r="J555" s="15" t="n">
        <f aca="false">I555*(1+IF(J$3&lt;=$O$2,$D555,$D555-($D555-$I$535)*MIN(J$3-$O$2,$Q$2)/$Q$2))</f>
        <v>8566.80154761943</v>
      </c>
      <c r="K555" s="15" t="n">
        <f aca="false">J555*(1+IF(K$3&lt;=$O$2,$D555,$D555-($D555-$I$535)*MIN(K$3-$O$2,$Q$2)/$Q$2))</f>
        <v>9193.94590720615</v>
      </c>
      <c r="L555" s="15" t="n">
        <f aca="false">K555*(1+IF(L$3&lt;=$O$2,$D555,$D555-($D555-$I$535)*MIN(L$3-$O$2,$Q$2)/$Q$2))</f>
        <v>9744.70225041097</v>
      </c>
      <c r="M555" s="15" t="n">
        <f aca="false">L555*(1+IF(M$3&lt;=$O$2,$D555,$D555-($D555-$I$535)*MIN(M$3-$O$2,$Q$2)/$Q$2))</f>
        <v>10198.8260345961</v>
      </c>
      <c r="N555" s="15" t="n">
        <f aca="false">M555*(1+IF(N$3&lt;=$O$2,$D555,$D555-($D555-$I$535)*MIN(N$3-$O$2,$Q$2)/$Q$2))</f>
        <v>10538.4469415481</v>
      </c>
      <c r="O555" s="15" t="n">
        <f aca="false">SUMPRODUCT(E555:N555,1/(1+$F$535)^$E$3:$N$3)*$E$2</f>
        <v>7550.32251614072</v>
      </c>
      <c r="P555" s="15" t="n">
        <f aca="false">N555*$E$2*(1+$I$535)/($F$535-$I$535)/(1+$F$535)^$N$3</f>
        <v>10100.3813589632</v>
      </c>
      <c r="Q555" s="15" t="n">
        <f aca="false">O555+P555</f>
        <v>17650.7038751039</v>
      </c>
      <c r="R555" s="15" t="n">
        <f aca="false">Q555-$G$2+$I$2</f>
        <v>12830.2038751039</v>
      </c>
      <c r="S555" s="42" t="n">
        <f aca="false">R555/$K$2</f>
        <v>66.9634857782043</v>
      </c>
      <c r="T555" s="43" t="n">
        <f aca="false">S555-$M$2</f>
        <v>0.00106406630450806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0.0998077392578125</v>
      </c>
      <c r="C556" s="25" t="n">
        <f aca="false">IF(T555&gt;0,D555,C555)</f>
        <v>0.0998106002807617</v>
      </c>
      <c r="D556" s="41" t="n">
        <f aca="false">(B556+C556)/2</f>
        <v>0.0998091697692871</v>
      </c>
      <c r="E556" s="15" t="n">
        <f aca="false">$C$2*(1+IF(E$3&lt;=$O$2,$D556,$D556-($D556-$I$535)*MIN(E$3-$O$2,$Q$2)/$Q$2))</f>
        <v>5389.06493186951</v>
      </c>
      <c r="F556" s="15" t="n">
        <f aca="false">E556*(1+IF(F$3&lt;=$O$2,$D556,$D556-($D556-$I$535)*MIN(F$3-$O$2,$Q$2)/$Q$2))</f>
        <v>5926.94302855218</v>
      </c>
      <c r="G556" s="15" t="n">
        <f aca="false">F556*(1+IF(G$3&lt;=$O$2,$D556,$D556-($D556-$I$535)*MIN(G$3-$O$2,$Q$2)/$Q$2))</f>
        <v>6518.50629150184</v>
      </c>
      <c r="H556" s="15" t="n">
        <f aca="false">G556*(1+IF(H$3&lt;=$O$2,$D556,$D556-($D556-$I$535)*MIN(H$3-$O$2,$Q$2)/$Q$2))</f>
        <v>7169.11299259251</v>
      </c>
      <c r="I556" s="15" t="n">
        <f aca="false">H556*(1+IF(I$3&lt;=$O$2,$D556,$D556-($D556-$I$535)*MIN(I$3-$O$2,$Q$2)/$Q$2))</f>
        <v>7884.65620836538</v>
      </c>
      <c r="J556" s="15" t="n">
        <f aca="false">I556*(1+IF(J$3&lt;=$O$2,$D556,$D556-($D556-$I$535)*MIN(J$3-$O$2,$Q$2)/$Q$2))</f>
        <v>8566.73681077166</v>
      </c>
      <c r="K556" s="15" t="n">
        <f aca="false">J556*(1+IF(K$3&lt;=$O$2,$D556,$D556-($D556-$I$535)*MIN(K$3-$O$2,$Q$2)/$Q$2))</f>
        <v>9193.8690783202</v>
      </c>
      <c r="L556" s="15" t="n">
        <f aca="false">K556*(1+IF(L$3&lt;=$O$2,$D556,$D556-($D556-$I$535)*MIN(L$3-$O$2,$Q$2)/$Q$2))</f>
        <v>9744.6155583749</v>
      </c>
      <c r="M556" s="15" t="n">
        <f aca="false">L556*(1+IF(M$3&lt;=$O$2,$D556,$D556-($D556-$I$535)*MIN(M$3-$O$2,$Q$2)/$Q$2))</f>
        <v>10198.7325145705</v>
      </c>
      <c r="N556" s="15" t="n">
        <f aca="false">M556*(1+IF(N$3&lt;=$O$2,$D556,$D556-($D556-$I$535)*MIN(N$3-$O$2,$Q$2)/$Q$2))</f>
        <v>10538.3503073057</v>
      </c>
      <c r="O556" s="15" t="n">
        <f aca="false">SUMPRODUCT(E556:N556,1/(1+$F$535)^$E$3:$N$3)*$E$2</f>
        <v>7550.27609081275</v>
      </c>
      <c r="P556" s="15" t="n">
        <f aca="false">N556*$E$2*(1+$I$535)/($F$535-$I$535)/(1+$F$535)^$N$3</f>
        <v>10100.2887416443</v>
      </c>
      <c r="Q556" s="15" t="n">
        <f aca="false">O556+P556</f>
        <v>17650.5648324571</v>
      </c>
      <c r="R556" s="15" t="n">
        <f aca="false">Q556-$G$2+$I$2</f>
        <v>12830.0648324571</v>
      </c>
      <c r="S556" s="42" t="n">
        <f aca="false">R556/$K$2</f>
        <v>66.9627600858928</v>
      </c>
      <c r="T556" s="43" t="n">
        <f aca="false">S556-$M$2</f>
        <v>0.000338373992974539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0.0998077392578125</v>
      </c>
      <c r="C557" s="25" t="n">
        <f aca="false">IF(T556&gt;0,D556,C556)</f>
        <v>0.0998091697692871</v>
      </c>
      <c r="D557" s="41" t="n">
        <f aca="false">(B557+C557)/2</f>
        <v>0.0998084545135498</v>
      </c>
      <c r="E557" s="15" t="n">
        <f aca="false">$C$2*(1+IF(E$3&lt;=$O$2,$D557,$D557-($D557-$I$535)*MIN(E$3-$O$2,$Q$2)/$Q$2))</f>
        <v>5389.06142711639</v>
      </c>
      <c r="F557" s="15" t="n">
        <f aca="false">E557*(1+IF(F$3&lt;=$O$2,$D557,$D557-($D557-$I$535)*MIN(F$3-$O$2,$Q$2)/$Q$2))</f>
        <v>5926.93531943547</v>
      </c>
      <c r="G557" s="15" t="n">
        <f aca="false">F557*(1+IF(G$3&lt;=$O$2,$D557,$D557-($D557-$I$535)*MIN(G$3-$O$2,$Q$2)/$Q$2))</f>
        <v>6518.49357367009</v>
      </c>
      <c r="H557" s="15" t="n">
        <f aca="false">G557*(1+IF(H$3&lt;=$O$2,$D557,$D557-($D557-$I$535)*MIN(H$3-$O$2,$Q$2)/$Q$2))</f>
        <v>7169.09434301461</v>
      </c>
      <c r="I557" s="15" t="n">
        <f aca="false">H557*(1+IF(I$3&lt;=$O$2,$D557,$D557-($D557-$I$535)*MIN(I$3-$O$2,$Q$2)/$Q$2))</f>
        <v>7884.63056965273</v>
      </c>
      <c r="J557" s="15" t="n">
        <f aca="false">I557*(1+IF(J$3&lt;=$O$2,$D557,$D557-($D557-$I$535)*MIN(J$3-$O$2,$Q$2)/$Q$2))</f>
        <v>8566.70444250048</v>
      </c>
      <c r="K557" s="15" t="n">
        <f aca="false">J557*(1+IF(K$3&lt;=$O$2,$D557,$D557-($D557-$I$535)*MIN(K$3-$O$2,$Q$2)/$Q$2))</f>
        <v>9193.83066408279</v>
      </c>
      <c r="L557" s="15" t="n">
        <f aca="false">K557*(1+IF(L$3&lt;=$O$2,$D557,$D557-($D557-$I$535)*MIN(L$3-$O$2,$Q$2)/$Q$2))</f>
        <v>9744.57221260772</v>
      </c>
      <c r="M557" s="15" t="n">
        <f aca="false">L557*(1+IF(M$3&lt;=$O$2,$D557,$D557-($D557-$I$535)*MIN(M$3-$O$2,$Q$2)/$Q$2))</f>
        <v>10198.6857548388</v>
      </c>
      <c r="N557" s="15" t="n">
        <f aca="false">M557*(1+IF(N$3&lt;=$O$2,$D557,$D557-($D557-$I$535)*MIN(N$3-$O$2,$Q$2)/$Q$2))</f>
        <v>10538.3019904749</v>
      </c>
      <c r="O557" s="15" t="n">
        <f aca="false">SUMPRODUCT(E557:N557,1/(1+$F$535)^$E$3:$N$3)*$E$2</f>
        <v>7550.2528782555</v>
      </c>
      <c r="P557" s="15" t="n">
        <f aca="false">N557*$E$2*(1+$I$535)/($F$535-$I$535)/(1+$F$535)^$N$3</f>
        <v>10100.2424332633</v>
      </c>
      <c r="Q557" s="15" t="n">
        <f aca="false">O557+P557</f>
        <v>17650.4953115188</v>
      </c>
      <c r="R557" s="15" t="n">
        <f aca="false">Q557-$G$2+$I$2</f>
        <v>12829.9953115188</v>
      </c>
      <c r="S557" s="42" t="n">
        <f aca="false">R557/$K$2</f>
        <v>66.9623972417473</v>
      </c>
      <c r="T557" s="43" t="n">
        <f aca="false">S557-$M$2</f>
        <v>-2.44701525389246E-005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0.0998084545135498</v>
      </c>
      <c r="C558" s="25" t="n">
        <f aca="false">IF(T557&gt;0,D557,C557)</f>
        <v>0.0998091697692871</v>
      </c>
      <c r="D558" s="41" t="n">
        <f aca="false">(B558+C558)/2</f>
        <v>0.0998088121414185</v>
      </c>
      <c r="E558" s="15" t="n">
        <f aca="false">$C$2*(1+IF(E$3&lt;=$O$2,$D558,$D558-($D558-$I$535)*MIN(E$3-$O$2,$Q$2)/$Q$2))</f>
        <v>5389.06317949295</v>
      </c>
      <c r="F558" s="15" t="n">
        <f aca="false">E558*(1+IF(F$3&lt;=$O$2,$D558,$D558-($D558-$I$535)*MIN(F$3-$O$2,$Q$2)/$Q$2))</f>
        <v>5926.9391739932</v>
      </c>
      <c r="G558" s="15" t="n">
        <f aca="false">F558*(1+IF(G$3&lt;=$O$2,$D558,$D558-($D558-$I$535)*MIN(G$3-$O$2,$Q$2)/$Q$2))</f>
        <v>6518.4999325839</v>
      </c>
      <c r="H558" s="15" t="n">
        <f aca="false">G558*(1+IF(H$3&lt;=$O$2,$D558,$D558-($D558-$I$535)*MIN(H$3-$O$2,$Q$2)/$Q$2))</f>
        <v>7169.10366779901</v>
      </c>
      <c r="I558" s="15" t="n">
        <f aca="false">H558*(1+IF(I$3&lt;=$O$2,$D558,$D558-($D558-$I$535)*MIN(I$3-$O$2,$Q$2)/$Q$2))</f>
        <v>7884.64338900072</v>
      </c>
      <c r="J558" s="15" t="n">
        <f aca="false">I558*(1+IF(J$3&lt;=$O$2,$D558,$D558-($D558-$I$535)*MIN(J$3-$O$2,$Q$2)/$Q$2))</f>
        <v>8566.72062662335</v>
      </c>
      <c r="K558" s="15" t="n">
        <f aca="false">J558*(1+IF(K$3&lt;=$O$2,$D558,$D558-($D558-$I$535)*MIN(K$3-$O$2,$Q$2)/$Q$2))</f>
        <v>9193.84987118437</v>
      </c>
      <c r="L558" s="15" t="n">
        <f aca="false">K558*(1+IF(L$3&lt;=$O$2,$D558,$D558-($D558-$I$535)*MIN(L$3-$O$2,$Q$2)/$Q$2))</f>
        <v>9744.59388547041</v>
      </c>
      <c r="M558" s="15" t="n">
        <f aca="false">L558*(1+IF(M$3&lt;=$O$2,$D558,$D558-($D558-$I$535)*MIN(M$3-$O$2,$Q$2)/$Q$2))</f>
        <v>10198.7091346812</v>
      </c>
      <c r="N558" s="15" t="n">
        <f aca="false">M558*(1+IF(N$3&lt;=$O$2,$D558,$D558-($D558-$I$535)*MIN(N$3-$O$2,$Q$2)/$Q$2))</f>
        <v>10538.3261488661</v>
      </c>
      <c r="O558" s="15" t="n">
        <f aca="false">SUMPRODUCT(E558:N558,1/(1+$F$535)^$E$3:$N$3)*$E$2</f>
        <v>7550.26448452523</v>
      </c>
      <c r="P558" s="15" t="n">
        <f aca="false">N558*$E$2*(1+$I$535)/($F$535-$I$535)/(1+$F$535)^$N$3</f>
        <v>10100.2655874306</v>
      </c>
      <c r="Q558" s="15" t="n">
        <f aca="false">O558+P558</f>
        <v>17650.5300719558</v>
      </c>
      <c r="R558" s="15" t="n">
        <f aca="false">Q558-$G$2+$I$2</f>
        <v>12830.0300719558</v>
      </c>
      <c r="S558" s="42" t="n">
        <f aca="false">R558/$K$2</f>
        <v>66.9625786636525</v>
      </c>
      <c r="T558" s="43" t="n">
        <f aca="false">S558-$M$2</f>
        <v>0.000156951752700252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0.0998084545135498</v>
      </c>
      <c r="C559" s="25" t="n">
        <f aca="false">IF(T558&gt;0,D558,C558)</f>
        <v>0.0998088121414185</v>
      </c>
      <c r="D559" s="41" t="n">
        <f aca="false">(B559+C559)/2</f>
        <v>0.0998086333274841</v>
      </c>
      <c r="E559" s="15" t="n">
        <f aca="false">$C$2*(1+IF(E$3&lt;=$O$2,$D559,$D559-($D559-$I$535)*MIN(E$3-$O$2,$Q$2)/$Q$2))</f>
        <v>5389.06230330467</v>
      </c>
      <c r="F559" s="15" t="n">
        <f aca="false">E559*(1+IF(F$3&lt;=$O$2,$D559,$D559-($D559-$I$535)*MIN(F$3-$O$2,$Q$2)/$Q$2))</f>
        <v>5926.93724671418</v>
      </c>
      <c r="G559" s="15" t="n">
        <f aca="false">F559*(1+IF(G$3&lt;=$O$2,$D559,$D559-($D559-$I$535)*MIN(G$3-$O$2,$Q$2)/$Q$2))</f>
        <v>6518.49675312648</v>
      </c>
      <c r="H559" s="15" t="n">
        <f aca="false">G559*(1+IF(H$3&lt;=$O$2,$D559,$D559-($D559-$I$535)*MIN(H$3-$O$2,$Q$2)/$Q$2))</f>
        <v>7169.09900540568</v>
      </c>
      <c r="I559" s="15" t="n">
        <f aca="false">H559*(1+IF(I$3&lt;=$O$2,$D559,$D559-($D559-$I$535)*MIN(I$3-$O$2,$Q$2)/$Q$2))</f>
        <v>7884.63697932464</v>
      </c>
      <c r="J559" s="15" t="n">
        <f aca="false">I559*(1+IF(J$3&lt;=$O$2,$D559,$D559-($D559-$I$535)*MIN(J$3-$O$2,$Q$2)/$Q$2))</f>
        <v>8566.71253455873</v>
      </c>
      <c r="K559" s="15" t="n">
        <f aca="false">J559*(1+IF(K$3&lt;=$O$2,$D559,$D559-($D559-$I$535)*MIN(K$3-$O$2,$Q$2)/$Q$2))</f>
        <v>9193.8402676293</v>
      </c>
      <c r="L559" s="15" t="n">
        <f aca="false">K559*(1+IF(L$3&lt;=$O$2,$D559,$D559-($D559-$I$535)*MIN(L$3-$O$2,$Q$2)/$Q$2))</f>
        <v>9744.58304903384</v>
      </c>
      <c r="M559" s="15" t="n">
        <f aca="false">L559*(1+IF(M$3&lt;=$O$2,$D559,$D559-($D559-$I$535)*MIN(M$3-$O$2,$Q$2)/$Q$2))</f>
        <v>10198.6974447541</v>
      </c>
      <c r="N559" s="15" t="n">
        <f aca="false">M559*(1+IF(N$3&lt;=$O$2,$D559,$D559-($D559-$I$535)*MIN(N$3-$O$2,$Q$2)/$Q$2))</f>
        <v>10538.3140696645</v>
      </c>
      <c r="O559" s="15" t="n">
        <f aca="false">SUMPRODUCT(E559:N559,1/(1+$F$535)^$E$3:$N$3)*$E$2</f>
        <v>7550.25868138814</v>
      </c>
      <c r="P559" s="15" t="n">
        <f aca="false">N559*$E$2*(1+$I$535)/($F$535-$I$535)/(1+$F$535)^$N$3</f>
        <v>10100.2540103411</v>
      </c>
      <c r="Q559" s="15" t="n">
        <f aca="false">O559+P559</f>
        <v>17650.5126917293</v>
      </c>
      <c r="R559" s="15" t="n">
        <f aca="false">Q559-$G$2+$I$2</f>
        <v>12830.0126917293</v>
      </c>
      <c r="S559" s="42" t="n">
        <f aca="false">R559/$K$2</f>
        <v>66.962487952658</v>
      </c>
      <c r="T559" s="43" t="n">
        <f aca="false">S559-$M$2</f>
        <v>6.62407582154856E-005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0.0998084545135498</v>
      </c>
      <c r="C560" s="25" t="n">
        <f aca="false">IF(T559&gt;0,D559,C559)</f>
        <v>0.0998086333274841</v>
      </c>
      <c r="D560" s="41" t="n">
        <f aca="false">(B560+C560)/2</f>
        <v>0.099808543920517</v>
      </c>
      <c r="E560" s="15" t="n">
        <f aca="false">$C$2*(1+IF(E$3&lt;=$O$2,$D560,$D560-($D560-$I$535)*MIN(E$3-$O$2,$Q$2)/$Q$2))</f>
        <v>5389.06186521053</v>
      </c>
      <c r="F560" s="15" t="n">
        <f aca="false">E560*(1+IF(F$3&lt;=$O$2,$D560,$D560-($D560-$I$535)*MIN(F$3-$O$2,$Q$2)/$Q$2))</f>
        <v>5926.93628307478</v>
      </c>
      <c r="G560" s="15" t="n">
        <f aca="false">F560*(1+IF(G$3&lt;=$O$2,$D560,$D560-($D560-$I$535)*MIN(G$3-$O$2,$Q$2)/$Q$2))</f>
        <v>6518.49516339816</v>
      </c>
      <c r="H560" s="15" t="n">
        <f aca="false">G560*(1+IF(H$3&lt;=$O$2,$D560,$D560-($D560-$I$535)*MIN(H$3-$O$2,$Q$2)/$Q$2))</f>
        <v>7169.09667420986</v>
      </c>
      <c r="I560" s="15" t="n">
        <f aca="false">H560*(1+IF(I$3&lt;=$O$2,$D560,$D560-($D560-$I$535)*MIN(I$3-$O$2,$Q$2)/$Q$2))</f>
        <v>7884.63377448817</v>
      </c>
      <c r="J560" s="15" t="n">
        <f aca="false">I560*(1+IF(J$3&lt;=$O$2,$D560,$D560-($D560-$I$535)*MIN(J$3-$O$2,$Q$2)/$Q$2))</f>
        <v>8566.70848852881</v>
      </c>
      <c r="K560" s="15" t="n">
        <f aca="false">J560*(1+IF(K$3&lt;=$O$2,$D560,$D560-($D560-$I$535)*MIN(K$3-$O$2,$Q$2)/$Q$2))</f>
        <v>9193.83546585497</v>
      </c>
      <c r="L560" s="15" t="n">
        <f aca="false">K560*(1+IF(L$3&lt;=$O$2,$D560,$D560-($D560-$I$535)*MIN(L$3-$O$2,$Q$2)/$Q$2))</f>
        <v>9744.57763081947</v>
      </c>
      <c r="M560" s="15" t="n">
        <f aca="false">L560*(1+IF(M$3&lt;=$O$2,$D560,$D560-($D560-$I$535)*MIN(M$3-$O$2,$Q$2)/$Q$2))</f>
        <v>10198.691599795</v>
      </c>
      <c r="N560" s="15" t="n">
        <f aca="false">M560*(1+IF(N$3&lt;=$O$2,$D560,$D560-($D560-$I$535)*MIN(N$3-$O$2,$Q$2)/$Q$2))</f>
        <v>10538.3080300682</v>
      </c>
      <c r="O560" s="15" t="n">
        <f aca="false">SUMPRODUCT(E560:N560,1/(1+$F$535)^$E$3:$N$3)*$E$2</f>
        <v>7550.25577982126</v>
      </c>
      <c r="P560" s="15" t="n">
        <f aca="false">N560*$E$2*(1+$I$535)/($F$535-$I$535)/(1+$F$535)^$N$3</f>
        <v>10100.2482218007</v>
      </c>
      <c r="Q560" s="15" t="n">
        <f aca="false">O560+P560</f>
        <v>17650.504001622</v>
      </c>
      <c r="R560" s="15" t="n">
        <f aca="false">Q560-$G$2+$I$2</f>
        <v>12830.004001622</v>
      </c>
      <c r="S560" s="42" t="n">
        <f aca="false">R560/$K$2</f>
        <v>66.9624425971921</v>
      </c>
      <c r="T560" s="43" t="n">
        <f aca="false">S560-$M$2</f>
        <v>2.08852923435643E-005</v>
      </c>
    </row>
    <row r="562" customFormat="false" ht="15" hidden="false" customHeight="false" outlineLevel="0" collapsed="false">
      <c r="A562" s="38" t="s">
        <v>192</v>
      </c>
      <c r="E562" s="5" t="s">
        <v>11</v>
      </c>
      <c r="F562" s="12" t="n">
        <f aca="false">Sensitivity!$B$13</f>
        <v>0.100084897741638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153</v>
      </c>
      <c r="B563" s="28" t="s">
        <v>154</v>
      </c>
      <c r="C563" s="28" t="s">
        <v>155</v>
      </c>
      <c r="D563" s="28" t="s">
        <v>156</v>
      </c>
      <c r="E563" s="28" t="s">
        <v>157</v>
      </c>
      <c r="F563" s="28" t="s">
        <v>158</v>
      </c>
      <c r="G563" s="28" t="s">
        <v>159</v>
      </c>
      <c r="H563" s="28" t="s">
        <v>160</v>
      </c>
      <c r="I563" s="28" t="s">
        <v>161</v>
      </c>
      <c r="J563" s="28" t="s">
        <v>162</v>
      </c>
      <c r="K563" s="28" t="s">
        <v>163</v>
      </c>
      <c r="L563" s="28" t="s">
        <v>164</v>
      </c>
      <c r="M563" s="28" t="s">
        <v>165</v>
      </c>
      <c r="N563" s="28" t="s">
        <v>166</v>
      </c>
      <c r="O563" s="28" t="s">
        <v>167</v>
      </c>
      <c r="P563" s="28" t="s">
        <v>168</v>
      </c>
      <c r="Q563" s="28" t="s">
        <v>169</v>
      </c>
      <c r="R563" s="28" t="s">
        <v>170</v>
      </c>
      <c r="S563" s="28" t="s">
        <v>171</v>
      </c>
      <c r="T563" s="28" t="s">
        <v>172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6125</v>
      </c>
      <c r="F564" s="15" t="n">
        <f aca="false">E564*(1+IF(F$3&lt;=$O$2,$D564,$D564-($D564-$I$562)*MIN(F$3-$O$2,$Q$2)/$Q$2))</f>
        <v>7656.25</v>
      </c>
      <c r="G564" s="15" t="n">
        <f aca="false">F564*(1+IF(G$3&lt;=$O$2,$D564,$D564-($D564-$I$562)*MIN(G$3-$O$2,$Q$2)/$Q$2))</f>
        <v>9570.3125</v>
      </c>
      <c r="H564" s="15" t="n">
        <f aca="false">G564*(1+IF(H$3&lt;=$O$2,$D564,$D564-($D564-$I$562)*MIN(H$3-$O$2,$Q$2)/$Q$2))</f>
        <v>11962.890625</v>
      </c>
      <c r="I564" s="15" t="n">
        <f aca="false">H564*(1+IF(I$3&lt;=$O$2,$D564,$D564-($D564-$I$562)*MIN(I$3-$O$2,$Q$2)/$Q$2))</f>
        <v>14953.61328125</v>
      </c>
      <c r="J564" s="15" t="n">
        <f aca="false">I564*(1+IF(J$3&lt;=$O$2,$D564,$D564-($D564-$I$562)*MIN(J$3-$O$2,$Q$2)/$Q$2))</f>
        <v>18058.8806152344</v>
      </c>
      <c r="K564" s="15" t="n">
        <f aca="false">J564*(1+IF(K$3&lt;=$O$2,$D564,$D564-($D564-$I$562)*MIN(K$3-$O$2,$Q$2)/$Q$2))</f>
        <v>21044.3747585449</v>
      </c>
      <c r="L564" s="15" t="n">
        <f aca="false">K564*(1+IF(L$3&lt;=$O$2,$D564,$D564-($D564-$I$562)*MIN(L$3-$O$2,$Q$2)/$Q$2))</f>
        <v>23632.4119663508</v>
      </c>
      <c r="M564" s="15" t="n">
        <f aca="false">L564*(1+IF(M$3&lt;=$O$2,$D564,$D564-($D564-$I$562)*MIN(M$3-$O$2,$Q$2)/$Q$2))</f>
        <v>25538.1296673173</v>
      </c>
      <c r="N564" s="15" t="n">
        <f aca="false">M564*(1+IF(N$3&lt;=$O$2,$D564,$D564-($D564-$I$562)*MIN(N$3-$O$2,$Q$2)/$Q$2))</f>
        <v>26516.2400335756</v>
      </c>
      <c r="O564" s="15" t="n">
        <f aca="false">SUMPRODUCT(E564:N564,1/(1+$F$562)^$E$3:$N$3)*$E$2</f>
        <v>14402.6905205134</v>
      </c>
      <c r="P564" s="15" t="n">
        <f aca="false">N564*$E$2*(1+$I$562)/($F$562-$I$562)/(1+$F$562)^$N$3</f>
        <v>27603.5829908431</v>
      </c>
      <c r="Q564" s="15" t="n">
        <f aca="false">O564+P564</f>
        <v>42006.2735113565</v>
      </c>
      <c r="R564" s="15" t="n">
        <f aca="false">Q564-$G$2+$I$2</f>
        <v>37185.7735113565</v>
      </c>
      <c r="S564" s="42" t="n">
        <f aca="false">R564/$K$2</f>
        <v>194.080237533176</v>
      </c>
      <c r="T564" s="43" t="n">
        <f aca="false">S564-$M$2</f>
        <v>127.117815821276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4287.5</v>
      </c>
      <c r="F565" s="15" t="n">
        <f aca="false">E565*(1+IF(F$3&lt;=$O$2,$D565,$D565-($D565-$I$562)*MIN(F$3-$O$2,$Q$2)/$Q$2))</f>
        <v>3751.5625</v>
      </c>
      <c r="G565" s="15" t="n">
        <f aca="false">F565*(1+IF(G$3&lt;=$O$2,$D565,$D565-($D565-$I$562)*MIN(G$3-$O$2,$Q$2)/$Q$2))</f>
        <v>3282.6171875</v>
      </c>
      <c r="H565" s="15" t="n">
        <f aca="false">G565*(1+IF(H$3&lt;=$O$2,$D565,$D565-($D565-$I$562)*MIN(H$3-$O$2,$Q$2)/$Q$2))</f>
        <v>2872.2900390625</v>
      </c>
      <c r="I565" s="15" t="n">
        <f aca="false">H565*(1+IF(I$3&lt;=$O$2,$D565,$D565-($D565-$I$562)*MIN(I$3-$O$2,$Q$2)/$Q$2))</f>
        <v>2513.25378417969</v>
      </c>
      <c r="J565" s="15" t="n">
        <f aca="false">I565*(1+IF(J$3&lt;=$O$2,$D565,$D565-($D565-$I$562)*MIN(J$3-$O$2,$Q$2)/$Q$2))</f>
        <v>2281.17992974854</v>
      </c>
      <c r="K565" s="15" t="n">
        <f aca="false">J565*(1+IF(K$3&lt;=$O$2,$D565,$D565-($D565-$I$562)*MIN(K$3-$O$2,$Q$2)/$Q$2))</f>
        <v>2145.03911154114</v>
      </c>
      <c r="L565" s="15" t="n">
        <f aca="false">K565*(1+IF(L$3&lt;=$O$2,$D565,$D565-($D565-$I$562)*MIN(L$3-$O$2,$Q$2)/$Q$2))</f>
        <v>2087.0801547473</v>
      </c>
      <c r="M565" s="15" t="n">
        <f aca="false">L565*(1+IF(M$3&lt;=$O$2,$D565,$D565-($D565-$I$562)*MIN(M$3-$O$2,$Q$2)/$Q$2))</f>
        <v>2098.85128682008</v>
      </c>
      <c r="N565" s="15" t="n">
        <f aca="false">M565*(1+IF(N$3&lt;=$O$2,$D565,$D565-($D565-$I$562)*MIN(N$3-$O$2,$Q$2)/$Q$2))</f>
        <v>2179.23729110529</v>
      </c>
      <c r="O565" s="15" t="n">
        <f aca="false">SUMPRODUCT(E565:N565,1/(1+$F$562)^$E$3:$N$3)*$E$2</f>
        <v>2906.15438980263</v>
      </c>
      <c r="P565" s="15" t="n">
        <f aca="false">N565*$E$2*(1+$I$562)/($F$562-$I$562)/(1+$F$562)^$N$3</f>
        <v>2268.60057631079</v>
      </c>
      <c r="Q565" s="15" t="n">
        <f aca="false">O565+P565</f>
        <v>5174.75496611342</v>
      </c>
      <c r="R565" s="15" t="n">
        <f aca="false">Q565-$G$2+$I$2</f>
        <v>354.254966113418</v>
      </c>
      <c r="S565" s="42" t="n">
        <f aca="false">R565/$K$2</f>
        <v>1.84892988576941</v>
      </c>
      <c r="T565" s="43" t="n">
        <f aca="false">S565-$M$2</f>
        <v>-65.1134918261304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5206.25</v>
      </c>
      <c r="F566" s="15" t="n">
        <f aca="false">E566*(1+IF(F$3&lt;=$O$2,$D566,$D566-($D566-$I$562)*MIN(F$3-$O$2,$Q$2)/$Q$2))</f>
        <v>5531.640625</v>
      </c>
      <c r="G566" s="15" t="n">
        <f aca="false">F566*(1+IF(G$3&lt;=$O$2,$D566,$D566-($D566-$I$562)*MIN(G$3-$O$2,$Q$2)/$Q$2))</f>
        <v>5877.3681640625</v>
      </c>
      <c r="H566" s="15" t="n">
        <f aca="false">G566*(1+IF(H$3&lt;=$O$2,$D566,$D566-($D566-$I$562)*MIN(H$3-$O$2,$Q$2)/$Q$2))</f>
        <v>6244.70367431641</v>
      </c>
      <c r="I566" s="15" t="n">
        <f aca="false">H566*(1+IF(I$3&lt;=$O$2,$D566,$D566-($D566-$I$562)*MIN(I$3-$O$2,$Q$2)/$Q$2))</f>
        <v>6634.99765396118</v>
      </c>
      <c r="J566" s="15" t="n">
        <f aca="false">I566*(1+IF(J$3&lt;=$O$2,$D566,$D566-($D566-$I$562)*MIN(J$3-$O$2,$Q$2)/$Q$2))</f>
        <v>7017.57161868858</v>
      </c>
      <c r="K566" s="15" t="n">
        <f aca="false">J566*(1+IF(K$3&lt;=$O$2,$D566,$D566-($D566-$I$562)*MIN(K$3-$O$2,$Q$2)/$Q$2))</f>
        <v>7388.23975158772</v>
      </c>
      <c r="L566" s="15" t="n">
        <f aca="false">K566*(1+IF(L$3&lt;=$O$2,$D566,$D566-($D566-$I$562)*MIN(L$3-$O$2,$Q$2)/$Q$2))</f>
        <v>7742.72749486889</v>
      </c>
      <c r="M566" s="15" t="n">
        <f aca="false">L566*(1+IF(M$3&lt;=$O$2,$D566,$D566-($D566-$I$562)*MIN(M$3-$O$2,$Q$2)/$Q$2))</f>
        <v>8076.74875899754</v>
      </c>
      <c r="N566" s="15" t="n">
        <f aca="false">M566*(1+IF(N$3&lt;=$O$2,$D566,$D566-($D566-$I$562)*MIN(N$3-$O$2,$Q$2)/$Q$2))</f>
        <v>8386.08823646714</v>
      </c>
      <c r="O566" s="15" t="n">
        <f aca="false">SUMPRODUCT(E566:N566,1/(1+$F$562)^$E$3:$N$3)*$E$2</f>
        <v>6449.92601655191</v>
      </c>
      <c r="P566" s="15" t="n">
        <f aca="false">N566*$E$2*(1+$I$562)/($F$562-$I$562)/(1+$F$562)^$N$3</f>
        <v>8729.97386924918</v>
      </c>
      <c r="Q566" s="15" t="n">
        <f aca="false">O566+P566</f>
        <v>15179.8998858011</v>
      </c>
      <c r="R566" s="15" t="n">
        <f aca="false">Q566-$G$2+$I$2</f>
        <v>10359.3998858011</v>
      </c>
      <c r="S566" s="42" t="n">
        <f aca="false">R566/$K$2</f>
        <v>54.0678490908199</v>
      </c>
      <c r="T566" s="43" t="n">
        <f aca="false">S566-$M$2</f>
        <v>-12.8945726210799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0.0625</v>
      </c>
      <c r="C567" s="25" t="n">
        <f aca="false">IF(T566&gt;0,D566,C566)</f>
        <v>0.25</v>
      </c>
      <c r="D567" s="41" t="n">
        <f aca="false">(B567+C567)/2</f>
        <v>0.15625</v>
      </c>
      <c r="E567" s="15" t="n">
        <f aca="false">$C$2*(1+IF(E$3&lt;=$O$2,$D567,$D567-($D567-$I$562)*MIN(E$3-$O$2,$Q$2)/$Q$2))</f>
        <v>5665.625</v>
      </c>
      <c r="F567" s="15" t="n">
        <f aca="false">E567*(1+IF(F$3&lt;=$O$2,$D567,$D567-($D567-$I$562)*MIN(F$3-$O$2,$Q$2)/$Q$2))</f>
        <v>6550.87890625</v>
      </c>
      <c r="G567" s="15" t="n">
        <f aca="false">F567*(1+IF(G$3&lt;=$O$2,$D567,$D567-($D567-$I$562)*MIN(G$3-$O$2,$Q$2)/$Q$2))</f>
        <v>7574.45373535156</v>
      </c>
      <c r="H567" s="15" t="n">
        <f aca="false">G567*(1+IF(H$3&lt;=$O$2,$D567,$D567-($D567-$I$562)*MIN(H$3-$O$2,$Q$2)/$Q$2))</f>
        <v>8757.96213150024</v>
      </c>
      <c r="I567" s="15" t="n">
        <f aca="false">H567*(1+IF(I$3&lt;=$O$2,$D567,$D567-($D567-$I$562)*MIN(I$3-$O$2,$Q$2)/$Q$2))</f>
        <v>10126.3937145472</v>
      </c>
      <c r="J567" s="15" t="n">
        <f aca="false">I567*(1+IF(J$3&lt;=$O$2,$D567,$D567-($D567-$I$562)*MIN(J$3-$O$2,$Q$2)/$Q$2))</f>
        <v>11469.761104719</v>
      </c>
      <c r="K567" s="15" t="n">
        <f aca="false">J567*(1+IF(K$3&lt;=$O$2,$D567,$D567-($D567-$I$562)*MIN(K$3-$O$2,$Q$2)/$Q$2))</f>
        <v>12720.7679484107</v>
      </c>
      <c r="L567" s="15" t="n">
        <f aca="false">K567*(1+IF(L$3&lt;=$O$2,$D567,$D567-($D567-$I$562)*MIN(L$3-$O$2,$Q$2)/$Q$2))</f>
        <v>13808.1391926408</v>
      </c>
      <c r="M567" s="15" t="n">
        <f aca="false">L567*(1+IF(M$3&lt;=$O$2,$D567,$D567-($D567-$I$562)*MIN(M$3-$O$2,$Q$2)/$Q$2))</f>
        <v>14662.7249272734</v>
      </c>
      <c r="N567" s="15" t="n">
        <f aca="false">M567*(1+IF(N$3&lt;=$O$2,$D567,$D567-($D567-$I$562)*MIN(N$3-$O$2,$Q$2)/$Q$2))</f>
        <v>15224.3072919879</v>
      </c>
      <c r="O567" s="15" t="n">
        <f aca="false">SUMPRODUCT(E567:N567,1/(1+$F$562)^$E$3:$N$3)*$E$2</f>
        <v>9652.65143917686</v>
      </c>
      <c r="P567" s="15" t="n">
        <f aca="false">N567*$E$2*(1+$I$562)/($F$562-$I$562)/(1+$F$562)^$N$3</f>
        <v>15848.6055821022</v>
      </c>
      <c r="Q567" s="15" t="n">
        <f aca="false">O567+P567</f>
        <v>25501.257021279</v>
      </c>
      <c r="R567" s="15" t="n">
        <f aca="false">Q567-$G$2+$I$2</f>
        <v>20680.757021279</v>
      </c>
      <c r="S567" s="42" t="n">
        <f aca="false">R567/$K$2</f>
        <v>107.937145205005</v>
      </c>
      <c r="T567" s="43" t="n">
        <f aca="false">S567-$M$2</f>
        <v>40.9747234931056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0.0625</v>
      </c>
      <c r="C568" s="25" t="n">
        <f aca="false">IF(T567&gt;0,D567,C567)</f>
        <v>0.15625</v>
      </c>
      <c r="D568" s="41" t="n">
        <f aca="false">(B568+C568)/2</f>
        <v>0.109375</v>
      </c>
      <c r="E568" s="15" t="n">
        <f aca="false">$C$2*(1+IF(E$3&lt;=$O$2,$D568,$D568-($D568-$I$562)*MIN(E$3-$O$2,$Q$2)/$Q$2))</f>
        <v>5435.9375</v>
      </c>
      <c r="F568" s="15" t="n">
        <f aca="false">E568*(1+IF(F$3&lt;=$O$2,$D568,$D568-($D568-$I$562)*MIN(F$3-$O$2,$Q$2)/$Q$2))</f>
        <v>6030.4931640625</v>
      </c>
      <c r="G568" s="15" t="n">
        <f aca="false">F568*(1+IF(G$3&lt;=$O$2,$D568,$D568-($D568-$I$562)*MIN(G$3-$O$2,$Q$2)/$Q$2))</f>
        <v>6690.07835388184</v>
      </c>
      <c r="H568" s="15" t="n">
        <f aca="false">G568*(1+IF(H$3&lt;=$O$2,$D568,$D568-($D568-$I$562)*MIN(H$3-$O$2,$Q$2)/$Q$2))</f>
        <v>7421.80567383766</v>
      </c>
      <c r="I568" s="15" t="n">
        <f aca="false">H568*(1+IF(I$3&lt;=$O$2,$D568,$D568-($D568-$I$562)*MIN(I$3-$O$2,$Q$2)/$Q$2))</f>
        <v>8233.56566941366</v>
      </c>
      <c r="J568" s="15" t="n">
        <f aca="false">I568*(1+IF(J$3&lt;=$O$2,$D568,$D568-($D568-$I$562)*MIN(J$3-$O$2,$Q$2)/$Q$2))</f>
        <v>9017.07177851506</v>
      </c>
      <c r="K568" s="15" t="n">
        <f aca="false">J568*(1+IF(K$3&lt;=$O$2,$D568,$D568-($D568-$I$562)*MIN(K$3-$O$2,$Q$2)/$Q$2))</f>
        <v>9746.95865362696</v>
      </c>
      <c r="L568" s="15" t="n">
        <f aca="false">K568*(1+IF(L$3&lt;=$O$2,$D568,$D568-($D568-$I$562)*MIN(L$3-$O$2,$Q$2)/$Q$2))</f>
        <v>10397.3732045835</v>
      </c>
      <c r="M568" s="15" t="n">
        <f aca="false">L568*(1+IF(M$3&lt;=$O$2,$D568,$D568-($D568-$I$562)*MIN(M$3-$O$2,$Q$2)/$Q$2))</f>
        <v>10943.3912584222</v>
      </c>
      <c r="N568" s="15" t="n">
        <f aca="false">M568*(1+IF(N$3&lt;=$O$2,$D568,$D568-($D568-$I$562)*MIN(N$3-$O$2,$Q$2)/$Q$2))</f>
        <v>11362.5231436198</v>
      </c>
      <c r="O568" s="15" t="n">
        <f aca="false">SUMPRODUCT(E568:N568,1/(1+$F$562)^$E$3:$N$3)*$E$2</f>
        <v>7891.37718103825</v>
      </c>
      <c r="P568" s="15" t="n">
        <f aca="false">N568*$E$2*(1+$I$562)/($F$562-$I$562)/(1+$F$562)^$N$3</f>
        <v>11828.4624887667</v>
      </c>
      <c r="Q568" s="15" t="n">
        <f aca="false">O568+P568</f>
        <v>19719.839669805</v>
      </c>
      <c r="R568" s="15" t="n">
        <f aca="false">Q568-$G$2+$I$2</f>
        <v>14899.339669805</v>
      </c>
      <c r="S568" s="42" t="n">
        <f aca="false">R568/$K$2</f>
        <v>77.7627331409446</v>
      </c>
      <c r="T568" s="43" t="n">
        <f aca="false">S568-$M$2</f>
        <v>10.8003114290448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0.0625</v>
      </c>
      <c r="C569" s="25" t="n">
        <f aca="false">IF(T568&gt;0,D568,C568)</f>
        <v>0.109375</v>
      </c>
      <c r="D569" s="41" t="n">
        <f aca="false">(B569+C569)/2</f>
        <v>0.0859375</v>
      </c>
      <c r="E569" s="15" t="n">
        <f aca="false">$C$2*(1+IF(E$3&lt;=$O$2,$D569,$D569-($D569-$I$562)*MIN(E$3-$O$2,$Q$2)/$Q$2))</f>
        <v>5321.09375</v>
      </c>
      <c r="F569" s="15" t="n">
        <f aca="false">E569*(1+IF(F$3&lt;=$O$2,$D569,$D569-($D569-$I$562)*MIN(F$3-$O$2,$Q$2)/$Q$2))</f>
        <v>5778.37524414063</v>
      </c>
      <c r="G569" s="15" t="n">
        <f aca="false">F569*(1+IF(G$3&lt;=$O$2,$D569,$D569-($D569-$I$562)*MIN(G$3-$O$2,$Q$2)/$Q$2))</f>
        <v>6274.95436668396</v>
      </c>
      <c r="H569" s="15" t="n">
        <f aca="false">G569*(1+IF(H$3&lt;=$O$2,$D569,$D569-($D569-$I$562)*MIN(H$3-$O$2,$Q$2)/$Q$2))</f>
        <v>6814.20825757086</v>
      </c>
      <c r="I569" s="15" t="n">
        <f aca="false">H569*(1+IF(I$3&lt;=$O$2,$D569,$D569-($D569-$I$562)*MIN(I$3-$O$2,$Q$2)/$Q$2))</f>
        <v>7399.80427970586</v>
      </c>
      <c r="J569" s="15" t="n">
        <f aca="false">I569*(1+IF(J$3&lt;=$O$2,$D569,$D569-($D569-$I$562)*MIN(J$3-$O$2,$Q$2)/$Q$2))</f>
        <v>7965.22332471818</v>
      </c>
      <c r="K569" s="15" t="n">
        <f aca="false">J569*(1+IF(K$3&lt;=$O$2,$D569,$D569-($D569-$I$562)*MIN(K$3-$O$2,$Q$2)/$Q$2))</f>
        <v>8497.95737373365</v>
      </c>
      <c r="L569" s="15" t="n">
        <f aca="false">K569*(1+IF(L$3&lt;=$O$2,$D569,$D569-($D569-$I$562)*MIN(L$3-$O$2,$Q$2)/$Q$2))</f>
        <v>8985.35771890414</v>
      </c>
      <c r="M569" s="15" t="n">
        <f aca="false">L569*(1+IF(M$3&lt;=$O$2,$D569,$D569-($D569-$I$562)*MIN(M$3-$O$2,$Q$2)/$Q$2))</f>
        <v>9415.10491520503</v>
      </c>
      <c r="N569" s="15" t="n">
        <f aca="false">M569*(1+IF(N$3&lt;=$O$2,$D569,$D569-($D569-$I$562)*MIN(N$3-$O$2,$Q$2)/$Q$2))</f>
        <v>9775.70343345738</v>
      </c>
      <c r="O569" s="15" t="n">
        <f aca="false">SUMPRODUCT(E569:N569,1/(1+$F$562)^$E$3:$N$3)*$E$2</f>
        <v>7134.30436404488</v>
      </c>
      <c r="P569" s="15" t="n">
        <f aca="false">N569*$E$2*(1+$I$562)/($F$562-$I$562)/(1+$F$562)^$N$3</f>
        <v>10176.5725712856</v>
      </c>
      <c r="Q569" s="15" t="n">
        <f aca="false">O569+P569</f>
        <v>17310.8769353305</v>
      </c>
      <c r="R569" s="15" t="n">
        <f aca="false">Q569-$G$2+$I$2</f>
        <v>12490.3769353305</v>
      </c>
      <c r="S569" s="42" t="n">
        <f aca="false">R569/$K$2</f>
        <v>65.1898587438961</v>
      </c>
      <c r="T569" s="43" t="n">
        <f aca="false">S569-$M$2</f>
        <v>-1.77256296800371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0.0859375</v>
      </c>
      <c r="C570" s="25" t="n">
        <f aca="false">IF(T569&gt;0,D569,C569)</f>
        <v>0.109375</v>
      </c>
      <c r="D570" s="41" t="n">
        <f aca="false">(B570+C570)/2</f>
        <v>0.09765625</v>
      </c>
      <c r="E570" s="15" t="n">
        <f aca="false">$C$2*(1+IF(E$3&lt;=$O$2,$D570,$D570-($D570-$I$562)*MIN(E$3-$O$2,$Q$2)/$Q$2))</f>
        <v>5378.515625</v>
      </c>
      <c r="F570" s="15" t="n">
        <f aca="false">E570*(1+IF(F$3&lt;=$O$2,$D570,$D570-($D570-$I$562)*MIN(F$3-$O$2,$Q$2)/$Q$2))</f>
        <v>5903.76129150391</v>
      </c>
      <c r="G570" s="15" t="n">
        <f aca="false">F570*(1+IF(G$3&lt;=$O$2,$D570,$D570-($D570-$I$562)*MIN(G$3-$O$2,$Q$2)/$Q$2))</f>
        <v>6480.30048012734</v>
      </c>
      <c r="H570" s="15" t="n">
        <f aca="false">G570*(1+IF(H$3&lt;=$O$2,$D570,$D570-($D570-$I$562)*MIN(H$3-$O$2,$Q$2)/$Q$2))</f>
        <v>7113.14232388977</v>
      </c>
      <c r="I570" s="15" t="n">
        <f aca="false">H570*(1+IF(I$3&lt;=$O$2,$D570,$D570-($D570-$I$562)*MIN(I$3-$O$2,$Q$2)/$Q$2))</f>
        <v>7807.78512895713</v>
      </c>
      <c r="J570" s="15" t="n">
        <f aca="false">I570*(1+IF(J$3&lt;=$O$2,$D570,$D570-($D570-$I$562)*MIN(J$3-$O$2,$Q$2)/$Q$2))</f>
        <v>8477.57597624472</v>
      </c>
      <c r="K570" s="15" t="n">
        <f aca="false">J570*(1+IF(K$3&lt;=$O$2,$D570,$D570-($D570-$I$562)*MIN(K$3-$O$2,$Q$2)/$Q$2))</f>
        <v>9104.18540755888</v>
      </c>
      <c r="L570" s="15" t="n">
        <f aca="false">K570*(1+IF(L$3&lt;=$O$2,$D570,$D570-($D570-$I$562)*MIN(L$3-$O$2,$Q$2)/$Q$2))</f>
        <v>9669.03183070735</v>
      </c>
      <c r="M570" s="15" t="n">
        <f aca="false">L570*(1+IF(M$3&lt;=$O$2,$D570,$D570-($D570-$I$562)*MIN(M$3-$O$2,$Q$2)/$Q$2))</f>
        <v>10154.1392439437</v>
      </c>
      <c r="N570" s="15" t="n">
        <f aca="false">M570*(1+IF(N$3&lt;=$O$2,$D570,$D570-($D570-$I$562)*MIN(N$3-$O$2,$Q$2)/$Q$2))</f>
        <v>10543.0427769868</v>
      </c>
      <c r="O570" s="15" t="n">
        <f aca="false">SUMPRODUCT(E570:N570,1/(1+$F$562)^$E$3:$N$3)*$E$2</f>
        <v>7503.32292407462</v>
      </c>
      <c r="P570" s="15" t="n">
        <f aca="false">N570*$E$2*(1+$I$562)/($F$562-$I$562)/(1+$F$562)^$N$3</f>
        <v>10975.3779533621</v>
      </c>
      <c r="Q570" s="15" t="n">
        <f aca="false">O570+P570</f>
        <v>18478.7008774367</v>
      </c>
      <c r="R570" s="15" t="n">
        <f aca="false">Q570-$G$2+$I$2</f>
        <v>13658.2008774367</v>
      </c>
      <c r="S570" s="42" t="n">
        <f aca="false">R570/$K$2</f>
        <v>71.2849732642836</v>
      </c>
      <c r="T570" s="43" t="n">
        <f aca="false">S570-$M$2</f>
        <v>4.32255155238376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0.0859375</v>
      </c>
      <c r="C571" s="25" t="n">
        <f aca="false">IF(T570&gt;0,D570,C570)</f>
        <v>0.09765625</v>
      </c>
      <c r="D571" s="41" t="n">
        <f aca="false">(B571+C571)/2</f>
        <v>0.091796875</v>
      </c>
      <c r="E571" s="15" t="n">
        <f aca="false">$C$2*(1+IF(E$3&lt;=$O$2,$D571,$D571-($D571-$I$562)*MIN(E$3-$O$2,$Q$2)/$Q$2))</f>
        <v>5349.8046875</v>
      </c>
      <c r="F571" s="15" t="n">
        <f aca="false">E571*(1+IF(F$3&lt;=$O$2,$D571,$D571-($D571-$I$562)*MIN(F$3-$O$2,$Q$2)/$Q$2))</f>
        <v>5840.90003967285</v>
      </c>
      <c r="G571" s="15" t="n">
        <f aca="false">F571*(1+IF(G$3&lt;=$O$2,$D571,$D571-($D571-$I$562)*MIN(G$3-$O$2,$Q$2)/$Q$2))</f>
        <v>6377.0764105022</v>
      </c>
      <c r="H571" s="15" t="n">
        <f aca="false">G571*(1+IF(H$3&lt;=$O$2,$D571,$D571-($D571-$I$562)*MIN(H$3-$O$2,$Q$2)/$Q$2))</f>
        <v>6962.47209662251</v>
      </c>
      <c r="I571" s="15" t="n">
        <f aca="false">H571*(1+IF(I$3&lt;=$O$2,$D571,$D571-($D571-$I$562)*MIN(I$3-$O$2,$Q$2)/$Q$2))</f>
        <v>7601.60527736716</v>
      </c>
      <c r="J571" s="15" t="n">
        <f aca="false">I571*(1+IF(J$3&lt;=$O$2,$D571,$D571-($D571-$I$562)*MIN(J$3-$O$2,$Q$2)/$Q$2))</f>
        <v>8218.07646134844</v>
      </c>
      <c r="K571" s="15" t="n">
        <f aca="false">J571*(1+IF(K$3&lt;=$O$2,$D571,$D571-($D571-$I$562)*MIN(K$3-$O$2,$Q$2)/$Q$2))</f>
        <v>8796.61363533401</v>
      </c>
      <c r="L571" s="15" t="n">
        <f aca="false">K571*(1+IF(L$3&lt;=$O$2,$D571,$D571-($D571-$I$562)*MIN(L$3-$O$2,$Q$2)/$Q$2))</f>
        <v>9321.7604735964</v>
      </c>
      <c r="M571" s="15" t="n">
        <f aca="false">L571*(1+IF(M$3&lt;=$O$2,$D571,$D571-($D571-$I$562)*MIN(M$3-$O$2,$Q$2)/$Q$2))</f>
        <v>9778.52091070233</v>
      </c>
      <c r="N571" s="15" t="n">
        <f aca="false">M571*(1+IF(N$3&lt;=$O$2,$D571,$D571-($D571-$I$562)*MIN(N$3-$O$2,$Q$2)/$Q$2))</f>
        <v>10153.0382615822</v>
      </c>
      <c r="O571" s="15" t="n">
        <f aca="false">SUMPRODUCT(E571:N571,1/(1+$F$562)^$E$3:$N$3)*$E$2</f>
        <v>7316.48943447345</v>
      </c>
      <c r="P571" s="15" t="n">
        <f aca="false">N571*$E$2*(1+$I$562)/($F$562-$I$562)/(1+$F$562)^$N$3</f>
        <v>10569.380647781</v>
      </c>
      <c r="Q571" s="15" t="n">
        <f aca="false">O571+P571</f>
        <v>17885.8700822545</v>
      </c>
      <c r="R571" s="15" t="n">
        <f aca="false">Q571-$G$2+$I$2</f>
        <v>13065.3700822545</v>
      </c>
      <c r="S571" s="42" t="n">
        <f aca="false">R571/$K$2</f>
        <v>68.1908668176121</v>
      </c>
      <c r="T571" s="43" t="n">
        <f aca="false">S571-$M$2</f>
        <v>1.22844510571231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0.0859375</v>
      </c>
      <c r="C572" s="25" t="n">
        <f aca="false">IF(T571&gt;0,D571,C571)</f>
        <v>0.091796875</v>
      </c>
      <c r="D572" s="41" t="n">
        <f aca="false">(B572+C572)/2</f>
        <v>0.0888671875</v>
      </c>
      <c r="E572" s="15" t="n">
        <f aca="false">$C$2*(1+IF(E$3&lt;=$O$2,$D572,$D572-($D572-$I$562)*MIN(E$3-$O$2,$Q$2)/$Q$2))</f>
        <v>5335.44921875</v>
      </c>
      <c r="F572" s="15" t="n">
        <f aca="false">E572*(1+IF(F$3&lt;=$O$2,$D572,$D572-($D572-$I$562)*MIN(F$3-$O$2,$Q$2)/$Q$2))</f>
        <v>5809.59558486939</v>
      </c>
      <c r="G572" s="15" t="n">
        <f aca="false">F572*(1+IF(G$3&lt;=$O$2,$D572,$D572-($D572-$I$562)*MIN(G$3-$O$2,$Q$2)/$Q$2))</f>
        <v>6325.87800500914</v>
      </c>
      <c r="H572" s="15" t="n">
        <f aca="false">G572*(1+IF(H$3&lt;=$O$2,$D572,$D572-($D572-$I$562)*MIN(H$3-$O$2,$Q$2)/$Q$2))</f>
        <v>6888.04099178242</v>
      </c>
      <c r="I572" s="15" t="n">
        <f aca="false">H572*(1+IF(I$3&lt;=$O$2,$D572,$D572-($D572-$I$562)*MIN(I$3-$O$2,$Q$2)/$Q$2))</f>
        <v>7500.16182210683</v>
      </c>
      <c r="J572" s="15" t="n">
        <f aca="false">I572*(1+IF(J$3&lt;=$O$2,$D572,$D572-($D572-$I$562)*MIN(J$3-$O$2,$Q$2)/$Q$2))</f>
        <v>8090.82769120458</v>
      </c>
      <c r="K572" s="15" t="n">
        <f aca="false">J572*(1+IF(K$3&lt;=$O$2,$D572,$D572-($D572-$I$562)*MIN(K$3-$O$2,$Q$2)/$Q$2))</f>
        <v>8646.18463231251</v>
      </c>
      <c r="L572" s="15" t="n">
        <f aca="false">K572*(1+IF(L$3&lt;=$O$2,$D572,$D572-($D572-$I$562)*MIN(L$3-$O$2,$Q$2)/$Q$2))</f>
        <v>9152.21879951479</v>
      </c>
      <c r="M572" s="15" t="n">
        <f aca="false">L572*(1+IF(M$3&lt;=$O$2,$D572,$D572-($D572-$I$562)*MIN(M$3-$O$2,$Q$2)/$Q$2))</f>
        <v>9595.30917235142</v>
      </c>
      <c r="N572" s="15" t="n">
        <f aca="false">M572*(1+IF(N$3&lt;=$O$2,$D572,$D572-($D572-$I$562)*MIN(N$3-$O$2,$Q$2)/$Q$2))</f>
        <v>9962.80951365248</v>
      </c>
      <c r="O572" s="15" t="n">
        <f aca="false">SUMPRODUCT(E572:N572,1/(1+$F$562)^$E$3:$N$3)*$E$2</f>
        <v>7224.82263151755</v>
      </c>
      <c r="P572" s="15" t="n">
        <f aca="false">N572*$E$2*(1+$I$562)/($F$562-$I$562)/(1+$F$562)^$N$3</f>
        <v>10371.3512505485</v>
      </c>
      <c r="Q572" s="15" t="n">
        <f aca="false">O572+P572</f>
        <v>17596.173882066</v>
      </c>
      <c r="R572" s="15" t="n">
        <f aca="false">Q572-$G$2+$I$2</f>
        <v>12775.673882066</v>
      </c>
      <c r="S572" s="42" t="n">
        <f aca="false">R572/$K$2</f>
        <v>66.6788824742486</v>
      </c>
      <c r="T572" s="43" t="n">
        <f aca="false">S572-$M$2</f>
        <v>-0.28353923765124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0.0888671875</v>
      </c>
      <c r="C573" s="25" t="n">
        <f aca="false">IF(T572&gt;0,D572,C572)</f>
        <v>0.091796875</v>
      </c>
      <c r="D573" s="41" t="n">
        <f aca="false">(B573+C573)/2</f>
        <v>0.09033203125</v>
      </c>
      <c r="E573" s="15" t="n">
        <f aca="false">$C$2*(1+IF(E$3&lt;=$O$2,$D573,$D573-($D573-$I$562)*MIN(E$3-$O$2,$Q$2)/$Q$2))</f>
        <v>5342.626953125</v>
      </c>
      <c r="F573" s="15" t="n">
        <f aca="false">E573*(1+IF(F$3&lt;=$O$2,$D573,$D573-($D573-$I$562)*MIN(F$3-$O$2,$Q$2)/$Q$2))</f>
        <v>5825.23729801178</v>
      </c>
      <c r="G573" s="15" t="n">
        <f aca="false">F573*(1+IF(G$3&lt;=$O$2,$D573,$D573-($D573-$I$562)*MIN(G$3-$O$2,$Q$2)/$Q$2))</f>
        <v>6351.44281565445</v>
      </c>
      <c r="H573" s="15" t="n">
        <f aca="false">G573*(1+IF(H$3&lt;=$O$2,$D573,$D573-($D573-$I$562)*MIN(H$3-$O$2,$Q$2)/$Q$2))</f>
        <v>6925.18154656073</v>
      </c>
      <c r="I573" s="15" t="n">
        <f aca="false">H573*(1+IF(I$3&lt;=$O$2,$D573,$D573-($D573-$I$562)*MIN(I$3-$O$2,$Q$2)/$Q$2))</f>
        <v>7550.74726243658</v>
      </c>
      <c r="J573" s="15" t="n">
        <f aca="false">I573*(1+IF(J$3&lt;=$O$2,$D573,$D573-($D573-$I$562)*MIN(J$3-$O$2,$Q$2)/$Q$2))</f>
        <v>8154.24545660386</v>
      </c>
      <c r="K573" s="15" t="n">
        <f aca="false">J573*(1+IF(K$3&lt;=$O$2,$D573,$D573-($D573-$I$562)*MIN(K$3-$O$2,$Q$2)/$Q$2))</f>
        <v>8721.1222302427</v>
      </c>
      <c r="L573" s="15" t="n">
        <f aca="false">K573*(1+IF(L$3&lt;=$O$2,$D573,$D573-($D573-$I$562)*MIN(L$3-$O$2,$Q$2)/$Q$2))</f>
        <v>9236.65229342862</v>
      </c>
      <c r="M573" s="15" t="n">
        <f aca="false">L573*(1+IF(M$3&lt;=$O$2,$D573,$D573-($D573-$I$562)*MIN(M$3-$O$2,$Q$2)/$Q$2))</f>
        <v>9686.53643242235</v>
      </c>
      <c r="N573" s="15" t="n">
        <f aca="false">M573*(1+IF(N$3&lt;=$O$2,$D573,$D573-($D573-$I$562)*MIN(N$3-$O$2,$Q$2)/$Q$2))</f>
        <v>10057.5307777841</v>
      </c>
      <c r="O573" s="15" t="n">
        <f aca="false">SUMPRODUCT(E573:N573,1/(1+$F$562)^$E$3:$N$3)*$E$2</f>
        <v>7270.51162336165</v>
      </c>
      <c r="P573" s="15" t="n">
        <f aca="false">N573*$E$2*(1+$I$562)/($F$562-$I$562)/(1+$F$562)^$N$3</f>
        <v>10469.9567192026</v>
      </c>
      <c r="Q573" s="15" t="n">
        <f aca="false">O573+P573</f>
        <v>17740.4683425642</v>
      </c>
      <c r="R573" s="15" t="n">
        <f aca="false">Q573-$G$2+$I$2</f>
        <v>12919.9683425642</v>
      </c>
      <c r="S573" s="42" t="n">
        <f aca="false">R573/$K$2</f>
        <v>67.4319850864521</v>
      </c>
      <c r="T573" s="43" t="n">
        <f aca="false">S573-$M$2</f>
        <v>0.46956337455228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0.0888671875</v>
      </c>
      <c r="C574" s="25" t="n">
        <f aca="false">IF(T573&gt;0,D573,C573)</f>
        <v>0.09033203125</v>
      </c>
      <c r="D574" s="41" t="n">
        <f aca="false">(B574+C574)/2</f>
        <v>0.089599609375</v>
      </c>
      <c r="E574" s="15" t="n">
        <f aca="false">$C$2*(1+IF(E$3&lt;=$O$2,$D574,$D574-($D574-$I$562)*MIN(E$3-$O$2,$Q$2)/$Q$2))</f>
        <v>5339.0380859375</v>
      </c>
      <c r="F574" s="15" t="n">
        <f aca="false">E574*(1+IF(F$3&lt;=$O$2,$D574,$D574-($D574-$I$562)*MIN(F$3-$O$2,$Q$2)/$Q$2))</f>
        <v>5817.41381287575</v>
      </c>
      <c r="G574" s="15" t="n">
        <f aca="false">F574*(1+IF(G$3&lt;=$O$2,$D574,$D574-($D574-$I$562)*MIN(G$3-$O$2,$Q$2)/$Q$2))</f>
        <v>6338.65181808214</v>
      </c>
      <c r="H574" s="15" t="n">
        <f aca="false">G574*(1+IF(H$3&lt;=$O$2,$D574,$D574-($D574-$I$562)*MIN(H$3-$O$2,$Q$2)/$Q$2))</f>
        <v>6906.59254494644</v>
      </c>
      <c r="I574" s="15" t="n">
        <f aca="false">H574*(1+IF(I$3&lt;=$O$2,$D574,$D574-($D574-$I$562)*MIN(I$3-$O$2,$Q$2)/$Q$2))</f>
        <v>7525.42053908593</v>
      </c>
      <c r="J574" s="15" t="n">
        <f aca="false">I574*(1+IF(J$3&lt;=$O$2,$D574,$D574-($D574-$I$562)*MIN(J$3-$O$2,$Q$2)/$Q$2))</f>
        <v>8122.48505296309</v>
      </c>
      <c r="K574" s="15" t="n">
        <f aca="false">J574*(1+IF(K$3&lt;=$O$2,$D574,$D574-($D574-$I$562)*MIN(K$3-$O$2,$Q$2)/$Q$2))</f>
        <v>8683.58441671434</v>
      </c>
      <c r="L574" s="15" t="n">
        <f aca="false">K574*(1+IF(L$3&lt;=$O$2,$D574,$D574-($D574-$I$562)*MIN(L$3-$O$2,$Q$2)/$Q$2))</f>
        <v>9194.35149529541</v>
      </c>
      <c r="M574" s="15" t="n">
        <f aca="false">L574*(1+IF(M$3&lt;=$O$2,$D574,$D574-($D574-$I$562)*MIN(M$3-$O$2,$Q$2)/$Q$2))</f>
        <v>9640.82848559825</v>
      </c>
      <c r="N574" s="15" t="n">
        <f aca="false">M574*(1+IF(N$3&lt;=$O$2,$D574,$D574-($D574-$I$562)*MIN(N$3-$O$2,$Q$2)/$Q$2))</f>
        <v>10010.0722165967</v>
      </c>
      <c r="O574" s="15" t="n">
        <f aca="false">SUMPRODUCT(E574:N574,1/(1+$F$562)^$E$3:$N$3)*$E$2</f>
        <v>7247.63113070336</v>
      </c>
      <c r="P574" s="15" t="n">
        <f aca="false">N574*$E$2*(1+$I$562)/($F$562-$I$562)/(1+$F$562)^$N$3</f>
        <v>10420.5520400058</v>
      </c>
      <c r="Q574" s="15" t="n">
        <f aca="false">O574+P574</f>
        <v>17668.1831707091</v>
      </c>
      <c r="R574" s="15" t="n">
        <f aca="false">Q574-$G$2+$I$2</f>
        <v>12847.6831707091</v>
      </c>
      <c r="S574" s="42" t="n">
        <f aca="false">R574/$K$2</f>
        <v>67.0547138345988</v>
      </c>
      <c r="T574" s="43" t="n">
        <f aca="false">S574-$M$2</f>
        <v>0.0922921226989928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0.0888671875</v>
      </c>
      <c r="C575" s="25" t="n">
        <f aca="false">IF(T574&gt;0,D574,C574)</f>
        <v>0.089599609375</v>
      </c>
      <c r="D575" s="41" t="n">
        <f aca="false">(B575+C575)/2</f>
        <v>0.0892333984375</v>
      </c>
      <c r="E575" s="15" t="n">
        <f aca="false">$C$2*(1+IF(E$3&lt;=$O$2,$D575,$D575-($D575-$I$562)*MIN(E$3-$O$2,$Q$2)/$Q$2))</f>
        <v>5337.24365234375</v>
      </c>
      <c r="F575" s="15" t="n">
        <f aca="false">E575*(1+IF(F$3&lt;=$O$2,$D575,$D575-($D575-$I$562)*MIN(F$3-$O$2,$Q$2)/$Q$2))</f>
        <v>5813.50404173136</v>
      </c>
      <c r="G575" s="15" t="n">
        <f aca="false">F575*(1+IF(G$3&lt;=$O$2,$D575,$D575-($D575-$I$562)*MIN(G$3-$O$2,$Q$2)/$Q$2))</f>
        <v>6332.26276420519</v>
      </c>
      <c r="H575" s="15" t="n">
        <f aca="false">G575*(1+IF(H$3&lt;=$O$2,$D575,$D575-($D575-$I$562)*MIN(H$3-$O$2,$Q$2)/$Q$2))</f>
        <v>6897.31209045446</v>
      </c>
      <c r="I575" s="15" t="n">
        <f aca="false">H575*(1+IF(I$3&lt;=$O$2,$D575,$D575-($D575-$I$562)*MIN(I$3-$O$2,$Q$2)/$Q$2))</f>
        <v>7512.78268836976</v>
      </c>
      <c r="J575" s="15" t="n">
        <f aca="false">I575*(1+IF(J$3&lt;=$O$2,$D575,$D575-($D575-$I$562)*MIN(J$3-$O$2,$Q$2)/$Q$2))</f>
        <v>8106.6435085672</v>
      </c>
      <c r="K575" s="15" t="n">
        <f aca="false">J575*(1+IF(K$3&lt;=$O$2,$D575,$D575-($D575-$I$562)*MIN(K$3-$O$2,$Q$2)/$Q$2))</f>
        <v>8664.8672972329</v>
      </c>
      <c r="L575" s="15" t="n">
        <f aca="false">K575*(1+IF(L$3&lt;=$O$2,$D575,$D575-($D575-$I$562)*MIN(L$3-$O$2,$Q$2)/$Q$2))</f>
        <v>9173.26417010013</v>
      </c>
      <c r="M575" s="15" t="n">
        <f aca="false">L575*(1+IF(M$3&lt;=$O$2,$D575,$D575-($D575-$I$562)*MIN(M$3-$O$2,$Q$2)/$Q$2))</f>
        <v>9618.04529160459</v>
      </c>
      <c r="N575" s="15" t="n">
        <f aca="false">M575*(1+IF(N$3&lt;=$O$2,$D575,$D575-($D575-$I$562)*MIN(N$3-$O$2,$Q$2)/$Q$2))</f>
        <v>9986.41642627305</v>
      </c>
      <c r="O575" s="15" t="n">
        <f aca="false">SUMPRODUCT(E575:N575,1/(1+$F$562)^$E$3:$N$3)*$E$2</f>
        <v>7236.21789510606</v>
      </c>
      <c r="P575" s="15" t="n">
        <f aca="false">N575*$E$2*(1+$I$562)/($F$562-$I$562)/(1+$F$562)^$N$3</f>
        <v>10395.9262042694</v>
      </c>
      <c r="Q575" s="15" t="n">
        <f aca="false">O575+P575</f>
        <v>17632.1440993755</v>
      </c>
      <c r="R575" s="15" t="n">
        <f aca="false">Q575-$G$2+$I$2</f>
        <v>12811.6440993755</v>
      </c>
      <c r="S575" s="42" t="n">
        <f aca="false">R575/$K$2</f>
        <v>66.8666184727323</v>
      </c>
      <c r="T575" s="43" t="n">
        <f aca="false">S575-$M$2</f>
        <v>-0.095803239167509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0.0892333984375</v>
      </c>
      <c r="C576" s="25" t="n">
        <f aca="false">IF(T575&gt;0,D575,C575)</f>
        <v>0.089599609375</v>
      </c>
      <c r="D576" s="41" t="n">
        <f aca="false">(B576+C576)/2</f>
        <v>0.08941650390625</v>
      </c>
      <c r="E576" s="15" t="n">
        <f aca="false">$C$2*(1+IF(E$3&lt;=$O$2,$D576,$D576-($D576-$I$562)*MIN(E$3-$O$2,$Q$2)/$Q$2))</f>
        <v>5338.14086914063</v>
      </c>
      <c r="F576" s="15" t="n">
        <f aca="false">E576*(1+IF(F$3&lt;=$O$2,$D576,$D576-($D576-$I$562)*MIN(F$3-$O$2,$Q$2)/$Q$2))</f>
        <v>5815.45876301825</v>
      </c>
      <c r="G576" s="15" t="n">
        <f aca="false">F576*(1+IF(G$3&lt;=$O$2,$D576,$D576-($D576-$I$562)*MIN(G$3-$O$2,$Q$2)/$Q$2))</f>
        <v>6335.45675421831</v>
      </c>
      <c r="H576" s="15" t="n">
        <f aca="false">G576*(1+IF(H$3&lt;=$O$2,$D576,$D576-($D576-$I$562)*MIN(H$3-$O$2,$Q$2)/$Q$2))</f>
        <v>6901.95114782975</v>
      </c>
      <c r="I576" s="15" t="n">
        <f aca="false">H576*(1+IF(I$3&lt;=$O$2,$D576,$D576-($D576-$I$562)*MIN(I$3-$O$2,$Q$2)/$Q$2))</f>
        <v>7519.09948960041</v>
      </c>
      <c r="J576" s="15" t="n">
        <f aca="false">I576*(1+IF(J$3&lt;=$O$2,$D576,$D576-($D576-$I$562)*MIN(J$3-$O$2,$Q$2)/$Q$2))</f>
        <v>8114.56106279742</v>
      </c>
      <c r="K576" s="15" t="n">
        <f aca="false">J576*(1+IF(K$3&lt;=$O$2,$D576,$D576-($D576-$I$562)*MIN(K$3-$O$2,$Q$2)/$Q$2))</f>
        <v>8674.22154686096</v>
      </c>
      <c r="L576" s="15" t="n">
        <f aca="false">K576*(1+IF(L$3&lt;=$O$2,$D576,$D576-($D576-$I$562)*MIN(L$3-$O$2,$Q$2)/$Q$2))</f>
        <v>9183.80258393925</v>
      </c>
      <c r="M576" s="15" t="n">
        <f aca="false">L576*(1+IF(M$3&lt;=$O$2,$D576,$D576-($D576-$I$562)*MIN(M$3-$O$2,$Q$2)/$Q$2))</f>
        <v>9629.43099903535</v>
      </c>
      <c r="N576" s="15" t="n">
        <f aca="false">M576*(1+IF(N$3&lt;=$O$2,$D576,$D576-($D576-$I$562)*MIN(N$3-$O$2,$Q$2)/$Q$2))</f>
        <v>9998.23820629841</v>
      </c>
      <c r="O576" s="15" t="n">
        <f aca="false">SUMPRODUCT(E576:N576,1/(1+$F$562)^$E$3:$N$3)*$E$2</f>
        <v>7241.92226475747</v>
      </c>
      <c r="P576" s="15" t="n">
        <f aca="false">N576*$E$2*(1+$I$562)/($F$562-$I$562)/(1+$F$562)^$N$3</f>
        <v>10408.2327562397</v>
      </c>
      <c r="Q576" s="15" t="n">
        <f aca="false">O576+P576</f>
        <v>17650.1550209972</v>
      </c>
      <c r="R576" s="15" t="n">
        <f aca="false">Q576-$G$2+$I$2</f>
        <v>12829.6550209972</v>
      </c>
      <c r="S576" s="42" t="n">
        <f aca="false">R576/$K$2</f>
        <v>66.9606211951836</v>
      </c>
      <c r="T576" s="43" t="n">
        <f aca="false">S576-$M$2</f>
        <v>-0.001800516716159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0.08941650390625</v>
      </c>
      <c r="C577" s="25" t="n">
        <f aca="false">IF(T576&gt;0,D576,C576)</f>
        <v>0.089599609375</v>
      </c>
      <c r="D577" s="41" t="n">
        <f aca="false">(B577+C577)/2</f>
        <v>0.089508056640625</v>
      </c>
      <c r="E577" s="15" t="n">
        <f aca="false">$C$2*(1+IF(E$3&lt;=$O$2,$D577,$D577-($D577-$I$562)*MIN(E$3-$O$2,$Q$2)/$Q$2))</f>
        <v>5338.58947753906</v>
      </c>
      <c r="F577" s="15" t="n">
        <f aca="false">E577*(1+IF(F$3&lt;=$O$2,$D577,$D577-($D577-$I$562)*MIN(F$3-$O$2,$Q$2)/$Q$2))</f>
        <v>5816.43624687567</v>
      </c>
      <c r="G577" s="15" t="n">
        <f aca="false">F577*(1+IF(G$3&lt;=$O$2,$D577,$D577-($D577-$I$562)*MIN(G$3-$O$2,$Q$2)/$Q$2))</f>
        <v>6337.05415190761</v>
      </c>
      <c r="H577" s="15" t="n">
        <f aca="false">G577*(1+IF(H$3&lt;=$O$2,$D577,$D577-($D577-$I$562)*MIN(H$3-$O$2,$Q$2)/$Q$2))</f>
        <v>6904.27155387126</v>
      </c>
      <c r="I577" s="15" t="n">
        <f aca="false">H577*(1+IF(I$3&lt;=$O$2,$D577,$D577-($D577-$I$562)*MIN(I$3-$O$2,$Q$2)/$Q$2))</f>
        <v>7522.25948317743</v>
      </c>
      <c r="J577" s="15" t="n">
        <f aca="false">I577*(1+IF(J$3&lt;=$O$2,$D577,$D577-($D577-$I$562)*MIN(J$3-$O$2,$Q$2)/$Q$2))</f>
        <v>8118.52225312714</v>
      </c>
      <c r="K577" s="15" t="n">
        <f aca="false">J577*(1+IF(K$3&lt;=$O$2,$D577,$D577-($D577-$I$562)*MIN(K$3-$O$2,$Q$2)/$Q$2))</f>
        <v>8678.9019038477</v>
      </c>
      <c r="L577" s="15" t="n">
        <f aca="false">K577*(1+IF(L$3&lt;=$O$2,$D577,$D577-($D577-$I$562)*MIN(L$3-$O$2,$Q$2)/$Q$2))</f>
        <v>9189.07572687333</v>
      </c>
      <c r="M577" s="15" t="n">
        <f aca="false">L577*(1+IF(M$3&lt;=$O$2,$D577,$D577-($D577-$I$562)*MIN(M$3-$O$2,$Q$2)/$Q$2))</f>
        <v>9635.12826927192</v>
      </c>
      <c r="N577" s="15" t="n">
        <f aca="false">M577*(1+IF(N$3&lt;=$O$2,$D577,$D577-($D577-$I$562)*MIN(N$3-$O$2,$Q$2)/$Q$2))</f>
        <v>10004.153681985</v>
      </c>
      <c r="O577" s="15" t="n">
        <f aca="false">SUMPRODUCT(E577:N577,1/(1+$F$562)^$E$3:$N$3)*$E$2</f>
        <v>7244.77613548772</v>
      </c>
      <c r="P577" s="15" t="n">
        <f aca="false">N577*$E$2*(1+$I$562)/($F$562-$I$562)/(1+$F$562)^$N$3</f>
        <v>10414.3908059421</v>
      </c>
      <c r="Q577" s="15" t="n">
        <f aca="false">O577+P577</f>
        <v>17659.1669414298</v>
      </c>
      <c r="R577" s="15" t="n">
        <f aca="false">Q577-$G$2+$I$2</f>
        <v>12838.6669414298</v>
      </c>
      <c r="S577" s="42" t="n">
        <f aca="false">R577/$K$2</f>
        <v>67.0076562705104</v>
      </c>
      <c r="T577" s="43" t="n">
        <f aca="false">S577-$M$2</f>
        <v>0.0452345586105736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0.08941650390625</v>
      </c>
      <c r="C578" s="25" t="n">
        <f aca="false">IF(T577&gt;0,D577,C577)</f>
        <v>0.089508056640625</v>
      </c>
      <c r="D578" s="41" t="n">
        <f aca="false">(B578+C578)/2</f>
        <v>0.0894622802734375</v>
      </c>
      <c r="E578" s="15" t="n">
        <f aca="false">$C$2*(1+IF(E$3&lt;=$O$2,$D578,$D578-($D578-$I$562)*MIN(E$3-$O$2,$Q$2)/$Q$2))</f>
        <v>5338.36517333984</v>
      </c>
      <c r="F578" s="15" t="n">
        <f aca="false">E578*(1+IF(F$3&lt;=$O$2,$D578,$D578-($D578-$I$562)*MIN(F$3-$O$2,$Q$2)/$Q$2))</f>
        <v>5815.94749467913</v>
      </c>
      <c r="G578" s="15" t="n">
        <f aca="false">F578*(1+IF(G$3&lt;=$O$2,$D578,$D578-($D578-$I$562)*MIN(G$3-$O$2,$Q$2)/$Q$2))</f>
        <v>6336.25541950371</v>
      </c>
      <c r="H578" s="15" t="n">
        <f aca="false">G578*(1+IF(H$3&lt;=$O$2,$D578,$D578-($D578-$I$562)*MIN(H$3-$O$2,$Q$2)/$Q$2))</f>
        <v>6903.11127772744</v>
      </c>
      <c r="I578" s="15" t="n">
        <f aca="false">H578*(1+IF(I$3&lt;=$O$2,$D578,$D578-($D578-$I$562)*MIN(I$3-$O$2,$Q$2)/$Q$2))</f>
        <v>7520.67935361422</v>
      </c>
      <c r="J578" s="15" t="n">
        <f aca="false">I578*(1+IF(J$3&lt;=$O$2,$D578,$D578-($D578-$I$562)*MIN(J$3-$O$2,$Q$2)/$Q$2))</f>
        <v>8116.54145680666</v>
      </c>
      <c r="K578" s="15" t="n">
        <f aca="false">J578*(1+IF(K$3&lt;=$O$2,$D578,$D578-($D578-$I$562)*MIN(K$3-$O$2,$Q$2)/$Q$2))</f>
        <v>8676.56145592082</v>
      </c>
      <c r="L578" s="15" t="n">
        <f aca="false">K578*(1+IF(L$3&lt;=$O$2,$D578,$D578-($D578-$I$562)*MIN(L$3-$O$2,$Q$2)/$Q$2))</f>
        <v>9186.4388272896</v>
      </c>
      <c r="M578" s="15" t="n">
        <f aca="false">L578*(1+IF(M$3&lt;=$O$2,$D578,$D578-($D578-$I$562)*MIN(M$3-$O$2,$Q$2)/$Q$2))</f>
        <v>9632.27926597411</v>
      </c>
      <c r="N578" s="15" t="n">
        <f aca="false">M578*(1+IF(N$3&lt;=$O$2,$D578,$D578-($D578-$I$562)*MIN(N$3-$O$2,$Q$2)/$Q$2))</f>
        <v>10001.1955618609</v>
      </c>
      <c r="O578" s="15" t="n">
        <f aca="false">SUMPRODUCT(E578:N578,1/(1+$F$562)^$E$3:$N$3)*$E$2</f>
        <v>7243.34905958766</v>
      </c>
      <c r="P578" s="15" t="n">
        <f aca="false">N578*$E$2*(1+$I$562)/($F$562-$I$562)/(1+$F$562)^$N$3</f>
        <v>10411.311383134</v>
      </c>
      <c r="Q578" s="15" t="n">
        <f aca="false">O578+P578</f>
        <v>17654.6604427217</v>
      </c>
      <c r="R578" s="15" t="n">
        <f aca="false">Q578-$G$2+$I$2</f>
        <v>12834.1604427217</v>
      </c>
      <c r="S578" s="42" t="n">
        <f aca="false">R578/$K$2</f>
        <v>66.984135922347</v>
      </c>
      <c r="T578" s="43" t="n">
        <f aca="false">S578-$M$2</f>
        <v>0.0217142104471861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0.08941650390625</v>
      </c>
      <c r="C579" s="25" t="n">
        <f aca="false">IF(T578&gt;0,D578,C578)</f>
        <v>0.0894622802734375</v>
      </c>
      <c r="D579" s="41" t="n">
        <f aca="false">(B579+C579)/2</f>
        <v>0.0894393920898438</v>
      </c>
      <c r="E579" s="15" t="n">
        <f aca="false">$C$2*(1+IF(E$3&lt;=$O$2,$D579,$D579-($D579-$I$562)*MIN(E$3-$O$2,$Q$2)/$Q$2))</f>
        <v>5338.25302124023</v>
      </c>
      <c r="F579" s="15" t="n">
        <f aca="false">E579*(1+IF(F$3&lt;=$O$2,$D579,$D579-($D579-$I$562)*MIN(F$3-$O$2,$Q$2)/$Q$2))</f>
        <v>5815.70312628173</v>
      </c>
      <c r="G579" s="15" t="n">
        <f aca="false">F579*(1+IF(G$3&lt;=$O$2,$D579,$D579-($D579-$I$562)*MIN(G$3-$O$2,$Q$2)/$Q$2))</f>
        <v>6335.85607847137</v>
      </c>
      <c r="H579" s="15" t="n">
        <f aca="false">G579*(1+IF(H$3&lt;=$O$2,$D579,$D579-($D579-$I$562)*MIN(H$3-$O$2,$Q$2)/$Q$2))</f>
        <v>6902.5311944986</v>
      </c>
      <c r="I579" s="15" t="n">
        <f aca="false">H579*(1+IF(I$3&lt;=$O$2,$D579,$D579-($D579-$I$562)*MIN(I$3-$O$2,$Q$2)/$Q$2))</f>
        <v>7519.88938841573</v>
      </c>
      <c r="J579" s="15" t="n">
        <f aca="false">I579*(1+IF(J$3&lt;=$O$2,$D579,$D579-($D579-$I$562)*MIN(J$3-$O$2,$Q$2)/$Q$2))</f>
        <v>8115.55120951721</v>
      </c>
      <c r="K579" s="15" t="n">
        <f aca="false">J579*(1+IF(K$3&lt;=$O$2,$D579,$D579-($D579-$I$562)*MIN(K$3-$O$2,$Q$2)/$Q$2))</f>
        <v>8675.39143403895</v>
      </c>
      <c r="L579" s="15" t="n">
        <f aca="false">K579*(1+IF(L$3&lt;=$O$2,$D579,$D579-($D579-$I$562)*MIN(L$3-$O$2,$Q$2)/$Q$2))</f>
        <v>9185.12062359391</v>
      </c>
      <c r="M579" s="15" t="n">
        <f aca="false">L579*(1+IF(M$3&lt;=$O$2,$D579,$D579-($D579-$I$562)*MIN(M$3-$O$2,$Q$2)/$Q$2))</f>
        <v>9630.85504047006</v>
      </c>
      <c r="N579" s="15" t="n">
        <f aca="false">M579*(1+IF(N$3&lt;=$O$2,$D579,$D579-($D579-$I$562)*MIN(N$3-$O$2,$Q$2)/$Q$2))</f>
        <v>9999.71678852006</v>
      </c>
      <c r="O579" s="15" t="n">
        <f aca="false">SUMPRODUCT(E579:N579,1/(1+$F$562)^$E$3:$N$3)*$E$2</f>
        <v>7242.63562704205</v>
      </c>
      <c r="P579" s="15" t="n">
        <f aca="false">N579*$E$2*(1+$I$562)/($F$562-$I$562)/(1+$F$562)^$N$3</f>
        <v>10409.7719702087</v>
      </c>
      <c r="Q579" s="15" t="n">
        <f aca="false">O579+P579</f>
        <v>17652.4075972507</v>
      </c>
      <c r="R579" s="15" t="n">
        <f aca="false">Q579-$G$2+$I$2</f>
        <v>12831.9075972507</v>
      </c>
      <c r="S579" s="42" t="n">
        <f aca="false">R579/$K$2</f>
        <v>66.9723778562147</v>
      </c>
      <c r="T579" s="43" t="n">
        <f aca="false">S579-$M$2</f>
        <v>0.00995614431488434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0.08941650390625</v>
      </c>
      <c r="C580" s="25" t="n">
        <f aca="false">IF(T579&gt;0,D579,C579)</f>
        <v>0.0894393920898438</v>
      </c>
      <c r="D580" s="41" t="n">
        <f aca="false">(B580+C580)/2</f>
        <v>0.0894279479980469</v>
      </c>
      <c r="E580" s="15" t="n">
        <f aca="false">$C$2*(1+IF(E$3&lt;=$O$2,$D580,$D580-($D580-$I$562)*MIN(E$3-$O$2,$Q$2)/$Q$2))</f>
        <v>5338.19694519043</v>
      </c>
      <c r="F580" s="15" t="n">
        <f aca="false">E580*(1+IF(F$3&lt;=$O$2,$D580,$D580-($D580-$I$562)*MIN(F$3-$O$2,$Q$2)/$Q$2))</f>
        <v>5815.58094400825</v>
      </c>
      <c r="G580" s="15" t="n">
        <f aca="false">F580*(1+IF(G$3&lt;=$O$2,$D580,$D580-($D580-$I$562)*MIN(G$3-$O$2,$Q$2)/$Q$2))</f>
        <v>6335.65641424745</v>
      </c>
      <c r="H580" s="15" t="n">
        <f aca="false">G580*(1+IF(H$3&lt;=$O$2,$D580,$D580-($D580-$I$562)*MIN(H$3-$O$2,$Q$2)/$Q$2))</f>
        <v>6902.24116659427</v>
      </c>
      <c r="I580" s="15" t="n">
        <f aca="false">H580*(1+IF(I$3&lt;=$O$2,$D580,$D580-($D580-$I$562)*MIN(I$3-$O$2,$Q$2)/$Q$2))</f>
        <v>7519.49443071044</v>
      </c>
      <c r="J580" s="15" t="n">
        <f aca="false">I580*(1+IF(J$3&lt;=$O$2,$D580,$D580-($D580-$I$562)*MIN(J$3-$O$2,$Q$2)/$Q$2))</f>
        <v>8115.05612358662</v>
      </c>
      <c r="K580" s="15" t="n">
        <f aca="false">J580*(1+IF(K$3&lt;=$O$2,$D580,$D580-($D580-$I$562)*MIN(K$3-$O$2,$Q$2)/$Q$2))</f>
        <v>8674.80647361277</v>
      </c>
      <c r="L580" s="15" t="n">
        <f aca="false">K580*(1+IF(L$3&lt;=$O$2,$D580,$D580-($D580-$I$562)*MIN(L$3-$O$2,$Q$2)/$Q$2))</f>
        <v>9184.46158326254</v>
      </c>
      <c r="M580" s="15" t="n">
        <f aca="false">L580*(1+IF(M$3&lt;=$O$2,$D580,$D580-($D580-$I$562)*MIN(M$3-$O$2,$Q$2)/$Q$2))</f>
        <v>9630.14299674532</v>
      </c>
      <c r="N580" s="15" t="n">
        <f aca="false">M580*(1+IF(N$3&lt;=$O$2,$D580,$D580-($D580-$I$562)*MIN(N$3-$O$2,$Q$2)/$Q$2))</f>
        <v>9998.97747352066</v>
      </c>
      <c r="O580" s="15" t="n">
        <f aca="false">SUMPRODUCT(E580:N580,1/(1+$F$562)^$E$3:$N$3)*$E$2</f>
        <v>7242.27893711753</v>
      </c>
      <c r="P580" s="15" t="n">
        <f aca="false">N580*$E$2*(1+$I$562)/($F$562-$I$562)/(1+$F$562)^$N$3</f>
        <v>10409.002338356</v>
      </c>
      <c r="Q580" s="15" t="n">
        <f aca="false">O580+P580</f>
        <v>17651.2812754736</v>
      </c>
      <c r="R580" s="15" t="n">
        <f aca="false">Q580-$G$2+$I$2</f>
        <v>12830.7812754736</v>
      </c>
      <c r="S580" s="42" t="n">
        <f aca="false">R580/$K$2</f>
        <v>66.9664993500708</v>
      </c>
      <c r="T580" s="43" t="n">
        <f aca="false">S580-$M$2</f>
        <v>0.00407763817102591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0.08941650390625</v>
      </c>
      <c r="C581" s="25" t="n">
        <f aca="false">IF(T580&gt;0,D580,C580)</f>
        <v>0.0894279479980469</v>
      </c>
      <c r="D581" s="41" t="n">
        <f aca="false">(B581+C581)/2</f>
        <v>0.0894222259521484</v>
      </c>
      <c r="E581" s="15" t="n">
        <f aca="false">$C$2*(1+IF(E$3&lt;=$O$2,$D581,$D581-($D581-$I$562)*MIN(E$3-$O$2,$Q$2)/$Q$2))</f>
        <v>5338.16890716553</v>
      </c>
      <c r="F581" s="15" t="n">
        <f aca="false">E581*(1+IF(F$3&lt;=$O$2,$D581,$D581-($D581-$I$562)*MIN(F$3-$O$2,$Q$2)/$Q$2))</f>
        <v>5815.51985335282</v>
      </c>
      <c r="G581" s="15" t="n">
        <f aca="false">F581*(1+IF(G$3&lt;=$O$2,$D581,$D581-($D581-$I$562)*MIN(G$3-$O$2,$Q$2)/$Q$2))</f>
        <v>6335.55658370854</v>
      </c>
      <c r="H581" s="15" t="n">
        <f aca="false">G581*(1+IF(H$3&lt;=$O$2,$D581,$D581-($D581-$I$562)*MIN(H$3-$O$2,$Q$2)/$Q$2))</f>
        <v>6902.09615606954</v>
      </c>
      <c r="I581" s="15" t="n">
        <f aca="false">H581*(1+IF(I$3&lt;=$O$2,$D581,$D581-($D581-$I$562)*MIN(I$3-$O$2,$Q$2)/$Q$2))</f>
        <v>7519.29695808105</v>
      </c>
      <c r="J581" s="15" t="n">
        <f aca="false">I581*(1+IF(J$3&lt;=$O$2,$D581,$D581-($D581-$I$562)*MIN(J$3-$O$2,$Q$2)/$Q$2))</f>
        <v>8114.80859004941</v>
      </c>
      <c r="K581" s="15" t="n">
        <f aca="false">J581*(1+IF(K$3&lt;=$O$2,$D581,$D581-($D581-$I$562)*MIN(K$3-$O$2,$Q$2)/$Q$2))</f>
        <v>8674.51400602767</v>
      </c>
      <c r="L581" s="15" t="n">
        <f aca="false">K581*(1+IF(L$3&lt;=$O$2,$D581,$D581-($D581-$I$562)*MIN(L$3-$O$2,$Q$2)/$Q$2))</f>
        <v>9184.13207847502</v>
      </c>
      <c r="M581" s="15" t="n">
        <f aca="false">L581*(1+IF(M$3&lt;=$O$2,$D581,$D581-($D581-$I$562)*MIN(M$3-$O$2,$Q$2)/$Q$2))</f>
        <v>9629.78699213865</v>
      </c>
      <c r="N581" s="15" t="n">
        <f aca="false">M581*(1+IF(N$3&lt;=$O$2,$D581,$D581-($D581-$I$562)*MIN(N$3-$O$2,$Q$2)/$Q$2))</f>
        <v>9998.60783393756</v>
      </c>
      <c r="O581" s="15" t="n">
        <f aca="false">SUMPRODUCT(E581:N581,1/(1+$F$562)^$E$3:$N$3)*$E$2</f>
        <v>7242.10059874199</v>
      </c>
      <c r="P581" s="15" t="n">
        <f aca="false">N581*$E$2*(1+$I$562)/($F$562-$I$562)/(1+$F$562)^$N$3</f>
        <v>10408.617541081</v>
      </c>
      <c r="Q581" s="15" t="n">
        <f aca="false">O581+P581</f>
        <v>17650.718139823</v>
      </c>
      <c r="R581" s="15" t="n">
        <f aca="false">Q581-$G$2+$I$2</f>
        <v>12830.218139823</v>
      </c>
      <c r="S581" s="42" t="n">
        <f aca="false">R581/$K$2</f>
        <v>66.9635602287213</v>
      </c>
      <c r="T581" s="43" t="n">
        <f aca="false">S581-$M$2</f>
        <v>0.00113851682149857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0.08941650390625</v>
      </c>
      <c r="C582" s="25" t="n">
        <f aca="false">IF(T581&gt;0,D581,C581)</f>
        <v>0.0894222259521484</v>
      </c>
      <c r="D582" s="41" t="n">
        <f aca="false">(B582+C582)/2</f>
        <v>0.0894193649291992</v>
      </c>
      <c r="E582" s="15" t="n">
        <f aca="false">$C$2*(1+IF(E$3&lt;=$O$2,$D582,$D582-($D582-$I$562)*MIN(E$3-$O$2,$Q$2)/$Q$2))</f>
        <v>5338.15488815308</v>
      </c>
      <c r="F582" s="15" t="n">
        <f aca="false">E582*(1+IF(F$3&lt;=$O$2,$D582,$D582-($D582-$I$562)*MIN(F$3-$O$2,$Q$2)/$Q$2))</f>
        <v>5815.48930814543</v>
      </c>
      <c r="G582" s="15" t="n">
        <f aca="false">F582*(1+IF(G$3&lt;=$O$2,$D582,$D582-($D582-$I$562)*MIN(G$3-$O$2,$Q$2)/$Q$2))</f>
        <v>6335.50666883234</v>
      </c>
      <c r="H582" s="15" t="n">
        <f aca="false">G582*(1+IF(H$3&lt;=$O$2,$D582,$D582-($D582-$I$562)*MIN(H$3-$O$2,$Q$2)/$Q$2))</f>
        <v>6902.02365166403</v>
      </c>
      <c r="I582" s="15" t="n">
        <f aca="false">H582*(1+IF(I$3&lt;=$O$2,$D582,$D582-($D582-$I$562)*MIN(I$3-$O$2,$Q$2)/$Q$2))</f>
        <v>7519.19822332214</v>
      </c>
      <c r="J582" s="15" t="n">
        <f aca="false">I582*(1+IF(J$3&lt;=$O$2,$D582,$D582-($D582-$I$562)*MIN(J$3-$O$2,$Q$2)/$Q$2))</f>
        <v>8114.68482563777</v>
      </c>
      <c r="K582" s="15" t="n">
        <f aca="false">J582*(1+IF(K$3&lt;=$O$2,$D582,$D582-($D582-$I$562)*MIN(K$3-$O$2,$Q$2)/$Q$2))</f>
        <v>8674.36777539203</v>
      </c>
      <c r="L582" s="15" t="n">
        <f aca="false">K582*(1+IF(L$3&lt;=$O$2,$D582,$D582-($D582-$I$562)*MIN(L$3-$O$2,$Q$2)/$Q$2))</f>
        <v>9183.96732992568</v>
      </c>
      <c r="M582" s="15" t="n">
        <f aca="false">L582*(1+IF(M$3&lt;=$O$2,$D582,$D582-($D582-$I$562)*MIN(M$3-$O$2,$Q$2)/$Q$2))</f>
        <v>9629.6089941491</v>
      </c>
      <c r="N582" s="15" t="n">
        <f aca="false">M582*(1+IF(N$3&lt;=$O$2,$D582,$D582-($D582-$I$562)*MIN(N$3-$O$2,$Q$2)/$Q$2))</f>
        <v>9998.42301862501</v>
      </c>
      <c r="O582" s="15" t="n">
        <f aca="false">SUMPRODUCT(E582:N582,1/(1+$F$562)^$E$3:$N$3)*$E$2</f>
        <v>7242.01143120086</v>
      </c>
      <c r="P582" s="15" t="n">
        <f aca="false">N582*$E$2*(1+$I$562)/($F$562-$I$562)/(1+$F$562)^$N$3</f>
        <v>10408.4251471062</v>
      </c>
      <c r="Q582" s="15" t="n">
        <f aca="false">O582+P582</f>
        <v>17650.436578307</v>
      </c>
      <c r="R582" s="15" t="n">
        <f aca="false">Q582-$G$2+$I$2</f>
        <v>12829.936578307</v>
      </c>
      <c r="S582" s="42" t="n">
        <f aca="false">R582/$K$2</f>
        <v>66.9620907009761</v>
      </c>
      <c r="T582" s="43" t="n">
        <f aca="false">S582-$M$2</f>
        <v>-0.000331010923673603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0.0894193649291992</v>
      </c>
      <c r="C583" s="25" t="n">
        <f aca="false">IF(T582&gt;0,D582,C582)</f>
        <v>0.0894222259521484</v>
      </c>
      <c r="D583" s="41" t="n">
        <f aca="false">(B583+C583)/2</f>
        <v>0.0894207954406738</v>
      </c>
      <c r="E583" s="15" t="n">
        <f aca="false">$C$2*(1+IF(E$3&lt;=$O$2,$D583,$D583-($D583-$I$562)*MIN(E$3-$O$2,$Q$2)/$Q$2))</f>
        <v>5338.1618976593</v>
      </c>
      <c r="F583" s="15" t="n">
        <f aca="false">E583*(1+IF(F$3&lt;=$O$2,$D583,$D583-($D583-$I$562)*MIN(F$3-$O$2,$Q$2)/$Q$2))</f>
        <v>5815.50458073909</v>
      </c>
      <c r="G583" s="15" t="n">
        <f aca="false">F583*(1+IF(G$3&lt;=$O$2,$D583,$D583-($D583-$I$562)*MIN(G$3-$O$2,$Q$2)/$Q$2))</f>
        <v>6335.53162623767</v>
      </c>
      <c r="H583" s="15" t="n">
        <f aca="false">G583*(1+IF(H$3&lt;=$O$2,$D583,$D583-($D583-$I$562)*MIN(H$3-$O$2,$Q$2)/$Q$2))</f>
        <v>6902.05990379538</v>
      </c>
      <c r="I583" s="15" t="n">
        <f aca="false">H583*(1+IF(I$3&lt;=$O$2,$D583,$D583-($D583-$I$562)*MIN(I$3-$O$2,$Q$2)/$Q$2))</f>
        <v>7519.24759057195</v>
      </c>
      <c r="J583" s="15" t="n">
        <f aca="false">I583*(1+IF(J$3&lt;=$O$2,$D583,$D583-($D583-$I$562)*MIN(J$3-$O$2,$Q$2)/$Q$2))</f>
        <v>8114.74670764718</v>
      </c>
      <c r="K583" s="15" t="n">
        <f aca="false">J583*(1+IF(K$3&lt;=$O$2,$D583,$D583-($D583-$I$562)*MIN(K$3-$O$2,$Q$2)/$Q$2))</f>
        <v>8674.44089044678</v>
      </c>
      <c r="L583" s="15" t="n">
        <f aca="false">K583*(1+IF(L$3&lt;=$O$2,$D583,$D583-($D583-$I$562)*MIN(L$3-$O$2,$Q$2)/$Q$2))</f>
        <v>9184.04970387998</v>
      </c>
      <c r="M583" s="15" t="n">
        <f aca="false">L583*(1+IF(M$3&lt;=$O$2,$D583,$D583-($D583-$I$562)*MIN(M$3-$O$2,$Q$2)/$Q$2))</f>
        <v>9629.69799278439</v>
      </c>
      <c r="N583" s="15" t="n">
        <f aca="false">M583*(1+IF(N$3&lt;=$O$2,$D583,$D583-($D583-$I$562)*MIN(N$3-$O$2,$Q$2)/$Q$2))</f>
        <v>9998.51542590804</v>
      </c>
      <c r="O583" s="15" t="n">
        <f aca="false">SUMPRODUCT(E583:N583,1/(1+$F$562)^$E$3:$N$3)*$E$2</f>
        <v>7242.05601483421</v>
      </c>
      <c r="P583" s="15" t="n">
        <f aca="false">N583*$E$2*(1+$I$562)/($F$562-$I$562)/(1+$F$562)^$N$3</f>
        <v>10408.521343705</v>
      </c>
      <c r="Q583" s="15" t="n">
        <f aca="false">O583+P583</f>
        <v>17650.5773585392</v>
      </c>
      <c r="R583" s="15" t="n">
        <f aca="false">Q583-$G$2+$I$2</f>
        <v>12830.0773585392</v>
      </c>
      <c r="S583" s="42" t="n">
        <f aca="false">R583/$K$2</f>
        <v>66.9628254621046</v>
      </c>
      <c r="T583" s="43" t="n">
        <f aca="false">S583-$M$2</f>
        <v>0.00040375020482486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0.0894193649291992</v>
      </c>
      <c r="C584" s="25" t="n">
        <f aca="false">IF(T583&gt;0,D583,C583)</f>
        <v>0.0894207954406738</v>
      </c>
      <c r="D584" s="41" t="n">
        <f aca="false">(B584+C584)/2</f>
        <v>0.0894200801849365</v>
      </c>
      <c r="E584" s="15" t="n">
        <f aca="false">$C$2*(1+IF(E$3&lt;=$O$2,$D584,$D584-($D584-$I$562)*MIN(E$3-$O$2,$Q$2)/$Q$2))</f>
        <v>5338.15839290619</v>
      </c>
      <c r="F584" s="15" t="n">
        <f aca="false">E584*(1+IF(F$3&lt;=$O$2,$D584,$D584-($D584-$I$562)*MIN(F$3-$O$2,$Q$2)/$Q$2))</f>
        <v>5815.49694443975</v>
      </c>
      <c r="G584" s="15" t="n">
        <f aca="false">F584*(1+IF(G$3&lt;=$O$2,$D584,$D584-($D584-$I$562)*MIN(G$3-$O$2,$Q$2)/$Q$2))</f>
        <v>6335.51914752681</v>
      </c>
      <c r="H584" s="15" t="n">
        <f aca="false">G584*(1+IF(H$3&lt;=$O$2,$D584,$D584-($D584-$I$562)*MIN(H$3-$O$2,$Q$2)/$Q$2))</f>
        <v>6902.04177771186</v>
      </c>
      <c r="I584" s="15" t="n">
        <f aca="false">H584*(1+IF(I$3&lt;=$O$2,$D584,$D584-($D584-$I$562)*MIN(I$3-$O$2,$Q$2)/$Q$2))</f>
        <v>7519.22290691463</v>
      </c>
      <c r="J584" s="15" t="n">
        <f aca="false">I584*(1+IF(J$3&lt;=$O$2,$D584,$D584-($D584-$I$562)*MIN(J$3-$O$2,$Q$2)/$Q$2))</f>
        <v>8114.71576659337</v>
      </c>
      <c r="K584" s="15" t="n">
        <f aca="false">J584*(1+IF(K$3&lt;=$O$2,$D584,$D584-($D584-$I$562)*MIN(K$3-$O$2,$Q$2)/$Q$2))</f>
        <v>8674.40433285363</v>
      </c>
      <c r="L584" s="15" t="n">
        <f aca="false">K584*(1+IF(L$3&lt;=$O$2,$D584,$D584-($D584-$I$562)*MIN(L$3-$O$2,$Q$2)/$Q$2))</f>
        <v>9184.00851682274</v>
      </c>
      <c r="M584" s="15" t="n">
        <f aca="false">L584*(1+IF(M$3&lt;=$O$2,$D584,$D584-($D584-$I$562)*MIN(M$3-$O$2,$Q$2)/$Q$2))</f>
        <v>9629.65349337688</v>
      </c>
      <c r="N584" s="15" t="n">
        <f aca="false">M584*(1+IF(N$3&lt;=$O$2,$D584,$D584-($D584-$I$562)*MIN(N$3-$O$2,$Q$2)/$Q$2))</f>
        <v>9998.46922217321</v>
      </c>
      <c r="O584" s="15" t="n">
        <f aca="false">SUMPRODUCT(E584:N584,1/(1+$F$562)^$E$3:$N$3)*$E$2</f>
        <v>7242.03372298323</v>
      </c>
      <c r="P584" s="15" t="n">
        <f aca="false">N584*$E$2*(1+$I$562)/($F$562-$I$562)/(1+$F$562)^$N$3</f>
        <v>10408.4732453085</v>
      </c>
      <c r="Q584" s="15" t="n">
        <f aca="false">O584+P584</f>
        <v>17650.5069682917</v>
      </c>
      <c r="R584" s="15" t="n">
        <f aca="false">Q584-$G$2+$I$2</f>
        <v>12830.0069682917</v>
      </c>
      <c r="S584" s="42" t="n">
        <f aca="false">R584/$K$2</f>
        <v>66.9624580808543</v>
      </c>
      <c r="T584" s="43" t="n">
        <f aca="false">S584-$M$2</f>
        <v>3.63689545395118E-005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0.0894193649291992</v>
      </c>
      <c r="C585" s="25" t="n">
        <f aca="false">IF(T584&gt;0,D584,C584)</f>
        <v>0.0894200801849365</v>
      </c>
      <c r="D585" s="41" t="n">
        <f aca="false">(B585+C585)/2</f>
        <v>0.0894197225570679</v>
      </c>
      <c r="E585" s="15" t="n">
        <f aca="false">$C$2*(1+IF(E$3&lt;=$O$2,$D585,$D585-($D585-$I$562)*MIN(E$3-$O$2,$Q$2)/$Q$2))</f>
        <v>5338.15664052963</v>
      </c>
      <c r="F585" s="15" t="n">
        <f aca="false">E585*(1+IF(F$3&lt;=$O$2,$D585,$D585-($D585-$I$562)*MIN(F$3-$O$2,$Q$2)/$Q$2))</f>
        <v>5815.49312629196</v>
      </c>
      <c r="G585" s="15" t="n">
        <f aca="false">F585*(1+IF(G$3&lt;=$O$2,$D585,$D585-($D585-$I$562)*MIN(G$3-$O$2,$Q$2)/$Q$2))</f>
        <v>6335.51290817752</v>
      </c>
      <c r="H585" s="15" t="n">
        <f aca="false">G585*(1+IF(H$3&lt;=$O$2,$D585,$D585-($D585-$I$562)*MIN(H$3-$O$2,$Q$2)/$Q$2))</f>
        <v>6902.03271468348</v>
      </c>
      <c r="I585" s="15" t="n">
        <f aca="false">H585*(1+IF(I$3&lt;=$O$2,$D585,$D585-($D585-$I$562)*MIN(I$3-$O$2,$Q$2)/$Q$2))</f>
        <v>7519.21056511028</v>
      </c>
      <c r="J585" s="15" t="n">
        <f aca="false">I585*(1+IF(J$3&lt;=$O$2,$D585,$D585-($D585-$I$562)*MIN(J$3-$O$2,$Q$2)/$Q$2))</f>
        <v>8114.7002961033</v>
      </c>
      <c r="K585" s="15" t="n">
        <f aca="false">J585*(1+IF(K$3&lt;=$O$2,$D585,$D585-($D585-$I$562)*MIN(K$3-$O$2,$Q$2)/$Q$2))</f>
        <v>8674.38605410639</v>
      </c>
      <c r="L585" s="15" t="n">
        <f aca="false">K585*(1+IF(L$3&lt;=$O$2,$D585,$D585-($D585-$I$562)*MIN(L$3-$O$2,$Q$2)/$Q$2))</f>
        <v>9183.98792335419</v>
      </c>
      <c r="M585" s="15" t="n">
        <f aca="false">L585*(1+IF(M$3&lt;=$O$2,$D585,$D585-($D585-$I$562)*MIN(M$3-$O$2,$Q$2)/$Q$2))</f>
        <v>9629.63124374052</v>
      </c>
      <c r="N585" s="15" t="n">
        <f aca="false">M585*(1+IF(N$3&lt;=$O$2,$D585,$D585-($D585-$I$562)*MIN(N$3-$O$2,$Q$2)/$Q$2))</f>
        <v>9998.44612037578</v>
      </c>
      <c r="O585" s="15" t="n">
        <f aca="false">SUMPRODUCT(E585:N585,1/(1+$F$562)^$E$3:$N$3)*$E$2</f>
        <v>7242.02257708347</v>
      </c>
      <c r="P585" s="15" t="n">
        <f aca="false">N585*$E$2*(1+$I$562)/($F$562-$I$562)/(1+$F$562)^$N$3</f>
        <v>10408.449196183</v>
      </c>
      <c r="Q585" s="15" t="n">
        <f aca="false">O585+P585</f>
        <v>17650.4717732665</v>
      </c>
      <c r="R585" s="15" t="n">
        <f aca="false">Q585-$G$2+$I$2</f>
        <v>12829.9717732665</v>
      </c>
      <c r="S585" s="42" t="n">
        <f aca="false">R585/$K$2</f>
        <v>66.9622743907437</v>
      </c>
      <c r="T585" s="43" t="n">
        <f aca="false">S585-$M$2</f>
        <v>-0.00014732115606364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0.0894197225570679</v>
      </c>
      <c r="C586" s="25" t="n">
        <f aca="false">IF(T585&gt;0,D585,C585)</f>
        <v>0.0894200801849365</v>
      </c>
      <c r="D586" s="41" t="n">
        <f aca="false">(B586+C586)/2</f>
        <v>0.0894199013710022</v>
      </c>
      <c r="E586" s="15" t="n">
        <f aca="false">$C$2*(1+IF(E$3&lt;=$O$2,$D586,$D586-($D586-$I$562)*MIN(E$3-$O$2,$Q$2)/$Q$2))</f>
        <v>5338.15751671791</v>
      </c>
      <c r="F586" s="15" t="n">
        <f aca="false">E586*(1+IF(F$3&lt;=$O$2,$D586,$D586-($D586-$I$562)*MIN(F$3-$O$2,$Q$2)/$Q$2))</f>
        <v>5815.4950353657</v>
      </c>
      <c r="G586" s="15" t="n">
        <f aca="false">F586*(1+IF(G$3&lt;=$O$2,$D586,$D586-($D586-$I$562)*MIN(G$3-$O$2,$Q$2)/$Q$2))</f>
        <v>6335.51602785165</v>
      </c>
      <c r="H586" s="15" t="n">
        <f aca="false">G586*(1+IF(H$3&lt;=$O$2,$D586,$D586-($D586-$I$562)*MIN(H$3-$O$2,$Q$2)/$Q$2))</f>
        <v>6902.03724619655</v>
      </c>
      <c r="I586" s="15" t="n">
        <f aca="false">H586*(1+IF(I$3&lt;=$O$2,$D586,$D586-($D586-$I$562)*MIN(I$3-$O$2,$Q$2)/$Q$2))</f>
        <v>7519.21673601043</v>
      </c>
      <c r="J586" s="15" t="n">
        <f aca="false">I586*(1+IF(J$3&lt;=$O$2,$D586,$D586-($D586-$I$562)*MIN(J$3-$O$2,$Q$2)/$Q$2))</f>
        <v>8114.70803134527</v>
      </c>
      <c r="K586" s="15" t="n">
        <f aca="false">J586*(1+IF(K$3&lt;=$O$2,$D586,$D586-($D586-$I$562)*MIN(K$3-$O$2,$Q$2)/$Q$2))</f>
        <v>8674.3951934759</v>
      </c>
      <c r="L586" s="15" t="n">
        <f aca="false">K586*(1+IF(L$3&lt;=$O$2,$D586,$D586-($D586-$I$562)*MIN(L$3-$O$2,$Q$2)/$Q$2))</f>
        <v>9183.99822008346</v>
      </c>
      <c r="M586" s="15" t="n">
        <f aca="false">L586*(1+IF(M$3&lt;=$O$2,$D586,$D586-($D586-$I$562)*MIN(M$3-$O$2,$Q$2)/$Q$2))</f>
        <v>9629.64236855308</v>
      </c>
      <c r="N586" s="15" t="n">
        <f aca="false">M586*(1+IF(N$3&lt;=$O$2,$D586,$D586-($D586-$I$562)*MIN(N$3-$O$2,$Q$2)/$Q$2))</f>
        <v>9998.45767126866</v>
      </c>
      <c r="O586" s="15" t="n">
        <f aca="false">SUMPRODUCT(E586:N586,1/(1+$F$562)^$E$3:$N$3)*$E$2</f>
        <v>7242.0281500312</v>
      </c>
      <c r="P586" s="15" t="n">
        <f aca="false">N586*$E$2*(1+$I$562)/($F$562-$I$562)/(1+$F$562)^$N$3</f>
        <v>10408.4612207397</v>
      </c>
      <c r="Q586" s="15" t="n">
        <f aca="false">O586+P586</f>
        <v>17650.4893707709</v>
      </c>
      <c r="R586" s="15" t="n">
        <f aca="false">Q586-$G$2+$I$2</f>
        <v>12829.9893707709</v>
      </c>
      <c r="S586" s="42" t="n">
        <f aca="false">R586/$K$2</f>
        <v>66.9623662357562</v>
      </c>
      <c r="T586" s="43" t="n">
        <f aca="false">S586-$M$2</f>
        <v>-5.54761436291074E-005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0.0894199013710022</v>
      </c>
      <c r="C587" s="25" t="n">
        <f aca="false">IF(T586&gt;0,D586,C586)</f>
        <v>0.0894200801849365</v>
      </c>
      <c r="D587" s="41" t="n">
        <f aca="false">(B587+C587)/2</f>
        <v>0.0894199907779694</v>
      </c>
      <c r="E587" s="15" t="n">
        <f aca="false">$C$2*(1+IF(E$3&lt;=$O$2,$D587,$D587-($D587-$I$562)*MIN(E$3-$O$2,$Q$2)/$Q$2))</f>
        <v>5338.15795481205</v>
      </c>
      <c r="F587" s="15" t="n">
        <f aca="false">E587*(1+IF(F$3&lt;=$O$2,$D587,$D587-($D587-$I$562)*MIN(F$3-$O$2,$Q$2)/$Q$2))</f>
        <v>5815.49598990269</v>
      </c>
      <c r="G587" s="15" t="n">
        <f aca="false">F587*(1+IF(G$3&lt;=$O$2,$D587,$D587-($D587-$I$562)*MIN(G$3-$O$2,$Q$2)/$Q$2))</f>
        <v>6335.5175876891</v>
      </c>
      <c r="H587" s="15" t="n">
        <f aca="false">G587*(1+IF(H$3&lt;=$O$2,$D587,$D587-($D587-$I$562)*MIN(H$3-$O$2,$Q$2)/$Q$2))</f>
        <v>6902.03951195393</v>
      </c>
      <c r="I587" s="15" t="n">
        <f aca="false">H587*(1+IF(I$3&lt;=$O$2,$D587,$D587-($D587-$I$562)*MIN(I$3-$O$2,$Q$2)/$Q$2))</f>
        <v>7519.21982146203</v>
      </c>
      <c r="J587" s="15" t="n">
        <f aca="false">I587*(1+IF(J$3&lt;=$O$2,$D587,$D587-($D587-$I$562)*MIN(J$3-$O$2,$Q$2)/$Q$2))</f>
        <v>8114.71189896855</v>
      </c>
      <c r="K587" s="15" t="n">
        <f aca="false">J587*(1+IF(K$3&lt;=$O$2,$D587,$D587-($D587-$I$562)*MIN(K$3-$O$2,$Q$2)/$Q$2))</f>
        <v>8674.39976316374</v>
      </c>
      <c r="L587" s="15" t="n">
        <f aca="false">K587*(1+IF(L$3&lt;=$O$2,$D587,$D587-($D587-$I$562)*MIN(L$3-$O$2,$Q$2)/$Q$2))</f>
        <v>9184.00336845185</v>
      </c>
      <c r="M587" s="15" t="n">
        <f aca="false">L587*(1+IF(M$3&lt;=$O$2,$D587,$D587-($D587-$I$562)*MIN(M$3-$O$2,$Q$2)/$Q$2))</f>
        <v>9629.64793096357</v>
      </c>
      <c r="N587" s="15" t="n">
        <f aca="false">M587*(1+IF(N$3&lt;=$O$2,$D587,$D587-($D587-$I$562)*MIN(N$3-$O$2,$Q$2)/$Q$2))</f>
        <v>9998.46344671948</v>
      </c>
      <c r="O587" s="15" t="n">
        <f aca="false">SUMPRODUCT(E587:N587,1/(1+$F$562)^$E$3:$N$3)*$E$2</f>
        <v>7242.03093650668</v>
      </c>
      <c r="P587" s="15" t="n">
        <f aca="false">N587*$E$2*(1+$I$562)/($F$562-$I$562)/(1+$F$562)^$N$3</f>
        <v>10408.4672330226</v>
      </c>
      <c r="Q587" s="15" t="n">
        <f aca="false">O587+P587</f>
        <v>17650.4981695292</v>
      </c>
      <c r="R587" s="15" t="n">
        <f aca="false">Q587-$G$2+$I$2</f>
        <v>12829.9981695292</v>
      </c>
      <c r="S587" s="42" t="n">
        <f aca="false">R587/$K$2</f>
        <v>66.9624121582945</v>
      </c>
      <c r="T587" s="43" t="n">
        <f aca="false">S587-$M$2</f>
        <v>-9.55360526688764E-006</v>
      </c>
    </row>
    <row r="589" customFormat="false" ht="15" hidden="false" customHeight="false" outlineLevel="0" collapsed="false">
      <c r="A589" s="38" t="s">
        <v>193</v>
      </c>
      <c r="E589" s="5" t="s">
        <v>11</v>
      </c>
      <c r="F589" s="12" t="n">
        <f aca="false">Sensitivity!$B$14</f>
        <v>0.105084897741638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153</v>
      </c>
      <c r="B590" s="28" t="s">
        <v>154</v>
      </c>
      <c r="C590" s="28" t="s">
        <v>155</v>
      </c>
      <c r="D590" s="28" t="s">
        <v>156</v>
      </c>
      <c r="E590" s="28" t="s">
        <v>157</v>
      </c>
      <c r="F590" s="28" t="s">
        <v>158</v>
      </c>
      <c r="G590" s="28" t="s">
        <v>159</v>
      </c>
      <c r="H590" s="28" t="s">
        <v>160</v>
      </c>
      <c r="I590" s="28" t="s">
        <v>161</v>
      </c>
      <c r="J590" s="28" t="s">
        <v>162</v>
      </c>
      <c r="K590" s="28" t="s">
        <v>163</v>
      </c>
      <c r="L590" s="28" t="s">
        <v>164</v>
      </c>
      <c r="M590" s="28" t="s">
        <v>165</v>
      </c>
      <c r="N590" s="28" t="s">
        <v>166</v>
      </c>
      <c r="O590" s="28" t="s">
        <v>167</v>
      </c>
      <c r="P590" s="28" t="s">
        <v>168</v>
      </c>
      <c r="Q590" s="28" t="s">
        <v>169</v>
      </c>
      <c r="R590" s="28" t="s">
        <v>170</v>
      </c>
      <c r="S590" s="28" t="s">
        <v>171</v>
      </c>
      <c r="T590" s="28" t="s">
        <v>172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6125</v>
      </c>
      <c r="F591" s="15" t="n">
        <f aca="false">E591*(1+IF(F$3&lt;=$O$2,$D591,$D591-($D591-$I$589)*MIN(F$3-$O$2,$Q$2)/$Q$2))</f>
        <v>7656.25</v>
      </c>
      <c r="G591" s="15" t="n">
        <f aca="false">F591*(1+IF(G$3&lt;=$O$2,$D591,$D591-($D591-$I$589)*MIN(G$3-$O$2,$Q$2)/$Q$2))</f>
        <v>9570.3125</v>
      </c>
      <c r="H591" s="15" t="n">
        <f aca="false">G591*(1+IF(H$3&lt;=$O$2,$D591,$D591-($D591-$I$589)*MIN(H$3-$O$2,$Q$2)/$Q$2))</f>
        <v>11962.890625</v>
      </c>
      <c r="I591" s="15" t="n">
        <f aca="false">H591*(1+IF(I$3&lt;=$O$2,$D591,$D591-($D591-$I$589)*MIN(I$3-$O$2,$Q$2)/$Q$2))</f>
        <v>14953.61328125</v>
      </c>
      <c r="J591" s="15" t="n">
        <f aca="false">I591*(1+IF(J$3&lt;=$O$2,$D591,$D591-($D591-$I$589)*MIN(J$3-$O$2,$Q$2)/$Q$2))</f>
        <v>17999.0661621094</v>
      </c>
      <c r="K591" s="15" t="n">
        <f aca="false">J591*(1+IF(K$3&lt;=$O$2,$D591,$D591-($D591-$I$589)*MIN(K$3-$O$2,$Q$2)/$Q$2))</f>
        <v>20830.6792507324</v>
      </c>
      <c r="L591" s="15" t="n">
        <f aca="false">K591*(1+IF(L$3&lt;=$O$2,$D591,$D591-($D591-$I$589)*MIN(L$3-$O$2,$Q$2)/$Q$2))</f>
        <v>23142.4680339787</v>
      </c>
      <c r="M591" s="15" t="n">
        <f aca="false">L591*(1+IF(M$3&lt;=$O$2,$D591,$D591-($D591-$I$589)*MIN(M$3-$O$2,$Q$2)/$Q$2))</f>
        <v>24638.3971676951</v>
      </c>
      <c r="N591" s="15" t="n">
        <f aca="false">M591*(1+IF(N$3&lt;=$O$2,$D591,$D591-($D591-$I$589)*MIN(N$3-$O$2,$Q$2)/$Q$2))</f>
        <v>25089.2798358639</v>
      </c>
      <c r="O591" s="15" t="n">
        <f aca="false">SUMPRODUCT(E591:N591,1/(1+$F$589)^$E$3:$N$3)*$E$2</f>
        <v>13811.9124071729</v>
      </c>
      <c r="P591" s="15" t="n">
        <f aca="false">N591*$E$2*(1+$I$589)/($F$589-$I$589)/(1+$F$589)^$N$3</f>
        <v>17427.6313824044</v>
      </c>
      <c r="Q591" s="15" t="n">
        <f aca="false">O591+P591</f>
        <v>31239.5437895773</v>
      </c>
      <c r="R591" s="15" t="n">
        <f aca="false">Q591-$G$2+$I$2</f>
        <v>26419.0437895773</v>
      </c>
      <c r="S591" s="42" t="n">
        <f aca="false">R591/$K$2</f>
        <v>137.886449841218</v>
      </c>
      <c r="T591" s="43" t="n">
        <f aca="false">S591-$M$2</f>
        <v>70.9240281293179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4287.5</v>
      </c>
      <c r="F592" s="15" t="n">
        <f aca="false">E592*(1+IF(F$3&lt;=$O$2,$D592,$D592-($D592-$I$589)*MIN(F$3-$O$2,$Q$2)/$Q$2))</f>
        <v>3751.5625</v>
      </c>
      <c r="G592" s="15" t="n">
        <f aca="false">F592*(1+IF(G$3&lt;=$O$2,$D592,$D592-($D592-$I$589)*MIN(G$3-$O$2,$Q$2)/$Q$2))</f>
        <v>3282.6171875</v>
      </c>
      <c r="H592" s="15" t="n">
        <f aca="false">G592*(1+IF(H$3&lt;=$O$2,$D592,$D592-($D592-$I$589)*MIN(H$3-$O$2,$Q$2)/$Q$2))</f>
        <v>2872.2900390625</v>
      </c>
      <c r="I592" s="15" t="n">
        <f aca="false">H592*(1+IF(I$3&lt;=$O$2,$D592,$D592-($D592-$I$589)*MIN(I$3-$O$2,$Q$2)/$Q$2))</f>
        <v>2513.25378417969</v>
      </c>
      <c r="J592" s="15" t="n">
        <f aca="false">I592*(1+IF(J$3&lt;=$O$2,$D592,$D592-($D592-$I$589)*MIN(J$3-$O$2,$Q$2)/$Q$2))</f>
        <v>2271.12691461182</v>
      </c>
      <c r="K592" s="15" t="n">
        <f aca="false">J592*(1+IF(K$3&lt;=$O$2,$D592,$D592-($D592-$I$589)*MIN(K$3-$O$2,$Q$2)/$Q$2))</f>
        <v>2117.41704503089</v>
      </c>
      <c r="L592" s="15" t="n">
        <f aca="false">K592*(1+IF(L$3&lt;=$O$2,$D592,$D592-($D592-$I$589)*MIN(L$3-$O$2,$Q$2)/$Q$2))</f>
        <v>2034.79543193378</v>
      </c>
      <c r="M592" s="15" t="n">
        <f aca="false">L592*(1+IF(M$3&lt;=$O$2,$D592,$D592-($D592-$I$589)*MIN(M$3-$O$2,$Q$2)/$Q$2))</f>
        <v>2013.71495125895</v>
      </c>
      <c r="N592" s="15" t="n">
        <f aca="false">M592*(1+IF(N$3&lt;=$O$2,$D592,$D592-($D592-$I$589)*MIN(N$3-$O$2,$Q$2)/$Q$2))</f>
        <v>2050.56593486699</v>
      </c>
      <c r="O592" s="15" t="n">
        <f aca="false">SUMPRODUCT(E592:N592,1/(1+$F$589)^$E$3:$N$3)*$E$2</f>
        <v>2833.74614599692</v>
      </c>
      <c r="P592" s="15" t="n">
        <f aca="false">N592*$E$2*(1+$I$589)/($F$589-$I$589)/(1+$F$589)^$N$3</f>
        <v>1424.37357596426</v>
      </c>
      <c r="Q592" s="15" t="n">
        <f aca="false">O592+P592</f>
        <v>4258.11972196117</v>
      </c>
      <c r="R592" s="15" t="n">
        <f aca="false">Q592-$G$2+$I$2</f>
        <v>-562.380278038826</v>
      </c>
      <c r="S592" s="42" t="n">
        <f aca="false">R592/$K$2</f>
        <v>-2.93517890416924</v>
      </c>
      <c r="T592" s="43" t="n">
        <f aca="false">S592-$M$2</f>
        <v>-69.897600616069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5206.25</v>
      </c>
      <c r="F593" s="15" t="n">
        <f aca="false">E593*(1+IF(F$3&lt;=$O$2,$D593,$D593-($D593-$I$589)*MIN(F$3-$O$2,$Q$2)/$Q$2))</f>
        <v>5531.640625</v>
      </c>
      <c r="G593" s="15" t="n">
        <f aca="false">F593*(1+IF(G$3&lt;=$O$2,$D593,$D593-($D593-$I$589)*MIN(G$3-$O$2,$Q$2)/$Q$2))</f>
        <v>5877.3681640625</v>
      </c>
      <c r="H593" s="15" t="n">
        <f aca="false">G593*(1+IF(H$3&lt;=$O$2,$D593,$D593-($D593-$I$589)*MIN(H$3-$O$2,$Q$2)/$Q$2))</f>
        <v>6244.70367431641</v>
      </c>
      <c r="I593" s="15" t="n">
        <f aca="false">H593*(1+IF(I$3&lt;=$O$2,$D593,$D593-($D593-$I$589)*MIN(I$3-$O$2,$Q$2)/$Q$2))</f>
        <v>6634.99765396118</v>
      </c>
      <c r="J593" s="15" t="n">
        <f aca="false">I593*(1+IF(J$3&lt;=$O$2,$D593,$D593-($D593-$I$589)*MIN(J$3-$O$2,$Q$2)/$Q$2))</f>
        <v>6991.03162807274</v>
      </c>
      <c r="K593" s="15" t="n">
        <f aca="false">J593*(1+IF(K$3&lt;=$O$2,$D593,$D593-($D593-$I$589)*MIN(K$3-$O$2,$Q$2)/$Q$2))</f>
        <v>7304.36966564296</v>
      </c>
      <c r="L593" s="15" t="n">
        <f aca="false">K593*(1+IF(L$3&lt;=$O$2,$D593,$D593-($D593-$I$589)*MIN(L$3-$O$2,$Q$2)/$Q$2))</f>
        <v>7567.18088621279</v>
      </c>
      <c r="M593" s="15" t="n">
        <f aca="false">L593*(1+IF(M$3&lt;=$O$2,$D593,$D593-($D593-$I$589)*MIN(M$3-$O$2,$Q$2)/$Q$2))</f>
        <v>7772.55417546461</v>
      </c>
      <c r="N593" s="15" t="n">
        <f aca="false">M593*(1+IF(N$3&lt;=$O$2,$D593,$D593-($D593-$I$589)*MIN(N$3-$O$2,$Q$2)/$Q$2))</f>
        <v>7914.79191687561</v>
      </c>
      <c r="O593" s="15" t="n">
        <f aca="false">SUMPRODUCT(E593:N593,1/(1+$F$589)^$E$3:$N$3)*$E$2</f>
        <v>6231.69924147435</v>
      </c>
      <c r="P593" s="15" t="n">
        <f aca="false">N593*$E$2*(1+$I$589)/($F$589-$I$589)/(1+$F$589)^$N$3</f>
        <v>5497.80929935539</v>
      </c>
      <c r="Q593" s="15" t="n">
        <f aca="false">O593+P593</f>
        <v>11729.5085408297</v>
      </c>
      <c r="R593" s="15" t="n">
        <f aca="false">Q593-$G$2+$I$2</f>
        <v>6909.00854082974</v>
      </c>
      <c r="S593" s="42" t="n">
        <f aca="false">R593/$K$2</f>
        <v>36.0595435325143</v>
      </c>
      <c r="T593" s="43" t="n">
        <f aca="false">S593-$M$2</f>
        <v>-30.9028781793855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5665.625</v>
      </c>
      <c r="F594" s="15" t="n">
        <f aca="false">E594*(1+IF(F$3&lt;=$O$2,$D594,$D594-($D594-$I$589)*MIN(F$3-$O$2,$Q$2)/$Q$2))</f>
        <v>6550.87890625</v>
      </c>
      <c r="G594" s="15" t="n">
        <f aca="false">F594*(1+IF(G$3&lt;=$O$2,$D594,$D594-($D594-$I$589)*MIN(G$3-$O$2,$Q$2)/$Q$2))</f>
        <v>7574.45373535156</v>
      </c>
      <c r="H594" s="15" t="n">
        <f aca="false">G594*(1+IF(H$3&lt;=$O$2,$D594,$D594-($D594-$I$589)*MIN(H$3-$O$2,$Q$2)/$Q$2))</f>
        <v>8757.96213150024</v>
      </c>
      <c r="I594" s="15" t="n">
        <f aca="false">H594*(1+IF(I$3&lt;=$O$2,$D594,$D594-($D594-$I$589)*MIN(I$3-$O$2,$Q$2)/$Q$2))</f>
        <v>10126.3937145472</v>
      </c>
      <c r="J594" s="15" t="n">
        <f aca="false">I594*(1+IF(J$3&lt;=$O$2,$D594,$D594-($D594-$I$589)*MIN(J$3-$O$2,$Q$2)/$Q$2))</f>
        <v>11429.2555298608</v>
      </c>
      <c r="K594" s="15" t="n">
        <f aca="false">J594*(1+IF(K$3&lt;=$O$2,$D594,$D594-($D594-$I$589)*MIN(K$3-$O$2,$Q$2)/$Q$2))</f>
        <v>12584.4103862638</v>
      </c>
      <c r="L594" s="15" t="n">
        <f aca="false">K594*(1+IF(L$3&lt;=$O$2,$D594,$D594-($D594-$I$589)*MIN(L$3-$O$2,$Q$2)/$Q$2))</f>
        <v>13509.1128614465</v>
      </c>
      <c r="M594" s="15" t="n">
        <f aca="false">L594*(1+IF(M$3&lt;=$O$2,$D594,$D594-($D594-$I$589)*MIN(M$3-$O$2,$Q$2)/$Q$2))</f>
        <v>14129.0460506583</v>
      </c>
      <c r="N594" s="15" t="n">
        <f aca="false">M594*(1+IF(N$3&lt;=$O$2,$D594,$D594-($D594-$I$589)*MIN(N$3-$O$2,$Q$2)/$Q$2))</f>
        <v>14387.6075933853</v>
      </c>
      <c r="O594" s="15" t="n">
        <f aca="false">SUMPRODUCT(E594:N594,1/(1+$F$589)^$E$3:$N$3)*$E$2</f>
        <v>9288.84672476135</v>
      </c>
      <c r="P594" s="15" t="n">
        <f aca="false">N594*$E$2*(1+$I$589)/($F$589-$I$589)/(1+$F$589)^$N$3</f>
        <v>9993.98640585047</v>
      </c>
      <c r="Q594" s="15" t="n">
        <f aca="false">O594+P594</f>
        <v>19282.8331306118</v>
      </c>
      <c r="R594" s="15" t="n">
        <f aca="false">Q594-$G$2+$I$2</f>
        <v>14462.3331306118</v>
      </c>
      <c r="S594" s="42" t="n">
        <f aca="false">R594/$K$2</f>
        <v>75.4819056921285</v>
      </c>
      <c r="T594" s="43" t="n">
        <f aca="false">S594-$M$2</f>
        <v>8.5194839802287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5435.9375</v>
      </c>
      <c r="F595" s="15" t="n">
        <f aca="false">E595*(1+IF(F$3&lt;=$O$2,$D595,$D595-($D595-$I$589)*MIN(F$3-$O$2,$Q$2)/$Q$2))</f>
        <v>6030.4931640625</v>
      </c>
      <c r="G595" s="15" t="n">
        <f aca="false">F595*(1+IF(G$3&lt;=$O$2,$D595,$D595-($D595-$I$589)*MIN(G$3-$O$2,$Q$2)/$Q$2))</f>
        <v>6690.07835388184</v>
      </c>
      <c r="H595" s="15" t="n">
        <f aca="false">G595*(1+IF(H$3&lt;=$O$2,$D595,$D595-($D595-$I$589)*MIN(H$3-$O$2,$Q$2)/$Q$2))</f>
        <v>7421.80567383766</v>
      </c>
      <c r="I595" s="15" t="n">
        <f aca="false">H595*(1+IF(I$3&lt;=$O$2,$D595,$D595-($D595-$I$589)*MIN(I$3-$O$2,$Q$2)/$Q$2))</f>
        <v>8233.56566941366</v>
      </c>
      <c r="J595" s="15" t="n">
        <f aca="false">I595*(1+IF(J$3&lt;=$O$2,$D595,$D595-($D595-$I$589)*MIN(J$3-$O$2,$Q$2)/$Q$2))</f>
        <v>8984.13751583741</v>
      </c>
      <c r="K595" s="15" t="n">
        <f aca="false">J595*(1+IF(K$3&lt;=$O$2,$D595,$D595-($D595-$I$589)*MIN(K$3-$O$2,$Q$2)/$Q$2))</f>
        <v>9639.48542693017</v>
      </c>
      <c r="L595" s="15" t="n">
        <f aca="false">K595*(1+IF(L$3&lt;=$O$2,$D595,$D595-($D595-$I$589)*MIN(L$3-$O$2,$Q$2)/$Q$2))</f>
        <v>10167.0544643461</v>
      </c>
      <c r="M595" s="15" t="n">
        <f aca="false">L595*(1+IF(M$3&lt;=$O$2,$D595,$D595-($D595-$I$589)*MIN(M$3-$O$2,$Q$2)/$Q$2))</f>
        <v>10538.3044581117</v>
      </c>
      <c r="N595" s="15" t="n">
        <f aca="false">M595*(1+IF(N$3&lt;=$O$2,$D595,$D595-($D595-$I$589)*MIN(N$3-$O$2,$Q$2)/$Q$2))</f>
        <v>10731.1554296951</v>
      </c>
      <c r="O595" s="15" t="n">
        <f aca="false">SUMPRODUCT(E595:N595,1/(1+$F$589)^$E$3:$N$3)*$E$2</f>
        <v>7608.66311160406</v>
      </c>
      <c r="P595" s="15" t="n">
        <f aca="false">N595*$E$2*(1+$I$589)/($F$589-$I$589)/(1+$F$589)^$N$3</f>
        <v>7454.12472416525</v>
      </c>
      <c r="Q595" s="15" t="n">
        <f aca="false">O595+P595</f>
        <v>15062.7878357693</v>
      </c>
      <c r="R595" s="15" t="n">
        <f aca="false">Q595-$G$2+$I$2</f>
        <v>10242.2878357693</v>
      </c>
      <c r="S595" s="42" t="n">
        <f aca="false">R595/$K$2</f>
        <v>53.4566170969171</v>
      </c>
      <c r="T595" s="43" t="n">
        <f aca="false">S595-$M$2</f>
        <v>-13.5058046149827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0.109375</v>
      </c>
      <c r="C596" s="25" t="n">
        <f aca="false">IF(T595&gt;0,D595,C595)</f>
        <v>0.15625</v>
      </c>
      <c r="D596" s="41" t="n">
        <f aca="false">(B596+C596)/2</f>
        <v>0.1328125</v>
      </c>
      <c r="E596" s="15" t="n">
        <f aca="false">$C$2*(1+IF(E$3&lt;=$O$2,$D596,$D596-($D596-$I$589)*MIN(E$3-$O$2,$Q$2)/$Q$2))</f>
        <v>5550.78125</v>
      </c>
      <c r="F596" s="15" t="n">
        <f aca="false">E596*(1+IF(F$3&lt;=$O$2,$D596,$D596-($D596-$I$589)*MIN(F$3-$O$2,$Q$2)/$Q$2))</f>
        <v>6287.99438476563</v>
      </c>
      <c r="G596" s="15" t="n">
        <f aca="false">F596*(1+IF(G$3&lt;=$O$2,$D596,$D596-($D596-$I$589)*MIN(G$3-$O$2,$Q$2)/$Q$2))</f>
        <v>7123.11863899231</v>
      </c>
      <c r="H596" s="15" t="n">
        <f aca="false">G596*(1+IF(H$3&lt;=$O$2,$D596,$D596-($D596-$I$589)*MIN(H$3-$O$2,$Q$2)/$Q$2))</f>
        <v>8069.15783323348</v>
      </c>
      <c r="I596" s="15" t="n">
        <f aca="false">H596*(1+IF(I$3&lt;=$O$2,$D596,$D596-($D596-$I$589)*MIN(I$3-$O$2,$Q$2)/$Q$2))</f>
        <v>9140.8428579598</v>
      </c>
      <c r="J596" s="15" t="n">
        <f aca="false">I596*(1+IF(J$3&lt;=$O$2,$D596,$D596-($D596-$I$589)*MIN(J$3-$O$2,$Q$2)/$Q$2))</f>
        <v>10145.5128964782</v>
      </c>
      <c r="K596" s="15" t="n">
        <f aca="false">J596*(1+IF(K$3&lt;=$O$2,$D596,$D596-($D596-$I$589)*MIN(K$3-$O$2,$Q$2)/$Q$2))</f>
        <v>11028.2486098185</v>
      </c>
      <c r="L596" s="15" t="n">
        <f aca="false">K596*(1+IF(L$3&lt;=$O$2,$D596,$D596-($D596-$I$589)*MIN(L$3-$O$2,$Q$2)/$Q$2))</f>
        <v>11735.2144869509</v>
      </c>
      <c r="M596" s="15" t="n">
        <f aca="false">L596*(1+IF(M$3&lt;=$O$2,$D596,$D596-($D596-$I$589)*MIN(M$3-$O$2,$Q$2)/$Q$2))</f>
        <v>12218.7346618495</v>
      </c>
      <c r="N596" s="15" t="n">
        <f aca="false">M596*(1+IF(N$3&lt;=$O$2,$D596,$D596-($D596-$I$589)*MIN(N$3-$O$2,$Q$2)/$Q$2))</f>
        <v>12442.3375061613</v>
      </c>
      <c r="O596" s="15" t="n">
        <f aca="false">SUMPRODUCT(E596:N596,1/(1+$F$589)^$E$3:$N$3)*$E$2</f>
        <v>8407.28345467959</v>
      </c>
      <c r="P596" s="15" t="n">
        <f aca="false">N596*$E$2*(1+$I$589)/($F$589-$I$589)/(1+$F$589)^$N$3</f>
        <v>8642.75391766654</v>
      </c>
      <c r="Q596" s="15" t="n">
        <f aca="false">O596+P596</f>
        <v>17050.0373723461</v>
      </c>
      <c r="R596" s="15" t="n">
        <f aca="false">Q596-$G$2+$I$2</f>
        <v>12229.5373723461</v>
      </c>
      <c r="S596" s="42" t="n">
        <f aca="false">R596/$K$2</f>
        <v>63.8284831542074</v>
      </c>
      <c r="T596" s="43" t="n">
        <f aca="false">S596-$M$2</f>
        <v>-3.13393855769245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0.1328125</v>
      </c>
      <c r="C597" s="25" t="n">
        <f aca="false">IF(T596&gt;0,D596,C596)</f>
        <v>0.15625</v>
      </c>
      <c r="D597" s="41" t="n">
        <f aca="false">(B597+C597)/2</f>
        <v>0.14453125</v>
      </c>
      <c r="E597" s="15" t="n">
        <f aca="false">$C$2*(1+IF(E$3&lt;=$O$2,$D597,$D597-($D597-$I$589)*MIN(E$3-$O$2,$Q$2)/$Q$2))</f>
        <v>5608.203125</v>
      </c>
      <c r="F597" s="15" t="n">
        <f aca="false">E597*(1+IF(F$3&lt;=$O$2,$D597,$D597-($D597-$I$589)*MIN(F$3-$O$2,$Q$2)/$Q$2))</f>
        <v>6418.76373291016</v>
      </c>
      <c r="G597" s="15" t="n">
        <f aca="false">F597*(1+IF(G$3&lt;=$O$2,$D597,$D597-($D597-$I$589)*MIN(G$3-$O$2,$Q$2)/$Q$2))</f>
        <v>7346.47567868233</v>
      </c>
      <c r="H597" s="15" t="n">
        <f aca="false">G597*(1+IF(H$3&lt;=$O$2,$D597,$D597-($D597-$I$589)*MIN(H$3-$O$2,$Q$2)/$Q$2))</f>
        <v>8408.27099161688</v>
      </c>
      <c r="I597" s="15" t="n">
        <f aca="false">H597*(1+IF(I$3&lt;=$O$2,$D597,$D597-($D597-$I$589)*MIN(I$3-$O$2,$Q$2)/$Q$2))</f>
        <v>9623.52890837401</v>
      </c>
      <c r="J597" s="15" t="n">
        <f aca="false">I597*(1+IF(J$3&lt;=$O$2,$D597,$D597-($D597-$I$589)*MIN(J$3-$O$2,$Q$2)/$Q$2))</f>
        <v>10771.4715542094</v>
      </c>
      <c r="K597" s="15" t="n">
        <f aca="false">J597*(1+IF(K$3&lt;=$O$2,$D597,$D597-($D597-$I$589)*MIN(K$3-$O$2,$Q$2)/$Q$2))</f>
        <v>11784.4072748278</v>
      </c>
      <c r="L597" s="15" t="n">
        <f aca="false">K597*(1+IF(L$3&lt;=$O$2,$D597,$D597-($D597-$I$589)*MIN(L$3-$O$2,$Q$2)/$Q$2))</f>
        <v>12595.0861122814</v>
      </c>
      <c r="M597" s="15" t="n">
        <f aca="false">L597*(1+IF(M$3&lt;=$O$2,$D597,$D597-($D597-$I$589)*MIN(M$3-$O$2,$Q$2)/$Q$2))</f>
        <v>13143.5548808983</v>
      </c>
      <c r="N597" s="15" t="n">
        <f aca="false">M597*(1+IF(N$3&lt;=$O$2,$D597,$D597-($D597-$I$589)*MIN(N$3-$O$2,$Q$2)/$Q$2))</f>
        <v>13384.0819352188</v>
      </c>
      <c r="O597" s="15" t="n">
        <f aca="false">SUMPRODUCT(E597:N597,1/(1+$F$589)^$E$3:$N$3)*$E$2</f>
        <v>8837.2193994907</v>
      </c>
      <c r="P597" s="15" t="n">
        <f aca="false">N597*$E$2*(1+$I$589)/($F$589-$I$589)/(1+$F$589)^$N$3</f>
        <v>9296.91278047237</v>
      </c>
      <c r="Q597" s="15" t="n">
        <f aca="false">O597+P597</f>
        <v>18134.1321799631</v>
      </c>
      <c r="R597" s="15" t="n">
        <f aca="false">Q597-$G$2+$I$2</f>
        <v>13313.6321799631</v>
      </c>
      <c r="S597" s="42" t="n">
        <f aca="false">R597/$K$2</f>
        <v>69.4865980165087</v>
      </c>
      <c r="T597" s="43" t="n">
        <f aca="false">S597-$M$2</f>
        <v>2.52417630460891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0.1328125</v>
      </c>
      <c r="C598" s="25" t="n">
        <f aca="false">IF(T597&gt;0,D597,C597)</f>
        <v>0.14453125</v>
      </c>
      <c r="D598" s="41" t="n">
        <f aca="false">(B598+C598)/2</f>
        <v>0.138671875</v>
      </c>
      <c r="E598" s="15" t="n">
        <f aca="false">$C$2*(1+IF(E$3&lt;=$O$2,$D598,$D598-($D598-$I$589)*MIN(E$3-$O$2,$Q$2)/$Q$2))</f>
        <v>5579.4921875</v>
      </c>
      <c r="F598" s="15" t="n">
        <f aca="false">E598*(1+IF(F$3&lt;=$O$2,$D598,$D598-($D598-$I$589)*MIN(F$3-$O$2,$Q$2)/$Q$2))</f>
        <v>6353.21083068848</v>
      </c>
      <c r="G598" s="15" t="n">
        <f aca="false">F598*(1+IF(G$3&lt;=$O$2,$D598,$D598-($D598-$I$589)*MIN(G$3-$O$2,$Q$2)/$Q$2))</f>
        <v>7234.22248885036</v>
      </c>
      <c r="H598" s="15" t="n">
        <f aca="false">G598*(1+IF(H$3&lt;=$O$2,$D598,$D598-($D598-$I$589)*MIN(H$3-$O$2,$Q$2)/$Q$2))</f>
        <v>8237.4056855464</v>
      </c>
      <c r="I598" s="15" t="n">
        <f aca="false">H598*(1+IF(I$3&lt;=$O$2,$D598,$D598-($D598-$I$589)*MIN(I$3-$O$2,$Q$2)/$Q$2))</f>
        <v>9379.70217709678</v>
      </c>
      <c r="J598" s="15" t="n">
        <f aca="false">I598*(1+IF(J$3&lt;=$O$2,$D598,$D598-($D598-$I$589)*MIN(J$3-$O$2,$Q$2)/$Q$2))</f>
        <v>10454.5925973366</v>
      </c>
      <c r="K598" s="15" t="n">
        <f aca="false">J598*(1+IF(K$3&lt;=$O$2,$D598,$D598-($D598-$I$589)*MIN(K$3-$O$2,$Q$2)/$Q$2))</f>
        <v>11400.9749898494</v>
      </c>
      <c r="L598" s="15" t="n">
        <f aca="false">K598*(1+IF(L$3&lt;=$O$2,$D598,$D598-($D598-$I$589)*MIN(L$3-$O$2,$Q$2)/$Q$2))</f>
        <v>12158.5555267062</v>
      </c>
      <c r="M598" s="15" t="n">
        <f aca="false">L598*(1+IF(M$3&lt;=$O$2,$D598,$D598-($D598-$I$589)*MIN(M$3-$O$2,$Q$2)/$Q$2))</f>
        <v>12673.7667180531</v>
      </c>
      <c r="N598" s="15" t="n">
        <f aca="false">M598*(1+IF(N$3&lt;=$O$2,$D598,$D598-($D598-$I$589)*MIN(N$3-$O$2,$Q$2)/$Q$2))</f>
        <v>12905.6966489935</v>
      </c>
      <c r="O598" s="15" t="n">
        <f aca="false">SUMPRODUCT(E598:N598,1/(1+$F$589)^$E$3:$N$3)*$E$2</f>
        <v>8619.60120856659</v>
      </c>
      <c r="P598" s="15" t="n">
        <f aca="false">N598*$E$2*(1+$I$589)/($F$589-$I$589)/(1+$F$589)^$N$3</f>
        <v>8964.61458452405</v>
      </c>
      <c r="Q598" s="15" t="n">
        <f aca="false">O598+P598</f>
        <v>17584.2157930906</v>
      </c>
      <c r="R598" s="15" t="n">
        <f aca="false">Q598-$G$2+$I$2</f>
        <v>12763.7157930906</v>
      </c>
      <c r="S598" s="42" t="n">
        <f aca="false">R598/$K$2</f>
        <v>66.6164707363813</v>
      </c>
      <c r="T598" s="43" t="n">
        <f aca="false">S598-$M$2</f>
        <v>-0.345950975518548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0.138671875</v>
      </c>
      <c r="C599" s="25" t="n">
        <f aca="false">IF(T598&gt;0,D598,C598)</f>
        <v>0.14453125</v>
      </c>
      <c r="D599" s="41" t="n">
        <f aca="false">(B599+C599)/2</f>
        <v>0.1416015625</v>
      </c>
      <c r="E599" s="15" t="n">
        <f aca="false">$C$2*(1+IF(E$3&lt;=$O$2,$D599,$D599-($D599-$I$589)*MIN(E$3-$O$2,$Q$2)/$Q$2))</f>
        <v>5593.84765625</v>
      </c>
      <c r="F599" s="15" t="n">
        <f aca="false">E599*(1+IF(F$3&lt;=$O$2,$D599,$D599-($D599-$I$589)*MIN(F$3-$O$2,$Q$2)/$Q$2))</f>
        <v>6385.94522476196</v>
      </c>
      <c r="G599" s="15" t="n">
        <f aca="false">F599*(1+IF(G$3&lt;=$O$2,$D599,$D599-($D599-$I$589)*MIN(G$3-$O$2,$Q$2)/$Q$2))</f>
        <v>7290.20504662767</v>
      </c>
      <c r="H599" s="15" t="n">
        <f aca="false">G599*(1+IF(H$3&lt;=$O$2,$D599,$D599-($D599-$I$589)*MIN(H$3-$O$2,$Q$2)/$Q$2))</f>
        <v>8322.50947217553</v>
      </c>
      <c r="I599" s="15" t="n">
        <f aca="false">H599*(1+IF(I$3&lt;=$O$2,$D599,$D599-($D599-$I$589)*MIN(I$3-$O$2,$Q$2)/$Q$2))</f>
        <v>9500.98981735664</v>
      </c>
      <c r="J599" s="15" t="n">
        <f aca="false">I599*(1+IF(J$3&lt;=$O$2,$D599,$D599-($D599-$I$589)*MIN(J$3-$O$2,$Q$2)/$Q$2))</f>
        <v>10612.0474428356</v>
      </c>
      <c r="K599" s="15" t="n">
        <f aca="false">J599*(1+IF(K$3&lt;=$O$2,$D599,$D599-($D599-$I$589)*MIN(K$3-$O$2,$Q$2)/$Q$2))</f>
        <v>11591.3371296549</v>
      </c>
      <c r="L599" s="15" t="n">
        <f aca="false">K599*(1+IF(L$3&lt;=$O$2,$D599,$D599-($D599-$I$589)*MIN(L$3-$O$2,$Q$2)/$Q$2))</f>
        <v>12375.1505909479</v>
      </c>
      <c r="M599" s="15" t="n">
        <f aca="false">L599*(1+IF(M$3&lt;=$O$2,$D599,$D599-($D599-$I$589)*MIN(M$3-$O$2,$Q$2)/$Q$2))</f>
        <v>12906.7909275696</v>
      </c>
      <c r="N599" s="15" t="n">
        <f aca="false">M599*(1+IF(N$3&lt;=$O$2,$D599,$D599-($D599-$I$589)*MIN(N$3-$O$2,$Q$2)/$Q$2))</f>
        <v>13142.9852015441</v>
      </c>
      <c r="O599" s="15" t="n">
        <f aca="false">SUMPRODUCT(E599:N599,1/(1+$F$589)^$E$3:$N$3)*$E$2</f>
        <v>8727.74019279855</v>
      </c>
      <c r="P599" s="15" t="n">
        <f aca="false">N599*$E$2*(1+$I$589)/($F$589-$I$589)/(1+$F$589)^$N$3</f>
        <v>9129.44105432193</v>
      </c>
      <c r="Q599" s="15" t="n">
        <f aca="false">O599+P599</f>
        <v>17857.1812471205</v>
      </c>
      <c r="R599" s="15" t="n">
        <f aca="false">Q599-$G$2+$I$2</f>
        <v>13036.6812471205</v>
      </c>
      <c r="S599" s="42" t="n">
        <f aca="false">R599/$K$2</f>
        <v>68.0411338576226</v>
      </c>
      <c r="T599" s="43" t="n">
        <f aca="false">S599-$M$2</f>
        <v>1.07871214572278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0.138671875</v>
      </c>
      <c r="C600" s="25" t="n">
        <f aca="false">IF(T599&gt;0,D599,C599)</f>
        <v>0.1416015625</v>
      </c>
      <c r="D600" s="41" t="n">
        <f aca="false">(B600+C600)/2</f>
        <v>0.14013671875</v>
      </c>
      <c r="E600" s="15" t="n">
        <f aca="false">$C$2*(1+IF(E$3&lt;=$O$2,$D600,$D600-($D600-$I$589)*MIN(E$3-$O$2,$Q$2)/$Q$2))</f>
        <v>5586.669921875</v>
      </c>
      <c r="F600" s="15" t="n">
        <f aca="false">E600*(1+IF(F$3&lt;=$O$2,$D600,$D600-($D600-$I$589)*MIN(F$3-$O$2,$Q$2)/$Q$2))</f>
        <v>6369.56751346588</v>
      </c>
      <c r="G600" s="15" t="n">
        <f aca="false">F600*(1+IF(G$3&lt;=$O$2,$D600,$D600-($D600-$I$589)*MIN(G$3-$O$2,$Q$2)/$Q$2))</f>
        <v>7262.17780465959</v>
      </c>
      <c r="H600" s="15" t="n">
        <f aca="false">G600*(1+IF(H$3&lt;=$O$2,$D600,$D600-($D600-$I$589)*MIN(H$3-$O$2,$Q$2)/$Q$2))</f>
        <v>8279.87557318366</v>
      </c>
      <c r="I600" s="15" t="n">
        <f aca="false">H600*(1+IF(I$3&lt;=$O$2,$D600,$D600-($D600-$I$589)*MIN(I$3-$O$2,$Q$2)/$Q$2))</f>
        <v>9440.19016766789</v>
      </c>
      <c r="J600" s="15" t="n">
        <f aca="false">I600*(1+IF(J$3&lt;=$O$2,$D600,$D600-($D600-$I$589)*MIN(J$3-$O$2,$Q$2)/$Q$2))</f>
        <v>10533.0750832599</v>
      </c>
      <c r="K600" s="15" t="n">
        <f aca="false">J600*(1+IF(K$3&lt;=$O$2,$D600,$D600-($D600-$I$589)*MIN(K$3-$O$2,$Q$2)/$Q$2))</f>
        <v>11495.8195411787</v>
      </c>
      <c r="L600" s="15" t="n">
        <f aca="false">K600*(1+IF(L$3&lt;=$O$2,$D600,$D600-($D600-$I$589)*MIN(L$3-$O$2,$Q$2)/$Q$2))</f>
        <v>12266.438211678</v>
      </c>
      <c r="M600" s="15" t="n">
        <f aca="false">L600*(1+IF(M$3&lt;=$O$2,$D600,$D600-($D600-$I$589)*MIN(M$3-$O$2,$Q$2)/$Q$2))</f>
        <v>12789.8145474438</v>
      </c>
      <c r="N600" s="15" t="n">
        <f aca="false">M600*(1+IF(N$3&lt;=$O$2,$D600,$D600-($D600-$I$589)*MIN(N$3-$O$2,$Q$2)/$Q$2))</f>
        <v>13023.868153662</v>
      </c>
      <c r="O600" s="15" t="n">
        <f aca="false">SUMPRODUCT(E600:N600,1/(1+$F$589)^$E$3:$N$3)*$E$2</f>
        <v>8673.50412326685</v>
      </c>
      <c r="P600" s="15" t="n">
        <f aca="false">N600*$E$2*(1+$I$589)/($F$589-$I$589)/(1+$F$589)^$N$3</f>
        <v>9046.69942062695</v>
      </c>
      <c r="Q600" s="15" t="n">
        <f aca="false">O600+P600</f>
        <v>17720.2035438938</v>
      </c>
      <c r="R600" s="15" t="n">
        <f aca="false">Q600-$G$2+$I$2</f>
        <v>12899.7035438938</v>
      </c>
      <c r="S600" s="42" t="n">
        <f aca="false">R600/$K$2</f>
        <v>67.3262189138507</v>
      </c>
      <c r="T600" s="43" t="n">
        <f aca="false">S600-$M$2</f>
        <v>0.363797201950902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0.138671875</v>
      </c>
      <c r="C601" s="25" t="n">
        <f aca="false">IF(T600&gt;0,D600,C600)</f>
        <v>0.14013671875</v>
      </c>
      <c r="D601" s="41" t="n">
        <f aca="false">(B601+C601)/2</f>
        <v>0.139404296875</v>
      </c>
      <c r="E601" s="15" t="n">
        <f aca="false">$C$2*(1+IF(E$3&lt;=$O$2,$D601,$D601-($D601-$I$589)*MIN(E$3-$O$2,$Q$2)/$Q$2))</f>
        <v>5583.0810546875</v>
      </c>
      <c r="F601" s="15" t="n">
        <f aca="false">E601*(1+IF(F$3&lt;=$O$2,$D601,$D601-($D601-$I$589)*MIN(F$3-$O$2,$Q$2)/$Q$2))</f>
        <v>6361.38654351234</v>
      </c>
      <c r="G601" s="15" t="n">
        <f aca="false">F601*(1+IF(G$3&lt;=$O$2,$D601,$D601-($D601-$I$589)*MIN(G$3-$O$2,$Q$2)/$Q$2))</f>
        <v>7248.19116176077</v>
      </c>
      <c r="H601" s="15" t="n">
        <f aca="false">G601*(1+IF(H$3&lt;=$O$2,$D601,$D601-($D601-$I$589)*MIN(H$3-$O$2,$Q$2)/$Q$2))</f>
        <v>8258.62015428162</v>
      </c>
      <c r="I601" s="15" t="n">
        <f aca="false">H601*(1+IF(I$3&lt;=$O$2,$D601,$D601-($D601-$I$589)*MIN(I$3-$O$2,$Q$2)/$Q$2))</f>
        <v>9409.90729004695</v>
      </c>
      <c r="J601" s="15" t="n">
        <f aca="false">I601*(1+IF(J$3&lt;=$O$2,$D601,$D601-($D601-$I$589)*MIN(J$3-$O$2,$Q$2)/$Q$2))</f>
        <v>10493.7727582709</v>
      </c>
      <c r="K601" s="15" t="n">
        <f aca="false">J601*(1+IF(K$3&lt;=$O$2,$D601,$D601-($D601-$I$589)*MIN(K$3-$O$2,$Q$2)/$Q$2))</f>
        <v>11448.3133826211</v>
      </c>
      <c r="L601" s="15" t="n">
        <f aca="false">K601*(1+IF(L$3&lt;=$O$2,$D601,$D601-($D601-$I$589)*MIN(L$3-$O$2,$Q$2)/$Q$2))</f>
        <v>12212.3934945658</v>
      </c>
      <c r="M601" s="15" t="n">
        <f aca="false">L601*(1+IF(M$3&lt;=$O$2,$D601,$D601-($D601-$I$589)*MIN(M$3-$O$2,$Q$2)/$Q$2))</f>
        <v>12731.6749609804</v>
      </c>
      <c r="N601" s="15" t="n">
        <f aca="false">M601*(1+IF(N$3&lt;=$O$2,$D601,$D601-($D601-$I$589)*MIN(N$3-$O$2,$Q$2)/$Q$2))</f>
        <v>12964.6646127664</v>
      </c>
      <c r="O601" s="15" t="n">
        <f aca="false">SUMPRODUCT(E601:N601,1/(1+$F$589)^$E$3:$N$3)*$E$2</f>
        <v>8646.51113985094</v>
      </c>
      <c r="P601" s="15" t="n">
        <f aca="false">N601*$E$2*(1+$I$589)/($F$589-$I$589)/(1+$F$589)^$N$3</f>
        <v>9005.57518374124</v>
      </c>
      <c r="Q601" s="15" t="n">
        <f aca="false">O601+P601</f>
        <v>17652.0863235922</v>
      </c>
      <c r="R601" s="15" t="n">
        <f aca="false">Q601-$G$2+$I$2</f>
        <v>12831.5863235922</v>
      </c>
      <c r="S601" s="42" t="n">
        <f aca="false">R601/$K$2</f>
        <v>66.9707010625896</v>
      </c>
      <c r="T601" s="43" t="n">
        <f aca="false">S601-$M$2</f>
        <v>0.00827935068983265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0.138671875</v>
      </c>
      <c r="C602" s="25" t="n">
        <f aca="false">IF(T601&gt;0,D601,C601)</f>
        <v>0.139404296875</v>
      </c>
      <c r="D602" s="41" t="n">
        <f aca="false">(B602+C602)/2</f>
        <v>0.1390380859375</v>
      </c>
      <c r="E602" s="15" t="n">
        <f aca="false">$C$2*(1+IF(E$3&lt;=$O$2,$D602,$D602-($D602-$I$589)*MIN(E$3-$O$2,$Q$2)/$Q$2))</f>
        <v>5581.28662109375</v>
      </c>
      <c r="F602" s="15" t="n">
        <f aca="false">E602*(1+IF(F$3&lt;=$O$2,$D602,$D602-($D602-$I$589)*MIN(F$3-$O$2,$Q$2)/$Q$2))</f>
        <v>6357.2980299592</v>
      </c>
      <c r="G602" s="15" t="n">
        <f aca="false">F602*(1+IF(G$3&lt;=$O$2,$D602,$D602-($D602-$I$589)*MIN(G$3-$O$2,$Q$2)/$Q$2))</f>
        <v>7241.20457977897</v>
      </c>
      <c r="H602" s="15" t="n">
        <f aca="false">G602*(1+IF(H$3&lt;=$O$2,$D602,$D602-($D602-$I$589)*MIN(H$3-$O$2,$Q$2)/$Q$2))</f>
        <v>8248.0078044333</v>
      </c>
      <c r="I602" s="15" t="n">
        <f aca="false">H602*(1+IF(I$3&lt;=$O$2,$D602,$D602-($D602-$I$589)*MIN(I$3-$O$2,$Q$2)/$Q$2))</f>
        <v>9394.79502235926</v>
      </c>
      <c r="J602" s="15" t="n">
        <f aca="false">I602*(1+IF(J$3&lt;=$O$2,$D602,$D602-($D602-$I$589)*MIN(J$3-$O$2,$Q$2)/$Q$2))</f>
        <v>10474.1674262883</v>
      </c>
      <c r="K602" s="15" t="n">
        <f aca="false">J602*(1+IF(K$3&lt;=$O$2,$D602,$D602-($D602-$I$589)*MIN(K$3-$O$2,$Q$2)/$Q$2))</f>
        <v>11424.6232462927</v>
      </c>
      <c r="L602" s="15" t="n">
        <f aca="false">K602*(1+IF(L$3&lt;=$O$2,$D602,$D602-($D602-$I$589)*MIN(L$3-$O$2,$Q$2)/$Q$2))</f>
        <v>12185.4487090257</v>
      </c>
      <c r="M602" s="15" t="n">
        <f aca="false">L602*(1+IF(M$3&lt;=$O$2,$D602,$D602-($D602-$I$589)*MIN(M$3-$O$2,$Q$2)/$Q$2))</f>
        <v>12702.6919710843</v>
      </c>
      <c r="N602" s="15" t="n">
        <f aca="false">M602*(1+IF(N$3&lt;=$O$2,$D602,$D602-($D602-$I$589)*MIN(N$3-$O$2,$Q$2)/$Q$2))</f>
        <v>12935.1512341552</v>
      </c>
      <c r="O602" s="15" t="n">
        <f aca="false">SUMPRODUCT(E602:N602,1/(1+$F$589)^$E$3:$N$3)*$E$2</f>
        <v>8633.04580744651</v>
      </c>
      <c r="P602" s="15" t="n">
        <f aca="false">N602*$E$2*(1+$I$589)/($F$589-$I$589)/(1+$F$589)^$N$3</f>
        <v>8985.07446444397</v>
      </c>
      <c r="Q602" s="15" t="n">
        <f aca="false">O602+P602</f>
        <v>17618.1202718905</v>
      </c>
      <c r="R602" s="15" t="n">
        <f aca="false">Q602-$G$2+$I$2</f>
        <v>12797.6202718905</v>
      </c>
      <c r="S602" s="42" t="n">
        <f aca="false">R602/$K$2</f>
        <v>66.7934252186351</v>
      </c>
      <c r="T602" s="43" t="n">
        <f aca="false">S602-$M$2</f>
        <v>-0.168996493264743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0.1390380859375</v>
      </c>
      <c r="C603" s="25" t="n">
        <f aca="false">IF(T602&gt;0,D602,C602)</f>
        <v>0.139404296875</v>
      </c>
      <c r="D603" s="41" t="n">
        <f aca="false">(B603+C603)/2</f>
        <v>0.13922119140625</v>
      </c>
      <c r="E603" s="15" t="n">
        <f aca="false">$C$2*(1+IF(E$3&lt;=$O$2,$D603,$D603-($D603-$I$589)*MIN(E$3-$O$2,$Q$2)/$Q$2))</f>
        <v>5582.18383789063</v>
      </c>
      <c r="F603" s="15" t="n">
        <f aca="false">E603*(1+IF(F$3&lt;=$O$2,$D603,$D603-($D603-$I$589)*MIN(F$3-$O$2,$Q$2)/$Q$2))</f>
        <v>6359.34212245047</v>
      </c>
      <c r="G603" s="15" t="n">
        <f aca="false">F603*(1+IF(G$3&lt;=$O$2,$D603,$D603-($D603-$I$589)*MIN(G$3-$O$2,$Q$2)/$Q$2))</f>
        <v>7244.69730929798</v>
      </c>
      <c r="H603" s="15" t="n">
        <f aca="false">G603*(1+IF(H$3&lt;=$O$2,$D603,$D603-($D603-$I$589)*MIN(H$3-$O$2,$Q$2)/$Q$2))</f>
        <v>8253.31270007609</v>
      </c>
      <c r="I603" s="15" t="n">
        <f aca="false">H603*(1+IF(I$3&lt;=$O$2,$D603,$D603-($D603-$I$589)*MIN(I$3-$O$2,$Q$2)/$Q$2))</f>
        <v>9402.34872722902</v>
      </c>
      <c r="J603" s="15" t="n">
        <f aca="false">I603*(1+IF(J$3&lt;=$O$2,$D603,$D603-($D603-$I$589)*MIN(J$3-$O$2,$Q$2)/$Q$2))</f>
        <v>10483.9662770282</v>
      </c>
      <c r="K603" s="15" t="n">
        <f aca="false">J603*(1+IF(K$3&lt;=$O$2,$D603,$D603-($D603-$I$589)*MIN(K$3-$O$2,$Q$2)/$Q$2))</f>
        <v>11436.4630756265</v>
      </c>
      <c r="L603" s="15" t="n">
        <f aca="false">K603*(1+IF(L$3&lt;=$O$2,$D603,$D603-($D603-$I$589)*MIN(L$3-$O$2,$Q$2)/$Q$2))</f>
        <v>12198.9146461418</v>
      </c>
      <c r="M603" s="15" t="n">
        <f aca="false">L603*(1+IF(M$3&lt;=$O$2,$D603,$D603-($D603-$I$589)*MIN(M$3-$O$2,$Q$2)/$Q$2))</f>
        <v>12717.1762427411</v>
      </c>
      <c r="N603" s="15" t="n">
        <f aca="false">M603*(1+IF(N$3&lt;=$O$2,$D603,$D603-($D603-$I$589)*MIN(N$3-$O$2,$Q$2)/$Q$2))</f>
        <v>12949.9005679833</v>
      </c>
      <c r="O603" s="15" t="n">
        <f aca="false">SUMPRODUCT(E603:N603,1/(1+$F$589)^$E$3:$N$3)*$E$2</f>
        <v>8639.77588011531</v>
      </c>
      <c r="P603" s="15" t="n">
        <f aca="false">N603*$E$2*(1+$I$589)/($F$589-$I$589)/(1+$F$589)^$N$3</f>
        <v>8995.31971479688</v>
      </c>
      <c r="Q603" s="15" t="n">
        <f aca="false">O603+P603</f>
        <v>17635.0955949122</v>
      </c>
      <c r="R603" s="15" t="n">
        <f aca="false">Q603-$G$2+$I$2</f>
        <v>12814.5955949122</v>
      </c>
      <c r="S603" s="42" t="n">
        <f aca="false">R603/$K$2</f>
        <v>66.882022937955</v>
      </c>
      <c r="T603" s="43" t="n">
        <f aca="false">S603-$M$2</f>
        <v>-0.0803987739447507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0.13922119140625</v>
      </c>
      <c r="C604" s="25" t="n">
        <f aca="false">IF(T603&gt;0,D603,C603)</f>
        <v>0.139404296875</v>
      </c>
      <c r="D604" s="41" t="n">
        <f aca="false">(B604+C604)/2</f>
        <v>0.139312744140625</v>
      </c>
      <c r="E604" s="15" t="n">
        <f aca="false">$C$2*(1+IF(E$3&lt;=$O$2,$D604,$D604-($D604-$I$589)*MIN(E$3-$O$2,$Q$2)/$Q$2))</f>
        <v>5582.63244628906</v>
      </c>
      <c r="F604" s="15" t="n">
        <f aca="false">E604*(1+IF(F$3&lt;=$O$2,$D604,$D604-($D604-$I$589)*MIN(F$3-$O$2,$Q$2)/$Q$2))</f>
        <v>6360.36429191008</v>
      </c>
      <c r="G604" s="15" t="n">
        <f aca="false">F604*(1+IF(G$3&lt;=$O$2,$D604,$D604-($D604-$I$589)*MIN(G$3-$O$2,$Q$2)/$Q$2))</f>
        <v>7246.44409515012</v>
      </c>
      <c r="H604" s="15" t="n">
        <f aca="false">G604*(1+IF(H$3&lt;=$O$2,$D604,$D604-($D604-$I$589)*MIN(H$3-$O$2,$Q$2)/$Q$2))</f>
        <v>8255.96610730711</v>
      </c>
      <c r="I604" s="15" t="n">
        <f aca="false">H604*(1+IF(I$3&lt;=$O$2,$D604,$D604-($D604-$I$589)*MIN(I$3-$O$2,$Q$2)/$Q$2))</f>
        <v>9406.12740124806</v>
      </c>
      <c r="J604" s="15" t="n">
        <f aca="false">I604*(1+IF(J$3&lt;=$O$2,$D604,$D604-($D604-$I$589)*MIN(J$3-$O$2,$Q$2)/$Q$2))</f>
        <v>10488.86856354</v>
      </c>
      <c r="K604" s="15" t="n">
        <f aca="false">J604*(1+IF(K$3&lt;=$O$2,$D604,$D604-($D604-$I$589)*MIN(K$3-$O$2,$Q$2)/$Q$2))</f>
        <v>11442.3869189353</v>
      </c>
      <c r="L604" s="15" t="n">
        <f aca="false">K604*(1+IF(L$3&lt;=$O$2,$D604,$D604-($D604-$I$589)*MIN(L$3-$O$2,$Q$2)/$Q$2))</f>
        <v>12205.6524557835</v>
      </c>
      <c r="M604" s="15" t="n">
        <f aca="false">L604*(1+IF(M$3&lt;=$O$2,$D604,$D604-($D604-$I$589)*MIN(M$3-$O$2,$Q$2)/$Q$2))</f>
        <v>12724.4237952646</v>
      </c>
      <c r="N604" s="15" t="n">
        <f aca="false">M604*(1+IF(N$3&lt;=$O$2,$D604,$D604-($D604-$I$589)*MIN(N$3-$O$2,$Q$2)/$Q$2))</f>
        <v>12957.2807507179</v>
      </c>
      <c r="O604" s="15" t="n">
        <f aca="false">SUMPRODUCT(E604:N604,1/(1+$F$589)^$E$3:$N$3)*$E$2</f>
        <v>8643.14286136929</v>
      </c>
      <c r="P604" s="15" t="n">
        <f aca="false">N604*$E$2*(1+$I$589)/($F$589-$I$589)/(1+$F$589)^$N$3</f>
        <v>9000.44617139809</v>
      </c>
      <c r="Q604" s="15" t="n">
        <f aca="false">O604+P604</f>
        <v>17643.5890327674</v>
      </c>
      <c r="R604" s="15" t="n">
        <f aca="false">Q604-$G$2+$I$2</f>
        <v>12823.0890327674</v>
      </c>
      <c r="S604" s="42" t="n">
        <f aca="false">R604/$K$2</f>
        <v>66.92635194555</v>
      </c>
      <c r="T604" s="43" t="n">
        <f aca="false">S604-$M$2</f>
        <v>-0.0360697663498115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0.139312744140625</v>
      </c>
      <c r="C605" s="25" t="n">
        <f aca="false">IF(T604&gt;0,D604,C604)</f>
        <v>0.139404296875</v>
      </c>
      <c r="D605" s="41" t="n">
        <f aca="false">(B605+C605)/2</f>
        <v>0.139358520507813</v>
      </c>
      <c r="E605" s="15" t="n">
        <f aca="false">$C$2*(1+IF(E$3&lt;=$O$2,$D605,$D605-($D605-$I$589)*MIN(E$3-$O$2,$Q$2)/$Q$2))</f>
        <v>5582.85675048828</v>
      </c>
      <c r="F605" s="15" t="n">
        <f aca="false">E605*(1+IF(F$3&lt;=$O$2,$D605,$D605-($D605-$I$589)*MIN(F$3-$O$2,$Q$2)/$Q$2))</f>
        <v>6360.87540744338</v>
      </c>
      <c r="G605" s="15" t="n">
        <f aca="false">F605*(1+IF(G$3&lt;=$O$2,$D605,$D605-($D605-$I$589)*MIN(G$3-$O$2,$Q$2)/$Q$2))</f>
        <v>7247.31759335922</v>
      </c>
      <c r="H605" s="15" t="n">
        <f aca="false">G605*(1+IF(H$3&lt;=$O$2,$D605,$D605-($D605-$I$589)*MIN(H$3-$O$2,$Q$2)/$Q$2))</f>
        <v>8257.29305082</v>
      </c>
      <c r="I605" s="15" t="n">
        <f aca="false">H605*(1+IF(I$3&lt;=$O$2,$D605,$D605-($D605-$I$589)*MIN(I$3-$O$2,$Q$2)/$Q$2))</f>
        <v>9408.01719378172</v>
      </c>
      <c r="J605" s="15" t="n">
        <f aca="false">I605*(1+IF(J$3&lt;=$O$2,$D605,$D605-($D605-$I$589)*MIN(J$3-$O$2,$Q$2)/$Q$2))</f>
        <v>10491.3204223409</v>
      </c>
      <c r="K605" s="15" t="n">
        <f aca="false">J605*(1+IF(K$3&lt;=$O$2,$D605,$D605-($D605-$I$589)*MIN(K$3-$O$2,$Q$2)/$Q$2))</f>
        <v>11445.349823171</v>
      </c>
      <c r="L605" s="15" t="n">
        <f aca="false">K605*(1+IF(L$3&lt;=$O$2,$D605,$D605-($D605-$I$589)*MIN(L$3-$O$2,$Q$2)/$Q$2))</f>
        <v>12209.02257145</v>
      </c>
      <c r="M605" s="15" t="n">
        <f aca="false">L605*(1+IF(M$3&lt;=$O$2,$D605,$D605-($D605-$I$589)*MIN(M$3-$O$2,$Q$2)/$Q$2))</f>
        <v>12728.0489263768</v>
      </c>
      <c r="N605" s="15" t="n">
        <f aca="false">M605*(1+IF(N$3&lt;=$O$2,$D605,$D605-($D605-$I$589)*MIN(N$3-$O$2,$Q$2)/$Q$2))</f>
        <v>12960.9722217295</v>
      </c>
      <c r="O605" s="15" t="n">
        <f aca="false">SUMPRODUCT(E605:N605,1/(1+$F$589)^$E$3:$N$3)*$E$2</f>
        <v>8644.82683842783</v>
      </c>
      <c r="P605" s="15" t="n">
        <f aca="false">N605*$E$2*(1+$I$589)/($F$589-$I$589)/(1+$F$589)^$N$3</f>
        <v>9003.01035803352</v>
      </c>
      <c r="Q605" s="15" t="n">
        <f aca="false">O605+P605</f>
        <v>17647.8371964614</v>
      </c>
      <c r="R605" s="15" t="n">
        <f aca="false">Q605-$G$2+$I$2</f>
        <v>12827.3371964614</v>
      </c>
      <c r="S605" s="42" t="n">
        <f aca="false">R605/$K$2</f>
        <v>66.9485239898818</v>
      </c>
      <c r="T605" s="43" t="n">
        <f aca="false">S605-$M$2</f>
        <v>-0.0138977220179868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0.139358520507813</v>
      </c>
      <c r="C606" s="25" t="n">
        <f aca="false">IF(T605&gt;0,D605,C605)</f>
        <v>0.139404296875</v>
      </c>
      <c r="D606" s="41" t="n">
        <f aca="false">(B606+C606)/2</f>
        <v>0.139381408691406</v>
      </c>
      <c r="E606" s="15" t="n">
        <f aca="false">$C$2*(1+IF(E$3&lt;=$O$2,$D606,$D606-($D606-$I$589)*MIN(E$3-$O$2,$Q$2)/$Q$2))</f>
        <v>5582.96890258789</v>
      </c>
      <c r="F606" s="15" t="n">
        <f aca="false">E606*(1+IF(F$3&lt;=$O$2,$D606,$D606-($D606-$I$589)*MIN(F$3-$O$2,$Q$2)/$Q$2))</f>
        <v>6361.13097291091</v>
      </c>
      <c r="G606" s="15" t="n">
        <f aca="false">F606*(1+IF(G$3&lt;=$O$2,$D606,$D606-($D606-$I$589)*MIN(G$3-$O$2,$Q$2)/$Q$2))</f>
        <v>7247.75436878576</v>
      </c>
      <c r="H606" s="15" t="n">
        <f aca="false">G606*(1+IF(H$3&lt;=$O$2,$D606,$D606-($D606-$I$589)*MIN(H$3-$O$2,$Q$2)/$Q$2))</f>
        <v>8257.95658255642</v>
      </c>
      <c r="I606" s="15" t="n">
        <f aca="false">H606*(1+IF(I$3&lt;=$O$2,$D606,$D606-($D606-$I$589)*MIN(I$3-$O$2,$Q$2)/$Q$2))</f>
        <v>9408.9622039456</v>
      </c>
      <c r="J606" s="15" t="n">
        <f aca="false">I606*(1+IF(J$3&lt;=$O$2,$D606,$D606-($D606-$I$589)*MIN(J$3-$O$2,$Q$2)/$Q$2))</f>
        <v>10492.5465306601</v>
      </c>
      <c r="K606" s="15" t="n">
        <f aca="false">J606*(1+IF(K$3&lt;=$O$2,$D606,$D606-($D606-$I$589)*MIN(K$3-$O$2,$Q$2)/$Q$2))</f>
        <v>11446.8315209867</v>
      </c>
      <c r="L606" s="15" t="n">
        <f aca="false">K606*(1+IF(L$3&lt;=$O$2,$D606,$D606-($D606-$I$589)*MIN(L$3-$O$2,$Q$2)/$Q$2))</f>
        <v>12210.7079320665</v>
      </c>
      <c r="M606" s="15" t="n">
        <f aca="false">L606*(1+IF(M$3&lt;=$O$2,$D606,$D606-($D606-$I$589)*MIN(M$3-$O$2,$Q$2)/$Q$2))</f>
        <v>12729.8618307301</v>
      </c>
      <c r="N606" s="15" t="n">
        <f aca="false">M606*(1+IF(N$3&lt;=$O$2,$D606,$D606-($D606-$I$589)*MIN(N$3-$O$2,$Q$2)/$Q$2))</f>
        <v>12962.8183022324</v>
      </c>
      <c r="O606" s="15" t="n">
        <f aca="false">SUMPRODUCT(E606:N606,1/(1+$F$589)^$E$3:$N$3)*$E$2</f>
        <v>8645.66894859021</v>
      </c>
      <c r="P606" s="15" t="n">
        <f aca="false">N606*$E$2*(1+$I$589)/($F$589-$I$589)/(1+$F$589)^$N$3</f>
        <v>9004.29269099479</v>
      </c>
      <c r="Q606" s="15" t="n">
        <f aca="false">O606+P606</f>
        <v>17649.961639585</v>
      </c>
      <c r="R606" s="15" t="n">
        <f aca="false">Q606-$G$2+$I$2</f>
        <v>12829.461639585</v>
      </c>
      <c r="S606" s="42" t="n">
        <f aca="false">R606/$K$2</f>
        <v>66.9596118976253</v>
      </c>
      <c r="T606" s="43" t="n">
        <f aca="false">S606-$M$2</f>
        <v>-0.00280981427451366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0.139381408691406</v>
      </c>
      <c r="C607" s="25" t="n">
        <f aca="false">IF(T606&gt;0,D606,C606)</f>
        <v>0.139404296875</v>
      </c>
      <c r="D607" s="41" t="n">
        <f aca="false">(B607+C607)/2</f>
        <v>0.139392852783203</v>
      </c>
      <c r="E607" s="15" t="n">
        <f aca="false">$C$2*(1+IF(E$3&lt;=$O$2,$D607,$D607-($D607-$I$589)*MIN(E$3-$O$2,$Q$2)/$Q$2))</f>
        <v>5583.0249786377</v>
      </c>
      <c r="F607" s="15" t="n">
        <f aca="false">E607*(1+IF(F$3&lt;=$O$2,$D607,$D607-($D607-$I$589)*MIN(F$3-$O$2,$Q$2)/$Q$2))</f>
        <v>6361.25875756989</v>
      </c>
      <c r="G607" s="15" t="n">
        <f aca="false">F607*(1+IF(G$3&lt;=$O$2,$D607,$D607-($D607-$I$589)*MIN(G$3-$O$2,$Q$2)/$Q$2))</f>
        <v>7247.97276307969</v>
      </c>
      <c r="H607" s="15" t="n">
        <f aca="false">G607*(1+IF(H$3&lt;=$O$2,$D607,$D607-($D607-$I$589)*MIN(H$3-$O$2,$Q$2)/$Q$2))</f>
        <v>8258.28836342032</v>
      </c>
      <c r="I607" s="15" t="n">
        <f aca="false">H607*(1+IF(I$3&lt;=$O$2,$D607,$D607-($D607-$I$589)*MIN(I$3-$O$2,$Q$2)/$Q$2))</f>
        <v>9409.43473750381</v>
      </c>
      <c r="J607" s="15" t="n">
        <f aca="false">I607*(1+IF(J$3&lt;=$O$2,$D607,$D607-($D607-$I$589)*MIN(J$3-$O$2,$Q$2)/$Q$2))</f>
        <v>10493.1596295535</v>
      </c>
      <c r="K607" s="15" t="n">
        <f aca="false">J607*(1+IF(K$3&lt;=$O$2,$D607,$D607-($D607-$I$589)*MIN(K$3-$O$2,$Q$2)/$Q$2))</f>
        <v>11447.5724313256</v>
      </c>
      <c r="L607" s="15" t="n">
        <f aca="false">K607*(1+IF(L$3&lt;=$O$2,$D607,$D607-($D607-$I$589)*MIN(L$3-$O$2,$Q$2)/$Q$2))</f>
        <v>12211.5506880795</v>
      </c>
      <c r="M607" s="15" t="n">
        <f aca="false">L607*(1+IF(M$3&lt;=$O$2,$D607,$D607-($D607-$I$589)*MIN(M$3-$O$2,$Q$2)/$Q$2))</f>
        <v>12730.7683676166</v>
      </c>
      <c r="N607" s="15" t="n">
        <f aca="false">M607*(1+IF(N$3&lt;=$O$2,$D607,$D607-($D607-$I$589)*MIN(N$3-$O$2,$Q$2)/$Q$2))</f>
        <v>12963.741428744</v>
      </c>
      <c r="O607" s="15" t="n">
        <f aca="false">SUMPRODUCT(E607:N607,1/(1+$F$589)^$E$3:$N$3)*$E$2</f>
        <v>8646.09003408283</v>
      </c>
      <c r="P607" s="15" t="n">
        <f aca="false">N607*$E$2*(1+$I$589)/($F$589-$I$589)/(1+$F$589)^$N$3</f>
        <v>9004.9339173938</v>
      </c>
      <c r="Q607" s="15" t="n">
        <f aca="false">O607+P607</f>
        <v>17651.0239514766</v>
      </c>
      <c r="R607" s="15" t="n">
        <f aca="false">Q607-$G$2+$I$2</f>
        <v>12830.5239514766</v>
      </c>
      <c r="S607" s="42" t="n">
        <f aca="false">R607/$K$2</f>
        <v>66.965156322947</v>
      </c>
      <c r="T607" s="43" t="n">
        <f aca="false">S607-$M$2</f>
        <v>0.00273461104715977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0.139381408691406</v>
      </c>
      <c r="C608" s="25" t="n">
        <f aca="false">IF(T607&gt;0,D607,C607)</f>
        <v>0.139392852783203</v>
      </c>
      <c r="D608" s="41" t="n">
        <f aca="false">(B608+C608)/2</f>
        <v>0.139387130737305</v>
      </c>
      <c r="E608" s="15" t="n">
        <f aca="false">$C$2*(1+IF(E$3&lt;=$O$2,$D608,$D608-($D608-$I$589)*MIN(E$3-$O$2,$Q$2)/$Q$2))</f>
        <v>5582.99694061279</v>
      </c>
      <c r="F608" s="15" t="n">
        <f aca="false">E608*(1+IF(F$3&lt;=$O$2,$D608,$D608-($D608-$I$589)*MIN(F$3-$O$2,$Q$2)/$Q$2))</f>
        <v>6361.19486507996</v>
      </c>
      <c r="G608" s="15" t="n">
        <f aca="false">F608*(1+IF(G$3&lt;=$O$2,$D608,$D608-($D608-$I$589)*MIN(G$3-$O$2,$Q$2)/$Q$2))</f>
        <v>7247.86356538433</v>
      </c>
      <c r="H608" s="15" t="n">
        <f aca="false">G608*(1+IF(H$3&lt;=$O$2,$D608,$D608-($D608-$I$589)*MIN(H$3-$O$2,$Q$2)/$Q$2))</f>
        <v>8258.12247173871</v>
      </c>
      <c r="I608" s="15" t="n">
        <f aca="false">H608*(1+IF(I$3&lt;=$O$2,$D608,$D608-($D608-$I$589)*MIN(I$3-$O$2,$Q$2)/$Q$2))</f>
        <v>9409.19846835162</v>
      </c>
      <c r="J608" s="15" t="n">
        <f aca="false">I608*(1+IF(J$3&lt;=$O$2,$D608,$D608-($D608-$I$589)*MIN(J$3-$O$2,$Q$2)/$Q$2))</f>
        <v>10492.8530763789</v>
      </c>
      <c r="K608" s="15" t="n">
        <f aca="false">J608*(1+IF(K$3&lt;=$O$2,$D608,$D608-($D608-$I$589)*MIN(K$3-$O$2,$Q$2)/$Q$2))</f>
        <v>11447.2019710367</v>
      </c>
      <c r="L608" s="15" t="n">
        <f aca="false">K608*(1+IF(L$3&lt;=$O$2,$D608,$D608-($D608-$I$589)*MIN(L$3-$O$2,$Q$2)/$Q$2))</f>
        <v>12211.129303764</v>
      </c>
      <c r="M608" s="15" t="n">
        <f aca="false">L608*(1+IF(M$3&lt;=$O$2,$D608,$D608-($D608-$I$589)*MIN(M$3-$O$2,$Q$2)/$Q$2))</f>
        <v>12730.3150921139</v>
      </c>
      <c r="N608" s="15" t="n">
        <f aca="false">M608*(1+IF(N$3&lt;=$O$2,$D608,$D608-($D608-$I$589)*MIN(N$3-$O$2,$Q$2)/$Q$2))</f>
        <v>12963.2798582996</v>
      </c>
      <c r="O608" s="15" t="n">
        <f aca="false">SUMPRODUCT(E608:N608,1/(1+$F$589)^$E$3:$N$3)*$E$2</f>
        <v>8645.87948880214</v>
      </c>
      <c r="P608" s="15" t="n">
        <f aca="false">N608*$E$2*(1+$I$589)/($F$589-$I$589)/(1+$F$589)^$N$3</f>
        <v>9004.61329920087</v>
      </c>
      <c r="Q608" s="15" t="n">
        <f aca="false">O608+P608</f>
        <v>17650.492788003</v>
      </c>
      <c r="R608" s="15" t="n">
        <f aca="false">Q608-$G$2+$I$2</f>
        <v>12829.992788003</v>
      </c>
      <c r="S608" s="42" t="n">
        <f aca="false">R608/$K$2</f>
        <v>66.962384070997</v>
      </c>
      <c r="T608" s="43" t="n">
        <f aca="false">S608-$M$2</f>
        <v>-3.76409028461922E-005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0.139387130737305</v>
      </c>
      <c r="C609" s="25" t="n">
        <f aca="false">IF(T608&gt;0,D608,C608)</f>
        <v>0.139392852783203</v>
      </c>
      <c r="D609" s="41" t="n">
        <f aca="false">(B609+C609)/2</f>
        <v>0.139389991760254</v>
      </c>
      <c r="E609" s="15" t="n">
        <f aca="false">$C$2*(1+IF(E$3&lt;=$O$2,$D609,$D609-($D609-$I$589)*MIN(E$3-$O$2,$Q$2)/$Q$2))</f>
        <v>5583.01095962524</v>
      </c>
      <c r="F609" s="15" t="n">
        <f aca="false">E609*(1+IF(F$3&lt;=$O$2,$D609,$D609-($D609-$I$589)*MIN(F$3-$O$2,$Q$2)/$Q$2))</f>
        <v>6361.22681128481</v>
      </c>
      <c r="G609" s="15" t="n">
        <f aca="false">F609*(1+IF(G$3&lt;=$O$2,$D609,$D609-($D609-$I$589)*MIN(G$3-$O$2,$Q$2)/$Q$2))</f>
        <v>7247.91816409491</v>
      </c>
      <c r="H609" s="15" t="n">
        <f aca="false">G609*(1+IF(H$3&lt;=$O$2,$D609,$D609-($D609-$I$589)*MIN(H$3-$O$2,$Q$2)/$Q$2))</f>
        <v>8258.2054172671</v>
      </c>
      <c r="I609" s="15" t="n">
        <f aca="false">H609*(1+IF(I$3&lt;=$O$2,$D609,$D609-($D609-$I$589)*MIN(I$3-$O$2,$Q$2)/$Q$2))</f>
        <v>9409.31660233444</v>
      </c>
      <c r="J609" s="15" t="n">
        <f aca="false">I609*(1+IF(J$3&lt;=$O$2,$D609,$D609-($D609-$I$589)*MIN(J$3-$O$2,$Q$2)/$Q$2))</f>
        <v>10493.0063520342</v>
      </c>
      <c r="K609" s="15" t="n">
        <f aca="false">J609*(1+IF(K$3&lt;=$O$2,$D609,$D609-($D609-$I$589)*MIN(K$3-$O$2,$Q$2)/$Q$2))</f>
        <v>11447.3871999013</v>
      </c>
      <c r="L609" s="15" t="n">
        <f aca="false">K609*(1+IF(L$3&lt;=$O$2,$D609,$D609-($D609-$I$589)*MIN(L$3-$O$2,$Q$2)/$Q$2))</f>
        <v>12211.3399943445</v>
      </c>
      <c r="M609" s="15" t="n">
        <f aca="false">L609*(1+IF(M$3&lt;=$O$2,$D609,$D609-($D609-$I$589)*MIN(M$3-$O$2,$Q$2)/$Q$2))</f>
        <v>12730.5417281004</v>
      </c>
      <c r="N609" s="15" t="n">
        <f aca="false">M609*(1+IF(N$3&lt;=$O$2,$D609,$D609-($D609-$I$589)*MIN(N$3-$O$2,$Q$2)/$Q$2))</f>
        <v>12963.5106417246</v>
      </c>
      <c r="O609" s="15" t="n">
        <f aca="false">SUMPRODUCT(E609:N609,1/(1+$F$589)^$E$3:$N$3)*$E$2</f>
        <v>8645.98476080889</v>
      </c>
      <c r="P609" s="15" t="n">
        <f aca="false">N609*$E$2*(1+$I$589)/($F$589-$I$589)/(1+$F$589)^$N$3</f>
        <v>9004.77360704897</v>
      </c>
      <c r="Q609" s="15" t="n">
        <f aca="false">O609+P609</f>
        <v>17650.7583678579</v>
      </c>
      <c r="R609" s="15" t="n">
        <f aca="false">Q609-$G$2+$I$2</f>
        <v>12830.2583678579</v>
      </c>
      <c r="S609" s="42" t="n">
        <f aca="false">R609/$K$2</f>
        <v>66.9637701871496</v>
      </c>
      <c r="T609" s="43" t="n">
        <f aca="false">S609-$M$2</f>
        <v>0.00134847524975612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0.139387130737305</v>
      </c>
      <c r="C610" s="25" t="n">
        <f aca="false">IF(T609&gt;0,D609,C609)</f>
        <v>0.139389991760254</v>
      </c>
      <c r="D610" s="41" t="n">
        <f aca="false">(B610+C610)/2</f>
        <v>0.139388561248779</v>
      </c>
      <c r="E610" s="15" t="n">
        <f aca="false">$C$2*(1+IF(E$3&lt;=$O$2,$D610,$D610-($D610-$I$589)*MIN(E$3-$O$2,$Q$2)/$Q$2))</f>
        <v>5583.00395011902</v>
      </c>
      <c r="F610" s="15" t="n">
        <f aca="false">E610*(1+IF(F$3&lt;=$O$2,$D610,$D610-($D610-$I$589)*MIN(F$3-$O$2,$Q$2)/$Q$2))</f>
        <v>6361.21083817236</v>
      </c>
      <c r="G610" s="15" t="n">
        <f aca="false">F610*(1+IF(G$3&lt;=$O$2,$D610,$D610-($D610-$I$589)*MIN(G$3-$O$2,$Q$2)/$Q$2))</f>
        <v>7247.89086470535</v>
      </c>
      <c r="H610" s="15" t="n">
        <f aca="false">G610*(1+IF(H$3&lt;=$O$2,$D610,$D610-($D610-$I$589)*MIN(H$3-$O$2,$Q$2)/$Q$2))</f>
        <v>8258.1639444248</v>
      </c>
      <c r="I610" s="15" t="n">
        <f aca="false">H610*(1+IF(I$3&lt;=$O$2,$D610,$D610-($D610-$I$589)*MIN(I$3-$O$2,$Q$2)/$Q$2))</f>
        <v>9409.25753519471</v>
      </c>
      <c r="J610" s="15" t="n">
        <f aca="false">I610*(1+IF(J$3&lt;=$O$2,$D610,$D610-($D610-$I$589)*MIN(J$3-$O$2,$Q$2)/$Q$2))</f>
        <v>10492.9297139735</v>
      </c>
      <c r="K610" s="15" t="n">
        <f aca="false">J610*(1+IF(K$3&lt;=$O$2,$D610,$D610-($D610-$I$589)*MIN(K$3-$O$2,$Q$2)/$Q$2))</f>
        <v>11447.294585149</v>
      </c>
      <c r="L610" s="15" t="n">
        <f aca="false">K610*(1+IF(L$3&lt;=$O$2,$D610,$D610-($D610-$I$589)*MIN(L$3-$O$2,$Q$2)/$Q$2))</f>
        <v>12211.2346486599</v>
      </c>
      <c r="M610" s="15" t="n">
        <f aca="false">L610*(1+IF(M$3&lt;=$O$2,$D610,$D610-($D610-$I$589)*MIN(M$3-$O$2,$Q$2)/$Q$2))</f>
        <v>12730.4284096659</v>
      </c>
      <c r="N610" s="15" t="n">
        <f aca="false">M610*(1+IF(N$3&lt;=$O$2,$D610,$D610-($D610-$I$589)*MIN(N$3-$O$2,$Q$2)/$Q$2))</f>
        <v>12963.3952495628</v>
      </c>
      <c r="O610" s="15" t="n">
        <f aca="false">SUMPRODUCT(E610:N610,1/(1+$F$589)^$E$3:$N$3)*$E$2</f>
        <v>8645.93212464712</v>
      </c>
      <c r="P610" s="15" t="n">
        <f aca="false">N610*$E$2*(1+$I$589)/($F$589-$I$589)/(1+$F$589)^$N$3</f>
        <v>9004.69345281283</v>
      </c>
      <c r="Q610" s="15" t="n">
        <f aca="false">O610+P610</f>
        <v>17650.6255774599</v>
      </c>
      <c r="R610" s="15" t="n">
        <f aca="false">Q610-$G$2+$I$2</f>
        <v>12830.1255774599</v>
      </c>
      <c r="S610" s="42" t="n">
        <f aca="false">R610/$K$2</f>
        <v>66.9630771266177</v>
      </c>
      <c r="T610" s="43" t="n">
        <f aca="false">S610-$M$2</f>
        <v>0.000655414717869007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0.139387130737305</v>
      </c>
      <c r="C611" s="25" t="n">
        <f aca="false">IF(T610&gt;0,D610,C610)</f>
        <v>0.139388561248779</v>
      </c>
      <c r="D611" s="41" t="n">
        <f aca="false">(B611+C611)/2</f>
        <v>0.139387845993042</v>
      </c>
      <c r="E611" s="15" t="n">
        <f aca="false">$C$2*(1+IF(E$3&lt;=$O$2,$D611,$D611-($D611-$I$589)*MIN(E$3-$O$2,$Q$2)/$Q$2))</f>
        <v>5583.00044536591</v>
      </c>
      <c r="F611" s="15" t="n">
        <f aca="false">E611*(1+IF(F$3&lt;=$O$2,$D611,$D611-($D611-$I$589)*MIN(F$3-$O$2,$Q$2)/$Q$2))</f>
        <v>6361.20285162365</v>
      </c>
      <c r="G611" s="15" t="n">
        <f aca="false">F611*(1+IF(G$3&lt;=$O$2,$D611,$D611-($D611-$I$589)*MIN(G$3-$O$2,$Q$2)/$Q$2))</f>
        <v>7247.87721503627</v>
      </c>
      <c r="H611" s="15" t="n">
        <f aca="false">G611*(1+IF(H$3&lt;=$O$2,$D611,$D611-($D611-$I$589)*MIN(H$3-$O$2,$Q$2)/$Q$2))</f>
        <v>8258.14320806222</v>
      </c>
      <c r="I611" s="15" t="n">
        <f aca="false">H611*(1+IF(I$3&lt;=$O$2,$D611,$D611-($D611-$I$589)*MIN(I$3-$O$2,$Q$2)/$Q$2))</f>
        <v>9409.22800173609</v>
      </c>
      <c r="J611" s="15" t="n">
        <f aca="false">I611*(1+IF(J$3&lt;=$O$2,$D611,$D611-($D611-$I$589)*MIN(J$3-$O$2,$Q$2)/$Q$2))</f>
        <v>10492.891395118</v>
      </c>
      <c r="K611" s="15" t="n">
        <f aca="false">J611*(1+IF(K$3&lt;=$O$2,$D611,$D611-($D611-$I$589)*MIN(K$3-$O$2,$Q$2)/$Q$2))</f>
        <v>11447.2482780129</v>
      </c>
      <c r="L611" s="15" t="n">
        <f aca="false">K611*(1+IF(L$3&lt;=$O$2,$D611,$D611-($D611-$I$589)*MIN(L$3-$O$2,$Q$2)/$Q$2))</f>
        <v>12211.1819761134</v>
      </c>
      <c r="M611" s="15" t="n">
        <f aca="false">L611*(1+IF(M$3&lt;=$O$2,$D611,$D611-($D611-$I$589)*MIN(M$3-$O$2,$Q$2)/$Q$2))</f>
        <v>12730.3717507796</v>
      </c>
      <c r="N611" s="15" t="n">
        <f aca="false">M611*(1+IF(N$3&lt;=$O$2,$D611,$D611-($D611-$I$589)*MIN(N$3-$O$2,$Q$2)/$Q$2))</f>
        <v>12963.3375538188</v>
      </c>
      <c r="O611" s="15" t="n">
        <f aca="false">SUMPRODUCT(E611:N611,1/(1+$F$589)^$E$3:$N$3)*$E$2</f>
        <v>8645.90580668503</v>
      </c>
      <c r="P611" s="15" t="n">
        <f aca="false">N611*$E$2*(1+$I$589)/($F$589-$I$589)/(1+$F$589)^$N$3</f>
        <v>9004.65337592883</v>
      </c>
      <c r="Q611" s="15" t="n">
        <f aca="false">O611+P611</f>
        <v>17650.5591826139</v>
      </c>
      <c r="R611" s="15" t="n">
        <f aca="false">Q611-$G$2+$I$2</f>
        <v>12830.0591826139</v>
      </c>
      <c r="S611" s="42" t="n">
        <f aca="false">R611/$K$2</f>
        <v>66.9627305981934</v>
      </c>
      <c r="T611" s="43" t="n">
        <f aca="false">S611-$M$2</f>
        <v>0.000308886293609589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0.139387130737305</v>
      </c>
      <c r="C612" s="25" t="n">
        <f aca="false">IF(T611&gt;0,D611,C611)</f>
        <v>0.139387845993042</v>
      </c>
      <c r="D612" s="41" t="n">
        <f aca="false">(B612+C612)/2</f>
        <v>0.139387488365173</v>
      </c>
      <c r="E612" s="15" t="n">
        <f aca="false">$C$2*(1+IF(E$3&lt;=$O$2,$D612,$D612-($D612-$I$589)*MIN(E$3-$O$2,$Q$2)/$Q$2))</f>
        <v>5582.99869298935</v>
      </c>
      <c r="F612" s="15" t="n">
        <f aca="false">E612*(1+IF(F$3&lt;=$O$2,$D612,$D612-($D612-$I$589)*MIN(F$3-$O$2,$Q$2)/$Q$2))</f>
        <v>6361.19885835118</v>
      </c>
      <c r="G612" s="15" t="n">
        <f aca="false">F612*(1+IF(G$3&lt;=$O$2,$D612,$D612-($D612-$I$589)*MIN(G$3-$O$2,$Q$2)/$Q$2))</f>
        <v>7247.87039020816</v>
      </c>
      <c r="H612" s="15" t="n">
        <f aca="false">G612*(1+IF(H$3&lt;=$O$2,$D612,$D612-($D612-$I$589)*MIN(H$3-$O$2,$Q$2)/$Q$2))</f>
        <v>8258.13283989558</v>
      </c>
      <c r="I612" s="15" t="n">
        <f aca="false">H612*(1+IF(I$3&lt;=$O$2,$D612,$D612-($D612-$I$589)*MIN(I$3-$O$2,$Q$2)/$Q$2))</f>
        <v>9409.21323503458</v>
      </c>
      <c r="J612" s="15" t="n">
        <f aca="false">I612*(1+IF(J$3&lt;=$O$2,$D612,$D612-($D612-$I$589)*MIN(J$3-$O$2,$Q$2)/$Q$2))</f>
        <v>10492.8722357339</v>
      </c>
      <c r="K612" s="15" t="n">
        <f aca="false">J612*(1+IF(K$3&lt;=$O$2,$D612,$D612-($D612-$I$589)*MIN(K$3-$O$2,$Q$2)/$Q$2))</f>
        <v>11447.2251245048</v>
      </c>
      <c r="L612" s="15" t="n">
        <f aca="false">K612*(1+IF(L$3&lt;=$O$2,$D612,$D612-($D612-$I$589)*MIN(L$3-$O$2,$Q$2)/$Q$2))</f>
        <v>12211.155639914</v>
      </c>
      <c r="M612" s="15" t="n">
        <f aca="false">L612*(1+IF(M$3&lt;=$O$2,$D612,$D612-($D612-$I$589)*MIN(M$3-$O$2,$Q$2)/$Q$2))</f>
        <v>12730.3434214191</v>
      </c>
      <c r="N612" s="15" t="n">
        <f aca="false">M612*(1+IF(N$3&lt;=$O$2,$D612,$D612-($D612-$I$589)*MIN(N$3-$O$2,$Q$2)/$Q$2))</f>
        <v>12963.3087060311</v>
      </c>
      <c r="O612" s="15" t="n">
        <f aca="false">SUMPRODUCT(E612:N612,1/(1+$F$589)^$E$3:$N$3)*$E$2</f>
        <v>8645.89264773369</v>
      </c>
      <c r="P612" s="15" t="n">
        <f aca="false">N612*$E$2*(1+$I$589)/($F$589-$I$589)/(1+$F$589)^$N$3</f>
        <v>9004.63333754534</v>
      </c>
      <c r="Q612" s="15" t="n">
        <f aca="false">O612+P612</f>
        <v>17650.525985279</v>
      </c>
      <c r="R612" s="15" t="n">
        <f aca="false">Q612-$G$2+$I$2</f>
        <v>12830.025985279</v>
      </c>
      <c r="S612" s="42" t="n">
        <f aca="false">R612/$K$2</f>
        <v>66.9625573344417</v>
      </c>
      <c r="T612" s="43" t="n">
        <f aca="false">S612-$M$2</f>
        <v>0.000135622541904468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0.139387130737305</v>
      </c>
      <c r="C613" s="25" t="n">
        <f aca="false">IF(T612&gt;0,D612,C612)</f>
        <v>0.139387488365173</v>
      </c>
      <c r="D613" s="41" t="n">
        <f aca="false">(B613+C613)/2</f>
        <v>0.139387309551239</v>
      </c>
      <c r="E613" s="15" t="n">
        <f aca="false">$C$2*(1+IF(E$3&lt;=$O$2,$D613,$D613-($D613-$I$589)*MIN(E$3-$O$2,$Q$2)/$Q$2))</f>
        <v>5582.99781680107</v>
      </c>
      <c r="F613" s="15" t="n">
        <f aca="false">E613*(1+IF(F$3&lt;=$O$2,$D613,$D613-($D613-$I$589)*MIN(F$3-$O$2,$Q$2)/$Q$2))</f>
        <v>6361.19686171541</v>
      </c>
      <c r="G613" s="15" t="n">
        <f aca="false">F613*(1+IF(G$3&lt;=$O$2,$D613,$D613-($D613-$I$589)*MIN(G$3-$O$2,$Q$2)/$Q$2))</f>
        <v>7247.86697779571</v>
      </c>
      <c r="H613" s="15" t="n">
        <f aca="false">G613*(1+IF(H$3&lt;=$O$2,$D613,$D613-($D613-$I$589)*MIN(H$3-$O$2,$Q$2)/$Q$2))</f>
        <v>8258.12765581592</v>
      </c>
      <c r="I613" s="15" t="n">
        <f aca="false">H613*(1+IF(I$3&lt;=$O$2,$D613,$D613-($D613-$I$589)*MIN(I$3-$O$2,$Q$2)/$Q$2))</f>
        <v>9409.20585169079</v>
      </c>
      <c r="J613" s="15" t="n">
        <f aca="false">I613*(1+IF(J$3&lt;=$O$2,$D613,$D613-($D613-$I$589)*MIN(J$3-$O$2,$Q$2)/$Q$2))</f>
        <v>10492.8626560527</v>
      </c>
      <c r="K613" s="15" t="n">
        <f aca="false">J613*(1+IF(K$3&lt;=$O$2,$D613,$D613-($D613-$I$589)*MIN(K$3-$O$2,$Q$2)/$Q$2))</f>
        <v>11447.2135477658</v>
      </c>
      <c r="L613" s="15" t="n">
        <f aca="false">K613*(1+IF(L$3&lt;=$O$2,$D613,$D613-($D613-$I$589)*MIN(L$3-$O$2,$Q$2)/$Q$2))</f>
        <v>12211.1424718329</v>
      </c>
      <c r="M613" s="15" t="n">
        <f aca="false">L613*(1+IF(M$3&lt;=$O$2,$D613,$D613-($D613-$I$589)*MIN(M$3-$O$2,$Q$2)/$Q$2))</f>
        <v>12730.3292567596</v>
      </c>
      <c r="N613" s="15" t="n">
        <f aca="false">M613*(1+IF(N$3&lt;=$O$2,$D613,$D613-($D613-$I$589)*MIN(N$3-$O$2,$Q$2)/$Q$2))</f>
        <v>12963.2942821583</v>
      </c>
      <c r="O613" s="15" t="n">
        <f aca="false">SUMPRODUCT(E613:N613,1/(1+$F$589)^$E$3:$N$3)*$E$2</f>
        <v>8645.88606826544</v>
      </c>
      <c r="P613" s="15" t="n">
        <f aca="false">N613*$E$2*(1+$I$589)/($F$589-$I$589)/(1+$F$589)^$N$3</f>
        <v>9004.62331836823</v>
      </c>
      <c r="Q613" s="15" t="n">
        <f aca="false">O613+P613</f>
        <v>17650.5093866337</v>
      </c>
      <c r="R613" s="15" t="n">
        <f aca="false">Q613-$G$2+$I$2</f>
        <v>12830.0093866337</v>
      </c>
      <c r="S613" s="42" t="n">
        <f aca="false">R613/$K$2</f>
        <v>66.962470702681</v>
      </c>
      <c r="T613" s="43" t="n">
        <f aca="false">S613-$M$2</f>
        <v>4.89907811669355E-005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0.139387130737305</v>
      </c>
      <c r="C614" s="25" t="n">
        <f aca="false">IF(T613&gt;0,D613,C613)</f>
        <v>0.139387309551239</v>
      </c>
      <c r="D614" s="41" t="n">
        <f aca="false">(B614+C614)/2</f>
        <v>0.139387220144272</v>
      </c>
      <c r="E614" s="15" t="n">
        <f aca="false">$C$2*(1+IF(E$3&lt;=$O$2,$D614,$D614-($D614-$I$589)*MIN(E$3-$O$2,$Q$2)/$Q$2))</f>
        <v>5582.99737870693</v>
      </c>
      <c r="F614" s="15" t="n">
        <f aca="false">E614*(1+IF(F$3&lt;=$O$2,$D614,$D614-($D614-$I$589)*MIN(F$3-$O$2,$Q$2)/$Q$2))</f>
        <v>6361.19586339765</v>
      </c>
      <c r="G614" s="15" t="n">
        <f aca="false">F614*(1+IF(G$3&lt;=$O$2,$D614,$D614-($D614-$I$589)*MIN(G$3-$O$2,$Q$2)/$Q$2))</f>
        <v>7247.86527158989</v>
      </c>
      <c r="H614" s="15" t="n">
        <f aca="false">G614*(1+IF(H$3&lt;=$O$2,$D614,$D614-($D614-$I$589)*MIN(H$3-$O$2,$Q$2)/$Q$2))</f>
        <v>8258.12506377701</v>
      </c>
      <c r="I614" s="15" t="n">
        <f aca="false">H614*(1+IF(I$3&lt;=$O$2,$D614,$D614-($D614-$I$589)*MIN(I$3-$O$2,$Q$2)/$Q$2))</f>
        <v>9409.20216002062</v>
      </c>
      <c r="J614" s="15" t="n">
        <f aca="false">I614*(1+IF(J$3&lt;=$O$2,$D614,$D614-($D614-$I$589)*MIN(J$3-$O$2,$Q$2)/$Q$2))</f>
        <v>10492.8578662149</v>
      </c>
      <c r="K614" s="15" t="n">
        <f aca="false">J614*(1+IF(K$3&lt;=$O$2,$D614,$D614-($D614-$I$589)*MIN(K$3-$O$2,$Q$2)/$Q$2))</f>
        <v>11447.2077594</v>
      </c>
      <c r="L614" s="15" t="n">
        <f aca="false">K614*(1+IF(L$3&lt;=$O$2,$D614,$D614-($D614-$I$589)*MIN(L$3-$O$2,$Q$2)/$Q$2))</f>
        <v>12211.1358877969</v>
      </c>
      <c r="M614" s="15" t="n">
        <f aca="false">L614*(1+IF(M$3&lt;=$O$2,$D614,$D614-($D614-$I$589)*MIN(M$3-$O$2,$Q$2)/$Q$2))</f>
        <v>12730.322174435</v>
      </c>
      <c r="N614" s="15" t="n">
        <f aca="false">M614*(1+IF(N$3&lt;=$O$2,$D614,$D614-($D614-$I$589)*MIN(N$3-$O$2,$Q$2)/$Q$2))</f>
        <v>12963.2870702272</v>
      </c>
      <c r="O614" s="15" t="n">
        <f aca="false">SUMPRODUCT(E614:N614,1/(1+$F$589)^$E$3:$N$3)*$E$2</f>
        <v>8645.88277853317</v>
      </c>
      <c r="P614" s="15" t="n">
        <f aca="false">N614*$E$2*(1+$I$589)/($F$589-$I$589)/(1+$F$589)^$N$3</f>
        <v>9004.61830878333</v>
      </c>
      <c r="Q614" s="15" t="n">
        <f aca="false">O614+P614</f>
        <v>17650.5010873165</v>
      </c>
      <c r="R614" s="15" t="n">
        <f aca="false">Q614-$G$2+$I$2</f>
        <v>12830.0010873165</v>
      </c>
      <c r="S614" s="42" t="n">
        <f aca="false">R614/$K$2</f>
        <v>66.9624273868294</v>
      </c>
      <c r="T614" s="43" t="n">
        <f aca="false">S614-$M$2</f>
        <v>5.67492958225557E-006</v>
      </c>
    </row>
    <row r="616" customFormat="false" ht="15" hidden="false" customHeight="false" outlineLevel="0" collapsed="false">
      <c r="A616" s="38" t="s">
        <v>194</v>
      </c>
      <c r="E616" s="5" t="s">
        <v>11</v>
      </c>
      <c r="F616" s="12" t="n">
        <f aca="false">Sensitivity!$B$14</f>
        <v>0.105084897741638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153</v>
      </c>
      <c r="B617" s="28" t="s">
        <v>154</v>
      </c>
      <c r="C617" s="28" t="s">
        <v>155</v>
      </c>
      <c r="D617" s="28" t="s">
        <v>156</v>
      </c>
      <c r="E617" s="28" t="s">
        <v>157</v>
      </c>
      <c r="F617" s="28" t="s">
        <v>158</v>
      </c>
      <c r="G617" s="28" t="s">
        <v>159</v>
      </c>
      <c r="H617" s="28" t="s">
        <v>160</v>
      </c>
      <c r="I617" s="28" t="s">
        <v>161</v>
      </c>
      <c r="J617" s="28" t="s">
        <v>162</v>
      </c>
      <c r="K617" s="28" t="s">
        <v>163</v>
      </c>
      <c r="L617" s="28" t="s">
        <v>164</v>
      </c>
      <c r="M617" s="28" t="s">
        <v>165</v>
      </c>
      <c r="N617" s="28" t="s">
        <v>166</v>
      </c>
      <c r="O617" s="28" t="s">
        <v>167</v>
      </c>
      <c r="P617" s="28" t="s">
        <v>168</v>
      </c>
      <c r="Q617" s="28" t="s">
        <v>169</v>
      </c>
      <c r="R617" s="28" t="s">
        <v>170</v>
      </c>
      <c r="S617" s="28" t="s">
        <v>171</v>
      </c>
      <c r="T617" s="28" t="s">
        <v>172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6125</v>
      </c>
      <c r="F618" s="15" t="n">
        <f aca="false">E618*(1+IF(F$3&lt;=$O$2,$D618,$D618-($D618-$I$616)*MIN(F$3-$O$2,$Q$2)/$Q$2))</f>
        <v>7656.25</v>
      </c>
      <c r="G618" s="15" t="n">
        <f aca="false">F618*(1+IF(G$3&lt;=$O$2,$D618,$D618-($D618-$I$616)*MIN(G$3-$O$2,$Q$2)/$Q$2))</f>
        <v>9570.3125</v>
      </c>
      <c r="H618" s="15" t="n">
        <f aca="false">G618*(1+IF(H$3&lt;=$O$2,$D618,$D618-($D618-$I$616)*MIN(H$3-$O$2,$Q$2)/$Q$2))</f>
        <v>11962.890625</v>
      </c>
      <c r="I618" s="15" t="n">
        <f aca="false">H618*(1+IF(I$3&lt;=$O$2,$D618,$D618-($D618-$I$616)*MIN(I$3-$O$2,$Q$2)/$Q$2))</f>
        <v>14953.61328125</v>
      </c>
      <c r="J618" s="15" t="n">
        <f aca="false">I618*(1+IF(J$3&lt;=$O$2,$D618,$D618-($D618-$I$616)*MIN(J$3-$O$2,$Q$2)/$Q$2))</f>
        <v>18014.0197753906</v>
      </c>
      <c r="K618" s="15" t="n">
        <f aca="false">J618*(1+IF(K$3&lt;=$O$2,$D618,$D618-($D618-$I$616)*MIN(K$3-$O$2,$Q$2)/$Q$2))</f>
        <v>20884.0134060059</v>
      </c>
      <c r="L618" s="15" t="n">
        <f aca="false">K618*(1+IF(L$3&lt;=$O$2,$D618,$D618-($D618-$I$616)*MIN(L$3-$O$2,$Q$2)/$Q$2))</f>
        <v>23264.3732540224</v>
      </c>
      <c r="M618" s="15" t="n">
        <f aca="false">L618*(1+IF(M$3&lt;=$O$2,$D618,$D618-($D618-$I$616)*MIN(M$3-$O$2,$Q$2)/$Q$2))</f>
        <v>24861.2398341785</v>
      </c>
      <c r="N618" s="15" t="n">
        <f aca="false">M618*(1+IF(N$3&lt;=$O$2,$D618,$D618-($D618-$I$616)*MIN(N$3-$O$2,$Q$2)/$Q$2))</f>
        <v>25440.5067223149</v>
      </c>
      <c r="O618" s="15" t="n">
        <f aca="false">SUMPRODUCT(E618:N618,1/(1+$F$616)^$E$3:$N$3)*$E$2</f>
        <v>13861.6777679009</v>
      </c>
      <c r="P618" s="15" t="n">
        <f aca="false">N618*$E$2*(1+$I$616)/($F$616-$I$616)/(1+$F$616)^$N$3</f>
        <v>18844.0478656106</v>
      </c>
      <c r="Q618" s="15" t="n">
        <f aca="false">O618+P618</f>
        <v>32705.7256335115</v>
      </c>
      <c r="R618" s="15" t="n">
        <f aca="false">Q618-$G$2+$I$2</f>
        <v>27885.2256335115</v>
      </c>
      <c r="S618" s="42" t="n">
        <f aca="false">R618/$K$2</f>
        <v>145.538755916031</v>
      </c>
      <c r="T618" s="43" t="n">
        <f aca="false">S618-$M$2</f>
        <v>78.5763342041308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4287.5</v>
      </c>
      <c r="F619" s="15" t="n">
        <f aca="false">E619*(1+IF(F$3&lt;=$O$2,$D619,$D619-($D619-$I$616)*MIN(F$3-$O$2,$Q$2)/$Q$2))</f>
        <v>3751.5625</v>
      </c>
      <c r="G619" s="15" t="n">
        <f aca="false">F619*(1+IF(G$3&lt;=$O$2,$D619,$D619-($D619-$I$616)*MIN(G$3-$O$2,$Q$2)/$Q$2))</f>
        <v>3282.6171875</v>
      </c>
      <c r="H619" s="15" t="n">
        <f aca="false">G619*(1+IF(H$3&lt;=$O$2,$D619,$D619-($D619-$I$616)*MIN(H$3-$O$2,$Q$2)/$Q$2))</f>
        <v>2872.2900390625</v>
      </c>
      <c r="I619" s="15" t="n">
        <f aca="false">H619*(1+IF(I$3&lt;=$O$2,$D619,$D619-($D619-$I$616)*MIN(I$3-$O$2,$Q$2)/$Q$2))</f>
        <v>2513.25378417969</v>
      </c>
      <c r="J619" s="15" t="n">
        <f aca="false">I619*(1+IF(J$3&lt;=$O$2,$D619,$D619-($D619-$I$616)*MIN(J$3-$O$2,$Q$2)/$Q$2))</f>
        <v>2273.640168396</v>
      </c>
      <c r="K619" s="15" t="n">
        <f aca="false">J619*(1+IF(K$3&lt;=$O$2,$D619,$D619-($D619-$I$616)*MIN(K$3-$O$2,$Q$2)/$Q$2))</f>
        <v>2124.30748213575</v>
      </c>
      <c r="L619" s="15" t="n">
        <f aca="false">K619*(1+IF(L$3&lt;=$O$2,$D619,$D619-($D619-$I$616)*MIN(L$3-$O$2,$Q$2)/$Q$2))</f>
        <v>2047.78992662922</v>
      </c>
      <c r="M619" s="15" t="n">
        <f aca="false">L619*(1+IF(M$3&lt;=$O$2,$D619,$D619-($D619-$I$616)*MIN(M$3-$O$2,$Q$2)/$Q$2))</f>
        <v>2034.76598269586</v>
      </c>
      <c r="N619" s="15" t="n">
        <f aca="false">M619*(1+IF(N$3&lt;=$O$2,$D619,$D619-($D619-$I$616)*MIN(N$3-$O$2,$Q$2)/$Q$2))</f>
        <v>2082.17603009267</v>
      </c>
      <c r="O619" s="15" t="n">
        <f aca="false">SUMPRODUCT(E619:N619,1/(1+$F$616)^$E$3:$N$3)*$E$2</f>
        <v>2838.70644430901</v>
      </c>
      <c r="P619" s="15" t="n">
        <f aca="false">N619*$E$2*(1+$I$616)/($F$616-$I$616)/(1+$F$616)^$N$3</f>
        <v>1542.28943644732</v>
      </c>
      <c r="Q619" s="15" t="n">
        <f aca="false">O619+P619</f>
        <v>4380.99588075633</v>
      </c>
      <c r="R619" s="15" t="n">
        <f aca="false">Q619-$G$2+$I$2</f>
        <v>-439.504119243671</v>
      </c>
      <c r="S619" s="42" t="n">
        <f aca="false">R619/$K$2</f>
        <v>-2.293862835301</v>
      </c>
      <c r="T619" s="43" t="n">
        <f aca="false">S619-$M$2</f>
        <v>-69.2562845472008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5206.25</v>
      </c>
      <c r="F620" s="15" t="n">
        <f aca="false">E620*(1+IF(F$3&lt;=$O$2,$D620,$D620-($D620-$I$616)*MIN(F$3-$O$2,$Q$2)/$Q$2))</f>
        <v>5531.640625</v>
      </c>
      <c r="G620" s="15" t="n">
        <f aca="false">F620*(1+IF(G$3&lt;=$O$2,$D620,$D620-($D620-$I$616)*MIN(G$3-$O$2,$Q$2)/$Q$2))</f>
        <v>5877.3681640625</v>
      </c>
      <c r="H620" s="15" t="n">
        <f aca="false">G620*(1+IF(H$3&lt;=$O$2,$D620,$D620-($D620-$I$616)*MIN(H$3-$O$2,$Q$2)/$Q$2))</f>
        <v>6244.70367431641</v>
      </c>
      <c r="I620" s="15" t="n">
        <f aca="false">H620*(1+IF(I$3&lt;=$O$2,$D620,$D620-($D620-$I$616)*MIN(I$3-$O$2,$Q$2)/$Q$2))</f>
        <v>6634.99765396118</v>
      </c>
      <c r="J620" s="15" t="n">
        <f aca="false">I620*(1+IF(J$3&lt;=$O$2,$D620,$D620-($D620-$I$616)*MIN(J$3-$O$2,$Q$2)/$Q$2))</f>
        <v>6997.6666257267</v>
      </c>
      <c r="K620" s="15" t="n">
        <f aca="false">J620*(1+IF(K$3&lt;=$O$2,$D620,$D620-($D620-$I$616)*MIN(K$3-$O$2,$Q$2)/$Q$2))</f>
        <v>7325.29737714322</v>
      </c>
      <c r="L620" s="15" t="n">
        <f aca="false">K620*(1+IF(L$3&lt;=$O$2,$D620,$D620-($D620-$I$616)*MIN(L$3-$O$2,$Q$2)/$Q$2))</f>
        <v>7610.83746890427</v>
      </c>
      <c r="M620" s="15" t="n">
        <f aca="false">L620*(1+IF(M$3&lt;=$O$2,$D620,$D620-($D620-$I$616)*MIN(M$3-$O$2,$Q$2)/$Q$2))</f>
        <v>7847.83894768595</v>
      </c>
      <c r="N620" s="15" t="n">
        <f aca="false">M620*(1+IF(N$3&lt;=$O$2,$D620,$D620-($D620-$I$616)*MIN(N$3-$O$2,$Q$2)/$Q$2))</f>
        <v>8030.69359516703</v>
      </c>
      <c r="O620" s="15" t="n">
        <f aca="false">SUMPRODUCT(E620:N620,1/(1+$F$616)^$E$3:$N$3)*$E$2</f>
        <v>6248.89966264582</v>
      </c>
      <c r="P620" s="15" t="n">
        <f aca="false">N620*$E$2*(1+$I$616)/($F$616-$I$616)/(1+$F$616)^$N$3</f>
        <v>5948.41825098719</v>
      </c>
      <c r="Q620" s="15" t="n">
        <f aca="false">O620+P620</f>
        <v>12197.317913633</v>
      </c>
      <c r="R620" s="15" t="n">
        <f aca="false">Q620-$G$2+$I$2</f>
        <v>7376.81791363301</v>
      </c>
      <c r="S620" s="42" t="n">
        <f aca="false">R620/$K$2</f>
        <v>38.5011373362892</v>
      </c>
      <c r="T620" s="43" t="n">
        <f aca="false">S620-$M$2</f>
        <v>-28.4612843756106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5665.625</v>
      </c>
      <c r="F621" s="15" t="n">
        <f aca="false">E621*(1+IF(F$3&lt;=$O$2,$D621,$D621-($D621-$I$616)*MIN(F$3-$O$2,$Q$2)/$Q$2))</f>
        <v>6550.87890625</v>
      </c>
      <c r="G621" s="15" t="n">
        <f aca="false">F621*(1+IF(G$3&lt;=$O$2,$D621,$D621-($D621-$I$616)*MIN(G$3-$O$2,$Q$2)/$Q$2))</f>
        <v>7574.45373535156</v>
      </c>
      <c r="H621" s="15" t="n">
        <f aca="false">G621*(1+IF(H$3&lt;=$O$2,$D621,$D621-($D621-$I$616)*MIN(H$3-$O$2,$Q$2)/$Q$2))</f>
        <v>8757.96213150024</v>
      </c>
      <c r="I621" s="15" t="n">
        <f aca="false">H621*(1+IF(I$3&lt;=$O$2,$D621,$D621-($D621-$I$616)*MIN(I$3-$O$2,$Q$2)/$Q$2))</f>
        <v>10126.3937145472</v>
      </c>
      <c r="J621" s="15" t="n">
        <f aca="false">I621*(1+IF(J$3&lt;=$O$2,$D621,$D621-($D621-$I$616)*MIN(J$3-$O$2,$Q$2)/$Q$2))</f>
        <v>11439.3819235753</v>
      </c>
      <c r="K621" s="15" t="n">
        <f aca="false">J621*(1+IF(K$3&lt;=$O$2,$D621,$D621-($D621-$I$616)*MIN(K$3-$O$2,$Q$2)/$Q$2))</f>
        <v>12618.4390184383</v>
      </c>
      <c r="L621" s="15" t="n">
        <f aca="false">K621*(1+IF(L$3&lt;=$O$2,$D621,$D621-($D621-$I$616)*MIN(L$3-$O$2,$Q$2)/$Q$2))</f>
        <v>13583.4972345684</v>
      </c>
      <c r="M621" s="15" t="n">
        <f aca="false">L621*(1+IF(M$3&lt;=$O$2,$D621,$D621-($D621-$I$616)*MIN(M$3-$O$2,$Q$2)/$Q$2))</f>
        <v>14261.177911601</v>
      </c>
      <c r="N621" s="15" t="n">
        <f aca="false">M621*(1+IF(N$3&lt;=$O$2,$D621,$D621-($D621-$I$616)*MIN(N$3-$O$2,$Q$2)/$Q$2))</f>
        <v>14593.4633569413</v>
      </c>
      <c r="O621" s="15" t="n">
        <f aca="false">SUMPRODUCT(E621:N621,1/(1+$F$616)^$E$3:$N$3)*$E$2</f>
        <v>9318.66774352446</v>
      </c>
      <c r="P621" s="15" t="n">
        <f aca="false">N621*$E$2*(1+$I$616)/($F$616-$I$616)/(1+$F$616)^$N$3</f>
        <v>10809.530054762</v>
      </c>
      <c r="Q621" s="15" t="n">
        <f aca="false">O621+P621</f>
        <v>20128.1977982864</v>
      </c>
      <c r="R621" s="15" t="n">
        <f aca="false">Q621-$G$2+$I$2</f>
        <v>15307.6977982864</v>
      </c>
      <c r="S621" s="42" t="n">
        <f aca="false">R621/$K$2</f>
        <v>79.894038613186</v>
      </c>
      <c r="T621" s="43" t="n">
        <f aca="false">S621-$M$2</f>
        <v>12.9316169012862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5435.9375</v>
      </c>
      <c r="F622" s="15" t="n">
        <f aca="false">E622*(1+IF(F$3&lt;=$O$2,$D622,$D622-($D622-$I$616)*MIN(F$3-$O$2,$Q$2)/$Q$2))</f>
        <v>6030.4931640625</v>
      </c>
      <c r="G622" s="15" t="n">
        <f aca="false">F622*(1+IF(G$3&lt;=$O$2,$D622,$D622-($D622-$I$616)*MIN(G$3-$O$2,$Q$2)/$Q$2))</f>
        <v>6690.07835388184</v>
      </c>
      <c r="H622" s="15" t="n">
        <f aca="false">G622*(1+IF(H$3&lt;=$O$2,$D622,$D622-($D622-$I$616)*MIN(H$3-$O$2,$Q$2)/$Q$2))</f>
        <v>7421.80567383766</v>
      </c>
      <c r="I622" s="15" t="n">
        <f aca="false">H622*(1+IF(I$3&lt;=$O$2,$D622,$D622-($D622-$I$616)*MIN(I$3-$O$2,$Q$2)/$Q$2))</f>
        <v>8233.56566941366</v>
      </c>
      <c r="J622" s="15" t="n">
        <f aca="false">I622*(1+IF(J$3&lt;=$O$2,$D622,$D622-($D622-$I$616)*MIN(J$3-$O$2,$Q$2)/$Q$2))</f>
        <v>8992.37108150682</v>
      </c>
      <c r="K622" s="15" t="n">
        <f aca="false">J622*(1+IF(K$3&lt;=$O$2,$D622,$D622-($D622-$I$616)*MIN(K$3-$O$2,$Q$2)/$Q$2))</f>
        <v>9666.30433221035</v>
      </c>
      <c r="L622" s="15" t="n">
        <f aca="false">K622*(1+IF(L$3&lt;=$O$2,$D622,$D622-($D622-$I$616)*MIN(L$3-$O$2,$Q$2)/$Q$2))</f>
        <v>10224.3400813089</v>
      </c>
      <c r="M622" s="15" t="n">
        <f aca="false">L622*(1+IF(M$3&lt;=$O$2,$D622,$D622-($D622-$I$616)*MIN(M$3-$O$2,$Q$2)/$Q$2))</f>
        <v>10638.5792197031</v>
      </c>
      <c r="N622" s="15" t="n">
        <f aca="false">M622*(1+IF(N$3&lt;=$O$2,$D622,$D622-($D622-$I$616)*MIN(N$3-$O$2,$Q$2)/$Q$2))</f>
        <v>10886.4581155222</v>
      </c>
      <c r="O622" s="15" t="n">
        <f aca="false">SUMPRODUCT(E622:N622,1/(1+$F$616)^$E$3:$N$3)*$E$2</f>
        <v>7631.42802516586</v>
      </c>
      <c r="P622" s="15" t="n">
        <f aca="false">N622*$E$2*(1+$I$616)/($F$616-$I$616)/(1+$F$616)^$N$3</f>
        <v>8063.71272612758</v>
      </c>
      <c r="Q622" s="15" t="n">
        <f aca="false">O622+P622</f>
        <v>15695.1407512934</v>
      </c>
      <c r="R622" s="15" t="n">
        <f aca="false">Q622-$G$2+$I$2</f>
        <v>10874.6407512934</v>
      </c>
      <c r="S622" s="42" t="n">
        <f aca="false">R622/$K$2</f>
        <v>56.7569976581077</v>
      </c>
      <c r="T622" s="43" t="n">
        <f aca="false">S622-$M$2</f>
        <v>-10.2054240537921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0.109375</v>
      </c>
      <c r="C623" s="25" t="n">
        <f aca="false">IF(T622&gt;0,D622,C622)</f>
        <v>0.15625</v>
      </c>
      <c r="D623" s="41" t="n">
        <f aca="false">(B623+C623)/2</f>
        <v>0.1328125</v>
      </c>
      <c r="E623" s="15" t="n">
        <f aca="false">$C$2*(1+IF(E$3&lt;=$O$2,$D623,$D623-($D623-$I$616)*MIN(E$3-$O$2,$Q$2)/$Q$2))</f>
        <v>5550.78125</v>
      </c>
      <c r="F623" s="15" t="n">
        <f aca="false">E623*(1+IF(F$3&lt;=$O$2,$D623,$D623-($D623-$I$616)*MIN(F$3-$O$2,$Q$2)/$Q$2))</f>
        <v>6287.99438476563</v>
      </c>
      <c r="G623" s="15" t="n">
        <f aca="false">F623*(1+IF(G$3&lt;=$O$2,$D623,$D623-($D623-$I$616)*MIN(G$3-$O$2,$Q$2)/$Q$2))</f>
        <v>7123.11863899231</v>
      </c>
      <c r="H623" s="15" t="n">
        <f aca="false">G623*(1+IF(H$3&lt;=$O$2,$D623,$D623-($D623-$I$616)*MIN(H$3-$O$2,$Q$2)/$Q$2))</f>
        <v>8069.15783323348</v>
      </c>
      <c r="I623" s="15" t="n">
        <f aca="false">H623*(1+IF(I$3&lt;=$O$2,$D623,$D623-($D623-$I$616)*MIN(I$3-$O$2,$Q$2)/$Q$2))</f>
        <v>9140.8428579598</v>
      </c>
      <c r="J623" s="15" t="n">
        <f aca="false">I623*(1+IF(J$3&lt;=$O$2,$D623,$D623-($D623-$I$616)*MIN(J$3-$O$2,$Q$2)/$Q$2))</f>
        <v>10154.6537393361</v>
      </c>
      <c r="K623" s="15" t="n">
        <f aca="false">J623*(1+IF(K$3&lt;=$O$2,$D623,$D623-($D623-$I$616)*MIN(K$3-$O$2,$Q$2)/$Q$2))</f>
        <v>11058.4940820401</v>
      </c>
      <c r="L623" s="15" t="n">
        <f aca="false">K623*(1+IF(L$3&lt;=$O$2,$D623,$D623-($D623-$I$616)*MIN(L$3-$O$2,$Q$2)/$Q$2))</f>
        <v>11800.5743274154</v>
      </c>
      <c r="M623" s="15" t="n">
        <f aca="false">L623*(1+IF(M$3&lt;=$O$2,$D623,$D623-($D623-$I$616)*MIN(M$3-$O$2,$Q$2)/$Q$2))</f>
        <v>12333.9897884504</v>
      </c>
      <c r="N623" s="15" t="n">
        <f aca="false">M623*(1+IF(N$3&lt;=$O$2,$D623,$D623-($D623-$I$616)*MIN(N$3-$O$2,$Q$2)/$Q$2))</f>
        <v>12621.3717505213</v>
      </c>
      <c r="O623" s="15" t="n">
        <f aca="false">SUMPRODUCT(E623:N623,1/(1+$F$616)^$E$3:$N$3)*$E$2</f>
        <v>8433.37087662374</v>
      </c>
      <c r="P623" s="15" t="n">
        <f aca="false">N623*$E$2*(1+$I$616)/($F$616-$I$616)/(1+$F$616)^$N$3</f>
        <v>9348.78129561277</v>
      </c>
      <c r="Q623" s="15" t="n">
        <f aca="false">O623+P623</f>
        <v>17782.1521722365</v>
      </c>
      <c r="R623" s="15" t="n">
        <f aca="false">Q623-$G$2+$I$2</f>
        <v>12961.6521722365</v>
      </c>
      <c r="S623" s="42" t="n">
        <f aca="false">R623/$K$2</f>
        <v>67.6495416087501</v>
      </c>
      <c r="T623" s="43" t="n">
        <f aca="false">S623-$M$2</f>
        <v>0.687119896850263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0.109375</v>
      </c>
      <c r="C624" s="25" t="n">
        <f aca="false">IF(T623&gt;0,D623,C623)</f>
        <v>0.1328125</v>
      </c>
      <c r="D624" s="41" t="n">
        <f aca="false">(B624+C624)/2</f>
        <v>0.12109375</v>
      </c>
      <c r="E624" s="15" t="n">
        <f aca="false">$C$2*(1+IF(E$3&lt;=$O$2,$D624,$D624-($D624-$I$616)*MIN(E$3-$O$2,$Q$2)/$Q$2))</f>
        <v>5493.359375</v>
      </c>
      <c r="F624" s="15" t="n">
        <f aca="false">E624*(1+IF(F$3&lt;=$O$2,$D624,$D624-($D624-$I$616)*MIN(F$3-$O$2,$Q$2)/$Q$2))</f>
        <v>6158.57086181641</v>
      </c>
      <c r="G624" s="15" t="n">
        <f aca="false">F624*(1+IF(G$3&lt;=$O$2,$D624,$D624-($D624-$I$616)*MIN(G$3-$O$2,$Q$2)/$Q$2))</f>
        <v>6904.33530211449</v>
      </c>
      <c r="H624" s="15" t="n">
        <f aca="false">G624*(1+IF(H$3&lt;=$O$2,$D624,$D624-($D624-$I$616)*MIN(H$3-$O$2,$Q$2)/$Q$2))</f>
        <v>7740.40715510491</v>
      </c>
      <c r="I624" s="15" t="n">
        <f aca="false">H624*(1+IF(I$3&lt;=$O$2,$D624,$D624-($D624-$I$616)*MIN(I$3-$O$2,$Q$2)/$Q$2))</f>
        <v>8677.7220840434</v>
      </c>
      <c r="J624" s="15" t="n">
        <f aca="false">I624*(1+IF(J$3&lt;=$O$2,$D624,$D624-($D624-$I$616)*MIN(J$3-$O$2,$Q$2)/$Q$2))</f>
        <v>9558.81459584675</v>
      </c>
      <c r="K624" s="15" t="n">
        <f aca="false">J624*(1+IF(K$3&lt;=$O$2,$D624,$D624-($D624-$I$616)*MIN(K$3-$O$2,$Q$2)/$Q$2))</f>
        <v>10342.4103708595</v>
      </c>
      <c r="L624" s="15" t="n">
        <f aca="false">K624*(1+IF(L$3&lt;=$O$2,$D624,$D624-($D624-$I$616)*MIN(L$3-$O$2,$Q$2)/$Q$2))</f>
        <v>10987.9577701827</v>
      </c>
      <c r="M624" s="15" t="n">
        <f aca="false">L624*(1+IF(M$3&lt;=$O$2,$D624,$D624-($D624-$I$616)*MIN(M$3-$O$2,$Q$2)/$Q$2))</f>
        <v>11458.8879052655</v>
      </c>
      <c r="N624" s="15" t="n">
        <f aca="false">M624*(1+IF(N$3&lt;=$O$2,$D624,$D624-($D624-$I$616)*MIN(N$3-$O$2,$Q$2)/$Q$2))</f>
        <v>11725.8799934582</v>
      </c>
      <c r="O624" s="15" t="n">
        <f aca="false">SUMPRODUCT(E624:N624,1/(1+$F$616)^$E$3:$N$3)*$E$2</f>
        <v>8022.45117826125</v>
      </c>
      <c r="P624" s="15" t="n">
        <f aca="false">N624*$E$2*(1+$I$616)/($F$616-$I$616)/(1+$F$616)^$N$3</f>
        <v>8685.48123962153</v>
      </c>
      <c r="Q624" s="15" t="n">
        <f aca="false">O624+P624</f>
        <v>16707.9324178828</v>
      </c>
      <c r="R624" s="15" t="n">
        <f aca="false">Q624-$G$2+$I$2</f>
        <v>11887.4324178828</v>
      </c>
      <c r="S624" s="42" t="n">
        <f aca="false">R624/$K$2</f>
        <v>62.0429666904112</v>
      </c>
      <c r="T624" s="43" t="n">
        <f aca="false">S624-$M$2</f>
        <v>-4.91945502148864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0.12109375</v>
      </c>
      <c r="C625" s="25" t="n">
        <f aca="false">IF(T624&gt;0,D624,C624)</f>
        <v>0.1328125</v>
      </c>
      <c r="D625" s="41" t="n">
        <f aca="false">(B625+C625)/2</f>
        <v>0.126953125</v>
      </c>
      <c r="E625" s="15" t="n">
        <f aca="false">$C$2*(1+IF(E$3&lt;=$O$2,$D625,$D625-($D625-$I$616)*MIN(E$3-$O$2,$Q$2)/$Q$2))</f>
        <v>5522.0703125</v>
      </c>
      <c r="F625" s="15" t="n">
        <f aca="false">E625*(1+IF(F$3&lt;=$O$2,$D625,$D625-($D625-$I$616)*MIN(F$3-$O$2,$Q$2)/$Q$2))</f>
        <v>6223.1143951416</v>
      </c>
      <c r="G625" s="15" t="n">
        <f aca="false">F625*(1+IF(G$3&lt;=$O$2,$D625,$D625-($D625-$I$616)*MIN(G$3-$O$2,$Q$2)/$Q$2))</f>
        <v>7013.15821483731</v>
      </c>
      <c r="H625" s="15" t="n">
        <f aca="false">G625*(1+IF(H$3&lt;=$O$2,$D625,$D625-($D625-$I$616)*MIN(H$3-$O$2,$Q$2)/$Q$2))</f>
        <v>7903.50056633033</v>
      </c>
      <c r="I625" s="15" t="n">
        <f aca="false">H625*(1+IF(I$3&lt;=$O$2,$D625,$D625-($D625-$I$616)*MIN(I$3-$O$2,$Q$2)/$Q$2))</f>
        <v>8906.87466166524</v>
      </c>
      <c r="J625" s="15" t="n">
        <f aca="false">I625*(1+IF(J$3&lt;=$O$2,$D625,$D625-($D625-$I$616)*MIN(J$3-$O$2,$Q$2)/$Q$2))</f>
        <v>9852.98515541397</v>
      </c>
      <c r="K625" s="15" t="n">
        <f aca="false">J625*(1+IF(K$3&lt;=$O$2,$D625,$D625-($D625-$I$616)*MIN(K$3-$O$2,$Q$2)/$Q$2))</f>
        <v>10695.3353306975</v>
      </c>
      <c r="L625" s="15" t="n">
        <f aca="false">K625*(1+IF(L$3&lt;=$O$2,$D625,$D625-($D625-$I$616)*MIN(L$3-$O$2,$Q$2)/$Q$2))</f>
        <v>11387.9786158826</v>
      </c>
      <c r="M625" s="15" t="n">
        <f aca="false">L625*(1+IF(M$3&lt;=$O$2,$D625,$D625-($D625-$I$616)*MIN(M$3-$O$2,$Q$2)/$Q$2))</f>
        <v>11889.3984318266</v>
      </c>
      <c r="N625" s="15" t="n">
        <f aca="false">M625*(1+IF(N$3&lt;=$O$2,$D625,$D625-($D625-$I$616)*MIN(N$3-$O$2,$Q$2)/$Q$2))</f>
        <v>12166.4214152881</v>
      </c>
      <c r="O625" s="15" t="n">
        <f aca="false">SUMPRODUCT(E625:N625,1/(1+$F$616)^$E$3:$N$3)*$E$2</f>
        <v>8225.36654222026</v>
      </c>
      <c r="P625" s="15" t="n">
        <f aca="false">N625*$E$2*(1+$I$616)/($F$616-$I$616)/(1+$F$616)^$N$3</f>
        <v>9011.79485162464</v>
      </c>
      <c r="Q625" s="15" t="n">
        <f aca="false">O625+P625</f>
        <v>17237.1613938449</v>
      </c>
      <c r="R625" s="15" t="n">
        <f aca="false">Q625-$G$2+$I$2</f>
        <v>12416.6613938449</v>
      </c>
      <c r="S625" s="42" t="n">
        <f aca="false">R625/$K$2</f>
        <v>64.8051220973116</v>
      </c>
      <c r="T625" s="43" t="n">
        <f aca="false">S625-$M$2</f>
        <v>-2.15729961458818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0.126953125</v>
      </c>
      <c r="C626" s="25" t="n">
        <f aca="false">IF(T625&gt;0,D625,C625)</f>
        <v>0.1328125</v>
      </c>
      <c r="D626" s="41" t="n">
        <f aca="false">(B626+C626)/2</f>
        <v>0.1298828125</v>
      </c>
      <c r="E626" s="15" t="n">
        <f aca="false">$C$2*(1+IF(E$3&lt;=$O$2,$D626,$D626-($D626-$I$616)*MIN(E$3-$O$2,$Q$2)/$Q$2))</f>
        <v>5536.42578125</v>
      </c>
      <c r="F626" s="15" t="n">
        <f aca="false">E626*(1+IF(F$3&lt;=$O$2,$D626,$D626-($D626-$I$616)*MIN(F$3-$O$2,$Q$2)/$Q$2))</f>
        <v>6255.51233291626</v>
      </c>
      <c r="G626" s="15" t="n">
        <f aca="false">F626*(1+IF(G$3&lt;=$O$2,$D626,$D626-($D626-$I$616)*MIN(G$3-$O$2,$Q$2)/$Q$2))</f>
        <v>7067.99586834386</v>
      </c>
      <c r="H626" s="15" t="n">
        <f aca="false">G626*(1+IF(H$3&lt;=$O$2,$D626,$D626-($D626-$I$616)*MIN(H$3-$O$2,$Q$2)/$Q$2))</f>
        <v>7986.00705046274</v>
      </c>
      <c r="I626" s="15" t="n">
        <f aca="false">H626*(1+IF(I$3&lt;=$O$2,$D626,$D626-($D626-$I$616)*MIN(I$3-$O$2,$Q$2)/$Q$2))</f>
        <v>9023.25210682167</v>
      </c>
      <c r="J626" s="15" t="n">
        <f aca="false">I626*(1+IF(J$3&lt;=$O$2,$D626,$D626-($D626-$I$616)*MIN(J$3-$O$2,$Q$2)/$Q$2))</f>
        <v>10002.8727508639</v>
      </c>
      <c r="K626" s="15" t="n">
        <f aca="false">J626*(1+IF(K$3&lt;=$O$2,$D626,$D626-($D626-$I$616)*MIN(K$3-$O$2,$Q$2)/$Q$2))</f>
        <v>10875.620272479</v>
      </c>
      <c r="L626" s="15" t="n">
        <f aca="false">K626*(1+IF(L$3&lt;=$O$2,$D626,$D626-($D626-$I$616)*MIN(L$3-$O$2,$Q$2)/$Q$2))</f>
        <v>11592.6839033569</v>
      </c>
      <c r="M626" s="15" t="n">
        <f aca="false">L626*(1+IF(M$3&lt;=$O$2,$D626,$D626-($D626-$I$616)*MIN(M$3-$O$2,$Q$2)/$Q$2))</f>
        <v>12109.9096092738</v>
      </c>
      <c r="N626" s="15" t="n">
        <f aca="false">M626*(1+IF(N$3&lt;=$O$2,$D626,$D626-($D626-$I$616)*MIN(N$3-$O$2,$Q$2)/$Q$2))</f>
        <v>12392.0705031699</v>
      </c>
      <c r="O626" s="15" t="n">
        <f aca="false">SUMPRODUCT(E626:N626,1/(1+$F$616)^$E$3:$N$3)*$E$2</f>
        <v>8328.72528551411</v>
      </c>
      <c r="P626" s="15" t="n">
        <f aca="false">N626*$E$2*(1+$I$616)/($F$616-$I$616)/(1+$F$616)^$N$3</f>
        <v>9178.93547737112</v>
      </c>
      <c r="Q626" s="15" t="n">
        <f aca="false">O626+P626</f>
        <v>17507.6607628852</v>
      </c>
      <c r="R626" s="15" t="n">
        <f aca="false">Q626-$G$2+$I$2</f>
        <v>12687.1607628852</v>
      </c>
      <c r="S626" s="42" t="n">
        <f aca="false">R626/$K$2</f>
        <v>66.2169142113008</v>
      </c>
      <c r="T626" s="43" t="n">
        <f aca="false">S626-$M$2</f>
        <v>-0.745507500598976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0.1298828125</v>
      </c>
      <c r="C627" s="25" t="n">
        <f aca="false">IF(T626&gt;0,D626,C626)</f>
        <v>0.1328125</v>
      </c>
      <c r="D627" s="41" t="n">
        <f aca="false">(B627+C627)/2</f>
        <v>0.13134765625</v>
      </c>
      <c r="E627" s="15" t="n">
        <f aca="false">$C$2*(1+IF(E$3&lt;=$O$2,$D627,$D627-($D627-$I$616)*MIN(E$3-$O$2,$Q$2)/$Q$2))</f>
        <v>5543.603515625</v>
      </c>
      <c r="F627" s="15" t="n">
        <f aca="false">E627*(1+IF(F$3&lt;=$O$2,$D627,$D627-($D627-$I$616)*MIN(F$3-$O$2,$Q$2)/$Q$2))</f>
        <v>6271.7428445816</v>
      </c>
      <c r="G627" s="15" t="n">
        <f aca="false">F627*(1+IF(G$3&lt;=$O$2,$D627,$D627-($D627-$I$616)*MIN(G$3-$O$2,$Q$2)/$Q$2))</f>
        <v>7095.52156782011</v>
      </c>
      <c r="H627" s="15" t="n">
        <f aca="false">G627*(1+IF(H$3&lt;=$O$2,$D627,$D627-($D627-$I$616)*MIN(H$3-$O$2,$Q$2)/$Q$2))</f>
        <v>8027.5016956246</v>
      </c>
      <c r="I627" s="15" t="n">
        <f aca="false">H627*(1+IF(I$3&lt;=$O$2,$D627,$D627-($D627-$I$616)*MIN(I$3-$O$2,$Q$2)/$Q$2))</f>
        <v>9081.89522888779</v>
      </c>
      <c r="J627" s="15" t="n">
        <f aca="false">I627*(1+IF(J$3&lt;=$O$2,$D627,$D627-($D627-$I$616)*MIN(J$3-$O$2,$Q$2)/$Q$2))</f>
        <v>10078.5253827524</v>
      </c>
      <c r="K627" s="15" t="n">
        <f aca="false">J627*(1+IF(K$3&lt;=$O$2,$D627,$D627-($D627-$I$616)*MIN(K$3-$O$2,$Q$2)/$Q$2))</f>
        <v>10966.731651808</v>
      </c>
      <c r="L627" s="15" t="n">
        <f aca="false">K627*(1+IF(L$3&lt;=$O$2,$D627,$D627-($D627-$I$616)*MIN(L$3-$O$2,$Q$2)/$Q$2))</f>
        <v>11696.2283599754</v>
      </c>
      <c r="M627" s="15" t="n">
        <f aca="false">L627*(1+IF(M$3&lt;=$O$2,$D627,$D627-($D627-$I$616)*MIN(M$3-$O$2,$Q$2)/$Q$2))</f>
        <v>12221.5004930148</v>
      </c>
      <c r="N627" s="15" t="n">
        <f aca="false">M627*(1+IF(N$3&lt;=$O$2,$D627,$D627-($D627-$I$616)*MIN(N$3-$O$2,$Q$2)/$Q$2))</f>
        <v>12506.2614545021</v>
      </c>
      <c r="O627" s="15" t="n">
        <f aca="false">SUMPRODUCT(E627:N627,1/(1+$F$616)^$E$3:$N$3)*$E$2</f>
        <v>8380.88630432813</v>
      </c>
      <c r="P627" s="15" t="n">
        <f aca="false">N627*$E$2*(1+$I$616)/($F$616-$I$616)/(1+$F$616)^$N$3</f>
        <v>9263.51790240734</v>
      </c>
      <c r="Q627" s="15" t="n">
        <f aca="false">O627+P627</f>
        <v>17644.4042067355</v>
      </c>
      <c r="R627" s="15" t="n">
        <f aca="false">Q627-$G$2+$I$2</f>
        <v>12823.9042067355</v>
      </c>
      <c r="S627" s="42" t="n">
        <f aca="false">R627/$K$2</f>
        <v>66.9306065069701</v>
      </c>
      <c r="T627" s="43" t="n">
        <f aca="false">S627-$M$2</f>
        <v>-0.031815204929714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0.13134765625</v>
      </c>
      <c r="C628" s="25" t="n">
        <f aca="false">IF(T627&gt;0,D627,C627)</f>
        <v>0.1328125</v>
      </c>
      <c r="D628" s="41" t="n">
        <f aca="false">(B628+C628)/2</f>
        <v>0.132080078125</v>
      </c>
      <c r="E628" s="15" t="n">
        <f aca="false">$C$2*(1+IF(E$3&lt;=$O$2,$D628,$D628-($D628-$I$616)*MIN(E$3-$O$2,$Q$2)/$Q$2))</f>
        <v>5547.1923828125</v>
      </c>
      <c r="F628" s="15" t="n">
        <f aca="false">E628*(1+IF(F$3&lt;=$O$2,$D628,$D628-($D628-$I$616)*MIN(F$3-$O$2,$Q$2)/$Q$2))</f>
        <v>6279.86598610878</v>
      </c>
      <c r="G628" s="15" t="n">
        <f aca="false">F628*(1+IF(G$3&lt;=$O$2,$D628,$D628-($D628-$I$616)*MIN(G$3-$O$2,$Q$2)/$Q$2))</f>
        <v>7109.31117616856</v>
      </c>
      <c r="H628" s="15" t="n">
        <f aca="false">G628*(1+IF(H$3&lt;=$O$2,$D628,$D628-($D628-$I$616)*MIN(H$3-$O$2,$Q$2)/$Q$2))</f>
        <v>8048.30955173184</v>
      </c>
      <c r="I628" s="15" t="n">
        <f aca="false">H628*(1+IF(I$3&lt;=$O$2,$D628,$D628-($D628-$I$616)*MIN(I$3-$O$2,$Q$2)/$Q$2))</f>
        <v>9111.33090609876</v>
      </c>
      <c r="J628" s="15" t="n">
        <f aca="false">I628*(1+IF(J$3&lt;=$O$2,$D628,$D628-($D628-$I$616)*MIN(J$3-$O$2,$Q$2)/$Q$2))</f>
        <v>10116.5299464414</v>
      </c>
      <c r="K628" s="15" t="n">
        <f aca="false">J628*(1+IF(K$3&lt;=$O$2,$D628,$D628-($D628-$I$616)*MIN(K$3-$O$2,$Q$2)/$Q$2))</f>
        <v>11012.5312449501</v>
      </c>
      <c r="L628" s="15" t="n">
        <f aca="false">K628*(1+IF(L$3&lt;=$O$2,$D628,$D628-($D628-$I$616)*MIN(L$3-$O$2,$Q$2)/$Q$2))</f>
        <v>11748.3008266294</v>
      </c>
      <c r="M628" s="15" t="n">
        <f aca="false">L628*(1+IF(M$3&lt;=$O$2,$D628,$D628-($D628-$I$616)*MIN(M$3-$O$2,$Q$2)/$Q$2))</f>
        <v>12277.6324522412</v>
      </c>
      <c r="N628" s="15" t="n">
        <f aca="false">M628*(1+IF(N$3&lt;=$O$2,$D628,$D628-($D628-$I$616)*MIN(N$3-$O$2,$Q$2)/$Q$2))</f>
        <v>12563.7012883784</v>
      </c>
      <c r="O628" s="15" t="n">
        <f aca="false">SUMPRODUCT(E628:N628,1/(1+$F$616)^$E$3:$N$3)*$E$2</f>
        <v>8407.08803069605</v>
      </c>
      <c r="P628" s="15" t="n">
        <f aca="false">N628*$E$2*(1+$I$616)/($F$616-$I$616)/(1+$F$616)^$N$3</f>
        <v>9306.06418463247</v>
      </c>
      <c r="Q628" s="15" t="n">
        <f aca="false">O628+P628</f>
        <v>17713.1522153285</v>
      </c>
      <c r="R628" s="15" t="n">
        <f aca="false">Q628-$G$2+$I$2</f>
        <v>12892.6522153285</v>
      </c>
      <c r="S628" s="42" t="n">
        <f aca="false">R628/$K$2</f>
        <v>67.2894165726958</v>
      </c>
      <c r="T628" s="43" t="n">
        <f aca="false">S628-$M$2</f>
        <v>0.32699486079602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0.13134765625</v>
      </c>
      <c r="C629" s="25" t="n">
        <f aca="false">IF(T628&gt;0,D628,C628)</f>
        <v>0.132080078125</v>
      </c>
      <c r="D629" s="41" t="n">
        <f aca="false">(B629+C629)/2</f>
        <v>0.1317138671875</v>
      </c>
      <c r="E629" s="15" t="n">
        <f aca="false">$C$2*(1+IF(E$3&lt;=$O$2,$D629,$D629-($D629-$I$616)*MIN(E$3-$O$2,$Q$2)/$Q$2))</f>
        <v>5545.39794921875</v>
      </c>
      <c r="F629" s="15" t="n">
        <f aca="false">E629*(1+IF(F$3&lt;=$O$2,$D629,$D629-($D629-$I$616)*MIN(F$3-$O$2,$Q$2)/$Q$2))</f>
        <v>6275.80375820398</v>
      </c>
      <c r="G629" s="15" t="n">
        <f aca="false">F629*(1+IF(G$3&lt;=$O$2,$D629,$D629-($D629-$I$616)*MIN(G$3-$O$2,$Q$2)/$Q$2))</f>
        <v>7102.41414090688</v>
      </c>
      <c r="H629" s="15" t="n">
        <f aca="false">G629*(1+IF(H$3&lt;=$O$2,$D629,$D629-($D629-$I$616)*MIN(H$3-$O$2,$Q$2)/$Q$2))</f>
        <v>8037.90057377291</v>
      </c>
      <c r="I629" s="15" t="n">
        <f aca="false">H629*(1+IF(I$3&lt;=$O$2,$D629,$D629-($D629-$I$616)*MIN(I$3-$O$2,$Q$2)/$Q$2))</f>
        <v>9096.60354241316</v>
      </c>
      <c r="J629" s="15" t="n">
        <f aca="false">I629*(1+IF(J$3&lt;=$O$2,$D629,$D629-($D629-$I$616)*MIN(J$3-$O$2,$Q$2)/$Q$2))</f>
        <v>10097.512779595</v>
      </c>
      <c r="K629" s="15" t="n">
        <f aca="false">J629*(1+IF(K$3&lt;=$O$2,$D629,$D629-($D629-$I$616)*MIN(K$3-$O$2,$Q$2)/$Q$2))</f>
        <v>10989.6110730062</v>
      </c>
      <c r="L629" s="15" t="n">
        <f aca="false">K629*(1+IF(L$3&lt;=$O$2,$D629,$D629-($D629-$I$616)*MIN(L$3-$O$2,$Q$2)/$Q$2))</f>
        <v>11722.2395051317</v>
      </c>
      <c r="M629" s="15" t="n">
        <f aca="false">L629*(1+IF(M$3&lt;=$O$2,$D629,$D629-($D629-$I$616)*MIN(M$3-$O$2,$Q$2)/$Q$2))</f>
        <v>12249.5383489712</v>
      </c>
      <c r="N629" s="15" t="n">
        <f aca="false">M629*(1+IF(N$3&lt;=$O$2,$D629,$D629-($D629-$I$616)*MIN(N$3-$O$2,$Q$2)/$Q$2))</f>
        <v>12534.9525925022</v>
      </c>
      <c r="O629" s="15" t="n">
        <f aca="false">SUMPRODUCT(E629:N629,1/(1+$F$616)^$E$3:$N$3)*$E$2</f>
        <v>8393.9770420388</v>
      </c>
      <c r="P629" s="15" t="n">
        <f aca="false">N629*$E$2*(1+$I$616)/($F$616-$I$616)/(1+$F$616)^$N$3</f>
        <v>9284.76972666127</v>
      </c>
      <c r="Q629" s="15" t="n">
        <f aca="false">O629+P629</f>
        <v>17678.7467687001</v>
      </c>
      <c r="R629" s="15" t="n">
        <f aca="false">Q629-$G$2+$I$2</f>
        <v>12858.2467687001</v>
      </c>
      <c r="S629" s="42" t="n">
        <f aca="false">R629/$K$2</f>
        <v>67.1098474358041</v>
      </c>
      <c r="T629" s="43" t="n">
        <f aca="false">S629-$M$2</f>
        <v>0.14742572390432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0.13134765625</v>
      </c>
      <c r="C630" s="25" t="n">
        <f aca="false">IF(T629&gt;0,D629,C629)</f>
        <v>0.1317138671875</v>
      </c>
      <c r="D630" s="41" t="n">
        <f aca="false">(B630+C630)/2</f>
        <v>0.13153076171875</v>
      </c>
      <c r="E630" s="15" t="n">
        <f aca="false">$C$2*(1+IF(E$3&lt;=$O$2,$D630,$D630-($D630-$I$616)*MIN(E$3-$O$2,$Q$2)/$Q$2))</f>
        <v>5544.50073242188</v>
      </c>
      <c r="F630" s="15" t="n">
        <f aca="false">E630*(1+IF(F$3&lt;=$O$2,$D630,$D630-($D630-$I$616)*MIN(F$3-$O$2,$Q$2)/$Q$2))</f>
        <v>6273.77313710749</v>
      </c>
      <c r="G630" s="15" t="n">
        <f aca="false">F630*(1+IF(G$3&lt;=$O$2,$D630,$D630-($D630-$I$616)*MIN(G$3-$O$2,$Q$2)/$Q$2))</f>
        <v>7098.96729668187</v>
      </c>
      <c r="H630" s="15" t="n">
        <f aca="false">G630*(1+IF(H$3&lt;=$O$2,$D630,$D630-($D630-$I$616)*MIN(H$3-$O$2,$Q$2)/$Q$2))</f>
        <v>8032.69987263093</v>
      </c>
      <c r="I630" s="15" t="n">
        <f aca="false">H630*(1+IF(I$3&lt;=$O$2,$D630,$D630-($D630-$I$616)*MIN(I$3-$O$2,$Q$2)/$Q$2))</f>
        <v>9089.24700553619</v>
      </c>
      <c r="J630" s="15" t="n">
        <f aca="false">I630*(1+IF(J$3&lt;=$O$2,$D630,$D630-($D630-$I$616)*MIN(J$3-$O$2,$Q$2)/$Q$2))</f>
        <v>10088.0153622524</v>
      </c>
      <c r="K630" s="15" t="n">
        <f aca="false">J630*(1+IF(K$3&lt;=$O$2,$D630,$D630-($D630-$I$616)*MIN(K$3-$O$2,$Q$2)/$Q$2))</f>
        <v>10978.1662723251</v>
      </c>
      <c r="L630" s="15" t="n">
        <f aca="false">K630*(1+IF(L$3&lt;=$O$2,$D630,$D630-($D630-$I$616)*MIN(L$3-$O$2,$Q$2)/$Q$2))</f>
        <v>11709.2276656418</v>
      </c>
      <c r="M630" s="15" t="n">
        <f aca="false">L630*(1+IF(M$3&lt;=$O$2,$D630,$D630-($D630-$I$616)*MIN(M$3-$O$2,$Q$2)/$Q$2))</f>
        <v>12235.5123961294</v>
      </c>
      <c r="N630" s="15" t="n">
        <f aca="false">M630*(1+IF(N$3&lt;=$O$2,$D630,$D630-($D630-$I$616)*MIN(N$3-$O$2,$Q$2)/$Q$2))</f>
        <v>12520.5998349592</v>
      </c>
      <c r="O630" s="15" t="n">
        <f aca="false">SUMPRODUCT(E630:N630,1/(1+$F$616)^$E$3:$N$3)*$E$2</f>
        <v>8387.42914362214</v>
      </c>
      <c r="P630" s="15" t="n">
        <f aca="false">N630*$E$2*(1+$I$616)/($F$616-$I$616)/(1+$F$616)^$N$3</f>
        <v>9274.13848990582</v>
      </c>
      <c r="Q630" s="15" t="n">
        <f aca="false">O630+P630</f>
        <v>17661.567633528</v>
      </c>
      <c r="R630" s="15" t="n">
        <f aca="false">Q630-$G$2+$I$2</f>
        <v>12841.067633528</v>
      </c>
      <c r="S630" s="42" t="n">
        <f aca="false">R630/$K$2</f>
        <v>67.0201859787472</v>
      </c>
      <c r="T630" s="43" t="n">
        <f aca="false">S630-$M$2</f>
        <v>0.0577642668474141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0.13134765625</v>
      </c>
      <c r="C631" s="25" t="n">
        <f aca="false">IF(T630&gt;0,D630,C630)</f>
        <v>0.13153076171875</v>
      </c>
      <c r="D631" s="41" t="n">
        <f aca="false">(B631+C631)/2</f>
        <v>0.131439208984375</v>
      </c>
      <c r="E631" s="15" t="n">
        <f aca="false">$C$2*(1+IF(E$3&lt;=$O$2,$D631,$D631-($D631-$I$616)*MIN(E$3-$O$2,$Q$2)/$Q$2))</f>
        <v>5544.05212402344</v>
      </c>
      <c r="F631" s="15" t="n">
        <f aca="false">E631*(1+IF(F$3&lt;=$O$2,$D631,$D631-($D631-$I$616)*MIN(F$3-$O$2,$Q$2)/$Q$2))</f>
        <v>6272.75794977322</v>
      </c>
      <c r="G631" s="15" t="n">
        <f aca="false">F631*(1+IF(G$3&lt;=$O$2,$D631,$D631-($D631-$I$616)*MIN(G$3-$O$2,$Q$2)/$Q$2))</f>
        <v>7097.24429284186</v>
      </c>
      <c r="H631" s="15" t="n">
        <f aca="false">G631*(1+IF(H$3&lt;=$O$2,$D631,$D631-($D631-$I$616)*MIN(H$3-$O$2,$Q$2)/$Q$2))</f>
        <v>8030.10046866187</v>
      </c>
      <c r="I631" s="15" t="n">
        <f aca="false">H631*(1+IF(I$3&lt;=$O$2,$D631,$D631-($D631-$I$616)*MIN(I$3-$O$2,$Q$2)/$Q$2))</f>
        <v>9085.57052232784</v>
      </c>
      <c r="J631" s="15" t="n">
        <f aca="false">I631*(1+IF(J$3&lt;=$O$2,$D631,$D631-($D631-$I$616)*MIN(J$3-$O$2,$Q$2)/$Q$2))</f>
        <v>10083.2694430631</v>
      </c>
      <c r="K631" s="15" t="n">
        <f aca="false">J631*(1+IF(K$3&lt;=$O$2,$D631,$D631-($D631-$I$616)*MIN(K$3-$O$2,$Q$2)/$Q$2))</f>
        <v>10972.447690016</v>
      </c>
      <c r="L631" s="15" t="n">
        <f aca="false">K631*(1+IF(L$3&lt;=$O$2,$D631,$D631-($D631-$I$616)*MIN(L$3-$O$2,$Q$2)/$Q$2))</f>
        <v>11702.7264467217</v>
      </c>
      <c r="M631" s="15" t="n">
        <f aca="false">L631*(1+IF(M$3&lt;=$O$2,$D631,$D631-($D631-$I$616)*MIN(M$3-$O$2,$Q$2)/$Q$2))</f>
        <v>12228.5046891121</v>
      </c>
      <c r="N631" s="15" t="n">
        <f aca="false">M631*(1+IF(N$3&lt;=$O$2,$D631,$D631-($D631-$I$616)*MIN(N$3-$O$2,$Q$2)/$Q$2))</f>
        <v>12513.4288483684</v>
      </c>
      <c r="O631" s="15" t="n">
        <f aca="false">SUMPRODUCT(E631:N631,1/(1+$F$616)^$E$3:$N$3)*$E$2</f>
        <v>8384.15709181056</v>
      </c>
      <c r="P631" s="15" t="n">
        <f aca="false">N631*$E$2*(1+$I$616)/($F$616-$I$616)/(1+$F$616)^$N$3</f>
        <v>9268.82686557237</v>
      </c>
      <c r="Q631" s="15" t="n">
        <f aca="false">O631+P631</f>
        <v>17652.9839573829</v>
      </c>
      <c r="R631" s="15" t="n">
        <f aca="false">Q631-$G$2+$I$2</f>
        <v>12832.4839573829</v>
      </c>
      <c r="S631" s="42" t="n">
        <f aca="false">R631/$K$2</f>
        <v>66.975385998867</v>
      </c>
      <c r="T631" s="43" t="n">
        <f aca="false">S631-$M$2</f>
        <v>0.0129642869672466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0.13134765625</v>
      </c>
      <c r="C632" s="25" t="n">
        <f aca="false">IF(T631&gt;0,D631,C631)</f>
        <v>0.131439208984375</v>
      </c>
      <c r="D632" s="41" t="n">
        <f aca="false">(B632+C632)/2</f>
        <v>0.131393432617188</v>
      </c>
      <c r="E632" s="15" t="n">
        <f aca="false">$C$2*(1+IF(E$3&lt;=$O$2,$D632,$D632-($D632-$I$616)*MIN(E$3-$O$2,$Q$2)/$Q$2))</f>
        <v>5543.82781982422</v>
      </c>
      <c r="F632" s="15" t="n">
        <f aca="false">E632*(1+IF(F$3&lt;=$O$2,$D632,$D632-($D632-$I$616)*MIN(F$3-$O$2,$Q$2)/$Q$2))</f>
        <v>6272.25038690958</v>
      </c>
      <c r="G632" s="15" t="n">
        <f aca="false">F632*(1+IF(G$3&lt;=$O$2,$D632,$D632-($D632-$I$616)*MIN(G$3-$O$2,$Q$2)/$Q$2))</f>
        <v>7096.38289548011</v>
      </c>
      <c r="H632" s="15" t="n">
        <f aca="false">G632*(1+IF(H$3&lt;=$O$2,$D632,$D632-($D632-$I$616)*MIN(H$3-$O$2,$Q$2)/$Q$2))</f>
        <v>8028.80100328314</v>
      </c>
      <c r="I632" s="15" t="n">
        <f aca="false">H632*(1+IF(I$3&lt;=$O$2,$D632,$D632-($D632-$I$616)*MIN(I$3-$O$2,$Q$2)/$Q$2))</f>
        <v>9083.73272690483</v>
      </c>
      <c r="J632" s="15" t="n">
        <f aca="false">I632*(1+IF(J$3&lt;=$O$2,$D632,$D632-($D632-$I$616)*MIN(J$3-$O$2,$Q$2)/$Q$2))</f>
        <v>10080.8971805843</v>
      </c>
      <c r="K632" s="15" t="n">
        <f aca="false">J632*(1+IF(K$3&lt;=$O$2,$D632,$D632-($D632-$I$616)*MIN(K$3-$O$2,$Q$2)/$Q$2))</f>
        <v>10969.5893529581</v>
      </c>
      <c r="L632" s="15" t="n">
        <f aca="false">K632*(1+IF(L$3&lt;=$O$2,$D632,$D632-($D632-$I$616)*MIN(L$3-$O$2,$Q$2)/$Q$2))</f>
        <v>11699.4770119069</v>
      </c>
      <c r="M632" s="15" t="n">
        <f aca="false">L632*(1+IF(M$3&lt;=$O$2,$D632,$D632-($D632-$I$616)*MIN(M$3-$O$2,$Q$2)/$Q$2))</f>
        <v>12225.0021522929</v>
      </c>
      <c r="N632" s="15" t="n">
        <f aca="false">M632*(1+IF(N$3&lt;=$O$2,$D632,$D632-($D632-$I$616)*MIN(N$3-$O$2,$Q$2)/$Q$2))</f>
        <v>12509.8447024413</v>
      </c>
      <c r="O632" s="15" t="n">
        <f aca="false">SUMPRODUCT(E632:N632,1/(1+$F$616)^$E$3:$N$3)*$E$2</f>
        <v>8382.52154005641</v>
      </c>
      <c r="P632" s="15" t="n">
        <f aca="false">N632*$E$2*(1+$I$616)/($F$616-$I$616)/(1+$F$616)^$N$3</f>
        <v>9266.17205141539</v>
      </c>
      <c r="Q632" s="15" t="n">
        <f aca="false">O632+P632</f>
        <v>17648.6935914718</v>
      </c>
      <c r="R632" s="15" t="n">
        <f aca="false">Q632-$G$2+$I$2</f>
        <v>12828.1935914718</v>
      </c>
      <c r="S632" s="42" t="n">
        <f aca="false">R632/$K$2</f>
        <v>66.9529936924415</v>
      </c>
      <c r="T632" s="43" t="n">
        <f aca="false">S632-$M$2</f>
        <v>-0.00942801945825522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0.131393432617188</v>
      </c>
      <c r="C633" s="25" t="n">
        <f aca="false">IF(T632&gt;0,D632,C632)</f>
        <v>0.131439208984375</v>
      </c>
      <c r="D633" s="41" t="n">
        <f aca="false">(B633+C633)/2</f>
        <v>0.131416320800781</v>
      </c>
      <c r="E633" s="15" t="n">
        <f aca="false">$C$2*(1+IF(E$3&lt;=$O$2,$D633,$D633-($D633-$I$616)*MIN(E$3-$O$2,$Q$2)/$Q$2))</f>
        <v>5543.93997192383</v>
      </c>
      <c r="F633" s="15" t="n">
        <f aca="false">E633*(1+IF(F$3&lt;=$O$2,$D633,$D633-($D633-$I$616)*MIN(F$3-$O$2,$Q$2)/$Q$2))</f>
        <v>6272.50416577444</v>
      </c>
      <c r="G633" s="15" t="n">
        <f aca="false">F633*(1+IF(G$3&lt;=$O$2,$D633,$D633-($D633-$I$616)*MIN(G$3-$O$2,$Q$2)/$Q$2))</f>
        <v>7096.8135854481</v>
      </c>
      <c r="H633" s="15" t="n">
        <f aca="false">G633*(1+IF(H$3&lt;=$O$2,$D633,$D633-($D633-$I$616)*MIN(H$3-$O$2,$Q$2)/$Q$2))</f>
        <v>8029.45071625668</v>
      </c>
      <c r="I633" s="15" t="n">
        <f aca="false">H633*(1+IF(I$3&lt;=$O$2,$D633,$D633-($D633-$I$616)*MIN(I$3-$O$2,$Q$2)/$Q$2))</f>
        <v>9084.65158743834</v>
      </c>
      <c r="J633" s="15" t="n">
        <f aca="false">I633*(1+IF(J$3&lt;=$O$2,$D633,$D633-($D633-$I$616)*MIN(J$3-$O$2,$Q$2)/$Q$2))</f>
        <v>10082.0832537383</v>
      </c>
      <c r="K633" s="15" t="n">
        <f aca="false">J633*(1+IF(K$3&lt;=$O$2,$D633,$D633-($D633-$I$616)*MIN(K$3-$O$2,$Q$2)/$Q$2))</f>
        <v>10971.0184419912</v>
      </c>
      <c r="L633" s="15" t="n">
        <f aca="false">K633*(1+IF(L$3&lt;=$O$2,$D633,$D633-($D633-$I$616)*MIN(L$3-$O$2,$Q$2)/$Q$2))</f>
        <v>11701.1016314439</v>
      </c>
      <c r="M633" s="15" t="n">
        <f aca="false">L633*(1+IF(M$3&lt;=$O$2,$D633,$D633-($D633-$I$616)*MIN(M$3-$O$2,$Q$2)/$Q$2))</f>
        <v>12226.753310998</v>
      </c>
      <c r="N633" s="15" t="n">
        <f aca="false">M633*(1+IF(N$3&lt;=$O$2,$D633,$D633-($D633-$I$616)*MIN(N$3-$O$2,$Q$2)/$Q$2))</f>
        <v>12511.6366631443</v>
      </c>
      <c r="O633" s="15" t="n">
        <f aca="false">SUMPRODUCT(E633:N633,1/(1+$F$616)^$E$3:$N$3)*$E$2</f>
        <v>8383.33927642672</v>
      </c>
      <c r="P633" s="15" t="n">
        <f aca="false">N633*$E$2*(1+$I$616)/($F$616-$I$616)/(1+$F$616)^$N$3</f>
        <v>9267.49937534132</v>
      </c>
      <c r="Q633" s="15" t="n">
        <f aca="false">O633+P633</f>
        <v>17650.838651768</v>
      </c>
      <c r="R633" s="15" t="n">
        <f aca="false">Q633-$G$2+$I$2</f>
        <v>12830.338651768</v>
      </c>
      <c r="S633" s="42" t="n">
        <f aca="false">R633/$K$2</f>
        <v>66.9641892054699</v>
      </c>
      <c r="T633" s="43" t="n">
        <f aca="false">S633-$M$2</f>
        <v>0.00176749357011374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0.131393432617188</v>
      </c>
      <c r="C634" s="25" t="n">
        <f aca="false">IF(T633&gt;0,D633,C633)</f>
        <v>0.131416320800781</v>
      </c>
      <c r="D634" s="41" t="n">
        <f aca="false">(B634+C634)/2</f>
        <v>0.131404876708984</v>
      </c>
      <c r="E634" s="15" t="n">
        <f aca="false">$C$2*(1+IF(E$3&lt;=$O$2,$D634,$D634-($D634-$I$616)*MIN(E$3-$O$2,$Q$2)/$Q$2))</f>
        <v>5543.88389587402</v>
      </c>
      <c r="F634" s="15" t="n">
        <f aca="false">E634*(1+IF(F$3&lt;=$O$2,$D634,$D634-($D634-$I$616)*MIN(F$3-$O$2,$Q$2)/$Q$2))</f>
        <v>6272.37727570027</v>
      </c>
      <c r="G634" s="15" t="n">
        <f aca="false">F634*(1+IF(G$3&lt;=$O$2,$D634,$D634-($D634-$I$616)*MIN(G$3-$O$2,$Q$2)/$Q$2))</f>
        <v>7096.5982382859</v>
      </c>
      <c r="H634" s="15" t="n">
        <f aca="false">G634*(1+IF(H$3&lt;=$O$2,$D634,$D634-($D634-$I$616)*MIN(H$3-$O$2,$Q$2)/$Q$2))</f>
        <v>8029.12585484106</v>
      </c>
      <c r="I634" s="15" t="n">
        <f aca="false">H634*(1+IF(I$3&lt;=$O$2,$D634,$D634-($D634-$I$616)*MIN(I$3-$O$2,$Q$2)/$Q$2))</f>
        <v>9084.19214787737</v>
      </c>
      <c r="J634" s="15" t="n">
        <f aca="false">I634*(1+IF(J$3&lt;=$O$2,$D634,$D634-($D634-$I$616)*MIN(J$3-$O$2,$Q$2)/$Q$2))</f>
        <v>10081.4902026405</v>
      </c>
      <c r="K634" s="15" t="n">
        <f aca="false">J634*(1+IF(K$3&lt;=$O$2,$D634,$D634-($D634-$I$616)*MIN(K$3-$O$2,$Q$2)/$Q$2))</f>
        <v>10970.3038776016</v>
      </c>
      <c r="L634" s="15" t="n">
        <f aca="false">K634*(1+IF(L$3&lt;=$O$2,$D634,$D634-($D634-$I$616)*MIN(L$3-$O$2,$Q$2)/$Q$2))</f>
        <v>11700.289297209</v>
      </c>
      <c r="M634" s="15" t="n">
        <f aca="false">L634*(1+IF(M$3&lt;=$O$2,$D634,$D634-($D634-$I$616)*MIN(M$3-$O$2,$Q$2)/$Q$2))</f>
        <v>12225.8777042208</v>
      </c>
      <c r="N634" s="15" t="n">
        <f aca="false">M634*(1+IF(N$3&lt;=$O$2,$D634,$D634-($D634-$I$616)*MIN(N$3-$O$2,$Q$2)/$Q$2))</f>
        <v>12510.7406547292</v>
      </c>
      <c r="O634" s="15" t="n">
        <f aca="false">SUMPRODUCT(E634:N634,1/(1+$F$616)^$E$3:$N$3)*$E$2</f>
        <v>8382.93039836532</v>
      </c>
      <c r="P634" s="15" t="n">
        <f aca="false">N634*$E$2*(1+$I$616)/($F$616-$I$616)/(1+$F$616)^$N$3</f>
        <v>9266.83569259134</v>
      </c>
      <c r="Q634" s="15" t="n">
        <f aca="false">O634+P634</f>
        <v>17649.7660909567</v>
      </c>
      <c r="R634" s="15" t="n">
        <f aca="false">Q634-$G$2+$I$2</f>
        <v>12829.2660909567</v>
      </c>
      <c r="S634" s="42" t="n">
        <f aca="false">R634/$K$2</f>
        <v>66.9585912889178</v>
      </c>
      <c r="T634" s="43" t="n">
        <f aca="false">S634-$M$2</f>
        <v>-0.00383042298196301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0.131404876708984</v>
      </c>
      <c r="C635" s="25" t="n">
        <f aca="false">IF(T634&gt;0,D634,C634)</f>
        <v>0.131416320800781</v>
      </c>
      <c r="D635" s="41" t="n">
        <f aca="false">(B635+C635)/2</f>
        <v>0.131410598754883</v>
      </c>
      <c r="E635" s="15" t="n">
        <f aca="false">$C$2*(1+IF(E$3&lt;=$O$2,$D635,$D635-($D635-$I$616)*MIN(E$3-$O$2,$Q$2)/$Q$2))</f>
        <v>5543.91193389893</v>
      </c>
      <c r="F635" s="15" t="n">
        <f aca="false">E635*(1+IF(F$3&lt;=$O$2,$D635,$D635-($D635-$I$616)*MIN(F$3-$O$2,$Q$2)/$Q$2))</f>
        <v>6272.44072057692</v>
      </c>
      <c r="G635" s="15" t="n">
        <f aca="false">F635*(1+IF(G$3&lt;=$O$2,$D635,$D635-($D635-$I$616)*MIN(G$3-$O$2,$Q$2)/$Q$2))</f>
        <v>7096.70591132245</v>
      </c>
      <c r="H635" s="15" t="n">
        <f aca="false">G635*(1+IF(H$3&lt;=$O$2,$D635,$D635-($D635-$I$616)*MIN(H$3-$O$2,$Q$2)/$Q$2))</f>
        <v>8029.28828431664</v>
      </c>
      <c r="I635" s="15" t="n">
        <f aca="false">H635*(1+IF(I$3&lt;=$O$2,$D635,$D635-($D635-$I$616)*MIN(I$3-$O$2,$Q$2)/$Q$2))</f>
        <v>9084.42186533426</v>
      </c>
      <c r="J635" s="15" t="n">
        <f aca="false">I635*(1+IF(J$3&lt;=$O$2,$D635,$D635-($D635-$I$616)*MIN(J$3-$O$2,$Q$2)/$Q$2))</f>
        <v>10081.7867245591</v>
      </c>
      <c r="K635" s="15" t="n">
        <f aca="false">J635*(1+IF(K$3&lt;=$O$2,$D635,$D635-($D635-$I$616)*MIN(K$3-$O$2,$Q$2)/$Q$2))</f>
        <v>10970.661154828</v>
      </c>
      <c r="L635" s="15" t="n">
        <f aca="false">K635*(1+IF(L$3&lt;=$O$2,$D635,$D635-($D635-$I$616)*MIN(L$3-$O$2,$Q$2)/$Q$2))</f>
        <v>11700.6954582097</v>
      </c>
      <c r="M635" s="15" t="n">
        <f aca="false">L635*(1+IF(M$3&lt;=$O$2,$D635,$D635-($D635-$I$616)*MIN(M$3-$O$2,$Q$2)/$Q$2))</f>
        <v>12226.3155007531</v>
      </c>
      <c r="N635" s="15" t="n">
        <f aca="false">M635*(1+IF(N$3&lt;=$O$2,$D635,$D635-($D635-$I$616)*MIN(N$3-$O$2,$Q$2)/$Q$2))</f>
        <v>12511.1886519206</v>
      </c>
      <c r="O635" s="15" t="n">
        <f aca="false">SUMPRODUCT(E635:N635,1/(1+$F$616)^$E$3:$N$3)*$E$2</f>
        <v>8383.1348349269</v>
      </c>
      <c r="P635" s="15" t="n">
        <f aca="false">N635*$E$2*(1+$I$616)/($F$616-$I$616)/(1+$F$616)^$N$3</f>
        <v>9267.16752876943</v>
      </c>
      <c r="Q635" s="15" t="n">
        <f aca="false">O635+P635</f>
        <v>17650.3023636963</v>
      </c>
      <c r="R635" s="15" t="n">
        <f aca="false">Q635-$G$2+$I$2</f>
        <v>12829.8023636963</v>
      </c>
      <c r="S635" s="42" t="n">
        <f aca="false">R635/$K$2</f>
        <v>66.9613902071834</v>
      </c>
      <c r="T635" s="43" t="n">
        <f aca="false">S635-$M$2</f>
        <v>-0.00103150471643687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0.131410598754883</v>
      </c>
      <c r="C636" s="25" t="n">
        <f aca="false">IF(T635&gt;0,D635,C635)</f>
        <v>0.131416320800781</v>
      </c>
      <c r="D636" s="41" t="n">
        <f aca="false">(B636+C636)/2</f>
        <v>0.131413459777832</v>
      </c>
      <c r="E636" s="15" t="n">
        <f aca="false">$C$2*(1+IF(E$3&lt;=$O$2,$D636,$D636-($D636-$I$616)*MIN(E$3-$O$2,$Q$2)/$Q$2))</f>
        <v>5543.92595291138</v>
      </c>
      <c r="F636" s="15" t="n">
        <f aca="false">E636*(1+IF(F$3&lt;=$O$2,$D636,$D636-($D636-$I$616)*MIN(F$3-$O$2,$Q$2)/$Q$2))</f>
        <v>6272.47244313558</v>
      </c>
      <c r="G636" s="15" t="n">
        <f aca="false">F636*(1+IF(G$3&lt;=$O$2,$D636,$D636-($D636-$I$616)*MIN(G$3-$O$2,$Q$2)/$Q$2))</f>
        <v>7096.75974824913</v>
      </c>
      <c r="H636" s="15" t="n">
        <f aca="false">G636*(1+IF(H$3&lt;=$O$2,$D636,$D636-($D636-$I$616)*MIN(H$3-$O$2,$Q$2)/$Q$2))</f>
        <v>8029.36949997861</v>
      </c>
      <c r="I636" s="15" t="n">
        <f aca="false">H636*(1+IF(I$3&lt;=$O$2,$D636,$D636-($D636-$I$616)*MIN(I$3-$O$2,$Q$2)/$Q$2))</f>
        <v>9084.5367258054</v>
      </c>
      <c r="J636" s="15" t="n">
        <f aca="false">I636*(1+IF(J$3&lt;=$O$2,$D636,$D636-($D636-$I$616)*MIN(J$3-$O$2,$Q$2)/$Q$2))</f>
        <v>10081.9349882411</v>
      </c>
      <c r="K636" s="15" t="n">
        <f aca="false">J636*(1+IF(K$3&lt;=$O$2,$D636,$D636-($D636-$I$616)*MIN(K$3-$O$2,$Q$2)/$Q$2))</f>
        <v>10970.8397971675</v>
      </c>
      <c r="L636" s="15" t="n">
        <f aca="false">K636*(1+IF(L$3&lt;=$O$2,$D636,$D636-($D636-$I$616)*MIN(L$3-$O$2,$Q$2)/$Q$2))</f>
        <v>11700.8985432976</v>
      </c>
      <c r="M636" s="15" t="n">
        <f aca="false">L636*(1+IF(M$3&lt;=$O$2,$D636,$D636-($D636-$I$616)*MIN(M$3-$O$2,$Q$2)/$Q$2))</f>
        <v>12226.5344041615</v>
      </c>
      <c r="N636" s="15" t="n">
        <f aca="false">M636*(1+IF(N$3&lt;=$O$2,$D636,$D636-($D636-$I$616)*MIN(N$3-$O$2,$Q$2)/$Q$2))</f>
        <v>12511.4126557784</v>
      </c>
      <c r="O636" s="15" t="n">
        <f aca="false">SUMPRODUCT(E636:N636,1/(1+$F$616)^$E$3:$N$3)*$E$2</f>
        <v>8383.23705505952</v>
      </c>
      <c r="P636" s="15" t="n">
        <f aca="false">N636*$E$2*(1+$I$616)/($F$616-$I$616)/(1+$F$616)^$N$3</f>
        <v>9267.33345075613</v>
      </c>
      <c r="Q636" s="15" t="n">
        <f aca="false">O636+P636</f>
        <v>17650.5705058157</v>
      </c>
      <c r="R636" s="15" t="n">
        <f aca="false">Q636-$G$2+$I$2</f>
        <v>12830.0705058157</v>
      </c>
      <c r="S636" s="42" t="n">
        <f aca="false">R636/$K$2</f>
        <v>66.9627896963239</v>
      </c>
      <c r="T636" s="43" t="n">
        <f aca="false">S636-$M$2</f>
        <v>0.000367984424073597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0.131410598754883</v>
      </c>
      <c r="C637" s="25" t="n">
        <f aca="false">IF(T636&gt;0,D636,C636)</f>
        <v>0.131413459777832</v>
      </c>
      <c r="D637" s="41" t="n">
        <f aca="false">(B637+C637)/2</f>
        <v>0.131412029266357</v>
      </c>
      <c r="E637" s="15" t="n">
        <f aca="false">$C$2*(1+IF(E$3&lt;=$O$2,$D637,$D637-($D637-$I$616)*MIN(E$3-$O$2,$Q$2)/$Q$2))</f>
        <v>5543.91894340515</v>
      </c>
      <c r="F637" s="15" t="n">
        <f aca="false">E637*(1+IF(F$3&lt;=$O$2,$D637,$D637-($D637-$I$616)*MIN(F$3-$O$2,$Q$2)/$Q$2))</f>
        <v>6272.45658184622</v>
      </c>
      <c r="G637" s="15" t="n">
        <f aca="false">F637*(1+IF(G$3&lt;=$O$2,$D637,$D637-($D637-$I$616)*MIN(G$3-$O$2,$Q$2)/$Q$2))</f>
        <v>7096.73282975175</v>
      </c>
      <c r="H637" s="15" t="n">
        <f aca="false">G637*(1+IF(H$3&lt;=$O$2,$D637,$D637-($D637-$I$616)*MIN(H$3-$O$2,$Q$2)/$Q$2))</f>
        <v>8029.32889207061</v>
      </c>
      <c r="I637" s="15" t="n">
        <f aca="false">H637*(1+IF(I$3&lt;=$O$2,$D637,$D637-($D637-$I$616)*MIN(I$3-$O$2,$Q$2)/$Q$2))</f>
        <v>9084.4792954246</v>
      </c>
      <c r="J637" s="15" t="n">
        <f aca="false">I637*(1+IF(J$3&lt;=$O$2,$D637,$D637-($D637-$I$616)*MIN(J$3-$O$2,$Q$2)/$Q$2))</f>
        <v>10081.8608561732</v>
      </c>
      <c r="K637" s="15" t="n">
        <f aca="false">J637*(1+IF(K$3&lt;=$O$2,$D637,$D637-($D637-$I$616)*MIN(K$3-$O$2,$Q$2)/$Q$2))</f>
        <v>10970.7504756873</v>
      </c>
      <c r="L637" s="15" t="n">
        <f aca="false">K637*(1+IF(L$3&lt;=$O$2,$D637,$D637-($D637-$I$616)*MIN(L$3-$O$2,$Q$2)/$Q$2))</f>
        <v>11700.7970003713</v>
      </c>
      <c r="M637" s="15" t="n">
        <f aca="false">L637*(1+IF(M$3&lt;=$O$2,$D637,$D637-($D637-$I$616)*MIN(M$3-$O$2,$Q$2)/$Q$2))</f>
        <v>12226.4249520288</v>
      </c>
      <c r="N637" s="15" t="n">
        <f aca="false">M637*(1+IF(N$3&lt;=$O$2,$D637,$D637-($D637-$I$616)*MIN(N$3-$O$2,$Q$2)/$Q$2))</f>
        <v>12511.300653411</v>
      </c>
      <c r="O637" s="15" t="n">
        <f aca="false">SUMPRODUCT(E637:N637,1/(1+$F$616)^$E$3:$N$3)*$E$2</f>
        <v>8383.18594483889</v>
      </c>
      <c r="P637" s="15" t="n">
        <f aca="false">N637*$E$2*(1+$I$616)/($F$616-$I$616)/(1+$F$616)^$N$3</f>
        <v>9267.25048943797</v>
      </c>
      <c r="Q637" s="15" t="n">
        <f aca="false">O637+P637</f>
        <v>17650.4364342769</v>
      </c>
      <c r="R637" s="15" t="n">
        <f aca="false">Q637-$G$2+$I$2</f>
        <v>12829.9364342769</v>
      </c>
      <c r="S637" s="42" t="n">
        <f aca="false">R637/$K$2</f>
        <v>66.962089949253</v>
      </c>
      <c r="T637" s="43" t="n">
        <f aca="false">S637-$M$2</f>
        <v>-0.000331762646823108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0.131412029266357</v>
      </c>
      <c r="C638" s="25" t="n">
        <f aca="false">IF(T637&gt;0,D637,C637)</f>
        <v>0.131413459777832</v>
      </c>
      <c r="D638" s="41" t="n">
        <f aca="false">(B638+C638)/2</f>
        <v>0.131412744522095</v>
      </c>
      <c r="E638" s="15" t="n">
        <f aca="false">$C$2*(1+IF(E$3&lt;=$O$2,$D638,$D638-($D638-$I$616)*MIN(E$3-$O$2,$Q$2)/$Q$2))</f>
        <v>5543.92244815826</v>
      </c>
      <c r="F638" s="15" t="n">
        <f aca="false">E638*(1+IF(F$3&lt;=$O$2,$D638,$D638-($D638-$I$616)*MIN(F$3-$O$2,$Q$2)/$Q$2))</f>
        <v>6272.46451248839</v>
      </c>
      <c r="G638" s="15" t="n">
        <f aca="false">F638*(1+IF(G$3&lt;=$O$2,$D638,$D638-($D638-$I$616)*MIN(G$3-$O$2,$Q$2)/$Q$2))</f>
        <v>7096.74628899193</v>
      </c>
      <c r="H638" s="15" t="n">
        <f aca="false">G638*(1+IF(H$3&lt;=$O$2,$D638,$D638-($D638-$I$616)*MIN(H$3-$O$2,$Q$2)/$Q$2))</f>
        <v>8029.34919600536</v>
      </c>
      <c r="I638" s="15" t="n">
        <f aca="false">H638*(1+IF(I$3&lt;=$O$2,$D638,$D638-($D638-$I$616)*MIN(I$3-$O$2,$Q$2)/$Q$2))</f>
        <v>9084.50801057869</v>
      </c>
      <c r="J638" s="15" t="n">
        <f aca="false">I638*(1+IF(J$3&lt;=$O$2,$D638,$D638-($D638-$I$616)*MIN(J$3-$O$2,$Q$2)/$Q$2))</f>
        <v>10081.8979221505</v>
      </c>
      <c r="K638" s="15" t="n">
        <f aca="false">J638*(1+IF(K$3&lt;=$O$2,$D638,$D638-($D638-$I$616)*MIN(K$3-$O$2,$Q$2)/$Q$2))</f>
        <v>10970.7951363497</v>
      </c>
      <c r="L638" s="15" t="n">
        <f aca="false">K638*(1+IF(L$3&lt;=$O$2,$D638,$D638-($D638-$I$616)*MIN(L$3-$O$2,$Q$2)/$Q$2))</f>
        <v>11700.8477717389</v>
      </c>
      <c r="M638" s="15" t="n">
        <f aca="false">L638*(1+IF(M$3&lt;=$O$2,$D638,$D638-($D638-$I$616)*MIN(M$3-$O$2,$Q$2)/$Q$2))</f>
        <v>12226.479677988</v>
      </c>
      <c r="N638" s="15" t="n">
        <f aca="false">M638*(1+IF(N$3&lt;=$O$2,$D638,$D638-($D638-$I$616)*MIN(N$3-$O$2,$Q$2)/$Q$2))</f>
        <v>12511.3566544851</v>
      </c>
      <c r="O638" s="15" t="n">
        <f aca="false">SUMPRODUCT(E638:N638,1/(1+$F$616)^$E$3:$N$3)*$E$2</f>
        <v>8383.21149991063</v>
      </c>
      <c r="P638" s="15" t="n">
        <f aca="false">N638*$E$2*(1+$I$616)/($F$616-$I$616)/(1+$F$616)^$N$3</f>
        <v>9267.29197001585</v>
      </c>
      <c r="Q638" s="15" t="n">
        <f aca="false">O638+P638</f>
        <v>17650.5034699265</v>
      </c>
      <c r="R638" s="15" t="n">
        <f aca="false">Q638-$G$2+$I$2</f>
        <v>12830.0034699265</v>
      </c>
      <c r="S638" s="42" t="n">
        <f aca="false">R638/$K$2</f>
        <v>66.9624398221632</v>
      </c>
      <c r="T638" s="43" t="n">
        <f aca="false">S638-$M$2</f>
        <v>1.81102634400077E-005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0.131412029266357</v>
      </c>
      <c r="C639" s="25" t="n">
        <f aca="false">IF(T638&gt;0,D638,C638)</f>
        <v>0.131412744522095</v>
      </c>
      <c r="D639" s="41" t="n">
        <f aca="false">(B639+C639)/2</f>
        <v>0.131412386894226</v>
      </c>
      <c r="E639" s="15" t="n">
        <f aca="false">$C$2*(1+IF(E$3&lt;=$O$2,$D639,$D639-($D639-$I$616)*MIN(E$3-$O$2,$Q$2)/$Q$2))</f>
        <v>5543.92069578171</v>
      </c>
      <c r="F639" s="15" t="n">
        <f aca="false">E639*(1+IF(F$3&lt;=$O$2,$D639,$D639-($D639-$I$616)*MIN(F$3-$O$2,$Q$2)/$Q$2))</f>
        <v>6272.46054716668</v>
      </c>
      <c r="G639" s="15" t="n">
        <f aca="false">F639*(1+IF(G$3&lt;=$O$2,$D639,$D639-($D639-$I$616)*MIN(G$3-$O$2,$Q$2)/$Q$2))</f>
        <v>7096.73955936972</v>
      </c>
      <c r="H639" s="15" t="n">
        <f aca="false">G639*(1+IF(H$3&lt;=$O$2,$D639,$D639-($D639-$I$616)*MIN(H$3-$O$2,$Q$2)/$Q$2))</f>
        <v>8029.33904403317</v>
      </c>
      <c r="I639" s="15" t="n">
        <f aca="false">H639*(1+IF(I$3&lt;=$O$2,$D639,$D639-($D639-$I$616)*MIN(I$3-$O$2,$Q$2)/$Q$2))</f>
        <v>9084.49365299257</v>
      </c>
      <c r="J639" s="15" t="n">
        <f aca="false">I639*(1+IF(J$3&lt;=$O$2,$D639,$D639-($D639-$I$616)*MIN(J$3-$O$2,$Q$2)/$Q$2))</f>
        <v>10081.8793891477</v>
      </c>
      <c r="K639" s="15" t="n">
        <f aca="false">J639*(1+IF(K$3&lt;=$O$2,$D639,$D639-($D639-$I$616)*MIN(K$3-$O$2,$Q$2)/$Q$2))</f>
        <v>10970.7728059991</v>
      </c>
      <c r="L639" s="15" t="n">
        <f aca="false">K639*(1+IF(L$3&lt;=$O$2,$D639,$D639-($D639-$I$616)*MIN(L$3-$O$2,$Q$2)/$Q$2))</f>
        <v>11700.8223860312</v>
      </c>
      <c r="M639" s="15" t="n">
        <f aca="false">L639*(1+IF(M$3&lt;=$O$2,$D639,$D639-($D639-$I$616)*MIN(M$3-$O$2,$Q$2)/$Q$2))</f>
        <v>12226.4523149816</v>
      </c>
      <c r="N639" s="15" t="n">
        <f aca="false">M639*(1+IF(N$3&lt;=$O$2,$D639,$D639-($D639-$I$616)*MIN(N$3-$O$2,$Q$2)/$Q$2))</f>
        <v>12511.3286539207</v>
      </c>
      <c r="O639" s="15" t="n">
        <f aca="false">SUMPRODUCT(E639:N639,1/(1+$F$616)^$E$3:$N$3)*$E$2</f>
        <v>8383.19872236512</v>
      </c>
      <c r="P639" s="15" t="n">
        <f aca="false">N639*$E$2*(1+$I$616)/($F$616-$I$616)/(1+$F$616)^$N$3</f>
        <v>9267.27122970661</v>
      </c>
      <c r="Q639" s="15" t="n">
        <f aca="false">O639+P639</f>
        <v>17650.4699520717</v>
      </c>
      <c r="R639" s="15" t="n">
        <f aca="false">Q639-$G$2+$I$2</f>
        <v>12829.9699520717</v>
      </c>
      <c r="S639" s="42" t="n">
        <f aca="false">R639/$K$2</f>
        <v>66.9622648855518</v>
      </c>
      <c r="T639" s="43" t="n">
        <f aca="false">S639-$M$2</f>
        <v>-0.000156826347961214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0.131412386894226</v>
      </c>
      <c r="C640" s="25" t="n">
        <f aca="false">IF(T639&gt;0,D639,C639)</f>
        <v>0.131412744522095</v>
      </c>
      <c r="D640" s="41" t="n">
        <f aca="false">(B640+C640)/2</f>
        <v>0.13141256570816</v>
      </c>
      <c r="E640" s="15" t="n">
        <f aca="false">$C$2*(1+IF(E$3&lt;=$O$2,$D640,$D640-($D640-$I$616)*MIN(E$3-$O$2,$Q$2)/$Q$2))</f>
        <v>5543.92157196999</v>
      </c>
      <c r="F640" s="15" t="n">
        <f aca="false">E640*(1+IF(F$3&lt;=$O$2,$D640,$D640-($D640-$I$616)*MIN(F$3-$O$2,$Q$2)/$Q$2))</f>
        <v>6272.46252982738</v>
      </c>
      <c r="G640" s="15" t="n">
        <f aca="false">F640*(1+IF(G$3&lt;=$O$2,$D640,$D640-($D640-$I$616)*MIN(G$3-$O$2,$Q$2)/$Q$2))</f>
        <v>7096.74292418029</v>
      </c>
      <c r="H640" s="15" t="n">
        <f aca="false">G640*(1+IF(H$3&lt;=$O$2,$D640,$D640-($D640-$I$616)*MIN(H$3-$O$2,$Q$2)/$Q$2))</f>
        <v>8029.34412001806</v>
      </c>
      <c r="I640" s="15" t="n">
        <f aca="false">H640*(1+IF(I$3&lt;=$O$2,$D640,$D640-($D640-$I$616)*MIN(I$3-$O$2,$Q$2)/$Q$2))</f>
        <v>9084.50083178336</v>
      </c>
      <c r="J640" s="15" t="n">
        <f aca="false">I640*(1+IF(J$3&lt;=$O$2,$D640,$D640-($D640-$I$616)*MIN(J$3-$O$2,$Q$2)/$Q$2))</f>
        <v>10081.8886556455</v>
      </c>
      <c r="K640" s="15" t="n">
        <f aca="false">J640*(1+IF(K$3&lt;=$O$2,$D640,$D640-($D640-$I$616)*MIN(K$3-$O$2,$Q$2)/$Q$2))</f>
        <v>10970.7839711696</v>
      </c>
      <c r="L640" s="15" t="n">
        <f aca="false">K640*(1+IF(L$3&lt;=$O$2,$D640,$D640-($D640-$I$616)*MIN(L$3-$O$2,$Q$2)/$Q$2))</f>
        <v>11700.8350788791</v>
      </c>
      <c r="M640" s="15" t="n">
        <f aca="false">L640*(1+IF(M$3&lt;=$O$2,$D640,$D640-($D640-$I$616)*MIN(M$3-$O$2,$Q$2)/$Q$2))</f>
        <v>12226.4659964781</v>
      </c>
      <c r="N640" s="15" t="n">
        <f aca="false">M640*(1+IF(N$3&lt;=$O$2,$D640,$D640-($D640-$I$616)*MIN(N$3-$O$2,$Q$2)/$Q$2))</f>
        <v>12511.342654196</v>
      </c>
      <c r="O640" s="15" t="n">
        <f aca="false">SUMPRODUCT(E640:N640,1/(1+$F$616)^$E$3:$N$3)*$E$2</f>
        <v>8383.20511113546</v>
      </c>
      <c r="P640" s="15" t="n">
        <f aca="false">N640*$E$2*(1+$I$616)/($F$616-$I$616)/(1+$F$616)^$N$3</f>
        <v>9267.28159985615</v>
      </c>
      <c r="Q640" s="15" t="n">
        <f aca="false">O640+P640</f>
        <v>17650.4867109916</v>
      </c>
      <c r="R640" s="15" t="n">
        <f aca="false">Q640-$G$2+$I$2</f>
        <v>12829.9867109916</v>
      </c>
      <c r="S640" s="42" t="n">
        <f aca="false">R640/$K$2</f>
        <v>66.9623523538185</v>
      </c>
      <c r="T640" s="43" t="n">
        <f aca="false">S640-$M$2</f>
        <v>-6.93580813333483E-005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0.13141256570816</v>
      </c>
      <c r="C641" s="25" t="n">
        <f aca="false">IF(T640&gt;0,D640,C640)</f>
        <v>0.131412744522095</v>
      </c>
      <c r="D641" s="41" t="n">
        <f aca="false">(B641+C641)/2</f>
        <v>0.131412655115128</v>
      </c>
      <c r="E641" s="15" t="n">
        <f aca="false">$C$2*(1+IF(E$3&lt;=$O$2,$D641,$D641-($D641-$I$616)*MIN(E$3-$O$2,$Q$2)/$Q$2))</f>
        <v>5543.92201006413</v>
      </c>
      <c r="F641" s="15" t="n">
        <f aca="false">E641*(1+IF(F$3&lt;=$O$2,$D641,$D641-($D641-$I$616)*MIN(F$3-$O$2,$Q$2)/$Q$2))</f>
        <v>6272.46352115785</v>
      </c>
      <c r="G641" s="15" t="n">
        <f aca="false">F641*(1+IF(G$3&lt;=$O$2,$D641,$D641-($D641-$I$616)*MIN(G$3-$O$2,$Q$2)/$Q$2))</f>
        <v>7096.74460658598</v>
      </c>
      <c r="H641" s="15" t="n">
        <f aca="false">G641*(1+IF(H$3&lt;=$O$2,$D641,$D641-($D641-$I$616)*MIN(H$3-$O$2,$Q$2)/$Q$2))</f>
        <v>8029.34665801141</v>
      </c>
      <c r="I641" s="15" t="n">
        <f aca="false">H641*(1+IF(I$3&lt;=$O$2,$D641,$D641-($D641-$I$616)*MIN(I$3-$O$2,$Q$2)/$Q$2))</f>
        <v>9084.50442118046</v>
      </c>
      <c r="J641" s="15" t="n">
        <f aca="false">I641*(1+IF(J$3&lt;=$O$2,$D641,$D641-($D641-$I$616)*MIN(J$3-$O$2,$Q$2)/$Q$2))</f>
        <v>10081.8932888971</v>
      </c>
      <c r="K641" s="15" t="n">
        <f aca="false">J641*(1+IF(K$3&lt;=$O$2,$D641,$D641-($D641-$I$616)*MIN(K$3-$O$2,$Q$2)/$Q$2))</f>
        <v>10970.7895537585</v>
      </c>
      <c r="L641" s="15" t="n">
        <f aca="false">K641*(1+IF(L$3&lt;=$O$2,$D641,$D641-($D641-$I$616)*MIN(L$3-$O$2,$Q$2)/$Q$2))</f>
        <v>11700.8414253075</v>
      </c>
      <c r="M641" s="15" t="n">
        <f aca="false">L641*(1+IF(M$3&lt;=$O$2,$D641,$D641-($D641-$I$616)*MIN(M$3-$O$2,$Q$2)/$Q$2))</f>
        <v>12226.4728372314</v>
      </c>
      <c r="N641" s="15" t="n">
        <f aca="false">M641*(1+IF(N$3&lt;=$O$2,$D641,$D641-($D641-$I$616)*MIN(N$3-$O$2,$Q$2)/$Q$2))</f>
        <v>12511.3496543388</v>
      </c>
      <c r="O641" s="15" t="n">
        <f aca="false">SUMPRODUCT(E641:N641,1/(1+$F$616)^$E$3:$N$3)*$E$2</f>
        <v>8383.20830552244</v>
      </c>
      <c r="P641" s="15" t="n">
        <f aca="false">N641*$E$2*(1+$I$616)/($F$616-$I$616)/(1+$F$616)^$N$3</f>
        <v>9267.28678493473</v>
      </c>
      <c r="Q641" s="15" t="n">
        <f aca="false">O641+P641</f>
        <v>17650.4950904572</v>
      </c>
      <c r="R641" s="15" t="n">
        <f aca="false">Q641-$G$2+$I$2</f>
        <v>12829.9950904572</v>
      </c>
      <c r="S641" s="42" t="n">
        <f aca="false">R641/$K$2</f>
        <v>66.9623960879811</v>
      </c>
      <c r="T641" s="43" t="n">
        <f aca="false">S641-$M$2</f>
        <v>-2.56239187166329E-005</v>
      </c>
    </row>
    <row r="643" customFormat="false" ht="15" hidden="false" customHeight="false" outlineLevel="0" collapsed="false">
      <c r="A643" s="38" t="s">
        <v>195</v>
      </c>
      <c r="E643" s="5" t="s">
        <v>11</v>
      </c>
      <c r="F643" s="12" t="n">
        <f aca="false">Sensitivity!$B$14</f>
        <v>0.105084897741638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153</v>
      </c>
      <c r="B644" s="28" t="s">
        <v>154</v>
      </c>
      <c r="C644" s="28" t="s">
        <v>155</v>
      </c>
      <c r="D644" s="28" t="s">
        <v>156</v>
      </c>
      <c r="E644" s="28" t="s">
        <v>157</v>
      </c>
      <c r="F644" s="28" t="s">
        <v>158</v>
      </c>
      <c r="G644" s="28" t="s">
        <v>159</v>
      </c>
      <c r="H644" s="28" t="s">
        <v>160</v>
      </c>
      <c r="I644" s="28" t="s">
        <v>161</v>
      </c>
      <c r="J644" s="28" t="s">
        <v>162</v>
      </c>
      <c r="K644" s="28" t="s">
        <v>163</v>
      </c>
      <c r="L644" s="28" t="s">
        <v>164</v>
      </c>
      <c r="M644" s="28" t="s">
        <v>165</v>
      </c>
      <c r="N644" s="28" t="s">
        <v>166</v>
      </c>
      <c r="O644" s="28" t="s">
        <v>167</v>
      </c>
      <c r="P644" s="28" t="s">
        <v>168</v>
      </c>
      <c r="Q644" s="28" t="s">
        <v>169</v>
      </c>
      <c r="R644" s="28" t="s">
        <v>170</v>
      </c>
      <c r="S644" s="28" t="s">
        <v>171</v>
      </c>
      <c r="T644" s="28" t="s">
        <v>172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6125</v>
      </c>
      <c r="F645" s="15" t="n">
        <f aca="false">E645*(1+IF(F$3&lt;=$O$2,$D645,$D645-($D645-$I$643)*MIN(F$3-$O$2,$Q$2)/$Q$2))</f>
        <v>7656.25</v>
      </c>
      <c r="G645" s="15" t="n">
        <f aca="false">F645*(1+IF(G$3&lt;=$O$2,$D645,$D645-($D645-$I$643)*MIN(G$3-$O$2,$Q$2)/$Q$2))</f>
        <v>9570.3125</v>
      </c>
      <c r="H645" s="15" t="n">
        <f aca="false">G645*(1+IF(H$3&lt;=$O$2,$D645,$D645-($D645-$I$643)*MIN(H$3-$O$2,$Q$2)/$Q$2))</f>
        <v>11962.890625</v>
      </c>
      <c r="I645" s="15" t="n">
        <f aca="false">H645*(1+IF(I$3&lt;=$O$2,$D645,$D645-($D645-$I$643)*MIN(I$3-$O$2,$Q$2)/$Q$2))</f>
        <v>14953.61328125</v>
      </c>
      <c r="J645" s="15" t="n">
        <f aca="false">I645*(1+IF(J$3&lt;=$O$2,$D645,$D645-($D645-$I$643)*MIN(J$3-$O$2,$Q$2)/$Q$2))</f>
        <v>18028.9733886719</v>
      </c>
      <c r="K645" s="15" t="n">
        <f aca="false">J645*(1+IF(K$3&lt;=$O$2,$D645,$D645-($D645-$I$643)*MIN(K$3-$O$2,$Q$2)/$Q$2))</f>
        <v>20937.4073757324</v>
      </c>
      <c r="L645" s="15" t="n">
        <f aca="false">K645*(1+IF(L$3&lt;=$O$2,$D645,$D645-($D645-$I$643)*MIN(L$3-$O$2,$Q$2)/$Q$2))</f>
        <v>23386.6652905456</v>
      </c>
      <c r="M645" s="15" t="n">
        <f aca="false">L645*(1+IF(M$3&lt;=$O$2,$D645,$D645-($D645-$I$643)*MIN(M$3-$O$2,$Q$2)/$Q$2))</f>
        <v>25085.4726572508</v>
      </c>
      <c r="N645" s="15" t="n">
        <f aca="false">M645*(1+IF(N$3&lt;=$O$2,$D645,$D645-($D645-$I$643)*MIN(N$3-$O$2,$Q$2)/$Q$2))</f>
        <v>25795.391533451</v>
      </c>
      <c r="O645" s="15" t="n">
        <f aca="false">SUMPRODUCT(E645:N645,1/(1+$F$643)^$E$3:$N$3)*$E$2</f>
        <v>13911.7833647499</v>
      </c>
      <c r="P645" s="15" t="n">
        <f aca="false">N645*$E$2*(1+$I$643)/($F$643-$I$643)/(1+$F$643)^$N$3</f>
        <v>20450.5377351503</v>
      </c>
      <c r="Q645" s="15" t="n">
        <f aca="false">O645+P645</f>
        <v>34362.3210999002</v>
      </c>
      <c r="R645" s="15" t="n">
        <f aca="false">Q645-$G$2+$I$2</f>
        <v>29541.8210999002</v>
      </c>
      <c r="S645" s="42" t="n">
        <f aca="false">R645/$K$2</f>
        <v>154.184870041233</v>
      </c>
      <c r="T645" s="43" t="n">
        <f aca="false">S645-$M$2</f>
        <v>87.2224483293331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4287.5</v>
      </c>
      <c r="F646" s="15" t="n">
        <f aca="false">E646*(1+IF(F$3&lt;=$O$2,$D646,$D646-($D646-$I$643)*MIN(F$3-$O$2,$Q$2)/$Q$2))</f>
        <v>3751.5625</v>
      </c>
      <c r="G646" s="15" t="n">
        <f aca="false">F646*(1+IF(G$3&lt;=$O$2,$D646,$D646-($D646-$I$643)*MIN(G$3-$O$2,$Q$2)/$Q$2))</f>
        <v>3282.6171875</v>
      </c>
      <c r="H646" s="15" t="n">
        <f aca="false">G646*(1+IF(H$3&lt;=$O$2,$D646,$D646-($D646-$I$643)*MIN(H$3-$O$2,$Q$2)/$Q$2))</f>
        <v>2872.2900390625</v>
      </c>
      <c r="I646" s="15" t="n">
        <f aca="false">H646*(1+IF(I$3&lt;=$O$2,$D646,$D646-($D646-$I$643)*MIN(I$3-$O$2,$Q$2)/$Q$2))</f>
        <v>2513.25378417969</v>
      </c>
      <c r="J646" s="15" t="n">
        <f aca="false">I646*(1+IF(J$3&lt;=$O$2,$D646,$D646-($D646-$I$643)*MIN(J$3-$O$2,$Q$2)/$Q$2))</f>
        <v>2276.15342218018</v>
      </c>
      <c r="K646" s="15" t="n">
        <f aca="false">J646*(1+IF(K$3&lt;=$O$2,$D646,$D646-($D646-$I$643)*MIN(K$3-$O$2,$Q$2)/$Q$2))</f>
        <v>2131.20797225574</v>
      </c>
      <c r="L646" s="15" t="n">
        <f aca="false">K646*(1+IF(L$3&lt;=$O$2,$D646,$D646-($D646-$I$643)*MIN(L$3-$O$2,$Q$2)/$Q$2))</f>
        <v>2060.83548501186</v>
      </c>
      <c r="M646" s="15" t="n">
        <f aca="false">L646*(1+IF(M$3&lt;=$O$2,$D646,$D646-($D646-$I$643)*MIN(M$3-$O$2,$Q$2)/$Q$2))</f>
        <v>2055.97191326723</v>
      </c>
      <c r="N646" s="15" t="n">
        <f aca="false">M646*(1+IF(N$3&lt;=$O$2,$D646,$D646-($D646-$I$643)*MIN(N$3-$O$2,$Q$2)/$Q$2))</f>
        <v>2114.15591841269</v>
      </c>
      <c r="O646" s="15" t="n">
        <f aca="false">SUMPRODUCT(E646:N646,1/(1+$F$643)^$E$3:$N$3)*$E$2</f>
        <v>2843.7032626247</v>
      </c>
      <c r="P646" s="15" t="n">
        <f aca="false">N646*$E$2*(1+$I$643)/($F$643-$I$643)/(1+$F$643)^$N$3</f>
        <v>1676.09882297863</v>
      </c>
      <c r="Q646" s="15" t="n">
        <f aca="false">O646+P646</f>
        <v>4519.80208560333</v>
      </c>
      <c r="R646" s="15" t="n">
        <f aca="false">Q646-$G$2+$I$2</f>
        <v>-300.697914396673</v>
      </c>
      <c r="S646" s="42" t="n">
        <f aca="false">R646/$K$2</f>
        <v>-1.56940456365696</v>
      </c>
      <c r="T646" s="43" t="n">
        <f aca="false">S646-$M$2</f>
        <v>-68.5318262755568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5206.25</v>
      </c>
      <c r="F647" s="15" t="n">
        <f aca="false">E647*(1+IF(F$3&lt;=$O$2,$D647,$D647-($D647-$I$643)*MIN(F$3-$O$2,$Q$2)/$Q$2))</f>
        <v>5531.640625</v>
      </c>
      <c r="G647" s="15" t="n">
        <f aca="false">F647*(1+IF(G$3&lt;=$O$2,$D647,$D647-($D647-$I$643)*MIN(G$3-$O$2,$Q$2)/$Q$2))</f>
        <v>5877.3681640625</v>
      </c>
      <c r="H647" s="15" t="n">
        <f aca="false">G647*(1+IF(H$3&lt;=$O$2,$D647,$D647-($D647-$I$643)*MIN(H$3-$O$2,$Q$2)/$Q$2))</f>
        <v>6244.70367431641</v>
      </c>
      <c r="I647" s="15" t="n">
        <f aca="false">H647*(1+IF(I$3&lt;=$O$2,$D647,$D647-($D647-$I$643)*MIN(I$3-$O$2,$Q$2)/$Q$2))</f>
        <v>6634.99765396118</v>
      </c>
      <c r="J647" s="15" t="n">
        <f aca="false">I647*(1+IF(J$3&lt;=$O$2,$D647,$D647-($D647-$I$643)*MIN(J$3-$O$2,$Q$2)/$Q$2))</f>
        <v>7004.30162338066</v>
      </c>
      <c r="K647" s="15" t="n">
        <f aca="false">J647*(1+IF(K$3&lt;=$O$2,$D647,$D647-($D647-$I$643)*MIN(K$3-$O$2,$Q$2)/$Q$2))</f>
        <v>7346.25162863411</v>
      </c>
      <c r="L647" s="15" t="n">
        <f aca="false">K647*(1+IF(L$3&lt;=$O$2,$D647,$D647-($D647-$I$643)*MIN(L$3-$O$2,$Q$2)/$Q$2))</f>
        <v>7654.64727200416</v>
      </c>
      <c r="M647" s="15" t="n">
        <f aca="false">L647*(1+IF(M$3&lt;=$O$2,$D647,$D647-($D647-$I$643)*MIN(M$3-$O$2,$Q$2)/$Q$2))</f>
        <v>7923.63157714239</v>
      </c>
      <c r="N647" s="15" t="n">
        <f aca="false">M647*(1+IF(N$3&lt;=$O$2,$D647,$D647-($D647-$I$643)*MIN(N$3-$O$2,$Q$2)/$Q$2))</f>
        <v>8147.87035077552</v>
      </c>
      <c r="O647" s="15" t="n">
        <f aca="false">SUMPRODUCT(E647:N647,1/(1+$F$643)^$E$3:$N$3)*$E$2</f>
        <v>6266.22198960795</v>
      </c>
      <c r="P647" s="15" t="n">
        <f aca="false">N647*$E$2*(1+$I$643)/($F$643-$I$643)/(1+$F$643)^$N$3</f>
        <v>6459.61624011663</v>
      </c>
      <c r="Q647" s="15" t="n">
        <f aca="false">O647+P647</f>
        <v>12725.8382297246</v>
      </c>
      <c r="R647" s="15" t="n">
        <f aca="false">Q647-$G$2+$I$2</f>
        <v>7905.33822972457</v>
      </c>
      <c r="S647" s="42" t="n">
        <f aca="false">R647/$K$2</f>
        <v>41.2595941008589</v>
      </c>
      <c r="T647" s="43" t="n">
        <f aca="false">S647-$M$2</f>
        <v>-25.7028276110409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5665.625</v>
      </c>
      <c r="F648" s="15" t="n">
        <f aca="false">E648*(1+IF(F$3&lt;=$O$2,$D648,$D648-($D648-$I$643)*MIN(F$3-$O$2,$Q$2)/$Q$2))</f>
        <v>6550.87890625</v>
      </c>
      <c r="G648" s="15" t="n">
        <f aca="false">F648*(1+IF(G$3&lt;=$O$2,$D648,$D648-($D648-$I$643)*MIN(G$3-$O$2,$Q$2)/$Q$2))</f>
        <v>7574.45373535156</v>
      </c>
      <c r="H648" s="15" t="n">
        <f aca="false">G648*(1+IF(H$3&lt;=$O$2,$D648,$D648-($D648-$I$643)*MIN(H$3-$O$2,$Q$2)/$Q$2))</f>
        <v>8757.96213150024</v>
      </c>
      <c r="I648" s="15" t="n">
        <f aca="false">H648*(1+IF(I$3&lt;=$O$2,$D648,$D648-($D648-$I$643)*MIN(I$3-$O$2,$Q$2)/$Q$2))</f>
        <v>10126.3937145472</v>
      </c>
      <c r="J648" s="15" t="n">
        <f aca="false">I648*(1+IF(J$3&lt;=$O$2,$D648,$D648-($D648-$I$643)*MIN(J$3-$O$2,$Q$2)/$Q$2))</f>
        <v>11449.5083172899</v>
      </c>
      <c r="K648" s="15" t="n">
        <f aca="false">J648*(1+IF(K$3&lt;=$O$2,$D648,$D648-($D648-$I$643)*MIN(K$3-$O$2,$Q$2)/$Q$2))</f>
        <v>12652.5081561875</v>
      </c>
      <c r="L648" s="15" t="n">
        <f aca="false">K648*(1+IF(L$3&lt;=$O$2,$D648,$D648-($D648-$I$643)*MIN(L$3-$O$2,$Q$2)/$Q$2))</f>
        <v>13658.1295044413</v>
      </c>
      <c r="M648" s="15" t="n">
        <f aca="false">L648*(1+IF(M$3&lt;=$O$2,$D648,$D648-($D648-$I$643)*MIN(M$3-$O$2,$Q$2)/$Q$2))</f>
        <v>14394.1661034357</v>
      </c>
      <c r="N648" s="15" t="n">
        <f aca="false">M648*(1+IF(N$3&lt;=$O$2,$D648,$D648-($D648-$I$643)*MIN(N$3-$O$2,$Q$2)/$Q$2))</f>
        <v>14801.5210041629</v>
      </c>
      <c r="O648" s="15" t="n">
        <f aca="false">SUMPRODUCT(E648:N648,1/(1+$F$643)^$E$3:$N$3)*$E$2</f>
        <v>9348.69629235514</v>
      </c>
      <c r="P648" s="15" t="n">
        <f aca="false">N648*$E$2*(1+$I$643)/($F$643-$I$643)/(1+$F$643)^$N$3</f>
        <v>11734.6179235434</v>
      </c>
      <c r="Q648" s="15" t="n">
        <f aca="false">O648+P648</f>
        <v>21083.3142158985</v>
      </c>
      <c r="R648" s="15" t="n">
        <f aca="false">Q648-$G$2+$I$2</f>
        <v>16262.8142158985</v>
      </c>
      <c r="S648" s="42" t="n">
        <f aca="false">R648/$K$2</f>
        <v>84.8789886007229</v>
      </c>
      <c r="T648" s="43" t="n">
        <f aca="false">S648-$M$2</f>
        <v>17.9165668888231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5435.9375</v>
      </c>
      <c r="F649" s="15" t="n">
        <f aca="false">E649*(1+IF(F$3&lt;=$O$2,$D649,$D649-($D649-$I$643)*MIN(F$3-$O$2,$Q$2)/$Q$2))</f>
        <v>6030.4931640625</v>
      </c>
      <c r="G649" s="15" t="n">
        <f aca="false">F649*(1+IF(G$3&lt;=$O$2,$D649,$D649-($D649-$I$643)*MIN(G$3-$O$2,$Q$2)/$Q$2))</f>
        <v>6690.07835388184</v>
      </c>
      <c r="H649" s="15" t="n">
        <f aca="false">G649*(1+IF(H$3&lt;=$O$2,$D649,$D649-($D649-$I$643)*MIN(H$3-$O$2,$Q$2)/$Q$2))</f>
        <v>7421.80567383766</v>
      </c>
      <c r="I649" s="15" t="n">
        <f aca="false">H649*(1+IF(I$3&lt;=$O$2,$D649,$D649-($D649-$I$643)*MIN(I$3-$O$2,$Q$2)/$Q$2))</f>
        <v>8233.56566941366</v>
      </c>
      <c r="J649" s="15" t="n">
        <f aca="false">I649*(1+IF(J$3&lt;=$O$2,$D649,$D649-($D649-$I$643)*MIN(J$3-$O$2,$Q$2)/$Q$2))</f>
        <v>9000.60464717623</v>
      </c>
      <c r="K649" s="15" t="n">
        <f aca="false">J649*(1+IF(K$3&lt;=$O$2,$D649,$D649-($D649-$I$643)*MIN(K$3-$O$2,$Q$2)/$Q$2))</f>
        <v>9693.15617175321</v>
      </c>
      <c r="L649" s="15" t="n">
        <f aca="false">K649*(1+IF(L$3&lt;=$O$2,$D649,$D649-($D649-$I$643)*MIN(L$3-$O$2,$Q$2)/$Q$2))</f>
        <v>10281.8215460638</v>
      </c>
      <c r="M649" s="15" t="n">
        <f aca="false">L649*(1+IF(M$3&lt;=$O$2,$D649,$D649-($D649-$I$643)*MIN(M$3-$O$2,$Q$2)/$Q$2))</f>
        <v>10739.5168321868</v>
      </c>
      <c r="N649" s="15" t="n">
        <f aca="false">M649*(1+IF(N$3&lt;=$O$2,$D649,$D649-($D649-$I$643)*MIN(N$3-$O$2,$Q$2)/$Q$2))</f>
        <v>11043.4451585377</v>
      </c>
      <c r="O649" s="15" t="n">
        <f aca="false">SUMPRODUCT(E649:N649,1/(1+$F$643)^$E$3:$N$3)*$E$2</f>
        <v>7654.3528060954</v>
      </c>
      <c r="P649" s="15" t="n">
        <f aca="false">N649*$E$2*(1+$I$643)/($F$643-$I$643)/(1+$F$643)^$N$3</f>
        <v>8755.22248413508</v>
      </c>
      <c r="Q649" s="15" t="n">
        <f aca="false">O649+P649</f>
        <v>16409.5752902305</v>
      </c>
      <c r="R649" s="15" t="n">
        <f aca="false">Q649-$G$2+$I$2</f>
        <v>11589.0752902305</v>
      </c>
      <c r="S649" s="42" t="n">
        <f aca="false">R649/$K$2</f>
        <v>60.4857791765683</v>
      </c>
      <c r="T649" s="43" t="n">
        <f aca="false">S649-$M$2</f>
        <v>-6.47664253533152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0.109375</v>
      </c>
      <c r="C650" s="25" t="n">
        <f aca="false">IF(T649&gt;0,D649,C649)</f>
        <v>0.15625</v>
      </c>
      <c r="D650" s="41" t="n">
        <f aca="false">(B650+C650)/2</f>
        <v>0.1328125</v>
      </c>
      <c r="E650" s="15" t="n">
        <f aca="false">$C$2*(1+IF(E$3&lt;=$O$2,$D650,$D650-($D650-$I$643)*MIN(E$3-$O$2,$Q$2)/$Q$2))</f>
        <v>5550.78125</v>
      </c>
      <c r="F650" s="15" t="n">
        <f aca="false">E650*(1+IF(F$3&lt;=$O$2,$D650,$D650-($D650-$I$643)*MIN(F$3-$O$2,$Q$2)/$Q$2))</f>
        <v>6287.99438476563</v>
      </c>
      <c r="G650" s="15" t="n">
        <f aca="false">F650*(1+IF(G$3&lt;=$O$2,$D650,$D650-($D650-$I$643)*MIN(G$3-$O$2,$Q$2)/$Q$2))</f>
        <v>7123.11863899231</v>
      </c>
      <c r="H650" s="15" t="n">
        <f aca="false">G650*(1+IF(H$3&lt;=$O$2,$D650,$D650-($D650-$I$643)*MIN(H$3-$O$2,$Q$2)/$Q$2))</f>
        <v>8069.15783323348</v>
      </c>
      <c r="I650" s="15" t="n">
        <f aca="false">H650*(1+IF(I$3&lt;=$O$2,$D650,$D650-($D650-$I$643)*MIN(I$3-$O$2,$Q$2)/$Q$2))</f>
        <v>9140.8428579598</v>
      </c>
      <c r="J650" s="15" t="n">
        <f aca="false">I650*(1+IF(J$3&lt;=$O$2,$D650,$D650-($D650-$I$643)*MIN(J$3-$O$2,$Q$2)/$Q$2))</f>
        <v>10163.7945821941</v>
      </c>
      <c r="K650" s="15" t="n">
        <f aca="false">J650*(1+IF(K$3&lt;=$O$2,$D650,$D650-($D650-$I$643)*MIN(K$3-$O$2,$Q$2)/$Q$2))</f>
        <v>11088.7761176331</v>
      </c>
      <c r="L650" s="15" t="n">
        <f aca="false">K650*(1+IF(L$3&lt;=$O$2,$D650,$D650-($D650-$I$643)*MIN(L$3-$O$2,$Q$2)/$Q$2))</f>
        <v>11866.1547673598</v>
      </c>
      <c r="M650" s="15" t="n">
        <f aca="false">L650*(1+IF(M$3&lt;=$O$2,$D650,$D650-($D650-$I$643)*MIN(M$3-$O$2,$Q$2)/$Q$2))</f>
        <v>12449.9992473008</v>
      </c>
      <c r="N650" s="15" t="n">
        <f aca="false">M650*(1+IF(N$3&lt;=$O$2,$D650,$D650-($D650-$I$643)*MIN(N$3-$O$2,$Q$2)/$Q$2))</f>
        <v>12802.3342259994</v>
      </c>
      <c r="O650" s="15" t="n">
        <f aca="false">SUMPRODUCT(E650:N650,1/(1+$F$643)^$E$3:$N$3)*$E$2</f>
        <v>8459.64066729774</v>
      </c>
      <c r="P650" s="15" t="n">
        <f aca="false">N650*$E$2*(1+$I$643)/($F$643-$I$643)/(1+$F$643)^$N$3</f>
        <v>10149.6664180224</v>
      </c>
      <c r="Q650" s="15" t="n">
        <f aca="false">O650+P650</f>
        <v>18609.3070853201</v>
      </c>
      <c r="R650" s="15" t="n">
        <f aca="false">Q650-$G$2+$I$2</f>
        <v>13788.8070853201</v>
      </c>
      <c r="S650" s="42" t="n">
        <f aca="false">R650/$K$2</f>
        <v>71.9666340569945</v>
      </c>
      <c r="T650" s="43" t="n">
        <f aca="false">S650-$M$2</f>
        <v>5.00421234509466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0.109375</v>
      </c>
      <c r="C651" s="25" t="n">
        <f aca="false">IF(T650&gt;0,D650,C650)</f>
        <v>0.1328125</v>
      </c>
      <c r="D651" s="41" t="n">
        <f aca="false">(B651+C651)/2</f>
        <v>0.12109375</v>
      </c>
      <c r="E651" s="15" t="n">
        <f aca="false">$C$2*(1+IF(E$3&lt;=$O$2,$D651,$D651-($D651-$I$643)*MIN(E$3-$O$2,$Q$2)/$Q$2))</f>
        <v>5493.359375</v>
      </c>
      <c r="F651" s="15" t="n">
        <f aca="false">E651*(1+IF(F$3&lt;=$O$2,$D651,$D651-($D651-$I$643)*MIN(F$3-$O$2,$Q$2)/$Q$2))</f>
        <v>6158.57086181641</v>
      </c>
      <c r="G651" s="15" t="n">
        <f aca="false">F651*(1+IF(G$3&lt;=$O$2,$D651,$D651-($D651-$I$643)*MIN(G$3-$O$2,$Q$2)/$Q$2))</f>
        <v>6904.33530211449</v>
      </c>
      <c r="H651" s="15" t="n">
        <f aca="false">G651*(1+IF(H$3&lt;=$O$2,$D651,$D651-($D651-$I$643)*MIN(H$3-$O$2,$Q$2)/$Q$2))</f>
        <v>7740.40715510491</v>
      </c>
      <c r="I651" s="15" t="n">
        <f aca="false">H651*(1+IF(I$3&lt;=$O$2,$D651,$D651-($D651-$I$643)*MIN(I$3-$O$2,$Q$2)/$Q$2))</f>
        <v>8677.7220840434</v>
      </c>
      <c r="J651" s="15" t="n">
        <f aca="false">I651*(1+IF(J$3&lt;=$O$2,$D651,$D651-($D651-$I$643)*MIN(J$3-$O$2,$Q$2)/$Q$2))</f>
        <v>9567.49231793079</v>
      </c>
      <c r="K651" s="15" t="n">
        <f aca="false">J651*(1+IF(K$3&lt;=$O$2,$D651,$D651-($D651-$I$643)*MIN(K$3-$O$2,$Q$2)/$Q$2))</f>
        <v>10370.9344446944</v>
      </c>
      <c r="L651" s="15" t="n">
        <f aca="false">K651*(1+IF(L$3&lt;=$O$2,$D651,$D651-($D651-$I$643)*MIN(L$3-$O$2,$Q$2)/$Q$2))</f>
        <v>11049.3750487302</v>
      </c>
      <c r="M651" s="15" t="n">
        <f aca="false">L651*(1+IF(M$3&lt;=$O$2,$D651,$D651-($D651-$I$643)*MIN(M$3-$O$2,$Q$2)/$Q$2))</f>
        <v>11567.1349517949</v>
      </c>
      <c r="N651" s="15" t="n">
        <f aca="false">M651*(1+IF(N$3&lt;=$O$2,$D651,$D651-($D651-$I$643)*MIN(N$3-$O$2,$Q$2)/$Q$2))</f>
        <v>11894.4848709307</v>
      </c>
      <c r="O651" s="15" t="n">
        <f aca="false">SUMPRODUCT(E651:N651,1/(1+$F$643)^$E$3:$N$3)*$E$2</f>
        <v>8046.99927044788</v>
      </c>
      <c r="P651" s="15" t="n">
        <f aca="false">N651*$E$2*(1+$I$643)/($F$643-$I$643)/(1+$F$643)^$N$3</f>
        <v>9429.92516231832</v>
      </c>
      <c r="Q651" s="15" t="n">
        <f aca="false">O651+P651</f>
        <v>17476.9244327662</v>
      </c>
      <c r="R651" s="15" t="n">
        <f aca="false">Q651-$G$2+$I$2</f>
        <v>12656.4244327662</v>
      </c>
      <c r="S651" s="42" t="n">
        <f aca="false">R651/$K$2</f>
        <v>66.0564949518069</v>
      </c>
      <c r="T651" s="43" t="n">
        <f aca="false">S651-$M$2</f>
        <v>-0.90592676009291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0.12109375</v>
      </c>
      <c r="C652" s="25" t="n">
        <f aca="false">IF(T651&gt;0,D651,C651)</f>
        <v>0.1328125</v>
      </c>
      <c r="D652" s="41" t="n">
        <f aca="false">(B652+C652)/2</f>
        <v>0.126953125</v>
      </c>
      <c r="E652" s="15" t="n">
        <f aca="false">$C$2*(1+IF(E$3&lt;=$O$2,$D652,$D652-($D652-$I$643)*MIN(E$3-$O$2,$Q$2)/$Q$2))</f>
        <v>5522.0703125</v>
      </c>
      <c r="F652" s="15" t="n">
        <f aca="false">E652*(1+IF(F$3&lt;=$O$2,$D652,$D652-($D652-$I$643)*MIN(F$3-$O$2,$Q$2)/$Q$2))</f>
        <v>6223.1143951416</v>
      </c>
      <c r="G652" s="15" t="n">
        <f aca="false">F652*(1+IF(G$3&lt;=$O$2,$D652,$D652-($D652-$I$643)*MIN(G$3-$O$2,$Q$2)/$Q$2))</f>
        <v>7013.15821483731</v>
      </c>
      <c r="H652" s="15" t="n">
        <f aca="false">G652*(1+IF(H$3&lt;=$O$2,$D652,$D652-($D652-$I$643)*MIN(H$3-$O$2,$Q$2)/$Q$2))</f>
        <v>7903.50056633033</v>
      </c>
      <c r="I652" s="15" t="n">
        <f aca="false">H652*(1+IF(I$3&lt;=$O$2,$D652,$D652-($D652-$I$643)*MIN(I$3-$O$2,$Q$2)/$Q$2))</f>
        <v>8906.87466166524</v>
      </c>
      <c r="J652" s="15" t="n">
        <f aca="false">I652*(1+IF(J$3&lt;=$O$2,$D652,$D652-($D652-$I$643)*MIN(J$3-$O$2,$Q$2)/$Q$2))</f>
        <v>9861.89203007564</v>
      </c>
      <c r="K652" s="15" t="n">
        <f aca="false">J652*(1+IF(K$3&lt;=$O$2,$D652,$D652-($D652-$I$643)*MIN(K$3-$O$2,$Q$2)/$Q$2))</f>
        <v>10724.7274548345</v>
      </c>
      <c r="L652" s="15" t="n">
        <f aca="false">K652*(1+IF(L$3&lt;=$O$2,$D652,$D652-($D652-$I$643)*MIN(L$3-$O$2,$Q$2)/$Q$2))</f>
        <v>11451.4483930834</v>
      </c>
      <c r="M652" s="15" t="n">
        <f aca="false">L652*(1+IF(M$3&lt;=$O$2,$D652,$D652-($D652-$I$643)*MIN(M$3-$O$2,$Q$2)/$Q$2))</f>
        <v>12001.4686165585</v>
      </c>
      <c r="N652" s="15" t="n">
        <f aca="false">M652*(1+IF(N$3&lt;=$O$2,$D652,$D652-($D652-$I$643)*MIN(N$3-$O$2,$Q$2)/$Q$2))</f>
        <v>12341.1101784071</v>
      </c>
      <c r="O652" s="15" t="n">
        <f aca="false">SUMPRODUCT(E652:N652,1/(1+$F$643)^$E$3:$N$3)*$E$2</f>
        <v>8250.76287763747</v>
      </c>
      <c r="P652" s="15" t="n">
        <f aca="false">N652*$E$2*(1+$I$643)/($F$643-$I$643)/(1+$F$643)^$N$3</f>
        <v>9784.00886336135</v>
      </c>
      <c r="Q652" s="15" t="n">
        <f aca="false">O652+P652</f>
        <v>18034.7717409988</v>
      </c>
      <c r="R652" s="15" t="n">
        <f aca="false">Q652-$G$2+$I$2</f>
        <v>13214.2717409988</v>
      </c>
      <c r="S652" s="42" t="n">
        <f aca="false">R652/$K$2</f>
        <v>68.9680153496807</v>
      </c>
      <c r="T652" s="43" t="n">
        <f aca="false">S652-$M$2</f>
        <v>2.00559363778092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0.12109375</v>
      </c>
      <c r="C653" s="25" t="n">
        <f aca="false">IF(T652&gt;0,D652,C652)</f>
        <v>0.126953125</v>
      </c>
      <c r="D653" s="41" t="n">
        <f aca="false">(B653+C653)/2</f>
        <v>0.1240234375</v>
      </c>
      <c r="E653" s="15" t="n">
        <f aca="false">$C$2*(1+IF(E$3&lt;=$O$2,$D653,$D653-($D653-$I$643)*MIN(E$3-$O$2,$Q$2)/$Q$2))</f>
        <v>5507.71484375</v>
      </c>
      <c r="F653" s="15" t="n">
        <f aca="false">E653*(1+IF(F$3&lt;=$O$2,$D653,$D653-($D653-$I$643)*MIN(F$3-$O$2,$Q$2)/$Q$2))</f>
        <v>6190.80057144165</v>
      </c>
      <c r="G653" s="15" t="n">
        <f aca="false">F653*(1+IF(G$3&lt;=$O$2,$D653,$D653-($D653-$I$643)*MIN(G$3-$O$2,$Q$2)/$Q$2))</f>
        <v>6958.60493918881</v>
      </c>
      <c r="H653" s="15" t="n">
        <f aca="false">G653*(1+IF(H$3&lt;=$O$2,$D653,$D653-($D653-$I$643)*MIN(H$3-$O$2,$Q$2)/$Q$2))</f>
        <v>7821.63504395148</v>
      </c>
      <c r="I653" s="15" t="n">
        <f aca="false">H653*(1+IF(I$3&lt;=$O$2,$D653,$D653-($D653-$I$643)*MIN(I$3-$O$2,$Q$2)/$Q$2))</f>
        <v>8791.70110897281</v>
      </c>
      <c r="J653" s="15" t="n">
        <f aca="false">I653*(1+IF(J$3&lt;=$O$2,$D653,$D653-($D653-$I$643)*MIN(J$3-$O$2,$Q$2)/$Q$2))</f>
        <v>9713.76373165549</v>
      </c>
      <c r="K653" s="15" t="n">
        <f aca="false">J653*(1+IF(K$3&lt;=$O$2,$D653,$D653-($D653-$I$643)*MIN(K$3-$O$2,$Q$2)/$Q$2))</f>
        <v>10546.5641585355</v>
      </c>
      <c r="L653" s="15" t="n">
        <f aca="false">K653*(1+IF(L$3&lt;=$O$2,$D653,$D653-($D653-$I$643)*MIN(L$3-$O$2,$Q$2)/$Q$2))</f>
        <v>11248.8532742498</v>
      </c>
      <c r="M653" s="15" t="n">
        <f aca="false">L653*(1+IF(M$3&lt;=$O$2,$D653,$D653-($D653-$I$643)*MIN(M$3-$O$2,$Q$2)/$Q$2))</f>
        <v>11782.5516025799</v>
      </c>
      <c r="N653" s="15" t="n">
        <f aca="false">M653*(1+IF(N$3&lt;=$O$2,$D653,$D653-($D653-$I$643)*MIN(N$3-$O$2,$Q$2)/$Q$2))</f>
        <v>12115.9978129329</v>
      </c>
      <c r="O653" s="15" t="n">
        <f aca="false">SUMPRODUCT(E653:N653,1/(1+$F$643)^$E$3:$N$3)*$E$2</f>
        <v>8148.24910663667</v>
      </c>
      <c r="P653" s="15" t="n">
        <f aca="false">N653*$E$2*(1+$I$643)/($F$643-$I$643)/(1+$F$643)^$N$3</f>
        <v>9605.54020477137</v>
      </c>
      <c r="Q653" s="15" t="n">
        <f aca="false">O653+P653</f>
        <v>17753.789311408</v>
      </c>
      <c r="R653" s="15" t="n">
        <f aca="false">Q653-$G$2+$I$2</f>
        <v>12933.289311408</v>
      </c>
      <c r="S653" s="42" t="n">
        <f aca="false">R653/$K$2</f>
        <v>67.5015099760336</v>
      </c>
      <c r="T653" s="43" t="n">
        <f aca="false">S653-$M$2</f>
        <v>0.539088264133795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0.12109375</v>
      </c>
      <c r="C654" s="25" t="n">
        <f aca="false">IF(T653&gt;0,D653,C653)</f>
        <v>0.1240234375</v>
      </c>
      <c r="D654" s="41" t="n">
        <f aca="false">(B654+C654)/2</f>
        <v>0.12255859375</v>
      </c>
      <c r="E654" s="15" t="n">
        <f aca="false">$C$2*(1+IF(E$3&lt;=$O$2,$D654,$D654-($D654-$I$643)*MIN(E$3-$O$2,$Q$2)/$Q$2))</f>
        <v>5500.537109375</v>
      </c>
      <c r="F654" s="15" t="n">
        <f aca="false">E654*(1+IF(F$3&lt;=$O$2,$D654,$D654-($D654-$I$643)*MIN(F$3-$O$2,$Q$2)/$Q$2))</f>
        <v>6174.67520236969</v>
      </c>
      <c r="G654" s="15" t="n">
        <f aca="false">F654*(1+IF(G$3&lt;=$O$2,$D654,$D654-($D654-$I$643)*MIN(G$3-$O$2,$Q$2)/$Q$2))</f>
        <v>6931.43471203512</v>
      </c>
      <c r="H654" s="15" t="n">
        <f aca="false">G654*(1+IF(H$3&lt;=$O$2,$D654,$D654-($D654-$I$643)*MIN(H$3-$O$2,$Q$2)/$Q$2))</f>
        <v>7780.94160301208</v>
      </c>
      <c r="I654" s="15" t="n">
        <f aca="false">H654*(1+IF(I$3&lt;=$O$2,$D654,$D654-($D654-$I$643)*MIN(I$3-$O$2,$Q$2)/$Q$2))</f>
        <v>8734.56286392811</v>
      </c>
      <c r="J654" s="15" t="n">
        <f aca="false">I654*(1+IF(J$3&lt;=$O$2,$D654,$D654-($D654-$I$643)*MIN(J$3-$O$2,$Q$2)/$Q$2))</f>
        <v>9640.39708303714</v>
      </c>
      <c r="K654" s="15" t="n">
        <f aca="false">J654*(1+IF(K$3&lt;=$O$2,$D654,$D654-($D654-$I$643)*MIN(K$3-$O$2,$Q$2)/$Q$2))</f>
        <v>10458.4344838303</v>
      </c>
      <c r="L654" s="15" t="n">
        <f aca="false">K654*(1+IF(L$3&lt;=$O$2,$D654,$D654-($D654-$I$643)*MIN(L$3-$O$2,$Q$2)/$Q$2))</f>
        <v>11148.7271106316</v>
      </c>
      <c r="M654" s="15" t="n">
        <f aca="false">L654*(1+IF(M$3&lt;=$O$2,$D654,$D654-($D654-$I$643)*MIN(M$3-$O$2,$Q$2)/$Q$2))</f>
        <v>11674.4087557726</v>
      </c>
      <c r="N654" s="15" t="n">
        <f aca="false">M654*(1+IF(N$3&lt;=$O$2,$D654,$D654-($D654-$I$643)*MIN(N$3-$O$2,$Q$2)/$Q$2))</f>
        <v>12004.794523561</v>
      </c>
      <c r="O654" s="15" t="n">
        <f aca="false">SUMPRODUCT(E654:N654,1/(1+$F$643)^$E$3:$N$3)*$E$2</f>
        <v>8097.46710194896</v>
      </c>
      <c r="P654" s="15" t="n">
        <f aca="false">N654*$E$2*(1+$I$643)/($F$643-$I$643)/(1+$F$643)^$N$3</f>
        <v>9517.37844678357</v>
      </c>
      <c r="Q654" s="15" t="n">
        <f aca="false">O654+P654</f>
        <v>17614.8455487325</v>
      </c>
      <c r="R654" s="15" t="n">
        <f aca="false">Q654-$G$2+$I$2</f>
        <v>12794.3455487325</v>
      </c>
      <c r="S654" s="42" t="n">
        <f aca="false">R654/$K$2</f>
        <v>66.776333761652</v>
      </c>
      <c r="T654" s="43" t="n">
        <f aca="false">S654-$M$2</f>
        <v>-0.186087950247753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0.12255859375</v>
      </c>
      <c r="C655" s="25" t="n">
        <f aca="false">IF(T654&gt;0,D654,C654)</f>
        <v>0.1240234375</v>
      </c>
      <c r="D655" s="41" t="n">
        <f aca="false">(B655+C655)/2</f>
        <v>0.123291015625</v>
      </c>
      <c r="E655" s="15" t="n">
        <f aca="false">$C$2*(1+IF(E$3&lt;=$O$2,$D655,$D655-($D655-$I$643)*MIN(E$3-$O$2,$Q$2)/$Q$2))</f>
        <v>5504.1259765625</v>
      </c>
      <c r="F655" s="15" t="n">
        <f aca="false">E655*(1+IF(F$3&lt;=$O$2,$D655,$D655-($D655-$I$643)*MIN(F$3-$O$2,$Q$2)/$Q$2))</f>
        <v>6182.73525834084</v>
      </c>
      <c r="G655" s="15" t="n">
        <f aca="false">F655*(1+IF(G$3&lt;=$O$2,$D655,$D655-($D655-$I$643)*MIN(G$3-$O$2,$Q$2)/$Q$2))</f>
        <v>6945.01096768217</v>
      </c>
      <c r="H655" s="15" t="n">
        <f aca="false">G655*(1+IF(H$3&lt;=$O$2,$D655,$D655-($D655-$I$643)*MIN(H$3-$O$2,$Q$2)/$Q$2))</f>
        <v>7801.26842341447</v>
      </c>
      <c r="I655" s="15" t="n">
        <f aca="false">H655*(1+IF(I$3&lt;=$O$2,$D655,$D655-($D655-$I$643)*MIN(I$3-$O$2,$Q$2)/$Q$2))</f>
        <v>8763.09473050049</v>
      </c>
      <c r="J655" s="15" t="n">
        <f aca="false">I655*(1+IF(J$3&lt;=$O$2,$D655,$D655-($D655-$I$643)*MIN(J$3-$O$2,$Q$2)/$Q$2))</f>
        <v>9677.02252614831</v>
      </c>
      <c r="K655" s="15" t="n">
        <f aca="false">J655*(1+IF(K$3&lt;=$O$2,$D655,$D655-($D655-$I$643)*MIN(K$3-$O$2,$Q$2)/$Q$2))</f>
        <v>10502.4203824292</v>
      </c>
      <c r="L655" s="15" t="n">
        <f aca="false">K655*(1+IF(L$3&lt;=$O$2,$D655,$D655-($D655-$I$643)*MIN(L$3-$O$2,$Q$2)/$Q$2))</f>
        <v>11198.693110711</v>
      </c>
      <c r="M655" s="15" t="n">
        <f aca="false">L655*(1+IF(M$3&lt;=$O$2,$D655,$D655-($D655-$I$643)*MIN(M$3-$O$2,$Q$2)/$Q$2))</f>
        <v>11728.371172196</v>
      </c>
      <c r="N655" s="15" t="n">
        <f aca="false">M655*(1+IF(N$3&lt;=$O$2,$D655,$D655-($D655-$I$643)*MIN(N$3-$O$2,$Q$2)/$Q$2))</f>
        <v>12060.2840763691</v>
      </c>
      <c r="O655" s="15" t="n">
        <f aca="false">SUMPRODUCT(E655:N655,1/(1+$F$643)^$E$3:$N$3)*$E$2</f>
        <v>8122.81871983878</v>
      </c>
      <c r="P655" s="15" t="n">
        <f aca="false">N655*$E$2*(1+$I$643)/($F$643-$I$643)/(1+$F$643)^$N$3</f>
        <v>9561.37045954822</v>
      </c>
      <c r="Q655" s="15" t="n">
        <f aca="false">O655+P655</f>
        <v>17684.189179387</v>
      </c>
      <c r="R655" s="15" t="n">
        <f aca="false">Q655-$G$2+$I$2</f>
        <v>12863.689179387</v>
      </c>
      <c r="S655" s="42" t="n">
        <f aca="false">R655/$K$2</f>
        <v>67.1382525020198</v>
      </c>
      <c r="T655" s="43" t="n">
        <f aca="false">S655-$M$2</f>
        <v>0.175830790120017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0.12255859375</v>
      </c>
      <c r="C656" s="25" t="n">
        <f aca="false">IF(T655&gt;0,D655,C655)</f>
        <v>0.123291015625</v>
      </c>
      <c r="D656" s="41" t="n">
        <f aca="false">(B656+C656)/2</f>
        <v>0.1229248046875</v>
      </c>
      <c r="E656" s="15" t="n">
        <f aca="false">$C$2*(1+IF(E$3&lt;=$O$2,$D656,$D656-($D656-$I$643)*MIN(E$3-$O$2,$Q$2)/$Q$2))</f>
        <v>5502.33154296875</v>
      </c>
      <c r="F656" s="15" t="n">
        <f aca="false">E656*(1+IF(F$3&lt;=$O$2,$D656,$D656-($D656-$I$643)*MIN(F$3-$O$2,$Q$2)/$Q$2))</f>
        <v>6178.70457321405</v>
      </c>
      <c r="G656" s="15" t="n">
        <f aca="false">F656*(1+IF(G$3&lt;=$O$2,$D656,$D656-($D656-$I$643)*MIN(G$3-$O$2,$Q$2)/$Q$2))</f>
        <v>6938.22062609816</v>
      </c>
      <c r="H656" s="15" t="n">
        <f aca="false">G656*(1+IF(H$3&lt;=$O$2,$D656,$D656-($D656-$I$643)*MIN(H$3-$O$2,$Q$2)/$Q$2))</f>
        <v>7791.10004144005</v>
      </c>
      <c r="I656" s="15" t="n">
        <f aca="false">H656*(1+IF(I$3&lt;=$O$2,$D656,$D656-($D656-$I$643)*MIN(I$3-$O$2,$Q$2)/$Q$2))</f>
        <v>8748.81949233485</v>
      </c>
      <c r="J656" s="15" t="n">
        <f aca="false">I656*(1+IF(J$3&lt;=$O$2,$D656,$D656-($D656-$I$643)*MIN(J$3-$O$2,$Q$2)/$Q$2))</f>
        <v>9658.69535253462</v>
      </c>
      <c r="K656" s="15" t="n">
        <f aca="false">J656*(1+IF(K$3&lt;=$O$2,$D656,$D656-($D656-$I$643)*MIN(K$3-$O$2,$Q$2)/$Q$2))</f>
        <v>10480.4077277731</v>
      </c>
      <c r="L656" s="15" t="n">
        <f aca="false">K656*(1+IF(L$3&lt;=$O$2,$D656,$D656-($D656-$I$643)*MIN(L$3-$O$2,$Q$2)/$Q$2))</f>
        <v>11173.6858801835</v>
      </c>
      <c r="M656" s="15" t="n">
        <f aca="false">L656*(1+IF(M$3&lt;=$O$2,$D656,$D656-($D656-$I$643)*MIN(M$3-$O$2,$Q$2)/$Q$2))</f>
        <v>11701.362759403</v>
      </c>
      <c r="N656" s="15" t="n">
        <f aca="false">M656*(1+IF(N$3&lt;=$O$2,$D656,$D656-($D656-$I$643)*MIN(N$3-$O$2,$Q$2)/$Q$2))</f>
        <v>12032.5113254942</v>
      </c>
      <c r="O656" s="15" t="n">
        <f aca="false">SUMPRODUCT(E656:N656,1/(1+$F$643)^$E$3:$N$3)*$E$2</f>
        <v>8110.133078903</v>
      </c>
      <c r="P656" s="15" t="n">
        <f aca="false">N656*$E$2*(1+$I$643)/($F$643-$I$643)/(1+$F$643)^$N$3</f>
        <v>9539.35227505814</v>
      </c>
      <c r="Q656" s="15" t="n">
        <f aca="false">O656+P656</f>
        <v>17649.4853539611</v>
      </c>
      <c r="R656" s="15" t="n">
        <f aca="false">Q656-$G$2+$I$2</f>
        <v>12828.9853539611</v>
      </c>
      <c r="S656" s="42" t="n">
        <f aca="false">R656/$K$2</f>
        <v>66.9571260645154</v>
      </c>
      <c r="T656" s="43" t="n">
        <f aca="false">S656-$M$2</f>
        <v>-0.00529564738444321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0.1229248046875</v>
      </c>
      <c r="C657" s="25" t="n">
        <f aca="false">IF(T656&gt;0,D656,C656)</f>
        <v>0.123291015625</v>
      </c>
      <c r="D657" s="41" t="n">
        <f aca="false">(B657+C657)/2</f>
        <v>0.12310791015625</v>
      </c>
      <c r="E657" s="15" t="n">
        <f aca="false">$C$2*(1+IF(E$3&lt;=$O$2,$D657,$D657-($D657-$I$643)*MIN(E$3-$O$2,$Q$2)/$Q$2))</f>
        <v>5503.22875976563</v>
      </c>
      <c r="F657" s="15" t="n">
        <f aca="false">E657*(1+IF(F$3&lt;=$O$2,$D657,$D657-($D657-$I$643)*MIN(F$3-$O$2,$Q$2)/$Q$2))</f>
        <v>6180.71975149214</v>
      </c>
      <c r="G657" s="15" t="n">
        <f aca="false">F657*(1+IF(G$3&lt;=$O$2,$D657,$D657-($D657-$I$643)*MIN(G$3-$O$2,$Q$2)/$Q$2))</f>
        <v>6941.6152433598</v>
      </c>
      <c r="H657" s="15" t="n">
        <f aca="false">G657*(1+IF(H$3&lt;=$O$2,$D657,$D657-($D657-$I$643)*MIN(H$3-$O$2,$Q$2)/$Q$2))</f>
        <v>7796.18298907859</v>
      </c>
      <c r="I657" s="15" t="n">
        <f aca="false">H657*(1+IF(I$3&lt;=$O$2,$D657,$D657-($D657-$I$643)*MIN(I$3-$O$2,$Q$2)/$Q$2))</f>
        <v>8755.95478405976</v>
      </c>
      <c r="J657" s="15" t="n">
        <f aca="false">I657*(1+IF(J$3&lt;=$O$2,$D657,$D657-($D657-$I$643)*MIN(J$3-$O$2,$Q$2)/$Q$2))</f>
        <v>9667.85532404811</v>
      </c>
      <c r="K657" s="15" t="n">
        <f aca="false">J657*(1+IF(K$3&lt;=$O$2,$D657,$D657-($D657-$I$643)*MIN(K$3-$O$2,$Q$2)/$Q$2))</f>
        <v>10491.4091250983</v>
      </c>
      <c r="L657" s="15" t="n">
        <f aca="false">K657*(1+IF(L$3&lt;=$O$2,$D657,$D657-($D657-$I$643)*MIN(L$3-$O$2,$Q$2)/$Q$2))</f>
        <v>11186.1834328365</v>
      </c>
      <c r="M657" s="15" t="n">
        <f aca="false">L657*(1+IF(M$3&lt;=$O$2,$D657,$D657-($D657-$I$643)*MIN(M$3-$O$2,$Q$2)/$Q$2))</f>
        <v>11714.8601587641</v>
      </c>
      <c r="N657" s="15" t="n">
        <f aca="false">M657*(1+IF(N$3&lt;=$O$2,$D657,$D657-($D657-$I$643)*MIN(N$3-$O$2,$Q$2)/$Q$2))</f>
        <v>12046.3907012571</v>
      </c>
      <c r="O657" s="15" t="n">
        <f aca="false">SUMPRODUCT(E657:N657,1/(1+$F$643)^$E$3:$N$3)*$E$2</f>
        <v>8116.47343960921</v>
      </c>
      <c r="P657" s="15" t="n">
        <f aca="false">N657*$E$2*(1+$I$643)/($F$643-$I$643)/(1+$F$643)^$N$3</f>
        <v>9550.35581797441</v>
      </c>
      <c r="Q657" s="15" t="n">
        <f aca="false">O657+P657</f>
        <v>17666.8292575836</v>
      </c>
      <c r="R657" s="15" t="n">
        <f aca="false">Q657-$G$2+$I$2</f>
        <v>12846.3292575836</v>
      </c>
      <c r="S657" s="42" t="n">
        <f aca="false">R657/$K$2</f>
        <v>67.0476474821692</v>
      </c>
      <c r="T657" s="43" t="n">
        <f aca="false">S657-$M$2</f>
        <v>0.0852257702694175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0.1229248046875</v>
      </c>
      <c r="C658" s="25" t="n">
        <f aca="false">IF(T657&gt;0,D657,C657)</f>
        <v>0.12310791015625</v>
      </c>
      <c r="D658" s="41" t="n">
        <f aca="false">(B658+C658)/2</f>
        <v>0.123016357421875</v>
      </c>
      <c r="E658" s="15" t="n">
        <f aca="false">$C$2*(1+IF(E$3&lt;=$O$2,$D658,$D658-($D658-$I$643)*MIN(E$3-$O$2,$Q$2)/$Q$2))</f>
        <v>5502.78015136719</v>
      </c>
      <c r="F658" s="15" t="n">
        <f aca="false">E658*(1+IF(F$3&lt;=$O$2,$D658,$D658-($D658-$I$643)*MIN(F$3-$O$2,$Q$2)/$Q$2))</f>
        <v>6179.71212128177</v>
      </c>
      <c r="G658" s="15" t="n">
        <f aca="false">F658*(1+IF(G$3&lt;=$O$2,$D658,$D658-($D658-$I$643)*MIN(G$3-$O$2,$Q$2)/$Q$2))</f>
        <v>6939.91779635767</v>
      </c>
      <c r="H658" s="15" t="n">
        <f aca="false">G658*(1+IF(H$3&lt;=$O$2,$D658,$D658-($D658-$I$643)*MIN(H$3-$O$2,$Q$2)/$Q$2))</f>
        <v>7793.64120447283</v>
      </c>
      <c r="I658" s="15" t="n">
        <f aca="false">H658*(1+IF(I$3&lt;=$O$2,$D658,$D658-($D658-$I$643)*MIN(I$3-$O$2,$Q$2)/$Q$2))</f>
        <v>8752.38655650011</v>
      </c>
      <c r="J658" s="15" t="n">
        <f aca="false">I658*(1+IF(J$3&lt;=$O$2,$D658,$D658-($D658-$I$643)*MIN(J$3-$O$2,$Q$2)/$Q$2))</f>
        <v>9663.27443475297</v>
      </c>
      <c r="K658" s="15" t="n">
        <f aca="false">J658*(1+IF(K$3&lt;=$O$2,$D658,$D658-($D658-$I$643)*MIN(K$3-$O$2,$Q$2)/$Q$2))</f>
        <v>10485.9071943931</v>
      </c>
      <c r="L658" s="15" t="n">
        <f aca="false">K658*(1+IF(L$3&lt;=$O$2,$D658,$D658-($D658-$I$643)*MIN(L$3-$O$2,$Q$2)/$Q$2))</f>
        <v>11179.9331414811</v>
      </c>
      <c r="M658" s="15" t="n">
        <f aca="false">L658*(1+IF(M$3&lt;=$O$2,$D658,$D658-($D658-$I$643)*MIN(M$3-$O$2,$Q$2)/$Q$2))</f>
        <v>11708.1097580613</v>
      </c>
      <c r="N658" s="15" t="n">
        <f aca="false">M658*(1+IF(N$3&lt;=$O$2,$D658,$D658-($D658-$I$643)*MIN(N$3-$O$2,$Q$2)/$Q$2))</f>
        <v>12039.4492642144</v>
      </c>
      <c r="O658" s="15" t="n">
        <f aca="false">SUMPRODUCT(E658:N658,1/(1+$F$643)^$E$3:$N$3)*$E$2</f>
        <v>8113.30264453627</v>
      </c>
      <c r="P658" s="15" t="n">
        <f aca="false">N658*$E$2*(1+$I$643)/($F$643-$I$643)/(1+$F$643)^$N$3</f>
        <v>9544.85265978459</v>
      </c>
      <c r="Q658" s="15" t="n">
        <f aca="false">O658+P658</f>
        <v>17658.1553043208</v>
      </c>
      <c r="R658" s="15" t="n">
        <f aca="false">Q658-$G$2+$I$2</f>
        <v>12837.6553043208</v>
      </c>
      <c r="S658" s="42" t="n">
        <f aca="false">R658/$K$2</f>
        <v>67.0023763273531</v>
      </c>
      <c r="T658" s="43" t="n">
        <f aca="false">S658-$M$2</f>
        <v>0.0399546154532828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0.1229248046875</v>
      </c>
      <c r="C659" s="25" t="n">
        <f aca="false">IF(T658&gt;0,D658,C658)</f>
        <v>0.123016357421875</v>
      </c>
      <c r="D659" s="41" t="n">
        <f aca="false">(B659+C659)/2</f>
        <v>0.122970581054688</v>
      </c>
      <c r="E659" s="15" t="n">
        <f aca="false">$C$2*(1+IF(E$3&lt;=$O$2,$D659,$D659-($D659-$I$643)*MIN(E$3-$O$2,$Q$2)/$Q$2))</f>
        <v>5502.55584716797</v>
      </c>
      <c r="F659" s="15" t="n">
        <f aca="false">E659*(1+IF(F$3&lt;=$O$2,$D659,$D659-($D659-$I$643)*MIN(F$3-$O$2,$Q$2)/$Q$2))</f>
        <v>6179.20833698008</v>
      </c>
      <c r="G659" s="15" t="n">
        <f aca="false">F659*(1+IF(G$3&lt;=$O$2,$D659,$D659-($D659-$I$643)*MIN(G$3-$O$2,$Q$2)/$Q$2))</f>
        <v>6939.06917663649</v>
      </c>
      <c r="H659" s="15" t="n">
        <f aca="false">G659*(1+IF(H$3&lt;=$O$2,$D659,$D659-($D659-$I$643)*MIN(H$3-$O$2,$Q$2)/$Q$2))</f>
        <v>7792.37054526615</v>
      </c>
      <c r="I659" s="15" t="n">
        <f aca="false">H659*(1+IF(I$3&lt;=$O$2,$D659,$D659-($D659-$I$643)*MIN(I$3-$O$2,$Q$2)/$Q$2))</f>
        <v>8750.60287901097</v>
      </c>
      <c r="J659" s="15" t="n">
        <f aca="false">I659*(1+IF(J$3&lt;=$O$2,$D659,$D659-($D659-$I$643)*MIN(J$3-$O$2,$Q$2)/$Q$2))</f>
        <v>9660.98466779481</v>
      </c>
      <c r="K659" s="15" t="n">
        <f aca="false">J659*(1+IF(K$3&lt;=$O$2,$D659,$D659-($D659-$I$643)*MIN(K$3-$O$2,$Q$2)/$Q$2))</f>
        <v>10483.1571531297</v>
      </c>
      <c r="L659" s="15" t="n">
        <f aca="false">K659*(1+IF(L$3&lt;=$O$2,$D659,$D659-($D659-$I$643)*MIN(L$3-$O$2,$Q$2)/$Q$2))</f>
        <v>11176.8091321531</v>
      </c>
      <c r="M659" s="15" t="n">
        <f aca="false">L659*(1+IF(M$3&lt;=$O$2,$D659,$D659-($D659-$I$643)*MIN(M$3-$O$2,$Q$2)/$Q$2))</f>
        <v>11704.7358335687</v>
      </c>
      <c r="N659" s="15" t="n">
        <f aca="false">M659*(1+IF(N$3&lt;=$O$2,$D659,$D659-($D659-$I$643)*MIN(N$3-$O$2,$Q$2)/$Q$2))</f>
        <v>12035.9798576586</v>
      </c>
      <c r="O659" s="15" t="n">
        <f aca="false">SUMPRODUCT(E659:N659,1/(1+$F$643)^$E$3:$N$3)*$E$2</f>
        <v>8111.71770806724</v>
      </c>
      <c r="P659" s="15" t="n">
        <f aca="false">N659*$E$2*(1+$I$643)/($F$643-$I$643)/(1+$F$643)^$N$3</f>
        <v>9542.10212081348</v>
      </c>
      <c r="Q659" s="15" t="n">
        <f aca="false">O659+P659</f>
        <v>17653.8198288807</v>
      </c>
      <c r="R659" s="15" t="n">
        <f aca="false">Q659-$G$2+$I$2</f>
        <v>12833.3198288807</v>
      </c>
      <c r="S659" s="42" t="n">
        <f aca="false">R659/$K$2</f>
        <v>66.9797485849724</v>
      </c>
      <c r="T659" s="43" t="n">
        <f aca="false">S659-$M$2</f>
        <v>0.0173268730726477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0.1229248046875</v>
      </c>
      <c r="C660" s="25" t="n">
        <f aca="false">IF(T659&gt;0,D659,C659)</f>
        <v>0.122970581054688</v>
      </c>
      <c r="D660" s="41" t="n">
        <f aca="false">(B660+C660)/2</f>
        <v>0.122947692871094</v>
      </c>
      <c r="E660" s="15" t="n">
        <f aca="false">$C$2*(1+IF(E$3&lt;=$O$2,$D660,$D660-($D660-$I$643)*MIN(E$3-$O$2,$Q$2)/$Q$2))</f>
        <v>5502.44369506836</v>
      </c>
      <c r="F660" s="15" t="n">
        <f aca="false">E660*(1+IF(F$3&lt;=$O$2,$D660,$D660-($D660-$I$643)*MIN(F$3-$O$2,$Q$2)/$Q$2))</f>
        <v>6178.95645253011</v>
      </c>
      <c r="G660" s="15" t="n">
        <f aca="false">F660*(1+IF(G$3&lt;=$O$2,$D660,$D660-($D660-$I$643)*MIN(G$3-$O$2,$Q$2)/$Q$2))</f>
        <v>6938.64489271965</v>
      </c>
      <c r="H660" s="15" t="n">
        <f aca="false">G660*(1+IF(H$3&lt;=$O$2,$D660,$D660-($D660-$I$643)*MIN(H$3-$O$2,$Q$2)/$Q$2))</f>
        <v>7791.73527393132</v>
      </c>
      <c r="I660" s="15" t="n">
        <f aca="false">H660*(1+IF(I$3&lt;=$O$2,$D660,$D660-($D660-$I$643)*MIN(I$3-$O$2,$Q$2)/$Q$2))</f>
        <v>8749.7111493235</v>
      </c>
      <c r="J660" s="15" t="n">
        <f aca="false">I660*(1+IF(J$3&lt;=$O$2,$D660,$D660-($D660-$I$643)*MIN(J$3-$O$2,$Q$2)/$Q$2))</f>
        <v>9659.83995370692</v>
      </c>
      <c r="K660" s="15" t="n">
        <f aca="false">J660*(1+IF(K$3&lt;=$O$2,$D660,$D660-($D660-$I$643)*MIN(K$3-$O$2,$Q$2)/$Q$2))</f>
        <v>10481.7823634702</v>
      </c>
      <c r="L660" s="15" t="n">
        <f aca="false">K660*(1+IF(L$3&lt;=$O$2,$D660,$D660-($D660-$I$643)*MIN(L$3-$O$2,$Q$2)/$Q$2))</f>
        <v>11175.2474115082</v>
      </c>
      <c r="M660" s="15" t="n">
        <f aca="false">L660*(1+IF(M$3&lt;=$O$2,$D660,$D660-($D660-$I$643)*MIN(M$3-$O$2,$Q$2)/$Q$2))</f>
        <v>11703.0491902065</v>
      </c>
      <c r="N660" s="15" t="n">
        <f aca="false">M660*(1+IF(N$3&lt;=$O$2,$D660,$D660-($D660-$I$643)*MIN(N$3-$O$2,$Q$2)/$Q$2))</f>
        <v>12034.2454822893</v>
      </c>
      <c r="O660" s="15" t="n">
        <f aca="false">SUMPRODUCT(E660:N660,1/(1+$F$643)^$E$3:$N$3)*$E$2</f>
        <v>8110.92535507546</v>
      </c>
      <c r="P660" s="15" t="n">
        <f aca="false">N660*$E$2*(1+$I$643)/($F$643-$I$643)/(1+$F$643)^$N$3</f>
        <v>9540.72711129322</v>
      </c>
      <c r="Q660" s="15" t="n">
        <f aca="false">O660+P660</f>
        <v>17651.6524663687</v>
      </c>
      <c r="R660" s="15" t="n">
        <f aca="false">Q660-$G$2+$I$2</f>
        <v>12831.1524663687</v>
      </c>
      <c r="S660" s="42" t="n">
        <f aca="false">R660/$K$2</f>
        <v>66.9684366720704</v>
      </c>
      <c r="T660" s="43" t="n">
        <f aca="false">S660-$M$2</f>
        <v>0.00601496017057457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0.1229248046875</v>
      </c>
      <c r="C661" s="25" t="n">
        <f aca="false">IF(T660&gt;0,D660,C660)</f>
        <v>0.122947692871094</v>
      </c>
      <c r="D661" s="41" t="n">
        <f aca="false">(B661+C661)/2</f>
        <v>0.122936248779297</v>
      </c>
      <c r="E661" s="15" t="n">
        <f aca="false">$C$2*(1+IF(E$3&lt;=$O$2,$D661,$D661-($D661-$I$643)*MIN(E$3-$O$2,$Q$2)/$Q$2))</f>
        <v>5502.38761901856</v>
      </c>
      <c r="F661" s="15" t="n">
        <f aca="false">E661*(1+IF(F$3&lt;=$O$2,$D661,$D661-($D661-$I$643)*MIN(F$3-$O$2,$Q$2)/$Q$2))</f>
        <v>6178.83051223034</v>
      </c>
      <c r="G661" s="15" t="n">
        <f aca="false">F661*(1+IF(G$3&lt;=$O$2,$D661,$D661-($D661-$I$643)*MIN(G$3-$O$2,$Q$2)/$Q$2))</f>
        <v>6938.432757247</v>
      </c>
      <c r="H661" s="15" t="n">
        <f aca="false">G661*(1+IF(H$3&lt;=$O$2,$D661,$D661-($D661-$I$643)*MIN(H$3-$O$2,$Q$2)/$Q$2))</f>
        <v>7791.41765283034</v>
      </c>
      <c r="I661" s="15" t="n">
        <f aca="false">H661*(1+IF(I$3&lt;=$O$2,$D661,$D661-($D661-$I$643)*MIN(I$3-$O$2,$Q$2)/$Q$2))</f>
        <v>8749.2653117421</v>
      </c>
      <c r="J661" s="15" t="n">
        <f aca="false">I661*(1+IF(J$3&lt;=$O$2,$D661,$D661-($D661-$I$643)*MIN(J$3-$O$2,$Q$2)/$Q$2))</f>
        <v>9659.26763900688</v>
      </c>
      <c r="K661" s="15" t="n">
        <f aca="false">J661*(1+IF(K$3&lt;=$O$2,$D661,$D661-($D661-$I$643)*MIN(K$3-$O$2,$Q$2)/$Q$2))</f>
        <v>10481.0950263773</v>
      </c>
      <c r="L661" s="15" t="n">
        <f aca="false">K661*(1+IF(L$3&lt;=$O$2,$D661,$D661-($D661-$I$643)*MIN(L$3-$O$2,$Q$2)/$Q$2))</f>
        <v>11174.466622182</v>
      </c>
      <c r="M661" s="15" t="n">
        <f aca="false">L661*(1+IF(M$3&lt;=$O$2,$D661,$D661-($D661-$I$643)*MIN(M$3-$O$2,$Q$2)/$Q$2))</f>
        <v>11702.2059482364</v>
      </c>
      <c r="N661" s="15" t="n">
        <f aca="false">M661*(1+IF(N$3&lt;=$O$2,$D661,$D661-($D661-$I$643)*MIN(N$3-$O$2,$Q$2)/$Q$2))</f>
        <v>12033.3783765714</v>
      </c>
      <c r="O661" s="15" t="n">
        <f aca="false">SUMPRODUCT(E661:N661,1/(1+$F$643)^$E$3:$N$3)*$E$2</f>
        <v>8110.52920738725</v>
      </c>
      <c r="P661" s="15" t="n">
        <f aca="false">N661*$E$2*(1+$I$643)/($F$643-$I$643)/(1+$F$643)^$N$3</f>
        <v>9540.03967151621</v>
      </c>
      <c r="Q661" s="15" t="n">
        <f aca="false">O661+P661</f>
        <v>17650.5688789035</v>
      </c>
      <c r="R661" s="15" t="n">
        <f aca="false">Q661-$G$2+$I$2</f>
        <v>12830.0688789035</v>
      </c>
      <c r="S661" s="42" t="n">
        <f aca="false">R661/$K$2</f>
        <v>66.9627812051329</v>
      </c>
      <c r="T661" s="43" t="n">
        <f aca="false">S661-$M$2</f>
        <v>0.000359493233062835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0.1229248046875</v>
      </c>
      <c r="C662" s="25" t="n">
        <f aca="false">IF(T661&gt;0,D661,C661)</f>
        <v>0.122936248779297</v>
      </c>
      <c r="D662" s="41" t="n">
        <f aca="false">(B662+C662)/2</f>
        <v>0.122930526733398</v>
      </c>
      <c r="E662" s="15" t="n">
        <f aca="false">$C$2*(1+IF(E$3&lt;=$O$2,$D662,$D662-($D662-$I$643)*MIN(E$3-$O$2,$Q$2)/$Q$2))</f>
        <v>5502.35958099365</v>
      </c>
      <c r="F662" s="15" t="n">
        <f aca="false">E662*(1+IF(F$3&lt;=$O$2,$D662,$D662-($D662-$I$643)*MIN(F$3-$O$2,$Q$2)/$Q$2))</f>
        <v>6178.76754256176</v>
      </c>
      <c r="G662" s="15" t="n">
        <f aca="false">F662*(1+IF(G$3&lt;=$O$2,$D662,$D662-($D662-$I$643)*MIN(G$3-$O$2,$Q$2)/$Q$2))</f>
        <v>6938.32669113211</v>
      </c>
      <c r="H662" s="15" t="n">
        <f aca="false">G662*(1+IF(H$3&lt;=$O$2,$D662,$D662-($D662-$I$643)*MIN(H$3-$O$2,$Q$2)/$Q$2))</f>
        <v>7791.25884592138</v>
      </c>
      <c r="I662" s="15" t="n">
        <f aca="false">H662*(1+IF(I$3&lt;=$O$2,$D662,$D662-($D662-$I$643)*MIN(I$3-$O$2,$Q$2)/$Q$2))</f>
        <v>8749.04239976674</v>
      </c>
      <c r="J662" s="15" t="n">
        <f aca="false">I662*(1+IF(J$3&lt;=$O$2,$D662,$D662-($D662-$I$643)*MIN(J$3-$O$2,$Q$2)/$Q$2))</f>
        <v>9658.98149224235</v>
      </c>
      <c r="K662" s="15" t="n">
        <f aca="false">J662*(1+IF(K$3&lt;=$O$2,$D662,$D662-($D662-$I$643)*MIN(K$3-$O$2,$Q$2)/$Q$2))</f>
        <v>10480.7513722642</v>
      </c>
      <c r="L662" s="15" t="n">
        <f aca="false">K662*(1+IF(L$3&lt;=$O$2,$D662,$D662-($D662-$I$643)*MIN(L$3-$O$2,$Q$2)/$Q$2))</f>
        <v>11174.076245267</v>
      </c>
      <c r="M662" s="15" t="n">
        <f aca="false">L662*(1+IF(M$3&lt;=$O$2,$D662,$D662-($D662-$I$643)*MIN(M$3-$O$2,$Q$2)/$Q$2))</f>
        <v>11701.7843471778</v>
      </c>
      <c r="N662" s="15" t="n">
        <f aca="false">M662*(1+IF(N$3&lt;=$O$2,$D662,$D662-($D662-$I$643)*MIN(N$3-$O$2,$Q$2)/$Q$2))</f>
        <v>12032.9448442029</v>
      </c>
      <c r="O662" s="15" t="n">
        <f aca="false">SUMPRODUCT(E662:N662,1/(1+$F$643)^$E$3:$N$3)*$E$2</f>
        <v>8110.33114074468</v>
      </c>
      <c r="P662" s="15" t="n">
        <f aca="false">N662*$E$2*(1+$I$643)/($F$643-$I$643)/(1+$F$643)^$N$3</f>
        <v>9539.69596787245</v>
      </c>
      <c r="Q662" s="15" t="n">
        <f aca="false">O662+P662</f>
        <v>17650.0271086171</v>
      </c>
      <c r="R662" s="15" t="n">
        <f aca="false">Q662-$G$2+$I$2</f>
        <v>12829.5271086171</v>
      </c>
      <c r="S662" s="42" t="n">
        <f aca="false">R662/$K$2</f>
        <v>66.9599535940352</v>
      </c>
      <c r="T662" s="43" t="n">
        <f aca="false">S662-$M$2</f>
        <v>-0.00246811786463752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0.122930526733398</v>
      </c>
      <c r="C663" s="25" t="n">
        <f aca="false">IF(T662&gt;0,D662,C662)</f>
        <v>0.122936248779297</v>
      </c>
      <c r="D663" s="41" t="n">
        <f aca="false">(B663+C663)/2</f>
        <v>0.122933387756348</v>
      </c>
      <c r="E663" s="15" t="n">
        <f aca="false">$C$2*(1+IF(E$3&lt;=$O$2,$D663,$D663-($D663-$I$643)*MIN(E$3-$O$2,$Q$2)/$Q$2))</f>
        <v>5502.3736000061</v>
      </c>
      <c r="F663" s="15" t="n">
        <f aca="false">E663*(1+IF(F$3&lt;=$O$2,$D663,$D663-($D663-$I$643)*MIN(F$3-$O$2,$Q$2)/$Q$2))</f>
        <v>6178.79902735594</v>
      </c>
      <c r="G663" s="15" t="n">
        <f aca="false">F663*(1+IF(G$3&lt;=$O$2,$D663,$D663-($D663-$I$643)*MIN(G$3-$O$2,$Q$2)/$Q$2))</f>
        <v>6938.37972405444</v>
      </c>
      <c r="H663" s="15" t="n">
        <f aca="false">G663*(1+IF(H$3&lt;=$O$2,$D663,$D663-($D663-$I$643)*MIN(H$3-$O$2,$Q$2)/$Q$2))</f>
        <v>7791.3382490724</v>
      </c>
      <c r="I663" s="15" t="n">
        <f aca="false">H663*(1+IF(I$3&lt;=$O$2,$D663,$D663-($D663-$I$643)*MIN(I$3-$O$2,$Q$2)/$Q$2))</f>
        <v>8749.15385518648</v>
      </c>
      <c r="J663" s="15" t="n">
        <f aca="false">I663*(1+IF(J$3&lt;=$O$2,$D663,$D663-($D663-$I$643)*MIN(J$3-$O$2,$Q$2)/$Q$2))</f>
        <v>9659.1245647425</v>
      </c>
      <c r="K663" s="15" t="n">
        <f aca="false">J663*(1+IF(K$3&lt;=$O$2,$D663,$D663-($D663-$I$643)*MIN(K$3-$O$2,$Q$2)/$Q$2))</f>
        <v>10480.923198118</v>
      </c>
      <c r="L663" s="15" t="n">
        <f aca="false">K663*(1+IF(L$3&lt;=$O$2,$D663,$D663-($D663-$I$643)*MIN(L$3-$O$2,$Q$2)/$Q$2))</f>
        <v>11174.2714322455</v>
      </c>
      <c r="M663" s="15" t="n">
        <f aca="false">L663*(1+IF(M$3&lt;=$O$2,$D663,$D663-($D663-$I$643)*MIN(M$3-$O$2,$Q$2)/$Q$2))</f>
        <v>11701.9951460466</v>
      </c>
      <c r="N663" s="15" t="n">
        <f aca="false">M663*(1+IF(N$3&lt;=$O$2,$D663,$D663-($D663-$I$643)*MIN(N$3-$O$2,$Q$2)/$Q$2))</f>
        <v>12033.1616086797</v>
      </c>
      <c r="O663" s="15" t="n">
        <f aca="false">SUMPRODUCT(E663:N663,1/(1+$F$643)^$E$3:$N$3)*$E$2</f>
        <v>8110.43017346585</v>
      </c>
      <c r="P663" s="15" t="n">
        <f aca="false">N663*$E$2*(1+$I$643)/($F$643-$I$643)/(1+$F$643)^$N$3</f>
        <v>9539.86781834063</v>
      </c>
      <c r="Q663" s="15" t="n">
        <f aca="false">O663+P663</f>
        <v>17650.2979918065</v>
      </c>
      <c r="R663" s="15" t="n">
        <f aca="false">Q663-$G$2+$I$2</f>
        <v>12829.7979918065</v>
      </c>
      <c r="S663" s="42" t="n">
        <f aca="false">R663/$K$2</f>
        <v>66.9613673893866</v>
      </c>
      <c r="T663" s="43" t="n">
        <f aca="false">S663-$M$2</f>
        <v>-0.00105432251316984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0.122933387756348</v>
      </c>
      <c r="C664" s="25" t="n">
        <f aca="false">IF(T663&gt;0,D663,C663)</f>
        <v>0.122936248779297</v>
      </c>
      <c r="D664" s="41" t="n">
        <f aca="false">(B664+C664)/2</f>
        <v>0.122934818267822</v>
      </c>
      <c r="E664" s="15" t="n">
        <f aca="false">$C$2*(1+IF(E$3&lt;=$O$2,$D664,$D664-($D664-$I$643)*MIN(E$3-$O$2,$Q$2)/$Q$2))</f>
        <v>5502.38060951233</v>
      </c>
      <c r="F664" s="15" t="n">
        <f aca="false">E664*(1+IF(F$3&lt;=$O$2,$D664,$D664-($D664-$I$643)*MIN(F$3-$O$2,$Q$2)/$Q$2))</f>
        <v>6178.81476978312</v>
      </c>
      <c r="G664" s="15" t="n">
        <f aca="false">F664*(1+IF(G$3&lt;=$O$2,$D664,$D664-($D664-$I$643)*MIN(G$3-$O$2,$Q$2)/$Q$2))</f>
        <v>6938.40624061694</v>
      </c>
      <c r="H664" s="15" t="n">
        <f aca="false">G664*(1+IF(H$3&lt;=$O$2,$D664,$D664-($D664-$I$643)*MIN(H$3-$O$2,$Q$2)/$Q$2))</f>
        <v>7791.37795087551</v>
      </c>
      <c r="I664" s="15" t="n">
        <f aca="false">H664*(1+IF(I$3&lt;=$O$2,$D664,$D664-($D664-$I$643)*MIN(I$3-$O$2,$Q$2)/$Q$2))</f>
        <v>8749.20958332231</v>
      </c>
      <c r="J664" s="15" t="n">
        <f aca="false">I664*(1+IF(J$3&lt;=$O$2,$D664,$D664-($D664-$I$643)*MIN(J$3-$O$2,$Q$2)/$Q$2))</f>
        <v>9659.19610165416</v>
      </c>
      <c r="K664" s="15" t="n">
        <f aca="false">J664*(1+IF(K$3&lt;=$O$2,$D664,$D664-($D664-$I$643)*MIN(K$3-$O$2,$Q$2)/$Q$2))</f>
        <v>10481.009111947</v>
      </c>
      <c r="L664" s="15" t="n">
        <f aca="false">K664*(1+IF(L$3&lt;=$O$2,$D664,$D664-($D664-$I$643)*MIN(L$3-$O$2,$Q$2)/$Q$2))</f>
        <v>11174.3690268441</v>
      </c>
      <c r="M664" s="15" t="n">
        <f aca="false">L664*(1+IF(M$3&lt;=$O$2,$D664,$D664-($D664-$I$643)*MIN(M$3-$O$2,$Q$2)/$Q$2))</f>
        <v>11702.1005467263</v>
      </c>
      <c r="N664" s="15" t="n">
        <f aca="false">M664*(1+IF(N$3&lt;=$O$2,$D664,$D664-($D664-$I$643)*MIN(N$3-$O$2,$Q$2)/$Q$2))</f>
        <v>12033.2699921987</v>
      </c>
      <c r="O664" s="15" t="n">
        <f aca="false">SUMPRODUCT(E664:N664,1/(1+$F$643)^$E$3:$N$3)*$E$2</f>
        <v>8110.47969027652</v>
      </c>
      <c r="P664" s="15" t="n">
        <f aca="false">N664*$E$2*(1+$I$643)/($F$643-$I$643)/(1+$F$643)^$N$3</f>
        <v>9539.95374458999</v>
      </c>
      <c r="Q664" s="15" t="n">
        <f aca="false">O664+P664</f>
        <v>17650.4334348665</v>
      </c>
      <c r="R664" s="15" t="n">
        <f aca="false">Q664-$G$2+$I$2</f>
        <v>12829.9334348665</v>
      </c>
      <c r="S664" s="42" t="n">
        <f aca="false">R664/$K$2</f>
        <v>66.9620742947104</v>
      </c>
      <c r="T664" s="43" t="n">
        <f aca="false">S664-$M$2</f>
        <v>-0.000347417189402677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0.122934818267822</v>
      </c>
      <c r="C665" s="25" t="n">
        <f aca="false">IF(T664&gt;0,D664,C664)</f>
        <v>0.122936248779297</v>
      </c>
      <c r="D665" s="41" t="n">
        <f aca="false">(B665+C665)/2</f>
        <v>0.12293553352356</v>
      </c>
      <c r="E665" s="15" t="n">
        <f aca="false">$C$2*(1+IF(E$3&lt;=$O$2,$D665,$D665-($D665-$I$643)*MIN(E$3-$O$2,$Q$2)/$Q$2))</f>
        <v>5502.38411426544</v>
      </c>
      <c r="F665" s="15" t="n">
        <f aca="false">E665*(1+IF(F$3&lt;=$O$2,$D665,$D665-($D665-$I$643)*MIN(F$3-$O$2,$Q$2)/$Q$2))</f>
        <v>6178.82264100422</v>
      </c>
      <c r="G665" s="15" t="n">
        <f aca="false">F665*(1+IF(G$3&lt;=$O$2,$D665,$D665-($D665-$I$643)*MIN(G$3-$O$2,$Q$2)/$Q$2))</f>
        <v>6938.41949892353</v>
      </c>
      <c r="H665" s="15" t="n">
        <f aca="false">G665*(1+IF(H$3&lt;=$O$2,$D665,$D665-($D665-$I$643)*MIN(H$3-$O$2,$Q$2)/$Q$2))</f>
        <v>7791.39780183396</v>
      </c>
      <c r="I665" s="15" t="n">
        <f aca="false">H665*(1+IF(I$3&lt;=$O$2,$D665,$D665-($D665-$I$643)*MIN(I$3-$O$2,$Q$2)/$Q$2))</f>
        <v>8749.23744749671</v>
      </c>
      <c r="J665" s="15" t="n">
        <f aca="false">I665*(1+IF(J$3&lt;=$O$2,$D665,$D665-($D665-$I$643)*MIN(J$3-$O$2,$Q$2)/$Q$2))</f>
        <v>9659.23187027539</v>
      </c>
      <c r="K665" s="15" t="n">
        <f aca="false">J665*(1+IF(K$3&lt;=$O$2,$D665,$D665-($D665-$I$643)*MIN(K$3-$O$2,$Q$2)/$Q$2))</f>
        <v>10481.052069087</v>
      </c>
      <c r="L665" s="15" t="n">
        <f aca="false">K665*(1+IF(L$3&lt;=$O$2,$D665,$D665-($D665-$I$643)*MIN(L$3-$O$2,$Q$2)/$Q$2))</f>
        <v>11174.4178244206</v>
      </c>
      <c r="M665" s="15" t="n">
        <f aca="false">L665*(1+IF(M$3&lt;=$O$2,$D665,$D665-($D665-$I$643)*MIN(M$3-$O$2,$Q$2)/$Q$2))</f>
        <v>11702.1532473776</v>
      </c>
      <c r="N665" s="15" t="n">
        <f aca="false">M665*(1+IF(N$3&lt;=$O$2,$D665,$D665-($D665-$I$643)*MIN(N$3-$O$2,$Q$2)/$Q$2))</f>
        <v>12033.3241842783</v>
      </c>
      <c r="O665" s="15" t="n">
        <f aca="false">SUMPRODUCT(E665:N665,1/(1+$F$643)^$E$3:$N$3)*$E$2</f>
        <v>8110.50444879437</v>
      </c>
      <c r="P665" s="15" t="n">
        <f aca="false">N665*$E$2*(1+$I$643)/($F$643-$I$643)/(1+$F$643)^$N$3</f>
        <v>9539.99670796849</v>
      </c>
      <c r="Q665" s="15" t="n">
        <f aca="false">O665+P665</f>
        <v>17650.5011567629</v>
      </c>
      <c r="R665" s="15" t="n">
        <f aca="false">Q665-$G$2+$I$2</f>
        <v>12830.0011567629</v>
      </c>
      <c r="S665" s="42" t="n">
        <f aca="false">R665/$K$2</f>
        <v>66.9624277492843</v>
      </c>
      <c r="T665" s="43" t="n">
        <f aca="false">S665-$M$2</f>
        <v>6.03738449456159E-006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0.122934818267822</v>
      </c>
      <c r="C666" s="25" t="n">
        <f aca="false">IF(T665&gt;0,D665,C665)</f>
        <v>0.12293553352356</v>
      </c>
      <c r="D666" s="41" t="n">
        <f aca="false">(B666+C666)/2</f>
        <v>0.122935175895691</v>
      </c>
      <c r="E666" s="15" t="n">
        <f aca="false">$C$2*(1+IF(E$3&lt;=$O$2,$D666,$D666-($D666-$I$643)*MIN(E$3-$O$2,$Q$2)/$Q$2))</f>
        <v>5502.38236188889</v>
      </c>
      <c r="F666" s="15" t="n">
        <f aca="false">E666*(1+IF(F$3&lt;=$O$2,$D666,$D666-($D666-$I$643)*MIN(F$3-$O$2,$Q$2)/$Q$2))</f>
        <v>6178.81870539304</v>
      </c>
      <c r="G666" s="15" t="n">
        <f aca="false">F666*(1+IF(G$3&lt;=$O$2,$D666,$D666-($D666-$I$643)*MIN(G$3-$O$2,$Q$2)/$Q$2))</f>
        <v>6938.41286976812</v>
      </c>
      <c r="H666" s="15" t="n">
        <f aca="false">G666*(1+IF(H$3&lt;=$O$2,$D666,$D666-($D666-$I$643)*MIN(H$3-$O$2,$Q$2)/$Q$2))</f>
        <v>7791.38787634999</v>
      </c>
      <c r="I666" s="15" t="n">
        <f aca="false">H666*(1+IF(I$3&lt;=$O$2,$D666,$D666-($D666-$I$643)*MIN(I$3-$O$2,$Q$2)/$Q$2))</f>
        <v>8749.22351540063</v>
      </c>
      <c r="J666" s="15" t="n">
        <f aca="false">I666*(1+IF(J$3&lt;=$O$2,$D666,$D666-($D666-$I$643)*MIN(J$3-$O$2,$Q$2)/$Q$2))</f>
        <v>9659.21398595099</v>
      </c>
      <c r="K666" s="15" t="n">
        <f aca="false">J666*(1+IF(K$3&lt;=$O$2,$D666,$D666-($D666-$I$643)*MIN(K$3-$O$2,$Q$2)/$Q$2))</f>
        <v>10481.0305904982</v>
      </c>
      <c r="L666" s="15" t="n">
        <f aca="false">K666*(1+IF(L$3&lt;=$O$2,$D666,$D666-($D666-$I$643)*MIN(L$3-$O$2,$Q$2)/$Q$2))</f>
        <v>11174.3934256092</v>
      </c>
      <c r="M666" s="15" t="n">
        <f aca="false">L666*(1+IF(M$3&lt;=$O$2,$D666,$D666-($D666-$I$643)*MIN(M$3-$O$2,$Q$2)/$Q$2))</f>
        <v>11702.126897026</v>
      </c>
      <c r="N666" s="15" t="n">
        <f aca="false">M666*(1+IF(N$3&lt;=$O$2,$D666,$D666-($D666-$I$643)*MIN(N$3-$O$2,$Q$2)/$Q$2))</f>
        <v>12033.2970882118</v>
      </c>
      <c r="O666" s="15" t="n">
        <f aca="false">SUMPRODUCT(E666:N666,1/(1+$F$643)^$E$3:$N$3)*$E$2</f>
        <v>8110.49206952607</v>
      </c>
      <c r="P666" s="15" t="n">
        <f aca="false">N666*$E$2*(1+$I$643)/($F$643-$I$643)/(1+$F$643)^$N$3</f>
        <v>9539.97522625809</v>
      </c>
      <c r="Q666" s="15" t="n">
        <f aca="false">O666+P666</f>
        <v>17650.4672957842</v>
      </c>
      <c r="R666" s="15" t="n">
        <f aca="false">Q666-$G$2+$I$2</f>
        <v>12829.9672957842</v>
      </c>
      <c r="S666" s="42" t="n">
        <f aca="false">R666/$K$2</f>
        <v>66.962251021838</v>
      </c>
      <c r="T666" s="43" t="n">
        <f aca="false">S666-$M$2</f>
        <v>-0.000170690061793266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0.122935175895691</v>
      </c>
      <c r="C667" s="25" t="n">
        <f aca="false">IF(T666&gt;0,D666,C666)</f>
        <v>0.12293553352356</v>
      </c>
      <c r="D667" s="41" t="n">
        <f aca="false">(B667+C667)/2</f>
        <v>0.122935354709625</v>
      </c>
      <c r="E667" s="15" t="n">
        <f aca="false">$C$2*(1+IF(E$3&lt;=$O$2,$D667,$D667-($D667-$I$643)*MIN(E$3-$O$2,$Q$2)/$Q$2))</f>
        <v>5502.38323807716</v>
      </c>
      <c r="F667" s="15" t="n">
        <f aca="false">E667*(1+IF(F$3&lt;=$O$2,$D667,$D667-($D667-$I$643)*MIN(F$3-$O$2,$Q$2)/$Q$2))</f>
        <v>6178.82067319848</v>
      </c>
      <c r="G667" s="15" t="n">
        <f aca="false">F667*(1+IF(G$3&lt;=$O$2,$D667,$D667-($D667-$I$643)*MIN(G$3-$O$2,$Q$2)/$Q$2))</f>
        <v>6938.4161843453</v>
      </c>
      <c r="H667" s="15" t="n">
        <f aca="false">G667*(1+IF(H$3&lt;=$O$2,$D667,$D667-($D667-$I$643)*MIN(H$3-$O$2,$Q$2)/$Q$2))</f>
        <v>7791.39283909079</v>
      </c>
      <c r="I667" s="15" t="n">
        <f aca="false">H667*(1+IF(I$3&lt;=$O$2,$D667,$D667-($D667-$I$643)*MIN(I$3-$O$2,$Q$2)/$Q$2))</f>
        <v>8749.23048144645</v>
      </c>
      <c r="J667" s="15" t="n">
        <f aca="false">I667*(1+IF(J$3&lt;=$O$2,$D667,$D667-($D667-$I$643)*MIN(J$3-$O$2,$Q$2)/$Q$2))</f>
        <v>9659.22292810975</v>
      </c>
      <c r="K667" s="15" t="n">
        <f aca="false">J667*(1+IF(K$3&lt;=$O$2,$D667,$D667-($D667-$I$643)*MIN(K$3-$O$2,$Q$2)/$Q$2))</f>
        <v>10481.0413297879</v>
      </c>
      <c r="L667" s="15" t="n">
        <f aca="false">K667*(1+IF(L$3&lt;=$O$2,$D667,$D667-($D667-$I$643)*MIN(L$3-$O$2,$Q$2)/$Q$2))</f>
        <v>11174.4056250091</v>
      </c>
      <c r="M667" s="15" t="n">
        <f aca="false">L667*(1+IF(M$3&lt;=$O$2,$D667,$D667-($D667-$I$643)*MIN(M$3-$O$2,$Q$2)/$Q$2))</f>
        <v>11702.1400721953</v>
      </c>
      <c r="N667" s="15" t="n">
        <f aca="false">M667*(1+IF(N$3&lt;=$O$2,$D667,$D667-($D667-$I$643)*MIN(N$3-$O$2,$Q$2)/$Q$2))</f>
        <v>12033.3106362384</v>
      </c>
      <c r="O667" s="15" t="n">
        <f aca="false">SUMPRODUCT(E667:N667,1/(1+$F$643)^$E$3:$N$3)*$E$2</f>
        <v>8110.49825915788</v>
      </c>
      <c r="P667" s="15" t="n">
        <f aca="false">N667*$E$2*(1+$I$643)/($F$643-$I$643)/(1+$F$643)^$N$3</f>
        <v>9539.98596710801</v>
      </c>
      <c r="Q667" s="15" t="n">
        <f aca="false">O667+P667</f>
        <v>17650.4842262659</v>
      </c>
      <c r="R667" s="15" t="n">
        <f aca="false">Q667-$G$2+$I$2</f>
        <v>12829.9842262659</v>
      </c>
      <c r="S667" s="42" t="n">
        <f aca="false">R667/$K$2</f>
        <v>66.9623393855213</v>
      </c>
      <c r="T667" s="43" t="n">
        <f aca="false">S667-$M$2</f>
        <v>-8.23263784894834E-005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0.122935354709625</v>
      </c>
      <c r="C668" s="25" t="n">
        <f aca="false">IF(T667&gt;0,D667,C667)</f>
        <v>0.12293553352356</v>
      </c>
      <c r="D668" s="41" t="n">
        <f aca="false">(B668+C668)/2</f>
        <v>0.122935444116592</v>
      </c>
      <c r="E668" s="15" t="n">
        <f aca="false">$C$2*(1+IF(E$3&lt;=$O$2,$D668,$D668-($D668-$I$643)*MIN(E$3-$O$2,$Q$2)/$Q$2))</f>
        <v>5502.3836761713</v>
      </c>
      <c r="F668" s="15" t="n">
        <f aca="false">E668*(1+IF(F$3&lt;=$O$2,$D668,$D668-($D668-$I$643)*MIN(F$3-$O$2,$Q$2)/$Q$2))</f>
        <v>6178.82165710131</v>
      </c>
      <c r="G668" s="15" t="n">
        <f aca="false">F668*(1+IF(G$3&lt;=$O$2,$D668,$D668-($D668-$I$643)*MIN(G$3-$O$2,$Q$2)/$Q$2))</f>
        <v>6938.41784163428</v>
      </c>
      <c r="H668" s="15" t="n">
        <f aca="false">G668*(1+IF(H$3&lt;=$O$2,$D668,$D668-($D668-$I$643)*MIN(H$3-$O$2,$Q$2)/$Q$2))</f>
        <v>7791.39532046208</v>
      </c>
      <c r="I668" s="15" t="n">
        <f aca="false">H668*(1+IF(I$3&lt;=$O$2,$D668,$D668-($D668-$I$643)*MIN(I$3-$O$2,$Q$2)/$Q$2))</f>
        <v>8749.23396447102</v>
      </c>
      <c r="J668" s="15" t="n">
        <f aca="false">I668*(1+IF(J$3&lt;=$O$2,$D668,$D668-($D668-$I$643)*MIN(J$3-$O$2,$Q$2)/$Q$2))</f>
        <v>9659.22739919171</v>
      </c>
      <c r="K668" s="15" t="n">
        <f aca="false">J668*(1+IF(K$3&lt;=$O$2,$D668,$D668-($D668-$I$643)*MIN(K$3-$O$2,$Q$2)/$Q$2))</f>
        <v>10481.0466994362</v>
      </c>
      <c r="L668" s="15" t="n">
        <f aca="false">K668*(1+IF(L$3&lt;=$O$2,$D668,$D668-($D668-$I$643)*MIN(L$3-$O$2,$Q$2)/$Q$2))</f>
        <v>11174.4117247134</v>
      </c>
      <c r="M668" s="15" t="n">
        <f aca="false">L668*(1+IF(M$3&lt;=$O$2,$D668,$D668-($D668-$I$643)*MIN(M$3-$O$2,$Q$2)/$Q$2))</f>
        <v>11702.1466597848</v>
      </c>
      <c r="N668" s="15" t="n">
        <f aca="false">M668*(1+IF(N$3&lt;=$O$2,$D668,$D668-($D668-$I$643)*MIN(N$3-$O$2,$Q$2)/$Q$2))</f>
        <v>12033.3174102567</v>
      </c>
      <c r="O668" s="15" t="n">
        <f aca="false">SUMPRODUCT(E668:N668,1/(1+$F$643)^$E$3:$N$3)*$E$2</f>
        <v>8110.50135397554</v>
      </c>
      <c r="P668" s="15" t="n">
        <f aca="false">N668*$E$2*(1+$I$643)/($F$643-$I$643)/(1+$F$643)^$N$3</f>
        <v>9539.99133753693</v>
      </c>
      <c r="Q668" s="15" t="n">
        <f aca="false">O668+P668</f>
        <v>17650.4926915125</v>
      </c>
      <c r="R668" s="15" t="n">
        <f aca="false">Q668-$G$2+$I$2</f>
        <v>12829.9926915125</v>
      </c>
      <c r="S668" s="42" t="n">
        <f aca="false">R668/$K$2</f>
        <v>66.9623835673928</v>
      </c>
      <c r="T668" s="43" t="n">
        <f aca="false">S668-$M$2</f>
        <v>-3.81445069592701E-005</v>
      </c>
    </row>
    <row r="670" customFormat="false" ht="15" hidden="false" customHeight="false" outlineLevel="0" collapsed="false">
      <c r="A670" s="38" t="s">
        <v>196</v>
      </c>
      <c r="E670" s="5" t="s">
        <v>11</v>
      </c>
      <c r="F670" s="12" t="n">
        <f aca="false">Sensitivity!$B$14</f>
        <v>0.105084897741638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153</v>
      </c>
      <c r="B671" s="28" t="s">
        <v>154</v>
      </c>
      <c r="C671" s="28" t="s">
        <v>155</v>
      </c>
      <c r="D671" s="28" t="s">
        <v>156</v>
      </c>
      <c r="E671" s="28" t="s">
        <v>157</v>
      </c>
      <c r="F671" s="28" t="s">
        <v>158</v>
      </c>
      <c r="G671" s="28" t="s">
        <v>159</v>
      </c>
      <c r="H671" s="28" t="s">
        <v>160</v>
      </c>
      <c r="I671" s="28" t="s">
        <v>161</v>
      </c>
      <c r="J671" s="28" t="s">
        <v>162</v>
      </c>
      <c r="K671" s="28" t="s">
        <v>163</v>
      </c>
      <c r="L671" s="28" t="s">
        <v>164</v>
      </c>
      <c r="M671" s="28" t="s">
        <v>165</v>
      </c>
      <c r="N671" s="28" t="s">
        <v>166</v>
      </c>
      <c r="O671" s="28" t="s">
        <v>167</v>
      </c>
      <c r="P671" s="28" t="s">
        <v>168</v>
      </c>
      <c r="Q671" s="28" t="s">
        <v>169</v>
      </c>
      <c r="R671" s="28" t="s">
        <v>170</v>
      </c>
      <c r="S671" s="28" t="s">
        <v>171</v>
      </c>
      <c r="T671" s="28" t="s">
        <v>172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6125</v>
      </c>
      <c r="F672" s="15" t="n">
        <f aca="false">E672*(1+IF(F$3&lt;=$O$2,$D672,$D672-($D672-$I$670)*MIN(F$3-$O$2,$Q$2)/$Q$2))</f>
        <v>7656.25</v>
      </c>
      <c r="G672" s="15" t="n">
        <f aca="false">F672*(1+IF(G$3&lt;=$O$2,$D672,$D672-($D672-$I$670)*MIN(G$3-$O$2,$Q$2)/$Q$2))</f>
        <v>9570.3125</v>
      </c>
      <c r="H672" s="15" t="n">
        <f aca="false">G672*(1+IF(H$3&lt;=$O$2,$D672,$D672-($D672-$I$670)*MIN(H$3-$O$2,$Q$2)/$Q$2))</f>
        <v>11962.890625</v>
      </c>
      <c r="I672" s="15" t="n">
        <f aca="false">H672*(1+IF(I$3&lt;=$O$2,$D672,$D672-($D672-$I$670)*MIN(I$3-$O$2,$Q$2)/$Q$2))</f>
        <v>14953.61328125</v>
      </c>
      <c r="J672" s="15" t="n">
        <f aca="false">I672*(1+IF(J$3&lt;=$O$2,$D672,$D672-($D672-$I$670)*MIN(J$3-$O$2,$Q$2)/$Q$2))</f>
        <v>18043.9270019531</v>
      </c>
      <c r="K672" s="15" t="n">
        <f aca="false">J672*(1+IF(K$3&lt;=$O$2,$D672,$D672-($D672-$I$670)*MIN(K$3-$O$2,$Q$2)/$Q$2))</f>
        <v>20990.8611599121</v>
      </c>
      <c r="L672" s="15" t="n">
        <f aca="false">K672*(1+IF(L$3&lt;=$O$2,$D672,$D672-($D672-$I$670)*MIN(L$3-$O$2,$Q$2)/$Q$2))</f>
        <v>23509.3446818784</v>
      </c>
      <c r="M672" s="15" t="n">
        <f aca="false">L672*(1+IF(M$3&lt;=$O$2,$D672,$D672-($D672-$I$670)*MIN(M$3-$O$2,$Q$2)/$Q$2))</f>
        <v>25311.1008582975</v>
      </c>
      <c r="N672" s="15" t="n">
        <f aca="false">M672*(1+IF(N$3&lt;=$O$2,$D672,$D672-($D672-$I$670)*MIN(N$3-$O$2,$Q$2)/$Q$2))</f>
        <v>26153.9605168788</v>
      </c>
      <c r="O672" s="15" t="n">
        <f aca="false">SUMPRODUCT(E672:N672,1/(1+$F$670)^$E$3:$N$3)*$E$2</f>
        <v>13962.2311320718</v>
      </c>
      <c r="P672" s="15" t="n">
        <f aca="false">N672*$E$2*(1+$I$670)/($F$670-$I$670)/(1+$F$670)^$N$3</f>
        <v>22286.8858857414</v>
      </c>
      <c r="Q672" s="15" t="n">
        <f aca="false">O672+P672</f>
        <v>36249.1170178133</v>
      </c>
      <c r="R672" s="15" t="n">
        <f aca="false">Q672-$G$2+$I$2</f>
        <v>31428.6170178133</v>
      </c>
      <c r="S672" s="42" t="n">
        <f aca="false">R672/$K$2</f>
        <v>164.032447900904</v>
      </c>
      <c r="T672" s="43" t="n">
        <f aca="false">S672-$M$2</f>
        <v>97.0700261890045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4287.5</v>
      </c>
      <c r="F673" s="15" t="n">
        <f aca="false">E673*(1+IF(F$3&lt;=$O$2,$D673,$D673-($D673-$I$670)*MIN(F$3-$O$2,$Q$2)/$Q$2))</f>
        <v>3751.5625</v>
      </c>
      <c r="G673" s="15" t="n">
        <f aca="false">F673*(1+IF(G$3&lt;=$O$2,$D673,$D673-($D673-$I$670)*MIN(G$3-$O$2,$Q$2)/$Q$2))</f>
        <v>3282.6171875</v>
      </c>
      <c r="H673" s="15" t="n">
        <f aca="false">G673*(1+IF(H$3&lt;=$O$2,$D673,$D673-($D673-$I$670)*MIN(H$3-$O$2,$Q$2)/$Q$2))</f>
        <v>2872.2900390625</v>
      </c>
      <c r="I673" s="15" t="n">
        <f aca="false">H673*(1+IF(I$3&lt;=$O$2,$D673,$D673-($D673-$I$670)*MIN(I$3-$O$2,$Q$2)/$Q$2))</f>
        <v>2513.25378417969</v>
      </c>
      <c r="J673" s="15" t="n">
        <f aca="false">I673*(1+IF(J$3&lt;=$O$2,$D673,$D673-($D673-$I$670)*MIN(J$3-$O$2,$Q$2)/$Q$2))</f>
        <v>2278.66667596436</v>
      </c>
      <c r="K673" s="15" t="n">
        <f aca="false">J673*(1+IF(K$3&lt;=$O$2,$D673,$D673-($D673-$I$670)*MIN(K$3-$O$2,$Q$2)/$Q$2))</f>
        <v>2138.11851539087</v>
      </c>
      <c r="L673" s="15" t="n">
        <f aca="false">K673*(1+IF(L$3&lt;=$O$2,$D673,$D673-($D673-$I$670)*MIN(L$3-$O$2,$Q$2)/$Q$2))</f>
        <v>2073.93219755884</v>
      </c>
      <c r="M673" s="15" t="n">
        <f aca="false">L673*(1+IF(M$3&lt;=$O$2,$D673,$D673-($D673-$I$670)*MIN(M$3-$O$2,$Q$2)/$Q$2))</f>
        <v>2077.33344636284</v>
      </c>
      <c r="N673" s="15" t="n">
        <f aca="false">M673*(1+IF(N$3&lt;=$O$2,$D673,$D673-($D673-$I$670)*MIN(N$3-$O$2,$Q$2)/$Q$2))</f>
        <v>2146.50865012672</v>
      </c>
      <c r="O673" s="15" t="n">
        <f aca="false">SUMPRODUCT(E673:N673,1/(1+$F$670)^$E$3:$N$3)*$E$2</f>
        <v>2848.73683407766</v>
      </c>
      <c r="P673" s="15" t="n">
        <f aca="false">N673*$E$2*(1+$I$670)/($F$670-$I$670)/(1+$F$670)^$N$3</f>
        <v>1829.12998233126</v>
      </c>
      <c r="Q673" s="15" t="n">
        <f aca="false">O673+P673</f>
        <v>4677.86681640892</v>
      </c>
      <c r="R673" s="15" t="n">
        <f aca="false">Q673-$G$2+$I$2</f>
        <v>-142.633183591079</v>
      </c>
      <c r="S673" s="42" t="n">
        <f aca="false">R673/$K$2</f>
        <v>-0.744432064671601</v>
      </c>
      <c r="T673" s="43" t="n">
        <f aca="false">S673-$M$2</f>
        <v>-67.7068537765714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5206.25</v>
      </c>
      <c r="F674" s="15" t="n">
        <f aca="false">E674*(1+IF(F$3&lt;=$O$2,$D674,$D674-($D674-$I$670)*MIN(F$3-$O$2,$Q$2)/$Q$2))</f>
        <v>5531.640625</v>
      </c>
      <c r="G674" s="15" t="n">
        <f aca="false">F674*(1+IF(G$3&lt;=$O$2,$D674,$D674-($D674-$I$670)*MIN(G$3-$O$2,$Q$2)/$Q$2))</f>
        <v>5877.3681640625</v>
      </c>
      <c r="H674" s="15" t="n">
        <f aca="false">G674*(1+IF(H$3&lt;=$O$2,$D674,$D674-($D674-$I$670)*MIN(H$3-$O$2,$Q$2)/$Q$2))</f>
        <v>6244.70367431641</v>
      </c>
      <c r="I674" s="15" t="n">
        <f aca="false">H674*(1+IF(I$3&lt;=$O$2,$D674,$D674-($D674-$I$670)*MIN(I$3-$O$2,$Q$2)/$Q$2))</f>
        <v>6634.99765396118</v>
      </c>
      <c r="J674" s="15" t="n">
        <f aca="false">I674*(1+IF(J$3&lt;=$O$2,$D674,$D674-($D674-$I$670)*MIN(J$3-$O$2,$Q$2)/$Q$2))</f>
        <v>7010.93662103462</v>
      </c>
      <c r="K674" s="15" t="n">
        <f aca="false">J674*(1+IF(K$3&lt;=$O$2,$D674,$D674-($D674-$I$670)*MIN(K$3-$O$2,$Q$2)/$Q$2))</f>
        <v>7367.2324201156</v>
      </c>
      <c r="L674" s="15" t="n">
        <f aca="false">K674*(1+IF(L$3&lt;=$O$2,$D674,$D674-($D674-$I$670)*MIN(L$3-$O$2,$Q$2)/$Q$2))</f>
        <v>7698.6105343724</v>
      </c>
      <c r="M674" s="15" t="n">
        <f aca="false">L674*(1+IF(M$3&lt;=$O$2,$D674,$D674-($D674-$I$670)*MIN(M$3-$O$2,$Q$2)/$Q$2))</f>
        <v>7999.93415068774</v>
      </c>
      <c r="N674" s="15" t="n">
        <f aca="false">M674*(1+IF(N$3&lt;=$O$2,$D674,$D674-($D674-$I$670)*MIN(N$3-$O$2,$Q$2)/$Q$2))</f>
        <v>8266.33195790564</v>
      </c>
      <c r="O674" s="15" t="n">
        <f aca="false">SUMPRODUCT(E674:N674,1/(1+$F$670)^$E$3:$N$3)*$E$2</f>
        <v>6283.66695478105</v>
      </c>
      <c r="P674" s="15" t="n">
        <f aca="false">N674*$E$2*(1+$I$670)/($F$670-$I$670)/(1+$F$670)^$N$3</f>
        <v>7044.08790862113</v>
      </c>
      <c r="Q674" s="15" t="n">
        <f aca="false">O674+P674</f>
        <v>13327.7548634022</v>
      </c>
      <c r="R674" s="15" t="n">
        <f aca="false">Q674-$G$2+$I$2</f>
        <v>8507.25486340218</v>
      </c>
      <c r="S674" s="42" t="n">
        <f aca="false">R674/$K$2</f>
        <v>44.4011214165041</v>
      </c>
      <c r="T674" s="43" t="n">
        <f aca="false">S674-$M$2</f>
        <v>-22.5613002953957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5665.625</v>
      </c>
      <c r="F675" s="15" t="n">
        <f aca="false">E675*(1+IF(F$3&lt;=$O$2,$D675,$D675-($D675-$I$670)*MIN(F$3-$O$2,$Q$2)/$Q$2))</f>
        <v>6550.87890625</v>
      </c>
      <c r="G675" s="15" t="n">
        <f aca="false">F675*(1+IF(G$3&lt;=$O$2,$D675,$D675-($D675-$I$670)*MIN(G$3-$O$2,$Q$2)/$Q$2))</f>
        <v>7574.45373535156</v>
      </c>
      <c r="H675" s="15" t="n">
        <f aca="false">G675*(1+IF(H$3&lt;=$O$2,$D675,$D675-($D675-$I$670)*MIN(H$3-$O$2,$Q$2)/$Q$2))</f>
        <v>8757.96213150024</v>
      </c>
      <c r="I675" s="15" t="n">
        <f aca="false">H675*(1+IF(I$3&lt;=$O$2,$D675,$D675-($D675-$I$670)*MIN(I$3-$O$2,$Q$2)/$Q$2))</f>
        <v>10126.3937145472</v>
      </c>
      <c r="J675" s="15" t="n">
        <f aca="false">I675*(1+IF(J$3&lt;=$O$2,$D675,$D675-($D675-$I$670)*MIN(J$3-$O$2,$Q$2)/$Q$2))</f>
        <v>11459.6347110044</v>
      </c>
      <c r="K675" s="15" t="n">
        <f aca="false">J675*(1+IF(K$3&lt;=$O$2,$D675,$D675-($D675-$I$670)*MIN(K$3-$O$2,$Q$2)/$Q$2))</f>
        <v>12686.6177995117</v>
      </c>
      <c r="L675" s="15" t="n">
        <f aca="false">K675*(1+IF(L$3&lt;=$O$2,$D675,$D675-($D675-$I$670)*MIN(L$3-$O$2,$Q$2)/$Q$2))</f>
        <v>13733.0100356154</v>
      </c>
      <c r="M675" s="15" t="n">
        <f aca="false">L675*(1+IF(M$3&lt;=$O$2,$D675,$D675-($D675-$I$670)*MIN(M$3-$O$2,$Q$2)/$Q$2))</f>
        <v>14528.0139865772</v>
      </c>
      <c r="N675" s="15" t="n">
        <f aca="false">M675*(1+IF(N$3&lt;=$O$2,$D675,$D675-($D675-$I$670)*MIN(N$3-$O$2,$Q$2)/$Q$2))</f>
        <v>15011.7968523302</v>
      </c>
      <c r="O675" s="15" t="n">
        <f aca="false">SUMPRODUCT(E675:N675,1/(1+$F$670)^$E$3:$N$3)*$E$2</f>
        <v>9378.9335834249</v>
      </c>
      <c r="P675" s="15" t="n">
        <f aca="false">N675*$E$2*(1+$I$670)/($F$670-$I$670)/(1+$F$670)^$N$3</f>
        <v>12792.1812519331</v>
      </c>
      <c r="Q675" s="15" t="n">
        <f aca="false">O675+P675</f>
        <v>22171.114835358</v>
      </c>
      <c r="R675" s="15" t="n">
        <f aca="false">Q675-$G$2+$I$2</f>
        <v>17350.614835358</v>
      </c>
      <c r="S675" s="42" t="n">
        <f aca="false">R675/$K$2</f>
        <v>90.5564448609499</v>
      </c>
      <c r="T675" s="43" t="n">
        <f aca="false">S675-$M$2</f>
        <v>23.5940231490501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5435.9375</v>
      </c>
      <c r="F676" s="15" t="n">
        <f aca="false">E676*(1+IF(F$3&lt;=$O$2,$D676,$D676-($D676-$I$670)*MIN(F$3-$O$2,$Q$2)/$Q$2))</f>
        <v>6030.4931640625</v>
      </c>
      <c r="G676" s="15" t="n">
        <f aca="false">F676*(1+IF(G$3&lt;=$O$2,$D676,$D676-($D676-$I$670)*MIN(G$3-$O$2,$Q$2)/$Q$2))</f>
        <v>6690.07835388184</v>
      </c>
      <c r="H676" s="15" t="n">
        <f aca="false">G676*(1+IF(H$3&lt;=$O$2,$D676,$D676-($D676-$I$670)*MIN(H$3-$O$2,$Q$2)/$Q$2))</f>
        <v>7421.80567383766</v>
      </c>
      <c r="I676" s="15" t="n">
        <f aca="false">H676*(1+IF(I$3&lt;=$O$2,$D676,$D676-($D676-$I$670)*MIN(I$3-$O$2,$Q$2)/$Q$2))</f>
        <v>8233.56566941366</v>
      </c>
      <c r="J676" s="15" t="n">
        <f aca="false">I676*(1+IF(J$3&lt;=$O$2,$D676,$D676-($D676-$I$670)*MIN(J$3-$O$2,$Q$2)/$Q$2))</f>
        <v>9008.83821284565</v>
      </c>
      <c r="K676" s="15" t="n">
        <f aca="false">J676*(1+IF(K$3&lt;=$O$2,$D676,$D676-($D676-$I$670)*MIN(K$3-$O$2,$Q$2)/$Q$2))</f>
        <v>9720.04094555875</v>
      </c>
      <c r="L676" s="15" t="n">
        <f aca="false">K676*(1+IF(L$3&lt;=$O$2,$D676,$D676-($D676-$I$670)*MIN(L$3-$O$2,$Q$2)/$Q$2))</f>
        <v>10339.4991550192</v>
      </c>
      <c r="M676" s="15" t="n">
        <f aca="false">L676*(1+IF(M$3&lt;=$O$2,$D676,$D676-($D676-$I$670)*MIN(M$3-$O$2,$Q$2)/$Q$2))</f>
        <v>10841.119956525</v>
      </c>
      <c r="N676" s="15" t="n">
        <f aca="false">M676*(1+IF(N$3&lt;=$O$2,$D676,$D676-($D676-$I$670)*MIN(N$3-$O$2,$Q$2)/$Q$2))</f>
        <v>11202.1292510772</v>
      </c>
      <c r="O676" s="15" t="n">
        <f aca="false">SUMPRODUCT(E676:N676,1/(1+$F$670)^$E$3:$N$3)*$E$2</f>
        <v>7677.43840128411</v>
      </c>
      <c r="P676" s="15" t="n">
        <f aca="false">N676*$E$2*(1+$I$670)/($F$670-$I$670)/(1+$F$670)^$N$3</f>
        <v>9545.80382328569</v>
      </c>
      <c r="Q676" s="15" t="n">
        <f aca="false">O676+P676</f>
        <v>17223.2422245698</v>
      </c>
      <c r="R676" s="15" t="n">
        <f aca="false">Q676-$G$2+$I$2</f>
        <v>12402.7422245698</v>
      </c>
      <c r="S676" s="42" t="n">
        <f aca="false">R676/$K$2</f>
        <v>64.7324750760428</v>
      </c>
      <c r="T676" s="43" t="n">
        <f aca="false">S676-$M$2</f>
        <v>-2.22994663585702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0.109375</v>
      </c>
      <c r="C677" s="25" t="n">
        <f aca="false">IF(T676&gt;0,D676,C676)</f>
        <v>0.15625</v>
      </c>
      <c r="D677" s="41" t="n">
        <f aca="false">(B677+C677)/2</f>
        <v>0.1328125</v>
      </c>
      <c r="E677" s="15" t="n">
        <f aca="false">$C$2*(1+IF(E$3&lt;=$O$2,$D677,$D677-($D677-$I$670)*MIN(E$3-$O$2,$Q$2)/$Q$2))</f>
        <v>5550.78125</v>
      </c>
      <c r="F677" s="15" t="n">
        <f aca="false">E677*(1+IF(F$3&lt;=$O$2,$D677,$D677-($D677-$I$670)*MIN(F$3-$O$2,$Q$2)/$Q$2))</f>
        <v>6287.99438476563</v>
      </c>
      <c r="G677" s="15" t="n">
        <f aca="false">F677*(1+IF(G$3&lt;=$O$2,$D677,$D677-($D677-$I$670)*MIN(G$3-$O$2,$Q$2)/$Q$2))</f>
        <v>7123.11863899231</v>
      </c>
      <c r="H677" s="15" t="n">
        <f aca="false">G677*(1+IF(H$3&lt;=$O$2,$D677,$D677-($D677-$I$670)*MIN(H$3-$O$2,$Q$2)/$Q$2))</f>
        <v>8069.15783323348</v>
      </c>
      <c r="I677" s="15" t="n">
        <f aca="false">H677*(1+IF(I$3&lt;=$O$2,$D677,$D677-($D677-$I$670)*MIN(I$3-$O$2,$Q$2)/$Q$2))</f>
        <v>9140.8428579598</v>
      </c>
      <c r="J677" s="15" t="n">
        <f aca="false">I677*(1+IF(J$3&lt;=$O$2,$D677,$D677-($D677-$I$670)*MIN(J$3-$O$2,$Q$2)/$Q$2))</f>
        <v>10172.935425052</v>
      </c>
      <c r="K677" s="15" t="n">
        <f aca="false">J677*(1+IF(K$3&lt;=$O$2,$D677,$D677-($D677-$I$670)*MIN(K$3-$O$2,$Q$2)/$Q$2))</f>
        <v>11119.0947165976</v>
      </c>
      <c r="L677" s="15" t="n">
        <f aca="false">K677*(1+IF(L$3&lt;=$O$2,$D677,$D677-($D677-$I$670)*MIN(L$3-$O$2,$Q$2)/$Q$2))</f>
        <v>11931.9561358544</v>
      </c>
      <c r="M677" s="15" t="n">
        <f aca="false">L677*(1+IF(M$3&lt;=$O$2,$D677,$D677-($D677-$I$670)*MIN(M$3-$O$2,$Q$2)/$Q$2))</f>
        <v>12566.7660321722</v>
      </c>
      <c r="N677" s="15" t="n">
        <f aca="false">M677*(1+IF(N$3&lt;=$O$2,$D677,$D677-($D677-$I$670)*MIN(N$3-$O$2,$Q$2)/$Q$2))</f>
        <v>12985.2393410436</v>
      </c>
      <c r="O677" s="15" t="n">
        <f aca="false">SUMPRODUCT(E677:N677,1/(1+$F$670)^$E$3:$N$3)*$E$2</f>
        <v>8486.09389931998</v>
      </c>
      <c r="P677" s="15" t="n">
        <f aca="false">N677*$E$2*(1+$I$670)/($F$670-$I$670)/(1+$F$670)^$N$3</f>
        <v>11065.2666622369</v>
      </c>
      <c r="Q677" s="15" t="n">
        <f aca="false">O677+P677</f>
        <v>19551.3605615568</v>
      </c>
      <c r="R677" s="15" t="n">
        <f aca="false">Q677-$G$2+$I$2</f>
        <v>14730.8605615568</v>
      </c>
      <c r="S677" s="42" t="n">
        <f aca="false">R677/$K$2</f>
        <v>76.8834058536369</v>
      </c>
      <c r="T677" s="43" t="n">
        <f aca="false">S677-$M$2</f>
        <v>9.92098414173711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0.109375</v>
      </c>
      <c r="C678" s="25" t="n">
        <f aca="false">IF(T677&gt;0,D677,C677)</f>
        <v>0.1328125</v>
      </c>
      <c r="D678" s="41" t="n">
        <f aca="false">(B678+C678)/2</f>
        <v>0.12109375</v>
      </c>
      <c r="E678" s="15" t="n">
        <f aca="false">$C$2*(1+IF(E$3&lt;=$O$2,$D678,$D678-($D678-$I$670)*MIN(E$3-$O$2,$Q$2)/$Q$2))</f>
        <v>5493.359375</v>
      </c>
      <c r="F678" s="15" t="n">
        <f aca="false">E678*(1+IF(F$3&lt;=$O$2,$D678,$D678-($D678-$I$670)*MIN(F$3-$O$2,$Q$2)/$Q$2))</f>
        <v>6158.57086181641</v>
      </c>
      <c r="G678" s="15" t="n">
        <f aca="false">F678*(1+IF(G$3&lt;=$O$2,$D678,$D678-($D678-$I$670)*MIN(G$3-$O$2,$Q$2)/$Q$2))</f>
        <v>6904.33530211449</v>
      </c>
      <c r="H678" s="15" t="n">
        <f aca="false">G678*(1+IF(H$3&lt;=$O$2,$D678,$D678-($D678-$I$670)*MIN(H$3-$O$2,$Q$2)/$Q$2))</f>
        <v>7740.40715510491</v>
      </c>
      <c r="I678" s="15" t="n">
        <f aca="false">H678*(1+IF(I$3&lt;=$O$2,$D678,$D678-($D678-$I$670)*MIN(I$3-$O$2,$Q$2)/$Q$2))</f>
        <v>8677.7220840434</v>
      </c>
      <c r="J678" s="15" t="n">
        <f aca="false">I678*(1+IF(J$3&lt;=$O$2,$D678,$D678-($D678-$I$670)*MIN(J$3-$O$2,$Q$2)/$Q$2))</f>
        <v>9576.17004001483</v>
      </c>
      <c r="K678" s="15" t="n">
        <f aca="false">J678*(1+IF(K$3&lt;=$O$2,$D678,$D678-($D678-$I$670)*MIN(K$3-$O$2,$Q$2)/$Q$2))</f>
        <v>10399.4932294177</v>
      </c>
      <c r="L678" s="15" t="n">
        <f aca="false">K678*(1+IF(L$3&lt;=$O$2,$D678,$D678-($D678-$I$670)*MIN(L$3-$O$2,$Q$2)/$Q$2))</f>
        <v>11111.0005574413</v>
      </c>
      <c r="M678" s="15" t="n">
        <f aca="false">L678*(1+IF(M$3&lt;=$O$2,$D678,$D678-($D678-$I$670)*MIN(M$3-$O$2,$Q$2)/$Q$2))</f>
        <v>11676.0921570421</v>
      </c>
      <c r="N678" s="15" t="n">
        <f aca="false">M678*(1+IF(N$3&lt;=$O$2,$D678,$D678-($D678-$I$670)*MIN(N$3-$O$2,$Q$2)/$Q$2))</f>
        <v>12064.9060258716</v>
      </c>
      <c r="O678" s="15" t="n">
        <f aca="false">SUMPRODUCT(E678:N678,1/(1+$F$670)^$E$3:$N$3)*$E$2</f>
        <v>8071.71917165662</v>
      </c>
      <c r="P678" s="15" t="n">
        <f aca="false">N678*$E$2*(1+$I$670)/($F$670-$I$670)/(1+$F$670)^$N$3</f>
        <v>10281.0120726176</v>
      </c>
      <c r="Q678" s="15" t="n">
        <f aca="false">O678+P678</f>
        <v>18352.7312442742</v>
      </c>
      <c r="R678" s="15" t="n">
        <f aca="false">Q678-$G$2+$I$2</f>
        <v>13532.2312442742</v>
      </c>
      <c r="S678" s="42" t="n">
        <f aca="false">R678/$K$2</f>
        <v>70.6275117133309</v>
      </c>
      <c r="T678" s="43" t="n">
        <f aca="false">S678-$M$2</f>
        <v>3.66509000143111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0.109375</v>
      </c>
      <c r="C679" s="25" t="n">
        <f aca="false">IF(T678&gt;0,D678,C678)</f>
        <v>0.12109375</v>
      </c>
      <c r="D679" s="41" t="n">
        <f aca="false">(B679+C679)/2</f>
        <v>0.115234375</v>
      </c>
      <c r="E679" s="15" t="n">
        <f aca="false">$C$2*(1+IF(E$3&lt;=$O$2,$D679,$D679-($D679-$I$670)*MIN(E$3-$O$2,$Q$2)/$Q$2))</f>
        <v>5464.6484375</v>
      </c>
      <c r="F679" s="15" t="n">
        <f aca="false">E679*(1+IF(F$3&lt;=$O$2,$D679,$D679-($D679-$I$670)*MIN(F$3-$O$2,$Q$2)/$Q$2))</f>
        <v>6094.36378479004</v>
      </c>
      <c r="G679" s="15" t="n">
        <f aca="false">F679*(1+IF(G$3&lt;=$O$2,$D679,$D679-($D679-$I$670)*MIN(G$3-$O$2,$Q$2)/$Q$2))</f>
        <v>6796.64398655295</v>
      </c>
      <c r="H679" s="15" t="n">
        <f aca="false">G679*(1+IF(H$3&lt;=$O$2,$D679,$D679-($D679-$I$670)*MIN(H$3-$O$2,$Q$2)/$Q$2))</f>
        <v>7579.85100844089</v>
      </c>
      <c r="I679" s="15" t="n">
        <f aca="false">H679*(1+IF(I$3&lt;=$O$2,$D679,$D679-($D679-$I$670)*MIN(I$3-$O$2,$Q$2)/$Q$2))</f>
        <v>8453.3104019917</v>
      </c>
      <c r="J679" s="15" t="n">
        <f aca="false">I679*(1+IF(J$3&lt;=$O$2,$D679,$D679-($D679-$I$670)*MIN(J$3-$O$2,$Q$2)/$Q$2))</f>
        <v>9288.89900195257</v>
      </c>
      <c r="K679" s="15" t="n">
        <f aca="false">J679*(1+IF(K$3&lt;=$O$2,$D679,$D679-($D679-$I$670)*MIN(K$3-$O$2,$Q$2)/$Q$2))</f>
        <v>10054.8674192155</v>
      </c>
      <c r="L679" s="15" t="n">
        <f aca="false">K679*(1+IF(L$3&lt;=$O$2,$D679,$D679-($D679-$I$670)*MIN(L$3-$O$2,$Q$2)/$Q$2))</f>
        <v>10719.2302153558</v>
      </c>
      <c r="M679" s="15" t="n">
        <f aca="false">L679*(1+IF(M$3&lt;=$O$2,$D679,$D679-($D679-$I$670)*MIN(M$3-$O$2,$Q$2)/$Q$2))</f>
        <v>11251.8352671625</v>
      </c>
      <c r="N679" s="15" t="n">
        <f aca="false">M679*(1+IF(N$3&lt;=$O$2,$D679,$D679-($D679-$I$670)*MIN(N$3-$O$2,$Q$2)/$Q$2))</f>
        <v>11626.521381559</v>
      </c>
      <c r="O679" s="15" t="n">
        <f aca="false">SUMPRODUCT(E679:N679,1/(1+$F$670)^$E$3:$N$3)*$E$2</f>
        <v>7872.12450080968</v>
      </c>
      <c r="P679" s="15" t="n">
        <f aca="false">N679*$E$2*(1+$I$670)/($F$670-$I$670)/(1+$F$670)^$N$3</f>
        <v>9907.44614421634</v>
      </c>
      <c r="Q679" s="15" t="n">
        <f aca="false">O679+P679</f>
        <v>17779.570645026</v>
      </c>
      <c r="R679" s="15" t="n">
        <f aca="false">Q679-$G$2+$I$2</f>
        <v>12959.070645026</v>
      </c>
      <c r="S679" s="42" t="n">
        <f aca="false">R679/$K$2</f>
        <v>67.6360680846869</v>
      </c>
      <c r="T679" s="43" t="n">
        <f aca="false">S679-$M$2</f>
        <v>0.673646372787133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0.109375</v>
      </c>
      <c r="C680" s="25" t="n">
        <f aca="false">IF(T679&gt;0,D679,C679)</f>
        <v>0.115234375</v>
      </c>
      <c r="D680" s="41" t="n">
        <f aca="false">(B680+C680)/2</f>
        <v>0.1123046875</v>
      </c>
      <c r="E680" s="15" t="n">
        <f aca="false">$C$2*(1+IF(E$3&lt;=$O$2,$D680,$D680-($D680-$I$670)*MIN(E$3-$O$2,$Q$2)/$Q$2))</f>
        <v>5450.29296875</v>
      </c>
      <c r="F680" s="15" t="n">
        <f aca="false">E680*(1+IF(F$3&lt;=$O$2,$D680,$D680-($D680-$I$670)*MIN(F$3-$O$2,$Q$2)/$Q$2))</f>
        <v>6062.38641738892</v>
      </c>
      <c r="G680" s="15" t="n">
        <f aca="false">F680*(1+IF(G$3&lt;=$O$2,$D680,$D680-($D680-$I$670)*MIN(G$3-$O$2,$Q$2)/$Q$2))</f>
        <v>6743.22082949802</v>
      </c>
      <c r="H680" s="15" t="n">
        <f aca="false">G680*(1+IF(H$3&lt;=$O$2,$D680,$D680-($D680-$I$670)*MIN(H$3-$O$2,$Q$2)/$Q$2))</f>
        <v>7500.51613749829</v>
      </c>
      <c r="I680" s="15" t="n">
        <f aca="false">H680*(1+IF(I$3&lt;=$O$2,$D680,$D680-($D680-$I$670)*MIN(I$3-$O$2,$Q$2)/$Q$2))</f>
        <v>8342.85925840874</v>
      </c>
      <c r="J680" s="15" t="n">
        <f aca="false">I680*(1+IF(J$3&lt;=$O$2,$D680,$D680-($D680-$I$670)*MIN(J$3-$O$2,$Q$2)/$Q$2))</f>
        <v>9147.97646256741</v>
      </c>
      <c r="K680" s="15" t="n">
        <f aca="false">J680*(1+IF(K$3&lt;=$O$2,$D680,$D680-($D680-$I$670)*MIN(K$3-$O$2,$Q$2)/$Q$2))</f>
        <v>9886.2438917804</v>
      </c>
      <c r="L680" s="15" t="n">
        <f aca="false">K680*(1+IF(L$3&lt;=$O$2,$D680,$D680-($D680-$I$670)*MIN(L$3-$O$2,$Q$2)/$Q$2))</f>
        <v>10527.8796570642</v>
      </c>
      <c r="M680" s="15" t="n">
        <f aca="false">L680*(1+IF(M$3&lt;=$O$2,$D680,$D680-($D680-$I$670)*MIN(M$3-$O$2,$Q$2)/$Q$2))</f>
        <v>11044.8084181133</v>
      </c>
      <c r="N680" s="15" t="n">
        <f aca="false">M680*(1+IF(N$3&lt;=$O$2,$D680,$D680-($D680-$I$670)*MIN(N$3-$O$2,$Q$2)/$Q$2))</f>
        <v>11412.6005384364</v>
      </c>
      <c r="O680" s="15" t="n">
        <f aca="false">SUMPRODUCT(E680:N680,1/(1+$F$670)^$E$3:$N$3)*$E$2</f>
        <v>7774.17493721905</v>
      </c>
      <c r="P680" s="15" t="n">
        <f aca="false">N680*$E$2*(1+$I$670)/($F$670-$I$670)/(1+$F$670)^$N$3</f>
        <v>9725.1552282315</v>
      </c>
      <c r="Q680" s="15" t="n">
        <f aca="false">O680+P680</f>
        <v>17499.3301654506</v>
      </c>
      <c r="R680" s="15" t="n">
        <f aca="false">Q680-$G$2+$I$2</f>
        <v>12678.8301654506</v>
      </c>
      <c r="S680" s="42" t="n">
        <f aca="false">R680/$K$2</f>
        <v>66.1734351015165</v>
      </c>
      <c r="T680" s="43" t="n">
        <f aca="false">S680-$M$2</f>
        <v>-0.788986610383333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0.1123046875</v>
      </c>
      <c r="C681" s="25" t="n">
        <f aca="false">IF(T680&gt;0,D680,C680)</f>
        <v>0.115234375</v>
      </c>
      <c r="D681" s="41" t="n">
        <f aca="false">(B681+C681)/2</f>
        <v>0.11376953125</v>
      </c>
      <c r="E681" s="15" t="n">
        <f aca="false">$C$2*(1+IF(E$3&lt;=$O$2,$D681,$D681-($D681-$I$670)*MIN(E$3-$O$2,$Q$2)/$Q$2))</f>
        <v>5457.470703125</v>
      </c>
      <c r="F681" s="15" t="n">
        <f aca="false">E681*(1+IF(F$3&lt;=$O$2,$D681,$D681-($D681-$I$670)*MIN(F$3-$O$2,$Q$2)/$Q$2))</f>
        <v>6078.36458683014</v>
      </c>
      <c r="G681" s="15" t="n">
        <f aca="false">F681*(1+IF(G$3&lt;=$O$2,$D681,$D681-($D681-$I$670)*MIN(G$3-$O$2,$Q$2)/$Q$2))</f>
        <v>6769.8972766404</v>
      </c>
      <c r="H681" s="15" t="n">
        <f aca="false">G681*(1+IF(H$3&lt;=$O$2,$D681,$D681-($D681-$I$670)*MIN(H$3-$O$2,$Q$2)/$Q$2))</f>
        <v>7540.10531641443</v>
      </c>
      <c r="I681" s="15" t="n">
        <f aca="false">H681*(1+IF(I$3&lt;=$O$2,$D681,$D681-($D681-$I$670)*MIN(I$3-$O$2,$Q$2)/$Q$2))</f>
        <v>8397.93956383854</v>
      </c>
      <c r="J681" s="15" t="n">
        <f aca="false">I681*(1+IF(J$3&lt;=$O$2,$D681,$D681-($D681-$I$670)*MIN(J$3-$O$2,$Q$2)/$Q$2))</f>
        <v>9218.21355944869</v>
      </c>
      <c r="K681" s="15" t="n">
        <f aca="false">J681*(1+IF(K$3&lt;=$O$2,$D681,$D681-($D681-$I$670)*MIN(K$3-$O$2,$Q$2)/$Q$2))</f>
        <v>9970.25126543308</v>
      </c>
      <c r="L681" s="15" t="n">
        <f aca="false">K681*(1+IF(L$3&lt;=$O$2,$D681,$D681-($D681-$I$670)*MIN(L$3-$O$2,$Q$2)/$Q$2))</f>
        <v>10623.1812108816</v>
      </c>
      <c r="M681" s="15" t="n">
        <f aca="false">L681*(1+IF(M$3&lt;=$O$2,$D681,$D681-($D681-$I$670)*MIN(M$3-$O$2,$Q$2)/$Q$2))</f>
        <v>11147.9016276887</v>
      </c>
      <c r="N681" s="15" t="n">
        <f aca="false">M681*(1+IF(N$3&lt;=$O$2,$D681,$D681-($D681-$I$670)*MIN(N$3-$O$2,$Q$2)/$Q$2))</f>
        <v>11519.1267518907</v>
      </c>
      <c r="O681" s="15" t="n">
        <f aca="false">SUMPRODUCT(E681:N681,1/(1+$F$670)^$E$3:$N$3)*$E$2</f>
        <v>7822.99721387038</v>
      </c>
      <c r="P681" s="15" t="n">
        <f aca="false">N681*$E$2*(1+$I$670)/($F$670-$I$670)/(1+$F$670)^$N$3</f>
        <v>9815.93067929803</v>
      </c>
      <c r="Q681" s="15" t="n">
        <f aca="false">O681+P681</f>
        <v>17638.9278931684</v>
      </c>
      <c r="R681" s="15" t="n">
        <f aca="false">Q681-$G$2+$I$2</f>
        <v>12818.4278931684</v>
      </c>
      <c r="S681" s="42" t="n">
        <f aca="false">R681/$K$2</f>
        <v>66.9020244946159</v>
      </c>
      <c r="T681" s="43" t="n">
        <f aca="false">S681-$M$2</f>
        <v>-0.060397217283878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0.11376953125</v>
      </c>
      <c r="C682" s="25" t="n">
        <f aca="false">IF(T681&gt;0,D681,C681)</f>
        <v>0.115234375</v>
      </c>
      <c r="D682" s="41" t="n">
        <f aca="false">(B682+C682)/2</f>
        <v>0.114501953125</v>
      </c>
      <c r="E682" s="15" t="n">
        <f aca="false">$C$2*(1+IF(E$3&lt;=$O$2,$D682,$D682-($D682-$I$670)*MIN(E$3-$O$2,$Q$2)/$Q$2))</f>
        <v>5461.0595703125</v>
      </c>
      <c r="F682" s="15" t="n">
        <f aca="false">E682*(1+IF(F$3&lt;=$O$2,$D682,$D682-($D682-$I$670)*MIN(F$3-$O$2,$Q$2)/$Q$2))</f>
        <v>6086.36155724525</v>
      </c>
      <c r="G682" s="15" t="n">
        <f aca="false">F682*(1+IF(G$3&lt;=$O$2,$D682,$D682-($D682-$I$670)*MIN(G$3-$O$2,$Q$2)/$Q$2))</f>
        <v>6783.26184297475</v>
      </c>
      <c r="H682" s="15" t="n">
        <f aca="false">G682*(1+IF(H$3&lt;=$O$2,$D682,$D682-($D682-$I$670)*MIN(H$3-$O$2,$Q$2)/$Q$2))</f>
        <v>7559.95857255365</v>
      </c>
      <c r="I682" s="15" t="n">
        <f aca="false">H682*(1+IF(I$3&lt;=$O$2,$D682,$D682-($D682-$I$670)*MIN(I$3-$O$2,$Q$2)/$Q$2))</f>
        <v>8425.58859465513</v>
      </c>
      <c r="J682" s="15" t="n">
        <f aca="false">I682*(1+IF(J$3&lt;=$O$2,$D682,$D682-($D682-$I$670)*MIN(J$3-$O$2,$Q$2)/$Q$2))</f>
        <v>9253.50009494812</v>
      </c>
      <c r="K682" s="15" t="n">
        <f aca="false">J682*(1+IF(K$3&lt;=$O$2,$D682,$D682-($D682-$I$670)*MIN(K$3-$O$2,$Q$2)/$Q$2))</f>
        <v>10012.4830166812</v>
      </c>
      <c r="L682" s="15" t="n">
        <f aca="false">K682*(1+IF(L$3&lt;=$O$2,$D682,$D682-($D682-$I$670)*MIN(L$3-$O$2,$Q$2)/$Q$2))</f>
        <v>10671.1119717708</v>
      </c>
      <c r="M682" s="15" t="n">
        <f aca="false">L682*(1+IF(M$3&lt;=$O$2,$D682,$D682-($D682-$I$670)*MIN(M$3-$O$2,$Q$2)/$Q$2))</f>
        <v>11199.7630272555</v>
      </c>
      <c r="N682" s="15" t="n">
        <f aca="false">M682*(1+IF(N$3&lt;=$O$2,$D682,$D682-($D682-$I$670)*MIN(N$3-$O$2,$Q$2)/$Q$2))</f>
        <v>11572.7151360631</v>
      </c>
      <c r="O682" s="15" t="n">
        <f aca="false">SUMPRODUCT(E682:N682,1/(1+$F$670)^$E$3:$N$3)*$E$2</f>
        <v>7847.5226209877</v>
      </c>
      <c r="P682" s="15" t="n">
        <f aca="false">N682*$E$2*(1+$I$670)/($F$670-$I$670)/(1+$F$670)^$N$3</f>
        <v>9861.59558737494</v>
      </c>
      <c r="Q682" s="15" t="n">
        <f aca="false">O682+P682</f>
        <v>17709.1182083626</v>
      </c>
      <c r="R682" s="15" t="n">
        <f aca="false">Q682-$G$2+$I$2</f>
        <v>12888.6182083626</v>
      </c>
      <c r="S682" s="42" t="n">
        <f aca="false">R682/$K$2</f>
        <v>67.26836225659</v>
      </c>
      <c r="T682" s="43" t="n">
        <f aca="false">S682-$M$2</f>
        <v>0.305940544690188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0.11376953125</v>
      </c>
      <c r="C683" s="25" t="n">
        <f aca="false">IF(T682&gt;0,D682,C682)</f>
        <v>0.114501953125</v>
      </c>
      <c r="D683" s="41" t="n">
        <f aca="false">(B683+C683)/2</f>
        <v>0.1141357421875</v>
      </c>
      <c r="E683" s="15" t="n">
        <f aca="false">$C$2*(1+IF(E$3&lt;=$O$2,$D683,$D683-($D683-$I$670)*MIN(E$3-$O$2,$Q$2)/$Q$2))</f>
        <v>5459.26513671875</v>
      </c>
      <c r="F683" s="15" t="n">
        <f aca="false">E683*(1+IF(F$3&lt;=$O$2,$D683,$D683-($D683-$I$670)*MIN(F$3-$O$2,$Q$2)/$Q$2))</f>
        <v>6082.36241489649</v>
      </c>
      <c r="G683" s="15" t="n">
        <f aca="false">F683*(1+IF(G$3&lt;=$O$2,$D683,$D683-($D683-$I$670)*MIN(G$3-$O$2,$Q$2)/$Q$2))</f>
        <v>6776.57736337405</v>
      </c>
      <c r="H683" s="15" t="n">
        <f aca="false">G683*(1+IF(H$3&lt;=$O$2,$D683,$D683-($D683-$I$670)*MIN(H$3-$O$2,$Q$2)/$Q$2))</f>
        <v>7550.02705023376</v>
      </c>
      <c r="I683" s="15" t="n">
        <f aca="false">H683*(1+IF(I$3&lt;=$O$2,$D683,$D683-($D683-$I$670)*MIN(I$3-$O$2,$Q$2)/$Q$2))</f>
        <v>8411.7549911479</v>
      </c>
      <c r="J683" s="15" t="n">
        <f aca="false">I683*(1+IF(J$3&lt;=$O$2,$D683,$D683-($D683-$I$670)*MIN(J$3-$O$2,$Q$2)/$Q$2))</f>
        <v>9235.8427986002</v>
      </c>
      <c r="K683" s="15" t="n">
        <f aca="false">J683*(1+IF(K$3&lt;=$O$2,$D683,$D683-($D683-$I$670)*MIN(K$3-$O$2,$Q$2)/$Q$2))</f>
        <v>9991.34808820474</v>
      </c>
      <c r="L683" s="15" t="n">
        <f aca="false">K683*(1+IF(L$3&lt;=$O$2,$D683,$D683-($D683-$I$670)*MIN(L$3-$O$2,$Q$2)/$Q$2))</f>
        <v>10647.1231948074</v>
      </c>
      <c r="M683" s="15" t="n">
        <f aca="false">L683*(1+IF(M$3&lt;=$O$2,$D683,$D683-($D683-$I$670)*MIN(M$3-$O$2,$Q$2)/$Q$2))</f>
        <v>11173.8060183173</v>
      </c>
      <c r="N683" s="15" t="n">
        <f aca="false">M683*(1+IF(N$3&lt;=$O$2,$D683,$D683-($D683-$I$670)*MIN(N$3-$O$2,$Q$2)/$Q$2))</f>
        <v>11545.8937587273</v>
      </c>
      <c r="O683" s="15" t="n">
        <f aca="false">SUMPRODUCT(E683:N683,1/(1+$F$670)^$E$3:$N$3)*$E$2</f>
        <v>7835.25037212076</v>
      </c>
      <c r="P683" s="15" t="n">
        <f aca="false">N683*$E$2*(1+$I$670)/($F$670-$I$670)/(1+$F$670)^$N$3</f>
        <v>9838.73996764594</v>
      </c>
      <c r="Q683" s="15" t="n">
        <f aca="false">O683+P683</f>
        <v>17673.9903397667</v>
      </c>
      <c r="R683" s="15" t="n">
        <f aca="false">Q683-$G$2+$I$2</f>
        <v>12853.4903397667</v>
      </c>
      <c r="S683" s="42" t="n">
        <f aca="false">R683/$K$2</f>
        <v>67.0850226501393</v>
      </c>
      <c r="T683" s="43" t="n">
        <f aca="false">S683-$M$2</f>
        <v>0.122600938239529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0.11376953125</v>
      </c>
      <c r="C684" s="25" t="n">
        <f aca="false">IF(T683&gt;0,D683,C683)</f>
        <v>0.1141357421875</v>
      </c>
      <c r="D684" s="41" t="n">
        <f aca="false">(B684+C684)/2</f>
        <v>0.11395263671875</v>
      </c>
      <c r="E684" s="15" t="n">
        <f aca="false">$C$2*(1+IF(E$3&lt;=$O$2,$D684,$D684-($D684-$I$670)*MIN(E$3-$O$2,$Q$2)/$Q$2))</f>
        <v>5458.36791992188</v>
      </c>
      <c r="F684" s="15" t="n">
        <f aca="false">E684*(1+IF(F$3&lt;=$O$2,$D684,$D684-($D684-$I$670)*MIN(F$3-$O$2,$Q$2)/$Q$2))</f>
        <v>6080.36333657801</v>
      </c>
      <c r="G684" s="15" t="n">
        <f aca="false">F684*(1+IF(G$3&lt;=$O$2,$D684,$D684-($D684-$I$670)*MIN(G$3-$O$2,$Q$2)/$Q$2))</f>
        <v>6773.23677098909</v>
      </c>
      <c r="H684" s="15" t="n">
        <f aca="false">G684*(1+IF(H$3&lt;=$O$2,$D684,$D684-($D684-$I$670)*MIN(H$3-$O$2,$Q$2)/$Q$2))</f>
        <v>7545.06496016369</v>
      </c>
      <c r="I684" s="15" t="n">
        <f aca="false">H684*(1+IF(I$3&lt;=$O$2,$D684,$D684-($D684-$I$670)*MIN(I$3-$O$2,$Q$2)/$Q$2))</f>
        <v>8404.8450065886</v>
      </c>
      <c r="J684" s="15" t="n">
        <f aca="false">I684*(1+IF(J$3&lt;=$O$2,$D684,$D684-($D684-$I$670)*MIN(J$3-$O$2,$Q$2)/$Q$2))</f>
        <v>9227.02467410303</v>
      </c>
      <c r="K684" s="15" t="n">
        <f aca="false">J684*(1+IF(K$3&lt;=$O$2,$D684,$D684-($D684-$I$670)*MIN(K$3-$O$2,$Q$2)/$Q$2))</f>
        <v>9980.79491717188</v>
      </c>
      <c r="L684" s="15" t="n">
        <f aca="false">K684*(1+IF(L$3&lt;=$O$2,$D684,$D684-($D684-$I$670)*MIN(L$3-$O$2,$Q$2)/$Q$2))</f>
        <v>10635.1463585613</v>
      </c>
      <c r="M684" s="15" t="n">
        <f aca="false">L684*(1+IF(M$3&lt;=$O$2,$D684,$D684-($D684-$I$670)*MIN(M$3-$O$2,$Q$2)/$Q$2))</f>
        <v>11160.847251443</v>
      </c>
      <c r="N684" s="15" t="n">
        <f aca="false">M684*(1+IF(N$3&lt;=$O$2,$D684,$D684-($D684-$I$670)*MIN(N$3-$O$2,$Q$2)/$Q$2))</f>
        <v>11532.503464916</v>
      </c>
      <c r="O684" s="15" t="n">
        <f aca="false">SUMPRODUCT(E684:N684,1/(1+$F$670)^$E$3:$N$3)*$E$2</f>
        <v>7829.12140838909</v>
      </c>
      <c r="P684" s="15" t="n">
        <f aca="false">N684*$E$2*(1+$I$670)/($F$670-$I$670)/(1+$F$670)^$N$3</f>
        <v>9827.32953709352</v>
      </c>
      <c r="Q684" s="15" t="n">
        <f aca="false">O684+P684</f>
        <v>17656.4509454826</v>
      </c>
      <c r="R684" s="15" t="n">
        <f aca="false">Q684-$G$2+$I$2</f>
        <v>12835.9509454826</v>
      </c>
      <c r="S684" s="42" t="n">
        <f aca="false">R684/$K$2</f>
        <v>66.9934809263184</v>
      </c>
      <c r="T684" s="43" t="n">
        <f aca="false">S684-$M$2</f>
        <v>0.0310592144186188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0.11376953125</v>
      </c>
      <c r="C685" s="25" t="n">
        <f aca="false">IF(T684&gt;0,D684,C684)</f>
        <v>0.11395263671875</v>
      </c>
      <c r="D685" s="41" t="n">
        <f aca="false">(B685+C685)/2</f>
        <v>0.113861083984375</v>
      </c>
      <c r="E685" s="15" t="n">
        <f aca="false">$C$2*(1+IF(E$3&lt;=$O$2,$D685,$D685-($D685-$I$670)*MIN(E$3-$O$2,$Q$2)/$Q$2))</f>
        <v>5457.91931152344</v>
      </c>
      <c r="F685" s="15" t="n">
        <f aca="false">E685*(1+IF(F$3&lt;=$O$2,$D685,$D685-($D685-$I$670)*MIN(F$3-$O$2,$Q$2)/$Q$2))</f>
        <v>6079.36392063275</v>
      </c>
      <c r="G685" s="15" t="n">
        <f aca="false">F685*(1+IF(G$3&lt;=$O$2,$D685,$D685-($D685-$I$670)*MIN(G$3-$O$2,$Q$2)/$Q$2))</f>
        <v>6771.56688657149</v>
      </c>
      <c r="H685" s="15" t="n">
        <f aca="false">G685*(1+IF(H$3&lt;=$O$2,$D685,$D685-($D685-$I$670)*MIN(H$3-$O$2,$Q$2)/$Q$2))</f>
        <v>7542.58483254922</v>
      </c>
      <c r="I685" s="15" t="n">
        <f aca="false">H685*(1+IF(I$3&lt;=$O$2,$D685,$D685-($D685-$I$670)*MIN(I$3-$O$2,$Q$2)/$Q$2))</f>
        <v>8401.39171762738</v>
      </c>
      <c r="J685" s="15" t="n">
        <f aca="false">I685*(1+IF(J$3&lt;=$O$2,$D685,$D685-($D685-$I$670)*MIN(J$3-$O$2,$Q$2)/$Q$2))</f>
        <v>9222.61824082391</v>
      </c>
      <c r="K685" s="15" t="n">
        <f aca="false">J685*(1+IF(K$3&lt;=$O$2,$D685,$D685-($D685-$I$670)*MIN(K$3-$O$2,$Q$2)/$Q$2))</f>
        <v>9975.52190183625</v>
      </c>
      <c r="L685" s="15" t="n">
        <f aca="false">K685*(1+IF(L$3&lt;=$O$2,$D685,$D685-($D685-$I$670)*MIN(L$3-$O$2,$Q$2)/$Q$2))</f>
        <v>10629.1623242561</v>
      </c>
      <c r="M685" s="15" t="n">
        <f aca="false">L685*(1+IF(M$3&lt;=$O$2,$D685,$D685-($D685-$I$670)*MIN(M$3-$O$2,$Q$2)/$Q$2))</f>
        <v>11154.3727973914</v>
      </c>
      <c r="N685" s="15" t="n">
        <f aca="false">M685*(1+IF(N$3&lt;=$O$2,$D685,$D685-($D685-$I$670)*MIN(N$3-$O$2,$Q$2)/$Q$2))</f>
        <v>11525.8134115446</v>
      </c>
      <c r="O685" s="15" t="n">
        <f aca="false">SUMPRODUCT(E685:N685,1/(1+$F$670)^$E$3:$N$3)*$E$2</f>
        <v>7826.05871519307</v>
      </c>
      <c r="P685" s="15" t="n">
        <f aca="false">N685*$E$2*(1+$I$670)/($F$670-$I$670)/(1+$F$670)^$N$3</f>
        <v>9821.62866223127</v>
      </c>
      <c r="Q685" s="15" t="n">
        <f aca="false">O685+P685</f>
        <v>17647.6873774243</v>
      </c>
      <c r="R685" s="15" t="n">
        <f aca="false">Q685-$G$2+$I$2</f>
        <v>12827.1873774243</v>
      </c>
      <c r="S685" s="42" t="n">
        <f aca="false">R685/$K$2</f>
        <v>66.947742053363</v>
      </c>
      <c r="T685" s="43" t="n">
        <f aca="false">S685-$M$2</f>
        <v>-0.014679658536835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0.113861083984375</v>
      </c>
      <c r="C686" s="25" t="n">
        <f aca="false">IF(T685&gt;0,D685,C685)</f>
        <v>0.11395263671875</v>
      </c>
      <c r="D686" s="41" t="n">
        <f aca="false">(B686+C686)/2</f>
        <v>0.113906860351563</v>
      </c>
      <c r="E686" s="15" t="n">
        <f aca="false">$C$2*(1+IF(E$3&lt;=$O$2,$D686,$D686-($D686-$I$670)*MIN(E$3-$O$2,$Q$2)/$Q$2))</f>
        <v>5458.14361572266</v>
      </c>
      <c r="F686" s="15" t="n">
        <f aca="false">E686*(1+IF(F$3&lt;=$O$2,$D686,$D686-($D686-$I$670)*MIN(F$3-$O$2,$Q$2)/$Q$2))</f>
        <v>6079.86361833755</v>
      </c>
      <c r="G686" s="15" t="n">
        <f aca="false">F686*(1+IF(G$3&lt;=$O$2,$D686,$D686-($D686-$I$670)*MIN(G$3-$O$2,$Q$2)/$Q$2))</f>
        <v>6772.40179446807</v>
      </c>
      <c r="H686" s="15" t="n">
        <f aca="false">G686*(1+IF(H$3&lt;=$O$2,$D686,$D686-($D686-$I$670)*MIN(H$3-$O$2,$Q$2)/$Q$2))</f>
        <v>7543.82481991522</v>
      </c>
      <c r="I686" s="15" t="n">
        <f aca="false">H686*(1+IF(I$3&lt;=$O$2,$D686,$D686-($D686-$I$670)*MIN(I$3-$O$2,$Q$2)/$Q$2))</f>
        <v>8403.11822019395</v>
      </c>
      <c r="J686" s="15" t="n">
        <f aca="false">I686*(1+IF(J$3&lt;=$O$2,$D686,$D686-($D686-$I$670)*MIN(J$3-$O$2,$Q$2)/$Q$2))</f>
        <v>9224.82123844069</v>
      </c>
      <c r="K686" s="15" t="n">
        <f aca="false">J686*(1+IF(K$3&lt;=$O$2,$D686,$D686-($D686-$I$670)*MIN(K$3-$O$2,$Q$2)/$Q$2))</f>
        <v>9978.15811208183</v>
      </c>
      <c r="L686" s="15" t="n">
        <f aca="false">K686*(1+IF(L$3&lt;=$O$2,$D686,$D686-($D686-$I$670)*MIN(L$3-$O$2,$Q$2)/$Q$2))</f>
        <v>10632.1539762167</v>
      </c>
      <c r="M686" s="15" t="n">
        <f aca="false">L686*(1+IF(M$3&lt;=$O$2,$D686,$D686-($D686-$I$670)*MIN(M$3-$O$2,$Q$2)/$Q$2))</f>
        <v>11157.6096137842</v>
      </c>
      <c r="N686" s="15" t="n">
        <f aca="false">M686*(1+IF(N$3&lt;=$O$2,$D686,$D686-($D686-$I$670)*MIN(N$3-$O$2,$Q$2)/$Q$2))</f>
        <v>11529.1580139232</v>
      </c>
      <c r="O686" s="15" t="n">
        <f aca="false">SUMPRODUCT(E686:N686,1/(1+$F$670)^$E$3:$N$3)*$E$2</f>
        <v>7827.58991278005</v>
      </c>
      <c r="P686" s="15" t="n">
        <f aca="false">N686*$E$2*(1+$I$670)/($F$670-$I$670)/(1+$F$670)^$N$3</f>
        <v>9824.47873809253</v>
      </c>
      <c r="Q686" s="15" t="n">
        <f aca="false">O686+P686</f>
        <v>17652.0686508726</v>
      </c>
      <c r="R686" s="15" t="n">
        <f aca="false">Q686-$G$2+$I$2</f>
        <v>12831.5686508726</v>
      </c>
      <c r="S686" s="42" t="n">
        <f aca="false">R686/$K$2</f>
        <v>66.9706088250135</v>
      </c>
      <c r="T686" s="43" t="n">
        <f aca="false">S686-$M$2</f>
        <v>0.00818711311366371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0.113861083984375</v>
      </c>
      <c r="C687" s="25" t="n">
        <f aca="false">IF(T686&gt;0,D686,C686)</f>
        <v>0.113906860351563</v>
      </c>
      <c r="D687" s="41" t="n">
        <f aca="false">(B687+C687)/2</f>
        <v>0.113883972167969</v>
      </c>
      <c r="E687" s="15" t="n">
        <f aca="false">$C$2*(1+IF(E$3&lt;=$O$2,$D687,$D687-($D687-$I$670)*MIN(E$3-$O$2,$Q$2)/$Q$2))</f>
        <v>5458.03146362305</v>
      </c>
      <c r="F687" s="15" t="n">
        <f aca="false">E687*(1+IF(F$3&lt;=$O$2,$D687,$D687-($D687-$I$670)*MIN(F$3-$O$2,$Q$2)/$Q$2))</f>
        <v>6079.61376691819</v>
      </c>
      <c r="G687" s="15" t="n">
        <f aca="false">F687*(1+IF(G$3&lt;=$O$2,$D687,$D687-($D687-$I$670)*MIN(G$3-$O$2,$Q$2)/$Q$2))</f>
        <v>6771.9843319419</v>
      </c>
      <c r="H687" s="15" t="n">
        <f aca="false">G687*(1+IF(H$3&lt;=$O$2,$D687,$D687-($D687-$I$670)*MIN(H$3-$O$2,$Q$2)/$Q$2))</f>
        <v>7543.2048071227</v>
      </c>
      <c r="I687" s="15" t="n">
        <f aca="false">H687*(1+IF(I$3&lt;=$O$2,$D687,$D687-($D687-$I$670)*MIN(I$3-$O$2,$Q$2)/$Q$2))</f>
        <v>8402.25493343434</v>
      </c>
      <c r="J687" s="15" t="n">
        <f aca="false">I687*(1+IF(J$3&lt;=$O$2,$D687,$D687-($D687-$I$670)*MIN(J$3-$O$2,$Q$2)/$Q$2))</f>
        <v>9223.71968488095</v>
      </c>
      <c r="K687" s="15" t="n">
        <f aca="false">J687*(1+IF(K$3&lt;=$O$2,$D687,$D687-($D687-$I$670)*MIN(K$3-$O$2,$Q$2)/$Q$2))</f>
        <v>9976.83993261044</v>
      </c>
      <c r="L687" s="15" t="n">
        <f aca="false">K687*(1+IF(L$3&lt;=$O$2,$D687,$D687-($D687-$I$670)*MIN(L$3-$O$2,$Q$2)/$Q$2))</f>
        <v>10630.6580589479</v>
      </c>
      <c r="M687" s="15" t="n">
        <f aca="false">L687*(1+IF(M$3&lt;=$O$2,$D687,$D687-($D687-$I$670)*MIN(M$3-$O$2,$Q$2)/$Q$2))</f>
        <v>11155.9911029407</v>
      </c>
      <c r="N687" s="15" t="n">
        <f aca="false">M687*(1+IF(N$3&lt;=$O$2,$D687,$D687-($D687-$I$670)*MIN(N$3-$O$2,$Q$2)/$Q$2))</f>
        <v>11527.4856066687</v>
      </c>
      <c r="O687" s="15" t="n">
        <f aca="false">SUMPRODUCT(E687:N687,1/(1+$F$670)^$E$3:$N$3)*$E$2</f>
        <v>7826.82427673716</v>
      </c>
      <c r="P687" s="15" t="n">
        <f aca="false">N687*$E$2*(1+$I$670)/($F$670-$I$670)/(1+$F$670)^$N$3</f>
        <v>9823.05360977928</v>
      </c>
      <c r="Q687" s="15" t="n">
        <f aca="false">O687+P687</f>
        <v>17649.8778865164</v>
      </c>
      <c r="R687" s="15" t="n">
        <f aca="false">Q687-$G$2+$I$2</f>
        <v>12829.3778865164</v>
      </c>
      <c r="S687" s="42" t="n">
        <f aca="false">R687/$K$2</f>
        <v>66.9591747730503</v>
      </c>
      <c r="T687" s="43" t="n">
        <f aca="false">S687-$M$2</f>
        <v>-0.00324693884948601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0.113883972167969</v>
      </c>
      <c r="C688" s="25" t="n">
        <f aca="false">IF(T687&gt;0,D687,C687)</f>
        <v>0.113906860351563</v>
      </c>
      <c r="D688" s="41" t="n">
        <f aca="false">(B688+C688)/2</f>
        <v>0.113895416259766</v>
      </c>
      <c r="E688" s="15" t="n">
        <f aca="false">$C$2*(1+IF(E$3&lt;=$O$2,$D688,$D688-($D688-$I$670)*MIN(E$3-$O$2,$Q$2)/$Q$2))</f>
        <v>5458.08753967285</v>
      </c>
      <c r="F688" s="15" t="n">
        <f aca="false">E688*(1+IF(F$3&lt;=$O$2,$D688,$D688-($D688-$I$670)*MIN(F$3-$O$2,$Q$2)/$Q$2))</f>
        <v>6079.73869198613</v>
      </c>
      <c r="G688" s="15" t="n">
        <f aca="false">F688*(1+IF(G$3&lt;=$O$2,$D688,$D688-($D688-$I$670)*MIN(G$3-$O$2,$Q$2)/$Q$2))</f>
        <v>6772.19306106049</v>
      </c>
      <c r="H688" s="15" t="n">
        <f aca="false">G688*(1+IF(H$3&lt;=$O$2,$D688,$D688-($D688-$I$670)*MIN(H$3-$O$2,$Q$2)/$Q$2))</f>
        <v>7543.51480874148</v>
      </c>
      <c r="I688" s="15" t="n">
        <f aca="false">H688*(1+IF(I$3&lt;=$O$2,$D688,$D688-($D688-$I$670)*MIN(I$3-$O$2,$Q$2)/$Q$2))</f>
        <v>8402.68656794479</v>
      </c>
      <c r="J688" s="15" t="n">
        <f aca="false">I688*(1+IF(J$3&lt;=$O$2,$D688,$D688-($D688-$I$670)*MIN(J$3-$O$2,$Q$2)/$Q$2))</f>
        <v>9224.27044797244</v>
      </c>
      <c r="K688" s="15" t="n">
        <f aca="false">J688*(1+IF(K$3&lt;=$O$2,$D688,$D688-($D688-$I$670)*MIN(K$3-$O$2,$Q$2)/$Q$2))</f>
        <v>9977.49900375811</v>
      </c>
      <c r="L688" s="15" t="n">
        <f aca="false">K688*(1+IF(L$3&lt;=$O$2,$D688,$D688-($D688-$I$670)*MIN(L$3-$O$2,$Q$2)/$Q$2))</f>
        <v>10631.405994759</v>
      </c>
      <c r="M688" s="15" t="n">
        <f aca="false">L688*(1+IF(M$3&lt;=$O$2,$D688,$D688-($D688-$I$670)*MIN(M$3-$O$2,$Q$2)/$Q$2))</f>
        <v>11156.8003326993</v>
      </c>
      <c r="N688" s="15" t="n">
        <f aca="false">M688*(1+IF(N$3&lt;=$O$2,$D688,$D688-($D688-$I$670)*MIN(N$3-$O$2,$Q$2)/$Q$2))</f>
        <v>11528.3217837782</v>
      </c>
      <c r="O688" s="15" t="n">
        <f aca="false">SUMPRODUCT(E688:N688,1/(1+$F$670)^$E$3:$N$3)*$E$2</f>
        <v>7827.20708544584</v>
      </c>
      <c r="P688" s="15" t="n">
        <f aca="false">N688*$E$2*(1+$I$670)/($F$670-$I$670)/(1+$F$670)^$N$3</f>
        <v>9823.76615133901</v>
      </c>
      <c r="Q688" s="15" t="n">
        <f aca="false">O688+P688</f>
        <v>17650.9732367849</v>
      </c>
      <c r="R688" s="15" t="n">
        <f aca="false">Q688-$G$2+$I$2</f>
        <v>12830.4732367849</v>
      </c>
      <c r="S688" s="42" t="n">
        <f aca="false">R688/$K$2</f>
        <v>66.9648916324888</v>
      </c>
      <c r="T688" s="43" t="n">
        <f aca="false">S688-$M$2</f>
        <v>0.00246992058899309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0.113883972167969</v>
      </c>
      <c r="C689" s="25" t="n">
        <f aca="false">IF(T688&gt;0,D688,C688)</f>
        <v>0.113895416259766</v>
      </c>
      <c r="D689" s="41" t="n">
        <f aca="false">(B689+C689)/2</f>
        <v>0.113889694213867</v>
      </c>
      <c r="E689" s="15" t="n">
        <f aca="false">$C$2*(1+IF(E$3&lt;=$O$2,$D689,$D689-($D689-$I$670)*MIN(E$3-$O$2,$Q$2)/$Q$2))</f>
        <v>5458.05950164795</v>
      </c>
      <c r="F689" s="15" t="n">
        <f aca="false">E689*(1+IF(F$3&lt;=$O$2,$D689,$D689-($D689-$I$670)*MIN(F$3-$O$2,$Q$2)/$Q$2))</f>
        <v>6079.67622929173</v>
      </c>
      <c r="G689" s="15" t="n">
        <f aca="false">F689*(1+IF(G$3&lt;=$O$2,$D689,$D689-($D689-$I$670)*MIN(G$3-$O$2,$Q$2)/$Q$2))</f>
        <v>6772.08869596508</v>
      </c>
      <c r="H689" s="15" t="n">
        <f aca="false">G689*(1+IF(H$3&lt;=$O$2,$D689,$D689-($D689-$I$670)*MIN(H$3-$O$2,$Q$2)/$Q$2))</f>
        <v>7543.35980673773</v>
      </c>
      <c r="I689" s="15" t="n">
        <f aca="false">H689*(1+IF(I$3&lt;=$O$2,$D689,$D689-($D689-$I$670)*MIN(I$3-$O$2,$Q$2)/$Q$2))</f>
        <v>8402.47074847226</v>
      </c>
      <c r="J689" s="15" t="n">
        <f aca="false">I689*(1+IF(J$3&lt;=$O$2,$D689,$D689-($D689-$I$670)*MIN(J$3-$O$2,$Q$2)/$Q$2))</f>
        <v>9223.99506300466</v>
      </c>
      <c r="K689" s="15" t="n">
        <f aca="false">J689*(1+IF(K$3&lt;=$O$2,$D689,$D689-($D689-$I$670)*MIN(K$3-$O$2,$Q$2)/$Q$2))</f>
        <v>9977.16946353738</v>
      </c>
      <c r="L689" s="15" t="n">
        <f aca="false">K689*(1+IF(L$3&lt;=$O$2,$D689,$D689-($D689-$I$670)*MIN(L$3-$O$2,$Q$2)/$Q$2))</f>
        <v>10631.0320211477</v>
      </c>
      <c r="M689" s="15" t="n">
        <f aca="false">L689*(1+IF(M$3&lt;=$O$2,$D689,$D689-($D689-$I$670)*MIN(M$3-$O$2,$Q$2)/$Q$2))</f>
        <v>11156.3957114044</v>
      </c>
      <c r="N689" s="15" t="n">
        <f aca="false">M689*(1+IF(N$3&lt;=$O$2,$D689,$D689-($D689-$I$670)*MIN(N$3-$O$2,$Q$2)/$Q$2))</f>
        <v>11527.9036885941</v>
      </c>
      <c r="O689" s="15" t="n">
        <f aca="false">SUMPRODUCT(E689:N689,1/(1+$F$670)^$E$3:$N$3)*$E$2</f>
        <v>7827.01567876336</v>
      </c>
      <c r="P689" s="15" t="n">
        <f aca="false">N689*$E$2*(1+$I$670)/($F$670-$I$670)/(1+$F$670)^$N$3</f>
        <v>9823.40987491007</v>
      </c>
      <c r="Q689" s="15" t="n">
        <f aca="false">O689+P689</f>
        <v>17650.4255536734</v>
      </c>
      <c r="R689" s="15" t="n">
        <f aca="false">Q689-$G$2+$I$2</f>
        <v>12829.9255536734</v>
      </c>
      <c r="S689" s="42" t="n">
        <f aca="false">R689/$K$2</f>
        <v>66.9620331611348</v>
      </c>
      <c r="T689" s="43" t="n">
        <f aca="false">S689-$M$2</f>
        <v>-0.000388550764995443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0.113889694213867</v>
      </c>
      <c r="C690" s="25" t="n">
        <f aca="false">IF(T689&gt;0,D689,C689)</f>
        <v>0.113895416259766</v>
      </c>
      <c r="D690" s="41" t="n">
        <f aca="false">(B690+C690)/2</f>
        <v>0.113892555236816</v>
      </c>
      <c r="E690" s="15" t="n">
        <f aca="false">$C$2*(1+IF(E$3&lt;=$O$2,$D690,$D690-($D690-$I$670)*MIN(E$3-$O$2,$Q$2)/$Q$2))</f>
        <v>5458.0735206604</v>
      </c>
      <c r="F690" s="15" t="n">
        <f aca="false">E690*(1+IF(F$3&lt;=$O$2,$D690,$D690-($D690-$I$670)*MIN(F$3-$O$2,$Q$2)/$Q$2))</f>
        <v>6079.70746059882</v>
      </c>
      <c r="G690" s="15" t="n">
        <f aca="false">F690*(1+IF(G$3&lt;=$O$2,$D690,$D690-($D690-$I$670)*MIN(G$3-$O$2,$Q$2)/$Q$2))</f>
        <v>6772.14087837876</v>
      </c>
      <c r="H690" s="15" t="n">
        <f aca="false">G690*(1+IF(H$3&lt;=$O$2,$D690,$D690-($D690-$I$670)*MIN(H$3-$O$2,$Q$2)/$Q$2))</f>
        <v>7543.43730744101</v>
      </c>
      <c r="I690" s="15" t="n">
        <f aca="false">H690*(1+IF(I$3&lt;=$O$2,$D690,$D690-($D690-$I$670)*MIN(I$3-$O$2,$Q$2)/$Q$2))</f>
        <v>8402.5786576542</v>
      </c>
      <c r="J690" s="15" t="n">
        <f aca="false">I690*(1+IF(J$3&lt;=$O$2,$D690,$D690-($D690-$I$670)*MIN(J$3-$O$2,$Q$2)/$Q$2))</f>
        <v>9224.13275463304</v>
      </c>
      <c r="K690" s="15" t="n">
        <f aca="false">J690*(1+IF(K$3&lt;=$O$2,$D690,$D690-($D690-$I$670)*MIN(K$3-$O$2,$Q$2)/$Q$2))</f>
        <v>9977.33423248601</v>
      </c>
      <c r="L690" s="15" t="n">
        <f aca="false">K690*(1+IF(L$3&lt;=$O$2,$D690,$D690-($D690-$I$670)*MIN(L$3-$O$2,$Q$2)/$Q$2))</f>
        <v>10631.2190065269</v>
      </c>
      <c r="M690" s="15" t="n">
        <f aca="false">L690*(1+IF(M$3&lt;=$O$2,$D690,$D690-($D690-$I$670)*MIN(M$3-$O$2,$Q$2)/$Q$2))</f>
        <v>11156.5980204479</v>
      </c>
      <c r="N690" s="15" t="n">
        <f aca="false">M690*(1+IF(N$3&lt;=$O$2,$D690,$D690-($D690-$I$670)*MIN(N$3-$O$2,$Q$2)/$Q$2))</f>
        <v>11528.1127345288</v>
      </c>
      <c r="O690" s="15" t="n">
        <f aca="false">SUMPRODUCT(E690:N690,1/(1+$F$670)^$E$3:$N$3)*$E$2</f>
        <v>7827.11138152256</v>
      </c>
      <c r="P690" s="15" t="n">
        <f aca="false">N690*$E$2*(1+$I$670)/($F$670-$I$670)/(1+$F$670)^$N$3</f>
        <v>9823.58801171226</v>
      </c>
      <c r="Q690" s="15" t="n">
        <f aca="false">O690+P690</f>
        <v>17650.6993932348</v>
      </c>
      <c r="R690" s="15" t="n">
        <f aca="false">Q690-$G$2+$I$2</f>
        <v>12830.1993932348</v>
      </c>
      <c r="S690" s="42" t="n">
        <f aca="false">R690/$K$2</f>
        <v>66.963462386403</v>
      </c>
      <c r="T690" s="43" t="n">
        <f aca="false">S690-$M$2</f>
        <v>0.00104067450321566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0.113889694213867</v>
      </c>
      <c r="C691" s="25" t="n">
        <f aca="false">IF(T690&gt;0,D690,C690)</f>
        <v>0.113892555236816</v>
      </c>
      <c r="D691" s="41" t="n">
        <f aca="false">(B691+C691)/2</f>
        <v>0.113891124725342</v>
      </c>
      <c r="E691" s="15" t="n">
        <f aca="false">$C$2*(1+IF(E$3&lt;=$O$2,$D691,$D691-($D691-$I$670)*MIN(E$3-$O$2,$Q$2)/$Q$2))</f>
        <v>5458.06651115418</v>
      </c>
      <c r="F691" s="15" t="n">
        <f aca="false">E691*(1+IF(F$3&lt;=$O$2,$D691,$D691-($D691-$I$670)*MIN(F$3-$O$2,$Q$2)/$Q$2))</f>
        <v>6079.69184493525</v>
      </c>
      <c r="G691" s="15" t="n">
        <f aca="false">F691*(1+IF(G$3&lt;=$O$2,$D691,$D691-($D691-$I$670)*MIN(G$3-$O$2,$Q$2)/$Q$2))</f>
        <v>6772.11478713841</v>
      </c>
      <c r="H691" s="15" t="n">
        <f aca="false">G691*(1+IF(H$3&lt;=$O$2,$D691,$D691-($D691-$I$670)*MIN(H$3-$O$2,$Q$2)/$Q$2))</f>
        <v>7543.39855701472</v>
      </c>
      <c r="I691" s="15" t="n">
        <f aca="false">H691*(1+IF(I$3&lt;=$O$2,$D691,$D691-($D691-$I$670)*MIN(I$3-$O$2,$Q$2)/$Q$2))</f>
        <v>8402.52470292465</v>
      </c>
      <c r="J691" s="15" t="n">
        <f aca="false">I691*(1+IF(J$3&lt;=$O$2,$D691,$D691-($D691-$I$670)*MIN(J$3-$O$2,$Q$2)/$Q$2))</f>
        <v>9224.06390860497</v>
      </c>
      <c r="K691" s="15" t="n">
        <f aca="false">J691*(1+IF(K$3&lt;=$O$2,$D691,$D691-($D691-$I$670)*MIN(K$3-$O$2,$Q$2)/$Q$2))</f>
        <v>9977.25184772126</v>
      </c>
      <c r="L691" s="15" t="n">
        <f aca="false">K691*(1+IF(L$3&lt;=$O$2,$D691,$D691-($D691-$I$670)*MIN(L$3-$O$2,$Q$2)/$Q$2))</f>
        <v>10631.1255134807</v>
      </c>
      <c r="M691" s="15" t="n">
        <f aca="false">L691*(1+IF(M$3&lt;=$O$2,$D691,$D691-($D691-$I$670)*MIN(M$3-$O$2,$Q$2)/$Q$2))</f>
        <v>11156.4968655252</v>
      </c>
      <c r="N691" s="15" t="n">
        <f aca="false">M691*(1+IF(N$3&lt;=$O$2,$D691,$D691-($D691-$I$670)*MIN(N$3-$O$2,$Q$2)/$Q$2))</f>
        <v>11528.0082111472</v>
      </c>
      <c r="O691" s="15" t="n">
        <f aca="false">SUMPRODUCT(E691:N691,1/(1+$F$670)^$E$3:$N$3)*$E$2</f>
        <v>7827.06352999745</v>
      </c>
      <c r="P691" s="15" t="n">
        <f aca="false">N691*$E$2*(1+$I$670)/($F$670-$I$670)/(1+$F$670)^$N$3</f>
        <v>9823.4989429581</v>
      </c>
      <c r="Q691" s="15" t="n">
        <f aca="false">O691+P691</f>
        <v>17650.5624729556</v>
      </c>
      <c r="R691" s="15" t="n">
        <f aca="false">Q691-$G$2+$I$2</f>
        <v>12830.0624729556</v>
      </c>
      <c r="S691" s="42" t="n">
        <f aca="false">R691/$K$2</f>
        <v>66.9627477711668</v>
      </c>
      <c r="T691" s="43" t="n">
        <f aca="false">S691-$M$2</f>
        <v>0.000326059266953394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0.113889694213867</v>
      </c>
      <c r="C692" s="25" t="n">
        <f aca="false">IF(T691&gt;0,D691,C691)</f>
        <v>0.113891124725342</v>
      </c>
      <c r="D692" s="41" t="n">
        <f aca="false">(B692+C692)/2</f>
        <v>0.113890409469604</v>
      </c>
      <c r="E692" s="15" t="n">
        <f aca="false">$C$2*(1+IF(E$3&lt;=$O$2,$D692,$D692-($D692-$I$670)*MIN(E$3-$O$2,$Q$2)/$Q$2))</f>
        <v>5458.06300640106</v>
      </c>
      <c r="F692" s="15" t="n">
        <f aca="false">E692*(1+IF(F$3&lt;=$O$2,$D692,$D692-($D692-$I$670)*MIN(F$3-$O$2,$Q$2)/$Q$2))</f>
        <v>6079.68403711098</v>
      </c>
      <c r="G692" s="15" t="n">
        <f aca="false">F692*(1+IF(G$3&lt;=$O$2,$D692,$D692-($D692-$I$670)*MIN(G$3-$O$2,$Q$2)/$Q$2))</f>
        <v>6772.10174154337</v>
      </c>
      <c r="H692" s="15" t="n">
        <f aca="false">G692*(1+IF(H$3&lt;=$O$2,$D692,$D692-($D692-$I$670)*MIN(H$3-$O$2,$Q$2)/$Q$2))</f>
        <v>7543.37918185756</v>
      </c>
      <c r="I692" s="15" t="n">
        <f aca="false">H692*(1+IF(I$3&lt;=$O$2,$D692,$D692-($D692-$I$670)*MIN(I$3-$O$2,$Q$2)/$Q$2))</f>
        <v>8402.49772566381</v>
      </c>
      <c r="J692" s="15" t="n">
        <f aca="false">I692*(1+IF(J$3&lt;=$O$2,$D692,$D692-($D692-$I$670)*MIN(J$3-$O$2,$Q$2)/$Q$2))</f>
        <v>9224.02948575135</v>
      </c>
      <c r="K692" s="15" t="n">
        <f aca="false">J692*(1+IF(K$3&lt;=$O$2,$D692,$D692-($D692-$I$670)*MIN(K$3-$O$2,$Q$2)/$Q$2))</f>
        <v>9977.21065555671</v>
      </c>
      <c r="L692" s="15" t="n">
        <f aca="false">K692*(1+IF(L$3&lt;=$O$2,$D692,$D692-($D692-$I$670)*MIN(L$3-$O$2,$Q$2)/$Q$2))</f>
        <v>10631.0787672251</v>
      </c>
      <c r="M692" s="15" t="n">
        <f aca="false">L692*(1+IF(M$3&lt;=$O$2,$D692,$D692-($D692-$I$670)*MIN(M$3-$O$2,$Q$2)/$Q$2))</f>
        <v>11156.4462883645</v>
      </c>
      <c r="N692" s="15" t="n">
        <f aca="false">M692*(1+IF(N$3&lt;=$O$2,$D692,$D692-($D692-$I$670)*MIN(N$3-$O$2,$Q$2)/$Q$2))</f>
        <v>11527.9559497671</v>
      </c>
      <c r="O692" s="15" t="n">
        <f aca="false">SUMPRODUCT(E692:N692,1/(1+$F$670)^$E$3:$N$3)*$E$2</f>
        <v>7827.03960434403</v>
      </c>
      <c r="P692" s="15" t="n">
        <f aca="false">N692*$E$2*(1+$I$670)/($F$670-$I$670)/(1+$F$670)^$N$3</f>
        <v>9823.45440884582</v>
      </c>
      <c r="Q692" s="15" t="n">
        <f aca="false">O692+P692</f>
        <v>17650.4940131898</v>
      </c>
      <c r="R692" s="15" t="n">
        <f aca="false">Q692-$G$2+$I$2</f>
        <v>12829.9940131898</v>
      </c>
      <c r="S692" s="42" t="n">
        <f aca="false">R692/$K$2</f>
        <v>66.9623904655003</v>
      </c>
      <c r="T692" s="43" t="n">
        <f aca="false">S692-$M$2</f>
        <v>-3.12463995442158E-005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0.113890409469604</v>
      </c>
      <c r="C693" s="25" t="n">
        <f aca="false">IF(T692&gt;0,D692,C692)</f>
        <v>0.113891124725342</v>
      </c>
      <c r="D693" s="41" t="n">
        <f aca="false">(B693+C693)/2</f>
        <v>0.113890767097473</v>
      </c>
      <c r="E693" s="15" t="n">
        <f aca="false">$C$2*(1+IF(E$3&lt;=$O$2,$D693,$D693-($D693-$I$670)*MIN(E$3-$O$2,$Q$2)/$Q$2))</f>
        <v>5458.06475877762</v>
      </c>
      <c r="F693" s="15" t="n">
        <f aca="false">E693*(1+IF(F$3&lt;=$O$2,$D693,$D693-($D693-$I$670)*MIN(F$3-$O$2,$Q$2)/$Q$2))</f>
        <v>6079.68794102249</v>
      </c>
      <c r="G693" s="15" t="n">
        <f aca="false">F693*(1+IF(G$3&lt;=$O$2,$D693,$D693-($D693-$I$670)*MIN(G$3-$O$2,$Q$2)/$Q$2))</f>
        <v>6772.10826433879</v>
      </c>
      <c r="H693" s="15" t="n">
        <f aca="false">G693*(1+IF(H$3&lt;=$O$2,$D693,$D693-($D693-$I$670)*MIN(H$3-$O$2,$Q$2)/$Q$2))</f>
        <v>7543.38886943148</v>
      </c>
      <c r="I693" s="15" t="n">
        <f aca="false">H693*(1+IF(I$3&lt;=$O$2,$D693,$D693-($D693-$I$670)*MIN(I$3-$O$2,$Q$2)/$Q$2))</f>
        <v>8402.51121428557</v>
      </c>
      <c r="J693" s="15" t="n">
        <f aca="false">I693*(1+IF(J$3&lt;=$O$2,$D693,$D693-($D693-$I$670)*MIN(J$3-$O$2,$Q$2)/$Q$2))</f>
        <v>9224.0466971648</v>
      </c>
      <c r="K693" s="15" t="n">
        <f aca="false">J693*(1+IF(K$3&lt;=$O$2,$D693,$D693-($D693-$I$670)*MIN(K$3-$O$2,$Q$2)/$Q$2))</f>
        <v>9977.23125162084</v>
      </c>
      <c r="L693" s="15" t="n">
        <f aca="false">K693*(1+IF(L$3&lt;=$O$2,$D693,$D693-($D693-$I$670)*MIN(L$3-$O$2,$Q$2)/$Q$2))</f>
        <v>10631.1021403306</v>
      </c>
      <c r="M693" s="15" t="n">
        <f aca="false">L693*(1+IF(M$3&lt;=$O$2,$D693,$D693-($D693-$I$670)*MIN(M$3-$O$2,$Q$2)/$Q$2))</f>
        <v>11156.4715769198</v>
      </c>
      <c r="N693" s="15" t="n">
        <f aca="false">M693*(1+IF(N$3&lt;=$O$2,$D693,$D693-($D693-$I$670)*MIN(N$3-$O$2,$Q$2)/$Q$2))</f>
        <v>11527.9820804312</v>
      </c>
      <c r="O693" s="15" t="n">
        <f aca="false">SUMPRODUCT(E693:N693,1/(1+$F$670)^$E$3:$N$3)*$E$2</f>
        <v>7827.05156716165</v>
      </c>
      <c r="P693" s="15" t="n">
        <f aca="false">N693*$E$2*(1+$I$670)/($F$670-$I$670)/(1+$F$670)^$N$3</f>
        <v>9823.47667587989</v>
      </c>
      <c r="Q693" s="15" t="n">
        <f aca="false">O693+P693</f>
        <v>17650.5282430415</v>
      </c>
      <c r="R693" s="15" t="n">
        <f aca="false">Q693-$G$2+$I$2</f>
        <v>12830.0282430415</v>
      </c>
      <c r="S693" s="42" t="n">
        <f aca="false">R693/$K$2</f>
        <v>66.9625691181709</v>
      </c>
      <c r="T693" s="43" t="n">
        <f aca="false">S693-$M$2</f>
        <v>0.000147406271068462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0.113890409469604</v>
      </c>
      <c r="C694" s="25" t="n">
        <f aca="false">IF(T693&gt;0,D693,C693)</f>
        <v>0.113890767097473</v>
      </c>
      <c r="D694" s="41" t="n">
        <f aca="false">(B694+C694)/2</f>
        <v>0.113890588283539</v>
      </c>
      <c r="E694" s="15" t="n">
        <f aca="false">$C$2*(1+IF(E$3&lt;=$O$2,$D694,$D694-($D694-$I$670)*MIN(E$3-$O$2,$Q$2)/$Q$2))</f>
        <v>5458.06388258934</v>
      </c>
      <c r="F694" s="15" t="n">
        <f aca="false">E694*(1+IF(F$3&lt;=$O$2,$D694,$D694-($D694-$I$670)*MIN(F$3-$O$2,$Q$2)/$Q$2))</f>
        <v>6079.68598906658</v>
      </c>
      <c r="G694" s="15" t="n">
        <f aca="false">F694*(1+IF(G$3&lt;=$O$2,$D694,$D694-($D694-$I$670)*MIN(G$3-$O$2,$Q$2)/$Q$2))</f>
        <v>6772.10500294056</v>
      </c>
      <c r="H694" s="15" t="n">
        <f aca="false">G694*(1+IF(H$3&lt;=$O$2,$D694,$D694-($D694-$I$670)*MIN(H$3-$O$2,$Q$2)/$Q$2))</f>
        <v>7543.38402564335</v>
      </c>
      <c r="I694" s="15" t="n">
        <f aca="false">H694*(1+IF(I$3&lt;=$O$2,$D694,$D694-($D694-$I$670)*MIN(I$3-$O$2,$Q$2)/$Q$2))</f>
        <v>8402.50446997253</v>
      </c>
      <c r="J694" s="15" t="n">
        <f aca="false">I694*(1+IF(J$3&lt;=$O$2,$D694,$D694-($D694-$I$670)*MIN(J$3-$O$2,$Q$2)/$Q$2))</f>
        <v>9224.03809145473</v>
      </c>
      <c r="K694" s="15" t="n">
        <f aca="false">J694*(1+IF(K$3&lt;=$O$2,$D694,$D694-($D694-$I$670)*MIN(K$3-$O$2,$Q$2)/$Q$2))</f>
        <v>9977.22095358424</v>
      </c>
      <c r="L694" s="15" t="n">
        <f aca="false">K694*(1+IF(L$3&lt;=$O$2,$D694,$D694-($D694-$I$670)*MIN(L$3-$O$2,$Q$2)/$Q$2))</f>
        <v>10631.0904537723</v>
      </c>
      <c r="M694" s="15" t="n">
        <f aca="false">L694*(1+IF(M$3&lt;=$O$2,$D694,$D694-($D694-$I$670)*MIN(M$3-$O$2,$Q$2)/$Q$2))</f>
        <v>11156.4589326359</v>
      </c>
      <c r="N694" s="15" t="n">
        <f aca="false">M694*(1+IF(N$3&lt;=$O$2,$D694,$D694-($D694-$I$670)*MIN(N$3-$O$2,$Q$2)/$Q$2))</f>
        <v>11527.9690150927</v>
      </c>
      <c r="O694" s="15" t="n">
        <f aca="false">SUMPRODUCT(E694:N694,1/(1+$F$670)^$E$3:$N$3)*$E$2</f>
        <v>7827.04558575056</v>
      </c>
      <c r="P694" s="15" t="n">
        <f aca="false">N694*$E$2*(1+$I$670)/($F$670-$I$670)/(1+$F$670)^$N$3</f>
        <v>9823.46554235734</v>
      </c>
      <c r="Q694" s="15" t="n">
        <f aca="false">O694+P694</f>
        <v>17650.5111281079</v>
      </c>
      <c r="R694" s="15" t="n">
        <f aca="false">Q694-$G$2+$I$2</f>
        <v>12830.0111281079</v>
      </c>
      <c r="S694" s="42" t="n">
        <f aca="false">R694/$K$2</f>
        <v>66.9624797917949</v>
      </c>
      <c r="T694" s="43" t="n">
        <f aca="false">S694-$M$2</f>
        <v>5.80798950977623E-005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0.113890409469604</v>
      </c>
      <c r="C695" s="25" t="n">
        <f aca="false">IF(T694&gt;0,D694,C694)</f>
        <v>0.113890588283539</v>
      </c>
      <c r="D695" s="41" t="n">
        <f aca="false">(B695+C695)/2</f>
        <v>0.113890498876572</v>
      </c>
      <c r="E695" s="15" t="n">
        <f aca="false">$C$2*(1+IF(E$3&lt;=$O$2,$D695,$D695-($D695-$I$670)*MIN(E$3-$O$2,$Q$2)/$Q$2))</f>
        <v>5458.0634444952</v>
      </c>
      <c r="F695" s="15" t="n">
        <f aca="false">E695*(1+IF(F$3&lt;=$O$2,$D695,$D695-($D695-$I$670)*MIN(F$3-$O$2,$Q$2)/$Q$2))</f>
        <v>6079.68501308874</v>
      </c>
      <c r="G695" s="15" t="n">
        <f aca="false">F695*(1+IF(G$3&lt;=$O$2,$D695,$D695-($D695-$I$670)*MIN(G$3-$O$2,$Q$2)/$Q$2))</f>
        <v>6772.10337224183</v>
      </c>
      <c r="H695" s="15" t="n">
        <f aca="false">G695*(1+IF(H$3&lt;=$O$2,$D695,$D695-($D695-$I$670)*MIN(H$3-$O$2,$Q$2)/$Q$2))</f>
        <v>7543.38160375017</v>
      </c>
      <c r="I695" s="15" t="n">
        <f aca="false">H695*(1+IF(I$3&lt;=$O$2,$D695,$D695-($D695-$I$670)*MIN(I$3-$O$2,$Q$2)/$Q$2))</f>
        <v>8402.50109781763</v>
      </c>
      <c r="J695" s="15" t="n">
        <f aca="false">I695*(1+IF(J$3&lt;=$O$2,$D695,$D695-($D695-$I$670)*MIN(J$3-$O$2,$Q$2)/$Q$2))</f>
        <v>9224.0337886022</v>
      </c>
      <c r="K695" s="15" t="n">
        <f aca="false">J695*(1+IF(K$3&lt;=$O$2,$D695,$D695-($D695-$I$670)*MIN(K$3-$O$2,$Q$2)/$Q$2))</f>
        <v>9977.21580456934</v>
      </c>
      <c r="L695" s="15" t="n">
        <f aca="false">K695*(1+IF(L$3&lt;=$O$2,$D695,$D695-($D695-$I$670)*MIN(L$3-$O$2,$Q$2)/$Q$2))</f>
        <v>10631.0846104973</v>
      </c>
      <c r="M695" s="15" t="n">
        <f aca="false">L695*(1+IF(M$3&lt;=$O$2,$D695,$D695-($D695-$I$670)*MIN(M$3-$O$2,$Q$2)/$Q$2))</f>
        <v>11156.4526104986</v>
      </c>
      <c r="N695" s="15" t="n">
        <f aca="false">M695*(1+IF(N$3&lt;=$O$2,$D695,$D695-($D695-$I$670)*MIN(N$3-$O$2,$Q$2)/$Q$2))</f>
        <v>11527.9624824283</v>
      </c>
      <c r="O695" s="15" t="n">
        <f aca="false">SUMPRODUCT(E695:N695,1/(1+$F$670)^$E$3:$N$3)*$E$2</f>
        <v>7827.04259504673</v>
      </c>
      <c r="P695" s="15" t="n">
        <f aca="false">N695*$E$2*(1+$I$670)/($F$670-$I$670)/(1+$F$670)^$N$3</f>
        <v>9823.4599756002</v>
      </c>
      <c r="Q695" s="15" t="n">
        <f aca="false">O695+P695</f>
        <v>17650.5025706469</v>
      </c>
      <c r="R695" s="15" t="n">
        <f aca="false">Q695-$G$2+$I$2</f>
        <v>12830.0025706469</v>
      </c>
      <c r="S695" s="42" t="n">
        <f aca="false">R695/$K$2</f>
        <v>66.9624351286374</v>
      </c>
      <c r="T695" s="43" t="n">
        <f aca="false">S695-$M$2</f>
        <v>1.34167376444339E-005</v>
      </c>
    </row>
    <row r="697" customFormat="false" ht="15" hidden="false" customHeight="false" outlineLevel="0" collapsed="false">
      <c r="A697" s="38" t="s">
        <v>197</v>
      </c>
      <c r="E697" s="5" t="s">
        <v>11</v>
      </c>
      <c r="F697" s="12" t="n">
        <f aca="false">Sensitivity!$B$14</f>
        <v>0.105084897741638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153</v>
      </c>
      <c r="B698" s="28" t="s">
        <v>154</v>
      </c>
      <c r="C698" s="28" t="s">
        <v>155</v>
      </c>
      <c r="D698" s="28" t="s">
        <v>156</v>
      </c>
      <c r="E698" s="28" t="s">
        <v>157</v>
      </c>
      <c r="F698" s="28" t="s">
        <v>158</v>
      </c>
      <c r="G698" s="28" t="s">
        <v>159</v>
      </c>
      <c r="H698" s="28" t="s">
        <v>160</v>
      </c>
      <c r="I698" s="28" t="s">
        <v>161</v>
      </c>
      <c r="J698" s="28" t="s">
        <v>162</v>
      </c>
      <c r="K698" s="28" t="s">
        <v>163</v>
      </c>
      <c r="L698" s="28" t="s">
        <v>164</v>
      </c>
      <c r="M698" s="28" t="s">
        <v>165</v>
      </c>
      <c r="N698" s="28" t="s">
        <v>166</v>
      </c>
      <c r="O698" s="28" t="s">
        <v>167</v>
      </c>
      <c r="P698" s="28" t="s">
        <v>168</v>
      </c>
      <c r="Q698" s="28" t="s">
        <v>169</v>
      </c>
      <c r="R698" s="28" t="s">
        <v>170</v>
      </c>
      <c r="S698" s="28" t="s">
        <v>171</v>
      </c>
      <c r="T698" s="28" t="s">
        <v>172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6125</v>
      </c>
      <c r="F699" s="15" t="n">
        <f aca="false">E699*(1+IF(F$3&lt;=$O$2,$D699,$D699-($D699-$I$697)*MIN(F$3-$O$2,$Q$2)/$Q$2))</f>
        <v>7656.25</v>
      </c>
      <c r="G699" s="15" t="n">
        <f aca="false">F699*(1+IF(G$3&lt;=$O$2,$D699,$D699-($D699-$I$697)*MIN(G$3-$O$2,$Q$2)/$Q$2))</f>
        <v>9570.3125</v>
      </c>
      <c r="H699" s="15" t="n">
        <f aca="false">G699*(1+IF(H$3&lt;=$O$2,$D699,$D699-($D699-$I$697)*MIN(H$3-$O$2,$Q$2)/$Q$2))</f>
        <v>11962.890625</v>
      </c>
      <c r="I699" s="15" t="n">
        <f aca="false">H699*(1+IF(I$3&lt;=$O$2,$D699,$D699-($D699-$I$697)*MIN(I$3-$O$2,$Q$2)/$Q$2))</f>
        <v>14953.61328125</v>
      </c>
      <c r="J699" s="15" t="n">
        <f aca="false">I699*(1+IF(J$3&lt;=$O$2,$D699,$D699-($D699-$I$697)*MIN(J$3-$O$2,$Q$2)/$Q$2))</f>
        <v>18058.8806152344</v>
      </c>
      <c r="K699" s="15" t="n">
        <f aca="false">J699*(1+IF(K$3&lt;=$O$2,$D699,$D699-($D699-$I$697)*MIN(K$3-$O$2,$Q$2)/$Q$2))</f>
        <v>21044.3747585449</v>
      </c>
      <c r="L699" s="15" t="n">
        <f aca="false">K699*(1+IF(L$3&lt;=$O$2,$D699,$D699-($D699-$I$697)*MIN(L$3-$O$2,$Q$2)/$Q$2))</f>
        <v>23632.4119663508</v>
      </c>
      <c r="M699" s="15" t="n">
        <f aca="false">L699*(1+IF(M$3&lt;=$O$2,$D699,$D699-($D699-$I$697)*MIN(M$3-$O$2,$Q$2)/$Q$2))</f>
        <v>25538.1296673173</v>
      </c>
      <c r="N699" s="15" t="n">
        <f aca="false">M699*(1+IF(N$3&lt;=$O$2,$D699,$D699-($D699-$I$697)*MIN(N$3-$O$2,$Q$2)/$Q$2))</f>
        <v>26516.2400335756</v>
      </c>
      <c r="O699" s="15" t="n">
        <f aca="false">SUMPRODUCT(E699:N699,1/(1+$F$697)^$E$3:$N$3)*$E$2</f>
        <v>14013.0230114933</v>
      </c>
      <c r="P699" s="15" t="n">
        <f aca="false">N699*$E$2*(1+$I$697)/($F$697-$I$697)/(1+$F$697)^$N$3</f>
        <v>24404.7921205133</v>
      </c>
      <c r="Q699" s="15" t="n">
        <f aca="false">O699+P699</f>
        <v>38417.8151320067</v>
      </c>
      <c r="R699" s="15" t="n">
        <f aca="false">Q699-$G$2+$I$2</f>
        <v>33597.3151320067</v>
      </c>
      <c r="S699" s="42" t="n">
        <f aca="false">R699/$K$2</f>
        <v>175.351331586674</v>
      </c>
      <c r="T699" s="43" t="n">
        <f aca="false">S699-$M$2</f>
        <v>108.388909874774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4287.5</v>
      </c>
      <c r="F700" s="15" t="n">
        <f aca="false">E700*(1+IF(F$3&lt;=$O$2,$D700,$D700-($D700-$I$697)*MIN(F$3-$O$2,$Q$2)/$Q$2))</f>
        <v>3751.5625</v>
      </c>
      <c r="G700" s="15" t="n">
        <f aca="false">F700*(1+IF(G$3&lt;=$O$2,$D700,$D700-($D700-$I$697)*MIN(G$3-$O$2,$Q$2)/$Q$2))</f>
        <v>3282.6171875</v>
      </c>
      <c r="H700" s="15" t="n">
        <f aca="false">G700*(1+IF(H$3&lt;=$O$2,$D700,$D700-($D700-$I$697)*MIN(H$3-$O$2,$Q$2)/$Q$2))</f>
        <v>2872.2900390625</v>
      </c>
      <c r="I700" s="15" t="n">
        <f aca="false">H700*(1+IF(I$3&lt;=$O$2,$D700,$D700-($D700-$I$697)*MIN(I$3-$O$2,$Q$2)/$Q$2))</f>
        <v>2513.25378417969</v>
      </c>
      <c r="J700" s="15" t="n">
        <f aca="false">I700*(1+IF(J$3&lt;=$O$2,$D700,$D700-($D700-$I$697)*MIN(J$3-$O$2,$Q$2)/$Q$2))</f>
        <v>2281.17992974854</v>
      </c>
      <c r="K700" s="15" t="n">
        <f aca="false">J700*(1+IF(K$3&lt;=$O$2,$D700,$D700-($D700-$I$697)*MIN(K$3-$O$2,$Q$2)/$Q$2))</f>
        <v>2145.03911154114</v>
      </c>
      <c r="L700" s="15" t="n">
        <f aca="false">K700*(1+IF(L$3&lt;=$O$2,$D700,$D700-($D700-$I$697)*MIN(L$3-$O$2,$Q$2)/$Q$2))</f>
        <v>2087.0801547473</v>
      </c>
      <c r="M700" s="15" t="n">
        <f aca="false">L700*(1+IF(M$3&lt;=$O$2,$D700,$D700-($D700-$I$697)*MIN(M$3-$O$2,$Q$2)/$Q$2))</f>
        <v>2098.85128682008</v>
      </c>
      <c r="N700" s="15" t="n">
        <f aca="false">M700*(1+IF(N$3&lt;=$O$2,$D700,$D700-($D700-$I$697)*MIN(N$3-$O$2,$Q$2)/$Q$2))</f>
        <v>2179.23729110529</v>
      </c>
      <c r="O700" s="15" t="n">
        <f aca="false">SUMPRODUCT(E700:N700,1/(1+$F$697)^$E$3:$N$3)*$E$2</f>
        <v>2853.80739281804</v>
      </c>
      <c r="P700" s="15" t="n">
        <f aca="false">N700*$E$2*(1+$I$697)/($F$697-$I$697)/(1+$F$697)^$N$3</f>
        <v>2005.70793609321</v>
      </c>
      <c r="Q700" s="15" t="n">
        <f aca="false">O700+P700</f>
        <v>4859.51532891125</v>
      </c>
      <c r="R700" s="15" t="n">
        <f aca="false">Q700-$G$2+$I$2</f>
        <v>39.0153289112477</v>
      </c>
      <c r="S700" s="42" t="n">
        <f aca="false">R700/$K$2</f>
        <v>0.203629065298788</v>
      </c>
      <c r="T700" s="43" t="n">
        <f aca="false">S700-$M$2</f>
        <v>-66.758792646601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5206.25</v>
      </c>
      <c r="F701" s="15" t="n">
        <f aca="false">E701*(1+IF(F$3&lt;=$O$2,$D701,$D701-($D701-$I$697)*MIN(F$3-$O$2,$Q$2)/$Q$2))</f>
        <v>5531.640625</v>
      </c>
      <c r="G701" s="15" t="n">
        <f aca="false">F701*(1+IF(G$3&lt;=$O$2,$D701,$D701-($D701-$I$697)*MIN(G$3-$O$2,$Q$2)/$Q$2))</f>
        <v>5877.3681640625</v>
      </c>
      <c r="H701" s="15" t="n">
        <f aca="false">G701*(1+IF(H$3&lt;=$O$2,$D701,$D701-($D701-$I$697)*MIN(H$3-$O$2,$Q$2)/$Q$2))</f>
        <v>6244.70367431641</v>
      </c>
      <c r="I701" s="15" t="n">
        <f aca="false">H701*(1+IF(I$3&lt;=$O$2,$D701,$D701-($D701-$I$697)*MIN(I$3-$O$2,$Q$2)/$Q$2))</f>
        <v>6634.99765396118</v>
      </c>
      <c r="J701" s="15" t="n">
        <f aca="false">I701*(1+IF(J$3&lt;=$O$2,$D701,$D701-($D701-$I$697)*MIN(J$3-$O$2,$Q$2)/$Q$2))</f>
        <v>7017.57161868858</v>
      </c>
      <c r="K701" s="15" t="n">
        <f aca="false">J701*(1+IF(K$3&lt;=$O$2,$D701,$D701-($D701-$I$697)*MIN(K$3-$O$2,$Q$2)/$Q$2))</f>
        <v>7388.23975158772</v>
      </c>
      <c r="L701" s="15" t="n">
        <f aca="false">K701*(1+IF(L$3&lt;=$O$2,$D701,$D701-($D701-$I$697)*MIN(L$3-$O$2,$Q$2)/$Q$2))</f>
        <v>7742.72749486889</v>
      </c>
      <c r="M701" s="15" t="n">
        <f aca="false">L701*(1+IF(M$3&lt;=$O$2,$D701,$D701-($D701-$I$697)*MIN(M$3-$O$2,$Q$2)/$Q$2))</f>
        <v>8076.74875899754</v>
      </c>
      <c r="N701" s="15" t="n">
        <f aca="false">M701*(1+IF(N$3&lt;=$O$2,$D701,$D701-($D701-$I$697)*MIN(N$3-$O$2,$Q$2)/$Q$2))</f>
        <v>8386.08823646714</v>
      </c>
      <c r="O701" s="15" t="n">
        <f aca="false">SUMPRODUCT(E701:N701,1/(1+$F$697)^$E$3:$N$3)*$E$2</f>
        <v>6301.23529354119</v>
      </c>
      <c r="P701" s="15" t="n">
        <f aca="false">N701*$E$2*(1+$I$697)/($F$697-$I$697)/(1+$F$697)^$N$3</f>
        <v>7718.3167695011</v>
      </c>
      <c r="Q701" s="15" t="n">
        <f aca="false">O701+P701</f>
        <v>14019.5520630423</v>
      </c>
      <c r="R701" s="15" t="n">
        <f aca="false">Q701-$G$2+$I$2</f>
        <v>9199.05206304229</v>
      </c>
      <c r="S701" s="42" t="n">
        <f aca="false">R701/$K$2</f>
        <v>48.0117539824754</v>
      </c>
      <c r="T701" s="43" t="n">
        <f aca="false">S701-$M$2</f>
        <v>-18.9506677294244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41" t="n">
        <f aca="false">(B702+C702)/2</f>
        <v>0.15625</v>
      </c>
      <c r="E702" s="15" t="n">
        <f aca="false">$C$2*(1+IF(E$3&lt;=$O$2,$D702,$D702-($D702-$I$697)*MIN(E$3-$O$2,$Q$2)/$Q$2))</f>
        <v>5665.625</v>
      </c>
      <c r="F702" s="15" t="n">
        <f aca="false">E702*(1+IF(F$3&lt;=$O$2,$D702,$D702-($D702-$I$697)*MIN(F$3-$O$2,$Q$2)/$Q$2))</f>
        <v>6550.87890625</v>
      </c>
      <c r="G702" s="15" t="n">
        <f aca="false">F702*(1+IF(G$3&lt;=$O$2,$D702,$D702-($D702-$I$697)*MIN(G$3-$O$2,$Q$2)/$Q$2))</f>
        <v>7574.45373535156</v>
      </c>
      <c r="H702" s="15" t="n">
        <f aca="false">G702*(1+IF(H$3&lt;=$O$2,$D702,$D702-($D702-$I$697)*MIN(H$3-$O$2,$Q$2)/$Q$2))</f>
        <v>8757.96213150024</v>
      </c>
      <c r="I702" s="15" t="n">
        <f aca="false">H702*(1+IF(I$3&lt;=$O$2,$D702,$D702-($D702-$I$697)*MIN(I$3-$O$2,$Q$2)/$Q$2))</f>
        <v>10126.3937145472</v>
      </c>
      <c r="J702" s="15" t="n">
        <f aca="false">I702*(1+IF(J$3&lt;=$O$2,$D702,$D702-($D702-$I$697)*MIN(J$3-$O$2,$Q$2)/$Q$2))</f>
        <v>11469.761104719</v>
      </c>
      <c r="K702" s="15" t="n">
        <f aca="false">J702*(1+IF(K$3&lt;=$O$2,$D702,$D702-($D702-$I$697)*MIN(K$3-$O$2,$Q$2)/$Q$2))</f>
        <v>12720.7679484107</v>
      </c>
      <c r="L702" s="15" t="n">
        <f aca="false">K702*(1+IF(L$3&lt;=$O$2,$D702,$D702-($D702-$I$697)*MIN(L$3-$O$2,$Q$2)/$Q$2))</f>
        <v>13808.1391926408</v>
      </c>
      <c r="M702" s="15" t="n">
        <f aca="false">L702*(1+IF(M$3&lt;=$O$2,$D702,$D702-($D702-$I$697)*MIN(M$3-$O$2,$Q$2)/$Q$2))</f>
        <v>14662.7249272734</v>
      </c>
      <c r="N702" s="15" t="n">
        <f aca="false">M702*(1+IF(N$3&lt;=$O$2,$D702,$D702-($D702-$I$697)*MIN(N$3-$O$2,$Q$2)/$Q$2))</f>
        <v>15224.3072919879</v>
      </c>
      <c r="O702" s="15" t="n">
        <f aca="false">SUMPRODUCT(E702:N702,1/(1+$F$697)^$E$3:$N$3)*$E$2</f>
        <v>9409.38083362405</v>
      </c>
      <c r="P702" s="15" t="n">
        <f aca="false">N702*$E$2*(1+$I$697)/($F$697-$I$697)/(1+$F$697)^$N$3</f>
        <v>14012.0188295671</v>
      </c>
      <c r="Q702" s="15" t="n">
        <f aca="false">O702+P702</f>
        <v>23421.3996631911</v>
      </c>
      <c r="R702" s="15" t="n">
        <f aca="false">Q702-$G$2+$I$2</f>
        <v>18600.8996631911</v>
      </c>
      <c r="S702" s="42" t="n">
        <f aca="false">R702/$K$2</f>
        <v>97.08193978701</v>
      </c>
      <c r="T702" s="43" t="n">
        <f aca="false">S702-$M$2</f>
        <v>30.1195180751102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41" t="n">
        <f aca="false">(B703+C703)/2</f>
        <v>0.109375</v>
      </c>
      <c r="E703" s="15" t="n">
        <f aca="false">$C$2*(1+IF(E$3&lt;=$O$2,$D703,$D703-($D703-$I$697)*MIN(E$3-$O$2,$Q$2)/$Q$2))</f>
        <v>5435.9375</v>
      </c>
      <c r="F703" s="15" t="n">
        <f aca="false">E703*(1+IF(F$3&lt;=$O$2,$D703,$D703-($D703-$I$697)*MIN(F$3-$O$2,$Q$2)/$Q$2))</f>
        <v>6030.4931640625</v>
      </c>
      <c r="G703" s="15" t="n">
        <f aca="false">F703*(1+IF(G$3&lt;=$O$2,$D703,$D703-($D703-$I$697)*MIN(G$3-$O$2,$Q$2)/$Q$2))</f>
        <v>6690.07835388184</v>
      </c>
      <c r="H703" s="15" t="n">
        <f aca="false">G703*(1+IF(H$3&lt;=$O$2,$D703,$D703-($D703-$I$697)*MIN(H$3-$O$2,$Q$2)/$Q$2))</f>
        <v>7421.80567383766</v>
      </c>
      <c r="I703" s="15" t="n">
        <f aca="false">H703*(1+IF(I$3&lt;=$O$2,$D703,$D703-($D703-$I$697)*MIN(I$3-$O$2,$Q$2)/$Q$2))</f>
        <v>8233.56566941366</v>
      </c>
      <c r="J703" s="15" t="n">
        <f aca="false">I703*(1+IF(J$3&lt;=$O$2,$D703,$D703-($D703-$I$697)*MIN(J$3-$O$2,$Q$2)/$Q$2))</f>
        <v>9017.07177851506</v>
      </c>
      <c r="K703" s="15" t="n">
        <f aca="false">J703*(1+IF(K$3&lt;=$O$2,$D703,$D703-($D703-$I$697)*MIN(K$3-$O$2,$Q$2)/$Q$2))</f>
        <v>9746.95865362696</v>
      </c>
      <c r="L703" s="15" t="n">
        <f aca="false">K703*(1+IF(L$3&lt;=$O$2,$D703,$D703-($D703-$I$697)*MIN(L$3-$O$2,$Q$2)/$Q$2))</f>
        <v>10397.3732045835</v>
      </c>
      <c r="M703" s="15" t="n">
        <f aca="false">L703*(1+IF(M$3&lt;=$O$2,$D703,$D703-($D703-$I$697)*MIN(M$3-$O$2,$Q$2)/$Q$2))</f>
        <v>10943.3912584222</v>
      </c>
      <c r="N703" s="15" t="n">
        <f aca="false">M703*(1+IF(N$3&lt;=$O$2,$D703,$D703-($D703-$I$697)*MIN(N$3-$O$2,$Q$2)/$Q$2))</f>
        <v>11362.5231436198</v>
      </c>
      <c r="O703" s="15" t="n">
        <f aca="false">SUMPRODUCT(E703:N703,1/(1+$F$697)^$E$3:$N$3)*$E$2</f>
        <v>7700.68576137569</v>
      </c>
      <c r="P703" s="15" t="n">
        <f aca="false">N703*$E$2*(1+$I$697)/($F$697-$I$697)/(1+$F$697)^$N$3</f>
        <v>10457.7426864984</v>
      </c>
      <c r="Q703" s="15" t="n">
        <f aca="false">O703+P703</f>
        <v>18158.4284478741</v>
      </c>
      <c r="R703" s="15" t="n">
        <f aca="false">Q703-$G$2+$I$2</f>
        <v>13337.9284478741</v>
      </c>
      <c r="S703" s="42" t="n">
        <f aca="false">R703/$K$2</f>
        <v>69.6134052603033</v>
      </c>
      <c r="T703" s="43" t="n">
        <f aca="false">S703-$M$2</f>
        <v>2.65098354840353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0.0625</v>
      </c>
      <c r="C704" s="25" t="n">
        <f aca="false">IF(T703&gt;0,D703,C703)</f>
        <v>0.109375</v>
      </c>
      <c r="D704" s="41" t="n">
        <f aca="false">(B704+C704)/2</f>
        <v>0.0859375</v>
      </c>
      <c r="E704" s="15" t="n">
        <f aca="false">$C$2*(1+IF(E$3&lt;=$O$2,$D704,$D704-($D704-$I$697)*MIN(E$3-$O$2,$Q$2)/$Q$2))</f>
        <v>5321.09375</v>
      </c>
      <c r="F704" s="15" t="n">
        <f aca="false">E704*(1+IF(F$3&lt;=$O$2,$D704,$D704-($D704-$I$697)*MIN(F$3-$O$2,$Q$2)/$Q$2))</f>
        <v>5778.37524414063</v>
      </c>
      <c r="G704" s="15" t="n">
        <f aca="false">F704*(1+IF(G$3&lt;=$O$2,$D704,$D704-($D704-$I$697)*MIN(G$3-$O$2,$Q$2)/$Q$2))</f>
        <v>6274.95436668396</v>
      </c>
      <c r="H704" s="15" t="n">
        <f aca="false">G704*(1+IF(H$3&lt;=$O$2,$D704,$D704-($D704-$I$697)*MIN(H$3-$O$2,$Q$2)/$Q$2))</f>
        <v>6814.20825757086</v>
      </c>
      <c r="I704" s="15" t="n">
        <f aca="false">H704*(1+IF(I$3&lt;=$O$2,$D704,$D704-($D704-$I$697)*MIN(I$3-$O$2,$Q$2)/$Q$2))</f>
        <v>7399.80427970586</v>
      </c>
      <c r="J704" s="15" t="n">
        <f aca="false">I704*(1+IF(J$3&lt;=$O$2,$D704,$D704-($D704-$I$697)*MIN(J$3-$O$2,$Q$2)/$Q$2))</f>
        <v>7965.22332471818</v>
      </c>
      <c r="K704" s="15" t="n">
        <f aca="false">J704*(1+IF(K$3&lt;=$O$2,$D704,$D704-($D704-$I$697)*MIN(K$3-$O$2,$Q$2)/$Q$2))</f>
        <v>8497.95737373365</v>
      </c>
      <c r="L704" s="15" t="n">
        <f aca="false">K704*(1+IF(L$3&lt;=$O$2,$D704,$D704-($D704-$I$697)*MIN(L$3-$O$2,$Q$2)/$Q$2))</f>
        <v>8985.35771890414</v>
      </c>
      <c r="M704" s="15" t="n">
        <f aca="false">L704*(1+IF(M$3&lt;=$O$2,$D704,$D704-($D704-$I$697)*MIN(M$3-$O$2,$Q$2)/$Q$2))</f>
        <v>9415.10491520503</v>
      </c>
      <c r="N704" s="15" t="n">
        <f aca="false">M704*(1+IF(N$3&lt;=$O$2,$D704,$D704-($D704-$I$697)*MIN(N$3-$O$2,$Q$2)/$Q$2))</f>
        <v>9775.70343345738</v>
      </c>
      <c r="O704" s="15" t="n">
        <f aca="false">SUMPRODUCT(E704:N704,1/(1+$F$697)^$E$3:$N$3)*$E$2</f>
        <v>6965.80769571328</v>
      </c>
      <c r="P704" s="15" t="n">
        <f aca="false">N704*$E$2*(1+$I$697)/($F$697-$I$697)/(1+$F$697)^$N$3</f>
        <v>8997.27901931899</v>
      </c>
      <c r="Q704" s="15" t="n">
        <f aca="false">O704+P704</f>
        <v>15963.0867150323</v>
      </c>
      <c r="R704" s="15" t="n">
        <f aca="false">Q704-$G$2+$I$2</f>
        <v>11142.5867150323</v>
      </c>
      <c r="S704" s="42" t="n">
        <f aca="false">R704/$K$2</f>
        <v>58.1554630220891</v>
      </c>
      <c r="T704" s="43" t="n">
        <f aca="false">S704-$M$2</f>
        <v>-8.8069586898107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0.0859375</v>
      </c>
      <c r="C705" s="25" t="n">
        <f aca="false">IF(T704&gt;0,D704,C704)</f>
        <v>0.109375</v>
      </c>
      <c r="D705" s="41" t="n">
        <f aca="false">(B705+C705)/2</f>
        <v>0.09765625</v>
      </c>
      <c r="E705" s="15" t="n">
        <f aca="false">$C$2*(1+IF(E$3&lt;=$O$2,$D705,$D705-($D705-$I$697)*MIN(E$3-$O$2,$Q$2)/$Q$2))</f>
        <v>5378.515625</v>
      </c>
      <c r="F705" s="15" t="n">
        <f aca="false">E705*(1+IF(F$3&lt;=$O$2,$D705,$D705-($D705-$I$697)*MIN(F$3-$O$2,$Q$2)/$Q$2))</f>
        <v>5903.76129150391</v>
      </c>
      <c r="G705" s="15" t="n">
        <f aca="false">F705*(1+IF(G$3&lt;=$O$2,$D705,$D705-($D705-$I$697)*MIN(G$3-$O$2,$Q$2)/$Q$2))</f>
        <v>6480.30048012734</v>
      </c>
      <c r="H705" s="15" t="n">
        <f aca="false">G705*(1+IF(H$3&lt;=$O$2,$D705,$D705-($D705-$I$697)*MIN(H$3-$O$2,$Q$2)/$Q$2))</f>
        <v>7113.14232388977</v>
      </c>
      <c r="I705" s="15" t="n">
        <f aca="false">H705*(1+IF(I$3&lt;=$O$2,$D705,$D705-($D705-$I$697)*MIN(I$3-$O$2,$Q$2)/$Q$2))</f>
        <v>7807.78512895713</v>
      </c>
      <c r="J705" s="15" t="n">
        <f aca="false">I705*(1+IF(J$3&lt;=$O$2,$D705,$D705-($D705-$I$697)*MIN(J$3-$O$2,$Q$2)/$Q$2))</f>
        <v>8477.57597624472</v>
      </c>
      <c r="K705" s="15" t="n">
        <f aca="false">J705*(1+IF(K$3&lt;=$O$2,$D705,$D705-($D705-$I$697)*MIN(K$3-$O$2,$Q$2)/$Q$2))</f>
        <v>9104.18540755888</v>
      </c>
      <c r="L705" s="15" t="n">
        <f aca="false">K705*(1+IF(L$3&lt;=$O$2,$D705,$D705-($D705-$I$697)*MIN(L$3-$O$2,$Q$2)/$Q$2))</f>
        <v>9669.03183070735</v>
      </c>
      <c r="M705" s="15" t="n">
        <f aca="false">L705*(1+IF(M$3&lt;=$O$2,$D705,$D705-($D705-$I$697)*MIN(M$3-$O$2,$Q$2)/$Q$2))</f>
        <v>10154.1392439437</v>
      </c>
      <c r="N705" s="15" t="n">
        <f aca="false">M705*(1+IF(N$3&lt;=$O$2,$D705,$D705-($D705-$I$697)*MIN(N$3-$O$2,$Q$2)/$Q$2))</f>
        <v>10543.0427769868</v>
      </c>
      <c r="O705" s="15" t="n">
        <f aca="false">SUMPRODUCT(E705:N705,1/(1+$F$697)^$E$3:$N$3)*$E$2</f>
        <v>7324.04263019169</v>
      </c>
      <c r="P705" s="15" t="n">
        <f aca="false">N705*$E$2*(1+$I$697)/($F$697-$I$697)/(1+$F$697)^$N$3</f>
        <v>9703.51629658807</v>
      </c>
      <c r="Q705" s="15" t="n">
        <f aca="false">O705+P705</f>
        <v>17027.5589267798</v>
      </c>
      <c r="R705" s="15" t="n">
        <f aca="false">Q705-$G$2+$I$2</f>
        <v>12207.0589267798</v>
      </c>
      <c r="S705" s="42" t="n">
        <f aca="false">R705/$K$2</f>
        <v>63.7111635009382</v>
      </c>
      <c r="T705" s="43" t="n">
        <f aca="false">S705-$M$2</f>
        <v>-3.2512582109616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0.09765625</v>
      </c>
      <c r="C706" s="25" t="n">
        <f aca="false">IF(T705&gt;0,D705,C705)</f>
        <v>0.109375</v>
      </c>
      <c r="D706" s="41" t="n">
        <f aca="false">(B706+C706)/2</f>
        <v>0.103515625</v>
      </c>
      <c r="E706" s="15" t="n">
        <f aca="false">$C$2*(1+IF(E$3&lt;=$O$2,$D706,$D706-($D706-$I$697)*MIN(E$3-$O$2,$Q$2)/$Q$2))</f>
        <v>5407.2265625</v>
      </c>
      <c r="F706" s="15" t="n">
        <f aca="false">E706*(1+IF(F$3&lt;=$O$2,$D706,$D706-($D706-$I$697)*MIN(F$3-$O$2,$Q$2)/$Q$2))</f>
        <v>5966.95899963379</v>
      </c>
      <c r="G706" s="15" t="n">
        <f aca="false">F706*(1+IF(G$3&lt;=$O$2,$D706,$D706-($D706-$I$697)*MIN(G$3-$O$2,$Q$2)/$Q$2))</f>
        <v>6584.63248983026</v>
      </c>
      <c r="H706" s="15" t="n">
        <f aca="false">G706*(1+IF(H$3&lt;=$O$2,$D706,$D706-($D706-$I$697)*MIN(H$3-$O$2,$Q$2)/$Q$2))</f>
        <v>7266.24483741034</v>
      </c>
      <c r="I706" s="15" t="n">
        <f aca="false">H706*(1+IF(I$3&lt;=$O$2,$D706,$D706-($D706-$I$697)*MIN(I$3-$O$2,$Q$2)/$Q$2))</f>
        <v>8018.4147131579</v>
      </c>
      <c r="J706" s="15" t="n">
        <f aca="false">I706*(1+IF(J$3&lt;=$O$2,$D706,$D706-($D706-$I$697)*MIN(J$3-$O$2,$Q$2)/$Q$2))</f>
        <v>8743.86073829407</v>
      </c>
      <c r="K706" s="15" t="n">
        <f aca="false">J706*(1+IF(K$3&lt;=$O$2,$D706,$D706-($D706-$I$697)*MIN(K$3-$O$2,$Q$2)/$Q$2))</f>
        <v>9420.89241034722</v>
      </c>
      <c r="L706" s="15" t="n">
        <f aca="false">K706*(1+IF(L$3&lt;=$O$2,$D706,$D706-($D706-$I$697)*MIN(L$3-$O$2,$Q$2)/$Q$2))</f>
        <v>10027.4683443029</v>
      </c>
      <c r="M706" s="15" t="n">
        <f aca="false">L706*(1+IF(M$3&lt;=$O$2,$D706,$D706-($D706-$I$697)*MIN(M$3-$O$2,$Q$2)/$Q$2))</f>
        <v>10542.309904938</v>
      </c>
      <c r="N706" s="15" t="n">
        <f aca="false">M706*(1+IF(N$3&lt;=$O$2,$D706,$D706-($D706-$I$697)*MIN(N$3-$O$2,$Q$2)/$Q$2))</f>
        <v>10946.0803742972</v>
      </c>
      <c r="O706" s="15" t="n">
        <f aca="false">SUMPRODUCT(E706:N706,1/(1+$F$697)^$E$3:$N$3)*$E$2</f>
        <v>7510.00932150291</v>
      </c>
      <c r="P706" s="15" t="n">
        <f aca="false">N706*$E$2*(1+$I$697)/($F$697-$I$697)/(1+$F$697)^$N$3</f>
        <v>10074.4606222789</v>
      </c>
      <c r="Q706" s="15" t="n">
        <f aca="false">O706+P706</f>
        <v>17584.4699437818</v>
      </c>
      <c r="R706" s="15" t="n">
        <f aca="false">Q706-$G$2+$I$2</f>
        <v>12763.9699437818</v>
      </c>
      <c r="S706" s="42" t="n">
        <f aca="false">R706/$K$2</f>
        <v>66.6177972013665</v>
      </c>
      <c r="T706" s="43" t="n">
        <f aca="false">S706-$M$2</f>
        <v>-0.344624510533293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0.103515625</v>
      </c>
      <c r="C707" s="25" t="n">
        <f aca="false">IF(T706&gt;0,D706,C706)</f>
        <v>0.109375</v>
      </c>
      <c r="D707" s="41" t="n">
        <f aca="false">(B707+C707)/2</f>
        <v>0.1064453125</v>
      </c>
      <c r="E707" s="15" t="n">
        <f aca="false">$C$2*(1+IF(E$3&lt;=$O$2,$D707,$D707-($D707-$I$697)*MIN(E$3-$O$2,$Q$2)/$Q$2))</f>
        <v>5421.58203125</v>
      </c>
      <c r="F707" s="15" t="n">
        <f aca="false">E707*(1+IF(F$3&lt;=$O$2,$D707,$D707-($D707-$I$697)*MIN(F$3-$O$2,$Q$2)/$Q$2))</f>
        <v>5998.68402481079</v>
      </c>
      <c r="G707" s="15" t="n">
        <f aca="false">F707*(1+IF(G$3&lt;=$O$2,$D707,$D707-($D707-$I$697)*MIN(G$3-$O$2,$Q$2)/$Q$2))</f>
        <v>6637.21582042053</v>
      </c>
      <c r="H707" s="15" t="n">
        <f aca="false">G707*(1+IF(H$3&lt;=$O$2,$D707,$D707-($D707-$I$697)*MIN(H$3-$O$2,$Q$2)/$Q$2))</f>
        <v>7343.71633255514</v>
      </c>
      <c r="I707" s="15" t="n">
        <f aca="false">H707*(1+IF(I$3&lt;=$O$2,$D707,$D707-($D707-$I$697)*MIN(I$3-$O$2,$Q$2)/$Q$2))</f>
        <v>8125.42051248533</v>
      </c>
      <c r="J707" s="15" t="n">
        <f aca="false">I707*(1+IF(J$3&lt;=$O$2,$D707,$D707-($D707-$I$697)*MIN(J$3-$O$2,$Q$2)/$Q$2))</f>
        <v>8879.59157412729</v>
      </c>
      <c r="K707" s="15" t="n">
        <f aca="false">J707*(1+IF(K$3&lt;=$O$2,$D707,$D707-($D707-$I$697)*MIN(K$3-$O$2,$Q$2)/$Q$2))</f>
        <v>9582.74145703113</v>
      </c>
      <c r="L707" s="15" t="n">
        <f aca="false">K707*(1+IF(L$3&lt;=$O$2,$D707,$D707-($D707-$I$697)*MIN(L$3-$O$2,$Q$2)/$Q$2))</f>
        <v>10210.9680193139</v>
      </c>
      <c r="M707" s="15" t="n">
        <f aca="false">L707*(1+IF(M$3&lt;=$O$2,$D707,$D707-($D707-$I$697)*MIN(M$3-$O$2,$Q$2)/$Q$2))</f>
        <v>10741.2140157743</v>
      </c>
      <c r="N707" s="15" t="n">
        <f aca="false">M707*(1+IF(N$3&lt;=$O$2,$D707,$D707-($D707-$I$697)*MIN(N$3-$O$2,$Q$2)/$Q$2))</f>
        <v>11152.6025125785</v>
      </c>
      <c r="O707" s="15" t="n">
        <f aca="false">SUMPRODUCT(E707:N707,1/(1+$F$697)^$E$3:$N$3)*$E$2</f>
        <v>7604.75197225797</v>
      </c>
      <c r="P707" s="15" t="n">
        <f aca="false">N707*$E$2*(1+$I$697)/($F$697-$I$697)/(1+$F$697)^$N$3</f>
        <v>10264.5377164166</v>
      </c>
      <c r="Q707" s="15" t="n">
        <f aca="false">O707+P707</f>
        <v>17869.2896886746</v>
      </c>
      <c r="R707" s="15" t="n">
        <f aca="false">Q707-$G$2+$I$2</f>
        <v>13048.7896886746</v>
      </c>
      <c r="S707" s="42" t="n">
        <f aca="false">R707/$K$2</f>
        <v>68.1043303166731</v>
      </c>
      <c r="T707" s="43" t="n">
        <f aca="false">S707-$M$2</f>
        <v>1.14190860477329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0.103515625</v>
      </c>
      <c r="C708" s="25" t="n">
        <f aca="false">IF(T707&gt;0,D707,C707)</f>
        <v>0.1064453125</v>
      </c>
      <c r="D708" s="41" t="n">
        <f aca="false">(B708+C708)/2</f>
        <v>0.10498046875</v>
      </c>
      <c r="E708" s="15" t="n">
        <f aca="false">$C$2*(1+IF(E$3&lt;=$O$2,$D708,$D708-($D708-$I$697)*MIN(E$3-$O$2,$Q$2)/$Q$2))</f>
        <v>5414.404296875</v>
      </c>
      <c r="F708" s="15" t="n">
        <f aca="false">E708*(1+IF(F$3&lt;=$O$2,$D708,$D708-($D708-$I$697)*MIN(F$3-$O$2,$Q$2)/$Q$2))</f>
        <v>5982.81099796295</v>
      </c>
      <c r="G708" s="15" t="n">
        <f aca="false">F708*(1+IF(G$3&lt;=$O$2,$D708,$D708-($D708-$I$697)*MIN(G$3-$O$2,$Q$2)/$Q$2))</f>
        <v>6610.88930097176</v>
      </c>
      <c r="H708" s="15" t="n">
        <f aca="false">G708*(1+IF(H$3&lt;=$O$2,$D708,$D708-($D708-$I$697)*MIN(H$3-$O$2,$Q$2)/$Q$2))</f>
        <v>7304.90355864213</v>
      </c>
      <c r="I708" s="15" t="n">
        <f aca="false">H708*(1+IF(I$3&lt;=$O$2,$D708,$D708-($D708-$I$697)*MIN(I$3-$O$2,$Q$2)/$Q$2))</f>
        <v>8071.77575840193</v>
      </c>
      <c r="J708" s="15" t="n">
        <f aca="false">I708*(1+IF(J$3&lt;=$O$2,$D708,$D708-($D708-$I$697)*MIN(J$3-$O$2,$Q$2)/$Q$2))</f>
        <v>8811.50860292082</v>
      </c>
      <c r="K708" s="15" t="n">
        <f aca="false">J708*(1+IF(K$3&lt;=$O$2,$D708,$D708-($D708-$I$697)*MIN(K$3-$O$2,$Q$2)/$Q$2))</f>
        <v>9501.52269683514</v>
      </c>
      <c r="L708" s="15" t="n">
        <f aca="false">K708*(1+IF(L$3&lt;=$O$2,$D708,$D708-($D708-$I$697)*MIN(L$3-$O$2,$Q$2)/$Q$2))</f>
        <v>10118.8574110294</v>
      </c>
      <c r="M708" s="15" t="n">
        <f aca="false">L708*(1+IF(M$3&lt;=$O$2,$D708,$D708-($D708-$I$697)*MIN(M$3-$O$2,$Q$2)/$Q$2))</f>
        <v>10641.3556809482</v>
      </c>
      <c r="N708" s="15" t="n">
        <f aca="false">M708*(1+IF(N$3&lt;=$O$2,$D708,$D708-($D708-$I$697)*MIN(N$3-$O$2,$Q$2)/$Q$2))</f>
        <v>11048.9196035285</v>
      </c>
      <c r="O708" s="15" t="n">
        <f aca="false">SUMPRODUCT(E708:N708,1/(1+$F$697)^$E$3:$N$3)*$E$2</f>
        <v>7557.23261629956</v>
      </c>
      <c r="P708" s="15" t="n">
        <f aca="false">N708*$E$2*(1+$I$697)/($F$697-$I$697)/(1+$F$697)^$N$3</f>
        <v>10169.1109199096</v>
      </c>
      <c r="Q708" s="15" t="n">
        <f aca="false">O708+P708</f>
        <v>17726.3435362092</v>
      </c>
      <c r="R708" s="15" t="n">
        <f aca="false">Q708-$G$2+$I$2</f>
        <v>12905.8435362092</v>
      </c>
      <c r="S708" s="42" t="n">
        <f aca="false">R708/$K$2</f>
        <v>67.358264802762</v>
      </c>
      <c r="T708" s="43" t="n">
        <f aca="false">S708-$M$2</f>
        <v>0.395843090862172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0.103515625</v>
      </c>
      <c r="C709" s="25" t="n">
        <f aca="false">IF(T708&gt;0,D708,C708)</f>
        <v>0.10498046875</v>
      </c>
      <c r="D709" s="41" t="n">
        <f aca="false">(B709+C709)/2</f>
        <v>0.104248046875</v>
      </c>
      <c r="E709" s="15" t="n">
        <f aca="false">$C$2*(1+IF(E$3&lt;=$O$2,$D709,$D709-($D709-$I$697)*MIN(E$3-$O$2,$Q$2)/$Q$2))</f>
        <v>5410.8154296875</v>
      </c>
      <c r="F709" s="15" t="n">
        <f aca="false">E709*(1+IF(F$3&lt;=$O$2,$D709,$D709-($D709-$I$697)*MIN(F$3-$O$2,$Q$2)/$Q$2))</f>
        <v>5974.88237023354</v>
      </c>
      <c r="G709" s="15" t="n">
        <f aca="false">F709*(1+IF(G$3&lt;=$O$2,$D709,$D709-($D709-$I$697)*MIN(G$3-$O$2,$Q$2)/$Q$2))</f>
        <v>6597.75218763825</v>
      </c>
      <c r="H709" s="15" t="n">
        <f aca="false">G709*(1+IF(H$3&lt;=$O$2,$D709,$D709-($D709-$I$697)*MIN(H$3-$O$2,$Q$2)/$Q$2))</f>
        <v>7285.5549669648</v>
      </c>
      <c r="I709" s="15" t="n">
        <f aca="false">H709*(1+IF(I$3&lt;=$O$2,$D709,$D709-($D709-$I$697)*MIN(I$3-$O$2,$Q$2)/$Q$2))</f>
        <v>8045.05984267133</v>
      </c>
      <c r="J709" s="15" t="n">
        <f aca="false">I709*(1+IF(J$3&lt;=$O$2,$D709,$D709-($D709-$I$697)*MIN(J$3-$O$2,$Q$2)/$Q$2))</f>
        <v>8777.63042153898</v>
      </c>
      <c r="K709" s="15" t="n">
        <f aca="false">J709*(1+IF(K$3&lt;=$O$2,$D709,$D709-($D709-$I$697)*MIN(K$3-$O$2,$Q$2)/$Q$2))</f>
        <v>9461.13421617857</v>
      </c>
      <c r="L709" s="15" t="n">
        <f aca="false">K709*(1+IF(L$3&lt;=$O$2,$D709,$D709-($D709-$I$697)*MIN(L$3-$O$2,$Q$2)/$Q$2))</f>
        <v>10073.0729857699</v>
      </c>
      <c r="M709" s="15" t="n">
        <f aca="false">L709*(1+IF(M$3&lt;=$O$2,$D709,$D709-($D709-$I$697)*MIN(M$3-$O$2,$Q$2)/$Q$2))</f>
        <v>10591.7315790131</v>
      </c>
      <c r="N709" s="15" t="n">
        <f aca="false">M709*(1+IF(N$3&lt;=$O$2,$D709,$D709-($D709-$I$697)*MIN(N$3-$O$2,$Q$2)/$Q$2))</f>
        <v>10997.3948984893</v>
      </c>
      <c r="O709" s="15" t="n">
        <f aca="false">SUMPRODUCT(E709:N709,1/(1+$F$697)^$E$3:$N$3)*$E$2</f>
        <v>7533.58406849711</v>
      </c>
      <c r="P709" s="15" t="n">
        <f aca="false">N709*$E$2*(1+$I$697)/($F$697-$I$697)/(1+$F$697)^$N$3</f>
        <v>10121.6890488615</v>
      </c>
      <c r="Q709" s="15" t="n">
        <f aca="false">O709+P709</f>
        <v>17655.2731173586</v>
      </c>
      <c r="R709" s="15" t="n">
        <f aca="false">Q709-$G$2+$I$2</f>
        <v>12834.7731173586</v>
      </c>
      <c r="S709" s="42" t="n">
        <f aca="false">R709/$K$2</f>
        <v>66.9873335979049</v>
      </c>
      <c r="T709" s="43" t="n">
        <f aca="false">S709-$M$2</f>
        <v>0.0249118860050714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0.103515625</v>
      </c>
      <c r="C710" s="25" t="n">
        <f aca="false">IF(T709&gt;0,D709,C709)</f>
        <v>0.104248046875</v>
      </c>
      <c r="D710" s="41" t="n">
        <f aca="false">(B710+C710)/2</f>
        <v>0.1038818359375</v>
      </c>
      <c r="E710" s="15" t="n">
        <f aca="false">$C$2*(1+IF(E$3&lt;=$O$2,$D710,$D710-($D710-$I$697)*MIN(E$3-$O$2,$Q$2)/$Q$2))</f>
        <v>5409.02099609375</v>
      </c>
      <c r="F710" s="15" t="n">
        <f aca="false">E710*(1+IF(F$3&lt;=$O$2,$D710,$D710-($D710-$I$697)*MIN(F$3-$O$2,$Q$2)/$Q$2))</f>
        <v>5970.92002779245</v>
      </c>
      <c r="G710" s="15" t="n">
        <f aca="false">F710*(1+IF(G$3&lt;=$O$2,$D710,$D710-($D710-$I$697)*MIN(G$3-$O$2,$Q$2)/$Q$2))</f>
        <v>6591.19016251552</v>
      </c>
      <c r="H710" s="15" t="n">
        <f aca="false">G710*(1+IF(H$3&lt;=$O$2,$D710,$D710-($D710-$I$697)*MIN(H$3-$O$2,$Q$2)/$Q$2))</f>
        <v>7275.89509761082</v>
      </c>
      <c r="I710" s="15" t="n">
        <f aca="false">H710*(1+IF(I$3&lt;=$O$2,$D710,$D710-($D710-$I$697)*MIN(I$3-$O$2,$Q$2)/$Q$2))</f>
        <v>8031.72843843929</v>
      </c>
      <c r="J710" s="15" t="n">
        <f aca="false">I710*(1+IF(J$3&lt;=$O$2,$D710,$D710-($D710-$I$697)*MIN(J$3-$O$2,$Q$2)/$Q$2))</f>
        <v>8760.73203502694</v>
      </c>
      <c r="K710" s="15" t="n">
        <f aca="false">J710*(1+IF(K$3&lt;=$O$2,$D710,$D710-($D710-$I$697)*MIN(K$3-$O$2,$Q$2)/$Q$2))</f>
        <v>9440.99500657659</v>
      </c>
      <c r="L710" s="15" t="n">
        <f aca="false">K710*(1+IF(L$3&lt;=$O$2,$D710,$D710-($D710-$I$697)*MIN(L$3-$O$2,$Q$2)/$Q$2))</f>
        <v>10050.2482295717</v>
      </c>
      <c r="M710" s="15" t="n">
        <f aca="false">L710*(1+IF(M$3&lt;=$O$2,$D710,$D710-($D710-$I$697)*MIN(M$3-$O$2,$Q$2)/$Q$2))</f>
        <v>10566.9954828689</v>
      </c>
      <c r="N710" s="15" t="n">
        <f aca="false">M710*(1+IF(N$3&lt;=$O$2,$D710,$D710-($D710-$I$697)*MIN(N$3-$O$2,$Q$2)/$Q$2))</f>
        <v>10971.7114098628</v>
      </c>
      <c r="O710" s="15" t="n">
        <f aca="false">SUMPRODUCT(E710:N710,1/(1+$F$697)^$E$3:$N$3)*$E$2</f>
        <v>7521.78748327463</v>
      </c>
      <c r="P710" s="15" t="n">
        <f aca="false">N710*$E$2*(1+$I$697)/($F$697-$I$697)/(1+$F$697)^$N$3</f>
        <v>10098.0506974185</v>
      </c>
      <c r="Q710" s="15" t="n">
        <f aca="false">O710+P710</f>
        <v>17619.8381806932</v>
      </c>
      <c r="R710" s="15" t="n">
        <f aca="false">Q710-$G$2+$I$2</f>
        <v>12799.3381806932</v>
      </c>
      <c r="S710" s="42" t="n">
        <f aca="false">R710/$K$2</f>
        <v>66.8023913397346</v>
      </c>
      <c r="T710" s="43" t="n">
        <f aca="false">S710-$M$2</f>
        <v>-0.160030372165181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0.1038818359375</v>
      </c>
      <c r="C711" s="25" t="n">
        <f aca="false">IF(T710&gt;0,D710,C710)</f>
        <v>0.104248046875</v>
      </c>
      <c r="D711" s="41" t="n">
        <f aca="false">(B711+C711)/2</f>
        <v>0.10406494140625</v>
      </c>
      <c r="E711" s="15" t="n">
        <f aca="false">$C$2*(1+IF(E$3&lt;=$O$2,$D711,$D711-($D711-$I$697)*MIN(E$3-$O$2,$Q$2)/$Q$2))</f>
        <v>5409.91821289063</v>
      </c>
      <c r="F711" s="15" t="n">
        <f aca="false">E711*(1+IF(F$3&lt;=$O$2,$D711,$D711-($D711-$I$697)*MIN(F$3-$O$2,$Q$2)/$Q$2))</f>
        <v>5972.90103472769</v>
      </c>
      <c r="G711" s="15" t="n">
        <f aca="false">F711*(1+IF(G$3&lt;=$O$2,$D711,$D711-($D711-$I$697)*MIN(G$3-$O$2,$Q$2)/$Q$2))</f>
        <v>6594.47063093196</v>
      </c>
      <c r="H711" s="15" t="n">
        <f aca="false">G711*(1+IF(H$3&lt;=$O$2,$D711,$D711-($D711-$I$697)*MIN(H$3-$O$2,$Q$2)/$Q$2))</f>
        <v>7280.72383074513</v>
      </c>
      <c r="I711" s="15" t="n">
        <f aca="false">H711*(1+IF(I$3&lt;=$O$2,$D711,$D711-($D711-$I$697)*MIN(I$3-$O$2,$Q$2)/$Q$2))</f>
        <v>8038.39192958671</v>
      </c>
      <c r="J711" s="15" t="n">
        <f aca="false">I711*(1+IF(J$3&lt;=$O$2,$D711,$D711-($D711-$I$697)*MIN(J$3-$O$2,$Q$2)/$Q$2))</f>
        <v>8769.17783988968</v>
      </c>
      <c r="K711" s="15" t="n">
        <f aca="false">J711*(1+IF(K$3&lt;=$O$2,$D711,$D711-($D711-$I$697)*MIN(K$3-$O$2,$Q$2)/$Q$2))</f>
        <v>9451.06003125025</v>
      </c>
      <c r="L711" s="15" t="n">
        <f aca="false">K711*(1+IF(L$3&lt;=$O$2,$D711,$D711-($D711-$I$697)*MIN(L$3-$O$2,$Q$2)/$Q$2))</f>
        <v>10061.65499412</v>
      </c>
      <c r="M711" s="15" t="n">
        <f aca="false">L711*(1+IF(M$3&lt;=$O$2,$D711,$D711-($D711-$I$697)*MIN(M$3-$O$2,$Q$2)/$Q$2))</f>
        <v>10579.3572106224</v>
      </c>
      <c r="N711" s="15" t="n">
        <f aca="false">M711*(1+IF(N$3&lt;=$O$2,$D711,$D711-($D711-$I$697)*MIN(N$3-$O$2,$Q$2)/$Q$2))</f>
        <v>10984.5465917893</v>
      </c>
      <c r="O711" s="15" t="n">
        <f aca="false">SUMPRODUCT(E711:N711,1/(1+$F$697)^$E$3:$N$3)*$E$2</f>
        <v>7527.68347128388</v>
      </c>
      <c r="P711" s="15" t="n">
        <f aca="false">N711*$E$2*(1+$I$697)/($F$697-$I$697)/(1+$F$697)^$N$3</f>
        <v>10109.8638333061</v>
      </c>
      <c r="Q711" s="15" t="n">
        <f aca="false">O711+P711</f>
        <v>17637.54730459</v>
      </c>
      <c r="R711" s="15" t="n">
        <f aca="false">Q711-$G$2+$I$2</f>
        <v>12817.04730459</v>
      </c>
      <c r="S711" s="42" t="n">
        <f aca="false">R711/$K$2</f>
        <v>66.8948189174844</v>
      </c>
      <c r="T711" s="43" t="n">
        <f aca="false">S711-$M$2</f>
        <v>-0.0676027944153788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0.10406494140625</v>
      </c>
      <c r="C712" s="25" t="n">
        <f aca="false">IF(T711&gt;0,D711,C711)</f>
        <v>0.104248046875</v>
      </c>
      <c r="D712" s="41" t="n">
        <f aca="false">(B712+C712)/2</f>
        <v>0.104156494140625</v>
      </c>
      <c r="E712" s="15" t="n">
        <f aca="false">$C$2*(1+IF(E$3&lt;=$O$2,$D712,$D712-($D712-$I$697)*MIN(E$3-$O$2,$Q$2)/$Q$2))</f>
        <v>5410.36682128906</v>
      </c>
      <c r="F712" s="15" t="n">
        <f aca="false">E712*(1+IF(F$3&lt;=$O$2,$D712,$D712-($D712-$I$697)*MIN(F$3-$O$2,$Q$2)/$Q$2))</f>
        <v>5973.89166140929</v>
      </c>
      <c r="G712" s="15" t="n">
        <f aca="false">F712*(1+IF(G$3&lt;=$O$2,$D712,$D712-($D712-$I$697)*MIN(G$3-$O$2,$Q$2)/$Q$2))</f>
        <v>6596.11127323759</v>
      </c>
      <c r="H712" s="15" t="n">
        <f aca="false">G712*(1+IF(H$3&lt;=$O$2,$D712,$D712-($D712-$I$697)*MIN(H$3-$O$2,$Q$2)/$Q$2))</f>
        <v>7283.13909841948</v>
      </c>
      <c r="I712" s="15" t="n">
        <f aca="false">H712*(1+IF(I$3&lt;=$O$2,$D712,$D712-($D712-$I$697)*MIN(I$3-$O$2,$Q$2)/$Q$2))</f>
        <v>8041.72533324936</v>
      </c>
      <c r="J712" s="15" t="n">
        <f aca="false">I712*(1+IF(J$3&lt;=$O$2,$D712,$D712-($D712-$I$697)*MIN(J$3-$O$2,$Q$2)/$Q$2))</f>
        <v>8773.40328334453</v>
      </c>
      <c r="K712" s="15" t="n">
        <f aca="false">J712*(1+IF(K$3&lt;=$O$2,$D712,$D712-($D712-$I$697)*MIN(K$3-$O$2,$Q$2)/$Q$2))</f>
        <v>9456.09597825038</v>
      </c>
      <c r="L712" s="15" t="n">
        <f aca="false">K712*(1+IF(L$3&lt;=$O$2,$D712,$D712-($D712-$I$697)*MIN(L$3-$O$2,$Q$2)/$Q$2))</f>
        <v>10067.3625859713</v>
      </c>
      <c r="M712" s="15" t="n">
        <f aca="false">L712*(1+IF(M$3&lt;=$O$2,$D712,$D712-($D712-$I$697)*MIN(M$3-$O$2,$Q$2)/$Q$2))</f>
        <v>10585.5428140449</v>
      </c>
      <c r="N712" s="15" t="n">
        <f aca="false">M712*(1+IF(N$3&lt;=$O$2,$D712,$D712-($D712-$I$697)*MIN(N$3-$O$2,$Q$2)/$Q$2))</f>
        <v>10990.9691038228</v>
      </c>
      <c r="O712" s="15" t="n">
        <f aca="false">SUMPRODUCT(E712:N712,1/(1+$F$697)^$E$3:$N$3)*$E$2</f>
        <v>7530.63319353105</v>
      </c>
      <c r="P712" s="15" t="n">
        <f aca="false">N712*$E$2*(1+$I$697)/($F$697-$I$697)/(1+$F$697)^$N$3</f>
        <v>10115.7749304629</v>
      </c>
      <c r="Q712" s="15" t="n">
        <f aca="false">O712+P712</f>
        <v>17646.408123994</v>
      </c>
      <c r="R712" s="15" t="n">
        <f aca="false">Q712-$G$2+$I$2</f>
        <v>12825.908123994</v>
      </c>
      <c r="S712" s="42" t="n">
        <f aca="false">R712/$K$2</f>
        <v>66.941065365313</v>
      </c>
      <c r="T712" s="43" t="n">
        <f aca="false">S712-$M$2</f>
        <v>-0.021356346586785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0.104156494140625</v>
      </c>
      <c r="C713" s="25" t="n">
        <f aca="false">IF(T712&gt;0,D712,C712)</f>
        <v>0.104248046875</v>
      </c>
      <c r="D713" s="41" t="n">
        <f aca="false">(B713+C713)/2</f>
        <v>0.104202270507813</v>
      </c>
      <c r="E713" s="15" t="n">
        <f aca="false">$C$2*(1+IF(E$3&lt;=$O$2,$D713,$D713-($D713-$I$697)*MIN(E$3-$O$2,$Q$2)/$Q$2))</f>
        <v>5410.59112548828</v>
      </c>
      <c r="F713" s="15" t="n">
        <f aca="false">E713*(1+IF(F$3&lt;=$O$2,$D713,$D713-($D713-$I$697)*MIN(F$3-$O$2,$Q$2)/$Q$2))</f>
        <v>5974.38700555358</v>
      </c>
      <c r="G713" s="15" t="n">
        <f aca="false">F713*(1+IF(G$3&lt;=$O$2,$D713,$D713-($D713-$I$697)*MIN(G$3-$O$2,$Q$2)/$Q$2))</f>
        <v>6596.93169642463</v>
      </c>
      <c r="H713" s="15" t="n">
        <f aca="false">G713*(1+IF(H$3&lt;=$O$2,$D713,$D713-($D713-$I$697)*MIN(H$3-$O$2,$Q$2)/$Q$2))</f>
        <v>7284.34695757704</v>
      </c>
      <c r="I713" s="15" t="n">
        <f aca="false">H713*(1+IF(I$3&lt;=$O$2,$D713,$D713-($D713-$I$697)*MIN(I$3-$O$2,$Q$2)/$Q$2))</f>
        <v>8043.39244972324</v>
      </c>
      <c r="J713" s="15" t="n">
        <f aca="false">I713*(1+IF(J$3&lt;=$O$2,$D713,$D713-($D713-$I$697)*MIN(J$3-$O$2,$Q$2)/$Q$2))</f>
        <v>8775.51664056537</v>
      </c>
      <c r="K713" s="15" t="n">
        <f aca="false">J713*(1+IF(K$3&lt;=$O$2,$D713,$D713-($D713-$I$697)*MIN(K$3-$O$2,$Q$2)/$Q$2))</f>
        <v>9458.61481079443</v>
      </c>
      <c r="L713" s="15" t="n">
        <f aca="false">K713*(1+IF(L$3&lt;=$O$2,$D713,$D713-($D713-$I$697)*MIN(L$3-$O$2,$Q$2)/$Q$2))</f>
        <v>10070.2174348039</v>
      </c>
      <c r="M713" s="15" t="n">
        <f aca="false">L713*(1+IF(M$3&lt;=$O$2,$D713,$D713-($D713-$I$697)*MIN(M$3-$O$2,$Q$2)/$Q$2))</f>
        <v>10588.6368012491</v>
      </c>
      <c r="N713" s="15" t="n">
        <f aca="false">M713*(1+IF(N$3&lt;=$O$2,$D713,$D713-($D713-$I$697)*MIN(N$3-$O$2,$Q$2)/$Q$2))</f>
        <v>10994.1815907369</v>
      </c>
      <c r="O713" s="15" t="n">
        <f aca="false">SUMPRODUCT(E713:N713,1/(1+$F$697)^$E$3:$N$3)*$E$2</f>
        <v>7532.10848689809</v>
      </c>
      <c r="P713" s="15" t="n">
        <f aca="false">N713*$E$2*(1+$I$697)/($F$697-$I$697)/(1+$F$697)^$N$3</f>
        <v>10118.7316119241</v>
      </c>
      <c r="Q713" s="15" t="n">
        <f aca="false">O713+P713</f>
        <v>17650.8400988222</v>
      </c>
      <c r="R713" s="15" t="n">
        <f aca="false">Q713-$G$2+$I$2</f>
        <v>12830.3400988222</v>
      </c>
      <c r="S713" s="42" t="n">
        <f aca="false">R713/$K$2</f>
        <v>66.9641967579449</v>
      </c>
      <c r="T713" s="43" t="n">
        <f aca="false">S713-$M$2</f>
        <v>0.00177504604506851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0.104156494140625</v>
      </c>
      <c r="C714" s="25" t="n">
        <f aca="false">IF(T713&gt;0,D713,C713)</f>
        <v>0.104202270507813</v>
      </c>
      <c r="D714" s="41" t="n">
        <f aca="false">(B714+C714)/2</f>
        <v>0.104179382324219</v>
      </c>
      <c r="E714" s="15" t="n">
        <f aca="false">$C$2*(1+IF(E$3&lt;=$O$2,$D714,$D714-($D714-$I$697)*MIN(E$3-$O$2,$Q$2)/$Q$2))</f>
        <v>5410.47897338867</v>
      </c>
      <c r="F714" s="15" t="n">
        <f aca="false">E714*(1+IF(F$3&lt;=$O$2,$D714,$D714-($D714-$I$697)*MIN(F$3-$O$2,$Q$2)/$Q$2))</f>
        <v>5974.13933091448</v>
      </c>
      <c r="G714" s="15" t="n">
        <f aca="false">F714*(1+IF(G$3&lt;=$O$2,$D714,$D714-($D714-$I$697)*MIN(G$3-$O$2,$Q$2)/$Q$2))</f>
        <v>6596.52147632797</v>
      </c>
      <c r="H714" s="15" t="n">
        <f aca="false">G714*(1+IF(H$3&lt;=$O$2,$D714,$D714-($D714-$I$697)*MIN(H$3-$O$2,$Q$2)/$Q$2))</f>
        <v>7283.74300922026</v>
      </c>
      <c r="I714" s="15" t="n">
        <f aca="false">H714*(1+IF(I$3&lt;=$O$2,$D714,$D714-($D714-$I$697)*MIN(I$3-$O$2,$Q$2)/$Q$2))</f>
        <v>8042.55885692917</v>
      </c>
      <c r="J714" s="15" t="n">
        <f aca="false">I714*(1+IF(J$3&lt;=$O$2,$D714,$D714-($D714-$I$697)*MIN(J$3-$O$2,$Q$2)/$Q$2))</f>
        <v>8774.4599089901</v>
      </c>
      <c r="K714" s="15" t="n">
        <f aca="false">J714*(1+IF(K$3&lt;=$O$2,$D714,$D714-($D714-$I$697)*MIN(K$3-$O$2,$Q$2)/$Q$2))</f>
        <v>9457.35532292415</v>
      </c>
      <c r="L714" s="15" t="n">
        <f aca="false">K714*(1+IF(L$3&lt;=$O$2,$D714,$D714-($D714-$I$697)*MIN(L$3-$O$2,$Q$2)/$Q$2))</f>
        <v>10068.7899226301</v>
      </c>
      <c r="M714" s="15" t="n">
        <f aca="false">L714*(1+IF(M$3&lt;=$O$2,$D714,$D714-($D714-$I$697)*MIN(M$3-$O$2,$Q$2)/$Q$2))</f>
        <v>10587.0897088379</v>
      </c>
      <c r="N714" s="15" t="n">
        <f aca="false">M714*(1+IF(N$3&lt;=$O$2,$D714,$D714-($D714-$I$697)*MIN(N$3-$O$2,$Q$2)/$Q$2))</f>
        <v>10992.5752446864</v>
      </c>
      <c r="O714" s="15" t="n">
        <f aca="false">SUMPRODUCT(E714:N714,1/(1+$F$697)^$E$3:$N$3)*$E$2</f>
        <v>7531.37080418884</v>
      </c>
      <c r="P714" s="15" t="n">
        <f aca="false">N714*$E$2*(1+$I$697)/($F$697-$I$697)/(1+$F$697)^$N$3</f>
        <v>10117.2531767694</v>
      </c>
      <c r="Q714" s="15" t="n">
        <f aca="false">O714+P714</f>
        <v>17648.6239809582</v>
      </c>
      <c r="R714" s="15" t="n">
        <f aca="false">Q714-$G$2+$I$2</f>
        <v>12828.1239809582</v>
      </c>
      <c r="S714" s="42" t="n">
        <f aca="false">R714/$K$2</f>
        <v>66.952630380784</v>
      </c>
      <c r="T714" s="43" t="n">
        <f aca="false">S714-$M$2</f>
        <v>-0.00979133111579245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0.104179382324219</v>
      </c>
      <c r="C715" s="25" t="n">
        <f aca="false">IF(T714&gt;0,D714,C714)</f>
        <v>0.104202270507813</v>
      </c>
      <c r="D715" s="41" t="n">
        <f aca="false">(B715+C715)/2</f>
        <v>0.104190826416016</v>
      </c>
      <c r="E715" s="15" t="n">
        <f aca="false">$C$2*(1+IF(E$3&lt;=$O$2,$D715,$D715-($D715-$I$697)*MIN(E$3-$O$2,$Q$2)/$Q$2))</f>
        <v>5410.53504943848</v>
      </c>
      <c r="F715" s="15" t="n">
        <f aca="false">E715*(1+IF(F$3&lt;=$O$2,$D715,$D715-($D715-$I$697)*MIN(F$3-$O$2,$Q$2)/$Q$2))</f>
        <v>5974.26316759229</v>
      </c>
      <c r="G715" s="15" t="n">
        <f aca="false">F715*(1+IF(G$3&lt;=$O$2,$D715,$D715-($D715-$I$697)*MIN(G$3-$O$2,$Q$2)/$Q$2))</f>
        <v>6596.72658425049</v>
      </c>
      <c r="H715" s="15" t="n">
        <f aca="false">G715*(1+IF(H$3&lt;=$O$2,$D715,$D715-($D715-$I$697)*MIN(H$3-$O$2,$Q$2)/$Q$2))</f>
        <v>7284.04497870405</v>
      </c>
      <c r="I715" s="15" t="n">
        <f aca="false">H715*(1+IF(I$3&lt;=$O$2,$D715,$D715-($D715-$I$697)*MIN(I$3-$O$2,$Q$2)/$Q$2))</f>
        <v>8042.97564468666</v>
      </c>
      <c r="J715" s="15" t="n">
        <f aca="false">I715*(1+IF(J$3&lt;=$O$2,$D715,$D715-($D715-$I$697)*MIN(J$3-$O$2,$Q$2)/$Q$2))</f>
        <v>8774.98826153599</v>
      </c>
      <c r="K715" s="15" t="n">
        <f aca="false">J715*(1+IF(K$3&lt;=$O$2,$D715,$D715-($D715-$I$697)*MIN(K$3-$O$2,$Q$2)/$Q$2))</f>
        <v>9457.98504895888</v>
      </c>
      <c r="L715" s="15" t="n">
        <f aca="false">K715*(1+IF(L$3&lt;=$O$2,$D715,$D715-($D715-$I$697)*MIN(L$3-$O$2,$Q$2)/$Q$2))</f>
        <v>10069.5036567765</v>
      </c>
      <c r="M715" s="15" t="n">
        <f aca="false">L715*(1+IF(M$3&lt;=$O$2,$D715,$D715-($D715-$I$697)*MIN(M$3-$O$2,$Q$2)/$Q$2))</f>
        <v>10587.8632303399</v>
      </c>
      <c r="N715" s="15" t="n">
        <f aca="false">M715*(1+IF(N$3&lt;=$O$2,$D715,$D715-($D715-$I$697)*MIN(N$3-$O$2,$Q$2)/$Q$2))</f>
        <v>10993.3783920619</v>
      </c>
      <c r="O715" s="15" t="n">
        <f aca="false">SUMPRODUCT(E715:N715,1/(1+$F$697)^$E$3:$N$3)*$E$2</f>
        <v>7531.73963653663</v>
      </c>
      <c r="P715" s="15" t="n">
        <f aca="false">N715*$E$2*(1+$I$697)/($F$697-$I$697)/(1+$F$697)^$N$3</f>
        <v>10117.9923707394</v>
      </c>
      <c r="Q715" s="15" t="n">
        <f aca="false">O715+P715</f>
        <v>17649.7320072761</v>
      </c>
      <c r="R715" s="15" t="n">
        <f aca="false">Q715-$G$2+$I$2</f>
        <v>12829.232007276</v>
      </c>
      <c r="S715" s="42" t="n">
        <f aca="false">R715/$K$2</f>
        <v>66.9584133991443</v>
      </c>
      <c r="T715" s="43" t="n">
        <f aca="false">S715-$M$2</f>
        <v>-0.00400831275548796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0.104190826416016</v>
      </c>
      <c r="C716" s="25" t="n">
        <f aca="false">IF(T715&gt;0,D715,C715)</f>
        <v>0.104202270507813</v>
      </c>
      <c r="D716" s="41" t="n">
        <f aca="false">(B716+C716)/2</f>
        <v>0.104196548461914</v>
      </c>
      <c r="E716" s="15" t="n">
        <f aca="false">$C$2*(1+IF(E$3&lt;=$O$2,$D716,$D716-($D716-$I$697)*MIN(E$3-$O$2,$Q$2)/$Q$2))</f>
        <v>5410.56308746338</v>
      </c>
      <c r="F716" s="15" t="n">
        <f aca="false">E716*(1+IF(F$3&lt;=$O$2,$D716,$D716-($D716-$I$697)*MIN(F$3-$O$2,$Q$2)/$Q$2))</f>
        <v>5974.3250864125</v>
      </c>
      <c r="G716" s="15" t="n">
        <f aca="false">F716*(1+IF(G$3&lt;=$O$2,$D716,$D716-($D716-$I$697)*MIN(G$3-$O$2,$Q$2)/$Q$2))</f>
        <v>6596.82913980611</v>
      </c>
      <c r="H716" s="15" t="n">
        <f aca="false">G716*(1+IF(H$3&lt;=$O$2,$D716,$D716-($D716-$I$697)*MIN(H$3-$O$2,$Q$2)/$Q$2))</f>
        <v>7284.19596696688</v>
      </c>
      <c r="I716" s="15" t="n">
        <f aca="false">H716*(1+IF(I$3&lt;=$O$2,$D716,$D716-($D716-$I$697)*MIN(I$3-$O$2,$Q$2)/$Q$2))</f>
        <v>8043.18404504503</v>
      </c>
      <c r="J716" s="15" t="n">
        <f aca="false">I716*(1+IF(J$3&lt;=$O$2,$D716,$D716-($D716-$I$697)*MIN(J$3-$O$2,$Q$2)/$Q$2))</f>
        <v>8775.25244774018</v>
      </c>
      <c r="K716" s="15" t="n">
        <f aca="false">J716*(1+IF(K$3&lt;=$O$2,$D716,$D716-($D716-$I$697)*MIN(K$3-$O$2,$Q$2)/$Q$2))</f>
        <v>9458.29992540145</v>
      </c>
      <c r="L716" s="15" t="n">
        <f aca="false">K716*(1+IF(L$3&lt;=$O$2,$D716,$D716-($D716-$I$697)*MIN(L$3-$O$2,$Q$2)/$Q$2))</f>
        <v>10069.8605403049</v>
      </c>
      <c r="M716" s="15" t="n">
        <f aca="false">L716*(1+IF(M$3&lt;=$O$2,$D716,$D716-($D716-$I$697)*MIN(M$3-$O$2,$Q$2)/$Q$2))</f>
        <v>10588.2500096184</v>
      </c>
      <c r="N716" s="15" t="n">
        <f aca="false">M716*(1+IF(N$3&lt;=$O$2,$D716,$D716-($D716-$I$697)*MIN(N$3-$O$2,$Q$2)/$Q$2))</f>
        <v>10993.7799849868</v>
      </c>
      <c r="O716" s="15" t="n">
        <f aca="false">SUMPRODUCT(E716:N716,1/(1+$F$697)^$E$3:$N$3)*$E$2</f>
        <v>7531.9240594656</v>
      </c>
      <c r="P716" s="15" t="n">
        <f aca="false">N716*$E$2*(1+$I$697)/($F$697-$I$697)/(1+$F$697)^$N$3</f>
        <v>10118.3619854298</v>
      </c>
      <c r="Q716" s="15" t="n">
        <f aca="false">O716+P716</f>
        <v>17650.2860448954</v>
      </c>
      <c r="R716" s="15" t="n">
        <f aca="false">Q716-$G$2+$I$2</f>
        <v>12829.7860448954</v>
      </c>
      <c r="S716" s="42" t="n">
        <f aca="false">R716/$K$2</f>
        <v>66.9613050359885</v>
      </c>
      <c r="T716" s="43" t="n">
        <f aca="false">S716-$M$2</f>
        <v>-0.0011166759113479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0.104196548461914</v>
      </c>
      <c r="C717" s="25" t="n">
        <f aca="false">IF(T716&gt;0,D716,C716)</f>
        <v>0.104202270507813</v>
      </c>
      <c r="D717" s="41" t="n">
        <f aca="false">(B717+C717)/2</f>
        <v>0.104199409484863</v>
      </c>
      <c r="E717" s="15" t="n">
        <f aca="false">$C$2*(1+IF(E$3&lt;=$O$2,$D717,$D717-($D717-$I$697)*MIN(E$3-$O$2,$Q$2)/$Q$2))</f>
        <v>5410.57710647583</v>
      </c>
      <c r="F717" s="15" t="n">
        <f aca="false">E717*(1+IF(F$3&lt;=$O$2,$D717,$D717-($D717-$I$697)*MIN(F$3-$O$2,$Q$2)/$Q$2))</f>
        <v>5974.35604594293</v>
      </c>
      <c r="G717" s="15" t="n">
        <f aca="false">F717*(1+IF(G$3&lt;=$O$2,$D717,$D717-($D717-$I$697)*MIN(G$3-$O$2,$Q$2)/$Q$2))</f>
        <v>6596.88041798251</v>
      </c>
      <c r="H717" s="15" t="n">
        <f aca="false">G717*(1+IF(H$3&lt;=$O$2,$D717,$D717-($D717-$I$697)*MIN(H$3-$O$2,$Q$2)/$Q$2))</f>
        <v>7284.27146197854</v>
      </c>
      <c r="I717" s="15" t="n">
        <f aca="false">H717*(1+IF(I$3&lt;=$O$2,$D717,$D717-($D717-$I$697)*MIN(I$3-$O$2,$Q$2)/$Q$2))</f>
        <v>8043.28824684415</v>
      </c>
      <c r="J717" s="15" t="n">
        <f aca="false">I717*(1+IF(J$3&lt;=$O$2,$D717,$D717-($D717-$I$697)*MIN(J$3-$O$2,$Q$2)/$Q$2))</f>
        <v>8775.38454332514</v>
      </c>
      <c r="K717" s="15" t="n">
        <f aca="false">J717*(1+IF(K$3&lt;=$O$2,$D717,$D717-($D717-$I$697)*MIN(K$3-$O$2,$Q$2)/$Q$2))</f>
        <v>9458.45736697912</v>
      </c>
      <c r="L717" s="15" t="n">
        <f aca="false">K717*(1+IF(L$3&lt;=$O$2,$D717,$D717-($D717-$I$697)*MIN(L$3-$O$2,$Q$2)/$Q$2))</f>
        <v>10070.0389861831</v>
      </c>
      <c r="M717" s="15" t="n">
        <f aca="false">L717*(1+IF(M$3&lt;=$O$2,$D717,$D717-($D717-$I$697)*MIN(M$3-$O$2,$Q$2)/$Q$2))</f>
        <v>10588.4434038897</v>
      </c>
      <c r="N717" s="15" t="n">
        <f aca="false">M717*(1+IF(N$3&lt;=$O$2,$D717,$D717-($D717-$I$697)*MIN(N$3-$O$2,$Q$2)/$Q$2))</f>
        <v>10993.9807862587</v>
      </c>
      <c r="O717" s="15" t="n">
        <f aca="false">SUMPRODUCT(E717:N717,1/(1+$F$697)^$E$3:$N$3)*$E$2</f>
        <v>7532.0162726189</v>
      </c>
      <c r="P717" s="15" t="n">
        <f aca="false">N717*$E$2*(1+$I$697)/($F$697-$I$697)/(1+$F$697)^$N$3</f>
        <v>10118.5467972014</v>
      </c>
      <c r="Q717" s="15" t="n">
        <f aca="false">O717+P717</f>
        <v>17650.5630698203</v>
      </c>
      <c r="R717" s="15" t="n">
        <f aca="false">Q717-$G$2+$I$2</f>
        <v>12830.0630698203</v>
      </c>
      <c r="S717" s="42" t="n">
        <f aca="false">R717/$K$2</f>
        <v>66.9627508863275</v>
      </c>
      <c r="T717" s="43" t="n">
        <f aca="false">S717-$M$2</f>
        <v>0.000329174427676549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0.104196548461914</v>
      </c>
      <c r="C718" s="25" t="n">
        <f aca="false">IF(T717&gt;0,D717,C717)</f>
        <v>0.104199409484863</v>
      </c>
      <c r="D718" s="41" t="n">
        <f aca="false">(B718+C718)/2</f>
        <v>0.104197978973389</v>
      </c>
      <c r="E718" s="15" t="n">
        <f aca="false">$C$2*(1+IF(E$3&lt;=$O$2,$D718,$D718-($D718-$I$697)*MIN(E$3-$O$2,$Q$2)/$Q$2))</f>
        <v>5410.5700969696</v>
      </c>
      <c r="F718" s="15" t="n">
        <f aca="false">E718*(1+IF(F$3&lt;=$O$2,$D718,$D718-($D718-$I$697)*MIN(F$3-$O$2,$Q$2)/$Q$2))</f>
        <v>5974.34056616769</v>
      </c>
      <c r="G718" s="15" t="n">
        <f aca="false">F718*(1+IF(G$3&lt;=$O$2,$D718,$D718-($D718-$I$697)*MIN(G$3-$O$2,$Q$2)/$Q$2))</f>
        <v>6596.85477886109</v>
      </c>
      <c r="H718" s="15" t="n">
        <f aca="false">G718*(1+IF(H$3&lt;=$O$2,$D718,$D718-($D718-$I$697)*MIN(H$3-$O$2,$Q$2)/$Q$2))</f>
        <v>7284.23371439936</v>
      </c>
      <c r="I718" s="15" t="n">
        <f aca="false">H718*(1+IF(I$3&lt;=$O$2,$D718,$D718-($D718-$I$697)*MIN(I$3-$O$2,$Q$2)/$Q$2))</f>
        <v>8043.23614580959</v>
      </c>
      <c r="J718" s="15" t="n">
        <f aca="false">I718*(1+IF(J$3&lt;=$O$2,$D718,$D718-($D718-$I$697)*MIN(J$3-$O$2,$Q$2)/$Q$2))</f>
        <v>8775.31849532575</v>
      </c>
      <c r="K718" s="15" t="n">
        <f aca="false">J718*(1+IF(K$3&lt;=$O$2,$D718,$D718-($D718-$I$697)*MIN(K$3-$O$2,$Q$2)/$Q$2))</f>
        <v>9458.37864591059</v>
      </c>
      <c r="L718" s="15" t="n">
        <f aca="false">K718*(1+IF(L$3&lt;=$O$2,$D718,$D718-($D718-$I$697)*MIN(L$3-$O$2,$Q$2)/$Q$2))</f>
        <v>10069.9497629012</v>
      </c>
      <c r="M718" s="15" t="n">
        <f aca="false">L718*(1+IF(M$3&lt;=$O$2,$D718,$D718-($D718-$I$697)*MIN(M$3-$O$2,$Q$2)/$Q$2))</f>
        <v>10588.3467063681</v>
      </c>
      <c r="N718" s="15" t="n">
        <f aca="false">M718*(1+IF(N$3&lt;=$O$2,$D718,$D718-($D718-$I$697)*MIN(N$3-$O$2,$Q$2)/$Q$2))</f>
        <v>10993.8803852219</v>
      </c>
      <c r="O718" s="15" t="n">
        <f aca="false">SUMPRODUCT(E718:N718,1/(1+$F$697)^$E$3:$N$3)*$E$2</f>
        <v>7531.97016590151</v>
      </c>
      <c r="P718" s="15" t="n">
        <f aca="false">N718*$E$2*(1+$I$697)/($F$697-$I$697)/(1+$F$697)^$N$3</f>
        <v>10118.4543909467</v>
      </c>
      <c r="Q718" s="15" t="n">
        <f aca="false">O718+P718</f>
        <v>17650.4245568483</v>
      </c>
      <c r="R718" s="15" t="n">
        <f aca="false">Q718-$G$2+$I$2</f>
        <v>12829.9245568483</v>
      </c>
      <c r="S718" s="42" t="n">
        <f aca="false">R718/$K$2</f>
        <v>66.9620279584982</v>
      </c>
      <c r="T718" s="43" t="n">
        <f aca="false">S718-$M$2</f>
        <v>-0.000393753401596086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0.104197978973389</v>
      </c>
      <c r="C719" s="25" t="n">
        <f aca="false">IF(T718&gt;0,D718,C718)</f>
        <v>0.104199409484863</v>
      </c>
      <c r="D719" s="41" t="n">
        <f aca="false">(B719+C719)/2</f>
        <v>0.104198694229126</v>
      </c>
      <c r="E719" s="15" t="n">
        <f aca="false">$C$2*(1+IF(E$3&lt;=$O$2,$D719,$D719-($D719-$I$697)*MIN(E$3-$O$2,$Q$2)/$Q$2))</f>
        <v>5410.57360172272</v>
      </c>
      <c r="F719" s="15" t="n">
        <f aca="false">E719*(1+IF(F$3&lt;=$O$2,$D719,$D719-($D719-$I$697)*MIN(F$3-$O$2,$Q$2)/$Q$2))</f>
        <v>5974.3483060528</v>
      </c>
      <c r="G719" s="15" t="n">
        <f aca="false">F719*(1+IF(G$3&lt;=$O$2,$D719,$D719-($D719-$I$697)*MIN(G$3-$O$2,$Q$2)/$Q$2))</f>
        <v>6596.8675984135</v>
      </c>
      <c r="H719" s="15" t="n">
        <f aca="false">G719*(1+IF(H$3&lt;=$O$2,$D719,$D719-($D719-$I$697)*MIN(H$3-$O$2,$Q$2)/$Q$2))</f>
        <v>7284.25258817061</v>
      </c>
      <c r="I719" s="15" t="n">
        <f aca="false">H719*(1+IF(I$3&lt;=$O$2,$D719,$D719-($D719-$I$697)*MIN(I$3-$O$2,$Q$2)/$Q$2))</f>
        <v>8043.26219629312</v>
      </c>
      <c r="J719" s="15" t="n">
        <f aca="false">I719*(1+IF(J$3&lt;=$O$2,$D719,$D719-($D719-$I$697)*MIN(J$3-$O$2,$Q$2)/$Q$2))</f>
        <v>8775.35151927371</v>
      </c>
      <c r="K719" s="15" t="n">
        <f aca="false">J719*(1+IF(K$3&lt;=$O$2,$D719,$D719-($D719-$I$697)*MIN(K$3-$O$2,$Q$2)/$Q$2))</f>
        <v>9458.41800637493</v>
      </c>
      <c r="L719" s="15" t="n">
        <f aca="false">K719*(1+IF(L$3&lt;=$O$2,$D719,$D719-($D719-$I$697)*MIN(L$3-$O$2,$Q$2)/$Q$2))</f>
        <v>10069.9943744564</v>
      </c>
      <c r="M719" s="15" t="n">
        <f aca="false">L719*(1+IF(M$3&lt;=$O$2,$D719,$D719-($D719-$I$697)*MIN(M$3-$O$2,$Q$2)/$Q$2))</f>
        <v>10588.3950550324</v>
      </c>
      <c r="N719" s="15" t="n">
        <f aca="false">M719*(1+IF(N$3&lt;=$O$2,$D719,$D719-($D719-$I$697)*MIN(N$3-$O$2,$Q$2)/$Q$2))</f>
        <v>10993.9305856401</v>
      </c>
      <c r="O719" s="15" t="n">
        <f aca="false">SUMPRODUCT(E719:N719,1/(1+$F$697)^$E$3:$N$3)*$E$2</f>
        <v>7531.99321922502</v>
      </c>
      <c r="P719" s="15" t="n">
        <f aca="false">N719*$E$2*(1+$I$697)/($F$697-$I$697)/(1+$F$697)^$N$3</f>
        <v>10118.5005939819</v>
      </c>
      <c r="Q719" s="15" t="n">
        <f aca="false">O719+P719</f>
        <v>17650.4938132069</v>
      </c>
      <c r="R719" s="15" t="n">
        <f aca="false">Q719-$G$2+$I$2</f>
        <v>12829.9938132069</v>
      </c>
      <c r="S719" s="42" t="n">
        <f aca="false">R719/$K$2</f>
        <v>66.9623894217479</v>
      </c>
      <c r="T719" s="43" t="n">
        <f aca="false">S719-$M$2</f>
        <v>-3.22901519211882E-005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0.104198694229126</v>
      </c>
      <c r="C720" s="25" t="n">
        <f aca="false">IF(T719&gt;0,D719,C719)</f>
        <v>0.104199409484863</v>
      </c>
      <c r="D720" s="41" t="n">
        <f aca="false">(B720+C720)/2</f>
        <v>0.104199051856995</v>
      </c>
      <c r="E720" s="15" t="n">
        <f aca="false">$C$2*(1+IF(E$3&lt;=$O$2,$D720,$D720-($D720-$I$697)*MIN(E$3-$O$2,$Q$2)/$Q$2))</f>
        <v>5410.57535409927</v>
      </c>
      <c r="F720" s="15" t="n">
        <f aca="false">E720*(1+IF(F$3&lt;=$O$2,$D720,$D720-($D720-$I$697)*MIN(F$3-$O$2,$Q$2)/$Q$2))</f>
        <v>5974.35217599724</v>
      </c>
      <c r="G720" s="15" t="n">
        <f aca="false">F720*(1+IF(G$3&lt;=$O$2,$D720,$D720-($D720-$I$697)*MIN(G$3-$O$2,$Q$2)/$Q$2))</f>
        <v>6596.87400819593</v>
      </c>
      <c r="H720" s="15" t="n">
        <f aca="false">G720*(1+IF(H$3&lt;=$O$2,$D720,$D720-($D720-$I$697)*MIN(H$3-$O$2,$Q$2)/$Q$2))</f>
        <v>7284.26202506999</v>
      </c>
      <c r="I720" s="15" t="n">
        <f aca="false">H720*(1+IF(I$3&lt;=$O$2,$D720,$D720-($D720-$I$697)*MIN(I$3-$O$2,$Q$2)/$Q$2))</f>
        <v>8043.2752215602</v>
      </c>
      <c r="J720" s="15" t="n">
        <f aca="false">I720*(1+IF(J$3&lt;=$O$2,$D720,$D720-($D720-$I$697)*MIN(J$3-$O$2,$Q$2)/$Q$2))</f>
        <v>8775.36803128649</v>
      </c>
      <c r="K720" s="15" t="n">
        <f aca="false">J720*(1+IF(K$3&lt;=$O$2,$D720,$D720-($D720-$I$697)*MIN(K$3-$O$2,$Q$2)/$Q$2))</f>
        <v>9458.43768665955</v>
      </c>
      <c r="L720" s="15" t="n">
        <f aca="false">K720*(1+IF(L$3&lt;=$O$2,$D720,$D720-($D720-$I$697)*MIN(L$3-$O$2,$Q$2)/$Q$2))</f>
        <v>10070.0166802983</v>
      </c>
      <c r="M720" s="15" t="n">
        <f aca="false">L720*(1+IF(M$3&lt;=$O$2,$D720,$D720-($D720-$I$697)*MIN(M$3-$O$2,$Q$2)/$Q$2))</f>
        <v>10588.4192294369</v>
      </c>
      <c r="N720" s="15" t="n">
        <f aca="false">M720*(1+IF(N$3&lt;=$O$2,$D720,$D720-($D720-$I$697)*MIN(N$3-$O$2,$Q$2)/$Q$2))</f>
        <v>10993.9556859244</v>
      </c>
      <c r="O720" s="15" t="n">
        <f aca="false">SUMPRODUCT(E720:N720,1/(1+$F$697)^$E$3:$N$3)*$E$2</f>
        <v>7532.00474591316</v>
      </c>
      <c r="P720" s="15" t="n">
        <f aca="false">N720*$E$2*(1+$I$697)/($F$697-$I$697)/(1+$F$697)^$N$3</f>
        <v>10118.5236955686</v>
      </c>
      <c r="Q720" s="15" t="n">
        <f aca="false">O720+P720</f>
        <v>17650.5284414818</v>
      </c>
      <c r="R720" s="15" t="n">
        <f aca="false">Q720-$G$2+$I$2</f>
        <v>12830.0284414818</v>
      </c>
      <c r="S720" s="42" t="n">
        <f aca="false">R720/$K$2</f>
        <v>66.9625701538714</v>
      </c>
      <c r="T720" s="43" t="n">
        <f aca="false">S720-$M$2</f>
        <v>0.000148441971631996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0.104198694229126</v>
      </c>
      <c r="C721" s="25" t="n">
        <f aca="false">IF(T720&gt;0,D720,C720)</f>
        <v>0.104199051856995</v>
      </c>
      <c r="D721" s="41" t="n">
        <f aca="false">(B721+C721)/2</f>
        <v>0.10419887304306</v>
      </c>
      <c r="E721" s="15" t="n">
        <f aca="false">$C$2*(1+IF(E$3&lt;=$O$2,$D721,$D721-($D721-$I$697)*MIN(E$3-$O$2,$Q$2)/$Q$2))</f>
        <v>5410.574477911</v>
      </c>
      <c r="F721" s="15" t="n">
        <f aca="false">E721*(1+IF(F$3&lt;=$O$2,$D721,$D721-($D721-$I$697)*MIN(F$3-$O$2,$Q$2)/$Q$2))</f>
        <v>5974.35024102487</v>
      </c>
      <c r="G721" s="15" t="n">
        <f aca="false">F721*(1+IF(G$3&lt;=$O$2,$D721,$D721-($D721-$I$697)*MIN(G$3-$O$2,$Q$2)/$Q$2))</f>
        <v>6596.87080330419</v>
      </c>
      <c r="H721" s="15" t="n">
        <f aca="false">G721*(1+IF(H$3&lt;=$O$2,$D721,$D721-($D721-$I$697)*MIN(H$3-$O$2,$Q$2)/$Q$2))</f>
        <v>7284.25730661916</v>
      </c>
      <c r="I721" s="15" t="n">
        <f aca="false">H721*(1+IF(I$3&lt;=$O$2,$D721,$D721-($D721-$I$697)*MIN(I$3-$O$2,$Q$2)/$Q$2))</f>
        <v>8043.26870892455</v>
      </c>
      <c r="J721" s="15" t="n">
        <f aca="false">I721*(1+IF(J$3&lt;=$O$2,$D721,$D721-($D721-$I$697)*MIN(J$3-$O$2,$Q$2)/$Q$2))</f>
        <v>8775.35977527687</v>
      </c>
      <c r="K721" s="15" t="n">
        <f aca="false">J721*(1+IF(K$3&lt;=$O$2,$D721,$D721-($D721-$I$697)*MIN(K$3-$O$2,$Q$2)/$Q$2))</f>
        <v>9458.42784651287</v>
      </c>
      <c r="L721" s="15" t="n">
        <f aca="false">K721*(1+IF(L$3&lt;=$O$2,$D721,$D721-($D721-$I$697)*MIN(L$3-$O$2,$Q$2)/$Q$2))</f>
        <v>10070.005527372</v>
      </c>
      <c r="M721" s="15" t="n">
        <f aca="false">L721*(1+IF(M$3&lt;=$O$2,$D721,$D721-($D721-$I$697)*MIN(M$3-$O$2,$Q$2)/$Q$2))</f>
        <v>10588.4071422286</v>
      </c>
      <c r="N721" s="15" t="n">
        <f aca="false">M721*(1+IF(N$3&lt;=$O$2,$D721,$D721-($D721-$I$697)*MIN(N$3-$O$2,$Q$2)/$Q$2))</f>
        <v>10993.943135776</v>
      </c>
      <c r="O721" s="15" t="n">
        <f aca="false">SUMPRODUCT(E721:N721,1/(1+$F$697)^$E$3:$N$3)*$E$2</f>
        <v>7531.9989825669</v>
      </c>
      <c r="P721" s="15" t="n">
        <f aca="false">N721*$E$2*(1+$I$697)/($F$697-$I$697)/(1+$F$697)^$N$3</f>
        <v>10118.5121447695</v>
      </c>
      <c r="Q721" s="15" t="n">
        <f aca="false">O721+P721</f>
        <v>17650.5111273364</v>
      </c>
      <c r="R721" s="15" t="n">
        <f aca="false">Q721-$G$2+$I$2</f>
        <v>12830.0111273364</v>
      </c>
      <c r="S721" s="42" t="n">
        <f aca="false">R721/$K$2</f>
        <v>66.9624797877681</v>
      </c>
      <c r="T721" s="43" t="n">
        <f aca="false">S721-$M$2</f>
        <v>5.80758683099703E-005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0.104198694229126</v>
      </c>
      <c r="C722" s="25" t="n">
        <f aca="false">IF(T721&gt;0,D721,C721)</f>
        <v>0.10419887304306</v>
      </c>
      <c r="D722" s="41" t="n">
        <f aca="false">(B722+C722)/2</f>
        <v>0.104198783636093</v>
      </c>
      <c r="E722" s="15" t="n">
        <f aca="false">$C$2*(1+IF(E$3&lt;=$O$2,$D722,$D722-($D722-$I$697)*MIN(E$3-$O$2,$Q$2)/$Q$2))</f>
        <v>5410.57403981686</v>
      </c>
      <c r="F722" s="15" t="n">
        <f aca="false">E722*(1+IF(F$3&lt;=$O$2,$D722,$D722-($D722-$I$697)*MIN(F$3-$O$2,$Q$2)/$Q$2))</f>
        <v>5974.3492735388</v>
      </c>
      <c r="G722" s="15" t="n">
        <f aca="false">F722*(1+IF(G$3&lt;=$O$2,$D722,$D722-($D722-$I$697)*MIN(G$3-$O$2,$Q$2)/$Q$2))</f>
        <v>6596.86920085872</v>
      </c>
      <c r="H722" s="15" t="n">
        <f aca="false">G722*(1+IF(H$3&lt;=$O$2,$D722,$D722-($D722-$I$697)*MIN(H$3-$O$2,$Q$2)/$Q$2))</f>
        <v>7284.2549473946</v>
      </c>
      <c r="I722" s="15" t="n">
        <f aca="false">H722*(1+IF(I$3&lt;=$O$2,$D722,$D722-($D722-$I$697)*MIN(I$3-$O$2,$Q$2)/$Q$2))</f>
        <v>8043.26545260831</v>
      </c>
      <c r="J722" s="15" t="n">
        <f aca="false">I722*(1+IF(J$3&lt;=$O$2,$D722,$D722-($D722-$I$697)*MIN(J$3-$O$2,$Q$2)/$Q$2))</f>
        <v>8775.35564727449</v>
      </c>
      <c r="K722" s="15" t="n">
        <f aca="false">J722*(1+IF(K$3&lt;=$O$2,$D722,$D722-($D722-$I$697)*MIN(K$3-$O$2,$Q$2)/$Q$2))</f>
        <v>9458.42292644281</v>
      </c>
      <c r="L722" s="15" t="n">
        <f aca="false">K722*(1+IF(L$3&lt;=$O$2,$D722,$D722-($D722-$I$697)*MIN(L$3-$O$2,$Q$2)/$Q$2))</f>
        <v>10069.9999509129</v>
      </c>
      <c r="M722" s="15" t="n">
        <f aca="false">L722*(1+IF(M$3&lt;=$O$2,$D722,$D722-($D722-$I$697)*MIN(M$3-$O$2,$Q$2)/$Q$2))</f>
        <v>10588.401098629</v>
      </c>
      <c r="N722" s="15" t="n">
        <f aca="false">M722*(1+IF(N$3&lt;=$O$2,$D722,$D722-($D722-$I$697)*MIN(N$3-$O$2,$Q$2)/$Q$2))</f>
        <v>10993.9368607065</v>
      </c>
      <c r="O722" s="15" t="n">
        <f aca="false">SUMPRODUCT(E722:N722,1/(1+$F$697)^$E$3:$N$3)*$E$2</f>
        <v>7531.99610089541</v>
      </c>
      <c r="P722" s="15" t="n">
        <f aca="false">N722*$E$2*(1+$I$697)/($F$697-$I$697)/(1+$F$697)^$N$3</f>
        <v>10118.5063693742</v>
      </c>
      <c r="Q722" s="15" t="n">
        <f aca="false">O722+P722</f>
        <v>17650.5024702696</v>
      </c>
      <c r="R722" s="15" t="n">
        <f aca="false">Q722-$G$2+$I$2</f>
        <v>12830.0024702696</v>
      </c>
      <c r="S722" s="42" t="n">
        <f aca="false">R722/$K$2</f>
        <v>66.9624346047476</v>
      </c>
      <c r="T722" s="43" t="n">
        <f aca="false">S722-$M$2</f>
        <v>1.28928478204671E-005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198</v>
      </c>
    </row>
    <row r="3" customFormat="false" ht="15" hidden="false" customHeight="false" outlineLevel="0" collapsed="false">
      <c r="B3" s="2" t="s">
        <v>199</v>
      </c>
    </row>
    <row r="5" customFormat="false" ht="15" hidden="false" customHeight="false" outlineLevel="0" collapsed="false">
      <c r="B5" s="3" t="s">
        <v>200</v>
      </c>
    </row>
    <row r="6" customFormat="false" ht="15" hidden="false" customHeight="false" outlineLevel="0" collapsed="false">
      <c r="B6" s="28" t="s">
        <v>149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201</v>
      </c>
      <c r="C7" s="23" t="n">
        <f aca="false">IF(C$6&lt;=Inputs!$C$46,Solver!$W$7,Solver!$W$7-(Solver!$W$7-Inputs!$C$37)*MIN(C$6-Inputs!$C$46,Inputs!$C$47)/Inputs!$C$47)</f>
        <v>0.09541552674591</v>
      </c>
      <c r="D7" s="23" t="n">
        <f aca="false">IF(D$6&lt;=Inputs!$C$46,Solver!$W$7,Solver!$W$7-(Solver!$W$7-Inputs!$C$37)*MIN(D$6-Inputs!$C$46,Inputs!$C$47)/Inputs!$C$47)</f>
        <v>0.09541552674591</v>
      </c>
      <c r="E7" s="23" t="n">
        <f aca="false">IF(E$6&lt;=Inputs!$C$46,Solver!$W$7,Solver!$W$7-(Solver!$W$7-Inputs!$C$37)*MIN(E$6-Inputs!$C$46,Inputs!$C$47)/Inputs!$C$47)</f>
        <v>0.09541552674591</v>
      </c>
      <c r="F7" s="23" t="n">
        <f aca="false">IF(F$6&lt;=Inputs!$C$46,Solver!$W$7,Solver!$W$7-(Solver!$W$7-Inputs!$C$37)*MIN(F$6-Inputs!$C$46,Inputs!$C$47)/Inputs!$C$47)</f>
        <v>0.09541552674591</v>
      </c>
      <c r="G7" s="23" t="n">
        <f aca="false">IF(G$6&lt;=Inputs!$C$46,Solver!$W$7,Solver!$W$7-(Solver!$W$7-Inputs!$C$37)*MIN(G$6-Inputs!$C$46,Inputs!$C$47)/Inputs!$C$47)</f>
        <v>0.09541552674591</v>
      </c>
      <c r="H7" s="23" t="n">
        <f aca="false">IF(H$6&lt;=Inputs!$C$46,Solver!$W$7,Solver!$W$7-(Solver!$W$7-Inputs!$C$37)*MIN(H$6-Inputs!$C$46,Inputs!$C$47)/Inputs!$C$47)</f>
        <v>0.081992421396728</v>
      </c>
      <c r="I7" s="23" t="n">
        <f aca="false">IF(I$6&lt;=Inputs!$C$46,Solver!$W$7,Solver!$W$7-(Solver!$W$7-Inputs!$C$37)*MIN(I$6-Inputs!$C$46,Inputs!$C$47)/Inputs!$C$47)</f>
        <v>0.068569316047546</v>
      </c>
      <c r="J7" s="23" t="n">
        <f aca="false">IF(J$6&lt;=Inputs!$C$46,Solver!$W$7,Solver!$W$7-(Solver!$W$7-Inputs!$C$37)*MIN(J$6-Inputs!$C$46,Inputs!$C$47)/Inputs!$C$47)</f>
        <v>0.055146210698364</v>
      </c>
      <c r="K7" s="23" t="n">
        <f aca="false">IF(K$6&lt;=Inputs!$C$46,Solver!$W$7,Solver!$W$7-(Solver!$W$7-Inputs!$C$37)*MIN(K$6-Inputs!$C$46,Inputs!$C$47)/Inputs!$C$47)</f>
        <v>0.041723105349182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5367.53608105496</v>
      </c>
      <c r="D8" s="15" t="n">
        <f aca="false">C8*(1+D7)</f>
        <v>5879.6823635565</v>
      </c>
      <c r="E8" s="15" t="n">
        <f aca="false">D8*(1+E7)</f>
        <v>6440.69535337388</v>
      </c>
      <c r="F8" s="15" t="n">
        <f aca="false">E8*(1+F7)</f>
        <v>7055.23769312598</v>
      </c>
      <c r="G8" s="15" t="n">
        <f aca="false">F8*(1+G7)</f>
        <v>7728.41691393319</v>
      </c>
      <c r="H8" s="15" t="n">
        <f aca="false">G8*(1+H7)</f>
        <v>8362.08853027</v>
      </c>
      <c r="I8" s="15" t="n">
        <f aca="false">H8*(1+I7)</f>
        <v>8935.47122151965</v>
      </c>
      <c r="J8" s="15" t="n">
        <f aca="false">I8*(1+J7)</f>
        <v>9428.22860019074</v>
      </c>
      <c r="K8" s="15" t="n">
        <f aca="false">J8*(1+K7)</f>
        <v>9821.60357533267</v>
      </c>
      <c r="L8" s="15" t="n">
        <f aca="false">K8*(1+L7)</f>
        <v>10099.5549565146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863.077893523103</v>
      </c>
      <c r="D9" s="15" t="n">
        <f aca="false">D8*Inputs!$C$23</f>
        <v>945.42892535636</v>
      </c>
      <c r="E9" s="15" t="n">
        <f aca="false">E8*Inputs!$C$23</f>
        <v>1035.63752427006</v>
      </c>
      <c r="F9" s="15" t="n">
        <f aca="false">F8*Inputs!$C$23</f>
        <v>1134.45342416611</v>
      </c>
      <c r="G9" s="15" t="n">
        <f aca="false">G8*Inputs!$C$23</f>
        <v>1242.69789520163</v>
      </c>
      <c r="H9" s="15" t="n">
        <f aca="false">H8*Inputs!$C$23</f>
        <v>1344.58970469382</v>
      </c>
      <c r="I9" s="15" t="n">
        <f aca="false">I8*Inputs!$C$23</f>
        <v>1436.78730110925</v>
      </c>
      <c r="J9" s="15" t="n">
        <f aca="false">J8*Inputs!$C$23</f>
        <v>1516.02067634496</v>
      </c>
      <c r="K9" s="15" t="n">
        <f aca="false">K8*Inputs!$C$23</f>
        <v>1579.27376673563</v>
      </c>
      <c r="L9" s="15" t="n">
        <f aca="false">L8*Inputs!$C$23</f>
        <v>1623.96721433425</v>
      </c>
    </row>
    <row r="10" customFormat="false" ht="15" hidden="false" customHeight="false" outlineLevel="0" collapsed="false">
      <c r="B10" s="5" t="s">
        <v>202</v>
      </c>
      <c r="C10" s="45" t="n">
        <f aca="false">1/(1+WACC!$C$33)^C$6</f>
        <v>0.913171208974091</v>
      </c>
      <c r="D10" s="45" t="n">
        <f aca="false">1/(1+WACC!$C$33)^D$6</f>
        <v>0.833881656899203</v>
      </c>
      <c r="E10" s="45" t="n">
        <f aca="false">1/(1+WACC!$C$33)^E$6</f>
        <v>0.761476720771964</v>
      </c>
      <c r="F10" s="45" t="n">
        <f aca="false">1/(1+WACC!$C$33)^F$6</f>
        <v>0.695358617712961</v>
      </c>
      <c r="G10" s="45" t="n">
        <f aca="false">1/(1+WACC!$C$33)^G$6</f>
        <v>0.634981469607497</v>
      </c>
      <c r="H10" s="45" t="n">
        <f aca="false">1/(1+WACC!$C$33)^H$6</f>
        <v>0.579846796277623</v>
      </c>
      <c r="I10" s="45" t="n">
        <f aca="false">1/(1+WACC!$C$33)^I$6</f>
        <v>0.529499399976591</v>
      </c>
      <c r="J10" s="45" t="n">
        <f aca="false">1/(1+WACC!$C$33)^J$6</f>
        <v>0.483523607227679</v>
      </c>
      <c r="K10" s="45" t="n">
        <f aca="false">1/(1+WACC!$C$33)^K$6</f>
        <v>0.441539836979613</v>
      </c>
      <c r="L10" s="45" t="n">
        <f aca="false">1/(1+WACC!$C$33)^L$6</f>
        <v>0.403201466744897</v>
      </c>
    </row>
    <row r="11" customFormat="false" ht="15" hidden="false" customHeight="false" outlineLevel="0" collapsed="false">
      <c r="B11" s="5" t="s">
        <v>203</v>
      </c>
      <c r="C11" s="15" t="n">
        <f aca="false">C9*C10</f>
        <v>788.137883467303</v>
      </c>
      <c r="D11" s="15" t="n">
        <f aca="false">D9*D10</f>
        <v>788.375838756595</v>
      </c>
      <c r="E11" s="15" t="n">
        <f aca="false">E9*E10</f>
        <v>788.613865889558</v>
      </c>
      <c r="F11" s="15" t="n">
        <f aca="false">F9*F10</f>
        <v>788.851964887884</v>
      </c>
      <c r="G11" s="15" t="n">
        <f aca="false">G9*G10</f>
        <v>789.090135773271</v>
      </c>
      <c r="H11" s="15" t="n">
        <f aca="false">H9*H10</f>
        <v>779.656032574589</v>
      </c>
      <c r="I11" s="15" t="n">
        <f aca="false">I9*I10</f>
        <v>760.778013831334</v>
      </c>
      <c r="J11" s="15" t="n">
        <f aca="false">J9*J10</f>
        <v>733.031786058059</v>
      </c>
      <c r="K11" s="15" t="n">
        <f aca="false">K9*K10</f>
        <v>697.312281510632</v>
      </c>
      <c r="L11" s="15" t="n">
        <f aca="false">L9*L10</f>
        <v>654.785962765195</v>
      </c>
    </row>
    <row r="13" customFormat="false" ht="15" hidden="false" customHeight="false" outlineLevel="0" collapsed="false">
      <c r="B13" s="5" t="s">
        <v>204</v>
      </c>
      <c r="C13" s="15" t="n">
        <f aca="false">SUM(C11:L11)</f>
        <v>7568.63376551442</v>
      </c>
    </row>
    <row r="14" customFormat="false" ht="15" hidden="false" customHeight="false" outlineLevel="0" collapsed="false">
      <c r="B14" s="5" t="s">
        <v>205</v>
      </c>
      <c r="C14" s="15" t="n">
        <f aca="false">L9*(1+Inputs!$C$37)/(WACC!$C$33-Inputs!$C$37)</f>
        <v>25004.5375971099</v>
      </c>
    </row>
    <row r="15" customFormat="false" ht="15" hidden="false" customHeight="false" outlineLevel="0" collapsed="false">
      <c r="B15" s="5" t="s">
        <v>206</v>
      </c>
      <c r="C15" s="15" t="n">
        <f aca="false">C14*L10</f>
        <v>10081.8662344326</v>
      </c>
    </row>
    <row r="16" customFormat="false" ht="15" hidden="false" customHeight="false" outlineLevel="0" collapsed="false">
      <c r="B16" s="7" t="s">
        <v>207</v>
      </c>
      <c r="C16" s="15" t="n">
        <f aca="false">C13+C15</f>
        <v>17650.499999947</v>
      </c>
    </row>
    <row r="17" customFormat="false" ht="15" hidden="false" customHeight="false" outlineLevel="0" collapsed="false">
      <c r="B17" s="5" t="s">
        <v>208</v>
      </c>
      <c r="C17" s="16" t="n">
        <f aca="false">-Inputs!$C$27</f>
        <v>-5660</v>
      </c>
    </row>
    <row r="18" customFormat="false" ht="15" hidden="false" customHeight="false" outlineLevel="0" collapsed="false">
      <c r="B18" s="5" t="s">
        <v>209</v>
      </c>
      <c r="C18" s="16" t="n">
        <f aca="false">Inputs!$C$28</f>
        <v>839.5</v>
      </c>
    </row>
    <row r="19" customFormat="false" ht="15" hidden="false" customHeight="false" outlineLevel="0" collapsed="false">
      <c r="B19" s="5" t="s">
        <v>210</v>
      </c>
      <c r="C19" s="15" t="n">
        <f aca="false">SUM(C16:C18)</f>
        <v>12829.999999947</v>
      </c>
    </row>
    <row r="20" customFormat="false" ht="15" hidden="false" customHeight="false" outlineLevel="0" collapsed="false">
      <c r="B20" s="5" t="s">
        <v>211</v>
      </c>
      <c r="C20" s="36" t="n">
        <f aca="false">Inputs!$C$7</f>
        <v>191.6</v>
      </c>
    </row>
    <row r="21" customFormat="false" ht="15" hidden="false" customHeight="false" outlineLevel="0" collapsed="false">
      <c r="B21" s="7" t="s">
        <v>212</v>
      </c>
      <c r="C21" s="46" t="n">
        <f aca="false">C19/C20</f>
        <v>66.9624217116233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66.9624217118998</v>
      </c>
    </row>
    <row r="23" customFormat="false" ht="15" hidden="false" customHeight="false" outlineLevel="0" collapsed="false">
      <c r="B23" s="5" t="s">
        <v>213</v>
      </c>
      <c r="C23" s="23" t="n">
        <f aca="false">C21/C22-1</f>
        <v>-4.1288084062785E-012</v>
      </c>
    </row>
    <row r="24" customFormat="false" ht="15" hidden="false" customHeight="false" outlineLevel="0" collapsed="false">
      <c r="B24" s="5" t="s">
        <v>214</v>
      </c>
      <c r="C24" s="23" t="n">
        <f aca="false">C15/C16</f>
        <v>0.571194370384004</v>
      </c>
    </row>
    <row r="25" customFormat="false" ht="15" hidden="false" customHeight="false" outlineLevel="0" collapsed="false">
      <c r="B25" s="3" t="s">
        <v>215</v>
      </c>
    </row>
    <row r="26" customFormat="false" ht="15" hidden="false" customHeight="false" outlineLevel="0" collapsed="false">
      <c r="B26" s="28" t="s">
        <v>149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201</v>
      </c>
      <c r="C27" s="23" t="n">
        <f aca="false">IF(C$26&lt;=Inputs!$C$46,Inputs!$C$45,Inputs!$C$45-(Inputs!$C$45-Inputs!$C$37)*MIN(C$26-Inputs!$C$46,Inputs!$C$47)/Inputs!$C$47)</f>
        <v>0.0884392579116489</v>
      </c>
      <c r="D27" s="23" t="n">
        <f aca="false">IF(D$26&lt;=Inputs!$C$46,Inputs!$C$45,Inputs!$C$45-(Inputs!$C$45-Inputs!$C$37)*MIN(D$26-Inputs!$C$46,Inputs!$C$47)/Inputs!$C$47)</f>
        <v>0.0884392579116489</v>
      </c>
      <c r="E27" s="23" t="n">
        <f aca="false">IF(E$26&lt;=Inputs!$C$46,Inputs!$C$45,Inputs!$C$45-(Inputs!$C$45-Inputs!$C$37)*MIN(E$26-Inputs!$C$46,Inputs!$C$47)/Inputs!$C$47)</f>
        <v>0.0884392579116489</v>
      </c>
      <c r="F27" s="23" t="n">
        <f aca="false">IF(F$26&lt;=Inputs!$C$46,Inputs!$C$45,Inputs!$C$45-(Inputs!$C$45-Inputs!$C$37)*MIN(F$26-Inputs!$C$46,Inputs!$C$47)/Inputs!$C$47)</f>
        <v>0.0884392579116489</v>
      </c>
      <c r="G27" s="23" t="n">
        <f aca="false">IF(G$26&lt;=Inputs!$C$46,Inputs!$C$45,Inputs!$C$45-(Inputs!$C$45-Inputs!$C$37)*MIN(G$26-Inputs!$C$46,Inputs!$C$47)/Inputs!$C$47)</f>
        <v>0.0884392579116489</v>
      </c>
      <c r="H27" s="23" t="n">
        <f aca="false">IF(H$26&lt;=Inputs!$C$46,Inputs!$C$45,Inputs!$C$45-(Inputs!$C$45-Inputs!$C$37)*MIN(H$26-Inputs!$C$46,Inputs!$C$47)/Inputs!$C$47)</f>
        <v>0.0764114063293191</v>
      </c>
      <c r="I27" s="23" t="n">
        <f aca="false">IF(I$26&lt;=Inputs!$C$46,Inputs!$C$45,Inputs!$C$45-(Inputs!$C$45-Inputs!$C$37)*MIN(I$26-Inputs!$C$46,Inputs!$C$47)/Inputs!$C$47)</f>
        <v>0.0643835547469893</v>
      </c>
      <c r="J27" s="23" t="n">
        <f aca="false">IF(J$26&lt;=Inputs!$C$46,Inputs!$C$45,Inputs!$C$45-(Inputs!$C$45-Inputs!$C$37)*MIN(J$26-Inputs!$C$46,Inputs!$C$47)/Inputs!$C$47)</f>
        <v>0.0523557031646596</v>
      </c>
      <c r="K27" s="23" t="n">
        <f aca="false">IF(K$26&lt;=Inputs!$C$46,Inputs!$C$45,Inputs!$C$45-(Inputs!$C$45-Inputs!$C$37)*MIN(K$26-Inputs!$C$46,Inputs!$C$47)/Inputs!$C$47)</f>
        <v>0.0403278515823298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5333.35236376708</v>
      </c>
      <c r="D28" s="15" t="n">
        <f aca="false">C28*(1+D27)</f>
        <v>5805.03008899998</v>
      </c>
      <c r="E28" s="15" t="n">
        <f aca="false">D28*(1+E27)</f>
        <v>6318.42264222593</v>
      </c>
      <c r="F28" s="15" t="n">
        <f aca="false">E28*(1+F27)</f>
        <v>6877.21925187655</v>
      </c>
      <c r="G28" s="15" t="n">
        <f aca="false">F28*(1+G27)</f>
        <v>7485.43541900822</v>
      </c>
      <c r="H28" s="15" t="n">
        <f aca="false">G28*(1+H27)</f>
        <v>8057.40806636193</v>
      </c>
      <c r="I28" s="15" t="n">
        <f aca="false">H28*(1+I27)</f>
        <v>8576.17263972138</v>
      </c>
      <c r="J28" s="15" t="n">
        <f aca="false">I28*(1+J27)</f>
        <v>9025.1841887355</v>
      </c>
      <c r="K28" s="15" t="n">
        <f aca="false">J28*(1+K27)</f>
        <v>9389.15047720202</v>
      </c>
      <c r="L28" s="15" t="n">
        <f aca="false">K28*(1+L27)</f>
        <v>9654.86343570684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857.581291308588</v>
      </c>
      <c r="D29" s="15" t="n">
        <f aca="false">D28*Inputs!$C$23</f>
        <v>933.425144310833</v>
      </c>
      <c r="E29" s="15" t="n">
        <f aca="false">E28*Inputs!$C$23</f>
        <v>1015.97657138976</v>
      </c>
      <c r="F29" s="15" t="n">
        <f aca="false">F28*Inputs!$C$23</f>
        <v>1105.82878541909</v>
      </c>
      <c r="G29" s="15" t="n">
        <f aca="false">G28*Inputs!$C$23</f>
        <v>1203.62746257889</v>
      </c>
      <c r="H29" s="15" t="n">
        <f aca="false">H28*Inputs!$C$23</f>
        <v>1295.59832969114</v>
      </c>
      <c r="I29" s="15" t="n">
        <f aca="false">I28*Inputs!$C$23</f>
        <v>1379.01355568091</v>
      </c>
      <c r="J29" s="15" t="n">
        <f aca="false">J28*Inputs!$C$23</f>
        <v>1451.21278006218</v>
      </c>
      <c r="K29" s="15" t="n">
        <f aca="false">K28*Inputs!$C$23</f>
        <v>1509.73707367091</v>
      </c>
      <c r="L29" s="15" t="n">
        <f aca="false">L28*Inputs!$C$23</f>
        <v>1552.4626328558</v>
      </c>
    </row>
    <row r="30" customFormat="false" ht="15" hidden="false" customHeight="false" outlineLevel="0" collapsed="false">
      <c r="B30" s="5" t="s">
        <v>202</v>
      </c>
      <c r="C30" s="45" t="n">
        <f aca="false">1/(1+WACC!$C$33)^C$26</f>
        <v>0.913171208974091</v>
      </c>
      <c r="D30" s="45" t="n">
        <f aca="false">1/(1+WACC!$C$33)^D$26</f>
        <v>0.833881656899203</v>
      </c>
      <c r="E30" s="45" t="n">
        <f aca="false">1/(1+WACC!$C$33)^E$26</f>
        <v>0.761476720771964</v>
      </c>
      <c r="F30" s="45" t="n">
        <f aca="false">1/(1+WACC!$C$33)^F$26</f>
        <v>0.695358617712961</v>
      </c>
      <c r="G30" s="45" t="n">
        <f aca="false">1/(1+WACC!$C$33)^G$26</f>
        <v>0.634981469607497</v>
      </c>
      <c r="H30" s="45" t="n">
        <f aca="false">1/(1+WACC!$C$33)^H$26</f>
        <v>0.579846796277623</v>
      </c>
      <c r="I30" s="45" t="n">
        <f aca="false">1/(1+WACC!$C$33)^I$26</f>
        <v>0.529499399976591</v>
      </c>
      <c r="J30" s="45" t="n">
        <f aca="false">1/(1+WACC!$C$33)^J$26</f>
        <v>0.483523607227679</v>
      </c>
      <c r="K30" s="45" t="n">
        <f aca="false">1/(1+WACC!$C$33)^K$26</f>
        <v>0.441539836979613</v>
      </c>
      <c r="L30" s="45" t="n">
        <f aca="false">1/(1+WACC!$C$33)^L$26</f>
        <v>0.403201466744897</v>
      </c>
    </row>
    <row r="31" customFormat="false" ht="15" hidden="false" customHeight="false" outlineLevel="0" collapsed="false">
      <c r="B31" s="5" t="s">
        <v>203</v>
      </c>
      <c r="C31" s="15" t="n">
        <f aca="false">C29*C30</f>
        <v>783.118544577826</v>
      </c>
      <c r="D31" s="15" t="n">
        <f aca="false">D29*D30</f>
        <v>778.366105929296</v>
      </c>
      <c r="E31" s="15" t="n">
        <f aca="false">E29*E30</f>
        <v>773.642507963015</v>
      </c>
      <c r="F31" s="15" t="n">
        <f aca="false">F29*F30</f>
        <v>768.947575656219</v>
      </c>
      <c r="G31" s="15" t="n">
        <f aca="false">G29*G30</f>
        <v>764.281135048288</v>
      </c>
      <c r="H31" s="15" t="n">
        <f aca="false">H29*H30</f>
        <v>751.248540734045</v>
      </c>
      <c r="I31" s="15" t="n">
        <f aca="false">I29*I30</f>
        <v>730.186850292628</v>
      </c>
      <c r="J31" s="15" t="n">
        <f aca="false">J29*J30</f>
        <v>701.695638270576</v>
      </c>
      <c r="K31" s="15" t="n">
        <f aca="false">K29*K30</f>
        <v>666.609061390733</v>
      </c>
      <c r="L31" s="15" t="n">
        <f aca="false">L29*L30</f>
        <v>625.955210634102</v>
      </c>
    </row>
    <row r="33" customFormat="false" ht="15" hidden="false" customHeight="false" outlineLevel="0" collapsed="false">
      <c r="B33" s="5" t="s">
        <v>204</v>
      </c>
      <c r="C33" s="15" t="n">
        <f aca="false">SUM(C31:L31)</f>
        <v>7344.05117049673</v>
      </c>
    </row>
    <row r="34" customFormat="false" ht="15" hidden="false" customHeight="false" outlineLevel="0" collapsed="false">
      <c r="B34" s="5" t="s">
        <v>205</v>
      </c>
      <c r="C34" s="15" t="n">
        <f aca="false">L29*(1+Inputs!$C$37)/(WACC!$C$33-Inputs!$C$37)</f>
        <v>23903.5677128893</v>
      </c>
    </row>
    <row r="35" customFormat="false" ht="15" hidden="false" customHeight="false" outlineLevel="0" collapsed="false">
      <c r="B35" s="5" t="s">
        <v>206</v>
      </c>
      <c r="C35" s="15" t="n">
        <f aca="false">C34*L30</f>
        <v>9637.95356227291</v>
      </c>
    </row>
    <row r="36" customFormat="false" ht="15" hidden="false" customHeight="false" outlineLevel="0" collapsed="false">
      <c r="B36" s="7" t="s">
        <v>207</v>
      </c>
      <c r="C36" s="15" t="n">
        <f aca="false">C33+C35</f>
        <v>16982.0047327696</v>
      </c>
    </row>
    <row r="37" customFormat="false" ht="15" hidden="false" customHeight="false" outlineLevel="0" collapsed="false">
      <c r="B37" s="5" t="s">
        <v>208</v>
      </c>
      <c r="C37" s="16" t="n">
        <f aca="false">-Inputs!$C$27</f>
        <v>-5660</v>
      </c>
    </row>
    <row r="38" customFormat="false" ht="15" hidden="false" customHeight="false" outlineLevel="0" collapsed="false">
      <c r="B38" s="5" t="s">
        <v>209</v>
      </c>
      <c r="C38" s="16" t="n">
        <f aca="false">Inputs!$C$28</f>
        <v>839.5</v>
      </c>
    </row>
    <row r="39" customFormat="false" ht="15" hidden="false" customHeight="false" outlineLevel="0" collapsed="false">
      <c r="B39" s="5" t="s">
        <v>210</v>
      </c>
      <c r="C39" s="15" t="n">
        <f aca="false">SUM(C36:C38)</f>
        <v>12161.5047327696</v>
      </c>
    </row>
    <row r="40" customFormat="false" ht="15" hidden="false" customHeight="false" outlineLevel="0" collapsed="false">
      <c r="B40" s="5" t="s">
        <v>211</v>
      </c>
      <c r="C40" s="36" t="n">
        <f aca="false">Inputs!$C$7</f>
        <v>191.6</v>
      </c>
    </row>
    <row r="41" customFormat="false" ht="15" hidden="false" customHeight="false" outlineLevel="0" collapsed="false">
      <c r="B41" s="7" t="s">
        <v>212</v>
      </c>
      <c r="C41" s="46" t="n">
        <f aca="false">C39/C40</f>
        <v>63.4734067472319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66.9624217118998</v>
      </c>
    </row>
    <row r="43" customFormat="false" ht="15" hidden="false" customHeight="false" outlineLevel="0" collapsed="false">
      <c r="B43" s="5" t="s">
        <v>213</v>
      </c>
      <c r="C43" s="23" t="n">
        <f aca="false">C41/C42-1</f>
        <v>-0.0521040738293346</v>
      </c>
    </row>
    <row r="44" customFormat="false" ht="15" hidden="false" customHeight="false" outlineLevel="0" collapsed="false">
      <c r="B44" s="5" t="s">
        <v>214</v>
      </c>
      <c r="C44" s="23" t="n">
        <f aca="false">C35/C36</f>
        <v>0.567539210707842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216</v>
      </c>
    </row>
    <row r="3" customFormat="false" ht="15" hidden="false" customHeight="false" outlineLevel="0" collapsed="false">
      <c r="B3" s="2" t="s">
        <v>217</v>
      </c>
    </row>
    <row r="5" customFormat="false" ht="15" hidden="false" customHeight="false" outlineLevel="0" collapsed="false">
      <c r="B5" s="5" t="s">
        <v>218</v>
      </c>
      <c r="C5" s="24" t="n">
        <v>0.005</v>
      </c>
      <c r="D5" s="5" t="s">
        <v>219</v>
      </c>
      <c r="F5" s="24" t="n">
        <v>0.005</v>
      </c>
    </row>
    <row r="6" customFormat="false" ht="15" hidden="false" customHeight="false" outlineLevel="0" collapsed="false">
      <c r="B6" s="5" t="s">
        <v>220</v>
      </c>
      <c r="C6" s="24" t="n">
        <v>0.02</v>
      </c>
    </row>
    <row r="8" customFormat="false" ht="15" hidden="false" customHeight="false" outlineLevel="0" collapsed="false">
      <c r="B8" s="3" t="s">
        <v>221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WACC!$C$33+(0-2)*$C$5</f>
        <v>0.0850848977416375</v>
      </c>
      <c r="C10" s="9" t="n">
        <f aca="false">Solver!$D$74</f>
        <v>0.0866213738918304</v>
      </c>
      <c r="D10" s="9" t="n">
        <f aca="false">Solver!$D$101</f>
        <v>0.0763722956180573</v>
      </c>
      <c r="E10" s="9" t="n">
        <f aca="false">Solver!$D$128</f>
        <v>0.0652742087841034</v>
      </c>
      <c r="F10" s="9" t="n">
        <f aca="false">Solver!$D$155</f>
        <v>0.0531776249408722</v>
      </c>
      <c r="G10" s="9" t="n">
        <f aca="false">Solver!$D$182</f>
        <v>0.0398888885974884</v>
      </c>
      <c r="I10" s="19" t="s">
        <v>222</v>
      </c>
    </row>
    <row r="11" customFormat="false" ht="15" hidden="false" customHeight="false" outlineLevel="0" collapsed="false">
      <c r="B11" s="47" t="n">
        <f aca="false">WACC!$C$33+(1-2)*$C$5</f>
        <v>0.0900848977416375</v>
      </c>
      <c r="C11" s="9" t="n">
        <f aca="false">Solver!$D$209</f>
        <v>0.100581556558609</v>
      </c>
      <c r="D11" s="9" t="n">
        <f aca="false">Solver!$D$236</f>
        <v>0.0910198390483856</v>
      </c>
      <c r="E11" s="9" t="n">
        <f aca="false">Solver!$D$263</f>
        <v>0.0807242691516876</v>
      </c>
      <c r="F11" s="9" t="n">
        <f aca="false">Solver!$D$290</f>
        <v>0.0695761144161224</v>
      </c>
      <c r="G11" s="9" t="n">
        <f aca="false">Solver!$D$317</f>
        <v>0.0574251711368561</v>
      </c>
    </row>
    <row r="12" customFormat="false" ht="15" hidden="false" customHeight="false" outlineLevel="0" collapsed="false">
      <c r="B12" s="47" t="n">
        <f aca="false">WACC!$C$33+(2-2)*$C$5</f>
        <v>0.0950848977416375</v>
      </c>
      <c r="C12" s="9" t="n">
        <f aca="false">Solver!$D$344</f>
        <v>0.113984376192093</v>
      </c>
      <c r="D12" s="9" t="n">
        <f aca="false">Solver!$D$371</f>
        <v>0.105020612478256</v>
      </c>
      <c r="E12" s="8" t="n">
        <f aca="false">Solver!$D$398</f>
        <v>0.0954154431819916</v>
      </c>
      <c r="F12" s="9" t="n">
        <f aca="false">Solver!$D$425</f>
        <v>0.0850735604763031</v>
      </c>
      <c r="G12" s="9" t="n">
        <f aca="false">Solver!$D$452</f>
        <v>0.0738753378391266</v>
      </c>
    </row>
    <row r="13" customFormat="false" ht="15" hidden="false" customHeight="false" outlineLevel="0" collapsed="false">
      <c r="B13" s="47" t="n">
        <f aca="false">WACC!$C$33+(3-2)*$C$5</f>
        <v>0.100084897741638</v>
      </c>
      <c r="C13" s="9" t="n">
        <f aca="false">Solver!$D$479</f>
        <v>0.126900285482407</v>
      </c>
      <c r="D13" s="9" t="n">
        <f aca="false">Solver!$D$506</f>
        <v>0.118461340665817</v>
      </c>
      <c r="E13" s="9" t="n">
        <f aca="false">Solver!$D$533</f>
        <v>0.109456807374954</v>
      </c>
      <c r="F13" s="9" t="n">
        <f aca="false">Solver!$D$560</f>
        <v>0.099808543920517</v>
      </c>
      <c r="G13" s="9" t="n">
        <f aca="false">Solver!$D$587</f>
        <v>0.0894199907779694</v>
      </c>
    </row>
    <row r="14" customFormat="false" ht="15" hidden="false" customHeight="false" outlineLevel="0" collapsed="false">
      <c r="B14" s="47" t="n">
        <f aca="false">WACC!$C$33+(4-2)*$C$5</f>
        <v>0.105084897741638</v>
      </c>
      <c r="C14" s="9" t="n">
        <f aca="false">Solver!$D$614</f>
        <v>0.139387220144272</v>
      </c>
      <c r="D14" s="9" t="n">
        <f aca="false">Solver!$D$641</f>
        <v>0.131412655115128</v>
      </c>
      <c r="E14" s="9" t="n">
        <f aca="false">Solver!$D$668</f>
        <v>0.122935444116592</v>
      </c>
      <c r="F14" s="9" t="n">
        <f aca="false">Solver!$D$695</f>
        <v>0.113890498876572</v>
      </c>
      <c r="G14" s="9" t="n">
        <f aca="false">Solver!$D$722</f>
        <v>0.104198783636093</v>
      </c>
    </row>
    <row r="17" customFormat="false" ht="15" hidden="false" customHeight="false" outlineLevel="0" collapsed="false">
      <c r="B17" s="3" t="s">
        <v>223</v>
      </c>
    </row>
    <row r="18" customFormat="false" ht="15" hidden="false" customHeight="false" outlineLevel="0" collapsed="false">
      <c r="C18" s="48" t="n">
        <f aca="false">Inputs!$C$45+(0-2)*$C$6</f>
        <v>0.0484392579116489</v>
      </c>
      <c r="D18" s="48" t="n">
        <f aca="false">Inputs!$C$45+(1-2)*$C$6</f>
        <v>0.0684392579116489</v>
      </c>
      <c r="E18" s="48" t="n">
        <f aca="false">Inputs!$C$45+(2-2)*$C$6</f>
        <v>0.0884392579116489</v>
      </c>
      <c r="F18" s="48" t="n">
        <f aca="false">Inputs!$C$45+(3-2)*$C$6</f>
        <v>0.108439257911649</v>
      </c>
      <c r="G18" s="48" t="n">
        <f aca="false">Inputs!$C$45+(4-2)*$C$6</f>
        <v>0.128439257911649</v>
      </c>
    </row>
    <row r="19" customFormat="false" ht="15" hidden="false" customHeight="false" outlineLevel="0" collapsed="false">
      <c r="B19" s="47" t="n">
        <f aca="false">WACC!$C$33+(0-2)*$C$5</f>
        <v>0.0850848977416375</v>
      </c>
      <c r="C19" s="42" t="n">
        <f aca="false">(SUMPRODUCT($C28:$L28,1/(1+$B19)^$C$27:$L$27)*Inputs!$C$23+$L28*Inputs!$C$23*(1+Inputs!$C$37)/($B19-Inputs!$C$37)/(1+$B19)^$L$27-Inputs!$C$27+Inputs!$C$28)/Inputs!$C$7</f>
        <v>58.4854023134271</v>
      </c>
      <c r="D19" s="42" t="n">
        <f aca="false">(SUMPRODUCT($C29:$L29,1/(1+$B19)^$C$27:$L$27)*Inputs!$C$23+$L29*Inputs!$C$23*(1+Inputs!$C$37)/($B19-Inputs!$C$37)/(1+$B19)^$L$27-Inputs!$C$27+Inputs!$C$28)/Inputs!$C$7</f>
        <v>68.6433841652603</v>
      </c>
      <c r="E19" s="42" t="n">
        <f aca="false">(SUMPRODUCT($C30:$L30,1/(1+$B19)^$C$27:$L$27)*Inputs!$C$23+$L30*Inputs!$C$23*(1+Inputs!$C$37)/($B19-Inputs!$C$37)/(1+$B19)^$L$27-Inputs!$C$27+Inputs!$C$28)/Inputs!$C$7</f>
        <v>79.945388326753</v>
      </c>
      <c r="F19" s="42" t="n">
        <f aca="false">(SUMPRODUCT($C31:$L31,1/(1+$B19)^$C$27:$L$27)*Inputs!$C$23+$L31*Inputs!$C$23*(1+Inputs!$C$37)/($B19-Inputs!$C$37)/(1+$B19)^$L$27-Inputs!$C$27+Inputs!$C$28)/Inputs!$C$7</f>
        <v>92.5038501926748</v>
      </c>
      <c r="G19" s="42" t="n">
        <f aca="false">(SUMPRODUCT($C32:$L32,1/(1+$B19)^$C$27:$L$27)*Inputs!$C$23+$L32*Inputs!$C$23*(1+Inputs!$C$37)/($B19-Inputs!$C$37)/(1+$B19)^$L$27-Inputs!$C$27+Inputs!$C$28)/Inputs!$C$7</f>
        <v>106.440442174953</v>
      </c>
      <c r="I19" s="19" t="s">
        <v>224</v>
      </c>
    </row>
    <row r="20" customFormat="false" ht="15" hidden="false" customHeight="false" outlineLevel="0" collapsed="false">
      <c r="B20" s="47" t="n">
        <f aca="false">WACC!$C$33+(1-2)*$C$5</f>
        <v>0.0900848977416375</v>
      </c>
      <c r="C20" s="42" t="n">
        <f aca="false">(SUMPRODUCT($C28:$L28,1/(1+$B20)^$C$27:$L$27)*Inputs!$C$23+$L28*Inputs!$C$23*(1+Inputs!$C$37)/($B20-Inputs!$C$37)/(1+$B20)^$L$27-Inputs!$C$27+Inputs!$C$28)/Inputs!$C$7</f>
        <v>51.6025009841236</v>
      </c>
      <c r="D20" s="42" t="n">
        <f aca="false">(SUMPRODUCT($C29:$L29,1/(1+$B20)^$C$27:$L$27)*Inputs!$C$23+$L29*Inputs!$C$23*(1+Inputs!$C$37)/($B20-Inputs!$C$37)/(1+$B20)^$L$27-Inputs!$C$27+Inputs!$C$28)/Inputs!$C$7</f>
        <v>60.8054706376706</v>
      </c>
      <c r="E20" s="42" t="n">
        <f aca="false">(SUMPRODUCT($C30:$L30,1/(1+$B20)^$C$27:$L$27)*Inputs!$C$23+$L30*Inputs!$C$23*(1+Inputs!$C$37)/($B20-Inputs!$C$37)/(1+$B20)^$L$27-Inputs!$C$27+Inputs!$C$28)/Inputs!$C$7</f>
        <v>71.0377103513624</v>
      </c>
      <c r="F20" s="42" t="n">
        <f aca="false">(SUMPRODUCT($C31:$L31,1/(1+$B20)^$C$27:$L$27)*Inputs!$C$23+$L31*Inputs!$C$23*(1+Inputs!$C$37)/($B20-Inputs!$C$37)/(1+$B20)^$L$27-Inputs!$C$27+Inputs!$C$28)/Inputs!$C$7</f>
        <v>82.3999719069834</v>
      </c>
      <c r="G20" s="42" t="n">
        <f aca="false">(SUMPRODUCT($C32:$L32,1/(1+$B20)^$C$27:$L$27)*Inputs!$C$23+$L32*Inputs!$C$23*(1+Inputs!$C$37)/($B20-Inputs!$C$37)/(1+$B20)^$L$27-Inputs!$C$27+Inputs!$C$28)/Inputs!$C$7</f>
        <v>95.0012610663952</v>
      </c>
    </row>
    <row r="21" customFormat="false" ht="15" hidden="false" customHeight="false" outlineLevel="0" collapsed="false">
      <c r="B21" s="47" t="n">
        <f aca="false">WACC!$C$33+(2-2)*$C$5</f>
        <v>0.0950848977416375</v>
      </c>
      <c r="C21" s="42" t="n">
        <f aca="false">(SUMPRODUCT($C28:$L28,1/(1+$B21)^$C$27:$L$27)*Inputs!$C$23+$L28*Inputs!$C$23*(1+Inputs!$C$37)/($B21-Inputs!$C$37)/(1+$B21)^$L$27-Inputs!$C$27+Inputs!$C$28)/Inputs!$C$7</f>
        <v>45.7528697976321</v>
      </c>
      <c r="D21" s="42" t="n">
        <f aca="false">(SUMPRODUCT($C29:$L29,1/(1+$B21)^$C$27:$L$27)*Inputs!$C$23+$L29*Inputs!$C$23*(1+Inputs!$C$37)/($B21-Inputs!$C$37)/(1+$B21)^$L$27-Inputs!$C$27+Inputs!$C$28)/Inputs!$C$7</f>
        <v>54.1469932293988</v>
      </c>
      <c r="E21" s="46" t="n">
        <f aca="false">(SUMPRODUCT($C30:$L30,1/(1+$B21)^$C$27:$L$27)*Inputs!$C$23+$L30*Inputs!$C$23*(1+Inputs!$C$37)/($B21-Inputs!$C$37)/(1+$B21)^$L$27-Inputs!$C$27+Inputs!$C$28)/Inputs!$C$7</f>
        <v>63.4734067472319</v>
      </c>
      <c r="F21" s="42" t="n">
        <f aca="false">(SUMPRODUCT($C31:$L31,1/(1+$B21)^$C$27:$L$27)*Inputs!$C$23+$L31*Inputs!$C$23*(1+Inputs!$C$37)/($B21-Inputs!$C$37)/(1+$B21)^$L$27-Inputs!$C$27+Inputs!$C$28)/Inputs!$C$7</f>
        <v>73.823002817395</v>
      </c>
      <c r="G21" s="42" t="n">
        <f aca="false">(SUMPRODUCT($C32:$L32,1/(1+$B21)^$C$27:$L$27)*Inputs!$C$23+$L32*Inputs!$C$23*(1+Inputs!$C$37)/($B21-Inputs!$C$37)/(1+$B21)^$L$27-Inputs!$C$27+Inputs!$C$28)/Inputs!$C$7</f>
        <v>85.2940993065584</v>
      </c>
    </row>
    <row r="22" customFormat="false" ht="15" hidden="false" customHeight="false" outlineLevel="0" collapsed="false">
      <c r="B22" s="47" t="n">
        <f aca="false">WACC!$C$33+(3-2)*$C$5</f>
        <v>0.100084897741638</v>
      </c>
      <c r="C22" s="42" t="n">
        <f aca="false">(SUMPRODUCT($C28:$L28,1/(1+$B22)^$C$27:$L$27)*Inputs!$C$23+$L28*Inputs!$C$23*(1+Inputs!$C$37)/($B22-Inputs!$C$37)/(1+$B22)^$L$27-Inputs!$C$27+Inputs!$C$28)/Inputs!$C$7</f>
        <v>40.7205187483662</v>
      </c>
      <c r="D22" s="42" t="n">
        <f aca="false">(SUMPRODUCT($C29:$L29,1/(1+$B22)^$C$27:$L$27)*Inputs!$C$23+$L29*Inputs!$C$23*(1+Inputs!$C$37)/($B22-Inputs!$C$37)/(1+$B22)^$L$27-Inputs!$C$27+Inputs!$C$28)/Inputs!$C$7</f>
        <v>48.4213226910724</v>
      </c>
      <c r="E22" s="42" t="n">
        <f aca="false">(SUMPRODUCT($C30:$L30,1/(1+$B22)^$C$27:$L$27)*Inputs!$C$23+$L30*Inputs!$C$23*(1+Inputs!$C$37)/($B22-Inputs!$C$37)/(1+$B22)^$L$27-Inputs!$C$27+Inputs!$C$28)/Inputs!$C$7</f>
        <v>56.9714761394455</v>
      </c>
      <c r="F22" s="42" t="n">
        <f aca="false">(SUMPRODUCT($C31:$L31,1/(1+$B22)^$C$27:$L$27)*Inputs!$C$23+$L31*Inputs!$C$23*(1+Inputs!$C$37)/($B22-Inputs!$C$37)/(1+$B22)^$L$27-Inputs!$C$27+Inputs!$C$28)/Inputs!$C$7</f>
        <v>66.4534527679541</v>
      </c>
      <c r="G22" s="42" t="n">
        <f aca="false">(SUMPRODUCT($C32:$L32,1/(1+$B22)^$C$27:$L$27)*Inputs!$C$23+$L32*Inputs!$C$23*(1+Inputs!$C$37)/($B22-Inputs!$C$37)/(1+$B22)^$L$27-Inputs!$C$27+Inputs!$C$28)/Inputs!$C$7</f>
        <v>76.9564449936763</v>
      </c>
    </row>
    <row r="23" customFormat="false" ht="15" hidden="false" customHeight="false" outlineLevel="0" collapsed="false">
      <c r="B23" s="47" t="n">
        <f aca="false">WACC!$C$33+(4-2)*$C$5</f>
        <v>0.105084897741638</v>
      </c>
      <c r="C23" s="42" t="n">
        <f aca="false">(SUMPRODUCT($C28:$L28,1/(1+$B23)^$C$27:$L$27)*Inputs!$C$23+$L28*Inputs!$C$23*(1+Inputs!$C$37)/($B23-Inputs!$C$37)/(1+$B23)^$L$27-Inputs!$C$27+Inputs!$C$28)/Inputs!$C$7</f>
        <v>36.3457191934336</v>
      </c>
      <c r="D23" s="42" t="n">
        <f aca="false">(SUMPRODUCT($C29:$L29,1/(1+$B23)^$C$27:$L$27)*Inputs!$C$23+$L29*Inputs!$C$23*(1+Inputs!$C$37)/($B23-Inputs!$C$37)/(1+$B23)^$L$27-Inputs!$C$27+Inputs!$C$28)/Inputs!$C$7</f>
        <v>43.4460751991498</v>
      </c>
      <c r="E23" s="42" t="n">
        <f aca="false">(SUMPRODUCT($C30:$L30,1/(1+$B23)^$C$27:$L$27)*Inputs!$C$23+$L30*Inputs!$C$23*(1+Inputs!$C$37)/($B23-Inputs!$C$37)/(1+$B23)^$L$27-Inputs!$C$27+Inputs!$C$28)/Inputs!$C$7</f>
        <v>51.3241196691648</v>
      </c>
      <c r="F23" s="42" t="n">
        <f aca="false">(SUMPRODUCT($C31:$L31,1/(1+$B23)^$C$27:$L$27)*Inputs!$C$23+$L31*Inputs!$C$23*(1+Inputs!$C$37)/($B23-Inputs!$C$37)/(1+$B23)^$L$27-Inputs!$C$27+Inputs!$C$28)/Inputs!$C$7</f>
        <v>60.0550642983655</v>
      </c>
      <c r="G23" s="42" t="n">
        <f aca="false">(SUMPRODUCT($C32:$L32,1/(1+$B23)^$C$27:$L$27)*Inputs!$C$23+$L32*Inputs!$C$23*(1+Inputs!$C$37)/($B23-Inputs!$C$37)/(1+$B23)^$L$27-Inputs!$C$27+Inputs!$C$28)/Inputs!$C$7</f>
        <v>69.720230737848</v>
      </c>
    </row>
    <row r="26" customFormat="false" ht="15" hidden="false" customHeight="false" outlineLevel="0" collapsed="false">
      <c r="B26" s="19" t="s">
        <v>225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0.0484392579116489</v>
      </c>
      <c r="C28" s="15" t="n">
        <f aca="false">Inputs!$C$12*(1+IF(C$27&lt;=Inputs!$C$46,$B28,$B28-($B28-Inputs!$C$37)*MIN(C$27-Inputs!$C$46,Inputs!$C$47)/Inputs!$C$47))</f>
        <v>5137.35236376708</v>
      </c>
      <c r="D28" s="15" t="n">
        <f aca="false">C28*(1+IF(D$27&lt;=Inputs!$C$46,$B28,$B28-($B28-Inputs!$C$37)*MIN(D$27-Inputs!$C$46,Inputs!$C$47)/Inputs!$C$47))</f>
        <v>5386.20189989861</v>
      </c>
      <c r="E28" s="15" t="n">
        <f aca="false">D28*(1+IF(E$27&lt;=Inputs!$C$46,$B28,$B28-($B28-Inputs!$C$37)*MIN(E$27-Inputs!$C$46,Inputs!$C$47)/Inputs!$C$47))</f>
        <v>5647.10552289201</v>
      </c>
      <c r="F28" s="15" t="n">
        <f aca="false">E28*(1+IF(F$27&lt;=Inputs!$C$46,$B28,$B28-($B28-Inputs!$C$37)*MIN(F$27-Inputs!$C$46,Inputs!$C$47)/Inputs!$C$47))</f>
        <v>5920.64712376968</v>
      </c>
      <c r="G28" s="15" t="n">
        <f aca="false">F28*(1+IF(G$27&lt;=Inputs!$C$46,$B28,$B28-($B28-Inputs!$C$37)*MIN(G$27-Inputs!$C$46,Inputs!$C$47)/Inputs!$C$47))</f>
        <v>6207.43887680182</v>
      </c>
      <c r="H28" s="15" t="n">
        <f aca="false">G28*(1+IF(H$27&lt;=Inputs!$C$46,$B28,$B28-($B28-Inputs!$C$37)*MIN(H$27-Inputs!$C$46,Inputs!$C$47)/Inputs!$C$47))</f>
        <v>6483.11996702388</v>
      </c>
      <c r="I28" s="15" t="n">
        <f aca="false">H28*(1+IF(I$27&lt;=Inputs!$C$46,$B28,$B28-($B28-Inputs!$C$37)*MIN(I$27-Inputs!$C$46,Inputs!$C$47)/Inputs!$C$47))</f>
        <v>6744.93139714348</v>
      </c>
      <c r="J28" s="15" t="n">
        <f aca="false">I28*(1+IF(J$27&lt;=Inputs!$C$46,$B28,$B28-($B28-Inputs!$C$37)*MIN(J$27-Inputs!$C$46,Inputs!$C$47)/Inputs!$C$47))</f>
        <v>6990.14812088403</v>
      </c>
      <c r="K28" s="15" t="n">
        <f aca="false">J28*(1+IF(K$27&lt;=Inputs!$C$46,$B28,$B28-($B28-Inputs!$C$37)*MIN(K$27-Inputs!$C$46,Inputs!$C$47)/Inputs!$C$47))</f>
        <v>7216.12459187447</v>
      </c>
      <c r="L28" s="15" t="n">
        <f aca="false">K28*(1+IF(L$27&lt;=Inputs!$C$46,$B28,$B28-($B28-Inputs!$C$37)*MIN(L$27-Inputs!$C$46,Inputs!$C$47)/Inputs!$C$47))</f>
        <v>7420.34091782451</v>
      </c>
    </row>
    <row r="29" customFormat="false" ht="15" hidden="false" customHeight="false" outlineLevel="0" collapsed="false">
      <c r="B29" s="23" t="n">
        <f aca="false">D$18</f>
        <v>0.0684392579116489</v>
      </c>
      <c r="C29" s="15" t="n">
        <f aca="false">Inputs!$C$12*(1+IF(C$27&lt;=Inputs!$C$46,$B29,$B29-($B29-Inputs!$C$37)*MIN(C$27-Inputs!$C$46,Inputs!$C$47)/Inputs!$C$47))</f>
        <v>5235.35236376708</v>
      </c>
      <c r="D29" s="15" t="n">
        <f aca="false">C29*(1+IF(D$27&lt;=Inputs!$C$46,$B29,$B29-($B29-Inputs!$C$37)*MIN(D$27-Inputs!$C$46,Inputs!$C$47)/Inputs!$C$47))</f>
        <v>5593.6559944493</v>
      </c>
      <c r="E29" s="15" t="n">
        <f aca="false">D29*(1+IF(E$27&lt;=Inputs!$C$46,$B29,$B29-($B29-Inputs!$C$37)*MIN(E$27-Inputs!$C$46,Inputs!$C$47)/Inputs!$C$47))</f>
        <v>5976.48165972245</v>
      </c>
      <c r="F29" s="15" t="n">
        <f aca="false">E29*(1+IF(F$27&lt;=Inputs!$C$46,$B29,$B29-($B29-Inputs!$C$37)*MIN(F$27-Inputs!$C$46,Inputs!$C$47)/Inputs!$C$47))</f>
        <v>6385.50762943644</v>
      </c>
      <c r="G29" s="15" t="n">
        <f aca="false">F29*(1+IF(G$27&lt;=Inputs!$C$46,$B29,$B29-($B29-Inputs!$C$37)*MIN(G$27-Inputs!$C$46,Inputs!$C$47)/Inputs!$C$47))</f>
        <v>6822.52703298424</v>
      </c>
      <c r="H29" s="15" t="n">
        <f aca="false">G29*(1+IF(H$27&lt;=Inputs!$C$46,$B29,$B29-($B29-Inputs!$C$37)*MIN(H$27-Inputs!$C$46,Inputs!$C$47)/Inputs!$C$47))</f>
        <v>7234.68548576661</v>
      </c>
      <c r="I29" s="15" t="n">
        <f aca="false">H29*(1+IF(I$27&lt;=Inputs!$C$46,$B29,$B29-($B29-Inputs!$C$37)*MIN(I$27-Inputs!$C$46,Inputs!$C$47)/Inputs!$C$47))</f>
        <v>7613.66402898752</v>
      </c>
      <c r="J29" s="15" t="n">
        <f aca="false">I29*(1+IF(J$27&lt;=Inputs!$C$46,$B29,$B29-($B29-Inputs!$C$37)*MIN(J$27-Inputs!$C$46,Inputs!$C$47)/Inputs!$C$47))</f>
        <v>7951.37345065273</v>
      </c>
      <c r="K29" s="15" t="n">
        <f aca="false">J29*(1+IF(K$27&lt;=Inputs!$C$46,$B29,$B29-($B29-Inputs!$C$37)*MIN(K$27-Inputs!$C$46,Inputs!$C$47)/Inputs!$C$47))</f>
        <v>8240.22976524372</v>
      </c>
      <c r="L29" s="15" t="n">
        <f aca="false">K29*(1+IF(L$27&lt;=Inputs!$C$46,$B29,$B29-($B29-Inputs!$C$37)*MIN(L$27-Inputs!$C$46,Inputs!$C$47)/Inputs!$C$47))</f>
        <v>8473.42826760012</v>
      </c>
    </row>
    <row r="30" customFormat="false" ht="15" hidden="false" customHeight="false" outlineLevel="0" collapsed="false">
      <c r="B30" s="23" t="n">
        <f aca="false">E$18</f>
        <v>0.0884392579116489</v>
      </c>
      <c r="C30" s="15" t="n">
        <f aca="false">Inputs!$C$12*(1+IF(C$27&lt;=Inputs!$C$46,$B30,$B30-($B30-Inputs!$C$37)*MIN(C$27-Inputs!$C$46,Inputs!$C$47)/Inputs!$C$47))</f>
        <v>5333.35236376708</v>
      </c>
      <c r="D30" s="15" t="n">
        <f aca="false">C30*(1+IF(D$27&lt;=Inputs!$C$46,$B30,$B30-($B30-Inputs!$C$37)*MIN(D$27-Inputs!$C$46,Inputs!$C$47)/Inputs!$C$47))</f>
        <v>5805.03008899998</v>
      </c>
      <c r="E30" s="15" t="n">
        <f aca="false">D30*(1+IF(E$27&lt;=Inputs!$C$46,$B30,$B30-($B30-Inputs!$C$37)*MIN(E$27-Inputs!$C$46,Inputs!$C$47)/Inputs!$C$47))</f>
        <v>6318.42264222593</v>
      </c>
      <c r="F30" s="15" t="n">
        <f aca="false">E30*(1+IF(F$27&lt;=Inputs!$C$46,$B30,$B30-($B30-Inputs!$C$37)*MIN(F$27-Inputs!$C$46,Inputs!$C$47)/Inputs!$C$47))</f>
        <v>6877.21925187655</v>
      </c>
      <c r="G30" s="15" t="n">
        <f aca="false">F30*(1+IF(G$27&lt;=Inputs!$C$46,$B30,$B30-($B30-Inputs!$C$37)*MIN(G$27-Inputs!$C$46,Inputs!$C$47)/Inputs!$C$47))</f>
        <v>7485.43541900822</v>
      </c>
      <c r="H30" s="15" t="n">
        <f aca="false">G30*(1+IF(H$27&lt;=Inputs!$C$46,$B30,$B30-($B30-Inputs!$C$37)*MIN(H$27-Inputs!$C$46,Inputs!$C$47)/Inputs!$C$47))</f>
        <v>8057.40806636193</v>
      </c>
      <c r="I30" s="15" t="n">
        <f aca="false">H30*(1+IF(I$27&lt;=Inputs!$C$46,$B30,$B30-($B30-Inputs!$C$37)*MIN(I$27-Inputs!$C$46,Inputs!$C$47)/Inputs!$C$47))</f>
        <v>8576.17263972138</v>
      </c>
      <c r="J30" s="15" t="n">
        <f aca="false">I30*(1+IF(J$27&lt;=Inputs!$C$46,$B30,$B30-($B30-Inputs!$C$37)*MIN(J$27-Inputs!$C$46,Inputs!$C$47)/Inputs!$C$47))</f>
        <v>9025.1841887355</v>
      </c>
      <c r="K30" s="15" t="n">
        <f aca="false">J30*(1+IF(K$27&lt;=Inputs!$C$46,$B30,$B30-($B30-Inputs!$C$37)*MIN(K$27-Inputs!$C$46,Inputs!$C$47)/Inputs!$C$47))</f>
        <v>9389.15047720202</v>
      </c>
      <c r="L30" s="15" t="n">
        <f aca="false">K30*(1+IF(L$27&lt;=Inputs!$C$46,$B30,$B30-($B30-Inputs!$C$37)*MIN(L$27-Inputs!$C$46,Inputs!$C$47)/Inputs!$C$47))</f>
        <v>9654.86343570684</v>
      </c>
    </row>
    <row r="31" customFormat="false" ht="15" hidden="false" customHeight="false" outlineLevel="0" collapsed="false">
      <c r="B31" s="23" t="n">
        <f aca="false">F$18</f>
        <v>0.108439257911649</v>
      </c>
      <c r="C31" s="15" t="n">
        <f aca="false">Inputs!$C$12*(1+IF(C$27&lt;=Inputs!$C$46,$B31,$B31-($B31-Inputs!$C$37)*MIN(C$27-Inputs!$C$46,Inputs!$C$47)/Inputs!$C$47))</f>
        <v>5431.35236376708</v>
      </c>
      <c r="D31" s="15" t="n">
        <f aca="false">C31*(1+IF(D$27&lt;=Inputs!$C$46,$B31,$B31-($B31-Inputs!$C$37)*MIN(D$27-Inputs!$C$46,Inputs!$C$47)/Inputs!$C$47))</f>
        <v>6020.32418355066</v>
      </c>
      <c r="E31" s="15" t="n">
        <f aca="false">D31*(1+IF(E$27&lt;=Inputs!$C$46,$B31,$B31-($B31-Inputs!$C$37)*MIN(E$27-Inputs!$C$46,Inputs!$C$47)/Inputs!$C$47))</f>
        <v>6673.16367040245</v>
      </c>
      <c r="F31" s="15" t="n">
        <f aca="false">E31*(1+IF(F$27&lt;=Inputs!$C$46,$B31,$B31-($B31-Inputs!$C$37)*MIN(F$27-Inputs!$C$46,Inputs!$C$47)/Inputs!$C$47))</f>
        <v>7396.79658674387</v>
      </c>
      <c r="G31" s="15" t="n">
        <f aca="false">F31*(1+IF(G$27&lt;=Inputs!$C$46,$B31,$B31-($B31-Inputs!$C$37)*MIN(G$27-Inputs!$C$46,Inputs!$C$47)/Inputs!$C$47))</f>
        <v>8198.89971953379</v>
      </c>
      <c r="H31" s="15" t="n">
        <f aca="false">G31*(1+IF(H$27&lt;=Inputs!$C$46,$B31,$B31-($B31-Inputs!$C$37)*MIN(H$27-Inputs!$C$46,Inputs!$C$47)/Inputs!$C$47))</f>
        <v>8956.57157296896</v>
      </c>
      <c r="I31" s="15" t="n">
        <f aca="false">H31*(1+IF(I$27&lt;=Inputs!$C$46,$B31,$B31-($B31-Inputs!$C$37)*MIN(I$27-Inputs!$C$46,Inputs!$C$47)/Inputs!$C$47))</f>
        <v>9640.70634805817</v>
      </c>
      <c r="J31" s="15" t="n">
        <f aca="false">I31*(1+IF(J$27&lt;=Inputs!$C$46,$B31,$B31-($B31-Inputs!$C$37)*MIN(J$27-Inputs!$C$46,Inputs!$C$47)/Inputs!$C$47))</f>
        <v>10222.5779586992</v>
      </c>
      <c r="K31" s="15" t="n">
        <f aca="false">J31*(1+IF(K$27&lt;=Inputs!$C$46,$B31,$B31-($B31-Inputs!$C$37)*MIN(K$27-Inputs!$C$46,Inputs!$C$47)/Inputs!$C$47))</f>
        <v>10675.7228772412</v>
      </c>
      <c r="L31" s="15" t="n">
        <f aca="false">K31*(1+IF(L$27&lt;=Inputs!$C$46,$B31,$B31-($B31-Inputs!$C$37)*MIN(L$27-Inputs!$C$46,Inputs!$C$47)/Inputs!$C$47))</f>
        <v>10977.8458346672</v>
      </c>
    </row>
    <row r="32" customFormat="false" ht="15" hidden="false" customHeight="false" outlineLevel="0" collapsed="false">
      <c r="B32" s="23" t="n">
        <f aca="false">G$18</f>
        <v>0.128439257911649</v>
      </c>
      <c r="C32" s="15" t="n">
        <f aca="false">Inputs!$C$12*(1+IF(C$27&lt;=Inputs!$C$46,$B32,$B32-($B32-Inputs!$C$37)*MIN(C$27-Inputs!$C$46,Inputs!$C$47)/Inputs!$C$47))</f>
        <v>5529.35236376708</v>
      </c>
      <c r="D32" s="15" t="n">
        <f aca="false">C32*(1+IF(D$27&lt;=Inputs!$C$46,$B32,$B32-($B32-Inputs!$C$37)*MIN(D$27-Inputs!$C$46,Inputs!$C$47)/Inputs!$C$47))</f>
        <v>6239.53827810135</v>
      </c>
      <c r="E32" s="15" t="n">
        <f aca="false">D32*(1+IF(E$27&lt;=Inputs!$C$46,$B32,$B32-($B32-Inputs!$C$37)*MIN(E$27-Inputs!$C$46,Inputs!$C$47)/Inputs!$C$47))</f>
        <v>7040.93994425201</v>
      </c>
      <c r="F32" s="15" t="n">
        <f aca="false">E32*(1+IF(F$27&lt;=Inputs!$C$46,$B32,$B32-($B32-Inputs!$C$37)*MIN(F$27-Inputs!$C$46,Inputs!$C$47)/Inputs!$C$47))</f>
        <v>7945.27304569222</v>
      </c>
      <c r="G32" s="15" t="n">
        <f aca="false">F32*(1+IF(G$27&lt;=Inputs!$C$46,$B32,$B32-($B32-Inputs!$C$37)*MIN(G$27-Inputs!$C$46,Inputs!$C$47)/Inputs!$C$47))</f>
        <v>8965.75801958636</v>
      </c>
      <c r="H32" s="15" t="n">
        <f aca="false">G32*(1+IF(H$27&lt;=Inputs!$C$46,$B32,$B32-($B32-Inputs!$C$37)*MIN(H$27-Inputs!$C$46,Inputs!$C$47)/Inputs!$C$47))</f>
        <v>9937.74845529809</v>
      </c>
      <c r="I32" s="15" t="n">
        <f aca="false">H32*(1+IF(I$27&lt;=Inputs!$C$46,$B32,$B32-($B32-Inputs!$C$37)*MIN(I$27-Inputs!$C$46,Inputs!$C$47)/Inputs!$C$47))</f>
        <v>10816.0819899587</v>
      </c>
      <c r="J32" s="15" t="n">
        <f aca="false">I32*(1+IF(J$27&lt;=Inputs!$C$46,$B32,$B32-($B32-Inputs!$C$37)*MIN(J$27-Inputs!$C$46,Inputs!$C$47)/Inputs!$C$47))</f>
        <v>11555.422879869</v>
      </c>
      <c r="K32" s="15" t="n">
        <f aca="false">J32*(1+IF(K$27&lt;=Inputs!$C$46,$B32,$B32-($B32-Inputs!$C$37)*MIN(K$27-Inputs!$C$46,Inputs!$C$47)/Inputs!$C$47))</f>
        <v>12113.8716417783</v>
      </c>
      <c r="L32" s="15" t="n">
        <f aca="false">K32*(1+IF(L$27&lt;=Inputs!$C$46,$B32,$B32-($B32-Inputs!$C$37)*MIN(L$27-Inputs!$C$46,Inputs!$C$47)/Inputs!$C$47))</f>
        <v>12456.6942092407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226</v>
      </c>
    </row>
    <row r="3" customFormat="false" ht="15" hidden="false" customHeight="false" outlineLevel="0" collapsed="false">
      <c r="B3" s="2" t="s">
        <v>227</v>
      </c>
    </row>
    <row r="5" customFormat="false" ht="15" hidden="false" customHeight="false" outlineLevel="0" collapsed="false">
      <c r="B5" s="28" t="s">
        <v>228</v>
      </c>
      <c r="C5" s="28" t="s">
        <v>229</v>
      </c>
      <c r="D5" s="28" t="s">
        <v>230</v>
      </c>
      <c r="E5" s="28" t="s">
        <v>231</v>
      </c>
      <c r="F5" s="28" t="s">
        <v>232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0.160795918367347</v>
      </c>
      <c r="D6" s="24" t="n">
        <v>0.16079592</v>
      </c>
      <c r="E6" s="49" t="n">
        <f aca="false">C6-D6</f>
        <v>-1.6326530682953E-009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122</v>
      </c>
      <c r="C7" s="50" t="n">
        <f aca="false">WACC!$C$10</f>
        <v>1.08492606217581</v>
      </c>
      <c r="D7" s="51" t="n">
        <v>1.08492606</v>
      </c>
      <c r="E7" s="49" t="n">
        <f aca="false">C7-D7</f>
        <v>2.17581019867907E-009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WACC!$C$33</f>
        <v>0.0950848977416375</v>
      </c>
      <c r="D8" s="24" t="n">
        <v>0.0950849</v>
      </c>
      <c r="E8" s="49" t="n">
        <f aca="false">C8-D8</f>
        <v>-2.25836248313183E-009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233</v>
      </c>
      <c r="C10" s="12" t="n">
        <f aca="false">Inputs!$C$43</f>
        <v>0.0884392579116489</v>
      </c>
      <c r="D10" s="24" t="n">
        <v>0.08843926</v>
      </c>
      <c r="E10" s="49" t="n">
        <f aca="false">C10-D10</f>
        <v>-2.08835106152439E-009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234</v>
      </c>
      <c r="C11" s="12" t="n">
        <f aca="false">Solver!$W$7</f>
        <v>0.09541552674591</v>
      </c>
      <c r="D11" s="24" t="n">
        <v>0.09541553</v>
      </c>
      <c r="E11" s="49" t="n">
        <f aca="false">C11-D11</f>
        <v>-3.25408996970644E-009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235</v>
      </c>
      <c r="C12" s="12" t="n">
        <f aca="false">Sensitivity!$E$14</f>
        <v>0.122935444116592</v>
      </c>
      <c r="D12" s="24" t="n">
        <v>0.12293553</v>
      </c>
      <c r="E12" s="49" t="n">
        <f aca="false">C12-D12</f>
        <v>-8.58834075939674E-008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236</v>
      </c>
      <c r="C13" s="6" t="n">
        <f aca="false">DCF!$C$41</f>
        <v>63.4734067472319</v>
      </c>
      <c r="D13" s="20" t="n">
        <v>63.47340675</v>
      </c>
      <c r="E13" s="49" t="n">
        <f aca="false">C13-D13</f>
        <v>-2.76807554655534E-009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237</v>
      </c>
      <c r="C14" s="6" t="n">
        <f aca="false">DCF!$C$21-DCF!$C$22</f>
        <v>-2.76472178484255E-010</v>
      </c>
      <c r="D14" s="20" t="n">
        <v>0</v>
      </c>
      <c r="E14" s="49" t="n">
        <f aca="false">C14-D14</f>
        <v>-2.76472178484255E-010</v>
      </c>
      <c r="F14" s="5" t="str">
        <f aca="false">IF(ABS(E14)&lt;=0.01,"Pass","Check")</f>
        <v>Pass</v>
      </c>
      <c r="G14" s="19" t="s">
        <v>238</v>
      </c>
    </row>
    <row r="16" customFormat="false" ht="15" hidden="false" customHeight="false" outlineLevel="0" collapsed="false">
      <c r="B16" s="38" t="s">
        <v>239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2026-10-14T16:48:53Z</dcterms:created>
  <dc:creator>openpyxl</dc:creator>
  <dc:description/>
  <dc:language>en-US</dc:language>
  <cp:lastModifiedBy/>
  <dcterms:modified xsi:type="dcterms:W3CDTF">2026-10-14T16:48:53Z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