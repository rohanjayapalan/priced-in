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puts" sheetId="2" state="visible" r:id="rId4"/>
    <sheet name="History" sheetId="3" state="visible" r:id="rId5"/>
    <sheet name="WACC" sheetId="4" state="visible" r:id="rId6"/>
    <sheet name="Solver" sheetId="5" state="visible" r:id="rId7"/>
    <sheet name="DCF" sheetId="6" state="visible" r:id="rId8"/>
    <sheet name="Sensitivity" sheetId="7" state="visible" r:id="rId9"/>
    <sheet name="Check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<sst xmlns="http://schemas.openxmlformats.org/spreadsheetml/2006/main" count="847" uniqueCount="255">
  <si>
    <t xml:space="preserve">Priced In: Tradeweb (TW)</t>
  </si>
  <si>
    <t xml:space="preserve">Reverse DCF, model v1.0. Inputs as of the Oct 13, 2026 close; model locked Oct 14, 2026 (commit 0735af0).</t>
  </si>
  <si>
    <t xml:space="preserve">Exchanges | US | reports in USD</t>
  </si>
  <si>
    <t xml:space="preserve">The question</t>
  </si>
  <si>
    <t xml:space="preserve">What revenue growth over the next five years does today's price imply, and is that more or less than the company has delivered and analysts expect?</t>
  </si>
  <si>
    <t xml:space="preserve">Answer</t>
  </si>
  <si>
    <t xml:space="preserve">Price at the lock ($)</t>
  </si>
  <si>
    <t xml:space="preserve">Implied 5-year revenue growth</t>
  </si>
  <si>
    <t xml:space="preserve">Anchor (history and analysts)</t>
  </si>
  <si>
    <t xml:space="preserve">Gap (implied - anchor)</t>
  </si>
  <si>
    <t xml:space="preserve">Verdict</t>
  </si>
  <si>
    <t xml:space="preserve">WACC</t>
  </si>
  <si>
    <t xml:space="preserve">Terminal growth</t>
  </si>
  <si>
    <t xml:space="preserve">Unlevered free-cash-flow margin</t>
  </si>
  <si>
    <t xml:space="preserve">Your view of growth (Inputs, yellow)</t>
  </si>
  <si>
    <t xml:space="preserve">Value per share at your view ($)</t>
  </si>
  <si>
    <t xml:space="preserve">Upside or downside at your view</t>
  </si>
  <si>
    <t xml:space="preserve">Fit flag: Cyclical volumes</t>
  </si>
  <si>
    <t xml:space="preserve">Bond and rates trading volumes move with rate volatility.</t>
  </si>
  <si>
    <t xml:space="preserve">How to use this file</t>
  </si>
  <si>
    <t xml:space="preserve">1. Change any blue cell on Inputs, History or WACC; everything recalculates, including the solver.</t>
  </si>
  <si>
    <t xml:space="preserve">2. The Solver tab finds implied growth by bisection with formulas, so you never need Goal Seek. 40 steps narrow a 150-point range to well under 0.0001%.</t>
  </si>
  <si>
    <t xml:space="preserve">3. Type your own growth view in the yellow cell on Inputs; DCF panel B and this page show what the stock is worth if you're right.</t>
  </si>
  <si>
    <t xml:space="preserve">4. Check confirms this workbook matches the Python pipeline that runs the site.</t>
  </si>
  <si>
    <t xml:space="preserve">Colour key</t>
  </si>
  <si>
    <t xml:space="preserve">Typed input with a source</t>
  </si>
  <si>
    <t xml:space="preserve">Formula</t>
  </si>
  <si>
    <t xml:space="preserve">Link to another tab</t>
  </si>
  <si>
    <t xml:space="preserve">Your view (edit this one)</t>
  </si>
  <si>
    <t xml:space="preserve">Live site</t>
  </si>
  <si>
    <t xml:space="preserve">https://claude.ai/artifact/DS3n4CgaKxaSLzkXDsBKuK</t>
  </si>
  <si>
    <t xml:space="preserve">Built by Rohan Jayapalan. Not investment advice.</t>
  </si>
  <si>
    <t xml:space="preserve">Tradeweb (TW): inputs</t>
  </si>
  <si>
    <t xml:space="preserve">Blue cells are typed inputs with a source. Black cells are formulas. Change a blue cell and every tab recalculates.</t>
  </si>
  <si>
    <t xml:space="preserve">Market and price</t>
  </si>
  <si>
    <t xml:space="preserve">Price per share at the lock ($)</t>
  </si>
  <si>
    <t xml:space="preserve">Market cap divided by shares from Stock Analysis at the Oct 13, 2026 close.</t>
  </si>
  <si>
    <t xml:space="preserve">Diluted shares outstanding (mm)</t>
  </si>
  <si>
    <t xml:space="preserve">Stock Analysis statistics page, Oct 13, 2026.</t>
  </si>
  <si>
    <t xml:space="preserve">Market value of equity ($mm)</t>
  </si>
  <si>
    <t xml:space="preserve">Price x shares.</t>
  </si>
  <si>
    <t xml:space="preserve">Trailing 12 months</t>
  </si>
  <si>
    <t xml:space="preserve">Revenue, reported ($mm)</t>
  </si>
  <si>
    <t xml:space="preserve">Stock Analysis income statement, trailing 12 months.</t>
  </si>
  <si>
    <t xml:space="preserve">Revenue used in the model ($mm)</t>
  </si>
  <si>
    <t xml:space="preserve">Same as reported.</t>
  </si>
  <si>
    <t xml:space="preserve">Free cash flow, reported (cash from operations - capex) ($mm)</t>
  </si>
  <si>
    <t xml:space="preserve">Stock Analysis cash flow statement, trailing 12 months.</t>
  </si>
  <si>
    <t xml:space="preserve">Free cash flow before adjustments ($mm)</t>
  </si>
  <si>
    <t xml:space="preserve">Less: adjustments ($mm)</t>
  </si>
  <si>
    <t xml:space="preserve">None for this company.</t>
  </si>
  <si>
    <t xml:space="preserve">Free cash flow used ($mm)</t>
  </si>
  <si>
    <t xml:space="preserve">Operating income ($mm)</t>
  </si>
  <si>
    <t xml:space="preserve">Stock Analysis, trailing 12 months.</t>
  </si>
  <si>
    <t xml:space="preserve">Pretax income ($mm)</t>
  </si>
  <si>
    <t xml:space="preserve">Interest proxy: operating income - pretax, floored at zero ($mm)</t>
  </si>
  <si>
    <t xml:space="preserve">Net interest and other non-operating costs. Adding it back (after tax) turns levered FCF into unlevered FCF.</t>
  </si>
  <si>
    <t xml:space="preserve">Tax rate</t>
  </si>
  <si>
    <t xml:space="preserve">Statutory blend: 25% US (21% federal plus state), 26.5% Canada (federal plus Ontario).</t>
  </si>
  <si>
    <t xml:space="preserve">After-tax interest added back ($mm)</t>
  </si>
  <si>
    <t xml:space="preserve">Unlevered free cash flow ($mm)</t>
  </si>
  <si>
    <t xml:space="preserve">Held flat for all 10 years in the model.</t>
  </si>
  <si>
    <t xml:space="preserve">EBITDA ($mm)</t>
  </si>
  <si>
    <t xml:space="preserve">Not reported by the source; operating income used.</t>
  </si>
  <si>
    <t xml:space="preserve">Balance sheet</t>
  </si>
  <si>
    <t xml:space="preserve">Total debt ($mm)</t>
  </si>
  <si>
    <t xml:space="preserve">Stock Analysis balance sheet, latest quarter.</t>
  </si>
  <si>
    <t xml:space="preserve">Cash and equivalents ($mm)</t>
  </si>
  <si>
    <t xml:space="preserve">Net debt ($mm)</t>
  </si>
  <si>
    <t xml:space="preserve">Rates</t>
  </si>
  <si>
    <t xml:space="preserve">10-year US Treasury yield</t>
  </si>
  <si>
    <t xml:space="preserve">US Treasury daily par yield curve, Oct 13, 2026.</t>
  </si>
  <si>
    <t xml:space="preserve">10-year TIPS real yield</t>
  </si>
  <si>
    <t xml:space="preserve">US Treasury daily real yield curve, Oct 13, 2026.</t>
  </si>
  <si>
    <t xml:space="preserve">Breakeven inflation</t>
  </si>
  <si>
    <t xml:space="preserve">Nominal minus real: the market's inflation expectation.</t>
  </si>
  <si>
    <t xml:space="preserve">Risk-free rate used</t>
  </si>
  <si>
    <t xml:space="preserve">Real growth added to inflation</t>
  </si>
  <si>
    <t xml:space="preserve">Half a point of long-run real growth.</t>
  </si>
  <si>
    <t xml:space="preserve">Capped at the risk-free rate.</t>
  </si>
  <si>
    <t xml:space="preserve">Equity risk premium</t>
  </si>
  <si>
    <t xml:space="preserve">Damodaran implied equity risk premium, start of 2026.</t>
  </si>
  <si>
    <t xml:space="preserve">Growth anchor and verdict</t>
  </si>
  <si>
    <t xml:space="preserve">Past revenue growth (CAGR)</t>
  </si>
  <si>
    <t xml:space="preserve">FY2021 to the 12 months ended June 2026</t>
  </si>
  <si>
    <t xml:space="preserve">Analysts' revenue growth forecast</t>
  </si>
  <si>
    <t xml:space="preserve">Analysts' 3-year revenue CAGR forecast (stockanalysis)</t>
  </si>
  <si>
    <t xml:space="preserve">Anchor (average of the two)</t>
  </si>
  <si>
    <t xml:space="preserve">AVERAGE skips the n/a text when history isn't used.</t>
  </si>
  <si>
    <t xml:space="preserve">Verdict band (+/-)</t>
  </si>
  <si>
    <t xml:space="preserve">Set before any backtest and never changed.</t>
  </si>
  <si>
    <t xml:space="preserve">Your view of 5-year revenue growth</t>
  </si>
  <si>
    <t xml:space="preserve">Type your own view. It starts at the anchor. DCF panel B and the Cover show what the stock is worth at your view.</t>
  </si>
  <si>
    <t xml:space="preserve">Years at the solved growth rate</t>
  </si>
  <si>
    <t xml:space="preserve">Model v1.0: 5 years at the growth rate, then a straight-line fade.</t>
  </si>
  <si>
    <t xml:space="preserve">Years of fade to terminal growth</t>
  </si>
  <si>
    <t xml:space="preserve">Years 1 to 10 are on the Solver and DCF tabs; years past 10 grow at the terminal rate.</t>
  </si>
  <si>
    <t xml:space="preserve">Tradeweb (TW): revenue history</t>
  </si>
  <si>
    <t xml:space="preserve">Revenue from Stock Analysis income statements; the window is chosen so acquisitions and disposals don't count as growth.</t>
  </si>
  <si>
    <t xml:space="preserve">Fiscal year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</si>
  <si>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</si>
  <si>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</si>
  <si>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</si>
  <si>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</si>
  <si>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</si>
  <si>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TTM Jun-26</t>
  </si>
  <si>
    <t xml:space="preserve">Revenue ($mm)</t>
  </si>
  <si>
    <t xml:space="preserve">Growth on the prior year</t>
  </si>
  <si>
    <t xml:space="preserve">History window</t>
  </si>
  <si>
    <t xml:space="preserve">Start year</t>
  </si>
  <si>
    <t xml:space="preserve">Years from start to TTM</t>
  </si>
  <si>
    <t xml:space="preserve">Revenue CAGR, start to TTM</t>
  </si>
  <si>
    <t xml:space="preserve">Free-cash-flow margin history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</si>
  <si>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</si>
  <si>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</si>
  <si>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</si>
  <si>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</si>
  <si>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</si>
  <si>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(CFO - capex) / revenue</t>
  </si>
  <si>
    <t xml:space="preserve">SEC XBRL filings (NetCashProvidedByOperatingActivities, PaymentsToAcquirePropertyPlantAndEquipment, revenue tags).</t>
  </si>
  <si>
    <t xml:space="preserve">Plus today's interest add-back</t>
  </si>
  <si>
    <t xml:space="preserve">Range (the margin slider's shaded zone)</t>
  </si>
  <si>
    <t xml:space="preserve">Tradeweb (TW): cost of capital</t>
  </si>
  <si>
    <t xml:space="preserve">Bottom-up beta: the median unlevered beta of the company's group, relevered for this company's debt.</t>
  </si>
  <si>
    <t xml:space="preserve">Peer</t>
  </si>
  <si>
    <t xml:space="preserve">Raw beta</t>
  </si>
  <si>
    <t xml:space="preserve">Debt ($mm)</t>
  </si>
  <si>
    <t xml:space="preserve">Equity ($mm)</t>
  </si>
  <si>
    <t xml:space="preserve">Unlevered beta</t>
  </si>
  <si>
    <t xml:space="preserve">Intercontinental Exchange (ICE)</t>
  </si>
  <si>
    <t xml:space="preserve">Raw betas: 60 monthly returns to Sep 2026 against the S&amp;P 500 (S&amp;P/TSX for TMX); Cboe uses Stock Analysis's 5-year beta. Debt and equity from Stock Analysis, Oct 13, 2026.</t>
  </si>
  <si>
    <t xml:space="preserve">CME Group (CME)</t>
  </si>
  <si>
    <t xml:space="preserve">Nasdaq (NDAQ)</t>
  </si>
  <si>
    <t xml:space="preserve">Cboe Global Markets (CBOE)</t>
  </si>
  <si>
    <t xml:space="preserve">TMX Group (X)</t>
  </si>
  <si>
    <t xml:space="preserve">Tradeweb (TW)</t>
  </si>
  <si>
    <t xml:space="preserve">MarketAxess (MKTX)</t>
  </si>
  <si>
    <t xml:space="preserve">Group median unlevered beta</t>
  </si>
  <si>
    <t xml:space="preserve">Relevered beta</t>
  </si>
  <si>
    <t xml:space="preserve">Hamada: unlevered beta x (1 + (1 - tax) x debt / equity).</t>
  </si>
  <si>
    <t xml:space="preserve">Risk-free rate</t>
  </si>
  <si>
    <t xml:space="preserve">Cost of equity</t>
  </si>
  <si>
    <t xml:space="preserve">CAPM: risk-free + beta x premium.</t>
  </si>
  <si>
    <t xml:space="preserve">Debt-to-EBITDA spread table</t>
  </si>
  <si>
    <t xml:space="preserve">Debt / EBITDA below</t>
  </si>
  <si>
    <t xml:space="preserve">Spread</t>
  </si>
  <si>
    <t xml:space="preserve">Synthetic spread over the risk-free rate by leverage, a simplified version of Damodaran's ratings table; the last row covers anything at 4x or above.</t>
  </si>
  <si>
    <t xml:space="preserve">Debt / EBITDA</t>
  </si>
  <si>
    <t xml:space="preserve">Credit spread</t>
  </si>
  <si>
    <t xml:space="preserve">First row whose limit is above this company's leverage.</t>
  </si>
  <si>
    <t xml:space="preserve">Pre-tax cost of debt</t>
  </si>
  <si>
    <t xml:space="preserve">After-tax cost of debt</t>
  </si>
  <si>
    <t xml:space="preserve">Weight of debt</t>
  </si>
  <si>
    <t xml:space="preserve">Market-value weights.</t>
  </si>
  <si>
    <t xml:space="preserve">Weight of equity</t>
  </si>
  <si>
    <t xml:space="preserve">Solver: bisection for the growth rate that makes the model equal the price (replaces Goal Seek)</t>
  </si>
  <si>
    <t xml:space="preserve">Revenue</t>
  </si>
  <si>
    <t xml:space="preserve">Margin</t>
  </si>
  <si>
    <t xml:space="preserve">Debt</t>
  </si>
  <si>
    <t xml:space="preserve">Cash</t>
  </si>
  <si>
    <t xml:space="preserve">Shares</t>
  </si>
  <si>
    <t xml:space="preserve">Price</t>
  </si>
  <si>
    <t xml:space="preserve">Years</t>
  </si>
  <si>
    <t xml:space="preserve">Fade</t>
  </si>
  <si>
    <t xml:space="preserve">Year</t>
  </si>
  <si>
    <t xml:space="preserve">Each row tries the midpoint of the current range. If the value per share is above the price, the answer is lower, so the top of the range moves down; otherwise the bottom moves up.</t>
  </si>
  <si>
    <t xml:space="preserve">Base case: model WACC and terminal growth (40 steps)</t>
  </si>
  <si>
    <t xml:space="preserve">Implied growth</t>
  </si>
  <si>
    <t xml:space="preserve">Step</t>
  </si>
  <si>
    <t xml:space="preserve">Low</t>
  </si>
  <si>
    <t xml:space="preserve">High</t>
  </si>
  <si>
    <t xml:space="preserve">Mid</t>
  </si>
  <si>
    <t xml:space="preserve">Rev Y1</t>
  </si>
  <si>
    <t xml:space="preserve">Rev Y2</t>
  </si>
  <si>
    <t xml:space="preserve">Rev Y3</t>
  </si>
  <si>
    <t xml:space="preserve">Rev Y4</t>
  </si>
  <si>
    <t xml:space="preserve">Rev Y5</t>
  </si>
  <si>
    <t xml:space="preserve">Rev Y6</t>
  </si>
  <si>
    <t xml:space="preserve">Rev Y7</t>
  </si>
  <si>
    <t xml:space="preserve">Rev Y8</t>
  </si>
  <si>
    <t xml:space="preserve">Rev Y9</t>
  </si>
  <si>
    <t xml:space="preserve">Rev Y10</t>
  </si>
  <si>
    <t xml:space="preserve">PV of FCF</t>
  </si>
  <si>
    <t xml:space="preserve">PV of TV</t>
  </si>
  <si>
    <t xml:space="preserve">EV</t>
  </si>
  <si>
    <t xml:space="preserve">Equity</t>
  </si>
  <si>
    <t xml:space="preserve">Per share</t>
  </si>
  <si>
    <t xml:space="preserve">Value - price</t>
  </si>
  <si>
    <t xml:space="preserve">Grid block 2: row 1, column 1 of table A (24 steps)</t>
  </si>
  <si>
    <t xml:space="preserve">Grid block 3: row 1, column 2 of table A (24 steps)</t>
  </si>
  <si>
    <t xml:space="preserve">Grid block 4: row 1, column 3 of table A (24 steps)</t>
  </si>
  <si>
    <t xml:space="preserve">Grid block 5: row 1, column 4 of table A (24 steps)</t>
  </si>
  <si>
    <t xml:space="preserve">Grid block 6: row 1, column 5 of table A (24 steps)</t>
  </si>
  <si>
    <t xml:space="preserve">Grid block 7: row 2, column 1 of table A (24 steps)</t>
  </si>
  <si>
    <t xml:space="preserve">Grid block 8: row 2, column 2 of table A (24 steps)</t>
  </si>
  <si>
    <t xml:space="preserve">Grid block 9: row 2, column 3 of table A (24 steps)</t>
  </si>
  <si>
    <t xml:space="preserve">Grid block 10: row 2, column 4 of table A (24 steps)</t>
  </si>
  <si>
    <t xml:space="preserve">Grid block 11: row 2, column 5 of table A (24 steps)</t>
  </si>
  <si>
    <t xml:space="preserve">Grid block 12: row 3, column 1 of table A (24 steps)</t>
  </si>
  <si>
    <t xml:space="preserve">Grid block 13: row 3, column 2 of table A (24 steps)</t>
  </si>
  <si>
    <t xml:space="preserve">Grid block 14: row 3, column 3 of table A (24 steps)</t>
  </si>
  <si>
    <t xml:space="preserve">Grid block 15: row 3, column 4 of table A (24 steps)</t>
  </si>
  <si>
    <t xml:space="preserve">Grid block 16: row 3, column 5 of table A (24 steps)</t>
  </si>
  <si>
    <t xml:space="preserve">Grid block 17: row 4, column 1 of table A (24 steps)</t>
  </si>
  <si>
    <t xml:space="preserve">Grid block 18: row 4, column 2 of table A (24 steps)</t>
  </si>
  <si>
    <t xml:space="preserve">Grid block 19: row 4, column 3 of table A (24 steps)</t>
  </si>
  <si>
    <t xml:space="preserve">Grid block 20: row 4, column 4 of table A (24 steps)</t>
  </si>
  <si>
    <t xml:space="preserve">Grid block 21: row 4, column 5 of table A (24 steps)</t>
  </si>
  <si>
    <t xml:space="preserve">Grid block 22: row 5, column 1 of table A (24 steps)</t>
  </si>
  <si>
    <t xml:space="preserve">Grid block 23: row 5, column 2 of table A (24 steps)</t>
  </si>
  <si>
    <t xml:space="preserve">Grid block 24: row 5, column 3 of table A (24 steps)</t>
  </si>
  <si>
    <t xml:space="preserve">Grid block 25: row 5, column 4 of table A (24 steps)</t>
  </si>
  <si>
    <t xml:space="preserve">Grid block 26: row 5, column 5 of table A (24 steps)</t>
  </si>
  <si>
    <t xml:space="preserve">Tradeweb (TW): discounted cash flow</t>
  </si>
  <si>
    <t xml:space="preserve">Panel A runs the model at the solved growth rate, so it should land on the price. Panel B runs it at your view.</t>
  </si>
  <si>
    <t xml:space="preserve">A. At the solved (implied) growth rate</t>
  </si>
  <si>
    <t xml:space="preserve">Revenue growth</t>
  </si>
  <si>
    <t xml:space="preserve">Discount factor</t>
  </si>
  <si>
    <t xml:space="preserve">Present value ($mm)</t>
  </si>
  <si>
    <t xml:space="preserve">Sum of present values, years 1 to 10</t>
  </si>
  <si>
    <t xml:space="preserve">Terminal value at year 10</t>
  </si>
  <si>
    <t xml:space="preserve">Present value of terminal value</t>
  </si>
  <si>
    <t xml:space="preserve">Enterprise value</t>
  </si>
  <si>
    <t xml:space="preserve">Less: debt</t>
  </si>
  <si>
    <t xml:space="preserve">Plus: cash</t>
  </si>
  <si>
    <t xml:space="preserve">Equity value</t>
  </si>
  <si>
    <t xml:space="preserve">Shares (mm)</t>
  </si>
  <si>
    <t xml:space="preserve">Value per share ($)</t>
  </si>
  <si>
    <t xml:space="preserve">Value / price - 1</t>
  </si>
  <si>
    <t xml:space="preserve">Terminal value share of enterprise value</t>
  </si>
  <si>
    <t xml:space="preserve">B. At your view of growth (Inputs tab, yellow cell)</t>
  </si>
  <si>
    <t xml:space="preserve">Tradeweb (TW): sensitivity</t>
  </si>
  <si>
    <t xml:space="preserve">Table A re-solves implied growth for each pair of inputs (Solver tab, blocks 2 to 26). Table B values the stock at a growth view.</t>
  </si>
  <si>
    <t xml:space="preserve">WACC step</t>
  </si>
  <si>
    <t xml:space="preserve">Terminal-growth step</t>
  </si>
  <si>
    <t xml:space="preserve">Growth-view step</t>
  </si>
  <si>
    <t xml:space="preserve">A. Implied 5-year growth: WACC (rows) by terminal growth (columns)</t>
  </si>
  <si>
    <t xml:space="preserve">Centre cell = the base case. Each step changes one input by the step size above.</t>
  </si>
  <si>
    <t xml:space="preserve">B. Value per share: WACC (rows) by your growth view (columns)</t>
  </si>
  <si>
    <t xml:space="preserve">Compare with the price at the lock: $109.99.</t>
  </si>
  <si>
    <t xml:space="preserve">Helper: revenue paths for each growth view (years 1 to 10)</t>
  </si>
  <si>
    <t xml:space="preserve">Tradeweb (TW): check against the Python pipeline</t>
  </si>
  <si>
    <t xml:space="preserve">Python values are typed in (blue) from the pipeline that runs the site. Each row passes if the two agree within the tolerance.</t>
  </si>
  <si>
    <t xml:space="preserve">Item</t>
  </si>
  <si>
    <t xml:space="preserve">This workbook</t>
  </si>
  <si>
    <t xml:space="preserve">Python pipeline</t>
  </si>
  <si>
    <t xml:space="preserve">Difference</t>
  </si>
  <si>
    <t xml:space="preserve">Result</t>
  </si>
  <si>
    <t xml:space="preserve">Anchor</t>
  </si>
  <si>
    <t xml:space="preserve">Implied growth, base case</t>
  </si>
  <si>
    <t xml:space="preserve">Implied growth, WACC one point higher</t>
  </si>
  <si>
    <t xml:space="preserve">Value per share at the anchor ($)</t>
  </si>
  <si>
    <t xml:space="preserve">Panel A value minus price ($)</t>
  </si>
  <si>
    <t xml:space="preserve">Panel B on the DCF tab uses your view; with the yellow cell at the anchor it matches the pipeline.</t>
  </si>
  <si>
    <t xml:space="preserve">Overall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</si>
</sst>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\$#,##0.00;&quot;($&quot;#,##0.00\);\-"/>
    <numFmt numFmtId="166" formatCode="0.0%;\(0.0%\);\-"/>
    <numFmt numFmtId="167" formatCode="0.00%;\(0.00%\);\-"/>
    <numFmt numFmtId="168" formatCode="#,##0;\(#,##0\);\-"/>
    <numFmt numFmtId="169" formatCode="#,##0.0;\(#,##0.0\);\-"/>
    <numFmt numFmtId="170" formatCode="0"/>
    <numFmt numFmtId="171" formatCode="0.00"/>
    <numFmt numFmtId="172" formatCode="0.00;\(0.00\);\-"/>
    <numFmt numFmtId="173" formatCode="0.0\x"/>
    <numFmt numFmtId="174" formatCode="0.0000%"/>
    <numFmt numFmtId="175" formatCode="#,##0.0000;\(#,##0.0000\);\-"/>
    <numFmt numFmtId="176" formatCode="0.0000"/>
    <numFmt numFmtId="177" formatCode="0.00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u val="single"/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EF3F8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1F3A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3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laude.ai/artifact/DS3n4CgaKxaSLzkXDsBKuK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B2:E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4" min="4" style="0" width="4"/>
    <col collapsed="false" customWidth="true" hidden="false" outlineLevel="0" max="5" min="5" style="0" width="7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 t="s">
        <v>2</v>
      </c>
    </row>
    <row r="6" customFormat="false" ht="15" hidden="false" customHeight="false" outlineLevel="0" collapsed="false">
      <c r="B6" s="3" t="s">
        <v>3</v>
      </c>
    </row>
    <row r="7" customFormat="false" ht="30" hidden="false" customHeight="true" outlineLevel="0" collapsed="false">
      <c r="B7" s="4" t="s">
        <v>4</v>
      </c>
      <c r="C7" s="4"/>
      <c r="D7" s="4"/>
      <c r="E7" s="4"/>
    </row>
    <row r="9" customFormat="false" ht="15" hidden="false" customHeight="false" outlineLevel="0" collapsed="false">
      <c r="B9" s="3" t="s">
        <v>5</v>
      </c>
    </row>
    <row r="10" customFormat="false" ht="15" hidden="false" customHeight="false" outlineLevel="0" collapsed="false">
      <c r="B10" s="5" t="s">
        <v>6</v>
      </c>
      <c r="C10" s="6" t="n">
        <f aca="false">Inputs!$C$6</f>
        <v>109.985899243687</v>
      </c>
    </row>
    <row r="11" customFormat="false" ht="15" hidden="false" customHeight="false" outlineLevel="0" collapsed="false">
      <c r="B11" s="7" t="s">
        <v>7</v>
      </c>
      <c r="C11" s="8" t="n">
        <f aca="false">Solver!$W$7</f>
        <v>0.0293463141656503</v>
      </c>
    </row>
    <row r="12" customFormat="false" ht="15" hidden="false" customHeight="false" outlineLevel="0" collapsed="false">
      <c r="B12" s="5" t="s">
        <v>8</v>
      </c>
      <c r="C12" s="9" t="n">
        <f aca="false">Inputs!$C$43</f>
        <v>0.147138617603885</v>
      </c>
    </row>
    <row r="13" customFormat="false" ht="15" hidden="false" customHeight="false" outlineLevel="0" collapsed="false">
      <c r="B13" s="7" t="s">
        <v>9</v>
      </c>
      <c r="C13" s="10" t="n">
        <f aca="false">C11-C12</f>
        <v>-0.117792303438235</v>
      </c>
    </row>
    <row r="14" customFormat="false" ht="15" hidden="false" customHeight="false" outlineLevel="0" collapsed="false">
      <c r="B14" s="7" t="s">
        <v>10</v>
      </c>
      <c r="C14" s="11" t="str">
        <f aca="false">IF(C13&gt;=Inputs!$C$44,"Expectations too high",IF(C13&lt;=-Inputs!$C$44,"Expectations too low","About right"))</f>
        <v>Expectations too low</v>
      </c>
    </row>
    <row r="15" customFormat="false" ht="15" hidden="false" customHeight="false" outlineLevel="0" collapsed="false">
      <c r="B15" s="5" t="s">
        <v>11</v>
      </c>
      <c r="C15" s="12" t="n">
        <f aca="false">WACC!$C$37</f>
        <v>0.0777967762761046</v>
      </c>
    </row>
    <row r="16" customFormat="false" ht="15" hidden="false" customHeight="false" outlineLevel="0" collapsed="false">
      <c r="B16" s="5" t="s">
        <v>12</v>
      </c>
      <c r="C16" s="12" t="n">
        <f aca="false">Inputs!$C$37</f>
        <v>0.0283</v>
      </c>
    </row>
    <row r="17" customFormat="false" ht="15" hidden="false" customHeight="false" outlineLevel="0" collapsed="false">
      <c r="B17" s="5" t="s">
        <v>13</v>
      </c>
      <c r="C17" s="9" t="n">
        <f aca="false">Inputs!$C$23</f>
        <v>0.518181818181818</v>
      </c>
    </row>
    <row r="18" customFormat="false" ht="15" hidden="false" customHeight="false" outlineLevel="0" collapsed="false">
      <c r="B18" s="5" t="s">
        <v>14</v>
      </c>
      <c r="C18" s="9" t="n">
        <f aca="false">Inputs!$C$45</f>
        <v>0.147138617603885</v>
      </c>
    </row>
    <row r="19" customFormat="false" ht="15" hidden="false" customHeight="false" outlineLevel="0" collapsed="false">
      <c r="B19" s="5" t="s">
        <v>15</v>
      </c>
      <c r="C19" s="6" t="n">
        <f aca="false">DCF!$C$41</f>
        <v>208.814159668799</v>
      </c>
    </row>
    <row r="20" customFormat="false" ht="15" hidden="false" customHeight="false" outlineLevel="0" collapsed="false">
      <c r="B20" s="5" t="s">
        <v>16</v>
      </c>
      <c r="C20" s="9" t="n">
        <f aca="false">DCF!$C$43</f>
        <v>0.898553915590091</v>
      </c>
    </row>
    <row r="22" customFormat="false" ht="15" hidden="false" customHeight="false" outlineLevel="0" collapsed="false">
      <c r="B22" s="3" t="s">
        <v>17</v>
      </c>
    </row>
    <row r="23" customFormat="false" ht="30" hidden="false" customHeight="true" outlineLevel="0" collapsed="false">
      <c r="B23" s="13" t="s">
        <v>18</v>
      </c>
      <c r="C23" s="13"/>
      <c r="D23" s="13"/>
      <c r="E23" s="13"/>
    </row>
    <row r="25" customFormat="false" ht="15" hidden="false" customHeight="false" outlineLevel="0" collapsed="false">
      <c r="B25" s="3" t="s">
        <v>19</v>
      </c>
    </row>
    <row r="26" customFormat="false" ht="15" hidden="false" customHeight="false" outlineLevel="0" collapsed="false">
      <c r="B26" s="5" t="s">
        <v>20</v>
      </c>
    </row>
    <row r="27" customFormat="false" ht="15" hidden="false" customHeight="false" outlineLevel="0" collapsed="false">
      <c r="B27" s="5" t="s">
        <v>21</v>
      </c>
    </row>
    <row r="28" customFormat="false" ht="15" hidden="false" customHeight="false" outlineLevel="0" collapsed="false">
      <c r="B28" s="5" t="s">
        <v>22</v>
      </c>
    </row>
    <row r="29" customFormat="false" ht="15" hidden="false" customHeight="false" outlineLevel="0" collapsed="false">
      <c r="B29" s="5" t="s">
        <v>23</v>
      </c>
    </row>
    <row r="31" customFormat="false" ht="15" hidden="false" customHeight="false" outlineLevel="0" collapsed="false">
      <c r="B31" s="3" t="s">
        <v>24</v>
      </c>
    </row>
    <row r="32" customFormat="false" ht="15" hidden="false" customHeight="false" outlineLevel="0" collapsed="false">
      <c r="B32" s="5" t="s">
        <v>25</v>
      </c>
      <c r="C32" s="14" t="n">
        <v>1234</v>
      </c>
    </row>
    <row r="33" customFormat="false" ht="15" hidden="false" customHeight="false" outlineLevel="0" collapsed="false">
      <c r="B33" s="5" t="s">
        <v>26</v>
      </c>
      <c r="C33" s="15" t="n">
        <f aca="false">C32*2</f>
        <v>2468</v>
      </c>
    </row>
    <row r="34" customFormat="false" ht="15" hidden="false" customHeight="false" outlineLevel="0" collapsed="false">
      <c r="B34" s="5" t="s">
        <v>27</v>
      </c>
      <c r="C34" s="16" t="n">
        <f aca="false">Inputs!$C$12</f>
        <v>2200</v>
      </c>
    </row>
    <row r="35" customFormat="false" ht="15" hidden="false" customHeight="false" outlineLevel="0" collapsed="false">
      <c r="B35" s="5" t="s">
        <v>28</v>
      </c>
      <c r="C35" s="17" t="n">
        <f aca="false">Inputs!$C$45</f>
        <v>0.147138617603885</v>
      </c>
    </row>
    <row r="37" customFormat="false" ht="15" hidden="false" customHeight="false" outlineLevel="0" collapsed="false">
      <c r="B37" s="3" t="s">
        <v>29</v>
      </c>
    </row>
    <row r="38" customFormat="false" ht="15" hidden="false" customHeight="false" outlineLevel="0" collapsed="false">
      <c r="B38" s="18" t="s">
        <v>30</v>
      </c>
    </row>
    <row r="40" customFormat="false" ht="15" hidden="false" customHeight="false" outlineLevel="0" collapsed="false">
      <c r="B40" s="19" t="s">
        <v>31</v>
      </c>
    </row>
  </sheetData>
  <mergeCells count="2">
    <mergeCell ref="B7:E7"/>
    <mergeCell ref="B23:E23"/>
  </mergeCells>
  <hyperlinks>
    <hyperlink ref="B38" r:id="rId1" display="https://claude.ai/artifact/DS3n4CgaKxaSLzkXDsBKu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14"/>
    <col collapsed="false" customWidth="true" hidden="false" outlineLevel="0" max="4" min="4" style="0" width="2"/>
    <col collapsed="false" customWidth="true" hidden="false" outlineLevel="0" max="5" min="5" style="0" width="90"/>
  </cols>
  <sheetData>
    <row r="2" customFormat="false" ht="19.7" hidden="false" customHeight="false" outlineLevel="0" collapsed="false">
      <c r="B2" s="1" t="s">
        <v>32</v>
      </c>
    </row>
    <row r="3" customFormat="false" ht="15" hidden="false" customHeight="false" outlineLevel="0" collapsed="false">
      <c r="B3" s="2" t="s">
        <v>33</v>
      </c>
    </row>
    <row r="5" customFormat="false" ht="15" hidden="false" customHeight="false" outlineLevel="0" collapsed="false">
      <c r="B5" s="3" t="s">
        <v>34</v>
      </c>
    </row>
    <row r="6" customFormat="false" ht="15" hidden="false" customHeight="false" outlineLevel="0" collapsed="false">
      <c r="B6" s="5" t="s">
        <v>35</v>
      </c>
      <c r="C6" s="20" t="n">
        <v>109.985899243687</v>
      </c>
      <c r="E6" s="19" t="s">
        <v>36</v>
      </c>
    </row>
    <row r="7" customFormat="false" ht="15" hidden="false" customHeight="false" outlineLevel="0" collapsed="false">
      <c r="B7" s="5" t="s">
        <v>37</v>
      </c>
      <c r="C7" s="21" t="n">
        <v>234.03</v>
      </c>
      <c r="E7" s="19" t="s">
        <v>38</v>
      </c>
    </row>
    <row r="8" customFormat="false" ht="15" hidden="false" customHeight="false" outlineLevel="0" collapsed="false">
      <c r="B8" s="5" t="s">
        <v>39</v>
      </c>
      <c r="C8" s="15" t="n">
        <f aca="false">C6*C7</f>
        <v>25740</v>
      </c>
      <c r="E8" s="19" t="s">
        <v>40</v>
      </c>
    </row>
    <row r="10" customFormat="false" ht="15" hidden="false" customHeight="false" outlineLevel="0" collapsed="false">
      <c r="B10" s="3" t="s">
        <v>41</v>
      </c>
    </row>
    <row r="11" customFormat="false" ht="15" hidden="false" customHeight="false" outlineLevel="0" collapsed="false">
      <c r="B11" s="5" t="s">
        <v>42</v>
      </c>
      <c r="C11" s="14" t="n">
        <v>2200</v>
      </c>
      <c r="E11" s="19" t="s">
        <v>43</v>
      </c>
    </row>
    <row r="12" customFormat="false" ht="15" hidden="false" customHeight="false" outlineLevel="0" collapsed="false">
      <c r="B12" s="5" t="s">
        <v>44</v>
      </c>
      <c r="C12" s="15" t="n">
        <f aca="false">C11</f>
        <v>2200</v>
      </c>
      <c r="E12" s="19" t="s">
        <v>45</v>
      </c>
    </row>
    <row r="13" customFormat="false" ht="15" hidden="false" customHeight="false" outlineLevel="0" collapsed="false">
      <c r="B13" s="5" t="s">
        <v>46</v>
      </c>
      <c r="C13" s="14" t="n">
        <v>1140</v>
      </c>
      <c r="E13" s="19" t="s">
        <v>47</v>
      </c>
    </row>
    <row r="14" customFormat="false" ht="15" hidden="false" customHeight="false" outlineLevel="0" collapsed="false">
      <c r="B14" s="5" t="s">
        <v>48</v>
      </c>
      <c r="C14" s="15" t="n">
        <f aca="false">C13</f>
        <v>1140</v>
      </c>
      <c r="E14" s="19" t="s">
        <v>45</v>
      </c>
    </row>
    <row r="15" customFormat="false" ht="15" hidden="false" customHeight="false" outlineLevel="0" collapsed="false">
      <c r="B15" s="5" t="s">
        <v>49</v>
      </c>
      <c r="C15" s="14" t="n">
        <v>0</v>
      </c>
      <c r="E15" s="19" t="s">
        <v>50</v>
      </c>
    </row>
    <row r="16" customFormat="false" ht="15" hidden="false" customHeight="false" outlineLevel="0" collapsed="false">
      <c r="B16" s="5" t="s">
        <v>51</v>
      </c>
      <c r="C16" s="15" t="n">
        <f aca="false">C14-C15</f>
        <v>1140</v>
      </c>
    </row>
    <row r="17" customFormat="false" ht="15" hidden="false" customHeight="false" outlineLevel="0" collapsed="false">
      <c r="B17" s="5" t="s">
        <v>52</v>
      </c>
      <c r="C17" s="14" t="n">
        <v>961.85</v>
      </c>
      <c r="E17" s="19" t="s">
        <v>53</v>
      </c>
    </row>
    <row r="18" customFormat="false" ht="15" hidden="false" customHeight="false" outlineLevel="0" collapsed="false">
      <c r="B18" s="5" t="s">
        <v>54</v>
      </c>
      <c r="C18" s="14" t="n">
        <v>1300</v>
      </c>
      <c r="E18" s="19" t="s">
        <v>53</v>
      </c>
    </row>
    <row r="19" customFormat="false" ht="15" hidden="false" customHeight="false" outlineLevel="0" collapsed="false">
      <c r="B19" s="5" t="s">
        <v>55</v>
      </c>
      <c r="C19" s="15" t="n">
        <f aca="false">MAX(0,C17-C18)</f>
        <v>0</v>
      </c>
      <c r="E19" s="19" t="s">
        <v>56</v>
      </c>
    </row>
    <row r="20" customFormat="false" ht="15" hidden="false" customHeight="false" outlineLevel="0" collapsed="false">
      <c r="B20" s="5" t="s">
        <v>57</v>
      </c>
      <c r="C20" s="22" t="n">
        <v>0.25</v>
      </c>
      <c r="E20" s="19" t="s">
        <v>58</v>
      </c>
    </row>
    <row r="21" customFormat="false" ht="15" hidden="false" customHeight="false" outlineLevel="0" collapsed="false">
      <c r="B21" s="5" t="s">
        <v>59</v>
      </c>
      <c r="C21" s="15" t="n">
        <f aca="false">C19*(1-C20)</f>
        <v>0</v>
      </c>
    </row>
    <row r="22" customFormat="false" ht="15" hidden="false" customHeight="false" outlineLevel="0" collapsed="false">
      <c r="B22" s="5" t="s">
        <v>60</v>
      </c>
      <c r="C22" s="15" t="n">
        <f aca="false">C16+C21</f>
        <v>1140</v>
      </c>
    </row>
    <row r="23" customFormat="false" ht="15" hidden="false" customHeight="false" outlineLevel="0" collapsed="false">
      <c r="B23" s="5" t="s">
        <v>13</v>
      </c>
      <c r="C23" s="23" t="n">
        <f aca="false">C22/C12</f>
        <v>0.518181818181818</v>
      </c>
      <c r="E23" s="19" t="s">
        <v>61</v>
      </c>
    </row>
    <row r="24" customFormat="false" ht="15" hidden="false" customHeight="false" outlineLevel="0" collapsed="false">
      <c r="B24" s="5" t="s">
        <v>62</v>
      </c>
      <c r="C24" s="15" t="n">
        <f aca="false">C17</f>
        <v>961.85</v>
      </c>
      <c r="E24" s="19" t="s">
        <v>63</v>
      </c>
    </row>
    <row r="26" customFormat="false" ht="15" hidden="false" customHeight="false" outlineLevel="0" collapsed="false">
      <c r="B26" s="3" t="s">
        <v>64</v>
      </c>
    </row>
    <row r="27" customFormat="false" ht="15" hidden="false" customHeight="false" outlineLevel="0" collapsed="false">
      <c r="B27" s="5" t="s">
        <v>65</v>
      </c>
      <c r="C27" s="14" t="n">
        <v>150.34</v>
      </c>
      <c r="E27" s="19" t="s">
        <v>66</v>
      </c>
    </row>
    <row r="28" customFormat="false" ht="15" hidden="false" customHeight="false" outlineLevel="0" collapsed="false">
      <c r="B28" s="5" t="s">
        <v>67</v>
      </c>
      <c r="C28" s="14" t="n">
        <v>2060</v>
      </c>
      <c r="E28" s="19" t="s">
        <v>66</v>
      </c>
    </row>
    <row r="29" customFormat="false" ht="15" hidden="false" customHeight="false" outlineLevel="0" collapsed="false">
      <c r="B29" s="5" t="s">
        <v>68</v>
      </c>
      <c r="C29" s="15" t="n">
        <f aca="false">C27-C28</f>
        <v>-1909.66</v>
      </c>
    </row>
    <row r="31" customFormat="false" ht="15" hidden="false" customHeight="false" outlineLevel="0" collapsed="false">
      <c r="B31" s="3" t="s">
        <v>69</v>
      </c>
    </row>
    <row r="32" customFormat="false" ht="15" hidden="false" customHeight="false" outlineLevel="0" collapsed="false">
      <c r="B32" s="5" t="s">
        <v>70</v>
      </c>
      <c r="C32" s="24" t="n">
        <v>0.0521</v>
      </c>
      <c r="E32" s="19" t="s">
        <v>71</v>
      </c>
    </row>
    <row r="33" customFormat="false" ht="15" hidden="false" customHeight="false" outlineLevel="0" collapsed="false">
      <c r="B33" s="5" t="s">
        <v>72</v>
      </c>
      <c r="C33" s="24" t="n">
        <v>0.0288</v>
      </c>
      <c r="E33" s="19" t="s">
        <v>73</v>
      </c>
    </row>
    <row r="34" customFormat="false" ht="15" hidden="false" customHeight="false" outlineLevel="0" collapsed="false">
      <c r="B34" s="5" t="s">
        <v>74</v>
      </c>
      <c r="C34" s="25" t="n">
        <f aca="false">C32-C33</f>
        <v>0.0233</v>
      </c>
      <c r="E34" s="19" t="s">
        <v>75</v>
      </c>
    </row>
    <row r="35" customFormat="false" ht="15" hidden="false" customHeight="false" outlineLevel="0" collapsed="false">
      <c r="B35" s="5" t="s">
        <v>76</v>
      </c>
      <c r="C35" s="25" t="n">
        <f aca="false">C32</f>
        <v>0.0521</v>
      </c>
    </row>
    <row r="36" customFormat="false" ht="15" hidden="false" customHeight="false" outlineLevel="0" collapsed="false">
      <c r="B36" s="5" t="s">
        <v>77</v>
      </c>
      <c r="C36" s="24" t="n">
        <v>0.005</v>
      </c>
      <c r="E36" s="19" t="s">
        <v>78</v>
      </c>
    </row>
    <row r="37" customFormat="false" ht="15" hidden="false" customHeight="false" outlineLevel="0" collapsed="false">
      <c r="B37" s="5" t="s">
        <v>12</v>
      </c>
      <c r="C37" s="25" t="n">
        <f aca="false">MIN(C34+C36,C35)</f>
        <v>0.0283</v>
      </c>
      <c r="E37" s="19" t="s">
        <v>79</v>
      </c>
    </row>
    <row r="38" customFormat="false" ht="15" hidden="false" customHeight="false" outlineLevel="0" collapsed="false">
      <c r="B38" s="5" t="s">
        <v>80</v>
      </c>
      <c r="C38" s="24" t="n">
        <v>0.0423</v>
      </c>
      <c r="E38" s="19" t="s">
        <v>81</v>
      </c>
    </row>
    <row r="40" customFormat="false" ht="15" hidden="false" customHeight="false" outlineLevel="0" collapsed="false">
      <c r="B40" s="3" t="s">
        <v>82</v>
      </c>
    </row>
    <row r="41" customFormat="false" ht="15" hidden="false" customHeight="false" outlineLevel="0" collapsed="false">
      <c r="B41" s="5" t="s">
        <v>83</v>
      </c>
      <c r="C41" s="9" t="n">
        <f aca="false">History!$C$12</f>
        <v>0.17297723520777</v>
      </c>
      <c r="E41" s="19" t="s">
        <v>84</v>
      </c>
    </row>
    <row r="42" customFormat="false" ht="15" hidden="false" customHeight="false" outlineLevel="0" collapsed="false">
      <c r="B42" s="5" t="s">
        <v>85</v>
      </c>
      <c r="C42" s="22" t="n">
        <v>0.1213</v>
      </c>
      <c r="E42" s="19" t="s">
        <v>86</v>
      </c>
    </row>
    <row r="43" customFormat="false" ht="15" hidden="false" customHeight="false" outlineLevel="0" collapsed="false">
      <c r="B43" s="5" t="s">
        <v>87</v>
      </c>
      <c r="C43" s="23" t="n">
        <f aca="false">AVERAGE(C41:C42)</f>
        <v>0.147138617603885</v>
      </c>
      <c r="E43" s="19" t="s">
        <v>88</v>
      </c>
    </row>
    <row r="44" customFormat="false" ht="15" hidden="false" customHeight="false" outlineLevel="0" collapsed="false">
      <c r="B44" s="5" t="s">
        <v>89</v>
      </c>
      <c r="C44" s="22" t="n">
        <v>0.03</v>
      </c>
      <c r="E44" s="19" t="s">
        <v>90</v>
      </c>
    </row>
    <row r="45" customFormat="false" ht="15" hidden="false" customHeight="false" outlineLevel="0" collapsed="false">
      <c r="B45" s="5" t="s">
        <v>91</v>
      </c>
      <c r="C45" s="26" t="n">
        <v>0.147138617603885</v>
      </c>
      <c r="E45" s="19" t="s">
        <v>92</v>
      </c>
    </row>
    <row r="46" customFormat="false" ht="15" hidden="false" customHeight="false" outlineLevel="0" collapsed="false">
      <c r="B46" s="5" t="s">
        <v>93</v>
      </c>
      <c r="C46" s="27" t="n">
        <v>5</v>
      </c>
      <c r="E46" s="19" t="s">
        <v>94</v>
      </c>
    </row>
    <row r="47" customFormat="false" ht="15" hidden="false" customHeight="false" outlineLevel="0" collapsed="false">
      <c r="B47" s="5" t="s">
        <v>95</v>
      </c>
      <c r="C47" s="27" t="n">
        <v>5</v>
      </c>
      <c r="E47" s="19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7" min="3" style="0" width="13"/>
    <col collapsed="false" customWidth="true" hidden="false" outlineLevel="0" max="8" min="8" style="0" width="16"/>
    <col collapsed="false" customWidth="true" hidden="false" outlineLevel="0" max="9" min="9" style="0" width="60"/>
  </cols>
  <sheetData>
    <row r="2" customFormat="false" ht="19.7" hidden="false" customHeight="false" outlineLevel="0" collapsed="false">
      <c r="B2" s="1" t="s">
        <v>97</v>
      </c>
    </row>
    <row r="3" customFormat="false" ht="15" hidden="false" customHeight="false" outlineLevel="0" collapsed="false">
      <c r="B3" s="2" t="s">
        <v>98</v>
      </c>
    </row>
    <row r="5" customFormat="false" ht="15" hidden="false" customHeight="false" outlineLevel="0" collapsed="false">
      <c r="B5" s="28" t="s">
        <v>99</v>
      </c>
      <c r="C5" s="28" t="s">
        <v>100</v>
      </c>
      <c r="D5" s="28" t="s">
        <v>101</v>
      </c>
      <c r="E5" s="28" t="s">
        <v>102</v>
      </c>
      <c r="F5" s="28" t="s">
        <v>103</v>
      </c>
      <c r="G5" s="28" t="s">
        <v>104</v>
      </c>
      <c r="H5" s="28" t="s">
        <v>105</v>
      </c>
    </row>
    <row r="6" customFormat="false" ht="15" hidden="false" customHeight="false" outlineLevel="0" collapsed="false">
      <c r="B6" s="5" t="s">
        <v>106</v>
      </c>
      <c r="C6" s="14" t="n">
        <v>1075</v>
      </c>
      <c r="D6" s="14" t="n">
        <v>1187</v>
      </c>
      <c r="E6" s="14" t="n">
        <v>1336</v>
      </c>
      <c r="F6" s="14" t="n">
        <v>1722</v>
      </c>
      <c r="G6" s="14" t="n">
        <v>2050</v>
      </c>
      <c r="H6" s="14" t="n">
        <v>2204</v>
      </c>
    </row>
    <row r="7" customFormat="false" ht="15" hidden="false" customHeight="false" outlineLevel="0" collapsed="false">
      <c r="B7" s="5" t="s">
        <v>107</v>
      </c>
      <c r="D7" s="23" t="n">
        <f aca="false">D6/C6-1</f>
        <v>0.104186046511628</v>
      </c>
      <c r="E7" s="23" t="n">
        <f aca="false">E6/D6-1</f>
        <v>0.125526537489469</v>
      </c>
      <c r="F7" s="23" t="n">
        <f aca="false">F6/E6-1</f>
        <v>0.288922155688623</v>
      </c>
      <c r="G7" s="23" t="n">
        <f aca="false">G6/F6-1</f>
        <v>0.19047619047619</v>
      </c>
    </row>
    <row r="10" customFormat="false" ht="15" hidden="false" customHeight="false" outlineLevel="0" collapsed="false">
      <c r="B10" s="3" t="s">
        <v>108</v>
      </c>
    </row>
    <row r="11" customFormat="false" ht="15" hidden="false" customHeight="false" outlineLevel="0" collapsed="false">
      <c r="B11" s="5" t="s">
        <v>109</v>
      </c>
      <c r="C11" s="29" t="s">
        <v>100</v>
      </c>
      <c r="E11" s="5" t="s">
        <v>110</v>
      </c>
      <c r="G11" s="30" t="n">
        <v>4.5</v>
      </c>
    </row>
    <row r="12" customFormat="false" ht="15" hidden="false" customHeight="false" outlineLevel="0" collapsed="false">
      <c r="B12" s="5" t="s">
        <v>111</v>
      </c>
      <c r="C12" s="23" t="n">
        <f aca="false">(H6/INDEX(C6:H6,MATCH(C11,C5:H5,0)))^(1/G11)-1</f>
        <v>0.17297723520777</v>
      </c>
      <c r="I12" s="19" t="s">
        <v>84</v>
      </c>
    </row>
    <row r="15" customFormat="false" ht="15" hidden="false" customHeight="false" outlineLevel="0" collapsed="false">
      <c r="B15" s="3" t="s">
        <v>112</v>
      </c>
    </row>
    <row r="16" customFormat="false" ht="15" hidden="false" customHeight="false" outlineLevel="0" collapsed="false">
      <c r="B16" s="28" t="s">
        <v>99</v>
      </c>
      <c r="C16" s="28" t="s">
        <v>113</v>
      </c>
      <c r="D16" s="28" t="s">
        <v>114</v>
      </c>
      <c r="E16" s="28" t="s">
        <v>115</v>
      </c>
      <c r="F16" s="28" t="s">
        <v>116</v>
      </c>
      <c r="G16" s="28" t="s">
        <v>117</v>
      </c>
    </row>
    <row r="17" customFormat="false" ht="15" hidden="false" customHeight="false" outlineLevel="0" collapsed="false">
      <c r="B17" s="5" t="s">
        <v>118</v>
      </c>
      <c r="C17" s="22" t="n">
        <v>0.5213</v>
      </c>
      <c r="D17" s="22" t="n">
        <v>0.5128</v>
      </c>
      <c r="E17" s="22" t="n">
        <v>0.5437</v>
      </c>
      <c r="F17" s="22" t="n">
        <v>0.4964</v>
      </c>
      <c r="G17" s="22" t="n">
        <v>0.5492</v>
      </c>
      <c r="I17" s="19" t="s">
        <v>119</v>
      </c>
    </row>
    <row r="18" customFormat="false" ht="15" hidden="false" customHeight="false" outlineLevel="0" collapsed="false">
      <c r="B18" s="5" t="s">
        <v>120</v>
      </c>
      <c r="C18" s="23" t="n">
        <f aca="false">C17+(Inputs!$C$23-Inputs!$C$16/Inputs!$C$12)</f>
        <v>0.5213</v>
      </c>
      <c r="D18" s="23" t="n">
        <f aca="false">D17+(Inputs!$C$23-Inputs!$C$16/Inputs!$C$12)</f>
        <v>0.5128</v>
      </c>
      <c r="E18" s="23" t="n">
        <f aca="false">E17+(Inputs!$C$23-Inputs!$C$16/Inputs!$C$12)</f>
        <v>0.5437</v>
      </c>
      <c r="F18" s="23" t="n">
        <f aca="false">F17+(Inputs!$C$23-Inputs!$C$16/Inputs!$C$12)</f>
        <v>0.4964</v>
      </c>
      <c r="G18" s="23" t="n">
        <f aca="false">G17+(Inputs!$C$23-Inputs!$C$16/Inputs!$C$12)</f>
        <v>0.5492</v>
      </c>
    </row>
    <row r="19" customFormat="false" ht="15" hidden="false" customHeight="false" outlineLevel="0" collapsed="false">
      <c r="B19" s="5" t="s">
        <v>121</v>
      </c>
      <c r="C19" s="23" t="n">
        <f aca="false">MIN(C18:G18)</f>
        <v>0.4964</v>
      </c>
      <c r="D19" s="23" t="n">
        <f aca="false">MAX(C18:G18)</f>
        <v>0.5492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7" min="3" style="0" width="14"/>
    <col collapsed="false" customWidth="true" hidden="false" outlineLevel="0" max="8" min="8" style="0" width="60"/>
  </cols>
  <sheetData>
    <row r="2" customFormat="false" ht="19.7" hidden="false" customHeight="false" outlineLevel="0" collapsed="false">
      <c r="B2" s="1" t="s">
        <v>122</v>
      </c>
    </row>
    <row r="3" customFormat="false" ht="15" hidden="false" customHeight="false" outlineLevel="0" collapsed="false">
      <c r="B3" s="2" t="s">
        <v>123</v>
      </c>
    </row>
    <row r="5" customFormat="false" ht="15" hidden="false" customHeight="false" outlineLevel="0" collapsed="false">
      <c r="B5" s="28" t="s">
        <v>124</v>
      </c>
      <c r="C5" s="28" t="s">
        <v>125</v>
      </c>
      <c r="D5" s="28" t="s">
        <v>126</v>
      </c>
      <c r="E5" s="28" t="s">
        <v>127</v>
      </c>
      <c r="F5" s="28" t="s">
        <v>57</v>
      </c>
      <c r="G5" s="28" t="s">
        <v>128</v>
      </c>
    </row>
    <row r="6" customFormat="false" ht="15" hidden="false" customHeight="false" outlineLevel="0" collapsed="false">
      <c r="B6" s="5" t="s">
        <v>129</v>
      </c>
      <c r="C6" s="31" t="n">
        <v>0.937184629651022</v>
      </c>
      <c r="D6" s="14" t="n">
        <v>20530</v>
      </c>
      <c r="E6" s="14" t="n">
        <v>87470</v>
      </c>
      <c r="F6" s="22" t="n">
        <v>0.25</v>
      </c>
      <c r="G6" s="32" t="n">
        <f aca="false">C6/(1+(1-F6)*D6/E6)</f>
        <v>0.796904168523342</v>
      </c>
      <c r="H6" s="19" t="s">
        <v>130</v>
      </c>
    </row>
    <row r="7" customFormat="false" ht="15" hidden="false" customHeight="false" outlineLevel="0" collapsed="false">
      <c r="B7" s="5" t="s">
        <v>131</v>
      </c>
      <c r="C7" s="31" t="n">
        <v>0.239866317804515</v>
      </c>
      <c r="D7" s="14" t="n">
        <v>3870</v>
      </c>
      <c r="E7" s="14" t="n">
        <v>99970</v>
      </c>
      <c r="F7" s="22" t="n">
        <v>0.25</v>
      </c>
      <c r="G7" s="32" t="n">
        <f aca="false">C7/(1+(1-F7)*D7/E7)</f>
        <v>0.233098600606745</v>
      </c>
    </row>
    <row r="8" customFormat="false" ht="15" hidden="false" customHeight="false" outlineLevel="0" collapsed="false">
      <c r="B8" s="5" t="s">
        <v>132</v>
      </c>
      <c r="C8" s="31" t="n">
        <v>0.991894933766176</v>
      </c>
      <c r="D8" s="14" t="n">
        <v>9320</v>
      </c>
      <c r="E8" s="14" t="n">
        <v>52250</v>
      </c>
      <c r="F8" s="22" t="n">
        <v>0.25</v>
      </c>
      <c r="G8" s="32" t="n">
        <f aca="false">C8/(1+(1-F8)*D8/E8)</f>
        <v>0.874856689555751</v>
      </c>
    </row>
    <row r="9" customFormat="false" ht="15" hidden="false" customHeight="false" outlineLevel="0" collapsed="false">
      <c r="B9" s="5" t="s">
        <v>133</v>
      </c>
      <c r="C9" s="31" t="n">
        <v>0.41</v>
      </c>
      <c r="D9" s="14" t="n">
        <v>1580</v>
      </c>
      <c r="E9" s="14" t="n">
        <v>30520</v>
      </c>
      <c r="F9" s="22" t="n">
        <v>0.25</v>
      </c>
      <c r="G9" s="32" t="n">
        <f aca="false">C9/(1+(1-F9)*D9/E9)</f>
        <v>0.394675918624823</v>
      </c>
    </row>
    <row r="10" customFormat="false" ht="15" hidden="false" customHeight="false" outlineLevel="0" collapsed="false">
      <c r="B10" s="5" t="s">
        <v>134</v>
      </c>
      <c r="C10" s="31" t="n">
        <v>0.0712282477450855</v>
      </c>
      <c r="D10" s="14" t="n">
        <v>2070</v>
      </c>
      <c r="E10" s="14" t="n">
        <v>15010</v>
      </c>
      <c r="F10" s="22" t="n">
        <v>0.265</v>
      </c>
      <c r="G10" s="32" t="n">
        <f aca="false">C10/(1+(1-F10)*D10/E10)</f>
        <v>0.0646728507574189</v>
      </c>
    </row>
    <row r="11" customFormat="false" ht="15" hidden="false" customHeight="false" outlineLevel="0" collapsed="false">
      <c r="B11" s="7" t="s">
        <v>135</v>
      </c>
      <c r="C11" s="31" t="n">
        <v>0.611799852675033</v>
      </c>
      <c r="D11" s="14" t="n">
        <v>150.34</v>
      </c>
      <c r="E11" s="14" t="n">
        <v>25740</v>
      </c>
      <c r="F11" s="22" t="n">
        <v>0.25</v>
      </c>
      <c r="G11" s="32" t="n">
        <f aca="false">C11/(1+(1-F11)*D11/E11)</f>
        <v>0.609131529999621</v>
      </c>
    </row>
    <row r="12" customFormat="false" ht="15" hidden="false" customHeight="false" outlineLevel="0" collapsed="false">
      <c r="B12" s="5" t="s">
        <v>136</v>
      </c>
      <c r="C12" s="31" t="n">
        <v>0.798396426820285</v>
      </c>
      <c r="D12" s="14" t="n">
        <v>178.91</v>
      </c>
      <c r="E12" s="14" t="n">
        <v>5790</v>
      </c>
      <c r="F12" s="22" t="n">
        <v>0.25</v>
      </c>
      <c r="G12" s="32" t="n">
        <f aca="false">C12/(1+(1-F12)*D12/E12)</f>
        <v>0.780312779238224</v>
      </c>
    </row>
    <row r="14" customFormat="false" ht="15" hidden="false" customHeight="false" outlineLevel="0" collapsed="false">
      <c r="B14" s="5" t="s">
        <v>137</v>
      </c>
      <c r="C14" s="32" t="n">
        <f aca="false">MEDIAN(G6:G12)</f>
        <v>0.609131529999621</v>
      </c>
    </row>
    <row r="15" customFormat="false" ht="15" hidden="false" customHeight="false" outlineLevel="0" collapsed="false">
      <c r="B15" s="5" t="s">
        <v>126</v>
      </c>
      <c r="C15" s="16" t="n">
        <f aca="false">Inputs!$C$27</f>
        <v>150.34</v>
      </c>
    </row>
    <row r="16" customFormat="false" ht="15" hidden="false" customHeight="false" outlineLevel="0" collapsed="false">
      <c r="B16" s="5" t="s">
        <v>39</v>
      </c>
      <c r="C16" s="16" t="n">
        <f aca="false">Inputs!$C$8</f>
        <v>25740</v>
      </c>
    </row>
    <row r="17" customFormat="false" ht="15" hidden="false" customHeight="false" outlineLevel="0" collapsed="false">
      <c r="B17" s="5" t="s">
        <v>57</v>
      </c>
      <c r="C17" s="9" t="n">
        <f aca="false">Inputs!$C$20</f>
        <v>0.25</v>
      </c>
    </row>
    <row r="18" customFormat="false" ht="15" hidden="false" customHeight="false" outlineLevel="0" collapsed="false">
      <c r="B18" s="5" t="s">
        <v>138</v>
      </c>
      <c r="C18" s="32" t="n">
        <f aca="false">WACC!$C$14*(1+(1-WACC!$C$17)*WACC!$C$15/WACC!$C$16)</f>
        <v>0.611799852675033</v>
      </c>
      <c r="H18" s="19" t="s">
        <v>139</v>
      </c>
    </row>
    <row r="19" customFormat="false" ht="15" hidden="false" customHeight="false" outlineLevel="0" collapsed="false">
      <c r="B19" s="5" t="s">
        <v>140</v>
      </c>
      <c r="C19" s="12" t="n">
        <f aca="false">Inputs!$C$35</f>
        <v>0.0521</v>
      </c>
    </row>
    <row r="20" customFormat="false" ht="15" hidden="false" customHeight="false" outlineLevel="0" collapsed="false">
      <c r="B20" s="5" t="s">
        <v>80</v>
      </c>
      <c r="C20" s="12" t="n">
        <f aca="false">Inputs!$C$38</f>
        <v>0.0423</v>
      </c>
    </row>
    <row r="21" customFormat="false" ht="15" hidden="false" customHeight="false" outlineLevel="0" collapsed="false">
      <c r="B21" s="5" t="s">
        <v>141</v>
      </c>
      <c r="C21" s="25" t="n">
        <f aca="false">WACC!$C$19+WACC!$C$18*WACC!$C$20</f>
        <v>0.0779791337681539</v>
      </c>
      <c r="H21" s="19" t="s">
        <v>142</v>
      </c>
    </row>
    <row r="23" customFormat="false" ht="15" hidden="false" customHeight="false" outlineLevel="0" collapsed="false">
      <c r="B23" s="3" t="s">
        <v>143</v>
      </c>
    </row>
    <row r="24" customFormat="false" ht="15" hidden="false" customHeight="false" outlineLevel="0" collapsed="false">
      <c r="B24" s="28" t="s">
        <v>144</v>
      </c>
      <c r="C24" s="28" t="s">
        <v>145</v>
      </c>
    </row>
    <row r="25" customFormat="false" ht="15" hidden="false" customHeight="false" outlineLevel="0" collapsed="false">
      <c r="B25" s="33" t="n">
        <v>1</v>
      </c>
      <c r="C25" s="24" t="n">
        <v>0.01</v>
      </c>
      <c r="H25" s="19" t="s">
        <v>146</v>
      </c>
    </row>
    <row r="26" customFormat="false" ht="15" hidden="false" customHeight="false" outlineLevel="0" collapsed="false">
      <c r="B26" s="33" t="n">
        <v>2</v>
      </c>
      <c r="C26" s="24" t="n">
        <v>0.0125</v>
      </c>
    </row>
    <row r="27" customFormat="false" ht="15" hidden="false" customHeight="false" outlineLevel="0" collapsed="false">
      <c r="B27" s="33" t="n">
        <v>3</v>
      </c>
      <c r="C27" s="24" t="n">
        <v>0.016</v>
      </c>
    </row>
    <row r="28" customFormat="false" ht="15" hidden="false" customHeight="false" outlineLevel="0" collapsed="false">
      <c r="B28" s="33" t="n">
        <v>4</v>
      </c>
      <c r="C28" s="24" t="n">
        <v>0.02</v>
      </c>
    </row>
    <row r="29" customFormat="false" ht="15" hidden="false" customHeight="false" outlineLevel="0" collapsed="false">
      <c r="B29" s="33" t="n">
        <v>99</v>
      </c>
      <c r="C29" s="24" t="n">
        <v>0.0275</v>
      </c>
    </row>
    <row r="31" customFormat="false" ht="15" hidden="false" customHeight="false" outlineLevel="0" collapsed="false">
      <c r="B31" s="5" t="s">
        <v>147</v>
      </c>
      <c r="C31" s="34" t="n">
        <f aca="false">Inputs!$C$27/Inputs!$C$24</f>
        <v>0.156302957841659</v>
      </c>
    </row>
    <row r="32" customFormat="false" ht="15" hidden="false" customHeight="false" outlineLevel="0" collapsed="false">
      <c r="B32" s="5" t="s">
        <v>148</v>
      </c>
      <c r="C32" s="25" t="n">
        <f aca="false">INDEX(C25:C29,COUNTIF(B25:B29,"&lt;="&amp;WACC!$C$31)+1)</f>
        <v>0.01</v>
      </c>
      <c r="H32" s="19" t="s">
        <v>149</v>
      </c>
    </row>
    <row r="33" customFormat="false" ht="15" hidden="false" customHeight="false" outlineLevel="0" collapsed="false">
      <c r="B33" s="5" t="s">
        <v>150</v>
      </c>
      <c r="C33" s="25" t="n">
        <f aca="false">WACC!$C$19+WACC!$C$32</f>
        <v>0.0621</v>
      </c>
    </row>
    <row r="34" customFormat="false" ht="15" hidden="false" customHeight="false" outlineLevel="0" collapsed="false">
      <c r="B34" s="5" t="s">
        <v>151</v>
      </c>
      <c r="C34" s="25" t="n">
        <f aca="false">WACC!$C$33*(1-WACC!$C$17)</f>
        <v>0.046575</v>
      </c>
    </row>
    <row r="35" customFormat="false" ht="15" hidden="false" customHeight="false" outlineLevel="0" collapsed="false">
      <c r="B35" s="5" t="s">
        <v>152</v>
      </c>
      <c r="C35" s="23" t="n">
        <f aca="false">WACC!$C$15/(WACC!$C$15+WACC!$C$16)</f>
        <v>0.00580679898371362</v>
      </c>
      <c r="H35" s="19" t="s">
        <v>153</v>
      </c>
    </row>
    <row r="36" customFormat="false" ht="15" hidden="false" customHeight="false" outlineLevel="0" collapsed="false">
      <c r="B36" s="5" t="s">
        <v>154</v>
      </c>
      <c r="C36" s="23" t="n">
        <f aca="false">1-WACC!$C$35</f>
        <v>0.994193201016286</v>
      </c>
    </row>
    <row r="37" customFormat="false" ht="15" hidden="false" customHeight="false" outlineLevel="0" collapsed="false">
      <c r="B37" s="5" t="s">
        <v>11</v>
      </c>
      <c r="C37" s="35" t="n">
        <f aca="false">WACC!$C$36*WACC!$C$21+WACC!$C$35*WACC!$C$34</f>
        <v>0.0777967762761046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7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0"/>
    <col collapsed="false" customWidth="true" hidden="false" outlineLevel="0" max="20" min="4" style="0" width="11"/>
  </cols>
  <sheetData>
    <row r="1" customFormat="false" ht="15" hidden="false" customHeight="false" outlineLevel="0" collapsed="false">
      <c r="A1" s="3" t="s">
        <v>155</v>
      </c>
    </row>
    <row r="2" customFormat="false" ht="15" hidden="false" customHeight="false" outlineLevel="0" collapsed="false">
      <c r="B2" s="5" t="s">
        <v>156</v>
      </c>
      <c r="C2" s="16" t="n">
        <f aca="false">Inputs!$C$12</f>
        <v>2200</v>
      </c>
      <c r="D2" s="5" t="s">
        <v>157</v>
      </c>
      <c r="E2" s="9" t="n">
        <f aca="false">Inputs!$C$23</f>
        <v>0.518181818181818</v>
      </c>
      <c r="F2" s="5" t="s">
        <v>158</v>
      </c>
      <c r="G2" s="16" t="n">
        <f aca="false">Inputs!$C$27</f>
        <v>150.34</v>
      </c>
      <c r="H2" s="5" t="s">
        <v>159</v>
      </c>
      <c r="I2" s="16" t="n">
        <f aca="false">Inputs!$C$28</f>
        <v>2060</v>
      </c>
      <c r="J2" s="5" t="s">
        <v>160</v>
      </c>
      <c r="K2" s="36" t="n">
        <f aca="false">Inputs!$C$7</f>
        <v>234.03</v>
      </c>
      <c r="L2" s="5" t="s">
        <v>161</v>
      </c>
      <c r="M2" s="6" t="n">
        <f aca="false">Inputs!$C$6</f>
        <v>109.985899243687</v>
      </c>
      <c r="N2" s="5" t="s">
        <v>162</v>
      </c>
      <c r="O2" s="37" t="n">
        <f aca="false">Inputs!$C$46</f>
        <v>5</v>
      </c>
      <c r="P2" s="5" t="s">
        <v>163</v>
      </c>
      <c r="Q2" s="37" t="n">
        <f aca="false">Inputs!$C$47</f>
        <v>5</v>
      </c>
    </row>
    <row r="3" customFormat="false" ht="15" hidden="false" customHeight="false" outlineLevel="0" collapsed="false">
      <c r="D3" s="38" t="s">
        <v>164</v>
      </c>
      <c r="E3" s="39" t="n">
        <v>1</v>
      </c>
      <c r="F3" s="39" t="n">
        <v>2</v>
      </c>
      <c r="G3" s="39" t="n">
        <v>3</v>
      </c>
      <c r="H3" s="39" t="n">
        <v>4</v>
      </c>
      <c r="I3" s="39" t="n">
        <v>5</v>
      </c>
      <c r="J3" s="39" t="n">
        <v>6</v>
      </c>
      <c r="K3" s="39" t="n">
        <v>7</v>
      </c>
      <c r="L3" s="39" t="n">
        <v>8</v>
      </c>
      <c r="M3" s="39" t="n">
        <v>9</v>
      </c>
      <c r="N3" s="39" t="n">
        <v>10</v>
      </c>
    </row>
    <row r="4" customFormat="false" ht="15" hidden="false" customHeight="false" outlineLevel="0" collapsed="false">
      <c r="A4" s="19" t="s">
        <v>165</v>
      </c>
    </row>
    <row r="6" customFormat="false" ht="15" hidden="false" customHeight="false" outlineLevel="0" collapsed="false">
      <c r="A6" s="38" t="s">
        <v>166</v>
      </c>
      <c r="E6" s="5" t="s">
        <v>11</v>
      </c>
      <c r="F6" s="12" t="n">
        <f aca="false">WACC!$C$37</f>
        <v>0.0777967762761046</v>
      </c>
      <c r="G6" s="5" t="s">
        <v>12</v>
      </c>
      <c r="I6" s="12" t="n">
        <f aca="false">Inputs!$C$37</f>
        <v>0.0283</v>
      </c>
      <c r="W6" s="38" t="s">
        <v>167</v>
      </c>
    </row>
    <row r="7" customFormat="false" ht="23.85" hidden="false" customHeight="false" outlineLevel="0" collapsed="false">
      <c r="A7" s="38" t="s">
        <v>168</v>
      </c>
      <c r="B7" s="28" t="s">
        <v>169</v>
      </c>
      <c r="C7" s="28" t="s">
        <v>170</v>
      </c>
      <c r="D7" s="28" t="s">
        <v>171</v>
      </c>
      <c r="E7" s="28" t="s">
        <v>172</v>
      </c>
      <c r="F7" s="28" t="s">
        <v>173</v>
      </c>
      <c r="G7" s="28" t="s">
        <v>174</v>
      </c>
      <c r="H7" s="28" t="s">
        <v>175</v>
      </c>
      <c r="I7" s="28" t="s">
        <v>176</v>
      </c>
      <c r="J7" s="28" t="s">
        <v>177</v>
      </c>
      <c r="K7" s="28" t="s">
        <v>178</v>
      </c>
      <c r="L7" s="28" t="s">
        <v>179</v>
      </c>
      <c r="M7" s="28" t="s">
        <v>180</v>
      </c>
      <c r="N7" s="28" t="s">
        <v>181</v>
      </c>
      <c r="O7" s="28" t="s">
        <v>182</v>
      </c>
      <c r="P7" s="28" t="s">
        <v>183</v>
      </c>
      <c r="Q7" s="28" t="s">
        <v>184</v>
      </c>
      <c r="R7" s="28" t="s">
        <v>185</v>
      </c>
      <c r="S7" s="28" t="s">
        <v>186</v>
      </c>
      <c r="T7" s="28" t="s">
        <v>187</v>
      </c>
      <c r="W7" s="40" t="n">
        <f aca="false">$D$47</f>
        <v>0.0293463141656503</v>
      </c>
    </row>
    <row r="8" customFormat="false" ht="15" hidden="false" customHeight="false" outlineLevel="0" collapsed="false">
      <c r="A8" s="5" t="n">
        <v>1</v>
      </c>
      <c r="B8" s="24" t="n">
        <v>-0.5</v>
      </c>
      <c r="C8" s="24" t="n">
        <v>1</v>
      </c>
      <c r="D8" s="41" t="n">
        <f aca="false">(B8+C8)/2</f>
        <v>0.25</v>
      </c>
      <c r="E8" s="15" t="n">
        <f aca="false">$C$2*(1+IF(E$3&lt;=$O$2,$D8,$D8-($D8-$I$6)*MIN(E$3-$O$2,$Q$2)/$Q$2))</f>
        <v>2750</v>
      </c>
      <c r="F8" s="15" t="n">
        <f aca="false">E8*(1+IF(F$3&lt;=$O$2,$D8,$D8-($D8-$I$6)*MIN(F$3-$O$2,$Q$2)/$Q$2))</f>
        <v>3437.5</v>
      </c>
      <c r="G8" s="15" t="n">
        <f aca="false">F8*(1+IF(G$3&lt;=$O$2,$D8,$D8-($D8-$I$6)*MIN(G$3-$O$2,$Q$2)/$Q$2))</f>
        <v>4296.875</v>
      </c>
      <c r="H8" s="15" t="n">
        <f aca="false">G8*(1+IF(H$3&lt;=$O$2,$D8,$D8-($D8-$I$6)*MIN(H$3-$O$2,$Q$2)/$Q$2))</f>
        <v>5371.09375</v>
      </c>
      <c r="I8" s="15" t="n">
        <f aca="false">H8*(1+IF(I$3&lt;=$O$2,$D8,$D8-($D8-$I$6)*MIN(I$3-$O$2,$Q$2)/$Q$2))</f>
        <v>6713.8671875</v>
      </c>
      <c r="J8" s="15" t="n">
        <f aca="false">I8*(1+IF(J$3&lt;=$O$2,$D8,$D8-($D8-$I$6)*MIN(J$3-$O$2,$Q$2)/$Q$2))</f>
        <v>8094.64111328125</v>
      </c>
      <c r="K8" s="15" t="n">
        <f aca="false">J8*(1+IF(K$3&lt;=$O$2,$D8,$D8-($D8-$I$6)*MIN(K$3-$O$2,$Q$2)/$Q$2))</f>
        <v>9400.46861767578</v>
      </c>
      <c r="L8" s="15" t="n">
        <f aca="false">K8*(1+IF(L$3&lt;=$O$2,$D8,$D8-($D8-$I$6)*MIN(L$3-$O$2,$Q$2)/$Q$2))</f>
        <v>10500.1354365715</v>
      </c>
      <c r="M8" s="15" t="n">
        <f aca="false">L8*(1+IF(M$3&lt;=$O$2,$D8,$D8-($D8-$I$6)*MIN(M$3-$O$2,$Q$2)/$Q$2))</f>
        <v>11262.865274684</v>
      </c>
      <c r="N8" s="15" t="n">
        <f aca="false">M8*(1+IF(N$3&lt;=$O$2,$D8,$D8-($D8-$I$6)*MIN(N$3-$O$2,$Q$2)/$Q$2))</f>
        <v>11581.6043619576</v>
      </c>
      <c r="O8" s="15" t="n">
        <f aca="false">SUMPRODUCT(E8:N8,1/(1+$F$6)^$E$3:$N$3)*$E$2</f>
        <v>23446.3663191652</v>
      </c>
      <c r="P8" s="15" t="n">
        <f aca="false">N8*$E$2*(1+$I$6)/($F$6-$I$6)/(1+$F$6)^$N$3</f>
        <v>58942.0198394891</v>
      </c>
      <c r="Q8" s="15" t="n">
        <f aca="false">O8+P8</f>
        <v>82388.3861586542</v>
      </c>
      <c r="R8" s="15" t="n">
        <f aca="false">Q8-$G$2+$I$2</f>
        <v>84298.0461586542</v>
      </c>
      <c r="S8" s="42" t="n">
        <f aca="false">R8/$K$2</f>
        <v>360.201880778764</v>
      </c>
      <c r="T8" s="43" t="n">
        <f aca="false">S8-$M$2</f>
        <v>250.215981535078</v>
      </c>
      <c r="W8" s="5" t="str">
        <f aca="false">IF(OR(ABS(W7+0.5)&lt;0.000001,ABS(W7-1)&lt;0.000001),"Out of range","Solved")</f>
        <v>Solved</v>
      </c>
    </row>
    <row r="9" customFormat="false" ht="15" hidden="false" customHeight="false" outlineLevel="0" collapsed="false">
      <c r="A9" s="5" t="n">
        <v>2</v>
      </c>
      <c r="B9" s="25" t="n">
        <f aca="false">IF(T8&gt;0,B8,D8)</f>
        <v>-0.5</v>
      </c>
      <c r="C9" s="25" t="n">
        <f aca="false">IF(T8&gt;0,D8,C8)</f>
        <v>0.25</v>
      </c>
      <c r="D9" s="41" t="n">
        <f aca="false">(B9+C9)/2</f>
        <v>-0.125</v>
      </c>
      <c r="E9" s="15" t="n">
        <f aca="false">$C$2*(1+IF(E$3&lt;=$O$2,$D9,$D9-($D9-$I$6)*MIN(E$3-$O$2,$Q$2)/$Q$2))</f>
        <v>1925</v>
      </c>
      <c r="F9" s="15" t="n">
        <f aca="false">E9*(1+IF(F$3&lt;=$O$2,$D9,$D9-($D9-$I$6)*MIN(F$3-$O$2,$Q$2)/$Q$2))</f>
        <v>1684.375</v>
      </c>
      <c r="G9" s="15" t="n">
        <f aca="false">F9*(1+IF(G$3&lt;=$O$2,$D9,$D9-($D9-$I$6)*MIN(G$3-$O$2,$Q$2)/$Q$2))</f>
        <v>1473.828125</v>
      </c>
      <c r="H9" s="15" t="n">
        <f aca="false">G9*(1+IF(H$3&lt;=$O$2,$D9,$D9-($D9-$I$6)*MIN(H$3-$O$2,$Q$2)/$Q$2))</f>
        <v>1289.599609375</v>
      </c>
      <c r="I9" s="15" t="n">
        <f aca="false">H9*(1+IF(I$3&lt;=$O$2,$D9,$D9-($D9-$I$6)*MIN(I$3-$O$2,$Q$2)/$Q$2))</f>
        <v>1128.39965820313</v>
      </c>
      <c r="J9" s="15" t="n">
        <f aca="false">I9*(1+IF(J$3&lt;=$O$2,$D9,$D9-($D9-$I$6)*MIN(J$3-$O$2,$Q$2)/$Q$2))</f>
        <v>1021.94643444824</v>
      </c>
      <c r="K9" s="15" t="n">
        <f aca="false">J9*(1+IF(K$3&lt;=$O$2,$D9,$D9-($D9-$I$6)*MIN(K$3-$O$2,$Q$2)/$Q$2))</f>
        <v>956.868885502578</v>
      </c>
      <c r="L9" s="15" t="n">
        <f aca="false">K9*(1+IF(L$3&lt;=$O$2,$D9,$D9-($D9-$I$6)*MIN(L$3-$O$2,$Q$2)/$Q$2))</f>
        <v>925.273074903283</v>
      </c>
      <c r="M9" s="15" t="n">
        <f aca="false">L9*(1+IF(M$3&lt;=$O$2,$D9,$D9-($D9-$I$6)*MIN(M$3-$O$2,$Q$2)/$Q$2))</f>
        <v>923.089430446511</v>
      </c>
      <c r="N9" s="15" t="n">
        <f aca="false">M9*(1+IF(N$3&lt;=$O$2,$D9,$D9-($D9-$I$6)*MIN(N$3-$O$2,$Q$2)/$Q$2))</f>
        <v>949.212861328148</v>
      </c>
      <c r="O9" s="15" t="n">
        <f aca="false">SUMPRODUCT(E9:N9,1/(1+$F$6)^$E$3:$N$3)*$E$2</f>
        <v>4554.93950916648</v>
      </c>
      <c r="P9" s="15" t="n">
        <f aca="false">N9*$E$2*(1+$I$6)/($F$6-$I$6)/(1+$F$6)^$N$3</f>
        <v>4830.80940738033</v>
      </c>
      <c r="Q9" s="15" t="n">
        <f aca="false">O9+P9</f>
        <v>9385.74891654681</v>
      </c>
      <c r="R9" s="15" t="n">
        <f aca="false">Q9-$G$2+$I$2</f>
        <v>11295.4089165468</v>
      </c>
      <c r="S9" s="42" t="n">
        <f aca="false">R9/$K$2</f>
        <v>48.2647904821895</v>
      </c>
      <c r="T9" s="43" t="n">
        <f aca="false">S9-$M$2</f>
        <v>-61.7211087614972</v>
      </c>
    </row>
    <row r="10" customFormat="false" ht="15" hidden="false" customHeight="false" outlineLevel="0" collapsed="false">
      <c r="A10" s="5" t="n">
        <v>3</v>
      </c>
      <c r="B10" s="25" t="n">
        <f aca="false">IF(T9&gt;0,B9,D9)</f>
        <v>-0.125</v>
      </c>
      <c r="C10" s="25" t="n">
        <f aca="false">IF(T9&gt;0,D9,C9)</f>
        <v>0.25</v>
      </c>
      <c r="D10" s="41" t="n">
        <f aca="false">(B10+C10)/2</f>
        <v>0.0625</v>
      </c>
      <c r="E10" s="15" t="n">
        <f aca="false">$C$2*(1+IF(E$3&lt;=$O$2,$D10,$D10-($D10-$I$6)*MIN(E$3-$O$2,$Q$2)/$Q$2))</f>
        <v>2337.5</v>
      </c>
      <c r="F10" s="15" t="n">
        <f aca="false">E10*(1+IF(F$3&lt;=$O$2,$D10,$D10-($D10-$I$6)*MIN(F$3-$O$2,$Q$2)/$Q$2))</f>
        <v>2483.59375</v>
      </c>
      <c r="G10" s="15" t="n">
        <f aca="false">F10*(1+IF(G$3&lt;=$O$2,$D10,$D10-($D10-$I$6)*MIN(G$3-$O$2,$Q$2)/$Q$2))</f>
        <v>2638.818359375</v>
      </c>
      <c r="H10" s="15" t="n">
        <f aca="false">G10*(1+IF(H$3&lt;=$O$2,$D10,$D10-($D10-$I$6)*MIN(H$3-$O$2,$Q$2)/$Q$2))</f>
        <v>2803.74450683594</v>
      </c>
      <c r="I10" s="15" t="n">
        <f aca="false">H10*(1+IF(I$3&lt;=$O$2,$D10,$D10-($D10-$I$6)*MIN(I$3-$O$2,$Q$2)/$Q$2))</f>
        <v>2978.97853851318</v>
      </c>
      <c r="J10" s="15" t="n">
        <f aca="false">I10*(1+IF(J$3&lt;=$O$2,$D10,$D10-($D10-$I$6)*MIN(J$3-$O$2,$Q$2)/$Q$2))</f>
        <v>3144.78848396683</v>
      </c>
      <c r="K10" s="15" t="n">
        <f aca="false">J10*(1+IF(K$3&lt;=$O$2,$D10,$D10-($D10-$I$6)*MIN(K$3-$O$2,$Q$2)/$Q$2))</f>
        <v>3298.31705775409</v>
      </c>
      <c r="L10" s="15" t="n">
        <f aca="false">K10*(1+IF(L$3&lt;=$O$2,$D10,$D10-($D10-$I$6)*MIN(L$3-$O$2,$Q$2)/$Q$2))</f>
        <v>3436.78040783861</v>
      </c>
      <c r="M10" s="15" t="n">
        <f aca="false">L10*(1+IF(M$3&lt;=$O$2,$D10,$D10-($D10-$I$6)*MIN(M$3-$O$2,$Q$2)/$Q$2))</f>
        <v>3557.54887137005</v>
      </c>
      <c r="N10" s="15" t="n">
        <f aca="false">M10*(1+IF(N$3&lt;=$O$2,$D10,$D10-($D10-$I$6)*MIN(N$3-$O$2,$Q$2)/$Q$2))</f>
        <v>3658.22750442983</v>
      </c>
      <c r="O10" s="15" t="n">
        <f aca="false">SUMPRODUCT(E10:N10,1/(1+$F$6)^$E$3:$N$3)*$E$2</f>
        <v>10326.484422575</v>
      </c>
      <c r="P10" s="15" t="n">
        <f aca="false">N10*$E$2*(1+$I$6)/($F$6-$I$6)/(1+$F$6)^$N$3</f>
        <v>18617.7416707249</v>
      </c>
      <c r="Q10" s="15" t="n">
        <f aca="false">O10+P10</f>
        <v>28944.2260932999</v>
      </c>
      <c r="R10" s="15" t="n">
        <f aca="false">Q10-$G$2+$I$2</f>
        <v>30853.8860932999</v>
      </c>
      <c r="S10" s="42" t="n">
        <f aca="false">R10/$K$2</f>
        <v>131.837311854463</v>
      </c>
      <c r="T10" s="43" t="n">
        <f aca="false">S10-$M$2</f>
        <v>21.851412610776</v>
      </c>
    </row>
    <row r="11" customFormat="false" ht="15" hidden="false" customHeight="false" outlineLevel="0" collapsed="false">
      <c r="A11" s="5" t="n">
        <v>4</v>
      </c>
      <c r="B11" s="25" t="n">
        <f aca="false">IF(T10&gt;0,B10,D10)</f>
        <v>-0.125</v>
      </c>
      <c r="C11" s="25" t="n">
        <f aca="false">IF(T10&gt;0,D10,C10)</f>
        <v>0.0625</v>
      </c>
      <c r="D11" s="41" t="n">
        <f aca="false">(B11+C11)/2</f>
        <v>-0.03125</v>
      </c>
      <c r="E11" s="15" t="n">
        <f aca="false">$C$2*(1+IF(E$3&lt;=$O$2,$D11,$D11-($D11-$I$6)*MIN(E$3-$O$2,$Q$2)/$Q$2))</f>
        <v>2131.25</v>
      </c>
      <c r="F11" s="15" t="n">
        <f aca="false">E11*(1+IF(F$3&lt;=$O$2,$D11,$D11-($D11-$I$6)*MIN(F$3-$O$2,$Q$2)/$Q$2))</f>
        <v>2064.6484375</v>
      </c>
      <c r="G11" s="15" t="n">
        <f aca="false">F11*(1+IF(G$3&lt;=$O$2,$D11,$D11-($D11-$I$6)*MIN(G$3-$O$2,$Q$2)/$Q$2))</f>
        <v>2000.12817382813</v>
      </c>
      <c r="H11" s="15" t="n">
        <f aca="false">G11*(1+IF(H$3&lt;=$O$2,$D11,$D11-($D11-$I$6)*MIN(H$3-$O$2,$Q$2)/$Q$2))</f>
        <v>1937.624168396</v>
      </c>
      <c r="I11" s="15" t="n">
        <f aca="false">H11*(1+IF(I$3&lt;=$O$2,$D11,$D11-($D11-$I$6)*MIN(I$3-$O$2,$Q$2)/$Q$2))</f>
        <v>1877.07341313362</v>
      </c>
      <c r="J11" s="15" t="n">
        <f aca="false">I11*(1+IF(J$3&lt;=$O$2,$D11,$D11-($D11-$I$6)*MIN(J$3-$O$2,$Q$2)/$Q$2))</f>
        <v>1840.77081332362</v>
      </c>
      <c r="K11" s="15" t="n">
        <f aca="false">J11*(1+IF(K$3&lt;=$O$2,$D11,$D11-($D11-$I$6)*MIN(K$3-$O$2,$Q$2)/$Q$2))</f>
        <v>1827.09388618062</v>
      </c>
      <c r="L11" s="15" t="n">
        <f aca="false">K11*(1+IF(L$3&lt;=$O$2,$D11,$D11-($D11-$I$6)*MIN(L$3-$O$2,$Q$2)/$Q$2))</f>
        <v>1835.27926679071</v>
      </c>
      <c r="M11" s="15" t="n">
        <f aca="false">L11*(1+IF(M$3&lt;=$O$2,$D11,$D11-($D11-$I$6)*MIN(M$3-$O$2,$Q$2)/$Q$2))</f>
        <v>1865.35949397341</v>
      </c>
      <c r="N11" s="15" t="n">
        <f aca="false">M11*(1+IF(N$3&lt;=$O$2,$D11,$D11-($D11-$I$6)*MIN(N$3-$O$2,$Q$2)/$Q$2))</f>
        <v>1918.14916765286</v>
      </c>
      <c r="O11" s="15" t="n">
        <f aca="false">SUMPRODUCT(E11:N11,1/(1+$F$6)^$E$3:$N$3)*$E$2</f>
        <v>6839.82635185662</v>
      </c>
      <c r="P11" s="15" t="n">
        <f aca="false">N11*$E$2*(1+$I$6)/($F$6-$I$6)/(1+$F$6)^$N$3</f>
        <v>9761.99693595682</v>
      </c>
      <c r="Q11" s="15" t="n">
        <f aca="false">O11+P11</f>
        <v>16601.8232878134</v>
      </c>
      <c r="R11" s="15" t="n">
        <f aca="false">Q11-$G$2+$I$2</f>
        <v>18511.4832878134</v>
      </c>
      <c r="S11" s="42" t="n">
        <f aca="false">R11/$K$2</f>
        <v>79.0987620724413</v>
      </c>
      <c r="T11" s="43" t="n">
        <f aca="false">S11-$M$2</f>
        <v>-30.8871371712454</v>
      </c>
    </row>
    <row r="12" customFormat="false" ht="15" hidden="false" customHeight="false" outlineLevel="0" collapsed="false">
      <c r="A12" s="5" t="n">
        <v>5</v>
      </c>
      <c r="B12" s="25" t="n">
        <f aca="false">IF(T11&gt;0,B11,D11)</f>
        <v>-0.03125</v>
      </c>
      <c r="C12" s="25" t="n">
        <f aca="false">IF(T11&gt;0,D11,C11)</f>
        <v>0.0625</v>
      </c>
      <c r="D12" s="41" t="n">
        <f aca="false">(B12+C12)/2</f>
        <v>0.015625</v>
      </c>
      <c r="E12" s="15" t="n">
        <f aca="false">$C$2*(1+IF(E$3&lt;=$O$2,$D12,$D12-($D12-$I$6)*MIN(E$3-$O$2,$Q$2)/$Q$2))</f>
        <v>2234.375</v>
      </c>
      <c r="F12" s="15" t="n">
        <f aca="false">E12*(1+IF(F$3&lt;=$O$2,$D12,$D12-($D12-$I$6)*MIN(F$3-$O$2,$Q$2)/$Q$2))</f>
        <v>2269.287109375</v>
      </c>
      <c r="G12" s="15" t="n">
        <f aca="false">F12*(1+IF(G$3&lt;=$O$2,$D12,$D12-($D12-$I$6)*MIN(G$3-$O$2,$Q$2)/$Q$2))</f>
        <v>2304.74472045898</v>
      </c>
      <c r="H12" s="15" t="n">
        <f aca="false">G12*(1+IF(H$3&lt;=$O$2,$D12,$D12-($D12-$I$6)*MIN(H$3-$O$2,$Q$2)/$Q$2))</f>
        <v>2340.75635671616</v>
      </c>
      <c r="I12" s="15" t="n">
        <f aca="false">H12*(1+IF(I$3&lt;=$O$2,$D12,$D12-($D12-$I$6)*MIN(I$3-$O$2,$Q$2)/$Q$2))</f>
        <v>2377.33067478985</v>
      </c>
      <c r="J12" s="15" t="n">
        <f aca="false">I12*(1+IF(J$3&lt;=$O$2,$D12,$D12-($D12-$I$6)*MIN(J$3-$O$2,$Q$2)/$Q$2))</f>
        <v>2420.50299984403</v>
      </c>
      <c r="K12" s="15" t="n">
        <f aca="false">J12*(1+IF(K$3&lt;=$O$2,$D12,$D12-($D12-$I$6)*MIN(K$3-$O$2,$Q$2)/$Q$2))</f>
        <v>2470.5953094258</v>
      </c>
      <c r="L12" s="15" t="n">
        <f aca="false">K12*(1+IF(L$3&lt;=$O$2,$D12,$D12-($D12-$I$6)*MIN(L$3-$O$2,$Q$2)/$Q$2))</f>
        <v>2527.98723846376</v>
      </c>
      <c r="M12" s="15" t="n">
        <f aca="false">L12*(1+IF(M$3&lt;=$O$2,$D12,$D12-($D12-$I$6)*MIN(M$3-$O$2,$Q$2)/$Q$2))</f>
        <v>2593.12082966278</v>
      </c>
      <c r="N12" s="15" t="n">
        <f aca="false">M12*(1+IF(N$3&lt;=$O$2,$D12,$D12-($D12-$I$6)*MIN(N$3-$O$2,$Q$2)/$Q$2))</f>
        <v>2666.50614914224</v>
      </c>
      <c r="O12" s="15" t="n">
        <f aca="false">SUMPRODUCT(E12:N12,1/(1+$F$6)^$E$3:$N$3)*$E$2</f>
        <v>8401.40823448357</v>
      </c>
      <c r="P12" s="15" t="n">
        <f aca="false">N12*$E$2*(1+$I$6)/($F$6-$I$6)/(1+$F$6)^$N$3</f>
        <v>13570.5946631297</v>
      </c>
      <c r="Q12" s="15" t="n">
        <f aca="false">O12+P12</f>
        <v>21972.0028976133</v>
      </c>
      <c r="R12" s="15" t="n">
        <f aca="false">Q12-$G$2+$I$2</f>
        <v>23881.6628976133</v>
      </c>
      <c r="S12" s="42" t="n">
        <f aca="false">R12/$K$2</f>
        <v>102.045305719836</v>
      </c>
      <c r="T12" s="43" t="n">
        <f aca="false">S12-$M$2</f>
        <v>-7.9405935238505</v>
      </c>
    </row>
    <row r="13" customFormat="false" ht="15" hidden="false" customHeight="false" outlineLevel="0" collapsed="false">
      <c r="A13" s="5" t="n">
        <v>6</v>
      </c>
      <c r="B13" s="25" t="n">
        <f aca="false">IF(T12&gt;0,B12,D12)</f>
        <v>0.015625</v>
      </c>
      <c r="C13" s="25" t="n">
        <f aca="false">IF(T12&gt;0,D12,C12)</f>
        <v>0.0625</v>
      </c>
      <c r="D13" s="41" t="n">
        <f aca="false">(B13+C13)/2</f>
        <v>0.0390625</v>
      </c>
      <c r="E13" s="15" t="n">
        <f aca="false">$C$2*(1+IF(E$3&lt;=$O$2,$D13,$D13-($D13-$I$6)*MIN(E$3-$O$2,$Q$2)/$Q$2))</f>
        <v>2285.9375</v>
      </c>
      <c r="F13" s="15" t="n">
        <f aca="false">E13*(1+IF(F$3&lt;=$O$2,$D13,$D13-($D13-$I$6)*MIN(F$3-$O$2,$Q$2)/$Q$2))</f>
        <v>2375.23193359375</v>
      </c>
      <c r="G13" s="15" t="n">
        <f aca="false">F13*(1+IF(G$3&lt;=$O$2,$D13,$D13-($D13-$I$6)*MIN(G$3-$O$2,$Q$2)/$Q$2))</f>
        <v>2468.01443099976</v>
      </c>
      <c r="H13" s="15" t="n">
        <f aca="false">G13*(1+IF(H$3&lt;=$O$2,$D13,$D13-($D13-$I$6)*MIN(H$3-$O$2,$Q$2)/$Q$2))</f>
        <v>2564.42124471068</v>
      </c>
      <c r="I13" s="15" t="n">
        <f aca="false">H13*(1+IF(I$3&lt;=$O$2,$D13,$D13-($D13-$I$6)*MIN(I$3-$O$2,$Q$2)/$Q$2))</f>
        <v>2664.5939495822</v>
      </c>
      <c r="J13" s="15" t="n">
        <f aca="false">I13*(1+IF(J$3&lt;=$O$2,$D13,$D13-($D13-$I$6)*MIN(J$3-$O$2,$Q$2)/$Q$2))</f>
        <v>2762.94411226127</v>
      </c>
      <c r="K13" s="15" t="n">
        <f aca="false">J13*(1+IF(K$3&lt;=$O$2,$D13,$D13-($D13-$I$6)*MIN(K$3-$O$2,$Q$2)/$Q$2))</f>
        <v>2858.9771422432</v>
      </c>
      <c r="L13" s="15" t="n">
        <f aca="false">K13*(1+IF(L$3&lt;=$O$2,$D13,$D13-($D13-$I$6)*MIN(L$3-$O$2,$Q$2)/$Q$2))</f>
        <v>2952.19409196603</v>
      </c>
      <c r="M13" s="15" t="n">
        <f aca="false">L13*(1+IF(M$3&lt;=$O$2,$D13,$D13-($D13-$I$6)*MIN(M$3-$O$2,$Q$2)/$Q$2))</f>
        <v>3042.09578255163</v>
      </c>
      <c r="N13" s="15" t="n">
        <f aca="false">M13*(1+IF(N$3&lt;=$O$2,$D13,$D13-($D13-$I$6)*MIN(N$3-$O$2,$Q$2)/$Q$2))</f>
        <v>3128.18709319784</v>
      </c>
      <c r="O13" s="15" t="n">
        <f aca="false">SUMPRODUCT(E13:N13,1/(1+$F$6)^$E$3:$N$3)*$E$2</f>
        <v>9313.94277821675</v>
      </c>
      <c r="P13" s="15" t="n">
        <f aca="false">N13*$E$2*(1+$I$6)/($F$6-$I$6)/(1+$F$6)^$N$3</f>
        <v>15920.2179548236</v>
      </c>
      <c r="Q13" s="15" t="n">
        <f aca="false">O13+P13</f>
        <v>25234.1607330404</v>
      </c>
      <c r="R13" s="15" t="n">
        <f aca="false">Q13-$G$2+$I$2</f>
        <v>27143.8207330404</v>
      </c>
      <c r="S13" s="42" t="n">
        <f aca="false">R13/$K$2</f>
        <v>115.984364111611</v>
      </c>
      <c r="T13" s="43" t="n">
        <f aca="false">S13-$M$2</f>
        <v>5.99846486792441</v>
      </c>
    </row>
    <row r="14" customFormat="false" ht="15" hidden="false" customHeight="false" outlineLevel="0" collapsed="false">
      <c r="A14" s="5" t="n">
        <v>7</v>
      </c>
      <c r="B14" s="25" t="n">
        <f aca="false">IF(T13&gt;0,B13,D13)</f>
        <v>0.015625</v>
      </c>
      <c r="C14" s="25" t="n">
        <f aca="false">IF(T13&gt;0,D13,C13)</f>
        <v>0.0390625</v>
      </c>
      <c r="D14" s="41" t="n">
        <f aca="false">(B14+C14)/2</f>
        <v>0.02734375</v>
      </c>
      <c r="E14" s="15" t="n">
        <f aca="false">$C$2*(1+IF(E$3&lt;=$O$2,$D14,$D14-($D14-$I$6)*MIN(E$3-$O$2,$Q$2)/$Q$2))</f>
        <v>2260.15625</v>
      </c>
      <c r="F14" s="15" t="n">
        <f aca="false">E14*(1+IF(F$3&lt;=$O$2,$D14,$D14-($D14-$I$6)*MIN(F$3-$O$2,$Q$2)/$Q$2))</f>
        <v>2321.95739746094</v>
      </c>
      <c r="G14" s="15" t="n">
        <f aca="false">F14*(1+IF(G$3&lt;=$O$2,$D14,$D14-($D14-$I$6)*MIN(G$3-$O$2,$Q$2)/$Q$2))</f>
        <v>2385.44842004776</v>
      </c>
      <c r="H14" s="15" t="n">
        <f aca="false">G14*(1+IF(H$3&lt;=$O$2,$D14,$D14-($D14-$I$6)*MIN(H$3-$O$2,$Q$2)/$Q$2))</f>
        <v>2450.67552528344</v>
      </c>
      <c r="I14" s="15" t="n">
        <f aca="false">H14*(1+IF(I$3&lt;=$O$2,$D14,$D14-($D14-$I$6)*MIN(I$3-$O$2,$Q$2)/$Q$2))</f>
        <v>2517.68618417791</v>
      </c>
      <c r="J14" s="15" t="n">
        <f aca="false">I14*(1+IF(J$3&lt;=$O$2,$D14,$D14-($D14-$I$6)*MIN(J$3-$O$2,$Q$2)/$Q$2))</f>
        <v>2587.01067325925</v>
      </c>
      <c r="K14" s="15" t="n">
        <f aca="false">J14*(1+IF(K$3&lt;=$O$2,$D14,$D14-($D14-$I$6)*MIN(K$3-$O$2,$Q$2)/$Q$2))</f>
        <v>2658.7387779387</v>
      </c>
      <c r="L14" s="15" t="n">
        <f aca="false">K14*(1+IF(L$3&lt;=$O$2,$D14,$D14-($D14-$I$6)*MIN(L$3-$O$2,$Q$2)/$Q$2))</f>
        <v>2732.96411777181</v>
      </c>
      <c r="M14" s="15" t="n">
        <f aca="false">L14*(1+IF(M$3&lt;=$O$2,$D14,$D14-($D14-$I$6)*MIN(M$3-$O$2,$Q$2)/$Q$2))</f>
        <v>2809.78432291723</v>
      </c>
      <c r="N14" s="15" t="n">
        <f aca="false">M14*(1+IF(N$3&lt;=$O$2,$D14,$D14-($D14-$I$6)*MIN(N$3-$O$2,$Q$2)/$Q$2))</f>
        <v>2889.30121925578</v>
      </c>
      <c r="O14" s="15" t="n">
        <f aca="false">SUMPRODUCT(E14:N14,1/(1+$F$6)^$E$3:$N$3)*$E$2</f>
        <v>8845.77605970948</v>
      </c>
      <c r="P14" s="15" t="n">
        <f aca="false">N14*$E$2*(1+$I$6)/($F$6-$I$6)/(1+$F$6)^$N$3</f>
        <v>14704.4610112073</v>
      </c>
      <c r="Q14" s="15" t="n">
        <f aca="false">O14+P14</f>
        <v>23550.2370709168</v>
      </c>
      <c r="R14" s="15" t="n">
        <f aca="false">Q14-$G$2+$I$2</f>
        <v>25459.8970709168</v>
      </c>
      <c r="S14" s="42" t="n">
        <f aca="false">R14/$K$2</f>
        <v>108.789031623795</v>
      </c>
      <c r="T14" s="43" t="n">
        <f aca="false">S14-$M$2</f>
        <v>-1.19686761989145</v>
      </c>
    </row>
    <row r="15" customFormat="false" ht="15" hidden="false" customHeight="false" outlineLevel="0" collapsed="false">
      <c r="A15" s="5" t="n">
        <v>8</v>
      </c>
      <c r="B15" s="25" t="n">
        <f aca="false">IF(T14&gt;0,B14,D14)</f>
        <v>0.02734375</v>
      </c>
      <c r="C15" s="25" t="n">
        <f aca="false">IF(T14&gt;0,D14,C14)</f>
        <v>0.0390625</v>
      </c>
      <c r="D15" s="41" t="n">
        <f aca="false">(B15+C15)/2</f>
        <v>0.033203125</v>
      </c>
      <c r="E15" s="15" t="n">
        <f aca="false">$C$2*(1+IF(E$3&lt;=$O$2,$D15,$D15-($D15-$I$6)*MIN(E$3-$O$2,$Q$2)/$Q$2))</f>
        <v>2273.046875</v>
      </c>
      <c r="F15" s="15" t="n">
        <f aca="false">E15*(1+IF(F$3&lt;=$O$2,$D15,$D15-($D15-$I$6)*MIN(F$3-$O$2,$Q$2)/$Q$2))</f>
        <v>2348.51913452148</v>
      </c>
      <c r="G15" s="15" t="n">
        <f aca="false">F15*(1+IF(G$3&lt;=$O$2,$D15,$D15-($D15-$I$6)*MIN(G$3-$O$2,$Q$2)/$Q$2))</f>
        <v>2426.49730890989</v>
      </c>
      <c r="H15" s="15" t="n">
        <f aca="false">G15*(1+IF(H$3&lt;=$O$2,$D15,$D15-($D15-$I$6)*MIN(H$3-$O$2,$Q$2)/$Q$2))</f>
        <v>2507.06460236979</v>
      </c>
      <c r="I15" s="15" t="n">
        <f aca="false">H15*(1+IF(I$3&lt;=$O$2,$D15,$D15-($D15-$I$6)*MIN(I$3-$O$2,$Q$2)/$Q$2))</f>
        <v>2590.30698174535</v>
      </c>
      <c r="J15" s="15" t="n">
        <f aca="false">I15*(1+IF(J$3&lt;=$O$2,$D15,$D15-($D15-$I$6)*MIN(J$3-$O$2,$Q$2)/$Q$2))</f>
        <v>2673.77314846464</v>
      </c>
      <c r="K15" s="15" t="n">
        <f aca="false">J15*(1+IF(K$3&lt;=$O$2,$D15,$D15-($D15-$I$6)*MIN(K$3-$O$2,$Q$2)/$Q$2))</f>
        <v>2757.30683494733</v>
      </c>
      <c r="L15" s="15" t="n">
        <f aca="false">K15*(1+IF(L$3&lt;=$O$2,$D15,$D15-($D15-$I$6)*MIN(L$3-$O$2,$Q$2)/$Q$2))</f>
        <v>2840.74638640638</v>
      </c>
      <c r="M15" s="15" t="n">
        <f aca="false">L15*(1+IF(M$3&lt;=$O$2,$D15,$D15-($D15-$I$6)*MIN(M$3-$O$2,$Q$2)/$Q$2))</f>
        <v>2923.92521606685</v>
      </c>
      <c r="N15" s="15" t="n">
        <f aca="false">M15*(1+IF(N$3&lt;=$O$2,$D15,$D15-($D15-$I$6)*MIN(N$3-$O$2,$Q$2)/$Q$2))</f>
        <v>3006.67229968154</v>
      </c>
      <c r="O15" s="15" t="n">
        <f aca="false">SUMPRODUCT(E15:N15,1/(1+$F$6)^$E$3:$N$3)*$E$2</f>
        <v>9076.81136384712</v>
      </c>
      <c r="P15" s="15" t="n">
        <f aca="false">N15*$E$2*(1+$I$6)/($F$6-$I$6)/(1+$F$6)^$N$3</f>
        <v>15301.7952262977</v>
      </c>
      <c r="Q15" s="15" t="n">
        <f aca="false">O15+P15</f>
        <v>24378.6065901448</v>
      </c>
      <c r="R15" s="15" t="n">
        <f aca="false">Q15-$G$2+$I$2</f>
        <v>26288.2665901448</v>
      </c>
      <c r="S15" s="42" t="n">
        <f aca="false">R15/$K$2</f>
        <v>112.328618511066</v>
      </c>
      <c r="T15" s="43" t="n">
        <f aca="false">S15-$M$2</f>
        <v>2.34271926737954</v>
      </c>
    </row>
    <row r="16" customFormat="false" ht="15" hidden="false" customHeight="false" outlineLevel="0" collapsed="false">
      <c r="A16" s="5" t="n">
        <v>9</v>
      </c>
      <c r="B16" s="25" t="n">
        <f aca="false">IF(T15&gt;0,B15,D15)</f>
        <v>0.02734375</v>
      </c>
      <c r="C16" s="25" t="n">
        <f aca="false">IF(T15&gt;0,D15,C15)</f>
        <v>0.033203125</v>
      </c>
      <c r="D16" s="41" t="n">
        <f aca="false">(B16+C16)/2</f>
        <v>0.0302734375</v>
      </c>
      <c r="E16" s="15" t="n">
        <f aca="false">$C$2*(1+IF(E$3&lt;=$O$2,$D16,$D16-($D16-$I$6)*MIN(E$3-$O$2,$Q$2)/$Q$2))</f>
        <v>2266.6015625</v>
      </c>
      <c r="F16" s="15" t="n">
        <f aca="false">E16*(1+IF(F$3&lt;=$O$2,$D16,$D16-($D16-$I$6)*MIN(F$3-$O$2,$Q$2)/$Q$2))</f>
        <v>2335.21938323975</v>
      </c>
      <c r="G16" s="15" t="n">
        <f aca="false">F16*(1+IF(G$3&lt;=$O$2,$D16,$D16-($D16-$I$6)*MIN(G$3-$O$2,$Q$2)/$Q$2))</f>
        <v>2405.91450128704</v>
      </c>
      <c r="H16" s="15" t="n">
        <f aca="false">G16*(1+IF(H$3&lt;=$O$2,$D16,$D16-($D16-$I$6)*MIN(H$3-$O$2,$Q$2)/$Q$2))</f>
        <v>2478.7498035721</v>
      </c>
      <c r="I16" s="15" t="n">
        <f aca="false">H16*(1+IF(I$3&lt;=$O$2,$D16,$D16-($D16-$I$6)*MIN(I$3-$O$2,$Q$2)/$Q$2))</f>
        <v>2553.79008082868</v>
      </c>
      <c r="J16" s="15" t="n">
        <f aca="false">I16*(1+IF(J$3&lt;=$O$2,$D16,$D16-($D16-$I$6)*MIN(J$3-$O$2,$Q$2)/$Q$2))</f>
        <v>2630.09413620624</v>
      </c>
      <c r="K16" s="15" t="n">
        <f aca="false">J16*(1+IF(K$3&lt;=$O$2,$D16,$D16-($D16-$I$6)*MIN(K$3-$O$2,$Q$2)/$Q$2))</f>
        <v>2707.63999609902</v>
      </c>
      <c r="L16" s="15" t="n">
        <f aca="false">K16*(1+IF(L$3&lt;=$O$2,$D16,$D16-($D16-$I$6)*MIN(L$3-$O$2,$Q$2)/$Q$2))</f>
        <v>2786.40355131055</v>
      </c>
      <c r="M16" s="15" t="n">
        <f aca="false">L16*(1+IF(M$3&lt;=$O$2,$D16,$D16-($D16-$I$6)*MIN(M$3-$O$2,$Q$2)/$Q$2))</f>
        <v>2866.35853046429</v>
      </c>
      <c r="N16" s="15" t="n">
        <f aca="false">M16*(1+IF(N$3&lt;=$O$2,$D16,$D16-($D16-$I$6)*MIN(N$3-$O$2,$Q$2)/$Q$2))</f>
        <v>2947.47647687643</v>
      </c>
      <c r="O16" s="15" t="n">
        <f aca="false">SUMPRODUCT(E16:N16,1/(1+$F$6)^$E$3:$N$3)*$E$2</f>
        <v>8960.54096896572</v>
      </c>
      <c r="P16" s="15" t="n">
        <f aca="false">N16*$E$2*(1+$I$6)/($F$6-$I$6)/(1+$F$6)^$N$3</f>
        <v>15000.5311480967</v>
      </c>
      <c r="Q16" s="15" t="n">
        <f aca="false">O16+P16</f>
        <v>23961.0721170625</v>
      </c>
      <c r="R16" s="15" t="n">
        <f aca="false">Q16-$G$2+$I$2</f>
        <v>25870.7321170625</v>
      </c>
      <c r="S16" s="42" t="n">
        <f aca="false">R16/$K$2</f>
        <v>110.544511887632</v>
      </c>
      <c r="T16" s="43" t="n">
        <f aca="false">S16-$M$2</f>
        <v>0.558612643945068</v>
      </c>
    </row>
    <row r="17" customFormat="false" ht="15" hidden="false" customHeight="false" outlineLevel="0" collapsed="false">
      <c r="A17" s="5" t="n">
        <v>10</v>
      </c>
      <c r="B17" s="25" t="n">
        <f aca="false">IF(T16&gt;0,B16,D16)</f>
        <v>0.02734375</v>
      </c>
      <c r="C17" s="25" t="n">
        <f aca="false">IF(T16&gt;0,D16,C16)</f>
        <v>0.0302734375</v>
      </c>
      <c r="D17" s="41" t="n">
        <f aca="false">(B17+C17)/2</f>
        <v>0.02880859375</v>
      </c>
      <c r="E17" s="15" t="n">
        <f aca="false">$C$2*(1+IF(E$3&lt;=$O$2,$D17,$D17-($D17-$I$6)*MIN(E$3-$O$2,$Q$2)/$Q$2))</f>
        <v>2263.37890625</v>
      </c>
      <c r="F17" s="15" t="n">
        <f aca="false">E17*(1+IF(F$3&lt;=$O$2,$D17,$D17-($D17-$I$6)*MIN(F$3-$O$2,$Q$2)/$Q$2))</f>
        <v>2328.58366966248</v>
      </c>
      <c r="G17" s="15" t="n">
        <f aca="false">F17*(1+IF(G$3&lt;=$O$2,$D17,$D17-($D17-$I$6)*MIN(G$3-$O$2,$Q$2)/$Q$2))</f>
        <v>2395.66689061467</v>
      </c>
      <c r="H17" s="15" t="n">
        <f aca="false">G17*(1+IF(H$3&lt;=$O$2,$D17,$D17-($D17-$I$6)*MIN(H$3-$O$2,$Q$2)/$Q$2))</f>
        <v>2464.68268482671</v>
      </c>
      <c r="I17" s="15" t="n">
        <f aca="false">H17*(1+IF(I$3&lt;=$O$2,$D17,$D17-($D17-$I$6)*MIN(I$3-$O$2,$Q$2)/$Q$2))</f>
        <v>2535.68672701654</v>
      </c>
      <c r="J17" s="15" t="n">
        <f aca="false">I17*(1+IF(J$3&lt;=$O$2,$D17,$D17-($D17-$I$6)*MIN(J$3-$O$2,$Q$2)/$Q$2))</f>
        <v>2608.47836892816</v>
      </c>
      <c r="K17" s="15" t="n">
        <f aca="false">J17*(1+IF(K$3&lt;=$O$2,$D17,$D17-($D17-$I$6)*MIN(K$3-$O$2,$Q$2)/$Q$2))</f>
        <v>2683.0943002461</v>
      </c>
      <c r="L17" s="15" t="n">
        <f aca="false">K17*(1+IF(L$3&lt;=$O$2,$D17,$D17-($D17-$I$6)*MIN(L$3-$O$2,$Q$2)/$Q$2))</f>
        <v>2759.57171093977</v>
      </c>
      <c r="M17" s="15" t="n">
        <f aca="false">L17*(1+IF(M$3&lt;=$O$2,$D17,$D17-($D17-$I$6)*MIN(M$3-$O$2,$Q$2)/$Q$2))</f>
        <v>2837.94829054434</v>
      </c>
      <c r="N17" s="15" t="n">
        <f aca="false">M17*(1+IF(N$3&lt;=$O$2,$D17,$D17-($D17-$I$6)*MIN(N$3-$O$2,$Q$2)/$Q$2))</f>
        <v>2918.26222716674</v>
      </c>
      <c r="O17" s="15" t="n">
        <f aca="false">SUMPRODUCT(E17:N17,1/(1+$F$6)^$E$3:$N$3)*$E$2</f>
        <v>8902.97147676497</v>
      </c>
      <c r="P17" s="15" t="n">
        <f aca="false">N17*$E$2*(1+$I$6)/($F$6-$I$6)/(1+$F$6)^$N$3</f>
        <v>14851.8516705245</v>
      </c>
      <c r="Q17" s="15" t="n">
        <f aca="false">O17+P17</f>
        <v>23754.8231472895</v>
      </c>
      <c r="R17" s="15" t="n">
        <f aca="false">Q17-$G$2+$I$2</f>
        <v>25664.4831472895</v>
      </c>
      <c r="S17" s="42" t="n">
        <f aca="false">R17/$K$2</f>
        <v>109.663219020166</v>
      </c>
      <c r="T17" s="43" t="n">
        <f aca="false">S17-$M$2</f>
        <v>-0.322680223520692</v>
      </c>
    </row>
    <row r="18" customFormat="false" ht="15" hidden="false" customHeight="false" outlineLevel="0" collapsed="false">
      <c r="A18" s="5" t="n">
        <v>11</v>
      </c>
      <c r="B18" s="25" t="n">
        <f aca="false">IF(T17&gt;0,B17,D17)</f>
        <v>0.02880859375</v>
      </c>
      <c r="C18" s="25" t="n">
        <f aca="false">IF(T17&gt;0,D17,C17)</f>
        <v>0.0302734375</v>
      </c>
      <c r="D18" s="41" t="n">
        <f aca="false">(B18+C18)/2</f>
        <v>0.029541015625</v>
      </c>
      <c r="E18" s="15" t="n">
        <f aca="false">$C$2*(1+IF(E$3&lt;=$O$2,$D18,$D18-($D18-$I$6)*MIN(E$3-$O$2,$Q$2)/$Q$2))</f>
        <v>2264.990234375</v>
      </c>
      <c r="F18" s="15" t="n">
        <f aca="false">E18*(1+IF(F$3&lt;=$O$2,$D18,$D18-($D18-$I$6)*MIN(F$3-$O$2,$Q$2)/$Q$2))</f>
        <v>2331.90034627914</v>
      </c>
      <c r="G18" s="15" t="n">
        <f aca="false">F18*(1+IF(G$3&lt;=$O$2,$D18,$D18-($D18-$I$6)*MIN(G$3-$O$2,$Q$2)/$Q$2))</f>
        <v>2400.78705084452</v>
      </c>
      <c r="H18" s="15" t="n">
        <f aca="false">G18*(1+IF(H$3&lt;=$O$2,$D18,$D18-($D18-$I$6)*MIN(H$3-$O$2,$Q$2)/$Q$2))</f>
        <v>2471.70873862582</v>
      </c>
      <c r="I18" s="15" t="n">
        <f aca="false">H18*(1+IF(I$3&lt;=$O$2,$D18,$D18-($D18-$I$6)*MIN(I$3-$O$2,$Q$2)/$Q$2))</f>
        <v>2544.72552509401</v>
      </c>
      <c r="J18" s="15" t="n">
        <f aca="false">I18*(1+IF(J$3&lt;=$O$2,$D18,$D18-($D18-$I$6)*MIN(J$3-$O$2,$Q$2)/$Q$2))</f>
        <v>2619.26769276455</v>
      </c>
      <c r="K18" s="15" t="n">
        <f aca="false">J18*(1+IF(K$3&lt;=$O$2,$D18,$D18-($D18-$I$6)*MIN(K$3-$O$2,$Q$2)/$Q$2))</f>
        <v>2695.34329974946</v>
      </c>
      <c r="L18" s="15" t="n">
        <f aca="false">K18*(1+IF(L$3&lt;=$O$2,$D18,$D18-($D18-$I$6)*MIN(L$3-$O$2,$Q$2)/$Q$2))</f>
        <v>2772.95950039226</v>
      </c>
      <c r="M18" s="15" t="n">
        <f aca="false">L18*(1+IF(M$3&lt;=$O$2,$D18,$D18-($D18-$I$6)*MIN(M$3-$O$2,$Q$2)/$Q$2))</f>
        <v>2852.12251146685</v>
      </c>
      <c r="N18" s="15" t="n">
        <f aca="false">M18*(1+IF(N$3&lt;=$O$2,$D18,$D18-($D18-$I$6)*MIN(N$3-$O$2,$Q$2)/$Q$2))</f>
        <v>2932.83757854137</v>
      </c>
      <c r="O18" s="15" t="n">
        <f aca="false">SUMPRODUCT(E18:N18,1/(1+$F$6)^$E$3:$N$3)*$E$2</f>
        <v>8931.70932043262</v>
      </c>
      <c r="P18" s="15" t="n">
        <f aca="false">N18*$E$2*(1+$I$6)/($F$6-$I$6)/(1+$F$6)^$N$3</f>
        <v>14926.0297051941</v>
      </c>
      <c r="Q18" s="15" t="n">
        <f aca="false">O18+P18</f>
        <v>23857.7390256267</v>
      </c>
      <c r="R18" s="15" t="n">
        <f aca="false">Q18-$G$2+$I$2</f>
        <v>25767.3990256267</v>
      </c>
      <c r="S18" s="42" t="n">
        <f aca="false">R18/$K$2</f>
        <v>110.102974087197</v>
      </c>
      <c r="T18" s="43" t="n">
        <f aca="false">S18-$M$2</f>
        <v>0.117074843510125</v>
      </c>
    </row>
    <row r="19" customFormat="false" ht="15" hidden="false" customHeight="false" outlineLevel="0" collapsed="false">
      <c r="A19" s="5" t="n">
        <v>12</v>
      </c>
      <c r="B19" s="25" t="n">
        <f aca="false">IF(T18&gt;0,B18,D18)</f>
        <v>0.02880859375</v>
      </c>
      <c r="C19" s="25" t="n">
        <f aca="false">IF(T18&gt;0,D18,C18)</f>
        <v>0.029541015625</v>
      </c>
      <c r="D19" s="41" t="n">
        <f aca="false">(B19+C19)/2</f>
        <v>0.0291748046875</v>
      </c>
      <c r="E19" s="15" t="n">
        <f aca="false">$C$2*(1+IF(E$3&lt;=$O$2,$D19,$D19-($D19-$I$6)*MIN(E$3-$O$2,$Q$2)/$Q$2))</f>
        <v>2264.1845703125</v>
      </c>
      <c r="F19" s="15" t="n">
        <f aca="false">E19*(1+IF(F$3&lt;=$O$2,$D19,$D19-($D19-$I$6)*MIN(F$3-$O$2,$Q$2)/$Q$2))</f>
        <v>2330.24171292782</v>
      </c>
      <c r="G19" s="15" t="n">
        <f aca="false">F19*(1+IF(G$3&lt;=$O$2,$D19,$D19-($D19-$I$6)*MIN(G$3-$O$2,$Q$2)/$Q$2))</f>
        <v>2398.22605977715</v>
      </c>
      <c r="H19" s="15" t="n">
        <f aca="false">G19*(1+IF(H$3&lt;=$O$2,$D19,$D19-($D19-$I$6)*MIN(H$3-$O$2,$Q$2)/$Q$2))</f>
        <v>2468.19383666762</v>
      </c>
      <c r="I19" s="15" t="n">
        <f aca="false">H19*(1+IF(I$3&lt;=$O$2,$D19,$D19-($D19-$I$6)*MIN(I$3-$O$2,$Q$2)/$Q$2))</f>
        <v>2540.20290978329</v>
      </c>
      <c r="J19" s="15" t="n">
        <f aca="false">I19*(1+IF(J$3&lt;=$O$2,$D19,$D19-($D19-$I$6)*MIN(J$3-$O$2,$Q$2)/$Q$2))</f>
        <v>2613.8683972603</v>
      </c>
      <c r="K19" s="15" t="n">
        <f aca="false">J19*(1+IF(K$3&lt;=$O$2,$D19,$D19-($D19-$I$6)*MIN(K$3-$O$2,$Q$2)/$Q$2))</f>
        <v>2689.21284749863</v>
      </c>
      <c r="L19" s="15" t="n">
        <f aca="false">K19*(1+IF(L$3&lt;=$O$2,$D19,$D19-($D19-$I$6)*MIN(L$3-$O$2,$Q$2)/$Q$2))</f>
        <v>2766.25858548471</v>
      </c>
      <c r="M19" s="15" t="n">
        <f aca="false">L19*(1+IF(M$3&lt;=$O$2,$D19,$D19-($D19-$I$6)*MIN(M$3-$O$2,$Q$2)/$Q$2))</f>
        <v>2845.02769064941</v>
      </c>
      <c r="N19" s="15" t="n">
        <f aca="false">M19*(1+IF(N$3&lt;=$O$2,$D19,$D19-($D19-$I$6)*MIN(N$3-$O$2,$Q$2)/$Q$2))</f>
        <v>2925.54197429479</v>
      </c>
      <c r="O19" s="15" t="n">
        <f aca="false">SUMPRODUCT(E19:N19,1/(1+$F$6)^$E$3:$N$3)*$E$2</f>
        <v>8917.32869090029</v>
      </c>
      <c r="P19" s="15" t="n">
        <f aca="false">N19*$E$2*(1+$I$6)/($F$6-$I$6)/(1+$F$6)^$N$3</f>
        <v>14888.9003372064</v>
      </c>
      <c r="Q19" s="15" t="n">
        <f aca="false">O19+P19</f>
        <v>23806.2290281067</v>
      </c>
      <c r="R19" s="15" t="n">
        <f aca="false">Q19-$G$2+$I$2</f>
        <v>25715.8890281067</v>
      </c>
      <c r="S19" s="42" t="n">
        <f aca="false">R19/$K$2</f>
        <v>109.882874110613</v>
      </c>
      <c r="T19" s="43" t="n">
        <f aca="false">S19-$M$2</f>
        <v>-0.10302513307407</v>
      </c>
    </row>
    <row r="20" customFormat="false" ht="15" hidden="false" customHeight="false" outlineLevel="0" collapsed="false">
      <c r="A20" s="5" t="n">
        <v>13</v>
      </c>
      <c r="B20" s="25" t="n">
        <f aca="false">IF(T19&gt;0,B19,D19)</f>
        <v>0.0291748046875</v>
      </c>
      <c r="C20" s="25" t="n">
        <f aca="false">IF(T19&gt;0,D19,C19)</f>
        <v>0.029541015625</v>
      </c>
      <c r="D20" s="41" t="n">
        <f aca="false">(B20+C20)/2</f>
        <v>0.02935791015625</v>
      </c>
      <c r="E20" s="15" t="n">
        <f aca="false">$C$2*(1+IF(E$3&lt;=$O$2,$D20,$D20-($D20-$I$6)*MIN(E$3-$O$2,$Q$2)/$Q$2))</f>
        <v>2264.58740234375</v>
      </c>
      <c r="F20" s="15" t="n">
        <f aca="false">E20*(1+IF(F$3&lt;=$O$2,$D20,$D20-($D20-$I$6)*MIN(F$3-$O$2,$Q$2)/$Q$2))</f>
        <v>2331.07095584273</v>
      </c>
      <c r="G20" s="15" t="n">
        <f aca="false">F20*(1+IF(G$3&lt;=$O$2,$D20,$D20-($D20-$I$6)*MIN(G$3-$O$2,$Q$2)/$Q$2))</f>
        <v>2399.50632753221</v>
      </c>
      <c r="H20" s="15" t="n">
        <f aca="false">G20*(1+IF(H$3&lt;=$O$2,$D20,$D20-($D20-$I$6)*MIN(H$3-$O$2,$Q$2)/$Q$2))</f>
        <v>2469.95081871525</v>
      </c>
      <c r="I20" s="15" t="n">
        <f aca="false">H20*(1+IF(I$3&lt;=$O$2,$D20,$D20-($D20-$I$6)*MIN(I$3-$O$2,$Q$2)/$Q$2))</f>
        <v>2542.46341294145</v>
      </c>
      <c r="J20" s="15" t="n">
        <f aca="false">I20*(1+IF(J$3&lt;=$O$2,$D20,$D20-($D20-$I$6)*MIN(J$3-$O$2,$Q$2)/$Q$2))</f>
        <v>2616.56688582085</v>
      </c>
      <c r="K20" s="15" t="n">
        <f aca="false">J20*(1+IF(K$3&lt;=$O$2,$D20,$D20-($D20-$I$6)*MIN(K$3-$O$2,$Q$2)/$Q$2))</f>
        <v>2692.27658429939</v>
      </c>
      <c r="L20" s="15" t="n">
        <f aca="false">K20*(1+IF(L$3&lt;=$O$2,$D20,$D20-($D20-$I$6)*MIN(L$3-$O$2,$Q$2)/$Q$2))</f>
        <v>2769.60728633185</v>
      </c>
      <c r="M20" s="15" t="n">
        <f aca="false">L20*(1+IF(M$3&lt;=$O$2,$D20,$D20-($D20-$I$6)*MIN(M$3-$O$2,$Q$2)/$Q$2))</f>
        <v>2848.57317167045</v>
      </c>
      <c r="N20" s="15" t="n">
        <f aca="false">M20*(1+IF(N$3&lt;=$O$2,$D20,$D20-($D20-$I$6)*MIN(N$3-$O$2,$Q$2)/$Q$2))</f>
        <v>2929.18779242872</v>
      </c>
      <c r="O20" s="15" t="n">
        <f aca="false">SUMPRODUCT(E20:N20,1/(1+$F$6)^$E$3:$N$3)*$E$2</f>
        <v>8924.51607650498</v>
      </c>
      <c r="P20" s="15" t="n">
        <f aca="false">N20*$E$2*(1+$I$6)/($F$6-$I$6)/(1+$F$6)^$N$3</f>
        <v>14907.4549241242</v>
      </c>
      <c r="Q20" s="15" t="n">
        <f aca="false">O20+P20</f>
        <v>23831.9710006291</v>
      </c>
      <c r="R20" s="15" t="n">
        <f aca="false">Q20-$G$2+$I$2</f>
        <v>25741.6310006291</v>
      </c>
      <c r="S20" s="42" t="n">
        <f aca="false">R20/$K$2</f>
        <v>109.992868438359</v>
      </c>
      <c r="T20" s="43" t="n">
        <f aca="false">S20-$M$2</f>
        <v>0.00696919467223722</v>
      </c>
    </row>
    <row r="21" customFormat="false" ht="15" hidden="false" customHeight="false" outlineLevel="0" collapsed="false">
      <c r="A21" s="5" t="n">
        <v>14</v>
      </c>
      <c r="B21" s="25" t="n">
        <f aca="false">IF(T20&gt;0,B20,D20)</f>
        <v>0.0291748046875</v>
      </c>
      <c r="C21" s="25" t="n">
        <f aca="false">IF(T20&gt;0,D20,C20)</f>
        <v>0.02935791015625</v>
      </c>
      <c r="D21" s="41" t="n">
        <f aca="false">(B21+C21)/2</f>
        <v>0.029266357421875</v>
      </c>
      <c r="E21" s="15" t="n">
        <f aca="false">$C$2*(1+IF(E$3&lt;=$O$2,$D21,$D21-($D21-$I$6)*MIN(E$3-$O$2,$Q$2)/$Q$2))</f>
        <v>2264.38598632813</v>
      </c>
      <c r="F21" s="15" t="n">
        <f aca="false">E21*(1+IF(F$3&lt;=$O$2,$D21,$D21-($D21-$I$6)*MIN(F$3-$O$2,$Q$2)/$Q$2))</f>
        <v>2330.65631594509</v>
      </c>
      <c r="G21" s="15" t="n">
        <f aca="false">F21*(1+IF(G$3&lt;=$O$2,$D21,$D21-($D21-$I$6)*MIN(G$3-$O$2,$Q$2)/$Q$2))</f>
        <v>2398.86613671509</v>
      </c>
      <c r="H21" s="15" t="n">
        <f aca="false">G21*(1+IF(H$3&lt;=$O$2,$D21,$D21-($D21-$I$6)*MIN(H$3-$O$2,$Q$2)/$Q$2))</f>
        <v>2469.07221047942</v>
      </c>
      <c r="I21" s="15" t="n">
        <f aca="false">H21*(1+IF(I$3&lt;=$O$2,$D21,$D21-($D21-$I$6)*MIN(I$3-$O$2,$Q$2)/$Q$2))</f>
        <v>2541.33296029173</v>
      </c>
      <c r="J21" s="15" t="n">
        <f aca="false">I21*(1+IF(J$3&lt;=$O$2,$D21,$D21-($D21-$I$6)*MIN(J$3-$O$2,$Q$2)/$Q$2))</f>
        <v>2615.2173518421</v>
      </c>
      <c r="K21" s="15" t="n">
        <f aca="false">J21*(1+IF(K$3&lt;=$O$2,$D21,$D21-($D21-$I$6)*MIN(K$3-$O$2,$Q$2)/$Q$2))</f>
        <v>2690.74434371789</v>
      </c>
      <c r="L21" s="15" t="n">
        <f aca="false">K21*(1+IF(L$3&lt;=$O$2,$D21,$D21-($D21-$I$6)*MIN(L$3-$O$2,$Q$2)/$Q$2))</f>
        <v>2767.93249695187</v>
      </c>
      <c r="M21" s="15" t="n">
        <f aca="false">L21*(1+IF(M$3&lt;=$O$2,$D21,$D21-($D21-$I$6)*MIN(M$3-$O$2,$Q$2)/$Q$2))</f>
        <v>2846.79994903795</v>
      </c>
      <c r="N21" s="15" t="n">
        <f aca="false">M21*(1+IF(N$3&lt;=$O$2,$D21,$D21-($D21-$I$6)*MIN(N$3-$O$2,$Q$2)/$Q$2))</f>
        <v>2927.36438759572</v>
      </c>
      <c r="O21" s="15" t="n">
        <f aca="false">SUMPRODUCT(E21:N21,1/(1+$F$6)^$E$3:$N$3)*$E$2</f>
        <v>8920.92165169198</v>
      </c>
      <c r="P21" s="15" t="n">
        <f aca="false">N21*$E$2*(1+$I$6)/($F$6-$I$6)/(1+$F$6)^$N$3</f>
        <v>14898.1751075734</v>
      </c>
      <c r="Q21" s="15" t="n">
        <f aca="false">O21+P21</f>
        <v>23819.0967592654</v>
      </c>
      <c r="R21" s="15" t="n">
        <f aca="false">Q21-$G$2+$I$2</f>
        <v>25728.7567592654</v>
      </c>
      <c r="S21" s="42" t="n">
        <f aca="false">R21/$K$2</f>
        <v>109.937857365575</v>
      </c>
      <c r="T21" s="43" t="n">
        <f aca="false">S21-$M$2</f>
        <v>-0.0480418781120875</v>
      </c>
    </row>
    <row r="22" customFormat="false" ht="15" hidden="false" customHeight="false" outlineLevel="0" collapsed="false">
      <c r="A22" s="5" t="n">
        <v>15</v>
      </c>
      <c r="B22" s="25" t="n">
        <f aca="false">IF(T21&gt;0,B21,D21)</f>
        <v>0.029266357421875</v>
      </c>
      <c r="C22" s="25" t="n">
        <f aca="false">IF(T21&gt;0,D21,C21)</f>
        <v>0.02935791015625</v>
      </c>
      <c r="D22" s="41" t="n">
        <f aca="false">(B22+C22)/2</f>
        <v>0.0293121337890625</v>
      </c>
      <c r="E22" s="15" t="n">
        <f aca="false">$C$2*(1+IF(E$3&lt;=$O$2,$D22,$D22-($D22-$I$6)*MIN(E$3-$O$2,$Q$2)/$Q$2))</f>
        <v>2264.48669433594</v>
      </c>
      <c r="F22" s="15" t="n">
        <f aca="false">E22*(1+IF(F$3&lt;=$O$2,$D22,$D22-($D22-$I$6)*MIN(F$3-$O$2,$Q$2)/$Q$2))</f>
        <v>2330.86363128386</v>
      </c>
      <c r="G22" s="15" t="n">
        <f aca="false">F22*(1+IF(G$3&lt;=$O$2,$D22,$D22-($D22-$I$6)*MIN(G$3-$O$2,$Q$2)/$Q$2))</f>
        <v>2399.18621788812</v>
      </c>
      <c r="H22" s="15" t="n">
        <f aca="false">G22*(1+IF(H$3&lt;=$O$2,$D22,$D22-($D22-$I$6)*MIN(H$3-$O$2,$Q$2)/$Q$2))</f>
        <v>2469.51148529173</v>
      </c>
      <c r="I22" s="15" t="n">
        <f aca="false">H22*(1+IF(I$3&lt;=$O$2,$D22,$D22-($D22-$I$6)*MIN(I$3-$O$2,$Q$2)/$Q$2))</f>
        <v>2541.89813634223</v>
      </c>
      <c r="J22" s="15" t="n">
        <f aca="false">I22*(1+IF(J$3&lt;=$O$2,$D22,$D22-($D22-$I$6)*MIN(J$3-$O$2,$Q$2)/$Q$2))</f>
        <v>2615.89204639443</v>
      </c>
      <c r="K22" s="15" t="n">
        <f aca="false">J22*(1+IF(K$3&lt;=$O$2,$D22,$D22-($D22-$I$6)*MIN(K$3-$O$2,$Q$2)/$Q$2))</f>
        <v>2691.51037094461</v>
      </c>
      <c r="L22" s="15" t="n">
        <f aca="false">K22*(1+IF(L$3&lt;=$O$2,$D22,$D22-($D22-$I$6)*MIN(L$3-$O$2,$Q$2)/$Q$2))</f>
        <v>2768.76978187836</v>
      </c>
      <c r="M22" s="15" t="n">
        <f aca="false">L22*(1+IF(M$3&lt;=$O$2,$D22,$D22-($D22-$I$6)*MIN(M$3-$O$2,$Q$2)/$Q$2))</f>
        <v>2847.68643979559</v>
      </c>
      <c r="N22" s="15" t="n">
        <f aca="false">M22*(1+IF(N$3&lt;=$O$2,$D22,$D22-($D22-$I$6)*MIN(N$3-$O$2,$Q$2)/$Q$2))</f>
        <v>2928.27596604181</v>
      </c>
      <c r="O22" s="15" t="n">
        <f aca="false">SUMPRODUCT(E22:N22,1/(1+$F$6)^$E$3:$N$3)*$E$2</f>
        <v>8922.71868106086</v>
      </c>
      <c r="P22" s="15" t="n">
        <f aca="false">N22*$E$2*(1+$I$6)/($F$6-$I$6)/(1+$F$6)^$N$3</f>
        <v>14902.8143849287</v>
      </c>
      <c r="Q22" s="15" t="n">
        <f aca="false">O22+P22</f>
        <v>23825.5330659896</v>
      </c>
      <c r="R22" s="15" t="n">
        <f aca="false">Q22-$G$2+$I$2</f>
        <v>25735.1930659896</v>
      </c>
      <c r="S22" s="42" t="n">
        <f aca="false">R22/$K$2</f>
        <v>109.965359423961</v>
      </c>
      <c r="T22" s="43" t="n">
        <f aca="false">S22-$M$2</f>
        <v>-0.0205398197256983</v>
      </c>
    </row>
    <row r="23" customFormat="false" ht="15" hidden="false" customHeight="false" outlineLevel="0" collapsed="false">
      <c r="A23" s="5" t="n">
        <v>16</v>
      </c>
      <c r="B23" s="25" t="n">
        <f aca="false">IF(T22&gt;0,B22,D22)</f>
        <v>0.0293121337890625</v>
      </c>
      <c r="C23" s="25" t="n">
        <f aca="false">IF(T22&gt;0,D22,C22)</f>
        <v>0.02935791015625</v>
      </c>
      <c r="D23" s="41" t="n">
        <f aca="false">(B23+C23)/2</f>
        <v>0.0293350219726563</v>
      </c>
      <c r="E23" s="15" t="n">
        <f aca="false">$C$2*(1+IF(E$3&lt;=$O$2,$D23,$D23-($D23-$I$6)*MIN(E$3-$O$2,$Q$2)/$Q$2))</f>
        <v>2264.53704833984</v>
      </c>
      <c r="F23" s="15" t="n">
        <f aca="false">E23*(1+IF(F$3&lt;=$O$2,$D23,$D23-($D23-$I$6)*MIN(F$3-$O$2,$Q$2)/$Q$2))</f>
        <v>2330.96729241079</v>
      </c>
      <c r="G23" s="15" t="n">
        <f aca="false">F23*(1+IF(G$3&lt;=$O$2,$D23,$D23-($D23-$I$6)*MIN(G$3-$O$2,$Q$2)/$Q$2))</f>
        <v>2399.3462691512</v>
      </c>
      <c r="H23" s="15" t="n">
        <f aca="false">G23*(1+IF(H$3&lt;=$O$2,$D23,$D23-($D23-$I$6)*MIN(H$3-$O$2,$Q$2)/$Q$2))</f>
        <v>2469.73114467676</v>
      </c>
      <c r="I23" s="15" t="n">
        <f aca="false">H23*(1+IF(I$3&lt;=$O$2,$D23,$D23-($D23-$I$6)*MIN(I$3-$O$2,$Q$2)/$Q$2))</f>
        <v>2542.18076207241</v>
      </c>
      <c r="J23" s="15" t="n">
        <f aca="false">I23*(1+IF(J$3&lt;=$O$2,$D23,$D23-($D23-$I$6)*MIN(J$3-$O$2,$Q$2)/$Q$2))</f>
        <v>2616.22944799683</v>
      </c>
      <c r="K23" s="15" t="n">
        <f aca="false">J23*(1+IF(K$3&lt;=$O$2,$D23,$D23-($D23-$I$6)*MIN(K$3-$O$2,$Q$2)/$Q$2))</f>
        <v>2691.89345435365</v>
      </c>
      <c r="L23" s="15" t="n">
        <f aca="false">K23*(1+IF(L$3&lt;=$O$2,$D23,$D23-($D23-$I$6)*MIN(L$3-$O$2,$Q$2)/$Q$2))</f>
        <v>2769.18850666118</v>
      </c>
      <c r="M23" s="15" t="n">
        <f aca="false">L23*(1+IF(M$3&lt;=$O$2,$D23,$D23-($D23-$I$6)*MIN(M$3-$O$2,$Q$2)/$Q$2))</f>
        <v>2848.12977558985</v>
      </c>
      <c r="N23" s="15" t="n">
        <f aca="false">M23*(1+IF(N$3&lt;=$O$2,$D23,$D23-($D23-$I$6)*MIN(N$3-$O$2,$Q$2)/$Q$2))</f>
        <v>2928.73184823905</v>
      </c>
      <c r="O23" s="15" t="n">
        <f aca="false">SUMPRODUCT(E23:N23,1/(1+$F$6)^$E$3:$N$3)*$E$2</f>
        <v>8923.61733301914</v>
      </c>
      <c r="P23" s="15" t="n">
        <f aca="false">N23*$E$2*(1+$I$6)/($F$6-$I$6)/(1+$F$6)^$N$3</f>
        <v>14905.134496778</v>
      </c>
      <c r="Q23" s="15" t="n">
        <f aca="false">O23+P23</f>
        <v>23828.7518297972</v>
      </c>
      <c r="R23" s="15" t="n">
        <f aca="false">Q23-$G$2+$I$2</f>
        <v>25738.4118297972</v>
      </c>
      <c r="S23" s="42" t="n">
        <f aca="false">R23/$K$2</f>
        <v>109.979113061561</v>
      </c>
      <c r="T23" s="43" t="n">
        <f aca="false">S23-$M$2</f>
        <v>-0.00678618212540982</v>
      </c>
    </row>
    <row r="24" customFormat="false" ht="15" hidden="false" customHeight="false" outlineLevel="0" collapsed="false">
      <c r="A24" s="5" t="n">
        <v>17</v>
      </c>
      <c r="B24" s="25" t="n">
        <f aca="false">IF(T23&gt;0,B23,D23)</f>
        <v>0.0293350219726563</v>
      </c>
      <c r="C24" s="25" t="n">
        <f aca="false">IF(T23&gt;0,D23,C23)</f>
        <v>0.02935791015625</v>
      </c>
      <c r="D24" s="41" t="n">
        <f aca="false">(B24+C24)/2</f>
        <v>0.0293464660644531</v>
      </c>
      <c r="E24" s="15" t="n">
        <f aca="false">$C$2*(1+IF(E$3&lt;=$O$2,$D24,$D24-($D24-$I$6)*MIN(E$3-$O$2,$Q$2)/$Q$2))</f>
        <v>2264.5622253418</v>
      </c>
      <c r="F24" s="15" t="n">
        <f aca="false">E24*(1+IF(F$3&lt;=$O$2,$D24,$D24-($D24-$I$6)*MIN(F$3-$O$2,$Q$2)/$Q$2))</f>
        <v>2331.01912383863</v>
      </c>
      <c r="G24" s="15" t="n">
        <f aca="false">F24*(1+IF(G$3&lt;=$O$2,$D24,$D24-($D24-$I$6)*MIN(G$3-$O$2,$Q$2)/$Q$2))</f>
        <v>2399.42629745195</v>
      </c>
      <c r="H24" s="15" t="n">
        <f aca="false">G24*(1+IF(H$3&lt;=$O$2,$D24,$D24-($D24-$I$6)*MIN(H$3-$O$2,$Q$2)/$Q$2))</f>
        <v>2469.84097986428</v>
      </c>
      <c r="I24" s="15" t="n">
        <f aca="false">H24*(1+IF(I$3&lt;=$O$2,$D24,$D24-($D24-$I$6)*MIN(I$3-$O$2,$Q$2)/$Q$2))</f>
        <v>2542.32208436447</v>
      </c>
      <c r="J24" s="15" t="n">
        <f aca="false">I24*(1+IF(J$3&lt;=$O$2,$D24,$D24-($D24-$I$6)*MIN(J$3-$O$2,$Q$2)/$Q$2))</f>
        <v>2616.39816238094</v>
      </c>
      <c r="K24" s="15" t="n">
        <f aca="false">J24*(1+IF(K$3&lt;=$O$2,$D24,$D24-($D24-$I$6)*MIN(K$3-$O$2,$Q$2)/$Q$2))</f>
        <v>2692.08501350914</v>
      </c>
      <c r="L24" s="15" t="n">
        <f aca="false">K24*(1+IF(L$3&lt;=$O$2,$D24,$D24-($D24-$I$6)*MIN(L$3-$O$2,$Q$2)/$Q$2))</f>
        <v>2769.39788963515</v>
      </c>
      <c r="M24" s="15" t="n">
        <f aca="false">L24*(1+IF(M$3&lt;=$O$2,$D24,$D24-($D24-$I$6)*MIN(M$3-$O$2,$Q$2)/$Q$2))</f>
        <v>2848.35146609392</v>
      </c>
      <c r="N24" s="15" t="n">
        <f aca="false">M24*(1+IF(N$3&lt;=$O$2,$D24,$D24-($D24-$I$6)*MIN(N$3-$O$2,$Q$2)/$Q$2))</f>
        <v>2928.95981258438</v>
      </c>
      <c r="O24" s="15" t="n">
        <f aca="false">SUMPRODUCT(E24:N24,1/(1+$F$6)^$E$3:$N$3)*$E$2</f>
        <v>8924.06669332057</v>
      </c>
      <c r="P24" s="15" t="n">
        <f aca="false">N24*$E$2*(1+$I$6)/($F$6-$I$6)/(1+$F$6)^$N$3</f>
        <v>14906.2946710117</v>
      </c>
      <c r="Q24" s="15" t="n">
        <f aca="false">O24+P24</f>
        <v>23830.3613643323</v>
      </c>
      <c r="R24" s="15" t="n">
        <f aca="false">Q24-$G$2+$I$2</f>
        <v>25740.0213643323</v>
      </c>
      <c r="S24" s="42" t="n">
        <f aca="false">R24/$K$2</f>
        <v>109.985990532548</v>
      </c>
      <c r="T24" s="43" t="n">
        <f aca="false">S24-$M$2</f>
        <v>9.12888615545171E-005</v>
      </c>
    </row>
    <row r="25" customFormat="false" ht="15" hidden="false" customHeight="false" outlineLevel="0" collapsed="false">
      <c r="A25" s="5" t="n">
        <v>18</v>
      </c>
      <c r="B25" s="25" t="n">
        <f aca="false">IF(T24&gt;0,B24,D24)</f>
        <v>0.0293350219726563</v>
      </c>
      <c r="C25" s="25" t="n">
        <f aca="false">IF(T24&gt;0,D24,C24)</f>
        <v>0.0293464660644531</v>
      </c>
      <c r="D25" s="41" t="n">
        <f aca="false">(B25+C25)/2</f>
        <v>0.0293407440185547</v>
      </c>
      <c r="E25" s="15" t="n">
        <f aca="false">$C$2*(1+IF(E$3&lt;=$O$2,$D25,$D25-($D25-$I$6)*MIN(E$3-$O$2,$Q$2)/$Q$2))</f>
        <v>2264.54963684082</v>
      </c>
      <c r="F25" s="15" t="n">
        <f aca="false">E25*(1+IF(F$3&lt;=$O$2,$D25,$D25-($D25-$I$6)*MIN(F$3-$O$2,$Q$2)/$Q$2))</f>
        <v>2330.99320805268</v>
      </c>
      <c r="G25" s="15" t="n">
        <f aca="false">F25*(1+IF(G$3&lt;=$O$2,$D25,$D25-($D25-$I$6)*MIN(G$3-$O$2,$Q$2)/$Q$2))</f>
        <v>2399.38628307914</v>
      </c>
      <c r="H25" s="15" t="n">
        <f aca="false">G25*(1+IF(H$3&lt;=$O$2,$D25,$D25-($D25-$I$6)*MIN(H$3-$O$2,$Q$2)/$Q$2))</f>
        <v>2469.7860618126</v>
      </c>
      <c r="I25" s="15" t="n">
        <f aca="false">H25*(1+IF(I$3&lt;=$O$2,$D25,$D25-($D25-$I$6)*MIN(I$3-$O$2,$Q$2)/$Q$2))</f>
        <v>2542.25142243284</v>
      </c>
      <c r="J25" s="15" t="n">
        <f aca="false">I25*(1+IF(J$3&lt;=$O$2,$D25,$D25-($D25-$I$6)*MIN(J$3-$O$2,$Q$2)/$Q$2))</f>
        <v>2616.31380405693</v>
      </c>
      <c r="K25" s="15" t="n">
        <f aca="false">J25*(1+IF(K$3&lt;=$O$2,$D25,$D25-($D25-$I$6)*MIN(K$3-$O$2,$Q$2)/$Q$2))</f>
        <v>2691.98923247708</v>
      </c>
      <c r="L25" s="15" t="n">
        <f aca="false">K25*(1+IF(L$3&lt;=$O$2,$D25,$D25-($D25-$I$6)*MIN(L$3-$O$2,$Q$2)/$Q$2))</f>
        <v>2769.29319643287</v>
      </c>
      <c r="M25" s="15" t="n">
        <f aca="false">L25*(1+IF(M$3&lt;=$O$2,$D25,$D25-($D25-$I$6)*MIN(M$3-$O$2,$Q$2)/$Q$2))</f>
        <v>2848.24061895788</v>
      </c>
      <c r="N25" s="15" t="n">
        <f aca="false">M25*(1+IF(N$3&lt;=$O$2,$D25,$D25-($D25-$I$6)*MIN(N$3-$O$2,$Q$2)/$Q$2))</f>
        <v>2928.84582847439</v>
      </c>
      <c r="O25" s="15" t="n">
        <f aca="false">SUMPRODUCT(E25:N25,1/(1+$F$6)^$E$3:$N$3)*$E$2</f>
        <v>8923.84201030955</v>
      </c>
      <c r="P25" s="15" t="n">
        <f aca="false">N25*$E$2*(1+$I$6)/($F$6-$I$6)/(1+$F$6)^$N$3</f>
        <v>14905.7145740353</v>
      </c>
      <c r="Q25" s="15" t="n">
        <f aca="false">O25+P25</f>
        <v>23829.5565843449</v>
      </c>
      <c r="R25" s="15" t="n">
        <f aca="false">Q25-$G$2+$I$2</f>
        <v>25739.2165843449</v>
      </c>
      <c r="S25" s="42" t="n">
        <f aca="false">R25/$K$2</f>
        <v>109.982551742703</v>
      </c>
      <c r="T25" s="43" t="n">
        <f aca="false">S25-$M$2</f>
        <v>-0.00334750098335235</v>
      </c>
    </row>
    <row r="26" customFormat="false" ht="15" hidden="false" customHeight="false" outlineLevel="0" collapsed="false">
      <c r="A26" s="5" t="n">
        <v>19</v>
      </c>
      <c r="B26" s="25" t="n">
        <f aca="false">IF(T25&gt;0,B25,D25)</f>
        <v>0.0293407440185547</v>
      </c>
      <c r="C26" s="25" t="n">
        <f aca="false">IF(T25&gt;0,D25,C25)</f>
        <v>0.0293464660644531</v>
      </c>
      <c r="D26" s="41" t="n">
        <f aca="false">(B26+C26)/2</f>
        <v>0.0293436050415039</v>
      </c>
      <c r="E26" s="15" t="n">
        <f aca="false">$C$2*(1+IF(E$3&lt;=$O$2,$D26,$D26-($D26-$I$6)*MIN(E$3-$O$2,$Q$2)/$Q$2))</f>
        <v>2264.55593109131</v>
      </c>
      <c r="F26" s="15" t="n">
        <f aca="false">E26*(1+IF(F$3&lt;=$O$2,$D26,$D26-($D26-$I$6)*MIN(F$3-$O$2,$Q$2)/$Q$2))</f>
        <v>2331.00616592765</v>
      </c>
      <c r="G26" s="15" t="n">
        <f aca="false">F26*(1+IF(G$3&lt;=$O$2,$D26,$D26-($D26-$I$6)*MIN(G$3-$O$2,$Q$2)/$Q$2))</f>
        <v>2399.40629020994</v>
      </c>
      <c r="H26" s="15" t="n">
        <f aca="false">G26*(1+IF(H$3&lt;=$O$2,$D26,$D26-($D26-$I$6)*MIN(H$3-$O$2,$Q$2)/$Q$2))</f>
        <v>2469.81352072396</v>
      </c>
      <c r="I26" s="15" t="n">
        <f aca="false">H26*(1+IF(I$3&lt;=$O$2,$D26,$D26-($D26-$I$6)*MIN(I$3-$O$2,$Q$2)/$Q$2))</f>
        <v>2542.28675320225</v>
      </c>
      <c r="J26" s="15" t="n">
        <f aca="false">I26*(1+IF(J$3&lt;=$O$2,$D26,$D26-($D26-$I$6)*MIN(J$3-$O$2,$Q$2)/$Q$2))</f>
        <v>2616.35598293594</v>
      </c>
      <c r="K26" s="15" t="n">
        <f aca="false">J26*(1+IF(K$3&lt;=$O$2,$D26,$D26-($D26-$I$6)*MIN(K$3-$O$2,$Q$2)/$Q$2))</f>
        <v>2692.03712262953</v>
      </c>
      <c r="L26" s="15" t="n">
        <f aca="false">K26*(1+IF(L$3&lt;=$O$2,$D26,$D26-($D26-$I$6)*MIN(L$3-$O$2,$Q$2)/$Q$2))</f>
        <v>2769.34554260518</v>
      </c>
      <c r="M26" s="15" t="n">
        <f aca="false">L26*(1+IF(M$3&lt;=$O$2,$D26,$D26-($D26-$I$6)*MIN(M$3-$O$2,$Q$2)/$Q$2))</f>
        <v>2848.29604205489</v>
      </c>
      <c r="N26" s="15" t="n">
        <f aca="false">M26*(1+IF(N$3&lt;=$O$2,$D26,$D26-($D26-$I$6)*MIN(N$3-$O$2,$Q$2)/$Q$2))</f>
        <v>2928.90282004505</v>
      </c>
      <c r="O26" s="15" t="n">
        <f aca="false">SUMPRODUCT(E26:N26,1/(1+$F$6)^$E$3:$N$3)*$E$2</f>
        <v>8923.95435109998</v>
      </c>
      <c r="P26" s="15" t="n">
        <f aca="false">N26*$E$2*(1+$I$6)/($F$6-$I$6)/(1+$F$6)^$N$3</f>
        <v>14906.0046200586</v>
      </c>
      <c r="Q26" s="15" t="n">
        <f aca="false">O26+P26</f>
        <v>23829.9589711586</v>
      </c>
      <c r="R26" s="15" t="n">
        <f aca="false">Q26-$G$2+$I$2</f>
        <v>25739.6189711586</v>
      </c>
      <c r="S26" s="42" t="n">
        <f aca="false">R26/$K$2</f>
        <v>109.984271124038</v>
      </c>
      <c r="T26" s="43" t="n">
        <f aca="false">S26-$M$2</f>
        <v>-0.00162811964894161</v>
      </c>
    </row>
    <row r="27" customFormat="false" ht="15" hidden="false" customHeight="false" outlineLevel="0" collapsed="false">
      <c r="A27" s="5" t="n">
        <v>20</v>
      </c>
      <c r="B27" s="25" t="n">
        <f aca="false">IF(T26&gt;0,B26,D26)</f>
        <v>0.0293436050415039</v>
      </c>
      <c r="C27" s="25" t="n">
        <f aca="false">IF(T26&gt;0,D26,C26)</f>
        <v>0.0293464660644531</v>
      </c>
      <c r="D27" s="41" t="n">
        <f aca="false">(B27+C27)/2</f>
        <v>0.0293450355529785</v>
      </c>
      <c r="E27" s="15" t="n">
        <f aca="false">$C$2*(1+IF(E$3&lt;=$O$2,$D27,$D27-($D27-$I$6)*MIN(E$3-$O$2,$Q$2)/$Q$2))</f>
        <v>2264.55907821655</v>
      </c>
      <c r="F27" s="15" t="n">
        <f aca="false">E27*(1+IF(F$3&lt;=$O$2,$D27,$D27-($D27-$I$6)*MIN(F$3-$O$2,$Q$2)/$Q$2))</f>
        <v>2331.01264487864</v>
      </c>
      <c r="G27" s="15" t="n">
        <f aca="false">F27*(1+IF(G$3&lt;=$O$2,$D27,$D27-($D27-$I$6)*MIN(G$3-$O$2,$Q$2)/$Q$2))</f>
        <v>2399.41629381704</v>
      </c>
      <c r="H27" s="15" t="n">
        <f aca="false">G27*(1+IF(H$3&lt;=$O$2,$D27,$D27-($D27-$I$6)*MIN(H$3-$O$2,$Q$2)/$Q$2))</f>
        <v>2469.8272502655</v>
      </c>
      <c r="I27" s="15" t="n">
        <f aca="false">H27*(1+IF(I$3&lt;=$O$2,$D27,$D27-($D27-$I$6)*MIN(I$3-$O$2,$Q$2)/$Q$2))</f>
        <v>2542.30441873426</v>
      </c>
      <c r="J27" s="15" t="n">
        <f aca="false">I27*(1+IF(J$3&lt;=$O$2,$D27,$D27-($D27-$I$6)*MIN(J$3-$O$2,$Q$2)/$Q$2))</f>
        <v>2616.37707258769</v>
      </c>
      <c r="K27" s="15" t="n">
        <f aca="false">J27*(1+IF(K$3&lt;=$O$2,$D27,$D27-($D27-$I$6)*MIN(K$3-$O$2,$Q$2)/$Q$2))</f>
        <v>2692.06106797844</v>
      </c>
      <c r="L27" s="15" t="n">
        <f aca="false">K27*(1+IF(L$3&lt;=$O$2,$D27,$D27-($D27-$I$6)*MIN(L$3-$O$2,$Q$2)/$Q$2))</f>
        <v>2769.37171601296</v>
      </c>
      <c r="M27" s="15" t="n">
        <f aca="false">L27*(1+IF(M$3&lt;=$O$2,$D27,$D27-($D27-$I$6)*MIN(M$3-$O$2,$Q$2)/$Q$2))</f>
        <v>2848.32375395665</v>
      </c>
      <c r="N27" s="15" t="n">
        <f aca="false">M27*(1+IF(N$3&lt;=$O$2,$D27,$D27-($D27-$I$6)*MIN(N$3-$O$2,$Q$2)/$Q$2))</f>
        <v>2928.93131619363</v>
      </c>
      <c r="O27" s="15" t="n">
        <f aca="false">SUMPRODUCT(E27:N27,1/(1+$F$6)^$E$3:$N$3)*$E$2</f>
        <v>8924.0105220315</v>
      </c>
      <c r="P27" s="15" t="n">
        <f aca="false">N27*$E$2*(1+$I$6)/($F$6-$I$6)/(1+$F$6)^$N$3</f>
        <v>14906.1496449189</v>
      </c>
      <c r="Q27" s="15" t="n">
        <f aca="false">O27+P27</f>
        <v>23830.1601669504</v>
      </c>
      <c r="R27" s="15" t="n">
        <f aca="false">Q27-$G$2+$I$2</f>
        <v>25739.8201669504</v>
      </c>
      <c r="S27" s="42" t="n">
        <f aca="false">R27/$K$2</f>
        <v>109.985130824896</v>
      </c>
      <c r="T27" s="43" t="n">
        <f aca="false">S27-$M$2</f>
        <v>-0.000768418790741521</v>
      </c>
    </row>
    <row r="28" customFormat="false" ht="15" hidden="false" customHeight="false" outlineLevel="0" collapsed="false">
      <c r="A28" s="5" t="n">
        <v>21</v>
      </c>
      <c r="B28" s="25" t="n">
        <f aca="false">IF(T27&gt;0,B27,D27)</f>
        <v>0.0293450355529785</v>
      </c>
      <c r="C28" s="25" t="n">
        <f aca="false">IF(T27&gt;0,D27,C27)</f>
        <v>0.0293464660644531</v>
      </c>
      <c r="D28" s="41" t="n">
        <f aca="false">(B28+C28)/2</f>
        <v>0.0293457508087158</v>
      </c>
      <c r="E28" s="15" t="n">
        <f aca="false">$C$2*(1+IF(E$3&lt;=$O$2,$D28,$D28-($D28-$I$6)*MIN(E$3-$O$2,$Q$2)/$Q$2))</f>
        <v>2264.56065177918</v>
      </c>
      <c r="F28" s="15" t="n">
        <f aca="false">E28*(1+IF(F$3&lt;=$O$2,$D28,$D28-($D28-$I$6)*MIN(F$3-$O$2,$Q$2)/$Q$2))</f>
        <v>2331.01588435751</v>
      </c>
      <c r="G28" s="15" t="n">
        <f aca="false">F28*(1+IF(G$3&lt;=$O$2,$D28,$D28-($D28-$I$6)*MIN(G$3-$O$2,$Q$2)/$Q$2))</f>
        <v>2399.42129563102</v>
      </c>
      <c r="H28" s="15" t="n">
        <f aca="false">G28*(1+IF(H$3&lt;=$O$2,$D28,$D28-($D28-$I$6)*MIN(H$3-$O$2,$Q$2)/$Q$2))</f>
        <v>2469.83411505774</v>
      </c>
      <c r="I28" s="15" t="n">
        <f aca="false">H28*(1+IF(I$3&lt;=$O$2,$D28,$D28-($D28-$I$6)*MIN(I$3-$O$2,$Q$2)/$Q$2))</f>
        <v>2542.31325153709</v>
      </c>
      <c r="J28" s="15" t="n">
        <f aca="false">I28*(1+IF(J$3&lt;=$O$2,$D28,$D28-($D28-$I$6)*MIN(J$3-$O$2,$Q$2)/$Q$2))</f>
        <v>2616.38761746663</v>
      </c>
      <c r="K28" s="15" t="n">
        <f aca="false">J28*(1+IF(K$3&lt;=$O$2,$D28,$D28-($D28-$I$6)*MIN(K$3-$O$2,$Q$2)/$Q$2))</f>
        <v>2692.07304072106</v>
      </c>
      <c r="L28" s="15" t="n">
        <f aca="false">K28*(1+IF(L$3&lt;=$O$2,$D28,$D28-($D28-$I$6)*MIN(L$3-$O$2,$Q$2)/$Q$2))</f>
        <v>2769.38480279725</v>
      </c>
      <c r="M28" s="15" t="n">
        <f aca="false">L28*(1+IF(M$3&lt;=$O$2,$D28,$D28-($D28-$I$6)*MIN(M$3-$O$2,$Q$2)/$Q$2))</f>
        <v>2848.33760999585</v>
      </c>
      <c r="N28" s="15" t="n">
        <f aca="false">M28*(1+IF(N$3&lt;=$O$2,$D28,$D28-($D28-$I$6)*MIN(N$3-$O$2,$Q$2)/$Q$2))</f>
        <v>2928.94556435873</v>
      </c>
      <c r="O28" s="15" t="n">
        <f aca="false">SUMPRODUCT(E28:N28,1/(1+$F$6)^$E$3:$N$3)*$E$2</f>
        <v>8924.03860763134</v>
      </c>
      <c r="P28" s="15" t="n">
        <f aca="false">N28*$E$2*(1+$I$6)/($F$6-$I$6)/(1+$F$6)^$N$3</f>
        <v>14906.2221578112</v>
      </c>
      <c r="Q28" s="15" t="n">
        <f aca="false">O28+P28</f>
        <v>23830.2607654426</v>
      </c>
      <c r="R28" s="15" t="n">
        <f aca="false">Q28-$G$2+$I$2</f>
        <v>25739.9207654426</v>
      </c>
      <c r="S28" s="42" t="n">
        <f aca="false">R28/$K$2</f>
        <v>109.985560677873</v>
      </c>
      <c r="T28" s="43" t="n">
        <f aca="false">S28-$M$2</f>
        <v>-0.00033856581383418</v>
      </c>
    </row>
    <row r="29" customFormat="false" ht="15" hidden="false" customHeight="false" outlineLevel="0" collapsed="false">
      <c r="A29" s="5" t="n">
        <v>22</v>
      </c>
      <c r="B29" s="25" t="n">
        <f aca="false">IF(T28&gt;0,B28,D28)</f>
        <v>0.0293457508087158</v>
      </c>
      <c r="C29" s="25" t="n">
        <f aca="false">IF(T28&gt;0,D28,C28)</f>
        <v>0.0293464660644531</v>
      </c>
      <c r="D29" s="41" t="n">
        <f aca="false">(B29+C29)/2</f>
        <v>0.0293461084365845</v>
      </c>
      <c r="E29" s="15" t="n">
        <f aca="false">$C$2*(1+IF(E$3&lt;=$O$2,$D29,$D29-($D29-$I$6)*MIN(E$3-$O$2,$Q$2)/$Q$2))</f>
        <v>2264.56143856049</v>
      </c>
      <c r="F29" s="15" t="n">
        <f aca="false">E29*(1+IF(F$3&lt;=$O$2,$D29,$D29-($D29-$I$6)*MIN(F$3-$O$2,$Q$2)/$Q$2))</f>
        <v>2331.01750409779</v>
      </c>
      <c r="G29" s="15" t="n">
        <f aca="false">F29*(1+IF(G$3&lt;=$O$2,$D29,$D29-($D29-$I$6)*MIN(G$3-$O$2,$Q$2)/$Q$2))</f>
        <v>2399.42379654062</v>
      </c>
      <c r="H29" s="15" t="n">
        <f aca="false">G29*(1+IF(H$3&lt;=$O$2,$D29,$D29-($D29-$I$6)*MIN(H$3-$O$2,$Q$2)/$Q$2))</f>
        <v>2469.83754745922</v>
      </c>
      <c r="I29" s="15" t="n">
        <f aca="false">H29*(1+IF(I$3&lt;=$O$2,$D29,$D29-($D29-$I$6)*MIN(I$3-$O$2,$Q$2)/$Q$2))</f>
        <v>2542.31766794771</v>
      </c>
      <c r="J29" s="15" t="n">
        <f aca="false">I29*(1+IF(J$3&lt;=$O$2,$D29,$D29-($D29-$I$6)*MIN(J$3-$O$2,$Q$2)/$Q$2))</f>
        <v>2616.39288991936</v>
      </c>
      <c r="K29" s="15" t="n">
        <f aca="false">J29*(1+IF(K$3&lt;=$O$2,$D29,$D29-($D29-$I$6)*MIN(K$3-$O$2,$Q$2)/$Q$2))</f>
        <v>2692.07902710942</v>
      </c>
      <c r="L29" s="15" t="n">
        <f aca="false">K29*(1+IF(L$3&lt;=$O$2,$D29,$D29-($D29-$I$6)*MIN(L$3-$O$2,$Q$2)/$Q$2))</f>
        <v>2769.3913462095</v>
      </c>
      <c r="M29" s="15" t="n">
        <f aca="false">L29*(1+IF(M$3&lt;=$O$2,$D29,$D29-($D29-$I$6)*MIN(M$3-$O$2,$Q$2)/$Q$2))</f>
        <v>2848.34453803752</v>
      </c>
      <c r="N29" s="15" t="n">
        <f aca="false">M29*(1+IF(N$3&lt;=$O$2,$D29,$D29-($D29-$I$6)*MIN(N$3-$O$2,$Q$2)/$Q$2))</f>
        <v>2928.95268846399</v>
      </c>
      <c r="O29" s="15" t="n">
        <f aca="false">SUMPRODUCT(E29:N29,1/(1+$F$6)^$E$3:$N$3)*$E$2</f>
        <v>8924.05265046478</v>
      </c>
      <c r="P29" s="15" t="n">
        <f aca="false">N29*$E$2*(1+$I$6)/($F$6-$I$6)/(1+$F$6)^$N$3</f>
        <v>14906.258414373</v>
      </c>
      <c r="Q29" s="15" t="n">
        <f aca="false">O29+P29</f>
        <v>23830.3110648377</v>
      </c>
      <c r="R29" s="15" t="n">
        <f aca="false">Q29-$G$2+$I$2</f>
        <v>25739.9710648377</v>
      </c>
      <c r="S29" s="42" t="n">
        <f aca="false">R29/$K$2</f>
        <v>109.985775604998</v>
      </c>
      <c r="T29" s="43" t="n">
        <f aca="false">S29-$M$2</f>
        <v>-0.000123638688450001</v>
      </c>
    </row>
    <row r="30" customFormat="false" ht="15" hidden="false" customHeight="false" outlineLevel="0" collapsed="false">
      <c r="A30" s="5" t="n">
        <v>23</v>
      </c>
      <c r="B30" s="25" t="n">
        <f aca="false">IF(T29&gt;0,B29,D29)</f>
        <v>0.0293461084365845</v>
      </c>
      <c r="C30" s="25" t="n">
        <f aca="false">IF(T29&gt;0,D29,C29)</f>
        <v>0.0293464660644531</v>
      </c>
      <c r="D30" s="41" t="n">
        <f aca="false">(B30+C30)/2</f>
        <v>0.0293462872505188</v>
      </c>
      <c r="E30" s="15" t="n">
        <f aca="false">$C$2*(1+IF(E$3&lt;=$O$2,$D30,$D30-($D30-$I$6)*MIN(E$3-$O$2,$Q$2)/$Q$2))</f>
        <v>2264.56183195114</v>
      </c>
      <c r="F30" s="15" t="n">
        <f aca="false">E30*(1+IF(F$3&lt;=$O$2,$D30,$D30-($D30-$I$6)*MIN(F$3-$O$2,$Q$2)/$Q$2))</f>
        <v>2331.01831396814</v>
      </c>
      <c r="G30" s="15" t="n">
        <f aca="false">F30*(1+IF(G$3&lt;=$O$2,$D30,$D30-($D30-$I$6)*MIN(G$3-$O$2,$Q$2)/$Q$2))</f>
        <v>2399.42504699607</v>
      </c>
      <c r="H30" s="15" t="n">
        <f aca="false">G30*(1+IF(H$3&lt;=$O$2,$D30,$D30-($D30-$I$6)*MIN(H$3-$O$2,$Q$2)/$Q$2))</f>
        <v>2469.83926366131</v>
      </c>
      <c r="I30" s="15" t="n">
        <f aca="false">H30*(1+IF(I$3&lt;=$O$2,$D30,$D30-($D30-$I$6)*MIN(I$3-$O$2,$Q$2)/$Q$2))</f>
        <v>2542.31987615532</v>
      </c>
      <c r="J30" s="15" t="n">
        <f aca="false">I30*(1+IF(J$3&lt;=$O$2,$D30,$D30-($D30-$I$6)*MIN(J$3-$O$2,$Q$2)/$Q$2))</f>
        <v>2616.39552614905</v>
      </c>
      <c r="K30" s="15" t="n">
        <f aca="false">J30*(1+IF(K$3&lt;=$O$2,$D30,$D30-($D30-$I$6)*MIN(K$3-$O$2,$Q$2)/$Q$2))</f>
        <v>2692.08202030786</v>
      </c>
      <c r="L30" s="15" t="n">
        <f aca="false">K30*(1+IF(L$3&lt;=$O$2,$D30,$D30-($D30-$I$6)*MIN(L$3-$O$2,$Q$2)/$Q$2))</f>
        <v>2769.39461792065</v>
      </c>
      <c r="M30" s="15" t="n">
        <f aca="false">L30*(1+IF(M$3&lt;=$O$2,$D30,$D30-($D30-$I$6)*MIN(M$3-$O$2,$Q$2)/$Q$2))</f>
        <v>2848.34800206388</v>
      </c>
      <c r="N30" s="15" t="n">
        <f aca="false">M30*(1+IF(N$3&lt;=$O$2,$D30,$D30-($D30-$I$6)*MIN(N$3-$O$2,$Q$2)/$Q$2))</f>
        <v>2928.95625052229</v>
      </c>
      <c r="O30" s="15" t="n">
        <f aca="false">SUMPRODUCT(E30:N30,1/(1+$F$6)^$E$3:$N$3)*$E$2</f>
        <v>8924.05967188988</v>
      </c>
      <c r="P30" s="15" t="n">
        <f aca="false">N30*$E$2*(1+$I$6)/($F$6-$I$6)/(1+$F$6)^$N$3</f>
        <v>14906.2765426827</v>
      </c>
      <c r="Q30" s="15" t="n">
        <f aca="false">O30+P30</f>
        <v>23830.3362145726</v>
      </c>
      <c r="R30" s="15" t="n">
        <f aca="false">Q30-$G$2+$I$2</f>
        <v>25739.9962145726</v>
      </c>
      <c r="S30" s="42" t="n">
        <f aca="false">R30/$K$2</f>
        <v>109.98588306872</v>
      </c>
      <c r="T30" s="43" t="n">
        <f aca="false">S30-$M$2</f>
        <v>-1.61749665181787E-005</v>
      </c>
    </row>
    <row r="31" customFormat="false" ht="15" hidden="false" customHeight="false" outlineLevel="0" collapsed="false">
      <c r="A31" s="5" t="n">
        <v>24</v>
      </c>
      <c r="B31" s="25" t="n">
        <f aca="false">IF(T30&gt;0,B30,D30)</f>
        <v>0.0293462872505188</v>
      </c>
      <c r="C31" s="25" t="n">
        <f aca="false">IF(T30&gt;0,D30,C30)</f>
        <v>0.0293464660644531</v>
      </c>
      <c r="D31" s="41" t="n">
        <f aca="false">(B31+C31)/2</f>
        <v>0.029346376657486</v>
      </c>
      <c r="E31" s="15" t="n">
        <f aca="false">$C$2*(1+IF(E$3&lt;=$O$2,$D31,$D31-($D31-$I$6)*MIN(E$3-$O$2,$Q$2)/$Q$2))</f>
        <v>2264.56202864647</v>
      </c>
      <c r="F31" s="15" t="n">
        <f aca="false">E31*(1+IF(F$3&lt;=$O$2,$D31,$D31-($D31-$I$6)*MIN(F$3-$O$2,$Q$2)/$Q$2))</f>
        <v>2331.01871890337</v>
      </c>
      <c r="G31" s="15" t="n">
        <f aca="false">F31*(1+IF(G$3&lt;=$O$2,$D31,$D31-($D31-$I$6)*MIN(G$3-$O$2,$Q$2)/$Q$2))</f>
        <v>2399.42567222396</v>
      </c>
      <c r="H31" s="15" t="n">
        <f aca="false">G31*(1+IF(H$3&lt;=$O$2,$D31,$D31-($D31-$I$6)*MIN(H$3-$O$2,$Q$2)/$Q$2))</f>
        <v>2469.84012176268</v>
      </c>
      <c r="I31" s="15" t="n">
        <f aca="false">H31*(1+IF(I$3&lt;=$O$2,$D31,$D31-($D31-$I$6)*MIN(I$3-$O$2,$Q$2)/$Q$2))</f>
        <v>2542.3209802597</v>
      </c>
      <c r="J31" s="15" t="n">
        <f aca="false">I31*(1+IF(J$3&lt;=$O$2,$D31,$D31-($D31-$I$6)*MIN(J$3-$O$2,$Q$2)/$Q$2))</f>
        <v>2616.39684426472</v>
      </c>
      <c r="K31" s="15" t="n">
        <f aca="false">J31*(1+IF(K$3&lt;=$O$2,$D31,$D31-($D31-$I$6)*MIN(K$3-$O$2,$Q$2)/$Q$2))</f>
        <v>2692.08351690814</v>
      </c>
      <c r="L31" s="15" t="n">
        <f aca="false">K31*(1+IF(L$3&lt;=$O$2,$D31,$D31-($D31-$I$6)*MIN(L$3-$O$2,$Q$2)/$Q$2))</f>
        <v>2769.39625377748</v>
      </c>
      <c r="M31" s="15" t="n">
        <f aca="false">L31*(1+IF(M$3&lt;=$O$2,$D31,$D31-($D31-$I$6)*MIN(M$3-$O$2,$Q$2)/$Q$2))</f>
        <v>2848.34973407844</v>
      </c>
      <c r="N31" s="15" t="n">
        <f aca="false">M31*(1+IF(N$3&lt;=$O$2,$D31,$D31-($D31-$I$6)*MIN(N$3-$O$2,$Q$2)/$Q$2))</f>
        <v>2928.95803155286</v>
      </c>
      <c r="O31" s="15" t="n">
        <f aca="false">SUMPRODUCT(E31:N31,1/(1+$F$6)^$E$3:$N$3)*$E$2</f>
        <v>8924.06318260453</v>
      </c>
      <c r="P31" s="15" t="n">
        <f aca="false">N31*$E$2*(1+$I$6)/($F$6-$I$6)/(1+$F$6)^$N$3</f>
        <v>14906.2856068448</v>
      </c>
      <c r="Q31" s="15" t="n">
        <f aca="false">O31+P31</f>
        <v>23830.3487894493</v>
      </c>
      <c r="R31" s="15" t="n">
        <f aca="false">Q31-$G$2+$I$2</f>
        <v>25740.0087894493</v>
      </c>
      <c r="S31" s="42" t="n">
        <f aca="false">R31/$K$2</f>
        <v>109.985936800621</v>
      </c>
      <c r="T31" s="43" t="n">
        <f aca="false">S31-$M$2</f>
        <v>3.75569342736526E-005</v>
      </c>
    </row>
    <row r="32" customFormat="false" ht="15" hidden="false" customHeight="false" outlineLevel="0" collapsed="false">
      <c r="A32" s="5" t="n">
        <v>25</v>
      </c>
      <c r="B32" s="25" t="n">
        <f aca="false">IF(T31&gt;0,B31,D31)</f>
        <v>0.0293462872505188</v>
      </c>
      <c r="C32" s="25" t="n">
        <f aca="false">IF(T31&gt;0,D31,C31)</f>
        <v>0.029346376657486</v>
      </c>
      <c r="D32" s="41" t="n">
        <f aca="false">(B32+C32)/2</f>
        <v>0.0293463319540024</v>
      </c>
      <c r="E32" s="15" t="n">
        <f aca="false">$C$2*(1+IF(E$3&lt;=$O$2,$D32,$D32-($D32-$I$6)*MIN(E$3-$O$2,$Q$2)/$Q$2))</f>
        <v>2264.56193029881</v>
      </c>
      <c r="F32" s="15" t="n">
        <f aca="false">E32*(1+IF(F$3&lt;=$O$2,$D32,$D32-($D32-$I$6)*MIN(F$3-$O$2,$Q$2)/$Q$2))</f>
        <v>2331.01851643575</v>
      </c>
      <c r="G32" s="15" t="n">
        <f aca="false">F32*(1+IF(G$3&lt;=$O$2,$D32,$D32-($D32-$I$6)*MIN(G$3-$O$2,$Q$2)/$Q$2))</f>
        <v>2399.42535961</v>
      </c>
      <c r="H32" s="15" t="n">
        <f aca="false">G32*(1+IF(H$3&lt;=$O$2,$D32,$D32-($D32-$I$6)*MIN(H$3-$O$2,$Q$2)/$Q$2))</f>
        <v>2469.83969271197</v>
      </c>
      <c r="I32" s="15" t="n">
        <f aca="false">H32*(1+IF(I$3&lt;=$O$2,$D32,$D32-($D32-$I$6)*MIN(I$3-$O$2,$Q$2)/$Q$2))</f>
        <v>2542.32042820746</v>
      </c>
      <c r="J32" s="15" t="n">
        <f aca="false">I32*(1+IF(J$3&lt;=$O$2,$D32,$D32-($D32-$I$6)*MIN(J$3-$O$2,$Q$2)/$Q$2))</f>
        <v>2616.39618520681</v>
      </c>
      <c r="K32" s="15" t="n">
        <f aca="false">J32*(1+IF(K$3&lt;=$O$2,$D32,$D32-($D32-$I$6)*MIN(K$3-$O$2,$Q$2)/$Q$2))</f>
        <v>2692.08276860791</v>
      </c>
      <c r="L32" s="15" t="n">
        <f aca="false">K32*(1+IF(L$3&lt;=$O$2,$D32,$D32-($D32-$I$6)*MIN(L$3-$O$2,$Q$2)/$Q$2))</f>
        <v>2769.39543584896</v>
      </c>
      <c r="M32" s="15" t="n">
        <f aca="false">L32*(1+IF(M$3&lt;=$O$2,$D32,$D32-($D32-$I$6)*MIN(M$3-$O$2,$Q$2)/$Q$2))</f>
        <v>2848.34886807105</v>
      </c>
      <c r="N32" s="15" t="n">
        <f aca="false">M32*(1+IF(N$3&lt;=$O$2,$D32,$D32-($D32-$I$6)*MIN(N$3-$O$2,$Q$2)/$Q$2))</f>
        <v>2928.95714103746</v>
      </c>
      <c r="O32" s="15" t="n">
        <f aca="false">SUMPRODUCT(E32:N32,1/(1+$F$6)^$E$3:$N$3)*$E$2</f>
        <v>8924.06142724703</v>
      </c>
      <c r="P32" s="15" t="n">
        <f aca="false">N32*$E$2*(1+$I$6)/($F$6-$I$6)/(1+$F$6)^$N$3</f>
        <v>14906.2810747631</v>
      </c>
      <c r="Q32" s="15" t="n">
        <f aca="false">O32+P32</f>
        <v>23830.3425020102</v>
      </c>
      <c r="R32" s="15" t="n">
        <f aca="false">Q32-$G$2+$I$2</f>
        <v>25740.0025020102</v>
      </c>
      <c r="S32" s="42" t="n">
        <f aca="false">R32/$K$2</f>
        <v>109.985909934667</v>
      </c>
      <c r="T32" s="43" t="n">
        <f aca="false">S32-$M$2</f>
        <v>1.06909805452915E-005</v>
      </c>
    </row>
    <row r="33" customFormat="false" ht="15" hidden="false" customHeight="false" outlineLevel="0" collapsed="false">
      <c r="A33" s="5" t="n">
        <v>26</v>
      </c>
      <c r="B33" s="25" t="n">
        <f aca="false">IF(T32&gt;0,B32,D32)</f>
        <v>0.0293462872505188</v>
      </c>
      <c r="C33" s="25" t="n">
        <f aca="false">IF(T32&gt;0,D32,C32)</f>
        <v>0.0293463319540024</v>
      </c>
      <c r="D33" s="41" t="n">
        <f aca="false">(B33+C33)/2</f>
        <v>0.0293463096022606</v>
      </c>
      <c r="E33" s="15" t="n">
        <f aca="false">$C$2*(1+IF(E$3&lt;=$O$2,$D33,$D33-($D33-$I$6)*MIN(E$3-$O$2,$Q$2)/$Q$2))</f>
        <v>2264.56188112497</v>
      </c>
      <c r="F33" s="15" t="n">
        <f aca="false">E33*(1+IF(F$3&lt;=$O$2,$D33,$D33-($D33-$I$6)*MIN(F$3-$O$2,$Q$2)/$Q$2))</f>
        <v>2331.01841520194</v>
      </c>
      <c r="G33" s="15" t="n">
        <f aca="false">F33*(1+IF(G$3&lt;=$O$2,$D33,$D33-($D33-$I$6)*MIN(G$3-$O$2,$Q$2)/$Q$2))</f>
        <v>2399.42520330303</v>
      </c>
      <c r="H33" s="15" t="n">
        <f aca="false">G33*(1+IF(H$3&lt;=$O$2,$D33,$D33-($D33-$I$6)*MIN(H$3-$O$2,$Q$2)/$Q$2))</f>
        <v>2469.83947818663</v>
      </c>
      <c r="I33" s="15" t="n">
        <f aca="false">H33*(1+IF(I$3&lt;=$O$2,$D33,$D33-($D33-$I$6)*MIN(I$3-$O$2,$Q$2)/$Q$2))</f>
        <v>2542.32015218138</v>
      </c>
      <c r="J33" s="15" t="n">
        <f aca="false">I33*(1+IF(J$3&lt;=$O$2,$D33,$D33-($D33-$I$6)*MIN(J$3-$O$2,$Q$2)/$Q$2))</f>
        <v>2616.39585567791</v>
      </c>
      <c r="K33" s="15" t="n">
        <f aca="false">J33*(1+IF(K$3&lt;=$O$2,$D33,$D33-($D33-$I$6)*MIN(K$3-$O$2,$Q$2)/$Q$2))</f>
        <v>2692.08239445786</v>
      </c>
      <c r="L33" s="15" t="n">
        <f aca="false">K33*(1+IF(L$3&lt;=$O$2,$D33,$D33-($D33-$I$6)*MIN(L$3-$O$2,$Q$2)/$Q$2))</f>
        <v>2769.39502688478</v>
      </c>
      <c r="M33" s="15" t="n">
        <f aca="false">L33*(1+IF(M$3&lt;=$O$2,$D33,$D33-($D33-$I$6)*MIN(M$3-$O$2,$Q$2)/$Q$2))</f>
        <v>2848.34843506743</v>
      </c>
      <c r="N33" s="15" t="n">
        <f aca="false">M33*(1+IF(N$3&lt;=$O$2,$D33,$D33-($D33-$I$6)*MIN(N$3-$O$2,$Q$2)/$Q$2))</f>
        <v>2928.95669577984</v>
      </c>
      <c r="O33" s="15" t="n">
        <f aca="false">SUMPRODUCT(E33:N33,1/(1+$F$6)^$E$3:$N$3)*$E$2</f>
        <v>8924.06054956841</v>
      </c>
      <c r="P33" s="15" t="n">
        <f aca="false">N33*$E$2*(1+$I$6)/($F$6-$I$6)/(1+$F$6)^$N$3</f>
        <v>14906.2788087228</v>
      </c>
      <c r="Q33" s="15" t="n">
        <f aca="false">O33+P33</f>
        <v>23830.3393582912</v>
      </c>
      <c r="R33" s="15" t="n">
        <f aca="false">Q33-$G$2+$I$2</f>
        <v>25739.9993582912</v>
      </c>
      <c r="S33" s="42" t="n">
        <f aca="false">R33/$K$2</f>
        <v>109.985896501693</v>
      </c>
      <c r="T33" s="43" t="n">
        <f aca="false">S33-$M$2</f>
        <v>-2.74199382488405E-006</v>
      </c>
    </row>
    <row r="34" customFormat="false" ht="15" hidden="false" customHeight="false" outlineLevel="0" collapsed="false">
      <c r="A34" s="5" t="n">
        <v>27</v>
      </c>
      <c r="B34" s="25" t="n">
        <f aca="false">IF(T33&gt;0,B33,D33)</f>
        <v>0.0293463096022606</v>
      </c>
      <c r="C34" s="25" t="n">
        <f aca="false">IF(T33&gt;0,D33,C33)</f>
        <v>0.0293463319540024</v>
      </c>
      <c r="D34" s="41" t="n">
        <f aca="false">(B34+C34)/2</f>
        <v>0.0293463207781315</v>
      </c>
      <c r="E34" s="15" t="n">
        <f aca="false">$C$2*(1+IF(E$3&lt;=$O$2,$D34,$D34-($D34-$I$6)*MIN(E$3-$O$2,$Q$2)/$Q$2))</f>
        <v>2264.56190571189</v>
      </c>
      <c r="F34" s="15" t="n">
        <f aca="false">E34*(1+IF(F$3&lt;=$O$2,$D34,$D34-($D34-$I$6)*MIN(F$3-$O$2,$Q$2)/$Q$2))</f>
        <v>2331.01846581885</v>
      </c>
      <c r="G34" s="15" t="n">
        <f aca="false">F34*(1+IF(G$3&lt;=$O$2,$D34,$D34-($D34-$I$6)*MIN(G$3-$O$2,$Q$2)/$Q$2))</f>
        <v>2399.42528145652</v>
      </c>
      <c r="H34" s="15" t="n">
        <f aca="false">G34*(1+IF(H$3&lt;=$O$2,$D34,$D34-($D34-$I$6)*MIN(H$3-$O$2,$Q$2)/$Q$2))</f>
        <v>2469.8395854493</v>
      </c>
      <c r="I34" s="15" t="n">
        <f aca="false">H34*(1+IF(I$3&lt;=$O$2,$D34,$D34-($D34-$I$6)*MIN(I$3-$O$2,$Q$2)/$Q$2))</f>
        <v>2542.32029019442</v>
      </c>
      <c r="J34" s="15" t="n">
        <f aca="false">I34*(1+IF(J$3&lt;=$O$2,$D34,$D34-($D34-$I$6)*MIN(J$3-$O$2,$Q$2)/$Q$2))</f>
        <v>2616.39602044236</v>
      </c>
      <c r="K34" s="15" t="n">
        <f aca="false">J34*(1+IF(K$3&lt;=$O$2,$D34,$D34-($D34-$I$6)*MIN(K$3-$O$2,$Q$2)/$Q$2))</f>
        <v>2692.08258153288</v>
      </c>
      <c r="L34" s="15" t="n">
        <f aca="false">K34*(1+IF(L$3&lt;=$O$2,$D34,$D34-($D34-$I$6)*MIN(L$3-$O$2,$Q$2)/$Q$2))</f>
        <v>2769.39523136686</v>
      </c>
      <c r="M34" s="15" t="n">
        <f aca="false">L34*(1+IF(M$3&lt;=$O$2,$D34,$D34-($D34-$I$6)*MIN(M$3-$O$2,$Q$2)/$Q$2))</f>
        <v>2848.34865156923</v>
      </c>
      <c r="N34" s="15" t="n">
        <f aca="false">M34*(1+IF(N$3&lt;=$O$2,$D34,$D34-($D34-$I$6)*MIN(N$3-$O$2,$Q$2)/$Q$2))</f>
        <v>2928.95691840864</v>
      </c>
      <c r="O34" s="15" t="n">
        <f aca="false">SUMPRODUCT(E34:N34,1/(1+$F$6)^$E$3:$N$3)*$E$2</f>
        <v>8924.06098840771</v>
      </c>
      <c r="P34" s="15" t="n">
        <f aca="false">N34*$E$2*(1+$I$6)/($F$6-$I$6)/(1+$F$6)^$N$3</f>
        <v>14906.2799417429</v>
      </c>
      <c r="Q34" s="15" t="n">
        <f aca="false">O34+P34</f>
        <v>23830.3409301506</v>
      </c>
      <c r="R34" s="15" t="n">
        <f aca="false">Q34-$G$2+$I$2</f>
        <v>25740.0009301506</v>
      </c>
      <c r="S34" s="42" t="n">
        <f aca="false">R34/$K$2</f>
        <v>109.98590321818</v>
      </c>
      <c r="T34" s="43" t="n">
        <f aca="false">S34-$M$2</f>
        <v>3.97449316835719E-006</v>
      </c>
    </row>
    <row r="35" customFormat="false" ht="15" hidden="false" customHeight="false" outlineLevel="0" collapsed="false">
      <c r="A35" s="5" t="n">
        <v>28</v>
      </c>
      <c r="B35" s="25" t="n">
        <f aca="false">IF(T34&gt;0,B34,D34)</f>
        <v>0.0293463096022606</v>
      </c>
      <c r="C35" s="25" t="n">
        <f aca="false">IF(T34&gt;0,D34,C34)</f>
        <v>0.0293463207781315</v>
      </c>
      <c r="D35" s="41" t="n">
        <f aca="false">(B35+C35)/2</f>
        <v>0.029346315190196</v>
      </c>
      <c r="E35" s="15" t="n">
        <f aca="false">$C$2*(1+IF(E$3&lt;=$O$2,$D35,$D35-($D35-$I$6)*MIN(E$3-$O$2,$Q$2)/$Q$2))</f>
        <v>2264.56189341843</v>
      </c>
      <c r="F35" s="15" t="n">
        <f aca="false">E35*(1+IF(F$3&lt;=$O$2,$D35,$D35-($D35-$I$6)*MIN(F$3-$O$2,$Q$2)/$Q$2))</f>
        <v>2331.0184405104</v>
      </c>
      <c r="G35" s="15" t="n">
        <f aca="false">F35*(1+IF(G$3&lt;=$O$2,$D35,$D35-($D35-$I$6)*MIN(G$3-$O$2,$Q$2)/$Q$2))</f>
        <v>2399.42524237977</v>
      </c>
      <c r="H35" s="15" t="n">
        <f aca="false">G35*(1+IF(H$3&lt;=$O$2,$D35,$D35-($D35-$I$6)*MIN(H$3-$O$2,$Q$2)/$Q$2))</f>
        <v>2469.83953181796</v>
      </c>
      <c r="I35" s="15" t="n">
        <f aca="false">H35*(1+IF(I$3&lt;=$O$2,$D35,$D35-($D35-$I$6)*MIN(I$3-$O$2,$Q$2)/$Q$2))</f>
        <v>2542.3202211879</v>
      </c>
      <c r="J35" s="15" t="n">
        <f aca="false">I35*(1+IF(J$3&lt;=$O$2,$D35,$D35-($D35-$I$6)*MIN(J$3-$O$2,$Q$2)/$Q$2))</f>
        <v>2616.39593806013</v>
      </c>
      <c r="K35" s="15" t="n">
        <f aca="false">J35*(1+IF(K$3&lt;=$O$2,$D35,$D35-($D35-$I$6)*MIN(K$3-$O$2,$Q$2)/$Q$2))</f>
        <v>2692.08248799537</v>
      </c>
      <c r="L35" s="15" t="n">
        <f aca="false">K35*(1+IF(L$3&lt;=$O$2,$D35,$D35-($D35-$I$6)*MIN(L$3-$O$2,$Q$2)/$Q$2))</f>
        <v>2769.39512912582</v>
      </c>
      <c r="M35" s="15" t="n">
        <f aca="false">L35*(1+IF(M$3&lt;=$O$2,$D35,$D35-($D35-$I$6)*MIN(M$3-$O$2,$Q$2)/$Q$2))</f>
        <v>2848.34854331833</v>
      </c>
      <c r="N35" s="15" t="n">
        <f aca="false">M35*(1+IF(N$3&lt;=$O$2,$D35,$D35-($D35-$I$6)*MIN(N$3-$O$2,$Q$2)/$Q$2))</f>
        <v>2928.95680709424</v>
      </c>
      <c r="O35" s="15" t="n">
        <f aca="false">SUMPRODUCT(E35:N35,1/(1+$F$6)^$E$3:$N$3)*$E$2</f>
        <v>8924.06076898806</v>
      </c>
      <c r="P35" s="15" t="n">
        <f aca="false">N35*$E$2*(1+$I$6)/($F$6-$I$6)/(1+$F$6)^$N$3</f>
        <v>14906.2793752328</v>
      </c>
      <c r="Q35" s="15" t="n">
        <f aca="false">O35+P35</f>
        <v>23830.3401442209</v>
      </c>
      <c r="R35" s="15" t="n">
        <f aca="false">Q35-$G$2+$I$2</f>
        <v>25740.0001442209</v>
      </c>
      <c r="S35" s="42" t="n">
        <f aca="false">R35/$K$2</f>
        <v>109.985899859936</v>
      </c>
      <c r="T35" s="43" t="n">
        <f aca="false">S35-$M$2</f>
        <v>6.16249593576868E-007</v>
      </c>
    </row>
    <row r="36" customFormat="false" ht="15" hidden="false" customHeight="false" outlineLevel="0" collapsed="false">
      <c r="A36" s="5" t="n">
        <v>29</v>
      </c>
      <c r="B36" s="25" t="n">
        <f aca="false">IF(T35&gt;0,B35,D35)</f>
        <v>0.0293463096022606</v>
      </c>
      <c r="C36" s="25" t="n">
        <f aca="false">IF(T35&gt;0,D35,C35)</f>
        <v>0.029346315190196</v>
      </c>
      <c r="D36" s="41" t="n">
        <f aca="false">(B36+C36)/2</f>
        <v>0.0293463123962283</v>
      </c>
      <c r="E36" s="15" t="n">
        <f aca="false">$C$2*(1+IF(E$3&lt;=$O$2,$D36,$D36-($D36-$I$6)*MIN(E$3-$O$2,$Q$2)/$Q$2))</f>
        <v>2264.5618872717</v>
      </c>
      <c r="F36" s="15" t="n">
        <f aca="false">E36*(1+IF(F$3&lt;=$O$2,$D36,$D36-($D36-$I$6)*MIN(F$3-$O$2,$Q$2)/$Q$2))</f>
        <v>2331.01842785617</v>
      </c>
      <c r="G36" s="15" t="n">
        <f aca="false">F36*(1+IF(G$3&lt;=$O$2,$D36,$D36-($D36-$I$6)*MIN(G$3-$O$2,$Q$2)/$Q$2))</f>
        <v>2399.4252228414</v>
      </c>
      <c r="H36" s="15" t="n">
        <f aca="false">G36*(1+IF(H$3&lt;=$O$2,$D36,$D36-($D36-$I$6)*MIN(H$3-$O$2,$Q$2)/$Q$2))</f>
        <v>2469.8395050023</v>
      </c>
      <c r="I36" s="15" t="n">
        <f aca="false">H36*(1+IF(I$3&lt;=$O$2,$D36,$D36-($D36-$I$6)*MIN(I$3-$O$2,$Q$2)/$Q$2))</f>
        <v>2542.32018668464</v>
      </c>
      <c r="J36" s="15" t="n">
        <f aca="false">I36*(1+IF(J$3&lt;=$O$2,$D36,$D36-($D36-$I$6)*MIN(J$3-$O$2,$Q$2)/$Q$2))</f>
        <v>2616.39589686902</v>
      </c>
      <c r="K36" s="15" t="n">
        <f aca="false">J36*(1+IF(K$3&lt;=$O$2,$D36,$D36-($D36-$I$6)*MIN(K$3-$O$2,$Q$2)/$Q$2))</f>
        <v>2692.08244122662</v>
      </c>
      <c r="L36" s="15" t="n">
        <f aca="false">K36*(1+IF(L$3&lt;=$O$2,$D36,$D36-($D36-$I$6)*MIN(L$3-$O$2,$Q$2)/$Q$2))</f>
        <v>2769.3950780053</v>
      </c>
      <c r="M36" s="15" t="n">
        <f aca="false">L36*(1+IF(M$3&lt;=$O$2,$D36,$D36-($D36-$I$6)*MIN(M$3-$O$2,$Q$2)/$Q$2))</f>
        <v>2848.34848919288</v>
      </c>
      <c r="N36" s="15" t="n">
        <f aca="false">M36*(1+IF(N$3&lt;=$O$2,$D36,$D36-($D36-$I$6)*MIN(N$3-$O$2,$Q$2)/$Q$2))</f>
        <v>2928.95675143704</v>
      </c>
      <c r="O36" s="15" t="n">
        <f aca="false">SUMPRODUCT(E36:N36,1/(1+$F$6)^$E$3:$N$3)*$E$2</f>
        <v>8924.06065927824</v>
      </c>
      <c r="P36" s="15" t="n">
        <f aca="false">N36*$E$2*(1+$I$6)/($F$6-$I$6)/(1+$F$6)^$N$3</f>
        <v>14906.2790919778</v>
      </c>
      <c r="Q36" s="15" t="n">
        <f aca="false">O36+P36</f>
        <v>23830.339751256</v>
      </c>
      <c r="R36" s="15" t="n">
        <f aca="false">Q36-$G$2+$I$2</f>
        <v>25739.999751256</v>
      </c>
      <c r="S36" s="42" t="n">
        <f aca="false">R36/$K$2</f>
        <v>109.985898180815</v>
      </c>
      <c r="T36" s="43" t="n">
        <f aca="false">S36-$M$2</f>
        <v>-1.06287210144274E-006</v>
      </c>
    </row>
    <row r="37" customFormat="false" ht="15" hidden="false" customHeight="false" outlineLevel="0" collapsed="false">
      <c r="A37" s="5" t="n">
        <v>30</v>
      </c>
      <c r="B37" s="25" t="n">
        <f aca="false">IF(T36&gt;0,B36,D36)</f>
        <v>0.0293463123962283</v>
      </c>
      <c r="C37" s="25" t="n">
        <f aca="false">IF(T36&gt;0,D36,C36)</f>
        <v>0.029346315190196</v>
      </c>
      <c r="D37" s="41" t="n">
        <f aca="false">(B37+C37)/2</f>
        <v>0.0293463137932122</v>
      </c>
      <c r="E37" s="15" t="n">
        <f aca="false">$C$2*(1+IF(E$3&lt;=$O$2,$D37,$D37-($D37-$I$6)*MIN(E$3-$O$2,$Q$2)/$Q$2))</f>
        <v>2264.56189034507</v>
      </c>
      <c r="F37" s="15" t="n">
        <f aca="false">E37*(1+IF(F$3&lt;=$O$2,$D37,$D37-($D37-$I$6)*MIN(F$3-$O$2,$Q$2)/$Q$2))</f>
        <v>2331.01843418328</v>
      </c>
      <c r="G37" s="15" t="n">
        <f aca="false">F37*(1+IF(G$3&lt;=$O$2,$D37,$D37-($D37-$I$6)*MIN(G$3-$O$2,$Q$2)/$Q$2))</f>
        <v>2399.42523261059</v>
      </c>
      <c r="H37" s="15" t="n">
        <f aca="false">G37*(1+IF(H$3&lt;=$O$2,$D37,$D37-($D37-$I$6)*MIN(H$3-$O$2,$Q$2)/$Q$2))</f>
        <v>2469.83951841013</v>
      </c>
      <c r="I37" s="15" t="n">
        <f aca="false">H37*(1+IF(I$3&lt;=$O$2,$D37,$D37-($D37-$I$6)*MIN(I$3-$O$2,$Q$2)/$Q$2))</f>
        <v>2542.32020393627</v>
      </c>
      <c r="J37" s="15" t="n">
        <f aca="false">I37*(1+IF(J$3&lt;=$O$2,$D37,$D37-($D37-$I$6)*MIN(J$3-$O$2,$Q$2)/$Q$2))</f>
        <v>2616.39591746458</v>
      </c>
      <c r="K37" s="15" t="n">
        <f aca="false">J37*(1+IF(K$3&lt;=$O$2,$D37,$D37-($D37-$I$6)*MIN(K$3-$O$2,$Q$2)/$Q$2))</f>
        <v>2692.08246461099</v>
      </c>
      <c r="L37" s="15" t="n">
        <f aca="false">K37*(1+IF(L$3&lt;=$O$2,$D37,$D37-($D37-$I$6)*MIN(L$3-$O$2,$Q$2)/$Q$2))</f>
        <v>2769.39510356556</v>
      </c>
      <c r="M37" s="15" t="n">
        <f aca="false">L37*(1+IF(M$3&lt;=$O$2,$D37,$D37-($D37-$I$6)*MIN(M$3-$O$2,$Q$2)/$Q$2))</f>
        <v>2848.34851625561</v>
      </c>
      <c r="N37" s="15" t="n">
        <f aca="false">M37*(1+IF(N$3&lt;=$O$2,$D37,$D37-($D37-$I$6)*MIN(N$3-$O$2,$Q$2)/$Q$2))</f>
        <v>2928.95677926564</v>
      </c>
      <c r="O37" s="15" t="n">
        <f aca="false">SUMPRODUCT(E37:N37,1/(1+$F$6)^$E$3:$N$3)*$E$2</f>
        <v>8924.06071413315</v>
      </c>
      <c r="P37" s="15" t="n">
        <f aca="false">N37*$E$2*(1+$I$6)/($F$6-$I$6)/(1+$F$6)^$N$3</f>
        <v>14906.2792336053</v>
      </c>
      <c r="Q37" s="15" t="n">
        <f aca="false">O37+P37</f>
        <v>23830.3399477385</v>
      </c>
      <c r="R37" s="15" t="n">
        <f aca="false">Q37-$G$2+$I$2</f>
        <v>25739.9999477385</v>
      </c>
      <c r="S37" s="42" t="n">
        <f aca="false">R37/$K$2</f>
        <v>109.985899020375</v>
      </c>
      <c r="T37" s="43" t="n">
        <f aca="false">S37-$M$2</f>
        <v>-2.23311261038361E-007</v>
      </c>
    </row>
    <row r="38" customFormat="false" ht="15" hidden="false" customHeight="false" outlineLevel="0" collapsed="false">
      <c r="A38" s="5" t="n">
        <v>31</v>
      </c>
      <c r="B38" s="25" t="n">
        <f aca="false">IF(T37&gt;0,B37,D37)</f>
        <v>0.0293463137932122</v>
      </c>
      <c r="C38" s="25" t="n">
        <f aca="false">IF(T37&gt;0,D37,C37)</f>
        <v>0.029346315190196</v>
      </c>
      <c r="D38" s="41" t="n">
        <f aca="false">(B38+C38)/2</f>
        <v>0.0293463144917041</v>
      </c>
      <c r="E38" s="15" t="n">
        <f aca="false">$C$2*(1+IF(E$3&lt;=$O$2,$D38,$D38-($D38-$I$6)*MIN(E$3-$O$2,$Q$2)/$Q$2))</f>
        <v>2264.56189188175</v>
      </c>
      <c r="F38" s="15" t="n">
        <f aca="false">E38*(1+IF(F$3&lt;=$O$2,$D38,$D38-($D38-$I$6)*MIN(F$3-$O$2,$Q$2)/$Q$2))</f>
        <v>2331.01843734684</v>
      </c>
      <c r="G38" s="15" t="n">
        <f aca="false">F38*(1+IF(G$3&lt;=$O$2,$D38,$D38-($D38-$I$6)*MIN(G$3-$O$2,$Q$2)/$Q$2))</f>
        <v>2399.42523749518</v>
      </c>
      <c r="H38" s="15" t="n">
        <f aca="false">G38*(1+IF(H$3&lt;=$O$2,$D38,$D38-($D38-$I$6)*MIN(H$3-$O$2,$Q$2)/$Q$2))</f>
        <v>2469.83952511405</v>
      </c>
      <c r="I38" s="15" t="n">
        <f aca="false">H38*(1+IF(I$3&lt;=$O$2,$D38,$D38-($D38-$I$6)*MIN(I$3-$O$2,$Q$2)/$Q$2))</f>
        <v>2542.32021256208</v>
      </c>
      <c r="J38" s="15" t="n">
        <f aca="false">I38*(1+IF(J$3&lt;=$O$2,$D38,$D38-($D38-$I$6)*MIN(J$3-$O$2,$Q$2)/$Q$2))</f>
        <v>2616.39592776236</v>
      </c>
      <c r="K38" s="15" t="n">
        <f aca="false">J38*(1+IF(K$3&lt;=$O$2,$D38,$D38-($D38-$I$6)*MIN(K$3-$O$2,$Q$2)/$Q$2))</f>
        <v>2692.08247630318</v>
      </c>
      <c r="L38" s="15" t="n">
        <f aca="false">K38*(1+IF(L$3&lt;=$O$2,$D38,$D38-($D38-$I$6)*MIN(L$3-$O$2,$Q$2)/$Q$2))</f>
        <v>2769.39511634569</v>
      </c>
      <c r="M38" s="15" t="n">
        <f aca="false">L38*(1+IF(M$3&lt;=$O$2,$D38,$D38-($D38-$I$6)*MIN(M$3-$O$2,$Q$2)/$Q$2))</f>
        <v>2848.34852978697</v>
      </c>
      <c r="N38" s="15" t="n">
        <f aca="false">M38*(1+IF(N$3&lt;=$O$2,$D38,$D38-($D38-$I$6)*MIN(N$3-$O$2,$Q$2)/$Q$2))</f>
        <v>2928.95679317994</v>
      </c>
      <c r="O38" s="15" t="n">
        <f aca="false">SUMPRODUCT(E38:N38,1/(1+$F$6)^$E$3:$N$3)*$E$2</f>
        <v>8924.06074156061</v>
      </c>
      <c r="P38" s="15" t="n">
        <f aca="false">N38*$E$2*(1+$I$6)/($F$6-$I$6)/(1+$F$6)^$N$3</f>
        <v>14906.2793044191</v>
      </c>
      <c r="Q38" s="15" t="n">
        <f aca="false">O38+P38</f>
        <v>23830.3400459797</v>
      </c>
      <c r="R38" s="15" t="n">
        <f aca="false">Q38-$G$2+$I$2</f>
        <v>25740.0000459797</v>
      </c>
      <c r="S38" s="42" t="n">
        <f aca="false">R38/$K$2</f>
        <v>109.985899440156</v>
      </c>
      <c r="T38" s="43" t="n">
        <f aca="false">S38-$M$2</f>
        <v>1.96469187585535E-007</v>
      </c>
    </row>
    <row r="39" customFormat="false" ht="15" hidden="false" customHeight="false" outlineLevel="0" collapsed="false">
      <c r="A39" s="5" t="n">
        <v>32</v>
      </c>
      <c r="B39" s="25" t="n">
        <f aca="false">IF(T38&gt;0,B38,D38)</f>
        <v>0.0293463137932122</v>
      </c>
      <c r="C39" s="25" t="n">
        <f aca="false">IF(T38&gt;0,D38,C38)</f>
        <v>0.0293463144917041</v>
      </c>
      <c r="D39" s="41" t="n">
        <f aca="false">(B39+C39)/2</f>
        <v>0.0293463141424581</v>
      </c>
      <c r="E39" s="15" t="n">
        <f aca="false">$C$2*(1+IF(E$3&lt;=$O$2,$D39,$D39-($D39-$I$6)*MIN(E$3-$O$2,$Q$2)/$Q$2))</f>
        <v>2264.56189111341</v>
      </c>
      <c r="F39" s="15" t="n">
        <f aca="false">E39*(1+IF(F$3&lt;=$O$2,$D39,$D39-($D39-$I$6)*MIN(F$3-$O$2,$Q$2)/$Q$2))</f>
        <v>2331.01843576506</v>
      </c>
      <c r="G39" s="15" t="n">
        <f aca="false">F39*(1+IF(G$3&lt;=$O$2,$D39,$D39-($D39-$I$6)*MIN(G$3-$O$2,$Q$2)/$Q$2))</f>
        <v>2399.42523505288</v>
      </c>
      <c r="H39" s="15" t="n">
        <f aca="false">G39*(1+IF(H$3&lt;=$O$2,$D39,$D39-($D39-$I$6)*MIN(H$3-$O$2,$Q$2)/$Q$2))</f>
        <v>2469.83952176209</v>
      </c>
      <c r="I39" s="15" t="n">
        <f aca="false">H39*(1+IF(I$3&lt;=$O$2,$D39,$D39-($D39-$I$6)*MIN(I$3-$O$2,$Q$2)/$Q$2))</f>
        <v>2542.32020824918</v>
      </c>
      <c r="J39" s="15" t="n">
        <f aca="false">I39*(1+IF(J$3&lt;=$O$2,$D39,$D39-($D39-$I$6)*MIN(J$3-$O$2,$Q$2)/$Q$2))</f>
        <v>2616.39592261347</v>
      </c>
      <c r="K39" s="15" t="n">
        <f aca="false">J39*(1+IF(K$3&lt;=$O$2,$D39,$D39-($D39-$I$6)*MIN(K$3-$O$2,$Q$2)/$Q$2))</f>
        <v>2692.08247045709</v>
      </c>
      <c r="L39" s="15" t="n">
        <f aca="false">K39*(1+IF(L$3&lt;=$O$2,$D39,$D39-($D39-$I$6)*MIN(L$3-$O$2,$Q$2)/$Q$2))</f>
        <v>2769.39510995562</v>
      </c>
      <c r="M39" s="15" t="n">
        <f aca="false">L39*(1+IF(M$3&lt;=$O$2,$D39,$D39-($D39-$I$6)*MIN(M$3-$O$2,$Q$2)/$Q$2))</f>
        <v>2848.34852302129</v>
      </c>
      <c r="N39" s="15" t="n">
        <f aca="false">M39*(1+IF(N$3&lt;=$O$2,$D39,$D39-($D39-$I$6)*MIN(N$3-$O$2,$Q$2)/$Q$2))</f>
        <v>2928.95678622279</v>
      </c>
      <c r="O39" s="15" t="n">
        <f aca="false">SUMPRODUCT(E39:N39,1/(1+$F$6)^$E$3:$N$3)*$E$2</f>
        <v>8924.06072784687</v>
      </c>
      <c r="P39" s="15" t="n">
        <f aca="false">N39*$E$2*(1+$I$6)/($F$6-$I$6)/(1+$F$6)^$N$3</f>
        <v>14906.2792690122</v>
      </c>
      <c r="Q39" s="15" t="n">
        <f aca="false">O39+P39</f>
        <v>23830.3399968591</v>
      </c>
      <c r="R39" s="15" t="n">
        <f aca="false">Q39-$G$2+$I$2</f>
        <v>25739.9999968591</v>
      </c>
      <c r="S39" s="42" t="n">
        <f aca="false">R39/$K$2</f>
        <v>109.985899230266</v>
      </c>
      <c r="T39" s="43" t="n">
        <f aca="false">S39-$M$2</f>
        <v>-1.34210580426952E-008</v>
      </c>
    </row>
    <row r="40" customFormat="false" ht="15" hidden="false" customHeight="false" outlineLevel="0" collapsed="false">
      <c r="A40" s="5" t="n">
        <v>33</v>
      </c>
      <c r="B40" s="25" t="n">
        <f aca="false">IF(T39&gt;0,B39,D39)</f>
        <v>0.0293463141424581</v>
      </c>
      <c r="C40" s="25" t="n">
        <f aca="false">IF(T39&gt;0,D39,C39)</f>
        <v>0.0293463144917041</v>
      </c>
      <c r="D40" s="41" t="n">
        <f aca="false">(B40+C40)/2</f>
        <v>0.0293463143170811</v>
      </c>
      <c r="E40" s="15" t="n">
        <f aca="false">$C$2*(1+IF(E$3&lt;=$O$2,$D40,$D40-($D40-$I$6)*MIN(E$3-$O$2,$Q$2)/$Q$2))</f>
        <v>2264.56189149758</v>
      </c>
      <c r="F40" s="15" t="n">
        <f aca="false">E40*(1+IF(F$3&lt;=$O$2,$D40,$D40-($D40-$I$6)*MIN(F$3-$O$2,$Q$2)/$Q$2))</f>
        <v>2331.01843655595</v>
      </c>
      <c r="G40" s="15" t="n">
        <f aca="false">F40*(1+IF(G$3&lt;=$O$2,$D40,$D40-($D40-$I$6)*MIN(G$3-$O$2,$Q$2)/$Q$2))</f>
        <v>2399.42523627403</v>
      </c>
      <c r="H40" s="15" t="n">
        <f aca="false">G40*(1+IF(H$3&lt;=$O$2,$D40,$D40-($D40-$I$6)*MIN(H$3-$O$2,$Q$2)/$Q$2))</f>
        <v>2469.83952343807</v>
      </c>
      <c r="I40" s="15" t="n">
        <f aca="false">H40*(1+IF(I$3&lt;=$O$2,$D40,$D40-($D40-$I$6)*MIN(I$3-$O$2,$Q$2)/$Q$2))</f>
        <v>2542.32021040563</v>
      </c>
      <c r="J40" s="15" t="n">
        <f aca="false">I40*(1+IF(J$3&lt;=$O$2,$D40,$D40-($D40-$I$6)*MIN(J$3-$O$2,$Q$2)/$Q$2))</f>
        <v>2616.39592518791</v>
      </c>
      <c r="K40" s="15" t="n">
        <f aca="false">J40*(1+IF(K$3&lt;=$O$2,$D40,$D40-($D40-$I$6)*MIN(K$3-$O$2,$Q$2)/$Q$2))</f>
        <v>2692.08247338013</v>
      </c>
      <c r="L40" s="15" t="n">
        <f aca="false">K40*(1+IF(L$3&lt;=$O$2,$D40,$D40-($D40-$I$6)*MIN(L$3-$O$2,$Q$2)/$Q$2))</f>
        <v>2769.39511315066</v>
      </c>
      <c r="M40" s="15" t="n">
        <f aca="false">L40*(1+IF(M$3&lt;=$O$2,$D40,$D40-($D40-$I$6)*MIN(M$3-$O$2,$Q$2)/$Q$2))</f>
        <v>2848.34852640413</v>
      </c>
      <c r="N40" s="15" t="n">
        <f aca="false">M40*(1+IF(N$3&lt;=$O$2,$D40,$D40-($D40-$I$6)*MIN(N$3-$O$2,$Q$2)/$Q$2))</f>
        <v>2928.95678970137</v>
      </c>
      <c r="O40" s="15" t="n">
        <f aca="false">SUMPRODUCT(E40:N40,1/(1+$F$6)^$E$3:$N$3)*$E$2</f>
        <v>8924.06073470374</v>
      </c>
      <c r="P40" s="15" t="n">
        <f aca="false">N40*$E$2*(1+$I$6)/($F$6-$I$6)/(1+$F$6)^$N$3</f>
        <v>14906.2792867156</v>
      </c>
      <c r="Q40" s="15" t="n">
        <f aca="false">O40+P40</f>
        <v>23830.3400214194</v>
      </c>
      <c r="R40" s="15" t="n">
        <f aca="false">Q40-$G$2+$I$2</f>
        <v>25740.0000214194</v>
      </c>
      <c r="S40" s="42" t="n">
        <f aca="false">R40/$K$2</f>
        <v>109.985899335211</v>
      </c>
      <c r="T40" s="43" t="n">
        <f aca="false">S40-$M$2</f>
        <v>9.1524086087702E-008</v>
      </c>
    </row>
    <row r="41" customFormat="false" ht="15" hidden="false" customHeight="false" outlineLevel="0" collapsed="false">
      <c r="A41" s="5" t="n">
        <v>34</v>
      </c>
      <c r="B41" s="25" t="n">
        <f aca="false">IF(T40&gt;0,B40,D40)</f>
        <v>0.0293463141424581</v>
      </c>
      <c r="C41" s="25" t="n">
        <f aca="false">IF(T40&gt;0,D40,C40)</f>
        <v>0.0293463143170811</v>
      </c>
      <c r="D41" s="41" t="n">
        <f aca="false">(B41+C41)/2</f>
        <v>0.0293463142297696</v>
      </c>
      <c r="E41" s="15" t="n">
        <f aca="false">$C$2*(1+IF(E$3&lt;=$O$2,$D41,$D41-($D41-$I$6)*MIN(E$3-$O$2,$Q$2)/$Q$2))</f>
        <v>2264.56189130549</v>
      </c>
      <c r="F41" s="15" t="n">
        <f aca="false">E41*(1+IF(F$3&lt;=$O$2,$D41,$D41-($D41-$I$6)*MIN(F$3-$O$2,$Q$2)/$Q$2))</f>
        <v>2331.01843616051</v>
      </c>
      <c r="G41" s="15" t="n">
        <f aca="false">F41*(1+IF(G$3&lt;=$O$2,$D41,$D41-($D41-$I$6)*MIN(G$3-$O$2,$Q$2)/$Q$2))</f>
        <v>2399.42523566346</v>
      </c>
      <c r="H41" s="15" t="n">
        <f aca="false">G41*(1+IF(H$3&lt;=$O$2,$D41,$D41-($D41-$I$6)*MIN(H$3-$O$2,$Q$2)/$Q$2))</f>
        <v>2469.83952260008</v>
      </c>
      <c r="I41" s="15" t="n">
        <f aca="false">H41*(1+IF(I$3&lt;=$O$2,$D41,$D41-($D41-$I$6)*MIN(I$3-$O$2,$Q$2)/$Q$2))</f>
        <v>2542.3202093274</v>
      </c>
      <c r="J41" s="15" t="n">
        <f aca="false">I41*(1+IF(J$3&lt;=$O$2,$D41,$D41-($D41-$I$6)*MIN(J$3-$O$2,$Q$2)/$Q$2))</f>
        <v>2616.39592390069</v>
      </c>
      <c r="K41" s="15" t="n">
        <f aca="false">J41*(1+IF(K$3&lt;=$O$2,$D41,$D41-($D41-$I$6)*MIN(K$3-$O$2,$Q$2)/$Q$2))</f>
        <v>2692.08247191861</v>
      </c>
      <c r="L41" s="15" t="n">
        <f aca="false">K41*(1+IF(L$3&lt;=$O$2,$D41,$D41-($D41-$I$6)*MIN(L$3-$O$2,$Q$2)/$Q$2))</f>
        <v>2769.39511155314</v>
      </c>
      <c r="M41" s="15" t="n">
        <f aca="false">L41*(1+IF(M$3&lt;=$O$2,$D41,$D41-($D41-$I$6)*MIN(M$3-$O$2,$Q$2)/$Q$2))</f>
        <v>2848.34852471271</v>
      </c>
      <c r="N41" s="15" t="n">
        <f aca="false">M41*(1+IF(N$3&lt;=$O$2,$D41,$D41-($D41-$I$6)*MIN(N$3-$O$2,$Q$2)/$Q$2))</f>
        <v>2928.95678796208</v>
      </c>
      <c r="O41" s="15" t="n">
        <f aca="false">SUMPRODUCT(E41:N41,1/(1+$F$6)^$E$3:$N$3)*$E$2</f>
        <v>8924.06073127531</v>
      </c>
      <c r="P41" s="15" t="n">
        <f aca="false">N41*$E$2*(1+$I$6)/($F$6-$I$6)/(1+$F$6)^$N$3</f>
        <v>14906.2792778639</v>
      </c>
      <c r="Q41" s="15" t="n">
        <f aca="false">O41+P41</f>
        <v>23830.3400091392</v>
      </c>
      <c r="R41" s="15" t="n">
        <f aca="false">Q41-$G$2+$I$2</f>
        <v>25740.0000091392</v>
      </c>
      <c r="S41" s="42" t="n">
        <f aca="false">R41/$K$2</f>
        <v>109.985899282738</v>
      </c>
      <c r="T41" s="43" t="n">
        <f aca="false">S41-$M$2</f>
        <v>3.90515140225034E-008</v>
      </c>
    </row>
    <row r="42" customFormat="false" ht="15" hidden="false" customHeight="false" outlineLevel="0" collapsed="false">
      <c r="A42" s="5" t="n">
        <v>35</v>
      </c>
      <c r="B42" s="25" t="n">
        <f aca="false">IF(T41&gt;0,B41,D41)</f>
        <v>0.0293463141424581</v>
      </c>
      <c r="C42" s="25" t="n">
        <f aca="false">IF(T41&gt;0,D41,C41)</f>
        <v>0.0293463142297696</v>
      </c>
      <c r="D42" s="41" t="n">
        <f aca="false">(B42+C42)/2</f>
        <v>0.0293463141861139</v>
      </c>
      <c r="E42" s="15" t="n">
        <f aca="false">$C$2*(1+IF(E$3&lt;=$O$2,$D42,$D42-($D42-$I$6)*MIN(E$3-$O$2,$Q$2)/$Q$2))</f>
        <v>2264.56189120945</v>
      </c>
      <c r="F42" s="15" t="n">
        <f aca="false">E42*(1+IF(F$3&lt;=$O$2,$D42,$D42-($D42-$I$6)*MIN(F$3-$O$2,$Q$2)/$Q$2))</f>
        <v>2331.01843596278</v>
      </c>
      <c r="G42" s="15" t="n">
        <f aca="false">F42*(1+IF(G$3&lt;=$O$2,$D42,$D42-($D42-$I$6)*MIN(G$3-$O$2,$Q$2)/$Q$2))</f>
        <v>2399.42523535817</v>
      </c>
      <c r="H42" s="15" t="n">
        <f aca="false">G42*(1+IF(H$3&lt;=$O$2,$D42,$D42-($D42-$I$6)*MIN(H$3-$O$2,$Q$2)/$Q$2))</f>
        <v>2469.83952218108</v>
      </c>
      <c r="I42" s="15" t="n">
        <f aca="false">H42*(1+IF(I$3&lt;=$O$2,$D42,$D42-($D42-$I$6)*MIN(I$3-$O$2,$Q$2)/$Q$2))</f>
        <v>2542.32020878829</v>
      </c>
      <c r="J42" s="15" t="n">
        <f aca="false">I42*(1+IF(J$3&lt;=$O$2,$D42,$D42-($D42-$I$6)*MIN(J$3-$O$2,$Q$2)/$Q$2))</f>
        <v>2616.39592325708</v>
      </c>
      <c r="K42" s="15" t="n">
        <f aca="false">J42*(1+IF(K$3&lt;=$O$2,$D42,$D42-($D42-$I$6)*MIN(K$3-$O$2,$Q$2)/$Q$2))</f>
        <v>2692.08247118785</v>
      </c>
      <c r="L42" s="15" t="n">
        <f aca="false">K42*(1+IF(L$3&lt;=$O$2,$D42,$D42-($D42-$I$6)*MIN(L$3-$O$2,$Q$2)/$Q$2))</f>
        <v>2769.39511075438</v>
      </c>
      <c r="M42" s="15" t="n">
        <f aca="false">L42*(1+IF(M$3&lt;=$O$2,$D42,$D42-($D42-$I$6)*MIN(M$3-$O$2,$Q$2)/$Q$2))</f>
        <v>2848.348523867</v>
      </c>
      <c r="N42" s="15" t="n">
        <f aca="false">M42*(1+IF(N$3&lt;=$O$2,$D42,$D42-($D42-$I$6)*MIN(N$3-$O$2,$Q$2)/$Q$2))</f>
        <v>2928.95678709244</v>
      </c>
      <c r="O42" s="15" t="n">
        <f aca="false">SUMPRODUCT(E42:N42,1/(1+$F$6)^$E$3:$N$3)*$E$2</f>
        <v>8924.06072956109</v>
      </c>
      <c r="P42" s="15" t="n">
        <f aca="false">N42*$E$2*(1+$I$6)/($F$6-$I$6)/(1+$F$6)^$N$3</f>
        <v>14906.2792734381</v>
      </c>
      <c r="Q42" s="15" t="n">
        <f aca="false">O42+P42</f>
        <v>23830.3400029992</v>
      </c>
      <c r="R42" s="15" t="n">
        <f aca="false">Q42-$G$2+$I$2</f>
        <v>25740.0000029992</v>
      </c>
      <c r="S42" s="42" t="n">
        <f aca="false">R42/$K$2</f>
        <v>109.985899256502</v>
      </c>
      <c r="T42" s="43" t="n">
        <f aca="false">S42-$M$2</f>
        <v>1.28152493061862E-008</v>
      </c>
    </row>
    <row r="43" customFormat="false" ht="15" hidden="false" customHeight="false" outlineLevel="0" collapsed="false">
      <c r="A43" s="5" t="n">
        <v>36</v>
      </c>
      <c r="B43" s="25" t="n">
        <f aca="false">IF(T42&gt;0,B42,D42)</f>
        <v>0.0293463141424581</v>
      </c>
      <c r="C43" s="25" t="n">
        <f aca="false">IF(T42&gt;0,D42,C42)</f>
        <v>0.0293463141861139</v>
      </c>
      <c r="D43" s="41" t="n">
        <f aca="false">(B43+C43)/2</f>
        <v>0.029346314164286</v>
      </c>
      <c r="E43" s="15" t="n">
        <f aca="false">$C$2*(1+IF(E$3&lt;=$O$2,$D43,$D43-($D43-$I$6)*MIN(E$3-$O$2,$Q$2)/$Q$2))</f>
        <v>2264.56189116143</v>
      </c>
      <c r="F43" s="15" t="n">
        <f aca="false">E43*(1+IF(F$3&lt;=$O$2,$D43,$D43-($D43-$I$6)*MIN(F$3-$O$2,$Q$2)/$Q$2))</f>
        <v>2331.01843586392</v>
      </c>
      <c r="G43" s="15" t="n">
        <f aca="false">F43*(1+IF(G$3&lt;=$O$2,$D43,$D43-($D43-$I$6)*MIN(G$3-$O$2,$Q$2)/$Q$2))</f>
        <v>2399.42523520553</v>
      </c>
      <c r="H43" s="15" t="n">
        <f aca="false">G43*(1+IF(H$3&lt;=$O$2,$D43,$D43-($D43-$I$6)*MIN(H$3-$O$2,$Q$2)/$Q$2))</f>
        <v>2469.83952197158</v>
      </c>
      <c r="I43" s="15" t="n">
        <f aca="false">H43*(1+IF(I$3&lt;=$O$2,$D43,$D43-($D43-$I$6)*MIN(I$3-$O$2,$Q$2)/$Q$2))</f>
        <v>2542.32020851873</v>
      </c>
      <c r="J43" s="15" t="n">
        <f aca="false">I43*(1+IF(J$3&lt;=$O$2,$D43,$D43-($D43-$I$6)*MIN(J$3-$O$2,$Q$2)/$Q$2))</f>
        <v>2616.39592293527</v>
      </c>
      <c r="K43" s="15" t="n">
        <f aca="false">J43*(1+IF(K$3&lt;=$O$2,$D43,$D43-($D43-$I$6)*MIN(K$3-$O$2,$Q$2)/$Q$2))</f>
        <v>2692.08247082247</v>
      </c>
      <c r="L43" s="15" t="n">
        <f aca="false">K43*(1+IF(L$3&lt;=$O$2,$D43,$D43-($D43-$I$6)*MIN(L$3-$O$2,$Q$2)/$Q$2))</f>
        <v>2769.395110355</v>
      </c>
      <c r="M43" s="15" t="n">
        <f aca="false">L43*(1+IF(M$3&lt;=$O$2,$D43,$D43-($D43-$I$6)*MIN(M$3-$O$2,$Q$2)/$Q$2))</f>
        <v>2848.34852344414</v>
      </c>
      <c r="N43" s="15" t="n">
        <f aca="false">M43*(1+IF(N$3&lt;=$O$2,$D43,$D43-($D43-$I$6)*MIN(N$3-$O$2,$Q$2)/$Q$2))</f>
        <v>2928.95678665761</v>
      </c>
      <c r="O43" s="15" t="n">
        <f aca="false">SUMPRODUCT(E43:N43,1/(1+$F$6)^$E$3:$N$3)*$E$2</f>
        <v>8924.06072870398</v>
      </c>
      <c r="P43" s="15" t="n">
        <f aca="false">N43*$E$2*(1+$I$6)/($F$6-$I$6)/(1+$F$6)^$N$3</f>
        <v>14906.2792712251</v>
      </c>
      <c r="Q43" s="15" t="n">
        <f aca="false">O43+P43</f>
        <v>23830.3399999291</v>
      </c>
      <c r="R43" s="15" t="n">
        <f aca="false">Q43-$G$2+$I$2</f>
        <v>25739.9999999291</v>
      </c>
      <c r="S43" s="42" t="n">
        <f aca="false">R43/$K$2</f>
        <v>109.985899243384</v>
      </c>
      <c r="T43" s="43" t="n">
        <f aca="false">S43-$M$2</f>
        <v>-3.02890157399816E-010</v>
      </c>
    </row>
    <row r="44" customFormat="false" ht="15" hidden="false" customHeight="false" outlineLevel="0" collapsed="false">
      <c r="A44" s="5" t="n">
        <v>37</v>
      </c>
      <c r="B44" s="25" t="n">
        <f aca="false">IF(T43&gt;0,B43,D43)</f>
        <v>0.029346314164286</v>
      </c>
      <c r="C44" s="25" t="n">
        <f aca="false">IF(T43&gt;0,D43,C43)</f>
        <v>0.0293463141861139</v>
      </c>
      <c r="D44" s="41" t="n">
        <f aca="false">(B44+C44)/2</f>
        <v>0.0293463141752</v>
      </c>
      <c r="E44" s="15" t="n">
        <f aca="false">$C$2*(1+IF(E$3&lt;=$O$2,$D44,$D44-($D44-$I$6)*MIN(E$3-$O$2,$Q$2)/$Q$2))</f>
        <v>2264.56189118544</v>
      </c>
      <c r="F44" s="15" t="n">
        <f aca="false">E44*(1+IF(F$3&lt;=$O$2,$D44,$D44-($D44-$I$6)*MIN(F$3-$O$2,$Q$2)/$Q$2))</f>
        <v>2331.01843591335</v>
      </c>
      <c r="G44" s="15" t="n">
        <f aca="false">F44*(1+IF(G$3&lt;=$O$2,$D44,$D44-($D44-$I$6)*MIN(G$3-$O$2,$Q$2)/$Q$2))</f>
        <v>2399.42523528185</v>
      </c>
      <c r="H44" s="15" t="n">
        <f aca="false">G44*(1+IF(H$3&lt;=$O$2,$D44,$D44-($D44-$I$6)*MIN(H$3-$O$2,$Q$2)/$Q$2))</f>
        <v>2469.83952207633</v>
      </c>
      <c r="I44" s="15" t="n">
        <f aca="false">H44*(1+IF(I$3&lt;=$O$2,$D44,$D44-($D44-$I$6)*MIN(I$3-$O$2,$Q$2)/$Q$2))</f>
        <v>2542.32020865351</v>
      </c>
      <c r="J44" s="15" t="n">
        <f aca="false">I44*(1+IF(J$3&lt;=$O$2,$D44,$D44-($D44-$I$6)*MIN(J$3-$O$2,$Q$2)/$Q$2))</f>
        <v>2616.39592309618</v>
      </c>
      <c r="K44" s="15" t="n">
        <f aca="false">J44*(1+IF(K$3&lt;=$O$2,$D44,$D44-($D44-$I$6)*MIN(K$3-$O$2,$Q$2)/$Q$2))</f>
        <v>2692.08247100516</v>
      </c>
      <c r="L44" s="15" t="n">
        <f aca="false">K44*(1+IF(L$3&lt;=$O$2,$D44,$D44-($D44-$I$6)*MIN(L$3-$O$2,$Q$2)/$Q$2))</f>
        <v>2769.39511055469</v>
      </c>
      <c r="M44" s="15" t="n">
        <f aca="false">L44*(1+IF(M$3&lt;=$O$2,$D44,$D44-($D44-$I$6)*MIN(M$3-$O$2,$Q$2)/$Q$2))</f>
        <v>2848.34852365557</v>
      </c>
      <c r="N44" s="15" t="n">
        <f aca="false">M44*(1+IF(N$3&lt;=$O$2,$D44,$D44-($D44-$I$6)*MIN(N$3-$O$2,$Q$2)/$Q$2))</f>
        <v>2928.95678687502</v>
      </c>
      <c r="O44" s="15" t="n">
        <f aca="false">SUMPRODUCT(E44:N44,1/(1+$F$6)^$E$3:$N$3)*$E$2</f>
        <v>8924.06072913254</v>
      </c>
      <c r="P44" s="15" t="n">
        <f aca="false">N44*$E$2*(1+$I$6)/($F$6-$I$6)/(1+$F$6)^$N$3</f>
        <v>14906.2792723316</v>
      </c>
      <c r="Q44" s="15" t="n">
        <f aca="false">O44+P44</f>
        <v>23830.3400014641</v>
      </c>
      <c r="R44" s="15" t="n">
        <f aca="false">Q44-$G$2+$I$2</f>
        <v>25740.0000014641</v>
      </c>
      <c r="S44" s="42" t="n">
        <f aca="false">R44/$K$2</f>
        <v>109.985899249943</v>
      </c>
      <c r="T44" s="43" t="n">
        <f aca="false">S44-$M$2</f>
        <v>6.25620089067525E-009</v>
      </c>
    </row>
    <row r="45" customFormat="false" ht="15" hidden="false" customHeight="false" outlineLevel="0" collapsed="false">
      <c r="A45" s="5" t="n">
        <v>38</v>
      </c>
      <c r="B45" s="25" t="n">
        <f aca="false">IF(T44&gt;0,B44,D44)</f>
        <v>0.029346314164286</v>
      </c>
      <c r="C45" s="25" t="n">
        <f aca="false">IF(T44&gt;0,D44,C44)</f>
        <v>0.0293463141752</v>
      </c>
      <c r="D45" s="41" t="n">
        <f aca="false">(B45+C45)/2</f>
        <v>0.029346314169743</v>
      </c>
      <c r="E45" s="15" t="n">
        <f aca="false">$C$2*(1+IF(E$3&lt;=$O$2,$D45,$D45-($D45-$I$6)*MIN(E$3-$O$2,$Q$2)/$Q$2))</f>
        <v>2264.56189117343</v>
      </c>
      <c r="F45" s="15" t="n">
        <f aca="false">E45*(1+IF(F$3&lt;=$O$2,$D45,$D45-($D45-$I$6)*MIN(F$3-$O$2,$Q$2)/$Q$2))</f>
        <v>2331.01843588864</v>
      </c>
      <c r="G45" s="15" t="n">
        <f aca="false">F45*(1+IF(G$3&lt;=$O$2,$D45,$D45-($D45-$I$6)*MIN(G$3-$O$2,$Q$2)/$Q$2))</f>
        <v>2399.42523524369</v>
      </c>
      <c r="H45" s="15" t="n">
        <f aca="false">G45*(1+IF(H$3&lt;=$O$2,$D45,$D45-($D45-$I$6)*MIN(H$3-$O$2,$Q$2)/$Q$2))</f>
        <v>2469.83952202396</v>
      </c>
      <c r="I45" s="15" t="n">
        <f aca="false">H45*(1+IF(I$3&lt;=$O$2,$D45,$D45-($D45-$I$6)*MIN(I$3-$O$2,$Q$2)/$Q$2))</f>
        <v>2542.32020858612</v>
      </c>
      <c r="J45" s="15" t="n">
        <f aca="false">I45*(1+IF(J$3&lt;=$O$2,$D45,$D45-($D45-$I$6)*MIN(J$3-$O$2,$Q$2)/$Q$2))</f>
        <v>2616.39592301572</v>
      </c>
      <c r="K45" s="15" t="n">
        <f aca="false">J45*(1+IF(K$3&lt;=$O$2,$D45,$D45-($D45-$I$6)*MIN(K$3-$O$2,$Q$2)/$Q$2))</f>
        <v>2692.08247091381</v>
      </c>
      <c r="L45" s="15" t="n">
        <f aca="false">K45*(1+IF(L$3&lt;=$O$2,$D45,$D45-($D45-$I$6)*MIN(L$3-$O$2,$Q$2)/$Q$2))</f>
        <v>2769.39511045485</v>
      </c>
      <c r="M45" s="15" t="n">
        <f aca="false">L45*(1+IF(M$3&lt;=$O$2,$D45,$D45-($D45-$I$6)*MIN(M$3-$O$2,$Q$2)/$Q$2))</f>
        <v>2848.34852354986</v>
      </c>
      <c r="N45" s="15" t="n">
        <f aca="false">M45*(1+IF(N$3&lt;=$O$2,$D45,$D45-($D45-$I$6)*MIN(N$3-$O$2,$Q$2)/$Q$2))</f>
        <v>2928.95678676632</v>
      </c>
      <c r="O45" s="15" t="n">
        <f aca="false">SUMPRODUCT(E45:N45,1/(1+$F$6)^$E$3:$N$3)*$E$2</f>
        <v>8924.06072891826</v>
      </c>
      <c r="P45" s="15" t="n">
        <f aca="false">N45*$E$2*(1+$I$6)/($F$6-$I$6)/(1+$F$6)^$N$3</f>
        <v>14906.2792717784</v>
      </c>
      <c r="Q45" s="15" t="n">
        <f aca="false">O45+P45</f>
        <v>23830.3400006966</v>
      </c>
      <c r="R45" s="15" t="n">
        <f aca="false">Q45-$G$2+$I$2</f>
        <v>25740.0000006966</v>
      </c>
      <c r="S45" s="42" t="n">
        <f aca="false">R45/$K$2</f>
        <v>109.985899246663</v>
      </c>
      <c r="T45" s="43" t="n">
        <f aca="false">S45-$M$2</f>
        <v>2.97663405035564E-009</v>
      </c>
    </row>
    <row r="46" customFormat="false" ht="15" hidden="false" customHeight="false" outlineLevel="0" collapsed="false">
      <c r="A46" s="5" t="n">
        <v>39</v>
      </c>
      <c r="B46" s="25" t="n">
        <f aca="false">IF(T45&gt;0,B45,D45)</f>
        <v>0.029346314164286</v>
      </c>
      <c r="C46" s="25" t="n">
        <f aca="false">IF(T45&gt;0,D45,C45)</f>
        <v>0.029346314169743</v>
      </c>
      <c r="D46" s="41" t="n">
        <f aca="false">(B46+C46)/2</f>
        <v>0.0293463141670145</v>
      </c>
      <c r="E46" s="15" t="n">
        <f aca="false">$C$2*(1+IF(E$3&lt;=$O$2,$D46,$D46-($D46-$I$6)*MIN(E$3-$O$2,$Q$2)/$Q$2))</f>
        <v>2264.56189116743</v>
      </c>
      <c r="F46" s="15" t="n">
        <f aca="false">E46*(1+IF(F$3&lt;=$O$2,$D46,$D46-($D46-$I$6)*MIN(F$3-$O$2,$Q$2)/$Q$2))</f>
        <v>2331.01843587628</v>
      </c>
      <c r="G46" s="15" t="n">
        <f aca="false">F46*(1+IF(G$3&lt;=$O$2,$D46,$D46-($D46-$I$6)*MIN(G$3-$O$2,$Q$2)/$Q$2))</f>
        <v>2399.42523522461</v>
      </c>
      <c r="H46" s="15" t="n">
        <f aca="false">G46*(1+IF(H$3&lt;=$O$2,$D46,$D46-($D46-$I$6)*MIN(H$3-$O$2,$Q$2)/$Q$2))</f>
        <v>2469.83952199777</v>
      </c>
      <c r="I46" s="15" t="n">
        <f aca="false">H46*(1+IF(I$3&lt;=$O$2,$D46,$D46-($D46-$I$6)*MIN(I$3-$O$2,$Q$2)/$Q$2))</f>
        <v>2542.32020855243</v>
      </c>
      <c r="J46" s="15" t="n">
        <f aca="false">I46*(1+IF(J$3&lt;=$O$2,$D46,$D46-($D46-$I$6)*MIN(J$3-$O$2,$Q$2)/$Q$2))</f>
        <v>2616.3959229755</v>
      </c>
      <c r="K46" s="15" t="n">
        <f aca="false">J46*(1+IF(K$3&lt;=$O$2,$D46,$D46-($D46-$I$6)*MIN(K$3-$O$2,$Q$2)/$Q$2))</f>
        <v>2692.08247086814</v>
      </c>
      <c r="L46" s="15" t="n">
        <f aca="false">K46*(1+IF(L$3&lt;=$O$2,$D46,$D46-($D46-$I$6)*MIN(L$3-$O$2,$Q$2)/$Q$2))</f>
        <v>2769.39511040493</v>
      </c>
      <c r="M46" s="15" t="n">
        <f aca="false">L46*(1+IF(M$3&lt;=$O$2,$D46,$D46-($D46-$I$6)*MIN(M$3-$O$2,$Q$2)/$Q$2))</f>
        <v>2848.348523497</v>
      </c>
      <c r="N46" s="15" t="n">
        <f aca="false">M46*(1+IF(N$3&lt;=$O$2,$D46,$D46-($D46-$I$6)*MIN(N$3-$O$2,$Q$2)/$Q$2))</f>
        <v>2928.95678671197</v>
      </c>
      <c r="O46" s="15" t="n">
        <f aca="false">SUMPRODUCT(E46:N46,1/(1+$F$6)^$E$3:$N$3)*$E$2</f>
        <v>8924.06072881112</v>
      </c>
      <c r="P46" s="15" t="n">
        <f aca="false">N46*$E$2*(1+$I$6)/($F$6-$I$6)/(1+$F$6)^$N$3</f>
        <v>14906.2792715017</v>
      </c>
      <c r="Q46" s="15" t="n">
        <f aca="false">O46+P46</f>
        <v>23830.3400003129</v>
      </c>
      <c r="R46" s="15" t="n">
        <f aca="false">Q46-$G$2+$I$2</f>
        <v>25740.0000003129</v>
      </c>
      <c r="S46" s="42" t="n">
        <f aca="false">R46/$K$2</f>
        <v>109.985899245024</v>
      </c>
      <c r="T46" s="43" t="n">
        <f aca="false">S46-$M$2</f>
        <v>1.33688615733263E-009</v>
      </c>
    </row>
    <row r="47" customFormat="false" ht="15" hidden="false" customHeight="false" outlineLevel="0" collapsed="false">
      <c r="A47" s="5" t="n">
        <v>40</v>
      </c>
      <c r="B47" s="25" t="n">
        <f aca="false">IF(T46&gt;0,B46,D46)</f>
        <v>0.029346314164286</v>
      </c>
      <c r="C47" s="25" t="n">
        <f aca="false">IF(T46&gt;0,D46,C46)</f>
        <v>0.0293463141670145</v>
      </c>
      <c r="D47" s="41" t="n">
        <f aca="false">(B47+C47)/2</f>
        <v>0.0293463141656503</v>
      </c>
      <c r="E47" s="15" t="n">
        <f aca="false">$C$2*(1+IF(E$3&lt;=$O$2,$D47,$D47-($D47-$I$6)*MIN(E$3-$O$2,$Q$2)/$Q$2))</f>
        <v>2264.56189116443</v>
      </c>
      <c r="F47" s="15" t="n">
        <f aca="false">E47*(1+IF(F$3&lt;=$O$2,$D47,$D47-($D47-$I$6)*MIN(F$3-$O$2,$Q$2)/$Q$2))</f>
        <v>2331.0184358701</v>
      </c>
      <c r="G47" s="15" t="n">
        <f aca="false">F47*(1+IF(G$3&lt;=$O$2,$D47,$D47-($D47-$I$6)*MIN(G$3-$O$2,$Q$2)/$Q$2))</f>
        <v>2399.42523521507</v>
      </c>
      <c r="H47" s="15" t="n">
        <f aca="false">G47*(1+IF(H$3&lt;=$O$2,$D47,$D47-($D47-$I$6)*MIN(H$3-$O$2,$Q$2)/$Q$2))</f>
        <v>2469.83952198468</v>
      </c>
      <c r="I47" s="15" t="n">
        <f aca="false">H47*(1+IF(I$3&lt;=$O$2,$D47,$D47-($D47-$I$6)*MIN(I$3-$O$2,$Q$2)/$Q$2))</f>
        <v>2542.32020853558</v>
      </c>
      <c r="J47" s="15" t="n">
        <f aca="false">I47*(1+IF(J$3&lt;=$O$2,$D47,$D47-($D47-$I$6)*MIN(J$3-$O$2,$Q$2)/$Q$2))</f>
        <v>2616.39592295538</v>
      </c>
      <c r="K47" s="15" t="n">
        <f aca="false">J47*(1+IF(K$3&lt;=$O$2,$D47,$D47-($D47-$I$6)*MIN(K$3-$O$2,$Q$2)/$Q$2))</f>
        <v>2692.0824708453</v>
      </c>
      <c r="L47" s="15" t="n">
        <f aca="false">K47*(1+IF(L$3&lt;=$O$2,$D47,$D47-($D47-$I$6)*MIN(L$3-$O$2,$Q$2)/$Q$2))</f>
        <v>2769.39511037996</v>
      </c>
      <c r="M47" s="15" t="n">
        <f aca="false">L47*(1+IF(M$3&lt;=$O$2,$D47,$D47-($D47-$I$6)*MIN(M$3-$O$2,$Q$2)/$Q$2))</f>
        <v>2848.34852347057</v>
      </c>
      <c r="N47" s="15" t="n">
        <f aca="false">M47*(1+IF(N$3&lt;=$O$2,$D47,$D47-($D47-$I$6)*MIN(N$3-$O$2,$Q$2)/$Q$2))</f>
        <v>2928.95678668479</v>
      </c>
      <c r="O47" s="15" t="n">
        <f aca="false">SUMPRODUCT(E47:N47,1/(1+$F$6)^$E$3:$N$3)*$E$2</f>
        <v>8924.06072875755</v>
      </c>
      <c r="P47" s="15" t="n">
        <f aca="false">N47*$E$2*(1+$I$6)/($F$6-$I$6)/(1+$F$6)^$N$3</f>
        <v>14906.2792713634</v>
      </c>
      <c r="Q47" s="15" t="n">
        <f aca="false">O47+P47</f>
        <v>23830.340000121</v>
      </c>
      <c r="R47" s="15" t="n">
        <f aca="false">Q47-$G$2+$I$2</f>
        <v>25740.000000121</v>
      </c>
      <c r="S47" s="42" t="n">
        <f aca="false">R47/$K$2</f>
        <v>109.985899244204</v>
      </c>
      <c r="T47" s="43" t="n">
        <f aca="false">S47-$M$2</f>
        <v>5.16976683684334E-010</v>
      </c>
    </row>
    <row r="49" customFormat="false" ht="15" hidden="false" customHeight="false" outlineLevel="0" collapsed="false">
      <c r="A49" s="38" t="s">
        <v>188</v>
      </c>
      <c r="E49" s="5" t="s">
        <v>11</v>
      </c>
      <c r="F49" s="12" t="n">
        <f aca="false">Sensitivity!$B$10</f>
        <v>0.0677967762761046</v>
      </c>
      <c r="G49" s="5" t="s">
        <v>12</v>
      </c>
      <c r="I49" s="12" t="n">
        <f aca="false">Sensitivity!$C$9</f>
        <v>0.0183</v>
      </c>
    </row>
    <row r="50" customFormat="false" ht="23.85" hidden="false" customHeight="false" outlineLevel="0" collapsed="false">
      <c r="A50" s="38" t="s">
        <v>168</v>
      </c>
      <c r="B50" s="28" t="s">
        <v>169</v>
      </c>
      <c r="C50" s="28" t="s">
        <v>170</v>
      </c>
      <c r="D50" s="28" t="s">
        <v>171</v>
      </c>
      <c r="E50" s="28" t="s">
        <v>172</v>
      </c>
      <c r="F50" s="28" t="s">
        <v>173</v>
      </c>
      <c r="G50" s="28" t="s">
        <v>174</v>
      </c>
      <c r="H50" s="28" t="s">
        <v>175</v>
      </c>
      <c r="I50" s="28" t="s">
        <v>176</v>
      </c>
      <c r="J50" s="28" t="s">
        <v>177</v>
      </c>
      <c r="K50" s="28" t="s">
        <v>178</v>
      </c>
      <c r="L50" s="28" t="s">
        <v>179</v>
      </c>
      <c r="M50" s="28" t="s">
        <v>180</v>
      </c>
      <c r="N50" s="28" t="s">
        <v>181</v>
      </c>
      <c r="O50" s="28" t="s">
        <v>182</v>
      </c>
      <c r="P50" s="28" t="s">
        <v>183</v>
      </c>
      <c r="Q50" s="28" t="s">
        <v>184</v>
      </c>
      <c r="R50" s="28" t="s">
        <v>185</v>
      </c>
      <c r="S50" s="28" t="s">
        <v>186</v>
      </c>
      <c r="T50" s="28" t="s">
        <v>187</v>
      </c>
    </row>
    <row r="51" customFormat="false" ht="15" hidden="false" customHeight="false" outlineLevel="0" collapsed="false">
      <c r="A51" s="5" t="n">
        <v>1</v>
      </c>
      <c r="B51" s="24" t="n">
        <v>-0.5</v>
      </c>
      <c r="C51" s="24" t="n">
        <v>1</v>
      </c>
      <c r="D51" s="41" t="n">
        <f aca="false">(B51+C51)/2</f>
        <v>0.25</v>
      </c>
      <c r="E51" s="15" t="n">
        <f aca="false">$C$2*(1+IF(E$3&lt;=$O$2,$D51,$D51-($D51-$I$49)*MIN(E$3-$O$2,$Q$2)/$Q$2))</f>
        <v>2750</v>
      </c>
      <c r="F51" s="15" t="n">
        <f aca="false">E51*(1+IF(F$3&lt;=$O$2,$D51,$D51-($D51-$I$49)*MIN(F$3-$O$2,$Q$2)/$Q$2))</f>
        <v>3437.5</v>
      </c>
      <c r="G51" s="15" t="n">
        <f aca="false">F51*(1+IF(G$3&lt;=$O$2,$D51,$D51-($D51-$I$49)*MIN(G$3-$O$2,$Q$2)/$Q$2))</f>
        <v>4296.875</v>
      </c>
      <c r="H51" s="15" t="n">
        <f aca="false">G51*(1+IF(H$3&lt;=$O$2,$D51,$D51-($D51-$I$49)*MIN(H$3-$O$2,$Q$2)/$Q$2))</f>
        <v>5371.09375</v>
      </c>
      <c r="I51" s="15" t="n">
        <f aca="false">H51*(1+IF(I$3&lt;=$O$2,$D51,$D51-($D51-$I$49)*MIN(I$3-$O$2,$Q$2)/$Q$2))</f>
        <v>6713.8671875</v>
      </c>
      <c r="J51" s="15" t="n">
        <f aca="false">I51*(1+IF(J$3&lt;=$O$2,$D51,$D51-($D51-$I$49)*MIN(J$3-$O$2,$Q$2)/$Q$2))</f>
        <v>8081.21337890625</v>
      </c>
      <c r="K51" s="15" t="n">
        <f aca="false">J51*(1+IF(K$3&lt;=$O$2,$D51,$D51-($D51-$I$49)*MIN(K$3-$O$2,$Q$2)/$Q$2))</f>
        <v>9352.54986767578</v>
      </c>
      <c r="L51" s="15" t="n">
        <f aca="false">K51*(1+IF(L$3&lt;=$O$2,$D51,$D51-($D51-$I$49)*MIN(L$3-$O$2,$Q$2)/$Q$2))</f>
        <v>10390.4958519904</v>
      </c>
      <c r="M51" s="15" t="n">
        <f aca="false">L51*(1+IF(M$3&lt;=$O$2,$D51,$D51-($D51-$I$49)*MIN(M$3-$O$2,$Q$2)/$Q$2))</f>
        <v>11062.1375038631</v>
      </c>
      <c r="N51" s="15" t="n">
        <f aca="false">M51*(1+IF(N$3&lt;=$O$2,$D51,$D51-($D51-$I$49)*MIN(N$3-$O$2,$Q$2)/$Q$2))</f>
        <v>11264.5746201838</v>
      </c>
      <c r="O51" s="15" t="n">
        <f aca="false">SUMPRODUCT(E51:N51,1/(1+$F$49)^$E$3:$N$3)*$E$2</f>
        <v>24650.7196112749</v>
      </c>
      <c r="P51" s="15" t="n">
        <f aca="false">N51*$E$2*(1+$I$49)/($F$49-$I$49)/(1+$F$49)^$N$3</f>
        <v>62317.4598548725</v>
      </c>
      <c r="Q51" s="15" t="n">
        <f aca="false">O51+P51</f>
        <v>86968.1794661474</v>
      </c>
      <c r="R51" s="15" t="n">
        <f aca="false">Q51-$G$2+$I$2</f>
        <v>88877.8394661474</v>
      </c>
      <c r="S51" s="42" t="n">
        <f aca="false">R51/$K$2</f>
        <v>379.77113817095</v>
      </c>
      <c r="T51" s="43" t="n">
        <f aca="false">S51-$M$2</f>
        <v>269.785238927263</v>
      </c>
    </row>
    <row r="52" customFormat="false" ht="15" hidden="false" customHeight="false" outlineLevel="0" collapsed="false">
      <c r="A52" s="5" t="n">
        <v>2</v>
      </c>
      <c r="B52" s="25" t="n">
        <f aca="false">IF(T51&gt;0,B51,D51)</f>
        <v>-0.5</v>
      </c>
      <c r="C52" s="25" t="n">
        <f aca="false">IF(T51&gt;0,D51,C51)</f>
        <v>0.25</v>
      </c>
      <c r="D52" s="41" t="n">
        <f aca="false">(B52+C52)/2</f>
        <v>-0.125</v>
      </c>
      <c r="E52" s="15" t="n">
        <f aca="false">$C$2*(1+IF(E$3&lt;=$O$2,$D52,$D52-($D52-$I$49)*MIN(E$3-$O$2,$Q$2)/$Q$2))</f>
        <v>1925</v>
      </c>
      <c r="F52" s="15" t="n">
        <f aca="false">E52*(1+IF(F$3&lt;=$O$2,$D52,$D52-($D52-$I$49)*MIN(F$3-$O$2,$Q$2)/$Q$2))</f>
        <v>1684.375</v>
      </c>
      <c r="G52" s="15" t="n">
        <f aca="false">F52*(1+IF(G$3&lt;=$O$2,$D52,$D52-($D52-$I$49)*MIN(G$3-$O$2,$Q$2)/$Q$2))</f>
        <v>1473.828125</v>
      </c>
      <c r="H52" s="15" t="n">
        <f aca="false">G52*(1+IF(H$3&lt;=$O$2,$D52,$D52-($D52-$I$49)*MIN(H$3-$O$2,$Q$2)/$Q$2))</f>
        <v>1289.599609375</v>
      </c>
      <c r="I52" s="15" t="n">
        <f aca="false">H52*(1+IF(I$3&lt;=$O$2,$D52,$D52-($D52-$I$49)*MIN(I$3-$O$2,$Q$2)/$Q$2))</f>
        <v>1128.39965820313</v>
      </c>
      <c r="J52" s="15" t="n">
        <f aca="false">I52*(1+IF(J$3&lt;=$O$2,$D52,$D52-($D52-$I$49)*MIN(J$3-$O$2,$Q$2)/$Q$2))</f>
        <v>1019.68963513184</v>
      </c>
      <c r="K52" s="15" t="n">
        <f aca="false">J52*(1+IF(K$3&lt;=$O$2,$D52,$D52-($D52-$I$49)*MIN(K$3-$O$2,$Q$2)/$Q$2))</f>
        <v>950.677040626113</v>
      </c>
      <c r="L52" s="15" t="n">
        <f aca="false">K52*(1+IF(L$3&lt;=$O$2,$D52,$D52-($D52-$I$49)*MIN(L$3-$O$2,$Q$2)/$Q$2))</f>
        <v>913.581622500882</v>
      </c>
      <c r="M52" s="15" t="n">
        <f aca="false">L52*(1+IF(M$3&lt;=$O$2,$D52,$D52-($D52-$I$49)*MIN(M$3-$O$2,$Q$2)/$Q$2))</f>
        <v>904.116916891773</v>
      </c>
      <c r="N52" s="15" t="n">
        <f aca="false">M52*(1+IF(N$3&lt;=$O$2,$D52,$D52-($D52-$I$49)*MIN(N$3-$O$2,$Q$2)/$Q$2))</f>
        <v>920.662256470893</v>
      </c>
      <c r="O52" s="15" t="n">
        <f aca="false">SUMPRODUCT(E52:N52,1/(1+$F$49)^$E$3:$N$3)*$E$2</f>
        <v>4717.16570077977</v>
      </c>
      <c r="P52" s="15" t="n">
        <f aca="false">N52*$E$2*(1+$I$49)/($F$49-$I$49)/(1+$F$49)^$N$3</f>
        <v>5093.25341986017</v>
      </c>
      <c r="Q52" s="15" t="n">
        <f aca="false">O52+P52</f>
        <v>9810.41912063994</v>
      </c>
      <c r="R52" s="15" t="n">
        <f aca="false">Q52-$G$2+$I$2</f>
        <v>11720.0791206399</v>
      </c>
      <c r="S52" s="42" t="n">
        <f aca="false">R52/$K$2</f>
        <v>50.0793877735331</v>
      </c>
      <c r="T52" s="43" t="n">
        <f aca="false">S52-$M$2</f>
        <v>-59.9065114701536</v>
      </c>
    </row>
    <row r="53" customFormat="false" ht="15" hidden="false" customHeight="false" outlineLevel="0" collapsed="false">
      <c r="A53" s="5" t="n">
        <v>3</v>
      </c>
      <c r="B53" s="25" t="n">
        <f aca="false">IF(T52&gt;0,B52,D52)</f>
        <v>-0.125</v>
      </c>
      <c r="C53" s="25" t="n">
        <f aca="false">IF(T52&gt;0,D52,C52)</f>
        <v>0.25</v>
      </c>
      <c r="D53" s="41" t="n">
        <f aca="false">(B53+C53)/2</f>
        <v>0.0625</v>
      </c>
      <c r="E53" s="15" t="n">
        <f aca="false">$C$2*(1+IF(E$3&lt;=$O$2,$D53,$D53-($D53-$I$49)*MIN(E$3-$O$2,$Q$2)/$Q$2))</f>
        <v>2337.5</v>
      </c>
      <c r="F53" s="15" t="n">
        <f aca="false">E53*(1+IF(F$3&lt;=$O$2,$D53,$D53-($D53-$I$49)*MIN(F$3-$O$2,$Q$2)/$Q$2))</f>
        <v>2483.59375</v>
      </c>
      <c r="G53" s="15" t="n">
        <f aca="false">F53*(1+IF(G$3&lt;=$O$2,$D53,$D53-($D53-$I$49)*MIN(G$3-$O$2,$Q$2)/$Q$2))</f>
        <v>2638.818359375</v>
      </c>
      <c r="H53" s="15" t="n">
        <f aca="false">G53*(1+IF(H$3&lt;=$O$2,$D53,$D53-($D53-$I$49)*MIN(H$3-$O$2,$Q$2)/$Q$2))</f>
        <v>2803.74450683594</v>
      </c>
      <c r="I53" s="15" t="n">
        <f aca="false">H53*(1+IF(I$3&lt;=$O$2,$D53,$D53-($D53-$I$49)*MIN(I$3-$O$2,$Q$2)/$Q$2))</f>
        <v>2978.97853851318</v>
      </c>
      <c r="J53" s="15" t="n">
        <f aca="false">I53*(1+IF(J$3&lt;=$O$2,$D53,$D53-($D53-$I$49)*MIN(J$3-$O$2,$Q$2)/$Q$2))</f>
        <v>3138.8305268898</v>
      </c>
      <c r="K53" s="15" t="n">
        <f aca="false">J53*(1+IF(K$3&lt;=$O$2,$D53,$D53-($D53-$I$49)*MIN(K$3-$O$2,$Q$2)/$Q$2))</f>
        <v>3279.512911105</v>
      </c>
      <c r="L53" s="15" t="n">
        <f aca="false">K53*(1+IF(L$3&lt;=$O$2,$D53,$D53-($D53-$I$49)*MIN(L$3-$O$2,$Q$2)/$Q$2))</f>
        <v>3397.50978564656</v>
      </c>
      <c r="M53" s="15" t="n">
        <f aca="false">L53*(1+IF(M$3&lt;=$O$2,$D53,$D53-($D53-$I$49)*MIN(M$3-$O$2,$Q$2)/$Q$2))</f>
        <v>3489.71820122901</v>
      </c>
      <c r="N53" s="15" t="n">
        <f aca="false">M53*(1+IF(N$3&lt;=$O$2,$D53,$D53-($D53-$I$49)*MIN(N$3-$O$2,$Q$2)/$Q$2))</f>
        <v>3553.5800443115</v>
      </c>
      <c r="O53" s="15" t="n">
        <f aca="false">SUMPRODUCT(E53:N53,1/(1+$F$49)^$E$3:$N$3)*$E$2</f>
        <v>10785.9540524852</v>
      </c>
      <c r="P53" s="15" t="n">
        <f aca="false">N53*$E$2*(1+$I$49)/($F$49-$I$49)/(1+$F$49)^$N$3</f>
        <v>19658.9830703118</v>
      </c>
      <c r="Q53" s="15" t="n">
        <f aca="false">O53+P53</f>
        <v>30444.937122797</v>
      </c>
      <c r="R53" s="15" t="n">
        <f aca="false">Q53-$G$2+$I$2</f>
        <v>32354.597122797</v>
      </c>
      <c r="S53" s="42" t="n">
        <f aca="false">R53/$K$2</f>
        <v>138.249784740405</v>
      </c>
      <c r="T53" s="43" t="n">
        <f aca="false">S53-$M$2</f>
        <v>28.2638854967185</v>
      </c>
    </row>
    <row r="54" customFormat="false" ht="15" hidden="false" customHeight="false" outlineLevel="0" collapsed="false">
      <c r="A54" s="5" t="n">
        <v>4</v>
      </c>
      <c r="B54" s="25" t="n">
        <f aca="false">IF(T53&gt;0,B53,D53)</f>
        <v>-0.125</v>
      </c>
      <c r="C54" s="25" t="n">
        <f aca="false">IF(T53&gt;0,D53,C53)</f>
        <v>0.0625</v>
      </c>
      <c r="D54" s="41" t="n">
        <f aca="false">(B54+C54)/2</f>
        <v>-0.03125</v>
      </c>
      <c r="E54" s="15" t="n">
        <f aca="false">$C$2*(1+IF(E$3&lt;=$O$2,$D54,$D54-($D54-$I$49)*MIN(E$3-$O$2,$Q$2)/$Q$2))</f>
        <v>2131.25</v>
      </c>
      <c r="F54" s="15" t="n">
        <f aca="false">E54*(1+IF(F$3&lt;=$O$2,$D54,$D54-($D54-$I$49)*MIN(F$3-$O$2,$Q$2)/$Q$2))</f>
        <v>2064.6484375</v>
      </c>
      <c r="G54" s="15" t="n">
        <f aca="false">F54*(1+IF(G$3&lt;=$O$2,$D54,$D54-($D54-$I$49)*MIN(G$3-$O$2,$Q$2)/$Q$2))</f>
        <v>2000.12817382813</v>
      </c>
      <c r="H54" s="15" t="n">
        <f aca="false">G54*(1+IF(H$3&lt;=$O$2,$D54,$D54-($D54-$I$49)*MIN(H$3-$O$2,$Q$2)/$Q$2))</f>
        <v>1937.624168396</v>
      </c>
      <c r="I54" s="15" t="n">
        <f aca="false">H54*(1+IF(I$3&lt;=$O$2,$D54,$D54-($D54-$I$49)*MIN(I$3-$O$2,$Q$2)/$Q$2))</f>
        <v>1877.07341313362</v>
      </c>
      <c r="J54" s="15" t="n">
        <f aca="false">I54*(1+IF(J$3&lt;=$O$2,$D54,$D54-($D54-$I$49)*MIN(J$3-$O$2,$Q$2)/$Q$2))</f>
        <v>1837.01666649735</v>
      </c>
      <c r="K54" s="15" t="n">
        <f aca="false">J54*(1+IF(K$3&lt;=$O$2,$D54,$D54-($D54-$I$49)*MIN(K$3-$O$2,$Q$2)/$Q$2))</f>
        <v>1816.01956599928</v>
      </c>
      <c r="L54" s="15" t="n">
        <f aca="false">K54*(1+IF(L$3&lt;=$O$2,$D54,$D54-($D54-$I$49)*MIN(L$3-$O$2,$Q$2)/$Q$2))</f>
        <v>1813.25921625897</v>
      </c>
      <c r="M54" s="15" t="n">
        <f aca="false">L54*(1+IF(M$3&lt;=$O$2,$D54,$D54-($D54-$I$49)*MIN(M$3-$O$2,$Q$2)/$Q$2))</f>
        <v>1828.47246108338</v>
      </c>
      <c r="N54" s="15" t="n">
        <f aca="false">M54*(1+IF(N$3&lt;=$O$2,$D54,$D54-($D54-$I$49)*MIN(N$3-$O$2,$Q$2)/$Q$2))</f>
        <v>1861.9335071212</v>
      </c>
      <c r="O54" s="15" t="n">
        <f aca="false">SUMPRODUCT(E54:N54,1/(1+$F$49)^$E$3:$N$3)*$E$2</f>
        <v>7115.23614557126</v>
      </c>
      <c r="P54" s="15" t="n">
        <f aca="false">N54*$E$2*(1+$I$49)/($F$49-$I$49)/(1+$F$49)^$N$3</f>
        <v>10300.5191491709</v>
      </c>
      <c r="Q54" s="15" t="n">
        <f aca="false">O54+P54</f>
        <v>17415.7552947421</v>
      </c>
      <c r="R54" s="15" t="n">
        <f aca="false">Q54-$G$2+$I$2</f>
        <v>19325.4152947421</v>
      </c>
      <c r="S54" s="42" t="n">
        <f aca="false">R54/$K$2</f>
        <v>82.5766580982872</v>
      </c>
      <c r="T54" s="43" t="n">
        <f aca="false">S54-$M$2</f>
        <v>-27.4092411453995</v>
      </c>
    </row>
    <row r="55" customFormat="false" ht="15" hidden="false" customHeight="false" outlineLevel="0" collapsed="false">
      <c r="A55" s="5" t="n">
        <v>5</v>
      </c>
      <c r="B55" s="25" t="n">
        <f aca="false">IF(T54&gt;0,B54,D54)</f>
        <v>-0.03125</v>
      </c>
      <c r="C55" s="25" t="n">
        <f aca="false">IF(T54&gt;0,D54,C54)</f>
        <v>0.0625</v>
      </c>
      <c r="D55" s="41" t="n">
        <f aca="false">(B55+C55)/2</f>
        <v>0.015625</v>
      </c>
      <c r="E55" s="15" t="n">
        <f aca="false">$C$2*(1+IF(E$3&lt;=$O$2,$D55,$D55-($D55-$I$49)*MIN(E$3-$O$2,$Q$2)/$Q$2))</f>
        <v>2234.375</v>
      </c>
      <c r="F55" s="15" t="n">
        <f aca="false">E55*(1+IF(F$3&lt;=$O$2,$D55,$D55-($D55-$I$49)*MIN(F$3-$O$2,$Q$2)/$Q$2))</f>
        <v>2269.287109375</v>
      </c>
      <c r="G55" s="15" t="n">
        <f aca="false">F55*(1+IF(G$3&lt;=$O$2,$D55,$D55-($D55-$I$49)*MIN(G$3-$O$2,$Q$2)/$Q$2))</f>
        <v>2304.74472045898</v>
      </c>
      <c r="H55" s="15" t="n">
        <f aca="false">G55*(1+IF(H$3&lt;=$O$2,$D55,$D55-($D55-$I$49)*MIN(H$3-$O$2,$Q$2)/$Q$2))</f>
        <v>2340.75635671616</v>
      </c>
      <c r="I55" s="15" t="n">
        <f aca="false">H55*(1+IF(I$3&lt;=$O$2,$D55,$D55-($D55-$I$49)*MIN(I$3-$O$2,$Q$2)/$Q$2))</f>
        <v>2377.33067478985</v>
      </c>
      <c r="J55" s="15" t="n">
        <f aca="false">I55*(1+IF(J$3&lt;=$O$2,$D55,$D55-($D55-$I$49)*MIN(J$3-$O$2,$Q$2)/$Q$2))</f>
        <v>2415.74833849445</v>
      </c>
      <c r="K55" s="15" t="n">
        <f aca="false">J55*(1+IF(K$3&lt;=$O$2,$D55,$D55-($D55-$I$49)*MIN(K$3-$O$2,$Q$2)/$Q$2))</f>
        <v>2456.07925700561</v>
      </c>
      <c r="L55" s="15" t="n">
        <f aca="false">K55*(1+IF(L$3&lt;=$O$2,$D55,$D55-($D55-$I$49)*MIN(L$3-$O$2,$Q$2)/$Q$2))</f>
        <v>2498.39750260382</v>
      </c>
      <c r="M55" s="15" t="n">
        <f aca="false">L55*(1+IF(M$3&lt;=$O$2,$D55,$D55-($D55-$I$49)*MIN(M$3-$O$2,$Q$2)/$Q$2))</f>
        <v>2542.78153423758</v>
      </c>
      <c r="N55" s="15" t="n">
        <f aca="false">M55*(1+IF(N$3&lt;=$O$2,$D55,$D55-($D55-$I$49)*MIN(N$3-$O$2,$Q$2)/$Q$2))</f>
        <v>2589.31443631413</v>
      </c>
      <c r="O55" s="15" t="n">
        <f aca="false">SUMPRODUCT(E55:N55,1/(1+$F$49)^$E$3:$N$3)*$E$2</f>
        <v>8757.97884352802</v>
      </c>
      <c r="P55" s="15" t="n">
        <f aca="false">N55*$E$2*(1+$I$49)/($F$49-$I$49)/(1+$F$49)^$N$3</f>
        <v>14324.508814343</v>
      </c>
      <c r="Q55" s="15" t="n">
        <f aca="false">O55+P55</f>
        <v>23082.487657871</v>
      </c>
      <c r="R55" s="15" t="n">
        <f aca="false">Q55-$G$2+$I$2</f>
        <v>24992.147657871</v>
      </c>
      <c r="S55" s="42" t="n">
        <f aca="false">R55/$K$2</f>
        <v>106.790358748327</v>
      </c>
      <c r="T55" s="43" t="n">
        <f aca="false">S55-$M$2</f>
        <v>-3.19554049535947</v>
      </c>
    </row>
    <row r="56" customFormat="false" ht="15" hidden="false" customHeight="false" outlineLevel="0" collapsed="false">
      <c r="A56" s="5" t="n">
        <v>6</v>
      </c>
      <c r="B56" s="25" t="n">
        <f aca="false">IF(T55&gt;0,B55,D55)</f>
        <v>0.015625</v>
      </c>
      <c r="C56" s="25" t="n">
        <f aca="false">IF(T55&gt;0,D55,C55)</f>
        <v>0.0625</v>
      </c>
      <c r="D56" s="41" t="n">
        <f aca="false">(B56+C56)/2</f>
        <v>0.0390625</v>
      </c>
      <c r="E56" s="15" t="n">
        <f aca="false">$C$2*(1+IF(E$3&lt;=$O$2,$D56,$D56-($D56-$I$49)*MIN(E$3-$O$2,$Q$2)/$Q$2))</f>
        <v>2285.9375</v>
      </c>
      <c r="F56" s="15" t="n">
        <f aca="false">E56*(1+IF(F$3&lt;=$O$2,$D56,$D56-($D56-$I$49)*MIN(F$3-$O$2,$Q$2)/$Q$2))</f>
        <v>2375.23193359375</v>
      </c>
      <c r="G56" s="15" t="n">
        <f aca="false">F56*(1+IF(G$3&lt;=$O$2,$D56,$D56-($D56-$I$49)*MIN(G$3-$O$2,$Q$2)/$Q$2))</f>
        <v>2468.01443099976</v>
      </c>
      <c r="H56" s="15" t="n">
        <f aca="false">G56*(1+IF(H$3&lt;=$O$2,$D56,$D56-($D56-$I$49)*MIN(H$3-$O$2,$Q$2)/$Q$2))</f>
        <v>2564.42124471068</v>
      </c>
      <c r="I56" s="15" t="n">
        <f aca="false">H56*(1+IF(I$3&lt;=$O$2,$D56,$D56-($D56-$I$49)*MIN(I$3-$O$2,$Q$2)/$Q$2))</f>
        <v>2664.5939495822</v>
      </c>
      <c r="J56" s="15" t="n">
        <f aca="false">I56*(1+IF(J$3&lt;=$O$2,$D56,$D56-($D56-$I$49)*MIN(J$3-$O$2,$Q$2)/$Q$2))</f>
        <v>2757.61492436211</v>
      </c>
      <c r="K56" s="15" t="n">
        <f aca="false">J56*(1+IF(K$3&lt;=$O$2,$D56,$D56-($D56-$I$49)*MIN(K$3-$O$2,$Q$2)/$Q$2))</f>
        <v>2842.43226539818</v>
      </c>
      <c r="L56" s="15" t="n">
        <f aca="false">K56*(1+IF(L$3&lt;=$O$2,$D56,$D56-($D56-$I$49)*MIN(L$3-$O$2,$Q$2)/$Q$2))</f>
        <v>2918.0551758191</v>
      </c>
      <c r="M56" s="15" t="n">
        <f aca="false">L56*(1+IF(M$3&lt;=$O$2,$D56,$D56-($D56-$I$49)*MIN(M$3-$O$2,$Q$2)/$Q$2))</f>
        <v>2983.57280965417</v>
      </c>
      <c r="N56" s="15" t="n">
        <f aca="false">M56*(1+IF(N$3&lt;=$O$2,$D56,$D56-($D56-$I$49)*MIN(N$3-$O$2,$Q$2)/$Q$2))</f>
        <v>3038.17219207085</v>
      </c>
      <c r="O56" s="15" t="n">
        <f aca="false">SUMPRODUCT(E56:N56,1/(1+$F$49)^$E$3:$N$3)*$E$2</f>
        <v>9718.95223495023</v>
      </c>
      <c r="P56" s="15" t="n">
        <f aca="false">N56*$E$2*(1+$I$49)/($F$49-$I$49)/(1+$F$49)^$N$3</f>
        <v>16807.6629606876</v>
      </c>
      <c r="Q56" s="15" t="n">
        <f aca="false">O56+P56</f>
        <v>26526.6151956378</v>
      </c>
      <c r="R56" s="15" t="n">
        <f aca="false">Q56-$G$2+$I$2</f>
        <v>28436.2751956378</v>
      </c>
      <c r="S56" s="42" t="n">
        <f aca="false">R56/$K$2</f>
        <v>121.506965754979</v>
      </c>
      <c r="T56" s="43" t="n">
        <f aca="false">S56-$M$2</f>
        <v>11.5210665112927</v>
      </c>
    </row>
    <row r="57" customFormat="false" ht="15" hidden="false" customHeight="false" outlineLevel="0" collapsed="false">
      <c r="A57" s="5" t="n">
        <v>7</v>
      </c>
      <c r="B57" s="25" t="n">
        <f aca="false">IF(T56&gt;0,B56,D56)</f>
        <v>0.015625</v>
      </c>
      <c r="C57" s="25" t="n">
        <f aca="false">IF(T56&gt;0,D56,C56)</f>
        <v>0.0390625</v>
      </c>
      <c r="D57" s="41" t="n">
        <f aca="false">(B57+C57)/2</f>
        <v>0.02734375</v>
      </c>
      <c r="E57" s="15" t="n">
        <f aca="false">$C$2*(1+IF(E$3&lt;=$O$2,$D57,$D57-($D57-$I$49)*MIN(E$3-$O$2,$Q$2)/$Q$2))</f>
        <v>2260.15625</v>
      </c>
      <c r="F57" s="15" t="n">
        <f aca="false">E57*(1+IF(F$3&lt;=$O$2,$D57,$D57-($D57-$I$49)*MIN(F$3-$O$2,$Q$2)/$Q$2))</f>
        <v>2321.95739746094</v>
      </c>
      <c r="G57" s="15" t="n">
        <f aca="false">F57*(1+IF(G$3&lt;=$O$2,$D57,$D57-($D57-$I$49)*MIN(G$3-$O$2,$Q$2)/$Q$2))</f>
        <v>2385.44842004776</v>
      </c>
      <c r="H57" s="15" t="n">
        <f aca="false">G57*(1+IF(H$3&lt;=$O$2,$D57,$D57-($D57-$I$49)*MIN(H$3-$O$2,$Q$2)/$Q$2))</f>
        <v>2450.67552528344</v>
      </c>
      <c r="I57" s="15" t="n">
        <f aca="false">H57*(1+IF(I$3&lt;=$O$2,$D57,$D57-($D57-$I$49)*MIN(I$3-$O$2,$Q$2)/$Q$2))</f>
        <v>2517.68618417791</v>
      </c>
      <c r="J57" s="15" t="n">
        <f aca="false">I57*(1+IF(J$3&lt;=$O$2,$D57,$D57-($D57-$I$49)*MIN(J$3-$O$2,$Q$2)/$Q$2))</f>
        <v>2581.97530089089</v>
      </c>
      <c r="K57" s="15" t="n">
        <f aca="false">J57*(1+IF(K$3&lt;=$O$2,$D57,$D57-($D57-$I$49)*MIN(K$3-$O$2,$Q$2)/$Q$2))</f>
        <v>2643.23589237366</v>
      </c>
      <c r="L57" s="15" t="n">
        <f aca="false">K57*(1+IF(L$3&lt;=$O$2,$D57,$D57-($D57-$I$49)*MIN(L$3-$O$2,$Q$2)/$Q$2))</f>
        <v>2701.16901504476</v>
      </c>
      <c r="M57" s="15" t="n">
        <f aca="false">L57*(1+IF(M$3&lt;=$O$2,$D57,$D57-($D57-$I$49)*MIN(M$3-$O$2,$Q$2)/$Q$2))</f>
        <v>2755.48614747604</v>
      </c>
      <c r="N57" s="15" t="n">
        <f aca="false">M57*(1+IF(N$3&lt;=$O$2,$D57,$D57-($D57-$I$49)*MIN(N$3-$O$2,$Q$2)/$Q$2))</f>
        <v>2805.91154397485</v>
      </c>
      <c r="O57" s="15" t="n">
        <f aca="false">SUMPRODUCT(E57:N57,1/(1+$F$49)^$E$3:$N$3)*$E$2</f>
        <v>9225.8521708921</v>
      </c>
      <c r="P57" s="15" t="n">
        <f aca="false">N57*$E$2*(1+$I$49)/($F$49-$I$49)/(1+$F$49)^$N$3</f>
        <v>15522.759260227</v>
      </c>
      <c r="Q57" s="15" t="n">
        <f aca="false">O57+P57</f>
        <v>24748.6114311191</v>
      </c>
      <c r="R57" s="15" t="n">
        <f aca="false">Q57-$G$2+$I$2</f>
        <v>26658.2714311191</v>
      </c>
      <c r="S57" s="42" t="n">
        <f aca="false">R57/$K$2</f>
        <v>113.909633086011</v>
      </c>
      <c r="T57" s="43" t="n">
        <f aca="false">S57-$M$2</f>
        <v>3.923733842324</v>
      </c>
    </row>
    <row r="58" customFormat="false" ht="15" hidden="false" customHeight="false" outlineLevel="0" collapsed="false">
      <c r="A58" s="5" t="n">
        <v>8</v>
      </c>
      <c r="B58" s="25" t="n">
        <f aca="false">IF(T57&gt;0,B57,D57)</f>
        <v>0.015625</v>
      </c>
      <c r="C58" s="25" t="n">
        <f aca="false">IF(T57&gt;0,D57,C57)</f>
        <v>0.02734375</v>
      </c>
      <c r="D58" s="41" t="n">
        <f aca="false">(B58+C58)/2</f>
        <v>0.021484375</v>
      </c>
      <c r="E58" s="15" t="n">
        <f aca="false">$C$2*(1+IF(E$3&lt;=$O$2,$D58,$D58-($D58-$I$49)*MIN(E$3-$O$2,$Q$2)/$Q$2))</f>
        <v>2247.265625</v>
      </c>
      <c r="F58" s="15" t="n">
        <f aca="false">E58*(1+IF(F$3&lt;=$O$2,$D58,$D58-($D58-$I$49)*MIN(F$3-$O$2,$Q$2)/$Q$2))</f>
        <v>2295.54672241211</v>
      </c>
      <c r="G58" s="15" t="n">
        <f aca="false">F58*(1+IF(G$3&lt;=$O$2,$D58,$D58-($D58-$I$49)*MIN(G$3-$O$2,$Q$2)/$Q$2))</f>
        <v>2344.86510902643</v>
      </c>
      <c r="H58" s="15" t="n">
        <f aca="false">G58*(1+IF(H$3&lt;=$O$2,$D58,$D58-($D58-$I$49)*MIN(H$3-$O$2,$Q$2)/$Q$2))</f>
        <v>2395.24307035317</v>
      </c>
      <c r="I58" s="15" t="n">
        <f aca="false">H58*(1+IF(I$3&lt;=$O$2,$D58,$D58-($D58-$I$49)*MIN(I$3-$O$2,$Q$2)/$Q$2))</f>
        <v>2446.70337069279</v>
      </c>
      <c r="J58" s="15" t="n">
        <f aca="false">I58*(1+IF(J$3&lt;=$O$2,$D58,$D58-($D58-$I$49)*MIN(J$3-$O$2,$Q$2)/$Q$2))</f>
        <v>2497.71101921331</v>
      </c>
      <c r="K58" s="15" t="n">
        <f aca="false">J58*(1+IF(K$3&lt;=$O$2,$D58,$D58-($D58-$I$49)*MIN(K$3-$O$2,$Q$2)/$Q$2))</f>
        <v>2548.191319981</v>
      </c>
      <c r="L58" s="15" t="n">
        <f aca="false">K58*(1+IF(L$3&lt;=$O$2,$D58,$D58-($D58-$I$49)*MIN(L$3-$O$2,$Q$2)/$Q$2))</f>
        <v>2598.06897983047</v>
      </c>
      <c r="M58" s="15" t="n">
        <f aca="false">L58*(1+IF(M$3&lt;=$O$2,$D58,$D58-($D58-$I$49)*MIN(M$3-$O$2,$Q$2)/$Q$2))</f>
        <v>2647.2682873429</v>
      </c>
      <c r="N58" s="15" t="n">
        <f aca="false">M58*(1+IF(N$3&lt;=$O$2,$D58,$D58-($D58-$I$49)*MIN(N$3-$O$2,$Q$2)/$Q$2))</f>
        <v>2695.71329700128</v>
      </c>
      <c r="O58" s="15" t="n">
        <f aca="false">SUMPRODUCT(E58:N58,1/(1+$F$49)^$E$3:$N$3)*$E$2</f>
        <v>8988.83923905655</v>
      </c>
      <c r="P58" s="15" t="n">
        <f aca="false">N58*$E$2*(1+$I$49)/($F$49-$I$49)/(1+$F$49)^$N$3</f>
        <v>14913.1246256845</v>
      </c>
      <c r="Q58" s="15" t="n">
        <f aca="false">O58+P58</f>
        <v>23901.963864741</v>
      </c>
      <c r="R58" s="15" t="n">
        <f aca="false">Q58-$G$2+$I$2</f>
        <v>25811.623864741</v>
      </c>
      <c r="S58" s="42" t="n">
        <f aca="false">R58/$K$2</f>
        <v>110.29194489912</v>
      </c>
      <c r="T58" s="43" t="n">
        <f aca="false">S58-$M$2</f>
        <v>0.306045655433081</v>
      </c>
    </row>
    <row r="59" customFormat="false" ht="15" hidden="false" customHeight="false" outlineLevel="0" collapsed="false">
      <c r="A59" s="5" t="n">
        <v>9</v>
      </c>
      <c r="B59" s="25" t="n">
        <f aca="false">IF(T58&gt;0,B58,D58)</f>
        <v>0.015625</v>
      </c>
      <c r="C59" s="25" t="n">
        <f aca="false">IF(T58&gt;0,D58,C58)</f>
        <v>0.021484375</v>
      </c>
      <c r="D59" s="41" t="n">
        <f aca="false">(B59+C59)/2</f>
        <v>0.0185546875</v>
      </c>
      <c r="E59" s="15" t="n">
        <f aca="false">$C$2*(1+IF(E$3&lt;=$O$2,$D59,$D59-($D59-$I$49)*MIN(E$3-$O$2,$Q$2)/$Q$2))</f>
        <v>2240.8203125</v>
      </c>
      <c r="F59" s="15" t="n">
        <f aca="false">E59*(1+IF(F$3&lt;=$O$2,$D59,$D59-($D59-$I$49)*MIN(F$3-$O$2,$Q$2)/$Q$2))</f>
        <v>2282.39803314209</v>
      </c>
      <c r="G59" s="15" t="n">
        <f aca="false">F59*(1+IF(G$3&lt;=$O$2,$D59,$D59-($D59-$I$49)*MIN(G$3-$O$2,$Q$2)/$Q$2))</f>
        <v>2324.74721539766</v>
      </c>
      <c r="H59" s="15" t="n">
        <f aca="false">G59*(1+IF(H$3&lt;=$O$2,$D59,$D59-($D59-$I$49)*MIN(H$3-$O$2,$Q$2)/$Q$2))</f>
        <v>2367.88217349585</v>
      </c>
      <c r="I59" s="15" t="n">
        <f aca="false">H59*(1+IF(I$3&lt;=$O$2,$D59,$D59-($D59-$I$49)*MIN(I$3-$O$2,$Q$2)/$Q$2))</f>
        <v>2411.81748726189</v>
      </c>
      <c r="J59" s="15" t="n">
        <f aca="false">I59*(1+IF(J$3&lt;=$O$2,$D59,$D59-($D59-$I$49)*MIN(J$3-$O$2,$Q$2)/$Q$2))</f>
        <v>2456.44515509181</v>
      </c>
      <c r="K59" s="15" t="n">
        <f aca="false">J59*(1+IF(K$3&lt;=$O$2,$D59,$D59-($D59-$I$49)*MIN(K$3-$O$2,$Q$2)/$Q$2))</f>
        <v>2501.77347695526</v>
      </c>
      <c r="L59" s="15" t="n">
        <f aca="false">K59*(1+IF(L$3&lt;=$O$2,$D59,$D59-($D59-$I$49)*MIN(L$3-$O$2,$Q$2)/$Q$2))</f>
        <v>2547.8107997565</v>
      </c>
      <c r="M59" s="15" t="n">
        <f aca="false">L59*(1+IF(M$3&lt;=$O$2,$D59,$D59-($D59-$I$49)*MIN(M$3-$O$2,$Q$2)/$Q$2))</f>
        <v>2594.56551650466</v>
      </c>
      <c r="N59" s="15" t="n">
        <f aca="false">M59*(1+IF(N$3&lt;=$O$2,$D59,$D59-($D59-$I$49)*MIN(N$3-$O$2,$Q$2)/$Q$2))</f>
        <v>2642.04606545669</v>
      </c>
      <c r="O59" s="15" t="n">
        <f aca="false">SUMPRODUCT(E59:N59,1/(1+$F$49)^$E$3:$N$3)*$E$2</f>
        <v>8872.64942899748</v>
      </c>
      <c r="P59" s="15" t="n">
        <f aca="false">N59*$E$2*(1+$I$49)/($F$49-$I$49)/(1+$F$49)^$N$3</f>
        <v>14616.2287676456</v>
      </c>
      <c r="Q59" s="15" t="n">
        <f aca="false">O59+P59</f>
        <v>23488.8781966431</v>
      </c>
      <c r="R59" s="15" t="n">
        <f aca="false">Q59-$G$2+$I$2</f>
        <v>25398.5381966431</v>
      </c>
      <c r="S59" s="42" t="n">
        <f aca="false">R59/$K$2</f>
        <v>108.526847825677</v>
      </c>
      <c r="T59" s="43" t="n">
        <f aca="false">S59-$M$2</f>
        <v>-1.45905141801001</v>
      </c>
    </row>
    <row r="60" customFormat="false" ht="15" hidden="false" customHeight="false" outlineLevel="0" collapsed="false">
      <c r="A60" s="5" t="n">
        <v>10</v>
      </c>
      <c r="B60" s="25" t="n">
        <f aca="false">IF(T59&gt;0,B59,D59)</f>
        <v>0.0185546875</v>
      </c>
      <c r="C60" s="25" t="n">
        <f aca="false">IF(T59&gt;0,D59,C59)</f>
        <v>0.021484375</v>
      </c>
      <c r="D60" s="41" t="n">
        <f aca="false">(B60+C60)/2</f>
        <v>0.02001953125</v>
      </c>
      <c r="E60" s="15" t="n">
        <f aca="false">$C$2*(1+IF(E$3&lt;=$O$2,$D60,$D60-($D60-$I$49)*MIN(E$3-$O$2,$Q$2)/$Q$2))</f>
        <v>2244.04296875</v>
      </c>
      <c r="F60" s="15" t="n">
        <f aca="false">E60*(1+IF(F$3&lt;=$O$2,$D60,$D60-($D60-$I$49)*MIN(F$3-$O$2,$Q$2)/$Q$2))</f>
        <v>2288.96765708923</v>
      </c>
      <c r="G60" s="15" t="n">
        <f aca="false">F60*(1+IF(G$3&lt;=$O$2,$D60,$D60-($D60-$I$49)*MIN(G$3-$O$2,$Q$2)/$Q$2))</f>
        <v>2334.79171663057</v>
      </c>
      <c r="H60" s="15" t="n">
        <f aca="false">G60*(1+IF(H$3&lt;=$O$2,$D60,$D60-($D60-$I$49)*MIN(H$3-$O$2,$Q$2)/$Q$2))</f>
        <v>2381.5331523639</v>
      </c>
      <c r="I60" s="15" t="n">
        <f aca="false">H60*(1+IF(I$3&lt;=$O$2,$D60,$D60-($D60-$I$49)*MIN(I$3-$O$2,$Q$2)/$Q$2))</f>
        <v>2429.21032973056</v>
      </c>
      <c r="J60" s="15" t="n">
        <f aca="false">I60*(1+IF(J$3&lt;=$O$2,$D60,$D60-($D60-$I$49)*MIN(J$3-$O$2,$Q$2)/$Q$2))</f>
        <v>2477.00656122446</v>
      </c>
      <c r="K60" s="15" t="n">
        <f aca="false">J60*(1+IF(K$3&lt;=$O$2,$D60,$D60-($D60-$I$49)*MIN(K$3-$O$2,$Q$2)/$Q$2))</f>
        <v>2524.89135540796</v>
      </c>
      <c r="L60" s="15" t="n">
        <f aca="false">K60*(1+IF(L$3&lt;=$O$2,$D60,$D60-($D60-$I$49)*MIN(L$3-$O$2,$Q$2)/$Q$2))</f>
        <v>2572.83351904732</v>
      </c>
      <c r="M60" s="15" t="n">
        <f aca="false">L60*(1+IF(M$3&lt;=$O$2,$D60,$D60-($D60-$I$49)*MIN(M$3-$O$2,$Q$2)/$Q$2))</f>
        <v>2620.80118597329</v>
      </c>
      <c r="N60" s="15" t="n">
        <f aca="false">M60*(1+IF(N$3&lt;=$O$2,$D60,$D60-($D60-$I$49)*MIN(N$3-$O$2,$Q$2)/$Q$2))</f>
        <v>2668.7618476766</v>
      </c>
      <c r="O60" s="15" t="n">
        <f aca="false">SUMPRODUCT(E60:N60,1/(1+$F$49)^$E$3:$N$3)*$E$2</f>
        <v>8930.55325703186</v>
      </c>
      <c r="P60" s="15" t="n">
        <f aca="false">N60*$E$2*(1+$I$49)/($F$49-$I$49)/(1+$F$49)^$N$3</f>
        <v>14764.0248222785</v>
      </c>
      <c r="Q60" s="15" t="n">
        <f aca="false">O60+P60</f>
        <v>23694.5780793104</v>
      </c>
      <c r="R60" s="15" t="n">
        <f aca="false">Q60-$G$2+$I$2</f>
        <v>25604.2380793104</v>
      </c>
      <c r="S60" s="42" t="n">
        <f aca="false">R60/$K$2</f>
        <v>109.405794467848</v>
      </c>
      <c r="T60" s="43" t="n">
        <f aca="false">S60-$M$2</f>
        <v>-0.580104775839175</v>
      </c>
    </row>
    <row r="61" customFormat="false" ht="15" hidden="false" customHeight="false" outlineLevel="0" collapsed="false">
      <c r="A61" s="5" t="n">
        <v>11</v>
      </c>
      <c r="B61" s="25" t="n">
        <f aca="false">IF(T60&gt;0,B60,D60)</f>
        <v>0.02001953125</v>
      </c>
      <c r="C61" s="25" t="n">
        <f aca="false">IF(T60&gt;0,D60,C60)</f>
        <v>0.021484375</v>
      </c>
      <c r="D61" s="41" t="n">
        <f aca="false">(B61+C61)/2</f>
        <v>0.020751953125</v>
      </c>
      <c r="E61" s="15" t="n">
        <f aca="false">$C$2*(1+IF(E$3&lt;=$O$2,$D61,$D61-($D61-$I$49)*MIN(E$3-$O$2,$Q$2)/$Q$2))</f>
        <v>2245.654296875</v>
      </c>
      <c r="F61" s="15" t="n">
        <f aca="false">E61*(1+IF(F$3&lt;=$O$2,$D61,$D61-($D61-$I$49)*MIN(F$3-$O$2,$Q$2)/$Q$2))</f>
        <v>2292.25600957871</v>
      </c>
      <c r="G61" s="15" t="n">
        <f aca="false">F61*(1+IF(G$3&lt;=$O$2,$D61,$D61-($D61-$I$49)*MIN(G$3-$O$2,$Q$2)/$Q$2))</f>
        <v>2339.82479883998</v>
      </c>
      <c r="H61" s="15" t="n">
        <f aca="false">G61*(1+IF(H$3&lt;=$O$2,$D61,$D61-($D61-$I$49)*MIN(H$3-$O$2,$Q$2)/$Q$2))</f>
        <v>2388.38073338622</v>
      </c>
      <c r="I61" s="15" t="n">
        <f aca="false">H61*(1+IF(I$3&lt;=$O$2,$D61,$D61-($D61-$I$49)*MIN(I$3-$O$2,$Q$2)/$Q$2))</f>
        <v>2437.94429841011</v>
      </c>
      <c r="J61" s="15" t="n">
        <f aca="false">I61*(1+IF(J$3&lt;=$O$2,$D61,$D61-($D61-$I$49)*MIN(J$3-$O$2,$Q$2)/$Q$2))</f>
        <v>2487.34085918386</v>
      </c>
      <c r="K61" s="15" t="n">
        <f aca="false">J61*(1+IF(K$3&lt;=$O$2,$D61,$D61-($D61-$I$49)*MIN(K$3-$O$2,$Q$2)/$Q$2))</f>
        <v>2536.5185028225</v>
      </c>
      <c r="L61" s="15" t="n">
        <f aca="false">K61*(1+IF(L$3&lt;=$O$2,$D61,$D61-($D61-$I$49)*MIN(L$3-$O$2,$Q$2)/$Q$2))</f>
        <v>2585.42456121199</v>
      </c>
      <c r="M61" s="15" t="n">
        <f aca="false">L61*(1+IF(M$3&lt;=$O$2,$D61,$D61-($D61-$I$49)*MIN(M$3-$O$2,$Q$2)/$Q$2))</f>
        <v>2634.00569864864</v>
      </c>
      <c r="N61" s="15" t="n">
        <f aca="false">M61*(1+IF(N$3&lt;=$O$2,$D61,$D61-($D61-$I$49)*MIN(N$3-$O$2,$Q$2)/$Q$2))</f>
        <v>2682.20800293391</v>
      </c>
      <c r="O61" s="15" t="n">
        <f aca="false">SUMPRODUCT(E61:N61,1/(1+$F$49)^$E$3:$N$3)*$E$2</f>
        <v>8959.64833136487</v>
      </c>
      <c r="P61" s="15" t="n">
        <f aca="false">N61*$E$2*(1+$I$49)/($F$49-$I$49)/(1+$F$49)^$N$3</f>
        <v>14838.4111412211</v>
      </c>
      <c r="Q61" s="15" t="n">
        <f aca="false">O61+P61</f>
        <v>23798.0594725859</v>
      </c>
      <c r="R61" s="15" t="n">
        <f aca="false">Q61-$G$2+$I$2</f>
        <v>25707.7194725859</v>
      </c>
      <c r="S61" s="42" t="n">
        <f aca="false">R61/$K$2</f>
        <v>109.847965955587</v>
      </c>
      <c r="T61" s="43" t="n">
        <f aca="false">S61-$M$2</f>
        <v>-0.137933288100072</v>
      </c>
    </row>
    <row r="62" customFormat="false" ht="15" hidden="false" customHeight="false" outlineLevel="0" collapsed="false">
      <c r="A62" s="5" t="n">
        <v>12</v>
      </c>
      <c r="B62" s="25" t="n">
        <f aca="false">IF(T61&gt;0,B61,D61)</f>
        <v>0.020751953125</v>
      </c>
      <c r="C62" s="25" t="n">
        <f aca="false">IF(T61&gt;0,D61,C61)</f>
        <v>0.021484375</v>
      </c>
      <c r="D62" s="41" t="n">
        <f aca="false">(B62+C62)/2</f>
        <v>0.0211181640625</v>
      </c>
      <c r="E62" s="15" t="n">
        <f aca="false">$C$2*(1+IF(E$3&lt;=$O$2,$D62,$D62-($D62-$I$49)*MIN(E$3-$O$2,$Q$2)/$Q$2))</f>
        <v>2246.4599609375</v>
      </c>
      <c r="F62" s="15" t="n">
        <f aca="false">E62*(1+IF(F$3&lt;=$O$2,$D62,$D62-($D62-$I$49)*MIN(F$3-$O$2,$Q$2)/$Q$2))</f>
        <v>2293.90107095242</v>
      </c>
      <c r="G62" s="15" t="n">
        <f aca="false">F62*(1+IF(G$3&lt;=$O$2,$D62,$D62-($D62-$I$49)*MIN(G$3-$O$2,$Q$2)/$Q$2))</f>
        <v>2342.34405011193</v>
      </c>
      <c r="H62" s="15" t="n">
        <f aca="false">G62*(1+IF(H$3&lt;=$O$2,$D62,$D62-($D62-$I$49)*MIN(H$3-$O$2,$Q$2)/$Q$2))</f>
        <v>2391.81005605302</v>
      </c>
      <c r="I62" s="15" t="n">
        <f aca="false">H62*(1+IF(I$3&lt;=$O$2,$D62,$D62-($D62-$I$49)*MIN(I$3-$O$2,$Q$2)/$Q$2))</f>
        <v>2442.32069322308</v>
      </c>
      <c r="J62" s="15" t="n">
        <f aca="false">I62*(1+IF(J$3&lt;=$O$2,$D62,$D62-($D62-$I$49)*MIN(J$3-$O$2,$Q$2)/$Q$2))</f>
        <v>2492.52145023446</v>
      </c>
      <c r="K62" s="15" t="n">
        <f aca="false">J62*(1+IF(K$3&lt;=$O$2,$D62,$D62-($D62-$I$49)*MIN(K$3-$O$2,$Q$2)/$Q$2))</f>
        <v>2542.34919339939</v>
      </c>
      <c r="L62" s="15" t="n">
        <f aca="false">K62*(1+IF(L$3&lt;=$O$2,$D62,$D62-($D62-$I$49)*MIN(L$3-$O$2,$Q$2)/$Q$2))</f>
        <v>2591.74008649106</v>
      </c>
      <c r="M62" s="15" t="n">
        <f aca="false">L62*(1+IF(M$3&lt;=$O$2,$D62,$D62-($D62-$I$49)*MIN(M$3-$O$2,$Q$2)/$Q$2))</f>
        <v>2640.62971982806</v>
      </c>
      <c r="N62" s="15" t="n">
        <f aca="false">M62*(1+IF(N$3&lt;=$O$2,$D62,$D62-($D62-$I$49)*MIN(N$3-$O$2,$Q$2)/$Q$2))</f>
        <v>2688.95324370092</v>
      </c>
      <c r="O62" s="15" t="n">
        <f aca="false">SUMPRODUCT(E62:N62,1/(1+$F$49)^$E$3:$N$3)*$E$2</f>
        <v>8974.23178756876</v>
      </c>
      <c r="P62" s="15" t="n">
        <f aca="false">N62*$E$2*(1+$I$49)/($F$49-$I$49)/(1+$F$49)^$N$3</f>
        <v>14875.7269107803</v>
      </c>
      <c r="Q62" s="15" t="n">
        <f aca="false">O62+P62</f>
        <v>23849.9586983491</v>
      </c>
      <c r="R62" s="15" t="n">
        <f aca="false">Q62-$G$2+$I$2</f>
        <v>25759.6186983491</v>
      </c>
      <c r="S62" s="42" t="n">
        <f aca="false">R62/$K$2</f>
        <v>110.069729087506</v>
      </c>
      <c r="T62" s="43" t="n">
        <f aca="false">S62-$M$2</f>
        <v>0.0838298438195153</v>
      </c>
    </row>
    <row r="63" customFormat="false" ht="15" hidden="false" customHeight="false" outlineLevel="0" collapsed="false">
      <c r="A63" s="5" t="n">
        <v>13</v>
      </c>
      <c r="B63" s="25" t="n">
        <f aca="false">IF(T62&gt;0,B62,D62)</f>
        <v>0.020751953125</v>
      </c>
      <c r="C63" s="25" t="n">
        <f aca="false">IF(T62&gt;0,D62,C62)</f>
        <v>0.0211181640625</v>
      </c>
      <c r="D63" s="41" t="n">
        <f aca="false">(B63+C63)/2</f>
        <v>0.02093505859375</v>
      </c>
      <c r="E63" s="15" t="n">
        <f aca="false">$C$2*(1+IF(E$3&lt;=$O$2,$D63,$D63-($D63-$I$49)*MIN(E$3-$O$2,$Q$2)/$Q$2))</f>
        <v>2246.05712890625</v>
      </c>
      <c r="F63" s="15" t="n">
        <f aca="false">E63*(1+IF(F$3&lt;=$O$2,$D63,$D63-($D63-$I$49)*MIN(F$3-$O$2,$Q$2)/$Q$2))</f>
        <v>2293.07846650481</v>
      </c>
      <c r="G63" s="15" t="n">
        <f aca="false">F63*(1+IF(G$3&lt;=$O$2,$D63,$D63-($D63-$I$49)*MIN(G$3-$O$2,$Q$2)/$Q$2))</f>
        <v>2341.08419856116</v>
      </c>
      <c r="H63" s="15" t="n">
        <f aca="false">G63*(1+IF(H$3&lt;=$O$2,$D63,$D63-($D63-$I$49)*MIN(H$3-$O$2,$Q$2)/$Q$2))</f>
        <v>2390.09493343094</v>
      </c>
      <c r="I63" s="15" t="n">
        <f aca="false">H63*(1+IF(I$3&lt;=$O$2,$D63,$D63-($D63-$I$49)*MIN(I$3-$O$2,$Q$2)/$Q$2))</f>
        <v>2440.13171090694</v>
      </c>
      <c r="J63" s="15" t="n">
        <f aca="false">I63*(1+IF(J$3&lt;=$O$2,$D63,$D63-($D63-$I$49)*MIN(J$3-$O$2,$Q$2)/$Q$2))</f>
        <v>2489.9300332443</v>
      </c>
      <c r="K63" s="15" t="n">
        <f aca="false">J63*(1+IF(K$3&lt;=$O$2,$D63,$D63-($D63-$I$49)*MIN(K$3-$O$2,$Q$2)/$Q$2))</f>
        <v>2539.43241977183</v>
      </c>
      <c r="L63" s="15" t="n">
        <f aca="false">K63*(1+IF(L$3&lt;=$O$2,$D63,$D63-($D63-$I$49)*MIN(L$3-$O$2,$Q$2)/$Q$2))</f>
        <v>2588.58065434205</v>
      </c>
      <c r="M63" s="15" t="n">
        <f aca="false">L63*(1+IF(M$3&lt;=$O$2,$D63,$D63-($D63-$I$49)*MIN(M$3-$O$2,$Q$2)/$Q$2))</f>
        <v>2637.31589265627</v>
      </c>
      <c r="N63" s="15" t="n">
        <f aca="false">M63*(1+IF(N$3&lt;=$O$2,$D63,$D63-($D63-$I$49)*MIN(N$3-$O$2,$Q$2)/$Q$2))</f>
        <v>2685.57877349188</v>
      </c>
      <c r="O63" s="15" t="n">
        <f aca="false">SUMPRODUCT(E63:N63,1/(1+$F$49)^$E$3:$N$3)*$E$2</f>
        <v>8966.93706236728</v>
      </c>
      <c r="P63" s="15" t="n">
        <f aca="false">N63*$E$2*(1+$I$49)/($F$49-$I$49)/(1+$F$49)^$N$3</f>
        <v>14857.0587924649</v>
      </c>
      <c r="Q63" s="15" t="n">
        <f aca="false">O63+P63</f>
        <v>23823.9958548321</v>
      </c>
      <c r="R63" s="15" t="n">
        <f aca="false">Q63-$G$2+$I$2</f>
        <v>25733.6558548321</v>
      </c>
      <c r="S63" s="42" t="n">
        <f aca="false">R63/$K$2</f>
        <v>109.958790987618</v>
      </c>
      <c r="T63" s="43" t="n">
        <f aca="false">S63-$M$2</f>
        <v>-0.0271082560691696</v>
      </c>
    </row>
    <row r="64" customFormat="false" ht="15" hidden="false" customHeight="false" outlineLevel="0" collapsed="false">
      <c r="A64" s="5" t="n">
        <v>14</v>
      </c>
      <c r="B64" s="25" t="n">
        <f aca="false">IF(T63&gt;0,B63,D63)</f>
        <v>0.02093505859375</v>
      </c>
      <c r="C64" s="25" t="n">
        <f aca="false">IF(T63&gt;0,D63,C63)</f>
        <v>0.0211181640625</v>
      </c>
      <c r="D64" s="41" t="n">
        <f aca="false">(B64+C64)/2</f>
        <v>0.021026611328125</v>
      </c>
      <c r="E64" s="15" t="n">
        <f aca="false">$C$2*(1+IF(E$3&lt;=$O$2,$D64,$D64-($D64-$I$49)*MIN(E$3-$O$2,$Q$2)/$Q$2))</f>
        <v>2246.25854492188</v>
      </c>
      <c r="F64" s="15" t="n">
        <f aca="false">E64*(1+IF(F$3&lt;=$O$2,$D64,$D64-($D64-$I$49)*MIN(F$3-$O$2,$Q$2)/$Q$2))</f>
        <v>2293.48975028843</v>
      </c>
      <c r="G64" s="15" t="n">
        <f aca="false">F64*(1+IF(G$3&lt;=$O$2,$D64,$D64-($D64-$I$49)*MIN(G$3-$O$2,$Q$2)/$Q$2))</f>
        <v>2341.71406785278</v>
      </c>
      <c r="H64" s="15" t="n">
        <f aca="false">G64*(1+IF(H$3&lt;=$O$2,$D64,$D64-($D64-$I$49)*MIN(H$3-$O$2,$Q$2)/$Q$2))</f>
        <v>2390.95237939912</v>
      </c>
      <c r="I64" s="15" t="n">
        <f aca="false">H64*(1+IF(I$3&lt;=$O$2,$D64,$D64-($D64-$I$49)*MIN(I$3-$O$2,$Q$2)/$Q$2))</f>
        <v>2441.2260057848</v>
      </c>
      <c r="J64" s="15" t="n">
        <f aca="false">I64*(1+IF(J$3&lt;=$O$2,$D64,$D64-($D64-$I$49)*MIN(J$3-$O$2,$Q$2)/$Q$2))</f>
        <v>2491.22546127618</v>
      </c>
      <c r="K64" s="15" t="n">
        <f aca="false">J64*(1+IF(K$3&lt;=$O$2,$D64,$D64-($D64-$I$49)*MIN(K$3-$O$2,$Q$2)/$Q$2))</f>
        <v>2540.89044935571</v>
      </c>
      <c r="L64" s="15" t="n">
        <f aca="false">K64*(1+IF(L$3&lt;=$O$2,$D64,$D64-($D64-$I$49)*MIN(L$3-$O$2,$Q$2)/$Q$2))</f>
        <v>2590.15995285201</v>
      </c>
      <c r="M64" s="15" t="n">
        <f aca="false">L64*(1+IF(M$3&lt;=$O$2,$D64,$D64-($D64-$I$49)*MIN(M$3-$O$2,$Q$2)/$Q$2))</f>
        <v>2638.97235188302</v>
      </c>
      <c r="N64" s="15" t="n">
        <f aca="false">M64*(1+IF(N$3&lt;=$O$2,$D64,$D64-($D64-$I$49)*MIN(N$3-$O$2,$Q$2)/$Q$2))</f>
        <v>2687.26554592248</v>
      </c>
      <c r="O64" s="15" t="n">
        <f aca="false">SUMPRODUCT(E64:N64,1/(1+$F$49)^$E$3:$N$3)*$E$2</f>
        <v>8970.58367540439</v>
      </c>
      <c r="P64" s="15" t="n">
        <f aca="false">N64*$E$2*(1+$I$49)/($F$49-$I$49)/(1+$F$49)^$N$3</f>
        <v>14866.3902920352</v>
      </c>
      <c r="Q64" s="15" t="n">
        <f aca="false">O64+P64</f>
        <v>23836.9739674396</v>
      </c>
      <c r="R64" s="15" t="n">
        <f aca="false">Q64-$G$2+$I$2</f>
        <v>25746.6339674396</v>
      </c>
      <c r="S64" s="42" t="n">
        <f aca="false">R64/$K$2</f>
        <v>110.014245897704</v>
      </c>
      <c r="T64" s="43" t="n">
        <f aca="false">S64-$M$2</f>
        <v>0.028346654016886</v>
      </c>
    </row>
    <row r="65" customFormat="false" ht="15" hidden="false" customHeight="false" outlineLevel="0" collapsed="false">
      <c r="A65" s="5" t="n">
        <v>15</v>
      </c>
      <c r="B65" s="25" t="n">
        <f aca="false">IF(T64&gt;0,B64,D64)</f>
        <v>0.02093505859375</v>
      </c>
      <c r="C65" s="25" t="n">
        <f aca="false">IF(T64&gt;0,D64,C64)</f>
        <v>0.021026611328125</v>
      </c>
      <c r="D65" s="41" t="n">
        <f aca="false">(B65+C65)/2</f>
        <v>0.0209808349609375</v>
      </c>
      <c r="E65" s="15" t="n">
        <f aca="false">$C$2*(1+IF(E$3&lt;=$O$2,$D65,$D65-($D65-$I$49)*MIN(E$3-$O$2,$Q$2)/$Q$2))</f>
        <v>2246.15783691406</v>
      </c>
      <c r="F65" s="15" t="n">
        <f aca="false">E65*(1+IF(F$3&lt;=$O$2,$D65,$D65-($D65-$I$49)*MIN(F$3-$O$2,$Q$2)/$Q$2))</f>
        <v>2293.28410378657</v>
      </c>
      <c r="G65" s="15" t="n">
        <f aca="false">F65*(1+IF(G$3&lt;=$O$2,$D65,$D65-($D65-$I$49)*MIN(G$3-$O$2,$Q$2)/$Q$2))</f>
        <v>2341.39911908666</v>
      </c>
      <c r="H65" s="15" t="n">
        <f aca="false">G65*(1+IF(H$3&lt;=$O$2,$D65,$D65-($D65-$I$49)*MIN(H$3-$O$2,$Q$2)/$Q$2))</f>
        <v>2390.5236275819</v>
      </c>
      <c r="I65" s="15" t="n">
        <f aca="false">H65*(1+IF(I$3&lt;=$O$2,$D65,$D65-($D65-$I$49)*MIN(I$3-$O$2,$Q$2)/$Q$2))</f>
        <v>2440.67880928242</v>
      </c>
      <c r="J65" s="15" t="n">
        <f aca="false">I65*(1+IF(J$3&lt;=$O$2,$D65,$D65-($D65-$I$49)*MIN(J$3-$O$2,$Q$2)/$Q$2))</f>
        <v>2490.57767715656</v>
      </c>
      <c r="K65" s="15" t="n">
        <f aca="false">J65*(1+IF(K$3&lt;=$O$2,$D65,$D65-($D65-$I$49)*MIN(K$3-$O$2,$Q$2)/$Q$2))</f>
        <v>2540.16134527444</v>
      </c>
      <c r="L65" s="15" t="n">
        <f aca="false">K65*(1+IF(L$3&lt;=$O$2,$D65,$D65-($D65-$I$49)*MIN(L$3-$O$2,$Q$2)/$Q$2))</f>
        <v>2589.37019922929</v>
      </c>
      <c r="M65" s="15" t="n">
        <f aca="false">L65*(1+IF(M$3&lt;=$O$2,$D65,$D65-($D65-$I$49)*MIN(M$3-$O$2,$Q$2)/$Q$2))</f>
        <v>2638.14400870657</v>
      </c>
      <c r="N65" s="15" t="n">
        <f aca="false">M65*(1+IF(N$3&lt;=$O$2,$D65,$D65-($D65-$I$49)*MIN(N$3-$O$2,$Q$2)/$Q$2))</f>
        <v>2686.4220440659</v>
      </c>
      <c r="O65" s="15" t="n">
        <f aca="false">SUMPRODUCT(E65:N65,1/(1+$F$49)^$E$3:$N$3)*$E$2</f>
        <v>8968.76018153103</v>
      </c>
      <c r="P65" s="15" t="n">
        <f aca="false">N65*$E$2*(1+$I$49)/($F$49-$I$49)/(1+$F$49)^$N$3</f>
        <v>14861.7239025036</v>
      </c>
      <c r="Q65" s="15" t="n">
        <f aca="false">O65+P65</f>
        <v>23830.4840840347</v>
      </c>
      <c r="R65" s="15" t="n">
        <f aca="false">Q65-$G$2+$I$2</f>
        <v>25740.1440840347</v>
      </c>
      <c r="S65" s="42" t="n">
        <f aca="false">R65/$K$2</f>
        <v>109.986514908493</v>
      </c>
      <c r="T65" s="43" t="n">
        <f aca="false">S65-$M$2</f>
        <v>0.00061566480647457</v>
      </c>
    </row>
    <row r="66" customFormat="false" ht="15" hidden="false" customHeight="false" outlineLevel="0" collapsed="false">
      <c r="A66" s="5" t="n">
        <v>16</v>
      </c>
      <c r="B66" s="25" t="n">
        <f aca="false">IF(T65&gt;0,B65,D65)</f>
        <v>0.02093505859375</v>
      </c>
      <c r="C66" s="25" t="n">
        <f aca="false">IF(T65&gt;0,D65,C65)</f>
        <v>0.0209808349609375</v>
      </c>
      <c r="D66" s="41" t="n">
        <f aca="false">(B66+C66)/2</f>
        <v>0.0209579467773438</v>
      </c>
      <c r="E66" s="15" t="n">
        <f aca="false">$C$2*(1+IF(E$3&lt;=$O$2,$D66,$D66-($D66-$I$49)*MIN(E$3-$O$2,$Q$2)/$Q$2))</f>
        <v>2246.10748291016</v>
      </c>
      <c r="F66" s="15" t="n">
        <f aca="false">E66*(1+IF(F$3&lt;=$O$2,$D66,$D66-($D66-$I$49)*MIN(F$3-$O$2,$Q$2)/$Q$2))</f>
        <v>2293.18128399318</v>
      </c>
      <c r="G66" s="15" t="n">
        <f aca="false">F66*(1+IF(G$3&lt;=$O$2,$D66,$D66-($D66-$I$49)*MIN(G$3-$O$2,$Q$2)/$Q$2))</f>
        <v>2341.24165529391</v>
      </c>
      <c r="H66" s="15" t="n">
        <f aca="false">G66*(1+IF(H$3&lt;=$O$2,$D66,$D66-($D66-$I$49)*MIN(H$3-$O$2,$Q$2)/$Q$2))</f>
        <v>2390.30927329846</v>
      </c>
      <c r="I66" s="15" t="n">
        <f aca="false">H66*(1+IF(I$3&lt;=$O$2,$D66,$D66-($D66-$I$49)*MIN(I$3-$O$2,$Q$2)/$Q$2))</f>
        <v>2440.40524782964</v>
      </c>
      <c r="J66" s="15" t="n">
        <f aca="false">I66*(1+IF(J$3&lt;=$O$2,$D66,$D66-($D66-$I$49)*MIN(J$3-$O$2,$Q$2)/$Q$2))</f>
        <v>2490.25383767603</v>
      </c>
      <c r="K66" s="15" t="n">
        <f aca="false">J66*(1+IF(K$3&lt;=$O$2,$D66,$D66-($D66-$I$49)*MIN(K$3-$O$2,$Q$2)/$Q$2))</f>
        <v>2539.79686020307</v>
      </c>
      <c r="L66" s="15" t="n">
        <f aca="false">K66*(1+IF(L$3&lt;=$O$2,$D66,$D66-($D66-$I$49)*MIN(L$3-$O$2,$Q$2)/$Q$2))</f>
        <v>2588.97540069666</v>
      </c>
      <c r="M66" s="15" t="n">
        <f aca="false">L66*(1+IF(M$3&lt;=$O$2,$D66,$D66-($D66-$I$49)*MIN(M$3-$O$2,$Q$2)/$Q$2))</f>
        <v>2637.72992229399</v>
      </c>
      <c r="N66" s="15" t="n">
        <f aca="false">M66*(1+IF(N$3&lt;=$O$2,$D66,$D66-($D66-$I$49)*MIN(N$3-$O$2,$Q$2)/$Q$2))</f>
        <v>2686.00037987197</v>
      </c>
      <c r="O66" s="15" t="n">
        <f aca="false">SUMPRODUCT(E66:N66,1/(1+$F$49)^$E$3:$N$3)*$E$2</f>
        <v>8967.84857511496</v>
      </c>
      <c r="P66" s="15" t="n">
        <f aca="false">N66*$E$2*(1+$I$49)/($F$49-$I$49)/(1+$F$49)^$N$3</f>
        <v>14859.3911875664</v>
      </c>
      <c r="Q66" s="15" t="n">
        <f aca="false">O66+P66</f>
        <v>23827.2397626814</v>
      </c>
      <c r="R66" s="15" t="n">
        <f aca="false">Q66-$G$2+$I$2</f>
        <v>25736.8997626814</v>
      </c>
      <c r="S66" s="42" t="n">
        <f aca="false">R66/$K$2</f>
        <v>109.972652064613</v>
      </c>
      <c r="T66" s="43" t="n">
        <f aca="false">S66-$M$2</f>
        <v>-0.0132471790735877</v>
      </c>
    </row>
    <row r="67" customFormat="false" ht="15" hidden="false" customHeight="false" outlineLevel="0" collapsed="false">
      <c r="A67" s="5" t="n">
        <v>17</v>
      </c>
      <c r="B67" s="25" t="n">
        <f aca="false">IF(T66&gt;0,B66,D66)</f>
        <v>0.0209579467773438</v>
      </c>
      <c r="C67" s="25" t="n">
        <f aca="false">IF(T66&gt;0,D66,C66)</f>
        <v>0.0209808349609375</v>
      </c>
      <c r="D67" s="41" t="n">
        <f aca="false">(B67+C67)/2</f>
        <v>0.0209693908691406</v>
      </c>
      <c r="E67" s="15" t="n">
        <f aca="false">$C$2*(1+IF(E$3&lt;=$O$2,$D67,$D67-($D67-$I$49)*MIN(E$3-$O$2,$Q$2)/$Q$2))</f>
        <v>2246.13265991211</v>
      </c>
      <c r="F67" s="15" t="n">
        <f aca="false">E67*(1+IF(F$3&lt;=$O$2,$D67,$D67-($D67-$I$49)*MIN(F$3-$O$2,$Q$2)/$Q$2))</f>
        <v>2293.23269360175</v>
      </c>
      <c r="G67" s="15" t="n">
        <f aca="false">F67*(1+IF(G$3&lt;=$O$2,$D67,$D67-($D67-$I$49)*MIN(G$3-$O$2,$Q$2)/$Q$2))</f>
        <v>2341.32038630778</v>
      </c>
      <c r="H67" s="15" t="n">
        <f aca="false">G67*(1+IF(H$3&lt;=$O$2,$D67,$D67-($D67-$I$49)*MIN(H$3-$O$2,$Q$2)/$Q$2))</f>
        <v>2390.41644863815</v>
      </c>
      <c r="I67" s="15" t="n">
        <f aca="false">H67*(1+IF(I$3&lt;=$O$2,$D67,$D67-($D67-$I$49)*MIN(I$3-$O$2,$Q$2)/$Q$2))</f>
        <v>2440.54202548967</v>
      </c>
      <c r="J67" s="15" t="n">
        <f aca="false">I67*(1+IF(J$3&lt;=$O$2,$D67,$D67-($D67-$I$49)*MIN(J$3-$O$2,$Q$2)/$Q$2))</f>
        <v>2490.41575303501</v>
      </c>
      <c r="K67" s="15" t="n">
        <f aca="false">J67*(1+IF(K$3&lt;=$O$2,$D67,$D67-($D67-$I$49)*MIN(K$3-$O$2,$Q$2)/$Q$2))</f>
        <v>2539.97909715846</v>
      </c>
      <c r="L67" s="15" t="n">
        <f aca="false">K67*(1+IF(L$3&lt;=$O$2,$D67,$D67-($D67-$I$49)*MIN(L$3-$O$2,$Q$2)/$Q$2))</f>
        <v>2589.17279344036</v>
      </c>
      <c r="M67" s="15" t="n">
        <f aca="false">L67*(1+IF(M$3&lt;=$O$2,$D67,$D67-($D67-$I$49)*MIN(M$3-$O$2,$Q$2)/$Q$2))</f>
        <v>2637.93695840301</v>
      </c>
      <c r="N67" s="15" t="n">
        <f aca="false">M67*(1+IF(N$3&lt;=$O$2,$D67,$D67-($D67-$I$49)*MIN(N$3-$O$2,$Q$2)/$Q$2))</f>
        <v>2686.21120474178</v>
      </c>
      <c r="O67" s="15" t="n">
        <f aca="false">SUMPRODUCT(E67:N67,1/(1+$F$49)^$E$3:$N$3)*$E$2</f>
        <v>8968.30436661388</v>
      </c>
      <c r="P67" s="15" t="n">
        <f aca="false">N67*$E$2*(1+$I$49)/($F$49-$I$49)/(1+$F$49)^$N$3</f>
        <v>14860.5575050532</v>
      </c>
      <c r="Q67" s="15" t="n">
        <f aca="false">O67+P67</f>
        <v>23828.8618716671</v>
      </c>
      <c r="R67" s="15" t="n">
        <f aca="false">Q67-$G$2+$I$2</f>
        <v>25738.5218716671</v>
      </c>
      <c r="S67" s="42" t="n">
        <f aca="false">R67/$K$2</f>
        <v>109.97958326568</v>
      </c>
      <c r="T67" s="43" t="n">
        <f aca="false">S67-$M$2</f>
        <v>-0.00631597800656891</v>
      </c>
    </row>
    <row r="68" customFormat="false" ht="15" hidden="false" customHeight="false" outlineLevel="0" collapsed="false">
      <c r="A68" s="5" t="n">
        <v>18</v>
      </c>
      <c r="B68" s="25" t="n">
        <f aca="false">IF(T67&gt;0,B67,D67)</f>
        <v>0.0209693908691406</v>
      </c>
      <c r="C68" s="25" t="n">
        <f aca="false">IF(T67&gt;0,D67,C67)</f>
        <v>0.0209808349609375</v>
      </c>
      <c r="D68" s="41" t="n">
        <f aca="false">(B68+C68)/2</f>
        <v>0.0209751129150391</v>
      </c>
      <c r="E68" s="15" t="n">
        <f aca="false">$C$2*(1+IF(E$3&lt;=$O$2,$D68,$D68-($D68-$I$49)*MIN(E$3-$O$2,$Q$2)/$Q$2))</f>
        <v>2246.14524841309</v>
      </c>
      <c r="F68" s="15" t="n">
        <f aca="false">E68*(1+IF(F$3&lt;=$O$2,$D68,$D68-($D68-$I$49)*MIN(F$3-$O$2,$Q$2)/$Q$2))</f>
        <v>2293.25839862213</v>
      </c>
      <c r="G68" s="15" t="n">
        <f aca="false">F68*(1+IF(G$3&lt;=$O$2,$D68,$D68-($D68-$I$49)*MIN(G$3-$O$2,$Q$2)/$Q$2))</f>
        <v>2341.35975247659</v>
      </c>
      <c r="H68" s="15" t="n">
        <f aca="false">G68*(1+IF(H$3&lt;=$O$2,$D68,$D68-($D68-$I$49)*MIN(H$3-$O$2,$Q$2)/$Q$2))</f>
        <v>2390.47003765951</v>
      </c>
      <c r="I68" s="15" t="n">
        <f aca="false">H68*(1+IF(I$3&lt;=$O$2,$D68,$D68-($D68-$I$49)*MIN(I$3-$O$2,$Q$2)/$Q$2))</f>
        <v>2440.61041661944</v>
      </c>
      <c r="J68" s="15" t="n">
        <f aca="false">I68*(1+IF(J$3&lt;=$O$2,$D68,$D68-($D68-$I$49)*MIN(J$3-$O$2,$Q$2)/$Q$2))</f>
        <v>2490.49671400044</v>
      </c>
      <c r="K68" s="15" t="n">
        <f aca="false">J68*(1+IF(K$3&lt;=$O$2,$D68,$D68-($D68-$I$49)*MIN(K$3-$O$2,$Q$2)/$Q$2))</f>
        <v>2540.07021982134</v>
      </c>
      <c r="L68" s="15" t="n">
        <f aca="false">K68*(1+IF(L$3&lt;=$O$2,$D68,$D68-($D68-$I$49)*MIN(L$3-$O$2,$Q$2)/$Q$2))</f>
        <v>2589.27149470413</v>
      </c>
      <c r="M68" s="15" t="n">
        <f aca="false">L68*(1+IF(M$3&lt;=$O$2,$D68,$D68-($D68-$I$49)*MIN(M$3-$O$2,$Q$2)/$Q$2))</f>
        <v>2638.04048178042</v>
      </c>
      <c r="N68" s="15" t="n">
        <f aca="false">M68*(1+IF(N$3&lt;=$O$2,$D68,$D68-($D68-$I$49)*MIN(N$3-$O$2,$Q$2)/$Q$2))</f>
        <v>2686.316622597</v>
      </c>
      <c r="O68" s="15" t="n">
        <f aca="false">SUMPRODUCT(E68:N68,1/(1+$F$49)^$E$3:$N$3)*$E$2</f>
        <v>8968.53227114511</v>
      </c>
      <c r="P68" s="15" t="n">
        <f aca="false">N68*$E$2*(1+$I$49)/($F$49-$I$49)/(1+$F$49)^$N$3</f>
        <v>14861.1406937827</v>
      </c>
      <c r="Q68" s="15" t="n">
        <f aca="false">O68+P68</f>
        <v>23829.6729649278</v>
      </c>
      <c r="R68" s="15" t="n">
        <f aca="false">Q68-$G$2+$I$2</f>
        <v>25739.3329649278</v>
      </c>
      <c r="S68" s="42" t="n">
        <f aca="false">R68/$K$2</f>
        <v>109.983049031867</v>
      </c>
      <c r="T68" s="43" t="n">
        <f aca="false">S68-$M$2</f>
        <v>-0.00285021181986167</v>
      </c>
    </row>
    <row r="69" customFormat="false" ht="15" hidden="false" customHeight="false" outlineLevel="0" collapsed="false">
      <c r="A69" s="5" t="n">
        <v>19</v>
      </c>
      <c r="B69" s="25" t="n">
        <f aca="false">IF(T68&gt;0,B68,D68)</f>
        <v>0.0209751129150391</v>
      </c>
      <c r="C69" s="25" t="n">
        <f aca="false">IF(T68&gt;0,D68,C68)</f>
        <v>0.0209808349609375</v>
      </c>
      <c r="D69" s="41" t="n">
        <f aca="false">(B69+C69)/2</f>
        <v>0.0209779739379883</v>
      </c>
      <c r="E69" s="15" t="n">
        <f aca="false">$C$2*(1+IF(E$3&lt;=$O$2,$D69,$D69-($D69-$I$49)*MIN(E$3-$O$2,$Q$2)/$Q$2))</f>
        <v>2246.15154266357</v>
      </c>
      <c r="F69" s="15" t="n">
        <f aca="false">E69*(1+IF(F$3&lt;=$O$2,$D69,$D69-($D69-$I$49)*MIN(F$3-$O$2,$Q$2)/$Q$2))</f>
        <v>2293.27125118634</v>
      </c>
      <c r="G69" s="15" t="n">
        <f aca="false">F69*(1+IF(G$3&lt;=$O$2,$D69,$D69-($D69-$I$49)*MIN(G$3-$O$2,$Q$2)/$Q$2))</f>
        <v>2341.37943572647</v>
      </c>
      <c r="H69" s="15" t="n">
        <f aca="false">G69*(1+IF(H$3&lt;=$O$2,$D69,$D69-($D69-$I$49)*MIN(H$3-$O$2,$Q$2)/$Q$2))</f>
        <v>2390.49683250808</v>
      </c>
      <c r="I69" s="15" t="n">
        <f aca="false">H69*(1+IF(I$3&lt;=$O$2,$D69,$D69-($D69-$I$49)*MIN(I$3-$O$2,$Q$2)/$Q$2))</f>
        <v>2440.64461275928</v>
      </c>
      <c r="J69" s="15" t="n">
        <f aca="false">I69*(1+IF(J$3&lt;=$O$2,$D69,$D69-($D69-$I$49)*MIN(J$3-$O$2,$Q$2)/$Q$2))</f>
        <v>2490.53719530466</v>
      </c>
      <c r="K69" s="15" t="n">
        <f aca="false">J69*(1+IF(K$3&lt;=$O$2,$D69,$D69-($D69-$I$49)*MIN(K$3-$O$2,$Q$2)/$Q$2))</f>
        <v>2540.11578219911</v>
      </c>
      <c r="L69" s="15" t="n">
        <f aca="false">K69*(1+IF(L$3&lt;=$O$2,$D69,$D69-($D69-$I$49)*MIN(L$3-$O$2,$Q$2)/$Q$2))</f>
        <v>2589.32084655903</v>
      </c>
      <c r="M69" s="15" t="n">
        <f aca="false">L69*(1+IF(M$3&lt;=$O$2,$D69,$D69-($D69-$I$49)*MIN(M$3-$O$2,$Q$2)/$Q$2))</f>
        <v>2638.0922447999</v>
      </c>
      <c r="N69" s="15" t="n">
        <f aca="false">M69*(1+IF(N$3&lt;=$O$2,$D69,$D69-($D69-$I$49)*MIN(N$3-$O$2,$Q$2)/$Q$2))</f>
        <v>2686.36933287973</v>
      </c>
      <c r="O69" s="15" t="n">
        <f aca="false">SUMPRODUCT(E69:N69,1/(1+$F$49)^$E$3:$N$3)*$E$2</f>
        <v>8968.64622560622</v>
      </c>
      <c r="P69" s="15" t="n">
        <f aca="false">N69*$E$2*(1+$I$49)/($F$49-$I$49)/(1+$F$49)^$N$3</f>
        <v>14861.4322956442</v>
      </c>
      <c r="Q69" s="15" t="n">
        <f aca="false">O69+P69</f>
        <v>23830.0785212504</v>
      </c>
      <c r="R69" s="15" t="n">
        <f aca="false">Q69-$G$2+$I$2</f>
        <v>25739.7385212504</v>
      </c>
      <c r="S69" s="42" t="n">
        <f aca="false">R69/$K$2</f>
        <v>109.984781956375</v>
      </c>
      <c r="T69" s="43" t="n">
        <f aca="false">S69-$M$2</f>
        <v>-0.00111728731182836</v>
      </c>
    </row>
    <row r="70" customFormat="false" ht="15" hidden="false" customHeight="false" outlineLevel="0" collapsed="false">
      <c r="A70" s="5" t="n">
        <v>20</v>
      </c>
      <c r="B70" s="25" t="n">
        <f aca="false">IF(T69&gt;0,B69,D69)</f>
        <v>0.0209779739379883</v>
      </c>
      <c r="C70" s="25" t="n">
        <f aca="false">IF(T69&gt;0,D69,C69)</f>
        <v>0.0209808349609375</v>
      </c>
      <c r="D70" s="41" t="n">
        <f aca="false">(B70+C70)/2</f>
        <v>0.0209794044494629</v>
      </c>
      <c r="E70" s="15" t="n">
        <f aca="false">$C$2*(1+IF(E$3&lt;=$O$2,$D70,$D70-($D70-$I$49)*MIN(E$3-$O$2,$Q$2)/$Q$2))</f>
        <v>2246.15468978882</v>
      </c>
      <c r="F70" s="15" t="n">
        <f aca="false">E70*(1+IF(F$3&lt;=$O$2,$D70,$D70-($D70-$I$49)*MIN(F$3-$O$2,$Q$2)/$Q$2))</f>
        <v>2293.27767748196</v>
      </c>
      <c r="G70" s="15" t="n">
        <f aca="false">F70*(1+IF(G$3&lt;=$O$2,$D70,$D70-($D70-$I$49)*MIN(G$3-$O$2,$Q$2)/$Q$2))</f>
        <v>2341.38927739277</v>
      </c>
      <c r="H70" s="15" t="n">
        <f aca="false">G70*(1+IF(H$3&lt;=$O$2,$D70,$D70-($D70-$I$49)*MIN(H$3-$O$2,$Q$2)/$Q$2))</f>
        <v>2390.51023001683</v>
      </c>
      <c r="I70" s="15" t="n">
        <f aca="false">H70*(1+IF(I$3&lt;=$O$2,$D70,$D70-($D70-$I$49)*MIN(I$3-$O$2,$Q$2)/$Q$2))</f>
        <v>2440.66171097294</v>
      </c>
      <c r="J70" s="15" t="n">
        <f aca="false">I70*(1+IF(J$3&lt;=$O$2,$D70,$D70-($D70-$I$49)*MIN(J$3-$O$2,$Q$2)/$Q$2))</f>
        <v>2490.55743616215</v>
      </c>
      <c r="K70" s="15" t="n">
        <f aca="false">J70*(1+IF(K$3&lt;=$O$2,$D70,$D70-($D70-$I$49)*MIN(K$3-$O$2,$Q$2)/$Q$2))</f>
        <v>2540.13856364958</v>
      </c>
      <c r="L70" s="15" t="n">
        <f aca="false">K70*(1+IF(L$3&lt;=$O$2,$D70,$D70-($D70-$I$49)*MIN(L$3-$O$2,$Q$2)/$Q$2))</f>
        <v>2589.34552279224</v>
      </c>
      <c r="M70" s="15" t="n">
        <f aca="false">L70*(1+IF(M$3&lt;=$O$2,$D70,$D70-($D70-$I$49)*MIN(M$3-$O$2,$Q$2)/$Q$2))</f>
        <v>2638.11812664233</v>
      </c>
      <c r="N70" s="15" t="n">
        <f aca="false">M70*(1+IF(N$3&lt;=$O$2,$D70,$D70-($D70-$I$49)*MIN(N$3-$O$2,$Q$2)/$Q$2))</f>
        <v>2686.39568835989</v>
      </c>
      <c r="O70" s="15" t="n">
        <f aca="false">SUMPRODUCT(E70:N70,1/(1+$F$49)^$E$3:$N$3)*$E$2</f>
        <v>8968.70320338566</v>
      </c>
      <c r="P70" s="15" t="n">
        <f aca="false">N70*$E$2*(1+$I$49)/($F$49-$I$49)/(1+$F$49)^$N$3</f>
        <v>14861.5780984492</v>
      </c>
      <c r="Q70" s="15" t="n">
        <f aca="false">O70+P70</f>
        <v>23830.2813018348</v>
      </c>
      <c r="R70" s="15" t="n">
        <f aca="false">Q70-$G$2+$I$2</f>
        <v>25739.9413018348</v>
      </c>
      <c r="S70" s="42" t="n">
        <f aca="false">R70/$K$2</f>
        <v>109.985648428983</v>
      </c>
      <c r="T70" s="43" t="n">
        <f aca="false">S70-$M$2</f>
        <v>-0.000250814703989022</v>
      </c>
    </row>
    <row r="71" customFormat="false" ht="15" hidden="false" customHeight="false" outlineLevel="0" collapsed="false">
      <c r="A71" s="5" t="n">
        <v>21</v>
      </c>
      <c r="B71" s="25" t="n">
        <f aca="false">IF(T70&gt;0,B70,D70)</f>
        <v>0.0209794044494629</v>
      </c>
      <c r="C71" s="25" t="n">
        <f aca="false">IF(T70&gt;0,D70,C70)</f>
        <v>0.0209808349609375</v>
      </c>
      <c r="D71" s="41" t="n">
        <f aca="false">(B71+C71)/2</f>
        <v>0.0209801197052002</v>
      </c>
      <c r="E71" s="15" t="n">
        <f aca="false">$C$2*(1+IF(E$3&lt;=$O$2,$D71,$D71-($D71-$I$49)*MIN(E$3-$O$2,$Q$2)/$Q$2))</f>
        <v>2246.15626335144</v>
      </c>
      <c r="F71" s="15" t="n">
        <f aca="false">E71*(1+IF(F$3&lt;=$O$2,$D71,$D71-($D71-$I$49)*MIN(F$3-$O$2,$Q$2)/$Q$2))</f>
        <v>2293.28089063314</v>
      </c>
      <c r="G71" s="15" t="n">
        <f aca="false">F71*(1+IF(G$3&lt;=$O$2,$D71,$D71-($D71-$I$49)*MIN(G$3-$O$2,$Q$2)/$Q$2))</f>
        <v>2341.39419823627</v>
      </c>
      <c r="H71" s="15" t="n">
        <f aca="false">G71*(1+IF(H$3&lt;=$O$2,$D71,$D71-($D71-$I$49)*MIN(H$3-$O$2,$Q$2)/$Q$2))</f>
        <v>2390.51692879233</v>
      </c>
      <c r="I71" s="15" t="n">
        <f aca="false">H71*(1+IF(I$3&lt;=$O$2,$D71,$D71-($D71-$I$49)*MIN(I$3-$O$2,$Q$2)/$Q$2))</f>
        <v>2440.6702601157</v>
      </c>
      <c r="J71" s="15" t="n">
        <f aca="false">I71*(1+IF(J$3&lt;=$O$2,$D71,$D71-($D71-$I$49)*MIN(J$3-$O$2,$Q$2)/$Q$2))</f>
        <v>2490.56755664224</v>
      </c>
      <c r="K71" s="15" t="n">
        <f aca="false">J71*(1+IF(K$3&lt;=$O$2,$D71,$D71-($D71-$I$49)*MIN(K$3-$O$2,$Q$2)/$Q$2))</f>
        <v>2540.14995444021</v>
      </c>
      <c r="L71" s="15" t="n">
        <f aca="false">K71*(1+IF(L$3&lt;=$O$2,$D71,$D71-($D71-$I$49)*MIN(L$3-$O$2,$Q$2)/$Q$2))</f>
        <v>2589.35786098529</v>
      </c>
      <c r="M71" s="15" t="n">
        <f aca="false">L71*(1+IF(M$3&lt;=$O$2,$D71,$D71-($D71-$I$49)*MIN(M$3-$O$2,$Q$2)/$Q$2))</f>
        <v>2638.13106764673</v>
      </c>
      <c r="N71" s="15" t="n">
        <f aca="false">M71*(1+IF(N$3&lt;=$O$2,$D71,$D71-($D71-$I$49)*MIN(N$3-$O$2,$Q$2)/$Q$2))</f>
        <v>2686.40886618466</v>
      </c>
      <c r="O71" s="15" t="n">
        <f aca="false">SUMPRODUCT(E71:N71,1/(1+$F$49)^$E$3:$N$3)*$E$2</f>
        <v>8968.7316924126</v>
      </c>
      <c r="P71" s="15" t="n">
        <f aca="false">N71*$E$2*(1+$I$49)/($F$49-$I$49)/(1+$F$49)^$N$3</f>
        <v>14861.6510003202</v>
      </c>
      <c r="Q71" s="15" t="n">
        <f aca="false">O71+P71</f>
        <v>23830.3826927328</v>
      </c>
      <c r="R71" s="15" t="n">
        <f aca="false">Q71-$G$2+$I$2</f>
        <v>25740.0426927328</v>
      </c>
      <c r="S71" s="42" t="n">
        <f aca="false">R71/$K$2</f>
        <v>109.986081667875</v>
      </c>
      <c r="T71" s="43" t="n">
        <f aca="false">S71-$M$2</f>
        <v>0.000182424188409414</v>
      </c>
    </row>
    <row r="72" customFormat="false" ht="15" hidden="false" customHeight="false" outlineLevel="0" collapsed="false">
      <c r="A72" s="5" t="n">
        <v>22</v>
      </c>
      <c r="B72" s="25" t="n">
        <f aca="false">IF(T71&gt;0,B71,D71)</f>
        <v>0.0209794044494629</v>
      </c>
      <c r="C72" s="25" t="n">
        <f aca="false">IF(T71&gt;0,D71,C71)</f>
        <v>0.0209801197052002</v>
      </c>
      <c r="D72" s="41" t="n">
        <f aca="false">(B72+C72)/2</f>
        <v>0.0209797620773315</v>
      </c>
      <c r="E72" s="15" t="n">
        <f aca="false">$C$2*(1+IF(E$3&lt;=$O$2,$D72,$D72-($D72-$I$49)*MIN(E$3-$O$2,$Q$2)/$Q$2))</f>
        <v>2246.15547657013</v>
      </c>
      <c r="F72" s="15" t="n">
        <f aca="false">E72*(1+IF(F$3&lt;=$O$2,$D72,$D72-($D72-$I$49)*MIN(F$3-$O$2,$Q$2)/$Q$2))</f>
        <v>2293.27928405727</v>
      </c>
      <c r="G72" s="15" t="n">
        <f aca="false">F72*(1+IF(G$3&lt;=$O$2,$D72,$D72-($D72-$I$49)*MIN(G$3-$O$2,$Q$2)/$Q$2))</f>
        <v>2341.39173781366</v>
      </c>
      <c r="H72" s="15" t="n">
        <f aca="false">G72*(1+IF(H$3&lt;=$O$2,$D72,$D72-($D72-$I$49)*MIN(H$3-$O$2,$Q$2)/$Q$2))</f>
        <v>2390.51357940282</v>
      </c>
      <c r="I72" s="15" t="n">
        <f aca="false">H72*(1+IF(I$3&lt;=$O$2,$D72,$D72-($D72-$I$49)*MIN(I$3-$O$2,$Q$2)/$Q$2))</f>
        <v>2440.66598554132</v>
      </c>
      <c r="J72" s="15" t="n">
        <f aca="false">I72*(1+IF(J$3&lt;=$O$2,$D72,$D72-($D72-$I$49)*MIN(J$3-$O$2,$Q$2)/$Q$2))</f>
        <v>2490.56249639792</v>
      </c>
      <c r="K72" s="15" t="n">
        <f aca="false">J72*(1+IF(K$3&lt;=$O$2,$D72,$D72-($D72-$I$49)*MIN(K$3-$O$2,$Q$2)/$Q$2))</f>
        <v>2540.14425903944</v>
      </c>
      <c r="L72" s="15" t="n">
        <f aca="false">K72*(1+IF(L$3&lt;=$O$2,$D72,$D72-($D72-$I$49)*MIN(L$3-$O$2,$Q$2)/$Q$2))</f>
        <v>2589.3516918824</v>
      </c>
      <c r="M72" s="15" t="n">
        <f aca="false">L72*(1+IF(M$3&lt;=$O$2,$D72,$D72-($D72-$I$49)*MIN(M$3-$O$2,$Q$2)/$Q$2))</f>
        <v>2638.1245971376</v>
      </c>
      <c r="N72" s="15" t="n">
        <f aca="false">M72*(1+IF(N$3&lt;=$O$2,$D72,$D72-($D72-$I$49)*MIN(N$3-$O$2,$Q$2)/$Q$2))</f>
        <v>2686.40227726522</v>
      </c>
      <c r="O72" s="15" t="n">
        <f aca="false">SUMPRODUCT(E72:N72,1/(1+$F$49)^$E$3:$N$3)*$E$2</f>
        <v>8968.7174478877</v>
      </c>
      <c r="P72" s="15" t="n">
        <f aca="false">N72*$E$2*(1+$I$49)/($F$49-$I$49)/(1+$F$49)^$N$3</f>
        <v>14861.6145493456</v>
      </c>
      <c r="Q72" s="15" t="n">
        <f aca="false">O72+P72</f>
        <v>23830.3319972333</v>
      </c>
      <c r="R72" s="15" t="n">
        <f aca="false">Q72-$G$2+$I$2</f>
        <v>25739.9919972333</v>
      </c>
      <c r="S72" s="42" t="n">
        <f aca="false">R72/$K$2</f>
        <v>109.985865048213</v>
      </c>
      <c r="T72" s="43" t="n">
        <f aca="false">S72-$M$2</f>
        <v>-3.41954735034733E-005</v>
      </c>
    </row>
    <row r="73" customFormat="false" ht="15" hidden="false" customHeight="false" outlineLevel="0" collapsed="false">
      <c r="A73" s="5" t="n">
        <v>23</v>
      </c>
      <c r="B73" s="25" t="n">
        <f aca="false">IF(T72&gt;0,B72,D72)</f>
        <v>0.0209797620773315</v>
      </c>
      <c r="C73" s="25" t="n">
        <f aca="false">IF(T72&gt;0,D72,C72)</f>
        <v>0.0209801197052002</v>
      </c>
      <c r="D73" s="41" t="n">
        <f aca="false">(B73+C73)/2</f>
        <v>0.0209799408912659</v>
      </c>
      <c r="E73" s="15" t="n">
        <f aca="false">$C$2*(1+IF(E$3&lt;=$O$2,$D73,$D73-($D73-$I$49)*MIN(E$3-$O$2,$Q$2)/$Q$2))</f>
        <v>2246.15586996079</v>
      </c>
      <c r="F73" s="15" t="n">
        <f aca="false">E73*(1+IF(F$3&lt;=$O$2,$D73,$D73-($D73-$I$49)*MIN(F$3-$O$2,$Q$2)/$Q$2))</f>
        <v>2293.28008734513</v>
      </c>
      <c r="G73" s="15" t="n">
        <f aca="false">F73*(1+IF(G$3&lt;=$O$2,$D73,$D73-($D73-$I$49)*MIN(G$3-$O$2,$Q$2)/$Q$2))</f>
        <v>2341.39296802475</v>
      </c>
      <c r="H73" s="15" t="n">
        <f aca="false">G73*(1+IF(H$3&lt;=$O$2,$D73,$D73-($D73-$I$49)*MIN(H$3-$O$2,$Q$2)/$Q$2))</f>
        <v>2390.51525409713</v>
      </c>
      <c r="I73" s="15" t="n">
        <f aca="false">H73*(1+IF(I$3&lt;=$O$2,$D73,$D73-($D73-$I$49)*MIN(I$3-$O$2,$Q$2)/$Q$2))</f>
        <v>2440.66812282776</v>
      </c>
      <c r="J73" s="15" t="n">
        <f aca="false">I73*(1+IF(J$3&lt;=$O$2,$D73,$D73-($D73-$I$49)*MIN(J$3-$O$2,$Q$2)/$Q$2))</f>
        <v>2490.56502651901</v>
      </c>
      <c r="K73" s="15" t="n">
        <f aca="false">J73*(1+IF(K$3&lt;=$O$2,$D73,$D73-($D73-$I$49)*MIN(K$3-$O$2,$Q$2)/$Q$2))</f>
        <v>2540.14710673846</v>
      </c>
      <c r="L73" s="15" t="n">
        <f aca="false">K73*(1+IF(L$3&lt;=$O$2,$D73,$D73-($D73-$I$49)*MIN(L$3-$O$2,$Q$2)/$Q$2))</f>
        <v>2589.35477643225</v>
      </c>
      <c r="M73" s="15" t="n">
        <f aca="false">L73*(1+IF(M$3&lt;=$O$2,$D73,$D73-($D73-$I$49)*MIN(M$3-$O$2,$Q$2)/$Q$2))</f>
        <v>2638.12783239043</v>
      </c>
      <c r="N73" s="15" t="n">
        <f aca="false">M73*(1+IF(N$3&lt;=$O$2,$D73,$D73-($D73-$I$49)*MIN(N$3-$O$2,$Q$2)/$Q$2))</f>
        <v>2686.40557172317</v>
      </c>
      <c r="O73" s="15" t="n">
        <f aca="false">SUMPRODUCT(E73:N73,1/(1+$F$49)^$E$3:$N$3)*$E$2</f>
        <v>8968.72457014729</v>
      </c>
      <c r="P73" s="15" t="n">
        <f aca="false">N73*$E$2*(1+$I$49)/($F$49-$I$49)/(1+$F$49)^$N$3</f>
        <v>14861.6327748232</v>
      </c>
      <c r="Q73" s="15" t="n">
        <f aca="false">O73+P73</f>
        <v>23830.3573449705</v>
      </c>
      <c r="R73" s="15" t="n">
        <f aca="false">Q73-$G$2+$I$2</f>
        <v>25740.0173449705</v>
      </c>
      <c r="S73" s="42" t="n">
        <f aca="false">R73/$K$2</f>
        <v>109.98597335799</v>
      </c>
      <c r="T73" s="43" t="n">
        <f aca="false">S73-$M$2</f>
        <v>7.41143035014602E-005</v>
      </c>
    </row>
    <row r="74" customFormat="false" ht="15" hidden="false" customHeight="false" outlineLevel="0" collapsed="false">
      <c r="A74" s="5" t="n">
        <v>24</v>
      </c>
      <c r="B74" s="25" t="n">
        <f aca="false">IF(T73&gt;0,B73,D73)</f>
        <v>0.0209797620773315</v>
      </c>
      <c r="C74" s="25" t="n">
        <f aca="false">IF(T73&gt;0,D73,C73)</f>
        <v>0.0209799408912659</v>
      </c>
      <c r="D74" s="41" t="n">
        <f aca="false">(B74+C74)/2</f>
        <v>0.0209798514842987</v>
      </c>
      <c r="E74" s="15" t="n">
        <f aca="false">$C$2*(1+IF(E$3&lt;=$O$2,$D74,$D74-($D74-$I$49)*MIN(E$3-$O$2,$Q$2)/$Q$2))</f>
        <v>2246.15567326546</v>
      </c>
      <c r="F74" s="15" t="n">
        <f aca="false">E74*(1+IF(F$3&lt;=$O$2,$D74,$D74-($D74-$I$49)*MIN(F$3-$O$2,$Q$2)/$Q$2))</f>
        <v>2293.27968570118</v>
      </c>
      <c r="G74" s="15" t="n">
        <f aca="false">F74*(1+IF(G$3&lt;=$O$2,$D74,$D74-($D74-$I$49)*MIN(G$3-$O$2,$Q$2)/$Q$2))</f>
        <v>2341.39235291915</v>
      </c>
      <c r="H74" s="15" t="n">
        <f aca="false">G74*(1+IF(H$3&lt;=$O$2,$D74,$D74-($D74-$I$49)*MIN(H$3-$O$2,$Q$2)/$Q$2))</f>
        <v>2390.51441674987</v>
      </c>
      <c r="I74" s="15" t="n">
        <f aca="false">H74*(1+IF(I$3&lt;=$O$2,$D74,$D74-($D74-$I$49)*MIN(I$3-$O$2,$Q$2)/$Q$2))</f>
        <v>2440.66705418435</v>
      </c>
      <c r="J74" s="15" t="n">
        <f aca="false">I74*(1+IF(J$3&lt;=$O$2,$D74,$D74-($D74-$I$49)*MIN(J$3-$O$2,$Q$2)/$Q$2))</f>
        <v>2490.5637614582</v>
      </c>
      <c r="K74" s="15" t="n">
        <f aca="false">J74*(1+IF(K$3&lt;=$O$2,$D74,$D74-($D74-$I$49)*MIN(K$3-$O$2,$Q$2)/$Q$2))</f>
        <v>2540.14568288861</v>
      </c>
      <c r="L74" s="15" t="n">
        <f aca="false">K74*(1+IF(L$3&lt;=$O$2,$D74,$D74-($D74-$I$49)*MIN(L$3-$O$2,$Q$2)/$Q$2))</f>
        <v>2589.35323415692</v>
      </c>
      <c r="M74" s="15" t="n">
        <f aca="false">L74*(1+IF(M$3&lt;=$O$2,$D74,$D74-($D74-$I$49)*MIN(M$3-$O$2,$Q$2)/$Q$2))</f>
        <v>2638.12621476358</v>
      </c>
      <c r="N74" s="15" t="n">
        <f aca="false">M74*(1+IF(N$3&lt;=$O$2,$D74,$D74-($D74-$I$49)*MIN(N$3-$O$2,$Q$2)/$Q$2))</f>
        <v>2686.40392449375</v>
      </c>
      <c r="O74" s="15" t="n">
        <f aca="false">SUMPRODUCT(E74:N74,1/(1+$F$49)^$E$3:$N$3)*$E$2</f>
        <v>8968.72100901678</v>
      </c>
      <c r="P74" s="15" t="n">
        <f aca="false">N74*$E$2*(1+$I$49)/($F$49-$I$49)/(1+$F$49)^$N$3</f>
        <v>14861.623662082</v>
      </c>
      <c r="Q74" s="15" t="n">
        <f aca="false">O74+P74</f>
        <v>23830.3446710987</v>
      </c>
      <c r="R74" s="15" t="n">
        <f aca="false">Q74-$G$2+$I$2</f>
        <v>25740.0046710987</v>
      </c>
      <c r="S74" s="42" t="n">
        <f aca="false">R74/$K$2</f>
        <v>109.985919203088</v>
      </c>
      <c r="T74" s="43" t="n">
        <f aca="false">S74-$M$2</f>
        <v>1.9959401541314E-005</v>
      </c>
    </row>
    <row r="76" customFormat="false" ht="15" hidden="false" customHeight="false" outlineLevel="0" collapsed="false">
      <c r="A76" s="38" t="s">
        <v>189</v>
      </c>
      <c r="E76" s="5" t="s">
        <v>11</v>
      </c>
      <c r="F76" s="12" t="n">
        <f aca="false">Sensitivity!$B$10</f>
        <v>0.0677967762761046</v>
      </c>
      <c r="G76" s="5" t="s">
        <v>12</v>
      </c>
      <c r="I76" s="12" t="n">
        <f aca="false">Sensitivity!$D$9</f>
        <v>0.0233</v>
      </c>
    </row>
    <row r="77" customFormat="false" ht="23.85" hidden="false" customHeight="false" outlineLevel="0" collapsed="false">
      <c r="A77" s="38" t="s">
        <v>168</v>
      </c>
      <c r="B77" s="28" t="s">
        <v>169</v>
      </c>
      <c r="C77" s="28" t="s">
        <v>170</v>
      </c>
      <c r="D77" s="28" t="s">
        <v>171</v>
      </c>
      <c r="E77" s="28" t="s">
        <v>172</v>
      </c>
      <c r="F77" s="28" t="s">
        <v>173</v>
      </c>
      <c r="G77" s="28" t="s">
        <v>174</v>
      </c>
      <c r="H77" s="28" t="s">
        <v>175</v>
      </c>
      <c r="I77" s="28" t="s">
        <v>176</v>
      </c>
      <c r="J77" s="28" t="s">
        <v>177</v>
      </c>
      <c r="K77" s="28" t="s">
        <v>178</v>
      </c>
      <c r="L77" s="28" t="s">
        <v>179</v>
      </c>
      <c r="M77" s="28" t="s">
        <v>180</v>
      </c>
      <c r="N77" s="28" t="s">
        <v>181</v>
      </c>
      <c r="O77" s="28" t="s">
        <v>182</v>
      </c>
      <c r="P77" s="28" t="s">
        <v>183</v>
      </c>
      <c r="Q77" s="28" t="s">
        <v>184</v>
      </c>
      <c r="R77" s="28" t="s">
        <v>185</v>
      </c>
      <c r="S77" s="28" t="s">
        <v>186</v>
      </c>
      <c r="T77" s="28" t="s">
        <v>187</v>
      </c>
    </row>
    <row r="78" customFormat="false" ht="15" hidden="false" customHeight="false" outlineLevel="0" collapsed="false">
      <c r="A78" s="5" t="n">
        <v>1</v>
      </c>
      <c r="B78" s="24" t="n">
        <v>-0.5</v>
      </c>
      <c r="C78" s="24" t="n">
        <v>1</v>
      </c>
      <c r="D78" s="41" t="n">
        <f aca="false">(B78+C78)/2</f>
        <v>0.25</v>
      </c>
      <c r="E78" s="15" t="n">
        <f aca="false">$C$2*(1+IF(E$3&lt;=$O$2,$D78,$D78-($D78-$I$76)*MIN(E$3-$O$2,$Q$2)/$Q$2))</f>
        <v>2750</v>
      </c>
      <c r="F78" s="15" t="n">
        <f aca="false">E78*(1+IF(F$3&lt;=$O$2,$D78,$D78-($D78-$I$76)*MIN(F$3-$O$2,$Q$2)/$Q$2))</f>
        <v>3437.5</v>
      </c>
      <c r="G78" s="15" t="n">
        <f aca="false">F78*(1+IF(G$3&lt;=$O$2,$D78,$D78-($D78-$I$76)*MIN(G$3-$O$2,$Q$2)/$Q$2))</f>
        <v>4296.875</v>
      </c>
      <c r="H78" s="15" t="n">
        <f aca="false">G78*(1+IF(H$3&lt;=$O$2,$D78,$D78-($D78-$I$76)*MIN(H$3-$O$2,$Q$2)/$Q$2))</f>
        <v>5371.09375</v>
      </c>
      <c r="I78" s="15" t="n">
        <f aca="false">H78*(1+IF(I$3&lt;=$O$2,$D78,$D78-($D78-$I$76)*MIN(I$3-$O$2,$Q$2)/$Q$2))</f>
        <v>6713.8671875</v>
      </c>
      <c r="J78" s="15" t="n">
        <f aca="false">I78*(1+IF(J$3&lt;=$O$2,$D78,$D78-($D78-$I$76)*MIN(J$3-$O$2,$Q$2)/$Q$2))</f>
        <v>8087.92724609375</v>
      </c>
      <c r="K78" s="15" t="n">
        <f aca="false">J78*(1+IF(K$3&lt;=$O$2,$D78,$D78-($D78-$I$76)*MIN(K$3-$O$2,$Q$2)/$Q$2))</f>
        <v>9376.49581494141</v>
      </c>
      <c r="L78" s="15" t="n">
        <f aca="false">K78*(1+IF(L$3&lt;=$O$2,$D78,$D78-($D78-$I$76)*MIN(L$3-$O$2,$Q$2)/$Q$2))</f>
        <v>10445.2288079284</v>
      </c>
      <c r="M78" s="15" t="n">
        <f aca="false">L78*(1+IF(M$3&lt;=$O$2,$D78,$D78-($D78-$I$76)*MIN(M$3-$O$2,$Q$2)/$Q$2))</f>
        <v>11162.1893133046</v>
      </c>
      <c r="N78" s="15" t="n">
        <f aca="false">M78*(1+IF(N$3&lt;=$O$2,$D78,$D78-($D78-$I$76)*MIN(N$3-$O$2,$Q$2)/$Q$2))</f>
        <v>11422.2683243046</v>
      </c>
      <c r="O78" s="15" t="n">
        <f aca="false">SUMPRODUCT(E78:N78,1/(1+$F$76)^$E$3:$N$3)*$E$2</f>
        <v>24748.8200759414</v>
      </c>
      <c r="P78" s="15" t="n">
        <f aca="false">N78*$E$2*(1+$I$76)/($F$76-$I$76)/(1+$F$76)^$N$3</f>
        <v>70635.4800263805</v>
      </c>
      <c r="Q78" s="15" t="n">
        <f aca="false">O78+P78</f>
        <v>95384.3001023219</v>
      </c>
      <c r="R78" s="15" t="n">
        <f aca="false">Q78-$G$2+$I$2</f>
        <v>97293.9601023219</v>
      </c>
      <c r="S78" s="42" t="n">
        <f aca="false">R78/$K$2</f>
        <v>415.732855199427</v>
      </c>
      <c r="T78" s="43" t="n">
        <f aca="false">S78-$M$2</f>
        <v>305.74695595574</v>
      </c>
    </row>
    <row r="79" customFormat="false" ht="15" hidden="false" customHeight="false" outlineLevel="0" collapsed="false">
      <c r="A79" s="5" t="n">
        <v>2</v>
      </c>
      <c r="B79" s="25" t="n">
        <f aca="false">IF(T78&gt;0,B78,D78)</f>
        <v>-0.5</v>
      </c>
      <c r="C79" s="25" t="n">
        <f aca="false">IF(T78&gt;0,D78,C78)</f>
        <v>0.25</v>
      </c>
      <c r="D79" s="41" t="n">
        <f aca="false">(B79+C79)/2</f>
        <v>-0.125</v>
      </c>
      <c r="E79" s="15" t="n">
        <f aca="false">$C$2*(1+IF(E$3&lt;=$O$2,$D79,$D79-($D79-$I$76)*MIN(E$3-$O$2,$Q$2)/$Q$2))</f>
        <v>1925</v>
      </c>
      <c r="F79" s="15" t="n">
        <f aca="false">E79*(1+IF(F$3&lt;=$O$2,$D79,$D79-($D79-$I$76)*MIN(F$3-$O$2,$Q$2)/$Q$2))</f>
        <v>1684.375</v>
      </c>
      <c r="G79" s="15" t="n">
        <f aca="false">F79*(1+IF(G$3&lt;=$O$2,$D79,$D79-($D79-$I$76)*MIN(G$3-$O$2,$Q$2)/$Q$2))</f>
        <v>1473.828125</v>
      </c>
      <c r="H79" s="15" t="n">
        <f aca="false">G79*(1+IF(H$3&lt;=$O$2,$D79,$D79-($D79-$I$76)*MIN(H$3-$O$2,$Q$2)/$Q$2))</f>
        <v>1289.599609375</v>
      </c>
      <c r="I79" s="15" t="n">
        <f aca="false">H79*(1+IF(I$3&lt;=$O$2,$D79,$D79-($D79-$I$76)*MIN(I$3-$O$2,$Q$2)/$Q$2))</f>
        <v>1128.39965820313</v>
      </c>
      <c r="J79" s="15" t="n">
        <f aca="false">I79*(1+IF(J$3&lt;=$O$2,$D79,$D79-($D79-$I$76)*MIN(J$3-$O$2,$Q$2)/$Q$2))</f>
        <v>1020.81803479004</v>
      </c>
      <c r="K79" s="15" t="n">
        <f aca="false">J79*(1+IF(K$3&lt;=$O$2,$D79,$D79-($D79-$I$76)*MIN(K$3-$O$2,$Q$2)/$Q$2))</f>
        <v>953.770706265029</v>
      </c>
      <c r="L79" s="15" t="n">
        <f aca="false">K79*(1+IF(L$3&lt;=$O$2,$D79,$D79-($D79-$I$76)*MIN(L$3-$O$2,$Q$2)/$Q$2))</f>
        <v>919.415885425363</v>
      </c>
      <c r="M79" s="15" t="n">
        <f aca="false">L79*(1+IF(M$3&lt;=$O$2,$D79,$D79-($D79-$I$76)*MIN(M$3-$O$2,$Q$2)/$Q$2))</f>
        <v>913.568400394058</v>
      </c>
      <c r="N79" s="15" t="n">
        <f aca="false">M79*(1+IF(N$3&lt;=$O$2,$D79,$D79-($D79-$I$76)*MIN(N$3-$O$2,$Q$2)/$Q$2))</f>
        <v>934.854544123239</v>
      </c>
      <c r="O79" s="15" t="n">
        <f aca="false">SUMPRODUCT(E79:N79,1/(1+$F$76)^$E$3:$N$3)*$E$2</f>
        <v>4726.89198302187</v>
      </c>
      <c r="P79" s="15" t="n">
        <f aca="false">N79*$E$2*(1+$I$76)/($F$76-$I$76)/(1+$F$76)^$N$3</f>
        <v>5781.15463620122</v>
      </c>
      <c r="Q79" s="15" t="n">
        <f aca="false">O79+P79</f>
        <v>10508.0466192231</v>
      </c>
      <c r="R79" s="15" t="n">
        <f aca="false">Q79-$G$2+$I$2</f>
        <v>12417.7066192231</v>
      </c>
      <c r="S79" s="42" t="n">
        <f aca="false">R79/$K$2</f>
        <v>53.0603196992825</v>
      </c>
      <c r="T79" s="43" t="n">
        <f aca="false">S79-$M$2</f>
        <v>-56.9255795444042</v>
      </c>
    </row>
    <row r="80" customFormat="false" ht="15" hidden="false" customHeight="false" outlineLevel="0" collapsed="false">
      <c r="A80" s="5" t="n">
        <v>3</v>
      </c>
      <c r="B80" s="25" t="n">
        <f aca="false">IF(T79&gt;0,B79,D79)</f>
        <v>-0.125</v>
      </c>
      <c r="C80" s="25" t="n">
        <f aca="false">IF(T79&gt;0,D79,C79)</f>
        <v>0.25</v>
      </c>
      <c r="D80" s="41" t="n">
        <f aca="false">(B80+C80)/2</f>
        <v>0.0625</v>
      </c>
      <c r="E80" s="15" t="n">
        <f aca="false">$C$2*(1+IF(E$3&lt;=$O$2,$D80,$D80-($D80-$I$76)*MIN(E$3-$O$2,$Q$2)/$Q$2))</f>
        <v>2337.5</v>
      </c>
      <c r="F80" s="15" t="n">
        <f aca="false">E80*(1+IF(F$3&lt;=$O$2,$D80,$D80-($D80-$I$76)*MIN(F$3-$O$2,$Q$2)/$Q$2))</f>
        <v>2483.59375</v>
      </c>
      <c r="G80" s="15" t="n">
        <f aca="false">F80*(1+IF(G$3&lt;=$O$2,$D80,$D80-($D80-$I$76)*MIN(G$3-$O$2,$Q$2)/$Q$2))</f>
        <v>2638.818359375</v>
      </c>
      <c r="H80" s="15" t="n">
        <f aca="false">G80*(1+IF(H$3&lt;=$O$2,$D80,$D80-($D80-$I$76)*MIN(H$3-$O$2,$Q$2)/$Q$2))</f>
        <v>2803.74450683594</v>
      </c>
      <c r="I80" s="15" t="n">
        <f aca="false">H80*(1+IF(I$3&lt;=$O$2,$D80,$D80-($D80-$I$76)*MIN(I$3-$O$2,$Q$2)/$Q$2))</f>
        <v>2978.97853851318</v>
      </c>
      <c r="J80" s="15" t="n">
        <f aca="false">I80*(1+IF(J$3&lt;=$O$2,$D80,$D80-($D80-$I$76)*MIN(J$3-$O$2,$Q$2)/$Q$2))</f>
        <v>3141.80950542831</v>
      </c>
      <c r="K80" s="15" t="n">
        <f aca="false">J80*(1+IF(K$3&lt;=$O$2,$D80,$D80-($D80-$I$76)*MIN(K$3-$O$2,$Q$2)/$Q$2))</f>
        <v>3288.90902647247</v>
      </c>
      <c r="L80" s="15" t="n">
        <f aca="false">K80*(1+IF(L$3&lt;=$O$2,$D80,$D80-($D80-$I$76)*MIN(L$3-$O$2,$Q$2)/$Q$2))</f>
        <v>3417.11070032436</v>
      </c>
      <c r="M80" s="15" t="n">
        <f aca="false">L80*(1+IF(M$3&lt;=$O$2,$D80,$D80-($D80-$I$76)*MIN(M$3-$O$2,$Q$2)/$Q$2))</f>
        <v>3523.51952753247</v>
      </c>
      <c r="N80" s="15" t="n">
        <f aca="false">M80*(1+IF(N$3&lt;=$O$2,$D80,$D80-($D80-$I$76)*MIN(N$3-$O$2,$Q$2)/$Q$2))</f>
        <v>3605.61753252397</v>
      </c>
      <c r="O80" s="15" t="n">
        <f aca="false">SUMPRODUCT(E80:N80,1/(1+$F$76)^$E$3:$N$3)*$E$2</f>
        <v>10819.7798437118</v>
      </c>
      <c r="P80" s="15" t="n">
        <f aca="false">N80*$E$2*(1+$I$76)/($F$76-$I$76)/(1+$F$76)^$N$3</f>
        <v>22297.193339386</v>
      </c>
      <c r="Q80" s="15" t="n">
        <f aca="false">O80+P80</f>
        <v>33116.9731830977</v>
      </c>
      <c r="R80" s="15" t="n">
        <f aca="false">Q80-$G$2+$I$2</f>
        <v>35026.6331830977</v>
      </c>
      <c r="S80" s="42" t="n">
        <f aca="false">R80/$K$2</f>
        <v>149.667278481809</v>
      </c>
      <c r="T80" s="43" t="n">
        <f aca="false">S80-$M$2</f>
        <v>39.6813792381222</v>
      </c>
    </row>
    <row r="81" customFormat="false" ht="15" hidden="false" customHeight="false" outlineLevel="0" collapsed="false">
      <c r="A81" s="5" t="n">
        <v>4</v>
      </c>
      <c r="B81" s="25" t="n">
        <f aca="false">IF(T80&gt;0,B80,D80)</f>
        <v>-0.125</v>
      </c>
      <c r="C81" s="25" t="n">
        <f aca="false">IF(T80&gt;0,D80,C80)</f>
        <v>0.0625</v>
      </c>
      <c r="D81" s="41" t="n">
        <f aca="false">(B81+C81)/2</f>
        <v>-0.03125</v>
      </c>
      <c r="E81" s="15" t="n">
        <f aca="false">$C$2*(1+IF(E$3&lt;=$O$2,$D81,$D81-($D81-$I$76)*MIN(E$3-$O$2,$Q$2)/$Q$2))</f>
        <v>2131.25</v>
      </c>
      <c r="F81" s="15" t="n">
        <f aca="false">E81*(1+IF(F$3&lt;=$O$2,$D81,$D81-($D81-$I$76)*MIN(F$3-$O$2,$Q$2)/$Q$2))</f>
        <v>2064.6484375</v>
      </c>
      <c r="G81" s="15" t="n">
        <f aca="false">F81*(1+IF(G$3&lt;=$O$2,$D81,$D81-($D81-$I$76)*MIN(G$3-$O$2,$Q$2)/$Q$2))</f>
        <v>2000.12817382813</v>
      </c>
      <c r="H81" s="15" t="n">
        <f aca="false">G81*(1+IF(H$3&lt;=$O$2,$D81,$D81-($D81-$I$76)*MIN(H$3-$O$2,$Q$2)/$Q$2))</f>
        <v>1937.624168396</v>
      </c>
      <c r="I81" s="15" t="n">
        <f aca="false">H81*(1+IF(I$3&lt;=$O$2,$D81,$D81-($D81-$I$76)*MIN(I$3-$O$2,$Q$2)/$Q$2))</f>
        <v>1877.07341313362</v>
      </c>
      <c r="J81" s="15" t="n">
        <f aca="false">I81*(1+IF(J$3&lt;=$O$2,$D81,$D81-($D81-$I$76)*MIN(J$3-$O$2,$Q$2)/$Q$2))</f>
        <v>1838.89373991048</v>
      </c>
      <c r="K81" s="15" t="n">
        <f aca="false">J81*(1+IF(K$3&lt;=$O$2,$D81,$D81-($D81-$I$76)*MIN(K$3-$O$2,$Q$2)/$Q$2))</f>
        <v>1821.55297194313</v>
      </c>
      <c r="L81" s="15" t="n">
        <f aca="false">K81*(1+IF(L$3&lt;=$O$2,$D81,$D81-($D81-$I$76)*MIN(L$3-$O$2,$Q$2)/$Q$2))</f>
        <v>1824.2488703416</v>
      </c>
      <c r="M81" s="15" t="n">
        <f aca="false">L81*(1+IF(M$3&lt;=$O$2,$D81,$D81-($D81-$I$76)*MIN(M$3-$O$2,$Q$2)/$Q$2))</f>
        <v>1846.85131384514</v>
      </c>
      <c r="N81" s="15" t="n">
        <f aca="false">M81*(1+IF(N$3&lt;=$O$2,$D81,$D81-($D81-$I$76)*MIN(N$3-$O$2,$Q$2)/$Q$2))</f>
        <v>1889.88294945773</v>
      </c>
      <c r="O81" s="15" t="n">
        <f aca="false">SUMPRODUCT(E81:N81,1/(1+$F$76)^$E$3:$N$3)*$E$2</f>
        <v>7133.86623497391</v>
      </c>
      <c r="P81" s="15" t="n">
        <f aca="false">N81*$E$2*(1+$I$76)/($F$76-$I$76)/(1+$F$76)^$N$3</f>
        <v>11687.064735169</v>
      </c>
      <c r="Q81" s="15" t="n">
        <f aca="false">O81+P81</f>
        <v>18820.9309701429</v>
      </c>
      <c r="R81" s="15" t="n">
        <f aca="false">Q81-$G$2+$I$2</f>
        <v>20730.5909701429</v>
      </c>
      <c r="S81" s="42" t="n">
        <f aca="false">R81/$K$2</f>
        <v>88.5809125759214</v>
      </c>
      <c r="T81" s="43" t="n">
        <f aca="false">S81-$M$2</f>
        <v>-21.4049866677653</v>
      </c>
    </row>
    <row r="82" customFormat="false" ht="15" hidden="false" customHeight="false" outlineLevel="0" collapsed="false">
      <c r="A82" s="5" t="n">
        <v>5</v>
      </c>
      <c r="B82" s="25" t="n">
        <f aca="false">IF(T81&gt;0,B81,D81)</f>
        <v>-0.03125</v>
      </c>
      <c r="C82" s="25" t="n">
        <f aca="false">IF(T81&gt;0,D81,C81)</f>
        <v>0.0625</v>
      </c>
      <c r="D82" s="41" t="n">
        <f aca="false">(B82+C82)/2</f>
        <v>0.015625</v>
      </c>
      <c r="E82" s="15" t="n">
        <f aca="false">$C$2*(1+IF(E$3&lt;=$O$2,$D82,$D82-($D82-$I$76)*MIN(E$3-$O$2,$Q$2)/$Q$2))</f>
        <v>2234.375</v>
      </c>
      <c r="F82" s="15" t="n">
        <f aca="false">E82*(1+IF(F$3&lt;=$O$2,$D82,$D82-($D82-$I$76)*MIN(F$3-$O$2,$Q$2)/$Q$2))</f>
        <v>2269.287109375</v>
      </c>
      <c r="G82" s="15" t="n">
        <f aca="false">F82*(1+IF(G$3&lt;=$O$2,$D82,$D82-($D82-$I$76)*MIN(G$3-$O$2,$Q$2)/$Q$2))</f>
        <v>2304.74472045898</v>
      </c>
      <c r="H82" s="15" t="n">
        <f aca="false">G82*(1+IF(H$3&lt;=$O$2,$D82,$D82-($D82-$I$76)*MIN(H$3-$O$2,$Q$2)/$Q$2))</f>
        <v>2340.75635671616</v>
      </c>
      <c r="I82" s="15" t="n">
        <f aca="false">H82*(1+IF(I$3&lt;=$O$2,$D82,$D82-($D82-$I$76)*MIN(I$3-$O$2,$Q$2)/$Q$2))</f>
        <v>2377.33067478985</v>
      </c>
      <c r="J82" s="15" t="n">
        <f aca="false">I82*(1+IF(J$3&lt;=$O$2,$D82,$D82-($D82-$I$76)*MIN(J$3-$O$2,$Q$2)/$Q$2))</f>
        <v>2418.12566916924</v>
      </c>
      <c r="K82" s="15" t="n">
        <f aca="false">J82*(1+IF(K$3&lt;=$O$2,$D82,$D82-($D82-$I$76)*MIN(K$3-$O$2,$Q$2)/$Q$2))</f>
        <v>2463.33252855436</v>
      </c>
      <c r="L82" s="15" t="n">
        <f aca="false">K82*(1+IF(L$3&lt;=$O$2,$D82,$D82-($D82-$I$76)*MIN(L$3-$O$2,$Q$2)/$Q$2))</f>
        <v>2513.16574560701</v>
      </c>
      <c r="M82" s="15" t="n">
        <f aca="false">L82*(1+IF(M$3&lt;=$O$2,$D82,$D82-($D82-$I$76)*MIN(M$3-$O$2,$Q$2)/$Q$2))</f>
        <v>2567.86479806015</v>
      </c>
      <c r="N82" s="15" t="n">
        <f aca="false">M82*(1+IF(N$3&lt;=$O$2,$D82,$D82-($D82-$I$76)*MIN(N$3-$O$2,$Q$2)/$Q$2))</f>
        <v>2627.69604785495</v>
      </c>
      <c r="O82" s="15" t="n">
        <f aca="false">SUMPRODUCT(E82:N82,1/(1+$F$76)^$E$3:$N$3)*$E$2</f>
        <v>8783.23570469545</v>
      </c>
      <c r="P82" s="15" t="n">
        <f aca="false">N82*$E$2*(1+$I$76)/($F$76-$I$76)/(1+$F$76)^$N$3</f>
        <v>16249.7120916617</v>
      </c>
      <c r="Q82" s="15" t="n">
        <f aca="false">O82+P82</f>
        <v>25032.9477963571</v>
      </c>
      <c r="R82" s="15" t="n">
        <f aca="false">Q82-$G$2+$I$2</f>
        <v>26942.6077963571</v>
      </c>
      <c r="S82" s="42" t="n">
        <f aca="false">R82/$K$2</f>
        <v>115.124589994262</v>
      </c>
      <c r="T82" s="43" t="n">
        <f aca="false">S82-$M$2</f>
        <v>5.13869075057535</v>
      </c>
    </row>
    <row r="83" customFormat="false" ht="15" hidden="false" customHeight="false" outlineLevel="0" collapsed="false">
      <c r="A83" s="5" t="n">
        <v>6</v>
      </c>
      <c r="B83" s="25" t="n">
        <f aca="false">IF(T82&gt;0,B82,D82)</f>
        <v>-0.03125</v>
      </c>
      <c r="C83" s="25" t="n">
        <f aca="false">IF(T82&gt;0,D82,C82)</f>
        <v>0.015625</v>
      </c>
      <c r="D83" s="41" t="n">
        <f aca="false">(B83+C83)/2</f>
        <v>-0.0078125</v>
      </c>
      <c r="E83" s="15" t="n">
        <f aca="false">$C$2*(1+IF(E$3&lt;=$O$2,$D83,$D83-($D83-$I$76)*MIN(E$3-$O$2,$Q$2)/$Q$2))</f>
        <v>2182.8125</v>
      </c>
      <c r="F83" s="15" t="n">
        <f aca="false">E83*(1+IF(F$3&lt;=$O$2,$D83,$D83-($D83-$I$76)*MIN(F$3-$O$2,$Q$2)/$Q$2))</f>
        <v>2165.75927734375</v>
      </c>
      <c r="G83" s="15" t="n">
        <f aca="false">F83*(1+IF(G$3&lt;=$O$2,$D83,$D83-($D83-$I$76)*MIN(G$3-$O$2,$Q$2)/$Q$2))</f>
        <v>2148.8392829895</v>
      </c>
      <c r="H83" s="15" t="n">
        <f aca="false">G83*(1+IF(H$3&lt;=$O$2,$D83,$D83-($D83-$I$76)*MIN(H$3-$O$2,$Q$2)/$Q$2))</f>
        <v>2132.05147609115</v>
      </c>
      <c r="I83" s="15" t="n">
        <f aca="false">H83*(1+IF(I$3&lt;=$O$2,$D83,$D83-($D83-$I$76)*MIN(I$3-$O$2,$Q$2)/$Q$2))</f>
        <v>2115.39482393418</v>
      </c>
      <c r="J83" s="15" t="n">
        <f aca="false">I83*(1+IF(J$3&lt;=$O$2,$D83,$D83-($D83-$I$76)*MIN(J$3-$O$2,$Q$2)/$Q$2))</f>
        <v>2112.03134616413</v>
      </c>
      <c r="K83" s="15" t="n">
        <f aca="false">J83*(1+IF(K$3&lt;=$O$2,$D83,$D83-($D83-$I$76)*MIN(K$3-$O$2,$Q$2)/$Q$2))</f>
        <v>2121.81533137523</v>
      </c>
      <c r="L83" s="15" t="n">
        <f aca="false">K83*(1+IF(L$3&lt;=$O$2,$D83,$D83-($D83-$I$76)*MIN(L$3-$O$2,$Q$2)/$Q$2))</f>
        <v>2144.84763679731</v>
      </c>
      <c r="M83" s="15" t="n">
        <f aca="false">L83*(1+IF(M$3&lt;=$O$2,$D83,$D83-($D83-$I$76)*MIN(M$3-$O$2,$Q$2)/$Q$2))</f>
        <v>2181.47627231472</v>
      </c>
      <c r="N83" s="15" t="n">
        <f aca="false">M83*(1+IF(N$3&lt;=$O$2,$D83,$D83-($D83-$I$76)*MIN(N$3-$O$2,$Q$2)/$Q$2))</f>
        <v>2232.30466945965</v>
      </c>
      <c r="O83" s="15" t="n">
        <f aca="false">SUMPRODUCT(E83:N83,1/(1+$F$76)^$E$3:$N$3)*$E$2</f>
        <v>7914.83533004725</v>
      </c>
      <c r="P83" s="15" t="n">
        <f aca="false">N83*$E$2*(1+$I$76)/($F$76-$I$76)/(1+$F$76)^$N$3</f>
        <v>13804.6058292027</v>
      </c>
      <c r="Q83" s="15" t="n">
        <f aca="false">O83+P83</f>
        <v>21719.44115925</v>
      </c>
      <c r="R83" s="15" t="n">
        <f aca="false">Q83-$G$2+$I$2</f>
        <v>23629.10115925</v>
      </c>
      <c r="S83" s="42" t="n">
        <f aca="false">R83/$K$2</f>
        <v>100.966120408708</v>
      </c>
      <c r="T83" s="43" t="n">
        <f aca="false">S83-$M$2</f>
        <v>-9.0197788349786</v>
      </c>
    </row>
    <row r="84" customFormat="false" ht="15" hidden="false" customHeight="false" outlineLevel="0" collapsed="false">
      <c r="A84" s="5" t="n">
        <v>7</v>
      </c>
      <c r="B84" s="25" t="n">
        <f aca="false">IF(T83&gt;0,B83,D83)</f>
        <v>-0.0078125</v>
      </c>
      <c r="C84" s="25" t="n">
        <f aca="false">IF(T83&gt;0,D83,C83)</f>
        <v>0.015625</v>
      </c>
      <c r="D84" s="41" t="n">
        <f aca="false">(B84+C84)/2</f>
        <v>0.00390625</v>
      </c>
      <c r="E84" s="15" t="n">
        <f aca="false">$C$2*(1+IF(E$3&lt;=$O$2,$D84,$D84-($D84-$I$76)*MIN(E$3-$O$2,$Q$2)/$Q$2))</f>
        <v>2208.59375</v>
      </c>
      <c r="F84" s="15" t="n">
        <f aca="false">E84*(1+IF(F$3&lt;=$O$2,$D84,$D84-($D84-$I$76)*MIN(F$3-$O$2,$Q$2)/$Q$2))</f>
        <v>2217.22106933594</v>
      </c>
      <c r="G84" s="15" t="n">
        <f aca="false">F84*(1+IF(G$3&lt;=$O$2,$D84,$D84-($D84-$I$76)*MIN(G$3-$O$2,$Q$2)/$Q$2))</f>
        <v>2225.88208913803</v>
      </c>
      <c r="H84" s="15" t="n">
        <f aca="false">G84*(1+IF(H$3&lt;=$O$2,$D84,$D84-($D84-$I$76)*MIN(H$3-$O$2,$Q$2)/$Q$2))</f>
        <v>2234.57694104873</v>
      </c>
      <c r="I84" s="15" t="n">
        <f aca="false">H84*(1+IF(I$3&lt;=$O$2,$D84,$D84-($D84-$I$76)*MIN(I$3-$O$2,$Q$2)/$Q$2))</f>
        <v>2243.3057572247</v>
      </c>
      <c r="J84" s="15" t="n">
        <f aca="false">I84*(1+IF(J$3&lt;=$O$2,$D84,$D84-($D84-$I$76)*MIN(J$3-$O$2,$Q$2)/$Q$2))</f>
        <v>2260.76989254469</v>
      </c>
      <c r="K84" s="15" t="n">
        <f aca="false">J84*(1+IF(K$3&lt;=$O$2,$D84,$D84-($D84-$I$76)*MIN(K$3-$O$2,$Q$2)/$Q$2))</f>
        <v>2287.13894737886</v>
      </c>
      <c r="L84" s="15" t="n">
        <f aca="false">K84*(1+IF(L$3&lt;=$O$2,$D84,$D84-($D84-$I$76)*MIN(L$3-$O$2,$Q$2)/$Q$2))</f>
        <v>2322.6868044685</v>
      </c>
      <c r="M84" s="15" t="n">
        <f aca="false">L84*(1+IF(M$3&lt;=$O$2,$D84,$D84-($D84-$I$76)*MIN(M$3-$O$2,$Q$2)/$Q$2))</f>
        <v>2367.79628556978</v>
      </c>
      <c r="N84" s="15" t="n">
        <f aca="false">M84*(1+IF(N$3&lt;=$O$2,$D84,$D84-($D84-$I$76)*MIN(N$3-$O$2,$Q$2)/$Q$2))</f>
        <v>2422.96593902356</v>
      </c>
      <c r="O84" s="15" t="n">
        <f aca="false">SUMPRODUCT(E84:N84,1/(1+$F$76)^$E$3:$N$3)*$E$2</f>
        <v>8337.55294072425</v>
      </c>
      <c r="P84" s="15" t="n">
        <f aca="false">N84*$E$2*(1+$I$76)/($F$76-$I$76)/(1+$F$76)^$N$3</f>
        <v>14983.6580030541</v>
      </c>
      <c r="Q84" s="15" t="n">
        <f aca="false">O84+P84</f>
        <v>23321.2109437784</v>
      </c>
      <c r="R84" s="15" t="n">
        <f aca="false">Q84-$G$2+$I$2</f>
        <v>25230.8709437784</v>
      </c>
      <c r="S84" s="42" t="n">
        <f aca="false">R84/$K$2</f>
        <v>107.810412954657</v>
      </c>
      <c r="T84" s="43" t="n">
        <f aca="false">S84-$M$2</f>
        <v>-2.17548628902972</v>
      </c>
    </row>
    <row r="85" customFormat="false" ht="15" hidden="false" customHeight="false" outlineLevel="0" collapsed="false">
      <c r="A85" s="5" t="n">
        <v>8</v>
      </c>
      <c r="B85" s="25" t="n">
        <f aca="false">IF(T84&gt;0,B84,D84)</f>
        <v>0.00390625</v>
      </c>
      <c r="C85" s="25" t="n">
        <f aca="false">IF(T84&gt;0,D84,C84)</f>
        <v>0.015625</v>
      </c>
      <c r="D85" s="41" t="n">
        <f aca="false">(B85+C85)/2</f>
        <v>0.009765625</v>
      </c>
      <c r="E85" s="15" t="n">
        <f aca="false">$C$2*(1+IF(E$3&lt;=$O$2,$D85,$D85-($D85-$I$76)*MIN(E$3-$O$2,$Q$2)/$Q$2))</f>
        <v>2221.484375</v>
      </c>
      <c r="F85" s="15" t="n">
        <f aca="false">E85*(1+IF(F$3&lt;=$O$2,$D85,$D85-($D85-$I$76)*MIN(F$3-$O$2,$Q$2)/$Q$2))</f>
        <v>2243.17855834961</v>
      </c>
      <c r="G85" s="15" t="n">
        <f aca="false">F85*(1+IF(G$3&lt;=$O$2,$D85,$D85-($D85-$I$76)*MIN(G$3-$O$2,$Q$2)/$Q$2))</f>
        <v>2265.08459895849</v>
      </c>
      <c r="H85" s="15" t="n">
        <f aca="false">G85*(1+IF(H$3&lt;=$O$2,$D85,$D85-($D85-$I$76)*MIN(H$3-$O$2,$Q$2)/$Q$2))</f>
        <v>2287.2045657452</v>
      </c>
      <c r="I85" s="15" t="n">
        <f aca="false">H85*(1+IF(I$3&lt;=$O$2,$D85,$D85-($D85-$I$76)*MIN(I$3-$O$2,$Q$2)/$Q$2))</f>
        <v>2309.54054783255</v>
      </c>
      <c r="J85" s="15" t="n">
        <f aca="false">I85*(1+IF(J$3&lt;=$O$2,$D85,$D85-($D85-$I$76)*MIN(J$3-$O$2,$Q$2)/$Q$2))</f>
        <v>2338.34629231539</v>
      </c>
      <c r="K85" s="15" t="n">
        <f aca="false">J85*(1+IF(K$3&lt;=$O$2,$D85,$D85-($D85-$I$76)*MIN(K$3-$O$2,$Q$2)/$Q$2))</f>
        <v>2373.84092756631</v>
      </c>
      <c r="L85" s="15" t="n">
        <f aca="false">K85*(1+IF(L$3&lt;=$O$2,$D85,$D85-($D85-$I$76)*MIN(L$3-$O$2,$Q$2)/$Q$2))</f>
        <v>2416.30003985699</v>
      </c>
      <c r="M85" s="15" t="n">
        <f aca="false">L85*(1+IF(M$3&lt;=$O$2,$D85,$D85-($D85-$I$76)*MIN(M$3-$O$2,$Q$2)/$Q$2))</f>
        <v>2466.05920861527</v>
      </c>
      <c r="N85" s="15" t="n">
        <f aca="false">M85*(1+IF(N$3&lt;=$O$2,$D85,$D85-($D85-$I$76)*MIN(N$3-$O$2,$Q$2)/$Q$2))</f>
        <v>2523.51838817601</v>
      </c>
      <c r="O85" s="15" t="n">
        <f aca="false">SUMPRODUCT(E85:N85,1/(1+$F$76)^$E$3:$N$3)*$E$2</f>
        <v>8557.45180398248</v>
      </c>
      <c r="P85" s="15" t="n">
        <f aca="false">N85*$E$2*(1+$I$76)/($F$76-$I$76)/(1+$F$76)^$N$3</f>
        <v>15605.4758690027</v>
      </c>
      <c r="Q85" s="15" t="n">
        <f aca="false">O85+P85</f>
        <v>24162.9276729852</v>
      </c>
      <c r="R85" s="15" t="n">
        <f aca="false">Q85-$G$2+$I$2</f>
        <v>26072.5876729852</v>
      </c>
      <c r="S85" s="42" t="n">
        <f aca="false">R85/$K$2</f>
        <v>111.407031889011</v>
      </c>
      <c r="T85" s="43" t="n">
        <f aca="false">S85-$M$2</f>
        <v>1.42113264532419</v>
      </c>
    </row>
    <row r="86" customFormat="false" ht="15" hidden="false" customHeight="false" outlineLevel="0" collapsed="false">
      <c r="A86" s="5" t="n">
        <v>9</v>
      </c>
      <c r="B86" s="25" t="n">
        <f aca="false">IF(T85&gt;0,B85,D85)</f>
        <v>0.00390625</v>
      </c>
      <c r="C86" s="25" t="n">
        <f aca="false">IF(T85&gt;0,D85,C85)</f>
        <v>0.009765625</v>
      </c>
      <c r="D86" s="41" t="n">
        <f aca="false">(B86+C86)/2</f>
        <v>0.0068359375</v>
      </c>
      <c r="E86" s="15" t="n">
        <f aca="false">$C$2*(1+IF(E$3&lt;=$O$2,$D86,$D86-($D86-$I$76)*MIN(E$3-$O$2,$Q$2)/$Q$2))</f>
        <v>2215.0390625</v>
      </c>
      <c r="F86" s="15" t="n">
        <f aca="false">E86*(1+IF(F$3&lt;=$O$2,$D86,$D86-($D86-$I$76)*MIN(F$3-$O$2,$Q$2)/$Q$2))</f>
        <v>2230.18093109131</v>
      </c>
      <c r="G86" s="15" t="n">
        <f aca="false">F86*(1+IF(G$3&lt;=$O$2,$D86,$D86-($D86-$I$76)*MIN(G$3-$O$2,$Q$2)/$Q$2))</f>
        <v>2245.42630854994</v>
      </c>
      <c r="H86" s="15" t="n">
        <f aca="false">G86*(1+IF(H$3&lt;=$O$2,$D86,$D86-($D86-$I$76)*MIN(H$3-$O$2,$Q$2)/$Q$2))</f>
        <v>2260.77590245604</v>
      </c>
      <c r="I86" s="15" t="n">
        <f aca="false">H86*(1+IF(I$3&lt;=$O$2,$D86,$D86-($D86-$I$76)*MIN(I$3-$O$2,$Q$2)/$Q$2))</f>
        <v>2276.23042522674</v>
      </c>
      <c r="J86" s="15" t="n">
        <f aca="false">I86*(1+IF(J$3&lt;=$O$2,$D86,$D86-($D86-$I$76)*MIN(J$3-$O$2,$Q$2)/$Q$2))</f>
        <v>2299.28579414626</v>
      </c>
      <c r="K86" s="15" t="n">
        <f aca="false">J86*(1+IF(K$3&lt;=$O$2,$D86,$D86-($D86-$I$76)*MIN(K$3-$O$2,$Q$2)/$Q$2))</f>
        <v>2330.14580213775</v>
      </c>
      <c r="L86" s="15" t="n">
        <f aca="false">K86*(1+IF(L$3&lt;=$O$2,$D86,$D86-($D86-$I$76)*MIN(L$3-$O$2,$Q$2)/$Q$2))</f>
        <v>2369.09273287936</v>
      </c>
      <c r="M86" s="15" t="n">
        <f aca="false">L86*(1+IF(M$3&lt;=$O$2,$D86,$D86-($D86-$I$76)*MIN(M$3-$O$2,$Q$2)/$Q$2))</f>
        <v>2416.49161539096</v>
      </c>
      <c r="N86" s="15" t="n">
        <f aca="false">M86*(1+IF(N$3&lt;=$O$2,$D86,$D86-($D86-$I$76)*MIN(N$3-$O$2,$Q$2)/$Q$2))</f>
        <v>2472.79587002957</v>
      </c>
      <c r="O86" s="15" t="n">
        <f aca="false">SUMPRODUCT(E86:N86,1/(1+$F$76)^$E$3:$N$3)*$E$2</f>
        <v>8446.77584881074</v>
      </c>
      <c r="P86" s="15" t="n">
        <f aca="false">N86*$E$2*(1+$I$76)/($F$76-$I$76)/(1+$F$76)^$N$3</f>
        <v>15291.8070498421</v>
      </c>
      <c r="Q86" s="15" t="n">
        <f aca="false">O86+P86</f>
        <v>23738.5828986529</v>
      </c>
      <c r="R86" s="15" t="n">
        <f aca="false">Q86-$G$2+$I$2</f>
        <v>25648.2428986529</v>
      </c>
      <c r="S86" s="42" t="n">
        <f aca="false">R86/$K$2</f>
        <v>109.593825144865</v>
      </c>
      <c r="T86" s="43" t="n">
        <f aca="false">S86-$M$2</f>
        <v>-0.392074098821212</v>
      </c>
    </row>
    <row r="87" customFormat="false" ht="15" hidden="false" customHeight="false" outlineLevel="0" collapsed="false">
      <c r="A87" s="5" t="n">
        <v>10</v>
      </c>
      <c r="B87" s="25" t="n">
        <f aca="false">IF(T86&gt;0,B86,D86)</f>
        <v>0.0068359375</v>
      </c>
      <c r="C87" s="25" t="n">
        <f aca="false">IF(T86&gt;0,D86,C86)</f>
        <v>0.009765625</v>
      </c>
      <c r="D87" s="41" t="n">
        <f aca="false">(B87+C87)/2</f>
        <v>0.00830078125</v>
      </c>
      <c r="E87" s="15" t="n">
        <f aca="false">$C$2*(1+IF(E$3&lt;=$O$2,$D87,$D87-($D87-$I$76)*MIN(E$3-$O$2,$Q$2)/$Q$2))</f>
        <v>2218.26171875</v>
      </c>
      <c r="F87" s="15" t="n">
        <f aca="false">E87*(1+IF(F$3&lt;=$O$2,$D87,$D87-($D87-$I$76)*MIN(F$3-$O$2,$Q$2)/$Q$2))</f>
        <v>2236.67502403259</v>
      </c>
      <c r="G87" s="15" t="n">
        <f aca="false">F87*(1+IF(G$3&lt;=$O$2,$D87,$D87-($D87-$I$76)*MIN(G$3-$O$2,$Q$2)/$Q$2))</f>
        <v>2255.24117413443</v>
      </c>
      <c r="H87" s="15" t="n">
        <f aca="false">G87*(1+IF(H$3&lt;=$O$2,$D87,$D87-($D87-$I$76)*MIN(H$3-$O$2,$Q$2)/$Q$2))</f>
        <v>2273.96143778691</v>
      </c>
      <c r="I87" s="15" t="n">
        <f aca="false">H87*(1+IF(I$3&lt;=$O$2,$D87,$D87-($D87-$I$76)*MIN(I$3-$O$2,$Q$2)/$Q$2))</f>
        <v>2292.83709425291</v>
      </c>
      <c r="J87" s="15" t="n">
        <f aca="false">I87*(1+IF(J$3&lt;=$O$2,$D87,$D87-($D87-$I$76)*MIN(J$3-$O$2,$Q$2)/$Q$2))</f>
        <v>2318.74758644116</v>
      </c>
      <c r="K87" s="15" t="n">
        <f aca="false">J87*(1+IF(K$3&lt;=$O$2,$D87,$D87-($D87-$I$76)*MIN(K$3-$O$2,$Q$2)/$Q$2))</f>
        <v>2351.9067638402</v>
      </c>
      <c r="L87" s="15" t="n">
        <f aca="false">K87*(1+IF(L$3&lt;=$O$2,$D87,$D87-($D87-$I$76)*MIN(L$3-$O$2,$Q$2)/$Q$2))</f>
        <v>2392.59548582549</v>
      </c>
      <c r="M87" s="15" t="n">
        <f aca="false">L87*(1+IF(M$3&lt;=$O$2,$D87,$D87-($D87-$I$76)*MIN(M$3-$O$2,$Q$2)/$Q$2))</f>
        <v>2441.1655480308</v>
      </c>
      <c r="N87" s="15" t="n">
        <f aca="false">M87*(1+IF(N$3&lt;=$O$2,$D87,$D87-($D87-$I$76)*MIN(N$3-$O$2,$Q$2)/$Q$2))</f>
        <v>2498.04470529991</v>
      </c>
      <c r="O87" s="15" t="n">
        <f aca="false">SUMPRODUCT(E87:N87,1/(1+$F$76)^$E$3:$N$3)*$E$2</f>
        <v>8501.93106493216</v>
      </c>
      <c r="P87" s="15" t="n">
        <f aca="false">N87*$E$2*(1+$I$76)/($F$76-$I$76)/(1+$F$76)^$N$3</f>
        <v>15447.9462289256</v>
      </c>
      <c r="Q87" s="15" t="n">
        <f aca="false">O87+P87</f>
        <v>23949.8772938577</v>
      </c>
      <c r="R87" s="15" t="n">
        <f aca="false">Q87-$G$2+$I$2</f>
        <v>25859.5372938577</v>
      </c>
      <c r="S87" s="42" t="n">
        <f aca="false">R87/$K$2</f>
        <v>110.496676895516</v>
      </c>
      <c r="T87" s="43" t="n">
        <f aca="false">S87-$M$2</f>
        <v>0.510777651829784</v>
      </c>
    </row>
    <row r="88" customFormat="false" ht="15" hidden="false" customHeight="false" outlineLevel="0" collapsed="false">
      <c r="A88" s="5" t="n">
        <v>11</v>
      </c>
      <c r="B88" s="25" t="n">
        <f aca="false">IF(T87&gt;0,B87,D87)</f>
        <v>0.0068359375</v>
      </c>
      <c r="C88" s="25" t="n">
        <f aca="false">IF(T87&gt;0,D87,C87)</f>
        <v>0.00830078125</v>
      </c>
      <c r="D88" s="41" t="n">
        <f aca="false">(B88+C88)/2</f>
        <v>0.007568359375</v>
      </c>
      <c r="E88" s="15" t="n">
        <f aca="false">$C$2*(1+IF(E$3&lt;=$O$2,$D88,$D88-($D88-$I$76)*MIN(E$3-$O$2,$Q$2)/$Q$2))</f>
        <v>2216.650390625</v>
      </c>
      <c r="F88" s="15" t="n">
        <f aca="false">E88*(1+IF(F$3&lt;=$O$2,$D88,$D88-($D88-$I$76)*MIN(F$3-$O$2,$Q$2)/$Q$2))</f>
        <v>2233.42679738998</v>
      </c>
      <c r="G88" s="15" t="n">
        <f aca="false">F88*(1+IF(G$3&lt;=$O$2,$D88,$D88-($D88-$I$76)*MIN(G$3-$O$2,$Q$2)/$Q$2))</f>
        <v>2250.33017403039</v>
      </c>
      <c r="H88" s="15" t="n">
        <f aca="false">G88*(1+IF(H$3&lt;=$O$2,$D88,$D88-($D88-$I$76)*MIN(H$3-$O$2,$Q$2)/$Q$2))</f>
        <v>2267.36148149986</v>
      </c>
      <c r="I88" s="15" t="n">
        <f aca="false">H88*(1+IF(I$3&lt;=$O$2,$D88,$D88-($D88-$I$76)*MIN(I$3-$O$2,$Q$2)/$Q$2))</f>
        <v>2284.52168802488</v>
      </c>
      <c r="J88" s="15" t="n">
        <f aca="false">I88*(1+IF(J$3&lt;=$O$2,$D88,$D88-($D88-$I$76)*MIN(J$3-$O$2,$Q$2)/$Q$2))</f>
        <v>2308.99962399904</v>
      </c>
      <c r="K88" s="15" t="n">
        <f aca="false">J88*(1+IF(K$3&lt;=$O$2,$D88,$D88-($D88-$I$76)*MIN(K$3-$O$2,$Q$2)/$Q$2))</f>
        <v>2341.00470386541</v>
      </c>
      <c r="L88" s="15" t="n">
        <f aca="false">K88*(1+IF(L$3&lt;=$O$2,$D88,$D88-($D88-$I$76)*MIN(L$3-$O$2,$Q$2)/$Q$2))</f>
        <v>2380.81897558441</v>
      </c>
      <c r="M88" s="15" t="n">
        <f aca="false">L88*(1+IF(M$3&lt;=$O$2,$D88,$D88-($D88-$I$76)*MIN(M$3-$O$2,$Q$2)/$Q$2))</f>
        <v>2428.80122001211</v>
      </c>
      <c r="N88" s="15" t="n">
        <f aca="false">M88*(1+IF(N$3&lt;=$O$2,$D88,$D88-($D88-$I$76)*MIN(N$3-$O$2,$Q$2)/$Q$2))</f>
        <v>2485.3922884384</v>
      </c>
      <c r="O88" s="15" t="n">
        <f aca="false">SUMPRODUCT(E88:N88,1/(1+$F$76)^$E$3:$N$3)*$E$2</f>
        <v>8474.30790830587</v>
      </c>
      <c r="P88" s="15" t="n">
        <f aca="false">N88*$E$2*(1+$I$76)/($F$76-$I$76)/(1+$F$76)^$N$3</f>
        <v>15369.7034917448</v>
      </c>
      <c r="Q88" s="15" t="n">
        <f aca="false">O88+P88</f>
        <v>23844.0114000506</v>
      </c>
      <c r="R88" s="15" t="n">
        <f aca="false">Q88-$G$2+$I$2</f>
        <v>25753.6714000506</v>
      </c>
      <c r="S88" s="42" t="n">
        <f aca="false">R88/$K$2</f>
        <v>110.044316540831</v>
      </c>
      <c r="T88" s="43" t="n">
        <f aca="false">S88-$M$2</f>
        <v>0.0584172971441177</v>
      </c>
    </row>
    <row r="89" customFormat="false" ht="15" hidden="false" customHeight="false" outlineLevel="0" collapsed="false">
      <c r="A89" s="5" t="n">
        <v>12</v>
      </c>
      <c r="B89" s="25" t="n">
        <f aca="false">IF(T88&gt;0,B88,D88)</f>
        <v>0.0068359375</v>
      </c>
      <c r="C89" s="25" t="n">
        <f aca="false">IF(T88&gt;0,D88,C88)</f>
        <v>0.007568359375</v>
      </c>
      <c r="D89" s="41" t="n">
        <f aca="false">(B89+C89)/2</f>
        <v>0.0072021484375</v>
      </c>
      <c r="E89" s="15" t="n">
        <f aca="false">$C$2*(1+IF(E$3&lt;=$O$2,$D89,$D89-($D89-$I$76)*MIN(E$3-$O$2,$Q$2)/$Q$2))</f>
        <v>2215.8447265625</v>
      </c>
      <c r="F89" s="15" t="n">
        <f aca="false">E89*(1+IF(F$3&lt;=$O$2,$D89,$D89-($D89-$I$76)*MIN(F$3-$O$2,$Q$2)/$Q$2))</f>
        <v>2231.80356919765</v>
      </c>
      <c r="G89" s="15" t="n">
        <f aca="false">F89*(1+IF(G$3&lt;=$O$2,$D89,$D89-($D89-$I$76)*MIN(G$3-$O$2,$Q$2)/$Q$2))</f>
        <v>2247.87734978636</v>
      </c>
      <c r="H89" s="15" t="n">
        <f aca="false">G89*(1+IF(H$3&lt;=$O$2,$D89,$D89-($D89-$I$76)*MIN(H$3-$O$2,$Q$2)/$Q$2))</f>
        <v>2264.06689612881</v>
      </c>
      <c r="I89" s="15" t="n">
        <f aca="false">H89*(1+IF(I$3&lt;=$O$2,$D89,$D89-($D89-$I$76)*MIN(I$3-$O$2,$Q$2)/$Q$2))</f>
        <v>2280.37304198716</v>
      </c>
      <c r="J89" s="15" t="n">
        <f aca="false">I89*(1+IF(J$3&lt;=$O$2,$D89,$D89-($D89-$I$76)*MIN(J$3-$O$2,$Q$2)/$Q$2))</f>
        <v>2304.13844847584</v>
      </c>
      <c r="K89" s="15" t="n">
        <f aca="false">J89*(1+IF(K$3&lt;=$O$2,$D89,$D89-($D89-$I$76)*MIN(K$3-$O$2,$Q$2)/$Q$2))</f>
        <v>2335.56986709151</v>
      </c>
      <c r="L89" s="15" t="n">
        <f aca="false">K89*(1+IF(L$3&lt;=$O$2,$D89,$D89-($D89-$I$76)*MIN(L$3-$O$2,$Q$2)/$Q$2))</f>
        <v>2374.94958218103</v>
      </c>
      <c r="M89" s="15" t="n">
        <f aca="false">L89*(1+IF(M$3&lt;=$O$2,$D89,$D89-($D89-$I$76)*MIN(M$3-$O$2,$Q$2)/$Q$2))</f>
        <v>2422.63959027738</v>
      </c>
      <c r="N89" s="15" t="n">
        <f aca="false">M89*(1+IF(N$3&lt;=$O$2,$D89,$D89-($D89-$I$76)*MIN(N$3-$O$2,$Q$2)/$Q$2))</f>
        <v>2479.08709273084</v>
      </c>
      <c r="O89" s="15" t="n">
        <f aca="false">SUMPRODUCT(E89:N89,1/(1+$F$76)^$E$3:$N$3)*$E$2</f>
        <v>8460.53050910005</v>
      </c>
      <c r="P89" s="15" t="n">
        <f aca="false">N89*$E$2*(1+$I$76)/($F$76-$I$76)/(1+$F$76)^$N$3</f>
        <v>15330.7120661524</v>
      </c>
      <c r="Q89" s="15" t="n">
        <f aca="false">O89+P89</f>
        <v>23791.2425752524</v>
      </c>
      <c r="R89" s="15" t="n">
        <f aca="false">Q89-$G$2+$I$2</f>
        <v>25700.9025752524</v>
      </c>
      <c r="S89" s="42" t="n">
        <f aca="false">R89/$K$2</f>
        <v>109.818837650098</v>
      </c>
      <c r="T89" s="43" t="n">
        <f aca="false">S89-$M$2</f>
        <v>-0.167061593588826</v>
      </c>
    </row>
    <row r="90" customFormat="false" ht="15" hidden="false" customHeight="false" outlineLevel="0" collapsed="false">
      <c r="A90" s="5" t="n">
        <v>13</v>
      </c>
      <c r="B90" s="25" t="n">
        <f aca="false">IF(T89&gt;0,B89,D89)</f>
        <v>0.0072021484375</v>
      </c>
      <c r="C90" s="25" t="n">
        <f aca="false">IF(T89&gt;0,D89,C89)</f>
        <v>0.007568359375</v>
      </c>
      <c r="D90" s="41" t="n">
        <f aca="false">(B90+C90)/2</f>
        <v>0.00738525390625</v>
      </c>
      <c r="E90" s="15" t="n">
        <f aca="false">$C$2*(1+IF(E$3&lt;=$O$2,$D90,$D90-($D90-$I$76)*MIN(E$3-$O$2,$Q$2)/$Q$2))</f>
        <v>2216.24755859375</v>
      </c>
      <c r="F90" s="15" t="n">
        <f aca="false">E90*(1+IF(F$3&lt;=$O$2,$D90,$D90-($D90-$I$76)*MIN(F$3-$O$2,$Q$2)/$Q$2))</f>
        <v>2232.61510953307</v>
      </c>
      <c r="G90" s="15" t="n">
        <f aca="false">F90*(1+IF(G$3&lt;=$O$2,$D90,$D90-($D90-$I$76)*MIN(G$3-$O$2,$Q$2)/$Q$2))</f>
        <v>2249.1035389919</v>
      </c>
      <c r="H90" s="15" t="n">
        <f aca="false">G90*(1+IF(H$3&lt;=$O$2,$D90,$D90-($D90-$I$76)*MIN(H$3-$O$2,$Q$2)/$Q$2))</f>
        <v>2265.7137396888</v>
      </c>
      <c r="I90" s="15" t="n">
        <f aca="false">H90*(1+IF(I$3&lt;=$O$2,$D90,$D90-($D90-$I$76)*MIN(I$3-$O$2,$Q$2)/$Q$2))</f>
        <v>2282.44661093529</v>
      </c>
      <c r="J90" s="15" t="n">
        <f aca="false">I90*(1+IF(J$3&lt;=$O$2,$D90,$D90-($D90-$I$76)*MIN(J$3-$O$2,$Q$2)/$Q$2))</f>
        <v>2306.56797034162</v>
      </c>
      <c r="K90" s="15" t="n">
        <f aca="false">J90*(1+IF(K$3&lt;=$O$2,$D90,$D90-($D90-$I$76)*MIN(K$3-$O$2,$Q$2)/$Q$2))</f>
        <v>2338.285937893</v>
      </c>
      <c r="L90" s="15" t="n">
        <f aca="false">K90*(1+IF(L$3&lt;=$O$2,$D90,$D90-($D90-$I$76)*MIN(L$3-$O$2,$Q$2)/$Q$2))</f>
        <v>2377.88270944744</v>
      </c>
      <c r="M90" s="15" t="n">
        <f aca="false">L90*(1+IF(M$3&lt;=$O$2,$D90,$D90-($D90-$I$76)*MIN(M$3-$O$2,$Q$2)/$Q$2))</f>
        <v>2425.71869666526</v>
      </c>
      <c r="N90" s="15" t="n">
        <f aca="false">M90*(1+IF(N$3&lt;=$O$2,$D90,$D90-($D90-$I$76)*MIN(N$3-$O$2,$Q$2)/$Q$2))</f>
        <v>2482.23794229756</v>
      </c>
      <c r="O90" s="15" t="n">
        <f aca="false">SUMPRODUCT(E90:N90,1/(1+$F$76)^$E$3:$N$3)*$E$2</f>
        <v>8467.41636412987</v>
      </c>
      <c r="P90" s="15" t="n">
        <f aca="false">N90*$E$2*(1+$I$76)/($F$76-$I$76)/(1+$F$76)^$N$3</f>
        <v>15350.1969675149</v>
      </c>
      <c r="Q90" s="15" t="n">
        <f aca="false">O90+P90</f>
        <v>23817.6133316448</v>
      </c>
      <c r="R90" s="15" t="n">
        <f aca="false">Q90-$G$2+$I$2</f>
        <v>25727.2733316448</v>
      </c>
      <c r="S90" s="42" t="n">
        <f aca="false">R90/$K$2</f>
        <v>109.931518743942</v>
      </c>
      <c r="T90" s="43" t="n">
        <f aca="false">S90-$M$2</f>
        <v>-0.0543804997444397</v>
      </c>
    </row>
    <row r="91" customFormat="false" ht="15" hidden="false" customHeight="false" outlineLevel="0" collapsed="false">
      <c r="A91" s="5" t="n">
        <v>14</v>
      </c>
      <c r="B91" s="25" t="n">
        <f aca="false">IF(T90&gt;0,B90,D90)</f>
        <v>0.00738525390625</v>
      </c>
      <c r="C91" s="25" t="n">
        <f aca="false">IF(T90&gt;0,D90,C90)</f>
        <v>0.007568359375</v>
      </c>
      <c r="D91" s="41" t="n">
        <f aca="false">(B91+C91)/2</f>
        <v>0.007476806640625</v>
      </c>
      <c r="E91" s="15" t="n">
        <f aca="false">$C$2*(1+IF(E$3&lt;=$O$2,$D91,$D91-($D91-$I$76)*MIN(E$3-$O$2,$Q$2)/$Q$2))</f>
        <v>2216.44897460938</v>
      </c>
      <c r="F91" s="15" t="n">
        <f aca="false">E91*(1+IF(F$3&lt;=$O$2,$D91,$D91-($D91-$I$76)*MIN(F$3-$O$2,$Q$2)/$Q$2))</f>
        <v>2233.02093502134</v>
      </c>
      <c r="G91" s="15" t="n">
        <f aca="false">F91*(1+IF(G$3&lt;=$O$2,$D91,$D91-($D91-$I$76)*MIN(G$3-$O$2,$Q$2)/$Q$2))</f>
        <v>2249.71680077696</v>
      </c>
      <c r="H91" s="15" t="n">
        <f aca="false">G91*(1+IF(H$3&lt;=$O$2,$D91,$D91-($D91-$I$76)*MIN(H$3-$O$2,$Q$2)/$Q$2))</f>
        <v>2266.53749829254</v>
      </c>
      <c r="I91" s="15" t="n">
        <f aca="false">H91*(1+IF(I$3&lt;=$O$2,$D91,$D91-($D91-$I$76)*MIN(I$3-$O$2,$Q$2)/$Q$2))</f>
        <v>2283.483960911</v>
      </c>
      <c r="J91" s="15" t="n">
        <f aca="false">I91*(1+IF(J$3&lt;=$O$2,$D91,$D91-($D91-$I$76)*MIN(J$3-$O$2,$Q$2)/$Q$2))</f>
        <v>2307.783530603</v>
      </c>
      <c r="K91" s="15" t="n">
        <f aca="false">J91*(1+IF(K$3&lt;=$O$2,$D91,$D91-($D91-$I$76)*MIN(K$3-$O$2,$Q$2)/$Q$2))</f>
        <v>2339.64498384427</v>
      </c>
      <c r="L91" s="15" t="n">
        <f aca="false">K91*(1+IF(L$3&lt;=$O$2,$D91,$D91-($D91-$I$76)*MIN(L$3-$O$2,$Q$2)/$Q$2))</f>
        <v>2379.35044997917</v>
      </c>
      <c r="M91" s="15" t="n">
        <f aca="false">L91*(1+IF(M$3&lt;=$O$2,$D91,$D91-($D91-$I$76)*MIN(M$3-$O$2,$Q$2)/$Q$2))</f>
        <v>2427.25953101574</v>
      </c>
      <c r="N91" s="15" t="n">
        <f aca="false">M91*(1+IF(N$3&lt;=$O$2,$D91,$D91-($D91-$I$76)*MIN(N$3-$O$2,$Q$2)/$Q$2))</f>
        <v>2483.81467808841</v>
      </c>
      <c r="O91" s="15" t="n">
        <f aca="false">SUMPRODUCT(E91:N91,1/(1+$F$76)^$E$3:$N$3)*$E$2</f>
        <v>8470.86142479837</v>
      </c>
      <c r="P91" s="15" t="n">
        <f aca="false">N91*$E$2*(1+$I$76)/($F$76-$I$76)/(1+$F$76)^$N$3</f>
        <v>15359.9475254864</v>
      </c>
      <c r="Q91" s="15" t="n">
        <f aca="false">O91+P91</f>
        <v>23830.8089502848</v>
      </c>
      <c r="R91" s="15" t="n">
        <f aca="false">Q91-$G$2+$I$2</f>
        <v>25740.4689502848</v>
      </c>
      <c r="S91" s="42" t="n">
        <f aca="false">R91/$K$2</f>
        <v>109.987903047835</v>
      </c>
      <c r="T91" s="43" t="n">
        <f aca="false">S91-$M$2</f>
        <v>0.00200380414798929</v>
      </c>
    </row>
    <row r="92" customFormat="false" ht="15" hidden="false" customHeight="false" outlineLevel="0" collapsed="false">
      <c r="A92" s="5" t="n">
        <v>15</v>
      </c>
      <c r="B92" s="25" t="n">
        <f aca="false">IF(T91&gt;0,B91,D91)</f>
        <v>0.00738525390625</v>
      </c>
      <c r="C92" s="25" t="n">
        <f aca="false">IF(T91&gt;0,D91,C91)</f>
        <v>0.007476806640625</v>
      </c>
      <c r="D92" s="41" t="n">
        <f aca="false">(B92+C92)/2</f>
        <v>0.0074310302734375</v>
      </c>
      <c r="E92" s="15" t="n">
        <f aca="false">$C$2*(1+IF(E$3&lt;=$O$2,$D92,$D92-($D92-$I$76)*MIN(E$3-$O$2,$Q$2)/$Q$2))</f>
        <v>2216.34826660156</v>
      </c>
      <c r="F92" s="15" t="n">
        <f aca="false">E92*(1+IF(F$3&lt;=$O$2,$D92,$D92-($D92-$I$76)*MIN(F$3-$O$2,$Q$2)/$Q$2))</f>
        <v>2232.81801766716</v>
      </c>
      <c r="G92" s="15" t="n">
        <f aca="false">F92*(1+IF(G$3&lt;=$O$2,$D92,$D92-($D92-$I$76)*MIN(G$3-$O$2,$Q$2)/$Q$2))</f>
        <v>2249.41015595152</v>
      </c>
      <c r="H92" s="15" t="n">
        <f aca="false">G92*(1+IF(H$3&lt;=$O$2,$D92,$D92-($D92-$I$76)*MIN(H$3-$O$2,$Q$2)/$Q$2))</f>
        <v>2266.12559091777</v>
      </c>
      <c r="I92" s="15" t="n">
        <f aca="false">H92*(1+IF(I$3&lt;=$O$2,$D92,$D92-($D92-$I$76)*MIN(I$3-$O$2,$Q$2)/$Q$2))</f>
        <v>2282.9652387873</v>
      </c>
      <c r="J92" s="15" t="n">
        <f aca="false">I92*(1+IF(J$3&lt;=$O$2,$D92,$D92-($D92-$I$76)*MIN(J$3-$O$2,$Q$2)/$Q$2))</f>
        <v>2307.17568384215</v>
      </c>
      <c r="K92" s="15" t="n">
        <f aca="false">J92*(1+IF(K$3&lt;=$O$2,$D92,$D92-($D92-$I$76)*MIN(K$3-$O$2,$Q$2)/$Q$2))</f>
        <v>2338.96537662722</v>
      </c>
      <c r="L92" s="15" t="n">
        <f aca="false">K92*(1+IF(L$3&lt;=$O$2,$D92,$D92-($D92-$I$76)*MIN(L$3-$O$2,$Q$2)/$Q$2))</f>
        <v>2378.61648160137</v>
      </c>
      <c r="M92" s="15" t="n">
        <f aca="false">L92*(1+IF(M$3&lt;=$O$2,$D92,$D92-($D92-$I$76)*MIN(M$3-$O$2,$Q$2)/$Q$2))</f>
        <v>2426.48900703515</v>
      </c>
      <c r="N92" s="15" t="n">
        <f aca="false">M92*(1+IF(N$3&lt;=$O$2,$D92,$D92-($D92-$I$76)*MIN(N$3-$O$2,$Q$2)/$Q$2))</f>
        <v>2483.02620089907</v>
      </c>
      <c r="O92" s="15" t="n">
        <f aca="false">SUMPRODUCT(E92:N92,1/(1+$F$76)^$E$3:$N$3)*$E$2</f>
        <v>8469.13871664378</v>
      </c>
      <c r="P92" s="15" t="n">
        <f aca="false">N92*$E$2*(1+$I$76)/($F$76-$I$76)/(1+$F$76)^$N$3</f>
        <v>15355.0715706255</v>
      </c>
      <c r="Q92" s="15" t="n">
        <f aca="false">O92+P92</f>
        <v>23824.2102872692</v>
      </c>
      <c r="R92" s="15" t="n">
        <f aca="false">Q92-$G$2+$I$2</f>
        <v>25733.8702872692</v>
      </c>
      <c r="S92" s="42" t="n">
        <f aca="false">R92/$K$2</f>
        <v>109.959707248085</v>
      </c>
      <c r="T92" s="43" t="n">
        <f aca="false">S92-$M$2</f>
        <v>-0.0261919956021188</v>
      </c>
    </row>
    <row r="93" customFormat="false" ht="15" hidden="false" customHeight="false" outlineLevel="0" collapsed="false">
      <c r="A93" s="5" t="n">
        <v>16</v>
      </c>
      <c r="B93" s="25" t="n">
        <f aca="false">IF(T92&gt;0,B92,D92)</f>
        <v>0.0074310302734375</v>
      </c>
      <c r="C93" s="25" t="n">
        <f aca="false">IF(T92&gt;0,D92,C92)</f>
        <v>0.007476806640625</v>
      </c>
      <c r="D93" s="41" t="n">
        <f aca="false">(B93+C93)/2</f>
        <v>0.00745391845703125</v>
      </c>
      <c r="E93" s="15" t="n">
        <f aca="false">$C$2*(1+IF(E$3&lt;=$O$2,$D93,$D93-($D93-$I$76)*MIN(E$3-$O$2,$Q$2)/$Q$2))</f>
        <v>2216.39862060547</v>
      </c>
      <c r="F93" s="15" t="n">
        <f aca="false">E93*(1+IF(F$3&lt;=$O$2,$D93,$D93-($D93-$I$76)*MIN(F$3-$O$2,$Q$2)/$Q$2))</f>
        <v>2232.91947519174</v>
      </c>
      <c r="G93" s="15" t="n">
        <f aca="false">F93*(1+IF(G$3&lt;=$O$2,$D93,$D93-($D93-$I$76)*MIN(G$3-$O$2,$Q$2)/$Q$2))</f>
        <v>2249.56347488094</v>
      </c>
      <c r="H93" s="15" t="n">
        <f aca="false">G93*(1+IF(H$3&lt;=$O$2,$D93,$D93-($D93-$I$76)*MIN(H$3-$O$2,$Q$2)/$Q$2))</f>
        <v>2266.33153758661</v>
      </c>
      <c r="I93" s="15" t="n">
        <f aca="false">H93*(1+IF(I$3&lt;=$O$2,$D93,$D93-($D93-$I$76)*MIN(I$3-$O$2,$Q$2)/$Q$2))</f>
        <v>2283.22458806438</v>
      </c>
      <c r="J93" s="15" t="n">
        <f aca="false">I93*(1+IF(J$3&lt;=$O$2,$D93,$D93-($D93-$I$76)*MIN(J$3-$O$2,$Q$2)/$Q$2))</f>
        <v>2307.47959056358</v>
      </c>
      <c r="K93" s="15" t="n">
        <f aca="false">J93*(1+IF(K$3&lt;=$O$2,$D93,$D93-($D93-$I$76)*MIN(K$3-$O$2,$Q$2)/$Q$2))</f>
        <v>2339.30515917323</v>
      </c>
      <c r="L93" s="15" t="n">
        <f aca="false">K93*(1+IF(L$3&lt;=$O$2,$D93,$D93-($D93-$I$76)*MIN(L$3-$O$2,$Q$2)/$Q$2))</f>
        <v>2378.9834412595</v>
      </c>
      <c r="M93" s="15" t="n">
        <f aca="false">L93*(1+IF(M$3&lt;=$O$2,$D93,$D93-($D93-$I$76)*MIN(M$3-$O$2,$Q$2)/$Q$2))</f>
        <v>2426.87424232094</v>
      </c>
      <c r="N93" s="15" t="n">
        <f aca="false">M93*(1+IF(N$3&lt;=$O$2,$D93,$D93-($D93-$I$76)*MIN(N$3-$O$2,$Q$2)/$Q$2))</f>
        <v>2483.42041216701</v>
      </c>
      <c r="O93" s="15" t="n">
        <f aca="false">SUMPRODUCT(E93:N93,1/(1+$F$76)^$E$3:$N$3)*$E$2</f>
        <v>8470.00002626167</v>
      </c>
      <c r="P93" s="15" t="n">
        <f aca="false">N93*$E$2*(1+$I$76)/($F$76-$I$76)/(1+$F$76)^$N$3</f>
        <v>15357.509379067</v>
      </c>
      <c r="Q93" s="15" t="n">
        <f aca="false">O93+P93</f>
        <v>23827.5094053287</v>
      </c>
      <c r="R93" s="15" t="n">
        <f aca="false">Q93-$G$2+$I$2</f>
        <v>25737.1694053287</v>
      </c>
      <c r="S93" s="42" t="n">
        <f aca="false">R93/$K$2</f>
        <v>109.973804235904</v>
      </c>
      <c r="T93" s="43" t="n">
        <f aca="false">S93-$M$2</f>
        <v>-0.0120950077822357</v>
      </c>
    </row>
    <row r="94" customFormat="false" ht="15" hidden="false" customHeight="false" outlineLevel="0" collapsed="false">
      <c r="A94" s="5" t="n">
        <v>17</v>
      </c>
      <c r="B94" s="25" t="n">
        <f aca="false">IF(T93&gt;0,B93,D93)</f>
        <v>0.00745391845703125</v>
      </c>
      <c r="C94" s="25" t="n">
        <f aca="false">IF(T93&gt;0,D93,C93)</f>
        <v>0.007476806640625</v>
      </c>
      <c r="D94" s="41" t="n">
        <f aca="false">(B94+C94)/2</f>
        <v>0.00746536254882813</v>
      </c>
      <c r="E94" s="15" t="n">
        <f aca="false">$C$2*(1+IF(E$3&lt;=$O$2,$D94,$D94-($D94-$I$76)*MIN(E$3-$O$2,$Q$2)/$Q$2))</f>
        <v>2216.42379760742</v>
      </c>
      <c r="F94" s="15" t="n">
        <f aca="false">E94*(1+IF(F$3&lt;=$O$2,$D94,$D94-($D94-$I$76)*MIN(F$3-$O$2,$Q$2)/$Q$2))</f>
        <v>2232.97020481841</v>
      </c>
      <c r="G94" s="15" t="n">
        <f aca="false">F94*(1+IF(G$3&lt;=$O$2,$D94,$D94-($D94-$I$76)*MIN(G$3-$O$2,$Q$2)/$Q$2))</f>
        <v>2249.64013695811</v>
      </c>
      <c r="H94" s="15" t="n">
        <f aca="false">G94*(1+IF(H$3&lt;=$O$2,$D94,$D94-($D94-$I$76)*MIN(H$3-$O$2,$Q$2)/$Q$2))</f>
        <v>2266.4345161849</v>
      </c>
      <c r="I94" s="15" t="n">
        <f aca="false">H94*(1+IF(I$3&lt;=$O$2,$D94,$D94-($D94-$I$76)*MIN(I$3-$O$2,$Q$2)/$Q$2))</f>
        <v>2283.3542715414</v>
      </c>
      <c r="J94" s="15" t="n">
        <f aca="false">I94*(1+IF(J$3&lt;=$O$2,$D94,$D94-($D94-$I$76)*MIN(J$3-$O$2,$Q$2)/$Q$2))</f>
        <v>2307.63155641836</v>
      </c>
      <c r="K94" s="15" t="n">
        <f aca="false">J94*(1+IF(K$3&lt;=$O$2,$D94,$D94-($D94-$I$76)*MIN(K$3-$O$2,$Q$2)/$Q$2))</f>
        <v>2339.47506624285</v>
      </c>
      <c r="L94" s="15" t="n">
        <f aca="false">K94*(1+IF(L$3&lt;=$O$2,$D94,$D94-($D94-$I$76)*MIN(L$3-$O$2,$Q$2)/$Q$2))</f>
        <v>2379.1669394863</v>
      </c>
      <c r="M94" s="15" t="n">
        <f aca="false">L94*(1+IF(M$3&lt;=$O$2,$D94,$D94-($D94-$I$76)*MIN(M$3-$O$2,$Q$2)/$Q$2))</f>
        <v>2427.06687999181</v>
      </c>
      <c r="N94" s="15" t="n">
        <f aca="false">M94*(1+IF(N$3&lt;=$O$2,$D94,$D94-($D94-$I$76)*MIN(N$3-$O$2,$Q$2)/$Q$2))</f>
        <v>2483.61753829562</v>
      </c>
      <c r="O94" s="15" t="n">
        <f aca="false">SUMPRODUCT(E94:N94,1/(1+$F$76)^$E$3:$N$3)*$E$2</f>
        <v>8470.43071441463</v>
      </c>
      <c r="P94" s="15" t="n">
        <f aca="false">N94*$E$2*(1+$I$76)/($F$76-$I$76)/(1+$F$76)^$N$3</f>
        <v>15358.728410027</v>
      </c>
      <c r="Q94" s="15" t="n">
        <f aca="false">O94+P94</f>
        <v>23829.1591244416</v>
      </c>
      <c r="R94" s="15" t="n">
        <f aca="false">Q94-$G$2+$I$2</f>
        <v>25738.8191244416</v>
      </c>
      <c r="S94" s="42" t="n">
        <f aca="false">R94/$K$2</f>
        <v>109.980853413843</v>
      </c>
      <c r="T94" s="43" t="n">
        <f aca="false">S94-$M$2</f>
        <v>-0.00504582984397928</v>
      </c>
    </row>
    <row r="95" customFormat="false" ht="15" hidden="false" customHeight="false" outlineLevel="0" collapsed="false">
      <c r="A95" s="5" t="n">
        <v>18</v>
      </c>
      <c r="B95" s="25" t="n">
        <f aca="false">IF(T94&gt;0,B94,D94)</f>
        <v>0.00746536254882813</v>
      </c>
      <c r="C95" s="25" t="n">
        <f aca="false">IF(T94&gt;0,D94,C94)</f>
        <v>0.007476806640625</v>
      </c>
      <c r="D95" s="41" t="n">
        <f aca="false">(B95+C95)/2</f>
        <v>0.00747108459472656</v>
      </c>
      <c r="E95" s="15" t="n">
        <f aca="false">$C$2*(1+IF(E$3&lt;=$O$2,$D95,$D95-($D95-$I$76)*MIN(E$3-$O$2,$Q$2)/$Q$2))</f>
        <v>2216.4363861084</v>
      </c>
      <c r="F95" s="15" t="n">
        <f aca="false">E95*(1+IF(F$3&lt;=$O$2,$D95,$D95-($D95-$I$76)*MIN(F$3-$O$2,$Q$2)/$Q$2))</f>
        <v>2232.99556984784</v>
      </c>
      <c r="G95" s="15" t="n">
        <f aca="false">F95*(1+IF(G$3&lt;=$O$2,$D95,$D95-($D95-$I$76)*MIN(G$3-$O$2,$Q$2)/$Q$2))</f>
        <v>2249.67846864983</v>
      </c>
      <c r="H95" s="15" t="n">
        <f aca="false">G95*(1+IF(H$3&lt;=$O$2,$D95,$D95-($D95-$I$76)*MIN(H$3-$O$2,$Q$2)/$Q$2))</f>
        <v>2266.48600680005</v>
      </c>
      <c r="I95" s="15" t="n">
        <f aca="false">H95*(1+IF(I$3&lt;=$O$2,$D95,$D95-($D95-$I$76)*MIN(I$3-$O$2,$Q$2)/$Q$2))</f>
        <v>2283.41911548961</v>
      </c>
      <c r="J95" s="15" t="n">
        <f aca="false">I95*(1+IF(J$3&lt;=$O$2,$D95,$D95-($D95-$I$76)*MIN(J$3-$O$2,$Q$2)/$Q$2))</f>
        <v>2307.70754246943</v>
      </c>
      <c r="K95" s="15" t="n">
        <f aca="false">J95*(1+IF(K$3&lt;=$O$2,$D95,$D95-($D95-$I$76)*MIN(K$3-$O$2,$Q$2)/$Q$2))</f>
        <v>2339.56002372705</v>
      </c>
      <c r="L95" s="15" t="n">
        <f aca="false">K95*(1+IF(L$3&lt;=$O$2,$D95,$D95-($D95-$I$76)*MIN(L$3-$O$2,$Q$2)/$Q$2))</f>
        <v>2379.25869319943</v>
      </c>
      <c r="M95" s="15" t="n">
        <f aca="false">L95*(1+IF(M$3&lt;=$O$2,$D95,$D95-($D95-$I$76)*MIN(M$3-$O$2,$Q$2)/$Q$2))</f>
        <v>2427.1632038346</v>
      </c>
      <c r="N95" s="15" t="n">
        <f aca="false">M95*(1+IF(N$3&lt;=$O$2,$D95,$D95-($D95-$I$76)*MIN(N$3-$O$2,$Q$2)/$Q$2))</f>
        <v>2483.71610648394</v>
      </c>
      <c r="O95" s="15" t="n">
        <f aca="false">SUMPRODUCT(E95:N95,1/(1+$F$76)^$E$3:$N$3)*$E$2</f>
        <v>8470.64606682759</v>
      </c>
      <c r="P95" s="15" t="n">
        <f aca="false">N95*$E$2*(1+$I$76)/($F$76-$I$76)/(1+$F$76)^$N$3</f>
        <v>15359.3379571939</v>
      </c>
      <c r="Q95" s="15" t="n">
        <f aca="false">O95+P95</f>
        <v>23829.9840240215</v>
      </c>
      <c r="R95" s="15" t="n">
        <f aca="false">Q95-$G$2+$I$2</f>
        <v>25739.6440240215</v>
      </c>
      <c r="S95" s="42" t="n">
        <f aca="false">R95/$K$2</f>
        <v>109.98437817383</v>
      </c>
      <c r="T95" s="43" t="n">
        <f aca="false">S95-$M$2</f>
        <v>-0.00152106985635214</v>
      </c>
    </row>
    <row r="96" customFormat="false" ht="15" hidden="false" customHeight="false" outlineLevel="0" collapsed="false">
      <c r="A96" s="5" t="n">
        <v>19</v>
      </c>
      <c r="B96" s="25" t="n">
        <f aca="false">IF(T95&gt;0,B95,D95)</f>
        <v>0.00747108459472656</v>
      </c>
      <c r="C96" s="25" t="n">
        <f aca="false">IF(T95&gt;0,D95,C95)</f>
        <v>0.007476806640625</v>
      </c>
      <c r="D96" s="41" t="n">
        <f aca="false">(B96+C96)/2</f>
        <v>0.00747394561767578</v>
      </c>
      <c r="E96" s="15" t="n">
        <f aca="false">$C$2*(1+IF(E$3&lt;=$O$2,$D96,$D96-($D96-$I$76)*MIN(E$3-$O$2,$Q$2)/$Q$2))</f>
        <v>2216.44268035889</v>
      </c>
      <c r="F96" s="15" t="n">
        <f aca="false">E96*(1+IF(F$3&lt;=$O$2,$D96,$D96-($D96-$I$76)*MIN(F$3-$O$2,$Q$2)/$Q$2))</f>
        <v>2233.00825241658</v>
      </c>
      <c r="G96" s="15" t="n">
        <f aca="false">F96*(1+IF(G$3&lt;=$O$2,$D96,$D96-($D96-$I$76)*MIN(G$3-$O$2,$Q$2)/$Q$2))</f>
        <v>2249.69763465897</v>
      </c>
      <c r="H96" s="15" t="n">
        <f aca="false">G96*(1+IF(H$3&lt;=$O$2,$D96,$D96-($D96-$I$76)*MIN(H$3-$O$2,$Q$2)/$Q$2))</f>
        <v>2266.51175243662</v>
      </c>
      <c r="I96" s="15" t="n">
        <f aca="false">H96*(1+IF(I$3&lt;=$O$2,$D96,$D96-($D96-$I$76)*MIN(I$3-$O$2,$Q$2)/$Q$2))</f>
        <v>2283.45153801616</v>
      </c>
      <c r="J96" s="15" t="n">
        <f aca="false">I96*(1+IF(J$3&lt;=$O$2,$D96,$D96-($D96-$I$76)*MIN(J$3-$O$2,$Q$2)/$Q$2))</f>
        <v>2307.7455362759</v>
      </c>
      <c r="K96" s="15" t="n">
        <f aca="false">J96*(1+IF(K$3&lt;=$O$2,$D96,$D96-($D96-$I$76)*MIN(K$3-$O$2,$Q$2)/$Q$2))</f>
        <v>2339.60250345652</v>
      </c>
      <c r="L96" s="15" t="n">
        <f aca="false">K96*(1+IF(L$3&lt;=$O$2,$D96,$D96-($D96-$I$76)*MIN(L$3-$O$2,$Q$2)/$Q$2))</f>
        <v>2379.30457120597</v>
      </c>
      <c r="M96" s="15" t="n">
        <f aca="false">L96*(1+IF(M$3&lt;=$O$2,$D96,$D96-($D96-$I$76)*MIN(M$3-$O$2,$Q$2)/$Q$2))</f>
        <v>2427.21136700787</v>
      </c>
      <c r="N96" s="15" t="n">
        <f aca="false">M96*(1+IF(N$3&lt;=$O$2,$D96,$D96-($D96-$I$76)*MIN(N$3-$O$2,$Q$2)/$Q$2))</f>
        <v>2483.76539185915</v>
      </c>
      <c r="O96" s="15" t="n">
        <f aca="false">SUMPRODUCT(E96:N96,1/(1+$F$76)^$E$3:$N$3)*$E$2</f>
        <v>8470.75374511824</v>
      </c>
      <c r="P96" s="15" t="n">
        <f aca="false">N96*$E$2*(1+$I$76)/($F$76-$I$76)/(1+$F$76)^$N$3</f>
        <v>15359.6427386994</v>
      </c>
      <c r="Q96" s="15" t="n">
        <f aca="false">O96+P96</f>
        <v>23830.3964838177</v>
      </c>
      <c r="R96" s="15" t="n">
        <f aca="false">Q96-$G$2+$I$2</f>
        <v>25740.0564838177</v>
      </c>
      <c r="S96" s="42" t="n">
        <f aca="false">R96/$K$2</f>
        <v>109.98614059658</v>
      </c>
      <c r="T96" s="43" t="n">
        <f aca="false">S96-$M$2</f>
        <v>0.000241352893510793</v>
      </c>
    </row>
    <row r="97" customFormat="false" ht="15" hidden="false" customHeight="false" outlineLevel="0" collapsed="false">
      <c r="A97" s="5" t="n">
        <v>20</v>
      </c>
      <c r="B97" s="25" t="n">
        <f aca="false">IF(T96&gt;0,B96,D96)</f>
        <v>0.00747108459472656</v>
      </c>
      <c r="C97" s="25" t="n">
        <f aca="false">IF(T96&gt;0,D96,C96)</f>
        <v>0.00747394561767578</v>
      </c>
      <c r="D97" s="41" t="n">
        <f aca="false">(B97+C97)/2</f>
        <v>0.00747251510620117</v>
      </c>
      <c r="E97" s="15" t="n">
        <f aca="false">$C$2*(1+IF(E$3&lt;=$O$2,$D97,$D97-($D97-$I$76)*MIN(E$3-$O$2,$Q$2)/$Q$2))</f>
        <v>2216.43953323364</v>
      </c>
      <c r="F97" s="15" t="n">
        <f aca="false">E97*(1+IF(F$3&lt;=$O$2,$D97,$D97-($D97-$I$76)*MIN(F$3-$O$2,$Q$2)/$Q$2))</f>
        <v>2233.00191112771</v>
      </c>
      <c r="G97" s="15" t="n">
        <f aca="false">F97*(1+IF(G$3&lt;=$O$2,$D97,$D97-($D97-$I$76)*MIN(G$3-$O$2,$Q$2)/$Q$2))</f>
        <v>2249.68805164079</v>
      </c>
      <c r="H97" s="15" t="n">
        <f aca="false">G97*(1+IF(H$3&lt;=$O$2,$D97,$D97-($D97-$I$76)*MIN(H$3-$O$2,$Q$2)/$Q$2))</f>
        <v>2266.49887959092</v>
      </c>
      <c r="I97" s="15" t="n">
        <f aca="false">H97*(1+IF(I$3&lt;=$O$2,$D97,$D97-($D97-$I$76)*MIN(I$3-$O$2,$Q$2)/$Q$2))</f>
        <v>2283.43532670685</v>
      </c>
      <c r="J97" s="15" t="n">
        <f aca="false">I97*(1+IF(J$3&lt;=$O$2,$D97,$D97-($D97-$I$76)*MIN(J$3-$O$2,$Q$2)/$Q$2))</f>
        <v>2307.72653930758</v>
      </c>
      <c r="K97" s="15" t="n">
        <f aca="false">J97*(1+IF(K$3&lt;=$O$2,$D97,$D97-($D97-$I$76)*MIN(K$3-$O$2,$Q$2)/$Q$2))</f>
        <v>2339.5812635095</v>
      </c>
      <c r="L97" s="15" t="n">
        <f aca="false">K97*(1+IF(L$3&lt;=$O$2,$D97,$D97-($D97-$I$76)*MIN(L$3-$O$2,$Q$2)/$Q$2))</f>
        <v>2379.28163210687</v>
      </c>
      <c r="M97" s="15" t="n">
        <f aca="false">L97*(1+IF(M$3&lt;=$O$2,$D97,$D97-($D97-$I$76)*MIN(M$3-$O$2,$Q$2)/$Q$2))</f>
        <v>2427.18728531691</v>
      </c>
      <c r="N97" s="15" t="n">
        <f aca="false">M97*(1+IF(N$3&lt;=$O$2,$D97,$D97-($D97-$I$76)*MIN(N$3-$O$2,$Q$2)/$Q$2))</f>
        <v>2483.74074906479</v>
      </c>
      <c r="O97" s="15" t="n">
        <f aca="false">SUMPRODUCT(E97:N97,1/(1+$F$76)^$E$3:$N$3)*$E$2</f>
        <v>8470.69990579923</v>
      </c>
      <c r="P97" s="15" t="n">
        <f aca="false">N97*$E$2*(1+$I$76)/($F$76-$I$76)/(1+$F$76)^$N$3</f>
        <v>15359.4903472865</v>
      </c>
      <c r="Q97" s="15" t="n">
        <f aca="false">O97+P97</f>
        <v>23830.1902530857</v>
      </c>
      <c r="R97" s="15" t="n">
        <f aca="false">Q97-$G$2+$I$2</f>
        <v>25739.8502530857</v>
      </c>
      <c r="S97" s="42" t="n">
        <f aca="false">R97/$K$2</f>
        <v>109.985259381642</v>
      </c>
      <c r="T97" s="43" t="n">
        <f aca="false">S97-$M$2</f>
        <v>-0.000639862044465644</v>
      </c>
    </row>
    <row r="98" customFormat="false" ht="15" hidden="false" customHeight="false" outlineLevel="0" collapsed="false">
      <c r="A98" s="5" t="n">
        <v>21</v>
      </c>
      <c r="B98" s="25" t="n">
        <f aca="false">IF(T97&gt;0,B97,D97)</f>
        <v>0.00747251510620117</v>
      </c>
      <c r="C98" s="25" t="n">
        <f aca="false">IF(T97&gt;0,D97,C97)</f>
        <v>0.00747394561767578</v>
      </c>
      <c r="D98" s="41" t="n">
        <f aca="false">(B98+C98)/2</f>
        <v>0.00747323036193848</v>
      </c>
      <c r="E98" s="15" t="n">
        <f aca="false">$C$2*(1+IF(E$3&lt;=$O$2,$D98,$D98-($D98-$I$76)*MIN(E$3-$O$2,$Q$2)/$Q$2))</f>
        <v>2216.44110679626</v>
      </c>
      <c r="F98" s="15" t="n">
        <f aca="false">E98*(1+IF(F$3&lt;=$O$2,$D98,$D98-($D98-$I$76)*MIN(F$3-$O$2,$Q$2)/$Q$2))</f>
        <v>2233.00508177102</v>
      </c>
      <c r="G98" s="15" t="n">
        <f aca="false">F98*(1+IF(G$3&lt;=$O$2,$D98,$D98-($D98-$I$76)*MIN(G$3-$O$2,$Q$2)/$Q$2))</f>
        <v>2249.69284314648</v>
      </c>
      <c r="H98" s="15" t="n">
        <f aca="false">G98*(1+IF(H$3&lt;=$O$2,$D98,$D98-($D98-$I$76)*MIN(H$3-$O$2,$Q$2)/$Q$2))</f>
        <v>2266.50531600692</v>
      </c>
      <c r="I98" s="15" t="n">
        <f aca="false">H98*(1+IF(I$3&lt;=$O$2,$D98,$D98-($D98-$I$76)*MIN(I$3-$O$2,$Q$2)/$Q$2))</f>
        <v>2283.44343234999</v>
      </c>
      <c r="J98" s="15" t="n">
        <f aca="false">I98*(1+IF(J$3&lt;=$O$2,$D98,$D98-($D98-$I$76)*MIN(J$3-$O$2,$Q$2)/$Q$2))</f>
        <v>2307.73603777547</v>
      </c>
      <c r="K98" s="15" t="n">
        <f aca="false">J98*(1+IF(K$3&lt;=$O$2,$D98,$D98-($D98-$I$76)*MIN(K$3-$O$2,$Q$2)/$Q$2))</f>
        <v>2339.59188346244</v>
      </c>
      <c r="L98" s="15" t="n">
        <f aca="false">K98*(1+IF(L$3&lt;=$O$2,$D98,$D98-($D98-$I$76)*MIN(L$3-$O$2,$Q$2)/$Q$2))</f>
        <v>2379.29310163246</v>
      </c>
      <c r="M98" s="15" t="n">
        <f aca="false">L98*(1+IF(M$3&lt;=$O$2,$D98,$D98-($D98-$I$76)*MIN(M$3-$O$2,$Q$2)/$Q$2))</f>
        <v>2427.19932613631</v>
      </c>
      <c r="N98" s="15" t="n">
        <f aca="false">M98*(1+IF(N$3&lt;=$O$2,$D98,$D98-($D98-$I$76)*MIN(N$3-$O$2,$Q$2)/$Q$2))</f>
        <v>2483.75307043528</v>
      </c>
      <c r="O98" s="15" t="n">
        <f aca="false">SUMPRODUCT(E98:N98,1/(1+$F$76)^$E$3:$N$3)*$E$2</f>
        <v>8470.72682541531</v>
      </c>
      <c r="P98" s="15" t="n">
        <f aca="false">N98*$E$2*(1+$I$76)/($F$76-$I$76)/(1+$F$76)^$N$3</f>
        <v>15359.5665428279</v>
      </c>
      <c r="Q98" s="15" t="n">
        <f aca="false">O98+P98</f>
        <v>23830.2933682432</v>
      </c>
      <c r="R98" s="15" t="n">
        <f aca="false">Q98-$G$2+$I$2</f>
        <v>25739.9533682432</v>
      </c>
      <c r="S98" s="42" t="n">
        <f aca="false">R98/$K$2</f>
        <v>109.98569998822</v>
      </c>
      <c r="T98" s="43" t="n">
        <f aca="false">S98-$M$2</f>
        <v>-0.000199255466213799</v>
      </c>
    </row>
    <row r="99" customFormat="false" ht="15" hidden="false" customHeight="false" outlineLevel="0" collapsed="false">
      <c r="A99" s="5" t="n">
        <v>22</v>
      </c>
      <c r="B99" s="25" t="n">
        <f aca="false">IF(T98&gt;0,B98,D98)</f>
        <v>0.00747323036193848</v>
      </c>
      <c r="C99" s="25" t="n">
        <f aca="false">IF(T98&gt;0,D98,C98)</f>
        <v>0.00747394561767578</v>
      </c>
      <c r="D99" s="41" t="n">
        <f aca="false">(B99+C99)/2</f>
        <v>0.00747358798980713</v>
      </c>
      <c r="E99" s="15" t="n">
        <f aca="false">$C$2*(1+IF(E$3&lt;=$O$2,$D99,$D99-($D99-$I$76)*MIN(E$3-$O$2,$Q$2)/$Q$2))</f>
        <v>2216.44189357758</v>
      </c>
      <c r="F99" s="15" t="n">
        <f aca="false">E99*(1+IF(F$3&lt;=$O$2,$D99,$D99-($D99-$I$76)*MIN(F$3-$O$2,$Q$2)/$Q$2))</f>
        <v>2233.00666709352</v>
      </c>
      <c r="G99" s="15" t="n">
        <f aca="false">F99*(1+IF(G$3&lt;=$O$2,$D99,$D99-($D99-$I$76)*MIN(G$3-$O$2,$Q$2)/$Q$2))</f>
        <v>2249.69523890187</v>
      </c>
      <c r="H99" s="15" t="n">
        <f aca="false">G99*(1+IF(H$3&lt;=$O$2,$D99,$D99-($D99-$I$76)*MIN(H$3-$O$2,$Q$2)/$Q$2))</f>
        <v>2266.50853422006</v>
      </c>
      <c r="I99" s="15" t="n">
        <f aca="false">H99*(1+IF(I$3&lt;=$O$2,$D99,$D99-($D99-$I$76)*MIN(I$3-$O$2,$Q$2)/$Q$2))</f>
        <v>2283.4474851802</v>
      </c>
      <c r="J99" s="15" t="n">
        <f aca="false">I99*(1+IF(J$3&lt;=$O$2,$D99,$D99-($D99-$I$76)*MIN(J$3-$O$2,$Q$2)/$Q$2))</f>
        <v>2307.74078702162</v>
      </c>
      <c r="K99" s="15" t="n">
        <f aca="false">J99*(1+IF(K$3&lt;=$O$2,$D99,$D99-($D99-$I$76)*MIN(K$3-$O$2,$Q$2)/$Q$2))</f>
        <v>2339.59719345434</v>
      </c>
      <c r="L99" s="15" t="n">
        <f aca="false">K99*(1+IF(L$3&lt;=$O$2,$D99,$D99-($D99-$I$76)*MIN(L$3-$O$2,$Q$2)/$Q$2))</f>
        <v>2379.29883641323</v>
      </c>
      <c r="M99" s="15" t="n">
        <f aca="false">L99*(1+IF(M$3&lt;=$O$2,$D99,$D99-($D99-$I$76)*MIN(M$3-$O$2,$Q$2)/$Q$2))</f>
        <v>2427.20534656557</v>
      </c>
      <c r="N99" s="15" t="n">
        <f aca="false">M99*(1+IF(N$3&lt;=$O$2,$D99,$D99-($D99-$I$76)*MIN(N$3-$O$2,$Q$2)/$Q$2))</f>
        <v>2483.75923114054</v>
      </c>
      <c r="O99" s="15" t="n">
        <f aca="false">SUMPRODUCT(E99:N99,1/(1+$F$76)^$E$3:$N$3)*$E$2</f>
        <v>8470.74028525592</v>
      </c>
      <c r="P99" s="15" t="n">
        <f aca="false">N99*$E$2*(1+$I$76)/($F$76-$I$76)/(1+$F$76)^$N$3</f>
        <v>15359.6046407224</v>
      </c>
      <c r="Q99" s="15" t="n">
        <f aca="false">O99+P99</f>
        <v>23830.3449259783</v>
      </c>
      <c r="R99" s="15" t="n">
        <f aca="false">Q99-$G$2+$I$2</f>
        <v>25740.0049259783</v>
      </c>
      <c r="S99" s="42" t="n">
        <f aca="false">R99/$K$2</f>
        <v>109.985920292178</v>
      </c>
      <c r="T99" s="43" t="n">
        <f aca="false">S99-$M$2</f>
        <v>2.10484909501929E-005</v>
      </c>
    </row>
    <row r="100" customFormat="false" ht="15" hidden="false" customHeight="false" outlineLevel="0" collapsed="false">
      <c r="A100" s="5" t="n">
        <v>23</v>
      </c>
      <c r="B100" s="25" t="n">
        <f aca="false">IF(T99&gt;0,B99,D99)</f>
        <v>0.00747323036193848</v>
      </c>
      <c r="C100" s="25" t="n">
        <f aca="false">IF(T99&gt;0,D99,C99)</f>
        <v>0.00747358798980713</v>
      </c>
      <c r="D100" s="41" t="n">
        <f aca="false">(B100+C100)/2</f>
        <v>0.0074734091758728</v>
      </c>
      <c r="E100" s="15" t="n">
        <f aca="false">$C$2*(1+IF(E$3&lt;=$O$2,$D100,$D100-($D100-$I$76)*MIN(E$3-$O$2,$Q$2)/$Q$2))</f>
        <v>2216.44150018692</v>
      </c>
      <c r="F100" s="15" t="n">
        <f aca="false">E100*(1+IF(F$3&lt;=$O$2,$D100,$D100-($D100-$I$76)*MIN(F$3-$O$2,$Q$2)/$Q$2))</f>
        <v>2233.0058744322</v>
      </c>
      <c r="G100" s="15" t="n">
        <f aca="false">F100*(1+IF(G$3&lt;=$O$2,$D100,$D100-($D100-$I$76)*MIN(G$3-$O$2,$Q$2)/$Q$2))</f>
        <v>2249.69404102396</v>
      </c>
      <c r="H100" s="15" t="n">
        <f aca="false">G100*(1+IF(H$3&lt;=$O$2,$D100,$D100-($D100-$I$76)*MIN(H$3-$O$2,$Q$2)/$Q$2))</f>
        <v>2266.50692511306</v>
      </c>
      <c r="I100" s="15" t="n">
        <f aca="false">H100*(1+IF(I$3&lt;=$O$2,$D100,$D100-($D100-$I$76)*MIN(I$3-$O$2,$Q$2)/$Q$2))</f>
        <v>2283.44545876438</v>
      </c>
      <c r="J100" s="15" t="n">
        <f aca="false">I100*(1+IF(J$3&lt;=$O$2,$D100,$D100-($D100-$I$76)*MIN(J$3-$O$2,$Q$2)/$Q$2))</f>
        <v>2307.73841239753</v>
      </c>
      <c r="K100" s="15" t="n">
        <f aca="false">J100*(1+IF(K$3&lt;=$O$2,$D100,$D100-($D100-$I$76)*MIN(K$3-$O$2,$Q$2)/$Q$2))</f>
        <v>2339.59453845711</v>
      </c>
      <c r="L100" s="15" t="n">
        <f aca="false">K100*(1+IF(L$3&lt;=$O$2,$D100,$D100-($D100-$I$76)*MIN(L$3-$O$2,$Q$2)/$Q$2))</f>
        <v>2379.29596902135</v>
      </c>
      <c r="M100" s="15" t="n">
        <f aca="false">L100*(1+IF(M$3&lt;=$O$2,$D100,$D100-($D100-$I$76)*MIN(M$3-$O$2,$Q$2)/$Q$2))</f>
        <v>2427.20233634931</v>
      </c>
      <c r="N100" s="15" t="n">
        <f aca="false">M100*(1+IF(N$3&lt;=$O$2,$D100,$D100-($D100-$I$76)*MIN(N$3-$O$2,$Q$2)/$Q$2))</f>
        <v>2483.75615078625</v>
      </c>
      <c r="O100" s="15" t="n">
        <f aca="false">SUMPRODUCT(E100:N100,1/(1+$F$76)^$E$3:$N$3)*$E$2</f>
        <v>8470.7335553329</v>
      </c>
      <c r="P100" s="15" t="n">
        <f aca="false">N100*$E$2*(1+$I$76)/($F$76-$I$76)/(1+$F$76)^$N$3</f>
        <v>15359.5855917649</v>
      </c>
      <c r="Q100" s="15" t="n">
        <f aca="false">O100+P100</f>
        <v>23830.3191470978</v>
      </c>
      <c r="R100" s="15" t="n">
        <f aca="false">Q100-$G$2+$I$2</f>
        <v>25739.9791470978</v>
      </c>
      <c r="S100" s="42" t="n">
        <f aca="false">R100/$K$2</f>
        <v>109.985810140143</v>
      </c>
      <c r="T100" s="43" t="n">
        <f aca="false">S100-$M$2</f>
        <v>-8.91035433028264E-005</v>
      </c>
    </row>
    <row r="101" customFormat="false" ht="15" hidden="false" customHeight="false" outlineLevel="0" collapsed="false">
      <c r="A101" s="5" t="n">
        <v>24</v>
      </c>
      <c r="B101" s="25" t="n">
        <f aca="false">IF(T100&gt;0,B100,D100)</f>
        <v>0.0074734091758728</v>
      </c>
      <c r="C101" s="25" t="n">
        <f aca="false">IF(T100&gt;0,D100,C100)</f>
        <v>0.00747358798980713</v>
      </c>
      <c r="D101" s="41" t="n">
        <f aca="false">(B101+C101)/2</f>
        <v>0.00747349858283997</v>
      </c>
      <c r="E101" s="15" t="n">
        <f aca="false">$C$2*(1+IF(E$3&lt;=$O$2,$D101,$D101-($D101-$I$76)*MIN(E$3-$O$2,$Q$2)/$Q$2))</f>
        <v>2216.44169688225</v>
      </c>
      <c r="F101" s="15" t="n">
        <f aca="false">E101*(1+IF(F$3&lt;=$O$2,$D101,$D101-($D101-$I$76)*MIN(F$3-$O$2,$Q$2)/$Q$2))</f>
        <v>2233.00627076285</v>
      </c>
      <c r="G101" s="15" t="n">
        <f aca="false">F101*(1+IF(G$3&lt;=$O$2,$D101,$D101-($D101-$I$76)*MIN(G$3-$O$2,$Q$2)/$Q$2))</f>
        <v>2249.69463996286</v>
      </c>
      <c r="H101" s="15" t="n">
        <f aca="false">G101*(1+IF(H$3&lt;=$O$2,$D101,$D101-($D101-$I$76)*MIN(H$3-$O$2,$Q$2)/$Q$2))</f>
        <v>2266.50772966645</v>
      </c>
      <c r="I101" s="15" t="n">
        <f aca="false">H101*(1+IF(I$3&lt;=$O$2,$D101,$D101-($D101-$I$76)*MIN(I$3-$O$2,$Q$2)/$Q$2))</f>
        <v>2283.44647197211</v>
      </c>
      <c r="J101" s="15" t="n">
        <f aca="false">I101*(1+IF(J$3&lt;=$O$2,$D101,$D101-($D101-$I$76)*MIN(J$3-$O$2,$Q$2)/$Q$2))</f>
        <v>2307.73959970932</v>
      </c>
      <c r="K101" s="15" t="n">
        <f aca="false">J101*(1+IF(K$3&lt;=$O$2,$D101,$D101-($D101-$I$76)*MIN(K$3-$O$2,$Q$2)/$Q$2))</f>
        <v>2339.5958659554</v>
      </c>
      <c r="L101" s="15" t="n">
        <f aca="false">K101*(1+IF(L$3&lt;=$O$2,$D101,$D101-($D101-$I$76)*MIN(L$3-$O$2,$Q$2)/$Q$2))</f>
        <v>2379.29740271691</v>
      </c>
      <c r="M101" s="15" t="n">
        <f aca="false">L101*(1+IF(M$3&lt;=$O$2,$D101,$D101-($D101-$I$76)*MIN(M$3-$O$2,$Q$2)/$Q$2))</f>
        <v>2427.20384145703</v>
      </c>
      <c r="N101" s="15" t="n">
        <f aca="false">M101*(1+IF(N$3&lt;=$O$2,$D101,$D101-($D101-$I$76)*MIN(N$3-$O$2,$Q$2)/$Q$2))</f>
        <v>2483.75769096298</v>
      </c>
      <c r="O101" s="15" t="n">
        <f aca="false">SUMPRODUCT(E101:N101,1/(1+$F$76)^$E$3:$N$3)*$E$2</f>
        <v>8470.73692029373</v>
      </c>
      <c r="P101" s="15" t="n">
        <f aca="false">N101*$E$2*(1+$I$76)/($F$76-$I$76)/(1+$F$76)^$N$3</f>
        <v>15359.5951162411</v>
      </c>
      <c r="Q101" s="15" t="n">
        <f aca="false">O101+P101</f>
        <v>23830.3320365348</v>
      </c>
      <c r="R101" s="15" t="n">
        <f aca="false">Q101-$G$2+$I$2</f>
        <v>25739.9920365348</v>
      </c>
      <c r="S101" s="42" t="n">
        <f aca="false">R101/$K$2</f>
        <v>109.985865216147</v>
      </c>
      <c r="T101" s="43" t="n">
        <f aca="false">S101-$M$2</f>
        <v>-3.4027540095849E-005</v>
      </c>
    </row>
    <row r="103" customFormat="false" ht="15" hidden="false" customHeight="false" outlineLevel="0" collapsed="false">
      <c r="A103" s="38" t="s">
        <v>190</v>
      </c>
      <c r="E103" s="5" t="s">
        <v>11</v>
      </c>
      <c r="F103" s="12" t="n">
        <f aca="false">Sensitivity!$B$10</f>
        <v>0.0677967762761046</v>
      </c>
      <c r="G103" s="5" t="s">
        <v>12</v>
      </c>
      <c r="I103" s="12" t="n">
        <f aca="false">Sensitivity!$E$9</f>
        <v>0.0283</v>
      </c>
    </row>
    <row r="104" customFormat="false" ht="23.85" hidden="false" customHeight="false" outlineLevel="0" collapsed="false">
      <c r="A104" s="38" t="s">
        <v>168</v>
      </c>
      <c r="B104" s="28" t="s">
        <v>169</v>
      </c>
      <c r="C104" s="28" t="s">
        <v>170</v>
      </c>
      <c r="D104" s="28" t="s">
        <v>171</v>
      </c>
      <c r="E104" s="28" t="s">
        <v>172</v>
      </c>
      <c r="F104" s="28" t="s">
        <v>173</v>
      </c>
      <c r="G104" s="28" t="s">
        <v>174</v>
      </c>
      <c r="H104" s="28" t="s">
        <v>175</v>
      </c>
      <c r="I104" s="28" t="s">
        <v>176</v>
      </c>
      <c r="J104" s="28" t="s">
        <v>177</v>
      </c>
      <c r="K104" s="28" t="s">
        <v>178</v>
      </c>
      <c r="L104" s="28" t="s">
        <v>179</v>
      </c>
      <c r="M104" s="28" t="s">
        <v>180</v>
      </c>
      <c r="N104" s="28" t="s">
        <v>181</v>
      </c>
      <c r="O104" s="28" t="s">
        <v>182</v>
      </c>
      <c r="P104" s="28" t="s">
        <v>183</v>
      </c>
      <c r="Q104" s="28" t="s">
        <v>184</v>
      </c>
      <c r="R104" s="28" t="s">
        <v>185</v>
      </c>
      <c r="S104" s="28" t="s">
        <v>186</v>
      </c>
      <c r="T104" s="28" t="s">
        <v>187</v>
      </c>
    </row>
    <row r="105" customFormat="false" ht="15" hidden="false" customHeight="false" outlineLevel="0" collapsed="false">
      <c r="A105" s="5" t="n">
        <v>1</v>
      </c>
      <c r="B105" s="24" t="n">
        <v>-0.5</v>
      </c>
      <c r="C105" s="24" t="n">
        <v>1</v>
      </c>
      <c r="D105" s="41" t="n">
        <f aca="false">(B105+C105)/2</f>
        <v>0.25</v>
      </c>
      <c r="E105" s="15" t="n">
        <f aca="false">$C$2*(1+IF(E$3&lt;=$O$2,$D105,$D105-($D105-$I$103)*MIN(E$3-$O$2,$Q$2)/$Q$2))</f>
        <v>2750</v>
      </c>
      <c r="F105" s="15" t="n">
        <f aca="false">E105*(1+IF(F$3&lt;=$O$2,$D105,$D105-($D105-$I$103)*MIN(F$3-$O$2,$Q$2)/$Q$2))</f>
        <v>3437.5</v>
      </c>
      <c r="G105" s="15" t="n">
        <f aca="false">F105*(1+IF(G$3&lt;=$O$2,$D105,$D105-($D105-$I$103)*MIN(G$3-$O$2,$Q$2)/$Q$2))</f>
        <v>4296.875</v>
      </c>
      <c r="H105" s="15" t="n">
        <f aca="false">G105*(1+IF(H$3&lt;=$O$2,$D105,$D105-($D105-$I$103)*MIN(H$3-$O$2,$Q$2)/$Q$2))</f>
        <v>5371.09375</v>
      </c>
      <c r="I105" s="15" t="n">
        <f aca="false">H105*(1+IF(I$3&lt;=$O$2,$D105,$D105-($D105-$I$103)*MIN(I$3-$O$2,$Q$2)/$Q$2))</f>
        <v>6713.8671875</v>
      </c>
      <c r="J105" s="15" t="n">
        <f aca="false">I105*(1+IF(J$3&lt;=$O$2,$D105,$D105-($D105-$I$103)*MIN(J$3-$O$2,$Q$2)/$Q$2))</f>
        <v>8094.64111328125</v>
      </c>
      <c r="K105" s="15" t="n">
        <f aca="false">J105*(1+IF(K$3&lt;=$O$2,$D105,$D105-($D105-$I$103)*MIN(K$3-$O$2,$Q$2)/$Q$2))</f>
        <v>9400.46861767578</v>
      </c>
      <c r="L105" s="15" t="n">
        <f aca="false">K105*(1+IF(L$3&lt;=$O$2,$D105,$D105-($D105-$I$103)*MIN(L$3-$O$2,$Q$2)/$Q$2))</f>
        <v>10500.1354365715</v>
      </c>
      <c r="M105" s="15" t="n">
        <f aca="false">L105*(1+IF(M$3&lt;=$O$2,$D105,$D105-($D105-$I$103)*MIN(M$3-$O$2,$Q$2)/$Q$2))</f>
        <v>11262.865274684</v>
      </c>
      <c r="N105" s="15" t="n">
        <f aca="false">M105*(1+IF(N$3&lt;=$O$2,$D105,$D105-($D105-$I$103)*MIN(N$3-$O$2,$Q$2)/$Q$2))</f>
        <v>11581.6043619576</v>
      </c>
      <c r="O105" s="15" t="n">
        <f aca="false">SUMPRODUCT(E105:N105,1/(1+$F$103)^$E$3:$N$3)*$E$2</f>
        <v>24847.6034251205</v>
      </c>
      <c r="P105" s="15" t="n">
        <f aca="false">N105*$E$2*(1+$I$103)/($F$103-$I$103)/(1+$F$103)^$N$3</f>
        <v>81081.7339472881</v>
      </c>
      <c r="Q105" s="15" t="n">
        <f aca="false">O105+P105</f>
        <v>105929.337372409</v>
      </c>
      <c r="R105" s="15" t="n">
        <f aca="false">Q105-$G$2+$I$2</f>
        <v>107838.997372409</v>
      </c>
      <c r="S105" s="42" t="n">
        <f aca="false">R105/$K$2</f>
        <v>460.791340308545</v>
      </c>
      <c r="T105" s="43" t="n">
        <f aca="false">S105-$M$2</f>
        <v>350.805441064858</v>
      </c>
    </row>
    <row r="106" customFormat="false" ht="15" hidden="false" customHeight="false" outlineLevel="0" collapsed="false">
      <c r="A106" s="5" t="n">
        <v>2</v>
      </c>
      <c r="B106" s="25" t="n">
        <f aca="false">IF(T105&gt;0,B105,D105)</f>
        <v>-0.5</v>
      </c>
      <c r="C106" s="25" t="n">
        <f aca="false">IF(T105&gt;0,D105,C105)</f>
        <v>0.25</v>
      </c>
      <c r="D106" s="41" t="n">
        <f aca="false">(B106+C106)/2</f>
        <v>-0.125</v>
      </c>
      <c r="E106" s="15" t="n">
        <f aca="false">$C$2*(1+IF(E$3&lt;=$O$2,$D106,$D106-($D106-$I$103)*MIN(E$3-$O$2,$Q$2)/$Q$2))</f>
        <v>1925</v>
      </c>
      <c r="F106" s="15" t="n">
        <f aca="false">E106*(1+IF(F$3&lt;=$O$2,$D106,$D106-($D106-$I$103)*MIN(F$3-$O$2,$Q$2)/$Q$2))</f>
        <v>1684.375</v>
      </c>
      <c r="G106" s="15" t="n">
        <f aca="false">F106*(1+IF(G$3&lt;=$O$2,$D106,$D106-($D106-$I$103)*MIN(G$3-$O$2,$Q$2)/$Q$2))</f>
        <v>1473.828125</v>
      </c>
      <c r="H106" s="15" t="n">
        <f aca="false">G106*(1+IF(H$3&lt;=$O$2,$D106,$D106-($D106-$I$103)*MIN(H$3-$O$2,$Q$2)/$Q$2))</f>
        <v>1289.599609375</v>
      </c>
      <c r="I106" s="15" t="n">
        <f aca="false">H106*(1+IF(I$3&lt;=$O$2,$D106,$D106-($D106-$I$103)*MIN(I$3-$O$2,$Q$2)/$Q$2))</f>
        <v>1128.39965820313</v>
      </c>
      <c r="J106" s="15" t="n">
        <f aca="false">I106*(1+IF(J$3&lt;=$O$2,$D106,$D106-($D106-$I$103)*MIN(J$3-$O$2,$Q$2)/$Q$2))</f>
        <v>1021.94643444824</v>
      </c>
      <c r="K106" s="15" t="n">
        <f aca="false">J106*(1+IF(K$3&lt;=$O$2,$D106,$D106-($D106-$I$103)*MIN(K$3-$O$2,$Q$2)/$Q$2))</f>
        <v>956.868885502578</v>
      </c>
      <c r="L106" s="15" t="n">
        <f aca="false">K106*(1+IF(L$3&lt;=$O$2,$D106,$D106-($D106-$I$103)*MIN(L$3-$O$2,$Q$2)/$Q$2))</f>
        <v>925.273074903283</v>
      </c>
      <c r="M106" s="15" t="n">
        <f aca="false">L106*(1+IF(M$3&lt;=$O$2,$D106,$D106-($D106-$I$103)*MIN(M$3-$O$2,$Q$2)/$Q$2))</f>
        <v>923.089430446511</v>
      </c>
      <c r="N106" s="15" t="n">
        <f aca="false">M106*(1+IF(N$3&lt;=$O$2,$D106,$D106-($D106-$I$103)*MIN(N$3-$O$2,$Q$2)/$Q$2))</f>
        <v>949.212861328148</v>
      </c>
      <c r="O106" s="15" t="n">
        <f aca="false">SUMPRODUCT(E106:N106,1/(1+$F$103)^$E$3:$N$3)*$E$2</f>
        <v>4736.69138733634</v>
      </c>
      <c r="P106" s="15" t="n">
        <f aca="false">N106*$E$2*(1+$I$103)/($F$103-$I$103)/(1+$F$103)^$N$3</f>
        <v>6645.35087507893</v>
      </c>
      <c r="Q106" s="15" t="n">
        <f aca="false">O106+P106</f>
        <v>11382.0422624153</v>
      </c>
      <c r="R106" s="15" t="n">
        <f aca="false">Q106-$G$2+$I$2</f>
        <v>13291.7022624153</v>
      </c>
      <c r="S106" s="42" t="n">
        <f aca="false">R106/$K$2</f>
        <v>56.7948650276258</v>
      </c>
      <c r="T106" s="43" t="n">
        <f aca="false">S106-$M$2</f>
        <v>-53.1910342160609</v>
      </c>
    </row>
    <row r="107" customFormat="false" ht="15" hidden="false" customHeight="false" outlineLevel="0" collapsed="false">
      <c r="A107" s="5" t="n">
        <v>3</v>
      </c>
      <c r="B107" s="25" t="n">
        <f aca="false">IF(T106&gt;0,B106,D106)</f>
        <v>-0.125</v>
      </c>
      <c r="C107" s="25" t="n">
        <f aca="false">IF(T106&gt;0,D106,C106)</f>
        <v>0.25</v>
      </c>
      <c r="D107" s="41" t="n">
        <f aca="false">(B107+C107)/2</f>
        <v>0.0625</v>
      </c>
      <c r="E107" s="15" t="n">
        <f aca="false">$C$2*(1+IF(E$3&lt;=$O$2,$D107,$D107-($D107-$I$103)*MIN(E$3-$O$2,$Q$2)/$Q$2))</f>
        <v>2337.5</v>
      </c>
      <c r="F107" s="15" t="n">
        <f aca="false">E107*(1+IF(F$3&lt;=$O$2,$D107,$D107-($D107-$I$103)*MIN(F$3-$O$2,$Q$2)/$Q$2))</f>
        <v>2483.59375</v>
      </c>
      <c r="G107" s="15" t="n">
        <f aca="false">F107*(1+IF(G$3&lt;=$O$2,$D107,$D107-($D107-$I$103)*MIN(G$3-$O$2,$Q$2)/$Q$2))</f>
        <v>2638.818359375</v>
      </c>
      <c r="H107" s="15" t="n">
        <f aca="false">G107*(1+IF(H$3&lt;=$O$2,$D107,$D107-($D107-$I$103)*MIN(H$3-$O$2,$Q$2)/$Q$2))</f>
        <v>2803.74450683594</v>
      </c>
      <c r="I107" s="15" t="n">
        <f aca="false">H107*(1+IF(I$3&lt;=$O$2,$D107,$D107-($D107-$I$103)*MIN(I$3-$O$2,$Q$2)/$Q$2))</f>
        <v>2978.97853851318</v>
      </c>
      <c r="J107" s="15" t="n">
        <f aca="false">I107*(1+IF(J$3&lt;=$O$2,$D107,$D107-($D107-$I$103)*MIN(J$3-$O$2,$Q$2)/$Q$2))</f>
        <v>3144.78848396683</v>
      </c>
      <c r="K107" s="15" t="n">
        <f aca="false">J107*(1+IF(K$3&lt;=$O$2,$D107,$D107-($D107-$I$103)*MIN(K$3-$O$2,$Q$2)/$Q$2))</f>
        <v>3298.31705775409</v>
      </c>
      <c r="L107" s="15" t="n">
        <f aca="false">K107*(1+IF(L$3&lt;=$O$2,$D107,$D107-($D107-$I$103)*MIN(L$3-$O$2,$Q$2)/$Q$2))</f>
        <v>3436.78040783861</v>
      </c>
      <c r="M107" s="15" t="n">
        <f aca="false">L107*(1+IF(M$3&lt;=$O$2,$D107,$D107-($D107-$I$103)*MIN(M$3-$O$2,$Q$2)/$Q$2))</f>
        <v>3557.54887137005</v>
      </c>
      <c r="N107" s="15" t="n">
        <f aca="false">M107*(1+IF(N$3&lt;=$O$2,$D107,$D107-($D107-$I$103)*MIN(N$3-$O$2,$Q$2)/$Q$2))</f>
        <v>3658.22750442983</v>
      </c>
      <c r="O107" s="15" t="n">
        <f aca="false">SUMPRODUCT(E107:N107,1/(1+$F$103)^$E$3:$N$3)*$E$2</f>
        <v>10853.85004235</v>
      </c>
      <c r="P107" s="15" t="n">
        <f aca="false">N107*$E$2*(1+$I$103)/($F$103-$I$103)/(1+$F$103)^$N$3</f>
        <v>25610.9101954071</v>
      </c>
      <c r="Q107" s="15" t="n">
        <f aca="false">O107+P107</f>
        <v>36464.7602377571</v>
      </c>
      <c r="R107" s="15" t="n">
        <f aca="false">Q107-$G$2+$I$2</f>
        <v>38374.4202377571</v>
      </c>
      <c r="S107" s="42" t="n">
        <f aca="false">R107/$K$2</f>
        <v>163.972226798945</v>
      </c>
      <c r="T107" s="43" t="n">
        <f aca="false">S107-$M$2</f>
        <v>53.9863275552581</v>
      </c>
    </row>
    <row r="108" customFormat="false" ht="15" hidden="false" customHeight="false" outlineLevel="0" collapsed="false">
      <c r="A108" s="5" t="n">
        <v>4</v>
      </c>
      <c r="B108" s="25" t="n">
        <f aca="false">IF(T107&gt;0,B107,D107)</f>
        <v>-0.125</v>
      </c>
      <c r="C108" s="25" t="n">
        <f aca="false">IF(T107&gt;0,D107,C107)</f>
        <v>0.0625</v>
      </c>
      <c r="D108" s="41" t="n">
        <f aca="false">(B108+C108)/2</f>
        <v>-0.03125</v>
      </c>
      <c r="E108" s="15" t="n">
        <f aca="false">$C$2*(1+IF(E$3&lt;=$O$2,$D108,$D108-($D108-$I$103)*MIN(E$3-$O$2,$Q$2)/$Q$2))</f>
        <v>2131.25</v>
      </c>
      <c r="F108" s="15" t="n">
        <f aca="false">E108*(1+IF(F$3&lt;=$O$2,$D108,$D108-($D108-$I$103)*MIN(F$3-$O$2,$Q$2)/$Q$2))</f>
        <v>2064.6484375</v>
      </c>
      <c r="G108" s="15" t="n">
        <f aca="false">F108*(1+IF(G$3&lt;=$O$2,$D108,$D108-($D108-$I$103)*MIN(G$3-$O$2,$Q$2)/$Q$2))</f>
        <v>2000.12817382813</v>
      </c>
      <c r="H108" s="15" t="n">
        <f aca="false">G108*(1+IF(H$3&lt;=$O$2,$D108,$D108-($D108-$I$103)*MIN(H$3-$O$2,$Q$2)/$Q$2))</f>
        <v>1937.624168396</v>
      </c>
      <c r="I108" s="15" t="n">
        <f aca="false">H108*(1+IF(I$3&lt;=$O$2,$D108,$D108-($D108-$I$103)*MIN(I$3-$O$2,$Q$2)/$Q$2))</f>
        <v>1877.07341313362</v>
      </c>
      <c r="J108" s="15" t="n">
        <f aca="false">I108*(1+IF(J$3&lt;=$O$2,$D108,$D108-($D108-$I$103)*MIN(J$3-$O$2,$Q$2)/$Q$2))</f>
        <v>1840.77081332362</v>
      </c>
      <c r="K108" s="15" t="n">
        <f aca="false">J108*(1+IF(K$3&lt;=$O$2,$D108,$D108-($D108-$I$103)*MIN(K$3-$O$2,$Q$2)/$Q$2))</f>
        <v>1827.09388618062</v>
      </c>
      <c r="L108" s="15" t="n">
        <f aca="false">K108*(1+IF(L$3&lt;=$O$2,$D108,$D108-($D108-$I$103)*MIN(L$3-$O$2,$Q$2)/$Q$2))</f>
        <v>1835.27926679071</v>
      </c>
      <c r="M108" s="15" t="n">
        <f aca="false">L108*(1+IF(M$3&lt;=$O$2,$D108,$D108-($D108-$I$103)*MIN(M$3-$O$2,$Q$2)/$Q$2))</f>
        <v>1865.35949397341</v>
      </c>
      <c r="N108" s="15" t="n">
        <f aca="false">M108*(1+IF(N$3&lt;=$O$2,$D108,$D108-($D108-$I$103)*MIN(N$3-$O$2,$Q$2)/$Q$2))</f>
        <v>1918.14916765286</v>
      </c>
      <c r="O108" s="15" t="n">
        <f aca="false">SUMPRODUCT(E108:N108,1/(1+$F$103)^$E$3:$N$3)*$E$2</f>
        <v>7152.63359050403</v>
      </c>
      <c r="P108" s="15" t="n">
        <f aca="false">N108*$E$2*(1+$I$103)/($F$103-$I$103)/(1+$F$103)^$N$3</f>
        <v>13428.7837524224</v>
      </c>
      <c r="Q108" s="15" t="n">
        <f aca="false">O108+P108</f>
        <v>20581.4173429265</v>
      </c>
      <c r="R108" s="15" t="n">
        <f aca="false">Q108-$G$2+$I$2</f>
        <v>22491.0773429265</v>
      </c>
      <c r="S108" s="42" t="n">
        <f aca="false">R108/$K$2</f>
        <v>96.103394192738</v>
      </c>
      <c r="T108" s="43" t="n">
        <f aca="false">S108-$M$2</f>
        <v>-13.8825050509487</v>
      </c>
    </row>
    <row r="109" customFormat="false" ht="15" hidden="false" customHeight="false" outlineLevel="0" collapsed="false">
      <c r="A109" s="5" t="n">
        <v>5</v>
      </c>
      <c r="B109" s="25" t="n">
        <f aca="false">IF(T108&gt;0,B108,D108)</f>
        <v>-0.03125</v>
      </c>
      <c r="C109" s="25" t="n">
        <f aca="false">IF(T108&gt;0,D108,C108)</f>
        <v>0.0625</v>
      </c>
      <c r="D109" s="41" t="n">
        <f aca="false">(B109+C109)/2</f>
        <v>0.015625</v>
      </c>
      <c r="E109" s="15" t="n">
        <f aca="false">$C$2*(1+IF(E$3&lt;=$O$2,$D109,$D109-($D109-$I$103)*MIN(E$3-$O$2,$Q$2)/$Q$2))</f>
        <v>2234.375</v>
      </c>
      <c r="F109" s="15" t="n">
        <f aca="false">E109*(1+IF(F$3&lt;=$O$2,$D109,$D109-($D109-$I$103)*MIN(F$3-$O$2,$Q$2)/$Q$2))</f>
        <v>2269.287109375</v>
      </c>
      <c r="G109" s="15" t="n">
        <f aca="false">F109*(1+IF(G$3&lt;=$O$2,$D109,$D109-($D109-$I$103)*MIN(G$3-$O$2,$Q$2)/$Q$2))</f>
        <v>2304.74472045898</v>
      </c>
      <c r="H109" s="15" t="n">
        <f aca="false">G109*(1+IF(H$3&lt;=$O$2,$D109,$D109-($D109-$I$103)*MIN(H$3-$O$2,$Q$2)/$Q$2))</f>
        <v>2340.75635671616</v>
      </c>
      <c r="I109" s="15" t="n">
        <f aca="false">H109*(1+IF(I$3&lt;=$O$2,$D109,$D109-($D109-$I$103)*MIN(I$3-$O$2,$Q$2)/$Q$2))</f>
        <v>2377.33067478985</v>
      </c>
      <c r="J109" s="15" t="n">
        <f aca="false">I109*(1+IF(J$3&lt;=$O$2,$D109,$D109-($D109-$I$103)*MIN(J$3-$O$2,$Q$2)/$Q$2))</f>
        <v>2420.50299984403</v>
      </c>
      <c r="K109" s="15" t="n">
        <f aca="false">J109*(1+IF(K$3&lt;=$O$2,$D109,$D109-($D109-$I$103)*MIN(K$3-$O$2,$Q$2)/$Q$2))</f>
        <v>2470.5953094258</v>
      </c>
      <c r="L109" s="15" t="n">
        <f aca="false">K109*(1+IF(L$3&lt;=$O$2,$D109,$D109-($D109-$I$103)*MIN(L$3-$O$2,$Q$2)/$Q$2))</f>
        <v>2527.98723846376</v>
      </c>
      <c r="M109" s="15" t="n">
        <f aca="false">L109*(1+IF(M$3&lt;=$O$2,$D109,$D109-($D109-$I$103)*MIN(M$3-$O$2,$Q$2)/$Q$2))</f>
        <v>2593.12082966278</v>
      </c>
      <c r="N109" s="15" t="n">
        <f aca="false">M109*(1+IF(N$3&lt;=$O$2,$D109,$D109-($D109-$I$103)*MIN(N$3-$O$2,$Q$2)/$Q$2))</f>
        <v>2666.50614914224</v>
      </c>
      <c r="O109" s="15" t="n">
        <f aca="false">SUMPRODUCT(E109:N109,1/(1+$F$103)^$E$3:$N$3)*$E$2</f>
        <v>8808.6768353626</v>
      </c>
      <c r="P109" s="15" t="n">
        <f aca="false">N109*$E$2*(1+$I$103)/($F$103-$I$103)/(1+$F$103)^$N$3</f>
        <v>18667.9613114512</v>
      </c>
      <c r="Q109" s="15" t="n">
        <f aca="false">O109+P109</f>
        <v>27476.6381468138</v>
      </c>
      <c r="R109" s="15" t="n">
        <f aca="false">Q109-$G$2+$I$2</f>
        <v>29386.2981468138</v>
      </c>
      <c r="S109" s="42" t="n">
        <f aca="false">R109/$K$2</f>
        <v>125.56637246</v>
      </c>
      <c r="T109" s="43" t="n">
        <f aca="false">S109-$M$2</f>
        <v>15.5804732163132</v>
      </c>
    </row>
    <row r="110" customFormat="false" ht="15" hidden="false" customHeight="false" outlineLevel="0" collapsed="false">
      <c r="A110" s="5" t="n">
        <v>6</v>
      </c>
      <c r="B110" s="25" t="n">
        <f aca="false">IF(T109&gt;0,B109,D109)</f>
        <v>-0.03125</v>
      </c>
      <c r="C110" s="25" t="n">
        <f aca="false">IF(T109&gt;0,D109,C109)</f>
        <v>0.015625</v>
      </c>
      <c r="D110" s="41" t="n">
        <f aca="false">(B110+C110)/2</f>
        <v>-0.0078125</v>
      </c>
      <c r="E110" s="15" t="n">
        <f aca="false">$C$2*(1+IF(E$3&lt;=$O$2,$D110,$D110-($D110-$I$103)*MIN(E$3-$O$2,$Q$2)/$Q$2))</f>
        <v>2182.8125</v>
      </c>
      <c r="F110" s="15" t="n">
        <f aca="false">E110*(1+IF(F$3&lt;=$O$2,$D110,$D110-($D110-$I$103)*MIN(F$3-$O$2,$Q$2)/$Q$2))</f>
        <v>2165.75927734375</v>
      </c>
      <c r="G110" s="15" t="n">
        <f aca="false">F110*(1+IF(G$3&lt;=$O$2,$D110,$D110-($D110-$I$103)*MIN(G$3-$O$2,$Q$2)/$Q$2))</f>
        <v>2148.8392829895</v>
      </c>
      <c r="H110" s="15" t="n">
        <f aca="false">G110*(1+IF(H$3&lt;=$O$2,$D110,$D110-($D110-$I$103)*MIN(H$3-$O$2,$Q$2)/$Q$2))</f>
        <v>2132.05147609115</v>
      </c>
      <c r="I110" s="15" t="n">
        <f aca="false">H110*(1+IF(I$3&lt;=$O$2,$D110,$D110-($D110-$I$103)*MIN(I$3-$O$2,$Q$2)/$Q$2))</f>
        <v>2115.39482393418</v>
      </c>
      <c r="J110" s="15" t="n">
        <f aca="false">I110*(1+IF(J$3&lt;=$O$2,$D110,$D110-($D110-$I$103)*MIN(J$3-$O$2,$Q$2)/$Q$2))</f>
        <v>2114.14674098806</v>
      </c>
      <c r="K110" s="15" t="n">
        <f aca="false">J110*(1+IF(K$3&lt;=$O$2,$D110,$D110-($D110-$I$103)*MIN(K$3-$O$2,$Q$2)/$Q$2))</f>
        <v>2128.16881924767</v>
      </c>
      <c r="L110" s="15" t="n">
        <f aca="false">K110*(1+IF(L$3&lt;=$O$2,$D110,$D110-($D110-$I$103)*MIN(L$3-$O$2,$Q$2)/$Q$2))</f>
        <v>2157.65459823834</v>
      </c>
      <c r="M110" s="15" t="n">
        <f aca="false">L110*(1+IF(M$3&lt;=$O$2,$D110,$D110-($D110-$I$103)*MIN(M$3-$O$2,$Q$2)/$Q$2))</f>
        <v>2203.13256303271</v>
      </c>
      <c r="N110" s="15" t="n">
        <f aca="false">M110*(1+IF(N$3&lt;=$O$2,$D110,$D110-($D110-$I$103)*MIN(N$3-$O$2,$Q$2)/$Q$2))</f>
        <v>2265.48121456654</v>
      </c>
      <c r="O110" s="15" t="n">
        <f aca="false">SUMPRODUCT(E110:N110,1/(1+$F$103)^$E$3:$N$3)*$E$2</f>
        <v>7936.72105425233</v>
      </c>
      <c r="P110" s="15" t="n">
        <f aca="false">N110*$E$2*(1+$I$103)/($F$103-$I$103)/(1+$F$103)^$N$3</f>
        <v>15860.4230779487</v>
      </c>
      <c r="Q110" s="15" t="n">
        <f aca="false">O110+P110</f>
        <v>23797.144132201</v>
      </c>
      <c r="R110" s="15" t="n">
        <f aca="false">Q110-$G$2+$I$2</f>
        <v>25706.804132201</v>
      </c>
      <c r="S110" s="42" t="n">
        <f aca="false">R110/$K$2</f>
        <v>109.844054745977</v>
      </c>
      <c r="T110" s="43" t="n">
        <f aca="false">S110-$M$2</f>
        <v>-0.141844497709783</v>
      </c>
    </row>
    <row r="111" customFormat="false" ht="15" hidden="false" customHeight="false" outlineLevel="0" collapsed="false">
      <c r="A111" s="5" t="n">
        <v>7</v>
      </c>
      <c r="B111" s="25" t="n">
        <f aca="false">IF(T110&gt;0,B110,D110)</f>
        <v>-0.0078125</v>
      </c>
      <c r="C111" s="25" t="n">
        <f aca="false">IF(T110&gt;0,D110,C110)</f>
        <v>0.015625</v>
      </c>
      <c r="D111" s="41" t="n">
        <f aca="false">(B111+C111)/2</f>
        <v>0.00390625</v>
      </c>
      <c r="E111" s="15" t="n">
        <f aca="false">$C$2*(1+IF(E$3&lt;=$O$2,$D111,$D111-($D111-$I$103)*MIN(E$3-$O$2,$Q$2)/$Q$2))</f>
        <v>2208.59375</v>
      </c>
      <c r="F111" s="15" t="n">
        <f aca="false">E111*(1+IF(F$3&lt;=$O$2,$D111,$D111-($D111-$I$103)*MIN(F$3-$O$2,$Q$2)/$Q$2))</f>
        <v>2217.22106933594</v>
      </c>
      <c r="G111" s="15" t="n">
        <f aca="false">F111*(1+IF(G$3&lt;=$O$2,$D111,$D111-($D111-$I$103)*MIN(G$3-$O$2,$Q$2)/$Q$2))</f>
        <v>2225.88208913803</v>
      </c>
      <c r="H111" s="15" t="n">
        <f aca="false">G111*(1+IF(H$3&lt;=$O$2,$D111,$D111-($D111-$I$103)*MIN(H$3-$O$2,$Q$2)/$Q$2))</f>
        <v>2234.57694104873</v>
      </c>
      <c r="I111" s="15" t="n">
        <f aca="false">H111*(1+IF(I$3&lt;=$O$2,$D111,$D111-($D111-$I$103)*MIN(I$3-$O$2,$Q$2)/$Q$2))</f>
        <v>2243.3057572247</v>
      </c>
      <c r="J111" s="15" t="n">
        <f aca="false">I111*(1+IF(J$3&lt;=$O$2,$D111,$D111-($D111-$I$103)*MIN(J$3-$O$2,$Q$2)/$Q$2))</f>
        <v>2263.01319830192</v>
      </c>
      <c r="K111" s="15" t="n">
        <f aca="false">J111*(1+IF(K$3&lt;=$O$2,$D111,$D111-($D111-$I$103)*MIN(K$3-$O$2,$Q$2)/$Q$2))</f>
        <v>2293.93444489021</v>
      </c>
      <c r="L111" s="15" t="n">
        <f aca="false">K111*(1+IF(L$3&lt;=$O$2,$D111,$D111-($D111-$I$103)*MIN(L$3-$O$2,$Q$2)/$Q$2))</f>
        <v>2336.46972433459</v>
      </c>
      <c r="M111" s="15" t="n">
        <f aca="false">L111*(1+IF(M$3&lt;=$O$2,$D111,$D111-($D111-$I$103)*MIN(M$3-$O$2,$Q$2)/$Q$2))</f>
        <v>2391.19276586566</v>
      </c>
      <c r="N111" s="15" t="n">
        <f aca="false">M111*(1+IF(N$3&lt;=$O$2,$D111,$D111-($D111-$I$103)*MIN(N$3-$O$2,$Q$2)/$Q$2))</f>
        <v>2458.86352113966</v>
      </c>
      <c r="O111" s="15" t="n">
        <f aca="false">SUMPRODUCT(E111:N111,1/(1+$F$103)^$E$3:$N$3)*$E$2</f>
        <v>8361.15868199868</v>
      </c>
      <c r="P111" s="15" t="n">
        <f aca="false">N111*$E$2*(1+$I$103)/($F$103-$I$103)/(1+$F$103)^$N$3</f>
        <v>17214.2746033192</v>
      </c>
      <c r="Q111" s="15" t="n">
        <f aca="false">O111+P111</f>
        <v>25575.4332853179</v>
      </c>
      <c r="R111" s="15" t="n">
        <f aca="false">Q111-$G$2+$I$2</f>
        <v>27485.0932853179</v>
      </c>
      <c r="S111" s="42" t="n">
        <f aca="false">R111/$K$2</f>
        <v>117.442606867999</v>
      </c>
      <c r="T111" s="43" t="n">
        <f aca="false">S111-$M$2</f>
        <v>7.45670762431276</v>
      </c>
    </row>
    <row r="112" customFormat="false" ht="15" hidden="false" customHeight="false" outlineLevel="0" collapsed="false">
      <c r="A112" s="5" t="n">
        <v>8</v>
      </c>
      <c r="B112" s="25" t="n">
        <f aca="false">IF(T111&gt;0,B111,D111)</f>
        <v>-0.0078125</v>
      </c>
      <c r="C112" s="25" t="n">
        <f aca="false">IF(T111&gt;0,D111,C111)</f>
        <v>0.00390625</v>
      </c>
      <c r="D112" s="41" t="n">
        <f aca="false">(B112+C112)/2</f>
        <v>-0.001953125</v>
      </c>
      <c r="E112" s="15" t="n">
        <f aca="false">$C$2*(1+IF(E$3&lt;=$O$2,$D112,$D112-($D112-$I$103)*MIN(E$3-$O$2,$Q$2)/$Q$2))</f>
        <v>2195.703125</v>
      </c>
      <c r="F112" s="15" t="n">
        <f aca="false">E112*(1+IF(F$3&lt;=$O$2,$D112,$D112-($D112-$I$103)*MIN(F$3-$O$2,$Q$2)/$Q$2))</f>
        <v>2191.41464233398</v>
      </c>
      <c r="G112" s="15" t="n">
        <f aca="false">F112*(1+IF(G$3&lt;=$O$2,$D112,$D112-($D112-$I$103)*MIN(G$3-$O$2,$Q$2)/$Q$2))</f>
        <v>2187.13453561068</v>
      </c>
      <c r="H112" s="15" t="n">
        <f aca="false">G112*(1+IF(H$3&lt;=$O$2,$D112,$D112-($D112-$I$103)*MIN(H$3-$O$2,$Q$2)/$Q$2))</f>
        <v>2182.86278847081</v>
      </c>
      <c r="I112" s="15" t="n">
        <f aca="false">H112*(1+IF(I$3&lt;=$O$2,$D112,$D112-($D112-$I$103)*MIN(I$3-$O$2,$Q$2)/$Q$2))</f>
        <v>2178.59938458708</v>
      </c>
      <c r="J112" s="15" t="n">
        <f aca="false">I112*(1+IF(J$3&lt;=$O$2,$D112,$D112-($D112-$I$103)*MIN(J$3-$O$2,$Q$2)/$Q$2))</f>
        <v>2187.52619556542</v>
      </c>
      <c r="K112" s="15" t="n">
        <f aca="false">J112*(1+IF(K$3&lt;=$O$2,$D112,$D112-($D112-$I$103)*MIN(K$3-$O$2,$Q$2)/$Q$2))</f>
        <v>2209.7254848388</v>
      </c>
      <c r="L112" s="15" t="n">
        <f aca="false">K112*(1+IF(L$3&lt;=$O$2,$D112,$D112-($D112-$I$103)*MIN(L$3-$O$2,$Q$2)/$Q$2))</f>
        <v>2245.52027553633</v>
      </c>
      <c r="M112" s="15" t="n">
        <f aca="false">L112*(1+IF(M$3&lt;=$O$2,$D112,$D112-($D112-$I$103)*MIN(M$3-$O$2,$Q$2)/$Q$2))</f>
        <v>2295.48169821684</v>
      </c>
      <c r="N112" s="15" t="n">
        <f aca="false">M112*(1+IF(N$3&lt;=$O$2,$D112,$D112-($D112-$I$103)*MIN(N$3-$O$2,$Q$2)/$Q$2))</f>
        <v>2360.44383027638</v>
      </c>
      <c r="O112" s="15" t="n">
        <f aca="false">SUMPRODUCT(E112:N112,1/(1+$F$103)^$E$3:$N$3)*$E$2</f>
        <v>8146.12629439882</v>
      </c>
      <c r="P112" s="15" t="n">
        <f aca="false">N112*$E$2*(1+$I$103)/($F$103-$I$103)/(1+$F$103)^$N$3</f>
        <v>16525.2475099777</v>
      </c>
      <c r="Q112" s="15" t="n">
        <f aca="false">O112+P112</f>
        <v>24671.3738043765</v>
      </c>
      <c r="R112" s="15" t="n">
        <f aca="false">Q112-$G$2+$I$2</f>
        <v>26581.0338043765</v>
      </c>
      <c r="S112" s="42" t="n">
        <f aca="false">R112/$K$2</f>
        <v>113.579600069976</v>
      </c>
      <c r="T112" s="43" t="n">
        <f aca="false">S112-$M$2</f>
        <v>3.59370082628951</v>
      </c>
    </row>
    <row r="113" customFormat="false" ht="15" hidden="false" customHeight="false" outlineLevel="0" collapsed="false">
      <c r="A113" s="5" t="n">
        <v>9</v>
      </c>
      <c r="B113" s="25" t="n">
        <f aca="false">IF(T112&gt;0,B112,D112)</f>
        <v>-0.0078125</v>
      </c>
      <c r="C113" s="25" t="n">
        <f aca="false">IF(T112&gt;0,D112,C112)</f>
        <v>-0.001953125</v>
      </c>
      <c r="D113" s="41" t="n">
        <f aca="false">(B113+C113)/2</f>
        <v>-0.0048828125</v>
      </c>
      <c r="E113" s="15" t="n">
        <f aca="false">$C$2*(1+IF(E$3&lt;=$O$2,$D113,$D113-($D113-$I$103)*MIN(E$3-$O$2,$Q$2)/$Q$2))</f>
        <v>2189.2578125</v>
      </c>
      <c r="F113" s="15" t="n">
        <f aca="false">E113*(1+IF(F$3&lt;=$O$2,$D113,$D113-($D113-$I$103)*MIN(F$3-$O$2,$Q$2)/$Q$2))</f>
        <v>2178.5680770874</v>
      </c>
      <c r="G113" s="15" t="n">
        <f aca="false">F113*(1+IF(G$3&lt;=$O$2,$D113,$D113-($D113-$I$103)*MIN(G$3-$O$2,$Q$2)/$Q$2))</f>
        <v>2167.9305376485</v>
      </c>
      <c r="H113" s="15" t="n">
        <f aca="false">G113*(1+IF(H$3&lt;=$O$2,$D113,$D113-($D113-$I$103)*MIN(H$3-$O$2,$Q$2)/$Q$2))</f>
        <v>2157.34493932014</v>
      </c>
      <c r="I113" s="15" t="n">
        <f aca="false">H113*(1+IF(I$3&lt;=$O$2,$D113,$D113-($D113-$I$103)*MIN(I$3-$O$2,$Q$2)/$Q$2))</f>
        <v>2146.81102848361</v>
      </c>
      <c r="J113" s="15" t="n">
        <f aca="false">I113*(1+IF(J$3&lt;=$O$2,$D113,$D113-($D113-$I$103)*MIN(J$3-$O$2,$Q$2)/$Q$2))</f>
        <v>2150.57599832482</v>
      </c>
      <c r="K113" s="15" t="n">
        <f aca="false">J113*(1+IF(K$3&lt;=$O$2,$D113,$D113-($D113-$I$103)*MIN(K$3-$O$2,$Q$2)/$Q$2))</f>
        <v>2168.62000300576</v>
      </c>
      <c r="L113" s="15" t="n">
        <f aca="false">K113*(1+IF(L$3&lt;=$O$2,$D113,$D113-($D113-$I$103)*MIN(L$3-$O$2,$Q$2)/$Q$2))</f>
        <v>2201.20758471343</v>
      </c>
      <c r="M113" s="15" t="n">
        <f aca="false">L113*(1+IF(M$3&lt;=$O$2,$D113,$D113-($D113-$I$103)*MIN(M$3-$O$2,$Q$2)/$Q$2))</f>
        <v>2248.89330764939</v>
      </c>
      <c r="N113" s="15" t="n">
        <f aca="false">M113*(1+IF(N$3&lt;=$O$2,$D113,$D113-($D113-$I$103)*MIN(N$3-$O$2,$Q$2)/$Q$2))</f>
        <v>2312.53698825587</v>
      </c>
      <c r="O113" s="15" t="n">
        <f aca="false">SUMPRODUCT(E113:N113,1/(1+$F$103)^$E$3:$N$3)*$E$2</f>
        <v>8040.72904830767</v>
      </c>
      <c r="P113" s="15" t="n">
        <f aca="false">N113*$E$2*(1+$I$103)/($F$103-$I$103)/(1+$F$103)^$N$3</f>
        <v>16189.8561688851</v>
      </c>
      <c r="Q113" s="15" t="n">
        <f aca="false">O113+P113</f>
        <v>24230.5852171927</v>
      </c>
      <c r="R113" s="15" t="n">
        <f aca="false">Q113-$G$2+$I$2</f>
        <v>26140.2452171927</v>
      </c>
      <c r="S113" s="42" t="n">
        <f aca="false">R113/$K$2</f>
        <v>111.696129629504</v>
      </c>
      <c r="T113" s="43" t="n">
        <f aca="false">S113-$M$2</f>
        <v>1.7102303858169</v>
      </c>
    </row>
    <row r="114" customFormat="false" ht="15" hidden="false" customHeight="false" outlineLevel="0" collapsed="false">
      <c r="A114" s="5" t="n">
        <v>10</v>
      </c>
      <c r="B114" s="25" t="n">
        <f aca="false">IF(T113&gt;0,B113,D113)</f>
        <v>-0.0078125</v>
      </c>
      <c r="C114" s="25" t="n">
        <f aca="false">IF(T113&gt;0,D113,C113)</f>
        <v>-0.0048828125</v>
      </c>
      <c r="D114" s="41" t="n">
        <f aca="false">(B114+C114)/2</f>
        <v>-0.00634765625</v>
      </c>
      <c r="E114" s="15" t="n">
        <f aca="false">$C$2*(1+IF(E$3&lt;=$O$2,$D114,$D114-($D114-$I$103)*MIN(E$3-$O$2,$Q$2)/$Q$2))</f>
        <v>2186.03515625</v>
      </c>
      <c r="F114" s="15" t="n">
        <f aca="false">E114*(1+IF(F$3&lt;=$O$2,$D114,$D114-($D114-$I$103)*MIN(F$3-$O$2,$Q$2)/$Q$2))</f>
        <v>2172.15895652771</v>
      </c>
      <c r="G114" s="15" t="n">
        <f aca="false">F114*(1+IF(G$3&lt;=$O$2,$D114,$D114-($D114-$I$103)*MIN(G$3-$O$2,$Q$2)/$Q$2))</f>
        <v>2158.37083815131</v>
      </c>
      <c r="H114" s="15" t="n">
        <f aca="false">G114*(1+IF(H$3&lt;=$O$2,$D114,$D114-($D114-$I$103)*MIN(H$3-$O$2,$Q$2)/$Q$2))</f>
        <v>2144.6702420107</v>
      </c>
      <c r="I114" s="15" t="n">
        <f aca="false">H114*(1+IF(I$3&lt;=$O$2,$D114,$D114-($D114-$I$103)*MIN(I$3-$O$2,$Q$2)/$Q$2))</f>
        <v>2131.05661254482</v>
      </c>
      <c r="J114" s="15" t="n">
        <f aca="false">I114*(1+IF(J$3&lt;=$O$2,$D114,$D114-($D114-$I$103)*MIN(J$3-$O$2,$Q$2)/$Q$2))</f>
        <v>2132.29662111124</v>
      </c>
      <c r="K114" s="15" t="n">
        <f aca="false">J114*(1+IF(K$3&lt;=$O$2,$D114,$D114-($D114-$I$103)*MIN(K$3-$O$2,$Q$2)/$Q$2))</f>
        <v>2148.31316727791</v>
      </c>
      <c r="L114" s="15" t="n">
        <f aca="false">K114*(1+IF(L$3&lt;=$O$2,$D114,$D114-($D114-$I$103)*MIN(L$3-$O$2,$Q$2)/$Q$2))</f>
        <v>2179.336823457</v>
      </c>
      <c r="M114" s="15" t="n">
        <f aca="false">L114*(1+IF(M$3&lt;=$O$2,$D114,$D114-($D114-$I$103)*MIN(M$3-$O$2,$Q$2)/$Q$2))</f>
        <v>2225.91027293841</v>
      </c>
      <c r="N114" s="15" t="n">
        <f aca="false">M114*(1+IF(N$3&lt;=$O$2,$D114,$D114-($D114-$I$103)*MIN(N$3-$O$2,$Q$2)/$Q$2))</f>
        <v>2288.90353366257</v>
      </c>
      <c r="O114" s="15" t="n">
        <f aca="false">SUMPRODUCT(E114:N114,1/(1+$F$103)^$E$3:$N$3)*$E$2</f>
        <v>7988.55248027628</v>
      </c>
      <c r="P114" s="15" t="n">
        <f aca="false">N114*$E$2*(1+$I$103)/($F$103-$I$103)/(1+$F$103)^$N$3</f>
        <v>16024.4005534365</v>
      </c>
      <c r="Q114" s="15" t="n">
        <f aca="false">O114+P114</f>
        <v>24012.9530337128</v>
      </c>
      <c r="R114" s="15" t="n">
        <f aca="false">Q114-$G$2+$I$2</f>
        <v>25922.6130337128</v>
      </c>
      <c r="S114" s="42" t="n">
        <f aca="false">R114/$K$2</f>
        <v>110.766196785509</v>
      </c>
      <c r="T114" s="43" t="n">
        <f aca="false">S114-$M$2</f>
        <v>0.780297541822677</v>
      </c>
    </row>
    <row r="115" customFormat="false" ht="15" hidden="false" customHeight="false" outlineLevel="0" collapsed="false">
      <c r="A115" s="5" t="n">
        <v>11</v>
      </c>
      <c r="B115" s="25" t="n">
        <f aca="false">IF(T114&gt;0,B114,D114)</f>
        <v>-0.0078125</v>
      </c>
      <c r="C115" s="25" t="n">
        <f aca="false">IF(T114&gt;0,D114,C114)</f>
        <v>-0.00634765625</v>
      </c>
      <c r="D115" s="41" t="n">
        <f aca="false">(B115+C115)/2</f>
        <v>-0.007080078125</v>
      </c>
      <c r="E115" s="15" t="n">
        <f aca="false">$C$2*(1+IF(E$3&lt;=$O$2,$D115,$D115-($D115-$I$103)*MIN(E$3-$O$2,$Q$2)/$Q$2))</f>
        <v>2184.423828125</v>
      </c>
      <c r="F115" s="15" t="n">
        <f aca="false">E115*(1+IF(F$3&lt;=$O$2,$D115,$D115-($D115-$I$103)*MIN(F$3-$O$2,$Q$2)/$Q$2))</f>
        <v>2168.95793676376</v>
      </c>
      <c r="G115" s="15" t="n">
        <f aca="false">F115*(1+IF(G$3&lt;=$O$2,$D115,$D115-($D115-$I$103)*MIN(G$3-$O$2,$Q$2)/$Q$2))</f>
        <v>2153.60154512164</v>
      </c>
      <c r="H115" s="15" t="n">
        <f aca="false">G115*(1+IF(H$3&lt;=$O$2,$D115,$D115-($D115-$I$103)*MIN(H$3-$O$2,$Q$2)/$Q$2))</f>
        <v>2138.35387793206</v>
      </c>
      <c r="I115" s="15" t="n">
        <f aca="false">H115*(1+IF(I$3&lt;=$O$2,$D115,$D115-($D115-$I$103)*MIN(I$3-$O$2,$Q$2)/$Q$2))</f>
        <v>2123.2141654174</v>
      </c>
      <c r="J115" s="15" t="n">
        <f aca="false">I115*(1+IF(J$3&lt;=$O$2,$D115,$D115-($D115-$I$103)*MIN(J$3-$O$2,$Q$2)/$Q$2))</f>
        <v>2123.20553985985</v>
      </c>
      <c r="K115" s="15" t="n">
        <f aca="false">J115*(1+IF(K$3&lt;=$O$2,$D115,$D115-($D115-$I$103)*MIN(K$3-$O$2,$Q$2)/$Q$2))</f>
        <v>2138.22074991248</v>
      </c>
      <c r="L115" s="15" t="n">
        <f aca="false">K115*(1+IF(L$3&lt;=$O$2,$D115,$D115-($D115-$I$103)*MIN(L$3-$O$2,$Q$2)/$Q$2))</f>
        <v>2168.47223026285</v>
      </c>
      <c r="M115" s="15" t="n">
        <f aca="false">L115*(1+IF(M$3&lt;=$O$2,$D115,$D115-($D115-$I$103)*MIN(M$3-$O$2,$Q$2)/$Q$2))</f>
        <v>2214.49585099557</v>
      </c>
      <c r="N115" s="15" t="n">
        <f aca="false">M115*(1+IF(N$3&lt;=$O$2,$D115,$D115-($D115-$I$103)*MIN(N$3-$O$2,$Q$2)/$Q$2))</f>
        <v>2277.16608357874</v>
      </c>
      <c r="O115" s="15" t="n">
        <f aca="false">SUMPRODUCT(E115:N115,1/(1+$F$103)^$E$3:$N$3)*$E$2</f>
        <v>7962.59375955374</v>
      </c>
      <c r="P115" s="15" t="n">
        <f aca="false">N115*$E$2*(1+$I$103)/($F$103-$I$103)/(1+$F$103)^$N$3</f>
        <v>15942.2277580989</v>
      </c>
      <c r="Q115" s="15" t="n">
        <f aca="false">O115+P115</f>
        <v>23904.8215176526</v>
      </c>
      <c r="R115" s="15" t="n">
        <f aca="false">Q115-$G$2+$I$2</f>
        <v>25814.4815176526</v>
      </c>
      <c r="S115" s="42" t="n">
        <f aca="false">R115/$K$2</f>
        <v>110.304155525585</v>
      </c>
      <c r="T115" s="43" t="n">
        <f aca="false">S115-$M$2</f>
        <v>0.318256281898044</v>
      </c>
    </row>
    <row r="116" customFormat="false" ht="15" hidden="false" customHeight="false" outlineLevel="0" collapsed="false">
      <c r="A116" s="5" t="n">
        <v>12</v>
      </c>
      <c r="B116" s="25" t="n">
        <f aca="false">IF(T115&gt;0,B115,D115)</f>
        <v>-0.0078125</v>
      </c>
      <c r="C116" s="25" t="n">
        <f aca="false">IF(T115&gt;0,D115,C115)</f>
        <v>-0.007080078125</v>
      </c>
      <c r="D116" s="41" t="n">
        <f aca="false">(B116+C116)/2</f>
        <v>-0.0074462890625</v>
      </c>
      <c r="E116" s="15" t="n">
        <f aca="false">$C$2*(1+IF(E$3&lt;=$O$2,$D116,$D116-($D116-$I$103)*MIN(E$3-$O$2,$Q$2)/$Q$2))</f>
        <v>2183.6181640625</v>
      </c>
      <c r="F116" s="15" t="n">
        <f aca="false">E116*(1+IF(F$3&lt;=$O$2,$D116,$D116-($D116-$I$103)*MIN(F$3-$O$2,$Q$2)/$Q$2))</f>
        <v>2167.35831201077</v>
      </c>
      <c r="G116" s="15" t="n">
        <f aca="false">F116*(1+IF(G$3&lt;=$O$2,$D116,$D116-($D116-$I$103)*MIN(G$3-$O$2,$Q$2)/$Q$2))</f>
        <v>2151.21953551752</v>
      </c>
      <c r="H116" s="15" t="n">
        <f aca="false">G116*(1+IF(H$3&lt;=$O$2,$D116,$D116-($D116-$I$103)*MIN(H$3-$O$2,$Q$2)/$Q$2))</f>
        <v>2135.20093301916</v>
      </c>
      <c r="I116" s="15" t="n">
        <f aca="false">H116*(1+IF(I$3&lt;=$O$2,$D116,$D116-($D116-$I$103)*MIN(I$3-$O$2,$Q$2)/$Q$2))</f>
        <v>2119.30160966538</v>
      </c>
      <c r="J116" s="15" t="n">
        <f aca="false">I116*(1+IF(J$3&lt;=$O$2,$D116,$D116-($D116-$I$103)*MIN(J$3-$O$2,$Q$2)/$Q$2))</f>
        <v>2118.67211085913</v>
      </c>
      <c r="K116" s="15" t="n">
        <f aca="false">J116*(1+IF(K$3&lt;=$O$2,$D116,$D116-($D116-$I$103)*MIN(K$3-$O$2,$Q$2)/$Q$2))</f>
        <v>2133.18973217439</v>
      </c>
      <c r="L116" s="15" t="n">
        <f aca="false">K116*(1+IF(L$3&lt;=$O$2,$D116,$D116-($D116-$I$103)*MIN(L$3-$O$2,$Q$2)/$Q$2))</f>
        <v>2163.05755487834</v>
      </c>
      <c r="M116" s="15" t="n">
        <f aca="false">L116*(1+IF(M$3&lt;=$O$2,$D116,$D116-($D116-$I$103)*MIN(M$3-$O$2,$Q$2)/$Q$2))</f>
        <v>2208.8078275583</v>
      </c>
      <c r="N116" s="15" t="n">
        <f aca="false">M116*(1+IF(N$3&lt;=$O$2,$D116,$D116-($D116-$I$103)*MIN(N$3-$O$2,$Q$2)/$Q$2))</f>
        <v>2271.3170890782</v>
      </c>
      <c r="O116" s="15" t="n">
        <f aca="false">SUMPRODUCT(E116:N116,1/(1+$F$103)^$E$3:$N$3)*$E$2</f>
        <v>7949.64667181512</v>
      </c>
      <c r="P116" s="15" t="n">
        <f aca="false">N116*$E$2*(1+$I$103)/($F$103-$I$103)/(1+$F$103)^$N$3</f>
        <v>15901.2794921134</v>
      </c>
      <c r="Q116" s="15" t="n">
        <f aca="false">O116+P116</f>
        <v>23850.9261639285</v>
      </c>
      <c r="R116" s="15" t="n">
        <f aca="false">Q116-$G$2+$I$2</f>
        <v>25760.5861639285</v>
      </c>
      <c r="S116" s="42" t="n">
        <f aca="false">R116/$K$2</f>
        <v>110.073863025802</v>
      </c>
      <c r="T116" s="43" t="n">
        <f aca="false">S116-$M$2</f>
        <v>0.0879637821155086</v>
      </c>
    </row>
    <row r="117" customFormat="false" ht="15" hidden="false" customHeight="false" outlineLevel="0" collapsed="false">
      <c r="A117" s="5" t="n">
        <v>13</v>
      </c>
      <c r="B117" s="25" t="n">
        <f aca="false">IF(T116&gt;0,B116,D116)</f>
        <v>-0.0078125</v>
      </c>
      <c r="C117" s="25" t="n">
        <f aca="false">IF(T116&gt;0,D116,C116)</f>
        <v>-0.0074462890625</v>
      </c>
      <c r="D117" s="41" t="n">
        <f aca="false">(B117+C117)/2</f>
        <v>-0.00762939453125</v>
      </c>
      <c r="E117" s="15" t="n">
        <f aca="false">$C$2*(1+IF(E$3&lt;=$O$2,$D117,$D117-($D117-$I$103)*MIN(E$3-$O$2,$Q$2)/$Q$2))</f>
        <v>2183.21533203125</v>
      </c>
      <c r="F117" s="15" t="n">
        <f aca="false">E117*(1+IF(F$3&lt;=$O$2,$D117,$D117-($D117-$I$103)*MIN(F$3-$O$2,$Q$2)/$Q$2))</f>
        <v>2166.55872091651</v>
      </c>
      <c r="G117" s="15" t="n">
        <f aca="false">F117*(1+IF(G$3&lt;=$O$2,$D117,$D117-($D117-$I$103)*MIN(G$3-$O$2,$Q$2)/$Q$2))</f>
        <v>2150.02918965952</v>
      </c>
      <c r="H117" s="15" t="n">
        <f aca="false">G117*(1+IF(H$3&lt;=$O$2,$D117,$D117-($D117-$I$103)*MIN(H$3-$O$2,$Q$2)/$Q$2))</f>
        <v>2133.6257687179</v>
      </c>
      <c r="I117" s="15" t="n">
        <f aca="false">H117*(1+IF(I$3&lt;=$O$2,$D117,$D117-($D117-$I$103)*MIN(I$3-$O$2,$Q$2)/$Q$2))</f>
        <v>2117.34749594631</v>
      </c>
      <c r="J117" s="15" t="n">
        <f aca="false">I117*(1+IF(J$3&lt;=$O$2,$D117,$D117-($D117-$I$103)*MIN(J$3-$O$2,$Q$2)/$Q$2))</f>
        <v>2116.4084192483</v>
      </c>
      <c r="K117" s="15" t="n">
        <f aca="false">J117*(1+IF(K$3&lt;=$O$2,$D117,$D117-($D117-$I$103)*MIN(K$3-$O$2,$Q$2)/$Q$2))</f>
        <v>2130.67801366237</v>
      </c>
      <c r="L117" s="15" t="n">
        <f aca="false">K117*(1+IF(L$3&lt;=$O$2,$D117,$D117-($D117-$I$103)*MIN(L$3-$O$2,$Q$2)/$Q$2))</f>
        <v>2160.35461306024</v>
      </c>
      <c r="M117" s="15" t="n">
        <f aca="false">L117*(1+IF(M$3&lt;=$O$2,$D117,$D117-($D117-$I$103)*MIN(M$3-$O$2,$Q$2)/$Q$2))</f>
        <v>2205.96860196584</v>
      </c>
      <c r="N117" s="15" t="n">
        <f aca="false">M117*(1+IF(N$3&lt;=$O$2,$D117,$D117-($D117-$I$103)*MIN(N$3-$O$2,$Q$2)/$Q$2))</f>
        <v>2268.39751340147</v>
      </c>
      <c r="O117" s="15" t="n">
        <f aca="false">SUMPRODUCT(E117:N117,1/(1+$F$103)^$E$3:$N$3)*$E$2</f>
        <v>7943.1811813642</v>
      </c>
      <c r="P117" s="15" t="n">
        <f aca="false">N117*$E$2*(1+$I$103)/($F$103-$I$103)/(1+$F$103)^$N$3</f>
        <v>15880.8398145989</v>
      </c>
      <c r="Q117" s="15" t="n">
        <f aca="false">O117+P117</f>
        <v>23824.0209959631</v>
      </c>
      <c r="R117" s="15" t="n">
        <f aca="false">Q117-$G$2+$I$2</f>
        <v>25733.6809959631</v>
      </c>
      <c r="S117" s="42" t="n">
        <f aca="false">R117/$K$2</f>
        <v>109.958898414575</v>
      </c>
      <c r="T117" s="43" t="n">
        <f aca="false">S117-$M$2</f>
        <v>-0.0270008291114436</v>
      </c>
    </row>
    <row r="118" customFormat="false" ht="15" hidden="false" customHeight="false" outlineLevel="0" collapsed="false">
      <c r="A118" s="5" t="n">
        <v>14</v>
      </c>
      <c r="B118" s="25" t="n">
        <f aca="false">IF(T117&gt;0,B117,D117)</f>
        <v>-0.00762939453125</v>
      </c>
      <c r="C118" s="25" t="n">
        <f aca="false">IF(T117&gt;0,D117,C117)</f>
        <v>-0.0074462890625</v>
      </c>
      <c r="D118" s="41" t="n">
        <f aca="false">(B118+C118)/2</f>
        <v>-0.007537841796875</v>
      </c>
      <c r="E118" s="15" t="n">
        <f aca="false">$C$2*(1+IF(E$3&lt;=$O$2,$D118,$D118-($D118-$I$103)*MIN(E$3-$O$2,$Q$2)/$Q$2))</f>
        <v>2183.41674804688</v>
      </c>
      <c r="F118" s="15" t="n">
        <f aca="false">E118*(1+IF(F$3&lt;=$O$2,$D118,$D118-($D118-$I$103)*MIN(F$3-$O$2,$Q$2)/$Q$2))</f>
        <v>2166.95849802345</v>
      </c>
      <c r="G118" s="15" t="n">
        <f aca="false">F118*(1+IF(G$3&lt;=$O$2,$D118,$D118-($D118-$I$103)*MIN(G$3-$O$2,$Q$2)/$Q$2))</f>
        <v>2150.62430768496</v>
      </c>
      <c r="H118" s="15" t="n">
        <f aca="false">G118*(1+IF(H$3&lt;=$O$2,$D118,$D118-($D118-$I$103)*MIN(H$3-$O$2,$Q$2)/$Q$2))</f>
        <v>2134.41324188911</v>
      </c>
      <c r="I118" s="15" t="n">
        <f aca="false">H118*(1+IF(I$3&lt;=$O$2,$D118,$D118-($D118-$I$103)*MIN(I$3-$O$2,$Q$2)/$Q$2))</f>
        <v>2118.3243725426</v>
      </c>
      <c r="J118" s="15" t="n">
        <f aca="false">I118*(1+IF(J$3&lt;=$O$2,$D118,$D118-($D118-$I$103)*MIN(J$3-$O$2,$Q$2)/$Q$2))</f>
        <v>2117.54001329544</v>
      </c>
      <c r="K118" s="15" t="n">
        <f aca="false">J118*(1+IF(K$3&lt;=$O$2,$D118,$D118-($D118-$I$103)*MIN(K$3-$O$2,$Q$2)/$Q$2))</f>
        <v>2131.93355727468</v>
      </c>
      <c r="L118" s="15" t="n">
        <f aca="false">K118*(1+IF(L$3&lt;=$O$2,$D118,$D118-($D118-$I$103)*MIN(L$3-$O$2,$Q$2)/$Q$2))</f>
        <v>2161.70571792673</v>
      </c>
      <c r="M118" s="15" t="n">
        <f aca="false">L118*(1+IF(M$3&lt;=$O$2,$D118,$D118-($D118-$I$103)*MIN(M$3-$O$2,$Q$2)/$Q$2))</f>
        <v>2207.38781623796</v>
      </c>
      <c r="N118" s="15" t="n">
        <f aca="false">M118*(1+IF(N$3&lt;=$O$2,$D118,$D118-($D118-$I$103)*MIN(N$3-$O$2,$Q$2)/$Q$2))</f>
        <v>2269.8568914375</v>
      </c>
      <c r="O118" s="15" t="n">
        <f aca="false">SUMPRODUCT(E118:N118,1/(1+$F$103)^$E$3:$N$3)*$E$2</f>
        <v>7946.41325590959</v>
      </c>
      <c r="P118" s="15" t="n">
        <f aca="false">N118*$E$2*(1+$I$103)/($F$103-$I$103)/(1+$F$103)^$N$3</f>
        <v>15891.0567843681</v>
      </c>
      <c r="Q118" s="15" t="n">
        <f aca="false">O118+P118</f>
        <v>23837.4700402777</v>
      </c>
      <c r="R118" s="15" t="n">
        <f aca="false">Q118-$G$2+$I$2</f>
        <v>25747.1300402777</v>
      </c>
      <c r="S118" s="42" t="n">
        <f aca="false">R118/$K$2</f>
        <v>110.016365595341</v>
      </c>
      <c r="T118" s="43" t="n">
        <f aca="false">S118-$M$2</f>
        <v>0.0304663516543684</v>
      </c>
    </row>
    <row r="119" customFormat="false" ht="15" hidden="false" customHeight="false" outlineLevel="0" collapsed="false">
      <c r="A119" s="5" t="n">
        <v>15</v>
      </c>
      <c r="B119" s="25" t="n">
        <f aca="false">IF(T118&gt;0,B118,D118)</f>
        <v>-0.00762939453125</v>
      </c>
      <c r="C119" s="25" t="n">
        <f aca="false">IF(T118&gt;0,D118,C118)</f>
        <v>-0.007537841796875</v>
      </c>
      <c r="D119" s="41" t="n">
        <f aca="false">(B119+C119)/2</f>
        <v>-0.0075836181640625</v>
      </c>
      <c r="E119" s="15" t="n">
        <f aca="false">$C$2*(1+IF(E$3&lt;=$O$2,$D119,$D119-($D119-$I$103)*MIN(E$3-$O$2,$Q$2)/$Q$2))</f>
        <v>2183.31604003906</v>
      </c>
      <c r="F119" s="15" t="n">
        <f aca="false">E119*(1+IF(F$3&lt;=$O$2,$D119,$D119-($D119-$I$103)*MIN(F$3-$O$2,$Q$2)/$Q$2))</f>
        <v>2166.75860485993</v>
      </c>
      <c r="G119" s="15" t="n">
        <f aca="false">F119*(1+IF(G$3&lt;=$O$2,$D119,$D119-($D119-$I$103)*MIN(G$3-$O$2,$Q$2)/$Q$2))</f>
        <v>2150.32673494698</v>
      </c>
      <c r="H119" s="15" t="n">
        <f aca="false">G119*(1+IF(H$3&lt;=$O$2,$D119,$D119-($D119-$I$103)*MIN(H$3-$O$2,$Q$2)/$Q$2))</f>
        <v>2134.01947806117</v>
      </c>
      <c r="I119" s="15" t="n">
        <f aca="false">H119*(1+IF(I$3&lt;=$O$2,$D119,$D119-($D119-$I$103)*MIN(I$3-$O$2,$Q$2)/$Q$2))</f>
        <v>2117.83588918488</v>
      </c>
      <c r="J119" s="15" t="n">
        <f aca="false">I119*(1+IF(J$3&lt;=$O$2,$D119,$D119-($D119-$I$103)*MIN(J$3-$O$2,$Q$2)/$Q$2))</f>
        <v>2116.97415334348</v>
      </c>
      <c r="K119" s="15" t="n">
        <f aca="false">J119*(1+IF(K$3&lt;=$O$2,$D119,$D119-($D119-$I$103)*MIN(K$3-$O$2,$Q$2)/$Q$2))</f>
        <v>2131.30570657404</v>
      </c>
      <c r="L119" s="15" t="n">
        <f aca="false">K119*(1+IF(L$3&lt;=$O$2,$D119,$D119-($D119-$I$103)*MIN(L$3-$O$2,$Q$2)/$Q$2))</f>
        <v>2161.03007400385</v>
      </c>
      <c r="M119" s="15" t="n">
        <f aca="false">L119*(1+IF(M$3&lt;=$O$2,$D119,$D119-($D119-$I$103)*MIN(M$3-$O$2,$Q$2)/$Q$2))</f>
        <v>2206.67810949484</v>
      </c>
      <c r="N119" s="15" t="n">
        <f aca="false">M119*(1+IF(N$3&lt;=$O$2,$D119,$D119-($D119-$I$103)*MIN(N$3-$O$2,$Q$2)/$Q$2))</f>
        <v>2269.12709999354</v>
      </c>
      <c r="O119" s="15" t="n">
        <f aca="false">SUMPRODUCT(E119:N119,1/(1+$F$103)^$E$3:$N$3)*$E$2</f>
        <v>7944.79705099972</v>
      </c>
      <c r="P119" s="15" t="n">
        <f aca="false">N119*$E$2*(1+$I$103)/($F$103-$I$103)/(1+$F$103)^$N$3</f>
        <v>15885.947582409</v>
      </c>
      <c r="Q119" s="15" t="n">
        <f aca="false">O119+P119</f>
        <v>23830.7446334087</v>
      </c>
      <c r="R119" s="15" t="n">
        <f aca="false">Q119-$G$2+$I$2</f>
        <v>25740.4046334087</v>
      </c>
      <c r="S119" s="42" t="n">
        <f aca="false">R119/$K$2</f>
        <v>109.987628224624</v>
      </c>
      <c r="T119" s="43" t="n">
        <f aca="false">S119-$M$2</f>
        <v>0.00172898093715901</v>
      </c>
    </row>
    <row r="120" customFormat="false" ht="15" hidden="false" customHeight="false" outlineLevel="0" collapsed="false">
      <c r="A120" s="5" t="n">
        <v>16</v>
      </c>
      <c r="B120" s="25" t="n">
        <f aca="false">IF(T119&gt;0,B119,D119)</f>
        <v>-0.00762939453125</v>
      </c>
      <c r="C120" s="25" t="n">
        <f aca="false">IF(T119&gt;0,D119,C119)</f>
        <v>-0.0075836181640625</v>
      </c>
      <c r="D120" s="41" t="n">
        <f aca="false">(B120+C120)/2</f>
        <v>-0.00760650634765625</v>
      </c>
      <c r="E120" s="15" t="n">
        <f aca="false">$C$2*(1+IF(E$3&lt;=$O$2,$D120,$D120-($D120-$I$103)*MIN(E$3-$O$2,$Q$2)/$Q$2))</f>
        <v>2183.26568603516</v>
      </c>
      <c r="F120" s="15" t="n">
        <f aca="false">E120*(1+IF(F$3&lt;=$O$2,$D120,$D120-($D120-$I$103)*MIN(F$3-$O$2,$Q$2)/$Q$2))</f>
        <v>2166.65866173571</v>
      </c>
      <c r="G120" s="15" t="n">
        <f aca="false">F120*(1+IF(G$3&lt;=$O$2,$D120,$D120-($D120-$I$103)*MIN(G$3-$O$2,$Q$2)/$Q$2))</f>
        <v>2150.17795887201</v>
      </c>
      <c r="H120" s="15" t="n">
        <f aca="false">G120*(1+IF(H$3&lt;=$O$2,$D120,$D120-($D120-$I$103)*MIN(H$3-$O$2,$Q$2)/$Q$2))</f>
        <v>2133.82261657926</v>
      </c>
      <c r="I120" s="15" t="n">
        <f aca="false">H120*(1+IF(I$3&lt;=$O$2,$D120,$D120-($D120-$I$103)*MIN(I$3-$O$2,$Q$2)/$Q$2))</f>
        <v>2117.59168130148</v>
      </c>
      <c r="J120" s="15" t="n">
        <f aca="false">I120*(1+IF(J$3&lt;=$O$2,$D120,$D120-($D120-$I$103)*MIN(J$3-$O$2,$Q$2)/$Q$2))</f>
        <v>2116.6912705652</v>
      </c>
      <c r="K120" s="15" t="n">
        <f aca="false">J120*(1+IF(K$3&lt;=$O$2,$D120,$D120-($D120-$I$103)*MIN(K$3-$O$2,$Q$2)/$Q$2))</f>
        <v>2130.99184039664</v>
      </c>
      <c r="L120" s="15" t="n">
        <f aca="false">K120*(1+IF(L$3&lt;=$O$2,$D120,$D120-($D120-$I$103)*MIN(L$3-$O$2,$Q$2)/$Q$2))</f>
        <v>2160.69232066227</v>
      </c>
      <c r="M120" s="15" t="n">
        <f aca="false">L120*(1+IF(M$3&lt;=$O$2,$D120,$D120-($D120-$I$103)*MIN(M$3-$O$2,$Q$2)/$Q$2))</f>
        <v>2206.32333083157</v>
      </c>
      <c r="N120" s="15" t="n">
        <f aca="false">M120*(1+IF(N$3&lt;=$O$2,$D120,$D120-($D120-$I$103)*MIN(N$3-$O$2,$Q$2)/$Q$2))</f>
        <v>2268.7622810941</v>
      </c>
      <c r="O120" s="15" t="n">
        <f aca="false">SUMPRODUCT(E120:N120,1/(1+$F$103)^$E$3:$N$3)*$E$2</f>
        <v>7943.98907427677</v>
      </c>
      <c r="P120" s="15" t="n">
        <f aca="false">N120*$E$2*(1+$I$103)/($F$103-$I$103)/(1+$F$103)^$N$3</f>
        <v>15883.3935192569</v>
      </c>
      <c r="Q120" s="15" t="n">
        <f aca="false">O120+P120</f>
        <v>23827.3825935336</v>
      </c>
      <c r="R120" s="15" t="n">
        <f aca="false">Q120-$G$2+$I$2</f>
        <v>25737.0425935336</v>
      </c>
      <c r="S120" s="42" t="n">
        <f aca="false">R120/$K$2</f>
        <v>109.973262374626</v>
      </c>
      <c r="T120" s="43" t="n">
        <f aca="false">S120-$M$2</f>
        <v>-0.0126368690610263</v>
      </c>
    </row>
    <row r="121" customFormat="false" ht="15" hidden="false" customHeight="false" outlineLevel="0" collapsed="false">
      <c r="A121" s="5" t="n">
        <v>17</v>
      </c>
      <c r="B121" s="25" t="n">
        <f aca="false">IF(T120&gt;0,B120,D120)</f>
        <v>-0.00760650634765625</v>
      </c>
      <c r="C121" s="25" t="n">
        <f aca="false">IF(T120&gt;0,D120,C120)</f>
        <v>-0.0075836181640625</v>
      </c>
      <c r="D121" s="41" t="n">
        <f aca="false">(B121+C121)/2</f>
        <v>-0.00759506225585938</v>
      </c>
      <c r="E121" s="15" t="n">
        <f aca="false">$C$2*(1+IF(E$3&lt;=$O$2,$D121,$D121-($D121-$I$103)*MIN(E$3-$O$2,$Q$2)/$Q$2))</f>
        <v>2183.29086303711</v>
      </c>
      <c r="F121" s="15" t="n">
        <f aca="false">E121*(1+IF(F$3&lt;=$O$2,$D121,$D121-($D121-$I$103)*MIN(F$3-$O$2,$Q$2)/$Q$2))</f>
        <v>2166.70863300969</v>
      </c>
      <c r="G121" s="15" t="n">
        <f aca="false">F121*(1+IF(G$3&lt;=$O$2,$D121,$D121-($D121-$I$103)*MIN(G$3-$O$2,$Q$2)/$Q$2))</f>
        <v>2150.25234605168</v>
      </c>
      <c r="H121" s="15" t="n">
        <f aca="false">G121*(1+IF(H$3&lt;=$O$2,$D121,$D121-($D121-$I$103)*MIN(H$3-$O$2,$Q$2)/$Q$2))</f>
        <v>2133.92104561761</v>
      </c>
      <c r="I121" s="15" t="n">
        <f aca="false">H121*(1+IF(I$3&lt;=$O$2,$D121,$D121-($D121-$I$103)*MIN(I$3-$O$2,$Q$2)/$Q$2))</f>
        <v>2117.71378242705</v>
      </c>
      <c r="J121" s="15" t="n">
        <f aca="false">I121*(1+IF(J$3&lt;=$O$2,$D121,$D121-($D121-$I$103)*MIN(J$3-$O$2,$Q$2)/$Q$2))</f>
        <v>2116.83270802149</v>
      </c>
      <c r="K121" s="15" t="n">
        <f aca="false">J121*(1+IF(K$3&lt;=$O$2,$D121,$D121-($D121-$I$103)*MIN(K$3-$O$2,$Q$2)/$Q$2))</f>
        <v>2131.1487685547</v>
      </c>
      <c r="L121" s="15" t="n">
        <f aca="false">K121*(1+IF(L$3&lt;=$O$2,$D121,$D121-($D121-$I$103)*MIN(L$3-$O$2,$Q$2)/$Q$2))</f>
        <v>2160.86119161529</v>
      </c>
      <c r="M121" s="15" t="n">
        <f aca="false">L121*(1+IF(M$3&lt;=$O$2,$D121,$D121-($D121-$I$103)*MIN(M$3-$O$2,$Q$2)/$Q$2))</f>
        <v>2206.50071393814</v>
      </c>
      <c r="N121" s="15" t="n">
        <f aca="false">M121*(1+IF(N$3&lt;=$O$2,$D121,$D121-($D121-$I$103)*MIN(N$3-$O$2,$Q$2)/$Q$2))</f>
        <v>2268.94468414259</v>
      </c>
      <c r="O121" s="15" t="n">
        <f aca="false">SUMPRODUCT(E121:N121,1/(1+$F$103)^$E$3:$N$3)*$E$2</f>
        <v>7944.39305216143</v>
      </c>
      <c r="P121" s="15" t="n">
        <f aca="false">N121*$E$2*(1+$I$103)/($F$103-$I$103)/(1+$F$103)^$N$3</f>
        <v>15884.6705060185</v>
      </c>
      <c r="Q121" s="15" t="n">
        <f aca="false">O121+P121</f>
        <v>23829.0635581799</v>
      </c>
      <c r="R121" s="15" t="n">
        <f aca="false">Q121-$G$2+$I$2</f>
        <v>25738.7235581799</v>
      </c>
      <c r="S121" s="42" t="n">
        <f aca="false">R121/$K$2</f>
        <v>109.980445063368</v>
      </c>
      <c r="T121" s="43" t="n">
        <f aca="false">S121-$M$2</f>
        <v>-0.00545418031916256</v>
      </c>
    </row>
    <row r="122" customFormat="false" ht="15" hidden="false" customHeight="false" outlineLevel="0" collapsed="false">
      <c r="A122" s="5" t="n">
        <v>18</v>
      </c>
      <c r="B122" s="25" t="n">
        <f aca="false">IF(T121&gt;0,B121,D121)</f>
        <v>-0.00759506225585938</v>
      </c>
      <c r="C122" s="25" t="n">
        <f aca="false">IF(T121&gt;0,D121,C121)</f>
        <v>-0.0075836181640625</v>
      </c>
      <c r="D122" s="41" t="n">
        <f aca="false">(B122+C122)/2</f>
        <v>-0.00758934020996094</v>
      </c>
      <c r="E122" s="15" t="n">
        <f aca="false">$C$2*(1+IF(E$3&lt;=$O$2,$D122,$D122-($D122-$I$103)*MIN(E$3-$O$2,$Q$2)/$Q$2))</f>
        <v>2183.30345153809</v>
      </c>
      <c r="F122" s="15" t="n">
        <f aca="false">E122*(1+IF(F$3&lt;=$O$2,$D122,$D122-($D122-$I$103)*MIN(F$3-$O$2,$Q$2)/$Q$2))</f>
        <v>2166.73361886278</v>
      </c>
      <c r="G122" s="15" t="n">
        <f aca="false">F122*(1+IF(G$3&lt;=$O$2,$D122,$D122-($D122-$I$103)*MIN(G$3-$O$2,$Q$2)/$Q$2))</f>
        <v>2150.28954028487</v>
      </c>
      <c r="H122" s="15" t="n">
        <f aca="false">G122*(1+IF(H$3&lt;=$O$2,$D122,$D122-($D122-$I$103)*MIN(H$3-$O$2,$Q$2)/$Q$2))</f>
        <v>2133.97026141373</v>
      </c>
      <c r="I122" s="15" t="n">
        <f aca="false">H122*(1+IF(I$3&lt;=$O$2,$D122,$D122-($D122-$I$103)*MIN(I$3-$O$2,$Q$2)/$Q$2))</f>
        <v>2117.77483510192</v>
      </c>
      <c r="J122" s="15" t="n">
        <f aca="false">I122*(1+IF(J$3&lt;=$O$2,$D122,$D122-($D122-$I$103)*MIN(J$3-$O$2,$Q$2)/$Q$2))</f>
        <v>2116.90342969925</v>
      </c>
      <c r="K122" s="15" t="n">
        <f aca="false">J122*(1+IF(K$3&lt;=$O$2,$D122,$D122-($D122-$I$103)*MIN(K$3-$O$2,$Q$2)/$Q$2))</f>
        <v>2131.22723633168</v>
      </c>
      <c r="L122" s="15" t="n">
        <f aca="false">K122*(1+IF(L$3&lt;=$O$2,$D122,$D122-($D122-$I$103)*MIN(L$3-$O$2,$Q$2)/$Q$2))</f>
        <v>2160.94563138008</v>
      </c>
      <c r="M122" s="15" t="n">
        <f aca="false">L122*(1+IF(M$3&lt;=$O$2,$D122,$D122-($D122-$I$103)*MIN(M$3-$O$2,$Q$2)/$Q$2))</f>
        <v>2206.58941016018</v>
      </c>
      <c r="N122" s="15" t="n">
        <f aca="false">M122*(1+IF(N$3&lt;=$O$2,$D122,$D122-($D122-$I$103)*MIN(N$3-$O$2,$Q$2)/$Q$2))</f>
        <v>2269.03589046771</v>
      </c>
      <c r="O122" s="15" t="n">
        <f aca="false">SUMPRODUCT(E122:N122,1/(1+$F$103)^$E$3:$N$3)*$E$2</f>
        <v>7944.59504896131</v>
      </c>
      <c r="P122" s="15" t="n">
        <f aca="false">N122*$E$2*(1+$I$103)/($F$103-$I$103)/(1+$F$103)^$N$3</f>
        <v>15885.3090330098</v>
      </c>
      <c r="Q122" s="15" t="n">
        <f aca="false">O122+P122</f>
        <v>23829.9040819711</v>
      </c>
      <c r="R122" s="15" t="n">
        <f aca="false">Q122-$G$2+$I$2</f>
        <v>25739.5640819711</v>
      </c>
      <c r="S122" s="42" t="n">
        <f aca="false">R122/$K$2</f>
        <v>109.98403658493</v>
      </c>
      <c r="T122" s="43" t="n">
        <f aca="false">S122-$M$2</f>
        <v>-0.00186265875701963</v>
      </c>
    </row>
    <row r="123" customFormat="false" ht="15" hidden="false" customHeight="false" outlineLevel="0" collapsed="false">
      <c r="A123" s="5" t="n">
        <v>19</v>
      </c>
      <c r="B123" s="25" t="n">
        <f aca="false">IF(T122&gt;0,B122,D122)</f>
        <v>-0.00758934020996094</v>
      </c>
      <c r="C123" s="25" t="n">
        <f aca="false">IF(T122&gt;0,D122,C122)</f>
        <v>-0.0075836181640625</v>
      </c>
      <c r="D123" s="41" t="n">
        <f aca="false">(B123+C123)/2</f>
        <v>-0.00758647918701172</v>
      </c>
      <c r="E123" s="15" t="n">
        <f aca="false">$C$2*(1+IF(E$3&lt;=$O$2,$D123,$D123-($D123-$I$103)*MIN(E$3-$O$2,$Q$2)/$Q$2))</f>
        <v>2183.30974578857</v>
      </c>
      <c r="F123" s="15" t="n">
        <f aca="false">E123*(1+IF(F$3&lt;=$O$2,$D123,$D123-($D123-$I$103)*MIN(F$3-$O$2,$Q$2)/$Q$2))</f>
        <v>2166.74611184335</v>
      </c>
      <c r="G123" s="15" t="n">
        <f aca="false">F123*(1+IF(G$3&lt;=$O$2,$D123,$D123-($D123-$I$103)*MIN(G$3-$O$2,$Q$2)/$Q$2))</f>
        <v>2150.30813756231</v>
      </c>
      <c r="H123" s="15" t="n">
        <f aca="false">G123*(1+IF(H$3&lt;=$O$2,$D123,$D123-($D123-$I$103)*MIN(H$3-$O$2,$Q$2)/$Q$2))</f>
        <v>2133.99486963103</v>
      </c>
      <c r="I123" s="15" t="n">
        <f aca="false">H123*(1+IF(I$3&lt;=$O$2,$D123,$D123-($D123-$I$103)*MIN(I$3-$O$2,$Q$2)/$Q$2))</f>
        <v>2117.80536196739</v>
      </c>
      <c r="J123" s="15" t="n">
        <f aca="false">I123*(1+IF(J$3&lt;=$O$2,$D123,$D123-($D123-$I$103)*MIN(J$3-$O$2,$Q$2)/$Q$2))</f>
        <v>2116.93879127556</v>
      </c>
      <c r="K123" s="15" t="n">
        <f aca="false">J123*(1+IF(K$3&lt;=$O$2,$D123,$D123-($D123-$I$103)*MIN(K$3-$O$2,$Q$2)/$Q$2))</f>
        <v>2131.26647114468</v>
      </c>
      <c r="L123" s="15" t="n">
        <f aca="false">K123*(1+IF(L$3&lt;=$O$2,$D123,$D123-($D123-$I$103)*MIN(L$3-$O$2,$Q$2)/$Q$2))</f>
        <v>2160.98785233459</v>
      </c>
      <c r="M123" s="15" t="n">
        <f aca="false">L123*(1+IF(M$3&lt;=$O$2,$D123,$D123-($D123-$I$103)*MIN(M$3-$O$2,$Q$2)/$Q$2))</f>
        <v>2206.63375943842</v>
      </c>
      <c r="N123" s="15" t="n">
        <f aca="false">M123*(1+IF(N$3&lt;=$O$2,$D123,$D123-($D123-$I$103)*MIN(N$3-$O$2,$Q$2)/$Q$2))</f>
        <v>2269.08149483053</v>
      </c>
      <c r="O123" s="15" t="n">
        <f aca="false">SUMPRODUCT(E123:N123,1/(1+$F$103)^$E$3:$N$3)*$E$2</f>
        <v>7944.69604932569</v>
      </c>
      <c r="P123" s="15" t="n">
        <f aca="false">N123*$E$2*(1+$I$103)/($F$103-$I$103)/(1+$F$103)^$N$3</f>
        <v>15885.6283049084</v>
      </c>
      <c r="Q123" s="15" t="n">
        <f aca="false">O123+P123</f>
        <v>23830.3243542341</v>
      </c>
      <c r="R123" s="15" t="n">
        <f aca="false">Q123-$G$2+$I$2</f>
        <v>25739.9843542341</v>
      </c>
      <c r="S123" s="42" t="n">
        <f aca="false">R123/$K$2</f>
        <v>109.98583239001</v>
      </c>
      <c r="T123" s="43" t="n">
        <f aca="false">S123-$M$2</f>
        <v>-6.68536766568195E-005</v>
      </c>
    </row>
    <row r="124" customFormat="false" ht="15" hidden="false" customHeight="false" outlineLevel="0" collapsed="false">
      <c r="A124" s="5" t="n">
        <v>20</v>
      </c>
      <c r="B124" s="25" t="n">
        <f aca="false">IF(T123&gt;0,B123,D123)</f>
        <v>-0.00758647918701172</v>
      </c>
      <c r="C124" s="25" t="n">
        <f aca="false">IF(T123&gt;0,D123,C123)</f>
        <v>-0.0075836181640625</v>
      </c>
      <c r="D124" s="41" t="n">
        <f aca="false">(B124+C124)/2</f>
        <v>-0.00758504867553711</v>
      </c>
      <c r="E124" s="15" t="n">
        <f aca="false">$C$2*(1+IF(E$3&lt;=$O$2,$D124,$D124-($D124-$I$103)*MIN(E$3-$O$2,$Q$2)/$Q$2))</f>
        <v>2183.31289291382</v>
      </c>
      <c r="F124" s="15" t="n">
        <f aca="false">E124*(1+IF(F$3&lt;=$O$2,$D124,$D124-($D124-$I$103)*MIN(F$3-$O$2,$Q$2)/$Q$2))</f>
        <v>2166.75235834714</v>
      </c>
      <c r="G124" s="15" t="n">
        <f aca="false">F124*(1+IF(G$3&lt;=$O$2,$D124,$D124-($D124-$I$103)*MIN(G$3-$O$2,$Q$2)/$Q$2))</f>
        <v>2150.31743624124</v>
      </c>
      <c r="H124" s="15" t="n">
        <f aca="false">G124*(1+IF(H$3&lt;=$O$2,$D124,$D124-($D124-$I$103)*MIN(H$3-$O$2,$Q$2)/$Q$2))</f>
        <v>2134.0071738195</v>
      </c>
      <c r="I124" s="15" t="n">
        <f aca="false">H124*(1+IF(I$3&lt;=$O$2,$D124,$D124-($D124-$I$103)*MIN(I$3-$O$2,$Q$2)/$Q$2))</f>
        <v>2117.82062553213</v>
      </c>
      <c r="J124" s="15" t="n">
        <f aca="false">I124*(1+IF(J$3&lt;=$O$2,$D124,$D124-($D124-$I$103)*MIN(J$3-$O$2,$Q$2)/$Q$2))</f>
        <v>2116.95647224807</v>
      </c>
      <c r="K124" s="15" t="n">
        <f aca="false">J124*(1+IF(K$3&lt;=$O$2,$D124,$D124-($D124-$I$103)*MIN(K$3-$O$2,$Q$2)/$Q$2))</f>
        <v>2131.28608878232</v>
      </c>
      <c r="L124" s="15" t="n">
        <f aca="false">K124*(1+IF(L$3&lt;=$O$2,$D124,$D124-($D124-$I$103)*MIN(L$3-$O$2,$Q$2)/$Q$2))</f>
        <v>2161.00896307988</v>
      </c>
      <c r="M124" s="15" t="n">
        <f aca="false">L124*(1+IF(M$3&lt;=$O$2,$D124,$D124-($D124-$I$103)*MIN(M$3-$O$2,$Q$2)/$Q$2))</f>
        <v>2206.65593436936</v>
      </c>
      <c r="N124" s="15" t="n">
        <f aca="false">M124*(1+IF(N$3&lt;=$O$2,$D124,$D124-($D124-$I$103)*MIN(N$3-$O$2,$Q$2)/$Q$2))</f>
        <v>2269.10429731201</v>
      </c>
      <c r="O124" s="15" t="n">
        <f aca="false">SUMPRODUCT(E124:N124,1/(1+$F$103)^$E$3:$N$3)*$E$2</f>
        <v>7944.746549999</v>
      </c>
      <c r="P124" s="15" t="n">
        <f aca="false">N124*$E$2*(1+$I$103)/($F$103-$I$103)/(1+$F$103)^$N$3</f>
        <v>15885.7879429584</v>
      </c>
      <c r="Q124" s="15" t="n">
        <f aca="false">O124+P124</f>
        <v>23830.5344929574</v>
      </c>
      <c r="R124" s="15" t="n">
        <f aca="false">Q124-$G$2+$I$2</f>
        <v>25740.1944929574</v>
      </c>
      <c r="S124" s="42" t="n">
        <f aca="false">R124/$K$2</f>
        <v>109.986730303625</v>
      </c>
      <c r="T124" s="43" t="n">
        <f aca="false">S124-$M$2</f>
        <v>0.00083105993853394</v>
      </c>
    </row>
    <row r="125" customFormat="false" ht="15" hidden="false" customHeight="false" outlineLevel="0" collapsed="false">
      <c r="A125" s="5" t="n">
        <v>21</v>
      </c>
      <c r="B125" s="25" t="n">
        <f aca="false">IF(T124&gt;0,B124,D124)</f>
        <v>-0.00758647918701172</v>
      </c>
      <c r="C125" s="25" t="n">
        <f aca="false">IF(T124&gt;0,D124,C124)</f>
        <v>-0.00758504867553711</v>
      </c>
      <c r="D125" s="41" t="n">
        <f aca="false">(B125+C125)/2</f>
        <v>-0.00758576393127441</v>
      </c>
      <c r="E125" s="15" t="n">
        <f aca="false">$C$2*(1+IF(E$3&lt;=$O$2,$D125,$D125-($D125-$I$103)*MIN(E$3-$O$2,$Q$2)/$Q$2))</f>
        <v>2183.3113193512</v>
      </c>
      <c r="F125" s="15" t="n">
        <f aca="false">E125*(1+IF(F$3&lt;=$O$2,$D125,$D125-($D125-$I$103)*MIN(F$3-$O$2,$Q$2)/$Q$2))</f>
        <v>2166.74923509412</v>
      </c>
      <c r="G125" s="15" t="n">
        <f aca="false">F125*(1+IF(G$3&lt;=$O$2,$D125,$D125-($D125-$I$103)*MIN(G$3-$O$2,$Q$2)/$Q$2))</f>
        <v>2150.31278689843</v>
      </c>
      <c r="H125" s="15" t="n">
        <f aca="false">G125*(1+IF(H$3&lt;=$O$2,$D125,$D125-($D125-$I$103)*MIN(H$3-$O$2,$Q$2)/$Q$2))</f>
        <v>2134.00102171861</v>
      </c>
      <c r="I125" s="15" t="n">
        <f aca="false">H125*(1+IF(I$3&lt;=$O$2,$D125,$D125-($D125-$I$103)*MIN(I$3-$O$2,$Q$2)/$Q$2))</f>
        <v>2117.81299373876</v>
      </c>
      <c r="J125" s="15" t="n">
        <f aca="false">I125*(1+IF(J$3&lt;=$O$2,$D125,$D125-($D125-$I$103)*MIN(J$3-$O$2,$Q$2)/$Q$2))</f>
        <v>2116.94763174645</v>
      </c>
      <c r="K125" s="15" t="n">
        <f aca="false">J125*(1+IF(K$3&lt;=$O$2,$D125,$D125-($D125-$I$103)*MIN(K$3-$O$2,$Q$2)/$Q$2))</f>
        <v>2131.27627994424</v>
      </c>
      <c r="L125" s="15" t="n">
        <f aca="false">K125*(1+IF(L$3&lt;=$O$2,$D125,$D125-($D125-$I$103)*MIN(L$3-$O$2,$Q$2)/$Q$2))</f>
        <v>2160.9984076849</v>
      </c>
      <c r="M125" s="15" t="n">
        <f aca="false">L125*(1+IF(M$3&lt;=$O$2,$D125,$D125-($D125-$I$103)*MIN(M$3-$O$2,$Q$2)/$Q$2))</f>
        <v>2206.64484687957</v>
      </c>
      <c r="N125" s="15" t="n">
        <f aca="false">M125*(1+IF(N$3&lt;=$O$2,$D125,$D125-($D125-$I$103)*MIN(N$3-$O$2,$Q$2)/$Q$2))</f>
        <v>2269.09289604627</v>
      </c>
      <c r="O125" s="15" t="n">
        <f aca="false">SUMPRODUCT(E125:N125,1/(1+$F$103)^$E$3:$N$3)*$E$2</f>
        <v>7944.72129962142</v>
      </c>
      <c r="P125" s="15" t="n">
        <f aca="false">N125*$E$2*(1+$I$103)/($F$103-$I$103)/(1+$F$103)^$N$3</f>
        <v>15885.7081237583</v>
      </c>
      <c r="Q125" s="15" t="n">
        <f aca="false">O125+P125</f>
        <v>23830.4294233797</v>
      </c>
      <c r="R125" s="15" t="n">
        <f aca="false">Q125-$G$2+$I$2</f>
        <v>25740.0894233797</v>
      </c>
      <c r="S125" s="42" t="n">
        <f aca="false">R125/$K$2</f>
        <v>109.986281345895</v>
      </c>
      <c r="T125" s="43" t="n">
        <f aca="false">S125-$M$2</f>
        <v>0.000382102208007495</v>
      </c>
    </row>
    <row r="126" customFormat="false" ht="15" hidden="false" customHeight="false" outlineLevel="0" collapsed="false">
      <c r="A126" s="5" t="n">
        <v>22</v>
      </c>
      <c r="B126" s="25" t="n">
        <f aca="false">IF(T125&gt;0,B125,D125)</f>
        <v>-0.00758647918701172</v>
      </c>
      <c r="C126" s="25" t="n">
        <f aca="false">IF(T125&gt;0,D125,C125)</f>
        <v>-0.00758576393127441</v>
      </c>
      <c r="D126" s="41" t="n">
        <f aca="false">(B126+C126)/2</f>
        <v>-0.00758612155914307</v>
      </c>
      <c r="E126" s="15" t="n">
        <f aca="false">$C$2*(1+IF(E$3&lt;=$O$2,$D126,$D126-($D126-$I$103)*MIN(E$3-$O$2,$Q$2)/$Q$2))</f>
        <v>2183.31053256989</v>
      </c>
      <c r="F126" s="15" t="n">
        <f aca="false">E126*(1+IF(F$3&lt;=$O$2,$D126,$D126-($D126-$I$103)*MIN(F$3-$O$2,$Q$2)/$Q$2))</f>
        <v>2166.74767346845</v>
      </c>
      <c r="G126" s="15" t="n">
        <f aca="false">F126*(1+IF(G$3&lt;=$O$2,$D126,$D126-($D126-$I$103)*MIN(G$3-$O$2,$Q$2)/$Q$2))</f>
        <v>2150.31046222953</v>
      </c>
      <c r="H126" s="15" t="n">
        <f aca="false">G126*(1+IF(H$3&lt;=$O$2,$D126,$D126-($D126-$I$103)*MIN(H$3-$O$2,$Q$2)/$Q$2))</f>
        <v>2133.99794567316</v>
      </c>
      <c r="I126" s="15" t="n">
        <f aca="false">H126*(1+IF(I$3&lt;=$O$2,$D126,$D126-($D126-$I$103)*MIN(I$3-$O$2,$Q$2)/$Q$2))</f>
        <v>2117.80917785032</v>
      </c>
      <c r="J126" s="15" t="n">
        <f aca="false">I126*(1+IF(J$3&lt;=$O$2,$D126,$D126-($D126-$I$103)*MIN(J$3-$O$2,$Q$2)/$Q$2))</f>
        <v>2116.94321150716</v>
      </c>
      <c r="K126" s="15" t="n">
        <f aca="false">J126*(1+IF(K$3&lt;=$O$2,$D126,$D126-($D126-$I$103)*MIN(K$3-$O$2,$Q$2)/$Q$2))</f>
        <v>2131.27137553965</v>
      </c>
      <c r="L126" s="15" t="n">
        <f aca="false">K126*(1+IF(L$3&lt;=$O$2,$D126,$D126-($D126-$I$103)*MIN(L$3-$O$2,$Q$2)/$Q$2))</f>
        <v>2160.99313000416</v>
      </c>
      <c r="M126" s="15" t="n">
        <f aca="false">L126*(1+IF(M$3&lt;=$O$2,$D126,$D126-($D126-$I$103)*MIN(M$3-$O$2,$Q$2)/$Q$2))</f>
        <v>2206.63930315292</v>
      </c>
      <c r="N126" s="15" t="n">
        <f aca="false">M126*(1+IF(N$3&lt;=$O$2,$D126,$D126-($D126-$I$103)*MIN(N$3-$O$2,$Q$2)/$Q$2))</f>
        <v>2269.08719543215</v>
      </c>
      <c r="O126" s="15" t="n">
        <f aca="false">SUMPRODUCT(E126:N126,1/(1+$F$103)^$E$3:$N$3)*$E$2</f>
        <v>7944.70867446332</v>
      </c>
      <c r="P126" s="15" t="n">
        <f aca="false">N126*$E$2*(1+$I$103)/($F$103-$I$103)/(1+$F$103)^$N$3</f>
        <v>15885.6682142896</v>
      </c>
      <c r="Q126" s="15" t="n">
        <f aca="false">O126+P126</f>
        <v>23830.3768887529</v>
      </c>
      <c r="R126" s="15" t="n">
        <f aca="false">Q126-$G$2+$I$2</f>
        <v>25740.0368887529</v>
      </c>
      <c r="S126" s="42" t="n">
        <f aca="false">R126/$K$2</f>
        <v>109.986056867722</v>
      </c>
      <c r="T126" s="43" t="n">
        <f aca="false">S126-$M$2</f>
        <v>0.000157624034969217</v>
      </c>
    </row>
    <row r="127" customFormat="false" ht="15" hidden="false" customHeight="false" outlineLevel="0" collapsed="false">
      <c r="A127" s="5" t="n">
        <v>23</v>
      </c>
      <c r="B127" s="25" t="n">
        <f aca="false">IF(T126&gt;0,B126,D126)</f>
        <v>-0.00758647918701172</v>
      </c>
      <c r="C127" s="25" t="n">
        <f aca="false">IF(T126&gt;0,D126,C126)</f>
        <v>-0.00758612155914307</v>
      </c>
      <c r="D127" s="41" t="n">
        <f aca="false">(B127+C127)/2</f>
        <v>-0.00758630037307739</v>
      </c>
      <c r="E127" s="15" t="n">
        <f aca="false">$C$2*(1+IF(E$3&lt;=$O$2,$D127,$D127-($D127-$I$103)*MIN(E$3-$O$2,$Q$2)/$Q$2))</f>
        <v>2183.31013917923</v>
      </c>
      <c r="F127" s="15" t="n">
        <f aca="false">E127*(1+IF(F$3&lt;=$O$2,$D127,$D127-($D127-$I$103)*MIN(F$3-$O$2,$Q$2)/$Q$2))</f>
        <v>2166.74689265583</v>
      </c>
      <c r="G127" s="15" t="n">
        <f aca="false">F127*(1+IF(G$3&lt;=$O$2,$D127,$D127-($D127-$I$103)*MIN(G$3-$O$2,$Q$2)/$Q$2))</f>
        <v>2150.30929989571</v>
      </c>
      <c r="H127" s="15" t="n">
        <f aca="false">G127*(1+IF(H$3&lt;=$O$2,$D127,$D127-($D127-$I$103)*MIN(H$3-$O$2,$Q$2)/$Q$2))</f>
        <v>2133.99640765168</v>
      </c>
      <c r="I127" s="15" t="n">
        <f aca="false">H127*(1+IF(I$3&lt;=$O$2,$D127,$D127-($D127-$I$103)*MIN(I$3-$O$2,$Q$2)/$Q$2))</f>
        <v>2117.80726990817</v>
      </c>
      <c r="J127" s="15" t="n">
        <f aca="false">I127*(1+IF(J$3&lt;=$O$2,$D127,$D127-($D127-$I$103)*MIN(J$3-$O$2,$Q$2)/$Q$2))</f>
        <v>2116.9410013904</v>
      </c>
      <c r="K127" s="15" t="n">
        <f aca="false">J127*(1+IF(K$3&lt;=$O$2,$D127,$D127-($D127-$I$103)*MIN(K$3-$O$2,$Q$2)/$Q$2))</f>
        <v>2131.26892334096</v>
      </c>
      <c r="L127" s="15" t="n">
        <f aca="false">K127*(1+IF(L$3&lt;=$O$2,$D127,$D127-($D127-$I$103)*MIN(L$3-$O$2,$Q$2)/$Q$2))</f>
        <v>2160.99049116798</v>
      </c>
      <c r="M127" s="15" t="n">
        <f aca="false">L127*(1+IF(M$3&lt;=$O$2,$D127,$D127-($D127-$I$103)*MIN(M$3-$O$2,$Q$2)/$Q$2))</f>
        <v>2206.63653129415</v>
      </c>
      <c r="N127" s="15" t="n">
        <f aca="false">M127*(1+IF(N$3&lt;=$O$2,$D127,$D127-($D127-$I$103)*MIN(N$3-$O$2,$Q$2)/$Q$2))</f>
        <v>2269.08434512978</v>
      </c>
      <c r="O127" s="15" t="n">
        <f aca="false">SUMPRODUCT(E127:N127,1/(1+$F$103)^$E$3:$N$3)*$E$2</f>
        <v>7944.70236189195</v>
      </c>
      <c r="P127" s="15" t="n">
        <f aca="false">N127*$E$2*(1+$I$103)/($F$103-$I$103)/(1+$F$103)^$N$3</f>
        <v>15885.648259588</v>
      </c>
      <c r="Q127" s="15" t="n">
        <f aca="false">O127+P127</f>
        <v>23830.35062148</v>
      </c>
      <c r="R127" s="15" t="n">
        <f aca="false">Q127-$G$2+$I$2</f>
        <v>25740.01062148</v>
      </c>
      <c r="S127" s="42" t="n">
        <f aca="false">R127/$K$2</f>
        <v>109.985944628808</v>
      </c>
      <c r="T127" s="43" t="n">
        <f aca="false">S127-$M$2</f>
        <v>4.53851215098666E-005</v>
      </c>
    </row>
    <row r="128" customFormat="false" ht="15" hidden="false" customHeight="false" outlineLevel="0" collapsed="false">
      <c r="A128" s="5" t="n">
        <v>24</v>
      </c>
      <c r="B128" s="25" t="n">
        <f aca="false">IF(T127&gt;0,B127,D127)</f>
        <v>-0.00758647918701172</v>
      </c>
      <c r="C128" s="25" t="n">
        <f aca="false">IF(T127&gt;0,D127,C127)</f>
        <v>-0.00758630037307739</v>
      </c>
      <c r="D128" s="41" t="n">
        <f aca="false">(B128+C128)/2</f>
        <v>-0.00758638978004456</v>
      </c>
      <c r="E128" s="15" t="n">
        <f aca="false">$C$2*(1+IF(E$3&lt;=$O$2,$D128,$D128-($D128-$I$103)*MIN(E$3-$O$2,$Q$2)/$Q$2))</f>
        <v>2183.3099424839</v>
      </c>
      <c r="F128" s="15" t="n">
        <f aca="false">E128*(1+IF(F$3&lt;=$O$2,$D128,$D128-($D128-$I$103)*MIN(F$3-$O$2,$Q$2)/$Q$2))</f>
        <v>2166.74650224957</v>
      </c>
      <c r="G128" s="15" t="n">
        <f aca="false">F128*(1+IF(G$3&lt;=$O$2,$D128,$D128-($D128-$I$103)*MIN(G$3-$O$2,$Q$2)/$Q$2))</f>
        <v>2150.30871872896</v>
      </c>
      <c r="H128" s="15" t="n">
        <f aca="false">G128*(1+IF(H$3&lt;=$O$2,$D128,$D128-($D128-$I$103)*MIN(H$3-$O$2,$Q$2)/$Q$2))</f>
        <v>2133.99563864125</v>
      </c>
      <c r="I128" s="15" t="n">
        <f aca="false">H128*(1+IF(I$3&lt;=$O$2,$D128,$D128-($D128-$I$103)*MIN(I$3-$O$2,$Q$2)/$Q$2))</f>
        <v>2117.80631593761</v>
      </c>
      <c r="J128" s="15" t="n">
        <f aca="false">I128*(1+IF(J$3&lt;=$O$2,$D128,$D128-($D128-$I$103)*MIN(J$3-$O$2,$Q$2)/$Q$2))</f>
        <v>2116.93989633274</v>
      </c>
      <c r="K128" s="15" t="n">
        <f aca="false">J128*(1+IF(K$3&lt;=$O$2,$D128,$D128-($D128-$I$103)*MIN(K$3-$O$2,$Q$2)/$Q$2))</f>
        <v>2131.26769724252</v>
      </c>
      <c r="L128" s="15" t="n">
        <f aca="false">K128*(1+IF(L$3&lt;=$O$2,$D128,$D128-($D128-$I$103)*MIN(L$3-$O$2,$Q$2)/$Q$2))</f>
        <v>2160.98917175094</v>
      </c>
      <c r="M128" s="15" t="n">
        <f aca="false">L128*(1+IF(M$3&lt;=$O$2,$D128,$D128-($D128-$I$103)*MIN(M$3-$O$2,$Q$2)/$Q$2))</f>
        <v>2206.63514536591</v>
      </c>
      <c r="N128" s="15" t="n">
        <f aca="false">M128*(1+IF(N$3&lt;=$O$2,$D128,$D128-($D128-$I$103)*MIN(N$3-$O$2,$Q$2)/$Q$2))</f>
        <v>2269.08291997976</v>
      </c>
      <c r="O128" s="15" t="n">
        <f aca="false">SUMPRODUCT(E128:N128,1/(1+$F$103)^$E$3:$N$3)*$E$2</f>
        <v>7944.69920560818</v>
      </c>
      <c r="P128" s="15" t="n">
        <f aca="false">N128*$E$2*(1+$I$103)/($F$103-$I$103)/(1+$F$103)^$N$3</f>
        <v>15885.6382822455</v>
      </c>
      <c r="Q128" s="15" t="n">
        <f aca="false">O128+P128</f>
        <v>23830.3374878536</v>
      </c>
      <c r="R128" s="15" t="n">
        <f aca="false">Q128-$G$2+$I$2</f>
        <v>25739.9974878536</v>
      </c>
      <c r="S128" s="42" t="n">
        <f aca="false">R128/$K$2</f>
        <v>109.985888509395</v>
      </c>
      <c r="T128" s="43" t="n">
        <f aca="false">S128-$M$2</f>
        <v>-1.07342919903886E-005</v>
      </c>
    </row>
    <row r="130" customFormat="false" ht="15" hidden="false" customHeight="false" outlineLevel="0" collapsed="false">
      <c r="A130" s="38" t="s">
        <v>191</v>
      </c>
      <c r="E130" s="5" t="s">
        <v>11</v>
      </c>
      <c r="F130" s="12" t="n">
        <f aca="false">Sensitivity!$B$10</f>
        <v>0.0677967762761046</v>
      </c>
      <c r="G130" s="5" t="s">
        <v>12</v>
      </c>
      <c r="I130" s="12" t="n">
        <f aca="false">Sensitivity!$F$9</f>
        <v>0.0333</v>
      </c>
    </row>
    <row r="131" customFormat="false" ht="23.85" hidden="false" customHeight="false" outlineLevel="0" collapsed="false">
      <c r="A131" s="38" t="s">
        <v>168</v>
      </c>
      <c r="B131" s="28" t="s">
        <v>169</v>
      </c>
      <c r="C131" s="28" t="s">
        <v>170</v>
      </c>
      <c r="D131" s="28" t="s">
        <v>171</v>
      </c>
      <c r="E131" s="28" t="s">
        <v>172</v>
      </c>
      <c r="F131" s="28" t="s">
        <v>173</v>
      </c>
      <c r="G131" s="28" t="s">
        <v>174</v>
      </c>
      <c r="H131" s="28" t="s">
        <v>175</v>
      </c>
      <c r="I131" s="28" t="s">
        <v>176</v>
      </c>
      <c r="J131" s="28" t="s">
        <v>177</v>
      </c>
      <c r="K131" s="28" t="s">
        <v>178</v>
      </c>
      <c r="L131" s="28" t="s">
        <v>179</v>
      </c>
      <c r="M131" s="28" t="s">
        <v>180</v>
      </c>
      <c r="N131" s="28" t="s">
        <v>181</v>
      </c>
      <c r="O131" s="28" t="s">
        <v>182</v>
      </c>
      <c r="P131" s="28" t="s">
        <v>183</v>
      </c>
      <c r="Q131" s="28" t="s">
        <v>184</v>
      </c>
      <c r="R131" s="28" t="s">
        <v>185</v>
      </c>
      <c r="S131" s="28" t="s">
        <v>186</v>
      </c>
      <c r="T131" s="28" t="s">
        <v>187</v>
      </c>
    </row>
    <row r="132" customFormat="false" ht="15" hidden="false" customHeight="false" outlineLevel="0" collapsed="false">
      <c r="A132" s="5" t="n">
        <v>1</v>
      </c>
      <c r="B132" s="24" t="n">
        <v>-0.5</v>
      </c>
      <c r="C132" s="24" t="n">
        <v>1</v>
      </c>
      <c r="D132" s="41" t="n">
        <f aca="false">(B132+C132)/2</f>
        <v>0.25</v>
      </c>
      <c r="E132" s="15" t="n">
        <f aca="false">$C$2*(1+IF(E$3&lt;=$O$2,$D132,$D132-($D132-$I$130)*MIN(E$3-$O$2,$Q$2)/$Q$2))</f>
        <v>2750</v>
      </c>
      <c r="F132" s="15" t="n">
        <f aca="false">E132*(1+IF(F$3&lt;=$O$2,$D132,$D132-($D132-$I$130)*MIN(F$3-$O$2,$Q$2)/$Q$2))</f>
        <v>3437.5</v>
      </c>
      <c r="G132" s="15" t="n">
        <f aca="false">F132*(1+IF(G$3&lt;=$O$2,$D132,$D132-($D132-$I$130)*MIN(G$3-$O$2,$Q$2)/$Q$2))</f>
        <v>4296.875</v>
      </c>
      <c r="H132" s="15" t="n">
        <f aca="false">G132*(1+IF(H$3&lt;=$O$2,$D132,$D132-($D132-$I$130)*MIN(H$3-$O$2,$Q$2)/$Q$2))</f>
        <v>5371.09375</v>
      </c>
      <c r="I132" s="15" t="n">
        <f aca="false">H132*(1+IF(I$3&lt;=$O$2,$D132,$D132-($D132-$I$130)*MIN(I$3-$O$2,$Q$2)/$Q$2))</f>
        <v>6713.8671875</v>
      </c>
      <c r="J132" s="15" t="n">
        <f aca="false">I132*(1+IF(J$3&lt;=$O$2,$D132,$D132-($D132-$I$130)*MIN(J$3-$O$2,$Q$2)/$Q$2))</f>
        <v>8101.35498046875</v>
      </c>
      <c r="K132" s="15" t="n">
        <f aca="false">J132*(1+IF(K$3&lt;=$O$2,$D132,$D132-($D132-$I$130)*MIN(K$3-$O$2,$Q$2)/$Q$2))</f>
        <v>9424.46827587891</v>
      </c>
      <c r="L132" s="15" t="n">
        <f aca="false">K132*(1+IF(L$3&lt;=$O$2,$D132,$D132-($D132-$I$130)*MIN(L$3-$O$2,$Q$2)/$Q$2))</f>
        <v>10555.2159796189</v>
      </c>
      <c r="M132" s="15" t="n">
        <f aca="false">L132*(1+IF(M$3&lt;=$O$2,$D132,$D132-($D132-$I$130)*MIN(M$3-$O$2,$Q$2)/$Q$2))</f>
        <v>11364.1677322968</v>
      </c>
      <c r="N132" s="15" t="n">
        <f aca="false">M132*(1+IF(N$3&lt;=$O$2,$D132,$D132-($D132-$I$130)*MIN(N$3-$O$2,$Q$2)/$Q$2))</f>
        <v>11742.5945177823</v>
      </c>
      <c r="O132" s="15" t="n">
        <f aca="false">SUMPRODUCT(E132:N132,1/(1+$F$130)^$E$3:$N$3)*$E$2</f>
        <v>24947.0735749729</v>
      </c>
      <c r="P132" s="15" t="n">
        <f aca="false">N132*$E$2*(1+$I$130)/($F$130-$I$130)/(1+$F$130)^$N$3</f>
        <v>94581.9140612155</v>
      </c>
      <c r="Q132" s="15" t="n">
        <f aca="false">O132+P132</f>
        <v>119528.987636188</v>
      </c>
      <c r="R132" s="15" t="n">
        <f aca="false">Q132-$G$2+$I$2</f>
        <v>121438.647636188</v>
      </c>
      <c r="S132" s="42" t="n">
        <f aca="false">R132/$K$2</f>
        <v>518.902053737506</v>
      </c>
      <c r="T132" s="43" t="n">
        <f aca="false">S132-$M$2</f>
        <v>408.916154493819</v>
      </c>
    </row>
    <row r="133" customFormat="false" ht="15" hidden="false" customHeight="false" outlineLevel="0" collapsed="false">
      <c r="A133" s="5" t="n">
        <v>2</v>
      </c>
      <c r="B133" s="25" t="n">
        <f aca="false">IF(T132&gt;0,B132,D132)</f>
        <v>-0.5</v>
      </c>
      <c r="C133" s="25" t="n">
        <f aca="false">IF(T132&gt;0,D132,C132)</f>
        <v>0.25</v>
      </c>
      <c r="D133" s="41" t="n">
        <f aca="false">(B133+C133)/2</f>
        <v>-0.125</v>
      </c>
      <c r="E133" s="15" t="n">
        <f aca="false">$C$2*(1+IF(E$3&lt;=$O$2,$D133,$D133-($D133-$I$130)*MIN(E$3-$O$2,$Q$2)/$Q$2))</f>
        <v>1925</v>
      </c>
      <c r="F133" s="15" t="n">
        <f aca="false">E133*(1+IF(F$3&lt;=$O$2,$D133,$D133-($D133-$I$130)*MIN(F$3-$O$2,$Q$2)/$Q$2))</f>
        <v>1684.375</v>
      </c>
      <c r="G133" s="15" t="n">
        <f aca="false">F133*(1+IF(G$3&lt;=$O$2,$D133,$D133-($D133-$I$130)*MIN(G$3-$O$2,$Q$2)/$Q$2))</f>
        <v>1473.828125</v>
      </c>
      <c r="H133" s="15" t="n">
        <f aca="false">G133*(1+IF(H$3&lt;=$O$2,$D133,$D133-($D133-$I$130)*MIN(H$3-$O$2,$Q$2)/$Q$2))</f>
        <v>1289.599609375</v>
      </c>
      <c r="I133" s="15" t="n">
        <f aca="false">H133*(1+IF(I$3&lt;=$O$2,$D133,$D133-($D133-$I$130)*MIN(I$3-$O$2,$Q$2)/$Q$2))</f>
        <v>1128.39965820313</v>
      </c>
      <c r="J133" s="15" t="n">
        <f aca="false">I133*(1+IF(J$3&lt;=$O$2,$D133,$D133-($D133-$I$130)*MIN(J$3-$O$2,$Q$2)/$Q$2))</f>
        <v>1023.07483410645</v>
      </c>
      <c r="K133" s="15" t="n">
        <f aca="false">J133*(1+IF(K$3&lt;=$O$2,$D133,$D133-($D133-$I$130)*MIN(K$3-$O$2,$Q$2)/$Q$2))</f>
        <v>959.97157833876</v>
      </c>
      <c r="L133" s="15" t="n">
        <f aca="false">K133*(1+IF(L$3&lt;=$O$2,$D133,$D133-($D133-$I$130)*MIN(L$3-$O$2,$Q$2)/$Q$2))</f>
        <v>931.15323155703</v>
      </c>
      <c r="M133" s="15" t="n">
        <f aca="false">L133*(1+IF(M$3&lt;=$O$2,$D133,$D133-($D133-$I$130)*MIN(M$3-$O$2,$Q$2)/$Q$2))</f>
        <v>932.680322856784</v>
      </c>
      <c r="N133" s="15" t="n">
        <f aca="false">M133*(1+IF(N$3&lt;=$O$2,$D133,$D133-($D133-$I$130)*MIN(N$3-$O$2,$Q$2)/$Q$2))</f>
        <v>963.738577607915</v>
      </c>
      <c r="O133" s="15" t="n">
        <f aca="false">SUMPRODUCT(E133:N133,1/(1+$F$130)^$E$3:$N$3)*$E$2</f>
        <v>4746.56438512623</v>
      </c>
      <c r="P133" s="15" t="n">
        <f aca="false">N133*$E$2*(1+$I$130)/($F$130-$I$130)/(1+$F$130)^$N$3</f>
        <v>7762.52975326313</v>
      </c>
      <c r="Q133" s="15" t="n">
        <f aca="false">O133+P133</f>
        <v>12509.0941383894</v>
      </c>
      <c r="R133" s="15" t="n">
        <f aca="false">Q133-$G$2+$I$2</f>
        <v>14418.7541383894</v>
      </c>
      <c r="S133" s="42" t="n">
        <f aca="false">R133/$K$2</f>
        <v>61.6107086202169</v>
      </c>
      <c r="T133" s="43" t="n">
        <f aca="false">S133-$M$2</f>
        <v>-48.3751906234698</v>
      </c>
    </row>
    <row r="134" customFormat="false" ht="15" hidden="false" customHeight="false" outlineLevel="0" collapsed="false">
      <c r="A134" s="5" t="n">
        <v>3</v>
      </c>
      <c r="B134" s="25" t="n">
        <f aca="false">IF(T133&gt;0,B133,D133)</f>
        <v>-0.125</v>
      </c>
      <c r="C134" s="25" t="n">
        <f aca="false">IF(T133&gt;0,D133,C133)</f>
        <v>0.25</v>
      </c>
      <c r="D134" s="41" t="n">
        <f aca="false">(B134+C134)/2</f>
        <v>0.0625</v>
      </c>
      <c r="E134" s="15" t="n">
        <f aca="false">$C$2*(1+IF(E$3&lt;=$O$2,$D134,$D134-($D134-$I$130)*MIN(E$3-$O$2,$Q$2)/$Q$2))</f>
        <v>2337.5</v>
      </c>
      <c r="F134" s="15" t="n">
        <f aca="false">E134*(1+IF(F$3&lt;=$O$2,$D134,$D134-($D134-$I$130)*MIN(F$3-$O$2,$Q$2)/$Q$2))</f>
        <v>2483.59375</v>
      </c>
      <c r="G134" s="15" t="n">
        <f aca="false">F134*(1+IF(G$3&lt;=$O$2,$D134,$D134-($D134-$I$130)*MIN(G$3-$O$2,$Q$2)/$Q$2))</f>
        <v>2638.818359375</v>
      </c>
      <c r="H134" s="15" t="n">
        <f aca="false">G134*(1+IF(H$3&lt;=$O$2,$D134,$D134-($D134-$I$130)*MIN(H$3-$O$2,$Q$2)/$Q$2))</f>
        <v>2803.74450683594</v>
      </c>
      <c r="I134" s="15" t="n">
        <f aca="false">H134*(1+IF(I$3&lt;=$O$2,$D134,$D134-($D134-$I$130)*MIN(I$3-$O$2,$Q$2)/$Q$2))</f>
        <v>2978.97853851318</v>
      </c>
      <c r="J134" s="15" t="n">
        <f aca="false">I134*(1+IF(J$3&lt;=$O$2,$D134,$D134-($D134-$I$130)*MIN(J$3-$O$2,$Q$2)/$Q$2))</f>
        <v>3147.76746250534</v>
      </c>
      <c r="K134" s="15" t="n">
        <f aca="false">J134*(1+IF(K$3&lt;=$O$2,$D134,$D134-($D134-$I$130)*MIN(K$3-$O$2,$Q$2)/$Q$2))</f>
        <v>3307.73700494986</v>
      </c>
      <c r="L134" s="15" t="n">
        <f aca="false">K134*(1+IF(L$3&lt;=$O$2,$D134,$D134-($D134-$I$130)*MIN(L$3-$O$2,$Q$2)/$Q$2))</f>
        <v>3456.51901543251</v>
      </c>
      <c r="M134" s="15" t="n">
        <f aca="false">L134*(1+IF(M$3&lt;=$O$2,$D134,$D134-($D134-$I$130)*MIN(M$3-$O$2,$Q$2)/$Q$2))</f>
        <v>3591.80716969654</v>
      </c>
      <c r="N134" s="15" t="n">
        <f aca="false">M134*(1+IF(N$3&lt;=$O$2,$D134,$D134-($D134-$I$130)*MIN(N$3-$O$2,$Q$2)/$Q$2))</f>
        <v>3711.41434844743</v>
      </c>
      <c r="O134" s="15" t="n">
        <f aca="false">SUMPRODUCT(E134:N134,1/(1+$F$130)^$E$3:$N$3)*$E$2</f>
        <v>10888.1661303724</v>
      </c>
      <c r="P134" s="15" t="n">
        <f aca="false">N134*$E$2*(1+$I$130)/($F$130-$I$130)/(1+$F$130)^$N$3</f>
        <v>29893.9618854106</v>
      </c>
      <c r="Q134" s="15" t="n">
        <f aca="false">O134+P134</f>
        <v>40782.1280157831</v>
      </c>
      <c r="R134" s="15" t="n">
        <f aca="false">Q134-$G$2+$I$2</f>
        <v>42691.7880157831</v>
      </c>
      <c r="S134" s="42" t="n">
        <f aca="false">R134/$K$2</f>
        <v>182.420151330099</v>
      </c>
      <c r="T134" s="43" t="n">
        <f aca="false">S134-$M$2</f>
        <v>72.4342520864123</v>
      </c>
    </row>
    <row r="135" customFormat="false" ht="15" hidden="false" customHeight="false" outlineLevel="0" collapsed="false">
      <c r="A135" s="5" t="n">
        <v>4</v>
      </c>
      <c r="B135" s="25" t="n">
        <f aca="false">IF(T134&gt;0,B134,D134)</f>
        <v>-0.125</v>
      </c>
      <c r="C135" s="25" t="n">
        <f aca="false">IF(T134&gt;0,D134,C134)</f>
        <v>0.0625</v>
      </c>
      <c r="D135" s="41" t="n">
        <f aca="false">(B135+C135)/2</f>
        <v>-0.03125</v>
      </c>
      <c r="E135" s="15" t="n">
        <f aca="false">$C$2*(1+IF(E$3&lt;=$O$2,$D135,$D135-($D135-$I$130)*MIN(E$3-$O$2,$Q$2)/$Q$2))</f>
        <v>2131.25</v>
      </c>
      <c r="F135" s="15" t="n">
        <f aca="false">E135*(1+IF(F$3&lt;=$O$2,$D135,$D135-($D135-$I$130)*MIN(F$3-$O$2,$Q$2)/$Q$2))</f>
        <v>2064.6484375</v>
      </c>
      <c r="G135" s="15" t="n">
        <f aca="false">F135*(1+IF(G$3&lt;=$O$2,$D135,$D135-($D135-$I$130)*MIN(G$3-$O$2,$Q$2)/$Q$2))</f>
        <v>2000.12817382813</v>
      </c>
      <c r="H135" s="15" t="n">
        <f aca="false">G135*(1+IF(H$3&lt;=$O$2,$D135,$D135-($D135-$I$130)*MIN(H$3-$O$2,$Q$2)/$Q$2))</f>
        <v>1937.624168396</v>
      </c>
      <c r="I135" s="15" t="n">
        <f aca="false">H135*(1+IF(I$3&lt;=$O$2,$D135,$D135-($D135-$I$130)*MIN(I$3-$O$2,$Q$2)/$Q$2))</f>
        <v>1877.07341313362</v>
      </c>
      <c r="J135" s="15" t="n">
        <f aca="false">I135*(1+IF(J$3&lt;=$O$2,$D135,$D135-($D135-$I$130)*MIN(J$3-$O$2,$Q$2)/$Q$2))</f>
        <v>1842.64788673675</v>
      </c>
      <c r="K135" s="15" t="n">
        <f aca="false">J135*(1+IF(K$3&lt;=$O$2,$D135,$D135-($D135-$I$130)*MIN(K$3-$O$2,$Q$2)/$Q$2))</f>
        <v>1832.64230871177</v>
      </c>
      <c r="L135" s="15" t="n">
        <f aca="false">K135*(1+IF(L$3&lt;=$O$2,$D135,$D135-($D135-$I$130)*MIN(L$3-$O$2,$Q$2)/$Q$2))</f>
        <v>1846.35047318093</v>
      </c>
      <c r="M135" s="15" t="n">
        <f aca="false">L135*(1+IF(M$3&lt;=$O$2,$D135,$D135-($D135-$I$130)*MIN(M$3-$O$2,$Q$2)/$Q$2))</f>
        <v>1883.99755932909</v>
      </c>
      <c r="N135" s="15" t="n">
        <f aca="false">M135*(1+IF(N$3&lt;=$O$2,$D135,$D135-($D135-$I$130)*MIN(N$3-$O$2,$Q$2)/$Q$2))</f>
        <v>1946.73467805475</v>
      </c>
      <c r="O135" s="15" t="n">
        <f aca="false">SUMPRODUCT(E135:N135,1/(1+$F$130)^$E$3:$N$3)*$E$2</f>
        <v>7171.53906971523</v>
      </c>
      <c r="P135" s="15" t="n">
        <f aca="false">N135*$E$2*(1+$I$130)/($F$130-$I$130)/(1+$F$130)^$N$3</f>
        <v>15680.1711700879</v>
      </c>
      <c r="Q135" s="15" t="n">
        <f aca="false">O135+P135</f>
        <v>22851.7102398031</v>
      </c>
      <c r="R135" s="15" t="n">
        <f aca="false">Q135-$G$2+$I$2</f>
        <v>24761.3702398031</v>
      </c>
      <c r="S135" s="42" t="n">
        <f aca="false">R135/$K$2</f>
        <v>105.804256889301</v>
      </c>
      <c r="T135" s="43" t="n">
        <f aca="false">S135-$M$2</f>
        <v>-4.1816423543857</v>
      </c>
    </row>
    <row r="136" customFormat="false" ht="15" hidden="false" customHeight="false" outlineLevel="0" collapsed="false">
      <c r="A136" s="5" t="n">
        <v>5</v>
      </c>
      <c r="B136" s="25" t="n">
        <f aca="false">IF(T135&gt;0,B135,D135)</f>
        <v>-0.03125</v>
      </c>
      <c r="C136" s="25" t="n">
        <f aca="false">IF(T135&gt;0,D135,C135)</f>
        <v>0.0625</v>
      </c>
      <c r="D136" s="41" t="n">
        <f aca="false">(B136+C136)/2</f>
        <v>0.015625</v>
      </c>
      <c r="E136" s="15" t="n">
        <f aca="false">$C$2*(1+IF(E$3&lt;=$O$2,$D136,$D136-($D136-$I$130)*MIN(E$3-$O$2,$Q$2)/$Q$2))</f>
        <v>2234.375</v>
      </c>
      <c r="F136" s="15" t="n">
        <f aca="false">E136*(1+IF(F$3&lt;=$O$2,$D136,$D136-($D136-$I$130)*MIN(F$3-$O$2,$Q$2)/$Q$2))</f>
        <v>2269.287109375</v>
      </c>
      <c r="G136" s="15" t="n">
        <f aca="false">F136*(1+IF(G$3&lt;=$O$2,$D136,$D136-($D136-$I$130)*MIN(G$3-$O$2,$Q$2)/$Q$2))</f>
        <v>2304.74472045898</v>
      </c>
      <c r="H136" s="15" t="n">
        <f aca="false">G136*(1+IF(H$3&lt;=$O$2,$D136,$D136-($D136-$I$130)*MIN(H$3-$O$2,$Q$2)/$Q$2))</f>
        <v>2340.75635671616</v>
      </c>
      <c r="I136" s="15" t="n">
        <f aca="false">H136*(1+IF(I$3&lt;=$O$2,$D136,$D136-($D136-$I$130)*MIN(I$3-$O$2,$Q$2)/$Q$2))</f>
        <v>2377.33067478985</v>
      </c>
      <c r="J136" s="15" t="n">
        <f aca="false">I136*(1+IF(J$3&lt;=$O$2,$D136,$D136-($D136-$I$130)*MIN(J$3-$O$2,$Q$2)/$Q$2))</f>
        <v>2422.88033051882</v>
      </c>
      <c r="K136" s="15" t="n">
        <f aca="false">J136*(1+IF(K$3&lt;=$O$2,$D136,$D136-($D136-$I$130)*MIN(K$3-$O$2,$Q$2)/$Q$2))</f>
        <v>2477.86759961994</v>
      </c>
      <c r="L136" s="15" t="n">
        <f aca="false">K136*(1+IF(L$3&lt;=$O$2,$D136,$D136-($D136-$I$130)*MIN(L$3-$O$2,$Q$2)/$Q$2))</f>
        <v>2542.86206675798</v>
      </c>
      <c r="M136" s="15" t="n">
        <f aca="false">L136*(1+IF(M$3&lt;=$O$2,$D136,$D136-($D136-$I$130)*MIN(M$3-$O$2,$Q$2)/$Q$2))</f>
        <v>2618.55035617503</v>
      </c>
      <c r="N136" s="15" t="n">
        <f aca="false">M136*(1+IF(N$3&lt;=$O$2,$D136,$D136-($D136-$I$130)*MIN(N$3-$O$2,$Q$2)/$Q$2))</f>
        <v>2705.74808303566</v>
      </c>
      <c r="O136" s="15" t="n">
        <f aca="false">SUMPRODUCT(E136:N136,1/(1+$F$130)^$E$3:$N$3)*$E$2</f>
        <v>8834.3033694592</v>
      </c>
      <c r="P136" s="15" t="n">
        <f aca="false">N136*$E$2*(1+$I$130)/($F$130-$I$130)/(1+$F$130)^$N$3</f>
        <v>21793.7213341935</v>
      </c>
      <c r="Q136" s="15" t="n">
        <f aca="false">O136+P136</f>
        <v>30628.0247036527</v>
      </c>
      <c r="R136" s="15" t="n">
        <f aca="false">Q136-$G$2+$I$2</f>
        <v>32537.6847036527</v>
      </c>
      <c r="S136" s="42" t="n">
        <f aca="false">R136/$K$2</f>
        <v>139.032110001507</v>
      </c>
      <c r="T136" s="43" t="n">
        <f aca="false">S136-$M$2</f>
        <v>29.0462107578205</v>
      </c>
    </row>
    <row r="137" customFormat="false" ht="15" hidden="false" customHeight="false" outlineLevel="0" collapsed="false">
      <c r="A137" s="5" t="n">
        <v>6</v>
      </c>
      <c r="B137" s="25" t="n">
        <f aca="false">IF(T136&gt;0,B136,D136)</f>
        <v>-0.03125</v>
      </c>
      <c r="C137" s="25" t="n">
        <f aca="false">IF(T136&gt;0,D136,C136)</f>
        <v>0.015625</v>
      </c>
      <c r="D137" s="41" t="n">
        <f aca="false">(B137+C137)/2</f>
        <v>-0.0078125</v>
      </c>
      <c r="E137" s="15" t="n">
        <f aca="false">$C$2*(1+IF(E$3&lt;=$O$2,$D137,$D137-($D137-$I$130)*MIN(E$3-$O$2,$Q$2)/$Q$2))</f>
        <v>2182.8125</v>
      </c>
      <c r="F137" s="15" t="n">
        <f aca="false">E137*(1+IF(F$3&lt;=$O$2,$D137,$D137-($D137-$I$130)*MIN(F$3-$O$2,$Q$2)/$Q$2))</f>
        <v>2165.75927734375</v>
      </c>
      <c r="G137" s="15" t="n">
        <f aca="false">F137*(1+IF(G$3&lt;=$O$2,$D137,$D137-($D137-$I$130)*MIN(G$3-$O$2,$Q$2)/$Q$2))</f>
        <v>2148.8392829895</v>
      </c>
      <c r="H137" s="15" t="n">
        <f aca="false">G137*(1+IF(H$3&lt;=$O$2,$D137,$D137-($D137-$I$130)*MIN(H$3-$O$2,$Q$2)/$Q$2))</f>
        <v>2132.05147609115</v>
      </c>
      <c r="I137" s="15" t="n">
        <f aca="false">H137*(1+IF(I$3&lt;=$O$2,$D137,$D137-($D137-$I$130)*MIN(I$3-$O$2,$Q$2)/$Q$2))</f>
        <v>2115.39482393418</v>
      </c>
      <c r="J137" s="15" t="n">
        <f aca="false">I137*(1+IF(J$3&lt;=$O$2,$D137,$D137-($D137-$I$130)*MIN(J$3-$O$2,$Q$2)/$Q$2))</f>
        <v>2116.262135812</v>
      </c>
      <c r="K137" s="15" t="n">
        <f aca="false">J137*(1+IF(K$3&lt;=$O$2,$D137,$D137-($D137-$I$130)*MIN(K$3-$O$2,$Q$2)/$Q$2))</f>
        <v>2134.53076869939</v>
      </c>
      <c r="L137" s="15" t="n">
        <f aca="false">K137*(1+IF(L$3&lt;=$O$2,$D137,$D137-($D137-$I$130)*MIN(L$3-$O$2,$Q$2)/$Q$2))</f>
        <v>2170.50828480582</v>
      </c>
      <c r="M137" s="15" t="n">
        <f aca="false">L137*(1+IF(M$3&lt;=$O$2,$D137,$D137-($D137-$I$130)*MIN(M$3-$O$2,$Q$2)/$Q$2))</f>
        <v>2224.93920631804</v>
      </c>
      <c r="N137" s="15" t="n">
        <f aca="false">M137*(1+IF(N$3&lt;=$O$2,$D137,$D137-($D137-$I$130)*MIN(N$3-$O$2,$Q$2)/$Q$2))</f>
        <v>2299.02968188843</v>
      </c>
      <c r="O137" s="15" t="n">
        <f aca="false">SUMPRODUCT(E137:N137,1/(1+$F$130)^$E$3:$N$3)*$E$2</f>
        <v>7958.76705708587</v>
      </c>
      <c r="P137" s="15" t="n">
        <f aca="false">N137*$E$2*(1+$I$130)/($F$130-$I$130)/(1+$F$130)^$N$3</f>
        <v>18517.7668757332</v>
      </c>
      <c r="Q137" s="15" t="n">
        <f aca="false">O137+P137</f>
        <v>26476.533932819</v>
      </c>
      <c r="R137" s="15" t="n">
        <f aca="false">Q137-$G$2+$I$2</f>
        <v>28386.193932819</v>
      </c>
      <c r="S137" s="42" t="n">
        <f aca="false">R137/$K$2</f>
        <v>121.292970699564</v>
      </c>
      <c r="T137" s="43" t="n">
        <f aca="false">S137-$M$2</f>
        <v>11.3070714558775</v>
      </c>
    </row>
    <row r="138" customFormat="false" ht="15" hidden="false" customHeight="false" outlineLevel="0" collapsed="false">
      <c r="A138" s="5" t="n">
        <v>7</v>
      </c>
      <c r="B138" s="25" t="n">
        <f aca="false">IF(T137&gt;0,B137,D137)</f>
        <v>-0.03125</v>
      </c>
      <c r="C138" s="25" t="n">
        <f aca="false">IF(T137&gt;0,D137,C137)</f>
        <v>-0.0078125</v>
      </c>
      <c r="D138" s="41" t="n">
        <f aca="false">(B138+C138)/2</f>
        <v>-0.01953125</v>
      </c>
      <c r="E138" s="15" t="n">
        <f aca="false">$C$2*(1+IF(E$3&lt;=$O$2,$D138,$D138-($D138-$I$130)*MIN(E$3-$O$2,$Q$2)/$Q$2))</f>
        <v>2157.03125</v>
      </c>
      <c r="F138" s="15" t="n">
        <f aca="false">E138*(1+IF(F$3&lt;=$O$2,$D138,$D138-($D138-$I$130)*MIN(F$3-$O$2,$Q$2)/$Q$2))</f>
        <v>2114.90173339844</v>
      </c>
      <c r="G138" s="15" t="n">
        <f aca="false">F138*(1+IF(G$3&lt;=$O$2,$D138,$D138-($D138-$I$130)*MIN(G$3-$O$2,$Q$2)/$Q$2))</f>
        <v>2073.595058918</v>
      </c>
      <c r="H138" s="15" t="n">
        <f aca="false">G138*(1+IF(H$3&lt;=$O$2,$D138,$D138-($D138-$I$130)*MIN(H$3-$O$2,$Q$2)/$Q$2))</f>
        <v>2033.09515542351</v>
      </c>
      <c r="I138" s="15" t="n">
        <f aca="false">H138*(1+IF(I$3&lt;=$O$2,$D138,$D138-($D138-$I$130)*MIN(I$3-$O$2,$Q$2)/$Q$2))</f>
        <v>1993.38626566914</v>
      </c>
      <c r="J138" s="15" t="n">
        <f aca="false">I138*(1+IF(J$3&lt;=$O$2,$D138,$D138-($D138-$I$130)*MIN(J$3-$O$2,$Q$2)/$Q$2))</f>
        <v>1975.51555779742</v>
      </c>
      <c r="K138" s="15" t="n">
        <f aca="false">J138*(1+IF(K$3&lt;=$O$2,$D138,$D138-($D138-$I$130)*MIN(K$3-$O$2,$Q$2)/$Q$2))</f>
        <v>1978.67885208434</v>
      </c>
      <c r="L138" s="15" t="n">
        <f aca="false">K138*(1+IF(L$3&lt;=$O$2,$D138,$D138-($D138-$I$130)*MIN(L$3-$O$2,$Q$2)/$Q$2))</f>
        <v>2002.75442701708</v>
      </c>
      <c r="M138" s="15" t="n">
        <f aca="false">L138*(1+IF(M$3&lt;=$O$2,$D138,$D138-($D138-$I$130)*MIN(M$3-$O$2,$Q$2)/$Q$2))</f>
        <v>2048.28454547228</v>
      </c>
      <c r="N138" s="15" t="n">
        <f aca="false">M138*(1+IF(N$3&lt;=$O$2,$D138,$D138-($D138-$I$130)*MIN(N$3-$O$2,$Q$2)/$Q$2))</f>
        <v>2116.4924208365</v>
      </c>
      <c r="O138" s="15" t="n">
        <f aca="false">SUMPRODUCT(E138:N138,1/(1+$F$130)^$E$3:$N$3)*$E$2</f>
        <v>7554.66221355985</v>
      </c>
      <c r="P138" s="15" t="n">
        <f aca="false">N138*$E$2*(1+$I$130)/($F$130-$I$130)/(1+$F$130)^$N$3</f>
        <v>17047.5020623107</v>
      </c>
      <c r="Q138" s="15" t="n">
        <f aca="false">O138+P138</f>
        <v>24602.1642758705</v>
      </c>
      <c r="R138" s="15" t="n">
        <f aca="false">Q138-$G$2+$I$2</f>
        <v>26511.8242758705</v>
      </c>
      <c r="S138" s="42" t="n">
        <f aca="false">R138/$K$2</f>
        <v>113.283870768152</v>
      </c>
      <c r="T138" s="43" t="n">
        <f aca="false">S138-$M$2</f>
        <v>3.29797152446486</v>
      </c>
    </row>
    <row r="139" customFormat="false" ht="15" hidden="false" customHeight="false" outlineLevel="0" collapsed="false">
      <c r="A139" s="5" t="n">
        <v>8</v>
      </c>
      <c r="B139" s="25" t="n">
        <f aca="false">IF(T138&gt;0,B138,D138)</f>
        <v>-0.03125</v>
      </c>
      <c r="C139" s="25" t="n">
        <f aca="false">IF(T138&gt;0,D138,C138)</f>
        <v>-0.01953125</v>
      </c>
      <c r="D139" s="41" t="n">
        <f aca="false">(B139+C139)/2</f>
        <v>-0.025390625</v>
      </c>
      <c r="E139" s="15" t="n">
        <f aca="false">$C$2*(1+IF(E$3&lt;=$O$2,$D139,$D139-($D139-$I$130)*MIN(E$3-$O$2,$Q$2)/$Q$2))</f>
        <v>2144.140625</v>
      </c>
      <c r="F139" s="15" t="n">
        <f aca="false">E139*(1+IF(F$3&lt;=$O$2,$D139,$D139-($D139-$I$130)*MIN(F$3-$O$2,$Q$2)/$Q$2))</f>
        <v>2089.69955444336</v>
      </c>
      <c r="G139" s="15" t="n">
        <f aca="false">F139*(1+IF(G$3&lt;=$O$2,$D139,$D139-($D139-$I$130)*MIN(G$3-$O$2,$Q$2)/$Q$2))</f>
        <v>2036.64077669382</v>
      </c>
      <c r="H139" s="15" t="n">
        <f aca="false">G139*(1+IF(H$3&lt;=$O$2,$D139,$D139-($D139-$I$130)*MIN(H$3-$O$2,$Q$2)/$Q$2))</f>
        <v>1984.92919447308</v>
      </c>
      <c r="I139" s="15" t="n">
        <f aca="false">H139*(1+IF(I$3&lt;=$O$2,$D139,$D139-($D139-$I$130)*MIN(I$3-$O$2,$Q$2)/$Q$2))</f>
        <v>1934.53060164466</v>
      </c>
      <c r="J139" s="15" t="n">
        <f aca="false">I139*(1+IF(J$3&lt;=$O$2,$D139,$D139-($D139-$I$130)*MIN(J$3-$O$2,$Q$2)/$Q$2))</f>
        <v>1908.11942260571</v>
      </c>
      <c r="K139" s="15" t="n">
        <f aca="false">J139*(1+IF(K$3&lt;=$O$2,$D139,$D139-($D139-$I$130)*MIN(K$3-$O$2,$Q$2)/$Q$2))</f>
        <v>1904.46656648606</v>
      </c>
      <c r="L139" s="15" t="n">
        <f aca="false">K139*(1+IF(L$3&lt;=$O$2,$D139,$D139-($D139-$I$130)*MIN(L$3-$O$2,$Q$2)/$Q$2))</f>
        <v>1923.17556991857</v>
      </c>
      <c r="M139" s="15" t="n">
        <f aca="false">L139*(1+IF(M$3&lt;=$O$2,$D139,$D139-($D139-$I$130)*MIN(M$3-$O$2,$Q$2)/$Q$2))</f>
        <v>1964.64284116021</v>
      </c>
      <c r="N139" s="15" t="n">
        <f aca="false">M139*(1+IF(N$3&lt;=$O$2,$D139,$D139-($D139-$I$130)*MIN(N$3-$O$2,$Q$2)/$Q$2))</f>
        <v>2030.06544777085</v>
      </c>
      <c r="O139" s="15" t="n">
        <f aca="false">SUMPRODUCT(E139:N139,1/(1+$F$130)^$E$3:$N$3)*$E$2</f>
        <v>7360.543789252</v>
      </c>
      <c r="P139" s="15" t="n">
        <f aca="false">N139*$E$2*(1+$I$130)/($F$130-$I$130)/(1+$F$130)^$N$3</f>
        <v>16351.3672748335</v>
      </c>
      <c r="Q139" s="15" t="n">
        <f aca="false">O139+P139</f>
        <v>23711.9110640855</v>
      </c>
      <c r="R139" s="15" t="n">
        <f aca="false">Q139-$G$2+$I$2</f>
        <v>25621.5710640855</v>
      </c>
      <c r="S139" s="42" t="n">
        <f aca="false">R139/$K$2</f>
        <v>109.479857557089</v>
      </c>
      <c r="T139" s="43" t="n">
        <f aca="false">S139-$M$2</f>
        <v>-0.506041686597868</v>
      </c>
    </row>
    <row r="140" customFormat="false" ht="15" hidden="false" customHeight="false" outlineLevel="0" collapsed="false">
      <c r="A140" s="5" t="n">
        <v>9</v>
      </c>
      <c r="B140" s="25" t="n">
        <f aca="false">IF(T139&gt;0,B139,D139)</f>
        <v>-0.025390625</v>
      </c>
      <c r="C140" s="25" t="n">
        <f aca="false">IF(T139&gt;0,D139,C139)</f>
        <v>-0.01953125</v>
      </c>
      <c r="D140" s="41" t="n">
        <f aca="false">(B140+C140)/2</f>
        <v>-0.0224609375</v>
      </c>
      <c r="E140" s="15" t="n">
        <f aca="false">$C$2*(1+IF(E$3&lt;=$O$2,$D140,$D140-($D140-$I$130)*MIN(E$3-$O$2,$Q$2)/$Q$2))</f>
        <v>2150.5859375</v>
      </c>
      <c r="F140" s="15" t="n">
        <f aca="false">E140*(1+IF(F$3&lt;=$O$2,$D140,$D140-($D140-$I$130)*MIN(F$3-$O$2,$Q$2)/$Q$2))</f>
        <v>2102.28176116943</v>
      </c>
      <c r="G140" s="15" t="n">
        <f aca="false">F140*(1+IF(G$3&lt;=$O$2,$D140,$D140-($D140-$I$130)*MIN(G$3-$O$2,$Q$2)/$Q$2))</f>
        <v>2055.06254192442</v>
      </c>
      <c r="H140" s="15" t="n">
        <f aca="false">G140*(1+IF(H$3&lt;=$O$2,$D140,$D140-($D140-$I$130)*MIN(H$3-$O$2,$Q$2)/$Q$2))</f>
        <v>2008.90391061166</v>
      </c>
      <c r="I140" s="15" t="n">
        <f aca="false">H140*(1+IF(I$3&lt;=$O$2,$D140,$D140-($D140-$I$130)*MIN(I$3-$O$2,$Q$2)/$Q$2))</f>
        <v>1963.78204543191</v>
      </c>
      <c r="J140" s="15" t="n">
        <f aca="false">I140*(1+IF(J$3&lt;=$O$2,$D140,$D140-($D140-$I$130)*MIN(J$3-$O$2,$Q$2)/$Q$2))</f>
        <v>1941.57412522563</v>
      </c>
      <c r="K140" s="15" t="n">
        <f aca="false">J140*(1+IF(K$3&lt;=$O$2,$D140,$D140-($D140-$I$130)*MIN(K$3-$O$2,$Q$2)/$Q$2))</f>
        <v>1941.27014752665</v>
      </c>
      <c r="L140" s="15" t="n">
        <f aca="false">K140*(1+IF(L$3&lt;=$O$2,$D140,$D140-($D140-$I$130)*MIN(L$3-$O$2,$Q$2)/$Q$2))</f>
        <v>1962.61562609255</v>
      </c>
      <c r="M140" s="15" t="n">
        <f aca="false">L140*(1+IF(M$3&lt;=$O$2,$D140,$D140-($D140-$I$130)*MIN(M$3-$O$2,$Q$2)/$Q$2))</f>
        <v>2006.08326898881</v>
      </c>
      <c r="N140" s="15" t="n">
        <f aca="false">M140*(1+IF(N$3&lt;=$O$2,$D140,$D140-($D140-$I$130)*MIN(N$3-$O$2,$Q$2)/$Q$2))</f>
        <v>2072.88584184614</v>
      </c>
      <c r="O140" s="15" t="n">
        <f aca="false">SUMPRODUCT(E140:N140,1/(1+$F$130)^$E$3:$N$3)*$E$2</f>
        <v>7456.95566920366</v>
      </c>
      <c r="P140" s="15" t="n">
        <f aca="false">N140*$E$2*(1+$I$130)/($F$130-$I$130)/(1+$F$130)^$N$3</f>
        <v>16696.2684656533</v>
      </c>
      <c r="Q140" s="15" t="n">
        <f aca="false">O140+P140</f>
        <v>24153.2241348569</v>
      </c>
      <c r="R140" s="15" t="n">
        <f aca="false">Q140-$G$2+$I$2</f>
        <v>26062.8841348569</v>
      </c>
      <c r="S140" s="42" t="n">
        <f aca="false">R140/$K$2</f>
        <v>111.365569093095</v>
      </c>
      <c r="T140" s="43" t="n">
        <f aca="false">S140-$M$2</f>
        <v>1.37966984940796</v>
      </c>
    </row>
    <row r="141" customFormat="false" ht="15" hidden="false" customHeight="false" outlineLevel="0" collapsed="false">
      <c r="A141" s="5" t="n">
        <v>10</v>
      </c>
      <c r="B141" s="25" t="n">
        <f aca="false">IF(T140&gt;0,B140,D140)</f>
        <v>-0.025390625</v>
      </c>
      <c r="C141" s="25" t="n">
        <f aca="false">IF(T140&gt;0,D140,C140)</f>
        <v>-0.0224609375</v>
      </c>
      <c r="D141" s="41" t="n">
        <f aca="false">(B141+C141)/2</f>
        <v>-0.02392578125</v>
      </c>
      <c r="E141" s="15" t="n">
        <f aca="false">$C$2*(1+IF(E$3&lt;=$O$2,$D141,$D141-($D141-$I$130)*MIN(E$3-$O$2,$Q$2)/$Q$2))</f>
        <v>2147.36328125</v>
      </c>
      <c r="F141" s="15" t="n">
        <f aca="false">E141*(1+IF(F$3&lt;=$O$2,$D141,$D141-($D141-$I$130)*MIN(F$3-$O$2,$Q$2)/$Q$2))</f>
        <v>2095.98593711853</v>
      </c>
      <c r="G141" s="15" t="n">
        <f aca="false">F141*(1+IF(G$3&lt;=$O$2,$D141,$D141-($D141-$I$130)*MIN(G$3-$O$2,$Q$2)/$Q$2))</f>
        <v>2045.83783608396</v>
      </c>
      <c r="H141" s="15" t="n">
        <f aca="false">G141*(1+IF(H$3&lt;=$O$2,$D141,$D141-($D141-$I$130)*MIN(H$3-$O$2,$Q$2)/$Q$2))</f>
        <v>1996.88956754484</v>
      </c>
      <c r="I141" s="15" t="n">
        <f aca="false">H141*(1+IF(I$3&lt;=$O$2,$D141,$D141-($D141-$I$130)*MIN(I$3-$O$2,$Q$2)/$Q$2))</f>
        <v>1949.11242457135</v>
      </c>
      <c r="J141" s="15" t="n">
        <f aca="false">I141*(1+IF(J$3&lt;=$O$2,$D141,$D141-($D141-$I$130)*MIN(J$3-$O$2,$Q$2)/$Q$2))</f>
        <v>1924.78628331744</v>
      </c>
      <c r="K141" s="15" t="n">
        <f aca="false">J141*(1+IF(K$3&lt;=$O$2,$D141,$D141-($D141-$I$130)*MIN(K$3-$O$2,$Q$2)/$Q$2))</f>
        <v>1922.79322727063</v>
      </c>
      <c r="L141" s="15" t="n">
        <f aca="false">K141*(1+IF(L$3&lt;=$O$2,$D141,$D141-($D141-$I$130)*MIN(L$3-$O$2,$Q$2)/$Q$2))</f>
        <v>1942.80890389364</v>
      </c>
      <c r="M141" s="15" t="n">
        <f aca="false">L141*(1+IF(M$3&lt;=$O$2,$D141,$D141-($D141-$I$130)*MIN(M$3-$O$2,$Q$2)/$Q$2))</f>
        <v>1985.26868892434</v>
      </c>
      <c r="N141" s="15" t="n">
        <f aca="false">M141*(1+IF(N$3&lt;=$O$2,$D141,$D141-($D141-$I$130)*MIN(N$3-$O$2,$Q$2)/$Q$2))</f>
        <v>2051.37813626552</v>
      </c>
      <c r="O141" s="15" t="n">
        <f aca="false">SUMPRODUCT(E141:N141,1/(1+$F$130)^$E$3:$N$3)*$E$2</f>
        <v>7408.58891808231</v>
      </c>
      <c r="P141" s="15" t="n">
        <f aca="false">N141*$E$2*(1+$I$130)/($F$130-$I$130)/(1+$F$130)^$N$3</f>
        <v>16523.0324778314</v>
      </c>
      <c r="Q141" s="15" t="n">
        <f aca="false">O141+P141</f>
        <v>23931.6213959137</v>
      </c>
      <c r="R141" s="15" t="n">
        <f aca="false">Q141-$G$2+$I$2</f>
        <v>25841.2813959137</v>
      </c>
      <c r="S141" s="42" t="n">
        <f aca="false">R141/$K$2</f>
        <v>110.418670238489</v>
      </c>
      <c r="T141" s="43" t="n">
        <f aca="false">S141-$M$2</f>
        <v>0.432770994802695</v>
      </c>
    </row>
    <row r="142" customFormat="false" ht="15" hidden="false" customHeight="false" outlineLevel="0" collapsed="false">
      <c r="A142" s="5" t="n">
        <v>11</v>
      </c>
      <c r="B142" s="25" t="n">
        <f aca="false">IF(T141&gt;0,B141,D141)</f>
        <v>-0.025390625</v>
      </c>
      <c r="C142" s="25" t="n">
        <f aca="false">IF(T141&gt;0,D141,C141)</f>
        <v>-0.02392578125</v>
      </c>
      <c r="D142" s="41" t="n">
        <f aca="false">(B142+C142)/2</f>
        <v>-0.024658203125</v>
      </c>
      <c r="E142" s="15" t="n">
        <f aca="false">$C$2*(1+IF(E$3&lt;=$O$2,$D142,$D142-($D142-$I$130)*MIN(E$3-$O$2,$Q$2)/$Q$2))</f>
        <v>2145.751953125</v>
      </c>
      <c r="F142" s="15" t="n">
        <f aca="false">E142*(1+IF(F$3&lt;=$O$2,$D142,$D142-($D142-$I$130)*MIN(F$3-$O$2,$Q$2)/$Q$2))</f>
        <v>2092.84156560898</v>
      </c>
      <c r="G142" s="15" t="n">
        <f aca="false">F142*(1+IF(G$3&lt;=$O$2,$D142,$D142-($D142-$I$130)*MIN(G$3-$O$2,$Q$2)/$Q$2))</f>
        <v>2041.23585317575</v>
      </c>
      <c r="H142" s="15" t="n">
        <f aca="false">G142*(1+IF(H$3&lt;=$O$2,$D142,$D142-($D142-$I$130)*MIN(H$3-$O$2,$Q$2)/$Q$2))</f>
        <v>1990.90264488211</v>
      </c>
      <c r="I142" s="15" t="n">
        <f aca="false">H142*(1+IF(I$3&lt;=$O$2,$D142,$D142-($D142-$I$130)*MIN(I$3-$O$2,$Q$2)/$Q$2))</f>
        <v>1941.81056306251</v>
      </c>
      <c r="J142" s="15" t="n">
        <f aca="false">I142*(1+IF(J$3&lt;=$O$2,$D142,$D142-($D142-$I$130)*MIN(J$3-$O$2,$Q$2)/$Q$2))</f>
        <v>1916.43777397709</v>
      </c>
      <c r="K142" s="15" t="n">
        <f aca="false">J142*(1+IF(K$3&lt;=$O$2,$D142,$D142-($D142-$I$130)*MIN(K$3-$O$2,$Q$2)/$Q$2))</f>
        <v>1913.61117798217</v>
      </c>
      <c r="L142" s="15" t="n">
        <f aca="false">K142*(1+IF(L$3&lt;=$O$2,$D142,$D142-($D142-$I$130)*MIN(L$3-$O$2,$Q$2)/$Q$2))</f>
        <v>1932.97064406668</v>
      </c>
      <c r="M142" s="15" t="n">
        <f aca="false">L142*(1+IF(M$3&lt;=$O$2,$D142,$D142-($D142-$I$130)*MIN(M$3-$O$2,$Q$2)/$Q$2))</f>
        <v>1974.9322654694</v>
      </c>
      <c r="N142" s="15" t="n">
        <f aca="false">M142*(1+IF(N$3&lt;=$O$2,$D142,$D142-($D142-$I$130)*MIN(N$3-$O$2,$Q$2)/$Q$2))</f>
        <v>2040.69750990953</v>
      </c>
      <c r="O142" s="15" t="n">
        <f aca="false">SUMPRODUCT(E142:N142,1/(1+$F$130)^$E$3:$N$3)*$E$2</f>
        <v>7384.52627800241</v>
      </c>
      <c r="P142" s="15" t="n">
        <f aca="false">N142*$E$2*(1+$I$130)/($F$130-$I$130)/(1+$F$130)^$N$3</f>
        <v>16437.0042936347</v>
      </c>
      <c r="Q142" s="15" t="n">
        <f aca="false">O142+P142</f>
        <v>23821.5305716371</v>
      </c>
      <c r="R142" s="15" t="n">
        <f aca="false">Q142-$G$2+$I$2</f>
        <v>25731.1905716371</v>
      </c>
      <c r="S142" s="42" t="n">
        <f aca="false">R142/$K$2</f>
        <v>109.948256939867</v>
      </c>
      <c r="T142" s="43" t="n">
        <f aca="false">S142-$M$2</f>
        <v>-0.0376423038194247</v>
      </c>
    </row>
    <row r="143" customFormat="false" ht="15" hidden="false" customHeight="false" outlineLevel="0" collapsed="false">
      <c r="A143" s="5" t="n">
        <v>12</v>
      </c>
      <c r="B143" s="25" t="n">
        <f aca="false">IF(T142&gt;0,B142,D142)</f>
        <v>-0.024658203125</v>
      </c>
      <c r="C143" s="25" t="n">
        <f aca="false">IF(T142&gt;0,D142,C142)</f>
        <v>-0.02392578125</v>
      </c>
      <c r="D143" s="41" t="n">
        <f aca="false">(B143+C143)/2</f>
        <v>-0.0242919921875</v>
      </c>
      <c r="E143" s="15" t="n">
        <f aca="false">$C$2*(1+IF(E$3&lt;=$O$2,$D143,$D143-($D143-$I$130)*MIN(E$3-$O$2,$Q$2)/$Q$2))</f>
        <v>2146.5576171875</v>
      </c>
      <c r="F143" s="15" t="n">
        <f aca="false">E143*(1+IF(F$3&lt;=$O$2,$D143,$D143-($D143-$I$130)*MIN(F$3-$O$2,$Q$2)/$Q$2))</f>
        <v>2094.41345632076</v>
      </c>
      <c r="G143" s="15" t="n">
        <f aca="false">F143*(1+IF(G$3&lt;=$O$2,$D143,$D143-($D143-$I$130)*MIN(G$3-$O$2,$Q$2)/$Q$2))</f>
        <v>2043.53598100242</v>
      </c>
      <c r="H143" s="15" t="n">
        <f aca="false">G143*(1+IF(H$3&lt;=$O$2,$D143,$D143-($D143-$I$130)*MIN(H$3-$O$2,$Q$2)/$Q$2))</f>
        <v>1993.89442091704</v>
      </c>
      <c r="I143" s="15" t="n">
        <f aca="false">H143*(1+IF(I$3&lt;=$O$2,$D143,$D143-($D143-$I$130)*MIN(I$3-$O$2,$Q$2)/$Q$2))</f>
        <v>1945.45875322142</v>
      </c>
      <c r="J143" s="15" t="n">
        <f aca="false">I143*(1+IF(J$3&lt;=$O$2,$D143,$D143-($D143-$I$130)*MIN(J$3-$O$2,$Q$2)/$Q$2))</f>
        <v>1920.60825345039</v>
      </c>
      <c r="K143" s="15" t="n">
        <f aca="false">J143*(1+IF(K$3&lt;=$O$2,$D143,$D143-($D143-$I$130)*MIN(K$3-$O$2,$Q$2)/$Q$2))</f>
        <v>1918.19751497351</v>
      </c>
      <c r="L143" s="15" t="n">
        <f aca="false">K143*(1+IF(L$3&lt;=$O$2,$D143,$D143-($D143-$I$130)*MIN(L$3-$O$2,$Q$2)/$Q$2))</f>
        <v>1937.88436570355</v>
      </c>
      <c r="M143" s="15" t="n">
        <f aca="false">L143*(1+IF(M$3&lt;=$O$2,$D143,$D143-($D143-$I$130)*MIN(M$3-$O$2,$Q$2)/$Q$2))</f>
        <v>1980.09459083151</v>
      </c>
      <c r="N143" s="15" t="n">
        <f aca="false">M143*(1+IF(N$3&lt;=$O$2,$D143,$D143-($D143-$I$130)*MIN(N$3-$O$2,$Q$2)/$Q$2))</f>
        <v>2046.0317407062</v>
      </c>
      <c r="O143" s="15" t="n">
        <f aca="false">SUMPRODUCT(E143:N143,1/(1+$F$130)^$E$3:$N$3)*$E$2</f>
        <v>7396.54756326341</v>
      </c>
      <c r="P143" s="15" t="n">
        <f aca="false">N143*$E$2*(1+$I$130)/($F$130-$I$130)/(1+$F$130)^$N$3</f>
        <v>16479.969394578</v>
      </c>
      <c r="Q143" s="15" t="n">
        <f aca="false">O143+P143</f>
        <v>23876.5169578414</v>
      </c>
      <c r="R143" s="15" t="n">
        <f aca="false">Q143-$G$2+$I$2</f>
        <v>25786.1769578414</v>
      </c>
      <c r="S143" s="42" t="n">
        <f aca="false">R143/$K$2</f>
        <v>110.183211373933</v>
      </c>
      <c r="T143" s="43" t="n">
        <f aca="false">S143-$M$2</f>
        <v>0.197312130245848</v>
      </c>
    </row>
    <row r="144" customFormat="false" ht="15" hidden="false" customHeight="false" outlineLevel="0" collapsed="false">
      <c r="A144" s="5" t="n">
        <v>13</v>
      </c>
      <c r="B144" s="25" t="n">
        <f aca="false">IF(T143&gt;0,B143,D143)</f>
        <v>-0.024658203125</v>
      </c>
      <c r="C144" s="25" t="n">
        <f aca="false">IF(T143&gt;0,D143,C143)</f>
        <v>-0.0242919921875</v>
      </c>
      <c r="D144" s="41" t="n">
        <f aca="false">(B144+C144)/2</f>
        <v>-0.02447509765625</v>
      </c>
      <c r="E144" s="15" t="n">
        <f aca="false">$C$2*(1+IF(E$3&lt;=$O$2,$D144,$D144-($D144-$I$130)*MIN(E$3-$O$2,$Q$2)/$Q$2))</f>
        <v>2146.15478515625</v>
      </c>
      <c r="F144" s="15" t="n">
        <f aca="false">E144*(1+IF(F$3&lt;=$O$2,$D144,$D144-($D144-$I$130)*MIN(F$3-$O$2,$Q$2)/$Q$2))</f>
        <v>2093.62743720412</v>
      </c>
      <c r="G144" s="15" t="n">
        <f aca="false">F144*(1+IF(G$3&lt;=$O$2,$D144,$D144-($D144-$I$130)*MIN(G$3-$O$2,$Q$2)/$Q$2))</f>
        <v>2042.38570122275</v>
      </c>
      <c r="H144" s="15" t="n">
        <f aca="false">G144*(1+IF(H$3&lt;=$O$2,$D144,$D144-($D144-$I$130)*MIN(H$3-$O$2,$Q$2)/$Q$2))</f>
        <v>1992.39811173359</v>
      </c>
      <c r="I144" s="15" t="n">
        <f aca="false">H144*(1+IF(I$3&lt;=$O$2,$D144,$D144-($D144-$I$130)*MIN(I$3-$O$2,$Q$2)/$Q$2))</f>
        <v>1943.63397337878</v>
      </c>
      <c r="J144" s="15" t="n">
        <f aca="false">I144*(1+IF(J$3&lt;=$O$2,$D144,$D144-($D144-$I$130)*MIN(J$3-$O$2,$Q$2)/$Q$2))</f>
        <v>1918.52207059633</v>
      </c>
      <c r="K144" s="15" t="n">
        <f aca="false">J144*(1+IF(K$3&lt;=$O$2,$D144,$D144-($D144-$I$130)*MIN(K$3-$O$2,$Q$2)/$Q$2))</f>
        <v>1915.90317555656</v>
      </c>
      <c r="L144" s="15" t="n">
        <f aca="false">K144*(1+IF(L$3&lt;=$O$2,$D144,$D144-($D144-$I$130)*MIN(L$3-$O$2,$Q$2)/$Q$2))</f>
        <v>1935.42615407551</v>
      </c>
      <c r="M144" s="15" t="n">
        <f aca="false">L144*(1+IF(M$3&lt;=$O$2,$D144,$D144-($D144-$I$130)*MIN(M$3-$O$2,$Q$2)/$Q$2))</f>
        <v>1977.51195799459</v>
      </c>
      <c r="N144" s="15" t="n">
        <f aca="false">M144*(1+IF(N$3&lt;=$O$2,$D144,$D144-($D144-$I$130)*MIN(N$3-$O$2,$Q$2)/$Q$2))</f>
        <v>2043.36310619581</v>
      </c>
      <c r="O144" s="15" t="n">
        <f aca="false">SUMPRODUCT(E144:N144,1/(1+$F$130)^$E$3:$N$3)*$E$2</f>
        <v>7390.53441392273</v>
      </c>
      <c r="P144" s="15" t="n">
        <f aca="false">N144*$E$2*(1+$I$130)/($F$130-$I$130)/(1+$F$130)^$N$3</f>
        <v>16458.4746082649</v>
      </c>
      <c r="Q144" s="15" t="n">
        <f aca="false">O144+P144</f>
        <v>23849.0090221876</v>
      </c>
      <c r="R144" s="15" t="n">
        <f aca="false">Q144-$G$2+$I$2</f>
        <v>25758.6690221876</v>
      </c>
      <c r="S144" s="42" t="n">
        <f aca="false">R144/$K$2</f>
        <v>110.065671162618</v>
      </c>
      <c r="T144" s="43" t="n">
        <f aca="false">S144-$M$2</f>
        <v>0.0797719189317689</v>
      </c>
    </row>
    <row r="145" customFormat="false" ht="15" hidden="false" customHeight="false" outlineLevel="0" collapsed="false">
      <c r="A145" s="5" t="n">
        <v>14</v>
      </c>
      <c r="B145" s="25" t="n">
        <f aca="false">IF(T144&gt;0,B144,D144)</f>
        <v>-0.024658203125</v>
      </c>
      <c r="C145" s="25" t="n">
        <f aca="false">IF(T144&gt;0,D144,C144)</f>
        <v>-0.02447509765625</v>
      </c>
      <c r="D145" s="41" t="n">
        <f aca="false">(B145+C145)/2</f>
        <v>-0.024566650390625</v>
      </c>
      <c r="E145" s="15" t="n">
        <f aca="false">$C$2*(1+IF(E$3&lt;=$O$2,$D145,$D145-($D145-$I$130)*MIN(E$3-$O$2,$Q$2)/$Q$2))</f>
        <v>2145.95336914063</v>
      </c>
      <c r="F145" s="15" t="n">
        <f aca="false">E145*(1+IF(F$3&lt;=$O$2,$D145,$D145-($D145-$I$130)*MIN(F$3-$O$2,$Q$2)/$Q$2))</f>
        <v>2093.23448296636</v>
      </c>
      <c r="G145" s="15" t="n">
        <f aca="false">F145*(1+IF(G$3&lt;=$O$2,$D145,$D145-($D145-$I$130)*MIN(G$3-$O$2,$Q$2)/$Q$2))</f>
        <v>2041.81072323773</v>
      </c>
      <c r="H145" s="15" t="n">
        <f aca="false">G145*(1+IF(H$3&lt;=$O$2,$D145,$D145-($D145-$I$130)*MIN(H$3-$O$2,$Q$2)/$Q$2))</f>
        <v>1991.65027303612</v>
      </c>
      <c r="I145" s="15" t="n">
        <f aca="false">H145*(1+IF(I$3&lt;=$O$2,$D145,$D145-($D145-$I$130)*MIN(I$3-$O$2,$Q$2)/$Q$2))</f>
        <v>1942.72209707805</v>
      </c>
      <c r="J145" s="15" t="n">
        <f aca="false">I145*(1+IF(J$3&lt;=$O$2,$D145,$D145-($D145-$I$130)*MIN(J$3-$O$2,$Q$2)/$Q$2))</f>
        <v>1917.47968659254</v>
      </c>
      <c r="K145" s="15" t="n">
        <f aca="false">J145*(1+IF(K$3&lt;=$O$2,$D145,$D145-($D145-$I$130)*MIN(K$3-$O$2,$Q$2)/$Q$2))</f>
        <v>1914.75688416297</v>
      </c>
      <c r="L145" s="15" t="n">
        <f aca="false">K145*(1+IF(L$3&lt;=$O$2,$D145,$D145-($D145-$I$130)*MIN(L$3-$O$2,$Q$2)/$Q$2))</f>
        <v>1934.19806152603</v>
      </c>
      <c r="M145" s="15" t="n">
        <f aca="false">L145*(1+IF(M$3&lt;=$O$2,$D145,$D145-($D145-$I$130)*MIN(M$3-$O$2,$Q$2)/$Q$2))</f>
        <v>1976.22174437234</v>
      </c>
      <c r="N145" s="15" t="n">
        <f aca="false">M145*(1+IF(N$3&lt;=$O$2,$D145,$D145-($D145-$I$130)*MIN(N$3-$O$2,$Q$2)/$Q$2))</f>
        <v>2042.02992845994</v>
      </c>
      <c r="O145" s="15" t="n">
        <f aca="false">SUMPRODUCT(E145:N145,1/(1+$F$130)^$E$3:$N$3)*$E$2</f>
        <v>7387.52971953295</v>
      </c>
      <c r="P145" s="15" t="n">
        <f aca="false">N145*$E$2*(1+$I$130)/($F$130-$I$130)/(1+$F$130)^$N$3</f>
        <v>16447.7363934818</v>
      </c>
      <c r="Q145" s="15" t="n">
        <f aca="false">O145+P145</f>
        <v>23835.2661130147</v>
      </c>
      <c r="R145" s="15" t="n">
        <f aca="false">Q145-$G$2+$I$2</f>
        <v>25744.9261130147</v>
      </c>
      <c r="S145" s="42" t="n">
        <f aca="false">R145/$K$2</f>
        <v>110.006948310109</v>
      </c>
      <c r="T145" s="43" t="n">
        <f aca="false">S145-$M$2</f>
        <v>0.0210490664219094</v>
      </c>
    </row>
    <row r="146" customFormat="false" ht="15" hidden="false" customHeight="false" outlineLevel="0" collapsed="false">
      <c r="A146" s="5" t="n">
        <v>15</v>
      </c>
      <c r="B146" s="25" t="n">
        <f aca="false">IF(T145&gt;0,B145,D145)</f>
        <v>-0.024658203125</v>
      </c>
      <c r="C146" s="25" t="n">
        <f aca="false">IF(T145&gt;0,D145,C145)</f>
        <v>-0.024566650390625</v>
      </c>
      <c r="D146" s="41" t="n">
        <f aca="false">(B146+C146)/2</f>
        <v>-0.0246124267578125</v>
      </c>
      <c r="E146" s="15" t="n">
        <f aca="false">$C$2*(1+IF(E$3&lt;=$O$2,$D146,$D146-($D146-$I$130)*MIN(E$3-$O$2,$Q$2)/$Q$2))</f>
        <v>2145.85266113281</v>
      </c>
      <c r="F146" s="15" t="n">
        <f aca="false">E146*(1+IF(F$3&lt;=$O$2,$D146,$D146-($D146-$I$130)*MIN(F$3-$O$2,$Q$2)/$Q$2))</f>
        <v>2093.03801967762</v>
      </c>
      <c r="G146" s="15" t="n">
        <f aca="false">F146*(1+IF(G$3&lt;=$O$2,$D146,$D146-($D146-$I$130)*MIN(G$3-$O$2,$Q$2)/$Q$2))</f>
        <v>2041.52327471699</v>
      </c>
      <c r="H146" s="15" t="n">
        <f aca="false">G146*(1+IF(H$3&lt;=$O$2,$D146,$D146-($D146-$I$130)*MIN(H$3-$O$2,$Q$2)/$Q$2))</f>
        <v>1991.27643264365</v>
      </c>
      <c r="I146" s="15" t="n">
        <f aca="false">H146*(1+IF(I$3&lt;=$O$2,$D146,$D146-($D146-$I$130)*MIN(I$3-$O$2,$Q$2)/$Q$2))</f>
        <v>1942.26628729065</v>
      </c>
      <c r="J146" s="15" t="n">
        <f aca="false">I146*(1+IF(J$3&lt;=$O$2,$D146,$D146-($D146-$I$130)*MIN(J$3-$O$2,$Q$2)/$Q$2))</f>
        <v>1916.95867137192</v>
      </c>
      <c r="K146" s="15" t="n">
        <f aca="false">J146*(1+IF(K$3&lt;=$O$2,$D146,$D146-($D146-$I$130)*MIN(K$3-$O$2,$Q$2)/$Q$2))</f>
        <v>1914.18395793646</v>
      </c>
      <c r="L146" s="15" t="n">
        <f aca="false">K146*(1+IF(L$3&lt;=$O$2,$D146,$D146-($D146-$I$130)*MIN(L$3-$O$2,$Q$2)/$Q$2))</f>
        <v>1933.58426842975</v>
      </c>
      <c r="M146" s="15" t="n">
        <f aca="false">L146*(1+IF(M$3&lt;=$O$2,$D146,$D146-($D146-$I$130)*MIN(M$3-$O$2,$Q$2)/$Q$2))</f>
        <v>1975.57691310336</v>
      </c>
      <c r="N146" s="15" t="n">
        <f aca="false">M146*(1+IF(N$3&lt;=$O$2,$D146,$D146-($D146-$I$130)*MIN(N$3-$O$2,$Q$2)/$Q$2))</f>
        <v>2041.3636243097</v>
      </c>
      <c r="O146" s="15" t="n">
        <f aca="false">SUMPRODUCT(E146:N146,1/(1+$F$130)^$E$3:$N$3)*$E$2</f>
        <v>7386.02784219125</v>
      </c>
      <c r="P146" s="15" t="n">
        <f aca="false">N146*$E$2*(1+$I$130)/($F$130-$I$130)/(1+$F$130)^$N$3</f>
        <v>16442.3695793777</v>
      </c>
      <c r="Q146" s="15" t="n">
        <f aca="false">O146+P146</f>
        <v>23828.397421569</v>
      </c>
      <c r="R146" s="15" t="n">
        <f aca="false">Q146-$G$2+$I$2</f>
        <v>25738.057421569</v>
      </c>
      <c r="S146" s="42" t="n">
        <f aca="false">R146/$K$2</f>
        <v>109.977598690634</v>
      </c>
      <c r="T146" s="43" t="n">
        <f aca="false">S146-$M$2</f>
        <v>-0.00830055305317501</v>
      </c>
    </row>
    <row r="147" customFormat="false" ht="15" hidden="false" customHeight="false" outlineLevel="0" collapsed="false">
      <c r="A147" s="5" t="n">
        <v>16</v>
      </c>
      <c r="B147" s="25" t="n">
        <f aca="false">IF(T146&gt;0,B146,D146)</f>
        <v>-0.0246124267578125</v>
      </c>
      <c r="C147" s="25" t="n">
        <f aca="false">IF(T146&gt;0,D146,C146)</f>
        <v>-0.024566650390625</v>
      </c>
      <c r="D147" s="41" t="n">
        <f aca="false">(B147+C147)/2</f>
        <v>-0.0245895385742188</v>
      </c>
      <c r="E147" s="15" t="n">
        <f aca="false">$C$2*(1+IF(E$3&lt;=$O$2,$D147,$D147-($D147-$I$130)*MIN(E$3-$O$2,$Q$2)/$Q$2))</f>
        <v>2145.90301513672</v>
      </c>
      <c r="F147" s="15" t="n">
        <f aca="false">E147*(1+IF(F$3&lt;=$O$2,$D147,$D147-($D147-$I$130)*MIN(F$3-$O$2,$Q$2)/$Q$2))</f>
        <v>2093.13625016948</v>
      </c>
      <c r="G147" s="15" t="n">
        <f aca="false">F147*(1+IF(G$3&lt;=$O$2,$D147,$D147-($D147-$I$130)*MIN(G$3-$O$2,$Q$2)/$Q$2))</f>
        <v>2041.66699560484</v>
      </c>
      <c r="H147" s="15" t="n">
        <f aca="false">G147*(1+IF(H$3&lt;=$O$2,$D147,$D147-($D147-$I$130)*MIN(H$3-$O$2,$Q$2)/$Q$2))</f>
        <v>1991.46334626071</v>
      </c>
      <c r="I147" s="15" t="n">
        <f aca="false">H147*(1+IF(I$3&lt;=$O$2,$D147,$D147-($D147-$I$130)*MIN(I$3-$O$2,$Q$2)/$Q$2))</f>
        <v>1942.49418148869</v>
      </c>
      <c r="J147" s="15" t="n">
        <f aca="false">I147*(1+IF(J$3&lt;=$O$2,$D147,$D147-($D147-$I$130)*MIN(J$3-$O$2,$Q$2)/$Q$2))</f>
        <v>1917.21916425267</v>
      </c>
      <c r="K147" s="15" t="n">
        <f aca="false">J147*(1+IF(K$3&lt;=$O$2,$D147,$D147-($D147-$I$130)*MIN(K$3-$O$2,$Q$2)/$Q$2))</f>
        <v>1914.47040276375</v>
      </c>
      <c r="L147" s="15" t="n">
        <f aca="false">K147*(1+IF(L$3&lt;=$O$2,$D147,$D147-($D147-$I$130)*MIN(L$3-$O$2,$Q$2)/$Q$2))</f>
        <v>1933.89114388378</v>
      </c>
      <c r="M147" s="15" t="n">
        <f aca="false">L147*(1+IF(M$3&lt;=$O$2,$D147,$D147-($D147-$I$130)*MIN(M$3-$O$2,$Q$2)/$Q$2))</f>
        <v>1975.89930578067</v>
      </c>
      <c r="N147" s="15" t="n">
        <f aca="false">M147*(1+IF(N$3&lt;=$O$2,$D147,$D147-($D147-$I$130)*MIN(N$3-$O$2,$Q$2)/$Q$2))</f>
        <v>2041.69675266317</v>
      </c>
      <c r="O147" s="15" t="n">
        <f aca="false">SUMPRODUCT(E147:N147,1/(1+$F$130)^$E$3:$N$3)*$E$2</f>
        <v>7386.77874171412</v>
      </c>
      <c r="P147" s="15" t="n">
        <f aca="false">N147*$E$2*(1+$I$130)/($F$130-$I$130)/(1+$F$130)^$N$3</f>
        <v>16445.0527953613</v>
      </c>
      <c r="Q147" s="15" t="n">
        <f aca="false">O147+P147</f>
        <v>23831.8315370754</v>
      </c>
      <c r="R147" s="15" t="n">
        <f aca="false">Q147-$G$2+$I$2</f>
        <v>25741.4915370754</v>
      </c>
      <c r="S147" s="42" t="n">
        <f aca="false">R147/$K$2</f>
        <v>109.992272516666</v>
      </c>
      <c r="T147" s="43" t="n">
        <f aca="false">S147-$M$2</f>
        <v>0.00637327297962997</v>
      </c>
    </row>
    <row r="148" customFormat="false" ht="15" hidden="false" customHeight="false" outlineLevel="0" collapsed="false">
      <c r="A148" s="5" t="n">
        <v>17</v>
      </c>
      <c r="B148" s="25" t="n">
        <f aca="false">IF(T147&gt;0,B147,D147)</f>
        <v>-0.0246124267578125</v>
      </c>
      <c r="C148" s="25" t="n">
        <f aca="false">IF(T147&gt;0,D147,C147)</f>
        <v>-0.0245895385742188</v>
      </c>
      <c r="D148" s="41" t="n">
        <f aca="false">(B148+C148)/2</f>
        <v>-0.0246009826660156</v>
      </c>
      <c r="E148" s="15" t="n">
        <f aca="false">$C$2*(1+IF(E$3&lt;=$O$2,$D148,$D148-($D148-$I$130)*MIN(E$3-$O$2,$Q$2)/$Q$2))</f>
        <v>2145.87783813477</v>
      </c>
      <c r="F148" s="15" t="n">
        <f aca="false">E148*(1+IF(F$3&lt;=$O$2,$D148,$D148-($D148-$I$130)*MIN(F$3-$O$2,$Q$2)/$Q$2))</f>
        <v>2093.08713463543</v>
      </c>
      <c r="G148" s="15" t="n">
        <f aca="false">F148*(1+IF(G$3&lt;=$O$2,$D148,$D148-($D148-$I$130)*MIN(G$3-$O$2,$Q$2)/$Q$2))</f>
        <v>2041.5951343178</v>
      </c>
      <c r="H148" s="15" t="n">
        <f aca="false">G148*(1+IF(H$3&lt;=$O$2,$D148,$D148-($D148-$I$130)*MIN(H$3-$O$2,$Q$2)/$Q$2))</f>
        <v>1991.36988780742</v>
      </c>
      <c r="I148" s="15" t="n">
        <f aca="false">H148*(1+IF(I$3&lt;=$O$2,$D148,$D148-($D148-$I$130)*MIN(I$3-$O$2,$Q$2)/$Q$2))</f>
        <v>1942.38023171585</v>
      </c>
      <c r="J148" s="15" t="n">
        <f aca="false">I148*(1+IF(J$3&lt;=$O$2,$D148,$D148-($D148-$I$130)*MIN(J$3-$O$2,$Q$2)/$Q$2))</f>
        <v>1917.08891413007</v>
      </c>
      <c r="K148" s="15" t="n">
        <f aca="false">J148*(1+IF(K$3&lt;=$O$2,$D148,$D148-($D148-$I$130)*MIN(K$3-$O$2,$Q$2)/$Q$2))</f>
        <v>1914.32717577885</v>
      </c>
      <c r="L148" s="15" t="n">
        <f aca="false">K148*(1+IF(L$3&lt;=$O$2,$D148,$D148-($D148-$I$130)*MIN(L$3-$O$2,$Q$2)/$Q$2))</f>
        <v>1933.73770088355</v>
      </c>
      <c r="M148" s="15" t="n">
        <f aca="false">L148*(1+IF(M$3&lt;=$O$2,$D148,$D148-($D148-$I$130)*MIN(M$3-$O$2,$Q$2)/$Q$2))</f>
        <v>1975.73810370307</v>
      </c>
      <c r="N148" s="15" t="n">
        <f aca="false">M148*(1+IF(N$3&lt;=$O$2,$D148,$D148-($D148-$I$130)*MIN(N$3-$O$2,$Q$2)/$Q$2))</f>
        <v>2041.53018255638</v>
      </c>
      <c r="O148" s="15" t="n">
        <f aca="false">SUMPRODUCT(E148:N148,1/(1+$F$130)^$E$3:$N$3)*$E$2</f>
        <v>7386.40328216618</v>
      </c>
      <c r="P148" s="15" t="n">
        <f aca="false">N148*$E$2*(1+$I$130)/($F$130-$I$130)/(1+$F$130)^$N$3</f>
        <v>16443.7111396053</v>
      </c>
      <c r="Q148" s="15" t="n">
        <f aca="false">O148+P148</f>
        <v>23830.1144217715</v>
      </c>
      <c r="R148" s="15" t="n">
        <f aca="false">Q148-$G$2+$I$2</f>
        <v>25739.7744217715</v>
      </c>
      <c r="S148" s="42" t="n">
        <f aca="false">R148/$K$2</f>
        <v>109.984935357738</v>
      </c>
      <c r="T148" s="43" t="n">
        <f aca="false">S148-$M$2</f>
        <v>-0.000963885948451093</v>
      </c>
    </row>
    <row r="149" customFormat="false" ht="15" hidden="false" customHeight="false" outlineLevel="0" collapsed="false">
      <c r="A149" s="5" t="n">
        <v>18</v>
      </c>
      <c r="B149" s="25" t="n">
        <f aca="false">IF(T148&gt;0,B148,D148)</f>
        <v>-0.0246009826660156</v>
      </c>
      <c r="C149" s="25" t="n">
        <f aca="false">IF(T148&gt;0,D148,C148)</f>
        <v>-0.0245895385742188</v>
      </c>
      <c r="D149" s="41" t="n">
        <f aca="false">(B149+C149)/2</f>
        <v>-0.0245952606201172</v>
      </c>
      <c r="E149" s="15" t="n">
        <f aca="false">$C$2*(1+IF(E$3&lt;=$O$2,$D149,$D149-($D149-$I$130)*MIN(E$3-$O$2,$Q$2)/$Q$2))</f>
        <v>2145.89042663574</v>
      </c>
      <c r="F149" s="15" t="n">
        <f aca="false">E149*(1+IF(F$3&lt;=$O$2,$D149,$D149-($D149-$I$130)*MIN(F$3-$O$2,$Q$2)/$Q$2))</f>
        <v>2093.11169233042</v>
      </c>
      <c r="G149" s="15" t="n">
        <f aca="false">F149*(1+IF(G$3&lt;=$O$2,$D149,$D149-($D149-$I$130)*MIN(G$3-$O$2,$Q$2)/$Q$2))</f>
        <v>2041.63106475054</v>
      </c>
      <c r="H149" s="15" t="n">
        <f aca="false">G149*(1+IF(H$3&lt;=$O$2,$D149,$D149-($D149-$I$130)*MIN(H$3-$O$2,$Q$2)/$Q$2))</f>
        <v>1991.41661662287</v>
      </c>
      <c r="I149" s="15" t="n">
        <f aca="false">H149*(1+IF(I$3&lt;=$O$2,$D149,$D149-($D149-$I$130)*MIN(I$3-$O$2,$Q$2)/$Q$2))</f>
        <v>1942.4372059338</v>
      </c>
      <c r="J149" s="15" t="n">
        <f aca="false">I149*(1+IF(J$3&lt;=$O$2,$D149,$D149-($D149-$I$130)*MIN(J$3-$O$2,$Q$2)/$Q$2))</f>
        <v>1917.1540382708</v>
      </c>
      <c r="K149" s="15" t="n">
        <f aca="false">J149*(1+IF(K$3&lt;=$O$2,$D149,$D149-($D149-$I$130)*MIN(K$3-$O$2,$Q$2)/$Q$2))</f>
        <v>1914.39878812846</v>
      </c>
      <c r="L149" s="15" t="n">
        <f aca="false">K149*(1+IF(L$3&lt;=$O$2,$D149,$D149-($D149-$I$130)*MIN(L$3-$O$2,$Q$2)/$Q$2))</f>
        <v>1933.81442106532</v>
      </c>
      <c r="M149" s="15" t="n">
        <f aca="false">L149*(1+IF(M$3&lt;=$O$2,$D149,$D149-($D149-$I$130)*MIN(M$3-$O$2,$Q$2)/$Q$2))</f>
        <v>1975.81870330709</v>
      </c>
      <c r="N149" s="15" t="n">
        <f aca="false">M149*(1+IF(N$3&lt;=$O$2,$D149,$D149-($D149-$I$130)*MIN(N$3-$O$2,$Q$2)/$Q$2))</f>
        <v>2041.61346612722</v>
      </c>
      <c r="O149" s="15" t="n">
        <f aca="false">SUMPRODUCT(E149:N149,1/(1+$F$130)^$E$3:$N$3)*$E$2</f>
        <v>7386.59100949346</v>
      </c>
      <c r="P149" s="15" t="n">
        <f aca="false">N149*$E$2*(1+$I$130)/($F$130-$I$130)/(1+$F$130)^$N$3</f>
        <v>16444.3819555419</v>
      </c>
      <c r="Q149" s="15" t="n">
        <f aca="false">O149+P149</f>
        <v>23830.9729650354</v>
      </c>
      <c r="R149" s="15" t="n">
        <f aca="false">Q149-$G$2+$I$2</f>
        <v>25740.6329650354</v>
      </c>
      <c r="S149" s="42" t="n">
        <f aca="false">R149/$K$2</f>
        <v>109.988603875723</v>
      </c>
      <c r="T149" s="43" t="n">
        <f aca="false">S149-$M$2</f>
        <v>0.00270463203587212</v>
      </c>
    </row>
    <row r="150" customFormat="false" ht="15" hidden="false" customHeight="false" outlineLevel="0" collapsed="false">
      <c r="A150" s="5" t="n">
        <v>19</v>
      </c>
      <c r="B150" s="25" t="n">
        <f aca="false">IF(T149&gt;0,B149,D149)</f>
        <v>-0.0246009826660156</v>
      </c>
      <c r="C150" s="25" t="n">
        <f aca="false">IF(T149&gt;0,D149,C149)</f>
        <v>-0.0245952606201172</v>
      </c>
      <c r="D150" s="41" t="n">
        <f aca="false">(B150+C150)/2</f>
        <v>-0.0245981216430664</v>
      </c>
      <c r="E150" s="15" t="n">
        <f aca="false">$C$2*(1+IF(E$3&lt;=$O$2,$D150,$D150-($D150-$I$130)*MIN(E$3-$O$2,$Q$2)/$Q$2))</f>
        <v>2145.88413238525</v>
      </c>
      <c r="F150" s="15" t="n">
        <f aca="false">E150*(1+IF(F$3&lt;=$O$2,$D150,$D150-($D150-$I$130)*MIN(F$3-$O$2,$Q$2)/$Q$2))</f>
        <v>2093.09941346492</v>
      </c>
      <c r="G150" s="15" t="n">
        <f aca="false">F150*(1+IF(G$3&lt;=$O$2,$D150,$D150-($D150-$I$130)*MIN(G$3-$O$2,$Q$2)/$Q$2))</f>
        <v>2041.61309948147</v>
      </c>
      <c r="H150" s="15" t="n">
        <f aca="false">G150*(1+IF(H$3&lt;=$O$2,$D150,$D150-($D150-$I$130)*MIN(H$3-$O$2,$Q$2)/$Q$2))</f>
        <v>1991.39325211235</v>
      </c>
      <c r="I150" s="15" t="n">
        <f aca="false">H150*(1+IF(I$3&lt;=$O$2,$D150,$D150-($D150-$I$130)*MIN(I$3-$O$2,$Q$2)/$Q$2))</f>
        <v>1942.40871865771</v>
      </c>
      <c r="J150" s="15" t="n">
        <f aca="false">I150*(1+IF(J$3&lt;=$O$2,$D150,$D150-($D150-$I$130)*MIN(J$3-$O$2,$Q$2)/$Q$2))</f>
        <v>1917.12147597029</v>
      </c>
      <c r="K150" s="15" t="n">
        <f aca="false">J150*(1+IF(K$3&lt;=$O$2,$D150,$D150-($D150-$I$130)*MIN(K$3-$O$2,$Q$2)/$Q$2))</f>
        <v>1914.36298166795</v>
      </c>
      <c r="L150" s="15" t="n">
        <f aca="false">K150*(1+IF(L$3&lt;=$O$2,$D150,$D150-($D150-$I$130)*MIN(L$3-$O$2,$Q$2)/$Q$2))</f>
        <v>1933.77606064485</v>
      </c>
      <c r="M150" s="15" t="n">
        <f aca="false">L150*(1+IF(M$3&lt;=$O$2,$D150,$D150-($D150-$I$130)*MIN(M$3-$O$2,$Q$2)/$Q$2))</f>
        <v>1975.77840314639</v>
      </c>
      <c r="N150" s="15" t="n">
        <f aca="false">M150*(1+IF(N$3&lt;=$O$2,$D150,$D150-($D150-$I$130)*MIN(N$3-$O$2,$Q$2)/$Q$2))</f>
        <v>2041.57182397117</v>
      </c>
      <c r="O150" s="15" t="n">
        <f aca="false">SUMPRODUCT(E150:N150,1/(1+$F$130)^$E$3:$N$3)*$E$2</f>
        <v>7386.49714521815</v>
      </c>
      <c r="P150" s="15" t="n">
        <f aca="false">N150*$E$2*(1+$I$130)/($F$130-$I$130)/(1+$F$130)^$N$3</f>
        <v>16444.0465445883</v>
      </c>
      <c r="Q150" s="15" t="n">
        <f aca="false">O150+P150</f>
        <v>23830.5436898065</v>
      </c>
      <c r="R150" s="15" t="n">
        <f aca="false">Q150-$G$2+$I$2</f>
        <v>25740.2036898065</v>
      </c>
      <c r="S150" s="42" t="n">
        <f aca="false">R150/$K$2</f>
        <v>109.986769601361</v>
      </c>
      <c r="T150" s="43" t="n">
        <f aca="false">S150-$M$2</f>
        <v>0.000870357674017441</v>
      </c>
    </row>
    <row r="151" customFormat="false" ht="15" hidden="false" customHeight="false" outlineLevel="0" collapsed="false">
      <c r="A151" s="5" t="n">
        <v>20</v>
      </c>
      <c r="B151" s="25" t="n">
        <f aca="false">IF(T150&gt;0,B150,D150)</f>
        <v>-0.0246009826660156</v>
      </c>
      <c r="C151" s="25" t="n">
        <f aca="false">IF(T150&gt;0,D150,C150)</f>
        <v>-0.0245981216430664</v>
      </c>
      <c r="D151" s="41" t="n">
        <f aca="false">(B151+C151)/2</f>
        <v>-0.024599552154541</v>
      </c>
      <c r="E151" s="15" t="n">
        <f aca="false">$C$2*(1+IF(E$3&lt;=$O$2,$D151,$D151-($D151-$I$130)*MIN(E$3-$O$2,$Q$2)/$Q$2))</f>
        <v>2145.88098526001</v>
      </c>
      <c r="F151" s="15" t="n">
        <f aca="false">E151*(1+IF(F$3&lt;=$O$2,$D151,$D151-($D151-$I$130)*MIN(F$3-$O$2,$Q$2)/$Q$2))</f>
        <v>2093.09327404567</v>
      </c>
      <c r="G151" s="15" t="n">
        <f aca="false">F151*(1+IF(G$3&lt;=$O$2,$D151,$D151-($D151-$I$130)*MIN(G$3-$O$2,$Q$2)/$Q$2))</f>
        <v>2041.60411688646</v>
      </c>
      <c r="H151" s="15" t="n">
        <f aca="false">G151*(1+IF(H$3&lt;=$O$2,$D151,$D151-($D151-$I$130)*MIN(H$3-$O$2,$Q$2)/$Q$2))</f>
        <v>1991.38156993419</v>
      </c>
      <c r="I151" s="15" t="n">
        <f aca="false">H151*(1+IF(I$3&lt;=$O$2,$D151,$D151-($D151-$I$130)*MIN(I$3-$O$2,$Q$2)/$Q$2))</f>
        <v>1942.394475145</v>
      </c>
      <c r="J151" s="15" t="n">
        <f aca="false">I151*(1+IF(J$3&lt;=$O$2,$D151,$D151-($D151-$I$130)*MIN(J$3-$O$2,$Q$2)/$Q$2))</f>
        <v>1917.10519499265</v>
      </c>
      <c r="K151" s="15" t="n">
        <f aca="false">J151*(1+IF(K$3&lt;=$O$2,$D151,$D151-($D151-$I$130)*MIN(K$3-$O$2,$Q$2)/$Q$2))</f>
        <v>1914.34507865197</v>
      </c>
      <c r="L151" s="15" t="n">
        <f aca="false">K151*(1+IF(L$3&lt;=$O$2,$D151,$D151-($D151-$I$130)*MIN(L$3-$O$2,$Q$2)/$Q$2))</f>
        <v>1933.7568806818</v>
      </c>
      <c r="M151" s="15" t="n">
        <f aca="false">L151*(1+IF(M$3&lt;=$O$2,$D151,$D151-($D151-$I$130)*MIN(M$3-$O$2,$Q$2)/$Q$2))</f>
        <v>1975.75825333506</v>
      </c>
      <c r="N151" s="15" t="n">
        <f aca="false">M151*(1+IF(N$3&lt;=$O$2,$D151,$D151-($D151-$I$130)*MIN(N$3-$O$2,$Q$2)/$Q$2))</f>
        <v>2041.55100317112</v>
      </c>
      <c r="O151" s="15" t="n">
        <f aca="false">SUMPRODUCT(E151:N151,1/(1+$F$130)^$E$3:$N$3)*$E$2</f>
        <v>7386.45021353925</v>
      </c>
      <c r="P151" s="15" t="n">
        <f aca="false">N151*$E$2*(1+$I$130)/($F$130-$I$130)/(1+$F$130)^$N$3</f>
        <v>16443.8788413505</v>
      </c>
      <c r="Q151" s="15" t="n">
        <f aca="false">O151+P151</f>
        <v>23830.3290548897</v>
      </c>
      <c r="R151" s="15" t="n">
        <f aca="false">Q151-$G$2+$I$2</f>
        <v>25739.9890548897</v>
      </c>
      <c r="S151" s="42" t="n">
        <f aca="false">R151/$K$2</f>
        <v>109.985852475707</v>
      </c>
      <c r="T151" s="43" t="n">
        <f aca="false">S151-$M$2</f>
        <v>-4.6767979583251E-005</v>
      </c>
    </row>
    <row r="152" customFormat="false" ht="15" hidden="false" customHeight="false" outlineLevel="0" collapsed="false">
      <c r="A152" s="5" t="n">
        <v>21</v>
      </c>
      <c r="B152" s="25" t="n">
        <f aca="false">IF(T151&gt;0,B151,D151)</f>
        <v>-0.024599552154541</v>
      </c>
      <c r="C152" s="25" t="n">
        <f aca="false">IF(T151&gt;0,D151,C151)</f>
        <v>-0.0245981216430664</v>
      </c>
      <c r="D152" s="41" t="n">
        <f aca="false">(B152+C152)/2</f>
        <v>-0.0245988368988037</v>
      </c>
      <c r="E152" s="15" t="n">
        <f aca="false">$C$2*(1+IF(E$3&lt;=$O$2,$D152,$D152-($D152-$I$130)*MIN(E$3-$O$2,$Q$2)/$Q$2))</f>
        <v>2145.88255882263</v>
      </c>
      <c r="F152" s="15" t="n">
        <f aca="false">E152*(1+IF(F$3&lt;=$O$2,$D152,$D152-($D152-$I$130)*MIN(F$3-$O$2,$Q$2)/$Q$2))</f>
        <v>2093.09634375417</v>
      </c>
      <c r="G152" s="15" t="n">
        <f aca="false">F152*(1+IF(G$3&lt;=$O$2,$D152,$D152-($D152-$I$130)*MIN(G$3-$O$2,$Q$2)/$Q$2))</f>
        <v>2041.60860818068</v>
      </c>
      <c r="H152" s="15" t="n">
        <f aca="false">G152*(1+IF(H$3&lt;=$O$2,$D152,$D152-($D152-$I$130)*MIN(H$3-$O$2,$Q$2)/$Q$2))</f>
        <v>1991.38741101685</v>
      </c>
      <c r="I152" s="15" t="n">
        <f aca="false">H152*(1+IF(I$3&lt;=$O$2,$D152,$D152-($D152-$I$130)*MIN(I$3-$O$2,$Q$2)/$Q$2))</f>
        <v>1942.40159689091</v>
      </c>
      <c r="J152" s="15" t="n">
        <f aca="false">I152*(1+IF(J$3&lt;=$O$2,$D152,$D152-($D152-$I$130)*MIN(J$3-$O$2,$Q$2)/$Q$2))</f>
        <v>1917.11333546709</v>
      </c>
      <c r="K152" s="15" t="n">
        <f aca="false">J152*(1+IF(K$3&lt;=$O$2,$D152,$D152-($D152-$I$130)*MIN(K$3-$O$2,$Q$2)/$Q$2))</f>
        <v>1914.3540301421</v>
      </c>
      <c r="L152" s="15" t="n">
        <f aca="false">K152*(1+IF(L$3&lt;=$O$2,$D152,$D152-($D152-$I$130)*MIN(L$3-$O$2,$Q$2)/$Q$2))</f>
        <v>1933.76647064273</v>
      </c>
      <c r="M152" s="15" t="n">
        <f aca="false">L152*(1+IF(M$3&lt;=$O$2,$D152,$D152-($D152-$I$130)*MIN(M$3-$O$2,$Q$2)/$Q$2))</f>
        <v>1975.76832821831</v>
      </c>
      <c r="N152" s="15" t="n">
        <f aca="false">M152*(1+IF(N$3&lt;=$O$2,$D152,$D152-($D152-$I$130)*MIN(N$3-$O$2,$Q$2)/$Q$2))</f>
        <v>2041.56141354798</v>
      </c>
      <c r="O152" s="15" t="n">
        <f aca="false">SUMPRODUCT(E152:N152,1/(1+$F$130)^$E$3:$N$3)*$E$2</f>
        <v>7386.47367934047</v>
      </c>
      <c r="P152" s="15" t="n">
        <f aca="false">N152*$E$2*(1+$I$130)/($F$130-$I$130)/(1+$F$130)^$N$3</f>
        <v>16443.9626927828</v>
      </c>
      <c r="Q152" s="15" t="n">
        <f aca="false">O152+P152</f>
        <v>23830.4363721233</v>
      </c>
      <c r="R152" s="15" t="n">
        <f aca="false">Q152-$G$2+$I$2</f>
        <v>25740.0963721233</v>
      </c>
      <c r="S152" s="42" t="n">
        <f aca="false">R152/$K$2</f>
        <v>109.986311037573</v>
      </c>
      <c r="T152" s="43" t="n">
        <f aca="false">S152-$M$2</f>
        <v>0.000411793886598844</v>
      </c>
    </row>
    <row r="153" customFormat="false" ht="15" hidden="false" customHeight="false" outlineLevel="0" collapsed="false">
      <c r="A153" s="5" t="n">
        <v>22</v>
      </c>
      <c r="B153" s="25" t="n">
        <f aca="false">IF(T152&gt;0,B152,D152)</f>
        <v>-0.024599552154541</v>
      </c>
      <c r="C153" s="25" t="n">
        <f aca="false">IF(T152&gt;0,D152,C152)</f>
        <v>-0.0245988368988037</v>
      </c>
      <c r="D153" s="41" t="n">
        <f aca="false">(B153+C153)/2</f>
        <v>-0.0245991945266724</v>
      </c>
      <c r="E153" s="15" t="n">
        <f aca="false">$C$2*(1+IF(E$3&lt;=$O$2,$D153,$D153-($D153-$I$130)*MIN(E$3-$O$2,$Q$2)/$Q$2))</f>
        <v>2145.88177204132</v>
      </c>
      <c r="F153" s="15" t="n">
        <f aca="false">E153*(1+IF(F$3&lt;=$O$2,$D153,$D153-($D153-$I$130)*MIN(F$3-$O$2,$Q$2)/$Q$2))</f>
        <v>2093.09480889964</v>
      </c>
      <c r="G153" s="15" t="n">
        <f aca="false">F153*(1+IF(G$3&lt;=$O$2,$D153,$D153-($D153-$I$130)*MIN(G$3-$O$2,$Q$2)/$Q$2))</f>
        <v>2041.60636253275</v>
      </c>
      <c r="H153" s="15" t="n">
        <f aca="false">G153*(1+IF(H$3&lt;=$O$2,$D153,$D153-($D153-$I$130)*MIN(H$3-$O$2,$Q$2)/$Q$2))</f>
        <v>1991.38449047391</v>
      </c>
      <c r="I153" s="15" t="n">
        <f aca="false">H153*(1+IF(I$3&lt;=$O$2,$D153,$D153-($D153-$I$130)*MIN(I$3-$O$2,$Q$2)/$Q$2))</f>
        <v>1942.39803601534</v>
      </c>
      <c r="J153" s="15" t="n">
        <f aca="false">I153*(1+IF(J$3&lt;=$O$2,$D153,$D153-($D153-$I$130)*MIN(J$3-$O$2,$Q$2)/$Q$2))</f>
        <v>1917.10926522627</v>
      </c>
      <c r="K153" s="15" t="n">
        <f aca="false">J153*(1+IF(K$3&lt;=$O$2,$D153,$D153-($D153-$I$130)*MIN(K$3-$O$2,$Q$2)/$Q$2))</f>
        <v>1914.34955439257</v>
      </c>
      <c r="L153" s="15" t="n">
        <f aca="false">K153*(1+IF(L$3&lt;=$O$2,$D153,$D153-($D153-$I$130)*MIN(L$3-$O$2,$Q$2)/$Q$2))</f>
        <v>1933.76167565712</v>
      </c>
      <c r="M153" s="15" t="n">
        <f aca="false">L153*(1+IF(M$3&lt;=$O$2,$D153,$D153-($D153-$I$130)*MIN(M$3-$O$2,$Q$2)/$Q$2))</f>
        <v>1975.76329077108</v>
      </c>
      <c r="N153" s="15" t="n">
        <f aca="false">M153*(1+IF(N$3&lt;=$O$2,$D153,$D153-($D153-$I$130)*MIN(N$3-$O$2,$Q$2)/$Q$2))</f>
        <v>2041.55620835376</v>
      </c>
      <c r="O153" s="15" t="n">
        <f aca="false">SUMPRODUCT(E153:N153,1/(1+$F$130)^$E$3:$N$3)*$E$2</f>
        <v>7386.4619464303</v>
      </c>
      <c r="P153" s="15" t="n">
        <f aca="false">N153*$E$2*(1+$I$130)/($F$130-$I$130)/(1+$F$130)^$N$3</f>
        <v>16443.92076702</v>
      </c>
      <c r="Q153" s="15" t="n">
        <f aca="false">O153+P153</f>
        <v>23830.3827134503</v>
      </c>
      <c r="R153" s="15" t="n">
        <f aca="false">Q153-$G$2+$I$2</f>
        <v>25740.0427134503</v>
      </c>
      <c r="S153" s="42" t="n">
        <f aca="false">R153/$K$2</f>
        <v>109.9860817564</v>
      </c>
      <c r="T153" s="43" t="n">
        <f aca="false">S153-$M$2</f>
        <v>0.000182512713351457</v>
      </c>
    </row>
    <row r="154" customFormat="false" ht="15" hidden="false" customHeight="false" outlineLevel="0" collapsed="false">
      <c r="A154" s="5" t="n">
        <v>23</v>
      </c>
      <c r="B154" s="25" t="n">
        <f aca="false">IF(T153&gt;0,B153,D153)</f>
        <v>-0.024599552154541</v>
      </c>
      <c r="C154" s="25" t="n">
        <f aca="false">IF(T153&gt;0,D153,C153)</f>
        <v>-0.0245991945266724</v>
      </c>
      <c r="D154" s="41" t="n">
        <f aca="false">(B154+C154)/2</f>
        <v>-0.0245993733406067</v>
      </c>
      <c r="E154" s="15" t="n">
        <f aca="false">$C$2*(1+IF(E$3&lt;=$O$2,$D154,$D154-($D154-$I$130)*MIN(E$3-$O$2,$Q$2)/$Q$2))</f>
        <v>2145.88137865067</v>
      </c>
      <c r="F154" s="15" t="n">
        <f aca="false">E154*(1+IF(F$3&lt;=$O$2,$D154,$D154-($D154-$I$130)*MIN(F$3-$O$2,$Q$2)/$Q$2))</f>
        <v>2093.09404147258</v>
      </c>
      <c r="G154" s="15" t="n">
        <f aca="false">F154*(1+IF(G$3&lt;=$O$2,$D154,$D154-($D154-$I$130)*MIN(G$3-$O$2,$Q$2)/$Q$2))</f>
        <v>2041.6052397094</v>
      </c>
      <c r="H154" s="15" t="n">
        <f aca="false">G154*(1+IF(H$3&lt;=$O$2,$D154,$D154-($D154-$I$130)*MIN(H$3-$O$2,$Q$2)/$Q$2))</f>
        <v>1991.38303020365</v>
      </c>
      <c r="I154" s="15" t="n">
        <f aca="false">H154*(1+IF(I$3&lt;=$O$2,$D154,$D154-($D154-$I$130)*MIN(I$3-$O$2,$Q$2)/$Q$2))</f>
        <v>1942.39625557952</v>
      </c>
      <c r="J154" s="15" t="n">
        <f aca="false">I154*(1+IF(J$3&lt;=$O$2,$D154,$D154-($D154-$I$130)*MIN(J$3-$O$2,$Q$2)/$Q$2))</f>
        <v>1917.10723010856</v>
      </c>
      <c r="K154" s="15" t="n">
        <f aca="false">J154*(1+IF(K$3&lt;=$O$2,$D154,$D154-($D154-$I$130)*MIN(K$3-$O$2,$Q$2)/$Q$2))</f>
        <v>1914.34731652116</v>
      </c>
      <c r="L154" s="15" t="n">
        <f aca="false">K154*(1+IF(L$3&lt;=$O$2,$D154,$D154-($D154-$I$130)*MIN(L$3-$O$2,$Q$2)/$Q$2))</f>
        <v>1933.75927816817</v>
      </c>
      <c r="M154" s="15" t="n">
        <f aca="false">L154*(1+IF(M$3&lt;=$O$2,$D154,$D154-($D154-$I$130)*MIN(M$3-$O$2,$Q$2)/$Q$2))</f>
        <v>1975.76077205167</v>
      </c>
      <c r="N154" s="15" t="n">
        <f aca="false">M154*(1+IF(N$3&lt;=$O$2,$D154,$D154-($D154-$I$130)*MIN(N$3-$O$2,$Q$2)/$Q$2))</f>
        <v>2041.55360576099</v>
      </c>
      <c r="O154" s="15" t="n">
        <f aca="false">SUMPRODUCT(E154:N154,1/(1+$F$130)^$E$3:$N$3)*$E$2</f>
        <v>7386.45607998239</v>
      </c>
      <c r="P154" s="15" t="n">
        <f aca="false">N154*$E$2*(1+$I$130)/($F$130-$I$130)/(1+$F$130)^$N$3</f>
        <v>16443.8998041736</v>
      </c>
      <c r="Q154" s="15" t="n">
        <f aca="false">O154+P154</f>
        <v>23830.355884156</v>
      </c>
      <c r="R154" s="15" t="n">
        <f aca="false">Q154-$G$2+$I$2</f>
        <v>25740.015884156</v>
      </c>
      <c r="S154" s="42" t="n">
        <f aca="false">R154/$K$2</f>
        <v>109.985967115994</v>
      </c>
      <c r="T154" s="43" t="n">
        <f aca="false">S154-$M$2</f>
        <v>6.78723068716636E-005</v>
      </c>
    </row>
    <row r="155" customFormat="false" ht="15" hidden="false" customHeight="false" outlineLevel="0" collapsed="false">
      <c r="A155" s="5" t="n">
        <v>24</v>
      </c>
      <c r="B155" s="25" t="n">
        <f aca="false">IF(T154&gt;0,B154,D154)</f>
        <v>-0.024599552154541</v>
      </c>
      <c r="C155" s="25" t="n">
        <f aca="false">IF(T154&gt;0,D154,C154)</f>
        <v>-0.0245993733406067</v>
      </c>
      <c r="D155" s="41" t="n">
        <f aca="false">(B155+C155)/2</f>
        <v>-0.0245994627475739</v>
      </c>
      <c r="E155" s="15" t="n">
        <f aca="false">$C$2*(1+IF(E$3&lt;=$O$2,$D155,$D155-($D155-$I$130)*MIN(E$3-$O$2,$Q$2)/$Q$2))</f>
        <v>2145.88118195534</v>
      </c>
      <c r="F155" s="15" t="n">
        <f aca="false">E155*(1+IF(F$3&lt;=$O$2,$D155,$D155-($D155-$I$130)*MIN(F$3-$O$2,$Q$2)/$Q$2))</f>
        <v>2093.09365775911</v>
      </c>
      <c r="G155" s="15" t="n">
        <f aca="false">F155*(1+IF(G$3&lt;=$O$2,$D155,$D155-($D155-$I$130)*MIN(G$3-$O$2,$Q$2)/$Q$2))</f>
        <v>2041.60467829788</v>
      </c>
      <c r="H155" s="15" t="n">
        <f aca="false">G155*(1+IF(H$3&lt;=$O$2,$D155,$D155-($D155-$I$130)*MIN(H$3-$O$2,$Q$2)/$Q$2))</f>
        <v>1991.38230006882</v>
      </c>
      <c r="I155" s="15" t="n">
        <f aca="false">H155*(1+IF(I$3&lt;=$O$2,$D155,$D155-($D155-$I$130)*MIN(I$3-$O$2,$Q$2)/$Q$2))</f>
        <v>1942.3953653621</v>
      </c>
      <c r="J155" s="15" t="n">
        <f aca="false">I155*(1+IF(J$3&lt;=$O$2,$D155,$D155-($D155-$I$130)*MIN(J$3-$O$2,$Q$2)/$Q$2))</f>
        <v>1917.10621255038</v>
      </c>
      <c r="K155" s="15" t="n">
        <f aca="false">J155*(1+IF(K$3&lt;=$O$2,$D155,$D155-($D155-$I$130)*MIN(K$3-$O$2,$Q$2)/$Q$2))</f>
        <v>1914.34619758629</v>
      </c>
      <c r="L155" s="15" t="n">
        <f aca="false">K155*(1+IF(L$3&lt;=$O$2,$D155,$D155-($D155-$I$130)*MIN(L$3-$O$2,$Q$2)/$Q$2))</f>
        <v>1933.75807942467</v>
      </c>
      <c r="M155" s="15" t="n">
        <f aca="false">L155*(1+IF(M$3&lt;=$O$2,$D155,$D155-($D155-$I$130)*MIN(M$3-$O$2,$Q$2)/$Q$2))</f>
        <v>1975.75951269301</v>
      </c>
      <c r="N155" s="15" t="n">
        <f aca="false">M155*(1+IF(N$3&lt;=$O$2,$D155,$D155-($D155-$I$130)*MIN(N$3-$O$2,$Q$2)/$Q$2))</f>
        <v>2041.55230446569</v>
      </c>
      <c r="O155" s="15" t="n">
        <f aca="false">SUMPRODUCT(E155:N155,1/(1+$F$130)^$E$3:$N$3)*$E$2</f>
        <v>7386.45314676022</v>
      </c>
      <c r="P155" s="15" t="n">
        <f aca="false">N155*$E$2*(1+$I$130)/($F$130-$I$130)/(1+$F$130)^$N$3</f>
        <v>16443.8893227591</v>
      </c>
      <c r="Q155" s="15" t="n">
        <f aca="false">O155+P155</f>
        <v>23830.3424695193</v>
      </c>
      <c r="R155" s="15" t="n">
        <f aca="false">Q155-$G$2+$I$2</f>
        <v>25740.0024695193</v>
      </c>
      <c r="S155" s="42" t="n">
        <f aca="false">R155/$K$2</f>
        <v>109.985909795835</v>
      </c>
      <c r="T155" s="43" t="n">
        <f aca="false">S155-$M$2</f>
        <v>1.05521485807003E-005</v>
      </c>
    </row>
    <row r="157" customFormat="false" ht="15" hidden="false" customHeight="false" outlineLevel="0" collapsed="false">
      <c r="A157" s="38" t="s">
        <v>192</v>
      </c>
      <c r="E157" s="5" t="s">
        <v>11</v>
      </c>
      <c r="F157" s="12" t="n">
        <f aca="false">Sensitivity!$B$10</f>
        <v>0.0677967762761046</v>
      </c>
      <c r="G157" s="5" t="s">
        <v>12</v>
      </c>
      <c r="I157" s="12" t="n">
        <f aca="false">Sensitivity!$G$9</f>
        <v>0.0383</v>
      </c>
    </row>
    <row r="158" customFormat="false" ht="23.85" hidden="false" customHeight="false" outlineLevel="0" collapsed="false">
      <c r="A158" s="38" t="s">
        <v>168</v>
      </c>
      <c r="B158" s="28" t="s">
        <v>169</v>
      </c>
      <c r="C158" s="28" t="s">
        <v>170</v>
      </c>
      <c r="D158" s="28" t="s">
        <v>171</v>
      </c>
      <c r="E158" s="28" t="s">
        <v>172</v>
      </c>
      <c r="F158" s="28" t="s">
        <v>173</v>
      </c>
      <c r="G158" s="28" t="s">
        <v>174</v>
      </c>
      <c r="H158" s="28" t="s">
        <v>175</v>
      </c>
      <c r="I158" s="28" t="s">
        <v>176</v>
      </c>
      <c r="J158" s="28" t="s">
        <v>177</v>
      </c>
      <c r="K158" s="28" t="s">
        <v>178</v>
      </c>
      <c r="L158" s="28" t="s">
        <v>179</v>
      </c>
      <c r="M158" s="28" t="s">
        <v>180</v>
      </c>
      <c r="N158" s="28" t="s">
        <v>181</v>
      </c>
      <c r="O158" s="28" t="s">
        <v>182</v>
      </c>
      <c r="P158" s="28" t="s">
        <v>183</v>
      </c>
      <c r="Q158" s="28" t="s">
        <v>184</v>
      </c>
      <c r="R158" s="28" t="s">
        <v>185</v>
      </c>
      <c r="S158" s="28" t="s">
        <v>186</v>
      </c>
      <c r="T158" s="28" t="s">
        <v>187</v>
      </c>
    </row>
    <row r="159" customFormat="false" ht="15" hidden="false" customHeight="false" outlineLevel="0" collapsed="false">
      <c r="A159" s="5" t="n">
        <v>1</v>
      </c>
      <c r="B159" s="24" t="n">
        <v>-0.5</v>
      </c>
      <c r="C159" s="24" t="n">
        <v>1</v>
      </c>
      <c r="D159" s="41" t="n">
        <f aca="false">(B159+C159)/2</f>
        <v>0.25</v>
      </c>
      <c r="E159" s="15" t="n">
        <f aca="false">$C$2*(1+IF(E$3&lt;=$O$2,$D159,$D159-($D159-$I$157)*MIN(E$3-$O$2,$Q$2)/$Q$2))</f>
        <v>2750</v>
      </c>
      <c r="F159" s="15" t="n">
        <f aca="false">E159*(1+IF(F$3&lt;=$O$2,$D159,$D159-($D159-$I$157)*MIN(F$3-$O$2,$Q$2)/$Q$2))</f>
        <v>3437.5</v>
      </c>
      <c r="G159" s="15" t="n">
        <f aca="false">F159*(1+IF(G$3&lt;=$O$2,$D159,$D159-($D159-$I$157)*MIN(G$3-$O$2,$Q$2)/$Q$2))</f>
        <v>4296.875</v>
      </c>
      <c r="H159" s="15" t="n">
        <f aca="false">G159*(1+IF(H$3&lt;=$O$2,$D159,$D159-($D159-$I$157)*MIN(H$3-$O$2,$Q$2)/$Q$2))</f>
        <v>5371.09375</v>
      </c>
      <c r="I159" s="15" t="n">
        <f aca="false">H159*(1+IF(I$3&lt;=$O$2,$D159,$D159-($D159-$I$157)*MIN(I$3-$O$2,$Q$2)/$Q$2))</f>
        <v>6713.8671875</v>
      </c>
      <c r="J159" s="15" t="n">
        <f aca="false">I159*(1+IF(J$3&lt;=$O$2,$D159,$D159-($D159-$I$157)*MIN(J$3-$O$2,$Q$2)/$Q$2))</f>
        <v>8108.06884765625</v>
      </c>
      <c r="K159" s="15" t="n">
        <f aca="false">J159*(1+IF(K$3&lt;=$O$2,$D159,$D159-($D159-$I$157)*MIN(K$3-$O$2,$Q$2)/$Q$2))</f>
        <v>9448.49478955078</v>
      </c>
      <c r="L159" s="15" t="n">
        <f aca="false">K159*(1+IF(L$3&lt;=$O$2,$D159,$D159-($D159-$I$157)*MIN(L$3-$O$2,$Q$2)/$Q$2))</f>
        <v>10610.4706787697</v>
      </c>
      <c r="M159" s="15" t="n">
        <f aca="false">L159*(1+IF(M$3&lt;=$O$2,$D159,$D159-($D159-$I$157)*MIN(M$3-$O$2,$Q$2)/$Q$2))</f>
        <v>11466.0990343057</v>
      </c>
      <c r="N159" s="15" t="n">
        <f aca="false">M159*(1+IF(N$3&lt;=$O$2,$D159,$D159-($D159-$I$157)*MIN(N$3-$O$2,$Q$2)/$Q$2))</f>
        <v>11905.2506273196</v>
      </c>
      <c r="O159" s="15" t="n">
        <f aca="false">SUMPRODUCT(E159:N159,1/(1+$F$157)^$E$3:$N$3)*$E$2</f>
        <v>25047.234456457</v>
      </c>
      <c r="P159" s="15" t="n">
        <f aca="false">N159*$E$2*(1+$I$157)/($F$157-$I$157)/(1+$F$157)^$N$3</f>
        <v>112689.372129174</v>
      </c>
      <c r="Q159" s="15" t="n">
        <f aca="false">O159+P159</f>
        <v>137736.606585631</v>
      </c>
      <c r="R159" s="15" t="n">
        <f aca="false">Q159-$G$2+$I$2</f>
        <v>139646.266585631</v>
      </c>
      <c r="S159" s="42" t="n">
        <f aca="false">R159/$K$2</f>
        <v>596.702416722776</v>
      </c>
      <c r="T159" s="43" t="n">
        <f aca="false">S159-$M$2</f>
        <v>486.71651747909</v>
      </c>
    </row>
    <row r="160" customFormat="false" ht="15" hidden="false" customHeight="false" outlineLevel="0" collapsed="false">
      <c r="A160" s="5" t="n">
        <v>2</v>
      </c>
      <c r="B160" s="25" t="n">
        <f aca="false">IF(T159&gt;0,B159,D159)</f>
        <v>-0.5</v>
      </c>
      <c r="C160" s="25" t="n">
        <f aca="false">IF(T159&gt;0,D159,C159)</f>
        <v>0.25</v>
      </c>
      <c r="D160" s="41" t="n">
        <f aca="false">(B160+C160)/2</f>
        <v>-0.125</v>
      </c>
      <c r="E160" s="15" t="n">
        <f aca="false">$C$2*(1+IF(E$3&lt;=$O$2,$D160,$D160-($D160-$I$157)*MIN(E$3-$O$2,$Q$2)/$Q$2))</f>
        <v>1925</v>
      </c>
      <c r="F160" s="15" t="n">
        <f aca="false">E160*(1+IF(F$3&lt;=$O$2,$D160,$D160-($D160-$I$157)*MIN(F$3-$O$2,$Q$2)/$Q$2))</f>
        <v>1684.375</v>
      </c>
      <c r="G160" s="15" t="n">
        <f aca="false">F160*(1+IF(G$3&lt;=$O$2,$D160,$D160-($D160-$I$157)*MIN(G$3-$O$2,$Q$2)/$Q$2))</f>
        <v>1473.828125</v>
      </c>
      <c r="H160" s="15" t="n">
        <f aca="false">G160*(1+IF(H$3&lt;=$O$2,$D160,$D160-($D160-$I$157)*MIN(H$3-$O$2,$Q$2)/$Q$2))</f>
        <v>1289.599609375</v>
      </c>
      <c r="I160" s="15" t="n">
        <f aca="false">H160*(1+IF(I$3&lt;=$O$2,$D160,$D160-($D160-$I$157)*MIN(I$3-$O$2,$Q$2)/$Q$2))</f>
        <v>1128.39965820313</v>
      </c>
      <c r="J160" s="15" t="n">
        <f aca="false">I160*(1+IF(J$3&lt;=$O$2,$D160,$D160-($D160-$I$157)*MIN(J$3-$O$2,$Q$2)/$Q$2))</f>
        <v>1024.20323376465</v>
      </c>
      <c r="K160" s="15" t="n">
        <f aca="false">J160*(1+IF(K$3&lt;=$O$2,$D160,$D160-($D160-$I$157)*MIN(K$3-$O$2,$Q$2)/$Q$2))</f>
        <v>963.078784773574</v>
      </c>
      <c r="L160" s="15" t="n">
        <f aca="false">K160*(1+IF(L$3&lt;=$O$2,$D160,$D160-($D160-$I$157)*MIN(L$3-$O$2,$Q$2)/$Q$2))</f>
        <v>937.056396008992</v>
      </c>
      <c r="M160" s="15" t="n">
        <f aca="false">L160*(1+IF(M$3&lt;=$O$2,$D160,$D160-($D160-$I$157)*MIN(M$3-$O$2,$Q$2)/$Q$2))</f>
        <v>942.341394082483</v>
      </c>
      <c r="N160" s="15" t="n">
        <f aca="false">M160*(1+IF(N$3&lt;=$O$2,$D160,$D160-($D160-$I$157)*MIN(N$3-$O$2,$Q$2)/$Q$2))</f>
        <v>978.433069475842</v>
      </c>
      <c r="O160" s="15" t="n">
        <f aca="false">SUMPRODUCT(E160:N160,1/(1+$F$157)^$E$3:$N$3)*$E$2</f>
        <v>4756.51144986111</v>
      </c>
      <c r="P160" s="15" t="n">
        <f aca="false">N160*$E$2*(1+$I$157)/($F$157-$I$157)/(1+$F$157)^$N$3</f>
        <v>9261.37649018795</v>
      </c>
      <c r="Q160" s="15" t="n">
        <f aca="false">O160+P160</f>
        <v>14017.8879400491</v>
      </c>
      <c r="R160" s="15" t="n">
        <f aca="false">Q160-$G$2+$I$2</f>
        <v>15927.5479400491</v>
      </c>
      <c r="S160" s="42" t="n">
        <f aca="false">R160/$K$2</f>
        <v>68.0577188396746</v>
      </c>
      <c r="T160" s="43" t="n">
        <f aca="false">S160-$M$2</f>
        <v>-41.9281804040121</v>
      </c>
    </row>
    <row r="161" customFormat="false" ht="15" hidden="false" customHeight="false" outlineLevel="0" collapsed="false">
      <c r="A161" s="5" t="n">
        <v>3</v>
      </c>
      <c r="B161" s="25" t="n">
        <f aca="false">IF(T160&gt;0,B160,D160)</f>
        <v>-0.125</v>
      </c>
      <c r="C161" s="25" t="n">
        <f aca="false">IF(T160&gt;0,D160,C160)</f>
        <v>0.25</v>
      </c>
      <c r="D161" s="41" t="n">
        <f aca="false">(B161+C161)/2</f>
        <v>0.0625</v>
      </c>
      <c r="E161" s="15" t="n">
        <f aca="false">$C$2*(1+IF(E$3&lt;=$O$2,$D161,$D161-($D161-$I$157)*MIN(E$3-$O$2,$Q$2)/$Q$2))</f>
        <v>2337.5</v>
      </c>
      <c r="F161" s="15" t="n">
        <f aca="false">E161*(1+IF(F$3&lt;=$O$2,$D161,$D161-($D161-$I$157)*MIN(F$3-$O$2,$Q$2)/$Q$2))</f>
        <v>2483.59375</v>
      </c>
      <c r="G161" s="15" t="n">
        <f aca="false">F161*(1+IF(G$3&lt;=$O$2,$D161,$D161-($D161-$I$157)*MIN(G$3-$O$2,$Q$2)/$Q$2))</f>
        <v>2638.818359375</v>
      </c>
      <c r="H161" s="15" t="n">
        <f aca="false">G161*(1+IF(H$3&lt;=$O$2,$D161,$D161-($D161-$I$157)*MIN(H$3-$O$2,$Q$2)/$Q$2))</f>
        <v>2803.74450683594</v>
      </c>
      <c r="I161" s="15" t="n">
        <f aca="false">H161*(1+IF(I$3&lt;=$O$2,$D161,$D161-($D161-$I$157)*MIN(I$3-$O$2,$Q$2)/$Q$2))</f>
        <v>2978.97853851318</v>
      </c>
      <c r="J161" s="15" t="n">
        <f aca="false">I161*(1+IF(J$3&lt;=$O$2,$D161,$D161-($D161-$I$157)*MIN(J$3-$O$2,$Q$2)/$Q$2))</f>
        <v>3150.74644104385</v>
      </c>
      <c r="K161" s="15" t="n">
        <f aca="false">J161*(1+IF(K$3&lt;=$O$2,$D161,$D161-($D161-$I$157)*MIN(K$3-$O$2,$Q$2)/$Q$2))</f>
        <v>3317.16886805979</v>
      </c>
      <c r="L161" s="15" t="n">
        <f aca="false">K161*(1+IF(L$3&lt;=$O$2,$D161,$D161-($D161-$I$157)*MIN(L$3-$O$2,$Q$2)/$Q$2))</f>
        <v>3476.3266303493</v>
      </c>
      <c r="M161" s="15" t="n">
        <f aca="false">L161*(1+IF(M$3&lt;=$O$2,$D161,$D161-($D161-$I$157)*MIN(M$3-$O$2,$Q$2)/$Q$2))</f>
        <v>3626.29536118257</v>
      </c>
      <c r="N161" s="15" t="n">
        <f aca="false">M161*(1+IF(N$3&lt;=$O$2,$D161,$D161-($D161-$I$157)*MIN(N$3-$O$2,$Q$2)/$Q$2))</f>
        <v>3765.18247351586</v>
      </c>
      <c r="O161" s="15" t="n">
        <f aca="false">SUMPRODUCT(E161:N161,1/(1+$F$157)^$E$3:$N$3)*$E$2</f>
        <v>10922.7295957625</v>
      </c>
      <c r="P161" s="15" t="n">
        <f aca="false">N161*$E$2*(1+$I$157)/($F$157-$I$157)/(1+$F$157)^$N$3</f>
        <v>35639.4050133324</v>
      </c>
      <c r="Q161" s="15" t="n">
        <f aca="false">O161+P161</f>
        <v>46562.1346090948</v>
      </c>
      <c r="R161" s="15" t="n">
        <f aca="false">Q161-$G$2+$I$2</f>
        <v>48471.7946090948</v>
      </c>
      <c r="S161" s="42" t="n">
        <f aca="false">R161/$K$2</f>
        <v>207.117867833589</v>
      </c>
      <c r="T161" s="43" t="n">
        <f aca="false">S161-$M$2</f>
        <v>97.1319685899023</v>
      </c>
    </row>
    <row r="162" customFormat="false" ht="15" hidden="false" customHeight="false" outlineLevel="0" collapsed="false">
      <c r="A162" s="5" t="n">
        <v>4</v>
      </c>
      <c r="B162" s="25" t="n">
        <f aca="false">IF(T161&gt;0,B161,D161)</f>
        <v>-0.125</v>
      </c>
      <c r="C162" s="25" t="n">
        <f aca="false">IF(T161&gt;0,D161,C161)</f>
        <v>0.0625</v>
      </c>
      <c r="D162" s="41" t="n">
        <f aca="false">(B162+C162)/2</f>
        <v>-0.03125</v>
      </c>
      <c r="E162" s="15" t="n">
        <f aca="false">$C$2*(1+IF(E$3&lt;=$O$2,$D162,$D162-($D162-$I$157)*MIN(E$3-$O$2,$Q$2)/$Q$2))</f>
        <v>2131.25</v>
      </c>
      <c r="F162" s="15" t="n">
        <f aca="false">E162*(1+IF(F$3&lt;=$O$2,$D162,$D162-($D162-$I$157)*MIN(F$3-$O$2,$Q$2)/$Q$2))</f>
        <v>2064.6484375</v>
      </c>
      <c r="G162" s="15" t="n">
        <f aca="false">F162*(1+IF(G$3&lt;=$O$2,$D162,$D162-($D162-$I$157)*MIN(G$3-$O$2,$Q$2)/$Q$2))</f>
        <v>2000.12817382813</v>
      </c>
      <c r="H162" s="15" t="n">
        <f aca="false">G162*(1+IF(H$3&lt;=$O$2,$D162,$D162-($D162-$I$157)*MIN(H$3-$O$2,$Q$2)/$Q$2))</f>
        <v>1937.624168396</v>
      </c>
      <c r="I162" s="15" t="n">
        <f aca="false">H162*(1+IF(I$3&lt;=$O$2,$D162,$D162-($D162-$I$157)*MIN(I$3-$O$2,$Q$2)/$Q$2))</f>
        <v>1877.07341313362</v>
      </c>
      <c r="J162" s="15" t="n">
        <f aca="false">I162*(1+IF(J$3&lt;=$O$2,$D162,$D162-($D162-$I$157)*MIN(J$3-$O$2,$Q$2)/$Q$2))</f>
        <v>1844.52496014988</v>
      </c>
      <c r="K162" s="15" t="n">
        <f aca="false">J162*(1+IF(K$3&lt;=$O$2,$D162,$D162-($D162-$I$157)*MIN(K$3-$O$2,$Q$2)/$Q$2))</f>
        <v>1838.19823953657</v>
      </c>
      <c r="L162" s="15" t="n">
        <f aca="false">K162*(1+IF(L$3&lt;=$O$2,$D162,$D162-($D162-$I$157)*MIN(L$3-$O$2,$Q$2)/$Q$2))</f>
        <v>1857.46255708691</v>
      </c>
      <c r="M162" s="15" t="n">
        <f aca="false">L162*(1+IF(M$3&lt;=$O$2,$D162,$D162-($D162-$I$157)*MIN(M$3-$O$2,$Q$2)/$Q$2))</f>
        <v>1902.76606885426</v>
      </c>
      <c r="N162" s="15" t="n">
        <f aca="false">M162*(1+IF(N$3&lt;=$O$2,$D162,$D162-($D162-$I$157)*MIN(N$3-$O$2,$Q$2)/$Q$2))</f>
        <v>1975.64200929138</v>
      </c>
      <c r="O162" s="15" t="n">
        <f aca="false">SUMPRODUCT(E162:N162,1/(1+$F$157)^$E$3:$N$3)*$E$2</f>
        <v>7190.58353377364</v>
      </c>
      <c r="P162" s="15" t="n">
        <f aca="false">N162*$E$2*(1+$I$157)/($F$157-$I$157)/(1+$F$157)^$N$3</f>
        <v>18700.4763316932</v>
      </c>
      <c r="Q162" s="15" t="n">
        <f aca="false">O162+P162</f>
        <v>25891.0598654668</v>
      </c>
      <c r="R162" s="15" t="n">
        <f aca="false">Q162-$G$2+$I$2</f>
        <v>27800.7198654668</v>
      </c>
      <c r="S162" s="42" t="n">
        <f aca="false">R162/$K$2</f>
        <v>118.791265502144</v>
      </c>
      <c r="T162" s="43" t="n">
        <f aca="false">S162-$M$2</f>
        <v>8.80536625845747</v>
      </c>
    </row>
    <row r="163" customFormat="false" ht="15" hidden="false" customHeight="false" outlineLevel="0" collapsed="false">
      <c r="A163" s="5" t="n">
        <v>5</v>
      </c>
      <c r="B163" s="25" t="n">
        <f aca="false">IF(T162&gt;0,B162,D162)</f>
        <v>-0.125</v>
      </c>
      <c r="C163" s="25" t="n">
        <f aca="false">IF(T162&gt;0,D162,C162)</f>
        <v>-0.03125</v>
      </c>
      <c r="D163" s="41" t="n">
        <f aca="false">(B163+C163)/2</f>
        <v>-0.078125</v>
      </c>
      <c r="E163" s="15" t="n">
        <f aca="false">$C$2*(1+IF(E$3&lt;=$O$2,$D163,$D163-($D163-$I$157)*MIN(E$3-$O$2,$Q$2)/$Q$2))</f>
        <v>2028.125</v>
      </c>
      <c r="F163" s="15" t="n">
        <f aca="false">E163*(1+IF(F$3&lt;=$O$2,$D163,$D163-($D163-$I$157)*MIN(F$3-$O$2,$Q$2)/$Q$2))</f>
        <v>1869.677734375</v>
      </c>
      <c r="G163" s="15" t="n">
        <f aca="false">F163*(1+IF(G$3&lt;=$O$2,$D163,$D163-($D163-$I$157)*MIN(G$3-$O$2,$Q$2)/$Q$2))</f>
        <v>1723.60916137695</v>
      </c>
      <c r="H163" s="15" t="n">
        <f aca="false">G163*(1+IF(H$3&lt;=$O$2,$D163,$D163-($D163-$I$157)*MIN(H$3-$O$2,$Q$2)/$Q$2))</f>
        <v>1588.95219564438</v>
      </c>
      <c r="I163" s="15" t="n">
        <f aca="false">H163*(1+IF(I$3&lt;=$O$2,$D163,$D163-($D163-$I$157)*MIN(I$3-$O$2,$Q$2)/$Q$2))</f>
        <v>1464.81530535966</v>
      </c>
      <c r="J163" s="15" t="n">
        <f aca="false">I163*(1+IF(J$3&lt;=$O$2,$D163,$D163-($D163-$I$157)*MIN(J$3-$O$2,$Q$2)/$Q$2))</f>
        <v>1384.48483401374</v>
      </c>
      <c r="K163" s="15" t="n">
        <f aca="false">J163*(1+IF(K$3&lt;=$O$2,$D163,$D163-($D163-$I$157)*MIN(K$3-$O$2,$Q$2)/$Q$2))</f>
        <v>1340.79741507643</v>
      </c>
      <c r="L163" s="15" t="n">
        <f aca="false">K163*(1+IF(L$3&lt;=$O$2,$D163,$D163-($D163-$I$157)*MIN(L$3-$O$2,$Q$2)/$Q$2))</f>
        <v>1329.70902045375</v>
      </c>
      <c r="M163" s="15" t="n">
        <f aca="false">L163*(1+IF(M$3&lt;=$O$2,$D163,$D163-($D163-$I$157)*MIN(M$3-$O$2,$Q$2)/$Q$2))</f>
        <v>1349.67460139587</v>
      </c>
      <c r="N163" s="15" t="n">
        <f aca="false">M163*(1+IF(N$3&lt;=$O$2,$D163,$D163-($D163-$I$157)*MIN(N$3-$O$2,$Q$2)/$Q$2))</f>
        <v>1401.36713862933</v>
      </c>
      <c r="O163" s="15" t="n">
        <f aca="false">SUMPRODUCT(E163:N163,1/(1+$F$157)^$E$3:$N$3)*$E$2</f>
        <v>5842.66274080925</v>
      </c>
      <c r="P163" s="15" t="n">
        <f aca="false">N163*$E$2*(1+$I$157)/($F$157-$I$157)/(1+$F$157)^$N$3</f>
        <v>13264.6668195469</v>
      </c>
      <c r="Q163" s="15" t="n">
        <f aca="false">O163+P163</f>
        <v>19107.3295603561</v>
      </c>
      <c r="R163" s="15" t="n">
        <f aca="false">Q163-$G$2+$I$2</f>
        <v>21016.9895603561</v>
      </c>
      <c r="S163" s="42" t="n">
        <f aca="false">R163/$K$2</f>
        <v>89.8046812816995</v>
      </c>
      <c r="T163" s="43" t="n">
        <f aca="false">S163-$M$2</f>
        <v>-20.1812179619872</v>
      </c>
    </row>
    <row r="164" customFormat="false" ht="15" hidden="false" customHeight="false" outlineLevel="0" collapsed="false">
      <c r="A164" s="5" t="n">
        <v>6</v>
      </c>
      <c r="B164" s="25" t="n">
        <f aca="false">IF(T163&gt;0,B163,D163)</f>
        <v>-0.078125</v>
      </c>
      <c r="C164" s="25" t="n">
        <f aca="false">IF(T163&gt;0,D163,C163)</f>
        <v>-0.03125</v>
      </c>
      <c r="D164" s="41" t="n">
        <f aca="false">(B164+C164)/2</f>
        <v>-0.0546875</v>
      </c>
      <c r="E164" s="15" t="n">
        <f aca="false">$C$2*(1+IF(E$3&lt;=$O$2,$D164,$D164-($D164-$I$157)*MIN(E$3-$O$2,$Q$2)/$Q$2))</f>
        <v>2079.6875</v>
      </c>
      <c r="F164" s="15" t="n">
        <f aca="false">E164*(1+IF(F$3&lt;=$O$2,$D164,$D164-($D164-$I$157)*MIN(F$3-$O$2,$Q$2)/$Q$2))</f>
        <v>1965.95458984375</v>
      </c>
      <c r="G164" s="15" t="n">
        <f aca="false">F164*(1+IF(G$3&lt;=$O$2,$D164,$D164-($D164-$I$157)*MIN(G$3-$O$2,$Q$2)/$Q$2))</f>
        <v>1858.44144821167</v>
      </c>
      <c r="H164" s="15" t="n">
        <f aca="false">G164*(1+IF(H$3&lt;=$O$2,$D164,$D164-($D164-$I$157)*MIN(H$3-$O$2,$Q$2)/$Q$2))</f>
        <v>1756.80793151259</v>
      </c>
      <c r="I164" s="15" t="n">
        <f aca="false">H164*(1+IF(I$3&lt;=$O$2,$D164,$D164-($D164-$I$157)*MIN(I$3-$O$2,$Q$2)/$Q$2))</f>
        <v>1660.732497758</v>
      </c>
      <c r="J164" s="15" t="n">
        <f aca="false">I164*(1+IF(J$3&lt;=$O$2,$D164,$D164-($D164-$I$157)*MIN(J$3-$O$2,$Q$2)/$Q$2))</f>
        <v>1600.79666191391</v>
      </c>
      <c r="K164" s="15" t="n">
        <f aca="false">J164*(1+IF(K$3&lt;=$O$2,$D164,$D164-($D164-$I$157)*MIN(K$3-$O$2,$Q$2)/$Q$2))</f>
        <v>1572.79472630538</v>
      </c>
      <c r="L164" s="15" t="n">
        <f aca="false">K164*(1+IF(L$3&lt;=$O$2,$D164,$D164-($D164-$I$157)*MIN(L$3-$O$2,$Q$2)/$Q$2))</f>
        <v>1574.53266447795</v>
      </c>
      <c r="M164" s="15" t="n">
        <f aca="false">L164*(1+IF(M$3&lt;=$O$2,$D164,$D164-($D164-$I$157)*MIN(M$3-$O$2,$Q$2)/$Q$2))</f>
        <v>1605.55489429983</v>
      </c>
      <c r="N164" s="15" t="n">
        <f aca="false">M164*(1+IF(N$3&lt;=$O$2,$D164,$D164-($D164-$I$157)*MIN(N$3-$O$2,$Q$2)/$Q$2))</f>
        <v>1667.04764675151</v>
      </c>
      <c r="O164" s="15" t="n">
        <f aca="false">SUMPRODUCT(E164:N164,1/(1+$F$157)^$E$3:$N$3)*$E$2</f>
        <v>6480.41449763994</v>
      </c>
      <c r="P164" s="15" t="n">
        <f aca="false">N164*$E$2*(1+$I$157)/($F$157-$I$157)/(1+$F$157)^$N$3</f>
        <v>15779.4706304423</v>
      </c>
      <c r="Q164" s="15" t="n">
        <f aca="false">O164+P164</f>
        <v>22259.8851280823</v>
      </c>
      <c r="R164" s="15" t="n">
        <f aca="false">Q164-$G$2+$I$2</f>
        <v>24169.5451280823</v>
      </c>
      <c r="S164" s="42" t="n">
        <f aca="false">R164/$K$2</f>
        <v>103.275413955827</v>
      </c>
      <c r="T164" s="43" t="n">
        <f aca="false">S164-$M$2</f>
        <v>-6.71048528785937</v>
      </c>
    </row>
    <row r="165" customFormat="false" ht="15" hidden="false" customHeight="false" outlineLevel="0" collapsed="false">
      <c r="A165" s="5" t="n">
        <v>7</v>
      </c>
      <c r="B165" s="25" t="n">
        <f aca="false">IF(T164&gt;0,B164,D164)</f>
        <v>-0.0546875</v>
      </c>
      <c r="C165" s="25" t="n">
        <f aca="false">IF(T164&gt;0,D164,C164)</f>
        <v>-0.03125</v>
      </c>
      <c r="D165" s="41" t="n">
        <f aca="false">(B165+C165)/2</f>
        <v>-0.04296875</v>
      </c>
      <c r="E165" s="15" t="n">
        <f aca="false">$C$2*(1+IF(E$3&lt;=$O$2,$D165,$D165-($D165-$I$157)*MIN(E$3-$O$2,$Q$2)/$Q$2))</f>
        <v>2105.46875</v>
      </c>
      <c r="F165" s="15" t="n">
        <f aca="false">E165*(1+IF(F$3&lt;=$O$2,$D165,$D165-($D165-$I$157)*MIN(F$3-$O$2,$Q$2)/$Q$2))</f>
        <v>2014.99938964844</v>
      </c>
      <c r="G165" s="15" t="n">
        <f aca="false">F165*(1+IF(G$3&lt;=$O$2,$D165,$D165-($D165-$I$157)*MIN(G$3-$O$2,$Q$2)/$Q$2))</f>
        <v>1928.41738462448</v>
      </c>
      <c r="H165" s="15" t="n">
        <f aca="false">G165*(1+IF(H$3&lt;=$O$2,$D165,$D165-($D165-$I$157)*MIN(H$3-$O$2,$Q$2)/$Q$2))</f>
        <v>1845.5557001289</v>
      </c>
      <c r="I165" s="15" t="n">
        <f aca="false">H165*(1+IF(I$3&lt;=$O$2,$D165,$D165-($D165-$I$157)*MIN(I$3-$O$2,$Q$2)/$Q$2))</f>
        <v>1766.25447863898</v>
      </c>
      <c r="J165" s="15" t="n">
        <f aca="false">I165*(1+IF(J$3&lt;=$O$2,$D165,$D165-($D165-$I$157)*MIN(J$3-$O$2,$Q$2)/$Q$2))</f>
        <v>1719.06899024214</v>
      </c>
      <c r="K165" s="15" t="n">
        <f aca="false">J165*(1+IF(K$3&lt;=$O$2,$D165,$D165-($D165-$I$157)*MIN(K$3-$O$2,$Q$2)/$Q$2))</f>
        <v>1701.08537976797</v>
      </c>
      <c r="L165" s="15" t="n">
        <f aca="false">K165*(1+IF(L$3&lt;=$O$2,$D165,$D165-($D165-$I$157)*MIN(L$3-$O$2,$Q$2)/$Q$2))</f>
        <v>1710.93891683028</v>
      </c>
      <c r="M165" s="15" t="n">
        <f aca="false">L165*(1+IF(M$3&lt;=$O$2,$D165,$D165-($D165-$I$157)*MIN(M$3-$O$2,$Q$2)/$Q$2))</f>
        <v>1748.65870392545</v>
      </c>
      <c r="N165" s="15" t="n">
        <f aca="false">M165*(1+IF(N$3&lt;=$O$2,$D165,$D165-($D165-$I$157)*MIN(N$3-$O$2,$Q$2)/$Q$2))</f>
        <v>1815.63233228579</v>
      </c>
      <c r="O165" s="15" t="n">
        <f aca="false">SUMPRODUCT(E165:N165,1/(1+$F$157)^$E$3:$N$3)*$E$2</f>
        <v>6825.97544977736</v>
      </c>
      <c r="P165" s="15" t="n">
        <f aca="false">N165*$E$2*(1+$I$157)/($F$157-$I$157)/(1+$F$157)^$N$3</f>
        <v>17185.9017460079</v>
      </c>
      <c r="Q165" s="15" t="n">
        <f aca="false">O165+P165</f>
        <v>24011.8771957853</v>
      </c>
      <c r="R165" s="15" t="n">
        <f aca="false">Q165-$G$2+$I$2</f>
        <v>25921.5371957853</v>
      </c>
      <c r="S165" s="42" t="n">
        <f aca="false">R165/$K$2</f>
        <v>110.761599776889</v>
      </c>
      <c r="T165" s="43" t="n">
        <f aca="false">S165-$M$2</f>
        <v>0.775700533202041</v>
      </c>
    </row>
    <row r="166" customFormat="false" ht="15" hidden="false" customHeight="false" outlineLevel="0" collapsed="false">
      <c r="A166" s="5" t="n">
        <v>8</v>
      </c>
      <c r="B166" s="25" t="n">
        <f aca="false">IF(T165&gt;0,B165,D165)</f>
        <v>-0.0546875</v>
      </c>
      <c r="C166" s="25" t="n">
        <f aca="false">IF(T165&gt;0,D165,C165)</f>
        <v>-0.04296875</v>
      </c>
      <c r="D166" s="41" t="n">
        <f aca="false">(B166+C166)/2</f>
        <v>-0.048828125</v>
      </c>
      <c r="E166" s="15" t="n">
        <f aca="false">$C$2*(1+IF(E$3&lt;=$O$2,$D166,$D166-($D166-$I$157)*MIN(E$3-$O$2,$Q$2)/$Q$2))</f>
        <v>2092.578125</v>
      </c>
      <c r="F166" s="15" t="n">
        <f aca="false">E166*(1+IF(F$3&lt;=$O$2,$D166,$D166-($D166-$I$157)*MIN(F$3-$O$2,$Q$2)/$Q$2))</f>
        <v>1990.40145874023</v>
      </c>
      <c r="G166" s="15" t="n">
        <f aca="false">F166*(1+IF(G$3&lt;=$O$2,$D166,$D166-($D166-$I$157)*MIN(G$3-$O$2,$Q$2)/$Q$2))</f>
        <v>1893.21388751268</v>
      </c>
      <c r="H166" s="15" t="n">
        <f aca="false">G166*(1+IF(H$3&lt;=$O$2,$D166,$D166-($D166-$I$157)*MIN(H$3-$O$2,$Q$2)/$Q$2))</f>
        <v>1800.77180316148</v>
      </c>
      <c r="I166" s="15" t="n">
        <f aca="false">H166*(1+IF(I$3&lt;=$O$2,$D166,$D166-($D166-$I$157)*MIN(I$3-$O$2,$Q$2)/$Q$2))</f>
        <v>1712.84349246023</v>
      </c>
      <c r="J166" s="15" t="n">
        <f aca="false">I166*(1+IF(J$3&lt;=$O$2,$D166,$D166-($D166-$I$157)*MIN(J$3-$O$2,$Q$2)/$Q$2))</f>
        <v>1659.05592468825</v>
      </c>
      <c r="K166" s="15" t="n">
        <f aca="false">J166*(1+IF(K$3&lt;=$O$2,$D166,$D166-($D166-$I$157)*MIN(K$3-$O$2,$Q$2)/$Q$2))</f>
        <v>1635.86750741087</v>
      </c>
      <c r="L166" s="15" t="n">
        <f aca="false">K166*(1+IF(L$3&lt;=$O$2,$D166,$D166-($D166-$I$157)*MIN(L$3-$O$2,$Q$2)/$Q$2))</f>
        <v>1641.50920547706</v>
      </c>
      <c r="M166" s="15" t="n">
        <f aca="false">L166*(1+IF(M$3&lt;=$O$2,$D166,$D166-($D166-$I$157)*MIN(M$3-$O$2,$Q$2)/$Q$2))</f>
        <v>1675.77468419814</v>
      </c>
      <c r="N166" s="15" t="n">
        <f aca="false">M166*(1+IF(N$3&lt;=$O$2,$D166,$D166-($D166-$I$157)*MIN(N$3-$O$2,$Q$2)/$Q$2))</f>
        <v>1739.95685460293</v>
      </c>
      <c r="O166" s="15" t="n">
        <f aca="false">SUMPRODUCT(E166:N166,1/(1+$F$157)^$E$3:$N$3)*$E$2</f>
        <v>6650.87466958275</v>
      </c>
      <c r="P166" s="15" t="n">
        <f aca="false">N166*$E$2*(1+$I$157)/($F$157-$I$157)/(1+$F$157)^$N$3</f>
        <v>16469.5940988519</v>
      </c>
      <c r="Q166" s="15" t="n">
        <f aca="false">O166+P166</f>
        <v>23120.4687684347</v>
      </c>
      <c r="R166" s="15" t="n">
        <f aca="false">Q166-$G$2+$I$2</f>
        <v>25030.1287684347</v>
      </c>
      <c r="S166" s="42" t="n">
        <f aca="false">R166/$K$2</f>
        <v>106.952650380014</v>
      </c>
      <c r="T166" s="43" t="n">
        <f aca="false">S166-$M$2</f>
        <v>-3.0332488636727</v>
      </c>
    </row>
    <row r="167" customFormat="false" ht="15" hidden="false" customHeight="false" outlineLevel="0" collapsed="false">
      <c r="A167" s="5" t="n">
        <v>9</v>
      </c>
      <c r="B167" s="25" t="n">
        <f aca="false">IF(T166&gt;0,B166,D166)</f>
        <v>-0.048828125</v>
      </c>
      <c r="C167" s="25" t="n">
        <f aca="false">IF(T166&gt;0,D166,C166)</f>
        <v>-0.04296875</v>
      </c>
      <c r="D167" s="41" t="n">
        <f aca="false">(B167+C167)/2</f>
        <v>-0.0458984375</v>
      </c>
      <c r="E167" s="15" t="n">
        <f aca="false">$C$2*(1+IF(E$3&lt;=$O$2,$D167,$D167-($D167-$I$157)*MIN(E$3-$O$2,$Q$2)/$Q$2))</f>
        <v>2099.0234375</v>
      </c>
      <c r="F167" s="15" t="n">
        <f aca="false">E167*(1+IF(F$3&lt;=$O$2,$D167,$D167-($D167-$I$157)*MIN(F$3-$O$2,$Q$2)/$Q$2))</f>
        <v>2002.68154144287</v>
      </c>
      <c r="G167" s="15" t="n">
        <f aca="false">F167*(1+IF(G$3&lt;=$O$2,$D167,$D167-($D167-$I$157)*MIN(G$3-$O$2,$Q$2)/$Q$2))</f>
        <v>1910.76158788055</v>
      </c>
      <c r="H167" s="15" t="n">
        <f aca="false">G167*(1+IF(H$3&lt;=$O$2,$D167,$D167-($D167-$I$157)*MIN(H$3-$O$2,$Q$2)/$Q$2))</f>
        <v>1823.06061656182</v>
      </c>
      <c r="I167" s="15" t="n">
        <f aca="false">H167*(1+IF(I$3&lt;=$O$2,$D167,$D167-($D167-$I$157)*MIN(I$3-$O$2,$Q$2)/$Q$2))</f>
        <v>1739.38498279384</v>
      </c>
      <c r="J167" s="15" t="n">
        <f aca="false">I167*(1+IF(J$3&lt;=$O$2,$D167,$D167-($D167-$I$157)*MIN(J$3-$O$2,$Q$2)/$Q$2))</f>
        <v>1688.84062942508</v>
      </c>
      <c r="K167" s="15" t="n">
        <f aca="false">J167*(1+IF(K$3&lt;=$O$2,$D167,$D167-($D167-$I$157)*MIN(K$3-$O$2,$Q$2)/$Q$2))</f>
        <v>1668.2045802216</v>
      </c>
      <c r="L167" s="15" t="n">
        <f aca="false">K167*(1+IF(L$3&lt;=$O$2,$D167,$D167-($D167-$I$157)*MIN(L$3-$O$2,$Q$2)/$Q$2))</f>
        <v>1675.91272801008</v>
      </c>
      <c r="M167" s="15" t="n">
        <f aca="false">L167*(1+IF(M$3&lt;=$O$2,$D167,$D167-($D167-$I$157)*MIN(M$3-$O$2,$Q$2)/$Q$2))</f>
        <v>1711.87833887591</v>
      </c>
      <c r="N167" s="15" t="n">
        <f aca="false">M167*(1+IF(N$3&lt;=$O$2,$D167,$D167-($D167-$I$157)*MIN(N$3-$O$2,$Q$2)/$Q$2))</f>
        <v>1777.44327925485</v>
      </c>
      <c r="O167" s="15" t="n">
        <f aca="false">SUMPRODUCT(E167:N167,1/(1+$F$157)^$E$3:$N$3)*$E$2</f>
        <v>6737.8375162076</v>
      </c>
      <c r="P167" s="15" t="n">
        <f aca="false">N167*$E$2*(1+$I$157)/($F$157-$I$157)/(1+$F$157)^$N$3</f>
        <v>16824.4225514088</v>
      </c>
      <c r="Q167" s="15" t="n">
        <f aca="false">O167+P167</f>
        <v>23562.2600676164</v>
      </c>
      <c r="R167" s="15" t="n">
        <f aca="false">Q167-$G$2+$I$2</f>
        <v>25471.9200676164</v>
      </c>
      <c r="S167" s="42" t="n">
        <f aca="false">R167/$K$2</f>
        <v>108.840405365194</v>
      </c>
      <c r="T167" s="43" t="n">
        <f aca="false">S167-$M$2</f>
        <v>-1.14549387849257</v>
      </c>
    </row>
    <row r="168" customFormat="false" ht="15" hidden="false" customHeight="false" outlineLevel="0" collapsed="false">
      <c r="A168" s="5" t="n">
        <v>10</v>
      </c>
      <c r="B168" s="25" t="n">
        <f aca="false">IF(T167&gt;0,B167,D167)</f>
        <v>-0.0458984375</v>
      </c>
      <c r="C168" s="25" t="n">
        <f aca="false">IF(T167&gt;0,D167,C167)</f>
        <v>-0.04296875</v>
      </c>
      <c r="D168" s="41" t="n">
        <f aca="false">(B168+C168)/2</f>
        <v>-0.04443359375</v>
      </c>
      <c r="E168" s="15" t="n">
        <f aca="false">$C$2*(1+IF(E$3&lt;=$O$2,$D168,$D168-($D168-$I$157)*MIN(E$3-$O$2,$Q$2)/$Q$2))</f>
        <v>2102.24609375</v>
      </c>
      <c r="F168" s="15" t="n">
        <f aca="false">E168*(1+IF(F$3&lt;=$O$2,$D168,$D168-($D168-$I$157)*MIN(F$3-$O$2,$Q$2)/$Q$2))</f>
        <v>2008.83574485779</v>
      </c>
      <c r="G168" s="15" t="n">
        <f aca="false">F168*(1+IF(G$3&lt;=$O$2,$D168,$D168-($D168-$I$157)*MIN(G$3-$O$2,$Q$2)/$Q$2))</f>
        <v>1919.5759534603</v>
      </c>
      <c r="H168" s="15" t="n">
        <f aca="false">G168*(1+IF(H$3&lt;=$O$2,$D168,$D168-($D168-$I$157)*MIN(H$3-$O$2,$Q$2)/$Q$2))</f>
        <v>1834.28229537197</v>
      </c>
      <c r="I168" s="15" t="n">
        <f aca="false">H168*(1+IF(I$3&lt;=$O$2,$D168,$D168-($D168-$I$157)*MIN(I$3-$O$2,$Q$2)/$Q$2))</f>
        <v>1752.7785410366</v>
      </c>
      <c r="J168" s="15" t="n">
        <f aca="false">I168*(1+IF(J$3&lt;=$O$2,$D168,$D168-($D168-$I$157)*MIN(J$3-$O$2,$Q$2)/$Q$2))</f>
        <v>1703.89902496003</v>
      </c>
      <c r="K168" s="15" t="n">
        <f aca="false">J168*(1+IF(K$3&lt;=$O$2,$D168,$D168-($D168-$I$157)*MIN(K$3-$O$2,$Q$2)/$Q$2))</f>
        <v>1684.57654378276</v>
      </c>
      <c r="L168" s="15" t="n">
        <f aca="false">K168*(1+IF(L$3&lt;=$O$2,$D168,$D168-($D168-$I$157)*MIN(L$3-$O$2,$Q$2)/$Q$2))</f>
        <v>1693.347396844</v>
      </c>
      <c r="M168" s="15" t="n">
        <f aca="false">L168*(1+IF(M$3&lt;=$O$2,$D168,$D168-($D168-$I$157)*MIN(M$3-$O$2,$Q$2)/$Q$2))</f>
        <v>1730.1832590215</v>
      </c>
      <c r="N168" s="15" t="n">
        <f aca="false">M168*(1+IF(N$3&lt;=$O$2,$D168,$D168-($D168-$I$157)*MIN(N$3-$O$2,$Q$2)/$Q$2))</f>
        <v>1796.44927784203</v>
      </c>
      <c r="O168" s="15" t="n">
        <f aca="false">SUMPRODUCT(E168:N168,1/(1+$F$157)^$E$3:$N$3)*$E$2</f>
        <v>6781.75865449836</v>
      </c>
      <c r="P168" s="15" t="n">
        <f aca="false">N168*$E$2*(1+$I$157)/($F$157-$I$157)/(1+$F$157)^$N$3</f>
        <v>17004.3241859499</v>
      </c>
      <c r="Q168" s="15" t="n">
        <f aca="false">O168+P168</f>
        <v>23786.0828404482</v>
      </c>
      <c r="R168" s="15" t="n">
        <f aca="false">Q168-$G$2+$I$2</f>
        <v>25695.7428404482</v>
      </c>
      <c r="S168" s="42" t="n">
        <f aca="false">R168/$K$2</f>
        <v>109.796790327942</v>
      </c>
      <c r="T168" s="43" t="n">
        <f aca="false">S168-$M$2</f>
        <v>-0.189108915744825</v>
      </c>
    </row>
    <row r="169" customFormat="false" ht="15" hidden="false" customHeight="false" outlineLevel="0" collapsed="false">
      <c r="A169" s="5" t="n">
        <v>11</v>
      </c>
      <c r="B169" s="25" t="n">
        <f aca="false">IF(T168&gt;0,B168,D168)</f>
        <v>-0.04443359375</v>
      </c>
      <c r="C169" s="25" t="n">
        <f aca="false">IF(T168&gt;0,D168,C168)</f>
        <v>-0.04296875</v>
      </c>
      <c r="D169" s="41" t="n">
        <f aca="false">(B169+C169)/2</f>
        <v>-0.043701171875</v>
      </c>
      <c r="E169" s="15" t="n">
        <f aca="false">$C$2*(1+IF(E$3&lt;=$O$2,$D169,$D169-($D169-$I$157)*MIN(E$3-$O$2,$Q$2)/$Q$2))</f>
        <v>2103.857421875</v>
      </c>
      <c r="F169" s="15" t="n">
        <f aca="false">E169*(1+IF(F$3&lt;=$O$2,$D169,$D169-($D169-$I$157)*MIN(F$3-$O$2,$Q$2)/$Q$2))</f>
        <v>2011.91638708115</v>
      </c>
      <c r="G169" s="15" t="n">
        <f aca="false">F169*(1+IF(G$3&lt;=$O$2,$D169,$D169-($D169-$I$157)*MIN(G$3-$O$2,$Q$2)/$Q$2))</f>
        <v>1923.99328325118</v>
      </c>
      <c r="H169" s="15" t="n">
        <f aca="false">G169*(1+IF(H$3&lt;=$O$2,$D169,$D169-($D169-$I$157)*MIN(H$3-$O$2,$Q$2)/$Q$2))</f>
        <v>1839.91252209348</v>
      </c>
      <c r="I169" s="15" t="n">
        <f aca="false">H169*(1+IF(I$3&lt;=$O$2,$D169,$D169-($D169-$I$157)*MIN(I$3-$O$2,$Q$2)/$Q$2))</f>
        <v>1759.50618873051</v>
      </c>
      <c r="J169" s="15" t="n">
        <f aca="false">I169*(1+IF(J$3&lt;=$O$2,$D169,$D169-($D169-$I$157)*MIN(J$3-$O$2,$Q$2)/$Q$2))</f>
        <v>1711.47002024111</v>
      </c>
      <c r="K169" s="15" t="n">
        <f aca="false">J169*(1+IF(K$3&lt;=$O$2,$D169,$D169-($D169-$I$157)*MIN(K$3-$O$2,$Q$2)/$Q$2))</f>
        <v>1692.81379364313</v>
      </c>
      <c r="L169" s="15" t="n">
        <f aca="false">K169*(1+IF(L$3&lt;=$O$2,$D169,$D169-($D169-$I$157)*MIN(L$3-$O$2,$Q$2)/$Q$2))</f>
        <v>1702.1234760017</v>
      </c>
      <c r="M169" s="15" t="n">
        <f aca="false">L169*(1+IF(M$3&lt;=$O$2,$D169,$D169-($D169-$I$157)*MIN(M$3-$O$2,$Q$2)/$Q$2))</f>
        <v>1739.39958119094</v>
      </c>
      <c r="N169" s="15" t="n">
        <f aca="false">M169*(1+IF(N$3&lt;=$O$2,$D169,$D169-($D169-$I$157)*MIN(N$3-$O$2,$Q$2)/$Q$2))</f>
        <v>1806.01858515056</v>
      </c>
      <c r="O169" s="15" t="n">
        <f aca="false">SUMPRODUCT(E169:N169,1/(1+$F$157)^$E$3:$N$3)*$E$2</f>
        <v>6803.82997660733</v>
      </c>
      <c r="P169" s="15" t="n">
        <f aca="false">N169*$E$2*(1+$I$157)/($F$157-$I$157)/(1+$F$157)^$N$3</f>
        <v>17094.9026429741</v>
      </c>
      <c r="Q169" s="15" t="n">
        <f aca="false">O169+P169</f>
        <v>23898.7326195815</v>
      </c>
      <c r="R169" s="15" t="n">
        <f aca="false">Q169-$G$2+$I$2</f>
        <v>25808.3926195815</v>
      </c>
      <c r="S169" s="42" t="n">
        <f aca="false">R169/$K$2</f>
        <v>110.278137929246</v>
      </c>
      <c r="T169" s="43" t="n">
        <f aca="false">S169-$M$2</f>
        <v>0.29223868555944</v>
      </c>
    </row>
    <row r="170" customFormat="false" ht="15" hidden="false" customHeight="false" outlineLevel="0" collapsed="false">
      <c r="A170" s="5" t="n">
        <v>12</v>
      </c>
      <c r="B170" s="25" t="n">
        <f aca="false">IF(T169&gt;0,B169,D169)</f>
        <v>-0.04443359375</v>
      </c>
      <c r="C170" s="25" t="n">
        <f aca="false">IF(T169&gt;0,D169,C169)</f>
        <v>-0.043701171875</v>
      </c>
      <c r="D170" s="41" t="n">
        <f aca="false">(B170+C170)/2</f>
        <v>-0.0440673828125</v>
      </c>
      <c r="E170" s="15" t="n">
        <f aca="false">$C$2*(1+IF(E$3&lt;=$O$2,$D170,$D170-($D170-$I$157)*MIN(E$3-$O$2,$Q$2)/$Q$2))</f>
        <v>2103.0517578125</v>
      </c>
      <c r="F170" s="15" t="n">
        <f aca="false">E170*(1+IF(F$3&lt;=$O$2,$D170,$D170-($D170-$I$157)*MIN(F$3-$O$2,$Q$2)/$Q$2))</f>
        <v>2010.37577092648</v>
      </c>
      <c r="G170" s="15" t="n">
        <f aca="false">F170*(1+IF(G$3&lt;=$O$2,$D170,$D170-($D170-$I$157)*MIN(G$3-$O$2,$Q$2)/$Q$2))</f>
        <v>1921.78377223208</v>
      </c>
      <c r="H170" s="15" t="n">
        <f aca="false">G170*(1+IF(H$3&lt;=$O$2,$D170,$D170-($D170-$I$157)*MIN(H$3-$O$2,$Q$2)/$Q$2))</f>
        <v>1837.09579105828</v>
      </c>
      <c r="I170" s="15" t="n">
        <f aca="false">H170*(1+IF(I$3&lt;=$O$2,$D170,$D170-($D170-$I$157)*MIN(I$3-$O$2,$Q$2)/$Q$2))</f>
        <v>1756.13978757048</v>
      </c>
      <c r="J170" s="15" t="n">
        <f aca="false">I170*(1+IF(J$3&lt;=$O$2,$D170,$D170-($D170-$I$157)*MIN(J$3-$O$2,$Q$2)/$Q$2))</f>
        <v>1707.68103091037</v>
      </c>
      <c r="K170" s="15" t="n">
        <f aca="false">J170*(1+IF(K$3&lt;=$O$2,$D170,$D170-($D170-$I$157)*MIN(K$3-$O$2,$Q$2)/$Q$2))</f>
        <v>1688.69088407745</v>
      </c>
      <c r="L170" s="15" t="n">
        <f aca="false">K170*(1+IF(L$3&lt;=$O$2,$D170,$D170-($D170-$I$157)*MIN(L$3-$O$2,$Q$2)/$Q$2))</f>
        <v>1697.73052553731</v>
      </c>
      <c r="M170" s="15" t="n">
        <f aca="false">L170*(1+IF(M$3&lt;=$O$2,$D170,$D170-($D170-$I$157)*MIN(M$3-$O$2,$Q$2)/$Q$2))</f>
        <v>1734.7860806435</v>
      </c>
      <c r="N170" s="15" t="n">
        <f aca="false">M170*(1+IF(N$3&lt;=$O$2,$D170,$D170-($D170-$I$157)*MIN(N$3-$O$2,$Q$2)/$Q$2))</f>
        <v>1801.22838753215</v>
      </c>
      <c r="O170" s="15" t="n">
        <f aca="false">SUMPRODUCT(E170:N170,1/(1+$F$157)^$E$3:$N$3)*$E$2</f>
        <v>6792.785061497</v>
      </c>
      <c r="P170" s="15" t="n">
        <f aca="false">N170*$E$2*(1+$I$157)/($F$157-$I$157)/(1+$F$157)^$N$3</f>
        <v>17049.5609379659</v>
      </c>
      <c r="Q170" s="15" t="n">
        <f aca="false">O170+P170</f>
        <v>23842.3459994629</v>
      </c>
      <c r="R170" s="15" t="n">
        <f aca="false">Q170-$G$2+$I$2</f>
        <v>25752.0059994629</v>
      </c>
      <c r="S170" s="42" t="n">
        <f aca="false">R170/$K$2</f>
        <v>110.037200356633</v>
      </c>
      <c r="T170" s="43" t="n">
        <f aca="false">S170-$M$2</f>
        <v>0.0513011129466747</v>
      </c>
    </row>
    <row r="171" customFormat="false" ht="15" hidden="false" customHeight="false" outlineLevel="0" collapsed="false">
      <c r="A171" s="5" t="n">
        <v>13</v>
      </c>
      <c r="B171" s="25" t="n">
        <f aca="false">IF(T170&gt;0,B170,D170)</f>
        <v>-0.04443359375</v>
      </c>
      <c r="C171" s="25" t="n">
        <f aca="false">IF(T170&gt;0,D170,C170)</f>
        <v>-0.0440673828125</v>
      </c>
      <c r="D171" s="41" t="n">
        <f aca="false">(B171+C171)/2</f>
        <v>-0.04425048828125</v>
      </c>
      <c r="E171" s="15" t="n">
        <f aca="false">$C$2*(1+IF(E$3&lt;=$O$2,$D171,$D171-($D171-$I$157)*MIN(E$3-$O$2,$Q$2)/$Q$2))</f>
        <v>2102.64892578125</v>
      </c>
      <c r="F171" s="15" t="n">
        <f aca="false">E171*(1+IF(F$3&lt;=$O$2,$D171,$D171-($D171-$I$157)*MIN(F$3-$O$2,$Q$2)/$Q$2))</f>
        <v>2009.60568413138</v>
      </c>
      <c r="G171" s="15" t="n">
        <f aca="false">F171*(1+IF(G$3&lt;=$O$2,$D171,$D171-($D171-$I$157)*MIN(G$3-$O$2,$Q$2)/$Q$2))</f>
        <v>1920.67965135579</v>
      </c>
      <c r="H171" s="15" t="n">
        <f aca="false">G171*(1+IF(H$3&lt;=$O$2,$D171,$D171-($D171-$I$157)*MIN(H$3-$O$2,$Q$2)/$Q$2))</f>
        <v>1835.68863895144</v>
      </c>
      <c r="I171" s="15" t="n">
        <f aca="false">H171*(1+IF(I$3&lt;=$O$2,$D171,$D171-($D171-$I$157)*MIN(I$3-$O$2,$Q$2)/$Q$2))</f>
        <v>1754.4585203455</v>
      </c>
      <c r="J171" s="15" t="n">
        <f aca="false">I171*(1+IF(J$3&lt;=$O$2,$D171,$D171-($D171-$I$157)*MIN(J$3-$O$2,$Q$2)/$Q$2))</f>
        <v>1705.78915565575</v>
      </c>
      <c r="K171" s="15" t="n">
        <f aca="false">J171*(1+IF(K$3&lt;=$O$2,$D171,$D171-($D171-$I$157)*MIN(K$3-$O$2,$Q$2)/$Q$2))</f>
        <v>1686.63264369482</v>
      </c>
      <c r="L171" s="15" t="n">
        <f aca="false">K171*(1+IF(L$3&lt;=$O$2,$D171,$D171-($D171-$I$157)*MIN(L$3-$O$2,$Q$2)/$Q$2))</f>
        <v>1695.53773463309</v>
      </c>
      <c r="M171" s="15" t="n">
        <f aca="false">L171*(1+IF(M$3&lt;=$O$2,$D171,$D171-($D171-$I$157)*MIN(M$3-$O$2,$Q$2)/$Q$2))</f>
        <v>1732.48333629089</v>
      </c>
      <c r="N171" s="15" t="n">
        <f aca="false">M171*(1+IF(N$3&lt;=$O$2,$D171,$D171-($D171-$I$157)*MIN(N$3-$O$2,$Q$2)/$Q$2))</f>
        <v>1798.83744807083</v>
      </c>
      <c r="O171" s="15" t="n">
        <f aca="false">SUMPRODUCT(E171:N171,1/(1+$F$157)^$E$3:$N$3)*$E$2</f>
        <v>6787.2695463348</v>
      </c>
      <c r="P171" s="15" t="n">
        <f aca="false">N171*$E$2*(1+$I$157)/($F$157-$I$157)/(1+$F$157)^$N$3</f>
        <v>17026.9294558469</v>
      </c>
      <c r="Q171" s="15" t="n">
        <f aca="false">O171+P171</f>
        <v>23814.1990021817</v>
      </c>
      <c r="R171" s="15" t="n">
        <f aca="false">Q171-$G$2+$I$2</f>
        <v>25723.8590021817</v>
      </c>
      <c r="S171" s="42" t="n">
        <f aca="false">R171/$K$2</f>
        <v>109.916929462811</v>
      </c>
      <c r="T171" s="43" t="n">
        <f aca="false">S171-$M$2</f>
        <v>-0.0689697808757188</v>
      </c>
    </row>
    <row r="172" customFormat="false" ht="15" hidden="false" customHeight="false" outlineLevel="0" collapsed="false">
      <c r="A172" s="5" t="n">
        <v>14</v>
      </c>
      <c r="B172" s="25" t="n">
        <f aca="false">IF(T171&gt;0,B171,D171)</f>
        <v>-0.04425048828125</v>
      </c>
      <c r="C172" s="25" t="n">
        <f aca="false">IF(T171&gt;0,D171,C171)</f>
        <v>-0.0440673828125</v>
      </c>
      <c r="D172" s="41" t="n">
        <f aca="false">(B172+C172)/2</f>
        <v>-0.044158935546875</v>
      </c>
      <c r="E172" s="15" t="n">
        <f aca="false">$C$2*(1+IF(E$3&lt;=$O$2,$D172,$D172-($D172-$I$157)*MIN(E$3-$O$2,$Q$2)/$Q$2))</f>
        <v>2102.85034179688</v>
      </c>
      <c r="F172" s="15" t="n">
        <f aca="false">E172*(1+IF(F$3&lt;=$O$2,$D172,$D172-($D172-$I$157)*MIN(F$3-$O$2,$Q$2)/$Q$2))</f>
        <v>2009.99070908874</v>
      </c>
      <c r="G172" s="15" t="n">
        <f aca="false">F172*(1+IF(G$3&lt;=$O$2,$D172,$D172-($D172-$I$157)*MIN(G$3-$O$2,$Q$2)/$Q$2))</f>
        <v>1921.23165891628</v>
      </c>
      <c r="H172" s="15" t="n">
        <f aca="false">G172*(1+IF(H$3&lt;=$O$2,$D172,$D172-($D172-$I$157)*MIN(H$3-$O$2,$Q$2)/$Q$2))</f>
        <v>1836.39211391958</v>
      </c>
      <c r="I172" s="15" t="n">
        <f aca="false">H172*(1+IF(I$3&lt;=$O$2,$D172,$D172-($D172-$I$157)*MIN(I$3-$O$2,$Q$2)/$Q$2))</f>
        <v>1755.29899292221</v>
      </c>
      <c r="J172" s="15" t="n">
        <f aca="false">I172*(1+IF(J$3&lt;=$O$2,$D172,$D172-($D172-$I$157)*MIN(J$3-$O$2,$Q$2)/$Q$2))</f>
        <v>1706.73487513284</v>
      </c>
      <c r="K172" s="15" t="n">
        <f aca="false">J172*(1+IF(K$3&lt;=$O$2,$D172,$D172-($D172-$I$157)*MIN(K$3-$O$2,$Q$2)/$Q$2))</f>
        <v>1687.66149621192</v>
      </c>
      <c r="L172" s="15" t="n">
        <f aca="false">K172*(1+IF(L$3&lt;=$O$2,$D172,$D172-($D172-$I$157)*MIN(L$3-$O$2,$Q$2)/$Q$2))</f>
        <v>1696.6338233004</v>
      </c>
      <c r="M172" s="15" t="n">
        <f aca="false">L172*(1+IF(M$3&lt;=$O$2,$D172,$D172-($D172-$I$157)*MIN(M$3-$O$2,$Q$2)/$Q$2))</f>
        <v>1733.63437491637</v>
      </c>
      <c r="N172" s="15" t="n">
        <f aca="false">M172*(1+IF(N$3&lt;=$O$2,$D172,$D172-($D172-$I$157)*MIN(N$3-$O$2,$Q$2)/$Q$2))</f>
        <v>1800.03257147567</v>
      </c>
      <c r="O172" s="15" t="n">
        <f aca="false">SUMPRODUCT(E172:N172,1/(1+$F$157)^$E$3:$N$3)*$E$2</f>
        <v>6790.0267257689</v>
      </c>
      <c r="P172" s="15" t="n">
        <f aca="false">N172*$E$2*(1+$I$157)/($F$157-$I$157)/(1+$F$157)^$N$3</f>
        <v>17038.2419187528</v>
      </c>
      <c r="Q172" s="15" t="n">
        <f aca="false">O172+P172</f>
        <v>23828.2686445217</v>
      </c>
      <c r="R172" s="15" t="n">
        <f aca="false">Q172-$G$2+$I$2</f>
        <v>25737.9286445217</v>
      </c>
      <c r="S172" s="42" t="n">
        <f aca="false">R172/$K$2</f>
        <v>109.977048431918</v>
      </c>
      <c r="T172" s="43" t="n">
        <f aca="false">S172-$M$2</f>
        <v>-0.00885081176883773</v>
      </c>
    </row>
    <row r="173" customFormat="false" ht="15" hidden="false" customHeight="false" outlineLevel="0" collapsed="false">
      <c r="A173" s="5" t="n">
        <v>15</v>
      </c>
      <c r="B173" s="25" t="n">
        <f aca="false">IF(T172&gt;0,B172,D172)</f>
        <v>-0.044158935546875</v>
      </c>
      <c r="C173" s="25" t="n">
        <f aca="false">IF(T172&gt;0,D172,C172)</f>
        <v>-0.0440673828125</v>
      </c>
      <c r="D173" s="41" t="n">
        <f aca="false">(B173+C173)/2</f>
        <v>-0.0441131591796875</v>
      </c>
      <c r="E173" s="15" t="n">
        <f aca="false">$C$2*(1+IF(E$3&lt;=$O$2,$D173,$D173-($D173-$I$157)*MIN(E$3-$O$2,$Q$2)/$Q$2))</f>
        <v>2102.95104980469</v>
      </c>
      <c r="F173" s="15" t="n">
        <f aca="false">E173*(1+IF(F$3&lt;=$O$2,$D173,$D173-($D173-$I$157)*MIN(F$3-$O$2,$Q$2)/$Q$2))</f>
        <v>2010.18323539756</v>
      </c>
      <c r="G173" s="15" t="n">
        <f aca="false">F173*(1+IF(G$3&lt;=$O$2,$D173,$D173-($D173-$I$157)*MIN(G$3-$O$2,$Q$2)/$Q$2))</f>
        <v>1921.50770235413</v>
      </c>
      <c r="H173" s="15" t="n">
        <f aca="false">G173*(1+IF(H$3&lt;=$O$2,$D173,$D173-($D173-$I$157)*MIN(H$3-$O$2,$Q$2)/$Q$2))</f>
        <v>1836.74392721519</v>
      </c>
      <c r="I173" s="15" t="n">
        <f aca="false">H173*(1+IF(I$3&lt;=$O$2,$D173,$D173-($D173-$I$157)*MIN(I$3-$O$2,$Q$2)/$Q$2))</f>
        <v>1755.71934998162</v>
      </c>
      <c r="J173" s="15" t="n">
        <f aca="false">I173*(1+IF(J$3&lt;=$O$2,$D173,$D173-($D173-$I$157)*MIN(J$3-$O$2,$Q$2)/$Q$2))</f>
        <v>1707.207898474</v>
      </c>
      <c r="K173" s="15" t="n">
        <f aca="false">J173*(1+IF(K$3&lt;=$O$2,$D173,$D173-($D173-$I$157)*MIN(K$3-$O$2,$Q$2)/$Q$2))</f>
        <v>1688.1761232117</v>
      </c>
      <c r="L173" s="15" t="n">
        <f aca="false">K173*(1+IF(L$3&lt;=$O$2,$D173,$D173-($D173-$I$157)*MIN(L$3-$O$2,$Q$2)/$Q$2))</f>
        <v>1697.18209770447</v>
      </c>
      <c r="M173" s="15" t="n">
        <f aca="false">L173*(1+IF(M$3&lt;=$O$2,$D173,$D173-($D173-$I$157)*MIN(M$3-$O$2,$Q$2)/$Q$2))</f>
        <v>1734.21014437155</v>
      </c>
      <c r="N173" s="15" t="n">
        <f aca="false">M173*(1+IF(N$3&lt;=$O$2,$D173,$D173-($D173-$I$157)*MIN(N$3-$O$2,$Q$2)/$Q$2))</f>
        <v>1800.63039290098</v>
      </c>
      <c r="O173" s="15" t="n">
        <f aca="false">SUMPRODUCT(E173:N173,1/(1+$F$157)^$E$3:$N$3)*$E$2</f>
        <v>6791.40574906728</v>
      </c>
      <c r="P173" s="15" t="n">
        <f aca="false">N173*$E$2*(1+$I$157)/($F$157-$I$157)/(1+$F$157)^$N$3</f>
        <v>17043.9006086177</v>
      </c>
      <c r="Q173" s="15" t="n">
        <f aca="false">O173+P173</f>
        <v>23835.306357685</v>
      </c>
      <c r="R173" s="15" t="n">
        <f aca="false">Q173-$G$2+$I$2</f>
        <v>25744.966357685</v>
      </c>
      <c r="S173" s="42" t="n">
        <f aca="false">R173/$K$2</f>
        <v>110.007120273832</v>
      </c>
      <c r="T173" s="43" t="n">
        <f aca="false">S173-$M$2</f>
        <v>0.0212210301455826</v>
      </c>
    </row>
    <row r="174" customFormat="false" ht="15" hidden="false" customHeight="false" outlineLevel="0" collapsed="false">
      <c r="A174" s="5" t="n">
        <v>16</v>
      </c>
      <c r="B174" s="25" t="n">
        <f aca="false">IF(T173&gt;0,B173,D173)</f>
        <v>-0.044158935546875</v>
      </c>
      <c r="C174" s="25" t="n">
        <f aca="false">IF(T173&gt;0,D173,C173)</f>
        <v>-0.0441131591796875</v>
      </c>
      <c r="D174" s="41" t="n">
        <f aca="false">(B174+C174)/2</f>
        <v>-0.0441360473632813</v>
      </c>
      <c r="E174" s="15" t="n">
        <f aca="false">$C$2*(1+IF(E$3&lt;=$O$2,$D174,$D174-($D174-$I$157)*MIN(E$3-$O$2,$Q$2)/$Q$2))</f>
        <v>2102.90069580078</v>
      </c>
      <c r="F174" s="15" t="n">
        <f aca="false">E174*(1+IF(F$3&lt;=$O$2,$D174,$D174-($D174-$I$157)*MIN(F$3-$O$2,$Q$2)/$Q$2))</f>
        <v>2010.08697109064</v>
      </c>
      <c r="G174" s="15" t="n">
        <f aca="false">F174*(1+IF(G$3&lt;=$O$2,$D174,$D174-($D174-$I$157)*MIN(G$3-$O$2,$Q$2)/$Q$2))</f>
        <v>1921.36967733027</v>
      </c>
      <c r="H174" s="15" t="n">
        <f aca="false">G174*(1+IF(H$3&lt;=$O$2,$D174,$D174-($D174-$I$157)*MIN(H$3-$O$2,$Q$2)/$Q$2))</f>
        <v>1836.56801424925</v>
      </c>
      <c r="I174" s="15" t="n">
        <f aca="false">H174*(1+IF(I$3&lt;=$O$2,$D174,$D174-($D174-$I$157)*MIN(I$3-$O$2,$Q$2)/$Q$2))</f>
        <v>1755.50916138646</v>
      </c>
      <c r="J174" s="15" t="n">
        <f aca="false">I174*(1+IF(J$3&lt;=$O$2,$D174,$D174-($D174-$I$157)*MIN(J$3-$O$2,$Q$2)/$Q$2))</f>
        <v>1706.97137316778</v>
      </c>
      <c r="K174" s="15" t="n">
        <f aca="false">J174*(1+IF(K$3&lt;=$O$2,$D174,$D174-($D174-$I$157)*MIN(K$3-$O$2,$Q$2)/$Q$2))</f>
        <v>1687.91879298037</v>
      </c>
      <c r="L174" s="15" t="n">
        <f aca="false">K174*(1+IF(L$3&lt;=$O$2,$D174,$D174-($D174-$I$157)*MIN(L$3-$O$2,$Q$2)/$Q$2))</f>
        <v>1696.90794132611</v>
      </c>
      <c r="M174" s="15" t="n">
        <f aca="false">L174*(1+IF(M$3&lt;=$O$2,$D174,$D174-($D174-$I$157)*MIN(M$3-$O$2,$Q$2)/$Q$2))</f>
        <v>1733.92223879445</v>
      </c>
      <c r="N174" s="15" t="n">
        <f aca="false">M174*(1+IF(N$3&lt;=$O$2,$D174,$D174-($D174-$I$157)*MIN(N$3-$O$2,$Q$2)/$Q$2))</f>
        <v>1800.33146054027</v>
      </c>
      <c r="O174" s="15" t="n">
        <f aca="false">SUMPRODUCT(E174:N174,1/(1+$F$157)^$E$3:$N$3)*$E$2</f>
        <v>6790.71620128029</v>
      </c>
      <c r="P174" s="15" t="n">
        <f aca="false">N174*$E$2*(1+$I$157)/($F$157-$I$157)/(1+$F$157)^$N$3</f>
        <v>17041.0710587753</v>
      </c>
      <c r="Q174" s="15" t="n">
        <f aca="false">O174+P174</f>
        <v>23831.7872600556</v>
      </c>
      <c r="R174" s="15" t="n">
        <f aca="false">Q174-$G$2+$I$2</f>
        <v>25741.4472600556</v>
      </c>
      <c r="S174" s="42" t="n">
        <f aca="false">R174/$K$2</f>
        <v>109.992083322888</v>
      </c>
      <c r="T174" s="43" t="n">
        <f aca="false">S174-$M$2</f>
        <v>0.0061840792016028</v>
      </c>
    </row>
    <row r="175" customFormat="false" ht="15" hidden="false" customHeight="false" outlineLevel="0" collapsed="false">
      <c r="A175" s="5" t="n">
        <v>17</v>
      </c>
      <c r="B175" s="25" t="n">
        <f aca="false">IF(T174&gt;0,B174,D174)</f>
        <v>-0.044158935546875</v>
      </c>
      <c r="C175" s="25" t="n">
        <f aca="false">IF(T174&gt;0,D174,C174)</f>
        <v>-0.0441360473632813</v>
      </c>
      <c r="D175" s="41" t="n">
        <f aca="false">(B175+C175)/2</f>
        <v>-0.0441474914550781</v>
      </c>
      <c r="E175" s="15" t="n">
        <f aca="false">$C$2*(1+IF(E$3&lt;=$O$2,$D175,$D175-($D175-$I$157)*MIN(E$3-$O$2,$Q$2)/$Q$2))</f>
        <v>2102.87551879883</v>
      </c>
      <c r="F175" s="15" t="n">
        <f aca="false">E175*(1+IF(F$3&lt;=$O$2,$D175,$D175-($D175-$I$157)*MIN(F$3-$O$2,$Q$2)/$Q$2))</f>
        <v>2010.03883980156</v>
      </c>
      <c r="G175" s="15" t="n">
        <f aca="false">F175*(1+IF(G$3&lt;=$O$2,$D175,$D175-($D175-$I$157)*MIN(G$3-$O$2,$Q$2)/$Q$2))</f>
        <v>1921.30066729705</v>
      </c>
      <c r="H175" s="15" t="n">
        <f aca="false">G175*(1+IF(H$3&lt;=$O$2,$D175,$D175-($D175-$I$157)*MIN(H$3-$O$2,$Q$2)/$Q$2))</f>
        <v>1836.48006250492</v>
      </c>
      <c r="I175" s="15" t="n">
        <f aca="false">H175*(1+IF(I$3&lt;=$O$2,$D175,$D175-($D175-$I$157)*MIN(I$3-$O$2,$Q$2)/$Q$2))</f>
        <v>1755.40407463806</v>
      </c>
      <c r="J175" s="15" t="n">
        <f aca="false">I175*(1+IF(J$3&lt;=$O$2,$D175,$D175-($D175-$I$157)*MIN(J$3-$O$2,$Q$2)/$Q$2))</f>
        <v>1706.85312074155</v>
      </c>
      <c r="K175" s="15" t="n">
        <f aca="false">J175*(1+IF(K$3&lt;=$O$2,$D175,$D175-($D175-$I$157)*MIN(K$3-$O$2,$Q$2)/$Q$2))</f>
        <v>1687.79014041351</v>
      </c>
      <c r="L175" s="15" t="n">
        <f aca="false">K175*(1+IF(L$3&lt;=$O$2,$D175,$D175-($D175-$I$157)*MIN(L$3-$O$2,$Q$2)/$Q$2))</f>
        <v>1696.77087751946</v>
      </c>
      <c r="M175" s="15" t="n">
        <f aca="false">L175*(1+IF(M$3&lt;=$O$2,$D175,$D175-($D175-$I$157)*MIN(M$3-$O$2,$Q$2)/$Q$2))</f>
        <v>1733.77830164335</v>
      </c>
      <c r="N175" s="15" t="n">
        <f aca="false">M175*(1+IF(N$3&lt;=$O$2,$D175,$D175-($D175-$I$157)*MIN(N$3-$O$2,$Q$2)/$Q$2))</f>
        <v>1800.18201059629</v>
      </c>
      <c r="O175" s="15" t="n">
        <f aca="false">SUMPRODUCT(E175:N175,1/(1+$F$157)^$E$3:$N$3)*$E$2</f>
        <v>6790.37145449059</v>
      </c>
      <c r="P175" s="15" t="n">
        <f aca="false">N175*$E$2*(1+$I$157)/($F$157-$I$157)/(1+$F$157)^$N$3</f>
        <v>17039.6564375397</v>
      </c>
      <c r="Q175" s="15" t="n">
        <f aca="false">O175+P175</f>
        <v>23830.0278920303</v>
      </c>
      <c r="R175" s="15" t="n">
        <f aca="false">Q175-$G$2+$I$2</f>
        <v>25739.6878920303</v>
      </c>
      <c r="S175" s="42" t="n">
        <f aca="false">R175/$K$2</f>
        <v>109.984565619922</v>
      </c>
      <c r="T175" s="43" t="n">
        <f aca="false">S175-$M$2</f>
        <v>-0.0013336237647934</v>
      </c>
    </row>
    <row r="176" customFormat="false" ht="15" hidden="false" customHeight="false" outlineLevel="0" collapsed="false">
      <c r="A176" s="5" t="n">
        <v>18</v>
      </c>
      <c r="B176" s="25" t="n">
        <f aca="false">IF(T175&gt;0,B175,D175)</f>
        <v>-0.0441474914550781</v>
      </c>
      <c r="C176" s="25" t="n">
        <f aca="false">IF(T175&gt;0,D175,C175)</f>
        <v>-0.0441360473632813</v>
      </c>
      <c r="D176" s="41" t="n">
        <f aca="false">(B176+C176)/2</f>
        <v>-0.0441417694091797</v>
      </c>
      <c r="E176" s="15" t="n">
        <f aca="false">$C$2*(1+IF(E$3&lt;=$O$2,$D176,$D176-($D176-$I$157)*MIN(E$3-$O$2,$Q$2)/$Q$2))</f>
        <v>2102.8881072998</v>
      </c>
      <c r="F176" s="15" t="n">
        <f aca="false">E176*(1+IF(F$3&lt;=$O$2,$D176,$D176-($D176-$I$157)*MIN(F$3-$O$2,$Q$2)/$Q$2))</f>
        <v>2010.06290537407</v>
      </c>
      <c r="G176" s="15" t="n">
        <f aca="false">F176*(1+IF(G$3&lt;=$O$2,$D176,$D176-($D176-$I$157)*MIN(G$3-$O$2,$Q$2)/$Q$2))</f>
        <v>1921.3351721071</v>
      </c>
      <c r="H176" s="15" t="n">
        <f aca="false">G176*(1+IF(H$3&lt;=$O$2,$D176,$D176-($D176-$I$157)*MIN(H$3-$O$2,$Q$2)/$Q$2))</f>
        <v>1836.5240379822</v>
      </c>
      <c r="I176" s="15" t="n">
        <f aca="false">H176*(1+IF(I$3&lt;=$O$2,$D176,$D176-($D176-$I$157)*MIN(I$3-$O$2,$Q$2)/$Q$2))</f>
        <v>1755.45661738318</v>
      </c>
      <c r="J176" s="15" t="n">
        <f aca="false">I176*(1+IF(J$3&lt;=$O$2,$D176,$D176-($D176-$I$157)*MIN(J$3-$O$2,$Q$2)/$Q$2))</f>
        <v>1706.91224610246</v>
      </c>
      <c r="K176" s="15" t="n">
        <f aca="false">J176*(1+IF(K$3&lt;=$O$2,$D176,$D176-($D176-$I$157)*MIN(K$3-$O$2,$Q$2)/$Q$2))</f>
        <v>1687.85446565125</v>
      </c>
      <c r="L176" s="15" t="n">
        <f aca="false">K176*(1+IF(L$3&lt;=$O$2,$D176,$D176-($D176-$I$157)*MIN(L$3-$O$2,$Q$2)/$Q$2))</f>
        <v>1696.8394082243</v>
      </c>
      <c r="M176" s="15" t="n">
        <f aca="false">L176*(1+IF(M$3&lt;=$O$2,$D176,$D176-($D176-$I$157)*MIN(M$3-$O$2,$Q$2)/$Q$2))</f>
        <v>1733.85026891585</v>
      </c>
      <c r="N176" s="15" t="n">
        <f aca="false">M176*(1+IF(N$3&lt;=$O$2,$D176,$D176-($D176-$I$157)*MIN(N$3-$O$2,$Q$2)/$Q$2))</f>
        <v>1800.25673421532</v>
      </c>
      <c r="O176" s="15" t="n">
        <f aca="false">SUMPRODUCT(E176:N176,1/(1+$F$157)^$E$3:$N$3)*$E$2</f>
        <v>6790.54382562688</v>
      </c>
      <c r="P176" s="15" t="n">
        <f aca="false">N176*$E$2*(1+$I$157)/($F$157-$I$157)/(1+$F$157)^$N$3</f>
        <v>17040.363735351</v>
      </c>
      <c r="Q176" s="15" t="n">
        <f aca="false">O176+P176</f>
        <v>23830.9075609779</v>
      </c>
      <c r="R176" s="15" t="n">
        <f aca="false">Q176-$G$2+$I$2</f>
        <v>25740.5675609779</v>
      </c>
      <c r="S176" s="42" t="n">
        <f aca="false">R176/$K$2</f>
        <v>109.988324407033</v>
      </c>
      <c r="T176" s="43" t="n">
        <f aca="false">S176-$M$2</f>
        <v>0.00242516334614606</v>
      </c>
    </row>
    <row r="177" customFormat="false" ht="15" hidden="false" customHeight="false" outlineLevel="0" collapsed="false">
      <c r="A177" s="5" t="n">
        <v>19</v>
      </c>
      <c r="B177" s="25" t="n">
        <f aca="false">IF(T176&gt;0,B176,D176)</f>
        <v>-0.0441474914550781</v>
      </c>
      <c r="C177" s="25" t="n">
        <f aca="false">IF(T176&gt;0,D176,C176)</f>
        <v>-0.0441417694091797</v>
      </c>
      <c r="D177" s="41" t="n">
        <f aca="false">(B177+C177)/2</f>
        <v>-0.0441446304321289</v>
      </c>
      <c r="E177" s="15" t="n">
        <f aca="false">$C$2*(1+IF(E$3&lt;=$O$2,$D177,$D177-($D177-$I$157)*MIN(E$3-$O$2,$Q$2)/$Q$2))</f>
        <v>2102.88181304932</v>
      </c>
      <c r="F177" s="15" t="n">
        <f aca="false">E177*(1+IF(F$3&lt;=$O$2,$D177,$D177-($D177-$I$157)*MIN(F$3-$O$2,$Q$2)/$Q$2))</f>
        <v>2010.05087256981</v>
      </c>
      <c r="G177" s="15" t="n">
        <f aca="false">F177*(1+IF(G$3&lt;=$O$2,$D177,$D177-($D177-$I$157)*MIN(G$3-$O$2,$Q$2)/$Q$2))</f>
        <v>1921.31791965044</v>
      </c>
      <c r="H177" s="15" t="n">
        <f aca="false">G177*(1+IF(H$3&lt;=$O$2,$D177,$D177-($D177-$I$157)*MIN(H$3-$O$2,$Q$2)/$Q$2))</f>
        <v>1836.50205014484</v>
      </c>
      <c r="I177" s="15" t="n">
        <f aca="false">H177*(1+IF(I$3&lt;=$O$2,$D177,$D177-($D177-$I$157)*MIN(I$3-$O$2,$Q$2)/$Q$2))</f>
        <v>1755.43034585335</v>
      </c>
      <c r="J177" s="15" t="n">
        <f aca="false">I177*(1+IF(J$3&lt;=$O$2,$D177,$D177-($D177-$I$157)*MIN(J$3-$O$2,$Q$2)/$Q$2))</f>
        <v>1706.88268320895</v>
      </c>
      <c r="K177" s="15" t="n">
        <f aca="false">J177*(1+IF(K$3&lt;=$O$2,$D177,$D177-($D177-$I$157)*MIN(K$3-$O$2,$Q$2)/$Q$2))</f>
        <v>1687.82230277096</v>
      </c>
      <c r="L177" s="15" t="n">
        <f aca="false">K177*(1+IF(L$3&lt;=$O$2,$D177,$D177-($D177-$I$157)*MIN(L$3-$O$2,$Q$2)/$Q$2))</f>
        <v>1696.80514257227</v>
      </c>
      <c r="M177" s="15" t="n">
        <f aca="false">L177*(1+IF(M$3&lt;=$O$2,$D177,$D177-($D177-$I$157)*MIN(M$3-$O$2,$Q$2)/$Q$2))</f>
        <v>1733.81428495384</v>
      </c>
      <c r="N177" s="15" t="n">
        <f aca="false">M177*(1+IF(N$3&lt;=$O$2,$D177,$D177-($D177-$I$157)*MIN(N$3-$O$2,$Q$2)/$Q$2))</f>
        <v>1800.21937206757</v>
      </c>
      <c r="O177" s="15" t="n">
        <f aca="false">SUMPRODUCT(E177:N177,1/(1+$F$157)^$E$3:$N$3)*$E$2</f>
        <v>6790.45763949411</v>
      </c>
      <c r="P177" s="15" t="n">
        <f aca="false">N177*$E$2*(1+$I$157)/($F$157-$I$157)/(1+$F$157)^$N$3</f>
        <v>17040.0100832438</v>
      </c>
      <c r="Q177" s="15" t="n">
        <f aca="false">O177+P177</f>
        <v>23830.4677227379</v>
      </c>
      <c r="R177" s="15" t="n">
        <f aca="false">Q177-$G$2+$I$2</f>
        <v>25740.1277227379</v>
      </c>
      <c r="S177" s="42" t="n">
        <f aca="false">R177/$K$2</f>
        <v>109.986444997385</v>
      </c>
      <c r="T177" s="43" t="n">
        <f aca="false">S177-$M$2</f>
        <v>0.000545753697835494</v>
      </c>
    </row>
    <row r="178" customFormat="false" ht="15" hidden="false" customHeight="false" outlineLevel="0" collapsed="false">
      <c r="A178" s="5" t="n">
        <v>20</v>
      </c>
      <c r="B178" s="25" t="n">
        <f aca="false">IF(T177&gt;0,B177,D177)</f>
        <v>-0.0441474914550781</v>
      </c>
      <c r="C178" s="25" t="n">
        <f aca="false">IF(T177&gt;0,D177,C177)</f>
        <v>-0.0441446304321289</v>
      </c>
      <c r="D178" s="41" t="n">
        <f aca="false">(B178+C178)/2</f>
        <v>-0.0441460609436035</v>
      </c>
      <c r="E178" s="15" t="n">
        <f aca="false">$C$2*(1+IF(E$3&lt;=$O$2,$D178,$D178-($D178-$I$157)*MIN(E$3-$O$2,$Q$2)/$Q$2))</f>
        <v>2102.87866592407</v>
      </c>
      <c r="F178" s="15" t="n">
        <f aca="false">E178*(1+IF(F$3&lt;=$O$2,$D178,$D178-($D178-$I$157)*MIN(F$3-$O$2,$Q$2)/$Q$2))</f>
        <v>2010.04485618118</v>
      </c>
      <c r="G178" s="15" t="n">
        <f aca="false">F178*(1+IF(G$3&lt;=$O$2,$D178,$D178-($D178-$I$157)*MIN(G$3-$O$2,$Q$2)/$Q$2))</f>
        <v>1921.30929346083</v>
      </c>
      <c r="H178" s="15" t="n">
        <f aca="false">G178*(1+IF(H$3&lt;=$O$2,$D178,$D178-($D178-$I$157)*MIN(H$3-$O$2,$Q$2)/$Q$2))</f>
        <v>1836.4910563002</v>
      </c>
      <c r="I178" s="15" t="n">
        <f aca="false">H178*(1+IF(I$3&lt;=$O$2,$D178,$D178-($D178-$I$157)*MIN(I$3-$O$2,$Q$2)/$Q$2))</f>
        <v>1755.41721020639</v>
      </c>
      <c r="J178" s="15" t="n">
        <f aca="false">I178*(1+IF(J$3&lt;=$O$2,$D178,$D178-($D178-$I$157)*MIN(J$3-$O$2,$Q$2)/$Q$2))</f>
        <v>1706.86790192199</v>
      </c>
      <c r="K178" s="15" t="n">
        <f aca="false">J178*(1+IF(K$3&lt;=$O$2,$D178,$D178-($D178-$I$157)*MIN(K$3-$O$2,$Q$2)/$Q$2))</f>
        <v>1687.80622152688</v>
      </c>
      <c r="L178" s="15" t="n">
        <f aca="false">K178*(1+IF(L$3&lt;=$O$2,$D178,$D178-($D178-$I$157)*MIN(L$3-$O$2,$Q$2)/$Q$2))</f>
        <v>1696.78800997096</v>
      </c>
      <c r="M178" s="15" t="n">
        <f aca="false">L178*(1+IF(M$3&lt;=$O$2,$D178,$D178-($D178-$I$157)*MIN(M$3-$O$2,$Q$2)/$Q$2))</f>
        <v>1733.79629321716</v>
      </c>
      <c r="N178" s="15" t="n">
        <f aca="false">M178*(1+IF(N$3&lt;=$O$2,$D178,$D178-($D178-$I$157)*MIN(N$3-$O$2,$Q$2)/$Q$2))</f>
        <v>1800.20069124738</v>
      </c>
      <c r="O178" s="15" t="n">
        <f aca="false">SUMPRODUCT(E178:N178,1/(1+$F$157)^$E$3:$N$3)*$E$2</f>
        <v>6790.41454685119</v>
      </c>
      <c r="P178" s="15" t="n">
        <f aca="false">N178*$E$2*(1+$I$157)/($F$157-$I$157)/(1+$F$157)^$N$3</f>
        <v>17039.8332595914</v>
      </c>
      <c r="Q178" s="15" t="n">
        <f aca="false">O178+P178</f>
        <v>23830.2478064426</v>
      </c>
      <c r="R178" s="15" t="n">
        <f aca="false">Q178-$G$2+$I$2</f>
        <v>25739.9078064426</v>
      </c>
      <c r="S178" s="42" t="n">
        <f aca="false">R178/$K$2</f>
        <v>109.98550530463</v>
      </c>
      <c r="T178" s="43" t="n">
        <f aca="false">S178-$M$2</f>
        <v>-0.000393939056650083</v>
      </c>
    </row>
    <row r="179" customFormat="false" ht="15" hidden="false" customHeight="false" outlineLevel="0" collapsed="false">
      <c r="A179" s="5" t="n">
        <v>21</v>
      </c>
      <c r="B179" s="25" t="n">
        <f aca="false">IF(T178&gt;0,B178,D178)</f>
        <v>-0.0441460609436035</v>
      </c>
      <c r="C179" s="25" t="n">
        <f aca="false">IF(T178&gt;0,D178,C178)</f>
        <v>-0.0441446304321289</v>
      </c>
      <c r="D179" s="41" t="n">
        <f aca="false">(B179+C179)/2</f>
        <v>-0.0441453456878662</v>
      </c>
      <c r="E179" s="15" t="n">
        <f aca="false">$C$2*(1+IF(E$3&lt;=$O$2,$D179,$D179-($D179-$I$157)*MIN(E$3-$O$2,$Q$2)/$Q$2))</f>
        <v>2102.88023948669</v>
      </c>
      <c r="F179" s="15" t="n">
        <f aca="false">E179*(1+IF(F$3&lt;=$O$2,$D179,$D179-($D179-$I$157)*MIN(F$3-$O$2,$Q$2)/$Q$2))</f>
        <v>2010.04786437437</v>
      </c>
      <c r="G179" s="15" t="n">
        <f aca="false">F179*(1+IF(G$3&lt;=$O$2,$D179,$D179-($D179-$I$157)*MIN(G$3-$O$2,$Q$2)/$Q$2))</f>
        <v>1921.31360655241</v>
      </c>
      <c r="H179" s="15" t="n">
        <f aca="false">G179*(1+IF(H$3&lt;=$O$2,$D179,$D179-($D179-$I$157)*MIN(H$3-$O$2,$Q$2)/$Q$2))</f>
        <v>1836.49655321635</v>
      </c>
      <c r="I179" s="15" t="n">
        <f aca="false">H179*(1+IF(I$3&lt;=$O$2,$D179,$D179-($D179-$I$157)*MIN(I$3-$O$2,$Q$2)/$Q$2))</f>
        <v>1755.42377802004</v>
      </c>
      <c r="J179" s="15" t="n">
        <f aca="false">I179*(1+IF(J$3&lt;=$O$2,$D179,$D179-($D179-$I$157)*MIN(J$3-$O$2,$Q$2)/$Q$2))</f>
        <v>1706.87529255216</v>
      </c>
      <c r="K179" s="15" t="n">
        <f aca="false">J179*(1+IF(K$3&lt;=$O$2,$D179,$D179-($D179-$I$157)*MIN(K$3-$O$2,$Q$2)/$Q$2))</f>
        <v>1687.81426213258</v>
      </c>
      <c r="L179" s="15" t="n">
        <f aca="false">K179*(1+IF(L$3&lt;=$O$2,$D179,$D179-($D179-$I$157)*MIN(L$3-$O$2,$Q$2)/$Q$2))</f>
        <v>1696.79657625289</v>
      </c>
      <c r="M179" s="15" t="n">
        <f aca="false">L179*(1+IF(M$3&lt;=$O$2,$D179,$D179-($D179-$I$157)*MIN(M$3-$O$2,$Q$2)/$Q$2))</f>
        <v>1733.80528906514</v>
      </c>
      <c r="N179" s="15" t="n">
        <f aca="false">M179*(1+IF(N$3&lt;=$O$2,$D179,$D179-($D179-$I$157)*MIN(N$3-$O$2,$Q$2)/$Q$2))</f>
        <v>1800.21003163634</v>
      </c>
      <c r="O179" s="15" t="n">
        <f aca="false">SUMPRODUCT(E179:N179,1/(1+$F$157)^$E$3:$N$3)*$E$2</f>
        <v>6790.43609313736</v>
      </c>
      <c r="P179" s="15" t="n">
        <f aca="false">N179*$E$2*(1+$I$157)/($F$157-$I$157)/(1+$F$157)^$N$3</f>
        <v>17039.9216712175</v>
      </c>
      <c r="Q179" s="15" t="n">
        <f aca="false">O179+P179</f>
        <v>23830.3577643549</v>
      </c>
      <c r="R179" s="15" t="n">
        <f aca="false">Q179-$G$2+$I$2</f>
        <v>25740.0177643549</v>
      </c>
      <c r="S179" s="42" t="n">
        <f aca="false">R179/$K$2</f>
        <v>109.985975150002</v>
      </c>
      <c r="T179" s="43" t="n">
        <f aca="false">S179-$M$2</f>
        <v>7.59063148194628E-005</v>
      </c>
    </row>
    <row r="180" customFormat="false" ht="15" hidden="false" customHeight="false" outlineLevel="0" collapsed="false">
      <c r="A180" s="5" t="n">
        <v>22</v>
      </c>
      <c r="B180" s="25" t="n">
        <f aca="false">IF(T179&gt;0,B179,D179)</f>
        <v>-0.0441460609436035</v>
      </c>
      <c r="C180" s="25" t="n">
        <f aca="false">IF(T179&gt;0,D179,C179)</f>
        <v>-0.0441453456878662</v>
      </c>
      <c r="D180" s="41" t="n">
        <f aca="false">(B180+C180)/2</f>
        <v>-0.0441457033157349</v>
      </c>
      <c r="E180" s="15" t="n">
        <f aca="false">$C$2*(1+IF(E$3&lt;=$O$2,$D180,$D180-($D180-$I$157)*MIN(E$3-$O$2,$Q$2)/$Q$2))</f>
        <v>2102.87945270538</v>
      </c>
      <c r="F180" s="15" t="n">
        <f aca="false">E180*(1+IF(F$3&lt;=$O$2,$D180,$D180-($D180-$I$157)*MIN(F$3-$O$2,$Q$2)/$Q$2))</f>
        <v>2010.0463602775</v>
      </c>
      <c r="G180" s="15" t="n">
        <f aca="false">F180*(1+IF(G$3&lt;=$O$2,$D180,$D180-($D180-$I$157)*MIN(G$3-$O$2,$Q$2)/$Q$2))</f>
        <v>1921.31145000581</v>
      </c>
      <c r="H180" s="15" t="n">
        <f aca="false">G180*(1+IF(H$3&lt;=$O$2,$D180,$D180-($D180-$I$157)*MIN(H$3-$O$2,$Q$2)/$Q$2))</f>
        <v>1836.49380475673</v>
      </c>
      <c r="I180" s="15" t="n">
        <f aca="false">H180*(1+IF(I$3&lt;=$O$2,$D180,$D180-($D180-$I$157)*MIN(I$3-$O$2,$Q$2)/$Q$2))</f>
        <v>1755.42049411076</v>
      </c>
      <c r="J180" s="15" t="n">
        <f aca="false">I180*(1+IF(J$3&lt;=$O$2,$D180,$D180-($D180-$I$157)*MIN(J$3-$O$2,$Q$2)/$Q$2))</f>
        <v>1706.87159723375</v>
      </c>
      <c r="K180" s="15" t="n">
        <f aca="false">J180*(1+IF(K$3&lt;=$O$2,$D180,$D180-($D180-$I$157)*MIN(K$3-$O$2,$Q$2)/$Q$2))</f>
        <v>1687.81024182565</v>
      </c>
      <c r="L180" s="15" t="n">
        <f aca="false">K180*(1+IF(L$3&lt;=$O$2,$D180,$D180-($D180-$I$157)*MIN(L$3-$O$2,$Q$2)/$Q$2))</f>
        <v>1696.79229310724</v>
      </c>
      <c r="M180" s="15" t="n">
        <f aca="false">L180*(1+IF(M$3&lt;=$O$2,$D180,$D180-($D180-$I$157)*MIN(M$3-$O$2,$Q$2)/$Q$2))</f>
        <v>1733.80079113606</v>
      </c>
      <c r="N180" s="15" t="n">
        <f aca="false">M180*(1+IF(N$3&lt;=$O$2,$D180,$D180-($D180-$I$157)*MIN(N$3-$O$2,$Q$2)/$Q$2))</f>
        <v>1800.20536143657</v>
      </c>
      <c r="O180" s="15" t="n">
        <f aca="false">SUMPRODUCT(E180:N180,1/(1+$F$157)^$E$3:$N$3)*$E$2</f>
        <v>6790.42531998546</v>
      </c>
      <c r="P180" s="15" t="n">
        <f aca="false">N180*$E$2*(1+$I$157)/($F$157-$I$157)/(1+$F$157)^$N$3</f>
        <v>17039.8774653544</v>
      </c>
      <c r="Q180" s="15" t="n">
        <f aca="false">O180+P180</f>
        <v>23830.3027853399</v>
      </c>
      <c r="R180" s="15" t="n">
        <f aca="false">Q180-$G$2+$I$2</f>
        <v>25739.9627853399</v>
      </c>
      <c r="S180" s="42" t="n">
        <f aca="false">R180/$K$2</f>
        <v>109.985740227064</v>
      </c>
      <c r="T180" s="43" t="n">
        <f aca="false">S180-$M$2</f>
        <v>-0.000159016622347963</v>
      </c>
    </row>
    <row r="181" customFormat="false" ht="15" hidden="false" customHeight="false" outlineLevel="0" collapsed="false">
      <c r="A181" s="5" t="n">
        <v>23</v>
      </c>
      <c r="B181" s="25" t="n">
        <f aca="false">IF(T180&gt;0,B180,D180)</f>
        <v>-0.0441457033157349</v>
      </c>
      <c r="C181" s="25" t="n">
        <f aca="false">IF(T180&gt;0,D180,C180)</f>
        <v>-0.0441453456878662</v>
      </c>
      <c r="D181" s="41" t="n">
        <f aca="false">(B181+C181)/2</f>
        <v>-0.0441455245018005</v>
      </c>
      <c r="E181" s="15" t="n">
        <f aca="false">$C$2*(1+IF(E$3&lt;=$O$2,$D181,$D181-($D181-$I$157)*MIN(E$3-$O$2,$Q$2)/$Q$2))</f>
        <v>2102.87984609604</v>
      </c>
      <c r="F181" s="15" t="n">
        <f aca="false">E181*(1+IF(F$3&lt;=$O$2,$D181,$D181-($D181-$I$157)*MIN(F$3-$O$2,$Q$2)/$Q$2))</f>
        <v>2010.04711232586</v>
      </c>
      <c r="G181" s="15" t="n">
        <f aca="false">F181*(1+IF(G$3&lt;=$O$2,$D181,$D181-($D181-$I$157)*MIN(G$3-$O$2,$Q$2)/$Q$2))</f>
        <v>1921.31252827891</v>
      </c>
      <c r="H181" s="15" t="n">
        <f aca="false">G181*(1+IF(H$3&lt;=$O$2,$D181,$D181-($D181-$I$157)*MIN(H$3-$O$2,$Q$2)/$Q$2))</f>
        <v>1836.49517898616</v>
      </c>
      <c r="I181" s="15" t="n">
        <f aca="false">H181*(1+IF(I$3&lt;=$O$2,$D181,$D181-($D181-$I$157)*MIN(I$3-$O$2,$Q$2)/$Q$2))</f>
        <v>1755.42213606478</v>
      </c>
      <c r="J181" s="15" t="n">
        <f aca="false">I181*(1+IF(J$3&lt;=$O$2,$D181,$D181-($D181-$I$157)*MIN(J$3-$O$2,$Q$2)/$Q$2))</f>
        <v>1706.87344489212</v>
      </c>
      <c r="K181" s="15" t="n">
        <f aca="false">J181*(1+IF(K$3&lt;=$O$2,$D181,$D181-($D181-$I$157)*MIN(K$3-$O$2,$Q$2)/$Q$2))</f>
        <v>1687.81225197809</v>
      </c>
      <c r="L181" s="15" t="n">
        <f aca="false">K181*(1+IF(L$3&lt;=$O$2,$D181,$D181-($D181-$I$157)*MIN(L$3-$O$2,$Q$2)/$Q$2))</f>
        <v>1696.79443467889</v>
      </c>
      <c r="M181" s="15" t="n">
        <f aca="false">L181*(1+IF(M$3&lt;=$O$2,$D181,$D181-($D181-$I$157)*MIN(M$3-$O$2,$Q$2)/$Q$2))</f>
        <v>1733.80304009933</v>
      </c>
      <c r="N181" s="15" t="n">
        <f aca="false">M181*(1+IF(N$3&lt;=$O$2,$D181,$D181-($D181-$I$157)*MIN(N$3-$O$2,$Q$2)/$Q$2))</f>
        <v>1800.20769653513</v>
      </c>
      <c r="O181" s="15" t="n">
        <f aca="false">SUMPRODUCT(E181:N181,1/(1+$F$157)^$E$3:$N$3)*$E$2</f>
        <v>6790.4307065592</v>
      </c>
      <c r="P181" s="15" t="n">
        <f aca="false">N181*$E$2*(1+$I$157)/($F$157-$I$157)/(1+$F$157)^$N$3</f>
        <v>17039.8995682734</v>
      </c>
      <c r="Q181" s="15" t="n">
        <f aca="false">O181+P181</f>
        <v>23830.3302748326</v>
      </c>
      <c r="R181" s="15" t="n">
        <f aca="false">Q181-$G$2+$I$2</f>
        <v>25739.9902748326</v>
      </c>
      <c r="S181" s="42" t="n">
        <f aca="false">R181/$K$2</f>
        <v>109.98585768847</v>
      </c>
      <c r="T181" s="43" t="n">
        <f aca="false">S181-$M$2</f>
        <v>-4.15552166543876E-005</v>
      </c>
    </row>
    <row r="182" customFormat="false" ht="15" hidden="false" customHeight="false" outlineLevel="0" collapsed="false">
      <c r="A182" s="5" t="n">
        <v>24</v>
      </c>
      <c r="B182" s="25" t="n">
        <f aca="false">IF(T181&gt;0,B181,D181)</f>
        <v>-0.0441455245018005</v>
      </c>
      <c r="C182" s="25" t="n">
        <f aca="false">IF(T181&gt;0,D181,C181)</f>
        <v>-0.0441453456878662</v>
      </c>
      <c r="D182" s="41" t="n">
        <f aca="false">(B182+C182)/2</f>
        <v>-0.0441454350948334</v>
      </c>
      <c r="E182" s="15" t="n">
        <f aca="false">$C$2*(1+IF(E$3&lt;=$O$2,$D182,$D182-($D182-$I$157)*MIN(E$3-$O$2,$Q$2)/$Q$2))</f>
        <v>2102.88004279137</v>
      </c>
      <c r="F182" s="15" t="n">
        <f aca="false">E182*(1+IF(F$3&lt;=$O$2,$D182,$D182-($D182-$I$157)*MIN(F$3-$O$2,$Q$2)/$Q$2))</f>
        <v>2010.0474883501</v>
      </c>
      <c r="G182" s="15" t="n">
        <f aca="false">F182*(1+IF(G$3&lt;=$O$2,$D182,$D182-($D182-$I$157)*MIN(G$3-$O$2,$Q$2)/$Q$2))</f>
        <v>1921.31306741561</v>
      </c>
      <c r="H182" s="15" t="n">
        <f aca="false">G182*(1+IF(H$3&lt;=$O$2,$D182,$D182-($D182-$I$157)*MIN(H$3-$O$2,$Q$2)/$Q$2))</f>
        <v>1836.49586610116</v>
      </c>
      <c r="I182" s="15" t="n">
        <f aca="false">H182*(1+IF(I$3&lt;=$O$2,$D182,$D182-($D182-$I$157)*MIN(I$3-$O$2,$Q$2)/$Q$2))</f>
        <v>1755.42295704226</v>
      </c>
      <c r="J182" s="15" t="n">
        <f aca="false">I182*(1+IF(J$3&lt;=$O$2,$D182,$D182-($D182-$I$157)*MIN(J$3-$O$2,$Q$2)/$Q$2))</f>
        <v>1706.87436872193</v>
      </c>
      <c r="K182" s="15" t="n">
        <f aca="false">J182*(1+IF(K$3&lt;=$O$2,$D182,$D182-($D182-$I$157)*MIN(K$3-$O$2,$Q$2)/$Q$2))</f>
        <v>1687.81325705508</v>
      </c>
      <c r="L182" s="15" t="n">
        <f aca="false">K182*(1+IF(L$3&lt;=$O$2,$D182,$D182-($D182-$I$157)*MIN(L$3-$O$2,$Q$2)/$Q$2))</f>
        <v>1696.7955054656</v>
      </c>
      <c r="M182" s="15" t="n">
        <f aca="false">L182*(1+IF(M$3&lt;=$O$2,$D182,$D182-($D182-$I$157)*MIN(M$3-$O$2,$Q$2)/$Q$2))</f>
        <v>1733.80416458192</v>
      </c>
      <c r="N182" s="15" t="n">
        <f aca="false">M182*(1+IF(N$3&lt;=$O$2,$D182,$D182-($D182-$I$157)*MIN(N$3-$O$2,$Q$2)/$Q$2))</f>
        <v>1800.2088640854</v>
      </c>
      <c r="O182" s="15" t="n">
        <f aca="false">SUMPRODUCT(E182:N182,1/(1+$F$157)^$E$3:$N$3)*$E$2</f>
        <v>6790.43339984773</v>
      </c>
      <c r="P182" s="15" t="n">
        <f aca="false">N182*$E$2*(1+$I$157)/($F$157-$I$157)/(1+$F$157)^$N$3</f>
        <v>17039.9106197423</v>
      </c>
      <c r="Q182" s="15" t="n">
        <f aca="false">O182+P182</f>
        <v>23830.3440195901</v>
      </c>
      <c r="R182" s="15" t="n">
        <f aca="false">Q182-$G$2+$I$2</f>
        <v>25740.0040195901</v>
      </c>
      <c r="S182" s="42" t="n">
        <f aca="false">R182/$K$2</f>
        <v>109.98591641922</v>
      </c>
      <c r="T182" s="43" t="n">
        <f aca="false">S182-$M$2</f>
        <v>1.71755333724377E-005</v>
      </c>
    </row>
    <row r="184" customFormat="false" ht="15" hidden="false" customHeight="false" outlineLevel="0" collapsed="false">
      <c r="A184" s="38" t="s">
        <v>193</v>
      </c>
      <c r="E184" s="5" t="s">
        <v>11</v>
      </c>
      <c r="F184" s="12" t="n">
        <f aca="false">Sensitivity!$B$11</f>
        <v>0.0727967762761046</v>
      </c>
      <c r="G184" s="5" t="s">
        <v>12</v>
      </c>
      <c r="I184" s="12" t="n">
        <f aca="false">Sensitivity!$C$9</f>
        <v>0.0183</v>
      </c>
    </row>
    <row r="185" customFormat="false" ht="23.85" hidden="false" customHeight="false" outlineLevel="0" collapsed="false">
      <c r="A185" s="38" t="s">
        <v>168</v>
      </c>
      <c r="B185" s="28" t="s">
        <v>169</v>
      </c>
      <c r="C185" s="28" t="s">
        <v>170</v>
      </c>
      <c r="D185" s="28" t="s">
        <v>171</v>
      </c>
      <c r="E185" s="28" t="s">
        <v>172</v>
      </c>
      <c r="F185" s="28" t="s">
        <v>173</v>
      </c>
      <c r="G185" s="28" t="s">
        <v>174</v>
      </c>
      <c r="H185" s="28" t="s">
        <v>175</v>
      </c>
      <c r="I185" s="28" t="s">
        <v>176</v>
      </c>
      <c r="J185" s="28" t="s">
        <v>177</v>
      </c>
      <c r="K185" s="28" t="s">
        <v>178</v>
      </c>
      <c r="L185" s="28" t="s">
        <v>179</v>
      </c>
      <c r="M185" s="28" t="s">
        <v>180</v>
      </c>
      <c r="N185" s="28" t="s">
        <v>181</v>
      </c>
      <c r="O185" s="28" t="s">
        <v>182</v>
      </c>
      <c r="P185" s="28" t="s">
        <v>183</v>
      </c>
      <c r="Q185" s="28" t="s">
        <v>184</v>
      </c>
      <c r="R185" s="28" t="s">
        <v>185</v>
      </c>
      <c r="S185" s="28" t="s">
        <v>186</v>
      </c>
      <c r="T185" s="28" t="s">
        <v>187</v>
      </c>
    </row>
    <row r="186" customFormat="false" ht="15" hidden="false" customHeight="false" outlineLevel="0" collapsed="false">
      <c r="A186" s="5" t="n">
        <v>1</v>
      </c>
      <c r="B186" s="24" t="n">
        <v>-0.5</v>
      </c>
      <c r="C186" s="24" t="n">
        <v>1</v>
      </c>
      <c r="D186" s="41" t="n">
        <f aca="false">(B186+C186)/2</f>
        <v>0.25</v>
      </c>
      <c r="E186" s="15" t="n">
        <f aca="false">$C$2*(1+IF(E$3&lt;=$O$2,$D186,$D186-($D186-$I$184)*MIN(E$3-$O$2,$Q$2)/$Q$2))</f>
        <v>2750</v>
      </c>
      <c r="F186" s="15" t="n">
        <f aca="false">E186*(1+IF(F$3&lt;=$O$2,$D186,$D186-($D186-$I$184)*MIN(F$3-$O$2,$Q$2)/$Q$2))</f>
        <v>3437.5</v>
      </c>
      <c r="G186" s="15" t="n">
        <f aca="false">F186*(1+IF(G$3&lt;=$O$2,$D186,$D186-($D186-$I$184)*MIN(G$3-$O$2,$Q$2)/$Q$2))</f>
        <v>4296.875</v>
      </c>
      <c r="H186" s="15" t="n">
        <f aca="false">G186*(1+IF(H$3&lt;=$O$2,$D186,$D186-($D186-$I$184)*MIN(H$3-$O$2,$Q$2)/$Q$2))</f>
        <v>5371.09375</v>
      </c>
      <c r="I186" s="15" t="n">
        <f aca="false">H186*(1+IF(I$3&lt;=$O$2,$D186,$D186-($D186-$I$184)*MIN(I$3-$O$2,$Q$2)/$Q$2))</f>
        <v>6713.8671875</v>
      </c>
      <c r="J186" s="15" t="n">
        <f aca="false">I186*(1+IF(J$3&lt;=$O$2,$D186,$D186-($D186-$I$184)*MIN(J$3-$O$2,$Q$2)/$Q$2))</f>
        <v>8081.21337890625</v>
      </c>
      <c r="K186" s="15" t="n">
        <f aca="false">J186*(1+IF(K$3&lt;=$O$2,$D186,$D186-($D186-$I$184)*MIN(K$3-$O$2,$Q$2)/$Q$2))</f>
        <v>9352.54986767578</v>
      </c>
      <c r="L186" s="15" t="n">
        <f aca="false">K186*(1+IF(L$3&lt;=$O$2,$D186,$D186-($D186-$I$184)*MIN(L$3-$O$2,$Q$2)/$Q$2))</f>
        <v>10390.4958519904</v>
      </c>
      <c r="M186" s="15" t="n">
        <f aca="false">L186*(1+IF(M$3&lt;=$O$2,$D186,$D186-($D186-$I$184)*MIN(M$3-$O$2,$Q$2)/$Q$2))</f>
        <v>11062.1375038631</v>
      </c>
      <c r="N186" s="15" t="n">
        <f aca="false">M186*(1+IF(N$3&lt;=$O$2,$D186,$D186-($D186-$I$184)*MIN(N$3-$O$2,$Q$2)/$Q$2))</f>
        <v>11264.5746201838</v>
      </c>
      <c r="O186" s="15" t="n">
        <f aca="false">SUMPRODUCT(E186:N186,1/(1+$F$184)^$E$3:$N$3)*$E$2</f>
        <v>23944.5369434148</v>
      </c>
      <c r="P186" s="15" t="n">
        <f aca="false">N186*$E$2*(1+$I$184)/($F$184-$I$184)/(1+$F$184)^$N$3</f>
        <v>54016.6068743566</v>
      </c>
      <c r="Q186" s="15" t="n">
        <f aca="false">O186+P186</f>
        <v>77961.1438177714</v>
      </c>
      <c r="R186" s="15" t="n">
        <f aca="false">Q186-$G$2+$I$2</f>
        <v>79870.8038177714</v>
      </c>
      <c r="S186" s="42" t="n">
        <f aca="false">R186/$K$2</f>
        <v>341.284467024618</v>
      </c>
      <c r="T186" s="43" t="n">
        <f aca="false">S186-$M$2</f>
        <v>231.298567780931</v>
      </c>
    </row>
    <row r="187" customFormat="false" ht="15" hidden="false" customHeight="false" outlineLevel="0" collapsed="false">
      <c r="A187" s="5" t="n">
        <v>2</v>
      </c>
      <c r="B187" s="25" t="n">
        <f aca="false">IF(T186&gt;0,B186,D186)</f>
        <v>-0.5</v>
      </c>
      <c r="C187" s="25" t="n">
        <f aca="false">IF(T186&gt;0,D186,C186)</f>
        <v>0.25</v>
      </c>
      <c r="D187" s="41" t="n">
        <f aca="false">(B187+C187)/2</f>
        <v>-0.125</v>
      </c>
      <c r="E187" s="15" t="n">
        <f aca="false">$C$2*(1+IF(E$3&lt;=$O$2,$D187,$D187-($D187-$I$184)*MIN(E$3-$O$2,$Q$2)/$Q$2))</f>
        <v>1925</v>
      </c>
      <c r="F187" s="15" t="n">
        <f aca="false">E187*(1+IF(F$3&lt;=$O$2,$D187,$D187-($D187-$I$184)*MIN(F$3-$O$2,$Q$2)/$Q$2))</f>
        <v>1684.375</v>
      </c>
      <c r="G187" s="15" t="n">
        <f aca="false">F187*(1+IF(G$3&lt;=$O$2,$D187,$D187-($D187-$I$184)*MIN(G$3-$O$2,$Q$2)/$Q$2))</f>
        <v>1473.828125</v>
      </c>
      <c r="H187" s="15" t="n">
        <f aca="false">G187*(1+IF(H$3&lt;=$O$2,$D187,$D187-($D187-$I$184)*MIN(H$3-$O$2,$Q$2)/$Q$2))</f>
        <v>1289.599609375</v>
      </c>
      <c r="I187" s="15" t="n">
        <f aca="false">H187*(1+IF(I$3&lt;=$O$2,$D187,$D187-($D187-$I$184)*MIN(I$3-$O$2,$Q$2)/$Q$2))</f>
        <v>1128.39965820313</v>
      </c>
      <c r="J187" s="15" t="n">
        <f aca="false">I187*(1+IF(J$3&lt;=$O$2,$D187,$D187-($D187-$I$184)*MIN(J$3-$O$2,$Q$2)/$Q$2))</f>
        <v>1019.68963513184</v>
      </c>
      <c r="K187" s="15" t="n">
        <f aca="false">J187*(1+IF(K$3&lt;=$O$2,$D187,$D187-($D187-$I$184)*MIN(K$3-$O$2,$Q$2)/$Q$2))</f>
        <v>950.677040626113</v>
      </c>
      <c r="L187" s="15" t="n">
        <f aca="false">K187*(1+IF(L$3&lt;=$O$2,$D187,$D187-($D187-$I$184)*MIN(L$3-$O$2,$Q$2)/$Q$2))</f>
        <v>913.581622500882</v>
      </c>
      <c r="M187" s="15" t="n">
        <f aca="false">L187*(1+IF(M$3&lt;=$O$2,$D187,$D187-($D187-$I$184)*MIN(M$3-$O$2,$Q$2)/$Q$2))</f>
        <v>904.116916891773</v>
      </c>
      <c r="N187" s="15" t="n">
        <f aca="false">M187*(1+IF(N$3&lt;=$O$2,$D187,$D187-($D187-$I$184)*MIN(N$3-$O$2,$Q$2)/$Q$2))</f>
        <v>920.662256470893</v>
      </c>
      <c r="O187" s="15" t="n">
        <f aca="false">SUMPRODUCT(E187:N187,1/(1+$F$184)^$E$3:$N$3)*$E$2</f>
        <v>4625.59278779588</v>
      </c>
      <c r="P187" s="15" t="n">
        <f aca="false">N187*$E$2*(1+$I$184)/($F$184-$I$184)/(1+$F$184)^$N$3</f>
        <v>4414.81838850252</v>
      </c>
      <c r="Q187" s="15" t="n">
        <f aca="false">O187+P187</f>
        <v>9040.4111762984</v>
      </c>
      <c r="R187" s="15" t="n">
        <f aca="false">Q187-$G$2+$I$2</f>
        <v>10950.0711762984</v>
      </c>
      <c r="S187" s="42" t="n">
        <f aca="false">R187/$K$2</f>
        <v>46.7891773546058</v>
      </c>
      <c r="T187" s="43" t="n">
        <f aca="false">S187-$M$2</f>
        <v>-63.1967218890809</v>
      </c>
    </row>
    <row r="188" customFormat="false" ht="15" hidden="false" customHeight="false" outlineLevel="0" collapsed="false">
      <c r="A188" s="5" t="n">
        <v>3</v>
      </c>
      <c r="B188" s="25" t="n">
        <f aca="false">IF(T187&gt;0,B187,D187)</f>
        <v>-0.125</v>
      </c>
      <c r="C188" s="25" t="n">
        <f aca="false">IF(T187&gt;0,D187,C187)</f>
        <v>0.25</v>
      </c>
      <c r="D188" s="41" t="n">
        <f aca="false">(B188+C188)/2</f>
        <v>0.0625</v>
      </c>
      <c r="E188" s="15" t="n">
        <f aca="false">$C$2*(1+IF(E$3&lt;=$O$2,$D188,$D188-($D188-$I$184)*MIN(E$3-$O$2,$Q$2)/$Q$2))</f>
        <v>2337.5</v>
      </c>
      <c r="F188" s="15" t="n">
        <f aca="false">E188*(1+IF(F$3&lt;=$O$2,$D188,$D188-($D188-$I$184)*MIN(F$3-$O$2,$Q$2)/$Q$2))</f>
        <v>2483.59375</v>
      </c>
      <c r="G188" s="15" t="n">
        <f aca="false">F188*(1+IF(G$3&lt;=$O$2,$D188,$D188-($D188-$I$184)*MIN(G$3-$O$2,$Q$2)/$Q$2))</f>
        <v>2638.818359375</v>
      </c>
      <c r="H188" s="15" t="n">
        <f aca="false">G188*(1+IF(H$3&lt;=$O$2,$D188,$D188-($D188-$I$184)*MIN(H$3-$O$2,$Q$2)/$Q$2))</f>
        <v>2803.74450683594</v>
      </c>
      <c r="I188" s="15" t="n">
        <f aca="false">H188*(1+IF(I$3&lt;=$O$2,$D188,$D188-($D188-$I$184)*MIN(I$3-$O$2,$Q$2)/$Q$2))</f>
        <v>2978.97853851318</v>
      </c>
      <c r="J188" s="15" t="n">
        <f aca="false">I188*(1+IF(J$3&lt;=$O$2,$D188,$D188-($D188-$I$184)*MIN(J$3-$O$2,$Q$2)/$Q$2))</f>
        <v>3138.8305268898</v>
      </c>
      <c r="K188" s="15" t="n">
        <f aca="false">J188*(1+IF(K$3&lt;=$O$2,$D188,$D188-($D188-$I$184)*MIN(K$3-$O$2,$Q$2)/$Q$2))</f>
        <v>3279.512911105</v>
      </c>
      <c r="L188" s="15" t="n">
        <f aca="false">K188*(1+IF(L$3&lt;=$O$2,$D188,$D188-($D188-$I$184)*MIN(L$3-$O$2,$Q$2)/$Q$2))</f>
        <v>3397.50978564656</v>
      </c>
      <c r="M188" s="15" t="n">
        <f aca="false">L188*(1+IF(M$3&lt;=$O$2,$D188,$D188-($D188-$I$184)*MIN(M$3-$O$2,$Q$2)/$Q$2))</f>
        <v>3489.71820122901</v>
      </c>
      <c r="N188" s="15" t="n">
        <f aca="false">M188*(1+IF(N$3&lt;=$O$2,$D188,$D188-($D188-$I$184)*MIN(N$3-$O$2,$Q$2)/$Q$2))</f>
        <v>3553.5800443115</v>
      </c>
      <c r="O188" s="15" t="n">
        <f aca="false">SUMPRODUCT(E188:N188,1/(1+$F$184)^$E$3:$N$3)*$E$2</f>
        <v>10520.2238306557</v>
      </c>
      <c r="P188" s="15" t="n">
        <f aca="false">N188*$E$2*(1+$I$184)/($F$184-$I$184)/(1+$F$184)^$N$3</f>
        <v>17040.3537392521</v>
      </c>
      <c r="Q188" s="15" t="n">
        <f aca="false">O188+P188</f>
        <v>27560.5775699078</v>
      </c>
      <c r="R188" s="15" t="n">
        <f aca="false">Q188-$G$2+$I$2</f>
        <v>29470.2375699078</v>
      </c>
      <c r="S188" s="42" t="n">
        <f aca="false">R188/$K$2</f>
        <v>125.925041960038</v>
      </c>
      <c r="T188" s="43" t="n">
        <f aca="false">S188-$M$2</f>
        <v>15.9391427163516</v>
      </c>
    </row>
    <row r="189" customFormat="false" ht="15" hidden="false" customHeight="false" outlineLevel="0" collapsed="false">
      <c r="A189" s="5" t="n">
        <v>4</v>
      </c>
      <c r="B189" s="25" t="n">
        <f aca="false">IF(T188&gt;0,B188,D188)</f>
        <v>-0.125</v>
      </c>
      <c r="C189" s="25" t="n">
        <f aca="false">IF(T188&gt;0,D188,C188)</f>
        <v>0.0625</v>
      </c>
      <c r="D189" s="41" t="n">
        <f aca="false">(B189+C189)/2</f>
        <v>-0.03125</v>
      </c>
      <c r="E189" s="15" t="n">
        <f aca="false">$C$2*(1+IF(E$3&lt;=$O$2,$D189,$D189-($D189-$I$184)*MIN(E$3-$O$2,$Q$2)/$Q$2))</f>
        <v>2131.25</v>
      </c>
      <c r="F189" s="15" t="n">
        <f aca="false">E189*(1+IF(F$3&lt;=$O$2,$D189,$D189-($D189-$I$184)*MIN(F$3-$O$2,$Q$2)/$Q$2))</f>
        <v>2064.6484375</v>
      </c>
      <c r="G189" s="15" t="n">
        <f aca="false">F189*(1+IF(G$3&lt;=$O$2,$D189,$D189-($D189-$I$184)*MIN(G$3-$O$2,$Q$2)/$Q$2))</f>
        <v>2000.12817382813</v>
      </c>
      <c r="H189" s="15" t="n">
        <f aca="false">G189*(1+IF(H$3&lt;=$O$2,$D189,$D189-($D189-$I$184)*MIN(H$3-$O$2,$Q$2)/$Q$2))</f>
        <v>1937.624168396</v>
      </c>
      <c r="I189" s="15" t="n">
        <f aca="false">H189*(1+IF(I$3&lt;=$O$2,$D189,$D189-($D189-$I$184)*MIN(I$3-$O$2,$Q$2)/$Q$2))</f>
        <v>1877.07341313362</v>
      </c>
      <c r="J189" s="15" t="n">
        <f aca="false">I189*(1+IF(J$3&lt;=$O$2,$D189,$D189-($D189-$I$184)*MIN(J$3-$O$2,$Q$2)/$Q$2))</f>
        <v>1837.01666649735</v>
      </c>
      <c r="K189" s="15" t="n">
        <f aca="false">J189*(1+IF(K$3&lt;=$O$2,$D189,$D189-($D189-$I$184)*MIN(K$3-$O$2,$Q$2)/$Q$2))</f>
        <v>1816.01956599928</v>
      </c>
      <c r="L189" s="15" t="n">
        <f aca="false">K189*(1+IF(L$3&lt;=$O$2,$D189,$D189-($D189-$I$184)*MIN(L$3-$O$2,$Q$2)/$Q$2))</f>
        <v>1813.25921625897</v>
      </c>
      <c r="M189" s="15" t="n">
        <f aca="false">L189*(1+IF(M$3&lt;=$O$2,$D189,$D189-($D189-$I$184)*MIN(M$3-$O$2,$Q$2)/$Q$2))</f>
        <v>1828.47246108338</v>
      </c>
      <c r="N189" s="15" t="n">
        <f aca="false">M189*(1+IF(N$3&lt;=$O$2,$D189,$D189-($D189-$I$184)*MIN(N$3-$O$2,$Q$2)/$Q$2))</f>
        <v>1861.9335071212</v>
      </c>
      <c r="O189" s="15" t="n">
        <f aca="false">SUMPRODUCT(E189:N189,1/(1+$F$184)^$E$3:$N$3)*$E$2</f>
        <v>6957.62704054213</v>
      </c>
      <c r="P189" s="15" t="n">
        <f aca="false">N189*$E$2*(1+$I$184)/($F$184-$I$184)/(1+$F$184)^$N$3</f>
        <v>8928.46234070374</v>
      </c>
      <c r="Q189" s="15" t="n">
        <f aca="false">O189+P189</f>
        <v>15886.0893812459</v>
      </c>
      <c r="R189" s="15" t="n">
        <f aca="false">Q189-$G$2+$I$2</f>
        <v>17795.7493812459</v>
      </c>
      <c r="S189" s="42" t="n">
        <f aca="false">R189/$K$2</f>
        <v>76.0404622537532</v>
      </c>
      <c r="T189" s="43" t="n">
        <f aca="false">S189-$M$2</f>
        <v>-33.9454369899335</v>
      </c>
    </row>
    <row r="190" customFormat="false" ht="15" hidden="false" customHeight="false" outlineLevel="0" collapsed="false">
      <c r="A190" s="5" t="n">
        <v>5</v>
      </c>
      <c r="B190" s="25" t="n">
        <f aca="false">IF(T189&gt;0,B189,D189)</f>
        <v>-0.03125</v>
      </c>
      <c r="C190" s="25" t="n">
        <f aca="false">IF(T189&gt;0,D189,C189)</f>
        <v>0.0625</v>
      </c>
      <c r="D190" s="41" t="n">
        <f aca="false">(B190+C190)/2</f>
        <v>0.015625</v>
      </c>
      <c r="E190" s="15" t="n">
        <f aca="false">$C$2*(1+IF(E$3&lt;=$O$2,$D190,$D190-($D190-$I$184)*MIN(E$3-$O$2,$Q$2)/$Q$2))</f>
        <v>2234.375</v>
      </c>
      <c r="F190" s="15" t="n">
        <f aca="false">E190*(1+IF(F$3&lt;=$O$2,$D190,$D190-($D190-$I$184)*MIN(F$3-$O$2,$Q$2)/$Q$2))</f>
        <v>2269.287109375</v>
      </c>
      <c r="G190" s="15" t="n">
        <f aca="false">F190*(1+IF(G$3&lt;=$O$2,$D190,$D190-($D190-$I$184)*MIN(G$3-$O$2,$Q$2)/$Q$2))</f>
        <v>2304.74472045898</v>
      </c>
      <c r="H190" s="15" t="n">
        <f aca="false">G190*(1+IF(H$3&lt;=$O$2,$D190,$D190-($D190-$I$184)*MIN(H$3-$O$2,$Q$2)/$Q$2))</f>
        <v>2340.75635671616</v>
      </c>
      <c r="I190" s="15" t="n">
        <f aca="false">H190*(1+IF(I$3&lt;=$O$2,$D190,$D190-($D190-$I$184)*MIN(I$3-$O$2,$Q$2)/$Q$2))</f>
        <v>2377.33067478985</v>
      </c>
      <c r="J190" s="15" t="n">
        <f aca="false">I190*(1+IF(J$3&lt;=$O$2,$D190,$D190-($D190-$I$184)*MIN(J$3-$O$2,$Q$2)/$Q$2))</f>
        <v>2415.74833849445</v>
      </c>
      <c r="K190" s="15" t="n">
        <f aca="false">J190*(1+IF(K$3&lt;=$O$2,$D190,$D190-($D190-$I$184)*MIN(K$3-$O$2,$Q$2)/$Q$2))</f>
        <v>2456.07925700561</v>
      </c>
      <c r="L190" s="15" t="n">
        <f aca="false">K190*(1+IF(L$3&lt;=$O$2,$D190,$D190-($D190-$I$184)*MIN(L$3-$O$2,$Q$2)/$Q$2))</f>
        <v>2498.39750260382</v>
      </c>
      <c r="M190" s="15" t="n">
        <f aca="false">L190*(1+IF(M$3&lt;=$O$2,$D190,$D190-($D190-$I$184)*MIN(M$3-$O$2,$Q$2)/$Q$2))</f>
        <v>2542.78153423758</v>
      </c>
      <c r="N190" s="15" t="n">
        <f aca="false">M190*(1+IF(N$3&lt;=$O$2,$D190,$D190-($D190-$I$184)*MIN(N$3-$O$2,$Q$2)/$Q$2))</f>
        <v>2589.31443631413</v>
      </c>
      <c r="O190" s="15" t="n">
        <f aca="false">SUMPRODUCT(E190:N190,1/(1+$F$184)^$E$3:$N$3)*$E$2</f>
        <v>8552.76975533721</v>
      </c>
      <c r="P190" s="15" t="n">
        <f aca="false">N190*$E$2*(1+$I$184)/($F$184-$I$184)/(1+$F$184)^$N$3</f>
        <v>12416.4457777096</v>
      </c>
      <c r="Q190" s="15" t="n">
        <f aca="false">O190+P190</f>
        <v>20969.2155330469</v>
      </c>
      <c r="R190" s="15" t="n">
        <f aca="false">Q190-$G$2+$I$2</f>
        <v>22878.8755330469</v>
      </c>
      <c r="S190" s="42" t="n">
        <f aca="false">R190/$K$2</f>
        <v>97.7604389738361</v>
      </c>
      <c r="T190" s="43" t="n">
        <f aca="false">S190-$M$2</f>
        <v>-12.2254602698506</v>
      </c>
    </row>
    <row r="191" customFormat="false" ht="15" hidden="false" customHeight="false" outlineLevel="0" collapsed="false">
      <c r="A191" s="5" t="n">
        <v>6</v>
      </c>
      <c r="B191" s="25" t="n">
        <f aca="false">IF(T190&gt;0,B190,D190)</f>
        <v>0.015625</v>
      </c>
      <c r="C191" s="25" t="n">
        <f aca="false">IF(T190&gt;0,D190,C190)</f>
        <v>0.0625</v>
      </c>
      <c r="D191" s="41" t="n">
        <f aca="false">(B191+C191)/2</f>
        <v>0.0390625</v>
      </c>
      <c r="E191" s="15" t="n">
        <f aca="false">$C$2*(1+IF(E$3&lt;=$O$2,$D191,$D191-($D191-$I$184)*MIN(E$3-$O$2,$Q$2)/$Q$2))</f>
        <v>2285.9375</v>
      </c>
      <c r="F191" s="15" t="n">
        <f aca="false">E191*(1+IF(F$3&lt;=$O$2,$D191,$D191-($D191-$I$184)*MIN(F$3-$O$2,$Q$2)/$Q$2))</f>
        <v>2375.23193359375</v>
      </c>
      <c r="G191" s="15" t="n">
        <f aca="false">F191*(1+IF(G$3&lt;=$O$2,$D191,$D191-($D191-$I$184)*MIN(G$3-$O$2,$Q$2)/$Q$2))</f>
        <v>2468.01443099976</v>
      </c>
      <c r="H191" s="15" t="n">
        <f aca="false">G191*(1+IF(H$3&lt;=$O$2,$D191,$D191-($D191-$I$184)*MIN(H$3-$O$2,$Q$2)/$Q$2))</f>
        <v>2564.42124471068</v>
      </c>
      <c r="I191" s="15" t="n">
        <f aca="false">H191*(1+IF(I$3&lt;=$O$2,$D191,$D191-($D191-$I$184)*MIN(I$3-$O$2,$Q$2)/$Q$2))</f>
        <v>2664.5939495822</v>
      </c>
      <c r="J191" s="15" t="n">
        <f aca="false">I191*(1+IF(J$3&lt;=$O$2,$D191,$D191-($D191-$I$184)*MIN(J$3-$O$2,$Q$2)/$Q$2))</f>
        <v>2757.61492436211</v>
      </c>
      <c r="K191" s="15" t="n">
        <f aca="false">J191*(1+IF(K$3&lt;=$O$2,$D191,$D191-($D191-$I$184)*MIN(K$3-$O$2,$Q$2)/$Q$2))</f>
        <v>2842.43226539818</v>
      </c>
      <c r="L191" s="15" t="n">
        <f aca="false">K191*(1+IF(L$3&lt;=$O$2,$D191,$D191-($D191-$I$184)*MIN(L$3-$O$2,$Q$2)/$Q$2))</f>
        <v>2918.0551758191</v>
      </c>
      <c r="M191" s="15" t="n">
        <f aca="false">L191*(1+IF(M$3&lt;=$O$2,$D191,$D191-($D191-$I$184)*MIN(M$3-$O$2,$Q$2)/$Q$2))</f>
        <v>2983.57280965417</v>
      </c>
      <c r="N191" s="15" t="n">
        <f aca="false">M191*(1+IF(N$3&lt;=$O$2,$D191,$D191-($D191-$I$184)*MIN(N$3-$O$2,$Q$2)/$Q$2))</f>
        <v>3038.17219207085</v>
      </c>
      <c r="O191" s="15" t="n">
        <f aca="false">SUMPRODUCT(E191:N191,1/(1+$F$184)^$E$3:$N$3)*$E$2</f>
        <v>9485.27287619045</v>
      </c>
      <c r="P191" s="15" t="n">
        <f aca="false">N191*$E$2*(1+$I$184)/($F$184-$I$184)/(1+$F$184)^$N$3</f>
        <v>14568.8371242744</v>
      </c>
      <c r="Q191" s="15" t="n">
        <f aca="false">O191+P191</f>
        <v>24054.1100004649</v>
      </c>
      <c r="R191" s="15" t="n">
        <f aca="false">Q191-$G$2+$I$2</f>
        <v>25963.7700004649</v>
      </c>
      <c r="S191" s="42" t="n">
        <f aca="false">R191/$K$2</f>
        <v>110.942058712408</v>
      </c>
      <c r="T191" s="43" t="n">
        <f aca="false">S191-$M$2</f>
        <v>0.956159468721353</v>
      </c>
    </row>
    <row r="192" customFormat="false" ht="15" hidden="false" customHeight="false" outlineLevel="0" collapsed="false">
      <c r="A192" s="5" t="n">
        <v>7</v>
      </c>
      <c r="B192" s="25" t="n">
        <f aca="false">IF(T191&gt;0,B191,D191)</f>
        <v>0.015625</v>
      </c>
      <c r="C192" s="25" t="n">
        <f aca="false">IF(T191&gt;0,D191,C191)</f>
        <v>0.0390625</v>
      </c>
      <c r="D192" s="41" t="n">
        <f aca="false">(B192+C192)/2</f>
        <v>0.02734375</v>
      </c>
      <c r="E192" s="15" t="n">
        <f aca="false">$C$2*(1+IF(E$3&lt;=$O$2,$D192,$D192-($D192-$I$184)*MIN(E$3-$O$2,$Q$2)/$Q$2))</f>
        <v>2260.15625</v>
      </c>
      <c r="F192" s="15" t="n">
        <f aca="false">E192*(1+IF(F$3&lt;=$O$2,$D192,$D192-($D192-$I$184)*MIN(F$3-$O$2,$Q$2)/$Q$2))</f>
        <v>2321.95739746094</v>
      </c>
      <c r="G192" s="15" t="n">
        <f aca="false">F192*(1+IF(G$3&lt;=$O$2,$D192,$D192-($D192-$I$184)*MIN(G$3-$O$2,$Q$2)/$Q$2))</f>
        <v>2385.44842004776</v>
      </c>
      <c r="H192" s="15" t="n">
        <f aca="false">G192*(1+IF(H$3&lt;=$O$2,$D192,$D192-($D192-$I$184)*MIN(H$3-$O$2,$Q$2)/$Q$2))</f>
        <v>2450.67552528344</v>
      </c>
      <c r="I192" s="15" t="n">
        <f aca="false">H192*(1+IF(I$3&lt;=$O$2,$D192,$D192-($D192-$I$184)*MIN(I$3-$O$2,$Q$2)/$Q$2))</f>
        <v>2517.68618417791</v>
      </c>
      <c r="J192" s="15" t="n">
        <f aca="false">I192*(1+IF(J$3&lt;=$O$2,$D192,$D192-($D192-$I$184)*MIN(J$3-$O$2,$Q$2)/$Q$2))</f>
        <v>2581.97530089089</v>
      </c>
      <c r="K192" s="15" t="n">
        <f aca="false">J192*(1+IF(K$3&lt;=$O$2,$D192,$D192-($D192-$I$184)*MIN(K$3-$O$2,$Q$2)/$Q$2))</f>
        <v>2643.23589237366</v>
      </c>
      <c r="L192" s="15" t="n">
        <f aca="false">K192*(1+IF(L$3&lt;=$O$2,$D192,$D192-($D192-$I$184)*MIN(L$3-$O$2,$Q$2)/$Q$2))</f>
        <v>2701.16901504476</v>
      </c>
      <c r="M192" s="15" t="n">
        <f aca="false">L192*(1+IF(M$3&lt;=$O$2,$D192,$D192-($D192-$I$184)*MIN(M$3-$O$2,$Q$2)/$Q$2))</f>
        <v>2755.48614747604</v>
      </c>
      <c r="N192" s="15" t="n">
        <f aca="false">M192*(1+IF(N$3&lt;=$O$2,$D192,$D192-($D192-$I$184)*MIN(N$3-$O$2,$Q$2)/$Q$2))</f>
        <v>2805.91154397485</v>
      </c>
      <c r="O192" s="15" t="n">
        <f aca="false">SUMPRODUCT(E192:N192,1/(1+$F$184)^$E$3:$N$3)*$E$2</f>
        <v>9006.83239356462</v>
      </c>
      <c r="P192" s="15" t="n">
        <f aca="false">N192*$E$2*(1+$I$184)/($F$184-$I$184)/(1+$F$184)^$N$3</f>
        <v>13455.0860467943</v>
      </c>
      <c r="Q192" s="15" t="n">
        <f aca="false">O192+P192</f>
        <v>22461.9184403589</v>
      </c>
      <c r="R192" s="15" t="n">
        <f aca="false">Q192-$G$2+$I$2</f>
        <v>24371.5784403589</v>
      </c>
      <c r="S192" s="42" t="n">
        <f aca="false">R192/$K$2</f>
        <v>104.138693502367</v>
      </c>
      <c r="T192" s="43" t="n">
        <f aca="false">S192-$M$2</f>
        <v>-5.84720574131981</v>
      </c>
    </row>
    <row r="193" customFormat="false" ht="15" hidden="false" customHeight="false" outlineLevel="0" collapsed="false">
      <c r="A193" s="5" t="n">
        <v>8</v>
      </c>
      <c r="B193" s="25" t="n">
        <f aca="false">IF(T192&gt;0,B192,D192)</f>
        <v>0.02734375</v>
      </c>
      <c r="C193" s="25" t="n">
        <f aca="false">IF(T192&gt;0,D192,C192)</f>
        <v>0.0390625</v>
      </c>
      <c r="D193" s="41" t="n">
        <f aca="false">(B193+C193)/2</f>
        <v>0.033203125</v>
      </c>
      <c r="E193" s="15" t="n">
        <f aca="false">$C$2*(1+IF(E$3&lt;=$O$2,$D193,$D193-($D193-$I$184)*MIN(E$3-$O$2,$Q$2)/$Q$2))</f>
        <v>2273.046875</v>
      </c>
      <c r="F193" s="15" t="n">
        <f aca="false">E193*(1+IF(F$3&lt;=$O$2,$D193,$D193-($D193-$I$184)*MIN(F$3-$O$2,$Q$2)/$Q$2))</f>
        <v>2348.51913452148</v>
      </c>
      <c r="G193" s="15" t="n">
        <f aca="false">F193*(1+IF(G$3&lt;=$O$2,$D193,$D193-($D193-$I$184)*MIN(G$3-$O$2,$Q$2)/$Q$2))</f>
        <v>2426.49730890989</v>
      </c>
      <c r="H193" s="15" t="n">
        <f aca="false">G193*(1+IF(H$3&lt;=$O$2,$D193,$D193-($D193-$I$184)*MIN(H$3-$O$2,$Q$2)/$Q$2))</f>
        <v>2507.06460236979</v>
      </c>
      <c r="I193" s="15" t="n">
        <f aca="false">H193*(1+IF(I$3&lt;=$O$2,$D193,$D193-($D193-$I$184)*MIN(I$3-$O$2,$Q$2)/$Q$2))</f>
        <v>2590.30698174535</v>
      </c>
      <c r="J193" s="15" t="n">
        <f aca="false">I193*(1+IF(J$3&lt;=$O$2,$D193,$D193-($D193-$I$184)*MIN(J$3-$O$2,$Q$2)/$Q$2))</f>
        <v>2668.59253450115</v>
      </c>
      <c r="K193" s="15" t="n">
        <f aca="false">J193*(1+IF(K$3&lt;=$O$2,$D193,$D193-($D193-$I$184)*MIN(K$3-$O$2,$Q$2)/$Q$2))</f>
        <v>2741.28999875196</v>
      </c>
      <c r="L193" s="15" t="n">
        <f aca="false">K193*(1+IF(L$3&lt;=$O$2,$D193,$D193-($D193-$I$184)*MIN(L$3-$O$2,$Q$2)/$Q$2))</f>
        <v>2807.79712073419</v>
      </c>
      <c r="M193" s="15" t="n">
        <f aca="false">L193*(1+IF(M$3&lt;=$O$2,$D193,$D193-($D193-$I$184)*MIN(M$3-$O$2,$Q$2)/$Q$2))</f>
        <v>2867.54879833661</v>
      </c>
      <c r="N193" s="15" t="n">
        <f aca="false">M193*(1+IF(N$3&lt;=$O$2,$D193,$D193-($D193-$I$184)*MIN(N$3-$O$2,$Q$2)/$Q$2))</f>
        <v>2920.02494134617</v>
      </c>
      <c r="O193" s="15" t="n">
        <f aca="false">SUMPRODUCT(E193:N193,1/(1+$F$184)^$E$3:$N$3)*$E$2</f>
        <v>9242.93031331498</v>
      </c>
      <c r="P193" s="15" t="n">
        <f aca="false">N193*$E$2*(1+$I$184)/($F$184-$I$184)/(1+$F$184)^$N$3</f>
        <v>14002.2898900588</v>
      </c>
      <c r="Q193" s="15" t="n">
        <f aca="false">O193+P193</f>
        <v>23245.2202033738</v>
      </c>
      <c r="R193" s="15" t="n">
        <f aca="false">Q193-$G$2+$I$2</f>
        <v>25154.8802033738</v>
      </c>
      <c r="S193" s="42" t="n">
        <f aca="false">R193/$K$2</f>
        <v>107.485707829653</v>
      </c>
      <c r="T193" s="43" t="n">
        <f aca="false">S193-$M$2</f>
        <v>-2.50019141403347</v>
      </c>
    </row>
    <row r="194" customFormat="false" ht="15" hidden="false" customHeight="false" outlineLevel="0" collapsed="false">
      <c r="A194" s="5" t="n">
        <v>9</v>
      </c>
      <c r="B194" s="25" t="n">
        <f aca="false">IF(T193&gt;0,B193,D193)</f>
        <v>0.033203125</v>
      </c>
      <c r="C194" s="25" t="n">
        <f aca="false">IF(T193&gt;0,D193,C193)</f>
        <v>0.0390625</v>
      </c>
      <c r="D194" s="41" t="n">
        <f aca="false">(B194+C194)/2</f>
        <v>0.0361328125</v>
      </c>
      <c r="E194" s="15" t="n">
        <f aca="false">$C$2*(1+IF(E$3&lt;=$O$2,$D194,$D194-($D194-$I$184)*MIN(E$3-$O$2,$Q$2)/$Q$2))</f>
        <v>2279.4921875</v>
      </c>
      <c r="F194" s="15" t="n">
        <f aca="false">E194*(1+IF(F$3&lt;=$O$2,$D194,$D194-($D194-$I$184)*MIN(F$3-$O$2,$Q$2)/$Q$2))</f>
        <v>2361.85665130615</v>
      </c>
      <c r="G194" s="15" t="n">
        <f aca="false">F194*(1+IF(G$3&lt;=$O$2,$D194,$D194-($D194-$I$184)*MIN(G$3-$O$2,$Q$2)/$Q$2))</f>
        <v>2447.19717483968</v>
      </c>
      <c r="H194" s="15" t="n">
        <f aca="false">G194*(1+IF(H$3&lt;=$O$2,$D194,$D194-($D194-$I$184)*MIN(H$3-$O$2,$Q$2)/$Q$2))</f>
        <v>2535.62129150869</v>
      </c>
      <c r="I194" s="15" t="n">
        <f aca="false">H194*(1+IF(I$3&lt;=$O$2,$D194,$D194-($D194-$I$184)*MIN(I$3-$O$2,$Q$2)/$Q$2))</f>
        <v>2627.24042020578</v>
      </c>
      <c r="J194" s="15" t="n">
        <f aca="false">I194*(1+IF(J$3&lt;=$O$2,$D194,$D194-($D194-$I$184)*MIN(J$3-$O$2,$Q$2)/$Q$2))</f>
        <v>2712.7997885403</v>
      </c>
      <c r="K194" s="15" t="n">
        <f aca="false">J194*(1+IF(K$3&lt;=$O$2,$D194,$D194-($D194-$I$184)*MIN(K$3-$O$2,$Q$2)/$Q$2))</f>
        <v>2791.47013465804</v>
      </c>
      <c r="L194" s="15" t="n">
        <f aca="false">K194*(1+IF(L$3&lt;=$O$2,$D194,$D194-($D194-$I$184)*MIN(L$3-$O$2,$Q$2)/$Q$2))</f>
        <v>2862.46594352656</v>
      </c>
      <c r="M194" s="15" t="n">
        <f aca="false">L194*(1+IF(M$3&lt;=$O$2,$D194,$D194-($D194-$I$184)*MIN(M$3-$O$2,$Q$2)/$Q$2))</f>
        <v>2925.05823398481</v>
      </c>
      <c r="N194" s="15" t="n">
        <f aca="false">M194*(1+IF(N$3&lt;=$O$2,$D194,$D194-($D194-$I$184)*MIN(N$3-$O$2,$Q$2)/$Q$2))</f>
        <v>2978.58679966673</v>
      </c>
      <c r="O194" s="15" t="n">
        <f aca="false">SUMPRODUCT(E194:N194,1/(1+$F$184)^$E$3:$N$3)*$E$2</f>
        <v>9363.31145220199</v>
      </c>
      <c r="P194" s="15" t="n">
        <f aca="false">N194*$E$2*(1+$I$184)/($F$184-$I$184)/(1+$F$184)^$N$3</f>
        <v>14283.1094491982</v>
      </c>
      <c r="Q194" s="15" t="n">
        <f aca="false">O194+P194</f>
        <v>23646.4209014002</v>
      </c>
      <c r="R194" s="15" t="n">
        <f aca="false">Q194-$G$2+$I$2</f>
        <v>25556.0809014002</v>
      </c>
      <c r="S194" s="42" t="n">
        <f aca="false">R194/$K$2</f>
        <v>109.20002094347</v>
      </c>
      <c r="T194" s="43" t="n">
        <f aca="false">S194-$M$2</f>
        <v>-0.785878300216993</v>
      </c>
    </row>
    <row r="195" customFormat="false" ht="15" hidden="false" customHeight="false" outlineLevel="0" collapsed="false">
      <c r="A195" s="5" t="n">
        <v>10</v>
      </c>
      <c r="B195" s="25" t="n">
        <f aca="false">IF(T194&gt;0,B194,D194)</f>
        <v>0.0361328125</v>
      </c>
      <c r="C195" s="25" t="n">
        <f aca="false">IF(T194&gt;0,D194,C194)</f>
        <v>0.0390625</v>
      </c>
      <c r="D195" s="41" t="n">
        <f aca="false">(B195+C195)/2</f>
        <v>0.03759765625</v>
      </c>
      <c r="E195" s="15" t="n">
        <f aca="false">$C$2*(1+IF(E$3&lt;=$O$2,$D195,$D195-($D195-$I$184)*MIN(E$3-$O$2,$Q$2)/$Q$2))</f>
        <v>2282.71484375</v>
      </c>
      <c r="F195" s="15" t="n">
        <f aca="false">E195*(1+IF(F$3&lt;=$O$2,$D195,$D195-($D195-$I$184)*MIN(F$3-$O$2,$Q$2)/$Q$2))</f>
        <v>2368.53957176209</v>
      </c>
      <c r="G195" s="15" t="n">
        <f aca="false">F195*(1+IF(G$3&lt;=$O$2,$D195,$D195-($D195-$I$184)*MIN(G$3-$O$2,$Q$2)/$Q$2))</f>
        <v>2457.59110839572</v>
      </c>
      <c r="H195" s="15" t="n">
        <f aca="false">G195*(1+IF(H$3&lt;=$O$2,$D195,$D195-($D195-$I$184)*MIN(H$3-$O$2,$Q$2)/$Q$2))</f>
        <v>2549.99077409224</v>
      </c>
      <c r="I195" s="15" t="n">
        <f aca="false">H195*(1+IF(I$3&lt;=$O$2,$D195,$D195-($D195-$I$184)*MIN(I$3-$O$2,$Q$2)/$Q$2))</f>
        <v>2645.86445065723</v>
      </c>
      <c r="J195" s="15" t="n">
        <f aca="false">I195*(1+IF(J$3&lt;=$O$2,$D195,$D195-($D195-$I$184)*MIN(J$3-$O$2,$Q$2)/$Q$2))</f>
        <v>2735.13095622656</v>
      </c>
      <c r="K195" s="15" t="n">
        <f aca="false">J195*(1+IF(K$3&lt;=$O$2,$D195,$D195-($D195-$I$184)*MIN(K$3-$O$2,$Q$2)/$Q$2))</f>
        <v>2816.8528229207</v>
      </c>
      <c r="L195" s="15" t="n">
        <f aca="false">K195*(1+IF(L$3&lt;=$O$2,$D195,$D195-($D195-$I$184)*MIN(L$3-$O$2,$Q$2)/$Q$2))</f>
        <v>2890.14469257358</v>
      </c>
      <c r="M195" s="15" t="n">
        <f aca="false">L195*(1+IF(M$3&lt;=$O$2,$D195,$D195-($D195-$I$184)*MIN(M$3-$O$2,$Q$2)/$Q$2))</f>
        <v>2954.18894420568</v>
      </c>
      <c r="N195" s="15" t="n">
        <f aca="false">M195*(1+IF(N$3&lt;=$O$2,$D195,$D195-($D195-$I$184)*MIN(N$3-$O$2,$Q$2)/$Q$2))</f>
        <v>3008.25060188465</v>
      </c>
      <c r="O195" s="15" t="n">
        <f aca="false">SUMPRODUCT(E195:N195,1/(1+$F$184)^$E$3:$N$3)*$E$2</f>
        <v>9424.09342215692</v>
      </c>
      <c r="P195" s="15" t="n">
        <f aca="false">N195*$E$2*(1+$I$184)/($F$184-$I$184)/(1+$F$184)^$N$3</f>
        <v>14425.3552060804</v>
      </c>
      <c r="Q195" s="15" t="n">
        <f aca="false">O195+P195</f>
        <v>23849.4486282373</v>
      </c>
      <c r="R195" s="15" t="n">
        <f aca="false">Q195-$G$2+$I$2</f>
        <v>25759.1086282373</v>
      </c>
      <c r="S195" s="42" t="n">
        <f aca="false">R195/$K$2</f>
        <v>110.067549580128</v>
      </c>
      <c r="T195" s="43" t="n">
        <f aca="false">S195-$M$2</f>
        <v>0.0816503364411574</v>
      </c>
    </row>
    <row r="196" customFormat="false" ht="15" hidden="false" customHeight="false" outlineLevel="0" collapsed="false">
      <c r="A196" s="5" t="n">
        <v>11</v>
      </c>
      <c r="B196" s="25" t="n">
        <f aca="false">IF(T195&gt;0,B195,D195)</f>
        <v>0.0361328125</v>
      </c>
      <c r="C196" s="25" t="n">
        <f aca="false">IF(T195&gt;0,D195,C195)</f>
        <v>0.03759765625</v>
      </c>
      <c r="D196" s="41" t="n">
        <f aca="false">(B196+C196)/2</f>
        <v>0.036865234375</v>
      </c>
      <c r="E196" s="15" t="n">
        <f aca="false">$C$2*(1+IF(E$3&lt;=$O$2,$D196,$D196-($D196-$I$184)*MIN(E$3-$O$2,$Q$2)/$Q$2))</f>
        <v>2281.103515625</v>
      </c>
      <c r="F196" s="15" t="n">
        <f aca="false">E196*(1+IF(F$3&lt;=$O$2,$D196,$D196-($D196-$I$184)*MIN(F$3-$O$2,$Q$2)/$Q$2))</f>
        <v>2365.19693136215</v>
      </c>
      <c r="G196" s="15" t="n">
        <f aca="false">F196*(1+IF(G$3&lt;=$O$2,$D196,$D196-($D196-$I$184)*MIN(G$3-$O$2,$Q$2)/$Q$2))</f>
        <v>2452.39047057985</v>
      </c>
      <c r="H196" s="15" t="n">
        <f aca="false">G196*(1+IF(H$3&lt;=$O$2,$D196,$D196-($D196-$I$184)*MIN(H$3-$O$2,$Q$2)/$Q$2))</f>
        <v>2542.79842005679</v>
      </c>
      <c r="I196" s="15" t="n">
        <f aca="false">H196*(1+IF(I$3&lt;=$O$2,$D196,$D196-($D196-$I$184)*MIN(I$3-$O$2,$Q$2)/$Q$2))</f>
        <v>2636.53927978056</v>
      </c>
      <c r="J196" s="15" t="n">
        <f aca="false">I196*(1+IF(J$3&lt;=$O$2,$D196,$D196-($D196-$I$184)*MIN(J$3-$O$2,$Q$2)/$Q$2))</f>
        <v>2723.94632433496</v>
      </c>
      <c r="K196" s="15" t="n">
        <f aca="false">J196*(1+IF(K$3&lt;=$O$2,$D196,$D196-($D196-$I$184)*MIN(K$3-$O$2,$Q$2)/$Q$2))</f>
        <v>2804.13696323201</v>
      </c>
      <c r="L196" s="15" t="n">
        <f aca="false">K196*(1+IF(L$3&lt;=$O$2,$D196,$D196-($D196-$I$184)*MIN(L$3-$O$2,$Q$2)/$Q$2))</f>
        <v>2876.27645363596</v>
      </c>
      <c r="M196" s="15" t="n">
        <f aca="false">L196*(1+IF(M$3&lt;=$O$2,$D196,$D196-($D196-$I$184)*MIN(M$3-$O$2,$Q$2)/$Q$2))</f>
        <v>2939.59206203531</v>
      </c>
      <c r="N196" s="15" t="n">
        <f aca="false">M196*(1+IF(N$3&lt;=$O$2,$D196,$D196-($D196-$I$184)*MIN(N$3-$O$2,$Q$2)/$Q$2))</f>
        <v>2993.38659677055</v>
      </c>
      <c r="O196" s="15" t="n">
        <f aca="false">SUMPRODUCT(E196:N196,1/(1+$F$184)^$E$3:$N$3)*$E$2</f>
        <v>9393.65290296961</v>
      </c>
      <c r="P196" s="15" t="n">
        <f aca="false">N196*$E$2*(1+$I$184)/($F$184-$I$184)/(1+$F$184)^$N$3</f>
        <v>14354.0783804657</v>
      </c>
      <c r="Q196" s="15" t="n">
        <f aca="false">O196+P196</f>
        <v>23747.7312834353</v>
      </c>
      <c r="R196" s="15" t="n">
        <f aca="false">Q196-$G$2+$I$2</f>
        <v>25657.3912834353</v>
      </c>
      <c r="S196" s="42" t="n">
        <f aca="false">R196/$K$2</f>
        <v>109.632915794707</v>
      </c>
      <c r="T196" s="43" t="n">
        <f aca="false">S196-$M$2</f>
        <v>-0.352983448979458</v>
      </c>
    </row>
    <row r="197" customFormat="false" ht="15" hidden="false" customHeight="false" outlineLevel="0" collapsed="false">
      <c r="A197" s="5" t="n">
        <v>12</v>
      </c>
      <c r="B197" s="25" t="n">
        <f aca="false">IF(T196&gt;0,B196,D196)</f>
        <v>0.036865234375</v>
      </c>
      <c r="C197" s="25" t="n">
        <f aca="false">IF(T196&gt;0,D196,C196)</f>
        <v>0.03759765625</v>
      </c>
      <c r="D197" s="41" t="n">
        <f aca="false">(B197+C197)/2</f>
        <v>0.0372314453125</v>
      </c>
      <c r="E197" s="15" t="n">
        <f aca="false">$C$2*(1+IF(E$3&lt;=$O$2,$D197,$D197-($D197-$I$184)*MIN(E$3-$O$2,$Q$2)/$Q$2))</f>
        <v>2281.9091796875</v>
      </c>
      <c r="F197" s="15" t="n">
        <f aca="false">E197*(1+IF(F$3&lt;=$O$2,$D197,$D197-($D197-$I$184)*MIN(F$3-$O$2,$Q$2)/$Q$2))</f>
        <v>2366.86795651913</v>
      </c>
      <c r="G197" s="15" t="n">
        <f aca="false">F197*(1+IF(G$3&lt;=$O$2,$D197,$D197-($D197-$I$184)*MIN(G$3-$O$2,$Q$2)/$Q$2))</f>
        <v>2454.98987140418</v>
      </c>
      <c r="H197" s="15" t="n">
        <f aca="false">G197*(1+IF(H$3&lt;=$O$2,$D197,$D197-($D197-$I$184)*MIN(H$3-$O$2,$Q$2)/$Q$2))</f>
        <v>2546.3926925441</v>
      </c>
      <c r="I197" s="15" t="n">
        <f aca="false">H197*(1+IF(I$3&lt;=$O$2,$D197,$D197-($D197-$I$184)*MIN(I$3-$O$2,$Q$2)/$Q$2))</f>
        <v>2641.19857282071</v>
      </c>
      <c r="J197" s="15" t="n">
        <f aca="false">I197*(1+IF(J$3&lt;=$O$2,$D197,$D197-($D197-$I$184)*MIN(J$3-$O$2,$Q$2)/$Q$2))</f>
        <v>2729.53387177597</v>
      </c>
      <c r="K197" s="15" t="n">
        <f aca="false">J197*(1+IF(K$3&lt;=$O$2,$D197,$D197-($D197-$I$184)*MIN(K$3-$O$2,$Q$2)/$Q$2))</f>
        <v>2810.48875436276</v>
      </c>
      <c r="L197" s="15" t="n">
        <f aca="false">K197*(1+IF(L$3&lt;=$O$2,$D197,$D197-($D197-$I$184)*MIN(L$3-$O$2,$Q$2)/$Q$2))</f>
        <v>2883.20334422945</v>
      </c>
      <c r="M197" s="15" t="n">
        <f aca="false">L197*(1+IF(M$3&lt;=$O$2,$D197,$D197-($D197-$I$184)*MIN(M$3-$O$2,$Q$2)/$Q$2))</f>
        <v>2946.88260671606</v>
      </c>
      <c r="N197" s="15" t="n">
        <f aca="false">M197*(1+IF(N$3&lt;=$O$2,$D197,$D197-($D197-$I$184)*MIN(N$3-$O$2,$Q$2)/$Q$2))</f>
        <v>3000.81055841897</v>
      </c>
      <c r="O197" s="15" t="n">
        <f aca="false">SUMPRODUCT(E197:N197,1/(1+$F$184)^$E$3:$N$3)*$E$2</f>
        <v>9408.86076012962</v>
      </c>
      <c r="P197" s="15" t="n">
        <f aca="false">N197*$E$2*(1+$I$184)/($F$184-$I$184)/(1+$F$184)^$N$3</f>
        <v>14389.678234995</v>
      </c>
      <c r="Q197" s="15" t="n">
        <f aca="false">O197+P197</f>
        <v>23798.5389951246</v>
      </c>
      <c r="R197" s="15" t="n">
        <f aca="false">Q197-$G$2+$I$2</f>
        <v>25708.1989951246</v>
      </c>
      <c r="S197" s="42" t="n">
        <f aca="false">R197/$K$2</f>
        <v>109.850014934515</v>
      </c>
      <c r="T197" s="43" t="n">
        <f aca="false">S197-$M$2</f>
        <v>-0.135884309171431</v>
      </c>
    </row>
    <row r="198" customFormat="false" ht="15" hidden="false" customHeight="false" outlineLevel="0" collapsed="false">
      <c r="A198" s="5" t="n">
        <v>13</v>
      </c>
      <c r="B198" s="25" t="n">
        <f aca="false">IF(T197&gt;0,B197,D197)</f>
        <v>0.0372314453125</v>
      </c>
      <c r="C198" s="25" t="n">
        <f aca="false">IF(T197&gt;0,D197,C197)</f>
        <v>0.03759765625</v>
      </c>
      <c r="D198" s="41" t="n">
        <f aca="false">(B198+C198)/2</f>
        <v>0.03741455078125</v>
      </c>
      <c r="E198" s="15" t="n">
        <f aca="false">$C$2*(1+IF(E$3&lt;=$O$2,$D198,$D198-($D198-$I$184)*MIN(E$3-$O$2,$Q$2)/$Q$2))</f>
        <v>2282.31201171875</v>
      </c>
      <c r="F198" s="15" t="n">
        <f aca="false">E198*(1+IF(F$3&lt;=$O$2,$D198,$D198-($D198-$I$184)*MIN(F$3-$O$2,$Q$2)/$Q$2))</f>
        <v>2367.70369037986</v>
      </c>
      <c r="G198" s="15" t="n">
        <f aca="false">F198*(1+IF(G$3&lt;=$O$2,$D198,$D198-($D198-$I$184)*MIN(G$3-$O$2,$Q$2)/$Q$2))</f>
        <v>2456.29026033853</v>
      </c>
      <c r="H198" s="15" t="n">
        <f aca="false">G198*(1+IF(H$3&lt;=$O$2,$D198,$D198-($D198-$I$184)*MIN(H$3-$O$2,$Q$2)/$Q$2))</f>
        <v>2548.19125701745</v>
      </c>
      <c r="I198" s="15" t="n">
        <f aca="false">H198*(1+IF(I$3&lt;=$O$2,$D198,$D198-($D198-$I$184)*MIN(I$3-$O$2,$Q$2)/$Q$2))</f>
        <v>2643.53068820347</v>
      </c>
      <c r="J198" s="15" t="n">
        <f aca="false">I198*(1+IF(J$3&lt;=$O$2,$D198,$D198-($D198-$I$184)*MIN(J$3-$O$2,$Q$2)/$Q$2))</f>
        <v>2732.33122106276</v>
      </c>
      <c r="K198" s="15" t="n">
        <f aca="false">J198*(1+IF(K$3&lt;=$O$2,$D198,$D198-($D198-$I$184)*MIN(K$3-$O$2,$Q$2)/$Q$2))</f>
        <v>2813.66925273393</v>
      </c>
      <c r="L198" s="15" t="n">
        <f aca="false">K198*(1+IF(L$3&lt;=$O$2,$D198,$D198-($D198-$I$184)*MIN(L$3-$O$2,$Q$2)/$Q$2))</f>
        <v>2886.67220958417</v>
      </c>
      <c r="M198" s="15" t="n">
        <f aca="false">L198*(1+IF(M$3&lt;=$O$2,$D198,$D198-($D198-$I$184)*MIN(M$3-$O$2,$Q$2)/$Q$2))</f>
        <v>2950.53379952734</v>
      </c>
      <c r="N198" s="15" t="n">
        <f aca="false">M198*(1+IF(N$3&lt;=$O$2,$D198,$D198-($D198-$I$184)*MIN(N$3-$O$2,$Q$2)/$Q$2))</f>
        <v>3004.52856805869</v>
      </c>
      <c r="O198" s="15" t="n">
        <f aca="false">SUMPRODUCT(E198:N198,1/(1+$F$184)^$E$3:$N$3)*$E$2</f>
        <v>9416.47398817197</v>
      </c>
      <c r="P198" s="15" t="n">
        <f aca="false">N198*$E$2*(1+$I$184)/($F$184-$I$184)/(1+$F$184)^$N$3</f>
        <v>14407.5070720204</v>
      </c>
      <c r="Q198" s="15" t="n">
        <f aca="false">O198+P198</f>
        <v>23823.9810601924</v>
      </c>
      <c r="R198" s="15" t="n">
        <f aca="false">Q198-$G$2+$I$2</f>
        <v>25733.6410601924</v>
      </c>
      <c r="S198" s="42" t="n">
        <f aca="false">R198/$K$2</f>
        <v>109.958727770766</v>
      </c>
      <c r="T198" s="43" t="n">
        <f aca="false">S198-$M$2</f>
        <v>-0.0271714729205144</v>
      </c>
    </row>
    <row r="199" customFormat="false" ht="15" hidden="false" customHeight="false" outlineLevel="0" collapsed="false">
      <c r="A199" s="5" t="n">
        <v>14</v>
      </c>
      <c r="B199" s="25" t="n">
        <f aca="false">IF(T198&gt;0,B198,D198)</f>
        <v>0.03741455078125</v>
      </c>
      <c r="C199" s="25" t="n">
        <f aca="false">IF(T198&gt;0,D198,C198)</f>
        <v>0.03759765625</v>
      </c>
      <c r="D199" s="41" t="n">
        <f aca="false">(B199+C199)/2</f>
        <v>0.037506103515625</v>
      </c>
      <c r="E199" s="15" t="n">
        <f aca="false">$C$2*(1+IF(E$3&lt;=$O$2,$D199,$D199-($D199-$I$184)*MIN(E$3-$O$2,$Q$2)/$Q$2))</f>
        <v>2282.51342773438</v>
      </c>
      <c r="F199" s="15" t="n">
        <f aca="false">E199*(1+IF(F$3&lt;=$O$2,$D199,$D199-($D199-$I$184)*MIN(F$3-$O$2,$Q$2)/$Q$2))</f>
        <v>2368.12161263078</v>
      </c>
      <c r="G199" s="15" t="n">
        <f aca="false">F199*(1+IF(G$3&lt;=$O$2,$D199,$D199-($D199-$I$184)*MIN(G$3-$O$2,$Q$2)/$Q$2))</f>
        <v>2456.9406269717</v>
      </c>
      <c r="H199" s="15" t="n">
        <f aca="false">G199*(1+IF(H$3&lt;=$O$2,$D199,$D199-($D199-$I$184)*MIN(H$3-$O$2,$Q$2)/$Q$2))</f>
        <v>2549.09089645865</v>
      </c>
      <c r="I199" s="15" t="n">
        <f aca="false">H199*(1+IF(I$3&lt;=$O$2,$D199,$D199-($D199-$I$184)*MIN(I$3-$O$2,$Q$2)/$Q$2))</f>
        <v>2644.69736349196</v>
      </c>
      <c r="J199" s="15" t="n">
        <f aca="false">I199*(1+IF(J$3&lt;=$O$2,$D199,$D199-($D199-$I$184)*MIN(J$3-$O$2,$Q$2)/$Q$2))</f>
        <v>2733.73079030845</v>
      </c>
      <c r="K199" s="15" t="n">
        <f aca="false">J199*(1+IF(K$3&lt;=$O$2,$D199,$D199-($D199-$I$184)*MIN(K$3-$O$2,$Q$2)/$Q$2))</f>
        <v>2815.2606536966</v>
      </c>
      <c r="L199" s="15" t="n">
        <f aca="false">K199*(1+IF(L$3&lt;=$O$2,$D199,$D199-($D199-$I$184)*MIN(L$3-$O$2,$Q$2)/$Q$2))</f>
        <v>2888.4079986746</v>
      </c>
      <c r="M199" s="15" t="n">
        <f aca="false">L199*(1+IF(M$3&lt;=$O$2,$D199,$D199-($D199-$I$184)*MIN(M$3-$O$2,$Q$2)/$Q$2))</f>
        <v>2952.36087765392</v>
      </c>
      <c r="N199" s="15" t="n">
        <f aca="false">M199*(1+IF(N$3&lt;=$O$2,$D199,$D199-($D199-$I$184)*MIN(N$3-$O$2,$Q$2)/$Q$2))</f>
        <v>3006.38908171499</v>
      </c>
      <c r="O199" s="15" t="n">
        <f aca="false">SUMPRODUCT(E199:N199,1/(1+$F$184)^$E$3:$N$3)*$E$2</f>
        <v>9420.28292912609</v>
      </c>
      <c r="P199" s="15" t="n">
        <f aca="false">N199*$E$2*(1+$I$184)/($F$184-$I$184)/(1+$F$184)^$N$3</f>
        <v>14416.4287258019</v>
      </c>
      <c r="Q199" s="15" t="n">
        <f aca="false">O199+P199</f>
        <v>23836.711654928</v>
      </c>
      <c r="R199" s="15" t="n">
        <f aca="false">Q199-$G$2+$I$2</f>
        <v>25746.371654928</v>
      </c>
      <c r="S199" s="42" t="n">
        <f aca="false">R199/$K$2</f>
        <v>110.013125047763</v>
      </c>
      <c r="T199" s="43" t="n">
        <f aca="false">S199-$M$2</f>
        <v>0.0272258040762665</v>
      </c>
    </row>
    <row r="200" customFormat="false" ht="15" hidden="false" customHeight="false" outlineLevel="0" collapsed="false">
      <c r="A200" s="5" t="n">
        <v>15</v>
      </c>
      <c r="B200" s="25" t="n">
        <f aca="false">IF(T199&gt;0,B199,D199)</f>
        <v>0.03741455078125</v>
      </c>
      <c r="C200" s="25" t="n">
        <f aca="false">IF(T199&gt;0,D199,C199)</f>
        <v>0.037506103515625</v>
      </c>
      <c r="D200" s="41" t="n">
        <f aca="false">(B200+C200)/2</f>
        <v>0.0374603271484375</v>
      </c>
      <c r="E200" s="15" t="n">
        <f aca="false">$C$2*(1+IF(E$3&lt;=$O$2,$D200,$D200-($D200-$I$184)*MIN(E$3-$O$2,$Q$2)/$Q$2))</f>
        <v>2282.41271972656</v>
      </c>
      <c r="F200" s="15" t="n">
        <f aca="false">E200*(1+IF(F$3&lt;=$O$2,$D200,$D200-($D200-$I$184)*MIN(F$3-$O$2,$Q$2)/$Q$2))</f>
        <v>2367.91264689527</v>
      </c>
      <c r="G200" s="15" t="n">
        <f aca="false">F200*(1+IF(G$3&lt;=$O$2,$D200,$D200-($D200-$I$184)*MIN(G$3-$O$2,$Q$2)/$Q$2))</f>
        <v>2456.61542930689</v>
      </c>
      <c r="H200" s="15" t="n">
        <f aca="false">G200*(1+IF(H$3&lt;=$O$2,$D200,$D200-($D200-$I$184)*MIN(H$3-$O$2,$Q$2)/$Q$2))</f>
        <v>2548.64104696663</v>
      </c>
      <c r="I200" s="15" t="n">
        <f aca="false">H200*(1+IF(I$3&lt;=$O$2,$D200,$D200-($D200-$I$184)*MIN(I$3-$O$2,$Q$2)/$Q$2))</f>
        <v>2644.11397436994</v>
      </c>
      <c r="J200" s="15" t="n">
        <f aca="false">I200*(1+IF(J$3&lt;=$O$2,$D200,$D200-($D200-$I$184)*MIN(J$3-$O$2,$Q$2)/$Q$2))</f>
        <v>2733.03093111425</v>
      </c>
      <c r="K200" s="15" t="n">
        <f aca="false">J200*(1+IF(K$3&lt;=$O$2,$D200,$D200-($D200-$I$184)*MIN(K$3-$O$2,$Q$2)/$Q$2))</f>
        <v>2814.46485720181</v>
      </c>
      <c r="L200" s="15" t="n">
        <f aca="false">K200*(1+IF(L$3&lt;=$O$2,$D200,$D200-($D200-$I$184)*MIN(L$3-$O$2,$Q$2)/$Q$2))</f>
        <v>2887.53999105331</v>
      </c>
      <c r="M200" s="15" t="n">
        <f aca="false">L200*(1+IF(M$3&lt;=$O$2,$D200,$D200-($D200-$I$184)*MIN(M$3-$O$2,$Q$2)/$Q$2))</f>
        <v>2951.44721506614</v>
      </c>
      <c r="N200" s="15" t="n">
        <f aca="false">M200*(1+IF(N$3&lt;=$O$2,$D200,$D200-($D200-$I$184)*MIN(N$3-$O$2,$Q$2)/$Q$2))</f>
        <v>3005.45869910185</v>
      </c>
      <c r="O200" s="15" t="n">
        <f aca="false">SUMPRODUCT(E200:N200,1/(1+$F$184)^$E$3:$N$3)*$E$2</f>
        <v>9418.37826467639</v>
      </c>
      <c r="P200" s="15" t="n">
        <f aca="false">N200*$E$2*(1+$I$184)/($F$184-$I$184)/(1+$F$184)^$N$3</f>
        <v>14411.967295739</v>
      </c>
      <c r="Q200" s="15" t="n">
        <f aca="false">O200+P200</f>
        <v>23830.3455604153</v>
      </c>
      <c r="R200" s="15" t="n">
        <f aca="false">Q200-$G$2+$I$2</f>
        <v>25740.0055604153</v>
      </c>
      <c r="S200" s="42" t="n">
        <f aca="false">R200/$K$2</f>
        <v>109.985923003099</v>
      </c>
      <c r="T200" s="43" t="n">
        <f aca="false">S200-$M$2</f>
        <v>2.37594126701879E-005</v>
      </c>
    </row>
    <row r="201" customFormat="false" ht="15" hidden="false" customHeight="false" outlineLevel="0" collapsed="false">
      <c r="A201" s="5" t="n">
        <v>16</v>
      </c>
      <c r="B201" s="25" t="n">
        <f aca="false">IF(T200&gt;0,B200,D200)</f>
        <v>0.03741455078125</v>
      </c>
      <c r="C201" s="25" t="n">
        <f aca="false">IF(T200&gt;0,D200,C200)</f>
        <v>0.0374603271484375</v>
      </c>
      <c r="D201" s="41" t="n">
        <f aca="false">(B201+C201)/2</f>
        <v>0.0374374389648438</v>
      </c>
      <c r="E201" s="15" t="n">
        <f aca="false">$C$2*(1+IF(E$3&lt;=$O$2,$D201,$D201-($D201-$I$184)*MIN(E$3-$O$2,$Q$2)/$Q$2))</f>
        <v>2282.36236572266</v>
      </c>
      <c r="F201" s="15" t="n">
        <f aca="false">E201*(1+IF(F$3&lt;=$O$2,$D201,$D201-($D201-$I$184)*MIN(F$3-$O$2,$Q$2)/$Q$2))</f>
        <v>2367.80816748505</v>
      </c>
      <c r="G201" s="15" t="n">
        <f aca="false">F201*(1+IF(G$3&lt;=$O$2,$D201,$D201-($D201-$I$184)*MIN(G$3-$O$2,$Q$2)/$Q$2))</f>
        <v>2456.45284123574</v>
      </c>
      <c r="H201" s="15" t="n">
        <f aca="false">G201*(1+IF(H$3&lt;=$O$2,$D201,$D201-($D201-$I$184)*MIN(H$3-$O$2,$Q$2)/$Q$2))</f>
        <v>2548.41614454951</v>
      </c>
      <c r="I201" s="15" t="n">
        <f aca="false">H201*(1+IF(I$3&lt;=$O$2,$D201,$D201-($D201-$I$184)*MIN(I$3-$O$2,$Q$2)/$Q$2))</f>
        <v>2643.82231841811</v>
      </c>
      <c r="J201" s="15" t="n">
        <f aca="false">I201*(1+IF(J$3&lt;=$O$2,$D201,$D201-($D201-$I$184)*MIN(J$3-$O$2,$Q$2)/$Q$2))</f>
        <v>2732.68105744726</v>
      </c>
      <c r="K201" s="15" t="n">
        <f aca="false">J201*(1+IF(K$3&lt;=$O$2,$D201,$D201-($D201-$I$184)*MIN(K$3-$O$2,$Q$2)/$Q$2))</f>
        <v>2814.06703096691</v>
      </c>
      <c r="L201" s="15" t="n">
        <f aca="false">K201*(1+IF(L$3&lt;=$O$2,$D201,$D201-($D201-$I$184)*MIN(L$3-$O$2,$Q$2)/$Q$2))</f>
        <v>2887.10607205285</v>
      </c>
      <c r="M201" s="15" t="n">
        <f aca="false">L201*(1+IF(M$3&lt;=$O$2,$D201,$D201-($D201-$I$184)*MIN(M$3-$O$2,$Q$2)/$Q$2))</f>
        <v>2950.9904764192</v>
      </c>
      <c r="N201" s="15" t="n">
        <f aca="false">M201*(1+IF(N$3&lt;=$O$2,$D201,$D201-($D201-$I$184)*MIN(N$3-$O$2,$Q$2)/$Q$2))</f>
        <v>3004.99360213767</v>
      </c>
      <c r="O201" s="15" t="n">
        <f aca="false">SUMPRODUCT(E201:N201,1/(1+$F$184)^$E$3:$N$3)*$E$2</f>
        <v>9417.42607793564</v>
      </c>
      <c r="P201" s="15" t="n">
        <f aca="false">N201*$E$2*(1+$I$184)/($F$184-$I$184)/(1+$F$184)^$N$3</f>
        <v>14409.7370331041</v>
      </c>
      <c r="Q201" s="15" t="n">
        <f aca="false">O201+P201</f>
        <v>23827.1631110398</v>
      </c>
      <c r="R201" s="15" t="n">
        <f aca="false">Q201-$G$2+$I$2</f>
        <v>25736.8231110398</v>
      </c>
      <c r="S201" s="42" t="n">
        <f aca="false">R201/$K$2</f>
        <v>109.972324535486</v>
      </c>
      <c r="T201" s="43" t="n">
        <f aca="false">S201-$M$2</f>
        <v>-0.0135747082007498</v>
      </c>
    </row>
    <row r="202" customFormat="false" ht="15" hidden="false" customHeight="false" outlineLevel="0" collapsed="false">
      <c r="A202" s="5" t="n">
        <v>17</v>
      </c>
      <c r="B202" s="25" t="n">
        <f aca="false">IF(T201&gt;0,B201,D201)</f>
        <v>0.0374374389648438</v>
      </c>
      <c r="C202" s="25" t="n">
        <f aca="false">IF(T201&gt;0,D201,C201)</f>
        <v>0.0374603271484375</v>
      </c>
      <c r="D202" s="41" t="n">
        <f aca="false">(B202+C202)/2</f>
        <v>0.0374488830566406</v>
      </c>
      <c r="E202" s="15" t="n">
        <f aca="false">$C$2*(1+IF(E$3&lt;=$O$2,$D202,$D202-($D202-$I$184)*MIN(E$3-$O$2,$Q$2)/$Q$2))</f>
        <v>2282.38754272461</v>
      </c>
      <c r="F202" s="15" t="n">
        <f aca="false">E202*(1+IF(F$3&lt;=$O$2,$D202,$D202-($D202-$I$184)*MIN(F$3-$O$2,$Q$2)/$Q$2))</f>
        <v>2367.86040690204</v>
      </c>
      <c r="G202" s="15" t="n">
        <f aca="false">F202*(1+IF(G$3&lt;=$O$2,$D202,$D202-($D202-$I$184)*MIN(G$3-$O$2,$Q$2)/$Q$2))</f>
        <v>2456.53413437456</v>
      </c>
      <c r="H202" s="15" t="n">
        <f aca="false">G202*(1+IF(H$3&lt;=$O$2,$D202,$D202-($D202-$I$184)*MIN(H$3-$O$2,$Q$2)/$Q$2))</f>
        <v>2548.5285938974</v>
      </c>
      <c r="I202" s="15" t="n">
        <f aca="false">H202*(1+IF(I$3&lt;=$O$2,$D202,$D202-($D202-$I$184)*MIN(I$3-$O$2,$Q$2)/$Q$2))</f>
        <v>2643.96814317677</v>
      </c>
      <c r="J202" s="15" t="n">
        <f aca="false">I202*(1+IF(J$3&lt;=$O$2,$D202,$D202-($D202-$I$184)*MIN(J$3-$O$2,$Q$2)/$Q$2))</f>
        <v>2732.85598962024</v>
      </c>
      <c r="K202" s="15" t="n">
        <f aca="false">J202*(1+IF(K$3&lt;=$O$2,$D202,$D202-($D202-$I$184)*MIN(K$3-$O$2,$Q$2)/$Q$2))</f>
        <v>2814.26593808382</v>
      </c>
      <c r="L202" s="15" t="n">
        <f aca="false">K202*(1+IF(L$3&lt;=$O$2,$D202,$D202-($D202-$I$184)*MIN(L$3-$O$2,$Q$2)/$Q$2))</f>
        <v>2887.32302448621</v>
      </c>
      <c r="M202" s="15" t="n">
        <f aca="false">L202*(1+IF(M$3&lt;=$O$2,$D202,$D202-($D202-$I$184)*MIN(M$3-$O$2,$Q$2)/$Q$2))</f>
        <v>2951.21883802284</v>
      </c>
      <c r="N202" s="15" t="n">
        <f aca="false">M202*(1+IF(N$3&lt;=$O$2,$D202,$D202-($D202-$I$184)*MIN(N$3-$O$2,$Q$2)/$Q$2))</f>
        <v>3005.22614275866</v>
      </c>
      <c r="O202" s="15" t="n">
        <f aca="false">SUMPRODUCT(E202:N202,1/(1+$F$184)^$E$3:$N$3)*$E$2</f>
        <v>9417.9021591833</v>
      </c>
      <c r="P202" s="15" t="n">
        <f aca="false">N202*$E$2*(1+$I$184)/($F$184-$I$184)/(1+$F$184)^$N$3</f>
        <v>14410.8521267255</v>
      </c>
      <c r="Q202" s="15" t="n">
        <f aca="false">O202+P202</f>
        <v>23828.7542859088</v>
      </c>
      <c r="R202" s="15" t="n">
        <f aca="false">Q202-$G$2+$I$2</f>
        <v>25738.4142859088</v>
      </c>
      <c r="S202" s="42" t="n">
        <f aca="false">R202/$K$2</f>
        <v>109.979123556419</v>
      </c>
      <c r="T202" s="43" t="n">
        <f aca="false">S202-$M$2</f>
        <v>-0.00677568726757727</v>
      </c>
    </row>
    <row r="203" customFormat="false" ht="15" hidden="false" customHeight="false" outlineLevel="0" collapsed="false">
      <c r="A203" s="5" t="n">
        <v>18</v>
      </c>
      <c r="B203" s="25" t="n">
        <f aca="false">IF(T202&gt;0,B202,D202)</f>
        <v>0.0374488830566406</v>
      </c>
      <c r="C203" s="25" t="n">
        <f aca="false">IF(T202&gt;0,D202,C202)</f>
        <v>0.0374603271484375</v>
      </c>
      <c r="D203" s="41" t="n">
        <f aca="false">(B203+C203)/2</f>
        <v>0.0374546051025391</v>
      </c>
      <c r="E203" s="15" t="n">
        <f aca="false">$C$2*(1+IF(E$3&lt;=$O$2,$D203,$D203-($D203-$I$184)*MIN(E$3-$O$2,$Q$2)/$Q$2))</f>
        <v>2282.40013122559</v>
      </c>
      <c r="F203" s="15" t="n">
        <f aca="false">E203*(1+IF(F$3&lt;=$O$2,$D203,$D203-($D203-$I$184)*MIN(F$3-$O$2,$Q$2)/$Q$2))</f>
        <v>2367.88652682662</v>
      </c>
      <c r="G203" s="15" t="n">
        <f aca="false">F203*(1+IF(G$3&lt;=$O$2,$D203,$D203-($D203-$I$184)*MIN(G$3-$O$2,$Q$2)/$Q$2))</f>
        <v>2456.57478161654</v>
      </c>
      <c r="H203" s="15" t="n">
        <f aca="false">G203*(1+IF(H$3&lt;=$O$2,$D203,$D203-($D203-$I$184)*MIN(H$3-$O$2,$Q$2)/$Q$2))</f>
        <v>2548.58481996684</v>
      </c>
      <c r="I203" s="15" t="n">
        <f aca="false">H203*(1+IF(I$3&lt;=$O$2,$D203,$D203-($D203-$I$184)*MIN(I$3-$O$2,$Q$2)/$Q$2))</f>
        <v>2644.04105796902</v>
      </c>
      <c r="J203" s="15" t="n">
        <f aca="false">I203*(1+IF(J$3&lt;=$O$2,$D203,$D203-($D203-$I$184)*MIN(J$3-$O$2,$Q$2)/$Q$2))</f>
        <v>2732.9434592021</v>
      </c>
      <c r="K203" s="15" t="n">
        <f aca="false">J203*(1+IF(K$3&lt;=$O$2,$D203,$D203-($D203-$I$184)*MIN(K$3-$O$2,$Q$2)/$Q$2))</f>
        <v>2814.36539614264</v>
      </c>
      <c r="L203" s="15" t="n">
        <f aca="false">K203*(1+IF(L$3&lt;=$O$2,$D203,$D203-($D203-$I$184)*MIN(L$3-$O$2,$Q$2)/$Q$2))</f>
        <v>2887.431506003</v>
      </c>
      <c r="M203" s="15" t="n">
        <f aca="false">L203*(1+IF(M$3&lt;=$O$2,$D203,$D203-($D203-$I$184)*MIN(M$3-$O$2,$Q$2)/$Q$2))</f>
        <v>2951.33302461448</v>
      </c>
      <c r="N203" s="15" t="n">
        <f aca="false">M203*(1+IF(N$3&lt;=$O$2,$D203,$D203-($D203-$I$184)*MIN(N$3-$O$2,$Q$2)/$Q$2))</f>
        <v>3005.34241896492</v>
      </c>
      <c r="O203" s="15" t="n">
        <f aca="false">SUMPRODUCT(E203:N203,1/(1+$F$184)^$E$3:$N$3)*$E$2</f>
        <v>9418.1402088991</v>
      </c>
      <c r="P203" s="15" t="n">
        <f aca="false">N203*$E$2*(1+$I$184)/($F$184-$I$184)/(1+$F$184)^$N$3</f>
        <v>14411.4097018079</v>
      </c>
      <c r="Q203" s="15" t="n">
        <f aca="false">O203+P203</f>
        <v>23829.549910707</v>
      </c>
      <c r="R203" s="15" t="n">
        <f aca="false">Q203-$G$2+$I$2</f>
        <v>25739.209910707</v>
      </c>
      <c r="S203" s="42" t="n">
        <f aca="false">R203/$K$2</f>
        <v>109.982523226539</v>
      </c>
      <c r="T203" s="43" t="n">
        <f aca="false">S203-$M$2</f>
        <v>-0.0033760171473034</v>
      </c>
    </row>
    <row r="204" customFormat="false" ht="15" hidden="false" customHeight="false" outlineLevel="0" collapsed="false">
      <c r="A204" s="5" t="n">
        <v>19</v>
      </c>
      <c r="B204" s="25" t="n">
        <f aca="false">IF(T203&gt;0,B203,D203)</f>
        <v>0.0374546051025391</v>
      </c>
      <c r="C204" s="25" t="n">
        <f aca="false">IF(T203&gt;0,D203,C203)</f>
        <v>0.0374603271484375</v>
      </c>
      <c r="D204" s="41" t="n">
        <f aca="false">(B204+C204)/2</f>
        <v>0.0374574661254883</v>
      </c>
      <c r="E204" s="15" t="n">
        <f aca="false">$C$2*(1+IF(E$3&lt;=$O$2,$D204,$D204-($D204-$I$184)*MIN(E$3-$O$2,$Q$2)/$Q$2))</f>
        <v>2282.40642547607</v>
      </c>
      <c r="F204" s="15" t="n">
        <f aca="false">E204*(1+IF(F$3&lt;=$O$2,$D204,$D204-($D204-$I$184)*MIN(F$3-$O$2,$Q$2)/$Q$2))</f>
        <v>2367.89958684294</v>
      </c>
      <c r="G204" s="15" t="n">
        <f aca="false">F204*(1+IF(G$3&lt;=$O$2,$D204,$D204-($D204-$I$184)*MIN(G$3-$O$2,$Q$2)/$Q$2))</f>
        <v>2456.59510540567</v>
      </c>
      <c r="H204" s="15" t="n">
        <f aca="false">G204*(1+IF(H$3&lt;=$O$2,$D204,$D204-($D204-$I$184)*MIN(H$3-$O$2,$Q$2)/$Q$2))</f>
        <v>2548.61293335044</v>
      </c>
      <c r="I204" s="15" t="n">
        <f aca="false">H204*(1+IF(I$3&lt;=$O$2,$D204,$D204-($D204-$I$184)*MIN(I$3-$O$2,$Q$2)/$Q$2))</f>
        <v>2644.0775159684</v>
      </c>
      <c r="J204" s="15" t="n">
        <f aca="false">I204*(1+IF(J$3&lt;=$O$2,$D204,$D204-($D204-$I$184)*MIN(J$3-$O$2,$Q$2)/$Q$2))</f>
        <v>2732.98719486688</v>
      </c>
      <c r="K204" s="15" t="n">
        <f aca="false">J204*(1+IF(K$3&lt;=$O$2,$D204,$D204-($D204-$I$184)*MIN(K$3-$O$2,$Q$2)/$Q$2))</f>
        <v>2814.41512629718</v>
      </c>
      <c r="L204" s="15" t="n">
        <f aca="false">K204*(1+IF(L$3&lt;=$O$2,$D204,$D204-($D204-$I$184)*MIN(L$3-$O$2,$Q$2)/$Q$2))</f>
        <v>2887.48574808646</v>
      </c>
      <c r="M204" s="15" t="n">
        <f aca="false">L204*(1+IF(M$3&lt;=$O$2,$D204,$D204-($D204-$I$184)*MIN(M$3-$O$2,$Q$2)/$Q$2))</f>
        <v>2951.3901193578</v>
      </c>
      <c r="N204" s="15" t="n">
        <f aca="false">M204*(1+IF(N$3&lt;=$O$2,$D204,$D204-($D204-$I$184)*MIN(N$3-$O$2,$Q$2)/$Q$2))</f>
        <v>3005.40055854205</v>
      </c>
      <c r="O204" s="15" t="n">
        <f aca="false">SUMPRODUCT(E204:N204,1/(1+$F$184)^$E$3:$N$3)*$E$2</f>
        <v>9418.25923603005</v>
      </c>
      <c r="P204" s="15" t="n">
        <f aca="false">N204*$E$2*(1+$I$184)/($F$184-$I$184)/(1+$F$184)^$N$3</f>
        <v>14411.6884964173</v>
      </c>
      <c r="Q204" s="15" t="n">
        <f aca="false">O204+P204</f>
        <v>23829.9477324474</v>
      </c>
      <c r="R204" s="15" t="n">
        <f aca="false">Q204-$G$2+$I$2</f>
        <v>25739.6077324474</v>
      </c>
      <c r="S204" s="42" t="n">
        <f aca="false">R204/$K$2</f>
        <v>109.984223101514</v>
      </c>
      <c r="T204" s="43" t="n">
        <f aca="false">S204-$M$2</f>
        <v>-0.00167614217247092</v>
      </c>
    </row>
    <row r="205" customFormat="false" ht="15" hidden="false" customHeight="false" outlineLevel="0" collapsed="false">
      <c r="A205" s="5" t="n">
        <v>20</v>
      </c>
      <c r="B205" s="25" t="n">
        <f aca="false">IF(T204&gt;0,B204,D204)</f>
        <v>0.0374574661254883</v>
      </c>
      <c r="C205" s="25" t="n">
        <f aca="false">IF(T204&gt;0,D204,C204)</f>
        <v>0.0374603271484375</v>
      </c>
      <c r="D205" s="41" t="n">
        <f aca="false">(B205+C205)/2</f>
        <v>0.0374588966369629</v>
      </c>
      <c r="E205" s="15" t="n">
        <f aca="false">$C$2*(1+IF(E$3&lt;=$O$2,$D205,$D205-($D205-$I$184)*MIN(E$3-$O$2,$Q$2)/$Q$2))</f>
        <v>2282.40957260132</v>
      </c>
      <c r="F205" s="15" t="n">
        <f aca="false">E205*(1+IF(F$3&lt;=$O$2,$D205,$D205-($D205-$I$184)*MIN(F$3-$O$2,$Q$2)/$Q$2))</f>
        <v>2367.90611686461</v>
      </c>
      <c r="G205" s="15" t="n">
        <f aca="false">F205*(1+IF(G$3&lt;=$O$2,$D205,$D205-($D205-$I$184)*MIN(G$3-$O$2,$Q$2)/$Q$2))</f>
        <v>2456.60526734227</v>
      </c>
      <c r="H205" s="15" t="n">
        <f aca="false">G205*(1+IF(H$3&lt;=$O$2,$D205,$D205-($D205-$I$184)*MIN(H$3-$O$2,$Q$2)/$Q$2))</f>
        <v>2548.62699012946</v>
      </c>
      <c r="I205" s="15" t="n">
        <f aca="false">H205*(1+IF(I$3&lt;=$O$2,$D205,$D205-($D205-$I$184)*MIN(I$3-$O$2,$Q$2)/$Q$2))</f>
        <v>2644.0957451189</v>
      </c>
      <c r="J205" s="15" t="n">
        <f aca="false">I205*(1+IF(J$3&lt;=$O$2,$D205,$D205-($D205-$I$184)*MIN(J$3-$O$2,$Q$2)/$Q$2))</f>
        <v>2733.00906291774</v>
      </c>
      <c r="K205" s="15" t="n">
        <f aca="false">J205*(1+IF(K$3&lt;=$O$2,$D205,$D205-($D205-$I$184)*MIN(K$3-$O$2,$Q$2)/$Q$2))</f>
        <v>2814.43999165573</v>
      </c>
      <c r="L205" s="15" t="n">
        <f aca="false">K205*(1+IF(L$3&lt;=$O$2,$D205,$D205-($D205-$I$184)*MIN(L$3-$O$2,$Q$2)/$Q$2))</f>
        <v>2887.51286945946</v>
      </c>
      <c r="M205" s="15" t="n">
        <f aca="false">L205*(1+IF(M$3&lt;=$O$2,$D205,$D205-($D205-$I$184)*MIN(M$3-$O$2,$Q$2)/$Q$2))</f>
        <v>2951.41866709134</v>
      </c>
      <c r="N205" s="15" t="n">
        <f aca="false">M205*(1+IF(N$3&lt;=$O$2,$D205,$D205-($D205-$I$184)*MIN(N$3-$O$2,$Q$2)/$Q$2))</f>
        <v>3005.42962869911</v>
      </c>
      <c r="O205" s="15" t="n">
        <f aca="false">SUMPRODUCT(E205:N205,1/(1+$F$184)^$E$3:$N$3)*$E$2</f>
        <v>9418.3187501638</v>
      </c>
      <c r="P205" s="15" t="n">
        <f aca="false">N205*$E$2*(1+$I$184)/($F$184-$I$184)/(1+$F$184)^$N$3</f>
        <v>14411.8278954891</v>
      </c>
      <c r="Q205" s="15" t="n">
        <f aca="false">O205+P205</f>
        <v>23830.1466456529</v>
      </c>
      <c r="R205" s="15" t="n">
        <f aca="false">Q205-$G$2+$I$2</f>
        <v>25739.8066456529</v>
      </c>
      <c r="S205" s="42" t="n">
        <f aca="false">R205/$K$2</f>
        <v>109.985073048981</v>
      </c>
      <c r="T205" s="43" t="n">
        <f aca="false">S205-$M$2</f>
        <v>-0.000826194706206707</v>
      </c>
    </row>
    <row r="206" customFormat="false" ht="15" hidden="false" customHeight="false" outlineLevel="0" collapsed="false">
      <c r="A206" s="5" t="n">
        <v>21</v>
      </c>
      <c r="B206" s="25" t="n">
        <f aca="false">IF(T205&gt;0,B205,D205)</f>
        <v>0.0374588966369629</v>
      </c>
      <c r="C206" s="25" t="n">
        <f aca="false">IF(T205&gt;0,D205,C205)</f>
        <v>0.0374603271484375</v>
      </c>
      <c r="D206" s="41" t="n">
        <f aca="false">(B206+C206)/2</f>
        <v>0.0374596118927002</v>
      </c>
      <c r="E206" s="15" t="n">
        <f aca="false">$C$2*(1+IF(E$3&lt;=$O$2,$D206,$D206-($D206-$I$184)*MIN(E$3-$O$2,$Q$2)/$Q$2))</f>
        <v>2282.41114616394</v>
      </c>
      <c r="F206" s="15" t="n">
        <f aca="false">E206*(1+IF(F$3&lt;=$O$2,$D206,$D206-($D206-$I$184)*MIN(F$3-$O$2,$Q$2)/$Q$2))</f>
        <v>2367.90938187881</v>
      </c>
      <c r="G206" s="15" t="n">
        <f aca="false">F206*(1+IF(G$3&lt;=$O$2,$D206,$D206-($D206-$I$184)*MIN(G$3-$O$2,$Q$2)/$Q$2))</f>
        <v>2456.61034832108</v>
      </c>
      <c r="H206" s="15" t="n">
        <f aca="false">G206*(1+IF(H$3&lt;=$O$2,$D206,$D206-($D206-$I$184)*MIN(H$3-$O$2,$Q$2)/$Q$2))</f>
        <v>2548.63401854078</v>
      </c>
      <c r="I206" s="15" t="n">
        <f aca="false">H206*(1+IF(I$3&lt;=$O$2,$D206,$D206-($D206-$I$184)*MIN(I$3-$O$2,$Q$2)/$Q$2))</f>
        <v>2644.10485973185</v>
      </c>
      <c r="J206" s="15" t="n">
        <f aca="false">I206*(1+IF(J$3&lt;=$O$2,$D206,$D206-($D206-$I$184)*MIN(J$3-$O$2,$Q$2)/$Q$2))</f>
        <v>2733.01999699779</v>
      </c>
      <c r="K206" s="15" t="n">
        <f aca="false">J206*(1+IF(K$3&lt;=$O$2,$D206,$D206-($D206-$I$184)*MIN(K$3-$O$2,$Q$2)/$Q$2))</f>
        <v>2814.45242440533</v>
      </c>
      <c r="L206" s="15" t="n">
        <f aca="false">K206*(1+IF(L$3&lt;=$O$2,$D206,$D206-($D206-$I$184)*MIN(L$3-$O$2,$Q$2)/$Q$2))</f>
        <v>2887.52643022878</v>
      </c>
      <c r="M206" s="15" t="n">
        <f aca="false">L206*(1+IF(M$3&lt;=$O$2,$D206,$D206-($D206-$I$184)*MIN(M$3-$O$2,$Q$2)/$Q$2))</f>
        <v>2951.43294104859</v>
      </c>
      <c r="N206" s="15" t="n">
        <f aca="false">M206*(1+IF(N$3&lt;=$O$2,$D206,$D206-($D206-$I$184)*MIN(N$3-$O$2,$Q$2)/$Q$2))</f>
        <v>3005.44416386977</v>
      </c>
      <c r="O206" s="15" t="n">
        <f aca="false">SUMPRODUCT(E206:N206,1/(1+$F$184)^$E$3:$N$3)*$E$2</f>
        <v>9418.34850737274</v>
      </c>
      <c r="P206" s="15" t="n">
        <f aca="false">N206*$E$2*(1+$I$184)/($F$184-$I$184)/(1+$F$184)^$N$3</f>
        <v>14411.8975954668</v>
      </c>
      <c r="Q206" s="15" t="n">
        <f aca="false">O206+P206</f>
        <v>23830.2461028395</v>
      </c>
      <c r="R206" s="15" t="n">
        <f aca="false">Q206-$G$2+$I$2</f>
        <v>25739.9061028395</v>
      </c>
      <c r="S206" s="42" t="n">
        <f aca="false">R206/$K$2</f>
        <v>109.985498025208</v>
      </c>
      <c r="T206" s="43" t="n">
        <f aca="false">S206-$M$2</f>
        <v>-0.000401218478344845</v>
      </c>
    </row>
    <row r="207" customFormat="false" ht="15" hidden="false" customHeight="false" outlineLevel="0" collapsed="false">
      <c r="A207" s="5" t="n">
        <v>22</v>
      </c>
      <c r="B207" s="25" t="n">
        <f aca="false">IF(T206&gt;0,B206,D206)</f>
        <v>0.0374596118927002</v>
      </c>
      <c r="C207" s="25" t="n">
        <f aca="false">IF(T206&gt;0,D206,C206)</f>
        <v>0.0374603271484375</v>
      </c>
      <c r="D207" s="41" t="n">
        <f aca="false">(B207+C207)/2</f>
        <v>0.0374599695205689</v>
      </c>
      <c r="E207" s="15" t="n">
        <f aca="false">$C$2*(1+IF(E$3&lt;=$O$2,$D207,$D207-($D207-$I$184)*MIN(E$3-$O$2,$Q$2)/$Q$2))</f>
        <v>2282.41193294525</v>
      </c>
      <c r="F207" s="15" t="n">
        <f aca="false">E207*(1+IF(F$3&lt;=$O$2,$D207,$D207-($D207-$I$184)*MIN(F$3-$O$2,$Q$2)/$Q$2))</f>
        <v>2367.91101438676</v>
      </c>
      <c r="G207" s="15" t="n">
        <f aca="false">F207*(1+IF(G$3&lt;=$O$2,$D207,$D207-($D207-$I$184)*MIN(G$3-$O$2,$Q$2)/$Q$2))</f>
        <v>2456.61288881311</v>
      </c>
      <c r="H207" s="15" t="n">
        <f aca="false">G207*(1+IF(H$3&lt;=$O$2,$D207,$D207-($D207-$I$184)*MIN(H$3-$O$2,$Q$2)/$Q$2))</f>
        <v>2548.63753275189</v>
      </c>
      <c r="I207" s="15" t="n">
        <f aca="false">H207*(1+IF(I$3&lt;=$O$2,$D207,$D207-($D207-$I$184)*MIN(I$3-$O$2,$Q$2)/$Q$2))</f>
        <v>2644.10941704775</v>
      </c>
      <c r="J207" s="15" t="n">
        <f aca="false">I207*(1+IF(J$3&lt;=$O$2,$D207,$D207-($D207-$I$184)*MIN(J$3-$O$2,$Q$2)/$Q$2))</f>
        <v>2733.02546405147</v>
      </c>
      <c r="K207" s="15" t="n">
        <f aca="false">J207*(1+IF(K$3&lt;=$O$2,$D207,$D207-($D207-$I$184)*MIN(K$3-$O$2,$Q$2)/$Q$2))</f>
        <v>2814.45864079771</v>
      </c>
      <c r="L207" s="15" t="n">
        <f aca="false">K207*(1+IF(L$3&lt;=$O$2,$D207,$D207-($D207-$I$184)*MIN(L$3-$O$2,$Q$2)/$Q$2))</f>
        <v>2887.53321063414</v>
      </c>
      <c r="M207" s="15" t="n">
        <f aca="false">L207*(1+IF(M$3&lt;=$O$2,$D207,$D207-($D207-$I$184)*MIN(M$3-$O$2,$Q$2)/$Q$2))</f>
        <v>2951.44007804983</v>
      </c>
      <c r="N207" s="15" t="n">
        <f aca="false">M207*(1+IF(N$3&lt;=$O$2,$D207,$D207-($D207-$I$184)*MIN(N$3-$O$2,$Q$2)/$Q$2))</f>
        <v>3005.45143147814</v>
      </c>
      <c r="O207" s="15" t="n">
        <f aca="false">SUMPRODUCT(E207:N207,1/(1+$F$184)^$E$3:$N$3)*$E$2</f>
        <v>9418.36338601273</v>
      </c>
      <c r="P207" s="15" t="n">
        <f aca="false">N207*$E$2*(1+$I$184)/($F$184-$I$184)/(1+$F$184)^$N$3</f>
        <v>14411.9324455661</v>
      </c>
      <c r="Q207" s="15" t="n">
        <f aca="false">O207+P207</f>
        <v>23830.2958315788</v>
      </c>
      <c r="R207" s="15" t="n">
        <f aca="false">Q207-$G$2+$I$2</f>
        <v>25739.9558315788</v>
      </c>
      <c r="S207" s="42" t="n">
        <f aca="false">R207/$K$2</f>
        <v>109.985710513946</v>
      </c>
      <c r="T207" s="43" t="n">
        <f aca="false">S207-$M$2</f>
        <v>-0.000188729740727922</v>
      </c>
    </row>
    <row r="208" customFormat="false" ht="15" hidden="false" customHeight="false" outlineLevel="0" collapsed="false">
      <c r="A208" s="5" t="n">
        <v>23</v>
      </c>
      <c r="B208" s="25" t="n">
        <f aca="false">IF(T207&gt;0,B207,D207)</f>
        <v>0.0374599695205689</v>
      </c>
      <c r="C208" s="25" t="n">
        <f aca="false">IF(T207&gt;0,D207,C207)</f>
        <v>0.0374603271484375</v>
      </c>
      <c r="D208" s="41" t="n">
        <f aca="false">(B208+C208)/2</f>
        <v>0.0374601483345032</v>
      </c>
      <c r="E208" s="15" t="n">
        <f aca="false">$C$2*(1+IF(E$3&lt;=$O$2,$D208,$D208-($D208-$I$184)*MIN(E$3-$O$2,$Q$2)/$Q$2))</f>
        <v>2282.41232633591</v>
      </c>
      <c r="F208" s="15" t="n">
        <f aca="false">E208*(1+IF(F$3&lt;=$O$2,$D208,$D208-($D208-$I$184)*MIN(F$3-$O$2,$Q$2)/$Q$2))</f>
        <v>2367.91183064095</v>
      </c>
      <c r="G208" s="15" t="n">
        <f aca="false">F208*(1+IF(G$3&lt;=$O$2,$D208,$D208-($D208-$I$184)*MIN(G$3-$O$2,$Q$2)/$Q$2))</f>
        <v>2456.61415905978</v>
      </c>
      <c r="H208" s="15" t="n">
        <f aca="false">G208*(1+IF(H$3&lt;=$O$2,$D208,$D208-($D208-$I$184)*MIN(H$3-$O$2,$Q$2)/$Q$2))</f>
        <v>2548.6392898588</v>
      </c>
      <c r="I208" s="15" t="n">
        <f aca="false">H208*(1+IF(I$3&lt;=$O$2,$D208,$D208-($D208-$I$184)*MIN(I$3-$O$2,$Q$2)/$Q$2))</f>
        <v>2644.11169570806</v>
      </c>
      <c r="J208" s="15" t="n">
        <f aca="false">I208*(1+IF(J$3&lt;=$O$2,$D208,$D208-($D208-$I$184)*MIN(J$3-$O$2,$Q$2)/$Q$2))</f>
        <v>2733.02819758172</v>
      </c>
      <c r="K208" s="15" t="n">
        <f aca="false">J208*(1+IF(K$3&lt;=$O$2,$D208,$D208-($D208-$I$184)*MIN(K$3-$O$2,$Q$2)/$Q$2))</f>
        <v>2814.4617489983</v>
      </c>
      <c r="L208" s="15" t="n">
        <f aca="false">K208*(1+IF(L$3&lt;=$O$2,$D208,$D208-($D208-$I$184)*MIN(L$3-$O$2,$Q$2)/$Q$2))</f>
        <v>2887.536600842</v>
      </c>
      <c r="M208" s="15" t="n">
        <f aca="false">L208*(1+IF(M$3&lt;=$O$2,$D208,$D208-($D208-$I$184)*MIN(M$3-$O$2,$Q$2)/$Q$2))</f>
        <v>2951.4436465561</v>
      </c>
      <c r="N208" s="15" t="n">
        <f aca="false">M208*(1+IF(N$3&lt;=$O$2,$D208,$D208-($D208-$I$184)*MIN(N$3-$O$2,$Q$2)/$Q$2))</f>
        <v>3005.45506528808</v>
      </c>
      <c r="O208" s="15" t="n">
        <f aca="false">SUMPRODUCT(E208:N208,1/(1+$F$184)^$E$3:$N$3)*$E$2</f>
        <v>9418.3708253416</v>
      </c>
      <c r="P208" s="15" t="n">
        <f aca="false">N208*$E$2*(1+$I$184)/($F$184-$I$184)/(1+$F$184)^$N$3</f>
        <v>14411.9498706433</v>
      </c>
      <c r="Q208" s="15" t="n">
        <f aca="false">O208+P208</f>
        <v>23830.3206959849</v>
      </c>
      <c r="R208" s="15" t="n">
        <f aca="false">Q208-$G$2+$I$2</f>
        <v>25739.9806959849</v>
      </c>
      <c r="S208" s="42" t="n">
        <f aca="false">R208/$K$2</f>
        <v>109.985816758471</v>
      </c>
      <c r="T208" s="43" t="n">
        <f aca="false">S208-$M$2</f>
        <v>-8.24852159837519E-005</v>
      </c>
    </row>
    <row r="209" customFormat="false" ht="15" hidden="false" customHeight="false" outlineLevel="0" collapsed="false">
      <c r="A209" s="5" t="n">
        <v>24</v>
      </c>
      <c r="B209" s="25" t="n">
        <f aca="false">IF(T208&gt;0,B208,D208)</f>
        <v>0.0374601483345032</v>
      </c>
      <c r="C209" s="25" t="n">
        <f aca="false">IF(T208&gt;0,D208,C208)</f>
        <v>0.0374603271484375</v>
      </c>
      <c r="D209" s="41" t="n">
        <f aca="false">(B209+C209)/2</f>
        <v>0.0374602377414703</v>
      </c>
      <c r="E209" s="15" t="n">
        <f aca="false">$C$2*(1+IF(E$3&lt;=$O$2,$D209,$D209-($D209-$I$184)*MIN(E$3-$O$2,$Q$2)/$Q$2))</f>
        <v>2282.41252303123</v>
      </c>
      <c r="F209" s="15" t="n">
        <f aca="false">E209*(1+IF(F$3&lt;=$O$2,$D209,$D209-($D209-$I$184)*MIN(F$3-$O$2,$Q$2)/$Q$2))</f>
        <v>2367.91223876809</v>
      </c>
      <c r="G209" s="15" t="n">
        <f aca="false">F209*(1+IF(G$3&lt;=$O$2,$D209,$D209-($D209-$I$184)*MIN(G$3-$O$2,$Q$2)/$Q$2))</f>
        <v>2456.61479418328</v>
      </c>
      <c r="H209" s="15" t="n">
        <f aca="false">G209*(1+IF(H$3&lt;=$O$2,$D209,$D209-($D209-$I$184)*MIN(H$3-$O$2,$Q$2)/$Q$2))</f>
        <v>2548.6401684126</v>
      </c>
      <c r="I209" s="15" t="n">
        <f aca="false">H209*(1+IF(I$3&lt;=$O$2,$D209,$D209-($D209-$I$184)*MIN(I$3-$O$2,$Q$2)/$Q$2))</f>
        <v>2644.1128350388</v>
      </c>
      <c r="J209" s="15" t="n">
        <f aca="false">I209*(1+IF(J$3&lt;=$O$2,$D209,$D209-($D209-$I$184)*MIN(J$3-$O$2,$Q$2)/$Q$2))</f>
        <v>2733.0295643477</v>
      </c>
      <c r="K209" s="15" t="n">
        <f aca="false">J209*(1+IF(K$3&lt;=$O$2,$D209,$D209-($D209-$I$184)*MIN(K$3-$O$2,$Q$2)/$Q$2))</f>
        <v>2814.46330309969</v>
      </c>
      <c r="L209" s="15" t="n">
        <f aca="false">K209*(1+IF(L$3&lt;=$O$2,$D209,$D209-($D209-$I$184)*MIN(L$3-$O$2,$Q$2)/$Q$2))</f>
        <v>2887.53829594723</v>
      </c>
      <c r="M209" s="15" t="n">
        <f aca="false">L209*(1+IF(M$3&lt;=$O$2,$D209,$D209-($D209-$I$184)*MIN(M$3-$O$2,$Q$2)/$Q$2))</f>
        <v>2951.44543081065</v>
      </c>
      <c r="N209" s="15" t="n">
        <f aca="false">M209*(1+IF(N$3&lt;=$O$2,$D209,$D209-($D209-$I$184)*MIN(N$3-$O$2,$Q$2)/$Q$2))</f>
        <v>3005.45688219448</v>
      </c>
      <c r="O209" s="15" t="n">
        <f aca="false">SUMPRODUCT(E209:N209,1/(1+$F$184)^$E$3:$N$3)*$E$2</f>
        <v>9418.37454500826</v>
      </c>
      <c r="P209" s="15" t="n">
        <f aca="false">N209*$E$2*(1+$I$184)/($F$184-$I$184)/(1+$F$184)^$N$3</f>
        <v>14411.9585831888</v>
      </c>
      <c r="Q209" s="15" t="n">
        <f aca="false">O209+P209</f>
        <v>23830.3331281971</v>
      </c>
      <c r="R209" s="15" t="n">
        <f aca="false">Q209-$G$2+$I$2</f>
        <v>25739.9931281971</v>
      </c>
      <c r="S209" s="42" t="n">
        <f aca="false">R209/$K$2</f>
        <v>109.985869880772</v>
      </c>
      <c r="T209" s="43" t="n">
        <f aca="false">S209-$M$2</f>
        <v>-2.93629146455032E-005</v>
      </c>
    </row>
    <row r="211" customFormat="false" ht="15" hidden="false" customHeight="false" outlineLevel="0" collapsed="false">
      <c r="A211" s="38" t="s">
        <v>194</v>
      </c>
      <c r="E211" s="5" t="s">
        <v>11</v>
      </c>
      <c r="F211" s="12" t="n">
        <f aca="false">Sensitivity!$B$11</f>
        <v>0.0727967762761046</v>
      </c>
      <c r="G211" s="5" t="s">
        <v>12</v>
      </c>
      <c r="I211" s="12" t="n">
        <f aca="false">Sensitivity!$D$9</f>
        <v>0.0233</v>
      </c>
    </row>
    <row r="212" customFormat="false" ht="23.85" hidden="false" customHeight="false" outlineLevel="0" collapsed="false">
      <c r="A212" s="38" t="s">
        <v>168</v>
      </c>
      <c r="B212" s="28" t="s">
        <v>169</v>
      </c>
      <c r="C212" s="28" t="s">
        <v>170</v>
      </c>
      <c r="D212" s="28" t="s">
        <v>171</v>
      </c>
      <c r="E212" s="28" t="s">
        <v>172</v>
      </c>
      <c r="F212" s="28" t="s">
        <v>173</v>
      </c>
      <c r="G212" s="28" t="s">
        <v>174</v>
      </c>
      <c r="H212" s="28" t="s">
        <v>175</v>
      </c>
      <c r="I212" s="28" t="s">
        <v>176</v>
      </c>
      <c r="J212" s="28" t="s">
        <v>177</v>
      </c>
      <c r="K212" s="28" t="s">
        <v>178</v>
      </c>
      <c r="L212" s="28" t="s">
        <v>179</v>
      </c>
      <c r="M212" s="28" t="s">
        <v>180</v>
      </c>
      <c r="N212" s="28" t="s">
        <v>181</v>
      </c>
      <c r="O212" s="28" t="s">
        <v>182</v>
      </c>
      <c r="P212" s="28" t="s">
        <v>183</v>
      </c>
      <c r="Q212" s="28" t="s">
        <v>184</v>
      </c>
      <c r="R212" s="28" t="s">
        <v>185</v>
      </c>
      <c r="S212" s="28" t="s">
        <v>186</v>
      </c>
      <c r="T212" s="28" t="s">
        <v>187</v>
      </c>
    </row>
    <row r="213" customFormat="false" ht="15" hidden="false" customHeight="false" outlineLevel="0" collapsed="false">
      <c r="A213" s="5" t="n">
        <v>1</v>
      </c>
      <c r="B213" s="24" t="n">
        <v>-0.5</v>
      </c>
      <c r="C213" s="24" t="n">
        <v>1</v>
      </c>
      <c r="D213" s="41" t="n">
        <f aca="false">(B213+C213)/2</f>
        <v>0.25</v>
      </c>
      <c r="E213" s="15" t="n">
        <f aca="false">$C$2*(1+IF(E$3&lt;=$O$2,$D213,$D213-($D213-$I$211)*MIN(E$3-$O$2,$Q$2)/$Q$2))</f>
        <v>2750</v>
      </c>
      <c r="F213" s="15" t="n">
        <f aca="false">E213*(1+IF(F$3&lt;=$O$2,$D213,$D213-($D213-$I$211)*MIN(F$3-$O$2,$Q$2)/$Q$2))</f>
        <v>3437.5</v>
      </c>
      <c r="G213" s="15" t="n">
        <f aca="false">F213*(1+IF(G$3&lt;=$O$2,$D213,$D213-($D213-$I$211)*MIN(G$3-$O$2,$Q$2)/$Q$2))</f>
        <v>4296.875</v>
      </c>
      <c r="H213" s="15" t="n">
        <f aca="false">G213*(1+IF(H$3&lt;=$O$2,$D213,$D213-($D213-$I$211)*MIN(H$3-$O$2,$Q$2)/$Q$2))</f>
        <v>5371.09375</v>
      </c>
      <c r="I213" s="15" t="n">
        <f aca="false">H213*(1+IF(I$3&lt;=$O$2,$D213,$D213-($D213-$I$211)*MIN(I$3-$O$2,$Q$2)/$Q$2))</f>
        <v>6713.8671875</v>
      </c>
      <c r="J213" s="15" t="n">
        <f aca="false">I213*(1+IF(J$3&lt;=$O$2,$D213,$D213-($D213-$I$211)*MIN(J$3-$O$2,$Q$2)/$Q$2))</f>
        <v>8087.92724609375</v>
      </c>
      <c r="K213" s="15" t="n">
        <f aca="false">J213*(1+IF(K$3&lt;=$O$2,$D213,$D213-($D213-$I$211)*MIN(K$3-$O$2,$Q$2)/$Q$2))</f>
        <v>9376.49581494141</v>
      </c>
      <c r="L213" s="15" t="n">
        <f aca="false">K213*(1+IF(L$3&lt;=$O$2,$D213,$D213-($D213-$I$211)*MIN(L$3-$O$2,$Q$2)/$Q$2))</f>
        <v>10445.2288079284</v>
      </c>
      <c r="M213" s="15" t="n">
        <f aca="false">L213*(1+IF(M$3&lt;=$O$2,$D213,$D213-($D213-$I$211)*MIN(M$3-$O$2,$Q$2)/$Q$2))</f>
        <v>11162.1893133046</v>
      </c>
      <c r="N213" s="15" t="n">
        <f aca="false">M213*(1+IF(N$3&lt;=$O$2,$D213,$D213-($D213-$I$211)*MIN(N$3-$O$2,$Q$2)/$Q$2))</f>
        <v>11422.2683243046</v>
      </c>
      <c r="O213" s="15" t="n">
        <f aca="false">SUMPRODUCT(E213:N213,1/(1+$F$211)^$E$3:$N$3)*$E$2</f>
        <v>24038.5864970691</v>
      </c>
      <c r="P213" s="15" t="n">
        <f aca="false">N213*$E$2*(1+$I$211)/($F$211-$I$211)/(1+$F$211)^$N$3</f>
        <v>60601.865115519</v>
      </c>
      <c r="Q213" s="15" t="n">
        <f aca="false">O213+P213</f>
        <v>84640.4516125881</v>
      </c>
      <c r="R213" s="15" t="n">
        <f aca="false">Q213-$G$2+$I$2</f>
        <v>86550.1116125881</v>
      </c>
      <c r="S213" s="42" t="n">
        <f aca="false">R213/$K$2</f>
        <v>369.824858405282</v>
      </c>
      <c r="T213" s="43" t="n">
        <f aca="false">S213-$M$2</f>
        <v>259.838959161595</v>
      </c>
    </row>
    <row r="214" customFormat="false" ht="15" hidden="false" customHeight="false" outlineLevel="0" collapsed="false">
      <c r="A214" s="5" t="n">
        <v>2</v>
      </c>
      <c r="B214" s="25" t="n">
        <f aca="false">IF(T213&gt;0,B213,D213)</f>
        <v>-0.5</v>
      </c>
      <c r="C214" s="25" t="n">
        <f aca="false">IF(T213&gt;0,D213,C213)</f>
        <v>0.25</v>
      </c>
      <c r="D214" s="41" t="n">
        <f aca="false">(B214+C214)/2</f>
        <v>-0.125</v>
      </c>
      <c r="E214" s="15" t="n">
        <f aca="false">$C$2*(1+IF(E$3&lt;=$O$2,$D214,$D214-($D214-$I$211)*MIN(E$3-$O$2,$Q$2)/$Q$2))</f>
        <v>1925</v>
      </c>
      <c r="F214" s="15" t="n">
        <f aca="false">E214*(1+IF(F$3&lt;=$O$2,$D214,$D214-($D214-$I$211)*MIN(F$3-$O$2,$Q$2)/$Q$2))</f>
        <v>1684.375</v>
      </c>
      <c r="G214" s="15" t="n">
        <f aca="false">F214*(1+IF(G$3&lt;=$O$2,$D214,$D214-($D214-$I$211)*MIN(G$3-$O$2,$Q$2)/$Q$2))</f>
        <v>1473.828125</v>
      </c>
      <c r="H214" s="15" t="n">
        <f aca="false">G214*(1+IF(H$3&lt;=$O$2,$D214,$D214-($D214-$I$211)*MIN(H$3-$O$2,$Q$2)/$Q$2))</f>
        <v>1289.599609375</v>
      </c>
      <c r="I214" s="15" t="n">
        <f aca="false">H214*(1+IF(I$3&lt;=$O$2,$D214,$D214-($D214-$I$211)*MIN(I$3-$O$2,$Q$2)/$Q$2))</f>
        <v>1128.39965820313</v>
      </c>
      <c r="J214" s="15" t="n">
        <f aca="false">I214*(1+IF(J$3&lt;=$O$2,$D214,$D214-($D214-$I$211)*MIN(J$3-$O$2,$Q$2)/$Q$2))</f>
        <v>1020.81803479004</v>
      </c>
      <c r="K214" s="15" t="n">
        <f aca="false">J214*(1+IF(K$3&lt;=$O$2,$D214,$D214-($D214-$I$211)*MIN(K$3-$O$2,$Q$2)/$Q$2))</f>
        <v>953.770706265029</v>
      </c>
      <c r="L214" s="15" t="n">
        <f aca="false">K214*(1+IF(L$3&lt;=$O$2,$D214,$D214-($D214-$I$211)*MIN(L$3-$O$2,$Q$2)/$Q$2))</f>
        <v>919.415885425363</v>
      </c>
      <c r="M214" s="15" t="n">
        <f aca="false">L214*(1+IF(M$3&lt;=$O$2,$D214,$D214-($D214-$I$211)*MIN(M$3-$O$2,$Q$2)/$Q$2))</f>
        <v>913.568400394058</v>
      </c>
      <c r="N214" s="15" t="n">
        <f aca="false">M214*(1+IF(N$3&lt;=$O$2,$D214,$D214-($D214-$I$211)*MIN(N$3-$O$2,$Q$2)/$Q$2))</f>
        <v>934.854544123239</v>
      </c>
      <c r="O214" s="15" t="n">
        <f aca="false">SUMPRODUCT(E214:N214,1/(1+$F$211)^$E$3:$N$3)*$E$2</f>
        <v>4634.92404170571</v>
      </c>
      <c r="P214" s="15" t="n">
        <f aca="false">N214*$E$2*(1+$I$211)/($F$211-$I$211)/(1+$F$211)^$N$3</f>
        <v>4959.95430829065</v>
      </c>
      <c r="Q214" s="15" t="n">
        <f aca="false">O214+P214</f>
        <v>9594.87834999636</v>
      </c>
      <c r="R214" s="15" t="n">
        <f aca="false">Q214-$G$2+$I$2</f>
        <v>11504.5383499964</v>
      </c>
      <c r="S214" s="42" t="n">
        <f aca="false">R214/$K$2</f>
        <v>49.1583914455256</v>
      </c>
      <c r="T214" s="43" t="n">
        <f aca="false">S214-$M$2</f>
        <v>-60.8275077981611</v>
      </c>
    </row>
    <row r="215" customFormat="false" ht="15" hidden="false" customHeight="false" outlineLevel="0" collapsed="false">
      <c r="A215" s="5" t="n">
        <v>3</v>
      </c>
      <c r="B215" s="25" t="n">
        <f aca="false">IF(T214&gt;0,B214,D214)</f>
        <v>-0.125</v>
      </c>
      <c r="C215" s="25" t="n">
        <f aca="false">IF(T214&gt;0,D214,C214)</f>
        <v>0.25</v>
      </c>
      <c r="D215" s="41" t="n">
        <f aca="false">(B215+C215)/2</f>
        <v>0.0625</v>
      </c>
      <c r="E215" s="15" t="n">
        <f aca="false">$C$2*(1+IF(E$3&lt;=$O$2,$D215,$D215-($D215-$I$211)*MIN(E$3-$O$2,$Q$2)/$Q$2))</f>
        <v>2337.5</v>
      </c>
      <c r="F215" s="15" t="n">
        <f aca="false">E215*(1+IF(F$3&lt;=$O$2,$D215,$D215-($D215-$I$211)*MIN(F$3-$O$2,$Q$2)/$Q$2))</f>
        <v>2483.59375</v>
      </c>
      <c r="G215" s="15" t="n">
        <f aca="false">F215*(1+IF(G$3&lt;=$O$2,$D215,$D215-($D215-$I$211)*MIN(G$3-$O$2,$Q$2)/$Q$2))</f>
        <v>2638.818359375</v>
      </c>
      <c r="H215" s="15" t="n">
        <f aca="false">G215*(1+IF(H$3&lt;=$O$2,$D215,$D215-($D215-$I$211)*MIN(H$3-$O$2,$Q$2)/$Q$2))</f>
        <v>2803.74450683594</v>
      </c>
      <c r="I215" s="15" t="n">
        <f aca="false">H215*(1+IF(I$3&lt;=$O$2,$D215,$D215-($D215-$I$211)*MIN(I$3-$O$2,$Q$2)/$Q$2))</f>
        <v>2978.97853851318</v>
      </c>
      <c r="J215" s="15" t="n">
        <f aca="false">I215*(1+IF(J$3&lt;=$O$2,$D215,$D215-($D215-$I$211)*MIN(J$3-$O$2,$Q$2)/$Q$2))</f>
        <v>3141.80950542831</v>
      </c>
      <c r="K215" s="15" t="n">
        <f aca="false">J215*(1+IF(K$3&lt;=$O$2,$D215,$D215-($D215-$I$211)*MIN(K$3-$O$2,$Q$2)/$Q$2))</f>
        <v>3288.90902647247</v>
      </c>
      <c r="L215" s="15" t="n">
        <f aca="false">K215*(1+IF(L$3&lt;=$O$2,$D215,$D215-($D215-$I$211)*MIN(L$3-$O$2,$Q$2)/$Q$2))</f>
        <v>3417.11070032436</v>
      </c>
      <c r="M215" s="15" t="n">
        <f aca="false">L215*(1+IF(M$3&lt;=$O$2,$D215,$D215-($D215-$I$211)*MIN(M$3-$O$2,$Q$2)/$Q$2))</f>
        <v>3523.51952753247</v>
      </c>
      <c r="N215" s="15" t="n">
        <f aca="false">M215*(1+IF(N$3&lt;=$O$2,$D215,$D215-($D215-$I$211)*MIN(N$3-$O$2,$Q$2)/$Q$2))</f>
        <v>3605.61753252397</v>
      </c>
      <c r="O215" s="15" t="n">
        <f aca="false">SUMPRODUCT(E215:N215,1/(1+$F$211)^$E$3:$N$3)*$E$2</f>
        <v>10552.6631458594</v>
      </c>
      <c r="P215" s="15" t="n">
        <f aca="false">N215*$E$2*(1+$I$211)/($F$211-$I$211)/(1+$F$211)^$N$3</f>
        <v>19129.9259621858</v>
      </c>
      <c r="Q215" s="15" t="n">
        <f aca="false">O215+P215</f>
        <v>29682.5891080453</v>
      </c>
      <c r="R215" s="15" t="n">
        <f aca="false">Q215-$G$2+$I$2</f>
        <v>31592.2491080453</v>
      </c>
      <c r="S215" s="42" t="n">
        <f aca="false">R215/$K$2</f>
        <v>134.992304867091</v>
      </c>
      <c r="T215" s="43" t="n">
        <f aca="false">S215-$M$2</f>
        <v>25.0064056234041</v>
      </c>
    </row>
    <row r="216" customFormat="false" ht="15" hidden="false" customHeight="false" outlineLevel="0" collapsed="false">
      <c r="A216" s="5" t="n">
        <v>4</v>
      </c>
      <c r="B216" s="25" t="n">
        <f aca="false">IF(T215&gt;0,B215,D215)</f>
        <v>-0.125</v>
      </c>
      <c r="C216" s="25" t="n">
        <f aca="false">IF(T215&gt;0,D215,C215)</f>
        <v>0.0625</v>
      </c>
      <c r="D216" s="41" t="n">
        <f aca="false">(B216+C216)/2</f>
        <v>-0.03125</v>
      </c>
      <c r="E216" s="15" t="n">
        <f aca="false">$C$2*(1+IF(E$3&lt;=$O$2,$D216,$D216-($D216-$I$211)*MIN(E$3-$O$2,$Q$2)/$Q$2))</f>
        <v>2131.25</v>
      </c>
      <c r="F216" s="15" t="n">
        <f aca="false">E216*(1+IF(F$3&lt;=$O$2,$D216,$D216-($D216-$I$211)*MIN(F$3-$O$2,$Q$2)/$Q$2))</f>
        <v>2064.6484375</v>
      </c>
      <c r="G216" s="15" t="n">
        <f aca="false">F216*(1+IF(G$3&lt;=$O$2,$D216,$D216-($D216-$I$211)*MIN(G$3-$O$2,$Q$2)/$Q$2))</f>
        <v>2000.12817382813</v>
      </c>
      <c r="H216" s="15" t="n">
        <f aca="false">G216*(1+IF(H$3&lt;=$O$2,$D216,$D216-($D216-$I$211)*MIN(H$3-$O$2,$Q$2)/$Q$2))</f>
        <v>1937.624168396</v>
      </c>
      <c r="I216" s="15" t="n">
        <f aca="false">H216*(1+IF(I$3&lt;=$O$2,$D216,$D216-($D216-$I$211)*MIN(I$3-$O$2,$Q$2)/$Q$2))</f>
        <v>1877.07341313362</v>
      </c>
      <c r="J216" s="15" t="n">
        <f aca="false">I216*(1+IF(J$3&lt;=$O$2,$D216,$D216-($D216-$I$211)*MIN(J$3-$O$2,$Q$2)/$Q$2))</f>
        <v>1838.89373991048</v>
      </c>
      <c r="K216" s="15" t="n">
        <f aca="false">J216*(1+IF(K$3&lt;=$O$2,$D216,$D216-($D216-$I$211)*MIN(K$3-$O$2,$Q$2)/$Q$2))</f>
        <v>1821.55297194313</v>
      </c>
      <c r="L216" s="15" t="n">
        <f aca="false">K216*(1+IF(L$3&lt;=$O$2,$D216,$D216-($D216-$I$211)*MIN(L$3-$O$2,$Q$2)/$Q$2))</f>
        <v>1824.2488703416</v>
      </c>
      <c r="M216" s="15" t="n">
        <f aca="false">L216*(1+IF(M$3&lt;=$O$2,$D216,$D216-($D216-$I$211)*MIN(M$3-$O$2,$Q$2)/$Q$2))</f>
        <v>1846.85131384514</v>
      </c>
      <c r="N216" s="15" t="n">
        <f aca="false">M216*(1+IF(N$3&lt;=$O$2,$D216,$D216-($D216-$I$211)*MIN(N$3-$O$2,$Q$2)/$Q$2))</f>
        <v>1889.88294945773</v>
      </c>
      <c r="O216" s="15" t="n">
        <f aca="false">SUMPRODUCT(E216:N216,1/(1+$F$211)^$E$3:$N$3)*$E$2</f>
        <v>6975.49680206806</v>
      </c>
      <c r="P216" s="15" t="n">
        <f aca="false">N216*$E$2*(1+$I$211)/($F$211-$I$211)/(1+$F$211)^$N$3</f>
        <v>10026.9428396683</v>
      </c>
      <c r="Q216" s="15" t="n">
        <f aca="false">O216+P216</f>
        <v>17002.4396417364</v>
      </c>
      <c r="R216" s="15" t="n">
        <f aca="false">Q216-$G$2+$I$2</f>
        <v>18912.0996417364</v>
      </c>
      <c r="S216" s="42" t="n">
        <f aca="false">R216/$K$2</f>
        <v>80.8105783093465</v>
      </c>
      <c r="T216" s="43" t="n">
        <f aca="false">S216-$M$2</f>
        <v>-29.1753209343402</v>
      </c>
    </row>
    <row r="217" customFormat="false" ht="15" hidden="false" customHeight="false" outlineLevel="0" collapsed="false">
      <c r="A217" s="5" t="n">
        <v>5</v>
      </c>
      <c r="B217" s="25" t="n">
        <f aca="false">IF(T216&gt;0,B216,D216)</f>
        <v>-0.03125</v>
      </c>
      <c r="C217" s="25" t="n">
        <f aca="false">IF(T216&gt;0,D216,C216)</f>
        <v>0.0625</v>
      </c>
      <c r="D217" s="41" t="n">
        <f aca="false">(B217+C217)/2</f>
        <v>0.015625</v>
      </c>
      <c r="E217" s="15" t="n">
        <f aca="false">$C$2*(1+IF(E$3&lt;=$O$2,$D217,$D217-($D217-$I$211)*MIN(E$3-$O$2,$Q$2)/$Q$2))</f>
        <v>2234.375</v>
      </c>
      <c r="F217" s="15" t="n">
        <f aca="false">E217*(1+IF(F$3&lt;=$O$2,$D217,$D217-($D217-$I$211)*MIN(F$3-$O$2,$Q$2)/$Q$2))</f>
        <v>2269.287109375</v>
      </c>
      <c r="G217" s="15" t="n">
        <f aca="false">F217*(1+IF(G$3&lt;=$O$2,$D217,$D217-($D217-$I$211)*MIN(G$3-$O$2,$Q$2)/$Q$2))</f>
        <v>2304.74472045898</v>
      </c>
      <c r="H217" s="15" t="n">
        <f aca="false">G217*(1+IF(H$3&lt;=$O$2,$D217,$D217-($D217-$I$211)*MIN(H$3-$O$2,$Q$2)/$Q$2))</f>
        <v>2340.75635671616</v>
      </c>
      <c r="I217" s="15" t="n">
        <f aca="false">H217*(1+IF(I$3&lt;=$O$2,$D217,$D217-($D217-$I$211)*MIN(I$3-$O$2,$Q$2)/$Q$2))</f>
        <v>2377.33067478985</v>
      </c>
      <c r="J217" s="15" t="n">
        <f aca="false">I217*(1+IF(J$3&lt;=$O$2,$D217,$D217-($D217-$I$211)*MIN(J$3-$O$2,$Q$2)/$Q$2))</f>
        <v>2418.12566916924</v>
      </c>
      <c r="K217" s="15" t="n">
        <f aca="false">J217*(1+IF(K$3&lt;=$O$2,$D217,$D217-($D217-$I$211)*MIN(K$3-$O$2,$Q$2)/$Q$2))</f>
        <v>2463.33252855436</v>
      </c>
      <c r="L217" s="15" t="n">
        <f aca="false">K217*(1+IF(L$3&lt;=$O$2,$D217,$D217-($D217-$I$211)*MIN(L$3-$O$2,$Q$2)/$Q$2))</f>
        <v>2513.16574560701</v>
      </c>
      <c r="M217" s="15" t="n">
        <f aca="false">L217*(1+IF(M$3&lt;=$O$2,$D217,$D217-($D217-$I$211)*MIN(M$3-$O$2,$Q$2)/$Q$2))</f>
        <v>2567.86479806015</v>
      </c>
      <c r="N217" s="15" t="n">
        <f aca="false">M217*(1+IF(N$3&lt;=$O$2,$D217,$D217-($D217-$I$211)*MIN(N$3-$O$2,$Q$2)/$Q$2))</f>
        <v>2627.69604785495</v>
      </c>
      <c r="O217" s="15" t="n">
        <f aca="false">SUMPRODUCT(E217:N217,1/(1+$F$211)^$E$3:$N$3)*$E$2</f>
        <v>8576.99354509785</v>
      </c>
      <c r="P217" s="15" t="n">
        <f aca="false">N217*$E$2*(1+$I$211)/($F$211-$I$211)/(1+$F$211)^$N$3</f>
        <v>13941.4761530199</v>
      </c>
      <c r="Q217" s="15" t="n">
        <f aca="false">O217+P217</f>
        <v>22518.4696981178</v>
      </c>
      <c r="R217" s="15" t="n">
        <f aca="false">Q217-$G$2+$I$2</f>
        <v>24428.1296981178</v>
      </c>
      <c r="S217" s="42" t="n">
        <f aca="false">R217/$K$2</f>
        <v>104.380334564448</v>
      </c>
      <c r="T217" s="43" t="n">
        <f aca="false">S217-$M$2</f>
        <v>-5.60556467923857</v>
      </c>
    </row>
    <row r="218" customFormat="false" ht="15" hidden="false" customHeight="false" outlineLevel="0" collapsed="false">
      <c r="A218" s="5" t="n">
        <v>6</v>
      </c>
      <c r="B218" s="25" t="n">
        <f aca="false">IF(T217&gt;0,B217,D217)</f>
        <v>0.015625</v>
      </c>
      <c r="C218" s="25" t="n">
        <f aca="false">IF(T217&gt;0,D217,C217)</f>
        <v>0.0625</v>
      </c>
      <c r="D218" s="41" t="n">
        <f aca="false">(B218+C218)/2</f>
        <v>0.0390625</v>
      </c>
      <c r="E218" s="15" t="n">
        <f aca="false">$C$2*(1+IF(E$3&lt;=$O$2,$D218,$D218-($D218-$I$211)*MIN(E$3-$O$2,$Q$2)/$Q$2))</f>
        <v>2285.9375</v>
      </c>
      <c r="F218" s="15" t="n">
        <f aca="false">E218*(1+IF(F$3&lt;=$O$2,$D218,$D218-($D218-$I$211)*MIN(F$3-$O$2,$Q$2)/$Q$2))</f>
        <v>2375.23193359375</v>
      </c>
      <c r="G218" s="15" t="n">
        <f aca="false">F218*(1+IF(G$3&lt;=$O$2,$D218,$D218-($D218-$I$211)*MIN(G$3-$O$2,$Q$2)/$Q$2))</f>
        <v>2468.01443099976</v>
      </c>
      <c r="H218" s="15" t="n">
        <f aca="false">G218*(1+IF(H$3&lt;=$O$2,$D218,$D218-($D218-$I$211)*MIN(H$3-$O$2,$Q$2)/$Q$2))</f>
        <v>2564.42124471068</v>
      </c>
      <c r="I218" s="15" t="n">
        <f aca="false">H218*(1+IF(I$3&lt;=$O$2,$D218,$D218-($D218-$I$211)*MIN(I$3-$O$2,$Q$2)/$Q$2))</f>
        <v>2664.5939495822</v>
      </c>
      <c r="J218" s="15" t="n">
        <f aca="false">I218*(1+IF(J$3&lt;=$O$2,$D218,$D218-($D218-$I$211)*MIN(J$3-$O$2,$Q$2)/$Q$2))</f>
        <v>2760.27951831169</v>
      </c>
      <c r="K218" s="15" t="n">
        <f aca="false">J218*(1+IF(K$3&lt;=$O$2,$D218,$D218-($D218-$I$211)*MIN(K$3-$O$2,$Q$2)/$Q$2))</f>
        <v>2850.69937463279</v>
      </c>
      <c r="L218" s="15" t="n">
        <f aca="false">K218*(1+IF(L$3&lt;=$O$2,$D218,$D218-($D218-$I$211)*MIN(L$3-$O$2,$Q$2)/$Q$2))</f>
        <v>2935.09432961879</v>
      </c>
      <c r="M218" s="15" t="n">
        <f aca="false">L218*(1+IF(M$3&lt;=$O$2,$D218,$D218-($D218-$I$211)*MIN(M$3-$O$2,$Q$2)/$Q$2))</f>
        <v>3012.73491237303</v>
      </c>
      <c r="N218" s="15" t="n">
        <f aca="false">M218*(1+IF(N$3&lt;=$O$2,$D218,$D218-($D218-$I$211)*MIN(N$3-$O$2,$Q$2)/$Q$2))</f>
        <v>3082.93163583132</v>
      </c>
      <c r="O218" s="15" t="n">
        <f aca="false">SUMPRODUCT(E218:N218,1/(1+$F$211)^$E$3:$N$3)*$E$2</f>
        <v>9513.34597040453</v>
      </c>
      <c r="P218" s="15" t="n">
        <f aca="false">N218*$E$2*(1+$I$211)/($F$211-$I$211)/(1+$F$211)^$N$3</f>
        <v>16356.7692379867</v>
      </c>
      <c r="Q218" s="15" t="n">
        <f aca="false">O218+P218</f>
        <v>25870.1152083913</v>
      </c>
      <c r="R218" s="15" t="n">
        <f aca="false">Q218-$G$2+$I$2</f>
        <v>27779.7752083913</v>
      </c>
      <c r="S218" s="42" t="n">
        <f aca="false">R218/$K$2</f>
        <v>118.701769894421</v>
      </c>
      <c r="T218" s="43" t="n">
        <f aca="false">S218-$M$2</f>
        <v>8.71587065073393</v>
      </c>
    </row>
    <row r="219" customFormat="false" ht="15" hidden="false" customHeight="false" outlineLevel="0" collapsed="false">
      <c r="A219" s="5" t="n">
        <v>7</v>
      </c>
      <c r="B219" s="25" t="n">
        <f aca="false">IF(T218&gt;0,B218,D218)</f>
        <v>0.015625</v>
      </c>
      <c r="C219" s="25" t="n">
        <f aca="false">IF(T218&gt;0,D218,C218)</f>
        <v>0.0390625</v>
      </c>
      <c r="D219" s="41" t="n">
        <f aca="false">(B219+C219)/2</f>
        <v>0.02734375</v>
      </c>
      <c r="E219" s="15" t="n">
        <f aca="false">$C$2*(1+IF(E$3&lt;=$O$2,$D219,$D219-($D219-$I$211)*MIN(E$3-$O$2,$Q$2)/$Q$2))</f>
        <v>2260.15625</v>
      </c>
      <c r="F219" s="15" t="n">
        <f aca="false">E219*(1+IF(F$3&lt;=$O$2,$D219,$D219-($D219-$I$211)*MIN(F$3-$O$2,$Q$2)/$Q$2))</f>
        <v>2321.95739746094</v>
      </c>
      <c r="G219" s="15" t="n">
        <f aca="false">F219*(1+IF(G$3&lt;=$O$2,$D219,$D219-($D219-$I$211)*MIN(G$3-$O$2,$Q$2)/$Q$2))</f>
        <v>2385.44842004776</v>
      </c>
      <c r="H219" s="15" t="n">
        <f aca="false">G219*(1+IF(H$3&lt;=$O$2,$D219,$D219-($D219-$I$211)*MIN(H$3-$O$2,$Q$2)/$Q$2))</f>
        <v>2450.67552528344</v>
      </c>
      <c r="I219" s="15" t="n">
        <f aca="false">H219*(1+IF(I$3&lt;=$O$2,$D219,$D219-($D219-$I$211)*MIN(I$3-$O$2,$Q$2)/$Q$2))</f>
        <v>2517.68618417791</v>
      </c>
      <c r="J219" s="15" t="n">
        <f aca="false">I219*(1+IF(J$3&lt;=$O$2,$D219,$D219-($D219-$I$211)*MIN(J$3-$O$2,$Q$2)/$Q$2))</f>
        <v>2584.49298707507</v>
      </c>
      <c r="K219" s="15" t="n">
        <f aca="false">J219*(1+IF(K$3&lt;=$O$2,$D219,$D219-($D219-$I$211)*MIN(K$3-$O$2,$Q$2)/$Q$2))</f>
        <v>2650.98229978381</v>
      </c>
      <c r="L219" s="15" t="n">
        <f aca="false">K219*(1+IF(L$3&lt;=$O$2,$D219,$D219-($D219-$I$211)*MIN(L$3-$O$2,$Q$2)/$Q$2))</f>
        <v>2717.03815123867</v>
      </c>
      <c r="M219" s="15" t="n">
        <f aca="false">L219*(1+IF(M$3&lt;=$O$2,$D219,$D219-($D219-$I$211)*MIN(M$3-$O$2,$Q$2)/$Q$2))</f>
        <v>2782.54254476735</v>
      </c>
      <c r="N219" s="15" t="n">
        <f aca="false">M219*(1+IF(N$3&lt;=$O$2,$D219,$D219-($D219-$I$211)*MIN(N$3-$O$2,$Q$2)/$Q$2))</f>
        <v>2847.37578606043</v>
      </c>
      <c r="O219" s="15" t="n">
        <f aca="false">SUMPRODUCT(E219:N219,1/(1+$F$211)^$E$3:$N$3)*$E$2</f>
        <v>9032.91962125578</v>
      </c>
      <c r="P219" s="15" t="n">
        <f aca="false">N219*$E$2*(1+$I$211)/($F$211-$I$211)/(1+$F$211)^$N$3</f>
        <v>15107.0066313237</v>
      </c>
      <c r="Q219" s="15" t="n">
        <f aca="false">O219+P219</f>
        <v>24139.9262525795</v>
      </c>
      <c r="R219" s="15" t="n">
        <f aca="false">Q219-$G$2+$I$2</f>
        <v>26049.5862525795</v>
      </c>
      <c r="S219" s="42" t="n">
        <f aca="false">R219/$K$2</f>
        <v>111.308747821132</v>
      </c>
      <c r="T219" s="43" t="n">
        <f aca="false">S219-$M$2</f>
        <v>1.32284857744521</v>
      </c>
    </row>
    <row r="220" customFormat="false" ht="15" hidden="false" customHeight="false" outlineLevel="0" collapsed="false">
      <c r="A220" s="5" t="n">
        <v>8</v>
      </c>
      <c r="B220" s="25" t="n">
        <f aca="false">IF(T219&gt;0,B219,D219)</f>
        <v>0.015625</v>
      </c>
      <c r="C220" s="25" t="n">
        <f aca="false">IF(T219&gt;0,D219,C219)</f>
        <v>0.02734375</v>
      </c>
      <c r="D220" s="41" t="n">
        <f aca="false">(B220+C220)/2</f>
        <v>0.021484375</v>
      </c>
      <c r="E220" s="15" t="n">
        <f aca="false">$C$2*(1+IF(E$3&lt;=$O$2,$D220,$D220-($D220-$I$211)*MIN(E$3-$O$2,$Q$2)/$Q$2))</f>
        <v>2247.265625</v>
      </c>
      <c r="F220" s="15" t="n">
        <f aca="false">E220*(1+IF(F$3&lt;=$O$2,$D220,$D220-($D220-$I$211)*MIN(F$3-$O$2,$Q$2)/$Q$2))</f>
        <v>2295.54672241211</v>
      </c>
      <c r="G220" s="15" t="n">
        <f aca="false">F220*(1+IF(G$3&lt;=$O$2,$D220,$D220-($D220-$I$211)*MIN(G$3-$O$2,$Q$2)/$Q$2))</f>
        <v>2344.86510902643</v>
      </c>
      <c r="H220" s="15" t="n">
        <f aca="false">G220*(1+IF(H$3&lt;=$O$2,$D220,$D220-($D220-$I$211)*MIN(H$3-$O$2,$Q$2)/$Q$2))</f>
        <v>2395.24307035317</v>
      </c>
      <c r="I220" s="15" t="n">
        <f aca="false">H220*(1+IF(I$3&lt;=$O$2,$D220,$D220-($D220-$I$211)*MIN(I$3-$O$2,$Q$2)/$Q$2))</f>
        <v>2446.70337069279</v>
      </c>
      <c r="J220" s="15" t="n">
        <f aca="false">I220*(1+IF(J$3&lt;=$O$2,$D220,$D220-($D220-$I$211)*MIN(J$3-$O$2,$Q$2)/$Q$2))</f>
        <v>2500.157722584</v>
      </c>
      <c r="K220" s="15" t="n">
        <f aca="false">J220*(1+IF(K$3&lt;=$O$2,$D220,$D220-($D220-$I$211)*MIN(K$3-$O$2,$Q$2)/$Q$2))</f>
        <v>2555.68778820117</v>
      </c>
      <c r="L220" s="15" t="n">
        <f aca="false">K220*(1+IF(L$3&lt;=$O$2,$D220,$D220-($D220-$I$211)*MIN(L$3-$O$2,$Q$2)/$Q$2))</f>
        <v>2613.37924541008</v>
      </c>
      <c r="M220" s="15" t="n">
        <f aca="false">L220*(1+IF(M$3&lt;=$O$2,$D220,$D220-($D220-$I$211)*MIN(M$3-$O$2,$Q$2)/$Q$2))</f>
        <v>2673.32199848964</v>
      </c>
      <c r="N220" s="15" t="n">
        <f aca="false">M220*(1+IF(N$3&lt;=$O$2,$D220,$D220-($D220-$I$211)*MIN(N$3-$O$2,$Q$2)/$Q$2))</f>
        <v>2735.61040105445</v>
      </c>
      <c r="O220" s="15" t="n">
        <f aca="false">SUMPRODUCT(E220:N220,1/(1+$F$211)^$E$3:$N$3)*$E$2</f>
        <v>8801.96875240745</v>
      </c>
      <c r="P220" s="15" t="n">
        <f aca="false">N220*$E$2*(1+$I$211)/($F$211-$I$211)/(1+$F$211)^$N$3</f>
        <v>14514.0253955123</v>
      </c>
      <c r="Q220" s="15" t="n">
        <f aca="false">O220+P220</f>
        <v>23315.9941479197</v>
      </c>
      <c r="R220" s="15" t="n">
        <f aca="false">Q220-$G$2+$I$2</f>
        <v>25225.6541479197</v>
      </c>
      <c r="S220" s="42" t="n">
        <f aca="false">R220/$K$2</f>
        <v>107.7881218131</v>
      </c>
      <c r="T220" s="43" t="n">
        <f aca="false">S220-$M$2</f>
        <v>-2.19777743058707</v>
      </c>
    </row>
    <row r="221" customFormat="false" ht="15" hidden="false" customHeight="false" outlineLevel="0" collapsed="false">
      <c r="A221" s="5" t="n">
        <v>9</v>
      </c>
      <c r="B221" s="25" t="n">
        <f aca="false">IF(T220&gt;0,B220,D220)</f>
        <v>0.021484375</v>
      </c>
      <c r="C221" s="25" t="n">
        <f aca="false">IF(T220&gt;0,D220,C220)</f>
        <v>0.02734375</v>
      </c>
      <c r="D221" s="41" t="n">
        <f aca="false">(B221+C221)/2</f>
        <v>0.0244140625</v>
      </c>
      <c r="E221" s="15" t="n">
        <f aca="false">$C$2*(1+IF(E$3&lt;=$O$2,$D221,$D221-($D221-$I$211)*MIN(E$3-$O$2,$Q$2)/$Q$2))</f>
        <v>2253.7109375</v>
      </c>
      <c r="F221" s="15" t="n">
        <f aca="false">E221*(1+IF(F$3&lt;=$O$2,$D221,$D221-($D221-$I$211)*MIN(F$3-$O$2,$Q$2)/$Q$2))</f>
        <v>2308.73317718506</v>
      </c>
      <c r="G221" s="15" t="n">
        <f aca="false">F221*(1+IF(G$3&lt;=$O$2,$D221,$D221-($D221-$I$211)*MIN(G$3-$O$2,$Q$2)/$Q$2))</f>
        <v>2365.09873326868</v>
      </c>
      <c r="H221" s="15" t="n">
        <f aca="false">G221*(1+IF(H$3&lt;=$O$2,$D221,$D221-($D221-$I$211)*MIN(H$3-$O$2,$Q$2)/$Q$2))</f>
        <v>2422.84040156137</v>
      </c>
      <c r="I221" s="15" t="n">
        <f aca="false">H221*(1+IF(I$3&lt;=$O$2,$D221,$D221-($D221-$I$211)*MIN(I$3-$O$2,$Q$2)/$Q$2))</f>
        <v>2481.99177855262</v>
      </c>
      <c r="J221" s="15" t="n">
        <f aca="false">I221*(1+IF(J$3&lt;=$O$2,$D221,$D221-($D221-$I$211)*MIN(J$3-$O$2,$Q$2)/$Q$2))</f>
        <v>2542.03426216553</v>
      </c>
      <c r="K221" s="15" t="n">
        <f aca="false">J221*(1+IF(K$3&lt;=$O$2,$D221,$D221-($D221-$I$211)*MIN(K$3-$O$2,$Q$2)/$Q$2))</f>
        <v>2602.9628515011</v>
      </c>
      <c r="L221" s="15" t="n">
        <f aca="false">K221*(1+IF(L$3&lt;=$O$2,$D221,$D221-($D221-$I$211)*MIN(L$3-$O$2,$Q$2)/$Q$2))</f>
        <v>2664.77183126178</v>
      </c>
      <c r="M221" s="15" t="n">
        <f aca="false">L221*(1+IF(M$3&lt;=$O$2,$D221,$D221-($D221-$I$211)*MIN(M$3-$O$2,$Q$2)/$Q$2))</f>
        <v>2727.45475940383</v>
      </c>
      <c r="N221" s="15" t="n">
        <f aca="false">M221*(1+IF(N$3&lt;=$O$2,$D221,$D221-($D221-$I$211)*MIN(N$3-$O$2,$Q$2)/$Q$2))</f>
        <v>2791.00445529794</v>
      </c>
      <c r="O221" s="15" t="n">
        <f aca="false">SUMPRODUCT(E221:N221,1/(1+$F$211)^$E$3:$N$3)*$E$2</f>
        <v>8916.68801572889</v>
      </c>
      <c r="P221" s="15" t="n">
        <f aca="false">N221*$E$2*(1+$I$211)/($F$211-$I$211)/(1+$F$211)^$N$3</f>
        <v>14807.9234994749</v>
      </c>
      <c r="Q221" s="15" t="n">
        <f aca="false">O221+P221</f>
        <v>23724.6115152038</v>
      </c>
      <c r="R221" s="15" t="n">
        <f aca="false">Q221-$G$2+$I$2</f>
        <v>25634.2715152038</v>
      </c>
      <c r="S221" s="42" t="n">
        <f aca="false">R221/$K$2</f>
        <v>109.534126031722</v>
      </c>
      <c r="T221" s="43" t="n">
        <f aca="false">S221-$M$2</f>
        <v>-0.451773211965204</v>
      </c>
    </row>
    <row r="222" customFormat="false" ht="15" hidden="false" customHeight="false" outlineLevel="0" collapsed="false">
      <c r="A222" s="5" t="n">
        <v>10</v>
      </c>
      <c r="B222" s="25" t="n">
        <f aca="false">IF(T221&gt;0,B221,D221)</f>
        <v>0.0244140625</v>
      </c>
      <c r="C222" s="25" t="n">
        <f aca="false">IF(T221&gt;0,D221,C221)</f>
        <v>0.02734375</v>
      </c>
      <c r="D222" s="41" t="n">
        <f aca="false">(B222+C222)/2</f>
        <v>0.02587890625</v>
      </c>
      <c r="E222" s="15" t="n">
        <f aca="false">$C$2*(1+IF(E$3&lt;=$O$2,$D222,$D222-($D222-$I$211)*MIN(E$3-$O$2,$Q$2)/$Q$2))</f>
        <v>2256.93359375</v>
      </c>
      <c r="F222" s="15" t="n">
        <f aca="false">E222*(1+IF(F$3&lt;=$O$2,$D222,$D222-($D222-$I$211)*MIN(F$3-$O$2,$Q$2)/$Q$2))</f>
        <v>2315.34056663513</v>
      </c>
      <c r="G222" s="15" t="n">
        <f aca="false">F222*(1+IF(G$3&lt;=$O$2,$D222,$D222-($D222-$I$211)*MIN(G$3-$O$2,$Q$2)/$Q$2))</f>
        <v>2375.2590480959</v>
      </c>
      <c r="H222" s="15" t="n">
        <f aca="false">G222*(1+IF(H$3&lt;=$O$2,$D222,$D222-($D222-$I$211)*MIN(H$3-$O$2,$Q$2)/$Q$2))</f>
        <v>2436.72815432104</v>
      </c>
      <c r="I222" s="15" t="n">
        <f aca="false">H222*(1+IF(I$3&lt;=$O$2,$D222,$D222-($D222-$I$211)*MIN(I$3-$O$2,$Q$2)/$Q$2))</f>
        <v>2499.78801378345</v>
      </c>
      <c r="J222" s="15" t="n">
        <f aca="false">I222*(1+IF(J$3&lt;=$O$2,$D222,$D222-($D222-$I$211)*MIN(J$3-$O$2,$Q$2)/$Q$2))</f>
        <v>2563.19044965054</v>
      </c>
      <c r="K222" s="15" t="n">
        <f aca="false">J222*(1+IF(K$3&lt;=$O$2,$D222,$D222-($D222-$I$211)*MIN(K$3-$O$2,$Q$2)/$Q$2))</f>
        <v>2626.87892384973</v>
      </c>
      <c r="L222" s="15" t="n">
        <f aca="false">K222*(1+IF(L$3&lt;=$O$2,$D222,$D222-($D222-$I$211)*MIN(L$3-$O$2,$Q$2)/$Q$2))</f>
        <v>2690.79499256531</v>
      </c>
      <c r="M222" s="15" t="n">
        <f aca="false">L222*(1+IF(M$3&lt;=$O$2,$D222,$D222-($D222-$I$211)*MIN(M$3-$O$2,$Q$2)/$Q$2))</f>
        <v>2754.87837749684</v>
      </c>
      <c r="N222" s="15" t="n">
        <f aca="false">M222*(1+IF(N$3&lt;=$O$2,$D222,$D222-($D222-$I$211)*MIN(N$3-$O$2,$Q$2)/$Q$2))</f>
        <v>2819.06704369252</v>
      </c>
      <c r="O222" s="15" t="n">
        <f aca="false">SUMPRODUCT(E222:N222,1/(1+$F$211)^$E$3:$N$3)*$E$2</f>
        <v>8974.61361323221</v>
      </c>
      <c r="P222" s="15" t="n">
        <f aca="false">N222*$E$2*(1+$I$211)/($F$211-$I$211)/(1+$F$211)^$N$3</f>
        <v>14956.8120694503</v>
      </c>
      <c r="Q222" s="15" t="n">
        <f aca="false">O222+P222</f>
        <v>23931.4256826825</v>
      </c>
      <c r="R222" s="15" t="n">
        <f aca="false">Q222-$G$2+$I$2</f>
        <v>25841.0856826825</v>
      </c>
      <c r="S222" s="42" t="n">
        <f aca="false">R222/$K$2</f>
        <v>110.417833964374</v>
      </c>
      <c r="T222" s="43" t="n">
        <f aca="false">S222-$M$2</f>
        <v>0.43193472068738</v>
      </c>
    </row>
    <row r="223" customFormat="false" ht="15" hidden="false" customHeight="false" outlineLevel="0" collapsed="false">
      <c r="A223" s="5" t="n">
        <v>11</v>
      </c>
      <c r="B223" s="25" t="n">
        <f aca="false">IF(T222&gt;0,B222,D222)</f>
        <v>0.0244140625</v>
      </c>
      <c r="C223" s="25" t="n">
        <f aca="false">IF(T222&gt;0,D222,C222)</f>
        <v>0.02587890625</v>
      </c>
      <c r="D223" s="41" t="n">
        <f aca="false">(B223+C223)/2</f>
        <v>0.025146484375</v>
      </c>
      <c r="E223" s="15" t="n">
        <f aca="false">$C$2*(1+IF(E$3&lt;=$O$2,$D223,$D223-($D223-$I$211)*MIN(E$3-$O$2,$Q$2)/$Q$2))</f>
        <v>2255.322265625</v>
      </c>
      <c r="F223" s="15" t="n">
        <f aca="false">E223*(1+IF(F$3&lt;=$O$2,$D223,$D223-($D223-$I$211)*MIN(F$3-$O$2,$Q$2)/$Q$2))</f>
        <v>2312.03569173813</v>
      </c>
      <c r="G223" s="15" t="n">
        <f aca="false">F223*(1+IF(G$3&lt;=$O$2,$D223,$D223-($D223-$I$211)*MIN(G$3-$O$2,$Q$2)/$Q$2))</f>
        <v>2370.17526113486</v>
      </c>
      <c r="H223" s="15" t="n">
        <f aca="false">G223*(1+IF(H$3&lt;=$O$2,$D223,$D223-($D223-$I$211)*MIN(H$3-$O$2,$Q$2)/$Q$2))</f>
        <v>2429.776836305</v>
      </c>
      <c r="I223" s="15" t="n">
        <f aca="false">H223*(1+IF(I$3&lt;=$O$2,$D223,$D223-($D223-$I$211)*MIN(I$3-$O$2,$Q$2)/$Q$2))</f>
        <v>2490.87718155388</v>
      </c>
      <c r="J223" s="15" t="n">
        <f aca="false">I223*(1+IF(J$3&lt;=$O$2,$D223,$D223-($D223-$I$211)*MIN(J$3-$O$2,$Q$2)/$Q$2))</f>
        <v>2552.59411252072</v>
      </c>
      <c r="K223" s="15" t="n">
        <f aca="false">J223*(1+IF(K$3&lt;=$O$2,$D223,$D223-($D223-$I$211)*MIN(K$3-$O$2,$Q$2)/$Q$2))</f>
        <v>2614.89755042914</v>
      </c>
      <c r="L223" s="15" t="n">
        <f aca="false">K223*(1+IF(L$3&lt;=$O$2,$D223,$D223-($D223-$I$211)*MIN(L$3-$O$2,$Q$2)/$Q$2))</f>
        <v>2677.75601034178</v>
      </c>
      <c r="M223" s="15" t="n">
        <f aca="false">L223*(1+IF(M$3&lt;=$O$2,$D223,$D223-($D223-$I$211)*MIN(M$3-$O$2,$Q$2)/$Q$2))</f>
        <v>2741.13661230937</v>
      </c>
      <c r="N223" s="15" t="n">
        <f aca="false">M223*(1+IF(N$3&lt;=$O$2,$D223,$D223-($D223-$I$211)*MIN(N$3-$O$2,$Q$2)/$Q$2))</f>
        <v>2805.00509537618</v>
      </c>
      <c r="O223" s="15" t="n">
        <f aca="false">SUMPRODUCT(E223:N223,1/(1+$F$211)^$E$3:$N$3)*$E$2</f>
        <v>8945.60340896135</v>
      </c>
      <c r="P223" s="15" t="n">
        <f aca="false">N223*$E$2*(1+$I$211)/($F$211-$I$211)/(1+$F$211)^$N$3</f>
        <v>14882.2051462952</v>
      </c>
      <c r="Q223" s="15" t="n">
        <f aca="false">O223+P223</f>
        <v>23827.8085552565</v>
      </c>
      <c r="R223" s="15" t="n">
        <f aca="false">Q223-$G$2+$I$2</f>
        <v>25737.4685552565</v>
      </c>
      <c r="S223" s="42" t="n">
        <f aca="false">R223/$K$2</f>
        <v>109.975082490521</v>
      </c>
      <c r="T223" s="43" t="n">
        <f aca="false">S223-$M$2</f>
        <v>-0.0108167531661252</v>
      </c>
    </row>
    <row r="224" customFormat="false" ht="15" hidden="false" customHeight="false" outlineLevel="0" collapsed="false">
      <c r="A224" s="5" t="n">
        <v>12</v>
      </c>
      <c r="B224" s="25" t="n">
        <f aca="false">IF(T223&gt;0,B223,D223)</f>
        <v>0.025146484375</v>
      </c>
      <c r="C224" s="25" t="n">
        <f aca="false">IF(T223&gt;0,D223,C223)</f>
        <v>0.02587890625</v>
      </c>
      <c r="D224" s="41" t="n">
        <f aca="false">(B224+C224)/2</f>
        <v>0.0255126953125</v>
      </c>
      <c r="E224" s="15" t="n">
        <f aca="false">$C$2*(1+IF(E$3&lt;=$O$2,$D224,$D224-($D224-$I$211)*MIN(E$3-$O$2,$Q$2)/$Q$2))</f>
        <v>2256.1279296875</v>
      </c>
      <c r="F224" s="15" t="n">
        <f aca="false">E224*(1+IF(F$3&lt;=$O$2,$D224,$D224-($D224-$I$211)*MIN(F$3-$O$2,$Q$2)/$Q$2))</f>
        <v>2313.68783414364</v>
      </c>
      <c r="G224" s="15" t="n">
        <f aca="false">F224*(1+IF(G$3&lt;=$O$2,$D224,$D224-($D224-$I$211)*MIN(G$3-$O$2,$Q$2)/$Q$2))</f>
        <v>2372.71624690438</v>
      </c>
      <c r="H224" s="15" t="n">
        <f aca="false">G224*(1+IF(H$3&lt;=$O$2,$D224,$D224-($D224-$I$211)*MIN(H$3-$O$2,$Q$2)/$Q$2))</f>
        <v>2433.25063357467</v>
      </c>
      <c r="I224" s="15" t="n">
        <f aca="false">H224*(1+IF(I$3&lt;=$O$2,$D224,$D224-($D224-$I$211)*MIN(I$3-$O$2,$Q$2)/$Q$2))</f>
        <v>2495.32941560801</v>
      </c>
      <c r="J224" s="15" t="n">
        <f aca="false">I224*(1+IF(J$3&lt;=$O$2,$D224,$D224-($D224-$I$211)*MIN(J$3-$O$2,$Q$2)/$Q$2))</f>
        <v>2557.88771395253</v>
      </c>
      <c r="K224" s="15" t="n">
        <f aca="false">J224*(1+IF(K$3&lt;=$O$2,$D224,$D224-($D224-$I$211)*MIN(K$3-$O$2,$Q$2)/$Q$2))</f>
        <v>2620.88239338036</v>
      </c>
      <c r="L224" s="15" t="n">
        <f aca="false">K224*(1+IF(L$3&lt;=$O$2,$D224,$D224-($D224-$I$211)*MIN(L$3-$O$2,$Q$2)/$Q$2))</f>
        <v>2684.2686388207</v>
      </c>
      <c r="M224" s="15" t="n">
        <f aca="false">L224*(1+IF(M$3&lt;=$O$2,$D224,$D224-($D224-$I$211)*MIN(M$3-$O$2,$Q$2)/$Q$2))</f>
        <v>2747.99999183214</v>
      </c>
      <c r="N224" s="15" t="n">
        <f aca="false">M224*(1+IF(N$3&lt;=$O$2,$D224,$D224-($D224-$I$211)*MIN(N$3-$O$2,$Q$2)/$Q$2))</f>
        <v>2812.02839164183</v>
      </c>
      <c r="O224" s="15" t="n">
        <f aca="false">SUMPRODUCT(E224:N224,1/(1+$F$211)^$E$3:$N$3)*$E$2</f>
        <v>8960.0966415229</v>
      </c>
      <c r="P224" s="15" t="n">
        <f aca="false">N224*$E$2*(1+$I$211)/($F$211-$I$211)/(1+$F$211)^$N$3</f>
        <v>14919.467872128</v>
      </c>
      <c r="Q224" s="15" t="n">
        <f aca="false">O224+P224</f>
        <v>23879.5645136509</v>
      </c>
      <c r="R224" s="15" t="n">
        <f aca="false">Q224-$G$2+$I$2</f>
        <v>25789.2245136509</v>
      </c>
      <c r="S224" s="42" t="n">
        <f aca="false">R224/$K$2</f>
        <v>110.196233447211</v>
      </c>
      <c r="T224" s="43" t="n">
        <f aca="false">S224-$M$2</f>
        <v>0.210334203524695</v>
      </c>
    </row>
    <row r="225" customFormat="false" ht="15" hidden="false" customHeight="false" outlineLevel="0" collapsed="false">
      <c r="A225" s="5" t="n">
        <v>13</v>
      </c>
      <c r="B225" s="25" t="n">
        <f aca="false">IF(T224&gt;0,B224,D224)</f>
        <v>0.025146484375</v>
      </c>
      <c r="C225" s="25" t="n">
        <f aca="false">IF(T224&gt;0,D224,C224)</f>
        <v>0.0255126953125</v>
      </c>
      <c r="D225" s="41" t="n">
        <f aca="false">(B225+C225)/2</f>
        <v>0.02532958984375</v>
      </c>
      <c r="E225" s="15" t="n">
        <f aca="false">$C$2*(1+IF(E$3&lt;=$O$2,$D225,$D225-($D225-$I$211)*MIN(E$3-$O$2,$Q$2)/$Q$2))</f>
        <v>2255.72509765625</v>
      </c>
      <c r="F225" s="15" t="n">
        <f aca="false">E225*(1+IF(F$3&lt;=$O$2,$D225,$D225-($D225-$I$211)*MIN(F$3-$O$2,$Q$2)/$Q$2))</f>
        <v>2312.86168918014</v>
      </c>
      <c r="G225" s="15" t="n">
        <f aca="false">F225*(1+IF(G$3&lt;=$O$2,$D225,$D225-($D225-$I$211)*MIN(G$3-$O$2,$Q$2)/$Q$2))</f>
        <v>2371.44552713239</v>
      </c>
      <c r="H225" s="15" t="n">
        <f aca="false">G225*(1+IF(H$3&lt;=$O$2,$D225,$D225-($D225-$I$211)*MIN(H$3-$O$2,$Q$2)/$Q$2))</f>
        <v>2431.51326967145</v>
      </c>
      <c r="I225" s="15" t="n">
        <f aca="false">H225*(1+IF(I$3&lt;=$O$2,$D225,$D225-($D225-$I$211)*MIN(I$3-$O$2,$Q$2)/$Q$2))</f>
        <v>2493.10250349186</v>
      </c>
      <c r="J225" s="15" t="n">
        <f aca="false">I225*(1+IF(J$3&lt;=$O$2,$D225,$D225-($D225-$I$211)*MIN(J$3-$O$2,$Q$2)/$Q$2))</f>
        <v>2555.23977223964</v>
      </c>
      <c r="K225" s="15" t="n">
        <f aca="false">J225*(1+IF(K$3&lt;=$O$2,$D225,$D225-($D225-$I$211)*MIN(K$3-$O$2,$Q$2)/$Q$2))</f>
        <v>2617.88851214687</v>
      </c>
      <c r="L225" s="15" t="n">
        <f aca="false">K225*(1+IF(L$3&lt;=$O$2,$D225,$D225-($D225-$I$211)*MIN(L$3-$O$2,$Q$2)/$Q$2))</f>
        <v>2681.01061045442</v>
      </c>
      <c r="M225" s="15" t="n">
        <f aca="false">L225*(1+IF(M$3&lt;=$O$2,$D225,$D225-($D225-$I$211)*MIN(M$3-$O$2,$Q$2)/$Q$2))</f>
        <v>2744.5664280592</v>
      </c>
      <c r="N225" s="15" t="n">
        <f aca="false">M225*(1+IF(N$3&lt;=$O$2,$D225,$D225-($D225-$I$211)*MIN(N$3-$O$2,$Q$2)/$Q$2))</f>
        <v>2808.51482583298</v>
      </c>
      <c r="O225" s="15" t="n">
        <f aca="false">SUMPRODUCT(E225:N225,1/(1+$F$211)^$E$3:$N$3)*$E$2</f>
        <v>8952.84706012482</v>
      </c>
      <c r="P225" s="15" t="n">
        <f aca="false">N225*$E$2*(1+$I$211)/($F$211-$I$211)/(1+$F$211)^$N$3</f>
        <v>14900.8263348101</v>
      </c>
      <c r="Q225" s="15" t="n">
        <f aca="false">O225+P225</f>
        <v>23853.6733949349</v>
      </c>
      <c r="R225" s="15" t="n">
        <f aca="false">Q225-$G$2+$I$2</f>
        <v>25763.3333949349</v>
      </c>
      <c r="S225" s="42" t="n">
        <f aca="false">R225/$K$2</f>
        <v>110.085601824274</v>
      </c>
      <c r="T225" s="43" t="n">
        <f aca="false">S225-$M$2</f>
        <v>0.0997025805876035</v>
      </c>
    </row>
    <row r="226" customFormat="false" ht="15" hidden="false" customHeight="false" outlineLevel="0" collapsed="false">
      <c r="A226" s="5" t="n">
        <v>14</v>
      </c>
      <c r="B226" s="25" t="n">
        <f aca="false">IF(T225&gt;0,B225,D225)</f>
        <v>0.025146484375</v>
      </c>
      <c r="C226" s="25" t="n">
        <f aca="false">IF(T225&gt;0,D225,C225)</f>
        <v>0.02532958984375</v>
      </c>
      <c r="D226" s="41" t="n">
        <f aca="false">(B226+C226)/2</f>
        <v>0.025238037109375</v>
      </c>
      <c r="E226" s="15" t="n">
        <f aca="false">$C$2*(1+IF(E$3&lt;=$O$2,$D226,$D226-($D226-$I$211)*MIN(E$3-$O$2,$Q$2)/$Q$2))</f>
        <v>2255.52368164063</v>
      </c>
      <c r="F226" s="15" t="n">
        <f aca="false">E226*(1+IF(F$3&lt;=$O$2,$D226,$D226-($D226-$I$211)*MIN(F$3-$O$2,$Q$2)/$Q$2))</f>
        <v>2312.44867201895</v>
      </c>
      <c r="G226" s="15" t="n">
        <f aca="false">F226*(1+IF(G$3&lt;=$O$2,$D226,$D226-($D226-$I$211)*MIN(G$3-$O$2,$Q$2)/$Q$2))</f>
        <v>2370.81033741688</v>
      </c>
      <c r="H226" s="15" t="n">
        <f aca="false">G226*(1+IF(H$3&lt;=$O$2,$D226,$D226-($D226-$I$211)*MIN(H$3-$O$2,$Q$2)/$Q$2))</f>
        <v>2430.6449366919</v>
      </c>
      <c r="I226" s="15" t="n">
        <f aca="false">H226*(1+IF(I$3&lt;=$O$2,$D226,$D226-($D226-$I$211)*MIN(I$3-$O$2,$Q$2)/$Q$2))</f>
        <v>2491.98964380385</v>
      </c>
      <c r="J226" s="15" t="n">
        <f aca="false">I226*(1+IF(J$3&lt;=$O$2,$D226,$D226-($D226-$I$211)*MIN(J$3-$O$2,$Q$2)/$Q$2))</f>
        <v>2553.91665722917</v>
      </c>
      <c r="K226" s="15" t="n">
        <f aca="false">J226*(1+IF(K$3&lt;=$O$2,$D226,$D226-($D226-$I$211)*MIN(K$3-$O$2,$Q$2)/$Q$2))</f>
        <v>2616.39266649619</v>
      </c>
      <c r="L226" s="15" t="n">
        <f aca="false">K226*(1+IF(L$3&lt;=$O$2,$D226,$D226-($D226-$I$211)*MIN(L$3-$O$2,$Q$2)/$Q$2))</f>
        <v>2679.3828820577</v>
      </c>
      <c r="M226" s="15" t="n">
        <f aca="false">L226*(1+IF(M$3&lt;=$O$2,$D226,$D226-($D226-$I$211)*MIN(M$3-$O$2,$Q$2)/$Q$2))</f>
        <v>2742.85105190077</v>
      </c>
      <c r="N226" s="15" t="n">
        <f aca="false">M226*(1+IF(N$3&lt;=$O$2,$D226,$D226-($D226-$I$211)*MIN(N$3-$O$2,$Q$2)/$Q$2))</f>
        <v>2806.75948141006</v>
      </c>
      <c r="O226" s="15" t="n">
        <f aca="false">SUMPRODUCT(E226:N226,1/(1+$F$211)^$E$3:$N$3)*$E$2</f>
        <v>8949.22449354811</v>
      </c>
      <c r="P226" s="15" t="n">
        <f aca="false">N226*$E$2*(1+$I$211)/($F$211-$I$211)/(1+$F$211)^$N$3</f>
        <v>14891.5131981433</v>
      </c>
      <c r="Q226" s="15" t="n">
        <f aca="false">O226+P226</f>
        <v>23840.7376916914</v>
      </c>
      <c r="R226" s="15" t="n">
        <f aca="false">Q226-$G$2+$I$2</f>
        <v>25750.3976916914</v>
      </c>
      <c r="S226" s="42" t="n">
        <f aca="false">R226/$K$2</f>
        <v>110.030328127554</v>
      </c>
      <c r="T226" s="43" t="n">
        <f aca="false">S226-$M$2</f>
        <v>0.0444288838669991</v>
      </c>
    </row>
    <row r="227" customFormat="false" ht="15" hidden="false" customHeight="false" outlineLevel="0" collapsed="false">
      <c r="A227" s="5" t="n">
        <v>15</v>
      </c>
      <c r="B227" s="25" t="n">
        <f aca="false">IF(T226&gt;0,B226,D226)</f>
        <v>0.025146484375</v>
      </c>
      <c r="C227" s="25" t="n">
        <f aca="false">IF(T226&gt;0,D226,C226)</f>
        <v>0.025238037109375</v>
      </c>
      <c r="D227" s="41" t="n">
        <f aca="false">(B227+C227)/2</f>
        <v>0.0251922607421875</v>
      </c>
      <c r="E227" s="15" t="n">
        <f aca="false">$C$2*(1+IF(E$3&lt;=$O$2,$D227,$D227-($D227-$I$211)*MIN(E$3-$O$2,$Q$2)/$Q$2))</f>
        <v>2255.42297363281</v>
      </c>
      <c r="F227" s="15" t="n">
        <f aca="false">E227*(1+IF(F$3&lt;=$O$2,$D227,$D227-($D227-$I$211)*MIN(F$3-$O$2,$Q$2)/$Q$2))</f>
        <v>2312.24217726849</v>
      </c>
      <c r="G227" s="15" t="n">
        <f aca="false">F227*(1+IF(G$3&lt;=$O$2,$D227,$D227-($D227-$I$211)*MIN(G$3-$O$2,$Q$2)/$Q$2))</f>
        <v>2370.49278509732</v>
      </c>
      <c r="H227" s="15" t="n">
        <f aca="false">G227*(1+IF(H$3&lt;=$O$2,$D227,$D227-($D227-$I$211)*MIN(H$3-$O$2,$Q$2)/$Q$2))</f>
        <v>2430.21085742697</v>
      </c>
      <c r="I227" s="15" t="n">
        <f aca="false">H227*(1+IF(I$3&lt;=$O$2,$D227,$D227-($D227-$I$211)*MIN(I$3-$O$2,$Q$2)/$Q$2))</f>
        <v>2491.43336300576</v>
      </c>
      <c r="J227" s="15" t="n">
        <f aca="false">I227*(1+IF(J$3&lt;=$O$2,$D227,$D227-($D227-$I$211)*MIN(J$3-$O$2,$Q$2)/$Q$2))</f>
        <v>2553.25531359947</v>
      </c>
      <c r="K227" s="15" t="n">
        <f aca="false">J227*(1+IF(K$3&lt;=$O$2,$D227,$D227-($D227-$I$211)*MIN(K$3-$O$2,$Q$2)/$Q$2))</f>
        <v>2615.64501728316</v>
      </c>
      <c r="L227" s="15" t="n">
        <f aca="false">K227*(1+IF(L$3&lt;=$O$2,$D227,$D227-($D227-$I$211)*MIN(L$3-$O$2,$Q$2)/$Q$2))</f>
        <v>2678.56933913854</v>
      </c>
      <c r="M227" s="15" t="n">
        <f aca="false">L227*(1+IF(M$3&lt;=$O$2,$D227,$D227-($D227-$I$211)*MIN(M$3-$O$2,$Q$2)/$Q$2))</f>
        <v>2741.9937150616</v>
      </c>
      <c r="N227" s="15" t="n">
        <f aca="false">M227*(1+IF(N$3&lt;=$O$2,$D227,$D227-($D227-$I$211)*MIN(N$3-$O$2,$Q$2)/$Q$2))</f>
        <v>2805.88216862254</v>
      </c>
      <c r="O227" s="15" t="n">
        <f aca="false">SUMPRODUCT(E227:N227,1/(1+$F$211)^$E$3:$N$3)*$E$2</f>
        <v>8947.41376604152</v>
      </c>
      <c r="P227" s="15" t="n">
        <f aca="false">N227*$E$2*(1+$I$211)/($F$211-$I$211)/(1+$F$211)^$N$3</f>
        <v>14886.8585367657</v>
      </c>
      <c r="Q227" s="15" t="n">
        <f aca="false">O227+P227</f>
        <v>23834.2723028072</v>
      </c>
      <c r="R227" s="15" t="n">
        <f aca="false">Q227-$G$2+$I$2</f>
        <v>25743.9323028072</v>
      </c>
      <c r="S227" s="42" t="n">
        <f aca="false">R227/$K$2</f>
        <v>110.002701802364</v>
      </c>
      <c r="T227" s="43" t="n">
        <f aca="false">S227-$M$2</f>
        <v>0.01680255867727</v>
      </c>
    </row>
    <row r="228" customFormat="false" ht="15" hidden="false" customHeight="false" outlineLevel="0" collapsed="false">
      <c r="A228" s="5" t="n">
        <v>16</v>
      </c>
      <c r="B228" s="25" t="n">
        <f aca="false">IF(T227&gt;0,B227,D227)</f>
        <v>0.025146484375</v>
      </c>
      <c r="C228" s="25" t="n">
        <f aca="false">IF(T227&gt;0,D227,C227)</f>
        <v>0.0251922607421875</v>
      </c>
      <c r="D228" s="41" t="n">
        <f aca="false">(B228+C228)/2</f>
        <v>0.0251693725585938</v>
      </c>
      <c r="E228" s="15" t="n">
        <f aca="false">$C$2*(1+IF(E$3&lt;=$O$2,$D228,$D228-($D228-$I$211)*MIN(E$3-$O$2,$Q$2)/$Q$2))</f>
        <v>2255.37261962891</v>
      </c>
      <c r="F228" s="15" t="n">
        <f aca="false">E228*(1+IF(F$3&lt;=$O$2,$D228,$D228-($D228-$I$211)*MIN(F$3-$O$2,$Q$2)/$Q$2))</f>
        <v>2312.1389333508</v>
      </c>
      <c r="G228" s="15" t="n">
        <f aca="false">F228*(1+IF(G$3&lt;=$O$2,$D228,$D228-($D228-$I$211)*MIN(G$3-$O$2,$Q$2)/$Q$2))</f>
        <v>2370.33401957153</v>
      </c>
      <c r="H228" s="15" t="n">
        <f aca="false">G228*(1+IF(H$3&lt;=$O$2,$D228,$D228-($D228-$I$211)*MIN(H$3-$O$2,$Q$2)/$Q$2))</f>
        <v>2429.99383959844</v>
      </c>
      <c r="I228" s="15" t="n">
        <f aca="false">H228*(1+IF(I$3&lt;=$O$2,$D228,$D228-($D228-$I$211)*MIN(I$3-$O$2,$Q$2)/$Q$2))</f>
        <v>2491.15525986238</v>
      </c>
      <c r="J228" s="15" t="n">
        <f aca="false">I228*(1+IF(J$3&lt;=$O$2,$D228,$D228-($D228-$I$211)*MIN(J$3-$O$2,$Q$2)/$Q$2))</f>
        <v>2552.92469524276</v>
      </c>
      <c r="K228" s="15" t="n">
        <f aca="false">J228*(1+IF(K$3&lt;=$O$2,$D228,$D228-($D228-$I$211)*MIN(K$3-$O$2,$Q$2)/$Q$2))</f>
        <v>2615.27126106358</v>
      </c>
      <c r="L228" s="15" t="n">
        <f aca="false">K228*(1+IF(L$3&lt;=$O$2,$D228,$D228-($D228-$I$211)*MIN(L$3-$O$2,$Q$2)/$Q$2))</f>
        <v>2678.16264797785</v>
      </c>
      <c r="M228" s="15" t="n">
        <f aca="false">L228*(1+IF(M$3&lt;=$O$2,$D228,$D228-($D228-$I$211)*MIN(M$3-$O$2,$Q$2)/$Q$2))</f>
        <v>2741.56513442805</v>
      </c>
      <c r="N228" s="15" t="n">
        <f aca="false">M228*(1+IF(N$3&lt;=$O$2,$D228,$D228-($D228-$I$211)*MIN(N$3-$O$2,$Q$2)/$Q$2))</f>
        <v>2805.44360206022</v>
      </c>
      <c r="O228" s="15" t="n">
        <f aca="false">SUMPRODUCT(E228:N228,1/(1+$F$211)^$E$3:$N$3)*$E$2</f>
        <v>8946.50854120258</v>
      </c>
      <c r="P228" s="15" t="n">
        <f aca="false">N228*$E$2*(1+$I$211)/($F$211-$I$211)/(1+$F$211)^$N$3</f>
        <v>14884.5316826857</v>
      </c>
      <c r="Q228" s="15" t="n">
        <f aca="false">O228+P228</f>
        <v>23831.0402238882</v>
      </c>
      <c r="R228" s="15" t="n">
        <f aca="false">Q228-$G$2+$I$2</f>
        <v>25740.7002238882</v>
      </c>
      <c r="S228" s="42" t="n">
        <f aca="false">R228/$K$2</f>
        <v>109.988891269872</v>
      </c>
      <c r="T228" s="43" t="n">
        <f aca="false">S228-$M$2</f>
        <v>0.00299202618572281</v>
      </c>
    </row>
    <row r="229" customFormat="false" ht="15" hidden="false" customHeight="false" outlineLevel="0" collapsed="false">
      <c r="A229" s="5" t="n">
        <v>17</v>
      </c>
      <c r="B229" s="25" t="n">
        <f aca="false">IF(T228&gt;0,B228,D228)</f>
        <v>0.025146484375</v>
      </c>
      <c r="C229" s="25" t="n">
        <f aca="false">IF(T228&gt;0,D228,C228)</f>
        <v>0.0251693725585938</v>
      </c>
      <c r="D229" s="41" t="n">
        <f aca="false">(B229+C229)/2</f>
        <v>0.0251579284667969</v>
      </c>
      <c r="E229" s="15" t="n">
        <f aca="false">$C$2*(1+IF(E$3&lt;=$O$2,$D229,$D229-($D229-$I$211)*MIN(E$3-$O$2,$Q$2)/$Q$2))</f>
        <v>2255.34744262695</v>
      </c>
      <c r="F229" s="15" t="n">
        <f aca="false">E229*(1+IF(F$3&lt;=$O$2,$D229,$D229-($D229-$I$211)*MIN(F$3-$O$2,$Q$2)/$Q$2))</f>
        <v>2312.08731225634</v>
      </c>
      <c r="G229" s="15" t="n">
        <f aca="false">F229*(1+IF(G$3&lt;=$O$2,$D229,$D229-($D229-$I$211)*MIN(G$3-$O$2,$Q$2)/$Q$2))</f>
        <v>2370.25463946707</v>
      </c>
      <c r="H229" s="15" t="n">
        <f aca="false">G229*(1+IF(H$3&lt;=$O$2,$D229,$D229-($D229-$I$211)*MIN(H$3-$O$2,$Q$2)/$Q$2))</f>
        <v>2429.88533613487</v>
      </c>
      <c r="I229" s="15" t="n">
        <f aca="false">H229*(1+IF(I$3&lt;=$O$2,$D229,$D229-($D229-$I$211)*MIN(I$3-$O$2,$Q$2)/$Q$2))</f>
        <v>2491.01621760387</v>
      </c>
      <c r="J229" s="15" t="n">
        <f aca="false">I229*(1+IF(J$3&lt;=$O$2,$D229,$D229-($D229-$I$211)*MIN(J$3-$O$2,$Q$2)/$Q$2))</f>
        <v>2552.7593994276</v>
      </c>
      <c r="K229" s="15" t="n">
        <f aca="false">J229*(1+IF(K$3&lt;=$O$2,$D229,$D229-($D229-$I$211)*MIN(K$3-$O$2,$Q$2)/$Q$2))</f>
        <v>2615.08440004851</v>
      </c>
      <c r="L229" s="15" t="n">
        <f aca="false">K229*(1+IF(L$3&lt;=$O$2,$D229,$D229-($D229-$I$211)*MIN(L$3-$O$2,$Q$2)/$Q$2))</f>
        <v>2677.95932246961</v>
      </c>
      <c r="M229" s="15" t="n">
        <f aca="false">L229*(1+IF(M$3&lt;=$O$2,$D229,$D229-($D229-$I$211)*MIN(M$3-$O$2,$Q$2)/$Q$2))</f>
        <v>2741.35086605478</v>
      </c>
      <c r="N229" s="15" t="n">
        <f aca="false">M229*(1+IF(N$3&lt;=$O$2,$D229,$D229-($D229-$I$211)*MIN(N$3-$O$2,$Q$2)/$Q$2))</f>
        <v>2805.22434123386</v>
      </c>
      <c r="O229" s="15" t="n">
        <f aca="false">SUMPRODUCT(E229:N229,1/(1+$F$211)^$E$3:$N$3)*$E$2</f>
        <v>8946.0559635078</v>
      </c>
      <c r="P229" s="15" t="n">
        <f aca="false">N229*$E$2*(1+$I$211)/($F$211-$I$211)/(1+$F$211)^$N$3</f>
        <v>14883.3683747816</v>
      </c>
      <c r="Q229" s="15" t="n">
        <f aca="false">O229+P229</f>
        <v>23829.4243382894</v>
      </c>
      <c r="R229" s="15" t="n">
        <f aca="false">Q229-$G$2+$I$2</f>
        <v>25739.0843382894</v>
      </c>
      <c r="S229" s="42" t="n">
        <f aca="false">R229/$K$2</f>
        <v>109.981986661066</v>
      </c>
      <c r="T229" s="43" t="n">
        <f aca="false">S229-$M$2</f>
        <v>-0.00391258262033034</v>
      </c>
    </row>
    <row r="230" customFormat="false" ht="15" hidden="false" customHeight="false" outlineLevel="0" collapsed="false">
      <c r="A230" s="5" t="n">
        <v>18</v>
      </c>
      <c r="B230" s="25" t="n">
        <f aca="false">IF(T229&gt;0,B229,D229)</f>
        <v>0.0251579284667969</v>
      </c>
      <c r="C230" s="25" t="n">
        <f aca="false">IF(T229&gt;0,D229,C229)</f>
        <v>0.0251693725585938</v>
      </c>
      <c r="D230" s="41" t="n">
        <f aca="false">(B230+C230)/2</f>
        <v>0.0251636505126953</v>
      </c>
      <c r="E230" s="15" t="n">
        <f aca="false">$C$2*(1+IF(E$3&lt;=$O$2,$D230,$D230-($D230-$I$211)*MIN(E$3-$O$2,$Q$2)/$Q$2))</f>
        <v>2255.36003112793</v>
      </c>
      <c r="F230" s="15" t="n">
        <f aca="false">E230*(1+IF(F$3&lt;=$O$2,$D230,$D230-($D230-$I$211)*MIN(F$3-$O$2,$Q$2)/$Q$2))</f>
        <v>2312.11312273153</v>
      </c>
      <c r="G230" s="15" t="n">
        <f aca="false">F230*(1+IF(G$3&lt;=$O$2,$D230,$D230-($D230-$I$211)*MIN(G$3-$O$2,$Q$2)/$Q$2))</f>
        <v>2370.29432929777</v>
      </c>
      <c r="H230" s="15" t="n">
        <f aca="false">G230*(1+IF(H$3&lt;=$O$2,$D230,$D230-($D230-$I$211)*MIN(H$3-$O$2,$Q$2)/$Q$2))</f>
        <v>2429.93958741244</v>
      </c>
      <c r="I230" s="15" t="n">
        <f aca="false">H230*(1+IF(I$3&lt;=$O$2,$D230,$D230-($D230-$I$211)*MIN(I$3-$O$2,$Q$2)/$Q$2))</f>
        <v>2491.08573795705</v>
      </c>
      <c r="J230" s="15" t="n">
        <f aca="false">I230*(1+IF(J$3&lt;=$O$2,$D230,$D230-($D230-$I$211)*MIN(J$3-$O$2,$Q$2)/$Q$2))</f>
        <v>2552.84204622162</v>
      </c>
      <c r="K230" s="15" t="n">
        <f aca="false">J230*(1+IF(K$3&lt;=$O$2,$D230,$D230-($D230-$I$211)*MIN(K$3-$O$2,$Q$2)/$Q$2))</f>
        <v>2615.17782913154</v>
      </c>
      <c r="L230" s="15" t="n">
        <f aca="false">K230*(1+IF(L$3&lt;=$O$2,$D230,$D230-($D230-$I$211)*MIN(L$3-$O$2,$Q$2)/$Q$2))</f>
        <v>2678.06098355113</v>
      </c>
      <c r="M230" s="15" t="n">
        <f aca="false">L230*(1+IF(M$3&lt;=$O$2,$D230,$D230-($D230-$I$211)*MIN(M$3-$O$2,$Q$2)/$Q$2))</f>
        <v>2741.45799841288</v>
      </c>
      <c r="N230" s="15" t="n">
        <f aca="false">M230*(1+IF(N$3&lt;=$O$2,$D230,$D230-($D230-$I$211)*MIN(N$3-$O$2,$Q$2)/$Q$2))</f>
        <v>2805.3339697759</v>
      </c>
      <c r="O230" s="15" t="n">
        <f aca="false">SUMPRODUCT(E230:N230,1/(1+$F$211)^$E$3:$N$3)*$E$2</f>
        <v>8946.28224946158</v>
      </c>
      <c r="P230" s="15" t="n">
        <f aca="false">N230*$E$2*(1+$I$211)/($F$211-$I$211)/(1+$F$211)^$N$3</f>
        <v>14883.9500188061</v>
      </c>
      <c r="Q230" s="15" t="n">
        <f aca="false">O230+P230</f>
        <v>23830.2322682677</v>
      </c>
      <c r="R230" s="15" t="n">
        <f aca="false">Q230-$G$2+$I$2</f>
        <v>25739.8922682677</v>
      </c>
      <c r="S230" s="42" t="n">
        <f aca="false">R230/$K$2</f>
        <v>109.985438910685</v>
      </c>
      <c r="T230" s="43" t="n">
        <f aca="false">S230-$M$2</f>
        <v>-0.000460333001399249</v>
      </c>
    </row>
    <row r="231" customFormat="false" ht="15" hidden="false" customHeight="false" outlineLevel="0" collapsed="false">
      <c r="A231" s="5" t="n">
        <v>19</v>
      </c>
      <c r="B231" s="25" t="n">
        <f aca="false">IF(T230&gt;0,B230,D230)</f>
        <v>0.0251636505126953</v>
      </c>
      <c r="C231" s="25" t="n">
        <f aca="false">IF(T230&gt;0,D230,C230)</f>
        <v>0.0251693725585938</v>
      </c>
      <c r="D231" s="41" t="n">
        <f aca="false">(B231+C231)/2</f>
        <v>0.0251665115356445</v>
      </c>
      <c r="E231" s="15" t="n">
        <f aca="false">$C$2*(1+IF(E$3&lt;=$O$2,$D231,$D231-($D231-$I$211)*MIN(E$3-$O$2,$Q$2)/$Q$2))</f>
        <v>2255.36632537842</v>
      </c>
      <c r="F231" s="15" t="n">
        <f aca="false">E231*(1+IF(F$3&lt;=$O$2,$D231,$D231-($D231-$I$211)*MIN(F$3-$O$2,$Q$2)/$Q$2))</f>
        <v>2312.12602802316</v>
      </c>
      <c r="G231" s="15" t="n">
        <f aca="false">F231*(1+IF(G$3&lt;=$O$2,$D231,$D231-($D231-$I$211)*MIN(G$3-$O$2,$Q$2)/$Q$2))</f>
        <v>2370.31417437927</v>
      </c>
      <c r="H231" s="15" t="n">
        <f aca="false">G231*(1+IF(H$3&lt;=$O$2,$D231,$D231-($D231-$I$211)*MIN(H$3-$O$2,$Q$2)/$Q$2))</f>
        <v>2429.96671339188</v>
      </c>
      <c r="I231" s="15" t="n">
        <f aca="false">H231*(1+IF(I$3&lt;=$O$2,$D231,$D231-($D231-$I$211)*MIN(I$3-$O$2,$Q$2)/$Q$2))</f>
        <v>2491.12049871569</v>
      </c>
      <c r="J231" s="15" t="n">
        <f aca="false">I231*(1+IF(J$3&lt;=$O$2,$D231,$D231-($D231-$I$211)*MIN(J$3-$O$2,$Q$2)/$Q$2))</f>
        <v>2552.8833704538</v>
      </c>
      <c r="K231" s="15" t="n">
        <f aca="false">J231*(1+IF(K$3&lt;=$O$2,$D231,$D231-($D231-$I$211)*MIN(K$3-$O$2,$Q$2)/$Q$2))</f>
        <v>2615.22454474143</v>
      </c>
      <c r="L231" s="15" t="n">
        <f aca="false">K231*(1+IF(L$3&lt;=$O$2,$D231,$D231-($D231-$I$211)*MIN(L$3-$O$2,$Q$2)/$Q$2))</f>
        <v>2678.11181534633</v>
      </c>
      <c r="M231" s="15" t="n">
        <f aca="false">L231*(1+IF(M$3&lt;=$O$2,$D231,$D231-($D231-$I$211)*MIN(M$3-$O$2,$Q$2)/$Q$2))</f>
        <v>2741.51156596332</v>
      </c>
      <c r="N231" s="15" t="n">
        <f aca="false">M231*(1+IF(N$3&lt;=$O$2,$D231,$D231-($D231-$I$211)*MIN(N$3-$O$2,$Q$2)/$Q$2))</f>
        <v>2805.38878545027</v>
      </c>
      <c r="O231" s="15" t="n">
        <f aca="false">SUMPRODUCT(E231:N231,1/(1+$F$211)^$E$3:$N$3)*$E$2</f>
        <v>8946.39539460867</v>
      </c>
      <c r="P231" s="15" t="n">
        <f aca="false">N231*$E$2*(1+$I$211)/($F$211-$I$211)/(1+$F$211)^$N$3</f>
        <v>14884.240848264</v>
      </c>
      <c r="Q231" s="15" t="n">
        <f aca="false">O231+P231</f>
        <v>23830.6362428726</v>
      </c>
      <c r="R231" s="15" t="n">
        <f aca="false">Q231-$G$2+$I$2</f>
        <v>25740.2962428726</v>
      </c>
      <c r="S231" s="42" t="n">
        <f aca="false">R231/$K$2</f>
        <v>109.987165076583</v>
      </c>
      <c r="T231" s="43" t="n">
        <f aca="false">S231-$M$2</f>
        <v>0.00126583289596738</v>
      </c>
    </row>
    <row r="232" customFormat="false" ht="15" hidden="false" customHeight="false" outlineLevel="0" collapsed="false">
      <c r="A232" s="5" t="n">
        <v>20</v>
      </c>
      <c r="B232" s="25" t="n">
        <f aca="false">IF(T231&gt;0,B231,D231)</f>
        <v>0.0251636505126953</v>
      </c>
      <c r="C232" s="25" t="n">
        <f aca="false">IF(T231&gt;0,D231,C231)</f>
        <v>0.0251665115356445</v>
      </c>
      <c r="D232" s="41" t="n">
        <f aca="false">(B232+C232)/2</f>
        <v>0.0251650810241699</v>
      </c>
      <c r="E232" s="15" t="n">
        <f aca="false">$C$2*(1+IF(E$3&lt;=$O$2,$D232,$D232-($D232-$I$211)*MIN(E$3-$O$2,$Q$2)/$Q$2))</f>
        <v>2255.36317825317</v>
      </c>
      <c r="F232" s="15" t="n">
        <f aca="false">E232*(1+IF(F$3&lt;=$O$2,$D232,$D232-($D232-$I$211)*MIN(F$3-$O$2,$Q$2)/$Q$2))</f>
        <v>2312.11957537284</v>
      </c>
      <c r="G232" s="15" t="n">
        <f aca="false">F232*(1+IF(G$3&lt;=$O$2,$D232,$D232-($D232-$I$211)*MIN(G$3-$O$2,$Q$2)/$Q$2))</f>
        <v>2370.30425182467</v>
      </c>
      <c r="H232" s="15" t="n">
        <f aca="false">G232*(1+IF(H$3&lt;=$O$2,$D232,$D232-($D232-$I$211)*MIN(H$3-$O$2,$Q$2)/$Q$2))</f>
        <v>2429.95315037377</v>
      </c>
      <c r="I232" s="15" t="n">
        <f aca="false">H232*(1+IF(I$3&lt;=$O$2,$D232,$D232-($D232-$I$211)*MIN(I$3-$O$2,$Q$2)/$Q$2))</f>
        <v>2491.10311828787</v>
      </c>
      <c r="J232" s="15" t="n">
        <f aca="false">I232*(1+IF(J$3&lt;=$O$2,$D232,$D232-($D232-$I$211)*MIN(J$3-$O$2,$Q$2)/$Q$2))</f>
        <v>2552.86270826811</v>
      </c>
      <c r="K232" s="15" t="n">
        <f aca="false">J232*(1+IF(K$3&lt;=$O$2,$D232,$D232-($D232-$I$211)*MIN(K$3-$O$2,$Q$2)/$Q$2))</f>
        <v>2615.20118684746</v>
      </c>
      <c r="L232" s="15" t="n">
        <f aca="false">K232*(1+IF(L$3&lt;=$O$2,$D232,$D232-($D232-$I$211)*MIN(L$3-$O$2,$Q$2)/$Q$2))</f>
        <v>2678.08639934419</v>
      </c>
      <c r="M232" s="15" t="n">
        <f aca="false">L232*(1+IF(M$3&lt;=$O$2,$D232,$D232-($D232-$I$211)*MIN(M$3-$O$2,$Q$2)/$Q$2))</f>
        <v>2741.48478207381</v>
      </c>
      <c r="N232" s="15" t="n">
        <f aca="false">M232*(1+IF(N$3&lt;=$O$2,$D232,$D232-($D232-$I$211)*MIN(N$3-$O$2,$Q$2)/$Q$2))</f>
        <v>2805.36137749613</v>
      </c>
      <c r="O232" s="15" t="n">
        <f aca="false">SUMPRODUCT(E232:N232,1/(1+$F$211)^$E$3:$N$3)*$E$2</f>
        <v>8946.33882185427</v>
      </c>
      <c r="P232" s="15" t="n">
        <f aca="false">N232*$E$2*(1+$I$211)/($F$211-$I$211)/(1+$F$211)^$N$3</f>
        <v>14884.0954329146</v>
      </c>
      <c r="Q232" s="15" t="n">
        <f aca="false">O232+P232</f>
        <v>23830.4342547688</v>
      </c>
      <c r="R232" s="15" t="n">
        <f aca="false">Q232-$G$2+$I$2</f>
        <v>25740.0942547688</v>
      </c>
      <c r="S232" s="42" t="n">
        <f aca="false">R232/$K$2</f>
        <v>109.98630199021</v>
      </c>
      <c r="T232" s="43" t="n">
        <f aca="false">S232-$M$2</f>
        <v>0.000402746523278097</v>
      </c>
    </row>
    <row r="233" customFormat="false" ht="15" hidden="false" customHeight="false" outlineLevel="0" collapsed="false">
      <c r="A233" s="5" t="n">
        <v>21</v>
      </c>
      <c r="B233" s="25" t="n">
        <f aca="false">IF(T232&gt;0,B232,D232)</f>
        <v>0.0251636505126953</v>
      </c>
      <c r="C233" s="25" t="n">
        <f aca="false">IF(T232&gt;0,D232,C232)</f>
        <v>0.0251650810241699</v>
      </c>
      <c r="D233" s="41" t="n">
        <f aca="false">(B233+C233)/2</f>
        <v>0.0251643657684326</v>
      </c>
      <c r="E233" s="15" t="n">
        <f aca="false">$C$2*(1+IF(E$3&lt;=$O$2,$D233,$D233-($D233-$I$211)*MIN(E$3-$O$2,$Q$2)/$Q$2))</f>
        <v>2255.36160469055</v>
      </c>
      <c r="F233" s="15" t="n">
        <f aca="false">E233*(1+IF(F$3&lt;=$O$2,$D233,$D233-($D233-$I$211)*MIN(F$3-$O$2,$Q$2)/$Q$2))</f>
        <v>2312.11634905106</v>
      </c>
      <c r="G233" s="15" t="n">
        <f aca="false">F233*(1+IF(G$3&lt;=$O$2,$D233,$D233-($D233-$I$211)*MIN(G$3-$O$2,$Q$2)/$Q$2))</f>
        <v>2370.29929055776</v>
      </c>
      <c r="H233" s="15" t="n">
        <f aca="false">G233*(1+IF(H$3&lt;=$O$2,$D233,$D233-($D233-$I$211)*MIN(H$3-$O$2,$Q$2)/$Q$2))</f>
        <v>2429.94636888601</v>
      </c>
      <c r="I233" s="15" t="n">
        <f aca="false">H233*(1+IF(I$3&lt;=$O$2,$D233,$D233-($D233-$I$211)*MIN(I$3-$O$2,$Q$2)/$Q$2))</f>
        <v>2491.09442811033</v>
      </c>
      <c r="J233" s="15" t="n">
        <f aca="false">I233*(1+IF(J$3&lt;=$O$2,$D233,$D233-($D233-$I$211)*MIN(J$3-$O$2,$Q$2)/$Q$2))</f>
        <v>2552.85237722746</v>
      </c>
      <c r="K233" s="15" t="n">
        <f aca="false">J233*(1+IF(K$3&lt;=$O$2,$D233,$D233-($D233-$I$211)*MIN(K$3-$O$2,$Q$2)/$Q$2))</f>
        <v>2615.18950796724</v>
      </c>
      <c r="L233" s="15" t="n">
        <f aca="false">K233*(1+IF(L$3&lt;=$O$2,$D233,$D233-($D233-$I$211)*MIN(L$3-$O$2,$Q$2)/$Q$2))</f>
        <v>2678.07369142153</v>
      </c>
      <c r="M233" s="15" t="n">
        <f aca="false">L233*(1+IF(M$3&lt;=$O$2,$D233,$D233-($D233-$I$211)*MIN(M$3-$O$2,$Q$2)/$Q$2))</f>
        <v>2741.47139021477</v>
      </c>
      <c r="N233" s="15" t="n">
        <f aca="false">M233*(1+IF(N$3&lt;=$O$2,$D233,$D233-($D233-$I$211)*MIN(N$3-$O$2,$Q$2)/$Q$2))</f>
        <v>2805.34767360678</v>
      </c>
      <c r="O233" s="15" t="n">
        <f aca="false">SUMPRODUCT(E233:N233,1/(1+$F$211)^$E$3:$N$3)*$E$2</f>
        <v>8946.31053561271</v>
      </c>
      <c r="P233" s="15" t="n">
        <f aca="false">N233*$E$2*(1+$I$211)/($F$211-$I$211)/(1+$F$211)^$N$3</f>
        <v>14884.0227257052</v>
      </c>
      <c r="Q233" s="15" t="n">
        <f aca="false">O233+P233</f>
        <v>23830.3332613179</v>
      </c>
      <c r="R233" s="15" t="n">
        <f aca="false">Q233-$G$2+$I$2</f>
        <v>25739.9932613179</v>
      </c>
      <c r="S233" s="42" t="n">
        <f aca="false">R233/$K$2</f>
        <v>109.985870449592</v>
      </c>
      <c r="T233" s="43" t="n">
        <f aca="false">S233-$M$2</f>
        <v>-2.87940950585153E-005</v>
      </c>
    </row>
    <row r="234" customFormat="false" ht="15" hidden="false" customHeight="false" outlineLevel="0" collapsed="false">
      <c r="A234" s="5" t="n">
        <v>22</v>
      </c>
      <c r="B234" s="25" t="n">
        <f aca="false">IF(T233&gt;0,B233,D233)</f>
        <v>0.0251643657684326</v>
      </c>
      <c r="C234" s="25" t="n">
        <f aca="false">IF(T233&gt;0,D233,C233)</f>
        <v>0.0251650810241699</v>
      </c>
      <c r="D234" s="41" t="n">
        <f aca="false">(B234+C234)/2</f>
        <v>0.0251647233963013</v>
      </c>
      <c r="E234" s="15" t="n">
        <f aca="false">$C$2*(1+IF(E$3&lt;=$O$2,$D234,$D234-($D234-$I$211)*MIN(E$3-$O$2,$Q$2)/$Q$2))</f>
        <v>2255.36239147186</v>
      </c>
      <c r="F234" s="15" t="n">
        <f aca="false">E234*(1+IF(F$3&lt;=$O$2,$D234,$D234-($D234-$I$211)*MIN(F$3-$O$2,$Q$2)/$Q$2))</f>
        <v>2312.11796221167</v>
      </c>
      <c r="G234" s="15" t="n">
        <f aca="false">F234*(1+IF(G$3&lt;=$O$2,$D234,$D234-($D234-$I$211)*MIN(G$3-$O$2,$Q$2)/$Q$2))</f>
        <v>2370.30177119035</v>
      </c>
      <c r="H234" s="15" t="n">
        <f aca="false">G234*(1+IF(H$3&lt;=$O$2,$D234,$D234-($D234-$I$211)*MIN(H$3-$O$2,$Q$2)/$Q$2))</f>
        <v>2429.94975962812</v>
      </c>
      <c r="I234" s="15" t="n">
        <f aca="false">H234*(1+IF(I$3&lt;=$O$2,$D234,$D234-($D234-$I$211)*MIN(I$3-$O$2,$Q$2)/$Q$2))</f>
        <v>2491.09877319607</v>
      </c>
      <c r="J234" s="15" t="n">
        <f aca="false">I234*(1+IF(J$3&lt;=$O$2,$D234,$D234-($D234-$I$211)*MIN(J$3-$O$2,$Q$2)/$Q$2))</f>
        <v>2552.85754274344</v>
      </c>
      <c r="K234" s="15" t="n">
        <f aca="false">J234*(1+IF(K$3&lt;=$O$2,$D234,$D234-($D234-$I$211)*MIN(K$3-$O$2,$Q$2)/$Q$2))</f>
        <v>2615.19534740179</v>
      </c>
      <c r="L234" s="15" t="n">
        <f aca="false">K234*(1+IF(L$3&lt;=$O$2,$D234,$D234-($D234-$I$211)*MIN(L$3-$O$2,$Q$2)/$Q$2))</f>
        <v>2678.08004537633</v>
      </c>
      <c r="M234" s="15" t="n">
        <f aca="false">L234*(1+IF(M$3&lt;=$O$2,$D234,$D234-($D234-$I$211)*MIN(M$3-$O$2,$Q$2)/$Q$2))</f>
        <v>2741.47808613715</v>
      </c>
      <c r="N234" s="15" t="n">
        <f aca="false">M234*(1+IF(N$3&lt;=$O$2,$D234,$D234-($D234-$I$211)*MIN(N$3-$O$2,$Q$2)/$Q$2))</f>
        <v>2805.35452554415</v>
      </c>
      <c r="O234" s="15" t="n">
        <f aca="false">SUMPRODUCT(E234:N234,1/(1+$F$211)^$E$3:$N$3)*$E$2</f>
        <v>8946.32467872219</v>
      </c>
      <c r="P234" s="15" t="n">
        <f aca="false">N234*$E$2*(1+$I$211)/($F$211-$I$211)/(1+$F$211)^$N$3</f>
        <v>14884.0590792711</v>
      </c>
      <c r="Q234" s="15" t="n">
        <f aca="false">O234+P234</f>
        <v>23830.3837579933</v>
      </c>
      <c r="R234" s="15" t="n">
        <f aca="false">Q234-$G$2+$I$2</f>
        <v>25740.0437579933</v>
      </c>
      <c r="S234" s="42" t="n">
        <f aca="false">R234/$K$2</f>
        <v>109.986086219687</v>
      </c>
      <c r="T234" s="43" t="n">
        <f aca="false">S234-$M$2</f>
        <v>0.000186976000094319</v>
      </c>
    </row>
    <row r="235" customFormat="false" ht="15" hidden="false" customHeight="false" outlineLevel="0" collapsed="false">
      <c r="A235" s="5" t="n">
        <v>23</v>
      </c>
      <c r="B235" s="25" t="n">
        <f aca="false">IF(T234&gt;0,B234,D234)</f>
        <v>0.0251643657684326</v>
      </c>
      <c r="C235" s="25" t="n">
        <f aca="false">IF(T234&gt;0,D234,C234)</f>
        <v>0.0251647233963013</v>
      </c>
      <c r="D235" s="41" t="n">
        <f aca="false">(B235+C235)/2</f>
        <v>0.0251645445823669</v>
      </c>
      <c r="E235" s="15" t="n">
        <f aca="false">$C$2*(1+IF(E$3&lt;=$O$2,$D235,$D235-($D235-$I$211)*MIN(E$3-$O$2,$Q$2)/$Q$2))</f>
        <v>2255.36199808121</v>
      </c>
      <c r="F235" s="15" t="n">
        <f aca="false">E235*(1+IF(F$3&lt;=$O$2,$D235,$D235-($D235-$I$211)*MIN(F$3-$O$2,$Q$2)/$Q$2))</f>
        <v>2312.1171556313</v>
      </c>
      <c r="G235" s="15" t="n">
        <f aca="false">F235*(1+IF(G$3&lt;=$O$2,$D235,$D235-($D235-$I$211)*MIN(G$3-$O$2,$Q$2)/$Q$2))</f>
        <v>2370.30053087384</v>
      </c>
      <c r="H235" s="15" t="n">
        <f aca="false">G235*(1+IF(H$3&lt;=$O$2,$D235,$D235-($D235-$I$211)*MIN(H$3-$O$2,$Q$2)/$Q$2))</f>
        <v>2429.94806425662</v>
      </c>
      <c r="I235" s="15" t="n">
        <f aca="false">H235*(1+IF(I$3&lt;=$O$2,$D235,$D235-($D235-$I$211)*MIN(I$3-$O$2,$Q$2)/$Q$2))</f>
        <v>2491.09660065244</v>
      </c>
      <c r="J235" s="15" t="n">
        <f aca="false">I235*(1+IF(J$3&lt;=$O$2,$D235,$D235-($D235-$I$211)*MIN(J$3-$O$2,$Q$2)/$Q$2))</f>
        <v>2552.85495998436</v>
      </c>
      <c r="K235" s="15" t="n">
        <f aca="false">J235*(1+IF(K$3&lt;=$O$2,$D235,$D235-($D235-$I$211)*MIN(K$3-$O$2,$Q$2)/$Q$2))</f>
        <v>2615.19242768312</v>
      </c>
      <c r="L235" s="15" t="n">
        <f aca="false">K235*(1+IF(L$3&lt;=$O$2,$D235,$D235-($D235-$I$211)*MIN(L$3-$O$2,$Q$2)/$Q$2))</f>
        <v>2678.07686839729</v>
      </c>
      <c r="M235" s="15" t="n">
        <f aca="false">L235*(1+IF(M$3&lt;=$O$2,$D235,$D235-($D235-$I$211)*MIN(M$3-$O$2,$Q$2)/$Q$2))</f>
        <v>2741.47473817418</v>
      </c>
      <c r="N235" s="15" t="n">
        <f aca="false">M235*(1+IF(N$3&lt;=$O$2,$D235,$D235-($D235-$I$211)*MIN(N$3-$O$2,$Q$2)/$Q$2))</f>
        <v>2805.35109957364</v>
      </c>
      <c r="O235" s="15" t="n">
        <f aca="false">SUMPRODUCT(E235:N235,1/(1+$F$211)^$E$3:$N$3)*$E$2</f>
        <v>8946.31760716462</v>
      </c>
      <c r="P235" s="15" t="n">
        <f aca="false">N235*$E$2*(1+$I$211)/($F$211-$I$211)/(1+$F$211)^$N$3</f>
        <v>14884.0409024785</v>
      </c>
      <c r="Q235" s="15" t="n">
        <f aca="false">O235+P235</f>
        <v>23830.3585096431</v>
      </c>
      <c r="R235" s="15" t="n">
        <f aca="false">Q235-$G$2+$I$2</f>
        <v>25740.0185096431</v>
      </c>
      <c r="S235" s="42" t="n">
        <f aca="false">R235/$K$2</f>
        <v>109.985978334586</v>
      </c>
      <c r="T235" s="43" t="n">
        <f aca="false">S235-$M$2</f>
        <v>7.90908989927175E-005</v>
      </c>
    </row>
    <row r="236" customFormat="false" ht="15" hidden="false" customHeight="false" outlineLevel="0" collapsed="false">
      <c r="A236" s="5" t="n">
        <v>24</v>
      </c>
      <c r="B236" s="25" t="n">
        <f aca="false">IF(T235&gt;0,B235,D235)</f>
        <v>0.0251643657684326</v>
      </c>
      <c r="C236" s="25" t="n">
        <f aca="false">IF(T235&gt;0,D235,C235)</f>
        <v>0.0251645445823669</v>
      </c>
      <c r="D236" s="41" t="n">
        <f aca="false">(B236+C236)/2</f>
        <v>0.0251644551753998</v>
      </c>
      <c r="E236" s="15" t="n">
        <f aca="false">$C$2*(1+IF(E$3&lt;=$O$2,$D236,$D236-($D236-$I$211)*MIN(E$3-$O$2,$Q$2)/$Q$2))</f>
        <v>2255.36180138588</v>
      </c>
      <c r="F236" s="15" t="n">
        <f aca="false">E236*(1+IF(F$3&lt;=$O$2,$D236,$D236-($D236-$I$211)*MIN(F$3-$O$2,$Q$2)/$Q$2))</f>
        <v>2312.11675234116</v>
      </c>
      <c r="G236" s="15" t="n">
        <f aca="false">F236*(1+IF(G$3&lt;=$O$2,$D236,$D236-($D236-$I$211)*MIN(G$3-$O$2,$Q$2)/$Q$2))</f>
        <v>2370.29991071574</v>
      </c>
      <c r="H236" s="15" t="n">
        <f aca="false">G236*(1+IF(H$3&lt;=$O$2,$D236,$D236-($D236-$I$211)*MIN(H$3-$O$2,$Q$2)/$Q$2))</f>
        <v>2429.9472165712</v>
      </c>
      <c r="I236" s="15" t="n">
        <f aca="false">H236*(1+IF(I$3&lt;=$O$2,$D236,$D236-($D236-$I$211)*MIN(I$3-$O$2,$Q$2)/$Q$2))</f>
        <v>2491.0955143812</v>
      </c>
      <c r="J236" s="15" t="n">
        <f aca="false">I236*(1+IF(J$3&lt;=$O$2,$D236,$D236-($D236-$I$211)*MIN(J$3-$O$2,$Q$2)/$Q$2))</f>
        <v>2552.85366860564</v>
      </c>
      <c r="K236" s="15" t="n">
        <f aca="false">J236*(1+IF(K$3&lt;=$O$2,$D236,$D236-($D236-$I$211)*MIN(K$3-$O$2,$Q$2)/$Q$2))</f>
        <v>2615.19096782484</v>
      </c>
      <c r="L236" s="15" t="n">
        <f aca="false">K236*(1+IF(L$3&lt;=$O$2,$D236,$D236-($D236-$I$211)*MIN(L$3-$O$2,$Q$2)/$Q$2))</f>
        <v>2678.075279909</v>
      </c>
      <c r="M236" s="15" t="n">
        <f aca="false">L236*(1+IF(M$3&lt;=$O$2,$D236,$D236-($D236-$I$211)*MIN(M$3-$O$2,$Q$2)/$Q$2))</f>
        <v>2741.47306419403</v>
      </c>
      <c r="N236" s="15" t="n">
        <f aca="false">M236*(1+IF(N$3&lt;=$O$2,$D236,$D236-($D236-$I$211)*MIN(N$3-$O$2,$Q$2)/$Q$2))</f>
        <v>2805.34938658975</v>
      </c>
      <c r="O236" s="15" t="n">
        <f aca="false">SUMPRODUCT(E236:N236,1/(1+$F$211)^$E$3:$N$3)*$E$2</f>
        <v>8946.31407138796</v>
      </c>
      <c r="P236" s="15" t="n">
        <f aca="false">N236*$E$2*(1+$I$211)/($F$211-$I$211)/(1+$F$211)^$N$3</f>
        <v>14884.0318140894</v>
      </c>
      <c r="Q236" s="15" t="n">
        <f aca="false">O236+P236</f>
        <v>23830.3458854774</v>
      </c>
      <c r="R236" s="15" t="n">
        <f aca="false">Q236-$G$2+$I$2</f>
        <v>25740.0058854774</v>
      </c>
      <c r="S236" s="42" t="n">
        <f aca="false">R236/$K$2</f>
        <v>109.985924392075</v>
      </c>
      <c r="T236" s="43" t="n">
        <f aca="false">S236-$M$2</f>
        <v>2.51483885591597E-005</v>
      </c>
    </row>
    <row r="238" customFormat="false" ht="15" hidden="false" customHeight="false" outlineLevel="0" collapsed="false">
      <c r="A238" s="38" t="s">
        <v>195</v>
      </c>
      <c r="E238" s="5" t="s">
        <v>11</v>
      </c>
      <c r="F238" s="12" t="n">
        <f aca="false">Sensitivity!$B$11</f>
        <v>0.0727967762761046</v>
      </c>
      <c r="G238" s="5" t="s">
        <v>12</v>
      </c>
      <c r="I238" s="12" t="n">
        <f aca="false">Sensitivity!$E$9</f>
        <v>0.0283</v>
      </c>
    </row>
    <row r="239" customFormat="false" ht="23.85" hidden="false" customHeight="false" outlineLevel="0" collapsed="false">
      <c r="A239" s="38" t="s">
        <v>168</v>
      </c>
      <c r="B239" s="28" t="s">
        <v>169</v>
      </c>
      <c r="C239" s="28" t="s">
        <v>170</v>
      </c>
      <c r="D239" s="28" t="s">
        <v>171</v>
      </c>
      <c r="E239" s="28" t="s">
        <v>172</v>
      </c>
      <c r="F239" s="28" t="s">
        <v>173</v>
      </c>
      <c r="G239" s="28" t="s">
        <v>174</v>
      </c>
      <c r="H239" s="28" t="s">
        <v>175</v>
      </c>
      <c r="I239" s="28" t="s">
        <v>176</v>
      </c>
      <c r="J239" s="28" t="s">
        <v>177</v>
      </c>
      <c r="K239" s="28" t="s">
        <v>178</v>
      </c>
      <c r="L239" s="28" t="s">
        <v>179</v>
      </c>
      <c r="M239" s="28" t="s">
        <v>180</v>
      </c>
      <c r="N239" s="28" t="s">
        <v>181</v>
      </c>
      <c r="O239" s="28" t="s">
        <v>182</v>
      </c>
      <c r="P239" s="28" t="s">
        <v>183</v>
      </c>
      <c r="Q239" s="28" t="s">
        <v>184</v>
      </c>
      <c r="R239" s="28" t="s">
        <v>185</v>
      </c>
      <c r="S239" s="28" t="s">
        <v>186</v>
      </c>
      <c r="T239" s="28" t="s">
        <v>187</v>
      </c>
    </row>
    <row r="240" customFormat="false" ht="15" hidden="false" customHeight="false" outlineLevel="0" collapsed="false">
      <c r="A240" s="5" t="n">
        <v>1</v>
      </c>
      <c r="B240" s="24" t="n">
        <v>-0.5</v>
      </c>
      <c r="C240" s="24" t="n">
        <v>1</v>
      </c>
      <c r="D240" s="41" t="n">
        <f aca="false">(B240+C240)/2</f>
        <v>0.25</v>
      </c>
      <c r="E240" s="15" t="n">
        <f aca="false">$C$2*(1+IF(E$3&lt;=$O$2,$D240,$D240-($D240-$I$238)*MIN(E$3-$O$2,$Q$2)/$Q$2))</f>
        <v>2750</v>
      </c>
      <c r="F240" s="15" t="n">
        <f aca="false">E240*(1+IF(F$3&lt;=$O$2,$D240,$D240-($D240-$I$238)*MIN(F$3-$O$2,$Q$2)/$Q$2))</f>
        <v>3437.5</v>
      </c>
      <c r="G240" s="15" t="n">
        <f aca="false">F240*(1+IF(G$3&lt;=$O$2,$D240,$D240-($D240-$I$238)*MIN(G$3-$O$2,$Q$2)/$Q$2))</f>
        <v>4296.875</v>
      </c>
      <c r="H240" s="15" t="n">
        <f aca="false">G240*(1+IF(H$3&lt;=$O$2,$D240,$D240-($D240-$I$238)*MIN(H$3-$O$2,$Q$2)/$Q$2))</f>
        <v>5371.09375</v>
      </c>
      <c r="I240" s="15" t="n">
        <f aca="false">H240*(1+IF(I$3&lt;=$O$2,$D240,$D240-($D240-$I$238)*MIN(I$3-$O$2,$Q$2)/$Q$2))</f>
        <v>6713.8671875</v>
      </c>
      <c r="J240" s="15" t="n">
        <f aca="false">I240*(1+IF(J$3&lt;=$O$2,$D240,$D240-($D240-$I$238)*MIN(J$3-$O$2,$Q$2)/$Q$2))</f>
        <v>8094.64111328125</v>
      </c>
      <c r="K240" s="15" t="n">
        <f aca="false">J240*(1+IF(K$3&lt;=$O$2,$D240,$D240-($D240-$I$238)*MIN(K$3-$O$2,$Q$2)/$Q$2))</f>
        <v>9400.46861767578</v>
      </c>
      <c r="L240" s="15" t="n">
        <f aca="false">K240*(1+IF(L$3&lt;=$O$2,$D240,$D240-($D240-$I$238)*MIN(L$3-$O$2,$Q$2)/$Q$2))</f>
        <v>10500.1354365715</v>
      </c>
      <c r="M240" s="15" t="n">
        <f aca="false">L240*(1+IF(M$3&lt;=$O$2,$D240,$D240-($D240-$I$238)*MIN(M$3-$O$2,$Q$2)/$Q$2))</f>
        <v>11262.865274684</v>
      </c>
      <c r="N240" s="15" t="n">
        <f aca="false">M240*(1+IF(N$3&lt;=$O$2,$D240,$D240-($D240-$I$238)*MIN(N$3-$O$2,$Q$2)/$Q$2))</f>
        <v>11581.6043619576</v>
      </c>
      <c r="O240" s="15" t="n">
        <f aca="false">SUMPRODUCT(E240:N240,1/(1+$F$238)^$E$3:$N$3)*$E$2</f>
        <v>24133.2891635597</v>
      </c>
      <c r="P240" s="15" t="n">
        <f aca="false">N240*$E$2*(1+$I$238)/($F$238-$I$238)/(1+$F$238)^$N$3</f>
        <v>68685.8987140425</v>
      </c>
      <c r="Q240" s="15" t="n">
        <f aca="false">O240+P240</f>
        <v>92819.1878776022</v>
      </c>
      <c r="R240" s="15" t="n">
        <f aca="false">Q240-$G$2+$I$2</f>
        <v>94728.8478776022</v>
      </c>
      <c r="S240" s="42" t="n">
        <f aca="false">R240/$K$2</f>
        <v>404.772242351845</v>
      </c>
      <c r="T240" s="43" t="n">
        <f aca="false">S240-$M$2</f>
        <v>294.786343108158</v>
      </c>
    </row>
    <row r="241" customFormat="false" ht="15" hidden="false" customHeight="false" outlineLevel="0" collapsed="false">
      <c r="A241" s="5" t="n">
        <v>2</v>
      </c>
      <c r="B241" s="25" t="n">
        <f aca="false">IF(T240&gt;0,B240,D240)</f>
        <v>-0.5</v>
      </c>
      <c r="C241" s="25" t="n">
        <f aca="false">IF(T240&gt;0,D240,C240)</f>
        <v>0.25</v>
      </c>
      <c r="D241" s="41" t="n">
        <f aca="false">(B241+C241)/2</f>
        <v>-0.125</v>
      </c>
      <c r="E241" s="15" t="n">
        <f aca="false">$C$2*(1+IF(E$3&lt;=$O$2,$D241,$D241-($D241-$I$238)*MIN(E$3-$O$2,$Q$2)/$Q$2))</f>
        <v>1925</v>
      </c>
      <c r="F241" s="15" t="n">
        <f aca="false">E241*(1+IF(F$3&lt;=$O$2,$D241,$D241-($D241-$I$238)*MIN(F$3-$O$2,$Q$2)/$Q$2))</f>
        <v>1684.375</v>
      </c>
      <c r="G241" s="15" t="n">
        <f aca="false">F241*(1+IF(G$3&lt;=$O$2,$D241,$D241-($D241-$I$238)*MIN(G$3-$O$2,$Q$2)/$Q$2))</f>
        <v>1473.828125</v>
      </c>
      <c r="H241" s="15" t="n">
        <f aca="false">G241*(1+IF(H$3&lt;=$O$2,$D241,$D241-($D241-$I$238)*MIN(H$3-$O$2,$Q$2)/$Q$2))</f>
        <v>1289.599609375</v>
      </c>
      <c r="I241" s="15" t="n">
        <f aca="false">H241*(1+IF(I$3&lt;=$O$2,$D241,$D241-($D241-$I$238)*MIN(I$3-$O$2,$Q$2)/$Q$2))</f>
        <v>1128.39965820313</v>
      </c>
      <c r="J241" s="15" t="n">
        <f aca="false">I241*(1+IF(J$3&lt;=$O$2,$D241,$D241-($D241-$I$238)*MIN(J$3-$O$2,$Q$2)/$Q$2))</f>
        <v>1021.94643444824</v>
      </c>
      <c r="K241" s="15" t="n">
        <f aca="false">J241*(1+IF(K$3&lt;=$O$2,$D241,$D241-($D241-$I$238)*MIN(K$3-$O$2,$Q$2)/$Q$2))</f>
        <v>956.868885502578</v>
      </c>
      <c r="L241" s="15" t="n">
        <f aca="false">K241*(1+IF(L$3&lt;=$O$2,$D241,$D241-($D241-$I$238)*MIN(L$3-$O$2,$Q$2)/$Q$2))</f>
        <v>925.273074903283</v>
      </c>
      <c r="M241" s="15" t="n">
        <f aca="false">L241*(1+IF(M$3&lt;=$O$2,$D241,$D241-($D241-$I$238)*MIN(M$3-$O$2,$Q$2)/$Q$2))</f>
        <v>923.089430446511</v>
      </c>
      <c r="N241" s="15" t="n">
        <f aca="false">M241*(1+IF(N$3&lt;=$O$2,$D241,$D241-($D241-$I$238)*MIN(N$3-$O$2,$Q$2)/$Q$2))</f>
        <v>949.212861328148</v>
      </c>
      <c r="O241" s="15" t="n">
        <f aca="false">SUMPRODUCT(E241:N241,1/(1+$F$238)^$E$3:$N$3)*$E$2</f>
        <v>4644.32525238706</v>
      </c>
      <c r="P241" s="15" t="n">
        <f aca="false">N241*$E$2*(1+$I$238)/($F$238-$I$238)/(1+$F$238)^$N$3</f>
        <v>5629.40473648087</v>
      </c>
      <c r="Q241" s="15" t="n">
        <f aca="false">O241+P241</f>
        <v>10273.7299888679</v>
      </c>
      <c r="R241" s="15" t="n">
        <f aca="false">Q241-$G$2+$I$2</f>
        <v>12183.3899888679</v>
      </c>
      <c r="S241" s="42" t="n">
        <f aca="false">R241/$K$2</f>
        <v>52.0590949402552</v>
      </c>
      <c r="T241" s="43" t="n">
        <f aca="false">S241-$M$2</f>
        <v>-57.9268043034315</v>
      </c>
    </row>
    <row r="242" customFormat="false" ht="15" hidden="false" customHeight="false" outlineLevel="0" collapsed="false">
      <c r="A242" s="5" t="n">
        <v>3</v>
      </c>
      <c r="B242" s="25" t="n">
        <f aca="false">IF(T241&gt;0,B241,D241)</f>
        <v>-0.125</v>
      </c>
      <c r="C242" s="25" t="n">
        <f aca="false">IF(T241&gt;0,D241,C241)</f>
        <v>0.25</v>
      </c>
      <c r="D242" s="41" t="n">
        <f aca="false">(B242+C242)/2</f>
        <v>0.0625</v>
      </c>
      <c r="E242" s="15" t="n">
        <f aca="false">$C$2*(1+IF(E$3&lt;=$O$2,$D242,$D242-($D242-$I$238)*MIN(E$3-$O$2,$Q$2)/$Q$2))</f>
        <v>2337.5</v>
      </c>
      <c r="F242" s="15" t="n">
        <f aca="false">E242*(1+IF(F$3&lt;=$O$2,$D242,$D242-($D242-$I$238)*MIN(F$3-$O$2,$Q$2)/$Q$2))</f>
        <v>2483.59375</v>
      </c>
      <c r="G242" s="15" t="n">
        <f aca="false">F242*(1+IF(G$3&lt;=$O$2,$D242,$D242-($D242-$I$238)*MIN(G$3-$O$2,$Q$2)/$Q$2))</f>
        <v>2638.818359375</v>
      </c>
      <c r="H242" s="15" t="n">
        <f aca="false">G242*(1+IF(H$3&lt;=$O$2,$D242,$D242-($D242-$I$238)*MIN(H$3-$O$2,$Q$2)/$Q$2))</f>
        <v>2803.74450683594</v>
      </c>
      <c r="I242" s="15" t="n">
        <f aca="false">H242*(1+IF(I$3&lt;=$O$2,$D242,$D242-($D242-$I$238)*MIN(I$3-$O$2,$Q$2)/$Q$2))</f>
        <v>2978.97853851318</v>
      </c>
      <c r="J242" s="15" t="n">
        <f aca="false">I242*(1+IF(J$3&lt;=$O$2,$D242,$D242-($D242-$I$238)*MIN(J$3-$O$2,$Q$2)/$Q$2))</f>
        <v>3144.78848396683</v>
      </c>
      <c r="K242" s="15" t="n">
        <f aca="false">J242*(1+IF(K$3&lt;=$O$2,$D242,$D242-($D242-$I$238)*MIN(K$3-$O$2,$Q$2)/$Q$2))</f>
        <v>3298.31705775409</v>
      </c>
      <c r="L242" s="15" t="n">
        <f aca="false">K242*(1+IF(L$3&lt;=$O$2,$D242,$D242-($D242-$I$238)*MIN(L$3-$O$2,$Q$2)/$Q$2))</f>
        <v>3436.78040783861</v>
      </c>
      <c r="M242" s="15" t="n">
        <f aca="false">L242*(1+IF(M$3&lt;=$O$2,$D242,$D242-($D242-$I$238)*MIN(M$3-$O$2,$Q$2)/$Q$2))</f>
        <v>3557.54887137005</v>
      </c>
      <c r="N242" s="15" t="n">
        <f aca="false">M242*(1+IF(N$3&lt;=$O$2,$D242,$D242-($D242-$I$238)*MIN(N$3-$O$2,$Q$2)/$Q$2))</f>
        <v>3658.22750442983</v>
      </c>
      <c r="O242" s="15" t="n">
        <f aca="false">SUMPRODUCT(E242:N242,1/(1+$F$238)^$E$3:$N$3)*$E$2</f>
        <v>10585.3362473852</v>
      </c>
      <c r="P242" s="15" t="n">
        <f aca="false">N242*$E$2*(1+$I$238)/($F$238-$I$238)/(1+$F$238)^$N$3</f>
        <v>21695.4953726049</v>
      </c>
      <c r="Q242" s="15" t="n">
        <f aca="false">O242+P242</f>
        <v>32280.8316199901</v>
      </c>
      <c r="R242" s="15" t="n">
        <f aca="false">Q242-$G$2+$I$2</f>
        <v>34190.4916199901</v>
      </c>
      <c r="S242" s="42" t="n">
        <f aca="false">R242/$K$2</f>
        <v>146.094481989446</v>
      </c>
      <c r="T242" s="43" t="n">
        <f aca="false">S242-$M$2</f>
        <v>36.1085827457594</v>
      </c>
    </row>
    <row r="243" customFormat="false" ht="15" hidden="false" customHeight="false" outlineLevel="0" collapsed="false">
      <c r="A243" s="5" t="n">
        <v>4</v>
      </c>
      <c r="B243" s="25" t="n">
        <f aca="false">IF(T242&gt;0,B242,D242)</f>
        <v>-0.125</v>
      </c>
      <c r="C243" s="25" t="n">
        <f aca="false">IF(T242&gt;0,D242,C242)</f>
        <v>0.0625</v>
      </c>
      <c r="D243" s="41" t="n">
        <f aca="false">(B243+C243)/2</f>
        <v>-0.03125</v>
      </c>
      <c r="E243" s="15" t="n">
        <f aca="false">$C$2*(1+IF(E$3&lt;=$O$2,$D243,$D243-($D243-$I$238)*MIN(E$3-$O$2,$Q$2)/$Q$2))</f>
        <v>2131.25</v>
      </c>
      <c r="F243" s="15" t="n">
        <f aca="false">E243*(1+IF(F$3&lt;=$O$2,$D243,$D243-($D243-$I$238)*MIN(F$3-$O$2,$Q$2)/$Q$2))</f>
        <v>2064.6484375</v>
      </c>
      <c r="G243" s="15" t="n">
        <f aca="false">F243*(1+IF(G$3&lt;=$O$2,$D243,$D243-($D243-$I$238)*MIN(G$3-$O$2,$Q$2)/$Q$2))</f>
        <v>2000.12817382813</v>
      </c>
      <c r="H243" s="15" t="n">
        <f aca="false">G243*(1+IF(H$3&lt;=$O$2,$D243,$D243-($D243-$I$238)*MIN(H$3-$O$2,$Q$2)/$Q$2))</f>
        <v>1937.624168396</v>
      </c>
      <c r="I243" s="15" t="n">
        <f aca="false">H243*(1+IF(I$3&lt;=$O$2,$D243,$D243-($D243-$I$238)*MIN(I$3-$O$2,$Q$2)/$Q$2))</f>
        <v>1877.07341313362</v>
      </c>
      <c r="J243" s="15" t="n">
        <f aca="false">I243*(1+IF(J$3&lt;=$O$2,$D243,$D243-($D243-$I$238)*MIN(J$3-$O$2,$Q$2)/$Q$2))</f>
        <v>1840.77081332362</v>
      </c>
      <c r="K243" s="15" t="n">
        <f aca="false">J243*(1+IF(K$3&lt;=$O$2,$D243,$D243-($D243-$I$238)*MIN(K$3-$O$2,$Q$2)/$Q$2))</f>
        <v>1827.09388618062</v>
      </c>
      <c r="L243" s="15" t="n">
        <f aca="false">K243*(1+IF(L$3&lt;=$O$2,$D243,$D243-($D243-$I$238)*MIN(L$3-$O$2,$Q$2)/$Q$2))</f>
        <v>1835.27926679071</v>
      </c>
      <c r="M243" s="15" t="n">
        <f aca="false">L243*(1+IF(M$3&lt;=$O$2,$D243,$D243-($D243-$I$238)*MIN(M$3-$O$2,$Q$2)/$Q$2))</f>
        <v>1865.35949397341</v>
      </c>
      <c r="N243" s="15" t="n">
        <f aca="false">M243*(1+IF(N$3&lt;=$O$2,$D243,$D243-($D243-$I$238)*MIN(N$3-$O$2,$Q$2)/$Q$2))</f>
        <v>1918.14916765286</v>
      </c>
      <c r="O243" s="15" t="n">
        <f aca="false">SUMPRODUCT(E243:N243,1/(1+$F$238)^$E$3:$N$3)*$E$2</f>
        <v>6993.49787562521</v>
      </c>
      <c r="P243" s="15" t="n">
        <f aca="false">N243*$E$2*(1+$I$238)/($F$238-$I$238)/(1+$F$238)^$N$3</f>
        <v>11375.7813969705</v>
      </c>
      <c r="Q243" s="15" t="n">
        <f aca="false">O243+P243</f>
        <v>18369.2792725957</v>
      </c>
      <c r="R243" s="15" t="n">
        <f aca="false">Q243-$G$2+$I$2</f>
        <v>20278.9392725957</v>
      </c>
      <c r="S243" s="42" t="n">
        <f aca="false">R243/$K$2</f>
        <v>86.6510245378612</v>
      </c>
      <c r="T243" s="43" t="n">
        <f aca="false">S243-$M$2</f>
        <v>-23.3348747058255</v>
      </c>
    </row>
    <row r="244" customFormat="false" ht="15" hidden="false" customHeight="false" outlineLevel="0" collapsed="false">
      <c r="A244" s="5" t="n">
        <v>5</v>
      </c>
      <c r="B244" s="25" t="n">
        <f aca="false">IF(T243&gt;0,B243,D243)</f>
        <v>-0.03125</v>
      </c>
      <c r="C244" s="25" t="n">
        <f aca="false">IF(T243&gt;0,D243,C243)</f>
        <v>0.0625</v>
      </c>
      <c r="D244" s="41" t="n">
        <f aca="false">(B244+C244)/2</f>
        <v>0.015625</v>
      </c>
      <c r="E244" s="15" t="n">
        <f aca="false">$C$2*(1+IF(E$3&lt;=$O$2,$D244,$D244-($D244-$I$238)*MIN(E$3-$O$2,$Q$2)/$Q$2))</f>
        <v>2234.375</v>
      </c>
      <c r="F244" s="15" t="n">
        <f aca="false">E244*(1+IF(F$3&lt;=$O$2,$D244,$D244-($D244-$I$238)*MIN(F$3-$O$2,$Q$2)/$Q$2))</f>
        <v>2269.287109375</v>
      </c>
      <c r="G244" s="15" t="n">
        <f aca="false">F244*(1+IF(G$3&lt;=$O$2,$D244,$D244-($D244-$I$238)*MIN(G$3-$O$2,$Q$2)/$Q$2))</f>
        <v>2304.74472045898</v>
      </c>
      <c r="H244" s="15" t="n">
        <f aca="false">G244*(1+IF(H$3&lt;=$O$2,$D244,$D244-($D244-$I$238)*MIN(H$3-$O$2,$Q$2)/$Q$2))</f>
        <v>2340.75635671616</v>
      </c>
      <c r="I244" s="15" t="n">
        <f aca="false">H244*(1+IF(I$3&lt;=$O$2,$D244,$D244-($D244-$I$238)*MIN(I$3-$O$2,$Q$2)/$Q$2))</f>
        <v>2377.33067478985</v>
      </c>
      <c r="J244" s="15" t="n">
        <f aca="false">I244*(1+IF(J$3&lt;=$O$2,$D244,$D244-($D244-$I$238)*MIN(J$3-$O$2,$Q$2)/$Q$2))</f>
        <v>2420.50299984403</v>
      </c>
      <c r="K244" s="15" t="n">
        <f aca="false">J244*(1+IF(K$3&lt;=$O$2,$D244,$D244-($D244-$I$238)*MIN(K$3-$O$2,$Q$2)/$Q$2))</f>
        <v>2470.5953094258</v>
      </c>
      <c r="L244" s="15" t="n">
        <f aca="false">K244*(1+IF(L$3&lt;=$O$2,$D244,$D244-($D244-$I$238)*MIN(L$3-$O$2,$Q$2)/$Q$2))</f>
        <v>2527.98723846376</v>
      </c>
      <c r="M244" s="15" t="n">
        <f aca="false">L244*(1+IF(M$3&lt;=$O$2,$D244,$D244-($D244-$I$238)*MIN(M$3-$O$2,$Q$2)/$Q$2))</f>
        <v>2593.12082966278</v>
      </c>
      <c r="N244" s="15" t="n">
        <f aca="false">M244*(1+IF(N$3&lt;=$O$2,$D244,$D244-($D244-$I$238)*MIN(N$3-$O$2,$Q$2)/$Q$2))</f>
        <v>2666.50614914224</v>
      </c>
      <c r="O244" s="15" t="n">
        <f aca="false">SUMPRODUCT(E244:N244,1/(1+$F$238)^$E$3:$N$3)*$E$2</f>
        <v>8601.39360386709</v>
      </c>
      <c r="P244" s="15" t="n">
        <f aca="false">N244*$E$2*(1+$I$238)/($F$238-$I$238)/(1+$F$238)^$N$3</f>
        <v>15813.9896301377</v>
      </c>
      <c r="Q244" s="15" t="n">
        <f aca="false">O244+P244</f>
        <v>24415.3832340048</v>
      </c>
      <c r="R244" s="15" t="n">
        <f aca="false">Q244-$G$2+$I$2</f>
        <v>26325.0432340048</v>
      </c>
      <c r="S244" s="42" t="n">
        <f aca="false">R244/$K$2</f>
        <v>112.485763508972</v>
      </c>
      <c r="T244" s="43" t="n">
        <f aca="false">S244-$M$2</f>
        <v>2.49986426528569</v>
      </c>
    </row>
    <row r="245" customFormat="false" ht="15" hidden="false" customHeight="false" outlineLevel="0" collapsed="false">
      <c r="A245" s="5" t="n">
        <v>6</v>
      </c>
      <c r="B245" s="25" t="n">
        <f aca="false">IF(T244&gt;0,B244,D244)</f>
        <v>-0.03125</v>
      </c>
      <c r="C245" s="25" t="n">
        <f aca="false">IF(T244&gt;0,D244,C244)</f>
        <v>0.015625</v>
      </c>
      <c r="D245" s="41" t="n">
        <f aca="false">(B245+C245)/2</f>
        <v>-0.0078125</v>
      </c>
      <c r="E245" s="15" t="n">
        <f aca="false">$C$2*(1+IF(E$3&lt;=$O$2,$D245,$D245-($D245-$I$238)*MIN(E$3-$O$2,$Q$2)/$Q$2))</f>
        <v>2182.8125</v>
      </c>
      <c r="F245" s="15" t="n">
        <f aca="false">E245*(1+IF(F$3&lt;=$O$2,$D245,$D245-($D245-$I$238)*MIN(F$3-$O$2,$Q$2)/$Q$2))</f>
        <v>2165.75927734375</v>
      </c>
      <c r="G245" s="15" t="n">
        <f aca="false">F245*(1+IF(G$3&lt;=$O$2,$D245,$D245-($D245-$I$238)*MIN(G$3-$O$2,$Q$2)/$Q$2))</f>
        <v>2148.8392829895</v>
      </c>
      <c r="H245" s="15" t="n">
        <f aca="false">G245*(1+IF(H$3&lt;=$O$2,$D245,$D245-($D245-$I$238)*MIN(H$3-$O$2,$Q$2)/$Q$2))</f>
        <v>2132.05147609115</v>
      </c>
      <c r="I245" s="15" t="n">
        <f aca="false">H245*(1+IF(I$3&lt;=$O$2,$D245,$D245-($D245-$I$238)*MIN(I$3-$O$2,$Q$2)/$Q$2))</f>
        <v>2115.39482393418</v>
      </c>
      <c r="J245" s="15" t="n">
        <f aca="false">I245*(1+IF(J$3&lt;=$O$2,$D245,$D245-($D245-$I$238)*MIN(J$3-$O$2,$Q$2)/$Q$2))</f>
        <v>2114.14674098806</v>
      </c>
      <c r="K245" s="15" t="n">
        <f aca="false">J245*(1+IF(K$3&lt;=$O$2,$D245,$D245-($D245-$I$238)*MIN(K$3-$O$2,$Q$2)/$Q$2))</f>
        <v>2128.16881924767</v>
      </c>
      <c r="L245" s="15" t="n">
        <f aca="false">K245*(1+IF(L$3&lt;=$O$2,$D245,$D245-($D245-$I$238)*MIN(L$3-$O$2,$Q$2)/$Q$2))</f>
        <v>2157.65459823834</v>
      </c>
      <c r="M245" s="15" t="n">
        <f aca="false">L245*(1+IF(M$3&lt;=$O$2,$D245,$D245-($D245-$I$238)*MIN(M$3-$O$2,$Q$2)/$Q$2))</f>
        <v>2203.13256303271</v>
      </c>
      <c r="N245" s="15" t="n">
        <f aca="false">M245*(1+IF(N$3&lt;=$O$2,$D245,$D245-($D245-$I$238)*MIN(N$3-$O$2,$Q$2)/$Q$2))</f>
        <v>2265.48121456654</v>
      </c>
      <c r="O245" s="15" t="n">
        <f aca="false">SUMPRODUCT(E245:N245,1/(1+$F$238)^$E$3:$N$3)*$E$2</f>
        <v>7754.97737208125</v>
      </c>
      <c r="P245" s="15" t="n">
        <f aca="false">N245*$E$2*(1+$I$238)/($F$238-$I$238)/(1+$F$238)^$N$3</f>
        <v>13435.6699105875</v>
      </c>
      <c r="Q245" s="15" t="n">
        <f aca="false">O245+P245</f>
        <v>21190.6472826688</v>
      </c>
      <c r="R245" s="15" t="n">
        <f aca="false">Q245-$G$2+$I$2</f>
        <v>23100.3072826688</v>
      </c>
      <c r="S245" s="42" t="n">
        <f aca="false">R245/$K$2</f>
        <v>98.7066071985164</v>
      </c>
      <c r="T245" s="43" t="n">
        <f aca="false">S245-$M$2</f>
        <v>-11.2792920451703</v>
      </c>
    </row>
    <row r="246" customFormat="false" ht="15" hidden="false" customHeight="false" outlineLevel="0" collapsed="false">
      <c r="A246" s="5" t="n">
        <v>7</v>
      </c>
      <c r="B246" s="25" t="n">
        <f aca="false">IF(T245&gt;0,B245,D245)</f>
        <v>-0.0078125</v>
      </c>
      <c r="C246" s="25" t="n">
        <f aca="false">IF(T245&gt;0,D245,C245)</f>
        <v>0.015625</v>
      </c>
      <c r="D246" s="41" t="n">
        <f aca="false">(B246+C246)/2</f>
        <v>0.00390625</v>
      </c>
      <c r="E246" s="15" t="n">
        <f aca="false">$C$2*(1+IF(E$3&lt;=$O$2,$D246,$D246-($D246-$I$238)*MIN(E$3-$O$2,$Q$2)/$Q$2))</f>
        <v>2208.59375</v>
      </c>
      <c r="F246" s="15" t="n">
        <f aca="false">E246*(1+IF(F$3&lt;=$O$2,$D246,$D246-($D246-$I$238)*MIN(F$3-$O$2,$Q$2)/$Q$2))</f>
        <v>2217.22106933594</v>
      </c>
      <c r="G246" s="15" t="n">
        <f aca="false">F246*(1+IF(G$3&lt;=$O$2,$D246,$D246-($D246-$I$238)*MIN(G$3-$O$2,$Q$2)/$Q$2))</f>
        <v>2225.88208913803</v>
      </c>
      <c r="H246" s="15" t="n">
        <f aca="false">G246*(1+IF(H$3&lt;=$O$2,$D246,$D246-($D246-$I$238)*MIN(H$3-$O$2,$Q$2)/$Q$2))</f>
        <v>2234.57694104873</v>
      </c>
      <c r="I246" s="15" t="n">
        <f aca="false">H246*(1+IF(I$3&lt;=$O$2,$D246,$D246-($D246-$I$238)*MIN(I$3-$O$2,$Q$2)/$Q$2))</f>
        <v>2243.3057572247</v>
      </c>
      <c r="J246" s="15" t="n">
        <f aca="false">I246*(1+IF(J$3&lt;=$O$2,$D246,$D246-($D246-$I$238)*MIN(J$3-$O$2,$Q$2)/$Q$2))</f>
        <v>2263.01319830192</v>
      </c>
      <c r="K246" s="15" t="n">
        <f aca="false">J246*(1+IF(K$3&lt;=$O$2,$D246,$D246-($D246-$I$238)*MIN(K$3-$O$2,$Q$2)/$Q$2))</f>
        <v>2293.93444489021</v>
      </c>
      <c r="L246" s="15" t="n">
        <f aca="false">K246*(1+IF(L$3&lt;=$O$2,$D246,$D246-($D246-$I$238)*MIN(L$3-$O$2,$Q$2)/$Q$2))</f>
        <v>2336.46972433459</v>
      </c>
      <c r="M246" s="15" t="n">
        <f aca="false">L246*(1+IF(M$3&lt;=$O$2,$D246,$D246-($D246-$I$238)*MIN(M$3-$O$2,$Q$2)/$Q$2))</f>
        <v>2391.19276586566</v>
      </c>
      <c r="N246" s="15" t="n">
        <f aca="false">M246*(1+IF(N$3&lt;=$O$2,$D246,$D246-($D246-$I$238)*MIN(N$3-$O$2,$Q$2)/$Q$2))</f>
        <v>2458.86352113966</v>
      </c>
      <c r="O246" s="15" t="n">
        <f aca="false">SUMPRODUCT(E246:N246,1/(1+$F$238)^$E$3:$N$3)*$E$2</f>
        <v>8167.03167591147</v>
      </c>
      <c r="P246" s="15" t="n">
        <f aca="false">N246*$E$2*(1+$I$238)/($F$238-$I$238)/(1+$F$238)^$N$3</f>
        <v>14582.5436171354</v>
      </c>
      <c r="Q246" s="15" t="n">
        <f aca="false">O246+P246</f>
        <v>22749.5752930469</v>
      </c>
      <c r="R246" s="15" t="n">
        <f aca="false">Q246-$G$2+$I$2</f>
        <v>24659.2352930469</v>
      </c>
      <c r="S246" s="42" t="n">
        <f aca="false">R246/$K$2</f>
        <v>105.367838708913</v>
      </c>
      <c r="T246" s="43" t="n">
        <f aca="false">S246-$M$2</f>
        <v>-4.61806053477378</v>
      </c>
    </row>
    <row r="247" customFormat="false" ht="15" hidden="false" customHeight="false" outlineLevel="0" collapsed="false">
      <c r="A247" s="5" t="n">
        <v>8</v>
      </c>
      <c r="B247" s="25" t="n">
        <f aca="false">IF(T246&gt;0,B246,D246)</f>
        <v>0.00390625</v>
      </c>
      <c r="C247" s="25" t="n">
        <f aca="false">IF(T246&gt;0,D246,C246)</f>
        <v>0.015625</v>
      </c>
      <c r="D247" s="41" t="n">
        <f aca="false">(B247+C247)/2</f>
        <v>0.009765625</v>
      </c>
      <c r="E247" s="15" t="n">
        <f aca="false">$C$2*(1+IF(E$3&lt;=$O$2,$D247,$D247-($D247-$I$238)*MIN(E$3-$O$2,$Q$2)/$Q$2))</f>
        <v>2221.484375</v>
      </c>
      <c r="F247" s="15" t="n">
        <f aca="false">E247*(1+IF(F$3&lt;=$O$2,$D247,$D247-($D247-$I$238)*MIN(F$3-$O$2,$Q$2)/$Q$2))</f>
        <v>2243.17855834961</v>
      </c>
      <c r="G247" s="15" t="n">
        <f aca="false">F247*(1+IF(G$3&lt;=$O$2,$D247,$D247-($D247-$I$238)*MIN(G$3-$O$2,$Q$2)/$Q$2))</f>
        <v>2265.08459895849</v>
      </c>
      <c r="H247" s="15" t="n">
        <f aca="false">G247*(1+IF(H$3&lt;=$O$2,$D247,$D247-($D247-$I$238)*MIN(H$3-$O$2,$Q$2)/$Q$2))</f>
        <v>2287.2045657452</v>
      </c>
      <c r="I247" s="15" t="n">
        <f aca="false">H247*(1+IF(I$3&lt;=$O$2,$D247,$D247-($D247-$I$238)*MIN(I$3-$O$2,$Q$2)/$Q$2))</f>
        <v>2309.54054783255</v>
      </c>
      <c r="J247" s="15" t="n">
        <f aca="false">I247*(1+IF(J$3&lt;=$O$2,$D247,$D247-($D247-$I$238)*MIN(J$3-$O$2,$Q$2)/$Q$2))</f>
        <v>2340.65583286323</v>
      </c>
      <c r="K247" s="15" t="n">
        <f aca="false">J247*(1+IF(K$3&lt;=$O$2,$D247,$D247-($D247-$I$238)*MIN(K$3-$O$2,$Q$2)/$Q$2))</f>
        <v>2380.86683716192</v>
      </c>
      <c r="L247" s="15" t="n">
        <f aca="false">K247*(1+IF(L$3&lt;=$O$2,$D247,$D247-($D247-$I$238)*MIN(L$3-$O$2,$Q$2)/$Q$2))</f>
        <v>2430.59421713959</v>
      </c>
      <c r="M247" s="15" t="n">
        <f aca="false">L247*(1+IF(M$3&lt;=$O$2,$D247,$D247-($D247-$I$238)*MIN(M$3-$O$2,$Q$2)/$Q$2))</f>
        <v>2490.37012454598</v>
      </c>
      <c r="N247" s="15" t="n">
        <f aca="false">M247*(1+IF(N$3&lt;=$O$2,$D247,$D247-($D247-$I$238)*MIN(N$3-$O$2,$Q$2)/$Q$2))</f>
        <v>2560.84759907064</v>
      </c>
      <c r="O247" s="15" t="n">
        <f aca="false">SUMPRODUCT(E247:N247,1/(1+$F$238)^$E$3:$N$3)*$E$2</f>
        <v>8381.35451650792</v>
      </c>
      <c r="P247" s="15" t="n">
        <f aca="false">N247*$E$2*(1+$I$238)/($F$238-$I$238)/(1+$F$238)^$N$3</f>
        <v>15187.3707057054</v>
      </c>
      <c r="Q247" s="15" t="n">
        <f aca="false">O247+P247</f>
        <v>23568.7252222133</v>
      </c>
      <c r="R247" s="15" t="n">
        <f aca="false">Q247-$G$2+$I$2</f>
        <v>25478.3852222133</v>
      </c>
      <c r="S247" s="42" t="n">
        <f aca="false">R247/$K$2</f>
        <v>108.868030689285</v>
      </c>
      <c r="T247" s="43" t="n">
        <f aca="false">S247-$M$2</f>
        <v>-1.11786855440198</v>
      </c>
    </row>
    <row r="248" customFormat="false" ht="15" hidden="false" customHeight="false" outlineLevel="0" collapsed="false">
      <c r="A248" s="5" t="n">
        <v>9</v>
      </c>
      <c r="B248" s="25" t="n">
        <f aca="false">IF(T247&gt;0,B247,D247)</f>
        <v>0.009765625</v>
      </c>
      <c r="C248" s="25" t="n">
        <f aca="false">IF(T247&gt;0,D247,C247)</f>
        <v>0.015625</v>
      </c>
      <c r="D248" s="41" t="n">
        <f aca="false">(B248+C248)/2</f>
        <v>0.0126953125</v>
      </c>
      <c r="E248" s="15" t="n">
        <f aca="false">$C$2*(1+IF(E$3&lt;=$O$2,$D248,$D248-($D248-$I$238)*MIN(E$3-$O$2,$Q$2)/$Q$2))</f>
        <v>2227.9296875</v>
      </c>
      <c r="F248" s="15" t="n">
        <f aca="false">E248*(1+IF(F$3&lt;=$O$2,$D248,$D248-($D248-$I$238)*MIN(F$3-$O$2,$Q$2)/$Q$2))</f>
        <v>2256.21395111084</v>
      </c>
      <c r="G248" s="15" t="n">
        <f aca="false">F248*(1+IF(G$3&lt;=$O$2,$D248,$D248-($D248-$I$238)*MIN(G$3-$O$2,$Q$2)/$Q$2))</f>
        <v>2284.85729228705</v>
      </c>
      <c r="H248" s="15" t="n">
        <f aca="false">G248*(1+IF(H$3&lt;=$O$2,$D248,$D248-($D248-$I$238)*MIN(H$3-$O$2,$Q$2)/$Q$2))</f>
        <v>2313.86426963054</v>
      </c>
      <c r="I248" s="15" t="n">
        <f aca="false">H248*(1+IF(I$3&lt;=$O$2,$D248,$D248-($D248-$I$238)*MIN(I$3-$O$2,$Q$2)/$Q$2))</f>
        <v>2343.23949961608</v>
      </c>
      <c r="J248" s="15" t="n">
        <f aca="false">I248*(1+IF(J$3&lt;=$O$2,$D248,$D248-($D248-$I$238)*MIN(J$3-$O$2,$Q$2)/$Q$2))</f>
        <v>2380.30076135189</v>
      </c>
      <c r="K248" s="15" t="n">
        <f aca="false">J248*(1+IF(K$3&lt;=$O$2,$D248,$D248-($D248-$I$238)*MIN(K$3-$O$2,$Q$2)/$Q$2))</f>
        <v>2425.376963176</v>
      </c>
      <c r="L248" s="15" t="n">
        <f aca="false">K248*(1+IF(L$3&lt;=$O$2,$D248,$D248-($D248-$I$238)*MIN(L$3-$O$2,$Q$2)/$Q$2))</f>
        <v>2478.87623140186</v>
      </c>
      <c r="M248" s="15" t="n">
        <f aca="false">L248*(1+IF(M$3&lt;=$O$2,$D248,$D248-($D248-$I$238)*MIN(M$3-$O$2,$Q$2)/$Q$2))</f>
        <v>2541.29201096209</v>
      </c>
      <c r="N248" s="15" t="n">
        <f aca="false">M248*(1+IF(N$3&lt;=$O$2,$D248,$D248-($D248-$I$238)*MIN(N$3-$O$2,$Q$2)/$Q$2))</f>
        <v>2613.21057487232</v>
      </c>
      <c r="O248" s="15" t="n">
        <f aca="false">SUMPRODUCT(E248:N248,1/(1+$F$238)^$E$3:$N$3)*$E$2</f>
        <v>8490.65065490868</v>
      </c>
      <c r="P248" s="15" t="n">
        <f aca="false">N248*$E$2*(1+$I$238)/($F$238-$I$238)/(1+$F$238)^$N$3</f>
        <v>15497.9147322389</v>
      </c>
      <c r="Q248" s="15" t="n">
        <f aca="false">O248+P248</f>
        <v>23988.5653871475</v>
      </c>
      <c r="R248" s="15" t="n">
        <f aca="false">Q248-$G$2+$I$2</f>
        <v>25898.2253871475</v>
      </c>
      <c r="S248" s="42" t="n">
        <f aca="false">R248/$K$2</f>
        <v>110.661989433609</v>
      </c>
      <c r="T248" s="43" t="n">
        <f aca="false">S248-$M$2</f>
        <v>0.676090189922405</v>
      </c>
    </row>
    <row r="249" customFormat="false" ht="15" hidden="false" customHeight="false" outlineLevel="0" collapsed="false">
      <c r="A249" s="5" t="n">
        <v>10</v>
      </c>
      <c r="B249" s="25" t="n">
        <f aca="false">IF(T248&gt;0,B248,D248)</f>
        <v>0.009765625</v>
      </c>
      <c r="C249" s="25" t="n">
        <f aca="false">IF(T248&gt;0,D248,C248)</f>
        <v>0.0126953125</v>
      </c>
      <c r="D249" s="41" t="n">
        <f aca="false">(B249+C249)/2</f>
        <v>0.01123046875</v>
      </c>
      <c r="E249" s="15" t="n">
        <f aca="false">$C$2*(1+IF(E$3&lt;=$O$2,$D249,$D249-($D249-$I$238)*MIN(E$3-$O$2,$Q$2)/$Q$2))</f>
        <v>2224.70703125</v>
      </c>
      <c r="F249" s="15" t="n">
        <f aca="false">E249*(1+IF(F$3&lt;=$O$2,$D249,$D249-($D249-$I$238)*MIN(F$3-$O$2,$Q$2)/$Q$2))</f>
        <v>2249.69153404236</v>
      </c>
      <c r="G249" s="15" t="n">
        <f aca="false">F249*(1+IF(G$3&lt;=$O$2,$D249,$D249-($D249-$I$238)*MIN(G$3-$O$2,$Q$2)/$Q$2))</f>
        <v>2274.95662451256</v>
      </c>
      <c r="H249" s="15" t="n">
        <f aca="false">G249*(1+IF(H$3&lt;=$O$2,$D249,$D249-($D249-$I$238)*MIN(H$3-$O$2,$Q$2)/$Q$2))</f>
        <v>2300.50545379175</v>
      </c>
      <c r="I249" s="15" t="n">
        <f aca="false">H249*(1+IF(I$3&lt;=$O$2,$D249,$D249-($D249-$I$238)*MIN(I$3-$O$2,$Q$2)/$Q$2))</f>
        <v>2326.34120839977</v>
      </c>
      <c r="J249" s="15" t="n">
        <f aca="false">I249*(1+IF(J$3&lt;=$O$2,$D249,$D249-($D249-$I$238)*MIN(J$3-$O$2,$Q$2)/$Q$2))</f>
        <v>2360.40902143353</v>
      </c>
      <c r="K249" s="15" t="n">
        <f aca="false">J249*(1+IF(K$3&lt;=$O$2,$D249,$D249-($D249-$I$238)*MIN(K$3-$O$2,$Q$2)/$Q$2))</f>
        <v>2403.03395140761</v>
      </c>
      <c r="L249" s="15" t="n">
        <f aca="false">K249*(1+IF(L$3&lt;=$O$2,$D249,$D249-($D249-$I$238)*MIN(L$3-$O$2,$Q$2)/$Q$2))</f>
        <v>2454.6323469811</v>
      </c>
      <c r="M249" s="15" t="n">
        <f aca="false">L249*(1+IF(M$3&lt;=$O$2,$D249,$D249-($D249-$I$238)*MIN(M$3-$O$2,$Q$2)/$Q$2))</f>
        <v>2515.71855768986</v>
      </c>
      <c r="N249" s="15" t="n">
        <f aca="false">M249*(1+IF(N$3&lt;=$O$2,$D249,$D249-($D249-$I$238)*MIN(N$3-$O$2,$Q$2)/$Q$2))</f>
        <v>2586.91339287248</v>
      </c>
      <c r="O249" s="15" t="n">
        <f aca="false">SUMPRODUCT(E249:N249,1/(1+$F$238)^$E$3:$N$3)*$E$2</f>
        <v>8435.82285117321</v>
      </c>
      <c r="P249" s="15" t="n">
        <f aca="false">N249*$E$2*(1+$I$238)/($F$238-$I$238)/(1+$F$238)^$N$3</f>
        <v>15341.9565831901</v>
      </c>
      <c r="Q249" s="15" t="n">
        <f aca="false">O249+P249</f>
        <v>23777.7794343633</v>
      </c>
      <c r="R249" s="15" t="n">
        <f aca="false">Q249-$G$2+$I$2</f>
        <v>25687.4394343633</v>
      </c>
      <c r="S249" s="42" t="n">
        <f aca="false">R249/$K$2</f>
        <v>109.761310235283</v>
      </c>
      <c r="T249" s="43" t="n">
        <f aca="false">S249-$M$2</f>
        <v>-0.224589008403427</v>
      </c>
    </row>
    <row r="250" customFormat="false" ht="15" hidden="false" customHeight="false" outlineLevel="0" collapsed="false">
      <c r="A250" s="5" t="n">
        <v>11</v>
      </c>
      <c r="B250" s="25" t="n">
        <f aca="false">IF(T249&gt;0,B249,D249)</f>
        <v>0.01123046875</v>
      </c>
      <c r="C250" s="25" t="n">
        <f aca="false">IF(T249&gt;0,D249,C249)</f>
        <v>0.0126953125</v>
      </c>
      <c r="D250" s="41" t="n">
        <f aca="false">(B250+C250)/2</f>
        <v>0.011962890625</v>
      </c>
      <c r="E250" s="15" t="n">
        <f aca="false">$C$2*(1+IF(E$3&lt;=$O$2,$D250,$D250-($D250-$I$238)*MIN(E$3-$O$2,$Q$2)/$Q$2))</f>
        <v>2226.318359375</v>
      </c>
      <c r="F250" s="15" t="n">
        <f aca="false">E250*(1+IF(F$3&lt;=$O$2,$D250,$D250-($D250-$I$238)*MIN(F$3-$O$2,$Q$2)/$Q$2))</f>
        <v>2252.95156240463</v>
      </c>
      <c r="G250" s="15" t="n">
        <f aca="false">F250*(1+IF(G$3&lt;=$O$2,$D250,$D250-($D250-$I$238)*MIN(G$3-$O$2,$Q$2)/$Q$2))</f>
        <v>2279.9033755291</v>
      </c>
      <c r="H250" s="15" t="n">
        <f aca="false">G250*(1+IF(H$3&lt;=$O$2,$D250,$D250-($D250-$I$238)*MIN(H$3-$O$2,$Q$2)/$Q$2))</f>
        <v>2307.17761024613</v>
      </c>
      <c r="I250" s="15" t="n">
        <f aca="false">H250*(1+IF(I$3&lt;=$O$2,$D250,$D250-($D250-$I$238)*MIN(I$3-$O$2,$Q$2)/$Q$2))</f>
        <v>2334.77812364995</v>
      </c>
      <c r="J250" s="15" t="n">
        <f aca="false">I250*(1+IF(J$3&lt;=$O$2,$D250,$D250-($D250-$I$238)*MIN(J$3-$O$2,$Q$2)/$Q$2))</f>
        <v>2370.3375240913</v>
      </c>
      <c r="K250" s="15" t="n">
        <f aca="false">J250*(1+IF(K$3&lt;=$O$2,$D250,$D250-($D250-$I$238)*MIN(K$3-$O$2,$Q$2)/$Q$2))</f>
        <v>2414.18339799104</v>
      </c>
      <c r="L250" s="15" t="n">
        <f aca="false">K250*(1+IF(L$3&lt;=$O$2,$D250,$D250-($D250-$I$238)*MIN(L$3-$O$2,$Q$2)/$Q$2))</f>
        <v>2466.72847686447</v>
      </c>
      <c r="M250" s="15" t="n">
        <f aca="false">L250*(1+IF(M$3&lt;=$O$2,$D250,$D250-($D250-$I$238)*MIN(M$3-$O$2,$Q$2)/$Q$2))</f>
        <v>2528.47705017474</v>
      </c>
      <c r="N250" s="15" t="n">
        <f aca="false">M250*(1+IF(N$3&lt;=$O$2,$D250,$D250-($D250-$I$238)*MIN(N$3-$O$2,$Q$2)/$Q$2))</f>
        <v>2600.03295069469</v>
      </c>
      <c r="O250" s="15" t="n">
        <f aca="false">SUMPRODUCT(E250:N250,1/(1+$F$238)^$E$3:$N$3)*$E$2</f>
        <v>8463.19168027891</v>
      </c>
      <c r="P250" s="15" t="n">
        <f aca="false">N250*$E$2*(1+$I$238)/($F$238-$I$238)/(1+$F$238)^$N$3</f>
        <v>15419.7634734608</v>
      </c>
      <c r="Q250" s="15" t="n">
        <f aca="false">O250+P250</f>
        <v>23882.9551537397</v>
      </c>
      <c r="R250" s="15" t="n">
        <f aca="false">Q250-$G$2+$I$2</f>
        <v>25792.6151537397</v>
      </c>
      <c r="S250" s="42" t="n">
        <f aca="false">R250/$K$2</f>
        <v>110.210721504678</v>
      </c>
      <c r="T250" s="43" t="n">
        <f aca="false">S250-$M$2</f>
        <v>0.224822260990962</v>
      </c>
    </row>
    <row r="251" customFormat="false" ht="15" hidden="false" customHeight="false" outlineLevel="0" collapsed="false">
      <c r="A251" s="5" t="n">
        <v>12</v>
      </c>
      <c r="B251" s="25" t="n">
        <f aca="false">IF(T250&gt;0,B250,D250)</f>
        <v>0.01123046875</v>
      </c>
      <c r="C251" s="25" t="n">
        <f aca="false">IF(T250&gt;0,D250,C250)</f>
        <v>0.011962890625</v>
      </c>
      <c r="D251" s="41" t="n">
        <f aca="false">(B251+C251)/2</f>
        <v>0.0115966796875</v>
      </c>
      <c r="E251" s="15" t="n">
        <f aca="false">$C$2*(1+IF(E$3&lt;=$O$2,$D251,$D251-($D251-$I$238)*MIN(E$3-$O$2,$Q$2)/$Q$2))</f>
        <v>2225.5126953125</v>
      </c>
      <c r="F251" s="15" t="n">
        <f aca="false">E251*(1+IF(F$3&lt;=$O$2,$D251,$D251-($D251-$I$238)*MIN(F$3-$O$2,$Q$2)/$Q$2))</f>
        <v>2251.3212531805</v>
      </c>
      <c r="G251" s="15" t="n">
        <f aca="false">F251*(1+IF(G$3&lt;=$O$2,$D251,$D251-($D251-$I$238)*MIN(G$3-$O$2,$Q$2)/$Q$2))</f>
        <v>2277.4291046273</v>
      </c>
      <c r="H251" s="15" t="n">
        <f aca="false">G251*(1+IF(H$3&lt;=$O$2,$D251,$D251-($D251-$I$238)*MIN(H$3-$O$2,$Q$2)/$Q$2))</f>
        <v>2303.83972046465</v>
      </c>
      <c r="I251" s="15" t="n">
        <f aca="false">H251*(1+IF(I$3&lt;=$O$2,$D251,$D251-($D251-$I$238)*MIN(I$3-$O$2,$Q$2)/$Q$2))</f>
        <v>2330.55661175422</v>
      </c>
      <c r="J251" s="15" t="n">
        <f aca="false">I251*(1+IF(J$3&lt;=$O$2,$D251,$D251-($D251-$I$238)*MIN(J$3-$O$2,$Q$2)/$Q$2))</f>
        <v>2365.36893699283</v>
      </c>
      <c r="K251" s="15" t="n">
        <f aca="false">J251*(1+IF(K$3&lt;=$O$2,$D251,$D251-($D251-$I$238)*MIN(K$3-$O$2,$Q$2)/$Q$2))</f>
        <v>2408.60316890263</v>
      </c>
      <c r="L251" s="15" t="n">
        <f aca="false">K251*(1+IF(L$3&lt;=$O$2,$D251,$D251-($D251-$I$238)*MIN(L$3-$O$2,$Q$2)/$Q$2))</f>
        <v>2460.67397048822</v>
      </c>
      <c r="M251" s="15" t="n">
        <f aca="false">L251*(1+IF(M$3&lt;=$O$2,$D251,$D251-($D251-$I$238)*MIN(M$3-$O$2,$Q$2)/$Q$2))</f>
        <v>2522.0907587503</v>
      </c>
      <c r="N251" s="15" t="n">
        <f aca="false">M251*(1+IF(N$3&lt;=$O$2,$D251,$D251-($D251-$I$238)*MIN(N$3-$O$2,$Q$2)/$Q$2))</f>
        <v>2593.46592722293</v>
      </c>
      <c r="O251" s="15" t="n">
        <f aca="false">SUMPRODUCT(E251:N251,1/(1+$F$238)^$E$3:$N$3)*$E$2</f>
        <v>8449.49601495588</v>
      </c>
      <c r="P251" s="15" t="n">
        <f aca="false">N251*$E$2*(1+$I$238)/($F$238-$I$238)/(1+$F$238)^$N$3</f>
        <v>15380.8170637116</v>
      </c>
      <c r="Q251" s="15" t="n">
        <f aca="false">O251+P251</f>
        <v>23830.3130786675</v>
      </c>
      <c r="R251" s="15" t="n">
        <f aca="false">Q251-$G$2+$I$2</f>
        <v>25739.9730786675</v>
      </c>
      <c r="S251" s="42" t="n">
        <f aca="false">R251/$K$2</f>
        <v>109.985784210005</v>
      </c>
      <c r="T251" s="43" t="n">
        <f aca="false">S251-$M$2</f>
        <v>-0.000115033681566956</v>
      </c>
    </row>
    <row r="252" customFormat="false" ht="15" hidden="false" customHeight="false" outlineLevel="0" collapsed="false">
      <c r="A252" s="5" t="n">
        <v>13</v>
      </c>
      <c r="B252" s="25" t="n">
        <f aca="false">IF(T251&gt;0,B251,D251)</f>
        <v>0.0115966796875</v>
      </c>
      <c r="C252" s="25" t="n">
        <f aca="false">IF(T251&gt;0,D251,C251)</f>
        <v>0.011962890625</v>
      </c>
      <c r="D252" s="41" t="n">
        <f aca="false">(B252+C252)/2</f>
        <v>0.01177978515625</v>
      </c>
      <c r="E252" s="15" t="n">
        <f aca="false">$C$2*(1+IF(E$3&lt;=$O$2,$D252,$D252-($D252-$I$238)*MIN(E$3-$O$2,$Q$2)/$Q$2))</f>
        <v>2225.91552734375</v>
      </c>
      <c r="F252" s="15" t="n">
        <f aca="false">E252*(1+IF(F$3&lt;=$O$2,$D252,$D252-($D252-$I$238)*MIN(F$3-$O$2,$Q$2)/$Q$2))</f>
        <v>2252.13633403182</v>
      </c>
      <c r="G252" s="15" t="n">
        <f aca="false">F252*(1+IF(G$3&lt;=$O$2,$D252,$D252-($D252-$I$238)*MIN(G$3-$O$2,$Q$2)/$Q$2))</f>
        <v>2278.6660161893</v>
      </c>
      <c r="H252" s="15" t="n">
        <f aca="false">G252*(1+IF(H$3&lt;=$O$2,$D252,$D252-($D252-$I$238)*MIN(H$3-$O$2,$Q$2)/$Q$2))</f>
        <v>2305.50821230286</v>
      </c>
      <c r="I252" s="15" t="n">
        <f aca="false">H252*(1+IF(I$3&lt;=$O$2,$D252,$D252-($D252-$I$238)*MIN(I$3-$O$2,$Q$2)/$Q$2))</f>
        <v>2332.66660371976</v>
      </c>
      <c r="J252" s="15" t="n">
        <f aca="false">I252*(1+IF(J$3&lt;=$O$2,$D252,$D252-($D252-$I$238)*MIN(J$3-$O$2,$Q$2)/$Q$2))</f>
        <v>2367.85214584319</v>
      </c>
      <c r="K252" s="15" t="n">
        <f aca="false">J252*(1+IF(K$3&lt;=$O$2,$D252,$D252-($D252-$I$238)*MIN(K$3-$O$2,$Q$2)/$Q$2))</f>
        <v>2411.39190587002</v>
      </c>
      <c r="L252" s="15" t="n">
        <f aca="false">K252*(1+IF(L$3&lt;=$O$2,$D252,$D252-($D252-$I$238)*MIN(L$3-$O$2,$Q$2)/$Q$2))</f>
        <v>2463.69961186316</v>
      </c>
      <c r="M252" s="15" t="n">
        <f aca="false">L252*(1+IF(M$3&lt;=$O$2,$D252,$D252-($D252-$I$238)*MIN(M$3-$O$2,$Q$2)/$Q$2))</f>
        <v>2525.2821414992</v>
      </c>
      <c r="N252" s="15" t="n">
        <f aca="false">M252*(1+IF(N$3&lt;=$O$2,$D252,$D252-($D252-$I$238)*MIN(N$3-$O$2,$Q$2)/$Q$2))</f>
        <v>2596.74762610362</v>
      </c>
      <c r="O252" s="15" t="n">
        <f aca="false">SUMPRODUCT(E252:N252,1/(1+$F$238)^$E$3:$N$3)*$E$2</f>
        <v>8456.34103274914</v>
      </c>
      <c r="P252" s="15" t="n">
        <f aca="false">N252*$E$2*(1+$I$238)/($F$238-$I$238)/(1+$F$238)^$N$3</f>
        <v>15400.2795172616</v>
      </c>
      <c r="Q252" s="15" t="n">
        <f aca="false">O252+P252</f>
        <v>23856.6205500108</v>
      </c>
      <c r="R252" s="15" t="n">
        <f aca="false">Q252-$G$2+$I$2</f>
        <v>25766.2805500108</v>
      </c>
      <c r="S252" s="42" t="n">
        <f aca="false">R252/$K$2</f>
        <v>110.09819488959</v>
      </c>
      <c r="T252" s="43" t="n">
        <f aca="false">S252-$M$2</f>
        <v>0.11229564590343</v>
      </c>
    </row>
    <row r="253" customFormat="false" ht="15" hidden="false" customHeight="false" outlineLevel="0" collapsed="false">
      <c r="A253" s="5" t="n">
        <v>14</v>
      </c>
      <c r="B253" s="25" t="n">
        <f aca="false">IF(T252&gt;0,B252,D252)</f>
        <v>0.0115966796875</v>
      </c>
      <c r="C253" s="25" t="n">
        <f aca="false">IF(T252&gt;0,D252,C252)</f>
        <v>0.01177978515625</v>
      </c>
      <c r="D253" s="41" t="n">
        <f aca="false">(B253+C253)/2</f>
        <v>0.011688232421875</v>
      </c>
      <c r="E253" s="15" t="n">
        <f aca="false">$C$2*(1+IF(E$3&lt;=$O$2,$D253,$D253-($D253-$I$238)*MIN(E$3-$O$2,$Q$2)/$Q$2))</f>
        <v>2225.71411132813</v>
      </c>
      <c r="F253" s="15" t="n">
        <f aca="false">E253*(1+IF(F$3&lt;=$O$2,$D253,$D253-($D253-$I$238)*MIN(F$3-$O$2,$Q$2)/$Q$2))</f>
        <v>2251.72877516598</v>
      </c>
      <c r="G253" s="15" t="n">
        <f aca="false">F253*(1+IF(G$3&lt;=$O$2,$D253,$D253-($D253-$I$238)*MIN(G$3-$O$2,$Q$2)/$Q$2))</f>
        <v>2278.04750444114</v>
      </c>
      <c r="H253" s="15" t="n">
        <f aca="false">G253*(1+IF(H$3&lt;=$O$2,$D253,$D253-($D253-$I$238)*MIN(H$3-$O$2,$Q$2)/$Q$2))</f>
        <v>2304.67385314112</v>
      </c>
      <c r="I253" s="15" t="n">
        <f aca="false">H253*(1+IF(I$3&lt;=$O$2,$D253,$D253-($D253-$I$238)*MIN(I$3-$O$2,$Q$2)/$Q$2))</f>
        <v>2331.61141679325</v>
      </c>
      <c r="J253" s="15" t="n">
        <f aca="false">I253*(1+IF(J$3&lt;=$O$2,$D253,$D253-($D253-$I$238)*MIN(J$3-$O$2,$Q$2)/$Q$2))</f>
        <v>2366.61027033788</v>
      </c>
      <c r="K253" s="15" t="n">
        <f aca="false">J253*(1+IF(K$3&lt;=$O$2,$D253,$D253-($D253-$I$238)*MIN(K$3-$O$2,$Q$2)/$Q$2))</f>
        <v>2409.99719313313</v>
      </c>
      <c r="L253" s="15" t="n">
        <f aca="false">K253*(1+IF(L$3&lt;=$O$2,$D253,$D253-($D253-$I$238)*MIN(L$3-$O$2,$Q$2)/$Q$2))</f>
        <v>2462.18638840429</v>
      </c>
      <c r="M253" s="15" t="n">
        <f aca="false">L253*(1+IF(M$3&lt;=$O$2,$D253,$D253-($D253-$I$238)*MIN(M$3-$O$2,$Q$2)/$Q$2))</f>
        <v>2523.6860095925</v>
      </c>
      <c r="N253" s="15" t="n">
        <f aca="false">M253*(1+IF(N$3&lt;=$O$2,$D253,$D253-($D253-$I$238)*MIN(N$3-$O$2,$Q$2)/$Q$2))</f>
        <v>2595.10632366396</v>
      </c>
      <c r="O253" s="15" t="n">
        <f aca="false">SUMPRODUCT(E253:N253,1/(1+$F$238)^$E$3:$N$3)*$E$2</f>
        <v>8452.91782040752</v>
      </c>
      <c r="P253" s="15" t="n">
        <f aca="false">N253*$E$2*(1+$I$238)/($F$238-$I$238)/(1+$F$238)^$N$3</f>
        <v>15390.5456039275</v>
      </c>
      <c r="Q253" s="15" t="n">
        <f aca="false">O253+P253</f>
        <v>23843.463424335</v>
      </c>
      <c r="R253" s="15" t="n">
        <f aca="false">Q253-$G$2+$I$2</f>
        <v>25753.123424335</v>
      </c>
      <c r="S253" s="42" t="n">
        <f aca="false">R253/$K$2</f>
        <v>110.041975064458</v>
      </c>
      <c r="T253" s="43" t="n">
        <f aca="false">S253-$M$2</f>
        <v>0.0560758207709711</v>
      </c>
    </row>
    <row r="254" customFormat="false" ht="15" hidden="false" customHeight="false" outlineLevel="0" collapsed="false">
      <c r="A254" s="5" t="n">
        <v>15</v>
      </c>
      <c r="B254" s="25" t="n">
        <f aca="false">IF(T253&gt;0,B253,D253)</f>
        <v>0.0115966796875</v>
      </c>
      <c r="C254" s="25" t="n">
        <f aca="false">IF(T253&gt;0,D253,C253)</f>
        <v>0.011688232421875</v>
      </c>
      <c r="D254" s="41" t="n">
        <f aca="false">(B254+C254)/2</f>
        <v>0.0116424560546875</v>
      </c>
      <c r="E254" s="15" t="n">
        <f aca="false">$C$2*(1+IF(E$3&lt;=$O$2,$D254,$D254-($D254-$I$238)*MIN(E$3-$O$2,$Q$2)/$Q$2))</f>
        <v>2225.61340332031</v>
      </c>
      <c r="F254" s="15" t="n">
        <f aca="false">E254*(1+IF(F$3&lt;=$O$2,$D254,$D254-($D254-$I$238)*MIN(F$3-$O$2,$Q$2)/$Q$2))</f>
        <v>2251.52500956319</v>
      </c>
      <c r="G254" s="15" t="n">
        <f aca="false">F254*(1+IF(G$3&lt;=$O$2,$D254,$D254-($D254-$I$238)*MIN(G$3-$O$2,$Q$2)/$Q$2))</f>
        <v>2277.73829054306</v>
      </c>
      <c r="H254" s="15" t="n">
        <f aca="false">G254*(1+IF(H$3&lt;=$O$2,$D254,$D254-($D254-$I$238)*MIN(H$3-$O$2,$Q$2)/$Q$2))</f>
        <v>2304.25675849479</v>
      </c>
      <c r="I254" s="15" t="n">
        <f aca="false">H254*(1+IF(I$3&lt;=$O$2,$D254,$D254-($D254-$I$238)*MIN(I$3-$O$2,$Q$2)/$Q$2))</f>
        <v>2331.08396654428</v>
      </c>
      <c r="J254" s="15" t="n">
        <f aca="false">I254*(1+IF(J$3&lt;=$O$2,$D254,$D254-($D254-$I$238)*MIN(J$3-$O$2,$Q$2)/$Q$2))</f>
        <v>2365.98953590714</v>
      </c>
      <c r="K254" s="15" t="n">
        <f aca="false">J254*(1+IF(K$3&lt;=$O$2,$D254,$D254-($D254-$I$238)*MIN(K$3-$O$2,$Q$2)/$Q$2))</f>
        <v>2409.3000949722</v>
      </c>
      <c r="L254" s="15" t="n">
        <f aca="false">K254*(1+IF(L$3&lt;=$O$2,$D254,$D254-($D254-$I$238)*MIN(L$3-$O$2,$Q$2)/$Q$2))</f>
        <v>2461.43007877614</v>
      </c>
      <c r="M254" s="15" t="n">
        <f aca="false">L254*(1+IF(M$3&lt;=$O$2,$D254,$D254-($D254-$I$238)*MIN(M$3-$O$2,$Q$2)/$Q$2))</f>
        <v>2522.8882740644</v>
      </c>
      <c r="N254" s="15" t="n">
        <f aca="false">M254*(1+IF(N$3&lt;=$O$2,$D254,$D254-($D254-$I$238)*MIN(N$3-$O$2,$Q$2)/$Q$2))</f>
        <v>2594.28601222042</v>
      </c>
      <c r="O254" s="15" t="n">
        <f aca="false">SUMPRODUCT(E254:N254,1/(1+$F$238)^$E$3:$N$3)*$E$2</f>
        <v>8451.20674185445</v>
      </c>
      <c r="P254" s="15" t="n">
        <f aca="false">N254*$E$2*(1+$I$238)/($F$238-$I$238)/(1+$F$238)^$N$3</f>
        <v>15385.6806623387</v>
      </c>
      <c r="Q254" s="15" t="n">
        <f aca="false">O254+P254</f>
        <v>23836.8874041932</v>
      </c>
      <c r="R254" s="15" t="n">
        <f aca="false">Q254-$G$2+$I$2</f>
        <v>25746.5474041932</v>
      </c>
      <c r="S254" s="42" t="n">
        <f aca="false">R254/$K$2</f>
        <v>110.013876016721</v>
      </c>
      <c r="T254" s="43" t="n">
        <f aca="false">S254-$M$2</f>
        <v>0.0279767730341547</v>
      </c>
    </row>
    <row r="255" customFormat="false" ht="15" hidden="false" customHeight="false" outlineLevel="0" collapsed="false">
      <c r="A255" s="5" t="n">
        <v>16</v>
      </c>
      <c r="B255" s="25" t="n">
        <f aca="false">IF(T254&gt;0,B254,D254)</f>
        <v>0.0115966796875</v>
      </c>
      <c r="C255" s="25" t="n">
        <f aca="false">IF(T254&gt;0,D254,C254)</f>
        <v>0.0116424560546875</v>
      </c>
      <c r="D255" s="41" t="n">
        <f aca="false">(B255+C255)/2</f>
        <v>0.0116195678710938</v>
      </c>
      <c r="E255" s="15" t="n">
        <f aca="false">$C$2*(1+IF(E$3&lt;=$O$2,$D255,$D255-($D255-$I$238)*MIN(E$3-$O$2,$Q$2)/$Q$2))</f>
        <v>2225.56304931641</v>
      </c>
      <c r="F255" s="15" t="n">
        <f aca="false">E255*(1+IF(F$3&lt;=$O$2,$D255,$D255-($D255-$I$238)*MIN(F$3-$O$2,$Q$2)/$Q$2))</f>
        <v>2251.42313021934</v>
      </c>
      <c r="G255" s="15" t="n">
        <f aca="false">F255*(1+IF(G$3&lt;=$O$2,$D255,$D255-($D255-$I$238)*MIN(G$3-$O$2,$Q$2)/$Q$2))</f>
        <v>2277.58369408747</v>
      </c>
      <c r="H255" s="15" t="n">
        <f aca="false">G255*(1+IF(H$3&lt;=$O$2,$D255,$D255-($D255-$I$238)*MIN(H$3-$O$2,$Q$2)/$Q$2))</f>
        <v>2304.04823240302</v>
      </c>
      <c r="I255" s="15" t="n">
        <f aca="false">H255*(1+IF(I$3&lt;=$O$2,$D255,$D255-($D255-$I$238)*MIN(I$3-$O$2,$Q$2)/$Q$2))</f>
        <v>2330.8202772177</v>
      </c>
      <c r="J255" s="15" t="n">
        <f aca="false">I255*(1+IF(J$3&lt;=$O$2,$D255,$D255-($D255-$I$238)*MIN(J$3-$O$2,$Q$2)/$Q$2))</f>
        <v>2365.67921951191</v>
      </c>
      <c r="K255" s="15" t="n">
        <f aca="false">J255*(1+IF(K$3&lt;=$O$2,$D255,$D255-($D255-$I$238)*MIN(K$3-$O$2,$Q$2)/$Q$2))</f>
        <v>2408.9516104282</v>
      </c>
      <c r="L255" s="15" t="n">
        <f aca="false">K255*(1+IF(L$3&lt;=$O$2,$D255,$D255-($D255-$I$238)*MIN(L$3-$O$2,$Q$2)/$Q$2))</f>
        <v>2461.05199946749</v>
      </c>
      <c r="M255" s="15" t="n">
        <f aca="false">L255*(1+IF(M$3&lt;=$O$2,$D255,$D255-($D255-$I$238)*MIN(M$3-$O$2,$Q$2)/$Q$2))</f>
        <v>2522.48948888385</v>
      </c>
      <c r="N255" s="15" t="n">
        <f aca="false">M255*(1+IF(N$3&lt;=$O$2,$D255,$D255-($D255-$I$238)*MIN(N$3-$O$2,$Q$2)/$Q$2))</f>
        <v>2593.87594141927</v>
      </c>
      <c r="O255" s="15" t="n">
        <f aca="false">SUMPRODUCT(E255:N255,1/(1+$F$238)^$E$3:$N$3)*$E$2</f>
        <v>8450.3513344526</v>
      </c>
      <c r="P255" s="15" t="n">
        <f aca="false">N255*$E$2*(1+$I$238)/($F$238-$I$238)/(1+$F$238)^$N$3</f>
        <v>15383.2486951748</v>
      </c>
      <c r="Q255" s="15" t="n">
        <f aca="false">O255+P255</f>
        <v>23833.6000296274</v>
      </c>
      <c r="R255" s="15" t="n">
        <f aca="false">Q255-$G$2+$I$2</f>
        <v>25743.2600296274</v>
      </c>
      <c r="S255" s="42" t="n">
        <f aca="false">R255/$K$2</f>
        <v>109.999829208338</v>
      </c>
      <c r="T255" s="43" t="n">
        <f aca="false">S255-$M$2</f>
        <v>0.0139299646516946</v>
      </c>
    </row>
    <row r="256" customFormat="false" ht="15" hidden="false" customHeight="false" outlineLevel="0" collapsed="false">
      <c r="A256" s="5" t="n">
        <v>17</v>
      </c>
      <c r="B256" s="25" t="n">
        <f aca="false">IF(T255&gt;0,B255,D255)</f>
        <v>0.0115966796875</v>
      </c>
      <c r="C256" s="25" t="n">
        <f aca="false">IF(T255&gt;0,D255,C255)</f>
        <v>0.0116195678710938</v>
      </c>
      <c r="D256" s="41" t="n">
        <f aca="false">(B256+C256)/2</f>
        <v>0.0116081237792969</v>
      </c>
      <c r="E256" s="15" t="n">
        <f aca="false">$C$2*(1+IF(E$3&lt;=$O$2,$D256,$D256-($D256-$I$238)*MIN(E$3-$O$2,$Q$2)/$Q$2))</f>
        <v>2225.53787231445</v>
      </c>
      <c r="F256" s="15" t="n">
        <f aca="false">E256*(1+IF(F$3&lt;=$O$2,$D256,$D256-($D256-$I$238)*MIN(F$3-$O$2,$Q$2)/$Q$2))</f>
        <v>2251.37219141179</v>
      </c>
      <c r="G256" s="15" t="n">
        <f aca="false">F256*(1+IF(G$3&lt;=$O$2,$D256,$D256-($D256-$I$238)*MIN(G$3-$O$2,$Q$2)/$Q$2))</f>
        <v>2277.50639848297</v>
      </c>
      <c r="H256" s="15" t="n">
        <f aca="false">G256*(1+IF(H$3&lt;=$O$2,$D256,$D256-($D256-$I$238)*MIN(H$3-$O$2,$Q$2)/$Q$2))</f>
        <v>2303.9439746647</v>
      </c>
      <c r="I256" s="15" t="n">
        <f aca="false">H256*(1+IF(I$3&lt;=$O$2,$D256,$D256-($D256-$I$238)*MIN(I$3-$O$2,$Q$2)/$Q$2))</f>
        <v>2330.68844150317</v>
      </c>
      <c r="J256" s="15" t="n">
        <f aca="false">I256*(1+IF(J$3&lt;=$O$2,$D256,$D256-($D256-$I$238)*MIN(J$3-$O$2,$Q$2)/$Q$2))</f>
        <v>2365.52407401804</v>
      </c>
      <c r="K256" s="15" t="n">
        <f aca="false">J256*(1+IF(K$3&lt;=$O$2,$D256,$D256-($D256-$I$238)*MIN(K$3-$O$2,$Q$2)/$Q$2))</f>
        <v>2408.77738428838</v>
      </c>
      <c r="L256" s="15" t="n">
        <f aca="false">K256*(1+IF(L$3&lt;=$O$2,$D256,$D256-($D256-$I$238)*MIN(L$3-$O$2,$Q$2)/$Q$2))</f>
        <v>2460.86297868704</v>
      </c>
      <c r="M256" s="15" t="n">
        <f aca="false">L256*(1+IF(M$3&lt;=$O$2,$D256,$D256-($D256-$I$238)*MIN(M$3-$O$2,$Q$2)/$Q$2))</f>
        <v>2522.29011693661</v>
      </c>
      <c r="N256" s="15" t="n">
        <f aca="false">M256*(1+IF(N$3&lt;=$O$2,$D256,$D256-($D256-$I$238)*MIN(N$3-$O$2,$Q$2)/$Q$2))</f>
        <v>2593.67092724591</v>
      </c>
      <c r="O256" s="15" t="n">
        <f aca="false">SUMPRODUCT(E256:N256,1/(1+$F$238)^$E$3:$N$3)*$E$2</f>
        <v>8449.92366371663</v>
      </c>
      <c r="P256" s="15" t="n">
        <f aca="false">N256*$E$2*(1+$I$238)/($F$238-$I$238)/(1+$F$238)^$N$3</f>
        <v>15382.0328374831</v>
      </c>
      <c r="Q256" s="15" t="n">
        <f aca="false">O256+P256</f>
        <v>23831.9565011997</v>
      </c>
      <c r="R256" s="15" t="n">
        <f aca="false">Q256-$G$2+$I$2</f>
        <v>25741.6165011997</v>
      </c>
      <c r="S256" s="42" t="n">
        <f aca="false">R256/$K$2</f>
        <v>109.992806482928</v>
      </c>
      <c r="T256" s="43" t="n">
        <f aca="false">S256-$M$2</f>
        <v>0.00690723924175529</v>
      </c>
    </row>
    <row r="257" customFormat="false" ht="15" hidden="false" customHeight="false" outlineLevel="0" collapsed="false">
      <c r="A257" s="5" t="n">
        <v>18</v>
      </c>
      <c r="B257" s="25" t="n">
        <f aca="false">IF(T256&gt;0,B256,D256)</f>
        <v>0.0115966796875</v>
      </c>
      <c r="C257" s="25" t="n">
        <f aca="false">IF(T256&gt;0,D256,C256)</f>
        <v>0.0116081237792969</v>
      </c>
      <c r="D257" s="41" t="n">
        <f aca="false">(B257+C257)/2</f>
        <v>0.0116024017333984</v>
      </c>
      <c r="E257" s="15" t="n">
        <f aca="false">$C$2*(1+IF(E$3&lt;=$O$2,$D257,$D257-($D257-$I$238)*MIN(E$3-$O$2,$Q$2)/$Q$2))</f>
        <v>2225.52528381348</v>
      </c>
      <c r="F257" s="15" t="n">
        <f aca="false">E257*(1+IF(F$3&lt;=$O$2,$D257,$D257-($D257-$I$238)*MIN(F$3-$O$2,$Q$2)/$Q$2))</f>
        <v>2251.34672222412</v>
      </c>
      <c r="G257" s="15" t="n">
        <f aca="false">F257*(1+IF(G$3&lt;=$O$2,$D257,$D257-($D257-$I$238)*MIN(G$3-$O$2,$Q$2)/$Q$2))</f>
        <v>2277.46775133653</v>
      </c>
      <c r="H257" s="15" t="n">
        <f aca="false">G257*(1+IF(H$3&lt;=$O$2,$D257,$D257-($D257-$I$238)*MIN(H$3-$O$2,$Q$2)/$Q$2))</f>
        <v>2303.8918471224</v>
      </c>
      <c r="I257" s="15" t="n">
        <f aca="false">H257*(1+IF(I$3&lt;=$O$2,$D257,$D257-($D257-$I$238)*MIN(I$3-$O$2,$Q$2)/$Q$2))</f>
        <v>2330.62252588301</v>
      </c>
      <c r="J257" s="15" t="n">
        <f aca="false">I257*(1+IF(J$3&lt;=$O$2,$D257,$D257-($D257-$I$238)*MIN(J$3-$O$2,$Q$2)/$Q$2))</f>
        <v>2365.44650444687</v>
      </c>
      <c r="K257" s="15" t="n">
        <f aca="false">J257*(1+IF(K$3&lt;=$O$2,$D257,$D257-($D257-$I$238)*MIN(K$3-$O$2,$Q$2)/$Q$2))</f>
        <v>2408.69027525128</v>
      </c>
      <c r="L257" s="15" t="n">
        <f aca="false">K257*(1+IF(L$3&lt;=$O$2,$D257,$D257-($D257-$I$238)*MIN(L$3-$O$2,$Q$2)/$Q$2))</f>
        <v>2460.76847301497</v>
      </c>
      <c r="M257" s="15" t="n">
        <f aca="false">L257*(1+IF(M$3&lt;=$O$2,$D257,$D257-($D257-$I$238)*MIN(M$3-$O$2,$Q$2)/$Q$2))</f>
        <v>2522.19043612339</v>
      </c>
      <c r="N257" s="15" t="n">
        <f aca="false">M257*(1+IF(N$3&lt;=$O$2,$D257,$D257-($D257-$I$238)*MIN(N$3-$O$2,$Q$2)/$Q$2))</f>
        <v>2593.56842546568</v>
      </c>
      <c r="O257" s="15" t="n">
        <f aca="false">SUMPRODUCT(E257:N257,1/(1+$F$238)^$E$3:$N$3)*$E$2</f>
        <v>8449.70983658942</v>
      </c>
      <c r="P257" s="15" t="n">
        <f aca="false">N257*$E$2*(1+$I$238)/($F$238-$I$238)/(1+$F$238)^$N$3</f>
        <v>15381.4249401077</v>
      </c>
      <c r="Q257" s="15" t="n">
        <f aca="false">O257+P257</f>
        <v>23831.1347766971</v>
      </c>
      <c r="R257" s="15" t="n">
        <f aca="false">Q257-$G$2+$I$2</f>
        <v>25740.7947766971</v>
      </c>
      <c r="S257" s="42" t="n">
        <f aca="false">R257/$K$2</f>
        <v>109.989295289908</v>
      </c>
      <c r="T257" s="43" t="n">
        <f aca="false">S257-$M$2</f>
        <v>0.00339604622089951</v>
      </c>
    </row>
    <row r="258" customFormat="false" ht="15" hidden="false" customHeight="false" outlineLevel="0" collapsed="false">
      <c r="A258" s="5" t="n">
        <v>19</v>
      </c>
      <c r="B258" s="25" t="n">
        <f aca="false">IF(T257&gt;0,B257,D257)</f>
        <v>0.0115966796875</v>
      </c>
      <c r="C258" s="25" t="n">
        <f aca="false">IF(T257&gt;0,D257,C257)</f>
        <v>0.0116024017333984</v>
      </c>
      <c r="D258" s="41" t="n">
        <f aca="false">(B258+C258)/2</f>
        <v>0.0115995407104492</v>
      </c>
      <c r="E258" s="15" t="n">
        <f aca="false">$C$2*(1+IF(E$3&lt;=$O$2,$D258,$D258-($D258-$I$238)*MIN(E$3-$O$2,$Q$2)/$Q$2))</f>
        <v>2225.51898956299</v>
      </c>
      <c r="F258" s="15" t="n">
        <f aca="false">E258*(1+IF(F$3&lt;=$O$2,$D258,$D258-($D258-$I$238)*MIN(F$3-$O$2,$Q$2)/$Q$2))</f>
        <v>2251.3339876843</v>
      </c>
      <c r="G258" s="15" t="n">
        <f aca="false">F258*(1+IF(G$3&lt;=$O$2,$D258,$D258-($D258-$I$238)*MIN(G$3-$O$2,$Q$2)/$Q$2))</f>
        <v>2277.44842792726</v>
      </c>
      <c r="H258" s="15" t="n">
        <f aca="false">G258*(1+IF(H$3&lt;=$O$2,$D258,$D258-($D258-$I$238)*MIN(H$3-$O$2,$Q$2)/$Q$2))</f>
        <v>2303.86578368296</v>
      </c>
      <c r="I258" s="15" t="n">
        <f aca="false">H258*(1+IF(I$3&lt;=$O$2,$D258,$D258-($D258-$I$238)*MIN(I$3-$O$2,$Q$2)/$Q$2))</f>
        <v>2330.5895686322</v>
      </c>
      <c r="J258" s="15" t="n">
        <f aca="false">I258*(1+IF(J$3&lt;=$O$2,$D258,$D258-($D258-$I$238)*MIN(J$3-$O$2,$Q$2)/$Q$2))</f>
        <v>2365.40772045521</v>
      </c>
      <c r="K258" s="15" t="n">
        <f aca="false">J258*(1+IF(K$3&lt;=$O$2,$D258,$D258-($D258-$I$238)*MIN(K$3-$O$2,$Q$2)/$Q$2))</f>
        <v>2408.6467217409</v>
      </c>
      <c r="L258" s="15" t="n">
        <f aca="false">K258*(1+IF(L$3&lt;=$O$2,$D258,$D258-($D258-$I$238)*MIN(L$3-$O$2,$Q$2)/$Q$2))</f>
        <v>2460.72122135843</v>
      </c>
      <c r="M258" s="15" t="n">
        <f aca="false">L258*(1+IF(M$3&lt;=$O$2,$D258,$D258-($D258-$I$238)*MIN(M$3-$O$2,$Q$2)/$Q$2))</f>
        <v>2522.14059700683</v>
      </c>
      <c r="N258" s="15" t="n">
        <f aca="false">M258*(1+IF(N$3&lt;=$O$2,$D258,$D258-($D258-$I$238)*MIN(N$3-$O$2,$Q$2)/$Q$2))</f>
        <v>2593.51717590213</v>
      </c>
      <c r="O258" s="15" t="n">
        <f aca="false">SUMPRODUCT(E258:N258,1/(1+$F$238)^$E$3:$N$3)*$E$2</f>
        <v>8449.60292508595</v>
      </c>
      <c r="P258" s="15" t="n">
        <f aca="false">N258*$E$2*(1+$I$238)/($F$238-$I$238)/(1+$F$238)^$N$3</f>
        <v>15381.1209992873</v>
      </c>
      <c r="Q258" s="15" t="n">
        <f aca="false">O258+P258</f>
        <v>23830.7239243732</v>
      </c>
      <c r="R258" s="15" t="n">
        <f aca="false">Q258-$G$2+$I$2</f>
        <v>25740.3839243732</v>
      </c>
      <c r="S258" s="42" t="n">
        <f aca="false">R258/$K$2</f>
        <v>109.987539735817</v>
      </c>
      <c r="T258" s="43" t="n">
        <f aca="false">S258-$M$2</f>
        <v>0.00164049213005057</v>
      </c>
    </row>
    <row r="259" customFormat="false" ht="15" hidden="false" customHeight="false" outlineLevel="0" collapsed="false">
      <c r="A259" s="5" t="n">
        <v>20</v>
      </c>
      <c r="B259" s="25" t="n">
        <f aca="false">IF(T258&gt;0,B258,D258)</f>
        <v>0.0115966796875</v>
      </c>
      <c r="C259" s="25" t="n">
        <f aca="false">IF(T258&gt;0,D258,C258)</f>
        <v>0.0115995407104492</v>
      </c>
      <c r="D259" s="41" t="n">
        <f aca="false">(B259+C259)/2</f>
        <v>0.0115981101989746</v>
      </c>
      <c r="E259" s="15" t="n">
        <f aca="false">$C$2*(1+IF(E$3&lt;=$O$2,$D259,$D259-($D259-$I$238)*MIN(E$3-$O$2,$Q$2)/$Q$2))</f>
        <v>2225.51584243774</v>
      </c>
      <c r="F259" s="15" t="n">
        <f aca="false">E259*(1+IF(F$3&lt;=$O$2,$D259,$D259-($D259-$I$238)*MIN(F$3-$O$2,$Q$2)/$Q$2))</f>
        <v>2251.3276204279</v>
      </c>
      <c r="G259" s="15" t="n">
        <f aca="false">F259*(1+IF(G$3&lt;=$O$2,$D259,$D259-($D259-$I$238)*MIN(G$3-$O$2,$Q$2)/$Q$2))</f>
        <v>2277.43876626362</v>
      </c>
      <c r="H259" s="15" t="n">
        <f aca="false">G259*(1+IF(H$3&lt;=$O$2,$D259,$D259-($D259-$I$238)*MIN(H$3-$O$2,$Q$2)/$Q$2))</f>
        <v>2303.85275204616</v>
      </c>
      <c r="I259" s="15" t="n">
        <f aca="false">H259*(1+IF(I$3&lt;=$O$2,$D259,$D259-($D259-$I$238)*MIN(I$3-$O$2,$Q$2)/$Q$2))</f>
        <v>2330.5730901466</v>
      </c>
      <c r="J259" s="15" t="n">
        <f aca="false">I259*(1+IF(J$3&lt;=$O$2,$D259,$D259-($D259-$I$238)*MIN(J$3-$O$2,$Q$2)/$Q$2))</f>
        <v>2365.38832865786</v>
      </c>
      <c r="K259" s="15" t="n">
        <f aca="false">J259*(1+IF(K$3&lt;=$O$2,$D259,$D259-($D259-$I$238)*MIN(K$3-$O$2,$Q$2)/$Q$2))</f>
        <v>2408.62494523775</v>
      </c>
      <c r="L259" s="15" t="n">
        <f aca="false">K259*(1+IF(L$3&lt;=$O$2,$D259,$D259-($D259-$I$238)*MIN(L$3-$O$2,$Q$2)/$Q$2))</f>
        <v>2460.69759582504</v>
      </c>
      <c r="M259" s="15" t="n">
        <f aca="false">L259*(1+IF(M$3&lt;=$O$2,$D259,$D259-($D259-$I$238)*MIN(M$3-$O$2,$Q$2)/$Q$2))</f>
        <v>2522.11567777106</v>
      </c>
      <c r="N259" s="15" t="n">
        <f aca="false">M259*(1+IF(N$3&lt;=$O$2,$D259,$D259-($D259-$I$238)*MIN(N$3-$O$2,$Q$2)/$Q$2))</f>
        <v>2593.49155145198</v>
      </c>
      <c r="O259" s="15" t="n">
        <f aca="false">SUMPRODUCT(E259:N259,1/(1+$F$238)^$E$3:$N$3)*$E$2</f>
        <v>8449.54946984924</v>
      </c>
      <c r="P259" s="15" t="n">
        <f aca="false">N259*$E$2*(1+$I$238)/($F$238-$I$238)/(1+$F$238)^$N$3</f>
        <v>15380.9690308438</v>
      </c>
      <c r="Q259" s="15" t="n">
        <f aca="false">O259+P259</f>
        <v>23830.5185006931</v>
      </c>
      <c r="R259" s="15" t="n">
        <f aca="false">Q259-$G$2+$I$2</f>
        <v>25740.1785006931</v>
      </c>
      <c r="S259" s="42" t="n">
        <f aca="false">R259/$K$2</f>
        <v>109.986661969376</v>
      </c>
      <c r="T259" s="43" t="n">
        <f aca="false">S259-$M$2</f>
        <v>0.00076272568938407</v>
      </c>
    </row>
    <row r="260" customFormat="false" ht="15" hidden="false" customHeight="false" outlineLevel="0" collapsed="false">
      <c r="A260" s="5" t="n">
        <v>21</v>
      </c>
      <c r="B260" s="25" t="n">
        <f aca="false">IF(T259&gt;0,B259,D259)</f>
        <v>0.0115966796875</v>
      </c>
      <c r="C260" s="25" t="n">
        <f aca="false">IF(T259&gt;0,D259,C259)</f>
        <v>0.0115981101989746</v>
      </c>
      <c r="D260" s="41" t="n">
        <f aca="false">(B260+C260)/2</f>
        <v>0.0115973949432373</v>
      </c>
      <c r="E260" s="15" t="n">
        <f aca="false">$C$2*(1+IF(E$3&lt;=$O$2,$D260,$D260-($D260-$I$238)*MIN(E$3-$O$2,$Q$2)/$Q$2))</f>
        <v>2225.51426887512</v>
      </c>
      <c r="F260" s="15" t="n">
        <f aca="false">E260*(1+IF(F$3&lt;=$O$2,$D260,$D260-($D260-$I$238)*MIN(F$3-$O$2,$Q$2)/$Q$2))</f>
        <v>2251.32443680308</v>
      </c>
      <c r="G260" s="15" t="n">
        <f aca="false">F260*(1+IF(G$3&lt;=$O$2,$D260,$D260-($D260-$I$238)*MIN(G$3-$O$2,$Q$2)/$Q$2))</f>
        <v>2277.43393544204</v>
      </c>
      <c r="H260" s="15" t="n">
        <f aca="false">G260*(1+IF(H$3&lt;=$O$2,$D260,$D260-($D260-$I$238)*MIN(H$3-$O$2,$Q$2)/$Q$2))</f>
        <v>2303.8462362485</v>
      </c>
      <c r="I260" s="15" t="n">
        <f aca="false">H260*(1+IF(I$3&lt;=$O$2,$D260,$D260-($D260-$I$238)*MIN(I$3-$O$2,$Q$2)/$Q$2))</f>
        <v>2330.56485093876</v>
      </c>
      <c r="J260" s="15" t="n">
        <f aca="false">I260*(1+IF(J$3&lt;=$O$2,$D260,$D260-($D260-$I$238)*MIN(J$3-$O$2,$Q$2)/$Q$2))</f>
        <v>2365.37863280881</v>
      </c>
      <c r="K260" s="15" t="n">
        <f aca="false">J260*(1+IF(K$3&lt;=$O$2,$D260,$D260-($D260-$I$238)*MIN(K$3-$O$2,$Q$2)/$Q$2))</f>
        <v>2408.61405704919</v>
      </c>
      <c r="L260" s="15" t="n">
        <f aca="false">K260*(1+IF(L$3&lt;=$O$2,$D260,$D260-($D260-$I$238)*MIN(L$3-$O$2,$Q$2)/$Q$2))</f>
        <v>2460.68578313206</v>
      </c>
      <c r="M260" s="15" t="n">
        <f aca="false">L260*(1+IF(M$3&lt;=$O$2,$D260,$D260-($D260-$I$238)*MIN(M$3-$O$2,$Q$2)/$Q$2))</f>
        <v>2522.1032182338</v>
      </c>
      <c r="N260" s="15" t="n">
        <f aca="false">M260*(1+IF(N$3&lt;=$O$2,$D260,$D260-($D260-$I$238)*MIN(N$3-$O$2,$Q$2)/$Q$2))</f>
        <v>2593.47873930982</v>
      </c>
      <c r="O260" s="15" t="n">
        <f aca="false">SUMPRODUCT(E260:N260,1/(1+$F$238)^$E$3:$N$3)*$E$2</f>
        <v>8449.52274235964</v>
      </c>
      <c r="P260" s="15" t="n">
        <f aca="false">N260*$E$2*(1+$I$238)/($F$238-$I$238)/(1+$F$238)^$N$3</f>
        <v>15380.8930471138</v>
      </c>
      <c r="Q260" s="15" t="n">
        <f aca="false">O260+P260</f>
        <v>23830.4157894735</v>
      </c>
      <c r="R260" s="15" t="n">
        <f aca="false">Q260-$G$2+$I$2</f>
        <v>25740.0757894735</v>
      </c>
      <c r="S260" s="42" t="n">
        <f aca="false">R260/$K$2</f>
        <v>109.986223088807</v>
      </c>
      <c r="T260" s="43" t="n">
        <f aca="false">S260-$M$2</f>
        <v>0.000323845120178135</v>
      </c>
    </row>
    <row r="261" customFormat="false" ht="15" hidden="false" customHeight="false" outlineLevel="0" collapsed="false">
      <c r="A261" s="5" t="n">
        <v>22</v>
      </c>
      <c r="B261" s="25" t="n">
        <f aca="false">IF(T260&gt;0,B260,D260)</f>
        <v>0.0115966796875</v>
      </c>
      <c r="C261" s="25" t="n">
        <f aca="false">IF(T260&gt;0,D260,C260)</f>
        <v>0.0115973949432373</v>
      </c>
      <c r="D261" s="41" t="n">
        <f aca="false">(B261+C261)/2</f>
        <v>0.0115970373153687</v>
      </c>
      <c r="E261" s="15" t="n">
        <f aca="false">$C$2*(1+IF(E$3&lt;=$O$2,$D261,$D261-($D261-$I$238)*MIN(E$3-$O$2,$Q$2)/$Q$2))</f>
        <v>2225.51348209381</v>
      </c>
      <c r="F261" s="15" t="n">
        <f aca="false">E261*(1+IF(F$3&lt;=$O$2,$D261,$D261-($D261-$I$238)*MIN(F$3-$O$2,$Q$2)/$Q$2))</f>
        <v>2251.32284499151</v>
      </c>
      <c r="G261" s="15" t="n">
        <f aca="false">F261*(1+IF(G$3&lt;=$O$2,$D261,$D261-($D261-$I$238)*MIN(G$3-$O$2,$Q$2)/$Q$2))</f>
        <v>2277.43152003382</v>
      </c>
      <c r="H261" s="15" t="n">
        <f aca="false">G261*(1+IF(H$3&lt;=$O$2,$D261,$D261-($D261-$I$238)*MIN(H$3-$O$2,$Q$2)/$Q$2))</f>
        <v>2303.84297835485</v>
      </c>
      <c r="I261" s="15" t="n">
        <f aca="false">H261*(1+IF(I$3&lt;=$O$2,$D261,$D261-($D261-$I$238)*MIN(I$3-$O$2,$Q$2)/$Q$2))</f>
        <v>2330.56073134358</v>
      </c>
      <c r="J261" s="15" t="n">
        <f aca="false">I261*(1+IF(J$3&lt;=$O$2,$D261,$D261-($D261-$I$238)*MIN(J$3-$O$2,$Q$2)/$Q$2))</f>
        <v>2365.37378489668</v>
      </c>
      <c r="K261" s="15" t="n">
        <f aca="false">J261*(1+IF(K$3&lt;=$O$2,$D261,$D261-($D261-$I$238)*MIN(K$3-$O$2,$Q$2)/$Q$2))</f>
        <v>2408.60861297066</v>
      </c>
      <c r="L261" s="15" t="n">
        <f aca="false">K261*(1+IF(L$3&lt;=$O$2,$D261,$D261-($D261-$I$238)*MIN(L$3-$O$2,$Q$2)/$Q$2))</f>
        <v>2460.67987680399</v>
      </c>
      <c r="M261" s="15" t="n">
        <f aca="false">L261*(1+IF(M$3&lt;=$O$2,$D261,$D261-($D261-$I$238)*MIN(M$3-$O$2,$Q$2)/$Q$2))</f>
        <v>2522.09698848533</v>
      </c>
      <c r="N261" s="15" t="n">
        <f aca="false">M261*(1+IF(N$3&lt;=$O$2,$D261,$D261-($D261-$I$238)*MIN(N$3-$O$2,$Q$2)/$Q$2))</f>
        <v>2593.47233325947</v>
      </c>
      <c r="O261" s="15" t="n">
        <f aca="false">SUMPRODUCT(E261:N261,1/(1+$F$238)^$E$3:$N$3)*$E$2</f>
        <v>8449.50937864703</v>
      </c>
      <c r="P261" s="15" t="n">
        <f aca="false">N261*$E$2*(1+$I$238)/($F$238-$I$238)/(1+$F$238)^$N$3</f>
        <v>15380.8550553718</v>
      </c>
      <c r="Q261" s="15" t="n">
        <f aca="false">O261+P261</f>
        <v>23830.3644340188</v>
      </c>
      <c r="R261" s="15" t="n">
        <f aca="false">Q261-$G$2+$I$2</f>
        <v>25740.0244340188</v>
      </c>
      <c r="S261" s="42" t="n">
        <f aca="false">R261/$K$2</f>
        <v>109.986003649185</v>
      </c>
      <c r="T261" s="43" t="n">
        <f aca="false">S261-$M$2</f>
        <v>0.000104405498362325</v>
      </c>
    </row>
    <row r="262" customFormat="false" ht="15" hidden="false" customHeight="false" outlineLevel="0" collapsed="false">
      <c r="A262" s="5" t="n">
        <v>23</v>
      </c>
      <c r="B262" s="25" t="n">
        <f aca="false">IF(T261&gt;0,B261,D261)</f>
        <v>0.0115966796875</v>
      </c>
      <c r="C262" s="25" t="n">
        <f aca="false">IF(T261&gt;0,D261,C261)</f>
        <v>0.0115970373153687</v>
      </c>
      <c r="D262" s="41" t="n">
        <f aca="false">(B262+C262)/2</f>
        <v>0.0115968585014343</v>
      </c>
      <c r="E262" s="15" t="n">
        <f aca="false">$C$2*(1+IF(E$3&lt;=$O$2,$D262,$D262-($D262-$I$238)*MIN(E$3-$O$2,$Q$2)/$Q$2))</f>
        <v>2225.51308870316</v>
      </c>
      <c r="F262" s="15" t="n">
        <f aca="false">E262*(1+IF(F$3&lt;=$O$2,$D262,$D262-($D262-$I$238)*MIN(F$3-$O$2,$Q$2)/$Q$2))</f>
        <v>2251.32204908594</v>
      </c>
      <c r="G262" s="15" t="n">
        <f aca="false">F262*(1+IF(G$3&lt;=$O$2,$D262,$D262-($D262-$I$238)*MIN(G$3-$O$2,$Q$2)/$Q$2))</f>
        <v>2277.43031233035</v>
      </c>
      <c r="H262" s="15" t="n">
        <f aca="false">G262*(1+IF(H$3&lt;=$O$2,$D262,$D262-($D262-$I$238)*MIN(H$3-$O$2,$Q$2)/$Q$2))</f>
        <v>2303.84134940932</v>
      </c>
      <c r="I262" s="15" t="n">
        <f aca="false">H262*(1+IF(I$3&lt;=$O$2,$D262,$D262-($D262-$I$238)*MIN(I$3-$O$2,$Q$2)/$Q$2))</f>
        <v>2330.55867154817</v>
      </c>
      <c r="J262" s="15" t="n">
        <f aca="false">I262*(1+IF(J$3&lt;=$O$2,$D262,$D262-($D262-$I$238)*MIN(J$3-$O$2,$Q$2)/$Q$2))</f>
        <v>2365.37136094372</v>
      </c>
      <c r="K262" s="15" t="n">
        <f aca="false">J262*(1+IF(K$3&lt;=$O$2,$D262,$D262-($D262-$I$238)*MIN(K$3-$O$2,$Q$2)/$Q$2))</f>
        <v>2408.60589093533</v>
      </c>
      <c r="L262" s="15" t="n">
        <f aca="false">K262*(1+IF(L$3&lt;=$O$2,$D262,$D262-($D262-$I$238)*MIN(L$3-$O$2,$Q$2)/$Q$2))</f>
        <v>2460.67692364457</v>
      </c>
      <c r="M262" s="15" t="n">
        <f aca="false">L262*(1+IF(M$3&lt;=$O$2,$D262,$D262-($D262-$I$238)*MIN(M$3-$O$2,$Q$2)/$Q$2))</f>
        <v>2522.09387361613</v>
      </c>
      <c r="N262" s="15" t="n">
        <f aca="false">M262*(1+IF(N$3&lt;=$O$2,$D262,$D262-($D262-$I$238)*MIN(N$3-$O$2,$Q$2)/$Q$2))</f>
        <v>2593.46913023947</v>
      </c>
      <c r="O262" s="15" t="n">
        <f aca="false">SUMPRODUCT(E262:N262,1/(1+$F$238)^$E$3:$N$3)*$E$2</f>
        <v>8449.50269679877</v>
      </c>
      <c r="P262" s="15" t="n">
        <f aca="false">N262*$E$2*(1+$I$238)/($F$238-$I$238)/(1+$F$238)^$N$3</f>
        <v>15380.8360595314</v>
      </c>
      <c r="Q262" s="15" t="n">
        <f aca="false">O262+P262</f>
        <v>23830.3387563302</v>
      </c>
      <c r="R262" s="15" t="n">
        <f aca="false">Q262-$G$2+$I$2</f>
        <v>25739.9987563302</v>
      </c>
      <c r="S262" s="42" t="n">
        <f aca="false">R262/$K$2</f>
        <v>109.98589392954</v>
      </c>
      <c r="T262" s="43" t="n">
        <f aca="false">S262-$M$2</f>
        <v>-5.31414683280218E-006</v>
      </c>
    </row>
    <row r="263" customFormat="false" ht="15" hidden="false" customHeight="false" outlineLevel="0" collapsed="false">
      <c r="A263" s="5" t="n">
        <v>24</v>
      </c>
      <c r="B263" s="25" t="n">
        <f aca="false">IF(T262&gt;0,B262,D262)</f>
        <v>0.0115968585014343</v>
      </c>
      <c r="C263" s="25" t="n">
        <f aca="false">IF(T262&gt;0,D262,C262)</f>
        <v>0.0115970373153687</v>
      </c>
      <c r="D263" s="41" t="n">
        <f aca="false">(B263+C263)/2</f>
        <v>0.0115969479084015</v>
      </c>
      <c r="E263" s="15" t="n">
        <f aca="false">$C$2*(1+IF(E$3&lt;=$O$2,$D263,$D263-($D263-$I$238)*MIN(E$3-$O$2,$Q$2)/$Q$2))</f>
        <v>2225.51328539848</v>
      </c>
      <c r="F263" s="15" t="n">
        <f aca="false">E263*(1+IF(F$3&lt;=$O$2,$D263,$D263-($D263-$I$238)*MIN(F$3-$O$2,$Q$2)/$Q$2))</f>
        <v>2251.32244703871</v>
      </c>
      <c r="G263" s="15" t="n">
        <f aca="false">F263*(1+IF(G$3&lt;=$O$2,$D263,$D263-($D263-$I$238)*MIN(G$3-$O$2,$Q$2)/$Q$2))</f>
        <v>2277.43091618203</v>
      </c>
      <c r="H263" s="15" t="n">
        <f aca="false">G263*(1+IF(H$3&lt;=$O$2,$D263,$D263-($D263-$I$238)*MIN(H$3-$O$2,$Q$2)/$Q$2))</f>
        <v>2303.84216388197</v>
      </c>
      <c r="I263" s="15" t="n">
        <f aca="false">H263*(1+IF(I$3&lt;=$O$2,$D263,$D263-($D263-$I$238)*MIN(I$3-$O$2,$Q$2)/$Q$2))</f>
        <v>2330.55970144569</v>
      </c>
      <c r="J263" s="15" t="n">
        <f aca="false">I263*(1+IF(J$3&lt;=$O$2,$D263,$D263-($D263-$I$238)*MIN(J$3-$O$2,$Q$2)/$Q$2))</f>
        <v>2365.37257291994</v>
      </c>
      <c r="K263" s="15" t="n">
        <f aca="false">J263*(1+IF(K$3&lt;=$O$2,$D263,$D263-($D263-$I$238)*MIN(K$3-$O$2,$Q$2)/$Q$2))</f>
        <v>2408.60725195267</v>
      </c>
      <c r="L263" s="15" t="n">
        <f aca="false">K263*(1+IF(L$3&lt;=$O$2,$D263,$D263-($D263-$I$238)*MIN(L$3-$O$2,$Q$2)/$Q$2))</f>
        <v>2460.6784002239</v>
      </c>
      <c r="M263" s="15" t="n">
        <f aca="false">L263*(1+IF(M$3&lt;=$O$2,$D263,$D263-($D263-$I$238)*MIN(M$3-$O$2,$Q$2)/$Q$2))</f>
        <v>2522.09543105031</v>
      </c>
      <c r="N263" s="15" t="n">
        <f aca="false">M263*(1+IF(N$3&lt;=$O$2,$D263,$D263-($D263-$I$238)*MIN(N$3-$O$2,$Q$2)/$Q$2))</f>
        <v>2593.47073174904</v>
      </c>
      <c r="O263" s="15" t="n">
        <f aca="false">SUMPRODUCT(E263:N263,1/(1+$F$238)^$E$3:$N$3)*$E$2</f>
        <v>8449.50603772223</v>
      </c>
      <c r="P263" s="15" t="n">
        <f aca="false">N263*$E$2*(1+$I$238)/($F$238-$I$238)/(1+$F$238)^$N$3</f>
        <v>15380.845557449</v>
      </c>
      <c r="Q263" s="15" t="n">
        <f aca="false">O263+P263</f>
        <v>23830.3515951713</v>
      </c>
      <c r="R263" s="15" t="n">
        <f aca="false">Q263-$G$2+$I$2</f>
        <v>25740.0115951713</v>
      </c>
      <c r="S263" s="42" t="n">
        <f aca="false">R263/$K$2</f>
        <v>109.985948789349</v>
      </c>
      <c r="T263" s="43" t="n">
        <f aca="false">S263-$M$2</f>
        <v>4.95456619660217E-005</v>
      </c>
    </row>
    <row r="265" customFormat="false" ht="15" hidden="false" customHeight="false" outlineLevel="0" collapsed="false">
      <c r="A265" s="38" t="s">
        <v>196</v>
      </c>
      <c r="E265" s="5" t="s">
        <v>11</v>
      </c>
      <c r="F265" s="12" t="n">
        <f aca="false">Sensitivity!$B$11</f>
        <v>0.0727967762761046</v>
      </c>
      <c r="G265" s="5" t="s">
        <v>12</v>
      </c>
      <c r="I265" s="12" t="n">
        <f aca="false">Sensitivity!$F$9</f>
        <v>0.0333</v>
      </c>
    </row>
    <row r="266" customFormat="false" ht="23.85" hidden="false" customHeight="false" outlineLevel="0" collapsed="false">
      <c r="A266" s="38" t="s">
        <v>168</v>
      </c>
      <c r="B266" s="28" t="s">
        <v>169</v>
      </c>
      <c r="C266" s="28" t="s">
        <v>170</v>
      </c>
      <c r="D266" s="28" t="s">
        <v>171</v>
      </c>
      <c r="E266" s="28" t="s">
        <v>172</v>
      </c>
      <c r="F266" s="28" t="s">
        <v>173</v>
      </c>
      <c r="G266" s="28" t="s">
        <v>174</v>
      </c>
      <c r="H266" s="28" t="s">
        <v>175</v>
      </c>
      <c r="I266" s="28" t="s">
        <v>176</v>
      </c>
      <c r="J266" s="28" t="s">
        <v>177</v>
      </c>
      <c r="K266" s="28" t="s">
        <v>178</v>
      </c>
      <c r="L266" s="28" t="s">
        <v>179</v>
      </c>
      <c r="M266" s="28" t="s">
        <v>180</v>
      </c>
      <c r="N266" s="28" t="s">
        <v>181</v>
      </c>
      <c r="O266" s="28" t="s">
        <v>182</v>
      </c>
      <c r="P266" s="28" t="s">
        <v>183</v>
      </c>
      <c r="Q266" s="28" t="s">
        <v>184</v>
      </c>
      <c r="R266" s="28" t="s">
        <v>185</v>
      </c>
      <c r="S266" s="28" t="s">
        <v>186</v>
      </c>
      <c r="T266" s="28" t="s">
        <v>187</v>
      </c>
    </row>
    <row r="267" customFormat="false" ht="15" hidden="false" customHeight="false" outlineLevel="0" collapsed="false">
      <c r="A267" s="5" t="n">
        <v>1</v>
      </c>
      <c r="B267" s="24" t="n">
        <v>-0.5</v>
      </c>
      <c r="C267" s="24" t="n">
        <v>1</v>
      </c>
      <c r="D267" s="41" t="n">
        <f aca="false">(B267+C267)/2</f>
        <v>0.25</v>
      </c>
      <c r="E267" s="15" t="n">
        <f aca="false">$C$2*(1+IF(E$3&lt;=$O$2,$D267,$D267-($D267-$I$265)*MIN(E$3-$O$2,$Q$2)/$Q$2))</f>
        <v>2750</v>
      </c>
      <c r="F267" s="15" t="n">
        <f aca="false">E267*(1+IF(F$3&lt;=$O$2,$D267,$D267-($D267-$I$265)*MIN(F$3-$O$2,$Q$2)/$Q$2))</f>
        <v>3437.5</v>
      </c>
      <c r="G267" s="15" t="n">
        <f aca="false">F267*(1+IF(G$3&lt;=$O$2,$D267,$D267-($D267-$I$265)*MIN(G$3-$O$2,$Q$2)/$Q$2))</f>
        <v>4296.875</v>
      </c>
      <c r="H267" s="15" t="n">
        <f aca="false">G267*(1+IF(H$3&lt;=$O$2,$D267,$D267-($D267-$I$265)*MIN(H$3-$O$2,$Q$2)/$Q$2))</f>
        <v>5371.09375</v>
      </c>
      <c r="I267" s="15" t="n">
        <f aca="false">H267*(1+IF(I$3&lt;=$O$2,$D267,$D267-($D267-$I$265)*MIN(I$3-$O$2,$Q$2)/$Q$2))</f>
        <v>6713.8671875</v>
      </c>
      <c r="J267" s="15" t="n">
        <f aca="false">I267*(1+IF(J$3&lt;=$O$2,$D267,$D267-($D267-$I$265)*MIN(J$3-$O$2,$Q$2)/$Q$2))</f>
        <v>8101.35498046875</v>
      </c>
      <c r="K267" s="15" t="n">
        <f aca="false">J267*(1+IF(K$3&lt;=$O$2,$D267,$D267-($D267-$I$265)*MIN(K$3-$O$2,$Q$2)/$Q$2))</f>
        <v>9424.46827587891</v>
      </c>
      <c r="L267" s="15" t="n">
        <f aca="false">K267*(1+IF(L$3&lt;=$O$2,$D267,$D267-($D267-$I$265)*MIN(L$3-$O$2,$Q$2)/$Q$2))</f>
        <v>10555.2159796189</v>
      </c>
      <c r="M267" s="15" t="n">
        <f aca="false">L267*(1+IF(M$3&lt;=$O$2,$D267,$D267-($D267-$I$265)*MIN(M$3-$O$2,$Q$2)/$Q$2))</f>
        <v>11364.1677322968</v>
      </c>
      <c r="N267" s="15" t="n">
        <f aca="false">M267*(1+IF(N$3&lt;=$O$2,$D267,$D267-($D267-$I$265)*MIN(N$3-$O$2,$Q$2)/$Q$2))</f>
        <v>11742.5945177823</v>
      </c>
      <c r="O267" s="15" t="n">
        <f aca="false">SUMPRODUCT(E267:N267,1/(1+$F$265)^$E$3:$N$3)*$E$2</f>
        <v>24228.648683979</v>
      </c>
      <c r="P267" s="15" t="n">
        <f aca="false">N267*$E$2*(1+$I$265)/($F$265-$I$265)/(1+$F$265)^$N$3</f>
        <v>78838.1485095599</v>
      </c>
      <c r="Q267" s="15" t="n">
        <f aca="false">O267+P267</f>
        <v>103066.797193539</v>
      </c>
      <c r="R267" s="15" t="n">
        <f aca="false">Q267-$G$2+$I$2</f>
        <v>104976.457193539</v>
      </c>
      <c r="S267" s="42" t="n">
        <f aca="false">R267/$K$2</f>
        <v>448.559830763316</v>
      </c>
      <c r="T267" s="43" t="n">
        <f aca="false">S267-$M$2</f>
        <v>338.573931519629</v>
      </c>
    </row>
    <row r="268" customFormat="false" ht="15" hidden="false" customHeight="false" outlineLevel="0" collapsed="false">
      <c r="A268" s="5" t="n">
        <v>2</v>
      </c>
      <c r="B268" s="25" t="n">
        <f aca="false">IF(T267&gt;0,B267,D267)</f>
        <v>-0.5</v>
      </c>
      <c r="C268" s="25" t="n">
        <f aca="false">IF(T267&gt;0,D267,C267)</f>
        <v>0.25</v>
      </c>
      <c r="D268" s="41" t="n">
        <f aca="false">(B268+C268)/2</f>
        <v>-0.125</v>
      </c>
      <c r="E268" s="15" t="n">
        <f aca="false">$C$2*(1+IF(E$3&lt;=$O$2,$D268,$D268-($D268-$I$265)*MIN(E$3-$O$2,$Q$2)/$Q$2))</f>
        <v>1925</v>
      </c>
      <c r="F268" s="15" t="n">
        <f aca="false">E268*(1+IF(F$3&lt;=$O$2,$D268,$D268-($D268-$I$265)*MIN(F$3-$O$2,$Q$2)/$Q$2))</f>
        <v>1684.375</v>
      </c>
      <c r="G268" s="15" t="n">
        <f aca="false">F268*(1+IF(G$3&lt;=$O$2,$D268,$D268-($D268-$I$265)*MIN(G$3-$O$2,$Q$2)/$Q$2))</f>
        <v>1473.828125</v>
      </c>
      <c r="H268" s="15" t="n">
        <f aca="false">G268*(1+IF(H$3&lt;=$O$2,$D268,$D268-($D268-$I$265)*MIN(H$3-$O$2,$Q$2)/$Q$2))</f>
        <v>1289.599609375</v>
      </c>
      <c r="I268" s="15" t="n">
        <f aca="false">H268*(1+IF(I$3&lt;=$O$2,$D268,$D268-($D268-$I$265)*MIN(I$3-$O$2,$Q$2)/$Q$2))</f>
        <v>1128.39965820313</v>
      </c>
      <c r="J268" s="15" t="n">
        <f aca="false">I268*(1+IF(J$3&lt;=$O$2,$D268,$D268-($D268-$I$265)*MIN(J$3-$O$2,$Q$2)/$Q$2))</f>
        <v>1023.07483410645</v>
      </c>
      <c r="K268" s="15" t="n">
        <f aca="false">J268*(1+IF(K$3&lt;=$O$2,$D268,$D268-($D268-$I$265)*MIN(K$3-$O$2,$Q$2)/$Q$2))</f>
        <v>959.97157833876</v>
      </c>
      <c r="L268" s="15" t="n">
        <f aca="false">K268*(1+IF(L$3&lt;=$O$2,$D268,$D268-($D268-$I$265)*MIN(L$3-$O$2,$Q$2)/$Q$2))</f>
        <v>931.15323155703</v>
      </c>
      <c r="M268" s="15" t="n">
        <f aca="false">L268*(1+IF(M$3&lt;=$O$2,$D268,$D268-($D268-$I$265)*MIN(M$3-$O$2,$Q$2)/$Q$2))</f>
        <v>932.680322856784</v>
      </c>
      <c r="N268" s="15" t="n">
        <f aca="false">M268*(1+IF(N$3&lt;=$O$2,$D268,$D268-($D268-$I$265)*MIN(N$3-$O$2,$Q$2)/$Q$2))</f>
        <v>963.738577607915</v>
      </c>
      <c r="O268" s="15" t="n">
        <f aca="false">SUMPRODUCT(E268:N268,1/(1+$F$265)^$E$3:$N$3)*$E$2</f>
        <v>4653.79687024413</v>
      </c>
      <c r="P268" s="15" t="n">
        <f aca="false">N268*$E$2*(1+$I$265)/($F$265-$I$265)/(1+$F$265)^$N$3</f>
        <v>6470.40694377941</v>
      </c>
      <c r="Q268" s="15" t="n">
        <f aca="false">O268+P268</f>
        <v>11124.2038140235</v>
      </c>
      <c r="R268" s="15" t="n">
        <f aca="false">Q268-$G$2+$I$2</f>
        <v>13033.8638140235</v>
      </c>
      <c r="S268" s="42" t="n">
        <f aca="false">R268/$K$2</f>
        <v>55.6931325643018</v>
      </c>
      <c r="T268" s="43" t="n">
        <f aca="false">S268-$M$2</f>
        <v>-54.2927666793849</v>
      </c>
    </row>
    <row r="269" customFormat="false" ht="15" hidden="false" customHeight="false" outlineLevel="0" collapsed="false">
      <c r="A269" s="5" t="n">
        <v>3</v>
      </c>
      <c r="B269" s="25" t="n">
        <f aca="false">IF(T268&gt;0,B268,D268)</f>
        <v>-0.125</v>
      </c>
      <c r="C269" s="25" t="n">
        <f aca="false">IF(T268&gt;0,D268,C268)</f>
        <v>0.25</v>
      </c>
      <c r="D269" s="41" t="n">
        <f aca="false">(B269+C269)/2</f>
        <v>0.0625</v>
      </c>
      <c r="E269" s="15" t="n">
        <f aca="false">$C$2*(1+IF(E$3&lt;=$O$2,$D269,$D269-($D269-$I$265)*MIN(E$3-$O$2,$Q$2)/$Q$2))</f>
        <v>2337.5</v>
      </c>
      <c r="F269" s="15" t="n">
        <f aca="false">E269*(1+IF(F$3&lt;=$O$2,$D269,$D269-($D269-$I$265)*MIN(F$3-$O$2,$Q$2)/$Q$2))</f>
        <v>2483.59375</v>
      </c>
      <c r="G269" s="15" t="n">
        <f aca="false">F269*(1+IF(G$3&lt;=$O$2,$D269,$D269-($D269-$I$265)*MIN(G$3-$O$2,$Q$2)/$Q$2))</f>
        <v>2638.818359375</v>
      </c>
      <c r="H269" s="15" t="n">
        <f aca="false">G269*(1+IF(H$3&lt;=$O$2,$D269,$D269-($D269-$I$265)*MIN(H$3-$O$2,$Q$2)/$Q$2))</f>
        <v>2803.74450683594</v>
      </c>
      <c r="I269" s="15" t="n">
        <f aca="false">H269*(1+IF(I$3&lt;=$O$2,$D269,$D269-($D269-$I$265)*MIN(I$3-$O$2,$Q$2)/$Q$2))</f>
        <v>2978.97853851318</v>
      </c>
      <c r="J269" s="15" t="n">
        <f aca="false">I269*(1+IF(J$3&lt;=$O$2,$D269,$D269-($D269-$I$265)*MIN(J$3-$O$2,$Q$2)/$Q$2))</f>
        <v>3147.76746250534</v>
      </c>
      <c r="K269" s="15" t="n">
        <f aca="false">J269*(1+IF(K$3&lt;=$O$2,$D269,$D269-($D269-$I$265)*MIN(K$3-$O$2,$Q$2)/$Q$2))</f>
        <v>3307.73700494986</v>
      </c>
      <c r="L269" s="15" t="n">
        <f aca="false">K269*(1+IF(L$3&lt;=$O$2,$D269,$D269-($D269-$I$265)*MIN(L$3-$O$2,$Q$2)/$Q$2))</f>
        <v>3456.51901543251</v>
      </c>
      <c r="M269" s="15" t="n">
        <f aca="false">L269*(1+IF(M$3&lt;=$O$2,$D269,$D269-($D269-$I$265)*MIN(M$3-$O$2,$Q$2)/$Q$2))</f>
        <v>3591.80716969654</v>
      </c>
      <c r="N269" s="15" t="n">
        <f aca="false">M269*(1+IF(N$3&lt;=$O$2,$D269,$D269-($D269-$I$265)*MIN(N$3-$O$2,$Q$2)/$Q$2))</f>
        <v>3711.41434844743</v>
      </c>
      <c r="O269" s="15" t="n">
        <f aca="false">SUMPRODUCT(E269:N269,1/(1+$F$265)^$E$3:$N$3)*$E$2</f>
        <v>10618.2445510628</v>
      </c>
      <c r="P269" s="15" t="n">
        <f aca="false">N269*$E$2*(1+$I$265)/($F$265-$I$265)/(1+$F$265)^$N$3</f>
        <v>24917.9204085018</v>
      </c>
      <c r="Q269" s="15" t="n">
        <f aca="false">O269+P269</f>
        <v>35536.1649595646</v>
      </c>
      <c r="R269" s="15" t="n">
        <f aca="false">Q269-$G$2+$I$2</f>
        <v>37445.8249595646</v>
      </c>
      <c r="S269" s="42" t="n">
        <f aca="false">R269/$K$2</f>
        <v>160.004379607591</v>
      </c>
      <c r="T269" s="43" t="n">
        <f aca="false">S269-$M$2</f>
        <v>50.0184803639046</v>
      </c>
    </row>
    <row r="270" customFormat="false" ht="15" hidden="false" customHeight="false" outlineLevel="0" collapsed="false">
      <c r="A270" s="5" t="n">
        <v>4</v>
      </c>
      <c r="B270" s="25" t="n">
        <f aca="false">IF(T269&gt;0,B269,D269)</f>
        <v>-0.125</v>
      </c>
      <c r="C270" s="25" t="n">
        <f aca="false">IF(T269&gt;0,D269,C269)</f>
        <v>0.0625</v>
      </c>
      <c r="D270" s="41" t="n">
        <f aca="false">(B270+C270)/2</f>
        <v>-0.03125</v>
      </c>
      <c r="E270" s="15" t="n">
        <f aca="false">$C$2*(1+IF(E$3&lt;=$O$2,$D270,$D270-($D270-$I$265)*MIN(E$3-$O$2,$Q$2)/$Q$2))</f>
        <v>2131.25</v>
      </c>
      <c r="F270" s="15" t="n">
        <f aca="false">E270*(1+IF(F$3&lt;=$O$2,$D270,$D270-($D270-$I$265)*MIN(F$3-$O$2,$Q$2)/$Q$2))</f>
        <v>2064.6484375</v>
      </c>
      <c r="G270" s="15" t="n">
        <f aca="false">F270*(1+IF(G$3&lt;=$O$2,$D270,$D270-($D270-$I$265)*MIN(G$3-$O$2,$Q$2)/$Q$2))</f>
        <v>2000.12817382813</v>
      </c>
      <c r="H270" s="15" t="n">
        <f aca="false">G270*(1+IF(H$3&lt;=$O$2,$D270,$D270-($D270-$I$265)*MIN(H$3-$O$2,$Q$2)/$Q$2))</f>
        <v>1937.624168396</v>
      </c>
      <c r="I270" s="15" t="n">
        <f aca="false">H270*(1+IF(I$3&lt;=$O$2,$D270,$D270-($D270-$I$265)*MIN(I$3-$O$2,$Q$2)/$Q$2))</f>
        <v>1877.07341313362</v>
      </c>
      <c r="J270" s="15" t="n">
        <f aca="false">I270*(1+IF(J$3&lt;=$O$2,$D270,$D270-($D270-$I$265)*MIN(J$3-$O$2,$Q$2)/$Q$2))</f>
        <v>1842.64788673675</v>
      </c>
      <c r="K270" s="15" t="n">
        <f aca="false">J270*(1+IF(K$3&lt;=$O$2,$D270,$D270-($D270-$I$265)*MIN(K$3-$O$2,$Q$2)/$Q$2))</f>
        <v>1832.64230871177</v>
      </c>
      <c r="L270" s="15" t="n">
        <f aca="false">K270*(1+IF(L$3&lt;=$O$2,$D270,$D270-($D270-$I$265)*MIN(L$3-$O$2,$Q$2)/$Q$2))</f>
        <v>1846.35047318093</v>
      </c>
      <c r="M270" s="15" t="n">
        <f aca="false">L270*(1+IF(M$3&lt;=$O$2,$D270,$D270-($D270-$I$265)*MIN(M$3-$O$2,$Q$2)/$Q$2))</f>
        <v>1883.99755932909</v>
      </c>
      <c r="N270" s="15" t="n">
        <f aca="false">M270*(1+IF(N$3&lt;=$O$2,$D270,$D270-($D270-$I$265)*MIN(N$3-$O$2,$Q$2)/$Q$2))</f>
        <v>1946.73467805475</v>
      </c>
      <c r="O270" s="15" t="n">
        <f aca="false">SUMPRODUCT(E270:N270,1/(1+$F$265)^$E$3:$N$3)*$E$2</f>
        <v>7011.63108052839</v>
      </c>
      <c r="P270" s="15" t="n">
        <f aca="false">N270*$E$2*(1+$I$265)/($F$265-$I$265)/(1+$F$265)^$N$3</f>
        <v>13070.1062209696</v>
      </c>
      <c r="Q270" s="15" t="n">
        <f aca="false">O270+P270</f>
        <v>20081.737301498</v>
      </c>
      <c r="R270" s="15" t="n">
        <f aca="false">Q270-$G$2+$I$2</f>
        <v>21991.397301498</v>
      </c>
      <c r="S270" s="42" t="n">
        <f aca="false">R270/$K$2</f>
        <v>93.968283132496</v>
      </c>
      <c r="T270" s="43" t="n">
        <f aca="false">S270-$M$2</f>
        <v>-16.0176161111907</v>
      </c>
    </row>
    <row r="271" customFormat="false" ht="15" hidden="false" customHeight="false" outlineLevel="0" collapsed="false">
      <c r="A271" s="5" t="n">
        <v>5</v>
      </c>
      <c r="B271" s="25" t="n">
        <f aca="false">IF(T270&gt;0,B270,D270)</f>
        <v>-0.03125</v>
      </c>
      <c r="C271" s="25" t="n">
        <f aca="false">IF(T270&gt;0,D270,C270)</f>
        <v>0.0625</v>
      </c>
      <c r="D271" s="41" t="n">
        <f aca="false">(B271+C271)/2</f>
        <v>0.015625</v>
      </c>
      <c r="E271" s="15" t="n">
        <f aca="false">$C$2*(1+IF(E$3&lt;=$O$2,$D271,$D271-($D271-$I$265)*MIN(E$3-$O$2,$Q$2)/$Q$2))</f>
        <v>2234.375</v>
      </c>
      <c r="F271" s="15" t="n">
        <f aca="false">E271*(1+IF(F$3&lt;=$O$2,$D271,$D271-($D271-$I$265)*MIN(F$3-$O$2,$Q$2)/$Q$2))</f>
        <v>2269.287109375</v>
      </c>
      <c r="G271" s="15" t="n">
        <f aca="false">F271*(1+IF(G$3&lt;=$O$2,$D271,$D271-($D271-$I$265)*MIN(G$3-$O$2,$Q$2)/$Q$2))</f>
        <v>2304.74472045898</v>
      </c>
      <c r="H271" s="15" t="n">
        <f aca="false">G271*(1+IF(H$3&lt;=$O$2,$D271,$D271-($D271-$I$265)*MIN(H$3-$O$2,$Q$2)/$Q$2))</f>
        <v>2340.75635671616</v>
      </c>
      <c r="I271" s="15" t="n">
        <f aca="false">H271*(1+IF(I$3&lt;=$O$2,$D271,$D271-($D271-$I$265)*MIN(I$3-$O$2,$Q$2)/$Q$2))</f>
        <v>2377.33067478985</v>
      </c>
      <c r="J271" s="15" t="n">
        <f aca="false">I271*(1+IF(J$3&lt;=$O$2,$D271,$D271-($D271-$I$265)*MIN(J$3-$O$2,$Q$2)/$Q$2))</f>
        <v>2422.88033051882</v>
      </c>
      <c r="K271" s="15" t="n">
        <f aca="false">J271*(1+IF(K$3&lt;=$O$2,$D271,$D271-($D271-$I$265)*MIN(K$3-$O$2,$Q$2)/$Q$2))</f>
        <v>2477.86759961994</v>
      </c>
      <c r="L271" s="15" t="n">
        <f aca="false">K271*(1+IF(L$3&lt;=$O$2,$D271,$D271-($D271-$I$265)*MIN(L$3-$O$2,$Q$2)/$Q$2))</f>
        <v>2542.86206675798</v>
      </c>
      <c r="M271" s="15" t="n">
        <f aca="false">L271*(1+IF(M$3&lt;=$O$2,$D271,$D271-($D271-$I$265)*MIN(M$3-$O$2,$Q$2)/$Q$2))</f>
        <v>2618.55035617503</v>
      </c>
      <c r="N271" s="15" t="n">
        <f aca="false">M271*(1+IF(N$3&lt;=$O$2,$D271,$D271-($D271-$I$265)*MIN(N$3-$O$2,$Q$2)/$Q$2))</f>
        <v>2705.74808303566</v>
      </c>
      <c r="O271" s="15" t="n">
        <f aca="false">SUMPRODUCT(E271:N271,1/(1+$F$265)^$E$3:$N$3)*$E$2</f>
        <v>8625.97101498825</v>
      </c>
      <c r="P271" s="15" t="n">
        <f aca="false">N271*$E$2*(1+$I$265)/($F$265-$I$265)/(1+$F$265)^$N$3</f>
        <v>18166.0167926933</v>
      </c>
      <c r="Q271" s="15" t="n">
        <f aca="false">O271+P271</f>
        <v>26791.9878076815</v>
      </c>
      <c r="R271" s="15" t="n">
        <f aca="false">Q271-$G$2+$I$2</f>
        <v>28701.6478076815</v>
      </c>
      <c r="S271" s="42" t="n">
        <f aca="false">R271/$K$2</f>
        <v>122.64089137154</v>
      </c>
      <c r="T271" s="43" t="n">
        <f aca="false">S271-$M$2</f>
        <v>12.6549921278534</v>
      </c>
    </row>
    <row r="272" customFormat="false" ht="15" hidden="false" customHeight="false" outlineLevel="0" collapsed="false">
      <c r="A272" s="5" t="n">
        <v>6</v>
      </c>
      <c r="B272" s="25" t="n">
        <f aca="false">IF(T271&gt;0,B271,D271)</f>
        <v>-0.03125</v>
      </c>
      <c r="C272" s="25" t="n">
        <f aca="false">IF(T271&gt;0,D271,C271)</f>
        <v>0.015625</v>
      </c>
      <c r="D272" s="41" t="n">
        <f aca="false">(B272+C272)/2</f>
        <v>-0.0078125</v>
      </c>
      <c r="E272" s="15" t="n">
        <f aca="false">$C$2*(1+IF(E$3&lt;=$O$2,$D272,$D272-($D272-$I$265)*MIN(E$3-$O$2,$Q$2)/$Q$2))</f>
        <v>2182.8125</v>
      </c>
      <c r="F272" s="15" t="n">
        <f aca="false">E272*(1+IF(F$3&lt;=$O$2,$D272,$D272-($D272-$I$265)*MIN(F$3-$O$2,$Q$2)/$Q$2))</f>
        <v>2165.75927734375</v>
      </c>
      <c r="G272" s="15" t="n">
        <f aca="false">F272*(1+IF(G$3&lt;=$O$2,$D272,$D272-($D272-$I$265)*MIN(G$3-$O$2,$Q$2)/$Q$2))</f>
        <v>2148.8392829895</v>
      </c>
      <c r="H272" s="15" t="n">
        <f aca="false">G272*(1+IF(H$3&lt;=$O$2,$D272,$D272-($D272-$I$265)*MIN(H$3-$O$2,$Q$2)/$Q$2))</f>
        <v>2132.05147609115</v>
      </c>
      <c r="I272" s="15" t="n">
        <f aca="false">H272*(1+IF(I$3&lt;=$O$2,$D272,$D272-($D272-$I$265)*MIN(I$3-$O$2,$Q$2)/$Q$2))</f>
        <v>2115.39482393418</v>
      </c>
      <c r="J272" s="15" t="n">
        <f aca="false">I272*(1+IF(J$3&lt;=$O$2,$D272,$D272-($D272-$I$265)*MIN(J$3-$O$2,$Q$2)/$Q$2))</f>
        <v>2116.262135812</v>
      </c>
      <c r="K272" s="15" t="n">
        <f aca="false">J272*(1+IF(K$3&lt;=$O$2,$D272,$D272-($D272-$I$265)*MIN(K$3-$O$2,$Q$2)/$Q$2))</f>
        <v>2134.53076869939</v>
      </c>
      <c r="L272" s="15" t="n">
        <f aca="false">K272*(1+IF(L$3&lt;=$O$2,$D272,$D272-($D272-$I$265)*MIN(L$3-$O$2,$Q$2)/$Q$2))</f>
        <v>2170.50828480582</v>
      </c>
      <c r="M272" s="15" t="n">
        <f aca="false">L272*(1+IF(M$3&lt;=$O$2,$D272,$D272-($D272-$I$265)*MIN(M$3-$O$2,$Q$2)/$Q$2))</f>
        <v>2224.93920631804</v>
      </c>
      <c r="N272" s="15" t="n">
        <f aca="false">M272*(1+IF(N$3&lt;=$O$2,$D272,$D272-($D272-$I$265)*MIN(N$3-$O$2,$Q$2)/$Q$2))</f>
        <v>2299.02968188843</v>
      </c>
      <c r="O272" s="15" t="n">
        <f aca="false">SUMPRODUCT(E272:N272,1/(1+$F$265)^$E$3:$N$3)*$E$2</f>
        <v>7776.12181062234</v>
      </c>
      <c r="P272" s="15" t="n">
        <f aca="false">N272*$E$2*(1+$I$265)/($F$265-$I$265)/(1+$F$265)^$N$3</f>
        <v>15435.3659418393</v>
      </c>
      <c r="Q272" s="15" t="n">
        <f aca="false">O272+P272</f>
        <v>23211.4877524617</v>
      </c>
      <c r="R272" s="15" t="n">
        <f aca="false">Q272-$G$2+$I$2</f>
        <v>25121.1477524617</v>
      </c>
      <c r="S272" s="42" t="n">
        <f aca="false">R272/$K$2</f>
        <v>107.341570535665</v>
      </c>
      <c r="T272" s="43" t="n">
        <f aca="false">S272-$M$2</f>
        <v>-2.6443287080218</v>
      </c>
    </row>
    <row r="273" customFormat="false" ht="15" hidden="false" customHeight="false" outlineLevel="0" collapsed="false">
      <c r="A273" s="5" t="n">
        <v>7</v>
      </c>
      <c r="B273" s="25" t="n">
        <f aca="false">IF(T272&gt;0,B272,D272)</f>
        <v>-0.0078125</v>
      </c>
      <c r="C273" s="25" t="n">
        <f aca="false">IF(T272&gt;0,D272,C272)</f>
        <v>0.015625</v>
      </c>
      <c r="D273" s="41" t="n">
        <f aca="false">(B273+C273)/2</f>
        <v>0.00390625</v>
      </c>
      <c r="E273" s="15" t="n">
        <f aca="false">$C$2*(1+IF(E$3&lt;=$O$2,$D273,$D273-($D273-$I$265)*MIN(E$3-$O$2,$Q$2)/$Q$2))</f>
        <v>2208.59375</v>
      </c>
      <c r="F273" s="15" t="n">
        <f aca="false">E273*(1+IF(F$3&lt;=$O$2,$D273,$D273-($D273-$I$265)*MIN(F$3-$O$2,$Q$2)/$Q$2))</f>
        <v>2217.22106933594</v>
      </c>
      <c r="G273" s="15" t="n">
        <f aca="false">F273*(1+IF(G$3&lt;=$O$2,$D273,$D273-($D273-$I$265)*MIN(G$3-$O$2,$Q$2)/$Q$2))</f>
        <v>2225.88208913803</v>
      </c>
      <c r="H273" s="15" t="n">
        <f aca="false">G273*(1+IF(H$3&lt;=$O$2,$D273,$D273-($D273-$I$265)*MIN(H$3-$O$2,$Q$2)/$Q$2))</f>
        <v>2234.57694104873</v>
      </c>
      <c r="I273" s="15" t="n">
        <f aca="false">H273*(1+IF(I$3&lt;=$O$2,$D273,$D273-($D273-$I$265)*MIN(I$3-$O$2,$Q$2)/$Q$2))</f>
        <v>2243.3057572247</v>
      </c>
      <c r="J273" s="15" t="n">
        <f aca="false">I273*(1+IF(J$3&lt;=$O$2,$D273,$D273-($D273-$I$265)*MIN(J$3-$O$2,$Q$2)/$Q$2))</f>
        <v>2265.25650405914</v>
      </c>
      <c r="K273" s="15" t="n">
        <f aca="false">J273*(1+IF(K$3&lt;=$O$2,$D273,$D273-($D273-$I$265)*MIN(K$3-$O$2,$Q$2)/$Q$2))</f>
        <v>2300.7389156246</v>
      </c>
      <c r="L273" s="15" t="n">
        <f aca="false">K273*(1+IF(L$3&lt;=$O$2,$D273,$D273-($D273-$I$265)*MIN(L$3-$O$2,$Q$2)/$Q$2))</f>
        <v>2350.30258371444</v>
      </c>
      <c r="M273" s="15" t="n">
        <f aca="false">L273*(1+IF(M$3&lt;=$O$2,$D273,$D273-($D273-$I$265)*MIN(M$3-$O$2,$Q$2)/$Q$2))</f>
        <v>2414.75081843812</v>
      </c>
      <c r="N273" s="15" t="n">
        <f aca="false">M273*(1+IF(N$3&lt;=$O$2,$D273,$D273-($D273-$I$265)*MIN(N$3-$O$2,$Q$2)/$Q$2))</f>
        <v>2495.16202069211</v>
      </c>
      <c r="O273" s="15" t="n">
        <f aca="false">SUMPRODUCT(E273:N273,1/(1+$F$265)^$E$3:$N$3)*$E$2</f>
        <v>8189.83693613875</v>
      </c>
      <c r="P273" s="15" t="n">
        <f aca="false">N273*$E$2*(1+$I$265)/($F$265-$I$265)/(1+$F$265)^$N$3</f>
        <v>16752.1712211765</v>
      </c>
      <c r="Q273" s="15" t="n">
        <f aca="false">O273+P273</f>
        <v>24942.0081573153</v>
      </c>
      <c r="R273" s="15" t="n">
        <f aca="false">Q273-$G$2+$I$2</f>
        <v>26851.6681573153</v>
      </c>
      <c r="S273" s="42" t="n">
        <f aca="false">R273/$K$2</f>
        <v>114.736008876278</v>
      </c>
      <c r="T273" s="43" t="n">
        <f aca="false">S273-$M$2</f>
        <v>4.75010963259092</v>
      </c>
    </row>
    <row r="274" customFormat="false" ht="15" hidden="false" customHeight="false" outlineLevel="0" collapsed="false">
      <c r="A274" s="5" t="n">
        <v>8</v>
      </c>
      <c r="B274" s="25" t="n">
        <f aca="false">IF(T273&gt;0,B273,D273)</f>
        <v>-0.0078125</v>
      </c>
      <c r="C274" s="25" t="n">
        <f aca="false">IF(T273&gt;0,D273,C273)</f>
        <v>0.00390625</v>
      </c>
      <c r="D274" s="41" t="n">
        <f aca="false">(B274+C274)/2</f>
        <v>-0.001953125</v>
      </c>
      <c r="E274" s="15" t="n">
        <f aca="false">$C$2*(1+IF(E$3&lt;=$O$2,$D274,$D274-($D274-$I$265)*MIN(E$3-$O$2,$Q$2)/$Q$2))</f>
        <v>2195.703125</v>
      </c>
      <c r="F274" s="15" t="n">
        <f aca="false">E274*(1+IF(F$3&lt;=$O$2,$D274,$D274-($D274-$I$265)*MIN(F$3-$O$2,$Q$2)/$Q$2))</f>
        <v>2191.41464233398</v>
      </c>
      <c r="G274" s="15" t="n">
        <f aca="false">F274*(1+IF(G$3&lt;=$O$2,$D274,$D274-($D274-$I$265)*MIN(G$3-$O$2,$Q$2)/$Q$2))</f>
        <v>2187.13453561068</v>
      </c>
      <c r="H274" s="15" t="n">
        <f aca="false">G274*(1+IF(H$3&lt;=$O$2,$D274,$D274-($D274-$I$265)*MIN(H$3-$O$2,$Q$2)/$Q$2))</f>
        <v>2182.86278847081</v>
      </c>
      <c r="I274" s="15" t="n">
        <f aca="false">H274*(1+IF(I$3&lt;=$O$2,$D274,$D274-($D274-$I$265)*MIN(I$3-$O$2,$Q$2)/$Q$2))</f>
        <v>2178.59938458708</v>
      </c>
      <c r="J274" s="15" t="n">
        <f aca="false">I274*(1+IF(J$3&lt;=$O$2,$D274,$D274-($D274-$I$265)*MIN(J$3-$O$2,$Q$2)/$Q$2))</f>
        <v>2189.70479495001</v>
      </c>
      <c r="K274" s="15" t="n">
        <f aca="false">J274*(1+IF(K$3&lt;=$O$2,$D274,$D274-($D274-$I$265)*MIN(K$3-$O$2,$Q$2)/$Q$2))</f>
        <v>2216.30560251216</v>
      </c>
      <c r="L274" s="15" t="n">
        <f aca="false">K274*(1+IF(L$3&lt;=$O$2,$D274,$D274-($D274-$I$265)*MIN(L$3-$O$2,$Q$2)/$Q$2))</f>
        <v>2258.85589969839</v>
      </c>
      <c r="M274" s="15" t="n">
        <f aca="false">L274*(1+IF(M$3&lt;=$O$2,$D274,$D274-($D274-$I$265)*MIN(M$3-$O$2,$Q$2)/$Q$2))</f>
        <v>2318.14945528054</v>
      </c>
      <c r="N274" s="15" t="n">
        <f aca="false">M274*(1+IF(N$3&lt;=$O$2,$D274,$D274-($D274-$I$265)*MIN(N$3-$O$2,$Q$2)/$Q$2))</f>
        <v>2395.34383214138</v>
      </c>
      <c r="O274" s="15" t="n">
        <f aca="false">SUMPRODUCT(E274:N274,1/(1+$F$265)^$E$3:$N$3)*$E$2</f>
        <v>7980.24630294162</v>
      </c>
      <c r="P274" s="15" t="n">
        <f aca="false">N274*$E$2*(1+$I$265)/($F$265-$I$265)/(1+$F$265)^$N$3</f>
        <v>16082.0057683032</v>
      </c>
      <c r="Q274" s="15" t="n">
        <f aca="false">O274+P274</f>
        <v>24062.2520712448</v>
      </c>
      <c r="R274" s="15" t="n">
        <f aca="false">Q274-$G$2+$I$2</f>
        <v>25971.9120712448</v>
      </c>
      <c r="S274" s="42" t="n">
        <f aca="false">R274/$K$2</f>
        <v>110.976849426333</v>
      </c>
      <c r="T274" s="43" t="n">
        <f aca="false">S274-$M$2</f>
        <v>0.990950182646614</v>
      </c>
    </row>
    <row r="275" customFormat="false" ht="15" hidden="false" customHeight="false" outlineLevel="0" collapsed="false">
      <c r="A275" s="5" t="n">
        <v>9</v>
      </c>
      <c r="B275" s="25" t="n">
        <f aca="false">IF(T274&gt;0,B274,D274)</f>
        <v>-0.0078125</v>
      </c>
      <c r="C275" s="25" t="n">
        <f aca="false">IF(T274&gt;0,D274,C274)</f>
        <v>-0.001953125</v>
      </c>
      <c r="D275" s="41" t="n">
        <f aca="false">(B275+C275)/2</f>
        <v>-0.0048828125</v>
      </c>
      <c r="E275" s="15" t="n">
        <f aca="false">$C$2*(1+IF(E$3&lt;=$O$2,$D275,$D275-($D275-$I$265)*MIN(E$3-$O$2,$Q$2)/$Q$2))</f>
        <v>2189.2578125</v>
      </c>
      <c r="F275" s="15" t="n">
        <f aca="false">E275*(1+IF(F$3&lt;=$O$2,$D275,$D275-($D275-$I$265)*MIN(F$3-$O$2,$Q$2)/$Q$2))</f>
        <v>2178.5680770874</v>
      </c>
      <c r="G275" s="15" t="n">
        <f aca="false">F275*(1+IF(G$3&lt;=$O$2,$D275,$D275-($D275-$I$265)*MIN(G$3-$O$2,$Q$2)/$Q$2))</f>
        <v>2167.9305376485</v>
      </c>
      <c r="H275" s="15" t="n">
        <f aca="false">G275*(1+IF(H$3&lt;=$O$2,$D275,$D275-($D275-$I$265)*MIN(H$3-$O$2,$Q$2)/$Q$2))</f>
        <v>2157.34493932014</v>
      </c>
      <c r="I275" s="15" t="n">
        <f aca="false">H275*(1+IF(I$3&lt;=$O$2,$D275,$D275-($D275-$I$265)*MIN(I$3-$O$2,$Q$2)/$Q$2))</f>
        <v>2146.81102848361</v>
      </c>
      <c r="J275" s="15" t="n">
        <f aca="false">I275*(1+IF(J$3&lt;=$O$2,$D275,$D275-($D275-$I$265)*MIN(J$3-$O$2,$Q$2)/$Q$2))</f>
        <v>2152.7228093533</v>
      </c>
      <c r="K275" s="15" t="n">
        <f aca="false">J275*(1+IF(K$3&lt;=$O$2,$D275,$D275-($D275-$I$265)*MIN(K$3-$O$2,$Q$2)/$Q$2))</f>
        <v>2175.09027206836</v>
      </c>
      <c r="L275" s="15" t="n">
        <f aca="false">K275*(1+IF(L$3&lt;=$O$2,$D275,$D275-($D275-$I$265)*MIN(L$3-$O$2,$Q$2)/$Q$2))</f>
        <v>2214.30035251665</v>
      </c>
      <c r="M275" s="15" t="n">
        <f aca="false">L275*(1+IF(M$3&lt;=$O$2,$D275,$D275-($D275-$I$265)*MIN(M$3-$O$2,$Q$2)/$Q$2))</f>
        <v>2271.12691121969</v>
      </c>
      <c r="N275" s="15" t="n">
        <f aca="false">M275*(1+IF(N$3&lt;=$O$2,$D275,$D275-($D275-$I$265)*MIN(N$3-$O$2,$Q$2)/$Q$2))</f>
        <v>2346.75543736331</v>
      </c>
      <c r="O275" s="15" t="n">
        <f aca="false">SUMPRODUCT(E275:N275,1/(1+$F$265)^$E$3:$N$3)*$E$2</f>
        <v>7877.50928788266</v>
      </c>
      <c r="P275" s="15" t="n">
        <f aca="false">N275*$E$2*(1+$I$265)/($F$265-$I$265)/(1+$F$265)^$N$3</f>
        <v>15755.790034842</v>
      </c>
      <c r="Q275" s="15" t="n">
        <f aca="false">O275+P275</f>
        <v>23633.2993227247</v>
      </c>
      <c r="R275" s="15" t="n">
        <f aca="false">Q275-$G$2+$I$2</f>
        <v>25542.9593227247</v>
      </c>
      <c r="S275" s="42" t="n">
        <f aca="false">R275/$K$2</f>
        <v>109.143953009121</v>
      </c>
      <c r="T275" s="43" t="n">
        <f aca="false">S275-$M$2</f>
        <v>-0.841946234565256</v>
      </c>
    </row>
    <row r="276" customFormat="false" ht="15" hidden="false" customHeight="false" outlineLevel="0" collapsed="false">
      <c r="A276" s="5" t="n">
        <v>10</v>
      </c>
      <c r="B276" s="25" t="n">
        <f aca="false">IF(T275&gt;0,B275,D275)</f>
        <v>-0.0048828125</v>
      </c>
      <c r="C276" s="25" t="n">
        <f aca="false">IF(T275&gt;0,D275,C275)</f>
        <v>-0.001953125</v>
      </c>
      <c r="D276" s="41" t="n">
        <f aca="false">(B276+C276)/2</f>
        <v>-0.00341796875</v>
      </c>
      <c r="E276" s="15" t="n">
        <f aca="false">$C$2*(1+IF(E$3&lt;=$O$2,$D276,$D276-($D276-$I$265)*MIN(E$3-$O$2,$Q$2)/$Q$2))</f>
        <v>2192.48046875</v>
      </c>
      <c r="F276" s="15" t="n">
        <f aca="false">E276*(1+IF(F$3&lt;=$O$2,$D276,$D276-($D276-$I$265)*MIN(F$3-$O$2,$Q$2)/$Q$2))</f>
        <v>2184.98663902283</v>
      </c>
      <c r="G276" s="15" t="n">
        <f aca="false">F276*(1+IF(G$3&lt;=$O$2,$D276,$D276-($D276-$I$265)*MIN(G$3-$O$2,$Q$2)/$Q$2))</f>
        <v>2177.51842297148</v>
      </c>
      <c r="H276" s="15" t="n">
        <f aca="false">G276*(1+IF(H$3&lt;=$O$2,$D276,$D276-($D276-$I$265)*MIN(H$3-$O$2,$Q$2)/$Q$2))</f>
        <v>2170.07573304921</v>
      </c>
      <c r="I276" s="15" t="n">
        <f aca="false">H276*(1+IF(I$3&lt;=$O$2,$D276,$D276-($D276-$I$265)*MIN(I$3-$O$2,$Q$2)/$Q$2))</f>
        <v>2162.65848200852</v>
      </c>
      <c r="J276" s="15" t="n">
        <f aca="false">I276*(1+IF(J$3&lt;=$O$2,$D276,$D276-($D276-$I$265)*MIN(J$3-$O$2,$Q$2)/$Q$2))</f>
        <v>2171.14826821195</v>
      </c>
      <c r="K276" s="15" t="n">
        <f aca="false">J276*(1+IF(K$3&lt;=$O$2,$D276,$D276-($D276-$I$265)*MIN(K$3-$O$2,$Q$2)/$Q$2))</f>
        <v>2195.61541298512</v>
      </c>
      <c r="L276" s="15" t="n">
        <f aca="false">K276*(1+IF(L$3&lt;=$O$2,$D276,$D276-($D276-$I$265)*MIN(L$3-$O$2,$Q$2)/$Q$2))</f>
        <v>2236.48199098912</v>
      </c>
      <c r="M276" s="15" t="n">
        <f aca="false">L276*(1+IF(M$3&lt;=$O$2,$D276,$D276-($D276-$I$265)*MIN(M$3-$O$2,$Q$2)/$Q$2))</f>
        <v>2294.53302611804</v>
      </c>
      <c r="N276" s="15" t="n">
        <f aca="false">M276*(1+IF(N$3&lt;=$O$2,$D276,$D276-($D276-$I$265)*MIN(N$3-$O$2,$Q$2)/$Q$2))</f>
        <v>2370.94097588777</v>
      </c>
      <c r="O276" s="15" t="n">
        <f aca="false">SUMPRODUCT(E276:N276,1/(1+$F$265)^$E$3:$N$3)*$E$2</f>
        <v>7928.70804806856</v>
      </c>
      <c r="P276" s="15" t="n">
        <f aca="false">N276*$E$2*(1+$I$265)/($F$265-$I$265)/(1+$F$265)^$N$3</f>
        <v>15918.1683810489</v>
      </c>
      <c r="Q276" s="15" t="n">
        <f aca="false">O276+P276</f>
        <v>23846.8764291175</v>
      </c>
      <c r="R276" s="15" t="n">
        <f aca="false">Q276-$G$2+$I$2</f>
        <v>25756.5364291175</v>
      </c>
      <c r="S276" s="42" t="n">
        <f aca="false">R276/$K$2</f>
        <v>110.056558685286</v>
      </c>
      <c r="T276" s="43" t="n">
        <f aca="false">S276-$M$2</f>
        <v>0.0706594415992754</v>
      </c>
    </row>
    <row r="277" customFormat="false" ht="15" hidden="false" customHeight="false" outlineLevel="0" collapsed="false">
      <c r="A277" s="5" t="n">
        <v>11</v>
      </c>
      <c r="B277" s="25" t="n">
        <f aca="false">IF(T276&gt;0,B276,D276)</f>
        <v>-0.0048828125</v>
      </c>
      <c r="C277" s="25" t="n">
        <f aca="false">IF(T276&gt;0,D276,C276)</f>
        <v>-0.00341796875</v>
      </c>
      <c r="D277" s="41" t="n">
        <f aca="false">(B277+C277)/2</f>
        <v>-0.004150390625</v>
      </c>
      <c r="E277" s="15" t="n">
        <f aca="false">$C$2*(1+IF(E$3&lt;=$O$2,$D277,$D277-($D277-$I$265)*MIN(E$3-$O$2,$Q$2)/$Q$2))</f>
        <v>2190.869140625</v>
      </c>
      <c r="F277" s="15" t="n">
        <f aca="false">E277*(1+IF(F$3&lt;=$O$2,$D277,$D277-($D277-$I$265)*MIN(F$3-$O$2,$Q$2)/$Q$2))</f>
        <v>2181.77617788315</v>
      </c>
      <c r="G277" s="15" t="n">
        <f aca="false">F277*(1+IF(G$3&lt;=$O$2,$D277,$D277-($D277-$I$265)*MIN(G$3-$O$2,$Q$2)/$Q$2))</f>
        <v>2172.72095448861</v>
      </c>
      <c r="H277" s="15" t="n">
        <f aca="false">G277*(1+IF(H$3&lt;=$O$2,$D277,$D277-($D277-$I$265)*MIN(H$3-$O$2,$Q$2)/$Q$2))</f>
        <v>2163.70331380836</v>
      </c>
      <c r="I277" s="15" t="n">
        <f aca="false">H277*(1+IF(I$3&lt;=$O$2,$D277,$D277-($D277-$I$265)*MIN(I$3-$O$2,$Q$2)/$Q$2))</f>
        <v>2154.72309985945</v>
      </c>
      <c r="J277" s="15" t="n">
        <f aca="false">I277*(1+IF(J$3&lt;=$O$2,$D277,$D277-($D277-$I$265)*MIN(J$3-$O$2,$Q$2)/$Q$2))</f>
        <v>2161.91920166201</v>
      </c>
      <c r="K277" s="15" t="n">
        <f aca="false">J277*(1+IF(K$3&lt;=$O$2,$D277,$D277-($D277-$I$265)*MIN(K$3-$O$2,$Q$2)/$Q$2))</f>
        <v>2185.3322799162</v>
      </c>
      <c r="L277" s="15" t="n">
        <f aca="false">K277*(1+IF(L$3&lt;=$O$2,$D277,$D277-($D277-$I$265)*MIN(L$3-$O$2,$Q$2)/$Q$2))</f>
        <v>2225.3672258261</v>
      </c>
      <c r="M277" s="15" t="n">
        <f aca="false">L277*(1+IF(M$3&lt;=$O$2,$D277,$D277-($D277-$I$265)*MIN(M$3-$O$2,$Q$2)/$Q$2))</f>
        <v>2282.80378006785</v>
      </c>
      <c r="N277" s="15" t="n">
        <f aca="false">M277*(1+IF(N$3&lt;=$O$2,$D277,$D277-($D277-$I$265)*MIN(N$3-$O$2,$Q$2)/$Q$2))</f>
        <v>2358.82114594411</v>
      </c>
      <c r="O277" s="15" t="n">
        <f aca="false">SUMPRODUCT(E277:N277,1/(1+$F$265)^$E$3:$N$3)*$E$2</f>
        <v>7903.06636347858</v>
      </c>
      <c r="P277" s="15" t="n">
        <f aca="false">N277*$E$2*(1+$I$265)/($F$265-$I$265)/(1+$F$265)^$N$3</f>
        <v>15836.7975262892</v>
      </c>
      <c r="Q277" s="15" t="n">
        <f aca="false">O277+P277</f>
        <v>23739.8638897678</v>
      </c>
      <c r="R277" s="15" t="n">
        <f aca="false">Q277-$G$2+$I$2</f>
        <v>25649.5238897678</v>
      </c>
      <c r="S277" s="42" t="n">
        <f aca="false">R277/$K$2</f>
        <v>109.599298764123</v>
      </c>
      <c r="T277" s="43" t="n">
        <f aca="false">S277-$M$2</f>
        <v>-0.386600479563413</v>
      </c>
    </row>
    <row r="278" customFormat="false" ht="15" hidden="false" customHeight="false" outlineLevel="0" collapsed="false">
      <c r="A278" s="5" t="n">
        <v>12</v>
      </c>
      <c r="B278" s="25" t="n">
        <f aca="false">IF(T277&gt;0,B277,D277)</f>
        <v>-0.004150390625</v>
      </c>
      <c r="C278" s="25" t="n">
        <f aca="false">IF(T277&gt;0,D277,C277)</f>
        <v>-0.00341796875</v>
      </c>
      <c r="D278" s="41" t="n">
        <f aca="false">(B278+C278)/2</f>
        <v>-0.0037841796875</v>
      </c>
      <c r="E278" s="15" t="n">
        <f aca="false">$C$2*(1+IF(E$3&lt;=$O$2,$D278,$D278-($D278-$I$265)*MIN(E$3-$O$2,$Q$2)/$Q$2))</f>
        <v>2191.6748046875</v>
      </c>
      <c r="F278" s="15" t="n">
        <f aca="false">E278*(1+IF(F$3&lt;=$O$2,$D278,$D278-($D278-$I$265)*MIN(F$3-$O$2,$Q$2)/$Q$2))</f>
        <v>2183.38111341</v>
      </c>
      <c r="G278" s="15" t="n">
        <f aca="false">F278*(1+IF(G$3&lt;=$O$2,$D278,$D278-($D278-$I$265)*MIN(G$3-$O$2,$Q$2)/$Q$2))</f>
        <v>2175.11880695056</v>
      </c>
      <c r="H278" s="15" t="n">
        <f aca="false">G278*(1+IF(H$3&lt;=$O$2,$D278,$D278-($D278-$I$265)*MIN(H$3-$O$2,$Q$2)/$Q$2))</f>
        <v>2166.8877665434</v>
      </c>
      <c r="I278" s="15" t="n">
        <f aca="false">H278*(1+IF(I$3&lt;=$O$2,$D278,$D278-($D278-$I$265)*MIN(I$3-$O$2,$Q$2)/$Q$2))</f>
        <v>2158.68787387215</v>
      </c>
      <c r="J278" s="15" t="n">
        <f aca="false">I278*(1+IF(J$3&lt;=$O$2,$D278,$D278-($D278-$I$265)*MIN(J$3-$O$2,$Q$2)/$Q$2))</f>
        <v>2166.52964486897</v>
      </c>
      <c r="K278" s="15" t="n">
        <f aca="false">J278*(1+IF(K$3&lt;=$O$2,$D278,$D278-($D278-$I$265)*MIN(K$3-$O$2,$Q$2)/$Q$2))</f>
        <v>2190.46869725394</v>
      </c>
      <c r="L278" s="15" t="n">
        <f aca="false">K278*(1+IF(L$3&lt;=$O$2,$D278,$D278-($D278-$I$265)*MIN(L$3-$O$2,$Q$2)/$Q$2))</f>
        <v>2230.91861096497</v>
      </c>
      <c r="M278" s="15" t="n">
        <f aca="false">L278*(1+IF(M$3&lt;=$O$2,$D278,$D278-($D278-$I$265)*MIN(M$3-$O$2,$Q$2)/$Q$2))</f>
        <v>2288.66184338266</v>
      </c>
      <c r="N278" s="15" t="n">
        <f aca="false">M278*(1+IF(N$3&lt;=$O$2,$D278,$D278-($D278-$I$265)*MIN(N$3-$O$2,$Q$2)/$Q$2))</f>
        <v>2364.87428276731</v>
      </c>
      <c r="O278" s="15" t="n">
        <f aca="false">SUMPRODUCT(E278:N278,1/(1+$F$265)^$E$3:$N$3)*$E$2</f>
        <v>7915.87661313509</v>
      </c>
      <c r="P278" s="15" t="n">
        <f aca="false">N278*$E$2*(1+$I$265)/($F$265-$I$265)/(1+$F$265)^$N$3</f>
        <v>15877.4374461206</v>
      </c>
      <c r="Q278" s="15" t="n">
        <f aca="false">O278+P278</f>
        <v>23793.3140592557</v>
      </c>
      <c r="R278" s="15" t="n">
        <f aca="false">Q278-$G$2+$I$2</f>
        <v>25702.9740592557</v>
      </c>
      <c r="S278" s="42" t="n">
        <f aca="false">R278/$K$2</f>
        <v>109.827689011049</v>
      </c>
      <c r="T278" s="43" t="n">
        <f aca="false">S278-$M$2</f>
        <v>-0.158210232638126</v>
      </c>
    </row>
    <row r="279" customFormat="false" ht="15" hidden="false" customHeight="false" outlineLevel="0" collapsed="false">
      <c r="A279" s="5" t="n">
        <v>13</v>
      </c>
      <c r="B279" s="25" t="n">
        <f aca="false">IF(T278&gt;0,B278,D278)</f>
        <v>-0.0037841796875</v>
      </c>
      <c r="C279" s="25" t="n">
        <f aca="false">IF(T278&gt;0,D278,C278)</f>
        <v>-0.00341796875</v>
      </c>
      <c r="D279" s="41" t="n">
        <f aca="false">(B279+C279)/2</f>
        <v>-0.00360107421875</v>
      </c>
      <c r="E279" s="15" t="n">
        <f aca="false">$C$2*(1+IF(E$3&lt;=$O$2,$D279,$D279-($D279-$I$265)*MIN(E$3-$O$2,$Q$2)/$Q$2))</f>
        <v>2192.07763671875</v>
      </c>
      <c r="F279" s="15" t="n">
        <f aca="false">E279*(1+IF(F$3&lt;=$O$2,$D279,$D279-($D279-$I$265)*MIN(F$3-$O$2,$Q$2)/$Q$2))</f>
        <v>2184.18380245566</v>
      </c>
      <c r="G279" s="15" t="n">
        <f aca="false">F279*(1+IF(G$3&lt;=$O$2,$D279,$D279-($D279-$I$265)*MIN(G$3-$O$2,$Q$2)/$Q$2))</f>
        <v>2176.31839447563</v>
      </c>
      <c r="H279" s="15" t="n">
        <f aca="false">G279*(1+IF(H$3&lt;=$O$2,$D279,$D279-($D279-$I$265)*MIN(H$3-$O$2,$Q$2)/$Q$2))</f>
        <v>2168.48131041349</v>
      </c>
      <c r="I279" s="15" t="n">
        <f aca="false">H279*(1+IF(I$3&lt;=$O$2,$D279,$D279-($D279-$I$265)*MIN(I$3-$O$2,$Q$2)/$Q$2))</f>
        <v>2160.67244827272</v>
      </c>
      <c r="J279" s="15" t="n">
        <f aca="false">I279*(1+IF(J$3&lt;=$O$2,$D279,$D279-($D279-$I$265)*MIN(J$3-$O$2,$Q$2)/$Q$2))</f>
        <v>2168.83793329931</v>
      </c>
      <c r="K279" s="15" t="n">
        <f aca="false">J279*(1+IF(K$3&lt;=$O$2,$D279,$D279-($D279-$I$265)*MIN(K$3-$O$2,$Q$2)/$Q$2))</f>
        <v>2193.0407667511</v>
      </c>
      <c r="L279" s="15" t="n">
        <f aca="false">K279*(1+IF(L$3&lt;=$O$2,$D279,$D279-($D279-$I$265)*MIN(L$3-$O$2,$Q$2)/$Q$2))</f>
        <v>2233.69880024446</v>
      </c>
      <c r="M279" s="15" t="n">
        <f aca="false">L279*(1+IF(M$3&lt;=$O$2,$D279,$D279-($D279-$I$265)*MIN(M$3-$O$2,$Q$2)/$Q$2))</f>
        <v>2291.59579325057</v>
      </c>
      <c r="N279" s="15" t="n">
        <f aca="false">M279*(1+IF(N$3&lt;=$O$2,$D279,$D279-($D279-$I$265)*MIN(N$3-$O$2,$Q$2)/$Q$2))</f>
        <v>2367.90593316582</v>
      </c>
      <c r="O279" s="15" t="n">
        <f aca="false">SUMPRODUCT(E279:N279,1/(1+$F$265)^$E$3:$N$3)*$E$2</f>
        <v>7922.28968037547</v>
      </c>
      <c r="P279" s="15" t="n">
        <f aca="false">N279*$E$2*(1+$I$265)/($F$265-$I$265)/(1+$F$265)^$N$3</f>
        <v>15897.7915257906</v>
      </c>
      <c r="Q279" s="15" t="n">
        <f aca="false">O279+P279</f>
        <v>23820.081206166</v>
      </c>
      <c r="R279" s="15" t="n">
        <f aca="false">Q279-$G$2+$I$2</f>
        <v>25729.741206166</v>
      </c>
      <c r="S279" s="42" t="n">
        <f aca="false">R279/$K$2</f>
        <v>109.942063864317</v>
      </c>
      <c r="T279" s="43" t="n">
        <f aca="false">S279-$M$2</f>
        <v>-0.0438353793700088</v>
      </c>
    </row>
    <row r="280" customFormat="false" ht="15" hidden="false" customHeight="false" outlineLevel="0" collapsed="false">
      <c r="A280" s="5" t="n">
        <v>14</v>
      </c>
      <c r="B280" s="25" t="n">
        <f aca="false">IF(T279&gt;0,B279,D279)</f>
        <v>-0.00360107421875</v>
      </c>
      <c r="C280" s="25" t="n">
        <f aca="false">IF(T279&gt;0,D279,C279)</f>
        <v>-0.00341796875</v>
      </c>
      <c r="D280" s="41" t="n">
        <f aca="false">(B280+C280)/2</f>
        <v>-0.003509521484375</v>
      </c>
      <c r="E280" s="15" t="n">
        <f aca="false">$C$2*(1+IF(E$3&lt;=$O$2,$D280,$D280-($D280-$I$265)*MIN(E$3-$O$2,$Q$2)/$Q$2))</f>
        <v>2192.27905273438</v>
      </c>
      <c r="F280" s="15" t="n">
        <f aca="false">E280*(1+IF(F$3&lt;=$O$2,$D280,$D280-($D280-$I$265)*MIN(F$3-$O$2,$Q$2)/$Q$2))</f>
        <v>2184.58520229906</v>
      </c>
      <c r="G280" s="15" t="n">
        <f aca="false">F280*(1+IF(G$3&lt;=$O$2,$D280,$D280-($D280-$I$265)*MIN(G$3-$O$2,$Q$2)/$Q$2))</f>
        <v>2176.91835359714</v>
      </c>
      <c r="H280" s="15" t="n">
        <f aca="false">G280*(1+IF(H$3&lt;=$O$2,$D280,$D280-($D280-$I$265)*MIN(H$3-$O$2,$Q$2)/$Q$2))</f>
        <v>2169.27841186546</v>
      </c>
      <c r="I280" s="15" t="n">
        <f aca="false">H280*(1+IF(I$3&lt;=$O$2,$D280,$D280-($D280-$I$265)*MIN(I$3-$O$2,$Q$2)/$Q$2))</f>
        <v>2161.66528267343</v>
      </c>
      <c r="J280" s="15" t="n">
        <f aca="false">I280*(1+IF(J$3&lt;=$O$2,$D280,$D280-($D280-$I$265)*MIN(J$3-$O$2,$Q$2)/$Q$2))</f>
        <v>2169.99284485478</v>
      </c>
      <c r="K280" s="15" t="n">
        <f aca="false">J280*(1+IF(K$3&lt;=$O$2,$D280,$D280-($D280-$I$265)*MIN(K$3-$O$2,$Q$2)/$Q$2))</f>
        <v>2194.32776764227</v>
      </c>
      <c r="L280" s="15" t="n">
        <f aca="false">K280*(1+IF(L$3&lt;=$O$2,$D280,$D280-($D280-$I$265)*MIN(L$3-$O$2,$Q$2)/$Q$2))</f>
        <v>2235.09002026204</v>
      </c>
      <c r="M280" s="15" t="n">
        <f aca="false">L280*(1+IF(M$3&lt;=$O$2,$D280,$D280-($D280-$I$265)*MIN(M$3-$O$2,$Q$2)/$Q$2))</f>
        <v>2293.0639991127</v>
      </c>
      <c r="N280" s="15" t="n">
        <f aca="false">M280*(1+IF(N$3&lt;=$O$2,$D280,$D280-($D280-$I$265)*MIN(N$3-$O$2,$Q$2)/$Q$2))</f>
        <v>2369.42303028315</v>
      </c>
      <c r="O280" s="15" t="n">
        <f aca="false">SUMPRODUCT(E280:N280,1/(1+$F$265)^$E$3:$N$3)*$E$2</f>
        <v>7925.49820140693</v>
      </c>
      <c r="P280" s="15" t="n">
        <f aca="false">N280*$E$2*(1+$I$265)/($F$265-$I$265)/(1+$F$265)^$N$3</f>
        <v>15907.9771051069</v>
      </c>
      <c r="Q280" s="15" t="n">
        <f aca="false">O280+P280</f>
        <v>23833.4753065138</v>
      </c>
      <c r="R280" s="15" t="n">
        <f aca="false">Q280-$G$2+$I$2</f>
        <v>25743.1353065138</v>
      </c>
      <c r="S280" s="42" t="n">
        <f aca="false">R280/$K$2</f>
        <v>109.999296271904</v>
      </c>
      <c r="T280" s="43" t="n">
        <f aca="false">S280-$M$2</f>
        <v>0.0133970282176819</v>
      </c>
    </row>
    <row r="281" customFormat="false" ht="15" hidden="false" customHeight="false" outlineLevel="0" collapsed="false">
      <c r="A281" s="5" t="n">
        <v>15</v>
      </c>
      <c r="B281" s="25" t="n">
        <f aca="false">IF(T280&gt;0,B280,D280)</f>
        <v>-0.00360107421875</v>
      </c>
      <c r="C281" s="25" t="n">
        <f aca="false">IF(T280&gt;0,D280,C280)</f>
        <v>-0.003509521484375</v>
      </c>
      <c r="D281" s="41" t="n">
        <f aca="false">(B281+C281)/2</f>
        <v>-0.0035552978515625</v>
      </c>
      <c r="E281" s="15" t="n">
        <f aca="false">$C$2*(1+IF(E$3&lt;=$O$2,$D281,$D281-($D281-$I$265)*MIN(E$3-$O$2,$Q$2)/$Q$2))</f>
        <v>2192.17834472656</v>
      </c>
      <c r="F281" s="15" t="n">
        <f aca="false">E281*(1+IF(F$3&lt;=$O$2,$D281,$D281-($D281-$I$265)*MIN(F$3-$O$2,$Q$2)/$Q$2))</f>
        <v>2184.38449776731</v>
      </c>
      <c r="G281" s="15" t="n">
        <f aca="false">F281*(1+IF(G$3&lt;=$O$2,$D281,$D281-($D281-$I$265)*MIN(G$3-$O$2,$Q$2)/$Q$2))</f>
        <v>2176.61836025542</v>
      </c>
      <c r="H281" s="15" t="n">
        <f aca="false">G281*(1+IF(H$3&lt;=$O$2,$D281,$D281-($D281-$I$265)*MIN(H$3-$O$2,$Q$2)/$Q$2))</f>
        <v>2168.87983367553</v>
      </c>
      <c r="I281" s="15" t="n">
        <f aca="false">H281*(1+IF(I$3&lt;=$O$2,$D281,$D281-($D281-$I$265)*MIN(I$3-$O$2,$Q$2)/$Q$2))</f>
        <v>2161.16881986256</v>
      </c>
      <c r="J281" s="15" t="n">
        <f aca="false">I281*(1+IF(J$3&lt;=$O$2,$D281,$D281-($D281-$I$265)*MIN(J$3-$O$2,$Q$2)/$Q$2))</f>
        <v>2169.41532511315</v>
      </c>
      <c r="K281" s="15" t="n">
        <f aca="false">J281*(1+IF(K$3&lt;=$O$2,$D281,$D281-($D281-$I$265)*MIN(K$3-$O$2,$Q$2)/$Q$2))</f>
        <v>2193.68418665695</v>
      </c>
      <c r="L281" s="15" t="n">
        <f aca="false">K281*(1+IF(L$3&lt;=$O$2,$D281,$D281-($D281-$I$265)*MIN(L$3-$O$2,$Q$2)/$Q$2))</f>
        <v>2234.39431643602</v>
      </c>
      <c r="M281" s="15" t="n">
        <f aca="false">L281*(1+IF(M$3&lt;=$O$2,$D281,$D281-($D281-$I$265)*MIN(M$3-$O$2,$Q$2)/$Q$2))</f>
        <v>2292.32979356332</v>
      </c>
      <c r="N281" s="15" t="n">
        <f aca="false">M281*(1+IF(N$3&lt;=$O$2,$D281,$D281-($D281-$I$265)*MIN(N$3-$O$2,$Q$2)/$Q$2))</f>
        <v>2368.66437568898</v>
      </c>
      <c r="O281" s="15" t="n">
        <f aca="false">SUMPRODUCT(E281:N281,1/(1+$F$265)^$E$3:$N$3)*$E$2</f>
        <v>7923.89377521974</v>
      </c>
      <c r="P281" s="15" t="n">
        <f aca="false">N281*$E$2*(1+$I$265)/($F$265-$I$265)/(1+$F$265)^$N$3</f>
        <v>15902.8836035411</v>
      </c>
      <c r="Q281" s="15" t="n">
        <f aca="false">O281+P281</f>
        <v>23826.7773787608</v>
      </c>
      <c r="R281" s="15" t="n">
        <f aca="false">Q281-$G$2+$I$2</f>
        <v>25736.4373787608</v>
      </c>
      <c r="S281" s="42" t="n">
        <f aca="false">R281/$K$2</f>
        <v>109.970676318253</v>
      </c>
      <c r="T281" s="43" t="n">
        <f aca="false">S281-$M$2</f>
        <v>-0.0152229254334344</v>
      </c>
    </row>
    <row r="282" customFormat="false" ht="15" hidden="false" customHeight="false" outlineLevel="0" collapsed="false">
      <c r="A282" s="5" t="n">
        <v>16</v>
      </c>
      <c r="B282" s="25" t="n">
        <f aca="false">IF(T281&gt;0,B281,D281)</f>
        <v>-0.0035552978515625</v>
      </c>
      <c r="C282" s="25" t="n">
        <f aca="false">IF(T281&gt;0,D281,C281)</f>
        <v>-0.003509521484375</v>
      </c>
      <c r="D282" s="41" t="n">
        <f aca="false">(B282+C282)/2</f>
        <v>-0.00353240966796875</v>
      </c>
      <c r="E282" s="15" t="n">
        <f aca="false">$C$2*(1+IF(E$3&lt;=$O$2,$D282,$D282-($D282-$I$265)*MIN(E$3-$O$2,$Q$2)/$Q$2))</f>
        <v>2192.22869873047</v>
      </c>
      <c r="F282" s="15" t="n">
        <f aca="false">E282*(1+IF(F$3&lt;=$O$2,$D282,$D282-($D282-$I$265)*MIN(F$3-$O$2,$Q$2)/$Q$2))</f>
        <v>2184.48484888067</v>
      </c>
      <c r="G282" s="15" t="n">
        <f aca="false">F282*(1+IF(G$3&lt;=$O$2,$D282,$D282-($D282-$I$265)*MIN(G$3-$O$2,$Q$2)/$Q$2))</f>
        <v>2176.76835348096</v>
      </c>
      <c r="H282" s="15" t="n">
        <f aca="false">G282*(1+IF(H$3&lt;=$O$2,$D282,$D282-($D282-$I$265)*MIN(H$3-$O$2,$Q$2)/$Q$2))</f>
        <v>2169.07911590419</v>
      </c>
      <c r="I282" s="15" t="n">
        <f aca="false">H282*(1+IF(I$3&lt;=$O$2,$D282,$D282-($D282-$I$265)*MIN(I$3-$O$2,$Q$2)/$Q$2))</f>
        <v>2161.41703986458</v>
      </c>
      <c r="J282" s="15" t="n">
        <f aca="false">I282*(1+IF(J$3&lt;=$O$2,$D282,$D282-($D282-$I$265)*MIN(J$3-$O$2,$Q$2)/$Q$2))</f>
        <v>2169.70406899158</v>
      </c>
      <c r="K282" s="15" t="n">
        <f aca="false">J282*(1+IF(K$3&lt;=$O$2,$D282,$D282-($D282-$I$265)*MIN(K$3-$O$2,$Q$2)/$Q$2))</f>
        <v>2194.00595701258</v>
      </c>
      <c r="L282" s="15" t="n">
        <f aca="false">K282*(1+IF(L$3&lt;=$O$2,$D282,$D282-($D282-$I$265)*MIN(L$3-$O$2,$Q$2)/$Q$2))</f>
        <v>2234.74214489204</v>
      </c>
      <c r="M282" s="15" t="n">
        <f aca="false">L282*(1+IF(M$3&lt;=$O$2,$D282,$D282-($D282-$I$265)*MIN(M$3-$O$2,$Q$2)/$Q$2))</f>
        <v>2292.69687068036</v>
      </c>
      <c r="N282" s="15" t="n">
        <f aca="false">M282*(1+IF(N$3&lt;=$O$2,$D282,$D282-($D282-$I$265)*MIN(N$3-$O$2,$Q$2)/$Q$2))</f>
        <v>2369.04367647402</v>
      </c>
      <c r="O282" s="15" t="n">
        <f aca="false">SUMPRODUCT(E282:N282,1/(1+$F$265)^$E$3:$N$3)*$E$2</f>
        <v>7924.69594689143</v>
      </c>
      <c r="P282" s="15" t="n">
        <f aca="false">N282*$E$2*(1+$I$265)/($F$265-$I$265)/(1+$F$265)^$N$3</f>
        <v>15905.4301763257</v>
      </c>
      <c r="Q282" s="15" t="n">
        <f aca="false">O282+P282</f>
        <v>23830.1261232172</v>
      </c>
      <c r="R282" s="15" t="n">
        <f aca="false">Q282-$G$2+$I$2</f>
        <v>25739.7861232172</v>
      </c>
      <c r="S282" s="42" t="n">
        <f aca="false">R282/$K$2</f>
        <v>109.984985357506</v>
      </c>
      <c r="T282" s="43" t="n">
        <f aca="false">S282-$M$2</f>
        <v>-0.000913886180555323</v>
      </c>
    </row>
    <row r="283" customFormat="false" ht="15" hidden="false" customHeight="false" outlineLevel="0" collapsed="false">
      <c r="A283" s="5" t="n">
        <v>17</v>
      </c>
      <c r="B283" s="25" t="n">
        <f aca="false">IF(T282&gt;0,B282,D282)</f>
        <v>-0.00353240966796875</v>
      </c>
      <c r="C283" s="25" t="n">
        <f aca="false">IF(T282&gt;0,D282,C282)</f>
        <v>-0.003509521484375</v>
      </c>
      <c r="D283" s="41" t="n">
        <f aca="false">(B283+C283)/2</f>
        <v>-0.00352096557617188</v>
      </c>
      <c r="E283" s="15" t="n">
        <f aca="false">$C$2*(1+IF(E$3&lt;=$O$2,$D283,$D283-($D283-$I$265)*MIN(E$3-$O$2,$Q$2)/$Q$2))</f>
        <v>2192.25387573242</v>
      </c>
      <c r="F283" s="15" t="n">
        <f aca="false">E283*(1+IF(F$3&lt;=$O$2,$D283,$D283-($D283-$I$265)*MIN(F$3-$O$2,$Q$2)/$Q$2))</f>
        <v>2184.53502530174</v>
      </c>
      <c r="G283" s="15" t="n">
        <f aca="false">F283*(1+IF(G$3&lt;=$O$2,$D283,$D283-($D283-$I$265)*MIN(G$3-$O$2,$Q$2)/$Q$2))</f>
        <v>2176.84335267771</v>
      </c>
      <c r="H283" s="15" t="n">
        <f aca="false">G283*(1+IF(H$3&lt;=$O$2,$D283,$D283-($D283-$I$265)*MIN(H$3-$O$2,$Q$2)/$Q$2))</f>
        <v>2169.17876216821</v>
      </c>
      <c r="I283" s="15" t="n">
        <f aca="false">H283*(1+IF(I$3&lt;=$O$2,$D283,$D283-($D283-$I$265)*MIN(I$3-$O$2,$Q$2)/$Q$2))</f>
        <v>2161.54115841806</v>
      </c>
      <c r="J283" s="15" t="n">
        <f aca="false">I283*(1+IF(J$3&lt;=$O$2,$D283,$D283-($D283-$I$265)*MIN(J$3-$O$2,$Q$2)/$Q$2))</f>
        <v>2169.8484529249</v>
      </c>
      <c r="K283" s="15" t="n">
        <f aca="false">J283*(1+IF(K$3&lt;=$O$2,$D283,$D283-($D283-$I$265)*MIN(K$3-$O$2,$Q$2)/$Q$2))</f>
        <v>2194.16685729291</v>
      </c>
      <c r="L283" s="15" t="n">
        <f aca="false">K283*(1+IF(L$3&lt;=$O$2,$D283,$D283-($D283-$I$265)*MIN(L$3-$O$2,$Q$2)/$Q$2))</f>
        <v>2234.91607671246</v>
      </c>
      <c r="M283" s="15" t="n">
        <f aca="false">L283*(1+IF(M$3&lt;=$O$2,$D283,$D283-($D283-$I$265)*MIN(M$3-$O$2,$Q$2)/$Q$2))</f>
        <v>2292.88042848173</v>
      </c>
      <c r="N283" s="15" t="n">
        <f aca="false">M283*(1+IF(N$3&lt;=$O$2,$D283,$D283-($D283-$I$265)*MIN(N$3-$O$2,$Q$2)/$Q$2))</f>
        <v>2369.23334675017</v>
      </c>
      <c r="O283" s="15" t="n">
        <f aca="false">SUMPRODUCT(E283:N283,1/(1+$F$265)^$E$3:$N$3)*$E$2</f>
        <v>7925.0970637932</v>
      </c>
      <c r="P283" s="15" t="n">
        <f aca="false">N283*$E$2*(1+$I$265)/($F$265-$I$265)/(1+$F$265)^$N$3</f>
        <v>15906.7035962141</v>
      </c>
      <c r="Q283" s="15" t="n">
        <f aca="false">O283+P283</f>
        <v>23831.8006600073</v>
      </c>
      <c r="R283" s="15" t="n">
        <f aca="false">Q283-$G$2+$I$2</f>
        <v>25741.4606600073</v>
      </c>
      <c r="S283" s="42" t="n">
        <f aca="false">R283/$K$2</f>
        <v>109.992140580299</v>
      </c>
      <c r="T283" s="43" t="n">
        <f aca="false">S283-$M$2</f>
        <v>0.00624133661186477</v>
      </c>
    </row>
    <row r="284" customFormat="false" ht="15" hidden="false" customHeight="false" outlineLevel="0" collapsed="false">
      <c r="A284" s="5" t="n">
        <v>18</v>
      </c>
      <c r="B284" s="25" t="n">
        <f aca="false">IF(T283&gt;0,B283,D283)</f>
        <v>-0.00353240966796875</v>
      </c>
      <c r="C284" s="25" t="n">
        <f aca="false">IF(T283&gt;0,D283,C283)</f>
        <v>-0.00352096557617188</v>
      </c>
      <c r="D284" s="41" t="n">
        <f aca="false">(B284+C284)/2</f>
        <v>-0.00352668762207031</v>
      </c>
      <c r="E284" s="15" t="n">
        <f aca="false">$C$2*(1+IF(E$3&lt;=$O$2,$D284,$D284-($D284-$I$265)*MIN(E$3-$O$2,$Q$2)/$Q$2))</f>
        <v>2192.24128723145</v>
      </c>
      <c r="F284" s="15" t="n">
        <f aca="false">E284*(1+IF(F$3&lt;=$O$2,$D284,$D284-($D284-$I$265)*MIN(F$3-$O$2,$Q$2)/$Q$2))</f>
        <v>2184.50993701917</v>
      </c>
      <c r="G284" s="15" t="n">
        <f aca="false">F284*(1+IF(G$3&lt;=$O$2,$D284,$D284-($D284-$I$265)*MIN(G$3-$O$2,$Q$2)/$Q$2))</f>
        <v>2176.805852864</v>
      </c>
      <c r="H284" s="15" t="n">
        <f aca="false">G284*(1+IF(H$3&lt;=$O$2,$D284,$D284-($D284-$I$265)*MIN(H$3-$O$2,$Q$2)/$Q$2))</f>
        <v>2169.12893860705</v>
      </c>
      <c r="I284" s="15" t="n">
        <f aca="false">H284*(1+IF(I$3&lt;=$O$2,$D284,$D284-($D284-$I$265)*MIN(I$3-$O$2,$Q$2)/$Q$2))</f>
        <v>2161.47909842859</v>
      </c>
      <c r="J284" s="15" t="n">
        <f aca="false">I284*(1+IF(J$3&lt;=$O$2,$D284,$D284-($D284-$I$265)*MIN(J$3-$O$2,$Q$2)/$Q$2))</f>
        <v>2169.77625995869</v>
      </c>
      <c r="K284" s="15" t="n">
        <f aca="false">J284*(1+IF(K$3&lt;=$O$2,$D284,$D284-($D284-$I$265)*MIN(K$3-$O$2,$Q$2)/$Q$2))</f>
        <v>2194.08640589415</v>
      </c>
      <c r="L284" s="15" t="n">
        <f aca="false">K284*(1+IF(L$3&lt;=$O$2,$D284,$D284-($D284-$I$265)*MIN(L$3-$O$2,$Q$2)/$Q$2))</f>
        <v>2234.82910933615</v>
      </c>
      <c r="M284" s="15" t="n">
        <f aca="false">L284*(1+IF(M$3&lt;=$O$2,$D284,$D284-($D284-$I$265)*MIN(M$3-$O$2,$Q$2)/$Q$2))</f>
        <v>2292.78864797739</v>
      </c>
      <c r="N284" s="15" t="n">
        <f aca="false">M284*(1+IF(N$3&lt;=$O$2,$D284,$D284-($D284-$I$265)*MIN(N$3-$O$2,$Q$2)/$Q$2))</f>
        <v>2369.13850995504</v>
      </c>
      <c r="O284" s="15" t="n">
        <f aca="false">SUMPRODUCT(E284:N284,1/(1+$F$265)^$E$3:$N$3)*$E$2</f>
        <v>7924.89650275338</v>
      </c>
      <c r="P284" s="15" t="n">
        <f aca="false">N284*$E$2*(1+$I$265)/($F$265-$I$265)/(1+$F$265)^$N$3</f>
        <v>15906.0668751447</v>
      </c>
      <c r="Q284" s="15" t="n">
        <f aca="false">O284+P284</f>
        <v>23830.9633778981</v>
      </c>
      <c r="R284" s="15" t="n">
        <f aca="false">Q284-$G$2+$I$2</f>
        <v>25740.6233778981</v>
      </c>
      <c r="S284" s="42" t="n">
        <f aca="false">R284/$K$2</f>
        <v>109.988562910302</v>
      </c>
      <c r="T284" s="43" t="n">
        <f aca="false">S284-$M$2</f>
        <v>0.00266366661563211</v>
      </c>
    </row>
    <row r="285" customFormat="false" ht="15" hidden="false" customHeight="false" outlineLevel="0" collapsed="false">
      <c r="A285" s="5" t="n">
        <v>19</v>
      </c>
      <c r="B285" s="25" t="n">
        <f aca="false">IF(T284&gt;0,B284,D284)</f>
        <v>-0.00353240966796875</v>
      </c>
      <c r="C285" s="25" t="n">
        <f aca="false">IF(T284&gt;0,D284,C284)</f>
        <v>-0.00352668762207031</v>
      </c>
      <c r="D285" s="41" t="n">
        <f aca="false">(B285+C285)/2</f>
        <v>-0.00352954864501953</v>
      </c>
      <c r="E285" s="15" t="n">
        <f aca="false">$C$2*(1+IF(E$3&lt;=$O$2,$D285,$D285-($D285-$I$265)*MIN(E$3-$O$2,$Q$2)/$Q$2))</f>
        <v>2192.23499298096</v>
      </c>
      <c r="F285" s="15" t="n">
        <f aca="false">E285*(1+IF(F$3&lt;=$O$2,$D285,$D285-($D285-$I$265)*MIN(F$3-$O$2,$Q$2)/$Q$2))</f>
        <v>2184.49739293192</v>
      </c>
      <c r="G285" s="15" t="n">
        <f aca="false">F285*(1+IF(G$3&lt;=$O$2,$D285,$D285-($D285-$I$265)*MIN(G$3-$O$2,$Q$2)/$Q$2))</f>
        <v>2176.78710311865</v>
      </c>
      <c r="H285" s="15" t="n">
        <f aca="false">G285*(1+IF(H$3&lt;=$O$2,$D285,$D285-($D285-$I$265)*MIN(H$3-$O$2,$Q$2)/$Q$2))</f>
        <v>2169.10402714834</v>
      </c>
      <c r="I285" s="15" t="n">
        <f aca="false">H285*(1+IF(I$3&lt;=$O$2,$D285,$D285-($D285-$I$265)*MIN(I$3-$O$2,$Q$2)/$Q$2))</f>
        <v>2161.44806896841</v>
      </c>
      <c r="J285" s="15" t="n">
        <f aca="false">I285*(1+IF(J$3&lt;=$O$2,$D285,$D285-($D285-$I$265)*MIN(J$3-$O$2,$Q$2)/$Q$2))</f>
        <v>2169.74016422525</v>
      </c>
      <c r="K285" s="15" t="n">
        <f aca="false">J285*(1+IF(K$3&lt;=$O$2,$D285,$D285-($D285-$I$265)*MIN(K$3-$O$2,$Q$2)/$Q$2))</f>
        <v>2194.04618113872</v>
      </c>
      <c r="L285" s="15" t="n">
        <f aca="false">K285*(1+IF(L$3&lt;=$O$2,$D285,$D285-($D285-$I$265)*MIN(L$3-$O$2,$Q$2)/$Q$2))</f>
        <v>2234.78562674757</v>
      </c>
      <c r="M285" s="15" t="n">
        <f aca="false">L285*(1+IF(M$3&lt;=$O$2,$D285,$D285-($D285-$I$265)*MIN(M$3-$O$2,$Q$2)/$Q$2))</f>
        <v>2292.74275892797</v>
      </c>
      <c r="N285" s="15" t="n">
        <f aca="false">M285*(1+IF(N$3&lt;=$O$2,$D285,$D285-($D285-$I$265)*MIN(N$3-$O$2,$Q$2)/$Q$2))</f>
        <v>2369.09109280027</v>
      </c>
      <c r="O285" s="15" t="n">
        <f aca="false">SUMPRODUCT(E285:N285,1/(1+$F$265)^$E$3:$N$3)*$E$2</f>
        <v>7924.79622417518</v>
      </c>
      <c r="P285" s="15" t="n">
        <f aca="false">N285*$E$2*(1+$I$265)/($F$265-$I$265)/(1+$F$265)^$N$3</f>
        <v>15905.7485229539</v>
      </c>
      <c r="Q285" s="15" t="n">
        <f aca="false">O285+P285</f>
        <v>23830.5447471291</v>
      </c>
      <c r="R285" s="15" t="n">
        <f aca="false">Q285-$G$2+$I$2</f>
        <v>25740.2047471291</v>
      </c>
      <c r="S285" s="42" t="n">
        <f aca="false">R285/$K$2</f>
        <v>109.986774119254</v>
      </c>
      <c r="T285" s="43" t="n">
        <f aca="false">S285-$M$2</f>
        <v>0.000874875567774325</v>
      </c>
    </row>
    <row r="286" customFormat="false" ht="15" hidden="false" customHeight="false" outlineLevel="0" collapsed="false">
      <c r="A286" s="5" t="n">
        <v>20</v>
      </c>
      <c r="B286" s="25" t="n">
        <f aca="false">IF(T285&gt;0,B285,D285)</f>
        <v>-0.00353240966796875</v>
      </c>
      <c r="C286" s="25" t="n">
        <f aca="false">IF(T285&gt;0,D285,C285)</f>
        <v>-0.00352954864501953</v>
      </c>
      <c r="D286" s="41" t="n">
        <f aca="false">(B286+C286)/2</f>
        <v>-0.00353097915649414</v>
      </c>
      <c r="E286" s="15" t="n">
        <f aca="false">$C$2*(1+IF(E$3&lt;=$O$2,$D286,$D286-($D286-$I$265)*MIN(E$3-$O$2,$Q$2)/$Q$2))</f>
        <v>2192.23184585571</v>
      </c>
      <c r="F286" s="15" t="n">
        <f aca="false">E286*(1+IF(F$3&lt;=$O$2,$D286,$D286-($D286-$I$265)*MIN(F$3-$O$2,$Q$2)/$Q$2))</f>
        <v>2184.49112090179</v>
      </c>
      <c r="G286" s="15" t="n">
        <f aca="false">F286*(1+IF(G$3&lt;=$O$2,$D286,$D286-($D286-$I$265)*MIN(G$3-$O$2,$Q$2)/$Q$2))</f>
        <v>2176.77772828634</v>
      </c>
      <c r="H286" s="15" t="n">
        <f aca="false">G286*(1+IF(H$3&lt;=$O$2,$D286,$D286-($D286-$I$265)*MIN(H$3-$O$2,$Q$2)/$Q$2))</f>
        <v>2169.09157149944</v>
      </c>
      <c r="I286" s="15" t="n">
        <f aca="false">H286*(1+IF(I$3&lt;=$O$2,$D286,$D286-($D286-$I$265)*MIN(I$3-$O$2,$Q$2)/$Q$2))</f>
        <v>2161.43255437195</v>
      </c>
      <c r="J286" s="15" t="n">
        <f aca="false">I286*(1+IF(J$3&lt;=$O$2,$D286,$D286-($D286-$I$265)*MIN(J$3-$O$2,$Q$2)/$Q$2))</f>
        <v>2169.72211654595</v>
      </c>
      <c r="K286" s="15" t="n">
        <f aca="false">J286*(1+IF(K$3&lt;=$O$2,$D286,$D286-($D286-$I$265)*MIN(K$3-$O$2,$Q$2)/$Q$2))</f>
        <v>2194.02606899699</v>
      </c>
      <c r="L286" s="15" t="n">
        <f aca="false">K286*(1+IF(L$3&lt;=$O$2,$D286,$D286-($D286-$I$265)*MIN(L$3-$O$2,$Q$2)/$Q$2))</f>
        <v>2234.76388572818</v>
      </c>
      <c r="M286" s="15" t="n">
        <f aca="false">L286*(1+IF(M$3&lt;=$O$2,$D286,$D286-($D286-$I$265)*MIN(M$3-$O$2,$Q$2)/$Q$2))</f>
        <v>2292.71981470394</v>
      </c>
      <c r="N286" s="15" t="n">
        <f aca="false">M286*(1+IF(N$3&lt;=$O$2,$D286,$D286-($D286-$I$265)*MIN(N$3-$O$2,$Q$2)/$Q$2))</f>
        <v>2369.06738453358</v>
      </c>
      <c r="O286" s="15" t="n">
        <f aca="false">SUMPRODUCT(E286:N286,1/(1+$F$265)^$E$3:$N$3)*$E$2</f>
        <v>7924.74608537151</v>
      </c>
      <c r="P286" s="15" t="n">
        <f aca="false">N286*$E$2*(1+$I$265)/($F$265-$I$265)/(1+$F$265)^$N$3</f>
        <v>15905.5893489445</v>
      </c>
      <c r="Q286" s="15" t="n">
        <f aca="false">O286+P286</f>
        <v>23830.335434316</v>
      </c>
      <c r="R286" s="15" t="n">
        <f aca="false">Q286-$G$2+$I$2</f>
        <v>25739.995434316</v>
      </c>
      <c r="S286" s="42" t="n">
        <f aca="false">R286/$K$2</f>
        <v>109.985879734718</v>
      </c>
      <c r="T286" s="43" t="n">
        <f aca="false">S286-$M$2</f>
        <v>-1.95089687622385E-005</v>
      </c>
    </row>
    <row r="287" customFormat="false" ht="15" hidden="false" customHeight="false" outlineLevel="0" collapsed="false">
      <c r="A287" s="5" t="n">
        <v>21</v>
      </c>
      <c r="B287" s="25" t="n">
        <f aca="false">IF(T286&gt;0,B286,D286)</f>
        <v>-0.00353097915649414</v>
      </c>
      <c r="C287" s="25" t="n">
        <f aca="false">IF(T286&gt;0,D286,C286)</f>
        <v>-0.00352954864501953</v>
      </c>
      <c r="D287" s="41" t="n">
        <f aca="false">(B287+C287)/2</f>
        <v>-0.00353026390075684</v>
      </c>
      <c r="E287" s="15" t="n">
        <f aca="false">$C$2*(1+IF(E$3&lt;=$O$2,$D287,$D287-($D287-$I$265)*MIN(E$3-$O$2,$Q$2)/$Q$2))</f>
        <v>2192.23341941834</v>
      </c>
      <c r="F287" s="15" t="n">
        <f aca="false">E287*(1+IF(F$3&lt;=$O$2,$D287,$D287-($D287-$I$265)*MIN(F$3-$O$2,$Q$2)/$Q$2))</f>
        <v>2184.49425691573</v>
      </c>
      <c r="G287" s="15" t="n">
        <f aca="false">F287*(1+IF(G$3&lt;=$O$2,$D287,$D287-($D287-$I$265)*MIN(G$3-$O$2,$Q$2)/$Q$2))</f>
        <v>2176.78241569913</v>
      </c>
      <c r="H287" s="15" t="n">
        <f aca="false">G287*(1+IF(H$3&lt;=$O$2,$D287,$D287-($D287-$I$265)*MIN(H$3-$O$2,$Q$2)/$Q$2))</f>
        <v>2169.09779931718</v>
      </c>
      <c r="I287" s="15" t="n">
        <f aca="false">H287*(1+IF(I$3&lt;=$O$2,$D287,$D287-($D287-$I$265)*MIN(I$3-$O$2,$Q$2)/$Q$2))</f>
        <v>2161.44031165904</v>
      </c>
      <c r="J287" s="15" t="n">
        <f aca="false">I287*(1+IF(J$3&lt;=$O$2,$D287,$D287-($D287-$I$265)*MIN(J$3-$O$2,$Q$2)/$Q$2))</f>
        <v>2169.73114036998</v>
      </c>
      <c r="K287" s="15" t="n">
        <f aca="false">J287*(1+IF(K$3&lt;=$O$2,$D287,$D287-($D287-$I$265)*MIN(K$3-$O$2,$Q$2)/$Q$2))</f>
        <v>2194.03612504819</v>
      </c>
      <c r="L287" s="15" t="n">
        <f aca="false">K287*(1+IF(L$3&lt;=$O$2,$D287,$D287-($D287-$I$265)*MIN(L$3-$O$2,$Q$2)/$Q$2))</f>
        <v>2234.77475621497</v>
      </c>
      <c r="M287" s="15" t="n">
        <f aca="false">L287*(1+IF(M$3&lt;=$O$2,$D287,$D287-($D287-$I$265)*MIN(M$3-$O$2,$Q$2)/$Q$2))</f>
        <v>2292.7312867909</v>
      </c>
      <c r="N287" s="15" t="n">
        <f aca="false">M287*(1+IF(N$3&lt;=$O$2,$D287,$D287-($D287-$I$265)*MIN(N$3-$O$2,$Q$2)/$Q$2))</f>
        <v>2369.07923864103</v>
      </c>
      <c r="O287" s="15" t="n">
        <f aca="false">SUMPRODUCT(E287:N287,1/(1+$F$265)^$E$3:$N$3)*$E$2</f>
        <v>7924.77115473289</v>
      </c>
      <c r="P287" s="15" t="n">
        <f aca="false">N287*$E$2*(1+$I$265)/($F$265-$I$265)/(1+$F$265)^$N$3</f>
        <v>15905.6689357754</v>
      </c>
      <c r="Q287" s="15" t="n">
        <f aca="false">O287+P287</f>
        <v>23830.4400905083</v>
      </c>
      <c r="R287" s="15" t="n">
        <f aca="false">Q287-$G$2+$I$2</f>
        <v>25740.1000905083</v>
      </c>
      <c r="S287" s="42" t="n">
        <f aca="false">R287/$K$2</f>
        <v>109.986326926071</v>
      </c>
      <c r="T287" s="43" t="n">
        <f aca="false">S287-$M$2</f>
        <v>0.000427682383872252</v>
      </c>
    </row>
    <row r="288" customFormat="false" ht="15" hidden="false" customHeight="false" outlineLevel="0" collapsed="false">
      <c r="A288" s="5" t="n">
        <v>22</v>
      </c>
      <c r="B288" s="25" t="n">
        <f aca="false">IF(T287&gt;0,B287,D287)</f>
        <v>-0.00353097915649414</v>
      </c>
      <c r="C288" s="25" t="n">
        <f aca="false">IF(T287&gt;0,D287,C287)</f>
        <v>-0.00353026390075684</v>
      </c>
      <c r="D288" s="41" t="n">
        <f aca="false">(B288+C288)/2</f>
        <v>-0.00353062152862549</v>
      </c>
      <c r="E288" s="15" t="n">
        <f aca="false">$C$2*(1+IF(E$3&lt;=$O$2,$D288,$D288-($D288-$I$265)*MIN(E$3-$O$2,$Q$2)/$Q$2))</f>
        <v>2192.23263263702</v>
      </c>
      <c r="F288" s="15" t="n">
        <f aca="false">E288*(1+IF(F$3&lt;=$O$2,$D288,$D288-($D288-$I$265)*MIN(F$3-$O$2,$Q$2)/$Q$2))</f>
        <v>2184.49268890848</v>
      </c>
      <c r="G288" s="15" t="n">
        <f aca="false">F288*(1+IF(G$3&lt;=$O$2,$D288,$D288-($D288-$I$265)*MIN(G$3-$O$2,$Q$2)/$Q$2))</f>
        <v>2176.7800719919</v>
      </c>
      <c r="H288" s="15" t="n">
        <f aca="false">G288*(1+IF(H$3&lt;=$O$2,$D288,$D288-($D288-$I$265)*MIN(H$3-$O$2,$Q$2)/$Q$2))</f>
        <v>2169.09468540664</v>
      </c>
      <c r="I288" s="15" t="n">
        <f aca="false">H288*(1+IF(I$3&lt;=$O$2,$D288,$D288-($D288-$I$265)*MIN(I$3-$O$2,$Q$2)/$Q$2))</f>
        <v>2161.43643301271</v>
      </c>
      <c r="J288" s="15" t="n">
        <f aca="false">I288*(1+IF(J$3&lt;=$O$2,$D288,$D288-($D288-$I$265)*MIN(J$3-$O$2,$Q$2)/$Q$2))</f>
        <v>2169.72662845406</v>
      </c>
      <c r="K288" s="15" t="n">
        <f aca="false">J288*(1+IF(K$3&lt;=$O$2,$D288,$D288-($D288-$I$265)*MIN(K$3-$O$2,$Q$2)/$Q$2))</f>
        <v>2194.03109701768</v>
      </c>
      <c r="L288" s="15" t="n">
        <f aca="false">K288*(1+IF(L$3&lt;=$O$2,$D288,$D288-($D288-$I$265)*MIN(L$3-$O$2,$Q$2)/$Q$2))</f>
        <v>2234.76932096585</v>
      </c>
      <c r="M288" s="15" t="n">
        <f aca="false">L288*(1+IF(M$3&lt;=$O$2,$D288,$D288-($D288-$I$265)*MIN(M$3-$O$2,$Q$2)/$Q$2))</f>
        <v>2292.72555074115</v>
      </c>
      <c r="N288" s="15" t="n">
        <f aca="false">M288*(1+IF(N$3&lt;=$O$2,$D288,$D288-($D288-$I$265)*MIN(N$3-$O$2,$Q$2)/$Q$2))</f>
        <v>2369.07331158083</v>
      </c>
      <c r="O288" s="15" t="n">
        <f aca="false">SUMPRODUCT(E288:N288,1/(1+$F$265)^$E$3:$N$3)*$E$2</f>
        <v>7924.75862004209</v>
      </c>
      <c r="P288" s="15" t="n">
        <f aca="false">N288*$E$2*(1+$I$265)/($F$265-$I$265)/(1+$F$265)^$N$3</f>
        <v>15905.6291423165</v>
      </c>
      <c r="Q288" s="15" t="n">
        <f aca="false">O288+P288</f>
        <v>23830.3877623586</v>
      </c>
      <c r="R288" s="15" t="n">
        <f aca="false">Q288-$G$2+$I$2</f>
        <v>25740.0477623586</v>
      </c>
      <c r="S288" s="42" t="n">
        <f aca="false">R288/$K$2</f>
        <v>109.986103330165</v>
      </c>
      <c r="T288" s="43" t="n">
        <f aca="false">S288-$M$2</f>
        <v>0.000204086478632348</v>
      </c>
    </row>
    <row r="289" customFormat="false" ht="15" hidden="false" customHeight="false" outlineLevel="0" collapsed="false">
      <c r="A289" s="5" t="n">
        <v>23</v>
      </c>
      <c r="B289" s="25" t="n">
        <f aca="false">IF(T288&gt;0,B288,D288)</f>
        <v>-0.00353097915649414</v>
      </c>
      <c r="C289" s="25" t="n">
        <f aca="false">IF(T288&gt;0,D288,C288)</f>
        <v>-0.00353062152862549</v>
      </c>
      <c r="D289" s="41" t="n">
        <f aca="false">(B289+C289)/2</f>
        <v>-0.00353080034255981</v>
      </c>
      <c r="E289" s="15" t="n">
        <f aca="false">$C$2*(1+IF(E$3&lt;=$O$2,$D289,$D289-($D289-$I$265)*MIN(E$3-$O$2,$Q$2)/$Q$2))</f>
        <v>2192.23223924637</v>
      </c>
      <c r="F289" s="15" t="n">
        <f aca="false">E289*(1+IF(F$3&lt;=$O$2,$D289,$D289-($D289-$I$265)*MIN(F$3-$O$2,$Q$2)/$Q$2))</f>
        <v>2184.49190490507</v>
      </c>
      <c r="G289" s="15" t="n">
        <f aca="false">F289*(1+IF(G$3&lt;=$O$2,$D289,$D289-($D289-$I$265)*MIN(G$3-$O$2,$Q$2)/$Q$2))</f>
        <v>2176.77890013891</v>
      </c>
      <c r="H289" s="15" t="n">
        <f aca="false">G289*(1+IF(H$3&lt;=$O$2,$D289,$D289-($D289-$I$265)*MIN(H$3-$O$2,$Q$2)/$Q$2))</f>
        <v>2169.09312845262</v>
      </c>
      <c r="I289" s="15" t="n">
        <f aca="false">H289*(1+IF(I$3&lt;=$O$2,$D289,$D289-($D289-$I$265)*MIN(I$3-$O$2,$Q$2)/$Q$2))</f>
        <v>2161.43449369164</v>
      </c>
      <c r="J289" s="15" t="n">
        <f aca="false">I289*(1+IF(J$3&lt;=$O$2,$D289,$D289-($D289-$I$265)*MIN(J$3-$O$2,$Q$2)/$Q$2))</f>
        <v>2169.72437249903</v>
      </c>
      <c r="K289" s="15" t="n">
        <f aca="false">J289*(1+IF(K$3&lt;=$O$2,$D289,$D289-($D289-$I$265)*MIN(K$3-$O$2,$Q$2)/$Q$2))</f>
        <v>2194.0285830061</v>
      </c>
      <c r="L289" s="15" t="n">
        <f aca="false">K289*(1+IF(L$3&lt;=$O$2,$D289,$D289-($D289-$I$265)*MIN(L$3-$O$2,$Q$2)/$Q$2))</f>
        <v>2234.76660334558</v>
      </c>
      <c r="M289" s="15" t="n">
        <f aca="false">L289*(1+IF(M$3&lt;=$O$2,$D289,$D289-($D289-$I$265)*MIN(M$3-$O$2,$Q$2)/$Q$2))</f>
        <v>2292.72268272098</v>
      </c>
      <c r="N289" s="15" t="n">
        <f aca="false">M289*(1+IF(N$3&lt;=$O$2,$D289,$D289-($D289-$I$265)*MIN(N$3-$O$2,$Q$2)/$Q$2))</f>
        <v>2369.07034805559</v>
      </c>
      <c r="O289" s="15" t="n">
        <f aca="false">SUMPRODUCT(E289:N289,1/(1+$F$265)^$E$3:$N$3)*$E$2</f>
        <v>7924.75235270427</v>
      </c>
      <c r="P289" s="15" t="n">
        <f aca="false">N289*$E$2*(1+$I$265)/($F$265-$I$265)/(1+$F$265)^$N$3</f>
        <v>15905.6092456197</v>
      </c>
      <c r="Q289" s="15" t="n">
        <f aca="false">O289+P289</f>
        <v>23830.3615983239</v>
      </c>
      <c r="R289" s="15" t="n">
        <f aca="false">Q289-$G$2+$I$2</f>
        <v>25740.0215983239</v>
      </c>
      <c r="S289" s="42" t="n">
        <f aca="false">R289/$K$2</f>
        <v>109.985991532384</v>
      </c>
      <c r="T289" s="43" t="n">
        <f aca="false">S289-$M$2</f>
        <v>9.22886977008375E-005</v>
      </c>
    </row>
    <row r="290" customFormat="false" ht="15" hidden="false" customHeight="false" outlineLevel="0" collapsed="false">
      <c r="A290" s="5" t="n">
        <v>24</v>
      </c>
      <c r="B290" s="25" t="n">
        <f aca="false">IF(T289&gt;0,B289,D289)</f>
        <v>-0.00353097915649414</v>
      </c>
      <c r="C290" s="25" t="n">
        <f aca="false">IF(T289&gt;0,D289,C289)</f>
        <v>-0.00353080034255981</v>
      </c>
      <c r="D290" s="41" t="n">
        <f aca="false">(B290+C290)/2</f>
        <v>-0.00353088974952698</v>
      </c>
      <c r="E290" s="15" t="n">
        <f aca="false">$C$2*(1+IF(E$3&lt;=$O$2,$D290,$D290-($D290-$I$265)*MIN(E$3-$O$2,$Q$2)/$Q$2))</f>
        <v>2192.23204255104</v>
      </c>
      <c r="F290" s="15" t="n">
        <f aca="false">E290*(1+IF(F$3&lt;=$O$2,$D290,$D290-($D290-$I$265)*MIN(F$3-$O$2,$Q$2)/$Q$2))</f>
        <v>2184.49151290341</v>
      </c>
      <c r="G290" s="15" t="n">
        <f aca="false">F290*(1+IF(G$3&lt;=$O$2,$D290,$D290-($D290-$I$265)*MIN(G$3-$O$2,$Q$2)/$Q$2))</f>
        <v>2176.77831421257</v>
      </c>
      <c r="H290" s="15" t="n">
        <f aca="false">G290*(1+IF(H$3&lt;=$O$2,$D290,$D290-($D290-$I$265)*MIN(H$3-$O$2,$Q$2)/$Q$2))</f>
        <v>2169.09234997593</v>
      </c>
      <c r="I290" s="15" t="n">
        <f aca="false">H290*(1+IF(I$3&lt;=$O$2,$D290,$D290-($D290-$I$265)*MIN(I$3-$O$2,$Q$2)/$Q$2))</f>
        <v>2161.43352403162</v>
      </c>
      <c r="J290" s="15" t="n">
        <f aca="false">I290*(1+IF(J$3&lt;=$O$2,$D290,$D290-($D290-$I$265)*MIN(J$3-$O$2,$Q$2)/$Q$2))</f>
        <v>2169.72324452224</v>
      </c>
      <c r="K290" s="15" t="n">
        <f aca="false">J290*(1+IF(K$3&lt;=$O$2,$D290,$D290-($D290-$I$265)*MIN(K$3-$O$2,$Q$2)/$Q$2))</f>
        <v>2194.02732600124</v>
      </c>
      <c r="L290" s="15" t="n">
        <f aca="false">K290*(1+IF(L$3&lt;=$O$2,$D290,$D290-($D290-$I$265)*MIN(L$3-$O$2,$Q$2)/$Q$2))</f>
        <v>2234.76524453652</v>
      </c>
      <c r="M290" s="15" t="n">
        <f aca="false">L290*(1+IF(M$3&lt;=$O$2,$D290,$D290-($D290-$I$265)*MIN(M$3-$O$2,$Q$2)/$Q$2))</f>
        <v>2292.72124871207</v>
      </c>
      <c r="N290" s="15" t="n">
        <f aca="false">M290*(1+IF(N$3&lt;=$O$2,$D290,$D290-($D290-$I$265)*MIN(N$3-$O$2,$Q$2)/$Q$2))</f>
        <v>2369.06886629418</v>
      </c>
      <c r="O290" s="15" t="n">
        <f aca="false">SUMPRODUCT(E290:N290,1/(1+$F$265)^$E$3:$N$3)*$E$2</f>
        <v>7924.74921903725</v>
      </c>
      <c r="P290" s="15" t="n">
        <f aca="false">N290*$E$2*(1+$I$265)/($F$265-$I$265)/(1+$F$265)^$N$3</f>
        <v>15905.5992972794</v>
      </c>
      <c r="Q290" s="15" t="n">
        <f aca="false">O290+P290</f>
        <v>23830.3485163166</v>
      </c>
      <c r="R290" s="15" t="n">
        <f aca="false">Q290-$G$2+$I$2</f>
        <v>25740.0085163166</v>
      </c>
      <c r="S290" s="42" t="n">
        <f aca="false">R290/$K$2</f>
        <v>109.985935633537</v>
      </c>
      <c r="T290" s="43" t="n">
        <f aca="false">S290-$M$2</f>
        <v>3.63898501234417E-005</v>
      </c>
    </row>
    <row r="292" customFormat="false" ht="15" hidden="false" customHeight="false" outlineLevel="0" collapsed="false">
      <c r="A292" s="38" t="s">
        <v>197</v>
      </c>
      <c r="E292" s="5" t="s">
        <v>11</v>
      </c>
      <c r="F292" s="12" t="n">
        <f aca="false">Sensitivity!$B$11</f>
        <v>0.0727967762761046</v>
      </c>
      <c r="G292" s="5" t="s">
        <v>12</v>
      </c>
      <c r="I292" s="12" t="n">
        <f aca="false">Sensitivity!$G$9</f>
        <v>0.0383</v>
      </c>
    </row>
    <row r="293" customFormat="false" ht="23.85" hidden="false" customHeight="false" outlineLevel="0" collapsed="false">
      <c r="A293" s="38" t="s">
        <v>168</v>
      </c>
      <c r="B293" s="28" t="s">
        <v>169</v>
      </c>
      <c r="C293" s="28" t="s">
        <v>170</v>
      </c>
      <c r="D293" s="28" t="s">
        <v>171</v>
      </c>
      <c r="E293" s="28" t="s">
        <v>172</v>
      </c>
      <c r="F293" s="28" t="s">
        <v>173</v>
      </c>
      <c r="G293" s="28" t="s">
        <v>174</v>
      </c>
      <c r="H293" s="28" t="s">
        <v>175</v>
      </c>
      <c r="I293" s="28" t="s">
        <v>176</v>
      </c>
      <c r="J293" s="28" t="s">
        <v>177</v>
      </c>
      <c r="K293" s="28" t="s">
        <v>178</v>
      </c>
      <c r="L293" s="28" t="s">
        <v>179</v>
      </c>
      <c r="M293" s="28" t="s">
        <v>180</v>
      </c>
      <c r="N293" s="28" t="s">
        <v>181</v>
      </c>
      <c r="O293" s="28" t="s">
        <v>182</v>
      </c>
      <c r="P293" s="28" t="s">
        <v>183</v>
      </c>
      <c r="Q293" s="28" t="s">
        <v>184</v>
      </c>
      <c r="R293" s="28" t="s">
        <v>185</v>
      </c>
      <c r="S293" s="28" t="s">
        <v>186</v>
      </c>
      <c r="T293" s="28" t="s">
        <v>187</v>
      </c>
    </row>
    <row r="294" customFormat="false" ht="15" hidden="false" customHeight="false" outlineLevel="0" collapsed="false">
      <c r="A294" s="5" t="n">
        <v>1</v>
      </c>
      <c r="B294" s="24" t="n">
        <v>-0.5</v>
      </c>
      <c r="C294" s="24" t="n">
        <v>1</v>
      </c>
      <c r="D294" s="41" t="n">
        <f aca="false">(B294+C294)/2</f>
        <v>0.25</v>
      </c>
      <c r="E294" s="15" t="n">
        <f aca="false">$C$2*(1+IF(E$3&lt;=$O$2,$D294,$D294-($D294-$I$292)*MIN(E$3-$O$2,$Q$2)/$Q$2))</f>
        <v>2750</v>
      </c>
      <c r="F294" s="15" t="n">
        <f aca="false">E294*(1+IF(F$3&lt;=$O$2,$D294,$D294-($D294-$I$292)*MIN(F$3-$O$2,$Q$2)/$Q$2))</f>
        <v>3437.5</v>
      </c>
      <c r="G294" s="15" t="n">
        <f aca="false">F294*(1+IF(G$3&lt;=$O$2,$D294,$D294-($D294-$I$292)*MIN(G$3-$O$2,$Q$2)/$Q$2))</f>
        <v>4296.875</v>
      </c>
      <c r="H294" s="15" t="n">
        <f aca="false">G294*(1+IF(H$3&lt;=$O$2,$D294,$D294-($D294-$I$292)*MIN(H$3-$O$2,$Q$2)/$Q$2))</f>
        <v>5371.09375</v>
      </c>
      <c r="I294" s="15" t="n">
        <f aca="false">H294*(1+IF(I$3&lt;=$O$2,$D294,$D294-($D294-$I$292)*MIN(I$3-$O$2,$Q$2)/$Q$2))</f>
        <v>6713.8671875</v>
      </c>
      <c r="J294" s="15" t="n">
        <f aca="false">I294*(1+IF(J$3&lt;=$O$2,$D294,$D294-($D294-$I$292)*MIN(J$3-$O$2,$Q$2)/$Q$2))</f>
        <v>8108.06884765625</v>
      </c>
      <c r="K294" s="15" t="n">
        <f aca="false">J294*(1+IF(K$3&lt;=$O$2,$D294,$D294-($D294-$I$292)*MIN(K$3-$O$2,$Q$2)/$Q$2))</f>
        <v>9448.49478955078</v>
      </c>
      <c r="L294" s="15" t="n">
        <f aca="false">K294*(1+IF(L$3&lt;=$O$2,$D294,$D294-($D294-$I$292)*MIN(L$3-$O$2,$Q$2)/$Q$2))</f>
        <v>10610.4706787697</v>
      </c>
      <c r="M294" s="15" t="n">
        <f aca="false">L294*(1+IF(M$3&lt;=$O$2,$D294,$D294-($D294-$I$292)*MIN(M$3-$O$2,$Q$2)/$Q$2))</f>
        <v>11466.0990343057</v>
      </c>
      <c r="N294" s="15" t="n">
        <f aca="false">M294*(1+IF(N$3&lt;=$O$2,$D294,$D294-($D294-$I$292)*MIN(N$3-$O$2,$Q$2)/$Q$2))</f>
        <v>11905.2506273196</v>
      </c>
      <c r="O294" s="15" t="n">
        <f aca="false">SUMPRODUCT(E294:N294,1/(1+$F$292)^$E$3:$N$3)*$E$2</f>
        <v>24324.6688135467</v>
      </c>
      <c r="P294" s="15" t="n">
        <f aca="false">N294*$E$2*(1+$I$292)/($F$292-$I$292)/(1+$F$292)^$N$3</f>
        <v>91958.198968762</v>
      </c>
      <c r="Q294" s="15" t="n">
        <f aca="false">O294+P294</f>
        <v>116282.867782309</v>
      </c>
      <c r="R294" s="15" t="n">
        <f aca="false">Q294-$G$2+$I$2</f>
        <v>118192.527782309</v>
      </c>
      <c r="S294" s="42" t="n">
        <f aca="false">R294/$K$2</f>
        <v>505.031524942566</v>
      </c>
      <c r="T294" s="43" t="n">
        <f aca="false">S294-$M$2</f>
        <v>395.045625698879</v>
      </c>
    </row>
    <row r="295" customFormat="false" ht="15" hidden="false" customHeight="false" outlineLevel="0" collapsed="false">
      <c r="A295" s="5" t="n">
        <v>2</v>
      </c>
      <c r="B295" s="25" t="n">
        <f aca="false">IF(T294&gt;0,B294,D294)</f>
        <v>-0.5</v>
      </c>
      <c r="C295" s="25" t="n">
        <f aca="false">IF(T294&gt;0,D294,C294)</f>
        <v>0.25</v>
      </c>
      <c r="D295" s="41" t="n">
        <f aca="false">(B295+C295)/2</f>
        <v>-0.125</v>
      </c>
      <c r="E295" s="15" t="n">
        <f aca="false">$C$2*(1+IF(E$3&lt;=$O$2,$D295,$D295-($D295-$I$292)*MIN(E$3-$O$2,$Q$2)/$Q$2))</f>
        <v>1925</v>
      </c>
      <c r="F295" s="15" t="n">
        <f aca="false">E295*(1+IF(F$3&lt;=$O$2,$D295,$D295-($D295-$I$292)*MIN(F$3-$O$2,$Q$2)/$Q$2))</f>
        <v>1684.375</v>
      </c>
      <c r="G295" s="15" t="n">
        <f aca="false">F295*(1+IF(G$3&lt;=$O$2,$D295,$D295-($D295-$I$292)*MIN(G$3-$O$2,$Q$2)/$Q$2))</f>
        <v>1473.828125</v>
      </c>
      <c r="H295" s="15" t="n">
        <f aca="false">G295*(1+IF(H$3&lt;=$O$2,$D295,$D295-($D295-$I$292)*MIN(H$3-$O$2,$Q$2)/$Q$2))</f>
        <v>1289.599609375</v>
      </c>
      <c r="I295" s="15" t="n">
        <f aca="false">H295*(1+IF(I$3&lt;=$O$2,$D295,$D295-($D295-$I$292)*MIN(I$3-$O$2,$Q$2)/$Q$2))</f>
        <v>1128.39965820313</v>
      </c>
      <c r="J295" s="15" t="n">
        <f aca="false">I295*(1+IF(J$3&lt;=$O$2,$D295,$D295-($D295-$I$292)*MIN(J$3-$O$2,$Q$2)/$Q$2))</f>
        <v>1024.20323376465</v>
      </c>
      <c r="K295" s="15" t="n">
        <f aca="false">J295*(1+IF(K$3&lt;=$O$2,$D295,$D295-($D295-$I$292)*MIN(K$3-$O$2,$Q$2)/$Q$2))</f>
        <v>963.078784773574</v>
      </c>
      <c r="L295" s="15" t="n">
        <f aca="false">K295*(1+IF(L$3&lt;=$O$2,$D295,$D295-($D295-$I$292)*MIN(L$3-$O$2,$Q$2)/$Q$2))</f>
        <v>937.056396008992</v>
      </c>
      <c r="M295" s="15" t="n">
        <f aca="false">L295*(1+IF(M$3&lt;=$O$2,$D295,$D295-($D295-$I$292)*MIN(M$3-$O$2,$Q$2)/$Q$2))</f>
        <v>942.341394082483</v>
      </c>
      <c r="N295" s="15" t="n">
        <f aca="false">M295*(1+IF(N$3&lt;=$O$2,$D295,$D295-($D295-$I$292)*MIN(N$3-$O$2,$Q$2)/$Q$2))</f>
        <v>978.433069475842</v>
      </c>
      <c r="O295" s="15" t="n">
        <f aca="false">SUMPRODUCT(E295:N295,1/(1+$F$292)^$E$3:$N$3)*$E$2</f>
        <v>4663.33934765419</v>
      </c>
      <c r="P295" s="15" t="n">
        <f aca="false">N295*$E$2*(1+$I$292)/($F$292-$I$292)/(1+$F$292)^$N$3</f>
        <v>7557.58494273154</v>
      </c>
      <c r="Q295" s="15" t="n">
        <f aca="false">O295+P295</f>
        <v>12220.9242903857</v>
      </c>
      <c r="R295" s="15" t="n">
        <f aca="false">Q295-$G$2+$I$2</f>
        <v>14130.5842903857</v>
      </c>
      <c r="S295" s="42" t="n">
        <f aca="false">R295/$K$2</f>
        <v>60.3793714070236</v>
      </c>
      <c r="T295" s="43" t="n">
        <f aca="false">S295-$M$2</f>
        <v>-49.6065278366631</v>
      </c>
    </row>
    <row r="296" customFormat="false" ht="15" hidden="false" customHeight="false" outlineLevel="0" collapsed="false">
      <c r="A296" s="5" t="n">
        <v>3</v>
      </c>
      <c r="B296" s="25" t="n">
        <f aca="false">IF(T295&gt;0,B295,D295)</f>
        <v>-0.125</v>
      </c>
      <c r="C296" s="25" t="n">
        <f aca="false">IF(T295&gt;0,D295,C295)</f>
        <v>0.25</v>
      </c>
      <c r="D296" s="41" t="n">
        <f aca="false">(B296+C296)/2</f>
        <v>0.0625</v>
      </c>
      <c r="E296" s="15" t="n">
        <f aca="false">$C$2*(1+IF(E$3&lt;=$O$2,$D296,$D296-($D296-$I$292)*MIN(E$3-$O$2,$Q$2)/$Q$2))</f>
        <v>2337.5</v>
      </c>
      <c r="F296" s="15" t="n">
        <f aca="false">E296*(1+IF(F$3&lt;=$O$2,$D296,$D296-($D296-$I$292)*MIN(F$3-$O$2,$Q$2)/$Q$2))</f>
        <v>2483.59375</v>
      </c>
      <c r="G296" s="15" t="n">
        <f aca="false">F296*(1+IF(G$3&lt;=$O$2,$D296,$D296-($D296-$I$292)*MIN(G$3-$O$2,$Q$2)/$Q$2))</f>
        <v>2638.818359375</v>
      </c>
      <c r="H296" s="15" t="n">
        <f aca="false">G296*(1+IF(H$3&lt;=$O$2,$D296,$D296-($D296-$I$292)*MIN(H$3-$O$2,$Q$2)/$Q$2))</f>
        <v>2803.74450683594</v>
      </c>
      <c r="I296" s="15" t="n">
        <f aca="false">H296*(1+IF(I$3&lt;=$O$2,$D296,$D296-($D296-$I$292)*MIN(I$3-$O$2,$Q$2)/$Q$2))</f>
        <v>2978.97853851318</v>
      </c>
      <c r="J296" s="15" t="n">
        <f aca="false">I296*(1+IF(J$3&lt;=$O$2,$D296,$D296-($D296-$I$292)*MIN(J$3-$O$2,$Q$2)/$Q$2))</f>
        <v>3150.74644104385</v>
      </c>
      <c r="K296" s="15" t="n">
        <f aca="false">J296*(1+IF(K$3&lt;=$O$2,$D296,$D296-($D296-$I$292)*MIN(K$3-$O$2,$Q$2)/$Q$2))</f>
        <v>3317.16886805979</v>
      </c>
      <c r="L296" s="15" t="n">
        <f aca="false">K296*(1+IF(L$3&lt;=$O$2,$D296,$D296-($D296-$I$292)*MIN(L$3-$O$2,$Q$2)/$Q$2))</f>
        <v>3476.3266303493</v>
      </c>
      <c r="M296" s="15" t="n">
        <f aca="false">L296*(1+IF(M$3&lt;=$O$2,$D296,$D296-($D296-$I$292)*MIN(M$3-$O$2,$Q$2)/$Q$2))</f>
        <v>3626.29536118257</v>
      </c>
      <c r="N296" s="15" t="n">
        <f aca="false">M296*(1+IF(N$3&lt;=$O$2,$D296,$D296-($D296-$I$292)*MIN(N$3-$O$2,$Q$2)/$Q$2))</f>
        <v>3765.18247351586</v>
      </c>
      <c r="O296" s="15" t="n">
        <f aca="false">SUMPRODUCT(E296:N296,1/(1+$F$292)^$E$3:$N$3)*$E$2</f>
        <v>10651.3894784604</v>
      </c>
      <c r="P296" s="15" t="n">
        <f aca="false">N296*$E$2*(1+$I$292)/($F$292-$I$292)/(1+$F$292)^$N$3</f>
        <v>29082.9155884154</v>
      </c>
      <c r="Q296" s="15" t="n">
        <f aca="false">O296+P296</f>
        <v>39734.3050668759</v>
      </c>
      <c r="R296" s="15" t="n">
        <f aca="false">Q296-$G$2+$I$2</f>
        <v>41643.9650668759</v>
      </c>
      <c r="S296" s="42" t="n">
        <f aca="false">R296/$K$2</f>
        <v>177.942849493124</v>
      </c>
      <c r="T296" s="43" t="n">
        <f aca="false">S296-$M$2</f>
        <v>67.9569502494376</v>
      </c>
    </row>
    <row r="297" customFormat="false" ht="15" hidden="false" customHeight="false" outlineLevel="0" collapsed="false">
      <c r="A297" s="5" t="n">
        <v>4</v>
      </c>
      <c r="B297" s="25" t="n">
        <f aca="false">IF(T296&gt;0,B296,D296)</f>
        <v>-0.125</v>
      </c>
      <c r="C297" s="25" t="n">
        <f aca="false">IF(T296&gt;0,D296,C296)</f>
        <v>0.0625</v>
      </c>
      <c r="D297" s="41" t="n">
        <f aca="false">(B297+C297)/2</f>
        <v>-0.03125</v>
      </c>
      <c r="E297" s="15" t="n">
        <f aca="false">$C$2*(1+IF(E$3&lt;=$O$2,$D297,$D297-($D297-$I$292)*MIN(E$3-$O$2,$Q$2)/$Q$2))</f>
        <v>2131.25</v>
      </c>
      <c r="F297" s="15" t="n">
        <f aca="false">E297*(1+IF(F$3&lt;=$O$2,$D297,$D297-($D297-$I$292)*MIN(F$3-$O$2,$Q$2)/$Q$2))</f>
        <v>2064.6484375</v>
      </c>
      <c r="G297" s="15" t="n">
        <f aca="false">F297*(1+IF(G$3&lt;=$O$2,$D297,$D297-($D297-$I$292)*MIN(G$3-$O$2,$Q$2)/$Q$2))</f>
        <v>2000.12817382813</v>
      </c>
      <c r="H297" s="15" t="n">
        <f aca="false">G297*(1+IF(H$3&lt;=$O$2,$D297,$D297-($D297-$I$292)*MIN(H$3-$O$2,$Q$2)/$Q$2))</f>
        <v>1937.624168396</v>
      </c>
      <c r="I297" s="15" t="n">
        <f aca="false">H297*(1+IF(I$3&lt;=$O$2,$D297,$D297-($D297-$I$292)*MIN(I$3-$O$2,$Q$2)/$Q$2))</f>
        <v>1877.07341313362</v>
      </c>
      <c r="J297" s="15" t="n">
        <f aca="false">I297*(1+IF(J$3&lt;=$O$2,$D297,$D297-($D297-$I$292)*MIN(J$3-$O$2,$Q$2)/$Q$2))</f>
        <v>1844.52496014988</v>
      </c>
      <c r="K297" s="15" t="n">
        <f aca="false">J297*(1+IF(K$3&lt;=$O$2,$D297,$D297-($D297-$I$292)*MIN(K$3-$O$2,$Q$2)/$Q$2))</f>
        <v>1838.19823953657</v>
      </c>
      <c r="L297" s="15" t="n">
        <f aca="false">K297*(1+IF(L$3&lt;=$O$2,$D297,$D297-($D297-$I$292)*MIN(L$3-$O$2,$Q$2)/$Q$2))</f>
        <v>1857.46255708691</v>
      </c>
      <c r="M297" s="15" t="n">
        <f aca="false">L297*(1+IF(M$3&lt;=$O$2,$D297,$D297-($D297-$I$292)*MIN(M$3-$O$2,$Q$2)/$Q$2))</f>
        <v>1902.76606885426</v>
      </c>
      <c r="N297" s="15" t="n">
        <f aca="false">M297*(1+IF(N$3&lt;=$O$2,$D297,$D297-($D297-$I$292)*MIN(N$3-$O$2,$Q$2)/$Q$2))</f>
        <v>1975.64200929138</v>
      </c>
      <c r="O297" s="15" t="n">
        <f aca="false">SUMPRODUCT(E297:N297,1/(1+$F$292)^$E$3:$N$3)*$E$2</f>
        <v>7029.89723954149</v>
      </c>
      <c r="P297" s="15" t="n">
        <f aca="false">N297*$E$2*(1+$I$292)/($F$292-$I$292)/(1+$F$292)^$N$3</f>
        <v>15260.1979301938</v>
      </c>
      <c r="Q297" s="15" t="n">
        <f aca="false">O297+P297</f>
        <v>22290.0951697353</v>
      </c>
      <c r="R297" s="15" t="n">
        <f aca="false">Q297-$G$2+$I$2</f>
        <v>24199.7551697353</v>
      </c>
      <c r="S297" s="42" t="n">
        <f aca="false">R297/$K$2</f>
        <v>103.404500148422</v>
      </c>
      <c r="T297" s="43" t="n">
        <f aca="false">S297-$M$2</f>
        <v>-6.58139909526429</v>
      </c>
    </row>
    <row r="298" customFormat="false" ht="15" hidden="false" customHeight="false" outlineLevel="0" collapsed="false">
      <c r="A298" s="5" t="n">
        <v>5</v>
      </c>
      <c r="B298" s="25" t="n">
        <f aca="false">IF(T297&gt;0,B297,D297)</f>
        <v>-0.03125</v>
      </c>
      <c r="C298" s="25" t="n">
        <f aca="false">IF(T297&gt;0,D297,C297)</f>
        <v>0.0625</v>
      </c>
      <c r="D298" s="41" t="n">
        <f aca="false">(B298+C298)/2</f>
        <v>0.015625</v>
      </c>
      <c r="E298" s="15" t="n">
        <f aca="false">$C$2*(1+IF(E$3&lt;=$O$2,$D298,$D298-($D298-$I$292)*MIN(E$3-$O$2,$Q$2)/$Q$2))</f>
        <v>2234.375</v>
      </c>
      <c r="F298" s="15" t="n">
        <f aca="false">E298*(1+IF(F$3&lt;=$O$2,$D298,$D298-($D298-$I$292)*MIN(F$3-$O$2,$Q$2)/$Q$2))</f>
        <v>2269.287109375</v>
      </c>
      <c r="G298" s="15" t="n">
        <f aca="false">F298*(1+IF(G$3&lt;=$O$2,$D298,$D298-($D298-$I$292)*MIN(G$3-$O$2,$Q$2)/$Q$2))</f>
        <v>2304.74472045898</v>
      </c>
      <c r="H298" s="15" t="n">
        <f aca="false">G298*(1+IF(H$3&lt;=$O$2,$D298,$D298-($D298-$I$292)*MIN(H$3-$O$2,$Q$2)/$Q$2))</f>
        <v>2340.75635671616</v>
      </c>
      <c r="I298" s="15" t="n">
        <f aca="false">H298*(1+IF(I$3&lt;=$O$2,$D298,$D298-($D298-$I$292)*MIN(I$3-$O$2,$Q$2)/$Q$2))</f>
        <v>2377.33067478985</v>
      </c>
      <c r="J298" s="15" t="n">
        <f aca="false">I298*(1+IF(J$3&lt;=$O$2,$D298,$D298-($D298-$I$292)*MIN(J$3-$O$2,$Q$2)/$Q$2))</f>
        <v>2425.25766119361</v>
      </c>
      <c r="K298" s="15" t="n">
        <f aca="false">J298*(1+IF(K$3&lt;=$O$2,$D298,$D298-($D298-$I$292)*MIN(K$3-$O$2,$Q$2)/$Q$2))</f>
        <v>2485.14939913679</v>
      </c>
      <c r="L298" s="15" t="n">
        <f aca="false">K298*(1+IF(L$3&lt;=$O$2,$D298,$D298-($D298-$I$292)*MIN(L$3-$O$2,$Q$2)/$Q$2))</f>
        <v>2557.79031607355</v>
      </c>
      <c r="M298" s="15" t="n">
        <f aca="false">L298*(1+IF(M$3&lt;=$O$2,$D298,$D298-($D298-$I$292)*MIN(M$3-$O$2,$Q$2)/$Q$2))</f>
        <v>2644.15410609578</v>
      </c>
      <c r="N298" s="15" t="n">
        <f aca="false">M298*(1+IF(N$3&lt;=$O$2,$D298,$D298-($D298-$I$292)*MIN(N$3-$O$2,$Q$2)/$Q$2))</f>
        <v>2745.42520835925</v>
      </c>
      <c r="O298" s="15" t="n">
        <f aca="false">SUMPRODUCT(E298:N298,1/(1+$F$292)^$E$3:$N$3)*$E$2</f>
        <v>8650.72686627862</v>
      </c>
      <c r="P298" s="15" t="n">
        <f aca="false">N298*$E$2*(1+$I$292)/($F$292-$I$292)/(1+$F$292)^$N$3</f>
        <v>21206.1354663807</v>
      </c>
      <c r="Q298" s="15" t="n">
        <f aca="false">O298+P298</f>
        <v>29856.8623326594</v>
      </c>
      <c r="R298" s="15" t="n">
        <f aca="false">Q298-$G$2+$I$2</f>
        <v>31766.5223326594</v>
      </c>
      <c r="S298" s="42" t="n">
        <f aca="false">R298/$K$2</f>
        <v>135.736966767762</v>
      </c>
      <c r="T298" s="43" t="n">
        <f aca="false">S298-$M$2</f>
        <v>25.7510675240754</v>
      </c>
    </row>
    <row r="299" customFormat="false" ht="15" hidden="false" customHeight="false" outlineLevel="0" collapsed="false">
      <c r="A299" s="5" t="n">
        <v>6</v>
      </c>
      <c r="B299" s="25" t="n">
        <f aca="false">IF(T298&gt;0,B298,D298)</f>
        <v>-0.03125</v>
      </c>
      <c r="C299" s="25" t="n">
        <f aca="false">IF(T298&gt;0,D298,C298)</f>
        <v>0.015625</v>
      </c>
      <c r="D299" s="41" t="n">
        <f aca="false">(B299+C299)/2</f>
        <v>-0.0078125</v>
      </c>
      <c r="E299" s="15" t="n">
        <f aca="false">$C$2*(1+IF(E$3&lt;=$O$2,$D299,$D299-($D299-$I$292)*MIN(E$3-$O$2,$Q$2)/$Q$2))</f>
        <v>2182.8125</v>
      </c>
      <c r="F299" s="15" t="n">
        <f aca="false">E299*(1+IF(F$3&lt;=$O$2,$D299,$D299-($D299-$I$292)*MIN(F$3-$O$2,$Q$2)/$Q$2))</f>
        <v>2165.75927734375</v>
      </c>
      <c r="G299" s="15" t="n">
        <f aca="false">F299*(1+IF(G$3&lt;=$O$2,$D299,$D299-($D299-$I$292)*MIN(G$3-$O$2,$Q$2)/$Q$2))</f>
        <v>2148.8392829895</v>
      </c>
      <c r="H299" s="15" t="n">
        <f aca="false">G299*(1+IF(H$3&lt;=$O$2,$D299,$D299-($D299-$I$292)*MIN(H$3-$O$2,$Q$2)/$Q$2))</f>
        <v>2132.05147609115</v>
      </c>
      <c r="I299" s="15" t="n">
        <f aca="false">H299*(1+IF(I$3&lt;=$O$2,$D299,$D299-($D299-$I$292)*MIN(I$3-$O$2,$Q$2)/$Q$2))</f>
        <v>2115.39482393418</v>
      </c>
      <c r="J299" s="15" t="n">
        <f aca="false">I299*(1+IF(J$3&lt;=$O$2,$D299,$D299-($D299-$I$292)*MIN(J$3-$O$2,$Q$2)/$Q$2))</f>
        <v>2118.37753063593</v>
      </c>
      <c r="K299" s="15" t="n">
        <f aca="false">J299*(1+IF(K$3&lt;=$O$2,$D299,$D299-($D299-$I$292)*MIN(K$3-$O$2,$Q$2)/$Q$2))</f>
        <v>2140.90117973042</v>
      </c>
      <c r="L299" s="15" t="n">
        <f aca="false">K299*(1+IF(L$3&lt;=$O$2,$D299,$D299-($D299-$I$292)*MIN(L$3-$O$2,$Q$2)/$Q$2))</f>
        <v>2183.40877265397</v>
      </c>
      <c r="M299" s="15" t="n">
        <f aca="false">L299*(1+IF(M$3&lt;=$O$2,$D299,$D299-($D299-$I$292)*MIN(M$3-$O$2,$Q$2)/$Q$2))</f>
        <v>2246.89684124081</v>
      </c>
      <c r="N299" s="15" t="n">
        <f aca="false">M299*(1+IF(N$3&lt;=$O$2,$D299,$D299-($D299-$I$292)*MIN(N$3-$O$2,$Q$2)/$Q$2))</f>
        <v>2332.95299026033</v>
      </c>
      <c r="O299" s="15" t="n">
        <f aca="false">SUMPRODUCT(E299:N299,1/(1+$F$292)^$E$3:$N$3)*$E$2</f>
        <v>7797.42051847801</v>
      </c>
      <c r="P299" s="15" t="n">
        <f aca="false">N299*$E$2*(1+$I$292)/($F$292-$I$292)/(1+$F$292)^$N$3</f>
        <v>18020.1292672348</v>
      </c>
      <c r="Q299" s="15" t="n">
        <f aca="false">O299+P299</f>
        <v>25817.5497857128</v>
      </c>
      <c r="R299" s="15" t="n">
        <f aca="false">Q299-$G$2+$I$2</f>
        <v>27727.2097857128</v>
      </c>
      <c r="S299" s="42" t="n">
        <f aca="false">R299/$K$2</f>
        <v>118.477160132089</v>
      </c>
      <c r="T299" s="43" t="n">
        <f aca="false">S299-$M$2</f>
        <v>8.49126088840241</v>
      </c>
    </row>
    <row r="300" customFormat="false" ht="15" hidden="false" customHeight="false" outlineLevel="0" collapsed="false">
      <c r="A300" s="5" t="n">
        <v>7</v>
      </c>
      <c r="B300" s="25" t="n">
        <f aca="false">IF(T299&gt;0,B299,D299)</f>
        <v>-0.03125</v>
      </c>
      <c r="C300" s="25" t="n">
        <f aca="false">IF(T299&gt;0,D299,C299)</f>
        <v>-0.0078125</v>
      </c>
      <c r="D300" s="41" t="n">
        <f aca="false">(B300+C300)/2</f>
        <v>-0.01953125</v>
      </c>
      <c r="E300" s="15" t="n">
        <f aca="false">$C$2*(1+IF(E$3&lt;=$O$2,$D300,$D300-($D300-$I$292)*MIN(E$3-$O$2,$Q$2)/$Q$2))</f>
        <v>2157.03125</v>
      </c>
      <c r="F300" s="15" t="n">
        <f aca="false">E300*(1+IF(F$3&lt;=$O$2,$D300,$D300-($D300-$I$292)*MIN(F$3-$O$2,$Q$2)/$Q$2))</f>
        <v>2114.90173339844</v>
      </c>
      <c r="G300" s="15" t="n">
        <f aca="false">F300*(1+IF(G$3&lt;=$O$2,$D300,$D300-($D300-$I$292)*MIN(G$3-$O$2,$Q$2)/$Q$2))</f>
        <v>2073.595058918</v>
      </c>
      <c r="H300" s="15" t="n">
        <f aca="false">G300*(1+IF(H$3&lt;=$O$2,$D300,$D300-($D300-$I$292)*MIN(H$3-$O$2,$Q$2)/$Q$2))</f>
        <v>2033.09515542351</v>
      </c>
      <c r="I300" s="15" t="n">
        <f aca="false">H300*(1+IF(I$3&lt;=$O$2,$D300,$D300-($D300-$I$292)*MIN(I$3-$O$2,$Q$2)/$Q$2))</f>
        <v>1993.38626566914</v>
      </c>
      <c r="J300" s="15" t="n">
        <f aca="false">I300*(1+IF(J$3&lt;=$O$2,$D300,$D300-($D300-$I$292)*MIN(J$3-$O$2,$Q$2)/$Q$2))</f>
        <v>1977.50894406309</v>
      </c>
      <c r="K300" s="15" t="n">
        <f aca="false">J300*(1+IF(K$3&lt;=$O$2,$D300,$D300-($D300-$I$292)*MIN(K$3-$O$2,$Q$2)/$Q$2))</f>
        <v>1984.63044814789</v>
      </c>
      <c r="L300" s="15" t="n">
        <f aca="false">K300*(1+IF(L$3&lt;=$O$2,$D300,$D300-($D300-$I$292)*MIN(L$3-$O$2,$Q$2)/$Q$2))</f>
        <v>2014.73233047018</v>
      </c>
      <c r="M300" s="15" t="n">
        <f aca="false">L300*(1+IF(M$3&lt;=$O$2,$D300,$D300-($D300-$I$292)*MIN(M$3-$O$2,$Q$2)/$Q$2))</f>
        <v>2068.59368090988</v>
      </c>
      <c r="N300" s="15" t="n">
        <f aca="false">M300*(1+IF(N$3&lt;=$O$2,$D300,$D300-($D300-$I$292)*MIN(N$3-$O$2,$Q$2)/$Q$2))</f>
        <v>2147.82081888873</v>
      </c>
      <c r="O300" s="15" t="n">
        <f aca="false">SUMPRODUCT(E300:N300,1/(1+$F$292)^$E$3:$N$3)*$E$2</f>
        <v>7403.46691076435</v>
      </c>
      <c r="P300" s="15" t="n">
        <f aca="false">N300*$E$2*(1+$I$292)/($F$292-$I$292)/(1+$F$292)^$N$3</f>
        <v>16590.1366040445</v>
      </c>
      <c r="Q300" s="15" t="n">
        <f aca="false">O300+P300</f>
        <v>23993.6035148089</v>
      </c>
      <c r="R300" s="15" t="n">
        <f aca="false">Q300-$G$2+$I$2</f>
        <v>25903.2635148089</v>
      </c>
      <c r="S300" s="42" t="n">
        <f aca="false">R300/$K$2</f>
        <v>110.683517133739</v>
      </c>
      <c r="T300" s="43" t="n">
        <f aca="false">S300-$M$2</f>
        <v>0.697617890052001</v>
      </c>
    </row>
    <row r="301" customFormat="false" ht="15" hidden="false" customHeight="false" outlineLevel="0" collapsed="false">
      <c r="A301" s="5" t="n">
        <v>8</v>
      </c>
      <c r="B301" s="25" t="n">
        <f aca="false">IF(T300&gt;0,B300,D300)</f>
        <v>-0.03125</v>
      </c>
      <c r="C301" s="25" t="n">
        <f aca="false">IF(T300&gt;0,D300,C300)</f>
        <v>-0.01953125</v>
      </c>
      <c r="D301" s="41" t="n">
        <f aca="false">(B301+C301)/2</f>
        <v>-0.025390625</v>
      </c>
      <c r="E301" s="15" t="n">
        <f aca="false">$C$2*(1+IF(E$3&lt;=$O$2,$D301,$D301-($D301-$I$292)*MIN(E$3-$O$2,$Q$2)/$Q$2))</f>
        <v>2144.140625</v>
      </c>
      <c r="F301" s="15" t="n">
        <f aca="false">E301*(1+IF(F$3&lt;=$O$2,$D301,$D301-($D301-$I$292)*MIN(F$3-$O$2,$Q$2)/$Q$2))</f>
        <v>2089.69955444336</v>
      </c>
      <c r="G301" s="15" t="n">
        <f aca="false">F301*(1+IF(G$3&lt;=$O$2,$D301,$D301-($D301-$I$292)*MIN(G$3-$O$2,$Q$2)/$Q$2))</f>
        <v>2036.64077669382</v>
      </c>
      <c r="H301" s="15" t="n">
        <f aca="false">G301*(1+IF(H$3&lt;=$O$2,$D301,$D301-($D301-$I$292)*MIN(H$3-$O$2,$Q$2)/$Q$2))</f>
        <v>1984.92919447308</v>
      </c>
      <c r="I301" s="15" t="n">
        <f aca="false">H301*(1+IF(I$3&lt;=$O$2,$D301,$D301-($D301-$I$292)*MIN(I$3-$O$2,$Q$2)/$Q$2))</f>
        <v>1934.53060164466</v>
      </c>
      <c r="J301" s="15" t="n">
        <f aca="false">I301*(1+IF(J$3&lt;=$O$2,$D301,$D301-($D301-$I$292)*MIN(J$3-$O$2,$Q$2)/$Q$2))</f>
        <v>1910.05395320735</v>
      </c>
      <c r="K301" s="15" t="n">
        <f aca="false">J301*(1+IF(K$3&lt;=$O$2,$D301,$D301-($D301-$I$292)*MIN(K$3-$O$2,$Q$2)/$Q$2))</f>
        <v>1910.2175015771</v>
      </c>
      <c r="L301" s="15" t="n">
        <f aca="false">K301*(1+IF(L$3&lt;=$O$2,$D301,$D301-($D301-$I$292)*MIN(L$3-$O$2,$Q$2)/$Q$2))</f>
        <v>1934.71365326295</v>
      </c>
      <c r="M301" s="15" t="n">
        <f aca="false">L301*(1+IF(M$3&lt;=$O$2,$D301,$D301-($D301-$I$292)*MIN(M$3-$O$2,$Q$2)/$Q$2))</f>
        <v>1984.16856182845</v>
      </c>
      <c r="N301" s="15" t="n">
        <f aca="false">M301*(1+IF(N$3&lt;=$O$2,$D301,$D301-($D301-$I$292)*MIN(N$3-$O$2,$Q$2)/$Q$2))</f>
        <v>2060.16221774648</v>
      </c>
      <c r="O301" s="15" t="n">
        <f aca="false">SUMPRODUCT(E301:N301,1/(1+$F$292)^$E$3:$N$3)*$E$2</f>
        <v>7214.19793001918</v>
      </c>
      <c r="P301" s="15" t="n">
        <f aca="false">N301*$E$2*(1+$I$292)/($F$292-$I$292)/(1+$F$292)^$N$3</f>
        <v>15913.0465252632</v>
      </c>
      <c r="Q301" s="15" t="n">
        <f aca="false">O301+P301</f>
        <v>23127.2444552824</v>
      </c>
      <c r="R301" s="15" t="n">
        <f aca="false">Q301-$G$2+$I$2</f>
        <v>25036.9044552824</v>
      </c>
      <c r="S301" s="42" t="n">
        <f aca="false">R301/$K$2</f>
        <v>106.981602594891</v>
      </c>
      <c r="T301" s="43" t="n">
        <f aca="false">S301-$M$2</f>
        <v>-3.0042966487955</v>
      </c>
    </row>
    <row r="302" customFormat="false" ht="15" hidden="false" customHeight="false" outlineLevel="0" collapsed="false">
      <c r="A302" s="5" t="n">
        <v>9</v>
      </c>
      <c r="B302" s="25" t="n">
        <f aca="false">IF(T301&gt;0,B301,D301)</f>
        <v>-0.025390625</v>
      </c>
      <c r="C302" s="25" t="n">
        <f aca="false">IF(T301&gt;0,D301,C301)</f>
        <v>-0.01953125</v>
      </c>
      <c r="D302" s="41" t="n">
        <f aca="false">(B302+C302)/2</f>
        <v>-0.0224609375</v>
      </c>
      <c r="E302" s="15" t="n">
        <f aca="false">$C$2*(1+IF(E$3&lt;=$O$2,$D302,$D302-($D302-$I$292)*MIN(E$3-$O$2,$Q$2)/$Q$2))</f>
        <v>2150.5859375</v>
      </c>
      <c r="F302" s="15" t="n">
        <f aca="false">E302*(1+IF(F$3&lt;=$O$2,$D302,$D302-($D302-$I$292)*MIN(F$3-$O$2,$Q$2)/$Q$2))</f>
        <v>2102.28176116943</v>
      </c>
      <c r="G302" s="15" t="n">
        <f aca="false">F302*(1+IF(G$3&lt;=$O$2,$D302,$D302-($D302-$I$292)*MIN(G$3-$O$2,$Q$2)/$Q$2))</f>
        <v>2055.06254192442</v>
      </c>
      <c r="H302" s="15" t="n">
        <f aca="false">G302*(1+IF(H$3&lt;=$O$2,$D302,$D302-($D302-$I$292)*MIN(H$3-$O$2,$Q$2)/$Q$2))</f>
        <v>2008.90391061166</v>
      </c>
      <c r="I302" s="15" t="n">
        <f aca="false">H302*(1+IF(I$3&lt;=$O$2,$D302,$D302-($D302-$I$292)*MIN(I$3-$O$2,$Q$2)/$Q$2))</f>
        <v>1963.78204543191</v>
      </c>
      <c r="J302" s="15" t="n">
        <f aca="false">I302*(1+IF(J$3&lt;=$O$2,$D302,$D302-($D302-$I$292)*MIN(J$3-$O$2,$Q$2)/$Q$2))</f>
        <v>1943.53790727106</v>
      </c>
      <c r="K302" s="15" t="n">
        <f aca="false">J302*(1+IF(K$3&lt;=$O$2,$D302,$D302-($D302-$I$292)*MIN(K$3-$O$2,$Q$2)/$Q$2))</f>
        <v>1947.120697932</v>
      </c>
      <c r="L302" s="15" t="n">
        <f aca="false">K302*(1+IF(L$3&lt;=$O$2,$D302,$D302-($D302-$I$292)*MIN(L$3-$O$2,$Q$2)/$Q$2))</f>
        <v>1974.37186904999</v>
      </c>
      <c r="M302" s="15" t="n">
        <f aca="false">L302*(1+IF(M$3&lt;=$O$2,$D302,$D302-($D302-$I$292)*MIN(M$3-$O$2,$Q$2)/$Q$2))</f>
        <v>2025.99737448718</v>
      </c>
      <c r="N302" s="15" t="n">
        <f aca="false">M302*(1+IF(N$3&lt;=$O$2,$D302,$D302-($D302-$I$292)*MIN(N$3-$O$2,$Q$2)/$Q$2))</f>
        <v>2103.59307393004</v>
      </c>
      <c r="O302" s="15" t="n">
        <f aca="false">SUMPRODUCT(E302:N302,1/(1+$F$292)^$E$3:$N$3)*$E$2</f>
        <v>7308.20351299737</v>
      </c>
      <c r="P302" s="15" t="n">
        <f aca="false">N302*$E$2*(1+$I$292)/($F$292-$I$292)/(1+$F$292)^$N$3</f>
        <v>16248.5139118252</v>
      </c>
      <c r="Q302" s="15" t="n">
        <f aca="false">O302+P302</f>
        <v>23556.7174248226</v>
      </c>
      <c r="R302" s="15" t="n">
        <f aca="false">Q302-$G$2+$I$2</f>
        <v>25466.3774248226</v>
      </c>
      <c r="S302" s="42" t="n">
        <f aca="false">R302/$K$2</f>
        <v>108.816721893871</v>
      </c>
      <c r="T302" s="43" t="n">
        <f aca="false">S302-$M$2</f>
        <v>-1.16917734981602</v>
      </c>
    </row>
    <row r="303" customFormat="false" ht="15" hidden="false" customHeight="false" outlineLevel="0" collapsed="false">
      <c r="A303" s="5" t="n">
        <v>10</v>
      </c>
      <c r="B303" s="25" t="n">
        <f aca="false">IF(T302&gt;0,B302,D302)</f>
        <v>-0.0224609375</v>
      </c>
      <c r="C303" s="25" t="n">
        <f aca="false">IF(T302&gt;0,D302,C302)</f>
        <v>-0.01953125</v>
      </c>
      <c r="D303" s="41" t="n">
        <f aca="false">(B303+C303)/2</f>
        <v>-0.02099609375</v>
      </c>
      <c r="E303" s="15" t="n">
        <f aca="false">$C$2*(1+IF(E$3&lt;=$O$2,$D303,$D303-($D303-$I$292)*MIN(E$3-$O$2,$Q$2)/$Q$2))</f>
        <v>2153.80859375</v>
      </c>
      <c r="F303" s="15" t="n">
        <f aca="false">E303*(1+IF(F$3&lt;=$O$2,$D303,$D303-($D303-$I$292)*MIN(F$3-$O$2,$Q$2)/$Q$2))</f>
        <v>2108.58702659607</v>
      </c>
      <c r="G303" s="15" t="n">
        <f aca="false">F303*(1+IF(G$3&lt;=$O$2,$D303,$D303-($D303-$I$292)*MIN(G$3-$O$2,$Q$2)/$Q$2))</f>
        <v>2064.31493570562</v>
      </c>
      <c r="H303" s="15" t="n">
        <f aca="false">G303*(1+IF(H$3&lt;=$O$2,$D303,$D303-($D303-$I$292)*MIN(H$3-$O$2,$Q$2)/$Q$2))</f>
        <v>2020.97238578602</v>
      </c>
      <c r="I303" s="15" t="n">
        <f aca="false">H303*(1+IF(I$3&lt;=$O$2,$D303,$D303-($D303-$I$292)*MIN(I$3-$O$2,$Q$2)/$Q$2))</f>
        <v>1978.5398601079</v>
      </c>
      <c r="J303" s="15" t="n">
        <f aca="false">I303*(1+IF(J$3&lt;=$O$2,$D303,$D303-($D303-$I$292)*MIN(J$3-$O$2,$Q$2)/$Q$2))</f>
        <v>1960.46218872358</v>
      </c>
      <c r="K303" s="15" t="n">
        <f aca="false">J303*(1+IF(K$3&lt;=$O$2,$D303,$D303-($D303-$I$292)*MIN(K$3-$O$2,$Q$2)/$Q$2))</f>
        <v>1965.79924071016</v>
      </c>
      <c r="L303" s="15" t="n">
        <f aca="false">K303*(1+IF(L$3&lt;=$O$2,$D303,$D303-($D303-$I$292)*MIN(L$3-$O$2,$Q$2)/$Q$2))</f>
        <v>1994.46366520103</v>
      </c>
      <c r="M303" s="15" t="n">
        <f aca="false">L303*(1+IF(M$3&lt;=$O$2,$D303,$D303-($D303-$I$292)*MIN(M$3-$O$2,$Q$2)/$Q$2))</f>
        <v>2047.19884268368</v>
      </c>
      <c r="N303" s="15" t="n">
        <f aca="false">M303*(1+IF(N$3&lt;=$O$2,$D303,$D303-($D303-$I$292)*MIN(N$3-$O$2,$Q$2)/$Q$2))</f>
        <v>2125.60655835847</v>
      </c>
      <c r="O303" s="15" t="n">
        <f aca="false">SUMPRODUCT(E303:N303,1/(1+$F$292)^$E$3:$N$3)*$E$2</f>
        <v>7355.67699161841</v>
      </c>
      <c r="P303" s="15" t="n">
        <f aca="false">N303*$E$2*(1+$I$292)/($F$292-$I$292)/(1+$F$292)^$N$3</f>
        <v>16418.5498434014</v>
      </c>
      <c r="Q303" s="15" t="n">
        <f aca="false">O303+P303</f>
        <v>23774.2268350198</v>
      </c>
      <c r="R303" s="15" t="n">
        <f aca="false">Q303-$G$2+$I$2</f>
        <v>25683.8868350198</v>
      </c>
      <c r="S303" s="42" t="n">
        <f aca="false">R303/$K$2</f>
        <v>109.746130132974</v>
      </c>
      <c r="T303" s="43" t="n">
        <f aca="false">S303-$M$2</f>
        <v>-0.239769110713127</v>
      </c>
    </row>
    <row r="304" customFormat="false" ht="15" hidden="false" customHeight="false" outlineLevel="0" collapsed="false">
      <c r="A304" s="5" t="n">
        <v>11</v>
      </c>
      <c r="B304" s="25" t="n">
        <f aca="false">IF(T303&gt;0,B303,D303)</f>
        <v>-0.02099609375</v>
      </c>
      <c r="C304" s="25" t="n">
        <f aca="false">IF(T303&gt;0,D303,C303)</f>
        <v>-0.01953125</v>
      </c>
      <c r="D304" s="41" t="n">
        <f aca="false">(B304+C304)/2</f>
        <v>-0.020263671875</v>
      </c>
      <c r="E304" s="15" t="n">
        <f aca="false">$C$2*(1+IF(E$3&lt;=$O$2,$D304,$D304-($D304-$I$292)*MIN(E$3-$O$2,$Q$2)/$Q$2))</f>
        <v>2155.419921875</v>
      </c>
      <c r="F304" s="15" t="n">
        <f aca="false">E304*(1+IF(F$3&lt;=$O$2,$D304,$D304-($D304-$I$292)*MIN(F$3-$O$2,$Q$2)/$Q$2))</f>
        <v>2111.74319982529</v>
      </c>
      <c r="G304" s="15" t="n">
        <f aca="false">F304*(1+IF(G$3&lt;=$O$2,$D304,$D304-($D304-$I$292)*MIN(G$3-$O$2,$Q$2)/$Q$2))</f>
        <v>2068.95152853976</v>
      </c>
      <c r="H304" s="15" t="n">
        <f aca="false">G304*(1+IF(H$3&lt;=$O$2,$D304,$D304-($D304-$I$292)*MIN(H$3-$O$2,$Q$2)/$Q$2))</f>
        <v>2027.02697364016</v>
      </c>
      <c r="I304" s="15" t="n">
        <f aca="false">H304*(1+IF(I$3&lt;=$O$2,$D304,$D304-($D304-$I$292)*MIN(I$3-$O$2,$Q$2)/$Q$2))</f>
        <v>1985.95196416454</v>
      </c>
      <c r="J304" s="15" t="n">
        <f aca="false">I304*(1+IF(J$3&lt;=$O$2,$D304,$D304-($D304-$I$292)*MIN(J$3-$O$2,$Q$2)/$Q$2))</f>
        <v>1968.97021304096</v>
      </c>
      <c r="K304" s="15" t="n">
        <f aca="false">J304*(1+IF(K$3&lt;=$O$2,$D304,$D304-($D304-$I$292)*MIN(K$3-$O$2,$Q$2)/$Q$2))</f>
        <v>1975.19569690752</v>
      </c>
      <c r="L304" s="15" t="n">
        <f aca="false">K304*(1+IF(L$3&lt;=$O$2,$D304,$D304-($D304-$I$292)*MIN(L$3-$O$2,$Q$2)/$Q$2))</f>
        <v>2004.57580702604</v>
      </c>
      <c r="M304" s="15" t="n">
        <f aca="false">L304*(1+IF(M$3&lt;=$O$2,$D304,$D304-($D304-$I$292)*MIN(M$3-$O$2,$Q$2)/$Q$2))</f>
        <v>2057.87199647289</v>
      </c>
      <c r="N304" s="15" t="n">
        <f aca="false">M304*(1+IF(N$3&lt;=$O$2,$D304,$D304-($D304-$I$292)*MIN(N$3-$O$2,$Q$2)/$Q$2))</f>
        <v>2136.6884939378</v>
      </c>
      <c r="O304" s="15" t="n">
        <f aca="false">SUMPRODUCT(E304:N304,1/(1+$F$292)^$E$3:$N$3)*$E$2</f>
        <v>7379.53227134965</v>
      </c>
      <c r="P304" s="15" t="n">
        <f aca="false">N304*$E$2*(1+$I$292)/($F$292-$I$292)/(1+$F$292)^$N$3</f>
        <v>16504.1486156461</v>
      </c>
      <c r="Q304" s="15" t="n">
        <f aca="false">O304+P304</f>
        <v>23883.6808869957</v>
      </c>
      <c r="R304" s="15" t="n">
        <f aca="false">Q304-$G$2+$I$2</f>
        <v>25793.3408869957</v>
      </c>
      <c r="S304" s="42" t="n">
        <f aca="false">R304/$K$2</f>
        <v>110.213822531281</v>
      </c>
      <c r="T304" s="43" t="n">
        <f aca="false">S304-$M$2</f>
        <v>0.227923287594436</v>
      </c>
    </row>
    <row r="305" customFormat="false" ht="15" hidden="false" customHeight="false" outlineLevel="0" collapsed="false">
      <c r="A305" s="5" t="n">
        <v>12</v>
      </c>
      <c r="B305" s="25" t="n">
        <f aca="false">IF(T304&gt;0,B304,D304)</f>
        <v>-0.02099609375</v>
      </c>
      <c r="C305" s="25" t="n">
        <f aca="false">IF(T304&gt;0,D304,C304)</f>
        <v>-0.020263671875</v>
      </c>
      <c r="D305" s="41" t="n">
        <f aca="false">(B305+C305)/2</f>
        <v>-0.0206298828125</v>
      </c>
      <c r="E305" s="15" t="n">
        <f aca="false">$C$2*(1+IF(E$3&lt;=$O$2,$D305,$D305-($D305-$I$292)*MIN(E$3-$O$2,$Q$2)/$Q$2))</f>
        <v>2154.6142578125</v>
      </c>
      <c r="F305" s="15" t="n">
        <f aca="false">E305*(1+IF(F$3&lt;=$O$2,$D305,$D305-($D305-$I$292)*MIN(F$3-$O$2,$Q$2)/$Q$2))</f>
        <v>2110.16481816769</v>
      </c>
      <c r="G305" s="15" t="n">
        <f aca="false">F305*(1+IF(G$3&lt;=$O$2,$D305,$D305-($D305-$I$292)*MIN(G$3-$O$2,$Q$2)/$Q$2))</f>
        <v>2066.63236525383</v>
      </c>
      <c r="H305" s="15" t="n">
        <f aca="false">G305*(1+IF(H$3&lt;=$O$2,$D305,$D305-($D305-$I$292)*MIN(H$3-$O$2,$Q$2)/$Q$2))</f>
        <v>2023.99798174212</v>
      </c>
      <c r="I305" s="15" t="n">
        <f aca="false">H305*(1+IF(I$3&lt;=$O$2,$D305,$D305-($D305-$I$292)*MIN(I$3-$O$2,$Q$2)/$Q$2))</f>
        <v>1982.24314056604</v>
      </c>
      <c r="J305" s="15" t="n">
        <f aca="false">I305*(1+IF(J$3&lt;=$O$2,$D305,$D305-($D305-$I$292)*MIN(J$3-$O$2,$Q$2)/$Q$2))</f>
        <v>1964.71236806617</v>
      </c>
      <c r="K305" s="15" t="n">
        <f aca="false">J305*(1+IF(K$3&lt;=$O$2,$D305,$D305-($D305-$I$292)*MIN(K$3-$O$2,$Q$2)/$Q$2))</f>
        <v>1970.49268999686</v>
      </c>
      <c r="L305" s="15" t="n">
        <f aca="false">K305*(1+IF(L$3&lt;=$O$2,$D305,$D305-($D305-$I$292)*MIN(L$3-$O$2,$Q$2)/$Q$2))</f>
        <v>1999.51419870198</v>
      </c>
      <c r="M305" s="15" t="n">
        <f aca="false">L305*(1+IF(M$3&lt;=$O$2,$D305,$D305-($D305-$I$292)*MIN(M$3-$O$2,$Q$2)/$Q$2))</f>
        <v>2052.52936502998</v>
      </c>
      <c r="N305" s="15" t="n">
        <f aca="false">M305*(1+IF(N$3&lt;=$O$2,$D305,$D305-($D305-$I$292)*MIN(N$3-$O$2,$Q$2)/$Q$2))</f>
        <v>2131.14123971063</v>
      </c>
      <c r="O305" s="15" t="n">
        <f aca="false">SUMPRODUCT(E305:N305,1/(1+$F$292)^$E$3:$N$3)*$E$2</f>
        <v>7367.59472714745</v>
      </c>
      <c r="P305" s="15" t="n">
        <f aca="false">N305*$E$2*(1+$I$292)/($F$292-$I$292)/(1+$F$292)^$N$3</f>
        <v>16461.3006720016</v>
      </c>
      <c r="Q305" s="15" t="n">
        <f aca="false">O305+P305</f>
        <v>23828.895399149</v>
      </c>
      <c r="R305" s="15" t="n">
        <f aca="false">Q305-$G$2+$I$2</f>
        <v>25738.555399149</v>
      </c>
      <c r="S305" s="42" t="n">
        <f aca="false">R305/$K$2</f>
        <v>109.979726527151</v>
      </c>
      <c r="T305" s="43" t="n">
        <f aca="false">S305-$M$2</f>
        <v>-0.00617271653619866</v>
      </c>
    </row>
    <row r="306" customFormat="false" ht="15" hidden="false" customHeight="false" outlineLevel="0" collapsed="false">
      <c r="A306" s="5" t="n">
        <v>13</v>
      </c>
      <c r="B306" s="25" t="n">
        <f aca="false">IF(T305&gt;0,B305,D305)</f>
        <v>-0.0206298828125</v>
      </c>
      <c r="C306" s="25" t="n">
        <f aca="false">IF(T305&gt;0,D305,C305)</f>
        <v>-0.020263671875</v>
      </c>
      <c r="D306" s="41" t="n">
        <f aca="false">(B306+C306)/2</f>
        <v>-0.02044677734375</v>
      </c>
      <c r="E306" s="15" t="n">
        <f aca="false">$C$2*(1+IF(E$3&lt;=$O$2,$D306,$D306-($D306-$I$292)*MIN(E$3-$O$2,$Q$2)/$Q$2))</f>
        <v>2155.01708984375</v>
      </c>
      <c r="F306" s="15" t="n">
        <f aca="false">E306*(1+IF(F$3&lt;=$O$2,$D306,$D306-($D306-$I$292)*MIN(F$3-$O$2,$Q$2)/$Q$2))</f>
        <v>2110.95393523574</v>
      </c>
      <c r="G306" s="15" t="n">
        <f aca="false">F306*(1+IF(G$3&lt;=$O$2,$D306,$D306-($D306-$I$292)*MIN(G$3-$O$2,$Q$2)/$Q$2))</f>
        <v>2067.79173013906</v>
      </c>
      <c r="H306" s="15" t="n">
        <f aca="false">G306*(1+IF(H$3&lt;=$O$2,$D306,$D306-($D306-$I$292)*MIN(H$3-$O$2,$Q$2)/$Q$2))</f>
        <v>2025.51205303966</v>
      </c>
      <c r="I306" s="15" t="n">
        <f aca="false">H306*(1+IF(I$3&lt;=$O$2,$D306,$D306-($D306-$I$292)*MIN(I$3-$O$2,$Q$2)/$Q$2))</f>
        <v>1984.09685908408</v>
      </c>
      <c r="J306" s="15" t="n">
        <f aca="false">I306*(1+IF(J$3&lt;=$O$2,$D306,$D306-($D306-$I$292)*MIN(J$3-$O$2,$Q$2)/$Q$2))</f>
        <v>1966.84033165976</v>
      </c>
      <c r="K306" s="15" t="n">
        <f aca="false">J306*(1+IF(K$3&lt;=$O$2,$D306,$D306-($D306-$I$292)*MIN(K$3-$O$2,$Q$2)/$Q$2))</f>
        <v>1972.84299774149</v>
      </c>
      <c r="L306" s="15" t="n">
        <f aca="false">K306*(1+IF(L$3&lt;=$O$2,$D306,$D306-($D306-$I$292)*MIN(L$3-$O$2,$Q$2)/$Q$2))</f>
        <v>2002.043617226</v>
      </c>
      <c r="M306" s="15" t="n">
        <f aca="false">L306*(1+IF(M$3&lt;=$O$2,$D306,$D306-($D306-$I$292)*MIN(M$3-$O$2,$Q$2)/$Q$2))</f>
        <v>2055.19916564302</v>
      </c>
      <c r="N306" s="15" t="n">
        <f aca="false">M306*(1+IF(N$3&lt;=$O$2,$D306,$D306-($D306-$I$292)*MIN(N$3-$O$2,$Q$2)/$Q$2))</f>
        <v>2133.91329368715</v>
      </c>
      <c r="O306" s="15" t="n">
        <f aca="false">SUMPRODUCT(E306:N306,1/(1+$F$292)^$E$3:$N$3)*$E$2</f>
        <v>7373.56102121311</v>
      </c>
      <c r="P306" s="15" t="n">
        <f aca="false">N306*$E$2*(1+$I$292)/($F$292-$I$292)/(1+$F$292)^$N$3</f>
        <v>16482.7124926431</v>
      </c>
      <c r="Q306" s="15" t="n">
        <f aca="false">O306+P306</f>
        <v>23856.2735138563</v>
      </c>
      <c r="R306" s="15" t="n">
        <f aca="false">Q306-$G$2+$I$2</f>
        <v>25765.9335138563</v>
      </c>
      <c r="S306" s="42" t="n">
        <f aca="false">R306/$K$2</f>
        <v>110.096712019212</v>
      </c>
      <c r="T306" s="43" t="n">
        <f aca="false">S306-$M$2</f>
        <v>0.110812775525588</v>
      </c>
    </row>
    <row r="307" customFormat="false" ht="15" hidden="false" customHeight="false" outlineLevel="0" collapsed="false">
      <c r="A307" s="5" t="n">
        <v>14</v>
      </c>
      <c r="B307" s="25" t="n">
        <f aca="false">IF(T306&gt;0,B306,D306)</f>
        <v>-0.0206298828125</v>
      </c>
      <c r="C307" s="25" t="n">
        <f aca="false">IF(T306&gt;0,D306,C306)</f>
        <v>-0.02044677734375</v>
      </c>
      <c r="D307" s="41" t="n">
        <f aca="false">(B307+C307)/2</f>
        <v>-0.020538330078125</v>
      </c>
      <c r="E307" s="15" t="n">
        <f aca="false">$C$2*(1+IF(E$3&lt;=$O$2,$D307,$D307-($D307-$I$292)*MIN(E$3-$O$2,$Q$2)/$Q$2))</f>
        <v>2154.81567382813</v>
      </c>
      <c r="F307" s="15" t="n">
        <f aca="false">E307*(1+IF(F$3&lt;=$O$2,$D307,$D307-($D307-$I$292)*MIN(F$3-$O$2,$Q$2)/$Q$2))</f>
        <v>2110.55935826153</v>
      </c>
      <c r="G307" s="15" t="n">
        <f aca="false">F307*(1+IF(G$3&lt;=$O$2,$D307,$D307-($D307-$I$292)*MIN(G$3-$O$2,$Q$2)/$Q$2))</f>
        <v>2067.21199351207</v>
      </c>
      <c r="H307" s="15" t="n">
        <f aca="false">G307*(1+IF(H$3&lt;=$O$2,$D307,$D307-($D307-$I$292)*MIN(H$3-$O$2,$Q$2)/$Q$2))</f>
        <v>2024.75491124786</v>
      </c>
      <c r="I307" s="15" t="n">
        <f aca="false">H307*(1+IF(I$3&lt;=$O$2,$D307,$D307-($D307-$I$292)*MIN(I$3-$O$2,$Q$2)/$Q$2))</f>
        <v>1983.16982655335</v>
      </c>
      <c r="J307" s="15" t="n">
        <f aca="false">I307*(1+IF(J$3&lt;=$O$2,$D307,$D307-($D307-$I$292)*MIN(J$3-$O$2,$Q$2)/$Q$2))</f>
        <v>1965.77611022577</v>
      </c>
      <c r="K307" s="15" t="n">
        <f aca="false">J307*(1+IF(K$3&lt;=$O$2,$D307,$D307-($D307-$I$292)*MIN(K$3-$O$2,$Q$2)/$Q$2))</f>
        <v>1971.66754506752</v>
      </c>
      <c r="L307" s="15" t="n">
        <f aca="false">K307*(1+IF(L$3&lt;=$O$2,$D307,$D307-($D307-$I$292)*MIN(L$3-$O$2,$Q$2)/$Q$2))</f>
        <v>2000.7785617152</v>
      </c>
      <c r="M307" s="15" t="n">
        <f aca="false">L307*(1+IF(M$3&lt;=$O$2,$D307,$D307-($D307-$I$292)*MIN(M$3-$O$2,$Q$2)/$Q$2))</f>
        <v>2053.86388674341</v>
      </c>
      <c r="N307" s="15" t="n">
        <f aca="false">M307*(1+IF(N$3&lt;=$O$2,$D307,$D307-($D307-$I$292)*MIN(N$3-$O$2,$Q$2)/$Q$2))</f>
        <v>2132.52687360568</v>
      </c>
      <c r="O307" s="15" t="n">
        <f aca="false">SUMPRODUCT(E307:N307,1/(1+$F$292)^$E$3:$N$3)*$E$2</f>
        <v>7370.57725491544</v>
      </c>
      <c r="P307" s="15" t="n">
        <f aca="false">N307*$E$2*(1+$I$292)/($F$292-$I$292)/(1+$F$292)^$N$3</f>
        <v>16472.003546003</v>
      </c>
      <c r="Q307" s="15" t="n">
        <f aca="false">O307+P307</f>
        <v>23842.5808009184</v>
      </c>
      <c r="R307" s="15" t="n">
        <f aca="false">Q307-$G$2+$I$2</f>
        <v>25752.2408009184</v>
      </c>
      <c r="S307" s="42" t="n">
        <f aca="false">R307/$K$2</f>
        <v>110.038203653029</v>
      </c>
      <c r="T307" s="43" t="n">
        <f aca="false">S307-$M$2</f>
        <v>0.0523044093423835</v>
      </c>
    </row>
    <row r="308" customFormat="false" ht="15" hidden="false" customHeight="false" outlineLevel="0" collapsed="false">
      <c r="A308" s="5" t="n">
        <v>15</v>
      </c>
      <c r="B308" s="25" t="n">
        <f aca="false">IF(T307&gt;0,B307,D307)</f>
        <v>-0.0206298828125</v>
      </c>
      <c r="C308" s="25" t="n">
        <f aca="false">IF(T307&gt;0,D307,C307)</f>
        <v>-0.020538330078125</v>
      </c>
      <c r="D308" s="41" t="n">
        <f aca="false">(B308+C308)/2</f>
        <v>-0.0205841064453125</v>
      </c>
      <c r="E308" s="15" t="n">
        <f aca="false">$C$2*(1+IF(E$3&lt;=$O$2,$D308,$D308-($D308-$I$292)*MIN(E$3-$O$2,$Q$2)/$Q$2))</f>
        <v>2154.71496582031</v>
      </c>
      <c r="F308" s="15" t="n">
        <f aca="false">E308*(1+IF(F$3&lt;=$O$2,$D308,$D308-($D308-$I$292)*MIN(F$3-$O$2,$Q$2)/$Q$2))</f>
        <v>2110.36208360456</v>
      </c>
      <c r="G308" s="15" t="n">
        <f aca="false">F308*(1+IF(G$3&lt;=$O$2,$D308,$D308-($D308-$I$292)*MIN(G$3-$O$2,$Q$2)/$Q$2))</f>
        <v>2066.92216583749</v>
      </c>
      <c r="H308" s="15" t="n">
        <f aca="false">G308*(1+IF(H$3&lt;=$O$2,$D308,$D308-($D308-$I$292)*MIN(H$3-$O$2,$Q$2)/$Q$2))</f>
        <v>2024.37641996172</v>
      </c>
      <c r="I308" s="15" t="n">
        <f aca="false">H308*(1+IF(I$3&lt;=$O$2,$D308,$D308-($D308-$I$292)*MIN(I$3-$O$2,$Q$2)/$Q$2))</f>
        <v>1982.70644024784</v>
      </c>
      <c r="J308" s="15" t="n">
        <f aca="false">I308*(1+IF(J$3&lt;=$O$2,$D308,$D308-($D308-$I$292)*MIN(J$3-$O$2,$Q$2)/$Q$2))</f>
        <v>1965.24417924745</v>
      </c>
      <c r="K308" s="15" t="n">
        <f aca="false">J308*(1+IF(K$3&lt;=$O$2,$D308,$D308-($D308-$I$292)*MIN(K$3-$O$2,$Q$2)/$Q$2))</f>
        <v>1971.08004284752</v>
      </c>
      <c r="L308" s="15" t="n">
        <f aca="false">K308*(1+IF(L$3&lt;=$O$2,$D308,$D308-($D308-$I$292)*MIN(L$3-$O$2,$Q$2)/$Q$2))</f>
        <v>2000.14629366648</v>
      </c>
      <c r="M308" s="15" t="n">
        <f aca="false">L308*(1+IF(M$3&lt;=$O$2,$D308,$D308-($D308-$I$292)*MIN(M$3-$O$2,$Q$2)/$Q$2))</f>
        <v>2053.19653126141</v>
      </c>
      <c r="N308" s="15" t="n">
        <f aca="false">M308*(1+IF(N$3&lt;=$O$2,$D308,$D308-($D308-$I$292)*MIN(N$3-$O$2,$Q$2)/$Q$2))</f>
        <v>2131.83395840872</v>
      </c>
      <c r="O308" s="15" t="n">
        <f aca="false">SUMPRODUCT(E308:N308,1/(1+$F$292)^$E$3:$N$3)*$E$2</f>
        <v>7369.08583624573</v>
      </c>
      <c r="P308" s="15" t="n">
        <f aca="false">N308*$E$2*(1+$I$292)/($F$292-$I$292)/(1+$F$292)^$N$3</f>
        <v>16466.6513501068</v>
      </c>
      <c r="Q308" s="15" t="n">
        <f aca="false">O308+P308</f>
        <v>23835.7371863525</v>
      </c>
      <c r="R308" s="15" t="n">
        <f aca="false">Q308-$G$2+$I$2</f>
        <v>25745.3971863525</v>
      </c>
      <c r="S308" s="42" t="n">
        <f aca="false">R308/$K$2</f>
        <v>110.00896118597</v>
      </c>
      <c r="T308" s="43" t="n">
        <f aca="false">S308-$M$2</f>
        <v>0.023061942283249</v>
      </c>
    </row>
    <row r="309" customFormat="false" ht="15" hidden="false" customHeight="false" outlineLevel="0" collapsed="false">
      <c r="A309" s="5" t="n">
        <v>16</v>
      </c>
      <c r="B309" s="25" t="n">
        <f aca="false">IF(T308&gt;0,B308,D308)</f>
        <v>-0.0206298828125</v>
      </c>
      <c r="C309" s="25" t="n">
        <f aca="false">IF(T308&gt;0,D308,C308)</f>
        <v>-0.0205841064453125</v>
      </c>
      <c r="D309" s="41" t="n">
        <f aca="false">(B309+C309)/2</f>
        <v>-0.0206069946289063</v>
      </c>
      <c r="E309" s="15" t="n">
        <f aca="false">$C$2*(1+IF(E$3&lt;=$O$2,$D309,$D309-($D309-$I$292)*MIN(E$3-$O$2,$Q$2)/$Q$2))</f>
        <v>2154.66461181641</v>
      </c>
      <c r="F309" s="15" t="n">
        <f aca="false">E309*(1+IF(F$3&lt;=$O$2,$D309,$D309-($D309-$I$292)*MIN(F$3-$O$2,$Q$2)/$Q$2))</f>
        <v>2110.26344973361</v>
      </c>
      <c r="G309" s="15" t="n">
        <f aca="false">F309*(1+IF(G$3&lt;=$O$2,$D309,$D309-($D309-$I$292)*MIN(G$3-$O$2,$Q$2)/$Q$2))</f>
        <v>2066.77726215937</v>
      </c>
      <c r="H309" s="15" t="n">
        <f aca="false">G309*(1+IF(H$3&lt;=$O$2,$D309,$D309-($D309-$I$292)*MIN(H$3-$O$2,$Q$2)/$Q$2))</f>
        <v>2024.18719421891</v>
      </c>
      <c r="I309" s="15" t="n">
        <f aca="false">H309*(1+IF(I$3&lt;=$O$2,$D309,$D309-($D309-$I$292)*MIN(I$3-$O$2,$Q$2)/$Q$2))</f>
        <v>1982.47477957974</v>
      </c>
      <c r="J309" s="15" t="n">
        <f aca="false">I309*(1+IF(J$3&lt;=$O$2,$D309,$D309-($D309-$I$292)*MIN(J$3-$O$2,$Q$2)/$Q$2))</f>
        <v>1964.97825868353</v>
      </c>
      <c r="K309" s="15" t="n">
        <f aca="false">J309*(1+IF(K$3&lt;=$O$2,$D309,$D309-($D309-$I$292)*MIN(K$3-$O$2,$Q$2)/$Q$2))</f>
        <v>1970.78634775299</v>
      </c>
      <c r="L309" s="15" t="n">
        <f aca="false">K309*(1+IF(L$3&lt;=$O$2,$D309,$D309-($D309-$I$292)*MIN(L$3-$O$2,$Q$2)/$Q$2))</f>
        <v>1999.83022455121</v>
      </c>
      <c r="M309" s="15" t="n">
        <f aca="false">L309*(1+IF(M$3&lt;=$O$2,$D309,$D309-($D309-$I$292)*MIN(M$3-$O$2,$Q$2)/$Q$2))</f>
        <v>2052.86292449225</v>
      </c>
      <c r="N309" s="15" t="n">
        <f aca="false">M309*(1+IF(N$3&lt;=$O$2,$D309,$D309-($D309-$I$292)*MIN(N$3-$O$2,$Q$2)/$Q$2))</f>
        <v>2131.4875745003</v>
      </c>
      <c r="O309" s="15" t="n">
        <f aca="false">SUMPRODUCT(E309:N309,1/(1+$F$292)^$E$3:$N$3)*$E$2</f>
        <v>7368.34024300397</v>
      </c>
      <c r="P309" s="15" t="n">
        <f aca="false">N309*$E$2*(1+$I$292)/($F$292-$I$292)/(1+$F$292)^$N$3</f>
        <v>16463.9758213534</v>
      </c>
      <c r="Q309" s="15" t="n">
        <f aca="false">O309+P309</f>
        <v>23832.3160643574</v>
      </c>
      <c r="R309" s="15" t="n">
        <f aca="false">Q309-$G$2+$I$2</f>
        <v>25741.9760643574</v>
      </c>
      <c r="S309" s="42" t="n">
        <f aca="false">R309/$K$2</f>
        <v>109.994342880645</v>
      </c>
      <c r="T309" s="43" t="n">
        <f aca="false">S309-$M$2</f>
        <v>0.00844363695833295</v>
      </c>
    </row>
    <row r="310" customFormat="false" ht="15" hidden="false" customHeight="false" outlineLevel="0" collapsed="false">
      <c r="A310" s="5" t="n">
        <v>17</v>
      </c>
      <c r="B310" s="25" t="n">
        <f aca="false">IF(T309&gt;0,B309,D309)</f>
        <v>-0.0206298828125</v>
      </c>
      <c r="C310" s="25" t="n">
        <f aca="false">IF(T309&gt;0,D309,C309)</f>
        <v>-0.0206069946289063</v>
      </c>
      <c r="D310" s="41" t="n">
        <f aca="false">(B310+C310)/2</f>
        <v>-0.0206184387207031</v>
      </c>
      <c r="E310" s="15" t="n">
        <f aca="false">$C$2*(1+IF(E$3&lt;=$O$2,$D310,$D310-($D310-$I$292)*MIN(E$3-$O$2,$Q$2)/$Q$2))</f>
        <v>2154.63943481445</v>
      </c>
      <c r="F310" s="15" t="n">
        <f aca="false">E310*(1+IF(F$3&lt;=$O$2,$D310,$D310-($D310-$I$292)*MIN(F$3-$O$2,$Q$2)/$Q$2))</f>
        <v>2110.21413366252</v>
      </c>
      <c r="G310" s="15" t="n">
        <f aca="false">F310*(1+IF(G$3&lt;=$O$2,$D310,$D310-($D310-$I$292)*MIN(G$3-$O$2,$Q$2)/$Q$2))</f>
        <v>2066.70481286004</v>
      </c>
      <c r="H310" s="15" t="n">
        <f aca="false">G310*(1+IF(H$3&lt;=$O$2,$D310,$D310-($D310-$I$292)*MIN(H$3-$O$2,$Q$2)/$Q$2))</f>
        <v>2024.0925863223</v>
      </c>
      <c r="I310" s="15" t="n">
        <f aca="false">H310*(1+IF(I$3&lt;=$O$2,$D310,$D310-($D310-$I$292)*MIN(I$3-$O$2,$Q$2)/$Q$2))</f>
        <v>1982.35895736619</v>
      </c>
      <c r="J310" s="15" t="n">
        <f aca="false">I310*(1+IF(J$3&lt;=$O$2,$D310,$D310-($D310-$I$292)*MIN(J$3-$O$2,$Q$2)/$Q$2))</f>
        <v>1964.8453096317</v>
      </c>
      <c r="K310" s="15" t="n">
        <f aca="false">J310*(1+IF(K$3&lt;=$O$2,$D310,$D310-($D310-$I$292)*MIN(K$3-$O$2,$Q$2)/$Q$2))</f>
        <v>1970.63951420787</v>
      </c>
      <c r="L310" s="15" t="n">
        <f aca="false">K310*(1+IF(L$3&lt;=$O$2,$D310,$D310-($D310-$I$292)*MIN(L$3-$O$2,$Q$2)/$Q$2))</f>
        <v>1999.67220621865</v>
      </c>
      <c r="M310" s="15" t="n">
        <f aca="false">L310*(1+IF(M$3&lt;=$O$2,$D310,$D310-($D310-$I$292)*MIN(M$3-$O$2,$Q$2)/$Q$2))</f>
        <v>2052.69613884811</v>
      </c>
      <c r="N310" s="15" t="n">
        <f aca="false">M310*(1+IF(N$3&lt;=$O$2,$D310,$D310-($D310-$I$292)*MIN(N$3-$O$2,$Q$2)/$Q$2))</f>
        <v>2131.31440096599</v>
      </c>
      <c r="O310" s="15" t="n">
        <f aca="false">SUMPRODUCT(E310:N310,1/(1+$F$292)^$E$3:$N$3)*$E$2</f>
        <v>7367.96747540303</v>
      </c>
      <c r="P310" s="15" t="n">
        <f aca="false">N310*$E$2*(1+$I$292)/($F$292-$I$292)/(1+$F$292)^$N$3</f>
        <v>16462.6381992552</v>
      </c>
      <c r="Q310" s="15" t="n">
        <f aca="false">O310+P310</f>
        <v>23830.6056746582</v>
      </c>
      <c r="R310" s="15" t="n">
        <f aca="false">Q310-$G$2+$I$2</f>
        <v>25740.2656746582</v>
      </c>
      <c r="S310" s="42" t="n">
        <f aca="false">R310/$K$2</f>
        <v>109.987034459933</v>
      </c>
      <c r="T310" s="43" t="n">
        <f aca="false">S310-$M$2</f>
        <v>0.00113521624662383</v>
      </c>
    </row>
    <row r="311" customFormat="false" ht="15" hidden="false" customHeight="false" outlineLevel="0" collapsed="false">
      <c r="A311" s="5" t="n">
        <v>18</v>
      </c>
      <c r="B311" s="25" t="n">
        <f aca="false">IF(T310&gt;0,B310,D310)</f>
        <v>-0.0206298828125</v>
      </c>
      <c r="C311" s="25" t="n">
        <f aca="false">IF(T310&gt;0,D310,C310)</f>
        <v>-0.0206184387207031</v>
      </c>
      <c r="D311" s="41" t="n">
        <f aca="false">(B311+C311)/2</f>
        <v>-0.0206241607666016</v>
      </c>
      <c r="E311" s="15" t="n">
        <f aca="false">$C$2*(1+IF(E$3&lt;=$O$2,$D311,$D311-($D311-$I$292)*MIN(E$3-$O$2,$Q$2)/$Q$2))</f>
        <v>2154.62684631348</v>
      </c>
      <c r="F311" s="15" t="n">
        <f aca="false">E311*(1+IF(F$3&lt;=$O$2,$D311,$D311-($D311-$I$292)*MIN(F$3-$O$2,$Q$2)/$Q$2))</f>
        <v>2110.18947584307</v>
      </c>
      <c r="G311" s="15" t="n">
        <f aca="false">F311*(1+IF(G$3&lt;=$O$2,$D311,$D311-($D311-$I$292)*MIN(G$3-$O$2,$Q$2)/$Q$2))</f>
        <v>2066.66858884529</v>
      </c>
      <c r="H311" s="15" t="n">
        <f aca="false">G311*(1+IF(H$3&lt;=$O$2,$D311,$D311-($D311-$I$292)*MIN(H$3-$O$2,$Q$2)/$Q$2))</f>
        <v>2024.04528361766</v>
      </c>
      <c r="I311" s="15" t="n">
        <f aca="false">H311*(1+IF(I$3&lt;=$O$2,$D311,$D311-($D311-$I$292)*MIN(I$3-$O$2,$Q$2)/$Q$2))</f>
        <v>1982.30104828945</v>
      </c>
      <c r="J311" s="15" t="n">
        <f aca="false">I311*(1+IF(J$3&lt;=$O$2,$D311,$D311-($D311-$I$292)*MIN(J$3-$O$2,$Q$2)/$Q$2))</f>
        <v>1964.77883791317</v>
      </c>
      <c r="K311" s="15" t="n">
        <f aca="false">J311*(1+IF(K$3&lt;=$O$2,$D311,$D311-($D311-$I$292)*MIN(K$3-$O$2,$Q$2)/$Q$2))</f>
        <v>1970.56610093563</v>
      </c>
      <c r="L311" s="15" t="n">
        <f aca="false">K311*(1+IF(L$3&lt;=$O$2,$D311,$D311-($D311-$I$292)*MIN(L$3-$O$2,$Q$2)/$Q$2))</f>
        <v>1999.59320110837</v>
      </c>
      <c r="M311" s="15" t="n">
        <f aca="false">L311*(1+IF(M$3&lt;=$O$2,$D311,$D311-($D311-$I$292)*MIN(M$3-$O$2,$Q$2)/$Q$2))</f>
        <v>2052.61275046084</v>
      </c>
      <c r="N311" s="15" t="n">
        <f aca="false">M311*(1+IF(N$3&lt;=$O$2,$D311,$D311-($D311-$I$292)*MIN(N$3-$O$2,$Q$2)/$Q$2))</f>
        <v>2131.22781880349</v>
      </c>
      <c r="O311" s="15" t="n">
        <f aca="false">SUMPRODUCT(E311:N311,1/(1+$F$292)^$E$3:$N$3)*$E$2</f>
        <v>7367.78109885713</v>
      </c>
      <c r="P311" s="15" t="n">
        <f aca="false">N311*$E$2*(1+$I$292)/($F$292-$I$292)/(1+$F$292)^$N$3</f>
        <v>16461.9694237732</v>
      </c>
      <c r="Q311" s="15" t="n">
        <f aca="false">O311+P311</f>
        <v>23829.7505226303</v>
      </c>
      <c r="R311" s="15" t="n">
        <f aca="false">Q311-$G$2+$I$2</f>
        <v>25739.4105226303</v>
      </c>
      <c r="S311" s="42" t="n">
        <f aca="false">R311/$K$2</f>
        <v>109.983380432553</v>
      </c>
      <c r="T311" s="43" t="n">
        <f aca="false">S311-$M$2</f>
        <v>-0.00251881113408103</v>
      </c>
    </row>
    <row r="312" customFormat="false" ht="15" hidden="false" customHeight="false" outlineLevel="0" collapsed="false">
      <c r="A312" s="5" t="n">
        <v>19</v>
      </c>
      <c r="B312" s="25" t="n">
        <f aca="false">IF(T311&gt;0,B311,D311)</f>
        <v>-0.0206241607666016</v>
      </c>
      <c r="C312" s="25" t="n">
        <f aca="false">IF(T311&gt;0,D311,C311)</f>
        <v>-0.0206184387207031</v>
      </c>
      <c r="D312" s="41" t="n">
        <f aca="false">(B312+C312)/2</f>
        <v>-0.0206212997436523</v>
      </c>
      <c r="E312" s="15" t="n">
        <f aca="false">$C$2*(1+IF(E$3&lt;=$O$2,$D312,$D312-($D312-$I$292)*MIN(E$3-$O$2,$Q$2)/$Q$2))</f>
        <v>2154.63314056397</v>
      </c>
      <c r="F312" s="15" t="n">
        <f aca="false">E312*(1+IF(F$3&lt;=$O$2,$D312,$D312-($D312-$I$292)*MIN(F$3-$O$2,$Q$2)/$Q$2))</f>
        <v>2110.20180473479</v>
      </c>
      <c r="G312" s="15" t="n">
        <f aca="false">F312*(1+IF(G$3&lt;=$O$2,$D312,$D312-($D312-$I$292)*MIN(G$3-$O$2,$Q$2)/$Q$2))</f>
        <v>2066.68670079976</v>
      </c>
      <c r="H312" s="15" t="n">
        <f aca="false">G312*(1+IF(H$3&lt;=$O$2,$D312,$D312-($D312-$I$292)*MIN(H$3-$O$2,$Q$2)/$Q$2))</f>
        <v>2024.06893486634</v>
      </c>
      <c r="I312" s="15" t="n">
        <f aca="false">H312*(1+IF(I$3&lt;=$O$2,$D312,$D312-($D312-$I$292)*MIN(I$3-$O$2,$Q$2)/$Q$2))</f>
        <v>1982.33000265865</v>
      </c>
      <c r="J312" s="15" t="n">
        <f aca="false">I312*(1+IF(J$3&lt;=$O$2,$D312,$D312-($D312-$I$292)*MIN(J$3-$O$2,$Q$2)/$Q$2))</f>
        <v>1964.81207353849</v>
      </c>
      <c r="K312" s="15" t="n">
        <f aca="false">J312*(1+IF(K$3&lt;=$O$2,$D312,$D312-($D312-$I$292)*MIN(K$3-$O$2,$Q$2)/$Q$2))</f>
        <v>1970.60280728007</v>
      </c>
      <c r="L312" s="15" t="n">
        <f aca="false">K312*(1+IF(L$3&lt;=$O$2,$D312,$D312-($D312-$I$292)*MIN(L$3-$O$2,$Q$2)/$Q$2))</f>
        <v>1999.63270332552</v>
      </c>
      <c r="M312" s="15" t="n">
        <f aca="false">L312*(1+IF(M$3&lt;=$O$2,$D312,$D312-($D312-$I$292)*MIN(M$3-$O$2,$Q$2)/$Q$2))</f>
        <v>2052.65444428492</v>
      </c>
      <c r="N312" s="15" t="n">
        <f aca="false">M312*(1+IF(N$3&lt;=$O$2,$D312,$D312-($D312-$I$292)*MIN(N$3-$O$2,$Q$2)/$Q$2))</f>
        <v>2131.27110950103</v>
      </c>
      <c r="O312" s="15" t="n">
        <f aca="false">SUMPRODUCT(E312:N312,1/(1+$F$292)^$E$3:$N$3)*$E$2</f>
        <v>7367.87428652555</v>
      </c>
      <c r="P312" s="15" t="n">
        <f aca="false">N312*$E$2*(1+$I$292)/($F$292-$I$292)/(1+$F$292)^$N$3</f>
        <v>16462.3038085503</v>
      </c>
      <c r="Q312" s="15" t="n">
        <f aca="false">O312+P312</f>
        <v>23830.1780950758</v>
      </c>
      <c r="R312" s="15" t="n">
        <f aca="false">Q312-$G$2+$I$2</f>
        <v>25739.8380950758</v>
      </c>
      <c r="S312" s="42" t="n">
        <f aca="false">R312/$K$2</f>
        <v>109.985207430995</v>
      </c>
      <c r="T312" s="43" t="n">
        <f aca="false">S312-$M$2</f>
        <v>-0.000691812691329119</v>
      </c>
    </row>
    <row r="313" customFormat="false" ht="15" hidden="false" customHeight="false" outlineLevel="0" collapsed="false">
      <c r="A313" s="5" t="n">
        <v>20</v>
      </c>
      <c r="B313" s="25" t="n">
        <f aca="false">IF(T312&gt;0,B312,D312)</f>
        <v>-0.0206212997436523</v>
      </c>
      <c r="C313" s="25" t="n">
        <f aca="false">IF(T312&gt;0,D312,C312)</f>
        <v>-0.0206184387207031</v>
      </c>
      <c r="D313" s="41" t="n">
        <f aca="false">(B313+C313)/2</f>
        <v>-0.0206198692321777</v>
      </c>
      <c r="E313" s="15" t="n">
        <f aca="false">$C$2*(1+IF(E$3&lt;=$O$2,$D313,$D313-($D313-$I$292)*MIN(E$3-$O$2,$Q$2)/$Q$2))</f>
        <v>2154.63628768921</v>
      </c>
      <c r="F313" s="15" t="n">
        <f aca="false">E313*(1+IF(F$3&lt;=$O$2,$D313,$D313-($D313-$I$292)*MIN(F$3-$O$2,$Q$2)/$Q$2))</f>
        <v>2110.20796919415</v>
      </c>
      <c r="G313" s="15" t="n">
        <f aca="false">F313*(1+IF(G$3&lt;=$O$2,$D313,$D313-($D313-$I$292)*MIN(G$3-$O$2,$Q$2)/$Q$2))</f>
        <v>2066.69575681667</v>
      </c>
      <c r="H313" s="15" t="n">
        <f aca="false">G313*(1+IF(H$3&lt;=$O$2,$D313,$D313-($D313-$I$292)*MIN(H$3-$O$2,$Q$2)/$Q$2))</f>
        <v>2024.08076056841</v>
      </c>
      <c r="I313" s="15" t="n">
        <f aca="false">H313*(1+IF(I$3&lt;=$O$2,$D313,$D313-($D313-$I$292)*MIN(I$3-$O$2,$Q$2)/$Q$2))</f>
        <v>1982.34447997013</v>
      </c>
      <c r="J313" s="15" t="n">
        <f aca="false">I313*(1+IF(J$3&lt;=$O$2,$D313,$D313-($D313-$I$292)*MIN(J$3-$O$2,$Q$2)/$Q$2))</f>
        <v>1964.82869152661</v>
      </c>
      <c r="K313" s="15" t="n">
        <f aca="false">J313*(1+IF(K$3&lt;=$O$2,$D313,$D313-($D313-$I$292)*MIN(K$3-$O$2,$Q$2)/$Q$2))</f>
        <v>1970.62116067105</v>
      </c>
      <c r="L313" s="15" t="n">
        <f aca="false">K313*(1+IF(L$3&lt;=$O$2,$D313,$D313-($D313-$I$292)*MIN(L$3-$O$2,$Q$2)/$Q$2))</f>
        <v>1999.65245468759</v>
      </c>
      <c r="M313" s="15" t="n">
        <f aca="false">L313*(1+IF(M$3&lt;=$O$2,$D313,$D313-($D313-$I$292)*MIN(M$3-$O$2,$Q$2)/$Q$2))</f>
        <v>2052.67529147413</v>
      </c>
      <c r="N313" s="15" t="n">
        <f aca="false">M313*(1+IF(N$3&lt;=$O$2,$D313,$D313-($D313-$I$292)*MIN(N$3-$O$2,$Q$2)/$Q$2))</f>
        <v>2131.29275513758</v>
      </c>
      <c r="O313" s="15" t="n">
        <f aca="false">SUMPRODUCT(E313:N313,1/(1+$F$292)^$E$3:$N$3)*$E$2</f>
        <v>7367.92088081316</v>
      </c>
      <c r="P313" s="15" t="n">
        <f aca="false">N313*$E$2*(1+$I$292)/($F$292-$I$292)/(1+$F$292)^$N$3</f>
        <v>16462.4710031618</v>
      </c>
      <c r="Q313" s="15" t="n">
        <f aca="false">O313+P313</f>
        <v>23830.3918839749</v>
      </c>
      <c r="R313" s="15" t="n">
        <f aca="false">Q313-$G$2+$I$2</f>
        <v>25740.0518839749</v>
      </c>
      <c r="S313" s="42" t="n">
        <f aca="false">R313/$K$2</f>
        <v>109.986120941652</v>
      </c>
      <c r="T313" s="43" t="n">
        <f aca="false">S313-$M$2</f>
        <v>0.000221697965756107</v>
      </c>
    </row>
    <row r="314" customFormat="false" ht="15" hidden="false" customHeight="false" outlineLevel="0" collapsed="false">
      <c r="A314" s="5" t="n">
        <v>21</v>
      </c>
      <c r="B314" s="25" t="n">
        <f aca="false">IF(T313&gt;0,B313,D313)</f>
        <v>-0.0206212997436523</v>
      </c>
      <c r="C314" s="25" t="n">
        <f aca="false">IF(T313&gt;0,D313,C313)</f>
        <v>-0.0206198692321777</v>
      </c>
      <c r="D314" s="41" t="n">
        <f aca="false">(B314+C314)/2</f>
        <v>-0.020620584487915</v>
      </c>
      <c r="E314" s="15" t="n">
        <f aca="false">$C$2*(1+IF(E$3&lt;=$O$2,$D314,$D314-($D314-$I$292)*MIN(E$3-$O$2,$Q$2)/$Q$2))</f>
        <v>2154.63471412659</v>
      </c>
      <c r="F314" s="15" t="n">
        <f aca="false">E314*(1+IF(F$3&lt;=$O$2,$D314,$D314-($D314-$I$292)*MIN(F$3-$O$2,$Q$2)/$Q$2))</f>
        <v>2110.20488696335</v>
      </c>
      <c r="G314" s="15" t="n">
        <f aca="false">F314*(1+IF(G$3&lt;=$O$2,$D314,$D314-($D314-$I$292)*MIN(G$3-$O$2,$Q$2)/$Q$2))</f>
        <v>2066.69122880491</v>
      </c>
      <c r="H314" s="15" t="n">
        <f aca="false">G314*(1+IF(H$3&lt;=$O$2,$D314,$D314-($D314-$I$292)*MIN(H$3-$O$2,$Q$2)/$Q$2))</f>
        <v>2024.0748477109</v>
      </c>
      <c r="I314" s="15" t="n">
        <f aca="false">H314*(1+IF(I$3&lt;=$O$2,$D314,$D314-($D314-$I$292)*MIN(I$3-$O$2,$Q$2)/$Q$2))</f>
        <v>1982.33724130382</v>
      </c>
      <c r="J314" s="15" t="n">
        <f aca="false">I314*(1+IF(J$3&lt;=$O$2,$D314,$D314-($D314-$I$292)*MIN(J$3-$O$2,$Q$2)/$Q$2))</f>
        <v>1964.82038251793</v>
      </c>
      <c r="K314" s="15" t="n">
        <f aca="false">J314*(1+IF(K$3&lt;=$O$2,$D314,$D314-($D314-$I$292)*MIN(K$3-$O$2,$Q$2)/$Q$2))</f>
        <v>1970.61198395733</v>
      </c>
      <c r="L314" s="15" t="n">
        <f aca="false">K314*(1+IF(L$3&lt;=$O$2,$D314,$D314-($D314-$I$292)*MIN(L$3-$O$2,$Q$2)/$Q$2))</f>
        <v>1999.64257898543</v>
      </c>
      <c r="M314" s="15" t="n">
        <f aca="false">L314*(1+IF(M$3&lt;=$O$2,$D314,$D314-($D314-$I$292)*MIN(M$3-$O$2,$Q$2)/$Q$2))</f>
        <v>2052.66486785642</v>
      </c>
      <c r="N314" s="15" t="n">
        <f aca="false">M314*(1+IF(N$3&lt;=$O$2,$D314,$D314-($D314-$I$292)*MIN(N$3-$O$2,$Q$2)/$Q$2))</f>
        <v>2131.28193229533</v>
      </c>
      <c r="O314" s="15" t="n">
        <f aca="false">SUMPRODUCT(E314:N314,1/(1+$F$292)^$E$3:$N$3)*$E$2</f>
        <v>7367.89758363157</v>
      </c>
      <c r="P314" s="15" t="n">
        <f aca="false">N314*$E$2*(1+$I$292)/($F$292-$I$292)/(1+$F$292)^$N$3</f>
        <v>16462.3874056708</v>
      </c>
      <c r="Q314" s="15" t="n">
        <f aca="false">O314+P314</f>
        <v>23830.2849893024</v>
      </c>
      <c r="R314" s="15" t="n">
        <f aca="false">Q314-$G$2+$I$2</f>
        <v>25739.9449893024</v>
      </c>
      <c r="S314" s="42" t="n">
        <f aca="false">R314/$K$2</f>
        <v>109.985664185371</v>
      </c>
      <c r="T314" s="43" t="n">
        <f aca="false">S314-$M$2</f>
        <v>-0.000235058315766423</v>
      </c>
    </row>
    <row r="315" customFormat="false" ht="15" hidden="false" customHeight="false" outlineLevel="0" collapsed="false">
      <c r="A315" s="5" t="n">
        <v>22</v>
      </c>
      <c r="B315" s="25" t="n">
        <f aca="false">IF(T314&gt;0,B314,D314)</f>
        <v>-0.020620584487915</v>
      </c>
      <c r="C315" s="25" t="n">
        <f aca="false">IF(T314&gt;0,D314,C314)</f>
        <v>-0.0206198692321777</v>
      </c>
      <c r="D315" s="41" t="n">
        <f aca="false">(B315+C315)/2</f>
        <v>-0.0206202268600464</v>
      </c>
      <c r="E315" s="15" t="n">
        <f aca="false">$C$2*(1+IF(E$3&lt;=$O$2,$D315,$D315-($D315-$I$292)*MIN(E$3-$O$2,$Q$2)/$Q$2))</f>
        <v>2154.6355009079</v>
      </c>
      <c r="F315" s="15" t="n">
        <f aca="false">E315*(1+IF(F$3&lt;=$O$2,$D315,$D315-($D315-$I$292)*MIN(F$3-$O$2,$Q$2)/$Q$2))</f>
        <v>2110.20642807847</v>
      </c>
      <c r="G315" s="15" t="n">
        <f aca="false">F315*(1+IF(G$3&lt;=$O$2,$D315,$D315-($D315-$I$292)*MIN(G$3-$O$2,$Q$2)/$Q$2))</f>
        <v>2066.69349280996</v>
      </c>
      <c r="H315" s="15" t="n">
        <f aca="false">G315*(1+IF(H$3&lt;=$O$2,$D315,$D315-($D315-$I$292)*MIN(H$3-$O$2,$Q$2)/$Q$2))</f>
        <v>2024.07780413804</v>
      </c>
      <c r="I315" s="15" t="n">
        <f aca="false">H315*(1+IF(I$3&lt;=$O$2,$D315,$D315-($D315-$I$292)*MIN(I$3-$O$2,$Q$2)/$Q$2))</f>
        <v>1982.34086063433</v>
      </c>
      <c r="J315" s="15" t="n">
        <f aca="false">I315*(1+IF(J$3&lt;=$O$2,$D315,$D315-($D315-$I$292)*MIN(J$3-$O$2,$Q$2)/$Q$2))</f>
        <v>1964.82453701861</v>
      </c>
      <c r="K315" s="15" t="n">
        <f aca="false">J315*(1+IF(K$3&lt;=$O$2,$D315,$D315-($D315-$I$292)*MIN(K$3-$O$2,$Q$2)/$Q$2))</f>
        <v>1970.61657230963</v>
      </c>
      <c r="L315" s="15" t="n">
        <f aca="false">K315*(1+IF(L$3&lt;=$O$2,$D315,$D315-($D315-$I$292)*MIN(L$3-$O$2,$Q$2)/$Q$2))</f>
        <v>1999.64751683123</v>
      </c>
      <c r="M315" s="15" t="n">
        <f aca="false">L315*(1+IF(M$3&lt;=$O$2,$D315,$D315-($D315-$I$292)*MIN(M$3-$O$2,$Q$2)/$Q$2))</f>
        <v>2052.6700796595</v>
      </c>
      <c r="N315" s="15" t="n">
        <f aca="false">M315*(1+IF(N$3&lt;=$O$2,$D315,$D315-($D315-$I$292)*MIN(N$3-$O$2,$Q$2)/$Q$2))</f>
        <v>2131.28734371046</v>
      </c>
      <c r="O315" s="15" t="n">
        <f aca="false">SUMPRODUCT(E315:N315,1/(1+$F$292)^$E$3:$N$3)*$E$2</f>
        <v>7367.90923221292</v>
      </c>
      <c r="P315" s="15" t="n">
        <f aca="false">N315*$E$2*(1+$I$292)/($F$292-$I$292)/(1+$F$292)^$N$3</f>
        <v>16462.42920437</v>
      </c>
      <c r="Q315" s="15" t="n">
        <f aca="false">O315+P315</f>
        <v>23830.3384365829</v>
      </c>
      <c r="R315" s="15" t="n">
        <f aca="false">Q315-$G$2+$I$2</f>
        <v>25739.9984365829</v>
      </c>
      <c r="S315" s="42" t="n">
        <f aca="false">R315/$K$2</f>
        <v>109.985892563273</v>
      </c>
      <c r="T315" s="43" t="n">
        <f aca="false">S315-$M$2</f>
        <v>-6.68041323592661E-006</v>
      </c>
    </row>
    <row r="316" customFormat="false" ht="15" hidden="false" customHeight="false" outlineLevel="0" collapsed="false">
      <c r="A316" s="5" t="n">
        <v>23</v>
      </c>
      <c r="B316" s="25" t="n">
        <f aca="false">IF(T315&gt;0,B315,D315)</f>
        <v>-0.0206202268600464</v>
      </c>
      <c r="C316" s="25" t="n">
        <f aca="false">IF(T315&gt;0,D315,C315)</f>
        <v>-0.0206198692321777</v>
      </c>
      <c r="D316" s="41" t="n">
        <f aca="false">(B316+C316)/2</f>
        <v>-0.0206200480461121</v>
      </c>
      <c r="E316" s="15" t="n">
        <f aca="false">$C$2*(1+IF(E$3&lt;=$O$2,$D316,$D316-($D316-$I$292)*MIN(E$3-$O$2,$Q$2)/$Q$2))</f>
        <v>2154.63589429855</v>
      </c>
      <c r="F316" s="15" t="n">
        <f aca="false">E316*(1+IF(F$3&lt;=$O$2,$D316,$D316-($D316-$I$292)*MIN(F$3-$O$2,$Q$2)/$Q$2))</f>
        <v>2110.20719863624</v>
      </c>
      <c r="G316" s="15" t="n">
        <f aca="false">F316*(1+IF(G$3&lt;=$O$2,$D316,$D316-($D316-$I$292)*MIN(G$3-$O$2,$Q$2)/$Q$2))</f>
        <v>2066.69462481311</v>
      </c>
      <c r="H316" s="15" t="n">
        <f aca="false">G316*(1+IF(H$3&lt;=$O$2,$D316,$D316-($D316-$I$292)*MIN(H$3-$O$2,$Q$2)/$Q$2))</f>
        <v>2024.07928235282</v>
      </c>
      <c r="I316" s="15" t="n">
        <f aca="false">H316*(1+IF(I$3&lt;=$O$2,$D316,$D316-($D316-$I$292)*MIN(I$3-$O$2,$Q$2)/$Q$2))</f>
        <v>1982.34267030157</v>
      </c>
      <c r="J316" s="15" t="n">
        <f aca="false">I316*(1+IF(J$3&lt;=$O$2,$D316,$D316-($D316-$I$292)*MIN(J$3-$O$2,$Q$2)/$Q$2))</f>
        <v>1964.82661427169</v>
      </c>
      <c r="K316" s="15" t="n">
        <f aca="false">J316*(1+IF(K$3&lt;=$O$2,$D316,$D316-($D316-$I$292)*MIN(K$3-$O$2,$Q$2)/$Q$2))</f>
        <v>1970.6188664892</v>
      </c>
      <c r="L316" s="15" t="n">
        <f aca="false">K316*(1+IF(L$3&lt;=$O$2,$D316,$D316-($D316-$I$292)*MIN(L$3-$O$2,$Q$2)/$Q$2))</f>
        <v>1999.64998575809</v>
      </c>
      <c r="M316" s="15" t="n">
        <f aca="false">L316*(1+IF(M$3&lt;=$O$2,$D316,$D316-($D316-$I$292)*MIN(M$3-$O$2,$Q$2)/$Q$2))</f>
        <v>2052.67268556537</v>
      </c>
      <c r="N316" s="15" t="n">
        <f aca="false">M316*(1+IF(N$3&lt;=$O$2,$D316,$D316-($D316-$I$292)*MIN(N$3-$O$2,$Q$2)/$Q$2))</f>
        <v>2131.29004942252</v>
      </c>
      <c r="O316" s="15" t="n">
        <f aca="false">SUMPRODUCT(E316:N316,1/(1+$F$292)^$E$3:$N$3)*$E$2</f>
        <v>7367.91505651068</v>
      </c>
      <c r="P316" s="15" t="n">
        <f aca="false">N316*$E$2*(1+$I$292)/($F$292-$I$292)/(1+$F$292)^$N$3</f>
        <v>16462.4501037543</v>
      </c>
      <c r="Q316" s="15" t="n">
        <f aca="false">O316+P316</f>
        <v>23830.365160265</v>
      </c>
      <c r="R316" s="15" t="n">
        <f aca="false">Q316-$G$2+$I$2</f>
        <v>25740.025160265</v>
      </c>
      <c r="S316" s="42" t="n">
        <f aca="false">R316/$K$2</f>
        <v>109.986006752403</v>
      </c>
      <c r="T316" s="43" t="n">
        <f aca="false">S316-$M$2</f>
        <v>0.000107508716695293</v>
      </c>
    </row>
    <row r="317" customFormat="false" ht="15" hidden="false" customHeight="false" outlineLevel="0" collapsed="false">
      <c r="A317" s="5" t="n">
        <v>24</v>
      </c>
      <c r="B317" s="25" t="n">
        <f aca="false">IF(T316&gt;0,B316,D316)</f>
        <v>-0.0206202268600464</v>
      </c>
      <c r="C317" s="25" t="n">
        <f aca="false">IF(T316&gt;0,D316,C316)</f>
        <v>-0.0206200480461121</v>
      </c>
      <c r="D317" s="41" t="n">
        <f aca="false">(B317+C317)/2</f>
        <v>-0.0206201374530792</v>
      </c>
      <c r="E317" s="15" t="n">
        <f aca="false">$C$2*(1+IF(E$3&lt;=$O$2,$D317,$D317-($D317-$I$292)*MIN(E$3-$O$2,$Q$2)/$Q$2))</f>
        <v>2154.63569760323</v>
      </c>
      <c r="F317" s="15" t="n">
        <f aca="false">E317*(1+IF(F$3&lt;=$O$2,$D317,$D317-($D317-$I$292)*MIN(F$3-$O$2,$Q$2)/$Q$2))</f>
        <v>2110.20681335734</v>
      </c>
      <c r="G317" s="15" t="n">
        <f aca="false">F317*(1+IF(G$3&lt;=$O$2,$D317,$D317-($D317-$I$292)*MIN(G$3-$O$2,$Q$2)/$Q$2))</f>
        <v>2066.69405881148</v>
      </c>
      <c r="H317" s="15" t="n">
        <f aca="false">G317*(1+IF(H$3&lt;=$O$2,$D317,$D317-($D317-$I$292)*MIN(H$3-$O$2,$Q$2)/$Q$2))</f>
        <v>2024.07854324533</v>
      </c>
      <c r="I317" s="15" t="n">
        <f aca="false">H317*(1+IF(I$3&lt;=$O$2,$D317,$D317-($D317-$I$292)*MIN(I$3-$O$2,$Q$2)/$Q$2))</f>
        <v>1982.34176546778</v>
      </c>
      <c r="J317" s="15" t="n">
        <f aca="false">I317*(1+IF(J$3&lt;=$O$2,$D317,$D317-($D317-$I$292)*MIN(J$3-$O$2,$Q$2)/$Q$2))</f>
        <v>1964.82557564492</v>
      </c>
      <c r="K317" s="15" t="n">
        <f aca="false">J317*(1+IF(K$3&lt;=$O$2,$D317,$D317-($D317-$I$292)*MIN(K$3-$O$2,$Q$2)/$Q$2))</f>
        <v>1970.61771939913</v>
      </c>
      <c r="L317" s="15" t="n">
        <f aca="false">K317*(1+IF(L$3&lt;=$O$2,$D317,$D317-($D317-$I$292)*MIN(L$3-$O$2,$Q$2)/$Q$2))</f>
        <v>1999.64875129433</v>
      </c>
      <c r="M317" s="15" t="n">
        <f aca="false">L317*(1+IF(M$3&lt;=$O$2,$D317,$D317-($D317-$I$292)*MIN(M$3-$O$2,$Q$2)/$Q$2))</f>
        <v>2052.67138261207</v>
      </c>
      <c r="N317" s="15" t="n">
        <f aca="false">M317*(1+IF(N$3&lt;=$O$2,$D317,$D317-($D317-$I$292)*MIN(N$3-$O$2,$Q$2)/$Q$2))</f>
        <v>2131.28869656612</v>
      </c>
      <c r="O317" s="15" t="n">
        <f aca="false">SUMPRODUCT(E317:N317,1/(1+$F$292)^$E$3:$N$3)*$E$2</f>
        <v>7367.91214436121</v>
      </c>
      <c r="P317" s="15" t="n">
        <f aca="false">N317*$E$2*(1+$I$292)/($F$292-$I$292)/(1+$F$292)^$N$3</f>
        <v>16462.4396540592</v>
      </c>
      <c r="Q317" s="15" t="n">
        <f aca="false">O317+P317</f>
        <v>23830.3517984204</v>
      </c>
      <c r="R317" s="15" t="n">
        <f aca="false">Q317-$G$2+$I$2</f>
        <v>25740.0117984204</v>
      </c>
      <c r="S317" s="42" t="n">
        <f aca="false">R317/$K$2</f>
        <v>109.985949657824</v>
      </c>
      <c r="T317" s="43" t="n">
        <f aca="false">S317-$M$2</f>
        <v>5.04141368224964E-005</v>
      </c>
    </row>
    <row r="319" customFormat="false" ht="15" hidden="false" customHeight="false" outlineLevel="0" collapsed="false">
      <c r="A319" s="38" t="s">
        <v>198</v>
      </c>
      <c r="E319" s="5" t="s">
        <v>11</v>
      </c>
      <c r="F319" s="12" t="n">
        <f aca="false">Sensitivity!$B$12</f>
        <v>0.0777967762761046</v>
      </c>
      <c r="G319" s="5" t="s">
        <v>12</v>
      </c>
      <c r="I319" s="12" t="n">
        <f aca="false">Sensitivity!$C$9</f>
        <v>0.0183</v>
      </c>
    </row>
    <row r="320" customFormat="false" ht="23.85" hidden="false" customHeight="false" outlineLevel="0" collapsed="false">
      <c r="A320" s="38" t="s">
        <v>168</v>
      </c>
      <c r="B320" s="28" t="s">
        <v>169</v>
      </c>
      <c r="C320" s="28" t="s">
        <v>170</v>
      </c>
      <c r="D320" s="28" t="s">
        <v>171</v>
      </c>
      <c r="E320" s="28" t="s">
        <v>172</v>
      </c>
      <c r="F320" s="28" t="s">
        <v>173</v>
      </c>
      <c r="G320" s="28" t="s">
        <v>174</v>
      </c>
      <c r="H320" s="28" t="s">
        <v>175</v>
      </c>
      <c r="I320" s="28" t="s">
        <v>176</v>
      </c>
      <c r="J320" s="28" t="s">
        <v>177</v>
      </c>
      <c r="K320" s="28" t="s">
        <v>178</v>
      </c>
      <c r="L320" s="28" t="s">
        <v>179</v>
      </c>
      <c r="M320" s="28" t="s">
        <v>180</v>
      </c>
      <c r="N320" s="28" t="s">
        <v>181</v>
      </c>
      <c r="O320" s="28" t="s">
        <v>182</v>
      </c>
      <c r="P320" s="28" t="s">
        <v>183</v>
      </c>
      <c r="Q320" s="28" t="s">
        <v>184</v>
      </c>
      <c r="R320" s="28" t="s">
        <v>185</v>
      </c>
      <c r="S320" s="28" t="s">
        <v>186</v>
      </c>
      <c r="T320" s="28" t="s">
        <v>187</v>
      </c>
    </row>
    <row r="321" customFormat="false" ht="15" hidden="false" customHeight="false" outlineLevel="0" collapsed="false">
      <c r="A321" s="5" t="n">
        <v>1</v>
      </c>
      <c r="B321" s="24" t="n">
        <v>-0.5</v>
      </c>
      <c r="C321" s="24" t="n">
        <v>1</v>
      </c>
      <c r="D321" s="41" t="n">
        <f aca="false">(B321+C321)/2</f>
        <v>0.25</v>
      </c>
      <c r="E321" s="15" t="n">
        <f aca="false">$C$2*(1+IF(E$3&lt;=$O$2,$D321,$D321-($D321-$I$319)*MIN(E$3-$O$2,$Q$2)/$Q$2))</f>
        <v>2750</v>
      </c>
      <c r="F321" s="15" t="n">
        <f aca="false">E321*(1+IF(F$3&lt;=$O$2,$D321,$D321-($D321-$I$319)*MIN(F$3-$O$2,$Q$2)/$Q$2))</f>
        <v>3437.5</v>
      </c>
      <c r="G321" s="15" t="n">
        <f aca="false">F321*(1+IF(G$3&lt;=$O$2,$D321,$D321-($D321-$I$319)*MIN(G$3-$O$2,$Q$2)/$Q$2))</f>
        <v>4296.875</v>
      </c>
      <c r="H321" s="15" t="n">
        <f aca="false">G321*(1+IF(H$3&lt;=$O$2,$D321,$D321-($D321-$I$319)*MIN(H$3-$O$2,$Q$2)/$Q$2))</f>
        <v>5371.09375</v>
      </c>
      <c r="I321" s="15" t="n">
        <f aca="false">H321*(1+IF(I$3&lt;=$O$2,$D321,$D321-($D321-$I$319)*MIN(I$3-$O$2,$Q$2)/$Q$2))</f>
        <v>6713.8671875</v>
      </c>
      <c r="J321" s="15" t="n">
        <f aca="false">I321*(1+IF(J$3&lt;=$O$2,$D321,$D321-($D321-$I$319)*MIN(J$3-$O$2,$Q$2)/$Q$2))</f>
        <v>8081.21337890625</v>
      </c>
      <c r="K321" s="15" t="n">
        <f aca="false">J321*(1+IF(K$3&lt;=$O$2,$D321,$D321-($D321-$I$319)*MIN(K$3-$O$2,$Q$2)/$Q$2))</f>
        <v>9352.54986767578</v>
      </c>
      <c r="L321" s="15" t="n">
        <f aca="false">K321*(1+IF(L$3&lt;=$O$2,$D321,$D321-($D321-$I$319)*MIN(L$3-$O$2,$Q$2)/$Q$2))</f>
        <v>10390.4958519904</v>
      </c>
      <c r="M321" s="15" t="n">
        <f aca="false">L321*(1+IF(M$3&lt;=$O$2,$D321,$D321-($D321-$I$319)*MIN(M$3-$O$2,$Q$2)/$Q$2))</f>
        <v>11062.1375038631</v>
      </c>
      <c r="N321" s="15" t="n">
        <f aca="false">M321*(1+IF(N$3&lt;=$O$2,$D321,$D321-($D321-$I$319)*MIN(N$3-$O$2,$Q$2)/$Q$2))</f>
        <v>11264.5746201838</v>
      </c>
      <c r="O321" s="15" t="n">
        <f aca="false">SUMPRODUCT(E321:N321,1/(1+$F$319)^$E$3:$N$3)*$E$2</f>
        <v>23265.3698752607</v>
      </c>
      <c r="P321" s="15" t="n">
        <f aca="false">N321*$E$2*(1+$I$319)/($F$319-$I$319)/(1+$F$319)^$N$3</f>
        <v>47229.1873457655</v>
      </c>
      <c r="Q321" s="15" t="n">
        <f aca="false">O321+P321</f>
        <v>70494.5572210262</v>
      </c>
      <c r="R321" s="15" t="n">
        <f aca="false">Q321-$G$2+$I$2</f>
        <v>72404.2172210262</v>
      </c>
      <c r="S321" s="42" t="n">
        <f aca="false">R321/$K$2</f>
        <v>309.380067602556</v>
      </c>
      <c r="T321" s="43" t="n">
        <f aca="false">S321-$M$2</f>
        <v>199.394168358869</v>
      </c>
    </row>
    <row r="322" customFormat="false" ht="15" hidden="false" customHeight="false" outlineLevel="0" collapsed="false">
      <c r="A322" s="5" t="n">
        <v>2</v>
      </c>
      <c r="B322" s="25" t="n">
        <f aca="false">IF(T321&gt;0,B321,D321)</f>
        <v>-0.5</v>
      </c>
      <c r="C322" s="25" t="n">
        <f aca="false">IF(T321&gt;0,D321,C321)</f>
        <v>0.25</v>
      </c>
      <c r="D322" s="41" t="n">
        <f aca="false">(B322+C322)/2</f>
        <v>-0.125</v>
      </c>
      <c r="E322" s="15" t="n">
        <f aca="false">$C$2*(1+IF(E$3&lt;=$O$2,$D322,$D322-($D322-$I$319)*MIN(E$3-$O$2,$Q$2)/$Q$2))</f>
        <v>1925</v>
      </c>
      <c r="F322" s="15" t="n">
        <f aca="false">E322*(1+IF(F$3&lt;=$O$2,$D322,$D322-($D322-$I$319)*MIN(F$3-$O$2,$Q$2)/$Q$2))</f>
        <v>1684.375</v>
      </c>
      <c r="G322" s="15" t="n">
        <f aca="false">F322*(1+IF(G$3&lt;=$O$2,$D322,$D322-($D322-$I$319)*MIN(G$3-$O$2,$Q$2)/$Q$2))</f>
        <v>1473.828125</v>
      </c>
      <c r="H322" s="15" t="n">
        <f aca="false">G322*(1+IF(H$3&lt;=$O$2,$D322,$D322-($D322-$I$319)*MIN(H$3-$O$2,$Q$2)/$Q$2))</f>
        <v>1289.599609375</v>
      </c>
      <c r="I322" s="15" t="n">
        <f aca="false">H322*(1+IF(I$3&lt;=$O$2,$D322,$D322-($D322-$I$319)*MIN(I$3-$O$2,$Q$2)/$Q$2))</f>
        <v>1128.39965820313</v>
      </c>
      <c r="J322" s="15" t="n">
        <f aca="false">I322*(1+IF(J$3&lt;=$O$2,$D322,$D322-($D322-$I$319)*MIN(J$3-$O$2,$Q$2)/$Q$2))</f>
        <v>1019.68963513184</v>
      </c>
      <c r="K322" s="15" t="n">
        <f aca="false">J322*(1+IF(K$3&lt;=$O$2,$D322,$D322-($D322-$I$319)*MIN(K$3-$O$2,$Q$2)/$Q$2))</f>
        <v>950.677040626113</v>
      </c>
      <c r="L322" s="15" t="n">
        <f aca="false">K322*(1+IF(L$3&lt;=$O$2,$D322,$D322-($D322-$I$319)*MIN(L$3-$O$2,$Q$2)/$Q$2))</f>
        <v>913.581622500882</v>
      </c>
      <c r="M322" s="15" t="n">
        <f aca="false">L322*(1+IF(M$3&lt;=$O$2,$D322,$D322-($D322-$I$319)*MIN(M$3-$O$2,$Q$2)/$Q$2))</f>
        <v>904.116916891773</v>
      </c>
      <c r="N322" s="15" t="n">
        <f aca="false">M322*(1+IF(N$3&lt;=$O$2,$D322,$D322-($D322-$I$319)*MIN(N$3-$O$2,$Q$2)/$Q$2))</f>
        <v>920.662256470893</v>
      </c>
      <c r="O322" s="15" t="n">
        <f aca="false">SUMPRODUCT(E322:N322,1/(1+$F$319)^$E$3:$N$3)*$E$2</f>
        <v>4536.96405142564</v>
      </c>
      <c r="P322" s="15" t="n">
        <f aca="false">N322*$E$2*(1+$I$319)/($F$319-$I$319)/(1+$F$319)^$N$3</f>
        <v>3860.07742495025</v>
      </c>
      <c r="Q322" s="15" t="n">
        <f aca="false">O322+P322</f>
        <v>8397.04147637589</v>
      </c>
      <c r="R322" s="15" t="n">
        <f aca="false">Q322-$G$2+$I$2</f>
        <v>10306.7014763759</v>
      </c>
      <c r="S322" s="42" t="n">
        <f aca="false">R322/$K$2</f>
        <v>44.0400866400713</v>
      </c>
      <c r="T322" s="43" t="n">
        <f aca="false">S322-$M$2</f>
        <v>-65.9458126036154</v>
      </c>
    </row>
    <row r="323" customFormat="false" ht="15" hidden="false" customHeight="false" outlineLevel="0" collapsed="false">
      <c r="A323" s="5" t="n">
        <v>3</v>
      </c>
      <c r="B323" s="25" t="n">
        <f aca="false">IF(T322&gt;0,B322,D322)</f>
        <v>-0.125</v>
      </c>
      <c r="C323" s="25" t="n">
        <f aca="false">IF(T322&gt;0,D322,C322)</f>
        <v>0.25</v>
      </c>
      <c r="D323" s="41" t="n">
        <f aca="false">(B323+C323)/2</f>
        <v>0.0625</v>
      </c>
      <c r="E323" s="15" t="n">
        <f aca="false">$C$2*(1+IF(E$3&lt;=$O$2,$D323,$D323-($D323-$I$319)*MIN(E$3-$O$2,$Q$2)/$Q$2))</f>
        <v>2337.5</v>
      </c>
      <c r="F323" s="15" t="n">
        <f aca="false">E323*(1+IF(F$3&lt;=$O$2,$D323,$D323-($D323-$I$319)*MIN(F$3-$O$2,$Q$2)/$Q$2))</f>
        <v>2483.59375</v>
      </c>
      <c r="G323" s="15" t="n">
        <f aca="false">F323*(1+IF(G$3&lt;=$O$2,$D323,$D323-($D323-$I$319)*MIN(G$3-$O$2,$Q$2)/$Q$2))</f>
        <v>2638.818359375</v>
      </c>
      <c r="H323" s="15" t="n">
        <f aca="false">G323*(1+IF(H$3&lt;=$O$2,$D323,$D323-($D323-$I$319)*MIN(H$3-$O$2,$Q$2)/$Q$2))</f>
        <v>2803.74450683594</v>
      </c>
      <c r="I323" s="15" t="n">
        <f aca="false">H323*(1+IF(I$3&lt;=$O$2,$D323,$D323-($D323-$I$319)*MIN(I$3-$O$2,$Q$2)/$Q$2))</f>
        <v>2978.97853851318</v>
      </c>
      <c r="J323" s="15" t="n">
        <f aca="false">I323*(1+IF(J$3&lt;=$O$2,$D323,$D323-($D323-$I$319)*MIN(J$3-$O$2,$Q$2)/$Q$2))</f>
        <v>3138.8305268898</v>
      </c>
      <c r="K323" s="15" t="n">
        <f aca="false">J323*(1+IF(K$3&lt;=$O$2,$D323,$D323-($D323-$I$319)*MIN(K$3-$O$2,$Q$2)/$Q$2))</f>
        <v>3279.512911105</v>
      </c>
      <c r="L323" s="15" t="n">
        <f aca="false">K323*(1+IF(L$3&lt;=$O$2,$D323,$D323-($D323-$I$319)*MIN(L$3-$O$2,$Q$2)/$Q$2))</f>
        <v>3397.50978564656</v>
      </c>
      <c r="M323" s="15" t="n">
        <f aca="false">L323*(1+IF(M$3&lt;=$O$2,$D323,$D323-($D323-$I$319)*MIN(M$3-$O$2,$Q$2)/$Q$2))</f>
        <v>3489.71820122901</v>
      </c>
      <c r="N323" s="15" t="n">
        <f aca="false">M323*(1+IF(N$3&lt;=$O$2,$D323,$D323-($D323-$I$319)*MIN(N$3-$O$2,$Q$2)/$Q$2))</f>
        <v>3553.5800443115</v>
      </c>
      <c r="O323" s="15" t="n">
        <f aca="false">SUMPRODUCT(E323:N323,1/(1+$F$319)^$E$3:$N$3)*$E$2</f>
        <v>10264.027631963</v>
      </c>
      <c r="P323" s="15" t="n">
        <f aca="false">N323*$E$2*(1+$I$319)/($F$319-$I$319)/(1+$F$319)^$N$3</f>
        <v>14899.1598280364</v>
      </c>
      <c r="Q323" s="15" t="n">
        <f aca="false">O323+P323</f>
        <v>25163.1874599995</v>
      </c>
      <c r="R323" s="15" t="n">
        <f aca="false">Q323-$G$2+$I$2</f>
        <v>27072.8474599995</v>
      </c>
      <c r="S323" s="42" t="n">
        <f aca="false">R323/$K$2</f>
        <v>115.681098406185</v>
      </c>
      <c r="T323" s="43" t="n">
        <f aca="false">S323-$M$2</f>
        <v>5.69519916249834</v>
      </c>
    </row>
    <row r="324" customFormat="false" ht="15" hidden="false" customHeight="false" outlineLevel="0" collapsed="false">
      <c r="A324" s="5" t="n">
        <v>4</v>
      </c>
      <c r="B324" s="25" t="n">
        <f aca="false">IF(T323&gt;0,B323,D323)</f>
        <v>-0.125</v>
      </c>
      <c r="C324" s="25" t="n">
        <f aca="false">IF(T323&gt;0,D323,C323)</f>
        <v>0.0625</v>
      </c>
      <c r="D324" s="41" t="n">
        <f aca="false">(B324+C324)/2</f>
        <v>-0.03125</v>
      </c>
      <c r="E324" s="15" t="n">
        <f aca="false">$C$2*(1+IF(E$3&lt;=$O$2,$D324,$D324-($D324-$I$319)*MIN(E$3-$O$2,$Q$2)/$Q$2))</f>
        <v>2131.25</v>
      </c>
      <c r="F324" s="15" t="n">
        <f aca="false">E324*(1+IF(F$3&lt;=$O$2,$D324,$D324-($D324-$I$319)*MIN(F$3-$O$2,$Q$2)/$Q$2))</f>
        <v>2064.6484375</v>
      </c>
      <c r="G324" s="15" t="n">
        <f aca="false">F324*(1+IF(G$3&lt;=$O$2,$D324,$D324-($D324-$I$319)*MIN(G$3-$O$2,$Q$2)/$Q$2))</f>
        <v>2000.12817382813</v>
      </c>
      <c r="H324" s="15" t="n">
        <f aca="false">G324*(1+IF(H$3&lt;=$O$2,$D324,$D324-($D324-$I$319)*MIN(H$3-$O$2,$Q$2)/$Q$2))</f>
        <v>1937.624168396</v>
      </c>
      <c r="I324" s="15" t="n">
        <f aca="false">H324*(1+IF(I$3&lt;=$O$2,$D324,$D324-($D324-$I$319)*MIN(I$3-$O$2,$Q$2)/$Q$2))</f>
        <v>1877.07341313362</v>
      </c>
      <c r="J324" s="15" t="n">
        <f aca="false">I324*(1+IF(J$3&lt;=$O$2,$D324,$D324-($D324-$I$319)*MIN(J$3-$O$2,$Q$2)/$Q$2))</f>
        <v>1837.01666649735</v>
      </c>
      <c r="K324" s="15" t="n">
        <f aca="false">J324*(1+IF(K$3&lt;=$O$2,$D324,$D324-($D324-$I$319)*MIN(K$3-$O$2,$Q$2)/$Q$2))</f>
        <v>1816.01956599928</v>
      </c>
      <c r="L324" s="15" t="n">
        <f aca="false">K324*(1+IF(L$3&lt;=$O$2,$D324,$D324-($D324-$I$319)*MIN(L$3-$O$2,$Q$2)/$Q$2))</f>
        <v>1813.25921625897</v>
      </c>
      <c r="M324" s="15" t="n">
        <f aca="false">L324*(1+IF(M$3&lt;=$O$2,$D324,$D324-($D324-$I$319)*MIN(M$3-$O$2,$Q$2)/$Q$2))</f>
        <v>1828.47246108338</v>
      </c>
      <c r="N324" s="15" t="n">
        <f aca="false">M324*(1+IF(N$3&lt;=$O$2,$D324,$D324-($D324-$I$319)*MIN(N$3-$O$2,$Q$2)/$Q$2))</f>
        <v>1861.9335071212</v>
      </c>
      <c r="O324" s="15" t="n">
        <f aca="false">SUMPRODUCT(E324:N324,1/(1+$F$319)^$E$3:$N$3)*$E$2</f>
        <v>6805.41217914443</v>
      </c>
      <c r="P324" s="15" t="n">
        <f aca="false">N324*$E$2*(1+$I$319)/($F$319-$I$319)/(1+$F$319)^$N$3</f>
        <v>7806.56255546654</v>
      </c>
      <c r="Q324" s="15" t="n">
        <f aca="false">O324+P324</f>
        <v>14611.974734611</v>
      </c>
      <c r="R324" s="15" t="n">
        <f aca="false">Q324-$G$2+$I$2</f>
        <v>16521.634734611</v>
      </c>
      <c r="S324" s="42" t="n">
        <f aca="false">R324/$K$2</f>
        <v>70.5962258454513</v>
      </c>
      <c r="T324" s="43" t="n">
        <f aca="false">S324-$M$2</f>
        <v>-39.3896733982354</v>
      </c>
    </row>
    <row r="325" customFormat="false" ht="15" hidden="false" customHeight="false" outlineLevel="0" collapsed="false">
      <c r="A325" s="5" t="n">
        <v>5</v>
      </c>
      <c r="B325" s="25" t="n">
        <f aca="false">IF(T324&gt;0,B324,D324)</f>
        <v>-0.03125</v>
      </c>
      <c r="C325" s="25" t="n">
        <f aca="false">IF(T324&gt;0,D324,C324)</f>
        <v>0.0625</v>
      </c>
      <c r="D325" s="41" t="n">
        <f aca="false">(B325+C325)/2</f>
        <v>0.015625</v>
      </c>
      <c r="E325" s="15" t="n">
        <f aca="false">$C$2*(1+IF(E$3&lt;=$O$2,$D325,$D325-($D325-$I$319)*MIN(E$3-$O$2,$Q$2)/$Q$2))</f>
        <v>2234.375</v>
      </c>
      <c r="F325" s="15" t="n">
        <f aca="false">E325*(1+IF(F$3&lt;=$O$2,$D325,$D325-($D325-$I$319)*MIN(F$3-$O$2,$Q$2)/$Q$2))</f>
        <v>2269.287109375</v>
      </c>
      <c r="G325" s="15" t="n">
        <f aca="false">F325*(1+IF(G$3&lt;=$O$2,$D325,$D325-($D325-$I$319)*MIN(G$3-$O$2,$Q$2)/$Q$2))</f>
        <v>2304.74472045898</v>
      </c>
      <c r="H325" s="15" t="n">
        <f aca="false">G325*(1+IF(H$3&lt;=$O$2,$D325,$D325-($D325-$I$319)*MIN(H$3-$O$2,$Q$2)/$Q$2))</f>
        <v>2340.75635671616</v>
      </c>
      <c r="I325" s="15" t="n">
        <f aca="false">H325*(1+IF(I$3&lt;=$O$2,$D325,$D325-($D325-$I$319)*MIN(I$3-$O$2,$Q$2)/$Q$2))</f>
        <v>2377.33067478985</v>
      </c>
      <c r="J325" s="15" t="n">
        <f aca="false">I325*(1+IF(J$3&lt;=$O$2,$D325,$D325-($D325-$I$319)*MIN(J$3-$O$2,$Q$2)/$Q$2))</f>
        <v>2415.74833849445</v>
      </c>
      <c r="K325" s="15" t="n">
        <f aca="false">J325*(1+IF(K$3&lt;=$O$2,$D325,$D325-($D325-$I$319)*MIN(K$3-$O$2,$Q$2)/$Q$2))</f>
        <v>2456.07925700561</v>
      </c>
      <c r="L325" s="15" t="n">
        <f aca="false">K325*(1+IF(L$3&lt;=$O$2,$D325,$D325-($D325-$I$319)*MIN(L$3-$O$2,$Q$2)/$Q$2))</f>
        <v>2498.39750260382</v>
      </c>
      <c r="M325" s="15" t="n">
        <f aca="false">L325*(1+IF(M$3&lt;=$O$2,$D325,$D325-($D325-$I$319)*MIN(M$3-$O$2,$Q$2)/$Q$2))</f>
        <v>2542.78153423758</v>
      </c>
      <c r="N325" s="15" t="n">
        <f aca="false">M325*(1+IF(N$3&lt;=$O$2,$D325,$D325-($D325-$I$319)*MIN(N$3-$O$2,$Q$2)/$Q$2))</f>
        <v>2589.31443631413</v>
      </c>
      <c r="O325" s="15" t="n">
        <f aca="false">SUMPRODUCT(E325:N325,1/(1+$F$319)^$E$3:$N$3)*$E$2</f>
        <v>8354.7633388162</v>
      </c>
      <c r="P325" s="15" t="n">
        <f aca="false">N325*$E$2*(1+$I$319)/($F$319-$I$319)/(1+$F$319)^$N$3</f>
        <v>10856.2658363197</v>
      </c>
      <c r="Q325" s="15" t="n">
        <f aca="false">O325+P325</f>
        <v>19211.0291751359</v>
      </c>
      <c r="R325" s="15" t="n">
        <f aca="false">Q325-$G$2+$I$2</f>
        <v>21120.6891751359</v>
      </c>
      <c r="S325" s="42" t="n">
        <f aca="false">R325/$K$2</f>
        <v>90.2477852204242</v>
      </c>
      <c r="T325" s="43" t="n">
        <f aca="false">S325-$M$2</f>
        <v>-19.7381140232625</v>
      </c>
    </row>
    <row r="326" customFormat="false" ht="15" hidden="false" customHeight="false" outlineLevel="0" collapsed="false">
      <c r="A326" s="5" t="n">
        <v>6</v>
      </c>
      <c r="B326" s="25" t="n">
        <f aca="false">IF(T325&gt;0,B325,D325)</f>
        <v>0.015625</v>
      </c>
      <c r="C326" s="25" t="n">
        <f aca="false">IF(T325&gt;0,D325,C325)</f>
        <v>0.0625</v>
      </c>
      <c r="D326" s="41" t="n">
        <f aca="false">(B326+C326)/2</f>
        <v>0.0390625</v>
      </c>
      <c r="E326" s="15" t="n">
        <f aca="false">$C$2*(1+IF(E$3&lt;=$O$2,$D326,$D326-($D326-$I$319)*MIN(E$3-$O$2,$Q$2)/$Q$2))</f>
        <v>2285.9375</v>
      </c>
      <c r="F326" s="15" t="n">
        <f aca="false">E326*(1+IF(F$3&lt;=$O$2,$D326,$D326-($D326-$I$319)*MIN(F$3-$O$2,$Q$2)/$Q$2))</f>
        <v>2375.23193359375</v>
      </c>
      <c r="G326" s="15" t="n">
        <f aca="false">F326*(1+IF(G$3&lt;=$O$2,$D326,$D326-($D326-$I$319)*MIN(G$3-$O$2,$Q$2)/$Q$2))</f>
        <v>2468.01443099976</v>
      </c>
      <c r="H326" s="15" t="n">
        <f aca="false">G326*(1+IF(H$3&lt;=$O$2,$D326,$D326-($D326-$I$319)*MIN(H$3-$O$2,$Q$2)/$Q$2))</f>
        <v>2564.42124471068</v>
      </c>
      <c r="I326" s="15" t="n">
        <f aca="false">H326*(1+IF(I$3&lt;=$O$2,$D326,$D326-($D326-$I$319)*MIN(I$3-$O$2,$Q$2)/$Q$2))</f>
        <v>2664.5939495822</v>
      </c>
      <c r="J326" s="15" t="n">
        <f aca="false">I326*(1+IF(J$3&lt;=$O$2,$D326,$D326-($D326-$I$319)*MIN(J$3-$O$2,$Q$2)/$Q$2))</f>
        <v>2757.61492436211</v>
      </c>
      <c r="K326" s="15" t="n">
        <f aca="false">J326*(1+IF(K$3&lt;=$O$2,$D326,$D326-($D326-$I$319)*MIN(K$3-$O$2,$Q$2)/$Q$2))</f>
        <v>2842.43226539818</v>
      </c>
      <c r="L326" s="15" t="n">
        <f aca="false">K326*(1+IF(L$3&lt;=$O$2,$D326,$D326-($D326-$I$319)*MIN(L$3-$O$2,$Q$2)/$Q$2))</f>
        <v>2918.0551758191</v>
      </c>
      <c r="M326" s="15" t="n">
        <f aca="false">L326*(1+IF(M$3&lt;=$O$2,$D326,$D326-($D326-$I$319)*MIN(M$3-$O$2,$Q$2)/$Q$2))</f>
        <v>2983.57280965417</v>
      </c>
      <c r="N326" s="15" t="n">
        <f aca="false">M326*(1+IF(N$3&lt;=$O$2,$D326,$D326-($D326-$I$319)*MIN(N$3-$O$2,$Q$2)/$Q$2))</f>
        <v>3038.17219207085</v>
      </c>
      <c r="O326" s="15" t="n">
        <f aca="false">SUMPRODUCT(E326:N326,1/(1+$F$319)^$E$3:$N$3)*$E$2</f>
        <v>9259.88913188987</v>
      </c>
      <c r="P326" s="15" t="n">
        <f aca="false">N326*$E$2*(1+$I$319)/($F$319-$I$319)/(1+$F$319)^$N$3</f>
        <v>12738.1999308615</v>
      </c>
      <c r="Q326" s="15" t="n">
        <f aca="false">O326+P326</f>
        <v>21998.0890627513</v>
      </c>
      <c r="R326" s="15" t="n">
        <f aca="false">Q326-$G$2+$I$2</f>
        <v>23907.7490627513</v>
      </c>
      <c r="S326" s="42" t="n">
        <f aca="false">R326/$K$2</f>
        <v>102.156770767642</v>
      </c>
      <c r="T326" s="43" t="n">
        <f aca="false">S326-$M$2</f>
        <v>-7.82912847604443</v>
      </c>
    </row>
    <row r="327" customFormat="false" ht="15" hidden="false" customHeight="false" outlineLevel="0" collapsed="false">
      <c r="A327" s="5" t="n">
        <v>7</v>
      </c>
      <c r="B327" s="25" t="n">
        <f aca="false">IF(T326&gt;0,B326,D326)</f>
        <v>0.0390625</v>
      </c>
      <c r="C327" s="25" t="n">
        <f aca="false">IF(T326&gt;0,D326,C326)</f>
        <v>0.0625</v>
      </c>
      <c r="D327" s="41" t="n">
        <f aca="false">(B327+C327)/2</f>
        <v>0.05078125</v>
      </c>
      <c r="E327" s="15" t="n">
        <f aca="false">$C$2*(1+IF(E$3&lt;=$O$2,$D327,$D327-($D327-$I$319)*MIN(E$3-$O$2,$Q$2)/$Q$2))</f>
        <v>2311.71875</v>
      </c>
      <c r="F327" s="15" t="n">
        <f aca="false">E327*(1+IF(F$3&lt;=$O$2,$D327,$D327-($D327-$I$319)*MIN(F$3-$O$2,$Q$2)/$Q$2))</f>
        <v>2429.11071777344</v>
      </c>
      <c r="G327" s="15" t="n">
        <f aca="false">F327*(1+IF(G$3&lt;=$O$2,$D327,$D327-($D327-$I$319)*MIN(G$3-$O$2,$Q$2)/$Q$2))</f>
        <v>2552.46399641037</v>
      </c>
      <c r="H327" s="15" t="n">
        <f aca="false">G327*(1+IF(H$3&lt;=$O$2,$D327,$D327-($D327-$I$319)*MIN(H$3-$O$2,$Q$2)/$Q$2))</f>
        <v>2682.08130872808</v>
      </c>
      <c r="I327" s="15" t="n">
        <f aca="false">H327*(1+IF(I$3&lt;=$O$2,$D327,$D327-($D327-$I$319)*MIN(I$3-$O$2,$Q$2)/$Q$2))</f>
        <v>2818.28075018693</v>
      </c>
      <c r="J327" s="15" t="n">
        <f aca="false">I327*(1+IF(J$3&lt;=$O$2,$D327,$D327-($D327-$I$319)*MIN(J$3-$O$2,$Q$2)/$Q$2))</f>
        <v>2943.08831320896</v>
      </c>
      <c r="K327" s="15" t="n">
        <f aca="false">J327*(1+IF(K$3&lt;=$O$2,$D327,$D327-($D327-$I$319)*MIN(K$3-$O$2,$Q$2)/$Q$2))</f>
        <v>3054.30394170474</v>
      </c>
      <c r="L327" s="15" t="n">
        <f aca="false">K327*(1+IF(L$3&lt;=$O$2,$D327,$D327-($D327-$I$319)*MIN(L$3-$O$2,$Q$2)/$Q$2))</f>
        <v>3149.88074780053</v>
      </c>
      <c r="M327" s="15" t="n">
        <f aca="false">L327*(1+IF(M$3&lt;=$O$2,$D327,$D327-($D327-$I$319)*MIN(M$3-$O$2,$Q$2)/$Q$2))</f>
        <v>3227.98597829318</v>
      </c>
      <c r="N327" s="15" t="n">
        <f aca="false">M327*(1+IF(N$3&lt;=$O$2,$D327,$D327-($D327-$I$319)*MIN(N$3-$O$2,$Q$2)/$Q$2))</f>
        <v>3287.05812169594</v>
      </c>
      <c r="O327" s="15" t="n">
        <f aca="false">SUMPRODUCT(E327:N327,1/(1+$F$319)^$E$3:$N$3)*$E$2</f>
        <v>9748.97418564645</v>
      </c>
      <c r="P327" s="15" t="n">
        <f aca="false">N327*$E$2*(1+$I$319)/($F$319-$I$319)/(1+$F$319)^$N$3</f>
        <v>13781.708504805</v>
      </c>
      <c r="Q327" s="15" t="n">
        <f aca="false">O327+P327</f>
        <v>23530.6826904515</v>
      </c>
      <c r="R327" s="15" t="n">
        <f aca="false">Q327-$G$2+$I$2</f>
        <v>25440.3426904515</v>
      </c>
      <c r="S327" s="42" t="n">
        <f aca="false">R327/$K$2</f>
        <v>108.705476607492</v>
      </c>
      <c r="T327" s="43" t="n">
        <f aca="false">S327-$M$2</f>
        <v>-1.28042263619425</v>
      </c>
    </row>
    <row r="328" customFormat="false" ht="15" hidden="false" customHeight="false" outlineLevel="0" collapsed="false">
      <c r="A328" s="5" t="n">
        <v>8</v>
      </c>
      <c r="B328" s="25" t="n">
        <f aca="false">IF(T327&gt;0,B327,D327)</f>
        <v>0.05078125</v>
      </c>
      <c r="C328" s="25" t="n">
        <f aca="false">IF(T327&gt;0,D327,C327)</f>
        <v>0.0625</v>
      </c>
      <c r="D328" s="41" t="n">
        <f aca="false">(B328+C328)/2</f>
        <v>0.056640625</v>
      </c>
      <c r="E328" s="15" t="n">
        <f aca="false">$C$2*(1+IF(E$3&lt;=$O$2,$D328,$D328-($D328-$I$319)*MIN(E$3-$O$2,$Q$2)/$Q$2))</f>
        <v>2324.609375</v>
      </c>
      <c r="F328" s="15" t="n">
        <f aca="false">E328*(1+IF(F$3&lt;=$O$2,$D328,$D328-($D328-$I$319)*MIN(F$3-$O$2,$Q$2)/$Q$2))</f>
        <v>2456.27670288086</v>
      </c>
      <c r="G328" s="15" t="n">
        <f aca="false">F328*(1+IF(G$3&lt;=$O$2,$D328,$D328-($D328-$I$319)*MIN(G$3-$O$2,$Q$2)/$Q$2))</f>
        <v>2595.40175050497</v>
      </c>
      <c r="H328" s="15" t="n">
        <f aca="false">G328*(1+IF(H$3&lt;=$O$2,$D328,$D328-($D328-$I$319)*MIN(H$3-$O$2,$Q$2)/$Q$2))</f>
        <v>2742.40692777967</v>
      </c>
      <c r="I328" s="15" t="n">
        <f aca="false">H328*(1+IF(I$3&lt;=$O$2,$D328,$D328-($D328-$I$319)*MIN(I$3-$O$2,$Q$2)/$Q$2))</f>
        <v>2897.73857017344</v>
      </c>
      <c r="J328" s="15" t="n">
        <f aca="false">I328*(1+IF(J$3&lt;=$O$2,$D328,$D328-($D328-$I$319)*MIN(J$3-$O$2,$Q$2)/$Q$2))</f>
        <v>3039.64807230126</v>
      </c>
      <c r="K328" s="15" t="n">
        <f aca="false">J328*(1+IF(K$3&lt;=$O$2,$D328,$D328-($D328-$I$319)*MIN(K$3-$O$2,$Q$2)/$Q$2))</f>
        <v>3165.19883614761</v>
      </c>
      <c r="L328" s="15" t="n">
        <f aca="false">K328*(1+IF(L$3&lt;=$O$2,$D328,$D328-($D328-$I$319)*MIN(L$3-$O$2,$Q$2)/$Q$2))</f>
        <v>3271.66425549998</v>
      </c>
      <c r="M328" s="15" t="n">
        <f aca="false">L328*(1+IF(M$3&lt;=$O$2,$D328,$D328-($D328-$I$319)*MIN(M$3-$O$2,$Q$2)/$Q$2))</f>
        <v>3356.62324184484</v>
      </c>
      <c r="N328" s="15" t="n">
        <f aca="false">M328*(1+IF(N$3&lt;=$O$2,$D328,$D328-($D328-$I$319)*MIN(N$3-$O$2,$Q$2)/$Q$2))</f>
        <v>3418.0494471706</v>
      </c>
      <c r="O328" s="15" t="n">
        <f aca="false">SUMPRODUCT(E328:N328,1/(1+$F$319)^$E$3:$N$3)*$E$2</f>
        <v>10003.1760808552</v>
      </c>
      <c r="P328" s="15" t="n">
        <f aca="false">N328*$E$2*(1+$I$319)/($F$319-$I$319)/(1+$F$319)^$N$3</f>
        <v>14330.9182228913</v>
      </c>
      <c r="Q328" s="15" t="n">
        <f aca="false">O328+P328</f>
        <v>24334.0943037465</v>
      </c>
      <c r="R328" s="15" t="n">
        <f aca="false">Q328-$G$2+$I$2</f>
        <v>26243.7543037465</v>
      </c>
      <c r="S328" s="42" t="n">
        <f aca="false">R328/$K$2</f>
        <v>112.138419449415</v>
      </c>
      <c r="T328" s="43" t="n">
        <f aca="false">S328-$M$2</f>
        <v>2.15252020572783</v>
      </c>
    </row>
    <row r="329" customFormat="false" ht="15" hidden="false" customHeight="false" outlineLevel="0" collapsed="false">
      <c r="A329" s="5" t="n">
        <v>9</v>
      </c>
      <c r="B329" s="25" t="n">
        <f aca="false">IF(T328&gt;0,B328,D328)</f>
        <v>0.05078125</v>
      </c>
      <c r="C329" s="25" t="n">
        <f aca="false">IF(T328&gt;0,D328,C328)</f>
        <v>0.056640625</v>
      </c>
      <c r="D329" s="41" t="n">
        <f aca="false">(B329+C329)/2</f>
        <v>0.0537109375</v>
      </c>
      <c r="E329" s="15" t="n">
        <f aca="false">$C$2*(1+IF(E$3&lt;=$O$2,$D329,$D329-($D329-$I$319)*MIN(E$3-$O$2,$Q$2)/$Q$2))</f>
        <v>2318.1640625</v>
      </c>
      <c r="F329" s="15" t="n">
        <f aca="false">E329*(1+IF(F$3&lt;=$O$2,$D329,$D329-($D329-$I$319)*MIN(F$3-$O$2,$Q$2)/$Q$2))</f>
        <v>2442.67482757568</v>
      </c>
      <c r="G329" s="15" t="n">
        <f aca="false">F329*(1+IF(G$3&lt;=$O$2,$D329,$D329-($D329-$I$319)*MIN(G$3-$O$2,$Q$2)/$Q$2))</f>
        <v>2573.87318257242</v>
      </c>
      <c r="H329" s="15" t="n">
        <f aca="false">G329*(1+IF(H$3&lt;=$O$2,$D329,$D329-($D329-$I$319)*MIN(H$3-$O$2,$Q$2)/$Q$2))</f>
        <v>2712.1183242145</v>
      </c>
      <c r="I329" s="15" t="n">
        <f aca="false">H329*(1+IF(I$3&lt;=$O$2,$D329,$D329-($D329-$I$319)*MIN(I$3-$O$2,$Q$2)/$Q$2))</f>
        <v>2857.78874201899</v>
      </c>
      <c r="J329" s="15" t="n">
        <f aca="false">I329*(1+IF(J$3&lt;=$O$2,$D329,$D329-($D329-$I$319)*MIN(J$3-$O$2,$Q$2)/$Q$2))</f>
        <v>2991.04385882341</v>
      </c>
      <c r="K329" s="15" t="n">
        <f aca="false">J329*(1+IF(K$3&lt;=$O$2,$D329,$D329-($D329-$I$319)*MIN(K$3-$O$2,$Q$2)/$Q$2))</f>
        <v>3109.32936172661</v>
      </c>
      <c r="L329" s="15" t="n">
        <f aca="false">K329*(1+IF(L$3&lt;=$O$2,$D329,$D329-($D329-$I$319)*MIN(L$3-$O$2,$Q$2)/$Q$2))</f>
        <v>3210.27179612421</v>
      </c>
      <c r="M329" s="15" t="n">
        <f aca="false">L329*(1+IF(M$3&lt;=$O$2,$D329,$D329-($D329-$I$319)*MIN(M$3-$O$2,$Q$2)/$Q$2))</f>
        <v>3291.7555167794</v>
      </c>
      <c r="N329" s="15" t="n">
        <f aca="false">M329*(1+IF(N$3&lt;=$O$2,$D329,$D329-($D329-$I$319)*MIN(N$3-$O$2,$Q$2)/$Q$2))</f>
        <v>3351.99464273646</v>
      </c>
      <c r="O329" s="15" t="n">
        <f aca="false">SUMPRODUCT(E329:N329,1/(1+$F$319)^$E$3:$N$3)*$E$2</f>
        <v>9875.25390272894</v>
      </c>
      <c r="P329" s="15" t="n">
        <f aca="false">N329*$E$2*(1+$I$319)/($F$319-$I$319)/(1+$F$319)^$N$3</f>
        <v>14053.9690402636</v>
      </c>
      <c r="Q329" s="15" t="n">
        <f aca="false">O329+P329</f>
        <v>23929.2229429926</v>
      </c>
      <c r="R329" s="15" t="n">
        <f aca="false">Q329-$G$2+$I$2</f>
        <v>25838.8829429926</v>
      </c>
      <c r="S329" s="42" t="n">
        <f aca="false">R329/$K$2</f>
        <v>110.40842175359</v>
      </c>
      <c r="T329" s="43" t="n">
        <f aca="false">S329-$M$2</f>
        <v>0.422522509902862</v>
      </c>
    </row>
    <row r="330" customFormat="false" ht="15" hidden="false" customHeight="false" outlineLevel="0" collapsed="false">
      <c r="A330" s="5" t="n">
        <v>10</v>
      </c>
      <c r="B330" s="25" t="n">
        <f aca="false">IF(T329&gt;0,B329,D329)</f>
        <v>0.05078125</v>
      </c>
      <c r="C330" s="25" t="n">
        <f aca="false">IF(T329&gt;0,D329,C329)</f>
        <v>0.0537109375</v>
      </c>
      <c r="D330" s="41" t="n">
        <f aca="false">(B330+C330)/2</f>
        <v>0.05224609375</v>
      </c>
      <c r="E330" s="15" t="n">
        <f aca="false">$C$2*(1+IF(E$3&lt;=$O$2,$D330,$D330-($D330-$I$319)*MIN(E$3-$O$2,$Q$2)/$Q$2))</f>
        <v>2314.94140625</v>
      </c>
      <c r="F330" s="15" t="n">
        <f aca="false">E330*(1+IF(F$3&lt;=$O$2,$D330,$D330-($D330-$I$319)*MIN(F$3-$O$2,$Q$2)/$Q$2))</f>
        <v>2435.88805198669</v>
      </c>
      <c r="G330" s="15" t="n">
        <f aca="false">F330*(1+IF(G$3&lt;=$O$2,$D330,$D330-($D330-$I$319)*MIN(G$3-$O$2,$Q$2)/$Q$2))</f>
        <v>2563.1536875153</v>
      </c>
      <c r="H330" s="15" t="n">
        <f aca="false">G330*(1+IF(H$3&lt;=$O$2,$D330,$D330-($D330-$I$319)*MIN(H$3-$O$2,$Q$2)/$Q$2))</f>
        <v>2697.06845536888</v>
      </c>
      <c r="I330" s="15" t="n">
        <f aca="false">H330*(1+IF(I$3&lt;=$O$2,$D330,$D330-($D330-$I$319)*MIN(I$3-$O$2,$Q$2)/$Q$2))</f>
        <v>2837.97974673825</v>
      </c>
      <c r="J330" s="15" t="n">
        <f aca="false">I330*(1+IF(J$3&lt;=$O$2,$D330,$D330-($D330-$I$319)*MIN(J$3-$O$2,$Q$2)/$Q$2))</f>
        <v>2966.98543733826</v>
      </c>
      <c r="K330" s="15" t="n">
        <f aca="false">J330*(1+IF(K$3&lt;=$O$2,$D330,$D330-($D330-$I$319)*MIN(K$3-$O$2,$Q$2)/$Q$2))</f>
        <v>3081.71181032801</v>
      </c>
      <c r="L330" s="15" t="n">
        <f aca="false">K330*(1+IF(L$3&lt;=$O$2,$D330,$D330-($D330-$I$319)*MIN(L$3-$O$2,$Q$2)/$Q$2))</f>
        <v>3179.95196766657</v>
      </c>
      <c r="M330" s="15" t="n">
        <f aca="false">L330*(1+IF(M$3&lt;=$O$2,$D330,$D330-($D330-$I$319)*MIN(M$3-$O$2,$Q$2)/$Q$2))</f>
        <v>3259.73447819785</v>
      </c>
      <c r="N330" s="15" t="n">
        <f aca="false">M330*(1+IF(N$3&lt;=$O$2,$D330,$D330-($D330-$I$319)*MIN(N$3-$O$2,$Q$2)/$Q$2))</f>
        <v>3319.38761914887</v>
      </c>
      <c r="O330" s="15" t="n">
        <f aca="false">SUMPRODUCT(E330:N330,1/(1+$F$319)^$E$3:$N$3)*$E$2</f>
        <v>9811.90997223081</v>
      </c>
      <c r="P330" s="15" t="n">
        <f aca="false">N330*$E$2*(1+$I$319)/($F$319-$I$319)/(1+$F$319)^$N$3</f>
        <v>13917.2569780925</v>
      </c>
      <c r="Q330" s="15" t="n">
        <f aca="false">O330+P330</f>
        <v>23729.1669503233</v>
      </c>
      <c r="R330" s="15" t="n">
        <f aca="false">Q330-$G$2+$I$2</f>
        <v>25638.8269503233</v>
      </c>
      <c r="S330" s="42" t="n">
        <f aca="false">R330/$K$2</f>
        <v>109.553591207637</v>
      </c>
      <c r="T330" s="43" t="n">
        <f aca="false">S330-$M$2</f>
        <v>-0.432308036049761</v>
      </c>
    </row>
    <row r="331" customFormat="false" ht="15" hidden="false" customHeight="false" outlineLevel="0" collapsed="false">
      <c r="A331" s="5" t="n">
        <v>11</v>
      </c>
      <c r="B331" s="25" t="n">
        <f aca="false">IF(T330&gt;0,B330,D330)</f>
        <v>0.05224609375</v>
      </c>
      <c r="C331" s="25" t="n">
        <f aca="false">IF(T330&gt;0,D330,C330)</f>
        <v>0.0537109375</v>
      </c>
      <c r="D331" s="41" t="n">
        <f aca="false">(B331+C331)/2</f>
        <v>0.052978515625</v>
      </c>
      <c r="E331" s="15" t="n">
        <f aca="false">$C$2*(1+IF(E$3&lt;=$O$2,$D331,$D331-($D331-$I$319)*MIN(E$3-$O$2,$Q$2)/$Q$2))</f>
        <v>2316.552734375</v>
      </c>
      <c r="F331" s="15" t="n">
        <f aca="false">E331*(1+IF(F$3&lt;=$O$2,$D331,$D331-($D331-$I$319)*MIN(F$3-$O$2,$Q$2)/$Q$2))</f>
        <v>2439.28025960922</v>
      </c>
      <c r="G331" s="15" t="n">
        <f aca="false">F331*(1+IF(G$3&lt;=$O$2,$D331,$D331-($D331-$I$319)*MIN(G$3-$O$2,$Q$2)/$Q$2))</f>
        <v>2568.50970695668</v>
      </c>
      <c r="H331" s="15" t="n">
        <f aca="false">G331*(1+IF(H$3&lt;=$O$2,$D331,$D331-($D331-$I$319)*MIN(H$3-$O$2,$Q$2)/$Q$2))</f>
        <v>2704.58553859965</v>
      </c>
      <c r="I331" s="15" t="n">
        <f aca="false">H331*(1+IF(I$3&lt;=$O$2,$D331,$D331-($D331-$I$319)*MIN(I$3-$O$2,$Q$2)/$Q$2))</f>
        <v>2847.8704658155</v>
      </c>
      <c r="J331" s="15" t="n">
        <f aca="false">I331*(1+IF(J$3&lt;=$O$2,$D331,$D331-($D331-$I$319)*MIN(J$3-$O$2,$Q$2)/$Q$2))</f>
        <v>2978.99443169733</v>
      </c>
      <c r="K331" s="15" t="n">
        <f aca="false">J331*(1+IF(K$3&lt;=$O$2,$D331,$D331-($D331-$I$319)*MIN(K$3-$O$2,$Q$2)/$Q$2))</f>
        <v>3095.49429276524</v>
      </c>
      <c r="L331" s="15" t="n">
        <f aca="false">K331*(1+IF(L$3&lt;=$O$2,$D331,$D331-($D331-$I$319)*MIN(L$3-$O$2,$Q$2)/$Q$2))</f>
        <v>3195.08069720234</v>
      </c>
      <c r="M331" s="15" t="n">
        <f aca="false">L331*(1+IF(M$3&lt;=$O$2,$D331,$D331-($D331-$I$319)*MIN(M$3-$O$2,$Q$2)/$Q$2))</f>
        <v>3275.71080513736</v>
      </c>
      <c r="N331" s="15" t="n">
        <f aca="false">M331*(1+IF(N$3&lt;=$O$2,$D331,$D331-($D331-$I$319)*MIN(N$3-$O$2,$Q$2)/$Q$2))</f>
        <v>3335.65631287137</v>
      </c>
      <c r="O331" s="15" t="n">
        <f aca="false">SUMPRODUCT(E331:N331,1/(1+$F$319)^$E$3:$N$3)*$E$2</f>
        <v>9843.53076553685</v>
      </c>
      <c r="P331" s="15" t="n">
        <f aca="false">N331*$E$2*(1+$I$319)/($F$319-$I$319)/(1+$F$319)^$N$3</f>
        <v>13985.4670268159</v>
      </c>
      <c r="Q331" s="15" t="n">
        <f aca="false">O331+P331</f>
        <v>23828.9977923527</v>
      </c>
      <c r="R331" s="15" t="n">
        <f aca="false">Q331-$G$2+$I$2</f>
        <v>25738.6577923527</v>
      </c>
      <c r="S331" s="42" t="n">
        <f aca="false">R331/$K$2</f>
        <v>109.980164048852</v>
      </c>
      <c r="T331" s="43" t="n">
        <f aca="false">S331-$M$2</f>
        <v>-0.00573519483518226</v>
      </c>
    </row>
    <row r="332" customFormat="false" ht="15" hidden="false" customHeight="false" outlineLevel="0" collapsed="false">
      <c r="A332" s="5" t="n">
        <v>12</v>
      </c>
      <c r="B332" s="25" t="n">
        <f aca="false">IF(T331&gt;0,B331,D331)</f>
        <v>0.052978515625</v>
      </c>
      <c r="C332" s="25" t="n">
        <f aca="false">IF(T331&gt;0,D331,C331)</f>
        <v>0.0537109375</v>
      </c>
      <c r="D332" s="41" t="n">
        <f aca="false">(B332+C332)/2</f>
        <v>0.0533447265625</v>
      </c>
      <c r="E332" s="15" t="n">
        <f aca="false">$C$2*(1+IF(E$3&lt;=$O$2,$D332,$D332-($D332-$I$319)*MIN(E$3-$O$2,$Q$2)/$Q$2))</f>
        <v>2317.3583984375</v>
      </c>
      <c r="F332" s="15" t="n">
        <f aca="false">E332*(1+IF(F$3&lt;=$O$2,$D332,$D332-($D332-$I$319)*MIN(F$3-$O$2,$Q$2)/$Q$2))</f>
        <v>2440.97724854946</v>
      </c>
      <c r="G332" s="15" t="n">
        <f aca="false">F332*(1+IF(G$3&lt;=$O$2,$D332,$D332-($D332-$I$319)*MIN(G$3-$O$2,$Q$2)/$Q$2))</f>
        <v>2571.19051241862</v>
      </c>
      <c r="H332" s="15" t="n">
        <f aca="false">G332*(1+IF(H$3&lt;=$O$2,$D332,$D332-($D332-$I$319)*MIN(H$3-$O$2,$Q$2)/$Q$2))</f>
        <v>2708.34996724368</v>
      </c>
      <c r="I332" s="15" t="n">
        <f aca="false">H332*(1+IF(I$3&lt;=$O$2,$D332,$D332-($D332-$I$319)*MIN(I$3-$O$2,$Q$2)/$Q$2))</f>
        <v>2852.82615568185</v>
      </c>
      <c r="J332" s="15" t="n">
        <f aca="false">I332*(1+IF(J$3&lt;=$O$2,$D332,$D332-($D332-$I$319)*MIN(J$3-$O$2,$Q$2)/$Q$2))</f>
        <v>2985.0140843758</v>
      </c>
      <c r="K332" s="15" t="n">
        <f aca="false">J332*(1+IF(K$3&lt;=$O$2,$D332,$D332-($D332-$I$319)*MIN(K$3-$O$2,$Q$2)/$Q$2))</f>
        <v>3102.40524354318</v>
      </c>
      <c r="L332" s="15" t="n">
        <f aca="false">K332*(1+IF(L$3&lt;=$O$2,$D332,$D332-($D332-$I$319)*MIN(L$3-$O$2,$Q$2)/$Q$2))</f>
        <v>3202.66843687843</v>
      </c>
      <c r="M332" s="15" t="n">
        <f aca="false">L332*(1+IF(M$3&lt;=$O$2,$D332,$D332-($D332-$I$319)*MIN(M$3-$O$2,$Q$2)/$Q$2))</f>
        <v>3283.72459720146</v>
      </c>
      <c r="N332" s="15" t="n">
        <f aca="false">M332*(1+IF(N$3&lt;=$O$2,$D332,$D332-($D332-$I$319)*MIN(N$3-$O$2,$Q$2)/$Q$2))</f>
        <v>3343.81675733025</v>
      </c>
      <c r="O332" s="15" t="n">
        <f aca="false">SUMPRODUCT(E332:N332,1/(1+$F$319)^$E$3:$N$3)*$E$2</f>
        <v>9859.37952185878</v>
      </c>
      <c r="P332" s="15" t="n">
        <f aca="false">N332*$E$2*(1+$I$319)/($F$319-$I$319)/(1+$F$319)^$N$3</f>
        <v>14019.6814710508</v>
      </c>
      <c r="Q332" s="15" t="n">
        <f aca="false">O332+P332</f>
        <v>23879.0609929096</v>
      </c>
      <c r="R332" s="15" t="n">
        <f aca="false">Q332-$G$2+$I$2</f>
        <v>25788.7209929096</v>
      </c>
      <c r="S332" s="42" t="n">
        <f aca="false">R332/$K$2</f>
        <v>110.194081925008</v>
      </c>
      <c r="T332" s="43" t="n">
        <f aca="false">S332-$M$2</f>
        <v>0.208182681321219</v>
      </c>
    </row>
    <row r="333" customFormat="false" ht="15" hidden="false" customHeight="false" outlineLevel="0" collapsed="false">
      <c r="A333" s="5" t="n">
        <v>13</v>
      </c>
      <c r="B333" s="25" t="n">
        <f aca="false">IF(T332&gt;0,B332,D332)</f>
        <v>0.052978515625</v>
      </c>
      <c r="C333" s="25" t="n">
        <f aca="false">IF(T332&gt;0,D332,C332)</f>
        <v>0.0533447265625</v>
      </c>
      <c r="D333" s="41" t="n">
        <f aca="false">(B333+C333)/2</f>
        <v>0.05316162109375</v>
      </c>
      <c r="E333" s="15" t="n">
        <f aca="false">$C$2*(1+IF(E$3&lt;=$O$2,$D333,$D333-($D333-$I$319)*MIN(E$3-$O$2,$Q$2)/$Q$2))</f>
        <v>2316.95556640625</v>
      </c>
      <c r="F333" s="15" t="n">
        <f aca="false">E333*(1+IF(F$3&lt;=$O$2,$D333,$D333-($D333-$I$319)*MIN(F$3-$O$2,$Q$2)/$Q$2))</f>
        <v>2440.12868031859</v>
      </c>
      <c r="G333" s="15" t="n">
        <f aca="false">F333*(1+IF(G$3&lt;=$O$2,$D333,$D333-($D333-$I$319)*MIN(G$3-$O$2,$Q$2)/$Q$2))</f>
        <v>2569.84987664168</v>
      </c>
      <c r="H333" s="15" t="n">
        <f aca="false">G333*(1+IF(H$3&lt;=$O$2,$D333,$D333-($D333-$I$319)*MIN(H$3-$O$2,$Q$2)/$Q$2))</f>
        <v>2706.46726205153</v>
      </c>
      <c r="I333" s="15" t="n">
        <f aca="false">H333*(1+IF(I$3&lt;=$O$2,$D333,$D333-($D333-$I$319)*MIN(I$3-$O$2,$Q$2)/$Q$2))</f>
        <v>2850.34744913935</v>
      </c>
      <c r="J333" s="15" t="n">
        <f aca="false">I333*(1+IF(J$3&lt;=$O$2,$D333,$D333-($D333-$I$319)*MIN(J$3-$O$2,$Q$2)/$Q$2))</f>
        <v>2982.00299366455</v>
      </c>
      <c r="K333" s="15" t="n">
        <f aca="false">J333*(1+IF(K$3&lt;=$O$2,$D333,$D333-($D333-$I$319)*MIN(K$3-$O$2,$Q$2)/$Q$2))</f>
        <v>3098.94812352795</v>
      </c>
      <c r="L333" s="15" t="n">
        <f aca="false">K333*(1+IF(L$3&lt;=$O$2,$D333,$D333-($D333-$I$319)*MIN(L$3-$O$2,$Q$2)/$Q$2))</f>
        <v>3198.87261629715</v>
      </c>
      <c r="M333" s="15" t="n">
        <f aca="false">L333*(1+IF(M$3&lt;=$O$2,$D333,$D333-($D333-$I$319)*MIN(M$3-$O$2,$Q$2)/$Q$2))</f>
        <v>3279.7155621907</v>
      </c>
      <c r="N333" s="15" t="n">
        <f aca="false">M333*(1+IF(N$3&lt;=$O$2,$D333,$D333-($D333-$I$319)*MIN(N$3-$O$2,$Q$2)/$Q$2))</f>
        <v>3339.73435697879</v>
      </c>
      <c r="O333" s="15" t="n">
        <f aca="false">SUMPRODUCT(E333:N333,1/(1+$F$319)^$E$3:$N$3)*$E$2</f>
        <v>9851.4519430423</v>
      </c>
      <c r="P333" s="15" t="n">
        <f aca="false">N333*$E$2*(1+$I$319)/($F$319-$I$319)/(1+$F$319)^$N$3</f>
        <v>14002.5651166814</v>
      </c>
      <c r="Q333" s="15" t="n">
        <f aca="false">O333+P333</f>
        <v>23854.0170597237</v>
      </c>
      <c r="R333" s="15" t="n">
        <f aca="false">Q333-$G$2+$I$2</f>
        <v>25763.6770597237</v>
      </c>
      <c r="S333" s="42" t="n">
        <f aca="false">R333/$K$2</f>
        <v>110.087070288953</v>
      </c>
      <c r="T333" s="43" t="n">
        <f aca="false">S333-$M$2</f>
        <v>0.101171045266582</v>
      </c>
    </row>
    <row r="334" customFormat="false" ht="15" hidden="false" customHeight="false" outlineLevel="0" collapsed="false">
      <c r="A334" s="5" t="n">
        <v>14</v>
      </c>
      <c r="B334" s="25" t="n">
        <f aca="false">IF(T333&gt;0,B333,D333)</f>
        <v>0.052978515625</v>
      </c>
      <c r="C334" s="25" t="n">
        <f aca="false">IF(T333&gt;0,D333,C333)</f>
        <v>0.05316162109375</v>
      </c>
      <c r="D334" s="41" t="n">
        <f aca="false">(B334+C334)/2</f>
        <v>0.053070068359375</v>
      </c>
      <c r="E334" s="15" t="n">
        <f aca="false">$C$2*(1+IF(E$3&lt;=$O$2,$D334,$D334-($D334-$I$319)*MIN(E$3-$O$2,$Q$2)/$Q$2))</f>
        <v>2316.75415039063</v>
      </c>
      <c r="F334" s="15" t="n">
        <f aca="false">E334*(1+IF(F$3&lt;=$O$2,$D334,$D334-($D334-$I$319)*MIN(F$3-$O$2,$Q$2)/$Q$2))</f>
        <v>2439.70445152372</v>
      </c>
      <c r="G334" s="15" t="n">
        <f aca="false">F334*(1+IF(G$3&lt;=$O$2,$D334,$D334-($D334-$I$319)*MIN(G$3-$O$2,$Q$2)/$Q$2))</f>
        <v>2569.17973354276</v>
      </c>
      <c r="H334" s="15" t="n">
        <f aca="false">G334*(1+IF(H$3&lt;=$O$2,$D334,$D334-($D334-$I$319)*MIN(H$3-$O$2,$Q$2)/$Q$2))</f>
        <v>2705.52627762939</v>
      </c>
      <c r="I334" s="15" t="n">
        <f aca="false">H334*(1+IF(I$3&lt;=$O$2,$D334,$D334-($D334-$I$319)*MIN(I$3-$O$2,$Q$2)/$Q$2))</f>
        <v>2849.10874213127</v>
      </c>
      <c r="J334" s="15" t="n">
        <f aca="false">I334*(1+IF(J$3&lt;=$O$2,$D334,$D334-($D334-$I$319)*MIN(J$3-$O$2,$Q$2)/$Q$2))</f>
        <v>2980.49839669403</v>
      </c>
      <c r="K334" s="15" t="n">
        <f aca="false">J334*(1+IF(K$3&lt;=$O$2,$D334,$D334-($D334-$I$319)*MIN(K$3-$O$2,$Q$2)/$Q$2))</f>
        <v>3097.22079715236</v>
      </c>
      <c r="L334" s="15" t="n">
        <f aca="false">K334*(1+IF(L$3&lt;=$O$2,$D334,$D334-($D334-$I$319)*MIN(L$3-$O$2,$Q$2)/$Q$2))</f>
        <v>3196.97616927668</v>
      </c>
      <c r="M334" s="15" t="n">
        <f aca="false">L334*(1+IF(M$3&lt;=$O$2,$D334,$D334-($D334-$I$319)*MIN(M$3-$O$2,$Q$2)/$Q$2))</f>
        <v>3277.71264916425</v>
      </c>
      <c r="N334" s="15" t="n">
        <f aca="false">M334*(1+IF(N$3&lt;=$O$2,$D334,$D334-($D334-$I$319)*MIN(N$3-$O$2,$Q$2)/$Q$2))</f>
        <v>3337.69479064396</v>
      </c>
      <c r="O334" s="15" t="n">
        <f aca="false">SUMPRODUCT(E334:N334,1/(1+$F$319)^$E$3:$N$3)*$E$2</f>
        <v>9847.49055442715</v>
      </c>
      <c r="P334" s="15" t="n">
        <f aca="false">N334*$E$2*(1+$I$319)/($F$319-$I$319)/(1+$F$319)^$N$3</f>
        <v>13994.0137897313</v>
      </c>
      <c r="Q334" s="15" t="n">
        <f aca="false">O334+P334</f>
        <v>23841.5043441584</v>
      </c>
      <c r="R334" s="15" t="n">
        <f aca="false">Q334-$G$2+$I$2</f>
        <v>25751.1643441584</v>
      </c>
      <c r="S334" s="42" t="n">
        <f aca="false">R334/$K$2</f>
        <v>110.033604000164</v>
      </c>
      <c r="T334" s="43" t="n">
        <f aca="false">S334-$M$2</f>
        <v>0.0477047564774296</v>
      </c>
    </row>
    <row r="335" customFormat="false" ht="15" hidden="false" customHeight="false" outlineLevel="0" collapsed="false">
      <c r="A335" s="5" t="n">
        <v>15</v>
      </c>
      <c r="B335" s="25" t="n">
        <f aca="false">IF(T334&gt;0,B334,D334)</f>
        <v>0.052978515625</v>
      </c>
      <c r="C335" s="25" t="n">
        <f aca="false">IF(T334&gt;0,D334,C334)</f>
        <v>0.053070068359375</v>
      </c>
      <c r="D335" s="41" t="n">
        <f aca="false">(B335+C335)/2</f>
        <v>0.0530242919921875</v>
      </c>
      <c r="E335" s="15" t="n">
        <f aca="false">$C$2*(1+IF(E$3&lt;=$O$2,$D335,$D335-($D335-$I$319)*MIN(E$3-$O$2,$Q$2)/$Q$2))</f>
        <v>2316.65344238281</v>
      </c>
      <c r="F335" s="15" t="n">
        <f aca="false">E335*(1+IF(F$3&lt;=$O$2,$D335,$D335-($D335-$I$319)*MIN(F$3-$O$2,$Q$2)/$Q$2))</f>
        <v>2439.49235095643</v>
      </c>
      <c r="G335" s="15" t="n">
        <f aca="false">F335*(1+IF(G$3&lt;=$O$2,$D335,$D335-($D335-$I$319)*MIN(G$3-$O$2,$Q$2)/$Q$2))</f>
        <v>2568.84470568625</v>
      </c>
      <c r="H335" s="15" t="n">
        <f aca="false">G335*(1+IF(H$3&lt;=$O$2,$D335,$D335-($D335-$I$319)*MIN(H$3-$O$2,$Q$2)/$Q$2))</f>
        <v>2705.05587744314</v>
      </c>
      <c r="I335" s="15" t="n">
        <f aca="false">H335*(1+IF(I$3&lt;=$O$2,$D335,$D335-($D335-$I$319)*MIN(I$3-$O$2,$Q$2)/$Q$2))</f>
        <v>2848.48955014387</v>
      </c>
      <c r="J335" s="15" t="n">
        <f aca="false">I335*(1+IF(J$3&lt;=$O$2,$D335,$D335-($D335-$I$319)*MIN(J$3-$O$2,$Q$2)/$Q$2))</f>
        <v>2979.74633521221</v>
      </c>
      <c r="K335" s="15" t="n">
        <f aca="false">J335*(1+IF(K$3&lt;=$O$2,$D335,$D335-($D335-$I$319)*MIN(K$3-$O$2,$Q$2)/$Q$2))</f>
        <v>3096.35744223053</v>
      </c>
      <c r="L335" s="15" t="n">
        <f aca="false">K335*(1+IF(L$3&lt;=$O$2,$D335,$D335-($D335-$I$319)*MIN(L$3-$O$2,$Q$2)/$Q$2))</f>
        <v>3196.02831139783</v>
      </c>
      <c r="M335" s="15" t="n">
        <f aca="false">L335*(1+IF(M$3&lt;=$O$2,$D335,$D335-($D335-$I$319)*MIN(M$3-$O$2,$Q$2)/$Q$2))</f>
        <v>3276.71159355646</v>
      </c>
      <c r="N335" s="15" t="n">
        <f aca="false">M335*(1+IF(N$3&lt;=$O$2,$D335,$D335-($D335-$I$319)*MIN(N$3-$O$2,$Q$2)/$Q$2))</f>
        <v>3336.67541571855</v>
      </c>
      <c r="O335" s="15" t="n">
        <f aca="false">SUMPRODUCT(E335:N335,1/(1+$F$319)^$E$3:$N$3)*$E$2</f>
        <v>9845.51046005406</v>
      </c>
      <c r="P335" s="15" t="n">
        <f aca="false">N335*$E$2*(1+$I$319)/($F$319-$I$319)/(1+$F$319)^$N$3</f>
        <v>13989.7398378999</v>
      </c>
      <c r="Q335" s="15" t="n">
        <f aca="false">O335+P335</f>
        <v>23835.2502979539</v>
      </c>
      <c r="R335" s="15" t="n">
        <f aca="false">Q335-$G$2+$I$2</f>
        <v>25744.9102979539</v>
      </c>
      <c r="S335" s="42" t="n">
        <f aca="false">R335/$K$2</f>
        <v>110.006880733043</v>
      </c>
      <c r="T335" s="43" t="n">
        <f aca="false">S335-$M$2</f>
        <v>0.0209814893558047</v>
      </c>
    </row>
    <row r="336" customFormat="false" ht="15" hidden="false" customHeight="false" outlineLevel="0" collapsed="false">
      <c r="A336" s="5" t="n">
        <v>16</v>
      </c>
      <c r="B336" s="25" t="n">
        <f aca="false">IF(T335&gt;0,B335,D335)</f>
        <v>0.052978515625</v>
      </c>
      <c r="C336" s="25" t="n">
        <f aca="false">IF(T335&gt;0,D335,C335)</f>
        <v>0.0530242919921875</v>
      </c>
      <c r="D336" s="41" t="n">
        <f aca="false">(B336+C336)/2</f>
        <v>0.0530014038085938</v>
      </c>
      <c r="E336" s="15" t="n">
        <f aca="false">$C$2*(1+IF(E$3&lt;=$O$2,$D336,$D336-($D336-$I$319)*MIN(E$3-$O$2,$Q$2)/$Q$2))</f>
        <v>2316.60308837891</v>
      </c>
      <c r="F336" s="15" t="n">
        <f aca="false">E336*(1+IF(F$3&lt;=$O$2,$D336,$D336-($D336-$I$319)*MIN(F$3-$O$2,$Q$2)/$Q$2))</f>
        <v>2439.38630413031</v>
      </c>
      <c r="G336" s="15" t="n">
        <f aca="false">F336*(1+IF(G$3&lt;=$O$2,$D336,$D336-($D336-$I$319)*MIN(G$3-$O$2,$Q$2)/$Q$2))</f>
        <v>2568.67720268068</v>
      </c>
      <c r="H336" s="15" t="n">
        <f aca="false">G336*(1+IF(H$3&lt;=$O$2,$D336,$D336-($D336-$I$319)*MIN(H$3-$O$2,$Q$2)/$Q$2))</f>
        <v>2704.82070035388</v>
      </c>
      <c r="I336" s="15" t="n">
        <f aca="false">H336*(1+IF(I$3&lt;=$O$2,$D336,$D336-($D336-$I$319)*MIN(I$3-$O$2,$Q$2)/$Q$2))</f>
        <v>2848.17999452318</v>
      </c>
      <c r="J336" s="15" t="n">
        <f aca="false">I336*(1+IF(J$3&lt;=$O$2,$D336,$D336-($D336-$I$319)*MIN(J$3-$O$2,$Q$2)/$Q$2))</f>
        <v>2979.37036371056</v>
      </c>
      <c r="K336" s="15" t="n">
        <f aca="false">J336*(1+IF(K$3&lt;=$O$2,$D336,$D336-($D336-$I$319)*MIN(K$3-$O$2,$Q$2)/$Q$2))</f>
        <v>3095.92584181835</v>
      </c>
      <c r="L336" s="15" t="n">
        <f aca="false">K336*(1+IF(L$3&lt;=$O$2,$D336,$D336-($D336-$I$319)*MIN(L$3-$O$2,$Q$2)/$Q$2))</f>
        <v>3195.55447384299</v>
      </c>
      <c r="M336" s="15" t="n">
        <f aca="false">L336*(1+IF(M$3&lt;=$O$2,$D336,$D336-($D336-$I$319)*MIN(M$3-$O$2,$Q$2)/$Q$2))</f>
        <v>3276.21116595215</v>
      </c>
      <c r="N336" s="15" t="n">
        <f aca="false">M336*(1+IF(N$3&lt;=$O$2,$D336,$D336-($D336-$I$319)*MIN(N$3-$O$2,$Q$2)/$Q$2))</f>
        <v>3336.16583028908</v>
      </c>
      <c r="O336" s="15" t="n">
        <f aca="false">SUMPRODUCT(E336:N336,1/(1+$F$319)^$E$3:$N$3)*$E$2</f>
        <v>9844.52056281818</v>
      </c>
      <c r="P336" s="15" t="n">
        <f aca="false">N336*$E$2*(1+$I$319)/($F$319-$I$319)/(1+$F$319)^$N$3</f>
        <v>13987.6032897808</v>
      </c>
      <c r="Q336" s="15" t="n">
        <f aca="false">O336+P336</f>
        <v>23832.123852599</v>
      </c>
      <c r="R336" s="15" t="n">
        <f aca="false">Q336-$G$2+$I$2</f>
        <v>25741.783852599</v>
      </c>
      <c r="S336" s="42" t="n">
        <f aca="false">R336/$K$2</f>
        <v>109.993521568171</v>
      </c>
      <c r="T336" s="43" t="n">
        <f aca="false">S336-$M$2</f>
        <v>0.00762232448390421</v>
      </c>
    </row>
    <row r="337" customFormat="false" ht="15" hidden="false" customHeight="false" outlineLevel="0" collapsed="false">
      <c r="A337" s="5" t="n">
        <v>17</v>
      </c>
      <c r="B337" s="25" t="n">
        <f aca="false">IF(T336&gt;0,B336,D336)</f>
        <v>0.052978515625</v>
      </c>
      <c r="C337" s="25" t="n">
        <f aca="false">IF(T336&gt;0,D336,C336)</f>
        <v>0.0530014038085938</v>
      </c>
      <c r="D337" s="41" t="n">
        <f aca="false">(B337+C337)/2</f>
        <v>0.0529899597167969</v>
      </c>
      <c r="E337" s="15" t="n">
        <f aca="false">$C$2*(1+IF(E$3&lt;=$O$2,$D337,$D337-($D337-$I$319)*MIN(E$3-$O$2,$Q$2)/$Q$2))</f>
        <v>2316.57791137695</v>
      </c>
      <c r="F337" s="15" t="n">
        <f aca="false">E337*(1+IF(F$3&lt;=$O$2,$D337,$D337-($D337-$I$319)*MIN(F$3-$O$2,$Q$2)/$Q$2))</f>
        <v>2439.33328158164</v>
      </c>
      <c r="G337" s="15" t="n">
        <f aca="false">F337*(1+IF(G$3&lt;=$O$2,$D337,$D337-($D337-$I$319)*MIN(G$3-$O$2,$Q$2)/$Q$2))</f>
        <v>2568.59345390849</v>
      </c>
      <c r="H337" s="15" t="n">
        <f aca="false">G337*(1+IF(H$3&lt;=$O$2,$D337,$D337-($D337-$I$319)*MIN(H$3-$O$2,$Q$2)/$Q$2))</f>
        <v>2704.70311755993</v>
      </c>
      <c r="I337" s="15" t="n">
        <f aca="false">H337*(1+IF(I$3&lt;=$O$2,$D337,$D337-($D337-$I$319)*MIN(I$3-$O$2,$Q$2)/$Q$2))</f>
        <v>2848.02522680533</v>
      </c>
      <c r="J337" s="15" t="n">
        <f aca="false">I337*(1+IF(J$3&lt;=$O$2,$D337,$D337-($D337-$I$319)*MIN(J$3-$O$2,$Q$2)/$Q$2))</f>
        <v>2979.1823927681</v>
      </c>
      <c r="K337" s="15" t="n">
        <f aca="false">J337*(1+IF(K$3&lt;=$O$2,$D337,$D337-($D337-$I$319)*MIN(K$3-$O$2,$Q$2)/$Q$2))</f>
        <v>3095.71006087223</v>
      </c>
      <c r="L337" s="15" t="n">
        <f aca="false">K337*(1+IF(L$3&lt;=$O$2,$D337,$D337-($D337-$I$319)*MIN(L$3-$O$2,$Q$2)/$Q$2))</f>
        <v>3195.31757790881</v>
      </c>
      <c r="M337" s="15" t="n">
        <f aca="false">L337*(1+IF(M$3&lt;=$O$2,$D337,$D337-($D337-$I$319)*MIN(M$3-$O$2,$Q$2)/$Q$2))</f>
        <v>3275.96097719654</v>
      </c>
      <c r="N337" s="15" t="n">
        <f aca="false">M337*(1+IF(N$3&lt;=$O$2,$D337,$D337-($D337-$I$319)*MIN(N$3-$O$2,$Q$2)/$Q$2))</f>
        <v>3335.91106307924</v>
      </c>
      <c r="O337" s="15" t="n">
        <f aca="false">SUMPRODUCT(E337:N337,1/(1+$F$319)^$E$3:$N$3)*$E$2</f>
        <v>9844.02565168378</v>
      </c>
      <c r="P337" s="15" t="n">
        <f aca="false">N337*$E$2*(1+$I$319)/($F$319-$I$319)/(1+$F$319)^$N$3</f>
        <v>13986.5351226561</v>
      </c>
      <c r="Q337" s="15" t="n">
        <f aca="false">O337+P337</f>
        <v>23830.5607743399</v>
      </c>
      <c r="R337" s="15" t="n">
        <f aca="false">Q337-$G$2+$I$2</f>
        <v>25740.2207743399</v>
      </c>
      <c r="S337" s="42" t="n">
        <f aca="false">R337/$K$2</f>
        <v>109.986842602828</v>
      </c>
      <c r="T337" s="43" t="n">
        <f aca="false">S337-$M$2</f>
        <v>0.000943359141459155</v>
      </c>
    </row>
    <row r="338" customFormat="false" ht="15" hidden="false" customHeight="false" outlineLevel="0" collapsed="false">
      <c r="A338" s="5" t="n">
        <v>18</v>
      </c>
      <c r="B338" s="25" t="n">
        <f aca="false">IF(T337&gt;0,B337,D337)</f>
        <v>0.052978515625</v>
      </c>
      <c r="C338" s="25" t="n">
        <f aca="false">IF(T337&gt;0,D337,C337)</f>
        <v>0.0529899597167969</v>
      </c>
      <c r="D338" s="41" t="n">
        <f aca="false">(B338+C338)/2</f>
        <v>0.0529842376708984</v>
      </c>
      <c r="E338" s="15" t="n">
        <f aca="false">$C$2*(1+IF(E$3&lt;=$O$2,$D338,$D338-($D338-$I$319)*MIN(E$3-$O$2,$Q$2)/$Q$2))</f>
        <v>2316.56532287598</v>
      </c>
      <c r="F338" s="15" t="n">
        <f aca="false">E338*(1+IF(F$3&lt;=$O$2,$D338,$D338-($D338-$I$319)*MIN(F$3-$O$2,$Q$2)/$Q$2))</f>
        <v>2439.3067705234</v>
      </c>
      <c r="G338" s="15" t="n">
        <f aca="false">F338*(1+IF(G$3&lt;=$O$2,$D338,$D338-($D338-$I$319)*MIN(G$3-$O$2,$Q$2)/$Q$2))</f>
        <v>2568.55158020504</v>
      </c>
      <c r="H338" s="15" t="n">
        <f aca="false">G338*(1+IF(H$3&lt;=$O$2,$D338,$D338-($D338-$I$319)*MIN(H$3-$O$2,$Q$2)/$Q$2))</f>
        <v>2704.64432760059</v>
      </c>
      <c r="I338" s="15" t="n">
        <f aca="false">H338*(1+IF(I$3&lt;=$O$2,$D338,$D338-($D338-$I$319)*MIN(I$3-$O$2,$Q$2)/$Q$2))</f>
        <v>2847.94784546943</v>
      </c>
      <c r="J338" s="15" t="n">
        <f aca="false">I338*(1+IF(J$3&lt;=$O$2,$D338,$D338-($D338-$I$319)*MIN(J$3-$O$2,$Q$2)/$Q$2))</f>
        <v>2979.08841099878</v>
      </c>
      <c r="K338" s="15" t="n">
        <f aca="false">J338*(1+IF(K$3&lt;=$O$2,$D338,$D338-($D338-$I$319)*MIN(K$3-$O$2,$Q$2)/$Q$2))</f>
        <v>3095.60217521388</v>
      </c>
      <c r="L338" s="15" t="n">
        <f aca="false">K338*(1+IF(L$3&lt;=$O$2,$D338,$D338-($D338-$I$319)*MIN(L$3-$O$2,$Q$2)/$Q$2))</f>
        <v>3195.19913565216</v>
      </c>
      <c r="M338" s="15" t="n">
        <f aca="false">L338*(1+IF(M$3&lt;=$O$2,$D338,$D338-($D338-$I$319)*MIN(M$3-$O$2,$Q$2)/$Q$2))</f>
        <v>3275.83588907996</v>
      </c>
      <c r="N338" s="15" t="n">
        <f aca="false">M338*(1+IF(N$3&lt;=$O$2,$D338,$D338-($D338-$I$319)*MIN(N$3-$O$2,$Q$2)/$Q$2))</f>
        <v>3335.78368585012</v>
      </c>
      <c r="O338" s="15" t="n">
        <f aca="false">SUMPRODUCT(E338:N338,1/(1+$F$319)^$E$3:$N$3)*$E$2</f>
        <v>9843.77820548696</v>
      </c>
      <c r="P338" s="15" t="n">
        <f aca="false">N338*$E$2*(1+$I$319)/($F$319-$I$319)/(1+$F$319)^$N$3</f>
        <v>13986.0010658257</v>
      </c>
      <c r="Q338" s="15" t="n">
        <f aca="false">O338+P338</f>
        <v>23829.7792713126</v>
      </c>
      <c r="R338" s="15" t="n">
        <f aca="false">Q338-$G$2+$I$2</f>
        <v>25739.4392713126</v>
      </c>
      <c r="S338" s="42" t="n">
        <f aca="false">R338/$K$2</f>
        <v>109.983503274421</v>
      </c>
      <c r="T338" s="43" t="n">
        <f aca="false">S338-$M$2</f>
        <v>-0.00239596926616059</v>
      </c>
    </row>
    <row r="339" customFormat="false" ht="15" hidden="false" customHeight="false" outlineLevel="0" collapsed="false">
      <c r="A339" s="5" t="n">
        <v>19</v>
      </c>
      <c r="B339" s="25" t="n">
        <f aca="false">IF(T338&gt;0,B338,D338)</f>
        <v>0.0529842376708984</v>
      </c>
      <c r="C339" s="25" t="n">
        <f aca="false">IF(T338&gt;0,D338,C338)</f>
        <v>0.0529899597167969</v>
      </c>
      <c r="D339" s="41" t="n">
        <f aca="false">(B339+C339)/2</f>
        <v>0.0529870986938477</v>
      </c>
      <c r="E339" s="15" t="n">
        <f aca="false">$C$2*(1+IF(E$3&lt;=$O$2,$D339,$D339-($D339-$I$319)*MIN(E$3-$O$2,$Q$2)/$Q$2))</f>
        <v>2316.57161712647</v>
      </c>
      <c r="F339" s="15" t="n">
        <f aca="false">E339*(1+IF(F$3&lt;=$O$2,$D339,$D339-($D339-$I$319)*MIN(F$3-$O$2,$Q$2)/$Q$2))</f>
        <v>2439.32002603451</v>
      </c>
      <c r="G339" s="15" t="n">
        <f aca="false">F339*(1+IF(G$3&lt;=$O$2,$D339,$D339-($D339-$I$319)*MIN(G$3-$O$2,$Q$2)/$Q$2))</f>
        <v>2568.57251699988</v>
      </c>
      <c r="H339" s="15" t="n">
        <f aca="false">G339*(1+IF(H$3&lt;=$O$2,$D339,$D339-($D339-$I$319)*MIN(H$3-$O$2,$Q$2)/$Q$2))</f>
        <v>2704.67372246046</v>
      </c>
      <c r="I339" s="15" t="n">
        <f aca="false">H339*(1+IF(I$3&lt;=$O$2,$D339,$D339-($D339-$I$319)*MIN(I$3-$O$2,$Q$2)/$Q$2))</f>
        <v>2847.98653592713</v>
      </c>
      <c r="J339" s="15" t="n">
        <f aca="false">I339*(1+IF(J$3&lt;=$O$2,$D339,$D339-($D339-$I$319)*MIN(J$3-$O$2,$Q$2)/$Q$2))</f>
        <v>2979.13540157496</v>
      </c>
      <c r="K339" s="15" t="n">
        <f aca="false">J339*(1+IF(K$3&lt;=$O$2,$D339,$D339-($D339-$I$319)*MIN(K$3-$O$2,$Q$2)/$Q$2))</f>
        <v>3095.65611764184</v>
      </c>
      <c r="L339" s="15" t="n">
        <f aca="false">K339*(1+IF(L$3&lt;=$O$2,$D339,$D339-($D339-$I$319)*MIN(L$3-$O$2,$Q$2)/$Q$2))</f>
        <v>3195.25835630463</v>
      </c>
      <c r="M339" s="15" t="n">
        <f aca="false">L339*(1+IF(M$3&lt;=$O$2,$D339,$D339-($D339-$I$319)*MIN(M$3-$O$2,$Q$2)/$Q$2))</f>
        <v>3275.8984326165</v>
      </c>
      <c r="N339" s="15" t="n">
        <f aca="false">M339*(1+IF(N$3&lt;=$O$2,$D339,$D339-($D339-$I$319)*MIN(N$3-$O$2,$Q$2)/$Q$2))</f>
        <v>3335.84737393338</v>
      </c>
      <c r="O339" s="15" t="n">
        <f aca="false">SUMPRODUCT(E339:N339,1/(1+$F$319)^$E$3:$N$3)*$E$2</f>
        <v>9843.90192780452</v>
      </c>
      <c r="P339" s="15" t="n">
        <f aca="false">N339*$E$2*(1+$I$319)/($F$319-$I$319)/(1+$F$319)^$N$3</f>
        <v>13986.2680920133</v>
      </c>
      <c r="Q339" s="15" t="n">
        <f aca="false">O339+P339</f>
        <v>23830.1700198178</v>
      </c>
      <c r="R339" s="15" t="n">
        <f aca="false">Q339-$G$2+$I$2</f>
        <v>25739.8300198178</v>
      </c>
      <c r="S339" s="42" t="n">
        <f aca="false">R339/$K$2</f>
        <v>109.985172925769</v>
      </c>
      <c r="T339" s="43" t="n">
        <f aca="false">S339-$M$2</f>
        <v>-0.000726317917326469</v>
      </c>
    </row>
    <row r="340" customFormat="false" ht="15" hidden="false" customHeight="false" outlineLevel="0" collapsed="false">
      <c r="A340" s="5" t="n">
        <v>20</v>
      </c>
      <c r="B340" s="25" t="n">
        <f aca="false">IF(T339&gt;0,B339,D339)</f>
        <v>0.0529870986938477</v>
      </c>
      <c r="C340" s="25" t="n">
        <f aca="false">IF(T339&gt;0,D339,C339)</f>
        <v>0.0529899597167969</v>
      </c>
      <c r="D340" s="41" t="n">
        <f aca="false">(B340+C340)/2</f>
        <v>0.0529885292053223</v>
      </c>
      <c r="E340" s="15" t="n">
        <f aca="false">$C$2*(1+IF(E$3&lt;=$O$2,$D340,$D340-($D340-$I$319)*MIN(E$3-$O$2,$Q$2)/$Q$2))</f>
        <v>2316.57476425171</v>
      </c>
      <c r="F340" s="15" t="n">
        <f aca="false">E340*(1+IF(F$3&lt;=$O$2,$D340,$D340-($D340-$I$319)*MIN(F$3-$O$2,$Q$2)/$Q$2))</f>
        <v>2439.32665380357</v>
      </c>
      <c r="G340" s="15" t="n">
        <f aca="false">F340*(1+IF(G$3&lt;=$O$2,$D340,$D340-($D340-$I$319)*MIN(G$3-$O$2,$Q$2)/$Q$2))</f>
        <v>2568.58298543997</v>
      </c>
      <c r="H340" s="15" t="n">
        <f aca="false">G340*(1+IF(H$3&lt;=$O$2,$D340,$D340-($D340-$I$319)*MIN(H$3-$O$2,$Q$2)/$Q$2))</f>
        <v>2704.68841998024</v>
      </c>
      <c r="I340" s="15" t="n">
        <f aca="false">H340*(1+IF(I$3&lt;=$O$2,$D340,$D340-($D340-$I$319)*MIN(I$3-$O$2,$Q$2)/$Q$2))</f>
        <v>2848.00588131366</v>
      </c>
      <c r="J340" s="15" t="n">
        <f aca="false">I340*(1+IF(J$3&lt;=$O$2,$D340,$D340-($D340-$I$319)*MIN(J$3-$O$2,$Q$2)/$Q$2))</f>
        <v>2979.15889709441</v>
      </c>
      <c r="K340" s="15" t="n">
        <f aca="false">J340*(1+IF(K$3&lt;=$O$2,$D340,$D340-($D340-$I$319)*MIN(K$3-$O$2,$Q$2)/$Q$2))</f>
        <v>3095.68308915673</v>
      </c>
      <c r="L340" s="15" t="n">
        <f aca="false">K340*(1+IF(L$3&lt;=$O$2,$D340,$D340-($D340-$I$319)*MIN(L$3-$O$2,$Q$2)/$Q$2))</f>
        <v>3195.28796698775</v>
      </c>
      <c r="M340" s="15" t="n">
        <f aca="false">L340*(1+IF(M$3&lt;=$O$2,$D340,$D340-($D340-$I$319)*MIN(M$3-$O$2,$Q$2)/$Q$2))</f>
        <v>3275.92970477608</v>
      </c>
      <c r="N340" s="15" t="n">
        <f aca="false">M340*(1+IF(N$3&lt;=$O$2,$D340,$D340-($D340-$I$319)*MIN(N$3-$O$2,$Q$2)/$Q$2))</f>
        <v>3335.87921837348</v>
      </c>
      <c r="O340" s="15" t="n">
        <f aca="false">SUMPRODUCT(E340:N340,1/(1+$F$319)^$E$3:$N$3)*$E$2</f>
        <v>9843.96378954894</v>
      </c>
      <c r="P340" s="15" t="n">
        <f aca="false">N340*$E$2*(1+$I$319)/($F$319-$I$319)/(1+$F$319)^$N$3</f>
        <v>13986.4016067778</v>
      </c>
      <c r="Q340" s="15" t="n">
        <f aca="false">O340+P340</f>
        <v>23830.3653963267</v>
      </c>
      <c r="R340" s="15" t="n">
        <f aca="false">Q340-$G$2+$I$2</f>
        <v>25740.0253963267</v>
      </c>
      <c r="S340" s="42" t="n">
        <f aca="false">R340/$K$2</f>
        <v>109.986007761085</v>
      </c>
      <c r="T340" s="43" t="n">
        <f aca="false">S340-$M$2</f>
        <v>0.000108517398288654</v>
      </c>
    </row>
    <row r="341" customFormat="false" ht="15" hidden="false" customHeight="false" outlineLevel="0" collapsed="false">
      <c r="A341" s="5" t="n">
        <v>21</v>
      </c>
      <c r="B341" s="25" t="n">
        <f aca="false">IF(T340&gt;0,B340,D340)</f>
        <v>0.0529870986938477</v>
      </c>
      <c r="C341" s="25" t="n">
        <f aca="false">IF(T340&gt;0,D340,C340)</f>
        <v>0.0529885292053223</v>
      </c>
      <c r="D341" s="41" t="n">
        <f aca="false">(B341+C341)/2</f>
        <v>0.052987813949585</v>
      </c>
      <c r="E341" s="15" t="n">
        <f aca="false">$C$2*(1+IF(E$3&lt;=$O$2,$D341,$D341-($D341-$I$319)*MIN(E$3-$O$2,$Q$2)/$Q$2))</f>
        <v>2316.57319068909</v>
      </c>
      <c r="F341" s="15" t="n">
        <f aca="false">E341*(1+IF(F$3&lt;=$O$2,$D341,$D341-($D341-$I$319)*MIN(F$3-$O$2,$Q$2)/$Q$2))</f>
        <v>2439.32333991792</v>
      </c>
      <c r="G341" s="15" t="n">
        <f aca="false">F341*(1+IF(G$3&lt;=$O$2,$D341,$D341-($D341-$I$319)*MIN(G$3-$O$2,$Q$2)/$Q$2))</f>
        <v>2568.57775121637</v>
      </c>
      <c r="H341" s="15" t="n">
        <f aca="false">G341*(1+IF(H$3&lt;=$O$2,$D341,$D341-($D341-$I$319)*MIN(H$3-$O$2,$Q$2)/$Q$2))</f>
        <v>2704.68107121286</v>
      </c>
      <c r="I341" s="15" t="n">
        <f aca="false">H341*(1+IF(I$3&lt;=$O$2,$D341,$D341-($D341-$I$319)*MIN(I$3-$O$2,$Q$2)/$Q$2))</f>
        <v>2847.99620860726</v>
      </c>
      <c r="J341" s="15" t="n">
        <f aca="false">I341*(1+IF(J$3&lt;=$O$2,$D341,$D341-($D341-$I$319)*MIN(J$3-$O$2,$Q$2)/$Q$2))</f>
        <v>2979.1471493154</v>
      </c>
      <c r="K341" s="15" t="n">
        <f aca="false">J341*(1+IF(K$3&lt;=$O$2,$D341,$D341-($D341-$I$319)*MIN(K$3-$O$2,$Q$2)/$Q$2))</f>
        <v>3095.66960337421</v>
      </c>
      <c r="L341" s="15" t="n">
        <f aca="false">K341*(1+IF(L$3&lt;=$O$2,$D341,$D341-($D341-$I$319)*MIN(L$3-$O$2,$Q$2)/$Q$2))</f>
        <v>3195.27316161645</v>
      </c>
      <c r="M341" s="15" t="n">
        <f aca="false">L341*(1+IF(M$3&lt;=$O$2,$D341,$D341-($D341-$I$319)*MIN(M$3-$O$2,$Q$2)/$Q$2))</f>
        <v>3275.91406866368</v>
      </c>
      <c r="N341" s="15" t="n">
        <f aca="false">M341*(1+IF(N$3&lt;=$O$2,$D341,$D341-($D341-$I$319)*MIN(N$3-$O$2,$Q$2)/$Q$2))</f>
        <v>3335.86329612022</v>
      </c>
      <c r="O341" s="15" t="n">
        <f aca="false">SUMPRODUCT(E341:N341,1/(1+$F$319)^$E$3:$N$3)*$E$2</f>
        <v>9843.93285862793</v>
      </c>
      <c r="P341" s="15" t="n">
        <f aca="false">N341*$E$2*(1+$I$319)/($F$319-$I$319)/(1+$F$319)^$N$3</f>
        <v>13986.3348492563</v>
      </c>
      <c r="Q341" s="15" t="n">
        <f aca="false">O341+P341</f>
        <v>23830.2677078842</v>
      </c>
      <c r="R341" s="15" t="n">
        <f aca="false">Q341-$G$2+$I$2</f>
        <v>25739.9277078842</v>
      </c>
      <c r="S341" s="42" t="n">
        <f aca="false">R341/$K$2</f>
        <v>109.985590342624</v>
      </c>
      <c r="T341" s="43" t="n">
        <f aca="false">S341-$M$2</f>
        <v>-0.000308901062979317</v>
      </c>
    </row>
    <row r="342" customFormat="false" ht="15" hidden="false" customHeight="false" outlineLevel="0" collapsed="false">
      <c r="A342" s="5" t="n">
        <v>22</v>
      </c>
      <c r="B342" s="25" t="n">
        <f aca="false">IF(T341&gt;0,B341,D341)</f>
        <v>0.052987813949585</v>
      </c>
      <c r="C342" s="25" t="n">
        <f aca="false">IF(T341&gt;0,D341,C341)</f>
        <v>0.0529885292053223</v>
      </c>
      <c r="D342" s="41" t="n">
        <f aca="false">(B342+C342)/2</f>
        <v>0.0529881715774536</v>
      </c>
      <c r="E342" s="15" t="n">
        <f aca="false">$C$2*(1+IF(E$3&lt;=$O$2,$D342,$D342-($D342-$I$319)*MIN(E$3-$O$2,$Q$2)/$Q$2))</f>
        <v>2316.5739774704</v>
      </c>
      <c r="F342" s="15" t="n">
        <f aca="false">E342*(1+IF(F$3&lt;=$O$2,$D342,$D342-($D342-$I$319)*MIN(F$3-$O$2,$Q$2)/$Q$2))</f>
        <v>2439.32499686046</v>
      </c>
      <c r="G342" s="15" t="n">
        <f aca="false">F342*(1+IF(G$3&lt;=$O$2,$D342,$D342-($D342-$I$319)*MIN(G$3-$O$2,$Q$2)/$Q$2))</f>
        <v>2568.58036832728</v>
      </c>
      <c r="H342" s="15" t="n">
        <f aca="false">G342*(1+IF(H$3&lt;=$O$2,$D342,$D342-($D342-$I$319)*MIN(H$3-$O$2,$Q$2)/$Q$2))</f>
        <v>2704.68474559468</v>
      </c>
      <c r="I342" s="15" t="n">
        <f aca="false">H342*(1+IF(I$3&lt;=$O$2,$D342,$D342-($D342-$I$319)*MIN(I$3-$O$2,$Q$2)/$Q$2))</f>
        <v>2848.00104495717</v>
      </c>
      <c r="J342" s="15" t="n">
        <f aca="false">I342*(1+IF(J$3&lt;=$O$2,$D342,$D342-($D342-$I$319)*MIN(J$3-$O$2,$Q$2)/$Q$2))</f>
        <v>2979.15302320008</v>
      </c>
      <c r="K342" s="15" t="n">
        <f aca="false">J342*(1+IF(K$3&lt;=$O$2,$D342,$D342-($D342-$I$319)*MIN(K$3-$O$2,$Q$2)/$Q$2))</f>
        <v>3095.6763462592</v>
      </c>
      <c r="L342" s="15" t="n">
        <f aca="false">K342*(1+IF(L$3&lt;=$O$2,$D342,$D342-($D342-$I$319)*MIN(L$3-$O$2,$Q$2)/$Q$2))</f>
        <v>3195.28056429466</v>
      </c>
      <c r="M342" s="15" t="n">
        <f aca="false">L342*(1+IF(M$3&lt;=$O$2,$D342,$D342-($D342-$I$319)*MIN(M$3-$O$2,$Q$2)/$Q$2))</f>
        <v>3275.92188671173</v>
      </c>
      <c r="N342" s="15" t="n">
        <f aca="false">M342*(1+IF(N$3&lt;=$O$2,$D342,$D342-($D342-$I$319)*MIN(N$3-$O$2,$Q$2)/$Q$2))</f>
        <v>3335.87125723855</v>
      </c>
      <c r="O342" s="15" t="n">
        <f aca="false">SUMPRODUCT(E342:N342,1/(1+$F$319)^$E$3:$N$3)*$E$2</f>
        <v>9843.94832407623</v>
      </c>
      <c r="P342" s="15" t="n">
        <f aca="false">N342*$E$2*(1+$I$319)/($F$319-$I$319)/(1+$F$319)^$N$3</f>
        <v>13986.3682279822</v>
      </c>
      <c r="Q342" s="15" t="n">
        <f aca="false">O342+P342</f>
        <v>23830.3165520585</v>
      </c>
      <c r="R342" s="15" t="n">
        <f aca="false">Q342-$G$2+$I$2</f>
        <v>25739.9765520585</v>
      </c>
      <c r="S342" s="42" t="n">
        <f aca="false">R342/$K$2</f>
        <v>109.985799051654</v>
      </c>
      <c r="T342" s="43" t="n">
        <f aca="false">S342-$M$2</f>
        <v>-0.000100192033187341</v>
      </c>
    </row>
    <row r="343" customFormat="false" ht="15" hidden="false" customHeight="false" outlineLevel="0" collapsed="false">
      <c r="A343" s="5" t="n">
        <v>23</v>
      </c>
      <c r="B343" s="25" t="n">
        <f aca="false">IF(T342&gt;0,B342,D342)</f>
        <v>0.0529881715774536</v>
      </c>
      <c r="C343" s="25" t="n">
        <f aca="false">IF(T342&gt;0,D342,C342)</f>
        <v>0.0529885292053223</v>
      </c>
      <c r="D343" s="41" t="n">
        <f aca="false">(B343+C343)/2</f>
        <v>0.0529883503913879</v>
      </c>
      <c r="E343" s="15" t="n">
        <f aca="false">$C$2*(1+IF(E$3&lt;=$O$2,$D343,$D343-($D343-$I$319)*MIN(E$3-$O$2,$Q$2)/$Q$2))</f>
        <v>2316.57437086105</v>
      </c>
      <c r="F343" s="15" t="n">
        <f aca="false">E343*(1+IF(F$3&lt;=$O$2,$D343,$D343-($D343-$I$319)*MIN(F$3-$O$2,$Q$2)/$Q$2))</f>
        <v>2439.32582533195</v>
      </c>
      <c r="G343" s="15" t="n">
        <f aca="false">F343*(1+IF(G$3&lt;=$O$2,$D343,$D343-($D343-$I$319)*MIN(G$3-$O$2,$Q$2)/$Q$2))</f>
        <v>2568.5816768834</v>
      </c>
      <c r="H343" s="15" t="n">
        <f aca="false">G343*(1+IF(H$3&lt;=$O$2,$D343,$D343-($D343-$I$319)*MIN(H$3-$O$2,$Q$2)/$Q$2))</f>
        <v>2704.686582787</v>
      </c>
      <c r="I343" s="15" t="n">
        <f aca="false">H343*(1+IF(I$3&lt;=$O$2,$D343,$D343-($D343-$I$319)*MIN(I$3-$O$2,$Q$2)/$Q$2))</f>
        <v>2848.0034631346</v>
      </c>
      <c r="J343" s="15" t="n">
        <f aca="false">I343*(1+IF(J$3&lt;=$O$2,$D343,$D343-($D343-$I$319)*MIN(J$3-$O$2,$Q$2)/$Q$2))</f>
        <v>2979.15596014604</v>
      </c>
      <c r="K343" s="15" t="n">
        <f aca="false">J343*(1+IF(K$3&lt;=$O$2,$D343,$D343-($D343-$I$319)*MIN(K$3-$O$2,$Q$2)/$Q$2))</f>
        <v>3095.6797177064</v>
      </c>
      <c r="L343" s="15" t="n">
        <f aca="false">K343*(1+IF(L$3&lt;=$O$2,$D343,$D343-($D343-$I$319)*MIN(L$3-$O$2,$Q$2)/$Q$2))</f>
        <v>3195.28426563935</v>
      </c>
      <c r="M343" s="15" t="n">
        <f aca="false">L343*(1+IF(M$3&lt;=$O$2,$D343,$D343-($D343-$I$319)*MIN(M$3-$O$2,$Q$2)/$Q$2))</f>
        <v>3275.92579574187</v>
      </c>
      <c r="N343" s="15" t="n">
        <f aca="false">M343*(1+IF(N$3&lt;=$O$2,$D343,$D343-($D343-$I$319)*MIN(N$3-$O$2,$Q$2)/$Q$2))</f>
        <v>3335.87523780394</v>
      </c>
      <c r="O343" s="15" t="n">
        <f aca="false">SUMPRODUCT(E343:N343,1/(1+$F$319)^$E$3:$N$3)*$E$2</f>
        <v>9843.95605680954</v>
      </c>
      <c r="P343" s="15" t="n">
        <f aca="false">N343*$E$2*(1+$I$319)/($F$319-$I$319)/(1+$F$319)^$N$3</f>
        <v>13986.3849173713</v>
      </c>
      <c r="Q343" s="15" t="n">
        <f aca="false">O343+P343</f>
        <v>23830.3409741809</v>
      </c>
      <c r="R343" s="15" t="n">
        <f aca="false">Q343-$G$2+$I$2</f>
        <v>25740.0009741809</v>
      </c>
      <c r="S343" s="42" t="n">
        <f aca="false">R343/$K$2</f>
        <v>109.985903406319</v>
      </c>
      <c r="T343" s="43" t="n">
        <f aca="false">S343-$M$2</f>
        <v>4.16263236502346E-006</v>
      </c>
    </row>
    <row r="344" customFormat="false" ht="15" hidden="false" customHeight="false" outlineLevel="0" collapsed="false">
      <c r="A344" s="5" t="n">
        <v>24</v>
      </c>
      <c r="B344" s="25" t="n">
        <f aca="false">IF(T343&gt;0,B343,D343)</f>
        <v>0.0529881715774536</v>
      </c>
      <c r="C344" s="25" t="n">
        <f aca="false">IF(T343&gt;0,D343,C343)</f>
        <v>0.0529883503913879</v>
      </c>
      <c r="D344" s="41" t="n">
        <f aca="false">(B344+C344)/2</f>
        <v>0.0529882609844208</v>
      </c>
      <c r="E344" s="15" t="n">
        <f aca="false">$C$2*(1+IF(E$3&lt;=$O$2,$D344,$D344-($D344-$I$319)*MIN(E$3-$O$2,$Q$2)/$Q$2))</f>
        <v>2316.57417416573</v>
      </c>
      <c r="F344" s="15" t="n">
        <f aca="false">E344*(1+IF(F$3&lt;=$O$2,$D344,$D344-($D344-$I$319)*MIN(F$3-$O$2,$Q$2)/$Q$2))</f>
        <v>2439.32541109619</v>
      </c>
      <c r="G344" s="15" t="n">
        <f aca="false">F344*(1+IF(G$3&lt;=$O$2,$D344,$D344-($D344-$I$319)*MIN(G$3-$O$2,$Q$2)/$Q$2))</f>
        <v>2568.58102260528</v>
      </c>
      <c r="H344" s="15" t="n">
        <f aca="false">G344*(1+IF(H$3&lt;=$O$2,$D344,$D344-($D344-$I$319)*MIN(H$3-$O$2,$Q$2)/$Q$2))</f>
        <v>2704.68566419072</v>
      </c>
      <c r="I344" s="15" t="n">
        <f aca="false">H344*(1+IF(I$3&lt;=$O$2,$D344,$D344-($D344-$I$319)*MIN(I$3-$O$2,$Q$2)/$Q$2))</f>
        <v>2848.00225404568</v>
      </c>
      <c r="J344" s="15" t="n">
        <f aca="false">I344*(1+IF(J$3&lt;=$O$2,$D344,$D344-($D344-$I$319)*MIN(J$3-$O$2,$Q$2)/$Q$2))</f>
        <v>2979.15449167276</v>
      </c>
      <c r="K344" s="15" t="n">
        <f aca="false">J344*(1+IF(K$3&lt;=$O$2,$D344,$D344-($D344-$I$319)*MIN(K$3-$O$2,$Q$2)/$Q$2))</f>
        <v>3095.67803198241</v>
      </c>
      <c r="L344" s="15" t="n">
        <f aca="false">K344*(1+IF(L$3&lt;=$O$2,$D344,$D344-($D344-$I$319)*MIN(L$3-$O$2,$Q$2)/$Q$2))</f>
        <v>3195.28241496654</v>
      </c>
      <c r="M344" s="15" t="n">
        <f aca="false">L344*(1+IF(M$3&lt;=$O$2,$D344,$D344-($D344-$I$319)*MIN(M$3-$O$2,$Q$2)/$Q$2))</f>
        <v>3275.92384122629</v>
      </c>
      <c r="N344" s="15" t="n">
        <f aca="false">M344*(1+IF(N$3&lt;=$O$2,$D344,$D344-($D344-$I$319)*MIN(N$3-$O$2,$Q$2)/$Q$2))</f>
        <v>3335.87324752073</v>
      </c>
      <c r="O344" s="15" t="n">
        <f aca="false">SUMPRODUCT(E344:N344,1/(1+$F$319)^$E$3:$N$3)*$E$2</f>
        <v>9843.95219044212</v>
      </c>
      <c r="P344" s="15" t="n">
        <f aca="false">N344*$E$2*(1+$I$319)/($F$319-$I$319)/(1+$F$319)^$N$3</f>
        <v>13986.3765726746</v>
      </c>
      <c r="Q344" s="15" t="n">
        <f aca="false">O344+P344</f>
        <v>23830.3287631167</v>
      </c>
      <c r="R344" s="15" t="n">
        <f aca="false">Q344-$G$2+$I$2</f>
        <v>25739.9887631167</v>
      </c>
      <c r="S344" s="42" t="n">
        <f aca="false">R344/$K$2</f>
        <v>109.985851228974</v>
      </c>
      <c r="T344" s="43" t="n">
        <f aca="false">S344-$M$2</f>
        <v>-4.80147129877651E-005</v>
      </c>
    </row>
    <row r="346" customFormat="false" ht="15" hidden="false" customHeight="false" outlineLevel="0" collapsed="false">
      <c r="A346" s="38" t="s">
        <v>199</v>
      </c>
      <c r="E346" s="5" t="s">
        <v>11</v>
      </c>
      <c r="F346" s="12" t="n">
        <f aca="false">Sensitivity!$B$12</f>
        <v>0.0777967762761046</v>
      </c>
      <c r="G346" s="5" t="s">
        <v>12</v>
      </c>
      <c r="I346" s="12" t="n">
        <f aca="false">Sensitivity!$D$9</f>
        <v>0.0233</v>
      </c>
    </row>
    <row r="347" customFormat="false" ht="23.85" hidden="false" customHeight="false" outlineLevel="0" collapsed="false">
      <c r="A347" s="38" t="s">
        <v>168</v>
      </c>
      <c r="B347" s="28" t="s">
        <v>169</v>
      </c>
      <c r="C347" s="28" t="s">
        <v>170</v>
      </c>
      <c r="D347" s="28" t="s">
        <v>171</v>
      </c>
      <c r="E347" s="28" t="s">
        <v>172</v>
      </c>
      <c r="F347" s="28" t="s">
        <v>173</v>
      </c>
      <c r="G347" s="28" t="s">
        <v>174</v>
      </c>
      <c r="H347" s="28" t="s">
        <v>175</v>
      </c>
      <c r="I347" s="28" t="s">
        <v>176</v>
      </c>
      <c r="J347" s="28" t="s">
        <v>177</v>
      </c>
      <c r="K347" s="28" t="s">
        <v>178</v>
      </c>
      <c r="L347" s="28" t="s">
        <v>179</v>
      </c>
      <c r="M347" s="28" t="s">
        <v>180</v>
      </c>
      <c r="N347" s="28" t="s">
        <v>181</v>
      </c>
      <c r="O347" s="28" t="s">
        <v>182</v>
      </c>
      <c r="P347" s="28" t="s">
        <v>183</v>
      </c>
      <c r="Q347" s="28" t="s">
        <v>184</v>
      </c>
      <c r="R347" s="28" t="s">
        <v>185</v>
      </c>
      <c r="S347" s="28" t="s">
        <v>186</v>
      </c>
      <c r="T347" s="28" t="s">
        <v>187</v>
      </c>
    </row>
    <row r="348" customFormat="false" ht="15" hidden="false" customHeight="false" outlineLevel="0" collapsed="false">
      <c r="A348" s="5" t="n">
        <v>1</v>
      </c>
      <c r="B348" s="24" t="n">
        <v>-0.5</v>
      </c>
      <c r="C348" s="24" t="n">
        <v>1</v>
      </c>
      <c r="D348" s="41" t="n">
        <f aca="false">(B348+C348)/2</f>
        <v>0.25</v>
      </c>
      <c r="E348" s="15" t="n">
        <f aca="false">$C$2*(1+IF(E$3&lt;=$O$2,$D348,$D348-($D348-$I$346)*MIN(E$3-$O$2,$Q$2)/$Q$2))</f>
        <v>2750</v>
      </c>
      <c r="F348" s="15" t="n">
        <f aca="false">E348*(1+IF(F$3&lt;=$O$2,$D348,$D348-($D348-$I$346)*MIN(F$3-$O$2,$Q$2)/$Q$2))</f>
        <v>3437.5</v>
      </c>
      <c r="G348" s="15" t="n">
        <f aca="false">F348*(1+IF(G$3&lt;=$O$2,$D348,$D348-($D348-$I$346)*MIN(G$3-$O$2,$Q$2)/$Q$2))</f>
        <v>4296.875</v>
      </c>
      <c r="H348" s="15" t="n">
        <f aca="false">G348*(1+IF(H$3&lt;=$O$2,$D348,$D348-($D348-$I$346)*MIN(H$3-$O$2,$Q$2)/$Q$2))</f>
        <v>5371.09375</v>
      </c>
      <c r="I348" s="15" t="n">
        <f aca="false">H348*(1+IF(I$3&lt;=$O$2,$D348,$D348-($D348-$I$346)*MIN(I$3-$O$2,$Q$2)/$Q$2))</f>
        <v>6713.8671875</v>
      </c>
      <c r="J348" s="15" t="n">
        <f aca="false">I348*(1+IF(J$3&lt;=$O$2,$D348,$D348-($D348-$I$346)*MIN(J$3-$O$2,$Q$2)/$Q$2))</f>
        <v>8087.92724609375</v>
      </c>
      <c r="K348" s="15" t="n">
        <f aca="false">J348*(1+IF(K$3&lt;=$O$2,$D348,$D348-($D348-$I$346)*MIN(K$3-$O$2,$Q$2)/$Q$2))</f>
        <v>9376.49581494141</v>
      </c>
      <c r="L348" s="15" t="n">
        <f aca="false">K348*(1+IF(L$3&lt;=$O$2,$D348,$D348-($D348-$I$346)*MIN(L$3-$O$2,$Q$2)/$Q$2))</f>
        <v>10445.2288079284</v>
      </c>
      <c r="M348" s="15" t="n">
        <f aca="false">L348*(1+IF(M$3&lt;=$O$2,$D348,$D348-($D348-$I$346)*MIN(M$3-$O$2,$Q$2)/$Q$2))</f>
        <v>11162.1893133046</v>
      </c>
      <c r="N348" s="15" t="n">
        <f aca="false">M348*(1+IF(N$3&lt;=$O$2,$D348,$D348-($D348-$I$346)*MIN(N$3-$O$2,$Q$2)/$Q$2))</f>
        <v>11422.2683243046</v>
      </c>
      <c r="O348" s="15" t="n">
        <f aca="false">SUMPRODUCT(E348:N348,1/(1+$F$346)^$E$3:$N$3)*$E$2</f>
        <v>23355.5557096399</v>
      </c>
      <c r="P348" s="15" t="n">
        <f aca="false">N348*$E$2*(1+$I$346)/($F$346-$I$346)/(1+$F$346)^$N$3</f>
        <v>52540.9459282632</v>
      </c>
      <c r="Q348" s="15" t="n">
        <f aca="false">O348+P348</f>
        <v>75896.5016379031</v>
      </c>
      <c r="R348" s="15" t="n">
        <f aca="false">Q348-$G$2+$I$2</f>
        <v>77806.1616379031</v>
      </c>
      <c r="S348" s="42" t="n">
        <f aca="false">R348/$K$2</f>
        <v>332.462340887506</v>
      </c>
      <c r="T348" s="43" t="n">
        <f aca="false">S348-$M$2</f>
        <v>222.47644164382</v>
      </c>
    </row>
    <row r="349" customFormat="false" ht="15" hidden="false" customHeight="false" outlineLevel="0" collapsed="false">
      <c r="A349" s="5" t="n">
        <v>2</v>
      </c>
      <c r="B349" s="25" t="n">
        <f aca="false">IF(T348&gt;0,B348,D348)</f>
        <v>-0.5</v>
      </c>
      <c r="C349" s="25" t="n">
        <f aca="false">IF(T348&gt;0,D348,C348)</f>
        <v>0.25</v>
      </c>
      <c r="D349" s="41" t="n">
        <f aca="false">(B349+C349)/2</f>
        <v>-0.125</v>
      </c>
      <c r="E349" s="15" t="n">
        <f aca="false">$C$2*(1+IF(E$3&lt;=$O$2,$D349,$D349-($D349-$I$346)*MIN(E$3-$O$2,$Q$2)/$Q$2))</f>
        <v>1925</v>
      </c>
      <c r="F349" s="15" t="n">
        <f aca="false">E349*(1+IF(F$3&lt;=$O$2,$D349,$D349-($D349-$I$346)*MIN(F$3-$O$2,$Q$2)/$Q$2))</f>
        <v>1684.375</v>
      </c>
      <c r="G349" s="15" t="n">
        <f aca="false">F349*(1+IF(G$3&lt;=$O$2,$D349,$D349-($D349-$I$346)*MIN(G$3-$O$2,$Q$2)/$Q$2))</f>
        <v>1473.828125</v>
      </c>
      <c r="H349" s="15" t="n">
        <f aca="false">G349*(1+IF(H$3&lt;=$O$2,$D349,$D349-($D349-$I$346)*MIN(H$3-$O$2,$Q$2)/$Q$2))</f>
        <v>1289.599609375</v>
      </c>
      <c r="I349" s="15" t="n">
        <f aca="false">H349*(1+IF(I$3&lt;=$O$2,$D349,$D349-($D349-$I$346)*MIN(I$3-$O$2,$Q$2)/$Q$2))</f>
        <v>1128.39965820313</v>
      </c>
      <c r="J349" s="15" t="n">
        <f aca="false">I349*(1+IF(J$3&lt;=$O$2,$D349,$D349-($D349-$I$346)*MIN(J$3-$O$2,$Q$2)/$Q$2))</f>
        <v>1020.81803479004</v>
      </c>
      <c r="K349" s="15" t="n">
        <f aca="false">J349*(1+IF(K$3&lt;=$O$2,$D349,$D349-($D349-$I$346)*MIN(K$3-$O$2,$Q$2)/$Q$2))</f>
        <v>953.770706265029</v>
      </c>
      <c r="L349" s="15" t="n">
        <f aca="false">K349*(1+IF(L$3&lt;=$O$2,$D349,$D349-($D349-$I$346)*MIN(L$3-$O$2,$Q$2)/$Q$2))</f>
        <v>919.415885425363</v>
      </c>
      <c r="M349" s="15" t="n">
        <f aca="false">L349*(1+IF(M$3&lt;=$O$2,$D349,$D349-($D349-$I$346)*MIN(M$3-$O$2,$Q$2)/$Q$2))</f>
        <v>913.568400394058</v>
      </c>
      <c r="N349" s="15" t="n">
        <f aca="false">M349*(1+IF(N$3&lt;=$O$2,$D349,$D349-($D349-$I$346)*MIN(N$3-$O$2,$Q$2)/$Q$2))</f>
        <v>934.854544123239</v>
      </c>
      <c r="O349" s="15" t="n">
        <f aca="false">SUMPRODUCT(E349:N349,1/(1+$F$346)^$E$3:$N$3)*$E$2</f>
        <v>4545.9183087543</v>
      </c>
      <c r="P349" s="15" t="n">
        <f aca="false">N349*$E$2*(1+$I$346)/($F$346-$I$346)/(1+$F$346)^$N$3</f>
        <v>4300.20908798432</v>
      </c>
      <c r="Q349" s="15" t="n">
        <f aca="false">O349+P349</f>
        <v>8846.12739673862</v>
      </c>
      <c r="R349" s="15" t="n">
        <f aca="false">Q349-$G$2+$I$2</f>
        <v>10755.7873967386</v>
      </c>
      <c r="S349" s="42" t="n">
        <f aca="false">R349/$K$2</f>
        <v>45.9590112239398</v>
      </c>
      <c r="T349" s="43" t="n">
        <f aca="false">S349-$M$2</f>
        <v>-64.0268880197469</v>
      </c>
    </row>
    <row r="350" customFormat="false" ht="15" hidden="false" customHeight="false" outlineLevel="0" collapsed="false">
      <c r="A350" s="5" t="n">
        <v>3</v>
      </c>
      <c r="B350" s="25" t="n">
        <f aca="false">IF(T349&gt;0,B349,D349)</f>
        <v>-0.125</v>
      </c>
      <c r="C350" s="25" t="n">
        <f aca="false">IF(T349&gt;0,D349,C349)</f>
        <v>0.25</v>
      </c>
      <c r="D350" s="41" t="n">
        <f aca="false">(B350+C350)/2</f>
        <v>0.0625</v>
      </c>
      <c r="E350" s="15" t="n">
        <f aca="false">$C$2*(1+IF(E$3&lt;=$O$2,$D350,$D350-($D350-$I$346)*MIN(E$3-$O$2,$Q$2)/$Q$2))</f>
        <v>2337.5</v>
      </c>
      <c r="F350" s="15" t="n">
        <f aca="false">E350*(1+IF(F$3&lt;=$O$2,$D350,$D350-($D350-$I$346)*MIN(F$3-$O$2,$Q$2)/$Q$2))</f>
        <v>2483.59375</v>
      </c>
      <c r="G350" s="15" t="n">
        <f aca="false">F350*(1+IF(G$3&lt;=$O$2,$D350,$D350-($D350-$I$346)*MIN(G$3-$O$2,$Q$2)/$Q$2))</f>
        <v>2638.818359375</v>
      </c>
      <c r="H350" s="15" t="n">
        <f aca="false">G350*(1+IF(H$3&lt;=$O$2,$D350,$D350-($D350-$I$346)*MIN(H$3-$O$2,$Q$2)/$Q$2))</f>
        <v>2803.74450683594</v>
      </c>
      <c r="I350" s="15" t="n">
        <f aca="false">H350*(1+IF(I$3&lt;=$O$2,$D350,$D350-($D350-$I$346)*MIN(I$3-$O$2,$Q$2)/$Q$2))</f>
        <v>2978.97853851318</v>
      </c>
      <c r="J350" s="15" t="n">
        <f aca="false">I350*(1+IF(J$3&lt;=$O$2,$D350,$D350-($D350-$I$346)*MIN(J$3-$O$2,$Q$2)/$Q$2))</f>
        <v>3141.80950542831</v>
      </c>
      <c r="K350" s="15" t="n">
        <f aca="false">J350*(1+IF(K$3&lt;=$O$2,$D350,$D350-($D350-$I$346)*MIN(K$3-$O$2,$Q$2)/$Q$2))</f>
        <v>3288.90902647247</v>
      </c>
      <c r="L350" s="15" t="n">
        <f aca="false">K350*(1+IF(L$3&lt;=$O$2,$D350,$D350-($D350-$I$346)*MIN(L$3-$O$2,$Q$2)/$Q$2))</f>
        <v>3417.11070032436</v>
      </c>
      <c r="M350" s="15" t="n">
        <f aca="false">L350*(1+IF(M$3&lt;=$O$2,$D350,$D350-($D350-$I$346)*MIN(M$3-$O$2,$Q$2)/$Q$2))</f>
        <v>3523.51952753247</v>
      </c>
      <c r="N350" s="15" t="n">
        <f aca="false">M350*(1+IF(N$3&lt;=$O$2,$D350,$D350-($D350-$I$346)*MIN(N$3-$O$2,$Q$2)/$Q$2))</f>
        <v>3605.61753252397</v>
      </c>
      <c r="O350" s="15" t="n">
        <f aca="false">SUMPRODUCT(E350:N350,1/(1+$F$346)^$E$3:$N$3)*$E$2</f>
        <v>10295.1441895113</v>
      </c>
      <c r="P350" s="15" t="n">
        <f aca="false">N350*$E$2*(1+$I$346)/($F$346-$I$346)/(1+$F$346)^$N$3</f>
        <v>16585.3708243956</v>
      </c>
      <c r="Q350" s="15" t="n">
        <f aca="false">O350+P350</f>
        <v>26880.5150139069</v>
      </c>
      <c r="R350" s="15" t="n">
        <f aca="false">Q350-$G$2+$I$2</f>
        <v>28790.1750139069</v>
      </c>
      <c r="S350" s="42" t="n">
        <f aca="false">R350/$K$2</f>
        <v>123.01916426914</v>
      </c>
      <c r="T350" s="43" t="n">
        <f aca="false">S350-$M$2</f>
        <v>13.0332650254534</v>
      </c>
    </row>
    <row r="351" customFormat="false" ht="15" hidden="false" customHeight="false" outlineLevel="0" collapsed="false">
      <c r="A351" s="5" t="n">
        <v>4</v>
      </c>
      <c r="B351" s="25" t="n">
        <f aca="false">IF(T350&gt;0,B350,D350)</f>
        <v>-0.125</v>
      </c>
      <c r="C351" s="25" t="n">
        <f aca="false">IF(T350&gt;0,D350,C350)</f>
        <v>0.0625</v>
      </c>
      <c r="D351" s="41" t="n">
        <f aca="false">(B351+C351)/2</f>
        <v>-0.03125</v>
      </c>
      <c r="E351" s="15" t="n">
        <f aca="false">$C$2*(1+IF(E$3&lt;=$O$2,$D351,$D351-($D351-$I$346)*MIN(E$3-$O$2,$Q$2)/$Q$2))</f>
        <v>2131.25</v>
      </c>
      <c r="F351" s="15" t="n">
        <f aca="false">E351*(1+IF(F$3&lt;=$O$2,$D351,$D351-($D351-$I$346)*MIN(F$3-$O$2,$Q$2)/$Q$2))</f>
        <v>2064.6484375</v>
      </c>
      <c r="G351" s="15" t="n">
        <f aca="false">F351*(1+IF(G$3&lt;=$O$2,$D351,$D351-($D351-$I$346)*MIN(G$3-$O$2,$Q$2)/$Q$2))</f>
        <v>2000.12817382813</v>
      </c>
      <c r="H351" s="15" t="n">
        <f aca="false">G351*(1+IF(H$3&lt;=$O$2,$D351,$D351-($D351-$I$346)*MIN(H$3-$O$2,$Q$2)/$Q$2))</f>
        <v>1937.624168396</v>
      </c>
      <c r="I351" s="15" t="n">
        <f aca="false">H351*(1+IF(I$3&lt;=$O$2,$D351,$D351-($D351-$I$346)*MIN(I$3-$O$2,$Q$2)/$Q$2))</f>
        <v>1877.07341313362</v>
      </c>
      <c r="J351" s="15" t="n">
        <f aca="false">I351*(1+IF(J$3&lt;=$O$2,$D351,$D351-($D351-$I$346)*MIN(J$3-$O$2,$Q$2)/$Q$2))</f>
        <v>1838.89373991048</v>
      </c>
      <c r="K351" s="15" t="n">
        <f aca="false">J351*(1+IF(K$3&lt;=$O$2,$D351,$D351-($D351-$I$346)*MIN(K$3-$O$2,$Q$2)/$Q$2))</f>
        <v>1821.55297194313</v>
      </c>
      <c r="L351" s="15" t="n">
        <f aca="false">K351*(1+IF(L$3&lt;=$O$2,$D351,$D351-($D351-$I$346)*MIN(L$3-$O$2,$Q$2)/$Q$2))</f>
        <v>1824.2488703416</v>
      </c>
      <c r="M351" s="15" t="n">
        <f aca="false">L351*(1+IF(M$3&lt;=$O$2,$D351,$D351-($D351-$I$346)*MIN(M$3-$O$2,$Q$2)/$Q$2))</f>
        <v>1846.85131384514</v>
      </c>
      <c r="N351" s="15" t="n">
        <f aca="false">M351*(1+IF(N$3&lt;=$O$2,$D351,$D351-($D351-$I$346)*MIN(N$3-$O$2,$Q$2)/$Q$2))</f>
        <v>1889.88294945773</v>
      </c>
      <c r="O351" s="15" t="n">
        <f aca="false">SUMPRODUCT(E351:N351,1/(1+$F$346)^$E$3:$N$3)*$E$2</f>
        <v>6822.55644370955</v>
      </c>
      <c r="P351" s="15" t="n">
        <f aca="false">N351*$E$2*(1+$I$346)/($F$346-$I$346)/(1+$F$346)^$N$3</f>
        <v>8693.21530881214</v>
      </c>
      <c r="Q351" s="15" t="n">
        <f aca="false">O351+P351</f>
        <v>15515.7717525217</v>
      </c>
      <c r="R351" s="15" t="n">
        <f aca="false">Q351-$G$2+$I$2</f>
        <v>17425.4317525217</v>
      </c>
      <c r="S351" s="42" t="n">
        <f aca="false">R351/$K$2</f>
        <v>74.4581111503726</v>
      </c>
      <c r="T351" s="43" t="n">
        <f aca="false">S351-$M$2</f>
        <v>-35.5277880933141</v>
      </c>
    </row>
    <row r="352" customFormat="false" ht="15" hidden="false" customHeight="false" outlineLevel="0" collapsed="false">
      <c r="A352" s="5" t="n">
        <v>5</v>
      </c>
      <c r="B352" s="25" t="n">
        <f aca="false">IF(T351&gt;0,B351,D351)</f>
        <v>-0.03125</v>
      </c>
      <c r="C352" s="25" t="n">
        <f aca="false">IF(T351&gt;0,D351,C351)</f>
        <v>0.0625</v>
      </c>
      <c r="D352" s="41" t="n">
        <f aca="false">(B352+C352)/2</f>
        <v>0.015625</v>
      </c>
      <c r="E352" s="15" t="n">
        <f aca="false">$C$2*(1+IF(E$3&lt;=$O$2,$D352,$D352-($D352-$I$346)*MIN(E$3-$O$2,$Q$2)/$Q$2))</f>
        <v>2234.375</v>
      </c>
      <c r="F352" s="15" t="n">
        <f aca="false">E352*(1+IF(F$3&lt;=$O$2,$D352,$D352-($D352-$I$346)*MIN(F$3-$O$2,$Q$2)/$Q$2))</f>
        <v>2269.287109375</v>
      </c>
      <c r="G352" s="15" t="n">
        <f aca="false">F352*(1+IF(G$3&lt;=$O$2,$D352,$D352-($D352-$I$346)*MIN(G$3-$O$2,$Q$2)/$Q$2))</f>
        <v>2304.74472045898</v>
      </c>
      <c r="H352" s="15" t="n">
        <f aca="false">G352*(1+IF(H$3&lt;=$O$2,$D352,$D352-($D352-$I$346)*MIN(H$3-$O$2,$Q$2)/$Q$2))</f>
        <v>2340.75635671616</v>
      </c>
      <c r="I352" s="15" t="n">
        <f aca="false">H352*(1+IF(I$3&lt;=$O$2,$D352,$D352-($D352-$I$346)*MIN(I$3-$O$2,$Q$2)/$Q$2))</f>
        <v>2377.33067478985</v>
      </c>
      <c r="J352" s="15" t="n">
        <f aca="false">I352*(1+IF(J$3&lt;=$O$2,$D352,$D352-($D352-$I$346)*MIN(J$3-$O$2,$Q$2)/$Q$2))</f>
        <v>2418.12566916924</v>
      </c>
      <c r="K352" s="15" t="n">
        <f aca="false">J352*(1+IF(K$3&lt;=$O$2,$D352,$D352-($D352-$I$346)*MIN(K$3-$O$2,$Q$2)/$Q$2))</f>
        <v>2463.33252855436</v>
      </c>
      <c r="L352" s="15" t="n">
        <f aca="false">K352*(1+IF(L$3&lt;=$O$2,$D352,$D352-($D352-$I$346)*MIN(L$3-$O$2,$Q$2)/$Q$2))</f>
        <v>2513.16574560701</v>
      </c>
      <c r="M352" s="15" t="n">
        <f aca="false">L352*(1+IF(M$3&lt;=$O$2,$D352,$D352-($D352-$I$346)*MIN(M$3-$O$2,$Q$2)/$Q$2))</f>
        <v>2567.86479806015</v>
      </c>
      <c r="N352" s="15" t="n">
        <f aca="false">M352*(1+IF(N$3&lt;=$O$2,$D352,$D352-($D352-$I$346)*MIN(N$3-$O$2,$Q$2)/$Q$2))</f>
        <v>2627.69604785495</v>
      </c>
      <c r="O352" s="15" t="n">
        <f aca="false">SUMPRODUCT(E352:N352,1/(1+$F$346)^$E$3:$N$3)*$E$2</f>
        <v>8378.00146033778</v>
      </c>
      <c r="P352" s="15" t="n">
        <f aca="false">N352*$E$2*(1+$I$346)/($F$346-$I$346)/(1+$F$346)^$N$3</f>
        <v>12087.0594216813</v>
      </c>
      <c r="Q352" s="15" t="n">
        <f aca="false">O352+P352</f>
        <v>20465.0608820191</v>
      </c>
      <c r="R352" s="15" t="n">
        <f aca="false">Q352-$G$2+$I$2</f>
        <v>22374.7208820191</v>
      </c>
      <c r="S352" s="42" t="n">
        <f aca="false">R352/$K$2</f>
        <v>95.6062081016069</v>
      </c>
      <c r="T352" s="43" t="n">
        <f aca="false">S352-$M$2</f>
        <v>-14.3796911420799</v>
      </c>
    </row>
    <row r="353" customFormat="false" ht="15" hidden="false" customHeight="false" outlineLevel="0" collapsed="false">
      <c r="A353" s="5" t="n">
        <v>6</v>
      </c>
      <c r="B353" s="25" t="n">
        <f aca="false">IF(T352&gt;0,B352,D352)</f>
        <v>0.015625</v>
      </c>
      <c r="C353" s="25" t="n">
        <f aca="false">IF(T352&gt;0,D352,C352)</f>
        <v>0.0625</v>
      </c>
      <c r="D353" s="41" t="n">
        <f aca="false">(B353+C353)/2</f>
        <v>0.0390625</v>
      </c>
      <c r="E353" s="15" t="n">
        <f aca="false">$C$2*(1+IF(E$3&lt;=$O$2,$D353,$D353-($D353-$I$346)*MIN(E$3-$O$2,$Q$2)/$Q$2))</f>
        <v>2285.9375</v>
      </c>
      <c r="F353" s="15" t="n">
        <f aca="false">E353*(1+IF(F$3&lt;=$O$2,$D353,$D353-($D353-$I$346)*MIN(F$3-$O$2,$Q$2)/$Q$2))</f>
        <v>2375.23193359375</v>
      </c>
      <c r="G353" s="15" t="n">
        <f aca="false">F353*(1+IF(G$3&lt;=$O$2,$D353,$D353-($D353-$I$346)*MIN(G$3-$O$2,$Q$2)/$Q$2))</f>
        <v>2468.01443099976</v>
      </c>
      <c r="H353" s="15" t="n">
        <f aca="false">G353*(1+IF(H$3&lt;=$O$2,$D353,$D353-($D353-$I$346)*MIN(H$3-$O$2,$Q$2)/$Q$2))</f>
        <v>2564.42124471068</v>
      </c>
      <c r="I353" s="15" t="n">
        <f aca="false">H353*(1+IF(I$3&lt;=$O$2,$D353,$D353-($D353-$I$346)*MIN(I$3-$O$2,$Q$2)/$Q$2))</f>
        <v>2664.5939495822</v>
      </c>
      <c r="J353" s="15" t="n">
        <f aca="false">I353*(1+IF(J$3&lt;=$O$2,$D353,$D353-($D353-$I$346)*MIN(J$3-$O$2,$Q$2)/$Q$2))</f>
        <v>2760.27951831169</v>
      </c>
      <c r="K353" s="15" t="n">
        <f aca="false">J353*(1+IF(K$3&lt;=$O$2,$D353,$D353-($D353-$I$346)*MIN(K$3-$O$2,$Q$2)/$Q$2))</f>
        <v>2850.69937463279</v>
      </c>
      <c r="L353" s="15" t="n">
        <f aca="false">K353*(1+IF(L$3&lt;=$O$2,$D353,$D353-($D353-$I$346)*MIN(L$3-$O$2,$Q$2)/$Q$2))</f>
        <v>2935.09432961879</v>
      </c>
      <c r="M353" s="15" t="n">
        <f aca="false">L353*(1+IF(M$3&lt;=$O$2,$D353,$D353-($D353-$I$346)*MIN(M$3-$O$2,$Q$2)/$Q$2))</f>
        <v>3012.73491237303</v>
      </c>
      <c r="N353" s="15" t="n">
        <f aca="false">M353*(1+IF(N$3&lt;=$O$2,$D353,$D353-($D353-$I$346)*MIN(N$3-$O$2,$Q$2)/$Q$2))</f>
        <v>3082.93163583132</v>
      </c>
      <c r="O353" s="15" t="n">
        <f aca="false">SUMPRODUCT(E353:N353,1/(1+$F$346)^$E$3:$N$3)*$E$2</f>
        <v>9286.81870251018</v>
      </c>
      <c r="P353" s="15" t="n">
        <f aca="false">N353*$E$2*(1+$I$346)/($F$346-$I$346)/(1+$F$346)^$N$3</f>
        <v>14181.0838075025</v>
      </c>
      <c r="Q353" s="15" t="n">
        <f aca="false">O353+P353</f>
        <v>23467.9025100127</v>
      </c>
      <c r="R353" s="15" t="n">
        <f aca="false">Q353-$G$2+$I$2</f>
        <v>25377.5625100127</v>
      </c>
      <c r="S353" s="42" t="n">
        <f aca="false">R353/$K$2</f>
        <v>108.437219630016</v>
      </c>
      <c r="T353" s="43" t="n">
        <f aca="false">S353-$M$2</f>
        <v>-1.54867961367039</v>
      </c>
    </row>
    <row r="354" customFormat="false" ht="15" hidden="false" customHeight="false" outlineLevel="0" collapsed="false">
      <c r="A354" s="5" t="n">
        <v>7</v>
      </c>
      <c r="B354" s="25" t="n">
        <f aca="false">IF(T353&gt;0,B353,D353)</f>
        <v>0.0390625</v>
      </c>
      <c r="C354" s="25" t="n">
        <f aca="false">IF(T353&gt;0,D353,C353)</f>
        <v>0.0625</v>
      </c>
      <c r="D354" s="41" t="n">
        <f aca="false">(B354+C354)/2</f>
        <v>0.05078125</v>
      </c>
      <c r="E354" s="15" t="n">
        <f aca="false">$C$2*(1+IF(E$3&lt;=$O$2,$D354,$D354-($D354-$I$346)*MIN(E$3-$O$2,$Q$2)/$Q$2))</f>
        <v>2311.71875</v>
      </c>
      <c r="F354" s="15" t="n">
        <f aca="false">E354*(1+IF(F$3&lt;=$O$2,$D354,$D354-($D354-$I$346)*MIN(F$3-$O$2,$Q$2)/$Q$2))</f>
        <v>2429.11071777344</v>
      </c>
      <c r="G354" s="15" t="n">
        <f aca="false">F354*(1+IF(G$3&lt;=$O$2,$D354,$D354-($D354-$I$346)*MIN(G$3-$O$2,$Q$2)/$Q$2))</f>
        <v>2552.46399641037</v>
      </c>
      <c r="H354" s="15" t="n">
        <f aca="false">G354*(1+IF(H$3&lt;=$O$2,$D354,$D354-($D354-$I$346)*MIN(H$3-$O$2,$Q$2)/$Q$2))</f>
        <v>2682.08130872808</v>
      </c>
      <c r="I354" s="15" t="n">
        <f aca="false">H354*(1+IF(I$3&lt;=$O$2,$D354,$D354-($D354-$I$346)*MIN(I$3-$O$2,$Q$2)/$Q$2))</f>
        <v>2818.28075018693</v>
      </c>
      <c r="J354" s="15" t="n">
        <f aca="false">I354*(1+IF(J$3&lt;=$O$2,$D354,$D354-($D354-$I$346)*MIN(J$3-$O$2,$Q$2)/$Q$2))</f>
        <v>2945.90659395915</v>
      </c>
      <c r="K354" s="15" t="n">
        <f aca="false">J354*(1+IF(K$3&lt;=$O$2,$D354,$D354-($D354-$I$346)*MIN(K$3-$O$2,$Q$2)/$Q$2))</f>
        <v>3063.12053494954</v>
      </c>
      <c r="L354" s="15" t="n">
        <f aca="false">K354*(1+IF(L$3&lt;=$O$2,$D354,$D354-($D354-$I$346)*MIN(L$3-$O$2,$Q$2)/$Q$2))</f>
        <v>3168.1625958943</v>
      </c>
      <c r="M354" s="15" t="n">
        <f aca="false">L354*(1+IF(M$3&lt;=$O$2,$D354,$D354-($D354-$I$346)*MIN(M$3-$O$2,$Q$2)/$Q$2))</f>
        <v>3259.39379804632</v>
      </c>
      <c r="N354" s="15" t="n">
        <f aca="false">M354*(1+IF(N$3&lt;=$O$2,$D354,$D354-($D354-$I$346)*MIN(N$3-$O$2,$Q$2)/$Q$2))</f>
        <v>3335.3376735408</v>
      </c>
      <c r="O354" s="15" t="n">
        <f aca="false">SUMPRODUCT(E354:N354,1/(1+$F$346)^$E$3:$N$3)*$E$2</f>
        <v>9777.9319771663</v>
      </c>
      <c r="P354" s="15" t="n">
        <f aca="false">N354*$E$2*(1+$I$346)/($F$346-$I$346)/(1+$F$346)^$N$3</f>
        <v>15342.1186915319</v>
      </c>
      <c r="Q354" s="15" t="n">
        <f aca="false">O354+P354</f>
        <v>25120.0506686981</v>
      </c>
      <c r="R354" s="15" t="n">
        <f aca="false">Q354-$G$2+$I$2</f>
        <v>27029.7106686981</v>
      </c>
      <c r="S354" s="42" t="n">
        <f aca="false">R354/$K$2</f>
        <v>115.496776775192</v>
      </c>
      <c r="T354" s="43" t="n">
        <f aca="false">S354-$M$2</f>
        <v>5.51087753150513</v>
      </c>
    </row>
    <row r="355" customFormat="false" ht="15" hidden="false" customHeight="false" outlineLevel="0" collapsed="false">
      <c r="A355" s="5" t="n">
        <v>8</v>
      </c>
      <c r="B355" s="25" t="n">
        <f aca="false">IF(T354&gt;0,B354,D354)</f>
        <v>0.0390625</v>
      </c>
      <c r="C355" s="25" t="n">
        <f aca="false">IF(T354&gt;0,D354,C354)</f>
        <v>0.05078125</v>
      </c>
      <c r="D355" s="41" t="n">
        <f aca="false">(B355+C355)/2</f>
        <v>0.044921875</v>
      </c>
      <c r="E355" s="15" t="n">
        <f aca="false">$C$2*(1+IF(E$3&lt;=$O$2,$D355,$D355-($D355-$I$346)*MIN(E$3-$O$2,$Q$2)/$Q$2))</f>
        <v>2298.828125</v>
      </c>
      <c r="F355" s="15" t="n">
        <f aca="false">E355*(1+IF(F$3&lt;=$O$2,$D355,$D355-($D355-$I$346)*MIN(F$3-$O$2,$Q$2)/$Q$2))</f>
        <v>2402.09579467773</v>
      </c>
      <c r="G355" s="15" t="n">
        <f aca="false">F355*(1+IF(G$3&lt;=$O$2,$D355,$D355-($D355-$I$346)*MIN(G$3-$O$2,$Q$2)/$Q$2))</f>
        <v>2510.00244170427</v>
      </c>
      <c r="H355" s="15" t="n">
        <f aca="false">G355*(1+IF(H$3&lt;=$O$2,$D355,$D355-($D355-$I$346)*MIN(H$3-$O$2,$Q$2)/$Q$2))</f>
        <v>2622.75645764021</v>
      </c>
      <c r="I355" s="15" t="n">
        <f aca="false">H355*(1+IF(I$3&lt;=$O$2,$D355,$D355-($D355-$I$346)*MIN(I$3-$O$2,$Q$2)/$Q$2))</f>
        <v>2740.57559538576</v>
      </c>
      <c r="J355" s="15" t="n">
        <f aca="false">I355*(1+IF(J$3&lt;=$O$2,$D355,$D355-($D355-$I$346)*MIN(J$3-$O$2,$Q$2)/$Q$2))</f>
        <v>2851.83611311944</v>
      </c>
      <c r="K355" s="15" t="n">
        <f aca="false">J355*(1+IF(K$3&lt;=$O$2,$D355,$D355-($D355-$I$346)*MIN(K$3-$O$2,$Q$2)/$Q$2))</f>
        <v>2955.28112093013</v>
      </c>
      <c r="L355" s="15" t="n">
        <f aca="false">K355*(1+IF(L$3&lt;=$O$2,$D355,$D355-($D355-$I$346)*MIN(L$3-$O$2,$Q$2)/$Q$2))</f>
        <v>3049.69865864245</v>
      </c>
      <c r="M355" s="15" t="n">
        <f aca="false">L355*(1+IF(M$3&lt;=$O$2,$D355,$D355-($D355-$I$346)*MIN(M$3-$O$2,$Q$2)/$Q$2))</f>
        <v>3133.94467802579</v>
      </c>
      <c r="N355" s="15" t="n">
        <f aca="false">M355*(1+IF(N$3&lt;=$O$2,$D355,$D355-($D355-$I$346)*MIN(N$3-$O$2,$Q$2)/$Q$2))</f>
        <v>3206.96558902379</v>
      </c>
      <c r="O355" s="15" t="n">
        <f aca="false">SUMPRODUCT(E355:N355,1/(1+$F$346)^$E$3:$N$3)*$E$2</f>
        <v>9529.19135714935</v>
      </c>
      <c r="P355" s="15" t="n">
        <f aca="false">N355*$E$2*(1+$I$346)/($F$346-$I$346)/(1+$F$346)^$N$3</f>
        <v>14751.623830108</v>
      </c>
      <c r="Q355" s="15" t="n">
        <f aca="false">O355+P355</f>
        <v>24280.8151872573</v>
      </c>
      <c r="R355" s="15" t="n">
        <f aca="false">Q355-$G$2+$I$2</f>
        <v>26190.4751872573</v>
      </c>
      <c r="S355" s="42" t="n">
        <f aca="false">R355/$K$2</f>
        <v>111.910760104505</v>
      </c>
      <c r="T355" s="43" t="n">
        <f aca="false">S355-$M$2</f>
        <v>1.92486086081831</v>
      </c>
    </row>
    <row r="356" customFormat="false" ht="15" hidden="false" customHeight="false" outlineLevel="0" collapsed="false">
      <c r="A356" s="5" t="n">
        <v>9</v>
      </c>
      <c r="B356" s="25" t="n">
        <f aca="false">IF(T355&gt;0,B355,D355)</f>
        <v>0.0390625</v>
      </c>
      <c r="C356" s="25" t="n">
        <f aca="false">IF(T355&gt;0,D355,C355)</f>
        <v>0.044921875</v>
      </c>
      <c r="D356" s="41" t="n">
        <f aca="false">(B356+C356)/2</f>
        <v>0.0419921875</v>
      </c>
      <c r="E356" s="15" t="n">
        <f aca="false">$C$2*(1+IF(E$3&lt;=$O$2,$D356,$D356-($D356-$I$346)*MIN(E$3-$O$2,$Q$2)/$Q$2))</f>
        <v>2292.3828125</v>
      </c>
      <c r="F356" s="15" t="n">
        <f aca="false">E356*(1+IF(F$3&lt;=$O$2,$D356,$D356-($D356-$I$346)*MIN(F$3-$O$2,$Q$2)/$Q$2))</f>
        <v>2388.64498138428</v>
      </c>
      <c r="G356" s="15" t="n">
        <f aca="false">F356*(1+IF(G$3&lt;=$O$2,$D356,$D356-($D356-$I$346)*MIN(G$3-$O$2,$Q$2)/$Q$2))</f>
        <v>2488.9494093135</v>
      </c>
      <c r="H356" s="15" t="n">
        <f aca="false">G356*(1+IF(H$3&lt;=$O$2,$D356,$D356-($D356-$I$346)*MIN(H$3-$O$2,$Q$2)/$Q$2))</f>
        <v>2593.46583958741</v>
      </c>
      <c r="I356" s="15" t="n">
        <f aca="false">H356*(1+IF(I$3&lt;=$O$2,$D356,$D356-($D356-$I$346)*MIN(I$3-$O$2,$Q$2)/$Q$2))</f>
        <v>2702.37114339821</v>
      </c>
      <c r="J356" s="15" t="n">
        <f aca="false">I356*(1+IF(J$3&lt;=$O$2,$D356,$D356-($D356-$I$346)*MIN(J$3-$O$2,$Q$2)/$Q$2))</f>
        <v>2805.74697352498</v>
      </c>
      <c r="K356" s="15" t="n">
        <f aca="false">J356*(1+IF(K$3&lt;=$O$2,$D356,$D356-($D356-$I$346)*MIN(K$3-$O$2,$Q$2)/$Q$2))</f>
        <v>2902.58820711212</v>
      </c>
      <c r="L356" s="15" t="n">
        <f aca="false">K356*(1+IF(L$3&lt;=$O$2,$D356,$D356-($D356-$I$346)*MIN(L$3-$O$2,$Q$2)/$Q$2))</f>
        <v>2991.92080153888</v>
      </c>
      <c r="M356" s="15" t="n">
        <f aca="false">L356*(1+IF(M$3&lt;=$O$2,$D356,$D356-($D356-$I$346)*MIN(M$3-$O$2,$Q$2)/$Q$2))</f>
        <v>3072.81766513624</v>
      </c>
      <c r="N356" s="15" t="n">
        <f aca="false">M356*(1+IF(N$3&lt;=$O$2,$D356,$D356-($D356-$I$346)*MIN(N$3-$O$2,$Q$2)/$Q$2))</f>
        <v>3144.41431673392</v>
      </c>
      <c r="O356" s="15" t="n">
        <f aca="false">SUMPRODUCT(E356:N356,1/(1+$F$346)^$E$3:$N$3)*$E$2</f>
        <v>9407.21865295135</v>
      </c>
      <c r="P356" s="15" t="n">
        <f aca="false">N356*$E$2*(1+$I$346)/($F$346-$I$346)/(1+$F$346)^$N$3</f>
        <v>14463.8961282352</v>
      </c>
      <c r="Q356" s="15" t="n">
        <f aca="false">O356+P356</f>
        <v>23871.1147811866</v>
      </c>
      <c r="R356" s="15" t="n">
        <f aca="false">Q356-$G$2+$I$2</f>
        <v>25780.7747811866</v>
      </c>
      <c r="S356" s="42" t="n">
        <f aca="false">R356/$K$2</f>
        <v>110.160128108305</v>
      </c>
      <c r="T356" s="43" t="n">
        <f aca="false">S356-$M$2</f>
        <v>0.174228864618016</v>
      </c>
    </row>
    <row r="357" customFormat="false" ht="15" hidden="false" customHeight="false" outlineLevel="0" collapsed="false">
      <c r="A357" s="5" t="n">
        <v>10</v>
      </c>
      <c r="B357" s="25" t="n">
        <f aca="false">IF(T356&gt;0,B356,D356)</f>
        <v>0.0390625</v>
      </c>
      <c r="C357" s="25" t="n">
        <f aca="false">IF(T356&gt;0,D356,C356)</f>
        <v>0.0419921875</v>
      </c>
      <c r="D357" s="41" t="n">
        <f aca="false">(B357+C357)/2</f>
        <v>0.04052734375</v>
      </c>
      <c r="E357" s="15" t="n">
        <f aca="false">$C$2*(1+IF(E$3&lt;=$O$2,$D357,$D357-($D357-$I$346)*MIN(E$3-$O$2,$Q$2)/$Q$2))</f>
        <v>2289.16015625</v>
      </c>
      <c r="F357" s="15" t="n">
        <f aca="false">E357*(1+IF(F$3&lt;=$O$2,$D357,$D357-($D357-$I$346)*MIN(F$3-$O$2,$Q$2)/$Q$2))</f>
        <v>2381.93373680115</v>
      </c>
      <c r="G357" s="15" t="n">
        <f aca="false">F357*(1+IF(G$3&lt;=$O$2,$D357,$D357-($D357-$I$346)*MIN(G$3-$O$2,$Q$2)/$Q$2))</f>
        <v>2478.46718414221</v>
      </c>
      <c r="H357" s="15" t="n">
        <f aca="false">G357*(1+IF(H$3&lt;=$O$2,$D357,$D357-($D357-$I$346)*MIN(H$3-$O$2,$Q$2)/$Q$2))</f>
        <v>2578.91287568704</v>
      </c>
      <c r="I357" s="15" t="n">
        <f aca="false">H357*(1+IF(I$3&lt;=$O$2,$D357,$D357-($D357-$I$346)*MIN(I$3-$O$2,$Q$2)/$Q$2))</f>
        <v>2683.4293643013</v>
      </c>
      <c r="J357" s="15" t="n">
        <f aca="false">I357*(1+IF(J$3&lt;=$O$2,$D357,$D357-($D357-$I$346)*MIN(J$3-$O$2,$Q$2)/$Q$2))</f>
        <v>2782.93595655966</v>
      </c>
      <c r="K357" s="15" t="n">
        <f aca="false">J357*(1+IF(K$3&lt;=$O$2,$D357,$D357-($D357-$I$346)*MIN(K$3-$O$2,$Q$2)/$Q$2))</f>
        <v>2876.54392096223</v>
      </c>
      <c r="L357" s="15" t="n">
        <f aca="false">K357*(1+IF(L$3&lt;=$O$2,$D357,$D357-($D357-$I$346)*MIN(L$3-$O$2,$Q$2)/$Q$2))</f>
        <v>2963.389478696</v>
      </c>
      <c r="M357" s="15" t="n">
        <f aca="false">L357*(1+IF(M$3&lt;=$O$2,$D357,$D357-($D357-$I$346)*MIN(M$3-$O$2,$Q$2)/$Q$2))</f>
        <v>3042.64671939255</v>
      </c>
      <c r="N357" s="15" t="n">
        <f aca="false">M357*(1+IF(N$3&lt;=$O$2,$D357,$D357-($D357-$I$346)*MIN(N$3-$O$2,$Q$2)/$Q$2))</f>
        <v>3113.54038795439</v>
      </c>
      <c r="O357" s="15" t="n">
        <f aca="false">SUMPRODUCT(E357:N357,1/(1+$F$346)^$E$3:$N$3)*$E$2</f>
        <v>9346.82327480119</v>
      </c>
      <c r="P357" s="15" t="n">
        <f aca="false">N357*$E$2*(1+$I$346)/($F$346-$I$346)/(1+$F$346)^$N$3</f>
        <v>14321.8800788358</v>
      </c>
      <c r="Q357" s="15" t="n">
        <f aca="false">O357+P357</f>
        <v>23668.703353637</v>
      </c>
      <c r="R357" s="15" t="n">
        <f aca="false">Q357-$G$2+$I$2</f>
        <v>25578.363353637</v>
      </c>
      <c r="S357" s="42" t="n">
        <f aca="false">R357/$K$2</f>
        <v>109.295232891668</v>
      </c>
      <c r="T357" s="43" t="n">
        <f aca="false">S357-$M$2</f>
        <v>-0.690666352019107</v>
      </c>
    </row>
    <row r="358" customFormat="false" ht="15" hidden="false" customHeight="false" outlineLevel="0" collapsed="false">
      <c r="A358" s="5" t="n">
        <v>11</v>
      </c>
      <c r="B358" s="25" t="n">
        <f aca="false">IF(T357&gt;0,B357,D357)</f>
        <v>0.04052734375</v>
      </c>
      <c r="C358" s="25" t="n">
        <f aca="false">IF(T357&gt;0,D357,C357)</f>
        <v>0.0419921875</v>
      </c>
      <c r="D358" s="41" t="n">
        <f aca="false">(B358+C358)/2</f>
        <v>0.041259765625</v>
      </c>
      <c r="E358" s="15" t="n">
        <f aca="false">$C$2*(1+IF(E$3&lt;=$O$2,$D358,$D358-($D358-$I$346)*MIN(E$3-$O$2,$Q$2)/$Q$2))</f>
        <v>2290.771484375</v>
      </c>
      <c r="F358" s="15" t="n">
        <f aca="false">E358*(1+IF(F$3&lt;=$O$2,$D358,$D358-($D358-$I$346)*MIN(F$3-$O$2,$Q$2)/$Q$2))</f>
        <v>2385.28817892075</v>
      </c>
      <c r="G358" s="15" t="n">
        <f aca="false">F358*(1+IF(G$3&lt;=$O$2,$D358,$D358-($D358-$I$346)*MIN(G$3-$O$2,$Q$2)/$Q$2))</f>
        <v>2483.7046101311</v>
      </c>
      <c r="H358" s="15" t="n">
        <f aca="false">G358*(1+IF(H$3&lt;=$O$2,$D358,$D358-($D358-$I$346)*MIN(H$3-$O$2,$Q$2)/$Q$2))</f>
        <v>2586.18168022684</v>
      </c>
      <c r="I358" s="15" t="n">
        <f aca="false">H358*(1+IF(I$3&lt;=$O$2,$D358,$D358-($D358-$I$346)*MIN(I$3-$O$2,$Q$2)/$Q$2))</f>
        <v>2692.88693021667</v>
      </c>
      <c r="J358" s="15" t="n">
        <f aca="false">I358*(1+IF(J$3&lt;=$O$2,$D358,$D358-($D358-$I$346)*MIN(J$3-$O$2,$Q$2)/$Q$2))</f>
        <v>2794.32209018777</v>
      </c>
      <c r="K358" s="15" t="n">
        <f aca="false">J358*(1+IF(K$3&lt;=$O$2,$D358,$D358-($D358-$I$346)*MIN(K$3-$O$2,$Q$2)/$Q$2))</f>
        <v>2889.54101678146</v>
      </c>
      <c r="L358" s="15" t="n">
        <f aca="false">K358*(1+IF(L$3&lt;=$O$2,$D358,$D358-($D358-$I$346)*MIN(L$3-$O$2,$Q$2)/$Q$2))</f>
        <v>2977.62551424256</v>
      </c>
      <c r="M358" s="15" t="n">
        <f aca="false">L358*(1+IF(M$3&lt;=$O$2,$D358,$D358-($D358-$I$346)*MIN(M$3-$O$2,$Q$2)/$Q$2))</f>
        <v>3057.69967999538</v>
      </c>
      <c r="N358" s="15" t="n">
        <f aca="false">M358*(1+IF(N$3&lt;=$O$2,$D358,$D358-($D358-$I$346)*MIN(N$3-$O$2,$Q$2)/$Q$2))</f>
        <v>3128.94408253927</v>
      </c>
      <c r="O358" s="15" t="n">
        <f aca="false">SUMPRODUCT(E358:N358,1/(1+$F$346)^$E$3:$N$3)*$E$2</f>
        <v>9376.97196472355</v>
      </c>
      <c r="P358" s="15" t="n">
        <f aca="false">N358*$E$2*(1+$I$346)/($F$346-$I$346)/(1+$F$346)^$N$3</f>
        <v>14392.7350667682</v>
      </c>
      <c r="Q358" s="15" t="n">
        <f aca="false">O358+P358</f>
        <v>23769.7070314917</v>
      </c>
      <c r="R358" s="15" t="n">
        <f aca="false">Q358-$G$2+$I$2</f>
        <v>25679.3670314917</v>
      </c>
      <c r="S358" s="42" t="n">
        <f aca="false">R358/$K$2</f>
        <v>109.726817209297</v>
      </c>
      <c r="T358" s="43" t="n">
        <f aca="false">S358-$M$2</f>
        <v>-0.259082034389863</v>
      </c>
    </row>
    <row r="359" customFormat="false" ht="15" hidden="false" customHeight="false" outlineLevel="0" collapsed="false">
      <c r="A359" s="5" t="n">
        <v>12</v>
      </c>
      <c r="B359" s="25" t="n">
        <f aca="false">IF(T358&gt;0,B358,D358)</f>
        <v>0.041259765625</v>
      </c>
      <c r="C359" s="25" t="n">
        <f aca="false">IF(T358&gt;0,D358,C358)</f>
        <v>0.0419921875</v>
      </c>
      <c r="D359" s="41" t="n">
        <f aca="false">(B359+C359)/2</f>
        <v>0.0416259765625</v>
      </c>
      <c r="E359" s="15" t="n">
        <f aca="false">$C$2*(1+IF(E$3&lt;=$O$2,$D359,$D359-($D359-$I$346)*MIN(E$3-$O$2,$Q$2)/$Q$2))</f>
        <v>2291.5771484375</v>
      </c>
      <c r="F359" s="15" t="n">
        <f aca="false">E359*(1+IF(F$3&lt;=$O$2,$D359,$D359-($D359-$I$346)*MIN(F$3-$O$2,$Q$2)/$Q$2))</f>
        <v>2386.96628510952</v>
      </c>
      <c r="G359" s="15" t="n">
        <f aca="false">F359*(1+IF(G$3&lt;=$O$2,$D359,$D359-($D359-$I$346)*MIN(G$3-$O$2,$Q$2)/$Q$2))</f>
        <v>2486.32608774897</v>
      </c>
      <c r="H359" s="15" t="n">
        <f aca="false">G359*(1+IF(H$3&lt;=$O$2,$D359,$D359-($D359-$I$346)*MIN(H$3-$O$2,$Q$2)/$Q$2))</f>
        <v>2589.82183920434</v>
      </c>
      <c r="I359" s="15" t="n">
        <f aca="false">H359*(1+IF(I$3&lt;=$O$2,$D359,$D359-($D359-$I$346)*MIN(I$3-$O$2,$Q$2)/$Q$2))</f>
        <v>2697.62570238411</v>
      </c>
      <c r="J359" s="15" t="n">
        <f aca="false">I359*(1+IF(J$3&lt;=$O$2,$D359,$D359-($D359-$I$346)*MIN(J$3-$O$2,$Q$2)/$Q$2))</f>
        <v>2800.02968156669</v>
      </c>
      <c r="K359" s="15" t="n">
        <f aca="false">J359*(1+IF(K$3&lt;=$O$2,$D359,$D359-($D359-$I$346)*MIN(K$3-$O$2,$Q$2)/$Q$2))</f>
        <v>2896.05834013841</v>
      </c>
      <c r="L359" s="15" t="n">
        <f aca="false">K359*(1+IF(L$3&lt;=$O$2,$D359,$D359-($D359-$I$346)*MIN(L$3-$O$2,$Q$2)/$Q$2))</f>
        <v>2984.76573836964</v>
      </c>
      <c r="M359" s="15" t="n">
        <f aca="false">L359*(1+IF(M$3&lt;=$O$2,$D359,$D359-($D359-$I$346)*MIN(M$3-$O$2,$Q$2)/$Q$2))</f>
        <v>3065.25052946683</v>
      </c>
      <c r="N359" s="15" t="n">
        <f aca="false">M359*(1+IF(N$3&lt;=$O$2,$D359,$D359-($D359-$I$346)*MIN(N$3-$O$2,$Q$2)/$Q$2))</f>
        <v>3136.67086680341</v>
      </c>
      <c r="O359" s="15" t="n">
        <f aca="false">SUMPRODUCT(E359:N359,1/(1+$F$346)^$E$3:$N$3)*$E$2</f>
        <v>9392.08304045386</v>
      </c>
      <c r="P359" s="15" t="n">
        <f aca="false">N359*$E$2*(1+$I$346)/($F$346-$I$346)/(1+$F$346)^$N$3</f>
        <v>14428.2772675549</v>
      </c>
      <c r="Q359" s="15" t="n">
        <f aca="false">O359+P359</f>
        <v>23820.3603080087</v>
      </c>
      <c r="R359" s="15" t="n">
        <f aca="false">Q359-$G$2+$I$2</f>
        <v>25730.0203080087</v>
      </c>
      <c r="S359" s="42" t="n">
        <f aca="false">R359/$K$2</f>
        <v>109.943256454338</v>
      </c>
      <c r="T359" s="43" t="n">
        <f aca="false">S359-$M$2</f>
        <v>-0.0426427893487187</v>
      </c>
    </row>
    <row r="360" customFormat="false" ht="15" hidden="false" customHeight="false" outlineLevel="0" collapsed="false">
      <c r="A360" s="5" t="n">
        <v>13</v>
      </c>
      <c r="B360" s="25" t="n">
        <f aca="false">IF(T359&gt;0,B359,D359)</f>
        <v>0.0416259765625</v>
      </c>
      <c r="C360" s="25" t="n">
        <f aca="false">IF(T359&gt;0,D359,C359)</f>
        <v>0.0419921875</v>
      </c>
      <c r="D360" s="41" t="n">
        <f aca="false">(B360+C360)/2</f>
        <v>0.04180908203125</v>
      </c>
      <c r="E360" s="15" t="n">
        <f aca="false">$C$2*(1+IF(E$3&lt;=$O$2,$D360,$D360-($D360-$I$346)*MIN(E$3-$O$2,$Q$2)/$Q$2))</f>
        <v>2291.97998046875</v>
      </c>
      <c r="F360" s="15" t="n">
        <f aca="false">E360*(1+IF(F$3&lt;=$O$2,$D360,$D360-($D360-$I$346)*MIN(F$3-$O$2,$Q$2)/$Q$2))</f>
        <v>2387.80555948615</v>
      </c>
      <c r="G360" s="15" t="n">
        <f aca="false">F360*(1+IF(G$3&lt;=$O$2,$D360,$D360-($D360-$I$346)*MIN(G$3-$O$2,$Q$2)/$Q$2))</f>
        <v>2487.63751799738</v>
      </c>
      <c r="H360" s="15" t="n">
        <f aca="false">G360*(1+IF(H$3&lt;=$O$2,$D360,$D360-($D360-$I$346)*MIN(H$3-$O$2,$Q$2)/$Q$2))</f>
        <v>2591.64335905135</v>
      </c>
      <c r="I360" s="15" t="n">
        <f aca="false">H360*(1+IF(I$3&lt;=$O$2,$D360,$D360-($D360-$I$346)*MIN(I$3-$O$2,$Q$2)/$Q$2))</f>
        <v>2699.99758884567</v>
      </c>
      <c r="J360" s="15" t="n">
        <f aca="false">I360*(1+IF(J$3&lt;=$O$2,$D360,$D360-($D360-$I$346)*MIN(J$3-$O$2,$Q$2)/$Q$2))</f>
        <v>2802.88711415067</v>
      </c>
      <c r="K360" s="15" t="n">
        <f aca="false">J360*(1+IF(K$3&lt;=$O$2,$D360,$D360-($D360-$I$346)*MIN(K$3-$O$2,$Q$2)/$Q$2))</f>
        <v>2899.32170442247</v>
      </c>
      <c r="L360" s="15" t="n">
        <f aca="false">K360*(1+IF(L$3&lt;=$O$2,$D360,$D360-($D360-$I$346)*MIN(L$3-$O$2,$Q$2)/$Q$2))</f>
        <v>2988.34141344037</v>
      </c>
      <c r="M360" s="15" t="n">
        <f aca="false">L360*(1+IF(M$3&lt;=$O$2,$D360,$D360-($D360-$I$346)*MIN(M$3-$O$2,$Q$2)/$Q$2))</f>
        <v>3069.03205964528</v>
      </c>
      <c r="N360" s="15" t="n">
        <f aca="false">M360*(1+IF(N$3&lt;=$O$2,$D360,$D360-($D360-$I$346)*MIN(N$3-$O$2,$Q$2)/$Q$2))</f>
        <v>3140.54050663502</v>
      </c>
      <c r="O360" s="15" t="n">
        <f aca="false">SUMPRODUCT(E360:N360,1/(1+$F$346)^$E$3:$N$3)*$E$2</f>
        <v>9399.64777727959</v>
      </c>
      <c r="P360" s="15" t="n">
        <f aca="false">N360*$E$2*(1+$I$346)/($F$346-$I$346)/(1+$F$346)^$N$3</f>
        <v>14446.077106552</v>
      </c>
      <c r="Q360" s="15" t="n">
        <f aca="false">O360+P360</f>
        <v>23845.7248838316</v>
      </c>
      <c r="R360" s="15" t="n">
        <f aca="false">Q360-$G$2+$I$2</f>
        <v>25755.3848838316</v>
      </c>
      <c r="S360" s="42" t="n">
        <f aca="false">R360/$K$2</f>
        <v>110.051638182419</v>
      </c>
      <c r="T360" s="43" t="n">
        <f aca="false">S360-$M$2</f>
        <v>0.0657389387324656</v>
      </c>
    </row>
    <row r="361" customFormat="false" ht="15" hidden="false" customHeight="false" outlineLevel="0" collapsed="false">
      <c r="A361" s="5" t="n">
        <v>14</v>
      </c>
      <c r="B361" s="25" t="n">
        <f aca="false">IF(T360&gt;0,B360,D360)</f>
        <v>0.0416259765625</v>
      </c>
      <c r="C361" s="25" t="n">
        <f aca="false">IF(T360&gt;0,D360,C360)</f>
        <v>0.04180908203125</v>
      </c>
      <c r="D361" s="41" t="n">
        <f aca="false">(B361+C361)/2</f>
        <v>0.041717529296875</v>
      </c>
      <c r="E361" s="15" t="n">
        <f aca="false">$C$2*(1+IF(E$3&lt;=$O$2,$D361,$D361-($D361-$I$346)*MIN(E$3-$O$2,$Q$2)/$Q$2))</f>
        <v>2291.77856445313</v>
      </c>
      <c r="F361" s="15" t="n">
        <f aca="false">E361*(1+IF(F$3&lt;=$O$2,$D361,$D361-($D361-$I$346)*MIN(F$3-$O$2,$Q$2)/$Q$2))</f>
        <v>2387.38590385765</v>
      </c>
      <c r="G361" s="15" t="n">
        <f aca="false">F361*(1+IF(G$3&lt;=$O$2,$D361,$D361-($D361-$I$346)*MIN(G$3-$O$2,$Q$2)/$Q$2))</f>
        <v>2486.98174524478</v>
      </c>
      <c r="H361" s="15" t="n">
        <f aca="false">G361*(1+IF(H$3&lt;=$O$2,$D361,$D361-($D361-$I$346)*MIN(H$3-$O$2,$Q$2)/$Q$2))</f>
        <v>2590.73247906282</v>
      </c>
      <c r="I361" s="15" t="n">
        <f aca="false">H361*(1+IF(I$3&lt;=$O$2,$D361,$D361-($D361-$I$346)*MIN(I$3-$O$2,$Q$2)/$Q$2))</f>
        <v>2698.81143715849</v>
      </c>
      <c r="J361" s="15" t="n">
        <f aca="false">I361*(1+IF(J$3&lt;=$O$2,$D361,$D361-($D361-$I$346)*MIN(J$3-$O$2,$Q$2)/$Q$2))</f>
        <v>2801.45809461277</v>
      </c>
      <c r="K361" s="15" t="n">
        <f aca="false">J361*(1+IF(K$3&lt;=$O$2,$D361,$D361-($D361-$I$346)*MIN(K$3-$O$2,$Q$2)/$Q$2))</f>
        <v>2897.68963013614</v>
      </c>
      <c r="L361" s="15" t="n">
        <f aca="false">K361*(1+IF(L$3&lt;=$O$2,$D361,$D361-($D361-$I$346)*MIN(L$3-$O$2,$Q$2)/$Q$2))</f>
        <v>2986.55311198083</v>
      </c>
      <c r="M361" s="15" t="n">
        <f aca="false">L361*(1+IF(M$3&lt;=$O$2,$D361,$D361-($D361-$I$346)*MIN(M$3-$O$2,$Q$2)/$Q$2))</f>
        <v>3067.1407853773</v>
      </c>
      <c r="N361" s="15" t="n">
        <f aca="false">M361*(1+IF(N$3&lt;=$O$2,$D361,$D361-($D361-$I$346)*MIN(N$3-$O$2,$Q$2)/$Q$2))</f>
        <v>3138.60516567659</v>
      </c>
      <c r="O361" s="15" t="n">
        <f aca="false">SUMPRODUCT(E361:N361,1/(1+$F$346)^$E$3:$N$3)*$E$2</f>
        <v>9395.86464180198</v>
      </c>
      <c r="P361" s="15" t="n">
        <f aca="false">N361*$E$2*(1+$I$346)/($F$346-$I$346)/(1+$F$346)^$N$3</f>
        <v>14437.1747903252</v>
      </c>
      <c r="Q361" s="15" t="n">
        <f aca="false">O361+P361</f>
        <v>23833.0394321272</v>
      </c>
      <c r="R361" s="15" t="n">
        <f aca="false">Q361-$G$2+$I$2</f>
        <v>25742.6994321272</v>
      </c>
      <c r="S361" s="42" t="n">
        <f aca="false">R361/$K$2</f>
        <v>109.997433799629</v>
      </c>
      <c r="T361" s="43" t="n">
        <f aca="false">S361-$M$2</f>
        <v>0.0115345559424469</v>
      </c>
    </row>
    <row r="362" customFormat="false" ht="15" hidden="false" customHeight="false" outlineLevel="0" collapsed="false">
      <c r="A362" s="5" t="n">
        <v>15</v>
      </c>
      <c r="B362" s="25" t="n">
        <f aca="false">IF(T361&gt;0,B361,D361)</f>
        <v>0.0416259765625</v>
      </c>
      <c r="C362" s="25" t="n">
        <f aca="false">IF(T361&gt;0,D361,C361)</f>
        <v>0.041717529296875</v>
      </c>
      <c r="D362" s="41" t="n">
        <f aca="false">(B362+C362)/2</f>
        <v>0.0416717529296875</v>
      </c>
      <c r="E362" s="15" t="n">
        <f aca="false">$C$2*(1+IF(E$3&lt;=$O$2,$D362,$D362-($D362-$I$346)*MIN(E$3-$O$2,$Q$2)/$Q$2))</f>
        <v>2291.67785644531</v>
      </c>
      <c r="F362" s="15" t="n">
        <f aca="false">E362*(1+IF(F$3&lt;=$O$2,$D362,$D362-($D362-$I$346)*MIN(F$3-$O$2,$Q$2)/$Q$2))</f>
        <v>2387.17608987354</v>
      </c>
      <c r="G362" s="15" t="n">
        <f aca="false">F362*(1+IF(G$3&lt;=$O$2,$D362,$D362-($D362-$I$346)*MIN(G$3-$O$2,$Q$2)/$Q$2))</f>
        <v>2486.65390209041</v>
      </c>
      <c r="H362" s="15" t="n">
        <f aca="false">G362*(1+IF(H$3&lt;=$O$2,$D362,$D362-($D362-$I$346)*MIN(H$3-$O$2,$Q$2)/$Q$2))</f>
        <v>2590.27712911996</v>
      </c>
      <c r="I362" s="15" t="n">
        <f aca="false">H362*(1+IF(I$3&lt;=$O$2,$D362,$D362-($D362-$I$346)*MIN(I$3-$O$2,$Q$2)/$Q$2))</f>
        <v>2698.21851766407</v>
      </c>
      <c r="J362" s="15" t="n">
        <f aca="false">I362*(1+IF(J$3&lt;=$O$2,$D362,$D362-($D362-$I$346)*MIN(J$3-$O$2,$Q$2)/$Q$2))</f>
        <v>2800.74381229111</v>
      </c>
      <c r="K362" s="15" t="n">
        <f aca="false">J362*(1+IF(K$3&lt;=$O$2,$D362,$D362-($D362-$I$346)*MIN(K$3-$O$2,$Q$2)/$Q$2))</f>
        <v>2896.87388712075</v>
      </c>
      <c r="L362" s="15" t="n">
        <f aca="false">K362*(1+IF(L$3&lt;=$O$2,$D362,$D362-($D362-$I$346)*MIN(L$3-$O$2,$Q$2)/$Q$2))</f>
        <v>2985.65930921972</v>
      </c>
      <c r="M362" s="15" t="n">
        <f aca="false">L362*(1+IF(M$3&lt;=$O$2,$D362,$D362-($D362-$I$346)*MIN(M$3-$O$2,$Q$2)/$Q$2))</f>
        <v>3066.19553015678</v>
      </c>
      <c r="N362" s="15" t="n">
        <f aca="false">M362*(1+IF(N$3&lt;=$O$2,$D362,$D362-($D362-$I$346)*MIN(N$3-$O$2,$Q$2)/$Q$2))</f>
        <v>3137.63788600943</v>
      </c>
      <c r="O362" s="15" t="n">
        <f aca="false">SUMPRODUCT(E362:N362,1/(1+$F$346)^$E$3:$N$3)*$E$2</f>
        <v>9393.9736493981</v>
      </c>
      <c r="P362" s="15" t="n">
        <f aca="false">N362*$E$2*(1+$I$346)/($F$346-$I$346)/(1+$F$346)^$N$3</f>
        <v>14432.7254298964</v>
      </c>
      <c r="Q362" s="15" t="n">
        <f aca="false">O362+P362</f>
        <v>23826.6990792945</v>
      </c>
      <c r="R362" s="15" t="n">
        <f aca="false">Q362-$G$2+$I$2</f>
        <v>25736.3590792945</v>
      </c>
      <c r="S362" s="42" t="n">
        <f aca="false">R362/$K$2</f>
        <v>109.970341748043</v>
      </c>
      <c r="T362" s="43" t="n">
        <f aca="false">S362-$M$2</f>
        <v>-0.0155574956437192</v>
      </c>
    </row>
    <row r="363" customFormat="false" ht="15" hidden="false" customHeight="false" outlineLevel="0" collapsed="false">
      <c r="A363" s="5" t="n">
        <v>16</v>
      </c>
      <c r="B363" s="25" t="n">
        <f aca="false">IF(T362&gt;0,B362,D362)</f>
        <v>0.0416717529296875</v>
      </c>
      <c r="C363" s="25" t="n">
        <f aca="false">IF(T362&gt;0,D362,C362)</f>
        <v>0.041717529296875</v>
      </c>
      <c r="D363" s="41" t="n">
        <f aca="false">(B363+C363)/2</f>
        <v>0.0416946411132813</v>
      </c>
      <c r="E363" s="15" t="n">
        <f aca="false">$C$2*(1+IF(E$3&lt;=$O$2,$D363,$D363-($D363-$I$346)*MIN(E$3-$O$2,$Q$2)/$Q$2))</f>
        <v>2291.72821044922</v>
      </c>
      <c r="F363" s="15" t="n">
        <f aca="false">E363*(1+IF(F$3&lt;=$O$2,$D363,$D363-($D363-$I$346)*MIN(F$3-$O$2,$Q$2)/$Q$2))</f>
        <v>2387.28099571308</v>
      </c>
      <c r="G363" s="15" t="n">
        <f aca="false">F363*(1+IF(G$3&lt;=$O$2,$D363,$D363-($D363-$I$346)*MIN(G$3-$O$2,$Q$2)/$Q$2))</f>
        <v>2486.8178200659</v>
      </c>
      <c r="H363" s="15" t="n">
        <f aca="false">G363*(1+IF(H$3&lt;=$O$2,$D363,$D363-($D363-$I$346)*MIN(H$3-$O$2,$Q$2)/$Q$2))</f>
        <v>2590.50479658765</v>
      </c>
      <c r="I363" s="15" t="n">
        <f aca="false">H363*(1+IF(I$3&lt;=$O$2,$D363,$D363-($D363-$I$346)*MIN(I$3-$O$2,$Q$2)/$Q$2))</f>
        <v>2698.51496438361</v>
      </c>
      <c r="J363" s="15" t="n">
        <f aca="false">I363*(1+IF(J$3&lt;=$O$2,$D363,$D363-($D363-$I$346)*MIN(J$3-$O$2,$Q$2)/$Q$2))</f>
        <v>2801.10093450067</v>
      </c>
      <c r="K363" s="15" t="n">
        <f aca="false">J363*(1+IF(K$3&lt;=$O$2,$D363,$D363-($D363-$I$346)*MIN(K$3-$O$2,$Q$2)/$Q$2))</f>
        <v>2897.28173412187</v>
      </c>
      <c r="L363" s="15" t="n">
        <f aca="false">K363*(1+IF(L$3&lt;=$O$2,$D363,$D363-($D363-$I$346)*MIN(L$3-$O$2,$Q$2)/$Q$2))</f>
        <v>2986.1061816082</v>
      </c>
      <c r="M363" s="15" t="n">
        <f aca="false">L363*(1+IF(M$3&lt;=$O$2,$D363,$D363-($D363-$I$346)*MIN(M$3-$O$2,$Q$2)/$Q$2))</f>
        <v>3066.66812594704</v>
      </c>
      <c r="N363" s="15" t="n">
        <f aca="false">M363*(1+IF(N$3&lt;=$O$2,$D363,$D363-($D363-$I$346)*MIN(N$3-$O$2,$Q$2)/$Q$2))</f>
        <v>3138.12149328161</v>
      </c>
      <c r="O363" s="15" t="n">
        <f aca="false">SUMPRODUCT(E363:N363,1/(1+$F$346)^$E$3:$N$3)*$E$2</f>
        <v>9394.91909766304</v>
      </c>
      <c r="P363" s="15" t="n">
        <f aca="false">N363*$E$2*(1+$I$346)/($F$346-$I$346)/(1+$F$346)^$N$3</f>
        <v>14434.9499603326</v>
      </c>
      <c r="Q363" s="15" t="n">
        <f aca="false">O363+P363</f>
        <v>23829.8690579956</v>
      </c>
      <c r="R363" s="15" t="n">
        <f aca="false">Q363-$G$2+$I$2</f>
        <v>25739.5290579956</v>
      </c>
      <c r="S363" s="42" t="n">
        <f aca="false">R363/$K$2</f>
        <v>109.983886929008</v>
      </c>
      <c r="T363" s="43" t="n">
        <f aca="false">S363-$M$2</f>
        <v>-0.00201231467912066</v>
      </c>
    </row>
    <row r="364" customFormat="false" ht="15" hidden="false" customHeight="false" outlineLevel="0" collapsed="false">
      <c r="A364" s="5" t="n">
        <v>17</v>
      </c>
      <c r="B364" s="25" t="n">
        <f aca="false">IF(T363&gt;0,B363,D363)</f>
        <v>0.0416946411132813</v>
      </c>
      <c r="C364" s="25" t="n">
        <f aca="false">IF(T363&gt;0,D363,C363)</f>
        <v>0.041717529296875</v>
      </c>
      <c r="D364" s="41" t="n">
        <f aca="false">(B364+C364)/2</f>
        <v>0.0417060852050781</v>
      </c>
      <c r="E364" s="15" t="n">
        <f aca="false">$C$2*(1+IF(E$3&lt;=$O$2,$D364,$D364-($D364-$I$346)*MIN(E$3-$O$2,$Q$2)/$Q$2))</f>
        <v>2291.75338745117</v>
      </c>
      <c r="F364" s="15" t="n">
        <f aca="false">E364*(1+IF(F$3&lt;=$O$2,$D364,$D364-($D364-$I$346)*MIN(F$3-$O$2,$Q$2)/$Q$2))</f>
        <v>2387.33344949724</v>
      </c>
      <c r="G364" s="15" t="n">
        <f aca="false">F364*(1+IF(G$3&lt;=$O$2,$D364,$D364-($D364-$I$346)*MIN(G$3-$O$2,$Q$2)/$Q$2))</f>
        <v>2486.8997817549</v>
      </c>
      <c r="H364" s="15" t="n">
        <f aca="false">G364*(1+IF(H$3&lt;=$O$2,$D364,$D364-($D364-$I$346)*MIN(H$3-$O$2,$Q$2)/$Q$2))</f>
        <v>2590.61863594926</v>
      </c>
      <c r="I364" s="15" t="n">
        <f aca="false">H364*(1+IF(I$3&lt;=$O$2,$D364,$D364-($D364-$I$346)*MIN(I$3-$O$2,$Q$2)/$Q$2))</f>
        <v>2698.66319751403</v>
      </c>
      <c r="J364" s="15" t="n">
        <f aca="false">I364*(1+IF(J$3&lt;=$O$2,$D364,$D364-($D364-$I$346)*MIN(J$3-$O$2,$Q$2)/$Q$2))</f>
        <v>2801.2795098187</v>
      </c>
      <c r="K364" s="15" t="n">
        <f aca="false">J364*(1+IF(K$3&lt;=$O$2,$D364,$D364-($D364-$I$346)*MIN(K$3-$O$2,$Q$2)/$Q$2))</f>
        <v>2897.48567600206</v>
      </c>
      <c r="L364" s="15" t="n">
        <f aca="false">K364*(1+IF(L$3&lt;=$O$2,$D364,$D364-($D364-$I$346)*MIN(L$3-$O$2,$Q$2)/$Q$2))</f>
        <v>2986.3296395461</v>
      </c>
      <c r="M364" s="15" t="n">
        <f aca="false">L364*(1+IF(M$3&lt;=$O$2,$D364,$D364-($D364-$I$346)*MIN(M$3-$O$2,$Q$2)/$Q$2))</f>
        <v>3066.90444770671</v>
      </c>
      <c r="N364" s="15" t="n">
        <f aca="false">M364*(1+IF(N$3&lt;=$O$2,$D364,$D364-($D364-$I$346)*MIN(N$3-$O$2,$Q$2)/$Q$2))</f>
        <v>3138.36332133828</v>
      </c>
      <c r="O364" s="15" t="n">
        <f aca="false">SUMPRODUCT(E364:N364,1/(1+$F$346)^$E$3:$N$3)*$E$2</f>
        <v>9395.39185774769</v>
      </c>
      <c r="P364" s="15" t="n">
        <f aca="false">N364*$E$2*(1+$I$346)/($F$346-$I$346)/(1+$F$346)^$N$3</f>
        <v>14436.0623378822</v>
      </c>
      <c r="Q364" s="15" t="n">
        <f aca="false">O364+P364</f>
        <v>23831.4541956299</v>
      </c>
      <c r="R364" s="15" t="n">
        <f aca="false">Q364-$G$2+$I$2</f>
        <v>25741.1141956299</v>
      </c>
      <c r="S364" s="42" t="n">
        <f aca="false">R364/$K$2</f>
        <v>109.9906601531</v>
      </c>
      <c r="T364" s="43" t="n">
        <f aca="false">S364-$M$2</f>
        <v>0.004760909412866</v>
      </c>
    </row>
    <row r="365" customFormat="false" ht="15" hidden="false" customHeight="false" outlineLevel="0" collapsed="false">
      <c r="A365" s="5" t="n">
        <v>18</v>
      </c>
      <c r="B365" s="25" t="n">
        <f aca="false">IF(T364&gt;0,B364,D364)</f>
        <v>0.0416946411132813</v>
      </c>
      <c r="C365" s="25" t="n">
        <f aca="false">IF(T364&gt;0,D364,C364)</f>
        <v>0.0417060852050781</v>
      </c>
      <c r="D365" s="41" t="n">
        <f aca="false">(B365+C365)/2</f>
        <v>0.0417003631591797</v>
      </c>
      <c r="E365" s="15" t="n">
        <f aca="false">$C$2*(1+IF(E$3&lt;=$O$2,$D365,$D365-($D365-$I$346)*MIN(E$3-$O$2,$Q$2)/$Q$2))</f>
        <v>2291.7407989502</v>
      </c>
      <c r="F365" s="15" t="n">
        <f aca="false">E365*(1+IF(F$3&lt;=$O$2,$D365,$D365-($D365-$I$346)*MIN(F$3-$O$2,$Q$2)/$Q$2))</f>
        <v>2387.30722253313</v>
      </c>
      <c r="G365" s="15" t="n">
        <f aca="false">F365*(1+IF(G$3&lt;=$O$2,$D365,$D365-($D365-$I$346)*MIN(G$3-$O$2,$Q$2)/$Q$2))</f>
        <v>2486.85880068529</v>
      </c>
      <c r="H365" s="15" t="n">
        <f aca="false">G365*(1+IF(H$3&lt;=$O$2,$D365,$D365-($D365-$I$346)*MIN(H$3-$O$2,$Q$2)/$Q$2))</f>
        <v>2590.56171579947</v>
      </c>
      <c r="I365" s="15" t="n">
        <f aca="false">H365*(1+IF(I$3&lt;=$O$2,$D365,$D365-($D365-$I$346)*MIN(I$3-$O$2,$Q$2)/$Q$2))</f>
        <v>2698.58908013458</v>
      </c>
      <c r="J365" s="15" t="n">
        <f aca="false">I365*(1+IF(J$3&lt;=$O$2,$D365,$D365-($D365-$I$346)*MIN(J$3-$O$2,$Q$2)/$Q$2))</f>
        <v>2801.19022097521</v>
      </c>
      <c r="K365" s="15" t="n">
        <f aca="false">J365*(1+IF(K$3&lt;=$O$2,$D365,$D365-($D365-$I$346)*MIN(K$3-$O$2,$Q$2)/$Q$2))</f>
        <v>2897.38370353026</v>
      </c>
      <c r="L365" s="15" t="n">
        <f aca="false">K365*(1+IF(L$3&lt;=$O$2,$D365,$D365-($D365-$I$346)*MIN(L$3-$O$2,$Q$2)/$Q$2))</f>
        <v>2986.2179087651</v>
      </c>
      <c r="M365" s="15" t="n">
        <f aca="false">L365*(1+IF(M$3&lt;=$O$2,$D365,$D365-($D365-$I$346)*MIN(M$3-$O$2,$Q$2)/$Q$2))</f>
        <v>3066.78628483807</v>
      </c>
      <c r="N365" s="15" t="n">
        <f aca="false">M365*(1+IF(N$3&lt;=$O$2,$D365,$D365-($D365-$I$346)*MIN(N$3-$O$2,$Q$2)/$Q$2))</f>
        <v>3138.2424052748</v>
      </c>
      <c r="O365" s="15" t="n">
        <f aca="false">SUMPRODUCT(E365:N365,1/(1+$F$346)^$E$3:$N$3)*$E$2</f>
        <v>9395.15547470923</v>
      </c>
      <c r="P365" s="15" t="n">
        <f aca="false">N365*$E$2*(1+$I$346)/($F$346-$I$346)/(1+$F$346)^$N$3</f>
        <v>14435.506139746</v>
      </c>
      <c r="Q365" s="15" t="n">
        <f aca="false">O365+P365</f>
        <v>23830.6616144552</v>
      </c>
      <c r="R365" s="15" t="n">
        <f aca="false">Q365-$G$2+$I$2</f>
        <v>25740.3216144552</v>
      </c>
      <c r="S365" s="42" t="n">
        <f aca="false">R365/$K$2</f>
        <v>109.98727348825</v>
      </c>
      <c r="T365" s="43" t="n">
        <f aca="false">S365-$M$2</f>
        <v>0.00137424456364954</v>
      </c>
    </row>
    <row r="366" customFormat="false" ht="15" hidden="false" customHeight="false" outlineLevel="0" collapsed="false">
      <c r="A366" s="5" t="n">
        <v>19</v>
      </c>
      <c r="B366" s="25" t="n">
        <f aca="false">IF(T365&gt;0,B365,D365)</f>
        <v>0.0416946411132813</v>
      </c>
      <c r="C366" s="25" t="n">
        <f aca="false">IF(T365&gt;0,D365,C365)</f>
        <v>0.0417003631591797</v>
      </c>
      <c r="D366" s="41" t="n">
        <f aca="false">(B366+C366)/2</f>
        <v>0.0416975021362305</v>
      </c>
      <c r="E366" s="15" t="n">
        <f aca="false">$C$2*(1+IF(E$3&lt;=$O$2,$D366,$D366-($D366-$I$346)*MIN(E$3-$O$2,$Q$2)/$Q$2))</f>
        <v>2291.73450469971</v>
      </c>
      <c r="F366" s="15" t="n">
        <f aca="false">E366*(1+IF(F$3&lt;=$O$2,$D366,$D366-($D366-$I$346)*MIN(F$3-$O$2,$Q$2)/$Q$2))</f>
        <v>2387.2941091051</v>
      </c>
      <c r="G366" s="15" t="n">
        <f aca="false">F366*(1+IF(G$3&lt;=$O$2,$D366,$D366-($D366-$I$346)*MIN(G$3-$O$2,$Q$2)/$Q$2))</f>
        <v>2486.83831031932</v>
      </c>
      <c r="H366" s="15" t="n">
        <f aca="false">G366*(1+IF(H$3&lt;=$O$2,$D366,$D366-($D366-$I$346)*MIN(H$3-$O$2,$Q$2)/$Q$2))</f>
        <v>2590.53325607632</v>
      </c>
      <c r="I366" s="15" t="n">
        <f aca="false">H366*(1+IF(I$3&lt;=$O$2,$D366,$D366-($D366-$I$346)*MIN(I$3-$O$2,$Q$2)/$Q$2))</f>
        <v>2698.55202205553</v>
      </c>
      <c r="J366" s="15" t="n">
        <f aca="false">I366*(1+IF(J$3&lt;=$O$2,$D366,$D366-($D366-$I$346)*MIN(J$3-$O$2,$Q$2)/$Q$2))</f>
        <v>2801.14557744182</v>
      </c>
      <c r="K366" s="15" t="n">
        <f aca="false">J366*(1+IF(K$3&lt;=$O$2,$D366,$D366-($D366-$I$346)*MIN(K$3-$O$2,$Q$2)/$Q$2))</f>
        <v>2897.33271844315</v>
      </c>
      <c r="L366" s="15" t="n">
        <f aca="false">K366*(1+IF(L$3&lt;=$O$2,$D366,$D366-($D366-$I$346)*MIN(L$3-$O$2,$Q$2)/$Q$2))</f>
        <v>2986.16204473364</v>
      </c>
      <c r="M366" s="15" t="n">
        <f aca="false">L366*(1+IF(M$3&lt;=$O$2,$D366,$D366-($D366-$I$346)*MIN(M$3-$O$2,$Q$2)/$Q$2))</f>
        <v>3066.72720489536</v>
      </c>
      <c r="N366" s="15" t="n">
        <f aca="false">M366*(1+IF(N$3&lt;=$O$2,$D366,$D366-($D366-$I$346)*MIN(N$3-$O$2,$Q$2)/$Q$2))</f>
        <v>3138.18194876942</v>
      </c>
      <c r="O366" s="15" t="n">
        <f aca="false">SUMPRODUCT(E366:N366,1/(1+$F$346)^$E$3:$N$3)*$E$2</f>
        <v>9395.03728543711</v>
      </c>
      <c r="P366" s="15" t="n">
        <f aca="false">N366*$E$2*(1+$I$346)/($F$346-$I$346)/(1+$F$346)^$N$3</f>
        <v>14435.228047699</v>
      </c>
      <c r="Q366" s="15" t="n">
        <f aca="false">O366+P366</f>
        <v>23830.2653331361</v>
      </c>
      <c r="R366" s="15" t="n">
        <f aca="false">Q366-$G$2+$I$2</f>
        <v>25739.9253331361</v>
      </c>
      <c r="S366" s="42" t="n">
        <f aca="false">R366/$K$2</f>
        <v>109.985580195428</v>
      </c>
      <c r="T366" s="43" t="n">
        <f aca="false">S366-$M$2</f>
        <v>-0.000319048258347721</v>
      </c>
    </row>
    <row r="367" customFormat="false" ht="15" hidden="false" customHeight="false" outlineLevel="0" collapsed="false">
      <c r="A367" s="5" t="n">
        <v>20</v>
      </c>
      <c r="B367" s="25" t="n">
        <f aca="false">IF(T366&gt;0,B366,D366)</f>
        <v>0.0416975021362305</v>
      </c>
      <c r="C367" s="25" t="n">
        <f aca="false">IF(T366&gt;0,D366,C366)</f>
        <v>0.0417003631591797</v>
      </c>
      <c r="D367" s="41" t="n">
        <f aca="false">(B367+C367)/2</f>
        <v>0.0416989326477051</v>
      </c>
      <c r="E367" s="15" t="n">
        <f aca="false">$C$2*(1+IF(E$3&lt;=$O$2,$D367,$D367-($D367-$I$346)*MIN(E$3-$O$2,$Q$2)/$Q$2))</f>
        <v>2291.73765182495</v>
      </c>
      <c r="F367" s="15" t="n">
        <f aca="false">E367*(1+IF(F$3&lt;=$O$2,$D367,$D367-($D367-$I$346)*MIN(F$3-$O$2,$Q$2)/$Q$2))</f>
        <v>2387.30066581461</v>
      </c>
      <c r="G367" s="15" t="n">
        <f aca="false">F367*(1+IF(G$3&lt;=$O$2,$D367,$D367-($D367-$I$346)*MIN(G$3-$O$2,$Q$2)/$Q$2))</f>
        <v>2486.84855548823</v>
      </c>
      <c r="H367" s="15" t="n">
        <f aca="false">G367*(1+IF(H$3&lt;=$O$2,$D367,$D367-($D367-$I$346)*MIN(H$3-$O$2,$Q$2)/$Q$2))</f>
        <v>2590.54748590858</v>
      </c>
      <c r="I367" s="15" t="n">
        <f aca="false">H367*(1+IF(I$3&lt;=$O$2,$D367,$D367-($D367-$I$346)*MIN(I$3-$O$2,$Q$2)/$Q$2))</f>
        <v>2698.57055104417</v>
      </c>
      <c r="J367" s="15" t="n">
        <f aca="false">I367*(1+IF(J$3&lt;=$O$2,$D367,$D367-($D367-$I$346)*MIN(J$3-$O$2,$Q$2)/$Q$2))</f>
        <v>2801.16789913449</v>
      </c>
      <c r="K367" s="15" t="n">
        <f aca="false">J367*(1+IF(K$3&lt;=$O$2,$D367,$D367-($D367-$I$346)*MIN(K$3-$O$2,$Q$2)/$Q$2))</f>
        <v>2897.35821089097</v>
      </c>
      <c r="L367" s="15" t="n">
        <f aca="false">K367*(1+IF(L$3&lt;=$O$2,$D367,$D367-($D367-$I$346)*MIN(L$3-$O$2,$Q$2)/$Q$2))</f>
        <v>2986.18997663612</v>
      </c>
      <c r="M367" s="15" t="n">
        <f aca="false">L367*(1+IF(M$3&lt;=$O$2,$D367,$D367-($D367-$I$346)*MIN(M$3-$O$2,$Q$2)/$Q$2))</f>
        <v>3066.75674474241</v>
      </c>
      <c r="N367" s="15" t="n">
        <f aca="false">M367*(1+IF(N$3&lt;=$O$2,$D367,$D367-($D367-$I$346)*MIN(N$3-$O$2,$Q$2)/$Q$2))</f>
        <v>3138.21217689491</v>
      </c>
      <c r="O367" s="15" t="n">
        <f aca="false">SUMPRODUCT(E367:N367,1/(1+$F$346)^$E$3:$N$3)*$E$2</f>
        <v>9395.09637988591</v>
      </c>
      <c r="P367" s="15" t="n">
        <f aca="false">N367*$E$2*(1+$I$346)/($F$346-$I$346)/(1+$F$346)^$N$3</f>
        <v>14435.3670931374</v>
      </c>
      <c r="Q367" s="15" t="n">
        <f aca="false">O367+P367</f>
        <v>23830.4634730233</v>
      </c>
      <c r="R367" s="15" t="n">
        <f aca="false">Q367-$G$2+$I$2</f>
        <v>25740.1234730233</v>
      </c>
      <c r="S367" s="42" t="n">
        <f aca="false">R367/$K$2</f>
        <v>109.986426838539</v>
      </c>
      <c r="T367" s="43" t="n">
        <f aca="false">S367-$M$2</f>
        <v>0.000527594852457014</v>
      </c>
    </row>
    <row r="368" customFormat="false" ht="15" hidden="false" customHeight="false" outlineLevel="0" collapsed="false">
      <c r="A368" s="5" t="n">
        <v>21</v>
      </c>
      <c r="B368" s="25" t="n">
        <f aca="false">IF(T367&gt;0,B367,D367)</f>
        <v>0.0416975021362305</v>
      </c>
      <c r="C368" s="25" t="n">
        <f aca="false">IF(T367&gt;0,D367,C367)</f>
        <v>0.0416989326477051</v>
      </c>
      <c r="D368" s="41" t="n">
        <f aca="false">(B368+C368)/2</f>
        <v>0.0416982173919678</v>
      </c>
      <c r="E368" s="15" t="n">
        <f aca="false">$C$2*(1+IF(E$3&lt;=$O$2,$D368,$D368-($D368-$I$346)*MIN(E$3-$O$2,$Q$2)/$Q$2))</f>
        <v>2291.73607826233</v>
      </c>
      <c r="F368" s="15" t="n">
        <f aca="false">E368*(1+IF(F$3&lt;=$O$2,$D368,$D368-($D368-$I$346)*MIN(F$3-$O$2,$Q$2)/$Q$2))</f>
        <v>2387.29738745873</v>
      </c>
      <c r="G368" s="15" t="n">
        <f aca="false">F368*(1+IF(G$3&lt;=$O$2,$D368,$D368-($D368-$I$346)*MIN(G$3-$O$2,$Q$2)/$Q$2))</f>
        <v>2486.84343290026</v>
      </c>
      <c r="H368" s="15" t="n">
        <f aca="false">G368*(1+IF(H$3&lt;=$O$2,$D368,$D368-($D368-$I$346)*MIN(H$3-$O$2,$Q$2)/$Q$2))</f>
        <v>2590.54037098512</v>
      </c>
      <c r="I368" s="15" t="n">
        <f aca="false">H368*(1+IF(I$3&lt;=$O$2,$D368,$D368-($D368-$I$346)*MIN(I$3-$O$2,$Q$2)/$Q$2))</f>
        <v>2698.56128653713</v>
      </c>
      <c r="J368" s="15" t="n">
        <f aca="false">I368*(1+IF(J$3&lt;=$O$2,$D368,$D368-($D368-$I$346)*MIN(J$3-$O$2,$Q$2)/$Q$2))</f>
        <v>2801.15673826965</v>
      </c>
      <c r="K368" s="15" t="n">
        <f aca="false">J368*(1+IF(K$3&lt;=$O$2,$D368,$D368-($D368-$I$346)*MIN(K$3-$O$2,$Q$2)/$Q$2))</f>
        <v>2897.34546464313</v>
      </c>
      <c r="L368" s="15" t="n">
        <f aca="false">K368*(1+IF(L$3&lt;=$O$2,$D368,$D368-($D368-$I$346)*MIN(L$3-$O$2,$Q$2)/$Q$2))</f>
        <v>2986.17601065657</v>
      </c>
      <c r="M368" s="15" t="n">
        <f aca="false">L368*(1+IF(M$3&lt;=$O$2,$D368,$D368-($D368-$I$346)*MIN(M$3-$O$2,$Q$2)/$Q$2))</f>
        <v>3066.74197478781</v>
      </c>
      <c r="N368" s="15" t="n">
        <f aca="false">M368*(1+IF(N$3&lt;=$O$2,$D368,$D368-($D368-$I$346)*MIN(N$3-$O$2,$Q$2)/$Q$2))</f>
        <v>3138.19706280037</v>
      </c>
      <c r="O368" s="15" t="n">
        <f aca="false">SUMPRODUCT(E368:N368,1/(1+$F$346)^$E$3:$N$3)*$E$2</f>
        <v>9395.0668326147</v>
      </c>
      <c r="P368" s="15" t="n">
        <f aca="false">N368*$E$2*(1+$I$346)/($F$346-$I$346)/(1+$F$346)^$N$3</f>
        <v>14435.2975702719</v>
      </c>
      <c r="Q368" s="15" t="n">
        <f aca="false">O368+P368</f>
        <v>23830.3644028866</v>
      </c>
      <c r="R368" s="15" t="n">
        <f aca="false">Q368-$G$2+$I$2</f>
        <v>25740.0244028866</v>
      </c>
      <c r="S368" s="42" t="n">
        <f aca="false">R368/$K$2</f>
        <v>109.986003516159</v>
      </c>
      <c r="T368" s="43" t="n">
        <f aca="false">S368-$M$2</f>
        <v>0.000104272471986633</v>
      </c>
    </row>
    <row r="369" customFormat="false" ht="15" hidden="false" customHeight="false" outlineLevel="0" collapsed="false">
      <c r="A369" s="5" t="n">
        <v>22</v>
      </c>
      <c r="B369" s="25" t="n">
        <f aca="false">IF(T368&gt;0,B368,D368)</f>
        <v>0.0416975021362305</v>
      </c>
      <c r="C369" s="25" t="n">
        <f aca="false">IF(T368&gt;0,D368,C368)</f>
        <v>0.0416982173919678</v>
      </c>
      <c r="D369" s="41" t="n">
        <f aca="false">(B369+C369)/2</f>
        <v>0.0416978597640991</v>
      </c>
      <c r="E369" s="15" t="n">
        <f aca="false">$C$2*(1+IF(E$3&lt;=$O$2,$D369,$D369-($D369-$I$346)*MIN(E$3-$O$2,$Q$2)/$Q$2))</f>
        <v>2291.73529148102</v>
      </c>
      <c r="F369" s="15" t="n">
        <f aca="false">E369*(1+IF(F$3&lt;=$O$2,$D369,$D369-($D369-$I$346)*MIN(F$3-$O$2,$Q$2)/$Q$2))</f>
        <v>2387.29574828163</v>
      </c>
      <c r="G369" s="15" t="n">
        <f aca="false">F369*(1+IF(G$3&lt;=$O$2,$D369,$D369-($D369-$I$346)*MIN(G$3-$O$2,$Q$2)/$Q$2))</f>
        <v>2486.84087160891</v>
      </c>
      <c r="H369" s="15" t="n">
        <f aca="false">G369*(1+IF(H$3&lt;=$O$2,$D369,$D369-($D369-$I$346)*MIN(H$3-$O$2,$Q$2)/$Q$2))</f>
        <v>2590.53681352889</v>
      </c>
      <c r="I369" s="15" t="n">
        <f aca="false">H369*(1+IF(I$3&lt;=$O$2,$D369,$D369-($D369-$I$346)*MIN(I$3-$O$2,$Q$2)/$Q$2))</f>
        <v>2698.55665429315</v>
      </c>
      <c r="J369" s="15" t="n">
        <f aca="false">I369*(1+IF(J$3&lt;=$O$2,$D369,$D369-($D369-$I$346)*MIN(J$3-$O$2,$Q$2)/$Q$2))</f>
        <v>2801.15115785111</v>
      </c>
      <c r="K369" s="15" t="n">
        <f aca="false">J369*(1+IF(K$3&lt;=$O$2,$D369,$D369-($D369-$I$346)*MIN(K$3-$O$2,$Q$2)/$Q$2))</f>
        <v>2897.33909153715</v>
      </c>
      <c r="L369" s="15" t="n">
        <f aca="false">K369*(1+IF(L$3&lt;=$O$2,$D369,$D369-($D369-$I$346)*MIN(L$3-$O$2,$Q$2)/$Q$2))</f>
        <v>2986.16902768803</v>
      </c>
      <c r="M369" s="15" t="n">
        <f aca="false">L369*(1+IF(M$3&lt;=$O$2,$D369,$D369-($D369-$I$346)*MIN(M$3-$O$2,$Q$2)/$Q$2))</f>
        <v>3066.73458983382</v>
      </c>
      <c r="N369" s="15" t="n">
        <f aca="false">M369*(1+IF(N$3&lt;=$O$2,$D369,$D369-($D369-$I$346)*MIN(N$3-$O$2,$Q$2)/$Q$2))</f>
        <v>3138.18950577695</v>
      </c>
      <c r="O369" s="15" t="n">
        <f aca="false">SUMPRODUCT(E369:N369,1/(1+$F$346)^$E$3:$N$3)*$E$2</f>
        <v>9395.0520590142</v>
      </c>
      <c r="P369" s="15" t="n">
        <f aca="false">N369*$E$2*(1+$I$346)/($F$346-$I$346)/(1+$F$346)^$N$3</f>
        <v>14435.2628089489</v>
      </c>
      <c r="Q369" s="15" t="n">
        <f aca="false">O369+P369</f>
        <v>23830.3148679631</v>
      </c>
      <c r="R369" s="15" t="n">
        <f aca="false">Q369-$G$2+$I$2</f>
        <v>25739.9748679631</v>
      </c>
      <c r="S369" s="42" t="n">
        <f aca="false">R369/$K$2</f>
        <v>109.985791855587</v>
      </c>
      <c r="T369" s="43" t="n">
        <f aca="false">S369-$M$2</f>
        <v>-0.000107388099422678</v>
      </c>
    </row>
    <row r="370" customFormat="false" ht="15" hidden="false" customHeight="false" outlineLevel="0" collapsed="false">
      <c r="A370" s="5" t="n">
        <v>23</v>
      </c>
      <c r="B370" s="25" t="n">
        <f aca="false">IF(T369&gt;0,B369,D369)</f>
        <v>0.0416978597640991</v>
      </c>
      <c r="C370" s="25" t="n">
        <f aca="false">IF(T369&gt;0,D369,C369)</f>
        <v>0.0416982173919678</v>
      </c>
      <c r="D370" s="41" t="n">
        <f aca="false">(B370+C370)/2</f>
        <v>0.0416980385780335</v>
      </c>
      <c r="E370" s="15" t="n">
        <f aca="false">$C$2*(1+IF(E$3&lt;=$O$2,$D370,$D370-($D370-$I$346)*MIN(E$3-$O$2,$Q$2)/$Q$2))</f>
        <v>2291.73568487167</v>
      </c>
      <c r="F370" s="15" t="n">
        <f aca="false">E370*(1+IF(F$3&lt;=$O$2,$D370,$D370-($D370-$I$346)*MIN(F$3-$O$2,$Q$2)/$Q$2))</f>
        <v>2387.29656787011</v>
      </c>
      <c r="G370" s="15" t="n">
        <f aca="false">F370*(1+IF(G$3&lt;=$O$2,$D370,$D370-($D370-$I$346)*MIN(G$3-$O$2,$Q$2)/$Q$2))</f>
        <v>2486.84215225436</v>
      </c>
      <c r="H370" s="15" t="n">
        <f aca="false">G370*(1+IF(H$3&lt;=$O$2,$D370,$D370-($D370-$I$346)*MIN(H$3-$O$2,$Q$2)/$Q$2))</f>
        <v>2590.53859225655</v>
      </c>
      <c r="I370" s="15" t="n">
        <f aca="false">H370*(1+IF(I$3&lt;=$O$2,$D370,$D370-($D370-$I$346)*MIN(I$3-$O$2,$Q$2)/$Q$2))</f>
        <v>2698.55897041434</v>
      </c>
      <c r="J370" s="15" t="n">
        <f aca="false">I370*(1+IF(J$3&lt;=$O$2,$D370,$D370-($D370-$I$346)*MIN(J$3-$O$2,$Q$2)/$Q$2))</f>
        <v>2801.15394805922</v>
      </c>
      <c r="K370" s="15" t="n">
        <f aca="false">J370*(1+IF(K$3&lt;=$O$2,$D370,$D370-($D370-$I$346)*MIN(K$3-$O$2,$Q$2)/$Q$2))</f>
        <v>2897.34227808864</v>
      </c>
      <c r="L370" s="15" t="n">
        <f aca="false">K370*(1+IF(L$3&lt;=$O$2,$D370,$D370-($D370-$I$346)*MIN(L$3-$O$2,$Q$2)/$Q$2))</f>
        <v>2986.17251917053</v>
      </c>
      <c r="M370" s="15" t="n">
        <f aca="false">L370*(1+IF(M$3&lt;=$O$2,$D370,$D370-($D370-$I$346)*MIN(M$3-$O$2,$Q$2)/$Q$2))</f>
        <v>3066.73828230887</v>
      </c>
      <c r="N370" s="15" t="n">
        <f aca="false">M370*(1+IF(N$3&lt;=$O$2,$D370,$D370-($D370-$I$346)*MIN(N$3-$O$2,$Q$2)/$Q$2))</f>
        <v>3138.19328428667</v>
      </c>
      <c r="O370" s="15" t="n">
        <f aca="false">SUMPRODUCT(E370:N370,1/(1+$F$346)^$E$3:$N$3)*$E$2</f>
        <v>9395.05944581152</v>
      </c>
      <c r="P370" s="15" t="n">
        <f aca="false">N370*$E$2*(1+$I$346)/($F$346-$I$346)/(1+$F$346)^$N$3</f>
        <v>14435.2801896013</v>
      </c>
      <c r="Q370" s="15" t="n">
        <f aca="false">O370+P370</f>
        <v>23830.3396354128</v>
      </c>
      <c r="R370" s="15" t="n">
        <f aca="false">Q370-$G$2+$I$2</f>
        <v>25739.9996354128</v>
      </c>
      <c r="S370" s="42" t="n">
        <f aca="false">R370/$K$2</f>
        <v>109.985897685821</v>
      </c>
      <c r="T370" s="43" t="n">
        <f aca="false">S370-$M$2</f>
        <v>-1.55786531763624E-006</v>
      </c>
    </row>
    <row r="371" customFormat="false" ht="15" hidden="false" customHeight="false" outlineLevel="0" collapsed="false">
      <c r="A371" s="5" t="n">
        <v>24</v>
      </c>
      <c r="B371" s="25" t="n">
        <f aca="false">IF(T370&gt;0,B370,D370)</f>
        <v>0.0416980385780335</v>
      </c>
      <c r="C371" s="25" t="n">
        <f aca="false">IF(T370&gt;0,D370,C370)</f>
        <v>0.0416982173919678</v>
      </c>
      <c r="D371" s="41" t="n">
        <f aca="false">(B371+C371)/2</f>
        <v>0.0416981279850006</v>
      </c>
      <c r="E371" s="15" t="n">
        <f aca="false">$C$2*(1+IF(E$3&lt;=$O$2,$D371,$D371-($D371-$I$346)*MIN(E$3-$O$2,$Q$2)/$Q$2))</f>
        <v>2291.735881567</v>
      </c>
      <c r="F371" s="15" t="n">
        <f aca="false">E371*(1+IF(F$3&lt;=$O$2,$D371,$D371-($D371-$I$346)*MIN(F$3-$O$2,$Q$2)/$Q$2))</f>
        <v>2387.2969776644</v>
      </c>
      <c r="G371" s="15" t="n">
        <f aca="false">F371*(1+IF(G$3&lt;=$O$2,$D371,$D371-($D371-$I$346)*MIN(G$3-$O$2,$Q$2)/$Q$2))</f>
        <v>2486.84279257726</v>
      </c>
      <c r="H371" s="15" t="n">
        <f aca="false">G371*(1+IF(H$3&lt;=$O$2,$D371,$D371-($D371-$I$346)*MIN(H$3-$O$2,$Q$2)/$Q$2))</f>
        <v>2590.53948162072</v>
      </c>
      <c r="I371" s="15" t="n">
        <f aca="false">H371*(1+IF(I$3&lt;=$O$2,$D371,$D371-($D371-$I$346)*MIN(I$3-$O$2,$Q$2)/$Q$2))</f>
        <v>2698.56012847554</v>
      </c>
      <c r="J371" s="15" t="n">
        <f aca="false">I371*(1+IF(J$3&lt;=$O$2,$D371,$D371-($D371-$I$346)*MIN(J$3-$O$2,$Q$2)/$Q$2))</f>
        <v>2801.15534316415</v>
      </c>
      <c r="K371" s="15" t="n">
        <f aca="false">J371*(1+IF(K$3&lt;=$O$2,$D371,$D371-($D371-$I$346)*MIN(K$3-$O$2,$Q$2)/$Q$2))</f>
        <v>2897.34387136551</v>
      </c>
      <c r="L371" s="15" t="n">
        <f aca="false">K371*(1+IF(L$3&lt;=$O$2,$D371,$D371-($D371-$I$346)*MIN(L$3-$O$2,$Q$2)/$Q$2))</f>
        <v>2986.1742649131</v>
      </c>
      <c r="M371" s="15" t="n">
        <f aca="false">L371*(1+IF(M$3&lt;=$O$2,$D371,$D371-($D371-$I$346)*MIN(M$3-$O$2,$Q$2)/$Q$2))</f>
        <v>3066.74012854786</v>
      </c>
      <c r="N371" s="15" t="n">
        <f aca="false">M371*(1+IF(N$3&lt;=$O$2,$D371,$D371-($D371-$I$346)*MIN(N$3-$O$2,$Q$2)/$Q$2))</f>
        <v>3138.19517354302</v>
      </c>
      <c r="O371" s="15" t="n">
        <f aca="false">SUMPRODUCT(E371:N371,1/(1+$F$346)^$E$3:$N$3)*$E$2</f>
        <v>9395.06313921238</v>
      </c>
      <c r="P371" s="15" t="n">
        <f aca="false">N371*$E$2*(1+$I$346)/($F$346-$I$346)/(1+$F$346)^$N$3</f>
        <v>14435.2888799343</v>
      </c>
      <c r="Q371" s="15" t="n">
        <f aca="false">O371+P371</f>
        <v>23830.3520191467</v>
      </c>
      <c r="R371" s="15" t="n">
        <f aca="false">Q371-$G$2+$I$2</f>
        <v>25740.0120191467</v>
      </c>
      <c r="S371" s="42" t="n">
        <f aca="false">R371/$K$2</f>
        <v>109.985950600977</v>
      </c>
      <c r="T371" s="43" t="n">
        <f aca="false">S371-$M$2</f>
        <v>5.13572904736748E-005</v>
      </c>
    </row>
    <row r="373" customFormat="false" ht="15" hidden="false" customHeight="false" outlineLevel="0" collapsed="false">
      <c r="A373" s="38" t="s">
        <v>200</v>
      </c>
      <c r="E373" s="5" t="s">
        <v>11</v>
      </c>
      <c r="F373" s="12" t="n">
        <f aca="false">Sensitivity!$B$12</f>
        <v>0.0777967762761046</v>
      </c>
      <c r="G373" s="5" t="s">
        <v>12</v>
      </c>
      <c r="I373" s="12" t="n">
        <f aca="false">Sensitivity!$E$9</f>
        <v>0.0283</v>
      </c>
    </row>
    <row r="374" customFormat="false" ht="23.85" hidden="false" customHeight="false" outlineLevel="0" collapsed="false">
      <c r="A374" s="38" t="s">
        <v>168</v>
      </c>
      <c r="B374" s="28" t="s">
        <v>169</v>
      </c>
      <c r="C374" s="28" t="s">
        <v>170</v>
      </c>
      <c r="D374" s="28" t="s">
        <v>171</v>
      </c>
      <c r="E374" s="28" t="s">
        <v>172</v>
      </c>
      <c r="F374" s="28" t="s">
        <v>173</v>
      </c>
      <c r="G374" s="28" t="s">
        <v>174</v>
      </c>
      <c r="H374" s="28" t="s">
        <v>175</v>
      </c>
      <c r="I374" s="28" t="s">
        <v>176</v>
      </c>
      <c r="J374" s="28" t="s">
        <v>177</v>
      </c>
      <c r="K374" s="28" t="s">
        <v>178</v>
      </c>
      <c r="L374" s="28" t="s">
        <v>179</v>
      </c>
      <c r="M374" s="28" t="s">
        <v>180</v>
      </c>
      <c r="N374" s="28" t="s">
        <v>181</v>
      </c>
      <c r="O374" s="28" t="s">
        <v>182</v>
      </c>
      <c r="P374" s="28" t="s">
        <v>183</v>
      </c>
      <c r="Q374" s="28" t="s">
        <v>184</v>
      </c>
      <c r="R374" s="28" t="s">
        <v>185</v>
      </c>
      <c r="S374" s="28" t="s">
        <v>186</v>
      </c>
      <c r="T374" s="28" t="s">
        <v>187</v>
      </c>
    </row>
    <row r="375" customFormat="false" ht="15" hidden="false" customHeight="false" outlineLevel="0" collapsed="false">
      <c r="A375" s="5" t="n">
        <v>1</v>
      </c>
      <c r="B375" s="24" t="n">
        <v>-0.5</v>
      </c>
      <c r="C375" s="24" t="n">
        <v>1</v>
      </c>
      <c r="D375" s="41" t="n">
        <f aca="false">(B375+C375)/2</f>
        <v>0.25</v>
      </c>
      <c r="E375" s="15" t="n">
        <f aca="false">$C$2*(1+IF(E$3&lt;=$O$2,$D375,$D375-($D375-$I$373)*MIN(E$3-$O$2,$Q$2)/$Q$2))</f>
        <v>2750</v>
      </c>
      <c r="F375" s="15" t="n">
        <f aca="false">E375*(1+IF(F$3&lt;=$O$2,$D375,$D375-($D375-$I$373)*MIN(F$3-$O$2,$Q$2)/$Q$2))</f>
        <v>3437.5</v>
      </c>
      <c r="G375" s="15" t="n">
        <f aca="false">F375*(1+IF(G$3&lt;=$O$2,$D375,$D375-($D375-$I$373)*MIN(G$3-$O$2,$Q$2)/$Q$2))</f>
        <v>4296.875</v>
      </c>
      <c r="H375" s="15" t="n">
        <f aca="false">G375*(1+IF(H$3&lt;=$O$2,$D375,$D375-($D375-$I$373)*MIN(H$3-$O$2,$Q$2)/$Q$2))</f>
        <v>5371.09375</v>
      </c>
      <c r="I375" s="15" t="n">
        <f aca="false">H375*(1+IF(I$3&lt;=$O$2,$D375,$D375-($D375-$I$373)*MIN(I$3-$O$2,$Q$2)/$Q$2))</f>
        <v>6713.8671875</v>
      </c>
      <c r="J375" s="15" t="n">
        <f aca="false">I375*(1+IF(J$3&lt;=$O$2,$D375,$D375-($D375-$I$373)*MIN(J$3-$O$2,$Q$2)/$Q$2))</f>
        <v>8094.64111328125</v>
      </c>
      <c r="K375" s="15" t="n">
        <f aca="false">J375*(1+IF(K$3&lt;=$O$2,$D375,$D375-($D375-$I$373)*MIN(K$3-$O$2,$Q$2)/$Q$2))</f>
        <v>9400.46861767578</v>
      </c>
      <c r="L375" s="15" t="n">
        <f aca="false">K375*(1+IF(L$3&lt;=$O$2,$D375,$D375-($D375-$I$373)*MIN(L$3-$O$2,$Q$2)/$Q$2))</f>
        <v>10500.1354365715</v>
      </c>
      <c r="M375" s="15" t="n">
        <f aca="false">L375*(1+IF(M$3&lt;=$O$2,$D375,$D375-($D375-$I$373)*MIN(M$3-$O$2,$Q$2)/$Q$2))</f>
        <v>11262.865274684</v>
      </c>
      <c r="N375" s="15" t="n">
        <f aca="false">M375*(1+IF(N$3&lt;=$O$2,$D375,$D375-($D375-$I$373)*MIN(N$3-$O$2,$Q$2)/$Q$2))</f>
        <v>11581.6043619576</v>
      </c>
      <c r="O375" s="15" t="n">
        <f aca="false">SUMPRODUCT(E375:N375,1/(1+$F$373)^$E$3:$N$3)*$E$2</f>
        <v>23446.3663191652</v>
      </c>
      <c r="P375" s="15" t="n">
        <f aca="false">N375*$E$2*(1+$I$373)/($F$373-$I$373)/(1+$F$373)^$N$3</f>
        <v>58942.0198394891</v>
      </c>
      <c r="Q375" s="15" t="n">
        <f aca="false">O375+P375</f>
        <v>82388.3861586542</v>
      </c>
      <c r="R375" s="15" t="n">
        <f aca="false">Q375-$G$2+$I$2</f>
        <v>84298.0461586542</v>
      </c>
      <c r="S375" s="42" t="n">
        <f aca="false">R375/$K$2</f>
        <v>360.201880778764</v>
      </c>
      <c r="T375" s="43" t="n">
        <f aca="false">S375-$M$2</f>
        <v>250.215981535078</v>
      </c>
    </row>
    <row r="376" customFormat="false" ht="15" hidden="false" customHeight="false" outlineLevel="0" collapsed="false">
      <c r="A376" s="5" t="n">
        <v>2</v>
      </c>
      <c r="B376" s="25" t="n">
        <f aca="false">IF(T375&gt;0,B375,D375)</f>
        <v>-0.5</v>
      </c>
      <c r="C376" s="25" t="n">
        <f aca="false">IF(T375&gt;0,D375,C375)</f>
        <v>0.25</v>
      </c>
      <c r="D376" s="41" t="n">
        <f aca="false">(B376+C376)/2</f>
        <v>-0.125</v>
      </c>
      <c r="E376" s="15" t="n">
        <f aca="false">$C$2*(1+IF(E$3&lt;=$O$2,$D376,$D376-($D376-$I$373)*MIN(E$3-$O$2,$Q$2)/$Q$2))</f>
        <v>1925</v>
      </c>
      <c r="F376" s="15" t="n">
        <f aca="false">E376*(1+IF(F$3&lt;=$O$2,$D376,$D376-($D376-$I$373)*MIN(F$3-$O$2,$Q$2)/$Q$2))</f>
        <v>1684.375</v>
      </c>
      <c r="G376" s="15" t="n">
        <f aca="false">F376*(1+IF(G$3&lt;=$O$2,$D376,$D376-($D376-$I$373)*MIN(G$3-$O$2,$Q$2)/$Q$2))</f>
        <v>1473.828125</v>
      </c>
      <c r="H376" s="15" t="n">
        <f aca="false">G376*(1+IF(H$3&lt;=$O$2,$D376,$D376-($D376-$I$373)*MIN(H$3-$O$2,$Q$2)/$Q$2))</f>
        <v>1289.599609375</v>
      </c>
      <c r="I376" s="15" t="n">
        <f aca="false">H376*(1+IF(I$3&lt;=$O$2,$D376,$D376-($D376-$I$373)*MIN(I$3-$O$2,$Q$2)/$Q$2))</f>
        <v>1128.39965820313</v>
      </c>
      <c r="J376" s="15" t="n">
        <f aca="false">I376*(1+IF(J$3&lt;=$O$2,$D376,$D376-($D376-$I$373)*MIN(J$3-$O$2,$Q$2)/$Q$2))</f>
        <v>1021.94643444824</v>
      </c>
      <c r="K376" s="15" t="n">
        <f aca="false">J376*(1+IF(K$3&lt;=$O$2,$D376,$D376-($D376-$I$373)*MIN(K$3-$O$2,$Q$2)/$Q$2))</f>
        <v>956.868885502578</v>
      </c>
      <c r="L376" s="15" t="n">
        <f aca="false">K376*(1+IF(L$3&lt;=$O$2,$D376,$D376-($D376-$I$373)*MIN(L$3-$O$2,$Q$2)/$Q$2))</f>
        <v>925.273074903283</v>
      </c>
      <c r="M376" s="15" t="n">
        <f aca="false">L376*(1+IF(M$3&lt;=$O$2,$D376,$D376-($D376-$I$373)*MIN(M$3-$O$2,$Q$2)/$Q$2))</f>
        <v>923.089430446511</v>
      </c>
      <c r="N376" s="15" t="n">
        <f aca="false">M376*(1+IF(N$3&lt;=$O$2,$D376,$D376-($D376-$I$373)*MIN(N$3-$O$2,$Q$2)/$Q$2))</f>
        <v>949.212861328148</v>
      </c>
      <c r="O376" s="15" t="n">
        <f aca="false">SUMPRODUCT(E376:N376,1/(1+$F$373)^$E$3:$N$3)*$E$2</f>
        <v>4554.93950916648</v>
      </c>
      <c r="P376" s="15" t="n">
        <f aca="false">N376*$E$2*(1+$I$373)/($F$373-$I$373)/(1+$F$373)^$N$3</f>
        <v>4830.80940738033</v>
      </c>
      <c r="Q376" s="15" t="n">
        <f aca="false">O376+P376</f>
        <v>9385.74891654681</v>
      </c>
      <c r="R376" s="15" t="n">
        <f aca="false">Q376-$G$2+$I$2</f>
        <v>11295.4089165468</v>
      </c>
      <c r="S376" s="42" t="n">
        <f aca="false">R376/$K$2</f>
        <v>48.2647904821895</v>
      </c>
      <c r="T376" s="43" t="n">
        <f aca="false">S376-$M$2</f>
        <v>-61.7211087614972</v>
      </c>
    </row>
    <row r="377" customFormat="false" ht="15" hidden="false" customHeight="false" outlineLevel="0" collapsed="false">
      <c r="A377" s="5" t="n">
        <v>3</v>
      </c>
      <c r="B377" s="25" t="n">
        <f aca="false">IF(T376&gt;0,B376,D376)</f>
        <v>-0.125</v>
      </c>
      <c r="C377" s="25" t="n">
        <f aca="false">IF(T376&gt;0,D376,C376)</f>
        <v>0.25</v>
      </c>
      <c r="D377" s="41" t="n">
        <f aca="false">(B377+C377)/2</f>
        <v>0.0625</v>
      </c>
      <c r="E377" s="15" t="n">
        <f aca="false">$C$2*(1+IF(E$3&lt;=$O$2,$D377,$D377-($D377-$I$373)*MIN(E$3-$O$2,$Q$2)/$Q$2))</f>
        <v>2337.5</v>
      </c>
      <c r="F377" s="15" t="n">
        <f aca="false">E377*(1+IF(F$3&lt;=$O$2,$D377,$D377-($D377-$I$373)*MIN(F$3-$O$2,$Q$2)/$Q$2))</f>
        <v>2483.59375</v>
      </c>
      <c r="G377" s="15" t="n">
        <f aca="false">F377*(1+IF(G$3&lt;=$O$2,$D377,$D377-($D377-$I$373)*MIN(G$3-$O$2,$Q$2)/$Q$2))</f>
        <v>2638.818359375</v>
      </c>
      <c r="H377" s="15" t="n">
        <f aca="false">G377*(1+IF(H$3&lt;=$O$2,$D377,$D377-($D377-$I$373)*MIN(H$3-$O$2,$Q$2)/$Q$2))</f>
        <v>2803.74450683594</v>
      </c>
      <c r="I377" s="15" t="n">
        <f aca="false">H377*(1+IF(I$3&lt;=$O$2,$D377,$D377-($D377-$I$373)*MIN(I$3-$O$2,$Q$2)/$Q$2))</f>
        <v>2978.97853851318</v>
      </c>
      <c r="J377" s="15" t="n">
        <f aca="false">I377*(1+IF(J$3&lt;=$O$2,$D377,$D377-($D377-$I$373)*MIN(J$3-$O$2,$Q$2)/$Q$2))</f>
        <v>3144.78848396683</v>
      </c>
      <c r="K377" s="15" t="n">
        <f aca="false">J377*(1+IF(K$3&lt;=$O$2,$D377,$D377-($D377-$I$373)*MIN(K$3-$O$2,$Q$2)/$Q$2))</f>
        <v>3298.31705775409</v>
      </c>
      <c r="L377" s="15" t="n">
        <f aca="false">K377*(1+IF(L$3&lt;=$O$2,$D377,$D377-($D377-$I$373)*MIN(L$3-$O$2,$Q$2)/$Q$2))</f>
        <v>3436.78040783861</v>
      </c>
      <c r="M377" s="15" t="n">
        <f aca="false">L377*(1+IF(M$3&lt;=$O$2,$D377,$D377-($D377-$I$373)*MIN(M$3-$O$2,$Q$2)/$Q$2))</f>
        <v>3557.54887137005</v>
      </c>
      <c r="N377" s="15" t="n">
        <f aca="false">M377*(1+IF(N$3&lt;=$O$2,$D377,$D377-($D377-$I$373)*MIN(N$3-$O$2,$Q$2)/$Q$2))</f>
        <v>3658.22750442983</v>
      </c>
      <c r="O377" s="15" t="n">
        <f aca="false">SUMPRODUCT(E377:N377,1/(1+$F$373)^$E$3:$N$3)*$E$2</f>
        <v>10326.484422575</v>
      </c>
      <c r="P377" s="15" t="n">
        <f aca="false">N377*$E$2*(1+$I$373)/($F$373-$I$373)/(1+$F$373)^$N$3</f>
        <v>18617.7416707249</v>
      </c>
      <c r="Q377" s="15" t="n">
        <f aca="false">O377+P377</f>
        <v>28944.2260932999</v>
      </c>
      <c r="R377" s="15" t="n">
        <f aca="false">Q377-$G$2+$I$2</f>
        <v>30853.8860932999</v>
      </c>
      <c r="S377" s="42" t="n">
        <f aca="false">R377/$K$2</f>
        <v>131.837311854463</v>
      </c>
      <c r="T377" s="43" t="n">
        <f aca="false">S377-$M$2</f>
        <v>21.851412610776</v>
      </c>
    </row>
    <row r="378" customFormat="false" ht="15" hidden="false" customHeight="false" outlineLevel="0" collapsed="false">
      <c r="A378" s="5" t="n">
        <v>4</v>
      </c>
      <c r="B378" s="25" t="n">
        <f aca="false">IF(T377&gt;0,B377,D377)</f>
        <v>-0.125</v>
      </c>
      <c r="C378" s="25" t="n">
        <f aca="false">IF(T377&gt;0,D377,C377)</f>
        <v>0.0625</v>
      </c>
      <c r="D378" s="41" t="n">
        <f aca="false">(B378+C378)/2</f>
        <v>-0.03125</v>
      </c>
      <c r="E378" s="15" t="n">
        <f aca="false">$C$2*(1+IF(E$3&lt;=$O$2,$D378,$D378-($D378-$I$373)*MIN(E$3-$O$2,$Q$2)/$Q$2))</f>
        <v>2131.25</v>
      </c>
      <c r="F378" s="15" t="n">
        <f aca="false">E378*(1+IF(F$3&lt;=$O$2,$D378,$D378-($D378-$I$373)*MIN(F$3-$O$2,$Q$2)/$Q$2))</f>
        <v>2064.6484375</v>
      </c>
      <c r="G378" s="15" t="n">
        <f aca="false">F378*(1+IF(G$3&lt;=$O$2,$D378,$D378-($D378-$I$373)*MIN(G$3-$O$2,$Q$2)/$Q$2))</f>
        <v>2000.12817382813</v>
      </c>
      <c r="H378" s="15" t="n">
        <f aca="false">G378*(1+IF(H$3&lt;=$O$2,$D378,$D378-($D378-$I$373)*MIN(H$3-$O$2,$Q$2)/$Q$2))</f>
        <v>1937.624168396</v>
      </c>
      <c r="I378" s="15" t="n">
        <f aca="false">H378*(1+IF(I$3&lt;=$O$2,$D378,$D378-($D378-$I$373)*MIN(I$3-$O$2,$Q$2)/$Q$2))</f>
        <v>1877.07341313362</v>
      </c>
      <c r="J378" s="15" t="n">
        <f aca="false">I378*(1+IF(J$3&lt;=$O$2,$D378,$D378-($D378-$I$373)*MIN(J$3-$O$2,$Q$2)/$Q$2))</f>
        <v>1840.77081332362</v>
      </c>
      <c r="K378" s="15" t="n">
        <f aca="false">J378*(1+IF(K$3&lt;=$O$2,$D378,$D378-($D378-$I$373)*MIN(K$3-$O$2,$Q$2)/$Q$2))</f>
        <v>1827.09388618062</v>
      </c>
      <c r="L378" s="15" t="n">
        <f aca="false">K378*(1+IF(L$3&lt;=$O$2,$D378,$D378-($D378-$I$373)*MIN(L$3-$O$2,$Q$2)/$Q$2))</f>
        <v>1835.27926679071</v>
      </c>
      <c r="M378" s="15" t="n">
        <f aca="false">L378*(1+IF(M$3&lt;=$O$2,$D378,$D378-($D378-$I$373)*MIN(M$3-$O$2,$Q$2)/$Q$2))</f>
        <v>1865.35949397341</v>
      </c>
      <c r="N378" s="15" t="n">
        <f aca="false">M378*(1+IF(N$3&lt;=$O$2,$D378,$D378-($D378-$I$373)*MIN(N$3-$O$2,$Q$2)/$Q$2))</f>
        <v>1918.14916765286</v>
      </c>
      <c r="O378" s="15" t="n">
        <f aca="false">SUMPRODUCT(E378:N378,1/(1+$F$373)^$E$3:$N$3)*$E$2</f>
        <v>6839.82635185662</v>
      </c>
      <c r="P378" s="15" t="n">
        <f aca="false">N378*$E$2*(1+$I$373)/($F$373-$I$373)/(1+$F$373)^$N$3</f>
        <v>9761.99693595682</v>
      </c>
      <c r="Q378" s="15" t="n">
        <f aca="false">O378+P378</f>
        <v>16601.8232878134</v>
      </c>
      <c r="R378" s="15" t="n">
        <f aca="false">Q378-$G$2+$I$2</f>
        <v>18511.4832878134</v>
      </c>
      <c r="S378" s="42" t="n">
        <f aca="false">R378/$K$2</f>
        <v>79.0987620724413</v>
      </c>
      <c r="T378" s="43" t="n">
        <f aca="false">S378-$M$2</f>
        <v>-30.8871371712454</v>
      </c>
    </row>
    <row r="379" customFormat="false" ht="15" hidden="false" customHeight="false" outlineLevel="0" collapsed="false">
      <c r="A379" s="5" t="n">
        <v>5</v>
      </c>
      <c r="B379" s="25" t="n">
        <f aca="false">IF(T378&gt;0,B378,D378)</f>
        <v>-0.03125</v>
      </c>
      <c r="C379" s="25" t="n">
        <f aca="false">IF(T378&gt;0,D378,C378)</f>
        <v>0.0625</v>
      </c>
      <c r="D379" s="41" t="n">
        <f aca="false">(B379+C379)/2</f>
        <v>0.015625</v>
      </c>
      <c r="E379" s="15" t="n">
        <f aca="false">$C$2*(1+IF(E$3&lt;=$O$2,$D379,$D379-($D379-$I$373)*MIN(E$3-$O$2,$Q$2)/$Q$2))</f>
        <v>2234.375</v>
      </c>
      <c r="F379" s="15" t="n">
        <f aca="false">E379*(1+IF(F$3&lt;=$O$2,$D379,$D379-($D379-$I$373)*MIN(F$3-$O$2,$Q$2)/$Q$2))</f>
        <v>2269.287109375</v>
      </c>
      <c r="G379" s="15" t="n">
        <f aca="false">F379*(1+IF(G$3&lt;=$O$2,$D379,$D379-($D379-$I$373)*MIN(G$3-$O$2,$Q$2)/$Q$2))</f>
        <v>2304.74472045898</v>
      </c>
      <c r="H379" s="15" t="n">
        <f aca="false">G379*(1+IF(H$3&lt;=$O$2,$D379,$D379-($D379-$I$373)*MIN(H$3-$O$2,$Q$2)/$Q$2))</f>
        <v>2340.75635671616</v>
      </c>
      <c r="I379" s="15" t="n">
        <f aca="false">H379*(1+IF(I$3&lt;=$O$2,$D379,$D379-($D379-$I$373)*MIN(I$3-$O$2,$Q$2)/$Q$2))</f>
        <v>2377.33067478985</v>
      </c>
      <c r="J379" s="15" t="n">
        <f aca="false">I379*(1+IF(J$3&lt;=$O$2,$D379,$D379-($D379-$I$373)*MIN(J$3-$O$2,$Q$2)/$Q$2))</f>
        <v>2420.50299984403</v>
      </c>
      <c r="K379" s="15" t="n">
        <f aca="false">J379*(1+IF(K$3&lt;=$O$2,$D379,$D379-($D379-$I$373)*MIN(K$3-$O$2,$Q$2)/$Q$2))</f>
        <v>2470.5953094258</v>
      </c>
      <c r="L379" s="15" t="n">
        <f aca="false">K379*(1+IF(L$3&lt;=$O$2,$D379,$D379-($D379-$I$373)*MIN(L$3-$O$2,$Q$2)/$Q$2))</f>
        <v>2527.98723846376</v>
      </c>
      <c r="M379" s="15" t="n">
        <f aca="false">L379*(1+IF(M$3&lt;=$O$2,$D379,$D379-($D379-$I$373)*MIN(M$3-$O$2,$Q$2)/$Q$2))</f>
        <v>2593.12082966278</v>
      </c>
      <c r="N379" s="15" t="n">
        <f aca="false">M379*(1+IF(N$3&lt;=$O$2,$D379,$D379-($D379-$I$373)*MIN(N$3-$O$2,$Q$2)/$Q$2))</f>
        <v>2666.50614914224</v>
      </c>
      <c r="O379" s="15" t="n">
        <f aca="false">SUMPRODUCT(E379:N379,1/(1+$F$373)^$E$3:$N$3)*$E$2</f>
        <v>8401.40823448357</v>
      </c>
      <c r="P379" s="15" t="n">
        <f aca="false">N379*$E$2*(1+$I$373)/($F$373-$I$373)/(1+$F$373)^$N$3</f>
        <v>13570.5946631297</v>
      </c>
      <c r="Q379" s="15" t="n">
        <f aca="false">O379+P379</f>
        <v>21972.0028976133</v>
      </c>
      <c r="R379" s="15" t="n">
        <f aca="false">Q379-$G$2+$I$2</f>
        <v>23881.6628976133</v>
      </c>
      <c r="S379" s="42" t="n">
        <f aca="false">R379/$K$2</f>
        <v>102.045305719836</v>
      </c>
      <c r="T379" s="43" t="n">
        <f aca="false">S379-$M$2</f>
        <v>-7.9405935238505</v>
      </c>
    </row>
    <row r="380" customFormat="false" ht="15" hidden="false" customHeight="false" outlineLevel="0" collapsed="false">
      <c r="A380" s="5" t="n">
        <v>6</v>
      </c>
      <c r="B380" s="25" t="n">
        <f aca="false">IF(T379&gt;0,B379,D379)</f>
        <v>0.015625</v>
      </c>
      <c r="C380" s="25" t="n">
        <f aca="false">IF(T379&gt;0,D379,C379)</f>
        <v>0.0625</v>
      </c>
      <c r="D380" s="41" t="n">
        <f aca="false">(B380+C380)/2</f>
        <v>0.0390625</v>
      </c>
      <c r="E380" s="15" t="n">
        <f aca="false">$C$2*(1+IF(E$3&lt;=$O$2,$D380,$D380-($D380-$I$373)*MIN(E$3-$O$2,$Q$2)/$Q$2))</f>
        <v>2285.9375</v>
      </c>
      <c r="F380" s="15" t="n">
        <f aca="false">E380*(1+IF(F$3&lt;=$O$2,$D380,$D380-($D380-$I$373)*MIN(F$3-$O$2,$Q$2)/$Q$2))</f>
        <v>2375.23193359375</v>
      </c>
      <c r="G380" s="15" t="n">
        <f aca="false">F380*(1+IF(G$3&lt;=$O$2,$D380,$D380-($D380-$I$373)*MIN(G$3-$O$2,$Q$2)/$Q$2))</f>
        <v>2468.01443099976</v>
      </c>
      <c r="H380" s="15" t="n">
        <f aca="false">G380*(1+IF(H$3&lt;=$O$2,$D380,$D380-($D380-$I$373)*MIN(H$3-$O$2,$Q$2)/$Q$2))</f>
        <v>2564.42124471068</v>
      </c>
      <c r="I380" s="15" t="n">
        <f aca="false">H380*(1+IF(I$3&lt;=$O$2,$D380,$D380-($D380-$I$373)*MIN(I$3-$O$2,$Q$2)/$Q$2))</f>
        <v>2664.5939495822</v>
      </c>
      <c r="J380" s="15" t="n">
        <f aca="false">I380*(1+IF(J$3&lt;=$O$2,$D380,$D380-($D380-$I$373)*MIN(J$3-$O$2,$Q$2)/$Q$2))</f>
        <v>2762.94411226127</v>
      </c>
      <c r="K380" s="15" t="n">
        <f aca="false">J380*(1+IF(K$3&lt;=$O$2,$D380,$D380-($D380-$I$373)*MIN(K$3-$O$2,$Q$2)/$Q$2))</f>
        <v>2858.9771422432</v>
      </c>
      <c r="L380" s="15" t="n">
        <f aca="false">K380*(1+IF(L$3&lt;=$O$2,$D380,$D380-($D380-$I$373)*MIN(L$3-$O$2,$Q$2)/$Q$2))</f>
        <v>2952.19409196603</v>
      </c>
      <c r="M380" s="15" t="n">
        <f aca="false">L380*(1+IF(M$3&lt;=$O$2,$D380,$D380-($D380-$I$373)*MIN(M$3-$O$2,$Q$2)/$Q$2))</f>
        <v>3042.09578255163</v>
      </c>
      <c r="N380" s="15" t="n">
        <f aca="false">M380*(1+IF(N$3&lt;=$O$2,$D380,$D380-($D380-$I$373)*MIN(N$3-$O$2,$Q$2)/$Q$2))</f>
        <v>3128.18709319784</v>
      </c>
      <c r="O380" s="15" t="n">
        <f aca="false">SUMPRODUCT(E380:N380,1/(1+$F$373)^$E$3:$N$3)*$E$2</f>
        <v>9313.94277821675</v>
      </c>
      <c r="P380" s="15" t="n">
        <f aca="false">N380*$E$2*(1+$I$373)/($F$373-$I$373)/(1+$F$373)^$N$3</f>
        <v>15920.2179548236</v>
      </c>
      <c r="Q380" s="15" t="n">
        <f aca="false">O380+P380</f>
        <v>25234.1607330404</v>
      </c>
      <c r="R380" s="15" t="n">
        <f aca="false">Q380-$G$2+$I$2</f>
        <v>27143.8207330404</v>
      </c>
      <c r="S380" s="42" t="n">
        <f aca="false">R380/$K$2</f>
        <v>115.984364111611</v>
      </c>
      <c r="T380" s="43" t="n">
        <f aca="false">S380-$M$2</f>
        <v>5.99846486792441</v>
      </c>
    </row>
    <row r="381" customFormat="false" ht="15" hidden="false" customHeight="false" outlineLevel="0" collapsed="false">
      <c r="A381" s="5" t="n">
        <v>7</v>
      </c>
      <c r="B381" s="25" t="n">
        <f aca="false">IF(T380&gt;0,B380,D380)</f>
        <v>0.015625</v>
      </c>
      <c r="C381" s="25" t="n">
        <f aca="false">IF(T380&gt;0,D380,C380)</f>
        <v>0.0390625</v>
      </c>
      <c r="D381" s="41" t="n">
        <f aca="false">(B381+C381)/2</f>
        <v>0.02734375</v>
      </c>
      <c r="E381" s="15" t="n">
        <f aca="false">$C$2*(1+IF(E$3&lt;=$O$2,$D381,$D381-($D381-$I$373)*MIN(E$3-$O$2,$Q$2)/$Q$2))</f>
        <v>2260.15625</v>
      </c>
      <c r="F381" s="15" t="n">
        <f aca="false">E381*(1+IF(F$3&lt;=$O$2,$D381,$D381-($D381-$I$373)*MIN(F$3-$O$2,$Q$2)/$Q$2))</f>
        <v>2321.95739746094</v>
      </c>
      <c r="G381" s="15" t="n">
        <f aca="false">F381*(1+IF(G$3&lt;=$O$2,$D381,$D381-($D381-$I$373)*MIN(G$3-$O$2,$Q$2)/$Q$2))</f>
        <v>2385.44842004776</v>
      </c>
      <c r="H381" s="15" t="n">
        <f aca="false">G381*(1+IF(H$3&lt;=$O$2,$D381,$D381-($D381-$I$373)*MIN(H$3-$O$2,$Q$2)/$Q$2))</f>
        <v>2450.67552528344</v>
      </c>
      <c r="I381" s="15" t="n">
        <f aca="false">H381*(1+IF(I$3&lt;=$O$2,$D381,$D381-($D381-$I$373)*MIN(I$3-$O$2,$Q$2)/$Q$2))</f>
        <v>2517.68618417791</v>
      </c>
      <c r="J381" s="15" t="n">
        <f aca="false">I381*(1+IF(J$3&lt;=$O$2,$D381,$D381-($D381-$I$373)*MIN(J$3-$O$2,$Q$2)/$Q$2))</f>
        <v>2587.01067325925</v>
      </c>
      <c r="K381" s="15" t="n">
        <f aca="false">J381*(1+IF(K$3&lt;=$O$2,$D381,$D381-($D381-$I$373)*MIN(K$3-$O$2,$Q$2)/$Q$2))</f>
        <v>2658.7387779387</v>
      </c>
      <c r="L381" s="15" t="n">
        <f aca="false">K381*(1+IF(L$3&lt;=$O$2,$D381,$D381-($D381-$I$373)*MIN(L$3-$O$2,$Q$2)/$Q$2))</f>
        <v>2732.96411777181</v>
      </c>
      <c r="M381" s="15" t="n">
        <f aca="false">L381*(1+IF(M$3&lt;=$O$2,$D381,$D381-($D381-$I$373)*MIN(M$3-$O$2,$Q$2)/$Q$2))</f>
        <v>2809.78432291723</v>
      </c>
      <c r="N381" s="15" t="n">
        <f aca="false">M381*(1+IF(N$3&lt;=$O$2,$D381,$D381-($D381-$I$373)*MIN(N$3-$O$2,$Q$2)/$Q$2))</f>
        <v>2889.30121925578</v>
      </c>
      <c r="O381" s="15" t="n">
        <f aca="false">SUMPRODUCT(E381:N381,1/(1+$F$373)^$E$3:$N$3)*$E$2</f>
        <v>8845.77605970948</v>
      </c>
      <c r="P381" s="15" t="n">
        <f aca="false">N381*$E$2*(1+$I$373)/($F$373-$I$373)/(1+$F$373)^$N$3</f>
        <v>14704.4610112073</v>
      </c>
      <c r="Q381" s="15" t="n">
        <f aca="false">O381+P381</f>
        <v>23550.2370709168</v>
      </c>
      <c r="R381" s="15" t="n">
        <f aca="false">Q381-$G$2+$I$2</f>
        <v>25459.8970709168</v>
      </c>
      <c r="S381" s="42" t="n">
        <f aca="false">R381/$K$2</f>
        <v>108.789031623795</v>
      </c>
      <c r="T381" s="43" t="n">
        <f aca="false">S381-$M$2</f>
        <v>-1.19686761989145</v>
      </c>
    </row>
    <row r="382" customFormat="false" ht="15" hidden="false" customHeight="false" outlineLevel="0" collapsed="false">
      <c r="A382" s="5" t="n">
        <v>8</v>
      </c>
      <c r="B382" s="25" t="n">
        <f aca="false">IF(T381&gt;0,B381,D381)</f>
        <v>0.02734375</v>
      </c>
      <c r="C382" s="25" t="n">
        <f aca="false">IF(T381&gt;0,D381,C381)</f>
        <v>0.0390625</v>
      </c>
      <c r="D382" s="41" t="n">
        <f aca="false">(B382+C382)/2</f>
        <v>0.033203125</v>
      </c>
      <c r="E382" s="15" t="n">
        <f aca="false">$C$2*(1+IF(E$3&lt;=$O$2,$D382,$D382-($D382-$I$373)*MIN(E$3-$O$2,$Q$2)/$Q$2))</f>
        <v>2273.046875</v>
      </c>
      <c r="F382" s="15" t="n">
        <f aca="false">E382*(1+IF(F$3&lt;=$O$2,$D382,$D382-($D382-$I$373)*MIN(F$3-$O$2,$Q$2)/$Q$2))</f>
        <v>2348.51913452148</v>
      </c>
      <c r="G382" s="15" t="n">
        <f aca="false">F382*(1+IF(G$3&lt;=$O$2,$D382,$D382-($D382-$I$373)*MIN(G$3-$O$2,$Q$2)/$Q$2))</f>
        <v>2426.49730890989</v>
      </c>
      <c r="H382" s="15" t="n">
        <f aca="false">G382*(1+IF(H$3&lt;=$O$2,$D382,$D382-($D382-$I$373)*MIN(H$3-$O$2,$Q$2)/$Q$2))</f>
        <v>2507.06460236979</v>
      </c>
      <c r="I382" s="15" t="n">
        <f aca="false">H382*(1+IF(I$3&lt;=$O$2,$D382,$D382-($D382-$I$373)*MIN(I$3-$O$2,$Q$2)/$Q$2))</f>
        <v>2590.30698174535</v>
      </c>
      <c r="J382" s="15" t="n">
        <f aca="false">I382*(1+IF(J$3&lt;=$O$2,$D382,$D382-($D382-$I$373)*MIN(J$3-$O$2,$Q$2)/$Q$2))</f>
        <v>2673.77314846464</v>
      </c>
      <c r="K382" s="15" t="n">
        <f aca="false">J382*(1+IF(K$3&lt;=$O$2,$D382,$D382-($D382-$I$373)*MIN(K$3-$O$2,$Q$2)/$Q$2))</f>
        <v>2757.30683494733</v>
      </c>
      <c r="L382" s="15" t="n">
        <f aca="false">K382*(1+IF(L$3&lt;=$O$2,$D382,$D382-($D382-$I$373)*MIN(L$3-$O$2,$Q$2)/$Q$2))</f>
        <v>2840.74638640638</v>
      </c>
      <c r="M382" s="15" t="n">
        <f aca="false">L382*(1+IF(M$3&lt;=$O$2,$D382,$D382-($D382-$I$373)*MIN(M$3-$O$2,$Q$2)/$Q$2))</f>
        <v>2923.92521606685</v>
      </c>
      <c r="N382" s="15" t="n">
        <f aca="false">M382*(1+IF(N$3&lt;=$O$2,$D382,$D382-($D382-$I$373)*MIN(N$3-$O$2,$Q$2)/$Q$2))</f>
        <v>3006.67229968154</v>
      </c>
      <c r="O382" s="15" t="n">
        <f aca="false">SUMPRODUCT(E382:N382,1/(1+$F$373)^$E$3:$N$3)*$E$2</f>
        <v>9076.81136384712</v>
      </c>
      <c r="P382" s="15" t="n">
        <f aca="false">N382*$E$2*(1+$I$373)/($F$373-$I$373)/(1+$F$373)^$N$3</f>
        <v>15301.7952262977</v>
      </c>
      <c r="Q382" s="15" t="n">
        <f aca="false">O382+P382</f>
        <v>24378.6065901448</v>
      </c>
      <c r="R382" s="15" t="n">
        <f aca="false">Q382-$G$2+$I$2</f>
        <v>26288.2665901448</v>
      </c>
      <c r="S382" s="42" t="n">
        <f aca="false">R382/$K$2</f>
        <v>112.328618511066</v>
      </c>
      <c r="T382" s="43" t="n">
        <f aca="false">S382-$M$2</f>
        <v>2.34271926737954</v>
      </c>
    </row>
    <row r="383" customFormat="false" ht="15" hidden="false" customHeight="false" outlineLevel="0" collapsed="false">
      <c r="A383" s="5" t="n">
        <v>9</v>
      </c>
      <c r="B383" s="25" t="n">
        <f aca="false">IF(T382&gt;0,B382,D382)</f>
        <v>0.02734375</v>
      </c>
      <c r="C383" s="25" t="n">
        <f aca="false">IF(T382&gt;0,D382,C382)</f>
        <v>0.033203125</v>
      </c>
      <c r="D383" s="41" t="n">
        <f aca="false">(B383+C383)/2</f>
        <v>0.0302734375</v>
      </c>
      <c r="E383" s="15" t="n">
        <f aca="false">$C$2*(1+IF(E$3&lt;=$O$2,$D383,$D383-($D383-$I$373)*MIN(E$3-$O$2,$Q$2)/$Q$2))</f>
        <v>2266.6015625</v>
      </c>
      <c r="F383" s="15" t="n">
        <f aca="false">E383*(1+IF(F$3&lt;=$O$2,$D383,$D383-($D383-$I$373)*MIN(F$3-$O$2,$Q$2)/$Q$2))</f>
        <v>2335.21938323975</v>
      </c>
      <c r="G383" s="15" t="n">
        <f aca="false">F383*(1+IF(G$3&lt;=$O$2,$D383,$D383-($D383-$I$373)*MIN(G$3-$O$2,$Q$2)/$Q$2))</f>
        <v>2405.91450128704</v>
      </c>
      <c r="H383" s="15" t="n">
        <f aca="false">G383*(1+IF(H$3&lt;=$O$2,$D383,$D383-($D383-$I$373)*MIN(H$3-$O$2,$Q$2)/$Q$2))</f>
        <v>2478.7498035721</v>
      </c>
      <c r="I383" s="15" t="n">
        <f aca="false">H383*(1+IF(I$3&lt;=$O$2,$D383,$D383-($D383-$I$373)*MIN(I$3-$O$2,$Q$2)/$Q$2))</f>
        <v>2553.79008082868</v>
      </c>
      <c r="J383" s="15" t="n">
        <f aca="false">I383*(1+IF(J$3&lt;=$O$2,$D383,$D383-($D383-$I$373)*MIN(J$3-$O$2,$Q$2)/$Q$2))</f>
        <v>2630.09413620624</v>
      </c>
      <c r="K383" s="15" t="n">
        <f aca="false">J383*(1+IF(K$3&lt;=$O$2,$D383,$D383-($D383-$I$373)*MIN(K$3-$O$2,$Q$2)/$Q$2))</f>
        <v>2707.63999609902</v>
      </c>
      <c r="L383" s="15" t="n">
        <f aca="false">K383*(1+IF(L$3&lt;=$O$2,$D383,$D383-($D383-$I$373)*MIN(L$3-$O$2,$Q$2)/$Q$2))</f>
        <v>2786.40355131055</v>
      </c>
      <c r="M383" s="15" t="n">
        <f aca="false">L383*(1+IF(M$3&lt;=$O$2,$D383,$D383-($D383-$I$373)*MIN(M$3-$O$2,$Q$2)/$Q$2))</f>
        <v>2866.35853046429</v>
      </c>
      <c r="N383" s="15" t="n">
        <f aca="false">M383*(1+IF(N$3&lt;=$O$2,$D383,$D383-($D383-$I$373)*MIN(N$3-$O$2,$Q$2)/$Q$2))</f>
        <v>2947.47647687643</v>
      </c>
      <c r="O383" s="15" t="n">
        <f aca="false">SUMPRODUCT(E383:N383,1/(1+$F$373)^$E$3:$N$3)*$E$2</f>
        <v>8960.54096896572</v>
      </c>
      <c r="P383" s="15" t="n">
        <f aca="false">N383*$E$2*(1+$I$373)/($F$373-$I$373)/(1+$F$373)^$N$3</f>
        <v>15000.5311480967</v>
      </c>
      <c r="Q383" s="15" t="n">
        <f aca="false">O383+P383</f>
        <v>23961.0721170625</v>
      </c>
      <c r="R383" s="15" t="n">
        <f aca="false">Q383-$G$2+$I$2</f>
        <v>25870.7321170625</v>
      </c>
      <c r="S383" s="42" t="n">
        <f aca="false">R383/$K$2</f>
        <v>110.544511887632</v>
      </c>
      <c r="T383" s="43" t="n">
        <f aca="false">S383-$M$2</f>
        <v>0.558612643945068</v>
      </c>
    </row>
    <row r="384" customFormat="false" ht="15" hidden="false" customHeight="false" outlineLevel="0" collapsed="false">
      <c r="A384" s="5" t="n">
        <v>10</v>
      </c>
      <c r="B384" s="25" t="n">
        <f aca="false">IF(T383&gt;0,B383,D383)</f>
        <v>0.02734375</v>
      </c>
      <c r="C384" s="25" t="n">
        <f aca="false">IF(T383&gt;0,D383,C383)</f>
        <v>0.0302734375</v>
      </c>
      <c r="D384" s="41" t="n">
        <f aca="false">(B384+C384)/2</f>
        <v>0.02880859375</v>
      </c>
      <c r="E384" s="15" t="n">
        <f aca="false">$C$2*(1+IF(E$3&lt;=$O$2,$D384,$D384-($D384-$I$373)*MIN(E$3-$O$2,$Q$2)/$Q$2))</f>
        <v>2263.37890625</v>
      </c>
      <c r="F384" s="15" t="n">
        <f aca="false">E384*(1+IF(F$3&lt;=$O$2,$D384,$D384-($D384-$I$373)*MIN(F$3-$O$2,$Q$2)/$Q$2))</f>
        <v>2328.58366966248</v>
      </c>
      <c r="G384" s="15" t="n">
        <f aca="false">F384*(1+IF(G$3&lt;=$O$2,$D384,$D384-($D384-$I$373)*MIN(G$3-$O$2,$Q$2)/$Q$2))</f>
        <v>2395.66689061467</v>
      </c>
      <c r="H384" s="15" t="n">
        <f aca="false">G384*(1+IF(H$3&lt;=$O$2,$D384,$D384-($D384-$I$373)*MIN(H$3-$O$2,$Q$2)/$Q$2))</f>
        <v>2464.68268482671</v>
      </c>
      <c r="I384" s="15" t="n">
        <f aca="false">H384*(1+IF(I$3&lt;=$O$2,$D384,$D384-($D384-$I$373)*MIN(I$3-$O$2,$Q$2)/$Q$2))</f>
        <v>2535.68672701654</v>
      </c>
      <c r="J384" s="15" t="n">
        <f aca="false">I384*(1+IF(J$3&lt;=$O$2,$D384,$D384-($D384-$I$373)*MIN(J$3-$O$2,$Q$2)/$Q$2))</f>
        <v>2608.47836892816</v>
      </c>
      <c r="K384" s="15" t="n">
        <f aca="false">J384*(1+IF(K$3&lt;=$O$2,$D384,$D384-($D384-$I$373)*MIN(K$3-$O$2,$Q$2)/$Q$2))</f>
        <v>2683.0943002461</v>
      </c>
      <c r="L384" s="15" t="n">
        <f aca="false">K384*(1+IF(L$3&lt;=$O$2,$D384,$D384-($D384-$I$373)*MIN(L$3-$O$2,$Q$2)/$Q$2))</f>
        <v>2759.57171093977</v>
      </c>
      <c r="M384" s="15" t="n">
        <f aca="false">L384*(1+IF(M$3&lt;=$O$2,$D384,$D384-($D384-$I$373)*MIN(M$3-$O$2,$Q$2)/$Q$2))</f>
        <v>2837.94829054434</v>
      </c>
      <c r="N384" s="15" t="n">
        <f aca="false">M384*(1+IF(N$3&lt;=$O$2,$D384,$D384-($D384-$I$373)*MIN(N$3-$O$2,$Q$2)/$Q$2))</f>
        <v>2918.26222716674</v>
      </c>
      <c r="O384" s="15" t="n">
        <f aca="false">SUMPRODUCT(E384:N384,1/(1+$F$373)^$E$3:$N$3)*$E$2</f>
        <v>8902.97147676497</v>
      </c>
      <c r="P384" s="15" t="n">
        <f aca="false">N384*$E$2*(1+$I$373)/($F$373-$I$373)/(1+$F$373)^$N$3</f>
        <v>14851.8516705245</v>
      </c>
      <c r="Q384" s="15" t="n">
        <f aca="false">O384+P384</f>
        <v>23754.8231472895</v>
      </c>
      <c r="R384" s="15" t="n">
        <f aca="false">Q384-$G$2+$I$2</f>
        <v>25664.4831472895</v>
      </c>
      <c r="S384" s="42" t="n">
        <f aca="false">R384/$K$2</f>
        <v>109.663219020166</v>
      </c>
      <c r="T384" s="43" t="n">
        <f aca="false">S384-$M$2</f>
        <v>-0.322680223520692</v>
      </c>
    </row>
    <row r="385" customFormat="false" ht="15" hidden="false" customHeight="false" outlineLevel="0" collapsed="false">
      <c r="A385" s="5" t="n">
        <v>11</v>
      </c>
      <c r="B385" s="25" t="n">
        <f aca="false">IF(T384&gt;0,B384,D384)</f>
        <v>0.02880859375</v>
      </c>
      <c r="C385" s="25" t="n">
        <f aca="false">IF(T384&gt;0,D384,C384)</f>
        <v>0.0302734375</v>
      </c>
      <c r="D385" s="41" t="n">
        <f aca="false">(B385+C385)/2</f>
        <v>0.029541015625</v>
      </c>
      <c r="E385" s="15" t="n">
        <f aca="false">$C$2*(1+IF(E$3&lt;=$O$2,$D385,$D385-($D385-$I$373)*MIN(E$3-$O$2,$Q$2)/$Q$2))</f>
        <v>2264.990234375</v>
      </c>
      <c r="F385" s="15" t="n">
        <f aca="false">E385*(1+IF(F$3&lt;=$O$2,$D385,$D385-($D385-$I$373)*MIN(F$3-$O$2,$Q$2)/$Q$2))</f>
        <v>2331.90034627914</v>
      </c>
      <c r="G385" s="15" t="n">
        <f aca="false">F385*(1+IF(G$3&lt;=$O$2,$D385,$D385-($D385-$I$373)*MIN(G$3-$O$2,$Q$2)/$Q$2))</f>
        <v>2400.78705084452</v>
      </c>
      <c r="H385" s="15" t="n">
        <f aca="false">G385*(1+IF(H$3&lt;=$O$2,$D385,$D385-($D385-$I$373)*MIN(H$3-$O$2,$Q$2)/$Q$2))</f>
        <v>2471.70873862582</v>
      </c>
      <c r="I385" s="15" t="n">
        <f aca="false">H385*(1+IF(I$3&lt;=$O$2,$D385,$D385-($D385-$I$373)*MIN(I$3-$O$2,$Q$2)/$Q$2))</f>
        <v>2544.72552509401</v>
      </c>
      <c r="J385" s="15" t="n">
        <f aca="false">I385*(1+IF(J$3&lt;=$O$2,$D385,$D385-($D385-$I$373)*MIN(J$3-$O$2,$Q$2)/$Q$2))</f>
        <v>2619.26769276455</v>
      </c>
      <c r="K385" s="15" t="n">
        <f aca="false">J385*(1+IF(K$3&lt;=$O$2,$D385,$D385-($D385-$I$373)*MIN(K$3-$O$2,$Q$2)/$Q$2))</f>
        <v>2695.34329974946</v>
      </c>
      <c r="L385" s="15" t="n">
        <f aca="false">K385*(1+IF(L$3&lt;=$O$2,$D385,$D385-($D385-$I$373)*MIN(L$3-$O$2,$Q$2)/$Q$2))</f>
        <v>2772.95950039226</v>
      </c>
      <c r="M385" s="15" t="n">
        <f aca="false">L385*(1+IF(M$3&lt;=$O$2,$D385,$D385-($D385-$I$373)*MIN(M$3-$O$2,$Q$2)/$Q$2))</f>
        <v>2852.12251146685</v>
      </c>
      <c r="N385" s="15" t="n">
        <f aca="false">M385*(1+IF(N$3&lt;=$O$2,$D385,$D385-($D385-$I$373)*MIN(N$3-$O$2,$Q$2)/$Q$2))</f>
        <v>2932.83757854137</v>
      </c>
      <c r="O385" s="15" t="n">
        <f aca="false">SUMPRODUCT(E385:N385,1/(1+$F$373)^$E$3:$N$3)*$E$2</f>
        <v>8931.70932043262</v>
      </c>
      <c r="P385" s="15" t="n">
        <f aca="false">N385*$E$2*(1+$I$373)/($F$373-$I$373)/(1+$F$373)^$N$3</f>
        <v>14926.0297051941</v>
      </c>
      <c r="Q385" s="15" t="n">
        <f aca="false">O385+P385</f>
        <v>23857.7390256267</v>
      </c>
      <c r="R385" s="15" t="n">
        <f aca="false">Q385-$G$2+$I$2</f>
        <v>25767.3990256267</v>
      </c>
      <c r="S385" s="42" t="n">
        <f aca="false">R385/$K$2</f>
        <v>110.102974087197</v>
      </c>
      <c r="T385" s="43" t="n">
        <f aca="false">S385-$M$2</f>
        <v>0.117074843510125</v>
      </c>
    </row>
    <row r="386" customFormat="false" ht="15" hidden="false" customHeight="false" outlineLevel="0" collapsed="false">
      <c r="A386" s="5" t="n">
        <v>12</v>
      </c>
      <c r="B386" s="25" t="n">
        <f aca="false">IF(T385&gt;0,B385,D385)</f>
        <v>0.02880859375</v>
      </c>
      <c r="C386" s="25" t="n">
        <f aca="false">IF(T385&gt;0,D385,C385)</f>
        <v>0.029541015625</v>
      </c>
      <c r="D386" s="41" t="n">
        <f aca="false">(B386+C386)/2</f>
        <v>0.0291748046875</v>
      </c>
      <c r="E386" s="15" t="n">
        <f aca="false">$C$2*(1+IF(E$3&lt;=$O$2,$D386,$D386-($D386-$I$373)*MIN(E$3-$O$2,$Q$2)/$Q$2))</f>
        <v>2264.1845703125</v>
      </c>
      <c r="F386" s="15" t="n">
        <f aca="false">E386*(1+IF(F$3&lt;=$O$2,$D386,$D386-($D386-$I$373)*MIN(F$3-$O$2,$Q$2)/$Q$2))</f>
        <v>2330.24171292782</v>
      </c>
      <c r="G386" s="15" t="n">
        <f aca="false">F386*(1+IF(G$3&lt;=$O$2,$D386,$D386-($D386-$I$373)*MIN(G$3-$O$2,$Q$2)/$Q$2))</f>
        <v>2398.22605977715</v>
      </c>
      <c r="H386" s="15" t="n">
        <f aca="false">G386*(1+IF(H$3&lt;=$O$2,$D386,$D386-($D386-$I$373)*MIN(H$3-$O$2,$Q$2)/$Q$2))</f>
        <v>2468.19383666762</v>
      </c>
      <c r="I386" s="15" t="n">
        <f aca="false">H386*(1+IF(I$3&lt;=$O$2,$D386,$D386-($D386-$I$373)*MIN(I$3-$O$2,$Q$2)/$Q$2))</f>
        <v>2540.20290978329</v>
      </c>
      <c r="J386" s="15" t="n">
        <f aca="false">I386*(1+IF(J$3&lt;=$O$2,$D386,$D386-($D386-$I$373)*MIN(J$3-$O$2,$Q$2)/$Q$2))</f>
        <v>2613.8683972603</v>
      </c>
      <c r="K386" s="15" t="n">
        <f aca="false">J386*(1+IF(K$3&lt;=$O$2,$D386,$D386-($D386-$I$373)*MIN(K$3-$O$2,$Q$2)/$Q$2))</f>
        <v>2689.21284749863</v>
      </c>
      <c r="L386" s="15" t="n">
        <f aca="false">K386*(1+IF(L$3&lt;=$O$2,$D386,$D386-($D386-$I$373)*MIN(L$3-$O$2,$Q$2)/$Q$2))</f>
        <v>2766.25858548471</v>
      </c>
      <c r="M386" s="15" t="n">
        <f aca="false">L386*(1+IF(M$3&lt;=$O$2,$D386,$D386-($D386-$I$373)*MIN(M$3-$O$2,$Q$2)/$Q$2))</f>
        <v>2845.02769064941</v>
      </c>
      <c r="N386" s="15" t="n">
        <f aca="false">M386*(1+IF(N$3&lt;=$O$2,$D386,$D386-($D386-$I$373)*MIN(N$3-$O$2,$Q$2)/$Q$2))</f>
        <v>2925.54197429479</v>
      </c>
      <c r="O386" s="15" t="n">
        <f aca="false">SUMPRODUCT(E386:N386,1/(1+$F$373)^$E$3:$N$3)*$E$2</f>
        <v>8917.32869090029</v>
      </c>
      <c r="P386" s="15" t="n">
        <f aca="false">N386*$E$2*(1+$I$373)/($F$373-$I$373)/(1+$F$373)^$N$3</f>
        <v>14888.9003372064</v>
      </c>
      <c r="Q386" s="15" t="n">
        <f aca="false">O386+P386</f>
        <v>23806.2290281067</v>
      </c>
      <c r="R386" s="15" t="n">
        <f aca="false">Q386-$G$2+$I$2</f>
        <v>25715.8890281067</v>
      </c>
      <c r="S386" s="42" t="n">
        <f aca="false">R386/$K$2</f>
        <v>109.882874110613</v>
      </c>
      <c r="T386" s="43" t="n">
        <f aca="false">S386-$M$2</f>
        <v>-0.10302513307407</v>
      </c>
    </row>
    <row r="387" customFormat="false" ht="15" hidden="false" customHeight="false" outlineLevel="0" collapsed="false">
      <c r="A387" s="5" t="n">
        <v>13</v>
      </c>
      <c r="B387" s="25" t="n">
        <f aca="false">IF(T386&gt;0,B386,D386)</f>
        <v>0.0291748046875</v>
      </c>
      <c r="C387" s="25" t="n">
        <f aca="false">IF(T386&gt;0,D386,C386)</f>
        <v>0.029541015625</v>
      </c>
      <c r="D387" s="41" t="n">
        <f aca="false">(B387+C387)/2</f>
        <v>0.02935791015625</v>
      </c>
      <c r="E387" s="15" t="n">
        <f aca="false">$C$2*(1+IF(E$3&lt;=$O$2,$D387,$D387-($D387-$I$373)*MIN(E$3-$O$2,$Q$2)/$Q$2))</f>
        <v>2264.58740234375</v>
      </c>
      <c r="F387" s="15" t="n">
        <f aca="false">E387*(1+IF(F$3&lt;=$O$2,$D387,$D387-($D387-$I$373)*MIN(F$3-$O$2,$Q$2)/$Q$2))</f>
        <v>2331.07095584273</v>
      </c>
      <c r="G387" s="15" t="n">
        <f aca="false">F387*(1+IF(G$3&lt;=$O$2,$D387,$D387-($D387-$I$373)*MIN(G$3-$O$2,$Q$2)/$Q$2))</f>
        <v>2399.50632753221</v>
      </c>
      <c r="H387" s="15" t="n">
        <f aca="false">G387*(1+IF(H$3&lt;=$O$2,$D387,$D387-($D387-$I$373)*MIN(H$3-$O$2,$Q$2)/$Q$2))</f>
        <v>2469.95081871525</v>
      </c>
      <c r="I387" s="15" t="n">
        <f aca="false">H387*(1+IF(I$3&lt;=$O$2,$D387,$D387-($D387-$I$373)*MIN(I$3-$O$2,$Q$2)/$Q$2))</f>
        <v>2542.46341294145</v>
      </c>
      <c r="J387" s="15" t="n">
        <f aca="false">I387*(1+IF(J$3&lt;=$O$2,$D387,$D387-($D387-$I$373)*MIN(J$3-$O$2,$Q$2)/$Q$2))</f>
        <v>2616.56688582085</v>
      </c>
      <c r="K387" s="15" t="n">
        <f aca="false">J387*(1+IF(K$3&lt;=$O$2,$D387,$D387-($D387-$I$373)*MIN(K$3-$O$2,$Q$2)/$Q$2))</f>
        <v>2692.27658429939</v>
      </c>
      <c r="L387" s="15" t="n">
        <f aca="false">K387*(1+IF(L$3&lt;=$O$2,$D387,$D387-($D387-$I$373)*MIN(L$3-$O$2,$Q$2)/$Q$2))</f>
        <v>2769.60728633185</v>
      </c>
      <c r="M387" s="15" t="n">
        <f aca="false">L387*(1+IF(M$3&lt;=$O$2,$D387,$D387-($D387-$I$373)*MIN(M$3-$O$2,$Q$2)/$Q$2))</f>
        <v>2848.57317167045</v>
      </c>
      <c r="N387" s="15" t="n">
        <f aca="false">M387*(1+IF(N$3&lt;=$O$2,$D387,$D387-($D387-$I$373)*MIN(N$3-$O$2,$Q$2)/$Q$2))</f>
        <v>2929.18779242872</v>
      </c>
      <c r="O387" s="15" t="n">
        <f aca="false">SUMPRODUCT(E387:N387,1/(1+$F$373)^$E$3:$N$3)*$E$2</f>
        <v>8924.51607650498</v>
      </c>
      <c r="P387" s="15" t="n">
        <f aca="false">N387*$E$2*(1+$I$373)/($F$373-$I$373)/(1+$F$373)^$N$3</f>
        <v>14907.4549241242</v>
      </c>
      <c r="Q387" s="15" t="n">
        <f aca="false">O387+P387</f>
        <v>23831.9710006291</v>
      </c>
      <c r="R387" s="15" t="n">
        <f aca="false">Q387-$G$2+$I$2</f>
        <v>25741.6310006291</v>
      </c>
      <c r="S387" s="42" t="n">
        <f aca="false">R387/$K$2</f>
        <v>109.992868438359</v>
      </c>
      <c r="T387" s="43" t="n">
        <f aca="false">S387-$M$2</f>
        <v>0.00696919467223722</v>
      </c>
    </row>
    <row r="388" customFormat="false" ht="15" hidden="false" customHeight="false" outlineLevel="0" collapsed="false">
      <c r="A388" s="5" t="n">
        <v>14</v>
      </c>
      <c r="B388" s="25" t="n">
        <f aca="false">IF(T387&gt;0,B387,D387)</f>
        <v>0.0291748046875</v>
      </c>
      <c r="C388" s="25" t="n">
        <f aca="false">IF(T387&gt;0,D387,C387)</f>
        <v>0.02935791015625</v>
      </c>
      <c r="D388" s="41" t="n">
        <f aca="false">(B388+C388)/2</f>
        <v>0.029266357421875</v>
      </c>
      <c r="E388" s="15" t="n">
        <f aca="false">$C$2*(1+IF(E$3&lt;=$O$2,$D388,$D388-($D388-$I$373)*MIN(E$3-$O$2,$Q$2)/$Q$2))</f>
        <v>2264.38598632813</v>
      </c>
      <c r="F388" s="15" t="n">
        <f aca="false">E388*(1+IF(F$3&lt;=$O$2,$D388,$D388-($D388-$I$373)*MIN(F$3-$O$2,$Q$2)/$Q$2))</f>
        <v>2330.65631594509</v>
      </c>
      <c r="G388" s="15" t="n">
        <f aca="false">F388*(1+IF(G$3&lt;=$O$2,$D388,$D388-($D388-$I$373)*MIN(G$3-$O$2,$Q$2)/$Q$2))</f>
        <v>2398.86613671509</v>
      </c>
      <c r="H388" s="15" t="n">
        <f aca="false">G388*(1+IF(H$3&lt;=$O$2,$D388,$D388-($D388-$I$373)*MIN(H$3-$O$2,$Q$2)/$Q$2))</f>
        <v>2469.07221047942</v>
      </c>
      <c r="I388" s="15" t="n">
        <f aca="false">H388*(1+IF(I$3&lt;=$O$2,$D388,$D388-($D388-$I$373)*MIN(I$3-$O$2,$Q$2)/$Q$2))</f>
        <v>2541.33296029173</v>
      </c>
      <c r="J388" s="15" t="n">
        <f aca="false">I388*(1+IF(J$3&lt;=$O$2,$D388,$D388-($D388-$I$373)*MIN(J$3-$O$2,$Q$2)/$Q$2))</f>
        <v>2615.2173518421</v>
      </c>
      <c r="K388" s="15" t="n">
        <f aca="false">J388*(1+IF(K$3&lt;=$O$2,$D388,$D388-($D388-$I$373)*MIN(K$3-$O$2,$Q$2)/$Q$2))</f>
        <v>2690.74434371789</v>
      </c>
      <c r="L388" s="15" t="n">
        <f aca="false">K388*(1+IF(L$3&lt;=$O$2,$D388,$D388-($D388-$I$373)*MIN(L$3-$O$2,$Q$2)/$Q$2))</f>
        <v>2767.93249695187</v>
      </c>
      <c r="M388" s="15" t="n">
        <f aca="false">L388*(1+IF(M$3&lt;=$O$2,$D388,$D388-($D388-$I$373)*MIN(M$3-$O$2,$Q$2)/$Q$2))</f>
        <v>2846.79994903795</v>
      </c>
      <c r="N388" s="15" t="n">
        <f aca="false">M388*(1+IF(N$3&lt;=$O$2,$D388,$D388-($D388-$I$373)*MIN(N$3-$O$2,$Q$2)/$Q$2))</f>
        <v>2927.36438759572</v>
      </c>
      <c r="O388" s="15" t="n">
        <f aca="false">SUMPRODUCT(E388:N388,1/(1+$F$373)^$E$3:$N$3)*$E$2</f>
        <v>8920.92165169198</v>
      </c>
      <c r="P388" s="15" t="n">
        <f aca="false">N388*$E$2*(1+$I$373)/($F$373-$I$373)/(1+$F$373)^$N$3</f>
        <v>14898.1751075734</v>
      </c>
      <c r="Q388" s="15" t="n">
        <f aca="false">O388+P388</f>
        <v>23819.0967592654</v>
      </c>
      <c r="R388" s="15" t="n">
        <f aca="false">Q388-$G$2+$I$2</f>
        <v>25728.7567592654</v>
      </c>
      <c r="S388" s="42" t="n">
        <f aca="false">R388/$K$2</f>
        <v>109.937857365575</v>
      </c>
      <c r="T388" s="43" t="n">
        <f aca="false">S388-$M$2</f>
        <v>-0.0480418781120875</v>
      </c>
    </row>
    <row r="389" customFormat="false" ht="15" hidden="false" customHeight="false" outlineLevel="0" collapsed="false">
      <c r="A389" s="5" t="n">
        <v>15</v>
      </c>
      <c r="B389" s="25" t="n">
        <f aca="false">IF(T388&gt;0,B388,D388)</f>
        <v>0.029266357421875</v>
      </c>
      <c r="C389" s="25" t="n">
        <f aca="false">IF(T388&gt;0,D388,C388)</f>
        <v>0.02935791015625</v>
      </c>
      <c r="D389" s="41" t="n">
        <f aca="false">(B389+C389)/2</f>
        <v>0.0293121337890625</v>
      </c>
      <c r="E389" s="15" t="n">
        <f aca="false">$C$2*(1+IF(E$3&lt;=$O$2,$D389,$D389-($D389-$I$373)*MIN(E$3-$O$2,$Q$2)/$Q$2))</f>
        <v>2264.48669433594</v>
      </c>
      <c r="F389" s="15" t="n">
        <f aca="false">E389*(1+IF(F$3&lt;=$O$2,$D389,$D389-($D389-$I$373)*MIN(F$3-$O$2,$Q$2)/$Q$2))</f>
        <v>2330.86363128386</v>
      </c>
      <c r="G389" s="15" t="n">
        <f aca="false">F389*(1+IF(G$3&lt;=$O$2,$D389,$D389-($D389-$I$373)*MIN(G$3-$O$2,$Q$2)/$Q$2))</f>
        <v>2399.18621788812</v>
      </c>
      <c r="H389" s="15" t="n">
        <f aca="false">G389*(1+IF(H$3&lt;=$O$2,$D389,$D389-($D389-$I$373)*MIN(H$3-$O$2,$Q$2)/$Q$2))</f>
        <v>2469.51148529173</v>
      </c>
      <c r="I389" s="15" t="n">
        <f aca="false">H389*(1+IF(I$3&lt;=$O$2,$D389,$D389-($D389-$I$373)*MIN(I$3-$O$2,$Q$2)/$Q$2))</f>
        <v>2541.89813634223</v>
      </c>
      <c r="J389" s="15" t="n">
        <f aca="false">I389*(1+IF(J$3&lt;=$O$2,$D389,$D389-($D389-$I$373)*MIN(J$3-$O$2,$Q$2)/$Q$2))</f>
        <v>2615.89204639443</v>
      </c>
      <c r="K389" s="15" t="n">
        <f aca="false">J389*(1+IF(K$3&lt;=$O$2,$D389,$D389-($D389-$I$373)*MIN(K$3-$O$2,$Q$2)/$Q$2))</f>
        <v>2691.51037094461</v>
      </c>
      <c r="L389" s="15" t="n">
        <f aca="false">K389*(1+IF(L$3&lt;=$O$2,$D389,$D389-($D389-$I$373)*MIN(L$3-$O$2,$Q$2)/$Q$2))</f>
        <v>2768.76978187836</v>
      </c>
      <c r="M389" s="15" t="n">
        <f aca="false">L389*(1+IF(M$3&lt;=$O$2,$D389,$D389-($D389-$I$373)*MIN(M$3-$O$2,$Q$2)/$Q$2))</f>
        <v>2847.68643979559</v>
      </c>
      <c r="N389" s="15" t="n">
        <f aca="false">M389*(1+IF(N$3&lt;=$O$2,$D389,$D389-($D389-$I$373)*MIN(N$3-$O$2,$Q$2)/$Q$2))</f>
        <v>2928.27596604181</v>
      </c>
      <c r="O389" s="15" t="n">
        <f aca="false">SUMPRODUCT(E389:N389,1/(1+$F$373)^$E$3:$N$3)*$E$2</f>
        <v>8922.71868106086</v>
      </c>
      <c r="P389" s="15" t="n">
        <f aca="false">N389*$E$2*(1+$I$373)/($F$373-$I$373)/(1+$F$373)^$N$3</f>
        <v>14902.8143849287</v>
      </c>
      <c r="Q389" s="15" t="n">
        <f aca="false">O389+P389</f>
        <v>23825.5330659896</v>
      </c>
      <c r="R389" s="15" t="n">
        <f aca="false">Q389-$G$2+$I$2</f>
        <v>25735.1930659896</v>
      </c>
      <c r="S389" s="42" t="n">
        <f aca="false">R389/$K$2</f>
        <v>109.965359423961</v>
      </c>
      <c r="T389" s="43" t="n">
        <f aca="false">S389-$M$2</f>
        <v>-0.0205398197256983</v>
      </c>
    </row>
    <row r="390" customFormat="false" ht="15" hidden="false" customHeight="false" outlineLevel="0" collapsed="false">
      <c r="A390" s="5" t="n">
        <v>16</v>
      </c>
      <c r="B390" s="25" t="n">
        <f aca="false">IF(T389&gt;0,B389,D389)</f>
        <v>0.0293121337890625</v>
      </c>
      <c r="C390" s="25" t="n">
        <f aca="false">IF(T389&gt;0,D389,C389)</f>
        <v>0.02935791015625</v>
      </c>
      <c r="D390" s="41" t="n">
        <f aca="false">(B390+C390)/2</f>
        <v>0.0293350219726563</v>
      </c>
      <c r="E390" s="15" t="n">
        <f aca="false">$C$2*(1+IF(E$3&lt;=$O$2,$D390,$D390-($D390-$I$373)*MIN(E$3-$O$2,$Q$2)/$Q$2))</f>
        <v>2264.53704833984</v>
      </c>
      <c r="F390" s="15" t="n">
        <f aca="false">E390*(1+IF(F$3&lt;=$O$2,$D390,$D390-($D390-$I$373)*MIN(F$3-$O$2,$Q$2)/$Q$2))</f>
        <v>2330.96729241079</v>
      </c>
      <c r="G390" s="15" t="n">
        <f aca="false">F390*(1+IF(G$3&lt;=$O$2,$D390,$D390-($D390-$I$373)*MIN(G$3-$O$2,$Q$2)/$Q$2))</f>
        <v>2399.3462691512</v>
      </c>
      <c r="H390" s="15" t="n">
        <f aca="false">G390*(1+IF(H$3&lt;=$O$2,$D390,$D390-($D390-$I$373)*MIN(H$3-$O$2,$Q$2)/$Q$2))</f>
        <v>2469.73114467676</v>
      </c>
      <c r="I390" s="15" t="n">
        <f aca="false">H390*(1+IF(I$3&lt;=$O$2,$D390,$D390-($D390-$I$373)*MIN(I$3-$O$2,$Q$2)/$Q$2))</f>
        <v>2542.18076207241</v>
      </c>
      <c r="J390" s="15" t="n">
        <f aca="false">I390*(1+IF(J$3&lt;=$O$2,$D390,$D390-($D390-$I$373)*MIN(J$3-$O$2,$Q$2)/$Q$2))</f>
        <v>2616.22944799683</v>
      </c>
      <c r="K390" s="15" t="n">
        <f aca="false">J390*(1+IF(K$3&lt;=$O$2,$D390,$D390-($D390-$I$373)*MIN(K$3-$O$2,$Q$2)/$Q$2))</f>
        <v>2691.89345435365</v>
      </c>
      <c r="L390" s="15" t="n">
        <f aca="false">K390*(1+IF(L$3&lt;=$O$2,$D390,$D390-($D390-$I$373)*MIN(L$3-$O$2,$Q$2)/$Q$2))</f>
        <v>2769.18850666118</v>
      </c>
      <c r="M390" s="15" t="n">
        <f aca="false">L390*(1+IF(M$3&lt;=$O$2,$D390,$D390-($D390-$I$373)*MIN(M$3-$O$2,$Q$2)/$Q$2))</f>
        <v>2848.12977558985</v>
      </c>
      <c r="N390" s="15" t="n">
        <f aca="false">M390*(1+IF(N$3&lt;=$O$2,$D390,$D390-($D390-$I$373)*MIN(N$3-$O$2,$Q$2)/$Q$2))</f>
        <v>2928.73184823905</v>
      </c>
      <c r="O390" s="15" t="n">
        <f aca="false">SUMPRODUCT(E390:N390,1/(1+$F$373)^$E$3:$N$3)*$E$2</f>
        <v>8923.61733301914</v>
      </c>
      <c r="P390" s="15" t="n">
        <f aca="false">N390*$E$2*(1+$I$373)/($F$373-$I$373)/(1+$F$373)^$N$3</f>
        <v>14905.134496778</v>
      </c>
      <c r="Q390" s="15" t="n">
        <f aca="false">O390+P390</f>
        <v>23828.7518297972</v>
      </c>
      <c r="R390" s="15" t="n">
        <f aca="false">Q390-$G$2+$I$2</f>
        <v>25738.4118297972</v>
      </c>
      <c r="S390" s="42" t="n">
        <f aca="false">R390/$K$2</f>
        <v>109.979113061561</v>
      </c>
      <c r="T390" s="43" t="n">
        <f aca="false">S390-$M$2</f>
        <v>-0.00678618212540982</v>
      </c>
    </row>
    <row r="391" customFormat="false" ht="15" hidden="false" customHeight="false" outlineLevel="0" collapsed="false">
      <c r="A391" s="5" t="n">
        <v>17</v>
      </c>
      <c r="B391" s="25" t="n">
        <f aca="false">IF(T390&gt;0,B390,D390)</f>
        <v>0.0293350219726563</v>
      </c>
      <c r="C391" s="25" t="n">
        <f aca="false">IF(T390&gt;0,D390,C390)</f>
        <v>0.02935791015625</v>
      </c>
      <c r="D391" s="41" t="n">
        <f aca="false">(B391+C391)/2</f>
        <v>0.0293464660644531</v>
      </c>
      <c r="E391" s="15" t="n">
        <f aca="false">$C$2*(1+IF(E$3&lt;=$O$2,$D391,$D391-($D391-$I$373)*MIN(E$3-$O$2,$Q$2)/$Q$2))</f>
        <v>2264.5622253418</v>
      </c>
      <c r="F391" s="15" t="n">
        <f aca="false">E391*(1+IF(F$3&lt;=$O$2,$D391,$D391-($D391-$I$373)*MIN(F$3-$O$2,$Q$2)/$Q$2))</f>
        <v>2331.01912383863</v>
      </c>
      <c r="G391" s="15" t="n">
        <f aca="false">F391*(1+IF(G$3&lt;=$O$2,$D391,$D391-($D391-$I$373)*MIN(G$3-$O$2,$Q$2)/$Q$2))</f>
        <v>2399.42629745195</v>
      </c>
      <c r="H391" s="15" t="n">
        <f aca="false">G391*(1+IF(H$3&lt;=$O$2,$D391,$D391-($D391-$I$373)*MIN(H$3-$O$2,$Q$2)/$Q$2))</f>
        <v>2469.84097986428</v>
      </c>
      <c r="I391" s="15" t="n">
        <f aca="false">H391*(1+IF(I$3&lt;=$O$2,$D391,$D391-($D391-$I$373)*MIN(I$3-$O$2,$Q$2)/$Q$2))</f>
        <v>2542.32208436447</v>
      </c>
      <c r="J391" s="15" t="n">
        <f aca="false">I391*(1+IF(J$3&lt;=$O$2,$D391,$D391-($D391-$I$373)*MIN(J$3-$O$2,$Q$2)/$Q$2))</f>
        <v>2616.39816238094</v>
      </c>
      <c r="K391" s="15" t="n">
        <f aca="false">J391*(1+IF(K$3&lt;=$O$2,$D391,$D391-($D391-$I$373)*MIN(K$3-$O$2,$Q$2)/$Q$2))</f>
        <v>2692.08501350914</v>
      </c>
      <c r="L391" s="15" t="n">
        <f aca="false">K391*(1+IF(L$3&lt;=$O$2,$D391,$D391-($D391-$I$373)*MIN(L$3-$O$2,$Q$2)/$Q$2))</f>
        <v>2769.39788963515</v>
      </c>
      <c r="M391" s="15" t="n">
        <f aca="false">L391*(1+IF(M$3&lt;=$O$2,$D391,$D391-($D391-$I$373)*MIN(M$3-$O$2,$Q$2)/$Q$2))</f>
        <v>2848.35146609392</v>
      </c>
      <c r="N391" s="15" t="n">
        <f aca="false">M391*(1+IF(N$3&lt;=$O$2,$D391,$D391-($D391-$I$373)*MIN(N$3-$O$2,$Q$2)/$Q$2))</f>
        <v>2928.95981258438</v>
      </c>
      <c r="O391" s="15" t="n">
        <f aca="false">SUMPRODUCT(E391:N391,1/(1+$F$373)^$E$3:$N$3)*$E$2</f>
        <v>8924.06669332057</v>
      </c>
      <c r="P391" s="15" t="n">
        <f aca="false">N391*$E$2*(1+$I$373)/($F$373-$I$373)/(1+$F$373)^$N$3</f>
        <v>14906.2946710117</v>
      </c>
      <c r="Q391" s="15" t="n">
        <f aca="false">O391+P391</f>
        <v>23830.3613643323</v>
      </c>
      <c r="R391" s="15" t="n">
        <f aca="false">Q391-$G$2+$I$2</f>
        <v>25740.0213643323</v>
      </c>
      <c r="S391" s="42" t="n">
        <f aca="false">R391/$K$2</f>
        <v>109.985990532548</v>
      </c>
      <c r="T391" s="43" t="n">
        <f aca="false">S391-$M$2</f>
        <v>9.12888615545171E-005</v>
      </c>
    </row>
    <row r="392" customFormat="false" ht="15" hidden="false" customHeight="false" outlineLevel="0" collapsed="false">
      <c r="A392" s="5" t="n">
        <v>18</v>
      </c>
      <c r="B392" s="25" t="n">
        <f aca="false">IF(T391&gt;0,B391,D391)</f>
        <v>0.0293350219726563</v>
      </c>
      <c r="C392" s="25" t="n">
        <f aca="false">IF(T391&gt;0,D391,C391)</f>
        <v>0.0293464660644531</v>
      </c>
      <c r="D392" s="41" t="n">
        <f aca="false">(B392+C392)/2</f>
        <v>0.0293407440185547</v>
      </c>
      <c r="E392" s="15" t="n">
        <f aca="false">$C$2*(1+IF(E$3&lt;=$O$2,$D392,$D392-($D392-$I$373)*MIN(E$3-$O$2,$Q$2)/$Q$2))</f>
        <v>2264.54963684082</v>
      </c>
      <c r="F392" s="15" t="n">
        <f aca="false">E392*(1+IF(F$3&lt;=$O$2,$D392,$D392-($D392-$I$373)*MIN(F$3-$O$2,$Q$2)/$Q$2))</f>
        <v>2330.99320805268</v>
      </c>
      <c r="G392" s="15" t="n">
        <f aca="false">F392*(1+IF(G$3&lt;=$O$2,$D392,$D392-($D392-$I$373)*MIN(G$3-$O$2,$Q$2)/$Q$2))</f>
        <v>2399.38628307914</v>
      </c>
      <c r="H392" s="15" t="n">
        <f aca="false">G392*(1+IF(H$3&lt;=$O$2,$D392,$D392-($D392-$I$373)*MIN(H$3-$O$2,$Q$2)/$Q$2))</f>
        <v>2469.7860618126</v>
      </c>
      <c r="I392" s="15" t="n">
        <f aca="false">H392*(1+IF(I$3&lt;=$O$2,$D392,$D392-($D392-$I$373)*MIN(I$3-$O$2,$Q$2)/$Q$2))</f>
        <v>2542.25142243284</v>
      </c>
      <c r="J392" s="15" t="n">
        <f aca="false">I392*(1+IF(J$3&lt;=$O$2,$D392,$D392-($D392-$I$373)*MIN(J$3-$O$2,$Q$2)/$Q$2))</f>
        <v>2616.31380405693</v>
      </c>
      <c r="K392" s="15" t="n">
        <f aca="false">J392*(1+IF(K$3&lt;=$O$2,$D392,$D392-($D392-$I$373)*MIN(K$3-$O$2,$Q$2)/$Q$2))</f>
        <v>2691.98923247708</v>
      </c>
      <c r="L392" s="15" t="n">
        <f aca="false">K392*(1+IF(L$3&lt;=$O$2,$D392,$D392-($D392-$I$373)*MIN(L$3-$O$2,$Q$2)/$Q$2))</f>
        <v>2769.29319643287</v>
      </c>
      <c r="M392" s="15" t="n">
        <f aca="false">L392*(1+IF(M$3&lt;=$O$2,$D392,$D392-($D392-$I$373)*MIN(M$3-$O$2,$Q$2)/$Q$2))</f>
        <v>2848.24061895788</v>
      </c>
      <c r="N392" s="15" t="n">
        <f aca="false">M392*(1+IF(N$3&lt;=$O$2,$D392,$D392-($D392-$I$373)*MIN(N$3-$O$2,$Q$2)/$Q$2))</f>
        <v>2928.84582847439</v>
      </c>
      <c r="O392" s="15" t="n">
        <f aca="false">SUMPRODUCT(E392:N392,1/(1+$F$373)^$E$3:$N$3)*$E$2</f>
        <v>8923.84201030955</v>
      </c>
      <c r="P392" s="15" t="n">
        <f aca="false">N392*$E$2*(1+$I$373)/($F$373-$I$373)/(1+$F$373)^$N$3</f>
        <v>14905.7145740353</v>
      </c>
      <c r="Q392" s="15" t="n">
        <f aca="false">O392+P392</f>
        <v>23829.5565843449</v>
      </c>
      <c r="R392" s="15" t="n">
        <f aca="false">Q392-$G$2+$I$2</f>
        <v>25739.2165843449</v>
      </c>
      <c r="S392" s="42" t="n">
        <f aca="false">R392/$K$2</f>
        <v>109.982551742703</v>
      </c>
      <c r="T392" s="43" t="n">
        <f aca="false">S392-$M$2</f>
        <v>-0.00334750098335235</v>
      </c>
    </row>
    <row r="393" customFormat="false" ht="15" hidden="false" customHeight="false" outlineLevel="0" collapsed="false">
      <c r="A393" s="5" t="n">
        <v>19</v>
      </c>
      <c r="B393" s="25" t="n">
        <f aca="false">IF(T392&gt;0,B392,D392)</f>
        <v>0.0293407440185547</v>
      </c>
      <c r="C393" s="25" t="n">
        <f aca="false">IF(T392&gt;0,D392,C392)</f>
        <v>0.0293464660644531</v>
      </c>
      <c r="D393" s="41" t="n">
        <f aca="false">(B393+C393)/2</f>
        <v>0.0293436050415039</v>
      </c>
      <c r="E393" s="15" t="n">
        <f aca="false">$C$2*(1+IF(E$3&lt;=$O$2,$D393,$D393-($D393-$I$373)*MIN(E$3-$O$2,$Q$2)/$Q$2))</f>
        <v>2264.55593109131</v>
      </c>
      <c r="F393" s="15" t="n">
        <f aca="false">E393*(1+IF(F$3&lt;=$O$2,$D393,$D393-($D393-$I$373)*MIN(F$3-$O$2,$Q$2)/$Q$2))</f>
        <v>2331.00616592765</v>
      </c>
      <c r="G393" s="15" t="n">
        <f aca="false">F393*(1+IF(G$3&lt;=$O$2,$D393,$D393-($D393-$I$373)*MIN(G$3-$O$2,$Q$2)/$Q$2))</f>
        <v>2399.40629020994</v>
      </c>
      <c r="H393" s="15" t="n">
        <f aca="false">G393*(1+IF(H$3&lt;=$O$2,$D393,$D393-($D393-$I$373)*MIN(H$3-$O$2,$Q$2)/$Q$2))</f>
        <v>2469.81352072396</v>
      </c>
      <c r="I393" s="15" t="n">
        <f aca="false">H393*(1+IF(I$3&lt;=$O$2,$D393,$D393-($D393-$I$373)*MIN(I$3-$O$2,$Q$2)/$Q$2))</f>
        <v>2542.28675320225</v>
      </c>
      <c r="J393" s="15" t="n">
        <f aca="false">I393*(1+IF(J$3&lt;=$O$2,$D393,$D393-($D393-$I$373)*MIN(J$3-$O$2,$Q$2)/$Q$2))</f>
        <v>2616.35598293594</v>
      </c>
      <c r="K393" s="15" t="n">
        <f aca="false">J393*(1+IF(K$3&lt;=$O$2,$D393,$D393-($D393-$I$373)*MIN(K$3-$O$2,$Q$2)/$Q$2))</f>
        <v>2692.03712262953</v>
      </c>
      <c r="L393" s="15" t="n">
        <f aca="false">K393*(1+IF(L$3&lt;=$O$2,$D393,$D393-($D393-$I$373)*MIN(L$3-$O$2,$Q$2)/$Q$2))</f>
        <v>2769.34554260518</v>
      </c>
      <c r="M393" s="15" t="n">
        <f aca="false">L393*(1+IF(M$3&lt;=$O$2,$D393,$D393-($D393-$I$373)*MIN(M$3-$O$2,$Q$2)/$Q$2))</f>
        <v>2848.29604205489</v>
      </c>
      <c r="N393" s="15" t="n">
        <f aca="false">M393*(1+IF(N$3&lt;=$O$2,$D393,$D393-($D393-$I$373)*MIN(N$3-$O$2,$Q$2)/$Q$2))</f>
        <v>2928.90282004505</v>
      </c>
      <c r="O393" s="15" t="n">
        <f aca="false">SUMPRODUCT(E393:N393,1/(1+$F$373)^$E$3:$N$3)*$E$2</f>
        <v>8923.95435109998</v>
      </c>
      <c r="P393" s="15" t="n">
        <f aca="false">N393*$E$2*(1+$I$373)/($F$373-$I$373)/(1+$F$373)^$N$3</f>
        <v>14906.0046200586</v>
      </c>
      <c r="Q393" s="15" t="n">
        <f aca="false">O393+P393</f>
        <v>23829.9589711586</v>
      </c>
      <c r="R393" s="15" t="n">
        <f aca="false">Q393-$G$2+$I$2</f>
        <v>25739.6189711586</v>
      </c>
      <c r="S393" s="42" t="n">
        <f aca="false">R393/$K$2</f>
        <v>109.984271124038</v>
      </c>
      <c r="T393" s="43" t="n">
        <f aca="false">S393-$M$2</f>
        <v>-0.00162811964894161</v>
      </c>
    </row>
    <row r="394" customFormat="false" ht="15" hidden="false" customHeight="false" outlineLevel="0" collapsed="false">
      <c r="A394" s="5" t="n">
        <v>20</v>
      </c>
      <c r="B394" s="25" t="n">
        <f aca="false">IF(T393&gt;0,B393,D393)</f>
        <v>0.0293436050415039</v>
      </c>
      <c r="C394" s="25" t="n">
        <f aca="false">IF(T393&gt;0,D393,C393)</f>
        <v>0.0293464660644531</v>
      </c>
      <c r="D394" s="41" t="n">
        <f aca="false">(B394+C394)/2</f>
        <v>0.0293450355529785</v>
      </c>
      <c r="E394" s="15" t="n">
        <f aca="false">$C$2*(1+IF(E$3&lt;=$O$2,$D394,$D394-($D394-$I$373)*MIN(E$3-$O$2,$Q$2)/$Q$2))</f>
        <v>2264.55907821655</v>
      </c>
      <c r="F394" s="15" t="n">
        <f aca="false">E394*(1+IF(F$3&lt;=$O$2,$D394,$D394-($D394-$I$373)*MIN(F$3-$O$2,$Q$2)/$Q$2))</f>
        <v>2331.01264487864</v>
      </c>
      <c r="G394" s="15" t="n">
        <f aca="false">F394*(1+IF(G$3&lt;=$O$2,$D394,$D394-($D394-$I$373)*MIN(G$3-$O$2,$Q$2)/$Q$2))</f>
        <v>2399.41629381704</v>
      </c>
      <c r="H394" s="15" t="n">
        <f aca="false">G394*(1+IF(H$3&lt;=$O$2,$D394,$D394-($D394-$I$373)*MIN(H$3-$O$2,$Q$2)/$Q$2))</f>
        <v>2469.8272502655</v>
      </c>
      <c r="I394" s="15" t="n">
        <f aca="false">H394*(1+IF(I$3&lt;=$O$2,$D394,$D394-($D394-$I$373)*MIN(I$3-$O$2,$Q$2)/$Q$2))</f>
        <v>2542.30441873426</v>
      </c>
      <c r="J394" s="15" t="n">
        <f aca="false">I394*(1+IF(J$3&lt;=$O$2,$D394,$D394-($D394-$I$373)*MIN(J$3-$O$2,$Q$2)/$Q$2))</f>
        <v>2616.37707258769</v>
      </c>
      <c r="K394" s="15" t="n">
        <f aca="false">J394*(1+IF(K$3&lt;=$O$2,$D394,$D394-($D394-$I$373)*MIN(K$3-$O$2,$Q$2)/$Q$2))</f>
        <v>2692.06106797844</v>
      </c>
      <c r="L394" s="15" t="n">
        <f aca="false">K394*(1+IF(L$3&lt;=$O$2,$D394,$D394-($D394-$I$373)*MIN(L$3-$O$2,$Q$2)/$Q$2))</f>
        <v>2769.37171601296</v>
      </c>
      <c r="M394" s="15" t="n">
        <f aca="false">L394*(1+IF(M$3&lt;=$O$2,$D394,$D394-($D394-$I$373)*MIN(M$3-$O$2,$Q$2)/$Q$2))</f>
        <v>2848.32375395665</v>
      </c>
      <c r="N394" s="15" t="n">
        <f aca="false">M394*(1+IF(N$3&lt;=$O$2,$D394,$D394-($D394-$I$373)*MIN(N$3-$O$2,$Q$2)/$Q$2))</f>
        <v>2928.93131619363</v>
      </c>
      <c r="O394" s="15" t="n">
        <f aca="false">SUMPRODUCT(E394:N394,1/(1+$F$373)^$E$3:$N$3)*$E$2</f>
        <v>8924.0105220315</v>
      </c>
      <c r="P394" s="15" t="n">
        <f aca="false">N394*$E$2*(1+$I$373)/($F$373-$I$373)/(1+$F$373)^$N$3</f>
        <v>14906.1496449189</v>
      </c>
      <c r="Q394" s="15" t="n">
        <f aca="false">O394+P394</f>
        <v>23830.1601669504</v>
      </c>
      <c r="R394" s="15" t="n">
        <f aca="false">Q394-$G$2+$I$2</f>
        <v>25739.8201669504</v>
      </c>
      <c r="S394" s="42" t="n">
        <f aca="false">R394/$K$2</f>
        <v>109.985130824896</v>
      </c>
      <c r="T394" s="43" t="n">
        <f aca="false">S394-$M$2</f>
        <v>-0.000768418790741521</v>
      </c>
    </row>
    <row r="395" customFormat="false" ht="15" hidden="false" customHeight="false" outlineLevel="0" collapsed="false">
      <c r="A395" s="5" t="n">
        <v>21</v>
      </c>
      <c r="B395" s="25" t="n">
        <f aca="false">IF(T394&gt;0,B394,D394)</f>
        <v>0.0293450355529785</v>
      </c>
      <c r="C395" s="25" t="n">
        <f aca="false">IF(T394&gt;0,D394,C394)</f>
        <v>0.0293464660644531</v>
      </c>
      <c r="D395" s="41" t="n">
        <f aca="false">(B395+C395)/2</f>
        <v>0.0293457508087158</v>
      </c>
      <c r="E395" s="15" t="n">
        <f aca="false">$C$2*(1+IF(E$3&lt;=$O$2,$D395,$D395-($D395-$I$373)*MIN(E$3-$O$2,$Q$2)/$Q$2))</f>
        <v>2264.56065177918</v>
      </c>
      <c r="F395" s="15" t="n">
        <f aca="false">E395*(1+IF(F$3&lt;=$O$2,$D395,$D395-($D395-$I$373)*MIN(F$3-$O$2,$Q$2)/$Q$2))</f>
        <v>2331.01588435751</v>
      </c>
      <c r="G395" s="15" t="n">
        <f aca="false">F395*(1+IF(G$3&lt;=$O$2,$D395,$D395-($D395-$I$373)*MIN(G$3-$O$2,$Q$2)/$Q$2))</f>
        <v>2399.42129563102</v>
      </c>
      <c r="H395" s="15" t="n">
        <f aca="false">G395*(1+IF(H$3&lt;=$O$2,$D395,$D395-($D395-$I$373)*MIN(H$3-$O$2,$Q$2)/$Q$2))</f>
        <v>2469.83411505774</v>
      </c>
      <c r="I395" s="15" t="n">
        <f aca="false">H395*(1+IF(I$3&lt;=$O$2,$D395,$D395-($D395-$I$373)*MIN(I$3-$O$2,$Q$2)/$Q$2))</f>
        <v>2542.31325153709</v>
      </c>
      <c r="J395" s="15" t="n">
        <f aca="false">I395*(1+IF(J$3&lt;=$O$2,$D395,$D395-($D395-$I$373)*MIN(J$3-$O$2,$Q$2)/$Q$2))</f>
        <v>2616.38761746663</v>
      </c>
      <c r="K395" s="15" t="n">
        <f aca="false">J395*(1+IF(K$3&lt;=$O$2,$D395,$D395-($D395-$I$373)*MIN(K$3-$O$2,$Q$2)/$Q$2))</f>
        <v>2692.07304072106</v>
      </c>
      <c r="L395" s="15" t="n">
        <f aca="false">K395*(1+IF(L$3&lt;=$O$2,$D395,$D395-($D395-$I$373)*MIN(L$3-$O$2,$Q$2)/$Q$2))</f>
        <v>2769.38480279725</v>
      </c>
      <c r="M395" s="15" t="n">
        <f aca="false">L395*(1+IF(M$3&lt;=$O$2,$D395,$D395-($D395-$I$373)*MIN(M$3-$O$2,$Q$2)/$Q$2))</f>
        <v>2848.33760999585</v>
      </c>
      <c r="N395" s="15" t="n">
        <f aca="false">M395*(1+IF(N$3&lt;=$O$2,$D395,$D395-($D395-$I$373)*MIN(N$3-$O$2,$Q$2)/$Q$2))</f>
        <v>2928.94556435873</v>
      </c>
      <c r="O395" s="15" t="n">
        <f aca="false">SUMPRODUCT(E395:N395,1/(1+$F$373)^$E$3:$N$3)*$E$2</f>
        <v>8924.03860763134</v>
      </c>
      <c r="P395" s="15" t="n">
        <f aca="false">N395*$E$2*(1+$I$373)/($F$373-$I$373)/(1+$F$373)^$N$3</f>
        <v>14906.2221578112</v>
      </c>
      <c r="Q395" s="15" t="n">
        <f aca="false">O395+P395</f>
        <v>23830.2607654426</v>
      </c>
      <c r="R395" s="15" t="n">
        <f aca="false">Q395-$G$2+$I$2</f>
        <v>25739.9207654426</v>
      </c>
      <c r="S395" s="42" t="n">
        <f aca="false">R395/$K$2</f>
        <v>109.985560677873</v>
      </c>
      <c r="T395" s="43" t="n">
        <f aca="false">S395-$M$2</f>
        <v>-0.00033856581383418</v>
      </c>
    </row>
    <row r="396" customFormat="false" ht="15" hidden="false" customHeight="false" outlineLevel="0" collapsed="false">
      <c r="A396" s="5" t="n">
        <v>22</v>
      </c>
      <c r="B396" s="25" t="n">
        <f aca="false">IF(T395&gt;0,B395,D395)</f>
        <v>0.0293457508087158</v>
      </c>
      <c r="C396" s="25" t="n">
        <f aca="false">IF(T395&gt;0,D395,C395)</f>
        <v>0.0293464660644531</v>
      </c>
      <c r="D396" s="41" t="n">
        <f aca="false">(B396+C396)/2</f>
        <v>0.0293461084365845</v>
      </c>
      <c r="E396" s="15" t="n">
        <f aca="false">$C$2*(1+IF(E$3&lt;=$O$2,$D396,$D396-($D396-$I$373)*MIN(E$3-$O$2,$Q$2)/$Q$2))</f>
        <v>2264.56143856049</v>
      </c>
      <c r="F396" s="15" t="n">
        <f aca="false">E396*(1+IF(F$3&lt;=$O$2,$D396,$D396-($D396-$I$373)*MIN(F$3-$O$2,$Q$2)/$Q$2))</f>
        <v>2331.01750409779</v>
      </c>
      <c r="G396" s="15" t="n">
        <f aca="false">F396*(1+IF(G$3&lt;=$O$2,$D396,$D396-($D396-$I$373)*MIN(G$3-$O$2,$Q$2)/$Q$2))</f>
        <v>2399.42379654062</v>
      </c>
      <c r="H396" s="15" t="n">
        <f aca="false">G396*(1+IF(H$3&lt;=$O$2,$D396,$D396-($D396-$I$373)*MIN(H$3-$O$2,$Q$2)/$Q$2))</f>
        <v>2469.83754745922</v>
      </c>
      <c r="I396" s="15" t="n">
        <f aca="false">H396*(1+IF(I$3&lt;=$O$2,$D396,$D396-($D396-$I$373)*MIN(I$3-$O$2,$Q$2)/$Q$2))</f>
        <v>2542.31766794771</v>
      </c>
      <c r="J396" s="15" t="n">
        <f aca="false">I396*(1+IF(J$3&lt;=$O$2,$D396,$D396-($D396-$I$373)*MIN(J$3-$O$2,$Q$2)/$Q$2))</f>
        <v>2616.39288991936</v>
      </c>
      <c r="K396" s="15" t="n">
        <f aca="false">J396*(1+IF(K$3&lt;=$O$2,$D396,$D396-($D396-$I$373)*MIN(K$3-$O$2,$Q$2)/$Q$2))</f>
        <v>2692.07902710942</v>
      </c>
      <c r="L396" s="15" t="n">
        <f aca="false">K396*(1+IF(L$3&lt;=$O$2,$D396,$D396-($D396-$I$373)*MIN(L$3-$O$2,$Q$2)/$Q$2))</f>
        <v>2769.3913462095</v>
      </c>
      <c r="M396" s="15" t="n">
        <f aca="false">L396*(1+IF(M$3&lt;=$O$2,$D396,$D396-($D396-$I$373)*MIN(M$3-$O$2,$Q$2)/$Q$2))</f>
        <v>2848.34453803752</v>
      </c>
      <c r="N396" s="15" t="n">
        <f aca="false">M396*(1+IF(N$3&lt;=$O$2,$D396,$D396-($D396-$I$373)*MIN(N$3-$O$2,$Q$2)/$Q$2))</f>
        <v>2928.95268846399</v>
      </c>
      <c r="O396" s="15" t="n">
        <f aca="false">SUMPRODUCT(E396:N396,1/(1+$F$373)^$E$3:$N$3)*$E$2</f>
        <v>8924.05265046478</v>
      </c>
      <c r="P396" s="15" t="n">
        <f aca="false">N396*$E$2*(1+$I$373)/($F$373-$I$373)/(1+$F$373)^$N$3</f>
        <v>14906.258414373</v>
      </c>
      <c r="Q396" s="15" t="n">
        <f aca="false">O396+P396</f>
        <v>23830.3110648377</v>
      </c>
      <c r="R396" s="15" t="n">
        <f aca="false">Q396-$G$2+$I$2</f>
        <v>25739.9710648377</v>
      </c>
      <c r="S396" s="42" t="n">
        <f aca="false">R396/$K$2</f>
        <v>109.985775604998</v>
      </c>
      <c r="T396" s="43" t="n">
        <f aca="false">S396-$M$2</f>
        <v>-0.000123638688450001</v>
      </c>
    </row>
    <row r="397" customFormat="false" ht="15" hidden="false" customHeight="false" outlineLevel="0" collapsed="false">
      <c r="A397" s="5" t="n">
        <v>23</v>
      </c>
      <c r="B397" s="25" t="n">
        <f aca="false">IF(T396&gt;0,B396,D396)</f>
        <v>0.0293461084365845</v>
      </c>
      <c r="C397" s="25" t="n">
        <f aca="false">IF(T396&gt;0,D396,C396)</f>
        <v>0.0293464660644531</v>
      </c>
      <c r="D397" s="41" t="n">
        <f aca="false">(B397+C397)/2</f>
        <v>0.0293462872505188</v>
      </c>
      <c r="E397" s="15" t="n">
        <f aca="false">$C$2*(1+IF(E$3&lt;=$O$2,$D397,$D397-($D397-$I$373)*MIN(E$3-$O$2,$Q$2)/$Q$2))</f>
        <v>2264.56183195114</v>
      </c>
      <c r="F397" s="15" t="n">
        <f aca="false">E397*(1+IF(F$3&lt;=$O$2,$D397,$D397-($D397-$I$373)*MIN(F$3-$O$2,$Q$2)/$Q$2))</f>
        <v>2331.01831396814</v>
      </c>
      <c r="G397" s="15" t="n">
        <f aca="false">F397*(1+IF(G$3&lt;=$O$2,$D397,$D397-($D397-$I$373)*MIN(G$3-$O$2,$Q$2)/$Q$2))</f>
        <v>2399.42504699607</v>
      </c>
      <c r="H397" s="15" t="n">
        <f aca="false">G397*(1+IF(H$3&lt;=$O$2,$D397,$D397-($D397-$I$373)*MIN(H$3-$O$2,$Q$2)/$Q$2))</f>
        <v>2469.83926366131</v>
      </c>
      <c r="I397" s="15" t="n">
        <f aca="false">H397*(1+IF(I$3&lt;=$O$2,$D397,$D397-($D397-$I$373)*MIN(I$3-$O$2,$Q$2)/$Q$2))</f>
        <v>2542.31987615532</v>
      </c>
      <c r="J397" s="15" t="n">
        <f aca="false">I397*(1+IF(J$3&lt;=$O$2,$D397,$D397-($D397-$I$373)*MIN(J$3-$O$2,$Q$2)/$Q$2))</f>
        <v>2616.39552614905</v>
      </c>
      <c r="K397" s="15" t="n">
        <f aca="false">J397*(1+IF(K$3&lt;=$O$2,$D397,$D397-($D397-$I$373)*MIN(K$3-$O$2,$Q$2)/$Q$2))</f>
        <v>2692.08202030786</v>
      </c>
      <c r="L397" s="15" t="n">
        <f aca="false">K397*(1+IF(L$3&lt;=$O$2,$D397,$D397-($D397-$I$373)*MIN(L$3-$O$2,$Q$2)/$Q$2))</f>
        <v>2769.39461792065</v>
      </c>
      <c r="M397" s="15" t="n">
        <f aca="false">L397*(1+IF(M$3&lt;=$O$2,$D397,$D397-($D397-$I$373)*MIN(M$3-$O$2,$Q$2)/$Q$2))</f>
        <v>2848.34800206388</v>
      </c>
      <c r="N397" s="15" t="n">
        <f aca="false">M397*(1+IF(N$3&lt;=$O$2,$D397,$D397-($D397-$I$373)*MIN(N$3-$O$2,$Q$2)/$Q$2))</f>
        <v>2928.95625052229</v>
      </c>
      <c r="O397" s="15" t="n">
        <f aca="false">SUMPRODUCT(E397:N397,1/(1+$F$373)^$E$3:$N$3)*$E$2</f>
        <v>8924.05967188988</v>
      </c>
      <c r="P397" s="15" t="n">
        <f aca="false">N397*$E$2*(1+$I$373)/($F$373-$I$373)/(1+$F$373)^$N$3</f>
        <v>14906.2765426827</v>
      </c>
      <c r="Q397" s="15" t="n">
        <f aca="false">O397+P397</f>
        <v>23830.3362145726</v>
      </c>
      <c r="R397" s="15" t="n">
        <f aca="false">Q397-$G$2+$I$2</f>
        <v>25739.9962145726</v>
      </c>
      <c r="S397" s="42" t="n">
        <f aca="false">R397/$K$2</f>
        <v>109.98588306872</v>
      </c>
      <c r="T397" s="43" t="n">
        <f aca="false">S397-$M$2</f>
        <v>-1.61749665181787E-005</v>
      </c>
    </row>
    <row r="398" customFormat="false" ht="15" hidden="false" customHeight="false" outlineLevel="0" collapsed="false">
      <c r="A398" s="5" t="n">
        <v>24</v>
      </c>
      <c r="B398" s="25" t="n">
        <f aca="false">IF(T397&gt;0,B397,D397)</f>
        <v>0.0293462872505188</v>
      </c>
      <c r="C398" s="25" t="n">
        <f aca="false">IF(T397&gt;0,D397,C397)</f>
        <v>0.0293464660644531</v>
      </c>
      <c r="D398" s="41" t="n">
        <f aca="false">(B398+C398)/2</f>
        <v>0.029346376657486</v>
      </c>
      <c r="E398" s="15" t="n">
        <f aca="false">$C$2*(1+IF(E$3&lt;=$O$2,$D398,$D398-($D398-$I$373)*MIN(E$3-$O$2,$Q$2)/$Q$2))</f>
        <v>2264.56202864647</v>
      </c>
      <c r="F398" s="15" t="n">
        <f aca="false">E398*(1+IF(F$3&lt;=$O$2,$D398,$D398-($D398-$I$373)*MIN(F$3-$O$2,$Q$2)/$Q$2))</f>
        <v>2331.01871890337</v>
      </c>
      <c r="G398" s="15" t="n">
        <f aca="false">F398*(1+IF(G$3&lt;=$O$2,$D398,$D398-($D398-$I$373)*MIN(G$3-$O$2,$Q$2)/$Q$2))</f>
        <v>2399.42567222396</v>
      </c>
      <c r="H398" s="15" t="n">
        <f aca="false">G398*(1+IF(H$3&lt;=$O$2,$D398,$D398-($D398-$I$373)*MIN(H$3-$O$2,$Q$2)/$Q$2))</f>
        <v>2469.84012176268</v>
      </c>
      <c r="I398" s="15" t="n">
        <f aca="false">H398*(1+IF(I$3&lt;=$O$2,$D398,$D398-($D398-$I$373)*MIN(I$3-$O$2,$Q$2)/$Q$2))</f>
        <v>2542.3209802597</v>
      </c>
      <c r="J398" s="15" t="n">
        <f aca="false">I398*(1+IF(J$3&lt;=$O$2,$D398,$D398-($D398-$I$373)*MIN(J$3-$O$2,$Q$2)/$Q$2))</f>
        <v>2616.39684426472</v>
      </c>
      <c r="K398" s="15" t="n">
        <f aca="false">J398*(1+IF(K$3&lt;=$O$2,$D398,$D398-($D398-$I$373)*MIN(K$3-$O$2,$Q$2)/$Q$2))</f>
        <v>2692.08351690814</v>
      </c>
      <c r="L398" s="15" t="n">
        <f aca="false">K398*(1+IF(L$3&lt;=$O$2,$D398,$D398-($D398-$I$373)*MIN(L$3-$O$2,$Q$2)/$Q$2))</f>
        <v>2769.39625377748</v>
      </c>
      <c r="M398" s="15" t="n">
        <f aca="false">L398*(1+IF(M$3&lt;=$O$2,$D398,$D398-($D398-$I$373)*MIN(M$3-$O$2,$Q$2)/$Q$2))</f>
        <v>2848.34973407844</v>
      </c>
      <c r="N398" s="15" t="n">
        <f aca="false">M398*(1+IF(N$3&lt;=$O$2,$D398,$D398-($D398-$I$373)*MIN(N$3-$O$2,$Q$2)/$Q$2))</f>
        <v>2928.95803155286</v>
      </c>
      <c r="O398" s="15" t="n">
        <f aca="false">SUMPRODUCT(E398:N398,1/(1+$F$373)^$E$3:$N$3)*$E$2</f>
        <v>8924.06318260453</v>
      </c>
      <c r="P398" s="15" t="n">
        <f aca="false">N398*$E$2*(1+$I$373)/($F$373-$I$373)/(1+$F$373)^$N$3</f>
        <v>14906.2856068448</v>
      </c>
      <c r="Q398" s="15" t="n">
        <f aca="false">O398+P398</f>
        <v>23830.3487894493</v>
      </c>
      <c r="R398" s="15" t="n">
        <f aca="false">Q398-$G$2+$I$2</f>
        <v>25740.0087894493</v>
      </c>
      <c r="S398" s="42" t="n">
        <f aca="false">R398/$K$2</f>
        <v>109.985936800621</v>
      </c>
      <c r="T398" s="43" t="n">
        <f aca="false">S398-$M$2</f>
        <v>3.75569342736526E-005</v>
      </c>
    </row>
    <row r="400" customFormat="false" ht="15" hidden="false" customHeight="false" outlineLevel="0" collapsed="false">
      <c r="A400" s="38" t="s">
        <v>201</v>
      </c>
      <c r="E400" s="5" t="s">
        <v>11</v>
      </c>
      <c r="F400" s="12" t="n">
        <f aca="false">Sensitivity!$B$12</f>
        <v>0.0777967762761046</v>
      </c>
      <c r="G400" s="5" t="s">
        <v>12</v>
      </c>
      <c r="I400" s="12" t="n">
        <f aca="false">Sensitivity!$F$9</f>
        <v>0.0333</v>
      </c>
    </row>
    <row r="401" customFormat="false" ht="23.85" hidden="false" customHeight="false" outlineLevel="0" collapsed="false">
      <c r="A401" s="38" t="s">
        <v>168</v>
      </c>
      <c r="B401" s="28" t="s">
        <v>169</v>
      </c>
      <c r="C401" s="28" t="s">
        <v>170</v>
      </c>
      <c r="D401" s="28" t="s">
        <v>171</v>
      </c>
      <c r="E401" s="28" t="s">
        <v>172</v>
      </c>
      <c r="F401" s="28" t="s">
        <v>173</v>
      </c>
      <c r="G401" s="28" t="s">
        <v>174</v>
      </c>
      <c r="H401" s="28" t="s">
        <v>175</v>
      </c>
      <c r="I401" s="28" t="s">
        <v>176</v>
      </c>
      <c r="J401" s="28" t="s">
        <v>177</v>
      </c>
      <c r="K401" s="28" t="s">
        <v>178</v>
      </c>
      <c r="L401" s="28" t="s">
        <v>179</v>
      </c>
      <c r="M401" s="28" t="s">
        <v>180</v>
      </c>
      <c r="N401" s="28" t="s">
        <v>181</v>
      </c>
      <c r="O401" s="28" t="s">
        <v>182</v>
      </c>
      <c r="P401" s="28" t="s">
        <v>183</v>
      </c>
      <c r="Q401" s="28" t="s">
        <v>184</v>
      </c>
      <c r="R401" s="28" t="s">
        <v>185</v>
      </c>
      <c r="S401" s="28" t="s">
        <v>186</v>
      </c>
      <c r="T401" s="28" t="s">
        <v>187</v>
      </c>
    </row>
    <row r="402" customFormat="false" ht="15" hidden="false" customHeight="false" outlineLevel="0" collapsed="false">
      <c r="A402" s="5" t="n">
        <v>1</v>
      </c>
      <c r="B402" s="24" t="n">
        <v>-0.5</v>
      </c>
      <c r="C402" s="24" t="n">
        <v>1</v>
      </c>
      <c r="D402" s="41" t="n">
        <f aca="false">(B402+C402)/2</f>
        <v>0.25</v>
      </c>
      <c r="E402" s="15" t="n">
        <f aca="false">$C$2*(1+IF(E$3&lt;=$O$2,$D402,$D402-($D402-$I$400)*MIN(E$3-$O$2,$Q$2)/$Q$2))</f>
        <v>2750</v>
      </c>
      <c r="F402" s="15" t="n">
        <f aca="false">E402*(1+IF(F$3&lt;=$O$2,$D402,$D402-($D402-$I$400)*MIN(F$3-$O$2,$Q$2)/$Q$2))</f>
        <v>3437.5</v>
      </c>
      <c r="G402" s="15" t="n">
        <f aca="false">F402*(1+IF(G$3&lt;=$O$2,$D402,$D402-($D402-$I$400)*MIN(G$3-$O$2,$Q$2)/$Q$2))</f>
        <v>4296.875</v>
      </c>
      <c r="H402" s="15" t="n">
        <f aca="false">G402*(1+IF(H$3&lt;=$O$2,$D402,$D402-($D402-$I$400)*MIN(H$3-$O$2,$Q$2)/$Q$2))</f>
        <v>5371.09375</v>
      </c>
      <c r="I402" s="15" t="n">
        <f aca="false">H402*(1+IF(I$3&lt;=$O$2,$D402,$D402-($D402-$I$400)*MIN(I$3-$O$2,$Q$2)/$Q$2))</f>
        <v>6713.8671875</v>
      </c>
      <c r="J402" s="15" t="n">
        <f aca="false">I402*(1+IF(J$3&lt;=$O$2,$D402,$D402-($D402-$I$400)*MIN(J$3-$O$2,$Q$2)/$Q$2))</f>
        <v>8101.35498046875</v>
      </c>
      <c r="K402" s="15" t="n">
        <f aca="false">J402*(1+IF(K$3&lt;=$O$2,$D402,$D402-($D402-$I$400)*MIN(K$3-$O$2,$Q$2)/$Q$2))</f>
        <v>9424.46827587891</v>
      </c>
      <c r="L402" s="15" t="n">
        <f aca="false">K402*(1+IF(L$3&lt;=$O$2,$D402,$D402-($D402-$I$400)*MIN(L$3-$O$2,$Q$2)/$Q$2))</f>
        <v>10555.2159796189</v>
      </c>
      <c r="M402" s="15" t="n">
        <f aca="false">L402*(1+IF(M$3&lt;=$O$2,$D402,$D402-($D402-$I$400)*MIN(M$3-$O$2,$Q$2)/$Q$2))</f>
        <v>11364.1677322968</v>
      </c>
      <c r="N402" s="15" t="n">
        <f aca="false">M402*(1+IF(N$3&lt;=$O$2,$D402,$D402-($D402-$I$400)*MIN(N$3-$O$2,$Q$2)/$Q$2))</f>
        <v>11742.5945177823</v>
      </c>
      <c r="O402" s="15" t="n">
        <f aca="false">SUMPRODUCT(E402:N402,1/(1+$F$400)^$E$3:$N$3)*$E$2</f>
        <v>23537.8052784628</v>
      </c>
      <c r="P402" s="15" t="n">
        <f aca="false">N402*$E$2*(1+$I$400)/($F$400-$I$400)/(1+$F$400)^$N$3</f>
        <v>66799.8232869848</v>
      </c>
      <c r="Q402" s="15" t="n">
        <f aca="false">O402+P402</f>
        <v>90337.6285654476</v>
      </c>
      <c r="R402" s="15" t="n">
        <f aca="false">Q402-$G$2+$I$2</f>
        <v>92247.2885654476</v>
      </c>
      <c r="S402" s="42" t="n">
        <f aca="false">R402/$K$2</f>
        <v>394.16864746164</v>
      </c>
      <c r="T402" s="43" t="n">
        <f aca="false">S402-$M$2</f>
        <v>284.182748217953</v>
      </c>
    </row>
    <row r="403" customFormat="false" ht="15" hidden="false" customHeight="false" outlineLevel="0" collapsed="false">
      <c r="A403" s="5" t="n">
        <v>2</v>
      </c>
      <c r="B403" s="25" t="n">
        <f aca="false">IF(T402&gt;0,B402,D402)</f>
        <v>-0.5</v>
      </c>
      <c r="C403" s="25" t="n">
        <f aca="false">IF(T402&gt;0,D402,C402)</f>
        <v>0.25</v>
      </c>
      <c r="D403" s="41" t="n">
        <f aca="false">(B403+C403)/2</f>
        <v>-0.125</v>
      </c>
      <c r="E403" s="15" t="n">
        <f aca="false">$C$2*(1+IF(E$3&lt;=$O$2,$D403,$D403-($D403-$I$400)*MIN(E$3-$O$2,$Q$2)/$Q$2))</f>
        <v>1925</v>
      </c>
      <c r="F403" s="15" t="n">
        <f aca="false">E403*(1+IF(F$3&lt;=$O$2,$D403,$D403-($D403-$I$400)*MIN(F$3-$O$2,$Q$2)/$Q$2))</f>
        <v>1684.375</v>
      </c>
      <c r="G403" s="15" t="n">
        <f aca="false">F403*(1+IF(G$3&lt;=$O$2,$D403,$D403-($D403-$I$400)*MIN(G$3-$O$2,$Q$2)/$Q$2))</f>
        <v>1473.828125</v>
      </c>
      <c r="H403" s="15" t="n">
        <f aca="false">G403*(1+IF(H$3&lt;=$O$2,$D403,$D403-($D403-$I$400)*MIN(H$3-$O$2,$Q$2)/$Q$2))</f>
        <v>1289.599609375</v>
      </c>
      <c r="I403" s="15" t="n">
        <f aca="false">H403*(1+IF(I$3&lt;=$O$2,$D403,$D403-($D403-$I$400)*MIN(I$3-$O$2,$Q$2)/$Q$2))</f>
        <v>1128.39965820313</v>
      </c>
      <c r="J403" s="15" t="n">
        <f aca="false">I403*(1+IF(J$3&lt;=$O$2,$D403,$D403-($D403-$I$400)*MIN(J$3-$O$2,$Q$2)/$Q$2))</f>
        <v>1023.07483410645</v>
      </c>
      <c r="K403" s="15" t="n">
        <f aca="false">J403*(1+IF(K$3&lt;=$O$2,$D403,$D403-($D403-$I$400)*MIN(K$3-$O$2,$Q$2)/$Q$2))</f>
        <v>959.97157833876</v>
      </c>
      <c r="L403" s="15" t="n">
        <f aca="false">K403*(1+IF(L$3&lt;=$O$2,$D403,$D403-($D403-$I$400)*MIN(L$3-$O$2,$Q$2)/$Q$2))</f>
        <v>931.15323155703</v>
      </c>
      <c r="M403" s="15" t="n">
        <f aca="false">L403*(1+IF(M$3&lt;=$O$2,$D403,$D403-($D403-$I$400)*MIN(M$3-$O$2,$Q$2)/$Q$2))</f>
        <v>932.680322856784</v>
      </c>
      <c r="N403" s="15" t="n">
        <f aca="false">M403*(1+IF(N$3&lt;=$O$2,$D403,$D403-($D403-$I$400)*MIN(N$3-$O$2,$Q$2)/$Q$2))</f>
        <v>963.738577607915</v>
      </c>
      <c r="O403" s="15" t="n">
        <f aca="false">SUMPRODUCT(E403:N403,1/(1+$F$400)^$E$3:$N$3)*$E$2</f>
        <v>4564.02808309639</v>
      </c>
      <c r="P403" s="15" t="n">
        <f aca="false">N403*$E$2*(1+$I$400)/($F$400-$I$400)/(1+$F$400)^$N$3</f>
        <v>5482.39714669267</v>
      </c>
      <c r="Q403" s="15" t="n">
        <f aca="false">O403+P403</f>
        <v>10046.4252297891</v>
      </c>
      <c r="R403" s="15" t="n">
        <f aca="false">Q403-$G$2+$I$2</f>
        <v>11956.0852297891</v>
      </c>
      <c r="S403" s="42" t="n">
        <f aca="false">R403/$K$2</f>
        <v>51.0878316018846</v>
      </c>
      <c r="T403" s="43" t="n">
        <f aca="false">S403-$M$2</f>
        <v>-58.8980676418021</v>
      </c>
    </row>
    <row r="404" customFormat="false" ht="15" hidden="false" customHeight="false" outlineLevel="0" collapsed="false">
      <c r="A404" s="5" t="n">
        <v>3</v>
      </c>
      <c r="B404" s="25" t="n">
        <f aca="false">IF(T403&gt;0,B403,D403)</f>
        <v>-0.125</v>
      </c>
      <c r="C404" s="25" t="n">
        <f aca="false">IF(T403&gt;0,D403,C403)</f>
        <v>0.25</v>
      </c>
      <c r="D404" s="41" t="n">
        <f aca="false">(B404+C404)/2</f>
        <v>0.0625</v>
      </c>
      <c r="E404" s="15" t="n">
        <f aca="false">$C$2*(1+IF(E$3&lt;=$O$2,$D404,$D404-($D404-$I$400)*MIN(E$3-$O$2,$Q$2)/$Q$2))</f>
        <v>2337.5</v>
      </c>
      <c r="F404" s="15" t="n">
        <f aca="false">E404*(1+IF(F$3&lt;=$O$2,$D404,$D404-($D404-$I$400)*MIN(F$3-$O$2,$Q$2)/$Q$2))</f>
        <v>2483.59375</v>
      </c>
      <c r="G404" s="15" t="n">
        <f aca="false">F404*(1+IF(G$3&lt;=$O$2,$D404,$D404-($D404-$I$400)*MIN(G$3-$O$2,$Q$2)/$Q$2))</f>
        <v>2638.818359375</v>
      </c>
      <c r="H404" s="15" t="n">
        <f aca="false">G404*(1+IF(H$3&lt;=$O$2,$D404,$D404-($D404-$I$400)*MIN(H$3-$O$2,$Q$2)/$Q$2))</f>
        <v>2803.74450683594</v>
      </c>
      <c r="I404" s="15" t="n">
        <f aca="false">H404*(1+IF(I$3&lt;=$O$2,$D404,$D404-($D404-$I$400)*MIN(I$3-$O$2,$Q$2)/$Q$2))</f>
        <v>2978.97853851318</v>
      </c>
      <c r="J404" s="15" t="n">
        <f aca="false">I404*(1+IF(J$3&lt;=$O$2,$D404,$D404-($D404-$I$400)*MIN(J$3-$O$2,$Q$2)/$Q$2))</f>
        <v>3147.76746250534</v>
      </c>
      <c r="K404" s="15" t="n">
        <f aca="false">J404*(1+IF(K$3&lt;=$O$2,$D404,$D404-($D404-$I$400)*MIN(K$3-$O$2,$Q$2)/$Q$2))</f>
        <v>3307.73700494986</v>
      </c>
      <c r="L404" s="15" t="n">
        <f aca="false">K404*(1+IF(L$3&lt;=$O$2,$D404,$D404-($D404-$I$400)*MIN(L$3-$O$2,$Q$2)/$Q$2))</f>
        <v>3456.51901543251</v>
      </c>
      <c r="M404" s="15" t="n">
        <f aca="false">L404*(1+IF(M$3&lt;=$O$2,$D404,$D404-($D404-$I$400)*MIN(M$3-$O$2,$Q$2)/$Q$2))</f>
        <v>3591.80716969654</v>
      </c>
      <c r="N404" s="15" t="n">
        <f aca="false">M404*(1+IF(N$3&lt;=$O$2,$D404,$D404-($D404-$I$400)*MIN(N$3-$O$2,$Q$2)/$Q$2))</f>
        <v>3711.41434844743</v>
      </c>
      <c r="O404" s="15" t="n">
        <f aca="false">SUMPRODUCT(E404:N404,1/(1+$F$400)^$E$3:$N$3)*$E$2</f>
        <v>10358.0496840867</v>
      </c>
      <c r="P404" s="15" t="n">
        <f aca="false">N404*$E$2*(1+$I$400)/($F$400-$I$400)/(1+$F$400)^$N$3</f>
        <v>21113.0361561603</v>
      </c>
      <c r="Q404" s="15" t="n">
        <f aca="false">O404+P404</f>
        <v>31471.085840247</v>
      </c>
      <c r="R404" s="15" t="n">
        <f aca="false">Q404-$G$2+$I$2</f>
        <v>33380.7458402471</v>
      </c>
      <c r="S404" s="42" t="n">
        <f aca="false">R404/$K$2</f>
        <v>142.63447353009</v>
      </c>
      <c r="T404" s="43" t="n">
        <f aca="false">S404-$M$2</f>
        <v>32.6485742864037</v>
      </c>
    </row>
    <row r="405" customFormat="false" ht="15" hidden="false" customHeight="false" outlineLevel="0" collapsed="false">
      <c r="A405" s="5" t="n">
        <v>4</v>
      </c>
      <c r="B405" s="25" t="n">
        <f aca="false">IF(T404&gt;0,B404,D404)</f>
        <v>-0.125</v>
      </c>
      <c r="C405" s="25" t="n">
        <f aca="false">IF(T404&gt;0,D404,C404)</f>
        <v>0.0625</v>
      </c>
      <c r="D405" s="41" t="n">
        <f aca="false">(B405+C405)/2</f>
        <v>-0.03125</v>
      </c>
      <c r="E405" s="15" t="n">
        <f aca="false">$C$2*(1+IF(E$3&lt;=$O$2,$D405,$D405-($D405-$I$400)*MIN(E$3-$O$2,$Q$2)/$Q$2))</f>
        <v>2131.25</v>
      </c>
      <c r="F405" s="15" t="n">
        <f aca="false">E405*(1+IF(F$3&lt;=$O$2,$D405,$D405-($D405-$I$400)*MIN(F$3-$O$2,$Q$2)/$Q$2))</f>
        <v>2064.6484375</v>
      </c>
      <c r="G405" s="15" t="n">
        <f aca="false">F405*(1+IF(G$3&lt;=$O$2,$D405,$D405-($D405-$I$400)*MIN(G$3-$O$2,$Q$2)/$Q$2))</f>
        <v>2000.12817382813</v>
      </c>
      <c r="H405" s="15" t="n">
        <f aca="false">G405*(1+IF(H$3&lt;=$O$2,$D405,$D405-($D405-$I$400)*MIN(H$3-$O$2,$Q$2)/$Q$2))</f>
        <v>1937.624168396</v>
      </c>
      <c r="I405" s="15" t="n">
        <f aca="false">H405*(1+IF(I$3&lt;=$O$2,$D405,$D405-($D405-$I$400)*MIN(I$3-$O$2,$Q$2)/$Q$2))</f>
        <v>1877.07341313362</v>
      </c>
      <c r="J405" s="15" t="n">
        <f aca="false">I405*(1+IF(J$3&lt;=$O$2,$D405,$D405-($D405-$I$400)*MIN(J$3-$O$2,$Q$2)/$Q$2))</f>
        <v>1842.64788673675</v>
      </c>
      <c r="K405" s="15" t="n">
        <f aca="false">J405*(1+IF(K$3&lt;=$O$2,$D405,$D405-($D405-$I$400)*MIN(K$3-$O$2,$Q$2)/$Q$2))</f>
        <v>1832.64230871177</v>
      </c>
      <c r="L405" s="15" t="n">
        <f aca="false">K405*(1+IF(L$3&lt;=$O$2,$D405,$D405-($D405-$I$400)*MIN(L$3-$O$2,$Q$2)/$Q$2))</f>
        <v>1846.35047318093</v>
      </c>
      <c r="M405" s="15" t="n">
        <f aca="false">L405*(1+IF(M$3&lt;=$O$2,$D405,$D405-($D405-$I$400)*MIN(M$3-$O$2,$Q$2)/$Q$2))</f>
        <v>1883.99755932909</v>
      </c>
      <c r="N405" s="15" t="n">
        <f aca="false">M405*(1+IF(N$3&lt;=$O$2,$D405,$D405-($D405-$I$400)*MIN(N$3-$O$2,$Q$2)/$Q$2))</f>
        <v>1946.73467805475</v>
      </c>
      <c r="O405" s="15" t="n">
        <f aca="false">SUMPRODUCT(E405:N405,1/(1+$F$400)^$E$3:$N$3)*$E$2</f>
        <v>6857.22268653671</v>
      </c>
      <c r="P405" s="15" t="n">
        <f aca="false">N405*$E$2*(1+$I$400)/($F$400-$I$400)/(1+$F$400)^$N$3</f>
        <v>11074.3441139669</v>
      </c>
      <c r="Q405" s="15" t="n">
        <f aca="false">O405+P405</f>
        <v>17931.5668005036</v>
      </c>
      <c r="R405" s="15" t="n">
        <f aca="false">Q405-$G$2+$I$2</f>
        <v>19841.2268005036</v>
      </c>
      <c r="S405" s="42" t="n">
        <f aca="false">R405/$K$2</f>
        <v>84.7806982032372</v>
      </c>
      <c r="T405" s="43" t="n">
        <f aca="false">S405-$M$2</f>
        <v>-25.2052010404495</v>
      </c>
    </row>
    <row r="406" customFormat="false" ht="15" hidden="false" customHeight="false" outlineLevel="0" collapsed="false">
      <c r="A406" s="5" t="n">
        <v>5</v>
      </c>
      <c r="B406" s="25" t="n">
        <f aca="false">IF(T405&gt;0,B405,D405)</f>
        <v>-0.03125</v>
      </c>
      <c r="C406" s="25" t="n">
        <f aca="false">IF(T405&gt;0,D405,C405)</f>
        <v>0.0625</v>
      </c>
      <c r="D406" s="41" t="n">
        <f aca="false">(B406+C406)/2</f>
        <v>0.015625</v>
      </c>
      <c r="E406" s="15" t="n">
        <f aca="false">$C$2*(1+IF(E$3&lt;=$O$2,$D406,$D406-($D406-$I$400)*MIN(E$3-$O$2,$Q$2)/$Q$2))</f>
        <v>2234.375</v>
      </c>
      <c r="F406" s="15" t="n">
        <f aca="false">E406*(1+IF(F$3&lt;=$O$2,$D406,$D406-($D406-$I$400)*MIN(F$3-$O$2,$Q$2)/$Q$2))</f>
        <v>2269.287109375</v>
      </c>
      <c r="G406" s="15" t="n">
        <f aca="false">F406*(1+IF(G$3&lt;=$O$2,$D406,$D406-($D406-$I$400)*MIN(G$3-$O$2,$Q$2)/$Q$2))</f>
        <v>2304.74472045898</v>
      </c>
      <c r="H406" s="15" t="n">
        <f aca="false">G406*(1+IF(H$3&lt;=$O$2,$D406,$D406-($D406-$I$400)*MIN(H$3-$O$2,$Q$2)/$Q$2))</f>
        <v>2340.75635671616</v>
      </c>
      <c r="I406" s="15" t="n">
        <f aca="false">H406*(1+IF(I$3&lt;=$O$2,$D406,$D406-($D406-$I$400)*MIN(I$3-$O$2,$Q$2)/$Q$2))</f>
        <v>2377.33067478985</v>
      </c>
      <c r="J406" s="15" t="n">
        <f aca="false">I406*(1+IF(J$3&lt;=$O$2,$D406,$D406-($D406-$I$400)*MIN(J$3-$O$2,$Q$2)/$Q$2))</f>
        <v>2422.88033051882</v>
      </c>
      <c r="K406" s="15" t="n">
        <f aca="false">J406*(1+IF(K$3&lt;=$O$2,$D406,$D406-($D406-$I$400)*MIN(K$3-$O$2,$Q$2)/$Q$2))</f>
        <v>2477.86759961994</v>
      </c>
      <c r="L406" s="15" t="n">
        <f aca="false">K406*(1+IF(L$3&lt;=$O$2,$D406,$D406-($D406-$I$400)*MIN(L$3-$O$2,$Q$2)/$Q$2))</f>
        <v>2542.86206675798</v>
      </c>
      <c r="M406" s="15" t="n">
        <f aca="false">L406*(1+IF(M$3&lt;=$O$2,$D406,$D406-($D406-$I$400)*MIN(M$3-$O$2,$Q$2)/$Q$2))</f>
        <v>2618.55035617503</v>
      </c>
      <c r="N406" s="15" t="n">
        <f aca="false">M406*(1+IF(N$3&lt;=$O$2,$D406,$D406-($D406-$I$400)*MIN(N$3-$O$2,$Q$2)/$Q$2))</f>
        <v>2705.74808303566</v>
      </c>
      <c r="O406" s="15" t="n">
        <f aca="false">SUMPRODUCT(E406:N406,1/(1+$F$400)^$E$3:$N$3)*$E$2</f>
        <v>8424.98469649198</v>
      </c>
      <c r="P406" s="15" t="n">
        <f aca="false">N406*$E$2*(1+$I$400)/($F$400-$I$400)/(1+$F$400)^$N$3</f>
        <v>15392.1259507149</v>
      </c>
      <c r="Q406" s="15" t="n">
        <f aca="false">O406+P406</f>
        <v>23817.1106472068</v>
      </c>
      <c r="R406" s="15" t="n">
        <f aca="false">Q406-$G$2+$I$2</f>
        <v>25726.7706472068</v>
      </c>
      <c r="S406" s="42" t="n">
        <f aca="false">R406/$K$2</f>
        <v>109.929370795226</v>
      </c>
      <c r="T406" s="43" t="n">
        <f aca="false">S406-$M$2</f>
        <v>-0.0565284484602699</v>
      </c>
    </row>
    <row r="407" customFormat="false" ht="15" hidden="false" customHeight="false" outlineLevel="0" collapsed="false">
      <c r="A407" s="5" t="n">
        <v>6</v>
      </c>
      <c r="B407" s="25" t="n">
        <f aca="false">IF(T406&gt;0,B406,D406)</f>
        <v>0.015625</v>
      </c>
      <c r="C407" s="25" t="n">
        <f aca="false">IF(T406&gt;0,D406,C406)</f>
        <v>0.0625</v>
      </c>
      <c r="D407" s="41" t="n">
        <f aca="false">(B407+C407)/2</f>
        <v>0.0390625</v>
      </c>
      <c r="E407" s="15" t="n">
        <f aca="false">$C$2*(1+IF(E$3&lt;=$O$2,$D407,$D407-($D407-$I$400)*MIN(E$3-$O$2,$Q$2)/$Q$2))</f>
        <v>2285.9375</v>
      </c>
      <c r="F407" s="15" t="n">
        <f aca="false">E407*(1+IF(F$3&lt;=$O$2,$D407,$D407-($D407-$I$400)*MIN(F$3-$O$2,$Q$2)/$Q$2))</f>
        <v>2375.23193359375</v>
      </c>
      <c r="G407" s="15" t="n">
        <f aca="false">F407*(1+IF(G$3&lt;=$O$2,$D407,$D407-($D407-$I$400)*MIN(G$3-$O$2,$Q$2)/$Q$2))</f>
        <v>2468.01443099976</v>
      </c>
      <c r="H407" s="15" t="n">
        <f aca="false">G407*(1+IF(H$3&lt;=$O$2,$D407,$D407-($D407-$I$400)*MIN(H$3-$O$2,$Q$2)/$Q$2))</f>
        <v>2564.42124471068</v>
      </c>
      <c r="I407" s="15" t="n">
        <f aca="false">H407*(1+IF(I$3&lt;=$O$2,$D407,$D407-($D407-$I$400)*MIN(I$3-$O$2,$Q$2)/$Q$2))</f>
        <v>2664.5939495822</v>
      </c>
      <c r="J407" s="15" t="n">
        <f aca="false">I407*(1+IF(J$3&lt;=$O$2,$D407,$D407-($D407-$I$400)*MIN(J$3-$O$2,$Q$2)/$Q$2))</f>
        <v>2765.60870621086</v>
      </c>
      <c r="K407" s="15" t="n">
        <f aca="false">J407*(1+IF(K$3&lt;=$O$2,$D407,$D407-($D407-$I$400)*MIN(K$3-$O$2,$Q$2)/$Q$2))</f>
        <v>2867.2655682294</v>
      </c>
      <c r="L407" s="15" t="n">
        <f aca="false">K407*(1+IF(L$3&lt;=$O$2,$D407,$D407-($D407-$I$400)*MIN(L$3-$O$2,$Q$2)/$Q$2))</f>
        <v>2969.35455878621</v>
      </c>
      <c r="M407" s="15" t="n">
        <f aca="false">L407*(1+IF(M$3&lt;=$O$2,$D407,$D407-($D407-$I$400)*MIN(M$3-$O$2,$Q$2)/$Q$2))</f>
        <v>3071.65624672279</v>
      </c>
      <c r="N407" s="15" t="n">
        <f aca="false">M407*(1+IF(N$3&lt;=$O$2,$D407,$D407-($D407-$I$400)*MIN(N$3-$O$2,$Q$2)/$Q$2))</f>
        <v>3173.94239973866</v>
      </c>
      <c r="O407" s="15" t="n">
        <f aca="false">SUMPRODUCT(E407:N407,1/(1+$F$400)^$E$3:$N$3)*$E$2</f>
        <v>9341.26254413506</v>
      </c>
      <c r="P407" s="15" t="n">
        <f aca="false">N407*$E$2*(1+$I$400)/($F$400-$I$400)/(1+$F$400)^$N$3</f>
        <v>18055.5320295307</v>
      </c>
      <c r="Q407" s="15" t="n">
        <f aca="false">O407+P407</f>
        <v>27396.7945736658</v>
      </c>
      <c r="R407" s="15" t="n">
        <f aca="false">Q407-$G$2+$I$2</f>
        <v>29306.4545736658</v>
      </c>
      <c r="S407" s="42" t="n">
        <f aca="false">R407/$K$2</f>
        <v>125.225204348442</v>
      </c>
      <c r="T407" s="43" t="n">
        <f aca="false">S407-$M$2</f>
        <v>15.2393051047549</v>
      </c>
    </row>
    <row r="408" customFormat="false" ht="15" hidden="false" customHeight="false" outlineLevel="0" collapsed="false">
      <c r="A408" s="5" t="n">
        <v>7</v>
      </c>
      <c r="B408" s="25" t="n">
        <f aca="false">IF(T407&gt;0,B407,D407)</f>
        <v>0.015625</v>
      </c>
      <c r="C408" s="25" t="n">
        <f aca="false">IF(T407&gt;0,D407,C407)</f>
        <v>0.0390625</v>
      </c>
      <c r="D408" s="41" t="n">
        <f aca="false">(B408+C408)/2</f>
        <v>0.02734375</v>
      </c>
      <c r="E408" s="15" t="n">
        <f aca="false">$C$2*(1+IF(E$3&lt;=$O$2,$D408,$D408-($D408-$I$400)*MIN(E$3-$O$2,$Q$2)/$Q$2))</f>
        <v>2260.15625</v>
      </c>
      <c r="F408" s="15" t="n">
        <f aca="false">E408*(1+IF(F$3&lt;=$O$2,$D408,$D408-($D408-$I$400)*MIN(F$3-$O$2,$Q$2)/$Q$2))</f>
        <v>2321.95739746094</v>
      </c>
      <c r="G408" s="15" t="n">
        <f aca="false">F408*(1+IF(G$3&lt;=$O$2,$D408,$D408-($D408-$I$400)*MIN(G$3-$O$2,$Q$2)/$Q$2))</f>
        <v>2385.44842004776</v>
      </c>
      <c r="H408" s="15" t="n">
        <f aca="false">G408*(1+IF(H$3&lt;=$O$2,$D408,$D408-($D408-$I$400)*MIN(H$3-$O$2,$Q$2)/$Q$2))</f>
        <v>2450.67552528344</v>
      </c>
      <c r="I408" s="15" t="n">
        <f aca="false">H408*(1+IF(I$3&lt;=$O$2,$D408,$D408-($D408-$I$400)*MIN(I$3-$O$2,$Q$2)/$Q$2))</f>
        <v>2517.68618417791</v>
      </c>
      <c r="J408" s="15" t="n">
        <f aca="false">I408*(1+IF(J$3&lt;=$O$2,$D408,$D408-($D408-$I$400)*MIN(J$3-$O$2,$Q$2)/$Q$2))</f>
        <v>2589.52835944343</v>
      </c>
      <c r="K408" s="15" t="n">
        <f aca="false">J408*(1+IF(K$3&lt;=$O$2,$D408,$D408-($D408-$I$400)*MIN(K$3-$O$2,$Q$2)/$Q$2))</f>
        <v>2666.50532683833</v>
      </c>
      <c r="L408" s="15" t="n">
        <f aca="false">K408*(1+IF(L$3&lt;=$O$2,$D408,$D408-($D408-$I$400)*MIN(L$3-$O$2,$Q$2)/$Q$2))</f>
        <v>2748.94700528086</v>
      </c>
      <c r="M408" s="15" t="n">
        <f aca="false">L408*(1+IF(M$3&lt;=$O$2,$D408,$D408-($D408-$I$400)*MIN(M$3-$O$2,$Q$2)/$Q$2))</f>
        <v>2837.21225743667</v>
      </c>
      <c r="N408" s="15" t="n">
        <f aca="false">M408*(1+IF(N$3&lt;=$O$2,$D408,$D408-($D408-$I$400)*MIN(N$3-$O$2,$Q$2)/$Q$2))</f>
        <v>2931.69142560931</v>
      </c>
      <c r="O408" s="15" t="n">
        <f aca="false">SUMPRODUCT(E408:N408,1/(1+$F$400)^$E$3:$N$3)*$E$2</f>
        <v>8871.16469957124</v>
      </c>
      <c r="P408" s="15" t="n">
        <f aca="false">N408*$E$2*(1+$I$400)/($F$400-$I$400)/(1+$F$400)^$N$3</f>
        <v>16677.4445686689</v>
      </c>
      <c r="Q408" s="15" t="n">
        <f aca="false">O408+P408</f>
        <v>25548.6092682402</v>
      </c>
      <c r="R408" s="15" t="n">
        <f aca="false">Q408-$G$2+$I$2</f>
        <v>27458.2692682402</v>
      </c>
      <c r="S408" s="42" t="n">
        <f aca="false">R408/$K$2</f>
        <v>117.327989010982</v>
      </c>
      <c r="T408" s="43" t="n">
        <f aca="false">S408-$M$2</f>
        <v>7.34208976729546</v>
      </c>
    </row>
    <row r="409" customFormat="false" ht="15" hidden="false" customHeight="false" outlineLevel="0" collapsed="false">
      <c r="A409" s="5" t="n">
        <v>8</v>
      </c>
      <c r="B409" s="25" t="n">
        <f aca="false">IF(T408&gt;0,B408,D408)</f>
        <v>0.015625</v>
      </c>
      <c r="C409" s="25" t="n">
        <f aca="false">IF(T408&gt;0,D408,C408)</f>
        <v>0.02734375</v>
      </c>
      <c r="D409" s="41" t="n">
        <f aca="false">(B409+C409)/2</f>
        <v>0.021484375</v>
      </c>
      <c r="E409" s="15" t="n">
        <f aca="false">$C$2*(1+IF(E$3&lt;=$O$2,$D409,$D409-($D409-$I$400)*MIN(E$3-$O$2,$Q$2)/$Q$2))</f>
        <v>2247.265625</v>
      </c>
      <c r="F409" s="15" t="n">
        <f aca="false">E409*(1+IF(F$3&lt;=$O$2,$D409,$D409-($D409-$I$400)*MIN(F$3-$O$2,$Q$2)/$Q$2))</f>
        <v>2295.54672241211</v>
      </c>
      <c r="G409" s="15" t="n">
        <f aca="false">F409*(1+IF(G$3&lt;=$O$2,$D409,$D409-($D409-$I$400)*MIN(G$3-$O$2,$Q$2)/$Q$2))</f>
        <v>2344.86510902643</v>
      </c>
      <c r="H409" s="15" t="n">
        <f aca="false">G409*(1+IF(H$3&lt;=$O$2,$D409,$D409-($D409-$I$400)*MIN(H$3-$O$2,$Q$2)/$Q$2))</f>
        <v>2395.24307035317</v>
      </c>
      <c r="I409" s="15" t="n">
        <f aca="false">H409*(1+IF(I$3&lt;=$O$2,$D409,$D409-($D409-$I$400)*MIN(I$3-$O$2,$Q$2)/$Q$2))</f>
        <v>2446.70337069279</v>
      </c>
      <c r="J409" s="15" t="n">
        <f aca="false">I409*(1+IF(J$3&lt;=$O$2,$D409,$D409-($D409-$I$400)*MIN(J$3-$O$2,$Q$2)/$Q$2))</f>
        <v>2505.05112932539</v>
      </c>
      <c r="K409" s="15" t="n">
        <f aca="false">J409*(1+IF(K$3&lt;=$O$2,$D409,$D409-($D409-$I$400)*MIN(K$3-$O$2,$Q$2)/$Q$2))</f>
        <v>2570.71008508196</v>
      </c>
      <c r="L409" s="15" t="n">
        <f aca="false">K409*(1+IF(L$3&lt;=$O$2,$D409,$D409-($D409-$I$400)*MIN(L$3-$O$2,$Q$2)/$Q$2))</f>
        <v>2644.16491237557</v>
      </c>
      <c r="M409" s="15" t="n">
        <f aca="false">L409*(1+IF(M$3&lt;=$O$2,$D409,$D409-($D409-$I$400)*MIN(M$3-$O$2,$Q$2)/$Q$2))</f>
        <v>2725.96711174912</v>
      </c>
      <c r="N409" s="15" t="n">
        <f aca="false">M409*(1+IF(N$3&lt;=$O$2,$D409,$D409-($D409-$I$400)*MIN(N$3-$O$2,$Q$2)/$Q$2))</f>
        <v>2816.74181657037</v>
      </c>
      <c r="O409" s="15" t="n">
        <f aca="false">SUMPRODUCT(E409:N409,1/(1+$F$400)^$E$3:$N$3)*$E$2</f>
        <v>8645.15778280912</v>
      </c>
      <c r="P409" s="15" t="n">
        <f aca="false">N409*$E$2*(1+$I$400)/($F$400-$I$400)/(1+$F$400)^$N$3</f>
        <v>16023.533411379</v>
      </c>
      <c r="Q409" s="15" t="n">
        <f aca="false">O409+P409</f>
        <v>24668.6911941881</v>
      </c>
      <c r="R409" s="15" t="n">
        <f aca="false">Q409-$G$2+$I$2</f>
        <v>26578.3511941881</v>
      </c>
      <c r="S409" s="42" t="n">
        <f aca="false">R409/$K$2</f>
        <v>113.568137393446</v>
      </c>
      <c r="T409" s="43" t="n">
        <f aca="false">S409-$M$2</f>
        <v>3.58223814975906</v>
      </c>
    </row>
    <row r="410" customFormat="false" ht="15" hidden="false" customHeight="false" outlineLevel="0" collapsed="false">
      <c r="A410" s="5" t="n">
        <v>9</v>
      </c>
      <c r="B410" s="25" t="n">
        <f aca="false">IF(T409&gt;0,B409,D409)</f>
        <v>0.015625</v>
      </c>
      <c r="C410" s="25" t="n">
        <f aca="false">IF(T409&gt;0,D409,C409)</f>
        <v>0.021484375</v>
      </c>
      <c r="D410" s="41" t="n">
        <f aca="false">(B410+C410)/2</f>
        <v>0.0185546875</v>
      </c>
      <c r="E410" s="15" t="n">
        <f aca="false">$C$2*(1+IF(E$3&lt;=$O$2,$D410,$D410-($D410-$I$400)*MIN(E$3-$O$2,$Q$2)/$Q$2))</f>
        <v>2240.8203125</v>
      </c>
      <c r="F410" s="15" t="n">
        <f aca="false">E410*(1+IF(F$3&lt;=$O$2,$D410,$D410-($D410-$I$400)*MIN(F$3-$O$2,$Q$2)/$Q$2))</f>
        <v>2282.39803314209</v>
      </c>
      <c r="G410" s="15" t="n">
        <f aca="false">F410*(1+IF(G$3&lt;=$O$2,$D410,$D410-($D410-$I$400)*MIN(G$3-$O$2,$Q$2)/$Q$2))</f>
        <v>2324.74721539766</v>
      </c>
      <c r="H410" s="15" t="n">
        <f aca="false">G410*(1+IF(H$3&lt;=$O$2,$D410,$D410-($D410-$I$400)*MIN(H$3-$O$2,$Q$2)/$Q$2))</f>
        <v>2367.88217349585</v>
      </c>
      <c r="I410" s="15" t="n">
        <f aca="false">H410*(1+IF(I$3&lt;=$O$2,$D410,$D410-($D410-$I$400)*MIN(I$3-$O$2,$Q$2)/$Q$2))</f>
        <v>2411.81748726189</v>
      </c>
      <c r="J410" s="15" t="n">
        <f aca="false">I410*(1+IF(J$3&lt;=$O$2,$D410,$D410-($D410-$I$400)*MIN(J$3-$O$2,$Q$2)/$Q$2))</f>
        <v>2463.6806075536</v>
      </c>
      <c r="K410" s="15" t="n">
        <f aca="false">J410*(1+IF(K$3&lt;=$O$2,$D410,$D410-($D410-$I$400)*MIN(K$3-$O$2,$Q$2)/$Q$2))</f>
        <v>2523.92452750999</v>
      </c>
      <c r="L410" s="15" t="n">
        <f aca="false">K410*(1+IF(L$3&lt;=$O$2,$D410,$D410-($D410-$I$400)*MIN(L$3-$O$2,$Q$2)/$Q$2))</f>
        <v>2593.08479192226</v>
      </c>
      <c r="M410" s="15" t="n">
        <f aca="false">L410*(1+IF(M$3&lt;=$O$2,$D410,$D410-($D410-$I$400)*MIN(M$3-$O$2,$Q$2)/$Q$2))</f>
        <v>2671.78734637409</v>
      </c>
      <c r="N410" s="15" t="n">
        <f aca="false">M410*(1+IF(N$3&lt;=$O$2,$D410,$D410-($D410-$I$400)*MIN(N$3-$O$2,$Q$2)/$Q$2))</f>
        <v>2760.75786500835</v>
      </c>
      <c r="O410" s="15" t="n">
        <f aca="false">SUMPRODUCT(E410:N410,1/(1+$F$400)^$E$3:$N$3)*$E$2</f>
        <v>8534.3509436444</v>
      </c>
      <c r="P410" s="15" t="n">
        <f aca="false">N410*$E$2*(1+$I$400)/($F$400-$I$400)/(1+$F$400)^$N$3</f>
        <v>15705.0588131472</v>
      </c>
      <c r="Q410" s="15" t="n">
        <f aca="false">O410+P410</f>
        <v>24239.4097567916</v>
      </c>
      <c r="R410" s="15" t="n">
        <f aca="false">Q410-$G$2+$I$2</f>
        <v>26149.0697567916</v>
      </c>
      <c r="S410" s="42" t="n">
        <f aca="false">R410/$K$2</f>
        <v>111.733836502976</v>
      </c>
      <c r="T410" s="43" t="n">
        <f aca="false">S410-$M$2</f>
        <v>1.74793725928969</v>
      </c>
    </row>
    <row r="411" customFormat="false" ht="15" hidden="false" customHeight="false" outlineLevel="0" collapsed="false">
      <c r="A411" s="5" t="n">
        <v>10</v>
      </c>
      <c r="B411" s="25" t="n">
        <f aca="false">IF(T410&gt;0,B410,D410)</f>
        <v>0.015625</v>
      </c>
      <c r="C411" s="25" t="n">
        <f aca="false">IF(T410&gt;0,D410,C410)</f>
        <v>0.0185546875</v>
      </c>
      <c r="D411" s="41" t="n">
        <f aca="false">(B411+C411)/2</f>
        <v>0.01708984375</v>
      </c>
      <c r="E411" s="15" t="n">
        <f aca="false">$C$2*(1+IF(E$3&lt;=$O$2,$D411,$D411-($D411-$I$400)*MIN(E$3-$O$2,$Q$2)/$Q$2))</f>
        <v>2237.59765625</v>
      </c>
      <c r="F411" s="15" t="n">
        <f aca="false">E411*(1+IF(F$3&lt;=$O$2,$D411,$D411-($D411-$I$400)*MIN(F$3-$O$2,$Q$2)/$Q$2))</f>
        <v>2275.83785057068</v>
      </c>
      <c r="G411" s="15" t="n">
        <f aca="false">F411*(1+IF(G$3&lt;=$O$2,$D411,$D411-($D411-$I$400)*MIN(G$3-$O$2,$Q$2)/$Q$2))</f>
        <v>2314.73156383727</v>
      </c>
      <c r="H411" s="15" t="n">
        <f aca="false">G411*(1+IF(H$3&lt;=$O$2,$D411,$D411-($D411-$I$400)*MIN(H$3-$O$2,$Q$2)/$Q$2))</f>
        <v>2354.28996458644</v>
      </c>
      <c r="I411" s="15" t="n">
        <f aca="false">H411*(1+IF(I$3&lt;=$O$2,$D411,$D411-($D411-$I$400)*MIN(I$3-$O$2,$Q$2)/$Q$2))</f>
        <v>2394.52441222342</v>
      </c>
      <c r="J411" s="15" t="n">
        <f aca="false">I411*(1+IF(J$3&lt;=$O$2,$D411,$D411-($D411-$I$400)*MIN(J$3-$O$2,$Q$2)/$Q$2))</f>
        <v>2443.20958325719</v>
      </c>
      <c r="K411" s="15" t="n">
        <f aca="false">J411*(1+IF(K$3&lt;=$O$2,$D411,$D411-($D411-$I$400)*MIN(K$3-$O$2,$Q$2)/$Q$2))</f>
        <v>2500.805576922</v>
      </c>
      <c r="L411" s="15" t="n">
        <f aca="false">K411*(1+IF(L$3&lt;=$O$2,$D411,$D411-($D411-$I$400)*MIN(L$3-$O$2,$Q$2)/$Q$2))</f>
        <v>2567.86702297239</v>
      </c>
      <c r="M411" s="15" t="n">
        <f aca="false">L411*(1+IF(M$3&lt;=$O$2,$D411,$D411-($D411-$I$400)*MIN(M$3-$O$2,$Q$2)/$Q$2))</f>
        <v>2645.05188970305</v>
      </c>
      <c r="N411" s="15" t="n">
        <f aca="false">M411*(1+IF(N$3&lt;=$O$2,$D411,$D411-($D411-$I$400)*MIN(N$3-$O$2,$Q$2)/$Q$2))</f>
        <v>2733.13211763016</v>
      </c>
      <c r="O411" s="15" t="n">
        <f aca="false">SUMPRODUCT(E411:N411,1/(1+$F$400)^$E$3:$N$3)*$E$2</f>
        <v>8479.48885223877</v>
      </c>
      <c r="P411" s="15" t="n">
        <f aca="false">N411*$E$2*(1+$I$400)/($F$400-$I$400)/(1+$F$400)^$N$3</f>
        <v>15547.9048689963</v>
      </c>
      <c r="Q411" s="15" t="n">
        <f aca="false">O411+P411</f>
        <v>24027.3937212351</v>
      </c>
      <c r="R411" s="15" t="n">
        <f aca="false">Q411-$G$2+$I$2</f>
        <v>25937.0537212351</v>
      </c>
      <c r="S411" s="42" t="n">
        <f aca="false">R411/$K$2</f>
        <v>110.827901214524</v>
      </c>
      <c r="T411" s="43" t="n">
        <f aca="false">S411-$M$2</f>
        <v>0.842001970837387</v>
      </c>
    </row>
    <row r="412" customFormat="false" ht="15" hidden="false" customHeight="false" outlineLevel="0" collapsed="false">
      <c r="A412" s="5" t="n">
        <v>11</v>
      </c>
      <c r="B412" s="25" t="n">
        <f aca="false">IF(T411&gt;0,B411,D411)</f>
        <v>0.015625</v>
      </c>
      <c r="C412" s="25" t="n">
        <f aca="false">IF(T411&gt;0,D411,C411)</f>
        <v>0.01708984375</v>
      </c>
      <c r="D412" s="41" t="n">
        <f aca="false">(B412+C412)/2</f>
        <v>0.016357421875</v>
      </c>
      <c r="E412" s="15" t="n">
        <f aca="false">$C$2*(1+IF(E$3&lt;=$O$2,$D412,$D412-($D412-$I$400)*MIN(E$3-$O$2,$Q$2)/$Q$2))</f>
        <v>2235.986328125</v>
      </c>
      <c r="F412" s="15" t="n">
        <f aca="false">E412*(1+IF(F$3&lt;=$O$2,$D412,$D412-($D412-$I$400)*MIN(F$3-$O$2,$Q$2)/$Q$2))</f>
        <v>2272.56129980087</v>
      </c>
      <c r="G412" s="15" t="n">
        <f aca="false">F412*(1+IF(G$3&lt;=$O$2,$D412,$D412-($D412-$I$400)*MIN(G$3-$O$2,$Q$2)/$Q$2))</f>
        <v>2309.73454371851</v>
      </c>
      <c r="H412" s="15" t="n">
        <f aca="false">G412*(1+IF(H$3&lt;=$O$2,$D412,$D412-($D412-$I$400)*MIN(H$3-$O$2,$Q$2)/$Q$2))</f>
        <v>2347.51584606938</v>
      </c>
      <c r="I412" s="15" t="n">
        <f aca="false">H412*(1+IF(I$3&lt;=$O$2,$D412,$D412-($D412-$I$400)*MIN(I$3-$O$2,$Q$2)/$Q$2))</f>
        <v>2385.91515312178</v>
      </c>
      <c r="J412" s="15" t="n">
        <f aca="false">I412*(1+IF(J$3&lt;=$O$2,$D412,$D412-($D412-$I$400)*MIN(J$3-$O$2,$Q$2)/$Q$2))</f>
        <v>2433.02728461563</v>
      </c>
      <c r="K412" s="15" t="n">
        <f aca="false">J412*(1+IF(K$3&lt;=$O$2,$D412,$D412-($D412-$I$400)*MIN(K$3-$O$2,$Q$2)/$Q$2))</f>
        <v>2489.31404028341</v>
      </c>
      <c r="L412" s="15" t="n">
        <f aca="false">K412*(1+IF(L$3&lt;=$O$2,$D412,$D412-($D412-$I$400)*MIN(L$3-$O$2,$Q$2)/$Q$2))</f>
        <v>2555.33803878279</v>
      </c>
      <c r="M412" s="15" t="n">
        <f aca="false">L412*(1+IF(M$3&lt;=$O$2,$D412,$D412-($D412-$I$400)*MIN(M$3-$O$2,$Q$2)/$Q$2))</f>
        <v>2631.77199260268</v>
      </c>
      <c r="N412" s="15" t="n">
        <f aca="false">M412*(1+IF(N$3&lt;=$O$2,$D412,$D412-($D412-$I$400)*MIN(N$3-$O$2,$Q$2)/$Q$2))</f>
        <v>2719.40999995635</v>
      </c>
      <c r="O412" s="15" t="n">
        <f aca="false">SUMPRODUCT(E412:N412,1/(1+$F$400)^$E$3:$N$3)*$E$2</f>
        <v>8452.1921700321</v>
      </c>
      <c r="P412" s="15" t="n">
        <f aca="false">N412*$E$2*(1+$I$400)/($F$400-$I$400)/(1+$F$400)^$N$3</f>
        <v>15469.8441785462</v>
      </c>
      <c r="Q412" s="15" t="n">
        <f aca="false">O412+P412</f>
        <v>23922.0363485783</v>
      </c>
      <c r="R412" s="15" t="n">
        <f aca="false">Q412-$G$2+$I$2</f>
        <v>25831.6963485783</v>
      </c>
      <c r="S412" s="42" t="n">
        <f aca="false">R412/$K$2</f>
        <v>110.377713748572</v>
      </c>
      <c r="T412" s="43" t="n">
        <f aca="false">S412-$M$2</f>
        <v>0.391814504885318</v>
      </c>
    </row>
    <row r="413" customFormat="false" ht="15" hidden="false" customHeight="false" outlineLevel="0" collapsed="false">
      <c r="A413" s="5" t="n">
        <v>12</v>
      </c>
      <c r="B413" s="25" t="n">
        <f aca="false">IF(T412&gt;0,B412,D412)</f>
        <v>0.015625</v>
      </c>
      <c r="C413" s="25" t="n">
        <f aca="false">IF(T412&gt;0,D412,C412)</f>
        <v>0.016357421875</v>
      </c>
      <c r="D413" s="41" t="n">
        <f aca="false">(B413+C413)/2</f>
        <v>0.0159912109375</v>
      </c>
      <c r="E413" s="15" t="n">
        <f aca="false">$C$2*(1+IF(E$3&lt;=$O$2,$D413,$D413-($D413-$I$400)*MIN(E$3-$O$2,$Q$2)/$Q$2))</f>
        <v>2235.1806640625</v>
      </c>
      <c r="F413" s="15" t="n">
        <f aca="false">E413*(1+IF(F$3&lt;=$O$2,$D413,$D413-($D413-$I$400)*MIN(F$3-$O$2,$Q$2)/$Q$2))</f>
        <v>2270.92390954494</v>
      </c>
      <c r="G413" s="15" t="n">
        <f aca="false">F413*(1+IF(G$3&lt;=$O$2,$D413,$D413-($D413-$I$400)*MIN(G$3-$O$2,$Q$2)/$Q$2))</f>
        <v>2307.23873280549</v>
      </c>
      <c r="H413" s="15" t="n">
        <f aca="false">G413*(1+IF(H$3&lt;=$O$2,$D413,$D413-($D413-$I$400)*MIN(H$3-$O$2,$Q$2)/$Q$2))</f>
        <v>2344.13427406495</v>
      </c>
      <c r="I413" s="15" t="n">
        <f aca="false">H413*(1+IF(I$3&lt;=$O$2,$D413,$D413-($D413-$I$400)*MIN(I$3-$O$2,$Q$2)/$Q$2))</f>
        <v>2381.61981970735</v>
      </c>
      <c r="J413" s="15" t="n">
        <f aca="false">I413*(1+IF(J$3&lt;=$O$2,$D413,$D413-($D413-$I$400)*MIN(J$3-$O$2,$Q$2)/$Q$2))</f>
        <v>2427.9493956345</v>
      </c>
      <c r="K413" s="15" t="n">
        <f aca="false">J413*(1+IF(K$3&lt;=$O$2,$D413,$D413-($D413-$I$400)*MIN(K$3-$O$2,$Q$2)/$Q$2))</f>
        <v>2483.58519214305</v>
      </c>
      <c r="L413" s="15" t="n">
        <f aca="false">K413*(1+IF(L$3&lt;=$O$2,$D413,$D413-($D413-$I$400)*MIN(L$3-$O$2,$Q$2)/$Q$2))</f>
        <v>2549.09343815759</v>
      </c>
      <c r="M413" s="15" t="n">
        <f aca="false">L413*(1+IF(M$3&lt;=$O$2,$D413,$D413-($D413-$I$400)*MIN(M$3-$O$2,$Q$2)/$Q$2))</f>
        <v>2625.1539055239</v>
      </c>
      <c r="N413" s="15" t="n">
        <f aca="false">M413*(1+IF(N$3&lt;=$O$2,$D413,$D413-($D413-$I$400)*MIN(N$3-$O$2,$Q$2)/$Q$2))</f>
        <v>2712.57153057785</v>
      </c>
      <c r="O413" s="15" t="n">
        <f aca="false">SUMPRODUCT(E413:N413,1/(1+$F$400)^$E$3:$N$3)*$E$2</f>
        <v>8438.57729934141</v>
      </c>
      <c r="P413" s="15" t="n">
        <f aca="false">N413*$E$2*(1+$I$400)/($F$400-$I$400)/(1+$F$400)^$N$3</f>
        <v>15430.9423374458</v>
      </c>
      <c r="Q413" s="15" t="n">
        <f aca="false">O413+P413</f>
        <v>23869.5196367872</v>
      </c>
      <c r="R413" s="15" t="n">
        <f aca="false">Q413-$G$2+$I$2</f>
        <v>25779.1796367872</v>
      </c>
      <c r="S413" s="42" t="n">
        <f aca="false">R413/$K$2</f>
        <v>110.153312125741</v>
      </c>
      <c r="T413" s="43" t="n">
        <f aca="false">S413-$M$2</f>
        <v>0.16741288205445</v>
      </c>
    </row>
    <row r="414" customFormat="false" ht="15" hidden="false" customHeight="false" outlineLevel="0" collapsed="false">
      <c r="A414" s="5" t="n">
        <v>13</v>
      </c>
      <c r="B414" s="25" t="n">
        <f aca="false">IF(T413&gt;0,B413,D413)</f>
        <v>0.015625</v>
      </c>
      <c r="C414" s="25" t="n">
        <f aca="false">IF(T413&gt;0,D413,C413)</f>
        <v>0.0159912109375</v>
      </c>
      <c r="D414" s="41" t="n">
        <f aca="false">(B414+C414)/2</f>
        <v>0.01580810546875</v>
      </c>
      <c r="E414" s="15" t="n">
        <f aca="false">$C$2*(1+IF(E$3&lt;=$O$2,$D414,$D414-($D414-$I$400)*MIN(E$3-$O$2,$Q$2)/$Q$2))</f>
        <v>2234.77783203125</v>
      </c>
      <c r="F414" s="15" t="n">
        <f aca="false">E414*(1+IF(F$3&lt;=$O$2,$D414,$D414-($D414-$I$400)*MIN(F$3-$O$2,$Q$2)/$Q$2))</f>
        <v>2270.10543569922</v>
      </c>
      <c r="G414" s="15" t="n">
        <f aca="false">F414*(1+IF(G$3&lt;=$O$2,$D414,$D414-($D414-$I$400)*MIN(G$3-$O$2,$Q$2)/$Q$2))</f>
        <v>2305.99150185194</v>
      </c>
      <c r="H414" s="15" t="n">
        <f aca="false">G414*(1+IF(H$3&lt;=$O$2,$D414,$D414-($D414-$I$400)*MIN(H$3-$O$2,$Q$2)/$Q$2))</f>
        <v>2342.44485872326</v>
      </c>
      <c r="I414" s="15" t="n">
        <f aca="false">H414*(1+IF(I$3&lt;=$O$2,$D414,$D414-($D414-$I$400)*MIN(I$3-$O$2,$Q$2)/$Q$2))</f>
        <v>2379.47447410469</v>
      </c>
      <c r="J414" s="15" t="n">
        <f aca="false">I414*(1+IF(J$3&lt;=$O$2,$D414,$D414-($D414-$I$400)*MIN(J$3-$O$2,$Q$2)/$Q$2))</f>
        <v>2425.4137608597</v>
      </c>
      <c r="K414" s="15" t="n">
        <f aca="false">J414*(1+IF(K$3&lt;=$O$2,$D414,$D414-($D414-$I$400)*MIN(K$3-$O$2,$Q$2)/$Q$2))</f>
        <v>2480.72499007657</v>
      </c>
      <c r="L414" s="15" t="n">
        <f aca="false">K414*(1+IF(L$3&lt;=$O$2,$D414,$D414-($D414-$I$400)*MIN(L$3-$O$2,$Q$2)/$Q$2))</f>
        <v>2545.97610029113</v>
      </c>
      <c r="M414" s="15" t="n">
        <f aca="false">L414*(1+IF(M$3&lt;=$O$2,$D414,$D414-($D414-$I$400)*MIN(M$3-$O$2,$Q$2)/$Q$2))</f>
        <v>2621.85031534575</v>
      </c>
      <c r="N414" s="15" t="n">
        <f aca="false">M414*(1+IF(N$3&lt;=$O$2,$D414,$D414-($D414-$I$400)*MIN(N$3-$O$2,$Q$2)/$Q$2))</f>
        <v>2709.15793084677</v>
      </c>
      <c r="O414" s="15" t="n">
        <f aca="false">SUMPRODUCT(E414:N414,1/(1+$F$400)^$E$3:$N$3)*$E$2</f>
        <v>8431.77821657935</v>
      </c>
      <c r="P414" s="15" t="n">
        <f aca="false">N414*$E$2*(1+$I$400)/($F$400-$I$400)/(1+$F$400)^$N$3</f>
        <v>15411.5234723506</v>
      </c>
      <c r="Q414" s="15" t="n">
        <f aca="false">O414+P414</f>
        <v>23843.3016889299</v>
      </c>
      <c r="R414" s="15" t="n">
        <f aca="false">Q414-$G$2+$I$2</f>
        <v>25752.9616889299</v>
      </c>
      <c r="S414" s="42" t="n">
        <f aca="false">R414/$K$2</f>
        <v>110.041283976114</v>
      </c>
      <c r="T414" s="43" t="n">
        <f aca="false">S414-$M$2</f>
        <v>0.0553847324271004</v>
      </c>
    </row>
    <row r="415" customFormat="false" ht="15" hidden="false" customHeight="false" outlineLevel="0" collapsed="false">
      <c r="A415" s="5" t="n">
        <v>14</v>
      </c>
      <c r="B415" s="25" t="n">
        <f aca="false">IF(T414&gt;0,B414,D414)</f>
        <v>0.015625</v>
      </c>
      <c r="C415" s="25" t="n">
        <f aca="false">IF(T414&gt;0,D414,C414)</f>
        <v>0.01580810546875</v>
      </c>
      <c r="D415" s="41" t="n">
        <f aca="false">(B415+C415)/2</f>
        <v>0.015716552734375</v>
      </c>
      <c r="E415" s="15" t="n">
        <f aca="false">$C$2*(1+IF(E$3&lt;=$O$2,$D415,$D415-($D415-$I$400)*MIN(E$3-$O$2,$Q$2)/$Q$2))</f>
        <v>2234.57641601563</v>
      </c>
      <c r="F415" s="15" t="n">
        <f aca="false">E415*(1+IF(F$3&lt;=$O$2,$D415,$D415-($D415-$I$400)*MIN(F$3-$O$2,$Q$2)/$Q$2))</f>
        <v>2269.69625409693</v>
      </c>
      <c r="G415" s="15" t="n">
        <f aca="false">F415*(1+IF(G$3&lt;=$O$2,$D415,$D415-($D415-$I$400)*MIN(G$3-$O$2,$Q$2)/$Q$2))</f>
        <v>2305.36805496545</v>
      </c>
      <c r="H415" s="15" t="n">
        <f aca="false">G415*(1+IF(H$3&lt;=$O$2,$D415,$D415-($D415-$I$400)*MIN(H$3-$O$2,$Q$2)/$Q$2))</f>
        <v>2341.60049357346</v>
      </c>
      <c r="I415" s="15" t="n">
        <f aca="false">H415*(1+IF(I$3&lt;=$O$2,$D415,$D415-($D415-$I$400)*MIN(I$3-$O$2,$Q$2)/$Q$2))</f>
        <v>2378.40238121355</v>
      </c>
      <c r="J415" s="15" t="n">
        <f aca="false">I415*(1+IF(J$3&lt;=$O$2,$D415,$D415-($D415-$I$400)*MIN(J$3-$O$2,$Q$2)/$Q$2))</f>
        <v>2424.14677023075</v>
      </c>
      <c r="K415" s="15" t="n">
        <f aca="false">J415*(1+IF(K$3&lt;=$O$2,$D415,$D415-($D415-$I$400)*MIN(K$3-$O$2,$Q$2)/$Q$2))</f>
        <v>2479.29594354035</v>
      </c>
      <c r="L415" s="15" t="n">
        <f aca="false">K415*(1+IF(L$3&lt;=$O$2,$D415,$D415-($D415-$I$400)*MIN(L$3-$O$2,$Q$2)/$Q$2))</f>
        <v>2544.41867066859</v>
      </c>
      <c r="M415" s="15" t="n">
        <f aca="false">L415*(1+IF(M$3&lt;=$O$2,$D415,$D415-($D415-$I$400)*MIN(M$3-$O$2,$Q$2)/$Q$2))</f>
        <v>2620.19988209838</v>
      </c>
      <c r="N415" s="15" t="n">
        <f aca="false">M415*(1+IF(N$3&lt;=$O$2,$D415,$D415-($D415-$I$400)*MIN(N$3-$O$2,$Q$2)/$Q$2))</f>
        <v>2707.45253817226</v>
      </c>
      <c r="O415" s="15" t="n">
        <f aca="false">SUMPRODUCT(E415:N415,1/(1+$F$400)^$E$3:$N$3)*$E$2</f>
        <v>8428.38076146902</v>
      </c>
      <c r="P415" s="15" t="n">
        <f aca="false">N415*$E$2*(1+$I$400)/($F$400-$I$400)/(1+$F$400)^$N$3</f>
        <v>15401.8220448577</v>
      </c>
      <c r="Q415" s="15" t="n">
        <f aca="false">O415+P415</f>
        <v>23830.2028063267</v>
      </c>
      <c r="R415" s="15" t="n">
        <f aca="false">Q415-$G$2+$I$2</f>
        <v>25739.8628063267</v>
      </c>
      <c r="S415" s="42" t="n">
        <f aca="false">R415/$K$2</f>
        <v>109.985313021094</v>
      </c>
      <c r="T415" s="43" t="n">
        <f aca="false">S415-$M$2</f>
        <v>-0.000586222592261265</v>
      </c>
    </row>
    <row r="416" customFormat="false" ht="15" hidden="false" customHeight="false" outlineLevel="0" collapsed="false">
      <c r="A416" s="5" t="n">
        <v>15</v>
      </c>
      <c r="B416" s="25" t="n">
        <f aca="false">IF(T415&gt;0,B415,D415)</f>
        <v>0.015716552734375</v>
      </c>
      <c r="C416" s="25" t="n">
        <f aca="false">IF(T415&gt;0,D415,C415)</f>
        <v>0.01580810546875</v>
      </c>
      <c r="D416" s="41" t="n">
        <f aca="false">(B416+C416)/2</f>
        <v>0.0157623291015625</v>
      </c>
      <c r="E416" s="15" t="n">
        <f aca="false">$C$2*(1+IF(E$3&lt;=$O$2,$D416,$D416-($D416-$I$400)*MIN(E$3-$O$2,$Q$2)/$Q$2))</f>
        <v>2234.67712402344</v>
      </c>
      <c r="F416" s="15" t="n">
        <f aca="false">E416*(1+IF(F$3&lt;=$O$2,$D416,$D416-($D416-$I$400)*MIN(F$3-$O$2,$Q$2)/$Q$2))</f>
        <v>2269.90084028803</v>
      </c>
      <c r="G416" s="15" t="n">
        <f aca="false">F416*(1+IF(G$3&lt;=$O$2,$D416,$D416-($D416-$I$400)*MIN(G$3-$O$2,$Q$2)/$Q$2))</f>
        <v>2305.67976436056</v>
      </c>
      <c r="H416" s="15" t="n">
        <f aca="false">G416*(1+IF(H$3&lt;=$O$2,$D416,$D416-($D416-$I$400)*MIN(H$3-$O$2,$Q$2)/$Q$2))</f>
        <v>2342.02264760923</v>
      </c>
      <c r="I416" s="15" t="n">
        <f aca="false">H416*(1+IF(I$3&lt;=$O$2,$D416,$D416-($D416-$I$400)*MIN(I$3-$O$2,$Q$2)/$Q$2))</f>
        <v>2378.93837934416</v>
      </c>
      <c r="J416" s="15" t="n">
        <f aca="false">I416*(1+IF(J$3&lt;=$O$2,$D416,$D416-($D416-$I$400)*MIN(J$3-$O$2,$Q$2)/$Q$2))</f>
        <v>2424.78019666864</v>
      </c>
      <c r="K416" s="15" t="n">
        <f aca="false">J416*(1+IF(K$3&lt;=$O$2,$D416,$D416-($D416-$I$400)*MIN(K$3-$O$2,$Q$2)/$Q$2))</f>
        <v>2480.01037896357</v>
      </c>
      <c r="L416" s="15" t="n">
        <f aca="false">K416*(1+IF(L$3&lt;=$O$2,$D416,$D416-($D416-$I$400)*MIN(L$3-$O$2,$Q$2)/$Q$2))</f>
        <v>2545.19728224267</v>
      </c>
      <c r="M416" s="15" t="n">
        <f aca="false">L416*(1+IF(M$3&lt;=$O$2,$D416,$D416-($D416-$I$400)*MIN(M$3-$O$2,$Q$2)/$Q$2))</f>
        <v>2621.02498527983</v>
      </c>
      <c r="N416" s="15" t="n">
        <f aca="false">M416*(1+IF(N$3&lt;=$O$2,$D416,$D416-($D416-$I$400)*MIN(N$3-$O$2,$Q$2)/$Q$2))</f>
        <v>2708.30511728965</v>
      </c>
      <c r="O416" s="15" t="n">
        <f aca="false">SUMPRODUCT(E416:N416,1/(1+$F$400)^$E$3:$N$3)*$E$2</f>
        <v>8430.07931522407</v>
      </c>
      <c r="P416" s="15" t="n">
        <f aca="false">N416*$E$2*(1+$I$400)/($F$400-$I$400)/(1+$F$400)^$N$3</f>
        <v>15406.6720917782</v>
      </c>
      <c r="Q416" s="15" t="n">
        <f aca="false">O416+P416</f>
        <v>23836.7514070023</v>
      </c>
      <c r="R416" s="15" t="n">
        <f aca="false">Q416-$G$2+$I$2</f>
        <v>25746.4114070023</v>
      </c>
      <c r="S416" s="42" t="n">
        <f aca="false">R416/$K$2</f>
        <v>110.013294906646</v>
      </c>
      <c r="T416" s="43" t="n">
        <f aca="false">S416-$M$2</f>
        <v>0.0273956629590941</v>
      </c>
    </row>
    <row r="417" customFormat="false" ht="15" hidden="false" customHeight="false" outlineLevel="0" collapsed="false">
      <c r="A417" s="5" t="n">
        <v>16</v>
      </c>
      <c r="B417" s="25" t="n">
        <f aca="false">IF(T416&gt;0,B416,D416)</f>
        <v>0.015716552734375</v>
      </c>
      <c r="C417" s="25" t="n">
        <f aca="false">IF(T416&gt;0,D416,C416)</f>
        <v>0.0157623291015625</v>
      </c>
      <c r="D417" s="41" t="n">
        <f aca="false">(B417+C417)/2</f>
        <v>0.0157394409179688</v>
      </c>
      <c r="E417" s="15" t="n">
        <f aca="false">$C$2*(1+IF(E$3&lt;=$O$2,$D417,$D417-($D417-$I$400)*MIN(E$3-$O$2,$Q$2)/$Q$2))</f>
        <v>2234.62677001953</v>
      </c>
      <c r="F417" s="15" t="n">
        <f aca="false">E417*(1+IF(F$3&lt;=$O$2,$D417,$D417-($D417-$I$400)*MIN(F$3-$O$2,$Q$2)/$Q$2))</f>
        <v>2269.79854603997</v>
      </c>
      <c r="G417" s="15" t="n">
        <f aca="false">F417*(1+IF(G$3&lt;=$O$2,$D417,$D417-($D417-$I$400)*MIN(G$3-$O$2,$Q$2)/$Q$2))</f>
        <v>2305.52390615105</v>
      </c>
      <c r="H417" s="15" t="n">
        <f aca="false">G417*(1+IF(H$3&lt;=$O$2,$D417,$D417-($D417-$I$400)*MIN(H$3-$O$2,$Q$2)/$Q$2))</f>
        <v>2341.81156345688</v>
      </c>
      <c r="I417" s="15" t="n">
        <f aca="false">H417*(1+IF(I$3&lt;=$O$2,$D417,$D417-($D417-$I$400)*MIN(I$3-$O$2,$Q$2)/$Q$2))</f>
        <v>2378.67036820093</v>
      </c>
      <c r="J417" s="15" t="n">
        <f aca="false">I417*(1+IF(J$3&lt;=$O$2,$D417,$D417-($D417-$I$400)*MIN(J$3-$O$2,$Q$2)/$Q$2))</f>
        <v>2424.46346623204</v>
      </c>
      <c r="K417" s="15" t="n">
        <f aca="false">J417*(1+IF(K$3&lt;=$O$2,$D417,$D417-($D417-$I$400)*MIN(K$3-$O$2,$Q$2)/$Q$2))</f>
        <v>2479.65313929297</v>
      </c>
      <c r="L417" s="15" t="n">
        <f aca="false">K417*(1+IF(L$3&lt;=$O$2,$D417,$D417-($D417-$I$400)*MIN(L$3-$O$2,$Q$2)/$Q$2))</f>
        <v>2544.80795064923</v>
      </c>
      <c r="M417" s="15" t="n">
        <f aca="false">L417*(1+IF(M$3&lt;=$O$2,$D417,$D417-($D417-$I$400)*MIN(M$3-$O$2,$Q$2)/$Q$2))</f>
        <v>2620.61240533189</v>
      </c>
      <c r="N417" s="15" t="n">
        <f aca="false">M417*(1+IF(N$3&lt;=$O$2,$D417,$D417-($D417-$I$400)*MIN(N$3-$O$2,$Q$2)/$Q$2))</f>
        <v>2707.87879842944</v>
      </c>
      <c r="O417" s="15" t="n">
        <f aca="false">SUMPRODUCT(E417:N417,1/(1+$F$400)^$E$3:$N$3)*$E$2</f>
        <v>8429.2299949007</v>
      </c>
      <c r="P417" s="15" t="n">
        <f aca="false">N417*$E$2*(1+$I$400)/($F$400-$I$400)/(1+$F$400)^$N$3</f>
        <v>15404.2469016311</v>
      </c>
      <c r="Q417" s="15" t="n">
        <f aca="false">O417+P417</f>
        <v>23833.4768965318</v>
      </c>
      <c r="R417" s="15" t="n">
        <f aca="false">Q417-$G$2+$I$2</f>
        <v>25743.1368965318</v>
      </c>
      <c r="S417" s="42" t="n">
        <f aca="false">R417/$K$2</f>
        <v>109.999303065982</v>
      </c>
      <c r="T417" s="43" t="n">
        <f aca="false">S417-$M$2</f>
        <v>0.0134038222956434</v>
      </c>
    </row>
    <row r="418" customFormat="false" ht="15" hidden="false" customHeight="false" outlineLevel="0" collapsed="false">
      <c r="A418" s="5" t="n">
        <v>17</v>
      </c>
      <c r="B418" s="25" t="n">
        <f aca="false">IF(T417&gt;0,B417,D417)</f>
        <v>0.015716552734375</v>
      </c>
      <c r="C418" s="25" t="n">
        <f aca="false">IF(T417&gt;0,D417,C417)</f>
        <v>0.0157394409179688</v>
      </c>
      <c r="D418" s="41" t="n">
        <f aca="false">(B418+C418)/2</f>
        <v>0.0157279968261719</v>
      </c>
      <c r="E418" s="15" t="n">
        <f aca="false">$C$2*(1+IF(E$3&lt;=$O$2,$D418,$D418-($D418-$I$400)*MIN(E$3-$O$2,$Q$2)/$Q$2))</f>
        <v>2234.60159301758</v>
      </c>
      <c r="F418" s="15" t="n">
        <f aca="false">E418*(1+IF(F$3&lt;=$O$2,$D418,$D418-($D418-$I$400)*MIN(F$3-$O$2,$Q$2)/$Q$2))</f>
        <v>2269.74739978032</v>
      </c>
      <c r="G418" s="15" t="n">
        <f aca="false">F418*(1+IF(G$3&lt;=$O$2,$D418,$D418-($D418-$I$400)*MIN(G$3-$O$2,$Q$2)/$Q$2))</f>
        <v>2305.44597968027</v>
      </c>
      <c r="H418" s="15" t="n">
        <f aca="false">G418*(1+IF(H$3&lt;=$O$2,$D418,$D418-($D418-$I$400)*MIN(H$3-$O$2,$Q$2)/$Q$2))</f>
        <v>2341.7060267316</v>
      </c>
      <c r="I418" s="15" t="n">
        <f aca="false">H418*(1+IF(I$3&lt;=$O$2,$D418,$D418-($D418-$I$400)*MIN(I$3-$O$2,$Q$2)/$Q$2))</f>
        <v>2378.53637168786</v>
      </c>
      <c r="J418" s="15" t="n">
        <f aca="false">I418*(1+IF(J$3&lt;=$O$2,$D418,$D418-($D418-$I$400)*MIN(J$3-$O$2,$Q$2)/$Q$2))</f>
        <v>2424.30511392717</v>
      </c>
      <c r="K418" s="15" t="n">
        <f aca="false">J418*(1+IF(K$3&lt;=$O$2,$D418,$D418-($D418-$I$400)*MIN(K$3-$O$2,$Q$2)/$Q$2))</f>
        <v>2479.47453592719</v>
      </c>
      <c r="L418" s="15" t="n">
        <f aca="false">K418*(1+IF(L$3&lt;=$O$2,$D418,$D418-($D418-$I$400)*MIN(L$3-$O$2,$Q$2)/$Q$2))</f>
        <v>2544.61330420767</v>
      </c>
      <c r="M418" s="15" t="n">
        <f aca="false">L418*(1+IF(M$3&lt;=$O$2,$D418,$D418-($D418-$I$400)*MIN(M$3-$O$2,$Q$2)/$Q$2))</f>
        <v>2620.40613662625</v>
      </c>
      <c r="N418" s="15" t="n">
        <f aca="false">M418*(1+IF(N$3&lt;=$O$2,$D418,$D418-($D418-$I$400)*MIN(N$3-$O$2,$Q$2)/$Q$2))</f>
        <v>2707.6656609759</v>
      </c>
      <c r="O418" s="15" t="n">
        <f aca="false">SUMPRODUCT(E418:N418,1/(1+$F$400)^$E$3:$N$3)*$E$2</f>
        <v>8428.80536732392</v>
      </c>
      <c r="P418" s="15" t="n">
        <f aca="false">N418*$E$2*(1+$I$400)/($F$400-$I$400)/(1+$F$400)^$N$3</f>
        <v>15403.0344315752</v>
      </c>
      <c r="Q418" s="15" t="n">
        <f aca="false">O418+P418</f>
        <v>23831.8397988991</v>
      </c>
      <c r="R418" s="15" t="n">
        <f aca="false">Q418-$G$2+$I$2</f>
        <v>25741.4997988991</v>
      </c>
      <c r="S418" s="42" t="n">
        <f aca="false">R418/$K$2</f>
        <v>109.992307819079</v>
      </c>
      <c r="T418" s="43" t="n">
        <f aca="false">S418-$M$2</f>
        <v>0.00640857539244166</v>
      </c>
    </row>
    <row r="419" customFormat="false" ht="15" hidden="false" customHeight="false" outlineLevel="0" collapsed="false">
      <c r="A419" s="5" t="n">
        <v>18</v>
      </c>
      <c r="B419" s="25" t="n">
        <f aca="false">IF(T418&gt;0,B418,D418)</f>
        <v>0.015716552734375</v>
      </c>
      <c r="C419" s="25" t="n">
        <f aca="false">IF(T418&gt;0,D418,C418)</f>
        <v>0.0157279968261719</v>
      </c>
      <c r="D419" s="41" t="n">
        <f aca="false">(B419+C419)/2</f>
        <v>0.0157222747802734</v>
      </c>
      <c r="E419" s="15" t="n">
        <f aca="false">$C$2*(1+IF(E$3&lt;=$O$2,$D419,$D419-($D419-$I$400)*MIN(E$3-$O$2,$Q$2)/$Q$2))</f>
        <v>2234.5890045166</v>
      </c>
      <c r="F419" s="15" t="n">
        <f aca="false">E419*(1+IF(F$3&lt;=$O$2,$D419,$D419-($D419-$I$400)*MIN(F$3-$O$2,$Q$2)/$Q$2))</f>
        <v>2269.72182686659</v>
      </c>
      <c r="G419" s="15" t="n">
        <f aca="false">F419*(1+IF(G$3&lt;=$O$2,$D419,$D419-($D419-$I$400)*MIN(G$3-$O$2,$Q$2)/$Q$2))</f>
        <v>2305.40701710337</v>
      </c>
      <c r="H419" s="15" t="n">
        <f aca="false">G419*(1+IF(H$3&lt;=$O$2,$D419,$D419-($D419-$I$400)*MIN(H$3-$O$2,$Q$2)/$Q$2))</f>
        <v>2341.65325970664</v>
      </c>
      <c r="I419" s="15" t="n">
        <f aca="false">H419*(1+IF(I$3&lt;=$O$2,$D419,$D419-($D419-$I$400)*MIN(I$3-$O$2,$Q$2)/$Q$2))</f>
        <v>2378.46937569587</v>
      </c>
      <c r="J419" s="15" t="n">
        <f aca="false">I419*(1+IF(J$3&lt;=$O$2,$D419,$D419-($D419-$I$400)*MIN(J$3-$O$2,$Q$2)/$Q$2))</f>
        <v>2424.22594100293</v>
      </c>
      <c r="K419" s="15" t="n">
        <f aca="false">J419*(1+IF(K$3&lt;=$O$2,$D419,$D419-($D419-$I$400)*MIN(K$3-$O$2,$Q$2)/$Q$2))</f>
        <v>2479.38523836144</v>
      </c>
      <c r="L419" s="15" t="n">
        <f aca="false">K419*(1+IF(L$3&lt;=$O$2,$D419,$D419-($D419-$I$400)*MIN(L$3-$O$2,$Q$2)/$Q$2))</f>
        <v>2544.51598582537</v>
      </c>
      <c r="M419" s="15" t="n">
        <f aca="false">L419*(1+IF(M$3&lt;=$O$2,$D419,$D419-($D419-$I$400)*MIN(M$3-$O$2,$Q$2)/$Q$2))</f>
        <v>2620.30300759015</v>
      </c>
      <c r="N419" s="15" t="n">
        <f aca="false">M419*(1+IF(N$3&lt;=$O$2,$D419,$D419-($D419-$I$400)*MIN(N$3-$O$2,$Q$2)/$Q$2))</f>
        <v>2707.5590977429</v>
      </c>
      <c r="O419" s="15" t="n">
        <f aca="false">SUMPRODUCT(E419:N419,1/(1+$F$400)^$E$3:$N$3)*$E$2</f>
        <v>8428.5930616813</v>
      </c>
      <c r="P419" s="15" t="n">
        <f aca="false">N419*$E$2*(1+$I$400)/($F$400-$I$400)/(1+$F$400)^$N$3</f>
        <v>15402.4282277994</v>
      </c>
      <c r="Q419" s="15" t="n">
        <f aca="false">O419+P419</f>
        <v>23831.0212894807</v>
      </c>
      <c r="R419" s="15" t="n">
        <f aca="false">Q419-$G$2+$I$2</f>
        <v>25740.6812894807</v>
      </c>
      <c r="S419" s="42" t="n">
        <f aca="false">R419/$K$2</f>
        <v>109.988810363974</v>
      </c>
      <c r="T419" s="43" t="n">
        <f aca="false">S419-$M$2</f>
        <v>0.00291112028689611</v>
      </c>
    </row>
    <row r="420" customFormat="false" ht="15" hidden="false" customHeight="false" outlineLevel="0" collapsed="false">
      <c r="A420" s="5" t="n">
        <v>19</v>
      </c>
      <c r="B420" s="25" t="n">
        <f aca="false">IF(T419&gt;0,B419,D419)</f>
        <v>0.015716552734375</v>
      </c>
      <c r="C420" s="25" t="n">
        <f aca="false">IF(T419&gt;0,D419,C419)</f>
        <v>0.0157222747802734</v>
      </c>
      <c r="D420" s="41" t="n">
        <f aca="false">(B420+C420)/2</f>
        <v>0.0157194137573242</v>
      </c>
      <c r="E420" s="15" t="n">
        <f aca="false">$C$2*(1+IF(E$3&lt;=$O$2,$D420,$D420-($D420-$I$400)*MIN(E$3-$O$2,$Q$2)/$Q$2))</f>
        <v>2234.58271026611</v>
      </c>
      <c r="F420" s="15" t="n">
        <f aca="false">E420*(1+IF(F$3&lt;=$O$2,$D420,$D420-($D420-$I$400)*MIN(F$3-$O$2,$Q$2)/$Q$2))</f>
        <v>2269.70904046375</v>
      </c>
      <c r="G420" s="15" t="n">
        <f aca="false">F420*(1+IF(G$3&lt;=$O$2,$D420,$D420-($D420-$I$400)*MIN(G$3-$O$2,$Q$2)/$Q$2))</f>
        <v>2305.38753597954</v>
      </c>
      <c r="H420" s="15" t="n">
        <f aca="false">G420*(1+IF(H$3&lt;=$O$2,$D420,$D420-($D420-$I$400)*MIN(H$3-$O$2,$Q$2)/$Q$2))</f>
        <v>2341.62687652858</v>
      </c>
      <c r="I420" s="15" t="n">
        <f aca="false">H420*(1+IF(I$3&lt;=$O$2,$D420,$D420-($D420-$I$400)*MIN(I$3-$O$2,$Q$2)/$Q$2))</f>
        <v>2378.435878266</v>
      </c>
      <c r="J420" s="15" t="n">
        <f aca="false">I420*(1+IF(J$3&lt;=$O$2,$D420,$D420-($D420-$I$400)*MIN(J$3-$O$2,$Q$2)/$Q$2))</f>
        <v>2424.18635534784</v>
      </c>
      <c r="K420" s="15" t="n">
        <f aca="false">J420*(1+IF(K$3&lt;=$O$2,$D420,$D420-($D420-$I$400)*MIN(K$3-$O$2,$Q$2)/$Q$2))</f>
        <v>2479.34059060781</v>
      </c>
      <c r="L420" s="15" t="n">
        <f aca="false">K420*(1+IF(L$3&lt;=$O$2,$D420,$D420-($D420-$I$400)*MIN(L$3-$O$2,$Q$2)/$Q$2))</f>
        <v>2544.46732784379</v>
      </c>
      <c r="M420" s="15" t="n">
        <f aca="false">L420*(1+IF(M$3&lt;=$O$2,$D420,$D420-($D420-$I$400)*MIN(M$3-$O$2,$Q$2)/$Q$2))</f>
        <v>2620.25144440123</v>
      </c>
      <c r="N420" s="15" t="n">
        <f aca="false">M420*(1+IF(N$3&lt;=$O$2,$D420,$D420-($D420-$I$400)*MIN(N$3-$O$2,$Q$2)/$Q$2))</f>
        <v>2707.50581749979</v>
      </c>
      <c r="O420" s="15" t="n">
        <f aca="false">SUMPRODUCT(E420:N420,1/(1+$F$400)^$E$3:$N$3)*$E$2</f>
        <v>8428.48691089638</v>
      </c>
      <c r="P420" s="15" t="n">
        <f aca="false">N420*$E$2*(1+$I$400)/($F$400-$I$400)/(1+$F$400)^$N$3</f>
        <v>15402.1251337244</v>
      </c>
      <c r="Q420" s="15" t="n">
        <f aca="false">O420+P420</f>
        <v>23830.6120446207</v>
      </c>
      <c r="R420" s="15" t="n">
        <f aca="false">Q420-$G$2+$I$2</f>
        <v>25740.2720446207</v>
      </c>
      <c r="S420" s="42" t="n">
        <f aca="false">R420/$K$2</f>
        <v>109.987061678506</v>
      </c>
      <c r="T420" s="43" t="n">
        <f aca="false">S420-$M$2</f>
        <v>0.0011624348192214</v>
      </c>
    </row>
    <row r="421" customFormat="false" ht="15" hidden="false" customHeight="false" outlineLevel="0" collapsed="false">
      <c r="A421" s="5" t="n">
        <v>20</v>
      </c>
      <c r="B421" s="25" t="n">
        <f aca="false">IF(T420&gt;0,B420,D420)</f>
        <v>0.015716552734375</v>
      </c>
      <c r="C421" s="25" t="n">
        <f aca="false">IF(T420&gt;0,D420,C420)</f>
        <v>0.0157194137573242</v>
      </c>
      <c r="D421" s="41" t="n">
        <f aca="false">(B421+C421)/2</f>
        <v>0.0157179832458496</v>
      </c>
      <c r="E421" s="15" t="n">
        <f aca="false">$C$2*(1+IF(E$3&lt;=$O$2,$D421,$D421-($D421-$I$400)*MIN(E$3-$O$2,$Q$2)/$Q$2))</f>
        <v>2234.57956314087</v>
      </c>
      <c r="F421" s="15" t="n">
        <f aca="false">E421*(1+IF(F$3&lt;=$O$2,$D421,$D421-($D421-$I$400)*MIN(F$3-$O$2,$Q$2)/$Q$2))</f>
        <v>2269.70264727584</v>
      </c>
      <c r="G421" s="15" t="n">
        <f aca="false">F421*(1+IF(G$3&lt;=$O$2,$D421,$D421-($D421-$I$400)*MIN(G$3-$O$2,$Q$2)/$Q$2))</f>
        <v>2305.37779545878</v>
      </c>
      <c r="H421" s="15" t="n">
        <f aca="false">G421*(1+IF(H$3&lt;=$O$2,$D421,$D421-($D421-$I$400)*MIN(H$3-$O$2,$Q$2)/$Q$2))</f>
        <v>2341.61368502315</v>
      </c>
      <c r="I421" s="15" t="n">
        <f aca="false">H421*(1+IF(I$3&lt;=$O$2,$D421,$D421-($D421-$I$400)*MIN(I$3-$O$2,$Q$2)/$Q$2))</f>
        <v>2378.4191296926</v>
      </c>
      <c r="J421" s="15" t="n">
        <f aca="false">I421*(1+IF(J$3&lt;=$O$2,$D421,$D421-($D421-$I$400)*MIN(J$3-$O$2,$Q$2)/$Q$2))</f>
        <v>2424.16656272204</v>
      </c>
      <c r="K421" s="15" t="n">
        <f aca="false">J421*(1+IF(K$3&lt;=$O$2,$D421,$D421-($D421-$I$400)*MIN(K$3-$O$2,$Q$2)/$Q$2))</f>
        <v>2479.31826698831</v>
      </c>
      <c r="L421" s="15" t="n">
        <f aca="false">K421*(1+IF(L$3&lt;=$O$2,$D421,$D421-($D421-$I$400)*MIN(L$3-$O$2,$Q$2)/$Q$2))</f>
        <v>2544.4429991554</v>
      </c>
      <c r="M421" s="15" t="n">
        <f aca="false">L421*(1+IF(M$3&lt;=$O$2,$D421,$D421-($D421-$I$400)*MIN(M$3-$O$2,$Q$2)/$Q$2))</f>
        <v>2620.22566313904</v>
      </c>
      <c r="N421" s="15" t="n">
        <f aca="false">M421*(1+IF(N$3&lt;=$O$2,$D421,$D421-($D421-$I$400)*MIN(N$3-$O$2,$Q$2)/$Q$2))</f>
        <v>2707.47917772158</v>
      </c>
      <c r="O421" s="15" t="n">
        <f aca="false">SUMPRODUCT(E421:N421,1/(1+$F$400)^$E$3:$N$3)*$E$2</f>
        <v>8428.43383601301</v>
      </c>
      <c r="P421" s="15" t="n">
        <f aca="false">N421*$E$2*(1+$I$400)/($F$400-$I$400)/(1+$F$400)^$N$3</f>
        <v>15401.97358864</v>
      </c>
      <c r="Q421" s="15" t="n">
        <f aca="false">O421+P421</f>
        <v>23830.407424653</v>
      </c>
      <c r="R421" s="15" t="n">
        <f aca="false">Q421-$G$2+$I$2</f>
        <v>25740.067424653</v>
      </c>
      <c r="S421" s="42" t="n">
        <f aca="false">R421/$K$2</f>
        <v>109.986187346293</v>
      </c>
      <c r="T421" s="43" t="n">
        <f aca="false">S421-$M$2</f>
        <v>0.000288102606447183</v>
      </c>
    </row>
    <row r="422" customFormat="false" ht="15" hidden="false" customHeight="false" outlineLevel="0" collapsed="false">
      <c r="A422" s="5" t="n">
        <v>21</v>
      </c>
      <c r="B422" s="25" t="n">
        <f aca="false">IF(T421&gt;0,B421,D421)</f>
        <v>0.015716552734375</v>
      </c>
      <c r="C422" s="25" t="n">
        <f aca="false">IF(T421&gt;0,D421,C421)</f>
        <v>0.0157179832458496</v>
      </c>
      <c r="D422" s="41" t="n">
        <f aca="false">(B422+C422)/2</f>
        <v>0.0157172679901123</v>
      </c>
      <c r="E422" s="15" t="n">
        <f aca="false">$C$2*(1+IF(E$3&lt;=$O$2,$D422,$D422-($D422-$I$400)*MIN(E$3-$O$2,$Q$2)/$Q$2))</f>
        <v>2234.57798957825</v>
      </c>
      <c r="F422" s="15" t="n">
        <f aca="false">E422*(1+IF(F$3&lt;=$O$2,$D422,$D422-($D422-$I$400)*MIN(F$3-$O$2,$Q$2)/$Q$2))</f>
        <v>2269.69945068525</v>
      </c>
      <c r="G422" s="15" t="n">
        <f aca="false">F422*(1+IF(G$3&lt;=$O$2,$D422,$D422-($D422-$I$400)*MIN(G$3-$O$2,$Q$2)/$Q$2))</f>
        <v>2305.37292520869</v>
      </c>
      <c r="H422" s="15" t="n">
        <f aca="false">G422*(1+IF(H$3&lt;=$O$2,$D422,$D422-($D422-$I$400)*MIN(H$3-$O$2,$Q$2)/$Q$2))</f>
        <v>2341.60708929134</v>
      </c>
      <c r="I422" s="15" t="n">
        <f aca="false">H422*(1+IF(I$3&lt;=$O$2,$D422,$D422-($D422-$I$400)*MIN(I$3-$O$2,$Q$2)/$Q$2))</f>
        <v>2378.41075544128</v>
      </c>
      <c r="J422" s="15" t="n">
        <f aca="false">I422*(1+IF(J$3&lt;=$O$2,$D422,$D422-($D422-$I$400)*MIN(J$3-$O$2,$Q$2)/$Q$2))</f>
        <v>2424.15666645959</v>
      </c>
      <c r="K422" s="15" t="n">
        <f aca="false">J422*(1+IF(K$3&lt;=$O$2,$D422,$D422-($D422-$I$400)*MIN(K$3-$O$2,$Q$2)/$Q$2))</f>
        <v>2479.30710524289</v>
      </c>
      <c r="L422" s="15" t="n">
        <f aca="false">K422*(1+IF(L$3&lt;=$O$2,$D422,$D422-($D422-$I$400)*MIN(L$3-$O$2,$Q$2)/$Q$2))</f>
        <v>2544.43083488679</v>
      </c>
      <c r="M422" s="15" t="n">
        <f aca="false">L422*(1+IF(M$3&lt;=$O$2,$D422,$D422-($D422-$I$400)*MIN(M$3-$O$2,$Q$2)/$Q$2))</f>
        <v>2620.21277259102</v>
      </c>
      <c r="N422" s="15" t="n">
        <f aca="false">M422*(1+IF(N$3&lt;=$O$2,$D422,$D422-($D422-$I$400)*MIN(N$3-$O$2,$Q$2)/$Q$2))</f>
        <v>2707.4658579183</v>
      </c>
      <c r="O422" s="15" t="n">
        <f aca="false">SUMPRODUCT(E422:N422,1/(1+$F$400)^$E$3:$N$3)*$E$2</f>
        <v>8428.40729869859</v>
      </c>
      <c r="P422" s="15" t="n">
        <f aca="false">N422*$E$2*(1+$I$400)/($F$400-$I$400)/(1+$F$400)^$N$3</f>
        <v>15401.8978165861</v>
      </c>
      <c r="Q422" s="15" t="n">
        <f aca="false">O422+P422</f>
        <v>23830.3051152847</v>
      </c>
      <c r="R422" s="15" t="n">
        <f aca="false">Q422-$G$2+$I$2</f>
        <v>25739.9651152847</v>
      </c>
      <c r="S422" s="42" t="n">
        <f aca="false">R422/$K$2</f>
        <v>109.985750182817</v>
      </c>
      <c r="T422" s="43" t="n">
        <f aca="false">S422-$M$2</f>
        <v>-0.000149060869674145</v>
      </c>
    </row>
    <row r="423" customFormat="false" ht="15" hidden="false" customHeight="false" outlineLevel="0" collapsed="false">
      <c r="A423" s="5" t="n">
        <v>22</v>
      </c>
      <c r="B423" s="25" t="n">
        <f aca="false">IF(T422&gt;0,B422,D422)</f>
        <v>0.0157172679901123</v>
      </c>
      <c r="C423" s="25" t="n">
        <f aca="false">IF(T422&gt;0,D422,C422)</f>
        <v>0.0157179832458496</v>
      </c>
      <c r="D423" s="41" t="n">
        <f aca="false">(B423+C423)/2</f>
        <v>0.015717625617981</v>
      </c>
      <c r="E423" s="15" t="n">
        <f aca="false">$C$2*(1+IF(E$3&lt;=$O$2,$D423,$D423-($D423-$I$400)*MIN(E$3-$O$2,$Q$2)/$Q$2))</f>
        <v>2234.57877635956</v>
      </c>
      <c r="F423" s="15" t="n">
        <f aca="false">E423*(1+IF(F$3&lt;=$O$2,$D423,$D423-($D423-$I$400)*MIN(F$3-$O$2,$Q$2)/$Q$2))</f>
        <v>2269.70104898026</v>
      </c>
      <c r="G423" s="15" t="n">
        <f aca="false">F423*(1+IF(G$3&lt;=$O$2,$D423,$D423-($D423-$I$400)*MIN(G$3-$O$2,$Q$2)/$Q$2))</f>
        <v>2305.37536033287</v>
      </c>
      <c r="H423" s="15" t="n">
        <f aca="false">G423*(1+IF(H$3&lt;=$O$2,$D423,$D423-($D423-$I$400)*MIN(H$3-$O$2,$Q$2)/$Q$2))</f>
        <v>2341.6103871555</v>
      </c>
      <c r="I423" s="15" t="n">
        <f aca="false">H423*(1+IF(I$3&lt;=$O$2,$D423,$D423-($D423-$I$400)*MIN(I$3-$O$2,$Q$2)/$Q$2))</f>
        <v>2378.41494256399</v>
      </c>
      <c r="J423" s="15" t="n">
        <f aca="false">I423*(1+IF(J$3&lt;=$O$2,$D423,$D423-($D423-$I$400)*MIN(J$3-$O$2,$Q$2)/$Q$2))</f>
        <v>2424.16161458661</v>
      </c>
      <c r="K423" s="15" t="n">
        <f aca="false">J423*(1+IF(K$3&lt;=$O$2,$D423,$D423-($D423-$I$400)*MIN(K$3-$O$2,$Q$2)/$Q$2))</f>
        <v>2479.31268611024</v>
      </c>
      <c r="L423" s="15" t="n">
        <f aca="false">K423*(1+IF(L$3&lt;=$O$2,$D423,$D423-($D423-$I$400)*MIN(L$3-$O$2,$Q$2)/$Q$2))</f>
        <v>2544.4369170148</v>
      </c>
      <c r="M423" s="15" t="n">
        <f aca="false">L423*(1+IF(M$3&lt;=$O$2,$D423,$D423-($D423-$I$400)*MIN(M$3-$O$2,$Q$2)/$Q$2))</f>
        <v>2620.21921785811</v>
      </c>
      <c r="N423" s="15" t="n">
        <f aca="false">M423*(1+IF(N$3&lt;=$O$2,$D423,$D423-($D423-$I$400)*MIN(N$3-$O$2,$Q$2)/$Q$2))</f>
        <v>2707.47251781279</v>
      </c>
      <c r="O423" s="15" t="n">
        <f aca="false">SUMPRODUCT(E423:N423,1/(1+$F$400)^$E$3:$N$3)*$E$2</f>
        <v>8428.42056734519</v>
      </c>
      <c r="P423" s="15" t="n">
        <f aca="false">N423*$E$2*(1+$I$400)/($F$400-$I$400)/(1+$F$400)^$N$3</f>
        <v>15401.9357025723</v>
      </c>
      <c r="Q423" s="15" t="n">
        <f aca="false">O423+P423</f>
        <v>23830.3562699175</v>
      </c>
      <c r="R423" s="15" t="n">
        <f aca="false">Q423-$G$2+$I$2</f>
        <v>25740.0162699175</v>
      </c>
      <c r="S423" s="42" t="n">
        <f aca="false">R423/$K$2</f>
        <v>109.985968764336</v>
      </c>
      <c r="T423" s="43" t="n">
        <f aca="false">S423-$M$2</f>
        <v>6.9520649233823E-005</v>
      </c>
    </row>
    <row r="424" customFormat="false" ht="15" hidden="false" customHeight="false" outlineLevel="0" collapsed="false">
      <c r="A424" s="5" t="n">
        <v>23</v>
      </c>
      <c r="B424" s="25" t="n">
        <f aca="false">IF(T423&gt;0,B423,D423)</f>
        <v>0.0157172679901123</v>
      </c>
      <c r="C424" s="25" t="n">
        <f aca="false">IF(T423&gt;0,D423,C423)</f>
        <v>0.015717625617981</v>
      </c>
      <c r="D424" s="41" t="n">
        <f aca="false">(B424+C424)/2</f>
        <v>0.0157174468040466</v>
      </c>
      <c r="E424" s="15" t="n">
        <f aca="false">$C$2*(1+IF(E$3&lt;=$O$2,$D424,$D424-($D424-$I$400)*MIN(E$3-$O$2,$Q$2)/$Q$2))</f>
        <v>2234.5783829689</v>
      </c>
      <c r="F424" s="15" t="n">
        <f aca="false">E424*(1+IF(F$3&lt;=$O$2,$D424,$D424-($D424-$I$400)*MIN(F$3-$O$2,$Q$2)/$Q$2))</f>
        <v>2269.70024983269</v>
      </c>
      <c r="G424" s="15" t="n">
        <f aca="false">F424*(1+IF(G$3&lt;=$O$2,$D424,$D424-($D424-$I$400)*MIN(G$3-$O$2,$Q$2)/$Q$2))</f>
        <v>2305.37414277057</v>
      </c>
      <c r="H424" s="15" t="n">
        <f aca="false">G424*(1+IF(H$3&lt;=$O$2,$D424,$D424-($D424-$I$400)*MIN(H$3-$O$2,$Q$2)/$Q$2))</f>
        <v>2341.60873822299</v>
      </c>
      <c r="I424" s="15" t="n">
        <f aca="false">H424*(1+IF(I$3&lt;=$O$2,$D424,$D424-($D424-$I$400)*MIN(I$3-$O$2,$Q$2)/$Q$2))</f>
        <v>2378.4128490019</v>
      </c>
      <c r="J424" s="15" t="n">
        <f aca="false">I424*(1+IF(J$3&lt;=$O$2,$D424,$D424-($D424-$I$400)*MIN(J$3-$O$2,$Q$2)/$Q$2))</f>
        <v>2424.15914052205</v>
      </c>
      <c r="K424" s="15" t="n">
        <f aca="false">J424*(1+IF(K$3&lt;=$O$2,$D424,$D424-($D424-$I$400)*MIN(K$3-$O$2,$Q$2)/$Q$2))</f>
        <v>2479.30989567522</v>
      </c>
      <c r="L424" s="15" t="n">
        <f aca="false">K424*(1+IF(L$3&lt;=$O$2,$D424,$D424-($D424-$I$400)*MIN(L$3-$O$2,$Q$2)/$Q$2))</f>
        <v>2544.43387594922</v>
      </c>
      <c r="M424" s="15" t="n">
        <f aca="false">L424*(1+IF(M$3&lt;=$O$2,$D424,$D424-($D424-$I$400)*MIN(M$3-$O$2,$Q$2)/$Q$2))</f>
        <v>2620.21599522284</v>
      </c>
      <c r="N424" s="15" t="n">
        <f aca="false">M424*(1+IF(N$3&lt;=$O$2,$D424,$D424-($D424-$I$400)*MIN(N$3-$O$2,$Q$2)/$Q$2))</f>
        <v>2707.46918786376</v>
      </c>
      <c r="O424" s="15" t="n">
        <f aca="false">SUMPRODUCT(E424:N424,1/(1+$F$400)^$E$3:$N$3)*$E$2</f>
        <v>8428.41393301924</v>
      </c>
      <c r="P424" s="15" t="n">
        <f aca="false">N424*$E$2*(1+$I$400)/($F$400-$I$400)/(1+$F$400)^$N$3</f>
        <v>15401.916759569</v>
      </c>
      <c r="Q424" s="15" t="n">
        <f aca="false">O424+P424</f>
        <v>23830.3306925883</v>
      </c>
      <c r="R424" s="15" t="n">
        <f aca="false">Q424-$G$2+$I$2</f>
        <v>25739.9906925883</v>
      </c>
      <c r="S424" s="42" t="n">
        <f aca="false">R424/$K$2</f>
        <v>109.985859473522</v>
      </c>
      <c r="T424" s="43" t="n">
        <f aca="false">S424-$M$2</f>
        <v>-3.97701650456384E-005</v>
      </c>
    </row>
    <row r="425" customFormat="false" ht="15" hidden="false" customHeight="false" outlineLevel="0" collapsed="false">
      <c r="A425" s="5" t="n">
        <v>24</v>
      </c>
      <c r="B425" s="25" t="n">
        <f aca="false">IF(T424&gt;0,B424,D424)</f>
        <v>0.0157174468040466</v>
      </c>
      <c r="C425" s="25" t="n">
        <f aca="false">IF(T424&gt;0,D424,C424)</f>
        <v>0.015717625617981</v>
      </c>
      <c r="D425" s="41" t="n">
        <f aca="false">(B425+C425)/2</f>
        <v>0.0157175362110138</v>
      </c>
      <c r="E425" s="15" t="n">
        <f aca="false">$C$2*(1+IF(E$3&lt;=$O$2,$D425,$D425-($D425-$I$400)*MIN(E$3-$O$2,$Q$2)/$Q$2))</f>
        <v>2234.57857966423</v>
      </c>
      <c r="F425" s="15" t="n">
        <f aca="false">E425*(1+IF(F$3&lt;=$O$2,$D425,$D425-($D425-$I$400)*MIN(F$3-$O$2,$Q$2)/$Q$2))</f>
        <v>2269.70064940646</v>
      </c>
      <c r="G425" s="15" t="n">
        <f aca="false">F425*(1+IF(G$3&lt;=$O$2,$D425,$D425-($D425-$I$400)*MIN(G$3-$O$2,$Q$2)/$Q$2))</f>
        <v>2305.37475155167</v>
      </c>
      <c r="H425" s="15" t="n">
        <f aca="false">G425*(1+IF(H$3&lt;=$O$2,$D425,$D425-($D425-$I$400)*MIN(H$3-$O$2,$Q$2)/$Q$2))</f>
        <v>2341.60956268914</v>
      </c>
      <c r="I425" s="15" t="n">
        <f aca="false">H425*(1+IF(I$3&lt;=$O$2,$D425,$D425-($D425-$I$400)*MIN(I$3-$O$2,$Q$2)/$Q$2))</f>
        <v>2378.41389578276</v>
      </c>
      <c r="J425" s="15" t="n">
        <f aca="false">I425*(1+IF(J$3&lt;=$O$2,$D425,$D425-($D425-$I$400)*MIN(J$3-$O$2,$Q$2)/$Q$2))</f>
        <v>2424.16037755407</v>
      </c>
      <c r="K425" s="15" t="n">
        <f aca="false">J425*(1+IF(K$3&lt;=$O$2,$D425,$D425-($D425-$I$400)*MIN(K$3-$O$2,$Q$2)/$Q$2))</f>
        <v>2479.31129089239</v>
      </c>
      <c r="L425" s="15" t="n">
        <f aca="false">K425*(1+IF(L$3&lt;=$O$2,$D425,$D425-($D425-$I$400)*MIN(L$3-$O$2,$Q$2)/$Q$2))</f>
        <v>2544.43539648161</v>
      </c>
      <c r="M425" s="15" t="n">
        <f aca="false">L425*(1+IF(M$3&lt;=$O$2,$D425,$D425-($D425-$I$400)*MIN(M$3-$O$2,$Q$2)/$Q$2))</f>
        <v>2620.21760654004</v>
      </c>
      <c r="N425" s="15" t="n">
        <f aca="false">M425*(1+IF(N$3&lt;=$O$2,$D425,$D425-($D425-$I$400)*MIN(N$3-$O$2,$Q$2)/$Q$2))</f>
        <v>2707.47085283783</v>
      </c>
      <c r="O425" s="15" t="n">
        <f aca="false">SUMPRODUCT(E425:N425,1/(1+$F$400)^$E$3:$N$3)*$E$2</f>
        <v>8428.41725018155</v>
      </c>
      <c r="P425" s="15" t="n">
        <f aca="false">N425*$E$2*(1+$I$400)/($F$400-$I$400)/(1+$F$400)^$N$3</f>
        <v>15401.9262310681</v>
      </c>
      <c r="Q425" s="15" t="n">
        <f aca="false">O425+P425</f>
        <v>23830.3434812497</v>
      </c>
      <c r="R425" s="15" t="n">
        <f aca="false">Q425-$G$2+$I$2</f>
        <v>25740.0034812497</v>
      </c>
      <c r="S425" s="42" t="n">
        <f aca="false">R425/$K$2</f>
        <v>109.985914118915</v>
      </c>
      <c r="T425" s="43" t="n">
        <f aca="false">S425-$M$2</f>
        <v>1.48752283877229E-005</v>
      </c>
    </row>
    <row r="427" customFormat="false" ht="15" hidden="false" customHeight="false" outlineLevel="0" collapsed="false">
      <c r="A427" s="38" t="s">
        <v>202</v>
      </c>
      <c r="E427" s="5" t="s">
        <v>11</v>
      </c>
      <c r="F427" s="12" t="n">
        <f aca="false">Sensitivity!$B$12</f>
        <v>0.0777967762761046</v>
      </c>
      <c r="G427" s="5" t="s">
        <v>12</v>
      </c>
      <c r="I427" s="12" t="n">
        <f aca="false">Sensitivity!$G$9</f>
        <v>0.0383</v>
      </c>
    </row>
    <row r="428" customFormat="false" ht="23.85" hidden="false" customHeight="false" outlineLevel="0" collapsed="false">
      <c r="A428" s="38" t="s">
        <v>168</v>
      </c>
      <c r="B428" s="28" t="s">
        <v>169</v>
      </c>
      <c r="C428" s="28" t="s">
        <v>170</v>
      </c>
      <c r="D428" s="28" t="s">
        <v>171</v>
      </c>
      <c r="E428" s="28" t="s">
        <v>172</v>
      </c>
      <c r="F428" s="28" t="s">
        <v>173</v>
      </c>
      <c r="G428" s="28" t="s">
        <v>174</v>
      </c>
      <c r="H428" s="28" t="s">
        <v>175</v>
      </c>
      <c r="I428" s="28" t="s">
        <v>176</v>
      </c>
      <c r="J428" s="28" t="s">
        <v>177</v>
      </c>
      <c r="K428" s="28" t="s">
        <v>178</v>
      </c>
      <c r="L428" s="28" t="s">
        <v>179</v>
      </c>
      <c r="M428" s="28" t="s">
        <v>180</v>
      </c>
      <c r="N428" s="28" t="s">
        <v>181</v>
      </c>
      <c r="O428" s="28" t="s">
        <v>182</v>
      </c>
      <c r="P428" s="28" t="s">
        <v>183</v>
      </c>
      <c r="Q428" s="28" t="s">
        <v>184</v>
      </c>
      <c r="R428" s="28" t="s">
        <v>185</v>
      </c>
      <c r="S428" s="28" t="s">
        <v>186</v>
      </c>
      <c r="T428" s="28" t="s">
        <v>187</v>
      </c>
    </row>
    <row r="429" customFormat="false" ht="15" hidden="false" customHeight="false" outlineLevel="0" collapsed="false">
      <c r="A429" s="5" t="n">
        <v>1</v>
      </c>
      <c r="B429" s="24" t="n">
        <v>-0.5</v>
      </c>
      <c r="C429" s="24" t="n">
        <v>1</v>
      </c>
      <c r="D429" s="41" t="n">
        <f aca="false">(B429+C429)/2</f>
        <v>0.25</v>
      </c>
      <c r="E429" s="15" t="n">
        <f aca="false">$C$2*(1+IF(E$3&lt;=$O$2,$D429,$D429-($D429-$I$427)*MIN(E$3-$O$2,$Q$2)/$Q$2))</f>
        <v>2750</v>
      </c>
      <c r="F429" s="15" t="n">
        <f aca="false">E429*(1+IF(F$3&lt;=$O$2,$D429,$D429-($D429-$I$427)*MIN(F$3-$O$2,$Q$2)/$Q$2))</f>
        <v>3437.5</v>
      </c>
      <c r="G429" s="15" t="n">
        <f aca="false">F429*(1+IF(G$3&lt;=$O$2,$D429,$D429-($D429-$I$427)*MIN(G$3-$O$2,$Q$2)/$Q$2))</f>
        <v>4296.875</v>
      </c>
      <c r="H429" s="15" t="n">
        <f aca="false">G429*(1+IF(H$3&lt;=$O$2,$D429,$D429-($D429-$I$427)*MIN(H$3-$O$2,$Q$2)/$Q$2))</f>
        <v>5371.09375</v>
      </c>
      <c r="I429" s="15" t="n">
        <f aca="false">H429*(1+IF(I$3&lt;=$O$2,$D429,$D429-($D429-$I$427)*MIN(I$3-$O$2,$Q$2)/$Q$2))</f>
        <v>6713.8671875</v>
      </c>
      <c r="J429" s="15" t="n">
        <f aca="false">I429*(1+IF(J$3&lt;=$O$2,$D429,$D429-($D429-$I$427)*MIN(J$3-$O$2,$Q$2)/$Q$2))</f>
        <v>8108.06884765625</v>
      </c>
      <c r="K429" s="15" t="n">
        <f aca="false">J429*(1+IF(K$3&lt;=$O$2,$D429,$D429-($D429-$I$427)*MIN(K$3-$O$2,$Q$2)/$Q$2))</f>
        <v>9448.49478955078</v>
      </c>
      <c r="L429" s="15" t="n">
        <f aca="false">K429*(1+IF(L$3&lt;=$O$2,$D429,$D429-($D429-$I$427)*MIN(L$3-$O$2,$Q$2)/$Q$2))</f>
        <v>10610.4706787697</v>
      </c>
      <c r="M429" s="15" t="n">
        <f aca="false">L429*(1+IF(M$3&lt;=$O$2,$D429,$D429-($D429-$I$427)*MIN(M$3-$O$2,$Q$2)/$Q$2))</f>
        <v>11466.0990343057</v>
      </c>
      <c r="N429" s="15" t="n">
        <f aca="false">M429*(1+IF(N$3&lt;=$O$2,$D429,$D429-($D429-$I$427)*MIN(N$3-$O$2,$Q$2)/$Q$2))</f>
        <v>11905.2506273196</v>
      </c>
      <c r="O429" s="15" t="n">
        <f aca="false">SUMPRODUCT(E429:N429,1/(1+$F$427)^$E$3:$N$3)*$E$2</f>
        <v>23629.8761756494</v>
      </c>
      <c r="P429" s="15" t="n">
        <f aca="false">N429*$E$2*(1+$I$427)/($F$427-$I$427)/(1+$F$427)^$N$3</f>
        <v>76667.8199620283</v>
      </c>
      <c r="Q429" s="15" t="n">
        <f aca="false">O429+P429</f>
        <v>100297.696137678</v>
      </c>
      <c r="R429" s="15" t="n">
        <f aca="false">Q429-$G$2+$I$2</f>
        <v>102207.356137678</v>
      </c>
      <c r="S429" s="42" t="n">
        <f aca="false">R429/$K$2</f>
        <v>436.727582522231</v>
      </c>
      <c r="T429" s="43" t="n">
        <f aca="false">S429-$M$2</f>
        <v>326.741683278544</v>
      </c>
    </row>
    <row r="430" customFormat="false" ht="15" hidden="false" customHeight="false" outlineLevel="0" collapsed="false">
      <c r="A430" s="5" t="n">
        <v>2</v>
      </c>
      <c r="B430" s="25" t="n">
        <f aca="false">IF(T429&gt;0,B429,D429)</f>
        <v>-0.5</v>
      </c>
      <c r="C430" s="25" t="n">
        <f aca="false">IF(T429&gt;0,D429,C429)</f>
        <v>0.25</v>
      </c>
      <c r="D430" s="41" t="n">
        <f aca="false">(B430+C430)/2</f>
        <v>-0.125</v>
      </c>
      <c r="E430" s="15" t="n">
        <f aca="false">$C$2*(1+IF(E$3&lt;=$O$2,$D430,$D430-($D430-$I$427)*MIN(E$3-$O$2,$Q$2)/$Q$2))</f>
        <v>1925</v>
      </c>
      <c r="F430" s="15" t="n">
        <f aca="false">E430*(1+IF(F$3&lt;=$O$2,$D430,$D430-($D430-$I$427)*MIN(F$3-$O$2,$Q$2)/$Q$2))</f>
        <v>1684.375</v>
      </c>
      <c r="G430" s="15" t="n">
        <f aca="false">F430*(1+IF(G$3&lt;=$O$2,$D430,$D430-($D430-$I$427)*MIN(G$3-$O$2,$Q$2)/$Q$2))</f>
        <v>1473.828125</v>
      </c>
      <c r="H430" s="15" t="n">
        <f aca="false">G430*(1+IF(H$3&lt;=$O$2,$D430,$D430-($D430-$I$427)*MIN(H$3-$O$2,$Q$2)/$Q$2))</f>
        <v>1289.599609375</v>
      </c>
      <c r="I430" s="15" t="n">
        <f aca="false">H430*(1+IF(I$3&lt;=$O$2,$D430,$D430-($D430-$I$427)*MIN(I$3-$O$2,$Q$2)/$Q$2))</f>
        <v>1128.39965820313</v>
      </c>
      <c r="J430" s="15" t="n">
        <f aca="false">I430*(1+IF(J$3&lt;=$O$2,$D430,$D430-($D430-$I$427)*MIN(J$3-$O$2,$Q$2)/$Q$2))</f>
        <v>1024.20323376465</v>
      </c>
      <c r="K430" s="15" t="n">
        <f aca="false">J430*(1+IF(K$3&lt;=$O$2,$D430,$D430-($D430-$I$427)*MIN(K$3-$O$2,$Q$2)/$Q$2))</f>
        <v>963.078784773574</v>
      </c>
      <c r="L430" s="15" t="n">
        <f aca="false">K430*(1+IF(L$3&lt;=$O$2,$D430,$D430-($D430-$I$427)*MIN(L$3-$O$2,$Q$2)/$Q$2))</f>
        <v>937.056396008992</v>
      </c>
      <c r="M430" s="15" t="n">
        <f aca="false">L430*(1+IF(M$3&lt;=$O$2,$D430,$D430-($D430-$I$427)*MIN(M$3-$O$2,$Q$2)/$Q$2))</f>
        <v>942.341394082483</v>
      </c>
      <c r="N430" s="15" t="n">
        <f aca="false">M430*(1+IF(N$3&lt;=$O$2,$D430,$D430-($D430-$I$427)*MIN(N$3-$O$2,$Q$2)/$Q$2))</f>
        <v>978.433069475842</v>
      </c>
      <c r="O430" s="15" t="n">
        <f aca="false">SUMPRODUCT(E430:N430,1/(1+$F$427)^$E$3:$N$3)*$E$2</f>
        <v>4573.18446286245</v>
      </c>
      <c r="P430" s="15" t="n">
        <f aca="false">N430*$E$2*(1+$I$427)/($F$427-$I$427)/(1+$F$427)^$N$3</f>
        <v>6300.94508412356</v>
      </c>
      <c r="Q430" s="15" t="n">
        <f aca="false">O430+P430</f>
        <v>10874.129546986</v>
      </c>
      <c r="R430" s="15" t="n">
        <f aca="false">Q430-$G$2+$I$2</f>
        <v>12783.789546986</v>
      </c>
      <c r="S430" s="42" t="n">
        <f aca="false">R430/$K$2</f>
        <v>54.6245761098407</v>
      </c>
      <c r="T430" s="43" t="n">
        <f aca="false">S430-$M$2</f>
        <v>-55.3613231338461</v>
      </c>
    </row>
    <row r="431" customFormat="false" ht="15" hidden="false" customHeight="false" outlineLevel="0" collapsed="false">
      <c r="A431" s="5" t="n">
        <v>3</v>
      </c>
      <c r="B431" s="25" t="n">
        <f aca="false">IF(T430&gt;0,B430,D430)</f>
        <v>-0.125</v>
      </c>
      <c r="C431" s="25" t="n">
        <f aca="false">IF(T430&gt;0,D430,C430)</f>
        <v>0.25</v>
      </c>
      <c r="D431" s="41" t="n">
        <f aca="false">(B431+C431)/2</f>
        <v>0.0625</v>
      </c>
      <c r="E431" s="15" t="n">
        <f aca="false">$C$2*(1+IF(E$3&lt;=$O$2,$D431,$D431-($D431-$I$427)*MIN(E$3-$O$2,$Q$2)/$Q$2))</f>
        <v>2337.5</v>
      </c>
      <c r="F431" s="15" t="n">
        <f aca="false">E431*(1+IF(F$3&lt;=$O$2,$D431,$D431-($D431-$I$427)*MIN(F$3-$O$2,$Q$2)/$Q$2))</f>
        <v>2483.59375</v>
      </c>
      <c r="G431" s="15" t="n">
        <f aca="false">F431*(1+IF(G$3&lt;=$O$2,$D431,$D431-($D431-$I$427)*MIN(G$3-$O$2,$Q$2)/$Q$2))</f>
        <v>2638.818359375</v>
      </c>
      <c r="H431" s="15" t="n">
        <f aca="false">G431*(1+IF(H$3&lt;=$O$2,$D431,$D431-($D431-$I$427)*MIN(H$3-$O$2,$Q$2)/$Q$2))</f>
        <v>2803.74450683594</v>
      </c>
      <c r="I431" s="15" t="n">
        <f aca="false">H431*(1+IF(I$3&lt;=$O$2,$D431,$D431-($D431-$I$427)*MIN(I$3-$O$2,$Q$2)/$Q$2))</f>
        <v>2978.97853851318</v>
      </c>
      <c r="J431" s="15" t="n">
        <f aca="false">I431*(1+IF(J$3&lt;=$O$2,$D431,$D431-($D431-$I$427)*MIN(J$3-$O$2,$Q$2)/$Q$2))</f>
        <v>3150.74644104385</v>
      </c>
      <c r="K431" s="15" t="n">
        <f aca="false">J431*(1+IF(K$3&lt;=$O$2,$D431,$D431-($D431-$I$427)*MIN(K$3-$O$2,$Q$2)/$Q$2))</f>
        <v>3317.16886805979</v>
      </c>
      <c r="L431" s="15" t="n">
        <f aca="false">K431*(1+IF(L$3&lt;=$O$2,$D431,$D431-($D431-$I$427)*MIN(L$3-$O$2,$Q$2)/$Q$2))</f>
        <v>3476.3266303493</v>
      </c>
      <c r="M431" s="15" t="n">
        <f aca="false">L431*(1+IF(M$3&lt;=$O$2,$D431,$D431-($D431-$I$427)*MIN(M$3-$O$2,$Q$2)/$Q$2))</f>
        <v>3626.29536118257</v>
      </c>
      <c r="N431" s="15" t="n">
        <f aca="false">M431*(1+IF(N$3&lt;=$O$2,$D431,$D431-($D431-$I$427)*MIN(N$3-$O$2,$Q$2)/$Q$2))</f>
        <v>3765.18247351586</v>
      </c>
      <c r="O431" s="15" t="n">
        <f aca="false">SUMPRODUCT(E431:N431,1/(1+$F$427)^$E$3:$N$3)*$E$2</f>
        <v>10389.841332459</v>
      </c>
      <c r="P431" s="15" t="n">
        <f aca="false">N431*$E$2*(1+$I$427)/($F$427-$I$427)/(1+$F$427)^$N$3</f>
        <v>24247.1444776874</v>
      </c>
      <c r="Q431" s="15" t="n">
        <f aca="false">O431+P431</f>
        <v>34636.9858101464</v>
      </c>
      <c r="R431" s="15" t="n">
        <f aca="false">Q431-$G$2+$I$2</f>
        <v>36546.6458101464</v>
      </c>
      <c r="S431" s="42" t="n">
        <f aca="false">R431/$K$2</f>
        <v>156.16222625367</v>
      </c>
      <c r="T431" s="43" t="n">
        <f aca="false">S431-$M$2</f>
        <v>46.1763270099835</v>
      </c>
    </row>
    <row r="432" customFormat="false" ht="15" hidden="false" customHeight="false" outlineLevel="0" collapsed="false">
      <c r="A432" s="5" t="n">
        <v>4</v>
      </c>
      <c r="B432" s="25" t="n">
        <f aca="false">IF(T431&gt;0,B431,D431)</f>
        <v>-0.125</v>
      </c>
      <c r="C432" s="25" t="n">
        <f aca="false">IF(T431&gt;0,D431,C431)</f>
        <v>0.0625</v>
      </c>
      <c r="D432" s="41" t="n">
        <f aca="false">(B432+C432)/2</f>
        <v>-0.03125</v>
      </c>
      <c r="E432" s="15" t="n">
        <f aca="false">$C$2*(1+IF(E$3&lt;=$O$2,$D432,$D432-($D432-$I$427)*MIN(E$3-$O$2,$Q$2)/$Q$2))</f>
        <v>2131.25</v>
      </c>
      <c r="F432" s="15" t="n">
        <f aca="false">E432*(1+IF(F$3&lt;=$O$2,$D432,$D432-($D432-$I$427)*MIN(F$3-$O$2,$Q$2)/$Q$2))</f>
        <v>2064.6484375</v>
      </c>
      <c r="G432" s="15" t="n">
        <f aca="false">F432*(1+IF(G$3&lt;=$O$2,$D432,$D432-($D432-$I$427)*MIN(G$3-$O$2,$Q$2)/$Q$2))</f>
        <v>2000.12817382813</v>
      </c>
      <c r="H432" s="15" t="n">
        <f aca="false">G432*(1+IF(H$3&lt;=$O$2,$D432,$D432-($D432-$I$427)*MIN(H$3-$O$2,$Q$2)/$Q$2))</f>
        <v>1937.624168396</v>
      </c>
      <c r="I432" s="15" t="n">
        <f aca="false">H432*(1+IF(I$3&lt;=$O$2,$D432,$D432-($D432-$I$427)*MIN(I$3-$O$2,$Q$2)/$Q$2))</f>
        <v>1877.07341313362</v>
      </c>
      <c r="J432" s="15" t="n">
        <f aca="false">I432*(1+IF(J$3&lt;=$O$2,$D432,$D432-($D432-$I$427)*MIN(J$3-$O$2,$Q$2)/$Q$2))</f>
        <v>1844.52496014988</v>
      </c>
      <c r="K432" s="15" t="n">
        <f aca="false">J432*(1+IF(K$3&lt;=$O$2,$D432,$D432-($D432-$I$427)*MIN(K$3-$O$2,$Q$2)/$Q$2))</f>
        <v>1838.19823953657</v>
      </c>
      <c r="L432" s="15" t="n">
        <f aca="false">K432*(1+IF(L$3&lt;=$O$2,$D432,$D432-($D432-$I$427)*MIN(L$3-$O$2,$Q$2)/$Q$2))</f>
        <v>1857.46255708691</v>
      </c>
      <c r="M432" s="15" t="n">
        <f aca="false">L432*(1+IF(M$3&lt;=$O$2,$D432,$D432-($D432-$I$427)*MIN(M$3-$O$2,$Q$2)/$Q$2))</f>
        <v>1902.76606885426</v>
      </c>
      <c r="N432" s="15" t="n">
        <f aca="false">M432*(1+IF(N$3&lt;=$O$2,$D432,$D432-($D432-$I$427)*MIN(N$3-$O$2,$Q$2)/$Q$2))</f>
        <v>1975.64200929138</v>
      </c>
      <c r="O432" s="15" t="n">
        <f aca="false">SUMPRODUCT(E432:N432,1/(1+$F$427)^$E$3:$N$3)*$E$2</f>
        <v>6874.74623399458</v>
      </c>
      <c r="P432" s="15" t="n">
        <f aca="false">N432*$E$2*(1+$I$427)/($F$427-$I$427)/(1+$F$427)^$N$3</f>
        <v>12722.8036283578</v>
      </c>
      <c r="Q432" s="15" t="n">
        <f aca="false">O432+P432</f>
        <v>19597.5498623524</v>
      </c>
      <c r="R432" s="15" t="n">
        <f aca="false">Q432-$G$2+$I$2</f>
        <v>21507.2098623524</v>
      </c>
      <c r="S432" s="42" t="n">
        <f aca="false">R432/$K$2</f>
        <v>91.8993712872384</v>
      </c>
      <c r="T432" s="43" t="n">
        <f aca="false">S432-$M$2</f>
        <v>-18.0865279564484</v>
      </c>
    </row>
    <row r="433" customFormat="false" ht="15" hidden="false" customHeight="false" outlineLevel="0" collapsed="false">
      <c r="A433" s="5" t="n">
        <v>5</v>
      </c>
      <c r="B433" s="25" t="n">
        <f aca="false">IF(T432&gt;0,B432,D432)</f>
        <v>-0.03125</v>
      </c>
      <c r="C433" s="25" t="n">
        <f aca="false">IF(T432&gt;0,D432,C432)</f>
        <v>0.0625</v>
      </c>
      <c r="D433" s="41" t="n">
        <f aca="false">(B433+C433)/2</f>
        <v>0.015625</v>
      </c>
      <c r="E433" s="15" t="n">
        <f aca="false">$C$2*(1+IF(E$3&lt;=$O$2,$D433,$D433-($D433-$I$427)*MIN(E$3-$O$2,$Q$2)/$Q$2))</f>
        <v>2234.375</v>
      </c>
      <c r="F433" s="15" t="n">
        <f aca="false">E433*(1+IF(F$3&lt;=$O$2,$D433,$D433-($D433-$I$427)*MIN(F$3-$O$2,$Q$2)/$Q$2))</f>
        <v>2269.287109375</v>
      </c>
      <c r="G433" s="15" t="n">
        <f aca="false">F433*(1+IF(G$3&lt;=$O$2,$D433,$D433-($D433-$I$427)*MIN(G$3-$O$2,$Q$2)/$Q$2))</f>
        <v>2304.74472045898</v>
      </c>
      <c r="H433" s="15" t="n">
        <f aca="false">G433*(1+IF(H$3&lt;=$O$2,$D433,$D433-($D433-$I$427)*MIN(H$3-$O$2,$Q$2)/$Q$2))</f>
        <v>2340.75635671616</v>
      </c>
      <c r="I433" s="15" t="n">
        <f aca="false">H433*(1+IF(I$3&lt;=$O$2,$D433,$D433-($D433-$I$427)*MIN(I$3-$O$2,$Q$2)/$Q$2))</f>
        <v>2377.33067478985</v>
      </c>
      <c r="J433" s="15" t="n">
        <f aca="false">I433*(1+IF(J$3&lt;=$O$2,$D433,$D433-($D433-$I$427)*MIN(J$3-$O$2,$Q$2)/$Q$2))</f>
        <v>2425.25766119361</v>
      </c>
      <c r="K433" s="15" t="n">
        <f aca="false">J433*(1+IF(K$3&lt;=$O$2,$D433,$D433-($D433-$I$427)*MIN(K$3-$O$2,$Q$2)/$Q$2))</f>
        <v>2485.14939913679</v>
      </c>
      <c r="L433" s="15" t="n">
        <f aca="false">K433*(1+IF(L$3&lt;=$O$2,$D433,$D433-($D433-$I$427)*MIN(L$3-$O$2,$Q$2)/$Q$2))</f>
        <v>2557.79031607355</v>
      </c>
      <c r="M433" s="15" t="n">
        <f aca="false">L433*(1+IF(M$3&lt;=$O$2,$D433,$D433-($D433-$I$427)*MIN(M$3-$O$2,$Q$2)/$Q$2))</f>
        <v>2644.15410609578</v>
      </c>
      <c r="N433" s="15" t="n">
        <f aca="false">M433*(1+IF(N$3&lt;=$O$2,$D433,$D433-($D433-$I$427)*MIN(N$3-$O$2,$Q$2)/$Q$2))</f>
        <v>2745.42520835925</v>
      </c>
      <c r="O433" s="15" t="n">
        <f aca="false">SUMPRODUCT(E433:N433,1/(1+$F$427)^$E$3:$N$3)*$E$2</f>
        <v>8448.73188587372</v>
      </c>
      <c r="P433" s="15" t="n">
        <f aca="false">N433*$E$2*(1+$I$427)/($F$427-$I$427)/(1+$F$427)^$N$3</f>
        <v>17680.0784950035</v>
      </c>
      <c r="Q433" s="15" t="n">
        <f aca="false">O433+P433</f>
        <v>26128.8103808772</v>
      </c>
      <c r="R433" s="15" t="n">
        <f aca="false">Q433-$G$2+$I$2</f>
        <v>28038.4703808772</v>
      </c>
      <c r="S433" s="42" t="n">
        <f aca="false">R433/$K$2</f>
        <v>119.807163102496</v>
      </c>
      <c r="T433" s="43" t="n">
        <f aca="false">S433-$M$2</f>
        <v>9.82126385880959</v>
      </c>
    </row>
    <row r="434" customFormat="false" ht="15" hidden="false" customHeight="false" outlineLevel="0" collapsed="false">
      <c r="A434" s="5" t="n">
        <v>6</v>
      </c>
      <c r="B434" s="25" t="n">
        <f aca="false">IF(T433&gt;0,B433,D433)</f>
        <v>-0.03125</v>
      </c>
      <c r="C434" s="25" t="n">
        <f aca="false">IF(T433&gt;0,D433,C433)</f>
        <v>0.015625</v>
      </c>
      <c r="D434" s="41" t="n">
        <f aca="false">(B434+C434)/2</f>
        <v>-0.0078125</v>
      </c>
      <c r="E434" s="15" t="n">
        <f aca="false">$C$2*(1+IF(E$3&lt;=$O$2,$D434,$D434-($D434-$I$427)*MIN(E$3-$O$2,$Q$2)/$Q$2))</f>
        <v>2182.8125</v>
      </c>
      <c r="F434" s="15" t="n">
        <f aca="false">E434*(1+IF(F$3&lt;=$O$2,$D434,$D434-($D434-$I$427)*MIN(F$3-$O$2,$Q$2)/$Q$2))</f>
        <v>2165.75927734375</v>
      </c>
      <c r="G434" s="15" t="n">
        <f aca="false">F434*(1+IF(G$3&lt;=$O$2,$D434,$D434-($D434-$I$427)*MIN(G$3-$O$2,$Q$2)/$Q$2))</f>
        <v>2148.8392829895</v>
      </c>
      <c r="H434" s="15" t="n">
        <f aca="false">G434*(1+IF(H$3&lt;=$O$2,$D434,$D434-($D434-$I$427)*MIN(H$3-$O$2,$Q$2)/$Q$2))</f>
        <v>2132.05147609115</v>
      </c>
      <c r="I434" s="15" t="n">
        <f aca="false">H434*(1+IF(I$3&lt;=$O$2,$D434,$D434-($D434-$I$427)*MIN(I$3-$O$2,$Q$2)/$Q$2))</f>
        <v>2115.39482393418</v>
      </c>
      <c r="J434" s="15" t="n">
        <f aca="false">I434*(1+IF(J$3&lt;=$O$2,$D434,$D434-($D434-$I$427)*MIN(J$3-$O$2,$Q$2)/$Q$2))</f>
        <v>2118.37753063593</v>
      </c>
      <c r="K434" s="15" t="n">
        <f aca="false">J434*(1+IF(K$3&lt;=$O$2,$D434,$D434-($D434-$I$427)*MIN(K$3-$O$2,$Q$2)/$Q$2))</f>
        <v>2140.90117973042</v>
      </c>
      <c r="L434" s="15" t="n">
        <f aca="false">K434*(1+IF(L$3&lt;=$O$2,$D434,$D434-($D434-$I$427)*MIN(L$3-$O$2,$Q$2)/$Q$2))</f>
        <v>2183.40877265397</v>
      </c>
      <c r="M434" s="15" t="n">
        <f aca="false">L434*(1+IF(M$3&lt;=$O$2,$D434,$D434-($D434-$I$427)*MIN(M$3-$O$2,$Q$2)/$Q$2))</f>
        <v>2246.89684124081</v>
      </c>
      <c r="N434" s="15" t="n">
        <f aca="false">M434*(1+IF(N$3&lt;=$O$2,$D434,$D434-($D434-$I$427)*MIN(N$3-$O$2,$Q$2)/$Q$2))</f>
        <v>2332.95299026033</v>
      </c>
      <c r="O434" s="15" t="n">
        <f aca="false">SUMPRODUCT(E434:N434,1/(1+$F$427)^$E$3:$N$3)*$E$2</f>
        <v>7620.27162941666</v>
      </c>
      <c r="P434" s="15" t="n">
        <f aca="false">N434*$E$2*(1+$I$427)/($F$427-$I$427)/(1+$F$427)^$N$3</f>
        <v>15023.8264977563</v>
      </c>
      <c r="Q434" s="15" t="n">
        <f aca="false">O434+P434</f>
        <v>22644.098127173</v>
      </c>
      <c r="R434" s="15" t="n">
        <f aca="false">Q434-$G$2+$I$2</f>
        <v>24553.758127173</v>
      </c>
      <c r="S434" s="42" t="n">
        <f aca="false">R434/$K$2</f>
        <v>104.91713937176</v>
      </c>
      <c r="T434" s="43" t="n">
        <f aca="false">S434-$M$2</f>
        <v>-5.06875987192674</v>
      </c>
    </row>
    <row r="435" customFormat="false" ht="15" hidden="false" customHeight="false" outlineLevel="0" collapsed="false">
      <c r="A435" s="5" t="n">
        <v>7</v>
      </c>
      <c r="B435" s="25" t="n">
        <f aca="false">IF(T434&gt;0,B434,D434)</f>
        <v>-0.0078125</v>
      </c>
      <c r="C435" s="25" t="n">
        <f aca="false">IF(T434&gt;0,D434,C434)</f>
        <v>0.015625</v>
      </c>
      <c r="D435" s="41" t="n">
        <f aca="false">(B435+C435)/2</f>
        <v>0.00390625</v>
      </c>
      <c r="E435" s="15" t="n">
        <f aca="false">$C$2*(1+IF(E$3&lt;=$O$2,$D435,$D435-($D435-$I$427)*MIN(E$3-$O$2,$Q$2)/$Q$2))</f>
        <v>2208.59375</v>
      </c>
      <c r="F435" s="15" t="n">
        <f aca="false">E435*(1+IF(F$3&lt;=$O$2,$D435,$D435-($D435-$I$427)*MIN(F$3-$O$2,$Q$2)/$Q$2))</f>
        <v>2217.22106933594</v>
      </c>
      <c r="G435" s="15" t="n">
        <f aca="false">F435*(1+IF(G$3&lt;=$O$2,$D435,$D435-($D435-$I$427)*MIN(G$3-$O$2,$Q$2)/$Q$2))</f>
        <v>2225.88208913803</v>
      </c>
      <c r="H435" s="15" t="n">
        <f aca="false">G435*(1+IF(H$3&lt;=$O$2,$D435,$D435-($D435-$I$427)*MIN(H$3-$O$2,$Q$2)/$Q$2))</f>
        <v>2234.57694104873</v>
      </c>
      <c r="I435" s="15" t="n">
        <f aca="false">H435*(1+IF(I$3&lt;=$O$2,$D435,$D435-($D435-$I$427)*MIN(I$3-$O$2,$Q$2)/$Q$2))</f>
        <v>2243.3057572247</v>
      </c>
      <c r="J435" s="15" t="n">
        <f aca="false">I435*(1+IF(J$3&lt;=$O$2,$D435,$D435-($D435-$I$427)*MIN(J$3-$O$2,$Q$2)/$Q$2))</f>
        <v>2267.49980981637</v>
      </c>
      <c r="K435" s="15" t="n">
        <f aca="false">J435*(1+IF(K$3&lt;=$O$2,$D435,$D435-($D435-$I$427)*MIN(K$3-$O$2,$Q$2)/$Q$2))</f>
        <v>2307.55235958201</v>
      </c>
      <c r="L435" s="15" t="n">
        <f aca="false">K435*(1+IF(L$3&lt;=$O$2,$D435,$D435-($D435-$I$427)*MIN(L$3-$O$2,$Q$2)/$Q$2))</f>
        <v>2364.18546336705</v>
      </c>
      <c r="M435" s="15" t="n">
        <f aca="false">L435*(1+IF(M$3&lt;=$O$2,$D435,$D435-($D435-$I$427)*MIN(M$3-$O$2,$Q$2)/$Q$2))</f>
        <v>2438.47112585787</v>
      </c>
      <c r="N435" s="15" t="n">
        <f aca="false">M435*(1+IF(N$3&lt;=$O$2,$D435,$D435-($D435-$I$427)*MIN(N$3-$O$2,$Q$2)/$Q$2))</f>
        <v>2531.86456997823</v>
      </c>
      <c r="O435" s="15" t="n">
        <f aca="false">SUMPRODUCT(E435:N435,1/(1+$F$427)^$E$3:$N$3)*$E$2</f>
        <v>8023.61167598529</v>
      </c>
      <c r="P435" s="15" t="n">
        <f aca="false">N435*$E$2*(1+$I$427)/($F$427-$I$427)/(1+$F$427)^$N$3</f>
        <v>16304.7837543116</v>
      </c>
      <c r="Q435" s="15" t="n">
        <f aca="false">O435+P435</f>
        <v>24328.3954302969</v>
      </c>
      <c r="R435" s="15" t="n">
        <f aca="false">Q435-$G$2+$I$2</f>
        <v>26238.0554302969</v>
      </c>
      <c r="S435" s="42" t="n">
        <f aca="false">R435/$K$2</f>
        <v>112.114068411301</v>
      </c>
      <c r="T435" s="43" t="n">
        <f aca="false">S435-$M$2</f>
        <v>2.12816916761476</v>
      </c>
    </row>
    <row r="436" customFormat="false" ht="15" hidden="false" customHeight="false" outlineLevel="0" collapsed="false">
      <c r="A436" s="5" t="n">
        <v>8</v>
      </c>
      <c r="B436" s="25" t="n">
        <f aca="false">IF(T435&gt;0,B435,D435)</f>
        <v>-0.0078125</v>
      </c>
      <c r="C436" s="25" t="n">
        <f aca="false">IF(T435&gt;0,D435,C435)</f>
        <v>0.00390625</v>
      </c>
      <c r="D436" s="41" t="n">
        <f aca="false">(B436+C436)/2</f>
        <v>-0.001953125</v>
      </c>
      <c r="E436" s="15" t="n">
        <f aca="false">$C$2*(1+IF(E$3&lt;=$O$2,$D436,$D436-($D436-$I$427)*MIN(E$3-$O$2,$Q$2)/$Q$2))</f>
        <v>2195.703125</v>
      </c>
      <c r="F436" s="15" t="n">
        <f aca="false">E436*(1+IF(F$3&lt;=$O$2,$D436,$D436-($D436-$I$427)*MIN(F$3-$O$2,$Q$2)/$Q$2))</f>
        <v>2191.41464233398</v>
      </c>
      <c r="G436" s="15" t="n">
        <f aca="false">F436*(1+IF(G$3&lt;=$O$2,$D436,$D436-($D436-$I$427)*MIN(G$3-$O$2,$Q$2)/$Q$2))</f>
        <v>2187.13453561068</v>
      </c>
      <c r="H436" s="15" t="n">
        <f aca="false">G436*(1+IF(H$3&lt;=$O$2,$D436,$D436-($D436-$I$427)*MIN(H$3-$O$2,$Q$2)/$Q$2))</f>
        <v>2182.86278847081</v>
      </c>
      <c r="I436" s="15" t="n">
        <f aca="false">H436*(1+IF(I$3&lt;=$O$2,$D436,$D436-($D436-$I$427)*MIN(I$3-$O$2,$Q$2)/$Q$2))</f>
        <v>2178.59938458708</v>
      </c>
      <c r="J436" s="15" t="n">
        <f aca="false">I436*(1+IF(J$3&lt;=$O$2,$D436,$D436-($D436-$I$427)*MIN(J$3-$O$2,$Q$2)/$Q$2))</f>
        <v>2191.8833943346</v>
      </c>
      <c r="K436" s="15" t="n">
        <f aca="false">J436*(1+IF(K$3&lt;=$O$2,$D436,$D436-($D436-$I$427)*MIN(K$3-$O$2,$Q$2)/$Q$2))</f>
        <v>2222.89443458307</v>
      </c>
      <c r="L436" s="15" t="n">
        <f aca="false">K436*(1+IF(L$3&lt;=$O$2,$D436,$D436-($D436-$I$427)*MIN(L$3-$O$2,$Q$2)/$Q$2))</f>
        <v>2272.23991241277</v>
      </c>
      <c r="M436" s="15" t="n">
        <f aca="false">L436*(1+IF(M$3&lt;=$O$2,$D436,$D436-($D436-$I$427)*MIN(M$3-$O$2,$Q$2)/$Q$2))</f>
        <v>2340.97374961331</v>
      </c>
      <c r="N436" s="15" t="n">
        <f aca="false">M436*(1+IF(N$3&lt;=$O$2,$D436,$D436-($D436-$I$427)*MIN(N$3-$O$2,$Q$2)/$Q$2))</f>
        <v>2430.6330442235</v>
      </c>
      <c r="O436" s="15" t="n">
        <f aca="false">SUMPRODUCT(E436:N436,1/(1+$F$427)^$E$3:$N$3)*$E$2</f>
        <v>7819.28631659889</v>
      </c>
      <c r="P436" s="15" t="n">
        <f aca="false">N436*$E$2*(1+$I$427)/($F$427-$I$427)/(1+$F$427)^$N$3</f>
        <v>15652.8696842932</v>
      </c>
      <c r="Q436" s="15" t="n">
        <f aca="false">O436+P436</f>
        <v>23472.1560008921</v>
      </c>
      <c r="R436" s="15" t="n">
        <f aca="false">Q436-$G$2+$I$2</f>
        <v>25381.8160008921</v>
      </c>
      <c r="S436" s="42" t="n">
        <f aca="false">R436/$K$2</f>
        <v>108.455394611341</v>
      </c>
      <c r="T436" s="43" t="n">
        <f aca="false">S436-$M$2</f>
        <v>-1.53050463234588</v>
      </c>
    </row>
    <row r="437" customFormat="false" ht="15" hidden="false" customHeight="false" outlineLevel="0" collapsed="false">
      <c r="A437" s="5" t="n">
        <v>9</v>
      </c>
      <c r="B437" s="25" t="n">
        <f aca="false">IF(T436&gt;0,B436,D436)</f>
        <v>-0.001953125</v>
      </c>
      <c r="C437" s="25" t="n">
        <f aca="false">IF(T436&gt;0,D436,C436)</f>
        <v>0.00390625</v>
      </c>
      <c r="D437" s="41" t="n">
        <f aca="false">(B437+C437)/2</f>
        <v>0.0009765625</v>
      </c>
      <c r="E437" s="15" t="n">
        <f aca="false">$C$2*(1+IF(E$3&lt;=$O$2,$D437,$D437-($D437-$I$427)*MIN(E$3-$O$2,$Q$2)/$Q$2))</f>
        <v>2202.1484375</v>
      </c>
      <c r="F437" s="15" t="n">
        <f aca="false">E437*(1+IF(F$3&lt;=$O$2,$D437,$D437-($D437-$I$427)*MIN(F$3-$O$2,$Q$2)/$Q$2))</f>
        <v>2204.2989730835</v>
      </c>
      <c r="G437" s="15" t="n">
        <f aca="false">F437*(1+IF(G$3&lt;=$O$2,$D437,$D437-($D437-$I$427)*MIN(G$3-$O$2,$Q$2)/$Q$2))</f>
        <v>2206.4516087994</v>
      </c>
      <c r="H437" s="15" t="n">
        <f aca="false">G437*(1+IF(H$3&lt;=$O$2,$D437,$D437-($D437-$I$427)*MIN(H$3-$O$2,$Q$2)/$Q$2))</f>
        <v>2208.60634669862</v>
      </c>
      <c r="I437" s="15" t="n">
        <f aca="false">H437*(1+IF(I$3&lt;=$O$2,$D437,$D437-($D437-$I$427)*MIN(I$3-$O$2,$Q$2)/$Q$2))</f>
        <v>2210.76318883406</v>
      </c>
      <c r="J437" s="15" t="n">
        <f aca="false">I437*(1+IF(J$3&lt;=$O$2,$D437,$D437-($D437-$I$427)*MIN(J$3-$O$2,$Q$2)/$Q$2))</f>
        <v>2229.42479360181</v>
      </c>
      <c r="K437" s="15" t="n">
        <f aca="false">J437*(1+IF(K$3&lt;=$O$2,$D437,$D437-($D437-$I$427)*MIN(K$3-$O$2,$Q$2)/$Q$2))</f>
        <v>2264.88588502979</v>
      </c>
      <c r="L437" s="15" t="n">
        <f aca="false">K437*(1+IF(L$3&lt;=$O$2,$D437,$D437-($D437-$I$427)*MIN(L$3-$O$2,$Q$2)/$Q$2))</f>
        <v>2317.81768371661</v>
      </c>
      <c r="M437" s="15" t="n">
        <f aca="false">L437*(1+IF(M$3&lt;=$O$2,$D437,$D437-($D437-$I$427)*MIN(M$3-$O$2,$Q$2)/$Q$2))</f>
        <v>2389.28831631204</v>
      </c>
      <c r="N437" s="15" t="n">
        <f aca="false">M437*(1+IF(N$3&lt;=$O$2,$D437,$D437-($D437-$I$427)*MIN(N$3-$O$2,$Q$2)/$Q$2))</f>
        <v>2480.79805882679</v>
      </c>
      <c r="O437" s="15" t="n">
        <f aca="false">SUMPRODUCT(E437:N437,1/(1+$F$427)^$E$3:$N$3)*$E$2</f>
        <v>7920.77687776144</v>
      </c>
      <c r="P437" s="15" t="n">
        <f aca="false">N437*$E$2*(1+$I$427)/($F$427-$I$427)/(1+$F$427)^$N$3</f>
        <v>15975.9239759158</v>
      </c>
      <c r="Q437" s="15" t="n">
        <f aca="false">O437+P437</f>
        <v>23896.7008536772</v>
      </c>
      <c r="R437" s="15" t="n">
        <f aca="false">Q437-$G$2+$I$2</f>
        <v>25806.3608536772</v>
      </c>
      <c r="S437" s="42" t="n">
        <f aca="false">R437/$K$2</f>
        <v>110.269456282003</v>
      </c>
      <c r="T437" s="43" t="n">
        <f aca="false">S437-$M$2</f>
        <v>0.283557038316431</v>
      </c>
    </row>
    <row r="438" customFormat="false" ht="15" hidden="false" customHeight="false" outlineLevel="0" collapsed="false">
      <c r="A438" s="5" t="n">
        <v>10</v>
      </c>
      <c r="B438" s="25" t="n">
        <f aca="false">IF(T437&gt;0,B437,D437)</f>
        <v>-0.001953125</v>
      </c>
      <c r="C438" s="25" t="n">
        <f aca="false">IF(T437&gt;0,D437,C437)</f>
        <v>0.0009765625</v>
      </c>
      <c r="D438" s="41" t="n">
        <f aca="false">(B438+C438)/2</f>
        <v>-0.00048828125</v>
      </c>
      <c r="E438" s="15" t="n">
        <f aca="false">$C$2*(1+IF(E$3&lt;=$O$2,$D438,$D438-($D438-$I$427)*MIN(E$3-$O$2,$Q$2)/$Q$2))</f>
        <v>2198.92578125</v>
      </c>
      <c r="F438" s="15" t="n">
        <f aca="false">E438*(1+IF(F$3&lt;=$O$2,$D438,$D438-($D438-$I$427)*MIN(F$3-$O$2,$Q$2)/$Q$2))</f>
        <v>2197.85208702087</v>
      </c>
      <c r="G438" s="15" t="n">
        <f aca="false">F438*(1+IF(G$3&lt;=$O$2,$D438,$D438-($D438-$I$427)*MIN(G$3-$O$2,$Q$2)/$Q$2))</f>
        <v>2196.77891705651</v>
      </c>
      <c r="H438" s="15" t="n">
        <f aca="false">G438*(1+IF(H$3&lt;=$O$2,$D438,$D438-($D438-$I$427)*MIN(H$3-$O$2,$Q$2)/$Q$2))</f>
        <v>2195.70627110091</v>
      </c>
      <c r="I438" s="15" t="n">
        <f aca="false">H438*(1+IF(I$3&lt;=$O$2,$D438,$D438-($D438-$I$427)*MIN(I$3-$O$2,$Q$2)/$Q$2))</f>
        <v>2194.63414889823</v>
      </c>
      <c r="J438" s="15" t="n">
        <f aca="false">I438*(1+IF(J$3&lt;=$O$2,$D438,$D438-($D438-$I$427)*MIN(J$3-$O$2,$Q$2)/$Q$2))</f>
        <v>2210.58776751438</v>
      </c>
      <c r="K438" s="15" t="n">
        <f aca="false">J438*(1+IF(K$3&lt;=$O$2,$D438,$D438-($D438-$I$427)*MIN(K$3-$O$2,$Q$2)/$Q$2))</f>
        <v>2243.80633897768</v>
      </c>
      <c r="L438" s="15" t="n">
        <f aca="false">K438*(1+IF(L$3&lt;=$O$2,$D438,$D438-($D438-$I$427)*MIN(L$3-$O$2,$Q$2)/$Q$2))</f>
        <v>2294.93076522181</v>
      </c>
      <c r="M438" s="15" t="n">
        <f aca="false">L438*(1+IF(M$3&lt;=$O$2,$D438,$D438-($D438-$I$427)*MIN(M$3-$O$2,$Q$2)/$Q$2))</f>
        <v>2365.02332953566</v>
      </c>
      <c r="N438" s="15" t="n">
        <f aca="false">M438*(1+IF(N$3&lt;=$O$2,$D438,$D438-($D438-$I$427)*MIN(N$3-$O$2,$Q$2)/$Q$2))</f>
        <v>2455.60372305688</v>
      </c>
      <c r="O438" s="15" t="n">
        <f aca="false">SUMPRODUCT(E438:N438,1/(1+$F$427)^$E$3:$N$3)*$E$2</f>
        <v>7869.86461013686</v>
      </c>
      <c r="P438" s="15" t="n">
        <f aca="false">N438*$E$2*(1+$I$427)/($F$427-$I$427)/(1+$F$427)^$N$3</f>
        <v>15813.6766734996</v>
      </c>
      <c r="Q438" s="15" t="n">
        <f aca="false">O438+P438</f>
        <v>23683.5412836365</v>
      </c>
      <c r="R438" s="15" t="n">
        <f aca="false">Q438-$G$2+$I$2</f>
        <v>25593.2012836365</v>
      </c>
      <c r="S438" s="42" t="n">
        <f aca="false">R438/$K$2</f>
        <v>109.358634720491</v>
      </c>
      <c r="T438" s="43" t="n">
        <f aca="false">S438-$M$2</f>
        <v>-0.627264523195905</v>
      </c>
    </row>
    <row r="439" customFormat="false" ht="15" hidden="false" customHeight="false" outlineLevel="0" collapsed="false">
      <c r="A439" s="5" t="n">
        <v>11</v>
      </c>
      <c r="B439" s="25" t="n">
        <f aca="false">IF(T438&gt;0,B438,D438)</f>
        <v>-0.00048828125</v>
      </c>
      <c r="C439" s="25" t="n">
        <f aca="false">IF(T438&gt;0,D438,C438)</f>
        <v>0.0009765625</v>
      </c>
      <c r="D439" s="41" t="n">
        <f aca="false">(B439+C439)/2</f>
        <v>0.000244140625</v>
      </c>
      <c r="E439" s="15" t="n">
        <f aca="false">$C$2*(1+IF(E$3&lt;=$O$2,$D439,$D439-($D439-$I$427)*MIN(E$3-$O$2,$Q$2)/$Q$2))</f>
        <v>2200.537109375</v>
      </c>
      <c r="F439" s="15" t="n">
        <f aca="false">E439*(1+IF(F$3&lt;=$O$2,$D439,$D439-($D439-$I$427)*MIN(F$3-$O$2,$Q$2)/$Q$2))</f>
        <v>2201.07434988022</v>
      </c>
      <c r="G439" s="15" t="n">
        <f aca="false">F439*(1+IF(G$3&lt;=$O$2,$D439,$D439-($D439-$I$427)*MIN(G$3-$O$2,$Q$2)/$Q$2))</f>
        <v>2201.61172154767</v>
      </c>
      <c r="H439" s="15" t="n">
        <f aca="false">G439*(1+IF(H$3&lt;=$O$2,$D439,$D439-($D439-$I$427)*MIN(H$3-$O$2,$Q$2)/$Q$2))</f>
        <v>2202.14922440938</v>
      </c>
      <c r="I439" s="15" t="n">
        <f aca="false">H439*(1+IF(I$3&lt;=$O$2,$D439,$D439-($D439-$I$427)*MIN(I$3-$O$2,$Q$2)/$Q$2))</f>
        <v>2202.68685849737</v>
      </c>
      <c r="J439" s="15" t="n">
        <f aca="false">I439*(1+IF(J$3&lt;=$O$2,$D439,$D439-($D439-$I$427)*MIN(J$3-$O$2,$Q$2)/$Q$2))</f>
        <v>2219.98965211051</v>
      </c>
      <c r="K439" s="15" t="n">
        <f aca="false">J439*(1+IF(K$3&lt;=$O$2,$D439,$D439-($D439-$I$427)*MIN(K$3-$O$2,$Q$2)/$Q$2))</f>
        <v>2254.32508737754</v>
      </c>
      <c r="L439" s="15" t="n">
        <f aca="false">K439*(1+IF(L$3&lt;=$O$2,$D439,$D439-($D439-$I$427)*MIN(L$3-$O$2,$Q$2)/$Q$2))</f>
        <v>2306.34962681979</v>
      </c>
      <c r="M439" s="15" t="n">
        <f aca="false">L439*(1+IF(M$3&lt;=$O$2,$D439,$D439-($D439-$I$427)*MIN(M$3-$O$2,$Q$2)/$Q$2))</f>
        <v>2377.12879411342</v>
      </c>
      <c r="N439" s="15" t="n">
        <f aca="false">M439*(1+IF(N$3&lt;=$O$2,$D439,$D439-($D439-$I$427)*MIN(N$3-$O$2,$Q$2)/$Q$2))</f>
        <v>2468.17282692796</v>
      </c>
      <c r="O439" s="15" t="n">
        <f aca="false">SUMPRODUCT(E439:N439,1/(1+$F$427)^$E$3:$N$3)*$E$2</f>
        <v>7895.27886730595</v>
      </c>
      <c r="P439" s="15" t="n">
        <f aca="false">N439*$E$2*(1+$I$427)/($F$427-$I$427)/(1+$F$427)^$N$3</f>
        <v>15894.6195971589</v>
      </c>
      <c r="Q439" s="15" t="n">
        <f aca="false">O439+P439</f>
        <v>23789.8984644649</v>
      </c>
      <c r="R439" s="15" t="n">
        <f aca="false">Q439-$G$2+$I$2</f>
        <v>25699.5584644649</v>
      </c>
      <c r="S439" s="42" t="n">
        <f aca="false">R439/$K$2</f>
        <v>109.813094323227</v>
      </c>
      <c r="T439" s="43" t="n">
        <f aca="false">S439-$M$2</f>
        <v>-0.172804920459456</v>
      </c>
    </row>
    <row r="440" customFormat="false" ht="15" hidden="false" customHeight="false" outlineLevel="0" collapsed="false">
      <c r="A440" s="5" t="n">
        <v>12</v>
      </c>
      <c r="B440" s="25" t="n">
        <f aca="false">IF(T439&gt;0,B439,D439)</f>
        <v>0.000244140625</v>
      </c>
      <c r="C440" s="25" t="n">
        <f aca="false">IF(T439&gt;0,D439,C439)</f>
        <v>0.0009765625</v>
      </c>
      <c r="D440" s="41" t="n">
        <f aca="false">(B440+C440)/2</f>
        <v>0.0006103515625</v>
      </c>
      <c r="E440" s="15" t="n">
        <f aca="false">$C$2*(1+IF(E$3&lt;=$O$2,$D440,$D440-($D440-$I$427)*MIN(E$3-$O$2,$Q$2)/$Q$2))</f>
        <v>2201.3427734375</v>
      </c>
      <c r="F440" s="15" t="n">
        <f aca="false">E440*(1+IF(F$3&lt;=$O$2,$D440,$D440-($D440-$I$427)*MIN(F$3-$O$2,$Q$2)/$Q$2))</f>
        <v>2202.68636643887</v>
      </c>
      <c r="G440" s="15" t="n">
        <f aca="false">F440*(1+IF(G$3&lt;=$O$2,$D440,$D440-($D440-$I$427)*MIN(G$3-$O$2,$Q$2)/$Q$2))</f>
        <v>2204.03077950432</v>
      </c>
      <c r="H440" s="15" t="n">
        <f aca="false">G440*(1+IF(H$3&lt;=$O$2,$D440,$D440-($D440-$I$427)*MIN(H$3-$O$2,$Q$2)/$Q$2))</f>
        <v>2205.37601313439</v>
      </c>
      <c r="I440" s="15" t="n">
        <f aca="false">H440*(1+IF(I$3&lt;=$O$2,$D440,$D440-($D440-$I$427)*MIN(I$3-$O$2,$Q$2)/$Q$2))</f>
        <v>2206.7220678299</v>
      </c>
      <c r="J440" s="15" t="n">
        <f aca="false">I440*(1+IF(J$3&lt;=$O$2,$D440,$D440-($D440-$I$427)*MIN(J$3-$O$2,$Q$2)/$Q$2))</f>
        <v>2224.70305987916</v>
      </c>
      <c r="K440" s="15" t="n">
        <f aca="false">J440*(1+IF(K$3&lt;=$O$2,$D440,$D440-($D440-$I$427)*MIN(K$3-$O$2,$Q$2)/$Q$2))</f>
        <v>2259.60022134973</v>
      </c>
      <c r="L440" s="15" t="n">
        <f aca="false">K440*(1+IF(L$3&lt;=$O$2,$D440,$D440-($D440-$I$427)*MIN(L$3-$O$2,$Q$2)/$Q$2))</f>
        <v>2312.07749464664</v>
      </c>
      <c r="M440" s="15" t="n">
        <f aca="false">L440*(1+IF(M$3&lt;=$O$2,$D440,$D440-($D440-$I$427)*MIN(M$3-$O$2,$Q$2)/$Q$2))</f>
        <v>2383.20178510491</v>
      </c>
      <c r="N440" s="15" t="n">
        <f aca="false">M440*(1+IF(N$3&lt;=$O$2,$D440,$D440-($D440-$I$427)*MIN(N$3-$O$2,$Q$2)/$Q$2))</f>
        <v>2474.47841347442</v>
      </c>
      <c r="O440" s="15" t="n">
        <f aca="false">SUMPRODUCT(E440:N440,1/(1+$F$427)^$E$3:$N$3)*$E$2</f>
        <v>7908.01738709906</v>
      </c>
      <c r="P440" s="15" t="n">
        <f aca="false">N440*$E$2*(1+$I$427)/($F$427-$I$427)/(1+$F$427)^$N$3</f>
        <v>15935.2265183597</v>
      </c>
      <c r="Q440" s="15" t="n">
        <f aca="false">O440+P440</f>
        <v>23843.2439054588</v>
      </c>
      <c r="R440" s="15" t="n">
        <f aca="false">Q440-$G$2+$I$2</f>
        <v>25752.9039054588</v>
      </c>
      <c r="S440" s="42" t="n">
        <f aca="false">R440/$K$2</f>
        <v>110.041037069858</v>
      </c>
      <c r="T440" s="43" t="n">
        <f aca="false">S440-$M$2</f>
        <v>0.0551378261709203</v>
      </c>
    </row>
    <row r="441" customFormat="false" ht="15" hidden="false" customHeight="false" outlineLevel="0" collapsed="false">
      <c r="A441" s="5" t="n">
        <v>13</v>
      </c>
      <c r="B441" s="25" t="n">
        <f aca="false">IF(T440&gt;0,B440,D440)</f>
        <v>0.000244140625</v>
      </c>
      <c r="C441" s="25" t="n">
        <f aca="false">IF(T440&gt;0,D440,C440)</f>
        <v>0.0006103515625</v>
      </c>
      <c r="D441" s="41" t="n">
        <f aca="false">(B441+C441)/2</f>
        <v>0.00042724609375</v>
      </c>
      <c r="E441" s="15" t="n">
        <f aca="false">$C$2*(1+IF(E$3&lt;=$O$2,$D441,$D441-($D441-$I$427)*MIN(E$3-$O$2,$Q$2)/$Q$2))</f>
        <v>2200.93994140625</v>
      </c>
      <c r="F441" s="15" t="n">
        <f aca="false">E441*(1+IF(F$3&lt;=$O$2,$D441,$D441-($D441-$I$427)*MIN(F$3-$O$2,$Q$2)/$Q$2))</f>
        <v>2201.88028439879</v>
      </c>
      <c r="G441" s="15" t="n">
        <f aca="false">F441*(1+IF(G$3&lt;=$O$2,$D441,$D441-($D441-$I$427)*MIN(G$3-$O$2,$Q$2)/$Q$2))</f>
        <v>2202.82102914921</v>
      </c>
      <c r="H441" s="15" t="n">
        <f aca="false">G441*(1+IF(H$3&lt;=$O$2,$D441,$D441-($D441-$I$427)*MIN(H$3-$O$2,$Q$2)/$Q$2))</f>
        <v>2203.76217582914</v>
      </c>
      <c r="I441" s="15" t="n">
        <f aca="false">H441*(1+IF(I$3&lt;=$O$2,$D441,$D441-($D441-$I$427)*MIN(I$3-$O$2,$Q$2)/$Q$2))</f>
        <v>2204.70372461032</v>
      </c>
      <c r="J441" s="15" t="n">
        <f aca="false">I441*(1+IF(J$3&lt;=$O$2,$D441,$D441-($D441-$I$427)*MIN(J$3-$O$2,$Q$2)/$Q$2))</f>
        <v>2222.34531598421</v>
      </c>
      <c r="K441" s="15" t="n">
        <f aca="false">J441*(1+IF(K$3&lt;=$O$2,$D441,$D441-($D441-$I$427)*MIN(K$3-$O$2,$Q$2)/$Q$2))</f>
        <v>2256.96133923822</v>
      </c>
      <c r="L441" s="15" t="n">
        <f aca="false">K441*(1+IF(L$3&lt;=$O$2,$D441,$D441-($D441-$I$427)*MIN(L$3-$O$2,$Q$2)/$Q$2))</f>
        <v>2309.21202198028</v>
      </c>
      <c r="M441" s="15" t="n">
        <f aca="false">L441*(1+IF(M$3&lt;=$O$2,$D441,$D441-($D441-$I$427)*MIN(M$3-$O$2,$Q$2)/$Q$2))</f>
        <v>2380.16359869697</v>
      </c>
      <c r="N441" s="15" t="n">
        <f aca="false">M441*(1+IF(N$3&lt;=$O$2,$D441,$D441-($D441-$I$427)*MIN(N$3-$O$2,$Q$2)/$Q$2))</f>
        <v>2471.32386452706</v>
      </c>
      <c r="O441" s="15" t="n">
        <f aca="false">SUMPRODUCT(E441:N441,1/(1+$F$427)^$E$3:$N$3)*$E$2</f>
        <v>7901.6455078798</v>
      </c>
      <c r="P441" s="15" t="n">
        <f aca="false">N441*$E$2*(1+$I$427)/($F$427-$I$427)/(1+$F$427)^$N$3</f>
        <v>15914.911751512</v>
      </c>
      <c r="Q441" s="15" t="n">
        <f aca="false">O441+P441</f>
        <v>23816.5572593918</v>
      </c>
      <c r="R441" s="15" t="n">
        <f aca="false">Q441-$G$2+$I$2</f>
        <v>25726.2172593918</v>
      </c>
      <c r="S441" s="42" t="n">
        <f aca="false">R441/$K$2</f>
        <v>109.927006193188</v>
      </c>
      <c r="T441" s="43" t="n">
        <f aca="false">S441-$M$2</f>
        <v>-0.0588930504987246</v>
      </c>
    </row>
    <row r="442" customFormat="false" ht="15" hidden="false" customHeight="false" outlineLevel="0" collapsed="false">
      <c r="A442" s="5" t="n">
        <v>14</v>
      </c>
      <c r="B442" s="25" t="n">
        <f aca="false">IF(T441&gt;0,B441,D441)</f>
        <v>0.00042724609375</v>
      </c>
      <c r="C442" s="25" t="n">
        <f aca="false">IF(T441&gt;0,D441,C441)</f>
        <v>0.0006103515625</v>
      </c>
      <c r="D442" s="41" t="n">
        <f aca="false">(B442+C442)/2</f>
        <v>0.000518798828125</v>
      </c>
      <c r="E442" s="15" t="n">
        <f aca="false">$C$2*(1+IF(E$3&lt;=$O$2,$D442,$D442-($D442-$I$427)*MIN(E$3-$O$2,$Q$2)/$Q$2))</f>
        <v>2201.14135742188</v>
      </c>
      <c r="F442" s="15" t="n">
        <f aca="false">E442*(1+IF(F$3&lt;=$O$2,$D442,$D442-($D442-$I$427)*MIN(F$3-$O$2,$Q$2)/$Q$2))</f>
        <v>2202.28330697864</v>
      </c>
      <c r="G442" s="15" t="n">
        <f aca="false">F442*(1+IF(G$3&lt;=$O$2,$D442,$D442-($D442-$I$427)*MIN(G$3-$O$2,$Q$2)/$Q$2))</f>
        <v>2203.4258489775</v>
      </c>
      <c r="H442" s="15" t="n">
        <f aca="false">G442*(1+IF(H$3&lt;=$O$2,$D442,$D442-($D442-$I$427)*MIN(H$3-$O$2,$Q$2)/$Q$2))</f>
        <v>2204.56898372581</v>
      </c>
      <c r="I442" s="15" t="n">
        <f aca="false">H442*(1+IF(I$3&lt;=$O$2,$D442,$D442-($D442-$I$427)*MIN(I$3-$O$2,$Q$2)/$Q$2))</f>
        <v>2205.71271153109</v>
      </c>
      <c r="J442" s="15" t="n">
        <f aca="false">I442*(1+IF(J$3&lt;=$O$2,$D442,$D442-($D442-$I$427)*MIN(J$3-$O$2,$Q$2)/$Q$2))</f>
        <v>2223.52392783736</v>
      </c>
      <c r="K442" s="15" t="n">
        <f aca="false">J442*(1+IF(K$3&lt;=$O$2,$D442,$D442-($D442-$I$427)*MIN(K$3-$O$2,$Q$2)/$Q$2))</f>
        <v>2258.28045137667</v>
      </c>
      <c r="L442" s="15" t="n">
        <f aca="false">K442*(1+IF(L$3&lt;=$O$2,$D442,$D442-($D442-$I$427)*MIN(L$3-$O$2,$Q$2)/$Q$2))</f>
        <v>2310.64437345</v>
      </c>
      <c r="M442" s="15" t="n">
        <f aca="false">L442*(1+IF(M$3&lt;=$O$2,$D442,$D442-($D442-$I$427)*MIN(M$3-$O$2,$Q$2)/$Q$2))</f>
        <v>2381.68226897114</v>
      </c>
      <c r="N442" s="15" t="n">
        <f aca="false">M442*(1+IF(N$3&lt;=$O$2,$D442,$D442-($D442-$I$427)*MIN(N$3-$O$2,$Q$2)/$Q$2))</f>
        <v>2472.90069987274</v>
      </c>
      <c r="O442" s="15" t="n">
        <f aca="false">SUMPRODUCT(E442:N442,1/(1+$F$427)^$E$3:$N$3)*$E$2</f>
        <v>7904.83079240437</v>
      </c>
      <c r="P442" s="15" t="n">
        <f aca="false">N442*$E$2*(1+$I$427)/($F$427-$I$427)/(1+$F$427)^$N$3</f>
        <v>15925.0663070251</v>
      </c>
      <c r="Q442" s="15" t="n">
        <f aca="false">O442+P442</f>
        <v>23829.8970994294</v>
      </c>
      <c r="R442" s="15" t="n">
        <f aca="false">Q442-$G$2+$I$2</f>
        <v>25739.5570994294</v>
      </c>
      <c r="S442" s="42" t="n">
        <f aca="false">R442/$K$2</f>
        <v>109.984006748833</v>
      </c>
      <c r="T442" s="43" t="n">
        <f aca="false">S442-$M$2</f>
        <v>-0.00189249485354992</v>
      </c>
    </row>
    <row r="443" customFormat="false" ht="15" hidden="false" customHeight="false" outlineLevel="0" collapsed="false">
      <c r="A443" s="5" t="n">
        <v>15</v>
      </c>
      <c r="B443" s="25" t="n">
        <f aca="false">IF(T442&gt;0,B442,D442)</f>
        <v>0.000518798828125</v>
      </c>
      <c r="C443" s="25" t="n">
        <f aca="false">IF(T442&gt;0,D442,C442)</f>
        <v>0.0006103515625</v>
      </c>
      <c r="D443" s="41" t="n">
        <f aca="false">(B443+C443)/2</f>
        <v>0.0005645751953125</v>
      </c>
      <c r="E443" s="15" t="n">
        <f aca="false">$C$2*(1+IF(E$3&lt;=$O$2,$D443,$D443-($D443-$I$427)*MIN(E$3-$O$2,$Q$2)/$Q$2))</f>
        <v>2201.24206542969</v>
      </c>
      <c r="F443" s="15" t="n">
        <f aca="false">E443*(1+IF(F$3&lt;=$O$2,$D443,$D443-($D443-$I$427)*MIN(F$3-$O$2,$Q$2)/$Q$2))</f>
        <v>2202.48483209871</v>
      </c>
      <c r="G443" s="15" t="n">
        <f aca="false">F443*(1+IF(G$3&lt;=$O$2,$D443,$D443-($D443-$I$427)*MIN(G$3-$O$2,$Q$2)/$Q$2))</f>
        <v>2203.72830040296</v>
      </c>
      <c r="H443" s="15" t="n">
        <f aca="false">G443*(1+IF(H$3&lt;=$O$2,$D443,$D443-($D443-$I$427)*MIN(H$3-$O$2,$Q$2)/$Q$2))</f>
        <v>2204.97247073858</v>
      </c>
      <c r="I443" s="15" t="n">
        <f aca="false">H443*(1+IF(I$3&lt;=$O$2,$D443,$D443-($D443-$I$427)*MIN(I$3-$O$2,$Q$2)/$Q$2))</f>
        <v>2206.2173435019</v>
      </c>
      <c r="J443" s="15" t="n">
        <f aca="false">I443*(1+IF(J$3&lt;=$O$2,$D443,$D443-($D443-$I$427)*MIN(J$3-$O$2,$Q$2)/$Q$2))</f>
        <v>2224.11342882322</v>
      </c>
      <c r="K443" s="15" t="n">
        <f aca="false">J443*(1+IF(K$3&lt;=$O$2,$D443,$D443-($D443-$I$427)*MIN(K$3-$O$2,$Q$2)/$Q$2))</f>
        <v>2258.94025411687</v>
      </c>
      <c r="L443" s="15" t="n">
        <f aca="false">K443*(1+IF(L$3&lt;=$O$2,$D443,$D443-($D443-$I$427)*MIN(L$3-$O$2,$Q$2)/$Q$2))</f>
        <v>2311.36083781055</v>
      </c>
      <c r="M443" s="15" t="n">
        <f aca="false">L443*(1+IF(M$3&lt;=$O$2,$D443,$D443-($D443-$I$427)*MIN(M$3-$O$2,$Q$2)/$Q$2))</f>
        <v>2382.44192128035</v>
      </c>
      <c r="N443" s="15" t="n">
        <f aca="false">M443*(1+IF(N$3&lt;=$O$2,$D443,$D443-($D443-$I$427)*MIN(N$3-$O$2,$Q$2)/$Q$2))</f>
        <v>2473.68944686539</v>
      </c>
      <c r="O443" s="15" t="n">
        <f aca="false">SUMPRODUCT(E443:N443,1/(1+$F$427)^$E$3:$N$3)*$E$2</f>
        <v>7906.42392594864</v>
      </c>
      <c r="P443" s="15" t="n">
        <f aca="false">N443*$E$2*(1+$I$427)/($F$427-$I$427)/(1+$F$427)^$N$3</f>
        <v>15930.145705546</v>
      </c>
      <c r="Q443" s="15" t="n">
        <f aca="false">O443+P443</f>
        <v>23836.5696314946</v>
      </c>
      <c r="R443" s="15" t="n">
        <f aca="false">Q443-$G$2+$I$2</f>
        <v>25746.2296314946</v>
      </c>
      <c r="S443" s="42" t="n">
        <f aca="false">R443/$K$2</f>
        <v>110.012518187816</v>
      </c>
      <c r="T443" s="43" t="n">
        <f aca="false">S443-$M$2</f>
        <v>0.026618944129595</v>
      </c>
    </row>
    <row r="444" customFormat="false" ht="15" hidden="false" customHeight="false" outlineLevel="0" collapsed="false">
      <c r="A444" s="5" t="n">
        <v>16</v>
      </c>
      <c r="B444" s="25" t="n">
        <f aca="false">IF(T443&gt;0,B443,D443)</f>
        <v>0.000518798828125</v>
      </c>
      <c r="C444" s="25" t="n">
        <f aca="false">IF(T443&gt;0,D443,C443)</f>
        <v>0.0005645751953125</v>
      </c>
      <c r="D444" s="41" t="n">
        <f aca="false">(B444+C444)/2</f>
        <v>0.00054168701171875</v>
      </c>
      <c r="E444" s="15" t="n">
        <f aca="false">$C$2*(1+IF(E$3&lt;=$O$2,$D444,$D444-($D444-$I$427)*MIN(E$3-$O$2,$Q$2)/$Q$2))</f>
        <v>2201.19171142578</v>
      </c>
      <c r="F444" s="15" t="n">
        <f aca="false">E444*(1+IF(F$3&lt;=$O$2,$D444,$D444-($D444-$I$427)*MIN(F$3-$O$2,$Q$2)/$Q$2))</f>
        <v>2202.38406838616</v>
      </c>
      <c r="G444" s="15" t="n">
        <f aca="false">F444*(1+IF(G$3&lt;=$O$2,$D444,$D444-($D444-$I$427)*MIN(G$3-$O$2,$Q$2)/$Q$2))</f>
        <v>2203.57707123082</v>
      </c>
      <c r="H444" s="15" t="n">
        <f aca="false">G444*(1+IF(H$3&lt;=$O$2,$D444,$D444-($D444-$I$427)*MIN(H$3-$O$2,$Q$2)/$Q$2))</f>
        <v>2204.77072030963</v>
      </c>
      <c r="I444" s="15" t="n">
        <f aca="false">H444*(1+IF(I$3&lt;=$O$2,$D444,$D444-($D444-$I$427)*MIN(I$3-$O$2,$Q$2)/$Q$2))</f>
        <v>2205.96501597264</v>
      </c>
      <c r="J444" s="15" t="n">
        <f aca="false">I444*(1+IF(J$3&lt;=$O$2,$D444,$D444-($D444-$I$427)*MIN(J$3-$O$2,$Q$2)/$Q$2))</f>
        <v>2223.81866207296</v>
      </c>
      <c r="K444" s="15" t="n">
        <f aca="false">J444*(1+IF(K$3&lt;=$O$2,$D444,$D444-($D444-$I$427)*MIN(K$3-$O$2,$Q$2)/$Q$2))</f>
        <v>2258.61033218731</v>
      </c>
      <c r="L444" s="15" t="n">
        <f aca="false">K444*(1+IF(L$3&lt;=$O$2,$D444,$D444-($D444-$I$427)*MIN(L$3-$O$2,$Q$2)/$Q$2))</f>
        <v>2311.00258157357</v>
      </c>
      <c r="M444" s="15" t="n">
        <f aca="false">L444*(1+IF(M$3&lt;=$O$2,$D444,$D444-($D444-$I$427)*MIN(M$3-$O$2,$Q$2)/$Q$2))</f>
        <v>2382.06206868948</v>
      </c>
      <c r="N444" s="15" t="n">
        <f aca="false">M444*(1+IF(N$3&lt;=$O$2,$D444,$D444-($D444-$I$427)*MIN(N$3-$O$2,$Q$2)/$Q$2))</f>
        <v>2473.29504592029</v>
      </c>
      <c r="O444" s="15" t="n">
        <f aca="false">SUMPRODUCT(E444:N444,1/(1+$F$427)^$E$3:$N$3)*$E$2</f>
        <v>7905.62731822972</v>
      </c>
      <c r="P444" s="15" t="n">
        <f aca="false">N444*$E$2*(1+$I$427)/($F$427-$I$427)/(1+$F$427)^$N$3</f>
        <v>15927.60582952</v>
      </c>
      <c r="Q444" s="15" t="n">
        <f aca="false">O444+P444</f>
        <v>23833.2331477497</v>
      </c>
      <c r="R444" s="15" t="n">
        <f aca="false">Q444-$G$2+$I$2</f>
        <v>25742.8931477497</v>
      </c>
      <c r="S444" s="42" t="n">
        <f aca="false">R444/$K$2</f>
        <v>109.99826153805</v>
      </c>
      <c r="T444" s="43" t="n">
        <f aca="false">S444-$M$2</f>
        <v>0.012362294362859</v>
      </c>
    </row>
    <row r="445" customFormat="false" ht="15" hidden="false" customHeight="false" outlineLevel="0" collapsed="false">
      <c r="A445" s="5" t="n">
        <v>17</v>
      </c>
      <c r="B445" s="25" t="n">
        <f aca="false">IF(T444&gt;0,B444,D444)</f>
        <v>0.000518798828125</v>
      </c>
      <c r="C445" s="25" t="n">
        <f aca="false">IF(T444&gt;0,D444,C444)</f>
        <v>0.00054168701171875</v>
      </c>
      <c r="D445" s="41" t="n">
        <f aca="false">(B445+C445)/2</f>
        <v>0.000530242919921875</v>
      </c>
      <c r="E445" s="15" t="n">
        <f aca="false">$C$2*(1+IF(E$3&lt;=$O$2,$D445,$D445-($D445-$I$427)*MIN(E$3-$O$2,$Q$2)/$Q$2))</f>
        <v>2201.16653442383</v>
      </c>
      <c r="F445" s="15" t="n">
        <f aca="false">E445*(1+IF(F$3&lt;=$O$2,$D445,$D445-($D445-$I$427)*MIN(F$3-$O$2,$Q$2)/$Q$2))</f>
        <v>2202.33368739428</v>
      </c>
      <c r="G445" s="15" t="n">
        <f aca="false">F445*(1+IF(G$3&lt;=$O$2,$D445,$D445-($D445-$I$427)*MIN(G$3-$O$2,$Q$2)/$Q$2))</f>
        <v>2203.50145923932</v>
      </c>
      <c r="H445" s="15" t="n">
        <f aca="false">G445*(1+IF(H$3&lt;=$O$2,$D445,$D445-($D445-$I$427)*MIN(H$3-$O$2,$Q$2)/$Q$2))</f>
        <v>2204.66985028712</v>
      </c>
      <c r="I445" s="15" t="n">
        <f aca="false">H445*(1+IF(I$3&lt;=$O$2,$D445,$D445-($D445-$I$427)*MIN(I$3-$O$2,$Q$2)/$Q$2))</f>
        <v>2205.838860866</v>
      </c>
      <c r="J445" s="15" t="n">
        <f aca="false">I445*(1+IF(J$3&lt;=$O$2,$D445,$D445-($D445-$I$427)*MIN(J$3-$O$2,$Q$2)/$Q$2))</f>
        <v>2223.671290891</v>
      </c>
      <c r="K445" s="15" t="n">
        <f aca="false">J445*(1+IF(K$3&lt;=$O$2,$D445,$D445-($D445-$I$427)*MIN(K$3-$O$2,$Q$2)/$Q$2))</f>
        <v>2258.44538664239</v>
      </c>
      <c r="L445" s="15" t="n">
        <f aca="false">K445*(1+IF(L$3&lt;=$O$2,$D445,$D445-($D445-$I$427)*MIN(L$3-$O$2,$Q$2)/$Q$2))</f>
        <v>2310.82347149795</v>
      </c>
      <c r="M445" s="15" t="n">
        <f aca="false">L445*(1+IF(M$3&lt;=$O$2,$D445,$D445-($D445-$I$427)*MIN(M$3-$O$2,$Q$2)/$Q$2))</f>
        <v>2381.87216222164</v>
      </c>
      <c r="N445" s="15" t="n">
        <f aca="false">M445*(1+IF(N$3&lt;=$O$2,$D445,$D445-($D445-$I$427)*MIN(N$3-$O$2,$Q$2)/$Q$2))</f>
        <v>2473.09786603473</v>
      </c>
      <c r="O445" s="15" t="n">
        <f aca="false">SUMPRODUCT(E445:N445,1/(1+$F$427)^$E$3:$N$3)*$E$2</f>
        <v>7905.22904508084</v>
      </c>
      <c r="P445" s="15" t="n">
        <f aca="false">N445*$E$2*(1+$I$427)/($F$427-$I$427)/(1+$F$427)^$N$3</f>
        <v>15926.3360240838</v>
      </c>
      <c r="Q445" s="15" t="n">
        <f aca="false">O445+P445</f>
        <v>23831.5650691646</v>
      </c>
      <c r="R445" s="15" t="n">
        <f aca="false">Q445-$G$2+$I$2</f>
        <v>25741.2250691646</v>
      </c>
      <c r="S445" s="42" t="n">
        <f aca="false">R445/$K$2</f>
        <v>109.991133910886</v>
      </c>
      <c r="T445" s="43" t="n">
        <f aca="false">S445-$M$2</f>
        <v>0.00523466719923249</v>
      </c>
    </row>
    <row r="446" customFormat="false" ht="15" hidden="false" customHeight="false" outlineLevel="0" collapsed="false">
      <c r="A446" s="5" t="n">
        <v>18</v>
      </c>
      <c r="B446" s="25" t="n">
        <f aca="false">IF(T445&gt;0,B445,D445)</f>
        <v>0.000518798828125</v>
      </c>
      <c r="C446" s="25" t="n">
        <f aca="false">IF(T445&gt;0,D445,C445)</f>
        <v>0.000530242919921875</v>
      </c>
      <c r="D446" s="41" t="n">
        <f aca="false">(B446+C446)/2</f>
        <v>0.000524520874023438</v>
      </c>
      <c r="E446" s="15" t="n">
        <f aca="false">$C$2*(1+IF(E$3&lt;=$O$2,$D446,$D446-($D446-$I$427)*MIN(E$3-$O$2,$Q$2)/$Q$2))</f>
        <v>2201.15394592285</v>
      </c>
      <c r="F446" s="15" t="n">
        <f aca="false">E446*(1+IF(F$3&lt;=$O$2,$D446,$D446-($D446-$I$427)*MIN(F$3-$O$2,$Q$2)/$Q$2))</f>
        <v>2202.30849711443</v>
      </c>
      <c r="G446" s="15" t="n">
        <f aca="false">F446*(1+IF(G$3&lt;=$O$2,$D446,$D446-($D446-$I$427)*MIN(G$3-$O$2,$Q$2)/$Q$2))</f>
        <v>2203.4636538922</v>
      </c>
      <c r="H446" s="15" t="n">
        <f aca="false">G446*(1+IF(H$3&lt;=$O$2,$D446,$D446-($D446-$I$427)*MIN(H$3-$O$2,$Q$2)/$Q$2))</f>
        <v>2204.61941657382</v>
      </c>
      <c r="I446" s="15" t="n">
        <f aca="false">H446*(1+IF(I$3&lt;=$O$2,$D446,$D446-($D446-$I$427)*MIN(I$3-$O$2,$Q$2)/$Q$2))</f>
        <v>2205.77578547709</v>
      </c>
      <c r="J446" s="15" t="n">
        <f aca="false">I446*(1+IF(J$3&lt;=$O$2,$D446,$D446-($D446-$I$427)*MIN(J$3-$O$2,$Q$2)/$Q$2))</f>
        <v>2223.59760834816</v>
      </c>
      <c r="K446" s="15" t="n">
        <f aca="false">J446*(1+IF(K$3&lt;=$O$2,$D446,$D446-($D446-$I$427)*MIN(K$3-$O$2,$Q$2)/$Q$2))</f>
        <v>2258.36291772466</v>
      </c>
      <c r="L446" s="15" t="n">
        <f aca="false">K446*(1+IF(L$3&lt;=$O$2,$D446,$D446-($D446-$I$427)*MIN(L$3-$O$2,$Q$2)/$Q$2))</f>
        <v>2310.73392097056</v>
      </c>
      <c r="M446" s="15" t="n">
        <f aca="false">L446*(1+IF(M$3&lt;=$O$2,$D446,$D446-($D446-$I$427)*MIN(M$3-$O$2,$Q$2)/$Q$2))</f>
        <v>2381.77721394427</v>
      </c>
      <c r="N446" s="15" t="n">
        <f aca="false">M446*(1+IF(N$3&lt;=$O$2,$D446,$D446-($D446-$I$427)*MIN(N$3-$O$2,$Q$2)/$Q$2))</f>
        <v>2472.99928123834</v>
      </c>
      <c r="O446" s="15" t="n">
        <f aca="false">SUMPRODUCT(E446:N446,1/(1+$F$427)^$E$3:$N$3)*$E$2</f>
        <v>7905.02991618362</v>
      </c>
      <c r="P446" s="15" t="n">
        <f aca="false">N446*$E$2*(1+$I$427)/($F$427-$I$427)/(1+$F$427)^$N$3</f>
        <v>15925.7011545076</v>
      </c>
      <c r="Q446" s="15" t="n">
        <f aca="false">O446+P446</f>
        <v>23830.7310706912</v>
      </c>
      <c r="R446" s="15" t="n">
        <f aca="false">Q446-$G$2+$I$2</f>
        <v>25740.3910706912</v>
      </c>
      <c r="S446" s="42" t="n">
        <f aca="false">R446/$K$2</f>
        <v>109.987570271722</v>
      </c>
      <c r="T446" s="43" t="n">
        <f aca="false">S446-$M$2</f>
        <v>0.00167102803568753</v>
      </c>
    </row>
    <row r="447" customFormat="false" ht="15" hidden="false" customHeight="false" outlineLevel="0" collapsed="false">
      <c r="A447" s="5" t="n">
        <v>19</v>
      </c>
      <c r="B447" s="25" t="n">
        <f aca="false">IF(T446&gt;0,B446,D446)</f>
        <v>0.000518798828125</v>
      </c>
      <c r="C447" s="25" t="n">
        <f aca="false">IF(T446&gt;0,D446,C446)</f>
        <v>0.000524520874023438</v>
      </c>
      <c r="D447" s="41" t="n">
        <f aca="false">(B447+C447)/2</f>
        <v>0.000521659851074219</v>
      </c>
      <c r="E447" s="15" t="n">
        <f aca="false">$C$2*(1+IF(E$3&lt;=$O$2,$D447,$D447-($D447-$I$427)*MIN(E$3-$O$2,$Q$2)/$Q$2))</f>
        <v>2201.14765167236</v>
      </c>
      <c r="F447" s="15" t="n">
        <f aca="false">E447*(1+IF(F$3&lt;=$O$2,$D447,$D447-($D447-$I$427)*MIN(F$3-$O$2,$Q$2)/$Q$2))</f>
        <v>2202.29590202853</v>
      </c>
      <c r="G447" s="15" t="n">
        <f aca="false">F447*(1+IF(G$3&lt;=$O$2,$D447,$D447-($D447-$I$427)*MIN(G$3-$O$2,$Q$2)/$Q$2))</f>
        <v>2203.4447513808</v>
      </c>
      <c r="H447" s="15" t="n">
        <f aca="false">G447*(1+IF(H$3&lt;=$O$2,$D447,$D447-($D447-$I$427)*MIN(H$3-$O$2,$Q$2)/$Q$2))</f>
        <v>2204.59420004166</v>
      </c>
      <c r="I447" s="15" t="n">
        <f aca="false">H447*(1+IF(I$3&lt;=$O$2,$D447,$D447-($D447-$I$427)*MIN(I$3-$O$2,$Q$2)/$Q$2))</f>
        <v>2205.74424832373</v>
      </c>
      <c r="J447" s="15" t="n">
        <f aca="false">I447*(1+IF(J$3&lt;=$O$2,$D447,$D447-($D447-$I$427)*MIN(J$3-$O$2,$Q$2)/$Q$2))</f>
        <v>2223.56076783876</v>
      </c>
      <c r="K447" s="15" t="n">
        <f aca="false">J447*(1+IF(K$3&lt;=$O$2,$D447,$D447-($D447-$I$427)*MIN(K$3-$O$2,$Q$2)/$Q$2))</f>
        <v>2258.32168422945</v>
      </c>
      <c r="L447" s="15" t="n">
        <f aca="false">K447*(1+IF(L$3&lt;=$O$2,$D447,$D447-($D447-$I$427)*MIN(L$3-$O$2,$Q$2)/$Q$2))</f>
        <v>2310.68914683443</v>
      </c>
      <c r="M447" s="15" t="n">
        <f aca="false">L447*(1+IF(M$3&lt;=$O$2,$D447,$D447-($D447-$I$427)*MIN(M$3-$O$2,$Q$2)/$Q$2))</f>
        <v>2381.72974104468</v>
      </c>
      <c r="N447" s="15" t="n">
        <f aca="false">M447*(1+IF(N$3&lt;=$O$2,$D447,$D447-($D447-$I$427)*MIN(N$3-$O$2,$Q$2)/$Q$2))</f>
        <v>2472.9499901267</v>
      </c>
      <c r="O447" s="15" t="n">
        <f aca="false">SUMPRODUCT(E447:N447,1/(1+$F$427)^$E$3:$N$3)*$E$2</f>
        <v>7904.93035365426</v>
      </c>
      <c r="P447" s="15" t="n">
        <f aca="false">N447*$E$2*(1+$I$427)/($F$427-$I$427)/(1+$F$427)^$N$3</f>
        <v>15925.3837280046</v>
      </c>
      <c r="Q447" s="15" t="n">
        <f aca="false">O447+P447</f>
        <v>23830.3140816589</v>
      </c>
      <c r="R447" s="15" t="n">
        <f aca="false">Q447-$G$2+$I$2</f>
        <v>25739.9740816589</v>
      </c>
      <c r="S447" s="42" t="n">
        <f aca="false">R447/$K$2</f>
        <v>109.985788495744</v>
      </c>
      <c r="T447" s="43" t="n">
        <f aca="false">S447-$M$2</f>
        <v>-0.000110747943011802</v>
      </c>
    </row>
    <row r="448" customFormat="false" ht="15" hidden="false" customHeight="false" outlineLevel="0" collapsed="false">
      <c r="A448" s="5" t="n">
        <v>20</v>
      </c>
      <c r="B448" s="25" t="n">
        <f aca="false">IF(T447&gt;0,B447,D447)</f>
        <v>0.000521659851074219</v>
      </c>
      <c r="C448" s="25" t="n">
        <f aca="false">IF(T447&gt;0,D447,C447)</f>
        <v>0.000524520874023438</v>
      </c>
      <c r="D448" s="41" t="n">
        <f aca="false">(B448+C448)/2</f>
        <v>0.000523090362548828</v>
      </c>
      <c r="E448" s="15" t="n">
        <f aca="false">$C$2*(1+IF(E$3&lt;=$O$2,$D448,$D448-($D448-$I$427)*MIN(E$3-$O$2,$Q$2)/$Q$2))</f>
        <v>2201.15079879761</v>
      </c>
      <c r="F448" s="15" t="n">
        <f aca="false">E448*(1+IF(F$3&lt;=$O$2,$D448,$D448-($D448-$I$427)*MIN(F$3-$O$2,$Q$2)/$Q$2))</f>
        <v>2202.30219956698</v>
      </c>
      <c r="G448" s="15" t="n">
        <f aca="false">F448*(1+IF(G$3&lt;=$O$2,$D448,$D448-($D448-$I$427)*MIN(G$3-$O$2,$Q$2)/$Q$2))</f>
        <v>2203.45420262299</v>
      </c>
      <c r="H448" s="15" t="n">
        <f aca="false">G448*(1+IF(H$3&lt;=$O$2,$D448,$D448-($D448-$I$427)*MIN(H$3-$O$2,$Q$2)/$Q$2))</f>
        <v>2204.6068082807</v>
      </c>
      <c r="I448" s="15" t="n">
        <f aca="false">H448*(1+IF(I$3&lt;=$O$2,$D448,$D448-($D448-$I$427)*MIN(I$3-$O$2,$Q$2)/$Q$2))</f>
        <v>2205.76001685532</v>
      </c>
      <c r="J448" s="15" t="n">
        <f aca="false">I448*(1+IF(J$3&lt;=$O$2,$D448,$D448-($D448-$I$427)*MIN(J$3-$O$2,$Q$2)/$Q$2))</f>
        <v>2223.57918802996</v>
      </c>
      <c r="K448" s="15" t="n">
        <f aca="false">J448*(1+IF(K$3&lt;=$O$2,$D448,$D448-($D448-$I$427)*MIN(K$3-$O$2,$Q$2)/$Q$2))</f>
        <v>2258.34230089675</v>
      </c>
      <c r="L448" s="15" t="n">
        <f aca="false">K448*(1+IF(L$3&lt;=$O$2,$D448,$D448-($D448-$I$427)*MIN(L$3-$O$2,$Q$2)/$Q$2))</f>
        <v>2310.71153380854</v>
      </c>
      <c r="M448" s="15" t="n">
        <f aca="false">L448*(1+IF(M$3&lt;=$O$2,$D448,$D448-($D448-$I$427)*MIN(M$3-$O$2,$Q$2)/$Q$2))</f>
        <v>2381.75347739122</v>
      </c>
      <c r="N448" s="15" t="n">
        <f aca="false">M448*(1+IF(N$3&lt;=$O$2,$D448,$D448-($D448-$I$427)*MIN(N$3-$O$2,$Q$2)/$Q$2))</f>
        <v>2472.97463557531</v>
      </c>
      <c r="O448" s="15" t="n">
        <f aca="false">SUMPRODUCT(E448:N448,1/(1+$F$427)^$E$3:$N$3)*$E$2</f>
        <v>7904.980134759</v>
      </c>
      <c r="P448" s="15" t="n">
        <f aca="false">N448*$E$2*(1+$I$427)/($F$427-$I$427)/(1+$F$427)^$N$3</f>
        <v>15925.5424405657</v>
      </c>
      <c r="Q448" s="15" t="n">
        <f aca="false">O448+P448</f>
        <v>23830.5225753247</v>
      </c>
      <c r="R448" s="15" t="n">
        <f aca="false">Q448-$G$2+$I$2</f>
        <v>25740.1825753247</v>
      </c>
      <c r="S448" s="42" t="n">
        <f aca="false">R448/$K$2</f>
        <v>109.986679380099</v>
      </c>
      <c r="T448" s="43" t="n">
        <f aca="false">S448-$M$2</f>
        <v>0.000780136412785737</v>
      </c>
    </row>
    <row r="449" customFormat="false" ht="15" hidden="false" customHeight="false" outlineLevel="0" collapsed="false">
      <c r="A449" s="5" t="n">
        <v>21</v>
      </c>
      <c r="B449" s="25" t="n">
        <f aca="false">IF(T448&gt;0,B448,D448)</f>
        <v>0.000521659851074219</v>
      </c>
      <c r="C449" s="25" t="n">
        <f aca="false">IF(T448&gt;0,D448,C448)</f>
        <v>0.000523090362548828</v>
      </c>
      <c r="D449" s="41" t="n">
        <f aca="false">(B449+C449)/2</f>
        <v>0.000522375106811523</v>
      </c>
      <c r="E449" s="15" t="n">
        <f aca="false">$C$2*(1+IF(E$3&lt;=$O$2,$D449,$D449-($D449-$I$427)*MIN(E$3-$O$2,$Q$2)/$Q$2))</f>
        <v>2201.14922523499</v>
      </c>
      <c r="F449" s="15" t="n">
        <f aca="false">E449*(1+IF(F$3&lt;=$O$2,$D449,$D449-($D449-$I$427)*MIN(F$3-$O$2,$Q$2)/$Q$2))</f>
        <v>2202.29905079663</v>
      </c>
      <c r="G449" s="15" t="n">
        <f aca="false">F449*(1+IF(G$3&lt;=$O$2,$D449,$D449-($D449-$I$427)*MIN(G$3-$O$2,$Q$2)/$Q$2))</f>
        <v>2203.44947699852</v>
      </c>
      <c r="H449" s="15" t="n">
        <f aca="false">G449*(1+IF(H$3&lt;=$O$2,$D449,$D449-($D449-$I$427)*MIN(H$3-$O$2,$Q$2)/$Q$2))</f>
        <v>2204.60050415442</v>
      </c>
      <c r="I449" s="15" t="n">
        <f aca="false">H449*(1+IF(I$3&lt;=$O$2,$D449,$D449-($D449-$I$427)*MIN(I$3-$O$2,$Q$2)/$Q$2))</f>
        <v>2205.75213257825</v>
      </c>
      <c r="J449" s="15" t="n">
        <f aca="false">I449*(1+IF(J$3&lt;=$O$2,$D449,$D449-($D449-$I$427)*MIN(J$3-$O$2,$Q$2)/$Q$2))</f>
        <v>2223.56997791849</v>
      </c>
      <c r="K449" s="15" t="n">
        <f aca="false">J449*(1+IF(K$3&lt;=$O$2,$D449,$D449-($D449-$I$427)*MIN(K$3-$O$2,$Q$2)/$Q$2))</f>
        <v>2258.33199254303</v>
      </c>
      <c r="L449" s="15" t="n">
        <f aca="false">K449*(1+IF(L$3&lt;=$O$2,$D449,$D449-($D449-$I$427)*MIN(L$3-$O$2,$Q$2)/$Q$2))</f>
        <v>2310.70034029799</v>
      </c>
      <c r="M449" s="15" t="n">
        <f aca="false">L449*(1+IF(M$3&lt;=$O$2,$D449,$D449-($D449-$I$427)*MIN(M$3-$O$2,$Q$2)/$Q$2))</f>
        <v>2381.74160919214</v>
      </c>
      <c r="N449" s="15" t="n">
        <f aca="false">M449*(1+IF(N$3&lt;=$O$2,$D449,$D449-($D449-$I$427)*MIN(N$3-$O$2,$Q$2)/$Q$2))</f>
        <v>2472.9623128242</v>
      </c>
      <c r="O449" s="15" t="n">
        <f aca="false">SUMPRODUCT(E449:N449,1/(1+$F$427)^$E$3:$N$3)*$E$2</f>
        <v>7904.95524416664</v>
      </c>
      <c r="P449" s="15" t="n">
        <f aca="false">N449*$E$2*(1+$I$427)/($F$427-$I$427)/(1+$F$427)^$N$3</f>
        <v>15925.4630841126</v>
      </c>
      <c r="Q449" s="15" t="n">
        <f aca="false">O449+P449</f>
        <v>23830.4183282792</v>
      </c>
      <c r="R449" s="15" t="n">
        <f aca="false">Q449-$G$2+$I$2</f>
        <v>25740.0783282792</v>
      </c>
      <c r="S449" s="42" t="n">
        <f aca="false">R449/$K$2</f>
        <v>109.986233937013</v>
      </c>
      <c r="T449" s="43" t="n">
        <f aca="false">S449-$M$2</f>
        <v>0.000334693326493607</v>
      </c>
    </row>
    <row r="450" customFormat="false" ht="15" hidden="false" customHeight="false" outlineLevel="0" collapsed="false">
      <c r="A450" s="5" t="n">
        <v>22</v>
      </c>
      <c r="B450" s="25" t="n">
        <f aca="false">IF(T449&gt;0,B449,D449)</f>
        <v>0.000521659851074219</v>
      </c>
      <c r="C450" s="25" t="n">
        <f aca="false">IF(T449&gt;0,D449,C449)</f>
        <v>0.000522375106811523</v>
      </c>
      <c r="D450" s="41" t="n">
        <f aca="false">(B450+C450)/2</f>
        <v>0.000522017478942871</v>
      </c>
      <c r="E450" s="15" t="n">
        <f aca="false">$C$2*(1+IF(E$3&lt;=$O$2,$D450,$D450-($D450-$I$427)*MIN(E$3-$O$2,$Q$2)/$Q$2))</f>
        <v>2201.14843845367</v>
      </c>
      <c r="F450" s="15" t="n">
        <f aca="false">E450*(1+IF(F$3&lt;=$O$2,$D450,$D450-($D450-$I$427)*MIN(F$3-$O$2,$Q$2)/$Q$2))</f>
        <v>2202.2974764123</v>
      </c>
      <c r="G450" s="15" t="n">
        <f aca="false">F450*(1+IF(G$3&lt;=$O$2,$D450,$D450-($D450-$I$427)*MIN(G$3-$O$2,$Q$2)/$Q$2))</f>
        <v>2203.44711418881</v>
      </c>
      <c r="H450" s="15" t="n">
        <f aca="false">G450*(1+IF(H$3&lt;=$O$2,$D450,$D450-($D450-$I$427)*MIN(H$3-$O$2,$Q$2)/$Q$2))</f>
        <v>2204.59735209635</v>
      </c>
      <c r="I450" s="15" t="n">
        <f aca="false">H450*(1+IF(I$3&lt;=$O$2,$D450,$D450-($D450-$I$427)*MIN(I$3-$O$2,$Q$2)/$Q$2))</f>
        <v>2205.74819044817</v>
      </c>
      <c r="J450" s="15" t="n">
        <f aca="false">I450*(1+IF(J$3&lt;=$O$2,$D450,$D450-($D450-$I$427)*MIN(J$3-$O$2,$Q$2)/$Q$2))</f>
        <v>2223.56537287465</v>
      </c>
      <c r="K450" s="15" t="n">
        <f aca="false">J450*(1+IF(K$3&lt;=$O$2,$D450,$D450-($D450-$I$427)*MIN(K$3-$O$2,$Q$2)/$Q$2))</f>
        <v>2258.32683838122</v>
      </c>
      <c r="L450" s="15" t="n">
        <f aca="false">K450*(1+IF(L$3&lt;=$O$2,$D450,$D450-($D450-$I$427)*MIN(L$3-$O$2,$Q$2)/$Q$2))</f>
        <v>2310.69474356034</v>
      </c>
      <c r="M450" s="15" t="n">
        <f aca="false">L450*(1+IF(M$3&lt;=$O$2,$D450,$D450-($D450-$I$427)*MIN(M$3-$O$2,$Q$2)/$Q$2))</f>
        <v>2381.73567511196</v>
      </c>
      <c r="N450" s="15" t="n">
        <f aca="false">M450*(1+IF(N$3&lt;=$O$2,$D450,$D450-($D450-$I$427)*MIN(N$3-$O$2,$Q$2)/$Q$2))</f>
        <v>2472.95615146875</v>
      </c>
      <c r="O450" s="15" t="n">
        <f aca="false">SUMPRODUCT(E450:N450,1/(1+$F$427)^$E$3:$N$3)*$E$2</f>
        <v>7904.94279890045</v>
      </c>
      <c r="P450" s="15" t="n">
        <f aca="false">N450*$E$2*(1+$I$427)/($F$427-$I$427)/(1+$F$427)^$N$3</f>
        <v>15925.4234060154</v>
      </c>
      <c r="Q450" s="15" t="n">
        <f aca="false">O450+P450</f>
        <v>23830.3662049159</v>
      </c>
      <c r="R450" s="15" t="n">
        <f aca="false">Q450-$G$2+$I$2</f>
        <v>25740.0262049159</v>
      </c>
      <c r="S450" s="42" t="n">
        <f aca="false">R450/$K$2</f>
        <v>109.986011216151</v>
      </c>
      <c r="T450" s="43" t="n">
        <f aca="false">S450-$M$2</f>
        <v>0.000111972464651444</v>
      </c>
    </row>
    <row r="451" customFormat="false" ht="15" hidden="false" customHeight="false" outlineLevel="0" collapsed="false">
      <c r="A451" s="5" t="n">
        <v>23</v>
      </c>
      <c r="B451" s="25" t="n">
        <f aca="false">IF(T450&gt;0,B450,D450)</f>
        <v>0.000521659851074219</v>
      </c>
      <c r="C451" s="25" t="n">
        <f aca="false">IF(T450&gt;0,D450,C450)</f>
        <v>0.000522017478942871</v>
      </c>
      <c r="D451" s="41" t="n">
        <f aca="false">(B451+C451)/2</f>
        <v>0.000521838665008545</v>
      </c>
      <c r="E451" s="15" t="n">
        <f aca="false">$C$2*(1+IF(E$3&lt;=$O$2,$D451,$D451-($D451-$I$427)*MIN(E$3-$O$2,$Q$2)/$Q$2))</f>
        <v>2201.14804506302</v>
      </c>
      <c r="F451" s="15" t="n">
        <f aca="false">E451*(1+IF(F$3&lt;=$O$2,$D451,$D451-($D451-$I$427)*MIN(F$3-$O$2,$Q$2)/$Q$2))</f>
        <v>2202.29668922034</v>
      </c>
      <c r="G451" s="15" t="n">
        <f aca="false">F451*(1+IF(G$3&lt;=$O$2,$D451,$D451-($D451-$I$427)*MIN(G$3-$O$2,$Q$2)/$Q$2))</f>
        <v>2203.4459327846</v>
      </c>
      <c r="H451" s="15" t="n">
        <f aca="false">G451*(1+IF(H$3&lt;=$O$2,$D451,$D451-($D451-$I$427)*MIN(H$3-$O$2,$Q$2)/$Q$2))</f>
        <v>2204.59577606858</v>
      </c>
      <c r="I451" s="15" t="n">
        <f aca="false">H451*(1+IF(I$3&lt;=$O$2,$D451,$D451-($D451-$I$427)*MIN(I$3-$O$2,$Q$2)/$Q$2))</f>
        <v>2205.74621938525</v>
      </c>
      <c r="J451" s="15" t="n">
        <f aca="false">I451*(1+IF(J$3&lt;=$O$2,$D451,$D451-($D451-$I$427)*MIN(J$3-$O$2,$Q$2)/$Q$2))</f>
        <v>2223.56307035571</v>
      </c>
      <c r="K451" s="15" t="n">
        <f aca="false">J451*(1+IF(K$3&lt;=$O$2,$D451,$D451-($D451-$I$427)*MIN(K$3-$O$2,$Q$2)/$Q$2))</f>
        <v>2258.32426130408</v>
      </c>
      <c r="L451" s="15" t="n">
        <f aca="false">K451*(1+IF(L$3&lt;=$O$2,$D451,$D451-($D451-$I$427)*MIN(L$3-$O$2,$Q$2)/$Q$2))</f>
        <v>2310.69194519592</v>
      </c>
      <c r="M451" s="15" t="n">
        <f aca="false">L451*(1+IF(M$3&lt;=$O$2,$D451,$D451-($D451-$I$427)*MIN(M$3-$O$2,$Q$2)/$Q$2))</f>
        <v>2381.73270807671</v>
      </c>
      <c r="N451" s="15" t="n">
        <f aca="false">M451*(1+IF(N$3&lt;=$O$2,$D451,$D451-($D451-$I$427)*MIN(N$3-$O$2,$Q$2)/$Q$2))</f>
        <v>2472.95307079605</v>
      </c>
      <c r="O451" s="15" t="n">
        <f aca="false">SUMPRODUCT(E451:N451,1/(1+$F$427)^$E$3:$N$3)*$E$2</f>
        <v>7904.93657627486</v>
      </c>
      <c r="P451" s="15" t="n">
        <f aca="false">N451*$E$2*(1+$I$427)/($F$427-$I$427)/(1+$F$427)^$N$3</f>
        <v>15925.4035669993</v>
      </c>
      <c r="Q451" s="15" t="n">
        <f aca="false">O451+P451</f>
        <v>23830.3401432741</v>
      </c>
      <c r="R451" s="15" t="n">
        <f aca="false">Q451-$G$2+$I$2</f>
        <v>25740.0001432741</v>
      </c>
      <c r="S451" s="42" t="n">
        <f aca="false">R451/$K$2</f>
        <v>109.985899855891</v>
      </c>
      <c r="T451" s="43" t="n">
        <f aca="false">S451-$M$2</f>
        <v>6.12204047456544E-007</v>
      </c>
    </row>
    <row r="452" customFormat="false" ht="15" hidden="false" customHeight="false" outlineLevel="0" collapsed="false">
      <c r="A452" s="5" t="n">
        <v>24</v>
      </c>
      <c r="B452" s="25" t="n">
        <f aca="false">IF(T451&gt;0,B451,D451)</f>
        <v>0.000521659851074219</v>
      </c>
      <c r="C452" s="25" t="n">
        <f aca="false">IF(T451&gt;0,D451,C451)</f>
        <v>0.000521838665008545</v>
      </c>
      <c r="D452" s="41" t="n">
        <f aca="false">(B452+C452)/2</f>
        <v>0.000521749258041382</v>
      </c>
      <c r="E452" s="15" t="n">
        <f aca="false">$C$2*(1+IF(E$3&lt;=$O$2,$D452,$D452-($D452-$I$427)*MIN(E$3-$O$2,$Q$2)/$Q$2))</f>
        <v>2201.14784836769</v>
      </c>
      <c r="F452" s="15" t="n">
        <f aca="false">E452*(1+IF(F$3&lt;=$O$2,$D452,$D452-($D452-$I$427)*MIN(F$3-$O$2,$Q$2)/$Q$2))</f>
        <v>2202.29629562442</v>
      </c>
      <c r="G452" s="15" t="n">
        <f aca="false">F452*(1+IF(G$3&lt;=$O$2,$D452,$D452-($D452-$I$427)*MIN(G$3-$O$2,$Q$2)/$Q$2))</f>
        <v>2203.44534208265</v>
      </c>
      <c r="H452" s="15" t="n">
        <f aca="false">G452*(1+IF(H$3&lt;=$O$2,$D452,$D452-($D452-$I$427)*MIN(H$3-$O$2,$Q$2)/$Q$2))</f>
        <v>2204.59498805501</v>
      </c>
      <c r="I452" s="15" t="n">
        <f aca="false">H452*(1+IF(I$3&lt;=$O$2,$D452,$D452-($D452-$I$427)*MIN(I$3-$O$2,$Q$2)/$Q$2))</f>
        <v>2205.74523385431</v>
      </c>
      <c r="J452" s="15" t="n">
        <f aca="false">I452*(1+IF(J$3&lt;=$O$2,$D452,$D452-($D452-$I$427)*MIN(J$3-$O$2,$Q$2)/$Q$2))</f>
        <v>2223.56191909699</v>
      </c>
      <c r="K452" s="15" t="n">
        <f aca="false">J452*(1+IF(K$3&lt;=$O$2,$D452,$D452-($D452-$I$427)*MIN(K$3-$O$2,$Q$2)/$Q$2))</f>
        <v>2258.32297276645</v>
      </c>
      <c r="L452" s="15" t="n">
        <f aca="false">K452*(1+IF(L$3&lt;=$O$2,$D452,$D452-($D452-$I$427)*MIN(L$3-$O$2,$Q$2)/$Q$2))</f>
        <v>2310.69054601481</v>
      </c>
      <c r="M452" s="15" t="n">
        <f aca="false">L452*(1+IF(M$3&lt;=$O$2,$D452,$D452-($D452-$I$427)*MIN(M$3-$O$2,$Q$2)/$Q$2))</f>
        <v>2381.73122456029</v>
      </c>
      <c r="N452" s="15" t="n">
        <f aca="false">M452*(1+IF(N$3&lt;=$O$2,$D452,$D452-($D452-$I$427)*MIN(N$3-$O$2,$Q$2)/$Q$2))</f>
        <v>2472.95153046095</v>
      </c>
      <c r="O452" s="15" t="n">
        <f aca="false">SUMPRODUCT(E452:N452,1/(1+$F$427)^$E$3:$N$3)*$E$2</f>
        <v>7904.93346496393</v>
      </c>
      <c r="P452" s="15" t="n">
        <f aca="false">N452*$E$2*(1+$I$427)/($F$427-$I$427)/(1+$F$427)^$N$3</f>
        <v>15925.3936474993</v>
      </c>
      <c r="Q452" s="15" t="n">
        <f aca="false">O452+P452</f>
        <v>23830.3271124632</v>
      </c>
      <c r="R452" s="15" t="n">
        <f aca="false">Q452-$G$2+$I$2</f>
        <v>25739.9871124632</v>
      </c>
      <c r="S452" s="42" t="n">
        <f aca="false">R452/$K$2</f>
        <v>109.985844175803</v>
      </c>
      <c r="T452" s="43" t="n">
        <f aca="false">S452-$M$2</f>
        <v>-5.50678836930274E-005</v>
      </c>
    </row>
    <row r="454" customFormat="false" ht="15" hidden="false" customHeight="false" outlineLevel="0" collapsed="false">
      <c r="A454" s="38" t="s">
        <v>203</v>
      </c>
      <c r="E454" s="5" t="s">
        <v>11</v>
      </c>
      <c r="F454" s="12" t="n">
        <f aca="false">Sensitivity!$B$13</f>
        <v>0.0827967762761046</v>
      </c>
      <c r="G454" s="5" t="s">
        <v>12</v>
      </c>
      <c r="I454" s="12" t="n">
        <f aca="false">Sensitivity!$C$9</f>
        <v>0.0183</v>
      </c>
    </row>
    <row r="455" customFormat="false" ht="23.85" hidden="false" customHeight="false" outlineLevel="0" collapsed="false">
      <c r="A455" s="38" t="s">
        <v>168</v>
      </c>
      <c r="B455" s="28" t="s">
        <v>169</v>
      </c>
      <c r="C455" s="28" t="s">
        <v>170</v>
      </c>
      <c r="D455" s="28" t="s">
        <v>171</v>
      </c>
      <c r="E455" s="28" t="s">
        <v>172</v>
      </c>
      <c r="F455" s="28" t="s">
        <v>173</v>
      </c>
      <c r="G455" s="28" t="s">
        <v>174</v>
      </c>
      <c r="H455" s="28" t="s">
        <v>175</v>
      </c>
      <c r="I455" s="28" t="s">
        <v>176</v>
      </c>
      <c r="J455" s="28" t="s">
        <v>177</v>
      </c>
      <c r="K455" s="28" t="s">
        <v>178</v>
      </c>
      <c r="L455" s="28" t="s">
        <v>179</v>
      </c>
      <c r="M455" s="28" t="s">
        <v>180</v>
      </c>
      <c r="N455" s="28" t="s">
        <v>181</v>
      </c>
      <c r="O455" s="28" t="s">
        <v>182</v>
      </c>
      <c r="P455" s="28" t="s">
        <v>183</v>
      </c>
      <c r="Q455" s="28" t="s">
        <v>184</v>
      </c>
      <c r="R455" s="28" t="s">
        <v>185</v>
      </c>
      <c r="S455" s="28" t="s">
        <v>186</v>
      </c>
      <c r="T455" s="28" t="s">
        <v>187</v>
      </c>
    </row>
    <row r="456" customFormat="false" ht="15" hidden="false" customHeight="false" outlineLevel="0" collapsed="false">
      <c r="A456" s="5" t="n">
        <v>1</v>
      </c>
      <c r="B456" s="24" t="n">
        <v>-0.5</v>
      </c>
      <c r="C456" s="24" t="n">
        <v>1</v>
      </c>
      <c r="D456" s="41" t="n">
        <f aca="false">(B456+C456)/2</f>
        <v>0.25</v>
      </c>
      <c r="E456" s="15" t="n">
        <f aca="false">$C$2*(1+IF(E$3&lt;=$O$2,$D456,$D456-($D456-$I$454)*MIN(E$3-$O$2,$Q$2)/$Q$2))</f>
        <v>2750</v>
      </c>
      <c r="F456" s="15" t="n">
        <f aca="false">E456*(1+IF(F$3&lt;=$O$2,$D456,$D456-($D456-$I$454)*MIN(F$3-$O$2,$Q$2)/$Q$2))</f>
        <v>3437.5</v>
      </c>
      <c r="G456" s="15" t="n">
        <f aca="false">F456*(1+IF(G$3&lt;=$O$2,$D456,$D456-($D456-$I$454)*MIN(G$3-$O$2,$Q$2)/$Q$2))</f>
        <v>4296.875</v>
      </c>
      <c r="H456" s="15" t="n">
        <f aca="false">G456*(1+IF(H$3&lt;=$O$2,$D456,$D456-($D456-$I$454)*MIN(H$3-$O$2,$Q$2)/$Q$2))</f>
        <v>5371.09375</v>
      </c>
      <c r="I456" s="15" t="n">
        <f aca="false">H456*(1+IF(I$3&lt;=$O$2,$D456,$D456-($D456-$I$454)*MIN(I$3-$O$2,$Q$2)/$Q$2))</f>
        <v>6713.8671875</v>
      </c>
      <c r="J456" s="15" t="n">
        <f aca="false">I456*(1+IF(J$3&lt;=$O$2,$D456,$D456-($D456-$I$454)*MIN(J$3-$O$2,$Q$2)/$Q$2))</f>
        <v>8081.21337890625</v>
      </c>
      <c r="K456" s="15" t="n">
        <f aca="false">J456*(1+IF(K$3&lt;=$O$2,$D456,$D456-($D456-$I$454)*MIN(K$3-$O$2,$Q$2)/$Q$2))</f>
        <v>9352.54986767578</v>
      </c>
      <c r="L456" s="15" t="n">
        <f aca="false">K456*(1+IF(L$3&lt;=$O$2,$D456,$D456-($D456-$I$454)*MIN(L$3-$O$2,$Q$2)/$Q$2))</f>
        <v>10390.4958519904</v>
      </c>
      <c r="M456" s="15" t="n">
        <f aca="false">L456*(1+IF(M$3&lt;=$O$2,$D456,$D456-($D456-$I$454)*MIN(M$3-$O$2,$Q$2)/$Q$2))</f>
        <v>11062.1375038631</v>
      </c>
      <c r="N456" s="15" t="n">
        <f aca="false">M456*(1+IF(N$3&lt;=$O$2,$D456,$D456-($D456-$I$454)*MIN(N$3-$O$2,$Q$2)/$Q$2))</f>
        <v>11264.5746201838</v>
      </c>
      <c r="O456" s="15" t="n">
        <f aca="false">SUMPRODUCT(E456:N456,1/(1+$F$454)^$E$3:$N$3)*$E$2</f>
        <v>22611.9974738583</v>
      </c>
      <c r="P456" s="15" t="n">
        <f aca="false">N456*$E$2*(1+$I$454)/($F$454-$I$454)/(1+$F$454)^$N$3</f>
        <v>41597.301835301</v>
      </c>
      <c r="Q456" s="15" t="n">
        <f aca="false">O456+P456</f>
        <v>64209.2993091593</v>
      </c>
      <c r="R456" s="15" t="n">
        <f aca="false">Q456-$G$2+$I$2</f>
        <v>66118.9593091593</v>
      </c>
      <c r="S456" s="42" t="n">
        <f aca="false">R456/$K$2</f>
        <v>282.523434214243</v>
      </c>
      <c r="T456" s="43" t="n">
        <f aca="false">S456-$M$2</f>
        <v>172.537534970556</v>
      </c>
    </row>
    <row r="457" customFormat="false" ht="15" hidden="false" customHeight="false" outlineLevel="0" collapsed="false">
      <c r="A457" s="5" t="n">
        <v>2</v>
      </c>
      <c r="B457" s="25" t="n">
        <f aca="false">IF(T456&gt;0,B456,D456)</f>
        <v>-0.5</v>
      </c>
      <c r="C457" s="25" t="n">
        <f aca="false">IF(T456&gt;0,D456,C456)</f>
        <v>0.25</v>
      </c>
      <c r="D457" s="41" t="n">
        <f aca="false">(B457+C457)/2</f>
        <v>-0.125</v>
      </c>
      <c r="E457" s="15" t="n">
        <f aca="false">$C$2*(1+IF(E$3&lt;=$O$2,$D457,$D457-($D457-$I$454)*MIN(E$3-$O$2,$Q$2)/$Q$2))</f>
        <v>1925</v>
      </c>
      <c r="F457" s="15" t="n">
        <f aca="false">E457*(1+IF(F$3&lt;=$O$2,$D457,$D457-($D457-$I$454)*MIN(F$3-$O$2,$Q$2)/$Q$2))</f>
        <v>1684.375</v>
      </c>
      <c r="G457" s="15" t="n">
        <f aca="false">F457*(1+IF(G$3&lt;=$O$2,$D457,$D457-($D457-$I$454)*MIN(G$3-$O$2,$Q$2)/$Q$2))</f>
        <v>1473.828125</v>
      </c>
      <c r="H457" s="15" t="n">
        <f aca="false">G457*(1+IF(H$3&lt;=$O$2,$D457,$D457-($D457-$I$454)*MIN(H$3-$O$2,$Q$2)/$Q$2))</f>
        <v>1289.599609375</v>
      </c>
      <c r="I457" s="15" t="n">
        <f aca="false">H457*(1+IF(I$3&lt;=$O$2,$D457,$D457-($D457-$I$454)*MIN(I$3-$O$2,$Q$2)/$Q$2))</f>
        <v>1128.39965820313</v>
      </c>
      <c r="J457" s="15" t="n">
        <f aca="false">I457*(1+IF(J$3&lt;=$O$2,$D457,$D457-($D457-$I$454)*MIN(J$3-$O$2,$Q$2)/$Q$2))</f>
        <v>1019.68963513184</v>
      </c>
      <c r="K457" s="15" t="n">
        <f aca="false">J457*(1+IF(K$3&lt;=$O$2,$D457,$D457-($D457-$I$454)*MIN(K$3-$O$2,$Q$2)/$Q$2))</f>
        <v>950.677040626113</v>
      </c>
      <c r="L457" s="15" t="n">
        <f aca="false">K457*(1+IF(L$3&lt;=$O$2,$D457,$D457-($D457-$I$454)*MIN(L$3-$O$2,$Q$2)/$Q$2))</f>
        <v>913.581622500882</v>
      </c>
      <c r="M457" s="15" t="n">
        <f aca="false">L457*(1+IF(M$3&lt;=$O$2,$D457,$D457-($D457-$I$454)*MIN(M$3-$O$2,$Q$2)/$Q$2))</f>
        <v>904.116916891773</v>
      </c>
      <c r="N457" s="15" t="n">
        <f aca="false">M457*(1+IF(N$3&lt;=$O$2,$D457,$D457-($D457-$I$454)*MIN(N$3-$O$2,$Q$2)/$Q$2))</f>
        <v>920.662256470893</v>
      </c>
      <c r="O457" s="15" t="n">
        <f aca="false">SUMPRODUCT(E457:N457,1/(1+$F$454)^$E$3:$N$3)*$E$2</f>
        <v>4451.15811611878</v>
      </c>
      <c r="P457" s="15" t="n">
        <f aca="false">N457*$E$2*(1+$I$454)/($F$454-$I$454)/(1+$F$454)^$N$3</f>
        <v>3399.77913610413</v>
      </c>
      <c r="Q457" s="15" t="n">
        <f aca="false">O457+P457</f>
        <v>7850.93725222292</v>
      </c>
      <c r="R457" s="15" t="n">
        <f aca="false">Q457-$G$2+$I$2</f>
        <v>9760.59725222292</v>
      </c>
      <c r="S457" s="42" t="n">
        <f aca="false">R457/$K$2</f>
        <v>41.7066070684225</v>
      </c>
      <c r="T457" s="43" t="n">
        <f aca="false">S457-$M$2</f>
        <v>-68.2792921752642</v>
      </c>
    </row>
    <row r="458" customFormat="false" ht="15" hidden="false" customHeight="false" outlineLevel="0" collapsed="false">
      <c r="A458" s="5" t="n">
        <v>3</v>
      </c>
      <c r="B458" s="25" t="n">
        <f aca="false">IF(T457&gt;0,B457,D457)</f>
        <v>-0.125</v>
      </c>
      <c r="C458" s="25" t="n">
        <f aca="false">IF(T457&gt;0,D457,C457)</f>
        <v>0.25</v>
      </c>
      <c r="D458" s="41" t="n">
        <f aca="false">(B458+C458)/2</f>
        <v>0.0625</v>
      </c>
      <c r="E458" s="15" t="n">
        <f aca="false">$C$2*(1+IF(E$3&lt;=$O$2,$D458,$D458-($D458-$I$454)*MIN(E$3-$O$2,$Q$2)/$Q$2))</f>
        <v>2337.5</v>
      </c>
      <c r="F458" s="15" t="n">
        <f aca="false">E458*(1+IF(F$3&lt;=$O$2,$D458,$D458-($D458-$I$454)*MIN(F$3-$O$2,$Q$2)/$Q$2))</f>
        <v>2483.59375</v>
      </c>
      <c r="G458" s="15" t="n">
        <f aca="false">F458*(1+IF(G$3&lt;=$O$2,$D458,$D458-($D458-$I$454)*MIN(G$3-$O$2,$Q$2)/$Q$2))</f>
        <v>2638.818359375</v>
      </c>
      <c r="H458" s="15" t="n">
        <f aca="false">G458*(1+IF(H$3&lt;=$O$2,$D458,$D458-($D458-$I$454)*MIN(H$3-$O$2,$Q$2)/$Q$2))</f>
        <v>2803.74450683594</v>
      </c>
      <c r="I458" s="15" t="n">
        <f aca="false">H458*(1+IF(I$3&lt;=$O$2,$D458,$D458-($D458-$I$454)*MIN(I$3-$O$2,$Q$2)/$Q$2))</f>
        <v>2978.97853851318</v>
      </c>
      <c r="J458" s="15" t="n">
        <f aca="false">I458*(1+IF(J$3&lt;=$O$2,$D458,$D458-($D458-$I$454)*MIN(J$3-$O$2,$Q$2)/$Q$2))</f>
        <v>3138.8305268898</v>
      </c>
      <c r="K458" s="15" t="n">
        <f aca="false">J458*(1+IF(K$3&lt;=$O$2,$D458,$D458-($D458-$I$454)*MIN(K$3-$O$2,$Q$2)/$Q$2))</f>
        <v>3279.512911105</v>
      </c>
      <c r="L458" s="15" t="n">
        <f aca="false">K458*(1+IF(L$3&lt;=$O$2,$D458,$D458-($D458-$I$454)*MIN(L$3-$O$2,$Q$2)/$Q$2))</f>
        <v>3397.50978564656</v>
      </c>
      <c r="M458" s="15" t="n">
        <f aca="false">L458*(1+IF(M$3&lt;=$O$2,$D458,$D458-($D458-$I$454)*MIN(M$3-$O$2,$Q$2)/$Q$2))</f>
        <v>3489.71820122901</v>
      </c>
      <c r="N458" s="15" t="n">
        <f aca="false">M458*(1+IF(N$3&lt;=$O$2,$D458,$D458-($D458-$I$454)*MIN(N$3-$O$2,$Q$2)/$Q$2))</f>
        <v>3553.5800443115</v>
      </c>
      <c r="O458" s="15" t="n">
        <f aca="false">SUMPRODUCT(E458:N458,1/(1+$F$454)^$E$3:$N$3)*$E$2</f>
        <v>10016.9489971392</v>
      </c>
      <c r="P458" s="15" t="n">
        <f aca="false">N458*$E$2*(1+$I$454)/($F$454-$I$454)/(1+$F$454)^$N$3</f>
        <v>13122.4965596363</v>
      </c>
      <c r="Q458" s="15" t="n">
        <f aca="false">O458+P458</f>
        <v>23139.4455567754</v>
      </c>
      <c r="R458" s="15" t="n">
        <f aca="false">Q458-$G$2+$I$2</f>
        <v>25049.1055567754</v>
      </c>
      <c r="S458" s="42" t="n">
        <f aca="false">R458/$K$2</f>
        <v>107.033737370318</v>
      </c>
      <c r="T458" s="43" t="n">
        <f aca="false">S458-$M$2</f>
        <v>-2.95216187336911</v>
      </c>
    </row>
    <row r="459" customFormat="false" ht="15" hidden="false" customHeight="false" outlineLevel="0" collapsed="false">
      <c r="A459" s="5" t="n">
        <v>4</v>
      </c>
      <c r="B459" s="25" t="n">
        <f aca="false">IF(T458&gt;0,B458,D458)</f>
        <v>0.0625</v>
      </c>
      <c r="C459" s="25" t="n">
        <f aca="false">IF(T458&gt;0,D458,C458)</f>
        <v>0.25</v>
      </c>
      <c r="D459" s="41" t="n">
        <f aca="false">(B459+C459)/2</f>
        <v>0.15625</v>
      </c>
      <c r="E459" s="15" t="n">
        <f aca="false">$C$2*(1+IF(E$3&lt;=$O$2,$D459,$D459-($D459-$I$454)*MIN(E$3-$O$2,$Q$2)/$Q$2))</f>
        <v>2543.75</v>
      </c>
      <c r="F459" s="15" t="n">
        <f aca="false">E459*(1+IF(F$3&lt;=$O$2,$D459,$D459-($D459-$I$454)*MIN(F$3-$O$2,$Q$2)/$Q$2))</f>
        <v>2941.2109375</v>
      </c>
      <c r="G459" s="15" t="n">
        <f aca="false">F459*(1+IF(G$3&lt;=$O$2,$D459,$D459-($D459-$I$454)*MIN(G$3-$O$2,$Q$2)/$Q$2))</f>
        <v>3400.77514648438</v>
      </c>
      <c r="H459" s="15" t="n">
        <f aca="false">G459*(1+IF(H$3&lt;=$O$2,$D459,$D459-($D459-$I$454)*MIN(H$3-$O$2,$Q$2)/$Q$2))</f>
        <v>3932.14626312256</v>
      </c>
      <c r="I459" s="15" t="n">
        <f aca="false">H459*(1+IF(I$3&lt;=$O$2,$D459,$D459-($D459-$I$454)*MIN(I$3-$O$2,$Q$2)/$Q$2))</f>
        <v>4546.54411673546</v>
      </c>
      <c r="J459" s="15" t="n">
        <f aca="false">I459*(1+IF(J$3&lt;=$O$2,$D459,$D459-($D459-$I$454)*MIN(J$3-$O$2,$Q$2)/$Q$2))</f>
        <v>5131.50248279464</v>
      </c>
      <c r="K459" s="15" t="n">
        <f aca="false">J459*(1+IF(K$3&lt;=$O$2,$D459,$D459-($D459-$I$454)*MIN(K$3-$O$2,$Q$2)/$Q$2))</f>
        <v>5650.1434387307</v>
      </c>
      <c r="L459" s="15" t="n">
        <f aca="false">K459*(1+IF(L$3&lt;=$O$2,$D459,$D459-($D459-$I$454)*MIN(L$3-$O$2,$Q$2)/$Q$2))</f>
        <v>6065.31597860863</v>
      </c>
      <c r="M459" s="15" t="n">
        <f aca="false">L459*(1+IF(M$3&lt;=$O$2,$D459,$D459-($D459-$I$454)*MIN(M$3-$O$2,$Q$2)/$Q$2))</f>
        <v>6343.65332886698</v>
      </c>
      <c r="N459" s="15" t="n">
        <f aca="false">M459*(1+IF(N$3&lt;=$O$2,$D459,$D459-($D459-$I$454)*MIN(N$3-$O$2,$Q$2)/$Q$2))</f>
        <v>6459.74218478525</v>
      </c>
      <c r="O459" s="15" t="n">
        <f aca="false">SUMPRODUCT(E459:N459,1/(1+$F$454)^$E$3:$N$3)*$E$2</f>
        <v>15078.6574060873</v>
      </c>
      <c r="P459" s="15" t="n">
        <f aca="false">N459*$E$2*(1+$I$454)/($F$454-$I$454)/(1+$F$454)^$N$3</f>
        <v>23854.2381313955</v>
      </c>
      <c r="Q459" s="15" t="n">
        <f aca="false">O459+P459</f>
        <v>38932.8955374828</v>
      </c>
      <c r="R459" s="15" t="n">
        <f aca="false">Q459-$G$2+$I$2</f>
        <v>40842.5555374828</v>
      </c>
      <c r="S459" s="42" t="n">
        <f aca="false">R459/$K$2</f>
        <v>174.518461468542</v>
      </c>
      <c r="T459" s="43" t="n">
        <f aca="false">S459-$M$2</f>
        <v>64.5325622248549</v>
      </c>
    </row>
    <row r="460" customFormat="false" ht="15" hidden="false" customHeight="false" outlineLevel="0" collapsed="false">
      <c r="A460" s="5" t="n">
        <v>5</v>
      </c>
      <c r="B460" s="25" t="n">
        <f aca="false">IF(T459&gt;0,B459,D459)</f>
        <v>0.0625</v>
      </c>
      <c r="C460" s="25" t="n">
        <f aca="false">IF(T459&gt;0,D459,C459)</f>
        <v>0.15625</v>
      </c>
      <c r="D460" s="41" t="n">
        <f aca="false">(B460+C460)/2</f>
        <v>0.109375</v>
      </c>
      <c r="E460" s="15" t="n">
        <f aca="false">$C$2*(1+IF(E$3&lt;=$O$2,$D460,$D460-($D460-$I$454)*MIN(E$3-$O$2,$Q$2)/$Q$2))</f>
        <v>2440.625</v>
      </c>
      <c r="F460" s="15" t="n">
        <f aca="false">E460*(1+IF(F$3&lt;=$O$2,$D460,$D460-($D460-$I$454)*MIN(F$3-$O$2,$Q$2)/$Q$2))</f>
        <v>2707.568359375</v>
      </c>
      <c r="G460" s="15" t="n">
        <f aca="false">F460*(1+IF(G$3&lt;=$O$2,$D460,$D460-($D460-$I$454)*MIN(G$3-$O$2,$Q$2)/$Q$2))</f>
        <v>3003.70864868164</v>
      </c>
      <c r="H460" s="15" t="n">
        <f aca="false">G460*(1+IF(H$3&lt;=$O$2,$D460,$D460-($D460-$I$454)*MIN(H$3-$O$2,$Q$2)/$Q$2))</f>
        <v>3332.2392821312</v>
      </c>
      <c r="I460" s="15" t="n">
        <f aca="false">H460*(1+IF(I$3&lt;=$O$2,$D460,$D460-($D460-$I$454)*MIN(I$3-$O$2,$Q$2)/$Q$2))</f>
        <v>3696.70295361429</v>
      </c>
      <c r="J460" s="15" t="n">
        <f aca="false">I460*(1+IF(J$3&lt;=$O$2,$D460,$D460-($D460-$I$454)*MIN(J$3-$O$2,$Q$2)/$Q$2))</f>
        <v>4033.69439486577</v>
      </c>
      <c r="K460" s="15" t="n">
        <f aca="false">J460*(1+IF(K$3&lt;=$O$2,$D460,$D460-($D460-$I$454)*MIN(K$3-$O$2,$Q$2)/$Q$2))</f>
        <v>4327.93223249926</v>
      </c>
      <c r="L460" s="15" t="n">
        <f aca="false">K460*(1+IF(L$3&lt;=$O$2,$D460,$D460-($D460-$I$454)*MIN(L$3-$O$2,$Q$2)/$Q$2))</f>
        <v>4564.79996358394</v>
      </c>
      <c r="M460" s="15" t="n">
        <f aca="false">L460*(1+IF(M$3&lt;=$O$2,$D460,$D460-($D460-$I$454)*MIN(M$3-$O$2,$Q$2)/$Q$2))</f>
        <v>4731.48363425421</v>
      </c>
      <c r="N460" s="15" t="n">
        <f aca="false">M460*(1+IF(N$3&lt;=$O$2,$D460,$D460-($D460-$I$454)*MIN(N$3-$O$2,$Q$2)/$Q$2))</f>
        <v>4818.06978476106</v>
      </c>
      <c r="O460" s="15" t="n">
        <f aca="false">SUMPRODUCT(E460:N460,1/(1+$F$454)^$E$3:$N$3)*$E$2</f>
        <v>12292.6672657912</v>
      </c>
      <c r="P460" s="15" t="n">
        <f aca="false">N460*$E$2*(1+$I$454)/($F$454-$I$454)/(1+$F$454)^$N$3</f>
        <v>17791.9459773599</v>
      </c>
      <c r="Q460" s="15" t="n">
        <f aca="false">O460+P460</f>
        <v>30084.6132431511</v>
      </c>
      <c r="R460" s="15" t="n">
        <f aca="false">Q460-$G$2+$I$2</f>
        <v>31994.2732431511</v>
      </c>
      <c r="S460" s="42" t="n">
        <f aca="false">R460/$K$2</f>
        <v>136.710136491694</v>
      </c>
      <c r="T460" s="43" t="n">
        <f aca="false">S460-$M$2</f>
        <v>26.7242372480071</v>
      </c>
    </row>
    <row r="461" customFormat="false" ht="15" hidden="false" customHeight="false" outlineLevel="0" collapsed="false">
      <c r="A461" s="5" t="n">
        <v>6</v>
      </c>
      <c r="B461" s="25" t="n">
        <f aca="false">IF(T460&gt;0,B460,D460)</f>
        <v>0.0625</v>
      </c>
      <c r="C461" s="25" t="n">
        <f aca="false">IF(T460&gt;0,D460,C460)</f>
        <v>0.109375</v>
      </c>
      <c r="D461" s="41" t="n">
        <f aca="false">(B461+C461)/2</f>
        <v>0.0859375</v>
      </c>
      <c r="E461" s="15" t="n">
        <f aca="false">$C$2*(1+IF(E$3&lt;=$O$2,$D461,$D461-($D461-$I$454)*MIN(E$3-$O$2,$Q$2)/$Q$2))</f>
        <v>2389.0625</v>
      </c>
      <c r="F461" s="15" t="n">
        <f aca="false">E461*(1+IF(F$3&lt;=$O$2,$D461,$D461-($D461-$I$454)*MIN(F$3-$O$2,$Q$2)/$Q$2))</f>
        <v>2594.37255859375</v>
      </c>
      <c r="G461" s="15" t="n">
        <f aca="false">F461*(1+IF(G$3&lt;=$O$2,$D461,$D461-($D461-$I$454)*MIN(G$3-$O$2,$Q$2)/$Q$2))</f>
        <v>2817.3264503479</v>
      </c>
      <c r="H461" s="15" t="n">
        <f aca="false">G461*(1+IF(H$3&lt;=$O$2,$D461,$D461-($D461-$I$454)*MIN(H$3-$O$2,$Q$2)/$Q$2))</f>
        <v>3059.44044217467</v>
      </c>
      <c r="I461" s="15" t="n">
        <f aca="false">H461*(1+IF(I$3&lt;=$O$2,$D461,$D461-($D461-$I$454)*MIN(I$3-$O$2,$Q$2)/$Q$2))</f>
        <v>3322.36110517406</v>
      </c>
      <c r="J461" s="15" t="n">
        <f aca="false">I461*(1+IF(J$3&lt;=$O$2,$D461,$D461-($D461-$I$454)*MIN(J$3-$O$2,$Q$2)/$Q$2))</f>
        <v>3562.93327279971</v>
      </c>
      <c r="K461" s="15" t="n">
        <f aca="false">J461*(1+IF(K$3&lt;=$O$2,$D461,$D461-($D461-$I$454)*MIN(K$3-$O$2,$Q$2)/$Q$2))</f>
        <v>3772.72769123534</v>
      </c>
      <c r="L461" s="15" t="n">
        <f aca="false">K461*(1+IF(L$3&lt;=$O$2,$D461,$D461-($D461-$I$454)*MIN(L$3-$O$2,$Q$2)/$Q$2))</f>
        <v>3943.83975567132</v>
      </c>
      <c r="M461" s="15" t="n">
        <f aca="false">L461*(1+IF(M$3&lt;=$O$2,$D461,$D461-($D461-$I$454)*MIN(M$3-$O$2,$Q$2)/$Q$2))</f>
        <v>4069.36231549495</v>
      </c>
      <c r="N461" s="15" t="n">
        <f aca="false">M461*(1+IF(N$3&lt;=$O$2,$D461,$D461-($D461-$I$454)*MIN(N$3-$O$2,$Q$2)/$Q$2))</f>
        <v>4143.83164586851</v>
      </c>
      <c r="O461" s="15" t="n">
        <f aca="false">SUMPRODUCT(E461:N461,1/(1+$F$454)^$E$3:$N$3)*$E$2</f>
        <v>11096.8520386191</v>
      </c>
      <c r="P461" s="15" t="n">
        <f aca="false">N461*$E$2*(1+$I$454)/($F$454-$I$454)/(1+$F$454)^$N$3</f>
        <v>15302.1504619454</v>
      </c>
      <c r="Q461" s="15" t="n">
        <f aca="false">O461+P461</f>
        <v>26399.0025005646</v>
      </c>
      <c r="R461" s="15" t="n">
        <f aca="false">Q461-$G$2+$I$2</f>
        <v>28308.6625005646</v>
      </c>
      <c r="S461" s="42" t="n">
        <f aca="false">R461/$K$2</f>
        <v>120.96168226537</v>
      </c>
      <c r="T461" s="43" t="n">
        <f aca="false">S461-$M$2</f>
        <v>10.9757830216834</v>
      </c>
    </row>
    <row r="462" customFormat="false" ht="15" hidden="false" customHeight="false" outlineLevel="0" collapsed="false">
      <c r="A462" s="5" t="n">
        <v>7</v>
      </c>
      <c r="B462" s="25" t="n">
        <f aca="false">IF(T461&gt;0,B461,D461)</f>
        <v>0.0625</v>
      </c>
      <c r="C462" s="25" t="n">
        <f aca="false">IF(T461&gt;0,D461,C461)</f>
        <v>0.0859375</v>
      </c>
      <c r="D462" s="41" t="n">
        <f aca="false">(B462+C462)/2</f>
        <v>0.07421875</v>
      </c>
      <c r="E462" s="15" t="n">
        <f aca="false">$C$2*(1+IF(E$3&lt;=$O$2,$D462,$D462-($D462-$I$454)*MIN(E$3-$O$2,$Q$2)/$Q$2))</f>
        <v>2363.28125</v>
      </c>
      <c r="F462" s="15" t="n">
        <f aca="false">E462*(1+IF(F$3&lt;=$O$2,$D462,$D462-($D462-$I$454)*MIN(F$3-$O$2,$Q$2)/$Q$2))</f>
        <v>2538.68103027344</v>
      </c>
      <c r="G462" s="15" t="n">
        <f aca="false">F462*(1+IF(G$3&lt;=$O$2,$D462,$D462-($D462-$I$454)*MIN(G$3-$O$2,$Q$2)/$Q$2))</f>
        <v>2727.09876298904</v>
      </c>
      <c r="H462" s="15" t="n">
        <f aca="false">G462*(1+IF(H$3&lt;=$O$2,$D462,$D462-($D462-$I$454)*MIN(H$3-$O$2,$Q$2)/$Q$2))</f>
        <v>2929.50062430464</v>
      </c>
      <c r="I462" s="15" t="n">
        <f aca="false">H462*(1+IF(I$3&lt;=$O$2,$D462,$D462-($D462-$I$454)*MIN(I$3-$O$2,$Q$2)/$Q$2))</f>
        <v>3146.92449876475</v>
      </c>
      <c r="J462" s="15" t="n">
        <f aca="false">I462*(1+IF(J$3&lt;=$O$2,$D462,$D462-($D462-$I$454)*MIN(J$3-$O$2,$Q$2)/$Q$2))</f>
        <v>3345.29088454438</v>
      </c>
      <c r="K462" s="15" t="n">
        <f aca="false">J462*(1+IF(K$3&lt;=$O$2,$D462,$D462-($D462-$I$454)*MIN(K$3-$O$2,$Q$2)/$Q$2))</f>
        <v>3518.74839852161</v>
      </c>
      <c r="L462" s="15" t="n">
        <f aca="false">K462*(1+IF(L$3&lt;=$O$2,$D462,$D462-($D462-$I$454)*MIN(L$3-$O$2,$Q$2)/$Q$2))</f>
        <v>3661.84709901849</v>
      </c>
      <c r="M462" s="15" t="n">
        <f aca="false">L462*(1+IF(M$3&lt;=$O$2,$D462,$D462-($D462-$I$454)*MIN(M$3-$O$2,$Q$2)/$Q$2))</f>
        <v>3769.81208342418</v>
      </c>
      <c r="N462" s="15" t="n">
        <f aca="false">M462*(1+IF(N$3&lt;=$O$2,$D462,$D462-($D462-$I$454)*MIN(N$3-$O$2,$Q$2)/$Q$2))</f>
        <v>3838.79964455084</v>
      </c>
      <c r="O462" s="15" t="n">
        <f aca="false">SUMPRODUCT(E462:N462,1/(1+$F$454)^$E$3:$N$3)*$E$2</f>
        <v>10543.0891807908</v>
      </c>
      <c r="P462" s="15" t="n">
        <f aca="false">N462*$E$2*(1+$I$454)/($F$454-$I$454)/(1+$F$454)^$N$3</f>
        <v>14175.7423501379</v>
      </c>
      <c r="Q462" s="15" t="n">
        <f aca="false">O462+P462</f>
        <v>24718.8315309286</v>
      </c>
      <c r="R462" s="15" t="n">
        <f aca="false">Q462-$G$2+$I$2</f>
        <v>26628.4915309286</v>
      </c>
      <c r="S462" s="42" t="n">
        <f aca="false">R462/$K$2</f>
        <v>113.782384869156</v>
      </c>
      <c r="T462" s="43" t="n">
        <f aca="false">S462-$M$2</f>
        <v>3.7964856254695</v>
      </c>
    </row>
    <row r="463" customFormat="false" ht="15" hidden="false" customHeight="false" outlineLevel="0" collapsed="false">
      <c r="A463" s="5" t="n">
        <v>8</v>
      </c>
      <c r="B463" s="25" t="n">
        <f aca="false">IF(T462&gt;0,B462,D462)</f>
        <v>0.0625</v>
      </c>
      <c r="C463" s="25" t="n">
        <f aca="false">IF(T462&gt;0,D462,C462)</f>
        <v>0.07421875</v>
      </c>
      <c r="D463" s="41" t="n">
        <f aca="false">(B463+C463)/2</f>
        <v>0.068359375</v>
      </c>
      <c r="E463" s="15" t="n">
        <f aca="false">$C$2*(1+IF(E$3&lt;=$O$2,$D463,$D463-($D463-$I$454)*MIN(E$3-$O$2,$Q$2)/$Q$2))</f>
        <v>2350.390625</v>
      </c>
      <c r="F463" s="15" t="n">
        <f aca="false">E463*(1+IF(F$3&lt;=$O$2,$D463,$D463-($D463-$I$454)*MIN(F$3-$O$2,$Q$2)/$Q$2))</f>
        <v>2511.06185913086</v>
      </c>
      <c r="G463" s="15" t="n">
        <f aca="false">F463*(1+IF(G$3&lt;=$O$2,$D463,$D463-($D463-$I$454)*MIN(G$3-$O$2,$Q$2)/$Q$2))</f>
        <v>2682.71647840738</v>
      </c>
      <c r="H463" s="15" t="n">
        <f aca="false">G463*(1+IF(H$3&lt;=$O$2,$D463,$D463-($D463-$I$454)*MIN(H$3-$O$2,$Q$2)/$Q$2))</f>
        <v>2866.10530017351</v>
      </c>
      <c r="I463" s="15" t="n">
        <f aca="false">H463*(1+IF(I$3&lt;=$O$2,$D463,$D463-($D463-$I$454)*MIN(I$3-$O$2,$Q$2)/$Q$2))</f>
        <v>3062.03046717756</v>
      </c>
      <c r="J463" s="15" t="n">
        <f aca="false">I463*(1+IF(J$3&lt;=$O$2,$D463,$D463-($D463-$I$454)*MIN(J$3-$O$2,$Q$2)/$Q$2))</f>
        <v>3240.6922898612</v>
      </c>
      <c r="K463" s="15" t="n">
        <f aca="false">J463*(1+IF(K$3&lt;=$O$2,$D463,$D463-($D463-$I$454)*MIN(K$3-$O$2,$Q$2)/$Q$2))</f>
        <v>3397.33317712433</v>
      </c>
      <c r="L463" s="15" t="n">
        <f aca="false">K463*(1+IF(L$3&lt;=$O$2,$D463,$D463-($D463-$I$454)*MIN(L$3-$O$2,$Q$2)/$Q$2))</f>
        <v>3527.53172447114</v>
      </c>
      <c r="M463" s="15" t="n">
        <f aca="false">L463*(1+IF(M$3&lt;=$O$2,$D463,$D463-($D463-$I$454)*MIN(M$3-$O$2,$Q$2)/$Q$2))</f>
        <v>3627.40276171291</v>
      </c>
      <c r="N463" s="15" t="n">
        <f aca="false">M463*(1+IF(N$3&lt;=$O$2,$D463,$D463-($D463-$I$454)*MIN(N$3-$O$2,$Q$2)/$Q$2))</f>
        <v>3693.78423225225</v>
      </c>
      <c r="O463" s="15" t="n">
        <f aca="false">SUMPRODUCT(E463:N463,1/(1+$F$454)^$E$3:$N$3)*$E$2</f>
        <v>10276.6479483972</v>
      </c>
      <c r="P463" s="15" t="n">
        <f aca="false">N463*$E$2*(1+$I$454)/($F$454-$I$454)/(1+$F$454)^$N$3</f>
        <v>13640.2361211369</v>
      </c>
      <c r="Q463" s="15" t="n">
        <f aca="false">O463+P463</f>
        <v>23916.8840695341</v>
      </c>
      <c r="R463" s="15" t="n">
        <f aca="false">Q463-$G$2+$I$2</f>
        <v>25826.5440695341</v>
      </c>
      <c r="S463" s="42" t="n">
        <f aca="false">R463/$K$2</f>
        <v>110.355698284554</v>
      </c>
      <c r="T463" s="43" t="n">
        <f aca="false">S463-$M$2</f>
        <v>0.369799040866852</v>
      </c>
    </row>
    <row r="464" customFormat="false" ht="15" hidden="false" customHeight="false" outlineLevel="0" collapsed="false">
      <c r="A464" s="5" t="n">
        <v>9</v>
      </c>
      <c r="B464" s="25" t="n">
        <f aca="false">IF(T463&gt;0,B463,D463)</f>
        <v>0.0625</v>
      </c>
      <c r="C464" s="25" t="n">
        <f aca="false">IF(T463&gt;0,D463,C463)</f>
        <v>0.068359375</v>
      </c>
      <c r="D464" s="41" t="n">
        <f aca="false">(B464+C464)/2</f>
        <v>0.0654296875</v>
      </c>
      <c r="E464" s="15" t="n">
        <f aca="false">$C$2*(1+IF(E$3&lt;=$O$2,$D464,$D464-($D464-$I$454)*MIN(E$3-$O$2,$Q$2)/$Q$2))</f>
        <v>2343.9453125</v>
      </c>
      <c r="F464" s="15" t="n">
        <f aca="false">E464*(1+IF(F$3&lt;=$O$2,$D464,$D464-($D464-$I$454)*MIN(F$3-$O$2,$Q$2)/$Q$2))</f>
        <v>2497.30892181397</v>
      </c>
      <c r="G464" s="15" t="n">
        <f aca="false">F464*(1+IF(G$3&lt;=$O$2,$D464,$D464-($D464-$I$454)*MIN(G$3-$O$2,$Q$2)/$Q$2))</f>
        <v>2660.70706415921</v>
      </c>
      <c r="H464" s="15" t="n">
        <f aca="false">G464*(1+IF(H$3&lt;=$O$2,$D464,$D464-($D464-$I$454)*MIN(H$3-$O$2,$Q$2)/$Q$2))</f>
        <v>2834.79629589619</v>
      </c>
      <c r="I464" s="15" t="n">
        <f aca="false">H464*(1+IF(I$3&lt;=$O$2,$D464,$D464-($D464-$I$454)*MIN(I$3-$O$2,$Q$2)/$Q$2))</f>
        <v>3020.27613166284</v>
      </c>
      <c r="J464" s="15" t="n">
        <f aca="false">I464*(1+IF(J$3&lt;=$O$2,$D464,$D464-($D464-$I$454)*MIN(J$3-$O$2,$Q$2)/$Q$2))</f>
        <v>3189.42292107145</v>
      </c>
      <c r="K464" s="15" t="n">
        <f aca="false">J464*(1+IF(K$3&lt;=$O$2,$D464,$D464-($D464-$I$454)*MIN(K$3-$O$2,$Q$2)/$Q$2))</f>
        <v>3337.97926387232</v>
      </c>
      <c r="L464" s="15" t="n">
        <f aca="false">K464*(1+IF(L$3&lt;=$O$2,$D464,$D464-($D464-$I$454)*MIN(L$3-$O$2,$Q$2)/$Q$2))</f>
        <v>3461.9914522363</v>
      </c>
      <c r="M464" s="15" t="n">
        <f aca="false">L464*(1+IF(M$3&lt;=$O$2,$D464,$D464-($D464-$I$454)*MIN(M$3-$O$2,$Q$2)/$Q$2))</f>
        <v>3557.97841086654</v>
      </c>
      <c r="N464" s="15" t="n">
        <f aca="false">M464*(1+IF(N$3&lt;=$O$2,$D464,$D464-($D464-$I$454)*MIN(N$3-$O$2,$Q$2)/$Q$2))</f>
        <v>3623.08941578539</v>
      </c>
      <c r="O464" s="15" t="n">
        <f aca="false">SUMPRODUCT(E464:N464,1/(1+$F$454)^$E$3:$N$3)*$E$2</f>
        <v>10145.9657155429</v>
      </c>
      <c r="P464" s="15" t="n">
        <f aca="false">N464*$E$2*(1+$I$454)/($F$454-$I$454)/(1+$F$454)^$N$3</f>
        <v>13379.1775620774</v>
      </c>
      <c r="Q464" s="15" t="n">
        <f aca="false">O464+P464</f>
        <v>23525.1432776203</v>
      </c>
      <c r="R464" s="15" t="n">
        <f aca="false">Q464-$G$2+$I$2</f>
        <v>25434.8032776203</v>
      </c>
      <c r="S464" s="42" t="n">
        <f aca="false">R464/$K$2</f>
        <v>108.681806937659</v>
      </c>
      <c r="T464" s="43" t="n">
        <f aca="false">S464-$M$2</f>
        <v>-1.30409230602807</v>
      </c>
    </row>
    <row r="465" customFormat="false" ht="15" hidden="false" customHeight="false" outlineLevel="0" collapsed="false">
      <c r="A465" s="5" t="n">
        <v>10</v>
      </c>
      <c r="B465" s="25" t="n">
        <f aca="false">IF(T464&gt;0,B464,D464)</f>
        <v>0.0654296875</v>
      </c>
      <c r="C465" s="25" t="n">
        <f aca="false">IF(T464&gt;0,D464,C464)</f>
        <v>0.068359375</v>
      </c>
      <c r="D465" s="41" t="n">
        <f aca="false">(B465+C465)/2</f>
        <v>0.06689453125</v>
      </c>
      <c r="E465" s="15" t="n">
        <f aca="false">$C$2*(1+IF(E$3&lt;=$O$2,$D465,$D465-($D465-$I$454)*MIN(E$3-$O$2,$Q$2)/$Q$2))</f>
        <v>2347.16796875</v>
      </c>
      <c r="F465" s="15" t="n">
        <f aca="false">E465*(1+IF(F$3&lt;=$O$2,$D465,$D465-($D465-$I$454)*MIN(F$3-$O$2,$Q$2)/$Q$2))</f>
        <v>2504.18066978455</v>
      </c>
      <c r="G465" s="15" t="n">
        <f aca="false">F465*(1+IF(G$3&lt;=$O$2,$D465,$D465-($D465-$I$454)*MIN(G$3-$O$2,$Q$2)/$Q$2))</f>
        <v>2671.69666185509</v>
      </c>
      <c r="H465" s="15" t="n">
        <f aca="false">G465*(1+IF(H$3&lt;=$O$2,$D465,$D465-($D465-$I$454)*MIN(H$3-$O$2,$Q$2)/$Q$2))</f>
        <v>2850.41855769208</v>
      </c>
      <c r="I465" s="15" t="n">
        <f aca="false">H465*(1+IF(I$3&lt;=$O$2,$D465,$D465-($D465-$I$454)*MIN(I$3-$O$2,$Q$2)/$Q$2))</f>
        <v>3041.09597097519</v>
      </c>
      <c r="J465" s="15" t="n">
        <f aca="false">I465*(1+IF(J$3&lt;=$O$2,$D465,$D465-($D465-$I$454)*MIN(J$3-$O$2,$Q$2)/$Q$2))</f>
        <v>3214.97253380068</v>
      </c>
      <c r="K465" s="15" t="n">
        <f aca="false">J465*(1+IF(K$3&lt;=$O$2,$D465,$D465-($D465-$I$454)*MIN(K$3-$O$2,$Q$2)/$Q$2))</f>
        <v>3367.54458112624</v>
      </c>
      <c r="L465" s="15" t="n">
        <f aca="false">K465*(1+IF(L$3&lt;=$O$2,$D465,$D465-($D465-$I$454)*MIN(L$3-$O$2,$Q$2)/$Q$2))</f>
        <v>3494.62834711417</v>
      </c>
      <c r="M465" s="15" t="n">
        <f aca="false">L465*(1+IF(M$3&lt;=$O$2,$D465,$D465-($D465-$I$454)*MIN(M$3-$O$2,$Q$2)/$Q$2))</f>
        <v>3592.54401115055</v>
      </c>
      <c r="N465" s="15" t="n">
        <f aca="false">M465*(1+IF(N$3&lt;=$O$2,$D465,$D465-($D465-$I$454)*MIN(N$3-$O$2,$Q$2)/$Q$2))</f>
        <v>3658.28756655461</v>
      </c>
      <c r="O465" s="15" t="n">
        <f aca="false">SUMPRODUCT(E465:N465,1/(1+$F$454)^$E$3:$N$3)*$E$2</f>
        <v>10211.0973972885</v>
      </c>
      <c r="P465" s="15" t="n">
        <f aca="false">N465*$E$2*(1+$I$454)/($F$454-$I$454)/(1+$F$454)^$N$3</f>
        <v>13509.1556705244</v>
      </c>
      <c r="Q465" s="15" t="n">
        <f aca="false">O465+P465</f>
        <v>23720.2530678129</v>
      </c>
      <c r="R465" s="15" t="n">
        <f aca="false">Q465-$G$2+$I$2</f>
        <v>25629.9130678129</v>
      </c>
      <c r="S465" s="42" t="n">
        <f aca="false">R465/$K$2</f>
        <v>109.515502575793</v>
      </c>
      <c r="T465" s="43" t="n">
        <f aca="false">S465-$M$2</f>
        <v>-0.470396667893425</v>
      </c>
    </row>
    <row r="466" customFormat="false" ht="15" hidden="false" customHeight="false" outlineLevel="0" collapsed="false">
      <c r="A466" s="5" t="n">
        <v>11</v>
      </c>
      <c r="B466" s="25" t="n">
        <f aca="false">IF(T465&gt;0,B465,D465)</f>
        <v>0.06689453125</v>
      </c>
      <c r="C466" s="25" t="n">
        <f aca="false">IF(T465&gt;0,D465,C465)</f>
        <v>0.068359375</v>
      </c>
      <c r="D466" s="41" t="n">
        <f aca="false">(B466+C466)/2</f>
        <v>0.067626953125</v>
      </c>
      <c r="E466" s="15" t="n">
        <f aca="false">$C$2*(1+IF(E$3&lt;=$O$2,$D466,$D466-($D466-$I$454)*MIN(E$3-$O$2,$Q$2)/$Q$2))</f>
        <v>2348.779296875</v>
      </c>
      <c r="F466" s="15" t="n">
        <f aca="false">E466*(1+IF(F$3&lt;=$O$2,$D466,$D466-($D466-$I$454)*MIN(F$3-$O$2,$Q$2)/$Q$2))</f>
        <v>2507.62008428574</v>
      </c>
      <c r="G466" s="15" t="n">
        <f aca="false">F466*(1+IF(G$3&lt;=$O$2,$D466,$D466-($D466-$I$454)*MIN(G$3-$O$2,$Q$2)/$Q$2))</f>
        <v>2677.20279018104</v>
      </c>
      <c r="H466" s="15" t="n">
        <f aca="false">G466*(1+IF(H$3&lt;=$O$2,$D466,$D466-($D466-$I$454)*MIN(H$3-$O$2,$Q$2)/$Q$2))</f>
        <v>2858.25385777873</v>
      </c>
      <c r="I466" s="15" t="n">
        <f aca="false">H466*(1+IF(I$3&lt;=$O$2,$D466,$D466-($D466-$I$454)*MIN(I$3-$O$2,$Q$2)/$Q$2))</f>
        <v>3051.54885743808</v>
      </c>
      <c r="J466" s="15" t="n">
        <f aca="false">I466*(1+IF(J$3&lt;=$O$2,$D466,$D466-($D466-$I$454)*MIN(J$3-$O$2,$Q$2)/$Q$2))</f>
        <v>3227.81108748879</v>
      </c>
      <c r="K466" s="15" t="n">
        <f aca="false">J466*(1+IF(K$3&lt;=$O$2,$D466,$D466-($D466-$I$454)*MIN(K$3-$O$2,$Q$2)/$Q$2))</f>
        <v>3382.41088211519</v>
      </c>
      <c r="L466" s="15" t="n">
        <f aca="false">K466*(1+IF(L$3&lt;=$O$2,$D466,$D466-($D466-$I$454)*MIN(L$3-$O$2,$Q$2)/$Q$2))</f>
        <v>3511.04661047053</v>
      </c>
      <c r="M466" s="15" t="n">
        <f aca="false">L466*(1+IF(M$3&lt;=$O$2,$D466,$D466-($D466-$I$454)*MIN(M$3-$O$2,$Q$2)/$Q$2))</f>
        <v>3609.93660975702</v>
      </c>
      <c r="N466" s="15" t="n">
        <f aca="false">M466*(1+IF(N$3&lt;=$O$2,$D466,$D466-($D466-$I$454)*MIN(N$3-$O$2,$Q$2)/$Q$2))</f>
        <v>3675.99844971557</v>
      </c>
      <c r="O466" s="15" t="n">
        <f aca="false">SUMPRODUCT(E466:N466,1/(1+$F$454)^$E$3:$N$3)*$E$2</f>
        <v>10243.8201577933</v>
      </c>
      <c r="P466" s="15" t="n">
        <f aca="false">N466*$E$2*(1+$I$454)/($F$454-$I$454)/(1+$F$454)^$N$3</f>
        <v>13574.5576033498</v>
      </c>
      <c r="Q466" s="15" t="n">
        <f aca="false">O466+P466</f>
        <v>23818.3777611431</v>
      </c>
      <c r="R466" s="15" t="n">
        <f aca="false">Q466-$G$2+$I$2</f>
        <v>25728.0377611431</v>
      </c>
      <c r="S466" s="42" t="n">
        <f aca="false">R466/$K$2</f>
        <v>109.934785117904</v>
      </c>
      <c r="T466" s="43" t="n">
        <f aca="false">S466-$M$2</f>
        <v>-0.0511141257825329</v>
      </c>
    </row>
    <row r="467" customFormat="false" ht="15" hidden="false" customHeight="false" outlineLevel="0" collapsed="false">
      <c r="A467" s="5" t="n">
        <v>12</v>
      </c>
      <c r="B467" s="25" t="n">
        <f aca="false">IF(T466&gt;0,B466,D466)</f>
        <v>0.067626953125</v>
      </c>
      <c r="C467" s="25" t="n">
        <f aca="false">IF(T466&gt;0,D466,C466)</f>
        <v>0.068359375</v>
      </c>
      <c r="D467" s="41" t="n">
        <f aca="false">(B467+C467)/2</f>
        <v>0.0679931640625</v>
      </c>
      <c r="E467" s="15" t="n">
        <f aca="false">$C$2*(1+IF(E$3&lt;=$O$2,$D467,$D467-($D467-$I$454)*MIN(E$3-$O$2,$Q$2)/$Q$2))</f>
        <v>2349.5849609375</v>
      </c>
      <c r="F467" s="15" t="n">
        <f aca="false">E467*(1+IF(F$3&lt;=$O$2,$D467,$D467-($D467-$I$454)*MIN(F$3-$O$2,$Q$2)/$Q$2))</f>
        <v>2509.34067666531</v>
      </c>
      <c r="G467" s="15" t="n">
        <f aca="false">F467*(1+IF(G$3&lt;=$O$2,$D467,$D467-($D467-$I$454)*MIN(G$3-$O$2,$Q$2)/$Q$2))</f>
        <v>2679.95868898252</v>
      </c>
      <c r="H467" s="15" t="n">
        <f aca="false">G467*(1+IF(H$3&lt;=$O$2,$D467,$D467-($D467-$I$454)*MIN(H$3-$O$2,$Q$2)/$Q$2))</f>
        <v>2862.17755980323</v>
      </c>
      <c r="I467" s="15" t="n">
        <f aca="false">H467*(1+IF(I$3&lt;=$O$2,$D467,$D467-($D467-$I$454)*MIN(I$3-$O$2,$Q$2)/$Q$2))</f>
        <v>3056.78606820293</v>
      </c>
      <c r="J467" s="15" t="n">
        <f aca="false">I467*(1+IF(J$3&lt;=$O$2,$D467,$D467-($D467-$I$454)*MIN(J$3-$O$2,$Q$2)/$Q$2))</f>
        <v>3234.24635052398</v>
      </c>
      <c r="K467" s="15" t="n">
        <f aca="false">J467*(1+IF(K$3&lt;=$O$2,$D467,$D467-($D467-$I$454)*MIN(K$3-$O$2,$Q$2)/$Q$2))</f>
        <v>3389.86501944765</v>
      </c>
      <c r="L467" s="15" t="n">
        <f aca="false">K467*(1+IF(L$3&lt;=$O$2,$D467,$D467-($D467-$I$454)*MIN(L$3-$O$2,$Q$2)/$Q$2))</f>
        <v>3519.280796728</v>
      </c>
      <c r="M467" s="15" t="n">
        <f aca="false">L467*(1+IF(M$3&lt;=$O$2,$D467,$D467-($D467-$I$454)*MIN(M$3-$O$2,$Q$2)/$Q$2))</f>
        <v>3618.66047491088</v>
      </c>
      <c r="N467" s="15" t="n">
        <f aca="false">M467*(1+IF(N$3&lt;=$O$2,$D467,$D467-($D467-$I$454)*MIN(N$3-$O$2,$Q$2)/$Q$2))</f>
        <v>3684.88196160175</v>
      </c>
      <c r="O467" s="15" t="n">
        <f aca="false">SUMPRODUCT(E467:N467,1/(1+$F$454)^$E$3:$N$3)*$E$2</f>
        <v>10260.2209047411</v>
      </c>
      <c r="P467" s="15" t="n">
        <f aca="false">N467*$E$2*(1+$I$454)/($F$454-$I$454)/(1+$F$454)^$N$3</f>
        <v>13607.3622264933</v>
      </c>
      <c r="Q467" s="15" t="n">
        <f aca="false">O467+P467</f>
        <v>23867.5831312344</v>
      </c>
      <c r="R467" s="15" t="n">
        <f aca="false">Q467-$G$2+$I$2</f>
        <v>25777.2431312344</v>
      </c>
      <c r="S467" s="42" t="n">
        <f aca="false">R467/$K$2</f>
        <v>110.145037521832</v>
      </c>
      <c r="T467" s="43" t="n">
        <f aca="false">S467-$M$2</f>
        <v>0.159138278145733</v>
      </c>
    </row>
    <row r="468" customFormat="false" ht="15" hidden="false" customHeight="false" outlineLevel="0" collapsed="false">
      <c r="A468" s="5" t="n">
        <v>13</v>
      </c>
      <c r="B468" s="25" t="n">
        <f aca="false">IF(T467&gt;0,B467,D467)</f>
        <v>0.067626953125</v>
      </c>
      <c r="C468" s="25" t="n">
        <f aca="false">IF(T467&gt;0,D467,C467)</f>
        <v>0.0679931640625</v>
      </c>
      <c r="D468" s="41" t="n">
        <f aca="false">(B468+C468)/2</f>
        <v>0.06781005859375</v>
      </c>
      <c r="E468" s="15" t="n">
        <f aca="false">$C$2*(1+IF(E$3&lt;=$O$2,$D468,$D468-($D468-$I$454)*MIN(E$3-$O$2,$Q$2)/$Q$2))</f>
        <v>2349.18212890625</v>
      </c>
      <c r="F468" s="15" t="n">
        <f aca="false">E468*(1+IF(F$3&lt;=$O$2,$D468,$D468-($D468-$I$454)*MIN(F$3-$O$2,$Q$2)/$Q$2))</f>
        <v>2508.48030671477</v>
      </c>
      <c r="G468" s="15" t="n">
        <f aca="false">F468*(1+IF(G$3&lt;=$O$2,$D468,$D468-($D468-$I$454)*MIN(G$3-$O$2,$Q$2)/$Q$2))</f>
        <v>2678.58050329437</v>
      </c>
      <c r="H468" s="15" t="n">
        <f aca="false">G468*(1+IF(H$3&lt;=$O$2,$D468,$D468-($D468-$I$454)*MIN(H$3-$O$2,$Q$2)/$Q$2))</f>
        <v>2860.21520417084</v>
      </c>
      <c r="I468" s="15" t="n">
        <f aca="false">H468*(1+IF(I$3&lt;=$O$2,$D468,$D468-($D468-$I$454)*MIN(I$3-$O$2,$Q$2)/$Q$2))</f>
        <v>3054.1665647564</v>
      </c>
      <c r="J468" s="15" t="n">
        <f aca="false">I468*(1+IF(J$3&lt;=$O$2,$D468,$D468-($D468-$I$454)*MIN(J$3-$O$2,$Q$2)/$Q$2))</f>
        <v>3231.02738535237</v>
      </c>
      <c r="K468" s="15" t="n">
        <f aca="false">J468*(1+IF(K$3&lt;=$O$2,$D468,$D468-($D468-$I$454)*MIN(K$3-$O$2,$Q$2)/$Q$2))</f>
        <v>3386.1361996044</v>
      </c>
      <c r="L468" s="15" t="n">
        <f aca="false">K468*(1+IF(L$3&lt;=$O$2,$D468,$D468-($D468-$I$454)*MIN(L$3-$O$2,$Q$2)/$Q$2))</f>
        <v>3515.16161271669</v>
      </c>
      <c r="M468" s="15" t="n">
        <f aca="false">L468*(1+IF(M$3&lt;=$O$2,$D468,$D468-($D468-$I$454)*MIN(M$3-$O$2,$Q$2)/$Q$2))</f>
        <v>3614.29624171183</v>
      </c>
      <c r="N468" s="15" t="n">
        <f aca="false">M468*(1+IF(N$3&lt;=$O$2,$D468,$D468-($D468-$I$454)*MIN(N$3-$O$2,$Q$2)/$Q$2))</f>
        <v>3680.43786293516</v>
      </c>
      <c r="O468" s="15" t="n">
        <f aca="false">SUMPRODUCT(E468:N468,1/(1+$F$454)^$E$3:$N$3)*$E$2</f>
        <v>10252.0172466296</v>
      </c>
      <c r="P468" s="15" t="n">
        <f aca="false">N468*$E$2*(1+$I$454)/($F$454-$I$454)/(1+$F$454)^$N$3</f>
        <v>13590.9512638202</v>
      </c>
      <c r="Q468" s="15" t="n">
        <f aca="false">O468+P468</f>
        <v>23842.9685104498</v>
      </c>
      <c r="R468" s="15" t="n">
        <f aca="false">Q468-$G$2+$I$2</f>
        <v>25752.6285104498</v>
      </c>
      <c r="S468" s="42" t="n">
        <f aca="false">R468/$K$2</f>
        <v>110.039860318976</v>
      </c>
      <c r="T468" s="43" t="n">
        <f aca="false">S468-$M$2</f>
        <v>0.0539610752888251</v>
      </c>
    </row>
    <row r="469" customFormat="false" ht="15" hidden="false" customHeight="false" outlineLevel="0" collapsed="false">
      <c r="A469" s="5" t="n">
        <v>14</v>
      </c>
      <c r="B469" s="25" t="n">
        <f aca="false">IF(T468&gt;0,B468,D468)</f>
        <v>0.067626953125</v>
      </c>
      <c r="C469" s="25" t="n">
        <f aca="false">IF(T468&gt;0,D468,C468)</f>
        <v>0.06781005859375</v>
      </c>
      <c r="D469" s="41" t="n">
        <f aca="false">(B469+C469)/2</f>
        <v>0.067718505859375</v>
      </c>
      <c r="E469" s="15" t="n">
        <f aca="false">$C$2*(1+IF(E$3&lt;=$O$2,$D469,$D469-($D469-$I$454)*MIN(E$3-$O$2,$Q$2)/$Q$2))</f>
        <v>2348.98071289063</v>
      </c>
      <c r="F469" s="15" t="n">
        <f aca="false">E469*(1+IF(F$3&lt;=$O$2,$D469,$D469-($D469-$I$454)*MIN(F$3-$O$2,$Q$2)/$Q$2))</f>
        <v>2508.05017706007</v>
      </c>
      <c r="G469" s="15" t="n">
        <f aca="false">F469*(1+IF(G$3&lt;=$O$2,$D469,$D469-($D469-$I$454)*MIN(G$3-$O$2,$Q$2)/$Q$2))</f>
        <v>2677.89158767092</v>
      </c>
      <c r="H469" s="15" t="n">
        <f aca="false">G469*(1+IF(H$3&lt;=$O$2,$D469,$D469-($D469-$I$454)*MIN(H$3-$O$2,$Q$2)/$Q$2))</f>
        <v>2859.23440484138</v>
      </c>
      <c r="I469" s="15" t="n">
        <f aca="false">H469*(1+IF(I$3&lt;=$O$2,$D469,$D469-($D469-$I$454)*MIN(I$3-$O$2,$Q$2)/$Q$2))</f>
        <v>3052.85748663896</v>
      </c>
      <c r="J469" s="15" t="n">
        <f aca="false">I469*(1+IF(J$3&lt;=$O$2,$D469,$D469-($D469-$I$454)*MIN(J$3-$O$2,$Q$2)/$Q$2))</f>
        <v>3229.41890311749</v>
      </c>
      <c r="K469" s="15" t="n">
        <f aca="false">J469*(1+IF(K$3&lt;=$O$2,$D469,$D469-($D469-$I$454)*MIN(K$3-$O$2,$Q$2)/$Q$2))</f>
        <v>3384.2731032362</v>
      </c>
      <c r="L469" s="15" t="n">
        <f aca="false">K469*(1+IF(L$3&lt;=$O$2,$D469,$D469-($D469-$I$454)*MIN(L$3-$O$2,$Q$2)/$Q$2))</f>
        <v>3513.10358909822</v>
      </c>
      <c r="M469" s="15" t="n">
        <f aca="false">L469*(1+IF(M$3&lt;=$O$2,$D469,$D469-($D469-$I$454)*MIN(M$3-$O$2,$Q$2)/$Q$2))</f>
        <v>3612.11585083921</v>
      </c>
      <c r="N469" s="15" t="n">
        <f aca="false">M469*(1+IF(N$3&lt;=$O$2,$D469,$D469-($D469-$I$454)*MIN(N$3-$O$2,$Q$2)/$Q$2))</f>
        <v>3678.21757090956</v>
      </c>
      <c r="O469" s="15" t="n">
        <f aca="false">SUMPRODUCT(E469:N469,1/(1+$F$454)^$E$3:$N$3)*$E$2</f>
        <v>10247.9178813583</v>
      </c>
      <c r="P469" s="15" t="n">
        <f aca="false">N469*$E$2*(1+$I$454)/($F$454-$I$454)/(1+$F$454)^$N$3</f>
        <v>13582.7522717885</v>
      </c>
      <c r="Q469" s="15" t="n">
        <f aca="false">O469+P469</f>
        <v>23830.6701531468</v>
      </c>
      <c r="R469" s="15" t="n">
        <f aca="false">Q469-$G$2+$I$2</f>
        <v>25740.3301531468</v>
      </c>
      <c r="S469" s="42" t="n">
        <f aca="false">R469/$K$2</f>
        <v>109.987309973708</v>
      </c>
      <c r="T469" s="43" t="n">
        <f aca="false">S469-$M$2</f>
        <v>0.00141073002096448</v>
      </c>
    </row>
    <row r="470" customFormat="false" ht="15" hidden="false" customHeight="false" outlineLevel="0" collapsed="false">
      <c r="A470" s="5" t="n">
        <v>15</v>
      </c>
      <c r="B470" s="25" t="n">
        <f aca="false">IF(T469&gt;0,B469,D469)</f>
        <v>0.067626953125</v>
      </c>
      <c r="C470" s="25" t="n">
        <f aca="false">IF(T469&gt;0,D469,C469)</f>
        <v>0.067718505859375</v>
      </c>
      <c r="D470" s="41" t="n">
        <f aca="false">(B470+C470)/2</f>
        <v>0.0676727294921875</v>
      </c>
      <c r="E470" s="15" t="n">
        <f aca="false">$C$2*(1+IF(E$3&lt;=$O$2,$D470,$D470-($D470-$I$454)*MIN(E$3-$O$2,$Q$2)/$Q$2))</f>
        <v>2348.88000488281</v>
      </c>
      <c r="F470" s="15" t="n">
        <f aca="false">E470*(1+IF(F$3&lt;=$O$2,$D470,$D470-($D470-$I$454)*MIN(F$3-$O$2,$Q$2)/$Q$2))</f>
        <v>2507.83512606286</v>
      </c>
      <c r="G470" s="15" t="n">
        <f aca="false">F470*(1+IF(G$3&lt;=$O$2,$D470,$D470-($D470-$I$454)*MIN(G$3-$O$2,$Q$2)/$Q$2))</f>
        <v>2677.54717415991</v>
      </c>
      <c r="H470" s="15" t="n">
        <f aca="false">G470*(1+IF(H$3&lt;=$O$2,$D470,$D470-($D470-$I$454)*MIN(H$3-$O$2,$Q$2)/$Q$2))</f>
        <v>2858.74409977941</v>
      </c>
      <c r="I470" s="15" t="n">
        <f aca="false">H470*(1+IF(I$3&lt;=$O$2,$D470,$D470-($D470-$I$454)*MIN(I$3-$O$2,$Q$2)/$Q$2))</f>
        <v>3052.20311593117</v>
      </c>
      <c r="J470" s="15" t="n">
        <f aca="false">I470*(1+IF(J$3&lt;=$O$2,$D470,$D470-($D470-$I$454)*MIN(J$3-$O$2,$Q$2)/$Q$2))</f>
        <v>3228.61491199117</v>
      </c>
      <c r="K470" s="15" t="n">
        <f aca="false">J470*(1+IF(K$3&lt;=$O$2,$D470,$D470-($D470-$I$454)*MIN(K$3-$O$2,$Q$2)/$Q$2))</f>
        <v>3383.34188329112</v>
      </c>
      <c r="L470" s="15" t="n">
        <f aca="false">K470*(1+IF(L$3&lt;=$O$2,$D470,$D470-($D470-$I$454)*MIN(L$3-$O$2,$Q$2)/$Q$2))</f>
        <v>3512.07496918868</v>
      </c>
      <c r="M470" s="15" t="n">
        <f aca="false">L470*(1+IF(M$3&lt;=$O$2,$D470,$D470-($D470-$I$454)*MIN(M$3-$O$2,$Q$2)/$Q$2))</f>
        <v>3611.02608660684</v>
      </c>
      <c r="N470" s="15" t="n">
        <f aca="false">M470*(1+IF(N$3&lt;=$O$2,$D470,$D470-($D470-$I$454)*MIN(N$3-$O$2,$Q$2)/$Q$2))</f>
        <v>3677.10786399174</v>
      </c>
      <c r="O470" s="15" t="n">
        <f aca="false">SUMPRODUCT(E470:N470,1/(1+$F$454)^$E$3:$N$3)*$E$2</f>
        <v>10245.8688144008</v>
      </c>
      <c r="P470" s="15" t="n">
        <f aca="false">N470*$E$2*(1+$I$454)/($F$454-$I$454)/(1+$F$454)^$N$3</f>
        <v>13578.6543972424</v>
      </c>
      <c r="Q470" s="15" t="n">
        <f aca="false">O470+P470</f>
        <v>23824.5232116431</v>
      </c>
      <c r="R470" s="15" t="n">
        <f aca="false">Q470-$G$2+$I$2</f>
        <v>25734.1832116431</v>
      </c>
      <c r="S470" s="42" t="n">
        <f aca="false">R470/$K$2</f>
        <v>109.961044360309</v>
      </c>
      <c r="T470" s="43" t="n">
        <f aca="false">S470-$M$2</f>
        <v>-0.0248548833776709</v>
      </c>
    </row>
    <row r="471" customFormat="false" ht="15" hidden="false" customHeight="false" outlineLevel="0" collapsed="false">
      <c r="A471" s="5" t="n">
        <v>16</v>
      </c>
      <c r="B471" s="25" t="n">
        <f aca="false">IF(T470&gt;0,B470,D470)</f>
        <v>0.0676727294921875</v>
      </c>
      <c r="C471" s="25" t="n">
        <f aca="false">IF(T470&gt;0,D470,C470)</f>
        <v>0.067718505859375</v>
      </c>
      <c r="D471" s="41" t="n">
        <f aca="false">(B471+C471)/2</f>
        <v>0.0676956176757813</v>
      </c>
      <c r="E471" s="15" t="n">
        <f aca="false">$C$2*(1+IF(E$3&lt;=$O$2,$D471,$D471-($D471-$I$454)*MIN(E$3-$O$2,$Q$2)/$Q$2))</f>
        <v>2348.93035888672</v>
      </c>
      <c r="F471" s="15" t="n">
        <f aca="false">E471*(1+IF(F$3&lt;=$O$2,$D471,$D471-($D471-$I$454)*MIN(F$3-$O$2,$Q$2)/$Q$2))</f>
        <v>2507.94265040895</v>
      </c>
      <c r="G471" s="15" t="n">
        <f aca="false">F471*(1+IF(G$3&lt;=$O$2,$D471,$D471-($D471-$I$454)*MIN(G$3-$O$2,$Q$2)/$Q$2))</f>
        <v>2677.71937722382</v>
      </c>
      <c r="H471" s="15" t="n">
        <f aca="false">G471*(1+IF(H$3&lt;=$O$2,$D471,$D471-($D471-$I$454)*MIN(H$3-$O$2,$Q$2)/$Q$2))</f>
        <v>2858.98924442739</v>
      </c>
      <c r="I471" s="15" t="n">
        <f aca="false">H471*(1+IF(I$3&lt;=$O$2,$D471,$D471-($D471-$I$454)*MIN(I$3-$O$2,$Q$2)/$Q$2))</f>
        <v>3052.53028725732</v>
      </c>
      <c r="J471" s="15" t="n">
        <f aca="false">I471*(1+IF(J$3&lt;=$O$2,$D471,$D471-($D471-$I$454)*MIN(J$3-$O$2,$Q$2)/$Q$2))</f>
        <v>3229.01688672462</v>
      </c>
      <c r="K471" s="15" t="n">
        <f aca="false">J471*(1+IF(K$3&lt;=$O$2,$D471,$D471-($D471-$I$454)*MIN(K$3-$O$2,$Q$2)/$Q$2))</f>
        <v>3383.80746591485</v>
      </c>
      <c r="L471" s="15" t="n">
        <f aca="false">K471*(1+IF(L$3&lt;=$O$2,$D471,$D471-($D471-$I$454)*MIN(L$3-$O$2,$Q$2)/$Q$2))</f>
        <v>3512.58924649101</v>
      </c>
      <c r="M471" s="15" t="n">
        <f aca="false">L471*(1+IF(M$3&lt;=$O$2,$D471,$D471-($D471-$I$454)*MIN(M$3-$O$2,$Q$2)/$Q$2))</f>
        <v>3611.57093279614</v>
      </c>
      <c r="N471" s="15" t="n">
        <f aca="false">M471*(1+IF(N$3&lt;=$O$2,$D471,$D471-($D471-$I$454)*MIN(N$3-$O$2,$Q$2)/$Q$2))</f>
        <v>3677.66268086631</v>
      </c>
      <c r="O471" s="15" t="n">
        <f aca="false">SUMPRODUCT(E471:N471,1/(1+$F$454)^$E$3:$N$3)*$E$2</f>
        <v>10246.893296581</v>
      </c>
      <c r="P471" s="15" t="n">
        <f aca="false">N471*$E$2*(1+$I$454)/($F$454-$I$454)/(1+$F$454)^$N$3</f>
        <v>13580.7031994185</v>
      </c>
      <c r="Q471" s="15" t="n">
        <f aca="false">O471+P471</f>
        <v>23827.5964959994</v>
      </c>
      <c r="R471" s="15" t="n">
        <f aca="false">Q471-$G$2+$I$2</f>
        <v>25737.2564959994</v>
      </c>
      <c r="S471" s="42" t="n">
        <f aca="false">R471/$K$2</f>
        <v>109.974176370548</v>
      </c>
      <c r="T471" s="43" t="n">
        <f aca="false">S471-$M$2</f>
        <v>-0.0117228731383534</v>
      </c>
    </row>
    <row r="472" customFormat="false" ht="15" hidden="false" customHeight="false" outlineLevel="0" collapsed="false">
      <c r="A472" s="5" t="n">
        <v>17</v>
      </c>
      <c r="B472" s="25" t="n">
        <f aca="false">IF(T471&gt;0,B471,D471)</f>
        <v>0.0676956176757813</v>
      </c>
      <c r="C472" s="25" t="n">
        <f aca="false">IF(T471&gt;0,D471,C471)</f>
        <v>0.067718505859375</v>
      </c>
      <c r="D472" s="41" t="n">
        <f aca="false">(B472+C472)/2</f>
        <v>0.0677070617675781</v>
      </c>
      <c r="E472" s="15" t="n">
        <f aca="false">$C$2*(1+IF(E$3&lt;=$O$2,$D472,$D472-($D472-$I$454)*MIN(E$3-$O$2,$Q$2)/$Q$2))</f>
        <v>2348.95553588867</v>
      </c>
      <c r="F472" s="15" t="n">
        <f aca="false">E472*(1+IF(F$3&lt;=$O$2,$D472,$D472-($D472-$I$454)*MIN(F$3-$O$2,$Q$2)/$Q$2))</f>
        <v>2507.99641344638</v>
      </c>
      <c r="G472" s="15" t="n">
        <f aca="false">F472*(1+IF(G$3&lt;=$O$2,$D472,$D472-($D472-$I$454)*MIN(G$3-$O$2,$Q$2)/$Q$2))</f>
        <v>2677.80548152446</v>
      </c>
      <c r="H472" s="15" t="n">
        <f aca="false">G472*(1+IF(H$3&lt;=$O$2,$D472,$D472-($D472-$I$454)*MIN(H$3-$O$2,$Q$2)/$Q$2))</f>
        <v>2859.1118226636</v>
      </c>
      <c r="I472" s="15" t="n">
        <f aca="false">H472*(1+IF(I$3&lt;=$O$2,$D472,$D472-($D472-$I$454)*MIN(I$3-$O$2,$Q$2)/$Q$2))</f>
        <v>3052.69388344109</v>
      </c>
      <c r="J472" s="15" t="n">
        <f aca="false">I472*(1+IF(J$3&lt;=$O$2,$D472,$D472-($D472-$I$454)*MIN(J$3-$O$2,$Q$2)/$Q$2))</f>
        <v>3229.21788971341</v>
      </c>
      <c r="K472" s="15" t="n">
        <f aca="false">J472*(1+IF(K$3&lt;=$O$2,$D472,$D472-($D472-$I$454)*MIN(K$3-$O$2,$Q$2)/$Q$2))</f>
        <v>3384.04027773799</v>
      </c>
      <c r="L472" s="15" t="n">
        <f aca="false">K472*(1+IF(L$3&lt;=$O$2,$D472,$D472-($D472-$I$454)*MIN(L$3-$O$2,$Q$2)/$Q$2))</f>
        <v>3512.84640963106</v>
      </c>
      <c r="M472" s="15" t="n">
        <f aca="false">L472*(1+IF(M$3&lt;=$O$2,$D472,$D472-($D472-$I$454)*MIN(M$3-$O$2,$Q$2)/$Q$2))</f>
        <v>3611.84338283544</v>
      </c>
      <c r="N472" s="15" t="n">
        <f aca="false">M472*(1+IF(N$3&lt;=$O$2,$D472,$D472-($D472-$I$454)*MIN(N$3-$O$2,$Q$2)/$Q$2))</f>
        <v>3677.94011674133</v>
      </c>
      <c r="O472" s="15" t="n">
        <f aca="false">SUMPRODUCT(E472:N472,1/(1+$F$454)^$E$3:$N$3)*$E$2</f>
        <v>10247.4055761444</v>
      </c>
      <c r="P472" s="15" t="n">
        <f aca="false">N472*$E$2*(1+$I$454)/($F$454-$I$454)/(1+$F$454)^$N$3</f>
        <v>13581.7277018273</v>
      </c>
      <c r="Q472" s="15" t="n">
        <f aca="false">O472+P472</f>
        <v>23829.1332779717</v>
      </c>
      <c r="R472" s="15" t="n">
        <f aca="false">Q472-$G$2+$I$2</f>
        <v>25738.7932779717</v>
      </c>
      <c r="S472" s="42" t="n">
        <f aca="false">R472/$K$2</f>
        <v>109.980742973002</v>
      </c>
      <c r="T472" s="43" t="n">
        <f aca="false">S472-$M$2</f>
        <v>-0.00515627068440949</v>
      </c>
    </row>
    <row r="473" customFormat="false" ht="15" hidden="false" customHeight="false" outlineLevel="0" collapsed="false">
      <c r="A473" s="5" t="n">
        <v>18</v>
      </c>
      <c r="B473" s="25" t="n">
        <f aca="false">IF(T472&gt;0,B472,D472)</f>
        <v>0.0677070617675781</v>
      </c>
      <c r="C473" s="25" t="n">
        <f aca="false">IF(T472&gt;0,D472,C472)</f>
        <v>0.067718505859375</v>
      </c>
      <c r="D473" s="41" t="n">
        <f aca="false">(B473+C473)/2</f>
        <v>0.0677127838134766</v>
      </c>
      <c r="E473" s="15" t="n">
        <f aca="false">$C$2*(1+IF(E$3&lt;=$O$2,$D473,$D473-($D473-$I$454)*MIN(E$3-$O$2,$Q$2)/$Q$2))</f>
        <v>2348.96812438965</v>
      </c>
      <c r="F473" s="15" t="n">
        <f aca="false">E473*(1+IF(F$3&lt;=$O$2,$D473,$D473-($D473-$I$454)*MIN(F$3-$O$2,$Q$2)/$Q$2))</f>
        <v>2508.02329518119</v>
      </c>
      <c r="G473" s="15" t="n">
        <f aca="false">F473*(1+IF(G$3&lt;=$O$2,$D473,$D473-($D473-$I$454)*MIN(G$3-$O$2,$Q$2)/$Q$2))</f>
        <v>2677.84853436696</v>
      </c>
      <c r="H473" s="15" t="n">
        <f aca="false">G473*(1+IF(H$3&lt;=$O$2,$D473,$D473-($D473-$I$454)*MIN(H$3-$O$2,$Q$2)/$Q$2))</f>
        <v>2859.17311325978</v>
      </c>
      <c r="I473" s="15" t="n">
        <f aca="false">H473*(1+IF(I$3&lt;=$O$2,$D473,$D473-($D473-$I$454)*MIN(I$3-$O$2,$Q$2)/$Q$2))</f>
        <v>3052.77568416325</v>
      </c>
      <c r="J473" s="15" t="n">
        <f aca="false">I473*(1+IF(J$3&lt;=$O$2,$D473,$D473-($D473-$I$454)*MIN(J$3-$O$2,$Q$2)/$Q$2))</f>
        <v>3229.31839511351</v>
      </c>
      <c r="K473" s="15" t="n">
        <f aca="false">J473*(1+IF(K$3&lt;=$O$2,$D473,$D473-($D473-$I$454)*MIN(K$3-$O$2,$Q$2)/$Q$2))</f>
        <v>3384.15668877767</v>
      </c>
      <c r="L473" s="15" t="n">
        <f aca="false">K473*(1+IF(L$3&lt;=$O$2,$D473,$D473-($D473-$I$454)*MIN(L$3-$O$2,$Q$2)/$Q$2))</f>
        <v>3512.9749973237</v>
      </c>
      <c r="M473" s="15" t="n">
        <f aca="false">L473*(1+IF(M$3&lt;=$O$2,$D473,$D473-($D473-$I$454)*MIN(M$3-$O$2,$Q$2)/$Q$2))</f>
        <v>3611.9796145917</v>
      </c>
      <c r="N473" s="15" t="n">
        <f aca="false">M473*(1+IF(N$3&lt;=$O$2,$D473,$D473-($D473-$I$454)*MIN(N$3-$O$2,$Q$2)/$Q$2))</f>
        <v>3678.07884153873</v>
      </c>
      <c r="O473" s="15" t="n">
        <f aca="false">SUMPRODUCT(E473:N473,1/(1+$F$454)^$E$3:$N$3)*$E$2</f>
        <v>10247.661725545</v>
      </c>
      <c r="P473" s="15" t="n">
        <f aca="false">N473*$E$2*(1+$I$454)/($F$454-$I$454)/(1+$F$454)^$N$3</f>
        <v>13582.2399783636</v>
      </c>
      <c r="Q473" s="15" t="n">
        <f aca="false">O473+P473</f>
        <v>23829.9017039086</v>
      </c>
      <c r="R473" s="15" t="n">
        <f aca="false">Q473-$G$2+$I$2</f>
        <v>25739.5617039086</v>
      </c>
      <c r="S473" s="42" t="n">
        <f aca="false">R473/$K$2</f>
        <v>109.984026423572</v>
      </c>
      <c r="T473" s="43" t="n">
        <f aca="false">S473-$M$2</f>
        <v>-0.00187282011451373</v>
      </c>
    </row>
    <row r="474" customFormat="false" ht="15" hidden="false" customHeight="false" outlineLevel="0" collapsed="false">
      <c r="A474" s="5" t="n">
        <v>19</v>
      </c>
      <c r="B474" s="25" t="n">
        <f aca="false">IF(T473&gt;0,B473,D473)</f>
        <v>0.0677127838134766</v>
      </c>
      <c r="C474" s="25" t="n">
        <f aca="false">IF(T473&gt;0,D473,C473)</f>
        <v>0.067718505859375</v>
      </c>
      <c r="D474" s="41" t="n">
        <f aca="false">(B474+C474)/2</f>
        <v>0.0677156448364258</v>
      </c>
      <c r="E474" s="15" t="n">
        <f aca="false">$C$2*(1+IF(E$3&lt;=$O$2,$D474,$D474-($D474-$I$454)*MIN(E$3-$O$2,$Q$2)/$Q$2))</f>
        <v>2348.97441864014</v>
      </c>
      <c r="F474" s="15" t="n">
        <f aca="false">E474*(1+IF(F$3&lt;=$O$2,$D474,$D474-($D474-$I$454)*MIN(F$3-$O$2,$Q$2)/$Q$2))</f>
        <v>2508.03673610262</v>
      </c>
      <c r="G474" s="15" t="n">
        <f aca="false">F474*(1+IF(G$3&lt;=$O$2,$D474,$D474-($D474-$I$454)*MIN(G$3-$O$2,$Q$2)/$Q$2))</f>
        <v>2677.87006096126</v>
      </c>
      <c r="H474" s="15" t="n">
        <f aca="false">G474*(1+IF(H$3&lt;=$O$2,$D474,$D474-($D474-$I$454)*MIN(H$3-$O$2,$Q$2)/$Q$2))</f>
        <v>2859.20375892741</v>
      </c>
      <c r="I474" s="15" t="n">
        <f aca="false">H474*(1+IF(I$3&lt;=$O$2,$D474,$D474-($D474-$I$454)*MIN(I$3-$O$2,$Q$2)/$Q$2))</f>
        <v>3052.81658518191</v>
      </c>
      <c r="J474" s="15" t="n">
        <f aca="false">I474*(1+IF(J$3&lt;=$O$2,$D474,$D474-($D474-$I$454)*MIN(J$3-$O$2,$Q$2)/$Q$2))</f>
        <v>3229.36864879002</v>
      </c>
      <c r="K474" s="15" t="n">
        <f aca="false">J474*(1+IF(K$3&lt;=$O$2,$D474,$D474-($D474-$I$454)*MIN(K$3-$O$2,$Q$2)/$Q$2))</f>
        <v>3384.21489557957</v>
      </c>
      <c r="L474" s="15" t="n">
        <f aca="false">K474*(1+IF(L$3&lt;=$O$2,$D474,$D474-($D474-$I$454)*MIN(L$3-$O$2,$Q$2)/$Q$2))</f>
        <v>3513.03929270072</v>
      </c>
      <c r="M474" s="15" t="n">
        <f aca="false">L474*(1+IF(M$3&lt;=$O$2,$D474,$D474-($D474-$I$454)*MIN(M$3-$O$2,$Q$2)/$Q$2))</f>
        <v>3612.04773215404</v>
      </c>
      <c r="N474" s="15" t="n">
        <f aca="false">M474*(1+IF(N$3&lt;=$O$2,$D474,$D474-($D474-$I$454)*MIN(N$3-$O$2,$Q$2)/$Q$2))</f>
        <v>3678.14820565246</v>
      </c>
      <c r="O474" s="15" t="n">
        <f aca="false">SUMPRODUCT(E474:N474,1/(1+$F$454)^$E$3:$N$3)*$E$2</f>
        <v>10247.78980265</v>
      </c>
      <c r="P474" s="15" t="n">
        <f aca="false">N474*$E$2*(1+$I$454)/($F$454-$I$454)/(1+$F$454)^$N$3</f>
        <v>13582.496122965</v>
      </c>
      <c r="Q474" s="15" t="n">
        <f aca="false">O474+P474</f>
        <v>23830.285925615</v>
      </c>
      <c r="R474" s="15" t="n">
        <f aca="false">Q474-$G$2+$I$2</f>
        <v>25739.945925615</v>
      </c>
      <c r="S474" s="42" t="n">
        <f aca="false">R474/$K$2</f>
        <v>109.985668186194</v>
      </c>
      <c r="T474" s="43" t="n">
        <f aca="false">S474-$M$2</f>
        <v>-0.000231057492612763</v>
      </c>
    </row>
    <row r="475" customFormat="false" ht="15" hidden="false" customHeight="false" outlineLevel="0" collapsed="false">
      <c r="A475" s="5" t="n">
        <v>20</v>
      </c>
      <c r="B475" s="25" t="n">
        <f aca="false">IF(T474&gt;0,B474,D474)</f>
        <v>0.0677156448364258</v>
      </c>
      <c r="C475" s="25" t="n">
        <f aca="false">IF(T474&gt;0,D474,C474)</f>
        <v>0.067718505859375</v>
      </c>
      <c r="D475" s="41" t="n">
        <f aca="false">(B475+C475)/2</f>
        <v>0.0677170753479004</v>
      </c>
      <c r="E475" s="15" t="n">
        <f aca="false">$C$2*(1+IF(E$3&lt;=$O$2,$D475,$D475-($D475-$I$454)*MIN(E$3-$O$2,$Q$2)/$Q$2))</f>
        <v>2348.97756576538</v>
      </c>
      <c r="F475" s="15" t="n">
        <f aca="false">E475*(1+IF(F$3&lt;=$O$2,$D475,$D475-($D475-$I$454)*MIN(F$3-$O$2,$Q$2)/$Q$2))</f>
        <v>2508.04345657684</v>
      </c>
      <c r="G475" s="15" t="n">
        <f aca="false">F475*(1+IF(G$3&lt;=$O$2,$D475,$D475-($D475-$I$454)*MIN(G$3-$O$2,$Q$2)/$Q$2))</f>
        <v>2677.88082430167</v>
      </c>
      <c r="H475" s="15" t="n">
        <f aca="false">G475*(1+IF(H$3&lt;=$O$2,$D475,$D475-($D475-$I$454)*MIN(H$3-$O$2,$Q$2)/$Q$2))</f>
        <v>2859.2190818536</v>
      </c>
      <c r="I475" s="15" t="n">
        <f aca="false">H475*(1+IF(I$3&lt;=$O$2,$D475,$D475-($D475-$I$454)*MIN(I$3-$O$2,$Q$2)/$Q$2))</f>
        <v>3052.83703585563</v>
      </c>
      <c r="J475" s="15" t="n">
        <f aca="false">I475*(1+IF(J$3&lt;=$O$2,$D475,$D475-($D475-$I$454)*MIN(J$3-$O$2,$Q$2)/$Q$2))</f>
        <v>3229.39377587238</v>
      </c>
      <c r="K475" s="15" t="n">
        <f aca="false">J475*(1+IF(K$3&lt;=$O$2,$D475,$D475-($D475-$I$454)*MIN(K$3-$O$2,$Q$2)/$Q$2))</f>
        <v>3384.24399930104</v>
      </c>
      <c r="L475" s="15" t="n">
        <f aca="false">K475*(1+IF(L$3&lt;=$O$2,$D475,$D475-($D475-$I$454)*MIN(L$3-$O$2,$Q$2)/$Q$2))</f>
        <v>3513.07144077191</v>
      </c>
      <c r="M475" s="15" t="n">
        <f aca="false">L475*(1+IF(M$3&lt;=$O$2,$D475,$D475-($D475-$I$454)*MIN(M$3-$O$2,$Q$2)/$Q$2))</f>
        <v>3612.08179135627</v>
      </c>
      <c r="N475" s="15" t="n">
        <f aca="false">M475*(1+IF(N$3&lt;=$O$2,$D475,$D475-($D475-$I$454)*MIN(N$3-$O$2,$Q$2)/$Q$2))</f>
        <v>3678.18288813809</v>
      </c>
      <c r="O475" s="15" t="n">
        <f aca="false">SUMPRODUCT(E475:N475,1/(1+$F$454)^$E$3:$N$3)*$E$2</f>
        <v>10247.8538418037</v>
      </c>
      <c r="P475" s="15" t="n">
        <f aca="false">N475*$E$2*(1+$I$454)/($F$454-$I$454)/(1+$F$454)^$N$3</f>
        <v>13582.624196849</v>
      </c>
      <c r="Q475" s="15" t="n">
        <f aca="false">O475+P475</f>
        <v>23830.4780386527</v>
      </c>
      <c r="R475" s="15" t="n">
        <f aca="false">Q475-$G$2+$I$2</f>
        <v>25740.1380386527</v>
      </c>
      <c r="S475" s="42" t="n">
        <f aca="false">R475/$K$2</f>
        <v>109.986489076839</v>
      </c>
      <c r="T475" s="43" t="n">
        <f aca="false">S475-$M$2</f>
        <v>0.000589833152702113</v>
      </c>
    </row>
    <row r="476" customFormat="false" ht="15" hidden="false" customHeight="false" outlineLevel="0" collapsed="false">
      <c r="A476" s="5" t="n">
        <v>21</v>
      </c>
      <c r="B476" s="25" t="n">
        <f aca="false">IF(T475&gt;0,B475,D475)</f>
        <v>0.0677156448364258</v>
      </c>
      <c r="C476" s="25" t="n">
        <f aca="false">IF(T475&gt;0,D475,C475)</f>
        <v>0.0677170753479004</v>
      </c>
      <c r="D476" s="41" t="n">
        <f aca="false">(B476+C476)/2</f>
        <v>0.0677163600921631</v>
      </c>
      <c r="E476" s="15" t="n">
        <f aca="false">$C$2*(1+IF(E$3&lt;=$O$2,$D476,$D476-($D476-$I$454)*MIN(E$3-$O$2,$Q$2)/$Q$2))</f>
        <v>2348.97599220276</v>
      </c>
      <c r="F476" s="15" t="n">
        <f aca="false">E476*(1+IF(F$3&lt;=$O$2,$D476,$D476-($D476-$I$454)*MIN(F$3-$O$2,$Q$2)/$Q$2))</f>
        <v>2508.04009633861</v>
      </c>
      <c r="G476" s="15" t="n">
        <f aca="false">F476*(1+IF(G$3&lt;=$O$2,$D476,$D476-($D476-$I$454)*MIN(G$3-$O$2,$Q$2)/$Q$2))</f>
        <v>2677.87544262786</v>
      </c>
      <c r="H476" s="15" t="n">
        <f aca="false">G476*(1+IF(H$3&lt;=$O$2,$D476,$D476-($D476-$I$454)*MIN(H$3-$O$2,$Q$2)/$Q$2))</f>
        <v>2859.2114203828</v>
      </c>
      <c r="I476" s="15" t="n">
        <f aca="false">H476*(1+IF(I$3&lt;=$O$2,$D476,$D476-($D476-$I$454)*MIN(I$3-$O$2,$Q$2)/$Q$2))</f>
        <v>3052.82681050507</v>
      </c>
      <c r="J476" s="15" t="n">
        <f aca="false">I476*(1+IF(J$3&lt;=$O$2,$D476,$D476-($D476-$I$454)*MIN(J$3-$O$2,$Q$2)/$Q$2))</f>
        <v>3229.38121231086</v>
      </c>
      <c r="K476" s="15" t="n">
        <f aca="false">J476*(1+IF(K$3&lt;=$O$2,$D476,$D476-($D476-$I$454)*MIN(K$3-$O$2,$Q$2)/$Q$2))</f>
        <v>3384.2294474136</v>
      </c>
      <c r="L476" s="15" t="n">
        <f aca="false">K476*(1+IF(L$3&lt;=$O$2,$D476,$D476-($D476-$I$454)*MIN(L$3-$O$2,$Q$2)/$Q$2))</f>
        <v>3513.05536670442</v>
      </c>
      <c r="M476" s="15" t="n">
        <f aca="false">L476*(1+IF(M$3&lt;=$O$2,$D476,$D476-($D476-$I$454)*MIN(M$3-$O$2,$Q$2)/$Q$2))</f>
        <v>3612.06476172007</v>
      </c>
      <c r="N476" s="15" t="n">
        <f aca="false">M476*(1+IF(N$3&lt;=$O$2,$D476,$D476-($D476-$I$454)*MIN(N$3-$O$2,$Q$2)/$Q$2))</f>
        <v>3678.16554685954</v>
      </c>
      <c r="O476" s="15" t="n">
        <f aca="false">SUMPRODUCT(E476:N476,1/(1+$F$454)^$E$3:$N$3)*$E$2</f>
        <v>10247.8218221768</v>
      </c>
      <c r="P476" s="15" t="n">
        <f aca="false">N476*$E$2*(1+$I$454)/($F$454-$I$454)/(1+$F$454)^$N$3</f>
        <v>13582.560159775</v>
      </c>
      <c r="Q476" s="15" t="n">
        <f aca="false">O476+P476</f>
        <v>23830.3819819518</v>
      </c>
      <c r="R476" s="15" t="n">
        <f aca="false">Q476-$G$2+$I$2</f>
        <v>25740.0419819518</v>
      </c>
      <c r="S476" s="42" t="n">
        <f aca="false">R476/$K$2</f>
        <v>109.986078630739</v>
      </c>
      <c r="T476" s="43" t="n">
        <f aca="false">S476-$M$2</f>
        <v>0.00017938705217091</v>
      </c>
    </row>
    <row r="477" customFormat="false" ht="15" hidden="false" customHeight="false" outlineLevel="0" collapsed="false">
      <c r="A477" s="5" t="n">
        <v>22</v>
      </c>
      <c r="B477" s="25" t="n">
        <f aca="false">IF(T476&gt;0,B476,D476)</f>
        <v>0.0677156448364258</v>
      </c>
      <c r="C477" s="25" t="n">
        <f aca="false">IF(T476&gt;0,D476,C476)</f>
        <v>0.0677163600921631</v>
      </c>
      <c r="D477" s="41" t="n">
        <f aca="false">(B477+C477)/2</f>
        <v>0.0677160024642944</v>
      </c>
      <c r="E477" s="15" t="n">
        <f aca="false">$C$2*(1+IF(E$3&lt;=$O$2,$D477,$D477-($D477-$I$454)*MIN(E$3-$O$2,$Q$2)/$Q$2))</f>
        <v>2348.97520542145</v>
      </c>
      <c r="F477" s="15" t="n">
        <f aca="false">E477*(1+IF(F$3&lt;=$O$2,$D477,$D477-($D477-$I$454)*MIN(F$3-$O$2,$Q$2)/$Q$2))</f>
        <v>2508.03841622033</v>
      </c>
      <c r="G477" s="15" t="n">
        <f aca="false">F477*(1+IF(G$3&lt;=$O$2,$D477,$D477-($D477-$I$454)*MIN(G$3-$O$2,$Q$2)/$Q$2))</f>
        <v>2677.87275179365</v>
      </c>
      <c r="H477" s="15" t="n">
        <f aca="false">G477*(1+IF(H$3&lt;=$O$2,$D477,$D477-($D477-$I$454)*MIN(H$3-$O$2,$Q$2)/$Q$2))</f>
        <v>2859.20758965318</v>
      </c>
      <c r="I477" s="15" t="n">
        <f aca="false">H477*(1+IF(I$3&lt;=$O$2,$D477,$D477-($D477-$I$454)*MIN(I$3-$O$2,$Q$2)/$Q$2))</f>
        <v>3052.82169784006</v>
      </c>
      <c r="J477" s="15" t="n">
        <f aca="false">I477*(1+IF(J$3&lt;=$O$2,$D477,$D477-($D477-$I$454)*MIN(J$3-$O$2,$Q$2)/$Q$2))</f>
        <v>3229.37493054535</v>
      </c>
      <c r="K477" s="15" t="n">
        <f aca="false">J477*(1+IF(K$3&lt;=$O$2,$D477,$D477-($D477-$I$454)*MIN(K$3-$O$2,$Q$2)/$Q$2))</f>
        <v>3384.22217148991</v>
      </c>
      <c r="L477" s="15" t="n">
        <f aca="false">K477*(1+IF(L$3&lt;=$O$2,$D477,$D477-($D477-$I$454)*MIN(L$3-$O$2,$Q$2)/$Q$2))</f>
        <v>3513.0473296946</v>
      </c>
      <c r="M477" s="15" t="n">
        <f aca="false">L477*(1+IF(M$3&lt;=$O$2,$D477,$D477-($D477-$I$454)*MIN(M$3-$O$2,$Q$2)/$Q$2))</f>
        <v>3612.05624692828</v>
      </c>
      <c r="N477" s="15" t="n">
        <f aca="false">M477*(1+IF(N$3&lt;=$O$2,$D477,$D477-($D477-$I$454)*MIN(N$3-$O$2,$Q$2)/$Q$2))</f>
        <v>3678.15687624707</v>
      </c>
      <c r="O477" s="15" t="n">
        <f aca="false">SUMPRODUCT(E477:N477,1/(1+$F$454)^$E$3:$N$3)*$E$2</f>
        <v>10247.8058124009</v>
      </c>
      <c r="P477" s="15" t="n">
        <f aca="false">N477*$E$2*(1+$I$454)/($F$454-$I$454)/(1+$F$454)^$N$3</f>
        <v>13582.528141337</v>
      </c>
      <c r="Q477" s="15" t="n">
        <f aca="false">O477+P477</f>
        <v>23830.3339537379</v>
      </c>
      <c r="R477" s="15" t="n">
        <f aca="false">Q477-$G$2+$I$2</f>
        <v>25739.9939537379</v>
      </c>
      <c r="S477" s="42" t="n">
        <f aca="false">R477/$K$2</f>
        <v>109.985873408272</v>
      </c>
      <c r="T477" s="43" t="n">
        <f aca="false">S477-$M$2</f>
        <v>-2.5835414689368E-005</v>
      </c>
    </row>
    <row r="478" customFormat="false" ht="15" hidden="false" customHeight="false" outlineLevel="0" collapsed="false">
      <c r="A478" s="5" t="n">
        <v>23</v>
      </c>
      <c r="B478" s="25" t="n">
        <f aca="false">IF(T477&gt;0,B477,D477)</f>
        <v>0.0677160024642944</v>
      </c>
      <c r="C478" s="25" t="n">
        <f aca="false">IF(T477&gt;0,D477,C477)</f>
        <v>0.0677163600921631</v>
      </c>
      <c r="D478" s="41" t="n">
        <f aca="false">(B478+C478)/2</f>
        <v>0.0677161812782288</v>
      </c>
      <c r="E478" s="15" t="n">
        <f aca="false">$C$2*(1+IF(E$3&lt;=$O$2,$D478,$D478-($D478-$I$454)*MIN(E$3-$O$2,$Q$2)/$Q$2))</f>
        <v>2348.9755988121</v>
      </c>
      <c r="F478" s="15" t="n">
        <f aca="false">E478*(1+IF(F$3&lt;=$O$2,$D478,$D478-($D478-$I$454)*MIN(F$3-$O$2,$Q$2)/$Q$2))</f>
        <v>2508.0392562794</v>
      </c>
      <c r="G478" s="15" t="n">
        <f aca="false">F478*(1+IF(G$3&lt;=$O$2,$D478,$D478-($D478-$I$454)*MIN(G$3-$O$2,$Q$2)/$Q$2))</f>
        <v>2677.87409721053</v>
      </c>
      <c r="H478" s="15" t="n">
        <f aca="false">G478*(1+IF(H$3&lt;=$O$2,$D478,$D478-($D478-$I$454)*MIN(H$3-$O$2,$Q$2)/$Q$2))</f>
        <v>2859.20950501751</v>
      </c>
      <c r="I478" s="15" t="n">
        <f aca="false">H478*(1+IF(I$3&lt;=$O$2,$D478,$D478-($D478-$I$454)*MIN(I$3-$O$2,$Q$2)/$Q$2))</f>
        <v>3052.82425417171</v>
      </c>
      <c r="J478" s="15" t="n">
        <f aca="false">I478*(1+IF(J$3&lt;=$O$2,$D478,$D478-($D478-$I$454)*MIN(J$3-$O$2,$Q$2)/$Q$2))</f>
        <v>3229.37807142683</v>
      </c>
      <c r="K478" s="15" t="n">
        <f aca="false">J478*(1+IF(K$3&lt;=$O$2,$D478,$D478-($D478-$I$454)*MIN(K$3-$O$2,$Q$2)/$Q$2))</f>
        <v>3384.22580945008</v>
      </c>
      <c r="L478" s="15" t="n">
        <f aca="false">K478*(1+IF(L$3&lt;=$O$2,$D478,$D478-($D478-$I$454)*MIN(L$3-$O$2,$Q$2)/$Q$2))</f>
        <v>3513.05134819752</v>
      </c>
      <c r="M478" s="15" t="n">
        <f aca="false">L478*(1+IF(M$3&lt;=$O$2,$D478,$D478-($D478-$I$454)*MIN(M$3-$O$2,$Q$2)/$Q$2))</f>
        <v>3612.06050432198</v>
      </c>
      <c r="N478" s="15" t="n">
        <f aca="false">M478*(1+IF(N$3&lt;=$O$2,$D478,$D478-($D478-$I$454)*MIN(N$3-$O$2,$Q$2)/$Q$2))</f>
        <v>3678.16121155107</v>
      </c>
      <c r="O478" s="15" t="n">
        <f aca="false">SUMPRODUCT(E478:N478,1/(1+$F$454)^$E$3:$N$3)*$E$2</f>
        <v>10247.8138172857</v>
      </c>
      <c r="P478" s="15" t="n">
        <f aca="false">N478*$E$2*(1+$I$454)/($F$454-$I$454)/(1+$F$454)^$N$3</f>
        <v>13582.5441505478</v>
      </c>
      <c r="Q478" s="15" t="n">
        <f aca="false">O478+P478</f>
        <v>23830.3579678335</v>
      </c>
      <c r="R478" s="15" t="n">
        <f aca="false">Q478-$G$2+$I$2</f>
        <v>25740.0179678335</v>
      </c>
      <c r="S478" s="42" t="n">
        <f aca="false">R478/$K$2</f>
        <v>109.985976019457</v>
      </c>
      <c r="T478" s="43" t="n">
        <f aca="false">S478-$M$2</f>
        <v>7.67757701112259E-005</v>
      </c>
    </row>
    <row r="479" customFormat="false" ht="15" hidden="false" customHeight="false" outlineLevel="0" collapsed="false">
      <c r="A479" s="5" t="n">
        <v>24</v>
      </c>
      <c r="B479" s="25" t="n">
        <f aca="false">IF(T478&gt;0,B478,D478)</f>
        <v>0.0677160024642944</v>
      </c>
      <c r="C479" s="25" t="n">
        <f aca="false">IF(T478&gt;0,D478,C478)</f>
        <v>0.0677161812782288</v>
      </c>
      <c r="D479" s="41" t="n">
        <f aca="false">(B479+C479)/2</f>
        <v>0.0677160918712616</v>
      </c>
      <c r="E479" s="15" t="n">
        <f aca="false">$C$2*(1+IF(E$3&lt;=$O$2,$D479,$D479-($D479-$I$454)*MIN(E$3-$O$2,$Q$2)/$Q$2))</f>
        <v>2348.97540211678</v>
      </c>
      <c r="F479" s="15" t="n">
        <f aca="false">E479*(1+IF(F$3&lt;=$O$2,$D479,$D479-($D479-$I$454)*MIN(F$3-$O$2,$Q$2)/$Q$2))</f>
        <v>2508.03883624985</v>
      </c>
      <c r="G479" s="15" t="n">
        <f aca="false">F479*(1+IF(G$3&lt;=$O$2,$D479,$D479-($D479-$I$454)*MIN(G$3-$O$2,$Q$2)/$Q$2))</f>
        <v>2677.87342450204</v>
      </c>
      <c r="H479" s="15" t="n">
        <f aca="false">G479*(1+IF(H$3&lt;=$O$2,$D479,$D479-($D479-$I$454)*MIN(H$3-$O$2,$Q$2)/$Q$2))</f>
        <v>2859.20854733523</v>
      </c>
      <c r="I479" s="15" t="n">
        <f aca="false">H479*(1+IF(I$3&lt;=$O$2,$D479,$D479-($D479-$I$454)*MIN(I$3-$O$2,$Q$2)/$Q$2))</f>
        <v>3052.82297600567</v>
      </c>
      <c r="J479" s="15" t="n">
        <f aca="false">I479*(1+IF(J$3&lt;=$O$2,$D479,$D479-($D479-$I$454)*MIN(J$3-$O$2,$Q$2)/$Q$2))</f>
        <v>3229.37650098577</v>
      </c>
      <c r="K479" s="15" t="n">
        <f aca="false">J479*(1+IF(K$3&lt;=$O$2,$D479,$D479-($D479-$I$454)*MIN(K$3-$O$2,$Q$2)/$Q$2))</f>
        <v>3384.22399046958</v>
      </c>
      <c r="L479" s="15" t="n">
        <f aca="false">K479*(1+IF(L$3&lt;=$O$2,$D479,$D479-($D479-$I$454)*MIN(L$3-$O$2,$Q$2)/$Q$2))</f>
        <v>3513.04933894556</v>
      </c>
      <c r="M479" s="15" t="n">
        <f aca="false">L479*(1+IF(M$3&lt;=$O$2,$D479,$D479-($D479-$I$454)*MIN(M$3-$O$2,$Q$2)/$Q$2))</f>
        <v>3612.05837562458</v>
      </c>
      <c r="N479" s="15" t="n">
        <f aca="false">M479*(1+IF(N$3&lt;=$O$2,$D479,$D479-($D479-$I$454)*MIN(N$3-$O$2,$Q$2)/$Q$2))</f>
        <v>3678.15904389851</v>
      </c>
      <c r="O479" s="15" t="n">
        <f aca="false">SUMPRODUCT(E479:N479,1/(1+$F$454)^$E$3:$N$3)*$E$2</f>
        <v>10247.8098148425</v>
      </c>
      <c r="P479" s="15" t="n">
        <f aca="false">N479*$E$2*(1+$I$454)/($F$454-$I$454)/(1+$F$454)^$N$3</f>
        <v>13582.5361459403</v>
      </c>
      <c r="Q479" s="15" t="n">
        <f aca="false">O479+P479</f>
        <v>23830.3459607828</v>
      </c>
      <c r="R479" s="15" t="n">
        <f aca="false">Q479-$G$2+$I$2</f>
        <v>25740.0059607828</v>
      </c>
      <c r="S479" s="42" t="n">
        <f aca="false">R479/$K$2</f>
        <v>109.985924713852</v>
      </c>
      <c r="T479" s="43" t="n">
        <f aca="false">S479-$M$2</f>
        <v>2.54701655677536E-005</v>
      </c>
    </row>
    <row r="481" customFormat="false" ht="15" hidden="false" customHeight="false" outlineLevel="0" collapsed="false">
      <c r="A481" s="38" t="s">
        <v>204</v>
      </c>
      <c r="E481" s="5" t="s">
        <v>11</v>
      </c>
      <c r="F481" s="12" t="n">
        <f aca="false">Sensitivity!$B$13</f>
        <v>0.0827967762761046</v>
      </c>
      <c r="G481" s="5" t="s">
        <v>12</v>
      </c>
      <c r="I481" s="12" t="n">
        <f aca="false">Sensitivity!$D$9</f>
        <v>0.0233</v>
      </c>
    </row>
    <row r="482" customFormat="false" ht="23.85" hidden="false" customHeight="false" outlineLevel="0" collapsed="false">
      <c r="A482" s="38" t="s">
        <v>168</v>
      </c>
      <c r="B482" s="28" t="s">
        <v>169</v>
      </c>
      <c r="C482" s="28" t="s">
        <v>170</v>
      </c>
      <c r="D482" s="28" t="s">
        <v>171</v>
      </c>
      <c r="E482" s="28" t="s">
        <v>172</v>
      </c>
      <c r="F482" s="28" t="s">
        <v>173</v>
      </c>
      <c r="G482" s="28" t="s">
        <v>174</v>
      </c>
      <c r="H482" s="28" t="s">
        <v>175</v>
      </c>
      <c r="I482" s="28" t="s">
        <v>176</v>
      </c>
      <c r="J482" s="28" t="s">
        <v>177</v>
      </c>
      <c r="K482" s="28" t="s">
        <v>178</v>
      </c>
      <c r="L482" s="28" t="s">
        <v>179</v>
      </c>
      <c r="M482" s="28" t="s">
        <v>180</v>
      </c>
      <c r="N482" s="28" t="s">
        <v>181</v>
      </c>
      <c r="O482" s="28" t="s">
        <v>182</v>
      </c>
      <c r="P482" s="28" t="s">
        <v>183</v>
      </c>
      <c r="Q482" s="28" t="s">
        <v>184</v>
      </c>
      <c r="R482" s="28" t="s">
        <v>185</v>
      </c>
      <c r="S482" s="28" t="s">
        <v>186</v>
      </c>
      <c r="T482" s="28" t="s">
        <v>187</v>
      </c>
    </row>
    <row r="483" customFormat="false" ht="15" hidden="false" customHeight="false" outlineLevel="0" collapsed="false">
      <c r="A483" s="5" t="n">
        <v>1</v>
      </c>
      <c r="B483" s="24" t="n">
        <v>-0.5</v>
      </c>
      <c r="C483" s="24" t="n">
        <v>1</v>
      </c>
      <c r="D483" s="41" t="n">
        <f aca="false">(B483+C483)/2</f>
        <v>0.25</v>
      </c>
      <c r="E483" s="15" t="n">
        <f aca="false">$C$2*(1+IF(E$3&lt;=$O$2,$D483,$D483-($D483-$I$481)*MIN(E$3-$O$2,$Q$2)/$Q$2))</f>
        <v>2750</v>
      </c>
      <c r="F483" s="15" t="n">
        <f aca="false">E483*(1+IF(F$3&lt;=$O$2,$D483,$D483-($D483-$I$481)*MIN(F$3-$O$2,$Q$2)/$Q$2))</f>
        <v>3437.5</v>
      </c>
      <c r="G483" s="15" t="n">
        <f aca="false">F483*(1+IF(G$3&lt;=$O$2,$D483,$D483-($D483-$I$481)*MIN(G$3-$O$2,$Q$2)/$Q$2))</f>
        <v>4296.875</v>
      </c>
      <c r="H483" s="15" t="n">
        <f aca="false">G483*(1+IF(H$3&lt;=$O$2,$D483,$D483-($D483-$I$481)*MIN(H$3-$O$2,$Q$2)/$Q$2))</f>
        <v>5371.09375</v>
      </c>
      <c r="I483" s="15" t="n">
        <f aca="false">H483*(1+IF(I$3&lt;=$O$2,$D483,$D483-($D483-$I$481)*MIN(I$3-$O$2,$Q$2)/$Q$2))</f>
        <v>6713.8671875</v>
      </c>
      <c r="J483" s="15" t="n">
        <f aca="false">I483*(1+IF(J$3&lt;=$O$2,$D483,$D483-($D483-$I$481)*MIN(J$3-$O$2,$Q$2)/$Q$2))</f>
        <v>8087.92724609375</v>
      </c>
      <c r="K483" s="15" t="n">
        <f aca="false">J483*(1+IF(K$3&lt;=$O$2,$D483,$D483-($D483-$I$481)*MIN(K$3-$O$2,$Q$2)/$Q$2))</f>
        <v>9376.49581494141</v>
      </c>
      <c r="L483" s="15" t="n">
        <f aca="false">K483*(1+IF(L$3&lt;=$O$2,$D483,$D483-($D483-$I$481)*MIN(L$3-$O$2,$Q$2)/$Q$2))</f>
        <v>10445.2288079284</v>
      </c>
      <c r="M483" s="15" t="n">
        <f aca="false">L483*(1+IF(M$3&lt;=$O$2,$D483,$D483-($D483-$I$481)*MIN(M$3-$O$2,$Q$2)/$Q$2))</f>
        <v>11162.1893133046</v>
      </c>
      <c r="N483" s="15" t="n">
        <f aca="false">M483*(1+IF(N$3&lt;=$O$2,$D483,$D483-($D483-$I$481)*MIN(N$3-$O$2,$Q$2)/$Q$2))</f>
        <v>11422.2683243046</v>
      </c>
      <c r="O483" s="15" t="n">
        <f aca="false">SUMPRODUCT(E483:N483,1/(1+$F$481)^$E$3:$N$3)*$E$2</f>
        <v>22698.4972417833</v>
      </c>
      <c r="P483" s="15" t="n">
        <f aca="false">N483*$E$2*(1+$I$481)/($F$481-$I$481)/(1+$F$481)^$N$3</f>
        <v>45948.8373375743</v>
      </c>
      <c r="Q483" s="15" t="n">
        <f aca="false">O483+P483</f>
        <v>68647.3345793575</v>
      </c>
      <c r="R483" s="15" t="n">
        <f aca="false">Q483-$G$2+$I$2</f>
        <v>70556.9945793575</v>
      </c>
      <c r="S483" s="42" t="n">
        <f aca="false">R483/$K$2</f>
        <v>301.486965685414</v>
      </c>
      <c r="T483" s="43" t="n">
        <f aca="false">S483-$M$2</f>
        <v>191.501066441728</v>
      </c>
    </row>
    <row r="484" customFormat="false" ht="15" hidden="false" customHeight="false" outlineLevel="0" collapsed="false">
      <c r="A484" s="5" t="n">
        <v>2</v>
      </c>
      <c r="B484" s="25" t="n">
        <f aca="false">IF(T483&gt;0,B483,D483)</f>
        <v>-0.5</v>
      </c>
      <c r="C484" s="25" t="n">
        <f aca="false">IF(T483&gt;0,D483,C483)</f>
        <v>0.25</v>
      </c>
      <c r="D484" s="41" t="n">
        <f aca="false">(B484+C484)/2</f>
        <v>-0.125</v>
      </c>
      <c r="E484" s="15" t="n">
        <f aca="false">$C$2*(1+IF(E$3&lt;=$O$2,$D484,$D484-($D484-$I$481)*MIN(E$3-$O$2,$Q$2)/$Q$2))</f>
        <v>1925</v>
      </c>
      <c r="F484" s="15" t="n">
        <f aca="false">E484*(1+IF(F$3&lt;=$O$2,$D484,$D484-($D484-$I$481)*MIN(F$3-$O$2,$Q$2)/$Q$2))</f>
        <v>1684.375</v>
      </c>
      <c r="G484" s="15" t="n">
        <f aca="false">F484*(1+IF(G$3&lt;=$O$2,$D484,$D484-($D484-$I$481)*MIN(G$3-$O$2,$Q$2)/$Q$2))</f>
        <v>1473.828125</v>
      </c>
      <c r="H484" s="15" t="n">
        <f aca="false">G484*(1+IF(H$3&lt;=$O$2,$D484,$D484-($D484-$I$481)*MIN(H$3-$O$2,$Q$2)/$Q$2))</f>
        <v>1289.599609375</v>
      </c>
      <c r="I484" s="15" t="n">
        <f aca="false">H484*(1+IF(I$3&lt;=$O$2,$D484,$D484-($D484-$I$481)*MIN(I$3-$O$2,$Q$2)/$Q$2))</f>
        <v>1128.39965820313</v>
      </c>
      <c r="J484" s="15" t="n">
        <f aca="false">I484*(1+IF(J$3&lt;=$O$2,$D484,$D484-($D484-$I$481)*MIN(J$3-$O$2,$Q$2)/$Q$2))</f>
        <v>1020.81803479004</v>
      </c>
      <c r="K484" s="15" t="n">
        <f aca="false">J484*(1+IF(K$3&lt;=$O$2,$D484,$D484-($D484-$I$481)*MIN(K$3-$O$2,$Q$2)/$Q$2))</f>
        <v>953.770706265029</v>
      </c>
      <c r="L484" s="15" t="n">
        <f aca="false">K484*(1+IF(L$3&lt;=$O$2,$D484,$D484-($D484-$I$481)*MIN(L$3-$O$2,$Q$2)/$Q$2))</f>
        <v>919.415885425363</v>
      </c>
      <c r="M484" s="15" t="n">
        <f aca="false">L484*(1+IF(M$3&lt;=$O$2,$D484,$D484-($D484-$I$481)*MIN(M$3-$O$2,$Q$2)/$Q$2))</f>
        <v>913.568400394058</v>
      </c>
      <c r="N484" s="15" t="n">
        <f aca="false">M484*(1+IF(N$3&lt;=$O$2,$D484,$D484-($D484-$I$481)*MIN(N$3-$O$2,$Q$2)/$Q$2))</f>
        <v>934.854544123239</v>
      </c>
      <c r="O484" s="15" t="n">
        <f aca="false">SUMPRODUCT(E484:N484,1/(1+$F$481)^$E$3:$N$3)*$E$2</f>
        <v>4459.75249829127</v>
      </c>
      <c r="P484" s="15" t="n">
        <f aca="false">N484*$E$2*(1+$I$481)/($F$481-$I$481)/(1+$F$481)^$N$3</f>
        <v>3760.67854147752</v>
      </c>
      <c r="Q484" s="15" t="n">
        <f aca="false">O484+P484</f>
        <v>8220.43103976879</v>
      </c>
      <c r="R484" s="15" t="n">
        <f aca="false">Q484-$G$2+$I$2</f>
        <v>10130.0910397688</v>
      </c>
      <c r="S484" s="42" t="n">
        <f aca="false">R484/$K$2</f>
        <v>43.2854379343195</v>
      </c>
      <c r="T484" s="43" t="n">
        <f aca="false">S484-$M$2</f>
        <v>-66.7004613093672</v>
      </c>
    </row>
    <row r="485" customFormat="false" ht="15" hidden="false" customHeight="false" outlineLevel="0" collapsed="false">
      <c r="A485" s="5" t="n">
        <v>3</v>
      </c>
      <c r="B485" s="25" t="n">
        <f aca="false">IF(T484&gt;0,B484,D484)</f>
        <v>-0.125</v>
      </c>
      <c r="C485" s="25" t="n">
        <f aca="false">IF(T484&gt;0,D484,C484)</f>
        <v>0.25</v>
      </c>
      <c r="D485" s="41" t="n">
        <f aca="false">(B485+C485)/2</f>
        <v>0.0625</v>
      </c>
      <c r="E485" s="15" t="n">
        <f aca="false">$C$2*(1+IF(E$3&lt;=$O$2,$D485,$D485-($D485-$I$481)*MIN(E$3-$O$2,$Q$2)/$Q$2))</f>
        <v>2337.5</v>
      </c>
      <c r="F485" s="15" t="n">
        <f aca="false">E485*(1+IF(F$3&lt;=$O$2,$D485,$D485-($D485-$I$481)*MIN(F$3-$O$2,$Q$2)/$Q$2))</f>
        <v>2483.59375</v>
      </c>
      <c r="G485" s="15" t="n">
        <f aca="false">F485*(1+IF(G$3&lt;=$O$2,$D485,$D485-($D485-$I$481)*MIN(G$3-$O$2,$Q$2)/$Q$2))</f>
        <v>2638.818359375</v>
      </c>
      <c r="H485" s="15" t="n">
        <f aca="false">G485*(1+IF(H$3&lt;=$O$2,$D485,$D485-($D485-$I$481)*MIN(H$3-$O$2,$Q$2)/$Q$2))</f>
        <v>2803.74450683594</v>
      </c>
      <c r="I485" s="15" t="n">
        <f aca="false">H485*(1+IF(I$3&lt;=$O$2,$D485,$D485-($D485-$I$481)*MIN(I$3-$O$2,$Q$2)/$Q$2))</f>
        <v>2978.97853851318</v>
      </c>
      <c r="J485" s="15" t="n">
        <f aca="false">I485*(1+IF(J$3&lt;=$O$2,$D485,$D485-($D485-$I$481)*MIN(J$3-$O$2,$Q$2)/$Q$2))</f>
        <v>3141.80950542831</v>
      </c>
      <c r="K485" s="15" t="n">
        <f aca="false">J485*(1+IF(K$3&lt;=$O$2,$D485,$D485-($D485-$I$481)*MIN(K$3-$O$2,$Q$2)/$Q$2))</f>
        <v>3288.90902647247</v>
      </c>
      <c r="L485" s="15" t="n">
        <f aca="false">K485*(1+IF(L$3&lt;=$O$2,$D485,$D485-($D485-$I$481)*MIN(L$3-$O$2,$Q$2)/$Q$2))</f>
        <v>3417.11070032436</v>
      </c>
      <c r="M485" s="15" t="n">
        <f aca="false">L485*(1+IF(M$3&lt;=$O$2,$D485,$D485-($D485-$I$481)*MIN(M$3-$O$2,$Q$2)/$Q$2))</f>
        <v>3523.51952753247</v>
      </c>
      <c r="N485" s="15" t="n">
        <f aca="false">M485*(1+IF(N$3&lt;=$O$2,$D485,$D485-($D485-$I$481)*MIN(N$3-$O$2,$Q$2)/$Q$2))</f>
        <v>3605.61753252397</v>
      </c>
      <c r="O485" s="15" t="n">
        <f aca="false">SUMPRODUCT(E485:N485,1/(1+$F$481)^$E$3:$N$3)*$E$2</f>
        <v>10046.8032819918</v>
      </c>
      <c r="P485" s="15" t="n">
        <f aca="false">N485*$E$2*(1+$I$481)/($F$481-$I$481)/(1+$F$481)^$N$3</f>
        <v>14504.4687096804</v>
      </c>
      <c r="Q485" s="15" t="n">
        <f aca="false">O485+P485</f>
        <v>24551.2719916721</v>
      </c>
      <c r="R485" s="15" t="n">
        <f aca="false">Q485-$G$2+$I$2</f>
        <v>26460.9319916721</v>
      </c>
      <c r="S485" s="42" t="n">
        <f aca="false">R485/$K$2</f>
        <v>113.066410253695</v>
      </c>
      <c r="T485" s="43" t="n">
        <f aca="false">S485-$M$2</f>
        <v>3.0805110100079</v>
      </c>
    </row>
    <row r="486" customFormat="false" ht="15" hidden="false" customHeight="false" outlineLevel="0" collapsed="false">
      <c r="A486" s="5" t="n">
        <v>4</v>
      </c>
      <c r="B486" s="25" t="n">
        <f aca="false">IF(T485&gt;0,B485,D485)</f>
        <v>-0.125</v>
      </c>
      <c r="C486" s="25" t="n">
        <f aca="false">IF(T485&gt;0,D485,C485)</f>
        <v>0.0625</v>
      </c>
      <c r="D486" s="41" t="n">
        <f aca="false">(B486+C486)/2</f>
        <v>-0.03125</v>
      </c>
      <c r="E486" s="15" t="n">
        <f aca="false">$C$2*(1+IF(E$3&lt;=$O$2,$D486,$D486-($D486-$I$481)*MIN(E$3-$O$2,$Q$2)/$Q$2))</f>
        <v>2131.25</v>
      </c>
      <c r="F486" s="15" t="n">
        <f aca="false">E486*(1+IF(F$3&lt;=$O$2,$D486,$D486-($D486-$I$481)*MIN(F$3-$O$2,$Q$2)/$Q$2))</f>
        <v>2064.6484375</v>
      </c>
      <c r="G486" s="15" t="n">
        <f aca="false">F486*(1+IF(G$3&lt;=$O$2,$D486,$D486-($D486-$I$481)*MIN(G$3-$O$2,$Q$2)/$Q$2))</f>
        <v>2000.12817382813</v>
      </c>
      <c r="H486" s="15" t="n">
        <f aca="false">G486*(1+IF(H$3&lt;=$O$2,$D486,$D486-($D486-$I$481)*MIN(H$3-$O$2,$Q$2)/$Q$2))</f>
        <v>1937.624168396</v>
      </c>
      <c r="I486" s="15" t="n">
        <f aca="false">H486*(1+IF(I$3&lt;=$O$2,$D486,$D486-($D486-$I$481)*MIN(I$3-$O$2,$Q$2)/$Q$2))</f>
        <v>1877.07341313362</v>
      </c>
      <c r="J486" s="15" t="n">
        <f aca="false">I486*(1+IF(J$3&lt;=$O$2,$D486,$D486-($D486-$I$481)*MIN(J$3-$O$2,$Q$2)/$Q$2))</f>
        <v>1838.89373991048</v>
      </c>
      <c r="K486" s="15" t="n">
        <f aca="false">J486*(1+IF(K$3&lt;=$O$2,$D486,$D486-($D486-$I$481)*MIN(K$3-$O$2,$Q$2)/$Q$2))</f>
        <v>1821.55297194313</v>
      </c>
      <c r="L486" s="15" t="n">
        <f aca="false">K486*(1+IF(L$3&lt;=$O$2,$D486,$D486-($D486-$I$481)*MIN(L$3-$O$2,$Q$2)/$Q$2))</f>
        <v>1824.2488703416</v>
      </c>
      <c r="M486" s="15" t="n">
        <f aca="false">L486*(1+IF(M$3&lt;=$O$2,$D486,$D486-($D486-$I$481)*MIN(M$3-$O$2,$Q$2)/$Q$2))</f>
        <v>1846.85131384514</v>
      </c>
      <c r="N486" s="15" t="n">
        <f aca="false">M486*(1+IF(N$3&lt;=$O$2,$D486,$D486-($D486-$I$481)*MIN(N$3-$O$2,$Q$2)/$Q$2))</f>
        <v>1889.88294945773</v>
      </c>
      <c r="O486" s="15" t="n">
        <f aca="false">SUMPRODUCT(E486:N486,1/(1+$F$481)^$E$3:$N$3)*$E$2</f>
        <v>6674.8135314726</v>
      </c>
      <c r="P486" s="15" t="n">
        <f aca="false">N486*$E$2*(1+$I$481)/($F$481-$I$481)/(1+$F$481)^$N$3</f>
        <v>7602.51131965723</v>
      </c>
      <c r="Q486" s="15" t="n">
        <f aca="false">O486+P486</f>
        <v>14277.3248511298</v>
      </c>
      <c r="R486" s="15" t="n">
        <f aca="false">Q486-$G$2+$I$2</f>
        <v>16186.9848511298</v>
      </c>
      <c r="S486" s="42" t="n">
        <f aca="false">R486/$K$2</f>
        <v>69.1662814644696</v>
      </c>
      <c r="T486" s="43" t="n">
        <f aca="false">S486-$M$2</f>
        <v>-40.8196177792171</v>
      </c>
    </row>
    <row r="487" customFormat="false" ht="15" hidden="false" customHeight="false" outlineLevel="0" collapsed="false">
      <c r="A487" s="5" t="n">
        <v>5</v>
      </c>
      <c r="B487" s="25" t="n">
        <f aca="false">IF(T486&gt;0,B486,D486)</f>
        <v>-0.03125</v>
      </c>
      <c r="C487" s="25" t="n">
        <f aca="false">IF(T486&gt;0,D486,C486)</f>
        <v>0.0625</v>
      </c>
      <c r="D487" s="41" t="n">
        <f aca="false">(B487+C487)/2</f>
        <v>0.015625</v>
      </c>
      <c r="E487" s="15" t="n">
        <f aca="false">$C$2*(1+IF(E$3&lt;=$O$2,$D487,$D487-($D487-$I$481)*MIN(E$3-$O$2,$Q$2)/$Q$2))</f>
        <v>2234.375</v>
      </c>
      <c r="F487" s="15" t="n">
        <f aca="false">E487*(1+IF(F$3&lt;=$O$2,$D487,$D487-($D487-$I$481)*MIN(F$3-$O$2,$Q$2)/$Q$2))</f>
        <v>2269.287109375</v>
      </c>
      <c r="G487" s="15" t="n">
        <f aca="false">F487*(1+IF(G$3&lt;=$O$2,$D487,$D487-($D487-$I$481)*MIN(G$3-$O$2,$Q$2)/$Q$2))</f>
        <v>2304.74472045898</v>
      </c>
      <c r="H487" s="15" t="n">
        <f aca="false">G487*(1+IF(H$3&lt;=$O$2,$D487,$D487-($D487-$I$481)*MIN(H$3-$O$2,$Q$2)/$Q$2))</f>
        <v>2340.75635671616</v>
      </c>
      <c r="I487" s="15" t="n">
        <f aca="false">H487*(1+IF(I$3&lt;=$O$2,$D487,$D487-($D487-$I$481)*MIN(I$3-$O$2,$Q$2)/$Q$2))</f>
        <v>2377.33067478985</v>
      </c>
      <c r="J487" s="15" t="n">
        <f aca="false">I487*(1+IF(J$3&lt;=$O$2,$D487,$D487-($D487-$I$481)*MIN(J$3-$O$2,$Q$2)/$Q$2))</f>
        <v>2418.12566916924</v>
      </c>
      <c r="K487" s="15" t="n">
        <f aca="false">J487*(1+IF(K$3&lt;=$O$2,$D487,$D487-($D487-$I$481)*MIN(K$3-$O$2,$Q$2)/$Q$2))</f>
        <v>2463.33252855436</v>
      </c>
      <c r="L487" s="15" t="n">
        <f aca="false">K487*(1+IF(L$3&lt;=$O$2,$D487,$D487-($D487-$I$481)*MIN(L$3-$O$2,$Q$2)/$Q$2))</f>
        <v>2513.16574560701</v>
      </c>
      <c r="M487" s="15" t="n">
        <f aca="false">L487*(1+IF(M$3&lt;=$O$2,$D487,$D487-($D487-$I$481)*MIN(M$3-$O$2,$Q$2)/$Q$2))</f>
        <v>2567.86479806015</v>
      </c>
      <c r="N487" s="15" t="n">
        <f aca="false">M487*(1+IF(N$3&lt;=$O$2,$D487,$D487-($D487-$I$481)*MIN(N$3-$O$2,$Q$2)/$Q$2))</f>
        <v>2627.69604785495</v>
      </c>
      <c r="O487" s="15" t="n">
        <f aca="false">SUMPRODUCT(E487:N487,1/(1+$F$481)^$E$3:$N$3)*$E$2</f>
        <v>8185.94603114171</v>
      </c>
      <c r="P487" s="15" t="n">
        <f aca="false">N487*$E$2*(1+$I$481)/($F$481-$I$481)/(1+$F$481)^$N$3</f>
        <v>10570.5429821291</v>
      </c>
      <c r="Q487" s="15" t="n">
        <f aca="false">O487+P487</f>
        <v>18756.4890132708</v>
      </c>
      <c r="R487" s="15" t="n">
        <f aca="false">Q487-$G$2+$I$2</f>
        <v>20666.1490132708</v>
      </c>
      <c r="S487" s="42" t="n">
        <f aca="false">R487/$K$2</f>
        <v>88.3055549001017</v>
      </c>
      <c r="T487" s="43" t="n">
        <f aca="false">S487-$M$2</f>
        <v>-21.680344343585</v>
      </c>
    </row>
    <row r="488" customFormat="false" ht="15" hidden="false" customHeight="false" outlineLevel="0" collapsed="false">
      <c r="A488" s="5" t="n">
        <v>6</v>
      </c>
      <c r="B488" s="25" t="n">
        <f aca="false">IF(T487&gt;0,B487,D487)</f>
        <v>0.015625</v>
      </c>
      <c r="C488" s="25" t="n">
        <f aca="false">IF(T487&gt;0,D487,C487)</f>
        <v>0.0625</v>
      </c>
      <c r="D488" s="41" t="n">
        <f aca="false">(B488+C488)/2</f>
        <v>0.0390625</v>
      </c>
      <c r="E488" s="15" t="n">
        <f aca="false">$C$2*(1+IF(E$3&lt;=$O$2,$D488,$D488-($D488-$I$481)*MIN(E$3-$O$2,$Q$2)/$Q$2))</f>
        <v>2285.9375</v>
      </c>
      <c r="F488" s="15" t="n">
        <f aca="false">E488*(1+IF(F$3&lt;=$O$2,$D488,$D488-($D488-$I$481)*MIN(F$3-$O$2,$Q$2)/$Q$2))</f>
        <v>2375.23193359375</v>
      </c>
      <c r="G488" s="15" t="n">
        <f aca="false">F488*(1+IF(G$3&lt;=$O$2,$D488,$D488-($D488-$I$481)*MIN(G$3-$O$2,$Q$2)/$Q$2))</f>
        <v>2468.01443099976</v>
      </c>
      <c r="H488" s="15" t="n">
        <f aca="false">G488*(1+IF(H$3&lt;=$O$2,$D488,$D488-($D488-$I$481)*MIN(H$3-$O$2,$Q$2)/$Q$2))</f>
        <v>2564.42124471068</v>
      </c>
      <c r="I488" s="15" t="n">
        <f aca="false">H488*(1+IF(I$3&lt;=$O$2,$D488,$D488-($D488-$I$481)*MIN(I$3-$O$2,$Q$2)/$Q$2))</f>
        <v>2664.5939495822</v>
      </c>
      <c r="J488" s="15" t="n">
        <f aca="false">I488*(1+IF(J$3&lt;=$O$2,$D488,$D488-($D488-$I$481)*MIN(J$3-$O$2,$Q$2)/$Q$2))</f>
        <v>2760.27951831169</v>
      </c>
      <c r="K488" s="15" t="n">
        <f aca="false">J488*(1+IF(K$3&lt;=$O$2,$D488,$D488-($D488-$I$481)*MIN(K$3-$O$2,$Q$2)/$Q$2))</f>
        <v>2850.69937463279</v>
      </c>
      <c r="L488" s="15" t="n">
        <f aca="false">K488*(1+IF(L$3&lt;=$O$2,$D488,$D488-($D488-$I$481)*MIN(L$3-$O$2,$Q$2)/$Q$2))</f>
        <v>2935.09432961879</v>
      </c>
      <c r="M488" s="15" t="n">
        <f aca="false">L488*(1+IF(M$3&lt;=$O$2,$D488,$D488-($D488-$I$481)*MIN(M$3-$O$2,$Q$2)/$Q$2))</f>
        <v>3012.73491237303</v>
      </c>
      <c r="N488" s="15" t="n">
        <f aca="false">M488*(1+IF(N$3&lt;=$O$2,$D488,$D488-($D488-$I$481)*MIN(N$3-$O$2,$Q$2)/$Q$2))</f>
        <v>3082.93163583132</v>
      </c>
      <c r="O488" s="15" t="n">
        <f aca="false">SUMPRODUCT(E488:N488,1/(1+$F$481)^$E$3:$N$3)*$E$2</f>
        <v>9068.27894676844</v>
      </c>
      <c r="P488" s="15" t="n">
        <f aca="false">N488*$E$2*(1+$I$481)/($F$481-$I$481)/(1+$F$481)^$N$3</f>
        <v>12401.8382545132</v>
      </c>
      <c r="Q488" s="15" t="n">
        <f aca="false">O488+P488</f>
        <v>21470.1172012816</v>
      </c>
      <c r="R488" s="15" t="n">
        <f aca="false">Q488-$G$2+$I$2</f>
        <v>23379.7772012816</v>
      </c>
      <c r="S488" s="42" t="n">
        <f aca="false">R488/$K$2</f>
        <v>99.9007699922301</v>
      </c>
      <c r="T488" s="43" t="n">
        <f aca="false">S488-$M$2</f>
        <v>-10.0851292514566</v>
      </c>
    </row>
    <row r="489" customFormat="false" ht="15" hidden="false" customHeight="false" outlineLevel="0" collapsed="false">
      <c r="A489" s="5" t="n">
        <v>7</v>
      </c>
      <c r="B489" s="25" t="n">
        <f aca="false">IF(T488&gt;0,B488,D488)</f>
        <v>0.0390625</v>
      </c>
      <c r="C489" s="25" t="n">
        <f aca="false">IF(T488&gt;0,D488,C488)</f>
        <v>0.0625</v>
      </c>
      <c r="D489" s="41" t="n">
        <f aca="false">(B489+C489)/2</f>
        <v>0.05078125</v>
      </c>
      <c r="E489" s="15" t="n">
        <f aca="false">$C$2*(1+IF(E$3&lt;=$O$2,$D489,$D489-($D489-$I$481)*MIN(E$3-$O$2,$Q$2)/$Q$2))</f>
        <v>2311.71875</v>
      </c>
      <c r="F489" s="15" t="n">
        <f aca="false">E489*(1+IF(F$3&lt;=$O$2,$D489,$D489-($D489-$I$481)*MIN(F$3-$O$2,$Q$2)/$Q$2))</f>
        <v>2429.11071777344</v>
      </c>
      <c r="G489" s="15" t="n">
        <f aca="false">F489*(1+IF(G$3&lt;=$O$2,$D489,$D489-($D489-$I$481)*MIN(G$3-$O$2,$Q$2)/$Q$2))</f>
        <v>2552.46399641037</v>
      </c>
      <c r="H489" s="15" t="n">
        <f aca="false">G489*(1+IF(H$3&lt;=$O$2,$D489,$D489-($D489-$I$481)*MIN(H$3-$O$2,$Q$2)/$Q$2))</f>
        <v>2682.08130872808</v>
      </c>
      <c r="I489" s="15" t="n">
        <f aca="false">H489*(1+IF(I$3&lt;=$O$2,$D489,$D489-($D489-$I$481)*MIN(I$3-$O$2,$Q$2)/$Q$2))</f>
        <v>2818.28075018693</v>
      </c>
      <c r="J489" s="15" t="n">
        <f aca="false">I489*(1+IF(J$3&lt;=$O$2,$D489,$D489-($D489-$I$481)*MIN(J$3-$O$2,$Q$2)/$Q$2))</f>
        <v>2945.90659395915</v>
      </c>
      <c r="K489" s="15" t="n">
        <f aca="false">J489*(1+IF(K$3&lt;=$O$2,$D489,$D489-($D489-$I$481)*MIN(K$3-$O$2,$Q$2)/$Q$2))</f>
        <v>3063.12053494954</v>
      </c>
      <c r="L489" s="15" t="n">
        <f aca="false">K489*(1+IF(L$3&lt;=$O$2,$D489,$D489-($D489-$I$481)*MIN(L$3-$O$2,$Q$2)/$Q$2))</f>
        <v>3168.1625958943</v>
      </c>
      <c r="M489" s="15" t="n">
        <f aca="false">L489*(1+IF(M$3&lt;=$O$2,$D489,$D489-($D489-$I$481)*MIN(M$3-$O$2,$Q$2)/$Q$2))</f>
        <v>3259.39379804632</v>
      </c>
      <c r="N489" s="15" t="n">
        <f aca="false">M489*(1+IF(N$3&lt;=$O$2,$D489,$D489-($D489-$I$481)*MIN(N$3-$O$2,$Q$2)/$Q$2))</f>
        <v>3335.3376735408</v>
      </c>
      <c r="O489" s="15" t="n">
        <f aca="false">SUMPRODUCT(E489:N489,1/(1+$F$481)^$E$3:$N$3)*$E$2</f>
        <v>9544.92808780528</v>
      </c>
      <c r="P489" s="15" t="n">
        <f aca="false">N489*$E$2*(1+$I$481)/($F$481-$I$481)/(1+$F$481)^$N$3</f>
        <v>13417.2025972555</v>
      </c>
      <c r="Q489" s="15" t="n">
        <f aca="false">O489+P489</f>
        <v>22962.1306850608</v>
      </c>
      <c r="R489" s="15" t="n">
        <f aca="false">Q489-$G$2+$I$2</f>
        <v>24871.7906850608</v>
      </c>
      <c r="S489" s="42" t="n">
        <f aca="false">R489/$K$2</f>
        <v>106.276078644023</v>
      </c>
      <c r="T489" s="43" t="n">
        <f aca="false">S489-$M$2</f>
        <v>-3.70982059966333</v>
      </c>
    </row>
    <row r="490" customFormat="false" ht="15" hidden="false" customHeight="false" outlineLevel="0" collapsed="false">
      <c r="A490" s="5" t="n">
        <v>8</v>
      </c>
      <c r="B490" s="25" t="n">
        <f aca="false">IF(T489&gt;0,B489,D489)</f>
        <v>0.05078125</v>
      </c>
      <c r="C490" s="25" t="n">
        <f aca="false">IF(T489&gt;0,D489,C489)</f>
        <v>0.0625</v>
      </c>
      <c r="D490" s="41" t="n">
        <f aca="false">(B490+C490)/2</f>
        <v>0.056640625</v>
      </c>
      <c r="E490" s="15" t="n">
        <f aca="false">$C$2*(1+IF(E$3&lt;=$O$2,$D490,$D490-($D490-$I$481)*MIN(E$3-$O$2,$Q$2)/$Q$2))</f>
        <v>2324.609375</v>
      </c>
      <c r="F490" s="15" t="n">
        <f aca="false">E490*(1+IF(F$3&lt;=$O$2,$D490,$D490-($D490-$I$481)*MIN(F$3-$O$2,$Q$2)/$Q$2))</f>
        <v>2456.27670288086</v>
      </c>
      <c r="G490" s="15" t="n">
        <f aca="false">F490*(1+IF(G$3&lt;=$O$2,$D490,$D490-($D490-$I$481)*MIN(G$3-$O$2,$Q$2)/$Q$2))</f>
        <v>2595.40175050497</v>
      </c>
      <c r="H490" s="15" t="n">
        <f aca="false">G490*(1+IF(H$3&lt;=$O$2,$D490,$D490-($D490-$I$481)*MIN(H$3-$O$2,$Q$2)/$Q$2))</f>
        <v>2742.40692777967</v>
      </c>
      <c r="I490" s="15" t="n">
        <f aca="false">H490*(1+IF(I$3&lt;=$O$2,$D490,$D490-($D490-$I$481)*MIN(I$3-$O$2,$Q$2)/$Q$2))</f>
        <v>2897.73857017344</v>
      </c>
      <c r="J490" s="15" t="n">
        <f aca="false">I490*(1+IF(J$3&lt;=$O$2,$D490,$D490-($D490-$I$481)*MIN(J$3-$O$2,$Q$2)/$Q$2))</f>
        <v>3042.54581087143</v>
      </c>
      <c r="K490" s="15" t="n">
        <f aca="false">J490*(1+IF(K$3&lt;=$O$2,$D490,$D490-($D490-$I$481)*MIN(K$3-$O$2,$Q$2)/$Q$2))</f>
        <v>3174.30135562008</v>
      </c>
      <c r="L490" s="15" t="n">
        <f aca="false">K490*(1+IF(L$3&lt;=$O$2,$D490,$D490-($D490-$I$481)*MIN(L$3-$O$2,$Q$2)/$Q$2))</f>
        <v>3290.59585365992</v>
      </c>
      <c r="M490" s="15" t="n">
        <f aca="false">L490*(1+IF(M$3&lt;=$O$2,$D490,$D490-($D490-$I$481)*MIN(M$3-$O$2,$Q$2)/$Q$2))</f>
        <v>3389.20884152688</v>
      </c>
      <c r="N490" s="15" t="n">
        <f aca="false">M490*(1+IF(N$3&lt;=$O$2,$D490,$D490-($D490-$I$481)*MIN(N$3-$O$2,$Q$2)/$Q$2))</f>
        <v>3468.17740753446</v>
      </c>
      <c r="O490" s="15" t="n">
        <f aca="false">SUMPRODUCT(E490:N490,1/(1+$F$481)^$E$3:$N$3)*$E$2</f>
        <v>9792.63605348823</v>
      </c>
      <c r="P490" s="15" t="n">
        <f aca="false">N490*$E$2*(1+$I$481)/($F$481-$I$481)/(1+$F$481)^$N$3</f>
        <v>13951.582560669</v>
      </c>
      <c r="Q490" s="15" t="n">
        <f aca="false">O490+P490</f>
        <v>23744.2186141573</v>
      </c>
      <c r="R490" s="15" t="n">
        <f aca="false">Q490-$G$2+$I$2</f>
        <v>25653.8786141573</v>
      </c>
      <c r="S490" s="42" t="n">
        <f aca="false">R490/$K$2</f>
        <v>109.617906311829</v>
      </c>
      <c r="T490" s="43" t="n">
        <f aca="false">S490-$M$2</f>
        <v>-0.367992931858026</v>
      </c>
    </row>
    <row r="491" customFormat="false" ht="15" hidden="false" customHeight="false" outlineLevel="0" collapsed="false">
      <c r="A491" s="5" t="n">
        <v>9</v>
      </c>
      <c r="B491" s="25" t="n">
        <f aca="false">IF(T490&gt;0,B490,D490)</f>
        <v>0.056640625</v>
      </c>
      <c r="C491" s="25" t="n">
        <f aca="false">IF(T490&gt;0,D490,C490)</f>
        <v>0.0625</v>
      </c>
      <c r="D491" s="41" t="n">
        <f aca="false">(B491+C491)/2</f>
        <v>0.0595703125</v>
      </c>
      <c r="E491" s="15" t="n">
        <f aca="false">$C$2*(1+IF(E$3&lt;=$O$2,$D491,$D491-($D491-$I$481)*MIN(E$3-$O$2,$Q$2)/$Q$2))</f>
        <v>2331.0546875</v>
      </c>
      <c r="F491" s="15" t="n">
        <f aca="false">E491*(1+IF(F$3&lt;=$O$2,$D491,$D491-($D491-$I$481)*MIN(F$3-$O$2,$Q$2)/$Q$2))</f>
        <v>2469.91634368897</v>
      </c>
      <c r="G491" s="15" t="n">
        <f aca="false">F491*(1+IF(G$3&lt;=$O$2,$D491,$D491-($D491-$I$481)*MIN(G$3-$O$2,$Q$2)/$Q$2))</f>
        <v>2617.05003213137</v>
      </c>
      <c r="H491" s="15" t="n">
        <f aca="false">G491*(1+IF(H$3&lt;=$O$2,$D491,$D491-($D491-$I$481)*MIN(H$3-$O$2,$Q$2)/$Q$2))</f>
        <v>2772.94852037358</v>
      </c>
      <c r="I491" s="15" t="n">
        <f aca="false">H491*(1+IF(I$3&lt;=$O$2,$D491,$D491-($D491-$I$481)*MIN(I$3-$O$2,$Q$2)/$Q$2))</f>
        <v>2938.13393027864</v>
      </c>
      <c r="J491" s="15" t="n">
        <f aca="false">I491*(1+IF(J$3&lt;=$O$2,$D491,$D491-($D491-$I$481)*MIN(J$3-$O$2,$Q$2)/$Q$2))</f>
        <v>3091.84607950858</v>
      </c>
      <c r="K491" s="15" t="n">
        <f aca="false">J491*(1+IF(K$3&lt;=$O$2,$D491,$D491-($D491-$I$481)*MIN(K$3-$O$2,$Q$2)/$Q$2))</f>
        <v>3231.17142726454</v>
      </c>
      <c r="L491" s="15" t="n">
        <f aca="false">K491*(1+IF(L$3&lt;=$O$2,$D491,$D491-($D491-$I$481)*MIN(L$3-$O$2,$Q$2)/$Q$2))</f>
        <v>3353.33596048298</v>
      </c>
      <c r="M491" s="15" t="n">
        <f aca="false">L491*(1+IF(M$3&lt;=$O$2,$D491,$D491-($D491-$I$481)*MIN(M$3-$O$2,$Q$2)/$Q$2))</f>
        <v>3455.79399700308</v>
      </c>
      <c r="N491" s="15" t="n">
        <f aca="false">M491*(1+IF(N$3&lt;=$O$2,$D491,$D491-($D491-$I$481)*MIN(N$3-$O$2,$Q$2)/$Q$2))</f>
        <v>3536.31399713325</v>
      </c>
      <c r="O491" s="15" t="n">
        <f aca="false">SUMPRODUCT(E491:N491,1/(1+$F$481)^$E$3:$N$3)*$E$2</f>
        <v>9918.90253747939</v>
      </c>
      <c r="P491" s="15" t="n">
        <f aca="false">N491*$E$2*(1+$I$481)/($F$481-$I$481)/(1+$F$481)^$N$3</f>
        <v>14225.6784743108</v>
      </c>
      <c r="Q491" s="15" t="n">
        <f aca="false">O491+P491</f>
        <v>24144.5810117902</v>
      </c>
      <c r="R491" s="15" t="n">
        <f aca="false">Q491-$G$2+$I$2</f>
        <v>26054.2410117902</v>
      </c>
      <c r="S491" s="42" t="n">
        <f aca="false">R491/$K$2</f>
        <v>111.328637404564</v>
      </c>
      <c r="T491" s="43" t="n">
        <f aca="false">S491-$M$2</f>
        <v>1.3427381608777</v>
      </c>
    </row>
    <row r="492" customFormat="false" ht="15" hidden="false" customHeight="false" outlineLevel="0" collapsed="false">
      <c r="A492" s="5" t="n">
        <v>10</v>
      </c>
      <c r="B492" s="25" t="n">
        <f aca="false">IF(T491&gt;0,B491,D491)</f>
        <v>0.056640625</v>
      </c>
      <c r="C492" s="25" t="n">
        <f aca="false">IF(T491&gt;0,D491,C491)</f>
        <v>0.0595703125</v>
      </c>
      <c r="D492" s="41" t="n">
        <f aca="false">(B492+C492)/2</f>
        <v>0.05810546875</v>
      </c>
      <c r="E492" s="15" t="n">
        <f aca="false">$C$2*(1+IF(E$3&lt;=$O$2,$D492,$D492-($D492-$I$481)*MIN(E$3-$O$2,$Q$2)/$Q$2))</f>
        <v>2327.83203125</v>
      </c>
      <c r="F492" s="15" t="n">
        <f aca="false">E492*(1+IF(F$3&lt;=$O$2,$D492,$D492-($D492-$I$481)*MIN(F$3-$O$2,$Q$2)/$Q$2))</f>
        <v>2463.09180259705</v>
      </c>
      <c r="G492" s="15" t="n">
        <f aca="false">F492*(1+IF(G$3&lt;=$O$2,$D492,$D492-($D492-$I$481)*MIN(G$3-$O$2,$Q$2)/$Q$2))</f>
        <v>2606.21090636123</v>
      </c>
      <c r="H492" s="15" t="n">
        <f aca="false">G492*(1+IF(H$3&lt;=$O$2,$D492,$D492-($D492-$I$481)*MIN(H$3-$O$2,$Q$2)/$Q$2))</f>
        <v>2757.64601273671</v>
      </c>
      <c r="I492" s="15" t="n">
        <f aca="false">H492*(1+IF(I$3&lt;=$O$2,$D492,$D492-($D492-$I$481)*MIN(I$3-$O$2,$Q$2)/$Q$2))</f>
        <v>2917.88032695335</v>
      </c>
      <c r="J492" s="15" t="n">
        <f aca="false">I492*(1+IF(J$3&lt;=$O$2,$D492,$D492-($D492-$I$481)*MIN(J$3-$O$2,$Q$2)/$Q$2))</f>
        <v>3067.11349260017</v>
      </c>
      <c r="K492" s="15" t="n">
        <f aca="false">J492*(1+IF(K$3&lt;=$O$2,$D492,$D492-($D492-$I$481)*MIN(K$3-$O$2,$Q$2)/$Q$2))</f>
        <v>3202.62863066939</v>
      </c>
      <c r="L492" s="15" t="n">
        <f aca="false">K492*(1+IF(L$3&lt;=$O$2,$D492,$D492-($D492-$I$481)*MIN(L$3-$O$2,$Q$2)/$Q$2))</f>
        <v>3321.83747405304</v>
      </c>
      <c r="M492" s="15" t="n">
        <f aca="false">L492*(1+IF(M$3&lt;=$O$2,$D492,$D492-($D492-$I$481)*MIN(M$3-$O$2,$Q$2)/$Q$2))</f>
        <v>3422.35990927762</v>
      </c>
      <c r="N492" s="15" t="n">
        <f aca="false">M492*(1+IF(N$3&lt;=$O$2,$D492,$D492-($D492-$I$481)*MIN(N$3-$O$2,$Q$2)/$Q$2))</f>
        <v>3502.10089516379</v>
      </c>
      <c r="O492" s="15" t="n">
        <f aca="false">SUMPRODUCT(E492:N492,1/(1+$F$481)^$E$3:$N$3)*$E$2</f>
        <v>9855.56623614527</v>
      </c>
      <c r="P492" s="15" t="n">
        <f aca="false">N492*$E$2*(1+$I$481)/($F$481-$I$481)/(1+$F$481)^$N$3</f>
        <v>14088.04799562</v>
      </c>
      <c r="Q492" s="15" t="n">
        <f aca="false">O492+P492</f>
        <v>23943.6142317653</v>
      </c>
      <c r="R492" s="15" t="n">
        <f aca="false">Q492-$G$2+$I$2</f>
        <v>25853.2742317653</v>
      </c>
      <c r="S492" s="42" t="n">
        <f aca="false">R492/$K$2</f>
        <v>110.469915103898</v>
      </c>
      <c r="T492" s="43" t="n">
        <f aca="false">S492-$M$2</f>
        <v>0.484015860211585</v>
      </c>
    </row>
    <row r="493" customFormat="false" ht="15" hidden="false" customHeight="false" outlineLevel="0" collapsed="false">
      <c r="A493" s="5" t="n">
        <v>11</v>
      </c>
      <c r="B493" s="25" t="n">
        <f aca="false">IF(T492&gt;0,B492,D492)</f>
        <v>0.056640625</v>
      </c>
      <c r="C493" s="25" t="n">
        <f aca="false">IF(T492&gt;0,D492,C492)</f>
        <v>0.05810546875</v>
      </c>
      <c r="D493" s="41" t="n">
        <f aca="false">(B493+C493)/2</f>
        <v>0.057373046875</v>
      </c>
      <c r="E493" s="15" t="n">
        <f aca="false">$C$2*(1+IF(E$3&lt;=$O$2,$D493,$D493-($D493-$I$481)*MIN(E$3-$O$2,$Q$2)/$Q$2))</f>
        <v>2326.220703125</v>
      </c>
      <c r="F493" s="15" t="n">
        <f aca="false">E493*(1+IF(F$3&lt;=$O$2,$D493,$D493-($D493-$I$481)*MIN(F$3-$O$2,$Q$2)/$Q$2))</f>
        <v>2459.68307256699</v>
      </c>
      <c r="G493" s="15" t="n">
        <f aca="false">F493*(1+IF(G$3&lt;=$O$2,$D493,$D493-($D493-$I$481)*MIN(G$3-$O$2,$Q$2)/$Q$2))</f>
        <v>2600.80258478702</v>
      </c>
      <c r="H493" s="15" t="n">
        <f aca="false">G493*(1+IF(H$3&lt;=$O$2,$D493,$D493-($D493-$I$481)*MIN(H$3-$O$2,$Q$2)/$Q$2))</f>
        <v>2750.01855339662</v>
      </c>
      <c r="I493" s="15" t="n">
        <f aca="false">H493*(1+IF(I$3&lt;=$O$2,$D493,$D493-($D493-$I$481)*MIN(I$3-$O$2,$Q$2)/$Q$2))</f>
        <v>2907.79549676777</v>
      </c>
      <c r="J493" s="15" t="n">
        <f aca="false">I493*(1+IF(J$3&lt;=$O$2,$D493,$D493-($D493-$I$481)*MIN(J$3-$O$2,$Q$2)/$Q$2))</f>
        <v>3054.80909365388</v>
      </c>
      <c r="K493" s="15" t="n">
        <f aca="false">J493*(1+IF(K$3&lt;=$O$2,$D493,$D493-($D493-$I$481)*MIN(K$3-$O$2,$Q$2)/$Q$2))</f>
        <v>3188.43813760136</v>
      </c>
      <c r="L493" s="15" t="n">
        <f aca="false">K493*(1+IF(L$3&lt;=$O$2,$D493,$D493-($D493-$I$481)*MIN(L$3-$O$2,$Q$2)/$Q$2))</f>
        <v>3306.18466705569</v>
      </c>
      <c r="M493" s="15" t="n">
        <f aca="false">L493*(1+IF(M$3&lt;=$O$2,$D493,$D493-($D493-$I$481)*MIN(M$3-$O$2,$Q$2)/$Q$2))</f>
        <v>3405.74912682568</v>
      </c>
      <c r="N493" s="15" t="n">
        <f aca="false">M493*(1+IF(N$3&lt;=$O$2,$D493,$D493-($D493-$I$481)*MIN(N$3-$O$2,$Q$2)/$Q$2))</f>
        <v>3485.10308148072</v>
      </c>
      <c r="O493" s="15" t="n">
        <f aca="false">SUMPRODUCT(E493:N493,1/(1+$F$481)^$E$3:$N$3)*$E$2</f>
        <v>9824.05053218927</v>
      </c>
      <c r="P493" s="15" t="n">
        <f aca="false">N493*$E$2*(1+$I$481)/($F$481-$I$481)/(1+$F$481)^$N$3</f>
        <v>14019.6701783737</v>
      </c>
      <c r="Q493" s="15" t="n">
        <f aca="false">O493+P493</f>
        <v>23843.720710563</v>
      </c>
      <c r="R493" s="15" t="n">
        <f aca="false">Q493-$G$2+$I$2</f>
        <v>25753.380710563</v>
      </c>
      <c r="S493" s="42" t="n">
        <f aca="false">R493/$K$2</f>
        <v>110.043074437307</v>
      </c>
      <c r="T493" s="43" t="n">
        <f aca="false">S493-$M$2</f>
        <v>0.0571751936204521</v>
      </c>
    </row>
    <row r="494" customFormat="false" ht="15" hidden="false" customHeight="false" outlineLevel="0" collapsed="false">
      <c r="A494" s="5" t="n">
        <v>12</v>
      </c>
      <c r="B494" s="25" t="n">
        <f aca="false">IF(T493&gt;0,B493,D493)</f>
        <v>0.056640625</v>
      </c>
      <c r="C494" s="25" t="n">
        <f aca="false">IF(T493&gt;0,D493,C493)</f>
        <v>0.057373046875</v>
      </c>
      <c r="D494" s="41" t="n">
        <f aca="false">(B494+C494)/2</f>
        <v>0.0570068359375</v>
      </c>
      <c r="E494" s="15" t="n">
        <f aca="false">$C$2*(1+IF(E$3&lt;=$O$2,$D494,$D494-($D494-$I$481)*MIN(E$3-$O$2,$Q$2)/$Q$2))</f>
        <v>2325.4150390625</v>
      </c>
      <c r="F494" s="15" t="n">
        <f aca="false">E494*(1+IF(F$3&lt;=$O$2,$D494,$D494-($D494-$I$481)*MIN(F$3-$O$2,$Q$2)/$Q$2))</f>
        <v>2457.97959268093</v>
      </c>
      <c r="G494" s="15" t="n">
        <f aca="false">F494*(1+IF(G$3&lt;=$O$2,$D494,$D494-($D494-$I$481)*MIN(G$3-$O$2,$Q$2)/$Q$2))</f>
        <v>2598.10123205862</v>
      </c>
      <c r="H494" s="15" t="n">
        <f aca="false">G494*(1+IF(H$3&lt;=$O$2,$D494,$D494-($D494-$I$481)*MIN(H$3-$O$2,$Q$2)/$Q$2))</f>
        <v>2746.2107627436</v>
      </c>
      <c r="I494" s="15" t="n">
        <f aca="false">H494*(1+IF(I$3&lt;=$O$2,$D494,$D494-($D494-$I$481)*MIN(I$3-$O$2,$Q$2)/$Q$2))</f>
        <v>2902.76354914512</v>
      </c>
      <c r="J494" s="15" t="n">
        <f aca="false">I494*(1+IF(J$3&lt;=$O$2,$D494,$D494-($D494-$I$481)*MIN(J$3-$O$2,$Q$2)/$Q$2))</f>
        <v>3048.67231961331</v>
      </c>
      <c r="K494" s="15" t="n">
        <f aca="false">J494*(1+IF(K$3&lt;=$O$2,$D494,$D494-($D494-$I$481)*MIN(K$3-$O$2,$Q$2)/$Q$2))</f>
        <v>3181.36304328294</v>
      </c>
      <c r="L494" s="15" t="n">
        <f aca="false">K494*(1+IF(L$3&lt;=$O$2,$D494,$D494-($D494-$I$481)*MIN(L$3-$O$2,$Q$2)/$Q$2))</f>
        <v>3298.38227505446</v>
      </c>
      <c r="M494" s="15" t="n">
        <f aca="false">L494*(1+IF(M$3&lt;=$O$2,$D494,$D494-($D494-$I$481)*MIN(M$3-$O$2,$Q$2)/$Q$2))</f>
        <v>3397.47018810412</v>
      </c>
      <c r="N494" s="15" t="n">
        <f aca="false">M494*(1+IF(N$3&lt;=$O$2,$D494,$D494-($D494-$I$481)*MIN(N$3-$O$2,$Q$2)/$Q$2))</f>
        <v>3476.63124348694</v>
      </c>
      <c r="O494" s="15" t="n">
        <f aca="false">SUMPRODUCT(E494:N494,1/(1+$F$481)^$E$3:$N$3)*$E$2</f>
        <v>9808.33065866441</v>
      </c>
      <c r="P494" s="15" t="n">
        <f aca="false">N494*$E$2*(1+$I$481)/($F$481-$I$481)/(1+$F$481)^$N$3</f>
        <v>13985.5901607385</v>
      </c>
      <c r="Q494" s="15" t="n">
        <f aca="false">O494+P494</f>
        <v>23793.9208194029</v>
      </c>
      <c r="R494" s="15" t="n">
        <f aca="false">Q494-$G$2+$I$2</f>
        <v>25703.5808194029</v>
      </c>
      <c r="S494" s="42" t="n">
        <f aca="false">R494/$K$2</f>
        <v>109.830281670738</v>
      </c>
      <c r="T494" s="43" t="n">
        <f aca="false">S494-$M$2</f>
        <v>-0.155617572948287</v>
      </c>
    </row>
    <row r="495" customFormat="false" ht="15" hidden="false" customHeight="false" outlineLevel="0" collapsed="false">
      <c r="A495" s="5" t="n">
        <v>13</v>
      </c>
      <c r="B495" s="25" t="n">
        <f aca="false">IF(T494&gt;0,B494,D494)</f>
        <v>0.0570068359375</v>
      </c>
      <c r="C495" s="25" t="n">
        <f aca="false">IF(T494&gt;0,D494,C494)</f>
        <v>0.057373046875</v>
      </c>
      <c r="D495" s="41" t="n">
        <f aca="false">(B495+C495)/2</f>
        <v>0.05718994140625</v>
      </c>
      <c r="E495" s="15" t="n">
        <f aca="false">$C$2*(1+IF(E$3&lt;=$O$2,$D495,$D495-($D495-$I$481)*MIN(E$3-$O$2,$Q$2)/$Q$2))</f>
        <v>2325.81787109375</v>
      </c>
      <c r="F495" s="15" t="n">
        <f aca="false">E495*(1+IF(F$3&lt;=$O$2,$D495,$D495-($D495-$I$481)*MIN(F$3-$O$2,$Q$2)/$Q$2))</f>
        <v>2458.83125886321</v>
      </c>
      <c r="G495" s="15" t="n">
        <f aca="false">F495*(1+IF(G$3&lt;=$O$2,$D495,$D495-($D495-$I$481)*MIN(G$3-$O$2,$Q$2)/$Q$2))</f>
        <v>2599.45167448545</v>
      </c>
      <c r="H495" s="15" t="n">
        <f aca="false">G495*(1+IF(H$3&lt;=$O$2,$D495,$D495-($D495-$I$481)*MIN(H$3-$O$2,$Q$2)/$Q$2))</f>
        <v>2748.11416343766</v>
      </c>
      <c r="I495" s="15" t="n">
        <f aca="false">H495*(1+IF(I$3&lt;=$O$2,$D495,$D495-($D495-$I$481)*MIN(I$3-$O$2,$Q$2)/$Q$2))</f>
        <v>2905.27865142234</v>
      </c>
      <c r="J495" s="15" t="n">
        <f aca="false">I495*(1+IF(J$3&lt;=$O$2,$D495,$D495-($D495-$I$481)*MIN(J$3-$O$2,$Q$2)/$Q$2))</f>
        <v>3051.73942261291</v>
      </c>
      <c r="K495" s="15" t="n">
        <f aca="false">J495*(1+IF(K$3&lt;=$O$2,$D495,$D495-($D495-$I$481)*MIN(K$3-$O$2,$Q$2)/$Q$2))</f>
        <v>3184.89891329148</v>
      </c>
      <c r="L495" s="15" t="n">
        <f aca="false">K495*(1+IF(L$3&lt;=$O$2,$D495,$D495-($D495-$I$481)*MIN(L$3-$O$2,$Q$2)/$Q$2))</f>
        <v>3302.28147299369</v>
      </c>
      <c r="M495" s="15" t="n">
        <f aca="false">L495*(1+IF(M$3&lt;=$O$2,$D495,$D495-($D495-$I$481)*MIN(M$3-$O$2,$Q$2)/$Q$2))</f>
        <v>3401.60745643978</v>
      </c>
      <c r="N495" s="15" t="n">
        <f aca="false">M495*(1+IF(N$3&lt;=$O$2,$D495,$D495-($D495-$I$481)*MIN(N$3-$O$2,$Q$2)/$Q$2))</f>
        <v>3480.86491017483</v>
      </c>
      <c r="O495" s="15" t="n">
        <f aca="false">SUMPRODUCT(E495:N495,1/(1+$F$481)^$E$3:$N$3)*$E$2</f>
        <v>9816.18743451237</v>
      </c>
      <c r="P495" s="15" t="n">
        <f aca="false">N495*$E$2*(1+$I$481)/($F$481-$I$481)/(1+$F$481)^$N$3</f>
        <v>14002.6211090983</v>
      </c>
      <c r="Q495" s="15" t="n">
        <f aca="false">O495+P495</f>
        <v>23818.8085436107</v>
      </c>
      <c r="R495" s="15" t="n">
        <f aca="false">Q495-$G$2+$I$2</f>
        <v>25728.4685436107</v>
      </c>
      <c r="S495" s="42" t="n">
        <f aca="false">R495/$K$2</f>
        <v>109.936625832631</v>
      </c>
      <c r="T495" s="43" t="n">
        <f aca="false">S495-$M$2</f>
        <v>-0.0492734110554522</v>
      </c>
    </row>
    <row r="496" customFormat="false" ht="15" hidden="false" customHeight="false" outlineLevel="0" collapsed="false">
      <c r="A496" s="5" t="n">
        <v>14</v>
      </c>
      <c r="B496" s="25" t="n">
        <f aca="false">IF(T495&gt;0,B495,D495)</f>
        <v>0.05718994140625</v>
      </c>
      <c r="C496" s="25" t="n">
        <f aca="false">IF(T495&gt;0,D495,C495)</f>
        <v>0.057373046875</v>
      </c>
      <c r="D496" s="41" t="n">
        <f aca="false">(B496+C496)/2</f>
        <v>0.057281494140625</v>
      </c>
      <c r="E496" s="15" t="n">
        <f aca="false">$C$2*(1+IF(E$3&lt;=$O$2,$D496,$D496-($D496-$I$481)*MIN(E$3-$O$2,$Q$2)/$Q$2))</f>
        <v>2326.01928710938</v>
      </c>
      <c r="F496" s="15" t="n">
        <f aca="false">E496*(1+IF(F$3&lt;=$O$2,$D496,$D496-($D496-$I$481)*MIN(F$3-$O$2,$Q$2)/$Q$2))</f>
        <v>2459.25714727491</v>
      </c>
      <c r="G496" s="15" t="n">
        <f aca="false">F496*(1+IF(G$3&lt;=$O$2,$D496,$D496-($D496-$I$481)*MIN(G$3-$O$2,$Q$2)/$Q$2))</f>
        <v>2600.12707114683</v>
      </c>
      <c r="H496" s="15" t="n">
        <f aca="false">G496*(1+IF(H$3&lt;=$O$2,$D496,$D496-($D496-$I$481)*MIN(H$3-$O$2,$Q$2)/$Q$2))</f>
        <v>2749.06623473761</v>
      </c>
      <c r="I496" s="15" t="n">
        <f aca="false">H496*(1+IF(I$3&lt;=$O$2,$D496,$D496-($D496-$I$481)*MIN(I$3-$O$2,$Q$2)/$Q$2))</f>
        <v>2906.53685615492</v>
      </c>
      <c r="J496" s="15" t="n">
        <f aca="false">I496*(1+IF(J$3&lt;=$O$2,$D496,$D496-($D496-$I$481)*MIN(J$3-$O$2,$Q$2)/$Q$2))</f>
        <v>3053.27393702088</v>
      </c>
      <c r="K496" s="15" t="n">
        <f aca="false">J496*(1+IF(K$3&lt;=$O$2,$D496,$D496-($D496-$I$481)*MIN(K$3-$O$2,$Q$2)/$Q$2))</f>
        <v>3186.66810599383</v>
      </c>
      <c r="L496" s="15" t="n">
        <f aca="false">K496*(1+IF(L$3&lt;=$O$2,$D496,$D496-($D496-$I$481)*MIN(L$3-$O$2,$Q$2)/$Q$2))</f>
        <v>3304.23257029226</v>
      </c>
      <c r="M496" s="15" t="n">
        <f aca="false">L496*(1+IF(M$3&lt;=$O$2,$D496,$D496-($D496-$I$481)*MIN(M$3-$O$2,$Q$2)/$Q$2))</f>
        <v>3403.6777411254</v>
      </c>
      <c r="N496" s="15" t="n">
        <f aca="false">M496*(1+IF(N$3&lt;=$O$2,$D496,$D496-($D496-$I$481)*MIN(N$3-$O$2,$Q$2)/$Q$2))</f>
        <v>3482.98343249362</v>
      </c>
      <c r="O496" s="15" t="n">
        <f aca="false">SUMPRODUCT(E496:N496,1/(1+$F$481)^$E$3:$N$3)*$E$2</f>
        <v>9820.11819282567</v>
      </c>
      <c r="P496" s="15" t="n">
        <f aca="false">N496*$E$2*(1+$I$481)/($F$481-$I$481)/(1+$F$481)^$N$3</f>
        <v>14011.1433775881</v>
      </c>
      <c r="Q496" s="15" t="n">
        <f aca="false">O496+P496</f>
        <v>23831.2615704138</v>
      </c>
      <c r="R496" s="15" t="n">
        <f aca="false">Q496-$G$2+$I$2</f>
        <v>25740.9215704138</v>
      </c>
      <c r="S496" s="42" t="n">
        <f aca="false">R496/$K$2</f>
        <v>109.989837073938</v>
      </c>
      <c r="T496" s="43" t="n">
        <f aca="false">S496-$M$2</f>
        <v>0.00393783025168659</v>
      </c>
    </row>
    <row r="497" customFormat="false" ht="15" hidden="false" customHeight="false" outlineLevel="0" collapsed="false">
      <c r="A497" s="5" t="n">
        <v>15</v>
      </c>
      <c r="B497" s="25" t="n">
        <f aca="false">IF(T496&gt;0,B496,D496)</f>
        <v>0.05718994140625</v>
      </c>
      <c r="C497" s="25" t="n">
        <f aca="false">IF(T496&gt;0,D496,C496)</f>
        <v>0.057281494140625</v>
      </c>
      <c r="D497" s="41" t="n">
        <f aca="false">(B497+C497)/2</f>
        <v>0.0572357177734375</v>
      </c>
      <c r="E497" s="15" t="n">
        <f aca="false">$C$2*(1+IF(E$3&lt;=$O$2,$D497,$D497-($D497-$I$481)*MIN(E$3-$O$2,$Q$2)/$Q$2))</f>
        <v>2325.91857910156</v>
      </c>
      <c r="F497" s="15" t="n">
        <f aca="false">E497*(1+IF(F$3&lt;=$O$2,$D497,$D497-($D497-$I$481)*MIN(F$3-$O$2,$Q$2)/$Q$2))</f>
        <v>2459.04419845901</v>
      </c>
      <c r="G497" s="15" t="n">
        <f aca="false">F497*(1+IF(G$3&lt;=$O$2,$D497,$D497-($D497-$I$481)*MIN(G$3-$O$2,$Q$2)/$Q$2))</f>
        <v>2599.78935819442</v>
      </c>
      <c r="H497" s="15" t="n">
        <f aca="false">G497*(1+IF(H$3&lt;=$O$2,$D497,$D497-($D497-$I$481)*MIN(H$3-$O$2,$Q$2)/$Q$2))</f>
        <v>2748.59016817043</v>
      </c>
      <c r="I497" s="15" t="n">
        <f aca="false">H497*(1+IF(I$3&lt;=$O$2,$D497,$D497-($D497-$I$481)*MIN(I$3-$O$2,$Q$2)/$Q$2))</f>
        <v>2905.90769931067</v>
      </c>
      <c r="J497" s="15" t="n">
        <f aca="false">I497*(1+IF(J$3&lt;=$O$2,$D497,$D497-($D497-$I$481)*MIN(J$3-$O$2,$Q$2)/$Q$2))</f>
        <v>3052.50659955218</v>
      </c>
      <c r="K497" s="15" t="n">
        <f aca="false">J497*(1+IF(K$3&lt;=$O$2,$D497,$D497-($D497-$I$481)*MIN(K$3-$O$2,$Q$2)/$Q$2))</f>
        <v>3185.78340480013</v>
      </c>
      <c r="L497" s="15" t="n">
        <f aca="false">K497*(1+IF(L$3&lt;=$O$2,$D497,$D497-($D497-$I$481)*MIN(L$3-$O$2,$Q$2)/$Q$2))</f>
        <v>3303.25689673701</v>
      </c>
      <c r="M497" s="15" t="n">
        <f aca="false">L497*(1+IF(M$3&lt;=$O$2,$D497,$D497-($D497-$I$481)*MIN(M$3-$O$2,$Q$2)/$Q$2))</f>
        <v>3402.64246118715</v>
      </c>
      <c r="N497" s="15" t="n">
        <f aca="false">M497*(1+IF(N$3&lt;=$O$2,$D497,$D497-($D497-$I$481)*MIN(N$3-$O$2,$Q$2)/$Q$2))</f>
        <v>3481.92403053281</v>
      </c>
      <c r="O497" s="15" t="n">
        <f aca="false">SUMPRODUCT(E497:N497,1/(1+$F$481)^$E$3:$N$3)*$E$2</f>
        <v>9818.15261607481</v>
      </c>
      <c r="P497" s="15" t="n">
        <f aca="false">N497*$E$2*(1+$I$481)/($F$481-$I$481)/(1+$F$481)^$N$3</f>
        <v>14006.8816769355</v>
      </c>
      <c r="Q497" s="15" t="n">
        <f aca="false">O497+P497</f>
        <v>23825.0342930103</v>
      </c>
      <c r="R497" s="15" t="n">
        <f aca="false">Q497-$G$2+$I$2</f>
        <v>25734.6942930103</v>
      </c>
      <c r="S497" s="42" t="n">
        <f aca="false">R497/$K$2</f>
        <v>109.963228188738</v>
      </c>
      <c r="T497" s="43" t="n">
        <f aca="false">S497-$M$2</f>
        <v>-0.0226710549490861</v>
      </c>
    </row>
    <row r="498" customFormat="false" ht="15" hidden="false" customHeight="false" outlineLevel="0" collapsed="false">
      <c r="A498" s="5" t="n">
        <v>16</v>
      </c>
      <c r="B498" s="25" t="n">
        <f aca="false">IF(T497&gt;0,B497,D497)</f>
        <v>0.0572357177734375</v>
      </c>
      <c r="C498" s="25" t="n">
        <f aca="false">IF(T497&gt;0,D497,C497)</f>
        <v>0.057281494140625</v>
      </c>
      <c r="D498" s="41" t="n">
        <f aca="false">(B498+C498)/2</f>
        <v>0.0572586059570313</v>
      </c>
      <c r="E498" s="15" t="n">
        <f aca="false">$C$2*(1+IF(E$3&lt;=$O$2,$D498,$D498-($D498-$I$481)*MIN(E$3-$O$2,$Q$2)/$Q$2))</f>
        <v>2325.96893310547</v>
      </c>
      <c r="F498" s="15" t="n">
        <f aca="false">E498*(1+IF(F$3&lt;=$O$2,$D498,$D498-($D498-$I$481)*MIN(F$3-$O$2,$Q$2)/$Q$2))</f>
        <v>2459.15067171445</v>
      </c>
      <c r="G498" s="15" t="n">
        <f aca="false">F498*(1+IF(G$3&lt;=$O$2,$D498,$D498-($D498-$I$481)*MIN(G$3-$O$2,$Q$2)/$Q$2))</f>
        <v>2599.95821101512</v>
      </c>
      <c r="H498" s="15" t="n">
        <f aca="false">G498*(1+IF(H$3&lt;=$O$2,$D498,$D498-($D498-$I$481)*MIN(H$3-$O$2,$Q$2)/$Q$2))</f>
        <v>2748.82819372438</v>
      </c>
      <c r="I498" s="15" t="n">
        <f aca="false">H498*(1+IF(I$3&lt;=$O$2,$D498,$D498-($D498-$I$481)*MIN(I$3-$O$2,$Q$2)/$Q$2))</f>
        <v>2906.22226411242</v>
      </c>
      <c r="J498" s="15" t="n">
        <f aca="false">I498*(1+IF(J$3&lt;=$O$2,$D498,$D498-($D498-$I$481)*MIN(J$3-$O$2,$Q$2)/$Q$2))</f>
        <v>3052.89024821868</v>
      </c>
      <c r="K498" s="15" t="n">
        <f aca="false">J498*(1+IF(K$3&lt;=$O$2,$D498,$D498-($D498-$I$481)*MIN(K$3-$O$2,$Q$2)/$Q$2))</f>
        <v>3186.22572918377</v>
      </c>
      <c r="L498" s="15" t="n">
        <f aca="false">K498*(1+IF(L$3&lt;=$O$2,$D498,$D498-($D498-$I$481)*MIN(L$3-$O$2,$Q$2)/$Q$2))</f>
        <v>3303.74470228475</v>
      </c>
      <c r="M498" s="15" t="n">
        <f aca="false">L498*(1+IF(M$3&lt;=$O$2,$D498,$D498-($D498-$I$481)*MIN(M$3-$O$2,$Q$2)/$Q$2))</f>
        <v>3403.16006675349</v>
      </c>
      <c r="N498" s="15" t="n">
        <f aca="false">M498*(1+IF(N$3&lt;=$O$2,$D498,$D498-($D498-$I$481)*MIN(N$3-$O$2,$Q$2)/$Q$2))</f>
        <v>3482.45369630885</v>
      </c>
      <c r="O498" s="15" t="n">
        <f aca="false">SUMPRODUCT(E498:N498,1/(1+$F$481)^$E$3:$N$3)*$E$2</f>
        <v>9819.13535504705</v>
      </c>
      <c r="P498" s="15" t="n">
        <f aca="false">N498*$E$2*(1+$I$481)/($F$481-$I$481)/(1+$F$481)^$N$3</f>
        <v>14009.0123856437</v>
      </c>
      <c r="Q498" s="15" t="n">
        <f aca="false">O498+P498</f>
        <v>23828.1477406908</v>
      </c>
      <c r="R498" s="15" t="n">
        <f aca="false">Q498-$G$2+$I$2</f>
        <v>25737.8077406908</v>
      </c>
      <c r="S498" s="42" t="n">
        <f aca="false">R498/$K$2</f>
        <v>109.976531815112</v>
      </c>
      <c r="T498" s="43" t="n">
        <f aca="false">S498-$M$2</f>
        <v>-0.00936742857430772</v>
      </c>
    </row>
    <row r="499" customFormat="false" ht="15" hidden="false" customHeight="false" outlineLevel="0" collapsed="false">
      <c r="A499" s="5" t="n">
        <v>17</v>
      </c>
      <c r="B499" s="25" t="n">
        <f aca="false">IF(T498&gt;0,B498,D498)</f>
        <v>0.0572586059570313</v>
      </c>
      <c r="C499" s="25" t="n">
        <f aca="false">IF(T498&gt;0,D498,C498)</f>
        <v>0.057281494140625</v>
      </c>
      <c r="D499" s="41" t="n">
        <f aca="false">(B499+C499)/2</f>
        <v>0.0572700500488281</v>
      </c>
      <c r="E499" s="15" t="n">
        <f aca="false">$C$2*(1+IF(E$3&lt;=$O$2,$D499,$D499-($D499-$I$481)*MIN(E$3-$O$2,$Q$2)/$Q$2))</f>
        <v>2325.99411010742</v>
      </c>
      <c r="F499" s="15" t="n">
        <f aca="false">E499*(1+IF(F$3&lt;=$O$2,$D499,$D499-($D499-$I$481)*MIN(F$3-$O$2,$Q$2)/$Q$2))</f>
        <v>2459.20390920655</v>
      </c>
      <c r="G499" s="15" t="n">
        <f aca="false">F499*(1+IF(G$3&lt;=$O$2,$D499,$D499-($D499-$I$481)*MIN(G$3-$O$2,$Q$2)/$Q$2))</f>
        <v>2600.04264016709</v>
      </c>
      <c r="H499" s="15" t="n">
        <f aca="false">G499*(1+IF(H$3&lt;=$O$2,$D499,$D499-($D499-$I$481)*MIN(H$3-$O$2,$Q$2)/$Q$2))</f>
        <v>2748.94721229854</v>
      </c>
      <c r="I499" s="15" t="n">
        <f aca="false">H499*(1+IF(I$3&lt;=$O$2,$D499,$D499-($D499-$I$481)*MIN(I$3-$O$2,$Q$2)/$Q$2))</f>
        <v>2906.37955672847</v>
      </c>
      <c r="J499" s="15" t="n">
        <f aca="false">I499*(1+IF(J$3&lt;=$O$2,$D499,$D499-($D499-$I$481)*MIN(J$3-$O$2,$Q$2)/$Q$2))</f>
        <v>3053.08208760261</v>
      </c>
      <c r="K499" s="15" t="n">
        <f aca="false">J499*(1+IF(K$3&lt;=$O$2,$D499,$D499-($D499-$I$481)*MIN(K$3-$O$2,$Q$2)/$Q$2))</f>
        <v>3186.44691103517</v>
      </c>
      <c r="L499" s="15" t="n">
        <f aca="false">K499*(1+IF(L$3&lt;=$O$2,$D499,$D499-($D499-$I$481)*MIN(L$3-$O$2,$Q$2)/$Q$2))</f>
        <v>3303.98862848061</v>
      </c>
      <c r="M499" s="15" t="n">
        <f aca="false">L499*(1+IF(M$3&lt;=$O$2,$D499,$D499-($D499-$I$481)*MIN(M$3-$O$2,$Q$2)/$Q$2))</f>
        <v>3403.41889533826</v>
      </c>
      <c r="N499" s="15" t="n">
        <f aca="false">M499*(1+IF(N$3&lt;=$O$2,$D499,$D499-($D499-$I$481)*MIN(N$3-$O$2,$Q$2)/$Q$2))</f>
        <v>3482.71855559964</v>
      </c>
      <c r="O499" s="15" t="n">
        <f aca="false">SUMPRODUCT(E499:N499,1/(1+$F$481)^$E$3:$N$3)*$E$2</f>
        <v>9819.62676158499</v>
      </c>
      <c r="P499" s="15" t="n">
        <f aca="false">N499*$E$2*(1+$I$481)/($F$481-$I$481)/(1+$F$481)^$N$3</f>
        <v>14010.0778462094</v>
      </c>
      <c r="Q499" s="15" t="n">
        <f aca="false">O499+P499</f>
        <v>23829.7046077944</v>
      </c>
      <c r="R499" s="15" t="n">
        <f aca="false">Q499-$G$2+$I$2</f>
        <v>25739.3646077944</v>
      </c>
      <c r="S499" s="42" t="n">
        <f aca="false">R499/$K$2</f>
        <v>109.983184240458</v>
      </c>
      <c r="T499" s="43" t="n">
        <f aca="false">S499-$M$2</f>
        <v>-0.00271500322884322</v>
      </c>
    </row>
    <row r="500" customFormat="false" ht="15" hidden="false" customHeight="false" outlineLevel="0" collapsed="false">
      <c r="A500" s="5" t="n">
        <v>18</v>
      </c>
      <c r="B500" s="25" t="n">
        <f aca="false">IF(T499&gt;0,B499,D499)</f>
        <v>0.0572700500488281</v>
      </c>
      <c r="C500" s="25" t="n">
        <f aca="false">IF(T499&gt;0,D499,C499)</f>
        <v>0.057281494140625</v>
      </c>
      <c r="D500" s="41" t="n">
        <f aca="false">(B500+C500)/2</f>
        <v>0.0572757720947266</v>
      </c>
      <c r="E500" s="15" t="n">
        <f aca="false">$C$2*(1+IF(E$3&lt;=$O$2,$D500,$D500-($D500-$I$481)*MIN(E$3-$O$2,$Q$2)/$Q$2))</f>
        <v>2326.0066986084</v>
      </c>
      <c r="F500" s="15" t="n">
        <f aca="false">E500*(1+IF(F$3&lt;=$O$2,$D500,$D500-($D500-$I$481)*MIN(F$3-$O$2,$Q$2)/$Q$2))</f>
        <v>2459.2305281687</v>
      </c>
      <c r="G500" s="15" t="n">
        <f aca="false">F500*(1+IF(G$3&lt;=$O$2,$D500,$D500-($D500-$I$481)*MIN(G$3-$O$2,$Q$2)/$Q$2))</f>
        <v>2600.08485542849</v>
      </c>
      <c r="H500" s="15" t="n">
        <f aca="false">G500*(1+IF(H$3&lt;=$O$2,$D500,$D500-($D500-$I$481)*MIN(H$3-$O$2,$Q$2)/$Q$2))</f>
        <v>2749.00672303496</v>
      </c>
      <c r="I500" s="15" t="n">
        <f aca="false">H500*(1+IF(I$3&lt;=$O$2,$D500,$D500-($D500-$I$481)*MIN(I$3-$O$2,$Q$2)/$Q$2))</f>
        <v>2906.45820559038</v>
      </c>
      <c r="J500" s="15" t="n">
        <f aca="false">I500*(1+IF(J$3&lt;=$O$2,$D500,$D500-($D500-$I$481)*MIN(J$3-$O$2,$Q$2)/$Q$2))</f>
        <v>3053.17801105742</v>
      </c>
      <c r="K500" s="15" t="n">
        <f aca="false">J500*(1+IF(K$3&lt;=$O$2,$D500,$D500-($D500-$I$481)*MIN(K$3-$O$2,$Q$2)/$Q$2))</f>
        <v>3186.55750687605</v>
      </c>
      <c r="L500" s="15" t="n">
        <f aca="false">K500*(1+IF(L$3&lt;=$O$2,$D500,$D500-($D500-$I$481)*MIN(L$3-$O$2,$Q$2)/$Q$2))</f>
        <v>3304.11059743441</v>
      </c>
      <c r="M500" s="15" t="n">
        <f aca="false">L500*(1+IF(M$3&lt;=$O$2,$D500,$D500-($D500-$I$481)*MIN(M$3-$O$2,$Q$2)/$Q$2))</f>
        <v>3403.54831608147</v>
      </c>
      <c r="N500" s="15" t="n">
        <f aca="false">M500*(1+IF(N$3&lt;=$O$2,$D500,$D500-($D500-$I$481)*MIN(N$3-$O$2,$Q$2)/$Q$2))</f>
        <v>3482.85099184617</v>
      </c>
      <c r="O500" s="15" t="n">
        <f aca="false">SUMPRODUCT(E500:N500,1/(1+$F$481)^$E$3:$N$3)*$E$2</f>
        <v>9819.87247411741</v>
      </c>
      <c r="P500" s="15" t="n">
        <f aca="false">N500*$E$2*(1+$I$481)/($F$481-$I$481)/(1+$F$481)^$N$3</f>
        <v>14010.6106030469</v>
      </c>
      <c r="Q500" s="15" t="n">
        <f aca="false">O500+P500</f>
        <v>23830.4830771643</v>
      </c>
      <c r="R500" s="15" t="n">
        <f aca="false">Q500-$G$2+$I$2</f>
        <v>25740.1430771643</v>
      </c>
      <c r="S500" s="42" t="n">
        <f aca="false">R500/$K$2</f>
        <v>109.98651060618</v>
      </c>
      <c r="T500" s="43" t="n">
        <f aca="false">S500-$M$2</f>
        <v>0.000611362493160073</v>
      </c>
    </row>
    <row r="501" customFormat="false" ht="15" hidden="false" customHeight="false" outlineLevel="0" collapsed="false">
      <c r="A501" s="5" t="n">
        <v>19</v>
      </c>
      <c r="B501" s="25" t="n">
        <f aca="false">IF(T500&gt;0,B500,D500)</f>
        <v>0.0572700500488281</v>
      </c>
      <c r="C501" s="25" t="n">
        <f aca="false">IF(T500&gt;0,D500,C500)</f>
        <v>0.0572757720947266</v>
      </c>
      <c r="D501" s="41" t="n">
        <f aca="false">(B501+C501)/2</f>
        <v>0.0572729110717773</v>
      </c>
      <c r="E501" s="15" t="n">
        <f aca="false">$C$2*(1+IF(E$3&lt;=$O$2,$D501,$D501-($D501-$I$481)*MIN(E$3-$O$2,$Q$2)/$Q$2))</f>
        <v>2326.00040435791</v>
      </c>
      <c r="F501" s="15" t="n">
        <f aca="false">E501*(1+IF(F$3&lt;=$O$2,$D501,$D501-($D501-$I$481)*MIN(F$3-$O$2,$Q$2)/$Q$2))</f>
        <v>2459.21721866962</v>
      </c>
      <c r="G501" s="15" t="n">
        <f aca="false">F501*(1+IF(G$3&lt;=$O$2,$D501,$D501-($D501-$I$481)*MIN(G$3-$O$2,$Q$2)/$Q$2))</f>
        <v>2600.06374774067</v>
      </c>
      <c r="H501" s="15" t="n">
        <f aca="false">G501*(1+IF(H$3&lt;=$O$2,$D501,$D501-($D501-$I$481)*MIN(H$3-$O$2,$Q$2)/$Q$2))</f>
        <v>2748.97696754597</v>
      </c>
      <c r="I501" s="15" t="n">
        <f aca="false">H501*(1+IF(I$3&lt;=$O$2,$D501,$D501-($D501-$I$481)*MIN(I$3-$O$2,$Q$2)/$Q$2))</f>
        <v>2906.4188809466</v>
      </c>
      <c r="J501" s="15" t="n">
        <f aca="false">I501*(1+IF(J$3&lt;=$O$2,$D501,$D501-($D501-$I$481)*MIN(J$3-$O$2,$Q$2)/$Q$2))</f>
        <v>3053.13004901644</v>
      </c>
      <c r="K501" s="15" t="n">
        <f aca="false">J501*(1+IF(K$3&lt;=$O$2,$D501,$D501-($D501-$I$481)*MIN(K$3-$O$2,$Q$2)/$Q$2))</f>
        <v>3186.502208546</v>
      </c>
      <c r="L501" s="15" t="n">
        <f aca="false">K501*(1+IF(L$3&lt;=$O$2,$D501,$D501-($D501-$I$481)*MIN(L$3-$O$2,$Q$2)/$Q$2))</f>
        <v>3304.04961246951</v>
      </c>
      <c r="M501" s="15" t="n">
        <f aca="false">L501*(1+IF(M$3&lt;=$O$2,$D501,$D501-($D501-$I$481)*MIN(M$3-$O$2,$Q$2)/$Q$2))</f>
        <v>3403.48360517228</v>
      </c>
      <c r="N501" s="15" t="n">
        <f aca="false">M501*(1+IF(N$3&lt;=$O$2,$D501,$D501-($D501-$I$481)*MIN(N$3-$O$2,$Q$2)/$Q$2))</f>
        <v>3482.7847731728</v>
      </c>
      <c r="O501" s="15" t="n">
        <f aca="false">SUMPRODUCT(E501:N501,1/(1+$F$481)^$E$3:$N$3)*$E$2</f>
        <v>9819.74961707923</v>
      </c>
      <c r="P501" s="15" t="n">
        <f aca="false">N501*$E$2*(1+$I$481)/($F$481-$I$481)/(1+$F$481)^$N$3</f>
        <v>14010.3442224152</v>
      </c>
      <c r="Q501" s="15" t="n">
        <f aca="false">O501+P501</f>
        <v>23830.0938394944</v>
      </c>
      <c r="R501" s="15" t="n">
        <f aca="false">Q501-$G$2+$I$2</f>
        <v>25739.7538394944</v>
      </c>
      <c r="S501" s="42" t="n">
        <f aca="false">R501/$K$2</f>
        <v>109.984847410564</v>
      </c>
      <c r="T501" s="43" t="n">
        <f aca="false">S501-$M$2</f>
        <v>-0.00105183312221868</v>
      </c>
    </row>
    <row r="502" customFormat="false" ht="15" hidden="false" customHeight="false" outlineLevel="0" collapsed="false">
      <c r="A502" s="5" t="n">
        <v>20</v>
      </c>
      <c r="B502" s="25" t="n">
        <f aca="false">IF(T501&gt;0,B501,D501)</f>
        <v>0.0572729110717773</v>
      </c>
      <c r="C502" s="25" t="n">
        <f aca="false">IF(T501&gt;0,D501,C501)</f>
        <v>0.0572757720947266</v>
      </c>
      <c r="D502" s="41" t="n">
        <f aca="false">(B502+C502)/2</f>
        <v>0.057274341583252</v>
      </c>
      <c r="E502" s="15" t="n">
        <f aca="false">$C$2*(1+IF(E$3&lt;=$O$2,$D502,$D502-($D502-$I$481)*MIN(E$3-$O$2,$Q$2)/$Q$2))</f>
        <v>2326.00355148315</v>
      </c>
      <c r="F502" s="15" t="n">
        <f aca="false">E502*(1+IF(F$3&lt;=$O$2,$D502,$D502-($D502-$I$481)*MIN(F$3-$O$2,$Q$2)/$Q$2))</f>
        <v>2459.22387341466</v>
      </c>
      <c r="G502" s="15" t="n">
        <f aca="false">F502*(1+IF(G$3&lt;=$O$2,$D502,$D502-($D502-$I$481)*MIN(G$3-$O$2,$Q$2)/$Q$2))</f>
        <v>2600.0743015703</v>
      </c>
      <c r="H502" s="15" t="n">
        <f aca="false">G502*(1+IF(H$3&lt;=$O$2,$D502,$D502-($D502-$I$481)*MIN(H$3-$O$2,$Q$2)/$Q$2))</f>
        <v>2748.99184526027</v>
      </c>
      <c r="I502" s="15" t="n">
        <f aca="false">H502*(1+IF(I$3&lt;=$O$2,$D502,$D502-($D502-$I$481)*MIN(I$3-$O$2,$Q$2)/$Q$2))</f>
        <v>2906.43854321528</v>
      </c>
      <c r="J502" s="15" t="n">
        <f aca="false">I502*(1+IF(J$3&lt;=$O$2,$D502,$D502-($D502-$I$481)*MIN(J$3-$O$2,$Q$2)/$Q$2))</f>
        <v>3053.15402995854</v>
      </c>
      <c r="K502" s="15" t="n">
        <f aca="false">J502*(1+IF(K$3&lt;=$O$2,$D502,$D502-($D502-$I$481)*MIN(K$3-$O$2,$Q$2)/$Q$2))</f>
        <v>3186.52985760863</v>
      </c>
      <c r="L502" s="15" t="n">
        <f aca="false">K502*(1+IF(L$3&lt;=$O$2,$D502,$D502-($D502-$I$481)*MIN(L$3-$O$2,$Q$2)/$Q$2))</f>
        <v>3304.08010482996</v>
      </c>
      <c r="M502" s="15" t="n">
        <f aca="false">L502*(1+IF(M$3&lt;=$O$2,$D502,$D502-($D502-$I$481)*MIN(M$3-$O$2,$Q$2)/$Q$2))</f>
        <v>3403.51596049248</v>
      </c>
      <c r="N502" s="15" t="n">
        <f aca="false">M502*(1+IF(N$3&lt;=$O$2,$D502,$D502-($D502-$I$481)*MIN(N$3-$O$2,$Q$2)/$Q$2))</f>
        <v>3482.81788237195</v>
      </c>
      <c r="O502" s="15" t="n">
        <f aca="false">SUMPRODUCT(E502:N502,1/(1+$F$481)^$E$3:$N$3)*$E$2</f>
        <v>9819.81104540533</v>
      </c>
      <c r="P502" s="15" t="n">
        <f aca="false">N502*$E$2*(1+$I$481)/($F$481-$I$481)/(1+$F$481)^$N$3</f>
        <v>14010.4774121778</v>
      </c>
      <c r="Q502" s="15" t="n">
        <f aca="false">O502+P502</f>
        <v>23830.2884575831</v>
      </c>
      <c r="R502" s="15" t="n">
        <f aca="false">Q502-$G$2+$I$2</f>
        <v>25739.9484575831</v>
      </c>
      <c r="S502" s="42" t="n">
        <f aca="false">R502/$K$2</f>
        <v>109.985679005184</v>
      </c>
      <c r="T502" s="43" t="n">
        <f aca="false">S502-$M$2</f>
        <v>-0.000220238503160886</v>
      </c>
    </row>
    <row r="503" customFormat="false" ht="15" hidden="false" customHeight="false" outlineLevel="0" collapsed="false">
      <c r="A503" s="5" t="n">
        <v>21</v>
      </c>
      <c r="B503" s="25" t="n">
        <f aca="false">IF(T502&gt;0,B502,D502)</f>
        <v>0.057274341583252</v>
      </c>
      <c r="C503" s="25" t="n">
        <f aca="false">IF(T502&gt;0,D502,C502)</f>
        <v>0.0572757720947266</v>
      </c>
      <c r="D503" s="41" t="n">
        <f aca="false">(B503+C503)/2</f>
        <v>0.0572750568389893</v>
      </c>
      <c r="E503" s="15" t="n">
        <f aca="false">$C$2*(1+IF(E$3&lt;=$O$2,$D503,$D503-($D503-$I$481)*MIN(E$3-$O$2,$Q$2)/$Q$2))</f>
        <v>2326.00512504578</v>
      </c>
      <c r="F503" s="15" t="n">
        <f aca="false">E503*(1+IF(F$3&lt;=$O$2,$D503,$D503-($D503-$I$481)*MIN(F$3-$O$2,$Q$2)/$Q$2))</f>
        <v>2459.22720079055</v>
      </c>
      <c r="G503" s="15" t="n">
        <f aca="false">F503*(1+IF(G$3&lt;=$O$2,$D503,$D503-($D503-$I$481)*MIN(G$3-$O$2,$Q$2)/$Q$2))</f>
        <v>2600.07957849582</v>
      </c>
      <c r="H503" s="15" t="n">
        <f aca="false">G503*(1+IF(H$3&lt;=$O$2,$D503,$D503-($D503-$I$481)*MIN(H$3-$O$2,$Q$2)/$Q$2))</f>
        <v>2748.99928414006</v>
      </c>
      <c r="I503" s="15" t="n">
        <f aca="false">H503*(1+IF(I$3&lt;=$O$2,$D503,$D503-($D503-$I$481)*MIN(I$3-$O$2,$Q$2)/$Q$2))</f>
        <v>2906.44837438953</v>
      </c>
      <c r="J503" s="15" t="n">
        <f aca="false">I503*(1+IF(J$3&lt;=$O$2,$D503,$D503-($D503-$I$481)*MIN(J$3-$O$2,$Q$2)/$Q$2))</f>
        <v>3053.16602048838</v>
      </c>
      <c r="K503" s="15" t="n">
        <f aca="false">J503*(1+IF(K$3&lt;=$O$2,$D503,$D503-($D503-$I$481)*MIN(K$3-$O$2,$Q$2)/$Q$2))</f>
        <v>3186.54368221674</v>
      </c>
      <c r="L503" s="15" t="n">
        <f aca="false">K503*(1+IF(L$3&lt;=$O$2,$D503,$D503-($D503-$I$481)*MIN(L$3-$O$2,$Q$2)/$Q$2))</f>
        <v>3304.09535110168</v>
      </c>
      <c r="M503" s="15" t="n">
        <f aca="false">L503*(1+IF(M$3&lt;=$O$2,$D503,$D503-($D503-$I$481)*MIN(M$3-$O$2,$Q$2)/$Q$2))</f>
        <v>3403.53213825338</v>
      </c>
      <c r="N503" s="15" t="n">
        <f aca="false">M503*(1+IF(N$3&lt;=$O$2,$D503,$D503-($D503-$I$481)*MIN(N$3-$O$2,$Q$2)/$Q$2))</f>
        <v>3482.83443707468</v>
      </c>
      <c r="O503" s="15" t="n">
        <f aca="false">SUMPRODUCT(E503:N503,1/(1+$F$481)^$E$3:$N$3)*$E$2</f>
        <v>9819.84175971312</v>
      </c>
      <c r="P503" s="15" t="n">
        <f aca="false">N503*$E$2*(1+$I$481)/($F$481-$I$481)/(1+$F$481)^$N$3</f>
        <v>14010.544007474</v>
      </c>
      <c r="Q503" s="15" t="n">
        <f aca="false">O503+P503</f>
        <v>23830.3857671871</v>
      </c>
      <c r="R503" s="15" t="n">
        <f aca="false">Q503-$G$2+$I$2</f>
        <v>25740.0457671871</v>
      </c>
      <c r="S503" s="42" t="n">
        <f aca="false">R503/$K$2</f>
        <v>109.986094804885</v>
      </c>
      <c r="T503" s="43" t="n">
        <f aca="false">S503-$M$2</f>
        <v>0.000195561197841698</v>
      </c>
    </row>
    <row r="504" customFormat="false" ht="15" hidden="false" customHeight="false" outlineLevel="0" collapsed="false">
      <c r="A504" s="5" t="n">
        <v>22</v>
      </c>
      <c r="B504" s="25" t="n">
        <f aca="false">IF(T503&gt;0,B503,D503)</f>
        <v>0.057274341583252</v>
      </c>
      <c r="C504" s="25" t="n">
        <f aca="false">IF(T503&gt;0,D503,C503)</f>
        <v>0.0572750568389893</v>
      </c>
      <c r="D504" s="41" t="n">
        <f aca="false">(B504+C504)/2</f>
        <v>0.0572746992111206</v>
      </c>
      <c r="E504" s="15" t="n">
        <f aca="false">$C$2*(1+IF(E$3&lt;=$O$2,$D504,$D504-($D504-$I$481)*MIN(E$3-$O$2,$Q$2)/$Q$2))</f>
        <v>2326.00433826447</v>
      </c>
      <c r="F504" s="15" t="n">
        <f aca="false">E504*(1+IF(F$3&lt;=$O$2,$D504,$D504-($D504-$I$481)*MIN(F$3-$O$2,$Q$2)/$Q$2))</f>
        <v>2459.22553710232</v>
      </c>
      <c r="G504" s="15" t="n">
        <f aca="false">F504*(1+IF(G$3&lt;=$O$2,$D504,$D504-($D504-$I$481)*MIN(G$3-$O$2,$Q$2)/$Q$2))</f>
        <v>2600.07694003217</v>
      </c>
      <c r="H504" s="15" t="n">
        <f aca="false">G504*(1+IF(H$3&lt;=$O$2,$D504,$D504-($D504-$I$481)*MIN(H$3-$O$2,$Q$2)/$Q$2))</f>
        <v>2748.99556469828</v>
      </c>
      <c r="I504" s="15" t="n">
        <f aca="false">H504*(1+IF(I$3&lt;=$O$2,$D504,$D504-($D504-$I$481)*MIN(I$3-$O$2,$Q$2)/$Q$2))</f>
        <v>2906.44345879908</v>
      </c>
      <c r="J504" s="15" t="n">
        <f aca="false">I504*(1+IF(J$3&lt;=$O$2,$D504,$D504-($D504-$I$481)*MIN(J$3-$O$2,$Q$2)/$Q$2))</f>
        <v>3053.16002521856</v>
      </c>
      <c r="K504" s="15" t="n">
        <f aca="false">J504*(1+IF(K$3&lt;=$O$2,$D504,$D504-($D504-$I$481)*MIN(K$3-$O$2,$Q$2)/$Q$2))</f>
        <v>3186.53676990628</v>
      </c>
      <c r="L504" s="15" t="n">
        <f aca="false">K504*(1+IF(L$3&lt;=$O$2,$D504,$D504-($D504-$I$481)*MIN(L$3-$O$2,$Q$2)/$Q$2))</f>
        <v>3304.0877279582</v>
      </c>
      <c r="M504" s="15" t="n">
        <f aca="false">L504*(1+IF(M$3&lt;=$O$2,$D504,$D504-($D504-$I$481)*MIN(M$3-$O$2,$Q$2)/$Q$2))</f>
        <v>3403.52404936453</v>
      </c>
      <c r="N504" s="15" t="n">
        <f aca="false">M504*(1+IF(N$3&lt;=$O$2,$D504,$D504-($D504-$I$481)*MIN(N$3-$O$2,$Q$2)/$Q$2))</f>
        <v>3482.82615971472</v>
      </c>
      <c r="O504" s="15" t="n">
        <f aca="false">SUMPRODUCT(E504:N504,1/(1+$F$481)^$E$3:$N$3)*$E$2</f>
        <v>9819.82640254716</v>
      </c>
      <c r="P504" s="15" t="n">
        <f aca="false">N504*$E$2*(1+$I$481)/($F$481-$I$481)/(1+$F$481)^$N$3</f>
        <v>14010.5107097913</v>
      </c>
      <c r="Q504" s="15" t="n">
        <f aca="false">O504+P504</f>
        <v>23830.3371123385</v>
      </c>
      <c r="R504" s="15" t="n">
        <f aca="false">Q504-$G$2+$I$2</f>
        <v>25739.9971123385</v>
      </c>
      <c r="S504" s="42" t="n">
        <f aca="false">R504/$K$2</f>
        <v>109.985886904835</v>
      </c>
      <c r="T504" s="43" t="n">
        <f aca="false">S504-$M$2</f>
        <v>-1.23388519455148E-005</v>
      </c>
    </row>
    <row r="505" customFormat="false" ht="15" hidden="false" customHeight="false" outlineLevel="0" collapsed="false">
      <c r="A505" s="5" t="n">
        <v>23</v>
      </c>
      <c r="B505" s="25" t="n">
        <f aca="false">IF(T504&gt;0,B504,D504)</f>
        <v>0.0572746992111206</v>
      </c>
      <c r="C505" s="25" t="n">
        <f aca="false">IF(T504&gt;0,D504,C504)</f>
        <v>0.0572750568389893</v>
      </c>
      <c r="D505" s="41" t="n">
        <f aca="false">(B505+C505)/2</f>
        <v>0.0572748780250549</v>
      </c>
      <c r="E505" s="15" t="n">
        <f aca="false">$C$2*(1+IF(E$3&lt;=$O$2,$D505,$D505-($D505-$I$481)*MIN(E$3-$O$2,$Q$2)/$Q$2))</f>
        <v>2326.00473165512</v>
      </c>
      <c r="F505" s="15" t="n">
        <f aca="false">E505*(1+IF(F$3&lt;=$O$2,$D505,$D505-($D505-$I$481)*MIN(F$3-$O$2,$Q$2)/$Q$2))</f>
        <v>2459.22636894637</v>
      </c>
      <c r="G505" s="15" t="n">
        <f aca="false">F505*(1+IF(G$3&lt;=$O$2,$D505,$D505-($D505-$I$481)*MIN(G$3-$O$2,$Q$2)/$Q$2))</f>
        <v>2600.07825926377</v>
      </c>
      <c r="H505" s="15" t="n">
        <f aca="false">G505*(1+IF(H$3&lt;=$O$2,$D505,$D505-($D505-$I$481)*MIN(H$3-$O$2,$Q$2)/$Q$2))</f>
        <v>2748.9974244187</v>
      </c>
      <c r="I505" s="15" t="n">
        <f aca="false">H505*(1+IF(I$3&lt;=$O$2,$D505,$D505-($D505-$I$481)*MIN(I$3-$O$2,$Q$2)/$Q$2))</f>
        <v>2906.44591659347</v>
      </c>
      <c r="J505" s="15" t="n">
        <f aca="false">I505*(1+IF(J$3&lt;=$O$2,$D505,$D505-($D505-$I$481)*MIN(J$3-$O$2,$Q$2)/$Q$2))</f>
        <v>3053.16302285225</v>
      </c>
      <c r="K505" s="15" t="n">
        <f aca="false">J505*(1+IF(K$3&lt;=$O$2,$D505,$D505-($D505-$I$481)*MIN(K$3-$O$2,$Q$2)/$Q$2))</f>
        <v>3186.54022605991</v>
      </c>
      <c r="L505" s="15" t="n">
        <f aca="false">K505*(1+IF(L$3&lt;=$O$2,$D505,$D505-($D505-$I$481)*MIN(L$3-$O$2,$Q$2)/$Q$2))</f>
        <v>3304.09153952803</v>
      </c>
      <c r="M505" s="15" t="n">
        <f aca="false">L505*(1+IF(M$3&lt;=$O$2,$D505,$D505-($D505-$I$481)*MIN(M$3-$O$2,$Q$2)/$Q$2))</f>
        <v>3403.52809380685</v>
      </c>
      <c r="N505" s="15" t="n">
        <f aca="false">M505*(1+IF(N$3&lt;=$O$2,$D505,$D505-($D505-$I$481)*MIN(N$3-$O$2,$Q$2)/$Q$2))</f>
        <v>3482.83029839255</v>
      </c>
      <c r="O505" s="15" t="n">
        <f aca="false">SUMPRODUCT(E505:N505,1/(1+$F$481)^$E$3:$N$3)*$E$2</f>
        <v>9819.83408112713</v>
      </c>
      <c r="P505" s="15" t="n">
        <f aca="false">N505*$E$2*(1+$I$481)/($F$481-$I$481)/(1+$F$481)^$N$3</f>
        <v>14010.527358624</v>
      </c>
      <c r="Q505" s="15" t="n">
        <f aca="false">O505+P505</f>
        <v>23830.3614397512</v>
      </c>
      <c r="R505" s="15" t="n">
        <f aca="false">Q505-$G$2+$I$2</f>
        <v>25740.0214397511</v>
      </c>
      <c r="S505" s="42" t="n">
        <f aca="false">R505/$K$2</f>
        <v>109.98599085481</v>
      </c>
      <c r="T505" s="43" t="n">
        <f aca="false">S505-$M$2</f>
        <v>9.1611123139046E-005</v>
      </c>
    </row>
    <row r="506" customFormat="false" ht="15" hidden="false" customHeight="false" outlineLevel="0" collapsed="false">
      <c r="A506" s="5" t="n">
        <v>24</v>
      </c>
      <c r="B506" s="25" t="n">
        <f aca="false">IF(T505&gt;0,B505,D505)</f>
        <v>0.0572746992111206</v>
      </c>
      <c r="C506" s="25" t="n">
        <f aca="false">IF(T505&gt;0,D505,C505)</f>
        <v>0.0572748780250549</v>
      </c>
      <c r="D506" s="41" t="n">
        <f aca="false">(B506+C506)/2</f>
        <v>0.0572747886180878</v>
      </c>
      <c r="E506" s="15" t="n">
        <f aca="false">$C$2*(1+IF(E$3&lt;=$O$2,$D506,$D506-($D506-$I$481)*MIN(E$3-$O$2,$Q$2)/$Q$2))</f>
        <v>2326.00453495979</v>
      </c>
      <c r="F506" s="15" t="n">
        <f aca="false">E506*(1+IF(F$3&lt;=$O$2,$D506,$D506-($D506-$I$481)*MIN(F$3-$O$2,$Q$2)/$Q$2))</f>
        <v>2459.22595302433</v>
      </c>
      <c r="G506" s="15" t="n">
        <f aca="false">F506*(1+IF(G$3&lt;=$O$2,$D506,$D506-($D506-$I$481)*MIN(G$3-$O$2,$Q$2)/$Q$2))</f>
        <v>2600.07759964791</v>
      </c>
      <c r="H506" s="15" t="n">
        <f aca="false">G506*(1+IF(H$3&lt;=$O$2,$D506,$D506-($D506-$I$481)*MIN(H$3-$O$2,$Q$2)/$Q$2))</f>
        <v>2748.99649455837</v>
      </c>
      <c r="I506" s="15" t="n">
        <f aca="false">H506*(1+IF(I$3&lt;=$O$2,$D506,$D506-($D506-$I$481)*MIN(I$3-$O$2,$Q$2)/$Q$2))</f>
        <v>2906.44468769607</v>
      </c>
      <c r="J506" s="15" t="n">
        <f aca="false">I506*(1+IF(J$3&lt;=$O$2,$D506,$D506-($D506-$I$481)*MIN(J$3-$O$2,$Q$2)/$Q$2))</f>
        <v>3053.1615240351</v>
      </c>
      <c r="K506" s="15" t="n">
        <f aca="false">J506*(1+IF(K$3&lt;=$O$2,$D506,$D506-($D506-$I$481)*MIN(K$3-$O$2,$Q$2)/$Q$2))</f>
        <v>3186.5384979827</v>
      </c>
      <c r="L506" s="15" t="n">
        <f aca="false">K506*(1+IF(L$3&lt;=$O$2,$D506,$D506-($D506-$I$481)*MIN(L$3-$O$2,$Q$2)/$Q$2))</f>
        <v>3304.08963374264</v>
      </c>
      <c r="M506" s="15" t="n">
        <f aca="false">L506*(1+IF(M$3&lt;=$O$2,$D506,$D506-($D506-$I$481)*MIN(M$3-$O$2,$Q$2)/$Q$2))</f>
        <v>3403.52607158516</v>
      </c>
      <c r="N506" s="15" t="n">
        <f aca="false">M506*(1+IF(N$3&lt;=$O$2,$D506,$D506-($D506-$I$481)*MIN(N$3-$O$2,$Q$2)/$Q$2))</f>
        <v>3482.8282290531</v>
      </c>
      <c r="O506" s="15" t="n">
        <f aca="false">SUMPRODUCT(E506:N506,1/(1+$F$481)^$E$3:$N$3)*$E$2</f>
        <v>9819.83024183639</v>
      </c>
      <c r="P506" s="15" t="n">
        <f aca="false">N506*$E$2*(1+$I$481)/($F$481-$I$481)/(1+$F$481)^$N$3</f>
        <v>14010.5190342055</v>
      </c>
      <c r="Q506" s="15" t="n">
        <f aca="false">O506+P506</f>
        <v>23830.3492760419</v>
      </c>
      <c r="R506" s="15" t="n">
        <f aca="false">Q506-$G$2+$I$2</f>
        <v>25740.0092760419</v>
      </c>
      <c r="S506" s="42" t="n">
        <f aca="false">R506/$K$2</f>
        <v>109.98593887981</v>
      </c>
      <c r="T506" s="43" t="n">
        <f aca="false">S506-$M$2</f>
        <v>3.9636123133846E-005</v>
      </c>
    </row>
    <row r="508" customFormat="false" ht="15" hidden="false" customHeight="false" outlineLevel="0" collapsed="false">
      <c r="A508" s="38" t="s">
        <v>205</v>
      </c>
      <c r="E508" s="5" t="s">
        <v>11</v>
      </c>
      <c r="F508" s="12" t="n">
        <f aca="false">Sensitivity!$B$13</f>
        <v>0.0827967762761046</v>
      </c>
      <c r="G508" s="5" t="s">
        <v>12</v>
      </c>
      <c r="I508" s="12" t="n">
        <f aca="false">Sensitivity!$E$9</f>
        <v>0.0283</v>
      </c>
    </row>
    <row r="509" customFormat="false" ht="23.85" hidden="false" customHeight="false" outlineLevel="0" collapsed="false">
      <c r="A509" s="38" t="s">
        <v>168</v>
      </c>
      <c r="B509" s="28" t="s">
        <v>169</v>
      </c>
      <c r="C509" s="28" t="s">
        <v>170</v>
      </c>
      <c r="D509" s="28" t="s">
        <v>171</v>
      </c>
      <c r="E509" s="28" t="s">
        <v>172</v>
      </c>
      <c r="F509" s="28" t="s">
        <v>173</v>
      </c>
      <c r="G509" s="28" t="s">
        <v>174</v>
      </c>
      <c r="H509" s="28" t="s">
        <v>175</v>
      </c>
      <c r="I509" s="28" t="s">
        <v>176</v>
      </c>
      <c r="J509" s="28" t="s">
        <v>177</v>
      </c>
      <c r="K509" s="28" t="s">
        <v>178</v>
      </c>
      <c r="L509" s="28" t="s">
        <v>179</v>
      </c>
      <c r="M509" s="28" t="s">
        <v>180</v>
      </c>
      <c r="N509" s="28" t="s">
        <v>181</v>
      </c>
      <c r="O509" s="28" t="s">
        <v>182</v>
      </c>
      <c r="P509" s="28" t="s">
        <v>183</v>
      </c>
      <c r="Q509" s="28" t="s">
        <v>184</v>
      </c>
      <c r="R509" s="28" t="s">
        <v>185</v>
      </c>
      <c r="S509" s="28" t="s">
        <v>186</v>
      </c>
      <c r="T509" s="28" t="s">
        <v>187</v>
      </c>
    </row>
    <row r="510" customFormat="false" ht="15" hidden="false" customHeight="false" outlineLevel="0" collapsed="false">
      <c r="A510" s="5" t="n">
        <v>1</v>
      </c>
      <c r="B510" s="24" t="n">
        <v>-0.5</v>
      </c>
      <c r="C510" s="24" t="n">
        <v>1</v>
      </c>
      <c r="D510" s="41" t="n">
        <f aca="false">(B510+C510)/2</f>
        <v>0.25</v>
      </c>
      <c r="E510" s="15" t="n">
        <f aca="false">$C$2*(1+IF(E$3&lt;=$O$2,$D510,$D510-($D510-$I$508)*MIN(E$3-$O$2,$Q$2)/$Q$2))</f>
        <v>2750</v>
      </c>
      <c r="F510" s="15" t="n">
        <f aca="false">E510*(1+IF(F$3&lt;=$O$2,$D510,$D510-($D510-$I$508)*MIN(F$3-$O$2,$Q$2)/$Q$2))</f>
        <v>3437.5</v>
      </c>
      <c r="G510" s="15" t="n">
        <f aca="false">F510*(1+IF(G$3&lt;=$O$2,$D510,$D510-($D510-$I$508)*MIN(G$3-$O$2,$Q$2)/$Q$2))</f>
        <v>4296.875</v>
      </c>
      <c r="H510" s="15" t="n">
        <f aca="false">G510*(1+IF(H$3&lt;=$O$2,$D510,$D510-($D510-$I$508)*MIN(H$3-$O$2,$Q$2)/$Q$2))</f>
        <v>5371.09375</v>
      </c>
      <c r="I510" s="15" t="n">
        <f aca="false">H510*(1+IF(I$3&lt;=$O$2,$D510,$D510-($D510-$I$508)*MIN(I$3-$O$2,$Q$2)/$Q$2))</f>
        <v>6713.8671875</v>
      </c>
      <c r="J510" s="15" t="n">
        <f aca="false">I510*(1+IF(J$3&lt;=$O$2,$D510,$D510-($D510-$I$508)*MIN(J$3-$O$2,$Q$2)/$Q$2))</f>
        <v>8094.64111328125</v>
      </c>
      <c r="K510" s="15" t="n">
        <f aca="false">J510*(1+IF(K$3&lt;=$O$2,$D510,$D510-($D510-$I$508)*MIN(K$3-$O$2,$Q$2)/$Q$2))</f>
        <v>9400.46861767578</v>
      </c>
      <c r="L510" s="15" t="n">
        <f aca="false">K510*(1+IF(L$3&lt;=$O$2,$D510,$D510-($D510-$I$508)*MIN(L$3-$O$2,$Q$2)/$Q$2))</f>
        <v>10500.1354365715</v>
      </c>
      <c r="M510" s="15" t="n">
        <f aca="false">L510*(1+IF(M$3&lt;=$O$2,$D510,$D510-($D510-$I$508)*MIN(M$3-$O$2,$Q$2)/$Q$2))</f>
        <v>11262.865274684</v>
      </c>
      <c r="N510" s="15" t="n">
        <f aca="false">M510*(1+IF(N$3&lt;=$O$2,$D510,$D510-($D510-$I$508)*MIN(N$3-$O$2,$Q$2)/$Q$2))</f>
        <v>11581.6043619576</v>
      </c>
      <c r="O510" s="15" t="n">
        <f aca="false">SUMPRODUCT(E510:N510,1/(1+$F$508)^$E$3:$N$3)*$E$2</f>
        <v>22785.5948056514</v>
      </c>
      <c r="P510" s="15" t="n">
        <f aca="false">N510*$E$2*(1+$I$508)/($F$508-$I$508)/(1+$F$508)^$N$3</f>
        <v>51112.8829680991</v>
      </c>
      <c r="Q510" s="15" t="n">
        <f aca="false">O510+P510</f>
        <v>73898.4777737506</v>
      </c>
      <c r="R510" s="15" t="n">
        <f aca="false">Q510-$G$2+$I$2</f>
        <v>75808.1377737506</v>
      </c>
      <c r="S510" s="42" t="n">
        <f aca="false">R510/$K$2</f>
        <v>323.924871912791</v>
      </c>
      <c r="T510" s="43" t="n">
        <f aca="false">S510-$M$2</f>
        <v>213.938972669105</v>
      </c>
    </row>
    <row r="511" customFormat="false" ht="15" hidden="false" customHeight="false" outlineLevel="0" collapsed="false">
      <c r="A511" s="5" t="n">
        <v>2</v>
      </c>
      <c r="B511" s="25" t="n">
        <f aca="false">IF(T510&gt;0,B510,D510)</f>
        <v>-0.5</v>
      </c>
      <c r="C511" s="25" t="n">
        <f aca="false">IF(T510&gt;0,D510,C510)</f>
        <v>0.25</v>
      </c>
      <c r="D511" s="41" t="n">
        <f aca="false">(B511+C511)/2</f>
        <v>-0.125</v>
      </c>
      <c r="E511" s="15" t="n">
        <f aca="false">$C$2*(1+IF(E$3&lt;=$O$2,$D511,$D511-($D511-$I$508)*MIN(E$3-$O$2,$Q$2)/$Q$2))</f>
        <v>1925</v>
      </c>
      <c r="F511" s="15" t="n">
        <f aca="false">E511*(1+IF(F$3&lt;=$O$2,$D511,$D511-($D511-$I$508)*MIN(F$3-$O$2,$Q$2)/$Q$2))</f>
        <v>1684.375</v>
      </c>
      <c r="G511" s="15" t="n">
        <f aca="false">F511*(1+IF(G$3&lt;=$O$2,$D511,$D511-($D511-$I$508)*MIN(G$3-$O$2,$Q$2)/$Q$2))</f>
        <v>1473.828125</v>
      </c>
      <c r="H511" s="15" t="n">
        <f aca="false">G511*(1+IF(H$3&lt;=$O$2,$D511,$D511-($D511-$I$508)*MIN(H$3-$O$2,$Q$2)/$Q$2))</f>
        <v>1289.599609375</v>
      </c>
      <c r="I511" s="15" t="n">
        <f aca="false">H511*(1+IF(I$3&lt;=$O$2,$D511,$D511-($D511-$I$508)*MIN(I$3-$O$2,$Q$2)/$Q$2))</f>
        <v>1128.39965820313</v>
      </c>
      <c r="J511" s="15" t="n">
        <f aca="false">I511*(1+IF(J$3&lt;=$O$2,$D511,$D511-($D511-$I$508)*MIN(J$3-$O$2,$Q$2)/$Q$2))</f>
        <v>1021.94643444824</v>
      </c>
      <c r="K511" s="15" t="n">
        <f aca="false">J511*(1+IF(K$3&lt;=$O$2,$D511,$D511-($D511-$I$508)*MIN(K$3-$O$2,$Q$2)/$Q$2))</f>
        <v>956.868885502578</v>
      </c>
      <c r="L511" s="15" t="n">
        <f aca="false">K511*(1+IF(L$3&lt;=$O$2,$D511,$D511-($D511-$I$508)*MIN(L$3-$O$2,$Q$2)/$Q$2))</f>
        <v>925.273074903283</v>
      </c>
      <c r="M511" s="15" t="n">
        <f aca="false">L511*(1+IF(M$3&lt;=$O$2,$D511,$D511-($D511-$I$508)*MIN(M$3-$O$2,$Q$2)/$Q$2))</f>
        <v>923.089430446511</v>
      </c>
      <c r="N511" s="15" t="n">
        <f aca="false">M511*(1+IF(N$3&lt;=$O$2,$D511,$D511-($D511-$I$508)*MIN(N$3-$O$2,$Q$2)/$Q$2))</f>
        <v>949.212861328148</v>
      </c>
      <c r="O511" s="15" t="n">
        <f aca="false">SUMPRODUCT(E511:N511,1/(1+$F$508)^$E$3:$N$3)*$E$2</f>
        <v>4468.41095352547</v>
      </c>
      <c r="P511" s="15" t="n">
        <f aca="false">N511*$E$2*(1+$I$508)/($F$508-$I$508)/(1+$F$508)^$N$3</f>
        <v>4189.14378151659</v>
      </c>
      <c r="Q511" s="15" t="n">
        <f aca="false">O511+P511</f>
        <v>8657.55473504206</v>
      </c>
      <c r="R511" s="15" t="n">
        <f aca="false">Q511-$G$2+$I$2</f>
        <v>10567.2147350421</v>
      </c>
      <c r="S511" s="42" t="n">
        <f aca="false">R511/$K$2</f>
        <v>45.153248451233</v>
      </c>
      <c r="T511" s="43" t="n">
        <f aca="false">S511-$M$2</f>
        <v>-64.8326507924537</v>
      </c>
    </row>
    <row r="512" customFormat="false" ht="15" hidden="false" customHeight="false" outlineLevel="0" collapsed="false">
      <c r="A512" s="5" t="n">
        <v>3</v>
      </c>
      <c r="B512" s="25" t="n">
        <f aca="false">IF(T511&gt;0,B511,D511)</f>
        <v>-0.125</v>
      </c>
      <c r="C512" s="25" t="n">
        <f aca="false">IF(T511&gt;0,D511,C511)</f>
        <v>0.25</v>
      </c>
      <c r="D512" s="41" t="n">
        <f aca="false">(B512+C512)/2</f>
        <v>0.0625</v>
      </c>
      <c r="E512" s="15" t="n">
        <f aca="false">$C$2*(1+IF(E$3&lt;=$O$2,$D512,$D512-($D512-$I$508)*MIN(E$3-$O$2,$Q$2)/$Q$2))</f>
        <v>2337.5</v>
      </c>
      <c r="F512" s="15" t="n">
        <f aca="false">E512*(1+IF(F$3&lt;=$O$2,$D512,$D512-($D512-$I$508)*MIN(F$3-$O$2,$Q$2)/$Q$2))</f>
        <v>2483.59375</v>
      </c>
      <c r="G512" s="15" t="n">
        <f aca="false">F512*(1+IF(G$3&lt;=$O$2,$D512,$D512-($D512-$I$508)*MIN(G$3-$O$2,$Q$2)/$Q$2))</f>
        <v>2638.818359375</v>
      </c>
      <c r="H512" s="15" t="n">
        <f aca="false">G512*(1+IF(H$3&lt;=$O$2,$D512,$D512-($D512-$I$508)*MIN(H$3-$O$2,$Q$2)/$Q$2))</f>
        <v>2803.74450683594</v>
      </c>
      <c r="I512" s="15" t="n">
        <f aca="false">H512*(1+IF(I$3&lt;=$O$2,$D512,$D512-($D512-$I$508)*MIN(I$3-$O$2,$Q$2)/$Q$2))</f>
        <v>2978.97853851318</v>
      </c>
      <c r="J512" s="15" t="n">
        <f aca="false">I512*(1+IF(J$3&lt;=$O$2,$D512,$D512-($D512-$I$508)*MIN(J$3-$O$2,$Q$2)/$Q$2))</f>
        <v>3144.78848396683</v>
      </c>
      <c r="K512" s="15" t="n">
        <f aca="false">J512*(1+IF(K$3&lt;=$O$2,$D512,$D512-($D512-$I$508)*MIN(K$3-$O$2,$Q$2)/$Q$2))</f>
        <v>3298.31705775409</v>
      </c>
      <c r="L512" s="15" t="n">
        <f aca="false">K512*(1+IF(L$3&lt;=$O$2,$D512,$D512-($D512-$I$508)*MIN(L$3-$O$2,$Q$2)/$Q$2))</f>
        <v>3436.78040783861</v>
      </c>
      <c r="M512" s="15" t="n">
        <f aca="false">L512*(1+IF(M$3&lt;=$O$2,$D512,$D512-($D512-$I$508)*MIN(M$3-$O$2,$Q$2)/$Q$2))</f>
        <v>3557.54887137005</v>
      </c>
      <c r="N512" s="15" t="n">
        <f aca="false">M512*(1+IF(N$3&lt;=$O$2,$D512,$D512-($D512-$I$508)*MIN(N$3-$O$2,$Q$2)/$Q$2))</f>
        <v>3658.22750442983</v>
      </c>
      <c r="O512" s="15" t="n">
        <f aca="false">SUMPRODUCT(E512:N512,1/(1+$F$508)^$E$3:$N$3)*$E$2</f>
        <v>10076.8716150247</v>
      </c>
      <c r="P512" s="15" t="n">
        <f aca="false">N512*$E$2*(1+$I$508)/($F$508-$I$508)/(1+$F$508)^$N$3</f>
        <v>16144.7886200283</v>
      </c>
      <c r="Q512" s="15" t="n">
        <f aca="false">O512+P512</f>
        <v>26221.660235053</v>
      </c>
      <c r="R512" s="15" t="n">
        <f aca="false">Q512-$G$2+$I$2</f>
        <v>28131.320235053</v>
      </c>
      <c r="S512" s="42" t="n">
        <f aca="false">R512/$K$2</f>
        <v>120.203906486574</v>
      </c>
      <c r="T512" s="43" t="n">
        <f aca="false">S512-$M$2</f>
        <v>10.2180072428876</v>
      </c>
    </row>
    <row r="513" customFormat="false" ht="15" hidden="false" customHeight="false" outlineLevel="0" collapsed="false">
      <c r="A513" s="5" t="n">
        <v>4</v>
      </c>
      <c r="B513" s="25" t="n">
        <f aca="false">IF(T512&gt;0,B512,D512)</f>
        <v>-0.125</v>
      </c>
      <c r="C513" s="25" t="n">
        <f aca="false">IF(T512&gt;0,D512,C512)</f>
        <v>0.0625</v>
      </c>
      <c r="D513" s="41" t="n">
        <f aca="false">(B513+C513)/2</f>
        <v>-0.03125</v>
      </c>
      <c r="E513" s="15" t="n">
        <f aca="false">$C$2*(1+IF(E$3&lt;=$O$2,$D513,$D513-($D513-$I$508)*MIN(E$3-$O$2,$Q$2)/$Q$2))</f>
        <v>2131.25</v>
      </c>
      <c r="F513" s="15" t="n">
        <f aca="false">E513*(1+IF(F$3&lt;=$O$2,$D513,$D513-($D513-$I$508)*MIN(F$3-$O$2,$Q$2)/$Q$2))</f>
        <v>2064.6484375</v>
      </c>
      <c r="G513" s="15" t="n">
        <f aca="false">F513*(1+IF(G$3&lt;=$O$2,$D513,$D513-($D513-$I$508)*MIN(G$3-$O$2,$Q$2)/$Q$2))</f>
        <v>2000.12817382813</v>
      </c>
      <c r="H513" s="15" t="n">
        <f aca="false">G513*(1+IF(H$3&lt;=$O$2,$D513,$D513-($D513-$I$508)*MIN(H$3-$O$2,$Q$2)/$Q$2))</f>
        <v>1937.624168396</v>
      </c>
      <c r="I513" s="15" t="n">
        <f aca="false">H513*(1+IF(I$3&lt;=$O$2,$D513,$D513-($D513-$I$508)*MIN(I$3-$O$2,$Q$2)/$Q$2))</f>
        <v>1877.07341313362</v>
      </c>
      <c r="J513" s="15" t="n">
        <f aca="false">I513*(1+IF(J$3&lt;=$O$2,$D513,$D513-($D513-$I$508)*MIN(J$3-$O$2,$Q$2)/$Q$2))</f>
        <v>1840.77081332362</v>
      </c>
      <c r="K513" s="15" t="n">
        <f aca="false">J513*(1+IF(K$3&lt;=$O$2,$D513,$D513-($D513-$I$508)*MIN(K$3-$O$2,$Q$2)/$Q$2))</f>
        <v>1827.09388618062</v>
      </c>
      <c r="L513" s="15" t="n">
        <f aca="false">K513*(1+IF(L$3&lt;=$O$2,$D513,$D513-($D513-$I$508)*MIN(L$3-$O$2,$Q$2)/$Q$2))</f>
        <v>1835.27926679071</v>
      </c>
      <c r="M513" s="15" t="n">
        <f aca="false">L513*(1+IF(M$3&lt;=$O$2,$D513,$D513-($D513-$I$508)*MIN(M$3-$O$2,$Q$2)/$Q$2))</f>
        <v>1865.35949397341</v>
      </c>
      <c r="N513" s="15" t="n">
        <f aca="false">M513*(1+IF(N$3&lt;=$O$2,$D513,$D513-($D513-$I$508)*MIN(N$3-$O$2,$Q$2)/$Q$2))</f>
        <v>1918.14916765286</v>
      </c>
      <c r="O513" s="15" t="n">
        <f aca="false">SUMPRODUCT(E513:N513,1/(1+$F$508)^$E$3:$N$3)*$E$2</f>
        <v>6691.38561256921</v>
      </c>
      <c r="P513" s="15" t="n">
        <f aca="false">N513*$E$2*(1+$I$508)/($F$508-$I$508)/(1+$F$508)^$N$3</f>
        <v>8465.33268254603</v>
      </c>
      <c r="Q513" s="15" t="n">
        <f aca="false">O513+P513</f>
        <v>15156.7182951152</v>
      </c>
      <c r="R513" s="15" t="n">
        <f aca="false">Q513-$G$2+$I$2</f>
        <v>17066.3782951152</v>
      </c>
      <c r="S513" s="42" t="n">
        <f aca="false">R513/$K$2</f>
        <v>72.9238913605744</v>
      </c>
      <c r="T513" s="43" t="n">
        <f aca="false">S513-$M$2</f>
        <v>-37.0620078831123</v>
      </c>
    </row>
    <row r="514" customFormat="false" ht="15" hidden="false" customHeight="false" outlineLevel="0" collapsed="false">
      <c r="A514" s="5" t="n">
        <v>5</v>
      </c>
      <c r="B514" s="25" t="n">
        <f aca="false">IF(T513&gt;0,B513,D513)</f>
        <v>-0.03125</v>
      </c>
      <c r="C514" s="25" t="n">
        <f aca="false">IF(T513&gt;0,D513,C513)</f>
        <v>0.0625</v>
      </c>
      <c r="D514" s="41" t="n">
        <f aca="false">(B514+C514)/2</f>
        <v>0.015625</v>
      </c>
      <c r="E514" s="15" t="n">
        <f aca="false">$C$2*(1+IF(E$3&lt;=$O$2,$D514,$D514-($D514-$I$508)*MIN(E$3-$O$2,$Q$2)/$Q$2))</f>
        <v>2234.375</v>
      </c>
      <c r="F514" s="15" t="n">
        <f aca="false">E514*(1+IF(F$3&lt;=$O$2,$D514,$D514-($D514-$I$508)*MIN(F$3-$O$2,$Q$2)/$Q$2))</f>
        <v>2269.287109375</v>
      </c>
      <c r="G514" s="15" t="n">
        <f aca="false">F514*(1+IF(G$3&lt;=$O$2,$D514,$D514-($D514-$I$508)*MIN(G$3-$O$2,$Q$2)/$Q$2))</f>
        <v>2304.74472045898</v>
      </c>
      <c r="H514" s="15" t="n">
        <f aca="false">G514*(1+IF(H$3&lt;=$O$2,$D514,$D514-($D514-$I$508)*MIN(H$3-$O$2,$Q$2)/$Q$2))</f>
        <v>2340.75635671616</v>
      </c>
      <c r="I514" s="15" t="n">
        <f aca="false">H514*(1+IF(I$3&lt;=$O$2,$D514,$D514-($D514-$I$508)*MIN(I$3-$O$2,$Q$2)/$Q$2))</f>
        <v>2377.33067478985</v>
      </c>
      <c r="J514" s="15" t="n">
        <f aca="false">I514*(1+IF(J$3&lt;=$O$2,$D514,$D514-($D514-$I$508)*MIN(J$3-$O$2,$Q$2)/$Q$2))</f>
        <v>2420.50299984403</v>
      </c>
      <c r="K514" s="15" t="n">
        <f aca="false">J514*(1+IF(K$3&lt;=$O$2,$D514,$D514-($D514-$I$508)*MIN(K$3-$O$2,$Q$2)/$Q$2))</f>
        <v>2470.5953094258</v>
      </c>
      <c r="L514" s="15" t="n">
        <f aca="false">K514*(1+IF(L$3&lt;=$O$2,$D514,$D514-($D514-$I$508)*MIN(L$3-$O$2,$Q$2)/$Q$2))</f>
        <v>2527.98723846376</v>
      </c>
      <c r="M514" s="15" t="n">
        <f aca="false">L514*(1+IF(M$3&lt;=$O$2,$D514,$D514-($D514-$I$508)*MIN(M$3-$O$2,$Q$2)/$Q$2))</f>
        <v>2593.12082966278</v>
      </c>
      <c r="N514" s="15" t="n">
        <f aca="false">M514*(1+IF(N$3&lt;=$O$2,$D514,$D514-($D514-$I$508)*MIN(N$3-$O$2,$Q$2)/$Q$2))</f>
        <v>2666.50614914224</v>
      </c>
      <c r="O514" s="15" t="n">
        <f aca="false">SUMPRODUCT(E514:N514,1/(1+$F$508)^$E$3:$N$3)*$E$2</f>
        <v>8208.40488512499</v>
      </c>
      <c r="P514" s="15" t="n">
        <f aca="false">N514*$E$2*(1+$I$508)/($F$508-$I$508)/(1+$F$508)^$N$3</f>
        <v>11768.0428786282</v>
      </c>
      <c r="Q514" s="15" t="n">
        <f aca="false">O514+P514</f>
        <v>19976.4477637532</v>
      </c>
      <c r="R514" s="15" t="n">
        <f aca="false">Q514-$G$2+$I$2</f>
        <v>21886.1077637532</v>
      </c>
      <c r="S514" s="42" t="n">
        <f aca="false">R514/$K$2</f>
        <v>93.5183855221687</v>
      </c>
      <c r="T514" s="43" t="n">
        <f aca="false">S514-$M$2</f>
        <v>-16.467513721518</v>
      </c>
    </row>
    <row r="515" customFormat="false" ht="15" hidden="false" customHeight="false" outlineLevel="0" collapsed="false">
      <c r="A515" s="5" t="n">
        <v>6</v>
      </c>
      <c r="B515" s="25" t="n">
        <f aca="false">IF(T514&gt;0,B514,D514)</f>
        <v>0.015625</v>
      </c>
      <c r="C515" s="25" t="n">
        <f aca="false">IF(T514&gt;0,D514,C514)</f>
        <v>0.0625</v>
      </c>
      <c r="D515" s="41" t="n">
        <f aca="false">(B515+C515)/2</f>
        <v>0.0390625</v>
      </c>
      <c r="E515" s="15" t="n">
        <f aca="false">$C$2*(1+IF(E$3&lt;=$O$2,$D515,$D515-($D515-$I$508)*MIN(E$3-$O$2,$Q$2)/$Q$2))</f>
        <v>2285.9375</v>
      </c>
      <c r="F515" s="15" t="n">
        <f aca="false">E515*(1+IF(F$3&lt;=$O$2,$D515,$D515-($D515-$I$508)*MIN(F$3-$O$2,$Q$2)/$Q$2))</f>
        <v>2375.23193359375</v>
      </c>
      <c r="G515" s="15" t="n">
        <f aca="false">F515*(1+IF(G$3&lt;=$O$2,$D515,$D515-($D515-$I$508)*MIN(G$3-$O$2,$Q$2)/$Q$2))</f>
        <v>2468.01443099976</v>
      </c>
      <c r="H515" s="15" t="n">
        <f aca="false">G515*(1+IF(H$3&lt;=$O$2,$D515,$D515-($D515-$I$508)*MIN(H$3-$O$2,$Q$2)/$Q$2))</f>
        <v>2564.42124471068</v>
      </c>
      <c r="I515" s="15" t="n">
        <f aca="false">H515*(1+IF(I$3&lt;=$O$2,$D515,$D515-($D515-$I$508)*MIN(I$3-$O$2,$Q$2)/$Q$2))</f>
        <v>2664.5939495822</v>
      </c>
      <c r="J515" s="15" t="n">
        <f aca="false">I515*(1+IF(J$3&lt;=$O$2,$D515,$D515-($D515-$I$508)*MIN(J$3-$O$2,$Q$2)/$Q$2))</f>
        <v>2762.94411226127</v>
      </c>
      <c r="K515" s="15" t="n">
        <f aca="false">J515*(1+IF(K$3&lt;=$O$2,$D515,$D515-($D515-$I$508)*MIN(K$3-$O$2,$Q$2)/$Q$2))</f>
        <v>2858.9771422432</v>
      </c>
      <c r="L515" s="15" t="n">
        <f aca="false">K515*(1+IF(L$3&lt;=$O$2,$D515,$D515-($D515-$I$508)*MIN(L$3-$O$2,$Q$2)/$Q$2))</f>
        <v>2952.19409196603</v>
      </c>
      <c r="M515" s="15" t="n">
        <f aca="false">L515*(1+IF(M$3&lt;=$O$2,$D515,$D515-($D515-$I$508)*MIN(M$3-$O$2,$Q$2)/$Q$2))</f>
        <v>3042.09578255163</v>
      </c>
      <c r="N515" s="15" t="n">
        <f aca="false">M515*(1+IF(N$3&lt;=$O$2,$D515,$D515-($D515-$I$508)*MIN(N$3-$O$2,$Q$2)/$Q$2))</f>
        <v>3128.18709319784</v>
      </c>
      <c r="O515" s="15" t="n">
        <f aca="false">SUMPRODUCT(E515:N515,1/(1+$F$508)^$E$3:$N$3)*$E$2</f>
        <v>9094.30337969678</v>
      </c>
      <c r="P515" s="15" t="n">
        <f aca="false">N515*$E$2*(1+$I$508)/($F$508-$I$508)/(1+$F$508)^$N$3</f>
        <v>13805.5709554487</v>
      </c>
      <c r="Q515" s="15" t="n">
        <f aca="false">O515+P515</f>
        <v>22899.8743351454</v>
      </c>
      <c r="R515" s="15" t="n">
        <f aca="false">Q515-$G$2+$I$2</f>
        <v>24809.5343351454</v>
      </c>
      <c r="S515" s="42" t="n">
        <f aca="false">R515/$K$2</f>
        <v>106.010059971565</v>
      </c>
      <c r="T515" s="43" t="n">
        <f aca="false">S515-$M$2</f>
        <v>-3.97583927212135</v>
      </c>
    </row>
    <row r="516" customFormat="false" ht="15" hidden="false" customHeight="false" outlineLevel="0" collapsed="false">
      <c r="A516" s="5" t="n">
        <v>7</v>
      </c>
      <c r="B516" s="25" t="n">
        <f aca="false">IF(T515&gt;0,B515,D515)</f>
        <v>0.0390625</v>
      </c>
      <c r="C516" s="25" t="n">
        <f aca="false">IF(T515&gt;0,D515,C515)</f>
        <v>0.0625</v>
      </c>
      <c r="D516" s="41" t="n">
        <f aca="false">(B516+C516)/2</f>
        <v>0.05078125</v>
      </c>
      <c r="E516" s="15" t="n">
        <f aca="false">$C$2*(1+IF(E$3&lt;=$O$2,$D516,$D516-($D516-$I$508)*MIN(E$3-$O$2,$Q$2)/$Q$2))</f>
        <v>2311.71875</v>
      </c>
      <c r="F516" s="15" t="n">
        <f aca="false">E516*(1+IF(F$3&lt;=$O$2,$D516,$D516-($D516-$I$508)*MIN(F$3-$O$2,$Q$2)/$Q$2))</f>
        <v>2429.11071777344</v>
      </c>
      <c r="G516" s="15" t="n">
        <f aca="false">F516*(1+IF(G$3&lt;=$O$2,$D516,$D516-($D516-$I$508)*MIN(G$3-$O$2,$Q$2)/$Q$2))</f>
        <v>2552.46399641037</v>
      </c>
      <c r="H516" s="15" t="n">
        <f aca="false">G516*(1+IF(H$3&lt;=$O$2,$D516,$D516-($D516-$I$508)*MIN(H$3-$O$2,$Q$2)/$Q$2))</f>
        <v>2682.08130872808</v>
      </c>
      <c r="I516" s="15" t="n">
        <f aca="false">H516*(1+IF(I$3&lt;=$O$2,$D516,$D516-($D516-$I$508)*MIN(I$3-$O$2,$Q$2)/$Q$2))</f>
        <v>2818.28075018693</v>
      </c>
      <c r="J516" s="15" t="n">
        <f aca="false">I516*(1+IF(J$3&lt;=$O$2,$D516,$D516-($D516-$I$508)*MIN(J$3-$O$2,$Q$2)/$Q$2))</f>
        <v>2948.72487470933</v>
      </c>
      <c r="K516" s="15" t="n">
        <f aca="false">J516*(1+IF(K$3&lt;=$O$2,$D516,$D516-($D516-$I$508)*MIN(K$3-$O$2,$Q$2)/$Q$2))</f>
        <v>3071.94840131734</v>
      </c>
      <c r="L516" s="15" t="n">
        <f aca="false">K516*(1+IF(L$3&lt;=$O$2,$D516,$D516-($D516-$I$508)*MIN(L$3-$O$2,$Q$2)/$Q$2))</f>
        <v>3186.50903707347</v>
      </c>
      <c r="M516" s="15" t="n">
        <f aca="false">L516*(1+IF(M$3&lt;=$O$2,$D516,$D516-($D516-$I$508)*MIN(M$3-$O$2,$Q$2)/$Q$2))</f>
        <v>3291.01458408059</v>
      </c>
      <c r="N516" s="15" t="n">
        <f aca="false">M516*(1+IF(N$3&lt;=$O$2,$D516,$D516-($D516-$I$508)*MIN(N$3-$O$2,$Q$2)/$Q$2))</f>
        <v>3384.15029681007</v>
      </c>
      <c r="O516" s="15" t="n">
        <f aca="false">SUMPRODUCT(E516:N516,1/(1+$F$508)^$E$3:$N$3)*$E$2</f>
        <v>9572.91146840296</v>
      </c>
      <c r="P516" s="15" t="n">
        <f aca="false">N516*$E$2*(1+$I$508)/($F$508-$I$508)/(1+$F$508)^$N$3</f>
        <v>14935.2086862406</v>
      </c>
      <c r="Q516" s="15" t="n">
        <f aca="false">O516+P516</f>
        <v>24508.1201546436</v>
      </c>
      <c r="R516" s="15" t="n">
        <f aca="false">Q516-$G$2+$I$2</f>
        <v>26417.7801546436</v>
      </c>
      <c r="S516" s="42" t="n">
        <f aca="false">R516/$K$2</f>
        <v>112.882024332964</v>
      </c>
      <c r="T516" s="43" t="n">
        <f aca="false">S516-$M$2</f>
        <v>2.89612508927725</v>
      </c>
    </row>
    <row r="517" customFormat="false" ht="15" hidden="false" customHeight="false" outlineLevel="0" collapsed="false">
      <c r="A517" s="5" t="n">
        <v>8</v>
      </c>
      <c r="B517" s="25" t="n">
        <f aca="false">IF(T516&gt;0,B516,D516)</f>
        <v>0.0390625</v>
      </c>
      <c r="C517" s="25" t="n">
        <f aca="false">IF(T516&gt;0,D516,C516)</f>
        <v>0.05078125</v>
      </c>
      <c r="D517" s="41" t="n">
        <f aca="false">(B517+C517)/2</f>
        <v>0.044921875</v>
      </c>
      <c r="E517" s="15" t="n">
        <f aca="false">$C$2*(1+IF(E$3&lt;=$O$2,$D517,$D517-($D517-$I$508)*MIN(E$3-$O$2,$Q$2)/$Q$2))</f>
        <v>2298.828125</v>
      </c>
      <c r="F517" s="15" t="n">
        <f aca="false">E517*(1+IF(F$3&lt;=$O$2,$D517,$D517-($D517-$I$508)*MIN(F$3-$O$2,$Q$2)/$Q$2))</f>
        <v>2402.09579467773</v>
      </c>
      <c r="G517" s="15" t="n">
        <f aca="false">F517*(1+IF(G$3&lt;=$O$2,$D517,$D517-($D517-$I$508)*MIN(G$3-$O$2,$Q$2)/$Q$2))</f>
        <v>2510.00244170427</v>
      </c>
      <c r="H517" s="15" t="n">
        <f aca="false">G517*(1+IF(H$3&lt;=$O$2,$D517,$D517-($D517-$I$508)*MIN(H$3-$O$2,$Q$2)/$Q$2))</f>
        <v>2622.75645764021</v>
      </c>
      <c r="I517" s="15" t="n">
        <f aca="false">H517*(1+IF(I$3&lt;=$O$2,$D517,$D517-($D517-$I$508)*MIN(I$3-$O$2,$Q$2)/$Q$2))</f>
        <v>2740.57559538576</v>
      </c>
      <c r="J517" s="15" t="n">
        <f aca="false">I517*(1+IF(J$3&lt;=$O$2,$D517,$D517-($D517-$I$508)*MIN(J$3-$O$2,$Q$2)/$Q$2))</f>
        <v>2854.57668871482</v>
      </c>
      <c r="K517" s="15" t="n">
        <f aca="false">J517*(1+IF(K$3&lt;=$O$2,$D517,$D517-($D517-$I$508)*MIN(K$3-$O$2,$Q$2)/$Q$2))</f>
        <v>2963.83025914409</v>
      </c>
      <c r="L517" s="15" t="n">
        <f aca="false">K517*(1+IF(L$3&lt;=$O$2,$D517,$D517-($D517-$I$508)*MIN(L$3-$O$2,$Q$2)/$Q$2))</f>
        <v>3067.41242191335</v>
      </c>
      <c r="M517" s="15" t="n">
        <f aca="false">L517*(1+IF(M$3&lt;=$O$2,$D517,$D517-($D517-$I$508)*MIN(M$3-$O$2,$Q$2)/$Q$2))</f>
        <v>3164.4174226236</v>
      </c>
      <c r="N517" s="15" t="n">
        <f aca="false">M517*(1+IF(N$3&lt;=$O$2,$D517,$D517-($D517-$I$508)*MIN(N$3-$O$2,$Q$2)/$Q$2))</f>
        <v>3253.97043568385</v>
      </c>
      <c r="O517" s="15" t="n">
        <f aca="false">SUMPRODUCT(E517:N517,1/(1+$F$508)^$E$3:$N$3)*$E$2</f>
        <v>9330.51440837609</v>
      </c>
      <c r="P517" s="15" t="n">
        <f aca="false">N517*$E$2*(1+$I$508)/($F$508-$I$508)/(1+$F$508)^$N$3</f>
        <v>14360.6882831431</v>
      </c>
      <c r="Q517" s="15" t="n">
        <f aca="false">O517+P517</f>
        <v>23691.2026915191</v>
      </c>
      <c r="R517" s="15" t="n">
        <f aca="false">Q517-$G$2+$I$2</f>
        <v>25600.8626915191</v>
      </c>
      <c r="S517" s="42" t="n">
        <f aca="false">R517/$K$2</f>
        <v>109.391371582785</v>
      </c>
      <c r="T517" s="43" t="n">
        <f aca="false">S517-$M$2</f>
        <v>-0.594527660901818</v>
      </c>
    </row>
    <row r="518" customFormat="false" ht="15" hidden="false" customHeight="false" outlineLevel="0" collapsed="false">
      <c r="A518" s="5" t="n">
        <v>9</v>
      </c>
      <c r="B518" s="25" t="n">
        <f aca="false">IF(T517&gt;0,B517,D517)</f>
        <v>0.044921875</v>
      </c>
      <c r="C518" s="25" t="n">
        <f aca="false">IF(T517&gt;0,D517,C517)</f>
        <v>0.05078125</v>
      </c>
      <c r="D518" s="41" t="n">
        <f aca="false">(B518+C518)/2</f>
        <v>0.0478515625</v>
      </c>
      <c r="E518" s="15" t="n">
        <f aca="false">$C$2*(1+IF(E$3&lt;=$O$2,$D518,$D518-($D518-$I$508)*MIN(E$3-$O$2,$Q$2)/$Q$2))</f>
        <v>2305.2734375</v>
      </c>
      <c r="F518" s="15" t="n">
        <f aca="false">E518*(1+IF(F$3&lt;=$O$2,$D518,$D518-($D518-$I$508)*MIN(F$3-$O$2,$Q$2)/$Q$2))</f>
        <v>2415.58437347412</v>
      </c>
      <c r="G518" s="15" t="n">
        <f aca="false">F518*(1+IF(G$3&lt;=$O$2,$D518,$D518-($D518-$I$508)*MIN(G$3-$O$2,$Q$2)/$Q$2))</f>
        <v>2531.17386009544</v>
      </c>
      <c r="H518" s="15" t="n">
        <f aca="false">G518*(1+IF(H$3&lt;=$O$2,$D518,$D518-($D518-$I$508)*MIN(H$3-$O$2,$Q$2)/$Q$2))</f>
        <v>2652.29448426016</v>
      </c>
      <c r="I518" s="15" t="n">
        <f aca="false">H518*(1+IF(I$3&lt;=$O$2,$D518,$D518-($D518-$I$508)*MIN(I$3-$O$2,$Q$2)/$Q$2))</f>
        <v>2779.21091954215</v>
      </c>
      <c r="J518" s="15" t="n">
        <f aca="false">I518*(1+IF(J$3&lt;=$O$2,$D518,$D518-($D518-$I$508)*MIN(J$3-$O$2,$Q$2)/$Q$2))</f>
        <v>2901.33292136048</v>
      </c>
      <c r="K518" s="15" t="n">
        <f aca="false">J518*(1+IF(K$3&lt;=$O$2,$D518,$D518-($D518-$I$508)*MIN(K$3-$O$2,$Q$2)/$Q$2))</f>
        <v>3017.47599820215</v>
      </c>
      <c r="L518" s="15" t="n">
        <f aca="false">K518*(1+IF(L$3&lt;=$O$2,$D518,$D518-($D518-$I$508)*MIN(L$3-$O$2,$Q$2)/$Q$2))</f>
        <v>3126.46911717971</v>
      </c>
      <c r="M518" s="15" t="n">
        <f aca="false">L518*(1+IF(M$3&lt;=$O$2,$D518,$D518-($D518-$I$508)*MIN(M$3-$O$2,$Q$2)/$Q$2))</f>
        <v>3227.17366446567</v>
      </c>
      <c r="N518" s="15" t="n">
        <f aca="false">M518*(1+IF(N$3&lt;=$O$2,$D518,$D518-($D518-$I$508)*MIN(N$3-$O$2,$Q$2)/$Q$2))</f>
        <v>3318.50267917005</v>
      </c>
      <c r="O518" s="15" t="n">
        <f aca="false">SUMPRODUCT(E518:N518,1/(1+$F$508)^$E$3:$N$3)*$E$2</f>
        <v>9450.93030990226</v>
      </c>
      <c r="P518" s="15" t="n">
        <f aca="false">N518*$E$2*(1+$I$508)/($F$508-$I$508)/(1+$F$508)^$N$3</f>
        <v>14645.4872545026</v>
      </c>
      <c r="Q518" s="15" t="n">
        <f aca="false">O518+P518</f>
        <v>24096.4175644049</v>
      </c>
      <c r="R518" s="15" t="n">
        <f aca="false">Q518-$G$2+$I$2</f>
        <v>26006.0775644049</v>
      </c>
      <c r="S518" s="42" t="n">
        <f aca="false">R518/$K$2</f>
        <v>111.122837090992</v>
      </c>
      <c r="T518" s="43" t="n">
        <f aca="false">S518-$M$2</f>
        <v>1.13693784730536</v>
      </c>
    </row>
    <row r="519" customFormat="false" ht="15" hidden="false" customHeight="false" outlineLevel="0" collapsed="false">
      <c r="A519" s="5" t="n">
        <v>10</v>
      </c>
      <c r="B519" s="25" t="n">
        <f aca="false">IF(T518&gt;0,B518,D518)</f>
        <v>0.044921875</v>
      </c>
      <c r="C519" s="25" t="n">
        <f aca="false">IF(T518&gt;0,D518,C518)</f>
        <v>0.0478515625</v>
      </c>
      <c r="D519" s="41" t="n">
        <f aca="false">(B519+C519)/2</f>
        <v>0.04638671875</v>
      </c>
      <c r="E519" s="15" t="n">
        <f aca="false">$C$2*(1+IF(E$3&lt;=$O$2,$D519,$D519-($D519-$I$508)*MIN(E$3-$O$2,$Q$2)/$Q$2))</f>
        <v>2302.05078125</v>
      </c>
      <c r="F519" s="15" t="n">
        <f aca="false">E519*(1+IF(F$3&lt;=$O$2,$D519,$D519-($D519-$I$508)*MIN(F$3-$O$2,$Q$2)/$Q$2))</f>
        <v>2408.83536338806</v>
      </c>
      <c r="G519" s="15" t="n">
        <f aca="false">F519*(1+IF(G$3&lt;=$O$2,$D519,$D519-($D519-$I$508)*MIN(G$3-$O$2,$Q$2)/$Q$2))</f>
        <v>2520.5733319046</v>
      </c>
      <c r="H519" s="15" t="n">
        <f aca="false">G519*(1+IF(H$3&lt;=$O$2,$D519,$D519-($D519-$I$508)*MIN(H$3-$O$2,$Q$2)/$Q$2))</f>
        <v>2637.49445814041</v>
      </c>
      <c r="I519" s="15" t="n">
        <f aca="false">H519*(1+IF(I$3&lt;=$O$2,$D519,$D519-($D519-$I$508)*MIN(I$3-$O$2,$Q$2)/$Q$2))</f>
        <v>2759.83917177485</v>
      </c>
      <c r="J519" s="15" t="n">
        <f aca="false">I519*(1+IF(J$3&lt;=$O$2,$D519,$D519-($D519-$I$508)*MIN(J$3-$O$2,$Q$2)/$Q$2))</f>
        <v>2877.87576825218</v>
      </c>
      <c r="K519" s="15" t="n">
        <f aca="false">J519*(1+IF(K$3&lt;=$O$2,$D519,$D519-($D519-$I$508)*MIN(K$3-$O$2,$Q$2)/$Q$2))</f>
        <v>2990.5504502644</v>
      </c>
      <c r="L519" s="15" t="n">
        <f aca="false">K519*(1+IF(L$3&lt;=$O$2,$D519,$D519-($D519-$I$508)*MIN(L$3-$O$2,$Q$2)/$Q$2))</f>
        <v>3096.81872596753</v>
      </c>
      <c r="M519" s="15" t="n">
        <f aca="false">L519*(1+IF(M$3&lt;=$O$2,$D519,$D519-($D519-$I$508)*MIN(M$3-$O$2,$Q$2)/$Q$2))</f>
        <v>3195.66095377568</v>
      </c>
      <c r="N519" s="15" t="n">
        <f aca="false">M519*(1+IF(N$3&lt;=$O$2,$D519,$D519-($D519-$I$508)*MIN(N$3-$O$2,$Q$2)/$Q$2))</f>
        <v>3286.09815876753</v>
      </c>
      <c r="O519" s="15" t="n">
        <f aca="false">SUMPRODUCT(E519:N519,1/(1+$F$508)^$E$3:$N$3)*$E$2</f>
        <v>9390.52788153814</v>
      </c>
      <c r="P519" s="15" t="n">
        <f aca="false">N519*$E$2*(1+$I$508)/($F$508-$I$508)/(1+$F$508)^$N$3</f>
        <v>14502.4769765474</v>
      </c>
      <c r="Q519" s="15" t="n">
        <f aca="false">O519+P519</f>
        <v>23893.0048580855</v>
      </c>
      <c r="R519" s="15" t="n">
        <f aca="false">Q519-$G$2+$I$2</f>
        <v>25802.6648580855</v>
      </c>
      <c r="S519" s="42" t="n">
        <f aca="false">R519/$K$2</f>
        <v>110.253663453769</v>
      </c>
      <c r="T519" s="43" t="n">
        <f aca="false">S519-$M$2</f>
        <v>0.267764210082049</v>
      </c>
    </row>
    <row r="520" customFormat="false" ht="15" hidden="false" customHeight="false" outlineLevel="0" collapsed="false">
      <c r="A520" s="5" t="n">
        <v>11</v>
      </c>
      <c r="B520" s="25" t="n">
        <f aca="false">IF(T519&gt;0,B519,D519)</f>
        <v>0.044921875</v>
      </c>
      <c r="C520" s="25" t="n">
        <f aca="false">IF(T519&gt;0,D519,C519)</f>
        <v>0.04638671875</v>
      </c>
      <c r="D520" s="41" t="n">
        <f aca="false">(B520+C520)/2</f>
        <v>0.045654296875</v>
      </c>
      <c r="E520" s="15" t="n">
        <f aca="false">$C$2*(1+IF(E$3&lt;=$O$2,$D520,$D520-($D520-$I$508)*MIN(E$3-$O$2,$Q$2)/$Q$2))</f>
        <v>2300.439453125</v>
      </c>
      <c r="F520" s="15" t="n">
        <f aca="false">E520*(1+IF(F$3&lt;=$O$2,$D520,$D520-($D520-$I$508)*MIN(F$3-$O$2,$Q$2)/$Q$2))</f>
        <v>2405.46439886093</v>
      </c>
      <c r="G520" s="15" t="n">
        <f aca="false">F520*(1+IF(G$3&lt;=$O$2,$D520,$D520-($D520-$I$508)*MIN(G$3-$O$2,$Q$2)/$Q$2))</f>
        <v>2515.28418464877</v>
      </c>
      <c r="H520" s="15" t="n">
        <f aca="false">G520*(1+IF(H$3&lt;=$O$2,$D520,$D520-($D520-$I$508)*MIN(H$3-$O$2,$Q$2)/$Q$2))</f>
        <v>2630.11771553972</v>
      </c>
      <c r="I520" s="15" t="n">
        <f aca="false">H520*(1+IF(I$3&lt;=$O$2,$D520,$D520-($D520-$I$508)*MIN(I$3-$O$2,$Q$2)/$Q$2))</f>
        <v>2750.19389054117</v>
      </c>
      <c r="J520" s="15" t="n">
        <f aca="false">I520*(1+IF(J$3&lt;=$O$2,$D520,$D520-($D520-$I$508)*MIN(J$3-$O$2,$Q$2)/$Q$2))</f>
        <v>2866.20652263569</v>
      </c>
      <c r="K520" s="15" t="n">
        <f aca="false">J520*(1+IF(K$3&lt;=$O$2,$D520,$D520-($D520-$I$508)*MIN(K$3-$O$2,$Q$2)/$Q$2))</f>
        <v>2977.16476656561</v>
      </c>
      <c r="L520" s="15" t="n">
        <f aca="false">K520*(1+IF(L$3&lt;=$O$2,$D520,$D520-($D520-$I$508)*MIN(L$3-$O$2,$Q$2)/$Q$2))</f>
        <v>3082.08516994133</v>
      </c>
      <c r="M520" s="15" t="n">
        <f aca="false">L520*(1+IF(M$3&lt;=$O$2,$D520,$D520-($D520-$I$508)*MIN(M$3-$O$2,$Q$2)/$Q$2))</f>
        <v>3180.0056644573</v>
      </c>
      <c r="N520" s="15" t="n">
        <f aca="false">M520*(1+IF(N$3&lt;=$O$2,$D520,$D520-($D520-$I$508)*MIN(N$3-$O$2,$Q$2)/$Q$2))</f>
        <v>3269.99982476145</v>
      </c>
      <c r="O520" s="15" t="n">
        <f aca="false">SUMPRODUCT(E520:N520,1/(1+$F$508)^$E$3:$N$3)*$E$2</f>
        <v>9360.4726723206</v>
      </c>
      <c r="P520" s="15" t="n">
        <f aca="false">N520*$E$2*(1+$I$508)/($F$508-$I$508)/(1+$F$508)^$N$3</f>
        <v>14431.4304931485</v>
      </c>
      <c r="Q520" s="15" t="n">
        <f aca="false">O520+P520</f>
        <v>23791.9031654691</v>
      </c>
      <c r="R520" s="15" t="n">
        <f aca="false">Q520-$G$2+$I$2</f>
        <v>25701.5631654691</v>
      </c>
      <c r="S520" s="42" t="n">
        <f aca="false">R520/$K$2</f>
        <v>109.821660323331</v>
      </c>
      <c r="T520" s="43" t="n">
        <f aca="false">S520-$M$2</f>
        <v>-0.164238920355999</v>
      </c>
    </row>
    <row r="521" customFormat="false" ht="15" hidden="false" customHeight="false" outlineLevel="0" collapsed="false">
      <c r="A521" s="5" t="n">
        <v>12</v>
      </c>
      <c r="B521" s="25" t="n">
        <f aca="false">IF(T520&gt;0,B520,D520)</f>
        <v>0.045654296875</v>
      </c>
      <c r="C521" s="25" t="n">
        <f aca="false">IF(T520&gt;0,D520,C520)</f>
        <v>0.04638671875</v>
      </c>
      <c r="D521" s="41" t="n">
        <f aca="false">(B521+C521)/2</f>
        <v>0.0460205078125</v>
      </c>
      <c r="E521" s="15" t="n">
        <f aca="false">$C$2*(1+IF(E$3&lt;=$O$2,$D521,$D521-($D521-$I$508)*MIN(E$3-$O$2,$Q$2)/$Q$2))</f>
        <v>2301.2451171875</v>
      </c>
      <c r="F521" s="15" t="n">
        <f aca="false">E521*(1+IF(F$3&lt;=$O$2,$D521,$D521-($D521-$I$508)*MIN(F$3-$O$2,$Q$2)/$Q$2))</f>
        <v>2407.14958608151</v>
      </c>
      <c r="G521" s="15" t="n">
        <f aca="false">F521*(1+IF(G$3&lt;=$O$2,$D521,$D521-($D521-$I$508)*MIN(G$3-$O$2,$Q$2)/$Q$2))</f>
        <v>2517.92783241363</v>
      </c>
      <c r="H521" s="15" t="n">
        <f aca="false">G521*(1+IF(H$3&lt;=$O$2,$D521,$D521-($D521-$I$508)*MIN(H$3-$O$2,$Q$2)/$Q$2))</f>
        <v>2633.80414989653</v>
      </c>
      <c r="I521" s="15" t="n">
        <f aca="false">H521*(1+IF(I$3&lt;=$O$2,$D521,$D521-($D521-$I$508)*MIN(I$3-$O$2,$Q$2)/$Q$2))</f>
        <v>2755.01315435344</v>
      </c>
      <c r="J521" s="15" t="n">
        <f aca="false">I521*(1+IF(J$3&lt;=$O$2,$D521,$D521-($D521-$I$508)*MIN(J$3-$O$2,$Q$2)/$Q$2))</f>
        <v>2872.03621232185</v>
      </c>
      <c r="K521" s="15" t="n">
        <f aca="false">J521*(1+IF(K$3&lt;=$O$2,$D521,$D521-($D521-$I$508)*MIN(K$3-$O$2,$Q$2)/$Q$2))</f>
        <v>2983.85120121349</v>
      </c>
      <c r="L521" s="15" t="n">
        <f aca="false">K521*(1+IF(L$3&lt;=$O$2,$D521,$D521-($D521-$I$508)*MIN(L$3-$O$2,$Q$2)/$Q$2))</f>
        <v>3089.44433361681</v>
      </c>
      <c r="M521" s="15" t="n">
        <f aca="false">L521*(1+IF(M$3&lt;=$O$2,$D521,$D521-($D521-$I$508)*MIN(M$3-$O$2,$Q$2)/$Q$2))</f>
        <v>3187.8249127482</v>
      </c>
      <c r="N521" s="15" t="n">
        <f aca="false">M521*(1+IF(N$3&lt;=$O$2,$D521,$D521-($D521-$I$508)*MIN(N$3-$O$2,$Q$2)/$Q$2))</f>
        <v>3278.04035777897</v>
      </c>
      <c r="O521" s="15" t="n">
        <f aca="false">SUMPRODUCT(E521:N521,1/(1+$F$508)^$E$3:$N$3)*$E$2</f>
        <v>9375.48814045488</v>
      </c>
      <c r="P521" s="15" t="n">
        <f aca="false">N521*$E$2*(1+$I$508)/($F$508-$I$508)/(1+$F$508)^$N$3</f>
        <v>14466.9156306374</v>
      </c>
      <c r="Q521" s="15" t="n">
        <f aca="false">O521+P521</f>
        <v>23842.4037710922</v>
      </c>
      <c r="R521" s="15" t="n">
        <f aca="false">Q521-$G$2+$I$2</f>
        <v>25752.0637710922</v>
      </c>
      <c r="S521" s="42" t="n">
        <f aca="false">R521/$K$2</f>
        <v>110.03744721229</v>
      </c>
      <c r="T521" s="43" t="n">
        <f aca="false">S521-$M$2</f>
        <v>0.0515479686033586</v>
      </c>
    </row>
    <row r="522" customFormat="false" ht="15" hidden="false" customHeight="false" outlineLevel="0" collapsed="false">
      <c r="A522" s="5" t="n">
        <v>13</v>
      </c>
      <c r="B522" s="25" t="n">
        <f aca="false">IF(T521&gt;0,B521,D521)</f>
        <v>0.045654296875</v>
      </c>
      <c r="C522" s="25" t="n">
        <f aca="false">IF(T521&gt;0,D521,C521)</f>
        <v>0.0460205078125</v>
      </c>
      <c r="D522" s="41" t="n">
        <f aca="false">(B522+C522)/2</f>
        <v>0.04583740234375</v>
      </c>
      <c r="E522" s="15" t="n">
        <f aca="false">$C$2*(1+IF(E$3&lt;=$O$2,$D522,$D522-($D522-$I$508)*MIN(E$3-$O$2,$Q$2)/$Q$2))</f>
        <v>2300.84228515625</v>
      </c>
      <c r="F522" s="15" t="n">
        <f aca="false">E522*(1+IF(F$3&lt;=$O$2,$D522,$D522-($D522-$I$508)*MIN(F$3-$O$2,$Q$2)/$Q$2))</f>
        <v>2406.30691871047</v>
      </c>
      <c r="G522" s="15" t="n">
        <f aca="false">F522*(1+IF(G$3&lt;=$O$2,$D522,$D522-($D522-$I$508)*MIN(G$3-$O$2,$Q$2)/$Q$2))</f>
        <v>2516.60577710595</v>
      </c>
      <c r="H522" s="15" t="n">
        <f aca="false">G522*(1+IF(H$3&lt;=$O$2,$D522,$D522-($D522-$I$508)*MIN(H$3-$O$2,$Q$2)/$Q$2))</f>
        <v>2631.96044865176</v>
      </c>
      <c r="I522" s="15" t="n">
        <f aca="false">H522*(1+IF(I$3&lt;=$O$2,$D522,$D522-($D522-$I$508)*MIN(I$3-$O$2,$Q$2)/$Q$2))</f>
        <v>2752.60267868945</v>
      </c>
      <c r="J522" s="15" t="n">
        <f aca="false">I522*(1+IF(J$3&lt;=$O$2,$D522,$D522-($D522-$I$508)*MIN(J$3-$O$2,$Q$2)/$Q$2))</f>
        <v>2869.12013503129</v>
      </c>
      <c r="K522" s="15" t="n">
        <f aca="false">J522*(1+IF(K$3&lt;=$O$2,$D522,$D522-($D522-$I$508)*MIN(K$3-$O$2,$Q$2)/$Q$2))</f>
        <v>2980.50638336103</v>
      </c>
      <c r="L522" s="15" t="n">
        <f aca="false">K522*(1+IF(L$3&lt;=$O$2,$D522,$D522-($D522-$I$508)*MIN(L$3-$O$2,$Q$2)/$Q$2))</f>
        <v>3085.7628498634</v>
      </c>
      <c r="M522" s="15" t="n">
        <f aca="false">L522*(1+IF(M$3&lt;=$O$2,$D522,$D522-($D522-$I$508)*MIN(M$3-$O$2,$Q$2)/$Q$2))</f>
        <v>3183.91319144162</v>
      </c>
      <c r="N522" s="15" t="n">
        <f aca="false">M522*(1+IF(N$3&lt;=$O$2,$D522,$D522-($D522-$I$508)*MIN(N$3-$O$2,$Q$2)/$Q$2))</f>
        <v>3274.01793475942</v>
      </c>
      <c r="O522" s="15" t="n">
        <f aca="false">SUMPRODUCT(E522:N522,1/(1+$F$508)^$E$3:$N$3)*$E$2</f>
        <v>9367.97737456042</v>
      </c>
      <c r="P522" s="15" t="n">
        <f aca="false">N522*$E$2*(1+$I$508)/($F$508-$I$508)/(1+$F$508)^$N$3</f>
        <v>14449.1635446033</v>
      </c>
      <c r="Q522" s="15" t="n">
        <f aca="false">O522+P522</f>
        <v>23817.1409191637</v>
      </c>
      <c r="R522" s="15" t="n">
        <f aca="false">Q522-$G$2+$I$2</f>
        <v>25726.8009191637</v>
      </c>
      <c r="S522" s="42" t="n">
        <f aca="false">R522/$K$2</f>
        <v>109.92950014598</v>
      </c>
      <c r="T522" s="43" t="n">
        <f aca="false">S522-$M$2</f>
        <v>-0.0563990977068016</v>
      </c>
    </row>
    <row r="523" customFormat="false" ht="15" hidden="false" customHeight="false" outlineLevel="0" collapsed="false">
      <c r="A523" s="5" t="n">
        <v>14</v>
      </c>
      <c r="B523" s="25" t="n">
        <f aca="false">IF(T522&gt;0,B522,D522)</f>
        <v>0.04583740234375</v>
      </c>
      <c r="C523" s="25" t="n">
        <f aca="false">IF(T522&gt;0,D522,C522)</f>
        <v>0.0460205078125</v>
      </c>
      <c r="D523" s="41" t="n">
        <f aca="false">(B523+C523)/2</f>
        <v>0.045928955078125</v>
      </c>
      <c r="E523" s="15" t="n">
        <f aca="false">$C$2*(1+IF(E$3&lt;=$O$2,$D523,$D523-($D523-$I$508)*MIN(E$3-$O$2,$Q$2)/$Q$2))</f>
        <v>2301.04370117188</v>
      </c>
      <c r="F523" s="15" t="n">
        <f aca="false">E523*(1+IF(F$3&lt;=$O$2,$D523,$D523-($D523-$I$508)*MIN(F$3-$O$2,$Q$2)/$Q$2))</f>
        <v>2406.7282339558</v>
      </c>
      <c r="G523" s="15" t="n">
        <f aca="false">F523*(1+IF(G$3&lt;=$O$2,$D523,$D523-($D523-$I$508)*MIN(G$3-$O$2,$Q$2)/$Q$2))</f>
        <v>2517.26674689841</v>
      </c>
      <c r="H523" s="15" t="n">
        <f aca="false">G523*(1+IF(H$3&lt;=$O$2,$D523,$D523-($D523-$I$508)*MIN(H$3-$O$2,$Q$2)/$Q$2))</f>
        <v>2632.88217823637</v>
      </c>
      <c r="I523" s="15" t="n">
        <f aca="false">H523*(1+IF(I$3&lt;=$O$2,$D523,$D523-($D523-$I$508)*MIN(I$3-$O$2,$Q$2)/$Q$2))</f>
        <v>2753.80770552658</v>
      </c>
      <c r="J523" s="15" t="n">
        <f aca="false">I523*(1+IF(J$3&lt;=$O$2,$D523,$D523-($D523-$I$508)*MIN(J$3-$O$2,$Q$2)/$Q$2))</f>
        <v>2870.5778654606</v>
      </c>
      <c r="K523" s="15" t="n">
        <f aca="false">J523*(1+IF(K$3&lt;=$O$2,$D523,$D523-($D523-$I$508)*MIN(K$3-$O$2,$Q$2)/$Q$2))</f>
        <v>2982.17839199622</v>
      </c>
      <c r="L523" s="15" t="n">
        <f aca="false">K523*(1+IF(L$3&lt;=$O$2,$D523,$D523-($D523-$I$508)*MIN(L$3-$O$2,$Q$2)/$Q$2))</f>
        <v>3087.60311605269</v>
      </c>
      <c r="M523" s="15" t="n">
        <f aca="false">L523*(1+IF(M$3&lt;=$O$2,$D523,$D523-($D523-$I$508)*MIN(M$3-$O$2,$Q$2)/$Q$2))</f>
        <v>3185.86852756338</v>
      </c>
      <c r="N523" s="15" t="n">
        <f aca="false">M523*(1+IF(N$3&lt;=$O$2,$D523,$D523-($D523-$I$508)*MIN(N$3-$O$2,$Q$2)/$Q$2))</f>
        <v>3276.02860689342</v>
      </c>
      <c r="O523" s="15" t="n">
        <f aca="false">SUMPRODUCT(E523:N523,1/(1+$F$508)^$E$3:$N$3)*$E$2</f>
        <v>9371.73199926452</v>
      </c>
      <c r="P523" s="15" t="n">
        <f aca="false">N523*$E$2*(1+$I$508)/($F$508-$I$508)/(1+$F$508)^$N$3</f>
        <v>14458.0372072031</v>
      </c>
      <c r="Q523" s="15" t="n">
        <f aca="false">O523+P523</f>
        <v>23829.7692064676</v>
      </c>
      <c r="R523" s="15" t="n">
        <f aca="false">Q523-$G$2+$I$2</f>
        <v>25739.4292064676</v>
      </c>
      <c r="S523" s="42" t="n">
        <f aca="false">R523/$K$2</f>
        <v>109.983460267776</v>
      </c>
      <c r="T523" s="43" t="n">
        <f aca="false">S523-$M$2</f>
        <v>-0.00243897591087716</v>
      </c>
    </row>
    <row r="524" customFormat="false" ht="15" hidden="false" customHeight="false" outlineLevel="0" collapsed="false">
      <c r="A524" s="5" t="n">
        <v>15</v>
      </c>
      <c r="B524" s="25" t="n">
        <f aca="false">IF(T523&gt;0,B523,D523)</f>
        <v>0.045928955078125</v>
      </c>
      <c r="C524" s="25" t="n">
        <f aca="false">IF(T523&gt;0,D523,C523)</f>
        <v>0.0460205078125</v>
      </c>
      <c r="D524" s="41" t="n">
        <f aca="false">(B524+C524)/2</f>
        <v>0.0459747314453125</v>
      </c>
      <c r="E524" s="15" t="n">
        <f aca="false">$C$2*(1+IF(E$3&lt;=$O$2,$D524,$D524-($D524-$I$508)*MIN(E$3-$O$2,$Q$2)/$Q$2))</f>
        <v>2301.14440917969</v>
      </c>
      <c r="F524" s="15" t="n">
        <f aca="false">E524*(1+IF(F$3&lt;=$O$2,$D524,$D524-($D524-$I$508)*MIN(F$3-$O$2,$Q$2)/$Q$2))</f>
        <v>2406.93890540861</v>
      </c>
      <c r="G524" s="15" t="n">
        <f aca="false">F524*(1+IF(G$3&lt;=$O$2,$D524,$D524-($D524-$I$508)*MIN(G$3-$O$2,$Q$2)/$Q$2))</f>
        <v>2517.59727519004</v>
      </c>
      <c r="H524" s="15" t="n">
        <f aca="false">G524*(1+IF(H$3&lt;=$O$2,$D524,$D524-($D524-$I$508)*MIN(H$3-$O$2,$Q$2)/$Q$2))</f>
        <v>2633.34313380435</v>
      </c>
      <c r="I524" s="15" t="n">
        <f aca="false">H524*(1+IF(I$3&lt;=$O$2,$D524,$D524-($D524-$I$508)*MIN(I$3-$O$2,$Q$2)/$Q$2))</f>
        <v>2754.41037718437</v>
      </c>
      <c r="J524" s="15" t="n">
        <f aca="false">I524*(1+IF(J$3&lt;=$O$2,$D524,$D524-($D524-$I$508)*MIN(J$3-$O$2,$Q$2)/$Q$2))</f>
        <v>2871.30696182422</v>
      </c>
      <c r="K524" s="15" t="n">
        <f aca="false">J524*(1+IF(K$3&lt;=$O$2,$D524,$D524-($D524-$I$508)*MIN(K$3-$O$2,$Q$2)/$Q$2))</f>
        <v>2983.01469651222</v>
      </c>
      <c r="L524" s="15" t="n">
        <f aca="false">K524*(1+IF(L$3&lt;=$O$2,$D524,$D524-($D524-$I$508)*MIN(L$3-$O$2,$Q$2)/$Q$2))</f>
        <v>3088.52360588683</v>
      </c>
      <c r="M524" s="15" t="n">
        <f aca="false">L524*(1+IF(M$3&lt;=$O$2,$D524,$D524-($D524-$I$508)*MIN(M$3-$O$2,$Q$2)/$Q$2))</f>
        <v>3186.84658899273</v>
      </c>
      <c r="N524" s="15" t="n">
        <f aca="false">M524*(1+IF(N$3&lt;=$O$2,$D524,$D524-($D524-$I$508)*MIN(N$3-$O$2,$Q$2)/$Q$2))</f>
        <v>3277.03434746123</v>
      </c>
      <c r="O524" s="15" t="n">
        <f aca="false">SUMPRODUCT(E524:N524,1/(1+$F$508)^$E$3:$N$3)*$E$2</f>
        <v>9373.60988026312</v>
      </c>
      <c r="P524" s="15" t="n">
        <f aca="false">N524*$E$2*(1+$I$508)/($F$508-$I$508)/(1+$F$508)^$N$3</f>
        <v>14462.475823679</v>
      </c>
      <c r="Q524" s="15" t="n">
        <f aca="false">O524+P524</f>
        <v>23836.0857039421</v>
      </c>
      <c r="R524" s="15" t="n">
        <f aca="false">Q524-$G$2+$I$2</f>
        <v>25745.7457039421</v>
      </c>
      <c r="S524" s="42" t="n">
        <f aca="false">R524/$K$2</f>
        <v>110.010450386455</v>
      </c>
      <c r="T524" s="43" t="n">
        <f aca="false">S524-$M$2</f>
        <v>0.0245511427684733</v>
      </c>
    </row>
    <row r="525" customFormat="false" ht="15" hidden="false" customHeight="false" outlineLevel="0" collapsed="false">
      <c r="A525" s="5" t="n">
        <v>16</v>
      </c>
      <c r="B525" s="25" t="n">
        <f aca="false">IF(T524&gt;0,B524,D524)</f>
        <v>0.045928955078125</v>
      </c>
      <c r="C525" s="25" t="n">
        <f aca="false">IF(T524&gt;0,D524,C524)</f>
        <v>0.0459747314453125</v>
      </c>
      <c r="D525" s="41" t="n">
        <f aca="false">(B525+C525)/2</f>
        <v>0.0459518432617188</v>
      </c>
      <c r="E525" s="15" t="n">
        <f aca="false">$C$2*(1+IF(E$3&lt;=$O$2,$D525,$D525-($D525-$I$508)*MIN(E$3-$O$2,$Q$2)/$Q$2))</f>
        <v>2301.09405517578</v>
      </c>
      <c r="F525" s="15" t="n">
        <f aca="false">E525*(1+IF(F$3&lt;=$O$2,$D525,$D525-($D525-$I$508)*MIN(F$3-$O$2,$Q$2)/$Q$2))</f>
        <v>2406.83356852969</v>
      </c>
      <c r="G525" s="15" t="n">
        <f aca="false">F525*(1+IF(G$3&lt;=$O$2,$D525,$D525-($D525-$I$508)*MIN(G$3-$O$2,$Q$2)/$Q$2))</f>
        <v>2517.43200742781</v>
      </c>
      <c r="H525" s="15" t="n">
        <f aca="false">G525*(1+IF(H$3&lt;=$O$2,$D525,$D525-($D525-$I$508)*MIN(H$3-$O$2,$Q$2)/$Q$2))</f>
        <v>2633.11264845517</v>
      </c>
      <c r="I525" s="15" t="n">
        <f aca="false">H525*(1+IF(I$3&lt;=$O$2,$D525,$D525-($D525-$I$508)*MIN(I$3-$O$2,$Q$2)/$Q$2))</f>
        <v>2754.10902816743</v>
      </c>
      <c r="J525" s="15" t="n">
        <f aca="false">I525*(1+IF(J$3&lt;=$O$2,$D525,$D525-($D525-$I$508)*MIN(J$3-$O$2,$Q$2)/$Q$2))</f>
        <v>2870.94239437728</v>
      </c>
      <c r="K525" s="15" t="n">
        <f aca="false">J525*(1+IF(K$3&lt;=$O$2,$D525,$D525-($D525-$I$508)*MIN(K$3-$O$2,$Q$2)/$Q$2))</f>
        <v>2982.59651923354</v>
      </c>
      <c r="L525" s="15" t="n">
        <f aca="false">K525*(1+IF(L$3&lt;=$O$2,$D525,$D525-($D525-$I$508)*MIN(L$3-$O$2,$Q$2)/$Q$2))</f>
        <v>3088.06333123604</v>
      </c>
      <c r="M525" s="15" t="n">
        <f aca="false">L525*(1+IF(M$3&lt;=$O$2,$D525,$D525-($D525-$I$508)*MIN(M$3-$O$2,$Q$2)/$Q$2))</f>
        <v>3186.35752549106</v>
      </c>
      <c r="N525" s="15" t="n">
        <f aca="false">M525*(1+IF(N$3&lt;=$O$2,$D525,$D525-($D525-$I$508)*MIN(N$3-$O$2,$Q$2)/$Q$2))</f>
        <v>3276.53144346246</v>
      </c>
      <c r="O525" s="15" t="n">
        <f aca="false">SUMPRODUCT(E525:N525,1/(1+$F$508)^$E$3:$N$3)*$E$2</f>
        <v>9372.67089236916</v>
      </c>
      <c r="P525" s="15" t="n">
        <f aca="false">N525*$E$2*(1+$I$508)/($F$508-$I$508)/(1+$F$508)^$N$3</f>
        <v>14460.2563666478</v>
      </c>
      <c r="Q525" s="15" t="n">
        <f aca="false">O525+P525</f>
        <v>23832.927259017</v>
      </c>
      <c r="R525" s="15" t="n">
        <f aca="false">Q525-$G$2+$I$2</f>
        <v>25742.587259017</v>
      </c>
      <c r="S525" s="42" t="n">
        <f aca="false">R525/$K$2</f>
        <v>109.996954488813</v>
      </c>
      <c r="T525" s="43" t="n">
        <f aca="false">S525-$M$2</f>
        <v>0.0110552451266415</v>
      </c>
    </row>
    <row r="526" customFormat="false" ht="15" hidden="false" customHeight="false" outlineLevel="0" collapsed="false">
      <c r="A526" s="5" t="n">
        <v>17</v>
      </c>
      <c r="B526" s="25" t="n">
        <f aca="false">IF(T525&gt;0,B525,D525)</f>
        <v>0.045928955078125</v>
      </c>
      <c r="C526" s="25" t="n">
        <f aca="false">IF(T525&gt;0,D525,C525)</f>
        <v>0.0459518432617188</v>
      </c>
      <c r="D526" s="41" t="n">
        <f aca="false">(B526+C526)/2</f>
        <v>0.0459403991699219</v>
      </c>
      <c r="E526" s="15" t="n">
        <f aca="false">$C$2*(1+IF(E$3&lt;=$O$2,$D526,$D526-($D526-$I$508)*MIN(E$3-$O$2,$Q$2)/$Q$2))</f>
        <v>2301.06887817383</v>
      </c>
      <c r="F526" s="15" t="n">
        <f aca="false">E526*(1+IF(F$3&lt;=$O$2,$D526,$D526-($D526-$I$508)*MIN(F$3-$O$2,$Q$2)/$Q$2))</f>
        <v>2406.78090095462</v>
      </c>
      <c r="G526" s="15" t="n">
        <f aca="false">F526*(1+IF(G$3&lt;=$O$2,$D526,$D526-($D526-$I$508)*MIN(G$3-$O$2,$Q$2)/$Q$2))</f>
        <v>2517.34937625902</v>
      </c>
      <c r="H526" s="15" t="n">
        <f aca="false">G526*(1+IF(H$3&lt;=$O$2,$D526,$D526-($D526-$I$508)*MIN(H$3-$O$2,$Q$2)/$Q$2))</f>
        <v>2632.99741145451</v>
      </c>
      <c r="I526" s="15" t="n">
        <f aca="false">H526*(1+IF(I$3&lt;=$O$2,$D526,$D526-($D526-$I$508)*MIN(I$3-$O$2,$Q$2)/$Q$2))</f>
        <v>2753.9583635501</v>
      </c>
      <c r="J526" s="15" t="n">
        <f aca="false">I526*(1+IF(J$3&lt;=$O$2,$D526,$D526-($D526-$I$508)*MIN(J$3-$O$2,$Q$2)/$Q$2))</f>
        <v>2870.76012510287</v>
      </c>
      <c r="K526" s="15" t="n">
        <f aca="false">J526*(1+IF(K$3&lt;=$O$2,$D526,$D526-($D526-$I$508)*MIN(K$3-$O$2,$Q$2)/$Q$2))</f>
        <v>2982.38744936002</v>
      </c>
      <c r="L526" s="15" t="n">
        <f aca="false">K526*(1+IF(L$3&lt;=$O$2,$D526,$D526-($D526-$I$508)*MIN(L$3-$O$2,$Q$2)/$Q$2))</f>
        <v>3087.83321621134</v>
      </c>
      <c r="M526" s="15" t="n">
        <f aca="false">L526*(1+IF(M$3&lt;=$O$2,$D526,$D526-($D526-$I$508)*MIN(M$3-$O$2,$Q$2)/$Q$2))</f>
        <v>3186.11301833094</v>
      </c>
      <c r="N526" s="15" t="n">
        <f aca="false">M526*(1+IF(N$3&lt;=$O$2,$D526,$D526-($D526-$I$508)*MIN(N$3-$O$2,$Q$2)/$Q$2))</f>
        <v>3276.28001674971</v>
      </c>
      <c r="O526" s="15" t="n">
        <f aca="false">SUMPRODUCT(E526:N526,1/(1+$F$508)^$E$3:$N$3)*$E$2</f>
        <v>9372.20143396873</v>
      </c>
      <c r="P526" s="15" t="n">
        <f aca="false">N526*$E$2*(1+$I$508)/($F$508-$I$508)/(1+$F$508)^$N$3</f>
        <v>14459.1467497293</v>
      </c>
      <c r="Q526" s="15" t="n">
        <f aca="false">O526+P526</f>
        <v>23831.348183698</v>
      </c>
      <c r="R526" s="15" t="n">
        <f aca="false">Q526-$G$2+$I$2</f>
        <v>25741.008183698</v>
      </c>
      <c r="S526" s="42" t="n">
        <f aca="false">R526/$K$2</f>
        <v>109.990207168731</v>
      </c>
      <c r="T526" s="43" t="n">
        <f aca="false">S526-$M$2</f>
        <v>0.00430792504386091</v>
      </c>
    </row>
    <row r="527" customFormat="false" ht="15" hidden="false" customHeight="false" outlineLevel="0" collapsed="false">
      <c r="A527" s="5" t="n">
        <v>18</v>
      </c>
      <c r="B527" s="25" t="n">
        <f aca="false">IF(T526&gt;0,B526,D526)</f>
        <v>0.045928955078125</v>
      </c>
      <c r="C527" s="25" t="n">
        <f aca="false">IF(T526&gt;0,D526,C526)</f>
        <v>0.0459403991699219</v>
      </c>
      <c r="D527" s="41" t="n">
        <f aca="false">(B527+C527)/2</f>
        <v>0.0459346771240234</v>
      </c>
      <c r="E527" s="15" t="n">
        <f aca="false">$C$2*(1+IF(E$3&lt;=$O$2,$D527,$D527-($D527-$I$508)*MIN(E$3-$O$2,$Q$2)/$Q$2))</f>
        <v>2301.05628967285</v>
      </c>
      <c r="F527" s="15" t="n">
        <f aca="false">E527*(1+IF(F$3&lt;=$O$2,$D527,$D527-($D527-$I$508)*MIN(F$3-$O$2,$Q$2)/$Q$2))</f>
        <v>2406.75456738318</v>
      </c>
      <c r="G527" s="15" t="n">
        <f aca="false">F527*(1+IF(G$3&lt;=$O$2,$D527,$D527-($D527-$I$508)*MIN(G$3-$O$2,$Q$2)/$Q$2))</f>
        <v>2517.30806135269</v>
      </c>
      <c r="H527" s="15" t="n">
        <f aca="false">G527*(1+IF(H$3&lt;=$O$2,$D527,$D527-($D527-$I$508)*MIN(H$3-$O$2,$Q$2)/$Q$2))</f>
        <v>2632.93979437263</v>
      </c>
      <c r="I527" s="15" t="n">
        <f aca="false">H527*(1+IF(I$3&lt;=$O$2,$D527,$D527-($D527-$I$508)*MIN(I$3-$O$2,$Q$2)/$Q$2))</f>
        <v>2753.88303371413</v>
      </c>
      <c r="J527" s="15" t="n">
        <f aca="false">I527*(1+IF(J$3&lt;=$O$2,$D527,$D527-($D527-$I$508)*MIN(J$3-$O$2,$Q$2)/$Q$2))</f>
        <v>2870.66899407774</v>
      </c>
      <c r="K527" s="15" t="n">
        <f aca="false">J527*(1+IF(K$3&lt;=$O$2,$D527,$D527-($D527-$I$508)*MIN(K$3-$O$2,$Q$2)/$Q$2))</f>
        <v>2982.28291911444</v>
      </c>
      <c r="L527" s="15" t="n">
        <f aca="false">K527*(1+IF(L$3&lt;=$O$2,$D527,$D527-($D527-$I$508)*MIN(L$3-$O$2,$Q$2)/$Q$2))</f>
        <v>3087.71816427381</v>
      </c>
      <c r="M527" s="15" t="n">
        <f aca="false">L527*(1+IF(M$3&lt;=$O$2,$D527,$D527-($D527-$I$508)*MIN(M$3-$O$2,$Q$2)/$Q$2))</f>
        <v>3185.99077089815</v>
      </c>
      <c r="N527" s="15" t="n">
        <f aca="false">M527*(1+IF(N$3&lt;=$O$2,$D527,$D527-($D527-$I$508)*MIN(N$3-$O$2,$Q$2)/$Q$2))</f>
        <v>3276.15430971457</v>
      </c>
      <c r="O527" s="15" t="n">
        <f aca="false">SUMPRODUCT(E527:N527,1/(1+$F$508)^$E$3:$N$3)*$E$2</f>
        <v>9371.96671365467</v>
      </c>
      <c r="P527" s="15" t="n">
        <f aca="false">N527*$E$2*(1+$I$508)/($F$508-$I$508)/(1+$F$508)^$N$3</f>
        <v>14458.5919691674</v>
      </c>
      <c r="Q527" s="15" t="n">
        <f aca="false">O527+P527</f>
        <v>23830.5586828221</v>
      </c>
      <c r="R527" s="15" t="n">
        <f aca="false">Q527-$G$2+$I$2</f>
        <v>25740.2186828221</v>
      </c>
      <c r="S527" s="42" t="n">
        <f aca="false">R527/$K$2</f>
        <v>109.986833665864</v>
      </c>
      <c r="T527" s="43" t="n">
        <f aca="false">S527-$M$2</f>
        <v>0.000934422176911198</v>
      </c>
    </row>
    <row r="528" customFormat="false" ht="15" hidden="false" customHeight="false" outlineLevel="0" collapsed="false">
      <c r="A528" s="5" t="n">
        <v>19</v>
      </c>
      <c r="B528" s="25" t="n">
        <f aca="false">IF(T527&gt;0,B527,D527)</f>
        <v>0.045928955078125</v>
      </c>
      <c r="C528" s="25" t="n">
        <f aca="false">IF(T527&gt;0,D527,C527)</f>
        <v>0.0459346771240234</v>
      </c>
      <c r="D528" s="41" t="n">
        <f aca="false">(B528+C528)/2</f>
        <v>0.0459318161010742</v>
      </c>
      <c r="E528" s="15" t="n">
        <f aca="false">$C$2*(1+IF(E$3&lt;=$O$2,$D528,$D528-($D528-$I$508)*MIN(E$3-$O$2,$Q$2)/$Q$2))</f>
        <v>2301.04999542236</v>
      </c>
      <c r="F528" s="15" t="n">
        <f aca="false">E528*(1+IF(F$3&lt;=$O$2,$D528,$D528-($D528-$I$508)*MIN(F$3-$O$2,$Q$2)/$Q$2))</f>
        <v>2406.74140065148</v>
      </c>
      <c r="G528" s="15" t="n">
        <f aca="false">F528*(1+IF(G$3&lt;=$O$2,$D528,$D528-($D528-$I$508)*MIN(G$3-$O$2,$Q$2)/$Q$2))</f>
        <v>2517.28740406905</v>
      </c>
      <c r="H528" s="15" t="n">
        <f aca="false">G528*(1+IF(H$3&lt;=$O$2,$D528,$D528-($D528-$I$508)*MIN(H$3-$O$2,$Q$2)/$Q$2))</f>
        <v>2632.9109861863</v>
      </c>
      <c r="I528" s="15" t="n">
        <f aca="false">H528*(1+IF(I$3&lt;=$O$2,$D528,$D528-($D528-$I$508)*MIN(I$3-$O$2,$Q$2)/$Q$2))</f>
        <v>2753.8453694143</v>
      </c>
      <c r="J528" s="15" t="n">
        <f aca="false">I528*(1+IF(J$3&lt;=$O$2,$D528,$D528-($D528-$I$508)*MIN(J$3-$O$2,$Q$2)/$Q$2))</f>
        <v>2870.62342946817</v>
      </c>
      <c r="K528" s="15" t="n">
        <f aca="false">J528*(1+IF(K$3&lt;=$O$2,$D528,$D528-($D528-$I$508)*MIN(K$3-$O$2,$Q$2)/$Q$2))</f>
        <v>2982.23065516441</v>
      </c>
      <c r="L528" s="15" t="n">
        <f aca="false">K528*(1+IF(L$3&lt;=$O$2,$D528,$D528-($D528-$I$508)*MIN(L$3-$O$2,$Q$2)/$Q$2))</f>
        <v>3087.66063969871</v>
      </c>
      <c r="M528" s="15" t="n">
        <f aca="false">L528*(1+IF(M$3&lt;=$O$2,$D528,$D528-($D528-$I$508)*MIN(M$3-$O$2,$Q$2)/$Q$2))</f>
        <v>3185.92964871852</v>
      </c>
      <c r="N528" s="15" t="n">
        <f aca="false">M528*(1+IF(N$3&lt;=$O$2,$D528,$D528-($D528-$I$508)*MIN(N$3-$O$2,$Q$2)/$Q$2))</f>
        <v>3276.09145777725</v>
      </c>
      <c r="O528" s="15" t="n">
        <f aca="false">SUMPRODUCT(E528:N528,1/(1+$F$508)^$E$3:$N$3)*$E$2</f>
        <v>9371.84935571912</v>
      </c>
      <c r="P528" s="15" t="n">
        <f aca="false">N528*$E$2*(1+$I$508)/($F$508-$I$508)/(1+$F$508)^$N$3</f>
        <v>14458.3145858606</v>
      </c>
      <c r="Q528" s="15" t="n">
        <f aca="false">O528+P528</f>
        <v>23830.1639415797</v>
      </c>
      <c r="R528" s="15" t="n">
        <f aca="false">Q528-$G$2+$I$2</f>
        <v>25739.8239415797</v>
      </c>
      <c r="S528" s="42" t="n">
        <f aca="false">R528/$K$2</f>
        <v>109.985146953723</v>
      </c>
      <c r="T528" s="43" t="n">
        <f aca="false">S528-$M$2</f>
        <v>-0.000752289964182751</v>
      </c>
    </row>
    <row r="529" customFormat="false" ht="15" hidden="false" customHeight="false" outlineLevel="0" collapsed="false">
      <c r="A529" s="5" t="n">
        <v>20</v>
      </c>
      <c r="B529" s="25" t="n">
        <f aca="false">IF(T528&gt;0,B528,D528)</f>
        <v>0.0459318161010742</v>
      </c>
      <c r="C529" s="25" t="n">
        <f aca="false">IF(T528&gt;0,D528,C528)</f>
        <v>0.0459346771240234</v>
      </c>
      <c r="D529" s="41" t="n">
        <f aca="false">(B529+C529)/2</f>
        <v>0.0459332466125488</v>
      </c>
      <c r="E529" s="15" t="n">
        <f aca="false">$C$2*(1+IF(E$3&lt;=$O$2,$D529,$D529-($D529-$I$508)*MIN(E$3-$O$2,$Q$2)/$Q$2))</f>
        <v>2301.05314254761</v>
      </c>
      <c r="F529" s="15" t="n">
        <f aca="false">E529*(1+IF(F$3&lt;=$O$2,$D529,$D529-($D529-$I$508)*MIN(F$3-$O$2,$Q$2)/$Q$2))</f>
        <v>2406.74798401283</v>
      </c>
      <c r="G529" s="15" t="n">
        <f aca="false">F529*(1+IF(G$3&lt;=$O$2,$D529,$D529-($D529-$I$508)*MIN(G$3-$O$2,$Q$2)/$Q$2))</f>
        <v>2517.29773269674</v>
      </c>
      <c r="H529" s="15" t="n">
        <f aca="false">G529*(1+IF(H$3&lt;=$O$2,$D529,$D529-($D529-$I$508)*MIN(H$3-$O$2,$Q$2)/$Q$2))</f>
        <v>2632.92539024991</v>
      </c>
      <c r="I529" s="15" t="n">
        <f aca="false">H529*(1+IF(I$3&lt;=$O$2,$D529,$D529-($D529-$I$508)*MIN(I$3-$O$2,$Q$2)/$Q$2))</f>
        <v>2753.8642015127</v>
      </c>
      <c r="J529" s="15" t="n">
        <f aca="false">I529*(1+IF(J$3&lt;=$O$2,$D529,$D529-($D529-$I$508)*MIN(J$3-$O$2,$Q$2)/$Q$2))</f>
        <v>2870.64621169771</v>
      </c>
      <c r="K529" s="15" t="n">
        <f aca="false">J529*(1+IF(K$3&lt;=$O$2,$D529,$D529-($D529-$I$508)*MIN(K$3-$O$2,$Q$2)/$Q$2))</f>
        <v>2982.2567870417</v>
      </c>
      <c r="L529" s="15" t="n">
        <f aca="false">K529*(1+IF(L$3&lt;=$O$2,$D529,$D529-($D529-$I$508)*MIN(L$3-$O$2,$Q$2)/$Q$2))</f>
        <v>3087.68940187012</v>
      </c>
      <c r="M529" s="15" t="n">
        <f aca="false">L529*(1+IF(M$3&lt;=$O$2,$D529,$D529-($D529-$I$508)*MIN(M$3-$O$2,$Q$2)/$Q$2))</f>
        <v>3185.96020968027</v>
      </c>
      <c r="N529" s="15" t="n">
        <f aca="false">M529*(1+IF(N$3&lt;=$O$2,$D529,$D529-($D529-$I$508)*MIN(N$3-$O$2,$Q$2)/$Q$2))</f>
        <v>3276.12288361422</v>
      </c>
      <c r="O529" s="15" t="n">
        <f aca="false">SUMPRODUCT(E529:N529,1/(1+$F$508)^$E$3:$N$3)*$E$2</f>
        <v>9371.90803450177</v>
      </c>
      <c r="P529" s="15" t="n">
        <f aca="false">N529*$E$2*(1+$I$508)/($F$508-$I$508)/(1+$F$508)^$N$3</f>
        <v>14458.4532769328</v>
      </c>
      <c r="Q529" s="15" t="n">
        <f aca="false">O529+P529</f>
        <v>23830.3613114346</v>
      </c>
      <c r="R529" s="15" t="n">
        <f aca="false">Q529-$G$2+$I$2</f>
        <v>25740.0213114346</v>
      </c>
      <c r="S529" s="42" t="n">
        <f aca="false">R529/$K$2</f>
        <v>109.985990306519</v>
      </c>
      <c r="T529" s="43" t="n">
        <f aca="false">S529-$M$2</f>
        <v>9.10628320411888E-005</v>
      </c>
    </row>
    <row r="530" customFormat="false" ht="15" hidden="false" customHeight="false" outlineLevel="0" collapsed="false">
      <c r="A530" s="5" t="n">
        <v>21</v>
      </c>
      <c r="B530" s="25" t="n">
        <f aca="false">IF(T529&gt;0,B529,D529)</f>
        <v>0.0459318161010742</v>
      </c>
      <c r="C530" s="25" t="n">
        <f aca="false">IF(T529&gt;0,D529,C529)</f>
        <v>0.0459332466125488</v>
      </c>
      <c r="D530" s="41" t="n">
        <f aca="false">(B530+C530)/2</f>
        <v>0.0459325313568115</v>
      </c>
      <c r="E530" s="15" t="n">
        <f aca="false">$C$2*(1+IF(E$3&lt;=$O$2,$D530,$D530-($D530-$I$508)*MIN(E$3-$O$2,$Q$2)/$Q$2))</f>
        <v>2301.05156898499</v>
      </c>
      <c r="F530" s="15" t="n">
        <f aca="false">E530*(1+IF(F$3&lt;=$O$2,$D530,$D530-($D530-$I$508)*MIN(F$3-$O$2,$Q$2)/$Q$2))</f>
        <v>2406.74469233103</v>
      </c>
      <c r="G530" s="15" t="n">
        <f aca="false">F530*(1+IF(G$3&lt;=$O$2,$D530,$D530-($D530-$I$508)*MIN(G$3-$O$2,$Q$2)/$Q$2))</f>
        <v>2517.29256837936</v>
      </c>
      <c r="H530" s="15" t="n">
        <f aca="false">G530*(1+IF(H$3&lt;=$O$2,$D530,$D530-($D530-$I$508)*MIN(H$3-$O$2,$Q$2)/$Q$2))</f>
        <v>2632.91818821072</v>
      </c>
      <c r="I530" s="15" t="n">
        <f aca="false">H530*(1+IF(I$3&lt;=$O$2,$D530,$D530-($D530-$I$508)*MIN(I$3-$O$2,$Q$2)/$Q$2))</f>
        <v>2753.85478545063</v>
      </c>
      <c r="J530" s="15" t="n">
        <f aca="false">I530*(1+IF(J$3&lt;=$O$2,$D530,$D530-($D530-$I$508)*MIN(J$3-$O$2,$Q$2)/$Q$2))</f>
        <v>2870.63482056413</v>
      </c>
      <c r="K530" s="15" t="n">
        <f aca="false">J530*(1+IF(K$3&lt;=$O$2,$D530,$D530-($D530-$I$508)*MIN(K$3-$O$2,$Q$2)/$Q$2))</f>
        <v>2982.24372107862</v>
      </c>
      <c r="L530" s="15" t="n">
        <f aca="false">K530*(1+IF(L$3&lt;=$O$2,$D530,$D530-($D530-$I$508)*MIN(L$3-$O$2,$Q$2)/$Q$2))</f>
        <v>3087.67502075538</v>
      </c>
      <c r="M530" s="15" t="n">
        <f aca="false">L530*(1+IF(M$3&lt;=$O$2,$D530,$D530-($D530-$I$508)*MIN(M$3-$O$2,$Q$2)/$Q$2))</f>
        <v>3185.94492916738</v>
      </c>
      <c r="N530" s="15" t="n">
        <f aca="false">M530*(1+IF(N$3&lt;=$O$2,$D530,$D530-($D530-$I$508)*MIN(N$3-$O$2,$Q$2)/$Q$2))</f>
        <v>3276.10717066282</v>
      </c>
      <c r="O530" s="15" t="n">
        <f aca="false">SUMPRODUCT(E530:N530,1/(1+$F$508)^$E$3:$N$3)*$E$2</f>
        <v>9371.87869506417</v>
      </c>
      <c r="P530" s="15" t="n">
        <f aca="false">N530*$E$2*(1+$I$508)/($F$508-$I$508)/(1+$F$508)^$N$3</f>
        <v>14458.3839312514</v>
      </c>
      <c r="Q530" s="15" t="n">
        <f aca="false">O530+P530</f>
        <v>23830.2626263156</v>
      </c>
      <c r="R530" s="15" t="n">
        <f aca="false">Q530-$G$2+$I$2</f>
        <v>25739.9226263156</v>
      </c>
      <c r="S530" s="42" t="n">
        <f aca="false">R530/$K$2</f>
        <v>109.985568629302</v>
      </c>
      <c r="T530" s="43" t="n">
        <f aca="false">S530-$M$2</f>
        <v>-0.000330614384637329</v>
      </c>
    </row>
    <row r="531" customFormat="false" ht="15" hidden="false" customHeight="false" outlineLevel="0" collapsed="false">
      <c r="A531" s="5" t="n">
        <v>22</v>
      </c>
      <c r="B531" s="25" t="n">
        <f aca="false">IF(T530&gt;0,B530,D530)</f>
        <v>0.0459325313568115</v>
      </c>
      <c r="C531" s="25" t="n">
        <f aca="false">IF(T530&gt;0,D530,C530)</f>
        <v>0.0459332466125488</v>
      </c>
      <c r="D531" s="41" t="n">
        <f aca="false">(B531+C531)/2</f>
        <v>0.0459328889846802</v>
      </c>
      <c r="E531" s="15" t="n">
        <f aca="false">$C$2*(1+IF(E$3&lt;=$O$2,$D531,$D531-($D531-$I$508)*MIN(E$3-$O$2,$Q$2)/$Q$2))</f>
        <v>2301.0523557663</v>
      </c>
      <c r="F531" s="15" t="n">
        <f aca="false">E531*(1+IF(F$3&lt;=$O$2,$D531,$D531-($D531-$I$508)*MIN(F$3-$O$2,$Q$2)/$Q$2))</f>
        <v>2406.74633817165</v>
      </c>
      <c r="G531" s="15" t="n">
        <f aca="false">F531*(1+IF(G$3&lt;=$O$2,$D531,$D531-($D531-$I$508)*MIN(G$3-$O$2,$Q$2)/$Q$2))</f>
        <v>2517.29515053717</v>
      </c>
      <c r="H531" s="15" t="n">
        <f aca="false">G531*(1+IF(H$3&lt;=$O$2,$D531,$D531-($D531-$I$508)*MIN(H$3-$O$2,$Q$2)/$Q$2))</f>
        <v>2632.92178922847</v>
      </c>
      <c r="I531" s="15" t="n">
        <f aca="false">H531*(1+IF(I$3&lt;=$O$2,$D531,$D531-($D531-$I$508)*MIN(I$3-$O$2,$Q$2)/$Q$2))</f>
        <v>2753.85949347844</v>
      </c>
      <c r="J531" s="15" t="n">
        <f aca="false">I531*(1+IF(J$3&lt;=$O$2,$D531,$D531-($D531-$I$508)*MIN(J$3-$O$2,$Q$2)/$Q$2))</f>
        <v>2870.64051612622</v>
      </c>
      <c r="K531" s="15" t="n">
        <f aca="false">J531*(1+IF(K$3&lt;=$O$2,$D531,$D531-($D531-$I$508)*MIN(K$3-$O$2,$Q$2)/$Q$2))</f>
        <v>2982.25025405405</v>
      </c>
      <c r="L531" s="15" t="n">
        <f aca="false">K531*(1+IF(L$3&lt;=$O$2,$D531,$D531-($D531-$I$508)*MIN(L$3-$O$2,$Q$2)/$Q$2))</f>
        <v>3087.68221130549</v>
      </c>
      <c r="M531" s="15" t="n">
        <f aca="false">L531*(1+IF(M$3&lt;=$O$2,$D531,$D531-($D531-$I$508)*MIN(M$3-$O$2,$Q$2)/$Q$2))</f>
        <v>3185.95256941582</v>
      </c>
      <c r="N531" s="15" t="n">
        <f aca="false">M531*(1+IF(N$3&lt;=$O$2,$D531,$D531-($D531-$I$508)*MIN(N$3-$O$2,$Q$2)/$Q$2))</f>
        <v>3276.11502713029</v>
      </c>
      <c r="O531" s="15" t="n">
        <f aca="false">SUMPRODUCT(E531:N531,1/(1+$F$508)^$E$3:$N$3)*$E$2</f>
        <v>9371.8933647714</v>
      </c>
      <c r="P531" s="15" t="n">
        <f aca="false">N531*$E$2*(1+$I$508)/($F$508-$I$508)/(1+$F$508)^$N$3</f>
        <v>14458.4186040558</v>
      </c>
      <c r="Q531" s="15" t="n">
        <f aca="false">O531+P531</f>
        <v>23830.3119688272</v>
      </c>
      <c r="R531" s="15" t="n">
        <f aca="false">Q531-$G$2+$I$2</f>
        <v>25739.9719688272</v>
      </c>
      <c r="S531" s="42" t="n">
        <f aca="false">R531/$K$2</f>
        <v>109.985779467706</v>
      </c>
      <c r="T531" s="43" t="n">
        <f aca="false">S531-$M$2</f>
        <v>-0.000119775980948589</v>
      </c>
    </row>
    <row r="532" customFormat="false" ht="15" hidden="false" customHeight="false" outlineLevel="0" collapsed="false">
      <c r="A532" s="5" t="n">
        <v>23</v>
      </c>
      <c r="B532" s="25" t="n">
        <f aca="false">IF(T531&gt;0,B531,D531)</f>
        <v>0.0459328889846802</v>
      </c>
      <c r="C532" s="25" t="n">
        <f aca="false">IF(T531&gt;0,D531,C531)</f>
        <v>0.0459332466125488</v>
      </c>
      <c r="D532" s="41" t="n">
        <f aca="false">(B532+C532)/2</f>
        <v>0.0459330677986145</v>
      </c>
      <c r="E532" s="15" t="n">
        <f aca="false">$C$2*(1+IF(E$3&lt;=$O$2,$D532,$D532-($D532-$I$508)*MIN(E$3-$O$2,$Q$2)/$Q$2))</f>
        <v>2301.05274915695</v>
      </c>
      <c r="F532" s="15" t="n">
        <f aca="false">E532*(1+IF(F$3&lt;=$O$2,$D532,$D532-($D532-$I$508)*MIN(F$3-$O$2,$Q$2)/$Q$2))</f>
        <v>2406.74716109217</v>
      </c>
      <c r="G532" s="15" t="n">
        <f aca="false">F532*(1+IF(G$3&lt;=$O$2,$D532,$D532-($D532-$I$508)*MIN(G$3-$O$2,$Q$2)/$Q$2))</f>
        <v>2517.29644161674</v>
      </c>
      <c r="H532" s="15" t="n">
        <f aca="false">G532*(1+IF(H$3&lt;=$O$2,$D532,$D532-($D532-$I$508)*MIN(H$3-$O$2,$Q$2)/$Q$2))</f>
        <v>2632.92358973873</v>
      </c>
      <c r="I532" s="15" t="n">
        <f aca="false">H532*(1+IF(I$3&lt;=$O$2,$D532,$D532-($D532-$I$508)*MIN(I$3-$O$2,$Q$2)/$Q$2))</f>
        <v>2753.86184749477</v>
      </c>
      <c r="J532" s="15" t="n">
        <f aca="false">I532*(1+IF(J$3&lt;=$O$2,$D532,$D532-($D532-$I$508)*MIN(J$3-$O$2,$Q$2)/$Q$2))</f>
        <v>2870.64336391079</v>
      </c>
      <c r="K532" s="15" t="n">
        <f aca="false">J532*(1+IF(K$3&lt;=$O$2,$D532,$D532-($D532-$I$508)*MIN(K$3-$O$2,$Q$2)/$Q$2))</f>
        <v>2982.25352054635</v>
      </c>
      <c r="L532" s="15" t="n">
        <f aca="false">K532*(1+IF(L$3&lt;=$O$2,$D532,$D532-($D532-$I$508)*MIN(L$3-$O$2,$Q$2)/$Q$2))</f>
        <v>3087.68580658599</v>
      </c>
      <c r="M532" s="15" t="n">
        <f aca="false">L532*(1+IF(M$3&lt;=$O$2,$D532,$D532-($D532-$I$508)*MIN(M$3-$O$2,$Q$2)/$Q$2))</f>
        <v>3185.95638954605</v>
      </c>
      <c r="N532" s="15" t="n">
        <f aca="false">M532*(1+IF(N$3&lt;=$O$2,$D532,$D532-($D532-$I$508)*MIN(N$3-$O$2,$Q$2)/$Q$2))</f>
        <v>3276.1189553702</v>
      </c>
      <c r="O532" s="15" t="n">
        <f aca="false">SUMPRODUCT(E532:N532,1/(1+$F$508)^$E$3:$N$3)*$E$2</f>
        <v>9371.90069963369</v>
      </c>
      <c r="P532" s="15" t="n">
        <f aca="false">N532*$E$2*(1+$I$508)/($F$508-$I$508)/(1+$F$508)^$N$3</f>
        <v>14458.4359404852</v>
      </c>
      <c r="Q532" s="15" t="n">
        <f aca="false">O532+P532</f>
        <v>23830.3366401189</v>
      </c>
      <c r="R532" s="15" t="n">
        <f aca="false">Q532-$G$2+$I$2</f>
        <v>25739.9966401189</v>
      </c>
      <c r="S532" s="42" t="n">
        <f aca="false">R532/$K$2</f>
        <v>109.985884887061</v>
      </c>
      <c r="T532" s="43" t="n">
        <f aca="false">S532-$M$2</f>
        <v>-1.43566256269878E-005</v>
      </c>
    </row>
    <row r="533" customFormat="false" ht="15" hidden="false" customHeight="false" outlineLevel="0" collapsed="false">
      <c r="A533" s="5" t="n">
        <v>24</v>
      </c>
      <c r="B533" s="25" t="n">
        <f aca="false">IF(T532&gt;0,B532,D532)</f>
        <v>0.0459330677986145</v>
      </c>
      <c r="C533" s="25" t="n">
        <f aca="false">IF(T532&gt;0,D532,C532)</f>
        <v>0.0459332466125488</v>
      </c>
      <c r="D533" s="41" t="n">
        <f aca="false">(B533+C533)/2</f>
        <v>0.0459331572055817</v>
      </c>
      <c r="E533" s="15" t="n">
        <f aca="false">$C$2*(1+IF(E$3&lt;=$O$2,$D533,$D533-($D533-$I$508)*MIN(E$3-$O$2,$Q$2)/$Q$2))</f>
        <v>2301.05294585228</v>
      </c>
      <c r="F533" s="15" t="n">
        <f aca="false">E533*(1+IF(F$3&lt;=$O$2,$D533,$D533-($D533-$I$508)*MIN(F$3-$O$2,$Q$2)/$Q$2))</f>
        <v>2406.74757255248</v>
      </c>
      <c r="G533" s="15" t="n">
        <f aca="false">F533*(1+IF(G$3&lt;=$O$2,$D533,$D533-($D533-$I$508)*MIN(G$3-$O$2,$Q$2)/$Q$2))</f>
        <v>2517.29708715668</v>
      </c>
      <c r="H533" s="15" t="n">
        <f aca="false">G533*(1+IF(H$3&lt;=$O$2,$D533,$D533-($D533-$I$508)*MIN(H$3-$O$2,$Q$2)/$Q$2))</f>
        <v>2632.92448999421</v>
      </c>
      <c r="I533" s="15" t="n">
        <f aca="false">H533*(1+IF(I$3&lt;=$O$2,$D533,$D533-($D533-$I$508)*MIN(I$3-$O$2,$Q$2)/$Q$2))</f>
        <v>2753.86302450353</v>
      </c>
      <c r="J533" s="15" t="n">
        <f aca="false">I533*(1+IF(J$3&lt;=$O$2,$D533,$D533-($D533-$I$508)*MIN(J$3-$O$2,$Q$2)/$Q$2))</f>
        <v>2870.64478780395</v>
      </c>
      <c r="K533" s="15" t="n">
        <f aca="false">J533*(1+IF(K$3&lt;=$O$2,$D533,$D533-($D533-$I$508)*MIN(K$3-$O$2,$Q$2)/$Q$2))</f>
        <v>2982.25515379364</v>
      </c>
      <c r="L533" s="15" t="n">
        <f aca="false">K533*(1+IF(L$3&lt;=$O$2,$D533,$D533-($D533-$I$508)*MIN(L$3-$O$2,$Q$2)/$Q$2))</f>
        <v>3087.6876042276</v>
      </c>
      <c r="M533" s="15" t="n">
        <f aca="false">L533*(1+IF(M$3&lt;=$O$2,$D533,$D533-($D533-$I$508)*MIN(M$3-$O$2,$Q$2)/$Q$2))</f>
        <v>3185.95829961266</v>
      </c>
      <c r="N533" s="15" t="n">
        <f aca="false">M533*(1+IF(N$3&lt;=$O$2,$D533,$D533-($D533-$I$508)*MIN(N$3-$O$2,$Q$2)/$Q$2))</f>
        <v>3276.1209194917</v>
      </c>
      <c r="O533" s="15" t="n">
        <f aca="false">SUMPRODUCT(E533:N533,1/(1+$F$508)^$E$3:$N$3)*$E$2</f>
        <v>9371.90436706701</v>
      </c>
      <c r="P533" s="15" t="n">
        <f aca="false">N533*$E$2*(1+$I$508)/($F$508-$I$508)/(1+$F$508)^$N$3</f>
        <v>14458.4446087067</v>
      </c>
      <c r="Q533" s="15" t="n">
        <f aca="false">O533+P533</f>
        <v>23830.3489757737</v>
      </c>
      <c r="R533" s="15" t="n">
        <f aca="false">Q533-$G$2+$I$2</f>
        <v>25740.0089757737</v>
      </c>
      <c r="S533" s="42" t="n">
        <f aca="false">R533/$K$2</f>
        <v>109.985937596777</v>
      </c>
      <c r="T533" s="43" t="n">
        <f aca="false">S533-$M$2</f>
        <v>3.83530904031204E-005</v>
      </c>
    </row>
    <row r="535" customFormat="false" ht="15" hidden="false" customHeight="false" outlineLevel="0" collapsed="false">
      <c r="A535" s="38" t="s">
        <v>206</v>
      </c>
      <c r="E535" s="5" t="s">
        <v>11</v>
      </c>
      <c r="F535" s="12" t="n">
        <f aca="false">Sensitivity!$B$13</f>
        <v>0.0827967762761046</v>
      </c>
      <c r="G535" s="5" t="s">
        <v>12</v>
      </c>
      <c r="I535" s="12" t="n">
        <f aca="false">Sensitivity!$F$9</f>
        <v>0.0333</v>
      </c>
    </row>
    <row r="536" customFormat="false" ht="23.85" hidden="false" customHeight="false" outlineLevel="0" collapsed="false">
      <c r="A536" s="38" t="s">
        <v>168</v>
      </c>
      <c r="B536" s="28" t="s">
        <v>169</v>
      </c>
      <c r="C536" s="28" t="s">
        <v>170</v>
      </c>
      <c r="D536" s="28" t="s">
        <v>171</v>
      </c>
      <c r="E536" s="28" t="s">
        <v>172</v>
      </c>
      <c r="F536" s="28" t="s">
        <v>173</v>
      </c>
      <c r="G536" s="28" t="s">
        <v>174</v>
      </c>
      <c r="H536" s="28" t="s">
        <v>175</v>
      </c>
      <c r="I536" s="28" t="s">
        <v>176</v>
      </c>
      <c r="J536" s="28" t="s">
        <v>177</v>
      </c>
      <c r="K536" s="28" t="s">
        <v>178</v>
      </c>
      <c r="L536" s="28" t="s">
        <v>179</v>
      </c>
      <c r="M536" s="28" t="s">
        <v>180</v>
      </c>
      <c r="N536" s="28" t="s">
        <v>181</v>
      </c>
      <c r="O536" s="28" t="s">
        <v>182</v>
      </c>
      <c r="P536" s="28" t="s">
        <v>183</v>
      </c>
      <c r="Q536" s="28" t="s">
        <v>184</v>
      </c>
      <c r="R536" s="28" t="s">
        <v>185</v>
      </c>
      <c r="S536" s="28" t="s">
        <v>186</v>
      </c>
      <c r="T536" s="28" t="s">
        <v>187</v>
      </c>
    </row>
    <row r="537" customFormat="false" ht="15" hidden="false" customHeight="false" outlineLevel="0" collapsed="false">
      <c r="A537" s="5" t="n">
        <v>1</v>
      </c>
      <c r="B537" s="24" t="n">
        <v>-0.5</v>
      </c>
      <c r="C537" s="24" t="n">
        <v>1</v>
      </c>
      <c r="D537" s="41" t="n">
        <f aca="false">(B537+C537)/2</f>
        <v>0.25</v>
      </c>
      <c r="E537" s="15" t="n">
        <f aca="false">$C$2*(1+IF(E$3&lt;=$O$2,$D537,$D537-($D537-$I$535)*MIN(E$3-$O$2,$Q$2)/$Q$2))</f>
        <v>2750</v>
      </c>
      <c r="F537" s="15" t="n">
        <f aca="false">E537*(1+IF(F$3&lt;=$O$2,$D537,$D537-($D537-$I$535)*MIN(F$3-$O$2,$Q$2)/$Q$2))</f>
        <v>3437.5</v>
      </c>
      <c r="G537" s="15" t="n">
        <f aca="false">F537*(1+IF(G$3&lt;=$O$2,$D537,$D537-($D537-$I$535)*MIN(G$3-$O$2,$Q$2)/$Q$2))</f>
        <v>4296.875</v>
      </c>
      <c r="H537" s="15" t="n">
        <f aca="false">G537*(1+IF(H$3&lt;=$O$2,$D537,$D537-($D537-$I$535)*MIN(H$3-$O$2,$Q$2)/$Q$2))</f>
        <v>5371.09375</v>
      </c>
      <c r="I537" s="15" t="n">
        <f aca="false">H537*(1+IF(I$3&lt;=$O$2,$D537,$D537-($D537-$I$535)*MIN(I$3-$O$2,$Q$2)/$Q$2))</f>
        <v>6713.8671875</v>
      </c>
      <c r="J537" s="15" t="n">
        <f aca="false">I537*(1+IF(J$3&lt;=$O$2,$D537,$D537-($D537-$I$535)*MIN(J$3-$O$2,$Q$2)/$Q$2))</f>
        <v>8101.35498046875</v>
      </c>
      <c r="K537" s="15" t="n">
        <f aca="false">J537*(1+IF(K$3&lt;=$O$2,$D537,$D537-($D537-$I$535)*MIN(K$3-$O$2,$Q$2)/$Q$2))</f>
        <v>9424.46827587891</v>
      </c>
      <c r="L537" s="15" t="n">
        <f aca="false">K537*(1+IF(L$3&lt;=$O$2,$D537,$D537-($D537-$I$535)*MIN(L$3-$O$2,$Q$2)/$Q$2))</f>
        <v>10555.2159796189</v>
      </c>
      <c r="M537" s="15" t="n">
        <f aca="false">L537*(1+IF(M$3&lt;=$O$2,$D537,$D537-($D537-$I$535)*MIN(M$3-$O$2,$Q$2)/$Q$2))</f>
        <v>11364.1677322968</v>
      </c>
      <c r="N537" s="15" t="n">
        <f aca="false">M537*(1+IF(N$3&lt;=$O$2,$D537,$D537-($D537-$I$535)*MIN(N$3-$O$2,$Q$2)/$Q$2))</f>
        <v>11742.5945177823</v>
      </c>
      <c r="O537" s="15" t="n">
        <f aca="false">SUMPRODUCT(E537:N537,1/(1+$F$535)^$E$3:$N$3)*$E$2</f>
        <v>22873.2935817649</v>
      </c>
      <c r="P537" s="15" t="n">
        <f aca="false">N537*$E$2*(1+$I$535)/($F$535-$I$535)/(1+$F$535)^$N$3</f>
        <v>57335.8439038591</v>
      </c>
      <c r="Q537" s="15" t="n">
        <f aca="false">O537+P537</f>
        <v>80209.137485624</v>
      </c>
      <c r="R537" s="15" t="n">
        <f aca="false">Q537-$G$2+$I$2</f>
        <v>82118.797485624</v>
      </c>
      <c r="S537" s="42" t="n">
        <f aca="false">R537/$K$2</f>
        <v>350.890046086502</v>
      </c>
      <c r="T537" s="43" t="n">
        <f aca="false">S537-$M$2</f>
        <v>240.904146842815</v>
      </c>
    </row>
    <row r="538" customFormat="false" ht="15" hidden="false" customHeight="false" outlineLevel="0" collapsed="false">
      <c r="A538" s="5" t="n">
        <v>2</v>
      </c>
      <c r="B538" s="25" t="n">
        <f aca="false">IF(T537&gt;0,B537,D537)</f>
        <v>-0.5</v>
      </c>
      <c r="C538" s="25" t="n">
        <f aca="false">IF(T537&gt;0,D537,C537)</f>
        <v>0.25</v>
      </c>
      <c r="D538" s="41" t="n">
        <f aca="false">(B538+C538)/2</f>
        <v>-0.125</v>
      </c>
      <c r="E538" s="15" t="n">
        <f aca="false">$C$2*(1+IF(E$3&lt;=$O$2,$D538,$D538-($D538-$I$535)*MIN(E$3-$O$2,$Q$2)/$Q$2))</f>
        <v>1925</v>
      </c>
      <c r="F538" s="15" t="n">
        <f aca="false">E538*(1+IF(F$3&lt;=$O$2,$D538,$D538-($D538-$I$535)*MIN(F$3-$O$2,$Q$2)/$Q$2))</f>
        <v>1684.375</v>
      </c>
      <c r="G538" s="15" t="n">
        <f aca="false">F538*(1+IF(G$3&lt;=$O$2,$D538,$D538-($D538-$I$535)*MIN(G$3-$O$2,$Q$2)/$Q$2))</f>
        <v>1473.828125</v>
      </c>
      <c r="H538" s="15" t="n">
        <f aca="false">G538*(1+IF(H$3&lt;=$O$2,$D538,$D538-($D538-$I$535)*MIN(H$3-$O$2,$Q$2)/$Q$2))</f>
        <v>1289.599609375</v>
      </c>
      <c r="I538" s="15" t="n">
        <f aca="false">H538*(1+IF(I$3&lt;=$O$2,$D538,$D538-($D538-$I$535)*MIN(I$3-$O$2,$Q$2)/$Q$2))</f>
        <v>1128.39965820313</v>
      </c>
      <c r="J538" s="15" t="n">
        <f aca="false">I538*(1+IF(J$3&lt;=$O$2,$D538,$D538-($D538-$I$535)*MIN(J$3-$O$2,$Q$2)/$Q$2))</f>
        <v>1023.07483410645</v>
      </c>
      <c r="K538" s="15" t="n">
        <f aca="false">J538*(1+IF(K$3&lt;=$O$2,$D538,$D538-($D538-$I$535)*MIN(K$3-$O$2,$Q$2)/$Q$2))</f>
        <v>959.97157833876</v>
      </c>
      <c r="L538" s="15" t="n">
        <f aca="false">K538*(1+IF(L$3&lt;=$O$2,$D538,$D538-($D538-$I$535)*MIN(L$3-$O$2,$Q$2)/$Q$2))</f>
        <v>931.15323155703</v>
      </c>
      <c r="M538" s="15" t="n">
        <f aca="false">L538*(1+IF(M$3&lt;=$O$2,$D538,$D538-($D538-$I$535)*MIN(M$3-$O$2,$Q$2)/$Q$2))</f>
        <v>932.680322856784</v>
      </c>
      <c r="N538" s="15" t="n">
        <f aca="false">M538*(1+IF(N$3&lt;=$O$2,$D538,$D538-($D538-$I$535)*MIN(N$3-$O$2,$Q$2)/$Q$2))</f>
        <v>963.738577607915</v>
      </c>
      <c r="O538" s="15" t="n">
        <f aca="false">SUMPRODUCT(E538:N538,1/(1+$F$535)^$E$3:$N$3)*$E$2</f>
        <v>4477.13389325949</v>
      </c>
      <c r="P538" s="15" t="n">
        <f aca="false">N538*$E$2*(1+$I$535)/($F$535-$I$535)/(1+$F$535)^$N$3</f>
        <v>4705.66914034005</v>
      </c>
      <c r="Q538" s="15" t="n">
        <f aca="false">O538+P538</f>
        <v>9182.80303359954</v>
      </c>
      <c r="R538" s="15" t="n">
        <f aca="false">Q538-$G$2+$I$2</f>
        <v>11092.4630335995</v>
      </c>
      <c r="S538" s="42" t="n">
        <f aca="false">R538/$K$2</f>
        <v>47.397611560909</v>
      </c>
      <c r="T538" s="43" t="n">
        <f aca="false">S538-$M$2</f>
        <v>-62.5882876827777</v>
      </c>
    </row>
    <row r="539" customFormat="false" ht="15" hidden="false" customHeight="false" outlineLevel="0" collapsed="false">
      <c r="A539" s="5" t="n">
        <v>3</v>
      </c>
      <c r="B539" s="25" t="n">
        <f aca="false">IF(T538&gt;0,B538,D538)</f>
        <v>-0.125</v>
      </c>
      <c r="C539" s="25" t="n">
        <f aca="false">IF(T538&gt;0,D538,C538)</f>
        <v>0.25</v>
      </c>
      <c r="D539" s="41" t="n">
        <f aca="false">(B539+C539)/2</f>
        <v>0.0625</v>
      </c>
      <c r="E539" s="15" t="n">
        <f aca="false">$C$2*(1+IF(E$3&lt;=$O$2,$D539,$D539-($D539-$I$535)*MIN(E$3-$O$2,$Q$2)/$Q$2))</f>
        <v>2337.5</v>
      </c>
      <c r="F539" s="15" t="n">
        <f aca="false">E539*(1+IF(F$3&lt;=$O$2,$D539,$D539-($D539-$I$535)*MIN(F$3-$O$2,$Q$2)/$Q$2))</f>
        <v>2483.59375</v>
      </c>
      <c r="G539" s="15" t="n">
        <f aca="false">F539*(1+IF(G$3&lt;=$O$2,$D539,$D539-($D539-$I$535)*MIN(G$3-$O$2,$Q$2)/$Q$2))</f>
        <v>2638.818359375</v>
      </c>
      <c r="H539" s="15" t="n">
        <f aca="false">G539*(1+IF(H$3&lt;=$O$2,$D539,$D539-($D539-$I$535)*MIN(H$3-$O$2,$Q$2)/$Q$2))</f>
        <v>2803.74450683594</v>
      </c>
      <c r="I539" s="15" t="n">
        <f aca="false">H539*(1+IF(I$3&lt;=$O$2,$D539,$D539-($D539-$I$535)*MIN(I$3-$O$2,$Q$2)/$Q$2))</f>
        <v>2978.97853851318</v>
      </c>
      <c r="J539" s="15" t="n">
        <f aca="false">I539*(1+IF(J$3&lt;=$O$2,$D539,$D539-($D539-$I$535)*MIN(J$3-$O$2,$Q$2)/$Q$2))</f>
        <v>3147.76746250534</v>
      </c>
      <c r="K539" s="15" t="n">
        <f aca="false">J539*(1+IF(K$3&lt;=$O$2,$D539,$D539-($D539-$I$535)*MIN(K$3-$O$2,$Q$2)/$Q$2))</f>
        <v>3307.73700494986</v>
      </c>
      <c r="L539" s="15" t="n">
        <f aca="false">K539*(1+IF(L$3&lt;=$O$2,$D539,$D539-($D539-$I$535)*MIN(L$3-$O$2,$Q$2)/$Q$2))</f>
        <v>3456.51901543251</v>
      </c>
      <c r="M539" s="15" t="n">
        <f aca="false">L539*(1+IF(M$3&lt;=$O$2,$D539,$D539-($D539-$I$535)*MIN(M$3-$O$2,$Q$2)/$Q$2))</f>
        <v>3591.80716969654</v>
      </c>
      <c r="N539" s="15" t="n">
        <f aca="false">M539*(1+IF(N$3&lt;=$O$2,$D539,$D539-($D539-$I$535)*MIN(N$3-$O$2,$Q$2)/$Q$2))</f>
        <v>3711.41434844743</v>
      </c>
      <c r="O539" s="15" t="n">
        <f aca="false">SUMPRODUCT(E539:N539,1/(1+$F$535)^$E$3:$N$3)*$E$2</f>
        <v>10107.1552893455</v>
      </c>
      <c r="P539" s="15" t="n">
        <f aca="false">N539*$E$2*(1+$I$535)/($F$535-$I$535)/(1+$F$535)^$N$3</f>
        <v>18121.810594999</v>
      </c>
      <c r="Q539" s="15" t="n">
        <f aca="false">O539+P539</f>
        <v>28228.9658843445</v>
      </c>
      <c r="R539" s="15" t="n">
        <f aca="false">Q539-$G$2+$I$2</f>
        <v>30138.6258843445</v>
      </c>
      <c r="S539" s="42" t="n">
        <f aca="false">R539/$K$2</f>
        <v>128.781036125046</v>
      </c>
      <c r="T539" s="43" t="n">
        <f aca="false">S539-$M$2</f>
        <v>18.7951368813592</v>
      </c>
    </row>
    <row r="540" customFormat="false" ht="15" hidden="false" customHeight="false" outlineLevel="0" collapsed="false">
      <c r="A540" s="5" t="n">
        <v>4</v>
      </c>
      <c r="B540" s="25" t="n">
        <f aca="false">IF(T539&gt;0,B539,D539)</f>
        <v>-0.125</v>
      </c>
      <c r="C540" s="25" t="n">
        <f aca="false">IF(T539&gt;0,D539,C539)</f>
        <v>0.0625</v>
      </c>
      <c r="D540" s="41" t="n">
        <f aca="false">(B540+C540)/2</f>
        <v>-0.03125</v>
      </c>
      <c r="E540" s="15" t="n">
        <f aca="false">$C$2*(1+IF(E$3&lt;=$O$2,$D540,$D540-($D540-$I$535)*MIN(E$3-$O$2,$Q$2)/$Q$2))</f>
        <v>2131.25</v>
      </c>
      <c r="F540" s="15" t="n">
        <f aca="false">E540*(1+IF(F$3&lt;=$O$2,$D540,$D540-($D540-$I$535)*MIN(F$3-$O$2,$Q$2)/$Q$2))</f>
        <v>2064.6484375</v>
      </c>
      <c r="G540" s="15" t="n">
        <f aca="false">F540*(1+IF(G$3&lt;=$O$2,$D540,$D540-($D540-$I$535)*MIN(G$3-$O$2,$Q$2)/$Q$2))</f>
        <v>2000.12817382813</v>
      </c>
      <c r="H540" s="15" t="n">
        <f aca="false">G540*(1+IF(H$3&lt;=$O$2,$D540,$D540-($D540-$I$535)*MIN(H$3-$O$2,$Q$2)/$Q$2))</f>
        <v>1937.624168396</v>
      </c>
      <c r="I540" s="15" t="n">
        <f aca="false">H540*(1+IF(I$3&lt;=$O$2,$D540,$D540-($D540-$I$535)*MIN(I$3-$O$2,$Q$2)/$Q$2))</f>
        <v>1877.07341313362</v>
      </c>
      <c r="J540" s="15" t="n">
        <f aca="false">I540*(1+IF(J$3&lt;=$O$2,$D540,$D540-($D540-$I$535)*MIN(J$3-$O$2,$Q$2)/$Q$2))</f>
        <v>1842.64788673675</v>
      </c>
      <c r="K540" s="15" t="n">
        <f aca="false">J540*(1+IF(K$3&lt;=$O$2,$D540,$D540-($D540-$I$535)*MIN(K$3-$O$2,$Q$2)/$Q$2))</f>
        <v>1832.64230871177</v>
      </c>
      <c r="L540" s="15" t="n">
        <f aca="false">K540*(1+IF(L$3&lt;=$O$2,$D540,$D540-($D540-$I$535)*MIN(L$3-$O$2,$Q$2)/$Q$2))</f>
        <v>1846.35047318093</v>
      </c>
      <c r="M540" s="15" t="n">
        <f aca="false">L540*(1+IF(M$3&lt;=$O$2,$D540,$D540-($D540-$I$535)*MIN(M$3-$O$2,$Q$2)/$Q$2))</f>
        <v>1883.99755932909</v>
      </c>
      <c r="N540" s="15" t="n">
        <f aca="false">M540*(1+IF(N$3&lt;=$O$2,$D540,$D540-($D540-$I$535)*MIN(N$3-$O$2,$Q$2)/$Q$2))</f>
        <v>1946.73467805475</v>
      </c>
      <c r="O540" s="15" t="n">
        <f aca="false">SUMPRODUCT(E540:N540,1/(1+$F$535)^$E$3:$N$3)*$E$2</f>
        <v>6708.0786878165</v>
      </c>
      <c r="P540" s="15" t="n">
        <f aca="false">N540*$E$2*(1+$I$535)/($F$535-$I$535)/(1+$F$535)^$N$3</f>
        <v>9505.36744278695</v>
      </c>
      <c r="Q540" s="15" t="n">
        <f aca="false">O540+P540</f>
        <v>16213.4461306034</v>
      </c>
      <c r="R540" s="15" t="n">
        <f aca="false">Q540-$G$2+$I$2</f>
        <v>18123.1061306034</v>
      </c>
      <c r="S540" s="42" t="n">
        <f aca="false">R540/$K$2</f>
        <v>77.4392433901784</v>
      </c>
      <c r="T540" s="43" t="n">
        <f aca="false">S540-$M$2</f>
        <v>-32.5466558535083</v>
      </c>
    </row>
    <row r="541" customFormat="false" ht="15" hidden="false" customHeight="false" outlineLevel="0" collapsed="false">
      <c r="A541" s="5" t="n">
        <v>5</v>
      </c>
      <c r="B541" s="25" t="n">
        <f aca="false">IF(T540&gt;0,B540,D540)</f>
        <v>-0.03125</v>
      </c>
      <c r="C541" s="25" t="n">
        <f aca="false">IF(T540&gt;0,D540,C540)</f>
        <v>0.0625</v>
      </c>
      <c r="D541" s="41" t="n">
        <f aca="false">(B541+C541)/2</f>
        <v>0.015625</v>
      </c>
      <c r="E541" s="15" t="n">
        <f aca="false">$C$2*(1+IF(E$3&lt;=$O$2,$D541,$D541-($D541-$I$535)*MIN(E$3-$O$2,$Q$2)/$Q$2))</f>
        <v>2234.375</v>
      </c>
      <c r="F541" s="15" t="n">
        <f aca="false">E541*(1+IF(F$3&lt;=$O$2,$D541,$D541-($D541-$I$535)*MIN(F$3-$O$2,$Q$2)/$Q$2))</f>
        <v>2269.287109375</v>
      </c>
      <c r="G541" s="15" t="n">
        <f aca="false">F541*(1+IF(G$3&lt;=$O$2,$D541,$D541-($D541-$I$535)*MIN(G$3-$O$2,$Q$2)/$Q$2))</f>
        <v>2304.74472045898</v>
      </c>
      <c r="H541" s="15" t="n">
        <f aca="false">G541*(1+IF(H$3&lt;=$O$2,$D541,$D541-($D541-$I$535)*MIN(H$3-$O$2,$Q$2)/$Q$2))</f>
        <v>2340.75635671616</v>
      </c>
      <c r="I541" s="15" t="n">
        <f aca="false">H541*(1+IF(I$3&lt;=$O$2,$D541,$D541-($D541-$I$535)*MIN(I$3-$O$2,$Q$2)/$Q$2))</f>
        <v>2377.33067478985</v>
      </c>
      <c r="J541" s="15" t="n">
        <f aca="false">I541*(1+IF(J$3&lt;=$O$2,$D541,$D541-($D541-$I$535)*MIN(J$3-$O$2,$Q$2)/$Q$2))</f>
        <v>2422.88033051882</v>
      </c>
      <c r="K541" s="15" t="n">
        <f aca="false">J541*(1+IF(K$3&lt;=$O$2,$D541,$D541-($D541-$I$535)*MIN(K$3-$O$2,$Q$2)/$Q$2))</f>
        <v>2477.86759961994</v>
      </c>
      <c r="L541" s="15" t="n">
        <f aca="false">K541*(1+IF(L$3&lt;=$O$2,$D541,$D541-($D541-$I$535)*MIN(L$3-$O$2,$Q$2)/$Q$2))</f>
        <v>2542.86206675798</v>
      </c>
      <c r="M541" s="15" t="n">
        <f aca="false">L541*(1+IF(M$3&lt;=$O$2,$D541,$D541-($D541-$I$535)*MIN(M$3-$O$2,$Q$2)/$Q$2))</f>
        <v>2618.55035617503</v>
      </c>
      <c r="N541" s="15" t="n">
        <f aca="false">M541*(1+IF(N$3&lt;=$O$2,$D541,$D541-($D541-$I$535)*MIN(N$3-$O$2,$Q$2)/$Q$2))</f>
        <v>2705.74808303566</v>
      </c>
      <c r="O541" s="15" t="n">
        <f aca="false">SUMPRODUCT(E541:N541,1/(1+$F$535)^$E$3:$N$3)*$E$2</f>
        <v>8231.02612876669</v>
      </c>
      <c r="P541" s="15" t="n">
        <f aca="false">N541*$E$2*(1+$I$535)/($F$535-$I$535)/(1+$F$535)^$N$3</f>
        <v>13211.4201420451</v>
      </c>
      <c r="Q541" s="15" t="n">
        <f aca="false">O541+P541</f>
        <v>21442.4462708118</v>
      </c>
      <c r="R541" s="15" t="n">
        <f aca="false">Q541-$G$2+$I$2</f>
        <v>23352.1062708118</v>
      </c>
      <c r="S541" s="42" t="n">
        <f aca="false">R541/$K$2</f>
        <v>99.7825333111645</v>
      </c>
      <c r="T541" s="43" t="n">
        <f aca="false">S541-$M$2</f>
        <v>-10.2033659325222</v>
      </c>
    </row>
    <row r="542" customFormat="false" ht="15" hidden="false" customHeight="false" outlineLevel="0" collapsed="false">
      <c r="A542" s="5" t="n">
        <v>6</v>
      </c>
      <c r="B542" s="25" t="n">
        <f aca="false">IF(T541&gt;0,B541,D541)</f>
        <v>0.015625</v>
      </c>
      <c r="C542" s="25" t="n">
        <f aca="false">IF(T541&gt;0,D541,C541)</f>
        <v>0.0625</v>
      </c>
      <c r="D542" s="41" t="n">
        <f aca="false">(B542+C542)/2</f>
        <v>0.0390625</v>
      </c>
      <c r="E542" s="15" t="n">
        <f aca="false">$C$2*(1+IF(E$3&lt;=$O$2,$D542,$D542-($D542-$I$535)*MIN(E$3-$O$2,$Q$2)/$Q$2))</f>
        <v>2285.9375</v>
      </c>
      <c r="F542" s="15" t="n">
        <f aca="false">E542*(1+IF(F$3&lt;=$O$2,$D542,$D542-($D542-$I$535)*MIN(F$3-$O$2,$Q$2)/$Q$2))</f>
        <v>2375.23193359375</v>
      </c>
      <c r="G542" s="15" t="n">
        <f aca="false">F542*(1+IF(G$3&lt;=$O$2,$D542,$D542-($D542-$I$535)*MIN(G$3-$O$2,$Q$2)/$Q$2))</f>
        <v>2468.01443099976</v>
      </c>
      <c r="H542" s="15" t="n">
        <f aca="false">G542*(1+IF(H$3&lt;=$O$2,$D542,$D542-($D542-$I$535)*MIN(H$3-$O$2,$Q$2)/$Q$2))</f>
        <v>2564.42124471068</v>
      </c>
      <c r="I542" s="15" t="n">
        <f aca="false">H542*(1+IF(I$3&lt;=$O$2,$D542,$D542-($D542-$I$535)*MIN(I$3-$O$2,$Q$2)/$Q$2))</f>
        <v>2664.5939495822</v>
      </c>
      <c r="J542" s="15" t="n">
        <f aca="false">I542*(1+IF(J$3&lt;=$O$2,$D542,$D542-($D542-$I$535)*MIN(J$3-$O$2,$Q$2)/$Q$2))</f>
        <v>2765.60870621086</v>
      </c>
      <c r="K542" s="15" t="n">
        <f aca="false">J542*(1+IF(K$3&lt;=$O$2,$D542,$D542-($D542-$I$535)*MIN(K$3-$O$2,$Q$2)/$Q$2))</f>
        <v>2867.2655682294</v>
      </c>
      <c r="L542" s="15" t="n">
        <f aca="false">K542*(1+IF(L$3&lt;=$O$2,$D542,$D542-($D542-$I$535)*MIN(L$3-$O$2,$Q$2)/$Q$2))</f>
        <v>2969.35455878621</v>
      </c>
      <c r="M542" s="15" t="n">
        <f aca="false">L542*(1+IF(M$3&lt;=$O$2,$D542,$D542-($D542-$I$535)*MIN(M$3-$O$2,$Q$2)/$Q$2))</f>
        <v>3071.65624672279</v>
      </c>
      <c r="N542" s="15" t="n">
        <f aca="false">M542*(1+IF(N$3&lt;=$O$2,$D542,$D542-($D542-$I$535)*MIN(N$3-$O$2,$Q$2)/$Q$2))</f>
        <v>3173.94239973866</v>
      </c>
      <c r="O542" s="15" t="n">
        <f aca="false">SUMPRODUCT(E542:N542,1/(1+$F$535)^$E$3:$N$3)*$E$2</f>
        <v>9120.51508242058</v>
      </c>
      <c r="P542" s="15" t="n">
        <f aca="false">N542*$E$2*(1+$I$535)/($F$535-$I$535)/(1+$F$535)^$N$3</f>
        <v>15497.4836025952</v>
      </c>
      <c r="Q542" s="15" t="n">
        <f aca="false">O542+P542</f>
        <v>24617.9986850158</v>
      </c>
      <c r="R542" s="15" t="n">
        <f aca="false">Q542-$G$2+$I$2</f>
        <v>26527.6586850158</v>
      </c>
      <c r="S542" s="42" t="n">
        <f aca="false">R542/$K$2</f>
        <v>113.351530508977</v>
      </c>
      <c r="T542" s="43" t="n">
        <f aca="false">S542-$M$2</f>
        <v>3.36563126528979</v>
      </c>
    </row>
    <row r="543" customFormat="false" ht="15" hidden="false" customHeight="false" outlineLevel="0" collapsed="false">
      <c r="A543" s="5" t="n">
        <v>7</v>
      </c>
      <c r="B543" s="25" t="n">
        <f aca="false">IF(T542&gt;0,B542,D542)</f>
        <v>0.015625</v>
      </c>
      <c r="C543" s="25" t="n">
        <f aca="false">IF(T542&gt;0,D542,C542)</f>
        <v>0.0390625</v>
      </c>
      <c r="D543" s="41" t="n">
        <f aca="false">(B543+C543)/2</f>
        <v>0.02734375</v>
      </c>
      <c r="E543" s="15" t="n">
        <f aca="false">$C$2*(1+IF(E$3&lt;=$O$2,$D543,$D543-($D543-$I$535)*MIN(E$3-$O$2,$Q$2)/$Q$2))</f>
        <v>2260.15625</v>
      </c>
      <c r="F543" s="15" t="n">
        <f aca="false">E543*(1+IF(F$3&lt;=$O$2,$D543,$D543-($D543-$I$535)*MIN(F$3-$O$2,$Q$2)/$Q$2))</f>
        <v>2321.95739746094</v>
      </c>
      <c r="G543" s="15" t="n">
        <f aca="false">F543*(1+IF(G$3&lt;=$O$2,$D543,$D543-($D543-$I$535)*MIN(G$3-$O$2,$Q$2)/$Q$2))</f>
        <v>2385.44842004776</v>
      </c>
      <c r="H543" s="15" t="n">
        <f aca="false">G543*(1+IF(H$3&lt;=$O$2,$D543,$D543-($D543-$I$535)*MIN(H$3-$O$2,$Q$2)/$Q$2))</f>
        <v>2450.67552528344</v>
      </c>
      <c r="I543" s="15" t="n">
        <f aca="false">H543*(1+IF(I$3&lt;=$O$2,$D543,$D543-($D543-$I$535)*MIN(I$3-$O$2,$Q$2)/$Q$2))</f>
        <v>2517.68618417791</v>
      </c>
      <c r="J543" s="15" t="n">
        <f aca="false">I543*(1+IF(J$3&lt;=$O$2,$D543,$D543-($D543-$I$535)*MIN(J$3-$O$2,$Q$2)/$Q$2))</f>
        <v>2589.52835944343</v>
      </c>
      <c r="K543" s="15" t="n">
        <f aca="false">J543*(1+IF(K$3&lt;=$O$2,$D543,$D543-($D543-$I$535)*MIN(K$3-$O$2,$Q$2)/$Q$2))</f>
        <v>2666.50532683833</v>
      </c>
      <c r="L543" s="15" t="n">
        <f aca="false">K543*(1+IF(L$3&lt;=$O$2,$D543,$D543-($D543-$I$535)*MIN(L$3-$O$2,$Q$2)/$Q$2))</f>
        <v>2748.94700528086</v>
      </c>
      <c r="M543" s="15" t="n">
        <f aca="false">L543*(1+IF(M$3&lt;=$O$2,$D543,$D543-($D543-$I$535)*MIN(M$3-$O$2,$Q$2)/$Q$2))</f>
        <v>2837.21225743667</v>
      </c>
      <c r="N543" s="15" t="n">
        <f aca="false">M543*(1+IF(N$3&lt;=$O$2,$D543,$D543-($D543-$I$535)*MIN(N$3-$O$2,$Q$2)/$Q$2))</f>
        <v>2931.69142560931</v>
      </c>
      <c r="O543" s="15" t="n">
        <f aca="false">SUMPRODUCT(E543:N543,1/(1+$F$535)^$E$3:$N$3)*$E$2</f>
        <v>8664.20980564619</v>
      </c>
      <c r="P543" s="15" t="n">
        <f aca="false">N543*$E$2*(1+$I$535)/($F$535-$I$535)/(1+$F$535)^$N$3</f>
        <v>14314.6390432259</v>
      </c>
      <c r="Q543" s="15" t="n">
        <f aca="false">O543+P543</f>
        <v>22978.8488488721</v>
      </c>
      <c r="R543" s="15" t="n">
        <f aca="false">Q543-$G$2+$I$2</f>
        <v>24888.5088488721</v>
      </c>
      <c r="S543" s="42" t="n">
        <f aca="false">R543/$K$2</f>
        <v>106.347514630056</v>
      </c>
      <c r="T543" s="43" t="n">
        <f aca="false">S543-$M$2</f>
        <v>-3.63838461363029</v>
      </c>
    </row>
    <row r="544" customFormat="false" ht="15" hidden="false" customHeight="false" outlineLevel="0" collapsed="false">
      <c r="A544" s="5" t="n">
        <v>8</v>
      </c>
      <c r="B544" s="25" t="n">
        <f aca="false">IF(T543&gt;0,B543,D543)</f>
        <v>0.02734375</v>
      </c>
      <c r="C544" s="25" t="n">
        <f aca="false">IF(T543&gt;0,D543,C543)</f>
        <v>0.0390625</v>
      </c>
      <c r="D544" s="41" t="n">
        <f aca="false">(B544+C544)/2</f>
        <v>0.033203125</v>
      </c>
      <c r="E544" s="15" t="n">
        <f aca="false">$C$2*(1+IF(E$3&lt;=$O$2,$D544,$D544-($D544-$I$535)*MIN(E$3-$O$2,$Q$2)/$Q$2))</f>
        <v>2273.046875</v>
      </c>
      <c r="F544" s="15" t="n">
        <f aca="false">E544*(1+IF(F$3&lt;=$O$2,$D544,$D544-($D544-$I$535)*MIN(F$3-$O$2,$Q$2)/$Q$2))</f>
        <v>2348.51913452148</v>
      </c>
      <c r="G544" s="15" t="n">
        <f aca="false">F544*(1+IF(G$3&lt;=$O$2,$D544,$D544-($D544-$I$535)*MIN(G$3-$O$2,$Q$2)/$Q$2))</f>
        <v>2426.49730890989</v>
      </c>
      <c r="H544" s="15" t="n">
        <f aca="false">G544*(1+IF(H$3&lt;=$O$2,$D544,$D544-($D544-$I$535)*MIN(H$3-$O$2,$Q$2)/$Q$2))</f>
        <v>2507.06460236979</v>
      </c>
      <c r="I544" s="15" t="n">
        <f aca="false">H544*(1+IF(I$3&lt;=$O$2,$D544,$D544-($D544-$I$535)*MIN(I$3-$O$2,$Q$2)/$Q$2))</f>
        <v>2590.30698174535</v>
      </c>
      <c r="J544" s="15" t="n">
        <f aca="false">I544*(1+IF(J$3&lt;=$O$2,$D544,$D544-($D544-$I$535)*MIN(J$3-$O$2,$Q$2)/$Q$2))</f>
        <v>2676.36345544639</v>
      </c>
      <c r="K544" s="15" t="n">
        <f aca="false">J544*(1+IF(K$3&lt;=$O$2,$D544,$D544-($D544-$I$535)*MIN(K$3-$O$2,$Q$2)/$Q$2))</f>
        <v>2765.3307948869</v>
      </c>
      <c r="L544" s="15" t="n">
        <f aca="false">K544*(1+IF(L$3&lt;=$O$2,$D544,$D544-($D544-$I$535)*MIN(L$3-$O$2,$Q$2)/$Q$2))</f>
        <v>2857.30915378834</v>
      </c>
      <c r="M544" s="15" t="n">
        <f aca="false">L544*(1+IF(M$3&lt;=$O$2,$D544,$D544-($D544-$I$535)*MIN(M$3-$O$2,$Q$2)/$Q$2))</f>
        <v>2952.40218824463</v>
      </c>
      <c r="N544" s="15" t="n">
        <f aca="false">M544*(1+IF(N$3&lt;=$O$2,$D544,$D544-($D544-$I$535)*MIN(N$3-$O$2,$Q$2)/$Q$2))</f>
        <v>3050.71718111318</v>
      </c>
      <c r="O544" s="15" t="n">
        <f aca="false">SUMPRODUCT(E544:N544,1/(1+$F$535)^$E$3:$N$3)*$E$2</f>
        <v>8889.40127876249</v>
      </c>
      <c r="P544" s="15" t="n">
        <f aca="false">N544*$E$2*(1+$I$535)/($F$535-$I$535)/(1+$F$535)^$N$3</f>
        <v>14895.8089139708</v>
      </c>
      <c r="Q544" s="15" t="n">
        <f aca="false">O544+P544</f>
        <v>23785.2101927333</v>
      </c>
      <c r="R544" s="15" t="n">
        <f aca="false">Q544-$G$2+$I$2</f>
        <v>25694.8701927333</v>
      </c>
      <c r="S544" s="42" t="n">
        <f aca="false">R544/$K$2</f>
        <v>109.793061542252</v>
      </c>
      <c r="T544" s="43" t="n">
        <f aca="false">S544-$M$2</f>
        <v>-0.192837701434627</v>
      </c>
    </row>
    <row r="545" customFormat="false" ht="15" hidden="false" customHeight="false" outlineLevel="0" collapsed="false">
      <c r="A545" s="5" t="n">
        <v>9</v>
      </c>
      <c r="B545" s="25" t="n">
        <f aca="false">IF(T544&gt;0,B544,D544)</f>
        <v>0.033203125</v>
      </c>
      <c r="C545" s="25" t="n">
        <f aca="false">IF(T544&gt;0,D544,C544)</f>
        <v>0.0390625</v>
      </c>
      <c r="D545" s="41" t="n">
        <f aca="false">(B545+C545)/2</f>
        <v>0.0361328125</v>
      </c>
      <c r="E545" s="15" t="n">
        <f aca="false">$C$2*(1+IF(E$3&lt;=$O$2,$D545,$D545-($D545-$I$535)*MIN(E$3-$O$2,$Q$2)/$Q$2))</f>
        <v>2279.4921875</v>
      </c>
      <c r="F545" s="15" t="n">
        <f aca="false">E545*(1+IF(F$3&lt;=$O$2,$D545,$D545-($D545-$I$535)*MIN(F$3-$O$2,$Q$2)/$Q$2))</f>
        <v>2361.85665130615</v>
      </c>
      <c r="G545" s="15" t="n">
        <f aca="false">F545*(1+IF(G$3&lt;=$O$2,$D545,$D545-($D545-$I$535)*MIN(G$3-$O$2,$Q$2)/$Q$2))</f>
        <v>2447.19717483968</v>
      </c>
      <c r="H545" s="15" t="n">
        <f aca="false">G545*(1+IF(H$3&lt;=$O$2,$D545,$D545-($D545-$I$535)*MIN(H$3-$O$2,$Q$2)/$Q$2))</f>
        <v>2535.62129150869</v>
      </c>
      <c r="I545" s="15" t="n">
        <f aca="false">H545*(1+IF(I$3&lt;=$O$2,$D545,$D545-($D545-$I$535)*MIN(I$3-$O$2,$Q$2)/$Q$2))</f>
        <v>2627.24042020578</v>
      </c>
      <c r="J545" s="15" t="n">
        <f aca="false">I545*(1+IF(J$3&lt;=$O$2,$D545,$D545-($D545-$I$535)*MIN(J$3-$O$2,$Q$2)/$Q$2))</f>
        <v>2720.68150980092</v>
      </c>
      <c r="K545" s="15" t="n">
        <f aca="false">J545*(1+IF(K$3&lt;=$O$2,$D545,$D545-($D545-$I$535)*MIN(K$3-$O$2,$Q$2)/$Q$2))</f>
        <v>2815.90451243098</v>
      </c>
      <c r="L545" s="15" t="n">
        <f aca="false">K545*(1+IF(L$3&lt;=$O$2,$D545,$D545-($D545-$I$535)*MIN(L$3-$O$2,$Q$2)/$Q$2))</f>
        <v>2912.86490449558</v>
      </c>
      <c r="M545" s="15" t="n">
        <f aca="false">L545*(1+IF(M$3&lt;=$O$2,$D545,$D545-($D545-$I$535)*MIN(M$3-$O$2,$Q$2)/$Q$2))</f>
        <v>3011.51362583774</v>
      </c>
      <c r="N545" s="15" t="n">
        <f aca="false">M545*(1+IF(N$3&lt;=$O$2,$D545,$D545-($D545-$I$535)*MIN(N$3-$O$2,$Q$2)/$Q$2))</f>
        <v>3111.79702957814</v>
      </c>
      <c r="O545" s="15" t="n">
        <f aca="false">SUMPRODUCT(E545:N545,1/(1+$F$535)^$E$3:$N$3)*$E$2</f>
        <v>9004.2088529891</v>
      </c>
      <c r="P545" s="15" t="n">
        <f aca="false">N545*$E$2*(1+$I$535)/($F$535-$I$535)/(1+$F$535)^$N$3</f>
        <v>15194.0449342945</v>
      </c>
      <c r="Q545" s="15" t="n">
        <f aca="false">O545+P545</f>
        <v>24198.2537872836</v>
      </c>
      <c r="R545" s="15" t="n">
        <f aca="false">Q545-$G$2+$I$2</f>
        <v>26107.9137872836</v>
      </c>
      <c r="S545" s="42" t="n">
        <f aca="false">R545/$K$2</f>
        <v>111.557978837258</v>
      </c>
      <c r="T545" s="43" t="n">
        <f aca="false">S545-$M$2</f>
        <v>1.57207959357156</v>
      </c>
    </row>
    <row r="546" customFormat="false" ht="15" hidden="false" customHeight="false" outlineLevel="0" collapsed="false">
      <c r="A546" s="5" t="n">
        <v>10</v>
      </c>
      <c r="B546" s="25" t="n">
        <f aca="false">IF(T545&gt;0,B545,D545)</f>
        <v>0.033203125</v>
      </c>
      <c r="C546" s="25" t="n">
        <f aca="false">IF(T545&gt;0,D545,C545)</f>
        <v>0.0361328125</v>
      </c>
      <c r="D546" s="41" t="n">
        <f aca="false">(B546+C546)/2</f>
        <v>0.03466796875</v>
      </c>
      <c r="E546" s="15" t="n">
        <f aca="false">$C$2*(1+IF(E$3&lt;=$O$2,$D546,$D546-($D546-$I$535)*MIN(E$3-$O$2,$Q$2)/$Q$2))</f>
        <v>2276.26953125</v>
      </c>
      <c r="F546" s="15" t="n">
        <f aca="false">E546*(1+IF(F$3&lt;=$O$2,$D546,$D546-($D546-$I$535)*MIN(F$3-$O$2,$Q$2)/$Q$2))</f>
        <v>2355.18317222595</v>
      </c>
      <c r="G546" s="15" t="n">
        <f aca="false">F546*(1+IF(G$3&lt;=$O$2,$D546,$D546-($D546-$I$535)*MIN(G$3-$O$2,$Q$2)/$Q$2))</f>
        <v>2436.83258884121</v>
      </c>
      <c r="H546" s="15" t="n">
        <f aca="false">G546*(1+IF(H$3&lt;=$O$2,$D546,$D546-($D546-$I$535)*MIN(H$3-$O$2,$Q$2)/$Q$2))</f>
        <v>2521.31262488014</v>
      </c>
      <c r="I546" s="15" t="n">
        <f aca="false">H546*(1+IF(I$3&lt;=$O$2,$D546,$D546-($D546-$I$535)*MIN(I$3-$O$2,$Q$2)/$Q$2))</f>
        <v>2608.72141216846</v>
      </c>
      <c r="J546" s="15" t="n">
        <f aca="false">I546*(1+IF(J$3&lt;=$O$2,$D546,$D546-($D546-$I$535)*MIN(J$3-$O$2,$Q$2)/$Q$2))</f>
        <v>2698.44675468911</v>
      </c>
      <c r="K546" s="15" t="n">
        <f aca="false">J546*(1+IF(K$3&lt;=$O$2,$D546,$D546-($D546-$I$535)*MIN(K$3-$O$2,$Q$2)/$Q$2))</f>
        <v>2790.51986612063</v>
      </c>
      <c r="L546" s="15" t="n">
        <f aca="false">K546*(1+IF(L$3&lt;=$O$2,$D546,$D546-($D546-$I$535)*MIN(L$3-$O$2,$Q$2)/$Q$2))</f>
        <v>2884.97111525169</v>
      </c>
      <c r="M546" s="15" t="n">
        <f aca="false">L546*(1+IF(M$3&lt;=$O$2,$D546,$D546-($D546-$I$535)*MIN(M$3-$O$2,$Q$2)/$Q$2))</f>
        <v>2981.82996345564</v>
      </c>
      <c r="N546" s="15" t="n">
        <f aca="false">M546*(1+IF(N$3&lt;=$O$2,$D546,$D546-($D546-$I$535)*MIN(N$3-$O$2,$Q$2)/$Q$2))</f>
        <v>3081.12490123871</v>
      </c>
      <c r="O546" s="15" t="n">
        <f aca="false">SUMPRODUCT(E546:N546,1/(1+$F$535)^$E$3:$N$3)*$E$2</f>
        <v>8946.61887098901</v>
      </c>
      <c r="P546" s="15" t="n">
        <f aca="false">N546*$E$2*(1+$I$535)/($F$535-$I$535)/(1+$F$535)^$N$3</f>
        <v>15044.2814080137</v>
      </c>
      <c r="Q546" s="15" t="n">
        <f aca="false">O546+P546</f>
        <v>23990.9002790027</v>
      </c>
      <c r="R546" s="15" t="n">
        <f aca="false">Q546-$G$2+$I$2</f>
        <v>25900.5602790027</v>
      </c>
      <c r="S546" s="42" t="n">
        <f aca="false">R546/$K$2</f>
        <v>110.671966324842</v>
      </c>
      <c r="T546" s="43" t="n">
        <f aca="false">S546-$M$2</f>
        <v>0.68606708115486</v>
      </c>
    </row>
    <row r="547" customFormat="false" ht="15" hidden="false" customHeight="false" outlineLevel="0" collapsed="false">
      <c r="A547" s="5" t="n">
        <v>11</v>
      </c>
      <c r="B547" s="25" t="n">
        <f aca="false">IF(T546&gt;0,B546,D546)</f>
        <v>0.033203125</v>
      </c>
      <c r="C547" s="25" t="n">
        <f aca="false">IF(T546&gt;0,D546,C546)</f>
        <v>0.03466796875</v>
      </c>
      <c r="D547" s="41" t="n">
        <f aca="false">(B547+C547)/2</f>
        <v>0.033935546875</v>
      </c>
      <c r="E547" s="15" t="n">
        <f aca="false">$C$2*(1+IF(E$3&lt;=$O$2,$D547,$D547-($D547-$I$535)*MIN(E$3-$O$2,$Q$2)/$Q$2))</f>
        <v>2274.658203125</v>
      </c>
      <c r="F547" s="15" t="n">
        <f aca="false">E547*(1+IF(F$3&lt;=$O$2,$D547,$D547-($D547-$I$535)*MIN(F$3-$O$2,$Q$2)/$Q$2))</f>
        <v>2351.84997320175</v>
      </c>
      <c r="G547" s="15" t="n">
        <f aca="false">F547*(1+IF(G$3&lt;=$O$2,$D547,$D547-($D547-$I$535)*MIN(G$3-$O$2,$Q$2)/$Q$2))</f>
        <v>2431.66128821031</v>
      </c>
      <c r="H547" s="15" t="n">
        <f aca="false">G547*(1+IF(H$3&lt;=$O$2,$D547,$D547-($D547-$I$535)*MIN(H$3-$O$2,$Q$2)/$Q$2))</f>
        <v>2514.18104384049</v>
      </c>
      <c r="I547" s="15" t="n">
        <f aca="false">H547*(1+IF(I$3&lt;=$O$2,$D547,$D547-($D547-$I$535)*MIN(I$3-$O$2,$Q$2)/$Q$2))</f>
        <v>2599.50115250598</v>
      </c>
      <c r="J547" s="15" t="n">
        <f aca="false">I547*(1+IF(J$3&lt;=$O$2,$D547,$D547-($D547-$I$535)*MIN(J$3-$O$2,$Q$2)/$Q$2))</f>
        <v>2687.38622475165</v>
      </c>
      <c r="K547" s="15" t="n">
        <f aca="false">J547*(1+IF(K$3&lt;=$O$2,$D547,$D547-($D547-$I$535)*MIN(K$3-$O$2,$Q$2)/$Q$2))</f>
        <v>2777.90096198612</v>
      </c>
      <c r="L547" s="15" t="n">
        <f aca="false">K547*(1+IF(L$3&lt;=$O$2,$D547,$D547-($D547-$I$535)*MIN(L$3-$O$2,$Q$2)/$Q$2))</f>
        <v>2871.11125853044</v>
      </c>
      <c r="M547" s="15" t="n">
        <f aca="false">L547*(1+IF(M$3&lt;=$O$2,$D547,$D547-($D547-$I$535)*MIN(M$3-$O$2,$Q$2)/$Q$2))</f>
        <v>2967.08420859713</v>
      </c>
      <c r="N547" s="15" t="n">
        <f aca="false">M547*(1+IF(N$3&lt;=$O$2,$D547,$D547-($D547-$I$535)*MIN(N$3-$O$2,$Q$2)/$Q$2))</f>
        <v>3065.88811274341</v>
      </c>
      <c r="O547" s="15" t="n">
        <f aca="false">SUMPRODUCT(E547:N547,1/(1+$F$535)^$E$3:$N$3)*$E$2</f>
        <v>8917.96366762387</v>
      </c>
      <c r="P547" s="15" t="n">
        <f aca="false">N547*$E$2*(1+$I$535)/($F$535-$I$535)/(1+$F$535)^$N$3</f>
        <v>14969.8843805561</v>
      </c>
      <c r="Q547" s="15" t="n">
        <f aca="false">O547+P547</f>
        <v>23887.84804818</v>
      </c>
      <c r="R547" s="15" t="n">
        <f aca="false">Q547-$G$2+$I$2</f>
        <v>25797.50804818</v>
      </c>
      <c r="S547" s="42" t="n">
        <f aca="false">R547/$K$2</f>
        <v>110.231628629577</v>
      </c>
      <c r="T547" s="43" t="n">
        <f aca="false">S547-$M$2</f>
        <v>0.245729385890542</v>
      </c>
    </row>
    <row r="548" customFormat="false" ht="15" hidden="false" customHeight="false" outlineLevel="0" collapsed="false">
      <c r="A548" s="5" t="n">
        <v>12</v>
      </c>
      <c r="B548" s="25" t="n">
        <f aca="false">IF(T547&gt;0,B547,D547)</f>
        <v>0.033203125</v>
      </c>
      <c r="C548" s="25" t="n">
        <f aca="false">IF(T547&gt;0,D547,C547)</f>
        <v>0.033935546875</v>
      </c>
      <c r="D548" s="41" t="n">
        <f aca="false">(B548+C548)/2</f>
        <v>0.0335693359375</v>
      </c>
      <c r="E548" s="15" t="n">
        <f aca="false">$C$2*(1+IF(E$3&lt;=$O$2,$D548,$D548-($D548-$I$535)*MIN(E$3-$O$2,$Q$2)/$Q$2))</f>
        <v>2273.8525390625</v>
      </c>
      <c r="F548" s="15" t="n">
        <f aca="false">E548*(1+IF(F$3&lt;=$O$2,$D548,$D548-($D548-$I$535)*MIN(F$3-$O$2,$Q$2)/$Q$2))</f>
        <v>2350.18425881863</v>
      </c>
      <c r="G548" s="15" t="n">
        <f aca="false">F548*(1+IF(G$3&lt;=$O$2,$D548,$D548-($D548-$I$535)*MIN(G$3-$O$2,$Q$2)/$Q$2))</f>
        <v>2429.07838371793</v>
      </c>
      <c r="H548" s="15" t="n">
        <f aca="false">G548*(1+IF(H$3&lt;=$O$2,$D548,$D548-($D548-$I$535)*MIN(H$3-$O$2,$Q$2)/$Q$2))</f>
        <v>2510.62093199948</v>
      </c>
      <c r="I548" s="15" t="n">
        <f aca="false">H548*(1+IF(I$3&lt;=$O$2,$D548,$D548-($D548-$I$535)*MIN(I$3-$O$2,$Q$2)/$Q$2))</f>
        <v>2594.90080947749</v>
      </c>
      <c r="J548" s="15" t="n">
        <f aca="false">I548*(1+IF(J$3&lt;=$O$2,$D548,$D548-($D548-$I$535)*MIN(J$3-$O$2,$Q$2)/$Q$2))</f>
        <v>2681.87012646688</v>
      </c>
      <c r="K548" s="15" t="n">
        <f aca="false">J548*(1+IF(K$3&lt;=$O$2,$D548,$D548-($D548-$I$535)*MIN(K$3-$O$2,$Q$2)/$Q$2))</f>
        <v>2771.60979608109</v>
      </c>
      <c r="L548" s="15" t="n">
        <f aca="false">K548*(1+IF(L$3&lt;=$O$2,$D548,$D548-($D548-$I$535)*MIN(L$3-$O$2,$Q$2)/$Q$2))</f>
        <v>2864.20299993971</v>
      </c>
      <c r="M548" s="15" t="n">
        <f aca="false">L548*(1+IF(M$3&lt;=$O$2,$D548,$D548-($D548-$I$535)*MIN(M$3-$O$2,$Q$2)/$Q$2))</f>
        <v>2959.73524639774</v>
      </c>
      <c r="N548" s="15" t="n">
        <f aca="false">M548*(1+IF(N$3&lt;=$O$2,$D548,$D548-($D548-$I$535)*MIN(N$3-$O$2,$Q$2)/$Q$2))</f>
        <v>3058.29443010279</v>
      </c>
      <c r="O548" s="15" t="n">
        <f aca="false">SUMPRODUCT(E548:N548,1/(1+$F$535)^$E$3:$N$3)*$E$2</f>
        <v>8903.67088902301</v>
      </c>
      <c r="P548" s="15" t="n">
        <f aca="false">N548*$E$2*(1+$I$535)/($F$535-$I$535)/(1+$F$535)^$N$3</f>
        <v>14932.8065267752</v>
      </c>
      <c r="Q548" s="15" t="n">
        <f aca="false">O548+P548</f>
        <v>23836.4774157983</v>
      </c>
      <c r="R548" s="15" t="n">
        <f aca="false">Q548-$G$2+$I$2</f>
        <v>25746.1374157983</v>
      </c>
      <c r="S548" s="42" t="n">
        <f aca="false">R548/$K$2</f>
        <v>110.012124154161</v>
      </c>
      <c r="T548" s="43" t="n">
        <f aca="false">S548-$M$2</f>
        <v>0.0262249104740846</v>
      </c>
    </row>
    <row r="549" customFormat="false" ht="15" hidden="false" customHeight="false" outlineLevel="0" collapsed="false">
      <c r="A549" s="5" t="n">
        <v>13</v>
      </c>
      <c r="B549" s="25" t="n">
        <f aca="false">IF(T548&gt;0,B548,D548)</f>
        <v>0.033203125</v>
      </c>
      <c r="C549" s="25" t="n">
        <f aca="false">IF(T548&gt;0,D548,C548)</f>
        <v>0.0335693359375</v>
      </c>
      <c r="D549" s="41" t="n">
        <f aca="false">(B549+C549)/2</f>
        <v>0.03338623046875</v>
      </c>
      <c r="E549" s="15" t="n">
        <f aca="false">$C$2*(1+IF(E$3&lt;=$O$2,$D549,$D549-($D549-$I$535)*MIN(E$3-$O$2,$Q$2)/$Q$2))</f>
        <v>2273.44970703125</v>
      </c>
      <c r="F549" s="15" t="n">
        <f aca="false">E549*(1+IF(F$3&lt;=$O$2,$D549,$D549-($D549-$I$535)*MIN(F$3-$O$2,$Q$2)/$Q$2))</f>
        <v>2349.35162290931</v>
      </c>
      <c r="G549" s="15" t="n">
        <f aca="false">F549*(1+IF(G$3&lt;=$O$2,$D549,$D549-($D549-$I$535)*MIN(G$3-$O$2,$Q$2)/$Q$2))</f>
        <v>2427.78761764389</v>
      </c>
      <c r="H549" s="15" t="n">
        <f aca="false">G549*(1+IF(H$3&lt;=$O$2,$D549,$D549-($D549-$I$535)*MIN(H$3-$O$2,$Q$2)/$Q$2))</f>
        <v>2508.84229457573</v>
      </c>
      <c r="I549" s="15" t="n">
        <f aca="false">H549*(1+IF(I$3&lt;=$O$2,$D549,$D549-($D549-$I$535)*MIN(I$3-$O$2,$Q$2)/$Q$2))</f>
        <v>2592.60308163218</v>
      </c>
      <c r="J549" s="15" t="n">
        <f aca="false">I549*(1+IF(J$3&lt;=$O$2,$D549,$D549-($D549-$I$535)*MIN(J$3-$O$2,$Q$2)/$Q$2))</f>
        <v>2679.11561335374</v>
      </c>
      <c r="K549" s="15" t="n">
        <f aca="false">J549*(1+IF(K$3&lt;=$O$2,$D549,$D549-($D549-$I$535)*MIN(K$3-$O$2,$Q$2)/$Q$2))</f>
        <v>2768.46877611552</v>
      </c>
      <c r="L549" s="15" t="n">
        <f aca="false">K549*(1+IF(L$3&lt;=$O$2,$D549,$D549-($D549-$I$535)*MIN(L$3-$O$2,$Q$2)/$Q$2))</f>
        <v>2860.75427690429</v>
      </c>
      <c r="M549" s="15" t="n">
        <f aca="false">L549*(1+IF(M$3&lt;=$O$2,$D549,$D549-($D549-$I$535)*MIN(M$3-$O$2,$Q$2)/$Q$2))</f>
        <v>2956.06673116165</v>
      </c>
      <c r="N549" s="15" t="n">
        <f aca="false">M549*(1+IF(N$3&lt;=$O$2,$D549,$D549-($D549-$I$535)*MIN(N$3-$O$2,$Q$2)/$Q$2))</f>
        <v>3054.50375330934</v>
      </c>
      <c r="O549" s="15" t="n">
        <f aca="false">SUMPRODUCT(E549:N549,1/(1+$F$535)^$E$3:$N$3)*$E$2</f>
        <v>8896.53319005301</v>
      </c>
      <c r="P549" s="15" t="n">
        <f aca="false">N549*$E$2*(1+$I$535)/($F$535-$I$535)/(1+$F$535)^$N$3</f>
        <v>14914.2976995659</v>
      </c>
      <c r="Q549" s="15" t="n">
        <f aca="false">O549+P549</f>
        <v>23810.8308896189</v>
      </c>
      <c r="R549" s="15" t="n">
        <f aca="false">Q549-$G$2+$I$2</f>
        <v>25720.4908896189</v>
      </c>
      <c r="S549" s="42" t="n">
        <f aca="false">R549/$K$2</f>
        <v>109.902537664483</v>
      </c>
      <c r="T549" s="43" t="n">
        <f aca="false">S549-$M$2</f>
        <v>-0.0833615792040376</v>
      </c>
    </row>
    <row r="550" customFormat="false" ht="15" hidden="false" customHeight="false" outlineLevel="0" collapsed="false">
      <c r="A550" s="5" t="n">
        <v>14</v>
      </c>
      <c r="B550" s="25" t="n">
        <f aca="false">IF(T549&gt;0,B549,D549)</f>
        <v>0.03338623046875</v>
      </c>
      <c r="C550" s="25" t="n">
        <f aca="false">IF(T549&gt;0,D549,C549)</f>
        <v>0.0335693359375</v>
      </c>
      <c r="D550" s="41" t="n">
        <f aca="false">(B550+C550)/2</f>
        <v>0.033477783203125</v>
      </c>
      <c r="E550" s="15" t="n">
        <f aca="false">$C$2*(1+IF(E$3&lt;=$O$2,$D550,$D550-($D550-$I$535)*MIN(E$3-$O$2,$Q$2)/$Q$2))</f>
        <v>2273.65112304688</v>
      </c>
      <c r="F550" s="15" t="n">
        <f aca="false">E550*(1+IF(F$3&lt;=$O$2,$D550,$D550-($D550-$I$535)*MIN(F$3-$O$2,$Q$2)/$Q$2))</f>
        <v>2349.76792242378</v>
      </c>
      <c r="G550" s="15" t="n">
        <f aca="false">F550*(1+IF(G$3&lt;=$O$2,$D550,$D550-($D550-$I$535)*MIN(G$3-$O$2,$Q$2)/$Q$2))</f>
        <v>2428.43294350834</v>
      </c>
      <c r="H550" s="15" t="n">
        <f aca="false">G550*(1+IF(H$3&lt;=$O$2,$D550,$D550-($D550-$I$535)*MIN(H$3-$O$2,$Q$2)/$Q$2))</f>
        <v>2509.73149511444</v>
      </c>
      <c r="I550" s="15" t="n">
        <f aca="false">H550*(1+IF(I$3&lt;=$O$2,$D550,$D550-($D550-$I$535)*MIN(I$3-$O$2,$Q$2)/$Q$2))</f>
        <v>2593.75174200594</v>
      </c>
      <c r="J550" s="15" t="n">
        <f aca="false">I550*(1+IF(J$3&lt;=$O$2,$D550,$D550-($D550-$I$535)*MIN(J$3-$O$2,$Q$2)/$Q$2))</f>
        <v>2680.49257540898</v>
      </c>
      <c r="K550" s="15" t="n">
        <f aca="false">J550*(1+IF(K$3&lt;=$O$2,$D550,$D550-($D550-$I$535)*MIN(K$3-$O$2,$Q$2)/$Q$2))</f>
        <v>2770.0389061037</v>
      </c>
      <c r="L550" s="15" t="n">
        <f aca="false">K550*(1+IF(L$3&lt;=$O$2,$D550,$D550-($D550-$I$535)*MIN(L$3-$O$2,$Q$2)/$Q$2))</f>
        <v>2862.47818823276</v>
      </c>
      <c r="M550" s="15" t="n">
        <f aca="false">L550*(1+IF(M$3&lt;=$O$2,$D550,$D550-($D550-$I$535)*MIN(M$3-$O$2,$Q$2)/$Q$2))</f>
        <v>2957.90049200914</v>
      </c>
      <c r="N550" s="15" t="n">
        <f aca="false">M550*(1+IF(N$3&lt;=$O$2,$D550,$D550-($D550-$I$535)*MIN(N$3-$O$2,$Q$2)/$Q$2))</f>
        <v>3056.39857839305</v>
      </c>
      <c r="O550" s="15" t="n">
        <f aca="false">SUMPRODUCT(E550:N550,1/(1+$F$535)^$E$3:$N$3)*$E$2</f>
        <v>8900.10131580284</v>
      </c>
      <c r="P550" s="15" t="n">
        <f aca="false">N550*$E$2*(1+$I$535)/($F$535-$I$535)/(1+$F$535)^$N$3</f>
        <v>14923.549606805</v>
      </c>
      <c r="Q550" s="15" t="n">
        <f aca="false">O550+P550</f>
        <v>23823.6509226078</v>
      </c>
      <c r="R550" s="15" t="n">
        <f aca="false">Q550-$G$2+$I$2</f>
        <v>25733.3109226078</v>
      </c>
      <c r="S550" s="42" t="n">
        <f aca="false">R550/$K$2</f>
        <v>109.957317107242</v>
      </c>
      <c r="T550" s="43" t="n">
        <f aca="false">S550-$M$2</f>
        <v>-0.0285821364448537</v>
      </c>
    </row>
    <row r="551" customFormat="false" ht="15" hidden="false" customHeight="false" outlineLevel="0" collapsed="false">
      <c r="A551" s="5" t="n">
        <v>15</v>
      </c>
      <c r="B551" s="25" t="n">
        <f aca="false">IF(T550&gt;0,B550,D550)</f>
        <v>0.033477783203125</v>
      </c>
      <c r="C551" s="25" t="n">
        <f aca="false">IF(T550&gt;0,D550,C550)</f>
        <v>0.0335693359375</v>
      </c>
      <c r="D551" s="41" t="n">
        <f aca="false">(B551+C551)/2</f>
        <v>0.0335235595703125</v>
      </c>
      <c r="E551" s="15" t="n">
        <f aca="false">$C$2*(1+IF(E$3&lt;=$O$2,$D551,$D551-($D551-$I$535)*MIN(E$3-$O$2,$Q$2)/$Q$2))</f>
        <v>2273.75183105469</v>
      </c>
      <c r="F551" s="15" t="n">
        <f aca="false">E551*(1+IF(F$3&lt;=$O$2,$D551,$D551-($D551-$I$535)*MIN(F$3-$O$2,$Q$2)/$Q$2))</f>
        <v>2349.97608601116</v>
      </c>
      <c r="G551" s="15" t="n">
        <f aca="false">F551*(1+IF(G$3&lt;=$O$2,$D551,$D551-($D551-$I$535)*MIN(G$3-$O$2,$Q$2)/$Q$2))</f>
        <v>2428.75564931936</v>
      </c>
      <c r="H551" s="15" t="n">
        <f aca="false">G551*(1+IF(H$3&lt;=$O$2,$D551,$D551-($D551-$I$535)*MIN(H$3-$O$2,$Q$2)/$Q$2))</f>
        <v>2510.17618401105</v>
      </c>
      <c r="I551" s="15" t="n">
        <f aca="false">H551*(1+IF(I$3&lt;=$O$2,$D551,$D551-($D551-$I$535)*MIN(I$3-$O$2,$Q$2)/$Q$2))</f>
        <v>2594.32622484773</v>
      </c>
      <c r="J551" s="15" t="n">
        <f aca="false">I551*(1+IF(J$3&lt;=$O$2,$D551,$D551-($D551-$I$535)*MIN(J$3-$O$2,$Q$2)/$Q$2))</f>
        <v>2681.18127730002</v>
      </c>
      <c r="K551" s="15" t="n">
        <f aca="false">J551*(1+IF(K$3&lt;=$O$2,$D551,$D551-($D551-$I$535)*MIN(K$3-$O$2,$Q$2)/$Q$2))</f>
        <v>2770.82425607468</v>
      </c>
      <c r="L551" s="15" t="n">
        <f aca="false">K551*(1+IF(L$3&lt;=$O$2,$D551,$D551-($D551-$I$535)*MIN(L$3-$O$2,$Q$2)/$Q$2))</f>
        <v>2863.340481514</v>
      </c>
      <c r="M551" s="15" t="n">
        <f aca="false">L551*(1+IF(M$3&lt;=$O$2,$D551,$D551-($D551-$I$535)*MIN(M$3-$O$2,$Q$2)/$Q$2))</f>
        <v>2958.81774498196</v>
      </c>
      <c r="N551" s="15" t="n">
        <f aca="false">M551*(1+IF(N$3&lt;=$O$2,$D551,$D551-($D551-$I$535)*MIN(N$3-$O$2,$Q$2)/$Q$2))</f>
        <v>3057.34637588986</v>
      </c>
      <c r="O551" s="15" t="n">
        <f aca="false">SUMPRODUCT(E551:N551,1/(1+$F$535)^$E$3:$N$3)*$E$2</f>
        <v>8901.88592144472</v>
      </c>
      <c r="P551" s="15" t="n">
        <f aca="false">N551*$E$2*(1+$I$535)/($F$535-$I$535)/(1+$F$535)^$N$3</f>
        <v>14928.1774400532</v>
      </c>
      <c r="Q551" s="15" t="n">
        <f aca="false">O551+P551</f>
        <v>23830.0633614979</v>
      </c>
      <c r="R551" s="15" t="n">
        <f aca="false">Q551-$G$2+$I$2</f>
        <v>25739.7233614979</v>
      </c>
      <c r="S551" s="42" t="n">
        <f aca="false">R551/$K$2</f>
        <v>109.984717179412</v>
      </c>
      <c r="T551" s="43" t="n">
        <f aca="false">S551-$M$2</f>
        <v>-0.0011820642742606</v>
      </c>
    </row>
    <row r="552" customFormat="false" ht="15" hidden="false" customHeight="false" outlineLevel="0" collapsed="false">
      <c r="A552" s="5" t="n">
        <v>16</v>
      </c>
      <c r="B552" s="25" t="n">
        <f aca="false">IF(T551&gt;0,B551,D551)</f>
        <v>0.0335235595703125</v>
      </c>
      <c r="C552" s="25" t="n">
        <f aca="false">IF(T551&gt;0,D551,C551)</f>
        <v>0.0335693359375</v>
      </c>
      <c r="D552" s="41" t="n">
        <f aca="false">(B552+C552)/2</f>
        <v>0.0335464477539063</v>
      </c>
      <c r="E552" s="15" t="n">
        <f aca="false">$C$2*(1+IF(E$3&lt;=$O$2,$D552,$D552-($D552-$I$535)*MIN(E$3-$O$2,$Q$2)/$Q$2))</f>
        <v>2273.80218505859</v>
      </c>
      <c r="F552" s="15" t="n">
        <f aca="false">E552*(1+IF(F$3&lt;=$O$2,$D552,$D552-($D552-$I$535)*MIN(F$3-$O$2,$Q$2)/$Q$2))</f>
        <v>2350.08017126238</v>
      </c>
      <c r="G552" s="15" t="n">
        <f aca="false">F552*(1+IF(G$3&lt;=$O$2,$D552,$D552-($D552-$I$535)*MIN(G$3-$O$2,$Q$2)/$Q$2))</f>
        <v>2428.91701294512</v>
      </c>
      <c r="H552" s="15" t="n">
        <f aca="false">G552*(1+IF(H$3&lt;=$O$2,$D552,$D552-($D552-$I$535)*MIN(H$3-$O$2,$Q$2)/$Q$2))</f>
        <v>2510.39855061846</v>
      </c>
      <c r="I552" s="15" t="n">
        <f aca="false">H552*(1+IF(I$3&lt;=$O$2,$D552,$D552-($D552-$I$535)*MIN(I$3-$O$2,$Q$2)/$Q$2))</f>
        <v>2594.61350443827</v>
      </c>
      <c r="J552" s="15" t="n">
        <f aca="false">I552*(1+IF(J$3&lt;=$O$2,$D552,$D552-($D552-$I$535)*MIN(J$3-$O$2,$Q$2)/$Q$2))</f>
        <v>2681.5256834724</v>
      </c>
      <c r="K552" s="15" t="n">
        <f aca="false">J552*(1+IF(K$3&lt;=$O$2,$D552,$D552-($D552-$I$535)*MIN(K$3-$O$2,$Q$2)/$Q$2))</f>
        <v>2771.21700232107</v>
      </c>
      <c r="L552" s="15" t="n">
        <f aca="false">K552*(1+IF(L$3&lt;=$O$2,$D552,$D552-($D552-$I$535)*MIN(L$3-$O$2,$Q$2)/$Q$2))</f>
        <v>2863.77171258069</v>
      </c>
      <c r="M552" s="15" t="n">
        <f aca="false">L552*(1+IF(M$3&lt;=$O$2,$D552,$D552-($D552-$I$535)*MIN(M$3-$O$2,$Q$2)/$Q$2))</f>
        <v>2959.27646463088</v>
      </c>
      <c r="N552" s="15" t="n">
        <f aca="false">M552*(1+IF(N$3&lt;=$O$2,$D552,$D552-($D552-$I$535)*MIN(N$3-$O$2,$Q$2)/$Q$2))</f>
        <v>3057.82037090308</v>
      </c>
      <c r="O552" s="15" t="n">
        <f aca="false">SUMPRODUCT(E552:N552,1/(1+$F$535)^$E$3:$N$3)*$E$2</f>
        <v>8902.77835998751</v>
      </c>
      <c r="P552" s="15" t="n">
        <f aca="false">N552*$E$2*(1+$I$535)/($F$535-$I$535)/(1+$F$535)^$N$3</f>
        <v>14930.4918267118</v>
      </c>
      <c r="Q552" s="15" t="n">
        <f aca="false">O552+P552</f>
        <v>23833.2701866993</v>
      </c>
      <c r="R552" s="15" t="n">
        <f aca="false">Q552-$G$2+$I$2</f>
        <v>25742.9301866993</v>
      </c>
      <c r="S552" s="42" t="n">
        <f aca="false">R552/$K$2</f>
        <v>109.998419803868</v>
      </c>
      <c r="T552" s="43" t="n">
        <f aca="false">S552-$M$2</f>
        <v>0.0125205601815992</v>
      </c>
    </row>
    <row r="553" customFormat="false" ht="15" hidden="false" customHeight="false" outlineLevel="0" collapsed="false">
      <c r="A553" s="5" t="n">
        <v>17</v>
      </c>
      <c r="B553" s="25" t="n">
        <f aca="false">IF(T552&gt;0,B552,D552)</f>
        <v>0.0335235595703125</v>
      </c>
      <c r="C553" s="25" t="n">
        <f aca="false">IF(T552&gt;0,D552,C552)</f>
        <v>0.0335464477539063</v>
      </c>
      <c r="D553" s="41" t="n">
        <f aca="false">(B553+C553)/2</f>
        <v>0.0335350036621094</v>
      </c>
      <c r="E553" s="15" t="n">
        <f aca="false">$C$2*(1+IF(E$3&lt;=$O$2,$D553,$D553-($D553-$I$535)*MIN(E$3-$O$2,$Q$2)/$Q$2))</f>
        <v>2273.77700805664</v>
      </c>
      <c r="F553" s="15" t="n">
        <f aca="false">E553*(1+IF(F$3&lt;=$O$2,$D553,$D553-($D553-$I$535)*MIN(F$3-$O$2,$Q$2)/$Q$2))</f>
        <v>2350.02812834864</v>
      </c>
      <c r="G553" s="15" t="n">
        <f aca="false">F553*(1+IF(G$3&lt;=$O$2,$D553,$D553-($D553-$I$535)*MIN(G$3-$O$2,$Q$2)/$Q$2))</f>
        <v>2428.83633023887</v>
      </c>
      <c r="H553" s="15" t="n">
        <f aca="false">G553*(1+IF(H$3&lt;=$O$2,$D553,$D553-($D553-$I$535)*MIN(H$3-$O$2,$Q$2)/$Q$2))</f>
        <v>2510.2873654681</v>
      </c>
      <c r="I553" s="15" t="n">
        <f aca="false">H553*(1+IF(I$3&lt;=$O$2,$D553,$D553-($D553-$I$535)*MIN(I$3-$O$2,$Q$2)/$Q$2))</f>
        <v>2594.46986146202</v>
      </c>
      <c r="J553" s="15" t="n">
        <f aca="false">I553*(1+IF(J$3&lt;=$O$2,$D553,$D553-($D553-$I$535)*MIN(J$3-$O$2,$Q$2)/$Q$2))</f>
        <v>2681.35347578364</v>
      </c>
      <c r="K553" s="15" t="n">
        <f aca="false">J553*(1+IF(K$3&lt;=$O$2,$D553,$D553-($D553-$I$535)*MIN(K$3-$O$2,$Q$2)/$Q$2))</f>
        <v>2771.02062325897</v>
      </c>
      <c r="L553" s="15" t="n">
        <f aca="false">K553*(1+IF(L$3&lt;=$O$2,$D553,$D553-($D553-$I$535)*MIN(L$3-$O$2,$Q$2)/$Q$2))</f>
        <v>2863.55609001119</v>
      </c>
      <c r="M553" s="15" t="n">
        <f aca="false">L553*(1+IF(M$3&lt;=$O$2,$D553,$D553-($D553-$I$535)*MIN(M$3-$O$2,$Q$2)/$Q$2))</f>
        <v>2959.04709704213</v>
      </c>
      <c r="N553" s="15" t="n">
        <f aca="false">M553*(1+IF(N$3&lt;=$O$2,$D553,$D553-($D553-$I$535)*MIN(N$3-$O$2,$Q$2)/$Q$2))</f>
        <v>3057.58336537363</v>
      </c>
      <c r="O553" s="15" t="n">
        <f aca="false">SUMPRODUCT(E553:N553,1/(1+$F$535)^$E$3:$N$3)*$E$2</f>
        <v>8902.33212940506</v>
      </c>
      <c r="P553" s="15" t="n">
        <f aca="false">N553*$E$2*(1+$I$535)/($F$535-$I$535)/(1+$F$535)^$N$3</f>
        <v>14929.3345942092</v>
      </c>
      <c r="Q553" s="15" t="n">
        <f aca="false">O553+P553</f>
        <v>23831.6667236142</v>
      </c>
      <c r="R553" s="15" t="n">
        <f aca="false">Q553-$G$2+$I$2</f>
        <v>25741.3267236142</v>
      </c>
      <c r="S553" s="42" t="n">
        <f aca="false">R553/$K$2</f>
        <v>109.991568275923</v>
      </c>
      <c r="T553" s="43" t="n">
        <f aca="false">S553-$M$2</f>
        <v>0.0056690322361419</v>
      </c>
    </row>
    <row r="554" customFormat="false" ht="15" hidden="false" customHeight="false" outlineLevel="0" collapsed="false">
      <c r="A554" s="5" t="n">
        <v>18</v>
      </c>
      <c r="B554" s="25" t="n">
        <f aca="false">IF(T553&gt;0,B553,D553)</f>
        <v>0.0335235595703125</v>
      </c>
      <c r="C554" s="25" t="n">
        <f aca="false">IF(T553&gt;0,D553,C553)</f>
        <v>0.0335350036621094</v>
      </c>
      <c r="D554" s="41" t="n">
        <f aca="false">(B554+C554)/2</f>
        <v>0.0335292816162109</v>
      </c>
      <c r="E554" s="15" t="n">
        <f aca="false">$C$2*(1+IF(E$3&lt;=$O$2,$D554,$D554-($D554-$I$535)*MIN(E$3-$O$2,$Q$2)/$Q$2))</f>
        <v>2273.76441955566</v>
      </c>
      <c r="F554" s="15" t="n">
        <f aca="false">E554*(1+IF(F$3&lt;=$O$2,$D554,$D554-($D554-$I$535)*MIN(F$3-$O$2,$Q$2)/$Q$2))</f>
        <v>2350.00210710787</v>
      </c>
      <c r="G554" s="15" t="n">
        <f aca="false">F554*(1+IF(G$3&lt;=$O$2,$D554,$D554-($D554-$I$535)*MIN(G$3-$O$2,$Q$2)/$Q$2))</f>
        <v>2428.79598955578</v>
      </c>
      <c r="H554" s="15" t="n">
        <f aca="false">G554*(1+IF(H$3&lt;=$O$2,$D554,$D554-($D554-$I$535)*MIN(H$3-$O$2,$Q$2)/$Q$2))</f>
        <v>2510.23177427791</v>
      </c>
      <c r="I554" s="15" t="n">
        <f aca="false">H554*(1+IF(I$3&lt;=$O$2,$D554,$D554-($D554-$I$535)*MIN(I$3-$O$2,$Q$2)/$Q$2))</f>
        <v>2594.39804235964</v>
      </c>
      <c r="J554" s="15" t="n">
        <f aca="false">I554*(1+IF(J$3&lt;=$O$2,$D554,$D554-($D554-$I$535)*MIN(J$3-$O$2,$Q$2)/$Q$2))</f>
        <v>2681.26737539121</v>
      </c>
      <c r="K554" s="15" t="n">
        <f aca="false">J554*(1+IF(K$3&lt;=$O$2,$D554,$D554-($D554-$I$535)*MIN(K$3-$O$2,$Q$2)/$Q$2))</f>
        <v>2770.92243818213</v>
      </c>
      <c r="L554" s="15" t="n">
        <f aca="false">K554*(1+IF(L$3&lt;=$O$2,$D554,$D554-($D554-$I$535)*MIN(L$3-$O$2,$Q$2)/$Q$2))</f>
        <v>2863.44828400361</v>
      </c>
      <c r="M554" s="15" t="n">
        <f aca="false">L554*(1+IF(M$3&lt;=$O$2,$D554,$D554-($D554-$I$535)*MIN(M$3-$O$2,$Q$2)/$Q$2))</f>
        <v>2958.93241907103</v>
      </c>
      <c r="N554" s="15" t="n">
        <f aca="false">M554*(1+IF(N$3&lt;=$O$2,$D554,$D554-($D554-$I$535)*MIN(N$3-$O$2,$Q$2)/$Q$2))</f>
        <v>3057.46486862609</v>
      </c>
      <c r="O554" s="15" t="n">
        <f aca="false">SUMPRODUCT(E554:N554,1/(1+$F$535)^$E$3:$N$3)*$E$2</f>
        <v>8902.1090225972</v>
      </c>
      <c r="P554" s="15" t="n">
        <f aca="false">N554*$E$2*(1+$I$535)/($F$535-$I$535)/(1+$F$535)^$N$3</f>
        <v>14928.7560073381</v>
      </c>
      <c r="Q554" s="15" t="n">
        <f aca="false">O554+P554</f>
        <v>23830.8650299353</v>
      </c>
      <c r="R554" s="15" t="n">
        <f aca="false">Q554-$G$2+$I$2</f>
        <v>25740.5250299353</v>
      </c>
      <c r="S554" s="42" t="n">
        <f aca="false">R554/$K$2</f>
        <v>109.98814267374</v>
      </c>
      <c r="T554" s="43" t="n">
        <f aca="false">S554-$M$2</f>
        <v>0.00224343005305627</v>
      </c>
    </row>
    <row r="555" customFormat="false" ht="15" hidden="false" customHeight="false" outlineLevel="0" collapsed="false">
      <c r="A555" s="5" t="n">
        <v>19</v>
      </c>
      <c r="B555" s="25" t="n">
        <f aca="false">IF(T554&gt;0,B554,D554)</f>
        <v>0.0335235595703125</v>
      </c>
      <c r="C555" s="25" t="n">
        <f aca="false">IF(T554&gt;0,D554,C554)</f>
        <v>0.0335292816162109</v>
      </c>
      <c r="D555" s="41" t="n">
        <f aca="false">(B555+C555)/2</f>
        <v>0.0335264205932617</v>
      </c>
      <c r="E555" s="15" t="n">
        <f aca="false">$C$2*(1+IF(E$3&lt;=$O$2,$D555,$D555-($D555-$I$535)*MIN(E$3-$O$2,$Q$2)/$Q$2))</f>
        <v>2273.75812530518</v>
      </c>
      <c r="F555" s="15" t="n">
        <f aca="false">E555*(1+IF(F$3&lt;=$O$2,$D555,$D555-($D555-$I$535)*MIN(F$3-$O$2,$Q$2)/$Q$2))</f>
        <v>2349.9890965415</v>
      </c>
      <c r="G555" s="15" t="n">
        <f aca="false">F555*(1+IF(G$3&lt;=$O$2,$D555,$D555-($D555-$I$535)*MIN(G$3-$O$2,$Q$2)/$Q$2))</f>
        <v>2428.77581938173</v>
      </c>
      <c r="H555" s="15" t="n">
        <f aca="false">G555*(1+IF(H$3&lt;=$O$2,$D555,$D555-($D555-$I$535)*MIN(H$3-$O$2,$Q$2)/$Q$2))</f>
        <v>2510.20397902907</v>
      </c>
      <c r="I555" s="15" t="n">
        <f aca="false">H555*(1+IF(I$3&lt;=$O$2,$D555,$D555-($D555-$I$535)*MIN(I$3-$O$2,$Q$2)/$Q$2))</f>
        <v>2594.36213340488</v>
      </c>
      <c r="J555" s="15" t="n">
        <f aca="false">I555*(1+IF(J$3&lt;=$O$2,$D555,$D555-($D555-$I$535)*MIN(J$3-$O$2,$Q$2)/$Q$2))</f>
        <v>2681.22432605796</v>
      </c>
      <c r="K555" s="15" t="n">
        <f aca="false">J555*(1+IF(K$3&lt;=$O$2,$D555,$D555-($D555-$I$535)*MIN(K$3-$O$2,$Q$2)/$Q$2))</f>
        <v>2770.87334675724</v>
      </c>
      <c r="L555" s="15" t="n">
        <f aca="false">K555*(1+IF(L$3&lt;=$O$2,$D555,$D555-($D555-$I$535)*MIN(L$3-$O$2,$Q$2)/$Q$2))</f>
        <v>2863.39438231907</v>
      </c>
      <c r="M555" s="15" t="n">
        <f aca="false">L555*(1+IF(M$3&lt;=$O$2,$D555,$D555-($D555-$I$535)*MIN(M$3-$O$2,$Q$2)/$Q$2))</f>
        <v>2958.87508154125</v>
      </c>
      <c r="N555" s="15" t="n">
        <f aca="false">M555*(1+IF(N$3&lt;=$O$2,$D555,$D555-($D555-$I$535)*MIN(N$3-$O$2,$Q$2)/$Q$2))</f>
        <v>3057.40562175657</v>
      </c>
      <c r="O555" s="15" t="n">
        <f aca="false">SUMPRODUCT(E555:N555,1/(1+$F$535)^$E$3:$N$3)*$E$2</f>
        <v>8901.99747131404</v>
      </c>
      <c r="P555" s="15" t="n">
        <f aca="false">N555*$E$2*(1+$I$535)/($F$535-$I$535)/(1+$F$535)^$N$3</f>
        <v>14928.4667212474</v>
      </c>
      <c r="Q555" s="15" t="n">
        <f aca="false">O555+P555</f>
        <v>23830.4641925615</v>
      </c>
      <c r="R555" s="15" t="n">
        <f aca="false">Q555-$G$2+$I$2</f>
        <v>25740.1241925615</v>
      </c>
      <c r="S555" s="42" t="n">
        <f aca="false">R555/$K$2</f>
        <v>109.986429913094</v>
      </c>
      <c r="T555" s="43" t="n">
        <f aca="false">S555-$M$2</f>
        <v>0.00053066940765234</v>
      </c>
    </row>
    <row r="556" customFormat="false" ht="15" hidden="false" customHeight="false" outlineLevel="0" collapsed="false">
      <c r="A556" s="5" t="n">
        <v>20</v>
      </c>
      <c r="B556" s="25" t="n">
        <f aca="false">IF(T555&gt;0,B555,D555)</f>
        <v>0.0335235595703125</v>
      </c>
      <c r="C556" s="25" t="n">
        <f aca="false">IF(T555&gt;0,D555,C555)</f>
        <v>0.0335264205932617</v>
      </c>
      <c r="D556" s="41" t="n">
        <f aca="false">(B556+C556)/2</f>
        <v>0.0335249900817871</v>
      </c>
      <c r="E556" s="15" t="n">
        <f aca="false">$C$2*(1+IF(E$3&lt;=$O$2,$D556,$D556-($D556-$I$535)*MIN(E$3-$O$2,$Q$2)/$Q$2))</f>
        <v>2273.75497817993</v>
      </c>
      <c r="F556" s="15" t="n">
        <f aca="false">E556*(1+IF(F$3&lt;=$O$2,$D556,$D556-($D556-$I$535)*MIN(F$3-$O$2,$Q$2)/$Q$2))</f>
        <v>2349.98259127183</v>
      </c>
      <c r="G556" s="15" t="n">
        <f aca="false">F556*(1+IF(G$3&lt;=$O$2,$D556,$D556-($D556-$I$535)*MIN(G$3-$O$2,$Q$2)/$Q$2))</f>
        <v>2428.76573433659</v>
      </c>
      <c r="H556" s="15" t="n">
        <f aca="false">G556*(1+IF(H$3&lt;=$O$2,$D556,$D556-($D556-$I$535)*MIN(H$3-$O$2,$Q$2)/$Q$2))</f>
        <v>2510.19008149121</v>
      </c>
      <c r="I556" s="15" t="n">
        <f aca="false">H556*(1+IF(I$3&lt;=$O$2,$D556,$D556-($D556-$I$535)*MIN(I$3-$O$2,$Q$2)/$Q$2))</f>
        <v>2594.3441790766</v>
      </c>
      <c r="J556" s="15" t="n">
        <f aca="false">I556*(1+IF(J$3&lt;=$O$2,$D556,$D556-($D556-$I$535)*MIN(J$3-$O$2,$Q$2)/$Q$2))</f>
        <v>2681.20280160708</v>
      </c>
      <c r="K556" s="15" t="n">
        <f aca="false">J556*(1+IF(K$3&lt;=$O$2,$D556,$D556-($D556-$I$535)*MIN(K$3-$O$2,$Q$2)/$Q$2))</f>
        <v>2770.84880132317</v>
      </c>
      <c r="L556" s="15" t="n">
        <f aca="false">K556*(1+IF(L$3&lt;=$O$2,$D556,$D556-($D556-$I$535)*MIN(L$3-$O$2,$Q$2)/$Q$2))</f>
        <v>2863.3674318066</v>
      </c>
      <c r="M556" s="15" t="n">
        <f aca="false">L556*(1+IF(M$3&lt;=$O$2,$D556,$D556-($D556-$I$535)*MIN(M$3-$O$2,$Q$2)/$Q$2))</f>
        <v>2958.84641314029</v>
      </c>
      <c r="N556" s="15" t="n">
        <f aca="false">M556*(1+IF(N$3&lt;=$O$2,$D556,$D556-($D556-$I$535)*MIN(N$3-$O$2,$Q$2)/$Q$2))</f>
        <v>3057.37599869787</v>
      </c>
      <c r="O556" s="15" t="n">
        <f aca="false">SUMPRODUCT(E556:N556,1/(1+$F$535)^$E$3:$N$3)*$E$2</f>
        <v>8901.94169620265</v>
      </c>
      <c r="P556" s="15" t="n">
        <f aca="false">N556*$E$2*(1+$I$535)/($F$535-$I$535)/(1+$F$535)^$N$3</f>
        <v>14928.3220800383</v>
      </c>
      <c r="Q556" s="15" t="n">
        <f aca="false">O556+P556</f>
        <v>23830.2637762409</v>
      </c>
      <c r="R556" s="15" t="n">
        <f aca="false">Q556-$G$2+$I$2</f>
        <v>25739.9237762409</v>
      </c>
      <c r="S556" s="42" t="n">
        <f aca="false">R556/$K$2</f>
        <v>109.985573542883</v>
      </c>
      <c r="T556" s="43" t="n">
        <f aca="false">S556-$M$2</f>
        <v>-0.000325700803742279</v>
      </c>
    </row>
    <row r="557" customFormat="false" ht="15" hidden="false" customHeight="false" outlineLevel="0" collapsed="false">
      <c r="A557" s="5" t="n">
        <v>21</v>
      </c>
      <c r="B557" s="25" t="n">
        <f aca="false">IF(T556&gt;0,B556,D556)</f>
        <v>0.0335249900817871</v>
      </c>
      <c r="C557" s="25" t="n">
        <f aca="false">IF(T556&gt;0,D556,C556)</f>
        <v>0.0335264205932617</v>
      </c>
      <c r="D557" s="41" t="n">
        <f aca="false">(B557+C557)/2</f>
        <v>0.0335257053375244</v>
      </c>
      <c r="E557" s="15" t="n">
        <f aca="false">$C$2*(1+IF(E$3&lt;=$O$2,$D557,$D557-($D557-$I$535)*MIN(E$3-$O$2,$Q$2)/$Q$2))</f>
        <v>2273.75655174255</v>
      </c>
      <c r="F557" s="15" t="n">
        <f aca="false">E557*(1+IF(F$3&lt;=$O$2,$D557,$D557-($D557-$I$535)*MIN(F$3-$O$2,$Q$2)/$Q$2))</f>
        <v>2349.98584390554</v>
      </c>
      <c r="G557" s="15" t="n">
        <f aca="false">F557*(1+IF(G$3&lt;=$O$2,$D557,$D557-($D557-$I$535)*MIN(G$3-$O$2,$Q$2)/$Q$2))</f>
        <v>2428.77077685567</v>
      </c>
      <c r="H557" s="15" t="n">
        <f aca="false">G557*(1+IF(H$3&lt;=$O$2,$D557,$D557-($D557-$I$535)*MIN(H$3-$O$2,$Q$2)/$Q$2))</f>
        <v>2510.19703025292</v>
      </c>
      <c r="I557" s="15" t="n">
        <f aca="false">H557*(1+IF(I$3&lt;=$O$2,$D557,$D557-($D557-$I$535)*MIN(I$3-$O$2,$Q$2)/$Q$2))</f>
        <v>2594.35315622831</v>
      </c>
      <c r="J557" s="15" t="n">
        <f aca="false">I557*(1+IF(J$3&lt;=$O$2,$D557,$D557-($D557-$I$535)*MIN(J$3-$O$2,$Q$2)/$Q$2))</f>
        <v>2681.21356381454</v>
      </c>
      <c r="K557" s="15" t="n">
        <f aca="false">J557*(1+IF(K$3&lt;=$O$2,$D557,$D557-($D557-$I$535)*MIN(K$3-$O$2,$Q$2)/$Q$2))</f>
        <v>2770.861074017</v>
      </c>
      <c r="L557" s="15" t="n">
        <f aca="false">K557*(1+IF(L$3&lt;=$O$2,$D557,$D557-($D557-$I$535)*MIN(L$3-$O$2,$Q$2)/$Q$2))</f>
        <v>2863.38090703535</v>
      </c>
      <c r="M557" s="15" t="n">
        <f aca="false">L557*(1+IF(M$3&lt;=$O$2,$D557,$D557-($D557-$I$535)*MIN(M$3-$O$2,$Q$2)/$Q$2))</f>
        <v>2958.86074731044</v>
      </c>
      <c r="N557" s="15" t="n">
        <f aca="false">M557*(1+IF(N$3&lt;=$O$2,$D557,$D557-($D557-$I$535)*MIN(N$3-$O$2,$Q$2)/$Q$2))</f>
        <v>3057.39081019588</v>
      </c>
      <c r="O557" s="15" t="n">
        <f aca="false">SUMPRODUCT(E557:N557,1/(1+$F$535)^$E$3:$N$3)*$E$2</f>
        <v>8901.96958371416</v>
      </c>
      <c r="P557" s="15" t="n">
        <f aca="false">N557*$E$2*(1+$I$535)/($F$535-$I$535)/(1+$F$535)^$N$3</f>
        <v>14928.3944004898</v>
      </c>
      <c r="Q557" s="15" t="n">
        <f aca="false">O557+P557</f>
        <v>23830.363984204</v>
      </c>
      <c r="R557" s="15" t="n">
        <f aca="false">Q557-$G$2+$I$2</f>
        <v>25740.023984204</v>
      </c>
      <c r="S557" s="42" t="n">
        <f aca="false">R557/$K$2</f>
        <v>109.986001727146</v>
      </c>
      <c r="T557" s="43" t="n">
        <f aca="false">S557-$M$2</f>
        <v>0.000102483459357927</v>
      </c>
    </row>
    <row r="558" customFormat="false" ht="15" hidden="false" customHeight="false" outlineLevel="0" collapsed="false">
      <c r="A558" s="5" t="n">
        <v>22</v>
      </c>
      <c r="B558" s="25" t="n">
        <f aca="false">IF(T557&gt;0,B557,D557)</f>
        <v>0.0335249900817871</v>
      </c>
      <c r="C558" s="25" t="n">
        <f aca="false">IF(T557&gt;0,D557,C557)</f>
        <v>0.0335257053375244</v>
      </c>
      <c r="D558" s="41" t="n">
        <f aca="false">(B558+C558)/2</f>
        <v>0.0335253477096558</v>
      </c>
      <c r="E558" s="15" t="n">
        <f aca="false">$C$2*(1+IF(E$3&lt;=$O$2,$D558,$D558-($D558-$I$535)*MIN(E$3-$O$2,$Q$2)/$Q$2))</f>
        <v>2273.75576496124</v>
      </c>
      <c r="F558" s="15" t="n">
        <f aca="false">E558*(1+IF(F$3&lt;=$O$2,$D558,$D558-($D558-$I$535)*MIN(F$3-$O$2,$Q$2)/$Q$2))</f>
        <v>2349.9842175884</v>
      </c>
      <c r="G558" s="15" t="n">
        <f aca="false">F558*(1+IF(G$3&lt;=$O$2,$D558,$D558-($D558-$I$535)*MIN(G$3-$O$2,$Q$2)/$Q$2))</f>
        <v>2428.76825559526</v>
      </c>
      <c r="H558" s="15" t="n">
        <f aca="false">G558*(1+IF(H$3&lt;=$O$2,$D558,$D558-($D558-$I$535)*MIN(H$3-$O$2,$Q$2)/$Q$2))</f>
        <v>2510.19355587026</v>
      </c>
      <c r="I558" s="15" t="n">
        <f aca="false">H558*(1+IF(I$3&lt;=$O$2,$D558,$D558-($D558-$I$535)*MIN(I$3-$O$2,$Q$2)/$Q$2))</f>
        <v>2594.34866764935</v>
      </c>
      <c r="J558" s="15" t="n">
        <f aca="false">I558*(1+IF(J$3&lt;=$O$2,$D558,$D558-($D558-$I$535)*MIN(J$3-$O$2,$Q$2)/$Q$2))</f>
        <v>2681.20818270632</v>
      </c>
      <c r="K558" s="15" t="n">
        <f aca="false">J558*(1+IF(K$3&lt;=$O$2,$D558,$D558-($D558-$I$535)*MIN(K$3-$O$2,$Q$2)/$Q$2))</f>
        <v>2770.85493766429</v>
      </c>
      <c r="L558" s="15" t="n">
        <f aca="false">K558*(1+IF(L$3&lt;=$O$2,$D558,$D558-($D558-$I$535)*MIN(L$3-$O$2,$Q$2)/$Q$2))</f>
        <v>2863.3741694141</v>
      </c>
      <c r="M558" s="15" t="n">
        <f aca="false">L558*(1+IF(M$3&lt;=$O$2,$D558,$D558-($D558-$I$535)*MIN(M$3-$O$2,$Q$2)/$Q$2))</f>
        <v>2958.85358021779</v>
      </c>
      <c r="N558" s="15" t="n">
        <f aca="false">M558*(1+IF(N$3&lt;=$O$2,$D558,$D558-($D558-$I$535)*MIN(N$3-$O$2,$Q$2)/$Q$2))</f>
        <v>3057.38340443904</v>
      </c>
      <c r="O558" s="15" t="n">
        <f aca="false">SUMPRODUCT(E558:N558,1/(1+$F$535)^$E$3:$N$3)*$E$2</f>
        <v>8901.95563994736</v>
      </c>
      <c r="P558" s="15" t="n">
        <f aca="false">N558*$E$2*(1+$I$535)/($F$535-$I$535)/(1+$F$535)^$N$3</f>
        <v>14928.3582402258</v>
      </c>
      <c r="Q558" s="15" t="n">
        <f aca="false">O558+P558</f>
        <v>23830.3138801731</v>
      </c>
      <c r="R558" s="15" t="n">
        <f aca="false">Q558-$G$2+$I$2</f>
        <v>25739.9738801731</v>
      </c>
      <c r="S558" s="42" t="n">
        <f aca="false">R558/$K$2</f>
        <v>109.985787634804</v>
      </c>
      <c r="T558" s="43" t="n">
        <f aca="false">S558-$M$2</f>
        <v>-0.000111608882846781</v>
      </c>
    </row>
    <row r="559" customFormat="false" ht="15" hidden="false" customHeight="false" outlineLevel="0" collapsed="false">
      <c r="A559" s="5" t="n">
        <v>23</v>
      </c>
      <c r="B559" s="25" t="n">
        <f aca="false">IF(T558&gt;0,B558,D558)</f>
        <v>0.0335253477096558</v>
      </c>
      <c r="C559" s="25" t="n">
        <f aca="false">IF(T558&gt;0,D558,C558)</f>
        <v>0.0335257053375244</v>
      </c>
      <c r="D559" s="41" t="n">
        <f aca="false">(B559+C559)/2</f>
        <v>0.0335255265235901</v>
      </c>
      <c r="E559" s="15" t="n">
        <f aca="false">$C$2*(1+IF(E$3&lt;=$O$2,$D559,$D559-($D559-$I$535)*MIN(E$3-$O$2,$Q$2)/$Q$2))</f>
        <v>2273.7561583519</v>
      </c>
      <c r="F559" s="15" t="n">
        <f aca="false">E559*(1+IF(F$3&lt;=$O$2,$D559,$D559-($D559-$I$535)*MIN(F$3-$O$2,$Q$2)/$Q$2))</f>
        <v>2349.9850307469</v>
      </c>
      <c r="G559" s="15" t="n">
        <f aca="false">F559*(1+IF(G$3&lt;=$O$2,$D559,$D559-($D559-$I$535)*MIN(G$3-$O$2,$Q$2)/$Q$2))</f>
        <v>2428.76951622525</v>
      </c>
      <c r="H559" s="15" t="n">
        <f aca="false">G559*(1+IF(H$3&lt;=$O$2,$D559,$D559-($D559-$I$535)*MIN(H$3-$O$2,$Q$2)/$Q$2))</f>
        <v>2510.19529306114</v>
      </c>
      <c r="I559" s="15" t="n">
        <f aca="false">H559*(1+IF(I$3&lt;=$O$2,$D559,$D559-($D559-$I$535)*MIN(I$3-$O$2,$Q$2)/$Q$2))</f>
        <v>2594.35091193805</v>
      </c>
      <c r="J559" s="15" t="n">
        <f aca="false">I559*(1+IF(J$3&lt;=$O$2,$D559,$D559-($D559-$I$535)*MIN(J$3-$O$2,$Q$2)/$Q$2))</f>
        <v>2681.21087325931</v>
      </c>
      <c r="K559" s="15" t="n">
        <f aca="false">J559*(1+IF(K$3&lt;=$O$2,$D559,$D559-($D559-$I$535)*MIN(K$3-$O$2,$Q$2)/$Q$2))</f>
        <v>2770.8580058392</v>
      </c>
      <c r="L559" s="15" t="n">
        <f aca="false">K559*(1+IF(L$3&lt;=$O$2,$D559,$D559-($D559-$I$535)*MIN(L$3-$O$2,$Q$2)/$Q$2))</f>
        <v>2863.37753822301</v>
      </c>
      <c r="M559" s="15" t="n">
        <f aca="false">L559*(1+IF(M$3&lt;=$O$2,$D559,$D559-($D559-$I$535)*MIN(M$3-$O$2,$Q$2)/$Q$2))</f>
        <v>2958.85716376222</v>
      </c>
      <c r="N559" s="15" t="n">
        <f aca="false">M559*(1+IF(N$3&lt;=$O$2,$D559,$D559-($D559-$I$535)*MIN(N$3-$O$2,$Q$2)/$Q$2))</f>
        <v>3057.3871073155</v>
      </c>
      <c r="O559" s="15" t="n">
        <f aca="false">SUMPRODUCT(E559:N559,1/(1+$F$535)^$E$3:$N$3)*$E$2</f>
        <v>8901.962611828</v>
      </c>
      <c r="P559" s="15" t="n">
        <f aca="false">N559*$E$2*(1+$I$535)/($F$535-$I$535)/(1+$F$535)^$N$3</f>
        <v>14928.3763203482</v>
      </c>
      <c r="Q559" s="15" t="n">
        <f aca="false">O559+P559</f>
        <v>23830.3389321762</v>
      </c>
      <c r="R559" s="15" t="n">
        <f aca="false">Q559-$G$2+$I$2</f>
        <v>25739.9989321762</v>
      </c>
      <c r="S559" s="42" t="n">
        <f aca="false">R559/$K$2</f>
        <v>109.985894680922</v>
      </c>
      <c r="T559" s="43" t="n">
        <f aca="false">S559-$M$2</f>
        <v>-4.5627643885382E-006</v>
      </c>
    </row>
    <row r="560" customFormat="false" ht="15" hidden="false" customHeight="false" outlineLevel="0" collapsed="false">
      <c r="A560" s="5" t="n">
        <v>24</v>
      </c>
      <c r="B560" s="25" t="n">
        <f aca="false">IF(T559&gt;0,B559,D559)</f>
        <v>0.0335255265235901</v>
      </c>
      <c r="C560" s="25" t="n">
        <f aca="false">IF(T559&gt;0,D559,C559)</f>
        <v>0.0335257053375244</v>
      </c>
      <c r="D560" s="41" t="n">
        <f aca="false">(B560+C560)/2</f>
        <v>0.0335256159305573</v>
      </c>
      <c r="E560" s="15" t="n">
        <f aca="false">$C$2*(1+IF(E$3&lt;=$O$2,$D560,$D560-($D560-$I$535)*MIN(E$3-$O$2,$Q$2)/$Q$2))</f>
        <v>2273.75635504723</v>
      </c>
      <c r="F560" s="15" t="n">
        <f aca="false">E560*(1+IF(F$3&lt;=$O$2,$D560,$D560-($D560-$I$535)*MIN(F$3-$O$2,$Q$2)/$Q$2))</f>
        <v>2349.9854373262</v>
      </c>
      <c r="G560" s="15" t="n">
        <f aca="false">F560*(1+IF(G$3&lt;=$O$2,$D560,$D560-($D560-$I$535)*MIN(G$3-$O$2,$Q$2)/$Q$2))</f>
        <v>2428.7701465404</v>
      </c>
      <c r="H560" s="15" t="n">
        <f aca="false">G560*(1+IF(H$3&lt;=$O$2,$D560,$D560-($D560-$I$535)*MIN(H$3-$O$2,$Q$2)/$Q$2))</f>
        <v>2510.19616165692</v>
      </c>
      <c r="I560" s="15" t="n">
        <f aca="false">H560*(1+IF(I$3&lt;=$O$2,$D560,$D560-($D560-$I$535)*MIN(I$3-$O$2,$Q$2)/$Q$2))</f>
        <v>2594.35203408299</v>
      </c>
      <c r="J560" s="15" t="n">
        <f aca="false">I560*(1+IF(J$3&lt;=$O$2,$D560,$D560-($D560-$I$535)*MIN(J$3-$O$2,$Q$2)/$Q$2))</f>
        <v>2681.21221853664</v>
      </c>
      <c r="K560" s="15" t="n">
        <f aca="false">J560*(1+IF(K$3&lt;=$O$2,$D560,$D560-($D560-$I$535)*MIN(K$3-$O$2,$Q$2)/$Q$2))</f>
        <v>2770.85953992774</v>
      </c>
      <c r="L560" s="15" t="n">
        <f aca="false">K560*(1+IF(L$3&lt;=$O$2,$D560,$D560-($D560-$I$535)*MIN(L$3-$O$2,$Q$2)/$Q$2))</f>
        <v>2863.37922262875</v>
      </c>
      <c r="M560" s="15" t="n">
        <f aca="false">L560*(1+IF(M$3&lt;=$O$2,$D560,$D560-($D560-$I$535)*MIN(M$3-$O$2,$Q$2)/$Q$2))</f>
        <v>2958.85895553586</v>
      </c>
      <c r="N560" s="15" t="n">
        <f aca="false">M560*(1+IF(N$3&lt;=$O$2,$D560,$D560-($D560-$I$535)*MIN(N$3-$O$2,$Q$2)/$Q$2))</f>
        <v>3057.3889587552</v>
      </c>
      <c r="O560" s="15" t="n">
        <f aca="false">SUMPRODUCT(E560:N560,1/(1+$F$535)^$E$3:$N$3)*$E$2</f>
        <v>8901.96609777039</v>
      </c>
      <c r="P560" s="15" t="n">
        <f aca="false">N560*$E$2*(1+$I$535)/($F$535-$I$535)/(1+$F$535)^$N$3</f>
        <v>14928.3853604166</v>
      </c>
      <c r="Q560" s="15" t="n">
        <f aca="false">O560+P560</f>
        <v>23830.351458187</v>
      </c>
      <c r="R560" s="15" t="n">
        <f aca="false">Q560-$G$2+$I$2</f>
        <v>25740.011458187</v>
      </c>
      <c r="S560" s="42" t="n">
        <f aca="false">R560/$K$2</f>
        <v>109.985948204021</v>
      </c>
      <c r="T560" s="43" t="n">
        <f aca="false">S560-$M$2</f>
        <v>4.89603343112321E-005</v>
      </c>
    </row>
    <row r="562" customFormat="false" ht="15" hidden="false" customHeight="false" outlineLevel="0" collapsed="false">
      <c r="A562" s="38" t="s">
        <v>207</v>
      </c>
      <c r="E562" s="5" t="s">
        <v>11</v>
      </c>
      <c r="F562" s="12" t="n">
        <f aca="false">Sensitivity!$B$13</f>
        <v>0.0827967762761046</v>
      </c>
      <c r="G562" s="5" t="s">
        <v>12</v>
      </c>
      <c r="I562" s="12" t="n">
        <f aca="false">Sensitivity!$G$9</f>
        <v>0.0383</v>
      </c>
    </row>
    <row r="563" customFormat="false" ht="23.85" hidden="false" customHeight="false" outlineLevel="0" collapsed="false">
      <c r="A563" s="38" t="s">
        <v>168</v>
      </c>
      <c r="B563" s="28" t="s">
        <v>169</v>
      </c>
      <c r="C563" s="28" t="s">
        <v>170</v>
      </c>
      <c r="D563" s="28" t="s">
        <v>171</v>
      </c>
      <c r="E563" s="28" t="s">
        <v>172</v>
      </c>
      <c r="F563" s="28" t="s">
        <v>173</v>
      </c>
      <c r="G563" s="28" t="s">
        <v>174</v>
      </c>
      <c r="H563" s="28" t="s">
        <v>175</v>
      </c>
      <c r="I563" s="28" t="s">
        <v>176</v>
      </c>
      <c r="J563" s="28" t="s">
        <v>177</v>
      </c>
      <c r="K563" s="28" t="s">
        <v>178</v>
      </c>
      <c r="L563" s="28" t="s">
        <v>179</v>
      </c>
      <c r="M563" s="28" t="s">
        <v>180</v>
      </c>
      <c r="N563" s="28" t="s">
        <v>181</v>
      </c>
      <c r="O563" s="28" t="s">
        <v>182</v>
      </c>
      <c r="P563" s="28" t="s">
        <v>183</v>
      </c>
      <c r="Q563" s="28" t="s">
        <v>184</v>
      </c>
      <c r="R563" s="28" t="s">
        <v>185</v>
      </c>
      <c r="S563" s="28" t="s">
        <v>186</v>
      </c>
      <c r="T563" s="28" t="s">
        <v>187</v>
      </c>
    </row>
    <row r="564" customFormat="false" ht="15" hidden="false" customHeight="false" outlineLevel="0" collapsed="false">
      <c r="A564" s="5" t="n">
        <v>1</v>
      </c>
      <c r="B564" s="24" t="n">
        <v>-0.5</v>
      </c>
      <c r="C564" s="24" t="n">
        <v>1</v>
      </c>
      <c r="D564" s="41" t="n">
        <f aca="false">(B564+C564)/2</f>
        <v>0.25</v>
      </c>
      <c r="E564" s="15" t="n">
        <f aca="false">$C$2*(1+IF(E$3&lt;=$O$2,$D564,$D564-($D564-$I$562)*MIN(E$3-$O$2,$Q$2)/$Q$2))</f>
        <v>2750</v>
      </c>
      <c r="F564" s="15" t="n">
        <f aca="false">E564*(1+IF(F$3&lt;=$O$2,$D564,$D564-($D564-$I$562)*MIN(F$3-$O$2,$Q$2)/$Q$2))</f>
        <v>3437.5</v>
      </c>
      <c r="G564" s="15" t="n">
        <f aca="false">F564*(1+IF(G$3&lt;=$O$2,$D564,$D564-($D564-$I$562)*MIN(G$3-$O$2,$Q$2)/$Q$2))</f>
        <v>4296.875</v>
      </c>
      <c r="H564" s="15" t="n">
        <f aca="false">G564*(1+IF(H$3&lt;=$O$2,$D564,$D564-($D564-$I$562)*MIN(H$3-$O$2,$Q$2)/$Q$2))</f>
        <v>5371.09375</v>
      </c>
      <c r="I564" s="15" t="n">
        <f aca="false">H564*(1+IF(I$3&lt;=$O$2,$D564,$D564-($D564-$I$562)*MIN(I$3-$O$2,$Q$2)/$Q$2))</f>
        <v>6713.8671875</v>
      </c>
      <c r="J564" s="15" t="n">
        <f aca="false">I564*(1+IF(J$3&lt;=$O$2,$D564,$D564-($D564-$I$562)*MIN(J$3-$O$2,$Q$2)/$Q$2))</f>
        <v>8108.06884765625</v>
      </c>
      <c r="K564" s="15" t="n">
        <f aca="false">J564*(1+IF(K$3&lt;=$O$2,$D564,$D564-($D564-$I$562)*MIN(K$3-$O$2,$Q$2)/$Q$2))</f>
        <v>9448.49478955078</v>
      </c>
      <c r="L564" s="15" t="n">
        <f aca="false">K564*(1+IF(L$3&lt;=$O$2,$D564,$D564-($D564-$I$562)*MIN(L$3-$O$2,$Q$2)/$Q$2))</f>
        <v>10610.4706787697</v>
      </c>
      <c r="M564" s="15" t="n">
        <f aca="false">L564*(1+IF(M$3&lt;=$O$2,$D564,$D564-($D564-$I$562)*MIN(M$3-$O$2,$Q$2)/$Q$2))</f>
        <v>11466.0990343057</v>
      </c>
      <c r="N564" s="15" t="n">
        <f aca="false">M564*(1+IF(N$3&lt;=$O$2,$D564,$D564-($D564-$I$562)*MIN(N$3-$O$2,$Q$2)/$Q$2))</f>
        <v>11905.2506273196</v>
      </c>
      <c r="O564" s="15" t="n">
        <f aca="false">SUMPRODUCT(E564:N564,1/(1+$F$562)^$E$3:$N$3)*$E$2</f>
        <v>22961.5969993105</v>
      </c>
      <c r="P564" s="15" t="n">
        <f aca="false">N564*$E$2*(1+$I$562)/($F$562-$I$562)/(1+$F$562)^$N$3</f>
        <v>64974.8787615179</v>
      </c>
      <c r="Q564" s="15" t="n">
        <f aca="false">O564+P564</f>
        <v>87936.4757608284</v>
      </c>
      <c r="R564" s="15" t="n">
        <f aca="false">Q564-$G$2+$I$2</f>
        <v>89846.1357608284</v>
      </c>
      <c r="S564" s="42" t="n">
        <f aca="false">R564/$K$2</f>
        <v>383.90862607712</v>
      </c>
      <c r="T564" s="43" t="n">
        <f aca="false">S564-$M$2</f>
        <v>273.922726833433</v>
      </c>
    </row>
    <row r="565" customFormat="false" ht="15" hidden="false" customHeight="false" outlineLevel="0" collapsed="false">
      <c r="A565" s="5" t="n">
        <v>2</v>
      </c>
      <c r="B565" s="25" t="n">
        <f aca="false">IF(T564&gt;0,B564,D564)</f>
        <v>-0.5</v>
      </c>
      <c r="C565" s="25" t="n">
        <f aca="false">IF(T564&gt;0,D564,C564)</f>
        <v>0.25</v>
      </c>
      <c r="D565" s="41" t="n">
        <f aca="false">(B565+C565)/2</f>
        <v>-0.125</v>
      </c>
      <c r="E565" s="15" t="n">
        <f aca="false">$C$2*(1+IF(E$3&lt;=$O$2,$D565,$D565-($D565-$I$562)*MIN(E$3-$O$2,$Q$2)/$Q$2))</f>
        <v>1925</v>
      </c>
      <c r="F565" s="15" t="n">
        <f aca="false">E565*(1+IF(F$3&lt;=$O$2,$D565,$D565-($D565-$I$562)*MIN(F$3-$O$2,$Q$2)/$Q$2))</f>
        <v>1684.375</v>
      </c>
      <c r="G565" s="15" t="n">
        <f aca="false">F565*(1+IF(G$3&lt;=$O$2,$D565,$D565-($D565-$I$562)*MIN(G$3-$O$2,$Q$2)/$Q$2))</f>
        <v>1473.828125</v>
      </c>
      <c r="H565" s="15" t="n">
        <f aca="false">G565*(1+IF(H$3&lt;=$O$2,$D565,$D565-($D565-$I$562)*MIN(H$3-$O$2,$Q$2)/$Q$2))</f>
        <v>1289.599609375</v>
      </c>
      <c r="I565" s="15" t="n">
        <f aca="false">H565*(1+IF(I$3&lt;=$O$2,$D565,$D565-($D565-$I$562)*MIN(I$3-$O$2,$Q$2)/$Q$2))</f>
        <v>1128.39965820313</v>
      </c>
      <c r="J565" s="15" t="n">
        <f aca="false">I565*(1+IF(J$3&lt;=$O$2,$D565,$D565-($D565-$I$562)*MIN(J$3-$O$2,$Q$2)/$Q$2))</f>
        <v>1024.20323376465</v>
      </c>
      <c r="K565" s="15" t="n">
        <f aca="false">J565*(1+IF(K$3&lt;=$O$2,$D565,$D565-($D565-$I$562)*MIN(K$3-$O$2,$Q$2)/$Q$2))</f>
        <v>963.078784773574</v>
      </c>
      <c r="L565" s="15" t="n">
        <f aca="false">K565*(1+IF(L$3&lt;=$O$2,$D565,$D565-($D565-$I$562)*MIN(L$3-$O$2,$Q$2)/$Q$2))</f>
        <v>937.056396008992</v>
      </c>
      <c r="M565" s="15" t="n">
        <f aca="false">L565*(1+IF(M$3&lt;=$O$2,$D565,$D565-($D565-$I$562)*MIN(M$3-$O$2,$Q$2)/$Q$2))</f>
        <v>942.341394082483</v>
      </c>
      <c r="N565" s="15" t="n">
        <f aca="false">M565*(1+IF(N$3&lt;=$O$2,$D565,$D565-($D565-$I$562)*MIN(N$3-$O$2,$Q$2)/$Q$2))</f>
        <v>978.433069475842</v>
      </c>
      <c r="O565" s="15" t="n">
        <f aca="false">SUMPRODUCT(E565:N565,1/(1+$F$562)^$E$3:$N$3)*$E$2</f>
        <v>4485.92173073116</v>
      </c>
      <c r="P565" s="15" t="n">
        <f aca="false">N565*$E$2*(1+$I$562)/($F$562-$I$562)/(1+$F$562)^$N$3</f>
        <v>5339.96066572231</v>
      </c>
      <c r="Q565" s="15" t="n">
        <f aca="false">O565+P565</f>
        <v>9825.88239645346</v>
      </c>
      <c r="R565" s="15" t="n">
        <f aca="false">Q565-$G$2+$I$2</f>
        <v>11735.5423964535</v>
      </c>
      <c r="S565" s="42" t="n">
        <f aca="false">R565/$K$2</f>
        <v>50.1454616777911</v>
      </c>
      <c r="T565" s="43" t="n">
        <f aca="false">S565-$M$2</f>
        <v>-59.8404375658956</v>
      </c>
    </row>
    <row r="566" customFormat="false" ht="15" hidden="false" customHeight="false" outlineLevel="0" collapsed="false">
      <c r="A566" s="5" t="n">
        <v>3</v>
      </c>
      <c r="B566" s="25" t="n">
        <f aca="false">IF(T565&gt;0,B565,D565)</f>
        <v>-0.125</v>
      </c>
      <c r="C566" s="25" t="n">
        <f aca="false">IF(T565&gt;0,D565,C565)</f>
        <v>0.25</v>
      </c>
      <c r="D566" s="41" t="n">
        <f aca="false">(B566+C566)/2</f>
        <v>0.0625</v>
      </c>
      <c r="E566" s="15" t="n">
        <f aca="false">$C$2*(1+IF(E$3&lt;=$O$2,$D566,$D566-($D566-$I$562)*MIN(E$3-$O$2,$Q$2)/$Q$2))</f>
        <v>2337.5</v>
      </c>
      <c r="F566" s="15" t="n">
        <f aca="false">E566*(1+IF(F$3&lt;=$O$2,$D566,$D566-($D566-$I$562)*MIN(F$3-$O$2,$Q$2)/$Q$2))</f>
        <v>2483.59375</v>
      </c>
      <c r="G566" s="15" t="n">
        <f aca="false">F566*(1+IF(G$3&lt;=$O$2,$D566,$D566-($D566-$I$562)*MIN(G$3-$O$2,$Q$2)/$Q$2))</f>
        <v>2638.818359375</v>
      </c>
      <c r="H566" s="15" t="n">
        <f aca="false">G566*(1+IF(H$3&lt;=$O$2,$D566,$D566-($D566-$I$562)*MIN(H$3-$O$2,$Q$2)/$Q$2))</f>
        <v>2803.74450683594</v>
      </c>
      <c r="I566" s="15" t="n">
        <f aca="false">H566*(1+IF(I$3&lt;=$O$2,$D566,$D566-($D566-$I$562)*MIN(I$3-$O$2,$Q$2)/$Q$2))</f>
        <v>2978.97853851318</v>
      </c>
      <c r="J566" s="15" t="n">
        <f aca="false">I566*(1+IF(J$3&lt;=$O$2,$D566,$D566-($D566-$I$562)*MIN(J$3-$O$2,$Q$2)/$Q$2))</f>
        <v>3150.74644104385</v>
      </c>
      <c r="K566" s="15" t="n">
        <f aca="false">J566*(1+IF(K$3&lt;=$O$2,$D566,$D566-($D566-$I$562)*MIN(K$3-$O$2,$Q$2)/$Q$2))</f>
        <v>3317.16886805979</v>
      </c>
      <c r="L566" s="15" t="n">
        <f aca="false">K566*(1+IF(L$3&lt;=$O$2,$D566,$D566-($D566-$I$562)*MIN(L$3-$O$2,$Q$2)/$Q$2))</f>
        <v>3476.3266303493</v>
      </c>
      <c r="M566" s="15" t="n">
        <f aca="false">L566*(1+IF(M$3&lt;=$O$2,$D566,$D566-($D566-$I$562)*MIN(M$3-$O$2,$Q$2)/$Q$2))</f>
        <v>3626.29536118257</v>
      </c>
      <c r="N566" s="15" t="n">
        <f aca="false">M566*(1+IF(N$3&lt;=$O$2,$D566,$D566-($D566-$I$562)*MIN(N$3-$O$2,$Q$2)/$Q$2))</f>
        <v>3765.18247351586</v>
      </c>
      <c r="O566" s="15" t="n">
        <f aca="false">SUMPRODUCT(E566:N566,1/(1+$F$562)^$E$3:$N$3)*$E$2</f>
        <v>10137.6556032959</v>
      </c>
      <c r="P566" s="15" t="n">
        <f aca="false">N566*$E$2*(1+$I$562)/($F$562-$I$562)/(1+$F$562)^$N$3</f>
        <v>20549.1074812227</v>
      </c>
      <c r="Q566" s="15" t="n">
        <f aca="false">O566+P566</f>
        <v>30686.7630845186</v>
      </c>
      <c r="R566" s="15" t="n">
        <f aca="false">Q566-$G$2+$I$2</f>
        <v>32596.4230845186</v>
      </c>
      <c r="S566" s="42" t="n">
        <f aca="false">R566/$K$2</f>
        <v>139.283096545394</v>
      </c>
      <c r="T566" s="43" t="n">
        <f aca="false">S566-$M$2</f>
        <v>29.2971973017075</v>
      </c>
    </row>
    <row r="567" customFormat="false" ht="15" hidden="false" customHeight="false" outlineLevel="0" collapsed="false">
      <c r="A567" s="5" t="n">
        <v>4</v>
      </c>
      <c r="B567" s="25" t="n">
        <f aca="false">IF(T566&gt;0,B566,D566)</f>
        <v>-0.125</v>
      </c>
      <c r="C567" s="25" t="n">
        <f aca="false">IF(T566&gt;0,D566,C566)</f>
        <v>0.0625</v>
      </c>
      <c r="D567" s="41" t="n">
        <f aca="false">(B567+C567)/2</f>
        <v>-0.03125</v>
      </c>
      <c r="E567" s="15" t="n">
        <f aca="false">$C$2*(1+IF(E$3&lt;=$O$2,$D567,$D567-($D567-$I$562)*MIN(E$3-$O$2,$Q$2)/$Q$2))</f>
        <v>2131.25</v>
      </c>
      <c r="F567" s="15" t="n">
        <f aca="false">E567*(1+IF(F$3&lt;=$O$2,$D567,$D567-($D567-$I$562)*MIN(F$3-$O$2,$Q$2)/$Q$2))</f>
        <v>2064.6484375</v>
      </c>
      <c r="G567" s="15" t="n">
        <f aca="false">F567*(1+IF(G$3&lt;=$O$2,$D567,$D567-($D567-$I$562)*MIN(G$3-$O$2,$Q$2)/$Q$2))</f>
        <v>2000.12817382813</v>
      </c>
      <c r="H567" s="15" t="n">
        <f aca="false">G567*(1+IF(H$3&lt;=$O$2,$D567,$D567-($D567-$I$562)*MIN(H$3-$O$2,$Q$2)/$Q$2))</f>
        <v>1937.624168396</v>
      </c>
      <c r="I567" s="15" t="n">
        <f aca="false">H567*(1+IF(I$3&lt;=$O$2,$D567,$D567-($D567-$I$562)*MIN(I$3-$O$2,$Q$2)/$Q$2))</f>
        <v>1877.07341313362</v>
      </c>
      <c r="J567" s="15" t="n">
        <f aca="false">I567*(1+IF(J$3&lt;=$O$2,$D567,$D567-($D567-$I$562)*MIN(J$3-$O$2,$Q$2)/$Q$2))</f>
        <v>1844.52496014988</v>
      </c>
      <c r="K567" s="15" t="n">
        <f aca="false">J567*(1+IF(K$3&lt;=$O$2,$D567,$D567-($D567-$I$562)*MIN(K$3-$O$2,$Q$2)/$Q$2))</f>
        <v>1838.19823953657</v>
      </c>
      <c r="L567" s="15" t="n">
        <f aca="false">K567*(1+IF(L$3&lt;=$O$2,$D567,$D567-($D567-$I$562)*MIN(L$3-$O$2,$Q$2)/$Q$2))</f>
        <v>1857.46255708691</v>
      </c>
      <c r="M567" s="15" t="n">
        <f aca="false">L567*(1+IF(M$3&lt;=$O$2,$D567,$D567-($D567-$I$562)*MIN(M$3-$O$2,$Q$2)/$Q$2))</f>
        <v>1902.76606885426</v>
      </c>
      <c r="N567" s="15" t="n">
        <f aca="false">M567*(1+IF(N$3&lt;=$O$2,$D567,$D567-($D567-$I$562)*MIN(N$3-$O$2,$Q$2)/$Q$2))</f>
        <v>1975.64200929138</v>
      </c>
      <c r="O567" s="15" t="n">
        <f aca="false">SUMPRODUCT(E567:N567,1/(1+$F$562)^$E$3:$N$3)*$E$2</f>
        <v>6724.89350872263</v>
      </c>
      <c r="P567" s="15" t="n">
        <f aca="false">N567*$E$2*(1+$I$562)/($F$562-$I$562)/(1+$F$562)^$N$3</f>
        <v>10782.3937561884</v>
      </c>
      <c r="Q567" s="15" t="n">
        <f aca="false">O567+P567</f>
        <v>17507.287264911</v>
      </c>
      <c r="R567" s="15" t="n">
        <f aca="false">Q567-$G$2+$I$2</f>
        <v>19416.947264911</v>
      </c>
      <c r="S567" s="42" t="n">
        <f aca="false">R567/$K$2</f>
        <v>82.9677702213862</v>
      </c>
      <c r="T567" s="43" t="n">
        <f aca="false">S567-$M$2</f>
        <v>-27.0181290223005</v>
      </c>
    </row>
    <row r="568" customFormat="false" ht="15" hidden="false" customHeight="false" outlineLevel="0" collapsed="false">
      <c r="A568" s="5" t="n">
        <v>5</v>
      </c>
      <c r="B568" s="25" t="n">
        <f aca="false">IF(T567&gt;0,B567,D567)</f>
        <v>-0.03125</v>
      </c>
      <c r="C568" s="25" t="n">
        <f aca="false">IF(T567&gt;0,D567,C567)</f>
        <v>0.0625</v>
      </c>
      <c r="D568" s="41" t="n">
        <f aca="false">(B568+C568)/2</f>
        <v>0.015625</v>
      </c>
      <c r="E568" s="15" t="n">
        <f aca="false">$C$2*(1+IF(E$3&lt;=$O$2,$D568,$D568-($D568-$I$562)*MIN(E$3-$O$2,$Q$2)/$Q$2))</f>
        <v>2234.375</v>
      </c>
      <c r="F568" s="15" t="n">
        <f aca="false">E568*(1+IF(F$3&lt;=$O$2,$D568,$D568-($D568-$I$562)*MIN(F$3-$O$2,$Q$2)/$Q$2))</f>
        <v>2269.287109375</v>
      </c>
      <c r="G568" s="15" t="n">
        <f aca="false">F568*(1+IF(G$3&lt;=$O$2,$D568,$D568-($D568-$I$562)*MIN(G$3-$O$2,$Q$2)/$Q$2))</f>
        <v>2304.74472045898</v>
      </c>
      <c r="H568" s="15" t="n">
        <f aca="false">G568*(1+IF(H$3&lt;=$O$2,$D568,$D568-($D568-$I$562)*MIN(H$3-$O$2,$Q$2)/$Q$2))</f>
        <v>2340.75635671616</v>
      </c>
      <c r="I568" s="15" t="n">
        <f aca="false">H568*(1+IF(I$3&lt;=$O$2,$D568,$D568-($D568-$I$562)*MIN(I$3-$O$2,$Q$2)/$Q$2))</f>
        <v>2377.33067478985</v>
      </c>
      <c r="J568" s="15" t="n">
        <f aca="false">I568*(1+IF(J$3&lt;=$O$2,$D568,$D568-($D568-$I$562)*MIN(J$3-$O$2,$Q$2)/$Q$2))</f>
        <v>2425.25766119361</v>
      </c>
      <c r="K568" s="15" t="n">
        <f aca="false">J568*(1+IF(K$3&lt;=$O$2,$D568,$D568-($D568-$I$562)*MIN(K$3-$O$2,$Q$2)/$Q$2))</f>
        <v>2485.14939913679</v>
      </c>
      <c r="L568" s="15" t="n">
        <f aca="false">K568*(1+IF(L$3&lt;=$O$2,$D568,$D568-($D568-$I$562)*MIN(L$3-$O$2,$Q$2)/$Q$2))</f>
        <v>2557.79031607355</v>
      </c>
      <c r="M568" s="15" t="n">
        <f aca="false">L568*(1+IF(M$3&lt;=$O$2,$D568,$D568-($D568-$I$562)*MIN(M$3-$O$2,$Q$2)/$Q$2))</f>
        <v>2644.15410609578</v>
      </c>
      <c r="N568" s="15" t="n">
        <f aca="false">M568*(1+IF(N$3&lt;=$O$2,$D568,$D568-($D568-$I$562)*MIN(N$3-$O$2,$Q$2)/$Q$2))</f>
        <v>2745.42520835925</v>
      </c>
      <c r="O568" s="15" t="n">
        <f aca="false">SUMPRODUCT(E568:N568,1/(1+$F$562)^$E$3:$N$3)*$E$2</f>
        <v>8253.81075562979</v>
      </c>
      <c r="P568" s="15" t="n">
        <f aca="false">N568*$E$2*(1+$I$562)/($F$562-$I$562)/(1+$F$562)^$N$3</f>
        <v>14983.6131675053</v>
      </c>
      <c r="Q568" s="15" t="n">
        <f aca="false">O568+P568</f>
        <v>23237.4239231351</v>
      </c>
      <c r="R568" s="15" t="n">
        <f aca="false">Q568-$G$2+$I$2</f>
        <v>25147.0839231351</v>
      </c>
      <c r="S568" s="42" t="n">
        <f aca="false">R568/$K$2</f>
        <v>107.452394663655</v>
      </c>
      <c r="T568" s="43" t="n">
        <f aca="false">S568-$M$2</f>
        <v>-2.53350458003217</v>
      </c>
    </row>
    <row r="569" customFormat="false" ht="15" hidden="false" customHeight="false" outlineLevel="0" collapsed="false">
      <c r="A569" s="5" t="n">
        <v>6</v>
      </c>
      <c r="B569" s="25" t="n">
        <f aca="false">IF(T568&gt;0,B568,D568)</f>
        <v>0.015625</v>
      </c>
      <c r="C569" s="25" t="n">
        <f aca="false">IF(T568&gt;0,D568,C568)</f>
        <v>0.0625</v>
      </c>
      <c r="D569" s="41" t="n">
        <f aca="false">(B569+C569)/2</f>
        <v>0.0390625</v>
      </c>
      <c r="E569" s="15" t="n">
        <f aca="false">$C$2*(1+IF(E$3&lt;=$O$2,$D569,$D569-($D569-$I$562)*MIN(E$3-$O$2,$Q$2)/$Q$2))</f>
        <v>2285.9375</v>
      </c>
      <c r="F569" s="15" t="n">
        <f aca="false">E569*(1+IF(F$3&lt;=$O$2,$D569,$D569-($D569-$I$562)*MIN(F$3-$O$2,$Q$2)/$Q$2))</f>
        <v>2375.23193359375</v>
      </c>
      <c r="G569" s="15" t="n">
        <f aca="false">F569*(1+IF(G$3&lt;=$O$2,$D569,$D569-($D569-$I$562)*MIN(G$3-$O$2,$Q$2)/$Q$2))</f>
        <v>2468.01443099976</v>
      </c>
      <c r="H569" s="15" t="n">
        <f aca="false">G569*(1+IF(H$3&lt;=$O$2,$D569,$D569-($D569-$I$562)*MIN(H$3-$O$2,$Q$2)/$Q$2))</f>
        <v>2564.42124471068</v>
      </c>
      <c r="I569" s="15" t="n">
        <f aca="false">H569*(1+IF(I$3&lt;=$O$2,$D569,$D569-($D569-$I$562)*MIN(I$3-$O$2,$Q$2)/$Q$2))</f>
        <v>2664.5939495822</v>
      </c>
      <c r="J569" s="15" t="n">
        <f aca="false">I569*(1+IF(J$3&lt;=$O$2,$D569,$D569-($D569-$I$562)*MIN(J$3-$O$2,$Q$2)/$Q$2))</f>
        <v>2768.27330016044</v>
      </c>
      <c r="K569" s="15" t="n">
        <f aca="false">J569*(1+IF(K$3&lt;=$O$2,$D569,$D569-($D569-$I$562)*MIN(K$3-$O$2,$Q$2)/$Q$2))</f>
        <v>2875.56465259141</v>
      </c>
      <c r="L569" s="15" t="n">
        <f aca="false">K569*(1+IF(L$3&lt;=$O$2,$D569,$D569-($D569-$I$562)*MIN(L$3-$O$2,$Q$2)/$Q$2))</f>
        <v>2986.5758260047</v>
      </c>
      <c r="M569" s="15" t="n">
        <f aca="false">L569*(1+IF(M$3&lt;=$O$2,$D569,$D569-($D569-$I$562)*MIN(M$3-$O$2,$Q$2)/$Q$2))</f>
        <v>3101.41713295414</v>
      </c>
      <c r="N569" s="15" t="n">
        <f aca="false">M569*(1+IF(N$3&lt;=$O$2,$D569,$D569-($D569-$I$562)*MIN(N$3-$O$2,$Q$2)/$Q$2))</f>
        <v>3220.20140914629</v>
      </c>
      <c r="O569" s="15" t="n">
        <f aca="false">SUMPRODUCT(E569:N569,1/(1+$F$562)^$E$3:$N$3)*$E$2</f>
        <v>9146.91519230014</v>
      </c>
      <c r="P569" s="15" t="n">
        <f aca="false">N569*$E$2*(1+$I$562)/($F$562-$I$562)/(1+$F$562)^$N$3</f>
        <v>17574.7829841408</v>
      </c>
      <c r="Q569" s="15" t="n">
        <f aca="false">O569+P569</f>
        <v>26721.698176441</v>
      </c>
      <c r="R569" s="15" t="n">
        <f aca="false">Q569-$G$2+$I$2</f>
        <v>28631.358176441</v>
      </c>
      <c r="S569" s="42" t="n">
        <f aca="false">R569/$K$2</f>
        <v>122.34054683776</v>
      </c>
      <c r="T569" s="43" t="n">
        <f aca="false">S569-$M$2</f>
        <v>12.3546475940733</v>
      </c>
    </row>
    <row r="570" customFormat="false" ht="15" hidden="false" customHeight="false" outlineLevel="0" collapsed="false">
      <c r="A570" s="5" t="n">
        <v>7</v>
      </c>
      <c r="B570" s="25" t="n">
        <f aca="false">IF(T569&gt;0,B569,D569)</f>
        <v>0.015625</v>
      </c>
      <c r="C570" s="25" t="n">
        <f aca="false">IF(T569&gt;0,D569,C569)</f>
        <v>0.0390625</v>
      </c>
      <c r="D570" s="41" t="n">
        <f aca="false">(B570+C570)/2</f>
        <v>0.02734375</v>
      </c>
      <c r="E570" s="15" t="n">
        <f aca="false">$C$2*(1+IF(E$3&lt;=$O$2,$D570,$D570-($D570-$I$562)*MIN(E$3-$O$2,$Q$2)/$Q$2))</f>
        <v>2260.15625</v>
      </c>
      <c r="F570" s="15" t="n">
        <f aca="false">E570*(1+IF(F$3&lt;=$O$2,$D570,$D570-($D570-$I$562)*MIN(F$3-$O$2,$Q$2)/$Q$2))</f>
        <v>2321.95739746094</v>
      </c>
      <c r="G570" s="15" t="n">
        <f aca="false">F570*(1+IF(G$3&lt;=$O$2,$D570,$D570-($D570-$I$562)*MIN(G$3-$O$2,$Q$2)/$Q$2))</f>
        <v>2385.44842004776</v>
      </c>
      <c r="H570" s="15" t="n">
        <f aca="false">G570*(1+IF(H$3&lt;=$O$2,$D570,$D570-($D570-$I$562)*MIN(H$3-$O$2,$Q$2)/$Q$2))</f>
        <v>2450.67552528344</v>
      </c>
      <c r="I570" s="15" t="n">
        <f aca="false">H570*(1+IF(I$3&lt;=$O$2,$D570,$D570-($D570-$I$562)*MIN(I$3-$O$2,$Q$2)/$Q$2))</f>
        <v>2517.68618417791</v>
      </c>
      <c r="J570" s="15" t="n">
        <f aca="false">I570*(1+IF(J$3&lt;=$O$2,$D570,$D570-($D570-$I$562)*MIN(J$3-$O$2,$Q$2)/$Q$2))</f>
        <v>2592.04604562761</v>
      </c>
      <c r="K570" s="15" t="n">
        <f aca="false">J570*(1+IF(K$3&lt;=$O$2,$D570,$D570-($D570-$I$562)*MIN(K$3-$O$2,$Q$2)/$Q$2))</f>
        <v>2674.2819464827</v>
      </c>
      <c r="L570" s="15" t="n">
        <f aca="false">K570*(1+IF(L$3&lt;=$O$2,$D570,$D570-($D570-$I$562)*MIN(L$3-$O$2,$Q$2)/$Q$2))</f>
        <v>2764.98690440252</v>
      </c>
      <c r="M570" s="15" t="n">
        <f aca="false">L570*(1+IF(M$3&lt;=$O$2,$D570,$D570-($D570-$I$562)*MIN(M$3-$O$2,$Q$2)/$Q$2))</f>
        <v>2864.82712528687</v>
      </c>
      <c r="N570" s="15" t="n">
        <f aca="false">M570*(1+IF(N$3&lt;=$O$2,$D570,$D570-($D570-$I$562)*MIN(N$3-$O$2,$Q$2)/$Q$2))</f>
        <v>2974.55000418536</v>
      </c>
      <c r="O570" s="15" t="n">
        <f aca="false">SUMPRODUCT(E570:N570,1/(1+$F$562)^$E$3:$N$3)*$E$2</f>
        <v>8688.74476665002</v>
      </c>
      <c r="P570" s="15" t="n">
        <f aca="false">N570*$E$2*(1+$I$562)/($F$562-$I$562)/(1+$F$562)^$N$3</f>
        <v>16234.0997213873</v>
      </c>
      <c r="Q570" s="15" t="n">
        <f aca="false">O570+P570</f>
        <v>24922.8444880374</v>
      </c>
      <c r="R570" s="15" t="n">
        <f aca="false">Q570-$G$2+$I$2</f>
        <v>26832.5044880374</v>
      </c>
      <c r="S570" s="42" t="n">
        <f aca="false">R570/$K$2</f>
        <v>114.654123351867</v>
      </c>
      <c r="T570" s="43" t="n">
        <f aca="false">S570-$M$2</f>
        <v>4.66822410817994</v>
      </c>
    </row>
    <row r="571" customFormat="false" ht="15" hidden="false" customHeight="false" outlineLevel="0" collapsed="false">
      <c r="A571" s="5" t="n">
        <v>8</v>
      </c>
      <c r="B571" s="25" t="n">
        <f aca="false">IF(T570&gt;0,B570,D570)</f>
        <v>0.015625</v>
      </c>
      <c r="C571" s="25" t="n">
        <f aca="false">IF(T570&gt;0,D570,C570)</f>
        <v>0.02734375</v>
      </c>
      <c r="D571" s="41" t="n">
        <f aca="false">(B571+C571)/2</f>
        <v>0.021484375</v>
      </c>
      <c r="E571" s="15" t="n">
        <f aca="false">$C$2*(1+IF(E$3&lt;=$O$2,$D571,$D571-($D571-$I$562)*MIN(E$3-$O$2,$Q$2)/$Q$2))</f>
        <v>2247.265625</v>
      </c>
      <c r="F571" s="15" t="n">
        <f aca="false">E571*(1+IF(F$3&lt;=$O$2,$D571,$D571-($D571-$I$562)*MIN(F$3-$O$2,$Q$2)/$Q$2))</f>
        <v>2295.54672241211</v>
      </c>
      <c r="G571" s="15" t="n">
        <f aca="false">F571*(1+IF(G$3&lt;=$O$2,$D571,$D571-($D571-$I$562)*MIN(G$3-$O$2,$Q$2)/$Q$2))</f>
        <v>2344.86510902643</v>
      </c>
      <c r="H571" s="15" t="n">
        <f aca="false">G571*(1+IF(H$3&lt;=$O$2,$D571,$D571-($D571-$I$562)*MIN(H$3-$O$2,$Q$2)/$Q$2))</f>
        <v>2395.24307035317</v>
      </c>
      <c r="I571" s="15" t="n">
        <f aca="false">H571*(1+IF(I$3&lt;=$O$2,$D571,$D571-($D571-$I$562)*MIN(I$3-$O$2,$Q$2)/$Q$2))</f>
        <v>2446.70337069279</v>
      </c>
      <c r="J571" s="15" t="n">
        <f aca="false">I571*(1+IF(J$3&lt;=$O$2,$D571,$D571-($D571-$I$562)*MIN(J$3-$O$2,$Q$2)/$Q$2))</f>
        <v>2507.49783269608</v>
      </c>
      <c r="K571" s="15" t="n">
        <f aca="false">J571*(1+IF(K$3&lt;=$O$2,$D571,$D571-($D571-$I$562)*MIN(K$3-$O$2,$Q$2)/$Q$2))</f>
        <v>2578.23591374258</v>
      </c>
      <c r="L571" s="15" t="n">
        <f aca="false">K571*(1+IF(L$3&lt;=$O$2,$D571,$D571-($D571-$I$562)*MIN(L$3-$O$2,$Q$2)/$Q$2))</f>
        <v>2659.64048992411</v>
      </c>
      <c r="M571" s="15" t="n">
        <f aca="false">L571*(1+IF(M$3&lt;=$O$2,$D571,$D571-($D571-$I$562)*MIN(M$3-$O$2,$Q$2)/$Q$2))</f>
        <v>2752.56001726553</v>
      </c>
      <c r="N571" s="15" t="n">
        <f aca="false">M571*(1+IF(N$3&lt;=$O$2,$D571,$D571-($D571-$I$562)*MIN(N$3-$O$2,$Q$2)/$Q$2))</f>
        <v>2857.9830659268</v>
      </c>
      <c r="O571" s="15" t="n">
        <f aca="false">SUMPRODUCT(E571:N571,1/(1+$F$562)^$E$3:$N$3)*$E$2</f>
        <v>8468.44380682985</v>
      </c>
      <c r="P571" s="15" t="n">
        <f aca="false">N571*$E$2*(1+$I$562)/($F$562-$I$562)/(1+$F$562)^$N$3</f>
        <v>15597.9163332299</v>
      </c>
      <c r="Q571" s="15" t="n">
        <f aca="false">O571+P571</f>
        <v>24066.3601400598</v>
      </c>
      <c r="R571" s="15" t="n">
        <f aca="false">Q571-$G$2+$I$2</f>
        <v>25976.0201400598</v>
      </c>
      <c r="S571" s="42" t="n">
        <f aca="false">R571/$K$2</f>
        <v>110.994403025509</v>
      </c>
      <c r="T571" s="43" t="n">
        <f aca="false">S571-$M$2</f>
        <v>1.00850378182194</v>
      </c>
    </row>
    <row r="572" customFormat="false" ht="15" hidden="false" customHeight="false" outlineLevel="0" collapsed="false">
      <c r="A572" s="5" t="n">
        <v>9</v>
      </c>
      <c r="B572" s="25" t="n">
        <f aca="false">IF(T571&gt;0,B571,D571)</f>
        <v>0.015625</v>
      </c>
      <c r="C572" s="25" t="n">
        <f aca="false">IF(T571&gt;0,D571,C571)</f>
        <v>0.021484375</v>
      </c>
      <c r="D572" s="41" t="n">
        <f aca="false">(B572+C572)/2</f>
        <v>0.0185546875</v>
      </c>
      <c r="E572" s="15" t="n">
        <f aca="false">$C$2*(1+IF(E$3&lt;=$O$2,$D572,$D572-($D572-$I$562)*MIN(E$3-$O$2,$Q$2)/$Q$2))</f>
        <v>2240.8203125</v>
      </c>
      <c r="F572" s="15" t="n">
        <f aca="false">E572*(1+IF(F$3&lt;=$O$2,$D572,$D572-($D572-$I$562)*MIN(F$3-$O$2,$Q$2)/$Q$2))</f>
        <v>2282.39803314209</v>
      </c>
      <c r="G572" s="15" t="n">
        <f aca="false">F572*(1+IF(G$3&lt;=$O$2,$D572,$D572-($D572-$I$562)*MIN(G$3-$O$2,$Q$2)/$Q$2))</f>
        <v>2324.74721539766</v>
      </c>
      <c r="H572" s="15" t="n">
        <f aca="false">G572*(1+IF(H$3&lt;=$O$2,$D572,$D572-($D572-$I$562)*MIN(H$3-$O$2,$Q$2)/$Q$2))</f>
        <v>2367.88217349585</v>
      </c>
      <c r="I572" s="15" t="n">
        <f aca="false">H572*(1+IF(I$3&lt;=$O$2,$D572,$D572-($D572-$I$562)*MIN(I$3-$O$2,$Q$2)/$Q$2))</f>
        <v>2411.81748726189</v>
      </c>
      <c r="J572" s="15" t="n">
        <f aca="false">I572*(1+IF(J$3&lt;=$O$2,$D572,$D572-($D572-$I$562)*MIN(J$3-$O$2,$Q$2)/$Q$2))</f>
        <v>2466.09242504086</v>
      </c>
      <c r="K572" s="15" t="n">
        <f aca="false">J572*(1+IF(K$3&lt;=$O$2,$D572,$D572-($D572-$I$562)*MIN(K$3-$O$2,$Q$2)/$Q$2))</f>
        <v>2531.32750556814</v>
      </c>
      <c r="L572" s="15" t="n">
        <f aca="false">K572*(1+IF(L$3&lt;=$O$2,$D572,$D572-($D572-$I$562)*MIN(L$3-$O$2,$Q$2)/$Q$2))</f>
        <v>2608.28460797648</v>
      </c>
      <c r="M572" s="15" t="n">
        <f aca="false">L572*(1+IF(M$3&lt;=$O$2,$D572,$D572-($D572-$I$562)*MIN(M$3-$O$2,$Q$2)/$Q$2))</f>
        <v>2697.88162952729</v>
      </c>
      <c r="N572" s="15" t="n">
        <f aca="false">M572*(1+IF(N$3&lt;=$O$2,$D572,$D572-($D572-$I$562)*MIN(N$3-$O$2,$Q$2)/$Q$2))</f>
        <v>2801.21049593819</v>
      </c>
      <c r="O572" s="15" t="n">
        <f aca="false">SUMPRODUCT(E572:N572,1/(1+$F$562)^$E$3:$N$3)*$E$2</f>
        <v>8360.42745368033</v>
      </c>
      <c r="P572" s="15" t="n">
        <f aca="false">N572*$E$2*(1+$I$562)/($F$562-$I$562)/(1+$F$562)^$N$3</f>
        <v>15288.0706216642</v>
      </c>
      <c r="Q572" s="15" t="n">
        <f aca="false">O572+P572</f>
        <v>23648.4980753446</v>
      </c>
      <c r="R572" s="15" t="n">
        <f aca="false">Q572-$G$2+$I$2</f>
        <v>25558.1580753446</v>
      </c>
      <c r="S572" s="42" t="n">
        <f aca="false">R572/$K$2</f>
        <v>109.208896617291</v>
      </c>
      <c r="T572" s="43" t="n">
        <f aca="false">S572-$M$2</f>
        <v>-0.777002626395841</v>
      </c>
    </row>
    <row r="573" customFormat="false" ht="15" hidden="false" customHeight="false" outlineLevel="0" collapsed="false">
      <c r="A573" s="5" t="n">
        <v>10</v>
      </c>
      <c r="B573" s="25" t="n">
        <f aca="false">IF(T572&gt;0,B572,D572)</f>
        <v>0.0185546875</v>
      </c>
      <c r="C573" s="25" t="n">
        <f aca="false">IF(T572&gt;0,D572,C572)</f>
        <v>0.021484375</v>
      </c>
      <c r="D573" s="41" t="n">
        <f aca="false">(B573+C573)/2</f>
        <v>0.02001953125</v>
      </c>
      <c r="E573" s="15" t="n">
        <f aca="false">$C$2*(1+IF(E$3&lt;=$O$2,$D573,$D573-($D573-$I$562)*MIN(E$3-$O$2,$Q$2)/$Q$2))</f>
        <v>2244.04296875</v>
      </c>
      <c r="F573" s="15" t="n">
        <f aca="false">E573*(1+IF(F$3&lt;=$O$2,$D573,$D573-($D573-$I$562)*MIN(F$3-$O$2,$Q$2)/$Q$2))</f>
        <v>2288.96765708923</v>
      </c>
      <c r="G573" s="15" t="n">
        <f aca="false">F573*(1+IF(G$3&lt;=$O$2,$D573,$D573-($D573-$I$562)*MIN(G$3-$O$2,$Q$2)/$Q$2))</f>
        <v>2334.79171663057</v>
      </c>
      <c r="H573" s="15" t="n">
        <f aca="false">G573*(1+IF(H$3&lt;=$O$2,$D573,$D573-($D573-$I$562)*MIN(H$3-$O$2,$Q$2)/$Q$2))</f>
        <v>2381.5331523639</v>
      </c>
      <c r="I573" s="15" t="n">
        <f aca="false">H573*(1+IF(I$3&lt;=$O$2,$D573,$D573-($D573-$I$562)*MIN(I$3-$O$2,$Q$2)/$Q$2))</f>
        <v>2429.21032973056</v>
      </c>
      <c r="J573" s="15" t="n">
        <f aca="false">I573*(1+IF(J$3&lt;=$O$2,$D573,$D573-($D573-$I$562)*MIN(J$3-$O$2,$Q$2)/$Q$2))</f>
        <v>2486.72340254339</v>
      </c>
      <c r="K573" s="15" t="n">
        <f aca="false">J573*(1+IF(K$3&lt;=$O$2,$D573,$D573-($D573-$I$562)*MIN(K$3-$O$2,$Q$2)/$Q$2))</f>
        <v>2554.68982719074</v>
      </c>
      <c r="L573" s="15" t="n">
        <f aca="false">K573*(1+IF(L$3&lt;=$O$2,$D573,$D573-($D573-$I$562)*MIN(L$3-$O$2,$Q$2)/$Q$2))</f>
        <v>2633.85407655139</v>
      </c>
      <c r="M573" s="15" t="n">
        <f aca="false">L573*(1+IF(M$3&lt;=$O$2,$D573,$D573-($D573-$I$562)*MIN(M$3-$O$2,$Q$2)/$Q$2))</f>
        <v>2725.10107025561</v>
      </c>
      <c r="N573" s="15" t="n">
        <f aca="false">M573*(1+IF(N$3&lt;=$O$2,$D573,$D573-($D573-$I$562)*MIN(N$3-$O$2,$Q$2)/$Q$2))</f>
        <v>2829.4724412464</v>
      </c>
      <c r="O573" s="15" t="n">
        <f aca="false">SUMPRODUCT(E573:N573,1/(1+$F$562)^$E$3:$N$3)*$E$2</f>
        <v>8414.25959796221</v>
      </c>
      <c r="P573" s="15" t="n">
        <f aca="false">N573*$E$2*(1+$I$562)/($F$562-$I$562)/(1+$F$562)^$N$3</f>
        <v>15442.3148729992</v>
      </c>
      <c r="Q573" s="15" t="n">
        <f aca="false">O573+P573</f>
        <v>23856.5744709614</v>
      </c>
      <c r="R573" s="15" t="n">
        <f aca="false">Q573-$G$2+$I$2</f>
        <v>25766.2344709614</v>
      </c>
      <c r="S573" s="42" t="n">
        <f aca="false">R573/$K$2</f>
        <v>110.097997995819</v>
      </c>
      <c r="T573" s="43" t="n">
        <f aca="false">S573-$M$2</f>
        <v>0.112098752131843</v>
      </c>
    </row>
    <row r="574" customFormat="false" ht="15" hidden="false" customHeight="false" outlineLevel="0" collapsed="false">
      <c r="A574" s="5" t="n">
        <v>11</v>
      </c>
      <c r="B574" s="25" t="n">
        <f aca="false">IF(T573&gt;0,B573,D573)</f>
        <v>0.0185546875</v>
      </c>
      <c r="C574" s="25" t="n">
        <f aca="false">IF(T573&gt;0,D573,C573)</f>
        <v>0.02001953125</v>
      </c>
      <c r="D574" s="41" t="n">
        <f aca="false">(B574+C574)/2</f>
        <v>0.019287109375</v>
      </c>
      <c r="E574" s="15" t="n">
        <f aca="false">$C$2*(1+IF(E$3&lt;=$O$2,$D574,$D574-($D574-$I$562)*MIN(E$3-$O$2,$Q$2)/$Q$2))</f>
        <v>2242.431640625</v>
      </c>
      <c r="F574" s="15" t="n">
        <f aca="false">E574*(1+IF(F$3&lt;=$O$2,$D574,$D574-($D574-$I$562)*MIN(F$3-$O$2,$Q$2)/$Q$2))</f>
        <v>2285.6816649437</v>
      </c>
      <c r="G574" s="15" t="n">
        <f aca="false">F574*(1+IF(G$3&lt;=$O$2,$D574,$D574-($D574-$I$562)*MIN(G$3-$O$2,$Q$2)/$Q$2))</f>
        <v>2329.7658572119</v>
      </c>
      <c r="H574" s="15" t="n">
        <f aca="false">G574*(1+IF(H$3&lt;=$O$2,$D574,$D574-($D574-$I$562)*MIN(H$3-$O$2,$Q$2)/$Q$2))</f>
        <v>2374.70030611808</v>
      </c>
      <c r="I574" s="15" t="n">
        <f aca="false">H574*(1+IF(I$3&lt;=$O$2,$D574,$D574-($D574-$I$562)*MIN(I$3-$O$2,$Q$2)/$Q$2))</f>
        <v>2420.50141065503</v>
      </c>
      <c r="J574" s="15" t="n">
        <f aca="false">I574*(1+IF(J$3&lt;=$O$2,$D574,$D574-($D574-$I$562)*MIN(J$3-$O$2,$Q$2)/$Q$2))</f>
        <v>2476.39003182036</v>
      </c>
      <c r="K574" s="15" t="n">
        <f aca="false">J574*(1+IF(K$3&lt;=$O$2,$D574,$D574-($D574-$I$562)*MIN(K$3-$O$2,$Q$2)/$Q$2))</f>
        <v>2542.98577034718</v>
      </c>
      <c r="L574" s="15" t="n">
        <f aca="false">K574*(1+IF(L$3&lt;=$O$2,$D574,$D574-($D574-$I$562)*MIN(L$3-$O$2,$Q$2)/$Q$2))</f>
        <v>2621.04232122646</v>
      </c>
      <c r="M574" s="15" t="n">
        <f aca="false">L574*(1+IF(M$3&lt;=$O$2,$D574,$D574-($D574-$I$562)*MIN(M$3-$O$2,$Q$2)/$Q$2))</f>
        <v>2711.46152393404</v>
      </c>
      <c r="N574" s="15" t="n">
        <f aca="false">M574*(1+IF(N$3&lt;=$O$2,$D574,$D574-($D574-$I$562)*MIN(N$3-$O$2,$Q$2)/$Q$2))</f>
        <v>2815.31050030071</v>
      </c>
      <c r="O574" s="15" t="n">
        <f aca="false">SUMPRODUCT(E574:N574,1/(1+$F$562)^$E$3:$N$3)*$E$2</f>
        <v>8387.29965262299</v>
      </c>
      <c r="P574" s="15" t="n">
        <f aca="false">N574*$E$2*(1+$I$562)/($F$562-$I$562)/(1+$F$562)^$N$3</f>
        <v>15365.023732747</v>
      </c>
      <c r="Q574" s="15" t="n">
        <f aca="false">O574+P574</f>
        <v>23752.3233853699</v>
      </c>
      <c r="R574" s="15" t="n">
        <f aca="false">Q574-$G$2+$I$2</f>
        <v>25661.9833853699</v>
      </c>
      <c r="S574" s="42" t="n">
        <f aca="false">R574/$K$2</f>
        <v>109.652537646327</v>
      </c>
      <c r="T574" s="43" t="n">
        <f aca="false">S574-$M$2</f>
        <v>-0.333361597359541</v>
      </c>
    </row>
    <row r="575" customFormat="false" ht="15" hidden="false" customHeight="false" outlineLevel="0" collapsed="false">
      <c r="A575" s="5" t="n">
        <v>12</v>
      </c>
      <c r="B575" s="25" t="n">
        <f aca="false">IF(T574&gt;0,B574,D574)</f>
        <v>0.019287109375</v>
      </c>
      <c r="C575" s="25" t="n">
        <f aca="false">IF(T574&gt;0,D574,C574)</f>
        <v>0.02001953125</v>
      </c>
      <c r="D575" s="41" t="n">
        <f aca="false">(B575+C575)/2</f>
        <v>0.0196533203125</v>
      </c>
      <c r="E575" s="15" t="n">
        <f aca="false">$C$2*(1+IF(E$3&lt;=$O$2,$D575,$D575-($D575-$I$562)*MIN(E$3-$O$2,$Q$2)/$Q$2))</f>
        <v>2243.2373046875</v>
      </c>
      <c r="F575" s="15" t="n">
        <f aca="false">E575*(1+IF(F$3&lt;=$O$2,$D575,$D575-($D575-$I$562)*MIN(F$3-$O$2,$Q$2)/$Q$2))</f>
        <v>2287.32436597347</v>
      </c>
      <c r="G575" s="15" t="n">
        <f aca="false">F575*(1+IF(G$3&lt;=$O$2,$D575,$D575-($D575-$I$562)*MIN(G$3-$O$2,$Q$2)/$Q$2))</f>
        <v>2332.27788439654</v>
      </c>
      <c r="H575" s="15" t="n">
        <f aca="false">G575*(1+IF(H$3&lt;=$O$2,$D575,$D575-($D575-$I$562)*MIN(H$3-$O$2,$Q$2)/$Q$2))</f>
        <v>2378.11488871634</v>
      </c>
      <c r="I575" s="15" t="n">
        <f aca="false">H575*(1+IF(I$3&lt;=$O$2,$D575,$D575-($D575-$I$562)*MIN(I$3-$O$2,$Q$2)/$Q$2))</f>
        <v>2424.85274236421</v>
      </c>
      <c r="J575" s="15" t="n">
        <f aca="false">I575*(1+IF(J$3&lt;=$O$2,$D575,$D575-($D575-$I$562)*MIN(J$3-$O$2,$Q$2)/$Q$2))</f>
        <v>2481.55224049578</v>
      </c>
      <c r="K575" s="15" t="n">
        <f aca="false">J575*(1+IF(K$3&lt;=$O$2,$D575,$D575-($D575-$I$562)*MIN(K$3-$O$2,$Q$2)/$Q$2))</f>
        <v>2548.83206545298</v>
      </c>
      <c r="L575" s="15" t="n">
        <f aca="false">K575*(1+IF(L$3&lt;=$O$2,$D575,$D575-($D575-$I$562)*MIN(L$3-$O$2,$Q$2)/$Q$2))</f>
        <v>2627.44143151913</v>
      </c>
      <c r="M575" s="15" t="n">
        <f aca="false">L575*(1+IF(M$3&lt;=$O$2,$D575,$D575-($D575-$I$562)*MIN(M$3-$O$2,$Q$2)/$Q$2))</f>
        <v>2718.27382659207</v>
      </c>
      <c r="N575" s="15" t="n">
        <f aca="false">M575*(1+IF(N$3&lt;=$O$2,$D575,$D575-($D575-$I$562)*MIN(N$3-$O$2,$Q$2)/$Q$2))</f>
        <v>2822.38371415055</v>
      </c>
      <c r="O575" s="15" t="n">
        <f aca="false">SUMPRODUCT(E575:N575,1/(1+$F$562)^$E$3:$N$3)*$E$2</f>
        <v>8400.76864016181</v>
      </c>
      <c r="P575" s="15" t="n">
        <f aca="false">N575*$E$2*(1+$I$562)/($F$562-$I$562)/(1+$F$562)^$N$3</f>
        <v>15403.6269698173</v>
      </c>
      <c r="Q575" s="15" t="n">
        <f aca="false">O575+P575</f>
        <v>23804.3956099791</v>
      </c>
      <c r="R575" s="15" t="n">
        <f aca="false">Q575-$G$2+$I$2</f>
        <v>25714.0556099791</v>
      </c>
      <c r="S575" s="42" t="n">
        <f aca="false">R575/$K$2</f>
        <v>109.875039994783</v>
      </c>
      <c r="T575" s="43" t="n">
        <f aca="false">S575-$M$2</f>
        <v>-0.110859248903694</v>
      </c>
    </row>
    <row r="576" customFormat="false" ht="15" hidden="false" customHeight="false" outlineLevel="0" collapsed="false">
      <c r="A576" s="5" t="n">
        <v>13</v>
      </c>
      <c r="B576" s="25" t="n">
        <f aca="false">IF(T575&gt;0,B575,D575)</f>
        <v>0.0196533203125</v>
      </c>
      <c r="C576" s="25" t="n">
        <f aca="false">IF(T575&gt;0,D575,C575)</f>
        <v>0.02001953125</v>
      </c>
      <c r="D576" s="41" t="n">
        <f aca="false">(B576+C576)/2</f>
        <v>0.01983642578125</v>
      </c>
      <c r="E576" s="15" t="n">
        <f aca="false">$C$2*(1+IF(E$3&lt;=$O$2,$D576,$D576-($D576-$I$562)*MIN(E$3-$O$2,$Q$2)/$Q$2))</f>
        <v>2243.64013671875</v>
      </c>
      <c r="F576" s="15" t="n">
        <f aca="false">E576*(1+IF(F$3&lt;=$O$2,$D576,$D576-($D576-$I$562)*MIN(F$3-$O$2,$Q$2)/$Q$2))</f>
        <v>2288.14593777061</v>
      </c>
      <c r="G576" s="15" t="n">
        <f aca="false">F576*(1+IF(G$3&lt;=$O$2,$D576,$D576-($D576-$I$562)*MIN(G$3-$O$2,$Q$2)/$Q$2))</f>
        <v>2333.53457484186</v>
      </c>
      <c r="H576" s="15" t="n">
        <f aca="false">G576*(1+IF(H$3&lt;=$O$2,$D576,$D576-($D576-$I$562)*MIN(H$3-$O$2,$Q$2)/$Q$2))</f>
        <v>2379.82356024369</v>
      </c>
      <c r="I576" s="15" t="n">
        <f aca="false">H576*(1+IF(I$3&lt;=$O$2,$D576,$D576-($D576-$I$562)*MIN(I$3-$O$2,$Q$2)/$Q$2))</f>
        <v>2427.03075366894</v>
      </c>
      <c r="J576" s="15" t="n">
        <f aca="false">I576*(1+IF(J$3&lt;=$O$2,$D576,$D576-($D576-$I$562)*MIN(J$3-$O$2,$Q$2)/$Q$2))</f>
        <v>2484.13670157321</v>
      </c>
      <c r="K576" s="15" t="n">
        <f aca="false">J576*(1+IF(K$3&lt;=$O$2,$D576,$D576-($D576-$I$562)*MIN(K$3-$O$2,$Q$2)/$Q$2))</f>
        <v>2551.75951182806</v>
      </c>
      <c r="L576" s="15" t="n">
        <f aca="false">K576*(1+IF(L$3&lt;=$O$2,$D576,$D576-($D576-$I$562)*MIN(L$3-$O$2,$Q$2)/$Q$2))</f>
        <v>2630.64606067705</v>
      </c>
      <c r="M576" s="15" t="n">
        <f aca="false">L576*(1+IF(M$3&lt;=$O$2,$D576,$D576-($D576-$I$562)*MIN(M$3-$O$2,$Q$2)/$Q$2))</f>
        <v>2721.68557904407</v>
      </c>
      <c r="N576" s="15" t="n">
        <f aca="false">M576*(1+IF(N$3&lt;=$O$2,$D576,$D576-($D576-$I$562)*MIN(N$3-$O$2,$Q$2)/$Q$2))</f>
        <v>2825.92613672146</v>
      </c>
      <c r="O576" s="15" t="n">
        <f aca="false">SUMPRODUCT(E576:N576,1/(1+$F$562)^$E$3:$N$3)*$E$2</f>
        <v>8407.51137067295</v>
      </c>
      <c r="P576" s="15" t="n">
        <f aca="false">N576*$E$2*(1+$I$562)/($F$562-$I$562)/(1+$F$562)^$N$3</f>
        <v>15422.9603282044</v>
      </c>
      <c r="Q576" s="15" t="n">
        <f aca="false">O576+P576</f>
        <v>23830.4716988774</v>
      </c>
      <c r="R576" s="15" t="n">
        <f aca="false">Q576-$G$2+$I$2</f>
        <v>25740.1316988774</v>
      </c>
      <c r="S576" s="42" t="n">
        <f aca="false">R576/$K$2</f>
        <v>109.986461987255</v>
      </c>
      <c r="T576" s="43" t="n">
        <f aca="false">S576-$M$2</f>
        <v>0.000562743568607971</v>
      </c>
    </row>
    <row r="577" customFormat="false" ht="15" hidden="false" customHeight="false" outlineLevel="0" collapsed="false">
      <c r="A577" s="5" t="n">
        <v>14</v>
      </c>
      <c r="B577" s="25" t="n">
        <f aca="false">IF(T576&gt;0,B576,D576)</f>
        <v>0.0196533203125</v>
      </c>
      <c r="C577" s="25" t="n">
        <f aca="false">IF(T576&gt;0,D576,C576)</f>
        <v>0.01983642578125</v>
      </c>
      <c r="D577" s="41" t="n">
        <f aca="false">(B577+C577)/2</f>
        <v>0.019744873046875</v>
      </c>
      <c r="E577" s="15" t="n">
        <f aca="false">$C$2*(1+IF(E$3&lt;=$O$2,$D577,$D577-($D577-$I$562)*MIN(E$3-$O$2,$Q$2)/$Q$2))</f>
        <v>2243.43872070313</v>
      </c>
      <c r="F577" s="15" t="n">
        <f aca="false">E577*(1+IF(F$3&lt;=$O$2,$D577,$D577-($D577-$I$562)*MIN(F$3-$O$2,$Q$2)/$Q$2))</f>
        <v>2287.73513343185</v>
      </c>
      <c r="G577" s="15" t="n">
        <f aca="false">F577*(1+IF(G$3&lt;=$O$2,$D577,$D577-($D577-$I$562)*MIN(G$3-$O$2,$Q$2)/$Q$2))</f>
        <v>2332.90617320634</v>
      </c>
      <c r="H577" s="15" t="n">
        <f aca="false">G577*(1+IF(H$3&lt;=$O$2,$D577,$D577-($D577-$I$562)*MIN(H$3-$O$2,$Q$2)/$Q$2))</f>
        <v>2378.96910942657</v>
      </c>
      <c r="I577" s="15" t="n">
        <f aca="false">H577*(1+IF(I$3&lt;=$O$2,$D577,$D577-($D577-$I$562)*MIN(I$3-$O$2,$Q$2)/$Q$2))</f>
        <v>2425.94155247463</v>
      </c>
      <c r="J577" s="15" t="n">
        <f aca="false">I577*(1+IF(J$3&lt;=$O$2,$D577,$D577-($D577-$I$562)*MIN(J$3-$O$2,$Q$2)/$Q$2))</f>
        <v>2482.84419114479</v>
      </c>
      <c r="K577" s="15" t="n">
        <f aca="false">J577*(1+IF(K$3&lt;=$O$2,$D577,$D577-($D577-$I$562)*MIN(K$3-$O$2,$Q$2)/$Q$2))</f>
        <v>2550.29543016272</v>
      </c>
      <c r="L577" s="15" t="n">
        <f aca="false">K577*(1+IF(L$3&lt;=$O$2,$D577,$D577-($D577-$I$562)*MIN(L$3-$O$2,$Q$2)/$Q$2))</f>
        <v>2629.0433229481</v>
      </c>
      <c r="M577" s="15" t="n">
        <f aca="false">L577*(1+IF(M$3&lt;=$O$2,$D577,$D577-($D577-$I$562)*MIN(M$3-$O$2,$Q$2)/$Q$2))</f>
        <v>2719.9792356925</v>
      </c>
      <c r="N577" s="15" t="n">
        <f aca="false">M577*(1+IF(N$3&lt;=$O$2,$D577,$D577-($D577-$I$562)*MIN(N$3-$O$2,$Q$2)/$Q$2))</f>
        <v>2824.15444041952</v>
      </c>
      <c r="O577" s="15" t="n">
        <f aca="false">SUMPRODUCT(E577:N577,1/(1+$F$562)^$E$3:$N$3)*$E$2</f>
        <v>8404.13931858352</v>
      </c>
      <c r="P577" s="15" t="n">
        <f aca="false">N577*$E$2*(1+$I$562)/($F$562-$I$562)/(1+$F$562)^$N$3</f>
        <v>15413.291001953</v>
      </c>
      <c r="Q577" s="15" t="n">
        <f aca="false">O577+P577</f>
        <v>23817.4303205365</v>
      </c>
      <c r="R577" s="15" t="n">
        <f aca="false">Q577-$G$2+$I$2</f>
        <v>25727.0903205365</v>
      </c>
      <c r="S577" s="42" t="n">
        <f aca="false">R577/$K$2</f>
        <v>109.930736745445</v>
      </c>
      <c r="T577" s="43" t="n">
        <f aca="false">S577-$M$2</f>
        <v>-0.0551624982417422</v>
      </c>
    </row>
    <row r="578" customFormat="false" ht="15" hidden="false" customHeight="false" outlineLevel="0" collapsed="false">
      <c r="A578" s="5" t="n">
        <v>15</v>
      </c>
      <c r="B578" s="25" t="n">
        <f aca="false">IF(T577&gt;0,B577,D577)</f>
        <v>0.019744873046875</v>
      </c>
      <c r="C578" s="25" t="n">
        <f aca="false">IF(T577&gt;0,D577,C577)</f>
        <v>0.01983642578125</v>
      </c>
      <c r="D578" s="41" t="n">
        <f aca="false">(B578+C578)/2</f>
        <v>0.0197906494140625</v>
      </c>
      <c r="E578" s="15" t="n">
        <f aca="false">$C$2*(1+IF(E$3&lt;=$O$2,$D578,$D578-($D578-$I$562)*MIN(E$3-$O$2,$Q$2)/$Q$2))</f>
        <v>2243.53942871094</v>
      </c>
      <c r="F578" s="15" t="n">
        <f aca="false">E578*(1+IF(F$3&lt;=$O$2,$D578,$D578-($D578-$I$562)*MIN(F$3-$O$2,$Q$2)/$Q$2))</f>
        <v>2287.94053099118</v>
      </c>
      <c r="G578" s="15" t="n">
        <f aca="false">F578*(1+IF(G$3&lt;=$O$2,$D578,$D578-($D578-$I$562)*MIN(G$3-$O$2,$Q$2)/$Q$2))</f>
        <v>2333.22035992025</v>
      </c>
      <c r="H578" s="15" t="n">
        <f aca="false">G578*(1+IF(H$3&lt;=$O$2,$D578,$D578-($D578-$I$562)*MIN(H$3-$O$2,$Q$2)/$Q$2))</f>
        <v>2379.39630606919</v>
      </c>
      <c r="I578" s="15" t="n">
        <f aca="false">H578*(1+IF(I$3&lt;=$O$2,$D578,$D578-($D578-$I$562)*MIN(I$3-$O$2,$Q$2)/$Q$2))</f>
        <v>2426.48610417972</v>
      </c>
      <c r="J578" s="15" t="n">
        <f aca="false">I578*(1+IF(J$3&lt;=$O$2,$D578,$D578-($D578-$I$562)*MIN(J$3-$O$2,$Q$2)/$Q$2))</f>
        <v>2483.49037637447</v>
      </c>
      <c r="K578" s="15" t="n">
        <f aca="false">J578*(1+IF(K$3&lt;=$O$2,$D578,$D578-($D578-$I$562)*MIN(K$3-$O$2,$Q$2)/$Q$2))</f>
        <v>2551.02738135774</v>
      </c>
      <c r="L578" s="15" t="n">
        <f aca="false">K578*(1+IF(L$3&lt;=$O$2,$D578,$D578-($D578-$I$562)*MIN(L$3-$O$2,$Q$2)/$Q$2))</f>
        <v>2629.84458600139</v>
      </c>
      <c r="M578" s="15" t="n">
        <f aca="false">L578*(1+IF(M$3&lt;=$O$2,$D578,$D578-($D578-$I$562)*MIN(M$3-$O$2,$Q$2)/$Q$2))</f>
        <v>2720.83229055948</v>
      </c>
      <c r="N578" s="15" t="n">
        <f aca="false">M578*(1+IF(N$3&lt;=$O$2,$D578,$D578-($D578-$I$562)*MIN(N$3-$O$2,$Q$2)/$Q$2))</f>
        <v>2825.0401672879</v>
      </c>
      <c r="O578" s="15" t="n">
        <f aca="false">SUMPRODUCT(E578:N578,1/(1+$F$562)^$E$3:$N$3)*$E$2</f>
        <v>8405.82517288685</v>
      </c>
      <c r="P578" s="15" t="n">
        <f aca="false">N578*$E$2*(1+$I$562)/($F$562-$I$562)/(1+$F$562)^$N$3</f>
        <v>15418.1250031589</v>
      </c>
      <c r="Q578" s="15" t="n">
        <f aca="false">O578+P578</f>
        <v>23823.9501760457</v>
      </c>
      <c r="R578" s="15" t="n">
        <f aca="false">Q578-$G$2+$I$2</f>
        <v>25733.6101760457</v>
      </c>
      <c r="S578" s="42" t="n">
        <f aca="false">R578/$K$2</f>
        <v>109.958595804152</v>
      </c>
      <c r="T578" s="43" t="n">
        <f aca="false">S578-$M$2</f>
        <v>-0.0273034395345775</v>
      </c>
    </row>
    <row r="579" customFormat="false" ht="15" hidden="false" customHeight="false" outlineLevel="0" collapsed="false">
      <c r="A579" s="5" t="n">
        <v>16</v>
      </c>
      <c r="B579" s="25" t="n">
        <f aca="false">IF(T578&gt;0,B578,D578)</f>
        <v>0.0197906494140625</v>
      </c>
      <c r="C579" s="25" t="n">
        <f aca="false">IF(T578&gt;0,D578,C578)</f>
        <v>0.01983642578125</v>
      </c>
      <c r="D579" s="41" t="n">
        <f aca="false">(B579+C579)/2</f>
        <v>0.0198135375976563</v>
      </c>
      <c r="E579" s="15" t="n">
        <f aca="false">$C$2*(1+IF(E$3&lt;=$O$2,$D579,$D579-($D579-$I$562)*MIN(E$3-$O$2,$Q$2)/$Q$2))</f>
        <v>2243.58978271484</v>
      </c>
      <c r="F579" s="15" t="n">
        <f aca="false">E579*(1+IF(F$3&lt;=$O$2,$D579,$D579-($D579-$I$562)*MIN(F$3-$O$2,$Q$2)/$Q$2))</f>
        <v>2288.04323322838</v>
      </c>
      <c r="G579" s="15" t="n">
        <f aca="false">F579*(1+IF(G$3&lt;=$O$2,$D579,$D579-($D579-$I$562)*MIN(G$3-$O$2,$Q$2)/$Q$2))</f>
        <v>2333.37746385502</v>
      </c>
      <c r="H579" s="15" t="n">
        <f aca="false">G579*(1+IF(H$3&lt;=$O$2,$D579,$D579-($D579-$I$562)*MIN(H$3-$O$2,$Q$2)/$Q$2))</f>
        <v>2379.60992596463</v>
      </c>
      <c r="I579" s="15" t="n">
        <f aca="false">H579*(1+IF(I$3&lt;=$O$2,$D579,$D579-($D579-$I$562)*MIN(I$3-$O$2,$Q$2)/$Q$2))</f>
        <v>2426.75841670049</v>
      </c>
      <c r="J579" s="15" t="n">
        <f aca="false">I579*(1+IF(J$3&lt;=$O$2,$D579,$D579-($D579-$I$562)*MIN(J$3-$O$2,$Q$2)/$Q$2))</f>
        <v>2483.81352147619</v>
      </c>
      <c r="K579" s="15" t="n">
        <f aca="false">J579*(1+IF(K$3&lt;=$O$2,$D579,$D579-($D579-$I$562)*MIN(K$3-$O$2,$Q$2)/$Q$2))</f>
        <v>2551.39342418121</v>
      </c>
      <c r="L579" s="15" t="n">
        <f aca="false">K579*(1+IF(L$3&lt;=$O$2,$D579,$D579-($D579-$I$562)*MIN(L$3-$O$2,$Q$2)/$Q$2))</f>
        <v>2630.24529688346</v>
      </c>
      <c r="M579" s="15" t="n">
        <f aca="false">L579*(1+IF(M$3&lt;=$O$2,$D579,$D579-($D579-$I$562)*MIN(M$3-$O$2,$Q$2)/$Q$2))</f>
        <v>2721.25890559614</v>
      </c>
      <c r="N579" s="15" t="n">
        <f aca="false">M579*(1+IF(N$3&lt;=$O$2,$D579,$D579-($D579-$I$562)*MIN(N$3-$O$2,$Q$2)/$Q$2))</f>
        <v>2825.48312168048</v>
      </c>
      <c r="O579" s="15" t="n">
        <f aca="false">SUMPRODUCT(E579:N579,1/(1+$F$562)^$E$3:$N$3)*$E$2</f>
        <v>8406.66822884044</v>
      </c>
      <c r="P579" s="15" t="n">
        <f aca="false">N579*$E$2*(1+$I$562)/($F$562-$I$562)/(1+$F$562)^$N$3</f>
        <v>15420.5425001823</v>
      </c>
      <c r="Q579" s="15" t="n">
        <f aca="false">O579+P579</f>
        <v>23827.2107290227</v>
      </c>
      <c r="R579" s="15" t="n">
        <f aca="false">Q579-$G$2+$I$2</f>
        <v>25736.8707290227</v>
      </c>
      <c r="S579" s="42" t="n">
        <f aca="false">R579/$K$2</f>
        <v>109.972528005054</v>
      </c>
      <c r="T579" s="43" t="n">
        <f aca="false">S579-$M$2</f>
        <v>-0.01337123863307</v>
      </c>
    </row>
    <row r="580" customFormat="false" ht="15" hidden="false" customHeight="false" outlineLevel="0" collapsed="false">
      <c r="A580" s="5" t="n">
        <v>17</v>
      </c>
      <c r="B580" s="25" t="n">
        <f aca="false">IF(T579&gt;0,B579,D579)</f>
        <v>0.0198135375976563</v>
      </c>
      <c r="C580" s="25" t="n">
        <f aca="false">IF(T579&gt;0,D579,C579)</f>
        <v>0.01983642578125</v>
      </c>
      <c r="D580" s="41" t="n">
        <f aca="false">(B580+C580)/2</f>
        <v>0.0198249816894531</v>
      </c>
      <c r="E580" s="15" t="n">
        <f aca="false">$C$2*(1+IF(E$3&lt;=$O$2,$D580,$D580-($D580-$I$562)*MIN(E$3-$O$2,$Q$2)/$Q$2))</f>
        <v>2243.6149597168</v>
      </c>
      <c r="F580" s="15" t="n">
        <f aca="false">E580*(1+IF(F$3&lt;=$O$2,$D580,$D580-($D580-$I$562)*MIN(F$3-$O$2,$Q$2)/$Q$2))</f>
        <v>2288.09458521137</v>
      </c>
      <c r="G580" s="15" t="n">
        <f aca="false">F580*(1+IF(G$3&lt;=$O$2,$D580,$D580-($D580-$I$562)*MIN(G$3-$O$2,$Q$2)/$Q$2))</f>
        <v>2333.45601846692</v>
      </c>
      <c r="H580" s="15" t="n">
        <f aca="false">G580*(1+IF(H$3&lt;=$O$2,$D580,$D580-($D580-$I$562)*MIN(H$3-$O$2,$Q$2)/$Q$2))</f>
        <v>2379.71674130617</v>
      </c>
      <c r="I580" s="15" t="n">
        <f aca="false">H580*(1+IF(I$3&lt;=$O$2,$D580,$D580-($D580-$I$562)*MIN(I$3-$O$2,$Q$2)/$Q$2))</f>
        <v>2426.89458212865</v>
      </c>
      <c r="J580" s="15" t="n">
        <f aca="false">I580*(1+IF(J$3&lt;=$O$2,$D580,$D580-($D580-$I$562)*MIN(J$3-$O$2,$Q$2)/$Q$2))</f>
        <v>2483.9751071501</v>
      </c>
      <c r="K580" s="15" t="n">
        <f aca="false">J580*(1+IF(K$3&lt;=$O$2,$D580,$D580-($D580-$I$562)*MIN(K$3-$O$2,$Q$2)/$Q$2))</f>
        <v>2551.57646240143</v>
      </c>
      <c r="L580" s="15" t="n">
        <f aca="false">K580*(1+IF(L$3&lt;=$O$2,$D580,$D580-($D580-$I$562)*MIN(L$3-$O$2,$Q$2)/$Q$2))</f>
        <v>2630.44567216595</v>
      </c>
      <c r="M580" s="15" t="n">
        <f aca="false">L580*(1+IF(M$3&lt;=$O$2,$D580,$D580-($D580-$I$562)*MIN(M$3-$O$2,$Q$2)/$Q$2))</f>
        <v>2721.47223501827</v>
      </c>
      <c r="N580" s="15" t="n">
        <f aca="false">M580*(1+IF(N$3&lt;=$O$2,$D580,$D580-($D580-$I$562)*MIN(N$3-$O$2,$Q$2)/$Q$2))</f>
        <v>2825.70462161947</v>
      </c>
      <c r="O580" s="15" t="n">
        <f aca="false">SUMPRODUCT(E580:N580,1/(1+$F$562)^$E$3:$N$3)*$E$2</f>
        <v>8407.08978902132</v>
      </c>
      <c r="P580" s="15" t="n">
        <f aca="false">N580*$E$2*(1+$I$562)/($F$562-$I$562)/(1+$F$562)^$N$3</f>
        <v>15421.7513728161</v>
      </c>
      <c r="Q580" s="15" t="n">
        <f aca="false">O580+P580</f>
        <v>23828.8411618374</v>
      </c>
      <c r="R580" s="15" t="n">
        <f aca="false">Q580-$G$2+$I$2</f>
        <v>25738.5011618374</v>
      </c>
      <c r="S580" s="42" t="n">
        <f aca="false">R580/$K$2</f>
        <v>109.979494773479</v>
      </c>
      <c r="T580" s="43" t="n">
        <f aca="false">S580-$M$2</f>
        <v>-0.0064044702072863</v>
      </c>
    </row>
    <row r="581" customFormat="false" ht="15" hidden="false" customHeight="false" outlineLevel="0" collapsed="false">
      <c r="A581" s="5" t="n">
        <v>18</v>
      </c>
      <c r="B581" s="25" t="n">
        <f aca="false">IF(T580&gt;0,B580,D580)</f>
        <v>0.0198249816894531</v>
      </c>
      <c r="C581" s="25" t="n">
        <f aca="false">IF(T580&gt;0,D580,C580)</f>
        <v>0.01983642578125</v>
      </c>
      <c r="D581" s="41" t="n">
        <f aca="false">(B581+C581)/2</f>
        <v>0.0198307037353516</v>
      </c>
      <c r="E581" s="15" t="n">
        <f aca="false">$C$2*(1+IF(E$3&lt;=$O$2,$D581,$D581-($D581-$I$562)*MIN(E$3-$O$2,$Q$2)/$Q$2))</f>
        <v>2243.62754821777</v>
      </c>
      <c r="F581" s="15" t="n">
        <f aca="false">E581*(1+IF(F$3&lt;=$O$2,$D581,$D581-($D581-$I$562)*MIN(F$3-$O$2,$Q$2)/$Q$2))</f>
        <v>2288.12026141895</v>
      </c>
      <c r="G581" s="15" t="n">
        <f aca="false">F581*(1+IF(G$3&lt;=$O$2,$D581,$D581-($D581-$I$562)*MIN(G$3-$O$2,$Q$2)/$Q$2))</f>
        <v>2333.49529643401</v>
      </c>
      <c r="H581" s="15" t="n">
        <f aca="false">G581*(1+IF(H$3&lt;=$O$2,$D581,$D581-($D581-$I$562)*MIN(H$3-$O$2,$Q$2)/$Q$2))</f>
        <v>2379.77015032543</v>
      </c>
      <c r="I581" s="15" t="n">
        <f aca="false">H581*(1+IF(I$3&lt;=$O$2,$D581,$D581-($D581-$I$562)*MIN(I$3-$O$2,$Q$2)/$Q$2))</f>
        <v>2426.96266713476</v>
      </c>
      <c r="J581" s="15" t="n">
        <f aca="false">I581*(1+IF(J$3&lt;=$O$2,$D581,$D581-($D581-$I$562)*MIN(J$3-$O$2,$Q$2)/$Q$2))</f>
        <v>2484.05590326798</v>
      </c>
      <c r="K581" s="15" t="n">
        <f aca="false">J581*(1+IF(K$3&lt;=$O$2,$D581,$D581-($D581-$I$562)*MIN(K$3-$O$2,$Q$2)/$Q$2))</f>
        <v>2551.6679857139</v>
      </c>
      <c r="L581" s="15" t="n">
        <f aca="false">K581*(1+IF(L$3&lt;=$O$2,$D581,$D581-($D581-$I$562)*MIN(L$3-$O$2,$Q$2)/$Q$2))</f>
        <v>2630.54586476788</v>
      </c>
      <c r="M581" s="15" t="n">
        <f aca="false">L581*(1+IF(M$3&lt;=$O$2,$D581,$D581-($D581-$I$562)*MIN(M$3-$O$2,$Q$2)/$Q$2))</f>
        <v>2721.57890520566</v>
      </c>
      <c r="N581" s="15" t="n">
        <f aca="false">M581*(1+IF(N$3&lt;=$O$2,$D581,$D581-($D581-$I$562)*MIN(N$3-$O$2,$Q$2)/$Q$2))</f>
        <v>2825.81537727504</v>
      </c>
      <c r="O581" s="15" t="n">
        <f aca="false">SUMPRODUCT(E581:N581,1/(1+$F$562)^$E$3:$N$3)*$E$2</f>
        <v>8407.30057716322</v>
      </c>
      <c r="P581" s="15" t="n">
        <f aca="false">N581*$E$2*(1+$I$562)/($F$562-$I$562)/(1+$F$562)^$N$3</f>
        <v>15422.3558401656</v>
      </c>
      <c r="Q581" s="15" t="n">
        <f aca="false">O581+P581</f>
        <v>23829.6564173288</v>
      </c>
      <c r="R581" s="15" t="n">
        <f aca="false">Q581-$G$2+$I$2</f>
        <v>25739.3164173288</v>
      </c>
      <c r="S581" s="42" t="n">
        <f aca="false">R581/$K$2</f>
        <v>109.982978324697</v>
      </c>
      <c r="T581" s="43" t="n">
        <f aca="false">S581-$M$2</f>
        <v>-0.00292091898968749</v>
      </c>
    </row>
    <row r="582" customFormat="false" ht="15" hidden="false" customHeight="false" outlineLevel="0" collapsed="false">
      <c r="A582" s="5" t="n">
        <v>19</v>
      </c>
      <c r="B582" s="25" t="n">
        <f aca="false">IF(T581&gt;0,B581,D581)</f>
        <v>0.0198307037353516</v>
      </c>
      <c r="C582" s="25" t="n">
        <f aca="false">IF(T581&gt;0,D581,C581)</f>
        <v>0.01983642578125</v>
      </c>
      <c r="D582" s="41" t="n">
        <f aca="false">(B582+C582)/2</f>
        <v>0.0198335647583008</v>
      </c>
      <c r="E582" s="15" t="n">
        <f aca="false">$C$2*(1+IF(E$3&lt;=$O$2,$D582,$D582-($D582-$I$562)*MIN(E$3-$O$2,$Q$2)/$Q$2))</f>
        <v>2243.63384246826</v>
      </c>
      <c r="F582" s="15" t="n">
        <f aca="false">E582*(1+IF(F$3&lt;=$O$2,$D582,$D582-($D582-$I$562)*MIN(F$3-$O$2,$Q$2)/$Q$2))</f>
        <v>2288.13309957677</v>
      </c>
      <c r="G582" s="15" t="n">
        <f aca="false">F582*(1+IF(G$3&lt;=$O$2,$D582,$D582-($D582-$I$562)*MIN(G$3-$O$2,$Q$2)/$Q$2))</f>
        <v>2333.51493558284</v>
      </c>
      <c r="H582" s="15" t="n">
        <f aca="false">G582*(1+IF(H$3&lt;=$O$2,$D582,$D582-($D582-$I$562)*MIN(H$3-$O$2,$Q$2)/$Q$2))</f>
        <v>2379.79685517218</v>
      </c>
      <c r="I582" s="15" t="n">
        <f aca="false">H582*(1+IF(I$3&lt;=$O$2,$D582,$D582-($D582-$I$562)*MIN(I$3-$O$2,$Q$2)/$Q$2))</f>
        <v>2426.99671021084</v>
      </c>
      <c r="J582" s="15" t="n">
        <f aca="false">I582*(1+IF(J$3&lt;=$O$2,$D582,$D582-($D582-$I$562)*MIN(J$3-$O$2,$Q$2)/$Q$2))</f>
        <v>2484.09630214718</v>
      </c>
      <c r="K582" s="15" t="n">
        <f aca="false">J582*(1+IF(K$3&lt;=$O$2,$D582,$D582-($D582-$I$562)*MIN(K$3-$O$2,$Q$2)/$Q$2))</f>
        <v>2551.71374842077</v>
      </c>
      <c r="L582" s="15" t="n">
        <f aca="false">K582*(1+IF(L$3&lt;=$O$2,$D582,$D582-($D582-$I$562)*MIN(L$3-$O$2,$Q$2)/$Q$2))</f>
        <v>2630.59596230905</v>
      </c>
      <c r="M582" s="15" t="n">
        <f aca="false">L582*(1+IF(M$3&lt;=$O$2,$D582,$D582-($D582-$I$562)*MIN(M$3-$O$2,$Q$2)/$Q$2))</f>
        <v>2721.63224166848</v>
      </c>
      <c r="N582" s="15" t="n">
        <f aca="false">M582*(1+IF(N$3&lt;=$O$2,$D582,$D582-($D582-$I$562)*MIN(N$3-$O$2,$Q$2)/$Q$2))</f>
        <v>2825.87075652438</v>
      </c>
      <c r="O582" s="15" t="n">
        <f aca="false">SUMPRODUCT(E582:N582,1/(1+$F$562)^$E$3:$N$3)*$E$2</f>
        <v>8407.4059732471</v>
      </c>
      <c r="P582" s="15" t="n">
        <f aca="false">N582*$E$2*(1+$I$562)/($F$562-$I$562)/(1+$F$562)^$N$3</f>
        <v>15422.6580815988</v>
      </c>
      <c r="Q582" s="15" t="n">
        <f aca="false">O582+P582</f>
        <v>23830.0640548459</v>
      </c>
      <c r="R582" s="15" t="n">
        <f aca="false">Q582-$G$2+$I$2</f>
        <v>25739.7240548459</v>
      </c>
      <c r="S582" s="42" t="n">
        <f aca="false">R582/$K$2</f>
        <v>109.984720142058</v>
      </c>
      <c r="T582" s="43" t="n">
        <f aca="false">S582-$M$2</f>
        <v>-0.00117910162833823</v>
      </c>
    </row>
    <row r="583" customFormat="false" ht="15" hidden="false" customHeight="false" outlineLevel="0" collapsed="false">
      <c r="A583" s="5" t="n">
        <v>20</v>
      </c>
      <c r="B583" s="25" t="n">
        <f aca="false">IF(T582&gt;0,B582,D582)</f>
        <v>0.0198335647583008</v>
      </c>
      <c r="C583" s="25" t="n">
        <f aca="false">IF(T582&gt;0,D582,C582)</f>
        <v>0.01983642578125</v>
      </c>
      <c r="D583" s="41" t="n">
        <f aca="false">(B583+C583)/2</f>
        <v>0.0198349952697754</v>
      </c>
      <c r="E583" s="15" t="n">
        <f aca="false">$C$2*(1+IF(E$3&lt;=$O$2,$D583,$D583-($D583-$I$562)*MIN(E$3-$O$2,$Q$2)/$Q$2))</f>
        <v>2243.63698959351</v>
      </c>
      <c r="F583" s="15" t="n">
        <f aca="false">E583*(1+IF(F$3&lt;=$O$2,$D583,$D583-($D583-$I$562)*MIN(F$3-$O$2,$Q$2)/$Q$2))</f>
        <v>2288.13951866919</v>
      </c>
      <c r="G583" s="15" t="n">
        <f aca="false">F583*(1+IF(G$3&lt;=$O$2,$D583,$D583-($D583-$I$562)*MIN(G$3-$O$2,$Q$2)/$Q$2))</f>
        <v>2333.52475519858</v>
      </c>
      <c r="H583" s="15" t="n">
        <f aca="false">G583*(1+IF(H$3&lt;=$O$2,$D583,$D583-($D583-$I$562)*MIN(H$3-$O$2,$Q$2)/$Q$2))</f>
        <v>2379.81020767984</v>
      </c>
      <c r="I583" s="15" t="n">
        <f aca="false">H583*(1+IF(I$3&lt;=$O$2,$D583,$D583-($D583-$I$562)*MIN(I$3-$O$2,$Q$2)/$Q$2))</f>
        <v>2427.01373189214</v>
      </c>
      <c r="J583" s="15" t="n">
        <f aca="false">I583*(1+IF(J$3&lt;=$O$2,$D583,$D583-($D583-$I$562)*MIN(J$3-$O$2,$Q$2)/$Q$2))</f>
        <v>2484.11650179184</v>
      </c>
      <c r="K583" s="15" t="n">
        <f aca="false">J583*(1+IF(K$3&lt;=$O$2,$D583,$D583-($D583-$I$562)*MIN(K$3-$O$2,$Q$2)/$Q$2))</f>
        <v>2551.73663003686</v>
      </c>
      <c r="L583" s="15" t="n">
        <f aca="false">K583*(1+IF(L$3&lt;=$O$2,$D583,$D583-($D583-$I$562)*MIN(L$3-$O$2,$Q$2)/$Q$2))</f>
        <v>2630.6210113897</v>
      </c>
      <c r="M583" s="15" t="n">
        <f aca="false">L583*(1+IF(M$3&lt;=$O$2,$D583,$D583-($D583-$I$562)*MIN(M$3-$O$2,$Q$2)/$Q$2))</f>
        <v>2721.65891024218</v>
      </c>
      <c r="N583" s="15" t="n">
        <f aca="false">M583*(1+IF(N$3&lt;=$O$2,$D583,$D583-($D583-$I$562)*MIN(N$3-$O$2,$Q$2)/$Q$2))</f>
        <v>2825.89844650445</v>
      </c>
      <c r="O583" s="15" t="n">
        <f aca="false">SUMPRODUCT(E583:N583,1/(1+$F$562)^$E$3:$N$3)*$E$2</f>
        <v>8407.45867179228</v>
      </c>
      <c r="P583" s="15" t="n">
        <f aca="false">N583*$E$2*(1+$I$562)/($F$562-$I$562)/(1+$F$562)^$N$3</f>
        <v>15422.8092042551</v>
      </c>
      <c r="Q583" s="15" t="n">
        <f aca="false">O583+P583</f>
        <v>23830.2678760473</v>
      </c>
      <c r="R583" s="15" t="n">
        <f aca="false">Q583-$G$2+$I$2</f>
        <v>25739.9278760473</v>
      </c>
      <c r="S583" s="42" t="n">
        <f aca="false">R583/$K$2</f>
        <v>109.985591061177</v>
      </c>
      <c r="T583" s="43" t="n">
        <f aca="false">S583-$M$2</f>
        <v>-0.000308182509314747</v>
      </c>
    </row>
    <row r="584" customFormat="false" ht="15" hidden="false" customHeight="false" outlineLevel="0" collapsed="false">
      <c r="A584" s="5" t="n">
        <v>21</v>
      </c>
      <c r="B584" s="25" t="n">
        <f aca="false">IF(T583&gt;0,B583,D583)</f>
        <v>0.0198349952697754</v>
      </c>
      <c r="C584" s="25" t="n">
        <f aca="false">IF(T583&gt;0,D583,C583)</f>
        <v>0.01983642578125</v>
      </c>
      <c r="D584" s="41" t="n">
        <f aca="false">(B584+C584)/2</f>
        <v>0.0198357105255127</v>
      </c>
      <c r="E584" s="15" t="n">
        <f aca="false">$C$2*(1+IF(E$3&lt;=$O$2,$D584,$D584-($D584-$I$562)*MIN(E$3-$O$2,$Q$2)/$Q$2))</f>
        <v>2243.63856315613</v>
      </c>
      <c r="F584" s="15" t="n">
        <f aca="false">E584*(1+IF(F$3&lt;=$O$2,$D584,$D584-($D584-$I$562)*MIN(F$3-$O$2,$Q$2)/$Q$2))</f>
        <v>2288.14272821877</v>
      </c>
      <c r="G584" s="15" t="n">
        <f aca="false">F584*(1+IF(G$3&lt;=$O$2,$D584,$D584-($D584-$I$562)*MIN(G$3-$O$2,$Q$2)/$Q$2))</f>
        <v>2333.52966501677</v>
      </c>
      <c r="H584" s="15" t="n">
        <f aca="false">G584*(1+IF(H$3&lt;=$O$2,$D584,$D584-($D584-$I$562)*MIN(H$3-$O$2,$Q$2)/$Q$2))</f>
        <v>2379.81688395474</v>
      </c>
      <c r="I584" s="15" t="n">
        <f aca="false">H584*(1+IF(I$3&lt;=$O$2,$D584,$D584-($D584-$I$562)*MIN(I$3-$O$2,$Q$2)/$Q$2))</f>
        <v>2427.0222427686</v>
      </c>
      <c r="J584" s="15" t="n">
        <f aca="false">I584*(1+IF(J$3&lt;=$O$2,$D584,$D584-($D584-$I$562)*MIN(J$3-$O$2,$Q$2)/$Q$2))</f>
        <v>2484.12660166544</v>
      </c>
      <c r="K584" s="15" t="n">
        <f aca="false">J584*(1+IF(K$3&lt;=$O$2,$D584,$D584-($D584-$I$562)*MIN(K$3-$O$2,$Q$2)/$Q$2))</f>
        <v>2551.74807091057</v>
      </c>
      <c r="L584" s="15" t="n">
        <f aca="false">K584*(1+IF(L$3&lt;=$O$2,$D584,$D584-($D584-$I$562)*MIN(L$3-$O$2,$Q$2)/$Q$2))</f>
        <v>2630.63353600754</v>
      </c>
      <c r="M584" s="15" t="n">
        <f aca="false">L584*(1+IF(M$3&lt;=$O$2,$D584,$D584-($D584-$I$562)*MIN(M$3-$O$2,$Q$2)/$Q$2))</f>
        <v>2721.6722446146</v>
      </c>
      <c r="N584" s="15" t="n">
        <f aca="false">M584*(1+IF(N$3&lt;=$O$2,$D584,$D584-($D584-$I$562)*MIN(N$3-$O$2,$Q$2)/$Q$2))</f>
        <v>2825.91229158334</v>
      </c>
      <c r="O584" s="15" t="n">
        <f aca="false">SUMPRODUCT(E584:N584,1/(1+$F$562)^$E$3:$N$3)*$E$2</f>
        <v>8407.48502119068</v>
      </c>
      <c r="P584" s="15" t="n">
        <f aca="false">N584*$E$2*(1+$I$562)/($F$562-$I$562)/(1+$F$562)^$N$3</f>
        <v>15422.8847660681</v>
      </c>
      <c r="Q584" s="15" t="n">
        <f aca="false">O584+P584</f>
        <v>23830.3697872588</v>
      </c>
      <c r="R584" s="15" t="n">
        <f aca="false">Q584-$G$2+$I$2</f>
        <v>25740.0297872588</v>
      </c>
      <c r="S584" s="42" t="n">
        <f aca="false">R584/$K$2</f>
        <v>109.986026523346</v>
      </c>
      <c r="T584" s="43" t="n">
        <f aca="false">S584-$M$2</f>
        <v>0.000127279659764667</v>
      </c>
    </row>
    <row r="585" customFormat="false" ht="15" hidden="false" customHeight="false" outlineLevel="0" collapsed="false">
      <c r="A585" s="5" t="n">
        <v>22</v>
      </c>
      <c r="B585" s="25" t="n">
        <f aca="false">IF(T584&gt;0,B584,D584)</f>
        <v>0.0198349952697754</v>
      </c>
      <c r="C585" s="25" t="n">
        <f aca="false">IF(T584&gt;0,D584,C584)</f>
        <v>0.0198357105255127</v>
      </c>
      <c r="D585" s="41" t="n">
        <f aca="false">(B585+C585)/2</f>
        <v>0.019835352897644</v>
      </c>
      <c r="E585" s="15" t="n">
        <f aca="false">$C$2*(1+IF(E$3&lt;=$O$2,$D585,$D585-($D585-$I$562)*MIN(E$3-$O$2,$Q$2)/$Q$2))</f>
        <v>2243.63777637482</v>
      </c>
      <c r="F585" s="15" t="n">
        <f aca="false">E585*(1+IF(F$3&lt;=$O$2,$D585,$D585-($D585-$I$562)*MIN(F$3-$O$2,$Q$2)/$Q$2))</f>
        <v>2288.1411234437</v>
      </c>
      <c r="G585" s="15" t="n">
        <f aca="false">F585*(1+IF(G$3&lt;=$O$2,$D585,$D585-($D585-$I$562)*MIN(G$3-$O$2,$Q$2)/$Q$2))</f>
        <v>2333.52721010681</v>
      </c>
      <c r="H585" s="15" t="n">
        <f aca="false">G585*(1+IF(H$3&lt;=$O$2,$D585,$D585-($D585-$I$562)*MIN(H$3-$O$2,$Q$2)/$Q$2))</f>
        <v>2379.81354581554</v>
      </c>
      <c r="I585" s="15" t="n">
        <f aca="false">H585*(1+IF(I$3&lt;=$O$2,$D585,$D585-($D585-$I$562)*MIN(I$3-$O$2,$Q$2)/$Q$2))</f>
        <v>2427.01798732738</v>
      </c>
      <c r="J585" s="15" t="n">
        <f aca="false">I585*(1+IF(J$3&lt;=$O$2,$D585,$D585-($D585-$I$562)*MIN(J$3-$O$2,$Q$2)/$Q$2))</f>
        <v>2484.12155172437</v>
      </c>
      <c r="K585" s="15" t="n">
        <f aca="false">J585*(1+IF(K$3&lt;=$O$2,$D585,$D585-($D585-$I$562)*MIN(K$3-$O$2,$Q$2)/$Q$2))</f>
        <v>2551.74235046824</v>
      </c>
      <c r="L585" s="15" t="n">
        <f aca="false">K585*(1+IF(L$3&lt;=$O$2,$D585,$D585-($D585-$I$562)*MIN(L$3-$O$2,$Q$2)/$Q$2))</f>
        <v>2630.62727369216</v>
      </c>
      <c r="M585" s="15" t="n">
        <f aca="false">L585*(1+IF(M$3&lt;=$O$2,$D585,$D585-($D585-$I$562)*MIN(M$3-$O$2,$Q$2)/$Q$2))</f>
        <v>2721.66557742126</v>
      </c>
      <c r="N585" s="15" t="n">
        <f aca="false">M585*(1+IF(N$3&lt;=$O$2,$D585,$D585-($D585-$I$562)*MIN(N$3-$O$2,$Q$2)/$Q$2))</f>
        <v>2825.90536903649</v>
      </c>
      <c r="O585" s="15" t="n">
        <f aca="false">SUMPRODUCT(E585:N585,1/(1+$F$562)^$E$3:$N$3)*$E$2</f>
        <v>8407.471846481</v>
      </c>
      <c r="P585" s="15" t="n">
        <f aca="false">N585*$E$2*(1+$I$562)/($F$562-$I$562)/(1+$F$562)^$N$3</f>
        <v>15422.8469851212</v>
      </c>
      <c r="Q585" s="15" t="n">
        <f aca="false">O585+P585</f>
        <v>23830.3188316022</v>
      </c>
      <c r="R585" s="15" t="n">
        <f aca="false">Q585-$G$2+$I$2</f>
        <v>25739.9788316022</v>
      </c>
      <c r="S585" s="42" t="n">
        <f aca="false">R585/$K$2</f>
        <v>109.985808792044</v>
      </c>
      <c r="T585" s="43" t="n">
        <f aca="false">S585-$M$2</f>
        <v>-9.04516422366442E-005</v>
      </c>
    </row>
    <row r="586" customFormat="false" ht="15" hidden="false" customHeight="false" outlineLevel="0" collapsed="false">
      <c r="A586" s="5" t="n">
        <v>23</v>
      </c>
      <c r="B586" s="25" t="n">
        <f aca="false">IF(T585&gt;0,B585,D585)</f>
        <v>0.019835352897644</v>
      </c>
      <c r="C586" s="25" t="n">
        <f aca="false">IF(T585&gt;0,D585,C585)</f>
        <v>0.0198357105255127</v>
      </c>
      <c r="D586" s="41" t="n">
        <f aca="false">(B586+C586)/2</f>
        <v>0.0198355317115784</v>
      </c>
      <c r="E586" s="15" t="n">
        <f aca="false">$C$2*(1+IF(E$3&lt;=$O$2,$D586,$D586-($D586-$I$562)*MIN(E$3-$O$2,$Q$2)/$Q$2))</f>
        <v>2243.63816976547</v>
      </c>
      <c r="F586" s="15" t="n">
        <f aca="false">E586*(1+IF(F$3&lt;=$O$2,$D586,$D586-($D586-$I$562)*MIN(F$3-$O$2,$Q$2)/$Q$2))</f>
        <v>2288.14192583116</v>
      </c>
      <c r="G586" s="15" t="n">
        <f aca="false">F586*(1+IF(G$3&lt;=$O$2,$D586,$D586-($D586-$I$562)*MIN(G$3-$O$2,$Q$2)/$Q$2))</f>
        <v>2333.52843756158</v>
      </c>
      <c r="H586" s="15" t="n">
        <f aca="false">G586*(1+IF(H$3&lt;=$O$2,$D586,$D586-($D586-$I$562)*MIN(H$3-$O$2,$Q$2)/$Q$2))</f>
        <v>2379.8152148847</v>
      </c>
      <c r="I586" s="15" t="n">
        <f aca="false">H586*(1+IF(I$3&lt;=$O$2,$D586,$D586-($D586-$I$562)*MIN(I$3-$O$2,$Q$2)/$Q$2))</f>
        <v>2427.02011504724</v>
      </c>
      <c r="J586" s="15" t="n">
        <f aca="false">I586*(1+IF(J$3&lt;=$O$2,$D586,$D586-($D586-$I$562)*MIN(J$3-$O$2,$Q$2)/$Q$2))</f>
        <v>2484.12407669383</v>
      </c>
      <c r="K586" s="15" t="n">
        <f aca="false">J586*(1+IF(K$3&lt;=$O$2,$D586,$D586-($D586-$I$562)*MIN(K$3-$O$2,$Q$2)/$Q$2))</f>
        <v>2551.74521068804</v>
      </c>
      <c r="L586" s="15" t="n">
        <f aca="false">K586*(1+IF(L$3&lt;=$O$2,$D586,$D586-($D586-$I$562)*MIN(L$3-$O$2,$Q$2)/$Q$2))</f>
        <v>2630.63040484824</v>
      </c>
      <c r="M586" s="15" t="n">
        <f aca="false">L586*(1+IF(M$3&lt;=$O$2,$D586,$D586-($D586-$I$562)*MIN(M$3-$O$2,$Q$2)/$Q$2))</f>
        <v>2721.66891101615</v>
      </c>
      <c r="N586" s="15" t="n">
        <f aca="false">M586*(1+IF(N$3&lt;=$O$2,$D586,$D586-($D586-$I$562)*MIN(N$3-$O$2,$Q$2)/$Q$2))</f>
        <v>2825.90883030807</v>
      </c>
      <c r="O586" s="15" t="n">
        <f aca="false">SUMPRODUCT(E586:N586,1/(1+$F$562)^$E$3:$N$3)*$E$2</f>
        <v>8407.47843383321</v>
      </c>
      <c r="P586" s="15" t="n">
        <f aca="false">N586*$E$2*(1+$I$562)/($F$562-$I$562)/(1+$F$562)^$N$3</f>
        <v>15422.8658755845</v>
      </c>
      <c r="Q586" s="15" t="n">
        <f aca="false">O586+P586</f>
        <v>23830.3443094177</v>
      </c>
      <c r="R586" s="15" t="n">
        <f aca="false">Q586-$G$2+$I$2</f>
        <v>25740.0043094177</v>
      </c>
      <c r="S586" s="42" t="n">
        <f aca="false">R586/$K$2</f>
        <v>109.985917657641</v>
      </c>
      <c r="T586" s="43" t="n">
        <f aca="false">S586-$M$2</f>
        <v>1.84139543790707E-005</v>
      </c>
    </row>
    <row r="587" customFormat="false" ht="15" hidden="false" customHeight="false" outlineLevel="0" collapsed="false">
      <c r="A587" s="5" t="n">
        <v>24</v>
      </c>
      <c r="B587" s="25" t="n">
        <f aca="false">IF(T586&gt;0,B586,D586)</f>
        <v>0.019835352897644</v>
      </c>
      <c r="C587" s="25" t="n">
        <f aca="false">IF(T586&gt;0,D586,C586)</f>
        <v>0.0198355317115784</v>
      </c>
      <c r="D587" s="41" t="n">
        <f aca="false">(B587+C587)/2</f>
        <v>0.0198354423046112</v>
      </c>
      <c r="E587" s="15" t="n">
        <f aca="false">$C$2*(1+IF(E$3&lt;=$O$2,$D587,$D587-($D587-$I$562)*MIN(E$3-$O$2,$Q$2)/$Q$2))</f>
        <v>2243.63797307014</v>
      </c>
      <c r="F587" s="15" t="n">
        <f aca="false">E587*(1+IF(F$3&lt;=$O$2,$D587,$D587-($D587-$I$562)*MIN(F$3-$O$2,$Q$2)/$Q$2))</f>
        <v>2288.14152463741</v>
      </c>
      <c r="G587" s="15" t="n">
        <f aca="false">F587*(1+IF(G$3&lt;=$O$2,$D587,$D587-($D587-$I$562)*MIN(G$3-$O$2,$Q$2)/$Q$2))</f>
        <v>2333.52782383414</v>
      </c>
      <c r="H587" s="15" t="n">
        <f aca="false">G587*(1+IF(H$3&lt;=$O$2,$D587,$D587-($D587-$I$562)*MIN(H$3-$O$2,$Q$2)/$Q$2))</f>
        <v>2379.81438035001</v>
      </c>
      <c r="I587" s="15" t="n">
        <f aca="false">H587*(1+IF(I$3&lt;=$O$2,$D587,$D587-($D587-$I$562)*MIN(I$3-$O$2,$Q$2)/$Q$2))</f>
        <v>2427.01905118713</v>
      </c>
      <c r="J587" s="15" t="n">
        <f aca="false">I587*(1+IF(J$3&lt;=$O$2,$D587,$D587-($D587-$I$562)*MIN(J$3-$O$2,$Q$2)/$Q$2))</f>
        <v>2484.12281420883</v>
      </c>
      <c r="K587" s="15" t="n">
        <f aca="false">J587*(1+IF(K$3&lt;=$O$2,$D587,$D587-($D587-$I$562)*MIN(K$3-$O$2,$Q$2)/$Q$2))</f>
        <v>2551.7437805778</v>
      </c>
      <c r="L587" s="15" t="n">
        <f aca="false">K587*(1+IF(L$3&lt;=$O$2,$D587,$D587-($D587-$I$562)*MIN(L$3-$O$2,$Q$2)/$Q$2))</f>
        <v>2630.62883926979</v>
      </c>
      <c r="M587" s="15" t="n">
        <f aca="false">L587*(1+IF(M$3&lt;=$O$2,$D587,$D587-($D587-$I$562)*MIN(M$3-$O$2,$Q$2)/$Q$2))</f>
        <v>2721.66724421826</v>
      </c>
      <c r="N587" s="15" t="n">
        <f aca="false">M587*(1+IF(N$3&lt;=$O$2,$D587,$D587-($D587-$I$562)*MIN(N$3-$O$2,$Q$2)/$Q$2))</f>
        <v>2825.90709967182</v>
      </c>
      <c r="O587" s="15" t="n">
        <f aca="false">SUMPRODUCT(E587:N587,1/(1+$F$562)^$E$3:$N$3)*$E$2</f>
        <v>8407.47514015645</v>
      </c>
      <c r="P587" s="15" t="n">
        <f aca="false">N587*$E$2*(1+$I$562)/($F$562-$I$562)/(1+$F$562)^$N$3</f>
        <v>15422.8564303503</v>
      </c>
      <c r="Q587" s="15" t="n">
        <f aca="false">O587+P587</f>
        <v>23830.3315705068</v>
      </c>
      <c r="R587" s="15" t="n">
        <f aca="false">Q587-$G$2+$I$2</f>
        <v>25739.9915705068</v>
      </c>
      <c r="S587" s="42" t="n">
        <f aca="false">R587/$K$2</f>
        <v>109.985863224829</v>
      </c>
      <c r="T587" s="43" t="n">
        <f aca="false">S587-$M$2</f>
        <v>-3.60188575285747E-005</v>
      </c>
    </row>
    <row r="589" customFormat="false" ht="15" hidden="false" customHeight="false" outlineLevel="0" collapsed="false">
      <c r="A589" s="38" t="s">
        <v>208</v>
      </c>
      <c r="E589" s="5" t="s">
        <v>11</v>
      </c>
      <c r="F589" s="12" t="n">
        <f aca="false">Sensitivity!$B$14</f>
        <v>0.0877967762761046</v>
      </c>
      <c r="G589" s="5" t="s">
        <v>12</v>
      </c>
      <c r="I589" s="12" t="n">
        <f aca="false">Sensitivity!$C$9</f>
        <v>0.0183</v>
      </c>
    </row>
    <row r="590" customFormat="false" ht="23.85" hidden="false" customHeight="false" outlineLevel="0" collapsed="false">
      <c r="A590" s="38" t="s">
        <v>168</v>
      </c>
      <c r="B590" s="28" t="s">
        <v>169</v>
      </c>
      <c r="C590" s="28" t="s">
        <v>170</v>
      </c>
      <c r="D590" s="28" t="s">
        <v>171</v>
      </c>
      <c r="E590" s="28" t="s">
        <v>172</v>
      </c>
      <c r="F590" s="28" t="s">
        <v>173</v>
      </c>
      <c r="G590" s="28" t="s">
        <v>174</v>
      </c>
      <c r="H590" s="28" t="s">
        <v>175</v>
      </c>
      <c r="I590" s="28" t="s">
        <v>176</v>
      </c>
      <c r="J590" s="28" t="s">
        <v>177</v>
      </c>
      <c r="K590" s="28" t="s">
        <v>178</v>
      </c>
      <c r="L590" s="28" t="s">
        <v>179</v>
      </c>
      <c r="M590" s="28" t="s">
        <v>180</v>
      </c>
      <c r="N590" s="28" t="s">
        <v>181</v>
      </c>
      <c r="O590" s="28" t="s">
        <v>182</v>
      </c>
      <c r="P590" s="28" t="s">
        <v>183</v>
      </c>
      <c r="Q590" s="28" t="s">
        <v>184</v>
      </c>
      <c r="R590" s="28" t="s">
        <v>185</v>
      </c>
      <c r="S590" s="28" t="s">
        <v>186</v>
      </c>
      <c r="T590" s="28" t="s">
        <v>187</v>
      </c>
    </row>
    <row r="591" customFormat="false" ht="15" hidden="false" customHeight="false" outlineLevel="0" collapsed="false">
      <c r="A591" s="5" t="n">
        <v>1</v>
      </c>
      <c r="B591" s="24" t="n">
        <v>-0.5</v>
      </c>
      <c r="C591" s="24" t="n">
        <v>1</v>
      </c>
      <c r="D591" s="41" t="n">
        <f aca="false">(B591+C591)/2</f>
        <v>0.25</v>
      </c>
      <c r="E591" s="15" t="n">
        <f aca="false">$C$2*(1+IF(E$3&lt;=$O$2,$D591,$D591-($D591-$I$589)*MIN(E$3-$O$2,$Q$2)/$Q$2))</f>
        <v>2750</v>
      </c>
      <c r="F591" s="15" t="n">
        <f aca="false">E591*(1+IF(F$3&lt;=$O$2,$D591,$D591-($D591-$I$589)*MIN(F$3-$O$2,$Q$2)/$Q$2))</f>
        <v>3437.5</v>
      </c>
      <c r="G591" s="15" t="n">
        <f aca="false">F591*(1+IF(G$3&lt;=$O$2,$D591,$D591-($D591-$I$589)*MIN(G$3-$O$2,$Q$2)/$Q$2))</f>
        <v>4296.875</v>
      </c>
      <c r="H591" s="15" t="n">
        <f aca="false">G591*(1+IF(H$3&lt;=$O$2,$D591,$D591-($D591-$I$589)*MIN(H$3-$O$2,$Q$2)/$Q$2))</f>
        <v>5371.09375</v>
      </c>
      <c r="I591" s="15" t="n">
        <f aca="false">H591*(1+IF(I$3&lt;=$O$2,$D591,$D591-($D591-$I$589)*MIN(I$3-$O$2,$Q$2)/$Q$2))</f>
        <v>6713.8671875</v>
      </c>
      <c r="J591" s="15" t="n">
        <f aca="false">I591*(1+IF(J$3&lt;=$O$2,$D591,$D591-($D591-$I$589)*MIN(J$3-$O$2,$Q$2)/$Q$2))</f>
        <v>8081.21337890625</v>
      </c>
      <c r="K591" s="15" t="n">
        <f aca="false">J591*(1+IF(K$3&lt;=$O$2,$D591,$D591-($D591-$I$589)*MIN(K$3-$O$2,$Q$2)/$Q$2))</f>
        <v>9352.54986767578</v>
      </c>
      <c r="L591" s="15" t="n">
        <f aca="false">K591*(1+IF(L$3&lt;=$O$2,$D591,$D591-($D591-$I$589)*MIN(L$3-$O$2,$Q$2)/$Q$2))</f>
        <v>10390.4958519904</v>
      </c>
      <c r="M591" s="15" t="n">
        <f aca="false">L591*(1+IF(M$3&lt;=$O$2,$D591,$D591-($D591-$I$589)*MIN(M$3-$O$2,$Q$2)/$Q$2))</f>
        <v>11062.1375038631</v>
      </c>
      <c r="N591" s="15" t="n">
        <f aca="false">M591*(1+IF(N$3&lt;=$O$2,$D591,$D591-($D591-$I$589)*MIN(N$3-$O$2,$Q$2)/$Q$2))</f>
        <v>11264.5746201838</v>
      </c>
      <c r="O591" s="15" t="n">
        <f aca="false">SUMPRODUCT(E591:N591,1/(1+$F$589)^$E$3:$N$3)*$E$2</f>
        <v>21983.2611917143</v>
      </c>
      <c r="P591" s="15" t="n">
        <f aca="false">N591*$E$2*(1+$I$589)/($F$589-$I$589)/(1+$F$589)^$N$3</f>
        <v>36866.3699295719</v>
      </c>
      <c r="Q591" s="15" t="n">
        <f aca="false">O591+P591</f>
        <v>58849.6311212862</v>
      </c>
      <c r="R591" s="15" t="n">
        <f aca="false">Q591-$G$2+$I$2</f>
        <v>60759.2911212862</v>
      </c>
      <c r="S591" s="42" t="n">
        <f aca="false">R591/$K$2</f>
        <v>259.621805415059</v>
      </c>
      <c r="T591" s="43" t="n">
        <f aca="false">S591-$M$2</f>
        <v>149.635906171372</v>
      </c>
    </row>
    <row r="592" customFormat="false" ht="15" hidden="false" customHeight="false" outlineLevel="0" collapsed="false">
      <c r="A592" s="5" t="n">
        <v>2</v>
      </c>
      <c r="B592" s="25" t="n">
        <f aca="false">IF(T591&gt;0,B591,D591)</f>
        <v>-0.5</v>
      </c>
      <c r="C592" s="25" t="n">
        <f aca="false">IF(T591&gt;0,D591,C591)</f>
        <v>0.25</v>
      </c>
      <c r="D592" s="41" t="n">
        <f aca="false">(B592+C592)/2</f>
        <v>-0.125</v>
      </c>
      <c r="E592" s="15" t="n">
        <f aca="false">$C$2*(1+IF(E$3&lt;=$O$2,$D592,$D592-($D592-$I$589)*MIN(E$3-$O$2,$Q$2)/$Q$2))</f>
        <v>1925</v>
      </c>
      <c r="F592" s="15" t="n">
        <f aca="false">E592*(1+IF(F$3&lt;=$O$2,$D592,$D592-($D592-$I$589)*MIN(F$3-$O$2,$Q$2)/$Q$2))</f>
        <v>1684.375</v>
      </c>
      <c r="G592" s="15" t="n">
        <f aca="false">F592*(1+IF(G$3&lt;=$O$2,$D592,$D592-($D592-$I$589)*MIN(G$3-$O$2,$Q$2)/$Q$2))</f>
        <v>1473.828125</v>
      </c>
      <c r="H592" s="15" t="n">
        <f aca="false">G592*(1+IF(H$3&lt;=$O$2,$D592,$D592-($D592-$I$589)*MIN(H$3-$O$2,$Q$2)/$Q$2))</f>
        <v>1289.599609375</v>
      </c>
      <c r="I592" s="15" t="n">
        <f aca="false">H592*(1+IF(I$3&lt;=$O$2,$D592,$D592-($D592-$I$589)*MIN(I$3-$O$2,$Q$2)/$Q$2))</f>
        <v>1128.39965820313</v>
      </c>
      <c r="J592" s="15" t="n">
        <f aca="false">I592*(1+IF(J$3&lt;=$O$2,$D592,$D592-($D592-$I$589)*MIN(J$3-$O$2,$Q$2)/$Q$2))</f>
        <v>1019.68963513184</v>
      </c>
      <c r="K592" s="15" t="n">
        <f aca="false">J592*(1+IF(K$3&lt;=$O$2,$D592,$D592-($D592-$I$589)*MIN(K$3-$O$2,$Q$2)/$Q$2))</f>
        <v>950.677040626113</v>
      </c>
      <c r="L592" s="15" t="n">
        <f aca="false">K592*(1+IF(L$3&lt;=$O$2,$D592,$D592-($D592-$I$589)*MIN(L$3-$O$2,$Q$2)/$Q$2))</f>
        <v>913.581622500882</v>
      </c>
      <c r="M592" s="15" t="n">
        <f aca="false">L592*(1+IF(M$3&lt;=$O$2,$D592,$D592-($D592-$I$589)*MIN(M$3-$O$2,$Q$2)/$Q$2))</f>
        <v>904.116916891773</v>
      </c>
      <c r="N592" s="15" t="n">
        <f aca="false">M592*(1+IF(N$3&lt;=$O$2,$D592,$D592-($D592-$I$589)*MIN(N$3-$O$2,$Q$2)/$Q$2))</f>
        <v>920.662256470893</v>
      </c>
      <c r="O592" s="15" t="n">
        <f aca="false">SUMPRODUCT(E592:N592,1/(1+$F$589)^$E$3:$N$3)*$E$2</f>
        <v>4368.05948140983</v>
      </c>
      <c r="P592" s="15" t="n">
        <f aca="false">N592*$E$2*(1+$I$589)/($F$589-$I$589)/(1+$F$589)^$N$3</f>
        <v>3013.11647103248</v>
      </c>
      <c r="Q592" s="15" t="n">
        <f aca="false">O592+P592</f>
        <v>7381.17595244232</v>
      </c>
      <c r="R592" s="15" t="n">
        <f aca="false">Q592-$G$2+$I$2</f>
        <v>9290.83595244232</v>
      </c>
      <c r="S592" s="42" t="n">
        <f aca="false">R592/$K$2</f>
        <v>39.699337488537</v>
      </c>
      <c r="T592" s="43" t="n">
        <f aca="false">S592-$M$2</f>
        <v>-70.2865617551497</v>
      </c>
    </row>
    <row r="593" customFormat="false" ht="15" hidden="false" customHeight="false" outlineLevel="0" collapsed="false">
      <c r="A593" s="5" t="n">
        <v>3</v>
      </c>
      <c r="B593" s="25" t="n">
        <f aca="false">IF(T592&gt;0,B592,D592)</f>
        <v>-0.125</v>
      </c>
      <c r="C593" s="25" t="n">
        <f aca="false">IF(T592&gt;0,D592,C592)</f>
        <v>0.25</v>
      </c>
      <c r="D593" s="41" t="n">
        <f aca="false">(B593+C593)/2</f>
        <v>0.0625</v>
      </c>
      <c r="E593" s="15" t="n">
        <f aca="false">$C$2*(1+IF(E$3&lt;=$O$2,$D593,$D593-($D593-$I$589)*MIN(E$3-$O$2,$Q$2)/$Q$2))</f>
        <v>2337.5</v>
      </c>
      <c r="F593" s="15" t="n">
        <f aca="false">E593*(1+IF(F$3&lt;=$O$2,$D593,$D593-($D593-$I$589)*MIN(F$3-$O$2,$Q$2)/$Q$2))</f>
        <v>2483.59375</v>
      </c>
      <c r="G593" s="15" t="n">
        <f aca="false">F593*(1+IF(G$3&lt;=$O$2,$D593,$D593-($D593-$I$589)*MIN(G$3-$O$2,$Q$2)/$Q$2))</f>
        <v>2638.818359375</v>
      </c>
      <c r="H593" s="15" t="n">
        <f aca="false">G593*(1+IF(H$3&lt;=$O$2,$D593,$D593-($D593-$I$589)*MIN(H$3-$O$2,$Q$2)/$Q$2))</f>
        <v>2803.74450683594</v>
      </c>
      <c r="I593" s="15" t="n">
        <f aca="false">H593*(1+IF(I$3&lt;=$O$2,$D593,$D593-($D593-$I$589)*MIN(I$3-$O$2,$Q$2)/$Q$2))</f>
        <v>2978.97853851318</v>
      </c>
      <c r="J593" s="15" t="n">
        <f aca="false">I593*(1+IF(J$3&lt;=$O$2,$D593,$D593-($D593-$I$589)*MIN(J$3-$O$2,$Q$2)/$Q$2))</f>
        <v>3138.8305268898</v>
      </c>
      <c r="K593" s="15" t="n">
        <f aca="false">J593*(1+IF(K$3&lt;=$O$2,$D593,$D593-($D593-$I$589)*MIN(K$3-$O$2,$Q$2)/$Q$2))</f>
        <v>3279.512911105</v>
      </c>
      <c r="L593" s="15" t="n">
        <f aca="false">K593*(1+IF(L$3&lt;=$O$2,$D593,$D593-($D593-$I$589)*MIN(L$3-$O$2,$Q$2)/$Q$2))</f>
        <v>3397.50978564656</v>
      </c>
      <c r="M593" s="15" t="n">
        <f aca="false">L593*(1+IF(M$3&lt;=$O$2,$D593,$D593-($D593-$I$589)*MIN(M$3-$O$2,$Q$2)/$Q$2))</f>
        <v>3489.71820122901</v>
      </c>
      <c r="N593" s="15" t="n">
        <f aca="false">M593*(1+IF(N$3&lt;=$O$2,$D593,$D593-($D593-$I$589)*MIN(N$3-$O$2,$Q$2)/$Q$2))</f>
        <v>3553.5800443115</v>
      </c>
      <c r="O593" s="15" t="n">
        <f aca="false">SUMPRODUCT(E593:N593,1/(1+$F$589)^$E$3:$N$3)*$E$2</f>
        <v>9778.59231679537</v>
      </c>
      <c r="P593" s="15" t="n">
        <f aca="false">N593*$E$2*(1+$I$589)/($F$589-$I$589)/(1+$F$589)^$N$3</f>
        <v>11630.0527010752</v>
      </c>
      <c r="Q593" s="15" t="n">
        <f aca="false">O593+P593</f>
        <v>21408.6450178706</v>
      </c>
      <c r="R593" s="15" t="n">
        <f aca="false">Q593-$G$2+$I$2</f>
        <v>23318.3050178706</v>
      </c>
      <c r="S593" s="42" t="n">
        <f aca="false">R593/$K$2</f>
        <v>99.6381020291014</v>
      </c>
      <c r="T593" s="43" t="n">
        <f aca="false">S593-$M$2</f>
        <v>-10.3477972145853</v>
      </c>
    </row>
    <row r="594" customFormat="false" ht="15" hidden="false" customHeight="false" outlineLevel="0" collapsed="false">
      <c r="A594" s="5" t="n">
        <v>4</v>
      </c>
      <c r="B594" s="25" t="n">
        <f aca="false">IF(T593&gt;0,B593,D593)</f>
        <v>0.0625</v>
      </c>
      <c r="C594" s="25" t="n">
        <f aca="false">IF(T593&gt;0,D593,C593)</f>
        <v>0.25</v>
      </c>
      <c r="D594" s="41" t="n">
        <f aca="false">(B594+C594)/2</f>
        <v>0.15625</v>
      </c>
      <c r="E594" s="15" t="n">
        <f aca="false">$C$2*(1+IF(E$3&lt;=$O$2,$D594,$D594-($D594-$I$589)*MIN(E$3-$O$2,$Q$2)/$Q$2))</f>
        <v>2543.75</v>
      </c>
      <c r="F594" s="15" t="n">
        <f aca="false">E594*(1+IF(F$3&lt;=$O$2,$D594,$D594-($D594-$I$589)*MIN(F$3-$O$2,$Q$2)/$Q$2))</f>
        <v>2941.2109375</v>
      </c>
      <c r="G594" s="15" t="n">
        <f aca="false">F594*(1+IF(G$3&lt;=$O$2,$D594,$D594-($D594-$I$589)*MIN(G$3-$O$2,$Q$2)/$Q$2))</f>
        <v>3400.77514648438</v>
      </c>
      <c r="H594" s="15" t="n">
        <f aca="false">G594*(1+IF(H$3&lt;=$O$2,$D594,$D594-($D594-$I$589)*MIN(H$3-$O$2,$Q$2)/$Q$2))</f>
        <v>3932.14626312256</v>
      </c>
      <c r="I594" s="15" t="n">
        <f aca="false">H594*(1+IF(I$3&lt;=$O$2,$D594,$D594-($D594-$I$589)*MIN(I$3-$O$2,$Q$2)/$Q$2))</f>
        <v>4546.54411673546</v>
      </c>
      <c r="J594" s="15" t="n">
        <f aca="false">I594*(1+IF(J$3&lt;=$O$2,$D594,$D594-($D594-$I$589)*MIN(J$3-$O$2,$Q$2)/$Q$2))</f>
        <v>5131.50248279464</v>
      </c>
      <c r="K594" s="15" t="n">
        <f aca="false">J594*(1+IF(K$3&lt;=$O$2,$D594,$D594-($D594-$I$589)*MIN(K$3-$O$2,$Q$2)/$Q$2))</f>
        <v>5650.1434387307</v>
      </c>
      <c r="L594" s="15" t="n">
        <f aca="false">K594*(1+IF(L$3&lt;=$O$2,$D594,$D594-($D594-$I$589)*MIN(L$3-$O$2,$Q$2)/$Q$2))</f>
        <v>6065.31597860863</v>
      </c>
      <c r="M594" s="15" t="n">
        <f aca="false">L594*(1+IF(M$3&lt;=$O$2,$D594,$D594-($D594-$I$589)*MIN(M$3-$O$2,$Q$2)/$Q$2))</f>
        <v>6343.65332886698</v>
      </c>
      <c r="N594" s="15" t="n">
        <f aca="false">M594*(1+IF(N$3&lt;=$O$2,$D594,$D594-($D594-$I$589)*MIN(N$3-$O$2,$Q$2)/$Q$2))</f>
        <v>6459.74218478525</v>
      </c>
      <c r="O594" s="15" t="n">
        <f aca="false">SUMPRODUCT(E594:N594,1/(1+$F$589)^$E$3:$N$3)*$E$2</f>
        <v>14687.2903314427</v>
      </c>
      <c r="P594" s="15" t="n">
        <f aca="false">N594*$E$2*(1+$I$589)/($F$589-$I$589)/(1+$F$589)^$N$3</f>
        <v>21141.2550463506</v>
      </c>
      <c r="Q594" s="15" t="n">
        <f aca="false">O594+P594</f>
        <v>35828.5453777933</v>
      </c>
      <c r="R594" s="15" t="n">
        <f aca="false">Q594-$G$2+$I$2</f>
        <v>37738.2053777933</v>
      </c>
      <c r="S594" s="42" t="n">
        <f aca="false">R594/$K$2</f>
        <v>161.253708404022</v>
      </c>
      <c r="T594" s="43" t="n">
        <f aca="false">S594-$M$2</f>
        <v>51.2678091603356</v>
      </c>
    </row>
    <row r="595" customFormat="false" ht="15" hidden="false" customHeight="false" outlineLevel="0" collapsed="false">
      <c r="A595" s="5" t="n">
        <v>5</v>
      </c>
      <c r="B595" s="25" t="n">
        <f aca="false">IF(T594&gt;0,B594,D594)</f>
        <v>0.0625</v>
      </c>
      <c r="C595" s="25" t="n">
        <f aca="false">IF(T594&gt;0,D594,C594)</f>
        <v>0.15625</v>
      </c>
      <c r="D595" s="41" t="n">
        <f aca="false">(B595+C595)/2</f>
        <v>0.109375</v>
      </c>
      <c r="E595" s="15" t="n">
        <f aca="false">$C$2*(1+IF(E$3&lt;=$O$2,$D595,$D595-($D595-$I$589)*MIN(E$3-$O$2,$Q$2)/$Q$2))</f>
        <v>2440.625</v>
      </c>
      <c r="F595" s="15" t="n">
        <f aca="false">E595*(1+IF(F$3&lt;=$O$2,$D595,$D595-($D595-$I$589)*MIN(F$3-$O$2,$Q$2)/$Q$2))</f>
        <v>2707.568359375</v>
      </c>
      <c r="G595" s="15" t="n">
        <f aca="false">F595*(1+IF(G$3&lt;=$O$2,$D595,$D595-($D595-$I$589)*MIN(G$3-$O$2,$Q$2)/$Q$2))</f>
        <v>3003.70864868164</v>
      </c>
      <c r="H595" s="15" t="n">
        <f aca="false">G595*(1+IF(H$3&lt;=$O$2,$D595,$D595-($D595-$I$589)*MIN(H$3-$O$2,$Q$2)/$Q$2))</f>
        <v>3332.2392821312</v>
      </c>
      <c r="I595" s="15" t="n">
        <f aca="false">H595*(1+IF(I$3&lt;=$O$2,$D595,$D595-($D595-$I$589)*MIN(I$3-$O$2,$Q$2)/$Q$2))</f>
        <v>3696.70295361429</v>
      </c>
      <c r="J595" s="15" t="n">
        <f aca="false">I595*(1+IF(J$3&lt;=$O$2,$D595,$D595-($D595-$I$589)*MIN(J$3-$O$2,$Q$2)/$Q$2))</f>
        <v>4033.69439486577</v>
      </c>
      <c r="K595" s="15" t="n">
        <f aca="false">J595*(1+IF(K$3&lt;=$O$2,$D595,$D595-($D595-$I$589)*MIN(K$3-$O$2,$Q$2)/$Q$2))</f>
        <v>4327.93223249926</v>
      </c>
      <c r="L595" s="15" t="n">
        <f aca="false">K595*(1+IF(L$3&lt;=$O$2,$D595,$D595-($D595-$I$589)*MIN(L$3-$O$2,$Q$2)/$Q$2))</f>
        <v>4564.79996358394</v>
      </c>
      <c r="M595" s="15" t="n">
        <f aca="false">L595*(1+IF(M$3&lt;=$O$2,$D595,$D595-($D595-$I$589)*MIN(M$3-$O$2,$Q$2)/$Q$2))</f>
        <v>4731.48363425421</v>
      </c>
      <c r="N595" s="15" t="n">
        <f aca="false">M595*(1+IF(N$3&lt;=$O$2,$D595,$D595-($D595-$I$589)*MIN(N$3-$O$2,$Q$2)/$Q$2))</f>
        <v>4818.06978476106</v>
      </c>
      <c r="O595" s="15" t="n">
        <f aca="false">SUMPRODUCT(E595:N595,1/(1+$F$589)^$E$3:$N$3)*$E$2</f>
        <v>11986.4083745544</v>
      </c>
      <c r="P595" s="15" t="n">
        <f aca="false">N595*$E$2*(1+$I$589)/($F$589-$I$589)/(1+$F$589)^$N$3</f>
        <v>15768.4376925541</v>
      </c>
      <c r="Q595" s="15" t="n">
        <f aca="false">O595+P595</f>
        <v>27754.8460671085</v>
      </c>
      <c r="R595" s="15" t="n">
        <f aca="false">Q595-$G$2+$I$2</f>
        <v>29664.5060671085</v>
      </c>
      <c r="S595" s="42" t="n">
        <f aca="false">R595/$K$2</f>
        <v>126.755142789849</v>
      </c>
      <c r="T595" s="43" t="n">
        <f aca="false">S595-$M$2</f>
        <v>16.7692435461628</v>
      </c>
    </row>
    <row r="596" customFormat="false" ht="15" hidden="false" customHeight="false" outlineLevel="0" collapsed="false">
      <c r="A596" s="5" t="n">
        <v>6</v>
      </c>
      <c r="B596" s="25" t="n">
        <f aca="false">IF(T595&gt;0,B595,D595)</f>
        <v>0.0625</v>
      </c>
      <c r="C596" s="25" t="n">
        <f aca="false">IF(T595&gt;0,D595,C595)</f>
        <v>0.109375</v>
      </c>
      <c r="D596" s="41" t="n">
        <f aca="false">(B596+C596)/2</f>
        <v>0.0859375</v>
      </c>
      <c r="E596" s="15" t="n">
        <f aca="false">$C$2*(1+IF(E$3&lt;=$O$2,$D596,$D596-($D596-$I$589)*MIN(E$3-$O$2,$Q$2)/$Q$2))</f>
        <v>2389.0625</v>
      </c>
      <c r="F596" s="15" t="n">
        <f aca="false">E596*(1+IF(F$3&lt;=$O$2,$D596,$D596-($D596-$I$589)*MIN(F$3-$O$2,$Q$2)/$Q$2))</f>
        <v>2594.37255859375</v>
      </c>
      <c r="G596" s="15" t="n">
        <f aca="false">F596*(1+IF(G$3&lt;=$O$2,$D596,$D596-($D596-$I$589)*MIN(G$3-$O$2,$Q$2)/$Q$2))</f>
        <v>2817.3264503479</v>
      </c>
      <c r="H596" s="15" t="n">
        <f aca="false">G596*(1+IF(H$3&lt;=$O$2,$D596,$D596-($D596-$I$589)*MIN(H$3-$O$2,$Q$2)/$Q$2))</f>
        <v>3059.44044217467</v>
      </c>
      <c r="I596" s="15" t="n">
        <f aca="false">H596*(1+IF(I$3&lt;=$O$2,$D596,$D596-($D596-$I$589)*MIN(I$3-$O$2,$Q$2)/$Q$2))</f>
        <v>3322.36110517406</v>
      </c>
      <c r="J596" s="15" t="n">
        <f aca="false">I596*(1+IF(J$3&lt;=$O$2,$D596,$D596-($D596-$I$589)*MIN(J$3-$O$2,$Q$2)/$Q$2))</f>
        <v>3562.93327279971</v>
      </c>
      <c r="K596" s="15" t="n">
        <f aca="false">J596*(1+IF(K$3&lt;=$O$2,$D596,$D596-($D596-$I$589)*MIN(K$3-$O$2,$Q$2)/$Q$2))</f>
        <v>3772.72769123534</v>
      </c>
      <c r="L596" s="15" t="n">
        <f aca="false">K596*(1+IF(L$3&lt;=$O$2,$D596,$D596-($D596-$I$589)*MIN(L$3-$O$2,$Q$2)/$Q$2))</f>
        <v>3943.83975567132</v>
      </c>
      <c r="M596" s="15" t="n">
        <f aca="false">L596*(1+IF(M$3&lt;=$O$2,$D596,$D596-($D596-$I$589)*MIN(M$3-$O$2,$Q$2)/$Q$2))</f>
        <v>4069.36231549495</v>
      </c>
      <c r="N596" s="15" t="n">
        <f aca="false">M596*(1+IF(N$3&lt;=$O$2,$D596,$D596-($D596-$I$589)*MIN(N$3-$O$2,$Q$2)/$Q$2))</f>
        <v>4143.83164586851</v>
      </c>
      <c r="O596" s="15" t="n">
        <f aca="false">SUMPRODUCT(E596:N596,1/(1+$F$589)^$E$3:$N$3)*$E$2</f>
        <v>10826.4860400855</v>
      </c>
      <c r="P596" s="15" t="n">
        <f aca="false">N596*$E$2*(1+$I$589)/($F$589-$I$589)/(1+$F$589)^$N$3</f>
        <v>13561.8108569076</v>
      </c>
      <c r="Q596" s="15" t="n">
        <f aca="false">O596+P596</f>
        <v>24388.2968969931</v>
      </c>
      <c r="R596" s="15" t="n">
        <f aca="false">Q596-$G$2+$I$2</f>
        <v>26297.9568969931</v>
      </c>
      <c r="S596" s="42" t="n">
        <f aca="false">R596/$K$2</f>
        <v>112.370024770299</v>
      </c>
      <c r="T596" s="43" t="n">
        <f aca="false">S596-$M$2</f>
        <v>2.38412552661247</v>
      </c>
    </row>
    <row r="597" customFormat="false" ht="15" hidden="false" customHeight="false" outlineLevel="0" collapsed="false">
      <c r="A597" s="5" t="n">
        <v>7</v>
      </c>
      <c r="B597" s="25" t="n">
        <f aca="false">IF(T596&gt;0,B596,D596)</f>
        <v>0.0625</v>
      </c>
      <c r="C597" s="25" t="n">
        <f aca="false">IF(T596&gt;0,D596,C596)</f>
        <v>0.0859375</v>
      </c>
      <c r="D597" s="41" t="n">
        <f aca="false">(B597+C597)/2</f>
        <v>0.07421875</v>
      </c>
      <c r="E597" s="15" t="n">
        <f aca="false">$C$2*(1+IF(E$3&lt;=$O$2,$D597,$D597-($D597-$I$589)*MIN(E$3-$O$2,$Q$2)/$Q$2))</f>
        <v>2363.28125</v>
      </c>
      <c r="F597" s="15" t="n">
        <f aca="false">E597*(1+IF(F$3&lt;=$O$2,$D597,$D597-($D597-$I$589)*MIN(F$3-$O$2,$Q$2)/$Q$2))</f>
        <v>2538.68103027344</v>
      </c>
      <c r="G597" s="15" t="n">
        <f aca="false">F597*(1+IF(G$3&lt;=$O$2,$D597,$D597-($D597-$I$589)*MIN(G$3-$O$2,$Q$2)/$Q$2))</f>
        <v>2727.09876298904</v>
      </c>
      <c r="H597" s="15" t="n">
        <f aca="false">G597*(1+IF(H$3&lt;=$O$2,$D597,$D597-($D597-$I$589)*MIN(H$3-$O$2,$Q$2)/$Q$2))</f>
        <v>2929.50062430464</v>
      </c>
      <c r="I597" s="15" t="n">
        <f aca="false">H597*(1+IF(I$3&lt;=$O$2,$D597,$D597-($D597-$I$589)*MIN(I$3-$O$2,$Q$2)/$Q$2))</f>
        <v>3146.92449876475</v>
      </c>
      <c r="J597" s="15" t="n">
        <f aca="false">I597*(1+IF(J$3&lt;=$O$2,$D597,$D597-($D597-$I$589)*MIN(J$3-$O$2,$Q$2)/$Q$2))</f>
        <v>3345.29088454438</v>
      </c>
      <c r="K597" s="15" t="n">
        <f aca="false">J597*(1+IF(K$3&lt;=$O$2,$D597,$D597-($D597-$I$589)*MIN(K$3-$O$2,$Q$2)/$Q$2))</f>
        <v>3518.74839852161</v>
      </c>
      <c r="L597" s="15" t="n">
        <f aca="false">K597*(1+IF(L$3&lt;=$O$2,$D597,$D597-($D597-$I$589)*MIN(L$3-$O$2,$Q$2)/$Q$2))</f>
        <v>3661.84709901849</v>
      </c>
      <c r="M597" s="15" t="n">
        <f aca="false">L597*(1+IF(M$3&lt;=$O$2,$D597,$D597-($D597-$I$589)*MIN(M$3-$O$2,$Q$2)/$Q$2))</f>
        <v>3769.81208342418</v>
      </c>
      <c r="N597" s="15" t="n">
        <f aca="false">M597*(1+IF(N$3&lt;=$O$2,$D597,$D597-($D597-$I$589)*MIN(N$3-$O$2,$Q$2)/$Q$2))</f>
        <v>3838.79964455084</v>
      </c>
      <c r="O597" s="15" t="n">
        <f aca="false">SUMPRODUCT(E597:N597,1/(1+$F$589)^$E$3:$N$3)*$E$2</f>
        <v>10289.1890693383</v>
      </c>
      <c r="P597" s="15" t="n">
        <f aca="false">N597*$E$2*(1+$I$589)/($F$589-$I$589)/(1+$F$589)^$N$3</f>
        <v>12563.5110559737</v>
      </c>
      <c r="Q597" s="15" t="n">
        <f aca="false">O597+P597</f>
        <v>22852.700125312</v>
      </c>
      <c r="R597" s="15" t="n">
        <f aca="false">Q597-$G$2+$I$2</f>
        <v>24762.360125312</v>
      </c>
      <c r="S597" s="42" t="n">
        <f aca="false">R597/$K$2</f>
        <v>105.80848662698</v>
      </c>
      <c r="T597" s="43" t="n">
        <f aca="false">S597-$M$2</f>
        <v>-4.17741261670712</v>
      </c>
    </row>
    <row r="598" customFormat="false" ht="15" hidden="false" customHeight="false" outlineLevel="0" collapsed="false">
      <c r="A598" s="5" t="n">
        <v>8</v>
      </c>
      <c r="B598" s="25" t="n">
        <f aca="false">IF(T597&gt;0,B597,D597)</f>
        <v>0.07421875</v>
      </c>
      <c r="C598" s="25" t="n">
        <f aca="false">IF(T597&gt;0,D597,C597)</f>
        <v>0.0859375</v>
      </c>
      <c r="D598" s="41" t="n">
        <f aca="false">(B598+C598)/2</f>
        <v>0.080078125</v>
      </c>
      <c r="E598" s="15" t="n">
        <f aca="false">$C$2*(1+IF(E$3&lt;=$O$2,$D598,$D598-($D598-$I$589)*MIN(E$3-$O$2,$Q$2)/$Q$2))</f>
        <v>2376.171875</v>
      </c>
      <c r="F598" s="15" t="n">
        <f aca="false">E598*(1+IF(F$3&lt;=$O$2,$D598,$D598-($D598-$I$589)*MIN(F$3-$O$2,$Q$2)/$Q$2))</f>
        <v>2566.45126342773</v>
      </c>
      <c r="G598" s="15" t="n">
        <f aca="false">F598*(1+IF(G$3&lt;=$O$2,$D598,$D598-($D598-$I$589)*MIN(G$3-$O$2,$Q$2)/$Q$2))</f>
        <v>2771.96786850691</v>
      </c>
      <c r="H598" s="15" t="n">
        <f aca="false">G598*(1+IF(H$3&lt;=$O$2,$D598,$D598-($D598-$I$589)*MIN(H$3-$O$2,$Q$2)/$Q$2))</f>
        <v>2993.94185797719</v>
      </c>
      <c r="I598" s="15" t="n">
        <f aca="false">H598*(1+IF(I$3&lt;=$O$2,$D598,$D598-($D598-$I$589)*MIN(I$3-$O$2,$Q$2)/$Q$2))</f>
        <v>3233.69110832302</v>
      </c>
      <c r="J598" s="15" t="n">
        <f aca="false">I598*(1+IF(J$3&lt;=$O$2,$D598,$D598-($D598-$I$589)*MIN(J$3-$O$2,$Q$2)/$Q$2))</f>
        <v>3452.68475440642</v>
      </c>
      <c r="K598" s="15" t="n">
        <f aca="false">J598*(1+IF(K$3&lt;=$O$2,$D598,$D598-($D598-$I$589)*MIN(K$3-$O$2,$Q$2)/$Q$2))</f>
        <v>3643.84911961805</v>
      </c>
      <c r="L598" s="15" t="n">
        <f aca="false">K598*(1+IF(L$3&lt;=$O$2,$D598,$D598-($D598-$I$589)*MIN(L$3-$O$2,$Q$2)/$Q$2))</f>
        <v>3800.57562506422</v>
      </c>
      <c r="M598" s="15" t="n">
        <f aca="false">L598*(1+IF(M$3&lt;=$O$2,$D598,$D598-($D598-$I$589)*MIN(M$3-$O$2,$Q$2)/$Q$2))</f>
        <v>3917.08464621033</v>
      </c>
      <c r="N598" s="15" t="n">
        <f aca="false">M598*(1+IF(N$3&lt;=$O$2,$D598,$D598-($D598-$I$589)*MIN(N$3-$O$2,$Q$2)/$Q$2))</f>
        <v>3988.76729523598</v>
      </c>
      <c r="O598" s="15" t="n">
        <f aca="false">SUMPRODUCT(E598:N598,1/(1+$F$589)^$E$3:$N$3)*$E$2</f>
        <v>10554.4204326165</v>
      </c>
      <c r="P598" s="15" t="n">
        <f aca="false">N598*$E$2*(1+$I$589)/($F$589-$I$589)/(1+$F$589)^$N$3</f>
        <v>13054.3207912762</v>
      </c>
      <c r="Q598" s="15" t="n">
        <f aca="false">O598+P598</f>
        <v>23608.7412238927</v>
      </c>
      <c r="R598" s="15" t="n">
        <f aca="false">Q598-$G$2+$I$2</f>
        <v>25518.4012238927</v>
      </c>
      <c r="S598" s="42" t="n">
        <f aca="false">R598/$K$2</f>
        <v>109.039017322107</v>
      </c>
      <c r="T598" s="43" t="n">
        <f aca="false">S598-$M$2</f>
        <v>-0.946881921579575</v>
      </c>
    </row>
    <row r="599" customFormat="false" ht="15" hidden="false" customHeight="false" outlineLevel="0" collapsed="false">
      <c r="A599" s="5" t="n">
        <v>9</v>
      </c>
      <c r="B599" s="25" t="n">
        <f aca="false">IF(T598&gt;0,B598,D598)</f>
        <v>0.080078125</v>
      </c>
      <c r="C599" s="25" t="n">
        <f aca="false">IF(T598&gt;0,D598,C598)</f>
        <v>0.0859375</v>
      </c>
      <c r="D599" s="41" t="n">
        <f aca="false">(B599+C599)/2</f>
        <v>0.0830078125</v>
      </c>
      <c r="E599" s="15" t="n">
        <f aca="false">$C$2*(1+IF(E$3&lt;=$O$2,$D599,$D599-($D599-$I$589)*MIN(E$3-$O$2,$Q$2)/$Q$2))</f>
        <v>2382.6171875</v>
      </c>
      <c r="F599" s="15" t="n">
        <f aca="false">E599*(1+IF(F$3&lt;=$O$2,$D599,$D599-($D599-$I$589)*MIN(F$3-$O$2,$Q$2)/$Q$2))</f>
        <v>2580.39302825928</v>
      </c>
      <c r="G599" s="15" t="n">
        <f aca="false">F599*(1+IF(G$3&lt;=$O$2,$D599,$D599-($D599-$I$589)*MIN(G$3-$O$2,$Q$2)/$Q$2))</f>
        <v>2794.58580892533</v>
      </c>
      <c r="H599" s="15" t="n">
        <f aca="false">G599*(1+IF(H$3&lt;=$O$2,$D599,$D599-($D599-$I$589)*MIN(H$3-$O$2,$Q$2)/$Q$2))</f>
        <v>3026.55826376777</v>
      </c>
      <c r="I599" s="15" t="n">
        <f aca="false">H599*(1+IF(I$3&lt;=$O$2,$D599,$D599-($D599-$I$589)*MIN(I$3-$O$2,$Q$2)/$Q$2))</f>
        <v>3277.78624464693</v>
      </c>
      <c r="J599" s="15" t="n">
        <f aca="false">I599*(1+IF(J$3&lt;=$O$2,$D599,$D599-($D599-$I$589)*MIN(J$3-$O$2,$Q$2)/$Q$2))</f>
        <v>3507.44843511092</v>
      </c>
      <c r="K599" s="15" t="n">
        <f aca="false">J599*(1+IF(K$3&lt;=$O$2,$D599,$D599-($D599-$I$589)*MIN(K$3-$O$2,$Q$2)/$Q$2))</f>
        <v>3707.81033088899</v>
      </c>
      <c r="L599" s="15" t="n">
        <f aca="false">K599*(1+IF(L$3&lt;=$O$2,$D599,$D599-($D599-$I$589)*MIN(L$3-$O$2,$Q$2)/$Q$2))</f>
        <v>3871.63297821495</v>
      </c>
      <c r="M599" s="15" t="n">
        <f aca="false">L599*(1+IF(M$3&lt;=$O$2,$D599,$D599-($D599-$I$589)*MIN(M$3-$O$2,$Q$2)/$Q$2))</f>
        <v>3992.58884188092</v>
      </c>
      <c r="N599" s="15" t="n">
        <f aca="false">M599*(1+IF(N$3&lt;=$O$2,$D599,$D599-($D599-$I$589)*MIN(N$3-$O$2,$Q$2)/$Q$2))</f>
        <v>4065.65321768734</v>
      </c>
      <c r="O599" s="15" t="n">
        <f aca="false">SUMPRODUCT(E599:N599,1/(1+$F$589)^$E$3:$N$3)*$E$2</f>
        <v>10689.5888265046</v>
      </c>
      <c r="P599" s="15" t="n">
        <f aca="false">N599*$E$2*(1+$I$589)/($F$589-$I$589)/(1+$F$589)^$N$3</f>
        <v>13305.9507866414</v>
      </c>
      <c r="Q599" s="15" t="n">
        <f aca="false">O599+P599</f>
        <v>23995.539613146</v>
      </c>
      <c r="R599" s="15" t="n">
        <f aca="false">Q599-$G$2+$I$2</f>
        <v>25905.199613146</v>
      </c>
      <c r="S599" s="42" t="n">
        <f aca="false">R599/$K$2</f>
        <v>110.691789997633</v>
      </c>
      <c r="T599" s="43" t="n">
        <f aca="false">S599-$M$2</f>
        <v>0.705890753946022</v>
      </c>
    </row>
    <row r="600" customFormat="false" ht="15" hidden="false" customHeight="false" outlineLevel="0" collapsed="false">
      <c r="A600" s="5" t="n">
        <v>10</v>
      </c>
      <c r="B600" s="25" t="n">
        <f aca="false">IF(T599&gt;0,B599,D599)</f>
        <v>0.080078125</v>
      </c>
      <c r="C600" s="25" t="n">
        <f aca="false">IF(T599&gt;0,D599,C599)</f>
        <v>0.0830078125</v>
      </c>
      <c r="D600" s="41" t="n">
        <f aca="false">(B600+C600)/2</f>
        <v>0.08154296875</v>
      </c>
      <c r="E600" s="15" t="n">
        <f aca="false">$C$2*(1+IF(E$3&lt;=$O$2,$D600,$D600-($D600-$I$589)*MIN(E$3-$O$2,$Q$2)/$Q$2))</f>
        <v>2379.39453125</v>
      </c>
      <c r="F600" s="15" t="n">
        <f aca="false">E600*(1+IF(F$3&lt;=$O$2,$D600,$D600-($D600-$I$589)*MIN(F$3-$O$2,$Q$2)/$Q$2))</f>
        <v>2573.41742515564</v>
      </c>
      <c r="G600" s="15" t="n">
        <f aca="false">F600*(1+IF(G$3&lt;=$O$2,$D600,$D600-($D600-$I$589)*MIN(G$3-$O$2,$Q$2)/$Q$2))</f>
        <v>2783.26152183581</v>
      </c>
      <c r="H600" s="15" t="n">
        <f aca="false">G600*(1+IF(H$3&lt;=$O$2,$D600,$D600-($D600-$I$589)*MIN(H$3-$O$2,$Q$2)/$Q$2))</f>
        <v>3010.21692913395</v>
      </c>
      <c r="I600" s="15" t="n">
        <f aca="false">H600*(1+IF(I$3&lt;=$O$2,$D600,$D600-($D600-$I$589)*MIN(I$3-$O$2,$Q$2)/$Q$2))</f>
        <v>3255.67895411704</v>
      </c>
      <c r="J600" s="15" t="n">
        <f aca="false">I600*(1+IF(J$3&lt;=$O$2,$D600,$D600-($D600-$I$589)*MIN(J$3-$O$2,$Q$2)/$Q$2))</f>
        <v>3479.97692086158</v>
      </c>
      <c r="K600" s="15" t="n">
        <f aca="false">J600*(1+IF(K$3&lt;=$O$2,$D600,$D600-($D600-$I$589)*MIN(K$3-$O$2,$Q$2)/$Q$2))</f>
        <v>3675.71094150741</v>
      </c>
      <c r="L600" s="15" t="n">
        <f aca="false">K600*(1+IF(L$3&lt;=$O$2,$D600,$D600-($D600-$I$589)*MIN(L$3-$O$2,$Q$2)/$Q$2))</f>
        <v>3835.96160062011</v>
      </c>
      <c r="M600" s="15" t="n">
        <f aca="false">L600*(1+IF(M$3&lt;=$O$2,$D600,$D600-($D600-$I$589)*MIN(M$3-$O$2,$Q$2)/$Q$2))</f>
        <v>3954.6792178383</v>
      </c>
      <c r="N600" s="15" t="n">
        <f aca="false">M600*(1+IF(N$3&lt;=$O$2,$D600,$D600-($D600-$I$589)*MIN(N$3-$O$2,$Q$2)/$Q$2))</f>
        <v>4027.04984752475</v>
      </c>
      <c r="O600" s="15" t="n">
        <f aca="false">SUMPRODUCT(E600:N600,1/(1+$F$589)^$E$3:$N$3)*$E$2</f>
        <v>10621.7898013874</v>
      </c>
      <c r="P600" s="15" t="n">
        <f aca="false">N600*$E$2*(1+$I$589)/($F$589-$I$589)/(1+$F$589)^$N$3</f>
        <v>13179.6108072877</v>
      </c>
      <c r="Q600" s="15" t="n">
        <f aca="false">O600+P600</f>
        <v>23801.4006086751</v>
      </c>
      <c r="R600" s="15" t="n">
        <f aca="false">Q600-$G$2+$I$2</f>
        <v>25711.0606086751</v>
      </c>
      <c r="S600" s="42" t="n">
        <f aca="false">R600/$K$2</f>
        <v>109.862242484618</v>
      </c>
      <c r="T600" s="43" t="n">
        <f aca="false">S600-$M$2</f>
        <v>-0.123656759068865</v>
      </c>
    </row>
    <row r="601" customFormat="false" ht="15" hidden="false" customHeight="false" outlineLevel="0" collapsed="false">
      <c r="A601" s="5" t="n">
        <v>11</v>
      </c>
      <c r="B601" s="25" t="n">
        <f aca="false">IF(T600&gt;0,B600,D600)</f>
        <v>0.08154296875</v>
      </c>
      <c r="C601" s="25" t="n">
        <f aca="false">IF(T600&gt;0,D600,C600)</f>
        <v>0.0830078125</v>
      </c>
      <c r="D601" s="41" t="n">
        <f aca="false">(B601+C601)/2</f>
        <v>0.082275390625</v>
      </c>
      <c r="E601" s="15" t="n">
        <f aca="false">$C$2*(1+IF(E$3&lt;=$O$2,$D601,$D601-($D601-$I$589)*MIN(E$3-$O$2,$Q$2)/$Q$2))</f>
        <v>2381.005859375</v>
      </c>
      <c r="F601" s="15" t="n">
        <f aca="false">E601*(1+IF(F$3&lt;=$O$2,$D601,$D601-($D601-$I$589)*MIN(F$3-$O$2,$Q$2)/$Q$2))</f>
        <v>2576.90404653549</v>
      </c>
      <c r="G601" s="15" t="n">
        <f aca="false">F601*(1+IF(G$3&lt;=$O$2,$D601,$D601-($D601-$I$589)*MIN(G$3-$O$2,$Q$2)/$Q$2))</f>
        <v>2788.91983356734</v>
      </c>
      <c r="H601" s="15" t="n">
        <f aca="false">G601*(1+IF(H$3&lt;=$O$2,$D601,$D601-($D601-$I$589)*MIN(H$3-$O$2,$Q$2)/$Q$2))</f>
        <v>3018.37930229591</v>
      </c>
      <c r="I601" s="15" t="n">
        <f aca="false">H601*(1+IF(I$3&lt;=$O$2,$D601,$D601-($D601-$I$589)*MIN(I$3-$O$2,$Q$2)/$Q$2))</f>
        <v>3266.71763844672</v>
      </c>
      <c r="J601" s="15" t="n">
        <f aca="false">I601*(1+IF(J$3&lt;=$O$2,$D601,$D601-($D601-$I$589)*MIN(J$3-$O$2,$Q$2)/$Q$2))</f>
        <v>3493.69020081526</v>
      </c>
      <c r="K601" s="15" t="n">
        <f aca="false">J601*(1+IF(K$3&lt;=$O$2,$D601,$D601-($D601-$I$589)*MIN(K$3-$O$2,$Q$2)/$Q$2))</f>
        <v>3691.73084868211</v>
      </c>
      <c r="L601" s="15" t="n">
        <f aca="false">K601*(1+IF(L$3&lt;=$O$2,$D601,$D601-($D601-$I$589)*MIN(L$3-$O$2,$Q$2)/$Q$2))</f>
        <v>3853.76149246371</v>
      </c>
      <c r="M601" s="15" t="n">
        <f aca="false">L601*(1+IF(M$3&lt;=$O$2,$D601,$D601-($D601-$I$589)*MIN(M$3-$O$2,$Q$2)/$Q$2))</f>
        <v>3973.59450714699</v>
      </c>
      <c r="N601" s="15" t="n">
        <f aca="false">M601*(1+IF(N$3&lt;=$O$2,$D601,$D601-($D601-$I$589)*MIN(N$3-$O$2,$Q$2)/$Q$2))</f>
        <v>4046.31128662778</v>
      </c>
      <c r="O601" s="15" t="n">
        <f aca="false">SUMPRODUCT(E601:N601,1/(1+$F$589)^$E$3:$N$3)*$E$2</f>
        <v>10655.6354481267</v>
      </c>
      <c r="P601" s="15" t="n">
        <f aca="false">N601*$E$2*(1+$I$589)/($F$589-$I$589)/(1+$F$589)^$N$3</f>
        <v>13242.6490811055</v>
      </c>
      <c r="Q601" s="15" t="n">
        <f aca="false">O601+P601</f>
        <v>23898.2845292322</v>
      </c>
      <c r="R601" s="15" t="n">
        <f aca="false">Q601-$G$2+$I$2</f>
        <v>25807.9445292322</v>
      </c>
      <c r="S601" s="42" t="n">
        <f aca="false">R601/$K$2</f>
        <v>110.276223258694</v>
      </c>
      <c r="T601" s="43" t="n">
        <f aca="false">S601-$M$2</f>
        <v>0.290324015007585</v>
      </c>
    </row>
    <row r="602" customFormat="false" ht="15" hidden="false" customHeight="false" outlineLevel="0" collapsed="false">
      <c r="A602" s="5" t="n">
        <v>12</v>
      </c>
      <c r="B602" s="25" t="n">
        <f aca="false">IF(T601&gt;0,B601,D601)</f>
        <v>0.08154296875</v>
      </c>
      <c r="C602" s="25" t="n">
        <f aca="false">IF(T601&gt;0,D601,C601)</f>
        <v>0.082275390625</v>
      </c>
      <c r="D602" s="41" t="n">
        <f aca="false">(B602+C602)/2</f>
        <v>0.0819091796875</v>
      </c>
      <c r="E602" s="15" t="n">
        <f aca="false">$C$2*(1+IF(E$3&lt;=$O$2,$D602,$D602-($D602-$I$589)*MIN(E$3-$O$2,$Q$2)/$Q$2))</f>
        <v>2380.2001953125</v>
      </c>
      <c r="F602" s="15" t="n">
        <f aca="false">E602*(1+IF(F$3&lt;=$O$2,$D602,$D602-($D602-$I$589)*MIN(F$3-$O$2,$Q$2)/$Q$2))</f>
        <v>2575.16044080257</v>
      </c>
      <c r="G602" s="15" t="n">
        <f aca="false">F602*(1+IF(G$3&lt;=$O$2,$D602,$D602-($D602-$I$589)*MIN(G$3-$O$2,$Q$2)/$Q$2))</f>
        <v>2786.08972007241</v>
      </c>
      <c r="H602" s="15" t="n">
        <f aca="false">G602*(1+IF(H$3&lt;=$O$2,$D602,$D602-($D602-$I$589)*MIN(H$3-$O$2,$Q$2)/$Q$2))</f>
        <v>3014.29604357932</v>
      </c>
      <c r="I602" s="15" t="n">
        <f aca="false">H602*(1+IF(I$3&lt;=$O$2,$D602,$D602-($D602-$I$589)*MIN(I$3-$O$2,$Q$2)/$Q$2))</f>
        <v>3261.19455984418</v>
      </c>
      <c r="J602" s="15" t="n">
        <f aca="false">I602*(1+IF(J$3&lt;=$O$2,$D602,$D602-($D602-$I$589)*MIN(J$3-$O$2,$Q$2)/$Q$2))</f>
        <v>3486.82794889175</v>
      </c>
      <c r="K602" s="15" t="n">
        <f aca="false">J602*(1+IF(K$3&lt;=$O$2,$D602,$D602-($D602-$I$589)*MIN(K$3-$O$2,$Q$2)/$Q$2))</f>
        <v>3683.71345968074</v>
      </c>
      <c r="L602" s="15" t="n">
        <f aca="false">K602*(1+IF(L$3&lt;=$O$2,$D602,$D602-($D602-$I$589)*MIN(L$3-$O$2,$Q$2)/$Q$2))</f>
        <v>3844.85261254254</v>
      </c>
      <c r="M602" s="15" t="n">
        <f aca="false">L602*(1+IF(M$3&lt;=$O$2,$D602,$D602-($D602-$I$589)*MIN(M$3-$O$2,$Q$2)/$Q$2))</f>
        <v>3964.1269994927</v>
      </c>
      <c r="N602" s="15" t="n">
        <f aca="false">M602*(1+IF(N$3&lt;=$O$2,$D602,$D602-($D602-$I$589)*MIN(N$3-$O$2,$Q$2)/$Q$2))</f>
        <v>4036.67052358342</v>
      </c>
      <c r="O602" s="15" t="n">
        <f aca="false">SUMPRODUCT(E602:N602,1/(1+$F$589)^$E$3:$N$3)*$E$2</f>
        <v>10638.699178181</v>
      </c>
      <c r="P602" s="15" t="n">
        <f aca="false">N602*$E$2*(1+$I$589)/($F$589-$I$589)/(1+$F$589)^$N$3</f>
        <v>13211.0970741474</v>
      </c>
      <c r="Q602" s="15" t="n">
        <f aca="false">O602+P602</f>
        <v>23849.7962523284</v>
      </c>
      <c r="R602" s="15" t="n">
        <f aca="false">Q602-$G$2+$I$2</f>
        <v>25759.4562523284</v>
      </c>
      <c r="S602" s="42" t="n">
        <f aca="false">R602/$K$2</f>
        <v>110.069034962733</v>
      </c>
      <c r="T602" s="43" t="n">
        <f aca="false">S602-$M$2</f>
        <v>0.0831357190462683</v>
      </c>
    </row>
    <row r="603" customFormat="false" ht="15" hidden="false" customHeight="false" outlineLevel="0" collapsed="false">
      <c r="A603" s="5" t="n">
        <v>13</v>
      </c>
      <c r="B603" s="25" t="n">
        <f aca="false">IF(T602&gt;0,B602,D602)</f>
        <v>0.08154296875</v>
      </c>
      <c r="C603" s="25" t="n">
        <f aca="false">IF(T602&gt;0,D602,C602)</f>
        <v>0.0819091796875</v>
      </c>
      <c r="D603" s="41" t="n">
        <f aca="false">(B603+C603)/2</f>
        <v>0.08172607421875</v>
      </c>
      <c r="E603" s="15" t="n">
        <f aca="false">$C$2*(1+IF(E$3&lt;=$O$2,$D603,$D603-($D603-$I$589)*MIN(E$3-$O$2,$Q$2)/$Q$2))</f>
        <v>2379.79736328125</v>
      </c>
      <c r="F603" s="15" t="n">
        <f aca="false">E603*(1+IF(F$3&lt;=$O$2,$D603,$D603-($D603-$I$589)*MIN(F$3-$O$2,$Q$2)/$Q$2))</f>
        <v>2574.28885921836</v>
      </c>
      <c r="G603" s="15" t="n">
        <f aca="false">F603*(1+IF(G$3&lt;=$O$2,$D603,$D603-($D603-$I$589)*MIN(G$3-$O$2,$Q$2)/$Q$2))</f>
        <v>2784.67538158734</v>
      </c>
      <c r="H603" s="15" t="n">
        <f aca="false">G603*(1+IF(H$3&lt;=$O$2,$D603,$D603-($D603-$I$589)*MIN(H$3-$O$2,$Q$2)/$Q$2))</f>
        <v>3012.25596849807</v>
      </c>
      <c r="I603" s="15" t="n">
        <f aca="false">H603*(1+IF(I$3&lt;=$O$2,$D603,$D603-($D603-$I$589)*MIN(I$3-$O$2,$Q$2)/$Q$2))</f>
        <v>3258.43582334542</v>
      </c>
      <c r="J603" s="15" t="n">
        <f aca="false">I603*(1+IF(J$3&lt;=$O$2,$D603,$D603-($D603-$I$589)*MIN(J$3-$O$2,$Q$2)/$Q$2))</f>
        <v>3483.40103280747</v>
      </c>
      <c r="K603" s="15" t="n">
        <f aca="false">J603*(1+IF(K$3&lt;=$O$2,$D603,$D603-($D603-$I$589)*MIN(K$3-$O$2,$Q$2)/$Q$2))</f>
        <v>3679.71034317216</v>
      </c>
      <c r="L603" s="15" t="n">
        <f aca="false">K603*(1+IF(L$3&lt;=$O$2,$D603,$D603-($D603-$I$589)*MIN(L$3-$O$2,$Q$2)/$Q$2))</f>
        <v>3840.40487498403</v>
      </c>
      <c r="M603" s="15" t="n">
        <f aca="false">L603*(1+IF(M$3&lt;=$O$2,$D603,$D603-($D603-$I$589)*MIN(M$3-$O$2,$Q$2)/$Q$2))</f>
        <v>3959.40064512239</v>
      </c>
      <c r="N603" s="15" t="n">
        <f aca="false">M603*(1+IF(N$3&lt;=$O$2,$D603,$D603-($D603-$I$589)*MIN(N$3-$O$2,$Q$2)/$Q$2))</f>
        <v>4031.85767692813</v>
      </c>
      <c r="O603" s="15" t="n">
        <f aca="false">SUMPRODUCT(E603:N603,1/(1+$F$589)^$E$3:$N$3)*$E$2</f>
        <v>10630.2411306223</v>
      </c>
      <c r="P603" s="15" t="n">
        <f aca="false">N603*$E$2*(1+$I$589)/($F$589-$I$589)/(1+$F$589)^$N$3</f>
        <v>13195.34573056</v>
      </c>
      <c r="Q603" s="15" t="n">
        <f aca="false">O603+P603</f>
        <v>23825.5868611823</v>
      </c>
      <c r="R603" s="15" t="n">
        <f aca="false">Q603-$G$2+$I$2</f>
        <v>25735.2468611823</v>
      </c>
      <c r="S603" s="42" t="n">
        <f aca="false">R603/$K$2</f>
        <v>109.965589288477</v>
      </c>
      <c r="T603" s="43" t="n">
        <f aca="false">S603-$M$2</f>
        <v>-0.0203099552096973</v>
      </c>
    </row>
    <row r="604" customFormat="false" ht="15" hidden="false" customHeight="false" outlineLevel="0" collapsed="false">
      <c r="A604" s="5" t="n">
        <v>14</v>
      </c>
      <c r="B604" s="25" t="n">
        <f aca="false">IF(T603&gt;0,B603,D603)</f>
        <v>0.08172607421875</v>
      </c>
      <c r="C604" s="25" t="n">
        <f aca="false">IF(T603&gt;0,D603,C603)</f>
        <v>0.0819091796875</v>
      </c>
      <c r="D604" s="41" t="n">
        <f aca="false">(B604+C604)/2</f>
        <v>0.081817626953125</v>
      </c>
      <c r="E604" s="15" t="n">
        <f aca="false">$C$2*(1+IF(E$3&lt;=$O$2,$D604,$D604-($D604-$I$589)*MIN(E$3-$O$2,$Q$2)/$Q$2))</f>
        <v>2379.99877929688</v>
      </c>
      <c r="F604" s="15" t="n">
        <f aca="false">E604*(1+IF(F$3&lt;=$O$2,$D604,$D604-($D604-$I$589)*MIN(F$3-$O$2,$Q$2)/$Q$2))</f>
        <v>2574.72463157028</v>
      </c>
      <c r="G604" s="15" t="n">
        <f aca="false">F604*(1+IF(G$3&lt;=$O$2,$D604,$D604-($D604-$I$589)*MIN(G$3-$O$2,$Q$2)/$Q$2))</f>
        <v>2785.38249098312</v>
      </c>
      <c r="H604" s="15" t="n">
        <f aca="false">G604*(1+IF(H$3&lt;=$O$2,$D604,$D604-($D604-$I$589)*MIN(H$3-$O$2,$Q$2)/$Q$2))</f>
        <v>3013.27587655214</v>
      </c>
      <c r="I604" s="15" t="n">
        <f aca="false">H604*(1+IF(I$3&lt;=$O$2,$D604,$D604-($D604-$I$589)*MIN(I$3-$O$2,$Q$2)/$Q$2))</f>
        <v>3259.81495812674</v>
      </c>
      <c r="J604" s="15" t="n">
        <f aca="false">I604*(1+IF(J$3&lt;=$O$2,$D604,$D604-($D604-$I$589)*MIN(J$3-$O$2,$Q$2)/$Q$2))</f>
        <v>3485.11414021766</v>
      </c>
      <c r="K604" s="15" t="n">
        <f aca="false">J604*(1+IF(K$3&lt;=$O$2,$D604,$D604-($D604-$I$589)*MIN(K$3-$O$2,$Q$2)/$Q$2))</f>
        <v>3681.71143689209</v>
      </c>
      <c r="L604" s="15" t="n">
        <f aca="false">K604*(1+IF(L$3&lt;=$O$2,$D604,$D604-($D604-$I$589)*MIN(L$3-$O$2,$Q$2)/$Q$2))</f>
        <v>3842.62818562624</v>
      </c>
      <c r="M604" s="15" t="n">
        <f aca="false">L604*(1+IF(M$3&lt;=$O$2,$D604,$D604-($D604-$I$589)*MIN(M$3-$O$2,$Q$2)/$Q$2))</f>
        <v>3961.76320614604</v>
      </c>
      <c r="N604" s="15" t="n">
        <f aca="false">M604*(1+IF(N$3&lt;=$O$2,$D604,$D604-($D604-$I$589)*MIN(N$3-$O$2,$Q$2)/$Q$2))</f>
        <v>4034.26347281851</v>
      </c>
      <c r="O604" s="15" t="n">
        <f aca="false">SUMPRODUCT(E604:N604,1/(1+$F$589)^$E$3:$N$3)*$E$2</f>
        <v>10634.469314301</v>
      </c>
      <c r="P604" s="15" t="n">
        <f aca="false">N604*$E$2*(1+$I$589)/($F$589-$I$589)/(1+$F$589)^$N$3</f>
        <v>13203.2193488954</v>
      </c>
      <c r="Q604" s="15" t="n">
        <f aca="false">O604+P604</f>
        <v>23837.6886631964</v>
      </c>
      <c r="R604" s="15" t="n">
        <f aca="false">Q604-$G$2+$I$2</f>
        <v>25747.3486631964</v>
      </c>
      <c r="S604" s="42" t="n">
        <f aca="false">R604/$K$2</f>
        <v>110.017299761554</v>
      </c>
      <c r="T604" s="43" t="n">
        <f aca="false">S604-$M$2</f>
        <v>0.0314005178670129</v>
      </c>
    </row>
    <row r="605" customFormat="false" ht="15" hidden="false" customHeight="false" outlineLevel="0" collapsed="false">
      <c r="A605" s="5" t="n">
        <v>15</v>
      </c>
      <c r="B605" s="25" t="n">
        <f aca="false">IF(T604&gt;0,B604,D604)</f>
        <v>0.08172607421875</v>
      </c>
      <c r="C605" s="25" t="n">
        <f aca="false">IF(T604&gt;0,D604,C604)</f>
        <v>0.081817626953125</v>
      </c>
      <c r="D605" s="41" t="n">
        <f aca="false">(B605+C605)/2</f>
        <v>0.0817718505859375</v>
      </c>
      <c r="E605" s="15" t="n">
        <f aca="false">$C$2*(1+IF(E$3&lt;=$O$2,$D605,$D605-($D605-$I$589)*MIN(E$3-$O$2,$Q$2)/$Q$2))</f>
        <v>2379.89807128906</v>
      </c>
      <c r="F605" s="15" t="n">
        <f aca="false">E605*(1+IF(F$3&lt;=$O$2,$D605,$D605-($D605-$I$589)*MIN(F$3-$O$2,$Q$2)/$Q$2))</f>
        <v>2574.50674078427</v>
      </c>
      <c r="G605" s="15" t="n">
        <f aca="false">F605*(1+IF(G$3&lt;=$O$2,$D605,$D605-($D605-$I$589)*MIN(G$3-$O$2,$Q$2)/$Q$2))</f>
        <v>2785.02892132417</v>
      </c>
      <c r="H605" s="15" t="n">
        <f aca="false">G605*(1+IF(H$3&lt;=$O$2,$D605,$D605-($D605-$I$589)*MIN(H$3-$O$2,$Q$2)/$Q$2))</f>
        <v>3012.76589015621</v>
      </c>
      <c r="I605" s="15" t="n">
        <f aca="false">H605*(1+IF(I$3&lt;=$O$2,$D605,$D605-($D605-$I$589)*MIN(I$3-$O$2,$Q$2)/$Q$2))</f>
        <v>3259.12533237647</v>
      </c>
      <c r="J605" s="15" t="n">
        <f aca="false">I605*(1+IF(J$3&lt;=$O$2,$D605,$D605-($D605-$I$589)*MIN(J$3-$O$2,$Q$2)/$Q$2))</f>
        <v>3484.25749886891</v>
      </c>
      <c r="K605" s="15" t="n">
        <f aca="false">J605*(1+IF(K$3&lt;=$O$2,$D605,$D605-($D605-$I$589)*MIN(K$3-$O$2,$Q$2)/$Q$2))</f>
        <v>3680.7107739209</v>
      </c>
      <c r="L605" s="15" t="n">
        <f aca="false">K605*(1+IF(L$3&lt;=$O$2,$D605,$D605-($D605-$I$589)*MIN(L$3-$O$2,$Q$2)/$Q$2))</f>
        <v>3841.51639080059</v>
      </c>
      <c r="M605" s="15" t="n">
        <f aca="false">L605*(1+IF(M$3&lt;=$O$2,$D605,$D605-($D605-$I$589)*MIN(M$3-$O$2,$Q$2)/$Q$2))</f>
        <v>3960.58177162831</v>
      </c>
      <c r="N605" s="15" t="n">
        <f aca="false">M605*(1+IF(N$3&lt;=$O$2,$D605,$D605-($D605-$I$589)*MIN(N$3-$O$2,$Q$2)/$Q$2))</f>
        <v>4033.06041804911</v>
      </c>
      <c r="O605" s="15" t="n">
        <f aca="false">SUMPRODUCT(E605:N605,1/(1+$F$589)^$E$3:$N$3)*$E$2</f>
        <v>10632.3550124753</v>
      </c>
      <c r="P605" s="15" t="n">
        <f aca="false">N605*$E$2*(1+$I$589)/($F$589-$I$589)/(1+$F$589)^$N$3</f>
        <v>13199.282026478</v>
      </c>
      <c r="Q605" s="15" t="n">
        <f aca="false">O605+P605</f>
        <v>23831.6370389533</v>
      </c>
      <c r="R605" s="15" t="n">
        <f aca="false">Q605-$G$2+$I$2</f>
        <v>25741.2970389533</v>
      </c>
      <c r="S605" s="42" t="n">
        <f aca="false">R605/$K$2</f>
        <v>109.991441434659</v>
      </c>
      <c r="T605" s="43" t="n">
        <f aca="false">S605-$M$2</f>
        <v>0.00554219097243447</v>
      </c>
    </row>
    <row r="606" customFormat="false" ht="15" hidden="false" customHeight="false" outlineLevel="0" collapsed="false">
      <c r="A606" s="5" t="n">
        <v>16</v>
      </c>
      <c r="B606" s="25" t="n">
        <f aca="false">IF(T605&gt;0,B605,D605)</f>
        <v>0.08172607421875</v>
      </c>
      <c r="C606" s="25" t="n">
        <f aca="false">IF(T605&gt;0,D605,C605)</f>
        <v>0.0817718505859375</v>
      </c>
      <c r="D606" s="41" t="n">
        <f aca="false">(B606+C606)/2</f>
        <v>0.0817489624023438</v>
      </c>
      <c r="E606" s="15" t="n">
        <f aca="false">$C$2*(1+IF(E$3&lt;=$O$2,$D606,$D606-($D606-$I$589)*MIN(E$3-$O$2,$Q$2)/$Q$2))</f>
        <v>2379.84771728516</v>
      </c>
      <c r="F606" s="15" t="n">
        <f aca="false">E606*(1+IF(F$3&lt;=$O$2,$D606,$D606-($D606-$I$589)*MIN(F$3-$O$2,$Q$2)/$Q$2))</f>
        <v>2574.3977988488</v>
      </c>
      <c r="G606" s="15" t="n">
        <f aca="false">F606*(1+IF(G$3&lt;=$O$2,$D606,$D606-($D606-$I$589)*MIN(G$3-$O$2,$Q$2)/$Q$2))</f>
        <v>2784.85214771557</v>
      </c>
      <c r="H606" s="15" t="n">
        <f aca="false">G606*(1+IF(H$3&lt;=$O$2,$D606,$D606-($D606-$I$589)*MIN(H$3-$O$2,$Q$2)/$Q$2))</f>
        <v>3012.51092123526</v>
      </c>
      <c r="I606" s="15" t="n">
        <f aca="false">H606*(1+IF(I$3&lt;=$O$2,$D606,$D606-($D606-$I$589)*MIN(I$3-$O$2,$Q$2)/$Q$2))</f>
        <v>3258.78056327197</v>
      </c>
      <c r="J606" s="15" t="n">
        <f aca="false">I606*(1+IF(J$3&lt;=$O$2,$D606,$D606-($D606-$I$589)*MIN(J$3-$O$2,$Q$2)/$Q$2))</f>
        <v>3483.82924392907</v>
      </c>
      <c r="K606" s="15" t="n">
        <f aca="false">J606*(1+IF(K$3&lt;=$O$2,$D606,$D606-($D606-$I$589)*MIN(K$3-$O$2,$Q$2)/$Q$2))</f>
        <v>3680.21052952152</v>
      </c>
      <c r="L606" s="15" t="n">
        <f aca="false">K606*(1+IF(L$3&lt;=$O$2,$D606,$D606-($D606-$I$589)*MIN(L$3-$O$2,$Q$2)/$Q$2))</f>
        <v>3840.96059801989</v>
      </c>
      <c r="M606" s="15" t="n">
        <f aca="false">L606*(1+IF(M$3&lt;=$O$2,$D606,$D606-($D606-$I$589)*MIN(M$3-$O$2,$Q$2)/$Q$2))</f>
        <v>3959.99116987818</v>
      </c>
      <c r="N606" s="15" t="n">
        <f aca="false">M606*(1+IF(N$3&lt;=$O$2,$D606,$D606-($D606-$I$589)*MIN(N$3-$O$2,$Q$2)/$Q$2))</f>
        <v>4032.45900828695</v>
      </c>
      <c r="O606" s="15" t="n">
        <f aca="false">SUMPRODUCT(E606:N606,1/(1+$F$589)^$E$3:$N$3)*$E$2</f>
        <v>10631.298019057</v>
      </c>
      <c r="P606" s="15" t="n">
        <f aca="false">N606*$E$2*(1+$I$589)/($F$589-$I$589)/(1+$F$589)^$N$3</f>
        <v>13197.3137502209</v>
      </c>
      <c r="Q606" s="15" t="n">
        <f aca="false">O606+P606</f>
        <v>23828.611769278</v>
      </c>
      <c r="R606" s="15" t="n">
        <f aca="false">Q606-$G$2+$I$2</f>
        <v>25738.271769278</v>
      </c>
      <c r="S606" s="42" t="n">
        <f aca="false">R606/$K$2</f>
        <v>109.978514589061</v>
      </c>
      <c r="T606" s="43" t="n">
        <f aca="false">S606-$M$2</f>
        <v>-0.00738465462563909</v>
      </c>
    </row>
    <row r="607" customFormat="false" ht="15" hidden="false" customHeight="false" outlineLevel="0" collapsed="false">
      <c r="A607" s="5" t="n">
        <v>17</v>
      </c>
      <c r="B607" s="25" t="n">
        <f aca="false">IF(T606&gt;0,B606,D606)</f>
        <v>0.0817489624023438</v>
      </c>
      <c r="C607" s="25" t="n">
        <f aca="false">IF(T606&gt;0,D606,C606)</f>
        <v>0.0817718505859375</v>
      </c>
      <c r="D607" s="41" t="n">
        <f aca="false">(B607+C607)/2</f>
        <v>0.0817604064941406</v>
      </c>
      <c r="E607" s="15" t="n">
        <f aca="false">$C$2*(1+IF(E$3&lt;=$O$2,$D607,$D607-($D607-$I$589)*MIN(E$3-$O$2,$Q$2)/$Q$2))</f>
        <v>2379.87289428711</v>
      </c>
      <c r="F607" s="15" t="n">
        <f aca="false">E607*(1+IF(F$3&lt;=$O$2,$D607,$D607-($D607-$I$589)*MIN(F$3-$O$2,$Q$2)/$Q$2))</f>
        <v>2574.45226952841</v>
      </c>
      <c r="G607" s="15" t="n">
        <f aca="false">F607*(1+IF(G$3&lt;=$O$2,$D607,$D607-($D607-$I$589)*MIN(G$3-$O$2,$Q$2)/$Q$2))</f>
        <v>2784.94053358482</v>
      </c>
      <c r="H607" s="15" t="n">
        <f aca="false">G607*(1+IF(H$3&lt;=$O$2,$D607,$D607-($D607-$I$589)*MIN(H$3-$O$2,$Q$2)/$Q$2))</f>
        <v>3012.63840367272</v>
      </c>
      <c r="I607" s="15" t="n">
        <f aca="false">H607*(1+IF(I$3&lt;=$O$2,$D607,$D607-($D607-$I$589)*MIN(I$3-$O$2,$Q$2)/$Q$2))</f>
        <v>3258.95294417686</v>
      </c>
      <c r="J607" s="15" t="n">
        <f aca="false">I607*(1+IF(J$3&lt;=$O$2,$D607,$D607-($D607-$I$589)*MIN(J$3-$O$2,$Q$2)/$Q$2))</f>
        <v>3484.04336592149</v>
      </c>
      <c r="K607" s="15" t="n">
        <f aca="false">J607*(1+IF(K$3&lt;=$O$2,$D607,$D607-($D607-$I$589)*MIN(K$3-$O$2,$Q$2)/$Q$2))</f>
        <v>3680.46064446461</v>
      </c>
      <c r="L607" s="15" t="n">
        <f aca="false">K607*(1+IF(L$3&lt;=$O$2,$D607,$D607-($D607-$I$589)*MIN(L$3-$O$2,$Q$2)/$Q$2))</f>
        <v>3841.23848569167</v>
      </c>
      <c r="M607" s="15" t="n">
        <f aca="false">L607*(1+IF(M$3&lt;=$O$2,$D607,$D607-($D607-$I$589)*MIN(M$3-$O$2,$Q$2)/$Q$2))</f>
        <v>3960.28646112842</v>
      </c>
      <c r="N607" s="15" t="n">
        <f aca="false">M607*(1+IF(N$3&lt;=$O$2,$D607,$D607-($D607-$I$589)*MIN(N$3-$O$2,$Q$2)/$Q$2))</f>
        <v>4032.75970336707</v>
      </c>
      <c r="O607" s="15" t="n">
        <f aca="false">SUMPRODUCT(E607:N607,1/(1+$F$589)^$E$3:$N$3)*$E$2</f>
        <v>10631.8265026426</v>
      </c>
      <c r="P607" s="15" t="n">
        <f aca="false">N607*$E$2*(1+$I$589)/($F$589-$I$589)/(1+$F$589)^$N$3</f>
        <v>13198.2978562731</v>
      </c>
      <c r="Q607" s="15" t="n">
        <f aca="false">O607+P607</f>
        <v>23830.1243589158</v>
      </c>
      <c r="R607" s="15" t="n">
        <f aca="false">Q607-$G$2+$I$2</f>
        <v>25739.7843589158</v>
      </c>
      <c r="S607" s="42" t="n">
        <f aca="false">R607/$K$2</f>
        <v>109.984977818723</v>
      </c>
      <c r="T607" s="43" t="n">
        <f aca="false">S607-$M$2</f>
        <v>-0.000921424963607365</v>
      </c>
    </row>
    <row r="608" customFormat="false" ht="15" hidden="false" customHeight="false" outlineLevel="0" collapsed="false">
      <c r="A608" s="5" t="n">
        <v>18</v>
      </c>
      <c r="B608" s="25" t="n">
        <f aca="false">IF(T607&gt;0,B607,D607)</f>
        <v>0.0817604064941406</v>
      </c>
      <c r="C608" s="25" t="n">
        <f aca="false">IF(T607&gt;0,D607,C607)</f>
        <v>0.0817718505859375</v>
      </c>
      <c r="D608" s="41" t="n">
        <f aca="false">(B608+C608)/2</f>
        <v>0.0817661285400391</v>
      </c>
      <c r="E608" s="15" t="n">
        <f aca="false">$C$2*(1+IF(E$3&lt;=$O$2,$D608,$D608-($D608-$I$589)*MIN(E$3-$O$2,$Q$2)/$Q$2))</f>
        <v>2379.88548278809</v>
      </c>
      <c r="F608" s="15" t="n">
        <f aca="false">E608*(1+IF(F$3&lt;=$O$2,$D608,$D608-($D608-$I$589)*MIN(F$3-$O$2,$Q$2)/$Q$2))</f>
        <v>2574.47950508431</v>
      </c>
      <c r="G608" s="15" t="n">
        <f aca="false">F608*(1+IF(G$3&lt;=$O$2,$D608,$D608-($D608-$I$589)*MIN(G$3-$O$2,$Q$2)/$Q$2))</f>
        <v>2784.98472722073</v>
      </c>
      <c r="H608" s="15" t="n">
        <f aca="false">G608*(1+IF(H$3&lt;=$O$2,$D608,$D608-($D608-$I$589)*MIN(H$3-$O$2,$Q$2)/$Q$2))</f>
        <v>3012.70214640871</v>
      </c>
      <c r="I608" s="15" t="n">
        <f aca="false">H608*(1+IF(I$3&lt;=$O$2,$D608,$D608-($D608-$I$589)*MIN(I$3-$O$2,$Q$2)/$Q$2))</f>
        <v>3259.03913736481</v>
      </c>
      <c r="J608" s="15" t="n">
        <f aca="false">I608*(1+IF(J$3&lt;=$O$2,$D608,$D608-($D608-$I$589)*MIN(J$3-$O$2,$Q$2)/$Q$2))</f>
        <v>3484.1504310258</v>
      </c>
      <c r="K608" s="15" t="n">
        <f aca="false">J608*(1+IF(K$3&lt;=$O$2,$D608,$D608-($D608-$I$589)*MIN(K$3-$O$2,$Q$2)/$Q$2))</f>
        <v>3680.58570737856</v>
      </c>
      <c r="L608" s="15" t="n">
        <f aca="false">K608*(1+IF(L$3&lt;=$O$2,$D608,$D608-($D608-$I$589)*MIN(L$3-$O$2,$Q$2)/$Q$2))</f>
        <v>3841.37743606643</v>
      </c>
      <c r="M608" s="15" t="n">
        <f aca="false">L608*(1+IF(M$3&lt;=$O$2,$D608,$D608-($D608-$I$589)*MIN(M$3-$O$2,$Q$2)/$Q$2))</f>
        <v>3960.43411397209</v>
      </c>
      <c r="N608" s="15" t="n">
        <f aca="false">M608*(1+IF(N$3&lt;=$O$2,$D608,$D608-($D608-$I$589)*MIN(N$3-$O$2,$Q$2)/$Q$2))</f>
        <v>4032.91005825778</v>
      </c>
      <c r="O608" s="15" t="n">
        <f aca="false">SUMPRODUCT(E608:N608,1/(1+$F$589)^$E$3:$N$3)*$E$2</f>
        <v>10632.090754278</v>
      </c>
      <c r="P608" s="15" t="n">
        <f aca="false">N608*$E$2*(1+$I$589)/($F$589-$I$589)/(1+$F$589)^$N$3</f>
        <v>13198.7899333563</v>
      </c>
      <c r="Q608" s="15" t="n">
        <f aca="false">O608+P608</f>
        <v>23830.8806876343</v>
      </c>
      <c r="R608" s="15" t="n">
        <f aca="false">Q608-$G$2+$I$2</f>
        <v>25740.5406876343</v>
      </c>
      <c r="S608" s="42" t="n">
        <f aca="false">R608/$K$2</f>
        <v>109.988209578406</v>
      </c>
      <c r="T608" s="43" t="n">
        <f aca="false">S608-$M$2</f>
        <v>0.00231033471887088</v>
      </c>
    </row>
    <row r="609" customFormat="false" ht="15" hidden="false" customHeight="false" outlineLevel="0" collapsed="false">
      <c r="A609" s="5" t="n">
        <v>19</v>
      </c>
      <c r="B609" s="25" t="n">
        <f aca="false">IF(T608&gt;0,B608,D608)</f>
        <v>0.0817604064941406</v>
      </c>
      <c r="C609" s="25" t="n">
        <f aca="false">IF(T608&gt;0,D608,C608)</f>
        <v>0.0817661285400391</v>
      </c>
      <c r="D609" s="41" t="n">
        <f aca="false">(B609+C609)/2</f>
        <v>0.0817632675170898</v>
      </c>
      <c r="E609" s="15" t="n">
        <f aca="false">$C$2*(1+IF(E$3&lt;=$O$2,$D609,$D609-($D609-$I$589)*MIN(E$3-$O$2,$Q$2)/$Q$2))</f>
        <v>2379.8791885376</v>
      </c>
      <c r="F609" s="15" t="n">
        <f aca="false">E609*(1+IF(F$3&lt;=$O$2,$D609,$D609-($D609-$I$589)*MIN(F$3-$O$2,$Q$2)/$Q$2))</f>
        <v>2574.46588728835</v>
      </c>
      <c r="G609" s="15" t="n">
        <f aca="false">F609*(1+IF(G$3&lt;=$O$2,$D609,$D609-($D609-$I$589)*MIN(G$3-$O$2,$Q$2)/$Q$2))</f>
        <v>2784.96263034433</v>
      </c>
      <c r="H609" s="15" t="n">
        <f aca="false">G609*(1+IF(H$3&lt;=$O$2,$D609,$D609-($D609-$I$589)*MIN(H$3-$O$2,$Q$2)/$Q$2))</f>
        <v>3012.67027491427</v>
      </c>
      <c r="I609" s="15" t="n">
        <f aca="false">H609*(1+IF(I$3&lt;=$O$2,$D609,$D609-($D609-$I$589)*MIN(I$3-$O$2,$Q$2)/$Q$2))</f>
        <v>3258.99604054287</v>
      </c>
      <c r="J609" s="15" t="n">
        <f aca="false">I609*(1+IF(J$3&lt;=$O$2,$D609,$D609-($D609-$I$589)*MIN(J$3-$O$2,$Q$2)/$Q$2))</f>
        <v>3484.0968981313</v>
      </c>
      <c r="K609" s="15" t="n">
        <f aca="false">J609*(1+IF(K$3&lt;=$O$2,$D609,$D609-($D609-$I$589)*MIN(K$3-$O$2,$Q$2)/$Q$2))</f>
        <v>3680.52317546804</v>
      </c>
      <c r="L609" s="15" t="n">
        <f aca="false">K609*(1+IF(L$3&lt;=$O$2,$D609,$D609-($D609-$I$589)*MIN(L$3-$O$2,$Q$2)/$Q$2))</f>
        <v>3841.30796033414</v>
      </c>
      <c r="M609" s="15" t="n">
        <f aca="false">L609*(1+IF(M$3&lt;=$O$2,$D609,$D609-($D609-$I$589)*MIN(M$3-$O$2,$Q$2)/$Q$2))</f>
        <v>3960.36028694869</v>
      </c>
      <c r="N609" s="15" t="n">
        <f aca="false">M609*(1+IF(N$3&lt;=$O$2,$D609,$D609-($D609-$I$589)*MIN(N$3-$O$2,$Q$2)/$Q$2))</f>
        <v>4032.83488019985</v>
      </c>
      <c r="O609" s="15" t="n">
        <f aca="false">SUMPRODUCT(E609:N609,1/(1+$F$589)^$E$3:$N$3)*$E$2</f>
        <v>10631.9586276401</v>
      </c>
      <c r="P609" s="15" t="n">
        <f aca="false">N609*$E$2*(1+$I$589)/($F$589-$I$589)/(1+$F$589)^$N$3</f>
        <v>13198.5438928099</v>
      </c>
      <c r="Q609" s="15" t="n">
        <f aca="false">O609+P609</f>
        <v>23830.50252045</v>
      </c>
      <c r="R609" s="15" t="n">
        <f aca="false">Q609-$G$2+$I$2</f>
        <v>25740.16252045</v>
      </c>
      <c r="S609" s="42" t="n">
        <f aca="false">R609/$K$2</f>
        <v>109.986593686493</v>
      </c>
      <c r="T609" s="43" t="n">
        <f aca="false">S609-$M$2</f>
        <v>0.000694442806405959</v>
      </c>
    </row>
    <row r="610" customFormat="false" ht="15" hidden="false" customHeight="false" outlineLevel="0" collapsed="false">
      <c r="A610" s="5" t="n">
        <v>20</v>
      </c>
      <c r="B610" s="25" t="n">
        <f aca="false">IF(T609&gt;0,B609,D609)</f>
        <v>0.0817604064941406</v>
      </c>
      <c r="C610" s="25" t="n">
        <f aca="false">IF(T609&gt;0,D609,C609)</f>
        <v>0.0817632675170898</v>
      </c>
      <c r="D610" s="41" t="n">
        <f aca="false">(B610+C610)/2</f>
        <v>0.0817618370056152</v>
      </c>
      <c r="E610" s="15" t="n">
        <f aca="false">$C$2*(1+IF(E$3&lt;=$O$2,$D610,$D610-($D610-$I$589)*MIN(E$3-$O$2,$Q$2)/$Q$2))</f>
        <v>2379.87604141235</v>
      </c>
      <c r="F610" s="15" t="n">
        <f aca="false">E610*(1+IF(F$3&lt;=$O$2,$D610,$D610-($D610-$I$589)*MIN(F$3-$O$2,$Q$2)/$Q$2))</f>
        <v>2574.45907840388</v>
      </c>
      <c r="G610" s="15" t="n">
        <f aca="false">F610*(1+IF(G$3&lt;=$O$2,$D610,$D610-($D610-$I$589)*MIN(G$3-$O$2,$Q$2)/$Q$2))</f>
        <v>2784.95158194996</v>
      </c>
      <c r="H610" s="15" t="n">
        <f aca="false">G610*(1+IF(H$3&lt;=$O$2,$D610,$D610-($D610-$I$589)*MIN(H$3-$O$2,$Q$2)/$Q$2))</f>
        <v>3012.65433926189</v>
      </c>
      <c r="I610" s="15" t="n">
        <f aca="false">H610*(1+IF(I$3&lt;=$O$2,$D610,$D610-($D610-$I$589)*MIN(I$3-$O$2,$Q$2)/$Q$2))</f>
        <v>3258.97449230288</v>
      </c>
      <c r="J610" s="15" t="n">
        <f aca="false">I610*(1+IF(J$3&lt;=$O$2,$D610,$D610-($D610-$I$589)*MIN(J$3-$O$2,$Q$2)/$Q$2))</f>
        <v>3484.07013194081</v>
      </c>
      <c r="K610" s="15" t="n">
        <f aca="false">J610*(1+IF(K$3&lt;=$O$2,$D610,$D610-($D610-$I$589)*MIN(K$3-$O$2,$Q$2)/$Q$2))</f>
        <v>3680.49190985294</v>
      </c>
      <c r="L610" s="15" t="n">
        <f aca="false">K610*(1+IF(L$3&lt;=$O$2,$D610,$D610-($D610-$I$589)*MIN(L$3-$O$2,$Q$2)/$Q$2))</f>
        <v>3841.27322287668</v>
      </c>
      <c r="M610" s="15" t="n">
        <f aca="false">L610*(1+IF(M$3&lt;=$O$2,$D610,$D610-($D610-$I$589)*MIN(M$3-$O$2,$Q$2)/$Q$2))</f>
        <v>3960.32337388816</v>
      </c>
      <c r="N610" s="15" t="n">
        <f aca="false">M610*(1+IF(N$3&lt;=$O$2,$D610,$D610-($D610-$I$589)*MIN(N$3-$O$2,$Q$2)/$Q$2))</f>
        <v>4032.79729163032</v>
      </c>
      <c r="O610" s="15" t="n">
        <f aca="false">SUMPRODUCT(E610:N610,1/(1+$F$589)^$E$3:$N$3)*$E$2</f>
        <v>10631.8925649363</v>
      </c>
      <c r="P610" s="15" t="n">
        <f aca="false">N610*$E$2*(1+$I$589)/($F$589-$I$589)/(1+$F$589)^$N$3</f>
        <v>13198.4208740403</v>
      </c>
      <c r="Q610" s="15" t="n">
        <f aca="false">O610+P610</f>
        <v>23830.3134389766</v>
      </c>
      <c r="R610" s="15" t="n">
        <f aca="false">Q610-$G$2+$I$2</f>
        <v>25739.9734389766</v>
      </c>
      <c r="S610" s="42" t="n">
        <f aca="false">R610/$K$2</f>
        <v>109.98578574959</v>
      </c>
      <c r="T610" s="43" t="n">
        <f aca="false">S610-$M$2</f>
        <v>-0.000113494096396494</v>
      </c>
    </row>
    <row r="611" customFormat="false" ht="15" hidden="false" customHeight="false" outlineLevel="0" collapsed="false">
      <c r="A611" s="5" t="n">
        <v>21</v>
      </c>
      <c r="B611" s="25" t="n">
        <f aca="false">IF(T610&gt;0,B610,D610)</f>
        <v>0.0817618370056152</v>
      </c>
      <c r="C611" s="25" t="n">
        <f aca="false">IF(T610&gt;0,D610,C610)</f>
        <v>0.0817632675170898</v>
      </c>
      <c r="D611" s="41" t="n">
        <f aca="false">(B611+C611)/2</f>
        <v>0.0817625522613525</v>
      </c>
      <c r="E611" s="15" t="n">
        <f aca="false">$C$2*(1+IF(E$3&lt;=$O$2,$D611,$D611-($D611-$I$589)*MIN(E$3-$O$2,$Q$2)/$Q$2))</f>
        <v>2379.87761497498</v>
      </c>
      <c r="F611" s="15" t="n">
        <f aca="false">E611*(1+IF(F$3&lt;=$O$2,$D611,$D611-($D611-$I$589)*MIN(F$3-$O$2,$Q$2)/$Q$2))</f>
        <v>2574.46248284499</v>
      </c>
      <c r="G611" s="15" t="n">
        <f aca="false">F611*(1+IF(G$3&lt;=$O$2,$D611,$D611-($D611-$I$589)*MIN(G$3-$O$2,$Q$2)/$Q$2))</f>
        <v>2784.9571061435</v>
      </c>
      <c r="H611" s="15" t="n">
        <f aca="false">G611*(1+IF(H$3&lt;=$O$2,$D611,$D611-($D611-$I$589)*MIN(H$3-$O$2,$Q$2)/$Q$2))</f>
        <v>3012.66230708018</v>
      </c>
      <c r="I611" s="15" t="n">
        <f aca="false">H611*(1+IF(I$3&lt;=$O$2,$D611,$D611-($D611-$I$589)*MIN(I$3-$O$2,$Q$2)/$Q$2))</f>
        <v>3258.98526640863</v>
      </c>
      <c r="J611" s="15" t="n">
        <f aca="false">I611*(1+IF(J$3&lt;=$O$2,$D611,$D611-($D611-$I$589)*MIN(J$3-$O$2,$Q$2)/$Q$2))</f>
        <v>3484.08351501465</v>
      </c>
      <c r="K611" s="15" t="n">
        <f aca="false">J611*(1+IF(K$3&lt;=$O$2,$D611,$D611-($D611-$I$589)*MIN(K$3-$O$2,$Q$2)/$Q$2))</f>
        <v>3680.50754263214</v>
      </c>
      <c r="L611" s="15" t="n">
        <f aca="false">K611*(1+IF(L$3&lt;=$O$2,$D611,$D611-($D611-$I$589)*MIN(L$3-$O$2,$Q$2)/$Q$2))</f>
        <v>3841.29059157135</v>
      </c>
      <c r="M611" s="15" t="n">
        <f aca="false">L611*(1+IF(M$3&lt;=$O$2,$D611,$D611-($D611-$I$589)*MIN(M$3-$O$2,$Q$2)/$Q$2))</f>
        <v>3960.34183038083</v>
      </c>
      <c r="N611" s="15" t="n">
        <f aca="false">M611*(1+IF(N$3&lt;=$O$2,$D611,$D611-($D611-$I$589)*MIN(N$3-$O$2,$Q$2)/$Q$2))</f>
        <v>4032.8160858768</v>
      </c>
      <c r="O611" s="15" t="n">
        <f aca="false">SUMPRODUCT(E611:N611,1/(1+$F$589)^$E$3:$N$3)*$E$2</f>
        <v>10631.9255962369</v>
      </c>
      <c r="P611" s="15" t="n">
        <f aca="false">N611*$E$2*(1+$I$589)/($F$589-$I$589)/(1+$F$589)^$N$3</f>
        <v>13198.4823832998</v>
      </c>
      <c r="Q611" s="15" t="n">
        <f aca="false">O611+P611</f>
        <v>23830.4079795367</v>
      </c>
      <c r="R611" s="15" t="n">
        <f aca="false">Q611-$G$2+$I$2</f>
        <v>25740.0679795367</v>
      </c>
      <c r="S611" s="42" t="n">
        <f aca="false">R611/$K$2</f>
        <v>109.986189717287</v>
      </c>
      <c r="T611" s="43" t="n">
        <f aca="false">S611-$M$2</f>
        <v>0.000290473600543351</v>
      </c>
    </row>
    <row r="612" customFormat="false" ht="15" hidden="false" customHeight="false" outlineLevel="0" collapsed="false">
      <c r="A612" s="5" t="n">
        <v>22</v>
      </c>
      <c r="B612" s="25" t="n">
        <f aca="false">IF(T611&gt;0,B611,D611)</f>
        <v>0.0817618370056152</v>
      </c>
      <c r="C612" s="25" t="n">
        <f aca="false">IF(T611&gt;0,D611,C611)</f>
        <v>0.0817625522613525</v>
      </c>
      <c r="D612" s="41" t="n">
        <f aca="false">(B612+C612)/2</f>
        <v>0.0817621946334839</v>
      </c>
      <c r="E612" s="15" t="n">
        <f aca="false">$C$2*(1+IF(E$3&lt;=$O$2,$D612,$D612-($D612-$I$589)*MIN(E$3-$O$2,$Q$2)/$Q$2))</f>
        <v>2379.87682819366</v>
      </c>
      <c r="F612" s="15" t="n">
        <f aca="false">E612*(1+IF(F$3&lt;=$O$2,$D612,$D612-($D612-$I$589)*MIN(F$3-$O$2,$Q$2)/$Q$2))</f>
        <v>2574.46078062415</v>
      </c>
      <c r="G612" s="15" t="n">
        <f aca="false">F612*(1+IF(G$3&lt;=$O$2,$D612,$D612-($D612-$I$589)*MIN(G$3-$O$2,$Q$2)/$Q$2))</f>
        <v>2784.95434404582</v>
      </c>
      <c r="H612" s="15" t="n">
        <f aca="false">G612*(1+IF(H$3&lt;=$O$2,$D612,$D612-($D612-$I$589)*MIN(H$3-$O$2,$Q$2)/$Q$2))</f>
        <v>3012.65832316906</v>
      </c>
      <c r="I612" s="15" t="n">
        <f aca="false">H612*(1+IF(I$3&lt;=$O$2,$D612,$D612-($D612-$I$589)*MIN(I$3-$O$2,$Q$2)/$Q$2))</f>
        <v>3258.97987935219</v>
      </c>
      <c r="J612" s="15" t="n">
        <f aca="false">I612*(1+IF(J$3&lt;=$O$2,$D612,$D612-($D612-$I$589)*MIN(J$3-$O$2,$Q$2)/$Q$2))</f>
        <v>3484.07682347238</v>
      </c>
      <c r="K612" s="15" t="n">
        <f aca="false">J612*(1+IF(K$3&lt;=$O$2,$D612,$D612-($D612-$I$589)*MIN(K$3-$O$2,$Q$2)/$Q$2))</f>
        <v>3680.49972623545</v>
      </c>
      <c r="L612" s="15" t="n">
        <f aca="false">K612*(1+IF(L$3&lt;=$O$2,$D612,$D612-($D612-$I$589)*MIN(L$3-$O$2,$Q$2)/$Q$2))</f>
        <v>3841.2819072155</v>
      </c>
      <c r="M612" s="15" t="n">
        <f aca="false">L612*(1+IF(M$3&lt;=$O$2,$D612,$D612-($D612-$I$589)*MIN(M$3-$O$2,$Q$2)/$Q$2))</f>
        <v>3960.3326021251</v>
      </c>
      <c r="N612" s="15" t="n">
        <f aca="false">M612*(1+IF(N$3&lt;=$O$2,$D612,$D612-($D612-$I$589)*MIN(N$3-$O$2,$Q$2)/$Q$2))</f>
        <v>4032.80668874399</v>
      </c>
      <c r="O612" s="15" t="n">
        <f aca="false">SUMPRODUCT(E612:N612,1/(1+$F$589)^$E$3:$N$3)*$E$2</f>
        <v>10631.9090805738</v>
      </c>
      <c r="P612" s="15" t="n">
        <f aca="false">N612*$E$2*(1+$I$589)/($F$589-$I$589)/(1+$F$589)^$N$3</f>
        <v>13198.4516286388</v>
      </c>
      <c r="Q612" s="15" t="n">
        <f aca="false">O612+P612</f>
        <v>23830.3607092125</v>
      </c>
      <c r="R612" s="15" t="n">
        <f aca="false">Q612-$G$2+$I$2</f>
        <v>25740.0207092125</v>
      </c>
      <c r="S612" s="42" t="n">
        <f aca="false">R612/$K$2</f>
        <v>109.98598773325</v>
      </c>
      <c r="T612" s="43" t="n">
        <f aca="false">S612-$M$2</f>
        <v>8.84895634811755E-005</v>
      </c>
    </row>
    <row r="613" customFormat="false" ht="15" hidden="false" customHeight="false" outlineLevel="0" collapsed="false">
      <c r="A613" s="5" t="n">
        <v>23</v>
      </c>
      <c r="B613" s="25" t="n">
        <f aca="false">IF(T612&gt;0,B612,D612)</f>
        <v>0.0817618370056152</v>
      </c>
      <c r="C613" s="25" t="n">
        <f aca="false">IF(T612&gt;0,D612,C612)</f>
        <v>0.0817621946334839</v>
      </c>
      <c r="D613" s="41" t="n">
        <f aca="false">(B613+C613)/2</f>
        <v>0.0817620158195496</v>
      </c>
      <c r="E613" s="15" t="n">
        <f aca="false">$C$2*(1+IF(E$3&lt;=$O$2,$D613,$D613-($D613-$I$589)*MIN(E$3-$O$2,$Q$2)/$Q$2))</f>
        <v>2379.87643480301</v>
      </c>
      <c r="F613" s="15" t="n">
        <f aca="false">E613*(1+IF(F$3&lt;=$O$2,$D613,$D613-($D613-$I$589)*MIN(F$3-$O$2,$Q$2)/$Q$2))</f>
        <v>2574.45992951395</v>
      </c>
      <c r="G613" s="15" t="n">
        <f aca="false">F613*(1+IF(G$3&lt;=$O$2,$D613,$D613-($D613-$I$589)*MIN(G$3-$O$2,$Q$2)/$Q$2))</f>
        <v>2784.95296299766</v>
      </c>
      <c r="H613" s="15" t="n">
        <f aca="false">G613*(1+IF(H$3&lt;=$O$2,$D613,$D613-($D613-$I$589)*MIN(H$3-$O$2,$Q$2)/$Q$2))</f>
        <v>3012.65633121498</v>
      </c>
      <c r="I613" s="15" t="n">
        <f aca="false">H613*(1+IF(I$3&lt;=$O$2,$D613,$D613-($D613-$I$589)*MIN(I$3-$O$2,$Q$2)/$Q$2))</f>
        <v>3258.97718582664</v>
      </c>
      <c r="J613" s="15" t="n">
        <f aca="false">I613*(1+IF(J$3&lt;=$O$2,$D613,$D613-($D613-$I$589)*MIN(J$3-$O$2,$Q$2)/$Q$2))</f>
        <v>3484.07347770526</v>
      </c>
      <c r="K613" s="15" t="n">
        <f aca="false">J613*(1+IF(K$3&lt;=$O$2,$D613,$D613-($D613-$I$589)*MIN(K$3-$O$2,$Q$2)/$Q$2))</f>
        <v>3680.49581804242</v>
      </c>
      <c r="L613" s="15" t="n">
        <f aca="false">K613*(1+IF(L$3&lt;=$O$2,$D613,$D613-($D613-$I$589)*MIN(L$3-$O$2,$Q$2)/$Q$2))</f>
        <v>3841.27756504396</v>
      </c>
      <c r="M613" s="15" t="n">
        <f aca="false">L613*(1+IF(M$3&lt;=$O$2,$D613,$D613-($D613-$I$589)*MIN(M$3-$O$2,$Q$2)/$Q$2))</f>
        <v>3960.32798800428</v>
      </c>
      <c r="N613" s="15" t="n">
        <f aca="false">M613*(1+IF(N$3&lt;=$O$2,$D613,$D613-($D613-$I$589)*MIN(N$3-$O$2,$Q$2)/$Q$2))</f>
        <v>4032.80199018476</v>
      </c>
      <c r="O613" s="15" t="n">
        <f aca="false">SUMPRODUCT(E613:N613,1/(1+$F$589)^$E$3:$N$3)*$E$2</f>
        <v>10631.9008227518</v>
      </c>
      <c r="P613" s="15" t="n">
        <f aca="false">N613*$E$2*(1+$I$589)/($F$589-$I$589)/(1+$F$589)^$N$3</f>
        <v>13198.4362513317</v>
      </c>
      <c r="Q613" s="15" t="n">
        <f aca="false">O613+P613</f>
        <v>23830.3370740836</v>
      </c>
      <c r="R613" s="15" t="n">
        <f aca="false">Q613-$G$2+$I$2</f>
        <v>25739.9970740836</v>
      </c>
      <c r="S613" s="42" t="n">
        <f aca="false">R613/$K$2</f>
        <v>109.985886741373</v>
      </c>
      <c r="T613" s="43" t="n">
        <f aca="false">S613-$M$2</f>
        <v>-1.25023135808533E-005</v>
      </c>
    </row>
    <row r="614" customFormat="false" ht="15" hidden="false" customHeight="false" outlineLevel="0" collapsed="false">
      <c r="A614" s="5" t="n">
        <v>24</v>
      </c>
      <c r="B614" s="25" t="n">
        <f aca="false">IF(T613&gt;0,B613,D613)</f>
        <v>0.0817620158195496</v>
      </c>
      <c r="C614" s="25" t="n">
        <f aca="false">IF(T613&gt;0,D613,C613)</f>
        <v>0.0817621946334839</v>
      </c>
      <c r="D614" s="41" t="n">
        <f aca="false">(B614+C614)/2</f>
        <v>0.0817621052265167</v>
      </c>
      <c r="E614" s="15" t="n">
        <f aca="false">$C$2*(1+IF(E$3&lt;=$O$2,$D614,$D614-($D614-$I$589)*MIN(E$3-$O$2,$Q$2)/$Q$2))</f>
        <v>2379.87663149834</v>
      </c>
      <c r="F614" s="15" t="n">
        <f aca="false">E614*(1+IF(F$3&lt;=$O$2,$D614,$D614-($D614-$I$589)*MIN(F$3-$O$2,$Q$2)/$Q$2))</f>
        <v>2574.46035506903</v>
      </c>
      <c r="G614" s="15" t="n">
        <f aca="false">F614*(1+IF(G$3&lt;=$O$2,$D614,$D614-($D614-$I$589)*MIN(G$3-$O$2,$Q$2)/$Q$2))</f>
        <v>2784.95365352168</v>
      </c>
      <c r="H614" s="15" t="n">
        <f aca="false">G614*(1+IF(H$3&lt;=$O$2,$D614,$D614-($D614-$I$589)*MIN(H$3-$O$2,$Q$2)/$Q$2))</f>
        <v>3012.65732719189</v>
      </c>
      <c r="I614" s="15" t="n">
        <f aca="false">H614*(1+IF(I$3&lt;=$O$2,$D614,$D614-($D614-$I$589)*MIN(I$3-$O$2,$Q$2)/$Q$2))</f>
        <v>3258.97853258919</v>
      </c>
      <c r="J614" s="15" t="n">
        <f aca="false">I614*(1+IF(J$3&lt;=$O$2,$D614,$D614-($D614-$I$589)*MIN(J$3-$O$2,$Q$2)/$Q$2))</f>
        <v>3484.07515058848</v>
      </c>
      <c r="K614" s="15" t="n">
        <f aca="false">J614*(1+IF(K$3&lt;=$O$2,$D614,$D614-($D614-$I$589)*MIN(K$3-$O$2,$Q$2)/$Q$2))</f>
        <v>3680.4977721385</v>
      </c>
      <c r="L614" s="15" t="n">
        <f aca="false">K614*(1+IF(L$3&lt;=$O$2,$D614,$D614-($D614-$I$589)*MIN(L$3-$O$2,$Q$2)/$Q$2))</f>
        <v>3841.2797361292</v>
      </c>
      <c r="M614" s="15" t="n">
        <f aca="false">L614*(1+IF(M$3&lt;=$O$2,$D614,$D614-($D614-$I$589)*MIN(M$3-$O$2,$Q$2)/$Q$2))</f>
        <v>3960.3302950641</v>
      </c>
      <c r="N614" s="15" t="n">
        <f aca="false">M614*(1+IF(N$3&lt;=$O$2,$D614,$D614-($D614-$I$589)*MIN(N$3-$O$2,$Q$2)/$Q$2))</f>
        <v>4032.80433946378</v>
      </c>
      <c r="O614" s="15" t="n">
        <f aca="false">SUMPRODUCT(E614:N614,1/(1+$F$589)^$E$3:$N$3)*$E$2</f>
        <v>10631.904951662</v>
      </c>
      <c r="P614" s="15" t="n">
        <f aca="false">N614*$E$2*(1+$I$589)/($F$589-$I$589)/(1+$F$589)^$N$3</f>
        <v>13198.4439399833</v>
      </c>
      <c r="Q614" s="15" t="n">
        <f aca="false">O614+P614</f>
        <v>23830.3488916453</v>
      </c>
      <c r="R614" s="15" t="n">
        <f aca="false">Q614-$G$2+$I$2</f>
        <v>25740.0088916453</v>
      </c>
      <c r="S614" s="42" t="n">
        <f aca="false">R614/$K$2</f>
        <v>109.9859372373</v>
      </c>
      <c r="T614" s="43" t="n">
        <f aca="false">S614-$M$2</f>
        <v>3.7993613176468E-005</v>
      </c>
    </row>
    <row r="616" customFormat="false" ht="15" hidden="false" customHeight="false" outlineLevel="0" collapsed="false">
      <c r="A616" s="38" t="s">
        <v>209</v>
      </c>
      <c r="E616" s="5" t="s">
        <v>11</v>
      </c>
      <c r="F616" s="12" t="n">
        <f aca="false">Sensitivity!$B$14</f>
        <v>0.0877967762761046</v>
      </c>
      <c r="G616" s="5" t="s">
        <v>12</v>
      </c>
      <c r="I616" s="12" t="n">
        <f aca="false">Sensitivity!$D$9</f>
        <v>0.0233</v>
      </c>
    </row>
    <row r="617" customFormat="false" ht="23.85" hidden="false" customHeight="false" outlineLevel="0" collapsed="false">
      <c r="A617" s="38" t="s">
        <v>168</v>
      </c>
      <c r="B617" s="28" t="s">
        <v>169</v>
      </c>
      <c r="C617" s="28" t="s">
        <v>170</v>
      </c>
      <c r="D617" s="28" t="s">
        <v>171</v>
      </c>
      <c r="E617" s="28" t="s">
        <v>172</v>
      </c>
      <c r="F617" s="28" t="s">
        <v>173</v>
      </c>
      <c r="G617" s="28" t="s">
        <v>174</v>
      </c>
      <c r="H617" s="28" t="s">
        <v>175</v>
      </c>
      <c r="I617" s="28" t="s">
        <v>176</v>
      </c>
      <c r="J617" s="28" t="s">
        <v>177</v>
      </c>
      <c r="K617" s="28" t="s">
        <v>178</v>
      </c>
      <c r="L617" s="28" t="s">
        <v>179</v>
      </c>
      <c r="M617" s="28" t="s">
        <v>180</v>
      </c>
      <c r="N617" s="28" t="s">
        <v>181</v>
      </c>
      <c r="O617" s="28" t="s">
        <v>182</v>
      </c>
      <c r="P617" s="28" t="s">
        <v>183</v>
      </c>
      <c r="Q617" s="28" t="s">
        <v>184</v>
      </c>
      <c r="R617" s="28" t="s">
        <v>185</v>
      </c>
      <c r="S617" s="28" t="s">
        <v>186</v>
      </c>
      <c r="T617" s="28" t="s">
        <v>187</v>
      </c>
    </row>
    <row r="618" customFormat="false" ht="15" hidden="false" customHeight="false" outlineLevel="0" collapsed="false">
      <c r="A618" s="5" t="n">
        <v>1</v>
      </c>
      <c r="B618" s="24" t="n">
        <v>-0.5</v>
      </c>
      <c r="C618" s="24" t="n">
        <v>1</v>
      </c>
      <c r="D618" s="41" t="n">
        <f aca="false">(B618+C618)/2</f>
        <v>0.25</v>
      </c>
      <c r="E618" s="15" t="n">
        <f aca="false">$C$2*(1+IF(E$3&lt;=$O$2,$D618,$D618-($D618-$I$616)*MIN(E$3-$O$2,$Q$2)/$Q$2))</f>
        <v>2750</v>
      </c>
      <c r="F618" s="15" t="n">
        <f aca="false">E618*(1+IF(F$3&lt;=$O$2,$D618,$D618-($D618-$I$616)*MIN(F$3-$O$2,$Q$2)/$Q$2))</f>
        <v>3437.5</v>
      </c>
      <c r="G618" s="15" t="n">
        <f aca="false">F618*(1+IF(G$3&lt;=$O$2,$D618,$D618-($D618-$I$616)*MIN(G$3-$O$2,$Q$2)/$Q$2))</f>
        <v>4296.875</v>
      </c>
      <c r="H618" s="15" t="n">
        <f aca="false">G618*(1+IF(H$3&lt;=$O$2,$D618,$D618-($D618-$I$616)*MIN(H$3-$O$2,$Q$2)/$Q$2))</f>
        <v>5371.09375</v>
      </c>
      <c r="I618" s="15" t="n">
        <f aca="false">H618*(1+IF(I$3&lt;=$O$2,$D618,$D618-($D618-$I$616)*MIN(I$3-$O$2,$Q$2)/$Q$2))</f>
        <v>6713.8671875</v>
      </c>
      <c r="J618" s="15" t="n">
        <f aca="false">I618*(1+IF(J$3&lt;=$O$2,$D618,$D618-($D618-$I$616)*MIN(J$3-$O$2,$Q$2)/$Q$2))</f>
        <v>8087.92724609375</v>
      </c>
      <c r="K618" s="15" t="n">
        <f aca="false">J618*(1+IF(K$3&lt;=$O$2,$D618,$D618-($D618-$I$616)*MIN(K$3-$O$2,$Q$2)/$Q$2))</f>
        <v>9376.49581494141</v>
      </c>
      <c r="L618" s="15" t="n">
        <f aca="false">K618*(1+IF(L$3&lt;=$O$2,$D618,$D618-($D618-$I$616)*MIN(L$3-$O$2,$Q$2)/$Q$2))</f>
        <v>10445.2288079284</v>
      </c>
      <c r="M618" s="15" t="n">
        <f aca="false">L618*(1+IF(M$3&lt;=$O$2,$D618,$D618-($D618-$I$616)*MIN(M$3-$O$2,$Q$2)/$Q$2))</f>
        <v>11162.1893133046</v>
      </c>
      <c r="N618" s="15" t="n">
        <f aca="false">M618*(1+IF(N$3&lt;=$O$2,$D618,$D618-($D618-$I$616)*MIN(N$3-$O$2,$Q$2)/$Q$2))</f>
        <v>11422.2683243046</v>
      </c>
      <c r="O618" s="15" t="n">
        <f aca="false">SUMPRODUCT(E618:N618,1/(1+$F$616)^$E$3:$N$3)*$E$2</f>
        <v>22066.2435372248</v>
      </c>
      <c r="P618" s="15" t="n">
        <f aca="false">N618*$E$2*(1+$I$616)/($F$616-$I$616)/(1+$F$616)^$N$3</f>
        <v>40478.2585841817</v>
      </c>
      <c r="Q618" s="15" t="n">
        <f aca="false">O618+P618</f>
        <v>62544.5021214064</v>
      </c>
      <c r="R618" s="15" t="n">
        <f aca="false">Q618-$G$2+$I$2</f>
        <v>64454.1621214064</v>
      </c>
      <c r="S618" s="42" t="n">
        <f aca="false">R618/$K$2</f>
        <v>275.409828318619</v>
      </c>
      <c r="T618" s="43" t="n">
        <f aca="false">S618-$M$2</f>
        <v>165.423929074932</v>
      </c>
    </row>
    <row r="619" customFormat="false" ht="15" hidden="false" customHeight="false" outlineLevel="0" collapsed="false">
      <c r="A619" s="5" t="n">
        <v>2</v>
      </c>
      <c r="B619" s="25" t="n">
        <f aca="false">IF(T618&gt;0,B618,D618)</f>
        <v>-0.5</v>
      </c>
      <c r="C619" s="25" t="n">
        <f aca="false">IF(T618&gt;0,D618,C618)</f>
        <v>0.25</v>
      </c>
      <c r="D619" s="41" t="n">
        <f aca="false">(B619+C619)/2</f>
        <v>-0.125</v>
      </c>
      <c r="E619" s="15" t="n">
        <f aca="false">$C$2*(1+IF(E$3&lt;=$O$2,$D619,$D619-($D619-$I$616)*MIN(E$3-$O$2,$Q$2)/$Q$2))</f>
        <v>1925</v>
      </c>
      <c r="F619" s="15" t="n">
        <f aca="false">E619*(1+IF(F$3&lt;=$O$2,$D619,$D619-($D619-$I$616)*MIN(F$3-$O$2,$Q$2)/$Q$2))</f>
        <v>1684.375</v>
      </c>
      <c r="G619" s="15" t="n">
        <f aca="false">F619*(1+IF(G$3&lt;=$O$2,$D619,$D619-($D619-$I$616)*MIN(G$3-$O$2,$Q$2)/$Q$2))</f>
        <v>1473.828125</v>
      </c>
      <c r="H619" s="15" t="n">
        <f aca="false">G619*(1+IF(H$3&lt;=$O$2,$D619,$D619-($D619-$I$616)*MIN(H$3-$O$2,$Q$2)/$Q$2))</f>
        <v>1289.599609375</v>
      </c>
      <c r="I619" s="15" t="n">
        <f aca="false">H619*(1+IF(I$3&lt;=$O$2,$D619,$D619-($D619-$I$616)*MIN(I$3-$O$2,$Q$2)/$Q$2))</f>
        <v>1128.39965820313</v>
      </c>
      <c r="J619" s="15" t="n">
        <f aca="false">I619*(1+IF(J$3&lt;=$O$2,$D619,$D619-($D619-$I$616)*MIN(J$3-$O$2,$Q$2)/$Q$2))</f>
        <v>1020.81803479004</v>
      </c>
      <c r="K619" s="15" t="n">
        <f aca="false">J619*(1+IF(K$3&lt;=$O$2,$D619,$D619-($D619-$I$616)*MIN(K$3-$O$2,$Q$2)/$Q$2))</f>
        <v>953.770706265029</v>
      </c>
      <c r="L619" s="15" t="n">
        <f aca="false">K619*(1+IF(L$3&lt;=$O$2,$D619,$D619-($D619-$I$616)*MIN(L$3-$O$2,$Q$2)/$Q$2))</f>
        <v>919.415885425363</v>
      </c>
      <c r="M619" s="15" t="n">
        <f aca="false">L619*(1+IF(M$3&lt;=$O$2,$D619,$D619-($D619-$I$616)*MIN(M$3-$O$2,$Q$2)/$Q$2))</f>
        <v>913.568400394058</v>
      </c>
      <c r="N619" s="15" t="n">
        <f aca="false">M619*(1+IF(N$3&lt;=$O$2,$D619,$D619-($D619-$I$616)*MIN(N$3-$O$2,$Q$2)/$Q$2))</f>
        <v>934.854544123239</v>
      </c>
      <c r="O619" s="15" t="n">
        <f aca="false">SUMPRODUCT(E619:N619,1/(1+$F$616)^$E$3:$N$3)*$E$2</f>
        <v>4376.31024975024</v>
      </c>
      <c r="P619" s="15" t="n">
        <f aca="false">N619*$E$2*(1+$I$616)/($F$616-$I$616)/(1+$F$616)^$N$3</f>
        <v>3312.93950564074</v>
      </c>
      <c r="Q619" s="15" t="n">
        <f aca="false">O619+P619</f>
        <v>7689.24975539099</v>
      </c>
      <c r="R619" s="15" t="n">
        <f aca="false">Q619-$G$2+$I$2</f>
        <v>9598.90975539099</v>
      </c>
      <c r="S619" s="42" t="n">
        <f aca="false">R619/$K$2</f>
        <v>41.0157234345639</v>
      </c>
      <c r="T619" s="43" t="n">
        <f aca="false">S619-$M$2</f>
        <v>-68.9701758091228</v>
      </c>
    </row>
    <row r="620" customFormat="false" ht="15" hidden="false" customHeight="false" outlineLevel="0" collapsed="false">
      <c r="A620" s="5" t="n">
        <v>3</v>
      </c>
      <c r="B620" s="25" t="n">
        <f aca="false">IF(T619&gt;0,B619,D619)</f>
        <v>-0.125</v>
      </c>
      <c r="C620" s="25" t="n">
        <f aca="false">IF(T619&gt;0,D619,C619)</f>
        <v>0.25</v>
      </c>
      <c r="D620" s="41" t="n">
        <f aca="false">(B620+C620)/2</f>
        <v>0.0625</v>
      </c>
      <c r="E620" s="15" t="n">
        <f aca="false">$C$2*(1+IF(E$3&lt;=$O$2,$D620,$D620-($D620-$I$616)*MIN(E$3-$O$2,$Q$2)/$Q$2))</f>
        <v>2337.5</v>
      </c>
      <c r="F620" s="15" t="n">
        <f aca="false">E620*(1+IF(F$3&lt;=$O$2,$D620,$D620-($D620-$I$616)*MIN(F$3-$O$2,$Q$2)/$Q$2))</f>
        <v>2483.59375</v>
      </c>
      <c r="G620" s="15" t="n">
        <f aca="false">F620*(1+IF(G$3&lt;=$O$2,$D620,$D620-($D620-$I$616)*MIN(G$3-$O$2,$Q$2)/$Q$2))</f>
        <v>2638.818359375</v>
      </c>
      <c r="H620" s="15" t="n">
        <f aca="false">G620*(1+IF(H$3&lt;=$O$2,$D620,$D620-($D620-$I$616)*MIN(H$3-$O$2,$Q$2)/$Q$2))</f>
        <v>2803.74450683594</v>
      </c>
      <c r="I620" s="15" t="n">
        <f aca="false">H620*(1+IF(I$3&lt;=$O$2,$D620,$D620-($D620-$I$616)*MIN(I$3-$O$2,$Q$2)/$Q$2))</f>
        <v>2978.97853851318</v>
      </c>
      <c r="J620" s="15" t="n">
        <f aca="false">I620*(1+IF(J$3&lt;=$O$2,$D620,$D620-($D620-$I$616)*MIN(J$3-$O$2,$Q$2)/$Q$2))</f>
        <v>3141.80950542831</v>
      </c>
      <c r="K620" s="15" t="n">
        <f aca="false">J620*(1+IF(K$3&lt;=$O$2,$D620,$D620-($D620-$I$616)*MIN(K$3-$O$2,$Q$2)/$Q$2))</f>
        <v>3288.90902647247</v>
      </c>
      <c r="L620" s="15" t="n">
        <f aca="false">K620*(1+IF(L$3&lt;=$O$2,$D620,$D620-($D620-$I$616)*MIN(L$3-$O$2,$Q$2)/$Q$2))</f>
        <v>3417.11070032436</v>
      </c>
      <c r="M620" s="15" t="n">
        <f aca="false">L620*(1+IF(M$3&lt;=$O$2,$D620,$D620-($D620-$I$616)*MIN(M$3-$O$2,$Q$2)/$Q$2))</f>
        <v>3523.51952753247</v>
      </c>
      <c r="N620" s="15" t="n">
        <f aca="false">M620*(1+IF(N$3&lt;=$O$2,$D620,$D620-($D620-$I$616)*MIN(N$3-$O$2,$Q$2)/$Q$2))</f>
        <v>3605.61753252397</v>
      </c>
      <c r="O620" s="15" t="n">
        <f aca="false">SUMPRODUCT(E620:N620,1/(1+$F$616)^$E$3:$N$3)*$E$2</f>
        <v>9807.24175961751</v>
      </c>
      <c r="P620" s="15" t="n">
        <f aca="false">N620*$E$2*(1+$I$616)/($F$616-$I$616)/(1+$F$616)^$N$3</f>
        <v>12777.5950181988</v>
      </c>
      <c r="Q620" s="15" t="n">
        <f aca="false">O620+P620</f>
        <v>22584.8367778163</v>
      </c>
      <c r="R620" s="15" t="n">
        <f aca="false">Q620-$G$2+$I$2</f>
        <v>24494.4967778163</v>
      </c>
      <c r="S620" s="42" t="n">
        <f aca="false">R620/$K$2</f>
        <v>104.663918206282</v>
      </c>
      <c r="T620" s="43" t="n">
        <f aca="false">S620-$M$2</f>
        <v>-5.3219810374043</v>
      </c>
    </row>
    <row r="621" customFormat="false" ht="15" hidden="false" customHeight="false" outlineLevel="0" collapsed="false">
      <c r="A621" s="5" t="n">
        <v>4</v>
      </c>
      <c r="B621" s="25" t="n">
        <f aca="false">IF(T620&gt;0,B620,D620)</f>
        <v>0.0625</v>
      </c>
      <c r="C621" s="25" t="n">
        <f aca="false">IF(T620&gt;0,D620,C620)</f>
        <v>0.25</v>
      </c>
      <c r="D621" s="41" t="n">
        <f aca="false">(B621+C621)/2</f>
        <v>0.15625</v>
      </c>
      <c r="E621" s="15" t="n">
        <f aca="false">$C$2*(1+IF(E$3&lt;=$O$2,$D621,$D621-($D621-$I$616)*MIN(E$3-$O$2,$Q$2)/$Q$2))</f>
        <v>2543.75</v>
      </c>
      <c r="F621" s="15" t="n">
        <f aca="false">E621*(1+IF(F$3&lt;=$O$2,$D621,$D621-($D621-$I$616)*MIN(F$3-$O$2,$Q$2)/$Q$2))</f>
        <v>2941.2109375</v>
      </c>
      <c r="G621" s="15" t="n">
        <f aca="false">F621*(1+IF(G$3&lt;=$O$2,$D621,$D621-($D621-$I$616)*MIN(G$3-$O$2,$Q$2)/$Q$2))</f>
        <v>3400.77514648438</v>
      </c>
      <c r="H621" s="15" t="n">
        <f aca="false">G621*(1+IF(H$3&lt;=$O$2,$D621,$D621-($D621-$I$616)*MIN(H$3-$O$2,$Q$2)/$Q$2))</f>
        <v>3932.14626312256</v>
      </c>
      <c r="I621" s="15" t="n">
        <f aca="false">H621*(1+IF(I$3&lt;=$O$2,$D621,$D621-($D621-$I$616)*MIN(I$3-$O$2,$Q$2)/$Q$2))</f>
        <v>4546.54411673546</v>
      </c>
      <c r="J621" s="15" t="n">
        <f aca="false">I621*(1+IF(J$3&lt;=$O$2,$D621,$D621-($D621-$I$616)*MIN(J$3-$O$2,$Q$2)/$Q$2))</f>
        <v>5136.04902691138</v>
      </c>
      <c r="K621" s="15" t="n">
        <f aca="false">J621*(1+IF(K$3&lt;=$O$2,$D621,$D621-($D621-$I$616)*MIN(K$3-$O$2,$Q$2)/$Q$2))</f>
        <v>5665.42160011513</v>
      </c>
      <c r="L621" s="15" t="n">
        <f aca="false">K621*(1+IF(L$3&lt;=$O$2,$D621,$D621-($D621-$I$616)*MIN(L$3-$O$2,$Q$2)/$Q$2))</f>
        <v>6098.71304409194</v>
      </c>
      <c r="M621" s="15" t="n">
        <f aca="false">L621*(1+IF(M$3&lt;=$O$2,$D621,$D621-($D621-$I$616)*MIN(M$3-$O$2,$Q$2)/$Q$2))</f>
        <v>6402.97783786169</v>
      </c>
      <c r="N621" s="15" t="n">
        <f aca="false">M621*(1+IF(N$3&lt;=$O$2,$D621,$D621-($D621-$I$616)*MIN(N$3-$O$2,$Q$2)/$Q$2))</f>
        <v>6552.16722148386</v>
      </c>
      <c r="O621" s="15" t="n">
        <f aca="false">SUMPRODUCT(E621:N621,1/(1+$F$616)^$E$3:$N$3)*$E$2</f>
        <v>14736.9898082952</v>
      </c>
      <c r="P621" s="15" t="n">
        <f aca="false">N621*$E$2*(1+$I$616)/($F$616-$I$616)/(1+$F$616)^$N$3</f>
        <v>23219.5840220002</v>
      </c>
      <c r="Q621" s="15" t="n">
        <f aca="false">O621+P621</f>
        <v>37956.5738302954</v>
      </c>
      <c r="R621" s="15" t="n">
        <f aca="false">Q621-$G$2+$I$2</f>
        <v>39866.2338302954</v>
      </c>
      <c r="S621" s="42" t="n">
        <f aca="false">R621/$K$2</f>
        <v>170.34668132417</v>
      </c>
      <c r="T621" s="43" t="n">
        <f aca="false">S621-$M$2</f>
        <v>60.3607820804829</v>
      </c>
    </row>
    <row r="622" customFormat="false" ht="15" hidden="false" customHeight="false" outlineLevel="0" collapsed="false">
      <c r="A622" s="5" t="n">
        <v>5</v>
      </c>
      <c r="B622" s="25" t="n">
        <f aca="false">IF(T621&gt;0,B621,D621)</f>
        <v>0.0625</v>
      </c>
      <c r="C622" s="25" t="n">
        <f aca="false">IF(T621&gt;0,D621,C621)</f>
        <v>0.15625</v>
      </c>
      <c r="D622" s="41" t="n">
        <f aca="false">(B622+C622)/2</f>
        <v>0.109375</v>
      </c>
      <c r="E622" s="15" t="n">
        <f aca="false">$C$2*(1+IF(E$3&lt;=$O$2,$D622,$D622-($D622-$I$616)*MIN(E$3-$O$2,$Q$2)/$Q$2))</f>
        <v>2440.625</v>
      </c>
      <c r="F622" s="15" t="n">
        <f aca="false">E622*(1+IF(F$3&lt;=$O$2,$D622,$D622-($D622-$I$616)*MIN(F$3-$O$2,$Q$2)/$Q$2))</f>
        <v>2707.568359375</v>
      </c>
      <c r="G622" s="15" t="n">
        <f aca="false">F622*(1+IF(G$3&lt;=$O$2,$D622,$D622-($D622-$I$616)*MIN(G$3-$O$2,$Q$2)/$Q$2))</f>
        <v>3003.70864868164</v>
      </c>
      <c r="H622" s="15" t="n">
        <f aca="false">G622*(1+IF(H$3&lt;=$O$2,$D622,$D622-($D622-$I$616)*MIN(H$3-$O$2,$Q$2)/$Q$2))</f>
        <v>3332.2392821312</v>
      </c>
      <c r="I622" s="15" t="n">
        <f aca="false">H622*(1+IF(I$3&lt;=$O$2,$D622,$D622-($D622-$I$616)*MIN(I$3-$O$2,$Q$2)/$Q$2))</f>
        <v>3696.70295361429</v>
      </c>
      <c r="J622" s="15" t="n">
        <f aca="false">I622*(1+IF(J$3&lt;=$O$2,$D622,$D622-($D622-$I$616)*MIN(J$3-$O$2,$Q$2)/$Q$2))</f>
        <v>4037.39109781939</v>
      </c>
      <c r="K622" s="15" t="n">
        <f aca="false">J622*(1+IF(K$3&lt;=$O$2,$D622,$D622-($D622-$I$616)*MIN(K$3-$O$2,$Q$2)/$Q$2))</f>
        <v>4339.97337364546</v>
      </c>
      <c r="L622" s="15" t="n">
        <f aca="false">K622*(1+IF(L$3&lt;=$O$2,$D622,$D622-($D622-$I$616)*MIN(L$3-$O$2,$Q$2)/$Q$2))</f>
        <v>4590.52003650602</v>
      </c>
      <c r="M622" s="15" t="n">
        <f aca="false">L622*(1+IF(M$3&lt;=$O$2,$D622,$D622-($D622-$I$616)*MIN(M$3-$O$2,$Q$2)/$Q$2))</f>
        <v>4776.50495578506</v>
      </c>
      <c r="N622" s="15" t="n">
        <f aca="false">M622*(1+IF(N$3&lt;=$O$2,$D622,$D622-($D622-$I$616)*MIN(N$3-$O$2,$Q$2)/$Q$2))</f>
        <v>4887.79752125485</v>
      </c>
      <c r="O622" s="15" t="n">
        <f aca="false">SUMPRODUCT(E622:N622,1/(1+$F$616)^$E$3:$N$3)*$E$2</f>
        <v>12024.3374567347</v>
      </c>
      <c r="P622" s="15" t="n">
        <f aca="false">N622*$E$2*(1+$I$616)/($F$616-$I$616)/(1+$F$616)^$N$3</f>
        <v>17321.3871671607</v>
      </c>
      <c r="Q622" s="15" t="n">
        <f aca="false">O622+P622</f>
        <v>29345.7246238954</v>
      </c>
      <c r="R622" s="15" t="n">
        <f aca="false">Q622-$G$2+$I$2</f>
        <v>31255.3846238954</v>
      </c>
      <c r="S622" s="42" t="n">
        <f aca="false">R622/$K$2</f>
        <v>133.552897593879</v>
      </c>
      <c r="T622" s="43" t="n">
        <f aca="false">S622-$M$2</f>
        <v>23.5669983501918</v>
      </c>
    </row>
    <row r="623" customFormat="false" ht="15" hidden="false" customHeight="false" outlineLevel="0" collapsed="false">
      <c r="A623" s="5" t="n">
        <v>6</v>
      </c>
      <c r="B623" s="25" t="n">
        <f aca="false">IF(T622&gt;0,B622,D622)</f>
        <v>0.0625</v>
      </c>
      <c r="C623" s="25" t="n">
        <f aca="false">IF(T622&gt;0,D622,C622)</f>
        <v>0.109375</v>
      </c>
      <c r="D623" s="41" t="n">
        <f aca="false">(B623+C623)/2</f>
        <v>0.0859375</v>
      </c>
      <c r="E623" s="15" t="n">
        <f aca="false">$C$2*(1+IF(E$3&lt;=$O$2,$D623,$D623-($D623-$I$616)*MIN(E$3-$O$2,$Q$2)/$Q$2))</f>
        <v>2389.0625</v>
      </c>
      <c r="F623" s="15" t="n">
        <f aca="false">E623*(1+IF(F$3&lt;=$O$2,$D623,$D623-($D623-$I$616)*MIN(F$3-$O$2,$Q$2)/$Q$2))</f>
        <v>2594.37255859375</v>
      </c>
      <c r="G623" s="15" t="n">
        <f aca="false">F623*(1+IF(G$3&lt;=$O$2,$D623,$D623-($D623-$I$616)*MIN(G$3-$O$2,$Q$2)/$Q$2))</f>
        <v>2817.3264503479</v>
      </c>
      <c r="H623" s="15" t="n">
        <f aca="false">G623*(1+IF(H$3&lt;=$O$2,$D623,$D623-($D623-$I$616)*MIN(H$3-$O$2,$Q$2)/$Q$2))</f>
        <v>3059.44044217467</v>
      </c>
      <c r="I623" s="15" t="n">
        <f aca="false">H623*(1+IF(I$3&lt;=$O$2,$D623,$D623-($D623-$I$616)*MIN(I$3-$O$2,$Q$2)/$Q$2))</f>
        <v>3322.36110517406</v>
      </c>
      <c r="J623" s="15" t="n">
        <f aca="false">I623*(1+IF(J$3&lt;=$O$2,$D623,$D623-($D623-$I$616)*MIN(J$3-$O$2,$Q$2)/$Q$2))</f>
        <v>3566.25563390489</v>
      </c>
      <c r="K623" s="15" t="n">
        <f aca="false">J623*(1+IF(K$3&lt;=$O$2,$D623,$D623-($D623-$I$616)*MIN(K$3-$O$2,$Q$2)/$Q$2))</f>
        <v>3783.3781925361</v>
      </c>
      <c r="L623" s="15" t="n">
        <f aca="false">K623*(1+IF(L$3&lt;=$O$2,$D623,$D623-($D623-$I$616)*MIN(L$3-$O$2,$Q$2)/$Q$2))</f>
        <v>3966.32344503618</v>
      </c>
      <c r="M623" s="15" t="n">
        <f aca="false">L623*(1+IF(M$3&lt;=$O$2,$D623,$D623-($D623-$I$616)*MIN(M$3-$O$2,$Q$2)/$Q$2))</f>
        <v>4108.42689826322</v>
      </c>
      <c r="N623" s="15" t="n">
        <f aca="false">M623*(1+IF(N$3&lt;=$O$2,$D623,$D623-($D623-$I$616)*MIN(N$3-$O$2,$Q$2)/$Q$2))</f>
        <v>4204.15324499275</v>
      </c>
      <c r="O623" s="15" t="n">
        <f aca="false">SUMPRODUCT(E623:N623,1/(1+$F$616)^$E$3:$N$3)*$E$2</f>
        <v>10859.4945894041</v>
      </c>
      <c r="P623" s="15" t="n">
        <f aca="false">N623*$E$2*(1+$I$616)/($F$616-$I$616)/(1+$F$616)^$N$3</f>
        <v>14898.6871387215</v>
      </c>
      <c r="Q623" s="15" t="n">
        <f aca="false">O623+P623</f>
        <v>25758.1817281256</v>
      </c>
      <c r="R623" s="15" t="n">
        <f aca="false">Q623-$G$2+$I$2</f>
        <v>27667.8417281256</v>
      </c>
      <c r="S623" s="42" t="n">
        <f aca="false">R623/$K$2</f>
        <v>118.223483006989</v>
      </c>
      <c r="T623" s="43" t="n">
        <f aca="false">S623-$M$2</f>
        <v>8.23758376330218</v>
      </c>
    </row>
    <row r="624" customFormat="false" ht="15" hidden="false" customHeight="false" outlineLevel="0" collapsed="false">
      <c r="A624" s="5" t="n">
        <v>7</v>
      </c>
      <c r="B624" s="25" t="n">
        <f aca="false">IF(T623&gt;0,B623,D623)</f>
        <v>0.0625</v>
      </c>
      <c r="C624" s="25" t="n">
        <f aca="false">IF(T623&gt;0,D623,C623)</f>
        <v>0.0859375</v>
      </c>
      <c r="D624" s="41" t="n">
        <f aca="false">(B624+C624)/2</f>
        <v>0.07421875</v>
      </c>
      <c r="E624" s="15" t="n">
        <f aca="false">$C$2*(1+IF(E$3&lt;=$O$2,$D624,$D624-($D624-$I$616)*MIN(E$3-$O$2,$Q$2)/$Q$2))</f>
        <v>2363.28125</v>
      </c>
      <c r="F624" s="15" t="n">
        <f aca="false">E624*(1+IF(F$3&lt;=$O$2,$D624,$D624-($D624-$I$616)*MIN(F$3-$O$2,$Q$2)/$Q$2))</f>
        <v>2538.68103027344</v>
      </c>
      <c r="G624" s="15" t="n">
        <f aca="false">F624*(1+IF(G$3&lt;=$O$2,$D624,$D624-($D624-$I$616)*MIN(G$3-$O$2,$Q$2)/$Q$2))</f>
        <v>2727.09876298904</v>
      </c>
      <c r="H624" s="15" t="n">
        <f aca="false">G624*(1+IF(H$3&lt;=$O$2,$D624,$D624-($D624-$I$616)*MIN(H$3-$O$2,$Q$2)/$Q$2))</f>
        <v>2929.50062430464</v>
      </c>
      <c r="I624" s="15" t="n">
        <f aca="false">H624*(1+IF(I$3&lt;=$O$2,$D624,$D624-($D624-$I$616)*MIN(I$3-$O$2,$Q$2)/$Q$2))</f>
        <v>3146.92449876475</v>
      </c>
      <c r="J624" s="15" t="n">
        <f aca="false">I624*(1+IF(J$3&lt;=$O$2,$D624,$D624-($D624-$I$616)*MIN(J$3-$O$2,$Q$2)/$Q$2))</f>
        <v>3348.43780904315</v>
      </c>
      <c r="K624" s="15" t="n">
        <f aca="false">J624*(1+IF(K$3&lt;=$O$2,$D624,$D624-($D624-$I$616)*MIN(K$3-$O$2,$Q$2)/$Q$2))</f>
        <v>3528.75537060738</v>
      </c>
      <c r="L624" s="15" t="n">
        <f aca="false">K624*(1+IF(L$3&lt;=$O$2,$D624,$D624-($D624-$I$616)*MIN(L$3-$O$2,$Q$2)/$Q$2))</f>
        <v>3682.84729575338</v>
      </c>
      <c r="M624" s="15" t="n">
        <f aca="false">L624*(1+IF(M$3&lt;=$O$2,$D624,$D624-($D624-$I$616)*MIN(M$3-$O$2,$Q$2)/$Q$2))</f>
        <v>3806.16283389256</v>
      </c>
      <c r="N624" s="15" t="n">
        <f aca="false">M624*(1+IF(N$3&lt;=$O$2,$D624,$D624-($D624-$I$616)*MIN(N$3-$O$2,$Q$2)/$Q$2))</f>
        <v>3894.84642792226</v>
      </c>
      <c r="O624" s="15" t="n">
        <f aca="false">SUMPRODUCT(E624:N624,1/(1+$F$616)^$E$3:$N$3)*$E$2</f>
        <v>10319.9514424015</v>
      </c>
      <c r="P624" s="15" t="n">
        <f aca="false">N624*$E$2*(1+$I$616)/($F$616-$I$616)/(1+$F$616)^$N$3</f>
        <v>13802.5649878709</v>
      </c>
      <c r="Q624" s="15" t="n">
        <f aca="false">O624+P624</f>
        <v>24122.5164302723</v>
      </c>
      <c r="R624" s="15" t="n">
        <f aca="false">Q624-$G$2+$I$2</f>
        <v>26032.1764302723</v>
      </c>
      <c r="S624" s="42" t="n">
        <f aca="false">R624/$K$2</f>
        <v>111.234356408462</v>
      </c>
      <c r="T624" s="43" t="n">
        <f aca="false">S624-$M$2</f>
        <v>1.24845716477515</v>
      </c>
    </row>
    <row r="625" customFormat="false" ht="15" hidden="false" customHeight="false" outlineLevel="0" collapsed="false">
      <c r="A625" s="5" t="n">
        <v>8</v>
      </c>
      <c r="B625" s="25" t="n">
        <f aca="false">IF(T624&gt;0,B624,D624)</f>
        <v>0.0625</v>
      </c>
      <c r="C625" s="25" t="n">
        <f aca="false">IF(T624&gt;0,D624,C624)</f>
        <v>0.07421875</v>
      </c>
      <c r="D625" s="41" t="n">
        <f aca="false">(B625+C625)/2</f>
        <v>0.068359375</v>
      </c>
      <c r="E625" s="15" t="n">
        <f aca="false">$C$2*(1+IF(E$3&lt;=$O$2,$D625,$D625-($D625-$I$616)*MIN(E$3-$O$2,$Q$2)/$Q$2))</f>
        <v>2350.390625</v>
      </c>
      <c r="F625" s="15" t="n">
        <f aca="false">E625*(1+IF(F$3&lt;=$O$2,$D625,$D625-($D625-$I$616)*MIN(F$3-$O$2,$Q$2)/$Q$2))</f>
        <v>2511.06185913086</v>
      </c>
      <c r="G625" s="15" t="n">
        <f aca="false">F625*(1+IF(G$3&lt;=$O$2,$D625,$D625-($D625-$I$616)*MIN(G$3-$O$2,$Q$2)/$Q$2))</f>
        <v>2682.71647840738</v>
      </c>
      <c r="H625" s="15" t="n">
        <f aca="false">G625*(1+IF(H$3&lt;=$O$2,$D625,$D625-($D625-$I$616)*MIN(H$3-$O$2,$Q$2)/$Q$2))</f>
        <v>2866.10530017351</v>
      </c>
      <c r="I625" s="15" t="n">
        <f aca="false">H625*(1+IF(I$3&lt;=$O$2,$D625,$D625-($D625-$I$616)*MIN(I$3-$O$2,$Q$2)/$Q$2))</f>
        <v>3062.03046717756</v>
      </c>
      <c r="J625" s="15" t="n">
        <f aca="false">I625*(1+IF(J$3&lt;=$O$2,$D625,$D625-($D625-$I$616)*MIN(J$3-$O$2,$Q$2)/$Q$2))</f>
        <v>3243.75432032838</v>
      </c>
      <c r="K625" s="15" t="n">
        <f aca="false">J625*(1+IF(K$3&lt;=$O$2,$D625,$D625-($D625-$I$616)*MIN(K$3-$O$2,$Q$2)/$Q$2))</f>
        <v>3407.03072138856</v>
      </c>
      <c r="L625" s="15" t="n">
        <f aca="false">K625*(1+IF(L$3&lt;=$O$2,$D625,$D625-($D625-$I$616)*MIN(L$3-$O$2,$Q$2)/$Q$2))</f>
        <v>3547.82200716154</v>
      </c>
      <c r="M625" s="15" t="n">
        <f aca="false">L625*(1+IF(M$3&lt;=$O$2,$D625,$D625-($D625-$I$616)*MIN(M$3-$O$2,$Q$2)/$Q$2))</f>
        <v>3662.45878837919</v>
      </c>
      <c r="N625" s="15" t="n">
        <f aca="false">M625*(1+IF(N$3&lt;=$O$2,$D625,$D625-($D625-$I$616)*MIN(N$3-$O$2,$Q$2)/$Q$2))</f>
        <v>3747.79407814843</v>
      </c>
      <c r="O625" s="15" t="n">
        <f aca="false">SUMPRODUCT(E625:N625,1/(1+$F$616)^$E$3:$N$3)*$E$2</f>
        <v>10060.3216251848</v>
      </c>
      <c r="P625" s="15" t="n">
        <f aca="false">N625*$E$2*(1+$I$616)/($F$616-$I$616)/(1+$F$616)^$N$3</f>
        <v>13281.4405605195</v>
      </c>
      <c r="Q625" s="15" t="n">
        <f aca="false">O625+P625</f>
        <v>23341.7621857043</v>
      </c>
      <c r="R625" s="15" t="n">
        <f aca="false">Q625-$G$2+$I$2</f>
        <v>25251.4221857043</v>
      </c>
      <c r="S625" s="42" t="n">
        <f aca="false">R625/$K$2</f>
        <v>107.898227516576</v>
      </c>
      <c r="T625" s="43" t="n">
        <f aca="false">S625-$M$2</f>
        <v>-2.0876717271107</v>
      </c>
    </row>
    <row r="626" customFormat="false" ht="15" hidden="false" customHeight="false" outlineLevel="0" collapsed="false">
      <c r="A626" s="5" t="n">
        <v>9</v>
      </c>
      <c r="B626" s="25" t="n">
        <f aca="false">IF(T625&gt;0,B625,D625)</f>
        <v>0.068359375</v>
      </c>
      <c r="C626" s="25" t="n">
        <f aca="false">IF(T625&gt;0,D625,C625)</f>
        <v>0.07421875</v>
      </c>
      <c r="D626" s="41" t="n">
        <f aca="false">(B626+C626)/2</f>
        <v>0.0712890625</v>
      </c>
      <c r="E626" s="15" t="n">
        <f aca="false">$C$2*(1+IF(E$3&lt;=$O$2,$D626,$D626-($D626-$I$616)*MIN(E$3-$O$2,$Q$2)/$Q$2))</f>
        <v>2356.8359375</v>
      </c>
      <c r="F626" s="15" t="n">
        <f aca="false">E626*(1+IF(F$3&lt;=$O$2,$D626,$D626-($D626-$I$616)*MIN(F$3-$O$2,$Q$2)/$Q$2))</f>
        <v>2524.85256195068</v>
      </c>
      <c r="G626" s="15" t="n">
        <f aca="false">F626*(1+IF(G$3&lt;=$O$2,$D626,$D626-($D626-$I$616)*MIN(G$3-$O$2,$Q$2)/$Q$2))</f>
        <v>2704.84693404287</v>
      </c>
      <c r="H626" s="15" t="n">
        <f aca="false">G626*(1+IF(H$3&lt;=$O$2,$D626,$D626-($D626-$I$616)*MIN(H$3-$O$2,$Q$2)/$Q$2))</f>
        <v>2897.67293617679</v>
      </c>
      <c r="I626" s="15" t="n">
        <f aca="false">H626*(1+IF(I$3&lt;=$O$2,$D626,$D626-($D626-$I$616)*MIN(I$3-$O$2,$Q$2)/$Q$2))</f>
        <v>3104.24532322845</v>
      </c>
      <c r="J626" s="15" t="n">
        <f aca="false">I626*(1+IF(J$3&lt;=$O$2,$D626,$D626-($D626-$I$616)*MIN(J$3-$O$2,$Q$2)/$Q$2))</f>
        <v>3295.75009752507</v>
      </c>
      <c r="K626" s="15" t="n">
        <f aca="false">J626*(1+IF(K$3&lt;=$O$2,$D626,$D626-($D626-$I$616)*MIN(K$3-$O$2,$Q$2)/$Q$2))</f>
        <v>3467.43704924611</v>
      </c>
      <c r="L626" s="15" t="n">
        <f aca="false">K626*(1+IF(L$3&lt;=$O$2,$D626,$D626-($D626-$I$616)*MIN(L$3-$O$2,$Q$2)/$Q$2))</f>
        <v>3614.78795380198</v>
      </c>
      <c r="M626" s="15" t="n">
        <f aca="false">L626*(1+IF(M$3&lt;=$O$2,$D626,$D626-($D626-$I$616)*MIN(M$3-$O$2,$Q$2)/$Q$2))</f>
        <v>3733.70657013341</v>
      </c>
      <c r="N626" s="15" t="n">
        <f aca="false">M626*(1+IF(N$3&lt;=$O$2,$D626,$D626-($D626-$I$616)*MIN(N$3-$O$2,$Q$2)/$Q$2))</f>
        <v>3820.70193321752</v>
      </c>
      <c r="O626" s="15" t="n">
        <f aca="false">SUMPRODUCT(E626:N626,1/(1+$F$616)^$E$3:$N$3)*$E$2</f>
        <v>10189.3080164609</v>
      </c>
      <c r="P626" s="15" t="n">
        <f aca="false">N626*$E$2*(1+$I$616)/($F$616-$I$616)/(1+$F$616)^$N$3</f>
        <v>13539.8115711204</v>
      </c>
      <c r="Q626" s="15" t="n">
        <f aca="false">O626+P626</f>
        <v>23729.1195875812</v>
      </c>
      <c r="R626" s="15" t="n">
        <f aca="false">Q626-$G$2+$I$2</f>
        <v>25638.7795875812</v>
      </c>
      <c r="S626" s="42" t="n">
        <f aca="false">R626/$K$2</f>
        <v>109.553388828702</v>
      </c>
      <c r="T626" s="43" t="n">
        <f aca="false">S626-$M$2</f>
        <v>-0.432510414984222</v>
      </c>
    </row>
    <row r="627" customFormat="false" ht="15" hidden="false" customHeight="false" outlineLevel="0" collapsed="false">
      <c r="A627" s="5" t="n">
        <v>10</v>
      </c>
      <c r="B627" s="25" t="n">
        <f aca="false">IF(T626&gt;0,B626,D626)</f>
        <v>0.0712890625</v>
      </c>
      <c r="C627" s="25" t="n">
        <f aca="false">IF(T626&gt;0,D626,C626)</f>
        <v>0.07421875</v>
      </c>
      <c r="D627" s="41" t="n">
        <f aca="false">(B627+C627)/2</f>
        <v>0.07275390625</v>
      </c>
      <c r="E627" s="15" t="n">
        <f aca="false">$C$2*(1+IF(E$3&lt;=$O$2,$D627,$D627-($D627-$I$616)*MIN(E$3-$O$2,$Q$2)/$Q$2))</f>
        <v>2360.05859375</v>
      </c>
      <c r="F627" s="15" t="n">
        <f aca="false">E627*(1+IF(F$3&lt;=$O$2,$D627,$D627-($D627-$I$616)*MIN(F$3-$O$2,$Q$2)/$Q$2))</f>
        <v>2531.76207542419</v>
      </c>
      <c r="G627" s="15" t="n">
        <f aca="false">F627*(1+IF(G$3&lt;=$O$2,$D627,$D627-($D627-$I$616)*MIN(G$3-$O$2,$Q$2)/$Q$2))</f>
        <v>2715.95765610691</v>
      </c>
      <c r="H627" s="15" t="n">
        <f aca="false">G627*(1+IF(H$3&lt;=$O$2,$D627,$D627-($D627-$I$616)*MIN(H$3-$O$2,$Q$2)/$Q$2))</f>
        <v>2913.55418479828</v>
      </c>
      <c r="I627" s="15" t="n">
        <f aca="false">H627*(1+IF(I$3&lt;=$O$2,$D627,$D627-($D627-$I$616)*MIN(I$3-$O$2,$Q$2)/$Q$2))</f>
        <v>3125.52663281339</v>
      </c>
      <c r="J627" s="15" t="n">
        <f aca="false">I627*(1+IF(J$3&lt;=$O$2,$D627,$D627-($D627-$I$616)*MIN(J$3-$O$2,$Q$2)/$Q$2))</f>
        <v>3322.00700422277</v>
      </c>
      <c r="K627" s="15" t="n">
        <f aca="false">J627*(1+IF(K$3&lt;=$O$2,$D627,$D627-($D627-$I$616)*MIN(K$3-$O$2,$Q$2)/$Q$2))</f>
        <v>3497.98150119037</v>
      </c>
      <c r="L627" s="15" t="n">
        <f aca="false">K627*(1+IF(L$3&lt;=$O$2,$D627,$D627-($D627-$I$616)*MIN(L$3-$O$2,$Q$2)/$Q$2))</f>
        <v>3648.68000985774</v>
      </c>
      <c r="M627" s="15" t="n">
        <f aca="false">L627*(1+IF(M$3&lt;=$O$2,$D627,$D627-($D627-$I$616)*MIN(M$3-$O$2,$Q$2)/$Q$2))</f>
        <v>3769.78254991618</v>
      </c>
      <c r="N627" s="15" t="n">
        <f aca="false">M627*(1+IF(N$3&lt;=$O$2,$D627,$D627-($D627-$I$616)*MIN(N$3-$O$2,$Q$2)/$Q$2))</f>
        <v>3857.61848332923</v>
      </c>
      <c r="O627" s="15" t="n">
        <f aca="false">SUMPRODUCT(E627:N627,1/(1+$F$616)^$E$3:$N$3)*$E$2</f>
        <v>10254.4213673532</v>
      </c>
      <c r="P627" s="15" t="n">
        <f aca="false">N627*$E$2*(1+$I$616)/($F$616-$I$616)/(1+$F$616)^$N$3</f>
        <v>13670.6365192857</v>
      </c>
      <c r="Q627" s="15" t="n">
        <f aca="false">O627+P627</f>
        <v>23925.0578866389</v>
      </c>
      <c r="R627" s="15" t="n">
        <f aca="false">Q627-$G$2+$I$2</f>
        <v>25834.7178866389</v>
      </c>
      <c r="S627" s="42" t="n">
        <f aca="false">R627/$K$2</f>
        <v>110.390624649143</v>
      </c>
      <c r="T627" s="43" t="n">
        <f aca="false">S627-$M$2</f>
        <v>0.404725405456006</v>
      </c>
    </row>
    <row r="628" customFormat="false" ht="15" hidden="false" customHeight="false" outlineLevel="0" collapsed="false">
      <c r="A628" s="5" t="n">
        <v>11</v>
      </c>
      <c r="B628" s="25" t="n">
        <f aca="false">IF(T627&gt;0,B627,D627)</f>
        <v>0.0712890625</v>
      </c>
      <c r="C628" s="25" t="n">
        <f aca="false">IF(T627&gt;0,D627,C627)</f>
        <v>0.07275390625</v>
      </c>
      <c r="D628" s="41" t="n">
        <f aca="false">(B628+C628)/2</f>
        <v>0.072021484375</v>
      </c>
      <c r="E628" s="15" t="n">
        <f aca="false">$C$2*(1+IF(E$3&lt;=$O$2,$D628,$D628-($D628-$I$616)*MIN(E$3-$O$2,$Q$2)/$Q$2))</f>
        <v>2358.447265625</v>
      </c>
      <c r="F628" s="15" t="n">
        <f aca="false">E628*(1+IF(F$3&lt;=$O$2,$D628,$D628-($D628-$I$616)*MIN(F$3-$O$2,$Q$2)/$Q$2))</f>
        <v>2528.30613851547</v>
      </c>
      <c r="G628" s="15" t="n">
        <f aca="false">F628*(1+IF(G$3&lt;=$O$2,$D628,$D628-($D628-$I$616)*MIN(G$3-$O$2,$Q$2)/$Q$2))</f>
        <v>2710.39849956578</v>
      </c>
      <c r="H628" s="15" t="n">
        <f aca="false">G628*(1+IF(H$3&lt;=$O$2,$D628,$D628-($D628-$I$616)*MIN(H$3-$O$2,$Q$2)/$Q$2))</f>
        <v>2905.60542275228</v>
      </c>
      <c r="I628" s="15" t="n">
        <f aca="false">H628*(1+IF(I$3&lt;=$O$2,$D628,$D628-($D628-$I$616)*MIN(I$3-$O$2,$Q$2)/$Q$2))</f>
        <v>3114.87143830695</v>
      </c>
      <c r="J628" s="15" t="n">
        <f aca="false">I628*(1+IF(J$3&lt;=$O$2,$D628,$D628-($D628-$I$616)*MIN(J$3-$O$2,$Q$2)/$Q$2))</f>
        <v>3308.85687090879</v>
      </c>
      <c r="K628" s="15" t="n">
        <f aca="false">J628*(1+IF(K$3&lt;=$O$2,$D628,$D628-($D628-$I$616)*MIN(K$3-$O$2,$Q$2)/$Q$2))</f>
        <v>3482.68068700202</v>
      </c>
      <c r="L628" s="15" t="n">
        <f aca="false">K628*(1+IF(L$3&lt;=$O$2,$D628,$D628-($D628-$I$616)*MIN(L$3-$O$2,$Q$2)/$Q$2))</f>
        <v>3631.69969607912</v>
      </c>
      <c r="M628" s="15" t="n">
        <f aca="false">L628*(1+IF(M$3&lt;=$O$2,$D628,$D628-($D628-$I$616)*MIN(M$3-$O$2,$Q$2)/$Q$2))</f>
        <v>3751.7066589972</v>
      </c>
      <c r="N628" s="15" t="n">
        <f aca="false">M628*(1+IF(N$3&lt;=$O$2,$D628,$D628-($D628-$I$616)*MIN(N$3-$O$2,$Q$2)/$Q$2))</f>
        <v>3839.12142415184</v>
      </c>
      <c r="O628" s="15" t="n">
        <f aca="false">SUMPRODUCT(E628:N628,1/(1+$F$616)^$E$3:$N$3)*$E$2</f>
        <v>10221.8127559777</v>
      </c>
      <c r="P628" s="15" t="n">
        <f aca="false">N628*$E$2*(1+$I$616)/($F$616-$I$616)/(1+$F$616)^$N$3</f>
        <v>13605.0866019513</v>
      </c>
      <c r="Q628" s="15" t="n">
        <f aca="false">O628+P628</f>
        <v>23826.899357929</v>
      </c>
      <c r="R628" s="15" t="n">
        <f aca="false">Q628-$G$2+$I$2</f>
        <v>25736.559357929</v>
      </c>
      <c r="S628" s="42" t="n">
        <f aca="false">R628/$K$2</f>
        <v>109.971197529928</v>
      </c>
      <c r="T628" s="43" t="n">
        <f aca="false">S628-$M$2</f>
        <v>-0.0147017137588392</v>
      </c>
    </row>
    <row r="629" customFormat="false" ht="15" hidden="false" customHeight="false" outlineLevel="0" collapsed="false">
      <c r="A629" s="5" t="n">
        <v>12</v>
      </c>
      <c r="B629" s="25" t="n">
        <f aca="false">IF(T628&gt;0,B628,D628)</f>
        <v>0.072021484375</v>
      </c>
      <c r="C629" s="25" t="n">
        <f aca="false">IF(T628&gt;0,D628,C628)</f>
        <v>0.07275390625</v>
      </c>
      <c r="D629" s="41" t="n">
        <f aca="false">(B629+C629)/2</f>
        <v>0.0723876953125</v>
      </c>
      <c r="E629" s="15" t="n">
        <f aca="false">$C$2*(1+IF(E$3&lt;=$O$2,$D629,$D629-($D629-$I$616)*MIN(E$3-$O$2,$Q$2)/$Q$2))</f>
        <v>2359.2529296875</v>
      </c>
      <c r="F629" s="15" t="n">
        <f aca="false">E629*(1+IF(F$3&lt;=$O$2,$D629,$D629-($D629-$I$616)*MIN(F$3-$O$2,$Q$2)/$Q$2))</f>
        <v>2530.03381192684</v>
      </c>
      <c r="G629" s="15" t="n">
        <f aca="false">F629*(1+IF(G$3&lt;=$O$2,$D629,$D629-($D629-$I$616)*MIN(G$3-$O$2,$Q$2)/$Q$2))</f>
        <v>2713.17712863493</v>
      </c>
      <c r="H629" s="15" t="n">
        <f aca="false">G629*(1+IF(H$3&lt;=$O$2,$D629,$D629-($D629-$I$616)*MIN(H$3-$O$2,$Q$2)/$Q$2))</f>
        <v>2909.57776795139</v>
      </c>
      <c r="I629" s="15" t="n">
        <f aca="false">H629*(1+IF(I$3&lt;=$O$2,$D629,$D629-($D629-$I$616)*MIN(I$3-$O$2,$Q$2)/$Q$2))</f>
        <v>3120.19539690588</v>
      </c>
      <c r="J629" s="15" t="n">
        <f aca="false">I629*(1+IF(J$3&lt;=$O$2,$D629,$D629-($D629-$I$616)*MIN(J$3-$O$2,$Q$2)/$Q$2))</f>
        <v>3315.42651042082</v>
      </c>
      <c r="K629" s="15" t="n">
        <f aca="false">J629*(1+IF(K$3&lt;=$O$2,$D629,$D629-($D629-$I$616)*MIN(K$3-$O$2,$Q$2)/$Q$2))</f>
        <v>3490.32393593833</v>
      </c>
      <c r="L629" s="15" t="n">
        <f aca="false">K629*(1+IF(L$3&lt;=$O$2,$D629,$D629-($D629-$I$616)*MIN(L$3-$O$2,$Q$2)/$Q$2))</f>
        <v>3640.1812668094</v>
      </c>
      <c r="M629" s="15" t="n">
        <f aca="false">L629*(1+IF(M$3&lt;=$O$2,$D629,$D629-($D629-$I$616)*MIN(M$3-$O$2,$Q$2)/$Q$2))</f>
        <v>3760.73511210754</v>
      </c>
      <c r="N629" s="15" t="n">
        <f aca="false">M629*(1+IF(N$3&lt;=$O$2,$D629,$D629-($D629-$I$616)*MIN(N$3-$O$2,$Q$2)/$Q$2))</f>
        <v>3848.36024021965</v>
      </c>
      <c r="O629" s="15" t="n">
        <f aca="false">SUMPRODUCT(E629:N629,1/(1+$F$616)^$E$3:$N$3)*$E$2</f>
        <v>10238.1040583905</v>
      </c>
      <c r="P629" s="15" t="n">
        <f aca="false">N629*$E$2*(1+$I$616)/($F$616-$I$616)/(1+$F$616)^$N$3</f>
        <v>13637.8271378227</v>
      </c>
      <c r="Q629" s="15" t="n">
        <f aca="false">O629+P629</f>
        <v>23875.9311962132</v>
      </c>
      <c r="R629" s="15" t="n">
        <f aca="false">Q629-$G$2+$I$2</f>
        <v>25785.5911962132</v>
      </c>
      <c r="S629" s="42" t="n">
        <f aca="false">R629/$K$2</f>
        <v>110.18070844</v>
      </c>
      <c r="T629" s="43" t="n">
        <f aca="false">S629-$M$2</f>
        <v>0.19480919631323</v>
      </c>
    </row>
    <row r="630" customFormat="false" ht="15" hidden="false" customHeight="false" outlineLevel="0" collapsed="false">
      <c r="A630" s="5" t="n">
        <v>13</v>
      </c>
      <c r="B630" s="25" t="n">
        <f aca="false">IF(T629&gt;0,B629,D629)</f>
        <v>0.072021484375</v>
      </c>
      <c r="C630" s="25" t="n">
        <f aca="false">IF(T629&gt;0,D629,C629)</f>
        <v>0.0723876953125</v>
      </c>
      <c r="D630" s="41" t="n">
        <f aca="false">(B630+C630)/2</f>
        <v>0.07220458984375</v>
      </c>
      <c r="E630" s="15" t="n">
        <f aca="false">$C$2*(1+IF(E$3&lt;=$O$2,$D630,$D630-($D630-$I$616)*MIN(E$3-$O$2,$Q$2)/$Q$2))</f>
        <v>2358.85009765625</v>
      </c>
      <c r="F630" s="15" t="n">
        <f aca="false">E630*(1+IF(F$3&lt;=$O$2,$D630,$D630-($D630-$I$616)*MIN(F$3-$O$2,$Q$2)/$Q$2))</f>
        <v>2529.16990146041</v>
      </c>
      <c r="G630" s="15" t="n">
        <f aca="false">F630*(1+IF(G$3&lt;=$O$2,$D630,$D630-($D630-$I$616)*MIN(G$3-$O$2,$Q$2)/$Q$2))</f>
        <v>2711.78757684052</v>
      </c>
      <c r="H630" s="15" t="n">
        <f aca="false">G630*(1+IF(H$3&lt;=$O$2,$D630,$D630-($D630-$I$616)*MIN(H$3-$O$2,$Q$2)/$Q$2))</f>
        <v>2907.59108656966</v>
      </c>
      <c r="I630" s="15" t="n">
        <f aca="false">H630*(1+IF(I$3&lt;=$O$2,$D630,$D630-($D630-$I$616)*MIN(I$3-$O$2,$Q$2)/$Q$2))</f>
        <v>3117.53250840877</v>
      </c>
      <c r="J630" s="15" t="n">
        <f aca="false">I630*(1+IF(J$3&lt;=$O$2,$D630,$D630-($D630-$I$616)*MIN(J$3-$O$2,$Q$2)/$Q$2))</f>
        <v>3312.14033477332</v>
      </c>
      <c r="K630" s="15" t="n">
        <f aca="false">J630*(1+IF(K$3&lt;=$O$2,$D630,$D630-($D630-$I$616)*MIN(K$3-$O$2,$Q$2)/$Q$2))</f>
        <v>3486.50052331976</v>
      </c>
      <c r="L630" s="15" t="n">
        <f aca="false">K630*(1+IF(L$3&lt;=$O$2,$D630,$D630-($D630-$I$616)*MIN(L$3-$O$2,$Q$2)/$Q$2))</f>
        <v>3635.9383367463</v>
      </c>
      <c r="M630" s="15" t="n">
        <f aca="false">L630*(1+IF(M$3&lt;=$O$2,$D630,$D630-($D630-$I$616)*MIN(M$3-$O$2,$Q$2)/$Q$2))</f>
        <v>3756.21851460363</v>
      </c>
      <c r="N630" s="15" t="n">
        <f aca="false">M630*(1+IF(N$3&lt;=$O$2,$D630,$D630-($D630-$I$616)*MIN(N$3-$O$2,$Q$2)/$Q$2))</f>
        <v>3843.7384059939</v>
      </c>
      <c r="O630" s="15" t="n">
        <f aca="false">SUMPRODUCT(E630:N630,1/(1+$F$616)^$E$3:$N$3)*$E$2</f>
        <v>10229.9551587789</v>
      </c>
      <c r="P630" s="15" t="n">
        <f aca="false">N630*$E$2*(1+$I$616)/($F$616-$I$616)/(1+$F$616)^$N$3</f>
        <v>13621.4482719432</v>
      </c>
      <c r="Q630" s="15" t="n">
        <f aca="false">O630+P630</f>
        <v>23851.4034307221</v>
      </c>
      <c r="R630" s="15" t="n">
        <f aca="false">Q630-$G$2+$I$2</f>
        <v>25761.0634307221</v>
      </c>
      <c r="S630" s="42" t="n">
        <f aca="false">R630/$K$2</f>
        <v>110.07590236603</v>
      </c>
      <c r="T630" s="43" t="n">
        <f aca="false">S630-$M$2</f>
        <v>0.0900031223437452</v>
      </c>
    </row>
    <row r="631" customFormat="false" ht="15" hidden="false" customHeight="false" outlineLevel="0" collapsed="false">
      <c r="A631" s="5" t="n">
        <v>14</v>
      </c>
      <c r="B631" s="25" t="n">
        <f aca="false">IF(T630&gt;0,B630,D630)</f>
        <v>0.072021484375</v>
      </c>
      <c r="C631" s="25" t="n">
        <f aca="false">IF(T630&gt;0,D630,C630)</f>
        <v>0.07220458984375</v>
      </c>
      <c r="D631" s="41" t="n">
        <f aca="false">(B631+C631)/2</f>
        <v>0.072113037109375</v>
      </c>
      <c r="E631" s="15" t="n">
        <f aca="false">$C$2*(1+IF(E$3&lt;=$O$2,$D631,$D631-($D631-$I$616)*MIN(E$3-$O$2,$Q$2)/$Q$2))</f>
        <v>2358.64868164063</v>
      </c>
      <c r="F631" s="15" t="n">
        <f aca="false">E631*(1+IF(F$3&lt;=$O$2,$D631,$D631-($D631-$I$616)*MIN(F$3-$O$2,$Q$2)/$Q$2))</f>
        <v>2528.73800154775</v>
      </c>
      <c r="G631" s="15" t="n">
        <f aca="false">F631*(1+IF(G$3&lt;=$O$2,$D631,$D631-($D631-$I$616)*MIN(G$3-$O$2,$Q$2)/$Q$2))</f>
        <v>2711.09297889325</v>
      </c>
      <c r="H631" s="15" t="n">
        <f aca="false">G631*(1+IF(H$3&lt;=$O$2,$D631,$D631-($D631-$I$616)*MIN(H$3-$O$2,$Q$2)/$Q$2))</f>
        <v>2906.59812748715</v>
      </c>
      <c r="I631" s="15" t="n">
        <f aca="false">H631*(1+IF(I$3&lt;=$O$2,$D631,$D631-($D631-$I$616)*MIN(I$3-$O$2,$Q$2)/$Q$2))</f>
        <v>3116.20174611667</v>
      </c>
      <c r="J631" s="15" t="n">
        <f aca="false">I631*(1+IF(J$3&lt;=$O$2,$D631,$D631-($D631-$I$616)*MIN(J$3-$O$2,$Q$2)/$Q$2))</f>
        <v>3310.49826397998</v>
      </c>
      <c r="K631" s="15" t="n">
        <f aca="false">J631*(1+IF(K$3&lt;=$O$2,$D631,$D631-($D631-$I$616)*MIN(K$3-$O$2,$Q$2)/$Q$2))</f>
        <v>3484.59015829682</v>
      </c>
      <c r="L631" s="15" t="n">
        <f aca="false">K631*(1+IF(L$3&lt;=$O$2,$D631,$D631-($D631-$I$616)*MIN(L$3-$O$2,$Q$2)/$Q$2))</f>
        <v>3633.8184804683</v>
      </c>
      <c r="M631" s="15" t="n">
        <f aca="false">L631*(1+IF(M$3&lt;=$O$2,$D631,$D631-($D631-$I$616)*MIN(M$3-$O$2,$Q$2)/$Q$2))</f>
        <v>3753.96199433038</v>
      </c>
      <c r="N631" s="15" t="n">
        <f aca="false">M631*(1+IF(N$3&lt;=$O$2,$D631,$D631-($D631-$I$616)*MIN(N$3-$O$2,$Q$2)/$Q$2))</f>
        <v>3841.42930879827</v>
      </c>
      <c r="O631" s="15" t="n">
        <f aca="false">SUMPRODUCT(E631:N631,1/(1+$F$616)^$E$3:$N$3)*$E$2</f>
        <v>10225.8831455785</v>
      </c>
      <c r="P631" s="15" t="n">
        <f aca="false">N631*$E$2*(1+$I$616)/($F$616-$I$616)/(1+$F$616)^$N$3</f>
        <v>13613.2652884301</v>
      </c>
      <c r="Q631" s="15" t="n">
        <f aca="false">O631+P631</f>
        <v>23839.1484340086</v>
      </c>
      <c r="R631" s="15" t="n">
        <f aca="false">Q631-$G$2+$I$2</f>
        <v>25748.8084340086</v>
      </c>
      <c r="S631" s="42" t="n">
        <f aca="false">R631/$K$2</f>
        <v>110.023537298674</v>
      </c>
      <c r="T631" s="43" t="n">
        <f aca="false">S631-$M$2</f>
        <v>0.037638054986914</v>
      </c>
    </row>
    <row r="632" customFormat="false" ht="15" hidden="false" customHeight="false" outlineLevel="0" collapsed="false">
      <c r="A632" s="5" t="n">
        <v>15</v>
      </c>
      <c r="B632" s="25" t="n">
        <f aca="false">IF(T631&gt;0,B631,D631)</f>
        <v>0.072021484375</v>
      </c>
      <c r="C632" s="25" t="n">
        <f aca="false">IF(T631&gt;0,D631,C631)</f>
        <v>0.072113037109375</v>
      </c>
      <c r="D632" s="41" t="n">
        <f aca="false">(B632+C632)/2</f>
        <v>0.0720672607421875</v>
      </c>
      <c r="E632" s="15" t="n">
        <f aca="false">$C$2*(1+IF(E$3&lt;=$O$2,$D632,$D632-($D632-$I$616)*MIN(E$3-$O$2,$Q$2)/$Q$2))</f>
        <v>2358.54797363281</v>
      </c>
      <c r="F632" s="15" t="n">
        <f aca="false">E632*(1+IF(F$3&lt;=$O$2,$D632,$D632-($D632-$I$616)*MIN(F$3-$O$2,$Q$2)/$Q$2))</f>
        <v>2528.52206542157</v>
      </c>
      <c r="G632" s="15" t="n">
        <f aca="false">F632*(1+IF(G$3&lt;=$O$2,$D632,$D632-($D632-$I$616)*MIN(G$3-$O$2,$Q$2)/$Q$2))</f>
        <v>2710.74572440268</v>
      </c>
      <c r="H632" s="15" t="n">
        <f aca="false">G632*(1+IF(H$3&lt;=$O$2,$D632,$D632-($D632-$I$616)*MIN(H$3-$O$2,$Q$2)/$Q$2))</f>
        <v>2906.10174332897</v>
      </c>
      <c r="I632" s="15" t="n">
        <f aca="false">H632*(1+IF(I$3&lt;=$O$2,$D632,$D632-($D632-$I$616)*MIN(I$3-$O$2,$Q$2)/$Q$2))</f>
        <v>3115.53653540879</v>
      </c>
      <c r="J632" s="15" t="n">
        <f aca="false">I632*(1+IF(J$3&lt;=$O$2,$D632,$D632-($D632-$I$616)*MIN(J$3-$O$2,$Q$2)/$Q$2))</f>
        <v>3309.67748274309</v>
      </c>
      <c r="K632" s="15" t="n">
        <f aca="false">J632*(1+IF(K$3&lt;=$O$2,$D632,$D632-($D632-$I$616)*MIN(K$3-$O$2,$Q$2)/$Q$2))</f>
        <v>3483.63531095509</v>
      </c>
      <c r="L632" s="15" t="n">
        <f aca="false">K632*(1+IF(L$3&lt;=$O$2,$D632,$D632-($D632-$I$616)*MIN(L$3-$O$2,$Q$2)/$Q$2))</f>
        <v>3632.75895431636</v>
      </c>
      <c r="M632" s="15" t="n">
        <f aca="false">L632*(1+IF(M$3&lt;=$O$2,$D632,$D632-($D632-$I$616)*MIN(M$3-$O$2,$Q$2)/$Q$2))</f>
        <v>3752.83417857966</v>
      </c>
      <c r="N632" s="15" t="n">
        <f aca="false">M632*(1+IF(N$3&lt;=$O$2,$D632,$D632-($D632-$I$616)*MIN(N$3-$O$2,$Q$2)/$Q$2))</f>
        <v>3840.27521494057</v>
      </c>
      <c r="O632" s="15" t="n">
        <f aca="false">SUMPRODUCT(E632:N632,1/(1+$F$616)^$E$3:$N$3)*$E$2</f>
        <v>10223.8477478658</v>
      </c>
      <c r="P632" s="15" t="n">
        <f aca="false">N632*$E$2*(1+$I$616)/($F$616-$I$616)/(1+$F$616)^$N$3</f>
        <v>13609.1754081825</v>
      </c>
      <c r="Q632" s="15" t="n">
        <f aca="false">O632+P632</f>
        <v>23833.0231560483</v>
      </c>
      <c r="R632" s="15" t="n">
        <f aca="false">Q632-$G$2+$I$2</f>
        <v>25742.6831560483</v>
      </c>
      <c r="S632" s="42" t="n">
        <f aca="false">R632/$K$2</f>
        <v>109.997364252653</v>
      </c>
      <c r="T632" s="43" t="n">
        <f aca="false">S632-$M$2</f>
        <v>0.0114650089659563</v>
      </c>
    </row>
    <row r="633" customFormat="false" ht="15" hidden="false" customHeight="false" outlineLevel="0" collapsed="false">
      <c r="A633" s="5" t="n">
        <v>16</v>
      </c>
      <c r="B633" s="25" t="n">
        <f aca="false">IF(T632&gt;0,B632,D632)</f>
        <v>0.072021484375</v>
      </c>
      <c r="C633" s="25" t="n">
        <f aca="false">IF(T632&gt;0,D632,C632)</f>
        <v>0.0720672607421875</v>
      </c>
      <c r="D633" s="41" t="n">
        <f aca="false">(B633+C633)/2</f>
        <v>0.0720443725585938</v>
      </c>
      <c r="E633" s="15" t="n">
        <f aca="false">$C$2*(1+IF(E$3&lt;=$O$2,$D633,$D633-($D633-$I$616)*MIN(E$3-$O$2,$Q$2)/$Q$2))</f>
        <v>2358.49761962891</v>
      </c>
      <c r="F633" s="15" t="n">
        <f aca="false">E633*(1+IF(F$3&lt;=$O$2,$D633,$D633-($D633-$I$616)*MIN(F$3-$O$2,$Q$2)/$Q$2))</f>
        <v>2528.41410081601</v>
      </c>
      <c r="G633" s="15" t="n">
        <f aca="false">F633*(1+IF(G$3&lt;=$O$2,$D633,$D633-($D633-$I$616)*MIN(G$3-$O$2,$Q$2)/$Q$2))</f>
        <v>2710.5721082776</v>
      </c>
      <c r="H633" s="15" t="n">
        <f aca="false">G633*(1+IF(H$3&lt;=$O$2,$D633,$D633-($D633-$I$616)*MIN(H$3-$O$2,$Q$2)/$Q$2))</f>
        <v>2905.85357509328</v>
      </c>
      <c r="I633" s="15" t="n">
        <f aca="false">H633*(1+IF(I$3&lt;=$O$2,$D633,$D633-($D633-$I$616)*MIN(I$3-$O$2,$Q$2)/$Q$2))</f>
        <v>3115.20397265802</v>
      </c>
      <c r="J633" s="15" t="n">
        <f aca="false">I633*(1+IF(J$3&lt;=$O$2,$D633,$D633-($D633-$I$616)*MIN(J$3-$O$2,$Q$2)/$Q$2))</f>
        <v>3309.26715565236</v>
      </c>
      <c r="K633" s="15" t="n">
        <f aca="false">J633*(1+IF(K$3&lt;=$O$2,$D633,$D633-($D633-$I$616)*MIN(K$3-$O$2,$Q$2)/$Q$2))</f>
        <v>3483.15797105768</v>
      </c>
      <c r="L633" s="15" t="n">
        <f aca="false">K633*(1+IF(L$3&lt;=$O$2,$D633,$D633-($D633-$I$616)*MIN(L$3-$O$2,$Q$2)/$Q$2))</f>
        <v>3632.22929171199</v>
      </c>
      <c r="M633" s="15" t="n">
        <f aca="false">L633*(1+IF(M$3&lt;=$O$2,$D633,$D633-($D633-$I$616)*MIN(M$3-$O$2,$Q$2)/$Q$2))</f>
        <v>3752.27038177157</v>
      </c>
      <c r="N633" s="15" t="n">
        <f aca="false">M633*(1+IF(N$3&lt;=$O$2,$D633,$D633-($D633-$I$616)*MIN(N$3-$O$2,$Q$2)/$Q$2))</f>
        <v>3839.69828166685</v>
      </c>
      <c r="O633" s="15" t="n">
        <f aca="false">SUMPRODUCT(E633:N633,1/(1+$F$616)^$E$3:$N$3)*$E$2</f>
        <v>10222.8302011984</v>
      </c>
      <c r="P633" s="15" t="n">
        <f aca="false">N633*$E$2*(1+$I$616)/($F$616-$I$616)/(1+$F$616)^$N$3</f>
        <v>13607.13087083</v>
      </c>
      <c r="Q633" s="15" t="n">
        <f aca="false">O633+P633</f>
        <v>23829.9610720284</v>
      </c>
      <c r="R633" s="15" t="n">
        <f aca="false">Q633-$G$2+$I$2</f>
        <v>25739.6210720284</v>
      </c>
      <c r="S633" s="42" t="n">
        <f aca="false">R633/$K$2</f>
        <v>109.984280100963</v>
      </c>
      <c r="T633" s="43" t="n">
        <f aca="false">S633-$M$2</f>
        <v>-0.00161914272368335</v>
      </c>
    </row>
    <row r="634" customFormat="false" ht="15" hidden="false" customHeight="false" outlineLevel="0" collapsed="false">
      <c r="A634" s="5" t="n">
        <v>17</v>
      </c>
      <c r="B634" s="25" t="n">
        <f aca="false">IF(T633&gt;0,B633,D633)</f>
        <v>0.0720443725585938</v>
      </c>
      <c r="C634" s="25" t="n">
        <f aca="false">IF(T633&gt;0,D633,C633)</f>
        <v>0.0720672607421875</v>
      </c>
      <c r="D634" s="41" t="n">
        <f aca="false">(B634+C634)/2</f>
        <v>0.0720558166503906</v>
      </c>
      <c r="E634" s="15" t="n">
        <f aca="false">$C$2*(1+IF(E$3&lt;=$O$2,$D634,$D634-($D634-$I$616)*MIN(E$3-$O$2,$Q$2)/$Q$2))</f>
        <v>2358.52279663086</v>
      </c>
      <c r="F634" s="15" t="n">
        <f aca="false">E634*(1+IF(F$3&lt;=$O$2,$D634,$D634-($D634-$I$616)*MIN(F$3-$O$2,$Q$2)/$Q$2))</f>
        <v>2528.46808283066</v>
      </c>
      <c r="G634" s="15" t="n">
        <f aca="false">F634*(1+IF(G$3&lt;=$O$2,$D634,$D634-($D634-$I$616)*MIN(G$3-$O$2,$Q$2)/$Q$2))</f>
        <v>2710.65891541347</v>
      </c>
      <c r="H634" s="15" t="n">
        <f aca="false">G634*(1+IF(H$3&lt;=$O$2,$D634,$D634-($D634-$I$616)*MIN(H$3-$O$2,$Q$2)/$Q$2))</f>
        <v>2905.97765722425</v>
      </c>
      <c r="I634" s="15" t="n">
        <f aca="false">H634*(1+IF(I$3&lt;=$O$2,$D634,$D634-($D634-$I$616)*MIN(I$3-$O$2,$Q$2)/$Q$2))</f>
        <v>3115.37025048333</v>
      </c>
      <c r="J634" s="15" t="n">
        <f aca="false">I634*(1+IF(J$3&lt;=$O$2,$D634,$D634-($D634-$I$616)*MIN(J$3-$O$2,$Q$2)/$Q$2))</f>
        <v>3309.47231390411</v>
      </c>
      <c r="K634" s="15" t="n">
        <f aca="false">J634*(1+IF(K$3&lt;=$O$2,$D634,$D634-($D634-$I$616)*MIN(K$3-$O$2,$Q$2)/$Q$2))</f>
        <v>3483.39663402583</v>
      </c>
      <c r="L634" s="15" t="n">
        <f aca="false">K634*(1+IF(L$3&lt;=$O$2,$D634,$D634-($D634-$I$616)*MIN(L$3-$O$2,$Q$2)/$Q$2))</f>
        <v>3632.49411464229</v>
      </c>
      <c r="M634" s="15" t="n">
        <f aca="false">L634*(1+IF(M$3&lt;=$O$2,$D634,$D634-($D634-$I$616)*MIN(M$3-$O$2,$Q$2)/$Q$2))</f>
        <v>3752.55227092088</v>
      </c>
      <c r="N634" s="15" t="n">
        <f aca="false">M634*(1+IF(N$3&lt;=$O$2,$D634,$D634-($D634-$I$616)*MIN(N$3-$O$2,$Q$2)/$Q$2))</f>
        <v>3839.98673883334</v>
      </c>
      <c r="O634" s="15" t="n">
        <f aca="false">SUMPRODUCT(E634:N634,1/(1+$F$616)^$E$3:$N$3)*$E$2</f>
        <v>10223.3389618507</v>
      </c>
      <c r="P634" s="15" t="n">
        <f aca="false">N634*$E$2*(1+$I$616)/($F$616-$I$616)/(1+$F$616)^$N$3</f>
        <v>13608.1531059451</v>
      </c>
      <c r="Q634" s="15" t="n">
        <f aca="false">O634+P634</f>
        <v>23831.4920677958</v>
      </c>
      <c r="R634" s="15" t="n">
        <f aca="false">Q634-$G$2+$I$2</f>
        <v>25741.1520677958</v>
      </c>
      <c r="S634" s="42" t="n">
        <f aca="false">R634/$K$2</f>
        <v>109.990821979215</v>
      </c>
      <c r="T634" s="43" t="n">
        <f aca="false">S634-$M$2</f>
        <v>0.00492273552872291</v>
      </c>
    </row>
    <row r="635" customFormat="false" ht="15" hidden="false" customHeight="false" outlineLevel="0" collapsed="false">
      <c r="A635" s="5" t="n">
        <v>18</v>
      </c>
      <c r="B635" s="25" t="n">
        <f aca="false">IF(T634&gt;0,B634,D634)</f>
        <v>0.0720443725585938</v>
      </c>
      <c r="C635" s="25" t="n">
        <f aca="false">IF(T634&gt;0,D634,C634)</f>
        <v>0.0720558166503906</v>
      </c>
      <c r="D635" s="41" t="n">
        <f aca="false">(B635+C635)/2</f>
        <v>0.0720500946044922</v>
      </c>
      <c r="E635" s="15" t="n">
        <f aca="false">$C$2*(1+IF(E$3&lt;=$O$2,$D635,$D635-($D635-$I$616)*MIN(E$3-$O$2,$Q$2)/$Q$2))</f>
        <v>2358.51020812988</v>
      </c>
      <c r="F635" s="15" t="n">
        <f aca="false">E635*(1+IF(F$3&lt;=$O$2,$D635,$D635-($D635-$I$616)*MIN(F$3-$O$2,$Q$2)/$Q$2))</f>
        <v>2528.4410917513</v>
      </c>
      <c r="G635" s="15" t="n">
        <f aca="false">F635*(1+IF(G$3&lt;=$O$2,$D635,$D635-($D635-$I$616)*MIN(G$3-$O$2,$Q$2)/$Q$2))</f>
        <v>2710.61551161387</v>
      </c>
      <c r="H635" s="15" t="n">
        <f aca="false">G635*(1+IF(H$3&lt;=$O$2,$D635,$D635-($D635-$I$616)*MIN(H$3-$O$2,$Q$2)/$Q$2))</f>
        <v>2905.91561566205</v>
      </c>
      <c r="I635" s="15" t="n">
        <f aca="false">H635*(1+IF(I$3&lt;=$O$2,$D635,$D635-($D635-$I$616)*MIN(I$3-$O$2,$Q$2)/$Q$2))</f>
        <v>3115.28711068317</v>
      </c>
      <c r="J635" s="15" t="n">
        <f aca="false">I635*(1+IF(J$3&lt;=$O$2,$D635,$D635-($D635-$I$616)*MIN(J$3-$O$2,$Q$2)/$Q$2))</f>
        <v>3309.36973345486</v>
      </c>
      <c r="K635" s="15" t="n">
        <f aca="false">J635*(1+IF(K$3&lt;=$O$2,$D635,$D635-($D635-$I$616)*MIN(K$3-$O$2,$Q$2)/$Q$2))</f>
        <v>3483.27730079666</v>
      </c>
      <c r="L635" s="15" t="n">
        <f aca="false">K635*(1+IF(L$3&lt;=$O$2,$D635,$D635-($D635-$I$616)*MIN(L$3-$O$2,$Q$2)/$Q$2))</f>
        <v>3632.36170108423</v>
      </c>
      <c r="M635" s="15" t="n">
        <f aca="false">L635*(1+IF(M$3&lt;=$O$2,$D635,$D635-($D635-$I$616)*MIN(M$3-$O$2,$Q$2)/$Q$2))</f>
        <v>3752.41132403261</v>
      </c>
      <c r="N635" s="15" t="n">
        <f aca="false">M635*(1+IF(N$3&lt;=$O$2,$D635,$D635-($D635-$I$616)*MIN(N$3-$O$2,$Q$2)/$Q$2))</f>
        <v>3839.84250788257</v>
      </c>
      <c r="O635" s="15" t="n">
        <f aca="false">SUMPRODUCT(E635:N635,1/(1+$F$616)^$E$3:$N$3)*$E$2</f>
        <v>10223.0845783543</v>
      </c>
      <c r="P635" s="15" t="n">
        <f aca="false">N635*$E$2*(1+$I$616)/($F$616-$I$616)/(1+$F$616)^$N$3</f>
        <v>13607.6419799975</v>
      </c>
      <c r="Q635" s="15" t="n">
        <f aca="false">O635+P635</f>
        <v>23830.7265583518</v>
      </c>
      <c r="R635" s="15" t="n">
        <f aca="false">Q635-$G$2+$I$2</f>
        <v>25740.3865583518</v>
      </c>
      <c r="S635" s="42" t="n">
        <f aca="false">R635/$K$2</f>
        <v>109.987550990692</v>
      </c>
      <c r="T635" s="43" t="n">
        <f aca="false">S635-$M$2</f>
        <v>0.001651747005738</v>
      </c>
    </row>
    <row r="636" customFormat="false" ht="15" hidden="false" customHeight="false" outlineLevel="0" collapsed="false">
      <c r="A636" s="5" t="n">
        <v>19</v>
      </c>
      <c r="B636" s="25" t="n">
        <f aca="false">IF(T635&gt;0,B635,D635)</f>
        <v>0.0720443725585938</v>
      </c>
      <c r="C636" s="25" t="n">
        <f aca="false">IF(T635&gt;0,D635,C635)</f>
        <v>0.0720500946044922</v>
      </c>
      <c r="D636" s="41" t="n">
        <f aca="false">(B636+C636)/2</f>
        <v>0.072047233581543</v>
      </c>
      <c r="E636" s="15" t="n">
        <f aca="false">$C$2*(1+IF(E$3&lt;=$O$2,$D636,$D636-($D636-$I$616)*MIN(E$3-$O$2,$Q$2)/$Q$2))</f>
        <v>2358.50391387939</v>
      </c>
      <c r="F636" s="15" t="n">
        <f aca="false">E636*(1+IF(F$3&lt;=$O$2,$D636,$D636-($D636-$I$616)*MIN(F$3-$O$2,$Q$2)/$Q$2))</f>
        <v>2528.42759626565</v>
      </c>
      <c r="G636" s="15" t="n">
        <f aca="false">F636*(1+IF(G$3&lt;=$O$2,$D636,$D636-($D636-$I$616)*MIN(G$3-$O$2,$Q$2)/$Q$2))</f>
        <v>2710.59380988782</v>
      </c>
      <c r="H636" s="15" t="n">
        <f aca="false">G636*(1+IF(H$3&lt;=$O$2,$D636,$D636-($D636-$I$616)*MIN(H$3-$O$2,$Q$2)/$Q$2))</f>
        <v>2905.88459525349</v>
      </c>
      <c r="I636" s="15" t="n">
        <f aca="false">H636*(1+IF(I$3&lt;=$O$2,$D636,$D636-($D636-$I$616)*MIN(I$3-$O$2,$Q$2)/$Q$2))</f>
        <v>3115.24554144872</v>
      </c>
      <c r="J636" s="15" t="n">
        <f aca="false">I636*(1+IF(J$3&lt;=$O$2,$D636,$D636-($D636-$I$616)*MIN(J$3-$O$2,$Q$2)/$Q$2))</f>
        <v>3309.31844422277</v>
      </c>
      <c r="K636" s="15" t="n">
        <f aca="false">J636*(1+IF(K$3&lt;=$O$2,$D636,$D636-($D636-$I$616)*MIN(K$3-$O$2,$Q$2)/$Q$2))</f>
        <v>3483.2176354909</v>
      </c>
      <c r="L636" s="15" t="n">
        <f aca="false">K636*(1+IF(L$3&lt;=$O$2,$D636,$D636-($D636-$I$616)*MIN(L$3-$O$2,$Q$2)/$Q$2))</f>
        <v>3632.29549587489</v>
      </c>
      <c r="M636" s="15" t="n">
        <f aca="false">L636*(1+IF(M$3&lt;=$O$2,$D636,$D636-($D636-$I$616)*MIN(M$3-$O$2,$Q$2)/$Q$2))</f>
        <v>3752.34085232369</v>
      </c>
      <c r="N636" s="15" t="n">
        <f aca="false">M636*(1+IF(N$3&lt;=$O$2,$D636,$D636-($D636-$I$616)*MIN(N$3-$O$2,$Q$2)/$Q$2))</f>
        <v>3839.77039418283</v>
      </c>
      <c r="O636" s="15" t="n">
        <f aca="false">SUMPRODUCT(E636:N636,1/(1+$F$616)^$E$3:$N$3)*$E$2</f>
        <v>10222.9573889838</v>
      </c>
      <c r="P636" s="15" t="n">
        <f aca="false">N636*$E$2*(1+$I$616)/($F$616-$I$616)/(1+$F$616)^$N$3</f>
        <v>13607.3864233162</v>
      </c>
      <c r="Q636" s="15" t="n">
        <f aca="false">O636+P636</f>
        <v>23830.3438123</v>
      </c>
      <c r="R636" s="15" t="n">
        <f aca="false">Q636-$G$2+$I$2</f>
        <v>25740.0038123</v>
      </c>
      <c r="S636" s="42" t="n">
        <f aca="false">R636/$K$2</f>
        <v>109.985915533479</v>
      </c>
      <c r="T636" s="43" t="n">
        <f aca="false">S636-$M$2</f>
        <v>1.62897919580018E-005</v>
      </c>
    </row>
    <row r="637" customFormat="false" ht="15" hidden="false" customHeight="false" outlineLevel="0" collapsed="false">
      <c r="A637" s="5" t="n">
        <v>20</v>
      </c>
      <c r="B637" s="25" t="n">
        <f aca="false">IF(T636&gt;0,B636,D636)</f>
        <v>0.0720443725585938</v>
      </c>
      <c r="C637" s="25" t="n">
        <f aca="false">IF(T636&gt;0,D636,C636)</f>
        <v>0.072047233581543</v>
      </c>
      <c r="D637" s="41" t="n">
        <f aca="false">(B637+C637)/2</f>
        <v>0.0720458030700684</v>
      </c>
      <c r="E637" s="15" t="n">
        <f aca="false">$C$2*(1+IF(E$3&lt;=$O$2,$D637,$D637-($D637-$I$616)*MIN(E$3-$O$2,$Q$2)/$Q$2))</f>
        <v>2358.50076675415</v>
      </c>
      <c r="F637" s="15" t="n">
        <f aca="false">E637*(1+IF(F$3&lt;=$O$2,$D637,$D637-($D637-$I$616)*MIN(F$3-$O$2,$Q$2)/$Q$2))</f>
        <v>2528.42084853633</v>
      </c>
      <c r="G637" s="15" t="n">
        <f aca="false">F637*(1+IF(G$3&lt;=$O$2,$D637,$D637-($D637-$I$616)*MIN(G$3-$O$2,$Q$2)/$Q$2))</f>
        <v>2710.58295906823</v>
      </c>
      <c r="H637" s="15" t="n">
        <f aca="false">G637*(1+IF(H$3&lt;=$O$2,$D637,$D637-($D637-$I$616)*MIN(H$3-$O$2,$Q$2)/$Q$2))</f>
        <v>2905.86908514234</v>
      </c>
      <c r="I637" s="15" t="n">
        <f aca="false">H637*(1+IF(I$3&lt;=$O$2,$D637,$D637-($D637-$I$616)*MIN(I$3-$O$2,$Q$2)/$Q$2))</f>
        <v>3115.22475699791</v>
      </c>
      <c r="J637" s="15" t="n">
        <f aca="false">I637*(1+IF(J$3&lt;=$O$2,$D637,$D637-($D637-$I$616)*MIN(J$3-$O$2,$Q$2)/$Q$2))</f>
        <v>3309.29279985485</v>
      </c>
      <c r="K637" s="15" t="n">
        <f aca="false">J637*(1+IF(K$3&lt;=$O$2,$D637,$D637-($D637-$I$616)*MIN(K$3-$O$2,$Q$2)/$Q$2))</f>
        <v>3483.18780316522</v>
      </c>
      <c r="L637" s="15" t="n">
        <f aca="false">K637*(1+IF(L$3&lt;=$O$2,$D637,$D637-($D637-$I$616)*MIN(L$3-$O$2,$Q$2)/$Q$2))</f>
        <v>3632.26239366264</v>
      </c>
      <c r="M637" s="15" t="n">
        <f aca="false">L637*(1+IF(M$3&lt;=$O$2,$D637,$D637-($D637-$I$616)*MIN(M$3-$O$2,$Q$2)/$Q$2))</f>
        <v>3752.30561690304</v>
      </c>
      <c r="N637" s="15" t="n">
        <f aca="false">M637*(1+IF(N$3&lt;=$O$2,$D637,$D637-($D637-$I$616)*MIN(N$3-$O$2,$Q$2)/$Q$2))</f>
        <v>3839.73433777688</v>
      </c>
      <c r="O637" s="15" t="n">
        <f aca="false">SUMPRODUCT(E637:N637,1/(1+$F$616)^$E$3:$N$3)*$E$2</f>
        <v>10222.893794893</v>
      </c>
      <c r="P637" s="15" t="n">
        <f aca="false">N637*$E$2*(1+$I$616)/($F$616-$I$616)/(1+$F$616)^$N$3</f>
        <v>13607.2586465487</v>
      </c>
      <c r="Q637" s="15" t="n">
        <f aca="false">O637+P637</f>
        <v>23830.1524414417</v>
      </c>
      <c r="R637" s="15" t="n">
        <f aca="false">Q637-$G$2+$I$2</f>
        <v>25739.8124414417</v>
      </c>
      <c r="S637" s="42" t="n">
        <f aca="false">R637/$K$2</f>
        <v>109.985097814134</v>
      </c>
      <c r="T637" s="43" t="n">
        <f aca="false">S637-$M$2</f>
        <v>-0.000801429553078492</v>
      </c>
    </row>
    <row r="638" customFormat="false" ht="15" hidden="false" customHeight="false" outlineLevel="0" collapsed="false">
      <c r="A638" s="5" t="n">
        <v>21</v>
      </c>
      <c r="B638" s="25" t="n">
        <f aca="false">IF(T637&gt;0,B637,D637)</f>
        <v>0.0720458030700684</v>
      </c>
      <c r="C638" s="25" t="n">
        <f aca="false">IF(T637&gt;0,D637,C637)</f>
        <v>0.072047233581543</v>
      </c>
      <c r="D638" s="41" t="n">
        <f aca="false">(B638+C638)/2</f>
        <v>0.0720465183258057</v>
      </c>
      <c r="E638" s="15" t="n">
        <f aca="false">$C$2*(1+IF(E$3&lt;=$O$2,$D638,$D638-($D638-$I$616)*MIN(E$3-$O$2,$Q$2)/$Q$2))</f>
        <v>2358.50234031677</v>
      </c>
      <c r="F638" s="15" t="n">
        <f aca="false">E638*(1+IF(F$3&lt;=$O$2,$D638,$D638-($D638-$I$616)*MIN(F$3-$O$2,$Q$2)/$Q$2))</f>
        <v>2528.42422239986</v>
      </c>
      <c r="G638" s="15" t="n">
        <f aca="false">F638*(1+IF(G$3&lt;=$O$2,$D638,$D638-($D638-$I$616)*MIN(G$3-$O$2,$Q$2)/$Q$2))</f>
        <v>2710.5883844744</v>
      </c>
      <c r="H638" s="15" t="n">
        <f aca="false">G638*(1+IF(H$3&lt;=$O$2,$D638,$D638-($D638-$I$616)*MIN(H$3-$O$2,$Q$2)/$Q$2))</f>
        <v>2905.87684019015</v>
      </c>
      <c r="I638" s="15" t="n">
        <f aca="false">H638*(1+IF(I$3&lt;=$O$2,$D638,$D638-($D638-$I$616)*MIN(I$3-$O$2,$Q$2)/$Q$2))</f>
        <v>3115.23514920945</v>
      </c>
      <c r="J638" s="15" t="n">
        <f aca="false">I638*(1+IF(J$3&lt;=$O$2,$D638,$D638-($D638-$I$616)*MIN(J$3-$O$2,$Q$2)/$Q$2))</f>
        <v>3309.30562201813</v>
      </c>
      <c r="K638" s="15" t="n">
        <f aca="false">J638*(1+IF(K$3&lt;=$O$2,$D638,$D638-($D638-$I$616)*MIN(K$3-$O$2,$Q$2)/$Q$2))</f>
        <v>3483.2027193008</v>
      </c>
      <c r="L638" s="15" t="n">
        <f aca="false">K638*(1+IF(L$3&lt;=$O$2,$D638,$D638-($D638-$I$616)*MIN(L$3-$O$2,$Q$2)/$Q$2))</f>
        <v>3632.27894473606</v>
      </c>
      <c r="M638" s="15" t="n">
        <f aca="false">L638*(1+IF(M$3&lt;=$O$2,$D638,$D638-($D638-$I$616)*MIN(M$3-$O$2,$Q$2)/$Q$2))</f>
        <v>3752.32323457721</v>
      </c>
      <c r="N638" s="15" t="n">
        <f aca="false">M638*(1+IF(N$3&lt;=$O$2,$D638,$D638-($D638-$I$616)*MIN(N$3-$O$2,$Q$2)/$Q$2))</f>
        <v>3839.75236594286</v>
      </c>
      <c r="O638" s="15" t="n">
        <f aca="false">SUMPRODUCT(E638:N638,1/(1+$F$616)^$E$3:$N$3)*$E$2</f>
        <v>10222.9255918888</v>
      </c>
      <c r="P638" s="15" t="n">
        <f aca="false">N638*$E$2*(1+$I$616)/($F$616-$I$616)/(1+$F$616)^$N$3</f>
        <v>13607.3225348014</v>
      </c>
      <c r="Q638" s="15" t="n">
        <f aca="false">O638+P638</f>
        <v>23830.2481266902</v>
      </c>
      <c r="R638" s="15" t="n">
        <f aca="false">Q638-$G$2+$I$2</f>
        <v>25739.9081266902</v>
      </c>
      <c r="S638" s="42" t="n">
        <f aca="false">R638/$K$2</f>
        <v>109.985506673034</v>
      </c>
      <c r="T638" s="43" t="n">
        <f aca="false">S638-$M$2</f>
        <v>-0.000392570652365976</v>
      </c>
    </row>
    <row r="639" customFormat="false" ht="15" hidden="false" customHeight="false" outlineLevel="0" collapsed="false">
      <c r="A639" s="5" t="n">
        <v>22</v>
      </c>
      <c r="B639" s="25" t="n">
        <f aca="false">IF(T638&gt;0,B638,D638)</f>
        <v>0.0720465183258057</v>
      </c>
      <c r="C639" s="25" t="n">
        <f aca="false">IF(T638&gt;0,D638,C638)</f>
        <v>0.072047233581543</v>
      </c>
      <c r="D639" s="41" t="n">
        <f aca="false">(B639+C639)/2</f>
        <v>0.0720468759536743</v>
      </c>
      <c r="E639" s="15" t="n">
        <f aca="false">$C$2*(1+IF(E$3&lt;=$O$2,$D639,$D639-($D639-$I$616)*MIN(E$3-$O$2,$Q$2)/$Q$2))</f>
        <v>2358.50312709808</v>
      </c>
      <c r="F639" s="15" t="n">
        <f aca="false">E639*(1+IF(F$3&lt;=$O$2,$D639,$D639-($D639-$I$616)*MIN(F$3-$O$2,$Q$2)/$Q$2))</f>
        <v>2528.42590933247</v>
      </c>
      <c r="G639" s="15" t="n">
        <f aca="false">F639*(1+IF(G$3&lt;=$O$2,$D639,$D639-($D639-$I$616)*MIN(G$3-$O$2,$Q$2)/$Q$2))</f>
        <v>2710.59109718021</v>
      </c>
      <c r="H639" s="15" t="n">
        <f aca="false">G639*(1+IF(H$3&lt;=$O$2,$D639,$D639-($D639-$I$616)*MIN(H$3-$O$2,$Q$2)/$Q$2))</f>
        <v>2905.88071771988</v>
      </c>
      <c r="I639" s="15" t="n">
        <f aca="false">H639*(1+IF(I$3&lt;=$O$2,$D639,$D639-($D639-$I$616)*MIN(I$3-$O$2,$Q$2)/$Q$2))</f>
        <v>3115.24034532562</v>
      </c>
      <c r="J639" s="15" t="n">
        <f aca="false">I639*(1+IF(J$3&lt;=$O$2,$D639,$D639-($D639-$I$616)*MIN(J$3-$O$2,$Q$2)/$Q$2))</f>
        <v>3309.31203311528</v>
      </c>
      <c r="K639" s="15" t="n">
        <f aca="false">J639*(1+IF(K$3&lt;=$O$2,$D639,$D639-($D639-$I$616)*MIN(K$3-$O$2,$Q$2)/$Q$2))</f>
        <v>3483.21017738903</v>
      </c>
      <c r="L639" s="15" t="n">
        <f aca="false">K639*(1+IF(L$3&lt;=$O$2,$D639,$D639-($D639-$I$616)*MIN(L$3-$O$2,$Q$2)/$Q$2))</f>
        <v>3632.2872202973</v>
      </c>
      <c r="M639" s="15" t="n">
        <f aca="false">L639*(1+IF(M$3&lt;=$O$2,$D639,$D639-($D639-$I$616)*MIN(M$3-$O$2,$Q$2)/$Q$2))</f>
        <v>3752.33204344142</v>
      </c>
      <c r="N639" s="15" t="n">
        <f aca="false">M639*(1+IF(N$3&lt;=$O$2,$D639,$D639-($D639-$I$616)*MIN(N$3-$O$2,$Q$2)/$Q$2))</f>
        <v>3839.7613800536</v>
      </c>
      <c r="O639" s="15" t="n">
        <f aca="false">SUMPRODUCT(E639:N639,1/(1+$F$616)^$E$3:$N$3)*$E$2</f>
        <v>10222.9414904239</v>
      </c>
      <c r="P639" s="15" t="n">
        <f aca="false">N639*$E$2*(1+$I$616)/($F$616-$I$616)/(1+$F$616)^$N$3</f>
        <v>13607.354479026</v>
      </c>
      <c r="Q639" s="15" t="n">
        <f aca="false">O639+P639</f>
        <v>23830.29596945</v>
      </c>
      <c r="R639" s="15" t="n">
        <f aca="false">Q639-$G$2+$I$2</f>
        <v>25739.95596945</v>
      </c>
      <c r="S639" s="42" t="n">
        <f aca="false">R639/$K$2</f>
        <v>109.985711103064</v>
      </c>
      <c r="T639" s="43" t="n">
        <f aca="false">S639-$M$2</f>
        <v>-0.000188140623137656</v>
      </c>
    </row>
    <row r="640" customFormat="false" ht="15" hidden="false" customHeight="false" outlineLevel="0" collapsed="false">
      <c r="A640" s="5" t="n">
        <v>23</v>
      </c>
      <c r="B640" s="25" t="n">
        <f aca="false">IF(T639&gt;0,B639,D639)</f>
        <v>0.0720468759536743</v>
      </c>
      <c r="C640" s="25" t="n">
        <f aca="false">IF(T639&gt;0,D639,C639)</f>
        <v>0.072047233581543</v>
      </c>
      <c r="D640" s="41" t="n">
        <f aca="false">(B640+C640)/2</f>
        <v>0.0720470547676086</v>
      </c>
      <c r="E640" s="15" t="n">
        <f aca="false">$C$2*(1+IF(E$3&lt;=$O$2,$D640,$D640-($D640-$I$616)*MIN(E$3-$O$2,$Q$2)/$Q$2))</f>
        <v>2358.50352048874</v>
      </c>
      <c r="F640" s="15" t="n">
        <f aca="false">E640*(1+IF(F$3&lt;=$O$2,$D640,$D640-($D640-$I$616)*MIN(F$3-$O$2,$Q$2)/$Q$2))</f>
        <v>2528.42675279899</v>
      </c>
      <c r="G640" s="15" t="n">
        <f aca="false">F640*(1+IF(G$3&lt;=$O$2,$D640,$D640-($D640-$I$616)*MIN(G$3-$O$2,$Q$2)/$Q$2))</f>
        <v>2710.59245353379</v>
      </c>
      <c r="H640" s="15" t="n">
        <f aca="false">G640*(1+IF(H$3&lt;=$O$2,$D640,$D640-($D640-$I$616)*MIN(H$3-$O$2,$Q$2)/$Q$2))</f>
        <v>2905.8826564862</v>
      </c>
      <c r="I640" s="15" t="n">
        <f aca="false">H640*(1+IF(I$3&lt;=$O$2,$D640,$D640-($D640-$I$616)*MIN(I$3-$O$2,$Q$2)/$Q$2))</f>
        <v>3115.24294338631</v>
      </c>
      <c r="J640" s="15" t="n">
        <f aca="false">I640*(1+IF(J$3&lt;=$O$2,$D640,$D640-($D640-$I$616)*MIN(J$3-$O$2,$Q$2)/$Q$2))</f>
        <v>3309.31523866773</v>
      </c>
      <c r="K640" s="15" t="n">
        <f aca="false">J640*(1+IF(K$3&lt;=$O$2,$D640,$D640-($D640-$I$616)*MIN(K$3-$O$2,$Q$2)/$Q$2))</f>
        <v>3483.21390643826</v>
      </c>
      <c r="L640" s="15" t="n">
        <f aca="false">K640*(1+IF(L$3&lt;=$O$2,$D640,$D640-($D640-$I$616)*MIN(L$3-$O$2,$Q$2)/$Q$2))</f>
        <v>3632.29135808405</v>
      </c>
      <c r="M640" s="15" t="n">
        <f aca="false">L640*(1+IF(M$3&lt;=$O$2,$D640,$D640-($D640-$I$616)*MIN(M$3-$O$2,$Q$2)/$Q$2))</f>
        <v>3752.3364478803</v>
      </c>
      <c r="N640" s="15" t="n">
        <f aca="false">M640*(1+IF(N$3&lt;=$O$2,$D640,$D640-($D640-$I$616)*MIN(N$3-$O$2,$Q$2)/$Q$2))</f>
        <v>3839.76588711591</v>
      </c>
      <c r="O640" s="15" t="n">
        <f aca="false">SUMPRODUCT(E640:N640,1/(1+$F$616)^$E$3:$N$3)*$E$2</f>
        <v>10222.9494397008</v>
      </c>
      <c r="P640" s="15" t="n">
        <f aca="false">N640*$E$2*(1+$I$616)/($F$616-$I$616)/(1+$F$616)^$N$3</f>
        <v>13607.3704511629</v>
      </c>
      <c r="Q640" s="15" t="n">
        <f aca="false">O640+P640</f>
        <v>23830.3198908637</v>
      </c>
      <c r="R640" s="15" t="n">
        <f aca="false">Q640-$G$2+$I$2</f>
        <v>25739.9798908637</v>
      </c>
      <c r="S640" s="42" t="n">
        <f aca="false">R640/$K$2</f>
        <v>109.985813318223</v>
      </c>
      <c r="T640" s="43" t="n">
        <f aca="false">S640-$M$2</f>
        <v>-8.59254638356788E-005</v>
      </c>
    </row>
    <row r="641" customFormat="false" ht="15" hidden="false" customHeight="false" outlineLevel="0" collapsed="false">
      <c r="A641" s="5" t="n">
        <v>24</v>
      </c>
      <c r="B641" s="25" t="n">
        <f aca="false">IF(T640&gt;0,B640,D640)</f>
        <v>0.0720470547676086</v>
      </c>
      <c r="C641" s="25" t="n">
        <f aca="false">IF(T640&gt;0,D640,C640)</f>
        <v>0.072047233581543</v>
      </c>
      <c r="D641" s="41" t="n">
        <f aca="false">(B641+C641)/2</f>
        <v>0.0720471441745758</v>
      </c>
      <c r="E641" s="15" t="n">
        <f aca="false">$C$2*(1+IF(E$3&lt;=$O$2,$D641,$D641-($D641-$I$616)*MIN(E$3-$O$2,$Q$2)/$Q$2))</f>
        <v>2358.50371718407</v>
      </c>
      <c r="F641" s="15" t="n">
        <f aca="false">E641*(1+IF(F$3&lt;=$O$2,$D641,$D641-($D641-$I$616)*MIN(F$3-$O$2,$Q$2)/$Q$2))</f>
        <v>2528.4271745323</v>
      </c>
      <c r="G641" s="15" t="n">
        <f aca="false">F641*(1+IF(G$3&lt;=$O$2,$D641,$D641-($D641-$I$616)*MIN(G$3-$O$2,$Q$2)/$Q$2))</f>
        <v>2710.59313171074</v>
      </c>
      <c r="H641" s="15" t="n">
        <f aca="false">G641*(1+IF(H$3&lt;=$O$2,$D641,$D641-($D641-$I$616)*MIN(H$3-$O$2,$Q$2)/$Q$2))</f>
        <v>2905.88362586972</v>
      </c>
      <c r="I641" s="15" t="n">
        <f aca="false">H641*(1+IF(I$3&lt;=$O$2,$D641,$D641-($D641-$I$616)*MIN(I$3-$O$2,$Q$2)/$Q$2))</f>
        <v>3115.2442424173</v>
      </c>
      <c r="J641" s="15" t="n">
        <f aca="false">I641*(1+IF(J$3&lt;=$O$2,$D641,$D641-($D641-$I$616)*MIN(J$3-$O$2,$Q$2)/$Q$2))</f>
        <v>3309.31684144493</v>
      </c>
      <c r="K641" s="15" t="n">
        <f aca="false">J641*(1+IF(K$3&lt;=$O$2,$D641,$D641-($D641-$I$616)*MIN(K$3-$O$2,$Q$2)/$Q$2))</f>
        <v>3483.21577096416</v>
      </c>
      <c r="L641" s="15" t="n">
        <f aca="false">K641*(1+IF(L$3&lt;=$O$2,$D641,$D641-($D641-$I$616)*MIN(L$3-$O$2,$Q$2)/$Q$2))</f>
        <v>3632.29342697896</v>
      </c>
      <c r="M641" s="15" t="n">
        <f aca="false">L641*(1+IF(M$3&lt;=$O$2,$D641,$D641-($D641-$I$616)*MIN(M$3-$O$2,$Q$2)/$Q$2))</f>
        <v>3752.33865010143</v>
      </c>
      <c r="N641" s="15" t="n">
        <f aca="false">M641*(1+IF(N$3&lt;=$O$2,$D641,$D641-($D641-$I$616)*MIN(N$3-$O$2,$Q$2)/$Q$2))</f>
        <v>3839.76814064879</v>
      </c>
      <c r="O641" s="15" t="n">
        <f aca="false">SUMPRODUCT(E641:N641,1/(1+$F$616)^$E$3:$N$3)*$E$2</f>
        <v>10222.9534143415</v>
      </c>
      <c r="P641" s="15" t="n">
        <f aca="false">N641*$E$2*(1+$I$616)/($F$616-$I$616)/(1+$F$616)^$N$3</f>
        <v>13607.3784372375</v>
      </c>
      <c r="Q641" s="15" t="n">
        <f aca="false">O641+P641</f>
        <v>23830.331851579</v>
      </c>
      <c r="R641" s="15" t="n">
        <f aca="false">Q641-$G$2+$I$2</f>
        <v>25739.991851579</v>
      </c>
      <c r="S641" s="42" t="n">
        <f aca="false">R641/$K$2</f>
        <v>109.985864425839</v>
      </c>
      <c r="T641" s="43" t="n">
        <f aca="false">S641-$M$2</f>
        <v>-3.48178479612216E-005</v>
      </c>
    </row>
    <row r="643" customFormat="false" ht="15" hidden="false" customHeight="false" outlineLevel="0" collapsed="false">
      <c r="A643" s="38" t="s">
        <v>210</v>
      </c>
      <c r="E643" s="5" t="s">
        <v>11</v>
      </c>
      <c r="F643" s="12" t="n">
        <f aca="false">Sensitivity!$B$14</f>
        <v>0.0877967762761046</v>
      </c>
      <c r="G643" s="5" t="s">
        <v>12</v>
      </c>
      <c r="I643" s="12" t="n">
        <f aca="false">Sensitivity!$E$9</f>
        <v>0.0283</v>
      </c>
    </row>
    <row r="644" customFormat="false" ht="23.85" hidden="false" customHeight="false" outlineLevel="0" collapsed="false">
      <c r="A644" s="38" t="s">
        <v>168</v>
      </c>
      <c r="B644" s="28" t="s">
        <v>169</v>
      </c>
      <c r="C644" s="28" t="s">
        <v>170</v>
      </c>
      <c r="D644" s="28" t="s">
        <v>171</v>
      </c>
      <c r="E644" s="28" t="s">
        <v>172</v>
      </c>
      <c r="F644" s="28" t="s">
        <v>173</v>
      </c>
      <c r="G644" s="28" t="s">
        <v>174</v>
      </c>
      <c r="H644" s="28" t="s">
        <v>175</v>
      </c>
      <c r="I644" s="28" t="s">
        <v>176</v>
      </c>
      <c r="J644" s="28" t="s">
        <v>177</v>
      </c>
      <c r="K644" s="28" t="s">
        <v>178</v>
      </c>
      <c r="L644" s="28" t="s">
        <v>179</v>
      </c>
      <c r="M644" s="28" t="s">
        <v>180</v>
      </c>
      <c r="N644" s="28" t="s">
        <v>181</v>
      </c>
      <c r="O644" s="28" t="s">
        <v>182</v>
      </c>
      <c r="P644" s="28" t="s">
        <v>183</v>
      </c>
      <c r="Q644" s="28" t="s">
        <v>184</v>
      </c>
      <c r="R644" s="28" t="s">
        <v>185</v>
      </c>
      <c r="S644" s="28" t="s">
        <v>186</v>
      </c>
      <c r="T644" s="28" t="s">
        <v>187</v>
      </c>
    </row>
    <row r="645" customFormat="false" ht="15" hidden="false" customHeight="false" outlineLevel="0" collapsed="false">
      <c r="A645" s="5" t="n">
        <v>1</v>
      </c>
      <c r="B645" s="24" t="n">
        <v>-0.5</v>
      </c>
      <c r="C645" s="24" t="n">
        <v>1</v>
      </c>
      <c r="D645" s="41" t="n">
        <f aca="false">(B645+C645)/2</f>
        <v>0.25</v>
      </c>
      <c r="E645" s="15" t="n">
        <f aca="false">$C$2*(1+IF(E$3&lt;=$O$2,$D645,$D645-($D645-$I$643)*MIN(E$3-$O$2,$Q$2)/$Q$2))</f>
        <v>2750</v>
      </c>
      <c r="F645" s="15" t="n">
        <f aca="false">E645*(1+IF(F$3&lt;=$O$2,$D645,$D645-($D645-$I$643)*MIN(F$3-$O$2,$Q$2)/$Q$2))</f>
        <v>3437.5</v>
      </c>
      <c r="G645" s="15" t="n">
        <f aca="false">F645*(1+IF(G$3&lt;=$O$2,$D645,$D645-($D645-$I$643)*MIN(G$3-$O$2,$Q$2)/$Q$2))</f>
        <v>4296.875</v>
      </c>
      <c r="H645" s="15" t="n">
        <f aca="false">G645*(1+IF(H$3&lt;=$O$2,$D645,$D645-($D645-$I$643)*MIN(H$3-$O$2,$Q$2)/$Q$2))</f>
        <v>5371.09375</v>
      </c>
      <c r="I645" s="15" t="n">
        <f aca="false">H645*(1+IF(I$3&lt;=$O$2,$D645,$D645-($D645-$I$643)*MIN(I$3-$O$2,$Q$2)/$Q$2))</f>
        <v>6713.8671875</v>
      </c>
      <c r="J645" s="15" t="n">
        <f aca="false">I645*(1+IF(J$3&lt;=$O$2,$D645,$D645-($D645-$I$643)*MIN(J$3-$O$2,$Q$2)/$Q$2))</f>
        <v>8094.64111328125</v>
      </c>
      <c r="K645" s="15" t="n">
        <f aca="false">J645*(1+IF(K$3&lt;=$O$2,$D645,$D645-($D645-$I$643)*MIN(K$3-$O$2,$Q$2)/$Q$2))</f>
        <v>9400.46861767578</v>
      </c>
      <c r="L645" s="15" t="n">
        <f aca="false">K645*(1+IF(L$3&lt;=$O$2,$D645,$D645-($D645-$I$643)*MIN(L$3-$O$2,$Q$2)/$Q$2))</f>
        <v>10500.1354365715</v>
      </c>
      <c r="M645" s="15" t="n">
        <f aca="false">L645*(1+IF(M$3&lt;=$O$2,$D645,$D645-($D645-$I$643)*MIN(M$3-$O$2,$Q$2)/$Q$2))</f>
        <v>11262.865274684</v>
      </c>
      <c r="N645" s="15" t="n">
        <f aca="false">M645*(1+IF(N$3&lt;=$O$2,$D645,$D645-($D645-$I$643)*MIN(N$3-$O$2,$Q$2)/$Q$2))</f>
        <v>11581.6043619576</v>
      </c>
      <c r="O645" s="15" t="n">
        <f aca="false">SUMPRODUCT(E645:N645,1/(1+$F$643)^$E$3:$N$3)*$E$2</f>
        <v>22149.7979867721</v>
      </c>
      <c r="P645" s="15" t="n">
        <f aca="false">N645*$E$2*(1+$I$643)/($F$643-$I$643)/(1+$F$643)^$N$3</f>
        <v>44709.4803345125</v>
      </c>
      <c r="Q645" s="15" t="n">
        <f aca="false">O645+P645</f>
        <v>66859.2783212845</v>
      </c>
      <c r="R645" s="15" t="n">
        <f aca="false">Q645-$G$2+$I$2</f>
        <v>68768.9383212845</v>
      </c>
      <c r="S645" s="42" t="n">
        <f aca="false">R645/$K$2</f>
        <v>293.846679149188</v>
      </c>
      <c r="T645" s="43" t="n">
        <f aca="false">S645-$M$2</f>
        <v>183.860779905502</v>
      </c>
    </row>
    <row r="646" customFormat="false" ht="15" hidden="false" customHeight="false" outlineLevel="0" collapsed="false">
      <c r="A646" s="5" t="n">
        <v>2</v>
      </c>
      <c r="B646" s="25" t="n">
        <f aca="false">IF(T645&gt;0,B645,D645)</f>
        <v>-0.5</v>
      </c>
      <c r="C646" s="25" t="n">
        <f aca="false">IF(T645&gt;0,D645,C645)</f>
        <v>0.25</v>
      </c>
      <c r="D646" s="41" t="n">
        <f aca="false">(B646+C646)/2</f>
        <v>-0.125</v>
      </c>
      <c r="E646" s="15" t="n">
        <f aca="false">$C$2*(1+IF(E$3&lt;=$O$2,$D646,$D646-($D646-$I$643)*MIN(E$3-$O$2,$Q$2)/$Q$2))</f>
        <v>1925</v>
      </c>
      <c r="F646" s="15" t="n">
        <f aca="false">E646*(1+IF(F$3&lt;=$O$2,$D646,$D646-($D646-$I$643)*MIN(F$3-$O$2,$Q$2)/$Q$2))</f>
        <v>1684.375</v>
      </c>
      <c r="G646" s="15" t="n">
        <f aca="false">F646*(1+IF(G$3&lt;=$O$2,$D646,$D646-($D646-$I$643)*MIN(G$3-$O$2,$Q$2)/$Q$2))</f>
        <v>1473.828125</v>
      </c>
      <c r="H646" s="15" t="n">
        <f aca="false">G646*(1+IF(H$3&lt;=$O$2,$D646,$D646-($D646-$I$643)*MIN(H$3-$O$2,$Q$2)/$Q$2))</f>
        <v>1289.599609375</v>
      </c>
      <c r="I646" s="15" t="n">
        <f aca="false">H646*(1+IF(I$3&lt;=$O$2,$D646,$D646-($D646-$I$643)*MIN(I$3-$O$2,$Q$2)/$Q$2))</f>
        <v>1128.39965820313</v>
      </c>
      <c r="J646" s="15" t="n">
        <f aca="false">I646*(1+IF(J$3&lt;=$O$2,$D646,$D646-($D646-$I$643)*MIN(J$3-$O$2,$Q$2)/$Q$2))</f>
        <v>1021.94643444824</v>
      </c>
      <c r="K646" s="15" t="n">
        <f aca="false">J646*(1+IF(K$3&lt;=$O$2,$D646,$D646-($D646-$I$643)*MIN(K$3-$O$2,$Q$2)/$Q$2))</f>
        <v>956.868885502578</v>
      </c>
      <c r="L646" s="15" t="n">
        <f aca="false">K646*(1+IF(L$3&lt;=$O$2,$D646,$D646-($D646-$I$643)*MIN(L$3-$O$2,$Q$2)/$Q$2))</f>
        <v>925.273074903283</v>
      </c>
      <c r="M646" s="15" t="n">
        <f aca="false">L646*(1+IF(M$3&lt;=$O$2,$D646,$D646-($D646-$I$643)*MIN(M$3-$O$2,$Q$2)/$Q$2))</f>
        <v>923.089430446511</v>
      </c>
      <c r="N646" s="15" t="n">
        <f aca="false">M646*(1+IF(N$3&lt;=$O$2,$D646,$D646-($D646-$I$643)*MIN(N$3-$O$2,$Q$2)/$Q$2))</f>
        <v>949.212861328148</v>
      </c>
      <c r="O646" s="15" t="n">
        <f aca="false">SUMPRODUCT(E646:N646,1/(1+$F$643)^$E$3:$N$3)*$E$2</f>
        <v>4384.6223573018</v>
      </c>
      <c r="P646" s="15" t="n">
        <f aca="false">N646*$E$2*(1+$I$643)/($F$643-$I$643)/(1+$F$643)^$N$3</f>
        <v>3664.32943403049</v>
      </c>
      <c r="Q646" s="15" t="n">
        <f aca="false">O646+P646</f>
        <v>8048.95179133228</v>
      </c>
      <c r="R646" s="15" t="n">
        <f aca="false">Q646-$G$2+$I$2</f>
        <v>9958.61179133228</v>
      </c>
      <c r="S646" s="42" t="n">
        <f aca="false">R646/$K$2</f>
        <v>42.5527145722013</v>
      </c>
      <c r="T646" s="43" t="n">
        <f aca="false">S646-$M$2</f>
        <v>-67.4331846714854</v>
      </c>
    </row>
    <row r="647" customFormat="false" ht="15" hidden="false" customHeight="false" outlineLevel="0" collapsed="false">
      <c r="A647" s="5" t="n">
        <v>3</v>
      </c>
      <c r="B647" s="25" t="n">
        <f aca="false">IF(T646&gt;0,B646,D646)</f>
        <v>-0.125</v>
      </c>
      <c r="C647" s="25" t="n">
        <f aca="false">IF(T646&gt;0,D646,C646)</f>
        <v>0.25</v>
      </c>
      <c r="D647" s="41" t="n">
        <f aca="false">(B647+C647)/2</f>
        <v>0.0625</v>
      </c>
      <c r="E647" s="15" t="n">
        <f aca="false">$C$2*(1+IF(E$3&lt;=$O$2,$D647,$D647-($D647-$I$643)*MIN(E$3-$O$2,$Q$2)/$Q$2))</f>
        <v>2337.5</v>
      </c>
      <c r="F647" s="15" t="n">
        <f aca="false">E647*(1+IF(F$3&lt;=$O$2,$D647,$D647-($D647-$I$643)*MIN(F$3-$O$2,$Q$2)/$Q$2))</f>
        <v>2483.59375</v>
      </c>
      <c r="G647" s="15" t="n">
        <f aca="false">F647*(1+IF(G$3&lt;=$O$2,$D647,$D647-($D647-$I$643)*MIN(G$3-$O$2,$Q$2)/$Q$2))</f>
        <v>2638.818359375</v>
      </c>
      <c r="H647" s="15" t="n">
        <f aca="false">G647*(1+IF(H$3&lt;=$O$2,$D647,$D647-($D647-$I$643)*MIN(H$3-$O$2,$Q$2)/$Q$2))</f>
        <v>2803.74450683594</v>
      </c>
      <c r="I647" s="15" t="n">
        <f aca="false">H647*(1+IF(I$3&lt;=$O$2,$D647,$D647-($D647-$I$643)*MIN(I$3-$O$2,$Q$2)/$Q$2))</f>
        <v>2978.97853851318</v>
      </c>
      <c r="J647" s="15" t="n">
        <f aca="false">I647*(1+IF(J$3&lt;=$O$2,$D647,$D647-($D647-$I$643)*MIN(J$3-$O$2,$Q$2)/$Q$2))</f>
        <v>3144.78848396683</v>
      </c>
      <c r="K647" s="15" t="n">
        <f aca="false">J647*(1+IF(K$3&lt;=$O$2,$D647,$D647-($D647-$I$643)*MIN(K$3-$O$2,$Q$2)/$Q$2))</f>
        <v>3298.31705775409</v>
      </c>
      <c r="L647" s="15" t="n">
        <f aca="false">K647*(1+IF(L$3&lt;=$O$2,$D647,$D647-($D647-$I$643)*MIN(L$3-$O$2,$Q$2)/$Q$2))</f>
        <v>3436.78040783861</v>
      </c>
      <c r="M647" s="15" t="n">
        <f aca="false">L647*(1+IF(M$3&lt;=$O$2,$D647,$D647-($D647-$I$643)*MIN(M$3-$O$2,$Q$2)/$Q$2))</f>
        <v>3557.54887137005</v>
      </c>
      <c r="N647" s="15" t="n">
        <f aca="false">M647*(1+IF(N$3&lt;=$O$2,$D647,$D647-($D647-$I$643)*MIN(N$3-$O$2,$Q$2)/$Q$2))</f>
        <v>3658.22750442983</v>
      </c>
      <c r="O647" s="15" t="n">
        <f aca="false">SUMPRODUCT(E647:N647,1/(1+$F$643)^$E$3:$N$3)*$E$2</f>
        <v>9836.09608147206</v>
      </c>
      <c r="P647" s="15" t="n">
        <f aca="false">N647*$E$2*(1+$I$643)/($F$643-$I$643)/(1+$F$643)^$N$3</f>
        <v>14122.1756120179</v>
      </c>
      <c r="Q647" s="15" t="n">
        <f aca="false">O647+P647</f>
        <v>23958.27169349</v>
      </c>
      <c r="R647" s="15" t="n">
        <f aca="false">Q647-$G$2+$I$2</f>
        <v>25867.93169349</v>
      </c>
      <c r="S647" s="42" t="n">
        <f aca="false">R647/$K$2</f>
        <v>110.532545799641</v>
      </c>
      <c r="T647" s="43" t="n">
        <f aca="false">S647-$M$2</f>
        <v>0.546646555954226</v>
      </c>
    </row>
    <row r="648" customFormat="false" ht="15" hidden="false" customHeight="false" outlineLevel="0" collapsed="false">
      <c r="A648" s="5" t="n">
        <v>4</v>
      </c>
      <c r="B648" s="25" t="n">
        <f aca="false">IF(T647&gt;0,B647,D647)</f>
        <v>-0.125</v>
      </c>
      <c r="C648" s="25" t="n">
        <f aca="false">IF(T647&gt;0,D647,C647)</f>
        <v>0.0625</v>
      </c>
      <c r="D648" s="41" t="n">
        <f aca="false">(B648+C648)/2</f>
        <v>-0.03125</v>
      </c>
      <c r="E648" s="15" t="n">
        <f aca="false">$C$2*(1+IF(E$3&lt;=$O$2,$D648,$D648-($D648-$I$643)*MIN(E$3-$O$2,$Q$2)/$Q$2))</f>
        <v>2131.25</v>
      </c>
      <c r="F648" s="15" t="n">
        <f aca="false">E648*(1+IF(F$3&lt;=$O$2,$D648,$D648-($D648-$I$643)*MIN(F$3-$O$2,$Q$2)/$Q$2))</f>
        <v>2064.6484375</v>
      </c>
      <c r="G648" s="15" t="n">
        <f aca="false">F648*(1+IF(G$3&lt;=$O$2,$D648,$D648-($D648-$I$643)*MIN(G$3-$O$2,$Q$2)/$Q$2))</f>
        <v>2000.12817382813</v>
      </c>
      <c r="H648" s="15" t="n">
        <f aca="false">G648*(1+IF(H$3&lt;=$O$2,$D648,$D648-($D648-$I$643)*MIN(H$3-$O$2,$Q$2)/$Q$2))</f>
        <v>1937.624168396</v>
      </c>
      <c r="I648" s="15" t="n">
        <f aca="false">H648*(1+IF(I$3&lt;=$O$2,$D648,$D648-($D648-$I$643)*MIN(I$3-$O$2,$Q$2)/$Q$2))</f>
        <v>1877.07341313362</v>
      </c>
      <c r="J648" s="15" t="n">
        <f aca="false">I648*(1+IF(J$3&lt;=$O$2,$D648,$D648-($D648-$I$643)*MIN(J$3-$O$2,$Q$2)/$Q$2))</f>
        <v>1840.77081332362</v>
      </c>
      <c r="K648" s="15" t="n">
        <f aca="false">J648*(1+IF(K$3&lt;=$O$2,$D648,$D648-($D648-$I$643)*MIN(K$3-$O$2,$Q$2)/$Q$2))</f>
        <v>1827.09388618062</v>
      </c>
      <c r="L648" s="15" t="n">
        <f aca="false">K648*(1+IF(L$3&lt;=$O$2,$D648,$D648-($D648-$I$643)*MIN(L$3-$O$2,$Q$2)/$Q$2))</f>
        <v>1835.27926679071</v>
      </c>
      <c r="M648" s="15" t="n">
        <f aca="false">L648*(1+IF(M$3&lt;=$O$2,$D648,$D648-($D648-$I$643)*MIN(M$3-$O$2,$Q$2)/$Q$2))</f>
        <v>1865.35949397341</v>
      </c>
      <c r="N648" s="15" t="n">
        <f aca="false">M648*(1+IF(N$3&lt;=$O$2,$D648,$D648-($D648-$I$643)*MIN(N$3-$O$2,$Q$2)/$Q$2))</f>
        <v>1918.14916765286</v>
      </c>
      <c r="O648" s="15" t="n">
        <f aca="false">SUMPRODUCT(E648:N648,1/(1+$F$643)^$E$3:$N$3)*$E$2</f>
        <v>6547.95378922674</v>
      </c>
      <c r="P648" s="15" t="n">
        <f aca="false">N648*$E$2*(1+$I$643)/($F$643-$I$643)/(1+$F$643)^$N$3</f>
        <v>7404.79900794515</v>
      </c>
      <c r="Q648" s="15" t="n">
        <f aca="false">O648+P648</f>
        <v>13952.7527971719</v>
      </c>
      <c r="R648" s="15" t="n">
        <f aca="false">Q648-$G$2+$I$2</f>
        <v>15862.4127971719</v>
      </c>
      <c r="S648" s="42" t="n">
        <f aca="false">R648/$K$2</f>
        <v>67.7793992102376</v>
      </c>
      <c r="T648" s="43" t="n">
        <f aca="false">S648-$M$2</f>
        <v>-42.2065000334491</v>
      </c>
    </row>
    <row r="649" customFormat="false" ht="15" hidden="false" customHeight="false" outlineLevel="0" collapsed="false">
      <c r="A649" s="5" t="n">
        <v>5</v>
      </c>
      <c r="B649" s="25" t="n">
        <f aca="false">IF(T648&gt;0,B648,D648)</f>
        <v>-0.03125</v>
      </c>
      <c r="C649" s="25" t="n">
        <f aca="false">IF(T648&gt;0,D648,C648)</f>
        <v>0.0625</v>
      </c>
      <c r="D649" s="41" t="n">
        <f aca="false">(B649+C649)/2</f>
        <v>0.015625</v>
      </c>
      <c r="E649" s="15" t="n">
        <f aca="false">$C$2*(1+IF(E$3&lt;=$O$2,$D649,$D649-($D649-$I$643)*MIN(E$3-$O$2,$Q$2)/$Q$2))</f>
        <v>2234.375</v>
      </c>
      <c r="F649" s="15" t="n">
        <f aca="false">E649*(1+IF(F$3&lt;=$O$2,$D649,$D649-($D649-$I$643)*MIN(F$3-$O$2,$Q$2)/$Q$2))</f>
        <v>2269.287109375</v>
      </c>
      <c r="G649" s="15" t="n">
        <f aca="false">F649*(1+IF(G$3&lt;=$O$2,$D649,$D649-($D649-$I$643)*MIN(G$3-$O$2,$Q$2)/$Q$2))</f>
        <v>2304.74472045898</v>
      </c>
      <c r="H649" s="15" t="n">
        <f aca="false">G649*(1+IF(H$3&lt;=$O$2,$D649,$D649-($D649-$I$643)*MIN(H$3-$O$2,$Q$2)/$Q$2))</f>
        <v>2340.75635671616</v>
      </c>
      <c r="I649" s="15" t="n">
        <f aca="false">H649*(1+IF(I$3&lt;=$O$2,$D649,$D649-($D649-$I$643)*MIN(I$3-$O$2,$Q$2)/$Q$2))</f>
        <v>2377.33067478985</v>
      </c>
      <c r="J649" s="15" t="n">
        <f aca="false">I649*(1+IF(J$3&lt;=$O$2,$D649,$D649-($D649-$I$643)*MIN(J$3-$O$2,$Q$2)/$Q$2))</f>
        <v>2420.50299984403</v>
      </c>
      <c r="K649" s="15" t="n">
        <f aca="false">J649*(1+IF(K$3&lt;=$O$2,$D649,$D649-($D649-$I$643)*MIN(K$3-$O$2,$Q$2)/$Q$2))</f>
        <v>2470.5953094258</v>
      </c>
      <c r="L649" s="15" t="n">
        <f aca="false">K649*(1+IF(L$3&lt;=$O$2,$D649,$D649-($D649-$I$643)*MIN(L$3-$O$2,$Q$2)/$Q$2))</f>
        <v>2527.98723846376</v>
      </c>
      <c r="M649" s="15" t="n">
        <f aca="false">L649*(1+IF(M$3&lt;=$O$2,$D649,$D649-($D649-$I$643)*MIN(M$3-$O$2,$Q$2)/$Q$2))</f>
        <v>2593.12082966278</v>
      </c>
      <c r="N649" s="15" t="n">
        <f aca="false">M649*(1+IF(N$3&lt;=$O$2,$D649,$D649-($D649-$I$643)*MIN(N$3-$O$2,$Q$2)/$Q$2))</f>
        <v>2666.50614914224</v>
      </c>
      <c r="O649" s="15" t="n">
        <f aca="false">SUMPRODUCT(E649:N649,1/(1+$F$643)^$E$3:$N$3)*$E$2</f>
        <v>8022.08344648265</v>
      </c>
      <c r="P649" s="15" t="n">
        <f aca="false">N649*$E$2*(1+$I$643)/($F$643-$I$643)/(1+$F$643)^$N$3</f>
        <v>10293.7469206365</v>
      </c>
      <c r="Q649" s="15" t="n">
        <f aca="false">O649+P649</f>
        <v>18315.8303671192</v>
      </c>
      <c r="R649" s="15" t="n">
        <f aca="false">Q649-$G$2+$I$2</f>
        <v>20225.4903671192</v>
      </c>
      <c r="S649" s="42" t="n">
        <f aca="false">R649/$K$2</f>
        <v>86.4226396920017</v>
      </c>
      <c r="T649" s="43" t="n">
        <f aca="false">S649-$M$2</f>
        <v>-23.563259551685</v>
      </c>
    </row>
    <row r="650" customFormat="false" ht="15" hidden="false" customHeight="false" outlineLevel="0" collapsed="false">
      <c r="A650" s="5" t="n">
        <v>6</v>
      </c>
      <c r="B650" s="25" t="n">
        <f aca="false">IF(T649&gt;0,B649,D649)</f>
        <v>0.015625</v>
      </c>
      <c r="C650" s="25" t="n">
        <f aca="false">IF(T649&gt;0,D649,C649)</f>
        <v>0.0625</v>
      </c>
      <c r="D650" s="41" t="n">
        <f aca="false">(B650+C650)/2</f>
        <v>0.0390625</v>
      </c>
      <c r="E650" s="15" t="n">
        <f aca="false">$C$2*(1+IF(E$3&lt;=$O$2,$D650,$D650-($D650-$I$643)*MIN(E$3-$O$2,$Q$2)/$Q$2))</f>
        <v>2285.9375</v>
      </c>
      <c r="F650" s="15" t="n">
        <f aca="false">E650*(1+IF(F$3&lt;=$O$2,$D650,$D650-($D650-$I$643)*MIN(F$3-$O$2,$Q$2)/$Q$2))</f>
        <v>2375.23193359375</v>
      </c>
      <c r="G650" s="15" t="n">
        <f aca="false">F650*(1+IF(G$3&lt;=$O$2,$D650,$D650-($D650-$I$643)*MIN(G$3-$O$2,$Q$2)/$Q$2))</f>
        <v>2468.01443099976</v>
      </c>
      <c r="H650" s="15" t="n">
        <f aca="false">G650*(1+IF(H$3&lt;=$O$2,$D650,$D650-($D650-$I$643)*MIN(H$3-$O$2,$Q$2)/$Q$2))</f>
        <v>2564.42124471068</v>
      </c>
      <c r="I650" s="15" t="n">
        <f aca="false">H650*(1+IF(I$3&lt;=$O$2,$D650,$D650-($D650-$I$643)*MIN(I$3-$O$2,$Q$2)/$Q$2))</f>
        <v>2664.5939495822</v>
      </c>
      <c r="J650" s="15" t="n">
        <f aca="false">I650*(1+IF(J$3&lt;=$O$2,$D650,$D650-($D650-$I$643)*MIN(J$3-$O$2,$Q$2)/$Q$2))</f>
        <v>2762.94411226127</v>
      </c>
      <c r="K650" s="15" t="n">
        <f aca="false">J650*(1+IF(K$3&lt;=$O$2,$D650,$D650-($D650-$I$643)*MIN(K$3-$O$2,$Q$2)/$Q$2))</f>
        <v>2858.9771422432</v>
      </c>
      <c r="L650" s="15" t="n">
        <f aca="false">K650*(1+IF(L$3&lt;=$O$2,$D650,$D650-($D650-$I$643)*MIN(L$3-$O$2,$Q$2)/$Q$2))</f>
        <v>2952.19409196603</v>
      </c>
      <c r="M650" s="15" t="n">
        <f aca="false">L650*(1+IF(M$3&lt;=$O$2,$D650,$D650-($D650-$I$643)*MIN(M$3-$O$2,$Q$2)/$Q$2))</f>
        <v>3042.09578255163</v>
      </c>
      <c r="N650" s="15" t="n">
        <f aca="false">M650*(1+IF(N$3&lt;=$O$2,$D650,$D650-($D650-$I$643)*MIN(N$3-$O$2,$Q$2)/$Q$2))</f>
        <v>3128.18709319784</v>
      </c>
      <c r="O650" s="15" t="n">
        <f aca="false">SUMPRODUCT(E650:N650,1/(1+$F$643)^$E$3:$N$3)*$E$2</f>
        <v>8882.35649716226</v>
      </c>
      <c r="P650" s="15" t="n">
        <f aca="false">N650*$E$2*(1+$I$643)/($F$643-$I$643)/(1+$F$643)^$N$3</f>
        <v>12076.0142511348</v>
      </c>
      <c r="Q650" s="15" t="n">
        <f aca="false">O650+P650</f>
        <v>20958.370748297</v>
      </c>
      <c r="R650" s="15" t="n">
        <f aca="false">Q650-$G$2+$I$2</f>
        <v>22868.030748297</v>
      </c>
      <c r="S650" s="42" t="n">
        <f aca="false">R650/$K$2</f>
        <v>97.7140996807974</v>
      </c>
      <c r="T650" s="43" t="n">
        <f aca="false">S650-$M$2</f>
        <v>-12.2717995628893</v>
      </c>
    </row>
    <row r="651" customFormat="false" ht="15" hidden="false" customHeight="false" outlineLevel="0" collapsed="false">
      <c r="A651" s="5" t="n">
        <v>7</v>
      </c>
      <c r="B651" s="25" t="n">
        <f aca="false">IF(T650&gt;0,B650,D650)</f>
        <v>0.0390625</v>
      </c>
      <c r="C651" s="25" t="n">
        <f aca="false">IF(T650&gt;0,D650,C650)</f>
        <v>0.0625</v>
      </c>
      <c r="D651" s="41" t="n">
        <f aca="false">(B651+C651)/2</f>
        <v>0.05078125</v>
      </c>
      <c r="E651" s="15" t="n">
        <f aca="false">$C$2*(1+IF(E$3&lt;=$O$2,$D651,$D651-($D651-$I$643)*MIN(E$3-$O$2,$Q$2)/$Q$2))</f>
        <v>2311.71875</v>
      </c>
      <c r="F651" s="15" t="n">
        <f aca="false">E651*(1+IF(F$3&lt;=$O$2,$D651,$D651-($D651-$I$643)*MIN(F$3-$O$2,$Q$2)/$Q$2))</f>
        <v>2429.11071777344</v>
      </c>
      <c r="G651" s="15" t="n">
        <f aca="false">F651*(1+IF(G$3&lt;=$O$2,$D651,$D651-($D651-$I$643)*MIN(G$3-$O$2,$Q$2)/$Q$2))</f>
        <v>2552.46399641037</v>
      </c>
      <c r="H651" s="15" t="n">
        <f aca="false">G651*(1+IF(H$3&lt;=$O$2,$D651,$D651-($D651-$I$643)*MIN(H$3-$O$2,$Q$2)/$Q$2))</f>
        <v>2682.08130872808</v>
      </c>
      <c r="I651" s="15" t="n">
        <f aca="false">H651*(1+IF(I$3&lt;=$O$2,$D651,$D651-($D651-$I$643)*MIN(I$3-$O$2,$Q$2)/$Q$2))</f>
        <v>2818.28075018693</v>
      </c>
      <c r="J651" s="15" t="n">
        <f aca="false">I651*(1+IF(J$3&lt;=$O$2,$D651,$D651-($D651-$I$643)*MIN(J$3-$O$2,$Q$2)/$Q$2))</f>
        <v>2948.72487470933</v>
      </c>
      <c r="K651" s="15" t="n">
        <f aca="false">J651*(1+IF(K$3&lt;=$O$2,$D651,$D651-($D651-$I$643)*MIN(K$3-$O$2,$Q$2)/$Q$2))</f>
        <v>3071.94840131734</v>
      </c>
      <c r="L651" s="15" t="n">
        <f aca="false">K651*(1+IF(L$3&lt;=$O$2,$D651,$D651-($D651-$I$643)*MIN(L$3-$O$2,$Q$2)/$Q$2))</f>
        <v>3186.50903707347</v>
      </c>
      <c r="M651" s="15" t="n">
        <f aca="false">L651*(1+IF(M$3&lt;=$O$2,$D651,$D651-($D651-$I$643)*MIN(M$3-$O$2,$Q$2)/$Q$2))</f>
        <v>3291.01458408059</v>
      </c>
      <c r="N651" s="15" t="n">
        <f aca="false">M651*(1+IF(N$3&lt;=$O$2,$D651,$D651-($D651-$I$643)*MIN(N$3-$O$2,$Q$2)/$Q$2))</f>
        <v>3384.15029681007</v>
      </c>
      <c r="O651" s="15" t="n">
        <f aca="false">SUMPRODUCT(E651:N651,1/(1+$F$643)^$E$3:$N$3)*$E$2</f>
        <v>9346.97172232116</v>
      </c>
      <c r="P651" s="15" t="n">
        <f aca="false">N651*$E$2*(1+$I$643)/($F$643-$I$643)/(1+$F$643)^$N$3</f>
        <v>13064.1313945463</v>
      </c>
      <c r="Q651" s="15" t="n">
        <f aca="false">O651+P651</f>
        <v>22411.1031168674</v>
      </c>
      <c r="R651" s="15" t="n">
        <f aca="false">Q651-$G$2+$I$2</f>
        <v>24320.7631168674</v>
      </c>
      <c r="S651" s="42" t="n">
        <f aca="false">R651/$K$2</f>
        <v>103.921561837659</v>
      </c>
      <c r="T651" s="43" t="n">
        <f aca="false">S651-$M$2</f>
        <v>-6.06433740602726</v>
      </c>
    </row>
    <row r="652" customFormat="false" ht="15" hidden="false" customHeight="false" outlineLevel="0" collapsed="false">
      <c r="A652" s="5" t="n">
        <v>8</v>
      </c>
      <c r="B652" s="25" t="n">
        <f aca="false">IF(T651&gt;0,B651,D651)</f>
        <v>0.05078125</v>
      </c>
      <c r="C652" s="25" t="n">
        <f aca="false">IF(T651&gt;0,D651,C651)</f>
        <v>0.0625</v>
      </c>
      <c r="D652" s="41" t="n">
        <f aca="false">(B652+C652)/2</f>
        <v>0.056640625</v>
      </c>
      <c r="E652" s="15" t="n">
        <f aca="false">$C$2*(1+IF(E$3&lt;=$O$2,$D652,$D652-($D652-$I$643)*MIN(E$3-$O$2,$Q$2)/$Q$2))</f>
        <v>2324.609375</v>
      </c>
      <c r="F652" s="15" t="n">
        <f aca="false">E652*(1+IF(F$3&lt;=$O$2,$D652,$D652-($D652-$I$643)*MIN(F$3-$O$2,$Q$2)/$Q$2))</f>
        <v>2456.27670288086</v>
      </c>
      <c r="G652" s="15" t="n">
        <f aca="false">F652*(1+IF(G$3&lt;=$O$2,$D652,$D652-($D652-$I$643)*MIN(G$3-$O$2,$Q$2)/$Q$2))</f>
        <v>2595.40175050497</v>
      </c>
      <c r="H652" s="15" t="n">
        <f aca="false">G652*(1+IF(H$3&lt;=$O$2,$D652,$D652-($D652-$I$643)*MIN(H$3-$O$2,$Q$2)/$Q$2))</f>
        <v>2742.40692777967</v>
      </c>
      <c r="I652" s="15" t="n">
        <f aca="false">H652*(1+IF(I$3&lt;=$O$2,$D652,$D652-($D652-$I$643)*MIN(I$3-$O$2,$Q$2)/$Q$2))</f>
        <v>2897.73857017344</v>
      </c>
      <c r="J652" s="15" t="n">
        <f aca="false">I652*(1+IF(J$3&lt;=$O$2,$D652,$D652-($D652-$I$643)*MIN(J$3-$O$2,$Q$2)/$Q$2))</f>
        <v>3045.4435494416</v>
      </c>
      <c r="K652" s="15" t="n">
        <f aca="false">J652*(1+IF(K$3&lt;=$O$2,$D652,$D652-($D652-$I$643)*MIN(K$3-$O$2,$Q$2)/$Q$2))</f>
        <v>3183.41546604684</v>
      </c>
      <c r="L652" s="15" t="n">
        <f aca="false">K652*(1+IF(L$3&lt;=$O$2,$D652,$D652-($D652-$I$643)*MIN(L$3-$O$2,$Q$2)/$Q$2))</f>
        <v>3309.59411731294</v>
      </c>
      <c r="M652" s="15" t="n">
        <f aca="false">L652*(1+IF(M$3&lt;=$O$2,$D652,$D652-($D652-$I$643)*MIN(M$3-$O$2,$Q$2)/$Q$2))</f>
        <v>3422.01482398909</v>
      </c>
      <c r="N652" s="15" t="n">
        <f aca="false">M652*(1+IF(N$3&lt;=$O$2,$D652,$D652-($D652-$I$643)*MIN(N$3-$O$2,$Q$2)/$Q$2))</f>
        <v>3518.85784350798</v>
      </c>
      <c r="O652" s="15" t="n">
        <f aca="false">SUMPRODUCT(E652:N652,1/(1+$F$643)^$E$3:$N$3)*$E$2</f>
        <v>9588.39620365427</v>
      </c>
      <c r="P652" s="15" t="n">
        <f aca="false">N652*$E$2*(1+$I$643)/($F$643-$I$643)/(1+$F$643)^$N$3</f>
        <v>13584.1547196206</v>
      </c>
      <c r="Q652" s="15" t="n">
        <f aca="false">O652+P652</f>
        <v>23172.5509232749</v>
      </c>
      <c r="R652" s="15" t="n">
        <f aca="false">Q652-$G$2+$I$2</f>
        <v>25082.2109232749</v>
      </c>
      <c r="S652" s="42" t="n">
        <f aca="false">R652/$K$2</f>
        <v>107.175195159915</v>
      </c>
      <c r="T652" s="43" t="n">
        <f aca="false">S652-$M$2</f>
        <v>-2.81070408377191</v>
      </c>
    </row>
    <row r="653" customFormat="false" ht="15" hidden="false" customHeight="false" outlineLevel="0" collapsed="false">
      <c r="A653" s="5" t="n">
        <v>9</v>
      </c>
      <c r="B653" s="25" t="n">
        <f aca="false">IF(T652&gt;0,B652,D652)</f>
        <v>0.056640625</v>
      </c>
      <c r="C653" s="25" t="n">
        <f aca="false">IF(T652&gt;0,D652,C652)</f>
        <v>0.0625</v>
      </c>
      <c r="D653" s="41" t="n">
        <f aca="false">(B653+C653)/2</f>
        <v>0.0595703125</v>
      </c>
      <c r="E653" s="15" t="n">
        <f aca="false">$C$2*(1+IF(E$3&lt;=$O$2,$D653,$D653-($D653-$I$643)*MIN(E$3-$O$2,$Q$2)/$Q$2))</f>
        <v>2331.0546875</v>
      </c>
      <c r="F653" s="15" t="n">
        <f aca="false">E653*(1+IF(F$3&lt;=$O$2,$D653,$D653-($D653-$I$643)*MIN(F$3-$O$2,$Q$2)/$Q$2))</f>
        <v>2469.91634368897</v>
      </c>
      <c r="G653" s="15" t="n">
        <f aca="false">F653*(1+IF(G$3&lt;=$O$2,$D653,$D653-($D653-$I$643)*MIN(G$3-$O$2,$Q$2)/$Q$2))</f>
        <v>2617.05003213137</v>
      </c>
      <c r="H653" s="15" t="n">
        <f aca="false">G653*(1+IF(H$3&lt;=$O$2,$D653,$D653-($D653-$I$643)*MIN(H$3-$O$2,$Q$2)/$Q$2))</f>
        <v>2772.94852037358</v>
      </c>
      <c r="I653" s="15" t="n">
        <f aca="false">H653*(1+IF(I$3&lt;=$O$2,$D653,$D653-($D653-$I$643)*MIN(I$3-$O$2,$Q$2)/$Q$2))</f>
        <v>2938.13393027864</v>
      </c>
      <c r="J653" s="15" t="n">
        <f aca="false">I653*(1+IF(J$3&lt;=$O$2,$D653,$D653-($D653-$I$643)*MIN(J$3-$O$2,$Q$2)/$Q$2))</f>
        <v>3094.78421343886</v>
      </c>
      <c r="K653" s="15" t="n">
        <f aca="false">J653*(1+IF(K$3&lt;=$O$2,$D653,$D653-($D653-$I$643)*MIN(K$3-$O$2,$Q$2)/$Q$2))</f>
        <v>3240.43152836376</v>
      </c>
      <c r="L653" s="15" t="n">
        <f aca="false">K653*(1+IF(L$3&lt;=$O$2,$D653,$D653-($D653-$I$643)*MIN(L$3-$O$2,$Q$2)/$Q$2))</f>
        <v>3372.66746322717</v>
      </c>
      <c r="M653" s="15" t="n">
        <f aca="false">L653*(1+IF(M$3&lt;=$O$2,$D653,$D653-($D653-$I$643)*MIN(M$3-$O$2,$Q$2)/$Q$2))</f>
        <v>3489.20682554324</v>
      </c>
      <c r="N653" s="15" t="n">
        <f aca="false">M653*(1+IF(N$3&lt;=$O$2,$D653,$D653-($D653-$I$643)*MIN(N$3-$O$2,$Q$2)/$Q$2))</f>
        <v>3587.95137870611</v>
      </c>
      <c r="O653" s="15" t="n">
        <f aca="false">SUMPRODUCT(E653:N653,1/(1+$F$643)^$E$3:$N$3)*$E$2</f>
        <v>9711.45229097572</v>
      </c>
      <c r="P653" s="15" t="n">
        <f aca="false">N653*$E$2*(1+$I$643)/($F$643-$I$643)/(1+$F$643)^$N$3</f>
        <v>13850.8825369971</v>
      </c>
      <c r="Q653" s="15" t="n">
        <f aca="false">O653+P653</f>
        <v>23562.3348279728</v>
      </c>
      <c r="R653" s="15" t="n">
        <f aca="false">Q653-$G$2+$I$2</f>
        <v>25471.9948279728</v>
      </c>
      <c r="S653" s="42" t="n">
        <f aca="false">R653/$K$2</f>
        <v>108.840724812942</v>
      </c>
      <c r="T653" s="43" t="n">
        <f aca="false">S653-$M$2</f>
        <v>-1.14517443074483</v>
      </c>
    </row>
    <row r="654" customFormat="false" ht="15" hidden="false" customHeight="false" outlineLevel="0" collapsed="false">
      <c r="A654" s="5" t="n">
        <v>10</v>
      </c>
      <c r="B654" s="25" t="n">
        <f aca="false">IF(T653&gt;0,B653,D653)</f>
        <v>0.0595703125</v>
      </c>
      <c r="C654" s="25" t="n">
        <f aca="false">IF(T653&gt;0,D653,C653)</f>
        <v>0.0625</v>
      </c>
      <c r="D654" s="41" t="n">
        <f aca="false">(B654+C654)/2</f>
        <v>0.06103515625</v>
      </c>
      <c r="E654" s="15" t="n">
        <f aca="false">$C$2*(1+IF(E$3&lt;=$O$2,$D654,$D654-($D654-$I$643)*MIN(E$3-$O$2,$Q$2)/$Q$2))</f>
        <v>2334.27734375</v>
      </c>
      <c r="F654" s="15" t="n">
        <f aca="false">E654*(1+IF(F$3&lt;=$O$2,$D654,$D654-($D654-$I$643)*MIN(F$3-$O$2,$Q$2)/$Q$2))</f>
        <v>2476.75032615662</v>
      </c>
      <c r="G654" s="15" t="n">
        <f aca="false">F654*(1+IF(G$3&lt;=$O$2,$D654,$D654-($D654-$I$643)*MIN(G$3-$O$2,$Q$2)/$Q$2))</f>
        <v>2627.91916930582</v>
      </c>
      <c r="H654" s="15" t="n">
        <f aca="false">G654*(1+IF(H$3&lt;=$O$2,$D654,$D654-($D654-$I$643)*MIN(H$3-$O$2,$Q$2)/$Q$2))</f>
        <v>2788.31462641678</v>
      </c>
      <c r="I654" s="15" t="n">
        <f aca="false">H654*(1+IF(I$3&lt;=$O$2,$D654,$D654-($D654-$I$643)*MIN(I$3-$O$2,$Q$2)/$Q$2))</f>
        <v>2958.49984531428</v>
      </c>
      <c r="J654" s="15" t="n">
        <f aca="false">I654*(1+IF(J$3&lt;=$O$2,$D654,$D654-($D654-$I$643)*MIN(J$3-$O$2,$Q$2)/$Q$2))</f>
        <v>3119.70295469825</v>
      </c>
      <c r="K654" s="15" t="n">
        <f aca="false">J654*(1+IF(K$3&lt;=$O$2,$D654,$D654-($D654-$I$643)*MIN(K$3-$O$2,$Q$2)/$Q$2))</f>
        <v>3269.26492652159</v>
      </c>
      <c r="L654" s="15" t="n">
        <f aca="false">K654*(1+IF(L$3&lt;=$O$2,$D654,$D654-($D654-$I$643)*MIN(L$3-$O$2,$Q$2)/$Q$2))</f>
        <v>3404.59308321908</v>
      </c>
      <c r="M654" s="15" t="n">
        <f aca="false">L654*(1+IF(M$3&lt;=$O$2,$D654,$D654-($D654-$I$643)*MIN(M$3-$O$2,$Q$2)/$Q$2))</f>
        <v>3523.23304478355</v>
      </c>
      <c r="N654" s="15" t="n">
        <f aca="false">M654*(1+IF(N$3&lt;=$O$2,$D654,$D654-($D654-$I$643)*MIN(N$3-$O$2,$Q$2)/$Q$2))</f>
        <v>3622.94053995093</v>
      </c>
      <c r="O654" s="15" t="n">
        <f aca="false">SUMPRODUCT(E654:N654,1/(1+$F$643)^$E$3:$N$3)*$E$2</f>
        <v>9773.57453418825</v>
      </c>
      <c r="P654" s="15" t="n">
        <f aca="false">N654*$E$2*(1+$I$643)/($F$643-$I$643)/(1+$F$643)^$N$3</f>
        <v>13985.9542565711</v>
      </c>
      <c r="Q654" s="15" t="n">
        <f aca="false">O654+P654</f>
        <v>23759.5287907594</v>
      </c>
      <c r="R654" s="15" t="n">
        <f aca="false">Q654-$G$2+$I$2</f>
        <v>25669.1887907594</v>
      </c>
      <c r="S654" s="42" t="n">
        <f aca="false">R654/$K$2</f>
        <v>109.683326029823</v>
      </c>
      <c r="T654" s="43" t="n">
        <f aca="false">S654-$M$2</f>
        <v>-0.302573213864079</v>
      </c>
    </row>
    <row r="655" customFormat="false" ht="15" hidden="false" customHeight="false" outlineLevel="0" collapsed="false">
      <c r="A655" s="5" t="n">
        <v>11</v>
      </c>
      <c r="B655" s="25" t="n">
        <f aca="false">IF(T654&gt;0,B654,D654)</f>
        <v>0.06103515625</v>
      </c>
      <c r="C655" s="25" t="n">
        <f aca="false">IF(T654&gt;0,D654,C654)</f>
        <v>0.0625</v>
      </c>
      <c r="D655" s="41" t="n">
        <f aca="false">(B655+C655)/2</f>
        <v>0.061767578125</v>
      </c>
      <c r="E655" s="15" t="n">
        <f aca="false">$C$2*(1+IF(E$3&lt;=$O$2,$D655,$D655-($D655-$I$643)*MIN(E$3-$O$2,$Q$2)/$Q$2))</f>
        <v>2335.888671875</v>
      </c>
      <c r="F655" s="15" t="n">
        <f aca="false">E655*(1+IF(F$3&lt;=$O$2,$D655,$D655-($D655-$I$643)*MIN(F$3-$O$2,$Q$2)/$Q$2))</f>
        <v>2480.17085790634</v>
      </c>
      <c r="G655" s="15" t="n">
        <f aca="false">F655*(1+IF(G$3&lt;=$O$2,$D655,$D655-($D655-$I$643)*MIN(G$3-$O$2,$Q$2)/$Q$2))</f>
        <v>2633.36500513542</v>
      </c>
      <c r="H655" s="15" t="n">
        <f aca="false">G655*(1+IF(H$3&lt;=$O$2,$D655,$D655-($D655-$I$643)*MIN(H$3-$O$2,$Q$2)/$Q$2))</f>
        <v>2796.02158382176</v>
      </c>
      <c r="I655" s="15" t="n">
        <f aca="false">H655*(1+IF(I$3&lt;=$O$2,$D655,$D655-($D655-$I$643)*MIN(I$3-$O$2,$Q$2)/$Q$2))</f>
        <v>2968.72506543966</v>
      </c>
      <c r="J655" s="15" t="n">
        <f aca="false">I655*(1+IF(J$3&lt;=$O$2,$D655,$D655-($D655-$I$643)*MIN(J$3-$O$2,$Q$2)/$Q$2))</f>
        <v>3132.224815239</v>
      </c>
      <c r="K655" s="15" t="n">
        <f aca="false">J655*(1+IF(K$3&lt;=$O$2,$D655,$D655-($D655-$I$643)*MIN(K$3-$O$2,$Q$2)/$Q$2))</f>
        <v>3283.76356473571</v>
      </c>
      <c r="L655" s="15" t="n">
        <f aca="false">K655*(1+IF(L$3&lt;=$O$2,$D655,$D655-($D655-$I$643)*MIN(L$3-$O$2,$Q$2)/$Q$2))</f>
        <v>3420.65391907646</v>
      </c>
      <c r="M655" s="15" t="n">
        <f aca="false">L655*(1+IF(M$3&lt;=$O$2,$D655,$D655-($D655-$I$643)*MIN(M$3-$O$2,$Q$2)/$Q$2))</f>
        <v>3540.35462544138</v>
      </c>
      <c r="N655" s="15" t="n">
        <f aca="false">M655*(1+IF(N$3&lt;=$O$2,$D655,$D655-($D655-$I$643)*MIN(N$3-$O$2,$Q$2)/$Q$2))</f>
        <v>3640.54666134137</v>
      </c>
      <c r="O655" s="15" t="n">
        <f aca="false">SUMPRODUCT(E655:N655,1/(1+$F$643)^$E$3:$N$3)*$E$2</f>
        <v>9804.78524550204</v>
      </c>
      <c r="P655" s="15" t="n">
        <f aca="false">N655*$E$2*(1+$I$643)/($F$643-$I$643)/(1+$F$643)^$N$3</f>
        <v>14053.9207069412</v>
      </c>
      <c r="Q655" s="15" t="n">
        <f aca="false">O655+P655</f>
        <v>23858.7059524433</v>
      </c>
      <c r="R655" s="15" t="n">
        <f aca="false">Q655-$G$2+$I$2</f>
        <v>25768.3659524433</v>
      </c>
      <c r="S655" s="42" t="n">
        <f aca="false">R655/$K$2</f>
        <v>110.107105723383</v>
      </c>
      <c r="T655" s="43" t="n">
        <f aca="false">S655-$M$2</f>
        <v>0.12120647969607</v>
      </c>
    </row>
    <row r="656" customFormat="false" ht="15" hidden="false" customHeight="false" outlineLevel="0" collapsed="false">
      <c r="A656" s="5" t="n">
        <v>12</v>
      </c>
      <c r="B656" s="25" t="n">
        <f aca="false">IF(T655&gt;0,B655,D655)</f>
        <v>0.06103515625</v>
      </c>
      <c r="C656" s="25" t="n">
        <f aca="false">IF(T655&gt;0,D655,C655)</f>
        <v>0.061767578125</v>
      </c>
      <c r="D656" s="41" t="n">
        <f aca="false">(B656+C656)/2</f>
        <v>0.0614013671875</v>
      </c>
      <c r="E656" s="15" t="n">
        <f aca="false">$C$2*(1+IF(E$3&lt;=$O$2,$D656,$D656-($D656-$I$643)*MIN(E$3-$O$2,$Q$2)/$Q$2))</f>
        <v>2335.0830078125</v>
      </c>
      <c r="F656" s="15" t="n">
        <f aca="false">E656*(1+IF(F$3&lt;=$O$2,$D656,$D656-($D656-$I$643)*MIN(F$3-$O$2,$Q$2)/$Q$2))</f>
        <v>2478.46029698849</v>
      </c>
      <c r="G656" s="15" t="n">
        <f aca="false">F656*(1+IF(G$3&lt;=$O$2,$D656,$D656-($D656-$I$643)*MIN(G$3-$O$2,$Q$2)/$Q$2))</f>
        <v>2630.64114774352</v>
      </c>
      <c r="H656" s="15" t="n">
        <f aca="false">G656*(1+IF(H$3&lt;=$O$2,$D656,$D656-($D656-$I$643)*MIN(H$3-$O$2,$Q$2)/$Q$2))</f>
        <v>2792.16611079466</v>
      </c>
      <c r="I656" s="15" t="n">
        <f aca="false">H656*(1+IF(I$3&lt;=$O$2,$D656,$D656-($D656-$I$643)*MIN(I$3-$O$2,$Q$2)/$Q$2))</f>
        <v>2963.60892741206</v>
      </c>
      <c r="J656" s="15" t="n">
        <f aca="false">I656*(1+IF(J$3&lt;=$O$2,$D656,$D656-($D656-$I$643)*MIN(J$3-$O$2,$Q$2)/$Q$2))</f>
        <v>3125.95866590296</v>
      </c>
      <c r="K656" s="15" t="n">
        <f aca="false">J656*(1+IF(K$3&lt;=$O$2,$D656,$D656-($D656-$I$643)*MIN(K$3-$O$2,$Q$2)/$Q$2))</f>
        <v>3276.50739951581</v>
      </c>
      <c r="L656" s="15" t="n">
        <f aca="false">K656*(1+IF(L$3&lt;=$O$2,$D656,$D656-($D656-$I$643)*MIN(L$3-$O$2,$Q$2)/$Q$2))</f>
        <v>3412.61530873168</v>
      </c>
      <c r="M656" s="15" t="n">
        <f aca="false">L656*(1+IF(M$3&lt;=$O$2,$D656,$D656-($D656-$I$643)*MIN(M$3-$O$2,$Q$2)/$Q$2))</f>
        <v>3531.78476844959</v>
      </c>
      <c r="N656" s="15" t="n">
        <f aca="false">M656*(1+IF(N$3&lt;=$O$2,$D656,$D656-($D656-$I$643)*MIN(N$3-$O$2,$Q$2)/$Q$2))</f>
        <v>3631.73427739672</v>
      </c>
      <c r="O656" s="15" t="n">
        <f aca="false">SUMPRODUCT(E656:N656,1/(1+$F$643)^$E$3:$N$3)*$E$2</f>
        <v>9789.16739295832</v>
      </c>
      <c r="P656" s="15" t="n">
        <f aca="false">N656*$E$2*(1+$I$643)/($F$643-$I$643)/(1+$F$643)^$N$3</f>
        <v>14019.9014904009</v>
      </c>
      <c r="Q656" s="15" t="n">
        <f aca="false">O656+P656</f>
        <v>23809.0688833592</v>
      </c>
      <c r="R656" s="15" t="n">
        <f aca="false">Q656-$G$2+$I$2</f>
        <v>25718.7288833592</v>
      </c>
      <c r="S656" s="42" t="n">
        <f aca="false">R656/$K$2</f>
        <v>109.895008688456</v>
      </c>
      <c r="T656" s="43" t="n">
        <f aca="false">S656-$M$2</f>
        <v>-0.0908905552311978</v>
      </c>
    </row>
    <row r="657" customFormat="false" ht="15" hidden="false" customHeight="false" outlineLevel="0" collapsed="false">
      <c r="A657" s="5" t="n">
        <v>13</v>
      </c>
      <c r="B657" s="25" t="n">
        <f aca="false">IF(T656&gt;0,B656,D656)</f>
        <v>0.0614013671875</v>
      </c>
      <c r="C657" s="25" t="n">
        <f aca="false">IF(T656&gt;0,D656,C656)</f>
        <v>0.061767578125</v>
      </c>
      <c r="D657" s="41" t="n">
        <f aca="false">(B657+C657)/2</f>
        <v>0.06158447265625</v>
      </c>
      <c r="E657" s="15" t="n">
        <f aca="false">$C$2*(1+IF(E$3&lt;=$O$2,$D657,$D657-($D657-$I$643)*MIN(E$3-$O$2,$Q$2)/$Q$2))</f>
        <v>2335.48583984375</v>
      </c>
      <c r="F657" s="15" t="n">
        <f aca="false">E657*(1+IF(F$3&lt;=$O$2,$D657,$D657-($D657-$I$643)*MIN(F$3-$O$2,$Q$2)/$Q$2))</f>
        <v>2479.31550368667</v>
      </c>
      <c r="G657" s="15" t="n">
        <f aca="false">F657*(1+IF(G$3&lt;=$O$2,$D657,$D657-($D657-$I$643)*MIN(G$3-$O$2,$Q$2)/$Q$2))</f>
        <v>2632.00284152967</v>
      </c>
      <c r="H657" s="15" t="n">
        <f aca="false">G657*(1+IF(H$3&lt;=$O$2,$D657,$D657-($D657-$I$643)*MIN(H$3-$O$2,$Q$2)/$Q$2))</f>
        <v>2794.09334855503</v>
      </c>
      <c r="I657" s="15" t="n">
        <f aca="false">H657*(1+IF(I$3&lt;=$O$2,$D657,$D657-($D657-$I$643)*MIN(I$3-$O$2,$Q$2)/$Q$2))</f>
        <v>2966.16611397813</v>
      </c>
      <c r="J657" s="15" t="n">
        <f aca="false">I657*(1+IF(J$3&lt;=$O$2,$D657,$D657-($D657-$I$643)*MIN(J$3-$O$2,$Q$2)/$Q$2))</f>
        <v>3129.09043493539</v>
      </c>
      <c r="K657" s="15" t="n">
        <f aca="false">J657*(1+IF(K$3&lt;=$O$2,$D657,$D657-($D657-$I$643)*MIN(K$3-$O$2,$Q$2)/$Q$2))</f>
        <v>3280.13376925639</v>
      </c>
      <c r="L657" s="15" t="n">
        <f aca="false">K657*(1+IF(L$3&lt;=$O$2,$D657,$D657-($D657-$I$643)*MIN(L$3-$O$2,$Q$2)/$Q$2))</f>
        <v>3416.632564027</v>
      </c>
      <c r="M657" s="15" t="n">
        <f aca="false">L657*(1+IF(M$3&lt;=$O$2,$D657,$D657-($D657-$I$643)*MIN(M$3-$O$2,$Q$2)/$Q$2))</f>
        <v>3536.06742821973</v>
      </c>
      <c r="N657" s="15" t="n">
        <f aca="false">M657*(1+IF(N$3&lt;=$O$2,$D657,$D657-($D657-$I$643)*MIN(N$3-$O$2,$Q$2)/$Q$2))</f>
        <v>3636.13813643835</v>
      </c>
      <c r="O657" s="15" t="n">
        <f aca="false">SUMPRODUCT(E657:N657,1/(1+$F$643)^$E$3:$N$3)*$E$2</f>
        <v>9796.97319267347</v>
      </c>
      <c r="P657" s="15" t="n">
        <f aca="false">N657*$E$2*(1+$I$643)/($F$643-$I$643)/(1+$F$643)^$N$3</f>
        <v>14036.9020926547</v>
      </c>
      <c r="Q657" s="15" t="n">
        <f aca="false">O657+P657</f>
        <v>23833.8752853281</v>
      </c>
      <c r="R657" s="15" t="n">
        <f aca="false">Q657-$G$2+$I$2</f>
        <v>25743.5352853281</v>
      </c>
      <c r="S657" s="42" t="n">
        <f aca="false">R657/$K$2</f>
        <v>110.001005363962</v>
      </c>
      <c r="T657" s="43" t="n">
        <f aca="false">S657-$M$2</f>
        <v>0.0151061202757461</v>
      </c>
    </row>
    <row r="658" customFormat="false" ht="15" hidden="false" customHeight="false" outlineLevel="0" collapsed="false">
      <c r="A658" s="5" t="n">
        <v>14</v>
      </c>
      <c r="B658" s="25" t="n">
        <f aca="false">IF(T657&gt;0,B657,D657)</f>
        <v>0.0614013671875</v>
      </c>
      <c r="C658" s="25" t="n">
        <f aca="false">IF(T657&gt;0,D657,C657)</f>
        <v>0.06158447265625</v>
      </c>
      <c r="D658" s="41" t="n">
        <f aca="false">(B658+C658)/2</f>
        <v>0.061492919921875</v>
      </c>
      <c r="E658" s="15" t="n">
        <f aca="false">$C$2*(1+IF(E$3&lt;=$O$2,$D658,$D658-($D658-$I$643)*MIN(E$3-$O$2,$Q$2)/$Q$2))</f>
        <v>2335.28442382813</v>
      </c>
      <c r="F658" s="15" t="n">
        <f aca="false">E658*(1+IF(F$3&lt;=$O$2,$D658,$D658-($D658-$I$643)*MIN(F$3-$O$2,$Q$2)/$Q$2))</f>
        <v>2478.88788189739</v>
      </c>
      <c r="G658" s="15" t="n">
        <f aca="false">F658*(1+IF(G$3&lt;=$O$2,$D658,$D658-($D658-$I$643)*MIN(G$3-$O$2,$Q$2)/$Q$2))</f>
        <v>2631.32193591421</v>
      </c>
      <c r="H658" s="15" t="n">
        <f aca="false">G658*(1+IF(H$3&lt;=$O$2,$D658,$D658-($D658-$I$643)*MIN(H$3-$O$2,$Q$2)/$Q$2))</f>
        <v>2793.12960500806</v>
      </c>
      <c r="I658" s="15" t="n">
        <f aca="false">H658*(1+IF(I$3&lt;=$O$2,$D658,$D658-($D658-$I$643)*MIN(I$3-$O$2,$Q$2)/$Q$2))</f>
        <v>2964.88730014024</v>
      </c>
      <c r="J658" s="15" t="n">
        <f aca="false">I658*(1+IF(J$3&lt;=$O$2,$D658,$D658-($D658-$I$643)*MIN(J$3-$O$2,$Q$2)/$Q$2))</f>
        <v>3127.52422411896</v>
      </c>
      <c r="K658" s="15" t="n">
        <f aca="false">J658*(1+IF(K$3&lt;=$O$2,$D658,$D658-($D658-$I$643)*MIN(K$3-$O$2,$Q$2)/$Q$2))</f>
        <v>3278.32015633647</v>
      </c>
      <c r="L658" s="15" t="n">
        <f aca="false">K658*(1+IF(L$3&lt;=$O$2,$D658,$D658-($D658-$I$643)*MIN(L$3-$O$2,$Q$2)/$Q$2))</f>
        <v>3414.62342413181</v>
      </c>
      <c r="M658" s="15" t="n">
        <f aca="false">L658*(1+IF(M$3&lt;=$O$2,$D658,$D658-($D658-$I$643)*MIN(M$3-$O$2,$Q$2)/$Q$2))</f>
        <v>3533.92553141085</v>
      </c>
      <c r="N658" s="15" t="n">
        <f aca="false">M658*(1+IF(N$3&lt;=$O$2,$D658,$D658-($D658-$I$643)*MIN(N$3-$O$2,$Q$2)/$Q$2))</f>
        <v>3633.93562394978</v>
      </c>
      <c r="O658" s="15" t="n">
        <f aca="false">SUMPRODUCT(E658:N658,1/(1+$F$643)^$E$3:$N$3)*$E$2</f>
        <v>9793.06951146871</v>
      </c>
      <c r="P658" s="15" t="n">
        <f aca="false">N658*$E$2*(1+$I$643)/($F$643-$I$643)/(1+$F$643)^$N$3</f>
        <v>14028.3995410464</v>
      </c>
      <c r="Q658" s="15" t="n">
        <f aca="false">O658+P658</f>
        <v>23821.4690525151</v>
      </c>
      <c r="R658" s="15" t="n">
        <f aca="false">Q658-$G$2+$I$2</f>
        <v>25731.1290525151</v>
      </c>
      <c r="S658" s="42" t="n">
        <f aca="false">R658/$K$2</f>
        <v>109.947994071337</v>
      </c>
      <c r="T658" s="43" t="n">
        <f aca="false">S658-$M$2</f>
        <v>-0.0379051723493262</v>
      </c>
    </row>
    <row r="659" customFormat="false" ht="15" hidden="false" customHeight="false" outlineLevel="0" collapsed="false">
      <c r="A659" s="5" t="n">
        <v>15</v>
      </c>
      <c r="B659" s="25" t="n">
        <f aca="false">IF(T658&gt;0,B658,D658)</f>
        <v>0.061492919921875</v>
      </c>
      <c r="C659" s="25" t="n">
        <f aca="false">IF(T658&gt;0,D658,C658)</f>
        <v>0.06158447265625</v>
      </c>
      <c r="D659" s="41" t="n">
        <f aca="false">(B659+C659)/2</f>
        <v>0.0615386962890625</v>
      </c>
      <c r="E659" s="15" t="n">
        <f aca="false">$C$2*(1+IF(E$3&lt;=$O$2,$D659,$D659-($D659-$I$643)*MIN(E$3-$O$2,$Q$2)/$Q$2))</f>
        <v>2335.38513183594</v>
      </c>
      <c r="F659" s="15" t="n">
        <f aca="false">E659*(1+IF(F$3&lt;=$O$2,$D659,$D659-($D659-$I$643)*MIN(F$3-$O$2,$Q$2)/$Q$2))</f>
        <v>2479.10168818198</v>
      </c>
      <c r="G659" s="15" t="n">
        <f aca="false">F659*(1+IF(G$3&lt;=$O$2,$D659,$D659-($D659-$I$643)*MIN(G$3-$O$2,$Q$2)/$Q$2))</f>
        <v>2631.66237404071</v>
      </c>
      <c r="H659" s="15" t="n">
        <f aca="false">G659*(1+IF(H$3&lt;=$O$2,$D659,$D659-($D659-$I$643)*MIN(H$3-$O$2,$Q$2)/$Q$2))</f>
        <v>2793.61144561216</v>
      </c>
      <c r="I659" s="15" t="n">
        <f aca="false">H659*(1+IF(I$3&lt;=$O$2,$D659,$D659-($D659-$I$643)*MIN(I$3-$O$2,$Q$2)/$Q$2))</f>
        <v>2965.52665191333</v>
      </c>
      <c r="J659" s="15" t="n">
        <f aca="false">I659*(1+IF(J$3&lt;=$O$2,$D659,$D659-($D659-$I$643)*MIN(J$3-$O$2,$Q$2)/$Q$2))</f>
        <v>3128.30724793854</v>
      </c>
      <c r="K659" s="15" t="n">
        <f aca="false">J659*(1+IF(K$3&lt;=$O$2,$D659,$D659-($D659-$I$643)*MIN(K$3-$O$2,$Q$2)/$Q$2))</f>
        <v>3279.22685576306</v>
      </c>
      <c r="L659" s="15" t="n">
        <f aca="false">K659*(1+IF(L$3&lt;=$O$2,$D659,$D659-($D659-$I$643)*MIN(L$3-$O$2,$Q$2)/$Q$2))</f>
        <v>3415.62786598981</v>
      </c>
      <c r="M659" s="15" t="n">
        <f aca="false">L659*(1+IF(M$3&lt;=$O$2,$D659,$D659-($D659-$I$643)*MIN(M$3-$O$2,$Q$2)/$Q$2))</f>
        <v>3534.99633805214</v>
      </c>
      <c r="N659" s="15" t="n">
        <f aca="false">M659*(1+IF(N$3&lt;=$O$2,$D659,$D659-($D659-$I$643)*MIN(N$3-$O$2,$Q$2)/$Q$2))</f>
        <v>3635.03673441902</v>
      </c>
      <c r="O659" s="15" t="n">
        <f aca="false">SUMPRODUCT(E659:N659,1/(1+$F$643)^$E$3:$N$3)*$E$2</f>
        <v>9795.0211566978</v>
      </c>
      <c r="P659" s="15" t="n">
        <f aca="false">N659*$E$2*(1+$I$643)/($F$643-$I$643)/(1+$F$643)^$N$3</f>
        <v>14032.6502541024</v>
      </c>
      <c r="Q659" s="15" t="n">
        <f aca="false">O659+P659</f>
        <v>23827.6714108002</v>
      </c>
      <c r="R659" s="15" t="n">
        <f aca="false">Q659-$G$2+$I$2</f>
        <v>25737.3314108002</v>
      </c>
      <c r="S659" s="42" t="n">
        <f aca="false">R659/$K$2</f>
        <v>109.97449647823</v>
      </c>
      <c r="T659" s="43" t="n">
        <f aca="false">S659-$M$2</f>
        <v>-0.0114027654567224</v>
      </c>
    </row>
    <row r="660" customFormat="false" ht="15" hidden="false" customHeight="false" outlineLevel="0" collapsed="false">
      <c r="A660" s="5" t="n">
        <v>16</v>
      </c>
      <c r="B660" s="25" t="n">
        <f aca="false">IF(T659&gt;0,B659,D659)</f>
        <v>0.0615386962890625</v>
      </c>
      <c r="C660" s="25" t="n">
        <f aca="false">IF(T659&gt;0,D659,C659)</f>
        <v>0.06158447265625</v>
      </c>
      <c r="D660" s="41" t="n">
        <f aca="false">(B660+C660)/2</f>
        <v>0.0615615844726563</v>
      </c>
      <c r="E660" s="15" t="n">
        <f aca="false">$C$2*(1+IF(E$3&lt;=$O$2,$D660,$D660-($D660-$I$643)*MIN(E$3-$O$2,$Q$2)/$Q$2))</f>
        <v>2335.43548583984</v>
      </c>
      <c r="F660" s="15" t="n">
        <f aca="false">E660*(1+IF(F$3&lt;=$O$2,$D660,$D660-($D660-$I$643)*MIN(F$3-$O$2,$Q$2)/$Q$2))</f>
        <v>2479.20859478181</v>
      </c>
      <c r="G660" s="15" t="n">
        <f aca="false">F660*(1+IF(G$3&lt;=$O$2,$D660,$D660-($D660-$I$643)*MIN(G$3-$O$2,$Q$2)/$Q$2))</f>
        <v>2631.83260411481</v>
      </c>
      <c r="H660" s="15" t="n">
        <f aca="false">G660*(1+IF(H$3&lt;=$O$2,$D660,$D660-($D660-$I$643)*MIN(H$3-$O$2,$Q$2)/$Q$2))</f>
        <v>2793.85238929091</v>
      </c>
      <c r="I660" s="15" t="n">
        <f aca="false">H660*(1+IF(I$3&lt;=$O$2,$D660,$D660-($D660-$I$643)*MIN(I$3-$O$2,$Q$2)/$Q$2))</f>
        <v>2965.84636915838</v>
      </c>
      <c r="J660" s="15" t="n">
        <f aca="false">I660*(1+IF(J$3&lt;=$O$2,$D660,$D660-($D660-$I$643)*MIN(J$3-$O$2,$Q$2)/$Q$2))</f>
        <v>3128.69882103811</v>
      </c>
      <c r="K660" s="15" t="n">
        <f aca="false">J660*(1+IF(K$3&lt;=$O$2,$D660,$D660-($D660-$I$643)*MIN(K$3-$O$2,$Q$2)/$Q$2))</f>
        <v>3279.68028574876</v>
      </c>
      <c r="L660" s="15" t="n">
        <f aca="false">K660*(1+IF(L$3&lt;=$O$2,$D660,$D660-($D660-$I$643)*MIN(L$3-$O$2,$Q$2)/$Q$2))</f>
        <v>3416.13018298254</v>
      </c>
      <c r="M660" s="15" t="n">
        <f aca="false">L660*(1+IF(M$3&lt;=$O$2,$D660,$D660-($D660-$I$643)*MIN(M$3-$O$2,$Q$2)/$Q$2))</f>
        <v>3535.53184769112</v>
      </c>
      <c r="N660" s="15" t="n">
        <f aca="false">M660*(1+IF(N$3&lt;=$O$2,$D660,$D660-($D660-$I$643)*MIN(N$3-$O$2,$Q$2)/$Q$2))</f>
        <v>3635.58739898078</v>
      </c>
      <c r="O660" s="15" t="n">
        <f aca="false">SUMPRODUCT(E660:N660,1/(1+$F$643)^$E$3:$N$3)*$E$2</f>
        <v>9795.99712583775</v>
      </c>
      <c r="P660" s="15" t="n">
        <f aca="false">N660*$E$2*(1+$I$643)/($F$643-$I$643)/(1+$F$643)^$N$3</f>
        <v>14034.7760326755</v>
      </c>
      <c r="Q660" s="15" t="n">
        <f aca="false">O660+P660</f>
        <v>23830.7731585133</v>
      </c>
      <c r="R660" s="15" t="n">
        <f aca="false">Q660-$G$2+$I$2</f>
        <v>25740.4331585133</v>
      </c>
      <c r="S660" s="42" t="n">
        <f aca="false">R660/$K$2</f>
        <v>109.987750111153</v>
      </c>
      <c r="T660" s="43" t="n">
        <f aca="false">S660-$M$2</f>
        <v>0.00185086746678564</v>
      </c>
    </row>
    <row r="661" customFormat="false" ht="15" hidden="false" customHeight="false" outlineLevel="0" collapsed="false">
      <c r="A661" s="5" t="n">
        <v>17</v>
      </c>
      <c r="B661" s="25" t="n">
        <f aca="false">IF(T660&gt;0,B660,D660)</f>
        <v>0.0615386962890625</v>
      </c>
      <c r="C661" s="25" t="n">
        <f aca="false">IF(T660&gt;0,D660,C660)</f>
        <v>0.0615615844726563</v>
      </c>
      <c r="D661" s="41" t="n">
        <f aca="false">(B661+C661)/2</f>
        <v>0.0615501403808594</v>
      </c>
      <c r="E661" s="15" t="n">
        <f aca="false">$C$2*(1+IF(E$3&lt;=$O$2,$D661,$D661-($D661-$I$643)*MIN(E$3-$O$2,$Q$2)/$Q$2))</f>
        <v>2335.41030883789</v>
      </c>
      <c r="F661" s="15" t="n">
        <f aca="false">E661*(1+IF(F$3&lt;=$O$2,$D661,$D661-($D661-$I$643)*MIN(F$3-$O$2,$Q$2)/$Q$2))</f>
        <v>2479.15514119377</v>
      </c>
      <c r="G661" s="15" t="n">
        <f aca="false">F661*(1+IF(G$3&lt;=$O$2,$D661,$D661-($D661-$I$643)*MIN(G$3-$O$2,$Q$2)/$Q$2))</f>
        <v>2631.74748816017</v>
      </c>
      <c r="H661" s="15" t="n">
        <f aca="false">G661*(1+IF(H$3&lt;=$O$2,$D661,$D661-($D661-$I$643)*MIN(H$3-$O$2,$Q$2)/$Q$2))</f>
        <v>2793.73191550341</v>
      </c>
      <c r="I661" s="15" t="n">
        <f aca="false">H661*(1+IF(I$3&lt;=$O$2,$D661,$D661-($D661-$I$643)*MIN(I$3-$O$2,$Q$2)/$Q$2))</f>
        <v>2965.68650708913</v>
      </c>
      <c r="J661" s="15" t="n">
        <f aca="false">I661*(1+IF(J$3&lt;=$O$2,$D661,$D661-($D661-$I$643)*MIN(J$3-$O$2,$Q$2)/$Q$2))</f>
        <v>3128.50302938882</v>
      </c>
      <c r="K661" s="15" t="n">
        <f aca="false">J661*(1+IF(K$3&lt;=$O$2,$D661,$D661-($D661-$I$643)*MIN(K$3-$O$2,$Q$2)/$Q$2))</f>
        <v>3279.453564066</v>
      </c>
      <c r="L661" s="15" t="n">
        <f aca="false">K661*(1+IF(L$3&lt;=$O$2,$D661,$D661-($D661-$I$643)*MIN(L$3-$O$2,$Q$2)/$Q$2))</f>
        <v>3415.87901648015</v>
      </c>
      <c r="M661" s="15" t="n">
        <f aca="false">L661*(1+IF(M$3&lt;=$O$2,$D661,$D661-($D661-$I$643)*MIN(M$3-$O$2,$Q$2)/$Q$2))</f>
        <v>3535.26408401093</v>
      </c>
      <c r="N661" s="15" t="n">
        <f aca="false">M661*(1+IF(N$3&lt;=$O$2,$D661,$D661-($D661-$I$643)*MIN(N$3-$O$2,$Q$2)/$Q$2))</f>
        <v>3635.31205758844</v>
      </c>
      <c r="O661" s="15" t="n">
        <f aca="false">SUMPRODUCT(E661:N661,1/(1+$F$643)^$E$3:$N$3)*$E$2</f>
        <v>9795.50912905638</v>
      </c>
      <c r="P661" s="15" t="n">
        <f aca="false">N661*$E$2*(1+$I$643)/($F$643-$I$643)/(1+$F$643)^$N$3</f>
        <v>14033.7131082152</v>
      </c>
      <c r="Q661" s="15" t="n">
        <f aca="false">O661+P661</f>
        <v>23829.2222372715</v>
      </c>
      <c r="R661" s="15" t="n">
        <f aca="false">Q661-$G$2+$I$2</f>
        <v>25738.8822372715</v>
      </c>
      <c r="S661" s="42" t="n">
        <f aca="false">R661/$K$2</f>
        <v>109.981123092217</v>
      </c>
      <c r="T661" s="43" t="n">
        <f aca="false">S661-$M$2</f>
        <v>-0.00477615146968446</v>
      </c>
    </row>
    <row r="662" customFormat="false" ht="15" hidden="false" customHeight="false" outlineLevel="0" collapsed="false">
      <c r="A662" s="5" t="n">
        <v>18</v>
      </c>
      <c r="B662" s="25" t="n">
        <f aca="false">IF(T661&gt;0,B661,D661)</f>
        <v>0.0615501403808594</v>
      </c>
      <c r="C662" s="25" t="n">
        <f aca="false">IF(T661&gt;0,D661,C661)</f>
        <v>0.0615615844726563</v>
      </c>
      <c r="D662" s="41" t="n">
        <f aca="false">(B662+C662)/2</f>
        <v>0.0615558624267578</v>
      </c>
      <c r="E662" s="15" t="n">
        <f aca="false">$C$2*(1+IF(E$3&lt;=$O$2,$D662,$D662-($D662-$I$643)*MIN(E$3-$O$2,$Q$2)/$Q$2))</f>
        <v>2335.42289733887</v>
      </c>
      <c r="F662" s="15" t="n">
        <f aca="false">E662*(1+IF(F$3&lt;=$O$2,$D662,$D662-($D662-$I$643)*MIN(F$3-$O$2,$Q$2)/$Q$2))</f>
        <v>2479.18186791576</v>
      </c>
      <c r="G662" s="15" t="n">
        <f aca="false">F662*(1+IF(G$3&lt;=$O$2,$D662,$D662-($D662-$I$643)*MIN(G$3-$O$2,$Q$2)/$Q$2))</f>
        <v>2631.79004590809</v>
      </c>
      <c r="H662" s="15" t="n">
        <f aca="false">G662*(1+IF(H$3&lt;=$O$2,$D662,$D662-($D662-$I$643)*MIN(H$3-$O$2,$Q$2)/$Q$2))</f>
        <v>2793.79215191012</v>
      </c>
      <c r="I662" s="15" t="n">
        <f aca="false">H662*(1+IF(I$3&lt;=$O$2,$D662,$D662-($D662-$I$643)*MIN(I$3-$O$2,$Q$2)/$Q$2))</f>
        <v>2965.76643726206</v>
      </c>
      <c r="J662" s="15" t="n">
        <f aca="false">I662*(1+IF(J$3&lt;=$O$2,$D662,$D662-($D662-$I$643)*MIN(J$3-$O$2,$Q$2)/$Q$2))</f>
        <v>3128.60092393856</v>
      </c>
      <c r="K662" s="15" t="n">
        <f aca="false">J662*(1+IF(K$3&lt;=$O$2,$D662,$D662-($D662-$I$643)*MIN(K$3-$O$2,$Q$2)/$Q$2))</f>
        <v>3279.56692323486</v>
      </c>
      <c r="L662" s="15" t="n">
        <f aca="false">K662*(1+IF(L$3&lt;=$O$2,$D662,$D662-($D662-$I$643)*MIN(L$3-$O$2,$Q$2)/$Q$2))</f>
        <v>3416.00459772978</v>
      </c>
      <c r="M662" s="15" t="n">
        <f aca="false">L662*(1+IF(M$3&lt;=$O$2,$D662,$D662-($D662-$I$643)*MIN(M$3-$O$2,$Q$2)/$Q$2))</f>
        <v>3535.39796363579</v>
      </c>
      <c r="N662" s="15" t="n">
        <f aca="false">M662*(1+IF(N$3&lt;=$O$2,$D662,$D662-($D662-$I$643)*MIN(N$3-$O$2,$Q$2)/$Q$2))</f>
        <v>3635.44972600668</v>
      </c>
      <c r="O662" s="15" t="n">
        <f aca="false">SUMPRODUCT(E662:N662,1/(1+$F$643)^$E$3:$N$3)*$E$2</f>
        <v>9795.75312439414</v>
      </c>
      <c r="P662" s="15" t="n">
        <f aca="false">N662*$E$2*(1+$I$643)/($F$643-$I$643)/(1+$F$643)^$N$3</f>
        <v>14034.2445616516</v>
      </c>
      <c r="Q662" s="15" t="n">
        <f aca="false">O662+P662</f>
        <v>23829.9976860458</v>
      </c>
      <c r="R662" s="15" t="n">
        <f aca="false">Q662-$G$2+$I$2</f>
        <v>25739.6576860458</v>
      </c>
      <c r="S662" s="42" t="n">
        <f aca="false">R662/$K$2</f>
        <v>109.984436551065</v>
      </c>
      <c r="T662" s="43" t="n">
        <f aca="false">S662-$M$2</f>
        <v>-0.00146269262151577</v>
      </c>
    </row>
    <row r="663" customFormat="false" ht="15" hidden="false" customHeight="false" outlineLevel="0" collapsed="false">
      <c r="A663" s="5" t="n">
        <v>19</v>
      </c>
      <c r="B663" s="25" t="n">
        <f aca="false">IF(T662&gt;0,B662,D662)</f>
        <v>0.0615558624267578</v>
      </c>
      <c r="C663" s="25" t="n">
        <f aca="false">IF(T662&gt;0,D662,C662)</f>
        <v>0.0615615844726563</v>
      </c>
      <c r="D663" s="41" t="n">
        <f aca="false">(B663+C663)/2</f>
        <v>0.061558723449707</v>
      </c>
      <c r="E663" s="15" t="n">
        <f aca="false">$C$2*(1+IF(E$3&lt;=$O$2,$D663,$D663-($D663-$I$643)*MIN(E$3-$O$2,$Q$2)/$Q$2))</f>
        <v>2335.42919158936</v>
      </c>
      <c r="F663" s="15" t="n">
        <f aca="false">E663*(1+IF(F$3&lt;=$O$2,$D663,$D663-($D663-$I$643)*MIN(F$3-$O$2,$Q$2)/$Q$2))</f>
        <v>2479.19523133078</v>
      </c>
      <c r="G663" s="15" t="n">
        <f aca="false">F663*(1+IF(G$3&lt;=$O$2,$D663,$D663-($D663-$I$643)*MIN(G$3-$O$2,$Q$2)/$Q$2))</f>
        <v>2631.8113249541</v>
      </c>
      <c r="H663" s="15" t="n">
        <f aca="false">G663*(1+IF(H$3&lt;=$O$2,$D663,$D663-($D663-$I$643)*MIN(H$3-$O$2,$Q$2)/$Q$2))</f>
        <v>2793.82227047876</v>
      </c>
      <c r="I663" s="15" t="n">
        <f aca="false">H663*(1+IF(I$3&lt;=$O$2,$D663,$D663-($D663-$I$643)*MIN(I$3-$O$2,$Q$2)/$Q$2))</f>
        <v>2965.80640299479</v>
      </c>
      <c r="J663" s="15" t="n">
        <f aca="false">I663*(1+IF(J$3&lt;=$O$2,$D663,$D663-($D663-$I$643)*MIN(J$3-$O$2,$Q$2)/$Q$2))</f>
        <v>3128.6498721696</v>
      </c>
      <c r="K663" s="15" t="n">
        <f aca="false">J663*(1+IF(K$3&lt;=$O$2,$D663,$D663-($D663-$I$643)*MIN(K$3-$O$2,$Q$2)/$Q$2))</f>
        <v>3279.62360407367</v>
      </c>
      <c r="L663" s="15" t="n">
        <f aca="false">K663*(1+IF(L$3&lt;=$O$2,$D663,$D663-($D663-$I$643)*MIN(L$3-$O$2,$Q$2)/$Q$2))</f>
        <v>3416.06738985577</v>
      </c>
      <c r="M663" s="15" t="n">
        <f aca="false">L663*(1+IF(M$3&lt;=$O$2,$D663,$D663-($D663-$I$643)*MIN(M$3-$O$2,$Q$2)/$Q$2))</f>
        <v>3535.46490510964</v>
      </c>
      <c r="N663" s="15" t="n">
        <f aca="false">M663*(1+IF(N$3&lt;=$O$2,$D663,$D663-($D663-$I$643)*MIN(N$3-$O$2,$Q$2)/$Q$2))</f>
        <v>3635.51856192424</v>
      </c>
      <c r="O663" s="15" t="n">
        <f aca="false">SUMPRODUCT(E663:N663,1/(1+$F$643)^$E$3:$N$3)*$E$2</f>
        <v>9795.87512435271</v>
      </c>
      <c r="P663" s="15" t="n">
        <f aca="false">N663*$E$2*(1+$I$643)/($F$643-$I$643)/(1+$F$643)^$N$3</f>
        <v>14034.5102949651</v>
      </c>
      <c r="Q663" s="15" t="n">
        <f aca="false">O663+P663</f>
        <v>23830.3854193178</v>
      </c>
      <c r="R663" s="15" t="n">
        <f aca="false">Q663-$G$2+$I$2</f>
        <v>25740.0454193178</v>
      </c>
      <c r="S663" s="42" t="n">
        <f aca="false">R663/$K$2</f>
        <v>109.986093318454</v>
      </c>
      <c r="T663" s="43" t="n">
        <f aca="false">S663-$M$2</f>
        <v>0.000194074767421171</v>
      </c>
    </row>
    <row r="664" customFormat="false" ht="15" hidden="false" customHeight="false" outlineLevel="0" collapsed="false">
      <c r="A664" s="5" t="n">
        <v>20</v>
      </c>
      <c r="B664" s="25" t="n">
        <f aca="false">IF(T663&gt;0,B663,D663)</f>
        <v>0.0615558624267578</v>
      </c>
      <c r="C664" s="25" t="n">
        <f aca="false">IF(T663&gt;0,D663,C663)</f>
        <v>0.061558723449707</v>
      </c>
      <c r="D664" s="41" t="n">
        <f aca="false">(B664+C664)/2</f>
        <v>0.0615572929382324</v>
      </c>
      <c r="E664" s="15" t="n">
        <f aca="false">$C$2*(1+IF(E$3&lt;=$O$2,$D664,$D664-($D664-$I$643)*MIN(E$3-$O$2,$Q$2)/$Q$2))</f>
        <v>2335.42604446411</v>
      </c>
      <c r="F664" s="15" t="n">
        <f aca="false">E664*(1+IF(F$3&lt;=$O$2,$D664,$D664-($D664-$I$643)*MIN(F$3-$O$2,$Q$2)/$Q$2))</f>
        <v>2479.18854961877</v>
      </c>
      <c r="G664" s="15" t="n">
        <f aca="false">F664*(1+IF(G$3&lt;=$O$2,$D664,$D664-($D664-$I$643)*MIN(G$3-$O$2,$Q$2)/$Q$2))</f>
        <v>2631.80068541676</v>
      </c>
      <c r="H664" s="15" t="n">
        <f aca="false">G664*(1+IF(H$3&lt;=$O$2,$D664,$D664-($D664-$I$643)*MIN(H$3-$O$2,$Q$2)/$Q$2))</f>
        <v>2793.807211164</v>
      </c>
      <c r="I664" s="15" t="n">
        <f aca="false">H664*(1+IF(I$3&lt;=$O$2,$D664,$D664-($D664-$I$643)*MIN(I$3-$O$2,$Q$2)/$Q$2))</f>
        <v>2965.78642007457</v>
      </c>
      <c r="J664" s="15" t="n">
        <f aca="false">I664*(1+IF(J$3&lt;=$O$2,$D664,$D664-($D664-$I$643)*MIN(J$3-$O$2,$Q$2)/$Q$2))</f>
        <v>3128.6253979744</v>
      </c>
      <c r="K664" s="15" t="n">
        <f aca="false">J664*(1+IF(K$3&lt;=$O$2,$D664,$D664-($D664-$I$643)*MIN(K$3-$O$2,$Q$2)/$Q$2))</f>
        <v>3279.59526354973</v>
      </c>
      <c r="L664" s="15" t="n">
        <f aca="false">K664*(1+IF(L$3&lt;=$O$2,$D664,$D664-($D664-$I$643)*MIN(L$3-$O$2,$Q$2)/$Q$2))</f>
        <v>3416.03599366768</v>
      </c>
      <c r="M664" s="15" t="n">
        <f aca="false">L664*(1+IF(M$3&lt;=$O$2,$D664,$D664-($D664-$I$643)*MIN(M$3-$O$2,$Q$2)/$Q$2))</f>
        <v>3535.43143423426</v>
      </c>
      <c r="N664" s="15" t="n">
        <f aca="false">M664*(1+IF(N$3&lt;=$O$2,$D664,$D664-($D664-$I$643)*MIN(N$3-$O$2,$Q$2)/$Q$2))</f>
        <v>3635.48414382309</v>
      </c>
      <c r="O664" s="15" t="n">
        <f aca="false">SUMPRODUCT(E664:N664,1/(1+$F$643)^$E$3:$N$3)*$E$2</f>
        <v>9795.81412418262</v>
      </c>
      <c r="P664" s="15" t="n">
        <f aca="false">N664*$E$2*(1+$I$643)/($F$643-$I$643)/(1+$F$643)^$N$3</f>
        <v>14034.3774277588</v>
      </c>
      <c r="Q664" s="15" t="n">
        <f aca="false">O664+P664</f>
        <v>23830.1915519414</v>
      </c>
      <c r="R664" s="15" t="n">
        <f aca="false">Q664-$G$2+$I$2</f>
        <v>25739.8515519414</v>
      </c>
      <c r="S664" s="42" t="n">
        <f aca="false">R664/$K$2</f>
        <v>109.985264931596</v>
      </c>
      <c r="T664" s="43" t="n">
        <f aca="false">S664-$M$2</f>
        <v>-0.000634312090795675</v>
      </c>
    </row>
    <row r="665" customFormat="false" ht="15" hidden="false" customHeight="false" outlineLevel="0" collapsed="false">
      <c r="A665" s="5" t="n">
        <v>21</v>
      </c>
      <c r="B665" s="25" t="n">
        <f aca="false">IF(T664&gt;0,B664,D664)</f>
        <v>0.0615572929382324</v>
      </c>
      <c r="C665" s="25" t="n">
        <f aca="false">IF(T664&gt;0,D664,C664)</f>
        <v>0.061558723449707</v>
      </c>
      <c r="D665" s="41" t="n">
        <f aca="false">(B665+C665)/2</f>
        <v>0.0615580081939697</v>
      </c>
      <c r="E665" s="15" t="n">
        <f aca="false">$C$2*(1+IF(E$3&lt;=$O$2,$D665,$D665-($D665-$I$643)*MIN(E$3-$O$2,$Q$2)/$Q$2))</f>
        <v>2335.42761802673</v>
      </c>
      <c r="F665" s="15" t="n">
        <f aca="false">E665*(1+IF(F$3&lt;=$O$2,$D665,$D665-($D665-$I$643)*MIN(F$3-$O$2,$Q$2)/$Q$2))</f>
        <v>2479.19189047365</v>
      </c>
      <c r="G665" s="15" t="n">
        <f aca="false">F665*(1+IF(G$3&lt;=$O$2,$D665,$D665-($D665-$I$643)*MIN(G$3-$O$2,$Q$2)/$Q$2))</f>
        <v>2631.80600518185</v>
      </c>
      <c r="H665" s="15" t="n">
        <f aca="false">G665*(1+IF(H$3&lt;=$O$2,$D665,$D665-($D665-$I$643)*MIN(H$3-$O$2,$Q$2)/$Q$2))</f>
        <v>2793.81474081377</v>
      </c>
      <c r="I665" s="15" t="n">
        <f aca="false">H665*(1+IF(I$3&lt;=$O$2,$D665,$D665-($D665-$I$643)*MIN(I$3-$O$2,$Q$2)/$Q$2))</f>
        <v>2965.79641152122</v>
      </c>
      <c r="J665" s="15" t="n">
        <f aca="false">I665*(1+IF(J$3&lt;=$O$2,$D665,$D665-($D665-$I$643)*MIN(J$3-$O$2,$Q$2)/$Q$2))</f>
        <v>3128.63763505208</v>
      </c>
      <c r="K665" s="15" t="n">
        <f aca="false">J665*(1+IF(K$3&lt;=$O$2,$D665,$D665-($D665-$I$643)*MIN(K$3-$O$2,$Q$2)/$Q$2))</f>
        <v>3279.60943378557</v>
      </c>
      <c r="L665" s="15" t="n">
        <f aca="false">K665*(1+IF(L$3&lt;=$O$2,$D665,$D665-($D665-$I$643)*MIN(L$3-$O$2,$Q$2)/$Q$2))</f>
        <v>3416.05169173045</v>
      </c>
      <c r="M665" s="15" t="n">
        <f aca="false">L665*(1+IF(M$3&lt;=$O$2,$D665,$D665-($D665-$I$643)*MIN(M$3-$O$2,$Q$2)/$Q$2))</f>
        <v>3535.44816963734</v>
      </c>
      <c r="N665" s="15" t="n">
        <f aca="false">M665*(1+IF(N$3&lt;=$O$2,$D665,$D665-($D665-$I$643)*MIN(N$3-$O$2,$Q$2)/$Q$2))</f>
        <v>3635.50135283807</v>
      </c>
      <c r="O665" s="15" t="n">
        <f aca="false">SUMPRODUCT(E665:N665,1/(1+$F$643)^$E$3:$N$3)*$E$2</f>
        <v>9795.84462421996</v>
      </c>
      <c r="P665" s="15" t="n">
        <f aca="false">N665*$E$2*(1+$I$643)/($F$643-$I$643)/(1+$F$643)^$N$3</f>
        <v>14034.4438612245</v>
      </c>
      <c r="Q665" s="15" t="n">
        <f aca="false">O665+P665</f>
        <v>23830.2884854445</v>
      </c>
      <c r="R665" s="15" t="n">
        <f aca="false">Q665-$G$2+$I$2</f>
        <v>25739.9484854445</v>
      </c>
      <c r="S665" s="42" t="n">
        <f aca="false">R665/$K$2</f>
        <v>109.985679124234</v>
      </c>
      <c r="T665" s="43" t="n">
        <f aca="false">S665-$M$2</f>
        <v>-0.000220119452635004</v>
      </c>
    </row>
    <row r="666" customFormat="false" ht="15" hidden="false" customHeight="false" outlineLevel="0" collapsed="false">
      <c r="A666" s="5" t="n">
        <v>22</v>
      </c>
      <c r="B666" s="25" t="n">
        <f aca="false">IF(T665&gt;0,B665,D665)</f>
        <v>0.0615580081939697</v>
      </c>
      <c r="C666" s="25" t="n">
        <f aca="false">IF(T665&gt;0,D665,C665)</f>
        <v>0.061558723449707</v>
      </c>
      <c r="D666" s="41" t="n">
        <f aca="false">(B666+C666)/2</f>
        <v>0.0615583658218384</v>
      </c>
      <c r="E666" s="15" t="n">
        <f aca="false">$C$2*(1+IF(E$3&lt;=$O$2,$D666,$D666-($D666-$I$643)*MIN(E$3-$O$2,$Q$2)/$Q$2))</f>
        <v>2335.42840480804</v>
      </c>
      <c r="F666" s="15" t="n">
        <f aca="false">E666*(1+IF(F$3&lt;=$O$2,$D666,$D666-($D666-$I$643)*MIN(F$3-$O$2,$Q$2)/$Q$2))</f>
        <v>2479.19356090193</v>
      </c>
      <c r="G666" s="15" t="n">
        <f aca="false">F666*(1+IF(G$3&lt;=$O$2,$D666,$D666-($D666-$I$643)*MIN(G$3-$O$2,$Q$2)/$Q$2))</f>
        <v>2631.80866506708</v>
      </c>
      <c r="H666" s="15" t="n">
        <f aca="false">G666*(1+IF(H$3&lt;=$O$2,$D666,$D666-($D666-$I$643)*MIN(H$3-$O$2,$Q$2)/$Q$2))</f>
        <v>2793.81850564436</v>
      </c>
      <c r="I666" s="15" t="n">
        <f aca="false">H666*(1+IF(I$3&lt;=$O$2,$D666,$D666-($D666-$I$643)*MIN(I$3-$O$2,$Q$2)/$Q$2))</f>
        <v>2965.80140725464</v>
      </c>
      <c r="J666" s="15" t="n">
        <f aca="false">I666*(1+IF(J$3&lt;=$O$2,$D666,$D666-($D666-$I$643)*MIN(J$3-$O$2,$Q$2)/$Q$2))</f>
        <v>3128.64375360586</v>
      </c>
      <c r="K666" s="15" t="n">
        <f aca="false">J666*(1+IF(K$3&lt;=$O$2,$D666,$D666-($D666-$I$643)*MIN(K$3-$O$2,$Q$2)/$Q$2))</f>
        <v>3279.61651892309</v>
      </c>
      <c r="L666" s="15" t="n">
        <f aca="false">K666*(1+IF(L$3&lt;=$O$2,$D666,$D666-($D666-$I$643)*MIN(L$3-$O$2,$Q$2)/$Q$2))</f>
        <v>3416.05954078529</v>
      </c>
      <c r="M666" s="15" t="n">
        <f aca="false">L666*(1+IF(M$3&lt;=$O$2,$D666,$D666-($D666-$I$643)*MIN(M$3-$O$2,$Q$2)/$Q$2))</f>
        <v>3535.45653736484</v>
      </c>
      <c r="N666" s="15" t="n">
        <f aca="false">M666*(1+IF(N$3&lt;=$O$2,$D666,$D666-($D666-$I$643)*MIN(N$3-$O$2,$Q$2)/$Q$2))</f>
        <v>3635.50995737226</v>
      </c>
      <c r="O666" s="15" t="n">
        <f aca="false">SUMPRODUCT(E666:N666,1/(1+$F$643)^$E$3:$N$3)*$E$2</f>
        <v>9795.85987427441</v>
      </c>
      <c r="P666" s="15" t="n">
        <f aca="false">N666*$E$2*(1+$I$643)/($F$643-$I$643)/(1+$F$643)^$N$3</f>
        <v>14034.4770780605</v>
      </c>
      <c r="Q666" s="15" t="n">
        <f aca="false">O666+P666</f>
        <v>23830.3369523349</v>
      </c>
      <c r="R666" s="15" t="n">
        <f aca="false">Q666-$G$2+$I$2</f>
        <v>25739.9969523349</v>
      </c>
      <c r="S666" s="42" t="n">
        <f aca="false">R666/$K$2</f>
        <v>109.985886221146</v>
      </c>
      <c r="T666" s="43" t="n">
        <f aca="false">S666-$M$2</f>
        <v>-1.30225403012219E-005</v>
      </c>
    </row>
    <row r="667" customFormat="false" ht="15" hidden="false" customHeight="false" outlineLevel="0" collapsed="false">
      <c r="A667" s="5" t="n">
        <v>23</v>
      </c>
      <c r="B667" s="25" t="n">
        <f aca="false">IF(T666&gt;0,B666,D666)</f>
        <v>0.0615583658218384</v>
      </c>
      <c r="C667" s="25" t="n">
        <f aca="false">IF(T666&gt;0,D666,C666)</f>
        <v>0.061558723449707</v>
      </c>
      <c r="D667" s="41" t="n">
        <f aca="false">(B667+C667)/2</f>
        <v>0.0615585446357727</v>
      </c>
      <c r="E667" s="15" t="n">
        <f aca="false">$C$2*(1+IF(E$3&lt;=$O$2,$D667,$D667-($D667-$I$643)*MIN(E$3-$O$2,$Q$2)/$Q$2))</f>
        <v>2335.4287981987</v>
      </c>
      <c r="F667" s="15" t="n">
        <f aca="false">E667*(1+IF(F$3&lt;=$O$2,$D667,$D667-($D667-$I$643)*MIN(F$3-$O$2,$Q$2)/$Q$2))</f>
        <v>2479.19439611628</v>
      </c>
      <c r="G667" s="15" t="n">
        <f aca="false">F667*(1+IF(G$3&lt;=$O$2,$D667,$D667-($D667-$I$643)*MIN(G$3-$O$2,$Q$2)/$Q$2))</f>
        <v>2631.80999501037</v>
      </c>
      <c r="H667" s="15" t="n">
        <f aca="false">G667*(1+IF(H$3&lt;=$O$2,$D667,$D667-($D667-$I$643)*MIN(H$3-$O$2,$Q$2)/$Q$2))</f>
        <v>2793.82038806108</v>
      </c>
      <c r="I667" s="15" t="n">
        <f aca="false">H667*(1+IF(I$3&lt;=$O$2,$D667,$D667-($D667-$I$643)*MIN(I$3-$O$2,$Q$2)/$Q$2))</f>
        <v>2965.80390512387</v>
      </c>
      <c r="J667" s="15" t="n">
        <f aca="false">I667*(1+IF(J$3&lt;=$O$2,$D667,$D667-($D667-$I$643)*MIN(J$3-$O$2,$Q$2)/$Q$2))</f>
        <v>3128.64681288649</v>
      </c>
      <c r="K667" s="15" t="n">
        <f aca="false">J667*(1+IF(K$3&lt;=$O$2,$D667,$D667-($D667-$I$643)*MIN(K$3-$O$2,$Q$2)/$Q$2))</f>
        <v>3279.62006149675</v>
      </c>
      <c r="L667" s="15" t="n">
        <f aca="false">K667*(1+IF(L$3&lt;=$O$2,$D667,$D667-($D667-$I$643)*MIN(L$3-$O$2,$Q$2)/$Q$2))</f>
        <v>3416.06346531857</v>
      </c>
      <c r="M667" s="15" t="n">
        <f aca="false">L667*(1+IF(M$3&lt;=$O$2,$D667,$D667-($D667-$I$643)*MIN(M$3-$O$2,$Q$2)/$Q$2))</f>
        <v>3535.46072123507</v>
      </c>
      <c r="N667" s="15" t="n">
        <f aca="false">M667*(1+IF(N$3&lt;=$O$2,$D667,$D667-($D667-$I$643)*MIN(N$3-$O$2,$Q$2)/$Q$2))</f>
        <v>3635.51425964603</v>
      </c>
      <c r="O667" s="15" t="n">
        <f aca="false">SUMPRODUCT(E667:N667,1/(1+$F$643)^$E$3:$N$3)*$E$2</f>
        <v>9795.86749931058</v>
      </c>
      <c r="P667" s="15" t="n">
        <f aca="false">N667*$E$2*(1+$I$643)/($F$643-$I$643)/(1+$F$643)^$N$3</f>
        <v>14034.4936865042</v>
      </c>
      <c r="Q667" s="15" t="n">
        <f aca="false">O667+P667</f>
        <v>23830.3611858148</v>
      </c>
      <c r="R667" s="15" t="n">
        <f aca="false">Q667-$G$2+$I$2</f>
        <v>25740.0211858148</v>
      </c>
      <c r="S667" s="42" t="n">
        <f aca="false">R667/$K$2</f>
        <v>109.985989769751</v>
      </c>
      <c r="T667" s="43" t="n">
        <f aca="false">S667-$M$2</f>
        <v>9.05260641133054E-005</v>
      </c>
    </row>
    <row r="668" customFormat="false" ht="15" hidden="false" customHeight="false" outlineLevel="0" collapsed="false">
      <c r="A668" s="5" t="n">
        <v>24</v>
      </c>
      <c r="B668" s="25" t="n">
        <f aca="false">IF(T667&gt;0,B667,D667)</f>
        <v>0.0615583658218384</v>
      </c>
      <c r="C668" s="25" t="n">
        <f aca="false">IF(T667&gt;0,D667,C667)</f>
        <v>0.0615585446357727</v>
      </c>
      <c r="D668" s="41" t="n">
        <f aca="false">(B668+C668)/2</f>
        <v>0.0615584552288055</v>
      </c>
      <c r="E668" s="15" t="n">
        <f aca="false">$C$2*(1+IF(E$3&lt;=$O$2,$D668,$D668-($D668-$I$643)*MIN(E$3-$O$2,$Q$2)/$Q$2))</f>
        <v>2335.42860150337</v>
      </c>
      <c r="F668" s="15" t="n">
        <f aca="false">E668*(1+IF(F$3&lt;=$O$2,$D668,$D668-($D668-$I$643)*MIN(F$3-$O$2,$Q$2)/$Q$2))</f>
        <v>2479.19397850909</v>
      </c>
      <c r="G668" s="15" t="n">
        <f aca="false">F668*(1+IF(G$3&lt;=$O$2,$D668,$D668-($D668-$I$643)*MIN(G$3-$O$2,$Q$2)/$Q$2))</f>
        <v>2631.80933003867</v>
      </c>
      <c r="H668" s="15" t="n">
        <f aca="false">G668*(1+IF(H$3&lt;=$O$2,$D668,$D668-($D668-$I$643)*MIN(H$3-$O$2,$Q$2)/$Q$2))</f>
        <v>2793.8194468526</v>
      </c>
      <c r="I668" s="15" t="n">
        <f aca="false">H668*(1+IF(I$3&lt;=$O$2,$D668,$D668-($D668-$I$643)*MIN(I$3-$O$2,$Q$2)/$Q$2))</f>
        <v>2965.80265618905</v>
      </c>
      <c r="J668" s="15" t="n">
        <f aca="false">I668*(1+IF(J$3&lt;=$O$2,$D668,$D668-($D668-$I$643)*MIN(J$3-$O$2,$Q$2)/$Q$2))</f>
        <v>3128.64528324586</v>
      </c>
      <c r="K668" s="15" t="n">
        <f aca="false">J668*(1+IF(K$3&lt;=$O$2,$D668,$D668-($D668-$I$643)*MIN(K$3-$O$2,$Q$2)/$Q$2))</f>
        <v>3279.61829020951</v>
      </c>
      <c r="L668" s="15" t="n">
        <f aca="false">K668*(1+IF(L$3&lt;=$O$2,$D668,$D668-($D668-$I$643)*MIN(L$3-$O$2,$Q$2)/$Q$2))</f>
        <v>3416.06150305144</v>
      </c>
      <c r="M668" s="15" t="n">
        <f aca="false">L668*(1+IF(M$3&lt;=$O$2,$D668,$D668-($D668-$I$643)*MIN(M$3-$O$2,$Q$2)/$Q$2))</f>
        <v>3535.45862929941</v>
      </c>
      <c r="N668" s="15" t="n">
        <f aca="false">M668*(1+IF(N$3&lt;=$O$2,$D668,$D668-($D668-$I$643)*MIN(N$3-$O$2,$Q$2)/$Q$2))</f>
        <v>3635.51210850859</v>
      </c>
      <c r="O668" s="15" t="n">
        <f aca="false">SUMPRODUCT(E668:N668,1/(1+$F$643)^$E$3:$N$3)*$E$2</f>
        <v>9795.86368679175</v>
      </c>
      <c r="P668" s="15" t="n">
        <f aca="false">N668*$E$2*(1+$I$643)/($F$643-$I$643)/(1+$F$643)^$N$3</f>
        <v>14034.4853822802</v>
      </c>
      <c r="Q668" s="15" t="n">
        <f aca="false">O668+P668</f>
        <v>23830.3490690719</v>
      </c>
      <c r="R668" s="15" t="n">
        <f aca="false">Q668-$G$2+$I$2</f>
        <v>25740.0090690719</v>
      </c>
      <c r="S668" s="42" t="n">
        <f aca="false">R668/$K$2</f>
        <v>109.985937995436</v>
      </c>
      <c r="T668" s="43" t="n">
        <f aca="false">S668-$M$2</f>
        <v>3.87517495283873E-005</v>
      </c>
    </row>
    <row r="670" customFormat="false" ht="15" hidden="false" customHeight="false" outlineLevel="0" collapsed="false">
      <c r="A670" s="38" t="s">
        <v>211</v>
      </c>
      <c r="E670" s="5" t="s">
        <v>11</v>
      </c>
      <c r="F670" s="12" t="n">
        <f aca="false">Sensitivity!$B$14</f>
        <v>0.0877967762761046</v>
      </c>
      <c r="G670" s="5" t="s">
        <v>12</v>
      </c>
      <c r="I670" s="12" t="n">
        <f aca="false">Sensitivity!$F$9</f>
        <v>0.0333</v>
      </c>
    </row>
    <row r="671" customFormat="false" ht="23.85" hidden="false" customHeight="false" outlineLevel="0" collapsed="false">
      <c r="A671" s="38" t="s">
        <v>168</v>
      </c>
      <c r="B671" s="28" t="s">
        <v>169</v>
      </c>
      <c r="C671" s="28" t="s">
        <v>170</v>
      </c>
      <c r="D671" s="28" t="s">
        <v>171</v>
      </c>
      <c r="E671" s="28" t="s">
        <v>172</v>
      </c>
      <c r="F671" s="28" t="s">
        <v>173</v>
      </c>
      <c r="G671" s="28" t="s">
        <v>174</v>
      </c>
      <c r="H671" s="28" t="s">
        <v>175</v>
      </c>
      <c r="I671" s="28" t="s">
        <v>176</v>
      </c>
      <c r="J671" s="28" t="s">
        <v>177</v>
      </c>
      <c r="K671" s="28" t="s">
        <v>178</v>
      </c>
      <c r="L671" s="28" t="s">
        <v>179</v>
      </c>
      <c r="M671" s="28" t="s">
        <v>180</v>
      </c>
      <c r="N671" s="28" t="s">
        <v>181</v>
      </c>
      <c r="O671" s="28" t="s">
        <v>182</v>
      </c>
      <c r="P671" s="28" t="s">
        <v>183</v>
      </c>
      <c r="Q671" s="28" t="s">
        <v>184</v>
      </c>
      <c r="R671" s="28" t="s">
        <v>185</v>
      </c>
      <c r="S671" s="28" t="s">
        <v>186</v>
      </c>
      <c r="T671" s="28" t="s">
        <v>187</v>
      </c>
    </row>
    <row r="672" customFormat="false" ht="15" hidden="false" customHeight="false" outlineLevel="0" collapsed="false">
      <c r="A672" s="5" t="n">
        <v>1</v>
      </c>
      <c r="B672" s="24" t="n">
        <v>-0.5</v>
      </c>
      <c r="C672" s="24" t="n">
        <v>1</v>
      </c>
      <c r="D672" s="41" t="n">
        <f aca="false">(B672+C672)/2</f>
        <v>0.25</v>
      </c>
      <c r="E672" s="15" t="n">
        <f aca="false">$C$2*(1+IF(E$3&lt;=$O$2,$D672,$D672-($D672-$I$670)*MIN(E$3-$O$2,$Q$2)/$Q$2))</f>
        <v>2750</v>
      </c>
      <c r="F672" s="15" t="n">
        <f aca="false">E672*(1+IF(F$3&lt;=$O$2,$D672,$D672-($D672-$I$670)*MIN(F$3-$O$2,$Q$2)/$Q$2))</f>
        <v>3437.5</v>
      </c>
      <c r="G672" s="15" t="n">
        <f aca="false">F672*(1+IF(G$3&lt;=$O$2,$D672,$D672-($D672-$I$670)*MIN(G$3-$O$2,$Q$2)/$Q$2))</f>
        <v>4296.875</v>
      </c>
      <c r="H672" s="15" t="n">
        <f aca="false">G672*(1+IF(H$3&lt;=$O$2,$D672,$D672-($D672-$I$670)*MIN(H$3-$O$2,$Q$2)/$Q$2))</f>
        <v>5371.09375</v>
      </c>
      <c r="I672" s="15" t="n">
        <f aca="false">H672*(1+IF(I$3&lt;=$O$2,$D672,$D672-($D672-$I$670)*MIN(I$3-$O$2,$Q$2)/$Q$2))</f>
        <v>6713.8671875</v>
      </c>
      <c r="J672" s="15" t="n">
        <f aca="false">I672*(1+IF(J$3&lt;=$O$2,$D672,$D672-($D672-$I$670)*MIN(J$3-$O$2,$Q$2)/$Q$2))</f>
        <v>8101.35498046875</v>
      </c>
      <c r="K672" s="15" t="n">
        <f aca="false">J672*(1+IF(K$3&lt;=$O$2,$D672,$D672-($D672-$I$670)*MIN(K$3-$O$2,$Q$2)/$Q$2))</f>
        <v>9424.46827587891</v>
      </c>
      <c r="L672" s="15" t="n">
        <f aca="false">K672*(1+IF(L$3&lt;=$O$2,$D672,$D672-($D672-$I$670)*MIN(L$3-$O$2,$Q$2)/$Q$2))</f>
        <v>10555.2159796189</v>
      </c>
      <c r="M672" s="15" t="n">
        <f aca="false">L672*(1+IF(M$3&lt;=$O$2,$D672,$D672-($D672-$I$670)*MIN(M$3-$O$2,$Q$2)/$Q$2))</f>
        <v>11364.1677322968</v>
      </c>
      <c r="N672" s="15" t="n">
        <f aca="false">M672*(1+IF(N$3&lt;=$O$2,$D672,$D672-($D672-$I$670)*MIN(N$3-$O$2,$Q$2)/$Q$2))</f>
        <v>11742.5945177823</v>
      </c>
      <c r="O672" s="15" t="n">
        <f aca="false">SUMPRODUCT(E672:N672,1/(1+$F$670)^$E$3:$N$3)*$E$2</f>
        <v>22233.9278060424</v>
      </c>
      <c r="P672" s="15" t="n">
        <f aca="false">N672*$E$2*(1+$I$670)/($F$670-$I$670)/(1+$F$670)^$N$3</f>
        <v>49730.6547914524</v>
      </c>
      <c r="Q672" s="15" t="n">
        <f aca="false">O672+P672</f>
        <v>71964.5825974948</v>
      </c>
      <c r="R672" s="15" t="n">
        <f aca="false">Q672-$G$2+$I$2</f>
        <v>73874.2425974948</v>
      </c>
      <c r="S672" s="42" t="n">
        <f aca="false">R672/$K$2</f>
        <v>315.661422029205</v>
      </c>
      <c r="T672" s="43" t="n">
        <f aca="false">S672-$M$2</f>
        <v>205.675522785518</v>
      </c>
    </row>
    <row r="673" customFormat="false" ht="15" hidden="false" customHeight="false" outlineLevel="0" collapsed="false">
      <c r="A673" s="5" t="n">
        <v>2</v>
      </c>
      <c r="B673" s="25" t="n">
        <f aca="false">IF(T672&gt;0,B672,D672)</f>
        <v>-0.5</v>
      </c>
      <c r="C673" s="25" t="n">
        <f aca="false">IF(T672&gt;0,D672,C672)</f>
        <v>0.25</v>
      </c>
      <c r="D673" s="41" t="n">
        <f aca="false">(B673+C673)/2</f>
        <v>-0.125</v>
      </c>
      <c r="E673" s="15" t="n">
        <f aca="false">$C$2*(1+IF(E$3&lt;=$O$2,$D673,$D673-($D673-$I$670)*MIN(E$3-$O$2,$Q$2)/$Q$2))</f>
        <v>1925</v>
      </c>
      <c r="F673" s="15" t="n">
        <f aca="false">E673*(1+IF(F$3&lt;=$O$2,$D673,$D673-($D673-$I$670)*MIN(F$3-$O$2,$Q$2)/$Q$2))</f>
        <v>1684.375</v>
      </c>
      <c r="G673" s="15" t="n">
        <f aca="false">F673*(1+IF(G$3&lt;=$O$2,$D673,$D673-($D673-$I$670)*MIN(G$3-$O$2,$Q$2)/$Q$2))</f>
        <v>1473.828125</v>
      </c>
      <c r="H673" s="15" t="n">
        <f aca="false">G673*(1+IF(H$3&lt;=$O$2,$D673,$D673-($D673-$I$670)*MIN(H$3-$O$2,$Q$2)/$Q$2))</f>
        <v>1289.599609375</v>
      </c>
      <c r="I673" s="15" t="n">
        <f aca="false">H673*(1+IF(I$3&lt;=$O$2,$D673,$D673-($D673-$I$670)*MIN(I$3-$O$2,$Q$2)/$Q$2))</f>
        <v>1128.39965820313</v>
      </c>
      <c r="J673" s="15" t="n">
        <f aca="false">I673*(1+IF(J$3&lt;=$O$2,$D673,$D673-($D673-$I$670)*MIN(J$3-$O$2,$Q$2)/$Q$2))</f>
        <v>1023.07483410645</v>
      </c>
      <c r="K673" s="15" t="n">
        <f aca="false">J673*(1+IF(K$3&lt;=$O$2,$D673,$D673-($D673-$I$670)*MIN(K$3-$O$2,$Q$2)/$Q$2))</f>
        <v>959.97157833876</v>
      </c>
      <c r="L673" s="15" t="n">
        <f aca="false">K673*(1+IF(L$3&lt;=$O$2,$D673,$D673-($D673-$I$670)*MIN(L$3-$O$2,$Q$2)/$Q$2))</f>
        <v>931.15323155703</v>
      </c>
      <c r="M673" s="15" t="n">
        <f aca="false">L673*(1+IF(M$3&lt;=$O$2,$D673,$D673-($D673-$I$670)*MIN(M$3-$O$2,$Q$2)/$Q$2))</f>
        <v>932.680322856784</v>
      </c>
      <c r="N673" s="15" t="n">
        <f aca="false">M673*(1+IF(N$3&lt;=$O$2,$D673,$D673-($D673-$I$670)*MIN(N$3-$O$2,$Q$2)/$Q$2))</f>
        <v>963.738577607915</v>
      </c>
      <c r="O673" s="15" t="n">
        <f aca="false">SUMPRODUCT(E673:N673,1/(1+$F$670)^$E$3:$N$3)*$E$2</f>
        <v>4392.99619742864</v>
      </c>
      <c r="P673" s="15" t="n">
        <f aca="false">N673*$E$2*(1+$I$670)/($F$670-$I$670)/(1+$F$670)^$N$3</f>
        <v>4081.4958261265</v>
      </c>
      <c r="Q673" s="15" t="n">
        <f aca="false">O673+P673</f>
        <v>8474.49202355514</v>
      </c>
      <c r="R673" s="15" t="n">
        <f aca="false">Q673-$G$2+$I$2</f>
        <v>10384.1520235551</v>
      </c>
      <c r="S673" s="42" t="n">
        <f aca="false">R673/$K$2</f>
        <v>44.371029455861</v>
      </c>
      <c r="T673" s="43" t="n">
        <f aca="false">S673-$M$2</f>
        <v>-65.6148697878257</v>
      </c>
    </row>
    <row r="674" customFormat="false" ht="15" hidden="false" customHeight="false" outlineLevel="0" collapsed="false">
      <c r="A674" s="5" t="n">
        <v>3</v>
      </c>
      <c r="B674" s="25" t="n">
        <f aca="false">IF(T673&gt;0,B673,D673)</f>
        <v>-0.125</v>
      </c>
      <c r="C674" s="25" t="n">
        <f aca="false">IF(T673&gt;0,D673,C673)</f>
        <v>0.25</v>
      </c>
      <c r="D674" s="41" t="n">
        <f aca="false">(B674+C674)/2</f>
        <v>0.0625</v>
      </c>
      <c r="E674" s="15" t="n">
        <f aca="false">$C$2*(1+IF(E$3&lt;=$O$2,$D674,$D674-($D674-$I$670)*MIN(E$3-$O$2,$Q$2)/$Q$2))</f>
        <v>2337.5</v>
      </c>
      <c r="F674" s="15" t="n">
        <f aca="false">E674*(1+IF(F$3&lt;=$O$2,$D674,$D674-($D674-$I$670)*MIN(F$3-$O$2,$Q$2)/$Q$2))</f>
        <v>2483.59375</v>
      </c>
      <c r="G674" s="15" t="n">
        <f aca="false">F674*(1+IF(G$3&lt;=$O$2,$D674,$D674-($D674-$I$670)*MIN(G$3-$O$2,$Q$2)/$Q$2))</f>
        <v>2638.818359375</v>
      </c>
      <c r="H674" s="15" t="n">
        <f aca="false">G674*(1+IF(H$3&lt;=$O$2,$D674,$D674-($D674-$I$670)*MIN(H$3-$O$2,$Q$2)/$Q$2))</f>
        <v>2803.74450683594</v>
      </c>
      <c r="I674" s="15" t="n">
        <f aca="false">H674*(1+IF(I$3&lt;=$O$2,$D674,$D674-($D674-$I$670)*MIN(I$3-$O$2,$Q$2)/$Q$2))</f>
        <v>2978.97853851318</v>
      </c>
      <c r="J674" s="15" t="n">
        <f aca="false">I674*(1+IF(J$3&lt;=$O$2,$D674,$D674-($D674-$I$670)*MIN(J$3-$O$2,$Q$2)/$Q$2))</f>
        <v>3147.76746250534</v>
      </c>
      <c r="K674" s="15" t="n">
        <f aca="false">J674*(1+IF(K$3&lt;=$O$2,$D674,$D674-($D674-$I$670)*MIN(K$3-$O$2,$Q$2)/$Q$2))</f>
        <v>3307.73700494986</v>
      </c>
      <c r="L674" s="15" t="n">
        <f aca="false">K674*(1+IF(L$3&lt;=$O$2,$D674,$D674-($D674-$I$670)*MIN(L$3-$O$2,$Q$2)/$Q$2))</f>
        <v>3456.51901543251</v>
      </c>
      <c r="M674" s="15" t="n">
        <f aca="false">L674*(1+IF(M$3&lt;=$O$2,$D674,$D674-($D674-$I$670)*MIN(M$3-$O$2,$Q$2)/$Q$2))</f>
        <v>3591.80716969654</v>
      </c>
      <c r="N674" s="15" t="n">
        <f aca="false">M674*(1+IF(N$3&lt;=$O$2,$D674,$D674-($D674-$I$670)*MIN(N$3-$O$2,$Q$2)/$Q$2))</f>
        <v>3711.41434844743</v>
      </c>
      <c r="O674" s="15" t="n">
        <f aca="false">SUMPRODUCT(E674:N674,1/(1+$F$670)^$E$3:$N$3)*$E$2</f>
        <v>9865.15651855038</v>
      </c>
      <c r="P674" s="15" t="n">
        <f aca="false">N674*$E$2*(1+$I$670)/($F$670-$I$670)/(1+$F$670)^$N$3</f>
        <v>15718.082189688</v>
      </c>
      <c r="Q674" s="15" t="n">
        <f aca="false">O674+P674</f>
        <v>25583.2387082384</v>
      </c>
      <c r="R674" s="15" t="n">
        <f aca="false">Q674-$G$2+$I$2</f>
        <v>27492.8987082384</v>
      </c>
      <c r="S674" s="42" t="n">
        <f aca="false">R674/$K$2</f>
        <v>117.475959100279</v>
      </c>
      <c r="T674" s="43" t="n">
        <f aca="false">S674-$M$2</f>
        <v>7.49005985659257</v>
      </c>
    </row>
    <row r="675" customFormat="false" ht="15" hidden="false" customHeight="false" outlineLevel="0" collapsed="false">
      <c r="A675" s="5" t="n">
        <v>4</v>
      </c>
      <c r="B675" s="25" t="n">
        <f aca="false">IF(T674&gt;0,B674,D674)</f>
        <v>-0.125</v>
      </c>
      <c r="C675" s="25" t="n">
        <f aca="false">IF(T674&gt;0,D674,C674)</f>
        <v>0.0625</v>
      </c>
      <c r="D675" s="41" t="n">
        <f aca="false">(B675+C675)/2</f>
        <v>-0.03125</v>
      </c>
      <c r="E675" s="15" t="n">
        <f aca="false">$C$2*(1+IF(E$3&lt;=$O$2,$D675,$D675-($D675-$I$670)*MIN(E$3-$O$2,$Q$2)/$Q$2))</f>
        <v>2131.25</v>
      </c>
      <c r="F675" s="15" t="n">
        <f aca="false">E675*(1+IF(F$3&lt;=$O$2,$D675,$D675-($D675-$I$670)*MIN(F$3-$O$2,$Q$2)/$Q$2))</f>
        <v>2064.6484375</v>
      </c>
      <c r="G675" s="15" t="n">
        <f aca="false">F675*(1+IF(G$3&lt;=$O$2,$D675,$D675-($D675-$I$670)*MIN(G$3-$O$2,$Q$2)/$Q$2))</f>
        <v>2000.12817382813</v>
      </c>
      <c r="H675" s="15" t="n">
        <f aca="false">G675*(1+IF(H$3&lt;=$O$2,$D675,$D675-($D675-$I$670)*MIN(H$3-$O$2,$Q$2)/$Q$2))</f>
        <v>1937.624168396</v>
      </c>
      <c r="I675" s="15" t="n">
        <f aca="false">H675*(1+IF(I$3&lt;=$O$2,$D675,$D675-($D675-$I$670)*MIN(I$3-$O$2,$Q$2)/$Q$2))</f>
        <v>1877.07341313362</v>
      </c>
      <c r="J675" s="15" t="n">
        <f aca="false">I675*(1+IF(J$3&lt;=$O$2,$D675,$D675-($D675-$I$670)*MIN(J$3-$O$2,$Q$2)/$Q$2))</f>
        <v>1842.64788673675</v>
      </c>
      <c r="K675" s="15" t="n">
        <f aca="false">J675*(1+IF(K$3&lt;=$O$2,$D675,$D675-($D675-$I$670)*MIN(K$3-$O$2,$Q$2)/$Q$2))</f>
        <v>1832.64230871177</v>
      </c>
      <c r="L675" s="15" t="n">
        <f aca="false">K675*(1+IF(L$3&lt;=$O$2,$D675,$D675-($D675-$I$670)*MIN(L$3-$O$2,$Q$2)/$Q$2))</f>
        <v>1846.35047318093</v>
      </c>
      <c r="M675" s="15" t="n">
        <f aca="false">L675*(1+IF(M$3&lt;=$O$2,$D675,$D675-($D675-$I$670)*MIN(M$3-$O$2,$Q$2)/$Q$2))</f>
        <v>1883.99755932909</v>
      </c>
      <c r="N675" s="15" t="n">
        <f aca="false">M675*(1+IF(N$3&lt;=$O$2,$D675,$D675-($D675-$I$670)*MIN(N$3-$O$2,$Q$2)/$Q$2))</f>
        <v>1946.73467805475</v>
      </c>
      <c r="O675" s="15" t="n">
        <f aca="false">SUMPRODUCT(E675:N675,1/(1+$F$670)^$E$3:$N$3)*$E$2</f>
        <v>6563.97552173618</v>
      </c>
      <c r="P675" s="15" t="n">
        <f aca="false">N675*$E$2*(1+$I$670)/($F$670-$I$670)/(1+$F$670)^$N$3</f>
        <v>8244.54851934832</v>
      </c>
      <c r="Q675" s="15" t="n">
        <f aca="false">O675+P675</f>
        <v>14808.5240410845</v>
      </c>
      <c r="R675" s="15" t="n">
        <f aca="false">Q675-$G$2+$I$2</f>
        <v>16718.1840410845</v>
      </c>
      <c r="S675" s="42" t="n">
        <f aca="false">R675/$K$2</f>
        <v>71.4360724739755</v>
      </c>
      <c r="T675" s="43" t="n">
        <f aca="false">S675-$M$2</f>
        <v>-38.5498267697112</v>
      </c>
    </row>
    <row r="676" customFormat="false" ht="15" hidden="false" customHeight="false" outlineLevel="0" collapsed="false">
      <c r="A676" s="5" t="n">
        <v>5</v>
      </c>
      <c r="B676" s="25" t="n">
        <f aca="false">IF(T675&gt;0,B675,D675)</f>
        <v>-0.03125</v>
      </c>
      <c r="C676" s="25" t="n">
        <f aca="false">IF(T675&gt;0,D675,C675)</f>
        <v>0.0625</v>
      </c>
      <c r="D676" s="41" t="n">
        <f aca="false">(B676+C676)/2</f>
        <v>0.015625</v>
      </c>
      <c r="E676" s="15" t="n">
        <f aca="false">$C$2*(1+IF(E$3&lt;=$O$2,$D676,$D676-($D676-$I$670)*MIN(E$3-$O$2,$Q$2)/$Q$2))</f>
        <v>2234.375</v>
      </c>
      <c r="F676" s="15" t="n">
        <f aca="false">E676*(1+IF(F$3&lt;=$O$2,$D676,$D676-($D676-$I$670)*MIN(F$3-$O$2,$Q$2)/$Q$2))</f>
        <v>2269.287109375</v>
      </c>
      <c r="G676" s="15" t="n">
        <f aca="false">F676*(1+IF(G$3&lt;=$O$2,$D676,$D676-($D676-$I$670)*MIN(G$3-$O$2,$Q$2)/$Q$2))</f>
        <v>2304.74472045898</v>
      </c>
      <c r="H676" s="15" t="n">
        <f aca="false">G676*(1+IF(H$3&lt;=$O$2,$D676,$D676-($D676-$I$670)*MIN(H$3-$O$2,$Q$2)/$Q$2))</f>
        <v>2340.75635671616</v>
      </c>
      <c r="I676" s="15" t="n">
        <f aca="false">H676*(1+IF(I$3&lt;=$O$2,$D676,$D676-($D676-$I$670)*MIN(I$3-$O$2,$Q$2)/$Q$2))</f>
        <v>2377.33067478985</v>
      </c>
      <c r="J676" s="15" t="n">
        <f aca="false">I676*(1+IF(J$3&lt;=$O$2,$D676,$D676-($D676-$I$670)*MIN(J$3-$O$2,$Q$2)/$Q$2))</f>
        <v>2422.88033051882</v>
      </c>
      <c r="K676" s="15" t="n">
        <f aca="false">J676*(1+IF(K$3&lt;=$O$2,$D676,$D676-($D676-$I$670)*MIN(K$3-$O$2,$Q$2)/$Q$2))</f>
        <v>2477.86759961994</v>
      </c>
      <c r="L676" s="15" t="n">
        <f aca="false">K676*(1+IF(L$3&lt;=$O$2,$D676,$D676-($D676-$I$670)*MIN(L$3-$O$2,$Q$2)/$Q$2))</f>
        <v>2542.86206675798</v>
      </c>
      <c r="M676" s="15" t="n">
        <f aca="false">L676*(1+IF(M$3&lt;=$O$2,$D676,$D676-($D676-$I$670)*MIN(M$3-$O$2,$Q$2)/$Q$2))</f>
        <v>2618.55035617503</v>
      </c>
      <c r="N676" s="15" t="n">
        <f aca="false">M676*(1+IF(N$3&lt;=$O$2,$D676,$D676-($D676-$I$670)*MIN(N$3-$O$2,$Q$2)/$Q$2))</f>
        <v>2705.74808303566</v>
      </c>
      <c r="O676" s="15" t="n">
        <f aca="false">SUMPRODUCT(E676:N676,1/(1+$F$670)^$E$3:$N$3)*$E$2</f>
        <v>8043.79289466204</v>
      </c>
      <c r="P676" s="15" t="n">
        <f aca="false">N676*$E$2*(1+$I$670)/($F$670-$I$670)/(1+$F$670)^$N$3</f>
        <v>11459.0198670585</v>
      </c>
      <c r="Q676" s="15" t="n">
        <f aca="false">O676+P676</f>
        <v>19502.8127617206</v>
      </c>
      <c r="R676" s="15" t="n">
        <f aca="false">Q676-$G$2+$I$2</f>
        <v>21412.4727617206</v>
      </c>
      <c r="S676" s="42" t="n">
        <f aca="false">R676/$K$2</f>
        <v>91.494563781227</v>
      </c>
      <c r="T676" s="43" t="n">
        <f aca="false">S676-$M$2</f>
        <v>-18.4913354624597</v>
      </c>
    </row>
    <row r="677" customFormat="false" ht="15" hidden="false" customHeight="false" outlineLevel="0" collapsed="false">
      <c r="A677" s="5" t="n">
        <v>6</v>
      </c>
      <c r="B677" s="25" t="n">
        <f aca="false">IF(T676&gt;0,B676,D676)</f>
        <v>0.015625</v>
      </c>
      <c r="C677" s="25" t="n">
        <f aca="false">IF(T676&gt;0,D676,C676)</f>
        <v>0.0625</v>
      </c>
      <c r="D677" s="41" t="n">
        <f aca="false">(B677+C677)/2</f>
        <v>0.0390625</v>
      </c>
      <c r="E677" s="15" t="n">
        <f aca="false">$C$2*(1+IF(E$3&lt;=$O$2,$D677,$D677-($D677-$I$670)*MIN(E$3-$O$2,$Q$2)/$Q$2))</f>
        <v>2285.9375</v>
      </c>
      <c r="F677" s="15" t="n">
        <f aca="false">E677*(1+IF(F$3&lt;=$O$2,$D677,$D677-($D677-$I$670)*MIN(F$3-$O$2,$Q$2)/$Q$2))</f>
        <v>2375.23193359375</v>
      </c>
      <c r="G677" s="15" t="n">
        <f aca="false">F677*(1+IF(G$3&lt;=$O$2,$D677,$D677-($D677-$I$670)*MIN(G$3-$O$2,$Q$2)/$Q$2))</f>
        <v>2468.01443099976</v>
      </c>
      <c r="H677" s="15" t="n">
        <f aca="false">G677*(1+IF(H$3&lt;=$O$2,$D677,$D677-($D677-$I$670)*MIN(H$3-$O$2,$Q$2)/$Q$2))</f>
        <v>2564.42124471068</v>
      </c>
      <c r="I677" s="15" t="n">
        <f aca="false">H677*(1+IF(I$3&lt;=$O$2,$D677,$D677-($D677-$I$670)*MIN(I$3-$O$2,$Q$2)/$Q$2))</f>
        <v>2664.5939495822</v>
      </c>
      <c r="J677" s="15" t="n">
        <f aca="false">I677*(1+IF(J$3&lt;=$O$2,$D677,$D677-($D677-$I$670)*MIN(J$3-$O$2,$Q$2)/$Q$2))</f>
        <v>2765.60870621086</v>
      </c>
      <c r="K677" s="15" t="n">
        <f aca="false">J677*(1+IF(K$3&lt;=$O$2,$D677,$D677-($D677-$I$670)*MIN(K$3-$O$2,$Q$2)/$Q$2))</f>
        <v>2867.2655682294</v>
      </c>
      <c r="L677" s="15" t="n">
        <f aca="false">K677*(1+IF(L$3&lt;=$O$2,$D677,$D677-($D677-$I$670)*MIN(L$3-$O$2,$Q$2)/$Q$2))</f>
        <v>2969.35455878621</v>
      </c>
      <c r="M677" s="15" t="n">
        <f aca="false">L677*(1+IF(M$3&lt;=$O$2,$D677,$D677-($D677-$I$670)*MIN(M$3-$O$2,$Q$2)/$Q$2))</f>
        <v>3071.65624672279</v>
      </c>
      <c r="N677" s="15" t="n">
        <f aca="false">M677*(1+IF(N$3&lt;=$O$2,$D677,$D677-($D677-$I$670)*MIN(N$3-$O$2,$Q$2)/$Q$2))</f>
        <v>3173.94239973866</v>
      </c>
      <c r="O677" s="15" t="n">
        <f aca="false">SUMPRODUCT(E677:N677,1/(1+$F$670)^$E$3:$N$3)*$E$2</f>
        <v>8907.51054745813</v>
      </c>
      <c r="P677" s="15" t="n">
        <f aca="false">N677*$E$2*(1+$I$670)/($F$670-$I$670)/(1+$F$670)^$N$3</f>
        <v>13441.8533800456</v>
      </c>
      <c r="Q677" s="15" t="n">
        <f aca="false">O677+P677</f>
        <v>22349.3639275037</v>
      </c>
      <c r="R677" s="15" t="n">
        <f aca="false">Q677-$G$2+$I$2</f>
        <v>24259.0239275037</v>
      </c>
      <c r="S677" s="42" t="n">
        <f aca="false">R677/$K$2</f>
        <v>103.657752969721</v>
      </c>
      <c r="T677" s="43" t="n">
        <f aca="false">S677-$M$2</f>
        <v>-6.32814627396607</v>
      </c>
    </row>
    <row r="678" customFormat="false" ht="15" hidden="false" customHeight="false" outlineLevel="0" collapsed="false">
      <c r="A678" s="5" t="n">
        <v>7</v>
      </c>
      <c r="B678" s="25" t="n">
        <f aca="false">IF(T677&gt;0,B677,D677)</f>
        <v>0.0390625</v>
      </c>
      <c r="C678" s="25" t="n">
        <f aca="false">IF(T677&gt;0,D677,C677)</f>
        <v>0.0625</v>
      </c>
      <c r="D678" s="41" t="n">
        <f aca="false">(B678+C678)/2</f>
        <v>0.05078125</v>
      </c>
      <c r="E678" s="15" t="n">
        <f aca="false">$C$2*(1+IF(E$3&lt;=$O$2,$D678,$D678-($D678-$I$670)*MIN(E$3-$O$2,$Q$2)/$Q$2))</f>
        <v>2311.71875</v>
      </c>
      <c r="F678" s="15" t="n">
        <f aca="false">E678*(1+IF(F$3&lt;=$O$2,$D678,$D678-($D678-$I$670)*MIN(F$3-$O$2,$Q$2)/$Q$2))</f>
        <v>2429.11071777344</v>
      </c>
      <c r="G678" s="15" t="n">
        <f aca="false">F678*(1+IF(G$3&lt;=$O$2,$D678,$D678-($D678-$I$670)*MIN(G$3-$O$2,$Q$2)/$Q$2))</f>
        <v>2552.46399641037</v>
      </c>
      <c r="H678" s="15" t="n">
        <f aca="false">G678*(1+IF(H$3&lt;=$O$2,$D678,$D678-($D678-$I$670)*MIN(H$3-$O$2,$Q$2)/$Q$2))</f>
        <v>2682.08130872808</v>
      </c>
      <c r="I678" s="15" t="n">
        <f aca="false">H678*(1+IF(I$3&lt;=$O$2,$D678,$D678-($D678-$I$670)*MIN(I$3-$O$2,$Q$2)/$Q$2))</f>
        <v>2818.28075018693</v>
      </c>
      <c r="J678" s="15" t="n">
        <f aca="false">I678*(1+IF(J$3&lt;=$O$2,$D678,$D678-($D678-$I$670)*MIN(J$3-$O$2,$Q$2)/$Q$2))</f>
        <v>2951.54315545952</v>
      </c>
      <c r="K678" s="15" t="n">
        <f aca="false">J678*(1+IF(K$3&lt;=$O$2,$D678,$D678-($D678-$I$670)*MIN(K$3-$O$2,$Q$2)/$Q$2))</f>
        <v>3080.78754080815</v>
      </c>
      <c r="L678" s="15" t="n">
        <f aca="false">K678*(1+IF(L$3&lt;=$O$2,$D678,$D678-($D678-$I$670)*MIN(L$3-$O$2,$Q$2)/$Q$2))</f>
        <v>3204.92017279616</v>
      </c>
      <c r="M678" s="15" t="n">
        <f aca="false">L678*(1+IF(M$3&lt;=$O$2,$D678,$D678-($D678-$I$670)*MIN(M$3-$O$2,$Q$2)/$Q$2))</f>
        <v>3322.84921670441</v>
      </c>
      <c r="N678" s="15" t="n">
        <f aca="false">M678*(1+IF(N$3&lt;=$O$2,$D678,$D678-($D678-$I$670)*MIN(N$3-$O$2,$Q$2)/$Q$2))</f>
        <v>3433.50009562067</v>
      </c>
      <c r="O678" s="15" t="n">
        <f aca="false">SUMPRODUCT(E678:N678,1/(1+$F$670)^$E$3:$N$3)*$E$2</f>
        <v>9374.01814403703</v>
      </c>
      <c r="P678" s="15" t="n">
        <f aca="false">N678*$E$2*(1+$I$670)/($F$670-$I$670)/(1+$F$670)^$N$3</f>
        <v>14541.0971760249</v>
      </c>
      <c r="Q678" s="15" t="n">
        <f aca="false">O678+P678</f>
        <v>23915.1153200619</v>
      </c>
      <c r="R678" s="15" t="n">
        <f aca="false">Q678-$G$2+$I$2</f>
        <v>25824.7753200619</v>
      </c>
      <c r="S678" s="42" t="n">
        <f aca="false">R678/$K$2</f>
        <v>110.348140495073</v>
      </c>
      <c r="T678" s="43" t="n">
        <f aca="false">S678-$M$2</f>
        <v>0.362241251386308</v>
      </c>
    </row>
    <row r="679" customFormat="false" ht="15" hidden="false" customHeight="false" outlineLevel="0" collapsed="false">
      <c r="A679" s="5" t="n">
        <v>8</v>
      </c>
      <c r="B679" s="25" t="n">
        <f aca="false">IF(T678&gt;0,B678,D678)</f>
        <v>0.0390625</v>
      </c>
      <c r="C679" s="25" t="n">
        <f aca="false">IF(T678&gt;0,D678,C678)</f>
        <v>0.05078125</v>
      </c>
      <c r="D679" s="41" t="n">
        <f aca="false">(B679+C679)/2</f>
        <v>0.044921875</v>
      </c>
      <c r="E679" s="15" t="n">
        <f aca="false">$C$2*(1+IF(E$3&lt;=$O$2,$D679,$D679-($D679-$I$670)*MIN(E$3-$O$2,$Q$2)/$Q$2))</f>
        <v>2298.828125</v>
      </c>
      <c r="F679" s="15" t="n">
        <f aca="false">E679*(1+IF(F$3&lt;=$O$2,$D679,$D679-($D679-$I$670)*MIN(F$3-$O$2,$Q$2)/$Q$2))</f>
        <v>2402.09579467773</v>
      </c>
      <c r="G679" s="15" t="n">
        <f aca="false">F679*(1+IF(G$3&lt;=$O$2,$D679,$D679-($D679-$I$670)*MIN(G$3-$O$2,$Q$2)/$Q$2))</f>
        <v>2510.00244170427</v>
      </c>
      <c r="H679" s="15" t="n">
        <f aca="false">G679*(1+IF(H$3&lt;=$O$2,$D679,$D679-($D679-$I$670)*MIN(H$3-$O$2,$Q$2)/$Q$2))</f>
        <v>2622.75645764021</v>
      </c>
      <c r="I679" s="15" t="n">
        <f aca="false">H679*(1+IF(I$3&lt;=$O$2,$D679,$D679-($D679-$I$670)*MIN(I$3-$O$2,$Q$2)/$Q$2))</f>
        <v>2740.57559538576</v>
      </c>
      <c r="J679" s="15" t="n">
        <f aca="false">I679*(1+IF(J$3&lt;=$O$2,$D679,$D679-($D679-$I$670)*MIN(J$3-$O$2,$Q$2)/$Q$2))</f>
        <v>2857.31726431021</v>
      </c>
      <c r="K679" s="15" t="n">
        <f aca="false">J679*(1+IF(K$3&lt;=$O$2,$D679,$D679-($D679-$I$670)*MIN(K$3-$O$2,$Q$2)/$Q$2))</f>
        <v>2972.39035966043</v>
      </c>
      <c r="L679" s="15" t="n">
        <f aca="false">K679*(1+IF(L$3&lt;=$O$2,$D679,$D679-($D679-$I$670)*MIN(L$3-$O$2,$Q$2)/$Q$2))</f>
        <v>3085.1888583216</v>
      </c>
      <c r="M679" s="15" t="n">
        <f aca="false">L679*(1+IF(M$3&lt;=$O$2,$D679,$D679-($D679-$I$670)*MIN(M$3-$O$2,$Q$2)/$Q$2))</f>
        <v>3195.09678315627</v>
      </c>
      <c r="N679" s="15" t="n">
        <f aca="false">M679*(1+IF(N$3&lt;=$O$2,$D679,$D679-($D679-$I$670)*MIN(N$3-$O$2,$Q$2)/$Q$2))</f>
        <v>3301.49350603537</v>
      </c>
      <c r="O679" s="15" t="n">
        <f aca="false">SUMPRODUCT(E679:N679,1/(1+$F$670)^$E$3:$N$3)*$E$2</f>
        <v>9137.75918259091</v>
      </c>
      <c r="P679" s="15" t="n">
        <f aca="false">N679*$E$2*(1+$I$670)/($F$670-$I$670)/(1+$F$670)^$N$3</f>
        <v>13982.0406466589</v>
      </c>
      <c r="Q679" s="15" t="n">
        <f aca="false">O679+P679</f>
        <v>23119.7998292498</v>
      </c>
      <c r="R679" s="15" t="n">
        <f aca="false">Q679-$G$2+$I$2</f>
        <v>25029.4598292498</v>
      </c>
      <c r="S679" s="42" t="n">
        <f aca="false">R679/$K$2</f>
        <v>106.949792032004</v>
      </c>
      <c r="T679" s="43" t="n">
        <f aca="false">S679-$M$2</f>
        <v>-3.03610721168302</v>
      </c>
    </row>
    <row r="680" customFormat="false" ht="15" hidden="false" customHeight="false" outlineLevel="0" collapsed="false">
      <c r="A680" s="5" t="n">
        <v>9</v>
      </c>
      <c r="B680" s="25" t="n">
        <f aca="false">IF(T679&gt;0,B679,D679)</f>
        <v>0.044921875</v>
      </c>
      <c r="C680" s="25" t="n">
        <f aca="false">IF(T679&gt;0,D679,C679)</f>
        <v>0.05078125</v>
      </c>
      <c r="D680" s="41" t="n">
        <f aca="false">(B680+C680)/2</f>
        <v>0.0478515625</v>
      </c>
      <c r="E680" s="15" t="n">
        <f aca="false">$C$2*(1+IF(E$3&lt;=$O$2,$D680,$D680-($D680-$I$670)*MIN(E$3-$O$2,$Q$2)/$Q$2))</f>
        <v>2305.2734375</v>
      </c>
      <c r="F680" s="15" t="n">
        <f aca="false">E680*(1+IF(F$3&lt;=$O$2,$D680,$D680-($D680-$I$670)*MIN(F$3-$O$2,$Q$2)/$Q$2))</f>
        <v>2415.58437347412</v>
      </c>
      <c r="G680" s="15" t="n">
        <f aca="false">F680*(1+IF(G$3&lt;=$O$2,$D680,$D680-($D680-$I$670)*MIN(G$3-$O$2,$Q$2)/$Q$2))</f>
        <v>2531.17386009544</v>
      </c>
      <c r="H680" s="15" t="n">
        <f aca="false">G680*(1+IF(H$3&lt;=$O$2,$D680,$D680-($D680-$I$670)*MIN(H$3-$O$2,$Q$2)/$Q$2))</f>
        <v>2652.29448426016</v>
      </c>
      <c r="I680" s="15" t="n">
        <f aca="false">H680*(1+IF(I$3&lt;=$O$2,$D680,$D680-($D680-$I$670)*MIN(I$3-$O$2,$Q$2)/$Q$2))</f>
        <v>2779.21091954215</v>
      </c>
      <c r="J680" s="15" t="n">
        <f aca="false">I680*(1+IF(J$3&lt;=$O$2,$D680,$D680-($D680-$I$670)*MIN(J$3-$O$2,$Q$2)/$Q$2))</f>
        <v>2904.11213228002</v>
      </c>
      <c r="K680" s="15" t="n">
        <f aca="false">J680*(1+IF(K$3&lt;=$O$2,$D680,$D680-($D680-$I$670)*MIN(K$3-$O$2,$Q$2)/$Q$2))</f>
        <v>3026.17468780487</v>
      </c>
      <c r="L680" s="15" t="n">
        <f aca="false">K680*(1+IF(L$3&lt;=$O$2,$D680,$D680-($D680-$I$670)*MIN(L$3-$O$2,$Q$2)/$Q$2))</f>
        <v>3144.56053295098</v>
      </c>
      <c r="M680" s="15" t="n">
        <f aca="false">L680*(1+IF(M$3&lt;=$O$2,$D680,$D680-($D680-$I$670)*MIN(M$3-$O$2,$Q$2)/$Q$2))</f>
        <v>3258.4260525243</v>
      </c>
      <c r="N680" s="15" t="n">
        <f aca="false">M680*(1+IF(N$3&lt;=$O$2,$D680,$D680-($D680-$I$670)*MIN(N$3-$O$2,$Q$2)/$Q$2))</f>
        <v>3366.93164007336</v>
      </c>
      <c r="O680" s="15" t="n">
        <f aca="false">SUMPRODUCT(E680:N680,1/(1+$F$670)^$E$3:$N$3)*$E$2</f>
        <v>9255.1282824253</v>
      </c>
      <c r="P680" s="15" t="n">
        <f aca="false">N680*$E$2*(1+$I$670)/($F$670-$I$670)/(1+$F$670)^$N$3</f>
        <v>14259.1754186305</v>
      </c>
      <c r="Q680" s="15" t="n">
        <f aca="false">O680+P680</f>
        <v>23514.3037010558</v>
      </c>
      <c r="R680" s="15" t="n">
        <f aca="false">Q680-$G$2+$I$2</f>
        <v>25423.9637010558</v>
      </c>
      <c r="S680" s="42" t="n">
        <f aca="false">R680/$K$2</f>
        <v>108.635489898969</v>
      </c>
      <c r="T680" s="43" t="n">
        <f aca="false">S680-$M$2</f>
        <v>-1.35040934471748</v>
      </c>
    </row>
    <row r="681" customFormat="false" ht="15" hidden="false" customHeight="false" outlineLevel="0" collapsed="false">
      <c r="A681" s="5" t="n">
        <v>10</v>
      </c>
      <c r="B681" s="25" t="n">
        <f aca="false">IF(T680&gt;0,B680,D680)</f>
        <v>0.0478515625</v>
      </c>
      <c r="C681" s="25" t="n">
        <f aca="false">IF(T680&gt;0,D680,C680)</f>
        <v>0.05078125</v>
      </c>
      <c r="D681" s="41" t="n">
        <f aca="false">(B681+C681)/2</f>
        <v>0.04931640625</v>
      </c>
      <c r="E681" s="15" t="n">
        <f aca="false">$C$2*(1+IF(E$3&lt;=$O$2,$D681,$D681-($D681-$I$670)*MIN(E$3-$O$2,$Q$2)/$Q$2))</f>
        <v>2308.49609375</v>
      </c>
      <c r="F681" s="15" t="n">
        <f aca="false">E681*(1+IF(F$3&lt;=$O$2,$D681,$D681-($D681-$I$670)*MIN(F$3-$O$2,$Q$2)/$Q$2))</f>
        <v>2422.34282493591</v>
      </c>
      <c r="G681" s="15" t="n">
        <f aca="false">F681*(1+IF(G$3&lt;=$O$2,$D681,$D681-($D681-$I$670)*MIN(G$3-$O$2,$Q$2)/$Q$2))</f>
        <v>2541.80406776723</v>
      </c>
      <c r="H681" s="15" t="n">
        <f aca="false">G681*(1+IF(H$3&lt;=$O$2,$D681,$D681-($D681-$I$670)*MIN(H$3-$O$2,$Q$2)/$Q$2))</f>
        <v>2667.15670978114</v>
      </c>
      <c r="I681" s="15" t="n">
        <f aca="false">H681*(1+IF(I$3&lt;=$O$2,$D681,$D681-($D681-$I$670)*MIN(I$3-$O$2,$Q$2)/$Q$2))</f>
        <v>2798.69129361312</v>
      </c>
      <c r="J681" s="15" t="n">
        <f aca="false">I681*(1+IF(J$3&lt;=$O$2,$D681,$D681-($D681-$I$670)*MIN(J$3-$O$2,$Q$2)/$Q$2))</f>
        <v>2927.74769507191</v>
      </c>
      <c r="K681" s="15" t="n">
        <f aca="false">J681*(1+IF(K$3&lt;=$O$2,$D681,$D681-($D681-$I$670)*MIN(K$3-$O$2,$Q$2)/$Q$2))</f>
        <v>3053.37689120687</v>
      </c>
      <c r="L681" s="15" t="n">
        <f aca="false">K681*(1+IF(L$3&lt;=$O$2,$D681,$D681-($D681-$I$670)*MIN(L$3-$O$2,$Q$2)/$Q$2))</f>
        <v>3174.61599157363</v>
      </c>
      <c r="M681" s="15" t="n">
        <f aca="false">L681*(1+IF(M$3&lt;=$O$2,$D681,$D681-($D681-$I$670)*MIN(M$3-$O$2,$Q$2)/$Q$2))</f>
        <v>3290.49989197479</v>
      </c>
      <c r="N681" s="15" t="n">
        <f aca="false">M681*(1+IF(N$3&lt;=$O$2,$D681,$D681-($D681-$I$670)*MIN(N$3-$O$2,$Q$2)/$Q$2))</f>
        <v>3400.07353837755</v>
      </c>
      <c r="O681" s="15" t="n">
        <f aca="false">SUMPRODUCT(E681:N681,1/(1+$F$670)^$E$3:$N$3)*$E$2</f>
        <v>9314.38197129249</v>
      </c>
      <c r="P681" s="15" t="n">
        <f aca="false">N681*$E$2*(1+$I$670)/($F$670-$I$670)/(1+$F$670)^$N$3</f>
        <v>14399.5335227278</v>
      </c>
      <c r="Q681" s="15" t="n">
        <f aca="false">O681+P681</f>
        <v>23713.9154940202</v>
      </c>
      <c r="R681" s="15" t="n">
        <f aca="false">Q681-$G$2+$I$2</f>
        <v>25623.5754940202</v>
      </c>
      <c r="S681" s="42" t="n">
        <f aca="false">R681/$K$2</f>
        <v>109.488422398924</v>
      </c>
      <c r="T681" s="43" t="n">
        <f aca="false">S681-$M$2</f>
        <v>-0.497476844762488</v>
      </c>
    </row>
    <row r="682" customFormat="false" ht="15" hidden="false" customHeight="false" outlineLevel="0" collapsed="false">
      <c r="A682" s="5" t="n">
        <v>11</v>
      </c>
      <c r="B682" s="25" t="n">
        <f aca="false">IF(T681&gt;0,B681,D681)</f>
        <v>0.04931640625</v>
      </c>
      <c r="C682" s="25" t="n">
        <f aca="false">IF(T681&gt;0,D681,C681)</f>
        <v>0.05078125</v>
      </c>
      <c r="D682" s="41" t="n">
        <f aca="false">(B682+C682)/2</f>
        <v>0.050048828125</v>
      </c>
      <c r="E682" s="15" t="n">
        <f aca="false">$C$2*(1+IF(E$3&lt;=$O$2,$D682,$D682-($D682-$I$670)*MIN(E$3-$O$2,$Q$2)/$Q$2))</f>
        <v>2310.107421875</v>
      </c>
      <c r="F682" s="15" t="n">
        <f aca="false">E682*(1+IF(F$3&lt;=$O$2,$D682,$D682-($D682-$I$670)*MIN(F$3-$O$2,$Q$2)/$Q$2))</f>
        <v>2425.72559118271</v>
      </c>
      <c r="G682" s="15" t="n">
        <f aca="false">F682*(1+IF(G$3&lt;=$O$2,$D682,$D682-($D682-$I$670)*MIN(G$3-$O$2,$Q$2)/$Q$2))</f>
        <v>2547.13031437423</v>
      </c>
      <c r="H682" s="15" t="n">
        <f aca="false">G682*(1+IF(H$3&lt;=$O$2,$D682,$D682-($D682-$I$670)*MIN(H$3-$O$2,$Q$2)/$Q$2))</f>
        <v>2674.61120169032</v>
      </c>
      <c r="I682" s="15" t="n">
        <f aca="false">H682*(1+IF(I$3&lt;=$O$2,$D682,$D682-($D682-$I$670)*MIN(I$3-$O$2,$Q$2)/$Q$2))</f>
        <v>2808.47235802492</v>
      </c>
      <c r="J682" s="15" t="n">
        <f aca="false">I682*(1+IF(J$3&lt;=$O$2,$D682,$D682-($D682-$I$670)*MIN(J$3-$O$2,$Q$2)/$Q$2))</f>
        <v>2939.62538420185</v>
      </c>
      <c r="K682" s="15" t="n">
        <f aca="false">J682*(1+IF(K$3&lt;=$O$2,$D682,$D682-($D682-$I$670)*MIN(K$3-$O$2,$Q$2)/$Q$2))</f>
        <v>3067.0560776829</v>
      </c>
      <c r="L682" s="15" t="n">
        <f aca="false">K682*(1+IF(L$3&lt;=$O$2,$D682,$D682-($D682-$I$670)*MIN(L$3-$O$2,$Q$2)/$Q$2))</f>
        <v>3189.73688310768</v>
      </c>
      <c r="M682" s="15" t="n">
        <f aca="false">L682*(1+IF(M$3&lt;=$O$2,$D682,$D682-($D682-$I$670)*MIN(M$3-$O$2,$Q$2)/$Q$2))</f>
        <v>3306.63999227899</v>
      </c>
      <c r="N682" s="15" t="n">
        <f aca="false">M682*(1+IF(N$3&lt;=$O$2,$D682,$D682-($D682-$I$670)*MIN(N$3-$O$2,$Q$2)/$Q$2))</f>
        <v>3416.75110402188</v>
      </c>
      <c r="O682" s="15" t="n">
        <f aca="false">SUMPRODUCT(E682:N682,1/(1+$F$670)^$E$3:$N$3)*$E$2</f>
        <v>9344.1521031829</v>
      </c>
      <c r="P682" s="15" t="n">
        <f aca="false">N682*$E$2*(1+$I$670)/($F$670-$I$670)/(1+$F$670)^$N$3</f>
        <v>14470.1641025851</v>
      </c>
      <c r="Q682" s="15" t="n">
        <f aca="false">O682+P682</f>
        <v>23814.316205768</v>
      </c>
      <c r="R682" s="15" t="n">
        <f aca="false">Q682-$G$2+$I$2</f>
        <v>25723.976205768</v>
      </c>
      <c r="S682" s="42" t="n">
        <f aca="false">R682/$K$2</f>
        <v>109.917430268632</v>
      </c>
      <c r="T682" s="43" t="n">
        <f aca="false">S682-$M$2</f>
        <v>-0.0684689750546852</v>
      </c>
    </row>
    <row r="683" customFormat="false" ht="15" hidden="false" customHeight="false" outlineLevel="0" collapsed="false">
      <c r="A683" s="5" t="n">
        <v>12</v>
      </c>
      <c r="B683" s="25" t="n">
        <f aca="false">IF(T682&gt;0,B682,D682)</f>
        <v>0.050048828125</v>
      </c>
      <c r="C683" s="25" t="n">
        <f aca="false">IF(T682&gt;0,D682,C682)</f>
        <v>0.05078125</v>
      </c>
      <c r="D683" s="41" t="n">
        <f aca="false">(B683+C683)/2</f>
        <v>0.0504150390625</v>
      </c>
      <c r="E683" s="15" t="n">
        <f aca="false">$C$2*(1+IF(E$3&lt;=$O$2,$D683,$D683-($D683-$I$670)*MIN(E$3-$O$2,$Q$2)/$Q$2))</f>
        <v>2310.9130859375</v>
      </c>
      <c r="F683" s="15" t="n">
        <f aca="false">E683*(1+IF(F$3&lt;=$O$2,$D683,$D683-($D683-$I$670)*MIN(F$3-$O$2,$Q$2)/$Q$2))</f>
        <v>2427.41785943508</v>
      </c>
      <c r="G683" s="15" t="n">
        <f aca="false">F683*(1+IF(G$3&lt;=$O$2,$D683,$D683-($D683-$I$670)*MIN(G$3-$O$2,$Q$2)/$Q$2))</f>
        <v>2549.79622563951</v>
      </c>
      <c r="H683" s="15" t="n">
        <f aca="false">G683*(1+IF(H$3&lt;=$O$2,$D683,$D683-($D683-$I$670)*MIN(H$3-$O$2,$Q$2)/$Q$2))</f>
        <v>2678.34430195654</v>
      </c>
      <c r="I683" s="15" t="n">
        <f aca="false">H683*(1+IF(I$3&lt;=$O$2,$D683,$D683-($D683-$I$670)*MIN(I$3-$O$2,$Q$2)/$Q$2))</f>
        <v>2813.37313456251</v>
      </c>
      <c r="J683" s="15" t="n">
        <f aca="false">I683*(1+IF(J$3&lt;=$O$2,$D683,$D683-($D683-$I$670)*MIN(J$3-$O$2,$Q$2)/$Q$2))</f>
        <v>2945.57925281978</v>
      </c>
      <c r="K683" s="15" t="n">
        <f aca="false">J683*(1+IF(K$3&lt;=$O$2,$D683,$D683-($D683-$I$670)*MIN(K$3-$O$2,$Q$2)/$Q$2))</f>
        <v>3073.9152643229</v>
      </c>
      <c r="L683" s="15" t="n">
        <f aca="false">K683*(1+IF(L$3&lt;=$O$2,$D683,$D683-($D683-$I$670)*MIN(L$3-$O$2,$Q$2)/$Q$2))</f>
        <v>3197.32071455433</v>
      </c>
      <c r="M683" s="15" t="n">
        <f aca="false">L683*(1+IF(M$3&lt;=$O$2,$D683,$D683-($D683-$I$670)*MIN(M$3-$O$2,$Q$2)/$Q$2))</f>
        <v>3314.73594813398</v>
      </c>
      <c r="N683" s="15" t="n">
        <f aca="false">M683*(1+IF(N$3&lt;=$O$2,$D683,$D683-($D683-$I$670)*MIN(N$3-$O$2,$Q$2)/$Q$2))</f>
        <v>3425.11665520684</v>
      </c>
      <c r="O683" s="15" t="n">
        <f aca="false">SUMPRODUCT(E683:N683,1/(1+$F$670)^$E$3:$N$3)*$E$2</f>
        <v>9359.07311694862</v>
      </c>
      <c r="P683" s="15" t="n">
        <f aca="false">N683*$E$2*(1+$I$670)/($F$670-$I$670)/(1+$F$670)^$N$3</f>
        <v>14505.5927582786</v>
      </c>
      <c r="Q683" s="15" t="n">
        <f aca="false">O683+P683</f>
        <v>23864.6658752272</v>
      </c>
      <c r="R683" s="15" t="n">
        <f aca="false">Q683-$G$2+$I$2</f>
        <v>25774.3258752272</v>
      </c>
      <c r="S683" s="42" t="n">
        <f aca="false">R683/$K$2</f>
        <v>110.132572213935</v>
      </c>
      <c r="T683" s="43" t="n">
        <f aca="false">S683-$M$2</f>
        <v>0.146672970248289</v>
      </c>
    </row>
    <row r="684" customFormat="false" ht="15" hidden="false" customHeight="false" outlineLevel="0" collapsed="false">
      <c r="A684" s="5" t="n">
        <v>13</v>
      </c>
      <c r="B684" s="25" t="n">
        <f aca="false">IF(T683&gt;0,B683,D683)</f>
        <v>0.050048828125</v>
      </c>
      <c r="C684" s="25" t="n">
        <f aca="false">IF(T683&gt;0,D683,C683)</f>
        <v>0.0504150390625</v>
      </c>
      <c r="D684" s="41" t="n">
        <f aca="false">(B684+C684)/2</f>
        <v>0.05023193359375</v>
      </c>
      <c r="E684" s="15" t="n">
        <f aca="false">$C$2*(1+IF(E$3&lt;=$O$2,$D684,$D684-($D684-$I$670)*MIN(E$3-$O$2,$Q$2)/$Q$2))</f>
        <v>2310.51025390625</v>
      </c>
      <c r="F684" s="15" t="n">
        <f aca="false">E684*(1+IF(F$3&lt;=$O$2,$D684,$D684-($D684-$I$670)*MIN(F$3-$O$2,$Q$2)/$Q$2))</f>
        <v>2426.57165154815</v>
      </c>
      <c r="G684" s="15" t="n">
        <f aca="false">F684*(1+IF(G$3&lt;=$O$2,$D684,$D684-($D684-$I$670)*MIN(G$3-$O$2,$Q$2)/$Q$2))</f>
        <v>2548.46303760919</v>
      </c>
      <c r="H684" s="15" t="n">
        <f aca="false">G684*(1+IF(H$3&lt;=$O$2,$D684,$D684-($D684-$I$670)*MIN(H$3-$O$2,$Q$2)/$Q$2))</f>
        <v>2676.4772636805</v>
      </c>
      <c r="I684" s="15" t="n">
        <f aca="false">H684*(1+IF(I$3&lt;=$O$2,$D684,$D684-($D684-$I$670)*MIN(I$3-$O$2,$Q$2)/$Q$2))</f>
        <v>2810.92189185488</v>
      </c>
      <c r="J684" s="15" t="n">
        <f aca="false">I684*(1+IF(J$3&lt;=$O$2,$D684,$D684-($D684-$I$670)*MIN(J$3-$O$2,$Q$2)/$Q$2))</f>
        <v>2942.60106510173</v>
      </c>
      <c r="K684" s="15" t="n">
        <f aca="false">J684*(1+IF(K$3&lt;=$O$2,$D684,$D684-($D684-$I$670)*MIN(K$3-$O$2,$Q$2)/$Q$2))</f>
        <v>3070.48403606594</v>
      </c>
      <c r="L684" s="15" t="n">
        <f aca="false">K684*(1+IF(L$3&lt;=$O$2,$D684,$D684-($D684-$I$670)*MIN(L$3-$O$2,$Q$2)/$Q$2))</f>
        <v>3193.52684718667</v>
      </c>
      <c r="M684" s="15" t="n">
        <f aca="false">L684*(1+IF(M$3&lt;=$O$2,$D684,$D684-($D684-$I$670)*MIN(M$3-$O$2,$Q$2)/$Q$2))</f>
        <v>3310.68580809927</v>
      </c>
      <c r="N684" s="15" t="n">
        <f aca="false">M684*(1+IF(N$3&lt;=$O$2,$D684,$D684-($D684-$I$670)*MIN(N$3-$O$2,$Q$2)/$Q$2))</f>
        <v>3420.93164550898</v>
      </c>
      <c r="O684" s="15" t="n">
        <f aca="false">SUMPRODUCT(E684:N684,1/(1+$F$670)^$E$3:$N$3)*$E$2</f>
        <v>9351.60961065737</v>
      </c>
      <c r="P684" s="15" t="n">
        <f aca="false">N684*$E$2*(1+$I$670)/($F$670-$I$670)/(1+$F$670)^$N$3</f>
        <v>14487.8689688496</v>
      </c>
      <c r="Q684" s="15" t="n">
        <f aca="false">O684+P684</f>
        <v>23839.478579507</v>
      </c>
      <c r="R684" s="15" t="n">
        <f aca="false">Q684-$G$2+$I$2</f>
        <v>25749.138579507</v>
      </c>
      <c r="S684" s="42" t="n">
        <f aca="false">R684/$K$2</f>
        <v>110.024947996013</v>
      </c>
      <c r="T684" s="43" t="n">
        <f aca="false">S684-$M$2</f>
        <v>0.0390487523265222</v>
      </c>
    </row>
    <row r="685" customFormat="false" ht="15" hidden="false" customHeight="false" outlineLevel="0" collapsed="false">
      <c r="A685" s="5" t="n">
        <v>14</v>
      </c>
      <c r="B685" s="25" t="n">
        <f aca="false">IF(T684&gt;0,B684,D684)</f>
        <v>0.050048828125</v>
      </c>
      <c r="C685" s="25" t="n">
        <f aca="false">IF(T684&gt;0,D684,C684)</f>
        <v>0.05023193359375</v>
      </c>
      <c r="D685" s="41" t="n">
        <f aca="false">(B685+C685)/2</f>
        <v>0.050140380859375</v>
      </c>
      <c r="E685" s="15" t="n">
        <f aca="false">$C$2*(1+IF(E$3&lt;=$O$2,$D685,$D685-($D685-$I$670)*MIN(E$3-$O$2,$Q$2)/$Q$2))</f>
        <v>2310.30883789063</v>
      </c>
      <c r="F685" s="15" t="n">
        <f aca="false">E685*(1+IF(F$3&lt;=$O$2,$D685,$D685-($D685-$I$670)*MIN(F$3-$O$2,$Q$2)/$Q$2))</f>
        <v>2426.14860292524</v>
      </c>
      <c r="G685" s="15" t="n">
        <f aca="false">F685*(1+IF(G$3&lt;=$O$2,$D685,$D685-($D685-$I$670)*MIN(G$3-$O$2,$Q$2)/$Q$2))</f>
        <v>2547.79661789735</v>
      </c>
      <c r="H685" s="15" t="n">
        <f aca="false">G685*(1+IF(H$3&lt;=$O$2,$D685,$D685-($D685-$I$670)*MIN(H$3-$O$2,$Q$2)/$Q$2))</f>
        <v>2675.54411067095</v>
      </c>
      <c r="I685" s="15" t="n">
        <f aca="false">H685*(1+IF(I$3&lt;=$O$2,$D685,$D685-($D685-$I$670)*MIN(I$3-$O$2,$Q$2)/$Q$2))</f>
        <v>2809.69691138605</v>
      </c>
      <c r="J685" s="15" t="n">
        <f aca="false">I685*(1+IF(J$3&lt;=$O$2,$D685,$D685-($D685-$I$670)*MIN(J$3-$O$2,$Q$2)/$Q$2))</f>
        <v>2941.11291140493</v>
      </c>
      <c r="K685" s="15" t="n">
        <f aca="false">J685*(1+IF(K$3&lt;=$O$2,$D685,$D685-($D685-$I$670)*MIN(K$3-$O$2,$Q$2)/$Q$2))</f>
        <v>3068.7696483018</v>
      </c>
      <c r="L685" s="15" t="n">
        <f aca="false">K685*(1+IF(L$3&lt;=$O$2,$D685,$D685-($D685-$I$670)*MIN(L$3-$O$2,$Q$2)/$Q$2))</f>
        <v>3191.63137744909</v>
      </c>
      <c r="M685" s="15" t="n">
        <f aca="false">L685*(1+IF(M$3&lt;=$O$2,$D685,$D685-($D685-$I$670)*MIN(M$3-$O$2,$Q$2)/$Q$2))</f>
        <v>3308.66235990994</v>
      </c>
      <c r="N685" s="15" t="n">
        <f aca="false">M685*(1+IF(N$3&lt;=$O$2,$D685,$D685-($D685-$I$670)*MIN(N$3-$O$2,$Q$2)/$Q$2))</f>
        <v>3418.84081649494</v>
      </c>
      <c r="O685" s="15" t="n">
        <f aca="false">SUMPRODUCT(E685:N685,1/(1+$F$670)^$E$3:$N$3)*$E$2</f>
        <v>9347.88010735</v>
      </c>
      <c r="P685" s="15" t="n">
        <f aca="false">N685*$E$2*(1+$I$670)/($F$670-$I$670)/(1+$F$670)^$N$3</f>
        <v>14479.0141714053</v>
      </c>
      <c r="Q685" s="15" t="n">
        <f aca="false">O685+P685</f>
        <v>23826.8942787553</v>
      </c>
      <c r="R685" s="15" t="n">
        <f aca="false">Q685-$G$2+$I$2</f>
        <v>25736.5542787553</v>
      </c>
      <c r="S685" s="42" t="n">
        <f aca="false">R685/$K$2</f>
        <v>109.97117582684</v>
      </c>
      <c r="T685" s="43" t="n">
        <f aca="false">S685-$M$2</f>
        <v>-0.0147234168468202</v>
      </c>
    </row>
    <row r="686" customFormat="false" ht="15" hidden="false" customHeight="false" outlineLevel="0" collapsed="false">
      <c r="A686" s="5" t="n">
        <v>15</v>
      </c>
      <c r="B686" s="25" t="n">
        <f aca="false">IF(T685&gt;0,B685,D685)</f>
        <v>0.050140380859375</v>
      </c>
      <c r="C686" s="25" t="n">
        <f aca="false">IF(T685&gt;0,D685,C685)</f>
        <v>0.05023193359375</v>
      </c>
      <c r="D686" s="41" t="n">
        <f aca="false">(B686+C686)/2</f>
        <v>0.0501861572265625</v>
      </c>
      <c r="E686" s="15" t="n">
        <f aca="false">$C$2*(1+IF(E$3&lt;=$O$2,$D686,$D686-($D686-$I$670)*MIN(E$3-$O$2,$Q$2)/$Q$2))</f>
        <v>2310.40954589844</v>
      </c>
      <c r="F686" s="15" t="n">
        <f aca="false">E686*(1+IF(F$3&lt;=$O$2,$D686,$D686-($D686-$I$670)*MIN(F$3-$O$2,$Q$2)/$Q$2))</f>
        <v>2426.36012262665</v>
      </c>
      <c r="G686" s="15" t="n">
        <f aca="false">F686*(1+IF(G$3&lt;=$O$2,$D686,$D686-($D686-$I$670)*MIN(G$3-$O$2,$Q$2)/$Q$2))</f>
        <v>2548.12981322905</v>
      </c>
      <c r="H686" s="15" t="n">
        <f aca="false">G686*(1+IF(H$3&lt;=$O$2,$D686,$D686-($D686-$I$670)*MIN(H$3-$O$2,$Q$2)/$Q$2))</f>
        <v>2676.01065666945</v>
      </c>
      <c r="I686" s="15" t="n">
        <f aca="false">H686*(1+IF(I$3&lt;=$O$2,$D686,$D686-($D686-$I$670)*MIN(I$3-$O$2,$Q$2)/$Q$2))</f>
        <v>2810.30934822502</v>
      </c>
      <c r="J686" s="15" t="n">
        <f aca="false">I686*(1+IF(J$3&lt;=$O$2,$D686,$D686-($D686-$I$670)*MIN(J$3-$O$2,$Q$2)/$Q$2))</f>
        <v>2941.85690992844</v>
      </c>
      <c r="K686" s="15" t="n">
        <f aca="false">J686*(1+IF(K$3&lt;=$O$2,$D686,$D686-($D686-$I$670)*MIN(K$3-$O$2,$Q$2)/$Q$2))</f>
        <v>3069.62674002052</v>
      </c>
      <c r="L686" s="15" t="n">
        <f aca="false">K686*(1+IF(L$3&lt;=$O$2,$D686,$D686-($D686-$I$670)*MIN(L$3-$O$2,$Q$2)/$Q$2))</f>
        <v>3192.57899036674</v>
      </c>
      <c r="M686" s="15" t="n">
        <f aca="false">L686*(1+IF(M$3&lt;=$O$2,$D686,$D686-($D686-$I$670)*MIN(M$3-$O$2,$Q$2)/$Q$2))</f>
        <v>3309.67394890387</v>
      </c>
      <c r="N686" s="15" t="n">
        <f aca="false">M686*(1+IF(N$3&lt;=$O$2,$D686,$D686-($D686-$I$670)*MIN(N$3-$O$2,$Q$2)/$Q$2))</f>
        <v>3419.88609140236</v>
      </c>
      <c r="O686" s="15" t="n">
        <f aca="false">SUMPRODUCT(E686:N686,1/(1+$F$670)^$E$3:$N$3)*$E$2</f>
        <v>9349.74467157591</v>
      </c>
      <c r="P686" s="15" t="n">
        <f aca="false">N686*$E$2*(1+$I$670)/($F$670-$I$670)/(1+$F$670)^$N$3</f>
        <v>14483.4409789141</v>
      </c>
      <c r="Q686" s="15" t="n">
        <f aca="false">O686+P686</f>
        <v>23833.18565049</v>
      </c>
      <c r="R686" s="15" t="n">
        <f aca="false">Q686-$G$2+$I$2</f>
        <v>25742.84565049</v>
      </c>
      <c r="S686" s="42" t="n">
        <f aca="false">R686/$K$2</f>
        <v>109.998058584327</v>
      </c>
      <c r="T686" s="43" t="n">
        <f aca="false">S686-$M$2</f>
        <v>0.0121593406399967</v>
      </c>
    </row>
    <row r="687" customFormat="false" ht="15" hidden="false" customHeight="false" outlineLevel="0" collapsed="false">
      <c r="A687" s="5" t="n">
        <v>16</v>
      </c>
      <c r="B687" s="25" t="n">
        <f aca="false">IF(T686&gt;0,B686,D686)</f>
        <v>0.050140380859375</v>
      </c>
      <c r="C687" s="25" t="n">
        <f aca="false">IF(T686&gt;0,D686,C686)</f>
        <v>0.0501861572265625</v>
      </c>
      <c r="D687" s="41" t="n">
        <f aca="false">(B687+C687)/2</f>
        <v>0.0501632690429688</v>
      </c>
      <c r="E687" s="15" t="n">
        <f aca="false">$C$2*(1+IF(E$3&lt;=$O$2,$D687,$D687-($D687-$I$670)*MIN(E$3-$O$2,$Q$2)/$Q$2))</f>
        <v>2310.35919189453</v>
      </c>
      <c r="F687" s="15" t="n">
        <f aca="false">E687*(1+IF(F$3&lt;=$O$2,$D687,$D687-($D687-$I$670)*MIN(F$3-$O$2,$Q$2)/$Q$2))</f>
        <v>2426.25436162343</v>
      </c>
      <c r="G687" s="15" t="n">
        <f aca="false">F687*(1+IF(G$3&lt;=$O$2,$D687,$D687-($D687-$I$670)*MIN(G$3-$O$2,$Q$2)/$Q$2))</f>
        <v>2547.96321193223</v>
      </c>
      <c r="H687" s="15" t="n">
        <f aca="false">G687*(1+IF(H$3&lt;=$O$2,$D687,$D687-($D687-$I$670)*MIN(H$3-$O$2,$Q$2)/$Q$2))</f>
        <v>2675.77737604397</v>
      </c>
      <c r="I687" s="15" t="n">
        <f aca="false">H687*(1+IF(I$3&lt;=$O$2,$D687,$D687-($D687-$I$670)*MIN(I$3-$O$2,$Q$2)/$Q$2))</f>
        <v>2810.00311645755</v>
      </c>
      <c r="J687" s="15" t="n">
        <f aca="false">I687*(1+IF(J$3&lt;=$O$2,$D687,$D687-($D687-$I$670)*MIN(J$3-$O$2,$Q$2)/$Q$2))</f>
        <v>2941.48489108711</v>
      </c>
      <c r="K687" s="15" t="n">
        <f aca="false">J687*(1+IF(K$3&lt;=$O$2,$D687,$D687-($D687-$I$670)*MIN(K$3-$O$2,$Q$2)/$Q$2))</f>
        <v>3069.19816862285</v>
      </c>
      <c r="L687" s="15" t="n">
        <f aca="false">K687*(1+IF(L$3&lt;=$O$2,$D687,$D687-($D687-$I$670)*MIN(L$3-$O$2,$Q$2)/$Q$2))</f>
        <v>3192.10515342346</v>
      </c>
      <c r="M687" s="15" t="n">
        <f aca="false">L687*(1+IF(M$3&lt;=$O$2,$D687,$D687-($D687-$I$670)*MIN(M$3-$O$2,$Q$2)/$Q$2))</f>
        <v>3309.16812063559</v>
      </c>
      <c r="N687" s="15" t="n">
        <f aca="false">M687*(1+IF(N$3&lt;=$O$2,$D687,$D687-($D687-$I$670)*MIN(N$3-$O$2,$Q$2)/$Q$2))</f>
        <v>3419.36341905275</v>
      </c>
      <c r="O687" s="15" t="n">
        <f aca="false">SUMPRODUCT(E687:N687,1/(1+$F$670)^$E$3:$N$3)*$E$2</f>
        <v>9348.81234261042</v>
      </c>
      <c r="P687" s="15" t="n">
        <f aca="false">N687*$E$2*(1+$I$670)/($F$670-$I$670)/(1+$F$670)^$N$3</f>
        <v>14481.2274273733</v>
      </c>
      <c r="Q687" s="15" t="n">
        <f aca="false">O687+P687</f>
        <v>23830.0397699837</v>
      </c>
      <c r="R687" s="15" t="n">
        <f aca="false">Q687-$G$2+$I$2</f>
        <v>25739.6997699837</v>
      </c>
      <c r="S687" s="42" t="n">
        <f aca="false">R687/$K$2</f>
        <v>109.9846163739</v>
      </c>
      <c r="T687" s="43" t="n">
        <f aca="false">S687-$M$2</f>
        <v>-0.00128286978720382</v>
      </c>
    </row>
    <row r="688" customFormat="false" ht="15" hidden="false" customHeight="false" outlineLevel="0" collapsed="false">
      <c r="A688" s="5" t="n">
        <v>17</v>
      </c>
      <c r="B688" s="25" t="n">
        <f aca="false">IF(T687&gt;0,B687,D687)</f>
        <v>0.0501632690429688</v>
      </c>
      <c r="C688" s="25" t="n">
        <f aca="false">IF(T687&gt;0,D687,C687)</f>
        <v>0.0501861572265625</v>
      </c>
      <c r="D688" s="41" t="n">
        <f aca="false">(B688+C688)/2</f>
        <v>0.0501747131347656</v>
      </c>
      <c r="E688" s="15" t="n">
        <f aca="false">$C$2*(1+IF(E$3&lt;=$O$2,$D688,$D688-($D688-$I$670)*MIN(E$3-$O$2,$Q$2)/$Q$2))</f>
        <v>2310.38436889648</v>
      </c>
      <c r="F688" s="15" t="n">
        <f aca="false">E688*(1+IF(F$3&lt;=$O$2,$D688,$D688-($D688-$I$670)*MIN(F$3-$O$2,$Q$2)/$Q$2))</f>
        <v>2426.30724183691</v>
      </c>
      <c r="G688" s="15" t="n">
        <f aca="false">F688*(1+IF(G$3&lt;=$O$2,$D688,$D688-($D688-$I$670)*MIN(G$3-$O$2,$Q$2)/$Q$2))</f>
        <v>2548.04651167288</v>
      </c>
      <c r="H688" s="15" t="n">
        <f aca="false">G688*(1+IF(H$3&lt;=$O$2,$D688,$D688-($D688-$I$670)*MIN(H$3-$O$2,$Q$2)/$Q$2))</f>
        <v>2675.89401445011</v>
      </c>
      <c r="I688" s="15" t="n">
        <f aca="false">H688*(1+IF(I$3&lt;=$O$2,$D688,$D688-($D688-$I$670)*MIN(I$3-$O$2,$Q$2)/$Q$2))</f>
        <v>2810.15622900418</v>
      </c>
      <c r="J688" s="15" t="n">
        <f aca="false">I688*(1+IF(J$3&lt;=$O$2,$D688,$D688-($D688-$I$670)*MIN(J$3-$O$2,$Q$2)/$Q$2))</f>
        <v>2941.67089561268</v>
      </c>
      <c r="K688" s="15" t="n">
        <f aca="false">J688*(1+IF(K$3&lt;=$O$2,$D688,$D688-($D688-$I$670)*MIN(K$3-$O$2,$Q$2)/$Q$2))</f>
        <v>3069.41244793679</v>
      </c>
      <c r="L688" s="15" t="n">
        <f aca="false">K688*(1+IF(L$3&lt;=$O$2,$D688,$D688-($D688-$I$670)*MIN(L$3-$O$2,$Q$2)/$Q$2))</f>
        <v>3192.34206427357</v>
      </c>
      <c r="M688" s="15" t="n">
        <f aca="false">L688*(1+IF(M$3&lt;=$O$2,$D688,$D688-($D688-$I$670)*MIN(M$3-$O$2,$Q$2)/$Q$2))</f>
        <v>3309.42102632641</v>
      </c>
      <c r="N688" s="15" t="n">
        <f aca="false">M688*(1+IF(N$3&lt;=$O$2,$D688,$D688-($D688-$I$670)*MIN(N$3-$O$2,$Q$2)/$Q$2))</f>
        <v>3419.62474650308</v>
      </c>
      <c r="O688" s="15" t="n">
        <f aca="false">SUMPRODUCT(E688:N688,1/(1+$F$670)^$E$3:$N$3)*$E$2</f>
        <v>9349.27849537948</v>
      </c>
      <c r="P688" s="15" t="n">
        <f aca="false">N688*$E$2*(1+$I$670)/($F$670-$I$670)/(1+$F$670)^$N$3</f>
        <v>14482.3341661949</v>
      </c>
      <c r="Q688" s="15" t="n">
        <f aca="false">O688+P688</f>
        <v>23831.6126615744</v>
      </c>
      <c r="R688" s="15" t="n">
        <f aca="false">Q688-$G$2+$I$2</f>
        <v>25741.2726615744</v>
      </c>
      <c r="S688" s="42" t="n">
        <f aca="false">R688/$K$2</f>
        <v>109.991337271181</v>
      </c>
      <c r="T688" s="43" t="n">
        <f aca="false">S688-$M$2</f>
        <v>0.0054380274940371</v>
      </c>
    </row>
    <row r="689" customFormat="false" ht="15" hidden="false" customHeight="false" outlineLevel="0" collapsed="false">
      <c r="A689" s="5" t="n">
        <v>18</v>
      </c>
      <c r="B689" s="25" t="n">
        <f aca="false">IF(T688&gt;0,B688,D688)</f>
        <v>0.0501632690429688</v>
      </c>
      <c r="C689" s="25" t="n">
        <f aca="false">IF(T688&gt;0,D688,C688)</f>
        <v>0.0501747131347656</v>
      </c>
      <c r="D689" s="41" t="n">
        <f aca="false">(B689+C689)/2</f>
        <v>0.0501689910888672</v>
      </c>
      <c r="E689" s="15" t="n">
        <f aca="false">$C$2*(1+IF(E$3&lt;=$O$2,$D689,$D689-($D689-$I$670)*MIN(E$3-$O$2,$Q$2)/$Q$2))</f>
        <v>2310.37178039551</v>
      </c>
      <c r="F689" s="15" t="n">
        <f aca="false">E689*(1+IF(F$3&lt;=$O$2,$D689,$D689-($D689-$I$670)*MIN(F$3-$O$2,$Q$2)/$Q$2))</f>
        <v>2426.28080165814</v>
      </c>
      <c r="G689" s="15" t="n">
        <f aca="false">F689*(1+IF(G$3&lt;=$O$2,$D689,$D689-($D689-$I$670)*MIN(G$3-$O$2,$Q$2)/$Q$2))</f>
        <v>2548.00486157562</v>
      </c>
      <c r="H689" s="15" t="n">
        <f aca="false">G689*(1+IF(H$3&lt;=$O$2,$D689,$D689-($D689-$I$670)*MIN(H$3-$O$2,$Q$2)/$Q$2))</f>
        <v>2675.83569477039</v>
      </c>
      <c r="I689" s="15" t="n">
        <f aca="false">H689*(1+IF(I$3&lt;=$O$2,$D689,$D689-($D689-$I$670)*MIN(I$3-$O$2,$Q$2)/$Q$2))</f>
        <v>2810.0796718966</v>
      </c>
      <c r="J689" s="15" t="n">
        <f aca="false">I689*(1+IF(J$3&lt;=$O$2,$D689,$D689-($D689-$I$670)*MIN(J$3-$O$2,$Q$2)/$Q$2))</f>
        <v>2941.57789212614</v>
      </c>
      <c r="K689" s="15" t="n">
        <f aca="false">J689*(1+IF(K$3&lt;=$O$2,$D689,$D689-($D689-$I$670)*MIN(K$3-$O$2,$Q$2)/$Q$2))</f>
        <v>3069.30530668364</v>
      </c>
      <c r="L689" s="15" t="n">
        <f aca="false">K689*(1+IF(L$3&lt;=$O$2,$D689,$D689-($D689-$I$670)*MIN(L$3-$O$2,$Q$2)/$Q$2))</f>
        <v>3192.22360694318</v>
      </c>
      <c r="M689" s="15" t="n">
        <f aca="false">L689*(1+IF(M$3&lt;=$O$2,$D689,$D689-($D689-$I$670)*MIN(M$3-$O$2,$Q$2)/$Q$2))</f>
        <v>3309.29457137023</v>
      </c>
      <c r="N689" s="15" t="n">
        <f aca="false">M689*(1+IF(N$3&lt;=$O$2,$D689,$D689-($D689-$I$670)*MIN(N$3-$O$2,$Q$2)/$Q$2))</f>
        <v>3419.49408059686</v>
      </c>
      <c r="O689" s="15" t="n">
        <f aca="false">SUMPRODUCT(E689:N689,1/(1+$F$670)^$E$3:$N$3)*$E$2</f>
        <v>9349.0454160666</v>
      </c>
      <c r="P689" s="15" t="n">
        <f aca="false">N689*$E$2*(1+$I$670)/($F$670-$I$670)/(1+$F$670)^$N$3</f>
        <v>14481.7807875472</v>
      </c>
      <c r="Q689" s="15" t="n">
        <f aca="false">O689+P689</f>
        <v>23830.8262036138</v>
      </c>
      <c r="R689" s="15" t="n">
        <f aca="false">Q689-$G$2+$I$2</f>
        <v>25740.4862036138</v>
      </c>
      <c r="S689" s="42" t="n">
        <f aca="false">R689/$K$2</f>
        <v>109.987976770558</v>
      </c>
      <c r="T689" s="43" t="n">
        <f aca="false">S689-$M$2</f>
        <v>0.00207752687175855</v>
      </c>
    </row>
    <row r="690" customFormat="false" ht="15" hidden="false" customHeight="false" outlineLevel="0" collapsed="false">
      <c r="A690" s="5" t="n">
        <v>19</v>
      </c>
      <c r="B690" s="25" t="n">
        <f aca="false">IF(T689&gt;0,B689,D689)</f>
        <v>0.0501632690429688</v>
      </c>
      <c r="C690" s="25" t="n">
        <f aca="false">IF(T689&gt;0,D689,C689)</f>
        <v>0.0501689910888672</v>
      </c>
      <c r="D690" s="41" t="n">
        <f aca="false">(B690+C690)/2</f>
        <v>0.050166130065918</v>
      </c>
      <c r="E690" s="15" t="n">
        <f aca="false">$C$2*(1+IF(E$3&lt;=$O$2,$D690,$D690-($D690-$I$670)*MIN(E$3-$O$2,$Q$2)/$Q$2))</f>
        <v>2310.36548614502</v>
      </c>
      <c r="F690" s="15" t="n">
        <f aca="false">E690*(1+IF(F$3&lt;=$O$2,$D690,$D690-($D690-$I$670)*MIN(F$3-$O$2,$Q$2)/$Q$2))</f>
        <v>2426.26758162278</v>
      </c>
      <c r="G690" s="15" t="n">
        <f aca="false">F690*(1+IF(G$3&lt;=$O$2,$D690,$D690-($D690-$I$670)*MIN(G$3-$O$2,$Q$2)/$Q$2))</f>
        <v>2547.98403669719</v>
      </c>
      <c r="H690" s="15" t="n">
        <f aca="false">G690*(1+IF(H$3&lt;=$O$2,$D690,$D690-($D690-$I$670)*MIN(H$3-$O$2,$Q$2)/$Q$2))</f>
        <v>2675.80653528802</v>
      </c>
      <c r="I690" s="15" t="n">
        <f aca="false">H690*(1+IF(I$3&lt;=$O$2,$D690,$D690-($D690-$I$670)*MIN(I$3-$O$2,$Q$2)/$Q$2))</f>
        <v>2810.04139396851</v>
      </c>
      <c r="J690" s="15" t="n">
        <f aca="false">I690*(1+IF(J$3&lt;=$O$2,$D690,$D690-($D690-$I$670)*MIN(J$3-$O$2,$Q$2)/$Q$2))</f>
        <v>2941.53139130069</v>
      </c>
      <c r="K690" s="15" t="n">
        <f aca="false">J690*(1+IF(K$3&lt;=$O$2,$D690,$D690-($D690-$I$670)*MIN(K$3-$O$2,$Q$2)/$Q$2))</f>
        <v>3069.2517372542</v>
      </c>
      <c r="L690" s="15" t="n">
        <f aca="false">K690*(1+IF(L$3&lt;=$O$2,$D690,$D690-($D690-$I$670)*MIN(L$3-$O$2,$Q$2)/$Q$2))</f>
        <v>3192.164379707</v>
      </c>
      <c r="M690" s="15" t="n">
        <f aca="false">L690*(1+IF(M$3&lt;=$O$2,$D690,$D690-($D690-$I$670)*MIN(M$3-$O$2,$Q$2)/$Q$2))</f>
        <v>3309.23134547523</v>
      </c>
      <c r="N690" s="15" t="n">
        <f aca="false">M690*(1+IF(N$3&lt;=$O$2,$D690,$D690-($D690-$I$670)*MIN(N$3-$O$2,$Q$2)/$Q$2))</f>
        <v>3419.42874927955</v>
      </c>
      <c r="O690" s="15" t="n">
        <f aca="false">SUMPRODUCT(E690:N690,1/(1+$F$670)^$E$3:$N$3)*$E$2</f>
        <v>9348.92887860643</v>
      </c>
      <c r="P690" s="15" t="n">
        <f aca="false">N690*$E$2*(1+$I$670)/($F$670-$I$670)/(1+$F$670)^$N$3</f>
        <v>14481.5041051511</v>
      </c>
      <c r="Q690" s="15" t="n">
        <f aca="false">O690+P690</f>
        <v>23830.4329837575</v>
      </c>
      <c r="R690" s="15" t="n">
        <f aca="false">Q690-$G$2+$I$2</f>
        <v>25740.0929837575</v>
      </c>
      <c r="S690" s="42" t="n">
        <f aca="false">R690/$K$2</f>
        <v>109.986296559234</v>
      </c>
      <c r="T690" s="43" t="n">
        <f aca="false">S690-$M$2</f>
        <v>0.000397315547076005</v>
      </c>
    </row>
    <row r="691" customFormat="false" ht="15" hidden="false" customHeight="false" outlineLevel="0" collapsed="false">
      <c r="A691" s="5" t="n">
        <v>20</v>
      </c>
      <c r="B691" s="25" t="n">
        <f aca="false">IF(T690&gt;0,B690,D690)</f>
        <v>0.0501632690429688</v>
      </c>
      <c r="C691" s="25" t="n">
        <f aca="false">IF(T690&gt;0,D690,C690)</f>
        <v>0.050166130065918</v>
      </c>
      <c r="D691" s="41" t="n">
        <f aca="false">(B691+C691)/2</f>
        <v>0.0501646995544434</v>
      </c>
      <c r="E691" s="15" t="n">
        <f aca="false">$C$2*(1+IF(E$3&lt;=$O$2,$D691,$D691-($D691-$I$670)*MIN(E$3-$O$2,$Q$2)/$Q$2))</f>
        <v>2310.36233901978</v>
      </c>
      <c r="F691" s="15" t="n">
        <f aca="false">E691*(1+IF(F$3&lt;=$O$2,$D691,$D691-($D691-$I$670)*MIN(F$3-$O$2,$Q$2)/$Q$2))</f>
        <v>2426.2609716186</v>
      </c>
      <c r="G691" s="15" t="n">
        <f aca="false">F691*(1+IF(G$3&lt;=$O$2,$D691,$D691-($D691-$I$670)*MIN(G$3-$O$2,$Q$2)/$Q$2))</f>
        <v>2547.97362430052</v>
      </c>
      <c r="H691" s="15" t="n">
        <f aca="false">G691*(1+IF(H$3&lt;=$O$2,$D691,$D691-($D691-$I$670)*MIN(H$3-$O$2,$Q$2)/$Q$2))</f>
        <v>2675.7919556362</v>
      </c>
      <c r="I691" s="15" t="n">
        <f aca="false">H691*(1+IF(I$3&lt;=$O$2,$D691,$D691-($D691-$I$670)*MIN(I$3-$O$2,$Q$2)/$Q$2))</f>
        <v>2810.02225516089</v>
      </c>
      <c r="J691" s="15" t="n">
        <f aca="false">I691*(1+IF(J$3&lt;=$O$2,$D691,$D691-($D691-$I$670)*MIN(J$3-$O$2,$Q$2)/$Q$2))</f>
        <v>2941.50814111742</v>
      </c>
      <c r="K691" s="15" t="n">
        <f aca="false">J691*(1+IF(K$3&lt;=$O$2,$D691,$D691-($D691-$I$670)*MIN(K$3-$O$2,$Q$2)/$Q$2))</f>
        <v>3069.22495283877</v>
      </c>
      <c r="L691" s="15" t="n">
        <f aca="false">K691*(1+IF(L$3&lt;=$O$2,$D691,$D691-($D691-$I$670)*MIN(L$3-$O$2,$Q$2)/$Q$2))</f>
        <v>3192.13476644615</v>
      </c>
      <c r="M691" s="15" t="n">
        <f aca="false">L691*(1+IF(M$3&lt;=$O$2,$D691,$D691-($D691-$I$670)*MIN(M$3-$O$2,$Q$2)/$Q$2))</f>
        <v>3309.19973292348</v>
      </c>
      <c r="N691" s="15" t="n">
        <f aca="false">M691*(1+IF(N$3&lt;=$O$2,$D691,$D691-($D691-$I$670)*MIN(N$3-$O$2,$Q$2)/$Q$2))</f>
        <v>3419.39608402984</v>
      </c>
      <c r="O691" s="15" t="n">
        <f aca="false">SUMPRODUCT(E691:N691,1/(1+$F$670)^$E$3:$N$3)*$E$2</f>
        <v>9348.8706104254</v>
      </c>
      <c r="P691" s="15" t="n">
        <f aca="false">N691*$E$2*(1+$I$670)/($F$670-$I$670)/(1+$F$670)^$N$3</f>
        <v>14481.3657656849</v>
      </c>
      <c r="Q691" s="15" t="n">
        <f aca="false">O691+P691</f>
        <v>23830.2363761103</v>
      </c>
      <c r="R691" s="15" t="n">
        <f aca="false">Q691-$G$2+$I$2</f>
        <v>25739.8963761103</v>
      </c>
      <c r="S691" s="42" t="n">
        <f aca="false">R691/$K$2</f>
        <v>109.985456463318</v>
      </c>
      <c r="T691" s="43" t="n">
        <f aca="false">S691-$M$2</f>
        <v>-0.000442780368885565</v>
      </c>
    </row>
    <row r="692" customFormat="false" ht="15" hidden="false" customHeight="false" outlineLevel="0" collapsed="false">
      <c r="A692" s="5" t="n">
        <v>21</v>
      </c>
      <c r="B692" s="25" t="n">
        <f aca="false">IF(T691&gt;0,B691,D691)</f>
        <v>0.0501646995544434</v>
      </c>
      <c r="C692" s="25" t="n">
        <f aca="false">IF(T691&gt;0,D691,C691)</f>
        <v>0.050166130065918</v>
      </c>
      <c r="D692" s="41" t="n">
        <f aca="false">(B692+C692)/2</f>
        <v>0.0501654148101807</v>
      </c>
      <c r="E692" s="15" t="n">
        <f aca="false">$C$2*(1+IF(E$3&lt;=$O$2,$D692,$D692-($D692-$I$670)*MIN(E$3-$O$2,$Q$2)/$Q$2))</f>
        <v>2310.3639125824</v>
      </c>
      <c r="F692" s="15" t="n">
        <f aca="false">E692*(1+IF(F$3&lt;=$O$2,$D692,$D692-($D692-$I$670)*MIN(F$3-$O$2,$Q$2)/$Q$2))</f>
        <v>2426.26427661957</v>
      </c>
      <c r="G692" s="15" t="n">
        <f aca="false">F692*(1+IF(G$3&lt;=$O$2,$D692,$D692-($D692-$I$670)*MIN(G$3-$O$2,$Q$2)/$Q$2))</f>
        <v>2547.97883049531</v>
      </c>
      <c r="H692" s="15" t="n">
        <f aca="false">G692*(1+IF(H$3&lt;=$O$2,$D692,$D692-($D692-$I$670)*MIN(H$3-$O$2,$Q$2)/$Q$2))</f>
        <v>2675.79924545467</v>
      </c>
      <c r="I692" s="15" t="n">
        <f aca="false">H692*(1+IF(I$3&lt;=$O$2,$D692,$D692-($D692-$I$670)*MIN(I$3-$O$2,$Q$2)/$Q$2))</f>
        <v>2810.03182455167</v>
      </c>
      <c r="J692" s="15" t="n">
        <f aca="false">I692*(1+IF(J$3&lt;=$O$2,$D692,$D692-($D692-$I$670)*MIN(J$3-$O$2,$Q$2)/$Q$2))</f>
        <v>2941.51976618994</v>
      </c>
      <c r="K692" s="15" t="n">
        <f aca="false">J692*(1+IF(K$3&lt;=$O$2,$D692,$D692-($D692-$I$670)*MIN(K$3-$O$2,$Q$2)/$Q$2))</f>
        <v>3069.23834502154</v>
      </c>
      <c r="L692" s="15" t="n">
        <f aca="false">K692*(1+IF(L$3&lt;=$O$2,$D692,$D692-($D692-$I$670)*MIN(L$3-$O$2,$Q$2)/$Q$2))</f>
        <v>3192.1495730468</v>
      </c>
      <c r="M692" s="15" t="n">
        <f aca="false">L692*(1+IF(M$3&lt;=$O$2,$D692,$D692-($D692-$I$670)*MIN(M$3-$O$2,$Q$2)/$Q$2))</f>
        <v>3309.21553916637</v>
      </c>
      <c r="N692" s="15" t="n">
        <f aca="false">M692*(1+IF(N$3&lt;=$O$2,$D692,$D692-($D692-$I$670)*MIN(N$3-$O$2,$Q$2)/$Q$2))</f>
        <v>3419.41241662062</v>
      </c>
      <c r="O692" s="15" t="n">
        <f aca="false">SUMPRODUCT(E692:N692,1/(1+$F$670)^$E$3:$N$3)*$E$2</f>
        <v>9348.89974447016</v>
      </c>
      <c r="P692" s="15" t="n">
        <f aca="false">N692*$E$2*(1+$I$670)/($F$670-$I$670)/(1+$F$670)^$N$3</f>
        <v>14481.4349352736</v>
      </c>
      <c r="Q692" s="15" t="n">
        <f aca="false">O692+P692</f>
        <v>23830.3346797438</v>
      </c>
      <c r="R692" s="15" t="n">
        <f aca="false">Q692-$G$2+$I$2</f>
        <v>25739.9946797438</v>
      </c>
      <c r="S692" s="42" t="n">
        <f aca="false">R692/$K$2</f>
        <v>109.985876510464</v>
      </c>
      <c r="T692" s="43" t="n">
        <f aca="false">S692-$M$2</f>
        <v>-2.27332231190758E-005</v>
      </c>
    </row>
    <row r="693" customFormat="false" ht="15" hidden="false" customHeight="false" outlineLevel="0" collapsed="false">
      <c r="A693" s="5" t="n">
        <v>22</v>
      </c>
      <c r="B693" s="25" t="n">
        <f aca="false">IF(T692&gt;0,B692,D692)</f>
        <v>0.0501654148101807</v>
      </c>
      <c r="C693" s="25" t="n">
        <f aca="false">IF(T692&gt;0,D692,C692)</f>
        <v>0.050166130065918</v>
      </c>
      <c r="D693" s="41" t="n">
        <f aca="false">(B693+C693)/2</f>
        <v>0.0501657724380493</v>
      </c>
      <c r="E693" s="15" t="n">
        <f aca="false">$C$2*(1+IF(E$3&lt;=$O$2,$D693,$D693-($D693-$I$670)*MIN(E$3-$O$2,$Q$2)/$Q$2))</f>
        <v>2310.36469936371</v>
      </c>
      <c r="F693" s="15" t="n">
        <f aca="false">E693*(1+IF(F$3&lt;=$O$2,$D693,$D693-($D693-$I$670)*MIN(F$3-$O$2,$Q$2)/$Q$2))</f>
        <v>2426.26592912089</v>
      </c>
      <c r="G693" s="15" t="n">
        <f aca="false">F693*(1+IF(G$3&lt;=$O$2,$D693,$D693-($D693-$I$670)*MIN(G$3-$O$2,$Q$2)/$Q$2))</f>
        <v>2547.98143359536</v>
      </c>
      <c r="H693" s="15" t="n">
        <f aca="false">G693*(1+IF(H$3&lt;=$O$2,$D693,$D693-($D693-$I$670)*MIN(H$3-$O$2,$Q$2)/$Q$2))</f>
        <v>2675.80289036948</v>
      </c>
      <c r="I693" s="15" t="n">
        <f aca="false">H693*(1+IF(I$3&lt;=$O$2,$D693,$D693-($D693-$I$670)*MIN(I$3-$O$2,$Q$2)/$Q$2))</f>
        <v>2810.03660925683</v>
      </c>
      <c r="J693" s="15" t="n">
        <f aca="false">I693*(1+IF(J$3&lt;=$O$2,$D693,$D693-($D693-$I$670)*MIN(J$3-$O$2,$Q$2)/$Q$2))</f>
        <v>2941.52557874053</v>
      </c>
      <c r="K693" s="15" t="n">
        <f aca="false">J693*(1+IF(K$3&lt;=$O$2,$D693,$D693-($D693-$I$670)*MIN(K$3-$O$2,$Q$2)/$Q$2))</f>
        <v>3069.24504113164</v>
      </c>
      <c r="L693" s="15" t="n">
        <f aca="false">K693*(1+IF(L$3&lt;=$O$2,$D693,$D693-($D693-$I$670)*MIN(L$3-$O$2,$Q$2)/$Q$2))</f>
        <v>3192.15697636946</v>
      </c>
      <c r="M693" s="15" t="n">
        <f aca="false">L693*(1+IF(M$3&lt;=$O$2,$D693,$D693-($D693-$I$670)*MIN(M$3-$O$2,$Q$2)/$Q$2))</f>
        <v>3309.22344231255</v>
      </c>
      <c r="N693" s="15" t="n">
        <f aca="false">M693*(1+IF(N$3&lt;=$O$2,$D693,$D693-($D693-$I$670)*MIN(N$3-$O$2,$Q$2)/$Q$2))</f>
        <v>3419.42058294156</v>
      </c>
      <c r="O693" s="15" t="n">
        <f aca="false">SUMPRODUCT(E693:N693,1/(1+$F$670)^$E$3:$N$3)*$E$2</f>
        <v>9348.91431152685</v>
      </c>
      <c r="P693" s="15" t="n">
        <f aca="false">N693*$E$2*(1+$I$670)/($F$670-$I$670)/(1+$F$670)^$N$3</f>
        <v>14481.4695201763</v>
      </c>
      <c r="Q693" s="15" t="n">
        <f aca="false">O693+P693</f>
        <v>23830.3838317031</v>
      </c>
      <c r="R693" s="15" t="n">
        <f aca="false">Q693-$G$2+$I$2</f>
        <v>25740.0438317031</v>
      </c>
      <c r="S693" s="42" t="n">
        <f aca="false">R693/$K$2</f>
        <v>109.986086534646</v>
      </c>
      <c r="T693" s="43" t="n">
        <f aca="false">S693-$M$2</f>
        <v>0.000187290958905351</v>
      </c>
    </row>
    <row r="694" customFormat="false" ht="15" hidden="false" customHeight="false" outlineLevel="0" collapsed="false">
      <c r="A694" s="5" t="n">
        <v>23</v>
      </c>
      <c r="B694" s="25" t="n">
        <f aca="false">IF(T693&gt;0,B693,D693)</f>
        <v>0.0501654148101807</v>
      </c>
      <c r="C694" s="25" t="n">
        <f aca="false">IF(T693&gt;0,D693,C693)</f>
        <v>0.0501657724380493</v>
      </c>
      <c r="D694" s="41" t="n">
        <f aca="false">(B694+C694)/2</f>
        <v>0.050165593624115</v>
      </c>
      <c r="E694" s="15" t="n">
        <f aca="false">$C$2*(1+IF(E$3&lt;=$O$2,$D694,$D694-($D694-$I$670)*MIN(E$3-$O$2,$Q$2)/$Q$2))</f>
        <v>2310.36430597305</v>
      </c>
      <c r="F694" s="15" t="n">
        <f aca="false">E694*(1+IF(F$3&lt;=$O$2,$D694,$D694-($D694-$I$670)*MIN(F$3-$O$2,$Q$2)/$Q$2))</f>
        <v>2426.26510287016</v>
      </c>
      <c r="G694" s="15" t="n">
        <f aca="false">F694*(1+IF(G$3&lt;=$O$2,$D694,$D694-($D694-$I$670)*MIN(G$3-$O$2,$Q$2)/$Q$2))</f>
        <v>2547.98013204511</v>
      </c>
      <c r="H694" s="15" t="n">
        <f aca="false">G694*(1+IF(H$3&lt;=$O$2,$D694,$D694-($D694-$I$670)*MIN(H$3-$O$2,$Q$2)/$Q$2))</f>
        <v>2675.80106791161</v>
      </c>
      <c r="I694" s="15" t="n">
        <f aca="false">H694*(1+IF(I$3&lt;=$O$2,$D694,$D694-($D694-$I$670)*MIN(I$3-$O$2,$Q$2)/$Q$2))</f>
        <v>2810.03421690343</v>
      </c>
      <c r="J694" s="15" t="n">
        <f aca="false">I694*(1+IF(J$3&lt;=$O$2,$D694,$D694-($D694-$I$670)*MIN(J$3-$O$2,$Q$2)/$Q$2))</f>
        <v>2941.52267246404</v>
      </c>
      <c r="K694" s="15" t="n">
        <f aca="false">J694*(1+IF(K$3&lt;=$O$2,$D694,$D694-($D694-$I$670)*MIN(K$3-$O$2,$Q$2)/$Q$2))</f>
        <v>3069.24169307503</v>
      </c>
      <c r="L694" s="15" t="n">
        <f aca="false">K694*(1+IF(L$3&lt;=$O$2,$D694,$D694-($D694-$I$670)*MIN(L$3-$O$2,$Q$2)/$Q$2))</f>
        <v>3192.15327470627</v>
      </c>
      <c r="M694" s="15" t="n">
        <f aca="false">L694*(1+IF(M$3&lt;=$O$2,$D694,$D694-($D694-$I$670)*MIN(M$3-$O$2,$Q$2)/$Q$2))</f>
        <v>3309.2194907374</v>
      </c>
      <c r="N694" s="15" t="n">
        <f aca="false">M694*(1+IF(N$3&lt;=$O$2,$D694,$D694-($D694-$I$670)*MIN(N$3-$O$2,$Q$2)/$Q$2))</f>
        <v>3419.41649977896</v>
      </c>
      <c r="O694" s="15" t="n">
        <f aca="false">SUMPRODUCT(E694:N694,1/(1+$F$670)^$E$3:$N$3)*$E$2</f>
        <v>9348.90702799565</v>
      </c>
      <c r="P694" s="15" t="n">
        <f aca="false">N694*$E$2*(1+$I$670)/($F$670-$I$670)/(1+$F$670)^$N$3</f>
        <v>14481.4522277159</v>
      </c>
      <c r="Q694" s="15" t="n">
        <f aca="false">O694+P694</f>
        <v>23830.3592557116</v>
      </c>
      <c r="R694" s="15" t="n">
        <f aca="false">Q694-$G$2+$I$2</f>
        <v>25740.0192557116</v>
      </c>
      <c r="S694" s="42" t="n">
        <f aca="false">R694/$K$2</f>
        <v>109.985981522504</v>
      </c>
      <c r="T694" s="43" t="n">
        <f aca="false">S694-$M$2</f>
        <v>8.22788171177535E-005</v>
      </c>
    </row>
    <row r="695" customFormat="false" ht="15" hidden="false" customHeight="false" outlineLevel="0" collapsed="false">
      <c r="A695" s="5" t="n">
        <v>24</v>
      </c>
      <c r="B695" s="25" t="n">
        <f aca="false">IF(T694&gt;0,B694,D694)</f>
        <v>0.0501654148101807</v>
      </c>
      <c r="C695" s="25" t="n">
        <f aca="false">IF(T694&gt;0,D694,C694)</f>
        <v>0.050165593624115</v>
      </c>
      <c r="D695" s="41" t="n">
        <f aca="false">(B695+C695)/2</f>
        <v>0.0501655042171478</v>
      </c>
      <c r="E695" s="15" t="n">
        <f aca="false">$C$2*(1+IF(E$3&lt;=$O$2,$D695,$D695-($D695-$I$670)*MIN(E$3-$O$2,$Q$2)/$Q$2))</f>
        <v>2310.36410927773</v>
      </c>
      <c r="F695" s="15" t="n">
        <f aca="false">E695*(1+IF(F$3&lt;=$O$2,$D695,$D695-($D695-$I$670)*MIN(F$3-$O$2,$Q$2)/$Q$2))</f>
        <v>2426.26468974484</v>
      </c>
      <c r="G695" s="15" t="n">
        <f aca="false">F695*(1+IF(G$3&lt;=$O$2,$D695,$D695-($D695-$I$670)*MIN(G$3-$O$2,$Q$2)/$Q$2))</f>
        <v>2547.97948127016</v>
      </c>
      <c r="H695" s="15" t="n">
        <f aca="false">G695*(1+IF(H$3&lt;=$O$2,$D695,$D695-($D695-$I$670)*MIN(H$3-$O$2,$Q$2)/$Q$2))</f>
        <v>2675.80015668302</v>
      </c>
      <c r="I695" s="15" t="n">
        <f aca="false">H695*(1+IF(I$3&lt;=$O$2,$D695,$D695-($D695-$I$670)*MIN(I$3-$O$2,$Q$2)/$Q$2))</f>
        <v>2810.03302072735</v>
      </c>
      <c r="J695" s="15" t="n">
        <f aca="false">I695*(1+IF(J$3&lt;=$O$2,$D695,$D695-($D695-$I$670)*MIN(J$3-$O$2,$Q$2)/$Q$2))</f>
        <v>2941.52121932669</v>
      </c>
      <c r="K695" s="15" t="n">
        <f aca="false">J695*(1+IF(K$3&lt;=$O$2,$D695,$D695-($D695-$I$670)*MIN(K$3-$O$2,$Q$2)/$Q$2))</f>
        <v>3069.2400190479</v>
      </c>
      <c r="L695" s="15" t="n">
        <f aca="false">K695*(1+IF(L$3&lt;=$O$2,$D695,$D695-($D695-$I$670)*MIN(L$3-$O$2,$Q$2)/$Q$2))</f>
        <v>3192.15142387607</v>
      </c>
      <c r="M695" s="15" t="n">
        <f aca="false">L695*(1+IF(M$3&lt;=$O$2,$D695,$D695-($D695-$I$670)*MIN(M$3-$O$2,$Q$2)/$Q$2))</f>
        <v>3309.21751495137</v>
      </c>
      <c r="N695" s="15" t="n">
        <f aca="false">M695*(1+IF(N$3&lt;=$O$2,$D695,$D695-($D695-$I$670)*MIN(N$3-$O$2,$Q$2)/$Q$2))</f>
        <v>3419.41445819926</v>
      </c>
      <c r="O695" s="15" t="n">
        <f aca="false">SUMPRODUCT(E695:N695,1/(1+$F$670)^$E$3:$N$3)*$E$2</f>
        <v>9348.90338623219</v>
      </c>
      <c r="P695" s="15" t="n">
        <f aca="false">N695*$E$2*(1+$I$670)/($F$670-$I$670)/(1+$F$670)^$N$3</f>
        <v>14481.4435814925</v>
      </c>
      <c r="Q695" s="15" t="n">
        <f aca="false">O695+P695</f>
        <v>23830.3469677247</v>
      </c>
      <c r="R695" s="15" t="n">
        <f aca="false">Q695-$G$2+$I$2</f>
        <v>25740.0069677247</v>
      </c>
      <c r="S695" s="42" t="n">
        <f aca="false">R695/$K$2</f>
        <v>109.985929016471</v>
      </c>
      <c r="T695" s="43" t="n">
        <f aca="false">S695-$M$2</f>
        <v>2.97727843445728E-005</v>
      </c>
    </row>
    <row r="697" customFormat="false" ht="15" hidden="false" customHeight="false" outlineLevel="0" collapsed="false">
      <c r="A697" s="38" t="s">
        <v>212</v>
      </c>
      <c r="E697" s="5" t="s">
        <v>11</v>
      </c>
      <c r="F697" s="12" t="n">
        <f aca="false">Sensitivity!$B$14</f>
        <v>0.0877967762761046</v>
      </c>
      <c r="G697" s="5" t="s">
        <v>12</v>
      </c>
      <c r="I697" s="12" t="n">
        <f aca="false">Sensitivity!$G$9</f>
        <v>0.0383</v>
      </c>
    </row>
    <row r="698" customFormat="false" ht="23.85" hidden="false" customHeight="false" outlineLevel="0" collapsed="false">
      <c r="A698" s="38" t="s">
        <v>168</v>
      </c>
      <c r="B698" s="28" t="s">
        <v>169</v>
      </c>
      <c r="C698" s="28" t="s">
        <v>170</v>
      </c>
      <c r="D698" s="28" t="s">
        <v>171</v>
      </c>
      <c r="E698" s="28" t="s">
        <v>172</v>
      </c>
      <c r="F698" s="28" t="s">
        <v>173</v>
      </c>
      <c r="G698" s="28" t="s">
        <v>174</v>
      </c>
      <c r="H698" s="28" t="s">
        <v>175</v>
      </c>
      <c r="I698" s="28" t="s">
        <v>176</v>
      </c>
      <c r="J698" s="28" t="s">
        <v>177</v>
      </c>
      <c r="K698" s="28" t="s">
        <v>178</v>
      </c>
      <c r="L698" s="28" t="s">
        <v>179</v>
      </c>
      <c r="M698" s="28" t="s">
        <v>180</v>
      </c>
      <c r="N698" s="28" t="s">
        <v>181</v>
      </c>
      <c r="O698" s="28" t="s">
        <v>182</v>
      </c>
      <c r="P698" s="28" t="s">
        <v>183</v>
      </c>
      <c r="Q698" s="28" t="s">
        <v>184</v>
      </c>
      <c r="R698" s="28" t="s">
        <v>185</v>
      </c>
      <c r="S698" s="28" t="s">
        <v>186</v>
      </c>
      <c r="T698" s="28" t="s">
        <v>187</v>
      </c>
    </row>
    <row r="699" customFormat="false" ht="15" hidden="false" customHeight="false" outlineLevel="0" collapsed="false">
      <c r="A699" s="5" t="n">
        <v>1</v>
      </c>
      <c r="B699" s="24" t="n">
        <v>-0.5</v>
      </c>
      <c r="C699" s="24" t="n">
        <v>1</v>
      </c>
      <c r="D699" s="41" t="n">
        <f aca="false">(B699+C699)/2</f>
        <v>0.25</v>
      </c>
      <c r="E699" s="15" t="n">
        <f aca="false">$C$2*(1+IF(E$3&lt;=$O$2,$D699,$D699-($D699-$I$697)*MIN(E$3-$O$2,$Q$2)/$Q$2))</f>
        <v>2750</v>
      </c>
      <c r="F699" s="15" t="n">
        <f aca="false">E699*(1+IF(F$3&lt;=$O$2,$D699,$D699-($D699-$I$697)*MIN(F$3-$O$2,$Q$2)/$Q$2))</f>
        <v>3437.5</v>
      </c>
      <c r="G699" s="15" t="n">
        <f aca="false">F699*(1+IF(G$3&lt;=$O$2,$D699,$D699-($D699-$I$697)*MIN(G$3-$O$2,$Q$2)/$Q$2))</f>
        <v>4296.875</v>
      </c>
      <c r="H699" s="15" t="n">
        <f aca="false">G699*(1+IF(H$3&lt;=$O$2,$D699,$D699-($D699-$I$697)*MIN(H$3-$O$2,$Q$2)/$Q$2))</f>
        <v>5371.09375</v>
      </c>
      <c r="I699" s="15" t="n">
        <f aca="false">H699*(1+IF(I$3&lt;=$O$2,$D699,$D699-($D699-$I$697)*MIN(I$3-$O$2,$Q$2)/$Q$2))</f>
        <v>6713.8671875</v>
      </c>
      <c r="J699" s="15" t="n">
        <f aca="false">I699*(1+IF(J$3&lt;=$O$2,$D699,$D699-($D699-$I$697)*MIN(J$3-$O$2,$Q$2)/$Q$2))</f>
        <v>8108.06884765625</v>
      </c>
      <c r="K699" s="15" t="n">
        <f aca="false">J699*(1+IF(K$3&lt;=$O$2,$D699,$D699-($D699-$I$697)*MIN(K$3-$O$2,$Q$2)/$Q$2))</f>
        <v>9448.49478955078</v>
      </c>
      <c r="L699" s="15" t="n">
        <f aca="false">K699*(1+IF(L$3&lt;=$O$2,$D699,$D699-($D699-$I$697)*MIN(L$3-$O$2,$Q$2)/$Q$2))</f>
        <v>10610.4706787697</v>
      </c>
      <c r="M699" s="15" t="n">
        <f aca="false">L699*(1+IF(M$3&lt;=$O$2,$D699,$D699-($D699-$I$697)*MIN(M$3-$O$2,$Q$2)/$Q$2))</f>
        <v>11466.0990343057</v>
      </c>
      <c r="N699" s="15" t="n">
        <f aca="false">M699*(1+IF(N$3&lt;=$O$2,$D699,$D699-($D699-$I$697)*MIN(N$3-$O$2,$Q$2)/$Q$2))</f>
        <v>11905.2506273196</v>
      </c>
      <c r="O699" s="15" t="n">
        <f aca="false">SUMPRODUCT(E699:N699,1/(1+$F$697)^$E$3:$N$3)*$E$2</f>
        <v>22318.6362730307</v>
      </c>
      <c r="P699" s="15" t="n">
        <f aca="false">N699*$E$2*(1+$I$697)/($F$697-$I$697)/(1+$F$697)^$N$3</f>
        <v>55781.344574373</v>
      </c>
      <c r="Q699" s="15" t="n">
        <f aca="false">O699+P699</f>
        <v>78099.9808474036</v>
      </c>
      <c r="R699" s="15" t="n">
        <f aca="false">Q699-$G$2+$I$2</f>
        <v>80009.6408474036</v>
      </c>
      <c r="S699" s="42" t="n">
        <f aca="false">R699/$K$2</f>
        <v>341.877711607074</v>
      </c>
      <c r="T699" s="43" t="n">
        <f aca="false">S699-$M$2</f>
        <v>231.891812363388</v>
      </c>
    </row>
    <row r="700" customFormat="false" ht="15" hidden="false" customHeight="false" outlineLevel="0" collapsed="false">
      <c r="A700" s="5" t="n">
        <v>2</v>
      </c>
      <c r="B700" s="25" t="n">
        <f aca="false">IF(T699&gt;0,B699,D699)</f>
        <v>-0.5</v>
      </c>
      <c r="C700" s="25" t="n">
        <f aca="false">IF(T699&gt;0,D699,C699)</f>
        <v>0.25</v>
      </c>
      <c r="D700" s="41" t="n">
        <f aca="false">(B700+C700)/2</f>
        <v>-0.125</v>
      </c>
      <c r="E700" s="15" t="n">
        <f aca="false">$C$2*(1+IF(E$3&lt;=$O$2,$D700,$D700-($D700-$I$697)*MIN(E$3-$O$2,$Q$2)/$Q$2))</f>
        <v>1925</v>
      </c>
      <c r="F700" s="15" t="n">
        <f aca="false">E700*(1+IF(F$3&lt;=$O$2,$D700,$D700-($D700-$I$697)*MIN(F$3-$O$2,$Q$2)/$Q$2))</f>
        <v>1684.375</v>
      </c>
      <c r="G700" s="15" t="n">
        <f aca="false">F700*(1+IF(G$3&lt;=$O$2,$D700,$D700-($D700-$I$697)*MIN(G$3-$O$2,$Q$2)/$Q$2))</f>
        <v>1473.828125</v>
      </c>
      <c r="H700" s="15" t="n">
        <f aca="false">G700*(1+IF(H$3&lt;=$O$2,$D700,$D700-($D700-$I$697)*MIN(H$3-$O$2,$Q$2)/$Q$2))</f>
        <v>1289.599609375</v>
      </c>
      <c r="I700" s="15" t="n">
        <f aca="false">H700*(1+IF(I$3&lt;=$O$2,$D700,$D700-($D700-$I$697)*MIN(I$3-$O$2,$Q$2)/$Q$2))</f>
        <v>1128.39965820313</v>
      </c>
      <c r="J700" s="15" t="n">
        <f aca="false">I700*(1+IF(J$3&lt;=$O$2,$D700,$D700-($D700-$I$697)*MIN(J$3-$O$2,$Q$2)/$Q$2))</f>
        <v>1024.20323376465</v>
      </c>
      <c r="K700" s="15" t="n">
        <f aca="false">J700*(1+IF(K$3&lt;=$O$2,$D700,$D700-($D700-$I$697)*MIN(K$3-$O$2,$Q$2)/$Q$2))</f>
        <v>963.078784773574</v>
      </c>
      <c r="L700" s="15" t="n">
        <f aca="false">K700*(1+IF(L$3&lt;=$O$2,$D700,$D700-($D700-$I$697)*MIN(L$3-$O$2,$Q$2)/$Q$2))</f>
        <v>937.056396008992</v>
      </c>
      <c r="M700" s="15" t="n">
        <f aca="false">L700*(1+IF(M$3&lt;=$O$2,$D700,$D700-($D700-$I$697)*MIN(M$3-$O$2,$Q$2)/$Q$2))</f>
        <v>942.341394082483</v>
      </c>
      <c r="N700" s="15" t="n">
        <f aca="false">M700*(1+IF(N$3&lt;=$O$2,$D700,$D700-($D700-$I$697)*MIN(N$3-$O$2,$Q$2)/$Q$2))</f>
        <v>978.433069475842</v>
      </c>
      <c r="O700" s="15" t="n">
        <f aca="false">SUMPRODUCT(E700:N700,1/(1+$F$697)^$E$3:$N$3)*$E$2</f>
        <v>4401.43216521435</v>
      </c>
      <c r="P700" s="15" t="n">
        <f aca="false">N700*$E$2*(1+$I$697)/($F$697-$I$697)/(1+$F$697)^$N$3</f>
        <v>4584.39002251238</v>
      </c>
      <c r="Q700" s="15" t="n">
        <f aca="false">O700+P700</f>
        <v>8985.82218772673</v>
      </c>
      <c r="R700" s="15" t="n">
        <f aca="false">Q700-$G$2+$I$2</f>
        <v>10895.4821877267</v>
      </c>
      <c r="S700" s="42" t="n">
        <f aca="false">R700/$K$2</f>
        <v>46.5559209833215</v>
      </c>
      <c r="T700" s="43" t="n">
        <f aca="false">S700-$M$2</f>
        <v>-63.4299782603652</v>
      </c>
    </row>
    <row r="701" customFormat="false" ht="15" hidden="false" customHeight="false" outlineLevel="0" collapsed="false">
      <c r="A701" s="5" t="n">
        <v>3</v>
      </c>
      <c r="B701" s="25" t="n">
        <f aca="false">IF(T700&gt;0,B700,D700)</f>
        <v>-0.125</v>
      </c>
      <c r="C701" s="25" t="n">
        <f aca="false">IF(T700&gt;0,D700,C700)</f>
        <v>0.25</v>
      </c>
      <c r="D701" s="41" t="n">
        <f aca="false">(B701+C701)/2</f>
        <v>0.0625</v>
      </c>
      <c r="E701" s="15" t="n">
        <f aca="false">$C$2*(1+IF(E$3&lt;=$O$2,$D701,$D701-($D701-$I$697)*MIN(E$3-$O$2,$Q$2)/$Q$2))</f>
        <v>2337.5</v>
      </c>
      <c r="F701" s="15" t="n">
        <f aca="false">E701*(1+IF(F$3&lt;=$O$2,$D701,$D701-($D701-$I$697)*MIN(F$3-$O$2,$Q$2)/$Q$2))</f>
        <v>2483.59375</v>
      </c>
      <c r="G701" s="15" t="n">
        <f aca="false">F701*(1+IF(G$3&lt;=$O$2,$D701,$D701-($D701-$I$697)*MIN(G$3-$O$2,$Q$2)/$Q$2))</f>
        <v>2638.818359375</v>
      </c>
      <c r="H701" s="15" t="n">
        <f aca="false">G701*(1+IF(H$3&lt;=$O$2,$D701,$D701-($D701-$I$697)*MIN(H$3-$O$2,$Q$2)/$Q$2))</f>
        <v>2803.74450683594</v>
      </c>
      <c r="I701" s="15" t="n">
        <f aca="false">H701*(1+IF(I$3&lt;=$O$2,$D701,$D701-($D701-$I$697)*MIN(I$3-$O$2,$Q$2)/$Q$2))</f>
        <v>2978.97853851318</v>
      </c>
      <c r="J701" s="15" t="n">
        <f aca="false">I701*(1+IF(J$3&lt;=$O$2,$D701,$D701-($D701-$I$697)*MIN(J$3-$O$2,$Q$2)/$Q$2))</f>
        <v>3150.74644104385</v>
      </c>
      <c r="K701" s="15" t="n">
        <f aca="false">J701*(1+IF(K$3&lt;=$O$2,$D701,$D701-($D701-$I$697)*MIN(K$3-$O$2,$Q$2)/$Q$2))</f>
        <v>3317.16886805979</v>
      </c>
      <c r="L701" s="15" t="n">
        <f aca="false">K701*(1+IF(L$3&lt;=$O$2,$D701,$D701-($D701-$I$697)*MIN(L$3-$O$2,$Q$2)/$Q$2))</f>
        <v>3476.3266303493</v>
      </c>
      <c r="M701" s="15" t="n">
        <f aca="false">L701*(1+IF(M$3&lt;=$O$2,$D701,$D701-($D701-$I$697)*MIN(M$3-$O$2,$Q$2)/$Q$2))</f>
        <v>3626.29536118257</v>
      </c>
      <c r="N701" s="15" t="n">
        <f aca="false">M701*(1+IF(N$3&lt;=$O$2,$D701,$D701-($D701-$I$697)*MIN(N$3-$O$2,$Q$2)/$Q$2))</f>
        <v>3765.18247351586</v>
      </c>
      <c r="O701" s="15" t="n">
        <f aca="false">SUMPRODUCT(E701:N701,1/(1+$F$697)^$E$3:$N$3)*$E$2</f>
        <v>9894.4243120442</v>
      </c>
      <c r="P701" s="15" t="n">
        <f aca="false">N701*$E$2*(1+$I$697)/($F$697-$I$697)/(1+$F$697)^$N$3</f>
        <v>17641.5388062993</v>
      </c>
      <c r="Q701" s="15" t="n">
        <f aca="false">O701+P701</f>
        <v>27535.9631183435</v>
      </c>
      <c r="R701" s="15" t="n">
        <f aca="false">Q701-$G$2+$I$2</f>
        <v>29445.6231183435</v>
      </c>
      <c r="S701" s="42" t="n">
        <f aca="false">R701/$K$2</f>
        <v>125.819865480252</v>
      </c>
      <c r="T701" s="43" t="n">
        <f aca="false">S701-$M$2</f>
        <v>15.8339662365657</v>
      </c>
    </row>
    <row r="702" customFormat="false" ht="15" hidden="false" customHeight="false" outlineLevel="0" collapsed="false">
      <c r="A702" s="5" t="n">
        <v>4</v>
      </c>
      <c r="B702" s="25" t="n">
        <f aca="false">IF(T701&gt;0,B701,D701)</f>
        <v>-0.125</v>
      </c>
      <c r="C702" s="25" t="n">
        <f aca="false">IF(T701&gt;0,D701,C701)</f>
        <v>0.0625</v>
      </c>
      <c r="D702" s="41" t="n">
        <f aca="false">(B702+C702)/2</f>
        <v>-0.03125</v>
      </c>
      <c r="E702" s="15" t="n">
        <f aca="false">$C$2*(1+IF(E$3&lt;=$O$2,$D702,$D702-($D702-$I$697)*MIN(E$3-$O$2,$Q$2)/$Q$2))</f>
        <v>2131.25</v>
      </c>
      <c r="F702" s="15" t="n">
        <f aca="false">E702*(1+IF(F$3&lt;=$O$2,$D702,$D702-($D702-$I$697)*MIN(F$3-$O$2,$Q$2)/$Q$2))</f>
        <v>2064.6484375</v>
      </c>
      <c r="G702" s="15" t="n">
        <f aca="false">F702*(1+IF(G$3&lt;=$O$2,$D702,$D702-($D702-$I$697)*MIN(G$3-$O$2,$Q$2)/$Q$2))</f>
        <v>2000.12817382813</v>
      </c>
      <c r="H702" s="15" t="n">
        <f aca="false">G702*(1+IF(H$3&lt;=$O$2,$D702,$D702-($D702-$I$697)*MIN(H$3-$O$2,$Q$2)/$Q$2))</f>
        <v>1937.624168396</v>
      </c>
      <c r="I702" s="15" t="n">
        <f aca="false">H702*(1+IF(I$3&lt;=$O$2,$D702,$D702-($D702-$I$697)*MIN(I$3-$O$2,$Q$2)/$Q$2))</f>
        <v>1877.07341313362</v>
      </c>
      <c r="J702" s="15" t="n">
        <f aca="false">I702*(1+IF(J$3&lt;=$O$2,$D702,$D702-($D702-$I$697)*MIN(J$3-$O$2,$Q$2)/$Q$2))</f>
        <v>1844.52496014988</v>
      </c>
      <c r="K702" s="15" t="n">
        <f aca="false">J702*(1+IF(K$3&lt;=$O$2,$D702,$D702-($D702-$I$697)*MIN(K$3-$O$2,$Q$2)/$Q$2))</f>
        <v>1838.19823953657</v>
      </c>
      <c r="L702" s="15" t="n">
        <f aca="false">K702*(1+IF(L$3&lt;=$O$2,$D702,$D702-($D702-$I$697)*MIN(L$3-$O$2,$Q$2)/$Q$2))</f>
        <v>1857.46255708691</v>
      </c>
      <c r="M702" s="15" t="n">
        <f aca="false">L702*(1+IF(M$3&lt;=$O$2,$D702,$D702-($D702-$I$697)*MIN(M$3-$O$2,$Q$2)/$Q$2))</f>
        <v>1902.76606885426</v>
      </c>
      <c r="N702" s="15" t="n">
        <f aca="false">M702*(1+IF(N$3&lt;=$O$2,$D702,$D702-($D702-$I$697)*MIN(N$3-$O$2,$Q$2)/$Q$2))</f>
        <v>1975.64200929138</v>
      </c>
      <c r="O702" s="15" t="n">
        <f aca="false">SUMPRODUCT(E702:N702,1/(1+$F$697)^$E$3:$N$3)*$E$2</f>
        <v>6580.11379267154</v>
      </c>
      <c r="P702" s="15" t="n">
        <f aca="false">N702*$E$2*(1+$I$697)/($F$697-$I$697)/(1+$F$697)^$N$3</f>
        <v>9256.75327010739</v>
      </c>
      <c r="Q702" s="15" t="n">
        <f aca="false">O702+P702</f>
        <v>15836.8670627789</v>
      </c>
      <c r="R702" s="15" t="n">
        <f aca="false">Q702-$G$2+$I$2</f>
        <v>17746.5270627789</v>
      </c>
      <c r="S702" s="42" t="n">
        <f aca="false">R702/$K$2</f>
        <v>75.8301374301539</v>
      </c>
      <c r="T702" s="43" t="n">
        <f aca="false">S702-$M$2</f>
        <v>-34.1557618135328</v>
      </c>
    </row>
    <row r="703" customFormat="false" ht="15" hidden="false" customHeight="false" outlineLevel="0" collapsed="false">
      <c r="A703" s="5" t="n">
        <v>5</v>
      </c>
      <c r="B703" s="25" t="n">
        <f aca="false">IF(T702&gt;0,B702,D702)</f>
        <v>-0.03125</v>
      </c>
      <c r="C703" s="25" t="n">
        <f aca="false">IF(T702&gt;0,D702,C702)</f>
        <v>0.0625</v>
      </c>
      <c r="D703" s="41" t="n">
        <f aca="false">(B703+C703)/2</f>
        <v>0.015625</v>
      </c>
      <c r="E703" s="15" t="n">
        <f aca="false">$C$2*(1+IF(E$3&lt;=$O$2,$D703,$D703-($D703-$I$697)*MIN(E$3-$O$2,$Q$2)/$Q$2))</f>
        <v>2234.375</v>
      </c>
      <c r="F703" s="15" t="n">
        <f aca="false">E703*(1+IF(F$3&lt;=$O$2,$D703,$D703-($D703-$I$697)*MIN(F$3-$O$2,$Q$2)/$Q$2))</f>
        <v>2269.287109375</v>
      </c>
      <c r="G703" s="15" t="n">
        <f aca="false">F703*(1+IF(G$3&lt;=$O$2,$D703,$D703-($D703-$I$697)*MIN(G$3-$O$2,$Q$2)/$Q$2))</f>
        <v>2304.74472045898</v>
      </c>
      <c r="H703" s="15" t="n">
        <f aca="false">G703*(1+IF(H$3&lt;=$O$2,$D703,$D703-($D703-$I$697)*MIN(H$3-$O$2,$Q$2)/$Q$2))</f>
        <v>2340.75635671616</v>
      </c>
      <c r="I703" s="15" t="n">
        <f aca="false">H703*(1+IF(I$3&lt;=$O$2,$D703,$D703-($D703-$I$697)*MIN(I$3-$O$2,$Q$2)/$Q$2))</f>
        <v>2377.33067478985</v>
      </c>
      <c r="J703" s="15" t="n">
        <f aca="false">I703*(1+IF(J$3&lt;=$O$2,$D703,$D703-($D703-$I$697)*MIN(J$3-$O$2,$Q$2)/$Q$2))</f>
        <v>2425.25766119361</v>
      </c>
      <c r="K703" s="15" t="n">
        <f aca="false">J703*(1+IF(K$3&lt;=$O$2,$D703,$D703-($D703-$I$697)*MIN(K$3-$O$2,$Q$2)/$Q$2))</f>
        <v>2485.14939913679</v>
      </c>
      <c r="L703" s="15" t="n">
        <f aca="false">K703*(1+IF(L$3&lt;=$O$2,$D703,$D703-($D703-$I$697)*MIN(L$3-$O$2,$Q$2)/$Q$2))</f>
        <v>2557.79031607355</v>
      </c>
      <c r="M703" s="15" t="n">
        <f aca="false">L703*(1+IF(M$3&lt;=$O$2,$D703,$D703-($D703-$I$697)*MIN(M$3-$O$2,$Q$2)/$Q$2))</f>
        <v>2644.15410609578</v>
      </c>
      <c r="N703" s="15" t="n">
        <f aca="false">M703*(1+IF(N$3&lt;=$O$2,$D703,$D703-($D703-$I$697)*MIN(N$3-$O$2,$Q$2)/$Q$2))</f>
        <v>2745.42520835925</v>
      </c>
      <c r="O703" s="15" t="n">
        <f aca="false">SUMPRODUCT(E703:N703,1/(1+$F$697)^$E$3:$N$3)*$E$2</f>
        <v>8065.65873128241</v>
      </c>
      <c r="P703" s="15" t="n">
        <f aca="false">N703*$E$2*(1+$I$697)/($F$697-$I$697)/(1+$F$697)^$N$3</f>
        <v>12863.5267198181</v>
      </c>
      <c r="Q703" s="15" t="n">
        <f aca="false">O703+P703</f>
        <v>20929.1854511005</v>
      </c>
      <c r="R703" s="15" t="n">
        <f aca="false">Q703-$G$2+$I$2</f>
        <v>22838.8454511005</v>
      </c>
      <c r="S703" s="42" t="n">
        <f aca="false">R703/$K$2</f>
        <v>97.589392176646</v>
      </c>
      <c r="T703" s="43" t="n">
        <f aca="false">S703-$M$2</f>
        <v>-12.3965070670407</v>
      </c>
    </row>
    <row r="704" customFormat="false" ht="15" hidden="false" customHeight="false" outlineLevel="0" collapsed="false">
      <c r="A704" s="5" t="n">
        <v>6</v>
      </c>
      <c r="B704" s="25" t="n">
        <f aca="false">IF(T703&gt;0,B703,D703)</f>
        <v>0.015625</v>
      </c>
      <c r="C704" s="25" t="n">
        <f aca="false">IF(T703&gt;0,D703,C703)</f>
        <v>0.0625</v>
      </c>
      <c r="D704" s="41" t="n">
        <f aca="false">(B704+C704)/2</f>
        <v>0.0390625</v>
      </c>
      <c r="E704" s="15" t="n">
        <f aca="false">$C$2*(1+IF(E$3&lt;=$O$2,$D704,$D704-($D704-$I$697)*MIN(E$3-$O$2,$Q$2)/$Q$2))</f>
        <v>2285.9375</v>
      </c>
      <c r="F704" s="15" t="n">
        <f aca="false">E704*(1+IF(F$3&lt;=$O$2,$D704,$D704-($D704-$I$697)*MIN(F$3-$O$2,$Q$2)/$Q$2))</f>
        <v>2375.23193359375</v>
      </c>
      <c r="G704" s="15" t="n">
        <f aca="false">F704*(1+IF(G$3&lt;=$O$2,$D704,$D704-($D704-$I$697)*MIN(G$3-$O$2,$Q$2)/$Q$2))</f>
        <v>2468.01443099976</v>
      </c>
      <c r="H704" s="15" t="n">
        <f aca="false">G704*(1+IF(H$3&lt;=$O$2,$D704,$D704-($D704-$I$697)*MIN(H$3-$O$2,$Q$2)/$Q$2))</f>
        <v>2564.42124471068</v>
      </c>
      <c r="I704" s="15" t="n">
        <f aca="false">H704*(1+IF(I$3&lt;=$O$2,$D704,$D704-($D704-$I$697)*MIN(I$3-$O$2,$Q$2)/$Q$2))</f>
        <v>2664.5939495822</v>
      </c>
      <c r="J704" s="15" t="n">
        <f aca="false">I704*(1+IF(J$3&lt;=$O$2,$D704,$D704-($D704-$I$697)*MIN(J$3-$O$2,$Q$2)/$Q$2))</f>
        <v>2768.27330016044</v>
      </c>
      <c r="K704" s="15" t="n">
        <f aca="false">J704*(1+IF(K$3&lt;=$O$2,$D704,$D704-($D704-$I$697)*MIN(K$3-$O$2,$Q$2)/$Q$2))</f>
        <v>2875.56465259141</v>
      </c>
      <c r="L704" s="15" t="n">
        <f aca="false">K704*(1+IF(L$3&lt;=$O$2,$D704,$D704-($D704-$I$697)*MIN(L$3-$O$2,$Q$2)/$Q$2))</f>
        <v>2986.5758260047</v>
      </c>
      <c r="M704" s="15" t="n">
        <f aca="false">L704*(1+IF(M$3&lt;=$O$2,$D704,$D704-($D704-$I$697)*MIN(M$3-$O$2,$Q$2)/$Q$2))</f>
        <v>3101.41713295414</v>
      </c>
      <c r="N704" s="15" t="n">
        <f aca="false">M704*(1+IF(N$3&lt;=$O$2,$D704,$D704-($D704-$I$697)*MIN(N$3-$O$2,$Q$2)/$Q$2))</f>
        <v>3220.20140914629</v>
      </c>
      <c r="O704" s="15" t="n">
        <f aca="false">SUMPRODUCT(E704:N704,1/(1+$F$697)^$E$3:$N$3)*$E$2</f>
        <v>8932.84493510081</v>
      </c>
      <c r="P704" s="15" t="n">
        <f aca="false">N704*$E$2*(1+$I$697)/($F$697-$I$697)/(1+$F$697)^$N$3</f>
        <v>15088.0624041858</v>
      </c>
      <c r="Q704" s="15" t="n">
        <f aca="false">O704+P704</f>
        <v>24020.9073392866</v>
      </c>
      <c r="R704" s="15" t="n">
        <f aca="false">Q704-$G$2+$I$2</f>
        <v>25930.5673392866</v>
      </c>
      <c r="S704" s="42" t="n">
        <f aca="false">R704/$K$2</f>
        <v>110.800185186884</v>
      </c>
      <c r="T704" s="43" t="n">
        <f aca="false">S704-$M$2</f>
        <v>0.814285943197774</v>
      </c>
    </row>
    <row r="705" customFormat="false" ht="15" hidden="false" customHeight="false" outlineLevel="0" collapsed="false">
      <c r="A705" s="5" t="n">
        <v>7</v>
      </c>
      <c r="B705" s="25" t="n">
        <f aca="false">IF(T704&gt;0,B704,D704)</f>
        <v>0.015625</v>
      </c>
      <c r="C705" s="25" t="n">
        <f aca="false">IF(T704&gt;0,D704,C704)</f>
        <v>0.0390625</v>
      </c>
      <c r="D705" s="41" t="n">
        <f aca="false">(B705+C705)/2</f>
        <v>0.02734375</v>
      </c>
      <c r="E705" s="15" t="n">
        <f aca="false">$C$2*(1+IF(E$3&lt;=$O$2,$D705,$D705-($D705-$I$697)*MIN(E$3-$O$2,$Q$2)/$Q$2))</f>
        <v>2260.15625</v>
      </c>
      <c r="F705" s="15" t="n">
        <f aca="false">E705*(1+IF(F$3&lt;=$O$2,$D705,$D705-($D705-$I$697)*MIN(F$3-$O$2,$Q$2)/$Q$2))</f>
        <v>2321.95739746094</v>
      </c>
      <c r="G705" s="15" t="n">
        <f aca="false">F705*(1+IF(G$3&lt;=$O$2,$D705,$D705-($D705-$I$697)*MIN(G$3-$O$2,$Q$2)/$Q$2))</f>
        <v>2385.44842004776</v>
      </c>
      <c r="H705" s="15" t="n">
        <f aca="false">G705*(1+IF(H$3&lt;=$O$2,$D705,$D705-($D705-$I$697)*MIN(H$3-$O$2,$Q$2)/$Q$2))</f>
        <v>2450.67552528344</v>
      </c>
      <c r="I705" s="15" t="n">
        <f aca="false">H705*(1+IF(I$3&lt;=$O$2,$D705,$D705-($D705-$I$697)*MIN(I$3-$O$2,$Q$2)/$Q$2))</f>
        <v>2517.68618417791</v>
      </c>
      <c r="J705" s="15" t="n">
        <f aca="false">I705*(1+IF(J$3&lt;=$O$2,$D705,$D705-($D705-$I$697)*MIN(J$3-$O$2,$Q$2)/$Q$2))</f>
        <v>2592.04604562761</v>
      </c>
      <c r="K705" s="15" t="n">
        <f aca="false">J705*(1+IF(K$3&lt;=$O$2,$D705,$D705-($D705-$I$697)*MIN(K$3-$O$2,$Q$2)/$Q$2))</f>
        <v>2674.2819464827</v>
      </c>
      <c r="L705" s="15" t="n">
        <f aca="false">K705*(1+IF(L$3&lt;=$O$2,$D705,$D705-($D705-$I$697)*MIN(L$3-$O$2,$Q$2)/$Q$2))</f>
        <v>2764.98690440252</v>
      </c>
      <c r="M705" s="15" t="n">
        <f aca="false">L705*(1+IF(M$3&lt;=$O$2,$D705,$D705-($D705-$I$697)*MIN(M$3-$O$2,$Q$2)/$Q$2))</f>
        <v>2864.82712528687</v>
      </c>
      <c r="N705" s="15" t="n">
        <f aca="false">M705*(1+IF(N$3&lt;=$O$2,$D705,$D705-($D705-$I$697)*MIN(N$3-$O$2,$Q$2)/$Q$2))</f>
        <v>2974.55000418536</v>
      </c>
      <c r="O705" s="15" t="n">
        <f aca="false">SUMPRODUCT(E705:N705,1/(1+$F$697)^$E$3:$N$3)*$E$2</f>
        <v>8488.01811328692</v>
      </c>
      <c r="P705" s="15" t="n">
        <f aca="false">N705*$E$2*(1+$I$697)/($F$697-$I$697)/(1+$F$697)^$N$3</f>
        <v>13937.0773393388</v>
      </c>
      <c r="Q705" s="15" t="n">
        <f aca="false">O705+P705</f>
        <v>22425.0954526258</v>
      </c>
      <c r="R705" s="15" t="n">
        <f aca="false">Q705-$G$2+$I$2</f>
        <v>24334.7554526257</v>
      </c>
      <c r="S705" s="42" t="n">
        <f aca="false">R705/$K$2</f>
        <v>103.981350479108</v>
      </c>
      <c r="T705" s="43" t="n">
        <f aca="false">S705-$M$2</f>
        <v>-6.00454876457826</v>
      </c>
    </row>
    <row r="706" customFormat="false" ht="15" hidden="false" customHeight="false" outlineLevel="0" collapsed="false">
      <c r="A706" s="5" t="n">
        <v>8</v>
      </c>
      <c r="B706" s="25" t="n">
        <f aca="false">IF(T705&gt;0,B705,D705)</f>
        <v>0.02734375</v>
      </c>
      <c r="C706" s="25" t="n">
        <f aca="false">IF(T705&gt;0,D705,C705)</f>
        <v>0.0390625</v>
      </c>
      <c r="D706" s="41" t="n">
        <f aca="false">(B706+C706)/2</f>
        <v>0.033203125</v>
      </c>
      <c r="E706" s="15" t="n">
        <f aca="false">$C$2*(1+IF(E$3&lt;=$O$2,$D706,$D706-($D706-$I$697)*MIN(E$3-$O$2,$Q$2)/$Q$2))</f>
        <v>2273.046875</v>
      </c>
      <c r="F706" s="15" t="n">
        <f aca="false">E706*(1+IF(F$3&lt;=$O$2,$D706,$D706-($D706-$I$697)*MIN(F$3-$O$2,$Q$2)/$Q$2))</f>
        <v>2348.51913452148</v>
      </c>
      <c r="G706" s="15" t="n">
        <f aca="false">F706*(1+IF(G$3&lt;=$O$2,$D706,$D706-($D706-$I$697)*MIN(G$3-$O$2,$Q$2)/$Q$2))</f>
        <v>2426.49730890989</v>
      </c>
      <c r="H706" s="15" t="n">
        <f aca="false">G706*(1+IF(H$3&lt;=$O$2,$D706,$D706-($D706-$I$697)*MIN(H$3-$O$2,$Q$2)/$Q$2))</f>
        <v>2507.06460236979</v>
      </c>
      <c r="I706" s="15" t="n">
        <f aca="false">H706*(1+IF(I$3&lt;=$O$2,$D706,$D706-($D706-$I$697)*MIN(I$3-$O$2,$Q$2)/$Q$2))</f>
        <v>2590.30698174535</v>
      </c>
      <c r="J706" s="15" t="n">
        <f aca="false">I706*(1+IF(J$3&lt;=$O$2,$D706,$D706-($D706-$I$697)*MIN(J$3-$O$2,$Q$2)/$Q$2))</f>
        <v>2678.95376242813</v>
      </c>
      <c r="K706" s="15" t="n">
        <f aca="false">J706*(1+IF(K$3&lt;=$O$2,$D706,$D706-($D706-$I$697)*MIN(K$3-$O$2,$Q$2)/$Q$2))</f>
        <v>2773.3651160544</v>
      </c>
      <c r="L706" s="15" t="n">
        <f aca="false">K706*(1+IF(L$3&lt;=$O$2,$D706,$D706-($D706-$I$697)*MIN(L$3-$O$2,$Q$2)/$Q$2))</f>
        <v>2873.93080186893</v>
      </c>
      <c r="M706" s="15" t="n">
        <f aca="false">L706*(1+IF(M$3&lt;=$O$2,$D706,$D706-($D706-$I$697)*MIN(M$3-$O$2,$Q$2)/$Q$2))</f>
        <v>2981.07273836936</v>
      </c>
      <c r="N706" s="15" t="n">
        <f aca="false">M706*(1+IF(N$3&lt;=$O$2,$D706,$D706-($D706-$I$697)*MIN(N$3-$O$2,$Q$2)/$Q$2))</f>
        <v>3095.2478242489</v>
      </c>
      <c r="O706" s="15" t="n">
        <f aca="false">SUMPRODUCT(E706:N706,1/(1+$F$697)^$E$3:$N$3)*$E$2</f>
        <v>8707.55427767657</v>
      </c>
      <c r="P706" s="15" t="n">
        <f aca="false">N706*$E$2*(1+$I$697)/($F$697-$I$697)/(1+$F$697)^$N$3</f>
        <v>14502.5998051062</v>
      </c>
      <c r="Q706" s="15" t="n">
        <f aca="false">O706+P706</f>
        <v>23210.1540827828</v>
      </c>
      <c r="R706" s="15" t="n">
        <f aca="false">Q706-$G$2+$I$2</f>
        <v>25119.8140827828</v>
      </c>
      <c r="S706" s="42" t="n">
        <f aca="false">R706/$K$2</f>
        <v>107.335871823197</v>
      </c>
      <c r="T706" s="43" t="n">
        <f aca="false">S706-$M$2</f>
        <v>-2.65002742048982</v>
      </c>
    </row>
    <row r="707" customFormat="false" ht="15" hidden="false" customHeight="false" outlineLevel="0" collapsed="false">
      <c r="A707" s="5" t="n">
        <v>9</v>
      </c>
      <c r="B707" s="25" t="n">
        <f aca="false">IF(T706&gt;0,B706,D706)</f>
        <v>0.033203125</v>
      </c>
      <c r="C707" s="25" t="n">
        <f aca="false">IF(T706&gt;0,D706,C706)</f>
        <v>0.0390625</v>
      </c>
      <c r="D707" s="41" t="n">
        <f aca="false">(B707+C707)/2</f>
        <v>0.0361328125</v>
      </c>
      <c r="E707" s="15" t="n">
        <f aca="false">$C$2*(1+IF(E$3&lt;=$O$2,$D707,$D707-($D707-$I$697)*MIN(E$3-$O$2,$Q$2)/$Q$2))</f>
        <v>2279.4921875</v>
      </c>
      <c r="F707" s="15" t="n">
        <f aca="false">E707*(1+IF(F$3&lt;=$O$2,$D707,$D707-($D707-$I$697)*MIN(F$3-$O$2,$Q$2)/$Q$2))</f>
        <v>2361.85665130615</v>
      </c>
      <c r="G707" s="15" t="n">
        <f aca="false">F707*(1+IF(G$3&lt;=$O$2,$D707,$D707-($D707-$I$697)*MIN(G$3-$O$2,$Q$2)/$Q$2))</f>
        <v>2447.19717483968</v>
      </c>
      <c r="H707" s="15" t="n">
        <f aca="false">G707*(1+IF(H$3&lt;=$O$2,$D707,$D707-($D707-$I$697)*MIN(H$3-$O$2,$Q$2)/$Q$2))</f>
        <v>2535.62129150869</v>
      </c>
      <c r="I707" s="15" t="n">
        <f aca="false">H707*(1+IF(I$3&lt;=$O$2,$D707,$D707-($D707-$I$697)*MIN(I$3-$O$2,$Q$2)/$Q$2))</f>
        <v>2627.24042020578</v>
      </c>
      <c r="J707" s="15" t="n">
        <f aca="false">I707*(1+IF(J$3&lt;=$O$2,$D707,$D707-($D707-$I$697)*MIN(J$3-$O$2,$Q$2)/$Q$2))</f>
        <v>2723.30875022113</v>
      </c>
      <c r="K707" s="15" t="n">
        <f aca="false">J707*(1+IF(K$3&lt;=$O$2,$D707,$D707-($D707-$I$697)*MIN(K$3-$O$2,$Q$2)/$Q$2))</f>
        <v>2824.07032294532</v>
      </c>
      <c r="L707" s="15" t="n">
        <f aca="false">K707*(1+IF(L$3&lt;=$O$2,$D707,$D707-($D707-$I$697)*MIN(L$3-$O$2,$Q$2)/$Q$2))</f>
        <v>2929.78410035293</v>
      </c>
      <c r="M707" s="15" t="n">
        <f aca="false">L707*(1+IF(M$3&lt;=$O$2,$D707,$D707-($D707-$I$697)*MIN(M$3-$O$2,$Q$2)/$Q$2))</f>
        <v>3040.72495310045</v>
      </c>
      <c r="N707" s="15" t="n">
        <f aca="false">M707*(1+IF(N$3&lt;=$O$2,$D707,$D707-($D707-$I$697)*MIN(N$3-$O$2,$Q$2)/$Q$2))</f>
        <v>3157.1847188042</v>
      </c>
      <c r="O707" s="15" t="n">
        <f aca="false">SUMPRODUCT(E707:N707,1/(1+$F$697)^$E$3:$N$3)*$E$2</f>
        <v>8819.47153233929</v>
      </c>
      <c r="P707" s="15" t="n">
        <f aca="false">N707*$E$2*(1+$I$697)/($F$697-$I$697)/(1+$F$697)^$N$3</f>
        <v>14792.8014451395</v>
      </c>
      <c r="Q707" s="15" t="n">
        <f aca="false">O707+P707</f>
        <v>23612.2729774788</v>
      </c>
      <c r="R707" s="15" t="n">
        <f aca="false">Q707-$G$2+$I$2</f>
        <v>25521.9329774788</v>
      </c>
      <c r="S707" s="42" t="n">
        <f aca="false">R707/$K$2</f>
        <v>109.054108351403</v>
      </c>
      <c r="T707" s="43" t="n">
        <f aca="false">S707-$M$2</f>
        <v>-0.931790892284056</v>
      </c>
    </row>
    <row r="708" customFormat="false" ht="15" hidden="false" customHeight="false" outlineLevel="0" collapsed="false">
      <c r="A708" s="5" t="n">
        <v>10</v>
      </c>
      <c r="B708" s="25" t="n">
        <f aca="false">IF(T707&gt;0,B707,D707)</f>
        <v>0.0361328125</v>
      </c>
      <c r="C708" s="25" t="n">
        <f aca="false">IF(T707&gt;0,D707,C707)</f>
        <v>0.0390625</v>
      </c>
      <c r="D708" s="41" t="n">
        <f aca="false">(B708+C708)/2</f>
        <v>0.03759765625</v>
      </c>
      <c r="E708" s="15" t="n">
        <f aca="false">$C$2*(1+IF(E$3&lt;=$O$2,$D708,$D708-($D708-$I$697)*MIN(E$3-$O$2,$Q$2)/$Q$2))</f>
        <v>2282.71484375</v>
      </c>
      <c r="F708" s="15" t="n">
        <f aca="false">E708*(1+IF(F$3&lt;=$O$2,$D708,$D708-($D708-$I$697)*MIN(F$3-$O$2,$Q$2)/$Q$2))</f>
        <v>2368.53957176209</v>
      </c>
      <c r="G708" s="15" t="n">
        <f aca="false">F708*(1+IF(G$3&lt;=$O$2,$D708,$D708-($D708-$I$697)*MIN(G$3-$O$2,$Q$2)/$Q$2))</f>
        <v>2457.59110839572</v>
      </c>
      <c r="H708" s="15" t="n">
        <f aca="false">G708*(1+IF(H$3&lt;=$O$2,$D708,$D708-($D708-$I$697)*MIN(H$3-$O$2,$Q$2)/$Q$2))</f>
        <v>2549.99077409224</v>
      </c>
      <c r="I708" s="15" t="n">
        <f aca="false">H708*(1+IF(I$3&lt;=$O$2,$D708,$D708-($D708-$I$697)*MIN(I$3-$O$2,$Q$2)/$Q$2))</f>
        <v>2645.86445065723</v>
      </c>
      <c r="J708" s="15" t="n">
        <f aca="false">I708*(1+IF(J$3&lt;=$O$2,$D708,$D708-($D708-$I$697)*MIN(J$3-$O$2,$Q$2)/$Q$2))</f>
        <v>2745.71441402919</v>
      </c>
      <c r="K708" s="15" t="n">
        <f aca="false">J708*(1+IF(K$3&lt;=$O$2,$D708,$D708-($D708-$I$697)*MIN(K$3-$O$2,$Q$2)/$Q$2))</f>
        <v>2849.71821487172</v>
      </c>
      <c r="L708" s="15" t="n">
        <f aca="false">K708*(1+IF(L$3&lt;=$O$2,$D708,$D708-($D708-$I$697)*MIN(L$3-$O$2,$Q$2)/$Q$2))</f>
        <v>2958.06182979031</v>
      </c>
      <c r="M708" s="15" t="n">
        <f aca="false">L708*(1+IF(M$3&lt;=$O$2,$D708,$D708-($D708-$I$697)*MIN(M$3-$O$2,$Q$2)/$Q$2))</f>
        <v>3070.94008262363</v>
      </c>
      <c r="N708" s="15" t="n">
        <f aca="false">M708*(1+IF(N$3&lt;=$O$2,$D708,$D708-($D708-$I$697)*MIN(N$3-$O$2,$Q$2)/$Q$2))</f>
        <v>3188.55708778812</v>
      </c>
      <c r="O708" s="15" t="n">
        <f aca="false">SUMPRODUCT(E708:N708,1/(1+$F$697)^$E$3:$N$3)*$E$2</f>
        <v>8875.97510975136</v>
      </c>
      <c r="P708" s="15" t="n">
        <f aca="false">N708*$E$2*(1+$I$697)/($F$697-$I$697)/(1+$F$697)^$N$3</f>
        <v>14939.7948163156</v>
      </c>
      <c r="Q708" s="15" t="n">
        <f aca="false">O708+P708</f>
        <v>23815.769926067</v>
      </c>
      <c r="R708" s="15" t="n">
        <f aca="false">Q708-$G$2+$I$2</f>
        <v>25725.429926067</v>
      </c>
      <c r="S708" s="42" t="n">
        <f aca="false">R708/$K$2</f>
        <v>109.923641952173</v>
      </c>
      <c r="T708" s="43" t="n">
        <f aca="false">S708-$M$2</f>
        <v>-0.0622572915140722</v>
      </c>
    </row>
    <row r="709" customFormat="false" ht="15" hidden="false" customHeight="false" outlineLevel="0" collapsed="false">
      <c r="A709" s="5" t="n">
        <v>11</v>
      </c>
      <c r="B709" s="25" t="n">
        <f aca="false">IF(T708&gt;0,B708,D708)</f>
        <v>0.03759765625</v>
      </c>
      <c r="C709" s="25" t="n">
        <f aca="false">IF(T708&gt;0,D708,C708)</f>
        <v>0.0390625</v>
      </c>
      <c r="D709" s="41" t="n">
        <f aca="false">(B709+C709)/2</f>
        <v>0.038330078125</v>
      </c>
      <c r="E709" s="15" t="n">
        <f aca="false">$C$2*(1+IF(E$3&lt;=$O$2,$D709,$D709-($D709-$I$697)*MIN(E$3-$O$2,$Q$2)/$Q$2))</f>
        <v>2284.326171875</v>
      </c>
      <c r="F709" s="15" t="n">
        <f aca="false">E709*(1+IF(F$3&lt;=$O$2,$D709,$D709-($D709-$I$697)*MIN(F$3-$O$2,$Q$2)/$Q$2))</f>
        <v>2371.88457250595</v>
      </c>
      <c r="G709" s="15" t="n">
        <f aca="false">F709*(1+IF(G$3&lt;=$O$2,$D709,$D709-($D709-$I$697)*MIN(G$3-$O$2,$Q$2)/$Q$2))</f>
        <v>2462.79909347359</v>
      </c>
      <c r="H709" s="15" t="n">
        <f aca="false">G709*(1+IF(H$3&lt;=$O$2,$D709,$D709-($D709-$I$697)*MIN(H$3-$O$2,$Q$2)/$Q$2))</f>
        <v>2557.19837513261</v>
      </c>
      <c r="I709" s="15" t="n">
        <f aca="false">H709*(1+IF(I$3&lt;=$O$2,$D709,$D709-($D709-$I$697)*MIN(I$3-$O$2,$Q$2)/$Q$2))</f>
        <v>2655.21598863256</v>
      </c>
      <c r="J709" s="15" t="n">
        <f aca="false">I709*(1+IF(J$3&lt;=$O$2,$D709,$D709-($D709-$I$697)*MIN(J$3-$O$2,$Q$2)/$Q$2))</f>
        <v>2756.97465213192</v>
      </c>
      <c r="K709" s="15" t="n">
        <f aca="false">J709*(1+IF(K$3&lt;=$O$2,$D709,$D709-($D709-$I$697)*MIN(K$3-$O$2,$Q$2)/$Q$2))</f>
        <v>2862.6165360855</v>
      </c>
      <c r="L709" s="15" t="n">
        <f aca="false">K709*(1+IF(L$3&lt;=$O$2,$D709,$D709-($D709-$I$697)*MIN(L$3-$O$2,$Q$2)/$Q$2))</f>
        <v>2972.28919027277</v>
      </c>
      <c r="M709" s="15" t="n">
        <f aca="false">L709*(1+IF(M$3&lt;=$O$2,$D709,$D709-($D709-$I$697)*MIN(M$3-$O$2,$Q$2)/$Q$2))</f>
        <v>3086.14574643738</v>
      </c>
      <c r="N709" s="15" t="n">
        <f aca="false">M709*(1+IF(N$3&lt;=$O$2,$D709,$D709-($D709-$I$697)*MIN(N$3-$O$2,$Q$2)/$Q$2))</f>
        <v>3204.34512852593</v>
      </c>
      <c r="O709" s="15" t="n">
        <f aca="false">SUMPRODUCT(E709:N709,1/(1+$F$697)^$E$3:$N$3)*$E$2</f>
        <v>8904.3641026131</v>
      </c>
      <c r="P709" s="15" t="n">
        <f aca="false">N709*$E$2*(1+$I$697)/($F$697-$I$697)/(1+$F$697)^$N$3</f>
        <v>15013.7687432928</v>
      </c>
      <c r="Q709" s="15" t="n">
        <f aca="false">O709+P709</f>
        <v>23918.1328459059</v>
      </c>
      <c r="R709" s="15" t="n">
        <f aca="false">Q709-$G$2+$I$2</f>
        <v>25827.7928459059</v>
      </c>
      <c r="S709" s="42" t="n">
        <f aca="false">R709/$K$2</f>
        <v>110.361034251617</v>
      </c>
      <c r="T709" s="43" t="n">
        <f aca="false">S709-$M$2</f>
        <v>0.375135007930055</v>
      </c>
    </row>
    <row r="710" customFormat="false" ht="15" hidden="false" customHeight="false" outlineLevel="0" collapsed="false">
      <c r="A710" s="5" t="n">
        <v>12</v>
      </c>
      <c r="B710" s="25" t="n">
        <f aca="false">IF(T709&gt;0,B709,D709)</f>
        <v>0.03759765625</v>
      </c>
      <c r="C710" s="25" t="n">
        <f aca="false">IF(T709&gt;0,D709,C709)</f>
        <v>0.038330078125</v>
      </c>
      <c r="D710" s="41" t="n">
        <f aca="false">(B710+C710)/2</f>
        <v>0.0379638671875</v>
      </c>
      <c r="E710" s="15" t="n">
        <f aca="false">$C$2*(1+IF(E$3&lt;=$O$2,$D710,$D710-($D710-$I$697)*MIN(E$3-$O$2,$Q$2)/$Q$2))</f>
        <v>2283.5205078125</v>
      </c>
      <c r="F710" s="15" t="n">
        <f aca="false">E710*(1+IF(F$3&lt;=$O$2,$D710,$D710-($D710-$I$697)*MIN(F$3-$O$2,$Q$2)/$Q$2))</f>
        <v>2370.21177709103</v>
      </c>
      <c r="G710" s="15" t="n">
        <f aca="false">F710*(1+IF(G$3&lt;=$O$2,$D710,$D710-($D710-$I$697)*MIN(G$3-$O$2,$Q$2)/$Q$2))</f>
        <v>2460.19418220276</v>
      </c>
      <c r="H710" s="15" t="n">
        <f aca="false">G710*(1+IF(H$3&lt;=$O$2,$D710,$D710-($D710-$I$697)*MIN(H$3-$O$2,$Q$2)/$Q$2))</f>
        <v>2553.59266739136</v>
      </c>
      <c r="I710" s="15" t="n">
        <f aca="false">H710*(1+IF(I$3&lt;=$O$2,$D710,$D710-($D710-$I$697)*MIN(I$3-$O$2,$Q$2)/$Q$2))</f>
        <v>2650.53692026718</v>
      </c>
      <c r="J710" s="15" t="n">
        <f aca="false">I710*(1+IF(J$3&lt;=$O$2,$D710,$D710-($D710-$I$697)*MIN(J$3-$O$2,$Q$2)/$Q$2))</f>
        <v>2751.3397383697</v>
      </c>
      <c r="K710" s="15" t="n">
        <f aca="false">J710*(1+IF(K$3&lt;=$O$2,$D710,$D710-($D710-$I$697)*MIN(K$3-$O$2,$Q$2)/$Q$2))</f>
        <v>2856.16116101062</v>
      </c>
      <c r="L710" s="15" t="n">
        <f aca="false">K710*(1+IF(L$3&lt;=$O$2,$D710,$D710-($D710-$I$697)*MIN(L$3-$O$2,$Q$2)/$Q$2))</f>
        <v>2965.16811368373</v>
      </c>
      <c r="M710" s="15" t="n">
        <f aca="false">L710*(1+IF(M$3&lt;=$O$2,$D710,$D710-($D710-$I$697)*MIN(M$3-$O$2,$Q$2)/$Q$2))</f>
        <v>3078.53471437829</v>
      </c>
      <c r="N710" s="15" t="n">
        <f aca="false">M710*(1+IF(N$3&lt;=$O$2,$D710,$D710-($D710-$I$697)*MIN(N$3-$O$2,$Q$2)/$Q$2))</f>
        <v>3196.44259393898</v>
      </c>
      <c r="O710" s="15" t="n">
        <f aca="false">SUMPRODUCT(E710:N710,1/(1+$F$697)^$E$3:$N$3)*$E$2</f>
        <v>8890.15814361018</v>
      </c>
      <c r="P710" s="15" t="n">
        <f aca="false">N710*$E$2*(1+$I$697)/($F$697-$I$697)/(1+$F$697)^$N$3</f>
        <v>14976.7418869414</v>
      </c>
      <c r="Q710" s="15" t="n">
        <f aca="false">O710+P710</f>
        <v>23866.9000305515</v>
      </c>
      <c r="R710" s="15" t="n">
        <f aca="false">Q710-$G$2+$I$2</f>
        <v>25776.5600305515</v>
      </c>
      <c r="S710" s="42" t="n">
        <f aca="false">R710/$K$2</f>
        <v>110.142118662358</v>
      </c>
      <c r="T710" s="43" t="n">
        <f aca="false">S710-$M$2</f>
        <v>0.156219418670872</v>
      </c>
    </row>
    <row r="711" customFormat="false" ht="15" hidden="false" customHeight="false" outlineLevel="0" collapsed="false">
      <c r="A711" s="5" t="n">
        <v>13</v>
      </c>
      <c r="B711" s="25" t="n">
        <f aca="false">IF(T710&gt;0,B710,D710)</f>
        <v>0.03759765625</v>
      </c>
      <c r="C711" s="25" t="n">
        <f aca="false">IF(T710&gt;0,D710,C710)</f>
        <v>0.0379638671875</v>
      </c>
      <c r="D711" s="41" t="n">
        <f aca="false">(B711+C711)/2</f>
        <v>0.03778076171875</v>
      </c>
      <c r="E711" s="15" t="n">
        <f aca="false">$C$2*(1+IF(E$3&lt;=$O$2,$D711,$D711-($D711-$I$697)*MIN(E$3-$O$2,$Q$2)/$Q$2))</f>
        <v>2283.11767578125</v>
      </c>
      <c r="F711" s="15" t="n">
        <f aca="false">E711*(1+IF(F$3&lt;=$O$2,$D711,$D711-($D711-$I$697)*MIN(F$3-$O$2,$Q$2)/$Q$2))</f>
        <v>2369.37560066581</v>
      </c>
      <c r="G711" s="15" t="n">
        <f aca="false">F711*(1+IF(G$3&lt;=$O$2,$D711,$D711-($D711-$I$697)*MIN(G$3-$O$2,$Q$2)/$Q$2))</f>
        <v>2458.89241565678</v>
      </c>
      <c r="H711" s="15" t="n">
        <f aca="false">G711*(1+IF(H$3&lt;=$O$2,$D711,$D711-($D711-$I$697)*MIN(H$3-$O$2,$Q$2)/$Q$2))</f>
        <v>2551.79124410475</v>
      </c>
      <c r="I711" s="15" t="n">
        <f aca="false">H711*(1+IF(I$3&lt;=$O$2,$D711,$D711-($D711-$I$697)*MIN(I$3-$O$2,$Q$2)/$Q$2))</f>
        <v>2648.19986105427</v>
      </c>
      <c r="J711" s="15" t="n">
        <f aca="false">I711*(1+IF(J$3&lt;=$O$2,$D711,$D711-($D711-$I$697)*MIN(J$3-$O$2,$Q$2)/$Q$2))</f>
        <v>2748.52587833724</v>
      </c>
      <c r="K711" s="15" t="n">
        <f aca="false">J711*(1+IF(K$3&lt;=$O$2,$D711,$D711-($D711-$I$697)*MIN(K$3-$O$2,$Q$2)/$Q$2))</f>
        <v>2852.93813556573</v>
      </c>
      <c r="L711" s="15" t="n">
        <f aca="false">K711*(1+IF(L$3&lt;=$O$2,$D711,$D711-($D711-$I$697)*MIN(L$3-$O$2,$Q$2)/$Q$2))</f>
        <v>2961.61312428029</v>
      </c>
      <c r="M711" s="15" t="n">
        <f aca="false">L711*(1+IF(M$3&lt;=$O$2,$D711,$D711-($D711-$I$697)*MIN(M$3-$O$2,$Q$2)/$Q$2))</f>
        <v>3074.73535035855</v>
      </c>
      <c r="N711" s="15" t="n">
        <f aca="false">M711*(1+IF(N$3&lt;=$O$2,$D711,$D711-($D711-$I$697)*MIN(N$3-$O$2,$Q$2)/$Q$2))</f>
        <v>3192.49771427728</v>
      </c>
      <c r="O711" s="15" t="n">
        <f aca="false">SUMPRODUCT(E711:N711,1/(1+$F$697)^$E$3:$N$3)*$E$2</f>
        <v>8883.06376320791</v>
      </c>
      <c r="P711" s="15" t="n">
        <f aca="false">N711*$E$2*(1+$I$697)/($F$697-$I$697)/(1+$F$697)^$N$3</f>
        <v>14958.2583876349</v>
      </c>
      <c r="Q711" s="15" t="n">
        <f aca="false">O711+P711</f>
        <v>23841.3221508428</v>
      </c>
      <c r="R711" s="15" t="n">
        <f aca="false">Q711-$G$2+$I$2</f>
        <v>25750.9821508428</v>
      </c>
      <c r="S711" s="42" t="n">
        <f aca="false">R711/$K$2</f>
        <v>110.032825496059</v>
      </c>
      <c r="T711" s="43" t="n">
        <f aca="false">S711-$M$2</f>
        <v>0.0469262523726002</v>
      </c>
    </row>
    <row r="712" customFormat="false" ht="15" hidden="false" customHeight="false" outlineLevel="0" collapsed="false">
      <c r="A712" s="5" t="n">
        <v>14</v>
      </c>
      <c r="B712" s="25" t="n">
        <f aca="false">IF(T711&gt;0,B711,D711)</f>
        <v>0.03759765625</v>
      </c>
      <c r="C712" s="25" t="n">
        <f aca="false">IF(T711&gt;0,D711,C711)</f>
        <v>0.03778076171875</v>
      </c>
      <c r="D712" s="41" t="n">
        <f aca="false">(B712+C712)/2</f>
        <v>0.037689208984375</v>
      </c>
      <c r="E712" s="15" t="n">
        <f aca="false">$C$2*(1+IF(E$3&lt;=$O$2,$D712,$D712-($D712-$I$697)*MIN(E$3-$O$2,$Q$2)/$Q$2))</f>
        <v>2282.91625976563</v>
      </c>
      <c r="F712" s="15" t="n">
        <f aca="false">E712*(1+IF(F$3&lt;=$O$2,$D712,$D712-($D712-$I$697)*MIN(F$3-$O$2,$Q$2)/$Q$2))</f>
        <v>2368.95756777376</v>
      </c>
      <c r="G712" s="15" t="n">
        <f aca="false">F712*(1+IF(G$3&lt;=$O$2,$D712,$D712-($D712-$I$697)*MIN(G$3-$O$2,$Q$2)/$Q$2))</f>
        <v>2458.2417046207</v>
      </c>
      <c r="H712" s="15" t="n">
        <f aca="false">G712*(1+IF(H$3&lt;=$O$2,$D712,$D712-($D712-$I$697)*MIN(H$3-$O$2,$Q$2)/$Q$2))</f>
        <v>2550.89088996026</v>
      </c>
      <c r="I712" s="15" t="n">
        <f aca="false">H712*(1+IF(I$3&lt;=$O$2,$D712,$D712-($D712-$I$697)*MIN(I$3-$O$2,$Q$2)/$Q$2))</f>
        <v>2647.03194980831</v>
      </c>
      <c r="J712" s="15" t="n">
        <f aca="false">I712*(1+IF(J$3&lt;=$O$2,$D712,$D712-($D712-$I$697)*MIN(J$3-$O$2,$Q$2)/$Q$2))</f>
        <v>2747.11984681955</v>
      </c>
      <c r="K712" s="15" t="n">
        <f aca="false">J712*(1+IF(K$3&lt;=$O$2,$D712,$D712-($D712-$I$697)*MIN(K$3-$O$2,$Q$2)/$Q$2))</f>
        <v>2851.32778727997</v>
      </c>
      <c r="L712" s="15" t="n">
        <f aca="false">K712*(1+IF(L$3&lt;=$O$2,$D712,$D712-($D712-$I$697)*MIN(L$3-$O$2,$Q$2)/$Q$2))</f>
        <v>2959.83701537477</v>
      </c>
      <c r="M712" s="15" t="n">
        <f aca="false">L712*(1+IF(M$3&lt;=$O$2,$D712,$D712-($D712-$I$697)*MIN(M$3-$O$2,$Q$2)/$Q$2))</f>
        <v>3072.83720469228</v>
      </c>
      <c r="N712" s="15" t="n">
        <f aca="false">M712*(1+IF(N$3&lt;=$O$2,$D712,$D712-($D712-$I$697)*MIN(N$3-$O$2,$Q$2)/$Q$2))</f>
        <v>3190.52686963199</v>
      </c>
      <c r="O712" s="15" t="n">
        <f aca="false">SUMPRODUCT(E712:N712,1/(1+$F$697)^$E$3:$N$3)*$E$2</f>
        <v>8879.51872088253</v>
      </c>
      <c r="P712" s="15" t="n">
        <f aca="false">N712*$E$2*(1+$I$697)/($F$697-$I$697)/(1+$F$697)^$N$3</f>
        <v>14949.0241121288</v>
      </c>
      <c r="Q712" s="15" t="n">
        <f aca="false">O712+P712</f>
        <v>23828.5428330113</v>
      </c>
      <c r="R712" s="15" t="n">
        <f aca="false">Q712-$G$2+$I$2</f>
        <v>25738.2028330113</v>
      </c>
      <c r="S712" s="42" t="n">
        <f aca="false">R712/$K$2</f>
        <v>109.978220027395</v>
      </c>
      <c r="T712" s="43" t="n">
        <f aca="false">S712-$M$2</f>
        <v>-0.00767921629139323</v>
      </c>
    </row>
    <row r="713" customFormat="false" ht="15" hidden="false" customHeight="false" outlineLevel="0" collapsed="false">
      <c r="A713" s="5" t="n">
        <v>15</v>
      </c>
      <c r="B713" s="25" t="n">
        <f aca="false">IF(T712&gt;0,B712,D712)</f>
        <v>0.037689208984375</v>
      </c>
      <c r="C713" s="25" t="n">
        <f aca="false">IF(T712&gt;0,D712,C712)</f>
        <v>0.03778076171875</v>
      </c>
      <c r="D713" s="41" t="n">
        <f aca="false">(B713+C713)/2</f>
        <v>0.0377349853515625</v>
      </c>
      <c r="E713" s="15" t="n">
        <f aca="false">$C$2*(1+IF(E$3&lt;=$O$2,$D713,$D713-($D713-$I$697)*MIN(E$3-$O$2,$Q$2)/$Q$2))</f>
        <v>2283.01696777344</v>
      </c>
      <c r="F713" s="15" t="n">
        <f aca="false">E713*(1+IF(F$3&lt;=$O$2,$D713,$D713-($D713-$I$697)*MIN(F$3-$O$2,$Q$2)/$Q$2))</f>
        <v>2369.16657960974</v>
      </c>
      <c r="G713" s="15" t="n">
        <f aca="false">F713*(1+IF(G$3&lt;=$O$2,$D713,$D713-($D713-$I$697)*MIN(G$3-$O$2,$Q$2)/$Q$2))</f>
        <v>2458.56704578672</v>
      </c>
      <c r="H713" s="15" t="n">
        <f aca="false">G713*(1+IF(H$3&lt;=$O$2,$D713,$D713-($D713-$I$697)*MIN(H$3-$O$2,$Q$2)/$Q$2))</f>
        <v>2551.34103724532</v>
      </c>
      <c r="I713" s="15" t="n">
        <f aca="false">H713*(1+IF(I$3&lt;=$O$2,$D713,$D713-($D713-$I$697)*MIN(I$3-$O$2,$Q$2)/$Q$2))</f>
        <v>2647.61585391261</v>
      </c>
      <c r="J713" s="15" t="n">
        <f aca="false">I713*(1+IF(J$3&lt;=$O$2,$D713,$D713-($D713-$I$697)*MIN(J$3-$O$2,$Q$2)/$Q$2))</f>
        <v>2747.82278772475</v>
      </c>
      <c r="K713" s="15" t="n">
        <f aca="false">J713*(1+IF(K$3&lt;=$O$2,$D713,$D713-($D713-$I$697)*MIN(K$3-$O$2,$Q$2)/$Q$2))</f>
        <v>2852.13286441878</v>
      </c>
      <c r="L713" s="15" t="n">
        <f aca="false">K713*(1+IF(L$3&lt;=$O$2,$D713,$D713-($D713-$I$697)*MIN(L$3-$O$2,$Q$2)/$Q$2))</f>
        <v>2960.72495438694</v>
      </c>
      <c r="M713" s="15" t="n">
        <f aca="false">L713*(1+IF(M$3&lt;=$O$2,$D713,$D713-($D713-$I$697)*MIN(M$3-$O$2,$Q$2)/$Q$2))</f>
        <v>3073.78614954612</v>
      </c>
      <c r="N713" s="15" t="n">
        <f aca="false">M713*(1+IF(N$3&lt;=$O$2,$D713,$D713-($D713-$I$697)*MIN(N$3-$O$2,$Q$2)/$Q$2))</f>
        <v>3191.51215907374</v>
      </c>
      <c r="O713" s="15" t="n">
        <f aca="false">SUMPRODUCT(E713:N713,1/(1+$F$697)^$E$3:$N$3)*$E$2</f>
        <v>8881.29106311206</v>
      </c>
      <c r="P713" s="15" t="n">
        <f aca="false">N713*$E$2*(1+$I$697)/($F$697-$I$697)/(1+$F$697)^$N$3</f>
        <v>14953.6406272763</v>
      </c>
      <c r="Q713" s="15" t="n">
        <f aca="false">O713+P713</f>
        <v>23834.9316903883</v>
      </c>
      <c r="R713" s="15" t="n">
        <f aca="false">Q713-$G$2+$I$2</f>
        <v>25744.5916903883</v>
      </c>
      <c r="S713" s="42" t="n">
        <f aca="false">R713/$K$2</f>
        <v>110.005519336787</v>
      </c>
      <c r="T713" s="43" t="n">
        <f aca="false">S713-$M$2</f>
        <v>0.0196200931005279</v>
      </c>
    </row>
    <row r="714" customFormat="false" ht="15" hidden="false" customHeight="false" outlineLevel="0" collapsed="false">
      <c r="A714" s="5" t="n">
        <v>16</v>
      </c>
      <c r="B714" s="25" t="n">
        <f aca="false">IF(T713&gt;0,B713,D713)</f>
        <v>0.037689208984375</v>
      </c>
      <c r="C714" s="25" t="n">
        <f aca="false">IF(T713&gt;0,D713,C713)</f>
        <v>0.0377349853515625</v>
      </c>
      <c r="D714" s="41" t="n">
        <f aca="false">(B714+C714)/2</f>
        <v>0.0377120971679688</v>
      </c>
      <c r="E714" s="15" t="n">
        <f aca="false">$C$2*(1+IF(E$3&lt;=$O$2,$D714,$D714-($D714-$I$697)*MIN(E$3-$O$2,$Q$2)/$Q$2))</f>
        <v>2282.96661376953</v>
      </c>
      <c r="F714" s="15" t="n">
        <f aca="false">E714*(1+IF(F$3&lt;=$O$2,$D714,$D714-($D714-$I$697)*MIN(F$3-$O$2,$Q$2)/$Q$2))</f>
        <v>2369.06207253924</v>
      </c>
      <c r="G714" s="15" t="n">
        <f aca="false">F714*(1+IF(G$3&lt;=$O$2,$D714,$D714-($D714-$I$697)*MIN(G$3-$O$2,$Q$2)/$Q$2))</f>
        <v>2458.40437161579</v>
      </c>
      <c r="H714" s="15" t="n">
        <f aca="false">G714*(1+IF(H$3&lt;=$O$2,$D714,$D714-($D714-$I$697)*MIN(H$3-$O$2,$Q$2)/$Q$2))</f>
        <v>2551.11595615632</v>
      </c>
      <c r="I714" s="15" t="n">
        <f aca="false">H714*(1+IF(I$3&lt;=$O$2,$D714,$D714-($D714-$I$697)*MIN(I$3-$O$2,$Q$2)/$Q$2))</f>
        <v>2647.32388898164</v>
      </c>
      <c r="J714" s="15" t="n">
        <f aca="false">I714*(1+IF(J$3&lt;=$O$2,$D714,$D714-($D714-$I$697)*MIN(J$3-$O$2,$Q$2)/$Q$2))</f>
        <v>2747.47129856033</v>
      </c>
      <c r="K714" s="15" t="n">
        <f aca="false">J714*(1+IF(K$3&lt;=$O$2,$D714,$D714-($D714-$I$697)*MIN(K$3-$O$2,$Q$2)/$Q$2))</f>
        <v>2851.73030160078</v>
      </c>
      <c r="L714" s="15" t="n">
        <f aca="false">K714*(1+IF(L$3&lt;=$O$2,$D714,$D714-($D714-$I$697)*MIN(L$3-$O$2,$Q$2)/$Q$2))</f>
        <v>2960.28095602389</v>
      </c>
      <c r="M714" s="15" t="n">
        <f aca="false">L714*(1+IF(M$3&lt;=$O$2,$D714,$D714-($D714-$I$697)*MIN(M$3-$O$2,$Q$2)/$Q$2))</f>
        <v>3073.31164512807</v>
      </c>
      <c r="N714" s="15" t="n">
        <f aca="false">M714*(1+IF(N$3&lt;=$O$2,$D714,$D714-($D714-$I$697)*MIN(N$3-$O$2,$Q$2)/$Q$2))</f>
        <v>3191.01948113648</v>
      </c>
      <c r="O714" s="15" t="n">
        <f aca="false">SUMPRODUCT(E714:N714,1/(1+$F$697)^$E$3:$N$3)*$E$2</f>
        <v>8880.40484726824</v>
      </c>
      <c r="P714" s="15" t="n">
        <f aca="false">N714*$E$2*(1+$I$697)/($F$697-$I$697)/(1+$F$697)^$N$3</f>
        <v>14951.3322140691</v>
      </c>
      <c r="Q714" s="15" t="n">
        <f aca="false">O714+P714</f>
        <v>23831.7370613374</v>
      </c>
      <c r="R714" s="15" t="n">
        <f aca="false">Q714-$G$2+$I$2</f>
        <v>25741.3970613374</v>
      </c>
      <c r="S714" s="42" t="n">
        <f aca="false">R714/$K$2</f>
        <v>109.991868825951</v>
      </c>
      <c r="T714" s="43" t="n">
        <f aca="false">S714-$M$2</f>
        <v>0.0059695822645125</v>
      </c>
    </row>
    <row r="715" customFormat="false" ht="15" hidden="false" customHeight="false" outlineLevel="0" collapsed="false">
      <c r="A715" s="5" t="n">
        <v>17</v>
      </c>
      <c r="B715" s="25" t="n">
        <f aca="false">IF(T714&gt;0,B714,D714)</f>
        <v>0.037689208984375</v>
      </c>
      <c r="C715" s="25" t="n">
        <f aca="false">IF(T714&gt;0,D714,C714)</f>
        <v>0.0377120971679688</v>
      </c>
      <c r="D715" s="41" t="n">
        <f aca="false">(B715+C715)/2</f>
        <v>0.0377006530761719</v>
      </c>
      <c r="E715" s="15" t="n">
        <f aca="false">$C$2*(1+IF(E$3&lt;=$O$2,$D715,$D715-($D715-$I$697)*MIN(E$3-$O$2,$Q$2)/$Q$2))</f>
        <v>2282.94143676758</v>
      </c>
      <c r="F715" s="15" t="n">
        <f aca="false">E715*(1+IF(F$3&lt;=$O$2,$D715,$D715-($D715-$I$697)*MIN(F$3-$O$2,$Q$2)/$Q$2))</f>
        <v>2369.00981986837</v>
      </c>
      <c r="G715" s="15" t="n">
        <f aca="false">F715*(1+IF(G$3&lt;=$O$2,$D715,$D715-($D715-$I$697)*MIN(G$3-$O$2,$Q$2)/$Q$2))</f>
        <v>2458.32303722127</v>
      </c>
      <c r="H715" s="15" t="n">
        <f aca="false">G715*(1+IF(H$3&lt;=$O$2,$D715,$D715-($D715-$I$697)*MIN(H$3-$O$2,$Q$2)/$Q$2))</f>
        <v>2551.00342119671</v>
      </c>
      <c r="I715" s="15" t="n">
        <f aca="false">H715*(1+IF(I$3&lt;=$O$2,$D715,$D715-($D715-$I$697)*MIN(I$3-$O$2,$Q$2)/$Q$2))</f>
        <v>2647.17791617538</v>
      </c>
      <c r="J715" s="15" t="n">
        <f aca="false">I715*(1+IF(J$3&lt;=$O$2,$D715,$D715-($D715-$I$697)*MIN(J$3-$O$2,$Q$2)/$Q$2))</f>
        <v>2747.29556801219</v>
      </c>
      <c r="K715" s="15" t="n">
        <f aca="false">J715*(1+IF(K$3&lt;=$O$2,$D715,$D715-($D715-$I$697)*MIN(K$3-$O$2,$Q$2)/$Q$2))</f>
        <v>2851.52903837853</v>
      </c>
      <c r="L715" s="15" t="n">
        <f aca="false">K715*(1+IF(L$3&lt;=$O$2,$D715,$D715-($D715-$I$697)*MIN(L$3-$O$2,$Q$2)/$Q$2))</f>
        <v>2960.05897848549</v>
      </c>
      <c r="M715" s="15" t="n">
        <f aca="false">L715*(1+IF(M$3&lt;=$O$2,$D715,$D715-($D715-$I$697)*MIN(M$3-$O$2,$Q$2)/$Q$2))</f>
        <v>3073.07441691286</v>
      </c>
      <c r="N715" s="15" t="n">
        <f aca="false">M715*(1+IF(N$3&lt;=$O$2,$D715,$D715-($D715-$I$697)*MIN(N$3-$O$2,$Q$2)/$Q$2))</f>
        <v>3190.77316708062</v>
      </c>
      <c r="O715" s="15" t="n">
        <f aca="false">SUMPRODUCT(E715:N715,1/(1+$F$697)^$E$3:$N$3)*$E$2</f>
        <v>8879.96177289365</v>
      </c>
      <c r="P715" s="15" t="n">
        <f aca="false">N715*$E$2*(1+$I$697)/($F$697-$I$697)/(1+$F$697)^$N$3</f>
        <v>14950.1781241929</v>
      </c>
      <c r="Q715" s="15" t="n">
        <f aca="false">O715+P715</f>
        <v>23830.1398970865</v>
      </c>
      <c r="R715" s="15" t="n">
        <f aca="false">Q715-$G$2+$I$2</f>
        <v>25739.7998970865</v>
      </c>
      <c r="S715" s="42" t="n">
        <f aca="false">R715/$K$2</f>
        <v>109.98504421265</v>
      </c>
      <c r="T715" s="43" t="n">
        <f aca="false">S715-$M$2</f>
        <v>-0.000855031036536502</v>
      </c>
    </row>
    <row r="716" customFormat="false" ht="15" hidden="false" customHeight="false" outlineLevel="0" collapsed="false">
      <c r="A716" s="5" t="n">
        <v>18</v>
      </c>
      <c r="B716" s="25" t="n">
        <f aca="false">IF(T715&gt;0,B715,D715)</f>
        <v>0.0377006530761719</v>
      </c>
      <c r="C716" s="25" t="n">
        <f aca="false">IF(T715&gt;0,D715,C715)</f>
        <v>0.0377120971679688</v>
      </c>
      <c r="D716" s="41" t="n">
        <f aca="false">(B716+C716)/2</f>
        <v>0.0377063751220703</v>
      </c>
      <c r="E716" s="15" t="n">
        <f aca="false">$C$2*(1+IF(E$3&lt;=$O$2,$D716,$D716-($D716-$I$697)*MIN(E$3-$O$2,$Q$2)/$Q$2))</f>
        <v>2282.95402526855</v>
      </c>
      <c r="F716" s="15" t="n">
        <f aca="false">E716*(1+IF(F$3&lt;=$O$2,$D716,$D716-($D716-$I$697)*MIN(F$3-$O$2,$Q$2)/$Q$2))</f>
        <v>2369.03594613177</v>
      </c>
      <c r="G716" s="15" t="n">
        <f aca="false">F716*(1+IF(G$3&lt;=$O$2,$D716,$D716-($D716-$I$697)*MIN(G$3-$O$2,$Q$2)/$Q$2))</f>
        <v>2458.36370419428</v>
      </c>
      <c r="H716" s="15" t="n">
        <f aca="false">G716*(1+IF(H$3&lt;=$O$2,$D716,$D716-($D716-$I$697)*MIN(H$3-$O$2,$Q$2)/$Q$2))</f>
        <v>2551.05968821112</v>
      </c>
      <c r="I716" s="15" t="n">
        <f aca="false">H716*(1+IF(I$3&lt;=$O$2,$D716,$D716-($D716-$I$697)*MIN(I$3-$O$2,$Q$2)/$Q$2))</f>
        <v>2647.2509017736</v>
      </c>
      <c r="J716" s="15" t="n">
        <f aca="false">I716*(1+IF(J$3&lt;=$O$2,$D716,$D716-($D716-$I$697)*MIN(J$3-$O$2,$Q$2)/$Q$2))</f>
        <v>2747.38343211679</v>
      </c>
      <c r="K716" s="15" t="n">
        <f aca="false">J716*(1+IF(K$3&lt;=$O$2,$D716,$D716-($D716-$I$697)*MIN(K$3-$O$2,$Q$2)/$Q$2))</f>
        <v>2851.62966847416</v>
      </c>
      <c r="L716" s="15" t="n">
        <f aca="false">K716*(1+IF(L$3&lt;=$O$2,$D716,$D716-($D716-$I$697)*MIN(L$3-$O$2,$Q$2)/$Q$2))</f>
        <v>2960.16996545118</v>
      </c>
      <c r="M716" s="15" t="n">
        <f aca="false">L716*(1+IF(M$3&lt;=$O$2,$D716,$D716-($D716-$I$697)*MIN(M$3-$O$2,$Q$2)/$Q$2))</f>
        <v>3073.19302902108</v>
      </c>
      <c r="N716" s="15" t="n">
        <f aca="false">M716*(1+IF(N$3&lt;=$O$2,$D716,$D716-($D716-$I$697)*MIN(N$3-$O$2,$Q$2)/$Q$2))</f>
        <v>3190.89632203259</v>
      </c>
      <c r="O716" s="15" t="n">
        <f aca="false">SUMPRODUCT(E716:N716,1/(1+$F$697)^$E$3:$N$3)*$E$2</f>
        <v>8880.18330728544</v>
      </c>
      <c r="P716" s="15" t="n">
        <f aca="false">N716*$E$2*(1+$I$697)/($F$697-$I$697)/(1+$F$697)^$N$3</f>
        <v>14950.7551594042</v>
      </c>
      <c r="Q716" s="15" t="n">
        <f aca="false">O716+P716</f>
        <v>23830.9384666896</v>
      </c>
      <c r="R716" s="15" t="n">
        <f aca="false">Q716-$G$2+$I$2</f>
        <v>25740.5984666896</v>
      </c>
      <c r="S716" s="42" t="n">
        <f aca="false">R716/$K$2</f>
        <v>109.988456465793</v>
      </c>
      <c r="T716" s="43" t="n">
        <f aca="false">S716-$M$2</f>
        <v>0.00255722210671649</v>
      </c>
    </row>
    <row r="717" customFormat="false" ht="15" hidden="false" customHeight="false" outlineLevel="0" collapsed="false">
      <c r="A717" s="5" t="n">
        <v>19</v>
      </c>
      <c r="B717" s="25" t="n">
        <f aca="false">IF(T716&gt;0,B716,D716)</f>
        <v>0.0377006530761719</v>
      </c>
      <c r="C717" s="25" t="n">
        <f aca="false">IF(T716&gt;0,D716,C716)</f>
        <v>0.0377063751220703</v>
      </c>
      <c r="D717" s="41" t="n">
        <f aca="false">(B717+C717)/2</f>
        <v>0.0377035140991211</v>
      </c>
      <c r="E717" s="15" t="n">
        <f aca="false">$C$2*(1+IF(E$3&lt;=$O$2,$D717,$D717-($D717-$I$697)*MIN(E$3-$O$2,$Q$2)/$Q$2))</f>
        <v>2282.94773101807</v>
      </c>
      <c r="F717" s="15" t="n">
        <f aca="false">E717*(1+IF(F$3&lt;=$O$2,$D717,$D717-($D717-$I$697)*MIN(F$3-$O$2,$Q$2)/$Q$2))</f>
        <v>2369.02288298206</v>
      </c>
      <c r="G717" s="15" t="n">
        <f aca="false">F717*(1+IF(G$3&lt;=$O$2,$D717,$D717-($D717-$I$697)*MIN(G$3-$O$2,$Q$2)/$Q$2))</f>
        <v>2458.34337065172</v>
      </c>
      <c r="H717" s="15" t="n">
        <f aca="false">G717*(1+IF(H$3&lt;=$O$2,$D717,$D717-($D717-$I$697)*MIN(H$3-$O$2,$Q$2)/$Q$2))</f>
        <v>2551.03155458757</v>
      </c>
      <c r="I717" s="15" t="n">
        <f aca="false">H717*(1+IF(I$3&lt;=$O$2,$D717,$D717-($D717-$I$697)*MIN(I$3-$O$2,$Q$2)/$Q$2))</f>
        <v>2647.21440877326</v>
      </c>
      <c r="J717" s="15" t="n">
        <f aca="false">I717*(1+IF(J$3&lt;=$O$2,$D717,$D717-($D717-$I$697)*MIN(J$3-$O$2,$Q$2)/$Q$2))</f>
        <v>2747.33949977213</v>
      </c>
      <c r="K717" s="15" t="n">
        <f aca="false">J717*(1+IF(K$3&lt;=$O$2,$D717,$D717-($D717-$I$697)*MIN(K$3-$O$2,$Q$2)/$Q$2))</f>
        <v>2851.57935304747</v>
      </c>
      <c r="L717" s="15" t="n">
        <f aca="false">K717*(1+IF(L$3&lt;=$O$2,$D717,$D717-($D717-$I$697)*MIN(L$3-$O$2,$Q$2)/$Q$2))</f>
        <v>2960.11447151746</v>
      </c>
      <c r="M717" s="15" t="n">
        <f aca="false">L717*(1+IF(M$3&lt;=$O$2,$D717,$D717-($D717-$I$697)*MIN(M$3-$O$2,$Q$2)/$Q$2))</f>
        <v>3073.13372246713</v>
      </c>
      <c r="N717" s="15" t="n">
        <f aca="false">M717*(1+IF(N$3&lt;=$O$2,$D717,$D717-($D717-$I$697)*MIN(N$3-$O$2,$Q$2)/$Q$2))</f>
        <v>3190.83474403762</v>
      </c>
      <c r="O717" s="15" t="n">
        <f aca="false">SUMPRODUCT(E717:N717,1/(1+$F$697)^$E$3:$N$3)*$E$2</f>
        <v>8880.07253939068</v>
      </c>
      <c r="P717" s="15" t="n">
        <f aca="false">N717*$E$2*(1+$I$697)/($F$697-$I$697)/(1+$F$697)^$N$3</f>
        <v>14950.4666393669</v>
      </c>
      <c r="Q717" s="15" t="n">
        <f aca="false">O717+P717</f>
        <v>23830.5391787575</v>
      </c>
      <c r="R717" s="15" t="n">
        <f aca="false">Q717-$G$2+$I$2</f>
        <v>25740.1991787575</v>
      </c>
      <c r="S717" s="42" t="n">
        <f aca="false">R717/$K$2</f>
        <v>109.986750325845</v>
      </c>
      <c r="T717" s="43" t="n">
        <f aca="false">S717-$M$2</f>
        <v>0.000851082158433769</v>
      </c>
    </row>
    <row r="718" customFormat="false" ht="15" hidden="false" customHeight="false" outlineLevel="0" collapsed="false">
      <c r="A718" s="5" t="n">
        <v>20</v>
      </c>
      <c r="B718" s="25" t="n">
        <f aca="false">IF(T717&gt;0,B717,D717)</f>
        <v>0.0377006530761719</v>
      </c>
      <c r="C718" s="25" t="n">
        <f aca="false">IF(T717&gt;0,D717,C717)</f>
        <v>0.0377035140991211</v>
      </c>
      <c r="D718" s="41" t="n">
        <f aca="false">(B718+C718)/2</f>
        <v>0.0377020835876465</v>
      </c>
      <c r="E718" s="15" t="n">
        <f aca="false">$C$2*(1+IF(E$3&lt;=$O$2,$D718,$D718-($D718-$I$697)*MIN(E$3-$O$2,$Q$2)/$Q$2))</f>
        <v>2282.94458389282</v>
      </c>
      <c r="F718" s="15" t="n">
        <f aca="false">E718*(1+IF(F$3&lt;=$O$2,$D718,$D718-($D718-$I$697)*MIN(F$3-$O$2,$Q$2)/$Q$2))</f>
        <v>2369.01635142071</v>
      </c>
      <c r="G718" s="15" t="n">
        <f aca="false">F718*(1+IF(G$3&lt;=$O$2,$D718,$D718-($D718-$I$697)*MIN(G$3-$O$2,$Q$2)/$Q$2))</f>
        <v>2458.33320392248</v>
      </c>
      <c r="H718" s="15" t="n">
        <f aca="false">G718*(1+IF(H$3&lt;=$O$2,$D718,$D718-($D718-$I$697)*MIN(H$3-$O$2,$Q$2)/$Q$2))</f>
        <v>2551.01748786305</v>
      </c>
      <c r="I718" s="15" t="n">
        <f aca="false">H718*(1+IF(I$3&lt;=$O$2,$D718,$D718-($D718-$I$697)*MIN(I$3-$O$2,$Q$2)/$Q$2))</f>
        <v>2647.19616242401</v>
      </c>
      <c r="J718" s="15" t="n">
        <f aca="false">I718*(1+IF(J$3&lt;=$O$2,$D718,$D718-($D718-$I$697)*MIN(J$3-$O$2,$Q$2)/$Q$2))</f>
        <v>2747.31753381907</v>
      </c>
      <c r="K718" s="15" t="n">
        <f aca="false">J718*(1+IF(K$3&lt;=$O$2,$D718,$D718-($D718-$I$697)*MIN(K$3-$O$2,$Q$2)/$Q$2))</f>
        <v>2851.55419561829</v>
      </c>
      <c r="L718" s="15" t="n">
        <f aca="false">K718*(1+IF(L$3&lt;=$O$2,$D718,$D718-($D718-$I$697)*MIN(L$3-$O$2,$Q$2)/$Q$2))</f>
        <v>2960.08672488876</v>
      </c>
      <c r="M718" s="15" t="n">
        <f aca="false">L718*(1+IF(M$3&lt;=$O$2,$D718,$D718-($D718-$I$697)*MIN(M$3-$O$2,$Q$2)/$Q$2))</f>
        <v>3073.10406956504</v>
      </c>
      <c r="N718" s="15" t="n">
        <f aca="false">M718*(1+IF(N$3&lt;=$O$2,$D718,$D718-($D718-$I$697)*MIN(N$3-$O$2,$Q$2)/$Q$2))</f>
        <v>3190.80395542938</v>
      </c>
      <c r="O718" s="15" t="n">
        <f aca="false">SUMPRODUCT(E718:N718,1/(1+$F$697)^$E$3:$N$3)*$E$2</f>
        <v>8880.01715596745</v>
      </c>
      <c r="P718" s="15" t="n">
        <f aca="false">N718*$E$2*(1+$I$697)/($F$697-$I$697)/(1+$F$697)^$N$3</f>
        <v>14950.322381172</v>
      </c>
      <c r="Q718" s="15" t="n">
        <f aca="false">O718+P718</f>
        <v>23830.3395371394</v>
      </c>
      <c r="R718" s="15" t="n">
        <f aca="false">Q718-$G$2+$I$2</f>
        <v>25739.9995371394</v>
      </c>
      <c r="S718" s="42" t="n">
        <f aca="false">R718/$K$2</f>
        <v>109.985897265904</v>
      </c>
      <c r="T718" s="43" t="n">
        <f aca="false">S718-$M$2</f>
        <v>-1.97778318522523E-006</v>
      </c>
    </row>
    <row r="719" customFormat="false" ht="15" hidden="false" customHeight="false" outlineLevel="0" collapsed="false">
      <c r="A719" s="5" t="n">
        <v>21</v>
      </c>
      <c r="B719" s="25" t="n">
        <f aca="false">IF(T718&gt;0,B718,D718)</f>
        <v>0.0377020835876465</v>
      </c>
      <c r="C719" s="25" t="n">
        <f aca="false">IF(T718&gt;0,D718,C718)</f>
        <v>0.0377035140991211</v>
      </c>
      <c r="D719" s="41" t="n">
        <f aca="false">(B719+C719)/2</f>
        <v>0.0377027988433838</v>
      </c>
      <c r="E719" s="15" t="n">
        <f aca="false">$C$2*(1+IF(E$3&lt;=$O$2,$D719,$D719-($D719-$I$697)*MIN(E$3-$O$2,$Q$2)/$Q$2))</f>
        <v>2282.94615745544</v>
      </c>
      <c r="F719" s="15" t="n">
        <f aca="false">E719*(1+IF(F$3&lt;=$O$2,$D719,$D719-($D719-$I$697)*MIN(F$3-$O$2,$Q$2)/$Q$2))</f>
        <v>2369.01961720026</v>
      </c>
      <c r="G719" s="15" t="n">
        <f aca="false">F719*(1+IF(G$3&lt;=$O$2,$D719,$D719-($D719-$I$697)*MIN(G$3-$O$2,$Q$2)/$Q$2))</f>
        <v>2458.33828728359</v>
      </c>
      <c r="H719" s="15" t="n">
        <f aca="false">G719*(1+IF(H$3&lt;=$O$2,$D719,$D719-($D719-$I$697)*MIN(H$3-$O$2,$Q$2)/$Q$2))</f>
        <v>2551.02452121804</v>
      </c>
      <c r="I719" s="15" t="n">
        <f aca="false">H719*(1+IF(I$3&lt;=$O$2,$D719,$D719-($D719-$I$697)*MIN(I$3-$O$2,$Q$2)/$Q$2))</f>
        <v>2647.20528558606</v>
      </c>
      <c r="J719" s="15" t="n">
        <f aca="false">I719*(1+IF(J$3&lt;=$O$2,$D719,$D719-($D719-$I$697)*MIN(J$3-$O$2,$Q$2)/$Q$2))</f>
        <v>2747.32851677732</v>
      </c>
      <c r="K719" s="15" t="n">
        <f aca="false">J719*(1+IF(K$3&lt;=$O$2,$D719,$D719-($D719-$I$697)*MIN(K$3-$O$2,$Q$2)/$Q$2))</f>
        <v>2851.5667743092</v>
      </c>
      <c r="L719" s="15" t="n">
        <f aca="false">K719*(1+IF(L$3&lt;=$O$2,$D719,$D719-($D719-$I$697)*MIN(L$3-$O$2,$Q$2)/$Q$2))</f>
        <v>2960.10059817493</v>
      </c>
      <c r="M719" s="15" t="n">
        <f aca="false">L719*(1+IF(M$3&lt;=$O$2,$D719,$D719-($D719-$I$697)*MIN(M$3-$O$2,$Q$2)/$Q$2))</f>
        <v>3073.11889598484</v>
      </c>
      <c r="N719" s="15" t="n">
        <f aca="false">M719*(1+IF(N$3&lt;=$O$2,$D719,$D719-($D719-$I$697)*MIN(N$3-$O$2,$Q$2)/$Q$2))</f>
        <v>3190.81934970106</v>
      </c>
      <c r="O719" s="15" t="n">
        <f aca="false">SUMPRODUCT(E719:N719,1/(1+$F$697)^$E$3:$N$3)*$E$2</f>
        <v>8880.04484763539</v>
      </c>
      <c r="P719" s="15" t="n">
        <f aca="false">N719*$E$2*(1+$I$697)/($F$697-$I$697)/(1+$F$697)^$N$3</f>
        <v>14950.3945101174</v>
      </c>
      <c r="Q719" s="15" t="n">
        <f aca="false">O719+P719</f>
        <v>23830.4393577528</v>
      </c>
      <c r="R719" s="15" t="n">
        <f aca="false">Q719-$G$2+$I$2</f>
        <v>25740.0993577528</v>
      </c>
      <c r="S719" s="42" t="n">
        <f aca="false">R719/$K$2</f>
        <v>109.986323795038</v>
      </c>
      <c r="T719" s="43" t="n">
        <f aca="false">S719-$M$2</f>
        <v>0.0004245513516139</v>
      </c>
    </row>
    <row r="720" customFormat="false" ht="15" hidden="false" customHeight="false" outlineLevel="0" collapsed="false">
      <c r="A720" s="5" t="n">
        <v>22</v>
      </c>
      <c r="B720" s="25" t="n">
        <f aca="false">IF(T719&gt;0,B719,D719)</f>
        <v>0.0377020835876465</v>
      </c>
      <c r="C720" s="25" t="n">
        <f aca="false">IF(T719&gt;0,D719,C719)</f>
        <v>0.0377027988433838</v>
      </c>
      <c r="D720" s="41" t="n">
        <f aca="false">(B720+C720)/2</f>
        <v>0.0377024412155151</v>
      </c>
      <c r="E720" s="15" t="n">
        <f aca="false">$C$2*(1+IF(E$3&lt;=$O$2,$D720,$D720-($D720-$I$697)*MIN(E$3-$O$2,$Q$2)/$Q$2))</f>
        <v>2282.94537067413</v>
      </c>
      <c r="F720" s="15" t="n">
        <f aca="false">E720*(1+IF(F$3&lt;=$O$2,$D720,$D720-($D720-$I$697)*MIN(F$3-$O$2,$Q$2)/$Q$2))</f>
        <v>2369.01798431021</v>
      </c>
      <c r="G720" s="15" t="n">
        <f aca="false">F720*(1+IF(G$3&lt;=$O$2,$D720,$D720-($D720-$I$697)*MIN(G$3-$O$2,$Q$2)/$Q$2))</f>
        <v>2458.33574560216</v>
      </c>
      <c r="H720" s="15" t="n">
        <f aca="false">G720*(1+IF(H$3&lt;=$O$2,$D720,$D720-($D720-$I$697)*MIN(H$3-$O$2,$Q$2)/$Q$2))</f>
        <v>2551.02100453873</v>
      </c>
      <c r="I720" s="15" t="n">
        <f aca="false">H720*(1+IF(I$3&lt;=$O$2,$D720,$D720-($D720-$I$697)*MIN(I$3-$O$2,$Q$2)/$Q$2))</f>
        <v>2647.20072400189</v>
      </c>
      <c r="J720" s="15" t="n">
        <f aca="false">I720*(1+IF(J$3&lt;=$O$2,$D720,$D720-($D720-$I$697)*MIN(J$3-$O$2,$Q$2)/$Q$2))</f>
        <v>2747.32302529363</v>
      </c>
      <c r="K720" s="15" t="n">
        <f aca="false">J720*(1+IF(K$3&lt;=$O$2,$D720,$D720-($D720-$I$697)*MIN(K$3-$O$2,$Q$2)/$Q$2))</f>
        <v>2851.56048495782</v>
      </c>
      <c r="L720" s="15" t="n">
        <f aca="false">K720*(1+IF(L$3&lt;=$O$2,$D720,$D720-($D720-$I$697)*MIN(L$3-$O$2,$Q$2)/$Q$2))</f>
        <v>2960.0936615248</v>
      </c>
      <c r="M720" s="15" t="n">
        <f aca="false">L720*(1+IF(M$3&lt;=$O$2,$D720,$D720-($D720-$I$697)*MIN(M$3-$O$2,$Q$2)/$Q$2))</f>
        <v>3073.11148276713</v>
      </c>
      <c r="N720" s="15" t="n">
        <f aca="false">M720*(1+IF(N$3&lt;=$O$2,$D720,$D720-($D720-$I$697)*MIN(N$3-$O$2,$Q$2)/$Q$2))</f>
        <v>3190.81165255711</v>
      </c>
      <c r="O720" s="15" t="n">
        <f aca="false">SUMPRODUCT(E720:N720,1/(1+$F$697)^$E$3:$N$3)*$E$2</f>
        <v>8880.0310017905</v>
      </c>
      <c r="P720" s="15" t="n">
        <f aca="false">N720*$E$2*(1+$I$697)/($F$697-$I$697)/(1+$F$697)^$N$3</f>
        <v>14950.3584456067</v>
      </c>
      <c r="Q720" s="15" t="n">
        <f aca="false">O720+P720</f>
        <v>23830.3894473972</v>
      </c>
      <c r="R720" s="15" t="n">
        <f aca="false">Q720-$G$2+$I$2</f>
        <v>25740.0494473972</v>
      </c>
      <c r="S720" s="42" t="n">
        <f aca="false">R720/$K$2</f>
        <v>109.986110530262</v>
      </c>
      <c r="T720" s="43" t="n">
        <f aca="false">S720-$M$2</f>
        <v>0.000211286575208192</v>
      </c>
    </row>
    <row r="721" customFormat="false" ht="15" hidden="false" customHeight="false" outlineLevel="0" collapsed="false">
      <c r="A721" s="5" t="n">
        <v>23</v>
      </c>
      <c r="B721" s="25" t="n">
        <f aca="false">IF(T720&gt;0,B720,D720)</f>
        <v>0.0377020835876465</v>
      </c>
      <c r="C721" s="25" t="n">
        <f aca="false">IF(T720&gt;0,D720,C720)</f>
        <v>0.0377024412155151</v>
      </c>
      <c r="D721" s="41" t="n">
        <f aca="false">(B721+C721)/2</f>
        <v>0.0377022624015808</v>
      </c>
      <c r="E721" s="15" t="n">
        <f aca="false">$C$2*(1+IF(E$3&lt;=$O$2,$D721,$D721-($D721-$I$697)*MIN(E$3-$O$2,$Q$2)/$Q$2))</f>
        <v>2282.94497728348</v>
      </c>
      <c r="F721" s="15" t="n">
        <f aca="false">E721*(1+IF(F$3&lt;=$O$2,$D721,$D721-($D721-$I$697)*MIN(F$3-$O$2,$Q$2)/$Q$2))</f>
        <v>2369.01716786539</v>
      </c>
      <c r="G721" s="15" t="n">
        <f aca="false">F721*(1+IF(G$3&lt;=$O$2,$D721,$D721-($D721-$I$697)*MIN(G$3-$O$2,$Q$2)/$Q$2))</f>
        <v>2458.3344747621</v>
      </c>
      <c r="H721" s="15" t="n">
        <f aca="false">G721*(1+IF(H$3&lt;=$O$2,$D721,$D721-($D721-$I$697)*MIN(H$3-$O$2,$Q$2)/$Q$2))</f>
        <v>2551.01924620043</v>
      </c>
      <c r="I721" s="15" t="n">
        <f aca="false">H721*(1+IF(I$3&lt;=$O$2,$D721,$D721-($D721-$I$697)*MIN(I$3-$O$2,$Q$2)/$Q$2))</f>
        <v>2647.19844321217</v>
      </c>
      <c r="J721" s="15" t="n">
        <f aca="false">I721*(1+IF(J$3&lt;=$O$2,$D721,$D721-($D721-$I$697)*MIN(J$3-$O$2,$Q$2)/$Q$2))</f>
        <v>2747.3202795552</v>
      </c>
      <c r="K721" s="15" t="n">
        <f aca="false">J721*(1+IF(K$3&lt;=$O$2,$D721,$D721-($D721-$I$697)*MIN(K$3-$O$2,$Q$2)/$Q$2))</f>
        <v>2851.55734028657</v>
      </c>
      <c r="L721" s="15" t="n">
        <f aca="false">K721*(1+IF(L$3&lt;=$O$2,$D721,$D721-($D721-$I$697)*MIN(L$3-$O$2,$Q$2)/$Q$2))</f>
        <v>2960.09019320502</v>
      </c>
      <c r="M721" s="15" t="n">
        <f aca="false">L721*(1+IF(M$3&lt;=$O$2,$D721,$D721-($D721-$I$697)*MIN(M$3-$O$2,$Q$2)/$Q$2))</f>
        <v>3073.10777616413</v>
      </c>
      <c r="N721" s="15" t="n">
        <f aca="false">M721*(1+IF(N$3&lt;=$O$2,$D721,$D721-($D721-$I$697)*MIN(N$3-$O$2,$Q$2)/$Q$2))</f>
        <v>3190.80780399122</v>
      </c>
      <c r="O721" s="15" t="n">
        <f aca="false">SUMPRODUCT(E721:N721,1/(1+$F$697)^$E$3:$N$3)*$E$2</f>
        <v>8880.02407887624</v>
      </c>
      <c r="P721" s="15" t="n">
        <f aca="false">N721*$E$2*(1+$I$697)/($F$697-$I$697)/(1+$F$697)^$N$3</f>
        <v>14950.3404133798</v>
      </c>
      <c r="Q721" s="15" t="n">
        <f aca="false">O721+P721</f>
        <v>23830.3644922561</v>
      </c>
      <c r="R721" s="15" t="n">
        <f aca="false">Q721-$G$2+$I$2</f>
        <v>25740.0244922561</v>
      </c>
      <c r="S721" s="42" t="n">
        <f aca="false">R721/$K$2</f>
        <v>109.98600389803</v>
      </c>
      <c r="T721" s="43" t="n">
        <f aca="false">S721-$M$2</f>
        <v>0.000104654343729749</v>
      </c>
    </row>
    <row r="722" customFormat="false" ht="15" hidden="false" customHeight="false" outlineLevel="0" collapsed="false">
      <c r="A722" s="5" t="n">
        <v>24</v>
      </c>
      <c r="B722" s="25" t="n">
        <f aca="false">IF(T721&gt;0,B721,D721)</f>
        <v>0.0377020835876465</v>
      </c>
      <c r="C722" s="25" t="n">
        <f aca="false">IF(T721&gt;0,D721,C721)</f>
        <v>0.0377022624015808</v>
      </c>
      <c r="D722" s="41" t="n">
        <f aca="false">(B722+C722)/2</f>
        <v>0.0377021729946137</v>
      </c>
      <c r="E722" s="15" t="n">
        <f aca="false">$C$2*(1+IF(E$3&lt;=$O$2,$D722,$D722-($D722-$I$697)*MIN(E$3-$O$2,$Q$2)/$Q$2))</f>
        <v>2282.94478058815</v>
      </c>
      <c r="F722" s="15" t="n">
        <f aca="false">E722*(1+IF(F$3&lt;=$O$2,$D722,$D722-($D722-$I$697)*MIN(F$3-$O$2,$Q$2)/$Q$2))</f>
        <v>2369.01675964303</v>
      </c>
      <c r="G722" s="15" t="n">
        <f aca="false">F722*(1+IF(G$3&lt;=$O$2,$D722,$D722-($D722-$I$697)*MIN(G$3-$O$2,$Q$2)/$Q$2))</f>
        <v>2458.33383934224</v>
      </c>
      <c r="H722" s="15" t="n">
        <f aca="false">G722*(1+IF(H$3&lt;=$O$2,$D722,$D722-($D722-$I$697)*MIN(H$3-$O$2,$Q$2)/$Q$2))</f>
        <v>2551.01836703163</v>
      </c>
      <c r="I722" s="15" t="n">
        <f aca="false">H722*(1+IF(I$3&lt;=$O$2,$D722,$D722-($D722-$I$697)*MIN(I$3-$O$2,$Q$2)/$Q$2))</f>
        <v>2647.19730281789</v>
      </c>
      <c r="J722" s="15" t="n">
        <f aca="false">I722*(1+IF(J$3&lt;=$O$2,$D722,$D722-($D722-$I$697)*MIN(J$3-$O$2,$Q$2)/$Q$2))</f>
        <v>2747.31890668685</v>
      </c>
      <c r="K722" s="15" t="n">
        <f aca="false">J722*(1+IF(K$3&lt;=$O$2,$D722,$D722-($D722-$I$697)*MIN(K$3-$O$2,$Q$2)/$Q$2))</f>
        <v>2851.55576795206</v>
      </c>
      <c r="L722" s="15" t="n">
        <f aca="false">K722*(1+IF(L$3&lt;=$O$2,$D722,$D722-($D722-$I$697)*MIN(L$3-$O$2,$Q$2)/$Q$2))</f>
        <v>2960.08845904644</v>
      </c>
      <c r="M722" s="15" t="n">
        <f aca="false">L722*(1+IF(M$3&lt;=$O$2,$D722,$D722-($D722-$I$697)*MIN(M$3-$O$2,$Q$2)/$Q$2))</f>
        <v>3073.10592286409</v>
      </c>
      <c r="N722" s="15" t="n">
        <f aca="false">M722*(1+IF(N$3&lt;=$O$2,$D722,$D722-($D722-$I$697)*MIN(N$3-$O$2,$Q$2)/$Q$2))</f>
        <v>3190.80587970979</v>
      </c>
      <c r="O722" s="15" t="n">
        <f aca="false">SUMPRODUCT(E722:N722,1/(1+$F$697)^$E$3:$N$3)*$E$2</f>
        <v>8880.02061742116</v>
      </c>
      <c r="P722" s="15" t="n">
        <f aca="false">N722*$E$2*(1+$I$697)/($F$697-$I$697)/(1+$F$697)^$N$3</f>
        <v>14950.3313972735</v>
      </c>
      <c r="Q722" s="15" t="n">
        <f aca="false">O722+P722</f>
        <v>23830.3520146947</v>
      </c>
      <c r="R722" s="15" t="n">
        <f aca="false">Q722-$G$2+$I$2</f>
        <v>25740.0120146947</v>
      </c>
      <c r="S722" s="42" t="n">
        <f aca="false">R722/$K$2</f>
        <v>109.985950581954</v>
      </c>
      <c r="T722" s="43" t="n">
        <f aca="false">S722-$M$2</f>
        <v>5.13382672124862E-005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13" min="3" style="0" width="12"/>
  </cols>
  <sheetData>
    <row r="2" customFormat="false" ht="19.7" hidden="false" customHeight="false" outlineLevel="0" collapsed="false">
      <c r="B2" s="1" t="s">
        <v>213</v>
      </c>
    </row>
    <row r="3" customFormat="false" ht="15" hidden="false" customHeight="false" outlineLevel="0" collapsed="false">
      <c r="B3" s="2" t="s">
        <v>214</v>
      </c>
    </row>
    <row r="5" customFormat="false" ht="15" hidden="false" customHeight="false" outlineLevel="0" collapsed="false">
      <c r="B5" s="3" t="s">
        <v>215</v>
      </c>
    </row>
    <row r="6" customFormat="false" ht="15" hidden="false" customHeight="false" outlineLevel="0" collapsed="false">
      <c r="B6" s="28" t="s">
        <v>164</v>
      </c>
      <c r="C6" s="44" t="n">
        <v>1</v>
      </c>
      <c r="D6" s="44" t="n">
        <v>2</v>
      </c>
      <c r="E6" s="44" t="n">
        <v>3</v>
      </c>
      <c r="F6" s="44" t="n">
        <v>4</v>
      </c>
      <c r="G6" s="44" t="n">
        <v>5</v>
      </c>
      <c r="H6" s="44" t="n">
        <v>6</v>
      </c>
      <c r="I6" s="44" t="n">
        <v>7</v>
      </c>
      <c r="J6" s="44" t="n">
        <v>8</v>
      </c>
      <c r="K6" s="44" t="n">
        <v>9</v>
      </c>
      <c r="L6" s="44" t="n">
        <v>10</v>
      </c>
    </row>
    <row r="7" customFormat="false" ht="15" hidden="false" customHeight="false" outlineLevel="0" collapsed="false">
      <c r="B7" s="5" t="s">
        <v>216</v>
      </c>
      <c r="C7" s="23" t="n">
        <f aca="false">IF(C$6&lt;=Inputs!$C$46,Solver!$W$7,Solver!$W$7-(Solver!$W$7-Inputs!$C$37)*MIN(C$6-Inputs!$C$46,Inputs!$C$47)/Inputs!$C$47)</f>
        <v>0.0293463141656503</v>
      </c>
      <c r="D7" s="23" t="n">
        <f aca="false">IF(D$6&lt;=Inputs!$C$46,Solver!$W$7,Solver!$W$7-(Solver!$W$7-Inputs!$C$37)*MIN(D$6-Inputs!$C$46,Inputs!$C$47)/Inputs!$C$47)</f>
        <v>0.0293463141656503</v>
      </c>
      <c r="E7" s="23" t="n">
        <f aca="false">IF(E$6&lt;=Inputs!$C$46,Solver!$W$7,Solver!$W$7-(Solver!$W$7-Inputs!$C$37)*MIN(E$6-Inputs!$C$46,Inputs!$C$47)/Inputs!$C$47)</f>
        <v>0.0293463141656503</v>
      </c>
      <c r="F7" s="23" t="n">
        <f aca="false">IF(F$6&lt;=Inputs!$C$46,Solver!$W$7,Solver!$W$7-(Solver!$W$7-Inputs!$C$37)*MIN(F$6-Inputs!$C$46,Inputs!$C$47)/Inputs!$C$47)</f>
        <v>0.0293463141656503</v>
      </c>
      <c r="G7" s="23" t="n">
        <f aca="false">IF(G$6&lt;=Inputs!$C$46,Solver!$W$7,Solver!$W$7-(Solver!$W$7-Inputs!$C$37)*MIN(G$6-Inputs!$C$46,Inputs!$C$47)/Inputs!$C$47)</f>
        <v>0.0293463141656503</v>
      </c>
      <c r="H7" s="23" t="n">
        <f aca="false">IF(H$6&lt;=Inputs!$C$46,Solver!$W$7,Solver!$W$7-(Solver!$W$7-Inputs!$C$37)*MIN(H$6-Inputs!$C$46,Inputs!$C$47)/Inputs!$C$47)</f>
        <v>0.0291370513325202</v>
      </c>
      <c r="I7" s="23" t="n">
        <f aca="false">IF(I$6&lt;=Inputs!$C$46,Solver!$W$7,Solver!$W$7-(Solver!$W$7-Inputs!$C$37)*MIN(I$6-Inputs!$C$46,Inputs!$C$47)/Inputs!$C$47)</f>
        <v>0.0289277884993902</v>
      </c>
      <c r="J7" s="23" t="n">
        <f aca="false">IF(J$6&lt;=Inputs!$C$46,Solver!$W$7,Solver!$W$7-(Solver!$W$7-Inputs!$C$37)*MIN(J$6-Inputs!$C$46,Inputs!$C$47)/Inputs!$C$47)</f>
        <v>0.0287185256662601</v>
      </c>
      <c r="K7" s="23" t="n">
        <f aca="false">IF(K$6&lt;=Inputs!$C$46,Solver!$W$7,Solver!$W$7-(Solver!$W$7-Inputs!$C$37)*MIN(K$6-Inputs!$C$46,Inputs!$C$47)/Inputs!$C$47)</f>
        <v>0.0285092628331301</v>
      </c>
      <c r="L7" s="23" t="n">
        <f aca="false">IF(L$6&lt;=Inputs!$C$46,Solver!$W$7,Solver!$W$7-(Solver!$W$7-Inputs!$C$37)*MIN(L$6-Inputs!$C$46,Inputs!$C$47)/Inputs!$C$47)</f>
        <v>0.0283</v>
      </c>
    </row>
    <row r="8" customFormat="false" ht="15" hidden="false" customHeight="false" outlineLevel="0" collapsed="false">
      <c r="B8" s="5" t="s">
        <v>106</v>
      </c>
      <c r="C8" s="15" t="n">
        <f aca="false">Inputs!$C$12*(1+C7)</f>
        <v>2264.56189116443</v>
      </c>
      <c r="D8" s="15" t="n">
        <f aca="false">C8*(1+D7)</f>
        <v>2331.0184358701</v>
      </c>
      <c r="E8" s="15" t="n">
        <f aca="false">D8*(1+E7)</f>
        <v>2399.42523521507</v>
      </c>
      <c r="F8" s="15" t="n">
        <f aca="false">E8*(1+F7)</f>
        <v>2469.83952198468</v>
      </c>
      <c r="G8" s="15" t="n">
        <f aca="false">F8*(1+G7)</f>
        <v>2542.32020853558</v>
      </c>
      <c r="H8" s="15" t="n">
        <f aca="false">G8*(1+H7)</f>
        <v>2616.39592295538</v>
      </c>
      <c r="I8" s="15" t="n">
        <f aca="false">H8*(1+I7)</f>
        <v>2692.0824708453</v>
      </c>
      <c r="J8" s="15" t="n">
        <f aca="false">I8*(1+J7)</f>
        <v>2769.39511037996</v>
      </c>
      <c r="K8" s="15" t="n">
        <f aca="false">J8*(1+K7)</f>
        <v>2848.34852347057</v>
      </c>
      <c r="L8" s="15" t="n">
        <f aca="false">K8*(1+L7)</f>
        <v>2928.95678668479</v>
      </c>
    </row>
    <row r="9" customFormat="false" ht="15" hidden="false" customHeight="false" outlineLevel="0" collapsed="false">
      <c r="B9" s="5" t="s">
        <v>60</v>
      </c>
      <c r="C9" s="15" t="n">
        <f aca="false">C8*Inputs!$C$23</f>
        <v>1173.45479814884</v>
      </c>
      <c r="D9" s="15" t="n">
        <f aca="false">D8*Inputs!$C$23</f>
        <v>1207.89137131451</v>
      </c>
      <c r="E9" s="15" t="n">
        <f aca="false">E8*Inputs!$C$23</f>
        <v>1243.33853097508</v>
      </c>
      <c r="F9" s="15" t="n">
        <f aca="false">F8*Inputs!$C$23</f>
        <v>1279.82593411933</v>
      </c>
      <c r="G9" s="15" t="n">
        <f aca="false">G8*Inputs!$C$23</f>
        <v>1317.38410805935</v>
      </c>
      <c r="H9" s="15" t="n">
        <f aca="false">H8*Inputs!$C$23</f>
        <v>1355.76879644052</v>
      </c>
      <c r="I9" s="15" t="n">
        <f aca="false">I8*Inputs!$C$23</f>
        <v>1394.98818943802</v>
      </c>
      <c r="J9" s="15" t="n">
        <f aca="false">J8*Inputs!$C$23</f>
        <v>1435.05019356053</v>
      </c>
      <c r="K9" s="15" t="n">
        <f aca="false">K8*Inputs!$C$23</f>
        <v>1475.96241670748</v>
      </c>
      <c r="L9" s="15" t="n">
        <f aca="false">L8*Inputs!$C$23</f>
        <v>1517.7321531003</v>
      </c>
    </row>
    <row r="10" customFormat="false" ht="15" hidden="false" customHeight="false" outlineLevel="0" collapsed="false">
      <c r="B10" s="5" t="s">
        <v>217</v>
      </c>
      <c r="C10" s="45" t="n">
        <f aca="false">1/(1+WACC!$C$37)^C$6</f>
        <v>0.927818696447674</v>
      </c>
      <c r="D10" s="45" t="n">
        <f aca="false">1/(1+WACC!$C$37)^D$6</f>
        <v>0.86084753347786</v>
      </c>
      <c r="E10" s="45" t="n">
        <f aca="false">1/(1+WACC!$C$37)^E$6</f>
        <v>0.798710436351623</v>
      </c>
      <c r="F10" s="45" t="n">
        <f aca="false">1/(1+WACC!$C$37)^F$6</f>
        <v>0.741058475894915</v>
      </c>
      <c r="G10" s="45" t="n">
        <f aca="false">1/(1+WACC!$C$37)^G$6</f>
        <v>0.68756790909632</v>
      </c>
      <c r="H10" s="45" t="n">
        <f aca="false">1/(1+WACC!$C$37)^H$6</f>
        <v>0.637938361137</v>
      </c>
      <c r="I10" s="45" t="n">
        <f aca="false">1/(1+WACC!$C$37)^I$6</f>
        <v>0.591891138644097</v>
      </c>
      <c r="J10" s="45" t="n">
        <f aca="false">1/(1+WACC!$C$37)^J$6</f>
        <v>0.549167664695695</v>
      </c>
      <c r="K10" s="45" t="n">
        <f aca="false">1/(1+WACC!$C$37)^K$6</f>
        <v>0.509528026789173</v>
      </c>
      <c r="L10" s="45" t="n">
        <f aca="false">1/(1+WACC!$C$37)^L$6</f>
        <v>0.472749629619085</v>
      </c>
    </row>
    <row r="11" customFormat="false" ht="15" hidden="false" customHeight="false" outlineLevel="0" collapsed="false">
      <c r="B11" s="5" t="s">
        <v>218</v>
      </c>
      <c r="C11" s="15" t="n">
        <f aca="false">C9*C10</f>
        <v>1088.75330115873</v>
      </c>
      <c r="D11" s="15" t="n">
        <f aca="false">D9*D10</f>
        <v>1039.81030770528</v>
      </c>
      <c r="E11" s="15" t="n">
        <f aca="false">E9*E10</f>
        <v>993.067460607893</v>
      </c>
      <c r="F11" s="15" t="n">
        <f aca="false">F9*F10</f>
        <v>948.425856149259</v>
      </c>
      <c r="G11" s="15" t="n">
        <f aca="false">G9*G10</f>
        <v>905.791036655085</v>
      </c>
      <c r="H11" s="15" t="n">
        <f aca="false">H9*H10</f>
        <v>864.896924081947</v>
      </c>
      <c r="I11" s="15" t="n">
        <f aca="false">I9*I10</f>
        <v>825.681147841537</v>
      </c>
      <c r="J11" s="15" t="n">
        <f aca="false">J9*J10</f>
        <v>788.083163518739</v>
      </c>
      <c r="K11" s="15" t="n">
        <f aca="false">K9*K10</f>
        <v>752.04421779994</v>
      </c>
      <c r="L11" s="15" t="n">
        <f aca="false">L9*L10</f>
        <v>717.507313239144</v>
      </c>
    </row>
    <row r="13" customFormat="false" ht="15" hidden="false" customHeight="false" outlineLevel="0" collapsed="false">
      <c r="B13" s="5" t="s">
        <v>219</v>
      </c>
      <c r="C13" s="15" t="n">
        <f aca="false">SUM(C11:L11)</f>
        <v>8924.06072875755</v>
      </c>
    </row>
    <row r="14" customFormat="false" ht="15" hidden="false" customHeight="false" outlineLevel="0" collapsed="false">
      <c r="B14" s="5" t="s">
        <v>220</v>
      </c>
      <c r="C14" s="15" t="n">
        <f aca="false">L9*(1+Inputs!$C$37)/(WACC!$C$37-Inputs!$C$37)</f>
        <v>31531.0226332151</v>
      </c>
    </row>
    <row r="15" customFormat="false" ht="15" hidden="false" customHeight="false" outlineLevel="0" collapsed="false">
      <c r="B15" s="5" t="s">
        <v>221</v>
      </c>
      <c r="C15" s="15" t="n">
        <f aca="false">C14*L10</f>
        <v>14906.2792713634</v>
      </c>
    </row>
    <row r="16" customFormat="false" ht="15" hidden="false" customHeight="false" outlineLevel="0" collapsed="false">
      <c r="B16" s="7" t="s">
        <v>222</v>
      </c>
      <c r="C16" s="15" t="n">
        <f aca="false">C13+C15</f>
        <v>23830.340000121</v>
      </c>
    </row>
    <row r="17" customFormat="false" ht="15" hidden="false" customHeight="false" outlineLevel="0" collapsed="false">
      <c r="B17" s="5" t="s">
        <v>223</v>
      </c>
      <c r="C17" s="16" t="n">
        <f aca="false">-Inputs!$C$27</f>
        <v>-150.34</v>
      </c>
    </row>
    <row r="18" customFormat="false" ht="15" hidden="false" customHeight="false" outlineLevel="0" collapsed="false">
      <c r="B18" s="5" t="s">
        <v>224</v>
      </c>
      <c r="C18" s="16" t="n">
        <f aca="false">Inputs!$C$28</f>
        <v>2060</v>
      </c>
    </row>
    <row r="19" customFormat="false" ht="15" hidden="false" customHeight="false" outlineLevel="0" collapsed="false">
      <c r="B19" s="5" t="s">
        <v>225</v>
      </c>
      <c r="C19" s="15" t="n">
        <f aca="false">SUM(C16:C18)</f>
        <v>25740.000000121</v>
      </c>
    </row>
    <row r="20" customFormat="false" ht="15" hidden="false" customHeight="false" outlineLevel="0" collapsed="false">
      <c r="B20" s="5" t="s">
        <v>226</v>
      </c>
      <c r="C20" s="36" t="n">
        <f aca="false">Inputs!$C$7</f>
        <v>234.03</v>
      </c>
    </row>
    <row r="21" customFormat="false" ht="15" hidden="false" customHeight="false" outlineLevel="0" collapsed="false">
      <c r="B21" s="7" t="s">
        <v>227</v>
      </c>
      <c r="C21" s="46" t="n">
        <f aca="false">C19/C20</f>
        <v>109.985899244204</v>
      </c>
    </row>
    <row r="22" customFormat="false" ht="15" hidden="false" customHeight="false" outlineLevel="0" collapsed="false">
      <c r="B22" s="5" t="s">
        <v>6</v>
      </c>
      <c r="C22" s="6" t="n">
        <f aca="false">Inputs!$C$6</f>
        <v>109.985899243687</v>
      </c>
    </row>
    <row r="23" customFormat="false" ht="15" hidden="false" customHeight="false" outlineLevel="0" collapsed="false">
      <c r="B23" s="5" t="s">
        <v>228</v>
      </c>
      <c r="C23" s="23" t="n">
        <f aca="false">C21/C22-1</f>
        <v>4.70046224165799E-012</v>
      </c>
    </row>
    <row r="24" customFormat="false" ht="15" hidden="false" customHeight="false" outlineLevel="0" collapsed="false">
      <c r="B24" s="5" t="s">
        <v>229</v>
      </c>
      <c r="C24" s="23" t="n">
        <f aca="false">C15/C16</f>
        <v>0.625516852520264</v>
      </c>
    </row>
    <row r="25" customFormat="false" ht="15" hidden="false" customHeight="false" outlineLevel="0" collapsed="false">
      <c r="B25" s="3" t="s">
        <v>230</v>
      </c>
    </row>
    <row r="26" customFormat="false" ht="15" hidden="false" customHeight="false" outlineLevel="0" collapsed="false">
      <c r="B26" s="28" t="s">
        <v>164</v>
      </c>
      <c r="C26" s="44" t="n">
        <v>1</v>
      </c>
      <c r="D26" s="44" t="n">
        <v>2</v>
      </c>
      <c r="E26" s="44" t="n">
        <v>3</v>
      </c>
      <c r="F26" s="44" t="n">
        <v>4</v>
      </c>
      <c r="G26" s="44" t="n">
        <v>5</v>
      </c>
      <c r="H26" s="44" t="n">
        <v>6</v>
      </c>
      <c r="I26" s="44" t="n">
        <v>7</v>
      </c>
      <c r="J26" s="44" t="n">
        <v>8</v>
      </c>
      <c r="K26" s="44" t="n">
        <v>9</v>
      </c>
      <c r="L26" s="44" t="n">
        <v>10</v>
      </c>
    </row>
    <row r="27" customFormat="false" ht="15" hidden="false" customHeight="false" outlineLevel="0" collapsed="false">
      <c r="B27" s="5" t="s">
        <v>216</v>
      </c>
      <c r="C27" s="23" t="n">
        <f aca="false">IF(C$26&lt;=Inputs!$C$46,Inputs!$C$45,Inputs!$C$45-(Inputs!$C$45-Inputs!$C$37)*MIN(C$26-Inputs!$C$46,Inputs!$C$47)/Inputs!$C$47)</f>
        <v>0.147138617603885</v>
      </c>
      <c r="D27" s="23" t="n">
        <f aca="false">IF(D$26&lt;=Inputs!$C$46,Inputs!$C$45,Inputs!$C$45-(Inputs!$C$45-Inputs!$C$37)*MIN(D$26-Inputs!$C$46,Inputs!$C$47)/Inputs!$C$47)</f>
        <v>0.147138617603885</v>
      </c>
      <c r="E27" s="23" t="n">
        <f aca="false">IF(E$26&lt;=Inputs!$C$46,Inputs!$C$45,Inputs!$C$45-(Inputs!$C$45-Inputs!$C$37)*MIN(E$26-Inputs!$C$46,Inputs!$C$47)/Inputs!$C$47)</f>
        <v>0.147138617603885</v>
      </c>
      <c r="F27" s="23" t="n">
        <f aca="false">IF(F$26&lt;=Inputs!$C$46,Inputs!$C$45,Inputs!$C$45-(Inputs!$C$45-Inputs!$C$37)*MIN(F$26-Inputs!$C$46,Inputs!$C$47)/Inputs!$C$47)</f>
        <v>0.147138617603885</v>
      </c>
      <c r="G27" s="23" t="n">
        <f aca="false">IF(G$26&lt;=Inputs!$C$46,Inputs!$C$45,Inputs!$C$45-(Inputs!$C$45-Inputs!$C$37)*MIN(G$26-Inputs!$C$46,Inputs!$C$47)/Inputs!$C$47)</f>
        <v>0.147138617603885</v>
      </c>
      <c r="H27" s="23" t="n">
        <f aca="false">IF(H$26&lt;=Inputs!$C$46,Inputs!$C$45,Inputs!$C$45-(Inputs!$C$45-Inputs!$C$37)*MIN(H$26-Inputs!$C$46,Inputs!$C$47)/Inputs!$C$47)</f>
        <v>0.123370894083108</v>
      </c>
      <c r="I27" s="23" t="n">
        <f aca="false">IF(I$26&lt;=Inputs!$C$46,Inputs!$C$45,Inputs!$C$45-(Inputs!$C$45-Inputs!$C$37)*MIN(I$26-Inputs!$C$46,Inputs!$C$47)/Inputs!$C$47)</f>
        <v>0.0996031705623309</v>
      </c>
      <c r="J27" s="23" t="n">
        <f aca="false">IF(J$26&lt;=Inputs!$C$46,Inputs!$C$45,Inputs!$C$45-(Inputs!$C$45-Inputs!$C$37)*MIN(J$26-Inputs!$C$46,Inputs!$C$47)/Inputs!$C$47)</f>
        <v>0.0758354470415539</v>
      </c>
      <c r="K27" s="23" t="n">
        <f aca="false">IF(K$26&lt;=Inputs!$C$46,Inputs!$C$45,Inputs!$C$45-(Inputs!$C$45-Inputs!$C$37)*MIN(K$26-Inputs!$C$46,Inputs!$C$47)/Inputs!$C$47)</f>
        <v>0.052067723520777</v>
      </c>
      <c r="L27" s="23" t="n">
        <f aca="false">IF(L$26&lt;=Inputs!$C$46,Inputs!$C$45,Inputs!$C$45-(Inputs!$C$45-Inputs!$C$37)*MIN(L$26-Inputs!$C$46,Inputs!$C$47)/Inputs!$C$47)</f>
        <v>0.0283</v>
      </c>
    </row>
    <row r="28" customFormat="false" ht="15" hidden="false" customHeight="false" outlineLevel="0" collapsed="false">
      <c r="B28" s="5" t="s">
        <v>106</v>
      </c>
      <c r="C28" s="15" t="n">
        <f aca="false">Inputs!$C$12*(1+C27)</f>
        <v>2523.70495872855</v>
      </c>
      <c r="D28" s="15" t="n">
        <f aca="false">C28*(1+D27)</f>
        <v>2895.03941759593</v>
      </c>
      <c r="E28" s="15" t="n">
        <f aca="false">D28*(1+E27)</f>
        <v>3321.01151540976</v>
      </c>
      <c r="F28" s="15" t="n">
        <f aca="false">E28*(1+F27)</f>
        <v>3809.66055883373</v>
      </c>
      <c r="G28" s="15" t="n">
        <f aca="false">F28*(1+G27)</f>
        <v>4370.20874700057</v>
      </c>
      <c r="H28" s="15" t="n">
        <f aca="false">G28*(1+H27)</f>
        <v>4909.36530744785</v>
      </c>
      <c r="I28" s="15" t="n">
        <f aca="false">H28*(1+I27)</f>
        <v>5398.35365751837</v>
      </c>
      <c r="J28" s="15" t="n">
        <f aca="false">I28*(1+J27)</f>
        <v>5807.74022042468</v>
      </c>
      <c r="K28" s="15" t="n">
        <f aca="false">J28*(1+K27)</f>
        <v>6110.13603250225</v>
      </c>
      <c r="L28" s="15" t="n">
        <f aca="false">K28*(1+L27)</f>
        <v>6283.05288222206</v>
      </c>
    </row>
    <row r="29" customFormat="false" ht="15" hidden="false" customHeight="false" outlineLevel="0" collapsed="false">
      <c r="B29" s="5" t="s">
        <v>60</v>
      </c>
      <c r="C29" s="15" t="n">
        <f aca="false">C28*Inputs!$C$23</f>
        <v>1307.73802406843</v>
      </c>
      <c r="D29" s="15" t="n">
        <f aca="false">D28*Inputs!$C$23</f>
        <v>1500.15678911789</v>
      </c>
      <c r="E29" s="15" t="n">
        <f aca="false">E28*Inputs!$C$23</f>
        <v>1720.88778525778</v>
      </c>
      <c r="F29" s="15" t="n">
        <f aca="false">F28*Inputs!$C$23</f>
        <v>1974.09683503202</v>
      </c>
      <c r="G29" s="15" t="n">
        <f aca="false">G28*Inputs!$C$23</f>
        <v>2264.56271435484</v>
      </c>
      <c r="H29" s="15" t="n">
        <f aca="false">H28*Inputs!$C$23</f>
        <v>2543.94384113207</v>
      </c>
      <c r="I29" s="15" t="n">
        <f aca="false">I28*Inputs!$C$23</f>
        <v>2797.32871344134</v>
      </c>
      <c r="J29" s="15" t="n">
        <f aca="false">J28*Inputs!$C$23</f>
        <v>3009.46538694733</v>
      </c>
      <c r="K29" s="15" t="n">
        <f aca="false">K28*Inputs!$C$23</f>
        <v>3166.16139866025</v>
      </c>
      <c r="L29" s="15" t="n">
        <f aca="false">L28*Inputs!$C$23</f>
        <v>3255.76376624234</v>
      </c>
    </row>
    <row r="30" customFormat="false" ht="15" hidden="false" customHeight="false" outlineLevel="0" collapsed="false">
      <c r="B30" s="5" t="s">
        <v>217</v>
      </c>
      <c r="C30" s="45" t="n">
        <f aca="false">1/(1+WACC!$C$37)^C$26</f>
        <v>0.927818696447674</v>
      </c>
      <c r="D30" s="45" t="n">
        <f aca="false">1/(1+WACC!$C$37)^D$26</f>
        <v>0.86084753347786</v>
      </c>
      <c r="E30" s="45" t="n">
        <f aca="false">1/(1+WACC!$C$37)^E$26</f>
        <v>0.798710436351623</v>
      </c>
      <c r="F30" s="45" t="n">
        <f aca="false">1/(1+WACC!$C$37)^F$26</f>
        <v>0.741058475894915</v>
      </c>
      <c r="G30" s="45" t="n">
        <f aca="false">1/(1+WACC!$C$37)^G$26</f>
        <v>0.68756790909632</v>
      </c>
      <c r="H30" s="45" t="n">
        <f aca="false">1/(1+WACC!$C$37)^H$26</f>
        <v>0.637938361137</v>
      </c>
      <c r="I30" s="45" t="n">
        <f aca="false">1/(1+WACC!$C$37)^I$26</f>
        <v>0.591891138644097</v>
      </c>
      <c r="J30" s="45" t="n">
        <f aca="false">1/(1+WACC!$C$37)^J$26</f>
        <v>0.549167664695695</v>
      </c>
      <c r="K30" s="45" t="n">
        <f aca="false">1/(1+WACC!$C$37)^K$26</f>
        <v>0.509528026789173</v>
      </c>
      <c r="L30" s="45" t="n">
        <f aca="false">1/(1+WACC!$C$37)^L$26</f>
        <v>0.472749629619085</v>
      </c>
    </row>
    <row r="31" customFormat="false" ht="15" hidden="false" customHeight="false" outlineLevel="0" collapsed="false">
      <c r="B31" s="5" t="s">
        <v>218</v>
      </c>
      <c r="C31" s="15" t="n">
        <f aca="false">C29*C30</f>
        <v>1213.34378878623</v>
      </c>
      <c r="D31" s="15" t="n">
        <f aca="false">D29*D30</f>
        <v>1291.4062717422</v>
      </c>
      <c r="E31" s="15" t="n">
        <f aca="false">E29*E30</f>
        <v>1374.49103387542</v>
      </c>
      <c r="F31" s="15" t="n">
        <f aca="false">F29*F30</f>
        <v>1462.92119183781</v>
      </c>
      <c r="G31" s="15" t="n">
        <f aca="false">G29*G30</f>
        <v>1557.04065052644</v>
      </c>
      <c r="H31" s="15" t="n">
        <f aca="false">H29*H30</f>
        <v>1622.87936483636</v>
      </c>
      <c r="I31" s="15" t="n">
        <f aca="false">I29*I30</f>
        <v>1655.71407736062</v>
      </c>
      <c r="J31" s="15" t="n">
        <f aca="false">J29*J30</f>
        <v>1652.70107853239</v>
      </c>
      <c r="K31" s="15" t="n">
        <f aca="false">K29*K30</f>
        <v>1613.24796995541</v>
      </c>
      <c r="L31" s="15" t="n">
        <f aca="false">L29*L30</f>
        <v>1539.1611146183</v>
      </c>
    </row>
    <row r="33" customFormat="false" ht="15" hidden="false" customHeight="false" outlineLevel="0" collapsed="false">
      <c r="B33" s="5" t="s">
        <v>219</v>
      </c>
      <c r="C33" s="15" t="n">
        <f aca="false">SUM(C31:L31)</f>
        <v>14982.9065420712</v>
      </c>
    </row>
    <row r="34" customFormat="false" ht="15" hidden="false" customHeight="false" outlineLevel="0" collapsed="false">
      <c r="B34" s="5" t="s">
        <v>220</v>
      </c>
      <c r="C34" s="15" t="n">
        <f aca="false">L29*(1+Inputs!$C$37)/(WACC!$C$37-Inputs!$C$37)</f>
        <v>67638.7864565486</v>
      </c>
    </row>
    <row r="35" customFormat="false" ht="15" hidden="false" customHeight="false" outlineLevel="0" collapsed="false">
      <c r="B35" s="5" t="s">
        <v>221</v>
      </c>
      <c r="C35" s="15" t="n">
        <f aca="false">C34*L30</f>
        <v>31976.2112452177</v>
      </c>
    </row>
    <row r="36" customFormat="false" ht="15" hidden="false" customHeight="false" outlineLevel="0" collapsed="false">
      <c r="B36" s="7" t="s">
        <v>222</v>
      </c>
      <c r="C36" s="15" t="n">
        <f aca="false">C33+C35</f>
        <v>46959.1177872889</v>
      </c>
    </row>
    <row r="37" customFormat="false" ht="15" hidden="false" customHeight="false" outlineLevel="0" collapsed="false">
      <c r="B37" s="5" t="s">
        <v>223</v>
      </c>
      <c r="C37" s="16" t="n">
        <f aca="false">-Inputs!$C$27</f>
        <v>-150.34</v>
      </c>
    </row>
    <row r="38" customFormat="false" ht="15" hidden="false" customHeight="false" outlineLevel="0" collapsed="false">
      <c r="B38" s="5" t="s">
        <v>224</v>
      </c>
      <c r="C38" s="16" t="n">
        <f aca="false">Inputs!$C$28</f>
        <v>2060</v>
      </c>
    </row>
    <row r="39" customFormat="false" ht="15" hidden="false" customHeight="false" outlineLevel="0" collapsed="false">
      <c r="B39" s="5" t="s">
        <v>225</v>
      </c>
      <c r="C39" s="15" t="n">
        <f aca="false">SUM(C36:C38)</f>
        <v>48868.7777872889</v>
      </c>
    </row>
    <row r="40" customFormat="false" ht="15" hidden="false" customHeight="false" outlineLevel="0" collapsed="false">
      <c r="B40" s="5" t="s">
        <v>226</v>
      </c>
      <c r="C40" s="36" t="n">
        <f aca="false">Inputs!$C$7</f>
        <v>234.03</v>
      </c>
    </row>
    <row r="41" customFormat="false" ht="15" hidden="false" customHeight="false" outlineLevel="0" collapsed="false">
      <c r="B41" s="7" t="s">
        <v>227</v>
      </c>
      <c r="C41" s="46" t="n">
        <f aca="false">C39/C40</f>
        <v>208.814159668799</v>
      </c>
    </row>
    <row r="42" customFormat="false" ht="15" hidden="false" customHeight="false" outlineLevel="0" collapsed="false">
      <c r="B42" s="5" t="s">
        <v>6</v>
      </c>
      <c r="C42" s="6" t="n">
        <f aca="false">Inputs!$C$6</f>
        <v>109.985899243687</v>
      </c>
    </row>
    <row r="43" customFormat="false" ht="15" hidden="false" customHeight="false" outlineLevel="0" collapsed="false">
      <c r="B43" s="5" t="s">
        <v>228</v>
      </c>
      <c r="C43" s="23" t="n">
        <f aca="false">C41/C42-1</f>
        <v>0.898553915590091</v>
      </c>
    </row>
    <row r="44" customFormat="false" ht="15" hidden="false" customHeight="false" outlineLevel="0" collapsed="false">
      <c r="B44" s="5" t="s">
        <v>229</v>
      </c>
      <c r="C44" s="23" t="n">
        <f aca="false">C35/C36</f>
        <v>0.680937222672296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7" min="3" style="0" width="13"/>
    <col collapsed="false" customWidth="true" hidden="false" outlineLevel="0" max="8" min="8" style="0" width="4"/>
    <col collapsed="false" customWidth="true" hidden="false" outlineLevel="0" max="9" min="9" style="0" width="60"/>
  </cols>
  <sheetData>
    <row r="2" customFormat="false" ht="19.7" hidden="false" customHeight="false" outlineLevel="0" collapsed="false">
      <c r="B2" s="1" t="s">
        <v>231</v>
      </c>
    </row>
    <row r="3" customFormat="false" ht="15" hidden="false" customHeight="false" outlineLevel="0" collapsed="false">
      <c r="B3" s="2" t="s">
        <v>232</v>
      </c>
    </row>
    <row r="5" customFormat="false" ht="15" hidden="false" customHeight="false" outlineLevel="0" collapsed="false">
      <c r="B5" s="5" t="s">
        <v>233</v>
      </c>
      <c r="C5" s="24" t="n">
        <v>0.005</v>
      </c>
      <c r="D5" s="5" t="s">
        <v>234</v>
      </c>
      <c r="F5" s="24" t="n">
        <v>0.005</v>
      </c>
    </row>
    <row r="6" customFormat="false" ht="15" hidden="false" customHeight="false" outlineLevel="0" collapsed="false">
      <c r="B6" s="5" t="s">
        <v>235</v>
      </c>
      <c r="C6" s="24" t="n">
        <v>0.02</v>
      </c>
    </row>
    <row r="8" customFormat="false" ht="15" hidden="false" customHeight="false" outlineLevel="0" collapsed="false">
      <c r="B8" s="3" t="s">
        <v>236</v>
      </c>
    </row>
    <row r="9" customFormat="false" ht="15" hidden="false" customHeight="false" outlineLevel="0" collapsed="false">
      <c r="C9" s="47" t="n">
        <f aca="false">Inputs!$C$37+(0-2)*$F$5</f>
        <v>0.0183</v>
      </c>
      <c r="D9" s="47" t="n">
        <f aca="false">Inputs!$C$37+(1-2)*$F$5</f>
        <v>0.0233</v>
      </c>
      <c r="E9" s="47" t="n">
        <f aca="false">Inputs!$C$37+(2-2)*$F$5</f>
        <v>0.0283</v>
      </c>
      <c r="F9" s="47" t="n">
        <f aca="false">Inputs!$C$37+(3-2)*$F$5</f>
        <v>0.0333</v>
      </c>
      <c r="G9" s="47" t="n">
        <f aca="false">Inputs!$C$37+(4-2)*$F$5</f>
        <v>0.0383</v>
      </c>
    </row>
    <row r="10" customFormat="false" ht="15" hidden="false" customHeight="false" outlineLevel="0" collapsed="false">
      <c r="B10" s="47" t="n">
        <f aca="false">WACC!$C$37+(0-2)*$C$5</f>
        <v>0.0677967762761046</v>
      </c>
      <c r="C10" s="9" t="n">
        <f aca="false">Solver!$D$74</f>
        <v>0.0209798514842987</v>
      </c>
      <c r="D10" s="9" t="n">
        <f aca="false">Solver!$D$101</f>
        <v>0.00747349858283997</v>
      </c>
      <c r="E10" s="9" t="n">
        <f aca="false">Solver!$D$128</f>
        <v>-0.00758638978004456</v>
      </c>
      <c r="F10" s="9" t="n">
        <f aca="false">Solver!$D$155</f>
        <v>-0.0245994627475739</v>
      </c>
      <c r="G10" s="9" t="n">
        <f aca="false">Solver!$D$182</f>
        <v>-0.0441454350948334</v>
      </c>
      <c r="I10" s="19" t="s">
        <v>237</v>
      </c>
    </row>
    <row r="11" customFormat="false" ht="15" hidden="false" customHeight="false" outlineLevel="0" collapsed="false">
      <c r="B11" s="47" t="n">
        <f aca="false">WACC!$C$37+(1-2)*$C$5</f>
        <v>0.0727967762761046</v>
      </c>
      <c r="C11" s="9" t="n">
        <f aca="false">Solver!$D$209</f>
        <v>0.0374602377414703</v>
      </c>
      <c r="D11" s="9" t="n">
        <f aca="false">Solver!$D$236</f>
        <v>0.0251644551753998</v>
      </c>
      <c r="E11" s="9" t="n">
        <f aca="false">Solver!$D$263</f>
        <v>0.0115969479084015</v>
      </c>
      <c r="F11" s="9" t="n">
        <f aca="false">Solver!$D$290</f>
        <v>-0.00353088974952698</v>
      </c>
      <c r="G11" s="9" t="n">
        <f aca="false">Solver!$D$317</f>
        <v>-0.0206201374530792</v>
      </c>
    </row>
    <row r="12" customFormat="false" ht="15" hidden="false" customHeight="false" outlineLevel="0" collapsed="false">
      <c r="B12" s="47" t="n">
        <f aca="false">WACC!$C$37+(2-2)*$C$5</f>
        <v>0.0777967762761046</v>
      </c>
      <c r="C12" s="9" t="n">
        <f aca="false">Solver!$D$344</f>
        <v>0.0529882609844208</v>
      </c>
      <c r="D12" s="9" t="n">
        <f aca="false">Solver!$D$371</f>
        <v>0.0416981279850006</v>
      </c>
      <c r="E12" s="8" t="n">
        <f aca="false">Solver!$D$398</f>
        <v>0.029346376657486</v>
      </c>
      <c r="F12" s="9" t="n">
        <f aca="false">Solver!$D$425</f>
        <v>0.0157175362110138</v>
      </c>
      <c r="G12" s="9" t="n">
        <f aca="false">Solver!$D$452</f>
        <v>0.000521749258041382</v>
      </c>
    </row>
    <row r="13" customFormat="false" ht="15" hidden="false" customHeight="false" outlineLevel="0" collapsed="false">
      <c r="B13" s="47" t="n">
        <f aca="false">WACC!$C$37+(3-2)*$C$5</f>
        <v>0.0827967762761046</v>
      </c>
      <c r="C13" s="9" t="n">
        <f aca="false">Solver!$D$479</f>
        <v>0.0677160918712616</v>
      </c>
      <c r="D13" s="9" t="n">
        <f aca="false">Solver!$D$506</f>
        <v>0.0572747886180878</v>
      </c>
      <c r="E13" s="9" t="n">
        <f aca="false">Solver!$D$533</f>
        <v>0.0459331572055817</v>
      </c>
      <c r="F13" s="9" t="n">
        <f aca="false">Solver!$D$560</f>
        <v>0.0335256159305573</v>
      </c>
      <c r="G13" s="9" t="n">
        <f aca="false">Solver!$D$587</f>
        <v>0.0198354423046112</v>
      </c>
    </row>
    <row r="14" customFormat="false" ht="15" hidden="false" customHeight="false" outlineLevel="0" collapsed="false">
      <c r="B14" s="47" t="n">
        <f aca="false">WACC!$C$37+(4-2)*$C$5</f>
        <v>0.0877967762761046</v>
      </c>
      <c r="C14" s="9" t="n">
        <f aca="false">Solver!$D$614</f>
        <v>0.0817621052265167</v>
      </c>
      <c r="D14" s="9" t="n">
        <f aca="false">Solver!$D$641</f>
        <v>0.0720471441745758</v>
      </c>
      <c r="E14" s="9" t="n">
        <f aca="false">Solver!$D$668</f>
        <v>0.0615584552288055</v>
      </c>
      <c r="F14" s="9" t="n">
        <f aca="false">Solver!$D$695</f>
        <v>0.0501655042171478</v>
      </c>
      <c r="G14" s="9" t="n">
        <f aca="false">Solver!$D$722</f>
        <v>0.0377021729946137</v>
      </c>
    </row>
    <row r="17" customFormat="false" ht="15" hidden="false" customHeight="false" outlineLevel="0" collapsed="false">
      <c r="B17" s="3" t="s">
        <v>238</v>
      </c>
    </row>
    <row r="18" customFormat="false" ht="15" hidden="false" customHeight="false" outlineLevel="0" collapsed="false">
      <c r="C18" s="48" t="n">
        <f aca="false">Inputs!$C$45+(0-2)*$C$6</f>
        <v>0.107138617603885</v>
      </c>
      <c r="D18" s="48" t="n">
        <f aca="false">Inputs!$C$45+(1-2)*$C$6</f>
        <v>0.127138617603885</v>
      </c>
      <c r="E18" s="48" t="n">
        <f aca="false">Inputs!$C$45+(2-2)*$C$6</f>
        <v>0.147138617603885</v>
      </c>
      <c r="F18" s="48" t="n">
        <f aca="false">Inputs!$C$45+(3-2)*$C$6</f>
        <v>0.167138617603885</v>
      </c>
      <c r="G18" s="48" t="n">
        <f aca="false">Inputs!$C$45+(4-2)*$C$6</f>
        <v>0.187138617603885</v>
      </c>
    </row>
    <row r="19" customFormat="false" ht="15" hidden="false" customHeight="false" outlineLevel="0" collapsed="false">
      <c r="B19" s="47" t="n">
        <f aca="false">WACC!$C$37+(0-2)*$C$5</f>
        <v>0.0677967762761046</v>
      </c>
      <c r="C19" s="42" t="n">
        <f aca="false">(SUMPRODUCT($C28:$L28,1/(1+$B19)^$C$27:$L$27)*Inputs!$C$23+$L28*Inputs!$C$23*(1+Inputs!$C$37)/($B19-Inputs!$C$37)/(1+$B19)^$L$27-Inputs!$C$27+Inputs!$C$28)/Inputs!$C$7</f>
        <v>210.959816759725</v>
      </c>
      <c r="D19" s="42" t="n">
        <f aca="false">(SUMPRODUCT($C29:$L29,1/(1+$B19)^$C$27:$L$27)*Inputs!$C$23+$L29*Inputs!$C$23*(1+Inputs!$C$37)/($B19-Inputs!$C$37)/(1+$B19)^$L$27-Inputs!$C$27+Inputs!$C$28)/Inputs!$C$7</f>
        <v>235.936746279184</v>
      </c>
      <c r="E19" s="42" t="n">
        <f aca="false">(SUMPRODUCT($C30:$L30,1/(1+$B19)^$C$27:$L$27)*Inputs!$C$23+$L30*Inputs!$C$23*(1+Inputs!$C$37)/($B19-Inputs!$C$37)/(1+$B19)^$L$27-Inputs!$C$27+Inputs!$C$28)/Inputs!$C$7</f>
        <v>263.678344878694</v>
      </c>
      <c r="F19" s="42" t="n">
        <f aca="false">(SUMPRODUCT($C31:$L31,1/(1+$B19)^$C$27:$L$27)*Inputs!$C$23+$L31*Inputs!$C$23*(1+Inputs!$C$37)/($B19-Inputs!$C$37)/(1+$B19)^$L$27-Inputs!$C$27+Inputs!$C$28)/Inputs!$C$7</f>
        <v>294.448184010913</v>
      </c>
      <c r="G19" s="42" t="n">
        <f aca="false">(SUMPRODUCT($C32:$L32,1/(1+$B19)^$C$27:$L$27)*Inputs!$C$23+$L32*Inputs!$C$23*(1+Inputs!$C$37)/($B19-Inputs!$C$37)/(1+$B19)^$L$27-Inputs!$C$27+Inputs!$C$28)/Inputs!$C$7</f>
        <v>328.530759052441</v>
      </c>
      <c r="I19" s="19" t="s">
        <v>239</v>
      </c>
    </row>
    <row r="20" customFormat="false" ht="15" hidden="false" customHeight="false" outlineLevel="0" collapsed="false">
      <c r="B20" s="47" t="n">
        <f aca="false">WACC!$C$37+(1-2)*$C$5</f>
        <v>0.0727967762761046</v>
      </c>
      <c r="C20" s="42" t="n">
        <f aca="false">(SUMPRODUCT($C28:$L28,1/(1+$B20)^$C$27:$L$27)*Inputs!$C$23+$L28*Inputs!$C$23*(1+Inputs!$C$37)/($B20-Inputs!$C$37)/(1+$B20)^$L$27-Inputs!$C$27+Inputs!$C$28)/Inputs!$C$7</f>
        <v>187.144236253663</v>
      </c>
      <c r="D20" s="42" t="n">
        <f aca="false">(SUMPRODUCT($C29:$L29,1/(1+$B20)^$C$27:$L$27)*Inputs!$C$23+$L29*Inputs!$C$23*(1+Inputs!$C$37)/($B20-Inputs!$C$37)/(1+$B20)^$L$27-Inputs!$C$27+Inputs!$C$28)/Inputs!$C$7</f>
        <v>208.942403034184</v>
      </c>
      <c r="E20" s="42" t="n">
        <f aca="false">(SUMPRODUCT($C30:$L30,1/(1+$B20)^$C$27:$L$27)*Inputs!$C$23+$L30*Inputs!$C$23*(1+Inputs!$C$37)/($B20-Inputs!$C$37)/(1+$B20)^$L$27-Inputs!$C$27+Inputs!$C$28)/Inputs!$C$7</f>
        <v>233.138965603533</v>
      </c>
      <c r="F20" s="42" t="n">
        <f aca="false">(SUMPRODUCT($C31:$L31,1/(1+$B20)^$C$27:$L$27)*Inputs!$C$23+$L31*Inputs!$C$23*(1+Inputs!$C$37)/($B20-Inputs!$C$37)/(1+$B20)^$L$27-Inputs!$C$27+Inputs!$C$28)/Inputs!$C$7</f>
        <v>259.961755603042</v>
      </c>
      <c r="G20" s="42" t="n">
        <f aca="false">(SUMPRODUCT($C32:$L32,1/(1+$B20)^$C$27:$L$27)*Inputs!$C$23+$L32*Inputs!$C$23*(1+Inputs!$C$37)/($B20-Inputs!$C$37)/(1+$B20)^$L$27-Inputs!$C$27+Inputs!$C$28)/Inputs!$C$7</f>
        <v>289.656644698004</v>
      </c>
    </row>
    <row r="21" customFormat="false" ht="15" hidden="false" customHeight="false" outlineLevel="0" collapsed="false">
      <c r="B21" s="47" t="n">
        <f aca="false">WACC!$C$37+(2-2)*$C$5</f>
        <v>0.0777967762761046</v>
      </c>
      <c r="C21" s="42" t="n">
        <f aca="false">(SUMPRODUCT($C28:$L28,1/(1+$B21)^$C$27:$L$27)*Inputs!$C$23+$L28*Inputs!$C$23*(1+Inputs!$C$37)/($B21-Inputs!$C$37)/(1+$B21)^$L$27-Inputs!$C$27+Inputs!$C$28)/Inputs!$C$7</f>
        <v>168.164835565364</v>
      </c>
      <c r="D21" s="42" t="n">
        <f aca="false">(SUMPRODUCT($C29:$L29,1/(1+$B21)^$C$27:$L$27)*Inputs!$C$23+$L29*Inputs!$C$23*(1+Inputs!$C$37)/($B21-Inputs!$C$37)/(1+$B21)^$L$27-Inputs!$C$27+Inputs!$C$28)/Inputs!$C$7</f>
        <v>187.435682798914</v>
      </c>
      <c r="E21" s="46" t="n">
        <f aca="false">(SUMPRODUCT($C30:$L30,1/(1+$B21)^$C$27:$L$27)*Inputs!$C$23+$L30*Inputs!$C$23*(1+Inputs!$C$37)/($B21-Inputs!$C$37)/(1+$B21)^$L$27-Inputs!$C$27+Inputs!$C$28)/Inputs!$C$7</f>
        <v>208.814159668799</v>
      </c>
      <c r="F21" s="42" t="n">
        <f aca="false">(SUMPRODUCT($C31:$L31,1/(1+$B21)^$C$27:$L$27)*Inputs!$C$23+$L31*Inputs!$C$23*(1+Inputs!$C$37)/($B21-Inputs!$C$37)/(1+$B21)^$L$27-Inputs!$C$27+Inputs!$C$28)/Inputs!$C$7</f>
        <v>232.499757127527</v>
      </c>
      <c r="G21" s="42" t="n">
        <f aca="false">(SUMPRODUCT($C32:$L32,1/(1+$B21)^$C$27:$L$27)*Inputs!$C$23+$L32*Inputs!$C$23*(1+Inputs!$C$37)/($B21-Inputs!$C$37)/(1+$B21)^$L$27-Inputs!$C$27+Inputs!$C$28)/Inputs!$C$7</f>
        <v>258.707721316474</v>
      </c>
    </row>
    <row r="22" customFormat="false" ht="15" hidden="false" customHeight="false" outlineLevel="0" collapsed="false">
      <c r="B22" s="47" t="n">
        <f aca="false">WACC!$C$37+(3-2)*$C$5</f>
        <v>0.0827967762761046</v>
      </c>
      <c r="C22" s="42" t="n">
        <f aca="false">(SUMPRODUCT($C28:$L28,1/(1+$B22)^$C$27:$L$27)*Inputs!$C$23+$L28*Inputs!$C$23*(1+Inputs!$C$37)/($B22-Inputs!$C$37)/(1+$B22)^$L$27-Inputs!$C$27+Inputs!$C$28)/Inputs!$C$7</f>
        <v>152.689721398934</v>
      </c>
      <c r="D22" s="42" t="n">
        <f aca="false">(SUMPRODUCT($C29:$L29,1/(1+$B22)^$C$27:$L$27)*Inputs!$C$23+$L29*Inputs!$C$23*(1+Inputs!$C$37)/($B22-Inputs!$C$37)/(1+$B22)^$L$27-Inputs!$C$27+Inputs!$C$28)/Inputs!$C$7</f>
        <v>169.905096334658</v>
      </c>
      <c r="E22" s="42" t="n">
        <f aca="false">(SUMPRODUCT($C30:$L30,1/(1+$B22)^$C$27:$L$27)*Inputs!$C$23+$L30*Inputs!$C$23*(1+Inputs!$C$37)/($B22-Inputs!$C$37)/(1+$B22)^$L$27-Inputs!$C$27+Inputs!$C$28)/Inputs!$C$7</f>
        <v>188.992009098628</v>
      </c>
      <c r="F22" s="42" t="n">
        <f aca="false">(SUMPRODUCT($C31:$L31,1/(1+$B22)^$C$27:$L$27)*Inputs!$C$23+$L31*Inputs!$C$23*(1+Inputs!$C$37)/($B22-Inputs!$C$37)/(1+$B22)^$L$27-Inputs!$C$27+Inputs!$C$28)/Inputs!$C$7</f>
        <v>210.12696633186</v>
      </c>
      <c r="G22" s="42" t="n">
        <f aca="false">(SUMPRODUCT($C32:$L32,1/(1+$B22)^$C$27:$L$27)*Inputs!$C$23+$L32*Inputs!$C$23*(1+Inputs!$C$37)/($B22-Inputs!$C$37)/(1+$B22)^$L$27-Inputs!$C$27+Inputs!$C$28)/Inputs!$C$7</f>
        <v>233.500378614464</v>
      </c>
    </row>
    <row r="23" customFormat="false" ht="15" hidden="false" customHeight="false" outlineLevel="0" collapsed="false">
      <c r="B23" s="47" t="n">
        <f aca="false">WACC!$C$37+(4-2)*$C$5</f>
        <v>0.0877967762761046</v>
      </c>
      <c r="C23" s="42" t="n">
        <f aca="false">(SUMPRODUCT($C28:$L28,1/(1+$B23)^$C$27:$L$27)*Inputs!$C$23+$L28*Inputs!$C$23*(1+Inputs!$C$37)/($B23-Inputs!$C$37)/(1+$B23)^$L$27-Inputs!$C$27+Inputs!$C$28)/Inputs!$C$7</f>
        <v>139.834747593314</v>
      </c>
      <c r="D23" s="42" t="n">
        <f aca="false">(SUMPRODUCT($C29:$L29,1/(1+$B23)^$C$27:$L$27)*Inputs!$C$23+$L29*Inputs!$C$23*(1+Inputs!$C$37)/($B23-Inputs!$C$37)/(1+$B23)^$L$27-Inputs!$C$27+Inputs!$C$28)/Inputs!$C$7</f>
        <v>155.347283918917</v>
      </c>
      <c r="E23" s="42" t="n">
        <f aca="false">(SUMPRODUCT($C30:$L30,1/(1+$B23)^$C$27:$L$27)*Inputs!$C$23+$L30*Inputs!$C$23*(1+Inputs!$C$37)/($B23-Inputs!$C$37)/(1+$B23)^$L$27-Inputs!$C$27+Inputs!$C$28)/Inputs!$C$7</f>
        <v>172.536112727382</v>
      </c>
      <c r="F23" s="42" t="n">
        <f aca="false">(SUMPRODUCT($C31:$L31,1/(1+$B23)^$C$27:$L$27)*Inputs!$C$23+$L31*Inputs!$C$23*(1+Inputs!$C$37)/($B23-Inputs!$C$37)/(1+$B23)^$L$27-Inputs!$C$27+Inputs!$C$28)/Inputs!$C$7</f>
        <v>191.558756899339</v>
      </c>
      <c r="G23" s="42" t="n">
        <f aca="false">(SUMPRODUCT($C32:$L32,1/(1+$B23)^$C$27:$L$27)*Inputs!$C$23+$L32*Inputs!$C$23*(1+Inputs!$C$37)/($B23-Inputs!$C$37)/(1+$B23)^$L$27-Inputs!$C$27+Inputs!$C$28)/Inputs!$C$7</f>
        <v>212.585115760961</v>
      </c>
    </row>
    <row r="26" customFormat="false" ht="15" hidden="false" customHeight="false" outlineLevel="0" collapsed="false">
      <c r="B26" s="19" t="s">
        <v>240</v>
      </c>
    </row>
    <row r="27" customFormat="false" ht="15" hidden="false" customHeight="false" outlineLevel="0" collapsed="false">
      <c r="C27" s="39" t="n">
        <v>1</v>
      </c>
      <c r="D27" s="39" t="n">
        <v>2</v>
      </c>
      <c r="E27" s="39" t="n">
        <v>3</v>
      </c>
      <c r="F27" s="39" t="n">
        <v>4</v>
      </c>
      <c r="G27" s="39" t="n">
        <v>5</v>
      </c>
      <c r="H27" s="39" t="n">
        <v>6</v>
      </c>
      <c r="I27" s="39" t="n">
        <v>7</v>
      </c>
      <c r="J27" s="39" t="n">
        <v>8</v>
      </c>
      <c r="K27" s="39" t="n">
        <v>9</v>
      </c>
      <c r="L27" s="39" t="n">
        <v>10</v>
      </c>
    </row>
    <row r="28" customFormat="false" ht="15" hidden="false" customHeight="false" outlineLevel="0" collapsed="false">
      <c r="B28" s="23" t="n">
        <f aca="false">C$18</f>
        <v>0.107138617603885</v>
      </c>
      <c r="C28" s="15" t="n">
        <f aca="false">Inputs!$C$12*(1+IF(C$27&lt;=Inputs!$C$46,$B28,$B28-($B28-Inputs!$C$37)*MIN(C$27-Inputs!$C$46,Inputs!$C$47)/Inputs!$C$47))</f>
        <v>2435.70495872855</v>
      </c>
      <c r="D28" s="15" t="n">
        <f aca="false">C28*(1+IF(D$27&lt;=Inputs!$C$46,$B28,$B28-($B28-Inputs!$C$37)*MIN(D$27-Inputs!$C$46,Inputs!$C$47)/Inputs!$C$47))</f>
        <v>2696.66302089765</v>
      </c>
      <c r="E28" s="15" t="n">
        <f aca="false">D28*(1+IF(E$27&lt;=Inputs!$C$46,$B28,$B28-($B28-Inputs!$C$37)*MIN(E$27-Inputs!$C$46,Inputs!$C$47)/Inputs!$C$47))</f>
        <v>2985.57976910014</v>
      </c>
      <c r="F28" s="15" t="n">
        <f aca="false">E28*(1+IF(F$27&lt;=Inputs!$C$46,$B28,$B28-($B28-Inputs!$C$37)*MIN(F$27-Inputs!$C$46,Inputs!$C$47)/Inputs!$C$47))</f>
        <v>3305.45065830766</v>
      </c>
      <c r="G28" s="15" t="n">
        <f aca="false">F28*(1+IF(G$27&lt;=Inputs!$C$46,$B28,$B28-($B28-Inputs!$C$37)*MIN(G$27-Inputs!$C$46,Inputs!$C$47)/Inputs!$C$47))</f>
        <v>3659.59207239659</v>
      </c>
      <c r="H28" s="15" t="n">
        <f aca="false">G28*(1+IF(H$27&lt;=Inputs!$C$46,$B28,$B28-($B28-Inputs!$C$37)*MIN(H$27-Inputs!$C$46,Inputs!$C$47)/Inputs!$C$47))</f>
        <v>3993.97227203092</v>
      </c>
      <c r="I28" s="15" t="n">
        <f aca="false">H28*(1+IF(I$27&lt;=Inputs!$C$46,$B28,$B28-($B28-Inputs!$C$37)*MIN(I$27-Inputs!$C$46,Inputs!$C$47)/Inputs!$C$47))</f>
        <v>4295.92923893449</v>
      </c>
      <c r="J28" s="15" t="n">
        <f aca="false">I28*(1+IF(J$27&lt;=Inputs!$C$46,$B28,$B28-($B28-Inputs!$C$37)*MIN(J$27-Inputs!$C$46,Inputs!$C$47)/Inputs!$C$47))</f>
        <v>4552.97808540502</v>
      </c>
      <c r="K28" s="15" t="n">
        <f aca="false">J28*(1+IF(K$27&lt;=Inputs!$C$46,$B28,$B28-($B28-Inputs!$C$37)*MIN(K$27-Inputs!$C$46,Inputs!$C$47)/Inputs!$C$47))</f>
        <v>4753.61746486881</v>
      </c>
      <c r="L28" s="15" t="n">
        <f aca="false">K28*(1+IF(L$27&lt;=Inputs!$C$46,$B28,$B28-($B28-Inputs!$C$37)*MIN(L$27-Inputs!$C$46,Inputs!$C$47)/Inputs!$C$47))</f>
        <v>4888.14483912459</v>
      </c>
    </row>
    <row r="29" customFormat="false" ht="15" hidden="false" customHeight="false" outlineLevel="0" collapsed="false">
      <c r="B29" s="23" t="n">
        <f aca="false">D$18</f>
        <v>0.127138617603885</v>
      </c>
      <c r="C29" s="15" t="n">
        <f aca="false">Inputs!$C$12*(1+IF(C$27&lt;=Inputs!$C$46,$B29,$B29-($B29-Inputs!$C$37)*MIN(C$27-Inputs!$C$46,Inputs!$C$47)/Inputs!$C$47))</f>
        <v>2479.70495872855</v>
      </c>
      <c r="D29" s="15" t="n">
        <f aca="false">C29*(1+IF(D$27&lt;=Inputs!$C$46,$B29,$B29-($B29-Inputs!$C$37)*MIN(D$27-Inputs!$C$46,Inputs!$C$47)/Inputs!$C$47))</f>
        <v>2794.97121924679</v>
      </c>
      <c r="E29" s="15" t="n">
        <f aca="false">D29*(1+IF(E$27&lt;=Inputs!$C$46,$B29,$B29-($B29-Inputs!$C$37)*MIN(E$27-Inputs!$C$46,Inputs!$C$47)/Inputs!$C$47))</f>
        <v>3150.31999630448</v>
      </c>
      <c r="F29" s="15" t="n">
        <f aca="false">E29*(1+IF(F$27&lt;=Inputs!$C$46,$B29,$B29-($B29-Inputs!$C$37)*MIN(F$27-Inputs!$C$46,Inputs!$C$47)/Inputs!$C$47))</f>
        <v>3550.8473256445</v>
      </c>
      <c r="G29" s="15" t="n">
        <f aca="false">F29*(1+IF(G$27&lt;=Inputs!$C$46,$B29,$B29-($B29-Inputs!$C$37)*MIN(G$27-Inputs!$C$46,Inputs!$C$47)/Inputs!$C$47))</f>
        <v>4002.2971459494</v>
      </c>
      <c r="H29" s="15" t="n">
        <f aca="false">G29*(1+IF(H$27&lt;=Inputs!$C$46,$B29,$B29-($B29-Inputs!$C$37)*MIN(H$27-Inputs!$C$46,Inputs!$C$47)/Inputs!$C$47))</f>
        <v>4432.02736889625</v>
      </c>
      <c r="I29" s="15" t="n">
        <f aca="false">H29*(1+IF(I$27&lt;=Inputs!$C$46,$B29,$B29-($B29-Inputs!$C$37)*MIN(I$27-Inputs!$C$46,Inputs!$C$47)/Inputs!$C$47))</f>
        <v>4820.28701843059</v>
      </c>
      <c r="J29" s="15" t="n">
        <f aca="false">I29*(1+IF(J$27&lt;=Inputs!$C$46,$B29,$B29-($B29-Inputs!$C$37)*MIN(J$27-Inputs!$C$46,Inputs!$C$47)/Inputs!$C$47))</f>
        <v>5147.27334319443</v>
      </c>
      <c r="K29" s="15" t="n">
        <f aca="false">J29*(1+IF(K$27&lt;=Inputs!$C$46,$B29,$B29-($B29-Inputs!$C$37)*MIN(K$27-Inputs!$C$46,Inputs!$C$47)/Inputs!$C$47))</f>
        <v>5394.69105514096</v>
      </c>
      <c r="L29" s="15" t="n">
        <f aca="false">K29*(1+IF(L$27&lt;=Inputs!$C$46,$B29,$B29-($B29-Inputs!$C$37)*MIN(L$27-Inputs!$C$46,Inputs!$C$47)/Inputs!$C$47))</f>
        <v>5547.36081200145</v>
      </c>
    </row>
    <row r="30" customFormat="false" ht="15" hidden="false" customHeight="false" outlineLevel="0" collapsed="false">
      <c r="B30" s="23" t="n">
        <f aca="false">E$18</f>
        <v>0.147138617603885</v>
      </c>
      <c r="C30" s="15" t="n">
        <f aca="false">Inputs!$C$12*(1+IF(C$27&lt;=Inputs!$C$46,$B30,$B30-($B30-Inputs!$C$37)*MIN(C$27-Inputs!$C$46,Inputs!$C$47)/Inputs!$C$47))</f>
        <v>2523.70495872855</v>
      </c>
      <c r="D30" s="15" t="n">
        <f aca="false">C30*(1+IF(D$27&lt;=Inputs!$C$46,$B30,$B30-($B30-Inputs!$C$37)*MIN(D$27-Inputs!$C$46,Inputs!$C$47)/Inputs!$C$47))</f>
        <v>2895.03941759593</v>
      </c>
      <c r="E30" s="15" t="n">
        <f aca="false">D30*(1+IF(E$27&lt;=Inputs!$C$46,$B30,$B30-($B30-Inputs!$C$37)*MIN(E$27-Inputs!$C$46,Inputs!$C$47)/Inputs!$C$47))</f>
        <v>3321.01151540976</v>
      </c>
      <c r="F30" s="15" t="n">
        <f aca="false">E30*(1+IF(F$27&lt;=Inputs!$C$46,$B30,$B30-($B30-Inputs!$C$37)*MIN(F$27-Inputs!$C$46,Inputs!$C$47)/Inputs!$C$47))</f>
        <v>3809.66055883373</v>
      </c>
      <c r="G30" s="15" t="n">
        <f aca="false">F30*(1+IF(G$27&lt;=Inputs!$C$46,$B30,$B30-($B30-Inputs!$C$37)*MIN(G$27-Inputs!$C$46,Inputs!$C$47)/Inputs!$C$47))</f>
        <v>4370.20874700057</v>
      </c>
      <c r="H30" s="15" t="n">
        <f aca="false">G30*(1+IF(H$27&lt;=Inputs!$C$46,$B30,$B30-($B30-Inputs!$C$37)*MIN(H$27-Inputs!$C$46,Inputs!$C$47)/Inputs!$C$47))</f>
        <v>4909.36530744785</v>
      </c>
      <c r="I30" s="15" t="n">
        <f aca="false">H30*(1+IF(I$27&lt;=Inputs!$C$46,$B30,$B30-($B30-Inputs!$C$37)*MIN(I$27-Inputs!$C$46,Inputs!$C$47)/Inputs!$C$47))</f>
        <v>5398.35365751837</v>
      </c>
      <c r="J30" s="15" t="n">
        <f aca="false">I30*(1+IF(J$27&lt;=Inputs!$C$46,$B30,$B30-($B30-Inputs!$C$37)*MIN(J$27-Inputs!$C$46,Inputs!$C$47)/Inputs!$C$47))</f>
        <v>5807.74022042468</v>
      </c>
      <c r="K30" s="15" t="n">
        <f aca="false">J30*(1+IF(K$27&lt;=Inputs!$C$46,$B30,$B30-($B30-Inputs!$C$37)*MIN(K$27-Inputs!$C$46,Inputs!$C$47)/Inputs!$C$47))</f>
        <v>6110.13603250225</v>
      </c>
      <c r="L30" s="15" t="n">
        <f aca="false">K30*(1+IF(L$27&lt;=Inputs!$C$46,$B30,$B30-($B30-Inputs!$C$37)*MIN(L$27-Inputs!$C$46,Inputs!$C$47)/Inputs!$C$47))</f>
        <v>6283.05288222206</v>
      </c>
    </row>
    <row r="31" customFormat="false" ht="15" hidden="false" customHeight="false" outlineLevel="0" collapsed="false">
      <c r="B31" s="23" t="n">
        <f aca="false">F$18</f>
        <v>0.167138617603885</v>
      </c>
      <c r="C31" s="15" t="n">
        <f aca="false">Inputs!$C$12*(1+IF(C$27&lt;=Inputs!$C$46,$B31,$B31-($B31-Inputs!$C$37)*MIN(C$27-Inputs!$C$46,Inputs!$C$47)/Inputs!$C$47))</f>
        <v>2567.70495872855</v>
      </c>
      <c r="D31" s="15" t="n">
        <f aca="false">C31*(1+IF(D$27&lt;=Inputs!$C$46,$B31,$B31-($B31-Inputs!$C$37)*MIN(D$27-Inputs!$C$46,Inputs!$C$47)/Inputs!$C$47))</f>
        <v>2996.86761594508</v>
      </c>
      <c r="E31" s="15" t="n">
        <f aca="false">D31*(1+IF(E$27&lt;=Inputs!$C$46,$B31,$B31-($B31-Inputs!$C$37)*MIN(E$27-Inputs!$C$46,Inputs!$C$47)/Inputs!$C$47))</f>
        <v>3497.75992641599</v>
      </c>
      <c r="F31" s="15" t="n">
        <f aca="false">E31*(1+IF(F$27&lt;=Inputs!$C$46,$B31,$B31-($B31-Inputs!$C$37)*MIN(F$27-Inputs!$C$46,Inputs!$C$47)/Inputs!$C$47))</f>
        <v>4082.37068522742</v>
      </c>
      <c r="G31" s="15" t="n">
        <f aca="false">F31*(1+IF(G$27&lt;=Inputs!$C$46,$B31,$B31-($B31-Inputs!$C$37)*MIN(G$27-Inputs!$C$46,Inputs!$C$47)/Inputs!$C$47))</f>
        <v>4764.69247810295</v>
      </c>
      <c r="H31" s="15" t="n">
        <f aca="false">G31*(1+IF(H$27&lt;=Inputs!$C$46,$B31,$B31-($B31-Inputs!$C$37)*MIN(H$27-Inputs!$C$46,Inputs!$C$47)/Inputs!$C$47))</f>
        <v>5428.75192880722</v>
      </c>
      <c r="I31" s="15" t="n">
        <f aca="false">H31*(1+IF(I$27&lt;=Inputs!$C$46,$B31,$B31-($B31-Inputs!$C$37)*MIN(I$27-Inputs!$C$46,Inputs!$C$47)/Inputs!$C$47))</f>
        <v>6034.61785625848</v>
      </c>
      <c r="J31" s="15" t="n">
        <f aca="false">I31*(1+IF(J$27&lt;=Inputs!$C$46,$B31,$B31-($B31-Inputs!$C$37)*MIN(J$27-Inputs!$C$46,Inputs!$C$47)/Inputs!$C$47))</f>
        <v>6540.53274196285</v>
      </c>
      <c r="K31" s="15" t="n">
        <f aca="false">J31*(1+IF(K$27&lt;=Inputs!$C$46,$B31,$B31-($B31-Inputs!$C$37)*MIN(K$27-Inputs!$C$46,Inputs!$C$47)/Inputs!$C$47))</f>
        <v>6907.24552341781</v>
      </c>
      <c r="L31" s="15" t="n">
        <f aca="false">K31*(1+IF(L$27&lt;=Inputs!$C$46,$B31,$B31-($B31-Inputs!$C$37)*MIN(L$27-Inputs!$C$46,Inputs!$C$47)/Inputs!$C$47))</f>
        <v>7102.72057173053</v>
      </c>
    </row>
    <row r="32" customFormat="false" ht="15" hidden="false" customHeight="false" outlineLevel="0" collapsed="false">
      <c r="B32" s="23" t="n">
        <f aca="false">G$18</f>
        <v>0.187138617603885</v>
      </c>
      <c r="C32" s="15" t="n">
        <f aca="false">Inputs!$C$12*(1+IF(C$27&lt;=Inputs!$C$46,$B32,$B32-($B32-Inputs!$C$37)*MIN(C$27-Inputs!$C$46,Inputs!$C$47)/Inputs!$C$47))</f>
        <v>2611.70495872855</v>
      </c>
      <c r="D32" s="15" t="n">
        <f aca="false">C32*(1+IF(D$27&lt;=Inputs!$C$46,$B32,$B32-($B32-Inputs!$C$37)*MIN(D$27-Inputs!$C$46,Inputs!$C$47)/Inputs!$C$47))</f>
        <v>3100.45581429422</v>
      </c>
      <c r="E32" s="15" t="n">
        <f aca="false">D32*(1+IF(E$27&lt;=Inputs!$C$46,$B32,$B32-($B32-Inputs!$C$37)*MIN(E$27-Inputs!$C$46,Inputs!$C$47)/Inputs!$C$47))</f>
        <v>3680.67082932316</v>
      </c>
      <c r="F32" s="15" t="n">
        <f aca="false">E32*(1+IF(F$27&lt;=Inputs!$C$46,$B32,$B32-($B32-Inputs!$C$37)*MIN(F$27-Inputs!$C$46,Inputs!$C$47)/Inputs!$C$47))</f>
        <v>4369.46648017765</v>
      </c>
      <c r="G32" s="15" t="n">
        <f aca="false">F32*(1+IF(G$27&lt;=Inputs!$C$46,$B32,$B32-($B32-Inputs!$C$37)*MIN(G$27-Inputs!$C$46,Inputs!$C$47)/Inputs!$C$47))</f>
        <v>5187.1623969446</v>
      </c>
      <c r="H32" s="15" t="n">
        <f aca="false">G32*(1+IF(H$27&lt;=Inputs!$C$46,$B32,$B32-($B32-Inputs!$C$37)*MIN(H$27-Inputs!$C$46,Inputs!$C$47)/Inputs!$C$47))</f>
        <v>5993.09645631216</v>
      </c>
      <c r="I32" s="15" t="n">
        <f aca="false">H32*(1+IF(I$27&lt;=Inputs!$C$46,$B32,$B32-($B32-Inputs!$C$37)*MIN(I$27-Inputs!$C$46,Inputs!$C$47)/Inputs!$C$47))</f>
        <v>6733.86217979821</v>
      </c>
      <c r="J32" s="15" t="n">
        <f aca="false">I32*(1+IF(J$27&lt;=Inputs!$C$46,$B32,$B32-($B32-Inputs!$C$37)*MIN(J$27-Inputs!$C$46,Inputs!$C$47)/Inputs!$C$47))</f>
        <v>7352.2694233962</v>
      </c>
      <c r="K32" s="15" t="n">
        <f aca="false">J32*(1+IF(K$27&lt;=Inputs!$C$46,$B32,$B32-($B32-Inputs!$C$37)*MIN(K$27-Inputs!$C$46,Inputs!$C$47)/Inputs!$C$47))</f>
        <v>7793.90351037102</v>
      </c>
      <c r="L32" s="15" t="n">
        <f aca="false">K32*(1+IF(L$27&lt;=Inputs!$C$46,$B32,$B32-($B32-Inputs!$C$37)*MIN(L$27-Inputs!$C$46,Inputs!$C$47)/Inputs!$C$47))</f>
        <v>8014.47097971452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50"/>
  </cols>
  <sheetData>
    <row r="2" customFormat="false" ht="19.7" hidden="false" customHeight="false" outlineLevel="0" collapsed="false">
      <c r="B2" s="1" t="s">
        <v>241</v>
      </c>
    </row>
    <row r="3" customFormat="false" ht="15" hidden="false" customHeight="false" outlineLevel="0" collapsed="false">
      <c r="B3" s="2" t="s">
        <v>242</v>
      </c>
    </row>
    <row r="5" customFormat="false" ht="15" hidden="false" customHeight="false" outlineLevel="0" collapsed="false">
      <c r="B5" s="28" t="s">
        <v>243</v>
      </c>
      <c r="C5" s="28" t="s">
        <v>244</v>
      </c>
      <c r="D5" s="28" t="s">
        <v>245</v>
      </c>
      <c r="E5" s="28" t="s">
        <v>246</v>
      </c>
      <c r="F5" s="28" t="s">
        <v>247</v>
      </c>
    </row>
    <row r="6" customFormat="false" ht="15" hidden="false" customHeight="false" outlineLevel="0" collapsed="false">
      <c r="B6" s="5" t="s">
        <v>13</v>
      </c>
      <c r="C6" s="12" t="n">
        <f aca="false">Inputs!$C$23</f>
        <v>0.518181818181818</v>
      </c>
      <c r="D6" s="24" t="n">
        <v>0.51818182</v>
      </c>
      <c r="E6" s="49" t="n">
        <f aca="false">C6-D6</f>
        <v>-1.81818182731774E-009</v>
      </c>
      <c r="F6" s="5" t="str">
        <f aca="false">IF(ABS(E6)&lt;=0.00005,"Pass","Check")</f>
        <v>Pass</v>
      </c>
    </row>
    <row r="7" customFormat="false" ht="15" hidden="false" customHeight="false" outlineLevel="0" collapsed="false">
      <c r="B7" s="5" t="s">
        <v>137</v>
      </c>
      <c r="C7" s="50" t="n">
        <f aca="false">WACC!$C$14</f>
        <v>0.609131529999621</v>
      </c>
      <c r="D7" s="51" t="n">
        <v>0.60913153</v>
      </c>
      <c r="E7" s="49" t="n">
        <f aca="false">C7-D7</f>
        <v>-3.78919118304566E-013</v>
      </c>
      <c r="F7" s="5" t="str">
        <f aca="false">IF(ABS(E7)&lt;=0.0005,"Pass","Check")</f>
        <v>Pass</v>
      </c>
    </row>
    <row r="8" customFormat="false" ht="15" hidden="false" customHeight="false" outlineLevel="0" collapsed="false">
      <c r="B8" s="5" t="s">
        <v>11</v>
      </c>
      <c r="C8" s="12" t="n">
        <f aca="false">WACC!$C$37</f>
        <v>0.0777967762761046</v>
      </c>
      <c r="D8" s="24" t="n">
        <v>0.07779678</v>
      </c>
      <c r="E8" s="49" t="n">
        <f aca="false">C8-D8</f>
        <v>-3.72389540037599E-009</v>
      </c>
      <c r="F8" s="5" t="str">
        <f aca="false">IF(ABS(E8)&lt;=0.00005,"Pass","Check")</f>
        <v>Pass</v>
      </c>
    </row>
    <row r="9" customFormat="false" ht="15" hidden="false" customHeight="false" outlineLevel="0" collapsed="false">
      <c r="B9" s="5" t="s">
        <v>12</v>
      </c>
      <c r="C9" s="12" t="n">
        <f aca="false">Inputs!$C$37</f>
        <v>0.0283</v>
      </c>
      <c r="D9" s="24" t="n">
        <v>0.0283</v>
      </c>
      <c r="E9" s="49" t="n">
        <f aca="false">C9-D9</f>
        <v>0</v>
      </c>
      <c r="F9" s="5" t="str">
        <f aca="false">IF(ABS(E9)&lt;=0.00005,"Pass","Check")</f>
        <v>Pass</v>
      </c>
    </row>
    <row r="10" customFormat="false" ht="15" hidden="false" customHeight="false" outlineLevel="0" collapsed="false">
      <c r="B10" s="5" t="s">
        <v>248</v>
      </c>
      <c r="C10" s="12" t="n">
        <f aca="false">Inputs!$C$43</f>
        <v>0.147138617603885</v>
      </c>
      <c r="D10" s="24" t="n">
        <v>0.14713862</v>
      </c>
      <c r="E10" s="49" t="n">
        <f aca="false">C10-D10</f>
        <v>-2.39611516739124E-009</v>
      </c>
      <c r="F10" s="5" t="str">
        <f aca="false">IF(ABS(E10)&lt;=0.00005,"Pass","Check")</f>
        <v>Pass</v>
      </c>
    </row>
    <row r="11" customFormat="false" ht="15" hidden="false" customHeight="false" outlineLevel="0" collapsed="false">
      <c r="B11" s="5" t="s">
        <v>249</v>
      </c>
      <c r="C11" s="12" t="n">
        <f aca="false">Solver!$W$7</f>
        <v>0.0293463141656503</v>
      </c>
      <c r="D11" s="24" t="n">
        <v>0.02934633</v>
      </c>
      <c r="E11" s="49" t="n">
        <f aca="false">C11-D11</f>
        <v>-1.58343497445868E-008</v>
      </c>
      <c r="F11" s="5" t="str">
        <f aca="false">IF(ABS(E11)&lt;=0.00005,"Pass","Check")</f>
        <v>Pass</v>
      </c>
    </row>
    <row r="12" customFormat="false" ht="15" hidden="false" customHeight="false" outlineLevel="0" collapsed="false">
      <c r="B12" s="5" t="s">
        <v>250</v>
      </c>
      <c r="C12" s="12" t="n">
        <f aca="false">Sensitivity!$E$14</f>
        <v>0.0615584552288055</v>
      </c>
      <c r="D12" s="24" t="n">
        <v>0.06155839</v>
      </c>
      <c r="E12" s="49" t="n">
        <f aca="false">C12-D12</f>
        <v>6.52288055444372E-008</v>
      </c>
      <c r="F12" s="5" t="str">
        <f aca="false">IF(ABS(E12)&lt;=0.0002,"Pass","Check")</f>
        <v>Pass</v>
      </c>
    </row>
    <row r="13" customFormat="false" ht="15" hidden="false" customHeight="false" outlineLevel="0" collapsed="false">
      <c r="B13" s="5" t="s">
        <v>251</v>
      </c>
      <c r="C13" s="6" t="n">
        <f aca="false">DCF!$C$41</f>
        <v>208.814159668799</v>
      </c>
      <c r="D13" s="20" t="n">
        <v>208.81415967</v>
      </c>
      <c r="E13" s="49" t="n">
        <f aca="false">C13-D13</f>
        <v>-1.20144250104204E-009</v>
      </c>
      <c r="F13" s="5" t="str">
        <f aca="false">IF(ABS(E13)&lt;=0.0208814159668799,"Pass","Check")</f>
        <v>Pass</v>
      </c>
    </row>
    <row r="14" customFormat="false" ht="15" hidden="false" customHeight="false" outlineLevel="0" collapsed="false">
      <c r="B14" s="5" t="s">
        <v>252</v>
      </c>
      <c r="C14" s="6" t="n">
        <f aca="false">DCF!$C$21-DCF!$C$22</f>
        <v>5.16976683684334E-010</v>
      </c>
      <c r="D14" s="20" t="n">
        <v>0</v>
      </c>
      <c r="E14" s="49" t="n">
        <f aca="false">C14-D14</f>
        <v>5.16976683684334E-010</v>
      </c>
      <c r="F14" s="5" t="str">
        <f aca="false">IF(ABS(E14)&lt;=0.01,"Pass","Check")</f>
        <v>Pass</v>
      </c>
      <c r="G14" s="19" t="s">
        <v>253</v>
      </c>
    </row>
    <row r="16" customFormat="false" ht="15" hidden="false" customHeight="false" outlineLevel="0" collapsed="false">
      <c r="B16" s="38" t="s">
        <v>254</v>
      </c>
      <c r="C16" s="7" t="str">
        <f aca="false">IF(COUNTIF(F6:F14,"Pass")=9,"All checks pass","Review")</f>
        <v>All checks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2026-10-14T16:48:46Z</dcterms:created>
  <dc:creator>openpyxl</dc:creator>
  <dc:description/>
  <dc:language>en-US</dc:language>
  <cp:lastModifiedBy/>
  <dcterms:modified xsi:type="dcterms:W3CDTF">2026-10-14T16:48:46Z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