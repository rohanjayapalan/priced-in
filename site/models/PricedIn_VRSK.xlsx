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<sst xmlns="http://schemas.openxmlformats.org/spreadsheetml/2006/main" count="833" uniqueCount="242">
  <si>
    <t xml:space="preserve">Priced In: Verisk (VRSK)</t>
  </si>
  <si>
    <t xml:space="preserve">Reverse DCF, model v1.0. Inputs as of the Oct 13, 2026 close; model locked Oct 14, 2026 (commit 0735af0).</t>
  </si>
  <si>
    <t xml:space="preserve">Data and software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</si>
  <si>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</si>
  <si>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</si>
  <si>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</si>
  <si>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</si>
  <si>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</si>
  <si>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</si>
  <si>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</si>
  <si>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</si>
  <si>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</si>
  <si>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</si>
  <si>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</si>
  <si>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</si>
  <si>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</si>
  <si>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</si>
  <si>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</si>
  <si>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</si>
  <si>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</si>
  <si>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</si>
  <si>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</si>
  <si>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</si>
  <si>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</si>
  <si>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</si>
  <si>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</si>
  <si>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</si>
  <si>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</si>
  <si>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</si>
  <si>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</si>
  <si>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Verisk (VRSK):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</si>
  <si>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</si>
  <si>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</si>
  <si>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</si>
  <si>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</si>
  <si>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</si>
  <si>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</si>
  <si>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</si>
  <si>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</si>
  <si>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</si>
  <si>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</si>
  <si>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</si>
  <si>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</si>
  <si>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</si>
  <si>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</si>
  <si>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</si>
  <si>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</si>
  <si>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</si>
  <si>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</si>
  <si>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</si>
  <si>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</si>
  <si>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</si>
  <si>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</si>
  <si>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</si>
  <si>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</si>
  <si>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</si>
  <si>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</si>
  <si>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</si>
  <si>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</si>
  <si>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</si>
  <si>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</si>
  <si>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</si>
  <si>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</si>
  <si>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</si>
  <si>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</si>
  <si>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</si>
  <si>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</si>
  <si>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</si>
  <si>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</si>
  <si>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</si>
  <si>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</si>
  <si>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</si>
  <si>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</si>
  <si>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</si>
  <si>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</si>
  <si>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</si>
  <si>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</si>
  <si>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</si>
  <si>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</si>
  <si>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</si>
  <si>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</si>
  <si>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FY2023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</si>
  <si>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</si>
  <si>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</si>
  <si>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</si>
  <si>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</si>
  <si>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</si>
  <si>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</si>
  <si>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</si>
  <si>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</si>
  <si>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</si>
  <si>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</si>
  <si>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</si>
  <si>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</si>
  <si>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Verisk (VRSK):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</si>
  <si>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</si>
  <si>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</si>
  <si>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</si>
  <si>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</si>
  <si>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</si>
  <si>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</si>
  <si>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</si>
  <si>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</si>
  <si>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</si>
  <si>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</si>
  <si>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Source note: divestitures reduce reported history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</si>
  <si>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</si>
  <si>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</si>
  <si>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</si>
  <si>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</si>
  <si>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FY2023 to the 12 months ended June 2026. Starts after Verisk sold its non-insurance units so the window is like for like.</t>
  </si>
  <si>
    <t xml:space="preserve">Verisk (VRSK):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</si>
  <si>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</si>
  <si>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</si>
  <si>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</si>
  <si>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</si>
  <si>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</si>
  <si>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</si>
  <si>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FactSet (FDS)</t>
  </si>
  <si>
    <t xml:space="preserve">Raw betas: 60 monthly returns to Sep 2026 against the S&amp;P 500 (S&amp;P/TSX for TMX); Cboe uses Stock Analysis's 5-year beta. Debt and equity from Stock Analysis, Oct 13, 2026.</t>
  </si>
  <si>
    <t xml:space="preserve">Thomson Reuters (TRI)</t>
  </si>
  <si>
    <t xml:space="preserve">Broadridge (BR)</t>
  </si>
  <si>
    <t xml:space="preserve">SS&amp;C Technologies (SSNC)</t>
  </si>
  <si>
    <t xml:space="preserve">Verisk (VRSK)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</si>
  <si>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</si>
  <si>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</si>
  <si>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</si>
  <si>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</si>
  <si>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</si>
  <si>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</si>
  <si>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</si>
  <si>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</si>
  <si>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</si>
  <si>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</si>
  <si>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</si>
  <si>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</si>
  <si>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</si>
  <si>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</si>
  <si>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</si>
  <si>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</si>
  <si>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</si>
  <si>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</si>
  <si>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</si>
  <si>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</si>
  <si>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</si>
  <si>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</si>
  <si>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</si>
  <si>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</si>
  <si>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</si>
  <si>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</si>
  <si>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</si>
  <si>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</si>
  <si>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</si>
  <si>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</si>
  <si>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</si>
  <si>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</si>
  <si>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</si>
  <si>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</si>
  <si>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</si>
  <si>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</si>
  <si>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</si>
  <si>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</si>
  <si>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</si>
  <si>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</si>
  <si>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</si>
  <si>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</si>
  <si>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</si>
  <si>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</si>
  <si>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</si>
  <si>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</si>
  <si>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</si>
  <si>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</si>
  <si>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</si>
  <si>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</si>
  <si>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</si>
  <si>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</si>
  <si>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</si>
  <si>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</si>
  <si>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</si>
  <si>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</si>
  <si>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</si>
  <si>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</si>
  <si>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</si>
  <si>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</si>
  <si>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</si>
  <si>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</si>
  <si>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</si>
  <si>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</si>
  <si>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</si>
  <si>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</si>
  <si>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</si>
  <si>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</si>
  <si>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</si>
  <si>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</si>
  <si>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</si>
  <si>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</si>
  <si>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</si>
  <si>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</si>
  <si>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</si>
  <si>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</si>
  <si>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Verisk (VRSK):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</si>
  <si>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</si>
  <si>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</si>
  <si>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</si>
  <si>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</si>
  <si>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</si>
  <si>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</si>
  <si>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</si>
  <si>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</si>
  <si>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</si>
  <si>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</si>
  <si>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</si>
  <si>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</si>
  <si>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</si>
  <si>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</si>
  <si>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</si>
  <si>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</si>
  <si>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</si>
  <si>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Verisk (VRSK):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</si>
  <si>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</si>
  <si>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</si>
  <si>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</si>
  <si>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</si>
  <si>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</si>
  <si>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</si>
  <si>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</si>
  <si>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$176.63.</t>
  </si>
  <si>
    <t xml:space="preserve">Helper: revenue paths for each growth view (years 1 to 10)</t>
  </si>
  <si>
    <t xml:space="preserve">Verisk (VRSK):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</si>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</sst>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176.628764597419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0.0263669797582224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0.0627554448798554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-0.036388465121633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WACC!$C$35</f>
        <v>0.0819413943493295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0.454617834394904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0.0627554448798554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225.522260220915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0.276815023503887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3140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0.0627554448798554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176.628764597419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130.16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22990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3140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3140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1240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1240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1240</v>
      </c>
    </row>
    <row r="17" customFormat="false" ht="15" hidden="false" customHeight="false" outlineLevel="0" collapsed="false">
      <c r="B17" s="5" t="s">
        <v>50</v>
      </c>
      <c r="C17" s="14" t="n">
        <v>1410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1160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250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187.5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1427.5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0.454617834394904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1520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4620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552.2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4067.8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0.0647108897597108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0.0608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0.0627554448798554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0.0627554448798554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2463</v>
      </c>
      <c r="D6" s="14" t="n">
        <v>2497</v>
      </c>
      <c r="E6" s="14" t="n">
        <v>2681</v>
      </c>
      <c r="F6" s="14" t="n">
        <v>2882</v>
      </c>
      <c r="G6" s="14" t="n">
        <v>3073</v>
      </c>
      <c r="H6" s="14" t="n">
        <v>3136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0.0138043036946813</v>
      </c>
      <c r="E7" s="23" t="n">
        <f aca="false">E6/D6-1</f>
        <v>0.0736884261113335</v>
      </c>
      <c r="F7" s="23" t="n">
        <f aca="false">F6/E6-1</f>
        <v>0.0749720253636703</v>
      </c>
      <c r="G7" s="23" t="n">
        <f aca="false">G6/F6-1</f>
        <v>0.0662734212352534</v>
      </c>
    </row>
    <row r="8" customFormat="false" ht="15" hidden="false" customHeight="false" outlineLevel="0" collapsed="false">
      <c r="B8" s="19" t="s">
        <v>105</v>
      </c>
    </row>
    <row r="10" customFormat="false" ht="15" hidden="false" customHeight="false" outlineLevel="0" collapsed="false">
      <c r="B10" s="3" t="s">
        <v>106</v>
      </c>
    </row>
    <row r="11" customFormat="false" ht="15" hidden="false" customHeight="false" outlineLevel="0" collapsed="false">
      <c r="B11" s="5" t="s">
        <v>107</v>
      </c>
      <c r="C11" s="29" t="s">
        <v>99</v>
      </c>
      <c r="E11" s="5" t="s">
        <v>108</v>
      </c>
      <c r="G11" s="30" t="n">
        <v>2.5</v>
      </c>
    </row>
    <row r="12" customFormat="false" ht="15" hidden="false" customHeight="false" outlineLevel="0" collapsed="false">
      <c r="B12" s="5" t="s">
        <v>109</v>
      </c>
      <c r="C12" s="23" t="n">
        <f aca="false">(H6/INDEX(C6:H6,MATCH(C11,C5:H5,0)))^(1/G11)-1</f>
        <v>0.0647108897597108</v>
      </c>
      <c r="I12" s="1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111</v>
      </c>
    </row>
    <row r="3" customFormat="false" ht="15" hidden="false" customHeight="false" outlineLevel="0" collapsed="false">
      <c r="B3" s="2" t="s">
        <v>112</v>
      </c>
    </row>
    <row r="5" customFormat="false" ht="15" hidden="false" customHeight="false" outlineLevel="0" collapsed="false">
      <c r="B5" s="28" t="s">
        <v>113</v>
      </c>
      <c r="C5" s="28" t="s">
        <v>114</v>
      </c>
      <c r="D5" s="28" t="s">
        <v>115</v>
      </c>
      <c r="E5" s="28" t="s">
        <v>116</v>
      </c>
      <c r="F5" s="28" t="s">
        <v>55</v>
      </c>
      <c r="G5" s="28" t="s">
        <v>117</v>
      </c>
    </row>
    <row r="6" customFormat="false" ht="15" hidden="false" customHeight="false" outlineLevel="0" collapsed="false">
      <c r="B6" s="5" t="s">
        <v>118</v>
      </c>
      <c r="C6" s="31" t="n">
        <v>0.769330232518927</v>
      </c>
      <c r="D6" s="14" t="n">
        <v>1540</v>
      </c>
      <c r="E6" s="14" t="n">
        <v>10290</v>
      </c>
      <c r="F6" s="22" t="n">
        <v>0.25</v>
      </c>
      <c r="G6" s="32" t="n">
        <f aca="false">C6/(1+(1-F6)*D6/E6)</f>
        <v>0.691691401714264</v>
      </c>
      <c r="H6" s="19" t="s">
        <v>119</v>
      </c>
    </row>
    <row r="7" customFormat="false" ht="15" hidden="false" customHeight="false" outlineLevel="0" collapsed="false">
      <c r="B7" s="5" t="s">
        <v>120</v>
      </c>
      <c r="C7" s="31" t="n">
        <v>0.766558343640791</v>
      </c>
      <c r="D7" s="14" t="n">
        <v>3210</v>
      </c>
      <c r="E7" s="14" t="n">
        <v>45600</v>
      </c>
      <c r="F7" s="22" t="n">
        <v>0.25</v>
      </c>
      <c r="G7" s="32" t="n">
        <f aca="false">C7/(1+(1-F7)*D7/E7)</f>
        <v>0.728116658230903</v>
      </c>
    </row>
    <row r="8" customFormat="false" ht="15" hidden="false" customHeight="false" outlineLevel="0" collapsed="false">
      <c r="B8" s="5" t="s">
        <v>121</v>
      </c>
      <c r="C8" s="31" t="n">
        <v>0.923134711556654</v>
      </c>
      <c r="D8" s="14" t="n">
        <v>3520</v>
      </c>
      <c r="E8" s="14" t="n">
        <v>19020</v>
      </c>
      <c r="F8" s="22" t="n">
        <v>0.25</v>
      </c>
      <c r="G8" s="32" t="n">
        <f aca="false">C8/(1+(1-F8)*D8/E8)</f>
        <v>0.810619677461106</v>
      </c>
    </row>
    <row r="9" customFormat="false" ht="15" hidden="false" customHeight="false" outlineLevel="0" collapsed="false">
      <c r="B9" s="5" t="s">
        <v>122</v>
      </c>
      <c r="C9" s="31" t="n">
        <v>1.08729648487927</v>
      </c>
      <c r="D9" s="14" t="n">
        <v>7780</v>
      </c>
      <c r="E9" s="14" t="n">
        <v>19010</v>
      </c>
      <c r="F9" s="22" t="n">
        <v>0.25</v>
      </c>
      <c r="G9" s="32" t="n">
        <f aca="false">C9/(1+(1-F9)*D9/E9)</f>
        <v>0.83193826434111</v>
      </c>
    </row>
    <row r="10" customFormat="false" ht="15" hidden="false" customHeight="false" outlineLevel="0" collapsed="false">
      <c r="B10" s="7" t="s">
        <v>123</v>
      </c>
      <c r="C10" s="31" t="n">
        <v>0.687897840873463</v>
      </c>
      <c r="D10" s="14" t="n">
        <v>4620</v>
      </c>
      <c r="E10" s="14" t="n">
        <v>22990</v>
      </c>
      <c r="F10" s="22" t="n">
        <v>0.25</v>
      </c>
      <c r="G10" s="32" t="n">
        <f aca="false">C10/(1+(1-F10)*D10/E10)</f>
        <v>0.597798955270493</v>
      </c>
    </row>
    <row r="12" customFormat="false" ht="15" hidden="false" customHeight="false" outlineLevel="0" collapsed="false">
      <c r="B12" s="5" t="s">
        <v>124</v>
      </c>
      <c r="C12" s="32" t="n">
        <f aca="false">MEDIAN(G6:G10)</f>
        <v>0.728116658230903</v>
      </c>
    </row>
    <row r="13" customFormat="false" ht="15" hidden="false" customHeight="false" outlineLevel="0" collapsed="false">
      <c r="B13" s="5" t="s">
        <v>115</v>
      </c>
      <c r="C13" s="16" t="n">
        <f aca="false">Inputs!$C$27</f>
        <v>4620</v>
      </c>
    </row>
    <row r="14" customFormat="false" ht="15" hidden="false" customHeight="false" outlineLevel="0" collapsed="false">
      <c r="B14" s="5" t="s">
        <v>37</v>
      </c>
      <c r="C14" s="16" t="n">
        <f aca="false">Inputs!$C$8</f>
        <v>22990</v>
      </c>
    </row>
    <row r="15" customFormat="false" ht="15" hidden="false" customHeight="false" outlineLevel="0" collapsed="false">
      <c r="B15" s="5" t="s">
        <v>55</v>
      </c>
      <c r="C15" s="9" t="n">
        <f aca="false">Inputs!$C$20</f>
        <v>0.25</v>
      </c>
    </row>
    <row r="16" customFormat="false" ht="15" hidden="false" customHeight="false" outlineLevel="0" collapsed="false">
      <c r="B16" s="5" t="s">
        <v>125</v>
      </c>
      <c r="C16" s="32" t="n">
        <f aca="false">WACC!$C$12*(1+(1-WACC!$C$15)*WACC!$C$13/WACC!$C$14)</f>
        <v>0.837856728729819</v>
      </c>
      <c r="H16" s="19" t="s">
        <v>126</v>
      </c>
    </row>
    <row r="17" customFormat="false" ht="15" hidden="false" customHeight="false" outlineLevel="0" collapsed="false">
      <c r="B17" s="5" t="s">
        <v>127</v>
      </c>
      <c r="C17" s="12" t="n">
        <f aca="false">Inputs!$C$35</f>
        <v>0.0521</v>
      </c>
    </row>
    <row r="18" customFormat="false" ht="15" hidden="false" customHeight="false" outlineLevel="0" collapsed="false">
      <c r="B18" s="5" t="s">
        <v>77</v>
      </c>
      <c r="C18" s="12" t="n">
        <f aca="false">Inputs!$C$38</f>
        <v>0.0423</v>
      </c>
    </row>
    <row r="19" customFormat="false" ht="15" hidden="false" customHeight="false" outlineLevel="0" collapsed="false">
      <c r="B19" s="5" t="s">
        <v>128</v>
      </c>
      <c r="C19" s="25" t="n">
        <f aca="false">WACC!$C$17+WACC!$C$16*WACC!$C$18</f>
        <v>0.0875413396252713</v>
      </c>
      <c r="H19" s="19" t="s">
        <v>129</v>
      </c>
    </row>
    <row r="21" customFormat="false" ht="15" hidden="false" customHeight="false" outlineLevel="0" collapsed="false">
      <c r="B21" s="3" t="s">
        <v>130</v>
      </c>
    </row>
    <row r="22" customFormat="false" ht="15" hidden="false" customHeight="false" outlineLevel="0" collapsed="false">
      <c r="B22" s="28" t="s">
        <v>131</v>
      </c>
      <c r="C22" s="28" t="s">
        <v>132</v>
      </c>
    </row>
    <row r="23" customFormat="false" ht="15" hidden="false" customHeight="false" outlineLevel="0" collapsed="false">
      <c r="B23" s="33" t="n">
        <v>1</v>
      </c>
      <c r="C23" s="24" t="n">
        <v>0.01</v>
      </c>
      <c r="H23" s="19" t="s">
        <v>133</v>
      </c>
    </row>
    <row r="24" customFormat="false" ht="15" hidden="false" customHeight="false" outlineLevel="0" collapsed="false">
      <c r="B24" s="33" t="n">
        <v>2</v>
      </c>
      <c r="C24" s="24" t="n">
        <v>0.0125</v>
      </c>
    </row>
    <row r="25" customFormat="false" ht="15" hidden="false" customHeight="false" outlineLevel="0" collapsed="false">
      <c r="B25" s="33" t="n">
        <v>3</v>
      </c>
      <c r="C25" s="24" t="n">
        <v>0.016</v>
      </c>
    </row>
    <row r="26" customFormat="false" ht="15" hidden="false" customHeight="false" outlineLevel="0" collapsed="false">
      <c r="B26" s="33" t="n">
        <v>4</v>
      </c>
      <c r="C26" s="24" t="n">
        <v>0.02</v>
      </c>
    </row>
    <row r="27" customFormat="false" ht="15" hidden="false" customHeight="false" outlineLevel="0" collapsed="false">
      <c r="B27" s="33" t="n">
        <v>99</v>
      </c>
      <c r="C27" s="24" t="n">
        <v>0.0275</v>
      </c>
    </row>
    <row r="29" customFormat="false" ht="15" hidden="false" customHeight="false" outlineLevel="0" collapsed="false">
      <c r="B29" s="5" t="s">
        <v>134</v>
      </c>
      <c r="C29" s="34" t="n">
        <f aca="false">Inputs!$C$27/Inputs!$C$24</f>
        <v>3.03947368421053</v>
      </c>
    </row>
    <row r="30" customFormat="false" ht="15" hidden="false" customHeight="false" outlineLevel="0" collapsed="false">
      <c r="B30" s="5" t="s">
        <v>135</v>
      </c>
      <c r="C30" s="25" t="n">
        <f aca="false">INDEX(C23:C27,COUNTIF(B23:B27,"&lt;="&amp;WACC!$C$29)+1)</f>
        <v>0.02</v>
      </c>
      <c r="H30" s="19" t="s">
        <v>136</v>
      </c>
    </row>
    <row r="31" customFormat="false" ht="15" hidden="false" customHeight="false" outlineLevel="0" collapsed="false">
      <c r="B31" s="5" t="s">
        <v>137</v>
      </c>
      <c r="C31" s="25" t="n">
        <f aca="false">WACC!$C$17+WACC!$C$30</f>
        <v>0.0721</v>
      </c>
    </row>
    <row r="32" customFormat="false" ht="15" hidden="false" customHeight="false" outlineLevel="0" collapsed="false">
      <c r="B32" s="5" t="s">
        <v>138</v>
      </c>
      <c r="C32" s="25" t="n">
        <f aca="false">WACC!$C$31*(1-WACC!$C$15)</f>
        <v>0.054075</v>
      </c>
    </row>
    <row r="33" customFormat="false" ht="15" hidden="false" customHeight="false" outlineLevel="0" collapsed="false">
      <c r="B33" s="5" t="s">
        <v>139</v>
      </c>
      <c r="C33" s="23" t="n">
        <f aca="false">WACC!$C$13/(WACC!$C$13+WACC!$C$14)</f>
        <v>0.167330677290837</v>
      </c>
      <c r="H33" s="19" t="s">
        <v>140</v>
      </c>
    </row>
    <row r="34" customFormat="false" ht="15" hidden="false" customHeight="false" outlineLevel="0" collapsed="false">
      <c r="B34" s="5" t="s">
        <v>141</v>
      </c>
      <c r="C34" s="23" t="n">
        <f aca="false">1-WACC!$C$33</f>
        <v>0.832669322709163</v>
      </c>
    </row>
    <row r="35" customFormat="false" ht="15" hidden="false" customHeight="false" outlineLevel="0" collapsed="false">
      <c r="B35" s="5" t="s">
        <v>11</v>
      </c>
      <c r="C35" s="35" t="n">
        <f aca="false">WACC!$C$34*WACC!$C$19+WACC!$C$33*WACC!$C$32</f>
        <v>0.0819413943493295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142</v>
      </c>
    </row>
    <row r="2" customFormat="false" ht="15" hidden="false" customHeight="false" outlineLevel="0" collapsed="false">
      <c r="B2" s="5" t="s">
        <v>143</v>
      </c>
      <c r="C2" s="16" t="n">
        <f aca="false">Inputs!$C$12</f>
        <v>3140</v>
      </c>
      <c r="D2" s="5" t="s">
        <v>144</v>
      </c>
      <c r="E2" s="9" t="n">
        <f aca="false">Inputs!$C$23</f>
        <v>0.454617834394904</v>
      </c>
      <c r="F2" s="5" t="s">
        <v>145</v>
      </c>
      <c r="G2" s="16" t="n">
        <f aca="false">Inputs!$C$27</f>
        <v>4620</v>
      </c>
      <c r="H2" s="5" t="s">
        <v>146</v>
      </c>
      <c r="I2" s="16" t="n">
        <f aca="false">Inputs!$C$28</f>
        <v>552.2</v>
      </c>
      <c r="J2" s="5" t="s">
        <v>147</v>
      </c>
      <c r="K2" s="36" t="n">
        <f aca="false">Inputs!$C$7</f>
        <v>130.16</v>
      </c>
      <c r="L2" s="5" t="s">
        <v>148</v>
      </c>
      <c r="M2" s="6" t="n">
        <f aca="false">Inputs!$C$6</f>
        <v>176.628764597419</v>
      </c>
      <c r="N2" s="5" t="s">
        <v>149</v>
      </c>
      <c r="O2" s="37" t="n">
        <f aca="false">Inputs!$C$46</f>
        <v>5</v>
      </c>
      <c r="P2" s="5" t="s">
        <v>150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151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152</v>
      </c>
    </row>
    <row r="6" customFormat="false" ht="15" hidden="false" customHeight="false" outlineLevel="0" collapsed="false">
      <c r="A6" s="38" t="s">
        <v>153</v>
      </c>
      <c r="E6" s="5" t="s">
        <v>11</v>
      </c>
      <c r="F6" s="12" t="n">
        <f aca="false">WACC!$C$35</f>
        <v>0.0819413943493295</v>
      </c>
      <c r="G6" s="5" t="s">
        <v>12</v>
      </c>
      <c r="I6" s="12" t="n">
        <f aca="false">Inputs!$C$37</f>
        <v>0.0283</v>
      </c>
      <c r="W6" s="38" t="s">
        <v>154</v>
      </c>
    </row>
    <row r="7" customFormat="false" ht="23.85" hidden="false" customHeight="false" outlineLevel="0" collapsed="false">
      <c r="A7" s="38" t="s">
        <v>155</v>
      </c>
      <c r="B7" s="28" t="s">
        <v>156</v>
      </c>
      <c r="C7" s="28" t="s">
        <v>157</v>
      </c>
      <c r="D7" s="28" t="s">
        <v>158</v>
      </c>
      <c r="E7" s="28" t="s">
        <v>159</v>
      </c>
      <c r="F7" s="28" t="s">
        <v>160</v>
      </c>
      <c r="G7" s="28" t="s">
        <v>161</v>
      </c>
      <c r="H7" s="28" t="s">
        <v>162</v>
      </c>
      <c r="I7" s="28" t="s">
        <v>163</v>
      </c>
      <c r="J7" s="28" t="s">
        <v>164</v>
      </c>
      <c r="K7" s="28" t="s">
        <v>165</v>
      </c>
      <c r="L7" s="28" t="s">
        <v>166</v>
      </c>
      <c r="M7" s="28" t="s">
        <v>167</v>
      </c>
      <c r="N7" s="28" t="s">
        <v>168</v>
      </c>
      <c r="O7" s="28" t="s">
        <v>169</v>
      </c>
      <c r="P7" s="28" t="s">
        <v>170</v>
      </c>
      <c r="Q7" s="28" t="s">
        <v>171</v>
      </c>
      <c r="R7" s="28" t="s">
        <v>172</v>
      </c>
      <c r="S7" s="28" t="s">
        <v>173</v>
      </c>
      <c r="T7" s="28" t="s">
        <v>174</v>
      </c>
      <c r="W7" s="40" t="n">
        <f aca="false">$D$47</f>
        <v>0.0263669797582224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3925</v>
      </c>
      <c r="F8" s="15" t="n">
        <f aca="false">E8*(1+IF(F$3&lt;=$O$2,$D8,$D8-($D8-$I$6)*MIN(F$3-$O$2,$Q$2)/$Q$2))</f>
        <v>4906.25</v>
      </c>
      <c r="G8" s="15" t="n">
        <f aca="false">F8*(1+IF(G$3&lt;=$O$2,$D8,$D8-($D8-$I$6)*MIN(G$3-$O$2,$Q$2)/$Q$2))</f>
        <v>6132.8125</v>
      </c>
      <c r="H8" s="15" t="n">
        <f aca="false">G8*(1+IF(H$3&lt;=$O$2,$D8,$D8-($D8-$I$6)*MIN(H$3-$O$2,$Q$2)/$Q$2))</f>
        <v>7666.015625</v>
      </c>
      <c r="I8" s="15" t="n">
        <f aca="false">H8*(1+IF(I$3&lt;=$O$2,$D8,$D8-($D8-$I$6)*MIN(I$3-$O$2,$Q$2)/$Q$2))</f>
        <v>9582.51953125</v>
      </c>
      <c r="J8" s="15" t="n">
        <f aca="false">I8*(1+IF(J$3&lt;=$O$2,$D8,$D8-($D8-$I$6)*MIN(J$3-$O$2,$Q$2)/$Q$2))</f>
        <v>11553.2604980469</v>
      </c>
      <c r="K8" s="15" t="n">
        <f aca="false">J8*(1+IF(K$3&lt;=$O$2,$D8,$D8-($D8-$I$6)*MIN(K$3-$O$2,$Q$2)/$Q$2))</f>
        <v>13417.0324815918</v>
      </c>
      <c r="L8" s="15" t="n">
        <f aca="false">K8*(1+IF(L$3&lt;=$O$2,$D8,$D8-($D8-$I$6)*MIN(L$3-$O$2,$Q$2)/$Q$2))</f>
        <v>14986.5569412884</v>
      </c>
      <c r="M8" s="15" t="n">
        <f aca="false">L8*(1+IF(M$3&lt;=$O$2,$D8,$D8-($D8-$I$6)*MIN(M$3-$O$2,$Q$2)/$Q$2))</f>
        <v>16075.1804375036</v>
      </c>
      <c r="N8" s="15" t="n">
        <f aca="false">M8*(1+IF(N$3&lt;=$O$2,$D8,$D8-($D8-$I$6)*MIN(N$3-$O$2,$Q$2)/$Q$2))</f>
        <v>16530.1080438849</v>
      </c>
      <c r="O8" s="15" t="n">
        <f aca="false">SUMPRODUCT(E8:N8,1/(1+$F$6)^$E$3:$N$3)*$E$2</f>
        <v>28671.2556013081</v>
      </c>
      <c r="P8" s="15" t="n">
        <f aca="false">N8*$E$2*(1+$I$6)/($F$6-$I$6)/(1+$F$6)^$N$3</f>
        <v>65539.7181312158</v>
      </c>
      <c r="Q8" s="15" t="n">
        <f aca="false">O8+P8</f>
        <v>94210.9737325239</v>
      </c>
      <c r="R8" s="15" t="n">
        <f aca="false">Q8-$G$2+$I$2</f>
        <v>90143.1737325239</v>
      </c>
      <c r="S8" s="42" t="n">
        <f aca="false">R8/$K$2</f>
        <v>692.556651294745</v>
      </c>
      <c r="T8" s="43" t="n">
        <f aca="false">S8-$M$2</f>
        <v>515.927886697326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2747.5</v>
      </c>
      <c r="F9" s="15" t="n">
        <f aca="false">E9*(1+IF(F$3&lt;=$O$2,$D9,$D9-($D9-$I$6)*MIN(F$3-$O$2,$Q$2)/$Q$2))</f>
        <v>2404.0625</v>
      </c>
      <c r="G9" s="15" t="n">
        <f aca="false">F9*(1+IF(G$3&lt;=$O$2,$D9,$D9-($D9-$I$6)*MIN(G$3-$O$2,$Q$2)/$Q$2))</f>
        <v>2103.5546875</v>
      </c>
      <c r="H9" s="15" t="n">
        <f aca="false">G9*(1+IF(H$3&lt;=$O$2,$D9,$D9-($D9-$I$6)*MIN(H$3-$O$2,$Q$2)/$Q$2))</f>
        <v>1840.6103515625</v>
      </c>
      <c r="I9" s="15" t="n">
        <f aca="false">H9*(1+IF(I$3&lt;=$O$2,$D9,$D9-($D9-$I$6)*MIN(I$3-$O$2,$Q$2)/$Q$2))</f>
        <v>1610.53405761719</v>
      </c>
      <c r="J9" s="15" t="n">
        <f aca="false">I9*(1+IF(J$3&lt;=$O$2,$D9,$D9-($D9-$I$6)*MIN(J$3-$O$2,$Q$2)/$Q$2))</f>
        <v>1458.59627462158</v>
      </c>
      <c r="K9" s="15" t="n">
        <f aca="false">J9*(1+IF(K$3&lt;=$O$2,$D9,$D9-($D9-$I$6)*MIN(K$3-$O$2,$Q$2)/$Q$2))</f>
        <v>1365.71286385368</v>
      </c>
      <c r="L9" s="15" t="n">
        <f aca="false">K9*(1+IF(L$3&lt;=$O$2,$D9,$D9-($D9-$I$6)*MIN(L$3-$O$2,$Q$2)/$Q$2))</f>
        <v>1320.61702508923</v>
      </c>
      <c r="M9" s="15" t="n">
        <f aca="false">L9*(1+IF(M$3&lt;=$O$2,$D9,$D9-($D9-$I$6)*MIN(M$3-$O$2,$Q$2)/$Q$2))</f>
        <v>1317.50036891002</v>
      </c>
      <c r="N9" s="15" t="n">
        <f aca="false">M9*(1+IF(N$3&lt;=$O$2,$D9,$D9-($D9-$I$6)*MIN(N$3-$O$2,$Q$2)/$Q$2))</f>
        <v>1354.78562935017</v>
      </c>
      <c r="O9" s="15" t="n">
        <f aca="false">SUMPRODUCT(E9:N9,1/(1+$F$6)^$E$3:$N$3)*$E$2</f>
        <v>5613.60180005757</v>
      </c>
      <c r="P9" s="15" t="n">
        <f aca="false">N9*$E$2*(1+$I$6)/($F$6-$I$6)/(1+$F$6)^$N$3</f>
        <v>5371.54796811383</v>
      </c>
      <c r="Q9" s="15" t="n">
        <f aca="false">O9+P9</f>
        <v>10985.1497681714</v>
      </c>
      <c r="R9" s="15" t="n">
        <f aca="false">Q9-$G$2+$I$2</f>
        <v>6917.3497681714</v>
      </c>
      <c r="S9" s="42" t="n">
        <f aca="false">R9/$K$2</f>
        <v>53.1449736337692</v>
      </c>
      <c r="T9" s="43" t="n">
        <f aca="false">S9-$M$2</f>
        <v>-123.483790963649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3336.25</v>
      </c>
      <c r="F10" s="15" t="n">
        <f aca="false">E10*(1+IF(F$3&lt;=$O$2,$D10,$D10-($D10-$I$6)*MIN(F$3-$O$2,$Q$2)/$Q$2))</f>
        <v>3544.765625</v>
      </c>
      <c r="G10" s="15" t="n">
        <f aca="false">F10*(1+IF(G$3&lt;=$O$2,$D10,$D10-($D10-$I$6)*MIN(G$3-$O$2,$Q$2)/$Q$2))</f>
        <v>3766.3134765625</v>
      </c>
      <c r="H10" s="15" t="n">
        <f aca="false">G10*(1+IF(H$3&lt;=$O$2,$D10,$D10-($D10-$I$6)*MIN(H$3-$O$2,$Q$2)/$Q$2))</f>
        <v>4001.70806884766</v>
      </c>
      <c r="I10" s="15" t="n">
        <f aca="false">H10*(1+IF(I$3&lt;=$O$2,$D10,$D10-($D10-$I$6)*MIN(I$3-$O$2,$Q$2)/$Q$2))</f>
        <v>4251.81482315064</v>
      </c>
      <c r="J10" s="15" t="n">
        <f aca="false">I10*(1+IF(J$3&lt;=$O$2,$D10,$D10-($D10-$I$6)*MIN(J$3-$O$2,$Q$2)/$Q$2))</f>
        <v>4488.4708362072</v>
      </c>
      <c r="K10" s="15" t="n">
        <f aca="false">J10*(1+IF(K$3&lt;=$O$2,$D10,$D10-($D10-$I$6)*MIN(K$3-$O$2,$Q$2)/$Q$2))</f>
        <v>4707.59798243084</v>
      </c>
      <c r="L10" s="15" t="n">
        <f aca="false">K10*(1+IF(L$3&lt;=$O$2,$D10,$D10-($D10-$I$6)*MIN(L$3-$O$2,$Q$2)/$Q$2))</f>
        <v>4905.22294573328</v>
      </c>
      <c r="M10" s="15" t="n">
        <f aca="false">L10*(1+IF(M$3&lt;=$O$2,$D10,$D10-($D10-$I$6)*MIN(M$3-$O$2,$Q$2)/$Q$2))</f>
        <v>5077.59248004635</v>
      </c>
      <c r="N10" s="15" t="n">
        <f aca="false">M10*(1+IF(N$3&lt;=$O$2,$D10,$D10-($D10-$I$6)*MIN(N$3-$O$2,$Q$2)/$Q$2))</f>
        <v>5221.28834723166</v>
      </c>
      <c r="O10" s="15" t="n">
        <f aca="false">SUMPRODUCT(E10:N10,1/(1+$F$6)^$E$3:$N$3)*$E$2</f>
        <v>12670.8619119059</v>
      </c>
      <c r="P10" s="15" t="n">
        <f aca="false">N10*$E$2*(1+$I$6)/($F$6-$I$6)/(1+$F$6)^$N$3</f>
        <v>20701.7259446139</v>
      </c>
      <c r="Q10" s="15" t="n">
        <f aca="false">O10+P10</f>
        <v>33372.5878565199</v>
      </c>
      <c r="R10" s="15" t="n">
        <f aca="false">Q10-$G$2+$I$2</f>
        <v>29304.7878565199</v>
      </c>
      <c r="S10" s="42" t="n">
        <f aca="false">R10/$K$2</f>
        <v>225.144344318684</v>
      </c>
      <c r="T10" s="43" t="n">
        <f aca="false">S10-$M$2</f>
        <v>48.5155797212649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3041.875</v>
      </c>
      <c r="F11" s="15" t="n">
        <f aca="false">E11*(1+IF(F$3&lt;=$O$2,$D11,$D11-($D11-$I$6)*MIN(F$3-$O$2,$Q$2)/$Q$2))</f>
        <v>2946.81640625</v>
      </c>
      <c r="G11" s="15" t="n">
        <f aca="false">F11*(1+IF(G$3&lt;=$O$2,$D11,$D11-($D11-$I$6)*MIN(G$3-$O$2,$Q$2)/$Q$2))</f>
        <v>2854.72839355469</v>
      </c>
      <c r="H11" s="15" t="n">
        <f aca="false">G11*(1+IF(H$3&lt;=$O$2,$D11,$D11-($D11-$I$6)*MIN(H$3-$O$2,$Q$2)/$Q$2))</f>
        <v>2765.5181312561</v>
      </c>
      <c r="I11" s="15" t="n">
        <f aca="false">H11*(1+IF(I$3&lt;=$O$2,$D11,$D11-($D11-$I$6)*MIN(I$3-$O$2,$Q$2)/$Q$2))</f>
        <v>2679.09568965435</v>
      </c>
      <c r="J11" s="15" t="n">
        <f aca="false">I11*(1+IF(J$3&lt;=$O$2,$D11,$D11-($D11-$I$6)*MIN(J$3-$O$2,$Q$2)/$Q$2))</f>
        <v>2627.28197901644</v>
      </c>
      <c r="K11" s="15" t="n">
        <f aca="false">J11*(1+IF(K$3&lt;=$O$2,$D11,$D11-($D11-$I$6)*MIN(K$3-$O$2,$Q$2)/$Q$2))</f>
        <v>2607.76127391234</v>
      </c>
      <c r="L11" s="15" t="n">
        <f aca="false">K11*(1+IF(L$3&lt;=$O$2,$D11,$D11-($D11-$I$6)*MIN(L$3-$O$2,$Q$2)/$Q$2))</f>
        <v>2619.44404441947</v>
      </c>
      <c r="M11" s="15" t="n">
        <f aca="false">L11*(1+IF(M$3&lt;=$O$2,$D11,$D11-($D11-$I$6)*MIN(M$3-$O$2,$Q$2)/$Q$2))</f>
        <v>2662.37673230751</v>
      </c>
      <c r="N11" s="15" t="n">
        <f aca="false">M11*(1+IF(N$3&lt;=$O$2,$D11,$D11-($D11-$I$6)*MIN(N$3-$O$2,$Q$2)/$Q$2))</f>
        <v>2737.72199383181</v>
      </c>
      <c r="O11" s="15" t="n">
        <f aca="false">SUMPRODUCT(E11:N11,1/(1+$F$6)^$E$3:$N$3)*$E$2</f>
        <v>8410.25294286901</v>
      </c>
      <c r="P11" s="15" t="n">
        <f aca="false">N11*$E$2*(1+$I$6)/($F$6-$I$6)/(1+$F$6)^$N$3</f>
        <v>10854.7099221014</v>
      </c>
      <c r="Q11" s="15" t="n">
        <f aca="false">O11+P11</f>
        <v>19264.9628649705</v>
      </c>
      <c r="R11" s="15" t="n">
        <f aca="false">Q11-$G$2+$I$2</f>
        <v>15197.1628649705</v>
      </c>
      <c r="S11" s="42" t="n">
        <f aca="false">R11/$K$2</f>
        <v>116.757551205981</v>
      </c>
      <c r="T11" s="43" t="n">
        <f aca="false">S11-$M$2</f>
        <v>-59.8712133914379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3189.0625</v>
      </c>
      <c r="F12" s="15" t="n">
        <f aca="false">E12*(1+IF(F$3&lt;=$O$2,$D12,$D12-($D12-$I$6)*MIN(F$3-$O$2,$Q$2)/$Q$2))</f>
        <v>3238.8916015625</v>
      </c>
      <c r="G12" s="15" t="n">
        <f aca="false">F12*(1+IF(G$3&lt;=$O$2,$D12,$D12-($D12-$I$6)*MIN(G$3-$O$2,$Q$2)/$Q$2))</f>
        <v>3289.49928283691</v>
      </c>
      <c r="H12" s="15" t="n">
        <f aca="false">G12*(1+IF(H$3&lt;=$O$2,$D12,$D12-($D12-$I$6)*MIN(H$3-$O$2,$Q$2)/$Q$2))</f>
        <v>3340.89770913124</v>
      </c>
      <c r="I12" s="15" t="n">
        <f aca="false">H12*(1+IF(I$3&lt;=$O$2,$D12,$D12-($D12-$I$6)*MIN(I$3-$O$2,$Q$2)/$Q$2))</f>
        <v>3393.09923583642</v>
      </c>
      <c r="J12" s="15" t="n">
        <f aca="false">I12*(1+IF(J$3&lt;=$O$2,$D12,$D12-($D12-$I$6)*MIN(J$3-$O$2,$Q$2)/$Q$2))</f>
        <v>3454.71791795921</v>
      </c>
      <c r="K12" s="15" t="n">
        <f aca="false">J12*(1+IF(K$3&lt;=$O$2,$D12,$D12-($D12-$I$6)*MIN(K$3-$O$2,$Q$2)/$Q$2))</f>
        <v>3526.21330527137</v>
      </c>
      <c r="L12" s="15" t="n">
        <f aca="false">K12*(1+IF(L$3&lt;=$O$2,$D12,$D12-($D12-$I$6)*MIN(L$3-$O$2,$Q$2)/$Q$2))</f>
        <v>3608.12724035283</v>
      </c>
      <c r="M12" s="15" t="n">
        <f aca="false">L12*(1+IF(M$3&lt;=$O$2,$D12,$D12-($D12-$I$6)*MIN(M$3-$O$2,$Q$2)/$Q$2))</f>
        <v>3701.09063870052</v>
      </c>
      <c r="N12" s="15" t="n">
        <f aca="false">M12*(1+IF(N$3&lt;=$O$2,$D12,$D12-($D12-$I$6)*MIN(N$3-$O$2,$Q$2)/$Q$2))</f>
        <v>3805.83150377574</v>
      </c>
      <c r="O12" s="15" t="n">
        <f aca="false">SUMPRODUCT(E12:N12,1/(1+$F$6)^$E$3:$N$3)*$E$2</f>
        <v>10319.2488750956</v>
      </c>
      <c r="P12" s="15" t="n">
        <f aca="false">N12*$E$2*(1+$I$6)/($F$6-$I$6)/(1+$F$6)^$N$3</f>
        <v>15089.6245414825</v>
      </c>
      <c r="Q12" s="15" t="n">
        <f aca="false">O12+P12</f>
        <v>25408.8734165781</v>
      </c>
      <c r="R12" s="15" t="n">
        <f aca="false">Q12-$G$2+$I$2</f>
        <v>21341.0734165781</v>
      </c>
      <c r="S12" s="42" t="n">
        <f aca="false">R12/$K$2</f>
        <v>163.960305904872</v>
      </c>
      <c r="T12" s="43" t="n">
        <f aca="false">S12-$M$2</f>
        <v>-12.6684586925469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0.015625</v>
      </c>
      <c r="C13" s="25" t="n">
        <f aca="false">IF(T12&gt;0,D12,C12)</f>
        <v>0.0625</v>
      </c>
      <c r="D13" s="41" t="n">
        <f aca="false">(B13+C13)/2</f>
        <v>0.0390625</v>
      </c>
      <c r="E13" s="15" t="n">
        <f aca="false">$C$2*(1+IF(E$3&lt;=$O$2,$D13,$D13-($D13-$I$6)*MIN(E$3-$O$2,$Q$2)/$Q$2))</f>
        <v>3262.65625</v>
      </c>
      <c r="F13" s="15" t="n">
        <f aca="false">E13*(1+IF(F$3&lt;=$O$2,$D13,$D13-($D13-$I$6)*MIN(F$3-$O$2,$Q$2)/$Q$2))</f>
        <v>3390.10375976563</v>
      </c>
      <c r="G13" s="15" t="n">
        <f aca="false">F13*(1+IF(G$3&lt;=$O$2,$D13,$D13-($D13-$I$6)*MIN(G$3-$O$2,$Q$2)/$Q$2))</f>
        <v>3522.52968788147</v>
      </c>
      <c r="H13" s="15" t="n">
        <f aca="false">G13*(1+IF(H$3&lt;=$O$2,$D13,$D13-($D13-$I$6)*MIN(H$3-$O$2,$Q$2)/$Q$2))</f>
        <v>3660.12850381434</v>
      </c>
      <c r="I13" s="15" t="n">
        <f aca="false">H13*(1+IF(I$3&lt;=$O$2,$D13,$D13-($D13-$I$6)*MIN(I$3-$O$2,$Q$2)/$Q$2))</f>
        <v>3803.10227349459</v>
      </c>
      <c r="J13" s="15" t="n">
        <f aca="false">I13*(1+IF(J$3&lt;=$O$2,$D13,$D13-($D13-$I$6)*MIN(J$3-$O$2,$Q$2)/$Q$2))</f>
        <v>3943.47477840927</v>
      </c>
      <c r="K13" s="15" t="n">
        <f aca="false">J13*(1+IF(K$3&lt;=$O$2,$D13,$D13-($D13-$I$6)*MIN(K$3-$O$2,$Q$2)/$Q$2))</f>
        <v>4080.54010301983</v>
      </c>
      <c r="L13" s="15" t="n">
        <f aca="false">K13*(1+IF(L$3&lt;=$O$2,$D13,$D13-($D13-$I$6)*MIN(L$3-$O$2,$Q$2)/$Q$2))</f>
        <v>4213.58611307879</v>
      </c>
      <c r="M13" s="15" t="n">
        <f aca="false">L13*(1+IF(M$3&lt;=$O$2,$D13,$D13-($D13-$I$6)*MIN(M$3-$O$2,$Q$2)/$Q$2))</f>
        <v>4341.90034418733</v>
      </c>
      <c r="N13" s="15" t="n">
        <f aca="false">M13*(1+IF(N$3&lt;=$O$2,$D13,$D13-($D13-$I$6)*MIN(N$3-$O$2,$Q$2)/$Q$2))</f>
        <v>4464.77612392783</v>
      </c>
      <c r="O13" s="15" t="n">
        <f aca="false">SUMPRODUCT(E13:N13,1/(1+$F$6)^$E$3:$N$3)*$E$2</f>
        <v>11434.1794080528</v>
      </c>
      <c r="P13" s="15" t="n">
        <f aca="false">N13*$E$2*(1+$I$6)/($F$6-$I$6)/(1+$F$6)^$N$3</f>
        <v>17702.2538451866</v>
      </c>
      <c r="Q13" s="15" t="n">
        <f aca="false">O13+P13</f>
        <v>29136.4332532394</v>
      </c>
      <c r="R13" s="15" t="n">
        <f aca="false">Q13-$G$2+$I$2</f>
        <v>25068.6332532394</v>
      </c>
      <c r="S13" s="42" t="n">
        <f aca="false">R13/$K$2</f>
        <v>192.598595983708</v>
      </c>
      <c r="T13" s="43" t="n">
        <f aca="false">S13-$M$2</f>
        <v>15.9698313862891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0.015625</v>
      </c>
      <c r="C14" s="25" t="n">
        <f aca="false">IF(T13&gt;0,D13,C13)</f>
        <v>0.0390625</v>
      </c>
      <c r="D14" s="41" t="n">
        <f aca="false">(B14+C14)/2</f>
        <v>0.02734375</v>
      </c>
      <c r="E14" s="15" t="n">
        <f aca="false">$C$2*(1+IF(E$3&lt;=$O$2,$D14,$D14-($D14-$I$6)*MIN(E$3-$O$2,$Q$2)/$Q$2))</f>
        <v>3225.859375</v>
      </c>
      <c r="F14" s="15" t="n">
        <f aca="false">E14*(1+IF(F$3&lt;=$O$2,$D14,$D14-($D14-$I$6)*MIN(F$3-$O$2,$Q$2)/$Q$2))</f>
        <v>3314.06646728516</v>
      </c>
      <c r="G14" s="15" t="n">
        <f aca="false">F14*(1+IF(G$3&lt;=$O$2,$D14,$D14-($D14-$I$6)*MIN(G$3-$O$2,$Q$2)/$Q$2))</f>
        <v>3404.68547224998</v>
      </c>
      <c r="H14" s="15" t="n">
        <f aca="false">G14*(1+IF(H$3&lt;=$O$2,$D14,$D14-($D14-$I$6)*MIN(H$3-$O$2,$Q$2)/$Q$2))</f>
        <v>3497.78234063182</v>
      </c>
      <c r="I14" s="15" t="n">
        <f aca="false">H14*(1+IF(I$3&lt;=$O$2,$D14,$D14-($D14-$I$6)*MIN(I$3-$O$2,$Q$2)/$Q$2))</f>
        <v>3593.42482650847</v>
      </c>
      <c r="J14" s="15" t="n">
        <f aca="false">I14*(1+IF(J$3&lt;=$O$2,$D14,$D14-($D14-$I$6)*MIN(J$3-$O$2,$Q$2)/$Q$2))</f>
        <v>3692.36977910638</v>
      </c>
      <c r="K14" s="15" t="n">
        <f aca="false">J14*(1+IF(K$3&lt;=$O$2,$D14,$D14-($D14-$I$6)*MIN(K$3-$O$2,$Q$2)/$Q$2))</f>
        <v>3794.74534669433</v>
      </c>
      <c r="L14" s="15" t="n">
        <f aca="false">K14*(1+IF(L$3&lt;=$O$2,$D14,$D14-($D14-$I$6)*MIN(L$3-$O$2,$Q$2)/$Q$2))</f>
        <v>3900.68514991067</v>
      </c>
      <c r="M14" s="15" t="n">
        <f aca="false">L14*(1+IF(M$3&lt;=$O$2,$D14,$D14-($D14-$I$6)*MIN(M$3-$O$2,$Q$2)/$Q$2))</f>
        <v>4010.32853361822</v>
      </c>
      <c r="N14" s="15" t="n">
        <f aca="false">M14*(1+IF(N$3&lt;=$O$2,$D14,$D14-($D14-$I$6)*MIN(N$3-$O$2,$Q$2)/$Q$2))</f>
        <v>4123.82083111962</v>
      </c>
      <c r="O14" s="15" t="n">
        <f aca="false">SUMPRODUCT(E14:N14,1/(1+$F$6)^$E$3:$N$3)*$E$2</f>
        <v>10862.2258709063</v>
      </c>
      <c r="P14" s="15" t="n">
        <f aca="false">N14*$E$2*(1+$I$6)/($F$6-$I$6)/(1+$F$6)^$N$3</f>
        <v>16350.4106674729</v>
      </c>
      <c r="Q14" s="15" t="n">
        <f aca="false">O14+P14</f>
        <v>27212.6365383792</v>
      </c>
      <c r="R14" s="15" t="n">
        <f aca="false">Q14-$G$2+$I$2</f>
        <v>23144.8365383792</v>
      </c>
      <c r="S14" s="42" t="n">
        <f aca="false">R14/$K$2</f>
        <v>177.818350786564</v>
      </c>
      <c r="T14" s="43" t="n">
        <f aca="false">S14-$M$2</f>
        <v>1.18958618914579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0.015625</v>
      </c>
      <c r="C15" s="25" t="n">
        <f aca="false">IF(T14&gt;0,D14,C14)</f>
        <v>0.02734375</v>
      </c>
      <c r="D15" s="41" t="n">
        <f aca="false">(B15+C15)/2</f>
        <v>0.021484375</v>
      </c>
      <c r="E15" s="15" t="n">
        <f aca="false">$C$2*(1+IF(E$3&lt;=$O$2,$D15,$D15-($D15-$I$6)*MIN(E$3-$O$2,$Q$2)/$Q$2))</f>
        <v>3207.4609375</v>
      </c>
      <c r="F15" s="15" t="n">
        <f aca="false">E15*(1+IF(F$3&lt;=$O$2,$D15,$D15-($D15-$I$6)*MIN(F$3-$O$2,$Q$2)/$Q$2))</f>
        <v>3276.3712310791</v>
      </c>
      <c r="G15" s="15" t="n">
        <f aca="false">F15*(1+IF(G$3&lt;=$O$2,$D15,$D15-($D15-$I$6)*MIN(G$3-$O$2,$Q$2)/$Q$2))</f>
        <v>3346.76201924682</v>
      </c>
      <c r="H15" s="15" t="n">
        <f aca="false">G15*(1+IF(H$3&lt;=$O$2,$D15,$D15-($D15-$I$6)*MIN(H$3-$O$2,$Q$2)/$Q$2))</f>
        <v>3418.66510950407</v>
      </c>
      <c r="I15" s="15" t="n">
        <f aca="false">H15*(1+IF(I$3&lt;=$O$2,$D15,$D15-($D15-$I$6)*MIN(I$3-$O$2,$Q$2)/$Q$2))</f>
        <v>3492.11299271607</v>
      </c>
      <c r="J15" s="15" t="n">
        <f aca="false">I15*(1+IF(J$3&lt;=$O$2,$D15,$D15-($D15-$I$6)*MIN(J$3-$O$2,$Q$2)/$Q$2))</f>
        <v>3571.89904431715</v>
      </c>
      <c r="K15" s="15" t="n">
        <f aca="false">J15*(1+IF(K$3&lt;=$O$2,$D15,$D15-($D15-$I$6)*MIN(K$3-$O$2,$Q$2)/$Q$2))</f>
        <v>3658.37695261698</v>
      </c>
      <c r="L15" s="15" t="n">
        <f aca="false">K15*(1+IF(L$3&lt;=$O$2,$D15,$D15-($D15-$I$6)*MIN(L$3-$O$2,$Q$2)/$Q$2))</f>
        <v>3751.93537020896</v>
      </c>
      <c r="M15" s="15" t="n">
        <f aca="false">L15*(1+IF(M$3&lt;=$O$2,$D15,$D15-($D15-$I$6)*MIN(M$3-$O$2,$Q$2)/$Q$2))</f>
        <v>3853.00078428436</v>
      </c>
      <c r="N15" s="15" t="n">
        <f aca="false">M15*(1+IF(N$3&lt;=$O$2,$D15,$D15-($D15-$I$6)*MIN(N$3-$O$2,$Q$2)/$Q$2))</f>
        <v>3962.04070647961</v>
      </c>
      <c r="O15" s="15" t="n">
        <f aca="false">SUMPRODUCT(E15:N15,1/(1+$F$6)^$E$3:$N$3)*$E$2</f>
        <v>10587.2032952212</v>
      </c>
      <c r="P15" s="15" t="n">
        <f aca="false">N15*$E$2*(1+$I$6)/($F$6-$I$6)/(1+$F$6)^$N$3</f>
        <v>15708.9736157616</v>
      </c>
      <c r="Q15" s="15" t="n">
        <f aca="false">O15+P15</f>
        <v>26296.1769109828</v>
      </c>
      <c r="R15" s="15" t="n">
        <f aca="false">Q15-$G$2+$I$2</f>
        <v>22228.3769109828</v>
      </c>
      <c r="S15" s="42" t="n">
        <f aca="false">R15/$K$2</f>
        <v>170.777327220212</v>
      </c>
      <c r="T15" s="43" t="n">
        <f aca="false">S15-$M$2</f>
        <v>-5.85143737720654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0.021484375</v>
      </c>
      <c r="C16" s="25" t="n">
        <f aca="false">IF(T15&gt;0,D15,C15)</f>
        <v>0.02734375</v>
      </c>
      <c r="D16" s="41" t="n">
        <f aca="false">(B16+C16)/2</f>
        <v>0.0244140625</v>
      </c>
      <c r="E16" s="15" t="n">
        <f aca="false">$C$2*(1+IF(E$3&lt;=$O$2,$D16,$D16-($D16-$I$6)*MIN(E$3-$O$2,$Q$2)/$Q$2))</f>
        <v>3216.66015625</v>
      </c>
      <c r="F16" s="15" t="n">
        <f aca="false">E16*(1+IF(F$3&lt;=$O$2,$D16,$D16-($D16-$I$6)*MIN(F$3-$O$2,$Q$2)/$Q$2))</f>
        <v>3295.19189834595</v>
      </c>
      <c r="G16" s="15" t="n">
        <f aca="false">F16*(1+IF(G$3&lt;=$O$2,$D16,$D16-($D16-$I$6)*MIN(G$3-$O$2,$Q$2)/$Q$2))</f>
        <v>3375.64091930166</v>
      </c>
      <c r="H16" s="15" t="n">
        <f aca="false">G16*(1+IF(H$3&lt;=$O$2,$D16,$D16-($D16-$I$6)*MIN(H$3-$O$2,$Q$2)/$Q$2))</f>
        <v>3458.05402768305</v>
      </c>
      <c r="I16" s="15" t="n">
        <f aca="false">H16*(1+IF(I$3&lt;=$O$2,$D16,$D16-($D16-$I$6)*MIN(I$3-$O$2,$Q$2)/$Q$2))</f>
        <v>3542.47917484328</v>
      </c>
      <c r="J16" s="15" t="n">
        <f aca="false">I16*(1+IF(J$3&lt;=$O$2,$D16,$D16-($D16-$I$6)*MIN(J$3-$O$2,$Q$2)/$Q$2))</f>
        <v>3631.71865335655</v>
      </c>
      <c r="K16" s="15" t="n">
        <f aca="false">J16*(1+IF(K$3&lt;=$O$2,$D16,$D16-($D16-$I$6)*MIN(K$3-$O$2,$Q$2)/$Q$2))</f>
        <v>3726.02871222382</v>
      </c>
      <c r="L16" s="15" t="n">
        <f aca="false">K16*(1+IF(L$3&lt;=$O$2,$D16,$D16-($D16-$I$6)*MIN(L$3-$O$2,$Q$2)/$Q$2))</f>
        <v>3825.68367890019</v>
      </c>
      <c r="M16" s="15" t="n">
        <f aca="false">L16*(1+IF(M$3&lt;=$O$2,$D16,$D16-($D16-$I$6)*MIN(M$3-$O$2,$Q$2)/$Q$2))</f>
        <v>3930.97725347887</v>
      </c>
      <c r="N16" s="15" t="n">
        <f aca="false">M16*(1+IF(N$3&lt;=$O$2,$D16,$D16-($D16-$I$6)*MIN(N$3-$O$2,$Q$2)/$Q$2))</f>
        <v>4042.22390975233</v>
      </c>
      <c r="O16" s="15" t="n">
        <f aca="false">SUMPRODUCT(E16:N16,1/(1+$F$6)^$E$3:$N$3)*$E$2</f>
        <v>10723.8202110854</v>
      </c>
      <c r="P16" s="15" t="n">
        <f aca="false">N16*$E$2*(1+$I$6)/($F$6-$I$6)/(1+$F$6)^$N$3</f>
        <v>16026.8895378717</v>
      </c>
      <c r="Q16" s="15" t="n">
        <f aca="false">O16+P16</f>
        <v>26750.7097489571</v>
      </c>
      <c r="R16" s="15" t="n">
        <f aca="false">Q16-$G$2+$I$2</f>
        <v>22682.9097489571</v>
      </c>
      <c r="S16" s="42" t="n">
        <f aca="false">R16/$K$2</f>
        <v>174.269435686517</v>
      </c>
      <c r="T16" s="43" t="n">
        <f aca="false">S16-$M$2</f>
        <v>-2.35932891090155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0.0244140625</v>
      </c>
      <c r="C17" s="25" t="n">
        <f aca="false">IF(T16&gt;0,D16,C16)</f>
        <v>0.02734375</v>
      </c>
      <c r="D17" s="41" t="n">
        <f aca="false">(B17+C17)/2</f>
        <v>0.02587890625</v>
      </c>
      <c r="E17" s="15" t="n">
        <f aca="false">$C$2*(1+IF(E$3&lt;=$O$2,$D17,$D17-($D17-$I$6)*MIN(E$3-$O$2,$Q$2)/$Q$2))</f>
        <v>3221.259765625</v>
      </c>
      <c r="F17" s="15" t="n">
        <f aca="false">E17*(1+IF(F$3&lt;=$O$2,$D17,$D17-($D17-$I$6)*MIN(F$3-$O$2,$Q$2)/$Q$2))</f>
        <v>3304.62244510651</v>
      </c>
      <c r="G17" s="15" t="n">
        <f aca="false">F17*(1+IF(G$3&lt;=$O$2,$D17,$D17-($D17-$I$6)*MIN(G$3-$O$2,$Q$2)/$Q$2))</f>
        <v>3390.14245955506</v>
      </c>
      <c r="H17" s="15" t="n">
        <f aca="false">G17*(1+IF(H$3&lt;=$O$2,$D17,$D17-($D17-$I$6)*MIN(H$3-$O$2,$Q$2)/$Q$2))</f>
        <v>3477.87563844003</v>
      </c>
      <c r="I17" s="15" t="n">
        <f aca="false">H17*(1+IF(I$3&lt;=$O$2,$D17,$D17-($D17-$I$6)*MIN(I$3-$O$2,$Q$2)/$Q$2))</f>
        <v>3567.87925603638</v>
      </c>
      <c r="J17" s="15" t="n">
        <f aca="false">I17*(1+IF(J$3&lt;=$O$2,$D17,$D17-($D17-$I$6)*MIN(J$3-$O$2,$Q$2)/$Q$2))</f>
        <v>3661.93970284818</v>
      </c>
      <c r="K17" s="15" t="n">
        <f aca="false">J17*(1+IF(K$3&lt;=$O$2,$D17,$D17-($D17-$I$6)*MIN(K$3-$O$2,$Q$2)/$Q$2))</f>
        <v>3760.25305684231</v>
      </c>
      <c r="L17" s="15" t="n">
        <f aca="false">K17*(1+IF(L$3&lt;=$O$2,$D17,$D17-($D17-$I$6)*MIN(L$3-$O$2,$Q$2)/$Q$2))</f>
        <v>3863.02664828122</v>
      </c>
      <c r="M17" s="15" t="n">
        <f aca="false">L17*(1+IF(M$3&lt;=$O$2,$D17,$D17-($D17-$I$6)*MIN(M$3-$O$2,$Q$2)/$Q$2))</f>
        <v>3970.47975249273</v>
      </c>
      <c r="N17" s="15" t="n">
        <f aca="false">M17*(1+IF(N$3&lt;=$O$2,$D17,$D17-($D17-$I$6)*MIN(N$3-$O$2,$Q$2)/$Q$2))</f>
        <v>4082.84432948827</v>
      </c>
      <c r="O17" s="15" t="n">
        <f aca="false">SUMPRODUCT(E17:N17,1/(1+$F$6)^$E$3:$N$3)*$E$2</f>
        <v>10792.798078743</v>
      </c>
      <c r="P17" s="15" t="n">
        <f aca="false">N17*$E$2*(1+$I$6)/($F$6-$I$6)/(1+$F$6)^$N$3</f>
        <v>16187.9441935822</v>
      </c>
      <c r="Q17" s="15" t="n">
        <f aca="false">O17+P17</f>
        <v>26980.7422723252</v>
      </c>
      <c r="R17" s="15" t="n">
        <f aca="false">Q17-$G$2+$I$2</f>
        <v>22912.9422723252</v>
      </c>
      <c r="S17" s="42" t="n">
        <f aca="false">R17/$K$2</f>
        <v>176.036741489899</v>
      </c>
      <c r="T17" s="43" t="n">
        <f aca="false">S17-$M$2</f>
        <v>-0.592023107519822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0.02587890625</v>
      </c>
      <c r="C18" s="25" t="n">
        <f aca="false">IF(T17&gt;0,D17,C17)</f>
        <v>0.02734375</v>
      </c>
      <c r="D18" s="41" t="n">
        <f aca="false">(B18+C18)/2</f>
        <v>0.026611328125</v>
      </c>
      <c r="E18" s="15" t="n">
        <f aca="false">$C$2*(1+IF(E$3&lt;=$O$2,$D18,$D18-($D18-$I$6)*MIN(E$3-$O$2,$Q$2)/$Q$2))</f>
        <v>3223.5595703125</v>
      </c>
      <c r="F18" s="15" t="n">
        <f aca="false">E18*(1+IF(F$3&lt;=$O$2,$D18,$D18-($D18-$I$6)*MIN(F$3-$O$2,$Q$2)/$Q$2))</f>
        <v>3309.34277176857</v>
      </c>
      <c r="G18" s="15" t="n">
        <f aca="false">F18*(1+IF(G$3&lt;=$O$2,$D18,$D18-($D18-$I$6)*MIN(G$3-$O$2,$Q$2)/$Q$2))</f>
        <v>3397.4087781462</v>
      </c>
      <c r="H18" s="15" t="n">
        <f aca="false">G18*(1+IF(H$3&lt;=$O$2,$D18,$D18-($D18-$I$6)*MIN(H$3-$O$2,$Q$2)/$Q$2))</f>
        <v>3487.8183379162</v>
      </c>
      <c r="I18" s="15" t="n">
        <f aca="false">H18*(1+IF(I$3&lt;=$O$2,$D18,$D18-($D18-$I$6)*MIN(I$3-$O$2,$Q$2)/$Q$2))</f>
        <v>3580.63381614688</v>
      </c>
      <c r="J18" s="15" t="n">
        <f aca="false">I18*(1+IF(J$3&lt;=$O$2,$D18,$D18-($D18-$I$6)*MIN(J$3-$O$2,$Q$2)/$Q$2))</f>
        <v>3677.12854064784</v>
      </c>
      <c r="K18" s="15" t="n">
        <f aca="false">J18*(1+IF(K$3&lt;=$O$2,$D18,$D18-($D18-$I$6)*MIN(K$3-$O$2,$Q$2)/$Q$2))</f>
        <v>3777.46560021976</v>
      </c>
      <c r="L18" s="15" t="n">
        <f aca="false">K18*(1+IF(L$3&lt;=$O$2,$D18,$D18-($D18-$I$6)*MIN(L$3-$O$2,$Q$2)/$Q$2))</f>
        <v>3881.81631673883</v>
      </c>
      <c r="M18" s="15" t="n">
        <f aca="false">L18*(1+IF(M$3&lt;=$O$2,$D18,$D18-($D18-$I$6)*MIN(M$3-$O$2,$Q$2)/$Q$2))</f>
        <v>3990.36069569494</v>
      </c>
      <c r="N18" s="15" t="n">
        <f aca="false">M18*(1+IF(N$3&lt;=$O$2,$D18,$D18-($D18-$I$6)*MIN(N$3-$O$2,$Q$2)/$Q$2))</f>
        <v>4103.28790338311</v>
      </c>
      <c r="O18" s="15" t="n">
        <f aca="false">SUMPRODUCT(E18:N18,1/(1+$F$6)^$E$3:$N$3)*$E$2</f>
        <v>10827.4555623057</v>
      </c>
      <c r="P18" s="15" t="n">
        <f aca="false">N18*$E$2*(1+$I$6)/($F$6-$I$6)/(1+$F$6)^$N$3</f>
        <v>16269.0002923751</v>
      </c>
      <c r="Q18" s="15" t="n">
        <f aca="false">O18+P18</f>
        <v>27096.4558546808</v>
      </c>
      <c r="R18" s="15" t="n">
        <f aca="false">Q18-$G$2+$I$2</f>
        <v>23028.6558546808</v>
      </c>
      <c r="S18" s="42" t="n">
        <f aca="false">R18/$K$2</f>
        <v>176.925751803018</v>
      </c>
      <c r="T18" s="43" t="n">
        <f aca="false">S18-$M$2</f>
        <v>0.296987205599521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0.02587890625</v>
      </c>
      <c r="C19" s="25" t="n">
        <f aca="false">IF(T18&gt;0,D18,C18)</f>
        <v>0.026611328125</v>
      </c>
      <c r="D19" s="41" t="n">
        <f aca="false">(B19+C19)/2</f>
        <v>0.0262451171875</v>
      </c>
      <c r="E19" s="15" t="n">
        <f aca="false">$C$2*(1+IF(E$3&lt;=$O$2,$D19,$D19-($D19-$I$6)*MIN(E$3-$O$2,$Q$2)/$Q$2))</f>
        <v>3222.40966796875</v>
      </c>
      <c r="F19" s="15" t="n">
        <f aca="false">E19*(1+IF(F$3&lt;=$O$2,$D19,$D19-($D19-$I$6)*MIN(F$3-$O$2,$Q$2)/$Q$2))</f>
        <v>3306.98218733072</v>
      </c>
      <c r="G19" s="15" t="n">
        <f aca="false">F19*(1+IF(G$3&lt;=$O$2,$D19,$D19-($D19-$I$6)*MIN(G$3-$O$2,$Q$2)/$Q$2))</f>
        <v>3393.77432237419</v>
      </c>
      <c r="H19" s="15" t="n">
        <f aca="false">G19*(1+IF(H$3&lt;=$O$2,$D19,$D19-($D19-$I$6)*MIN(H$3-$O$2,$Q$2)/$Q$2))</f>
        <v>3482.84432717283</v>
      </c>
      <c r="I19" s="15" t="n">
        <f aca="false">H19*(1+IF(I$3&lt;=$O$2,$D19,$D19-($D19-$I$6)*MIN(I$3-$O$2,$Q$2)/$Q$2))</f>
        <v>3574.2519846853</v>
      </c>
      <c r="J19" s="15" t="n">
        <f aca="false">I19*(1+IF(J$3&lt;=$O$2,$D19,$D19-($D19-$I$6)*MIN(J$3-$O$2,$Q$2)/$Q$2))</f>
        <v>3669.5275806752</v>
      </c>
      <c r="K19" s="15" t="n">
        <f aca="false">J19*(1+IF(K$3&lt;=$O$2,$D19,$D19-($D19-$I$6)*MIN(K$3-$O$2,$Q$2)/$Q$2))</f>
        <v>3768.85094171499</v>
      </c>
      <c r="L19" s="15" t="n">
        <f aca="false">K19*(1+IF(L$3&lt;=$O$2,$D19,$D19-($D19-$I$6)*MIN(L$3-$O$2,$Q$2)/$Q$2))</f>
        <v>3872.41160455632</v>
      </c>
      <c r="M19" s="15" t="n">
        <f aca="false">L19*(1+IF(M$3&lt;=$O$2,$D19,$D19-($D19-$I$6)*MIN(M$3-$O$2,$Q$2)/$Q$2))</f>
        <v>3980.40938255544</v>
      </c>
      <c r="N19" s="15" t="n">
        <f aca="false">M19*(1+IF(N$3&lt;=$O$2,$D19,$D19-($D19-$I$6)*MIN(N$3-$O$2,$Q$2)/$Q$2))</f>
        <v>4093.05496808176</v>
      </c>
      <c r="O19" s="15" t="n">
        <f aca="false">SUMPRODUCT(E19:N19,1/(1+$F$6)^$E$3:$N$3)*$E$2</f>
        <v>10810.1127389248</v>
      </c>
      <c r="P19" s="15" t="n">
        <f aca="false">N19*$E$2*(1+$I$6)/($F$6-$I$6)/(1+$F$6)^$N$3</f>
        <v>16228.4280412123</v>
      </c>
      <c r="Q19" s="15" t="n">
        <f aca="false">O19+P19</f>
        <v>27038.5407801371</v>
      </c>
      <c r="R19" s="15" t="n">
        <f aca="false">Q19-$G$2+$I$2</f>
        <v>22970.7407801371</v>
      </c>
      <c r="S19" s="42" t="n">
        <f aca="false">R19/$K$2</f>
        <v>176.480798863991</v>
      </c>
      <c r="T19" s="43" t="n">
        <f aca="false">S19-$M$2</f>
        <v>-0.147965733427242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0.0262451171875</v>
      </c>
      <c r="C20" s="25" t="n">
        <f aca="false">IF(T19&gt;0,D19,C19)</f>
        <v>0.026611328125</v>
      </c>
      <c r="D20" s="41" t="n">
        <f aca="false">(B20+C20)/2</f>
        <v>0.02642822265625</v>
      </c>
      <c r="E20" s="15" t="n">
        <f aca="false">$C$2*(1+IF(E$3&lt;=$O$2,$D20,$D20-($D20-$I$6)*MIN(E$3-$O$2,$Q$2)/$Q$2))</f>
        <v>3222.98461914063</v>
      </c>
      <c r="F20" s="15" t="n">
        <f aca="false">E20*(1+IF(F$3&lt;=$O$2,$D20,$D20-($D20-$I$6)*MIN(F$3-$O$2,$Q$2)/$Q$2))</f>
        <v>3308.16237427294</v>
      </c>
      <c r="G20" s="15" t="n">
        <f aca="false">F20*(1+IF(G$3&lt;=$O$2,$D20,$D20-($D20-$I$6)*MIN(G$3-$O$2,$Q$2)/$Q$2))</f>
        <v>3395.59122608326</v>
      </c>
      <c r="H20" s="15" t="n">
        <f aca="false">G20*(1+IF(H$3&lt;=$O$2,$D20,$D20-($D20-$I$6)*MIN(H$3-$O$2,$Q$2)/$Q$2))</f>
        <v>3485.33066705579</v>
      </c>
      <c r="I20" s="15" t="n">
        <f aca="false">H20*(1+IF(I$3&lt;=$O$2,$D20,$D20-($D20-$I$6)*MIN(I$3-$O$2,$Q$2)/$Q$2))</f>
        <v>3577.4417619554</v>
      </c>
      <c r="J20" s="15" t="n">
        <f aca="false">I20*(1+IF(J$3&lt;=$O$2,$D20,$D20-($D20-$I$6)*MIN(J$3-$O$2,$Q$2)/$Q$2))</f>
        <v>3673.32642426785</v>
      </c>
      <c r="K20" s="15" t="n">
        <f aca="false">J20*(1+IF(K$3&lt;=$O$2,$D20,$D20-($D20-$I$6)*MIN(K$3-$O$2,$Q$2)/$Q$2))</f>
        <v>3773.15617256834</v>
      </c>
      <c r="L20" s="15" t="n">
        <f aca="false">K20*(1+IF(L$3&lt;=$O$2,$D20,$D20-($D20-$I$6)*MIN(L$3-$O$2,$Q$2)/$Q$2))</f>
        <v>3877.11148895673</v>
      </c>
      <c r="M20" s="15" t="n">
        <f aca="false">L20*(1+IF(M$3&lt;=$O$2,$D20,$D20-($D20-$I$6)*MIN(M$3-$O$2,$Q$2)/$Q$2))</f>
        <v>3985.38232620536</v>
      </c>
      <c r="N20" s="15" t="n">
        <f aca="false">M20*(1+IF(N$3&lt;=$O$2,$D20,$D20-($D20-$I$6)*MIN(N$3-$O$2,$Q$2)/$Q$2))</f>
        <v>4098.16864603697</v>
      </c>
      <c r="O20" s="15" t="n">
        <f aca="false">SUMPRODUCT(E20:N20,1/(1+$F$6)^$E$3:$N$3)*$E$2</f>
        <v>10818.7806275264</v>
      </c>
      <c r="P20" s="15" t="n">
        <f aca="false">N20*$E$2*(1+$I$6)/($F$6-$I$6)/(1+$F$6)^$N$3</f>
        <v>16248.7031060158</v>
      </c>
      <c r="Q20" s="15" t="n">
        <f aca="false">O20+P20</f>
        <v>27067.4837335421</v>
      </c>
      <c r="R20" s="15" t="n">
        <f aca="false">Q20-$G$2+$I$2</f>
        <v>22999.6837335421</v>
      </c>
      <c r="S20" s="42" t="n">
        <f aca="false">R20/$K$2</f>
        <v>176.703163287816</v>
      </c>
      <c r="T20" s="43" t="n">
        <f aca="false">S20-$M$2</f>
        <v>0.0743986903972882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0.0262451171875</v>
      </c>
      <c r="C21" s="25" t="n">
        <f aca="false">IF(T20&gt;0,D20,C20)</f>
        <v>0.02642822265625</v>
      </c>
      <c r="D21" s="41" t="n">
        <f aca="false">(B21+C21)/2</f>
        <v>0.026336669921875</v>
      </c>
      <c r="E21" s="15" t="n">
        <f aca="false">$C$2*(1+IF(E$3&lt;=$O$2,$D21,$D21-($D21-$I$6)*MIN(E$3-$O$2,$Q$2)/$Q$2))</f>
        <v>3222.69714355469</v>
      </c>
      <c r="F21" s="15" t="n">
        <f aca="false">E21*(1+IF(F$3&lt;=$O$2,$D21,$D21-($D21-$I$6)*MIN(F$3-$O$2,$Q$2)/$Q$2))</f>
        <v>3307.57225448266</v>
      </c>
      <c r="G21" s="15" t="n">
        <f aca="false">F21*(1+IF(G$3&lt;=$O$2,$D21,$D21-($D21-$I$6)*MIN(G$3-$O$2,$Q$2)/$Q$2))</f>
        <v>3394.68269319172</v>
      </c>
      <c r="H21" s="15" t="n">
        <f aca="false">G21*(1+IF(H$3&lt;=$O$2,$D21,$D21-($D21-$I$6)*MIN(H$3-$O$2,$Q$2)/$Q$2))</f>
        <v>3484.08733077181</v>
      </c>
      <c r="I21" s="15" t="n">
        <f aca="false">H21*(1+IF(I$3&lt;=$O$2,$D21,$D21-($D21-$I$6)*MIN(I$3-$O$2,$Q$2)/$Q$2))</f>
        <v>3575.84658878133</v>
      </c>
      <c r="J21" s="15" t="n">
        <f aca="false">I21*(1+IF(J$3&lt;=$O$2,$D21,$D21-($D21-$I$6)*MIN(J$3-$O$2,$Q$2)/$Q$2))</f>
        <v>3671.42659351383</v>
      </c>
      <c r="K21" s="15" t="n">
        <f aca="false">J21*(1+IF(K$3&lt;=$O$2,$D21,$D21-($D21-$I$6)*MIN(K$3-$O$2,$Q$2)/$Q$2))</f>
        <v>3771.00303275387</v>
      </c>
      <c r="L21" s="15" t="n">
        <f aca="false">K21*(1+IF(L$3&lt;=$O$2,$D21,$D21-($D21-$I$6)*MIN(L$3-$O$2,$Q$2)/$Q$2))</f>
        <v>3874.76092910924</v>
      </c>
      <c r="M21" s="15" t="n">
        <f aca="false">L21*(1+IF(M$3&lt;=$O$2,$D21,$D21-($D21-$I$6)*MIN(M$3-$O$2,$Q$2)/$Q$2))</f>
        <v>3982.8951764675</v>
      </c>
      <c r="N21" s="15" t="n">
        <f aca="false">M21*(1+IF(N$3&lt;=$O$2,$D21,$D21-($D21-$I$6)*MIN(N$3-$O$2,$Q$2)/$Q$2))</f>
        <v>4095.61110996153</v>
      </c>
      <c r="O21" s="15" t="n">
        <f aca="false">SUMPRODUCT(E21:N21,1/(1+$F$6)^$E$3:$N$3)*$E$2</f>
        <v>10814.4458027896</v>
      </c>
      <c r="P21" s="15" t="n">
        <f aca="false">N21*$E$2*(1+$I$6)/($F$6-$I$6)/(1+$F$6)^$N$3</f>
        <v>16238.5628097122</v>
      </c>
      <c r="Q21" s="15" t="n">
        <f aca="false">O21+P21</f>
        <v>27053.0086125018</v>
      </c>
      <c r="R21" s="15" t="n">
        <f aca="false">Q21-$G$2+$I$2</f>
        <v>22985.2086125018</v>
      </c>
      <c r="S21" s="42" t="n">
        <f aca="false">R21/$K$2</f>
        <v>176.591953076996</v>
      </c>
      <c r="T21" s="43" t="n">
        <f aca="false">S21-$M$2</f>
        <v>-0.0368115204222761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0.026336669921875</v>
      </c>
      <c r="C22" s="25" t="n">
        <f aca="false">IF(T21&gt;0,D21,C21)</f>
        <v>0.02642822265625</v>
      </c>
      <c r="D22" s="41" t="n">
        <f aca="false">(B22+C22)/2</f>
        <v>0.0263824462890625</v>
      </c>
      <c r="E22" s="15" t="n">
        <f aca="false">$C$2*(1+IF(E$3&lt;=$O$2,$D22,$D22-($D22-$I$6)*MIN(E$3-$O$2,$Q$2)/$Q$2))</f>
        <v>3222.84088134766</v>
      </c>
      <c r="F22" s="15" t="n">
        <f aca="false">E22*(1+IF(F$3&lt;=$O$2,$D22,$D22-($D22-$I$6)*MIN(F$3-$O$2,$Q$2)/$Q$2))</f>
        <v>3307.86730779801</v>
      </c>
      <c r="G22" s="15" t="n">
        <f aca="false">F22*(1+IF(G$3&lt;=$O$2,$D22,$D22-($D22-$I$6)*MIN(G$3-$O$2,$Q$2)/$Q$2))</f>
        <v>3395.13693937733</v>
      </c>
      <c r="H22" s="15" t="n">
        <f aca="false">G22*(1+IF(H$3&lt;=$O$2,$D22,$D22-($D22-$I$6)*MIN(H$3-$O$2,$Q$2)/$Q$2))</f>
        <v>3484.70895732447</v>
      </c>
      <c r="I22" s="15" t="n">
        <f aca="false">H22*(1+IF(I$3&lt;=$O$2,$D22,$D22-($D22-$I$6)*MIN(I$3-$O$2,$Q$2)/$Q$2))</f>
        <v>3576.6441042241</v>
      </c>
      <c r="J22" s="15" t="n">
        <f aca="false">I22*(1+IF(J$3&lt;=$O$2,$D22,$D22-($D22-$I$6)*MIN(J$3-$O$2,$Q$2)/$Q$2))</f>
        <v>3672.37640663383</v>
      </c>
      <c r="K22" s="15" t="n">
        <f aca="false">J22*(1+IF(K$3&lt;=$O$2,$D22,$D22-($D22-$I$6)*MIN(K$3-$O$2,$Q$2)/$Q$2))</f>
        <v>3772.07947153767</v>
      </c>
      <c r="L22" s="15" t="n">
        <f aca="false">K22*(1+IF(L$3&lt;=$O$2,$D22,$D22-($D22-$I$6)*MIN(L$3-$O$2,$Q$2)/$Q$2))</f>
        <v>3875.93605458674</v>
      </c>
      <c r="M22" s="15" t="n">
        <f aca="false">L22*(1+IF(M$3&lt;=$O$2,$D22,$D22-($D22-$I$6)*MIN(M$3-$O$2,$Q$2)/$Q$2))</f>
        <v>3984.13858181858</v>
      </c>
      <c r="N22" s="15" t="n">
        <f aca="false">M22*(1+IF(N$3&lt;=$O$2,$D22,$D22-($D22-$I$6)*MIN(N$3-$O$2,$Q$2)/$Q$2))</f>
        <v>4096.88970368405</v>
      </c>
      <c r="O22" s="15" t="n">
        <f aca="false">SUMPRODUCT(E22:N22,1/(1+$F$6)^$E$3:$N$3)*$E$2</f>
        <v>10816.612995007</v>
      </c>
      <c r="P22" s="15" t="n">
        <f aca="false">N22*$E$2*(1+$I$6)/($F$6-$I$6)/(1+$F$6)^$N$3</f>
        <v>16243.632266727</v>
      </c>
      <c r="Q22" s="15" t="n">
        <f aca="false">O22+P22</f>
        <v>27060.245261734</v>
      </c>
      <c r="R22" s="15" t="n">
        <f aca="false">Q22-$G$2+$I$2</f>
        <v>22992.445261734</v>
      </c>
      <c r="S22" s="42" t="n">
        <f aca="false">R22/$K$2</f>
        <v>176.647551181115</v>
      </c>
      <c r="T22" s="43" t="n">
        <f aca="false">S22-$M$2</f>
        <v>0.0187865836966807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0.026336669921875</v>
      </c>
      <c r="C23" s="25" t="n">
        <f aca="false">IF(T22&gt;0,D22,C22)</f>
        <v>0.0263824462890625</v>
      </c>
      <c r="D23" s="41" t="n">
        <f aca="false">(B23+C23)/2</f>
        <v>0.0263595581054688</v>
      </c>
      <c r="E23" s="15" t="n">
        <f aca="false">$C$2*(1+IF(E$3&lt;=$O$2,$D23,$D23-($D23-$I$6)*MIN(E$3-$O$2,$Q$2)/$Q$2))</f>
        <v>3222.76901245117</v>
      </c>
      <c r="F23" s="15" t="n">
        <f aca="false">E23*(1+IF(F$3&lt;=$O$2,$D23,$D23-($D23-$I$6)*MIN(F$3-$O$2,$Q$2)/$Q$2))</f>
        <v>3307.71977949538</v>
      </c>
      <c r="G23" s="15" t="n">
        <f aca="false">F23*(1+IF(G$3&lt;=$O$2,$D23,$D23-($D23-$I$6)*MIN(G$3-$O$2,$Q$2)/$Q$2))</f>
        <v>3394.9098112196</v>
      </c>
      <c r="H23" s="15" t="n">
        <f aca="false">G23*(1+IF(H$3&lt;=$O$2,$D23,$D23-($D23-$I$6)*MIN(H$3-$O$2,$Q$2)/$Q$2))</f>
        <v>3484.39813365127</v>
      </c>
      <c r="I23" s="15" t="n">
        <f aca="false">H23*(1+IF(I$3&lt;=$O$2,$D23,$D23-($D23-$I$6)*MIN(I$3-$O$2,$Q$2)/$Q$2))</f>
        <v>3576.24532871784</v>
      </c>
      <c r="J23" s="15" t="n">
        <f aca="false">I23*(1+IF(J$3&lt;=$O$2,$D23,$D23-($D23-$I$6)*MIN(J$3-$O$2,$Q$2)/$Q$2))</f>
        <v>3671.90147451178</v>
      </c>
      <c r="K23" s="15" t="n">
        <f aca="false">J23*(1+IF(K$3&lt;=$O$2,$D23,$D23-($D23-$I$6)*MIN(K$3-$O$2,$Q$2)/$Q$2))</f>
        <v>3771.54121936822</v>
      </c>
      <c r="L23" s="15" t="n">
        <f aca="false">K23*(1+IF(L$3&lt;=$O$2,$D23,$D23-($D23-$I$6)*MIN(L$3-$O$2,$Q$2)/$Q$2))</f>
        <v>3875.34845324074</v>
      </c>
      <c r="M23" s="15" t="n">
        <f aca="false">L23*(1+IF(M$3&lt;=$O$2,$D23,$D23-($D23-$I$6)*MIN(M$3-$O$2,$Q$2)/$Q$2))</f>
        <v>3983.51683676853</v>
      </c>
      <c r="N23" s="15" t="n">
        <f aca="false">M23*(1+IF(N$3&lt;=$O$2,$D23,$D23-($D23-$I$6)*MIN(N$3-$O$2,$Q$2)/$Q$2))</f>
        <v>4096.25036324908</v>
      </c>
      <c r="O23" s="15" t="n">
        <f aca="false">SUMPRODUCT(E23:N23,1/(1+$F$6)^$E$3:$N$3)*$E$2</f>
        <v>10815.5293438658</v>
      </c>
      <c r="P23" s="15" t="n">
        <f aca="false">N23*$E$2*(1+$I$6)/($F$6-$I$6)/(1+$F$6)^$N$3</f>
        <v>16241.0973654555</v>
      </c>
      <c r="Q23" s="15" t="n">
        <f aca="false">O23+P23</f>
        <v>27056.6267093214</v>
      </c>
      <c r="R23" s="15" t="n">
        <f aca="false">Q23-$G$2+$I$2</f>
        <v>22988.8267093214</v>
      </c>
      <c r="S23" s="42" t="n">
        <f aca="false">R23/$K$2</f>
        <v>176.619750378929</v>
      </c>
      <c r="T23" s="43" t="n">
        <f aca="false">S23-$M$2</f>
        <v>-0.0090142184899662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0.0263595581054688</v>
      </c>
      <c r="C24" s="25" t="n">
        <f aca="false">IF(T23&gt;0,D23,C23)</f>
        <v>0.0263824462890625</v>
      </c>
      <c r="D24" s="41" t="n">
        <f aca="false">(B24+C24)/2</f>
        <v>0.0263710021972656</v>
      </c>
      <c r="E24" s="15" t="n">
        <f aca="false">$C$2*(1+IF(E$3&lt;=$O$2,$D24,$D24-($D24-$I$6)*MIN(E$3-$O$2,$Q$2)/$Q$2))</f>
        <v>3222.80494689941</v>
      </c>
      <c r="F24" s="15" t="n">
        <f aca="false">E24*(1+IF(F$3&lt;=$O$2,$D24,$D24-($D24-$I$6)*MIN(F$3-$O$2,$Q$2)/$Q$2))</f>
        <v>3307.79354323546</v>
      </c>
      <c r="G24" s="15" t="n">
        <f aca="false">F24*(1+IF(G$3&lt;=$O$2,$D24,$D24-($D24-$I$6)*MIN(G$3-$O$2,$Q$2)/$Q$2))</f>
        <v>3395.02337403222</v>
      </c>
      <c r="H24" s="15" t="n">
        <f aca="false">G24*(1+IF(H$3&lt;=$O$2,$D24,$D24-($D24-$I$6)*MIN(H$3-$O$2,$Q$2)/$Q$2))</f>
        <v>3484.55354288859</v>
      </c>
      <c r="I24" s="15" t="n">
        <f aca="false">H24*(1+IF(I$3&lt;=$O$2,$D24,$D24-($D24-$I$6)*MIN(I$3-$O$2,$Q$2)/$Q$2))</f>
        <v>3576.4447120246</v>
      </c>
      <c r="J24" s="15" t="n">
        <f aca="false">I24*(1+IF(J$3&lt;=$O$2,$D24,$D24-($D24-$I$6)*MIN(J$3-$O$2,$Q$2)/$Q$2))</f>
        <v>3672.13893418202</v>
      </c>
      <c r="K24" s="15" t="n">
        <f aca="false">J24*(1+IF(K$3&lt;=$O$2,$D24,$D24-($D24-$I$6)*MIN(K$3-$O$2,$Q$2)/$Q$2))</f>
        <v>3771.81033725814</v>
      </c>
      <c r="L24" s="15" t="n">
        <f aca="false">K24*(1+IF(L$3&lt;=$O$2,$D24,$D24-($D24-$I$6)*MIN(L$3-$O$2,$Q$2)/$Q$2))</f>
        <v>3875.64224426139</v>
      </c>
      <c r="M24" s="15" t="n">
        <f aca="false">L24*(1+IF(M$3&lt;=$O$2,$D24,$D24-($D24-$I$6)*MIN(M$3-$O$2,$Q$2)/$Q$2))</f>
        <v>3983.82769869931</v>
      </c>
      <c r="N24" s="15" t="n">
        <f aca="false">M24*(1+IF(N$3&lt;=$O$2,$D24,$D24-($D24-$I$6)*MIN(N$3-$O$2,$Q$2)/$Q$2))</f>
        <v>4096.5700225725</v>
      </c>
      <c r="O24" s="15" t="n">
        <f aca="false">SUMPRODUCT(E24:N24,1/(1+$F$6)^$E$3:$N$3)*$E$2</f>
        <v>10816.0711556776</v>
      </c>
      <c r="P24" s="15" t="n">
        <f aca="false">N24*$E$2*(1+$I$6)/($F$6-$I$6)/(1+$F$6)^$N$3</f>
        <v>16242.3647728977</v>
      </c>
      <c r="Q24" s="15" t="n">
        <f aca="false">O24+P24</f>
        <v>27058.4359285753</v>
      </c>
      <c r="R24" s="15" t="n">
        <f aca="false">Q24-$G$2+$I$2</f>
        <v>22990.6359285753</v>
      </c>
      <c r="S24" s="42" t="n">
        <f aca="false">R24/$K$2</f>
        <v>176.633650342466</v>
      </c>
      <c r="T24" s="43" t="n">
        <f aca="false">S24-$M$2</f>
        <v>0.00488574504711892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0.0263595581054688</v>
      </c>
      <c r="C25" s="25" t="n">
        <f aca="false">IF(T24&gt;0,D24,C24)</f>
        <v>0.0263710021972656</v>
      </c>
      <c r="D25" s="41" t="n">
        <f aca="false">(B25+C25)/2</f>
        <v>0.0263652801513672</v>
      </c>
      <c r="E25" s="15" t="n">
        <f aca="false">$C$2*(1+IF(E$3&lt;=$O$2,$D25,$D25-($D25-$I$6)*MIN(E$3-$O$2,$Q$2)/$Q$2))</f>
        <v>3222.78697967529</v>
      </c>
      <c r="F25" s="15" t="n">
        <f aca="false">E25*(1+IF(F$3&lt;=$O$2,$D25,$D25-($D25-$I$6)*MIN(F$3-$O$2,$Q$2)/$Q$2))</f>
        <v>3307.75666126261</v>
      </c>
      <c r="G25" s="15" t="n">
        <f aca="false">F25*(1+IF(G$3&lt;=$O$2,$D25,$D25-($D25-$I$6)*MIN(G$3-$O$2,$Q$2)/$Q$2))</f>
        <v>3394.96659230935</v>
      </c>
      <c r="H25" s="15" t="n">
        <f aca="false">G25*(1+IF(H$3&lt;=$O$2,$D25,$D25-($D25-$I$6)*MIN(H$3-$O$2,$Q$2)/$Q$2))</f>
        <v>3484.47583762012</v>
      </c>
      <c r="I25" s="15" t="n">
        <f aca="false">H25*(1+IF(I$3&lt;=$O$2,$D25,$D25-($D25-$I$6)*MIN(I$3-$O$2,$Q$2)/$Q$2))</f>
        <v>3576.34501925964</v>
      </c>
      <c r="J25" s="15" t="n">
        <f aca="false">I25*(1+IF(J$3&lt;=$O$2,$D25,$D25-($D25-$I$6)*MIN(J$3-$O$2,$Q$2)/$Q$2))</f>
        <v>3672.02020274923</v>
      </c>
      <c r="K25" s="15" t="n">
        <f aca="false">J25*(1+IF(K$3&lt;=$O$2,$D25,$D25-($D25-$I$6)*MIN(K$3-$O$2,$Q$2)/$Q$2))</f>
        <v>3771.67577626453</v>
      </c>
      <c r="L25" s="15" t="n">
        <f aca="false">K25*(1+IF(L$3&lt;=$O$2,$D25,$D25-($D25-$I$6)*MIN(L$3-$O$2,$Q$2)/$Q$2))</f>
        <v>3875.49534633804</v>
      </c>
      <c r="M25" s="15" t="n">
        <f aca="false">L25*(1+IF(M$3&lt;=$O$2,$D25,$D25-($D25-$I$6)*MIN(M$3-$O$2,$Q$2)/$Q$2))</f>
        <v>3983.67226508544</v>
      </c>
      <c r="N25" s="15" t="n">
        <f aca="false">M25*(1+IF(N$3&lt;=$O$2,$D25,$D25-($D25-$I$6)*MIN(N$3-$O$2,$Q$2)/$Q$2))</f>
        <v>4096.41019018736</v>
      </c>
      <c r="O25" s="15" t="n">
        <f aca="false">SUMPRODUCT(E25:N25,1/(1+$F$6)^$E$3:$N$3)*$E$2</f>
        <v>10815.8002463321</v>
      </c>
      <c r="P25" s="15" t="n">
        <f aca="false">N25*$E$2*(1+$I$6)/($F$6-$I$6)/(1+$F$6)^$N$3</f>
        <v>16241.7310583786</v>
      </c>
      <c r="Q25" s="15" t="n">
        <f aca="false">O25+P25</f>
        <v>27057.5313047107</v>
      </c>
      <c r="R25" s="15" t="n">
        <f aca="false">Q25-$G$2+$I$2</f>
        <v>22989.7313047107</v>
      </c>
      <c r="S25" s="42" t="n">
        <f aca="false">R25/$K$2</f>
        <v>176.626700251311</v>
      </c>
      <c r="T25" s="43" t="n">
        <f aca="false">S25-$M$2</f>
        <v>-0.00206434610740303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0.0263652801513672</v>
      </c>
      <c r="C26" s="25" t="n">
        <f aca="false">IF(T25&gt;0,D25,C25)</f>
        <v>0.0263710021972656</v>
      </c>
      <c r="D26" s="41" t="n">
        <f aca="false">(B26+C26)/2</f>
        <v>0.0263681411743164</v>
      </c>
      <c r="E26" s="15" t="n">
        <f aca="false">$C$2*(1+IF(E$3&lt;=$O$2,$D26,$D26-($D26-$I$6)*MIN(E$3-$O$2,$Q$2)/$Q$2))</f>
        <v>3222.79596328735</v>
      </c>
      <c r="F26" s="15" t="n">
        <f aca="false">E26*(1+IF(F$3&lt;=$O$2,$D26,$D26-($D26-$I$6)*MIN(F$3-$O$2,$Q$2)/$Q$2))</f>
        <v>3307.77510222333</v>
      </c>
      <c r="G26" s="15" t="n">
        <f aca="false">F26*(1+IF(G$3&lt;=$O$2,$D26,$D26-($D26-$I$6)*MIN(G$3-$O$2,$Q$2)/$Q$2))</f>
        <v>3394.99498309165</v>
      </c>
      <c r="H26" s="15" t="n">
        <f aca="false">G26*(1+IF(H$3&lt;=$O$2,$D26,$D26-($D26-$I$6)*MIN(H$3-$O$2,$Q$2)/$Q$2))</f>
        <v>3484.5146900919</v>
      </c>
      <c r="I26" s="15" t="n">
        <f aca="false">H26*(1+IF(I$3&lt;=$O$2,$D26,$D26-($D26-$I$6)*MIN(I$3-$O$2,$Q$2)/$Q$2))</f>
        <v>3576.39486536422</v>
      </c>
      <c r="J26" s="15" t="n">
        <f aca="false">I26*(1+IF(J$3&lt;=$O$2,$D26,$D26-($D26-$I$6)*MIN(J$3-$O$2,$Q$2)/$Q$2))</f>
        <v>3672.07956806621</v>
      </c>
      <c r="K26" s="15" t="n">
        <f aca="false">J26*(1+IF(K$3&lt;=$O$2,$D26,$D26-($D26-$I$6)*MIN(K$3-$O$2,$Q$2)/$Q$2))</f>
        <v>3771.74305624917</v>
      </c>
      <c r="L26" s="15" t="n">
        <f aca="false">K26*(1+IF(L$3&lt;=$O$2,$D26,$D26-($D26-$I$6)*MIN(L$3-$O$2,$Q$2)/$Q$2))</f>
        <v>3875.56879469645</v>
      </c>
      <c r="M26" s="15" t="n">
        <f aca="false">L26*(1+IF(M$3&lt;=$O$2,$D26,$D26-($D26-$I$6)*MIN(M$3-$O$2,$Q$2)/$Q$2))</f>
        <v>3983.74998123025</v>
      </c>
      <c r="N26" s="15" t="n">
        <f aca="false">M26*(1+IF(N$3&lt;=$O$2,$D26,$D26-($D26-$I$6)*MIN(N$3-$O$2,$Q$2)/$Q$2))</f>
        <v>4096.49010569906</v>
      </c>
      <c r="O26" s="15" t="n">
        <f aca="false">SUMPRODUCT(E26:N26,1/(1+$F$6)^$E$3:$N$3)*$E$2</f>
        <v>10815.9357001449</v>
      </c>
      <c r="P26" s="15" t="n">
        <f aca="false">N26*$E$2*(1+$I$6)/($F$6-$I$6)/(1+$F$6)^$N$3</f>
        <v>16242.0479129386</v>
      </c>
      <c r="Q26" s="15" t="n">
        <f aca="false">O26+P26</f>
        <v>27057.9836130835</v>
      </c>
      <c r="R26" s="15" t="n">
        <f aca="false">Q26-$G$2+$I$2</f>
        <v>22990.1836130835</v>
      </c>
      <c r="S26" s="42" t="n">
        <f aca="false">R26/$K$2</f>
        <v>176.630175269542</v>
      </c>
      <c r="T26" s="43" t="n">
        <f aca="false">S26-$M$2</f>
        <v>0.0014106721229723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0.0263652801513672</v>
      </c>
      <c r="C27" s="25" t="n">
        <f aca="false">IF(T26&gt;0,D26,C26)</f>
        <v>0.0263681411743164</v>
      </c>
      <c r="D27" s="41" t="n">
        <f aca="false">(B27+C27)/2</f>
        <v>0.0263667106628418</v>
      </c>
      <c r="E27" s="15" t="n">
        <f aca="false">$C$2*(1+IF(E$3&lt;=$O$2,$D27,$D27-($D27-$I$6)*MIN(E$3-$O$2,$Q$2)/$Q$2))</f>
        <v>3222.79147148132</v>
      </c>
      <c r="F27" s="15" t="n">
        <f aca="false">E27*(1+IF(F$3&lt;=$O$2,$D27,$D27-($D27-$I$6)*MIN(F$3-$O$2,$Q$2)/$Q$2))</f>
        <v>3307.76588173655</v>
      </c>
      <c r="G27" s="15" t="n">
        <f aca="false">F27*(1+IF(G$3&lt;=$O$2,$D27,$D27-($D27-$I$6)*MIN(G$3-$O$2,$Q$2)/$Q$2))</f>
        <v>3394.98078768071</v>
      </c>
      <c r="H27" s="15" t="n">
        <f aca="false">G27*(1+IF(H$3&lt;=$O$2,$D27,$D27-($D27-$I$6)*MIN(H$3-$O$2,$Q$2)/$Q$2))</f>
        <v>3484.4952638154</v>
      </c>
      <c r="I27" s="15" t="n">
        <f aca="false">H27*(1+IF(I$3&lt;=$O$2,$D27,$D27-($D27-$I$6)*MIN(I$3-$O$2,$Q$2)/$Q$2))</f>
        <v>3576.36994224246</v>
      </c>
      <c r="J27" s="15" t="n">
        <f aca="false">I27*(1+IF(J$3&lt;=$O$2,$D27,$D27-($D27-$I$6)*MIN(J$3-$O$2,$Q$2)/$Q$2))</f>
        <v>3672.04988530787</v>
      </c>
      <c r="K27" s="15" t="n">
        <f aca="false">J27*(1+IF(K$3&lt;=$O$2,$D27,$D27-($D27-$I$6)*MIN(K$3-$O$2,$Q$2)/$Q$2))</f>
        <v>3771.70941612881</v>
      </c>
      <c r="L27" s="15" t="n">
        <f aca="false">K27*(1+IF(L$3&lt;=$O$2,$D27,$D27-($D27-$I$6)*MIN(L$3-$O$2,$Q$2)/$Q$2))</f>
        <v>3875.53207036643</v>
      </c>
      <c r="M27" s="15" t="n">
        <f aca="false">L27*(1+IF(M$3&lt;=$O$2,$D27,$D27-($D27-$I$6)*MIN(M$3-$O$2,$Q$2)/$Q$2))</f>
        <v>3983.71112299231</v>
      </c>
      <c r="N27" s="15" t="n">
        <f aca="false">M27*(1+IF(N$3&lt;=$O$2,$D27,$D27-($D27-$I$6)*MIN(N$3-$O$2,$Q$2)/$Q$2))</f>
        <v>4096.45014777299</v>
      </c>
      <c r="O27" s="15" t="n">
        <f aca="false">SUMPRODUCT(E27:N27,1/(1+$F$6)^$E$3:$N$3)*$E$2</f>
        <v>10815.8679730235</v>
      </c>
      <c r="P27" s="15" t="n">
        <f aca="false">N27*$E$2*(1+$I$6)/($F$6-$I$6)/(1+$F$6)^$N$3</f>
        <v>16241.8894849837</v>
      </c>
      <c r="Q27" s="15" t="n">
        <f aca="false">O27+P27</f>
        <v>27057.7574580072</v>
      </c>
      <c r="R27" s="15" t="n">
        <f aca="false">Q27-$G$2+$I$2</f>
        <v>22989.9574580072</v>
      </c>
      <c r="S27" s="42" t="n">
        <f aca="false">R27/$K$2</f>
        <v>176.62843775359</v>
      </c>
      <c r="T27" s="43" t="n">
        <f aca="false">S27-$M$2</f>
        <v>-0.000326843828929668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0.0263667106628418</v>
      </c>
      <c r="C28" s="25" t="n">
        <f aca="false">IF(T27&gt;0,D27,C27)</f>
        <v>0.0263681411743164</v>
      </c>
      <c r="D28" s="41" t="n">
        <f aca="false">(B28+C28)/2</f>
        <v>0.0263674259185791</v>
      </c>
      <c r="E28" s="15" t="n">
        <f aca="false">$C$2*(1+IF(E$3&lt;=$O$2,$D28,$D28-($D28-$I$6)*MIN(E$3-$O$2,$Q$2)/$Q$2))</f>
        <v>3222.79371738434</v>
      </c>
      <c r="F28" s="15" t="n">
        <f aca="false">E28*(1+IF(F$3&lt;=$O$2,$D28,$D28-($D28-$I$6)*MIN(F$3-$O$2,$Q$2)/$Q$2))</f>
        <v>3307.77049197833</v>
      </c>
      <c r="G28" s="15" t="n">
        <f aca="false">F28*(1+IF(G$3&lt;=$O$2,$D28,$D28-($D28-$I$6)*MIN(G$3-$O$2,$Q$2)/$Q$2))</f>
        <v>3394.98788538123</v>
      </c>
      <c r="H28" s="15" t="n">
        <f aca="false">G28*(1+IF(H$3&lt;=$O$2,$D28,$D28-($D28-$I$6)*MIN(H$3-$O$2,$Q$2)/$Q$2))</f>
        <v>3484.5049769435</v>
      </c>
      <c r="I28" s="15" t="n">
        <f aca="false">H28*(1+IF(I$3&lt;=$O$2,$D28,$D28-($D28-$I$6)*MIN(I$3-$O$2,$Q$2)/$Q$2))</f>
        <v>3576.38240378597</v>
      </c>
      <c r="J28" s="15" t="n">
        <f aca="false">I28*(1+IF(J$3&lt;=$O$2,$D28,$D28-($D28-$I$6)*MIN(J$3-$O$2,$Q$2)/$Q$2))</f>
        <v>3672.06472666207</v>
      </c>
      <c r="K28" s="15" t="n">
        <f aca="false">J28*(1+IF(K$3&lt;=$O$2,$D28,$D28-($D28-$I$6)*MIN(K$3-$O$2,$Q$2)/$Q$2))</f>
        <v>3771.72623615698</v>
      </c>
      <c r="L28" s="15" t="n">
        <f aca="false">K28*(1+IF(L$3&lt;=$O$2,$D28,$D28-($D28-$I$6)*MIN(L$3-$O$2,$Q$2)/$Q$2))</f>
        <v>3875.55043249374</v>
      </c>
      <c r="M28" s="15" t="n">
        <f aca="false">L28*(1+IF(M$3&lt;=$O$2,$D28,$D28-($D28-$I$6)*MIN(M$3-$O$2,$Q$2)/$Q$2))</f>
        <v>3983.73055206989</v>
      </c>
      <c r="N28" s="15" t="n">
        <f aca="false">M28*(1+IF(N$3&lt;=$O$2,$D28,$D28-($D28-$I$6)*MIN(N$3-$O$2,$Q$2)/$Q$2))</f>
        <v>4096.47012669347</v>
      </c>
      <c r="O28" s="15" t="n">
        <f aca="false">SUMPRODUCT(E28:N28,1/(1+$F$6)^$E$3:$N$3)*$E$2</f>
        <v>10815.9018365305</v>
      </c>
      <c r="P28" s="15" t="n">
        <f aca="false">N28*$E$2*(1+$I$6)/($F$6-$I$6)/(1+$F$6)^$N$3</f>
        <v>16241.9686987924</v>
      </c>
      <c r="Q28" s="15" t="n">
        <f aca="false">O28+P28</f>
        <v>27057.8705353229</v>
      </c>
      <c r="R28" s="15" t="n">
        <f aca="false">Q28-$G$2+$I$2</f>
        <v>22990.0705353229</v>
      </c>
      <c r="S28" s="42" t="n">
        <f aca="false">R28/$K$2</f>
        <v>176.629306509856</v>
      </c>
      <c r="T28" s="43" t="n">
        <f aca="false">S28-$M$2</f>
        <v>0.000541912437824976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0.0263667106628418</v>
      </c>
      <c r="C29" s="25" t="n">
        <f aca="false">IF(T28&gt;0,D28,C28)</f>
        <v>0.0263674259185791</v>
      </c>
      <c r="D29" s="41" t="n">
        <f aca="false">(B29+C29)/2</f>
        <v>0.0263670682907105</v>
      </c>
      <c r="E29" s="15" t="n">
        <f aca="false">$C$2*(1+IF(E$3&lt;=$O$2,$D29,$D29-($D29-$I$6)*MIN(E$3-$O$2,$Q$2)/$Q$2))</f>
        <v>3222.79259443283</v>
      </c>
      <c r="F29" s="15" t="n">
        <f aca="false">E29*(1+IF(F$3&lt;=$O$2,$D29,$D29-($D29-$I$6)*MIN(F$3-$O$2,$Q$2)/$Q$2))</f>
        <v>3307.76818685704</v>
      </c>
      <c r="G29" s="15" t="n">
        <f aca="false">F29*(1+IF(G$3&lt;=$O$2,$D29,$D29-($D29-$I$6)*MIN(G$3-$O$2,$Q$2)/$Q$2))</f>
        <v>3394.98433652974</v>
      </c>
      <c r="H29" s="15" t="n">
        <f aca="false">G29*(1+IF(H$3&lt;=$O$2,$D29,$D29-($D29-$I$6)*MIN(H$3-$O$2,$Q$2)/$Q$2))</f>
        <v>3484.50012037691</v>
      </c>
      <c r="I29" s="15" t="n">
        <f aca="false">H29*(1+IF(I$3&lt;=$O$2,$D29,$D29-($D29-$I$6)*MIN(I$3-$O$2,$Q$2)/$Q$2))</f>
        <v>3576.37617300987</v>
      </c>
      <c r="J29" s="15" t="n">
        <f aca="false">I29*(1+IF(J$3&lt;=$O$2,$D29,$D29-($D29-$I$6)*MIN(J$3-$O$2,$Q$2)/$Q$2))</f>
        <v>3672.05730597873</v>
      </c>
      <c r="K29" s="15" t="n">
        <f aca="false">J29*(1+IF(K$3&lt;=$O$2,$D29,$D29-($D29-$I$6)*MIN(K$3-$O$2,$Q$2)/$Q$2))</f>
        <v>3771.71782613489</v>
      </c>
      <c r="L29" s="15" t="n">
        <f aca="false">K29*(1+IF(L$3&lt;=$O$2,$D29,$D29-($D29-$I$6)*MIN(L$3-$O$2,$Q$2)/$Q$2))</f>
        <v>3875.54125142066</v>
      </c>
      <c r="M29" s="15" t="n">
        <f aca="false">L29*(1+IF(M$3&lt;=$O$2,$D29,$D29-($D29-$I$6)*MIN(M$3-$O$2,$Q$2)/$Q$2))</f>
        <v>3983.72083752076</v>
      </c>
      <c r="N29" s="15" t="n">
        <f aca="false">M29*(1+IF(N$3&lt;=$O$2,$D29,$D29-($D29-$I$6)*MIN(N$3-$O$2,$Q$2)/$Q$2))</f>
        <v>4096.46013722259</v>
      </c>
      <c r="O29" s="15" t="n">
        <f aca="false">SUMPRODUCT(E29:N29,1/(1+$F$6)^$E$3:$N$3)*$E$2</f>
        <v>10815.8849047636</v>
      </c>
      <c r="P29" s="15" t="n">
        <f aca="false">N29*$E$2*(1+$I$6)/($F$6-$I$6)/(1+$F$6)^$N$3</f>
        <v>16241.9290918459</v>
      </c>
      <c r="Q29" s="15" t="n">
        <f aca="false">O29+P29</f>
        <v>27057.8139966095</v>
      </c>
      <c r="R29" s="15" t="n">
        <f aca="false">Q29-$G$2+$I$2</f>
        <v>22990.0139966095</v>
      </c>
      <c r="S29" s="42" t="n">
        <f aca="false">R29/$K$2</f>
        <v>176.628872131296</v>
      </c>
      <c r="T29" s="43" t="n">
        <f aca="false">S29-$M$2</f>
        <v>0.000107533877155674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0.0263667106628418</v>
      </c>
      <c r="C30" s="25" t="n">
        <f aca="false">IF(T29&gt;0,D29,C29)</f>
        <v>0.0263670682907105</v>
      </c>
      <c r="D30" s="41" t="n">
        <f aca="false">(B30+C30)/2</f>
        <v>0.0263668894767761</v>
      </c>
      <c r="E30" s="15" t="n">
        <f aca="false">$C$2*(1+IF(E$3&lt;=$O$2,$D30,$D30-($D30-$I$6)*MIN(E$3-$O$2,$Q$2)/$Q$2))</f>
        <v>3222.79203295708</v>
      </c>
      <c r="F30" s="15" t="n">
        <f aca="false">E30*(1+IF(F$3&lt;=$O$2,$D30,$D30-($D30-$I$6)*MIN(F$3-$O$2,$Q$2)/$Q$2))</f>
        <v>3307.76703429669</v>
      </c>
      <c r="G30" s="15" t="n">
        <f aca="false">F30*(1+IF(G$3&lt;=$O$2,$D30,$D30-($D30-$I$6)*MIN(G$3-$O$2,$Q$2)/$Q$2))</f>
        <v>3394.98256210492</v>
      </c>
      <c r="H30" s="15" t="n">
        <f aca="false">G30*(1+IF(H$3&lt;=$O$2,$D30,$D30-($D30-$I$6)*MIN(H$3-$O$2,$Q$2)/$Q$2))</f>
        <v>3484.49769209552</v>
      </c>
      <c r="I30" s="15" t="n">
        <f aca="false">H30*(1+IF(I$3&lt;=$O$2,$D30,$D30-($D30-$I$6)*MIN(I$3-$O$2,$Q$2)/$Q$2))</f>
        <v>3576.37305762508</v>
      </c>
      <c r="J30" s="15" t="n">
        <f aca="false">I30*(1+IF(J$3&lt;=$O$2,$D30,$D30-($D30-$I$6)*MIN(J$3-$O$2,$Q$2)/$Q$2))</f>
        <v>3672.05359564174</v>
      </c>
      <c r="K30" s="15" t="n">
        <f aca="false">J30*(1+IF(K$3&lt;=$O$2,$D30,$D30-($D30-$I$6)*MIN(K$3-$O$2,$Q$2)/$Q$2))</f>
        <v>3771.71362112985</v>
      </c>
      <c r="L30" s="15" t="n">
        <f aca="false">K30*(1+IF(L$3&lt;=$O$2,$D30,$D30-($D30-$I$6)*MIN(L$3-$O$2,$Q$2)/$Q$2))</f>
        <v>3875.53666089119</v>
      </c>
      <c r="M30" s="15" t="n">
        <f aca="false">L30*(1+IF(M$3&lt;=$O$2,$D30,$D30-($D30-$I$6)*MIN(M$3-$O$2,$Q$2)/$Q$2))</f>
        <v>3983.71598025395</v>
      </c>
      <c r="N30" s="15" t="n">
        <f aca="false">M30*(1+IF(N$3&lt;=$O$2,$D30,$D30-($D30-$I$6)*MIN(N$3-$O$2,$Q$2)/$Q$2))</f>
        <v>4096.45514249513</v>
      </c>
      <c r="O30" s="15" t="n">
        <f aca="false">SUMPRODUCT(E30:N30,1/(1+$F$6)^$E$3:$N$3)*$E$2</f>
        <v>10815.8764388902</v>
      </c>
      <c r="P30" s="15" t="n">
        <f aca="false">N30*$E$2*(1+$I$6)/($F$6-$I$6)/(1+$F$6)^$N$3</f>
        <v>16241.9092884042</v>
      </c>
      <c r="Q30" s="15" t="n">
        <f aca="false">O30+P30</f>
        <v>27057.7857272944</v>
      </c>
      <c r="R30" s="15" t="n">
        <f aca="false">Q30-$G$2+$I$2</f>
        <v>22989.9857272944</v>
      </c>
      <c r="S30" s="42" t="n">
        <f aca="false">R30/$K$2</f>
        <v>176.628654942336</v>
      </c>
      <c r="T30" s="43" t="n">
        <f aca="false">S30-$M$2</f>
        <v>-0.000109655082724203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0.0263668894767761</v>
      </c>
      <c r="C31" s="25" t="n">
        <f aca="false">IF(T30&gt;0,D30,C30)</f>
        <v>0.0263670682907105</v>
      </c>
      <c r="D31" s="41" t="n">
        <f aca="false">(B31+C31)/2</f>
        <v>0.0263669788837433</v>
      </c>
      <c r="E31" s="15" t="n">
        <f aca="false">$C$2*(1+IF(E$3&lt;=$O$2,$D31,$D31-($D31-$I$6)*MIN(E$3-$O$2,$Q$2)/$Q$2))</f>
        <v>3222.79231369495</v>
      </c>
      <c r="F31" s="15" t="n">
        <f aca="false">E31*(1+IF(F$3&lt;=$O$2,$D31,$D31-($D31-$I$6)*MIN(F$3-$O$2,$Q$2)/$Q$2))</f>
        <v>3307.76761057684</v>
      </c>
      <c r="G31" s="15" t="n">
        <f aca="false">F31*(1+IF(G$3&lt;=$O$2,$D31,$D31-($D31-$I$6)*MIN(G$3-$O$2,$Q$2)/$Q$2))</f>
        <v>3394.98344931725</v>
      </c>
      <c r="H31" s="15" t="n">
        <f aca="false">G31*(1+IF(H$3&lt;=$O$2,$D31,$D31-($D31-$I$6)*MIN(H$3-$O$2,$Q$2)/$Q$2))</f>
        <v>3484.49890623605</v>
      </c>
      <c r="I31" s="15" t="n">
        <f aca="false">H31*(1+IF(I$3&lt;=$O$2,$D31,$D31-($D31-$I$6)*MIN(I$3-$O$2,$Q$2)/$Q$2))</f>
        <v>3576.37461531721</v>
      </c>
      <c r="J31" s="15" t="n">
        <f aca="false">I31*(1+IF(J$3&lt;=$O$2,$D31,$D31-($D31-$I$6)*MIN(J$3-$O$2,$Q$2)/$Q$2))</f>
        <v>3672.05545080984</v>
      </c>
      <c r="K31" s="15" t="n">
        <f aca="false">J31*(1+IF(K$3&lt;=$O$2,$D31,$D31-($D31-$I$6)*MIN(K$3-$O$2,$Q$2)/$Q$2))</f>
        <v>3771.71572363187</v>
      </c>
      <c r="L31" s="15" t="n">
        <f aca="false">K31*(1+IF(L$3&lt;=$O$2,$D31,$D31-($D31-$I$6)*MIN(L$3-$O$2,$Q$2)/$Q$2))</f>
        <v>3875.53895615534</v>
      </c>
      <c r="M31" s="15" t="n">
        <f aca="false">L31*(1+IF(M$3&lt;=$O$2,$D31,$D31-($D31-$I$6)*MIN(M$3-$O$2,$Q$2)/$Q$2))</f>
        <v>3983.71840888671</v>
      </c>
      <c r="N31" s="15" t="n">
        <f aca="false">M31*(1+IF(N$3&lt;=$O$2,$D31,$D31-($D31-$I$6)*MIN(N$3-$O$2,$Q$2)/$Q$2))</f>
        <v>4096.4576398582</v>
      </c>
      <c r="O31" s="15" t="n">
        <f aca="false">SUMPRODUCT(E31:N31,1/(1+$F$6)^$E$3:$N$3)*$E$2</f>
        <v>10815.8806718261</v>
      </c>
      <c r="P31" s="15" t="n">
        <f aca="false">N31*$E$2*(1+$I$6)/($F$6-$I$6)/(1+$F$6)^$N$3</f>
        <v>16241.9191901224</v>
      </c>
      <c r="Q31" s="15" t="n">
        <f aca="false">O31+P31</f>
        <v>27057.7998619485</v>
      </c>
      <c r="R31" s="15" t="n">
        <f aca="false">Q31-$G$2+$I$2</f>
        <v>22989.9998619485</v>
      </c>
      <c r="S31" s="42" t="n">
        <f aca="false">R31/$K$2</f>
        <v>176.628763536789</v>
      </c>
      <c r="T31" s="43" t="n">
        <f aca="false">S31-$M$2</f>
        <v>-1.06062941540586E-006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0.0263669788837433</v>
      </c>
      <c r="C32" s="25" t="n">
        <f aca="false">IF(T31&gt;0,D31,C31)</f>
        <v>0.0263670682907105</v>
      </c>
      <c r="D32" s="41" t="n">
        <f aca="false">(B32+C32)/2</f>
        <v>0.0263670235872269</v>
      </c>
      <c r="E32" s="15" t="n">
        <f aca="false">$C$2*(1+IF(E$3&lt;=$O$2,$D32,$D32-($D32-$I$6)*MIN(E$3-$O$2,$Q$2)/$Q$2))</f>
        <v>3222.79245406389</v>
      </c>
      <c r="F32" s="15" t="n">
        <f aca="false">E32*(1+IF(F$3&lt;=$O$2,$D32,$D32-($D32-$I$6)*MIN(F$3-$O$2,$Q$2)/$Q$2))</f>
        <v>3307.76789871693</v>
      </c>
      <c r="G32" s="15" t="n">
        <f aca="false">F32*(1+IF(G$3&lt;=$O$2,$D32,$D32-($D32-$I$6)*MIN(G$3-$O$2,$Q$2)/$Q$2))</f>
        <v>3394.98389292347</v>
      </c>
      <c r="H32" s="15" t="n">
        <f aca="false">G32*(1+IF(H$3&lt;=$O$2,$D32,$D32-($D32-$I$6)*MIN(H$3-$O$2,$Q$2)/$Q$2))</f>
        <v>3484.49951330644</v>
      </c>
      <c r="I32" s="15" t="n">
        <f aca="false">H32*(1+IF(I$3&lt;=$O$2,$D32,$D32-($D32-$I$6)*MIN(I$3-$O$2,$Q$2)/$Q$2))</f>
        <v>3576.37539416347</v>
      </c>
      <c r="J32" s="15" t="n">
        <f aca="false">I32*(1+IF(J$3&lt;=$O$2,$D32,$D32-($D32-$I$6)*MIN(J$3-$O$2,$Q$2)/$Q$2))</f>
        <v>3672.05637839419</v>
      </c>
      <c r="K32" s="15" t="n">
        <f aca="false">J32*(1+IF(K$3&lt;=$O$2,$D32,$D32-($D32-$I$6)*MIN(K$3-$O$2,$Q$2)/$Q$2))</f>
        <v>3771.71677488326</v>
      </c>
      <c r="L32" s="15" t="n">
        <f aca="false">K32*(1+IF(L$3&lt;=$O$2,$D32,$D32-($D32-$I$6)*MIN(L$3-$O$2,$Q$2)/$Q$2))</f>
        <v>3875.54010378785</v>
      </c>
      <c r="M32" s="15" t="n">
        <f aca="false">L32*(1+IF(M$3&lt;=$O$2,$D32,$D32-($D32-$I$6)*MIN(M$3-$O$2,$Q$2)/$Q$2))</f>
        <v>3983.71962320357</v>
      </c>
      <c r="N32" s="15" t="n">
        <f aca="false">M32*(1+IF(N$3&lt;=$O$2,$D32,$D32-($D32-$I$6)*MIN(N$3-$O$2,$Q$2)/$Q$2))</f>
        <v>4096.45888854023</v>
      </c>
      <c r="O32" s="15" t="n">
        <f aca="false">SUMPRODUCT(E32:N32,1/(1+$F$6)^$E$3:$N$3)*$E$2</f>
        <v>10815.8827882946</v>
      </c>
      <c r="P32" s="15" t="n">
        <f aca="false">N32*$E$2*(1+$I$6)/($F$6-$I$6)/(1+$F$6)^$N$3</f>
        <v>16241.9241409835</v>
      </c>
      <c r="Q32" s="15" t="n">
        <f aca="false">O32+P32</f>
        <v>27057.8069292781</v>
      </c>
      <c r="R32" s="15" t="n">
        <f aca="false">Q32-$G$2+$I$2</f>
        <v>22990.0069292781</v>
      </c>
      <c r="S32" s="42" t="n">
        <f aca="false">R32/$K$2</f>
        <v>176.628817834036</v>
      </c>
      <c r="T32" s="43" t="n">
        <f aca="false">S32-$M$2</f>
        <v>5.32366171910326E-005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0.0263669788837433</v>
      </c>
      <c r="C33" s="25" t="n">
        <f aca="false">IF(T32&gt;0,D32,C32)</f>
        <v>0.0263670235872269</v>
      </c>
      <c r="D33" s="41" t="n">
        <f aca="false">(B33+C33)/2</f>
        <v>0.0263670012354851</v>
      </c>
      <c r="E33" s="15" t="n">
        <f aca="false">$C$2*(1+IF(E$3&lt;=$O$2,$D33,$D33-($D33-$I$6)*MIN(E$3-$O$2,$Q$2)/$Q$2))</f>
        <v>3222.79238387942</v>
      </c>
      <c r="F33" s="15" t="n">
        <f aca="false">E33*(1+IF(F$3&lt;=$O$2,$D33,$D33-($D33-$I$6)*MIN(F$3-$O$2,$Q$2)/$Q$2))</f>
        <v>3307.76775464688</v>
      </c>
      <c r="G33" s="15" t="n">
        <f aca="false">F33*(1+IF(G$3&lt;=$O$2,$D33,$D33-($D33-$I$6)*MIN(G$3-$O$2,$Q$2)/$Q$2))</f>
        <v>3394.98367112036</v>
      </c>
      <c r="H33" s="15" t="n">
        <f aca="false">G33*(1+IF(H$3&lt;=$O$2,$D33,$D33-($D33-$I$6)*MIN(H$3-$O$2,$Q$2)/$Q$2))</f>
        <v>3484.49920977124</v>
      </c>
      <c r="I33" s="15" t="n">
        <f aca="false">H33*(1+IF(I$3&lt;=$O$2,$D33,$D33-($D33-$I$6)*MIN(I$3-$O$2,$Q$2)/$Q$2))</f>
        <v>3576.37500474032</v>
      </c>
      <c r="J33" s="15" t="n">
        <f aca="false">I33*(1+IF(J$3&lt;=$O$2,$D33,$D33-($D33-$I$6)*MIN(J$3-$O$2,$Q$2)/$Q$2))</f>
        <v>3672.05591460199</v>
      </c>
      <c r="K33" s="15" t="n">
        <f aca="false">J33*(1+IF(K$3&lt;=$O$2,$D33,$D33-($D33-$I$6)*MIN(K$3-$O$2,$Q$2)/$Q$2))</f>
        <v>3771.71624925753</v>
      </c>
      <c r="L33" s="15" t="n">
        <f aca="false">K33*(1+IF(L$3&lt;=$O$2,$D33,$D33-($D33-$I$6)*MIN(L$3-$O$2,$Q$2)/$Q$2))</f>
        <v>3875.53952997156</v>
      </c>
      <c r="M33" s="15" t="n">
        <f aca="false">L33*(1+IF(M$3&lt;=$O$2,$D33,$D33-($D33-$I$6)*MIN(M$3-$O$2,$Q$2)/$Q$2))</f>
        <v>3983.7190160451</v>
      </c>
      <c r="N33" s="15" t="n">
        <f aca="false">M33*(1+IF(N$3&lt;=$O$2,$D33,$D33-($D33-$I$6)*MIN(N$3-$O$2,$Q$2)/$Q$2))</f>
        <v>4096.45826419917</v>
      </c>
      <c r="O33" s="15" t="n">
        <f aca="false">SUMPRODUCT(E33:N33,1/(1+$F$6)^$E$3:$N$3)*$E$2</f>
        <v>10815.8817300603</v>
      </c>
      <c r="P33" s="15" t="n">
        <f aca="false">N33*$E$2*(1+$I$6)/($F$6-$I$6)/(1+$F$6)^$N$3</f>
        <v>16241.9216655528</v>
      </c>
      <c r="Q33" s="15" t="n">
        <f aca="false">O33+P33</f>
        <v>27057.8033956131</v>
      </c>
      <c r="R33" s="15" t="n">
        <f aca="false">Q33-$G$2+$I$2</f>
        <v>22990.0033956131</v>
      </c>
      <c r="S33" s="42" t="n">
        <f aca="false">R33/$K$2</f>
        <v>176.628790685411</v>
      </c>
      <c r="T33" s="43" t="n">
        <f aca="false">S33-$M$2</f>
        <v>2.60879922109325E-005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0.0263669788837433</v>
      </c>
      <c r="C34" s="25" t="n">
        <f aca="false">IF(T33&gt;0,D33,C33)</f>
        <v>0.0263670012354851</v>
      </c>
      <c r="D34" s="41" t="n">
        <f aca="false">(B34+C34)/2</f>
        <v>0.0263669900596142</v>
      </c>
      <c r="E34" s="15" t="n">
        <f aca="false">$C$2*(1+IF(E$3&lt;=$O$2,$D34,$D34-($D34-$I$6)*MIN(E$3-$O$2,$Q$2)/$Q$2))</f>
        <v>3222.79234878719</v>
      </c>
      <c r="F34" s="15" t="n">
        <f aca="false">E34*(1+IF(F$3&lt;=$O$2,$D34,$D34-($D34-$I$6)*MIN(F$3-$O$2,$Q$2)/$Q$2))</f>
        <v>3307.76768261186</v>
      </c>
      <c r="G34" s="15" t="n">
        <f aca="false">F34*(1+IF(G$3&lt;=$O$2,$D34,$D34-($D34-$I$6)*MIN(G$3-$O$2,$Q$2)/$Q$2))</f>
        <v>3394.9835602188</v>
      </c>
      <c r="H34" s="15" t="n">
        <f aca="false">G34*(1+IF(H$3&lt;=$O$2,$D34,$D34-($D34-$I$6)*MIN(H$3-$O$2,$Q$2)/$Q$2))</f>
        <v>3484.49905800364</v>
      </c>
      <c r="I34" s="15" t="n">
        <f aca="false">H34*(1+IF(I$3&lt;=$O$2,$D34,$D34-($D34-$I$6)*MIN(I$3-$O$2,$Q$2)/$Q$2))</f>
        <v>3576.37481002876</v>
      </c>
      <c r="J34" s="15" t="n">
        <f aca="false">I34*(1+IF(J$3&lt;=$O$2,$D34,$D34-($D34-$I$6)*MIN(J$3-$O$2,$Q$2)/$Q$2))</f>
        <v>3672.05568270591</v>
      </c>
      <c r="K34" s="15" t="n">
        <f aca="false">J34*(1+IF(K$3&lt;=$O$2,$D34,$D34-($D34-$I$6)*MIN(K$3-$O$2,$Q$2)/$Q$2))</f>
        <v>3771.7159864447</v>
      </c>
      <c r="L34" s="15" t="n">
        <f aca="false">K34*(1+IF(L$3&lt;=$O$2,$D34,$D34-($D34-$I$6)*MIN(L$3-$O$2,$Q$2)/$Q$2))</f>
        <v>3875.53924306344</v>
      </c>
      <c r="M34" s="15" t="n">
        <f aca="false">L34*(1+IF(M$3&lt;=$O$2,$D34,$D34-($D34-$I$6)*MIN(M$3-$O$2,$Q$2)/$Q$2))</f>
        <v>3983.71871246589</v>
      </c>
      <c r="N34" s="15" t="n">
        <f aca="false">M34*(1+IF(N$3&lt;=$O$2,$D34,$D34-($D34-$I$6)*MIN(N$3-$O$2,$Q$2)/$Q$2))</f>
        <v>4096.45795202868</v>
      </c>
      <c r="O34" s="15" t="n">
        <f aca="false">SUMPRODUCT(E34:N34,1/(1+$F$6)^$E$3:$N$3)*$E$2</f>
        <v>10815.8812009432</v>
      </c>
      <c r="P34" s="15" t="n">
        <f aca="false">N34*$E$2*(1+$I$6)/($F$6-$I$6)/(1+$F$6)^$N$3</f>
        <v>16241.9204278376</v>
      </c>
      <c r="Q34" s="15" t="n">
        <f aca="false">O34+P34</f>
        <v>27057.8016287807</v>
      </c>
      <c r="R34" s="15" t="n">
        <f aca="false">Q34-$G$2+$I$2</f>
        <v>22990.0016287807</v>
      </c>
      <c r="S34" s="42" t="n">
        <f aca="false">R34/$K$2</f>
        <v>176.6287771111</v>
      </c>
      <c r="T34" s="43" t="n">
        <f aca="false">S34-$M$2</f>
        <v>1.25136809572268E-005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0.0263669788837433</v>
      </c>
      <c r="C35" s="25" t="n">
        <f aca="false">IF(T34&gt;0,D34,C34)</f>
        <v>0.0263669900596142</v>
      </c>
      <c r="D35" s="41" t="n">
        <f aca="false">(B35+C35)/2</f>
        <v>0.0263669844716787</v>
      </c>
      <c r="E35" s="15" t="n">
        <f aca="false">$C$2*(1+IF(E$3&lt;=$O$2,$D35,$D35-($D35-$I$6)*MIN(E$3-$O$2,$Q$2)/$Q$2))</f>
        <v>3222.79233124107</v>
      </c>
      <c r="F35" s="15" t="n">
        <f aca="false">E35*(1+IF(F$3&lt;=$O$2,$D35,$D35-($D35-$I$6)*MIN(F$3-$O$2,$Q$2)/$Q$2))</f>
        <v>3307.76764659435</v>
      </c>
      <c r="G35" s="15" t="n">
        <f aca="false">F35*(1+IF(G$3&lt;=$O$2,$D35,$D35-($D35-$I$6)*MIN(G$3-$O$2,$Q$2)/$Q$2))</f>
        <v>3394.98350476802</v>
      </c>
      <c r="H35" s="15" t="n">
        <f aca="false">G35*(1+IF(H$3&lt;=$O$2,$D35,$D35-($D35-$I$6)*MIN(H$3-$O$2,$Q$2)/$Q$2))</f>
        <v>3484.49898211985</v>
      </c>
      <c r="I35" s="15" t="n">
        <f aca="false">H35*(1+IF(I$3&lt;=$O$2,$D35,$D35-($D35-$I$6)*MIN(I$3-$O$2,$Q$2)/$Q$2))</f>
        <v>3576.37471267298</v>
      </c>
      <c r="J35" s="15" t="n">
        <f aca="false">I35*(1+IF(J$3&lt;=$O$2,$D35,$D35-($D35-$I$6)*MIN(J$3-$O$2,$Q$2)/$Q$2))</f>
        <v>3672.05556675787</v>
      </c>
      <c r="K35" s="15" t="n">
        <f aca="false">J35*(1+IF(K$3&lt;=$O$2,$D35,$D35-($D35-$I$6)*MIN(K$3-$O$2,$Q$2)/$Q$2))</f>
        <v>3771.71585503828</v>
      </c>
      <c r="L35" s="15" t="n">
        <f aca="false">K35*(1+IF(L$3&lt;=$O$2,$D35,$D35-($D35-$I$6)*MIN(L$3-$O$2,$Q$2)/$Q$2))</f>
        <v>3875.53909960938</v>
      </c>
      <c r="M35" s="15" t="n">
        <f aca="false">L35*(1+IF(M$3&lt;=$O$2,$D35,$D35-($D35-$I$6)*MIN(M$3-$O$2,$Q$2)/$Q$2))</f>
        <v>3983.7185606763</v>
      </c>
      <c r="N35" s="15" t="n">
        <f aca="false">M35*(1+IF(N$3&lt;=$O$2,$D35,$D35-($D35-$I$6)*MIN(N$3-$O$2,$Q$2)/$Q$2))</f>
        <v>4096.45779594344</v>
      </c>
      <c r="O35" s="15" t="n">
        <f aca="false">SUMPRODUCT(E35:N35,1/(1+$F$6)^$E$3:$N$3)*$E$2</f>
        <v>10815.8809363846</v>
      </c>
      <c r="P35" s="15" t="n">
        <f aca="false">N35*$E$2*(1+$I$6)/($F$6-$I$6)/(1+$F$6)^$N$3</f>
        <v>16241.91980898</v>
      </c>
      <c r="Q35" s="15" t="n">
        <f aca="false">O35+P35</f>
        <v>27057.8007453646</v>
      </c>
      <c r="R35" s="15" t="n">
        <f aca="false">Q35-$G$2+$I$2</f>
        <v>22990.0007453646</v>
      </c>
      <c r="S35" s="42" t="n">
        <f aca="false">R35/$K$2</f>
        <v>176.628770323944</v>
      </c>
      <c r="T35" s="43" t="n">
        <f aca="false">S35-$M$2</f>
        <v>5.72652558616937E-006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0.0263669788837433</v>
      </c>
      <c r="C36" s="25" t="n">
        <f aca="false">IF(T35&gt;0,D35,C35)</f>
        <v>0.0263669844716787</v>
      </c>
      <c r="D36" s="41" t="n">
        <f aca="false">(B36+C36)/2</f>
        <v>0.026366981677711</v>
      </c>
      <c r="E36" s="15" t="n">
        <f aca="false">$C$2*(1+IF(E$3&lt;=$O$2,$D36,$D36-($D36-$I$6)*MIN(E$3-$O$2,$Q$2)/$Q$2))</f>
        <v>3222.79232246801</v>
      </c>
      <c r="F36" s="15" t="n">
        <f aca="false">E36*(1+IF(F$3&lt;=$O$2,$D36,$D36-($D36-$I$6)*MIN(F$3-$O$2,$Q$2)/$Q$2))</f>
        <v>3307.76762858559</v>
      </c>
      <c r="G36" s="15" t="n">
        <f aca="false">F36*(1+IF(G$3&lt;=$O$2,$D36,$D36-($D36-$I$6)*MIN(G$3-$O$2,$Q$2)/$Q$2))</f>
        <v>3394.98347704264</v>
      </c>
      <c r="H36" s="15" t="n">
        <f aca="false">G36*(1+IF(H$3&lt;=$O$2,$D36,$D36-($D36-$I$6)*MIN(H$3-$O$2,$Q$2)/$Q$2))</f>
        <v>3484.49894417795</v>
      </c>
      <c r="I36" s="15" t="n">
        <f aca="false">H36*(1+IF(I$3&lt;=$O$2,$D36,$D36-($D36-$I$6)*MIN(I$3-$O$2,$Q$2)/$Q$2))</f>
        <v>3576.37466399509</v>
      </c>
      <c r="J36" s="15" t="n">
        <f aca="false">I36*(1+IF(J$3&lt;=$O$2,$D36,$D36-($D36-$I$6)*MIN(J$3-$O$2,$Q$2)/$Q$2))</f>
        <v>3672.05550878386</v>
      </c>
      <c r="K36" s="15" t="n">
        <f aca="false">J36*(1+IF(K$3&lt;=$O$2,$D36,$D36-($D36-$I$6)*MIN(K$3-$O$2,$Q$2)/$Q$2))</f>
        <v>3771.71578933508</v>
      </c>
      <c r="L36" s="15" t="n">
        <f aca="false">K36*(1+IF(L$3&lt;=$O$2,$D36,$D36-($D36-$I$6)*MIN(L$3-$O$2,$Q$2)/$Q$2))</f>
        <v>3875.53902788236</v>
      </c>
      <c r="M36" s="15" t="n">
        <f aca="false">L36*(1+IF(M$3&lt;=$O$2,$D36,$D36-($D36-$I$6)*MIN(M$3-$O$2,$Q$2)/$Q$2))</f>
        <v>3983.7184847815</v>
      </c>
      <c r="N36" s="15" t="n">
        <f aca="false">M36*(1+IF(N$3&lt;=$O$2,$D36,$D36-($D36-$I$6)*MIN(N$3-$O$2,$Q$2)/$Q$2))</f>
        <v>4096.45771790082</v>
      </c>
      <c r="O36" s="15" t="n">
        <f aca="false">SUMPRODUCT(E36:N36,1/(1+$F$6)^$E$3:$N$3)*$E$2</f>
        <v>10815.8808041053</v>
      </c>
      <c r="P36" s="15" t="n">
        <f aca="false">N36*$E$2*(1+$I$6)/($F$6-$I$6)/(1+$F$6)^$N$3</f>
        <v>16241.9194995512</v>
      </c>
      <c r="Q36" s="15" t="n">
        <f aca="false">O36+P36</f>
        <v>27057.8003036565</v>
      </c>
      <c r="R36" s="15" t="n">
        <f aca="false">Q36-$G$2+$I$2</f>
        <v>22990.0003036565</v>
      </c>
      <c r="S36" s="42" t="n">
        <f aca="false">R36/$K$2</f>
        <v>176.628766930367</v>
      </c>
      <c r="T36" s="43" t="n">
        <f aca="false">S36-$M$2</f>
        <v>2.33294809959261E-006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0.0263669788837433</v>
      </c>
      <c r="C37" s="25" t="n">
        <f aca="false">IF(T36&gt;0,D36,C36)</f>
        <v>0.026366981677711</v>
      </c>
      <c r="D37" s="41" t="n">
        <f aca="false">(B37+C37)/2</f>
        <v>0.0263669802807271</v>
      </c>
      <c r="E37" s="15" t="n">
        <f aca="false">$C$2*(1+IF(E$3&lt;=$O$2,$D37,$D37-($D37-$I$6)*MIN(E$3-$O$2,$Q$2)/$Q$2))</f>
        <v>3222.79231808148</v>
      </c>
      <c r="F37" s="15" t="n">
        <f aca="false">E37*(1+IF(F$3&lt;=$O$2,$D37,$D37-($D37-$I$6)*MIN(F$3-$O$2,$Q$2)/$Q$2))</f>
        <v>3307.76761958122</v>
      </c>
      <c r="G37" s="15" t="n">
        <f aca="false">F37*(1+IF(G$3&lt;=$O$2,$D37,$D37-($D37-$I$6)*MIN(G$3-$O$2,$Q$2)/$Q$2))</f>
        <v>3394.98346317994</v>
      </c>
      <c r="H37" s="15" t="n">
        <f aca="false">G37*(1+IF(H$3&lt;=$O$2,$D37,$D37-($D37-$I$6)*MIN(H$3-$O$2,$Q$2)/$Q$2))</f>
        <v>3484.498925207</v>
      </c>
      <c r="I37" s="15" t="n">
        <f aca="false">H37*(1+IF(I$3&lt;=$O$2,$D37,$D37-($D37-$I$6)*MIN(I$3-$O$2,$Q$2)/$Q$2))</f>
        <v>3576.37463965615</v>
      </c>
      <c r="J37" s="15" t="n">
        <f aca="false">I37*(1+IF(J$3&lt;=$O$2,$D37,$D37-($D37-$I$6)*MIN(J$3-$O$2,$Q$2)/$Q$2))</f>
        <v>3672.05547979685</v>
      </c>
      <c r="K37" s="15" t="n">
        <f aca="false">J37*(1+IF(K$3&lt;=$O$2,$D37,$D37-($D37-$I$6)*MIN(K$3-$O$2,$Q$2)/$Q$2))</f>
        <v>3771.71575648347</v>
      </c>
      <c r="L37" s="15" t="n">
        <f aca="false">K37*(1+IF(L$3&lt;=$O$2,$D37,$D37-($D37-$I$6)*MIN(L$3-$O$2,$Q$2)/$Q$2))</f>
        <v>3875.53899201885</v>
      </c>
      <c r="M37" s="15" t="n">
        <f aca="false">L37*(1+IF(M$3&lt;=$O$2,$D37,$D37-($D37-$I$6)*MIN(M$3-$O$2,$Q$2)/$Q$2))</f>
        <v>3983.7184468341</v>
      </c>
      <c r="N37" s="15" t="n">
        <f aca="false">M37*(1+IF(N$3&lt;=$O$2,$D37,$D37-($D37-$I$6)*MIN(N$3-$O$2,$Q$2)/$Q$2))</f>
        <v>4096.45767887951</v>
      </c>
      <c r="O37" s="15" t="n">
        <f aca="false">SUMPRODUCT(E37:N37,1/(1+$F$6)^$E$3:$N$3)*$E$2</f>
        <v>10815.8807379657</v>
      </c>
      <c r="P37" s="15" t="n">
        <f aca="false">N37*$E$2*(1+$I$6)/($F$6-$I$6)/(1+$F$6)^$N$3</f>
        <v>16241.9193448368</v>
      </c>
      <c r="Q37" s="15" t="n">
        <f aca="false">O37+P37</f>
        <v>27057.8000828025</v>
      </c>
      <c r="R37" s="15" t="n">
        <f aca="false">Q37-$G$2+$I$2</f>
        <v>22990.0000828025</v>
      </c>
      <c r="S37" s="42" t="n">
        <f aca="false">R37/$K$2</f>
        <v>176.628765233578</v>
      </c>
      <c r="T37" s="43" t="n">
        <f aca="false">S37-$M$2</f>
        <v>6.36159342093379E-007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0.0263669788837433</v>
      </c>
      <c r="C38" s="25" t="n">
        <f aca="false">IF(T37&gt;0,D37,C37)</f>
        <v>0.0263669802807271</v>
      </c>
      <c r="D38" s="41" t="n">
        <f aca="false">(B38+C38)/2</f>
        <v>0.0263669795822352</v>
      </c>
      <c r="E38" s="15" t="n">
        <f aca="false">$C$2*(1+IF(E$3&lt;=$O$2,$D38,$D38-($D38-$I$6)*MIN(E$3-$O$2,$Q$2)/$Q$2))</f>
        <v>3222.79231588822</v>
      </c>
      <c r="F38" s="15" t="n">
        <f aca="false">E38*(1+IF(F$3&lt;=$O$2,$D38,$D38-($D38-$I$6)*MIN(F$3-$O$2,$Q$2)/$Q$2))</f>
        <v>3307.76761507903</v>
      </c>
      <c r="G38" s="15" t="n">
        <f aca="false">F38*(1+IF(G$3&lt;=$O$2,$D38,$D38-($D38-$I$6)*MIN(G$3-$O$2,$Q$2)/$Q$2))</f>
        <v>3394.9834562486</v>
      </c>
      <c r="H38" s="15" t="n">
        <f aca="false">G38*(1+IF(H$3&lt;=$O$2,$D38,$D38-($D38-$I$6)*MIN(H$3-$O$2,$Q$2)/$Q$2))</f>
        <v>3484.49891572153</v>
      </c>
      <c r="I38" s="15" t="n">
        <f aca="false">H38*(1+IF(I$3&lt;=$O$2,$D38,$D38-($D38-$I$6)*MIN(I$3-$O$2,$Q$2)/$Q$2))</f>
        <v>3576.37462748668</v>
      </c>
      <c r="J38" s="15" t="n">
        <f aca="false">I38*(1+IF(J$3&lt;=$O$2,$D38,$D38-($D38-$I$6)*MIN(J$3-$O$2,$Q$2)/$Q$2))</f>
        <v>3672.05546530335</v>
      </c>
      <c r="K38" s="15" t="n">
        <f aca="false">J38*(1+IF(K$3&lt;=$O$2,$D38,$D38-($D38-$I$6)*MIN(K$3-$O$2,$Q$2)/$Q$2))</f>
        <v>3771.71574005767</v>
      </c>
      <c r="L38" s="15" t="n">
        <f aca="false">K38*(1+IF(L$3&lt;=$O$2,$D38,$D38-($D38-$I$6)*MIN(L$3-$O$2,$Q$2)/$Q$2))</f>
        <v>3875.53897408709</v>
      </c>
      <c r="M38" s="15" t="n">
        <f aca="false">L38*(1+IF(M$3&lt;=$O$2,$D38,$D38-($D38-$I$6)*MIN(M$3-$O$2,$Q$2)/$Q$2))</f>
        <v>3983.7184278604</v>
      </c>
      <c r="N38" s="15" t="n">
        <f aca="false">M38*(1+IF(N$3&lt;=$O$2,$D38,$D38-($D38-$I$6)*MIN(N$3-$O$2,$Q$2)/$Q$2))</f>
        <v>4096.45765936885</v>
      </c>
      <c r="O38" s="15" t="n">
        <f aca="false">SUMPRODUCT(E38:N38,1/(1+$F$6)^$E$3:$N$3)*$E$2</f>
        <v>10815.8807048959</v>
      </c>
      <c r="P38" s="15" t="n">
        <f aca="false">N38*$E$2*(1+$I$6)/($F$6-$I$6)/(1+$F$6)^$N$3</f>
        <v>16241.9192674796</v>
      </c>
      <c r="Q38" s="15" t="n">
        <f aca="false">O38+P38</f>
        <v>27057.7999723755</v>
      </c>
      <c r="R38" s="15" t="n">
        <f aca="false">Q38-$G$2+$I$2</f>
        <v>22989.9999723755</v>
      </c>
      <c r="S38" s="42" t="n">
        <f aca="false">R38/$K$2</f>
        <v>176.628764385184</v>
      </c>
      <c r="T38" s="43" t="n">
        <f aca="false">S38-$M$2</f>
        <v>-2.12235107710512E-007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0.0263669795822352</v>
      </c>
      <c r="C39" s="25" t="n">
        <f aca="false">IF(T38&gt;0,D38,C38)</f>
        <v>0.0263669802807271</v>
      </c>
      <c r="D39" s="41" t="n">
        <f aca="false">(B39+C39)/2</f>
        <v>0.0263669799314812</v>
      </c>
      <c r="E39" s="15" t="n">
        <f aca="false">$C$2*(1+IF(E$3&lt;=$O$2,$D39,$D39-($D39-$I$6)*MIN(E$3-$O$2,$Q$2)/$Q$2))</f>
        <v>3222.79231698485</v>
      </c>
      <c r="F39" s="15" t="n">
        <f aca="false">E39*(1+IF(F$3&lt;=$O$2,$D39,$D39-($D39-$I$6)*MIN(F$3-$O$2,$Q$2)/$Q$2))</f>
        <v>3307.76761733012</v>
      </c>
      <c r="G39" s="15" t="n">
        <f aca="false">F39*(1+IF(G$3&lt;=$O$2,$D39,$D39-($D39-$I$6)*MIN(G$3-$O$2,$Q$2)/$Q$2))</f>
        <v>3394.98345971427</v>
      </c>
      <c r="H39" s="15" t="n">
        <f aca="false">G39*(1+IF(H$3&lt;=$O$2,$D39,$D39-($D39-$I$6)*MIN(H$3-$O$2,$Q$2)/$Q$2))</f>
        <v>3484.49892046427</v>
      </c>
      <c r="I39" s="15" t="n">
        <f aca="false">H39*(1+IF(I$3&lt;=$O$2,$D39,$D39-($D39-$I$6)*MIN(I$3-$O$2,$Q$2)/$Q$2))</f>
        <v>3576.37463357141</v>
      </c>
      <c r="J39" s="15" t="n">
        <f aca="false">I39*(1+IF(J$3&lt;=$O$2,$D39,$D39-($D39-$I$6)*MIN(J$3-$O$2,$Q$2)/$Q$2))</f>
        <v>3672.0554725501</v>
      </c>
      <c r="K39" s="15" t="n">
        <f aca="false">J39*(1+IF(K$3&lt;=$O$2,$D39,$D39-($D39-$I$6)*MIN(K$3-$O$2,$Q$2)/$Q$2))</f>
        <v>3771.71574827057</v>
      </c>
      <c r="L39" s="15" t="n">
        <f aca="false">K39*(1+IF(L$3&lt;=$O$2,$D39,$D39-($D39-$I$6)*MIN(L$3-$O$2,$Q$2)/$Q$2))</f>
        <v>3875.53898305297</v>
      </c>
      <c r="M39" s="15" t="n">
        <f aca="false">L39*(1+IF(M$3&lt;=$O$2,$D39,$D39-($D39-$I$6)*MIN(M$3-$O$2,$Q$2)/$Q$2))</f>
        <v>3983.71843734725</v>
      </c>
      <c r="N39" s="15" t="n">
        <f aca="false">M39*(1+IF(N$3&lt;=$O$2,$D39,$D39-($D39-$I$6)*MIN(N$3-$O$2,$Q$2)/$Q$2))</f>
        <v>4096.45766912418</v>
      </c>
      <c r="O39" s="15" t="n">
        <f aca="false">SUMPRODUCT(E39:N39,1/(1+$F$6)^$E$3:$N$3)*$E$2</f>
        <v>10815.8807214308</v>
      </c>
      <c r="P39" s="15" t="n">
        <f aca="false">N39*$E$2*(1+$I$6)/($F$6-$I$6)/(1+$F$6)^$N$3</f>
        <v>16241.9193061582</v>
      </c>
      <c r="Q39" s="15" t="n">
        <f aca="false">O39+P39</f>
        <v>27057.800027589</v>
      </c>
      <c r="R39" s="15" t="n">
        <f aca="false">Q39-$G$2+$I$2</f>
        <v>22990.000027589</v>
      </c>
      <c r="S39" s="42" t="n">
        <f aca="false">R39/$K$2</f>
        <v>176.628764809381</v>
      </c>
      <c r="T39" s="43" t="n">
        <f aca="false">S39-$M$2</f>
        <v>2.11962117191433E-007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0.0263669795822352</v>
      </c>
      <c r="C40" s="25" t="n">
        <f aca="false">IF(T39&gt;0,D39,C39)</f>
        <v>0.0263669799314812</v>
      </c>
      <c r="D40" s="41" t="n">
        <f aca="false">(B40+C40)/2</f>
        <v>0.0263669797568582</v>
      </c>
      <c r="E40" s="15" t="n">
        <f aca="false">$C$2*(1+IF(E$3&lt;=$O$2,$D40,$D40-($D40-$I$6)*MIN(E$3-$O$2,$Q$2)/$Q$2))</f>
        <v>3222.79231643653</v>
      </c>
      <c r="F40" s="15" t="n">
        <f aca="false">E40*(1+IF(F$3&lt;=$O$2,$D40,$D40-($D40-$I$6)*MIN(F$3-$O$2,$Q$2)/$Q$2))</f>
        <v>3307.76761620458</v>
      </c>
      <c r="G40" s="15" t="n">
        <f aca="false">F40*(1+IF(G$3&lt;=$O$2,$D40,$D40-($D40-$I$6)*MIN(G$3-$O$2,$Q$2)/$Q$2))</f>
        <v>3394.98345798143</v>
      </c>
      <c r="H40" s="15" t="n">
        <f aca="false">G40*(1+IF(H$3&lt;=$O$2,$D40,$D40-($D40-$I$6)*MIN(H$3-$O$2,$Q$2)/$Q$2))</f>
        <v>3484.4989180929</v>
      </c>
      <c r="I40" s="15" t="n">
        <f aca="false">H40*(1+IF(I$3&lt;=$O$2,$D40,$D40-($D40-$I$6)*MIN(I$3-$O$2,$Q$2)/$Q$2))</f>
        <v>3576.37463052905</v>
      </c>
      <c r="J40" s="15" t="n">
        <f aca="false">I40*(1+IF(J$3&lt;=$O$2,$D40,$D40-($D40-$I$6)*MIN(J$3-$O$2,$Q$2)/$Q$2))</f>
        <v>3672.05546892672</v>
      </c>
      <c r="K40" s="15" t="n">
        <f aca="false">J40*(1+IF(K$3&lt;=$O$2,$D40,$D40-($D40-$I$6)*MIN(K$3-$O$2,$Q$2)/$Q$2))</f>
        <v>3771.71574416412</v>
      </c>
      <c r="L40" s="15" t="n">
        <f aca="false">K40*(1+IF(L$3&lt;=$O$2,$D40,$D40-($D40-$I$6)*MIN(L$3-$O$2,$Q$2)/$Q$2))</f>
        <v>3875.53897857003</v>
      </c>
      <c r="M40" s="15" t="n">
        <f aca="false">L40*(1+IF(M$3&lt;=$O$2,$D40,$D40-($D40-$I$6)*MIN(M$3-$O$2,$Q$2)/$Q$2))</f>
        <v>3983.71843260383</v>
      </c>
      <c r="N40" s="15" t="n">
        <f aca="false">M40*(1+IF(N$3&lt;=$O$2,$D40,$D40-($D40-$I$6)*MIN(N$3-$O$2,$Q$2)/$Q$2))</f>
        <v>4096.45766424652</v>
      </c>
      <c r="O40" s="15" t="n">
        <f aca="false">SUMPRODUCT(E40:N40,1/(1+$F$6)^$E$3:$N$3)*$E$2</f>
        <v>10815.8807131633</v>
      </c>
      <c r="P40" s="15" t="n">
        <f aca="false">N40*$E$2*(1+$I$6)/($F$6-$I$6)/(1+$F$6)^$N$3</f>
        <v>16241.9192868189</v>
      </c>
      <c r="Q40" s="15" t="n">
        <f aca="false">O40+P40</f>
        <v>27057.7999999822</v>
      </c>
      <c r="R40" s="15" t="n">
        <f aca="false">Q40-$G$2+$I$2</f>
        <v>22989.9999999822</v>
      </c>
      <c r="S40" s="42" t="n">
        <f aca="false">R40/$K$2</f>
        <v>176.628764597282</v>
      </c>
      <c r="T40" s="43" t="n">
        <f aca="false">S40-$M$2</f>
        <v>-1.364810486848E-010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0.0263669797568582</v>
      </c>
      <c r="C41" s="25" t="n">
        <f aca="false">IF(T40&gt;0,D40,C40)</f>
        <v>0.0263669799314812</v>
      </c>
      <c r="D41" s="41" t="n">
        <f aca="false">(B41+C41)/2</f>
        <v>0.0263669798441697</v>
      </c>
      <c r="E41" s="15" t="n">
        <f aca="false">$C$2*(1+IF(E$3&lt;=$O$2,$D41,$D41-($D41-$I$6)*MIN(E$3-$O$2,$Q$2)/$Q$2))</f>
        <v>3222.79231671069</v>
      </c>
      <c r="F41" s="15" t="n">
        <f aca="false">E41*(1+IF(F$3&lt;=$O$2,$D41,$D41-($D41-$I$6)*MIN(F$3-$O$2,$Q$2)/$Q$2))</f>
        <v>3307.76761676735</v>
      </c>
      <c r="G41" s="15" t="n">
        <f aca="false">F41*(1+IF(G$3&lt;=$O$2,$D41,$D41-($D41-$I$6)*MIN(G$3-$O$2,$Q$2)/$Q$2))</f>
        <v>3394.98345884785</v>
      </c>
      <c r="H41" s="15" t="n">
        <f aca="false">G41*(1+IF(H$3&lt;=$O$2,$D41,$D41-($D41-$I$6)*MIN(H$3-$O$2,$Q$2)/$Q$2))</f>
        <v>3484.49891927858</v>
      </c>
      <c r="I41" s="15" t="n">
        <f aca="false">H41*(1+IF(I$3&lt;=$O$2,$D41,$D41-($D41-$I$6)*MIN(I$3-$O$2,$Q$2)/$Q$2))</f>
        <v>3576.37463205023</v>
      </c>
      <c r="J41" s="15" t="n">
        <f aca="false">I41*(1+IF(J$3&lt;=$O$2,$D41,$D41-($D41-$I$6)*MIN(J$3-$O$2,$Q$2)/$Q$2))</f>
        <v>3672.05547073841</v>
      </c>
      <c r="K41" s="15" t="n">
        <f aca="false">J41*(1+IF(K$3&lt;=$O$2,$D41,$D41-($D41-$I$6)*MIN(K$3-$O$2,$Q$2)/$Q$2))</f>
        <v>3771.71574621735</v>
      </c>
      <c r="L41" s="15" t="n">
        <f aca="false">K41*(1+IF(L$3&lt;=$O$2,$D41,$D41-($D41-$I$6)*MIN(L$3-$O$2,$Q$2)/$Q$2))</f>
        <v>3875.5389808115</v>
      </c>
      <c r="M41" s="15" t="n">
        <f aca="false">L41*(1+IF(M$3&lt;=$O$2,$D41,$D41-($D41-$I$6)*MIN(M$3-$O$2,$Q$2)/$Q$2))</f>
        <v>3983.71843497554</v>
      </c>
      <c r="N41" s="15" t="n">
        <f aca="false">M41*(1+IF(N$3&lt;=$O$2,$D41,$D41-($D41-$I$6)*MIN(N$3-$O$2,$Q$2)/$Q$2))</f>
        <v>4096.45766668535</v>
      </c>
      <c r="O41" s="15" t="n">
        <f aca="false">SUMPRODUCT(E41:N41,1/(1+$F$6)^$E$3:$N$3)*$E$2</f>
        <v>10815.8807172971</v>
      </c>
      <c r="P41" s="15" t="n">
        <f aca="false">N41*$E$2*(1+$I$6)/($F$6-$I$6)/(1+$F$6)^$N$3</f>
        <v>16241.9192964886</v>
      </c>
      <c r="Q41" s="15" t="n">
        <f aca="false">O41+P41</f>
        <v>27057.8000137856</v>
      </c>
      <c r="R41" s="15" t="n">
        <f aca="false">Q41-$G$2+$I$2</f>
        <v>22990.0000137856</v>
      </c>
      <c r="S41" s="42" t="n">
        <f aca="false">R41/$K$2</f>
        <v>176.628764703331</v>
      </c>
      <c r="T41" s="43" t="n">
        <f aca="false">S41-$M$2</f>
        <v>1.05912818071374E-007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0.0263669797568582</v>
      </c>
      <c r="C42" s="25" t="n">
        <f aca="false">IF(T41&gt;0,D41,C41)</f>
        <v>0.0263669798441697</v>
      </c>
      <c r="D42" s="41" t="n">
        <f aca="false">(B42+C42)/2</f>
        <v>0.0263669798005139</v>
      </c>
      <c r="E42" s="15" t="n">
        <f aca="false">$C$2*(1+IF(E$3&lt;=$O$2,$D42,$D42-($D42-$I$6)*MIN(E$3-$O$2,$Q$2)/$Q$2))</f>
        <v>3222.79231657361</v>
      </c>
      <c r="F42" s="15" t="n">
        <f aca="false">E42*(1+IF(F$3&lt;=$O$2,$D42,$D42-($D42-$I$6)*MIN(F$3-$O$2,$Q$2)/$Q$2))</f>
        <v>3307.76761648596</v>
      </c>
      <c r="G42" s="15" t="n">
        <f aca="false">F42*(1+IF(G$3&lt;=$O$2,$D42,$D42-($D42-$I$6)*MIN(G$3-$O$2,$Q$2)/$Q$2))</f>
        <v>3394.98345841464</v>
      </c>
      <c r="H42" s="15" t="n">
        <f aca="false">G42*(1+IF(H$3&lt;=$O$2,$D42,$D42-($D42-$I$6)*MIN(H$3-$O$2,$Q$2)/$Q$2))</f>
        <v>3484.49891868574</v>
      </c>
      <c r="I42" s="15" t="n">
        <f aca="false">H42*(1+IF(I$3&lt;=$O$2,$D42,$D42-($D42-$I$6)*MIN(I$3-$O$2,$Q$2)/$Q$2))</f>
        <v>3576.37463128964</v>
      </c>
      <c r="J42" s="15" t="n">
        <f aca="false">I42*(1+IF(J$3&lt;=$O$2,$D42,$D42-($D42-$I$6)*MIN(J$3-$O$2,$Q$2)/$Q$2))</f>
        <v>3672.05546983257</v>
      </c>
      <c r="K42" s="15" t="n">
        <f aca="false">J42*(1+IF(K$3&lt;=$O$2,$D42,$D42-($D42-$I$6)*MIN(K$3-$O$2,$Q$2)/$Q$2))</f>
        <v>3771.71574519073</v>
      </c>
      <c r="L42" s="15" t="n">
        <f aca="false">K42*(1+IF(L$3&lt;=$O$2,$D42,$D42-($D42-$I$6)*MIN(L$3-$O$2,$Q$2)/$Q$2))</f>
        <v>3875.53897969076</v>
      </c>
      <c r="M42" s="15" t="n">
        <f aca="false">L42*(1+IF(M$3&lt;=$O$2,$D42,$D42-($D42-$I$6)*MIN(M$3-$O$2,$Q$2)/$Q$2))</f>
        <v>3983.71843378968</v>
      </c>
      <c r="N42" s="15" t="n">
        <f aca="false">M42*(1+IF(N$3&lt;=$O$2,$D42,$D42-($D42-$I$6)*MIN(N$3-$O$2,$Q$2)/$Q$2))</f>
        <v>4096.45766546593</v>
      </c>
      <c r="O42" s="15" t="n">
        <f aca="false">SUMPRODUCT(E42:N42,1/(1+$F$6)^$E$3:$N$3)*$E$2</f>
        <v>10815.8807152302</v>
      </c>
      <c r="P42" s="15" t="n">
        <f aca="false">N42*$E$2*(1+$I$6)/($F$6-$I$6)/(1+$F$6)^$N$3</f>
        <v>16241.9192916537</v>
      </c>
      <c r="Q42" s="15" t="n">
        <f aca="false">O42+P42</f>
        <v>27057.8000068839</v>
      </c>
      <c r="R42" s="15" t="n">
        <f aca="false">Q42-$G$2+$I$2</f>
        <v>22990.0000068839</v>
      </c>
      <c r="S42" s="42" t="n">
        <f aca="false">R42/$K$2</f>
        <v>176.628764650307</v>
      </c>
      <c r="T42" s="43" t="n">
        <f aca="false">S42-$M$2</f>
        <v>5.28881400896353E-008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0.0263669797568582</v>
      </c>
      <c r="C43" s="25" t="n">
        <f aca="false">IF(T42&gt;0,D42,C42)</f>
        <v>0.0263669798005139</v>
      </c>
      <c r="D43" s="41" t="n">
        <f aca="false">(B43+C43)/2</f>
        <v>0.0263669797786861</v>
      </c>
      <c r="E43" s="15" t="n">
        <f aca="false">$C$2*(1+IF(E$3&lt;=$O$2,$D43,$D43-($D43-$I$6)*MIN(E$3-$O$2,$Q$2)/$Q$2))</f>
        <v>3222.79231650507</v>
      </c>
      <c r="F43" s="15" t="n">
        <f aca="false">E43*(1+IF(F$3&lt;=$O$2,$D43,$D43-($D43-$I$6)*MIN(F$3-$O$2,$Q$2)/$Q$2))</f>
        <v>3307.76761634527</v>
      </c>
      <c r="G43" s="15" t="n">
        <f aca="false">F43*(1+IF(G$3&lt;=$O$2,$D43,$D43-($D43-$I$6)*MIN(G$3-$O$2,$Q$2)/$Q$2))</f>
        <v>3394.98345819804</v>
      </c>
      <c r="H43" s="15" t="n">
        <f aca="false">G43*(1+IF(H$3&lt;=$O$2,$D43,$D43-($D43-$I$6)*MIN(H$3-$O$2,$Q$2)/$Q$2))</f>
        <v>3484.49891838932</v>
      </c>
      <c r="I43" s="15" t="n">
        <f aca="false">H43*(1+IF(I$3&lt;=$O$2,$D43,$D43-($D43-$I$6)*MIN(I$3-$O$2,$Q$2)/$Q$2))</f>
        <v>3576.37463090934</v>
      </c>
      <c r="J43" s="15" t="n">
        <f aca="false">I43*(1+IF(J$3&lt;=$O$2,$D43,$D43-($D43-$I$6)*MIN(J$3-$O$2,$Q$2)/$Q$2))</f>
        <v>3672.05546937964</v>
      </c>
      <c r="K43" s="15" t="n">
        <f aca="false">J43*(1+IF(K$3&lt;=$O$2,$D43,$D43-($D43-$I$6)*MIN(K$3-$O$2,$Q$2)/$Q$2))</f>
        <v>3771.71574467743</v>
      </c>
      <c r="L43" s="15" t="n">
        <f aca="false">K43*(1+IF(L$3&lt;=$O$2,$D43,$D43-($D43-$I$6)*MIN(L$3-$O$2,$Q$2)/$Q$2))</f>
        <v>3875.5389791304</v>
      </c>
      <c r="M43" s="15" t="n">
        <f aca="false">L43*(1+IF(M$3&lt;=$O$2,$D43,$D43-($D43-$I$6)*MIN(M$3-$O$2,$Q$2)/$Q$2))</f>
        <v>3983.71843319676</v>
      </c>
      <c r="N43" s="15" t="n">
        <f aca="false">M43*(1+IF(N$3&lt;=$O$2,$D43,$D43-($D43-$I$6)*MIN(N$3-$O$2,$Q$2)/$Q$2))</f>
        <v>4096.45766485622</v>
      </c>
      <c r="O43" s="15" t="n">
        <f aca="false">SUMPRODUCT(E43:N43,1/(1+$F$6)^$E$3:$N$3)*$E$2</f>
        <v>10815.8807141968</v>
      </c>
      <c r="P43" s="15" t="n">
        <f aca="false">N43*$E$2*(1+$I$6)/($F$6-$I$6)/(1+$F$6)^$N$3</f>
        <v>16241.9192892363</v>
      </c>
      <c r="Q43" s="15" t="n">
        <f aca="false">O43+P43</f>
        <v>27057.8000034331</v>
      </c>
      <c r="R43" s="15" t="n">
        <f aca="false">Q43-$G$2+$I$2</f>
        <v>22990.0000034331</v>
      </c>
      <c r="S43" s="42" t="n">
        <f aca="false">R43/$K$2</f>
        <v>176.628764623794</v>
      </c>
      <c r="T43" s="43" t="n">
        <f aca="false">S43-$M$2</f>
        <v>2.63757726770564E-008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0.0263669797568582</v>
      </c>
      <c r="C44" s="25" t="n">
        <f aca="false">IF(T43&gt;0,D43,C43)</f>
        <v>0.0263669797786861</v>
      </c>
      <c r="D44" s="41" t="n">
        <f aca="false">(B44+C44)/2</f>
        <v>0.0263669797677721</v>
      </c>
      <c r="E44" s="15" t="n">
        <f aca="false">$C$2*(1+IF(E$3&lt;=$O$2,$D44,$D44-($D44-$I$6)*MIN(E$3-$O$2,$Q$2)/$Q$2))</f>
        <v>3222.7923164708</v>
      </c>
      <c r="F44" s="15" t="n">
        <f aca="false">E44*(1+IF(F$3&lt;=$O$2,$D44,$D44-($D44-$I$6)*MIN(F$3-$O$2,$Q$2)/$Q$2))</f>
        <v>3307.76761627492</v>
      </c>
      <c r="G44" s="15" t="n">
        <f aca="false">F44*(1+IF(G$3&lt;=$O$2,$D44,$D44-($D44-$I$6)*MIN(G$3-$O$2,$Q$2)/$Q$2))</f>
        <v>3394.98345808973</v>
      </c>
      <c r="H44" s="15" t="n">
        <f aca="false">G44*(1+IF(H$3&lt;=$O$2,$D44,$D44-($D44-$I$6)*MIN(H$3-$O$2,$Q$2)/$Q$2))</f>
        <v>3484.49891824111</v>
      </c>
      <c r="I44" s="15" t="n">
        <f aca="false">H44*(1+IF(I$3&lt;=$O$2,$D44,$D44-($D44-$I$6)*MIN(I$3-$O$2,$Q$2)/$Q$2))</f>
        <v>3576.3746307192</v>
      </c>
      <c r="J44" s="15" t="n">
        <f aca="false">I44*(1+IF(J$3&lt;=$O$2,$D44,$D44-($D44-$I$6)*MIN(J$3-$O$2,$Q$2)/$Q$2))</f>
        <v>3672.05546915318</v>
      </c>
      <c r="K44" s="15" t="n">
        <f aca="false">J44*(1+IF(K$3&lt;=$O$2,$D44,$D44-($D44-$I$6)*MIN(K$3-$O$2,$Q$2)/$Q$2))</f>
        <v>3771.71574442078</v>
      </c>
      <c r="L44" s="15" t="n">
        <f aca="false">K44*(1+IF(L$3&lt;=$O$2,$D44,$D44-($D44-$I$6)*MIN(L$3-$O$2,$Q$2)/$Q$2))</f>
        <v>3875.53897885021</v>
      </c>
      <c r="M44" s="15" t="n">
        <f aca="false">L44*(1+IF(M$3&lt;=$O$2,$D44,$D44-($D44-$I$6)*MIN(M$3-$O$2,$Q$2)/$Q$2))</f>
        <v>3983.71843290029</v>
      </c>
      <c r="N44" s="15" t="n">
        <f aca="false">M44*(1+IF(N$3&lt;=$O$2,$D44,$D44-($D44-$I$6)*MIN(N$3-$O$2,$Q$2)/$Q$2))</f>
        <v>4096.45766455137</v>
      </c>
      <c r="O44" s="15" t="n">
        <f aca="false">SUMPRODUCT(E44:N44,1/(1+$F$6)^$E$3:$N$3)*$E$2</f>
        <v>10815.88071368</v>
      </c>
      <c r="P44" s="15" t="n">
        <f aca="false">N44*$E$2*(1+$I$6)/($F$6-$I$6)/(1+$F$6)^$N$3</f>
        <v>16241.9192880276</v>
      </c>
      <c r="Q44" s="15" t="n">
        <f aca="false">O44+P44</f>
        <v>27057.8000017077</v>
      </c>
      <c r="R44" s="15" t="n">
        <f aca="false">Q44-$G$2+$I$2</f>
        <v>22990.0000017077</v>
      </c>
      <c r="S44" s="42" t="n">
        <f aca="false">R44/$K$2</f>
        <v>176.628764610538</v>
      </c>
      <c r="T44" s="43" t="n">
        <f aca="false">S44-$M$2</f>
        <v>1.31196884467499E-008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0.0263669797568582</v>
      </c>
      <c r="C45" s="25" t="n">
        <f aca="false">IF(T44&gt;0,D44,C44)</f>
        <v>0.0263669797677721</v>
      </c>
      <c r="D45" s="41" t="n">
        <f aca="false">(B45+C45)/2</f>
        <v>0.0263669797623152</v>
      </c>
      <c r="E45" s="15" t="n">
        <f aca="false">$C$2*(1+IF(E$3&lt;=$O$2,$D45,$D45-($D45-$I$6)*MIN(E$3-$O$2,$Q$2)/$Q$2))</f>
        <v>3222.79231645367</v>
      </c>
      <c r="F45" s="15" t="n">
        <f aca="false">E45*(1+IF(F$3&lt;=$O$2,$D45,$D45-($D45-$I$6)*MIN(F$3-$O$2,$Q$2)/$Q$2))</f>
        <v>3307.76761623975</v>
      </c>
      <c r="G45" s="15" t="n">
        <f aca="false">F45*(1+IF(G$3&lt;=$O$2,$D45,$D45-($D45-$I$6)*MIN(G$3-$O$2,$Q$2)/$Q$2))</f>
        <v>3394.98345803558</v>
      </c>
      <c r="H45" s="15" t="n">
        <f aca="false">G45*(1+IF(H$3&lt;=$O$2,$D45,$D45-($D45-$I$6)*MIN(H$3-$O$2,$Q$2)/$Q$2))</f>
        <v>3484.498918167</v>
      </c>
      <c r="I45" s="15" t="n">
        <f aca="false">H45*(1+IF(I$3&lt;=$O$2,$D45,$D45-($D45-$I$6)*MIN(I$3-$O$2,$Q$2)/$Q$2))</f>
        <v>3576.37463062412</v>
      </c>
      <c r="J45" s="15" t="n">
        <f aca="false">I45*(1+IF(J$3&lt;=$O$2,$D45,$D45-($D45-$I$6)*MIN(J$3-$O$2,$Q$2)/$Q$2))</f>
        <v>3672.05546903995</v>
      </c>
      <c r="K45" s="15" t="n">
        <f aca="false">J45*(1+IF(K$3&lt;=$O$2,$D45,$D45-($D45-$I$6)*MIN(K$3-$O$2,$Q$2)/$Q$2))</f>
        <v>3771.71574429245</v>
      </c>
      <c r="L45" s="15" t="n">
        <f aca="false">K45*(1+IF(L$3&lt;=$O$2,$D45,$D45-($D45-$I$6)*MIN(L$3-$O$2,$Q$2)/$Q$2))</f>
        <v>3875.53897871012</v>
      </c>
      <c r="M45" s="15" t="n">
        <f aca="false">L45*(1+IF(M$3&lt;=$O$2,$D45,$D45-($D45-$I$6)*MIN(M$3-$O$2,$Q$2)/$Q$2))</f>
        <v>3983.71843275206</v>
      </c>
      <c r="N45" s="15" t="n">
        <f aca="false">M45*(1+IF(N$3&lt;=$O$2,$D45,$D45-($D45-$I$6)*MIN(N$3-$O$2,$Q$2)/$Q$2))</f>
        <v>4096.45766439894</v>
      </c>
      <c r="O45" s="15" t="n">
        <f aca="false">SUMPRODUCT(E45:N45,1/(1+$F$6)^$E$3:$N$3)*$E$2</f>
        <v>10815.8807134217</v>
      </c>
      <c r="P45" s="15" t="n">
        <f aca="false">N45*$E$2*(1+$I$6)/($F$6-$I$6)/(1+$F$6)^$N$3</f>
        <v>16241.9192874233</v>
      </c>
      <c r="Q45" s="15" t="n">
        <f aca="false">O45+P45</f>
        <v>27057.8000008449</v>
      </c>
      <c r="R45" s="15" t="n">
        <f aca="false">Q45-$G$2+$I$2</f>
        <v>22990.0000008449</v>
      </c>
      <c r="S45" s="42" t="n">
        <f aca="false">R45/$K$2</f>
        <v>176.62876460391</v>
      </c>
      <c r="T45" s="43" t="n">
        <f aca="false">S45-$M$2</f>
        <v>6.49154685561371E-009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0.0263669797568582</v>
      </c>
      <c r="C46" s="25" t="n">
        <f aca="false">IF(T45&gt;0,D45,C45)</f>
        <v>0.0263669797623152</v>
      </c>
      <c r="D46" s="41" t="n">
        <f aca="false">(B46+C46)/2</f>
        <v>0.0263669797595867</v>
      </c>
      <c r="E46" s="15" t="n">
        <f aca="false">$C$2*(1+IF(E$3&lt;=$O$2,$D46,$D46-($D46-$I$6)*MIN(E$3-$O$2,$Q$2)/$Q$2))</f>
        <v>3222.7923164451</v>
      </c>
      <c r="F46" s="15" t="n">
        <f aca="false">E46*(1+IF(F$3&lt;=$O$2,$D46,$D46-($D46-$I$6)*MIN(F$3-$O$2,$Q$2)/$Q$2))</f>
        <v>3307.76761622216</v>
      </c>
      <c r="G46" s="15" t="n">
        <f aca="false">F46*(1+IF(G$3&lt;=$O$2,$D46,$D46-($D46-$I$6)*MIN(G$3-$O$2,$Q$2)/$Q$2))</f>
        <v>3394.98345800851</v>
      </c>
      <c r="H46" s="15" t="n">
        <f aca="false">G46*(1+IF(H$3&lt;=$O$2,$D46,$D46-($D46-$I$6)*MIN(H$3-$O$2,$Q$2)/$Q$2))</f>
        <v>3484.49891812995</v>
      </c>
      <c r="I46" s="15" t="n">
        <f aca="false">H46*(1+IF(I$3&lt;=$O$2,$D46,$D46-($D46-$I$6)*MIN(I$3-$O$2,$Q$2)/$Q$2))</f>
        <v>3576.37463057658</v>
      </c>
      <c r="J46" s="15" t="n">
        <f aca="false">I46*(1+IF(J$3&lt;=$O$2,$D46,$D46-($D46-$I$6)*MIN(J$3-$O$2,$Q$2)/$Q$2))</f>
        <v>3672.05546898334</v>
      </c>
      <c r="K46" s="15" t="n">
        <f aca="false">J46*(1+IF(K$3&lt;=$O$2,$D46,$D46-($D46-$I$6)*MIN(K$3-$O$2,$Q$2)/$Q$2))</f>
        <v>3771.71574422829</v>
      </c>
      <c r="L46" s="15" t="n">
        <f aca="false">K46*(1+IF(L$3&lt;=$O$2,$D46,$D46-($D46-$I$6)*MIN(L$3-$O$2,$Q$2)/$Q$2))</f>
        <v>3875.53897864008</v>
      </c>
      <c r="M46" s="15" t="n">
        <f aca="false">L46*(1+IF(M$3&lt;=$O$2,$D46,$D46-($D46-$I$6)*MIN(M$3-$O$2,$Q$2)/$Q$2))</f>
        <v>3983.71843267795</v>
      </c>
      <c r="N46" s="15" t="n">
        <f aca="false">M46*(1+IF(N$3&lt;=$O$2,$D46,$D46-($D46-$I$6)*MIN(N$3-$O$2,$Q$2)/$Q$2))</f>
        <v>4096.45766432273</v>
      </c>
      <c r="O46" s="15" t="n">
        <f aca="false">SUMPRODUCT(E46:N46,1/(1+$F$6)^$E$3:$N$3)*$E$2</f>
        <v>10815.8807132925</v>
      </c>
      <c r="P46" s="15" t="n">
        <f aca="false">N46*$E$2*(1+$I$6)/($F$6-$I$6)/(1+$F$6)^$N$3</f>
        <v>16241.9192871211</v>
      </c>
      <c r="Q46" s="15" t="n">
        <f aca="false">O46+P46</f>
        <v>27057.8000004136</v>
      </c>
      <c r="R46" s="15" t="n">
        <f aca="false">Q46-$G$2+$I$2</f>
        <v>22990.0000004136</v>
      </c>
      <c r="S46" s="42" t="n">
        <f aca="false">R46/$K$2</f>
        <v>176.628764600596</v>
      </c>
      <c r="T46" s="43" t="n">
        <f aca="false">S46-$M$2</f>
        <v>3.1775755360286E-009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0.0263669797568582</v>
      </c>
      <c r="C47" s="25" t="n">
        <f aca="false">IF(T46&gt;0,D46,C46)</f>
        <v>0.0263669797595867</v>
      </c>
      <c r="D47" s="41" t="n">
        <f aca="false">(B47+C47)/2</f>
        <v>0.0263669797582224</v>
      </c>
      <c r="E47" s="15" t="n">
        <f aca="false">$C$2*(1+IF(E$3&lt;=$O$2,$D47,$D47-($D47-$I$6)*MIN(E$3-$O$2,$Q$2)/$Q$2))</f>
        <v>3222.79231644082</v>
      </c>
      <c r="F47" s="15" t="n">
        <f aca="false">E47*(1+IF(F$3&lt;=$O$2,$D47,$D47-($D47-$I$6)*MIN(F$3-$O$2,$Q$2)/$Q$2))</f>
        <v>3307.76761621337</v>
      </c>
      <c r="G47" s="15" t="n">
        <f aca="false">F47*(1+IF(G$3&lt;=$O$2,$D47,$D47-($D47-$I$6)*MIN(G$3-$O$2,$Q$2)/$Q$2))</f>
        <v>3394.98345799497</v>
      </c>
      <c r="H47" s="15" t="n">
        <f aca="false">G47*(1+IF(H$3&lt;=$O$2,$D47,$D47-($D47-$I$6)*MIN(H$3-$O$2,$Q$2)/$Q$2))</f>
        <v>3484.49891811142</v>
      </c>
      <c r="I47" s="15" t="n">
        <f aca="false">H47*(1+IF(I$3&lt;=$O$2,$D47,$D47-($D47-$I$6)*MIN(I$3-$O$2,$Q$2)/$Q$2))</f>
        <v>3576.37463055282</v>
      </c>
      <c r="J47" s="15" t="n">
        <f aca="false">I47*(1+IF(J$3&lt;=$O$2,$D47,$D47-($D47-$I$6)*MIN(J$3-$O$2,$Q$2)/$Q$2))</f>
        <v>3672.05546895503</v>
      </c>
      <c r="K47" s="15" t="n">
        <f aca="false">J47*(1+IF(K$3&lt;=$O$2,$D47,$D47-($D47-$I$6)*MIN(K$3-$O$2,$Q$2)/$Q$2))</f>
        <v>3771.71574419621</v>
      </c>
      <c r="L47" s="15" t="n">
        <f aca="false">K47*(1+IF(L$3&lt;=$O$2,$D47,$D47-($D47-$I$6)*MIN(L$3-$O$2,$Q$2)/$Q$2))</f>
        <v>3875.53897860505</v>
      </c>
      <c r="M47" s="15" t="n">
        <f aca="false">L47*(1+IF(M$3&lt;=$O$2,$D47,$D47-($D47-$I$6)*MIN(M$3-$O$2,$Q$2)/$Q$2))</f>
        <v>3983.71843264089</v>
      </c>
      <c r="N47" s="15" t="n">
        <f aca="false">M47*(1+IF(N$3&lt;=$O$2,$D47,$D47-($D47-$I$6)*MIN(N$3-$O$2,$Q$2)/$Q$2))</f>
        <v>4096.45766428462</v>
      </c>
      <c r="O47" s="15" t="n">
        <f aca="false">SUMPRODUCT(E47:N47,1/(1+$F$6)^$E$3:$N$3)*$E$2</f>
        <v>10815.8807132279</v>
      </c>
      <c r="P47" s="15" t="n">
        <f aca="false">N47*$E$2*(1+$I$6)/($F$6-$I$6)/(1+$F$6)^$N$3</f>
        <v>16241.91928697</v>
      </c>
      <c r="Q47" s="15" t="n">
        <f aca="false">O47+P47</f>
        <v>27057.8000001979</v>
      </c>
      <c r="R47" s="15" t="n">
        <f aca="false">Q47-$G$2+$I$2</f>
        <v>22990.0000001979</v>
      </c>
      <c r="S47" s="42" t="n">
        <f aca="false">R47/$K$2</f>
        <v>176.628764598939</v>
      </c>
      <c r="T47" s="43" t="n">
        <f aca="false">S47-$M$2</f>
        <v>1.52053303281718E-009</v>
      </c>
    </row>
    <row r="49" customFormat="false" ht="15" hidden="false" customHeight="false" outlineLevel="0" collapsed="false">
      <c r="A49" s="38" t="s">
        <v>175</v>
      </c>
      <c r="E49" s="5" t="s">
        <v>11</v>
      </c>
      <c r="F49" s="12" t="n">
        <f aca="false">Sensitivity!$B$10</f>
        <v>0.0719413943493295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155</v>
      </c>
      <c r="B50" s="28" t="s">
        <v>156</v>
      </c>
      <c r="C50" s="28" t="s">
        <v>157</v>
      </c>
      <c r="D50" s="28" t="s">
        <v>158</v>
      </c>
      <c r="E50" s="28" t="s">
        <v>159</v>
      </c>
      <c r="F50" s="28" t="s">
        <v>160</v>
      </c>
      <c r="G50" s="28" t="s">
        <v>161</v>
      </c>
      <c r="H50" s="28" t="s">
        <v>162</v>
      </c>
      <c r="I50" s="28" t="s">
        <v>163</v>
      </c>
      <c r="J50" s="28" t="s">
        <v>164</v>
      </c>
      <c r="K50" s="28" t="s">
        <v>165</v>
      </c>
      <c r="L50" s="28" t="s">
        <v>166</v>
      </c>
      <c r="M50" s="28" t="s">
        <v>167</v>
      </c>
      <c r="N50" s="28" t="s">
        <v>168</v>
      </c>
      <c r="O50" s="28" t="s">
        <v>169</v>
      </c>
      <c r="P50" s="28" t="s">
        <v>170</v>
      </c>
      <c r="Q50" s="28" t="s">
        <v>171</v>
      </c>
      <c r="R50" s="28" t="s">
        <v>172</v>
      </c>
      <c r="S50" s="28" t="s">
        <v>173</v>
      </c>
      <c r="T50" s="28" t="s">
        <v>174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3925</v>
      </c>
      <c r="F51" s="15" t="n">
        <f aca="false">E51*(1+IF(F$3&lt;=$O$2,$D51,$D51-($D51-$I$49)*MIN(F$3-$O$2,$Q$2)/$Q$2))</f>
        <v>4906.25</v>
      </c>
      <c r="G51" s="15" t="n">
        <f aca="false">F51*(1+IF(G$3&lt;=$O$2,$D51,$D51-($D51-$I$49)*MIN(G$3-$O$2,$Q$2)/$Q$2))</f>
        <v>6132.8125</v>
      </c>
      <c r="H51" s="15" t="n">
        <f aca="false">G51*(1+IF(H$3&lt;=$O$2,$D51,$D51-($D51-$I$49)*MIN(H$3-$O$2,$Q$2)/$Q$2))</f>
        <v>7666.015625</v>
      </c>
      <c r="I51" s="15" t="n">
        <f aca="false">H51*(1+IF(I$3&lt;=$O$2,$D51,$D51-($D51-$I$49)*MIN(I$3-$O$2,$Q$2)/$Q$2))</f>
        <v>9582.51953125</v>
      </c>
      <c r="J51" s="15" t="n">
        <f aca="false">I51*(1+IF(J$3&lt;=$O$2,$D51,$D51-($D51-$I$49)*MIN(J$3-$O$2,$Q$2)/$Q$2))</f>
        <v>11534.0954589844</v>
      </c>
      <c r="K51" s="15" t="n">
        <f aca="false">J51*(1+IF(K$3&lt;=$O$2,$D51,$D51-($D51-$I$49)*MIN(K$3-$O$2,$Q$2)/$Q$2))</f>
        <v>13348.6393565918</v>
      </c>
      <c r="L51" s="15" t="n">
        <f aca="false">K51*(1+IF(L$3&lt;=$O$2,$D51,$D51-($D51-$I$49)*MIN(L$3-$O$2,$Q$2)/$Q$2))</f>
        <v>14830.0713523864</v>
      </c>
      <c r="M51" s="15" t="n">
        <f aca="false">L51*(1+IF(M$3&lt;=$O$2,$D51,$D51-($D51-$I$49)*MIN(M$3-$O$2,$Q$2)/$Q$2))</f>
        <v>15788.6871646046</v>
      </c>
      <c r="N51" s="15" t="n">
        <f aca="false">M51*(1+IF(N$3&lt;=$O$2,$D51,$D51-($D51-$I$49)*MIN(N$3-$O$2,$Q$2)/$Q$2))</f>
        <v>16077.6201397169</v>
      </c>
      <c r="O51" s="15" t="n">
        <f aca="false">SUMPRODUCT(E51:N51,1/(1+$F$49)^$E$3:$N$3)*$E$2</f>
        <v>30132.0178905567</v>
      </c>
      <c r="P51" s="15" t="n">
        <f aca="false">N51*$E$2*(1+$I$49)/($F$49-$I$49)/(1+$F$49)^$N$3</f>
        <v>69268.1353882996</v>
      </c>
      <c r="Q51" s="15" t="n">
        <f aca="false">O51+P51</f>
        <v>99400.1532788563</v>
      </c>
      <c r="R51" s="15" t="n">
        <f aca="false">Q51-$G$2+$I$2</f>
        <v>95332.3532788563</v>
      </c>
      <c r="S51" s="42" t="n">
        <f aca="false">R51/$K$2</f>
        <v>732.424349100003</v>
      </c>
      <c r="T51" s="43" t="n">
        <f aca="false">S51-$M$2</f>
        <v>555.795584502584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2747.5</v>
      </c>
      <c r="F52" s="15" t="n">
        <f aca="false">E52*(1+IF(F$3&lt;=$O$2,$D52,$D52-($D52-$I$49)*MIN(F$3-$O$2,$Q$2)/$Q$2))</f>
        <v>2404.0625</v>
      </c>
      <c r="G52" s="15" t="n">
        <f aca="false">F52*(1+IF(G$3&lt;=$O$2,$D52,$D52-($D52-$I$49)*MIN(G$3-$O$2,$Q$2)/$Q$2))</f>
        <v>2103.5546875</v>
      </c>
      <c r="H52" s="15" t="n">
        <f aca="false">G52*(1+IF(H$3&lt;=$O$2,$D52,$D52-($D52-$I$49)*MIN(H$3-$O$2,$Q$2)/$Q$2))</f>
        <v>1840.6103515625</v>
      </c>
      <c r="I52" s="15" t="n">
        <f aca="false">H52*(1+IF(I$3&lt;=$O$2,$D52,$D52-($D52-$I$49)*MIN(I$3-$O$2,$Q$2)/$Q$2))</f>
        <v>1610.53405761719</v>
      </c>
      <c r="J52" s="15" t="n">
        <f aca="false">I52*(1+IF(J$3&lt;=$O$2,$D52,$D52-($D52-$I$49)*MIN(J$3-$O$2,$Q$2)/$Q$2))</f>
        <v>1455.37520650635</v>
      </c>
      <c r="K52" s="15" t="n">
        <f aca="false">J52*(1+IF(K$3&lt;=$O$2,$D52,$D52-($D52-$I$49)*MIN(K$3-$O$2,$Q$2)/$Q$2))</f>
        <v>1356.87541253</v>
      </c>
      <c r="L52" s="15" t="n">
        <f aca="false">K52*(1+IF(L$3&lt;=$O$2,$D52,$D52-($D52-$I$49)*MIN(L$3-$O$2,$Q$2)/$Q$2))</f>
        <v>1303.93013393308</v>
      </c>
      <c r="M52" s="15" t="n">
        <f aca="false">L52*(1+IF(M$3&lt;=$O$2,$D52,$D52-($D52-$I$49)*MIN(M$3-$O$2,$Q$2)/$Q$2))</f>
        <v>1290.42141774553</v>
      </c>
      <c r="N52" s="15" t="n">
        <f aca="false">M52*(1+IF(N$3&lt;=$O$2,$D52,$D52-($D52-$I$49)*MIN(N$3-$O$2,$Q$2)/$Q$2))</f>
        <v>1314.03612969027</v>
      </c>
      <c r="O52" s="15" t="n">
        <f aca="false">SUMPRODUCT(E52:N52,1/(1+$F$49)^$E$3:$N$3)*$E$2</f>
        <v>5811.48591375978</v>
      </c>
      <c r="P52" s="15" t="n">
        <f aca="false">N52*$E$2*(1+$I$49)/($F$49-$I$49)/(1+$F$49)^$N$3</f>
        <v>5661.33742093163</v>
      </c>
      <c r="Q52" s="15" t="n">
        <f aca="false">O52+P52</f>
        <v>11472.8233346914</v>
      </c>
      <c r="R52" s="15" t="n">
        <f aca="false">Q52-$G$2+$I$2</f>
        <v>7405.0233346914</v>
      </c>
      <c r="S52" s="42" t="n">
        <f aca="false">R52/$K$2</f>
        <v>56.891697408508</v>
      </c>
      <c r="T52" s="43" t="n">
        <f aca="false">S52-$M$2</f>
        <v>-119.737067188911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3336.25</v>
      </c>
      <c r="F53" s="15" t="n">
        <f aca="false">E53*(1+IF(F$3&lt;=$O$2,$D53,$D53-($D53-$I$49)*MIN(F$3-$O$2,$Q$2)/$Q$2))</f>
        <v>3544.765625</v>
      </c>
      <c r="G53" s="15" t="n">
        <f aca="false">F53*(1+IF(G$3&lt;=$O$2,$D53,$D53-($D53-$I$49)*MIN(G$3-$O$2,$Q$2)/$Q$2))</f>
        <v>3766.3134765625</v>
      </c>
      <c r="H53" s="15" t="n">
        <f aca="false">G53*(1+IF(H$3&lt;=$O$2,$D53,$D53-($D53-$I$49)*MIN(H$3-$O$2,$Q$2)/$Q$2))</f>
        <v>4001.70806884766</v>
      </c>
      <c r="I53" s="15" t="n">
        <f aca="false">H53*(1+IF(I$3&lt;=$O$2,$D53,$D53-($D53-$I$49)*MIN(I$3-$O$2,$Q$2)/$Q$2))</f>
        <v>4251.81482315064</v>
      </c>
      <c r="J53" s="15" t="n">
        <f aca="false">I53*(1+IF(J$3&lt;=$O$2,$D53,$D53-($D53-$I$49)*MIN(J$3-$O$2,$Q$2)/$Q$2))</f>
        <v>4479.9672065609</v>
      </c>
      <c r="K53" s="15" t="n">
        <f aca="false">J53*(1+IF(K$3&lt;=$O$2,$D53,$D53-($D53-$I$49)*MIN(K$3-$O$2,$Q$2)/$Q$2))</f>
        <v>4680.75933675896</v>
      </c>
      <c r="L53" s="15" t="n">
        <f aca="false">K53*(1+IF(L$3&lt;=$O$2,$D53,$D53-($D53-$I$49)*MIN(L$3-$O$2,$Q$2)/$Q$2))</f>
        <v>4849.17305769555</v>
      </c>
      <c r="M53" s="15" t="n">
        <f aca="false">L53*(1+IF(M$3&lt;=$O$2,$D53,$D53-($D53-$I$49)*MIN(M$3-$O$2,$Q$2)/$Q$2))</f>
        <v>4980.7796144814</v>
      </c>
      <c r="N53" s="15" t="n">
        <f aca="false">M53*(1+IF(N$3&lt;=$O$2,$D53,$D53-($D53-$I$49)*MIN(N$3-$O$2,$Q$2)/$Q$2))</f>
        <v>5071.92788142641</v>
      </c>
      <c r="O53" s="15" t="n">
        <f aca="false">SUMPRODUCT(E53:N53,1/(1+$F$49)^$E$3:$N$3)*$E$2</f>
        <v>13229.4140242761</v>
      </c>
      <c r="P53" s="15" t="n">
        <f aca="false">N53*$E$2*(1+$I$49)/($F$49-$I$49)/(1+$F$49)^$N$3</f>
        <v>21851.6785517563</v>
      </c>
      <c r="Q53" s="15" t="n">
        <f aca="false">O53+P53</f>
        <v>35081.0925760324</v>
      </c>
      <c r="R53" s="15" t="n">
        <f aca="false">Q53-$G$2+$I$2</f>
        <v>31013.2925760324</v>
      </c>
      <c r="S53" s="42" t="n">
        <f aca="false">R53/$K$2</f>
        <v>238.27053300578</v>
      </c>
      <c r="T53" s="43" t="n">
        <f aca="false">S53-$M$2</f>
        <v>61.6417684083617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3041.875</v>
      </c>
      <c r="F54" s="15" t="n">
        <f aca="false">E54*(1+IF(F$3&lt;=$O$2,$D54,$D54-($D54-$I$49)*MIN(F$3-$O$2,$Q$2)/$Q$2))</f>
        <v>2946.81640625</v>
      </c>
      <c r="G54" s="15" t="n">
        <f aca="false">F54*(1+IF(G$3&lt;=$O$2,$D54,$D54-($D54-$I$49)*MIN(G$3-$O$2,$Q$2)/$Q$2))</f>
        <v>2854.72839355469</v>
      </c>
      <c r="H54" s="15" t="n">
        <f aca="false">G54*(1+IF(H$3&lt;=$O$2,$D54,$D54-($D54-$I$49)*MIN(H$3-$O$2,$Q$2)/$Q$2))</f>
        <v>2765.5181312561</v>
      </c>
      <c r="I54" s="15" t="n">
        <f aca="false">H54*(1+IF(I$3&lt;=$O$2,$D54,$D54-($D54-$I$49)*MIN(I$3-$O$2,$Q$2)/$Q$2))</f>
        <v>2679.09568965435</v>
      </c>
      <c r="J54" s="15" t="n">
        <f aca="false">I54*(1+IF(J$3&lt;=$O$2,$D54,$D54-($D54-$I$49)*MIN(J$3-$O$2,$Q$2)/$Q$2))</f>
        <v>2621.92378763713</v>
      </c>
      <c r="K54" s="15" t="n">
        <f aca="false">J54*(1+IF(K$3&lt;=$O$2,$D54,$D54-($D54-$I$49)*MIN(K$3-$O$2,$Q$2)/$Q$2))</f>
        <v>2591.95519874443</v>
      </c>
      <c r="L54" s="15" t="n">
        <f aca="false">K54*(1+IF(L$3&lt;=$O$2,$D54,$D54-($D54-$I$49)*MIN(L$3-$O$2,$Q$2)/$Q$2))</f>
        <v>2588.01542684234</v>
      </c>
      <c r="M54" s="15" t="n">
        <f aca="false">L54*(1+IF(M$3&lt;=$O$2,$D54,$D54-($D54-$I$49)*MIN(M$3-$O$2,$Q$2)/$Q$2))</f>
        <v>2609.72887627355</v>
      </c>
      <c r="N54" s="15" t="n">
        <f aca="false">M54*(1+IF(N$3&lt;=$O$2,$D54,$D54-($D54-$I$49)*MIN(N$3-$O$2,$Q$2)/$Q$2))</f>
        <v>2657.48691470936</v>
      </c>
      <c r="O54" s="15" t="n">
        <f aca="false">SUMPRODUCT(E54:N54,1/(1+$F$49)^$E$3:$N$3)*$E$2</f>
        <v>8745.56775675194</v>
      </c>
      <c r="P54" s="15" t="n">
        <f aca="false">N54*$E$2*(1+$I$49)/($F$49-$I$49)/(1+$F$49)^$N$3</f>
        <v>11449.4036929003</v>
      </c>
      <c r="Q54" s="15" t="n">
        <f aca="false">O54+P54</f>
        <v>20194.9714496522</v>
      </c>
      <c r="R54" s="15" t="n">
        <f aca="false">Q54-$G$2+$I$2</f>
        <v>16127.1714496522</v>
      </c>
      <c r="S54" s="42" t="n">
        <f aca="false">R54/$K$2</f>
        <v>123.902669404212</v>
      </c>
      <c r="T54" s="43" t="n">
        <f aca="false">S54-$M$2</f>
        <v>-52.7260951932068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3189.0625</v>
      </c>
      <c r="F55" s="15" t="n">
        <f aca="false">E55*(1+IF(F$3&lt;=$O$2,$D55,$D55-($D55-$I$49)*MIN(F$3-$O$2,$Q$2)/$Q$2))</f>
        <v>3238.8916015625</v>
      </c>
      <c r="G55" s="15" t="n">
        <f aca="false">F55*(1+IF(G$3&lt;=$O$2,$D55,$D55-($D55-$I$49)*MIN(G$3-$O$2,$Q$2)/$Q$2))</f>
        <v>3289.49928283691</v>
      </c>
      <c r="H55" s="15" t="n">
        <f aca="false">G55*(1+IF(H$3&lt;=$O$2,$D55,$D55-($D55-$I$49)*MIN(H$3-$O$2,$Q$2)/$Q$2))</f>
        <v>3340.89770913124</v>
      </c>
      <c r="I55" s="15" t="n">
        <f aca="false">H55*(1+IF(I$3&lt;=$O$2,$D55,$D55-($D55-$I$49)*MIN(I$3-$O$2,$Q$2)/$Q$2))</f>
        <v>3393.09923583642</v>
      </c>
      <c r="J55" s="15" t="n">
        <f aca="false">I55*(1+IF(J$3&lt;=$O$2,$D55,$D55-($D55-$I$49)*MIN(J$3-$O$2,$Q$2)/$Q$2))</f>
        <v>3447.93171948753</v>
      </c>
      <c r="K55" s="15" t="n">
        <f aca="false">J55*(1+IF(K$3&lt;=$O$2,$D55,$D55-($D55-$I$49)*MIN(K$3-$O$2,$Q$2)/$Q$2))</f>
        <v>3505.49493954438</v>
      </c>
      <c r="L55" s="15" t="n">
        <f aca="false">K55*(1+IF(L$3&lt;=$O$2,$D55,$D55-($D55-$I$49)*MIN(L$3-$O$2,$Q$2)/$Q$2))</f>
        <v>3565.89461735273</v>
      </c>
      <c r="M55" s="15" t="n">
        <f aca="false">L55*(1+IF(M$3&lt;=$O$2,$D55,$D55-($D55-$I$49)*MIN(M$3-$O$2,$Q$2)/$Q$2))</f>
        <v>3629.24273523</v>
      </c>
      <c r="N55" s="15" t="n">
        <f aca="false">M55*(1+IF(N$3&lt;=$O$2,$D55,$D55-($D55-$I$49)*MIN(N$3-$O$2,$Q$2)/$Q$2))</f>
        <v>3695.65787728471</v>
      </c>
      <c r="O55" s="15" t="n">
        <f aca="false">SUMPRODUCT(E55:N55,1/(1+$F$49)^$E$3:$N$3)*$E$2</f>
        <v>10753.0277128918</v>
      </c>
      <c r="P55" s="15" t="n">
        <f aca="false">N55*$E$2*(1+$I$49)/($F$49-$I$49)/(1+$F$49)^$N$3</f>
        <v>15922.215350779</v>
      </c>
      <c r="Q55" s="15" t="n">
        <f aca="false">O55+P55</f>
        <v>26675.2430636707</v>
      </c>
      <c r="R55" s="15" t="n">
        <f aca="false">Q55-$G$2+$I$2</f>
        <v>22607.4430636707</v>
      </c>
      <c r="S55" s="42" t="n">
        <f aca="false">R55/$K$2</f>
        <v>173.689636321994</v>
      </c>
      <c r="T55" s="43" t="n">
        <f aca="false">S55-$M$2</f>
        <v>-2.93912827542476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0.015625</v>
      </c>
      <c r="C56" s="25" t="n">
        <f aca="false">IF(T55&gt;0,D55,C55)</f>
        <v>0.0625</v>
      </c>
      <c r="D56" s="41" t="n">
        <f aca="false">(B56+C56)/2</f>
        <v>0.0390625</v>
      </c>
      <c r="E56" s="15" t="n">
        <f aca="false">$C$2*(1+IF(E$3&lt;=$O$2,$D56,$D56-($D56-$I$49)*MIN(E$3-$O$2,$Q$2)/$Q$2))</f>
        <v>3262.65625</v>
      </c>
      <c r="F56" s="15" t="n">
        <f aca="false">E56*(1+IF(F$3&lt;=$O$2,$D56,$D56-($D56-$I$49)*MIN(F$3-$O$2,$Q$2)/$Q$2))</f>
        <v>3390.10375976563</v>
      </c>
      <c r="G56" s="15" t="n">
        <f aca="false">F56*(1+IF(G$3&lt;=$O$2,$D56,$D56-($D56-$I$49)*MIN(G$3-$O$2,$Q$2)/$Q$2))</f>
        <v>3522.52968788147</v>
      </c>
      <c r="H56" s="15" t="n">
        <f aca="false">G56*(1+IF(H$3&lt;=$O$2,$D56,$D56-($D56-$I$49)*MIN(H$3-$O$2,$Q$2)/$Q$2))</f>
        <v>3660.12850381434</v>
      </c>
      <c r="I56" s="15" t="n">
        <f aca="false">H56*(1+IF(I$3&lt;=$O$2,$D56,$D56-($D56-$I$49)*MIN(I$3-$O$2,$Q$2)/$Q$2))</f>
        <v>3803.10227349459</v>
      </c>
      <c r="J56" s="15" t="n">
        <f aca="false">I56*(1+IF(J$3&lt;=$O$2,$D56,$D56-($D56-$I$49)*MIN(J$3-$O$2,$Q$2)/$Q$2))</f>
        <v>3935.86857386228</v>
      </c>
      <c r="K56" s="15" t="n">
        <f aca="false">J56*(1+IF(K$3&lt;=$O$2,$D56,$D56-($D56-$I$49)*MIN(K$3-$O$2,$Q$2)/$Q$2))</f>
        <v>4056.92605152285</v>
      </c>
      <c r="L56" s="15" t="n">
        <f aca="false">K56*(1+IF(L$3&lt;=$O$2,$D56,$D56-($D56-$I$49)*MIN(L$3-$O$2,$Q$2)/$Q$2))</f>
        <v>4164.86056912362</v>
      </c>
      <c r="M56" s="15" t="n">
        <f aca="false">L56*(1+IF(M$3&lt;=$O$2,$D56,$D56-($D56-$I$49)*MIN(M$3-$O$2,$Q$2)/$Q$2))</f>
        <v>4258.37210105187</v>
      </c>
      <c r="N56" s="15" t="n">
        <f aca="false">M56*(1+IF(N$3&lt;=$O$2,$D56,$D56-($D56-$I$49)*MIN(N$3-$O$2,$Q$2)/$Q$2))</f>
        <v>4336.30031050112</v>
      </c>
      <c r="O56" s="15" t="n">
        <f aca="false">SUMPRODUCT(E56:N56,1/(1+$F$49)^$E$3:$N$3)*$E$2</f>
        <v>11926.7016995068</v>
      </c>
      <c r="P56" s="15" t="n">
        <f aca="false">N56*$E$2*(1+$I$49)/($F$49-$I$49)/(1+$F$49)^$N$3</f>
        <v>18682.3319858213</v>
      </c>
      <c r="Q56" s="15" t="n">
        <f aca="false">O56+P56</f>
        <v>30609.0336853281</v>
      </c>
      <c r="R56" s="15" t="n">
        <f aca="false">Q56-$G$2+$I$2</f>
        <v>26541.2336853281</v>
      </c>
      <c r="S56" s="42" t="n">
        <f aca="false">R56/$K$2</f>
        <v>203.912366973941</v>
      </c>
      <c r="T56" s="43" t="n">
        <f aca="false">S56-$M$2</f>
        <v>27.2836023765219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0.015625</v>
      </c>
      <c r="C57" s="25" t="n">
        <f aca="false">IF(T56&gt;0,D56,C56)</f>
        <v>0.0390625</v>
      </c>
      <c r="D57" s="41" t="n">
        <f aca="false">(B57+C57)/2</f>
        <v>0.02734375</v>
      </c>
      <c r="E57" s="15" t="n">
        <f aca="false">$C$2*(1+IF(E$3&lt;=$O$2,$D57,$D57-($D57-$I$49)*MIN(E$3-$O$2,$Q$2)/$Q$2))</f>
        <v>3225.859375</v>
      </c>
      <c r="F57" s="15" t="n">
        <f aca="false">E57*(1+IF(F$3&lt;=$O$2,$D57,$D57-($D57-$I$49)*MIN(F$3-$O$2,$Q$2)/$Q$2))</f>
        <v>3314.06646728516</v>
      </c>
      <c r="G57" s="15" t="n">
        <f aca="false">F57*(1+IF(G$3&lt;=$O$2,$D57,$D57-($D57-$I$49)*MIN(G$3-$O$2,$Q$2)/$Q$2))</f>
        <v>3404.68547224998</v>
      </c>
      <c r="H57" s="15" t="n">
        <f aca="false">G57*(1+IF(H$3&lt;=$O$2,$D57,$D57-($D57-$I$49)*MIN(H$3-$O$2,$Q$2)/$Q$2))</f>
        <v>3497.78234063182</v>
      </c>
      <c r="I57" s="15" t="n">
        <f aca="false">H57*(1+IF(I$3&lt;=$O$2,$D57,$D57-($D57-$I$49)*MIN(I$3-$O$2,$Q$2)/$Q$2))</f>
        <v>3593.42482650847</v>
      </c>
      <c r="J57" s="15" t="n">
        <f aca="false">I57*(1+IF(J$3&lt;=$O$2,$D57,$D57-($D57-$I$49)*MIN(J$3-$O$2,$Q$2)/$Q$2))</f>
        <v>3685.18292945337</v>
      </c>
      <c r="K57" s="15" t="n">
        <f aca="false">J57*(1+IF(K$3&lt;=$O$2,$D57,$D57-($D57-$I$49)*MIN(K$3-$O$2,$Q$2)/$Q$2))</f>
        <v>3772.61850093331</v>
      </c>
      <c r="L57" s="15" t="n">
        <f aca="false">K57*(1+IF(L$3&lt;=$O$2,$D57,$D57-($D57-$I$49)*MIN(L$3-$O$2,$Q$2)/$Q$2))</f>
        <v>3855.30486692751</v>
      </c>
      <c r="M57" s="15" t="n">
        <f aca="false">L57*(1+IF(M$3&lt;=$O$2,$D57,$D57-($D57-$I$49)*MIN(M$3-$O$2,$Q$2)/$Q$2))</f>
        <v>3932.83022867034</v>
      </c>
      <c r="N57" s="15" t="n">
        <f aca="false">M57*(1+IF(N$3&lt;=$O$2,$D57,$D57-($D57-$I$49)*MIN(N$3-$O$2,$Q$2)/$Q$2))</f>
        <v>4004.80102185501</v>
      </c>
      <c r="O57" s="15" t="n">
        <f aca="false">SUMPRODUCT(E57:N57,1/(1+$F$49)^$E$3:$N$3)*$E$2</f>
        <v>11324.5124546906</v>
      </c>
      <c r="P57" s="15" t="n">
        <f aca="false">N57*$E$2*(1+$I$49)/($F$49-$I$49)/(1+$F$49)^$N$3</f>
        <v>17254.1145377464</v>
      </c>
      <c r="Q57" s="15" t="n">
        <f aca="false">O57+P57</f>
        <v>28578.626992437</v>
      </c>
      <c r="R57" s="15" t="n">
        <f aca="false">Q57-$G$2+$I$2</f>
        <v>24510.826992437</v>
      </c>
      <c r="S57" s="42" t="n">
        <f aca="false">R57/$K$2</f>
        <v>188.313053107229</v>
      </c>
      <c r="T57" s="43" t="n">
        <f aca="false">S57-$M$2</f>
        <v>11.6842885098108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0.015625</v>
      </c>
      <c r="C58" s="25" t="n">
        <f aca="false">IF(T57&gt;0,D57,C57)</f>
        <v>0.02734375</v>
      </c>
      <c r="D58" s="41" t="n">
        <f aca="false">(B58+C58)/2</f>
        <v>0.021484375</v>
      </c>
      <c r="E58" s="15" t="n">
        <f aca="false">$C$2*(1+IF(E$3&lt;=$O$2,$D58,$D58-($D58-$I$49)*MIN(E$3-$O$2,$Q$2)/$Q$2))</f>
        <v>3207.4609375</v>
      </c>
      <c r="F58" s="15" t="n">
        <f aca="false">E58*(1+IF(F$3&lt;=$O$2,$D58,$D58-($D58-$I$49)*MIN(F$3-$O$2,$Q$2)/$Q$2))</f>
        <v>3276.3712310791</v>
      </c>
      <c r="G58" s="15" t="n">
        <f aca="false">F58*(1+IF(G$3&lt;=$O$2,$D58,$D58-($D58-$I$49)*MIN(G$3-$O$2,$Q$2)/$Q$2))</f>
        <v>3346.76201924682</v>
      </c>
      <c r="H58" s="15" t="n">
        <f aca="false">G58*(1+IF(H$3&lt;=$O$2,$D58,$D58-($D58-$I$49)*MIN(H$3-$O$2,$Q$2)/$Q$2))</f>
        <v>3418.66510950407</v>
      </c>
      <c r="I58" s="15" t="n">
        <f aca="false">H58*(1+IF(I$3&lt;=$O$2,$D58,$D58-($D58-$I$49)*MIN(I$3-$O$2,$Q$2)/$Q$2))</f>
        <v>3492.11299271607</v>
      </c>
      <c r="J58" s="15" t="n">
        <f aca="false">I58*(1+IF(J$3&lt;=$O$2,$D58,$D58-($D58-$I$49)*MIN(J$3-$O$2,$Q$2)/$Q$2))</f>
        <v>3564.91481833172</v>
      </c>
      <c r="K58" s="15" t="n">
        <f aca="false">J58*(1+IF(K$3&lt;=$O$2,$D58,$D58-($D58-$I$49)*MIN(K$3-$O$2,$Q$2)/$Q$2))</f>
        <v>3636.96397488197</v>
      </c>
      <c r="L58" s="15" t="n">
        <f aca="false">K58*(1+IF(L$3&lt;=$O$2,$D58,$D58-($D58-$I$49)*MIN(L$3-$O$2,$Q$2)/$Q$2))</f>
        <v>3708.15299848531</v>
      </c>
      <c r="M58" s="15" t="n">
        <f aca="false">L58*(1+IF(M$3&lt;=$O$2,$D58,$D58-($D58-$I$49)*MIN(M$3-$O$2,$Q$2)/$Q$2))</f>
        <v>3778.37382829851</v>
      </c>
      <c r="N58" s="15" t="n">
        <f aca="false">M58*(1+IF(N$3&lt;=$O$2,$D58,$D58-($D58-$I$49)*MIN(N$3-$O$2,$Q$2)/$Q$2))</f>
        <v>3847.51806935637</v>
      </c>
      <c r="O58" s="15" t="n">
        <f aca="false">SUMPRODUCT(E58:N58,1/(1+$F$49)^$E$3:$N$3)*$E$2</f>
        <v>11035.0256367569</v>
      </c>
      <c r="P58" s="15" t="n">
        <f aca="false">N58*$E$2*(1+$I$49)/($F$49-$I$49)/(1+$F$49)^$N$3</f>
        <v>16576.4833489715</v>
      </c>
      <c r="Q58" s="15" t="n">
        <f aca="false">O58+P58</f>
        <v>27611.5089857284</v>
      </c>
      <c r="R58" s="15" t="n">
        <f aca="false">Q58-$G$2+$I$2</f>
        <v>23543.7089857284</v>
      </c>
      <c r="S58" s="42" t="n">
        <f aca="false">R58/$K$2</f>
        <v>180.882828716414</v>
      </c>
      <c r="T58" s="43" t="n">
        <f aca="false">S58-$M$2</f>
        <v>4.25406411899542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0.015625</v>
      </c>
      <c r="C59" s="25" t="n">
        <f aca="false">IF(T58&gt;0,D58,C58)</f>
        <v>0.021484375</v>
      </c>
      <c r="D59" s="41" t="n">
        <f aca="false">(B59+C59)/2</f>
        <v>0.0185546875</v>
      </c>
      <c r="E59" s="15" t="n">
        <f aca="false">$C$2*(1+IF(E$3&lt;=$O$2,$D59,$D59-($D59-$I$49)*MIN(E$3-$O$2,$Q$2)/$Q$2))</f>
        <v>3198.26171875</v>
      </c>
      <c r="F59" s="15" t="n">
        <f aca="false">E59*(1+IF(F$3&lt;=$O$2,$D59,$D59-($D59-$I$49)*MIN(F$3-$O$2,$Q$2)/$Q$2))</f>
        <v>3257.60446548462</v>
      </c>
      <c r="G59" s="15" t="n">
        <f aca="false">F59*(1+IF(G$3&lt;=$O$2,$D59,$D59-($D59-$I$49)*MIN(G$3-$O$2,$Q$2)/$Q$2))</f>
        <v>3318.04829834029</v>
      </c>
      <c r="H59" s="15" t="n">
        <f aca="false">G59*(1+IF(H$3&lt;=$O$2,$D59,$D59-($D59-$I$49)*MIN(H$3-$O$2,$Q$2)/$Q$2))</f>
        <v>3379.6136476259</v>
      </c>
      <c r="I59" s="15" t="n">
        <f aca="false">H59*(1+IF(I$3&lt;=$O$2,$D59,$D59-($D59-$I$49)*MIN(I$3-$O$2,$Q$2)/$Q$2))</f>
        <v>3442.32132272834</v>
      </c>
      <c r="J59" s="15" t="n">
        <f aca="false">I59*(1+IF(J$3&lt;=$O$2,$D59,$D59-($D59-$I$49)*MIN(J$3-$O$2,$Q$2)/$Q$2))</f>
        <v>3506.01717590377</v>
      </c>
      <c r="K59" s="15" t="n">
        <f aca="false">J59*(1+IF(K$3&lt;=$O$2,$D59,$D59-($D59-$I$49)*MIN(K$3-$O$2,$Q$2)/$Q$2))</f>
        <v>3570.7130534725</v>
      </c>
      <c r="L59" s="15" t="n">
        <f aca="false">K59*(1+IF(L$3&lt;=$O$2,$D59,$D59-($D59-$I$49)*MIN(L$3-$O$2,$Q$2)/$Q$2))</f>
        <v>3636.42086874337</v>
      </c>
      <c r="M59" s="15" t="n">
        <f aca="false">L59*(1+IF(M$3&lt;=$O$2,$D59,$D59-($D59-$I$49)*MIN(M$3-$O$2,$Q$2)/$Q$2))</f>
        <v>3703.15260082938</v>
      </c>
      <c r="N59" s="15" t="n">
        <f aca="false">M59*(1+IF(N$3&lt;=$O$2,$D59,$D59-($D59-$I$49)*MIN(N$3-$O$2,$Q$2)/$Q$2))</f>
        <v>3770.92029342455</v>
      </c>
      <c r="O59" s="15" t="n">
        <f aca="false">SUMPRODUCT(E59:N59,1/(1+$F$49)^$E$3:$N$3)*$E$2</f>
        <v>10893.102047345</v>
      </c>
      <c r="P59" s="15" t="n">
        <f aca="false">N59*$E$2*(1+$I$49)/($F$49-$I$49)/(1+$F$49)^$N$3</f>
        <v>16246.4727461846</v>
      </c>
      <c r="Q59" s="15" t="n">
        <f aca="false">O59+P59</f>
        <v>27139.5747935295</v>
      </c>
      <c r="R59" s="15" t="n">
        <f aca="false">Q59-$G$2+$I$2</f>
        <v>23071.7747935295</v>
      </c>
      <c r="S59" s="42" t="n">
        <f aca="false">R59/$K$2</f>
        <v>177.257028223183</v>
      </c>
      <c r="T59" s="43" t="n">
        <f aca="false">S59-$M$2</f>
        <v>0.628263625764731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0.015625</v>
      </c>
      <c r="C60" s="25" t="n">
        <f aca="false">IF(T59&gt;0,D59,C59)</f>
        <v>0.0185546875</v>
      </c>
      <c r="D60" s="41" t="n">
        <f aca="false">(B60+C60)/2</f>
        <v>0.01708984375</v>
      </c>
      <c r="E60" s="15" t="n">
        <f aca="false">$C$2*(1+IF(E$3&lt;=$O$2,$D60,$D60-($D60-$I$49)*MIN(E$3-$O$2,$Q$2)/$Q$2))</f>
        <v>3193.662109375</v>
      </c>
      <c r="F60" s="15" t="n">
        <f aca="false">E60*(1+IF(F$3&lt;=$O$2,$D60,$D60-($D60-$I$49)*MIN(F$3-$O$2,$Q$2)/$Q$2))</f>
        <v>3248.24129581451</v>
      </c>
      <c r="G60" s="15" t="n">
        <f aca="false">F60*(1+IF(G$3&lt;=$O$2,$D60,$D60-($D60-$I$49)*MIN(G$3-$O$2,$Q$2)/$Q$2))</f>
        <v>3303.75323202228</v>
      </c>
      <c r="H60" s="15" t="n">
        <f aca="false">G60*(1+IF(H$3&lt;=$O$2,$D60,$D60-($D60-$I$49)*MIN(H$3-$O$2,$Q$2)/$Q$2))</f>
        <v>3360.2138585461</v>
      </c>
      <c r="I60" s="15" t="n">
        <f aca="false">H60*(1+IF(I$3&lt;=$O$2,$D60,$D60-($D60-$I$49)*MIN(I$3-$O$2,$Q$2)/$Q$2))</f>
        <v>3417.63938835524</v>
      </c>
      <c r="J60" s="15" t="n">
        <f aca="false">I60*(1+IF(J$3&lt;=$O$2,$D60,$D60-($D60-$I$49)*MIN(J$3-$O$2,$Q$2)/$Q$2))</f>
        <v>3476.87348702929</v>
      </c>
      <c r="K60" s="15" t="n">
        <f aca="false">J60*(1+IF(K$3&lt;=$O$2,$D60,$D60-($D60-$I$49)*MIN(K$3-$O$2,$Q$2)/$Q$2))</f>
        <v>3537.97573573345</v>
      </c>
      <c r="L60" s="15" t="n">
        <f aca="false">K60*(1+IF(L$3&lt;=$O$2,$D60,$D60-($D60-$I$49)*MIN(L$3-$O$2,$Q$2)/$Q$2))</f>
        <v>3601.00809031779</v>
      </c>
      <c r="M60" s="15" t="n">
        <f aca="false">L60*(1+IF(M$3&lt;=$O$2,$D60,$D60-($D60-$I$49)*MIN(M$3-$O$2,$Q$2)/$Q$2))</f>
        <v>3666.03498188125</v>
      </c>
      <c r="N60" s="15" t="n">
        <f aca="false">M60*(1+IF(N$3&lt;=$O$2,$D60,$D60-($D60-$I$49)*MIN(N$3-$O$2,$Q$2)/$Q$2))</f>
        <v>3733.12342204968</v>
      </c>
      <c r="O60" s="15" t="n">
        <f aca="false">SUMPRODUCT(E60:N60,1/(1+$F$49)^$E$3:$N$3)*$E$2</f>
        <v>10822.8351453566</v>
      </c>
      <c r="P60" s="15" t="n">
        <f aca="false">N60*$E$2*(1+$I$49)/($F$49-$I$49)/(1+$F$49)^$N$3</f>
        <v>16083.6303117386</v>
      </c>
      <c r="Q60" s="15" t="n">
        <f aca="false">O60+P60</f>
        <v>26906.4654570952</v>
      </c>
      <c r="R60" s="15" t="n">
        <f aca="false">Q60-$G$2+$I$2</f>
        <v>22838.6654570952</v>
      </c>
      <c r="S60" s="42" t="n">
        <f aca="false">R60/$K$2</f>
        <v>175.466083720768</v>
      </c>
      <c r="T60" s="43" t="n">
        <f aca="false">S60-$M$2</f>
        <v>-1.16268087665063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0.01708984375</v>
      </c>
      <c r="C61" s="25" t="n">
        <f aca="false">IF(T60&gt;0,D60,C60)</f>
        <v>0.0185546875</v>
      </c>
      <c r="D61" s="41" t="n">
        <f aca="false">(B61+C61)/2</f>
        <v>0.017822265625</v>
      </c>
      <c r="E61" s="15" t="n">
        <f aca="false">$C$2*(1+IF(E$3&lt;=$O$2,$D61,$D61-($D61-$I$49)*MIN(E$3-$O$2,$Q$2)/$Q$2))</f>
        <v>3195.9619140625</v>
      </c>
      <c r="F61" s="15" t="n">
        <f aca="false">E61*(1+IF(F$3&lt;=$O$2,$D61,$D61-($D61-$I$49)*MIN(F$3-$O$2,$Q$2)/$Q$2))</f>
        <v>3252.92119622231</v>
      </c>
      <c r="G61" s="15" t="n">
        <f aca="false">F61*(1+IF(G$3&lt;=$O$2,$D61,$D61-($D61-$I$49)*MIN(G$3-$O$2,$Q$2)/$Q$2))</f>
        <v>3310.89562183857</v>
      </c>
      <c r="H61" s="15" t="n">
        <f aca="false">G61*(1+IF(H$3&lt;=$O$2,$D61,$D61-($D61-$I$49)*MIN(H$3-$O$2,$Q$2)/$Q$2))</f>
        <v>3369.90328306763</v>
      </c>
      <c r="I61" s="15" t="n">
        <f aca="false">H61*(1+IF(I$3&lt;=$O$2,$D61,$D61-($D61-$I$49)*MIN(I$3-$O$2,$Q$2)/$Q$2))</f>
        <v>3429.96259450902</v>
      </c>
      <c r="J61" s="15" t="n">
        <f aca="false">I61*(1+IF(J$3&lt;=$O$2,$D61,$D61-($D61-$I$49)*MIN(J$3-$O$2,$Q$2)/$Q$2))</f>
        <v>3491.42002115945</v>
      </c>
      <c r="K61" s="15" t="n">
        <f aca="false">J61*(1+IF(K$3&lt;=$O$2,$D61,$D61-($D61-$I$49)*MIN(K$3-$O$2,$Q$2)/$Q$2))</f>
        <v>3554.31222472966</v>
      </c>
      <c r="L61" s="15" t="n">
        <f aca="false">K61*(1+IF(L$3&lt;=$O$2,$D61,$D61-($D61-$I$49)*MIN(L$3-$O$2,$Q$2)/$Q$2))</f>
        <v>3618.67693159052</v>
      </c>
      <c r="M61" s="15" t="n">
        <f aca="false">L61*(1+IF(M$3&lt;=$O$2,$D61,$D61-($D61-$I$49)*MIN(M$3-$O$2,$Q$2)/$Q$2))</f>
        <v>3684.55296616618</v>
      </c>
      <c r="N61" s="15" t="n">
        <f aca="false">M61*(1+IF(N$3&lt;=$O$2,$D61,$D61-($D61-$I$49)*MIN(N$3-$O$2,$Q$2)/$Q$2))</f>
        <v>3751.98028544702</v>
      </c>
      <c r="O61" s="15" t="n">
        <f aca="false">SUMPRODUCT(E61:N61,1/(1+$F$49)^$E$3:$N$3)*$E$2</f>
        <v>10857.9109854928</v>
      </c>
      <c r="P61" s="15" t="n">
        <f aca="false">N61*$E$2*(1+$I$49)/($F$49-$I$49)/(1+$F$49)^$N$3</f>
        <v>16164.8724206736</v>
      </c>
      <c r="Q61" s="15" t="n">
        <f aca="false">O61+P61</f>
        <v>27022.7834061663</v>
      </c>
      <c r="R61" s="15" t="n">
        <f aca="false">Q61-$G$2+$I$2</f>
        <v>22954.9834061663</v>
      </c>
      <c r="S61" s="42" t="n">
        <f aca="false">R61/$K$2</f>
        <v>176.359737293841</v>
      </c>
      <c r="T61" s="43" t="n">
        <f aca="false">S61-$M$2</f>
        <v>-0.269027303577644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0.017822265625</v>
      </c>
      <c r="C62" s="25" t="n">
        <f aca="false">IF(T61&gt;0,D61,C61)</f>
        <v>0.0185546875</v>
      </c>
      <c r="D62" s="41" t="n">
        <f aca="false">(B62+C62)/2</f>
        <v>0.0181884765625</v>
      </c>
      <c r="E62" s="15" t="n">
        <f aca="false">$C$2*(1+IF(E$3&lt;=$O$2,$D62,$D62-($D62-$I$49)*MIN(E$3-$O$2,$Q$2)/$Q$2))</f>
        <v>3197.11181640625</v>
      </c>
      <c r="F62" s="15" t="n">
        <f aca="false">E62*(1+IF(F$3&lt;=$O$2,$D62,$D62-($D62-$I$49)*MIN(F$3-$O$2,$Q$2)/$Q$2))</f>
        <v>3255.26240974665</v>
      </c>
      <c r="G62" s="15" t="n">
        <f aca="false">F62*(1+IF(G$3&lt;=$O$2,$D62,$D62-($D62-$I$49)*MIN(G$3-$O$2,$Q$2)/$Q$2))</f>
        <v>3314.47067379111</v>
      </c>
      <c r="H62" s="15" t="n">
        <f aca="false">G62*(1+IF(H$3&lt;=$O$2,$D62,$D62-($D62-$I$49)*MIN(H$3-$O$2,$Q$2)/$Q$2))</f>
        <v>3374.75584595845</v>
      </c>
      <c r="I62" s="15" t="n">
        <f aca="false">H62*(1+IF(I$3&lt;=$O$2,$D62,$D62-($D62-$I$49)*MIN(I$3-$O$2,$Q$2)/$Q$2))</f>
        <v>3436.13751356683</v>
      </c>
      <c r="J62" s="15" t="n">
        <f aca="false">I62*(1+IF(J$3&lt;=$O$2,$D62,$D62-($D62-$I$49)*MIN(J$3-$O$2,$Q$2)/$Q$2))</f>
        <v>3498.71226217131</v>
      </c>
      <c r="K62" s="15" t="n">
        <f aca="false">J62*(1+IF(K$3&lt;=$O$2,$D62,$D62-($D62-$I$49)*MIN(K$3-$O$2,$Q$2)/$Q$2))</f>
        <v>3562.50458351807</v>
      </c>
      <c r="L62" s="15" t="n">
        <f aca="false">K62*(1+IF(L$3&lt;=$O$2,$D62,$D62-($D62-$I$49)*MIN(L$3-$O$2,$Q$2)/$Q$2))</f>
        <v>3627.53949629354</v>
      </c>
      <c r="M62" s="15" t="n">
        <f aca="false">L62*(1+IF(M$3&lt;=$O$2,$D62,$D62-($D62-$I$49)*MIN(M$3-$O$2,$Q$2)/$Q$2))</f>
        <v>3693.84255794086</v>
      </c>
      <c r="N62" s="15" t="n">
        <f aca="false">M62*(1+IF(N$3&lt;=$O$2,$D62,$D62-($D62-$I$49)*MIN(N$3-$O$2,$Q$2)/$Q$2))</f>
        <v>3761.43987675117</v>
      </c>
      <c r="O62" s="15" t="n">
        <f aca="false">SUMPRODUCT(E62:N62,1/(1+$F$49)^$E$3:$N$3)*$E$2</f>
        <v>10875.4920915064</v>
      </c>
      <c r="P62" s="15" t="n">
        <f aca="false">N62*$E$2*(1+$I$49)/($F$49-$I$49)/(1+$F$49)^$N$3</f>
        <v>16205.6277218612</v>
      </c>
      <c r="Q62" s="15" t="n">
        <f aca="false">O62+P62</f>
        <v>27081.1198133676</v>
      </c>
      <c r="R62" s="15" t="n">
        <f aca="false">Q62-$G$2+$I$2</f>
        <v>23013.3198133676</v>
      </c>
      <c r="S62" s="42" t="n">
        <f aca="false">R62/$K$2</f>
        <v>176.807927269265</v>
      </c>
      <c r="T62" s="43" t="n">
        <f aca="false">S62-$M$2</f>
        <v>0.179162671846711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0.017822265625</v>
      </c>
      <c r="C63" s="25" t="n">
        <f aca="false">IF(T62&gt;0,D62,C62)</f>
        <v>0.0181884765625</v>
      </c>
      <c r="D63" s="41" t="n">
        <f aca="false">(B63+C63)/2</f>
        <v>0.01800537109375</v>
      </c>
      <c r="E63" s="15" t="n">
        <f aca="false">$C$2*(1+IF(E$3&lt;=$O$2,$D63,$D63-($D63-$I$49)*MIN(E$3-$O$2,$Q$2)/$Q$2))</f>
        <v>3196.53686523438</v>
      </c>
      <c r="F63" s="15" t="n">
        <f aca="false">E63*(1+IF(F$3&lt;=$O$2,$D63,$D63-($D63-$I$49)*MIN(F$3-$O$2,$Q$2)/$Q$2))</f>
        <v>3254.09169770777</v>
      </c>
      <c r="G63" s="15" t="n">
        <f aca="false">F63*(1+IF(G$3&lt;=$O$2,$D63,$D63-($D63-$I$49)*MIN(G$3-$O$2,$Q$2)/$Q$2))</f>
        <v>3312.68282629809</v>
      </c>
      <c r="H63" s="15" t="n">
        <f aca="false">G63*(1+IF(H$3&lt;=$O$2,$D63,$D63-($D63-$I$49)*MIN(H$3-$O$2,$Q$2)/$Q$2))</f>
        <v>3372.32890990148</v>
      </c>
      <c r="I63" s="15" t="n">
        <f aca="false">H63*(1+IF(I$3&lt;=$O$2,$D63,$D63-($D63-$I$49)*MIN(I$3-$O$2,$Q$2)/$Q$2))</f>
        <v>3433.04894337444</v>
      </c>
      <c r="J63" s="15" t="n">
        <f aca="false">I63*(1+IF(J$3&lt;=$O$2,$D63,$D63-($D63-$I$49)*MIN(J$3-$O$2,$Q$2)/$Q$2))</f>
        <v>3495.06455867396</v>
      </c>
      <c r="K63" s="15" t="n">
        <f aca="false">J63*(1+IF(K$3&lt;=$O$2,$D63,$D63-($D63-$I$49)*MIN(K$3-$O$2,$Q$2)/$Q$2))</f>
        <v>3558.40639186878</v>
      </c>
      <c r="L63" s="15" t="n">
        <f aca="false">K63*(1+IF(L$3&lt;=$O$2,$D63,$D63-($D63-$I$49)*MIN(L$3-$O$2,$Q$2)/$Q$2))</f>
        <v>3623.10586508668</v>
      </c>
      <c r="M63" s="15" t="n">
        <f aca="false">L63*(1+IF(M$3&lt;=$O$2,$D63,$D63-($D63-$I$49)*MIN(M$3-$O$2,$Q$2)/$Q$2))</f>
        <v>3689.19520807412</v>
      </c>
      <c r="N63" s="15" t="n">
        <f aca="false">M63*(1+IF(N$3&lt;=$O$2,$D63,$D63-($D63-$I$49)*MIN(N$3-$O$2,$Q$2)/$Q$2))</f>
        <v>3756.70748038187</v>
      </c>
      <c r="O63" s="15" t="n">
        <f aca="false">SUMPRODUCT(E63:N63,1/(1+$F$49)^$E$3:$N$3)*$E$2</f>
        <v>10866.6979350485</v>
      </c>
      <c r="P63" s="15" t="n">
        <f aca="false">N63*$E$2*(1+$I$49)/($F$49-$I$49)/(1+$F$49)^$N$3</f>
        <v>16185.2388664478</v>
      </c>
      <c r="Q63" s="15" t="n">
        <f aca="false">O63+P63</f>
        <v>27051.9368014963</v>
      </c>
      <c r="R63" s="15" t="n">
        <f aca="false">Q63-$G$2+$I$2</f>
        <v>22984.1368014964</v>
      </c>
      <c r="S63" s="42" t="n">
        <f aca="false">R63/$K$2</f>
        <v>176.583718511804</v>
      </c>
      <c r="T63" s="43" t="n">
        <f aca="false">S63-$M$2</f>
        <v>-0.0450460856150698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0.01800537109375</v>
      </c>
      <c r="C64" s="25" t="n">
        <f aca="false">IF(T63&gt;0,D63,C63)</f>
        <v>0.0181884765625</v>
      </c>
      <c r="D64" s="41" t="n">
        <f aca="false">(B64+C64)/2</f>
        <v>0.018096923828125</v>
      </c>
      <c r="E64" s="15" t="n">
        <f aca="false">$C$2*(1+IF(E$3&lt;=$O$2,$D64,$D64-($D64-$I$49)*MIN(E$3-$O$2,$Q$2)/$Q$2))</f>
        <v>3196.82434082031</v>
      </c>
      <c r="F64" s="15" t="n">
        <f aca="false">E64*(1+IF(F$3&lt;=$O$2,$D64,$D64-($D64-$I$49)*MIN(F$3-$O$2,$Q$2)/$Q$2))</f>
        <v>3254.67702740803</v>
      </c>
      <c r="G64" s="15" t="n">
        <f aca="false">F64*(1+IF(G$3&lt;=$O$2,$D64,$D64-($D64-$I$49)*MIN(G$3-$O$2,$Q$2)/$Q$2))</f>
        <v>3313.57666965819</v>
      </c>
      <c r="H64" s="15" t="n">
        <f aca="false">G64*(1+IF(H$3&lt;=$O$2,$D64,$D64-($D64-$I$49)*MIN(H$3-$O$2,$Q$2)/$Q$2))</f>
        <v>3373.54221424764</v>
      </c>
      <c r="I64" s="15" t="n">
        <f aca="false">H64*(1+IF(I$3&lt;=$O$2,$D64,$D64-($D64-$I$49)*MIN(I$3-$O$2,$Q$2)/$Q$2))</f>
        <v>3434.59295072985</v>
      </c>
      <c r="J64" s="15" t="n">
        <f aca="false">I64*(1+IF(J$3&lt;=$O$2,$D64,$D64-($D64-$I$49)*MIN(J$3-$O$2,$Q$2)/$Q$2))</f>
        <v>3496.8880145375</v>
      </c>
      <c r="K64" s="15" t="n">
        <f aca="false">J64*(1+IF(K$3&lt;=$O$2,$D64,$D64-($D64-$I$49)*MIN(K$3-$O$2,$Q$2)/$Q$2))</f>
        <v>3560.45498442465</v>
      </c>
      <c r="L64" s="15" t="n">
        <f aca="false">K64*(1+IF(L$3&lt;=$O$2,$D64,$D64-($D64-$I$49)*MIN(L$3-$O$2,$Q$2)/$Q$2))</f>
        <v>3625.32209321227</v>
      </c>
      <c r="M64" s="15" t="n">
        <f aca="false">L64*(1+IF(M$3&lt;=$O$2,$D64,$D64-($D64-$I$49)*MIN(M$3-$O$2,$Q$2)/$Q$2))</f>
        <v>3691.51824421156</v>
      </c>
      <c r="N64" s="15" t="n">
        <f aca="false">M64*(1+IF(N$3&lt;=$O$2,$D64,$D64-($D64-$I$49)*MIN(N$3-$O$2,$Q$2)/$Q$2))</f>
        <v>3759.07302808063</v>
      </c>
      <c r="O64" s="15" t="n">
        <f aca="false">SUMPRODUCT(E64:N64,1/(1+$F$49)^$E$3:$N$3)*$E$2</f>
        <v>10871.0941120677</v>
      </c>
      <c r="P64" s="15" t="n">
        <f aca="false">N64*$E$2*(1+$I$49)/($F$49-$I$49)/(1+$F$49)^$N$3</f>
        <v>16195.4304916287</v>
      </c>
      <c r="Q64" s="15" t="n">
        <f aca="false">O64+P64</f>
        <v>27066.5246036964</v>
      </c>
      <c r="R64" s="15" t="n">
        <f aca="false">Q64-$G$2+$I$2</f>
        <v>22998.7246036964</v>
      </c>
      <c r="S64" s="42" t="n">
        <f aca="false">R64/$K$2</f>
        <v>176.695794435283</v>
      </c>
      <c r="T64" s="43" t="n">
        <f aca="false">S64-$M$2</f>
        <v>0.0670298378642826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0.01800537109375</v>
      </c>
      <c r="C65" s="25" t="n">
        <f aca="false">IF(T64&gt;0,D64,C64)</f>
        <v>0.018096923828125</v>
      </c>
      <c r="D65" s="41" t="n">
        <f aca="false">(B65+C65)/2</f>
        <v>0.0180511474609375</v>
      </c>
      <c r="E65" s="15" t="n">
        <f aca="false">$C$2*(1+IF(E$3&lt;=$O$2,$D65,$D65-($D65-$I$49)*MIN(E$3-$O$2,$Q$2)/$Q$2))</f>
        <v>3196.68060302734</v>
      </c>
      <c r="F65" s="15" t="n">
        <f aca="false">E65*(1+IF(F$3&lt;=$O$2,$D65,$D65-($D65-$I$49)*MIN(F$3-$O$2,$Q$2)/$Q$2))</f>
        <v>3254.38435597811</v>
      </c>
      <c r="G65" s="15" t="n">
        <f aca="false">F65*(1+IF(G$3&lt;=$O$2,$D65,$D65-($D65-$I$49)*MIN(G$3-$O$2,$Q$2)/$Q$2))</f>
        <v>3313.12972788244</v>
      </c>
      <c r="H65" s="15" t="n">
        <f aca="false">G65*(1+IF(H$3&lt;=$O$2,$D65,$D65-($D65-$I$49)*MIN(H$3-$O$2,$Q$2)/$Q$2))</f>
        <v>3372.93552115766</v>
      </c>
      <c r="I65" s="15" t="n">
        <f aca="false">H65*(1+IF(I$3&lt;=$O$2,$D65,$D65-($D65-$I$49)*MIN(I$3-$O$2,$Q$2)/$Q$2))</f>
        <v>3433.82087762631</v>
      </c>
      <c r="J65" s="15" t="n">
        <f aca="false">I65*(1+IF(J$3&lt;=$O$2,$D65,$D65-($D65-$I$49)*MIN(J$3-$O$2,$Q$2)/$Q$2))</f>
        <v>3495.97618765161</v>
      </c>
      <c r="K65" s="15" t="n">
        <f aca="false">J65*(1+IF(K$3&lt;=$O$2,$D65,$D65-($D65-$I$49)*MIN(K$3-$O$2,$Q$2)/$Q$2))</f>
        <v>3559.43056235515</v>
      </c>
      <c r="L65" s="15" t="n">
        <f aca="false">K65*(1+IF(L$3&lt;=$O$2,$D65,$D65-($D65-$I$49)*MIN(L$3-$O$2,$Q$2)/$Q$2))</f>
        <v>3624.21383231303</v>
      </c>
      <c r="M65" s="15" t="n">
        <f aca="false">L65*(1+IF(M$3&lt;=$O$2,$D65,$D65-($D65-$I$49)*MIN(M$3-$O$2,$Q$2)/$Q$2))</f>
        <v>3690.3565664815</v>
      </c>
      <c r="N65" s="15" t="n">
        <f aca="false">M65*(1+IF(N$3&lt;=$O$2,$D65,$D65-($D65-$I$49)*MIN(N$3-$O$2,$Q$2)/$Q$2))</f>
        <v>3757.89009164811</v>
      </c>
      <c r="O65" s="15" t="n">
        <f aca="false">SUMPRODUCT(E65:N65,1/(1+$F$49)^$E$3:$N$3)*$E$2</f>
        <v>10868.8957982991</v>
      </c>
      <c r="P65" s="15" t="n">
        <f aca="false">N65*$E$2*(1+$I$49)/($F$49-$I$49)/(1+$F$49)^$N$3</f>
        <v>16190.333978572</v>
      </c>
      <c r="Q65" s="15" t="n">
        <f aca="false">O65+P65</f>
        <v>27059.229776871</v>
      </c>
      <c r="R65" s="15" t="n">
        <f aca="false">Q65-$G$2+$I$2</f>
        <v>22991.429776871</v>
      </c>
      <c r="S65" s="42" t="n">
        <f aca="false">R65/$K$2</f>
        <v>176.639749361333</v>
      </c>
      <c r="T65" s="43" t="n">
        <f aca="false">S65-$M$2</f>
        <v>0.010984763913882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0.01800537109375</v>
      </c>
      <c r="C66" s="25" t="n">
        <f aca="false">IF(T65&gt;0,D65,C65)</f>
        <v>0.0180511474609375</v>
      </c>
      <c r="D66" s="41" t="n">
        <f aca="false">(B66+C66)/2</f>
        <v>0.0180282592773438</v>
      </c>
      <c r="E66" s="15" t="n">
        <f aca="false">$C$2*(1+IF(E$3&lt;=$O$2,$D66,$D66-($D66-$I$49)*MIN(E$3-$O$2,$Q$2)/$Q$2))</f>
        <v>3196.60873413086</v>
      </c>
      <c r="F66" s="15" t="n">
        <f aca="false">E66*(1+IF(F$3&lt;=$O$2,$D66,$D66-($D66-$I$49)*MIN(F$3-$O$2,$Q$2)/$Q$2))</f>
        <v>3254.23802519799</v>
      </c>
      <c r="G66" s="15" t="n">
        <f aca="false">F66*(1+IF(G$3&lt;=$O$2,$D66,$D66-($D66-$I$49)*MIN(G$3-$O$2,$Q$2)/$Q$2))</f>
        <v>3312.90627206645</v>
      </c>
      <c r="H66" s="15" t="n">
        <f aca="false">G66*(1+IF(H$3&lt;=$O$2,$D66,$D66-($D66-$I$49)*MIN(H$3-$O$2,$Q$2)/$Q$2))</f>
        <v>3372.63220530081</v>
      </c>
      <c r="I66" s="15" t="n">
        <f aca="false">H66*(1+IF(I$3&lt;=$O$2,$D66,$D66-($D66-$I$49)*MIN(I$3-$O$2,$Q$2)/$Q$2))</f>
        <v>3433.43489314509</v>
      </c>
      <c r="J66" s="15" t="n">
        <f aca="false">I66*(1+IF(J$3&lt;=$O$2,$D66,$D66-($D66-$I$49)*MIN(J$3-$O$2,$Q$2)/$Q$2))</f>
        <v>3495.5203484264</v>
      </c>
      <c r="K66" s="15" t="n">
        <f aca="false">J66*(1+IF(K$3&lt;=$O$2,$D66,$D66-($D66-$I$49)*MIN(K$3-$O$2,$Q$2)/$Q$2))</f>
        <v>3558.91844566728</v>
      </c>
      <c r="L66" s="15" t="n">
        <f aca="false">K66*(1+IF(L$3&lt;=$O$2,$D66,$D66-($D66-$I$49)*MIN(L$3-$O$2,$Q$2)/$Q$2))</f>
        <v>3623.65981199487</v>
      </c>
      <c r="M66" s="15" t="n">
        <f aca="false">L66*(1+IF(M$3&lt;=$O$2,$D66,$D66-($D66-$I$49)*MIN(M$3-$O$2,$Q$2)/$Q$2))</f>
        <v>3689.77584736718</v>
      </c>
      <c r="N66" s="15" t="n">
        <f aca="false">M66*(1+IF(N$3&lt;=$O$2,$D66,$D66-($D66-$I$49)*MIN(N$3-$O$2,$Q$2)/$Q$2))</f>
        <v>3757.298745374</v>
      </c>
      <c r="O66" s="15" t="n">
        <f aca="false">SUMPRODUCT(E66:N66,1/(1+$F$49)^$E$3:$N$3)*$E$2</f>
        <v>10867.7968103645</v>
      </c>
      <c r="P66" s="15" t="n">
        <f aca="false">N66*$E$2*(1+$I$49)/($F$49-$I$49)/(1+$F$49)^$N$3</f>
        <v>16187.7862474139</v>
      </c>
      <c r="Q66" s="15" t="n">
        <f aca="false">O66+P66</f>
        <v>27055.5830577784</v>
      </c>
      <c r="R66" s="15" t="n">
        <f aca="false">Q66-$G$2+$I$2</f>
        <v>22987.7830577784</v>
      </c>
      <c r="S66" s="42" t="n">
        <f aca="false">R66/$K$2</f>
        <v>176.611732158715</v>
      </c>
      <c r="T66" s="43" t="n">
        <f aca="false">S66-$M$2</f>
        <v>-0.0170324387031258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0.0180282592773438</v>
      </c>
      <c r="C67" s="25" t="n">
        <f aca="false">IF(T66&gt;0,D66,C66)</f>
        <v>0.0180511474609375</v>
      </c>
      <c r="D67" s="41" t="n">
        <f aca="false">(B67+C67)/2</f>
        <v>0.0180397033691406</v>
      </c>
      <c r="E67" s="15" t="n">
        <f aca="false">$C$2*(1+IF(E$3&lt;=$O$2,$D67,$D67-($D67-$I$49)*MIN(E$3-$O$2,$Q$2)/$Q$2))</f>
        <v>3196.6446685791</v>
      </c>
      <c r="F67" s="15" t="n">
        <f aca="false">E67*(1+IF(F$3&lt;=$O$2,$D67,$D67-($D67-$I$49)*MIN(F$3-$O$2,$Q$2)/$Q$2))</f>
        <v>3254.31119017681</v>
      </c>
      <c r="G67" s="15" t="n">
        <f aca="false">F67*(1+IF(G$3&lt;=$O$2,$D67,$D67-($D67-$I$49)*MIN(G$3-$O$2,$Q$2)/$Q$2))</f>
        <v>3313.01799871848</v>
      </c>
      <c r="H67" s="15" t="n">
        <f aca="false">G67*(1+IF(H$3&lt;=$O$2,$D67,$D67-($D67-$I$49)*MIN(H$3-$O$2,$Q$2)/$Q$2))</f>
        <v>3372.78386067198</v>
      </c>
      <c r="I67" s="15" t="n">
        <f aca="false">H67*(1+IF(I$3&lt;=$O$2,$D67,$D67-($D67-$I$49)*MIN(I$3-$O$2,$Q$2)/$Q$2))</f>
        <v>3433.62788104673</v>
      </c>
      <c r="J67" s="15" t="n">
        <f aca="false">I67*(1+IF(J$3&lt;=$O$2,$D67,$D67-($D67-$I$49)*MIN(J$3-$O$2,$Q$2)/$Q$2))</f>
        <v>3495.74826185464</v>
      </c>
      <c r="K67" s="15" t="n">
        <f aca="false">J67*(1+IF(K$3&lt;=$O$2,$D67,$D67-($D67-$I$49)*MIN(K$3-$O$2,$Q$2)/$Q$2))</f>
        <v>3559.17449614964</v>
      </c>
      <c r="L67" s="15" t="n">
        <f aca="false">K67*(1+IF(L$3&lt;=$O$2,$D67,$D67-($D67-$I$49)*MIN(L$3-$O$2,$Q$2)/$Q$2))</f>
        <v>3623.93681297718</v>
      </c>
      <c r="M67" s="15" t="n">
        <f aca="false">L67*(1+IF(M$3&lt;=$O$2,$D67,$D67-($D67-$I$49)*MIN(M$3-$O$2,$Q$2)/$Q$2))</f>
        <v>3690.06619694609</v>
      </c>
      <c r="N67" s="15" t="n">
        <f aca="false">M67*(1+IF(N$3&lt;=$O$2,$D67,$D67-($D67-$I$49)*MIN(N$3-$O$2,$Q$2)/$Q$2))</f>
        <v>3757.59440835021</v>
      </c>
      <c r="O67" s="15" t="n">
        <f aca="false">SUMPRODUCT(E67:N67,1/(1+$F$49)^$E$3:$N$3)*$E$2</f>
        <v>10868.3462902538</v>
      </c>
      <c r="P67" s="15" t="n">
        <f aca="false">N67*$E$2*(1+$I$49)/($F$49-$I$49)/(1+$F$49)^$N$3</f>
        <v>16189.0600692164</v>
      </c>
      <c r="Q67" s="15" t="n">
        <f aca="false">O67+P67</f>
        <v>27057.4063594701</v>
      </c>
      <c r="R67" s="15" t="n">
        <f aca="false">Q67-$G$2+$I$2</f>
        <v>22989.6063594701</v>
      </c>
      <c r="S67" s="42" t="n">
        <f aca="false">R67/$K$2</f>
        <v>176.625740315536</v>
      </c>
      <c r="T67" s="43" t="n">
        <f aca="false">S67-$M$2</f>
        <v>-0.00302428188277304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0.0180397033691406</v>
      </c>
      <c r="C68" s="25" t="n">
        <f aca="false">IF(T67&gt;0,D67,C67)</f>
        <v>0.0180511474609375</v>
      </c>
      <c r="D68" s="41" t="n">
        <f aca="false">(B68+C68)/2</f>
        <v>0.0180454254150391</v>
      </c>
      <c r="E68" s="15" t="n">
        <f aca="false">$C$2*(1+IF(E$3&lt;=$O$2,$D68,$D68-($D68-$I$49)*MIN(E$3-$O$2,$Q$2)/$Q$2))</f>
        <v>3196.66263580322</v>
      </c>
      <c r="F68" s="15" t="n">
        <f aca="false">E68*(1+IF(F$3&lt;=$O$2,$D68,$D68-($D68-$I$49)*MIN(F$3-$O$2,$Q$2)/$Q$2))</f>
        <v>3254.34777297465</v>
      </c>
      <c r="G68" s="15" t="n">
        <f aca="false">F68*(1+IF(G$3&lt;=$O$2,$D68,$D68-($D68-$I$49)*MIN(G$3-$O$2,$Q$2)/$Q$2))</f>
        <v>3313.07386298646</v>
      </c>
      <c r="H68" s="15" t="n">
        <f aca="false">G68*(1+IF(H$3&lt;=$O$2,$D68,$D68-($D68-$I$49)*MIN(H$3-$O$2,$Q$2)/$Q$2))</f>
        <v>3372.8596902755</v>
      </c>
      <c r="I68" s="15" t="n">
        <f aca="false">H68*(1+IF(I$3&lt;=$O$2,$D68,$D68-($D68-$I$49)*MIN(I$3-$O$2,$Q$2)/$Q$2))</f>
        <v>3433.72437825176</v>
      </c>
      <c r="J68" s="15" t="n">
        <f aca="false">I68*(1+IF(J$3&lt;=$O$2,$D68,$D68-($D68-$I$49)*MIN(J$3-$O$2,$Q$2)/$Q$2))</f>
        <v>3495.862223207</v>
      </c>
      <c r="K68" s="15" t="n">
        <f aca="false">J68*(1+IF(K$3&lt;=$O$2,$D68,$D68-($D68-$I$49)*MIN(K$3-$O$2,$Q$2)/$Q$2))</f>
        <v>3559.30252728695</v>
      </c>
      <c r="L68" s="15" t="n">
        <f aca="false">K68*(1+IF(L$3&lt;=$O$2,$D68,$D68-($D68-$I$49)*MIN(L$3-$O$2,$Q$2)/$Q$2))</f>
        <v>3624.07532035085</v>
      </c>
      <c r="M68" s="15" t="n">
        <f aca="false">L68*(1+IF(M$3&lt;=$O$2,$D68,$D68-($D68-$I$49)*MIN(M$3-$O$2,$Q$2)/$Q$2))</f>
        <v>3690.21137921916</v>
      </c>
      <c r="N68" s="15" t="n">
        <f aca="false">M68*(1+IF(N$3&lt;=$O$2,$D68,$D68-($D68-$I$49)*MIN(N$3-$O$2,$Q$2)/$Q$2))</f>
        <v>3757.74224745887</v>
      </c>
      <c r="O68" s="15" t="n">
        <f aca="false">SUMPRODUCT(E68:N68,1/(1+$F$49)^$E$3:$N$3)*$E$2</f>
        <v>10868.6210407568</v>
      </c>
      <c r="P68" s="15" t="n">
        <f aca="false">N68*$E$2*(1+$I$49)/($F$49-$I$49)/(1+$F$49)^$N$3</f>
        <v>16189.6970129497</v>
      </c>
      <c r="Q68" s="15" t="n">
        <f aca="false">O68+P68</f>
        <v>27058.3180537065</v>
      </c>
      <c r="R68" s="15" t="n">
        <f aca="false">Q68-$G$2+$I$2</f>
        <v>22990.5180537065</v>
      </c>
      <c r="S68" s="42" t="n">
        <f aca="false">R68/$K$2</f>
        <v>176.632744727309</v>
      </c>
      <c r="T68" s="43" t="n">
        <f aca="false">S68-$M$2</f>
        <v>0.00398012989040808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0.0180397033691406</v>
      </c>
      <c r="C69" s="25" t="n">
        <f aca="false">IF(T68&gt;0,D68,C68)</f>
        <v>0.0180454254150391</v>
      </c>
      <c r="D69" s="41" t="n">
        <f aca="false">(B69+C69)/2</f>
        <v>0.0180425643920898</v>
      </c>
      <c r="E69" s="15" t="n">
        <f aca="false">$C$2*(1+IF(E$3&lt;=$O$2,$D69,$D69-($D69-$I$49)*MIN(E$3-$O$2,$Q$2)/$Q$2))</f>
        <v>3196.65365219116</v>
      </c>
      <c r="F69" s="15" t="n">
        <f aca="false">E69*(1+IF(F$3&lt;=$O$2,$D69,$D69-($D69-$I$49)*MIN(F$3-$O$2,$Q$2)/$Q$2))</f>
        <v>3254.32948155003</v>
      </c>
      <c r="G69" s="15" t="n">
        <f aca="false">F69*(1+IF(G$3&lt;=$O$2,$D69,$D69-($D69-$I$49)*MIN(G$3-$O$2,$Q$2)/$Q$2))</f>
        <v>3313.04593077397</v>
      </c>
      <c r="H69" s="15" t="n">
        <f aca="false">G69*(1+IF(H$3&lt;=$O$2,$D69,$D69-($D69-$I$49)*MIN(H$3-$O$2,$Q$2)/$Q$2))</f>
        <v>3372.82177531391</v>
      </c>
      <c r="I69" s="15" t="n">
        <f aca="false">H69*(1+IF(I$3&lt;=$O$2,$D69,$D69-($D69-$I$49)*MIN(I$3-$O$2,$Q$2)/$Q$2))</f>
        <v>3433.67612937806</v>
      </c>
      <c r="J69" s="15" t="n">
        <f aca="false">I69*(1+IF(J$3&lt;=$O$2,$D69,$D69-($D69-$I$49)*MIN(J$3-$O$2,$Q$2)/$Q$2))</f>
        <v>3495.80524214429</v>
      </c>
      <c r="K69" s="15" t="n">
        <f aca="false">J69*(1+IF(K$3&lt;=$O$2,$D69,$D69-($D69-$I$49)*MIN(K$3-$O$2,$Q$2)/$Q$2))</f>
        <v>3559.23851122694</v>
      </c>
      <c r="L69" s="15" t="n">
        <f aca="false">K69*(1+IF(L$3&lt;=$O$2,$D69,$D69-($D69-$I$49)*MIN(L$3-$O$2,$Q$2)/$Q$2))</f>
        <v>3624.00606609046</v>
      </c>
      <c r="M69" s="15" t="n">
        <f aca="false">L69*(1+IF(M$3&lt;=$O$2,$D69,$D69-($D69-$I$49)*MIN(M$3-$O$2,$Q$2)/$Q$2))</f>
        <v>3690.13878745898</v>
      </c>
      <c r="N69" s="15" t="n">
        <f aca="false">M69*(1+IF(N$3&lt;=$O$2,$D69,$D69-($D69-$I$49)*MIN(N$3-$O$2,$Q$2)/$Q$2))</f>
        <v>3757.66832726948</v>
      </c>
      <c r="O69" s="15" t="n">
        <f aca="false">SUMPRODUCT(E69:N69,1/(1+$F$49)^$E$3:$N$3)*$E$2</f>
        <v>10868.4836646254</v>
      </c>
      <c r="P69" s="15" t="n">
        <f aca="false">N69*$E$2*(1+$I$49)/($F$49-$I$49)/(1+$F$49)^$N$3</f>
        <v>16189.378538347</v>
      </c>
      <c r="Q69" s="15" t="n">
        <f aca="false">O69+P69</f>
        <v>27057.8622029724</v>
      </c>
      <c r="R69" s="15" t="n">
        <f aca="false">Q69-$G$2+$I$2</f>
        <v>22990.0622029724</v>
      </c>
      <c r="S69" s="42" t="n">
        <f aca="false">R69/$K$2</f>
        <v>176.629242493642</v>
      </c>
      <c r="T69" s="43" t="n">
        <f aca="false">S69-$M$2</f>
        <v>0.00047789622288974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0.0180397033691406</v>
      </c>
      <c r="C70" s="25" t="n">
        <f aca="false">IF(T69&gt;0,D69,C69)</f>
        <v>0.0180425643920898</v>
      </c>
      <c r="D70" s="41" t="n">
        <f aca="false">(B70+C70)/2</f>
        <v>0.0180411338806152</v>
      </c>
      <c r="E70" s="15" t="n">
        <f aca="false">$C$2*(1+IF(E$3&lt;=$O$2,$D70,$D70-($D70-$I$49)*MIN(E$3-$O$2,$Q$2)/$Q$2))</f>
        <v>3196.64916038513</v>
      </c>
      <c r="F70" s="15" t="n">
        <f aca="false">E70*(1+IF(F$3&lt;=$O$2,$D70,$D70-($D70-$I$49)*MIN(F$3-$O$2,$Q$2)/$Q$2))</f>
        <v>3254.320335857</v>
      </c>
      <c r="G70" s="15" t="n">
        <f aca="false">F70*(1+IF(G$3&lt;=$O$2,$D70,$D70-($D70-$I$49)*MIN(G$3-$O$2,$Q$2)/$Q$2))</f>
        <v>3313.0319647266</v>
      </c>
      <c r="H70" s="15" t="n">
        <f aca="false">G70*(1+IF(H$3&lt;=$O$2,$D70,$D70-($D70-$I$49)*MIN(H$3-$O$2,$Q$2)/$Q$2))</f>
        <v>3372.80281795299</v>
      </c>
      <c r="I70" s="15" t="n">
        <f aca="false">H70*(1+IF(I$3&lt;=$O$2,$D70,$D70-($D70-$I$49)*MIN(I$3-$O$2,$Q$2)/$Q$2))</f>
        <v>3433.6520051446</v>
      </c>
      <c r="J70" s="15" t="n">
        <f aca="false">I70*(1+IF(J$3&lt;=$O$2,$D70,$D70-($D70-$I$49)*MIN(J$3-$O$2,$Q$2)/$Q$2))</f>
        <v>3495.77675190283</v>
      </c>
      <c r="K70" s="15" t="n">
        <f aca="false">J70*(1+IF(K$3&lt;=$O$2,$D70,$D70-($D70-$I$49)*MIN(K$3-$O$2,$Q$2)/$Q$2))</f>
        <v>3559.20650356545</v>
      </c>
      <c r="L70" s="15" t="n">
        <f aca="false">K70*(1+IF(L$3&lt;=$O$2,$D70,$D70-($D70-$I$49)*MIN(L$3-$O$2,$Q$2)/$Q$2))</f>
        <v>3623.97143939043</v>
      </c>
      <c r="M70" s="15" t="n">
        <f aca="false">L70*(1+IF(M$3&lt;=$O$2,$D70,$D70-($D70-$I$49)*MIN(M$3-$O$2,$Q$2)/$Q$2))</f>
        <v>3690.10249204662</v>
      </c>
      <c r="N70" s="15" t="n">
        <f aca="false">M70*(1+IF(N$3&lt;=$O$2,$D70,$D70-($D70-$I$49)*MIN(N$3-$O$2,$Q$2)/$Q$2))</f>
        <v>3757.63136765108</v>
      </c>
      <c r="O70" s="15" t="n">
        <f aca="false">SUMPRODUCT(E70:N70,1/(1+$F$49)^$E$3:$N$3)*$E$2</f>
        <v>10868.4149772196</v>
      </c>
      <c r="P70" s="15" t="n">
        <f aca="false">N70*$E$2*(1+$I$49)/($F$49-$I$49)/(1+$F$49)^$N$3</f>
        <v>16189.2193030977</v>
      </c>
      <c r="Q70" s="15" t="n">
        <f aca="false">O70+P70</f>
        <v>27057.6342803173</v>
      </c>
      <c r="R70" s="15" t="n">
        <f aca="false">Q70-$G$2+$I$2</f>
        <v>22989.8342803173</v>
      </c>
      <c r="S70" s="42" t="n">
        <f aca="false">R70/$K$2</f>
        <v>176.627491397644</v>
      </c>
      <c r="T70" s="43" t="n">
        <f aca="false">S70-$M$2</f>
        <v>-0.00127319977508478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0.0180411338806152</v>
      </c>
      <c r="C71" s="25" t="n">
        <f aca="false">IF(T70&gt;0,D70,C70)</f>
        <v>0.0180425643920898</v>
      </c>
      <c r="D71" s="41" t="n">
        <f aca="false">(B71+C71)/2</f>
        <v>0.0180418491363525</v>
      </c>
      <c r="E71" s="15" t="n">
        <f aca="false">$C$2*(1+IF(E$3&lt;=$O$2,$D71,$D71-($D71-$I$49)*MIN(E$3-$O$2,$Q$2)/$Q$2))</f>
        <v>3196.65140628815</v>
      </c>
      <c r="F71" s="15" t="n">
        <f aca="false">E71*(1+IF(F$3&lt;=$O$2,$D71,$D71-($D71-$I$49)*MIN(F$3-$O$2,$Q$2)/$Q$2))</f>
        <v>3254.32490870191</v>
      </c>
      <c r="G71" s="15" t="n">
        <f aca="false">F71*(1+IF(G$3&lt;=$O$2,$D71,$D71-($D71-$I$49)*MIN(G$3-$O$2,$Q$2)/$Q$2))</f>
        <v>3313.03894774538</v>
      </c>
      <c r="H71" s="15" t="n">
        <f aca="false">G71*(1+IF(H$3&lt;=$O$2,$D71,$D71-($D71-$I$49)*MIN(H$3-$O$2,$Q$2)/$Q$2))</f>
        <v>3372.81229662346</v>
      </c>
      <c r="I71" s="15" t="n">
        <f aca="false">H71*(1+IF(I$3&lt;=$O$2,$D71,$D71-($D71-$I$49)*MIN(I$3-$O$2,$Q$2)/$Q$2))</f>
        <v>3433.66406724438</v>
      </c>
      <c r="J71" s="15" t="n">
        <f aca="false">I71*(1+IF(J$3&lt;=$O$2,$D71,$D71-($D71-$I$49)*MIN(J$3-$O$2,$Q$2)/$Q$2))</f>
        <v>3495.7909969994</v>
      </c>
      <c r="K71" s="15" t="n">
        <f aca="false">J71*(1+IF(K$3&lt;=$O$2,$D71,$D71-($D71-$I$49)*MIN(K$3-$O$2,$Q$2)/$Q$2))</f>
        <v>3559.22250736549</v>
      </c>
      <c r="L71" s="15" t="n">
        <f aca="false">K71*(1+IF(L$3&lt;=$O$2,$D71,$D71-($D71-$I$49)*MIN(L$3-$O$2,$Q$2)/$Q$2))</f>
        <v>3623.9887527046</v>
      </c>
      <c r="M71" s="15" t="n">
        <f aca="false">L71*(1+IF(M$3&lt;=$O$2,$D71,$D71-($D71-$I$49)*MIN(M$3-$O$2,$Q$2)/$Q$2))</f>
        <v>3690.12063971382</v>
      </c>
      <c r="N71" s="15" t="n">
        <f aca="false">M71*(1+IF(N$3&lt;=$O$2,$D71,$D71-($D71-$I$49)*MIN(N$3-$O$2,$Q$2)/$Q$2))</f>
        <v>3757.64984742059</v>
      </c>
      <c r="O71" s="15" t="n">
        <f aca="false">SUMPRODUCT(E71:N71,1/(1+$F$49)^$E$3:$N$3)*$E$2</f>
        <v>10868.4493208675</v>
      </c>
      <c r="P71" s="15" t="n">
        <f aca="false">N71*$E$2*(1+$I$49)/($F$49-$I$49)/(1+$F$49)^$N$3</f>
        <v>16189.2989205513</v>
      </c>
      <c r="Q71" s="15" t="n">
        <f aca="false">O71+P71</f>
        <v>27057.7482414188</v>
      </c>
      <c r="R71" s="15" t="n">
        <f aca="false">Q71-$G$2+$I$2</f>
        <v>22989.9482414188</v>
      </c>
      <c r="S71" s="42" t="n">
        <f aca="false">R71/$K$2</f>
        <v>176.628366943906</v>
      </c>
      <c r="T71" s="43" t="n">
        <f aca="false">S71-$M$2</f>
        <v>-0.000397653512379748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0.0180418491363525</v>
      </c>
      <c r="C72" s="25" t="n">
        <f aca="false">IF(T71&gt;0,D71,C71)</f>
        <v>0.0180425643920898</v>
      </c>
      <c r="D72" s="41" t="n">
        <f aca="false">(B72+C72)/2</f>
        <v>0.0180422067642212</v>
      </c>
      <c r="E72" s="15" t="n">
        <f aca="false">$C$2*(1+IF(E$3&lt;=$O$2,$D72,$D72-($D72-$I$49)*MIN(E$3-$O$2,$Q$2)/$Q$2))</f>
        <v>3196.65252923965</v>
      </c>
      <c r="F72" s="15" t="n">
        <f aca="false">E72*(1+IF(F$3&lt;=$O$2,$D72,$D72-($D72-$I$49)*MIN(F$3-$O$2,$Q$2)/$Q$2))</f>
        <v>3254.32719512557</v>
      </c>
      <c r="G72" s="15" t="n">
        <f aca="false">F72*(1+IF(G$3&lt;=$O$2,$D72,$D72-($D72-$I$49)*MIN(G$3-$O$2,$Q$2)/$Q$2))</f>
        <v>3313.04243925845</v>
      </c>
      <c r="H72" s="15" t="n">
        <f aca="false">G72*(1+IF(H$3&lt;=$O$2,$D72,$D72-($D72-$I$49)*MIN(H$3-$O$2,$Q$2)/$Q$2))</f>
        <v>3372.81703596619</v>
      </c>
      <c r="I72" s="15" t="n">
        <f aca="false">H72*(1+IF(I$3&lt;=$O$2,$D72,$D72-($D72-$I$49)*MIN(I$3-$O$2,$Q$2)/$Q$2))</f>
        <v>3433.67009830698</v>
      </c>
      <c r="J72" s="15" t="n">
        <f aca="false">I72*(1+IF(J$3&lt;=$O$2,$D72,$D72-($D72-$I$49)*MIN(J$3-$O$2,$Q$2)/$Q$2))</f>
        <v>3495.79811956581</v>
      </c>
      <c r="K72" s="15" t="n">
        <f aca="false">J72*(1+IF(K$3&lt;=$O$2,$D72,$D72-($D72-$I$49)*MIN(K$3-$O$2,$Q$2)/$Q$2))</f>
        <v>3559.23050928854</v>
      </c>
      <c r="L72" s="15" t="n">
        <f aca="false">K72*(1+IF(L$3&lt;=$O$2,$D72,$D72-($D72-$I$49)*MIN(L$3-$O$2,$Q$2)/$Q$2))</f>
        <v>3623.99740938857</v>
      </c>
      <c r="M72" s="15" t="n">
        <f aca="false">L72*(1+IF(M$3&lt;=$O$2,$D72,$D72-($D72-$I$49)*MIN(M$3-$O$2,$Q$2)/$Q$2))</f>
        <v>3690.12971357666</v>
      </c>
      <c r="N72" s="15" t="n">
        <f aca="false">M72*(1+IF(N$3&lt;=$O$2,$D72,$D72-($D72-$I$49)*MIN(N$3-$O$2,$Q$2)/$Q$2))</f>
        <v>3757.65908733511</v>
      </c>
      <c r="O72" s="15" t="n">
        <f aca="false">SUMPRODUCT(E72:N72,1/(1+$F$49)^$E$3:$N$3)*$E$2</f>
        <v>10868.4664927327</v>
      </c>
      <c r="P72" s="15" t="n">
        <f aca="false">N72*$E$2*(1+$I$49)/($F$49-$I$49)/(1+$F$49)^$N$3</f>
        <v>16189.3387294064</v>
      </c>
      <c r="Q72" s="15" t="n">
        <f aca="false">O72+P72</f>
        <v>27057.8052221391</v>
      </c>
      <c r="R72" s="15" t="n">
        <f aca="false">Q72-$G$2+$I$2</f>
        <v>22990.0052221391</v>
      </c>
      <c r="S72" s="42" t="n">
        <f aca="false">R72/$K$2</f>
        <v>176.62880471834</v>
      </c>
      <c r="T72" s="43" t="n">
        <f aca="false">S72-$M$2</f>
        <v>4.01209212270715E-005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0.0180418491363525</v>
      </c>
      <c r="C73" s="25" t="n">
        <f aca="false">IF(T72&gt;0,D72,C72)</f>
        <v>0.0180422067642212</v>
      </c>
      <c r="D73" s="41" t="n">
        <f aca="false">(B73+C73)/2</f>
        <v>0.0180420279502869</v>
      </c>
      <c r="E73" s="15" t="n">
        <f aca="false">$C$2*(1+IF(E$3&lt;=$O$2,$D73,$D73-($D73-$I$49)*MIN(E$3-$O$2,$Q$2)/$Q$2))</f>
        <v>3196.6519677639</v>
      </c>
      <c r="F73" s="15" t="n">
        <f aca="false">E73*(1+IF(F$3&lt;=$O$2,$D73,$D73-($D73-$I$49)*MIN(F$3-$O$2,$Q$2)/$Q$2))</f>
        <v>3254.32605191364</v>
      </c>
      <c r="G73" s="15" t="n">
        <f aca="false">F73*(1+IF(G$3&lt;=$O$2,$D73,$D73-($D73-$I$49)*MIN(G$3-$O$2,$Q$2)/$Q$2))</f>
        <v>3313.04069350161</v>
      </c>
      <c r="H73" s="15" t="n">
        <f aca="false">G73*(1+IF(H$3&lt;=$O$2,$D73,$D73-($D73-$I$49)*MIN(H$3-$O$2,$Q$2)/$Q$2))</f>
        <v>3372.8146662942</v>
      </c>
      <c r="I73" s="15" t="n">
        <f aca="false">H73*(1+IF(I$3&lt;=$O$2,$D73,$D73-($D73-$I$49)*MIN(I$3-$O$2,$Q$2)/$Q$2))</f>
        <v>3433.66708277462</v>
      </c>
      <c r="J73" s="15" t="n">
        <f aca="false">I73*(1+IF(J$3&lt;=$O$2,$D73,$D73-($D73-$I$49)*MIN(J$3-$O$2,$Q$2)/$Q$2))</f>
        <v>3495.7945582811</v>
      </c>
      <c r="K73" s="15" t="n">
        <f aca="false">J73*(1+IF(K$3&lt;=$O$2,$D73,$D73-($D73-$I$49)*MIN(K$3-$O$2,$Q$2)/$Q$2))</f>
        <v>3559.22650832509</v>
      </c>
      <c r="L73" s="15" t="n">
        <f aca="false">K73*(1+IF(L$3&lt;=$O$2,$D73,$D73-($D73-$I$49)*MIN(L$3-$O$2,$Q$2)/$Q$2))</f>
        <v>3623.99308104434</v>
      </c>
      <c r="M73" s="15" t="n">
        <f aca="false">L73*(1+IF(M$3&lt;=$O$2,$D73,$D73-($D73-$I$49)*MIN(M$3-$O$2,$Q$2)/$Q$2))</f>
        <v>3690.1251766428</v>
      </c>
      <c r="N73" s="15" t="n">
        <f aca="false">M73*(1+IF(N$3&lt;=$O$2,$D73,$D73-($D73-$I$49)*MIN(N$3-$O$2,$Q$2)/$Q$2))</f>
        <v>3757.65446737537</v>
      </c>
      <c r="O73" s="15" t="n">
        <f aca="false">SUMPRODUCT(E73:N73,1/(1+$F$49)^$E$3:$N$3)*$E$2</f>
        <v>10868.4579067967</v>
      </c>
      <c r="P73" s="15" t="n">
        <f aca="false">N73*$E$2*(1+$I$49)/($F$49-$I$49)/(1+$F$49)^$N$3</f>
        <v>16189.3188249682</v>
      </c>
      <c r="Q73" s="15" t="n">
        <f aca="false">O73+P73</f>
        <v>27057.7767317648</v>
      </c>
      <c r="R73" s="15" t="n">
        <f aca="false">Q73-$G$2+$I$2</f>
        <v>22989.9767317648</v>
      </c>
      <c r="S73" s="42" t="n">
        <f aca="false">R73/$K$2</f>
        <v>176.628585831015</v>
      </c>
      <c r="T73" s="43" t="n">
        <f aca="false">S73-$M$2</f>
        <v>-0.000178766404104636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0.0180420279502869</v>
      </c>
      <c r="C74" s="25" t="n">
        <f aca="false">IF(T73&gt;0,D73,C73)</f>
        <v>0.0180422067642212</v>
      </c>
      <c r="D74" s="41" t="n">
        <f aca="false">(B74+C74)/2</f>
        <v>0.018042117357254</v>
      </c>
      <c r="E74" s="15" t="n">
        <f aca="false">$C$2*(1+IF(E$3&lt;=$O$2,$D74,$D74-($D74-$I$49)*MIN(E$3-$O$2,$Q$2)/$Q$2))</f>
        <v>3196.65224850178</v>
      </c>
      <c r="F74" s="15" t="n">
        <f aca="false">E74*(1+IF(F$3&lt;=$O$2,$D74,$D74-($D74-$I$49)*MIN(F$3-$O$2,$Q$2)/$Q$2))</f>
        <v>3254.32662351958</v>
      </c>
      <c r="G74" s="15" t="n">
        <f aca="false">F74*(1+IF(G$3&lt;=$O$2,$D74,$D74-($D74-$I$49)*MIN(G$3-$O$2,$Q$2)/$Q$2))</f>
        <v>3313.04156637995</v>
      </c>
      <c r="H74" s="15" t="n">
        <f aca="false">G74*(1+IF(H$3&lt;=$O$2,$D74,$D74-($D74-$I$49)*MIN(H$3-$O$2,$Q$2)/$Q$2))</f>
        <v>3372.81585113004</v>
      </c>
      <c r="I74" s="15" t="n">
        <f aca="false">H74*(1+IF(I$3&lt;=$O$2,$D74,$D74-($D74-$I$49)*MIN(I$3-$O$2,$Q$2)/$Q$2))</f>
        <v>3433.66859054054</v>
      </c>
      <c r="J74" s="15" t="n">
        <f aca="false">I74*(1+IF(J$3&lt;=$O$2,$D74,$D74-($D74-$I$49)*MIN(J$3-$O$2,$Q$2)/$Q$2))</f>
        <v>3495.79633892307</v>
      </c>
      <c r="K74" s="15" t="n">
        <f aca="false">J74*(1+IF(K$3&lt;=$O$2,$D74,$D74-($D74-$I$49)*MIN(K$3-$O$2,$Q$2)/$Q$2))</f>
        <v>3559.22850880634</v>
      </c>
      <c r="L74" s="15" t="n">
        <f aca="false">K74*(1+IF(L$3&lt;=$O$2,$D74,$D74-($D74-$I$49)*MIN(L$3-$O$2,$Q$2)/$Q$2))</f>
        <v>3623.9952452159</v>
      </c>
      <c r="M74" s="15" t="n">
        <f aca="false">L74*(1+IF(M$3&lt;=$O$2,$D74,$D74-($D74-$I$49)*MIN(M$3-$O$2,$Q$2)/$Q$2))</f>
        <v>3690.12744510912</v>
      </c>
      <c r="N74" s="15" t="n">
        <f aca="false">M74*(1+IF(N$3&lt;=$O$2,$D74,$D74-($D74-$I$49)*MIN(N$3-$O$2,$Q$2)/$Q$2))</f>
        <v>3757.65677735462</v>
      </c>
      <c r="O74" s="15" t="n">
        <f aca="false">SUMPRODUCT(E74:N74,1/(1+$F$49)^$E$3:$N$3)*$E$2</f>
        <v>10868.4621997638</v>
      </c>
      <c r="P74" s="15" t="n">
        <f aca="false">N74*$E$2*(1+$I$49)/($F$49-$I$49)/(1+$F$49)^$N$3</f>
        <v>16189.3287771846</v>
      </c>
      <c r="Q74" s="15" t="n">
        <f aca="false">O74+P74</f>
        <v>27057.7909769484</v>
      </c>
      <c r="R74" s="15" t="n">
        <f aca="false">Q74-$G$2+$I$2</f>
        <v>22989.9909769484</v>
      </c>
      <c r="S74" s="42" t="n">
        <f aca="false">R74/$K$2</f>
        <v>176.62869527465</v>
      </c>
      <c r="T74" s="43" t="n">
        <f aca="false">S74-$M$2</f>
        <v>-6.93227686099363E-005</v>
      </c>
    </row>
    <row r="76" customFormat="false" ht="15" hidden="false" customHeight="false" outlineLevel="0" collapsed="false">
      <c r="A76" s="38" t="s">
        <v>176</v>
      </c>
      <c r="E76" s="5" t="s">
        <v>11</v>
      </c>
      <c r="F76" s="12" t="n">
        <f aca="false">Sensitivity!$B$10</f>
        <v>0.0719413943493295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155</v>
      </c>
      <c r="B77" s="28" t="s">
        <v>156</v>
      </c>
      <c r="C77" s="28" t="s">
        <v>157</v>
      </c>
      <c r="D77" s="28" t="s">
        <v>158</v>
      </c>
      <c r="E77" s="28" t="s">
        <v>159</v>
      </c>
      <c r="F77" s="28" t="s">
        <v>160</v>
      </c>
      <c r="G77" s="28" t="s">
        <v>161</v>
      </c>
      <c r="H77" s="28" t="s">
        <v>162</v>
      </c>
      <c r="I77" s="28" t="s">
        <v>163</v>
      </c>
      <c r="J77" s="28" t="s">
        <v>164</v>
      </c>
      <c r="K77" s="28" t="s">
        <v>165</v>
      </c>
      <c r="L77" s="28" t="s">
        <v>166</v>
      </c>
      <c r="M77" s="28" t="s">
        <v>167</v>
      </c>
      <c r="N77" s="28" t="s">
        <v>168</v>
      </c>
      <c r="O77" s="28" t="s">
        <v>169</v>
      </c>
      <c r="P77" s="28" t="s">
        <v>170</v>
      </c>
      <c r="Q77" s="28" t="s">
        <v>171</v>
      </c>
      <c r="R77" s="28" t="s">
        <v>172</v>
      </c>
      <c r="S77" s="28" t="s">
        <v>173</v>
      </c>
      <c r="T77" s="28" t="s">
        <v>174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3925</v>
      </c>
      <c r="F78" s="15" t="n">
        <f aca="false">E78*(1+IF(F$3&lt;=$O$2,$D78,$D78-($D78-$I$76)*MIN(F$3-$O$2,$Q$2)/$Q$2))</f>
        <v>4906.25</v>
      </c>
      <c r="G78" s="15" t="n">
        <f aca="false">F78*(1+IF(G$3&lt;=$O$2,$D78,$D78-($D78-$I$76)*MIN(G$3-$O$2,$Q$2)/$Q$2))</f>
        <v>6132.8125</v>
      </c>
      <c r="H78" s="15" t="n">
        <f aca="false">G78*(1+IF(H$3&lt;=$O$2,$D78,$D78-($D78-$I$76)*MIN(H$3-$O$2,$Q$2)/$Q$2))</f>
        <v>7666.015625</v>
      </c>
      <c r="I78" s="15" t="n">
        <f aca="false">H78*(1+IF(I$3&lt;=$O$2,$D78,$D78-($D78-$I$76)*MIN(I$3-$O$2,$Q$2)/$Q$2))</f>
        <v>9582.51953125</v>
      </c>
      <c r="J78" s="15" t="n">
        <f aca="false">I78*(1+IF(J$3&lt;=$O$2,$D78,$D78-($D78-$I$76)*MIN(J$3-$O$2,$Q$2)/$Q$2))</f>
        <v>11543.6779785156</v>
      </c>
      <c r="K78" s="15" t="n">
        <f aca="false">J78*(1+IF(K$3&lt;=$O$2,$D78,$D78-($D78-$I$76)*MIN(K$3-$O$2,$Q$2)/$Q$2))</f>
        <v>13382.8167540527</v>
      </c>
      <c r="L78" s="15" t="n">
        <f aca="false">K78*(1+IF(L$3&lt;=$O$2,$D78,$D78-($D78-$I$76)*MIN(L$3-$O$2,$Q$2)/$Q$2))</f>
        <v>14908.1902076797</v>
      </c>
      <c r="M78" s="15" t="n">
        <f aca="false">L78*(1+IF(M$3&lt;=$O$2,$D78,$D78-($D78-$I$76)*MIN(M$3-$O$2,$Q$2)/$Q$2))</f>
        <v>15931.4883835348</v>
      </c>
      <c r="N78" s="15" t="n">
        <f aca="false">M78*(1+IF(N$3&lt;=$O$2,$D78,$D78-($D78-$I$76)*MIN(N$3-$O$2,$Q$2)/$Q$2))</f>
        <v>16302.6920628712</v>
      </c>
      <c r="O78" s="15" t="n">
        <f aca="false">SUMPRODUCT(E78:N78,1/(1+$F$76)^$E$3:$N$3)*$E$2</f>
        <v>30250.6369094</v>
      </c>
      <c r="P78" s="15" t="n">
        <f aca="false">N78*$E$2*(1+$I$76)/($F$76-$I$76)/(1+$F$76)^$N$3</f>
        <v>77838.1188823045</v>
      </c>
      <c r="Q78" s="15" t="n">
        <f aca="false">O78+P78</f>
        <v>108088.755791704</v>
      </c>
      <c r="R78" s="15" t="n">
        <f aca="false">Q78-$G$2+$I$2</f>
        <v>104020.955791704</v>
      </c>
      <c r="S78" s="42" t="n">
        <f aca="false">R78/$K$2</f>
        <v>799.17759520363</v>
      </c>
      <c r="T78" s="43" t="n">
        <f aca="false">S78-$M$2</f>
        <v>622.548830606211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2747.5</v>
      </c>
      <c r="F79" s="15" t="n">
        <f aca="false">E79*(1+IF(F$3&lt;=$O$2,$D79,$D79-($D79-$I$76)*MIN(F$3-$O$2,$Q$2)/$Q$2))</f>
        <v>2404.0625</v>
      </c>
      <c r="G79" s="15" t="n">
        <f aca="false">F79*(1+IF(G$3&lt;=$O$2,$D79,$D79-($D79-$I$76)*MIN(G$3-$O$2,$Q$2)/$Q$2))</f>
        <v>2103.5546875</v>
      </c>
      <c r="H79" s="15" t="n">
        <f aca="false">G79*(1+IF(H$3&lt;=$O$2,$D79,$D79-($D79-$I$76)*MIN(H$3-$O$2,$Q$2)/$Q$2))</f>
        <v>1840.6103515625</v>
      </c>
      <c r="I79" s="15" t="n">
        <f aca="false">H79*(1+IF(I$3&lt;=$O$2,$D79,$D79-($D79-$I$76)*MIN(I$3-$O$2,$Q$2)/$Q$2))</f>
        <v>1610.53405761719</v>
      </c>
      <c r="J79" s="15" t="n">
        <f aca="false">I79*(1+IF(J$3&lt;=$O$2,$D79,$D79-($D79-$I$76)*MIN(J$3-$O$2,$Q$2)/$Q$2))</f>
        <v>1456.98574056396</v>
      </c>
      <c r="K79" s="15" t="n">
        <f aca="false">J79*(1+IF(K$3&lt;=$O$2,$D79,$D79-($D79-$I$76)*MIN(K$3-$O$2,$Q$2)/$Q$2))</f>
        <v>1361.29091712372</v>
      </c>
      <c r="L79" s="15" t="n">
        <f aca="false">K79*(1+IF(L$3&lt;=$O$2,$D79,$D79-($D79-$I$76)*MIN(L$3-$O$2,$Q$2)/$Q$2))</f>
        <v>1312.25721828893</v>
      </c>
      <c r="M79" s="15" t="n">
        <f aca="false">L79*(1+IF(M$3&lt;=$O$2,$D79,$D79-($D79-$I$76)*MIN(M$3-$O$2,$Q$2)/$Q$2))</f>
        <v>1303.91126238061</v>
      </c>
      <c r="N79" s="15" t="n">
        <f aca="false">M79*(1+IF(N$3&lt;=$O$2,$D79,$D79-($D79-$I$76)*MIN(N$3-$O$2,$Q$2)/$Q$2))</f>
        <v>1334.29239479408</v>
      </c>
      <c r="O79" s="15" t="n">
        <f aca="false">SUMPRODUCT(E79:N79,1/(1+$F$76)^$E$3:$N$3)*$E$2</f>
        <v>5823.25343414409</v>
      </c>
      <c r="P79" s="15" t="n">
        <f aca="false">N79*$E$2*(1+$I$76)/($F$76-$I$76)/(1+$F$76)^$N$3</f>
        <v>6370.65397844759</v>
      </c>
      <c r="Q79" s="15" t="n">
        <f aca="false">O79+P79</f>
        <v>12193.9074125917</v>
      </c>
      <c r="R79" s="15" t="n">
        <f aca="false">Q79-$G$2+$I$2</f>
        <v>8126.10741259169</v>
      </c>
      <c r="S79" s="42" t="n">
        <f aca="false">R79/$K$2</f>
        <v>62.4316795681598</v>
      </c>
      <c r="T79" s="43" t="n">
        <f aca="false">S79-$M$2</f>
        <v>-114.197085029259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3336.25</v>
      </c>
      <c r="F80" s="15" t="n">
        <f aca="false">E80*(1+IF(F$3&lt;=$O$2,$D80,$D80-($D80-$I$76)*MIN(F$3-$O$2,$Q$2)/$Q$2))</f>
        <v>3544.765625</v>
      </c>
      <c r="G80" s="15" t="n">
        <f aca="false">F80*(1+IF(G$3&lt;=$O$2,$D80,$D80-($D80-$I$76)*MIN(G$3-$O$2,$Q$2)/$Q$2))</f>
        <v>3766.3134765625</v>
      </c>
      <c r="H80" s="15" t="n">
        <f aca="false">G80*(1+IF(H$3&lt;=$O$2,$D80,$D80-($D80-$I$76)*MIN(H$3-$O$2,$Q$2)/$Q$2))</f>
        <v>4001.70806884766</v>
      </c>
      <c r="I80" s="15" t="n">
        <f aca="false">H80*(1+IF(I$3&lt;=$O$2,$D80,$D80-($D80-$I$76)*MIN(I$3-$O$2,$Q$2)/$Q$2))</f>
        <v>4251.81482315064</v>
      </c>
      <c r="J80" s="15" t="n">
        <f aca="false">I80*(1+IF(J$3&lt;=$O$2,$D80,$D80-($D80-$I$76)*MIN(J$3-$O$2,$Q$2)/$Q$2))</f>
        <v>4484.21902138405</v>
      </c>
      <c r="K80" s="15" t="n">
        <f aca="false">J80*(1+IF(K$3&lt;=$O$2,$D80,$D80-($D80-$I$76)*MIN(K$3-$O$2,$Q$2)/$Q$2))</f>
        <v>4694.17015596525</v>
      </c>
      <c r="L80" s="15" t="n">
        <f aca="false">K80*(1+IF(L$3&lt;=$O$2,$D80,$D80-($D80-$I$76)*MIN(L$3-$O$2,$Q$2)/$Q$2))</f>
        <v>4877.14890864478</v>
      </c>
      <c r="M80" s="15" t="n">
        <f aca="false">L80*(1+IF(M$3&lt;=$O$2,$D80,$D80-($D80-$I$76)*MIN(M$3-$O$2,$Q$2)/$Q$2))</f>
        <v>5029.02332565997</v>
      </c>
      <c r="N80" s="15" t="n">
        <f aca="false">M80*(1+IF(N$3&lt;=$O$2,$D80,$D80-($D80-$I$76)*MIN(N$3-$O$2,$Q$2)/$Q$2))</f>
        <v>5146.19956914785</v>
      </c>
      <c r="O80" s="15" t="n">
        <f aca="false">SUMPRODUCT(E80:N80,1/(1+$F$76)^$E$3:$N$3)*$E$2</f>
        <v>13270.3255460384</v>
      </c>
      <c r="P80" s="15" t="n">
        <f aca="false">N80*$E$2*(1+$I$76)/($F$76-$I$76)/(1+$F$76)^$N$3</f>
        <v>24570.8188752262</v>
      </c>
      <c r="Q80" s="15" t="n">
        <f aca="false">O80+P80</f>
        <v>37841.1444212645</v>
      </c>
      <c r="R80" s="15" t="n">
        <f aca="false">Q80-$G$2+$I$2</f>
        <v>33773.3444212645</v>
      </c>
      <c r="S80" s="42" t="n">
        <f aca="false">R80/$K$2</f>
        <v>259.475602498959</v>
      </c>
      <c r="T80" s="43" t="n">
        <f aca="false">S80-$M$2</f>
        <v>82.8468379015406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3041.875</v>
      </c>
      <c r="F81" s="15" t="n">
        <f aca="false">E81*(1+IF(F$3&lt;=$O$2,$D81,$D81-($D81-$I$76)*MIN(F$3-$O$2,$Q$2)/$Q$2))</f>
        <v>2946.81640625</v>
      </c>
      <c r="G81" s="15" t="n">
        <f aca="false">F81*(1+IF(G$3&lt;=$O$2,$D81,$D81-($D81-$I$76)*MIN(G$3-$O$2,$Q$2)/$Q$2))</f>
        <v>2854.72839355469</v>
      </c>
      <c r="H81" s="15" t="n">
        <f aca="false">G81*(1+IF(H$3&lt;=$O$2,$D81,$D81-($D81-$I$76)*MIN(H$3-$O$2,$Q$2)/$Q$2))</f>
        <v>2765.5181312561</v>
      </c>
      <c r="I81" s="15" t="n">
        <f aca="false">H81*(1+IF(I$3&lt;=$O$2,$D81,$D81-($D81-$I$76)*MIN(I$3-$O$2,$Q$2)/$Q$2))</f>
        <v>2679.09568965435</v>
      </c>
      <c r="J81" s="15" t="n">
        <f aca="false">I81*(1+IF(J$3&lt;=$O$2,$D81,$D81-($D81-$I$76)*MIN(J$3-$O$2,$Q$2)/$Q$2))</f>
        <v>2624.60288332678</v>
      </c>
      <c r="K81" s="15" t="n">
        <f aca="false">J81*(1+IF(K$3&lt;=$O$2,$D81,$D81-($D81-$I$76)*MIN(K$3-$O$2,$Q$2)/$Q$2))</f>
        <v>2599.85287813701</v>
      </c>
      <c r="L81" s="15" t="n">
        <f aca="false">K81*(1+IF(L$3&lt;=$O$2,$D81,$D81-($D81-$I$76)*MIN(L$3-$O$2,$Q$2)/$Q$2))</f>
        <v>2603.70066039665</v>
      </c>
      <c r="M81" s="15" t="n">
        <f aca="false">L81*(1+IF(M$3&lt;=$O$2,$D81,$D81-($D81-$I$76)*MIN(M$3-$O$2,$Q$2)/$Q$2))</f>
        <v>2635.96051157897</v>
      </c>
      <c r="N81" s="15" t="n">
        <f aca="false">M81*(1+IF(N$3&lt;=$O$2,$D81,$D81-($D81-$I$76)*MIN(N$3-$O$2,$Q$2)/$Q$2))</f>
        <v>2697.37839149876</v>
      </c>
      <c r="O81" s="15" t="n">
        <f aca="false">SUMPRODUCT(E81:N81,1/(1+$F$76)^$E$3:$N$3)*$E$2</f>
        <v>8768.10386913981</v>
      </c>
      <c r="P81" s="15" t="n">
        <f aca="false">N81*$E$2*(1+$I$76)/($F$76-$I$76)/(1+$F$76)^$N$3</f>
        <v>12878.7846263878</v>
      </c>
      <c r="Q81" s="15" t="n">
        <f aca="false">O81+P81</f>
        <v>21646.8884955276</v>
      </c>
      <c r="R81" s="15" t="n">
        <f aca="false">Q81-$G$2+$I$2</f>
        <v>17579.0884955276</v>
      </c>
      <c r="S81" s="42" t="n">
        <f aca="false">R81/$K$2</f>
        <v>135.057533001902</v>
      </c>
      <c r="T81" s="43" t="n">
        <f aca="false">S81-$M$2</f>
        <v>-41.5712315955163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3189.0625</v>
      </c>
      <c r="F82" s="15" t="n">
        <f aca="false">E82*(1+IF(F$3&lt;=$O$2,$D82,$D82-($D82-$I$76)*MIN(F$3-$O$2,$Q$2)/$Q$2))</f>
        <v>3238.8916015625</v>
      </c>
      <c r="G82" s="15" t="n">
        <f aca="false">F82*(1+IF(G$3&lt;=$O$2,$D82,$D82-($D82-$I$76)*MIN(G$3-$O$2,$Q$2)/$Q$2))</f>
        <v>3289.49928283691</v>
      </c>
      <c r="H82" s="15" t="n">
        <f aca="false">G82*(1+IF(H$3&lt;=$O$2,$D82,$D82-($D82-$I$76)*MIN(H$3-$O$2,$Q$2)/$Q$2))</f>
        <v>3340.89770913124</v>
      </c>
      <c r="I82" s="15" t="n">
        <f aca="false">H82*(1+IF(I$3&lt;=$O$2,$D82,$D82-($D82-$I$76)*MIN(I$3-$O$2,$Q$2)/$Q$2))</f>
        <v>3393.09923583642</v>
      </c>
      <c r="J82" s="15" t="n">
        <f aca="false">I82*(1+IF(J$3&lt;=$O$2,$D82,$D82-($D82-$I$76)*MIN(J$3-$O$2,$Q$2)/$Q$2))</f>
        <v>3451.32481872337</v>
      </c>
      <c r="K82" s="15" t="n">
        <f aca="false">J82*(1+IF(K$3&lt;=$O$2,$D82,$D82-($D82-$I$76)*MIN(K$3-$O$2,$Q$2)/$Q$2))</f>
        <v>3515.8473362094</v>
      </c>
      <c r="L82" s="15" t="n">
        <f aca="false">K82*(1+IF(L$3&lt;=$O$2,$D82,$D82-($D82-$I$76)*MIN(L$3-$O$2,$Q$2)/$Q$2))</f>
        <v>3586.97292782092</v>
      </c>
      <c r="M82" s="15" t="n">
        <f aca="false">L82*(1+IF(M$3&lt;=$O$2,$D82,$D82-($D82-$I$76)*MIN(M$3-$O$2,$Q$2)/$Q$2))</f>
        <v>3665.04339359494</v>
      </c>
      <c r="N82" s="15" t="n">
        <f aca="false">M82*(1+IF(N$3&lt;=$O$2,$D82,$D82-($D82-$I$76)*MIN(N$3-$O$2,$Q$2)/$Q$2))</f>
        <v>3750.4389046657</v>
      </c>
      <c r="O82" s="15" t="n">
        <f aca="false">SUMPRODUCT(E82:N82,1/(1+$F$76)^$E$3:$N$3)*$E$2</f>
        <v>10783.5775830423</v>
      </c>
      <c r="P82" s="15" t="n">
        <f aca="false">N82*$E$2*(1+$I$76)/($F$76-$I$76)/(1+$F$76)^$N$3</f>
        <v>17906.6811908349</v>
      </c>
      <c r="Q82" s="15" t="n">
        <f aca="false">O82+P82</f>
        <v>28690.2587738772</v>
      </c>
      <c r="R82" s="15" t="n">
        <f aca="false">Q82-$G$2+$I$2</f>
        <v>24622.4587738772</v>
      </c>
      <c r="S82" s="42" t="n">
        <f aca="false">R82/$K$2</f>
        <v>189.170703548534</v>
      </c>
      <c r="T82" s="43" t="n">
        <f aca="false">S82-$M$2</f>
        <v>12.5419389511157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-0.03125</v>
      </c>
      <c r="C83" s="25" t="n">
        <f aca="false">IF(T82&gt;0,D82,C82)</f>
        <v>0.015625</v>
      </c>
      <c r="D83" s="41" t="n">
        <f aca="false">(B83+C83)/2</f>
        <v>-0.0078125</v>
      </c>
      <c r="E83" s="15" t="n">
        <f aca="false">$C$2*(1+IF(E$3&lt;=$O$2,$D83,$D83-($D83-$I$76)*MIN(E$3-$O$2,$Q$2)/$Q$2))</f>
        <v>3115.46875</v>
      </c>
      <c r="F83" s="15" t="n">
        <f aca="false">E83*(1+IF(F$3&lt;=$O$2,$D83,$D83-($D83-$I$76)*MIN(F$3-$O$2,$Q$2)/$Q$2))</f>
        <v>3091.12915039063</v>
      </c>
      <c r="G83" s="15" t="n">
        <f aca="false">F83*(1+IF(G$3&lt;=$O$2,$D83,$D83-($D83-$I$76)*MIN(G$3-$O$2,$Q$2)/$Q$2))</f>
        <v>3066.9797039032</v>
      </c>
      <c r="H83" s="15" t="n">
        <f aca="false">G83*(1+IF(H$3&lt;=$O$2,$D83,$D83-($D83-$I$76)*MIN(H$3-$O$2,$Q$2)/$Q$2))</f>
        <v>3043.01892496645</v>
      </c>
      <c r="I83" s="15" t="n">
        <f aca="false">H83*(1+IF(I$3&lt;=$O$2,$D83,$D83-($D83-$I$76)*MIN(I$3-$O$2,$Q$2)/$Q$2))</f>
        <v>3019.24533961515</v>
      </c>
      <c r="J83" s="15" t="n">
        <f aca="false">I83*(1+IF(J$3&lt;=$O$2,$D83,$D83-($D83-$I$76)*MIN(J$3-$O$2,$Q$2)/$Q$2))</f>
        <v>3014.44473952517</v>
      </c>
      <c r="K83" s="15" t="n">
        <f aca="false">J83*(1+IF(K$3&lt;=$O$2,$D83,$D83-($D83-$I$76)*MIN(K$3-$O$2,$Q$2)/$Q$2))</f>
        <v>3028.40915478102</v>
      </c>
      <c r="L83" s="15" t="n">
        <f aca="false">K83*(1+IF(L$3&lt;=$O$2,$D83,$D83-($D83-$I$76)*MIN(L$3-$O$2,$Q$2)/$Q$2))</f>
        <v>3061.28253615616</v>
      </c>
      <c r="M83" s="15" t="n">
        <f aca="false">L83*(1+IF(M$3&lt;=$O$2,$D83,$D83-($D83-$I$76)*MIN(M$3-$O$2,$Q$2)/$Q$2))</f>
        <v>3113.56158866737</v>
      </c>
      <c r="N83" s="15" t="n">
        <f aca="false">M83*(1+IF(N$3&lt;=$O$2,$D83,$D83-($D83-$I$76)*MIN(N$3-$O$2,$Q$2)/$Q$2))</f>
        <v>3186.10757368332</v>
      </c>
      <c r="O83" s="15" t="n">
        <f aca="false">SUMPRODUCT(E83:N83,1/(1+$F$76)^$E$3:$N$3)*$E$2</f>
        <v>9722.61765871947</v>
      </c>
      <c r="P83" s="15" t="n">
        <f aca="false">N83*$E$2*(1+$I$76)/($F$76-$I$76)/(1+$F$76)^$N$3</f>
        <v>15212.2495558256</v>
      </c>
      <c r="Q83" s="15" t="n">
        <f aca="false">O83+P83</f>
        <v>24934.8672145451</v>
      </c>
      <c r="R83" s="15" t="n">
        <f aca="false">Q83-$G$2+$I$2</f>
        <v>20867.0672145451</v>
      </c>
      <c r="S83" s="42" t="n">
        <f aca="false">R83/$K$2</f>
        <v>160.318586467003</v>
      </c>
      <c r="T83" s="43" t="n">
        <f aca="false">S83-$M$2</f>
        <v>-16.3101781304161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-0.0078125</v>
      </c>
      <c r="C84" s="25" t="n">
        <f aca="false">IF(T83&gt;0,D83,C83)</f>
        <v>0.015625</v>
      </c>
      <c r="D84" s="41" t="n">
        <f aca="false">(B84+C84)/2</f>
        <v>0.00390625</v>
      </c>
      <c r="E84" s="15" t="n">
        <f aca="false">$C$2*(1+IF(E$3&lt;=$O$2,$D84,$D84-($D84-$I$76)*MIN(E$3-$O$2,$Q$2)/$Q$2))</f>
        <v>3152.265625</v>
      </c>
      <c r="F84" s="15" t="n">
        <f aca="false">E84*(1+IF(F$3&lt;=$O$2,$D84,$D84-($D84-$I$76)*MIN(F$3-$O$2,$Q$2)/$Q$2))</f>
        <v>3164.57916259766</v>
      </c>
      <c r="G84" s="15" t="n">
        <f aca="false">F84*(1+IF(G$3&lt;=$O$2,$D84,$D84-($D84-$I$76)*MIN(G$3-$O$2,$Q$2)/$Q$2))</f>
        <v>3176.94079995155</v>
      </c>
      <c r="H84" s="15" t="n">
        <f aca="false">G84*(1+IF(H$3&lt;=$O$2,$D84,$D84-($D84-$I$76)*MIN(H$3-$O$2,$Q$2)/$Q$2))</f>
        <v>3189.35072495136</v>
      </c>
      <c r="I84" s="15" t="n">
        <f aca="false">H84*(1+IF(I$3&lt;=$O$2,$D84,$D84-($D84-$I$76)*MIN(I$3-$O$2,$Q$2)/$Q$2))</f>
        <v>3201.80912622071</v>
      </c>
      <c r="J84" s="15" t="n">
        <f aca="false">I84*(1+IF(J$3&lt;=$O$2,$D84,$D84-($D84-$I$76)*MIN(J$3-$O$2,$Q$2)/$Q$2))</f>
        <v>3226.73521026833</v>
      </c>
      <c r="K84" s="15" t="n">
        <f aca="false">J84*(1+IF(K$3&lt;=$O$2,$D84,$D84-($D84-$I$76)*MIN(K$3-$O$2,$Q$2)/$Q$2))</f>
        <v>3264.3710430771</v>
      </c>
      <c r="L84" s="15" t="n">
        <f aca="false">K84*(1+IF(L$3&lt;=$O$2,$D84,$D84-($D84-$I$76)*MIN(L$3-$O$2,$Q$2)/$Q$2))</f>
        <v>3315.10753001413</v>
      </c>
      <c r="M84" s="15" t="n">
        <f aca="false">L84*(1+IF(M$3&lt;=$O$2,$D84,$D84-($D84-$I$76)*MIN(M$3-$O$2,$Q$2)/$Q$2))</f>
        <v>3379.49106213141</v>
      </c>
      <c r="N84" s="15" t="n">
        <f aca="false">M84*(1+IF(N$3&lt;=$O$2,$D84,$D84-($D84-$I$76)*MIN(N$3-$O$2,$Q$2)/$Q$2))</f>
        <v>3458.23320387908</v>
      </c>
      <c r="O84" s="15" t="n">
        <f aca="false">SUMPRODUCT(E84:N84,1/(1+$F$76)^$E$3:$N$3)*$E$2</f>
        <v>10239.1192616413</v>
      </c>
      <c r="P84" s="15" t="n">
        <f aca="false">N84*$E$2*(1+$I$76)/($F$76-$I$76)/(1+$F$76)^$N$3</f>
        <v>16511.5286609214</v>
      </c>
      <c r="Q84" s="15" t="n">
        <f aca="false">O84+P84</f>
        <v>26750.6479225627</v>
      </c>
      <c r="R84" s="15" t="n">
        <f aca="false">Q84-$G$2+$I$2</f>
        <v>22682.8479225627</v>
      </c>
      <c r="S84" s="42" t="n">
        <f aca="false">R84/$K$2</f>
        <v>174.268960683487</v>
      </c>
      <c r="T84" s="43" t="n">
        <f aca="false">S84-$M$2</f>
        <v>-2.3598039139317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0.00390625</v>
      </c>
      <c r="C85" s="25" t="n">
        <f aca="false">IF(T84&gt;0,D84,C84)</f>
        <v>0.015625</v>
      </c>
      <c r="D85" s="41" t="n">
        <f aca="false">(B85+C85)/2</f>
        <v>0.009765625</v>
      </c>
      <c r="E85" s="15" t="n">
        <f aca="false">$C$2*(1+IF(E$3&lt;=$O$2,$D85,$D85-($D85-$I$76)*MIN(E$3-$O$2,$Q$2)/$Q$2))</f>
        <v>3170.6640625</v>
      </c>
      <c r="F85" s="15" t="n">
        <f aca="false">E85*(1+IF(F$3&lt;=$O$2,$D85,$D85-($D85-$I$76)*MIN(F$3-$O$2,$Q$2)/$Q$2))</f>
        <v>3201.62757873535</v>
      </c>
      <c r="G85" s="15" t="n">
        <f aca="false">F85*(1+IF(G$3&lt;=$O$2,$D85,$D85-($D85-$I$76)*MIN(G$3-$O$2,$Q$2)/$Q$2))</f>
        <v>3232.89347305894</v>
      </c>
      <c r="H85" s="15" t="n">
        <f aca="false">G85*(1+IF(H$3&lt;=$O$2,$D85,$D85-($D85-$I$76)*MIN(H$3-$O$2,$Q$2)/$Q$2))</f>
        <v>3264.46469838178</v>
      </c>
      <c r="I85" s="15" t="n">
        <f aca="false">H85*(1+IF(I$3&lt;=$O$2,$D85,$D85-($D85-$I$76)*MIN(I$3-$O$2,$Q$2)/$Q$2))</f>
        <v>3296.34423645191</v>
      </c>
      <c r="J85" s="15" t="n">
        <f aca="false">I85*(1+IF(J$3&lt;=$O$2,$D85,$D85-($D85-$I$76)*MIN(J$3-$O$2,$Q$2)/$Q$2))</f>
        <v>3337.45788994106</v>
      </c>
      <c r="K85" s="15" t="n">
        <f aca="false">J85*(1+IF(K$3&lt;=$O$2,$D85,$D85-($D85-$I$76)*MIN(K$3-$O$2,$Q$2)/$Q$2))</f>
        <v>3388.11841479919</v>
      </c>
      <c r="L85" s="15" t="n">
        <f aca="false">K85*(1+IF(L$3&lt;=$O$2,$D85,$D85-($D85-$I$76)*MIN(L$3-$O$2,$Q$2)/$Q$2))</f>
        <v>3448.71914779589</v>
      </c>
      <c r="M85" s="15" t="n">
        <f aca="false">L85*(1+IF(M$3&lt;=$O$2,$D85,$D85-($D85-$I$76)*MIN(M$3-$O$2,$Q$2)/$Q$2))</f>
        <v>3519.73905229634</v>
      </c>
      <c r="N85" s="15" t="n">
        <f aca="false">M85*(1+IF(N$3&lt;=$O$2,$D85,$D85-($D85-$I$76)*MIN(N$3-$O$2,$Q$2)/$Q$2))</f>
        <v>3601.74897221485</v>
      </c>
      <c r="O85" s="15" t="n">
        <f aca="false">SUMPRODUCT(E85:N85,1/(1+$F$76)^$E$3:$N$3)*$E$2</f>
        <v>10507.7665245574</v>
      </c>
      <c r="P85" s="15" t="n">
        <f aca="false">N85*$E$2*(1+$I$76)/($F$76-$I$76)/(1+$F$76)^$N$3</f>
        <v>17196.7527572929</v>
      </c>
      <c r="Q85" s="15" t="n">
        <f aca="false">O85+P85</f>
        <v>27704.5192818503</v>
      </c>
      <c r="R85" s="15" t="n">
        <f aca="false">Q85-$G$2+$I$2</f>
        <v>23636.7192818503</v>
      </c>
      <c r="S85" s="42" t="n">
        <f aca="false">R85/$K$2</f>
        <v>181.597413044333</v>
      </c>
      <c r="T85" s="43" t="n">
        <f aca="false">S85-$M$2</f>
        <v>4.96864844691407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0.00390625</v>
      </c>
      <c r="C86" s="25" t="n">
        <f aca="false">IF(T85&gt;0,D85,C85)</f>
        <v>0.009765625</v>
      </c>
      <c r="D86" s="41" t="n">
        <f aca="false">(B86+C86)/2</f>
        <v>0.0068359375</v>
      </c>
      <c r="E86" s="15" t="n">
        <f aca="false">$C$2*(1+IF(E$3&lt;=$O$2,$D86,$D86-($D86-$I$76)*MIN(E$3-$O$2,$Q$2)/$Q$2))</f>
        <v>3161.46484375</v>
      </c>
      <c r="F86" s="15" t="n">
        <f aca="false">E86*(1+IF(F$3&lt;=$O$2,$D86,$D86-($D86-$I$76)*MIN(F$3-$O$2,$Q$2)/$Q$2))</f>
        <v>3183.07641983032</v>
      </c>
      <c r="G86" s="15" t="n">
        <f aca="false">F86*(1+IF(G$3&lt;=$O$2,$D86,$D86-($D86-$I$76)*MIN(G$3-$O$2,$Q$2)/$Q$2))</f>
        <v>3204.83573129401</v>
      </c>
      <c r="H86" s="15" t="n">
        <f aca="false">G86*(1+IF(H$3&lt;=$O$2,$D86,$D86-($D86-$I$76)*MIN(H$3-$O$2,$Q$2)/$Q$2))</f>
        <v>3226.7437880509</v>
      </c>
      <c r="I86" s="15" t="n">
        <f aca="false">H86*(1+IF(I$3&lt;=$O$2,$D86,$D86-($D86-$I$76)*MIN(I$3-$O$2,$Q$2)/$Q$2))</f>
        <v>3248.80160691453</v>
      </c>
      <c r="J86" s="15" t="n">
        <f aca="false">I86*(1+IF(J$3&lt;=$O$2,$D86,$D86-($D86-$I$76)*MIN(J$3-$O$2,$Q$2)/$Q$2))</f>
        <v>3281.70790619056</v>
      </c>
      <c r="K86" s="15" t="n">
        <f aca="false">J86*(1+IF(K$3&lt;=$O$2,$D86,$D86-($D86-$I$76)*MIN(K$3-$O$2,$Q$2)/$Q$2))</f>
        <v>3325.75355396024</v>
      </c>
      <c r="L86" s="15" t="n">
        <f aca="false">K86*(1+IF(L$3&lt;=$O$2,$D86,$D86-($D86-$I$76)*MIN(L$3-$O$2,$Q$2)/$Q$2))</f>
        <v>3381.34144601872</v>
      </c>
      <c r="M86" s="15" t="n">
        <f aca="false">L86*(1+IF(M$3&lt;=$O$2,$D86,$D86-($D86-$I$76)*MIN(M$3-$O$2,$Q$2)/$Q$2))</f>
        <v>3448.99257833074</v>
      </c>
      <c r="N86" s="15" t="n">
        <f aca="false">M86*(1+IF(N$3&lt;=$O$2,$D86,$D86-($D86-$I$76)*MIN(N$3-$O$2,$Q$2)/$Q$2))</f>
        <v>3529.35410540584</v>
      </c>
      <c r="O86" s="15" t="n">
        <f aca="false">SUMPRODUCT(E86:N86,1/(1+$F$76)^$E$3:$N$3)*$E$2</f>
        <v>10372.5584799023</v>
      </c>
      <c r="P86" s="15" t="n">
        <f aca="false">N86*$E$2*(1+$I$76)/($F$76-$I$76)/(1+$F$76)^$N$3</f>
        <v>16851.0993997115</v>
      </c>
      <c r="Q86" s="15" t="n">
        <f aca="false">O86+P86</f>
        <v>27223.6578796137</v>
      </c>
      <c r="R86" s="15" t="n">
        <f aca="false">Q86-$G$2+$I$2</f>
        <v>23155.8578796137</v>
      </c>
      <c r="S86" s="42" t="n">
        <f aca="false">R86/$K$2</f>
        <v>177.903026118729</v>
      </c>
      <c r="T86" s="43" t="n">
        <f aca="false">S86-$M$2</f>
        <v>1.27426152131019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0.00390625</v>
      </c>
      <c r="C87" s="25" t="n">
        <f aca="false">IF(T86&gt;0,D86,C86)</f>
        <v>0.0068359375</v>
      </c>
      <c r="D87" s="41" t="n">
        <f aca="false">(B87+C87)/2</f>
        <v>0.00537109375</v>
      </c>
      <c r="E87" s="15" t="n">
        <f aca="false">$C$2*(1+IF(E$3&lt;=$O$2,$D87,$D87-($D87-$I$76)*MIN(E$3-$O$2,$Q$2)/$Q$2))</f>
        <v>3156.865234375</v>
      </c>
      <c r="F87" s="15" t="n">
        <f aca="false">E87*(1+IF(F$3&lt;=$O$2,$D87,$D87-($D87-$I$76)*MIN(F$3-$O$2,$Q$2)/$Q$2))</f>
        <v>3173.82105350494</v>
      </c>
      <c r="G87" s="15" t="n">
        <f aca="false">F87*(1+IF(G$3&lt;=$O$2,$D87,$D87-($D87-$I$76)*MIN(G$3-$O$2,$Q$2)/$Q$2))</f>
        <v>3190.86794392904</v>
      </c>
      <c r="H87" s="15" t="n">
        <f aca="false">G87*(1+IF(H$3&lt;=$O$2,$D87,$D87-($D87-$I$76)*MIN(H$3-$O$2,$Q$2)/$Q$2))</f>
        <v>3208.00639479976</v>
      </c>
      <c r="I87" s="15" t="n">
        <f aca="false">H87*(1+IF(I$3&lt;=$O$2,$D87,$D87-($D87-$I$76)*MIN(I$3-$O$2,$Q$2)/$Q$2))</f>
        <v>3225.23689789682</v>
      </c>
      <c r="J87" s="15" t="n">
        <f aca="false">I87*(1+IF(J$3&lt;=$O$2,$D87,$D87-($D87-$I$76)*MIN(J$3-$O$2,$Q$2)/$Q$2))</f>
        <v>3254.12494163667</v>
      </c>
      <c r="K87" s="15" t="n">
        <f aca="false">J87*(1+IF(K$3&lt;=$O$2,$D87,$D87-($D87-$I$76)*MIN(K$3-$O$2,$Q$2)/$Q$2))</f>
        <v>3294.94031217417</v>
      </c>
      <c r="L87" s="15" t="n">
        <f aca="false">K87*(1+IF(L$3&lt;=$O$2,$D87,$D87-($D87-$I$76)*MIN(L$3-$O$2,$Q$2)/$Q$2))</f>
        <v>3348.0825510653</v>
      </c>
      <c r="M87" s="15" t="n">
        <f aca="false">L87*(1+IF(M$3&lt;=$O$2,$D87,$D87-($D87-$I$76)*MIN(M$3-$O$2,$Q$2)/$Q$2))</f>
        <v>3414.08738287006</v>
      </c>
      <c r="N87" s="15" t="n">
        <f aca="false">M87*(1+IF(N$3&lt;=$O$2,$D87,$D87-($D87-$I$76)*MIN(N$3-$O$2,$Q$2)/$Q$2))</f>
        <v>3493.63561889094</v>
      </c>
      <c r="O87" s="15" t="n">
        <f aca="false">SUMPRODUCT(E87:N87,1/(1+$F$76)^$E$3:$N$3)*$E$2</f>
        <v>10305.6191370964</v>
      </c>
      <c r="P87" s="15" t="n">
        <f aca="false">N87*$E$2*(1+$I$76)/($F$76-$I$76)/(1+$F$76)^$N$3</f>
        <v>16680.5594797448</v>
      </c>
      <c r="Q87" s="15" t="n">
        <f aca="false">O87+P87</f>
        <v>26986.1786168412</v>
      </c>
      <c r="R87" s="15" t="n">
        <f aca="false">Q87-$G$2+$I$2</f>
        <v>22918.3786168412</v>
      </c>
      <c r="S87" s="42" t="n">
        <f aca="false">R87/$K$2</f>
        <v>176.078508119555</v>
      </c>
      <c r="T87" s="43" t="n">
        <f aca="false">S87-$M$2</f>
        <v>-0.550256477863854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0.00537109375</v>
      </c>
      <c r="C88" s="25" t="n">
        <f aca="false">IF(T87&gt;0,D87,C87)</f>
        <v>0.0068359375</v>
      </c>
      <c r="D88" s="41" t="n">
        <f aca="false">(B88+C88)/2</f>
        <v>0.006103515625</v>
      </c>
      <c r="E88" s="15" t="n">
        <f aca="false">$C$2*(1+IF(E$3&lt;=$O$2,$D88,$D88-($D88-$I$76)*MIN(E$3-$O$2,$Q$2)/$Q$2))</f>
        <v>3159.1650390625</v>
      </c>
      <c r="F88" s="15" t="n">
        <f aca="false">E88*(1+IF(F$3&lt;=$O$2,$D88,$D88-($D88-$I$76)*MIN(F$3-$O$2,$Q$2)/$Q$2))</f>
        <v>3178.44705224037</v>
      </c>
      <c r="G88" s="15" t="n">
        <f aca="false">F88*(1+IF(G$3&lt;=$O$2,$D88,$D88-($D88-$I$76)*MIN(G$3-$O$2,$Q$2)/$Q$2))</f>
        <v>3197.84675348696</v>
      </c>
      <c r="H88" s="15" t="n">
        <f aca="false">G88*(1+IF(H$3&lt;=$O$2,$D88,$D88-($D88-$I$76)*MIN(H$3-$O$2,$Q$2)/$Q$2))</f>
        <v>3217.36486111322</v>
      </c>
      <c r="I88" s="15" t="n">
        <f aca="false">H88*(1+IF(I$3&lt;=$O$2,$D88,$D88-($D88-$I$76)*MIN(I$3-$O$2,$Q$2)/$Q$2))</f>
        <v>3237.00209781435</v>
      </c>
      <c r="J88" s="15" t="n">
        <f aca="false">I88*(1+IF(J$3&lt;=$O$2,$D88,$D88-($D88-$I$76)*MIN(J$3-$O$2,$Q$2)/$Q$2))</f>
        <v>3267.8922018959</v>
      </c>
      <c r="K88" s="15" t="n">
        <f aca="false">J88*(1+IF(K$3&lt;=$O$2,$D88,$D88-($D88-$I$76)*MIN(K$3-$O$2,$Q$2)/$Q$2))</f>
        <v>3310.31633588662</v>
      </c>
      <c r="L88" s="15" t="n">
        <f aca="false">K88*(1+IF(L$3&lt;=$O$2,$D88,$D88-($D88-$I$76)*MIN(L$3-$O$2,$Q$2)/$Q$2))</f>
        <v>3364.67638525423</v>
      </c>
      <c r="M88" s="15" t="n">
        <f aca="false">L88*(1+IF(M$3&lt;=$O$2,$D88,$D88-($D88-$I$76)*MIN(M$3-$O$2,$Q$2)/$Q$2))</f>
        <v>3431.50122405346</v>
      </c>
      <c r="N88" s="15" t="n">
        <f aca="false">M88*(1+IF(N$3&lt;=$O$2,$D88,$D88-($D88-$I$76)*MIN(N$3-$O$2,$Q$2)/$Q$2))</f>
        <v>3511.45520257391</v>
      </c>
      <c r="O88" s="15" t="n">
        <f aca="false">SUMPRODUCT(E88:N88,1/(1+$F$76)^$E$3:$N$3)*$E$2</f>
        <v>10339.0337044559</v>
      </c>
      <c r="P88" s="15" t="n">
        <f aca="false">N88*$E$2*(1+$I$76)/($F$76-$I$76)/(1+$F$76)^$N$3</f>
        <v>16765.6400828623</v>
      </c>
      <c r="Q88" s="15" t="n">
        <f aca="false">O88+P88</f>
        <v>27104.6737873183</v>
      </c>
      <c r="R88" s="15" t="n">
        <f aca="false">Q88-$G$2+$I$2</f>
        <v>23036.8737873183</v>
      </c>
      <c r="S88" s="42" t="n">
        <f aca="false">R88/$K$2</f>
        <v>176.988888962187</v>
      </c>
      <c r="T88" s="43" t="n">
        <f aca="false">S88-$M$2</f>
        <v>0.360124364768438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0.00537109375</v>
      </c>
      <c r="C89" s="25" t="n">
        <f aca="false">IF(T88&gt;0,D88,C88)</f>
        <v>0.006103515625</v>
      </c>
      <c r="D89" s="41" t="n">
        <f aca="false">(B89+C89)/2</f>
        <v>0.0057373046875</v>
      </c>
      <c r="E89" s="15" t="n">
        <f aca="false">$C$2*(1+IF(E$3&lt;=$O$2,$D89,$D89-($D89-$I$76)*MIN(E$3-$O$2,$Q$2)/$Q$2))</f>
        <v>3158.01513671875</v>
      </c>
      <c r="F89" s="15" t="n">
        <f aca="false">E89*(1+IF(F$3&lt;=$O$2,$D89,$D89-($D89-$I$76)*MIN(F$3-$O$2,$Q$2)/$Q$2))</f>
        <v>3176.13363176584</v>
      </c>
      <c r="G89" s="15" t="n">
        <f aca="false">F89*(1+IF(G$3&lt;=$O$2,$D89,$D89-($D89-$I$76)*MIN(G$3-$O$2,$Q$2)/$Q$2))</f>
        <v>3194.3560781395</v>
      </c>
      <c r="H89" s="15" t="n">
        <f aca="false">G89*(1+IF(H$3&lt;=$O$2,$D89,$D89-($D89-$I$76)*MIN(H$3-$O$2,$Q$2)/$Q$2))</f>
        <v>3212.68307224015</v>
      </c>
      <c r="I89" s="15" t="n">
        <f aca="false">H89*(1+IF(I$3&lt;=$O$2,$D89,$D89-($D89-$I$76)*MIN(I$3-$O$2,$Q$2)/$Q$2))</f>
        <v>3231.11521388997</v>
      </c>
      <c r="J89" s="15" t="n">
        <f aca="false">I89*(1+IF(J$3&lt;=$O$2,$D89,$D89-($D89-$I$76)*MIN(J$3-$O$2,$Q$2)/$Q$2))</f>
        <v>3261.0025247567</v>
      </c>
      <c r="K89" s="15" t="n">
        <f aca="false">J89*(1+IF(K$3&lt;=$O$2,$D89,$D89-($D89-$I$76)*MIN(K$3-$O$2,$Q$2)/$Q$2))</f>
        <v>3302.62068733017</v>
      </c>
      <c r="L89" s="15" t="n">
        <f aca="false">K89*(1+IF(L$3&lt;=$O$2,$D89,$D89-($D89-$I$76)*MIN(L$3-$O$2,$Q$2)/$Q$2))</f>
        <v>3356.37058099923</v>
      </c>
      <c r="M89" s="15" t="n">
        <f aca="false">L89*(1+IF(M$3&lt;=$O$2,$D89,$D89-($D89-$I$76)*MIN(M$3-$O$2,$Q$2)/$Q$2))</f>
        <v>3422.78463276253</v>
      </c>
      <c r="N89" s="15" t="n">
        <f aca="false">M89*(1+IF(N$3&lt;=$O$2,$D89,$D89-($D89-$I$76)*MIN(N$3-$O$2,$Q$2)/$Q$2))</f>
        <v>3502.53551470589</v>
      </c>
      <c r="O89" s="15" t="n">
        <f aca="false">SUMPRODUCT(E89:N89,1/(1+$F$76)^$E$3:$N$3)*$E$2</f>
        <v>10322.3126661295</v>
      </c>
      <c r="P89" s="15" t="n">
        <f aca="false">N89*$E$2*(1+$I$76)/($F$76-$I$76)/(1+$F$76)^$N$3</f>
        <v>16723.0525321691</v>
      </c>
      <c r="Q89" s="15" t="n">
        <f aca="false">O89+P89</f>
        <v>27045.3651982986</v>
      </c>
      <c r="R89" s="15" t="n">
        <f aca="false">Q89-$G$2+$I$2</f>
        <v>22977.5651982986</v>
      </c>
      <c r="S89" s="42" t="n">
        <f aca="false">R89/$K$2</f>
        <v>176.533229857856</v>
      </c>
      <c r="T89" s="43" t="n">
        <f aca="false">S89-$M$2</f>
        <v>-0.0955347395622539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0.0057373046875</v>
      </c>
      <c r="C90" s="25" t="n">
        <f aca="false">IF(T89&gt;0,D89,C89)</f>
        <v>0.006103515625</v>
      </c>
      <c r="D90" s="41" t="n">
        <f aca="false">(B90+C90)/2</f>
        <v>0.00592041015625</v>
      </c>
      <c r="E90" s="15" t="n">
        <f aca="false">$C$2*(1+IF(E$3&lt;=$O$2,$D90,$D90-($D90-$I$76)*MIN(E$3-$O$2,$Q$2)/$Q$2))</f>
        <v>3158.59008789063</v>
      </c>
      <c r="F90" s="15" t="n">
        <f aca="false">E90*(1+IF(F$3&lt;=$O$2,$D90,$D90-($D90-$I$76)*MIN(F$3-$O$2,$Q$2)/$Q$2))</f>
        <v>3177.2902367264</v>
      </c>
      <c r="G90" s="15" t="n">
        <f aca="false">F90*(1+IF(G$3&lt;=$O$2,$D90,$D90-($D90-$I$76)*MIN(G$3-$O$2,$Q$2)/$Q$2))</f>
        <v>3196.10109811327</v>
      </c>
      <c r="H90" s="15" t="n">
        <f aca="false">G90*(1+IF(H$3&lt;=$O$2,$D90,$D90-($D90-$I$76)*MIN(H$3-$O$2,$Q$2)/$Q$2))</f>
        <v>3215.02332751494</v>
      </c>
      <c r="I90" s="15" t="n">
        <f aca="false">H90*(1+IF(I$3&lt;=$O$2,$D90,$D90-($D90-$I$76)*MIN(I$3-$O$2,$Q$2)/$Q$2))</f>
        <v>3234.05758427574</v>
      </c>
      <c r="J90" s="15" t="n">
        <f aca="false">I90*(1+IF(J$3&lt;=$O$2,$D90,$D90-($D90-$I$76)*MIN(J$3-$O$2,$Q$2)/$Q$2))</f>
        <v>3264.44585051274</v>
      </c>
      <c r="K90" s="15" t="n">
        <f aca="false">J90*(1+IF(K$3&lt;=$O$2,$D90,$D90-($D90-$I$76)*MIN(K$3-$O$2,$Q$2)/$Q$2))</f>
        <v>3306.46660086027</v>
      </c>
      <c r="L90" s="15" t="n">
        <f aca="false">K90*(1+IF(L$3&lt;=$O$2,$D90,$D90-($D90-$I$76)*MIN(L$3-$O$2,$Q$2)/$Q$2))</f>
        <v>3360.52125931831</v>
      </c>
      <c r="M90" s="15" t="n">
        <f aca="false">L90*(1+IF(M$3&lt;=$O$2,$D90,$D90-($D90-$I$76)*MIN(M$3-$O$2,$Q$2)/$Q$2))</f>
        <v>3427.14050843079</v>
      </c>
      <c r="N90" s="15" t="n">
        <f aca="false">M90*(1+IF(N$3&lt;=$O$2,$D90,$D90-($D90-$I$76)*MIN(N$3-$O$2,$Q$2)/$Q$2))</f>
        <v>3506.99288227723</v>
      </c>
      <c r="O90" s="15" t="n">
        <f aca="false">SUMPRODUCT(E90:N90,1/(1+$F$76)^$E$3:$N$3)*$E$2</f>
        <v>10330.6697439628</v>
      </c>
      <c r="P90" s="15" t="n">
        <f aca="false">N90*$E$2*(1+$I$76)/($F$76-$I$76)/(1+$F$76)^$N$3</f>
        <v>16744.3344839831</v>
      </c>
      <c r="Q90" s="15" t="n">
        <f aca="false">O90+P90</f>
        <v>27075.0042279458</v>
      </c>
      <c r="R90" s="15" t="n">
        <f aca="false">Q90-$G$2+$I$2</f>
        <v>23007.2042279458</v>
      </c>
      <c r="S90" s="42" t="n">
        <f aca="false">R90/$K$2</f>
        <v>176.760942132344</v>
      </c>
      <c r="T90" s="43" t="n">
        <f aca="false">S90-$M$2</f>
        <v>0.132177534924949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0.0057373046875</v>
      </c>
      <c r="C91" s="25" t="n">
        <f aca="false">IF(T90&gt;0,D90,C90)</f>
        <v>0.00592041015625</v>
      </c>
      <c r="D91" s="41" t="n">
        <f aca="false">(B91+C91)/2</f>
        <v>0.005828857421875</v>
      </c>
      <c r="E91" s="15" t="n">
        <f aca="false">$C$2*(1+IF(E$3&lt;=$O$2,$D91,$D91-($D91-$I$76)*MIN(E$3-$O$2,$Q$2)/$Q$2))</f>
        <v>3158.30261230469</v>
      </c>
      <c r="F91" s="15" t="n">
        <f aca="false">E91*(1+IF(F$3&lt;=$O$2,$D91,$D91-($D91-$I$76)*MIN(F$3-$O$2,$Q$2)/$Q$2))</f>
        <v>3176.71190792695</v>
      </c>
      <c r="G91" s="15" t="n">
        <f aca="false">F91*(1+IF(G$3&lt;=$O$2,$D91,$D91-($D91-$I$76)*MIN(G$3-$O$2,$Q$2)/$Q$2))</f>
        <v>3195.22850870863</v>
      </c>
      <c r="H91" s="15" t="n">
        <f aca="false">G91*(1+IF(H$3&lt;=$O$2,$D91,$D91-($D91-$I$76)*MIN(H$3-$O$2,$Q$2)/$Q$2))</f>
        <v>3213.8530401162</v>
      </c>
      <c r="I91" s="15" t="n">
        <f aca="false">H91*(1+IF(I$3&lt;=$O$2,$D91,$D91-($D91-$I$76)*MIN(I$3-$O$2,$Q$2)/$Q$2))</f>
        <v>3232.5861312619</v>
      </c>
      <c r="J91" s="15" t="n">
        <f aca="false">I91*(1+IF(J$3&lt;=$O$2,$D91,$D91-($D91-$I$76)*MIN(J$3-$O$2,$Q$2)/$Q$2))</f>
        <v>3262.72380956402</v>
      </c>
      <c r="K91" s="15" t="n">
        <f aca="false">J91*(1+IF(K$3&lt;=$O$2,$D91,$D91-($D91-$I$76)*MIN(K$3-$O$2,$Q$2)/$Q$2))</f>
        <v>3304.5431666049</v>
      </c>
      <c r="L91" s="15" t="n">
        <f aca="false">K91*(1+IF(L$3&lt;=$O$2,$D91,$D91-($D91-$I$76)*MIN(L$3-$O$2,$Q$2)/$Q$2))</f>
        <v>3358.44536445907</v>
      </c>
      <c r="M91" s="15" t="n">
        <f aca="false">L91*(1+IF(M$3&lt;=$O$2,$D91,$D91-($D91-$I$76)*MIN(M$3-$O$2,$Q$2)/$Q$2))</f>
        <v>3424.9619658903</v>
      </c>
      <c r="N91" s="15" t="n">
        <f aca="false">M91*(1+IF(N$3&lt;=$O$2,$D91,$D91-($D91-$I$76)*MIN(N$3-$O$2,$Q$2)/$Q$2))</f>
        <v>3504.76357969554</v>
      </c>
      <c r="O91" s="15" t="n">
        <f aca="false">SUMPRODUCT(E91:N91,1/(1+$F$76)^$E$3:$N$3)*$E$2</f>
        <v>10326.4903450473</v>
      </c>
      <c r="P91" s="15" t="n">
        <f aca="false">N91*$E$2*(1+$I$76)/($F$76-$I$76)/(1+$F$76)^$N$3</f>
        <v>16733.6905535998</v>
      </c>
      <c r="Q91" s="15" t="n">
        <f aca="false">O91+P91</f>
        <v>27060.1808986471</v>
      </c>
      <c r="R91" s="15" t="n">
        <f aca="false">Q91-$G$2+$I$2</f>
        <v>22992.3808986471</v>
      </c>
      <c r="S91" s="42" t="n">
        <f aca="false">R91/$K$2</f>
        <v>176.647056689052</v>
      </c>
      <c r="T91" s="43" t="n">
        <f aca="false">S91-$M$2</f>
        <v>0.0182920916337821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0.0057373046875</v>
      </c>
      <c r="C92" s="25" t="n">
        <f aca="false">IF(T91&gt;0,D91,C91)</f>
        <v>0.005828857421875</v>
      </c>
      <c r="D92" s="41" t="n">
        <f aca="false">(B92+C92)/2</f>
        <v>0.0057830810546875</v>
      </c>
      <c r="E92" s="15" t="n">
        <f aca="false">$C$2*(1+IF(E$3&lt;=$O$2,$D92,$D92-($D92-$I$76)*MIN(E$3-$O$2,$Q$2)/$Q$2))</f>
        <v>3158.15887451172</v>
      </c>
      <c r="F92" s="15" t="n">
        <f aca="false">E92*(1+IF(F$3&lt;=$O$2,$D92,$D92-($D92-$I$76)*MIN(F$3-$O$2,$Q$2)/$Q$2))</f>
        <v>3176.4227632666</v>
      </c>
      <c r="G92" s="15" t="n">
        <f aca="false">F92*(1+IF(G$3&lt;=$O$2,$D92,$D92-($D92-$I$76)*MIN(G$3-$O$2,$Q$2)/$Q$2))</f>
        <v>3194.79227357053</v>
      </c>
      <c r="H92" s="15" t="n">
        <f aca="false">G92*(1+IF(H$3&lt;=$O$2,$D92,$D92-($D92-$I$76)*MIN(H$3-$O$2,$Q$2)/$Q$2))</f>
        <v>3213.26801624147</v>
      </c>
      <c r="I92" s="15" t="n">
        <f aca="false">H92*(1+IF(I$3&lt;=$O$2,$D92,$D92-($D92-$I$76)*MIN(I$3-$O$2,$Q$2)/$Q$2))</f>
        <v>3231.85060562983</v>
      </c>
      <c r="J92" s="15" t="n">
        <f aca="false">I92*(1+IF(J$3&lt;=$O$2,$D92,$D92-($D92-$I$76)*MIN(J$3-$O$2,$Q$2)/$Q$2))</f>
        <v>3261.86307265927</v>
      </c>
      <c r="K92" s="15" t="n">
        <f aca="false">J92*(1+IF(K$3&lt;=$O$2,$D92,$D92-($D92-$I$76)*MIN(K$3-$O$2,$Q$2)/$Q$2))</f>
        <v>3303.58180761954</v>
      </c>
      <c r="L92" s="15" t="n">
        <f aca="false">K92*(1+IF(L$3&lt;=$O$2,$D92,$D92-($D92-$I$76)*MIN(L$3-$O$2,$Q$2)/$Q$2))</f>
        <v>3357.40783383576</v>
      </c>
      <c r="M92" s="15" t="n">
        <f aca="false">L92*(1+IF(M$3&lt;=$O$2,$D92,$D92-($D92-$I$76)*MIN(M$3-$O$2,$Q$2)/$Q$2))</f>
        <v>3423.8731481858</v>
      </c>
      <c r="N92" s="15" t="n">
        <f aca="false">M92*(1+IF(N$3&lt;=$O$2,$D92,$D92-($D92-$I$76)*MIN(N$3-$O$2,$Q$2)/$Q$2))</f>
        <v>3503.64939253853</v>
      </c>
      <c r="O92" s="15" t="n">
        <f aca="false">SUMPRODUCT(E92:N92,1/(1+$F$76)^$E$3:$N$3)*$E$2</f>
        <v>10324.4012906304</v>
      </c>
      <c r="P92" s="15" t="n">
        <f aca="false">N92*$E$2*(1+$I$76)/($F$76-$I$76)/(1+$F$76)^$N$3</f>
        <v>16728.3708044411</v>
      </c>
      <c r="Q92" s="15" t="n">
        <f aca="false">O92+P92</f>
        <v>27052.7720950715</v>
      </c>
      <c r="R92" s="15" t="n">
        <f aca="false">Q92-$G$2+$I$2</f>
        <v>22984.9720950715</v>
      </c>
      <c r="S92" s="42" t="n">
        <f aca="false">R92/$K$2</f>
        <v>176.590135948613</v>
      </c>
      <c r="T92" s="43" t="n">
        <f aca="false">S92-$M$2</f>
        <v>-0.0386286488051439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0.0057830810546875</v>
      </c>
      <c r="C93" s="25" t="n">
        <f aca="false">IF(T92&gt;0,D92,C92)</f>
        <v>0.005828857421875</v>
      </c>
      <c r="D93" s="41" t="n">
        <f aca="false">(B93+C93)/2</f>
        <v>0.00580596923828125</v>
      </c>
      <c r="E93" s="15" t="n">
        <f aca="false">$C$2*(1+IF(E$3&lt;=$O$2,$D93,$D93-($D93-$I$76)*MIN(E$3-$O$2,$Q$2)/$Q$2))</f>
        <v>3158.2307434082</v>
      </c>
      <c r="F93" s="15" t="n">
        <f aca="false">E93*(1+IF(F$3&lt;=$O$2,$D93,$D93-($D93-$I$76)*MIN(F$3-$O$2,$Q$2)/$Q$2))</f>
        <v>3176.56733395183</v>
      </c>
      <c r="G93" s="15" t="n">
        <f aca="false">F93*(1+IF(G$3&lt;=$O$2,$D93,$D93-($D93-$I$76)*MIN(G$3-$O$2,$Q$2)/$Q$2))</f>
        <v>3195.01038617608</v>
      </c>
      <c r="H93" s="15" t="n">
        <f aca="false">G93*(1+IF(H$3&lt;=$O$2,$D93,$D93-($D93-$I$76)*MIN(H$3-$O$2,$Q$2)/$Q$2))</f>
        <v>3213.56051819421</v>
      </c>
      <c r="I93" s="15" t="n">
        <f aca="false">H93*(1+IF(I$3&lt;=$O$2,$D93,$D93-($D93-$I$76)*MIN(I$3-$O$2,$Q$2)/$Q$2))</f>
        <v>3232.2183517082</v>
      </c>
      <c r="J93" s="15" t="n">
        <f aca="false">I93*(1+IF(J$3&lt;=$O$2,$D93,$D93-($D93-$I$76)*MIN(J$3-$O$2,$Q$2)/$Q$2))</f>
        <v>3262.2934174843</v>
      </c>
      <c r="K93" s="15" t="n">
        <f aca="false">J93*(1+IF(K$3&lt;=$O$2,$D93,$D93-($D93-$I$76)*MIN(K$3-$O$2,$Q$2)/$Q$2))</f>
        <v>3304.06245727215</v>
      </c>
      <c r="L93" s="15" t="n">
        <f aca="false">K93*(1+IF(L$3&lt;=$O$2,$D93,$D93-($D93-$I$76)*MIN(L$3-$O$2,$Q$2)/$Q$2))</f>
        <v>3357.92656442013</v>
      </c>
      <c r="M93" s="15" t="n">
        <f aca="false">L93*(1+IF(M$3&lt;=$O$2,$D93,$D93-($D93-$I$76)*MIN(M$3-$O$2,$Q$2)/$Q$2))</f>
        <v>3424.4175192484</v>
      </c>
      <c r="N93" s="15" t="n">
        <f aca="false">M93*(1+IF(N$3&lt;=$O$2,$D93,$D93-($D93-$I$76)*MIN(N$3-$O$2,$Q$2)/$Q$2))</f>
        <v>3504.20644744689</v>
      </c>
      <c r="O93" s="15" t="n">
        <f aca="false">SUMPRODUCT(E93:N93,1/(1+$F$76)^$E$3:$N$3)*$E$2</f>
        <v>10325.4457640941</v>
      </c>
      <c r="P93" s="15" t="n">
        <f aca="false">N93*$E$2*(1+$I$76)/($F$76-$I$76)/(1+$F$76)^$N$3</f>
        <v>16731.0304943877</v>
      </c>
      <c r="Q93" s="15" t="n">
        <f aca="false">O93+P93</f>
        <v>27056.4762584818</v>
      </c>
      <c r="R93" s="15" t="n">
        <f aca="false">Q93-$G$2+$I$2</f>
        <v>22988.6762584818</v>
      </c>
      <c r="S93" s="42" t="n">
        <f aca="false">R93/$K$2</f>
        <v>176.618594487414</v>
      </c>
      <c r="T93" s="43" t="n">
        <f aca="false">S93-$M$2</f>
        <v>-0.010170110004708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0.00580596923828125</v>
      </c>
      <c r="C94" s="25" t="n">
        <f aca="false">IF(T93&gt;0,D93,C93)</f>
        <v>0.005828857421875</v>
      </c>
      <c r="D94" s="41" t="n">
        <f aca="false">(B94+C94)/2</f>
        <v>0.00581741333007813</v>
      </c>
      <c r="E94" s="15" t="n">
        <f aca="false">$C$2*(1+IF(E$3&lt;=$O$2,$D94,$D94-($D94-$I$76)*MIN(E$3-$O$2,$Q$2)/$Q$2))</f>
        <v>3158.26667785645</v>
      </c>
      <c r="F94" s="15" t="n">
        <f aca="false">E94*(1+IF(F$3&lt;=$O$2,$D94,$D94-($D94-$I$76)*MIN(F$3-$O$2,$Q$2)/$Q$2))</f>
        <v>3176.63962052815</v>
      </c>
      <c r="G94" s="15" t="n">
        <f aca="false">F94*(1+IF(G$3&lt;=$O$2,$D94,$D94-($D94-$I$76)*MIN(G$3-$O$2,$Q$2)/$Q$2))</f>
        <v>3195.11944620146</v>
      </c>
      <c r="H94" s="15" t="n">
        <f aca="false">G94*(1+IF(H$3&lt;=$O$2,$D94,$D94-($D94-$I$76)*MIN(H$3-$O$2,$Q$2)/$Q$2))</f>
        <v>3213.70677665899</v>
      </c>
      <c r="I94" s="15" t="n">
        <f aca="false">H94*(1+IF(I$3&lt;=$O$2,$D94,$D94-($D94-$I$76)*MIN(I$3-$O$2,$Q$2)/$Q$2))</f>
        <v>3232.40223730049</v>
      </c>
      <c r="J94" s="15" t="n">
        <f aca="false">I94*(1+IF(J$3&lt;=$O$2,$D94,$D94-($D94-$I$76)*MIN(J$3-$O$2,$Q$2)/$Q$2))</f>
        <v>3262.50860761706</v>
      </c>
      <c r="K94" s="15" t="n">
        <f aca="false">J94*(1+IF(K$3&lt;=$O$2,$D94,$D94-($D94-$I$76)*MIN(K$3-$O$2,$Q$2)/$Q$2))</f>
        <v>3304.30280447812</v>
      </c>
      <c r="L94" s="15" t="n">
        <f aca="false">K94*(1+IF(L$3&lt;=$O$2,$D94,$D94-($D94-$I$76)*MIN(L$3-$O$2,$Q$2)/$Q$2))</f>
        <v>3358.18595575728</v>
      </c>
      <c r="M94" s="15" t="n">
        <f aca="false">L94*(1+IF(M$3&lt;=$O$2,$D94,$D94-($D94-$I$76)*MIN(M$3-$O$2,$Q$2)/$Q$2))</f>
        <v>3424.68973312138</v>
      </c>
      <c r="N94" s="15" t="n">
        <f aca="false">M94*(1+IF(N$3&lt;=$O$2,$D94,$D94-($D94-$I$76)*MIN(N$3-$O$2,$Q$2)/$Q$2))</f>
        <v>3504.48500390311</v>
      </c>
      <c r="O94" s="15" t="n">
        <f aca="false">SUMPRODUCT(E94:N94,1/(1+$F$76)^$E$3:$N$3)*$E$2</f>
        <v>10325.9680411339</v>
      </c>
      <c r="P94" s="15" t="n">
        <f aca="false">N94*$E$2*(1+$I$76)/($F$76-$I$76)/(1+$F$76)^$N$3</f>
        <v>16732.3604778328</v>
      </c>
      <c r="Q94" s="15" t="n">
        <f aca="false">O94+P94</f>
        <v>27058.3285189667</v>
      </c>
      <c r="R94" s="15" t="n">
        <f aca="false">Q94-$G$2+$I$2</f>
        <v>22990.5285189667</v>
      </c>
      <c r="S94" s="42" t="n">
        <f aca="false">R94/$K$2</f>
        <v>176.632825130352</v>
      </c>
      <c r="T94" s="43" t="n">
        <f aca="false">S94-$M$2</f>
        <v>0.00406053293366426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0.00580596923828125</v>
      </c>
      <c r="C95" s="25" t="n">
        <f aca="false">IF(T94&gt;0,D94,C94)</f>
        <v>0.00581741333007813</v>
      </c>
      <c r="D95" s="41" t="n">
        <f aca="false">(B95+C95)/2</f>
        <v>0.00581169128417969</v>
      </c>
      <c r="E95" s="15" t="n">
        <f aca="false">$C$2*(1+IF(E$3&lt;=$O$2,$D95,$D95-($D95-$I$76)*MIN(E$3-$O$2,$Q$2)/$Q$2))</f>
        <v>3158.24871063232</v>
      </c>
      <c r="F95" s="15" t="n">
        <f aca="false">E95*(1+IF(F$3&lt;=$O$2,$D95,$D95-($D95-$I$76)*MIN(F$3-$O$2,$Q$2)/$Q$2))</f>
        <v>3176.60347713718</v>
      </c>
      <c r="G95" s="15" t="n">
        <f aca="false">F95*(1+IF(G$3&lt;=$O$2,$D95,$D95-($D95-$I$76)*MIN(G$3-$O$2,$Q$2)/$Q$2))</f>
        <v>3195.06491587855</v>
      </c>
      <c r="H95" s="15" t="n">
        <f aca="false">G95*(1+IF(H$3&lt;=$O$2,$D95,$D95-($D95-$I$76)*MIN(H$3-$O$2,$Q$2)/$Q$2))</f>
        <v>3213.63364680255</v>
      </c>
      <c r="I95" s="15" t="n">
        <f aca="false">H95*(1+IF(I$3&lt;=$O$2,$D95,$D95-($D95-$I$76)*MIN(I$3-$O$2,$Q$2)/$Q$2))</f>
        <v>3232.31029345822</v>
      </c>
      <c r="J95" s="15" t="n">
        <f aca="false">I95*(1+IF(J$3&lt;=$O$2,$D95,$D95-($D95-$I$76)*MIN(J$3-$O$2,$Q$2)/$Q$2))</f>
        <v>3262.40101107394</v>
      </c>
      <c r="K95" s="15" t="n">
        <f aca="false">J95*(1+IF(K$3&lt;=$O$2,$D95,$D95-($D95-$I$76)*MIN(K$3-$O$2,$Q$2)/$Q$2))</f>
        <v>3304.18262901008</v>
      </c>
      <c r="L95" s="15" t="n">
        <f aca="false">K95*(1+IF(L$3&lt;=$O$2,$D95,$D95-($D95-$I$76)*MIN(L$3-$O$2,$Q$2)/$Q$2))</f>
        <v>3358.05625791819</v>
      </c>
      <c r="M95" s="15" t="n">
        <f aca="false">L95*(1+IF(M$3&lt;=$O$2,$D95,$D95-($D95-$I$76)*MIN(M$3-$O$2,$Q$2)/$Q$2))</f>
        <v>3424.55362382297</v>
      </c>
      <c r="N95" s="15" t="n">
        <f aca="false">M95*(1+IF(N$3&lt;=$O$2,$D95,$D95-($D95-$I$76)*MIN(N$3-$O$2,$Q$2)/$Q$2))</f>
        <v>3504.34572325804</v>
      </c>
      <c r="O95" s="15" t="n">
        <f aca="false">SUMPRODUCT(E95:N95,1/(1+$F$76)^$E$3:$N$3)*$E$2</f>
        <v>10325.7068992549</v>
      </c>
      <c r="P95" s="15" t="n">
        <f aca="false">N95*$E$2*(1+$I$76)/($F$76-$I$76)/(1+$F$76)^$N$3</f>
        <v>16731.6954745703</v>
      </c>
      <c r="Q95" s="15" t="n">
        <f aca="false">O95+P95</f>
        <v>27057.4023738252</v>
      </c>
      <c r="R95" s="15" t="n">
        <f aca="false">Q95-$G$2+$I$2</f>
        <v>22989.6023738252</v>
      </c>
      <c r="S95" s="42" t="n">
        <f aca="false">R95/$K$2</f>
        <v>176.625709694416</v>
      </c>
      <c r="T95" s="43" t="n">
        <f aca="false">S95-$M$2</f>
        <v>-0.00305490300249289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0.00581169128417969</v>
      </c>
      <c r="C96" s="25" t="n">
        <f aca="false">IF(T95&gt;0,D95,C95)</f>
        <v>0.00581741333007813</v>
      </c>
      <c r="D96" s="41" t="n">
        <f aca="false">(B96+C96)/2</f>
        <v>0.00581455230712891</v>
      </c>
      <c r="E96" s="15" t="n">
        <f aca="false">$C$2*(1+IF(E$3&lt;=$O$2,$D96,$D96-($D96-$I$76)*MIN(E$3-$O$2,$Q$2)/$Q$2))</f>
        <v>3158.25769424438</v>
      </c>
      <c r="F96" s="15" t="n">
        <f aca="false">E96*(1+IF(F$3&lt;=$O$2,$D96,$D96-($D96-$I$76)*MIN(F$3-$O$2,$Q$2)/$Q$2))</f>
        <v>3176.62154880696</v>
      </c>
      <c r="G96" s="15" t="n">
        <f aca="false">F96*(1+IF(G$3&lt;=$O$2,$D96,$D96-($D96-$I$76)*MIN(G$3-$O$2,$Q$2)/$Q$2))</f>
        <v>3195.09218096245</v>
      </c>
      <c r="H96" s="15" t="n">
        <f aca="false">G96*(1+IF(H$3&lt;=$O$2,$D96,$D96-($D96-$I$76)*MIN(H$3-$O$2,$Q$2)/$Q$2))</f>
        <v>3213.67021157476</v>
      </c>
      <c r="I96" s="15" t="n">
        <f aca="false">H96*(1+IF(I$3&lt;=$O$2,$D96,$D96-($D96-$I$76)*MIN(I$3-$O$2,$Q$2)/$Q$2))</f>
        <v>3232.35626511782</v>
      </c>
      <c r="J96" s="15" t="n">
        <f aca="false">I96*(1+IF(J$3&lt;=$O$2,$D96,$D96-($D96-$I$76)*MIN(J$3-$O$2,$Q$2)/$Q$2))</f>
        <v>3262.45480897631</v>
      </c>
      <c r="K96" s="15" t="n">
        <f aca="false">J96*(1+IF(K$3&lt;=$O$2,$D96,$D96-($D96-$I$76)*MIN(K$3-$O$2,$Q$2)/$Q$2))</f>
        <v>3304.24271627783</v>
      </c>
      <c r="L96" s="15" t="n">
        <f aca="false">K96*(1+IF(L$3&lt;=$O$2,$D96,$D96-($D96-$I$76)*MIN(L$3-$O$2,$Q$2)/$Q$2))</f>
        <v>3358.1211062951</v>
      </c>
      <c r="M96" s="15" t="n">
        <f aca="false">L96*(1+IF(M$3&lt;=$O$2,$D96,$D96-($D96-$I$76)*MIN(M$3-$O$2,$Q$2)/$Q$2))</f>
        <v>3424.62167788168</v>
      </c>
      <c r="N96" s="15" t="n">
        <f aca="false">M96*(1+IF(N$3&lt;=$O$2,$D96,$D96-($D96-$I$76)*MIN(N$3-$O$2,$Q$2)/$Q$2))</f>
        <v>3504.41536297632</v>
      </c>
      <c r="O96" s="15" t="n">
        <f aca="false">SUMPRODUCT(E96:N96,1/(1+$F$76)^$E$3:$N$3)*$E$2</f>
        <v>10325.8374693546</v>
      </c>
      <c r="P96" s="15" t="n">
        <f aca="false">N96*$E$2*(1+$I$76)/($F$76-$I$76)/(1+$F$76)^$N$3</f>
        <v>16732.0279733165</v>
      </c>
      <c r="Q96" s="15" t="n">
        <f aca="false">O96+P96</f>
        <v>27057.8654426711</v>
      </c>
      <c r="R96" s="15" t="n">
        <f aca="false">Q96-$G$2+$I$2</f>
        <v>22990.0654426711</v>
      </c>
      <c r="S96" s="42" t="n">
        <f aca="false">R96/$K$2</f>
        <v>176.629267383767</v>
      </c>
      <c r="T96" s="43" t="n">
        <f aca="false">S96-$M$2</f>
        <v>0.000502786348363316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0.00581169128417969</v>
      </c>
      <c r="C97" s="25" t="n">
        <f aca="false">IF(T96&gt;0,D96,C96)</f>
        <v>0.00581455230712891</v>
      </c>
      <c r="D97" s="41" t="n">
        <f aca="false">(B97+C97)/2</f>
        <v>0.0058131217956543</v>
      </c>
      <c r="E97" s="15" t="n">
        <f aca="false">$C$2*(1+IF(E$3&lt;=$O$2,$D97,$D97-($D97-$I$76)*MIN(E$3-$O$2,$Q$2)/$Q$2))</f>
        <v>3158.25320243835</v>
      </c>
      <c r="F97" s="15" t="n">
        <f aca="false">E97*(1+IF(F$3&lt;=$O$2,$D97,$D97-($D97-$I$76)*MIN(F$3-$O$2,$Q$2)/$Q$2))</f>
        <v>3176.61251296564</v>
      </c>
      <c r="G97" s="15" t="n">
        <f aca="false">F97*(1+IF(G$3&lt;=$O$2,$D97,$D97-($D97-$I$76)*MIN(G$3-$O$2,$Q$2)/$Q$2))</f>
        <v>3195.07854840111</v>
      </c>
      <c r="H97" s="15" t="n">
        <f aca="false">G97*(1+IF(H$3&lt;=$O$2,$D97,$D97-($D97-$I$76)*MIN(H$3-$O$2,$Q$2)/$Q$2))</f>
        <v>3213.65192914965</v>
      </c>
      <c r="I97" s="15" t="n">
        <f aca="false">H97*(1+IF(I$3&lt;=$O$2,$D97,$D97-($D97-$I$76)*MIN(I$3-$O$2,$Q$2)/$Q$2))</f>
        <v>3232.33327922264</v>
      </c>
      <c r="J97" s="15" t="n">
        <f aca="false">I97*(1+IF(J$3&lt;=$O$2,$D97,$D97-($D97-$I$76)*MIN(J$3-$O$2,$Q$2)/$Q$2))</f>
        <v>3262.42790993283</v>
      </c>
      <c r="K97" s="15" t="n">
        <f aca="false">J97*(1+IF(K$3&lt;=$O$2,$D97,$D97-($D97-$I$76)*MIN(K$3-$O$2,$Q$2)/$Q$2))</f>
        <v>3304.21267252739</v>
      </c>
      <c r="L97" s="15" t="n">
        <f aca="false">K97*(1+IF(L$3&lt;=$O$2,$D97,$D97-($D97-$I$76)*MIN(L$3-$O$2,$Q$2)/$Q$2))</f>
        <v>3358.08868197098</v>
      </c>
      <c r="M97" s="15" t="n">
        <f aca="false">L97*(1+IF(M$3&lt;=$O$2,$D97,$D97-($D97-$I$76)*MIN(M$3-$O$2,$Q$2)/$Q$2))</f>
        <v>3424.5876507047</v>
      </c>
      <c r="N97" s="15" t="n">
        <f aca="false">M97*(1+IF(N$3&lt;=$O$2,$D97,$D97-($D97-$I$76)*MIN(N$3-$O$2,$Q$2)/$Q$2))</f>
        <v>3504.38054296612</v>
      </c>
      <c r="O97" s="15" t="n">
        <f aca="false">SUMPRODUCT(E97:N97,1/(1+$F$76)^$E$3:$N$3)*$E$2</f>
        <v>10325.7721840948</v>
      </c>
      <c r="P97" s="15" t="n">
        <f aca="false">N97*$E$2*(1+$I$76)/($F$76-$I$76)/(1+$F$76)^$N$3</f>
        <v>16731.8617232222</v>
      </c>
      <c r="Q97" s="15" t="n">
        <f aca="false">O97+P97</f>
        <v>27057.633907317</v>
      </c>
      <c r="R97" s="15" t="n">
        <f aca="false">Q97-$G$2+$I$2</f>
        <v>22989.833907317</v>
      </c>
      <c r="S97" s="42" t="n">
        <f aca="false">R97/$K$2</f>
        <v>176.627488531937</v>
      </c>
      <c r="T97" s="43" t="n">
        <f aca="false">S97-$M$2</f>
        <v>-0.00127606548124959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0.0058131217956543</v>
      </c>
      <c r="C98" s="25" t="n">
        <f aca="false">IF(T97&gt;0,D97,C97)</f>
        <v>0.00581455230712891</v>
      </c>
      <c r="D98" s="41" t="n">
        <f aca="false">(B98+C98)/2</f>
        <v>0.0058138370513916</v>
      </c>
      <c r="E98" s="15" t="n">
        <f aca="false">$C$2*(1+IF(E$3&lt;=$O$2,$D98,$D98-($D98-$I$76)*MIN(E$3-$O$2,$Q$2)/$Q$2))</f>
        <v>3158.25544834137</v>
      </c>
      <c r="F98" s="15" t="n">
        <f aca="false">E98*(1+IF(F$3&lt;=$O$2,$D98,$D98-($D98-$I$76)*MIN(F$3-$O$2,$Q$2)/$Q$2))</f>
        <v>3176.6170308847</v>
      </c>
      <c r="G98" s="15" t="n">
        <f aca="false">F98*(1+IF(G$3&lt;=$O$2,$D98,$D98-($D98-$I$76)*MIN(G$3-$O$2,$Q$2)/$Q$2))</f>
        <v>3195.08536467693</v>
      </c>
      <c r="H98" s="15" t="n">
        <f aca="false">G98*(1+IF(H$3&lt;=$O$2,$D98,$D98-($D98-$I$76)*MIN(H$3-$O$2,$Q$2)/$Q$2))</f>
        <v>3213.66107035245</v>
      </c>
      <c r="I98" s="15" t="n">
        <f aca="false">H98*(1+IF(I$3&lt;=$O$2,$D98,$D98-($D98-$I$76)*MIN(I$3-$O$2,$Q$2)/$Q$2))</f>
        <v>3232.34477215388</v>
      </c>
      <c r="J98" s="15" t="n">
        <f aca="false">I98*(1+IF(J$3&lt;=$O$2,$D98,$D98-($D98-$I$76)*MIN(J$3-$O$2,$Q$2)/$Q$2))</f>
        <v>3262.4413594315</v>
      </c>
      <c r="K98" s="15" t="n">
        <f aca="false">J98*(1+IF(K$3&lt;=$O$2,$D98,$D98-($D98-$I$76)*MIN(K$3-$O$2,$Q$2)/$Q$2))</f>
        <v>3304.22769437347</v>
      </c>
      <c r="L98" s="15" t="n">
        <f aca="false">K98*(1+IF(L$3&lt;=$O$2,$D98,$D98-($D98-$I$76)*MIN(L$3-$O$2,$Q$2)/$Q$2))</f>
        <v>3358.10489409913</v>
      </c>
      <c r="M98" s="15" t="n">
        <f aca="false">L98*(1+IF(M$3&lt;=$O$2,$D98,$D98-($D98-$I$76)*MIN(M$3-$O$2,$Q$2)/$Q$2))</f>
        <v>3424.60466425629</v>
      </c>
      <c r="N98" s="15" t="n">
        <f aca="false">M98*(1+IF(N$3&lt;=$O$2,$D98,$D98-($D98-$I$76)*MIN(N$3-$O$2,$Q$2)/$Q$2))</f>
        <v>3504.39795293346</v>
      </c>
      <c r="O98" s="15" t="n">
        <f aca="false">SUMPRODUCT(E98:N98,1/(1+$F$76)^$E$3:$N$3)*$E$2</f>
        <v>10325.8048266722</v>
      </c>
      <c r="P98" s="15" t="n">
        <f aca="false">N98*$E$2*(1+$I$76)/($F$76-$I$76)/(1+$F$76)^$N$3</f>
        <v>16731.944848089</v>
      </c>
      <c r="Q98" s="15" t="n">
        <f aca="false">O98+P98</f>
        <v>27057.7496747612</v>
      </c>
      <c r="R98" s="15" t="n">
        <f aca="false">Q98-$G$2+$I$2</f>
        <v>22989.9496747612</v>
      </c>
      <c r="S98" s="42" t="n">
        <f aca="false">R98/$K$2</f>
        <v>176.628377956064</v>
      </c>
      <c r="T98" s="43" t="n">
        <f aca="false">S98-$M$2</f>
        <v>-0.000386641354992889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0.0058138370513916</v>
      </c>
      <c r="C99" s="25" t="n">
        <f aca="false">IF(T98&gt;0,D98,C98)</f>
        <v>0.00581455230712891</v>
      </c>
      <c r="D99" s="41" t="n">
        <f aca="false">(B99+C99)/2</f>
        <v>0.00581419467926025</v>
      </c>
      <c r="E99" s="15" t="n">
        <f aca="false">$C$2*(1+IF(E$3&lt;=$O$2,$D99,$D99-($D99-$I$76)*MIN(E$3-$O$2,$Q$2)/$Q$2))</f>
        <v>3158.25657129288</v>
      </c>
      <c r="F99" s="15" t="n">
        <f aca="false">E99*(1+IF(F$3&lt;=$O$2,$D99,$D99-($D99-$I$76)*MIN(F$3-$O$2,$Q$2)/$Q$2))</f>
        <v>3176.61928984543</v>
      </c>
      <c r="G99" s="15" t="n">
        <f aca="false">F99*(1+IF(G$3&lt;=$O$2,$D99,$D99-($D99-$I$76)*MIN(G$3-$O$2,$Q$2)/$Q$2))</f>
        <v>3195.08877281848</v>
      </c>
      <c r="H99" s="15" t="n">
        <f aca="false">G99*(1+IF(H$3&lt;=$O$2,$D99,$D99-($D99-$I$76)*MIN(H$3-$O$2,$Q$2)/$Q$2))</f>
        <v>3213.66564096117</v>
      </c>
      <c r="I99" s="15" t="n">
        <f aca="false">H99*(1+IF(I$3&lt;=$O$2,$D99,$D99-($D99-$I$76)*MIN(I$3-$O$2,$Q$2)/$Q$2))</f>
        <v>3232.35051863176</v>
      </c>
      <c r="J99" s="15" t="n">
        <f aca="false">I99*(1+IF(J$3&lt;=$O$2,$D99,$D99-($D99-$I$76)*MIN(J$3-$O$2,$Q$2)/$Q$2))</f>
        <v>3262.44808419814</v>
      </c>
      <c r="K99" s="15" t="n">
        <f aca="false">J99*(1+IF(K$3&lt;=$O$2,$D99,$D99-($D99-$I$76)*MIN(K$3-$O$2,$Q$2)/$Q$2))</f>
        <v>3304.23520531837</v>
      </c>
      <c r="L99" s="15" t="n">
        <f aca="false">K99*(1+IF(L$3&lt;=$O$2,$D99,$D99-($D99-$I$76)*MIN(L$3-$O$2,$Q$2)/$Q$2))</f>
        <v>3358.11300018863</v>
      </c>
      <c r="M99" s="15" t="n">
        <f aca="false">L99*(1+IF(M$3&lt;=$O$2,$D99,$D99-($D99-$I$76)*MIN(M$3-$O$2,$Q$2)/$Q$2))</f>
        <v>3424.61317105976</v>
      </c>
      <c r="N99" s="15" t="n">
        <f aca="false">M99*(1+IF(N$3&lt;=$O$2,$D99,$D99-($D99-$I$76)*MIN(N$3-$O$2,$Q$2)/$Q$2))</f>
        <v>3504.40665794545</v>
      </c>
      <c r="O99" s="15" t="n">
        <f aca="false">SUMPRODUCT(E99:N99,1/(1+$F$76)^$E$3:$N$3)*$E$2</f>
        <v>10325.8211480003</v>
      </c>
      <c r="P99" s="15" t="n">
        <f aca="false">N99*$E$2*(1+$I$76)/($F$76-$I$76)/(1+$F$76)^$N$3</f>
        <v>16731.9864106577</v>
      </c>
      <c r="Q99" s="15" t="n">
        <f aca="false">O99+P99</f>
        <v>27057.807558658</v>
      </c>
      <c r="R99" s="15" t="n">
        <f aca="false">Q99-$G$2+$I$2</f>
        <v>22990.007558658</v>
      </c>
      <c r="S99" s="42" t="n">
        <f aca="false">R99/$K$2</f>
        <v>176.628822669468</v>
      </c>
      <c r="T99" s="43" t="n">
        <f aca="false">S99-$M$2</f>
        <v>5.80720495406695E-005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0.0058138370513916</v>
      </c>
      <c r="C100" s="25" t="n">
        <f aca="false">IF(T99&gt;0,D99,C99)</f>
        <v>0.00581419467926025</v>
      </c>
      <c r="D100" s="41" t="n">
        <f aca="false">(B100+C100)/2</f>
        <v>0.00581401586532593</v>
      </c>
      <c r="E100" s="15" t="n">
        <f aca="false">$C$2*(1+IF(E$3&lt;=$O$2,$D100,$D100-($D100-$I$76)*MIN(E$3-$O$2,$Q$2)/$Q$2))</f>
        <v>3158.25600981712</v>
      </c>
      <c r="F100" s="15" t="n">
        <f aca="false">E100*(1+IF(F$3&lt;=$O$2,$D100,$D100-($D100-$I$76)*MIN(F$3-$O$2,$Q$2)/$Q$2))</f>
        <v>3176.61816036496</v>
      </c>
      <c r="G100" s="15" t="n">
        <f aca="false">F100*(1+IF(G$3&lt;=$O$2,$D100,$D100-($D100-$I$76)*MIN(G$3-$O$2,$Q$2)/$Q$2))</f>
        <v>3195.08706874741</v>
      </c>
      <c r="H100" s="15" t="n">
        <f aca="false">G100*(1+IF(H$3&lt;=$O$2,$D100,$D100-($D100-$I$76)*MIN(H$3-$O$2,$Q$2)/$Q$2))</f>
        <v>3213.6633556562</v>
      </c>
      <c r="I100" s="15" t="n">
        <f aca="false">H100*(1+IF(I$3&lt;=$O$2,$D100,$D100-($D100-$I$76)*MIN(I$3-$O$2,$Q$2)/$Q$2))</f>
        <v>3232.3476453918</v>
      </c>
      <c r="J100" s="15" t="n">
        <f aca="false">I100*(1+IF(J$3&lt;=$O$2,$D100,$D100-($D100-$I$76)*MIN(J$3-$O$2,$Q$2)/$Q$2))</f>
        <v>3262.44472181337</v>
      </c>
      <c r="K100" s="15" t="n">
        <f aca="false">J100*(1+IF(K$3&lt;=$O$2,$D100,$D100-($D100-$I$76)*MIN(K$3-$O$2,$Q$2)/$Q$2))</f>
        <v>3304.2314498441</v>
      </c>
      <c r="L100" s="15" t="n">
        <f aca="false">K100*(1+IF(L$3&lt;=$O$2,$D100,$D100-($D100-$I$76)*MIN(L$3-$O$2,$Q$2)/$Q$2))</f>
        <v>3358.10894714176</v>
      </c>
      <c r="M100" s="15" t="n">
        <f aca="false">L100*(1+IF(M$3&lt;=$O$2,$D100,$D100-($D100-$I$76)*MIN(M$3-$O$2,$Q$2)/$Q$2))</f>
        <v>3424.60891765572</v>
      </c>
      <c r="N100" s="15" t="n">
        <f aca="false">M100*(1+IF(N$3&lt;=$O$2,$D100,$D100-($D100-$I$76)*MIN(N$3-$O$2,$Q$2)/$Q$2))</f>
        <v>3504.4023054371</v>
      </c>
      <c r="O100" s="15" t="n">
        <f aca="false">SUMPRODUCT(E100:N100,1/(1+$F$76)^$E$3:$N$3)*$E$2</f>
        <v>10325.812987333</v>
      </c>
      <c r="P100" s="15" t="n">
        <f aca="false">N100*$E$2*(1+$I$76)/($F$76-$I$76)/(1+$F$76)^$N$3</f>
        <v>16731.9656293621</v>
      </c>
      <c r="Q100" s="15" t="n">
        <f aca="false">O100+P100</f>
        <v>27057.7786166951</v>
      </c>
      <c r="R100" s="15" t="n">
        <f aca="false">Q100-$G$2+$I$2</f>
        <v>22989.9786166951</v>
      </c>
      <c r="S100" s="42" t="n">
        <f aca="false">R100/$K$2</f>
        <v>176.628600312654</v>
      </c>
      <c r="T100" s="43" t="n">
        <f aca="false">S100-$M$2</f>
        <v>-0.000164284764537115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0.00581401586532593</v>
      </c>
      <c r="C101" s="25" t="n">
        <f aca="false">IF(T100&gt;0,D100,C100)</f>
        <v>0.00581419467926025</v>
      </c>
      <c r="D101" s="41" t="n">
        <f aca="false">(B101+C101)/2</f>
        <v>0.00581410527229309</v>
      </c>
      <c r="E101" s="15" t="n">
        <f aca="false">$C$2*(1+IF(E$3&lt;=$O$2,$D101,$D101-($D101-$I$76)*MIN(E$3-$O$2,$Q$2)/$Q$2))</f>
        <v>3158.256290555</v>
      </c>
      <c r="F101" s="15" t="n">
        <f aca="false">E101*(1+IF(F$3&lt;=$O$2,$D101,$D101-($D101-$I$76)*MIN(F$3-$O$2,$Q$2)/$Q$2))</f>
        <v>3176.61872510517</v>
      </c>
      <c r="G101" s="15" t="n">
        <f aca="false">F101*(1+IF(G$3&lt;=$O$2,$D101,$D101-($D101-$I$76)*MIN(G$3-$O$2,$Q$2)/$Q$2))</f>
        <v>3195.08792078287</v>
      </c>
      <c r="H101" s="15" t="n">
        <f aca="false">G101*(1+IF(H$3&lt;=$O$2,$D101,$D101-($D101-$I$76)*MIN(H$3-$O$2,$Q$2)/$Q$2))</f>
        <v>3213.66449830853</v>
      </c>
      <c r="I101" s="15" t="n">
        <f aca="false">H101*(1+IF(I$3&lt;=$O$2,$D101,$D101-($D101-$I$76)*MIN(I$3-$O$2,$Q$2)/$Q$2))</f>
        <v>3232.34908201153</v>
      </c>
      <c r="J101" s="15" t="n">
        <f aca="false">I101*(1+IF(J$3&lt;=$O$2,$D101,$D101-($D101-$I$76)*MIN(J$3-$O$2,$Q$2)/$Q$2))</f>
        <v>3262.44640300539</v>
      </c>
      <c r="K101" s="15" t="n">
        <f aca="false">J101*(1+IF(K$3&lt;=$O$2,$D101,$D101-($D101-$I$76)*MIN(K$3-$O$2,$Q$2)/$Q$2))</f>
        <v>3304.23332758078</v>
      </c>
      <c r="L101" s="15" t="n">
        <f aca="false">K101*(1+IF(L$3&lt;=$O$2,$D101,$D101-($D101-$I$76)*MIN(L$3-$O$2,$Q$2)/$Q$2))</f>
        <v>3358.11097366466</v>
      </c>
      <c r="M101" s="15" t="n">
        <f aca="false">L101*(1+IF(M$3&lt;=$O$2,$D101,$D101-($D101-$I$76)*MIN(M$3-$O$2,$Q$2)/$Q$2))</f>
        <v>3424.61104435716</v>
      </c>
      <c r="N101" s="15" t="n">
        <f aca="false">M101*(1+IF(N$3&lt;=$O$2,$D101,$D101-($D101-$I$76)*MIN(N$3-$O$2,$Q$2)/$Q$2))</f>
        <v>3504.40448169068</v>
      </c>
      <c r="O101" s="15" t="n">
        <f aca="false">SUMPRODUCT(E101:N101,1/(1+$F$76)^$E$3:$N$3)*$E$2</f>
        <v>10325.8170676658</v>
      </c>
      <c r="P101" s="15" t="n">
        <f aca="false">N101*$E$2*(1+$I$76)/($F$76-$I$76)/(1+$F$76)^$N$3</f>
        <v>16731.9760200071</v>
      </c>
      <c r="Q101" s="15" t="n">
        <f aca="false">O101+P101</f>
        <v>27057.7930876729</v>
      </c>
      <c r="R101" s="15" t="n">
        <f aca="false">Q101-$G$2+$I$2</f>
        <v>22989.9930876729</v>
      </c>
      <c r="S101" s="42" t="n">
        <f aca="false">R101/$K$2</f>
        <v>176.628711491033</v>
      </c>
      <c r="T101" s="43" t="n">
        <f aca="false">S101-$M$2</f>
        <v>-5.31063854793956E-005</v>
      </c>
    </row>
    <row r="103" customFormat="false" ht="15" hidden="false" customHeight="false" outlineLevel="0" collapsed="false">
      <c r="A103" s="38" t="s">
        <v>177</v>
      </c>
      <c r="E103" s="5" t="s">
        <v>11</v>
      </c>
      <c r="F103" s="12" t="n">
        <f aca="false">Sensitivity!$B$10</f>
        <v>0.0719413943493295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155</v>
      </c>
      <c r="B104" s="28" t="s">
        <v>156</v>
      </c>
      <c r="C104" s="28" t="s">
        <v>157</v>
      </c>
      <c r="D104" s="28" t="s">
        <v>158</v>
      </c>
      <c r="E104" s="28" t="s">
        <v>159</v>
      </c>
      <c r="F104" s="28" t="s">
        <v>160</v>
      </c>
      <c r="G104" s="28" t="s">
        <v>161</v>
      </c>
      <c r="H104" s="28" t="s">
        <v>162</v>
      </c>
      <c r="I104" s="28" t="s">
        <v>163</v>
      </c>
      <c r="J104" s="28" t="s">
        <v>164</v>
      </c>
      <c r="K104" s="28" t="s">
        <v>165</v>
      </c>
      <c r="L104" s="28" t="s">
        <v>166</v>
      </c>
      <c r="M104" s="28" t="s">
        <v>167</v>
      </c>
      <c r="N104" s="28" t="s">
        <v>168</v>
      </c>
      <c r="O104" s="28" t="s">
        <v>169</v>
      </c>
      <c r="P104" s="28" t="s">
        <v>170</v>
      </c>
      <c r="Q104" s="28" t="s">
        <v>171</v>
      </c>
      <c r="R104" s="28" t="s">
        <v>172</v>
      </c>
      <c r="S104" s="28" t="s">
        <v>173</v>
      </c>
      <c r="T104" s="28" t="s">
        <v>174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3925</v>
      </c>
      <c r="F105" s="15" t="n">
        <f aca="false">E105*(1+IF(F$3&lt;=$O$2,$D105,$D105-($D105-$I$103)*MIN(F$3-$O$2,$Q$2)/$Q$2))</f>
        <v>4906.25</v>
      </c>
      <c r="G105" s="15" t="n">
        <f aca="false">F105*(1+IF(G$3&lt;=$O$2,$D105,$D105-($D105-$I$103)*MIN(G$3-$O$2,$Q$2)/$Q$2))</f>
        <v>6132.8125</v>
      </c>
      <c r="H105" s="15" t="n">
        <f aca="false">G105*(1+IF(H$3&lt;=$O$2,$D105,$D105-($D105-$I$103)*MIN(H$3-$O$2,$Q$2)/$Q$2))</f>
        <v>7666.015625</v>
      </c>
      <c r="I105" s="15" t="n">
        <f aca="false">H105*(1+IF(I$3&lt;=$O$2,$D105,$D105-($D105-$I$103)*MIN(I$3-$O$2,$Q$2)/$Q$2))</f>
        <v>9582.51953125</v>
      </c>
      <c r="J105" s="15" t="n">
        <f aca="false">I105*(1+IF(J$3&lt;=$O$2,$D105,$D105-($D105-$I$103)*MIN(J$3-$O$2,$Q$2)/$Q$2))</f>
        <v>11553.2604980469</v>
      </c>
      <c r="K105" s="15" t="n">
        <f aca="false">J105*(1+IF(K$3&lt;=$O$2,$D105,$D105-($D105-$I$103)*MIN(K$3-$O$2,$Q$2)/$Q$2))</f>
        <v>13417.0324815918</v>
      </c>
      <c r="L105" s="15" t="n">
        <f aca="false">K105*(1+IF(L$3&lt;=$O$2,$D105,$D105-($D105-$I$103)*MIN(L$3-$O$2,$Q$2)/$Q$2))</f>
        <v>14986.5569412884</v>
      </c>
      <c r="M105" s="15" t="n">
        <f aca="false">L105*(1+IF(M$3&lt;=$O$2,$D105,$D105-($D105-$I$103)*MIN(M$3-$O$2,$Q$2)/$Q$2))</f>
        <v>16075.1804375036</v>
      </c>
      <c r="N105" s="15" t="n">
        <f aca="false">M105*(1+IF(N$3&lt;=$O$2,$D105,$D105-($D105-$I$103)*MIN(N$3-$O$2,$Q$2)/$Q$2))</f>
        <v>16530.1080438849</v>
      </c>
      <c r="O105" s="15" t="n">
        <f aca="false">SUMPRODUCT(E105:N105,1/(1+$F$103)^$E$3:$N$3)*$E$2</f>
        <v>30370.079999242</v>
      </c>
      <c r="P105" s="15" t="n">
        <f aca="false">N105*$E$2*(1+$I$103)/($F$103-$I$103)/(1+$F$103)^$N$3</f>
        <v>88396.0702292155</v>
      </c>
      <c r="Q105" s="15" t="n">
        <f aca="false">O105+P105</f>
        <v>118766.150228458</v>
      </c>
      <c r="R105" s="15" t="n">
        <f aca="false">Q105-$G$2+$I$2</f>
        <v>114698.350228458</v>
      </c>
      <c r="S105" s="42" t="n">
        <f aca="false">R105/$K$2</f>
        <v>881.210435068051</v>
      </c>
      <c r="T105" s="43" t="n">
        <f aca="false">S105-$M$2</f>
        <v>704.581670470633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2747.5</v>
      </c>
      <c r="F106" s="15" t="n">
        <f aca="false">E106*(1+IF(F$3&lt;=$O$2,$D106,$D106-($D106-$I$103)*MIN(F$3-$O$2,$Q$2)/$Q$2))</f>
        <v>2404.0625</v>
      </c>
      <c r="G106" s="15" t="n">
        <f aca="false">F106*(1+IF(G$3&lt;=$O$2,$D106,$D106-($D106-$I$103)*MIN(G$3-$O$2,$Q$2)/$Q$2))</f>
        <v>2103.5546875</v>
      </c>
      <c r="H106" s="15" t="n">
        <f aca="false">G106*(1+IF(H$3&lt;=$O$2,$D106,$D106-($D106-$I$103)*MIN(H$3-$O$2,$Q$2)/$Q$2))</f>
        <v>1840.6103515625</v>
      </c>
      <c r="I106" s="15" t="n">
        <f aca="false">H106*(1+IF(I$3&lt;=$O$2,$D106,$D106-($D106-$I$103)*MIN(I$3-$O$2,$Q$2)/$Q$2))</f>
        <v>1610.53405761719</v>
      </c>
      <c r="J106" s="15" t="n">
        <f aca="false">I106*(1+IF(J$3&lt;=$O$2,$D106,$D106-($D106-$I$103)*MIN(J$3-$O$2,$Q$2)/$Q$2))</f>
        <v>1458.59627462158</v>
      </c>
      <c r="K106" s="15" t="n">
        <f aca="false">J106*(1+IF(K$3&lt;=$O$2,$D106,$D106-($D106-$I$103)*MIN(K$3-$O$2,$Q$2)/$Q$2))</f>
        <v>1365.71286385368</v>
      </c>
      <c r="L106" s="15" t="n">
        <f aca="false">K106*(1+IF(L$3&lt;=$O$2,$D106,$D106-($D106-$I$103)*MIN(L$3-$O$2,$Q$2)/$Q$2))</f>
        <v>1320.61702508923</v>
      </c>
      <c r="M106" s="15" t="n">
        <f aca="false">L106*(1+IF(M$3&lt;=$O$2,$D106,$D106-($D106-$I$103)*MIN(M$3-$O$2,$Q$2)/$Q$2))</f>
        <v>1317.50036891002</v>
      </c>
      <c r="N106" s="15" t="n">
        <f aca="false">M106*(1+IF(N$3&lt;=$O$2,$D106,$D106-($D106-$I$103)*MIN(N$3-$O$2,$Q$2)/$Q$2))</f>
        <v>1354.78562935017</v>
      </c>
      <c r="O106" s="15" t="n">
        <f aca="false">SUMPRODUCT(E106:N106,1/(1+$F$103)^$E$3:$N$3)*$E$2</f>
        <v>5835.10921823417</v>
      </c>
      <c r="P106" s="15" t="n">
        <f aca="false">N106*$E$2*(1+$I$103)/($F$103-$I$103)/(1+$F$103)^$N$3</f>
        <v>7244.82413058833</v>
      </c>
      <c r="Q106" s="15" t="n">
        <f aca="false">O106+P106</f>
        <v>13079.9333488225</v>
      </c>
      <c r="R106" s="15" t="n">
        <f aca="false">Q106-$G$2+$I$2</f>
        <v>9012.1333488225</v>
      </c>
      <c r="S106" s="42" t="n">
        <f aca="false">R106/$K$2</f>
        <v>69.238885593289</v>
      </c>
      <c r="T106" s="43" t="n">
        <f aca="false">S106-$M$2</f>
        <v>-107.38987900413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3336.25</v>
      </c>
      <c r="F107" s="15" t="n">
        <f aca="false">E107*(1+IF(F$3&lt;=$O$2,$D107,$D107-($D107-$I$103)*MIN(F$3-$O$2,$Q$2)/$Q$2))</f>
        <v>3544.765625</v>
      </c>
      <c r="G107" s="15" t="n">
        <f aca="false">F107*(1+IF(G$3&lt;=$O$2,$D107,$D107-($D107-$I$103)*MIN(G$3-$O$2,$Q$2)/$Q$2))</f>
        <v>3766.3134765625</v>
      </c>
      <c r="H107" s="15" t="n">
        <f aca="false">G107*(1+IF(H$3&lt;=$O$2,$D107,$D107-($D107-$I$103)*MIN(H$3-$O$2,$Q$2)/$Q$2))</f>
        <v>4001.70806884766</v>
      </c>
      <c r="I107" s="15" t="n">
        <f aca="false">H107*(1+IF(I$3&lt;=$O$2,$D107,$D107-($D107-$I$103)*MIN(I$3-$O$2,$Q$2)/$Q$2))</f>
        <v>4251.81482315064</v>
      </c>
      <c r="J107" s="15" t="n">
        <f aca="false">I107*(1+IF(J$3&lt;=$O$2,$D107,$D107-($D107-$I$103)*MIN(J$3-$O$2,$Q$2)/$Q$2))</f>
        <v>4488.4708362072</v>
      </c>
      <c r="K107" s="15" t="n">
        <f aca="false">J107*(1+IF(K$3&lt;=$O$2,$D107,$D107-($D107-$I$103)*MIN(K$3-$O$2,$Q$2)/$Q$2))</f>
        <v>4707.59798243084</v>
      </c>
      <c r="L107" s="15" t="n">
        <f aca="false">K107*(1+IF(L$3&lt;=$O$2,$D107,$D107-($D107-$I$103)*MIN(L$3-$O$2,$Q$2)/$Q$2))</f>
        <v>4905.22294573328</v>
      </c>
      <c r="M107" s="15" t="n">
        <f aca="false">L107*(1+IF(M$3&lt;=$O$2,$D107,$D107-($D107-$I$103)*MIN(M$3-$O$2,$Q$2)/$Q$2))</f>
        <v>5077.59248004635</v>
      </c>
      <c r="N107" s="15" t="n">
        <f aca="false">M107*(1+IF(N$3&lt;=$O$2,$D107,$D107-($D107-$I$103)*MIN(N$3-$O$2,$Q$2)/$Q$2))</f>
        <v>5221.28834723166</v>
      </c>
      <c r="O107" s="15" t="n">
        <f aca="false">SUMPRODUCT(E107:N107,1/(1+$F$103)^$E$3:$N$3)*$E$2</f>
        <v>13311.532042384</v>
      </c>
      <c r="P107" s="15" t="n">
        <f aca="false">N107*$E$2*(1+$I$103)/($F$103-$I$103)/(1+$F$103)^$N$3</f>
        <v>27921.2555782183</v>
      </c>
      <c r="Q107" s="15" t="n">
        <f aca="false">O107+P107</f>
        <v>41232.7876206023</v>
      </c>
      <c r="R107" s="15" t="n">
        <f aca="false">Q107-$G$2+$I$2</f>
        <v>37164.9876206023</v>
      </c>
      <c r="S107" s="42" t="n">
        <f aca="false">R107/$K$2</f>
        <v>285.53309481102</v>
      </c>
      <c r="T107" s="43" t="n">
        <f aca="false">S107-$M$2</f>
        <v>108.904330213601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3041.875</v>
      </c>
      <c r="F108" s="15" t="n">
        <f aca="false">E108*(1+IF(F$3&lt;=$O$2,$D108,$D108-($D108-$I$103)*MIN(F$3-$O$2,$Q$2)/$Q$2))</f>
        <v>2946.81640625</v>
      </c>
      <c r="G108" s="15" t="n">
        <f aca="false">F108*(1+IF(G$3&lt;=$O$2,$D108,$D108-($D108-$I$103)*MIN(G$3-$O$2,$Q$2)/$Q$2))</f>
        <v>2854.72839355469</v>
      </c>
      <c r="H108" s="15" t="n">
        <f aca="false">G108*(1+IF(H$3&lt;=$O$2,$D108,$D108-($D108-$I$103)*MIN(H$3-$O$2,$Q$2)/$Q$2))</f>
        <v>2765.5181312561</v>
      </c>
      <c r="I108" s="15" t="n">
        <f aca="false">H108*(1+IF(I$3&lt;=$O$2,$D108,$D108-($D108-$I$103)*MIN(I$3-$O$2,$Q$2)/$Q$2))</f>
        <v>2679.09568965435</v>
      </c>
      <c r="J108" s="15" t="n">
        <f aca="false">I108*(1+IF(J$3&lt;=$O$2,$D108,$D108-($D108-$I$103)*MIN(J$3-$O$2,$Q$2)/$Q$2))</f>
        <v>2627.28197901644</v>
      </c>
      <c r="K108" s="15" t="n">
        <f aca="false">J108*(1+IF(K$3&lt;=$O$2,$D108,$D108-($D108-$I$103)*MIN(K$3-$O$2,$Q$2)/$Q$2))</f>
        <v>2607.76127391234</v>
      </c>
      <c r="L108" s="15" t="n">
        <f aca="false">K108*(1+IF(L$3&lt;=$O$2,$D108,$D108-($D108-$I$103)*MIN(L$3-$O$2,$Q$2)/$Q$2))</f>
        <v>2619.44404441947</v>
      </c>
      <c r="M108" s="15" t="n">
        <f aca="false">L108*(1+IF(M$3&lt;=$O$2,$D108,$D108-($D108-$I$103)*MIN(M$3-$O$2,$Q$2)/$Q$2))</f>
        <v>2662.37673230751</v>
      </c>
      <c r="N108" s="15" t="n">
        <f aca="false">M108*(1+IF(N$3&lt;=$O$2,$D108,$D108-($D108-$I$103)*MIN(N$3-$O$2,$Q$2)/$Q$2))</f>
        <v>2737.72199383181</v>
      </c>
      <c r="O108" s="15" t="n">
        <f aca="false">SUMPRODUCT(E108:N108,1/(1+$F$103)^$E$3:$N$3)*$E$2</f>
        <v>8790.80565912424</v>
      </c>
      <c r="P108" s="15" t="n">
        <f aca="false">N108*$E$2*(1+$I$103)/($F$103-$I$103)/(1+$F$103)^$N$3</f>
        <v>14640.1865609312</v>
      </c>
      <c r="Q108" s="15" t="n">
        <f aca="false">O108+P108</f>
        <v>23430.9922200554</v>
      </c>
      <c r="R108" s="15" t="n">
        <f aca="false">Q108-$G$2+$I$2</f>
        <v>19363.1922200554</v>
      </c>
      <c r="S108" s="42" t="n">
        <f aca="false">R108/$K$2</f>
        <v>148.7645376464</v>
      </c>
      <c r="T108" s="43" t="n">
        <f aca="false">S108-$M$2</f>
        <v>-27.8642269510189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3189.0625</v>
      </c>
      <c r="F109" s="15" t="n">
        <f aca="false">E109*(1+IF(F$3&lt;=$O$2,$D109,$D109-($D109-$I$103)*MIN(F$3-$O$2,$Q$2)/$Q$2))</f>
        <v>3238.8916015625</v>
      </c>
      <c r="G109" s="15" t="n">
        <f aca="false">F109*(1+IF(G$3&lt;=$O$2,$D109,$D109-($D109-$I$103)*MIN(G$3-$O$2,$Q$2)/$Q$2))</f>
        <v>3289.49928283691</v>
      </c>
      <c r="H109" s="15" t="n">
        <f aca="false">G109*(1+IF(H$3&lt;=$O$2,$D109,$D109-($D109-$I$103)*MIN(H$3-$O$2,$Q$2)/$Q$2))</f>
        <v>3340.89770913124</v>
      </c>
      <c r="I109" s="15" t="n">
        <f aca="false">H109*(1+IF(I$3&lt;=$O$2,$D109,$D109-($D109-$I$103)*MIN(I$3-$O$2,$Q$2)/$Q$2))</f>
        <v>3393.09923583642</v>
      </c>
      <c r="J109" s="15" t="n">
        <f aca="false">I109*(1+IF(J$3&lt;=$O$2,$D109,$D109-($D109-$I$103)*MIN(J$3-$O$2,$Q$2)/$Q$2))</f>
        <v>3454.71791795921</v>
      </c>
      <c r="K109" s="15" t="n">
        <f aca="false">J109*(1+IF(K$3&lt;=$O$2,$D109,$D109-($D109-$I$103)*MIN(K$3-$O$2,$Q$2)/$Q$2))</f>
        <v>3526.21330527137</v>
      </c>
      <c r="L109" s="15" t="n">
        <f aca="false">K109*(1+IF(L$3&lt;=$O$2,$D109,$D109-($D109-$I$103)*MIN(L$3-$O$2,$Q$2)/$Q$2))</f>
        <v>3608.12724035283</v>
      </c>
      <c r="M109" s="15" t="n">
        <f aca="false">L109*(1+IF(M$3&lt;=$O$2,$D109,$D109-($D109-$I$103)*MIN(M$3-$O$2,$Q$2)/$Q$2))</f>
        <v>3701.09063870052</v>
      </c>
      <c r="N109" s="15" t="n">
        <f aca="false">M109*(1+IF(N$3&lt;=$O$2,$D109,$D109-($D109-$I$103)*MIN(N$3-$O$2,$Q$2)/$Q$2))</f>
        <v>3805.83150377574</v>
      </c>
      <c r="O109" s="15" t="n">
        <f aca="false">SUMPRODUCT(E109:N109,1/(1+$F$103)^$E$3:$N$3)*$E$2</f>
        <v>10814.3498550538</v>
      </c>
      <c r="P109" s="15" t="n">
        <f aca="false">N109*$E$2*(1+$I$103)/($F$103-$I$103)/(1+$F$103)^$N$3</f>
        <v>20351.987294649</v>
      </c>
      <c r="Q109" s="15" t="n">
        <f aca="false">O109+P109</f>
        <v>31166.3371497028</v>
      </c>
      <c r="R109" s="15" t="n">
        <f aca="false">Q109-$G$2+$I$2</f>
        <v>27098.5371497028</v>
      </c>
      <c r="S109" s="42" t="n">
        <f aca="false">R109/$K$2</f>
        <v>208.194046939942</v>
      </c>
      <c r="T109" s="43" t="n">
        <f aca="false">S109-$M$2</f>
        <v>31.5652823425231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-0.03125</v>
      </c>
      <c r="C110" s="25" t="n">
        <f aca="false">IF(T109&gt;0,D109,C109)</f>
        <v>0.015625</v>
      </c>
      <c r="D110" s="41" t="n">
        <f aca="false">(B110+C110)/2</f>
        <v>-0.0078125</v>
      </c>
      <c r="E110" s="15" t="n">
        <f aca="false">$C$2*(1+IF(E$3&lt;=$O$2,$D110,$D110-($D110-$I$103)*MIN(E$3-$O$2,$Q$2)/$Q$2))</f>
        <v>3115.46875</v>
      </c>
      <c r="F110" s="15" t="n">
        <f aca="false">E110*(1+IF(F$3&lt;=$O$2,$D110,$D110-($D110-$I$103)*MIN(F$3-$O$2,$Q$2)/$Q$2))</f>
        <v>3091.12915039063</v>
      </c>
      <c r="G110" s="15" t="n">
        <f aca="false">F110*(1+IF(G$3&lt;=$O$2,$D110,$D110-($D110-$I$103)*MIN(G$3-$O$2,$Q$2)/$Q$2))</f>
        <v>3066.9797039032</v>
      </c>
      <c r="H110" s="15" t="n">
        <f aca="false">G110*(1+IF(H$3&lt;=$O$2,$D110,$D110-($D110-$I$103)*MIN(H$3-$O$2,$Q$2)/$Q$2))</f>
        <v>3043.01892496645</v>
      </c>
      <c r="I110" s="15" t="n">
        <f aca="false">H110*(1+IF(I$3&lt;=$O$2,$D110,$D110-($D110-$I$103)*MIN(I$3-$O$2,$Q$2)/$Q$2))</f>
        <v>3019.24533961515</v>
      </c>
      <c r="J110" s="15" t="n">
        <f aca="false">I110*(1+IF(J$3&lt;=$O$2,$D110,$D110-($D110-$I$103)*MIN(J$3-$O$2,$Q$2)/$Q$2))</f>
        <v>3017.46398486478</v>
      </c>
      <c r="K110" s="15" t="n">
        <f aca="false">J110*(1+IF(K$3&lt;=$O$2,$D110,$D110-($D110-$I$103)*MIN(K$3-$O$2,$Q$2)/$Q$2))</f>
        <v>3037.4773147444</v>
      </c>
      <c r="L110" s="15" t="n">
        <f aca="false">K110*(1+IF(L$3&lt;=$O$2,$D110,$D110-($D110-$I$103)*MIN(L$3-$O$2,$Q$2)/$Q$2))</f>
        <v>3079.56156294018</v>
      </c>
      <c r="M110" s="15" t="n">
        <f aca="false">L110*(1+IF(M$3&lt;=$O$2,$D110,$D110-($D110-$I$103)*MIN(M$3-$O$2,$Q$2)/$Q$2))</f>
        <v>3144.47102178305</v>
      </c>
      <c r="N110" s="15" t="n">
        <f aca="false">M110*(1+IF(N$3&lt;=$O$2,$D110,$D110-($D110-$I$103)*MIN(N$3-$O$2,$Q$2)/$Q$2))</f>
        <v>3233.45955169951</v>
      </c>
      <c r="O110" s="15" t="n">
        <f aca="false">SUMPRODUCT(E110:N110,1/(1+$F$103)^$E$3:$N$3)*$E$2</f>
        <v>9749.09051385142</v>
      </c>
      <c r="P110" s="15" t="n">
        <f aca="false">N110*$E$2*(1+$I$103)/($F$103-$I$103)/(1+$F$103)^$N$3</f>
        <v>17291.1826623598</v>
      </c>
      <c r="Q110" s="15" t="n">
        <f aca="false">O110+P110</f>
        <v>27040.2731762112</v>
      </c>
      <c r="R110" s="15" t="n">
        <f aca="false">Q110-$G$2+$I$2</f>
        <v>22972.4731762112</v>
      </c>
      <c r="S110" s="42" t="n">
        <f aca="false">R110/$K$2</f>
        <v>176.494108606417</v>
      </c>
      <c r="T110" s="43" t="n">
        <f aca="false">S110-$M$2</f>
        <v>-0.134655991001694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-0.0078125</v>
      </c>
      <c r="C111" s="25" t="n">
        <f aca="false">IF(T110&gt;0,D110,C110)</f>
        <v>0.015625</v>
      </c>
      <c r="D111" s="41" t="n">
        <f aca="false">(B111+C111)/2</f>
        <v>0.00390625</v>
      </c>
      <c r="E111" s="15" t="n">
        <f aca="false">$C$2*(1+IF(E$3&lt;=$O$2,$D111,$D111-($D111-$I$103)*MIN(E$3-$O$2,$Q$2)/$Q$2))</f>
        <v>3152.265625</v>
      </c>
      <c r="F111" s="15" t="n">
        <f aca="false">E111*(1+IF(F$3&lt;=$O$2,$D111,$D111-($D111-$I$103)*MIN(F$3-$O$2,$Q$2)/$Q$2))</f>
        <v>3164.57916259766</v>
      </c>
      <c r="G111" s="15" t="n">
        <f aca="false">F111*(1+IF(G$3&lt;=$O$2,$D111,$D111-($D111-$I$103)*MIN(G$3-$O$2,$Q$2)/$Q$2))</f>
        <v>3176.94079995155</v>
      </c>
      <c r="H111" s="15" t="n">
        <f aca="false">G111*(1+IF(H$3&lt;=$O$2,$D111,$D111-($D111-$I$103)*MIN(H$3-$O$2,$Q$2)/$Q$2))</f>
        <v>3189.35072495136</v>
      </c>
      <c r="I111" s="15" t="n">
        <f aca="false">H111*(1+IF(I$3&lt;=$O$2,$D111,$D111-($D111-$I$103)*MIN(I$3-$O$2,$Q$2)/$Q$2))</f>
        <v>3201.80912622071</v>
      </c>
      <c r="J111" s="15" t="n">
        <f aca="false">I111*(1+IF(J$3&lt;=$O$2,$D111,$D111-($D111-$I$103)*MIN(J$3-$O$2,$Q$2)/$Q$2))</f>
        <v>3229.93701939455</v>
      </c>
      <c r="K111" s="15" t="n">
        <f aca="false">J111*(1+IF(K$3&lt;=$O$2,$D111,$D111-($D111-$I$103)*MIN(K$3-$O$2,$Q$2)/$Q$2))</f>
        <v>3274.07007134331</v>
      </c>
      <c r="L111" s="15" t="n">
        <f aca="false">K111*(1+IF(L$3&lt;=$O$2,$D111,$D111-($D111-$I$103)*MIN(L$3-$O$2,$Q$2)/$Q$2))</f>
        <v>3334.77951564119</v>
      </c>
      <c r="M111" s="15" t="n">
        <f aca="false">L111*(1+IF(M$3&lt;=$O$2,$D111,$D111-($D111-$I$103)*MIN(M$3-$O$2,$Q$2)/$Q$2))</f>
        <v>3412.8842203719</v>
      </c>
      <c r="N111" s="15" t="n">
        <f aca="false">M111*(1+IF(N$3&lt;=$O$2,$D111,$D111-($D111-$I$103)*MIN(N$3-$O$2,$Q$2)/$Q$2))</f>
        <v>3509.46884380843</v>
      </c>
      <c r="O111" s="15" t="n">
        <f aca="false">SUMPRODUCT(E111:N111,1/(1+$F$103)^$E$3:$N$3)*$E$2</f>
        <v>10267.6720873954</v>
      </c>
      <c r="P111" s="15" t="n">
        <f aca="false">N111*$E$2*(1+$I$103)/($F$103-$I$103)/(1+$F$103)^$N$3</f>
        <v>18767.1643501021</v>
      </c>
      <c r="Q111" s="15" t="n">
        <f aca="false">O111+P111</f>
        <v>29034.8364374975</v>
      </c>
      <c r="R111" s="15" t="n">
        <f aca="false">Q111-$G$2+$I$2</f>
        <v>24967.0364374975</v>
      </c>
      <c r="S111" s="42" t="n">
        <f aca="false">R111/$K$2</f>
        <v>191.81804269743</v>
      </c>
      <c r="T111" s="43" t="n">
        <f aca="false">S111-$M$2</f>
        <v>15.1892781000115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-0.0078125</v>
      </c>
      <c r="C112" s="25" t="n">
        <f aca="false">IF(T111&gt;0,D111,C111)</f>
        <v>0.00390625</v>
      </c>
      <c r="D112" s="41" t="n">
        <f aca="false">(B112+C112)/2</f>
        <v>-0.001953125</v>
      </c>
      <c r="E112" s="15" t="n">
        <f aca="false">$C$2*(1+IF(E$3&lt;=$O$2,$D112,$D112-($D112-$I$103)*MIN(E$3-$O$2,$Q$2)/$Q$2))</f>
        <v>3133.8671875</v>
      </c>
      <c r="F112" s="15" t="n">
        <f aca="false">E112*(1+IF(F$3&lt;=$O$2,$D112,$D112-($D112-$I$103)*MIN(F$3-$O$2,$Q$2)/$Q$2))</f>
        <v>3127.74635314941</v>
      </c>
      <c r="G112" s="15" t="n">
        <f aca="false">F112*(1+IF(G$3&lt;=$O$2,$D112,$D112-($D112-$I$103)*MIN(G$3-$O$2,$Q$2)/$Q$2))</f>
        <v>3121.63747355342</v>
      </c>
      <c r="H112" s="15" t="n">
        <f aca="false">G112*(1+IF(H$3&lt;=$O$2,$D112,$D112-($D112-$I$103)*MIN(H$3-$O$2,$Q$2)/$Q$2))</f>
        <v>3115.54052536289</v>
      </c>
      <c r="I112" s="15" t="n">
        <f aca="false">H112*(1+IF(I$3&lt;=$O$2,$D112,$D112-($D112-$I$103)*MIN(I$3-$O$2,$Q$2)/$Q$2))</f>
        <v>3109.45548527429</v>
      </c>
      <c r="J112" s="15" t="n">
        <f aca="false">I112*(1+IF(J$3&lt;=$O$2,$D112,$D112-($D112-$I$103)*MIN(J$3-$O$2,$Q$2)/$Q$2))</f>
        <v>3122.1964791252</v>
      </c>
      <c r="K112" s="15" t="n">
        <f aca="false">J112*(1+IF(K$3&lt;=$O$2,$D112,$D112-($D112-$I$103)*MIN(K$3-$O$2,$Q$2)/$Q$2))</f>
        <v>3153.88091926992</v>
      </c>
      <c r="L112" s="15" t="n">
        <f aca="false">K112*(1+IF(L$3&lt;=$O$2,$D112,$D112-($D112-$I$103)*MIN(L$3-$O$2,$Q$2)/$Q$2))</f>
        <v>3204.96984781094</v>
      </c>
      <c r="M112" s="15" t="n">
        <f aca="false">L112*(1+IF(M$3&lt;=$O$2,$D112,$D112-($D112-$I$103)*MIN(M$3-$O$2,$Q$2)/$Q$2))</f>
        <v>3276.27842381858</v>
      </c>
      <c r="N112" s="15" t="n">
        <f aca="false">M112*(1+IF(N$3&lt;=$O$2,$D112,$D112-($D112-$I$103)*MIN(N$3-$O$2,$Q$2)/$Q$2))</f>
        <v>3368.99710321265</v>
      </c>
      <c r="O112" s="15" t="n">
        <f aca="false">SUMPRODUCT(E112:N112,1/(1+$F$103)^$E$3:$N$3)*$E$2</f>
        <v>10004.9561185789</v>
      </c>
      <c r="P112" s="15" t="n">
        <f aca="false">N112*$E$2*(1+$I$103)/($F$103-$I$103)/(1+$F$103)^$N$3</f>
        <v>18015.9805215416</v>
      </c>
      <c r="Q112" s="15" t="n">
        <f aca="false">O112+P112</f>
        <v>28020.9366401205</v>
      </c>
      <c r="R112" s="15" t="n">
        <f aca="false">Q112-$G$2+$I$2</f>
        <v>23953.1366401205</v>
      </c>
      <c r="S112" s="42" t="n">
        <f aca="false">R112/$K$2</f>
        <v>184.02840073848</v>
      </c>
      <c r="T112" s="43" t="n">
        <f aca="false">S112-$M$2</f>
        <v>7.39963614106102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-0.0078125</v>
      </c>
      <c r="C113" s="25" t="n">
        <f aca="false">IF(T112&gt;0,D112,C112)</f>
        <v>-0.001953125</v>
      </c>
      <c r="D113" s="41" t="n">
        <f aca="false">(B113+C113)/2</f>
        <v>-0.0048828125</v>
      </c>
      <c r="E113" s="15" t="n">
        <f aca="false">$C$2*(1+IF(E$3&lt;=$O$2,$D113,$D113-($D113-$I$103)*MIN(E$3-$O$2,$Q$2)/$Q$2))</f>
        <v>3124.66796875</v>
      </c>
      <c r="F113" s="15" t="n">
        <f aca="false">E113*(1+IF(F$3&lt;=$O$2,$D113,$D113-($D113-$I$103)*MIN(F$3-$O$2,$Q$2)/$Q$2))</f>
        <v>3109.41080093384</v>
      </c>
      <c r="G113" s="15" t="n">
        <f aca="false">F113*(1+IF(G$3&lt;=$O$2,$D113,$D113-($D113-$I$103)*MIN(G$3-$O$2,$Q$2)/$Q$2))</f>
        <v>3094.2281310074</v>
      </c>
      <c r="H113" s="15" t="n">
        <f aca="false">G113*(1+IF(H$3&lt;=$O$2,$D113,$D113-($D113-$I$103)*MIN(H$3-$O$2,$Q$2)/$Q$2))</f>
        <v>3079.11959521147</v>
      </c>
      <c r="I113" s="15" t="n">
        <f aca="false">H113*(1+IF(I$3&lt;=$O$2,$D113,$D113-($D113-$I$103)*MIN(I$3-$O$2,$Q$2)/$Q$2))</f>
        <v>3064.08483156298</v>
      </c>
      <c r="J113" s="15" t="n">
        <f aca="false">I113*(1+IF(J$3&lt;=$O$2,$D113,$D113-($D113-$I$103)*MIN(J$3-$O$2,$Q$2)/$Q$2))</f>
        <v>3069.45847033633</v>
      </c>
      <c r="K113" s="15" t="n">
        <f aca="false">J113*(1+IF(K$3&lt;=$O$2,$D113,$D113-($D113-$I$103)*MIN(K$3-$O$2,$Q$2)/$Q$2))</f>
        <v>3095.21218610822</v>
      </c>
      <c r="L113" s="15" t="n">
        <f aca="false">K113*(1+IF(L$3&lt;=$O$2,$D113,$D113-($D113-$I$103)*MIN(L$3-$O$2,$Q$2)/$Q$2))</f>
        <v>3141.72355272735</v>
      </c>
      <c r="M113" s="15" t="n">
        <f aca="false">L113*(1+IF(M$3&lt;=$O$2,$D113,$D113-($D113-$I$103)*MIN(M$3-$O$2,$Q$2)/$Q$2))</f>
        <v>3209.78408455413</v>
      </c>
      <c r="N113" s="15" t="n">
        <f aca="false">M113*(1+IF(N$3&lt;=$O$2,$D113,$D113-($D113-$I$103)*MIN(N$3-$O$2,$Q$2)/$Q$2))</f>
        <v>3300.62097414702</v>
      </c>
      <c r="O113" s="15" t="n">
        <f aca="false">SUMPRODUCT(E113:N113,1/(1+$F$103)^$E$3:$N$3)*$E$2</f>
        <v>9876.17767090372</v>
      </c>
      <c r="P113" s="15" t="n">
        <f aca="false">N113*$E$2*(1+$I$103)/($F$103-$I$103)/(1+$F$103)^$N$3</f>
        <v>17650.3337217239</v>
      </c>
      <c r="Q113" s="15" t="n">
        <f aca="false">O113+P113</f>
        <v>27526.5113926276</v>
      </c>
      <c r="R113" s="15" t="n">
        <f aca="false">Q113-$G$2+$I$2</f>
        <v>23458.7113926276</v>
      </c>
      <c r="S113" s="42" t="n">
        <f aca="false">R113/$K$2</f>
        <v>180.229804798921</v>
      </c>
      <c r="T113" s="43" t="n">
        <f aca="false">S113-$M$2</f>
        <v>3.60104020150257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-0.0078125</v>
      </c>
      <c r="C114" s="25" t="n">
        <f aca="false">IF(T113&gt;0,D113,C113)</f>
        <v>-0.0048828125</v>
      </c>
      <c r="D114" s="41" t="n">
        <f aca="false">(B114+C114)/2</f>
        <v>-0.00634765625</v>
      </c>
      <c r="E114" s="15" t="n">
        <f aca="false">$C$2*(1+IF(E$3&lt;=$O$2,$D114,$D114-($D114-$I$103)*MIN(E$3-$O$2,$Q$2)/$Q$2))</f>
        <v>3120.068359375</v>
      </c>
      <c r="F114" s="15" t="n">
        <f aca="false">E114*(1+IF(F$3&lt;=$O$2,$D114,$D114-($D114-$I$103)*MIN(F$3-$O$2,$Q$2)/$Q$2))</f>
        <v>3100.26323795319</v>
      </c>
      <c r="G114" s="15" t="n">
        <f aca="false">F114*(1+IF(G$3&lt;=$O$2,$D114,$D114-($D114-$I$103)*MIN(G$3-$O$2,$Q$2)/$Q$2))</f>
        <v>3080.58383263415</v>
      </c>
      <c r="H114" s="15" t="n">
        <f aca="false">G114*(1+IF(H$3&lt;=$O$2,$D114,$D114-($D114-$I$103)*MIN(H$3-$O$2,$Q$2)/$Q$2))</f>
        <v>3061.02934541528</v>
      </c>
      <c r="I114" s="15" t="n">
        <f aca="false">H114*(1+IF(I$3&lt;=$O$2,$D114,$D114-($D114-$I$103)*MIN(I$3-$O$2,$Q$2)/$Q$2))</f>
        <v>3041.59898335942</v>
      </c>
      <c r="J114" s="15" t="n">
        <f aca="false">I114*(1+IF(J$3&lt;=$O$2,$D114,$D114-($D114-$I$103)*MIN(J$3-$O$2,$Q$2)/$Q$2))</f>
        <v>3043.36881376786</v>
      </c>
      <c r="K114" s="15" t="n">
        <f aca="false">J114*(1+IF(K$3&lt;=$O$2,$D114,$D114-($D114-$I$103)*MIN(K$3-$O$2,$Q$2)/$Q$2))</f>
        <v>3066.22879329665</v>
      </c>
      <c r="L114" s="15" t="n">
        <f aca="false">K114*(1+IF(L$3&lt;=$O$2,$D114,$D114-($D114-$I$103)*MIN(L$3-$O$2,$Q$2)/$Q$2))</f>
        <v>3110.50801166135</v>
      </c>
      <c r="M114" s="15" t="n">
        <f aca="false">L114*(1+IF(M$3&lt;=$O$2,$D114,$D114-($D114-$I$103)*MIN(M$3-$O$2,$Q$2)/$Q$2))</f>
        <v>3176.98102592118</v>
      </c>
      <c r="N114" s="15" t="n">
        <f aca="false">M114*(1+IF(N$3&lt;=$O$2,$D114,$D114-($D114-$I$103)*MIN(N$3-$O$2,$Q$2)/$Q$2))</f>
        <v>3266.88958895475</v>
      </c>
      <c r="O114" s="15" t="n">
        <f aca="false">SUMPRODUCT(E114:N114,1/(1+$F$103)^$E$3:$N$3)*$E$2</f>
        <v>9812.423999679</v>
      </c>
      <c r="P114" s="15" t="n">
        <f aca="false">N114*$E$2*(1+$I$103)/($F$103-$I$103)/(1+$F$103)^$N$3</f>
        <v>17469.9524509864</v>
      </c>
      <c r="Q114" s="15" t="n">
        <f aca="false">O114+P114</f>
        <v>27282.3764506654</v>
      </c>
      <c r="R114" s="15" t="n">
        <f aca="false">Q114-$G$2+$I$2</f>
        <v>23214.5764506654</v>
      </c>
      <c r="S114" s="42" t="n">
        <f aca="false">R114/$K$2</f>
        <v>178.354152202408</v>
      </c>
      <c r="T114" s="43" t="n">
        <f aca="false">S114-$M$2</f>
        <v>1.72538760498895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-0.0078125</v>
      </c>
      <c r="C115" s="25" t="n">
        <f aca="false">IF(T114&gt;0,D114,C114)</f>
        <v>-0.00634765625</v>
      </c>
      <c r="D115" s="41" t="n">
        <f aca="false">(B115+C115)/2</f>
        <v>-0.007080078125</v>
      </c>
      <c r="E115" s="15" t="n">
        <f aca="false">$C$2*(1+IF(E$3&lt;=$O$2,$D115,$D115-($D115-$I$103)*MIN(E$3-$O$2,$Q$2)/$Q$2))</f>
        <v>3117.7685546875</v>
      </c>
      <c r="F115" s="15" t="n">
        <f aca="false">E115*(1+IF(F$3&lt;=$O$2,$D115,$D115-($D115-$I$103)*MIN(F$3-$O$2,$Q$2)/$Q$2))</f>
        <v>3095.69450974464</v>
      </c>
      <c r="G115" s="15" t="n">
        <f aca="false">F115*(1+IF(G$3&lt;=$O$2,$D115,$D115-($D115-$I$103)*MIN(G$3-$O$2,$Q$2)/$Q$2))</f>
        <v>3073.77675076452</v>
      </c>
      <c r="H115" s="15" t="n">
        <f aca="false">G115*(1+IF(H$3&lt;=$O$2,$D115,$D115-($D115-$I$103)*MIN(H$3-$O$2,$Q$2)/$Q$2))</f>
        <v>3052.0141712303</v>
      </c>
      <c r="I115" s="15" t="n">
        <f aca="false">H115*(1+IF(I$3&lt;=$O$2,$D115,$D115-($D115-$I$103)*MIN(I$3-$O$2,$Q$2)/$Q$2))</f>
        <v>3030.40567245938</v>
      </c>
      <c r="J115" s="15" t="n">
        <f aca="false">I115*(1+IF(J$3&lt;=$O$2,$D115,$D115-($D115-$I$103)*MIN(J$3-$O$2,$Q$2)/$Q$2))</f>
        <v>3030.39336143634</v>
      </c>
      <c r="K115" s="15" t="n">
        <f aca="false">J115*(1+IF(K$3&lt;=$O$2,$D115,$D115-($D115-$I$103)*MIN(K$3-$O$2,$Q$2)/$Q$2))</f>
        <v>3051.82416123872</v>
      </c>
      <c r="L115" s="15" t="n">
        <f aca="false">K115*(1+IF(L$3&lt;=$O$2,$D115,$D115-($D115-$I$103)*MIN(L$3-$O$2,$Q$2)/$Q$2))</f>
        <v>3095.00127410242</v>
      </c>
      <c r="M115" s="15" t="n">
        <f aca="false">L115*(1+IF(M$3&lt;=$O$2,$D115,$D115-($D115-$I$103)*MIN(M$3-$O$2,$Q$2)/$Q$2))</f>
        <v>3160.68953278458</v>
      </c>
      <c r="N115" s="15" t="n">
        <f aca="false">M115*(1+IF(N$3&lt;=$O$2,$D115,$D115-($D115-$I$103)*MIN(N$3-$O$2,$Q$2)/$Q$2))</f>
        <v>3250.13704656238</v>
      </c>
      <c r="O115" s="15" t="n">
        <f aca="false">SUMPRODUCT(E115:N115,1/(1+$F$103)^$E$3:$N$3)*$E$2</f>
        <v>9780.7048976342</v>
      </c>
      <c r="P115" s="15" t="n">
        <f aca="false">N115*$E$2*(1+$I$103)/($F$103-$I$103)/(1+$F$103)^$N$3</f>
        <v>17380.3668953504</v>
      </c>
      <c r="Q115" s="15" t="n">
        <f aca="false">O115+P115</f>
        <v>27161.0717929846</v>
      </c>
      <c r="R115" s="15" t="n">
        <f aca="false">Q115-$G$2+$I$2</f>
        <v>23093.2717929846</v>
      </c>
      <c r="S115" s="42" t="n">
        <f aca="false">R115/$K$2</f>
        <v>177.422186485745</v>
      </c>
      <c r="T115" s="43" t="n">
        <f aca="false">S115-$M$2</f>
        <v>0.793421888326691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-0.0078125</v>
      </c>
      <c r="C116" s="25" t="n">
        <f aca="false">IF(T115&gt;0,D115,C115)</f>
        <v>-0.007080078125</v>
      </c>
      <c r="D116" s="41" t="n">
        <f aca="false">(B116+C116)/2</f>
        <v>-0.0074462890625</v>
      </c>
      <c r="E116" s="15" t="n">
        <f aca="false">$C$2*(1+IF(E$3&lt;=$O$2,$D116,$D116-($D116-$I$103)*MIN(E$3-$O$2,$Q$2)/$Q$2))</f>
        <v>3116.61865234375</v>
      </c>
      <c r="F116" s="15" t="n">
        <f aca="false">E116*(1+IF(F$3&lt;=$O$2,$D116,$D116-($D116-$I$103)*MIN(F$3-$O$2,$Q$2)/$Q$2))</f>
        <v>3093.41140896082</v>
      </c>
      <c r="G116" s="15" t="n">
        <f aca="false">F116*(1+IF(G$3&lt;=$O$2,$D116,$D116-($D116-$I$103)*MIN(G$3-$O$2,$Q$2)/$Q$2))</f>
        <v>3070.37697342046</v>
      </c>
      <c r="H116" s="15" t="n">
        <f aca="false">G116*(1+IF(H$3&lt;=$O$2,$D116,$D116-($D116-$I$103)*MIN(H$3-$O$2,$Q$2)/$Q$2))</f>
        <v>3047.51405894553</v>
      </c>
      <c r="I116" s="15" t="n">
        <f aca="false">H116*(1+IF(I$3&lt;=$O$2,$D116,$D116-($D116-$I$103)*MIN(I$3-$O$2,$Q$2)/$Q$2))</f>
        <v>3024.82138834059</v>
      </c>
      <c r="J116" s="15" t="n">
        <f aca="false">I116*(1+IF(J$3&lt;=$O$2,$D116,$D116-($D116-$I$103)*MIN(J$3-$O$2,$Q$2)/$Q$2))</f>
        <v>3023.92292186258</v>
      </c>
      <c r="K116" s="15" t="n">
        <f aca="false">J116*(1+IF(K$3&lt;=$O$2,$D116,$D116-($D116-$I$103)*MIN(K$3-$O$2,$Q$2)/$Q$2))</f>
        <v>3044.64352683072</v>
      </c>
      <c r="L116" s="15" t="n">
        <f aca="false">K116*(1+IF(L$3&lt;=$O$2,$D116,$D116-($D116-$I$103)*MIN(L$3-$O$2,$Q$2)/$Q$2))</f>
        <v>3087.27305559909</v>
      </c>
      <c r="M116" s="15" t="n">
        <f aca="false">L116*(1+IF(M$3&lt;=$O$2,$D116,$D116-($D116-$I$103)*MIN(M$3-$O$2,$Q$2)/$Q$2))</f>
        <v>3152.57117206048</v>
      </c>
      <c r="N116" s="15" t="n">
        <f aca="false">M116*(1+IF(N$3&lt;=$O$2,$D116,$D116-($D116-$I$103)*MIN(N$3-$O$2,$Q$2)/$Q$2))</f>
        <v>3241.78893622979</v>
      </c>
      <c r="O116" s="15" t="n">
        <f aca="false">SUMPRODUCT(E116:N116,1/(1+$F$103)^$E$3:$N$3)*$E$2</f>
        <v>9764.88463641661</v>
      </c>
      <c r="P116" s="15" t="n">
        <f aca="false">N116*$E$2*(1+$I$103)/($F$103-$I$103)/(1+$F$103)^$N$3</f>
        <v>17335.7247099949</v>
      </c>
      <c r="Q116" s="15" t="n">
        <f aca="false">O116+P116</f>
        <v>27100.6093464115</v>
      </c>
      <c r="R116" s="15" t="n">
        <f aca="false">Q116-$G$2+$I$2</f>
        <v>23032.8093464115</v>
      </c>
      <c r="S116" s="42" t="n">
        <f aca="false">R116/$K$2</f>
        <v>176.957662464748</v>
      </c>
      <c r="T116" s="43" t="n">
        <f aca="false">S116-$M$2</f>
        <v>0.328897867328948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-0.0078125</v>
      </c>
      <c r="C117" s="25" t="n">
        <f aca="false">IF(T116&gt;0,D116,C116)</f>
        <v>-0.0074462890625</v>
      </c>
      <c r="D117" s="41" t="n">
        <f aca="false">(B117+C117)/2</f>
        <v>-0.00762939453125</v>
      </c>
      <c r="E117" s="15" t="n">
        <f aca="false">$C$2*(1+IF(E$3&lt;=$O$2,$D117,$D117-($D117-$I$103)*MIN(E$3-$O$2,$Q$2)/$Q$2))</f>
        <v>3116.04370117188</v>
      </c>
      <c r="F117" s="15" t="n">
        <f aca="false">E117*(1+IF(F$3&lt;=$O$2,$D117,$D117-($D117-$I$103)*MIN(F$3-$O$2,$Q$2)/$Q$2))</f>
        <v>3092.27017439902</v>
      </c>
      <c r="G117" s="15" t="n">
        <f aca="false">F117*(1+IF(G$3&lt;=$O$2,$D117,$D117-($D117-$I$103)*MIN(G$3-$O$2,$Q$2)/$Q$2))</f>
        <v>3068.67802524131</v>
      </c>
      <c r="H117" s="15" t="n">
        <f aca="false">G117*(1+IF(H$3&lt;=$O$2,$D117,$D117-($D117-$I$103)*MIN(H$3-$O$2,$Q$2)/$Q$2))</f>
        <v>3045.26586989737</v>
      </c>
      <c r="I117" s="15" t="n">
        <f aca="false">H117*(1+IF(I$3&lt;=$O$2,$D117,$D117-($D117-$I$103)*MIN(I$3-$O$2,$Q$2)/$Q$2))</f>
        <v>3022.03233512337</v>
      </c>
      <c r="J117" s="15" t="n">
        <f aca="false">I117*(1+IF(J$3&lt;=$O$2,$D117,$D117-($D117-$I$103)*MIN(J$3-$O$2,$Q$2)/$Q$2))</f>
        <v>3020.69201656349</v>
      </c>
      <c r="K117" s="15" t="n">
        <f aca="false">J117*(1+IF(K$3&lt;=$O$2,$D117,$D117-($D117-$I$103)*MIN(K$3-$O$2,$Q$2)/$Q$2))</f>
        <v>3041.05861949993</v>
      </c>
      <c r="L117" s="15" t="n">
        <f aca="false">K117*(1+IF(L$3&lt;=$O$2,$D117,$D117-($D117-$I$103)*MIN(L$3-$O$2,$Q$2)/$Q$2))</f>
        <v>3083.41522045871</v>
      </c>
      <c r="M117" s="15" t="n">
        <f aca="false">L117*(1+IF(M$3&lt;=$O$2,$D117,$D117-($D117-$I$103)*MIN(M$3-$O$2,$Q$2)/$Q$2))</f>
        <v>3148.51882280579</v>
      </c>
      <c r="N117" s="15" t="n">
        <f aca="false">M117*(1+IF(N$3&lt;=$O$2,$D117,$D117-($D117-$I$103)*MIN(N$3-$O$2,$Q$2)/$Q$2))</f>
        <v>3237.62190549119</v>
      </c>
      <c r="O117" s="15" t="n">
        <f aca="false">SUMPRODUCT(E117:N117,1/(1+$F$103)^$E$3:$N$3)*$E$2</f>
        <v>9756.98431035648</v>
      </c>
      <c r="P117" s="15" t="n">
        <f aca="false">N117*$E$2*(1+$I$103)/($F$103-$I$103)/(1+$F$103)^$N$3</f>
        <v>17313.4411810042</v>
      </c>
      <c r="Q117" s="15" t="n">
        <f aca="false">O117+P117</f>
        <v>27070.4254913606</v>
      </c>
      <c r="R117" s="15" t="n">
        <f aca="false">Q117-$G$2+$I$2</f>
        <v>23002.6254913606</v>
      </c>
      <c r="S117" s="42" t="n">
        <f aca="false">R117/$K$2</f>
        <v>176.725764377387</v>
      </c>
      <c r="T117" s="43" t="n">
        <f aca="false">S117-$M$2</f>
        <v>0.09699977996803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-0.0078125</v>
      </c>
      <c r="C118" s="25" t="n">
        <f aca="false">IF(T117&gt;0,D117,C117)</f>
        <v>-0.00762939453125</v>
      </c>
      <c r="D118" s="41" t="n">
        <f aca="false">(B118+C118)/2</f>
        <v>-0.007720947265625</v>
      </c>
      <c r="E118" s="15" t="n">
        <f aca="false">$C$2*(1+IF(E$3&lt;=$O$2,$D118,$D118-($D118-$I$103)*MIN(E$3-$O$2,$Q$2)/$Q$2))</f>
        <v>3115.75622558594</v>
      </c>
      <c r="F118" s="15" t="n">
        <f aca="false">E118*(1+IF(F$3&lt;=$O$2,$D118,$D118-($D118-$I$103)*MIN(F$3-$O$2,$Q$2)/$Q$2))</f>
        <v>3091.69963607565</v>
      </c>
      <c r="G118" s="15" t="n">
        <f aca="false">F118*(1+IF(G$3&lt;=$O$2,$D118,$D118-($D118-$I$103)*MIN(G$3-$O$2,$Q$2)/$Q$2))</f>
        <v>3067.82878622435</v>
      </c>
      <c r="H118" s="15" t="n">
        <f aca="false">G118*(1+IF(H$3&lt;=$O$2,$D118,$D118-($D118-$I$103)*MIN(H$3-$O$2,$Q$2)/$Q$2))</f>
        <v>3044.14224194595</v>
      </c>
      <c r="I118" s="15" t="n">
        <f aca="false">H118*(1+IF(I$3&lt;=$O$2,$D118,$D118-($D118-$I$103)*MIN(I$3-$O$2,$Q$2)/$Q$2))</f>
        <v>3020.63858022682</v>
      </c>
      <c r="J118" s="15" t="n">
        <f aca="false">I118*(1+IF(J$3&lt;=$O$2,$D118,$D118-($D118-$I$103)*MIN(J$3-$O$2,$Q$2)/$Q$2))</f>
        <v>3019.07764164175</v>
      </c>
      <c r="K118" s="15" t="n">
        <f aca="false">J118*(1+IF(K$3&lt;=$O$2,$D118,$D118-($D118-$I$103)*MIN(K$3-$O$2,$Q$2)/$Q$2))</f>
        <v>3039.26751698797</v>
      </c>
      <c r="L118" s="15" t="n">
        <f aca="false">K118*(1+IF(L$3&lt;=$O$2,$D118,$D118-($D118-$I$103)*MIN(L$3-$O$2,$Q$2)/$Q$2))</f>
        <v>3081.48786973651</v>
      </c>
      <c r="M118" s="15" t="n">
        <f aca="false">L118*(1+IF(M$3&lt;=$O$2,$D118,$D118-($D118-$I$103)*MIN(M$3-$O$2,$Q$2)/$Q$2))</f>
        <v>3146.49435403896</v>
      </c>
      <c r="N118" s="15" t="n">
        <f aca="false">M118*(1+IF(N$3&lt;=$O$2,$D118,$D118-($D118-$I$103)*MIN(N$3-$O$2,$Q$2)/$Q$2))</f>
        <v>3235.54014425827</v>
      </c>
      <c r="O118" s="15" t="n">
        <f aca="false">SUMPRODUCT(E118:N118,1/(1+$F$103)^$E$3:$N$3)*$E$2</f>
        <v>9753.03659622863</v>
      </c>
      <c r="P118" s="15" t="n">
        <f aca="false">N118*$E$2*(1+$I$103)/($F$103-$I$103)/(1+$F$103)^$N$3</f>
        <v>17302.3087968929</v>
      </c>
      <c r="Q118" s="15" t="n">
        <f aca="false">O118+P118</f>
        <v>27055.3453931215</v>
      </c>
      <c r="R118" s="15" t="n">
        <f aca="false">Q118-$G$2+$I$2</f>
        <v>22987.5453931215</v>
      </c>
      <c r="S118" s="42" t="n">
        <f aca="false">R118/$K$2</f>
        <v>176.60990621636</v>
      </c>
      <c r="T118" s="43" t="n">
        <f aca="false">S118-$M$2</f>
        <v>-0.018858381058152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-0.007720947265625</v>
      </c>
      <c r="C119" s="25" t="n">
        <f aca="false">IF(T118&gt;0,D118,C118)</f>
        <v>-0.00762939453125</v>
      </c>
      <c r="D119" s="41" t="n">
        <f aca="false">(B119+C119)/2</f>
        <v>-0.0076751708984375</v>
      </c>
      <c r="E119" s="15" t="n">
        <f aca="false">$C$2*(1+IF(E$3&lt;=$O$2,$D119,$D119-($D119-$I$103)*MIN(E$3-$O$2,$Q$2)/$Q$2))</f>
        <v>3115.89996337891</v>
      </c>
      <c r="F119" s="15" t="n">
        <f aca="false">E119*(1+IF(F$3&lt;=$O$2,$D119,$D119-($D119-$I$103)*MIN(F$3-$O$2,$Q$2)/$Q$2))</f>
        <v>3091.98489865754</v>
      </c>
      <c r="G119" s="15" t="n">
        <f aca="false">F119*(1+IF(G$3&lt;=$O$2,$D119,$D119-($D119-$I$103)*MIN(G$3-$O$2,$Q$2)/$Q$2))</f>
        <v>3068.25338614495</v>
      </c>
      <c r="H119" s="15" t="n">
        <f aca="false">G119*(1+IF(H$3&lt;=$O$2,$D119,$D119-($D119-$I$103)*MIN(H$3-$O$2,$Q$2)/$Q$2))</f>
        <v>3044.70401704658</v>
      </c>
      <c r="I119" s="15" t="n">
        <f aca="false">H119*(1+IF(I$3&lt;=$O$2,$D119,$D119-($D119-$I$103)*MIN(I$3-$O$2,$Q$2)/$Q$2))</f>
        <v>3021.33539338059</v>
      </c>
      <c r="J119" s="15" t="n">
        <f aca="false">I119*(1+IF(J$3&lt;=$O$2,$D119,$D119-($D119-$I$103)*MIN(J$3-$O$2,$Q$2)/$Q$2))</f>
        <v>3019.88473931857</v>
      </c>
      <c r="K119" s="15" t="n">
        <f aca="false">J119*(1+IF(K$3&lt;=$O$2,$D119,$D119-($D119-$I$103)*MIN(K$3-$O$2,$Q$2)/$Q$2))</f>
        <v>3040.16295568694</v>
      </c>
      <c r="L119" s="15" t="n">
        <f aca="false">K119*(1+IF(L$3&lt;=$O$2,$D119,$D119-($D119-$I$103)*MIN(L$3-$O$2,$Q$2)/$Q$2))</f>
        <v>3082.45141457691</v>
      </c>
      <c r="M119" s="15" t="n">
        <f aca="false">L119*(1+IF(M$3&lt;=$O$2,$D119,$D119-($D119-$I$103)*MIN(M$3-$O$2,$Q$2)/$Q$2))</f>
        <v>3147.50644632433</v>
      </c>
      <c r="N119" s="15" t="n">
        <f aca="false">M119*(1+IF(N$3&lt;=$O$2,$D119,$D119-($D119-$I$103)*MIN(N$3-$O$2,$Q$2)/$Q$2))</f>
        <v>3236.58087875531</v>
      </c>
      <c r="O119" s="15" t="n">
        <f aca="false">SUMPRODUCT(E119:N119,1/(1+$F$103)^$E$3:$N$3)*$E$2</f>
        <v>9755.01024928385</v>
      </c>
      <c r="P119" s="15" t="n">
        <f aca="false">N119*$E$2*(1+$I$103)/($F$103-$I$103)/(1+$F$103)^$N$3</f>
        <v>17307.8742075632</v>
      </c>
      <c r="Q119" s="15" t="n">
        <f aca="false">O119+P119</f>
        <v>27062.8844568471</v>
      </c>
      <c r="R119" s="15" t="n">
        <f aca="false">Q119-$G$2+$I$2</f>
        <v>22995.0844568471</v>
      </c>
      <c r="S119" s="42" t="n">
        <f aca="false">R119/$K$2</f>
        <v>176.667827726238</v>
      </c>
      <c r="T119" s="43" t="n">
        <f aca="false">S119-$M$2</f>
        <v>0.0390631288190662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-0.007720947265625</v>
      </c>
      <c r="C120" s="25" t="n">
        <f aca="false">IF(T119&gt;0,D119,C119)</f>
        <v>-0.0076751708984375</v>
      </c>
      <c r="D120" s="41" t="n">
        <f aca="false">(B120+C120)/2</f>
        <v>-0.00769805908203125</v>
      </c>
      <c r="E120" s="15" t="n">
        <f aca="false">$C$2*(1+IF(E$3&lt;=$O$2,$D120,$D120-($D120-$I$103)*MIN(E$3-$O$2,$Q$2)/$Q$2))</f>
        <v>3115.82809448242</v>
      </c>
      <c r="F120" s="15" t="n">
        <f aca="false">E120*(1+IF(F$3&lt;=$O$2,$D120,$D120-($D120-$I$103)*MIN(F$3-$O$2,$Q$2)/$Q$2))</f>
        <v>3091.84226572164</v>
      </c>
      <c r="G120" s="15" t="n">
        <f aca="false">F120*(1+IF(G$3&lt;=$O$2,$D120,$D120-($D120-$I$103)*MIN(G$3-$O$2,$Q$2)/$Q$2))</f>
        <v>3068.0410812878</v>
      </c>
      <c r="H120" s="15" t="n">
        <f aca="false">G120*(1+IF(H$3&lt;=$O$2,$D120,$D120-($D120-$I$103)*MIN(H$3-$O$2,$Q$2)/$Q$2))</f>
        <v>3044.42311977794</v>
      </c>
      <c r="I120" s="15" t="n">
        <f aca="false">H120*(1+IF(I$3&lt;=$O$2,$D120,$D120-($D120-$I$103)*MIN(I$3-$O$2,$Q$2)/$Q$2))</f>
        <v>3020.98697073119</v>
      </c>
      <c r="J120" s="15" t="n">
        <f aca="false">I120*(1+IF(J$3&lt;=$O$2,$D120,$D120-($D120-$I$103)*MIN(J$3-$O$2,$Q$2)/$Q$2))</f>
        <v>3019.48116803614</v>
      </c>
      <c r="K120" s="15" t="n">
        <f aca="false">J120*(1+IF(K$3&lt;=$O$2,$D120,$D120-($D120-$I$103)*MIN(K$3-$O$2,$Q$2)/$Q$2))</f>
        <v>3039.71520820114</v>
      </c>
      <c r="L120" s="15" t="n">
        <f aca="false">K120*(1+IF(L$3&lt;=$O$2,$D120,$D120-($D120-$I$103)*MIN(L$3-$O$2,$Q$2)/$Q$2))</f>
        <v>3081.96960953028</v>
      </c>
      <c r="M120" s="15" t="n">
        <f aca="false">L120*(1+IF(M$3&lt;=$O$2,$D120,$D120-($D120-$I$103)*MIN(M$3-$O$2,$Q$2)/$Q$2))</f>
        <v>3147.00036466141</v>
      </c>
      <c r="N120" s="15" t="n">
        <f aca="false">M120*(1+IF(N$3&lt;=$O$2,$D120,$D120-($D120-$I$103)*MIN(N$3-$O$2,$Q$2)/$Q$2))</f>
        <v>3236.06047498133</v>
      </c>
      <c r="O120" s="15" t="n">
        <f aca="false">SUMPRODUCT(E120:N120,1/(1+$F$103)^$E$3:$N$3)*$E$2</f>
        <v>9754.02337175905</v>
      </c>
      <c r="P120" s="15" t="n">
        <f aca="false">N120*$E$2*(1+$I$103)/($F$103-$I$103)/(1+$F$103)^$N$3</f>
        <v>17305.0913069052</v>
      </c>
      <c r="Q120" s="15" t="n">
        <f aca="false">O120+P120</f>
        <v>27059.1146786643</v>
      </c>
      <c r="R120" s="15" t="n">
        <f aca="false">Q120-$G$2+$I$2</f>
        <v>22991.3146786643</v>
      </c>
      <c r="S120" s="42" t="n">
        <f aca="false">R120/$K$2</f>
        <v>176.638865078859</v>
      </c>
      <c r="T120" s="43" t="n">
        <f aca="false">S120-$M$2</f>
        <v>0.0101004814403609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-0.007720947265625</v>
      </c>
      <c r="C121" s="25" t="n">
        <f aca="false">IF(T120&gt;0,D120,C120)</f>
        <v>-0.00769805908203125</v>
      </c>
      <c r="D121" s="41" t="n">
        <f aca="false">(B121+C121)/2</f>
        <v>-0.00770950317382813</v>
      </c>
      <c r="E121" s="15" t="n">
        <f aca="false">$C$2*(1+IF(E$3&lt;=$O$2,$D121,$D121-($D121-$I$103)*MIN(E$3-$O$2,$Q$2)/$Q$2))</f>
        <v>3115.79216003418</v>
      </c>
      <c r="F121" s="15" t="n">
        <f aca="false">E121*(1+IF(F$3&lt;=$O$2,$D121,$D121-($D121-$I$103)*MIN(F$3-$O$2,$Q$2)/$Q$2))</f>
        <v>3091.77095048741</v>
      </c>
      <c r="G121" s="15" t="n">
        <f aca="false">F121*(1+IF(G$3&lt;=$O$2,$D121,$D121-($D121-$I$103)*MIN(G$3-$O$2,$Q$2)/$Q$2))</f>
        <v>3067.93493253188</v>
      </c>
      <c r="H121" s="15" t="n">
        <f aca="false">G121*(1+IF(H$3&lt;=$O$2,$D121,$D121-($D121-$I$103)*MIN(H$3-$O$2,$Q$2)/$Q$2))</f>
        <v>3044.28267843242</v>
      </c>
      <c r="I121" s="15" t="n">
        <f aca="false">H121*(1+IF(I$3&lt;=$O$2,$D121,$D121-($D121-$I$103)*MIN(I$3-$O$2,$Q$2)/$Q$2))</f>
        <v>3020.81277146102</v>
      </c>
      <c r="J121" s="15" t="n">
        <f aca="false">I121*(1+IF(J$3&lt;=$O$2,$D121,$D121-($D121-$I$103)*MIN(J$3-$O$2,$Q$2)/$Q$2))</f>
        <v>3019.27939922819</v>
      </c>
      <c r="K121" s="15" t="n">
        <f aca="false">J121*(1+IF(K$3&lt;=$O$2,$D121,$D121-($D121-$I$103)*MIN(K$3-$O$2,$Q$2)/$Q$2))</f>
        <v>3039.49135556084</v>
      </c>
      <c r="L121" s="15" t="n">
        <f aca="false">K121*(1+IF(L$3&lt;=$O$2,$D121,$D121-($D121-$I$103)*MIN(L$3-$O$2,$Q$2)/$Q$2))</f>
        <v>3081.72873147726</v>
      </c>
      <c r="M121" s="15" t="n">
        <f aca="false">L121*(1+IF(M$3&lt;=$O$2,$D121,$D121-($D121-$I$103)*MIN(M$3-$O$2,$Q$2)/$Q$2))</f>
        <v>3146.74735047066</v>
      </c>
      <c r="N121" s="15" t="n">
        <f aca="false">M121*(1+IF(N$3&lt;=$O$2,$D121,$D121-($D121-$I$103)*MIN(N$3-$O$2,$Q$2)/$Q$2))</f>
        <v>3235.80030048898</v>
      </c>
      <c r="O121" s="15" t="n">
        <f aca="false">SUMPRODUCT(E121:N121,1/(1+$F$103)^$E$3:$N$3)*$E$2</f>
        <v>9753.52997124516</v>
      </c>
      <c r="P121" s="15" t="n">
        <f aca="false">N121*$E$2*(1+$I$103)/($F$103-$I$103)/(1+$F$103)^$N$3</f>
        <v>17303.7000030713</v>
      </c>
      <c r="Q121" s="15" t="n">
        <f aca="false">O121+P121</f>
        <v>27057.2299743164</v>
      </c>
      <c r="R121" s="15" t="n">
        <f aca="false">Q121-$G$2+$I$2</f>
        <v>22989.4299743164</v>
      </c>
      <c r="S121" s="42" t="n">
        <f aca="false">R121/$K$2</f>
        <v>176.624385174527</v>
      </c>
      <c r="T121" s="43" t="n">
        <f aca="false">S121-$M$2</f>
        <v>-0.00437942289156013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-0.00770950317382813</v>
      </c>
      <c r="C122" s="25" t="n">
        <f aca="false">IF(T121&gt;0,D121,C121)</f>
        <v>-0.00769805908203125</v>
      </c>
      <c r="D122" s="41" t="n">
        <f aca="false">(B122+C122)/2</f>
        <v>-0.00770378112792969</v>
      </c>
      <c r="E122" s="15" t="n">
        <f aca="false">$C$2*(1+IF(E$3&lt;=$O$2,$D122,$D122-($D122-$I$103)*MIN(E$3-$O$2,$Q$2)/$Q$2))</f>
        <v>3115.8101272583</v>
      </c>
      <c r="F122" s="15" t="n">
        <f aca="false">E122*(1+IF(F$3&lt;=$O$2,$D122,$D122-($D122-$I$103)*MIN(F$3-$O$2,$Q$2)/$Q$2))</f>
        <v>3091.80660800172</v>
      </c>
      <c r="G122" s="15" t="n">
        <f aca="false">F122*(1+IF(G$3&lt;=$O$2,$D122,$D122-($D122-$I$103)*MIN(G$3-$O$2,$Q$2)/$Q$2))</f>
        <v>3067.98800660378</v>
      </c>
      <c r="H122" s="15" t="n">
        <f aca="false">G122*(1+IF(H$3&lt;=$O$2,$D122,$D122-($D122-$I$103)*MIN(H$3-$O$2,$Q$2)/$Q$2))</f>
        <v>3044.3528984978</v>
      </c>
      <c r="I122" s="15" t="n">
        <f aca="false">H122*(1+IF(I$3&lt;=$O$2,$D122,$D122-($D122-$I$103)*MIN(I$3-$O$2,$Q$2)/$Q$2))</f>
        <v>3020.89987009159</v>
      </c>
      <c r="J122" s="15" t="n">
        <f aca="false">I122*(1+IF(J$3&lt;=$O$2,$D122,$D122-($D122-$I$103)*MIN(J$3-$O$2,$Q$2)/$Q$2))</f>
        <v>3019.38028222945</v>
      </c>
      <c r="K122" s="15" t="n">
        <f aca="false">J122*(1+IF(K$3&lt;=$O$2,$D122,$D122-($D122-$I$103)*MIN(K$3-$O$2,$Q$2)/$Q$2))</f>
        <v>3039.60328012251</v>
      </c>
      <c r="L122" s="15" t="n">
        <f aca="false">K122*(1+IF(L$3&lt;=$O$2,$D122,$D122-($D122-$I$103)*MIN(L$3-$O$2,$Q$2)/$Q$2))</f>
        <v>3081.84916846467</v>
      </c>
      <c r="M122" s="15" t="n">
        <f aca="false">L122*(1+IF(M$3&lt;=$O$2,$D122,$D122-($D122-$I$103)*MIN(M$3-$O$2,$Q$2)/$Q$2))</f>
        <v>3146.87385534609</v>
      </c>
      <c r="N122" s="15" t="n">
        <f aca="false">M122*(1+IF(N$3&lt;=$O$2,$D122,$D122-($D122-$I$103)*MIN(N$3-$O$2,$Q$2)/$Q$2))</f>
        <v>3235.93038545238</v>
      </c>
      <c r="O122" s="15" t="n">
        <f aca="false">SUMPRODUCT(E122:N122,1/(1+$F$103)^$E$3:$N$3)*$E$2</f>
        <v>9753.77666831486</v>
      </c>
      <c r="P122" s="15" t="n">
        <f aca="false">N122*$E$2*(1+$I$103)/($F$103-$I$103)/(1+$F$103)^$N$3</f>
        <v>17304.3956427809</v>
      </c>
      <c r="Q122" s="15" t="n">
        <f aca="false">O122+P122</f>
        <v>27058.1723110958</v>
      </c>
      <c r="R122" s="15" t="n">
        <f aca="false">Q122-$G$2+$I$2</f>
        <v>22990.3723110958</v>
      </c>
      <c r="S122" s="42" t="n">
        <f aca="false">R122/$K$2</f>
        <v>176.631625008419</v>
      </c>
      <c r="T122" s="43" t="n">
        <f aca="false">S122-$M$2</f>
        <v>0.00286041100028456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-0.00770950317382813</v>
      </c>
      <c r="C123" s="25" t="n">
        <f aca="false">IF(T122&gt;0,D122,C122)</f>
        <v>-0.00770378112792969</v>
      </c>
      <c r="D123" s="41" t="n">
        <f aca="false">(B123+C123)/2</f>
        <v>-0.00770664215087891</v>
      </c>
      <c r="E123" s="15" t="n">
        <f aca="false">$C$2*(1+IF(E$3&lt;=$O$2,$D123,$D123-($D123-$I$103)*MIN(E$3-$O$2,$Q$2)/$Q$2))</f>
        <v>3115.80114364624</v>
      </c>
      <c r="F123" s="15" t="n">
        <f aca="false">E123*(1+IF(F$3&lt;=$O$2,$D123,$D123-($D123-$I$103)*MIN(F$3-$O$2,$Q$2)/$Q$2))</f>
        <v>3091.78877921886</v>
      </c>
      <c r="G123" s="15" t="n">
        <f aca="false">F123*(1+IF(G$3&lt;=$O$2,$D123,$D123-($D123-$I$103)*MIN(G$3-$O$2,$Q$2)/$Q$2))</f>
        <v>3067.96146949132</v>
      </c>
      <c r="H123" s="15" t="n">
        <f aca="false">G123*(1+IF(H$3&lt;=$O$2,$D123,$D123-($D123-$I$103)*MIN(H$3-$O$2,$Q$2)/$Q$2))</f>
        <v>3044.31778831326</v>
      </c>
      <c r="I123" s="15" t="n">
        <f aca="false">H123*(1+IF(I$3&lt;=$O$2,$D123,$D123-($D123-$I$103)*MIN(I$3-$O$2,$Q$2)/$Q$2))</f>
        <v>3020.85632052518</v>
      </c>
      <c r="J123" s="15" t="n">
        <f aca="false">I123*(1+IF(J$3&lt;=$O$2,$D123,$D123-($D123-$I$103)*MIN(J$3-$O$2,$Q$2)/$Q$2))</f>
        <v>3019.32984037814</v>
      </c>
      <c r="K123" s="15" t="n">
        <f aca="false">J123*(1+IF(K$3&lt;=$O$2,$D123,$D123-($D123-$I$103)*MIN(K$3-$O$2,$Q$2)/$Q$2))</f>
        <v>3039.54731740207</v>
      </c>
      <c r="L123" s="15" t="n">
        <f aca="false">K123*(1+IF(L$3&lt;=$O$2,$D123,$D123-($D123-$I$103)*MIN(L$3-$O$2,$Q$2)/$Q$2))</f>
        <v>3081.7889494612</v>
      </c>
      <c r="M123" s="15" t="n">
        <f aca="false">L123*(1+IF(M$3&lt;=$O$2,$D123,$D123-($D123-$I$103)*MIN(M$3-$O$2,$Q$2)/$Q$2))</f>
        <v>3146.8106023534</v>
      </c>
      <c r="N123" s="15" t="n">
        <f aca="false">M123*(1+IF(N$3&lt;=$O$2,$D123,$D123-($D123-$I$103)*MIN(N$3-$O$2,$Q$2)/$Q$2))</f>
        <v>3235.8653424</v>
      </c>
      <c r="O123" s="15" t="n">
        <f aca="false">SUMPRODUCT(E123:N123,1/(1+$F$103)^$E$3:$N$3)*$E$2</f>
        <v>9753.65331898321</v>
      </c>
      <c r="P123" s="15" t="n">
        <f aca="false">N123*$E$2*(1+$I$103)/($F$103-$I$103)/(1+$F$103)^$N$3</f>
        <v>17304.0478198743</v>
      </c>
      <c r="Q123" s="15" t="n">
        <f aca="false">O123+P123</f>
        <v>27057.7011388575</v>
      </c>
      <c r="R123" s="15" t="n">
        <f aca="false">Q123-$G$2+$I$2</f>
        <v>22989.9011388575</v>
      </c>
      <c r="S123" s="42" t="n">
        <f aca="false">R123/$K$2</f>
        <v>176.628005061905</v>
      </c>
      <c r="T123" s="43" t="n">
        <f aca="false">S123-$M$2</f>
        <v>-0.000759535513708443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-0.00770664215087891</v>
      </c>
      <c r="C124" s="25" t="n">
        <f aca="false">IF(T123&gt;0,D123,C123)</f>
        <v>-0.00770378112792969</v>
      </c>
      <c r="D124" s="41" t="n">
        <f aca="false">(B124+C124)/2</f>
        <v>-0.0077052116394043</v>
      </c>
      <c r="E124" s="15" t="n">
        <f aca="false">$C$2*(1+IF(E$3&lt;=$O$2,$D124,$D124-($D124-$I$103)*MIN(E$3-$O$2,$Q$2)/$Q$2))</f>
        <v>3115.80563545227</v>
      </c>
      <c r="F124" s="15" t="n">
        <f aca="false">E124*(1+IF(F$3&lt;=$O$2,$D124,$D124-($D124-$I$103)*MIN(F$3-$O$2,$Q$2)/$Q$2))</f>
        <v>3091.79769360386</v>
      </c>
      <c r="G124" s="15" t="n">
        <f aca="false">F124*(1+IF(G$3&lt;=$O$2,$D124,$D124-($D124-$I$103)*MIN(G$3-$O$2,$Q$2)/$Q$2))</f>
        <v>3067.97473802842</v>
      </c>
      <c r="H124" s="15" t="n">
        <f aca="false">G124*(1+IF(H$3&lt;=$O$2,$D124,$D124-($D124-$I$103)*MIN(H$3-$O$2,$Q$2)/$Q$2))</f>
        <v>3044.33534336757</v>
      </c>
      <c r="I124" s="15" t="n">
        <f aca="false">H124*(1+IF(I$3&lt;=$O$2,$D124,$D124-($D124-$I$103)*MIN(I$3-$O$2,$Q$2)/$Q$2))</f>
        <v>3020.8780952456</v>
      </c>
      <c r="J124" s="15" t="n">
        <f aca="false">I124*(1+IF(J$3&lt;=$O$2,$D124,$D124-($D124-$I$103)*MIN(J$3-$O$2,$Q$2)/$Q$2))</f>
        <v>3019.35506121613</v>
      </c>
      <c r="K124" s="15" t="n">
        <f aca="false">J124*(1+IF(K$3&lt;=$O$2,$D124,$D124-($D124-$I$103)*MIN(K$3-$O$2,$Q$2)/$Q$2))</f>
        <v>3039.57529865239</v>
      </c>
      <c r="L124" s="15" t="n">
        <f aca="false">K124*(1+IF(L$3&lt;=$O$2,$D124,$D124-($D124-$I$103)*MIN(L$3-$O$2,$Q$2)/$Q$2))</f>
        <v>3081.81905883549</v>
      </c>
      <c r="M124" s="15" t="n">
        <f aca="false">L124*(1+IF(M$3&lt;=$O$2,$D124,$D124-($D124-$I$103)*MIN(M$3-$O$2,$Q$2)/$Q$2))</f>
        <v>3146.842228711</v>
      </c>
      <c r="N124" s="15" t="n">
        <f aca="false">M124*(1+IF(N$3&lt;=$O$2,$D124,$D124-($D124-$I$103)*MIN(N$3-$O$2,$Q$2)/$Q$2))</f>
        <v>3235.89786378352</v>
      </c>
      <c r="O124" s="15" t="n">
        <f aca="false">SUMPRODUCT(E124:N124,1/(1+$F$103)^$E$3:$N$3)*$E$2</f>
        <v>9753.71499344983</v>
      </c>
      <c r="P124" s="15" t="n">
        <f aca="false">N124*$E$2*(1+$I$103)/($F$103-$I$103)/(1+$F$103)^$N$3</f>
        <v>17304.2217305647</v>
      </c>
      <c r="Q124" s="15" t="n">
        <f aca="false">O124+P124</f>
        <v>27057.9367240145</v>
      </c>
      <c r="R124" s="15" t="n">
        <f aca="false">Q124-$G$2+$I$2</f>
        <v>22990.1367240145</v>
      </c>
      <c r="S124" s="42" t="n">
        <f aca="false">R124/$K$2</f>
        <v>176.62981502777</v>
      </c>
      <c r="T124" s="43" t="n">
        <f aca="false">S124-$M$2</f>
        <v>0.00105043035122776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-0.00770664215087891</v>
      </c>
      <c r="C125" s="25" t="n">
        <f aca="false">IF(T124&gt;0,D124,C124)</f>
        <v>-0.0077052116394043</v>
      </c>
      <c r="D125" s="41" t="n">
        <f aca="false">(B125+C125)/2</f>
        <v>-0.0077059268951416</v>
      </c>
      <c r="E125" s="15" t="n">
        <f aca="false">$C$2*(1+IF(E$3&lt;=$O$2,$D125,$D125-($D125-$I$103)*MIN(E$3-$O$2,$Q$2)/$Q$2))</f>
        <v>3115.80338954926</v>
      </c>
      <c r="F125" s="15" t="n">
        <f aca="false">E125*(1+IF(F$3&lt;=$O$2,$D125,$D125-($D125-$I$103)*MIN(F$3-$O$2,$Q$2)/$Q$2))</f>
        <v>3091.79323640975</v>
      </c>
      <c r="G125" s="15" t="n">
        <f aca="false">F125*(1+IF(G$3&lt;=$O$2,$D125,$D125-($D125-$I$103)*MIN(G$3-$O$2,$Q$2)/$Q$2))</f>
        <v>3067.96810375509</v>
      </c>
      <c r="H125" s="15" t="n">
        <f aca="false">G125*(1+IF(H$3&lt;=$O$2,$D125,$D125-($D125-$I$103)*MIN(H$3-$O$2,$Q$2)/$Q$2))</f>
        <v>3044.32656583092</v>
      </c>
      <c r="I125" s="15" t="n">
        <f aca="false">H125*(1+IF(I$3&lt;=$O$2,$D125,$D125-($D125-$I$103)*MIN(I$3-$O$2,$Q$2)/$Q$2))</f>
        <v>3020.86720786969</v>
      </c>
      <c r="J125" s="15" t="n">
        <f aca="false">I125*(1+IF(J$3&lt;=$O$2,$D125,$D125-($D125-$I$103)*MIN(J$3-$O$2,$Q$2)/$Q$2))</f>
        <v>3019.34245077522</v>
      </c>
      <c r="K125" s="15" t="n">
        <f aca="false">J125*(1+IF(K$3&lt;=$O$2,$D125,$D125-($D125-$I$103)*MIN(K$3-$O$2,$Q$2)/$Q$2))</f>
        <v>3039.56130799975</v>
      </c>
      <c r="L125" s="15" t="n">
        <f aca="false">K125*(1+IF(L$3&lt;=$O$2,$D125,$D125-($D125-$I$103)*MIN(L$3-$O$2,$Q$2)/$Q$2))</f>
        <v>3081.80400411649</v>
      </c>
      <c r="M125" s="15" t="n">
        <f aca="false">L125*(1+IF(M$3&lt;=$O$2,$D125,$D125-($D125-$I$103)*MIN(M$3-$O$2,$Q$2)/$Q$2))</f>
        <v>3146.82641549751</v>
      </c>
      <c r="N125" s="15" t="n">
        <f aca="false">M125*(1+IF(N$3&lt;=$O$2,$D125,$D125-($D125-$I$103)*MIN(N$3-$O$2,$Q$2)/$Q$2))</f>
        <v>3235.88160305609</v>
      </c>
      <c r="O125" s="15" t="n">
        <f aca="false">SUMPRODUCT(E125:N125,1/(1+$F$103)^$E$3:$N$3)*$E$2</f>
        <v>9753.68415616672</v>
      </c>
      <c r="P125" s="15" t="n">
        <f aca="false">N125*$E$2*(1+$I$103)/($F$103-$I$103)/(1+$F$103)^$N$3</f>
        <v>17304.1347750288</v>
      </c>
      <c r="Q125" s="15" t="n">
        <f aca="false">O125+P125</f>
        <v>27057.8189311955</v>
      </c>
      <c r="R125" s="15" t="n">
        <f aca="false">Q125-$G$2+$I$2</f>
        <v>22990.0189311955</v>
      </c>
      <c r="S125" s="42" t="n">
        <f aca="false">R125/$K$2</f>
        <v>176.628910042989</v>
      </c>
      <c r="T125" s="43" t="n">
        <f aca="false">S125-$M$2</f>
        <v>0.000145445570694847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-0.00770664215087891</v>
      </c>
      <c r="C126" s="25" t="n">
        <f aca="false">IF(T125&gt;0,D125,C125)</f>
        <v>-0.0077059268951416</v>
      </c>
      <c r="D126" s="41" t="n">
        <f aca="false">(B126+C126)/2</f>
        <v>-0.00770628452301025</v>
      </c>
      <c r="E126" s="15" t="n">
        <f aca="false">$C$2*(1+IF(E$3&lt;=$O$2,$D126,$D126-($D126-$I$103)*MIN(E$3-$O$2,$Q$2)/$Q$2))</f>
        <v>3115.80226659775</v>
      </c>
      <c r="F126" s="15" t="n">
        <f aca="false">E126*(1+IF(F$3&lt;=$O$2,$D126,$D126-($D126-$I$103)*MIN(F$3-$O$2,$Q$2)/$Q$2))</f>
        <v>3091.79100781391</v>
      </c>
      <c r="G126" s="15" t="n">
        <f aca="false">F126*(1+IF(G$3&lt;=$O$2,$D126,$D126-($D126-$I$103)*MIN(G$3-$O$2,$Q$2)/$Q$2))</f>
        <v>3067.96478662201</v>
      </c>
      <c r="H126" s="15" t="n">
        <f aca="false">G126*(1+IF(H$3&lt;=$O$2,$D126,$D126-($D126-$I$103)*MIN(H$3-$O$2,$Q$2)/$Q$2))</f>
        <v>3044.32217706972</v>
      </c>
      <c r="I126" s="15" t="n">
        <f aca="false">H126*(1+IF(I$3&lt;=$O$2,$D126,$D126-($D126-$I$103)*MIN(I$3-$O$2,$Q$2)/$Q$2))</f>
        <v>3020.86176419351</v>
      </c>
      <c r="J126" s="15" t="n">
        <f aca="false">I126*(1+IF(J$3&lt;=$O$2,$D126,$D126-($D126-$I$103)*MIN(J$3-$O$2,$Q$2)/$Q$2))</f>
        <v>3019.3361455712</v>
      </c>
      <c r="K126" s="15" t="n">
        <f aca="false">J126*(1+IF(K$3&lt;=$O$2,$D126,$D126-($D126-$I$103)*MIN(K$3-$O$2,$Q$2)/$Q$2))</f>
        <v>3039.55431269404</v>
      </c>
      <c r="L126" s="15" t="n">
        <f aca="false">K126*(1+IF(L$3&lt;=$O$2,$D126,$D126-($D126-$I$103)*MIN(L$3-$O$2,$Q$2)/$Q$2))</f>
        <v>3081.79647678088</v>
      </c>
      <c r="M126" s="15" t="n">
        <f aca="false">L126*(1+IF(M$3&lt;=$O$2,$D126,$D126-($D126-$I$103)*MIN(M$3-$O$2,$Q$2)/$Q$2))</f>
        <v>3146.81850891678</v>
      </c>
      <c r="N126" s="15" t="n">
        <f aca="false">M126*(1+IF(N$3&lt;=$O$2,$D126,$D126-($D126-$I$103)*MIN(N$3-$O$2,$Q$2)/$Q$2))</f>
        <v>3235.87347271913</v>
      </c>
      <c r="O126" s="15" t="n">
        <f aca="false">SUMPRODUCT(E126:N126,1/(1+$F$103)^$E$3:$N$3)*$E$2</f>
        <v>9753.66873756251</v>
      </c>
      <c r="P126" s="15" t="n">
        <f aca="false">N126*$E$2*(1+$I$103)/($F$103-$I$103)/(1+$F$103)^$N$3</f>
        <v>17304.0912974039</v>
      </c>
      <c r="Q126" s="15" t="n">
        <f aca="false">O126+P126</f>
        <v>27057.7600349664</v>
      </c>
      <c r="R126" s="15" t="n">
        <f aca="false">Q126-$G$2+$I$2</f>
        <v>22989.9600349664</v>
      </c>
      <c r="S126" s="42" t="n">
        <f aca="false">R126/$K$2</f>
        <v>176.628457551985</v>
      </c>
      <c r="T126" s="43" t="n">
        <f aca="false">S126-$M$2</f>
        <v>-0.000307045433459052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-0.00770628452301025</v>
      </c>
      <c r="C127" s="25" t="n">
        <f aca="false">IF(T126&gt;0,D126,C126)</f>
        <v>-0.0077059268951416</v>
      </c>
      <c r="D127" s="41" t="n">
        <f aca="false">(B127+C127)/2</f>
        <v>-0.00770610570907593</v>
      </c>
      <c r="E127" s="15" t="n">
        <f aca="false">$C$2*(1+IF(E$3&lt;=$O$2,$D127,$D127-($D127-$I$103)*MIN(E$3-$O$2,$Q$2)/$Q$2))</f>
        <v>3115.8028280735</v>
      </c>
      <c r="F127" s="15" t="n">
        <f aca="false">E127*(1+IF(F$3&lt;=$O$2,$D127,$D127-($D127-$I$103)*MIN(F$3-$O$2,$Q$2)/$Q$2))</f>
        <v>3091.79212211173</v>
      </c>
      <c r="G127" s="15" t="n">
        <f aca="false">F127*(1+IF(G$3&lt;=$O$2,$D127,$D127-($D127-$I$103)*MIN(G$3-$O$2,$Q$2)/$Q$2))</f>
        <v>3067.96644518825</v>
      </c>
      <c r="H127" s="15" t="n">
        <f aca="false">G127*(1+IF(H$3&lt;=$O$2,$D127,$D127-($D127-$I$103)*MIN(H$3-$O$2,$Q$2)/$Q$2))</f>
        <v>3044.32437144973</v>
      </c>
      <c r="I127" s="15" t="n">
        <f aca="false">H127*(1+IF(I$3&lt;=$O$2,$D127,$D127-($D127-$I$103)*MIN(I$3-$O$2,$Q$2)/$Q$2))</f>
        <v>3020.86448603062</v>
      </c>
      <c r="J127" s="15" t="n">
        <f aca="false">I127*(1+IF(J$3&lt;=$O$2,$D127,$D127-($D127-$I$103)*MIN(J$3-$O$2,$Q$2)/$Q$2))</f>
        <v>3019.33929817184</v>
      </c>
      <c r="K127" s="15" t="n">
        <f aca="false">J127*(1+IF(K$3&lt;=$O$2,$D127,$D127-($D127-$I$103)*MIN(K$3-$O$2,$Q$2)/$Q$2))</f>
        <v>3039.55781034518</v>
      </c>
      <c r="L127" s="15" t="n">
        <f aca="false">K127*(1+IF(L$3&lt;=$O$2,$D127,$D127-($D127-$I$103)*MIN(L$3-$O$2,$Q$2)/$Q$2))</f>
        <v>3081.80024044669</v>
      </c>
      <c r="M127" s="15" t="n">
        <f aca="false">L127*(1+IF(M$3&lt;=$O$2,$D127,$D127-($D127-$I$103)*MIN(M$3-$O$2,$Q$2)/$Q$2))</f>
        <v>3146.82246220498</v>
      </c>
      <c r="N127" s="15" t="n">
        <f aca="false">M127*(1+IF(N$3&lt;=$O$2,$D127,$D127-($D127-$I$103)*MIN(N$3-$O$2,$Q$2)/$Q$2))</f>
        <v>3235.87753788538</v>
      </c>
      <c r="O127" s="15" t="n">
        <f aca="false">SUMPRODUCT(E127:N127,1/(1+$F$103)^$E$3:$N$3)*$E$2</f>
        <v>9753.6764468615</v>
      </c>
      <c r="P127" s="15" t="n">
        <f aca="false">N127*$E$2*(1+$I$103)/($F$103-$I$103)/(1+$F$103)^$N$3</f>
        <v>17304.1130362044</v>
      </c>
      <c r="Q127" s="15" t="n">
        <f aca="false">O127+P127</f>
        <v>27057.7894830659</v>
      </c>
      <c r="R127" s="15" t="n">
        <f aca="false">Q127-$G$2+$I$2</f>
        <v>22989.9894830659</v>
      </c>
      <c r="S127" s="42" t="n">
        <f aca="false">R127/$K$2</f>
        <v>176.628683797372</v>
      </c>
      <c r="T127" s="43" t="n">
        <f aca="false">S127-$M$2</f>
        <v>-8.08000468168757E-005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-0.00770610570907593</v>
      </c>
      <c r="C128" s="25" t="n">
        <f aca="false">IF(T127&gt;0,D127,C127)</f>
        <v>-0.0077059268951416</v>
      </c>
      <c r="D128" s="41" t="n">
        <f aca="false">(B128+C128)/2</f>
        <v>-0.00770601630210877</v>
      </c>
      <c r="E128" s="15" t="n">
        <f aca="false">$C$2*(1+IF(E$3&lt;=$O$2,$D128,$D128-($D128-$I$103)*MIN(E$3-$O$2,$Q$2)/$Q$2))</f>
        <v>3115.80310881138</v>
      </c>
      <c r="F128" s="15" t="n">
        <f aca="false">E128*(1+IF(F$3&lt;=$O$2,$D128,$D128-($D128-$I$103)*MIN(F$3-$O$2,$Q$2)/$Q$2))</f>
        <v>3091.79267926072</v>
      </c>
      <c r="G128" s="15" t="n">
        <f aca="false">F128*(1+IF(G$3&lt;=$O$2,$D128,$D128-($D128-$I$103)*MIN(G$3-$O$2,$Q$2)/$Q$2))</f>
        <v>3067.96727447159</v>
      </c>
      <c r="H128" s="15" t="n">
        <f aca="false">G128*(1+IF(H$3&lt;=$O$2,$D128,$D128-($D128-$I$103)*MIN(H$3-$O$2,$Q$2)/$Q$2))</f>
        <v>3044.32546864018</v>
      </c>
      <c r="I128" s="15" t="n">
        <f aca="false">H128*(1+IF(I$3&lt;=$O$2,$D128,$D128-($D128-$I$103)*MIN(I$3-$O$2,$Q$2)/$Q$2))</f>
        <v>3020.86584694991</v>
      </c>
      <c r="J128" s="15" t="n">
        <f aca="false">I128*(1+IF(J$3&lt;=$O$2,$D128,$D128-($D128-$I$103)*MIN(J$3-$O$2,$Q$2)/$Q$2))</f>
        <v>3019.34087447319</v>
      </c>
      <c r="K128" s="15" t="n">
        <f aca="false">J128*(1+IF(K$3&lt;=$O$2,$D128,$D128-($D128-$I$103)*MIN(K$3-$O$2,$Q$2)/$Q$2))</f>
        <v>3039.55955917203</v>
      </c>
      <c r="L128" s="15" t="n">
        <f aca="false">K128*(1+IF(L$3&lt;=$O$2,$D128,$D128-($D128-$I$103)*MIN(L$3-$O$2,$Q$2)/$Q$2))</f>
        <v>3081.80212228109</v>
      </c>
      <c r="M128" s="15" t="n">
        <f aca="false">L128*(1+IF(M$3&lt;=$O$2,$D128,$D128-($D128-$I$103)*MIN(M$3-$O$2,$Q$2)/$Q$2))</f>
        <v>3146.8244388507</v>
      </c>
      <c r="N128" s="15" t="n">
        <f aca="false">M128*(1+IF(N$3&lt;=$O$2,$D128,$D128-($D128-$I$103)*MIN(N$3-$O$2,$Q$2)/$Q$2))</f>
        <v>3235.87957047017</v>
      </c>
      <c r="O128" s="15" t="n">
        <f aca="false">SUMPRODUCT(E128:N128,1/(1+$F$103)^$E$3:$N$3)*$E$2</f>
        <v>9753.68030151333</v>
      </c>
      <c r="P128" s="15" t="n">
        <f aca="false">N128*$E$2*(1+$I$103)/($F$103-$I$103)/(1+$F$103)^$N$3</f>
        <v>17304.1239056136</v>
      </c>
      <c r="Q128" s="15" t="n">
        <f aca="false">O128+P128</f>
        <v>27057.8042071269</v>
      </c>
      <c r="R128" s="15" t="n">
        <f aca="false">Q128-$G$2+$I$2</f>
        <v>22990.0042071269</v>
      </c>
      <c r="S128" s="42" t="n">
        <f aca="false">R128/$K$2</f>
        <v>176.628796920152</v>
      </c>
      <c r="T128" s="43" t="n">
        <f aca="false">S128-$M$2</f>
        <v>3.23227330341069E-005</v>
      </c>
    </row>
    <row r="130" customFormat="false" ht="15" hidden="false" customHeight="false" outlineLevel="0" collapsed="false">
      <c r="A130" s="38" t="s">
        <v>178</v>
      </c>
      <c r="E130" s="5" t="s">
        <v>11</v>
      </c>
      <c r="F130" s="12" t="n">
        <f aca="false">Sensitivity!$B$10</f>
        <v>0.0719413943493295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155</v>
      </c>
      <c r="B131" s="28" t="s">
        <v>156</v>
      </c>
      <c r="C131" s="28" t="s">
        <v>157</v>
      </c>
      <c r="D131" s="28" t="s">
        <v>158</v>
      </c>
      <c r="E131" s="28" t="s">
        <v>159</v>
      </c>
      <c r="F131" s="28" t="s">
        <v>160</v>
      </c>
      <c r="G131" s="28" t="s">
        <v>161</v>
      </c>
      <c r="H131" s="28" t="s">
        <v>162</v>
      </c>
      <c r="I131" s="28" t="s">
        <v>163</v>
      </c>
      <c r="J131" s="28" t="s">
        <v>164</v>
      </c>
      <c r="K131" s="28" t="s">
        <v>165</v>
      </c>
      <c r="L131" s="28" t="s">
        <v>166</v>
      </c>
      <c r="M131" s="28" t="s">
        <v>167</v>
      </c>
      <c r="N131" s="28" t="s">
        <v>168</v>
      </c>
      <c r="O131" s="28" t="s">
        <v>169</v>
      </c>
      <c r="P131" s="28" t="s">
        <v>170</v>
      </c>
      <c r="Q131" s="28" t="s">
        <v>171</v>
      </c>
      <c r="R131" s="28" t="s">
        <v>172</v>
      </c>
      <c r="S131" s="28" t="s">
        <v>173</v>
      </c>
      <c r="T131" s="28" t="s">
        <v>174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3925</v>
      </c>
      <c r="F132" s="15" t="n">
        <f aca="false">E132*(1+IF(F$3&lt;=$O$2,$D132,$D132-($D132-$I$130)*MIN(F$3-$O$2,$Q$2)/$Q$2))</f>
        <v>4906.25</v>
      </c>
      <c r="G132" s="15" t="n">
        <f aca="false">F132*(1+IF(G$3&lt;=$O$2,$D132,$D132-($D132-$I$130)*MIN(G$3-$O$2,$Q$2)/$Q$2))</f>
        <v>6132.8125</v>
      </c>
      <c r="H132" s="15" t="n">
        <f aca="false">G132*(1+IF(H$3&lt;=$O$2,$D132,$D132-($D132-$I$130)*MIN(H$3-$O$2,$Q$2)/$Q$2))</f>
        <v>7666.015625</v>
      </c>
      <c r="I132" s="15" t="n">
        <f aca="false">H132*(1+IF(I$3&lt;=$O$2,$D132,$D132-($D132-$I$130)*MIN(I$3-$O$2,$Q$2)/$Q$2))</f>
        <v>9582.51953125</v>
      </c>
      <c r="J132" s="15" t="n">
        <f aca="false">I132*(1+IF(J$3&lt;=$O$2,$D132,$D132-($D132-$I$130)*MIN(J$3-$O$2,$Q$2)/$Q$2))</f>
        <v>11562.8430175781</v>
      </c>
      <c r="K132" s="15" t="n">
        <f aca="false">J132*(1+IF(K$3&lt;=$O$2,$D132,$D132-($D132-$I$130)*MIN(K$3-$O$2,$Q$2)/$Q$2))</f>
        <v>13451.286539209</v>
      </c>
      <c r="L132" s="15" t="n">
        <f aca="false">K132*(1+IF(L$3&lt;=$O$2,$D132,$D132-($D132-$I$130)*MIN(L$3-$O$2,$Q$2)/$Q$2))</f>
        <v>15065.1718981833</v>
      </c>
      <c r="M132" s="15" t="n">
        <f aca="false">L132*(1+IF(M$3&lt;=$O$2,$D132,$D132-($D132-$I$130)*MIN(M$3-$O$2,$Q$2)/$Q$2))</f>
        <v>16219.76667246</v>
      </c>
      <c r="N132" s="15" t="n">
        <f aca="false">M132*(1+IF(N$3&lt;=$O$2,$D132,$D132-($D132-$I$130)*MIN(N$3-$O$2,$Q$2)/$Q$2))</f>
        <v>16759.884902653</v>
      </c>
      <c r="O132" s="15" t="n">
        <f aca="false">SUMPRODUCT(E132:N132,1/(1+$F$130)^$E$3:$N$3)*$E$2</f>
        <v>30490.3518813756</v>
      </c>
      <c r="P132" s="15" t="n">
        <f aca="false">N132*$E$2*(1+$I$130)/($F$130-$I$130)/(1+$F$130)^$N$3</f>
        <v>101713.996821783</v>
      </c>
      <c r="Q132" s="15" t="n">
        <f aca="false">O132+P132</f>
        <v>132204.348703158</v>
      </c>
      <c r="R132" s="15" t="n">
        <f aca="false">Q132-$G$2+$I$2</f>
        <v>128136.548703158</v>
      </c>
      <c r="S132" s="42" t="n">
        <f aca="false">R132/$K$2</f>
        <v>984.454123410867</v>
      </c>
      <c r="T132" s="43" t="n">
        <f aca="false">S132-$M$2</f>
        <v>807.825358813448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2747.5</v>
      </c>
      <c r="F133" s="15" t="n">
        <f aca="false">E133*(1+IF(F$3&lt;=$O$2,$D133,$D133-($D133-$I$130)*MIN(F$3-$O$2,$Q$2)/$Q$2))</f>
        <v>2404.0625</v>
      </c>
      <c r="G133" s="15" t="n">
        <f aca="false">F133*(1+IF(G$3&lt;=$O$2,$D133,$D133-($D133-$I$130)*MIN(G$3-$O$2,$Q$2)/$Q$2))</f>
        <v>2103.5546875</v>
      </c>
      <c r="H133" s="15" t="n">
        <f aca="false">G133*(1+IF(H$3&lt;=$O$2,$D133,$D133-($D133-$I$130)*MIN(H$3-$O$2,$Q$2)/$Q$2))</f>
        <v>1840.6103515625</v>
      </c>
      <c r="I133" s="15" t="n">
        <f aca="false">H133*(1+IF(I$3&lt;=$O$2,$D133,$D133-($D133-$I$130)*MIN(I$3-$O$2,$Q$2)/$Q$2))</f>
        <v>1610.53405761719</v>
      </c>
      <c r="J133" s="15" t="n">
        <f aca="false">I133*(1+IF(J$3&lt;=$O$2,$D133,$D133-($D133-$I$130)*MIN(J$3-$O$2,$Q$2)/$Q$2))</f>
        <v>1460.2068086792</v>
      </c>
      <c r="K133" s="15" t="n">
        <f aca="false">J133*(1+IF(K$3&lt;=$O$2,$D133,$D133-($D133-$I$130)*MIN(K$3-$O$2,$Q$2)/$Q$2))</f>
        <v>1370.14125271987</v>
      </c>
      <c r="L133" s="15" t="n">
        <f aca="false">K133*(1+IF(L$3&lt;=$O$2,$D133,$D133-($D133-$I$130)*MIN(L$3-$O$2,$Q$2)/$Q$2))</f>
        <v>1329.00961231322</v>
      </c>
      <c r="M133" s="15" t="n">
        <f aca="false">L133*(1+IF(M$3&lt;=$O$2,$D133,$D133-($D133-$I$130)*MIN(M$3-$O$2,$Q$2)/$Q$2))</f>
        <v>1331.18918807741</v>
      </c>
      <c r="N133" s="15" t="n">
        <f aca="false">M133*(1+IF(N$3&lt;=$O$2,$D133,$D133-($D133-$I$130)*MIN(N$3-$O$2,$Q$2)/$Q$2))</f>
        <v>1375.51778804039</v>
      </c>
      <c r="O133" s="15" t="n">
        <f aca="false">SUMPRODUCT(E133:N133,1/(1+$F$130)^$E$3:$N$3)*$E$2</f>
        <v>5847.05383442807</v>
      </c>
      <c r="P133" s="15" t="n">
        <f aca="false">N133*$E$2*(1+$I$130)/($F$130-$I$130)/(1+$F$130)^$N$3</f>
        <v>8347.87426845032</v>
      </c>
      <c r="Q133" s="15" t="n">
        <f aca="false">O133+P133</f>
        <v>14194.9281028784</v>
      </c>
      <c r="R133" s="15" t="n">
        <f aca="false">Q133-$G$2+$I$2</f>
        <v>10127.1281028784</v>
      </c>
      <c r="S133" s="42" t="n">
        <f aca="false">R133/$K$2</f>
        <v>77.8052251296742</v>
      </c>
      <c r="T133" s="43" t="n">
        <f aca="false">S133-$M$2</f>
        <v>-98.8235394677444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3336.25</v>
      </c>
      <c r="F134" s="15" t="n">
        <f aca="false">E134*(1+IF(F$3&lt;=$O$2,$D134,$D134-($D134-$I$130)*MIN(F$3-$O$2,$Q$2)/$Q$2))</f>
        <v>3544.765625</v>
      </c>
      <c r="G134" s="15" t="n">
        <f aca="false">F134*(1+IF(G$3&lt;=$O$2,$D134,$D134-($D134-$I$130)*MIN(G$3-$O$2,$Q$2)/$Q$2))</f>
        <v>3766.3134765625</v>
      </c>
      <c r="H134" s="15" t="n">
        <f aca="false">G134*(1+IF(H$3&lt;=$O$2,$D134,$D134-($D134-$I$130)*MIN(H$3-$O$2,$Q$2)/$Q$2))</f>
        <v>4001.70806884766</v>
      </c>
      <c r="I134" s="15" t="n">
        <f aca="false">H134*(1+IF(I$3&lt;=$O$2,$D134,$D134-($D134-$I$130)*MIN(I$3-$O$2,$Q$2)/$Q$2))</f>
        <v>4251.81482315064</v>
      </c>
      <c r="J134" s="15" t="n">
        <f aca="false">I134*(1+IF(J$3&lt;=$O$2,$D134,$D134-($D134-$I$130)*MIN(J$3-$O$2,$Q$2)/$Q$2))</f>
        <v>4492.72265103035</v>
      </c>
      <c r="K134" s="15" t="n">
        <f aca="false">J134*(1+IF(K$3&lt;=$O$2,$D134,$D134-($D134-$I$130)*MIN(K$3-$O$2,$Q$2)/$Q$2))</f>
        <v>4721.04281615571</v>
      </c>
      <c r="L134" s="15" t="n">
        <f aca="false">K134*(1+IF(L$3&lt;=$O$2,$D134,$D134-($D134-$I$130)*MIN(L$3-$O$2,$Q$2)/$Q$2))</f>
        <v>4933.3953220264</v>
      </c>
      <c r="M134" s="15" t="n">
        <f aca="false">L134*(1+IF(M$3&lt;=$O$2,$D134,$D134-($D134-$I$130)*MIN(M$3-$O$2,$Q$2)/$Q$2))</f>
        <v>5126.48841493051</v>
      </c>
      <c r="N134" s="15" t="n">
        <f aca="false">M134*(1+IF(N$3&lt;=$O$2,$D134,$D134-($D134-$I$130)*MIN(N$3-$O$2,$Q$2)/$Q$2))</f>
        <v>5297.2004791477</v>
      </c>
      <c r="O134" s="15" t="n">
        <f aca="false">SUMPRODUCT(E134:N134,1/(1+$F$130)^$E$3:$N$3)*$E$2</f>
        <v>13353.0353000797</v>
      </c>
      <c r="P134" s="15" t="n">
        <f aca="false">N134*$E$2*(1+$I$130)/($F$130-$I$130)/(1+$F$130)^$N$3</f>
        <v>32148.1582856865</v>
      </c>
      <c r="Q134" s="15" t="n">
        <f aca="false">O134+P134</f>
        <v>45501.1935857662</v>
      </c>
      <c r="R134" s="15" t="n">
        <f aca="false">Q134-$G$2+$I$2</f>
        <v>41433.3935857662</v>
      </c>
      <c r="S134" s="42" t="n">
        <f aca="false">R134/$K$2</f>
        <v>318.3266255821</v>
      </c>
      <c r="T134" s="43" t="n">
        <f aca="false">S134-$M$2</f>
        <v>141.697860984682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3041.875</v>
      </c>
      <c r="F135" s="15" t="n">
        <f aca="false">E135*(1+IF(F$3&lt;=$O$2,$D135,$D135-($D135-$I$130)*MIN(F$3-$O$2,$Q$2)/$Q$2))</f>
        <v>2946.81640625</v>
      </c>
      <c r="G135" s="15" t="n">
        <f aca="false">F135*(1+IF(G$3&lt;=$O$2,$D135,$D135-($D135-$I$130)*MIN(G$3-$O$2,$Q$2)/$Q$2))</f>
        <v>2854.72839355469</v>
      </c>
      <c r="H135" s="15" t="n">
        <f aca="false">G135*(1+IF(H$3&lt;=$O$2,$D135,$D135-($D135-$I$130)*MIN(H$3-$O$2,$Q$2)/$Q$2))</f>
        <v>2765.5181312561</v>
      </c>
      <c r="I135" s="15" t="n">
        <f aca="false">H135*(1+IF(I$3&lt;=$O$2,$D135,$D135-($D135-$I$130)*MIN(I$3-$O$2,$Q$2)/$Q$2))</f>
        <v>2679.09568965435</v>
      </c>
      <c r="J135" s="15" t="n">
        <f aca="false">I135*(1+IF(J$3&lt;=$O$2,$D135,$D135-($D135-$I$130)*MIN(J$3-$O$2,$Q$2)/$Q$2))</f>
        <v>2629.96107470609</v>
      </c>
      <c r="K135" s="15" t="n">
        <f aca="false">J135*(1+IF(K$3&lt;=$O$2,$D135,$D135-($D135-$I$130)*MIN(K$3-$O$2,$Q$2)/$Q$2))</f>
        <v>2615.68038607044</v>
      </c>
      <c r="L135" s="15" t="n">
        <f aca="false">K135*(1+IF(L$3&lt;=$O$2,$D135,$D135-($D135-$I$130)*MIN(L$3-$O$2,$Q$2)/$Q$2))</f>
        <v>2635.24567535824</v>
      </c>
      <c r="M135" s="15" t="n">
        <f aca="false">L135*(1+IF(M$3&lt;=$O$2,$D135,$D135-($D135-$I$130)*MIN(M$3-$O$2,$Q$2)/$Q$2))</f>
        <v>2688.9783346788</v>
      </c>
      <c r="N135" s="15" t="n">
        <f aca="false">M135*(1+IF(N$3&lt;=$O$2,$D135,$D135-($D135-$I$130)*MIN(N$3-$O$2,$Q$2)/$Q$2))</f>
        <v>2778.5213132236</v>
      </c>
      <c r="O135" s="15" t="n">
        <f aca="false">SUMPRODUCT(E135:N135,1/(1+$F$130)^$E$3:$N$3)*$E$2</f>
        <v>8813.67416066697</v>
      </c>
      <c r="P135" s="15" t="n">
        <f aca="false">N135*$E$2*(1+$I$130)/($F$130-$I$130)/(1+$F$130)^$N$3</f>
        <v>16862.5566144398</v>
      </c>
      <c r="Q135" s="15" t="n">
        <f aca="false">O135+P135</f>
        <v>25676.2307751068</v>
      </c>
      <c r="R135" s="15" t="n">
        <f aca="false">Q135-$G$2+$I$2</f>
        <v>21608.4307751068</v>
      </c>
      <c r="S135" s="42" t="n">
        <f aca="false">R135/$K$2</f>
        <v>166.014372888036</v>
      </c>
      <c r="T135" s="43" t="n">
        <f aca="false">S135-$M$2</f>
        <v>-10.6143917093823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3189.0625</v>
      </c>
      <c r="F136" s="15" t="n">
        <f aca="false">E136*(1+IF(F$3&lt;=$O$2,$D136,$D136-($D136-$I$130)*MIN(F$3-$O$2,$Q$2)/$Q$2))</f>
        <v>3238.8916015625</v>
      </c>
      <c r="G136" s="15" t="n">
        <f aca="false">F136*(1+IF(G$3&lt;=$O$2,$D136,$D136-($D136-$I$130)*MIN(G$3-$O$2,$Q$2)/$Q$2))</f>
        <v>3289.49928283691</v>
      </c>
      <c r="H136" s="15" t="n">
        <f aca="false">G136*(1+IF(H$3&lt;=$O$2,$D136,$D136-($D136-$I$130)*MIN(H$3-$O$2,$Q$2)/$Q$2))</f>
        <v>3340.89770913124</v>
      </c>
      <c r="I136" s="15" t="n">
        <f aca="false">H136*(1+IF(I$3&lt;=$O$2,$D136,$D136-($D136-$I$130)*MIN(I$3-$O$2,$Q$2)/$Q$2))</f>
        <v>3393.09923583642</v>
      </c>
      <c r="J136" s="15" t="n">
        <f aca="false">I136*(1+IF(J$3&lt;=$O$2,$D136,$D136-($D136-$I$130)*MIN(J$3-$O$2,$Q$2)/$Q$2))</f>
        <v>3458.11101719504</v>
      </c>
      <c r="K136" s="15" t="n">
        <f aca="false">J136*(1+IF(K$3&lt;=$O$2,$D136,$D136-($D136-$I$130)*MIN(K$3-$O$2,$Q$2)/$Q$2))</f>
        <v>3536.59284673028</v>
      </c>
      <c r="L136" s="15" t="n">
        <f aca="false">K136*(1+IF(L$3&lt;=$O$2,$D136,$D136-($D136-$I$130)*MIN(L$3-$O$2,$Q$2)/$Q$2))</f>
        <v>3629.35767710002</v>
      </c>
      <c r="M136" s="15" t="n">
        <f aca="false">L136*(1+IF(M$3&lt;=$O$2,$D136,$D136-($D136-$I$130)*MIN(M$3-$O$2,$Q$2)/$Q$2))</f>
        <v>3737.3855083589</v>
      </c>
      <c r="N136" s="15" t="n">
        <f aca="false">M136*(1+IF(N$3&lt;=$O$2,$D136,$D136-($D136-$I$130)*MIN(N$3-$O$2,$Q$2)/$Q$2))</f>
        <v>3861.84044578725</v>
      </c>
      <c r="O136" s="15" t="n">
        <f aca="false">SUMPRODUCT(E136:N136,1/(1+$F$130)^$E$3:$N$3)*$E$2</f>
        <v>10845.3458960929</v>
      </c>
      <c r="P136" s="15" t="n">
        <f aca="false">N136*$E$2*(1+$I$130)/($F$130-$I$130)/(1+$F$130)^$N$3</f>
        <v>23437.1076597823</v>
      </c>
      <c r="Q136" s="15" t="n">
        <f aca="false">O136+P136</f>
        <v>34282.4535558752</v>
      </c>
      <c r="R136" s="15" t="n">
        <f aca="false">Q136-$G$2+$I$2</f>
        <v>30214.6535558752</v>
      </c>
      <c r="S136" s="42" t="n">
        <f aca="false">R136/$K$2</f>
        <v>232.134707712624</v>
      </c>
      <c r="T136" s="43" t="n">
        <f aca="false">S136-$M$2</f>
        <v>55.5059431152055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-0.03125</v>
      </c>
      <c r="C137" s="25" t="n">
        <f aca="false">IF(T136&gt;0,D136,C136)</f>
        <v>0.015625</v>
      </c>
      <c r="D137" s="41" t="n">
        <f aca="false">(B137+C137)/2</f>
        <v>-0.0078125</v>
      </c>
      <c r="E137" s="15" t="n">
        <f aca="false">$C$2*(1+IF(E$3&lt;=$O$2,$D137,$D137-($D137-$I$130)*MIN(E$3-$O$2,$Q$2)/$Q$2))</f>
        <v>3115.46875</v>
      </c>
      <c r="F137" s="15" t="n">
        <f aca="false">E137*(1+IF(F$3&lt;=$O$2,$D137,$D137-($D137-$I$130)*MIN(F$3-$O$2,$Q$2)/$Q$2))</f>
        <v>3091.12915039063</v>
      </c>
      <c r="G137" s="15" t="n">
        <f aca="false">F137*(1+IF(G$3&lt;=$O$2,$D137,$D137-($D137-$I$130)*MIN(G$3-$O$2,$Q$2)/$Q$2))</f>
        <v>3066.9797039032</v>
      </c>
      <c r="H137" s="15" t="n">
        <f aca="false">G137*(1+IF(H$3&lt;=$O$2,$D137,$D137-($D137-$I$130)*MIN(H$3-$O$2,$Q$2)/$Q$2))</f>
        <v>3043.01892496645</v>
      </c>
      <c r="I137" s="15" t="n">
        <f aca="false">H137*(1+IF(I$3&lt;=$O$2,$D137,$D137-($D137-$I$130)*MIN(I$3-$O$2,$Q$2)/$Q$2))</f>
        <v>3019.24533961515</v>
      </c>
      <c r="J137" s="15" t="n">
        <f aca="false">I137*(1+IF(J$3&lt;=$O$2,$D137,$D137-($D137-$I$130)*MIN(J$3-$O$2,$Q$2)/$Q$2))</f>
        <v>3020.4832302044</v>
      </c>
      <c r="K137" s="15" t="n">
        <f aca="false">J137*(1+IF(K$3&lt;=$O$2,$D137,$D137-($D137-$I$130)*MIN(K$3-$O$2,$Q$2)/$Q$2))</f>
        <v>3046.55755168914</v>
      </c>
      <c r="L137" s="15" t="n">
        <f aca="false">K137*(1+IF(L$3&lt;=$O$2,$D137,$D137-($D137-$I$130)*MIN(L$3-$O$2,$Q$2)/$Q$2))</f>
        <v>3097.90727922286</v>
      </c>
      <c r="M137" s="15" t="n">
        <f aca="false">L137*(1+IF(M$3&lt;=$O$2,$D137,$D137-($D137-$I$130)*MIN(M$3-$O$2,$Q$2)/$Q$2))</f>
        <v>3175.59504901757</v>
      </c>
      <c r="N137" s="15" t="n">
        <f aca="false">M137*(1+IF(N$3&lt;=$O$2,$D137,$D137-($D137-$I$130)*MIN(N$3-$O$2,$Q$2)/$Q$2))</f>
        <v>3281.34236414985</v>
      </c>
      <c r="O137" s="15" t="n">
        <f aca="false">SUMPRODUCT(E137:N137,1/(1+$F$130)^$E$3:$N$3)*$E$2</f>
        <v>9775.756817505</v>
      </c>
      <c r="P137" s="15" t="n">
        <f aca="false">N137*$E$2*(1+$I$130)/($F$130-$I$130)/(1+$F$130)^$N$3</f>
        <v>19914.1252303879</v>
      </c>
      <c r="Q137" s="15" t="n">
        <f aca="false">O137+P137</f>
        <v>29689.8820478929</v>
      </c>
      <c r="R137" s="15" t="n">
        <f aca="false">Q137-$G$2+$I$2</f>
        <v>25622.0820478929</v>
      </c>
      <c r="S137" s="42" t="n">
        <f aca="false">R137/$K$2</f>
        <v>196.850661093216</v>
      </c>
      <c r="T137" s="43" t="n">
        <f aca="false">S137-$M$2</f>
        <v>20.2218964957969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-0.03125</v>
      </c>
      <c r="C138" s="25" t="n">
        <f aca="false">IF(T137&gt;0,D137,C137)</f>
        <v>-0.0078125</v>
      </c>
      <c r="D138" s="41" t="n">
        <f aca="false">(B138+C138)/2</f>
        <v>-0.01953125</v>
      </c>
      <c r="E138" s="15" t="n">
        <f aca="false">$C$2*(1+IF(E$3&lt;=$O$2,$D138,$D138-($D138-$I$130)*MIN(E$3-$O$2,$Q$2)/$Q$2))</f>
        <v>3078.671875</v>
      </c>
      <c r="F138" s="15" t="n">
        <f aca="false">E138*(1+IF(F$3&lt;=$O$2,$D138,$D138-($D138-$I$130)*MIN(F$3-$O$2,$Q$2)/$Q$2))</f>
        <v>3018.54156494141</v>
      </c>
      <c r="G138" s="15" t="n">
        <f aca="false">F138*(1+IF(G$3&lt;=$O$2,$D138,$D138-($D138-$I$130)*MIN(G$3-$O$2,$Q$2)/$Q$2))</f>
        <v>2959.58567500114</v>
      </c>
      <c r="H138" s="15" t="n">
        <f aca="false">G138*(1+IF(H$3&lt;=$O$2,$D138,$D138-($D138-$I$130)*MIN(H$3-$O$2,$Q$2)/$Q$2))</f>
        <v>2901.78126728628</v>
      </c>
      <c r="I138" s="15" t="n">
        <f aca="false">H138*(1+IF(I$3&lt;=$O$2,$D138,$D138-($D138-$I$130)*MIN(I$3-$O$2,$Q$2)/$Q$2))</f>
        <v>2845.10585190959</v>
      </c>
      <c r="J138" s="15" t="n">
        <f aca="false">I138*(1+IF(J$3&lt;=$O$2,$D138,$D138-($D138-$I$130)*MIN(J$3-$O$2,$Q$2)/$Q$2))</f>
        <v>2819.59947794722</v>
      </c>
      <c r="K138" s="15" t="n">
        <f aca="false">J138*(1+IF(K$3&lt;=$O$2,$D138,$D138-($D138-$I$130)*MIN(K$3-$O$2,$Q$2)/$Q$2))</f>
        <v>2824.11436161129</v>
      </c>
      <c r="L138" s="15" t="n">
        <f aca="false">K138*(1+IF(L$3&lt;=$O$2,$D138,$D138-($D138-$I$130)*MIN(L$3-$O$2,$Q$2)/$Q$2))</f>
        <v>2858.47677310619</v>
      </c>
      <c r="M138" s="15" t="n">
        <f aca="false">L138*(1+IF(M$3&lt;=$O$2,$D138,$D138-($D138-$I$130)*MIN(M$3-$O$2,$Q$2)/$Q$2))</f>
        <v>2923.4606694468</v>
      </c>
      <c r="N138" s="15" t="n">
        <f aca="false">M138*(1+IF(N$3&lt;=$O$2,$D138,$D138-($D138-$I$130)*MIN(N$3-$O$2,$Q$2)/$Q$2))</f>
        <v>3020.81190973937</v>
      </c>
      <c r="O138" s="15" t="n">
        <f aca="false">SUMPRODUCT(E138:N138,1/(1+$F$130)^$E$3:$N$3)*$E$2</f>
        <v>9281.94250392917</v>
      </c>
      <c r="P138" s="15" t="n">
        <f aca="false">N138*$E$2*(1+$I$130)/($F$130-$I$130)/(1+$F$130)^$N$3</f>
        <v>18332.9930229889</v>
      </c>
      <c r="Q138" s="15" t="n">
        <f aca="false">O138+P138</f>
        <v>27614.9355269181</v>
      </c>
      <c r="R138" s="15" t="n">
        <f aca="false">Q138-$G$2+$I$2</f>
        <v>23547.1355269181</v>
      </c>
      <c r="S138" s="42" t="n">
        <f aca="false">R138/$K$2</f>
        <v>180.909154324816</v>
      </c>
      <c r="T138" s="43" t="n">
        <f aca="false">S138-$M$2</f>
        <v>4.28038972739773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-0.03125</v>
      </c>
      <c r="C139" s="25" t="n">
        <f aca="false">IF(T138&gt;0,D138,C138)</f>
        <v>-0.01953125</v>
      </c>
      <c r="D139" s="41" t="n">
        <f aca="false">(B139+C139)/2</f>
        <v>-0.025390625</v>
      </c>
      <c r="E139" s="15" t="n">
        <f aca="false">$C$2*(1+IF(E$3&lt;=$O$2,$D139,$D139-($D139-$I$130)*MIN(E$3-$O$2,$Q$2)/$Q$2))</f>
        <v>3060.2734375</v>
      </c>
      <c r="F139" s="15" t="n">
        <f aca="false">E139*(1+IF(F$3&lt;=$O$2,$D139,$D139-($D139-$I$130)*MIN(F$3-$O$2,$Q$2)/$Q$2))</f>
        <v>2982.57118225098</v>
      </c>
      <c r="G139" s="15" t="n">
        <f aca="false">F139*(1+IF(G$3&lt;=$O$2,$D139,$D139-($D139-$I$130)*MIN(G$3-$O$2,$Q$2)/$Q$2))</f>
        <v>2906.84183582664</v>
      </c>
      <c r="H139" s="15" t="n">
        <f aca="false">G139*(1+IF(H$3&lt;=$O$2,$D139,$D139-($D139-$I$130)*MIN(H$3-$O$2,$Q$2)/$Q$2))</f>
        <v>2833.03530483885</v>
      </c>
      <c r="I139" s="15" t="n">
        <f aca="false">H139*(1+IF(I$3&lt;=$O$2,$D139,$D139-($D139-$I$130)*MIN(I$3-$O$2,$Q$2)/$Q$2))</f>
        <v>2761.10276780193</v>
      </c>
      <c r="J139" s="15" t="n">
        <f aca="false">I139*(1+IF(J$3&lt;=$O$2,$D139,$D139-($D139-$I$130)*MIN(J$3-$O$2,$Q$2)/$Q$2))</f>
        <v>2723.40681226451</v>
      </c>
      <c r="K139" s="15" t="n">
        <f aca="false">J139*(1+IF(K$3&lt;=$O$2,$D139,$D139-($D139-$I$130)*MIN(K$3-$O$2,$Q$2)/$Q$2))</f>
        <v>2718.19319034828</v>
      </c>
      <c r="L139" s="15" t="n">
        <f aca="false">K139*(1+IF(L$3&lt;=$O$2,$D139,$D139-($D139-$I$130)*MIN(L$3-$O$2,$Q$2)/$Q$2))</f>
        <v>2744.89604070197</v>
      </c>
      <c r="M139" s="15" t="n">
        <f aca="false">L139*(1+IF(M$3&lt;=$O$2,$D139,$D139-($D139-$I$130)*MIN(M$3-$O$2,$Q$2)/$Q$2))</f>
        <v>2804.08114601958</v>
      </c>
      <c r="N139" s="15" t="n">
        <f aca="false">M139*(1+IF(N$3&lt;=$O$2,$D139,$D139-($D139-$I$130)*MIN(N$3-$O$2,$Q$2)/$Q$2))</f>
        <v>2897.45704818203</v>
      </c>
      <c r="O139" s="15" t="n">
        <f aca="false">SUMPRODUCT(E139:N139,1/(1+$F$130)^$E$3:$N$3)*$E$2</f>
        <v>9044.69509556909</v>
      </c>
      <c r="P139" s="15" t="n">
        <f aca="false">N139*$E$2*(1+$I$130)/($F$130-$I$130)/(1+$F$130)^$N$3</f>
        <v>17584.3652090587</v>
      </c>
      <c r="Q139" s="15" t="n">
        <f aca="false">O139+P139</f>
        <v>26629.0603046278</v>
      </c>
      <c r="R139" s="15" t="n">
        <f aca="false">Q139-$G$2+$I$2</f>
        <v>22561.2603046278</v>
      </c>
      <c r="S139" s="42" t="n">
        <f aca="false">R139/$K$2</f>
        <v>173.334821025106</v>
      </c>
      <c r="T139" s="43" t="n">
        <f aca="false">S139-$M$2</f>
        <v>-3.29394357231271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-0.025390625</v>
      </c>
      <c r="C140" s="25" t="n">
        <f aca="false">IF(T139&gt;0,D139,C139)</f>
        <v>-0.01953125</v>
      </c>
      <c r="D140" s="41" t="n">
        <f aca="false">(B140+C140)/2</f>
        <v>-0.0224609375</v>
      </c>
      <c r="E140" s="15" t="n">
        <f aca="false">$C$2*(1+IF(E$3&lt;=$O$2,$D140,$D140-($D140-$I$130)*MIN(E$3-$O$2,$Q$2)/$Q$2))</f>
        <v>3069.47265625</v>
      </c>
      <c r="F140" s="15" t="n">
        <f aca="false">E140*(1+IF(F$3&lt;=$O$2,$D140,$D140-($D140-$I$130)*MIN(F$3-$O$2,$Q$2)/$Q$2))</f>
        <v>3000.52942276001</v>
      </c>
      <c r="G140" s="15" t="n">
        <f aca="false">F140*(1+IF(G$3&lt;=$O$2,$D140,$D140-($D140-$I$130)*MIN(G$3-$O$2,$Q$2)/$Q$2))</f>
        <v>2933.13471892849</v>
      </c>
      <c r="H140" s="15" t="n">
        <f aca="false">G140*(1+IF(H$3&lt;=$O$2,$D140,$D140-($D140-$I$130)*MIN(H$3-$O$2,$Q$2)/$Q$2))</f>
        <v>2867.25376332755</v>
      </c>
      <c r="I140" s="15" t="n">
        <f aca="false">H140*(1+IF(I$3&lt;=$O$2,$D140,$D140-($D140-$I$130)*MIN(I$3-$O$2,$Q$2)/$Q$2))</f>
        <v>2802.85255575281</v>
      </c>
      <c r="J140" s="15" t="n">
        <f aca="false">I140*(1+IF(J$3&lt;=$O$2,$D140,$D140-($D140-$I$130)*MIN(J$3-$O$2,$Q$2)/$Q$2))</f>
        <v>2771.15579691294</v>
      </c>
      <c r="K140" s="15" t="n">
        <f aca="false">J140*(1+IF(K$3&lt;=$O$2,$D140,$D140-($D140-$I$130)*MIN(K$3-$O$2,$Q$2)/$Q$2))</f>
        <v>2770.72193783349</v>
      </c>
      <c r="L140" s="15" t="n">
        <f aca="false">K140*(1+IF(L$3&lt;=$O$2,$D140,$D140-($D140-$I$130)*MIN(L$3-$O$2,$Q$2)/$Q$2))</f>
        <v>2801.18775724118</v>
      </c>
      <c r="M140" s="15" t="n">
        <f aca="false">L140*(1+IF(M$3&lt;=$O$2,$D140,$D140-($D140-$I$130)*MIN(M$3-$O$2,$Q$2)/$Q$2))</f>
        <v>2863.22793846585</v>
      </c>
      <c r="N140" s="15" t="n">
        <f aca="false">M140*(1+IF(N$3&lt;=$O$2,$D140,$D140-($D140-$I$130)*MIN(N$3-$O$2,$Q$2)/$Q$2))</f>
        <v>2958.57342881677</v>
      </c>
      <c r="O140" s="15" t="n">
        <f aca="false">SUMPRODUCT(E140:N140,1/(1+$F$130)^$E$3:$N$3)*$E$2</f>
        <v>9162.5306269251</v>
      </c>
      <c r="P140" s="15" t="n">
        <f aca="false">N140*$E$2*(1+$I$130)/($F$130-$I$130)/(1+$F$130)^$N$3</f>
        <v>17955.2741611039</v>
      </c>
      <c r="Q140" s="15" t="n">
        <f aca="false">O140+P140</f>
        <v>27117.804788029</v>
      </c>
      <c r="R140" s="15" t="n">
        <f aca="false">Q140-$G$2+$I$2</f>
        <v>23050.004788029</v>
      </c>
      <c r="S140" s="42" t="n">
        <f aca="false">R140/$K$2</f>
        <v>177.089772495613</v>
      </c>
      <c r="T140" s="43" t="n">
        <f aca="false">S140-$M$2</f>
        <v>0.461007898194225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-0.025390625</v>
      </c>
      <c r="C141" s="25" t="n">
        <f aca="false">IF(T140&gt;0,D140,C140)</f>
        <v>-0.0224609375</v>
      </c>
      <c r="D141" s="41" t="n">
        <f aca="false">(B141+C141)/2</f>
        <v>-0.02392578125</v>
      </c>
      <c r="E141" s="15" t="n">
        <f aca="false">$C$2*(1+IF(E$3&lt;=$O$2,$D141,$D141-($D141-$I$130)*MIN(E$3-$O$2,$Q$2)/$Q$2))</f>
        <v>3064.873046875</v>
      </c>
      <c r="F141" s="15" t="n">
        <f aca="false">E141*(1+IF(F$3&lt;=$O$2,$D141,$D141-($D141-$I$130)*MIN(F$3-$O$2,$Q$2)/$Q$2))</f>
        <v>2991.54356479645</v>
      </c>
      <c r="G141" s="15" t="n">
        <f aca="false">F141*(1+IF(G$3&lt;=$O$2,$D141,$D141-($D141-$I$130)*MIN(G$3-$O$2,$Q$2)/$Q$2))</f>
        <v>2919.96854786528</v>
      </c>
      <c r="H141" s="15" t="n">
        <f aca="false">G141*(1+IF(H$3&lt;=$O$2,$D141,$D141-($D141-$I$130)*MIN(H$3-$O$2,$Q$2)/$Q$2))</f>
        <v>2850.10601913218</v>
      </c>
      <c r="I141" s="15" t="n">
        <f aca="false">H141*(1+IF(I$3&lt;=$O$2,$D141,$D141-($D141-$I$130)*MIN(I$3-$O$2,$Q$2)/$Q$2))</f>
        <v>2781.91500597911</v>
      </c>
      <c r="J141" s="15" t="n">
        <f aca="false">I141*(1+IF(J$3&lt;=$O$2,$D141,$D141-($D141-$I$130)*MIN(J$3-$O$2,$Q$2)/$Q$2))</f>
        <v>2747.19496800761</v>
      </c>
      <c r="K141" s="15" t="n">
        <f aca="false">J141*(1+IF(K$3&lt;=$O$2,$D141,$D141-($D141-$I$130)*MIN(K$3-$O$2,$Q$2)/$Q$2))</f>
        <v>2744.35033346809</v>
      </c>
      <c r="L141" s="15" t="n">
        <f aca="false">K141*(1+IF(L$3&lt;=$O$2,$D141,$D141-($D141-$I$130)*MIN(L$3-$O$2,$Q$2)/$Q$2))</f>
        <v>2772.91816283001</v>
      </c>
      <c r="M141" s="15" t="n">
        <f aca="false">L141*(1+IF(M$3&lt;=$O$2,$D141,$D141-($D141-$I$130)*MIN(M$3-$O$2,$Q$2)/$Q$2))</f>
        <v>2833.5198560102</v>
      </c>
      <c r="N141" s="15" t="n">
        <f aca="false">M141*(1+IF(N$3&lt;=$O$2,$D141,$D141-($D141-$I$130)*MIN(N$3-$O$2,$Q$2)/$Q$2))</f>
        <v>2927.87606721534</v>
      </c>
      <c r="O141" s="15" t="n">
        <f aca="false">SUMPRODUCT(E141:N141,1/(1+$F$130)^$E$3:$N$3)*$E$2</f>
        <v>9103.41705950748</v>
      </c>
      <c r="P141" s="15" t="n">
        <f aca="false">N141*$E$2*(1+$I$130)/($F$130-$I$130)/(1+$F$130)^$N$3</f>
        <v>17768.9750690456</v>
      </c>
      <c r="Q141" s="15" t="n">
        <f aca="false">O141+P141</f>
        <v>26872.3921285531</v>
      </c>
      <c r="R141" s="15" t="n">
        <f aca="false">Q141-$G$2+$I$2</f>
        <v>22804.5921285531</v>
      </c>
      <c r="S141" s="42" t="n">
        <f aca="false">R141/$K$2</f>
        <v>175.204303384704</v>
      </c>
      <c r="T141" s="43" t="n">
        <f aca="false">S141-$M$2</f>
        <v>-1.42446121271442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-0.02392578125</v>
      </c>
      <c r="C142" s="25" t="n">
        <f aca="false">IF(T141&gt;0,D141,C141)</f>
        <v>-0.0224609375</v>
      </c>
      <c r="D142" s="41" t="n">
        <f aca="false">(B142+C142)/2</f>
        <v>-0.023193359375</v>
      </c>
      <c r="E142" s="15" t="n">
        <f aca="false">$C$2*(1+IF(E$3&lt;=$O$2,$D142,$D142-($D142-$I$130)*MIN(E$3-$O$2,$Q$2)/$Q$2))</f>
        <v>3067.1728515625</v>
      </c>
      <c r="F142" s="15" t="n">
        <f aca="false">E142*(1+IF(F$3&lt;=$O$2,$D142,$D142-($D142-$I$130)*MIN(F$3-$O$2,$Q$2)/$Q$2))</f>
        <v>2996.03480935097</v>
      </c>
      <c r="G142" s="15" t="n">
        <f aca="false">F142*(1+IF(G$3&lt;=$O$2,$D142,$D142-($D142-$I$130)*MIN(G$3-$O$2,$Q$2)/$Q$2))</f>
        <v>2926.54669731768</v>
      </c>
      <c r="H142" s="15" t="n">
        <f aca="false">G142*(1+IF(H$3&lt;=$O$2,$D142,$D142-($D142-$I$130)*MIN(H$3-$O$2,$Q$2)/$Q$2))</f>
        <v>2858.67024803907</v>
      </c>
      <c r="I142" s="15" t="n">
        <f aca="false">H142*(1+IF(I$3&lt;=$O$2,$D142,$D142-($D142-$I$130)*MIN(I$3-$O$2,$Q$2)/$Q$2))</f>
        <v>2792.36808164168</v>
      </c>
      <c r="J142" s="15" t="n">
        <f aca="false">I142*(1+IF(J$3&lt;=$O$2,$D142,$D142-($D142-$I$130)*MIN(J$3-$O$2,$Q$2)/$Q$2))</f>
        <v>2759.15373592558</v>
      </c>
      <c r="K142" s="15" t="n">
        <f aca="false">J142*(1+IF(K$3&lt;=$O$2,$D142,$D142-($D142-$I$130)*MIN(K$3-$O$2,$Q$2)/$Q$2))</f>
        <v>2757.50923718719</v>
      </c>
      <c r="L142" s="15" t="n">
        <f aca="false">K142*(1+IF(L$3&lt;=$O$2,$D142,$D142-($D142-$I$130)*MIN(L$3-$O$2,$Q$2)/$Q$2))</f>
        <v>2787.02191065901</v>
      </c>
      <c r="M142" s="15" t="n">
        <f aca="false">L142*(1+IF(M$3&lt;=$O$2,$D142,$D142-($D142-$I$130)*MIN(M$3-$O$2,$Q$2)/$Q$2))</f>
        <v>2848.34009420698</v>
      </c>
      <c r="N142" s="15" t="n">
        <f aca="false">M142*(1+IF(N$3&lt;=$O$2,$D142,$D142-($D142-$I$130)*MIN(N$3-$O$2,$Q$2)/$Q$2))</f>
        <v>2943.18981934407</v>
      </c>
      <c r="O142" s="15" t="n">
        <f aca="false">SUMPRODUCT(E142:N142,1/(1+$F$130)^$E$3:$N$3)*$E$2</f>
        <v>9132.92473813271</v>
      </c>
      <c r="P142" s="15" t="n">
        <f aca="false">N142*$E$2*(1+$I$130)/($F$130-$I$130)/(1+$F$130)^$N$3</f>
        <v>17861.9126366005</v>
      </c>
      <c r="Q142" s="15" t="n">
        <f aca="false">O142+P142</f>
        <v>26994.8373747332</v>
      </c>
      <c r="R142" s="15" t="n">
        <f aca="false">Q142-$G$2+$I$2</f>
        <v>22927.0373747332</v>
      </c>
      <c r="S142" s="42" t="n">
        <f aca="false">R142/$K$2</f>
        <v>176.145032073857</v>
      </c>
      <c r="T142" s="43" t="n">
        <f aca="false">S142-$M$2</f>
        <v>-0.483732523562026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-0.023193359375</v>
      </c>
      <c r="C143" s="25" t="n">
        <f aca="false">IF(T142&gt;0,D142,C142)</f>
        <v>-0.0224609375</v>
      </c>
      <c r="D143" s="41" t="n">
        <f aca="false">(B143+C143)/2</f>
        <v>-0.0228271484375</v>
      </c>
      <c r="E143" s="15" t="n">
        <f aca="false">$C$2*(1+IF(E$3&lt;=$O$2,$D143,$D143-($D143-$I$130)*MIN(E$3-$O$2,$Q$2)/$Q$2))</f>
        <v>3068.32275390625</v>
      </c>
      <c r="F143" s="15" t="n">
        <f aca="false">E143*(1+IF(F$3&lt;=$O$2,$D143,$D143-($D143-$I$130)*MIN(F$3-$O$2,$Q$2)/$Q$2))</f>
        <v>2998.28169494867</v>
      </c>
      <c r="G143" s="15" t="n">
        <f aca="false">F143*(1+IF(G$3&lt;=$O$2,$D143,$D143-($D143-$I$130)*MIN(G$3-$O$2,$Q$2)/$Q$2))</f>
        <v>2929.83947364064</v>
      </c>
      <c r="H143" s="15" t="n">
        <f aca="false">G143*(1+IF(H$3&lt;=$O$2,$D143,$D143-($D143-$I$130)*MIN(H$3-$O$2,$Q$2)/$Q$2))</f>
        <v>2862.9595930778</v>
      </c>
      <c r="I143" s="15" t="n">
        <f aca="false">H143*(1+IF(I$3&lt;=$O$2,$D143,$D143-($D143-$I$130)*MIN(I$3-$O$2,$Q$2)/$Q$2))</f>
        <v>2797.60638947605</v>
      </c>
      <c r="J143" s="15" t="n">
        <f aca="false">I143*(1+IF(J$3&lt;=$O$2,$D143,$D143-($D143-$I$130)*MIN(J$3-$O$2,$Q$2)/$Q$2))</f>
        <v>2765.14934697214</v>
      </c>
      <c r="K143" s="15" t="n">
        <f aca="false">J143*(1+IF(K$3&lt;=$O$2,$D143,$D143-($D143-$I$130)*MIN(K$3-$O$2,$Q$2)/$Q$2))</f>
        <v>2764.1088515167</v>
      </c>
      <c r="L143" s="15" t="n">
        <f aca="false">K143*(1+IF(L$3&lt;=$O$2,$D143,$D143-($D143-$I$130)*MIN(L$3-$O$2,$Q$2)/$Q$2))</f>
        <v>2794.09705714961</v>
      </c>
      <c r="M143" s="15" t="n">
        <f aca="false">L143*(1+IF(M$3&lt;=$O$2,$D143,$D143-($D143-$I$130)*MIN(M$3-$O$2,$Q$2)/$Q$2))</f>
        <v>2855.77554909761</v>
      </c>
      <c r="N143" s="15" t="n">
        <f aca="false">M143*(1+IF(N$3&lt;=$O$2,$D143,$D143-($D143-$I$130)*MIN(N$3-$O$2,$Q$2)/$Q$2))</f>
        <v>2950.87287488256</v>
      </c>
      <c r="O143" s="15" t="n">
        <f aca="false">SUMPRODUCT(E143:N143,1/(1+$F$130)^$E$3:$N$3)*$E$2</f>
        <v>9147.71538688024</v>
      </c>
      <c r="P143" s="15" t="n">
        <f aca="false">N143*$E$2*(1+$I$130)/($F$130-$I$130)/(1+$F$130)^$N$3</f>
        <v>17908.5403008811</v>
      </c>
      <c r="Q143" s="15" t="n">
        <f aca="false">O143+P143</f>
        <v>27056.2556877614</v>
      </c>
      <c r="R143" s="15" t="n">
        <f aca="false">Q143-$G$2+$I$2</f>
        <v>22988.4556877614</v>
      </c>
      <c r="S143" s="42" t="n">
        <f aca="false">R143/$K$2</f>
        <v>176.616899875241</v>
      </c>
      <c r="T143" s="43" t="n">
        <f aca="false">S143-$M$2</f>
        <v>-0.0118647221776484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-0.0228271484375</v>
      </c>
      <c r="C144" s="25" t="n">
        <f aca="false">IF(T143&gt;0,D143,C143)</f>
        <v>-0.0224609375</v>
      </c>
      <c r="D144" s="41" t="n">
        <f aca="false">(B144+C144)/2</f>
        <v>-0.02264404296875</v>
      </c>
      <c r="E144" s="15" t="n">
        <f aca="false">$C$2*(1+IF(E$3&lt;=$O$2,$D144,$D144-($D144-$I$130)*MIN(E$3-$O$2,$Q$2)/$Q$2))</f>
        <v>3068.89770507813</v>
      </c>
      <c r="F144" s="15" t="n">
        <f aca="false">E144*(1+IF(F$3&lt;=$O$2,$D144,$D144-($D144-$I$130)*MIN(F$3-$O$2,$Q$2)/$Q$2))</f>
        <v>2999.40545357764</v>
      </c>
      <c r="G144" s="15" t="n">
        <f aca="false">F144*(1+IF(G$3&lt;=$O$2,$D144,$D144-($D144-$I$130)*MIN(G$3-$O$2,$Q$2)/$Q$2))</f>
        <v>2931.48678760612</v>
      </c>
      <c r="H144" s="15" t="n">
        <f aca="false">G144*(1+IF(H$3&lt;=$O$2,$D144,$D144-($D144-$I$130)*MIN(H$3-$O$2,$Q$2)/$Q$2))</f>
        <v>2865.10607482525</v>
      </c>
      <c r="I144" s="15" t="n">
        <f aca="false">H144*(1+IF(I$3&lt;=$O$2,$D144,$D144-($D144-$I$130)*MIN(I$3-$O$2,$Q$2)/$Q$2))</f>
        <v>2800.22848975688</v>
      </c>
      <c r="J144" s="15" t="n">
        <f aca="false">I144*(1+IF(J$3&lt;=$O$2,$D144,$D144-($D144-$I$130)*MIN(J$3-$O$2,$Q$2)/$Q$2))</f>
        <v>2768.15121610316</v>
      </c>
      <c r="K144" s="15" t="n">
        <f aca="false">J144*(1+IF(K$3&lt;=$O$2,$D144,$D144-($D144-$I$130)*MIN(K$3-$O$2,$Q$2)/$Q$2))</f>
        <v>2767.41370925279</v>
      </c>
      <c r="L144" s="15" t="n">
        <f aca="false">K144*(1+IF(L$3&lt;=$O$2,$D144,$D144-($D144-$I$130)*MIN(L$3-$O$2,$Q$2)/$Q$2))</f>
        <v>2797.64046118581</v>
      </c>
      <c r="M144" s="15" t="n">
        <f aca="false">L144*(1+IF(M$3&lt;=$O$2,$D144,$D144-($D144-$I$130)*MIN(M$3-$O$2,$Q$2)/$Q$2))</f>
        <v>2859.49962490896</v>
      </c>
      <c r="N144" s="15" t="n">
        <f aca="false">M144*(1+IF(N$3&lt;=$O$2,$D144,$D144-($D144-$I$130)*MIN(N$3-$O$2,$Q$2)/$Q$2))</f>
        <v>2954.72096241843</v>
      </c>
      <c r="O144" s="15" t="n">
        <f aca="false">SUMPRODUCT(E144:N144,1/(1+$F$130)^$E$3:$N$3)*$E$2</f>
        <v>9155.11993056536</v>
      </c>
      <c r="P144" s="15" t="n">
        <f aca="false">N144*$E$2*(1+$I$130)/($F$130-$I$130)/(1+$F$130)^$N$3</f>
        <v>17931.8939435623</v>
      </c>
      <c r="Q144" s="15" t="n">
        <f aca="false">O144+P144</f>
        <v>27087.0138741276</v>
      </c>
      <c r="R144" s="15" t="n">
        <f aca="false">Q144-$G$2+$I$2</f>
        <v>23019.2138741276</v>
      </c>
      <c r="S144" s="42" t="n">
        <f aca="false">R144/$K$2</f>
        <v>176.853210465025</v>
      </c>
      <c r="T144" s="43" t="n">
        <f aca="false">S144-$M$2</f>
        <v>0.22444586760605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-0.0228271484375</v>
      </c>
      <c r="C145" s="25" t="n">
        <f aca="false">IF(T144&gt;0,D144,C144)</f>
        <v>-0.02264404296875</v>
      </c>
      <c r="D145" s="41" t="n">
        <f aca="false">(B145+C145)/2</f>
        <v>-0.022735595703125</v>
      </c>
      <c r="E145" s="15" t="n">
        <f aca="false">$C$2*(1+IF(E$3&lt;=$O$2,$D145,$D145-($D145-$I$130)*MIN(E$3-$O$2,$Q$2)/$Q$2))</f>
        <v>3068.61022949219</v>
      </c>
      <c r="F145" s="15" t="n">
        <f aca="false">E145*(1+IF(F$3&lt;=$O$2,$D145,$D145-($D145-$I$130)*MIN(F$3-$O$2,$Q$2)/$Q$2))</f>
        <v>2998.84354794398</v>
      </c>
      <c r="G145" s="15" t="n">
        <f aca="false">F145*(1+IF(G$3&lt;=$O$2,$D145,$D145-($D145-$I$130)*MIN(G$3-$O$2,$Q$2)/$Q$2))</f>
        <v>2930.663053461</v>
      </c>
      <c r="H145" s="15" t="n">
        <f aca="false">G145*(1+IF(H$3&lt;=$O$2,$D145,$D145-($D145-$I$130)*MIN(H$3-$O$2,$Q$2)/$Q$2))</f>
        <v>2864.03268313543</v>
      </c>
      <c r="I145" s="15" t="n">
        <f aca="false">H145*(1+IF(I$3&lt;=$O$2,$D145,$D145-($D145-$I$130)*MIN(I$3-$O$2,$Q$2)/$Q$2))</f>
        <v>2798.91719397112</v>
      </c>
      <c r="J145" s="15" t="n">
        <f aca="false">I145*(1+IF(J$3&lt;=$O$2,$D145,$D145-($D145-$I$130)*MIN(J$3-$O$2,$Q$2)/$Q$2))</f>
        <v>2766.64994270005</v>
      </c>
      <c r="K145" s="15" t="n">
        <f aca="false">J145*(1+IF(K$3&lt;=$O$2,$D145,$D145-($D145-$I$130)*MIN(K$3-$O$2,$Q$2)/$Q$2))</f>
        <v>2765.76085920723</v>
      </c>
      <c r="L145" s="15" t="n">
        <f aca="false">K145*(1+IF(L$3&lt;=$O$2,$D145,$D145-($D145-$I$130)*MIN(L$3-$O$2,$Q$2)/$Q$2))</f>
        <v>2795.86827289161</v>
      </c>
      <c r="M145" s="15" t="n">
        <f aca="false">L145*(1+IF(M$3&lt;=$O$2,$D145,$D145-($D145-$I$130)*MIN(M$3-$O$2,$Q$2)/$Q$2))</f>
        <v>2857.63705754311</v>
      </c>
      <c r="N145" s="15" t="n">
        <f aca="false">M145*(1+IF(N$3&lt;=$O$2,$D145,$D145-($D145-$I$130)*MIN(N$3-$O$2,$Q$2)/$Q$2))</f>
        <v>2952.79637155929</v>
      </c>
      <c r="O145" s="15" t="n">
        <f aca="false">SUMPRODUCT(E145:N145,1/(1+$F$130)^$E$3:$N$3)*$E$2</f>
        <v>9151.41688994174</v>
      </c>
      <c r="P145" s="15" t="n">
        <f aca="false">N145*$E$2*(1+$I$130)/($F$130-$I$130)/(1+$F$130)^$N$3</f>
        <v>17920.2138019821</v>
      </c>
      <c r="Q145" s="15" t="n">
        <f aca="false">O145+P145</f>
        <v>27071.6306919239</v>
      </c>
      <c r="R145" s="15" t="n">
        <f aca="false">Q145-$G$2+$I$2</f>
        <v>23003.8306919239</v>
      </c>
      <c r="S145" s="42" t="n">
        <f aca="false">R145/$K$2</f>
        <v>176.735023754793</v>
      </c>
      <c r="T145" s="43" t="n">
        <f aca="false">S145-$M$2</f>
        <v>0.106259157374552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-0.0228271484375</v>
      </c>
      <c r="C146" s="25" t="n">
        <f aca="false">IF(T145&gt;0,D145,C145)</f>
        <v>-0.022735595703125</v>
      </c>
      <c r="D146" s="41" t="n">
        <f aca="false">(B146+C146)/2</f>
        <v>-0.0227813720703125</v>
      </c>
      <c r="E146" s="15" t="n">
        <f aca="false">$C$2*(1+IF(E$3&lt;=$O$2,$D146,$D146-($D146-$I$130)*MIN(E$3-$O$2,$Q$2)/$Q$2))</f>
        <v>3068.46649169922</v>
      </c>
      <c r="F146" s="15" t="n">
        <f aca="false">E146*(1+IF(F$3&lt;=$O$2,$D146,$D146-($D146-$I$130)*MIN(F$3-$O$2,$Q$2)/$Q$2))</f>
        <v>2998.56261486653</v>
      </c>
      <c r="G146" s="15" t="n">
        <f aca="false">F146*(1+IF(G$3&lt;=$O$2,$D146,$D146-($D146-$I$130)*MIN(G$3-$O$2,$Q$2)/$Q$2))</f>
        <v>2930.25124426113</v>
      </c>
      <c r="H146" s="15" t="n">
        <f aca="false">G146*(1+IF(H$3&lt;=$O$2,$D146,$D146-($D146-$I$130)*MIN(H$3-$O$2,$Q$2)/$Q$2))</f>
        <v>2863.49610040612</v>
      </c>
      <c r="I146" s="15" t="n">
        <f aca="false">H146*(1+IF(I$3&lt;=$O$2,$D146,$D146-($D146-$I$130)*MIN(I$3-$O$2,$Q$2)/$Q$2))</f>
        <v>2798.26173032088</v>
      </c>
      <c r="J146" s="15" t="n">
        <f aca="false">I146*(1+IF(J$3&lt;=$O$2,$D146,$D146-($D146-$I$130)*MIN(J$3-$O$2,$Q$2)/$Q$2))</f>
        <v>2765.89956014197</v>
      </c>
      <c r="K146" s="15" t="n">
        <f aca="false">J146*(1+IF(K$3&lt;=$O$2,$D146,$D146-($D146-$I$130)*MIN(K$3-$O$2,$Q$2)/$Q$2))</f>
        <v>2764.93475008984</v>
      </c>
      <c r="L146" s="15" t="n">
        <f aca="false">K146*(1+IF(L$3&lt;=$O$2,$D146,$D146-($D146-$I$130)*MIN(L$3-$O$2,$Q$2)/$Q$2))</f>
        <v>2794.98254347986</v>
      </c>
      <c r="M146" s="15" t="n">
        <f aca="false">L146*(1+IF(M$3&lt;=$O$2,$D146,$D146-($D146-$I$130)*MIN(M$3-$O$2,$Q$2)/$Q$2))</f>
        <v>2856.70617098755</v>
      </c>
      <c r="N146" s="15" t="n">
        <f aca="false">M146*(1+IF(N$3&lt;=$O$2,$D146,$D146-($D146-$I$130)*MIN(N$3-$O$2,$Q$2)/$Q$2))</f>
        <v>2951.83448648144</v>
      </c>
      <c r="O146" s="15" t="n">
        <f aca="false">SUMPRODUCT(E146:N146,1/(1+$F$130)^$E$3:$N$3)*$E$2</f>
        <v>9149.56594625362</v>
      </c>
      <c r="P146" s="15" t="n">
        <f aca="false">N146*$E$2*(1+$I$130)/($F$130-$I$130)/(1+$F$130)^$N$3</f>
        <v>17914.3762215739</v>
      </c>
      <c r="Q146" s="15" t="n">
        <f aca="false">O146+P146</f>
        <v>27063.9421678275</v>
      </c>
      <c r="R146" s="15" t="n">
        <f aca="false">Q146-$G$2+$I$2</f>
        <v>22996.1421678275</v>
      </c>
      <c r="S146" s="42" t="n">
        <f aca="false">R146/$K$2</f>
        <v>176.675953963027</v>
      </c>
      <c r="T146" s="43" t="n">
        <f aca="false">S146-$M$2</f>
        <v>0.0471893656079487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-0.0228271484375</v>
      </c>
      <c r="C147" s="25" t="n">
        <f aca="false">IF(T146&gt;0,D146,C146)</f>
        <v>-0.0227813720703125</v>
      </c>
      <c r="D147" s="41" t="n">
        <f aca="false">(B147+C147)/2</f>
        <v>-0.0228042602539063</v>
      </c>
      <c r="E147" s="15" t="n">
        <f aca="false">$C$2*(1+IF(E$3&lt;=$O$2,$D147,$D147-($D147-$I$130)*MIN(E$3-$O$2,$Q$2)/$Q$2))</f>
        <v>3068.39462280273</v>
      </c>
      <c r="F147" s="15" t="n">
        <f aca="false">E147*(1+IF(F$3&lt;=$O$2,$D147,$D147-($D147-$I$130)*MIN(F$3-$O$2,$Q$2)/$Q$2))</f>
        <v>2998.42215326265</v>
      </c>
      <c r="G147" s="15" t="n">
        <f aca="false">F147*(1+IF(G$3&lt;=$O$2,$D147,$D147-($D147-$I$130)*MIN(G$3-$O$2,$Q$2)/$Q$2))</f>
        <v>2930.04535412857</v>
      </c>
      <c r="H147" s="15" t="n">
        <f aca="false">G147*(1+IF(H$3&lt;=$O$2,$D147,$D147-($D147-$I$130)*MIN(H$3-$O$2,$Q$2)/$Q$2))</f>
        <v>2863.22783731728</v>
      </c>
      <c r="I147" s="15" t="n">
        <f aca="false">H147*(1+IF(I$3&lt;=$O$2,$D147,$D147-($D147-$I$130)*MIN(I$3-$O$2,$Q$2)/$Q$2))</f>
        <v>2797.93404454887</v>
      </c>
      <c r="J147" s="15" t="n">
        <f aca="false">I147*(1+IF(J$3&lt;=$O$2,$D147,$D147-($D147-$I$130)*MIN(J$3-$O$2,$Q$2)/$Q$2))</f>
        <v>2765.52443238544</v>
      </c>
      <c r="K147" s="15" t="n">
        <f aca="false">J147*(1+IF(K$3&lt;=$O$2,$D147,$D147-($D147-$I$130)*MIN(K$3-$O$2,$Q$2)/$Q$2))</f>
        <v>2764.52177448802</v>
      </c>
      <c r="L147" s="15" t="n">
        <f aca="false">K147*(1+IF(L$3&lt;=$O$2,$D147,$D147-($D147-$I$130)*MIN(L$3-$O$2,$Q$2)/$Q$2))</f>
        <v>2794.53976993308</v>
      </c>
      <c r="M147" s="15" t="n">
        <f aca="false">L147*(1+IF(M$3&lt;=$O$2,$D147,$D147-($D147-$I$130)*MIN(M$3-$O$2,$Q$2)/$Q$2))</f>
        <v>2856.24082696341</v>
      </c>
      <c r="N147" s="15" t="n">
        <f aca="false">M147*(1+IF(N$3&lt;=$O$2,$D147,$D147-($D147-$I$130)*MIN(N$3-$O$2,$Q$2)/$Q$2))</f>
        <v>2951.35364650129</v>
      </c>
      <c r="O147" s="15" t="n">
        <f aca="false">SUMPRODUCT(E147:N147,1/(1+$F$130)^$E$3:$N$3)*$E$2</f>
        <v>9148.64061853233</v>
      </c>
      <c r="P147" s="15" t="n">
        <f aca="false">N147*$E$2*(1+$I$130)/($F$130-$I$130)/(1+$F$130)^$N$3</f>
        <v>17911.4580537884</v>
      </c>
      <c r="Q147" s="15" t="n">
        <f aca="false">O147+P147</f>
        <v>27060.0986723207</v>
      </c>
      <c r="R147" s="15" t="n">
        <f aca="false">Q147-$G$2+$I$2</f>
        <v>22992.2986723207</v>
      </c>
      <c r="S147" s="42" t="n">
        <f aca="false">R147/$K$2</f>
        <v>176.646424956367</v>
      </c>
      <c r="T147" s="43" t="n">
        <f aca="false">S147-$M$2</f>
        <v>0.0176603589481488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-0.0228271484375</v>
      </c>
      <c r="C148" s="25" t="n">
        <f aca="false">IF(T147&gt;0,D147,C147)</f>
        <v>-0.0228042602539063</v>
      </c>
      <c r="D148" s="41" t="n">
        <f aca="false">(B148+C148)/2</f>
        <v>-0.0228157043457031</v>
      </c>
      <c r="E148" s="15" t="n">
        <f aca="false">$C$2*(1+IF(E$3&lt;=$O$2,$D148,$D148-($D148-$I$130)*MIN(E$3-$O$2,$Q$2)/$Q$2))</f>
        <v>3068.35868835449</v>
      </c>
      <c r="F148" s="15" t="n">
        <f aca="false">E148*(1+IF(F$3&lt;=$O$2,$D148,$D148-($D148-$I$130)*MIN(F$3-$O$2,$Q$2)/$Q$2))</f>
        <v>2998.35192369443</v>
      </c>
      <c r="G148" s="15" t="n">
        <f aca="false">F148*(1+IF(G$3&lt;=$O$2,$D148,$D148-($D148-$I$130)*MIN(G$3-$O$2,$Q$2)/$Q$2))</f>
        <v>2929.94241267904</v>
      </c>
      <c r="H148" s="15" t="n">
        <f aca="false">G148*(1+IF(H$3&lt;=$O$2,$D148,$D148-($D148-$I$130)*MIN(H$3-$O$2,$Q$2)/$Q$2))</f>
        <v>2863.09371284142</v>
      </c>
      <c r="I148" s="15" t="n">
        <f aca="false">H148*(1+IF(I$3&lt;=$O$2,$D148,$D148-($D148-$I$130)*MIN(I$3-$O$2,$Q$2)/$Q$2))</f>
        <v>2797.77021317519</v>
      </c>
      <c r="J148" s="15" t="n">
        <f aca="false">I148*(1+IF(J$3&lt;=$O$2,$D148,$D148-($D148-$I$130)*MIN(J$3-$O$2,$Q$2)/$Q$2))</f>
        <v>2765.33688438612</v>
      </c>
      <c r="K148" s="15" t="n">
        <f aca="false">J148*(1+IF(K$3&lt;=$O$2,$D148,$D148-($D148-$I$130)*MIN(K$3-$O$2,$Q$2)/$Q$2))</f>
        <v>2764.31530642389</v>
      </c>
      <c r="L148" s="15" t="n">
        <f aca="false">K148*(1+IF(L$3&lt;=$O$2,$D148,$D148-($D148-$I$130)*MIN(L$3-$O$2,$Q$2)/$Q$2))</f>
        <v>2794.31840594637</v>
      </c>
      <c r="M148" s="15" t="n">
        <f aca="false">L148*(1+IF(M$3&lt;=$O$2,$D148,$D148-($D148-$I$130)*MIN(M$3-$O$2,$Q$2)/$Q$2))</f>
        <v>2856.00817976122</v>
      </c>
      <c r="N148" s="15" t="n">
        <f aca="false">M148*(1+IF(N$3&lt;=$O$2,$D148,$D148-($D148-$I$130)*MIN(N$3-$O$2,$Q$2)/$Q$2))</f>
        <v>2951.11325214727</v>
      </c>
      <c r="O148" s="15" t="n">
        <f aca="false">SUMPRODUCT(E148:N148,1/(1+$F$130)^$E$3:$N$3)*$E$2</f>
        <v>9148.17799069822</v>
      </c>
      <c r="P148" s="15" t="n">
        <f aca="false">N148*$E$2*(1+$I$130)/($F$130-$I$130)/(1+$F$130)^$N$3</f>
        <v>17909.9991254781</v>
      </c>
      <c r="Q148" s="15" t="n">
        <f aca="false">O148+P148</f>
        <v>27058.1771161763</v>
      </c>
      <c r="R148" s="15" t="n">
        <f aca="false">Q148-$G$2+$I$2</f>
        <v>22990.3771161763</v>
      </c>
      <c r="S148" s="42" t="n">
        <f aca="false">R148/$K$2</f>
        <v>176.631661925141</v>
      </c>
      <c r="T148" s="43" t="n">
        <f aca="false">S148-$M$2</f>
        <v>0.00289732772219509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-0.0228271484375</v>
      </c>
      <c r="C149" s="25" t="n">
        <f aca="false">IF(T148&gt;0,D148,C148)</f>
        <v>-0.0228157043457031</v>
      </c>
      <c r="D149" s="41" t="n">
        <f aca="false">(B149+C149)/2</f>
        <v>-0.0228214263916016</v>
      </c>
      <c r="E149" s="15" t="n">
        <f aca="false">$C$2*(1+IF(E$3&lt;=$O$2,$D149,$D149-($D149-$I$130)*MIN(E$3-$O$2,$Q$2)/$Q$2))</f>
        <v>3068.34072113037</v>
      </c>
      <c r="F149" s="15" t="n">
        <f aca="false">E149*(1+IF(F$3&lt;=$O$2,$D149,$D149-($D149-$I$130)*MIN(F$3-$O$2,$Q$2)/$Q$2))</f>
        <v>2998.31680921874</v>
      </c>
      <c r="G149" s="15" t="n">
        <f aca="false">F149*(1+IF(G$3&lt;=$O$2,$D149,$D149-($D149-$I$130)*MIN(G$3-$O$2,$Q$2)/$Q$2))</f>
        <v>2929.89094285845</v>
      </c>
      <c r="H149" s="15" t="n">
        <f aca="false">G149*(1+IF(H$3&lt;=$O$2,$D149,$D149-($D149-$I$130)*MIN(H$3-$O$2,$Q$2)/$Q$2))</f>
        <v>2863.02665237059</v>
      </c>
      <c r="I149" s="15" t="n">
        <f aca="false">H149*(1+IF(I$3&lt;=$O$2,$D149,$D149-($D149-$I$130)*MIN(I$3-$O$2,$Q$2)/$Q$2))</f>
        <v>2797.68830036632</v>
      </c>
      <c r="J149" s="15" t="n">
        <f aca="false">I149*(1+IF(J$3&lt;=$O$2,$D149,$D149-($D149-$I$130)*MIN(J$3-$O$2,$Q$2)/$Q$2))</f>
        <v>2765.243114356</v>
      </c>
      <c r="K149" s="15" t="n">
        <f aca="false">J149*(1+IF(K$3&lt;=$O$2,$D149,$D149-($D149-$I$130)*MIN(K$3-$O$2,$Q$2)/$Q$2))</f>
        <v>2764.21207732572</v>
      </c>
      <c r="L149" s="15" t="n">
        <f aca="false">K149*(1+IF(L$3&lt;=$O$2,$D149,$D149-($D149-$I$130)*MIN(L$3-$O$2,$Q$2)/$Q$2))</f>
        <v>2794.20772964931</v>
      </c>
      <c r="M149" s="15" t="n">
        <f aca="false">L149*(1+IF(M$3&lt;=$O$2,$D149,$D149-($D149-$I$130)*MIN(M$3-$O$2,$Q$2)/$Q$2))</f>
        <v>2855.89186236216</v>
      </c>
      <c r="N149" s="15" t="n">
        <f aca="false">M149*(1+IF(N$3&lt;=$O$2,$D149,$D149-($D149-$I$130)*MIN(N$3-$O$2,$Q$2)/$Q$2))</f>
        <v>2950.99306137882</v>
      </c>
      <c r="O149" s="15" t="n">
        <f aca="false">SUMPRODUCT(E149:N149,1/(1+$F$130)^$E$3:$N$3)*$E$2</f>
        <v>9147.94668578729</v>
      </c>
      <c r="P149" s="15" t="n">
        <f aca="false">N149*$E$2*(1+$I$130)/($F$130-$I$130)/(1+$F$130)^$N$3</f>
        <v>17909.2697002159</v>
      </c>
      <c r="Q149" s="15" t="n">
        <f aca="false">O149+P149</f>
        <v>27057.2163860032</v>
      </c>
      <c r="R149" s="15" t="n">
        <f aca="false">Q149-$G$2+$I$2</f>
        <v>22989.4163860032</v>
      </c>
      <c r="S149" s="42" t="n">
        <f aca="false">R149/$K$2</f>
        <v>176.624280777529</v>
      </c>
      <c r="T149" s="43" t="n">
        <f aca="false">S149-$M$2</f>
        <v>-0.00448381988977076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-0.0228214263916016</v>
      </c>
      <c r="C150" s="25" t="n">
        <f aca="false">IF(T149&gt;0,D149,C149)</f>
        <v>-0.0228157043457031</v>
      </c>
      <c r="D150" s="41" t="n">
        <f aca="false">(B150+C150)/2</f>
        <v>-0.0228185653686523</v>
      </c>
      <c r="E150" s="15" t="n">
        <f aca="false">$C$2*(1+IF(E$3&lt;=$O$2,$D150,$D150-($D150-$I$130)*MIN(E$3-$O$2,$Q$2)/$Q$2))</f>
        <v>3068.34970474243</v>
      </c>
      <c r="F150" s="15" t="n">
        <f aca="false">E150*(1+IF(F$3&lt;=$O$2,$D150,$D150-($D150-$I$130)*MIN(F$3-$O$2,$Q$2)/$Q$2))</f>
        <v>2998.33436643088</v>
      </c>
      <c r="G150" s="15" t="n">
        <f aca="false">F150*(1+IF(G$3&lt;=$O$2,$D150,$D150-($D150-$I$130)*MIN(G$3-$O$2,$Q$2)/$Q$2))</f>
        <v>2929.9166776934</v>
      </c>
      <c r="H150" s="15" t="n">
        <f aca="false">G150*(1+IF(H$3&lt;=$O$2,$D150,$D150-($D150-$I$130)*MIN(H$3-$O$2,$Q$2)/$Q$2))</f>
        <v>2863.06018245875</v>
      </c>
      <c r="I150" s="15" t="n">
        <f aca="false">H150*(1+IF(I$3&lt;=$O$2,$D150,$D150-($D150-$I$130)*MIN(I$3-$O$2,$Q$2)/$Q$2))</f>
        <v>2797.72925653093</v>
      </c>
      <c r="J150" s="15" t="n">
        <f aca="false">I150*(1+IF(J$3&lt;=$O$2,$D150,$D150-($D150-$I$130)*MIN(J$3-$O$2,$Q$2)/$Q$2))</f>
        <v>2765.28999904027</v>
      </c>
      <c r="K150" s="15" t="n">
        <f aca="false">J150*(1+IF(K$3&lt;=$O$2,$D150,$D150-($D150-$I$130)*MIN(K$3-$O$2,$Q$2)/$Q$2))</f>
        <v>2764.26369146366</v>
      </c>
      <c r="L150" s="15" t="n">
        <f aca="false">K150*(1+IF(L$3&lt;=$O$2,$D150,$D150-($D150-$I$130)*MIN(L$3-$O$2,$Q$2)/$Q$2))</f>
        <v>2794.26306732316</v>
      </c>
      <c r="M150" s="15" t="n">
        <f aca="false">L150*(1+IF(M$3&lt;=$O$2,$D150,$D150-($D150-$I$130)*MIN(M$3-$O$2,$Q$2)/$Q$2))</f>
        <v>2855.95002054487</v>
      </c>
      <c r="N150" s="15" t="n">
        <f aca="false">M150*(1+IF(N$3&lt;=$O$2,$D150,$D150-($D150-$I$130)*MIN(N$3-$O$2,$Q$2)/$Q$2))</f>
        <v>2951.05315622901</v>
      </c>
      <c r="O150" s="15" t="n">
        <f aca="false">SUMPRODUCT(E150:N150,1/(1+$F$130)^$E$3:$N$3)*$E$2</f>
        <v>9148.06233749226</v>
      </c>
      <c r="P150" s="15" t="n">
        <f aca="false">N150*$E$2*(1+$I$130)/($F$130-$I$130)/(1+$F$130)^$N$3</f>
        <v>17909.634409606</v>
      </c>
      <c r="Q150" s="15" t="n">
        <f aca="false">O150+P150</f>
        <v>27057.6967470983</v>
      </c>
      <c r="R150" s="15" t="n">
        <f aca="false">Q150-$G$2+$I$2</f>
        <v>22989.8967470983</v>
      </c>
      <c r="S150" s="42" t="n">
        <f aca="false">R150/$K$2</f>
        <v>176.627971320669</v>
      </c>
      <c r="T150" s="43" t="n">
        <f aca="false">S150-$M$2</f>
        <v>-0.000793276749732286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-0.0228185653686523</v>
      </c>
      <c r="C151" s="25" t="n">
        <f aca="false">IF(T150&gt;0,D150,C150)</f>
        <v>-0.0228157043457031</v>
      </c>
      <c r="D151" s="41" t="n">
        <f aca="false">(B151+C151)/2</f>
        <v>-0.0228171348571777</v>
      </c>
      <c r="E151" s="15" t="n">
        <f aca="false">$C$2*(1+IF(E$3&lt;=$O$2,$D151,$D151-($D151-$I$130)*MIN(E$3-$O$2,$Q$2)/$Q$2))</f>
        <v>3068.35419654846</v>
      </c>
      <c r="F151" s="15" t="n">
        <f aca="false">E151*(1+IF(F$3&lt;=$O$2,$D151,$D151-($D151-$I$130)*MIN(F$3-$O$2,$Q$2)/$Q$2))</f>
        <v>2998.34314505623</v>
      </c>
      <c r="G151" s="15" t="n">
        <f aca="false">F151*(1+IF(G$3&lt;=$O$2,$D151,$D151-($D151-$I$130)*MIN(G$3-$O$2,$Q$2)/$Q$2))</f>
        <v>2929.92954516739</v>
      </c>
      <c r="H151" s="15" t="n">
        <f aca="false">G151*(1+IF(H$3&lt;=$O$2,$D151,$D151-($D151-$I$130)*MIN(H$3-$O$2,$Q$2)/$Q$2))</f>
        <v>2863.07694761327</v>
      </c>
      <c r="I151" s="15" t="n">
        <f aca="false">H151*(1+IF(I$3&lt;=$O$2,$D151,$D151-($D151-$I$130)*MIN(I$3-$O$2,$Q$2)/$Q$2))</f>
        <v>2797.7497347931</v>
      </c>
      <c r="J151" s="15" t="n">
        <f aca="false">I151*(1+IF(J$3&lt;=$O$2,$D151,$D151-($D151-$I$130)*MIN(J$3-$O$2,$Q$2)/$Q$2))</f>
        <v>2765.3134416305</v>
      </c>
      <c r="K151" s="15" t="n">
        <f aca="false">J151*(1+IF(K$3&lt;=$O$2,$D151,$D151-($D151-$I$130)*MIN(K$3-$O$2,$Q$2)/$Q$2))</f>
        <v>2764.28949884099</v>
      </c>
      <c r="L151" s="15" t="n">
        <f aca="false">K151*(1+IF(L$3&lt;=$O$2,$D151,$D151-($D151-$I$130)*MIN(L$3-$O$2,$Q$2)/$Q$2))</f>
        <v>2794.2907365161</v>
      </c>
      <c r="M151" s="15" t="n">
        <f aca="false">L151*(1+IF(M$3&lt;=$O$2,$D151,$D151-($D151-$I$130)*MIN(M$3-$O$2,$Q$2)/$Q$2))</f>
        <v>2855.97910002384</v>
      </c>
      <c r="N151" s="15" t="n">
        <f aca="false">M151*(1+IF(N$3&lt;=$O$2,$D151,$D151-($D151-$I$130)*MIN(N$3-$O$2,$Q$2)/$Q$2))</f>
        <v>2951.08320405463</v>
      </c>
      <c r="O151" s="15" t="n">
        <f aca="false">SUMPRODUCT(E151:N151,1/(1+$F$130)^$E$3:$N$3)*$E$2</f>
        <v>9148.12016390762</v>
      </c>
      <c r="P151" s="15" t="n">
        <f aca="false">N151*$E$2*(1+$I$130)/($F$130-$I$130)/(1+$F$130)^$N$3</f>
        <v>17909.8167667318</v>
      </c>
      <c r="Q151" s="15" t="n">
        <f aca="false">O151+P151</f>
        <v>27057.9369306394</v>
      </c>
      <c r="R151" s="15" t="n">
        <f aca="false">Q151-$G$2+$I$2</f>
        <v>22990.1369306394</v>
      </c>
      <c r="S151" s="42" t="n">
        <f aca="false">R151/$K$2</f>
        <v>176.629816615238</v>
      </c>
      <c r="T151" s="43" t="n">
        <f aca="false">S151-$M$2</f>
        <v>0.00105201781966002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-0.0228185653686523</v>
      </c>
      <c r="C152" s="25" t="n">
        <f aca="false">IF(T151&gt;0,D151,C151)</f>
        <v>-0.0228171348571777</v>
      </c>
      <c r="D152" s="41" t="n">
        <f aca="false">(B152+C152)/2</f>
        <v>-0.022817850112915</v>
      </c>
      <c r="E152" s="15" t="n">
        <f aca="false">$C$2*(1+IF(E$3&lt;=$O$2,$D152,$D152-($D152-$I$130)*MIN(E$3-$O$2,$Q$2)/$Q$2))</f>
        <v>3068.35195064545</v>
      </c>
      <c r="F152" s="15" t="n">
        <f aca="false">E152*(1+IF(F$3&lt;=$O$2,$D152,$D152-($D152-$I$130)*MIN(F$3-$O$2,$Q$2)/$Q$2))</f>
        <v>2998.33875574195</v>
      </c>
      <c r="G152" s="15" t="n">
        <f aca="false">F152*(1+IF(G$3&lt;=$O$2,$D152,$D152-($D152-$I$130)*MIN(G$3-$O$2,$Q$2)/$Q$2))</f>
        <v>2929.92311142568</v>
      </c>
      <c r="H152" s="15" t="n">
        <f aca="false">G152*(1+IF(H$3&lt;=$O$2,$D152,$D152-($D152-$I$130)*MIN(H$3-$O$2,$Q$2)/$Q$2))</f>
        <v>2863.06856502681</v>
      </c>
      <c r="I152" s="15" t="n">
        <f aca="false">H152*(1+IF(I$3&lt;=$O$2,$D152,$D152-($D152-$I$130)*MIN(I$3-$O$2,$Q$2)/$Q$2))</f>
        <v>2797.73949564703</v>
      </c>
      <c r="J152" s="15" t="n">
        <f aca="false">I152*(1+IF(J$3&lt;=$O$2,$D152,$D152-($D152-$I$130)*MIN(J$3-$O$2,$Q$2)/$Q$2))</f>
        <v>2765.30172031471</v>
      </c>
      <c r="K152" s="15" t="n">
        <f aca="false">J152*(1+IF(K$3&lt;=$O$2,$D152,$D152-($D152-$I$130)*MIN(K$3-$O$2,$Q$2)/$Q$2))</f>
        <v>2764.27659512663</v>
      </c>
      <c r="L152" s="15" t="n">
        <f aca="false">K152*(1+IF(L$3&lt;=$O$2,$D152,$D152-($D152-$I$130)*MIN(L$3-$O$2,$Q$2)/$Q$2))</f>
        <v>2794.27690188996</v>
      </c>
      <c r="M152" s="15" t="n">
        <f aca="false">L152*(1+IF(M$3&lt;=$O$2,$D152,$D152-($D152-$I$130)*MIN(M$3-$O$2,$Q$2)/$Q$2))</f>
        <v>2855.96456025205</v>
      </c>
      <c r="N152" s="15" t="n">
        <f aca="false">M152*(1+IF(N$3&lt;=$O$2,$D152,$D152-($D152-$I$130)*MIN(N$3-$O$2,$Q$2)/$Q$2))</f>
        <v>2951.06818010844</v>
      </c>
      <c r="O152" s="15" t="n">
        <f aca="false">SUMPRODUCT(E152:N152,1/(1+$F$130)^$E$3:$N$3)*$E$2</f>
        <v>9148.09125065303</v>
      </c>
      <c r="P152" s="15" t="n">
        <f aca="false">N152*$E$2*(1+$I$130)/($F$130-$I$130)/(1+$F$130)^$N$3</f>
        <v>17909.7255879663</v>
      </c>
      <c r="Q152" s="15" t="n">
        <f aca="false">O152+P152</f>
        <v>27057.8168386194</v>
      </c>
      <c r="R152" s="15" t="n">
        <f aca="false">Q152-$G$2+$I$2</f>
        <v>22990.0168386194</v>
      </c>
      <c r="S152" s="42" t="n">
        <f aca="false">R152/$K$2</f>
        <v>176.628893966037</v>
      </c>
      <c r="T152" s="43" t="n">
        <f aca="false">S152-$M$2</f>
        <v>0.000129368618246417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-0.0228185653686523</v>
      </c>
      <c r="C153" s="25" t="n">
        <f aca="false">IF(T152&gt;0,D152,C152)</f>
        <v>-0.022817850112915</v>
      </c>
      <c r="D153" s="41" t="n">
        <f aca="false">(B153+C153)/2</f>
        <v>-0.0228182077407837</v>
      </c>
      <c r="E153" s="15" t="n">
        <f aca="false">$C$2*(1+IF(E$3&lt;=$O$2,$D153,$D153-($D153-$I$130)*MIN(E$3-$O$2,$Q$2)/$Q$2))</f>
        <v>3068.35082769394</v>
      </c>
      <c r="F153" s="15" t="n">
        <f aca="false">E153*(1+IF(F$3&lt;=$O$2,$D153,$D153-($D153-$I$130)*MIN(F$3-$O$2,$Q$2)/$Q$2))</f>
        <v>2998.33656108601</v>
      </c>
      <c r="G153" s="15" t="n">
        <f aca="false">F153*(1+IF(G$3&lt;=$O$2,$D153,$D153-($D153-$I$130)*MIN(G$3-$O$2,$Q$2)/$Q$2))</f>
        <v>2929.91989455837</v>
      </c>
      <c r="H153" s="15" t="n">
        <f aca="false">G153*(1+IF(H$3&lt;=$O$2,$D153,$D153-($D153-$I$130)*MIN(H$3-$O$2,$Q$2)/$Q$2))</f>
        <v>2863.06437374048</v>
      </c>
      <c r="I153" s="15" t="n">
        <f aca="false">H153*(1+IF(I$3&lt;=$O$2,$D153,$D153-($D153-$I$130)*MIN(I$3-$O$2,$Q$2)/$Q$2))</f>
        <v>2797.73437608523</v>
      </c>
      <c r="J153" s="15" t="n">
        <f aca="false">I153*(1+IF(J$3&lt;=$O$2,$D153,$D153-($D153-$I$130)*MIN(J$3-$O$2,$Q$2)/$Q$2))</f>
        <v>2765.29585967232</v>
      </c>
      <c r="K153" s="15" t="n">
        <f aca="false">J153*(1+IF(K$3&lt;=$O$2,$D153,$D153-($D153-$I$130)*MIN(K$3-$O$2,$Q$2)/$Q$2))</f>
        <v>2764.27014328872</v>
      </c>
      <c r="L153" s="15" t="n">
        <f aca="false">K153*(1+IF(L$3&lt;=$O$2,$D153,$D153-($D153-$I$130)*MIN(L$3-$O$2,$Q$2)/$Q$2))</f>
        <v>2794.26998459914</v>
      </c>
      <c r="M153" s="15" t="n">
        <f aca="false">L153*(1+IF(M$3&lt;=$O$2,$D153,$D153-($D153-$I$130)*MIN(M$3-$O$2,$Q$2)/$Q$2))</f>
        <v>2855.95729039038</v>
      </c>
      <c r="N153" s="15" t="n">
        <f aca="false">M153*(1+IF(N$3&lt;=$O$2,$D153,$D153-($D153-$I$130)*MIN(N$3-$O$2,$Q$2)/$Q$2))</f>
        <v>2951.06066816038</v>
      </c>
      <c r="O153" s="15" t="n">
        <f aca="false">SUMPRODUCT(E153:N153,1/(1+$F$130)^$E$3:$N$3)*$E$2</f>
        <v>9148.07679406092</v>
      </c>
      <c r="P153" s="15" t="n">
        <f aca="false">N153*$E$2*(1+$I$130)/($F$130-$I$130)/(1+$F$130)^$N$3</f>
        <v>17909.6799987355</v>
      </c>
      <c r="Q153" s="15" t="n">
        <f aca="false">O153+P153</f>
        <v>27057.7567927964</v>
      </c>
      <c r="R153" s="15" t="n">
        <f aca="false">Q153-$G$2+$I$2</f>
        <v>22989.9567927964</v>
      </c>
      <c r="S153" s="42" t="n">
        <f aca="false">R153/$K$2</f>
        <v>176.628432642874</v>
      </c>
      <c r="T153" s="43" t="n">
        <f aca="false">S153-$M$2</f>
        <v>-0.000331954544947166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-0.0228182077407837</v>
      </c>
      <c r="C154" s="25" t="n">
        <f aca="false">IF(T153&gt;0,D153,C153)</f>
        <v>-0.022817850112915</v>
      </c>
      <c r="D154" s="41" t="n">
        <f aca="false">(B154+C154)/2</f>
        <v>-0.0228180289268494</v>
      </c>
      <c r="E154" s="15" t="n">
        <f aca="false">$C$2*(1+IF(E$3&lt;=$O$2,$D154,$D154-($D154-$I$130)*MIN(E$3-$O$2,$Q$2)/$Q$2))</f>
        <v>3068.35138916969</v>
      </c>
      <c r="F154" s="15" t="n">
        <f aca="false">E154*(1+IF(F$3&lt;=$O$2,$D154,$D154-($D154-$I$130)*MIN(F$3-$O$2,$Q$2)/$Q$2))</f>
        <v>2998.33765841388</v>
      </c>
      <c r="G154" s="15" t="n">
        <f aca="false">F154*(1+IF(G$3&lt;=$O$2,$D154,$D154-($D154-$I$130)*MIN(G$3-$O$2,$Q$2)/$Q$2))</f>
        <v>2929.92150299173</v>
      </c>
      <c r="H154" s="15" t="n">
        <f aca="false">G154*(1+IF(H$3&lt;=$O$2,$D154,$D154-($D154-$I$130)*MIN(H$3-$O$2,$Q$2)/$Q$2))</f>
        <v>2863.06646938307</v>
      </c>
      <c r="I154" s="15" t="n">
        <f aca="false">H154*(1+IF(I$3&lt;=$O$2,$D154,$D154-($D154-$I$130)*MIN(I$3-$O$2,$Q$2)/$Q$2))</f>
        <v>2797.73693586519</v>
      </c>
      <c r="J154" s="15" t="n">
        <f aca="false">I154*(1+IF(J$3&lt;=$O$2,$D154,$D154-($D154-$I$130)*MIN(J$3-$O$2,$Q$2)/$Q$2))</f>
        <v>2765.29878999223</v>
      </c>
      <c r="K154" s="15" t="n">
        <f aca="false">J154*(1+IF(K$3&lt;=$O$2,$D154,$D154-($D154-$I$130)*MIN(K$3-$O$2,$Q$2)/$Q$2))</f>
        <v>2764.27336920607</v>
      </c>
      <c r="L154" s="15" t="n">
        <f aca="false">K154*(1+IF(L$3&lt;=$O$2,$D154,$D154-($D154-$I$130)*MIN(L$3-$O$2,$Q$2)/$Q$2))</f>
        <v>2794.2734432427</v>
      </c>
      <c r="M154" s="15" t="n">
        <f aca="false">L154*(1+IF(M$3&lt;=$O$2,$D154,$D154-($D154-$I$130)*MIN(M$3-$O$2,$Q$2)/$Q$2))</f>
        <v>2855.9609253192</v>
      </c>
      <c r="N154" s="15" t="n">
        <f aca="false">M154*(1+IF(N$3&lt;=$O$2,$D154,$D154-($D154-$I$130)*MIN(N$3-$O$2,$Q$2)/$Q$2))</f>
        <v>2951.06442413233</v>
      </c>
      <c r="O154" s="15" t="n">
        <f aca="false">SUMPRODUCT(E154:N154,1/(1+$F$130)^$E$3:$N$3)*$E$2</f>
        <v>9148.08402235405</v>
      </c>
      <c r="P154" s="15" t="n">
        <f aca="false">N154*$E$2*(1+$I$130)/($F$130-$I$130)/(1+$F$130)^$N$3</f>
        <v>17909.7027933383</v>
      </c>
      <c r="Q154" s="15" t="n">
        <f aca="false">O154+P154</f>
        <v>27057.7868156923</v>
      </c>
      <c r="R154" s="15" t="n">
        <f aca="false">Q154-$G$2+$I$2</f>
        <v>22989.9868156923</v>
      </c>
      <c r="S154" s="42" t="n">
        <f aca="false">R154/$K$2</f>
        <v>176.628663304336</v>
      </c>
      <c r="T154" s="43" t="n">
        <f aca="false">S154-$M$2</f>
        <v>-0.000101293083105247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-0.0228180289268494</v>
      </c>
      <c r="C155" s="25" t="n">
        <f aca="false">IF(T154&gt;0,D154,C154)</f>
        <v>-0.022817850112915</v>
      </c>
      <c r="D155" s="41" t="n">
        <f aca="false">(B155+C155)/2</f>
        <v>-0.0228179395198822</v>
      </c>
      <c r="E155" s="15" t="n">
        <f aca="false">$C$2*(1+IF(E$3&lt;=$O$2,$D155,$D155-($D155-$I$130)*MIN(E$3-$O$2,$Q$2)/$Q$2))</f>
        <v>3068.35166990757</v>
      </c>
      <c r="F155" s="15" t="n">
        <f aca="false">E155*(1+IF(F$3&lt;=$O$2,$D155,$D155-($D155-$I$130)*MIN(F$3-$O$2,$Q$2)/$Q$2))</f>
        <v>2998.33820707789</v>
      </c>
      <c r="G155" s="15" t="n">
        <f aca="false">F155*(1+IF(G$3&lt;=$O$2,$D155,$D155-($D155-$I$130)*MIN(G$3-$O$2,$Q$2)/$Q$2))</f>
        <v>2929.92230720863</v>
      </c>
      <c r="H155" s="15" t="n">
        <f aca="false">G155*(1+IF(H$3&lt;=$O$2,$D155,$D155-($D155-$I$130)*MIN(H$3-$O$2,$Q$2)/$Q$2))</f>
        <v>2863.06751720479</v>
      </c>
      <c r="I155" s="15" t="n">
        <f aca="false">H155*(1+IF(I$3&lt;=$O$2,$D155,$D155-($D155-$I$130)*MIN(I$3-$O$2,$Q$2)/$Q$2))</f>
        <v>2797.73821575588</v>
      </c>
      <c r="J155" s="15" t="n">
        <f aca="false">I155*(1+IF(J$3&lt;=$O$2,$D155,$D155-($D155-$I$130)*MIN(J$3-$O$2,$Q$2)/$Q$2))</f>
        <v>2765.30025515315</v>
      </c>
      <c r="K155" s="15" t="n">
        <f aca="false">J155*(1+IF(K$3&lt;=$O$2,$D155,$D155-($D155-$I$130)*MIN(K$3-$O$2,$Q$2)/$Q$2))</f>
        <v>2764.27498216595</v>
      </c>
      <c r="L155" s="15" t="n">
        <f aca="false">K155*(1+IF(L$3&lt;=$O$2,$D155,$D155-($D155-$I$130)*MIN(L$3-$O$2,$Q$2)/$Q$2))</f>
        <v>2794.27517256587</v>
      </c>
      <c r="M155" s="15" t="n">
        <f aca="false">L155*(1+IF(M$3&lt;=$O$2,$D155,$D155-($D155-$I$130)*MIN(M$3-$O$2,$Q$2)/$Q$2))</f>
        <v>2855.96274278512</v>
      </c>
      <c r="N155" s="15" t="n">
        <f aca="false">M155*(1+IF(N$3&lt;=$O$2,$D155,$D155-($D155-$I$130)*MIN(N$3-$O$2,$Q$2)/$Q$2))</f>
        <v>2951.06630211986</v>
      </c>
      <c r="O155" s="15" t="n">
        <f aca="false">SUMPRODUCT(E155:N155,1/(1+$F$130)^$E$3:$N$3)*$E$2</f>
        <v>9148.08763650281</v>
      </c>
      <c r="P155" s="15" t="n">
        <f aca="false">N155*$E$2*(1+$I$130)/($F$130-$I$130)/(1+$F$130)^$N$3</f>
        <v>17909.7141906491</v>
      </c>
      <c r="Q155" s="15" t="n">
        <f aca="false">O155+P155</f>
        <v>27057.8018271519</v>
      </c>
      <c r="R155" s="15" t="n">
        <f aca="false">Q155-$G$2+$I$2</f>
        <v>22990.0018271519</v>
      </c>
      <c r="S155" s="42" t="n">
        <f aca="false">R155/$K$2</f>
        <v>176.628778635156</v>
      </c>
      <c r="T155" s="43" t="n">
        <f aca="false">S155-$M$2</f>
        <v>1.40377376567358E-005</v>
      </c>
    </row>
    <row r="157" customFormat="false" ht="15" hidden="false" customHeight="false" outlineLevel="0" collapsed="false">
      <c r="A157" s="38" t="s">
        <v>179</v>
      </c>
      <c r="E157" s="5" t="s">
        <v>11</v>
      </c>
      <c r="F157" s="12" t="n">
        <f aca="false">Sensitivity!$B$10</f>
        <v>0.0719413943493295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155</v>
      </c>
      <c r="B158" s="28" t="s">
        <v>156</v>
      </c>
      <c r="C158" s="28" t="s">
        <v>157</v>
      </c>
      <c r="D158" s="28" t="s">
        <v>158</v>
      </c>
      <c r="E158" s="28" t="s">
        <v>159</v>
      </c>
      <c r="F158" s="28" t="s">
        <v>160</v>
      </c>
      <c r="G158" s="28" t="s">
        <v>161</v>
      </c>
      <c r="H158" s="28" t="s">
        <v>162</v>
      </c>
      <c r="I158" s="28" t="s">
        <v>163</v>
      </c>
      <c r="J158" s="28" t="s">
        <v>164</v>
      </c>
      <c r="K158" s="28" t="s">
        <v>165</v>
      </c>
      <c r="L158" s="28" t="s">
        <v>166</v>
      </c>
      <c r="M158" s="28" t="s">
        <v>167</v>
      </c>
      <c r="N158" s="28" t="s">
        <v>168</v>
      </c>
      <c r="O158" s="28" t="s">
        <v>169</v>
      </c>
      <c r="P158" s="28" t="s">
        <v>170</v>
      </c>
      <c r="Q158" s="28" t="s">
        <v>171</v>
      </c>
      <c r="R158" s="28" t="s">
        <v>172</v>
      </c>
      <c r="S158" s="28" t="s">
        <v>173</v>
      </c>
      <c r="T158" s="28" t="s">
        <v>174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3925</v>
      </c>
      <c r="F159" s="15" t="n">
        <f aca="false">E159*(1+IF(F$3&lt;=$O$2,$D159,$D159-($D159-$I$157)*MIN(F$3-$O$2,$Q$2)/$Q$2))</f>
        <v>4906.25</v>
      </c>
      <c r="G159" s="15" t="n">
        <f aca="false">F159*(1+IF(G$3&lt;=$O$2,$D159,$D159-($D159-$I$157)*MIN(G$3-$O$2,$Q$2)/$Q$2))</f>
        <v>6132.8125</v>
      </c>
      <c r="H159" s="15" t="n">
        <f aca="false">G159*(1+IF(H$3&lt;=$O$2,$D159,$D159-($D159-$I$157)*MIN(H$3-$O$2,$Q$2)/$Q$2))</f>
        <v>7666.015625</v>
      </c>
      <c r="I159" s="15" t="n">
        <f aca="false">H159*(1+IF(I$3&lt;=$O$2,$D159,$D159-($D159-$I$157)*MIN(I$3-$O$2,$Q$2)/$Q$2))</f>
        <v>9582.51953125</v>
      </c>
      <c r="J159" s="15" t="n">
        <f aca="false">I159*(1+IF(J$3&lt;=$O$2,$D159,$D159-($D159-$I$157)*MIN(J$3-$O$2,$Q$2)/$Q$2))</f>
        <v>11572.4255371094</v>
      </c>
      <c r="K159" s="15" t="n">
        <f aca="false">J159*(1+IF(K$3&lt;=$O$2,$D159,$D159-($D159-$I$157)*MIN(K$3-$O$2,$Q$2)/$Q$2))</f>
        <v>13485.5789269043</v>
      </c>
      <c r="L159" s="15" t="n">
        <f aca="false">K159*(1+IF(L$3&lt;=$O$2,$D159,$D159-($D159-$I$157)*MIN(L$3-$O$2,$Q$2)/$Q$2))</f>
        <v>15144.035423335</v>
      </c>
      <c r="M159" s="15" t="n">
        <f aca="false">L159*(1+IF(M$3&lt;=$O$2,$D159,$D159-($D159-$I$157)*MIN(M$3-$O$2,$Q$2)/$Q$2))</f>
        <v>16365.2504398727</v>
      </c>
      <c r="N159" s="15" t="n">
        <f aca="false">M159*(1+IF(N$3&lt;=$O$2,$D159,$D159-($D159-$I$157)*MIN(N$3-$O$2,$Q$2)/$Q$2))</f>
        <v>16992.0395317198</v>
      </c>
      <c r="O159" s="15" t="n">
        <f aca="false">SUMPRODUCT(E159:N159,1/(1+$F$157)^$E$3:$N$3)*$E$2</f>
        <v>30611.4572949242</v>
      </c>
      <c r="P159" s="15" t="n">
        <f aca="false">N159*$E$2*(1+$I$157)/($F$157-$I$157)/(1+$F$157)^$N$3</f>
        <v>119022.87161051</v>
      </c>
      <c r="Q159" s="15" t="n">
        <f aca="false">O159+P159</f>
        <v>149634.328905434</v>
      </c>
      <c r="R159" s="15" t="n">
        <f aca="false">Q159-$G$2+$I$2</f>
        <v>145566.528905434</v>
      </c>
      <c r="S159" s="42" t="n">
        <f aca="false">R159/$K$2</f>
        <v>1118.36607948244</v>
      </c>
      <c r="T159" s="43" t="n">
        <f aca="false">S159-$M$2</f>
        <v>941.73731488502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2747.5</v>
      </c>
      <c r="F160" s="15" t="n">
        <f aca="false">E160*(1+IF(F$3&lt;=$O$2,$D160,$D160-($D160-$I$157)*MIN(F$3-$O$2,$Q$2)/$Q$2))</f>
        <v>2404.0625</v>
      </c>
      <c r="G160" s="15" t="n">
        <f aca="false">F160*(1+IF(G$3&lt;=$O$2,$D160,$D160-($D160-$I$157)*MIN(G$3-$O$2,$Q$2)/$Q$2))</f>
        <v>2103.5546875</v>
      </c>
      <c r="H160" s="15" t="n">
        <f aca="false">G160*(1+IF(H$3&lt;=$O$2,$D160,$D160-($D160-$I$157)*MIN(H$3-$O$2,$Q$2)/$Q$2))</f>
        <v>1840.6103515625</v>
      </c>
      <c r="I160" s="15" t="n">
        <f aca="false">H160*(1+IF(I$3&lt;=$O$2,$D160,$D160-($D160-$I$157)*MIN(I$3-$O$2,$Q$2)/$Q$2))</f>
        <v>1610.53405761719</v>
      </c>
      <c r="J160" s="15" t="n">
        <f aca="false">I160*(1+IF(J$3&lt;=$O$2,$D160,$D160-($D160-$I$157)*MIN(J$3-$O$2,$Q$2)/$Q$2))</f>
        <v>1461.81734273682</v>
      </c>
      <c r="K160" s="15" t="n">
        <f aca="false">J160*(1+IF(K$3&lt;=$O$2,$D160,$D160-($D160-$I$157)*MIN(K$3-$O$2,$Q$2)/$Q$2))</f>
        <v>1374.57608372228</v>
      </c>
      <c r="L160" s="15" t="n">
        <f aca="false">K160*(1+IF(L$3&lt;=$O$2,$D160,$D160-($D160-$I$157)*MIN(L$3-$O$2,$Q$2)/$Q$2))</f>
        <v>1337.43503794011</v>
      </c>
      <c r="M160" s="15" t="n">
        <f aca="false">L160*(1+IF(M$3&lt;=$O$2,$D160,$D160-($D160-$I$157)*MIN(M$3-$O$2,$Q$2)/$Q$2))</f>
        <v>1344.97817155409</v>
      </c>
      <c r="N160" s="15" t="n">
        <f aca="false">M160*(1+IF(N$3&lt;=$O$2,$D160,$D160-($D160-$I$157)*MIN(N$3-$O$2,$Q$2)/$Q$2))</f>
        <v>1396.49083552461</v>
      </c>
      <c r="O160" s="15" t="n">
        <f aca="false">SUMPRODUCT(E160:N160,1/(1+$F$157)^$E$3:$N$3)*$E$2</f>
        <v>5859.08785361411</v>
      </c>
      <c r="P160" s="15" t="n">
        <f aca="false">N160*$E$2*(1+$I$157)/($F$157-$I$157)/(1+$F$157)^$N$3</f>
        <v>9781.89516988937</v>
      </c>
      <c r="Q160" s="15" t="n">
        <f aca="false">O160+P160</f>
        <v>15640.9830235035</v>
      </c>
      <c r="R160" s="15" t="n">
        <f aca="false">Q160-$G$2+$I$2</f>
        <v>11573.1830235035</v>
      </c>
      <c r="S160" s="42" t="n">
        <f aca="false">R160/$K$2</f>
        <v>88.9150508873961</v>
      </c>
      <c r="T160" s="43" t="n">
        <f aca="false">S160-$M$2</f>
        <v>-87.7137137100225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3336.25</v>
      </c>
      <c r="F161" s="15" t="n">
        <f aca="false">E161*(1+IF(F$3&lt;=$O$2,$D161,$D161-($D161-$I$157)*MIN(F$3-$O$2,$Q$2)/$Q$2))</f>
        <v>3544.765625</v>
      </c>
      <c r="G161" s="15" t="n">
        <f aca="false">F161*(1+IF(G$3&lt;=$O$2,$D161,$D161-($D161-$I$157)*MIN(G$3-$O$2,$Q$2)/$Q$2))</f>
        <v>3766.3134765625</v>
      </c>
      <c r="H161" s="15" t="n">
        <f aca="false">G161*(1+IF(H$3&lt;=$O$2,$D161,$D161-($D161-$I$157)*MIN(H$3-$O$2,$Q$2)/$Q$2))</f>
        <v>4001.70806884766</v>
      </c>
      <c r="I161" s="15" t="n">
        <f aca="false">H161*(1+IF(I$3&lt;=$O$2,$D161,$D161-($D161-$I$157)*MIN(I$3-$O$2,$Q$2)/$Q$2))</f>
        <v>4251.81482315064</v>
      </c>
      <c r="J161" s="15" t="n">
        <f aca="false">I161*(1+IF(J$3&lt;=$O$2,$D161,$D161-($D161-$I$157)*MIN(J$3-$O$2,$Q$2)/$Q$2))</f>
        <v>4496.9744658535</v>
      </c>
      <c r="K161" s="15" t="n">
        <f aca="false">J161*(1+IF(K$3&lt;=$O$2,$D161,$D161-($D161-$I$157)*MIN(K$3-$O$2,$Q$2)/$Q$2))</f>
        <v>4734.50465713988</v>
      </c>
      <c r="L161" s="15" t="n">
        <f aca="false">K161*(1+IF(L$3&lt;=$O$2,$D161,$D161-($D161-$I$157)*MIN(L$3-$O$2,$Q$2)/$Q$2))</f>
        <v>4961.66619058945</v>
      </c>
      <c r="M161" s="15" t="n">
        <f aca="false">L161*(1+IF(M$3&lt;=$O$2,$D161,$D161-($D161-$I$157)*MIN(M$3-$O$2,$Q$2)/$Q$2))</f>
        <v>5175.71247005148</v>
      </c>
      <c r="N161" s="15" t="n">
        <f aca="false">M161*(1+IF(N$3&lt;=$O$2,$D161,$D161-($D161-$I$157)*MIN(N$3-$O$2,$Q$2)/$Q$2))</f>
        <v>5373.94225765446</v>
      </c>
      <c r="O161" s="15" t="n">
        <f aca="false">SUMPRODUCT(E161:N161,1/(1+$F$157)^$E$3:$N$3)*$E$2</f>
        <v>13394.8371131353</v>
      </c>
      <c r="P161" s="15" t="n">
        <f aca="false">N161*$E$2*(1+$I$157)/($F$157-$I$157)/(1+$F$157)^$N$3</f>
        <v>37642.4524072633</v>
      </c>
      <c r="Q161" s="15" t="n">
        <f aca="false">O161+P161</f>
        <v>51037.2895203986</v>
      </c>
      <c r="R161" s="15" t="n">
        <f aca="false">Q161-$G$2+$I$2</f>
        <v>46969.4895203986</v>
      </c>
      <c r="S161" s="42" t="n">
        <f aca="false">R161/$K$2</f>
        <v>360.859630611544</v>
      </c>
      <c r="T161" s="43" t="n">
        <f aca="false">S161-$M$2</f>
        <v>184.230866014125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3041.875</v>
      </c>
      <c r="F162" s="15" t="n">
        <f aca="false">E162*(1+IF(F$3&lt;=$O$2,$D162,$D162-($D162-$I$157)*MIN(F$3-$O$2,$Q$2)/$Q$2))</f>
        <v>2946.81640625</v>
      </c>
      <c r="G162" s="15" t="n">
        <f aca="false">F162*(1+IF(G$3&lt;=$O$2,$D162,$D162-($D162-$I$157)*MIN(G$3-$O$2,$Q$2)/$Q$2))</f>
        <v>2854.72839355469</v>
      </c>
      <c r="H162" s="15" t="n">
        <f aca="false">G162*(1+IF(H$3&lt;=$O$2,$D162,$D162-($D162-$I$157)*MIN(H$3-$O$2,$Q$2)/$Q$2))</f>
        <v>2765.5181312561</v>
      </c>
      <c r="I162" s="15" t="n">
        <f aca="false">H162*(1+IF(I$3&lt;=$O$2,$D162,$D162-($D162-$I$157)*MIN(I$3-$O$2,$Q$2)/$Q$2))</f>
        <v>2679.09568965435</v>
      </c>
      <c r="J162" s="15" t="n">
        <f aca="false">I162*(1+IF(J$3&lt;=$O$2,$D162,$D162-($D162-$I$157)*MIN(J$3-$O$2,$Q$2)/$Q$2))</f>
        <v>2632.64017039574</v>
      </c>
      <c r="K162" s="15" t="n">
        <f aca="false">J162*(1+IF(K$3&lt;=$O$2,$D162,$D162-($D162-$I$157)*MIN(K$3-$O$2,$Q$2)/$Q$2))</f>
        <v>2623.61021461129</v>
      </c>
      <c r="L162" s="15" t="n">
        <f aca="false">K162*(1+IF(L$3&lt;=$O$2,$D162,$D162-($D162-$I$157)*MIN(L$3-$O$2,$Q$2)/$Q$2))</f>
        <v>2651.10564966041</v>
      </c>
      <c r="M162" s="15" t="n">
        <f aca="false">L162*(1+IF(M$3&lt;=$O$2,$D162,$D162-($D162-$I$157)*MIN(M$3-$O$2,$Q$2)/$Q$2))</f>
        <v>2715.76611645563</v>
      </c>
      <c r="N162" s="15" t="n">
        <f aca="false">M162*(1+IF(N$3&lt;=$O$2,$D162,$D162-($D162-$I$157)*MIN(N$3-$O$2,$Q$2)/$Q$2))</f>
        <v>2819.77995871588</v>
      </c>
      <c r="O162" s="15" t="n">
        <f aca="false">SUMPRODUCT(E162:N162,1/(1+$F$157)^$E$3:$N$3)*$E$2</f>
        <v>8836.71041208292</v>
      </c>
      <c r="P162" s="15" t="n">
        <f aca="false">N162*$E$2*(1+$I$157)/($F$157-$I$157)/(1+$F$157)^$N$3</f>
        <v>19751.5023061013</v>
      </c>
      <c r="Q162" s="15" t="n">
        <f aca="false">O162+P162</f>
        <v>28588.2127181843</v>
      </c>
      <c r="R162" s="15" t="n">
        <f aca="false">Q162-$G$2+$I$2</f>
        <v>24520.4127181843</v>
      </c>
      <c r="S162" s="42" t="n">
        <f aca="false">R162/$K$2</f>
        <v>188.386698818256</v>
      </c>
      <c r="T162" s="43" t="n">
        <f aca="false">S162-$M$2</f>
        <v>11.7579342208378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41" t="n">
        <f aca="false">(B163+C163)/2</f>
        <v>-0.078125</v>
      </c>
      <c r="E163" s="15" t="n">
        <f aca="false">$C$2*(1+IF(E$3&lt;=$O$2,$D163,$D163-($D163-$I$157)*MIN(E$3-$O$2,$Q$2)/$Q$2))</f>
        <v>2894.6875</v>
      </c>
      <c r="F163" s="15" t="n">
        <f aca="false">E163*(1+IF(F$3&lt;=$O$2,$D163,$D163-($D163-$I$157)*MIN(F$3-$O$2,$Q$2)/$Q$2))</f>
        <v>2668.5400390625</v>
      </c>
      <c r="G163" s="15" t="n">
        <f aca="false">F163*(1+IF(G$3&lt;=$O$2,$D163,$D163-($D163-$I$157)*MIN(G$3-$O$2,$Q$2)/$Q$2))</f>
        <v>2460.06034851074</v>
      </c>
      <c r="H163" s="15" t="n">
        <f aca="false">G163*(1+IF(H$3&lt;=$O$2,$D163,$D163-($D163-$I$157)*MIN(H$3-$O$2,$Q$2)/$Q$2))</f>
        <v>2267.86813378334</v>
      </c>
      <c r="I163" s="15" t="n">
        <f aca="false">H163*(1+IF(I$3&lt;=$O$2,$D163,$D163-($D163-$I$157)*MIN(I$3-$O$2,$Q$2)/$Q$2))</f>
        <v>2090.69093583152</v>
      </c>
      <c r="J163" s="15" t="n">
        <f aca="false">I163*(1+IF(J$3&lt;=$O$2,$D163,$D163-($D163-$I$157)*MIN(J$3-$O$2,$Q$2)/$Q$2))</f>
        <v>1976.03744491052</v>
      </c>
      <c r="K163" s="15" t="n">
        <f aca="false">J163*(1+IF(K$3&lt;=$O$2,$D163,$D163-($D163-$I$157)*MIN(K$3-$O$2,$Q$2)/$Q$2))</f>
        <v>1913.68358333637</v>
      </c>
      <c r="L163" s="15" t="n">
        <f aca="false">K163*(1+IF(L$3&lt;=$O$2,$D163,$D163-($D163-$I$157)*MIN(L$3-$O$2,$Q$2)/$Q$2))</f>
        <v>1897.85742010217</v>
      </c>
      <c r="M163" s="15" t="n">
        <f aca="false">L163*(1+IF(M$3&lt;=$O$2,$D163,$D163-($D163-$I$157)*MIN(M$3-$O$2,$Q$2)/$Q$2))</f>
        <v>1926.35374926501</v>
      </c>
      <c r="N163" s="15" t="n">
        <f aca="false">M163*(1+IF(N$3&lt;=$O$2,$D163,$D163-($D163-$I$157)*MIN(N$3-$O$2,$Q$2)/$Q$2))</f>
        <v>2000.13309786186</v>
      </c>
      <c r="O163" s="15" t="n">
        <f aca="false">SUMPRODUCT(E163:N163,1/(1+$F$157)^$E$3:$N$3)*$E$2</f>
        <v>7188.45444715455</v>
      </c>
      <c r="P163" s="15" t="n">
        <f aca="false">N163*$E$2*(1+$I$157)/($F$157-$I$157)/(1+$F$157)^$N$3</f>
        <v>14010.1830899312</v>
      </c>
      <c r="Q163" s="15" t="n">
        <f aca="false">O163+P163</f>
        <v>21198.6375370857</v>
      </c>
      <c r="R163" s="15" t="n">
        <f aca="false">Q163-$G$2+$I$2</f>
        <v>17130.8375370857</v>
      </c>
      <c r="S163" s="42" t="n">
        <f aca="false">R163/$K$2</f>
        <v>131.613687285539</v>
      </c>
      <c r="T163" s="43" t="n">
        <f aca="false">S163-$M$2</f>
        <v>-45.0150773118798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-0.078125</v>
      </c>
      <c r="C164" s="25" t="n">
        <f aca="false">IF(T163&gt;0,D163,C163)</f>
        <v>-0.03125</v>
      </c>
      <c r="D164" s="41" t="n">
        <f aca="false">(B164+C164)/2</f>
        <v>-0.0546875</v>
      </c>
      <c r="E164" s="15" t="n">
        <f aca="false">$C$2*(1+IF(E$3&lt;=$O$2,$D164,$D164-($D164-$I$157)*MIN(E$3-$O$2,$Q$2)/$Q$2))</f>
        <v>2968.28125</v>
      </c>
      <c r="F164" s="15" t="n">
        <f aca="false">E164*(1+IF(F$3&lt;=$O$2,$D164,$D164-($D164-$I$157)*MIN(F$3-$O$2,$Q$2)/$Q$2))</f>
        <v>2805.95336914063</v>
      </c>
      <c r="G164" s="15" t="n">
        <f aca="false">F164*(1+IF(G$3&lt;=$O$2,$D164,$D164-($D164-$I$157)*MIN(G$3-$O$2,$Q$2)/$Q$2))</f>
        <v>2652.50279426575</v>
      </c>
      <c r="H164" s="15" t="n">
        <f aca="false">G164*(1+IF(H$3&lt;=$O$2,$D164,$D164-($D164-$I$157)*MIN(H$3-$O$2,$Q$2)/$Q$2))</f>
        <v>2507.44404770434</v>
      </c>
      <c r="I164" s="15" t="n">
        <f aca="false">H164*(1+IF(I$3&lt;=$O$2,$D164,$D164-($D164-$I$157)*MIN(I$3-$O$2,$Q$2)/$Q$2))</f>
        <v>2370.31820134551</v>
      </c>
      <c r="J164" s="15" t="n">
        <f aca="false">I164*(1+IF(J$3&lt;=$O$2,$D164,$D164-($D164-$I$157)*MIN(J$3-$O$2,$Q$2)/$Q$2))</f>
        <v>2284.77341745895</v>
      </c>
      <c r="K164" s="15" t="n">
        <f aca="false">J164*(1+IF(K$3&lt;=$O$2,$D164,$D164-($D164-$I$157)*MIN(K$3-$O$2,$Q$2)/$Q$2))</f>
        <v>2244.80701845405</v>
      </c>
      <c r="L164" s="15" t="n">
        <f aca="false">K164*(1+IF(L$3&lt;=$O$2,$D164,$D164-($D164-$I$157)*MIN(L$3-$O$2,$Q$2)/$Q$2))</f>
        <v>2247.28753020944</v>
      </c>
      <c r="M164" s="15" t="n">
        <f aca="false">L164*(1+IF(M$3&lt;=$O$2,$D164,$D164-($D164-$I$157)*MIN(M$3-$O$2,$Q$2)/$Q$2))</f>
        <v>2291.56471277339</v>
      </c>
      <c r="N164" s="15" t="n">
        <f aca="false">M164*(1+IF(N$3&lt;=$O$2,$D164,$D164-($D164-$I$157)*MIN(N$3-$O$2,$Q$2)/$Q$2))</f>
        <v>2379.33164127261</v>
      </c>
      <c r="O164" s="15" t="n">
        <f aca="false">SUMPRODUCT(E164:N164,1/(1+$F$157)^$E$3:$N$3)*$E$2</f>
        <v>7968.48335972787</v>
      </c>
      <c r="P164" s="15" t="n">
        <f aca="false">N164*$E$2*(1+$I$157)/($F$157-$I$157)/(1+$F$157)^$N$3</f>
        <v>16666.3268367144</v>
      </c>
      <c r="Q164" s="15" t="n">
        <f aca="false">O164+P164</f>
        <v>24634.8101964422</v>
      </c>
      <c r="R164" s="15" t="n">
        <f aca="false">Q164-$G$2+$I$2</f>
        <v>20567.0101964422</v>
      </c>
      <c r="S164" s="42" t="n">
        <f aca="false">R164/$K$2</f>
        <v>158.01329284298</v>
      </c>
      <c r="T164" s="43" t="n">
        <f aca="false">S164-$M$2</f>
        <v>-18.6154717544388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-0.0546875</v>
      </c>
      <c r="C165" s="25" t="n">
        <f aca="false">IF(T164&gt;0,D164,C164)</f>
        <v>-0.03125</v>
      </c>
      <c r="D165" s="41" t="n">
        <f aca="false">(B165+C165)/2</f>
        <v>-0.04296875</v>
      </c>
      <c r="E165" s="15" t="n">
        <f aca="false">$C$2*(1+IF(E$3&lt;=$O$2,$D165,$D165-($D165-$I$157)*MIN(E$3-$O$2,$Q$2)/$Q$2))</f>
        <v>3005.078125</v>
      </c>
      <c r="F165" s="15" t="n">
        <f aca="false">E165*(1+IF(F$3&lt;=$O$2,$D165,$D165-($D165-$I$157)*MIN(F$3-$O$2,$Q$2)/$Q$2))</f>
        <v>2875.95367431641</v>
      </c>
      <c r="G165" s="15" t="n">
        <f aca="false">F165*(1+IF(G$3&lt;=$O$2,$D165,$D165-($D165-$I$157)*MIN(G$3-$O$2,$Q$2)/$Q$2))</f>
        <v>2752.37753987312</v>
      </c>
      <c r="H165" s="15" t="n">
        <f aca="false">G165*(1+IF(H$3&lt;=$O$2,$D165,$D165-($D165-$I$157)*MIN(H$3-$O$2,$Q$2)/$Q$2))</f>
        <v>2634.1113174567</v>
      </c>
      <c r="I165" s="15" t="n">
        <f aca="false">H165*(1+IF(I$3&lt;=$O$2,$D165,$D165-($D165-$I$157)*MIN(I$3-$O$2,$Q$2)/$Q$2))</f>
        <v>2520.92684678473</v>
      </c>
      <c r="J165" s="15" t="n">
        <f aca="false">I165*(1+IF(J$3&lt;=$O$2,$D165,$D165-($D165-$I$157)*MIN(J$3-$O$2,$Q$2)/$Q$2))</f>
        <v>2453.58028607288</v>
      </c>
      <c r="K165" s="15" t="n">
        <f aca="false">J165*(1+IF(K$3&lt;=$O$2,$D165,$D165-($D165-$I$157)*MIN(K$3-$O$2,$Q$2)/$Q$2))</f>
        <v>2427.9127693052</v>
      </c>
      <c r="L165" s="15" t="n">
        <f aca="false">K165*(1+IF(L$3&lt;=$O$2,$D165,$D165-($D165-$I$157)*MIN(L$3-$O$2,$Q$2)/$Q$2))</f>
        <v>2441.9764540214</v>
      </c>
      <c r="M165" s="15" t="n">
        <f aca="false">L165*(1+IF(M$3&lt;=$O$2,$D165,$D165-($D165-$I$157)*MIN(M$3-$O$2,$Q$2)/$Q$2))</f>
        <v>2495.81287742087</v>
      </c>
      <c r="N165" s="15" t="n">
        <f aca="false">M165*(1+IF(N$3&lt;=$O$2,$D165,$D165-($D165-$I$157)*MIN(N$3-$O$2,$Q$2)/$Q$2))</f>
        <v>2591.40251062609</v>
      </c>
      <c r="O165" s="15" t="n">
        <f aca="false">SUMPRODUCT(E165:N165,1/(1+$F$157)^$E$3:$N$3)*$E$2</f>
        <v>8390.99934553286</v>
      </c>
      <c r="P165" s="15" t="n">
        <f aca="false">N165*$E$2*(1+$I$157)/($F$157-$I$157)/(1+$F$157)^$N$3</f>
        <v>18151.8038336498</v>
      </c>
      <c r="Q165" s="15" t="n">
        <f aca="false">O165+P165</f>
        <v>26542.8031791827</v>
      </c>
      <c r="R165" s="15" t="n">
        <f aca="false">Q165-$G$2+$I$2</f>
        <v>22475.0031791827</v>
      </c>
      <c r="S165" s="42" t="n">
        <f aca="false">R165/$K$2</f>
        <v>172.672120307181</v>
      </c>
      <c r="T165" s="43" t="n">
        <f aca="false">S165-$M$2</f>
        <v>-3.95664429023742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-0.04296875</v>
      </c>
      <c r="C166" s="25" t="n">
        <f aca="false">IF(T165&gt;0,D165,C165)</f>
        <v>-0.03125</v>
      </c>
      <c r="D166" s="41" t="n">
        <f aca="false">(B166+C166)/2</f>
        <v>-0.037109375</v>
      </c>
      <c r="E166" s="15" t="n">
        <f aca="false">$C$2*(1+IF(E$3&lt;=$O$2,$D166,$D166-($D166-$I$157)*MIN(E$3-$O$2,$Q$2)/$Q$2))</f>
        <v>3023.4765625</v>
      </c>
      <c r="F166" s="15" t="n">
        <f aca="false">E166*(1+IF(F$3&lt;=$O$2,$D166,$D166-($D166-$I$157)*MIN(F$3-$O$2,$Q$2)/$Q$2))</f>
        <v>2911.27723693848</v>
      </c>
      <c r="G166" s="15" t="n">
        <f aca="false">F166*(1+IF(G$3&lt;=$O$2,$D166,$D166-($D166-$I$157)*MIN(G$3-$O$2,$Q$2)/$Q$2))</f>
        <v>2803.24155822396</v>
      </c>
      <c r="H166" s="15" t="n">
        <f aca="false">G166*(1+IF(H$3&lt;=$O$2,$D166,$D166-($D166-$I$157)*MIN(H$3-$O$2,$Q$2)/$Q$2))</f>
        <v>2699.21501602425</v>
      </c>
      <c r="I166" s="15" t="n">
        <f aca="false">H166*(1+IF(I$3&lt;=$O$2,$D166,$D166-($D166-$I$157)*MIN(I$3-$O$2,$Q$2)/$Q$2))</f>
        <v>2599.04883378897</v>
      </c>
      <c r="J166" s="15" t="n">
        <f aca="false">I166*(1+IF(J$3&lt;=$O$2,$D166,$D166-($D166-$I$157)*MIN(J$3-$O$2,$Q$2)/$Q$2))</f>
        <v>2541.79828560268</v>
      </c>
      <c r="K166" s="15" t="n">
        <f aca="false">J166*(1+IF(K$3&lt;=$O$2,$D166,$D166-($D166-$I$157)*MIN(K$3-$O$2,$Q$2)/$Q$2))</f>
        <v>2524.14390788525</v>
      </c>
      <c r="L166" s="15" t="n">
        <f aca="false">K166*(1+IF(L$3&lt;=$O$2,$D166,$D166-($D166-$I$157)*MIN(L$3-$O$2,$Q$2)/$Q$2))</f>
        <v>2544.68097375578</v>
      </c>
      <c r="M166" s="15" t="n">
        <f aca="false">L166*(1+IF(M$3&lt;=$O$2,$D166,$D166-($D166-$I$157)*MIN(M$3-$O$2,$Q$2)/$Q$2))</f>
        <v>2603.76369468956</v>
      </c>
      <c r="N166" s="15" t="n">
        <f aca="false">M166*(1+IF(N$3&lt;=$O$2,$D166,$D166-($D166-$I$157)*MIN(N$3-$O$2,$Q$2)/$Q$2))</f>
        <v>2703.48784419617</v>
      </c>
      <c r="O166" s="15" t="n">
        <f aca="false">SUMPRODUCT(E166:N166,1/(1+$F$157)^$E$3:$N$3)*$E$2</f>
        <v>8610.88105412937</v>
      </c>
      <c r="P166" s="15" t="n">
        <f aca="false">N166*$E$2*(1+$I$157)/($F$157-$I$157)/(1+$F$157)^$N$3</f>
        <v>18936.9196075409</v>
      </c>
      <c r="Q166" s="15" t="n">
        <f aca="false">O166+P166</f>
        <v>27547.8006616702</v>
      </c>
      <c r="R166" s="15" t="n">
        <f aca="false">Q166-$G$2+$I$2</f>
        <v>23480.0006616702</v>
      </c>
      <c r="S166" s="42" t="n">
        <f aca="false">R166/$K$2</f>
        <v>180.393367099495</v>
      </c>
      <c r="T166" s="43" t="n">
        <f aca="false">S166-$M$2</f>
        <v>3.76460250207617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-0.04296875</v>
      </c>
      <c r="C167" s="25" t="n">
        <f aca="false">IF(T166&gt;0,D166,C166)</f>
        <v>-0.037109375</v>
      </c>
      <c r="D167" s="41" t="n">
        <f aca="false">(B167+C167)/2</f>
        <v>-0.0400390625</v>
      </c>
      <c r="E167" s="15" t="n">
        <f aca="false">$C$2*(1+IF(E$3&lt;=$O$2,$D167,$D167-($D167-$I$157)*MIN(E$3-$O$2,$Q$2)/$Q$2))</f>
        <v>3014.27734375</v>
      </c>
      <c r="F167" s="15" t="n">
        <f aca="false">E167*(1+IF(F$3&lt;=$O$2,$D167,$D167-($D167-$I$157)*MIN(F$3-$O$2,$Q$2)/$Q$2))</f>
        <v>2893.58850479126</v>
      </c>
      <c r="G167" s="15" t="n">
        <f aca="false">F167*(1+IF(G$3&lt;=$O$2,$D167,$D167-($D167-$I$157)*MIN(G$3-$O$2,$Q$2)/$Q$2))</f>
        <v>2777.73193379864</v>
      </c>
      <c r="H167" s="15" t="n">
        <f aca="false">G167*(1+IF(H$3&lt;=$O$2,$D167,$D167-($D167-$I$157)*MIN(H$3-$O$2,$Q$2)/$Q$2))</f>
        <v>2666.51415129303</v>
      </c>
      <c r="I167" s="15" t="n">
        <f aca="false">H167*(1+IF(I$3&lt;=$O$2,$D167,$D167-($D167-$I$157)*MIN(I$3-$O$2,$Q$2)/$Q$2))</f>
        <v>2559.74942453228</v>
      </c>
      <c r="J167" s="15" t="n">
        <f aca="false">I167*(1+IF(J$3&lt;=$O$2,$D167,$D167-($D167-$I$157)*MIN(J$3-$O$2,$Q$2)/$Q$2))</f>
        <v>2497.36513136964</v>
      </c>
      <c r="K167" s="15" t="n">
        <f aca="false">J167*(1+IF(K$3&lt;=$O$2,$D167,$D167-($D167-$I$157)*MIN(K$3-$O$2,$Q$2)/$Q$2))</f>
        <v>2475.62947003409</v>
      </c>
      <c r="L167" s="15" t="n">
        <f aca="false">K167*(1+IF(L$3&lt;=$O$2,$D167,$D167-($D167-$I$157)*MIN(L$3-$O$2,$Q$2)/$Q$2))</f>
        <v>2492.87068202446</v>
      </c>
      <c r="M167" s="15" t="n">
        <f aca="false">L167*(1+IF(M$3&lt;=$O$2,$D167,$D167-($D167-$I$157)*MIN(M$3-$O$2,$Q$2)/$Q$2))</f>
        <v>2549.28979871329</v>
      </c>
      <c r="N167" s="15" t="n">
        <f aca="false">M167*(1+IF(N$3&lt;=$O$2,$D167,$D167-($D167-$I$157)*MIN(N$3-$O$2,$Q$2)/$Q$2))</f>
        <v>2646.92759800401</v>
      </c>
      <c r="O167" s="15" t="n">
        <f aca="false">SUMPRODUCT(E167:N167,1/(1+$F$157)^$E$3:$N$3)*$E$2</f>
        <v>8500.20617859752</v>
      </c>
      <c r="P167" s="15" t="n">
        <f aca="false">N167*$E$2*(1+$I$157)/($F$157-$I$157)/(1+$F$157)^$N$3</f>
        <v>18540.7362707365</v>
      </c>
      <c r="Q167" s="15" t="n">
        <f aca="false">O167+P167</f>
        <v>27040.942449334</v>
      </c>
      <c r="R167" s="15" t="n">
        <f aca="false">Q167-$G$2+$I$2</f>
        <v>22973.142449334</v>
      </c>
      <c r="S167" s="42" t="n">
        <f aca="false">R167/$K$2</f>
        <v>176.499250532683</v>
      </c>
      <c r="T167" s="43" t="n">
        <f aca="false">S167-$M$2</f>
        <v>-0.129514064735758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-0.0400390625</v>
      </c>
      <c r="C168" s="25" t="n">
        <f aca="false">IF(T167&gt;0,D167,C167)</f>
        <v>-0.037109375</v>
      </c>
      <c r="D168" s="41" t="n">
        <f aca="false">(B168+C168)/2</f>
        <v>-0.03857421875</v>
      </c>
      <c r="E168" s="15" t="n">
        <f aca="false">$C$2*(1+IF(E$3&lt;=$O$2,$D168,$D168-($D168-$I$157)*MIN(E$3-$O$2,$Q$2)/$Q$2))</f>
        <v>3018.876953125</v>
      </c>
      <c r="F168" s="15" t="n">
        <f aca="false">E168*(1+IF(F$3&lt;=$O$2,$D168,$D168-($D168-$I$157)*MIN(F$3-$O$2,$Q$2)/$Q$2))</f>
        <v>2902.42613315582</v>
      </c>
      <c r="G168" s="15" t="n">
        <f aca="false">F168*(1+IF(G$3&lt;=$O$2,$D168,$D168-($D168-$I$157)*MIN(G$3-$O$2,$Q$2)/$Q$2))</f>
        <v>2790.46731258975</v>
      </c>
      <c r="H168" s="15" t="n">
        <f aca="false">G168*(1+IF(H$3&lt;=$O$2,$D168,$D168-($D168-$I$157)*MIN(H$3-$O$2,$Q$2)/$Q$2))</f>
        <v>2682.82721605919</v>
      </c>
      <c r="I168" s="15" t="n">
        <f aca="false">H168*(1+IF(I$3&lt;=$O$2,$D168,$D168-($D168-$I$157)*MIN(I$3-$O$2,$Q$2)/$Q$2))</f>
        <v>2579.33925215847</v>
      </c>
      <c r="J168" s="15" t="n">
        <f aca="false">I168*(1+IF(J$3&lt;=$O$2,$D168,$D168-($D168-$I$157)*MIN(J$3-$O$2,$Q$2)/$Q$2))</f>
        <v>2519.50019359543</v>
      </c>
      <c r="K168" s="15" t="n">
        <f aca="false">J168*(1+IF(K$3&lt;=$O$2,$D168,$D168-($D168-$I$157)*MIN(K$3-$O$2,$Q$2)/$Q$2))</f>
        <v>2499.78628559626</v>
      </c>
      <c r="L168" s="15" t="n">
        <f aca="false">K168*(1+IF(L$3&lt;=$O$2,$D168,$D168-($D168-$I$157)*MIN(L$3-$O$2,$Q$2)/$Q$2))</f>
        <v>2518.66045323572</v>
      </c>
      <c r="M168" s="15" t="n">
        <f aca="false">L168*(1+IF(M$3&lt;=$O$2,$D168,$D168-($D168-$I$157)*MIN(M$3-$O$2,$Q$2)/$Q$2))</f>
        <v>2576.40113766685</v>
      </c>
      <c r="N168" s="15" t="n">
        <f aca="false">M168*(1+IF(N$3&lt;=$O$2,$D168,$D168-($D168-$I$157)*MIN(N$3-$O$2,$Q$2)/$Q$2))</f>
        <v>2675.07730123949</v>
      </c>
      <c r="O168" s="15" t="n">
        <f aca="false">SUMPRODUCT(E168:N168,1/(1+$F$157)^$E$3:$N$3)*$E$2</f>
        <v>8555.35893989476</v>
      </c>
      <c r="P168" s="15" t="n">
        <f aca="false">N168*$E$2*(1+$I$157)/($F$157-$I$157)/(1+$F$157)^$N$3</f>
        <v>18737.9143968712</v>
      </c>
      <c r="Q168" s="15" t="n">
        <f aca="false">O168+P168</f>
        <v>27293.2733367659</v>
      </c>
      <c r="R168" s="15" t="n">
        <f aca="false">Q168-$G$2+$I$2</f>
        <v>23225.4733367659</v>
      </c>
      <c r="S168" s="42" t="n">
        <f aca="false">R168/$K$2</f>
        <v>178.437871364213</v>
      </c>
      <c r="T168" s="43" t="n">
        <f aca="false">S168-$M$2</f>
        <v>1.80910676679409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-0.0400390625</v>
      </c>
      <c r="C169" s="25" t="n">
        <f aca="false">IF(T168&gt;0,D168,C168)</f>
        <v>-0.03857421875</v>
      </c>
      <c r="D169" s="41" t="n">
        <f aca="false">(B169+C169)/2</f>
        <v>-0.039306640625</v>
      </c>
      <c r="E169" s="15" t="n">
        <f aca="false">$C$2*(1+IF(E$3&lt;=$O$2,$D169,$D169-($D169-$I$157)*MIN(E$3-$O$2,$Q$2)/$Q$2))</f>
        <v>3016.5771484375</v>
      </c>
      <c r="F169" s="15" t="n">
        <f aca="false">E169*(1+IF(F$3&lt;=$O$2,$D169,$D169-($D169-$I$157)*MIN(F$3-$O$2,$Q$2)/$Q$2))</f>
        <v>2898.00563454628</v>
      </c>
      <c r="G169" s="15" t="n">
        <f aca="false">F169*(1+IF(G$3&lt;=$O$2,$D169,$D169-($D169-$I$157)*MIN(G$3-$O$2,$Q$2)/$Q$2))</f>
        <v>2784.09476853994</v>
      </c>
      <c r="H169" s="15" t="n">
        <f aca="false">G169*(1+IF(H$3&lt;=$O$2,$D169,$D169-($D169-$I$157)*MIN(H$3-$O$2,$Q$2)/$Q$2))</f>
        <v>2674.661356007</v>
      </c>
      <c r="I169" s="15" t="n">
        <f aca="false">H169*(1+IF(I$3&lt;=$O$2,$D169,$D169-($D169-$I$157)*MIN(I$3-$O$2,$Q$2)/$Q$2))</f>
        <v>2569.52940329286</v>
      </c>
      <c r="J169" s="15" t="n">
        <f aca="false">I169*(1+IF(J$3&lt;=$O$2,$D169,$D169-($D169-$I$157)*MIN(J$3-$O$2,$Q$2)/$Q$2))</f>
        <v>2508.4123434576</v>
      </c>
      <c r="K169" s="15" t="n">
        <f aca="false">J169*(1+IF(K$3&lt;=$O$2,$D169,$D169-($D169-$I$157)*MIN(K$3-$O$2,$Q$2)/$Q$2))</f>
        <v>2487.68286304521</v>
      </c>
      <c r="L169" s="15" t="n">
        <f aca="false">K169*(1+IF(L$3&lt;=$O$2,$D169,$D169-($D169-$I$157)*MIN(L$3-$O$2,$Q$2)/$Q$2))</f>
        <v>2505.73683272331</v>
      </c>
      <c r="M169" s="15" t="n">
        <f aca="false">L169*(1+IF(M$3&lt;=$O$2,$D169,$D169-($D169-$I$157)*MIN(M$3-$O$2,$Q$2)/$Q$2))</f>
        <v>2562.81418984102</v>
      </c>
      <c r="N169" s="15" t="n">
        <f aca="false">M169*(1+IF(N$3&lt;=$O$2,$D169,$D169-($D169-$I$157)*MIN(N$3-$O$2,$Q$2)/$Q$2))</f>
        <v>2660.96997331193</v>
      </c>
      <c r="O169" s="15" t="n">
        <f aca="false">SUMPRODUCT(E169:N169,1/(1+$F$157)^$E$3:$N$3)*$E$2</f>
        <v>8527.73653703434</v>
      </c>
      <c r="P169" s="15" t="n">
        <f aca="false">N169*$E$2*(1+$I$157)/($F$157-$I$157)/(1+$F$157)^$N$3</f>
        <v>18639.0978494194</v>
      </c>
      <c r="Q169" s="15" t="n">
        <f aca="false">O169+P169</f>
        <v>27166.8343864537</v>
      </c>
      <c r="R169" s="15" t="n">
        <f aca="false">Q169-$G$2+$I$2</f>
        <v>23099.0343864537</v>
      </c>
      <c r="S169" s="42" t="n">
        <f aca="false">R169/$K$2</f>
        <v>177.466459637782</v>
      </c>
      <c r="T169" s="43" t="n">
        <f aca="false">S169-$M$2</f>
        <v>0.837695040363315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-0.0400390625</v>
      </c>
      <c r="C170" s="25" t="n">
        <f aca="false">IF(T169&gt;0,D169,C169)</f>
        <v>-0.039306640625</v>
      </c>
      <c r="D170" s="41" t="n">
        <f aca="false">(B170+C170)/2</f>
        <v>-0.0396728515625</v>
      </c>
      <c r="E170" s="15" t="n">
        <f aca="false">$C$2*(1+IF(E$3&lt;=$O$2,$D170,$D170-($D170-$I$157)*MIN(E$3-$O$2,$Q$2)/$Q$2))</f>
        <v>3015.42724609375</v>
      </c>
      <c r="F170" s="15" t="n">
        <f aca="false">E170*(1+IF(F$3&lt;=$O$2,$D170,$D170-($D170-$I$157)*MIN(F$3-$O$2,$Q$2)/$Q$2))</f>
        <v>2895.79664856195</v>
      </c>
      <c r="G170" s="15" t="n">
        <f aca="false">F170*(1+IF(G$3&lt;=$O$2,$D170,$D170-($D170-$I$157)*MIN(G$3-$O$2,$Q$2)/$Q$2))</f>
        <v>2780.91213796837</v>
      </c>
      <c r="H170" s="15" t="n">
        <f aca="false">G170*(1+IF(H$3&lt;=$O$2,$D170,$D170-($D170-$I$157)*MIN(H$3-$O$2,$Q$2)/$Q$2))</f>
        <v>2670.5854235104</v>
      </c>
      <c r="I170" s="15" t="n">
        <f aca="false">H170*(1+IF(I$3&lt;=$O$2,$D170,$D170-($D170-$I$157)*MIN(I$3-$O$2,$Q$2)/$Q$2))</f>
        <v>2564.63568441849</v>
      </c>
      <c r="J170" s="15" t="n">
        <f aca="false">I170*(1+IF(J$3&lt;=$O$2,$D170,$D170-($D170-$I$157)*MIN(J$3-$O$2,$Q$2)/$Q$2))</f>
        <v>2502.88366510528</v>
      </c>
      <c r="K170" s="15" t="n">
        <f aca="false">J170*(1+IF(K$3&lt;=$O$2,$D170,$D170-($D170-$I$157)*MIN(K$3-$O$2,$Q$2)/$Q$2))</f>
        <v>2481.64992358034</v>
      </c>
      <c r="L170" s="15" t="n">
        <f aca="false">K170*(1+IF(L$3&lt;=$O$2,$D170,$D170-($D170-$I$157)*MIN(L$3-$O$2,$Q$2)/$Q$2))</f>
        <v>2499.29658720489</v>
      </c>
      <c r="M170" s="15" t="n">
        <f aca="false">L170*(1+IF(M$3&lt;=$O$2,$D170,$D170-($D170-$I$157)*MIN(M$3-$O$2,$Q$2)/$Q$2))</f>
        <v>2556.04419013388</v>
      </c>
      <c r="N170" s="15" t="n">
        <f aca="false">M170*(1+IF(N$3&lt;=$O$2,$D170,$D170-($D170-$I$157)*MIN(N$3-$O$2,$Q$2)/$Q$2))</f>
        <v>2653.94068261601</v>
      </c>
      <c r="O170" s="15" t="n">
        <f aca="false">SUMPRODUCT(E170:N170,1/(1+$F$157)^$E$3:$N$3)*$E$2</f>
        <v>8513.9598705814</v>
      </c>
      <c r="P170" s="15" t="n">
        <f aca="false">N170*$E$2*(1+$I$157)/($F$157-$I$157)/(1+$F$157)^$N$3</f>
        <v>18589.8603013045</v>
      </c>
      <c r="Q170" s="15" t="n">
        <f aca="false">O170+P170</f>
        <v>27103.8201718859</v>
      </c>
      <c r="R170" s="15" t="n">
        <f aca="false">Q170-$G$2+$I$2</f>
        <v>23036.0201718859</v>
      </c>
      <c r="S170" s="42" t="n">
        <f aca="false">R170/$K$2</f>
        <v>176.982330761262</v>
      </c>
      <c r="T170" s="43" t="n">
        <f aca="false">S170-$M$2</f>
        <v>0.353566163843368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-0.0400390625</v>
      </c>
      <c r="C171" s="25" t="n">
        <f aca="false">IF(T170&gt;0,D170,C170)</f>
        <v>-0.0396728515625</v>
      </c>
      <c r="D171" s="41" t="n">
        <f aca="false">(B171+C171)/2</f>
        <v>-0.03985595703125</v>
      </c>
      <c r="E171" s="15" t="n">
        <f aca="false">$C$2*(1+IF(E$3&lt;=$O$2,$D171,$D171-($D171-$I$157)*MIN(E$3-$O$2,$Q$2)/$Q$2))</f>
        <v>3014.85229492188</v>
      </c>
      <c r="F171" s="15" t="n">
        <f aca="false">E171*(1+IF(F$3&lt;=$O$2,$D171,$D171-($D171-$I$157)*MIN(F$3-$O$2,$Q$2)/$Q$2))</f>
        <v>2894.6924713999</v>
      </c>
      <c r="G171" s="15" t="n">
        <f aca="false">F171*(1+IF(G$3&lt;=$O$2,$D171,$D171-($D171-$I$157)*MIN(G$3-$O$2,$Q$2)/$Q$2))</f>
        <v>2779.32173264111</v>
      </c>
      <c r="H171" s="15" t="n">
        <f aca="false">G171*(1+IF(H$3&lt;=$O$2,$D171,$D171-($D171-$I$157)*MIN(H$3-$O$2,$Q$2)/$Q$2))</f>
        <v>2668.54920508894</v>
      </c>
      <c r="I171" s="15" t="n">
        <f aca="false">H171*(1+IF(I$3&lt;=$O$2,$D171,$D171-($D171-$I$157)*MIN(I$3-$O$2,$Q$2)/$Q$2))</f>
        <v>2562.19162263514</v>
      </c>
      <c r="J171" s="15" t="n">
        <f aca="false">I171*(1+IF(J$3&lt;=$O$2,$D171,$D171-($D171-$I$157)*MIN(J$3-$O$2,$Q$2)/$Q$2))</f>
        <v>2500.12313109047</v>
      </c>
      <c r="K171" s="15" t="n">
        <f aca="false">J171*(1+IF(K$3&lt;=$O$2,$D171,$D171-($D171-$I$157)*MIN(K$3-$O$2,$Q$2)/$Q$2))</f>
        <v>2478.63813740743</v>
      </c>
      <c r="L171" s="15" t="n">
        <f aca="false">K171*(1+IF(L$3&lt;=$O$2,$D171,$D171-($D171-$I$157)*MIN(L$3-$O$2,$Q$2)/$Q$2))</f>
        <v>2496.08184376484</v>
      </c>
      <c r="M171" s="15" t="n">
        <f aca="false">L171*(1+IF(M$3&lt;=$O$2,$D171,$D171-($D171-$I$157)*MIN(M$3-$O$2,$Q$2)/$Q$2))</f>
        <v>2552.66504531548</v>
      </c>
      <c r="N171" s="15" t="n">
        <f aca="false">M171*(1+IF(N$3&lt;=$O$2,$D171,$D171-($D171-$I$157)*MIN(N$3-$O$2,$Q$2)/$Q$2))</f>
        <v>2650.43211655106</v>
      </c>
      <c r="O171" s="15" t="n">
        <f aca="false">SUMPRODUCT(E171:N171,1/(1+$F$157)^$E$3:$N$3)*$E$2</f>
        <v>8507.08015506784</v>
      </c>
      <c r="P171" s="15" t="n">
        <f aca="false">N171*$E$2*(1+$I$157)/($F$157-$I$157)/(1+$F$157)^$N$3</f>
        <v>18565.2841103472</v>
      </c>
      <c r="Q171" s="15" t="n">
        <f aca="false">O171+P171</f>
        <v>27072.364265415</v>
      </c>
      <c r="R171" s="15" t="n">
        <f aca="false">Q171-$G$2+$I$2</f>
        <v>23004.564265415</v>
      </c>
      <c r="S171" s="42" t="n">
        <f aca="false">R171/$K$2</f>
        <v>176.740659691265</v>
      </c>
      <c r="T171" s="43" t="n">
        <f aca="false">S171-$M$2</f>
        <v>0.111895093845959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-0.0400390625</v>
      </c>
      <c r="C172" s="25" t="n">
        <f aca="false">IF(T171&gt;0,D171,C171)</f>
        <v>-0.03985595703125</v>
      </c>
      <c r="D172" s="41" t="n">
        <f aca="false">(B172+C172)/2</f>
        <v>-0.039947509765625</v>
      </c>
      <c r="E172" s="15" t="n">
        <f aca="false">$C$2*(1+IF(E$3&lt;=$O$2,$D172,$D172-($D172-$I$157)*MIN(E$3-$O$2,$Q$2)/$Q$2))</f>
        <v>3014.56481933594</v>
      </c>
      <c r="F172" s="15" t="n">
        <f aca="false">E172*(1+IF(F$3&lt;=$O$2,$D172,$D172-($D172-$I$157)*MIN(F$3-$O$2,$Q$2)/$Q$2))</f>
        <v>2894.14046177641</v>
      </c>
      <c r="G172" s="15" t="n">
        <f aca="false">F172*(1+IF(G$3&lt;=$O$2,$D172,$D172-($D172-$I$157)*MIN(G$3-$O$2,$Q$2)/$Q$2))</f>
        <v>2778.5267574165</v>
      </c>
      <c r="H172" s="15" t="n">
        <f aca="false">G172*(1+IF(H$3&lt;=$O$2,$D172,$D172-($D172-$I$157)*MIN(H$3-$O$2,$Q$2)/$Q$2))</f>
        <v>2667.53153264056</v>
      </c>
      <c r="I172" s="15" t="n">
        <f aca="false">H172*(1+IF(I$3&lt;=$O$2,$D172,$D172-($D172-$I$157)*MIN(I$3-$O$2,$Q$2)/$Q$2))</f>
        <v>2560.97029069029</v>
      </c>
      <c r="J172" s="15" t="n">
        <f aca="false">I172*(1+IF(J$3&lt;=$O$2,$D172,$D172-($D172-$I$157)*MIN(J$3-$O$2,$Q$2)/$Q$2))</f>
        <v>2498.74381455951</v>
      </c>
      <c r="K172" s="15" t="n">
        <f aca="false">J172*(1+IF(K$3&lt;=$O$2,$D172,$D172-($D172-$I$157)*MIN(K$3-$O$2,$Q$2)/$Q$2))</f>
        <v>2477.13341403822</v>
      </c>
      <c r="L172" s="15" t="n">
        <f aca="false">K172*(1+IF(L$3&lt;=$O$2,$D172,$D172-($D172-$I$157)*MIN(L$3-$O$2,$Q$2)/$Q$2))</f>
        <v>2494.4758153936</v>
      </c>
      <c r="M172" s="15" t="n">
        <f aca="false">L172*(1+IF(M$3&lt;=$O$2,$D172,$D172-($D172-$I$157)*MIN(M$3-$O$2,$Q$2)/$Q$2))</f>
        <v>2550.97693497815</v>
      </c>
      <c r="N172" s="15" t="n">
        <f aca="false">M172*(1+IF(N$3&lt;=$O$2,$D172,$D172-($D172-$I$157)*MIN(N$3-$O$2,$Q$2)/$Q$2))</f>
        <v>2648.67935158781</v>
      </c>
      <c r="O172" s="15" t="n">
        <f aca="false">SUMPRODUCT(E172:N172,1/(1+$F$157)^$E$3:$N$3)*$E$2</f>
        <v>8503.64244973798</v>
      </c>
      <c r="P172" s="15" t="n">
        <f aca="false">N172*$E$2*(1+$I$157)/($F$157-$I$157)/(1+$F$157)^$N$3</f>
        <v>18553.0066483747</v>
      </c>
      <c r="Q172" s="15" t="n">
        <f aca="false">O172+P172</f>
        <v>27056.6490981127</v>
      </c>
      <c r="R172" s="15" t="n">
        <f aca="false">Q172-$G$2+$I$2</f>
        <v>22988.8490981127</v>
      </c>
      <c r="S172" s="42" t="n">
        <f aca="false">R172/$K$2</f>
        <v>176.619922388696</v>
      </c>
      <c r="T172" s="43" t="n">
        <f aca="false">S172-$M$2</f>
        <v>-0.00884220872228525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-0.039947509765625</v>
      </c>
      <c r="C173" s="25" t="n">
        <f aca="false">IF(T172&gt;0,D172,C172)</f>
        <v>-0.03985595703125</v>
      </c>
      <c r="D173" s="41" t="n">
        <f aca="false">(B173+C173)/2</f>
        <v>-0.0399017333984375</v>
      </c>
      <c r="E173" s="15" t="n">
        <f aca="false">$C$2*(1+IF(E$3&lt;=$O$2,$D173,$D173-($D173-$I$157)*MIN(E$3-$O$2,$Q$2)/$Q$2))</f>
        <v>3014.70855712891</v>
      </c>
      <c r="F173" s="15" t="n">
        <f aca="false">E173*(1+IF(F$3&lt;=$O$2,$D173,$D173-($D173-$I$157)*MIN(F$3-$O$2,$Q$2)/$Q$2))</f>
        <v>2894.41646000836</v>
      </c>
      <c r="G173" s="15" t="n">
        <f aca="false">F173*(1+IF(G$3&lt;=$O$2,$D173,$D173-($D173-$I$157)*MIN(G$3-$O$2,$Q$2)/$Q$2))</f>
        <v>2778.92422607706</v>
      </c>
      <c r="H173" s="15" t="n">
        <f aca="false">G173*(1+IF(H$3&lt;=$O$2,$D173,$D173-($D173-$I$157)*MIN(H$3-$O$2,$Q$2)/$Q$2))</f>
        <v>2668.04033247367</v>
      </c>
      <c r="I173" s="15" t="n">
        <f aca="false">H173*(1+IF(I$3&lt;=$O$2,$D173,$D173-($D173-$I$157)*MIN(I$3-$O$2,$Q$2)/$Q$2))</f>
        <v>2561.58089843103</v>
      </c>
      <c r="J173" s="15" t="n">
        <f aca="false">I173*(1+IF(J$3&lt;=$O$2,$D173,$D173-($D173-$I$157)*MIN(J$3-$O$2,$Q$2)/$Q$2))</f>
        <v>2499.43339364283</v>
      </c>
      <c r="K173" s="15" t="n">
        <f aca="false">J173*(1+IF(K$3&lt;=$O$2,$D173,$D173-($D173-$I$157)*MIN(K$3-$O$2,$Q$2)/$Q$2))</f>
        <v>2477.88567828127</v>
      </c>
      <c r="L173" s="15" t="n">
        <f aca="false">K173*(1+IF(L$3&lt;=$O$2,$D173,$D173-($D173-$I$157)*MIN(L$3-$O$2,$Q$2)/$Q$2))</f>
        <v>2495.27871767754</v>
      </c>
      <c r="M173" s="15" t="n">
        <f aca="false">L173*(1+IF(M$3&lt;=$O$2,$D173,$D173-($D173-$I$157)*MIN(M$3-$O$2,$Q$2)/$Q$2))</f>
        <v>2551.82086835766</v>
      </c>
      <c r="N173" s="15" t="n">
        <f aca="false">M173*(1+IF(N$3&lt;=$O$2,$D173,$D173-($D173-$I$157)*MIN(N$3-$O$2,$Q$2)/$Q$2))</f>
        <v>2649.55560761576</v>
      </c>
      <c r="O173" s="15" t="n">
        <f aca="false">SUMPRODUCT(E173:N173,1/(1+$F$157)^$E$3:$N$3)*$E$2</f>
        <v>8505.36112309353</v>
      </c>
      <c r="P173" s="15" t="n">
        <f aca="false">N173*$E$2*(1+$I$157)/($F$157-$I$157)/(1+$F$157)^$N$3</f>
        <v>18559.1444936003</v>
      </c>
      <c r="Q173" s="15" t="n">
        <f aca="false">O173+P173</f>
        <v>27064.5056166939</v>
      </c>
      <c r="R173" s="15" t="n">
        <f aca="false">Q173-$G$2+$I$2</f>
        <v>22996.7056166939</v>
      </c>
      <c r="S173" s="42" t="n">
        <f aca="false">R173/$K$2</f>
        <v>176.680282857205</v>
      </c>
      <c r="T173" s="43" t="n">
        <f aca="false">S173-$M$2</f>
        <v>0.0515182597868318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-0.039947509765625</v>
      </c>
      <c r="C174" s="25" t="n">
        <f aca="false">IF(T173&gt;0,D173,C173)</f>
        <v>-0.0399017333984375</v>
      </c>
      <c r="D174" s="41" t="n">
        <f aca="false">(B174+C174)/2</f>
        <v>-0.0399246215820313</v>
      </c>
      <c r="E174" s="15" t="n">
        <f aca="false">$C$2*(1+IF(E$3&lt;=$O$2,$D174,$D174-($D174-$I$157)*MIN(E$3-$O$2,$Q$2)/$Q$2))</f>
        <v>3014.63668823242</v>
      </c>
      <c r="F174" s="15" t="n">
        <f aca="false">E174*(1+IF(F$3&lt;=$O$2,$D174,$D174-($D174-$I$157)*MIN(F$3-$O$2,$Q$2)/$Q$2))</f>
        <v>2894.27845924743</v>
      </c>
      <c r="G174" s="15" t="n">
        <f aca="false">F174*(1+IF(G$3&lt;=$O$2,$D174,$D174-($D174-$I$157)*MIN(G$3-$O$2,$Q$2)/$Q$2))</f>
        <v>2778.72548700896</v>
      </c>
      <c r="H174" s="15" t="n">
        <f aca="false">G174*(1+IF(H$3&lt;=$O$2,$D174,$D174-($D174-$I$157)*MIN(H$3-$O$2,$Q$2)/$Q$2))</f>
        <v>2667.78592345978</v>
      </c>
      <c r="I174" s="15" t="n">
        <f aca="false">H174*(1+IF(I$3&lt;=$O$2,$D174,$D174-($D174-$I$157)*MIN(I$3-$O$2,$Q$2)/$Q$2))</f>
        <v>2561.27558000378</v>
      </c>
      <c r="J174" s="15" t="n">
        <f aca="false">I174*(1+IF(J$3&lt;=$O$2,$D174,$D174-($D174-$I$157)*MIN(J$3-$O$2,$Q$2)/$Q$2))</f>
        <v>2499.08858430745</v>
      </c>
      <c r="K174" s="15" t="n">
        <f aca="false">J174*(1+IF(K$3&lt;=$O$2,$D174,$D174-($D174-$I$157)*MIN(K$3-$O$2,$Q$2)/$Q$2))</f>
        <v>2477.50952180197</v>
      </c>
      <c r="L174" s="15" t="n">
        <f aca="false">K174*(1+IF(L$3&lt;=$O$2,$D174,$D174-($D174-$I$157)*MIN(L$3-$O$2,$Q$2)/$Q$2))</f>
        <v>2494.87723856345</v>
      </c>
      <c r="M174" s="15" t="n">
        <f aca="false">L174*(1+IF(M$3&lt;=$O$2,$D174,$D174-($D174-$I$157)*MIN(M$3-$O$2,$Q$2)/$Q$2))</f>
        <v>2551.39887122438</v>
      </c>
      <c r="N174" s="15" t="n">
        <f aca="false">M174*(1+IF(N$3&lt;=$O$2,$D174,$D174-($D174-$I$157)*MIN(N$3-$O$2,$Q$2)/$Q$2))</f>
        <v>2649.11744799227</v>
      </c>
      <c r="O174" s="15" t="n">
        <f aca="false">SUMPRODUCT(E174:N174,1/(1+$F$157)^$E$3:$N$3)*$E$2</f>
        <v>8504.50174159287</v>
      </c>
      <c r="P174" s="15" t="n">
        <f aca="false">N174*$E$2*(1+$I$157)/($F$157-$I$157)/(1+$F$157)^$N$3</f>
        <v>18556.0753495747</v>
      </c>
      <c r="Q174" s="15" t="n">
        <f aca="false">O174+P174</f>
        <v>27060.5770911676</v>
      </c>
      <c r="R174" s="15" t="n">
        <f aca="false">Q174-$G$2+$I$2</f>
        <v>22992.7770911676</v>
      </c>
      <c r="S174" s="42" t="n">
        <f aca="false">R174/$K$2</f>
        <v>176.650100577502</v>
      </c>
      <c r="T174" s="43" t="n">
        <f aca="false">S174-$M$2</f>
        <v>0.0213359800830233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-0.039947509765625</v>
      </c>
      <c r="C175" s="25" t="n">
        <f aca="false">IF(T174&gt;0,D174,C174)</f>
        <v>-0.0399246215820313</v>
      </c>
      <c r="D175" s="41" t="n">
        <f aca="false">(B175+C175)/2</f>
        <v>-0.0399360656738281</v>
      </c>
      <c r="E175" s="15" t="n">
        <f aca="false">$C$2*(1+IF(E$3&lt;=$O$2,$D175,$D175-($D175-$I$157)*MIN(E$3-$O$2,$Q$2)/$Q$2))</f>
        <v>3014.60075378418</v>
      </c>
      <c r="F175" s="15" t="n">
        <f aca="false">E175*(1+IF(F$3&lt;=$O$2,$D175,$D175-($D175-$I$157)*MIN(F$3-$O$2,$Q$2)/$Q$2))</f>
        <v>2894.20946010068</v>
      </c>
      <c r="G175" s="15" t="n">
        <f aca="false">F175*(1+IF(G$3&lt;=$O$2,$D175,$D175-($D175-$I$157)*MIN(G$3-$O$2,$Q$2)/$Q$2))</f>
        <v>2778.62612102829</v>
      </c>
      <c r="H175" s="15" t="n">
        <f aca="false">G175*(1+IF(H$3&lt;=$O$2,$D175,$D175-($D175-$I$157)*MIN(H$3-$O$2,$Q$2)/$Q$2))</f>
        <v>2667.65872577589</v>
      </c>
      <c r="I175" s="15" t="n">
        <f aca="false">H175*(1+IF(I$3&lt;=$O$2,$D175,$D175-($D175-$I$157)*MIN(I$3-$O$2,$Q$2)/$Q$2))</f>
        <v>2561.12293170794</v>
      </c>
      <c r="J175" s="15" t="n">
        <f aca="false">I175*(1+IF(J$3&lt;=$O$2,$D175,$D175-($D175-$I$157)*MIN(J$3-$O$2,$Q$2)/$Q$2))</f>
        <v>2498.91619448528</v>
      </c>
      <c r="K175" s="15" t="n">
        <f aca="false">J175*(1+IF(K$3&lt;=$O$2,$D175,$D175-($D175-$I$157)*MIN(K$3-$O$2,$Q$2)/$Q$2))</f>
        <v>2477.32146183098</v>
      </c>
      <c r="L175" s="15" t="n">
        <f aca="false">K175*(1+IF(L$3&lt;=$O$2,$D175,$D175-($D175-$I$157)*MIN(L$3-$O$2,$Q$2)/$Q$2))</f>
        <v>2494.67651998591</v>
      </c>
      <c r="M175" s="15" t="n">
        <f aca="false">L175*(1+IF(M$3&lt;=$O$2,$D175,$D175-($D175-$I$157)*MIN(M$3-$O$2,$Q$2)/$Q$2))</f>
        <v>2551.18789549085</v>
      </c>
      <c r="N175" s="15" t="n">
        <f aca="false">M175*(1+IF(N$3&lt;=$O$2,$D175,$D175-($D175-$I$157)*MIN(N$3-$O$2,$Q$2)/$Q$2))</f>
        <v>2648.89839188815</v>
      </c>
      <c r="O175" s="15" t="n">
        <f aca="false">SUMPRODUCT(E175:N175,1/(1+$F$157)^$E$3:$N$3)*$E$2</f>
        <v>8504.07208446026</v>
      </c>
      <c r="P175" s="15" t="n">
        <f aca="false">N175*$E$2*(1+$I$157)/($F$157-$I$157)/(1+$F$157)^$N$3</f>
        <v>18554.540943625</v>
      </c>
      <c r="Q175" s="15" t="n">
        <f aca="false">O175+P175</f>
        <v>27058.6130280852</v>
      </c>
      <c r="R175" s="15" t="n">
        <f aca="false">Q175-$G$2+$I$2</f>
        <v>22990.8130280852</v>
      </c>
      <c r="S175" s="42" t="n">
        <f aca="false">R175/$K$2</f>
        <v>176.635010971767</v>
      </c>
      <c r="T175" s="43" t="n">
        <f aca="false">S175-$M$2</f>
        <v>0.00624637434862052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-0.039947509765625</v>
      </c>
      <c r="C176" s="25" t="n">
        <f aca="false">IF(T175&gt;0,D175,C175)</f>
        <v>-0.0399360656738281</v>
      </c>
      <c r="D176" s="41" t="n">
        <f aca="false">(B176+C176)/2</f>
        <v>-0.0399417877197266</v>
      </c>
      <c r="E176" s="15" t="n">
        <f aca="false">$C$2*(1+IF(E$3&lt;=$O$2,$D176,$D176-($D176-$I$157)*MIN(E$3-$O$2,$Q$2)/$Q$2))</f>
        <v>3014.58278656006</v>
      </c>
      <c r="F176" s="15" t="n">
        <f aca="false">E176*(1+IF(F$3&lt;=$O$2,$D176,$D176-($D176-$I$157)*MIN(F$3-$O$2,$Q$2)/$Q$2))</f>
        <v>2894.17496083574</v>
      </c>
      <c r="G176" s="15" t="n">
        <f aca="false">F176*(1+IF(G$3&lt;=$O$2,$D176,$D176-($D176-$I$157)*MIN(G$3-$O$2,$Q$2)/$Q$2))</f>
        <v>2778.57643892629</v>
      </c>
      <c r="H176" s="15" t="n">
        <f aca="false">G176*(1+IF(H$3&lt;=$O$2,$D176,$D176-($D176-$I$157)*MIN(H$3-$O$2,$Q$2)/$Q$2))</f>
        <v>2667.59512863966</v>
      </c>
      <c r="I176" s="15" t="n">
        <f aca="false">H176*(1+IF(I$3&lt;=$O$2,$D176,$D176-($D176-$I$157)*MIN(I$3-$O$2,$Q$2)/$Q$2))</f>
        <v>2561.04661028936</v>
      </c>
      <c r="J176" s="15" t="n">
        <f aca="false">I176*(1+IF(J$3&lt;=$O$2,$D176,$D176-($D176-$I$157)*MIN(J$3-$O$2,$Q$2)/$Q$2))</f>
        <v>2498.83000328537</v>
      </c>
      <c r="K176" s="15" t="n">
        <f aca="false">J176*(1+IF(K$3&lt;=$O$2,$D176,$D176-($D176-$I$157)*MIN(K$3-$O$2,$Q$2)/$Q$2))</f>
        <v>2477.22743641236</v>
      </c>
      <c r="L176" s="15" t="n">
        <f aca="false">K176*(1+IF(L$3&lt;=$O$2,$D176,$D176-($D176-$I$157)*MIN(L$3-$O$2,$Q$2)/$Q$2))</f>
        <v>2494.57616594165</v>
      </c>
      <c r="M176" s="15" t="n">
        <f aca="false">L176*(1+IF(M$3&lt;=$O$2,$D176,$D176-($D176-$I$157)*MIN(M$3-$O$2,$Q$2)/$Q$2))</f>
        <v>2551.08241333195</v>
      </c>
      <c r="N176" s="15" t="n">
        <f aca="false">M176*(1+IF(N$3&lt;=$O$2,$D176,$D176-($D176-$I$157)*MIN(N$3-$O$2,$Q$2)/$Q$2))</f>
        <v>2648.78886976257</v>
      </c>
      <c r="O176" s="15" t="n">
        <f aca="false">SUMPRODUCT(E176:N176,1/(1+$F$157)^$E$3:$N$3)*$E$2</f>
        <v>8503.8572642979</v>
      </c>
      <c r="P176" s="15" t="n">
        <f aca="false">N176*$E$2*(1+$I$157)/($F$157-$I$157)/(1+$F$157)^$N$3</f>
        <v>18553.7737821628</v>
      </c>
      <c r="Q176" s="15" t="n">
        <f aca="false">O176+P176</f>
        <v>27057.6310464607</v>
      </c>
      <c r="R176" s="15" t="n">
        <f aca="false">Q176-$G$2+$I$2</f>
        <v>22989.8310464607</v>
      </c>
      <c r="S176" s="42" t="n">
        <f aca="false">R176/$K$2</f>
        <v>176.627466552403</v>
      </c>
      <c r="T176" s="43" t="n">
        <f aca="false">S176-$M$2</f>
        <v>-0.00129804501594322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-0.0399417877197266</v>
      </c>
      <c r="C177" s="25" t="n">
        <f aca="false">IF(T176&gt;0,D176,C176)</f>
        <v>-0.0399360656738281</v>
      </c>
      <c r="D177" s="41" t="n">
        <f aca="false">(B177+C177)/2</f>
        <v>-0.0399389266967773</v>
      </c>
      <c r="E177" s="15" t="n">
        <f aca="false">$C$2*(1+IF(E$3&lt;=$O$2,$D177,$D177-($D177-$I$157)*MIN(E$3-$O$2,$Q$2)/$Q$2))</f>
        <v>3014.59177017212</v>
      </c>
      <c r="F177" s="15" t="n">
        <f aca="false">E177*(1+IF(F$3&lt;=$O$2,$D177,$D177-($D177-$I$157)*MIN(F$3-$O$2,$Q$2)/$Q$2))</f>
        <v>2894.19221044251</v>
      </c>
      <c r="G177" s="15" t="n">
        <f aca="false">F177*(1+IF(G$3&lt;=$O$2,$D177,$D177-($D177-$I$157)*MIN(G$3-$O$2,$Q$2)/$Q$2))</f>
        <v>2778.60127990326</v>
      </c>
      <c r="H177" s="15" t="n">
        <f aca="false">G177*(1+IF(H$3&lt;=$O$2,$D177,$D177-($D177-$I$157)*MIN(H$3-$O$2,$Q$2)/$Q$2))</f>
        <v>2667.62692706563</v>
      </c>
      <c r="I177" s="15" t="n">
        <f aca="false">H177*(1+IF(I$3&lt;=$O$2,$D177,$D177-($D177-$I$157)*MIN(I$3-$O$2,$Q$2)/$Q$2))</f>
        <v>2561.08477077121</v>
      </c>
      <c r="J177" s="15" t="n">
        <f aca="false">I177*(1+IF(J$3&lt;=$O$2,$D177,$D177-($D177-$I$157)*MIN(J$3-$O$2,$Q$2)/$Q$2))</f>
        <v>2498.87309857606</v>
      </c>
      <c r="K177" s="15" t="n">
        <f aca="false">J177*(1+IF(K$3&lt;=$O$2,$D177,$D177-($D177-$I$157)*MIN(K$3-$O$2,$Q$2)/$Q$2))</f>
        <v>2477.2744487411</v>
      </c>
      <c r="L177" s="15" t="n">
        <f aca="false">K177*(1+IF(L$3&lt;=$O$2,$D177,$D177-($D177-$I$157)*MIN(L$3-$O$2,$Q$2)/$Q$2))</f>
        <v>2494.62634252674</v>
      </c>
      <c r="M177" s="15" t="n">
        <f aca="false">L177*(1+IF(M$3&lt;=$O$2,$D177,$D177-($D177-$I$157)*MIN(M$3-$O$2,$Q$2)/$Q$2))</f>
        <v>2551.13515393576</v>
      </c>
      <c r="N177" s="15" t="n">
        <f aca="false">M177*(1+IF(N$3&lt;=$O$2,$D177,$D177-($D177-$I$157)*MIN(N$3-$O$2,$Q$2)/$Q$2))</f>
        <v>2648.8436303315</v>
      </c>
      <c r="O177" s="15" t="n">
        <f aca="false">SUMPRODUCT(E177:N177,1/(1+$F$157)^$E$3:$N$3)*$E$2</f>
        <v>8503.96467367877</v>
      </c>
      <c r="P177" s="15" t="n">
        <f aca="false">N177*$E$2*(1+$I$157)/($F$157-$I$157)/(1+$F$157)^$N$3</f>
        <v>18554.1573594346</v>
      </c>
      <c r="Q177" s="15" t="n">
        <f aca="false">O177+P177</f>
        <v>27058.1220331133</v>
      </c>
      <c r="R177" s="15" t="n">
        <f aca="false">Q177-$G$2+$I$2</f>
        <v>22990.3220331134</v>
      </c>
      <c r="S177" s="42" t="n">
        <f aca="false">R177/$K$2</f>
        <v>176.631238730127</v>
      </c>
      <c r="T177" s="43" t="n">
        <f aca="false">S177-$M$2</f>
        <v>0.00247413270852803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-0.0399417877197266</v>
      </c>
      <c r="C178" s="25" t="n">
        <f aca="false">IF(T177&gt;0,D177,C177)</f>
        <v>-0.0399389266967773</v>
      </c>
      <c r="D178" s="41" t="n">
        <f aca="false">(B178+C178)/2</f>
        <v>-0.039940357208252</v>
      </c>
      <c r="E178" s="15" t="n">
        <f aca="false">$C$2*(1+IF(E$3&lt;=$O$2,$D178,$D178-($D178-$I$157)*MIN(E$3-$O$2,$Q$2)/$Q$2))</f>
        <v>3014.58727836609</v>
      </c>
      <c r="F178" s="15" t="n">
        <f aca="false">E178*(1+IF(F$3&lt;=$O$2,$D178,$D178-($D178-$I$157)*MIN(F$3-$O$2,$Q$2)/$Q$2))</f>
        <v>2894.1835856327</v>
      </c>
      <c r="G178" s="15" t="n">
        <f aca="false">F178*(1+IF(G$3&lt;=$O$2,$D178,$D178-($D178-$I$157)*MIN(G$3-$O$2,$Q$2)/$Q$2))</f>
        <v>2778.58885939627</v>
      </c>
      <c r="H178" s="15" t="n">
        <f aca="false">G178*(1+IF(H$3&lt;=$O$2,$D178,$D178-($D178-$I$157)*MIN(H$3-$O$2,$Q$2)/$Q$2))</f>
        <v>2667.61102781711</v>
      </c>
      <c r="I178" s="15" t="n">
        <f aca="false">H178*(1+IF(I$3&lt;=$O$2,$D178,$D178-($D178-$I$157)*MIN(I$3-$O$2,$Q$2)/$Q$2))</f>
        <v>2561.06569047342</v>
      </c>
      <c r="J178" s="15" t="n">
        <f aca="false">I178*(1+IF(J$3&lt;=$O$2,$D178,$D178-($D178-$I$157)*MIN(J$3-$O$2,$Q$2)/$Q$2))</f>
        <v>2498.8515508534</v>
      </c>
      <c r="K178" s="15" t="n">
        <f aca="false">J178*(1+IF(K$3&lt;=$O$2,$D178,$D178-($D178-$I$157)*MIN(K$3-$O$2,$Q$2)/$Q$2))</f>
        <v>2477.25094248159</v>
      </c>
      <c r="L178" s="15" t="n">
        <f aca="false">K178*(1+IF(L$3&lt;=$O$2,$D178,$D178-($D178-$I$157)*MIN(L$3-$O$2,$Q$2)/$Q$2))</f>
        <v>2494.60125412494</v>
      </c>
      <c r="M178" s="15" t="n">
        <f aca="false">L178*(1+IF(M$3&lt;=$O$2,$D178,$D178-($D178-$I$157)*MIN(M$3-$O$2,$Q$2)/$Q$2))</f>
        <v>2551.10878351495</v>
      </c>
      <c r="N178" s="15" t="n">
        <f aca="false">M178*(1+IF(N$3&lt;=$O$2,$D178,$D178-($D178-$I$157)*MIN(N$3-$O$2,$Q$2)/$Q$2))</f>
        <v>2648.81624992357</v>
      </c>
      <c r="O178" s="15" t="n">
        <f aca="false">SUMPRODUCT(E178:N178,1/(1+$F$157)^$E$3:$N$3)*$E$2</f>
        <v>8503.91096881326</v>
      </c>
      <c r="P178" s="15" t="n">
        <f aca="false">N178*$E$2*(1+$I$157)/($F$157-$I$157)/(1+$F$157)^$N$3</f>
        <v>18553.9655699339</v>
      </c>
      <c r="Q178" s="15" t="n">
        <f aca="false">O178+P178</f>
        <v>27057.8765387471</v>
      </c>
      <c r="R178" s="15" t="n">
        <f aca="false">Q178-$G$2+$I$2</f>
        <v>22990.0765387471</v>
      </c>
      <c r="S178" s="42" t="n">
        <f aca="false">R178/$K$2</f>
        <v>176.629352633276</v>
      </c>
      <c r="T178" s="43" t="n">
        <f aca="false">S178-$M$2</f>
        <v>0.000588035856878832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-0.0399417877197266</v>
      </c>
      <c r="C179" s="25" t="n">
        <f aca="false">IF(T178&gt;0,D178,C178)</f>
        <v>-0.039940357208252</v>
      </c>
      <c r="D179" s="41" t="n">
        <f aca="false">(B179+C179)/2</f>
        <v>-0.0399410724639893</v>
      </c>
      <c r="E179" s="15" t="n">
        <f aca="false">$C$2*(1+IF(E$3&lt;=$O$2,$D179,$D179-($D179-$I$157)*MIN(E$3-$O$2,$Q$2)/$Q$2))</f>
        <v>3014.58503246307</v>
      </c>
      <c r="F179" s="15" t="n">
        <f aca="false">E179*(1+IF(F$3&lt;=$O$2,$D179,$D179-($D179-$I$157)*MIN(F$3-$O$2,$Q$2)/$Q$2))</f>
        <v>2894.17927323261</v>
      </c>
      <c r="G179" s="15" t="n">
        <f aca="false">F179*(1+IF(G$3&lt;=$O$2,$D179,$D179-($D179-$I$157)*MIN(G$3-$O$2,$Q$2)/$Q$2))</f>
        <v>2778.58264915665</v>
      </c>
      <c r="H179" s="15" t="n">
        <f aca="false">G179*(1+IF(H$3&lt;=$O$2,$D179,$D179-($D179-$I$157)*MIN(H$3-$O$2,$Q$2)/$Q$2))</f>
        <v>2667.6030782195</v>
      </c>
      <c r="I179" s="15" t="n">
        <f aca="false">H179*(1+IF(I$3&lt;=$O$2,$D179,$D179-($D179-$I$157)*MIN(I$3-$O$2,$Q$2)/$Q$2))</f>
        <v>2561.05615036717</v>
      </c>
      <c r="J179" s="15" t="n">
        <f aca="false">I179*(1+IF(J$3&lt;=$O$2,$D179,$D179-($D179-$I$157)*MIN(J$3-$O$2,$Q$2)/$Q$2))</f>
        <v>2498.84077705006</v>
      </c>
      <c r="K179" s="15" t="n">
        <f aca="false">J179*(1+IF(K$3&lt;=$O$2,$D179,$D179-($D179-$I$157)*MIN(K$3-$O$2,$Q$2)/$Q$2))</f>
        <v>2477.23918942319</v>
      </c>
      <c r="L179" s="15" t="n">
        <f aca="false">K179*(1+IF(L$3&lt;=$O$2,$D179,$D179-($D179-$I$157)*MIN(L$3-$O$2,$Q$2)/$Q$2))</f>
        <v>2494.58871000598</v>
      </c>
      <c r="M179" s="15" t="n">
        <f aca="false">L179*(1+IF(M$3&lt;=$O$2,$D179,$D179-($D179-$I$157)*MIN(M$3-$O$2,$Q$2)/$Q$2))</f>
        <v>2551.09559839372</v>
      </c>
      <c r="N179" s="15" t="n">
        <f aca="false">M179*(1+IF(N$3&lt;=$O$2,$D179,$D179-($D179-$I$157)*MIN(N$3-$O$2,$Q$2)/$Q$2))</f>
        <v>2648.8025598122</v>
      </c>
      <c r="O179" s="15" t="n">
        <f aca="false">SUMPRODUCT(E179:N179,1/(1+$F$157)^$E$3:$N$3)*$E$2</f>
        <v>8503.88411651181</v>
      </c>
      <c r="P179" s="15" t="n">
        <f aca="false">N179*$E$2*(1+$I$157)/($F$157-$I$157)/(1+$F$157)^$N$3</f>
        <v>18553.8696758322</v>
      </c>
      <c r="Q179" s="15" t="n">
        <f aca="false">O179+P179</f>
        <v>27057.753792344</v>
      </c>
      <c r="R179" s="15" t="n">
        <f aca="false">Q179-$G$2+$I$2</f>
        <v>22989.953792344</v>
      </c>
      <c r="S179" s="42" t="n">
        <f aca="false">R179/$K$2</f>
        <v>176.628409590842</v>
      </c>
      <c r="T179" s="43" t="n">
        <f aca="false">S179-$M$2</f>
        <v>-0.000355006576882033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-0.0399410724639893</v>
      </c>
      <c r="C180" s="25" t="n">
        <f aca="false">IF(T179&gt;0,D179,C179)</f>
        <v>-0.039940357208252</v>
      </c>
      <c r="D180" s="41" t="n">
        <f aca="false">(B180+C180)/2</f>
        <v>-0.0399407148361206</v>
      </c>
      <c r="E180" s="15" t="n">
        <f aca="false">$C$2*(1+IF(E$3&lt;=$O$2,$D180,$D180-($D180-$I$157)*MIN(E$3-$O$2,$Q$2)/$Q$2))</f>
        <v>3014.58615541458</v>
      </c>
      <c r="F180" s="15" t="n">
        <f aca="false">E180*(1+IF(F$3&lt;=$O$2,$D180,$D180-($D180-$I$157)*MIN(F$3-$O$2,$Q$2)/$Q$2))</f>
        <v>2894.18142943225</v>
      </c>
      <c r="G180" s="15" t="n">
        <f aca="false">F180*(1+IF(G$3&lt;=$O$2,$D180,$D180-($D180-$I$157)*MIN(G$3-$O$2,$Q$2)/$Q$2))</f>
        <v>2778.5857542753</v>
      </c>
      <c r="H180" s="15" t="n">
        <f aca="false">G180*(1+IF(H$3&lt;=$O$2,$D180,$D180-($D180-$I$157)*MIN(H$3-$O$2,$Q$2)/$Q$2))</f>
        <v>2667.60705301608</v>
      </c>
      <c r="I180" s="15" t="n">
        <f aca="false">H180*(1+IF(I$3&lt;=$O$2,$D180,$D180-($D180-$I$157)*MIN(I$3-$O$2,$Q$2)/$Q$2))</f>
        <v>2561.06092041674</v>
      </c>
      <c r="J180" s="15" t="n">
        <f aca="false">I180*(1+IF(J$3&lt;=$O$2,$D180,$D180-($D180-$I$157)*MIN(J$3-$O$2,$Q$2)/$Q$2))</f>
        <v>2498.8461639469</v>
      </c>
      <c r="K180" s="15" t="n">
        <f aca="false">J180*(1+IF(K$3&lt;=$O$2,$D180,$D180-($D180-$I$157)*MIN(K$3-$O$2,$Q$2)/$Q$2))</f>
        <v>2477.24506594644</v>
      </c>
      <c r="L180" s="15" t="n">
        <f aca="false">K180*(1+IF(L$3&lt;=$O$2,$D180,$D180-($D180-$I$157)*MIN(L$3-$O$2,$Q$2)/$Q$2))</f>
        <v>2494.59498205863</v>
      </c>
      <c r="M180" s="15" t="n">
        <f aca="false">L180*(1+IF(M$3&lt;=$O$2,$D180,$D180-($D180-$I$157)*MIN(M$3-$O$2,$Q$2)/$Q$2))</f>
        <v>2551.1021909469</v>
      </c>
      <c r="N180" s="15" t="n">
        <f aca="false">M180*(1+IF(N$3&lt;=$O$2,$D180,$D180-($D180-$I$157)*MIN(N$3-$O$2,$Q$2)/$Q$2))</f>
        <v>2648.80940486017</v>
      </c>
      <c r="O180" s="15" t="n">
        <f aca="false">SUMPRODUCT(E180:N180,1/(1+$F$157)^$E$3:$N$3)*$E$2</f>
        <v>8503.89754265159</v>
      </c>
      <c r="P180" s="15" t="n">
        <f aca="false">N180*$E$2*(1+$I$157)/($F$157-$I$157)/(1+$F$157)^$N$3</f>
        <v>18553.917622829</v>
      </c>
      <c r="Q180" s="15" t="n">
        <f aca="false">O180+P180</f>
        <v>27057.8151654806</v>
      </c>
      <c r="R180" s="15" t="n">
        <f aca="false">Q180-$G$2+$I$2</f>
        <v>22990.0151654806</v>
      </c>
      <c r="S180" s="42" t="n">
        <f aca="false">R180/$K$2</f>
        <v>176.628881111559</v>
      </c>
      <c r="T180" s="43" t="n">
        <f aca="false">S180-$M$2</f>
        <v>0.000116514140671597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-0.0399410724639893</v>
      </c>
      <c r="C181" s="25" t="n">
        <f aca="false">IF(T180&gt;0,D180,C180)</f>
        <v>-0.0399407148361206</v>
      </c>
      <c r="D181" s="41" t="n">
        <f aca="false">(B181+C181)/2</f>
        <v>-0.0399408936500549</v>
      </c>
      <c r="E181" s="15" t="n">
        <f aca="false">$C$2*(1+IF(E$3&lt;=$O$2,$D181,$D181-($D181-$I$157)*MIN(E$3-$O$2,$Q$2)/$Q$2))</f>
        <v>3014.58559393883</v>
      </c>
      <c r="F181" s="15" t="n">
        <f aca="false">E181*(1+IF(F$3&lt;=$O$2,$D181,$D181-($D181-$I$157)*MIN(F$3-$O$2,$Q$2)/$Q$2))</f>
        <v>2894.18035133233</v>
      </c>
      <c r="G181" s="15" t="n">
        <f aca="false">F181*(1+IF(G$3&lt;=$O$2,$D181,$D181-($D181-$I$157)*MIN(G$3-$O$2,$Q$2)/$Q$2))</f>
        <v>2778.58420171569</v>
      </c>
      <c r="H181" s="15" t="n">
        <f aca="false">G181*(1+IF(H$3&lt;=$O$2,$D181,$D181-($D181-$I$157)*MIN(H$3-$O$2,$Q$2)/$Q$2))</f>
        <v>2667.60506561724</v>
      </c>
      <c r="I181" s="15" t="n">
        <f aca="false">H181*(1+IF(I$3&lt;=$O$2,$D181,$D181-($D181-$I$157)*MIN(I$3-$O$2,$Q$2)/$Q$2))</f>
        <v>2561.05853539107</v>
      </c>
      <c r="J181" s="15" t="n">
        <f aca="false">I181*(1+IF(J$3&lt;=$O$2,$D181,$D181-($D181-$I$157)*MIN(J$3-$O$2,$Q$2)/$Q$2))</f>
        <v>2498.84347049727</v>
      </c>
      <c r="K181" s="15" t="n">
        <f aca="false">J181*(1+IF(K$3&lt;=$O$2,$D181,$D181-($D181-$I$157)*MIN(K$3-$O$2,$Q$2)/$Q$2))</f>
        <v>2477.24212768333</v>
      </c>
      <c r="L181" s="15" t="n">
        <f aca="false">K181*(1+IF(L$3&lt;=$O$2,$D181,$D181-($D181-$I$157)*MIN(L$3-$O$2,$Q$2)/$Q$2))</f>
        <v>2494.5918460306</v>
      </c>
      <c r="M181" s="15" t="n">
        <f aca="false">L181*(1+IF(M$3&lt;=$O$2,$D181,$D181-($D181-$I$157)*MIN(M$3-$O$2,$Q$2)/$Q$2))</f>
        <v>2551.09889466846</v>
      </c>
      <c r="N181" s="15" t="n">
        <f aca="false">M181*(1+IF(N$3&lt;=$O$2,$D181,$D181-($D181-$I$157)*MIN(N$3-$O$2,$Q$2)/$Q$2))</f>
        <v>2648.80598233426</v>
      </c>
      <c r="O181" s="15" t="n">
        <f aca="false">SUMPRODUCT(E181:N181,1/(1+$F$157)^$E$3:$N$3)*$E$2</f>
        <v>8503.89082957896</v>
      </c>
      <c r="P181" s="15" t="n">
        <f aca="false">N181*$E$2*(1+$I$157)/($F$157-$I$157)/(1+$F$157)^$N$3</f>
        <v>18553.893649317</v>
      </c>
      <c r="Q181" s="15" t="n">
        <f aca="false">O181+P181</f>
        <v>27057.784478896</v>
      </c>
      <c r="R181" s="15" t="n">
        <f aca="false">Q181-$G$2+$I$2</f>
        <v>22989.984478896</v>
      </c>
      <c r="S181" s="42" t="n">
        <f aca="false">R181/$K$2</f>
        <v>176.628645351076</v>
      </c>
      <c r="T181" s="43" t="n">
        <f aca="false">S181-$M$2</f>
        <v>-0.000119246342961787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-0.0399408936500549</v>
      </c>
      <c r="C182" s="25" t="n">
        <f aca="false">IF(T181&gt;0,D181,C181)</f>
        <v>-0.0399407148361206</v>
      </c>
      <c r="D182" s="41" t="n">
        <f aca="false">(B182+C182)/2</f>
        <v>-0.0399408042430878</v>
      </c>
      <c r="E182" s="15" t="n">
        <f aca="false">$C$2*(1+IF(E$3&lt;=$O$2,$D182,$D182-($D182-$I$157)*MIN(E$3-$O$2,$Q$2)/$Q$2))</f>
        <v>3014.5858746767</v>
      </c>
      <c r="F182" s="15" t="n">
        <f aca="false">E182*(1+IF(F$3&lt;=$O$2,$D182,$D182-($D182-$I$157)*MIN(F$3-$O$2,$Q$2)/$Q$2))</f>
        <v>2894.18089038227</v>
      </c>
      <c r="G182" s="15" t="n">
        <f aca="false">F182*(1+IF(G$3&lt;=$O$2,$D182,$D182-($D182-$I$157)*MIN(G$3-$O$2,$Q$2)/$Q$2))</f>
        <v>2778.58497799542</v>
      </c>
      <c r="H182" s="15" t="n">
        <f aca="false">G182*(1+IF(H$3&lt;=$O$2,$D182,$D182-($D182-$I$157)*MIN(H$3-$O$2,$Q$2)/$Q$2))</f>
        <v>2667.60605931652</v>
      </c>
      <c r="I182" s="15" t="n">
        <f aca="false">H182*(1+IF(I$3&lt;=$O$2,$D182,$D182-($D182-$I$157)*MIN(I$3-$O$2,$Q$2)/$Q$2))</f>
        <v>2561.05972790369</v>
      </c>
      <c r="J182" s="15" t="n">
        <f aca="false">I182*(1+IF(J$3&lt;=$O$2,$D182,$D182-($D182-$I$157)*MIN(J$3-$O$2,$Q$2)/$Q$2))</f>
        <v>2498.84481722178</v>
      </c>
      <c r="K182" s="15" t="n">
        <f aca="false">J182*(1+IF(K$3&lt;=$O$2,$D182,$D182-($D182-$I$157)*MIN(K$3-$O$2,$Q$2)/$Q$2))</f>
        <v>2477.24359681451</v>
      </c>
      <c r="L182" s="15" t="n">
        <f aca="false">K182*(1+IF(L$3&lt;=$O$2,$D182,$D182-($D182-$I$157)*MIN(L$3-$O$2,$Q$2)/$Q$2))</f>
        <v>2494.59341404419</v>
      </c>
      <c r="M182" s="15" t="n">
        <f aca="false">L182*(1+IF(M$3&lt;=$O$2,$D182,$D182-($D182-$I$157)*MIN(M$3-$O$2,$Q$2)/$Q$2))</f>
        <v>2551.10054280721</v>
      </c>
      <c r="N182" s="15" t="n">
        <f aca="false">M182*(1+IF(N$3&lt;=$O$2,$D182,$D182-($D182-$I$157)*MIN(N$3-$O$2,$Q$2)/$Q$2))</f>
        <v>2648.80769359673</v>
      </c>
      <c r="O182" s="15" t="n">
        <f aca="false">SUMPRODUCT(E182:N182,1/(1+$F$157)^$E$3:$N$3)*$E$2</f>
        <v>8503.8941861146</v>
      </c>
      <c r="P182" s="15" t="n">
        <f aca="false">N182*$E$2*(1+$I$157)/($F$157-$I$157)/(1+$F$157)^$N$3</f>
        <v>18553.9056360696</v>
      </c>
      <c r="Q182" s="15" t="n">
        <f aca="false">O182+P182</f>
        <v>27057.7998221842</v>
      </c>
      <c r="R182" s="15" t="n">
        <f aca="false">Q182-$G$2+$I$2</f>
        <v>22989.9998221842</v>
      </c>
      <c r="S182" s="42" t="n">
        <f aca="false">R182/$K$2</f>
        <v>176.628763231286</v>
      </c>
      <c r="T182" s="43" t="n">
        <f aca="false">S182-$M$2</f>
        <v>-1.36613232371019E-006</v>
      </c>
    </row>
    <row r="184" customFormat="false" ht="15" hidden="false" customHeight="false" outlineLevel="0" collapsed="false">
      <c r="A184" s="38" t="s">
        <v>180</v>
      </c>
      <c r="E184" s="5" t="s">
        <v>11</v>
      </c>
      <c r="F184" s="12" t="n">
        <f aca="false">Sensitivity!$B$11</f>
        <v>0.0769413943493295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155</v>
      </c>
      <c r="B185" s="28" t="s">
        <v>156</v>
      </c>
      <c r="C185" s="28" t="s">
        <v>157</v>
      </c>
      <c r="D185" s="28" t="s">
        <v>158</v>
      </c>
      <c r="E185" s="28" t="s">
        <v>159</v>
      </c>
      <c r="F185" s="28" t="s">
        <v>160</v>
      </c>
      <c r="G185" s="28" t="s">
        <v>161</v>
      </c>
      <c r="H185" s="28" t="s">
        <v>162</v>
      </c>
      <c r="I185" s="28" t="s">
        <v>163</v>
      </c>
      <c r="J185" s="28" t="s">
        <v>164</v>
      </c>
      <c r="K185" s="28" t="s">
        <v>165</v>
      </c>
      <c r="L185" s="28" t="s">
        <v>166</v>
      </c>
      <c r="M185" s="28" t="s">
        <v>167</v>
      </c>
      <c r="N185" s="28" t="s">
        <v>168</v>
      </c>
      <c r="O185" s="28" t="s">
        <v>169</v>
      </c>
      <c r="P185" s="28" t="s">
        <v>170</v>
      </c>
      <c r="Q185" s="28" t="s">
        <v>171</v>
      </c>
      <c r="R185" s="28" t="s">
        <v>172</v>
      </c>
      <c r="S185" s="28" t="s">
        <v>173</v>
      </c>
      <c r="T185" s="28" t="s">
        <v>174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3925</v>
      </c>
      <c r="F186" s="15" t="n">
        <f aca="false">E186*(1+IF(F$3&lt;=$O$2,$D186,$D186-($D186-$I$184)*MIN(F$3-$O$2,$Q$2)/$Q$2))</f>
        <v>4906.25</v>
      </c>
      <c r="G186" s="15" t="n">
        <f aca="false">F186*(1+IF(G$3&lt;=$O$2,$D186,$D186-($D186-$I$184)*MIN(G$3-$O$2,$Q$2)/$Q$2))</f>
        <v>6132.8125</v>
      </c>
      <c r="H186" s="15" t="n">
        <f aca="false">G186*(1+IF(H$3&lt;=$O$2,$D186,$D186-($D186-$I$184)*MIN(H$3-$O$2,$Q$2)/$Q$2))</f>
        <v>7666.015625</v>
      </c>
      <c r="I186" s="15" t="n">
        <f aca="false">H186*(1+IF(I$3&lt;=$O$2,$D186,$D186-($D186-$I$184)*MIN(I$3-$O$2,$Q$2)/$Q$2))</f>
        <v>9582.51953125</v>
      </c>
      <c r="J186" s="15" t="n">
        <f aca="false">I186*(1+IF(J$3&lt;=$O$2,$D186,$D186-($D186-$I$184)*MIN(J$3-$O$2,$Q$2)/$Q$2))</f>
        <v>11534.0954589844</v>
      </c>
      <c r="K186" s="15" t="n">
        <f aca="false">J186*(1+IF(K$3&lt;=$O$2,$D186,$D186-($D186-$I$184)*MIN(K$3-$O$2,$Q$2)/$Q$2))</f>
        <v>13348.6393565918</v>
      </c>
      <c r="L186" s="15" t="n">
        <f aca="false">K186*(1+IF(L$3&lt;=$O$2,$D186,$D186-($D186-$I$184)*MIN(L$3-$O$2,$Q$2)/$Q$2))</f>
        <v>14830.0713523864</v>
      </c>
      <c r="M186" s="15" t="n">
        <f aca="false">L186*(1+IF(M$3&lt;=$O$2,$D186,$D186-($D186-$I$184)*MIN(M$3-$O$2,$Q$2)/$Q$2))</f>
        <v>15788.6871646046</v>
      </c>
      <c r="N186" s="15" t="n">
        <f aca="false">M186*(1+IF(N$3&lt;=$O$2,$D186,$D186-($D186-$I$184)*MIN(N$3-$O$2,$Q$2)/$Q$2))</f>
        <v>16077.6201397169</v>
      </c>
      <c r="O186" s="15" t="n">
        <f aca="false">SUMPRODUCT(E186:N186,1/(1+$F$184)^$E$3:$N$3)*$E$2</f>
        <v>29275.892987831</v>
      </c>
      <c r="P186" s="15" t="n">
        <f aca="false">N186*$E$2*(1+$I$184)/($F$184-$I$184)/(1+$F$184)^$N$3</f>
        <v>60481.0031036517</v>
      </c>
      <c r="Q186" s="15" t="n">
        <f aca="false">O186+P186</f>
        <v>89756.8960914828</v>
      </c>
      <c r="R186" s="15" t="n">
        <f aca="false">Q186-$G$2+$I$2</f>
        <v>85689.0960914828</v>
      </c>
      <c r="S186" s="42" t="n">
        <f aca="false">R186/$K$2</f>
        <v>658.336632540587</v>
      </c>
      <c r="T186" s="43" t="n">
        <f aca="false">S186-$M$2</f>
        <v>481.707867943168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2747.5</v>
      </c>
      <c r="F187" s="15" t="n">
        <f aca="false">E187*(1+IF(F$3&lt;=$O$2,$D187,$D187-($D187-$I$184)*MIN(F$3-$O$2,$Q$2)/$Q$2))</f>
        <v>2404.0625</v>
      </c>
      <c r="G187" s="15" t="n">
        <f aca="false">F187*(1+IF(G$3&lt;=$O$2,$D187,$D187-($D187-$I$184)*MIN(G$3-$O$2,$Q$2)/$Q$2))</f>
        <v>2103.5546875</v>
      </c>
      <c r="H187" s="15" t="n">
        <f aca="false">G187*(1+IF(H$3&lt;=$O$2,$D187,$D187-($D187-$I$184)*MIN(H$3-$O$2,$Q$2)/$Q$2))</f>
        <v>1840.6103515625</v>
      </c>
      <c r="I187" s="15" t="n">
        <f aca="false">H187*(1+IF(I$3&lt;=$O$2,$D187,$D187-($D187-$I$184)*MIN(I$3-$O$2,$Q$2)/$Q$2))</f>
        <v>1610.53405761719</v>
      </c>
      <c r="J187" s="15" t="n">
        <f aca="false">I187*(1+IF(J$3&lt;=$O$2,$D187,$D187-($D187-$I$184)*MIN(J$3-$O$2,$Q$2)/$Q$2))</f>
        <v>1455.37520650635</v>
      </c>
      <c r="K187" s="15" t="n">
        <f aca="false">J187*(1+IF(K$3&lt;=$O$2,$D187,$D187-($D187-$I$184)*MIN(K$3-$O$2,$Q$2)/$Q$2))</f>
        <v>1356.87541253</v>
      </c>
      <c r="L187" s="15" t="n">
        <f aca="false">K187*(1+IF(L$3&lt;=$O$2,$D187,$D187-($D187-$I$184)*MIN(L$3-$O$2,$Q$2)/$Q$2))</f>
        <v>1303.93013393308</v>
      </c>
      <c r="M187" s="15" t="n">
        <f aca="false">L187*(1+IF(M$3&lt;=$O$2,$D187,$D187-($D187-$I$184)*MIN(M$3-$O$2,$Q$2)/$Q$2))</f>
        <v>1290.42141774553</v>
      </c>
      <c r="N187" s="15" t="n">
        <f aca="false">M187*(1+IF(N$3&lt;=$O$2,$D187,$D187-($D187-$I$184)*MIN(N$3-$O$2,$Q$2)/$Q$2))</f>
        <v>1314.03612969027</v>
      </c>
      <c r="O187" s="15" t="n">
        <f aca="false">SUMPRODUCT(E187:N187,1/(1+$F$184)^$E$3:$N$3)*$E$2</f>
        <v>5699.88591498098</v>
      </c>
      <c r="P187" s="15" t="n">
        <f aca="false">N187*$E$2*(1+$I$184)/($F$184-$I$184)/(1+$F$184)^$N$3</f>
        <v>4943.15841197051</v>
      </c>
      <c r="Q187" s="15" t="n">
        <f aca="false">O187+P187</f>
        <v>10643.0443269515</v>
      </c>
      <c r="R187" s="15" t="n">
        <f aca="false">Q187-$G$2+$I$2</f>
        <v>6575.24432695149</v>
      </c>
      <c r="S187" s="42" t="n">
        <f aca="false">R187/$K$2</f>
        <v>50.5166282033765</v>
      </c>
      <c r="T187" s="43" t="n">
        <f aca="false">S187-$M$2</f>
        <v>-126.112136394042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3336.25</v>
      </c>
      <c r="F188" s="15" t="n">
        <f aca="false">E188*(1+IF(F$3&lt;=$O$2,$D188,$D188-($D188-$I$184)*MIN(F$3-$O$2,$Q$2)/$Q$2))</f>
        <v>3544.765625</v>
      </c>
      <c r="G188" s="15" t="n">
        <f aca="false">F188*(1+IF(G$3&lt;=$O$2,$D188,$D188-($D188-$I$184)*MIN(G$3-$O$2,$Q$2)/$Q$2))</f>
        <v>3766.3134765625</v>
      </c>
      <c r="H188" s="15" t="n">
        <f aca="false">G188*(1+IF(H$3&lt;=$O$2,$D188,$D188-($D188-$I$184)*MIN(H$3-$O$2,$Q$2)/$Q$2))</f>
        <v>4001.70806884766</v>
      </c>
      <c r="I188" s="15" t="n">
        <f aca="false">H188*(1+IF(I$3&lt;=$O$2,$D188,$D188-($D188-$I$184)*MIN(I$3-$O$2,$Q$2)/$Q$2))</f>
        <v>4251.81482315064</v>
      </c>
      <c r="J188" s="15" t="n">
        <f aca="false">I188*(1+IF(J$3&lt;=$O$2,$D188,$D188-($D188-$I$184)*MIN(J$3-$O$2,$Q$2)/$Q$2))</f>
        <v>4479.9672065609</v>
      </c>
      <c r="K188" s="15" t="n">
        <f aca="false">J188*(1+IF(K$3&lt;=$O$2,$D188,$D188-($D188-$I$184)*MIN(K$3-$O$2,$Q$2)/$Q$2))</f>
        <v>4680.75933675896</v>
      </c>
      <c r="L188" s="15" t="n">
        <f aca="false">K188*(1+IF(L$3&lt;=$O$2,$D188,$D188-($D188-$I$184)*MIN(L$3-$O$2,$Q$2)/$Q$2))</f>
        <v>4849.17305769555</v>
      </c>
      <c r="M188" s="15" t="n">
        <f aca="false">L188*(1+IF(M$3&lt;=$O$2,$D188,$D188-($D188-$I$184)*MIN(M$3-$O$2,$Q$2)/$Q$2))</f>
        <v>4980.7796144814</v>
      </c>
      <c r="N188" s="15" t="n">
        <f aca="false">M188*(1+IF(N$3&lt;=$O$2,$D188,$D188-($D188-$I$184)*MIN(N$3-$O$2,$Q$2)/$Q$2))</f>
        <v>5071.92788142641</v>
      </c>
      <c r="O188" s="15" t="n">
        <f aca="false">SUMPRODUCT(E188:N188,1/(1+$F$184)^$E$3:$N$3)*$E$2</f>
        <v>12906.6022787448</v>
      </c>
      <c r="P188" s="15" t="n">
        <f aca="false">N188*$E$2*(1+$I$184)/($F$184-$I$184)/(1+$F$184)^$N$3</f>
        <v>19079.6450763422</v>
      </c>
      <c r="Q188" s="15" t="n">
        <f aca="false">O188+P188</f>
        <v>31986.247355087</v>
      </c>
      <c r="R188" s="15" t="n">
        <f aca="false">Q188-$G$2+$I$2</f>
        <v>27918.447355087</v>
      </c>
      <c r="S188" s="42" t="n">
        <f aca="false">R188/$K$2</f>
        <v>214.493295598394</v>
      </c>
      <c r="T188" s="43" t="n">
        <f aca="false">S188-$M$2</f>
        <v>37.8645310009755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3041.875</v>
      </c>
      <c r="F189" s="15" t="n">
        <f aca="false">E189*(1+IF(F$3&lt;=$O$2,$D189,$D189-($D189-$I$184)*MIN(F$3-$O$2,$Q$2)/$Q$2))</f>
        <v>2946.81640625</v>
      </c>
      <c r="G189" s="15" t="n">
        <f aca="false">F189*(1+IF(G$3&lt;=$O$2,$D189,$D189-($D189-$I$184)*MIN(G$3-$O$2,$Q$2)/$Q$2))</f>
        <v>2854.72839355469</v>
      </c>
      <c r="H189" s="15" t="n">
        <f aca="false">G189*(1+IF(H$3&lt;=$O$2,$D189,$D189-($D189-$I$184)*MIN(H$3-$O$2,$Q$2)/$Q$2))</f>
        <v>2765.5181312561</v>
      </c>
      <c r="I189" s="15" t="n">
        <f aca="false">H189*(1+IF(I$3&lt;=$O$2,$D189,$D189-($D189-$I$184)*MIN(I$3-$O$2,$Q$2)/$Q$2))</f>
        <v>2679.09568965435</v>
      </c>
      <c r="J189" s="15" t="n">
        <f aca="false">I189*(1+IF(J$3&lt;=$O$2,$D189,$D189-($D189-$I$184)*MIN(J$3-$O$2,$Q$2)/$Q$2))</f>
        <v>2621.92378763713</v>
      </c>
      <c r="K189" s="15" t="n">
        <f aca="false">J189*(1+IF(K$3&lt;=$O$2,$D189,$D189-($D189-$I$184)*MIN(K$3-$O$2,$Q$2)/$Q$2))</f>
        <v>2591.95519874443</v>
      </c>
      <c r="L189" s="15" t="n">
        <f aca="false">K189*(1+IF(L$3&lt;=$O$2,$D189,$D189-($D189-$I$184)*MIN(L$3-$O$2,$Q$2)/$Q$2))</f>
        <v>2588.01542684234</v>
      </c>
      <c r="M189" s="15" t="n">
        <f aca="false">L189*(1+IF(M$3&lt;=$O$2,$D189,$D189-($D189-$I$184)*MIN(M$3-$O$2,$Q$2)/$Q$2))</f>
        <v>2609.72887627355</v>
      </c>
      <c r="N189" s="15" t="n">
        <f aca="false">M189*(1+IF(N$3&lt;=$O$2,$D189,$D189-($D189-$I$184)*MIN(N$3-$O$2,$Q$2)/$Q$2))</f>
        <v>2657.48691470936</v>
      </c>
      <c r="O189" s="15" t="n">
        <f aca="false">SUMPRODUCT(E189:N189,1/(1+$F$184)^$E$3:$N$3)*$E$2</f>
        <v>8553.83063134591</v>
      </c>
      <c r="P189" s="15" t="n">
        <f aca="false">N189*$E$2*(1+$I$184)/($F$184-$I$184)/(1+$F$184)^$N$3</f>
        <v>9996.96926160123</v>
      </c>
      <c r="Q189" s="15" t="n">
        <f aca="false">O189+P189</f>
        <v>18550.7998929471</v>
      </c>
      <c r="R189" s="15" t="n">
        <f aca="false">Q189-$G$2+$I$2</f>
        <v>14482.9998929471</v>
      </c>
      <c r="S189" s="42" t="n">
        <f aca="false">R189/$K$2</f>
        <v>111.27074287759</v>
      </c>
      <c r="T189" s="43" t="n">
        <f aca="false">S189-$M$2</f>
        <v>-65.3580217198284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3189.0625</v>
      </c>
      <c r="F190" s="15" t="n">
        <f aca="false">E190*(1+IF(F$3&lt;=$O$2,$D190,$D190-($D190-$I$184)*MIN(F$3-$O$2,$Q$2)/$Q$2))</f>
        <v>3238.8916015625</v>
      </c>
      <c r="G190" s="15" t="n">
        <f aca="false">F190*(1+IF(G$3&lt;=$O$2,$D190,$D190-($D190-$I$184)*MIN(G$3-$O$2,$Q$2)/$Q$2))</f>
        <v>3289.49928283691</v>
      </c>
      <c r="H190" s="15" t="n">
        <f aca="false">G190*(1+IF(H$3&lt;=$O$2,$D190,$D190-($D190-$I$184)*MIN(H$3-$O$2,$Q$2)/$Q$2))</f>
        <v>3340.89770913124</v>
      </c>
      <c r="I190" s="15" t="n">
        <f aca="false">H190*(1+IF(I$3&lt;=$O$2,$D190,$D190-($D190-$I$184)*MIN(I$3-$O$2,$Q$2)/$Q$2))</f>
        <v>3393.09923583642</v>
      </c>
      <c r="J190" s="15" t="n">
        <f aca="false">I190*(1+IF(J$3&lt;=$O$2,$D190,$D190-($D190-$I$184)*MIN(J$3-$O$2,$Q$2)/$Q$2))</f>
        <v>3447.93171948753</v>
      </c>
      <c r="K190" s="15" t="n">
        <f aca="false">J190*(1+IF(K$3&lt;=$O$2,$D190,$D190-($D190-$I$184)*MIN(K$3-$O$2,$Q$2)/$Q$2))</f>
        <v>3505.49493954438</v>
      </c>
      <c r="L190" s="15" t="n">
        <f aca="false">K190*(1+IF(L$3&lt;=$O$2,$D190,$D190-($D190-$I$184)*MIN(L$3-$O$2,$Q$2)/$Q$2))</f>
        <v>3565.89461735273</v>
      </c>
      <c r="M190" s="15" t="n">
        <f aca="false">L190*(1+IF(M$3&lt;=$O$2,$D190,$D190-($D190-$I$184)*MIN(M$3-$O$2,$Q$2)/$Q$2))</f>
        <v>3629.24273523</v>
      </c>
      <c r="N190" s="15" t="n">
        <f aca="false">M190*(1+IF(N$3&lt;=$O$2,$D190,$D190-($D190-$I$184)*MIN(N$3-$O$2,$Q$2)/$Q$2))</f>
        <v>3695.65787728471</v>
      </c>
      <c r="O190" s="15" t="n">
        <f aca="false">SUMPRODUCT(E190:N190,1/(1+$F$184)^$E$3:$N$3)*$E$2</f>
        <v>10503.5706734582</v>
      </c>
      <c r="P190" s="15" t="n">
        <f aca="false">N190*$E$2*(1+$I$184)/($F$184-$I$184)/(1+$F$184)^$N$3</f>
        <v>13902.3744561505</v>
      </c>
      <c r="Q190" s="15" t="n">
        <f aca="false">O190+P190</f>
        <v>24405.9451296087</v>
      </c>
      <c r="R190" s="15" t="n">
        <f aca="false">Q190-$G$2+$I$2</f>
        <v>20338.1451296087</v>
      </c>
      <c r="S190" s="42" t="n">
        <f aca="false">R190/$K$2</f>
        <v>156.254956435224</v>
      </c>
      <c r="T190" s="43" t="n">
        <f aca="false">S190-$M$2</f>
        <v>-20.3738081621948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41" t="n">
        <f aca="false">(B191+C191)/2</f>
        <v>0.0390625</v>
      </c>
      <c r="E191" s="15" t="n">
        <f aca="false">$C$2*(1+IF(E$3&lt;=$O$2,$D191,$D191-($D191-$I$184)*MIN(E$3-$O$2,$Q$2)/$Q$2))</f>
        <v>3262.65625</v>
      </c>
      <c r="F191" s="15" t="n">
        <f aca="false">E191*(1+IF(F$3&lt;=$O$2,$D191,$D191-($D191-$I$184)*MIN(F$3-$O$2,$Q$2)/$Q$2))</f>
        <v>3390.10375976563</v>
      </c>
      <c r="G191" s="15" t="n">
        <f aca="false">F191*(1+IF(G$3&lt;=$O$2,$D191,$D191-($D191-$I$184)*MIN(G$3-$O$2,$Q$2)/$Q$2))</f>
        <v>3522.52968788147</v>
      </c>
      <c r="H191" s="15" t="n">
        <f aca="false">G191*(1+IF(H$3&lt;=$O$2,$D191,$D191-($D191-$I$184)*MIN(H$3-$O$2,$Q$2)/$Q$2))</f>
        <v>3660.12850381434</v>
      </c>
      <c r="I191" s="15" t="n">
        <f aca="false">H191*(1+IF(I$3&lt;=$O$2,$D191,$D191-($D191-$I$184)*MIN(I$3-$O$2,$Q$2)/$Q$2))</f>
        <v>3803.10227349459</v>
      </c>
      <c r="J191" s="15" t="n">
        <f aca="false">I191*(1+IF(J$3&lt;=$O$2,$D191,$D191-($D191-$I$184)*MIN(J$3-$O$2,$Q$2)/$Q$2))</f>
        <v>3935.86857386228</v>
      </c>
      <c r="K191" s="15" t="n">
        <f aca="false">J191*(1+IF(K$3&lt;=$O$2,$D191,$D191-($D191-$I$184)*MIN(K$3-$O$2,$Q$2)/$Q$2))</f>
        <v>4056.92605152285</v>
      </c>
      <c r="L191" s="15" t="n">
        <f aca="false">K191*(1+IF(L$3&lt;=$O$2,$D191,$D191-($D191-$I$184)*MIN(L$3-$O$2,$Q$2)/$Q$2))</f>
        <v>4164.86056912362</v>
      </c>
      <c r="M191" s="15" t="n">
        <f aca="false">L191*(1+IF(M$3&lt;=$O$2,$D191,$D191-($D191-$I$184)*MIN(M$3-$O$2,$Q$2)/$Q$2))</f>
        <v>4258.37210105187</v>
      </c>
      <c r="N191" s="15" t="n">
        <f aca="false">M191*(1+IF(N$3&lt;=$O$2,$D191,$D191-($D191-$I$184)*MIN(N$3-$O$2,$Q$2)/$Q$2))</f>
        <v>4336.30031050112</v>
      </c>
      <c r="O191" s="15" t="n">
        <f aca="false">SUMPRODUCT(E191:N191,1/(1+$F$184)^$E$3:$N$3)*$E$2</f>
        <v>11642.7333016412</v>
      </c>
      <c r="P191" s="15" t="n">
        <f aca="false">N191*$E$2*(1+$I$184)/($F$184-$I$184)/(1+$F$184)^$N$3</f>
        <v>16312.3515954895</v>
      </c>
      <c r="Q191" s="15" t="n">
        <f aca="false">O191+P191</f>
        <v>27955.0848971306</v>
      </c>
      <c r="R191" s="15" t="n">
        <f aca="false">Q191-$G$2+$I$2</f>
        <v>23887.2848971306</v>
      </c>
      <c r="S191" s="42" t="n">
        <f aca="false">R191/$K$2</f>
        <v>183.522471551403</v>
      </c>
      <c r="T191" s="43" t="n">
        <f aca="false">S191-$M$2</f>
        <v>6.89370695398458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0.015625</v>
      </c>
      <c r="C192" s="25" t="n">
        <f aca="false">IF(T191&gt;0,D191,C191)</f>
        <v>0.0390625</v>
      </c>
      <c r="D192" s="41" t="n">
        <f aca="false">(B192+C192)/2</f>
        <v>0.02734375</v>
      </c>
      <c r="E192" s="15" t="n">
        <f aca="false">$C$2*(1+IF(E$3&lt;=$O$2,$D192,$D192-($D192-$I$184)*MIN(E$3-$O$2,$Q$2)/$Q$2))</f>
        <v>3225.859375</v>
      </c>
      <c r="F192" s="15" t="n">
        <f aca="false">E192*(1+IF(F$3&lt;=$O$2,$D192,$D192-($D192-$I$184)*MIN(F$3-$O$2,$Q$2)/$Q$2))</f>
        <v>3314.06646728516</v>
      </c>
      <c r="G192" s="15" t="n">
        <f aca="false">F192*(1+IF(G$3&lt;=$O$2,$D192,$D192-($D192-$I$184)*MIN(G$3-$O$2,$Q$2)/$Q$2))</f>
        <v>3404.68547224998</v>
      </c>
      <c r="H192" s="15" t="n">
        <f aca="false">G192*(1+IF(H$3&lt;=$O$2,$D192,$D192-($D192-$I$184)*MIN(H$3-$O$2,$Q$2)/$Q$2))</f>
        <v>3497.78234063182</v>
      </c>
      <c r="I192" s="15" t="n">
        <f aca="false">H192*(1+IF(I$3&lt;=$O$2,$D192,$D192-($D192-$I$184)*MIN(I$3-$O$2,$Q$2)/$Q$2))</f>
        <v>3593.42482650847</v>
      </c>
      <c r="J192" s="15" t="n">
        <f aca="false">I192*(1+IF(J$3&lt;=$O$2,$D192,$D192-($D192-$I$184)*MIN(J$3-$O$2,$Q$2)/$Q$2))</f>
        <v>3685.18292945337</v>
      </c>
      <c r="K192" s="15" t="n">
        <f aca="false">J192*(1+IF(K$3&lt;=$O$2,$D192,$D192-($D192-$I$184)*MIN(K$3-$O$2,$Q$2)/$Q$2))</f>
        <v>3772.61850093331</v>
      </c>
      <c r="L192" s="15" t="n">
        <f aca="false">K192*(1+IF(L$3&lt;=$O$2,$D192,$D192-($D192-$I$184)*MIN(L$3-$O$2,$Q$2)/$Q$2))</f>
        <v>3855.30486692751</v>
      </c>
      <c r="M192" s="15" t="n">
        <f aca="false">L192*(1+IF(M$3&lt;=$O$2,$D192,$D192-($D192-$I$184)*MIN(M$3-$O$2,$Q$2)/$Q$2))</f>
        <v>3932.83022867034</v>
      </c>
      <c r="N192" s="15" t="n">
        <f aca="false">M192*(1+IF(N$3&lt;=$O$2,$D192,$D192-($D192-$I$184)*MIN(N$3-$O$2,$Q$2)/$Q$2))</f>
        <v>4004.80102185501</v>
      </c>
      <c r="O192" s="15" t="n">
        <f aca="false">SUMPRODUCT(E192:N192,1/(1+$F$184)^$E$3:$N$3)*$E$2</f>
        <v>11058.3132896365</v>
      </c>
      <c r="P192" s="15" t="n">
        <f aca="false">N192*$E$2*(1+$I$184)/($F$184-$I$184)/(1+$F$184)^$N$3</f>
        <v>15065.3132072684</v>
      </c>
      <c r="Q192" s="15" t="n">
        <f aca="false">O192+P192</f>
        <v>26123.6264969048</v>
      </c>
      <c r="R192" s="15" t="n">
        <f aca="false">Q192-$G$2+$I$2</f>
        <v>22055.8264969048</v>
      </c>
      <c r="S192" s="42" t="n">
        <f aca="false">R192/$K$2</f>
        <v>169.451647947947</v>
      </c>
      <c r="T192" s="43" t="n">
        <f aca="false">S192-$M$2</f>
        <v>-7.17711664947129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0.02734375</v>
      </c>
      <c r="C193" s="25" t="n">
        <f aca="false">IF(T192&gt;0,D192,C192)</f>
        <v>0.0390625</v>
      </c>
      <c r="D193" s="41" t="n">
        <f aca="false">(B193+C193)/2</f>
        <v>0.033203125</v>
      </c>
      <c r="E193" s="15" t="n">
        <f aca="false">$C$2*(1+IF(E$3&lt;=$O$2,$D193,$D193-($D193-$I$184)*MIN(E$3-$O$2,$Q$2)/$Q$2))</f>
        <v>3244.2578125</v>
      </c>
      <c r="F193" s="15" t="n">
        <f aca="false">E193*(1+IF(F$3&lt;=$O$2,$D193,$D193-($D193-$I$184)*MIN(F$3-$O$2,$Q$2)/$Q$2))</f>
        <v>3351.97731018066</v>
      </c>
      <c r="G193" s="15" t="n">
        <f aca="false">F193*(1+IF(G$3&lt;=$O$2,$D193,$D193-($D193-$I$184)*MIN(G$3-$O$2,$Q$2)/$Q$2))</f>
        <v>3463.27343180776</v>
      </c>
      <c r="H193" s="15" t="n">
        <f aca="false">G193*(1+IF(H$3&lt;=$O$2,$D193,$D193-($D193-$I$184)*MIN(H$3-$O$2,$Q$2)/$Q$2))</f>
        <v>3578.26493247325</v>
      </c>
      <c r="I193" s="15" t="n">
        <f aca="false">H193*(1+IF(I$3&lt;=$O$2,$D193,$D193-($D193-$I$184)*MIN(I$3-$O$2,$Q$2)/$Q$2))</f>
        <v>3697.07451030927</v>
      </c>
      <c r="J193" s="15" t="n">
        <f aca="false">I193*(1+IF(J$3&lt;=$O$2,$D193,$D193-($D193-$I$184)*MIN(J$3-$O$2,$Q$2)/$Q$2))</f>
        <v>3808.8093446971</v>
      </c>
      <c r="K193" s="15" t="n">
        <f aca="false">J193*(1+IF(K$3&lt;=$O$2,$D193,$D193-($D193-$I$184)*MIN(K$3-$O$2,$Q$2)/$Q$2))</f>
        <v>3912.56845276417</v>
      </c>
      <c r="L193" s="15" t="n">
        <f aca="false">K193*(1+IF(L$3&lt;=$O$2,$D193,$D193-($D193-$I$184)*MIN(L$3-$O$2,$Q$2)/$Q$2))</f>
        <v>4007.49225413879</v>
      </c>
      <c r="M193" s="15" t="n">
        <f aca="false">L193*(1+IF(M$3&lt;=$O$2,$D193,$D193-($D193-$I$184)*MIN(M$3-$O$2,$Q$2)/$Q$2))</f>
        <v>4092.77419398952</v>
      </c>
      <c r="N193" s="15" t="n">
        <f aca="false">M193*(1+IF(N$3&lt;=$O$2,$D193,$D193-($D193-$I$184)*MIN(N$3-$O$2,$Q$2)/$Q$2))</f>
        <v>4167.67196173953</v>
      </c>
      <c r="O193" s="15" t="n">
        <f aca="false">SUMPRODUCT(E193:N193,1/(1+$F$184)^$E$3:$N$3)*$E$2</f>
        <v>11346.7223975902</v>
      </c>
      <c r="P193" s="15" t="n">
        <f aca="false">N193*$E$2*(1+$I$184)/($F$184-$I$184)/(1+$F$184)^$N$3</f>
        <v>15678.0032531239</v>
      </c>
      <c r="Q193" s="15" t="n">
        <f aca="false">O193+P193</f>
        <v>27024.7256507141</v>
      </c>
      <c r="R193" s="15" t="n">
        <f aca="false">Q193-$G$2+$I$2</f>
        <v>22956.9256507141</v>
      </c>
      <c r="S193" s="42" t="n">
        <f aca="false">R193/$K$2</f>
        <v>176.374659271006</v>
      </c>
      <c r="T193" s="43" t="n">
        <f aca="false">S193-$M$2</f>
        <v>-0.254105326413026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0.033203125</v>
      </c>
      <c r="C194" s="25" t="n">
        <f aca="false">IF(T193&gt;0,D193,C193)</f>
        <v>0.0390625</v>
      </c>
      <c r="D194" s="41" t="n">
        <f aca="false">(B194+C194)/2</f>
        <v>0.0361328125</v>
      </c>
      <c r="E194" s="15" t="n">
        <f aca="false">$C$2*(1+IF(E$3&lt;=$O$2,$D194,$D194-($D194-$I$184)*MIN(E$3-$O$2,$Q$2)/$Q$2))</f>
        <v>3253.45703125</v>
      </c>
      <c r="F194" s="15" t="n">
        <f aca="false">E194*(1+IF(F$3&lt;=$O$2,$D194,$D194-($D194-$I$184)*MIN(F$3-$O$2,$Q$2)/$Q$2))</f>
        <v>3371.01358413696</v>
      </c>
      <c r="G194" s="15" t="n">
        <f aca="false">F194*(1+IF(G$3&lt;=$O$2,$D194,$D194-($D194-$I$184)*MIN(G$3-$O$2,$Q$2)/$Q$2))</f>
        <v>3492.81778590754</v>
      </c>
      <c r="H194" s="15" t="n">
        <f aca="false">G194*(1+IF(H$3&lt;=$O$2,$D194,$D194-($D194-$I$184)*MIN(H$3-$O$2,$Q$2)/$Q$2))</f>
        <v>3619.0231160624</v>
      </c>
      <c r="I194" s="15" t="n">
        <f aca="false">H194*(1+IF(I$3&lt;=$O$2,$D194,$D194-($D194-$I$184)*MIN(I$3-$O$2,$Q$2)/$Q$2))</f>
        <v>3749.78859974825</v>
      </c>
      <c r="J194" s="15" t="n">
        <f aca="false">I194*(1+IF(J$3&lt;=$O$2,$D194,$D194-($D194-$I$184)*MIN(J$3-$O$2,$Q$2)/$Q$2))</f>
        <v>3871.9051527348</v>
      </c>
      <c r="K194" s="15" t="n">
        <f aca="false">J194*(1+IF(K$3&lt;=$O$2,$D194,$D194-($D194-$I$184)*MIN(K$3-$O$2,$Q$2)/$Q$2))</f>
        <v>3984.18919219375</v>
      </c>
      <c r="L194" s="15" t="n">
        <f aca="false">K194*(1+IF(L$3&lt;=$O$2,$D194,$D194-($D194-$I$184)*MIN(L$3-$O$2,$Q$2)/$Q$2))</f>
        <v>4085.51957394246</v>
      </c>
      <c r="M194" s="15" t="n">
        <f aca="false">L194*(1+IF(M$3&lt;=$O$2,$D194,$D194-($D194-$I$184)*MIN(M$3-$O$2,$Q$2)/$Q$2))</f>
        <v>4174.85584305105</v>
      </c>
      <c r="N194" s="15" t="n">
        <f aca="false">M194*(1+IF(N$3&lt;=$O$2,$D194,$D194-($D194-$I$184)*MIN(N$3-$O$2,$Q$2)/$Q$2))</f>
        <v>4251.25570497888</v>
      </c>
      <c r="O194" s="15" t="n">
        <f aca="false">SUMPRODUCT(E194:N194,1/(1+$F$184)^$E$3:$N$3)*$E$2</f>
        <v>11493.7660089259</v>
      </c>
      <c r="P194" s="15" t="n">
        <f aca="false">N194*$E$2*(1+$I$184)/($F$184-$I$184)/(1+$F$184)^$N$3</f>
        <v>15992.4296788226</v>
      </c>
      <c r="Q194" s="15" t="n">
        <f aca="false">O194+P194</f>
        <v>27486.1956877486</v>
      </c>
      <c r="R194" s="15" t="n">
        <f aca="false">Q194-$G$2+$I$2</f>
        <v>23418.3956877486</v>
      </c>
      <c r="S194" s="42" t="n">
        <f aca="false">R194/$K$2</f>
        <v>179.920065210115</v>
      </c>
      <c r="T194" s="43" t="n">
        <f aca="false">S194-$M$2</f>
        <v>3.29130061269626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0.033203125</v>
      </c>
      <c r="C195" s="25" t="n">
        <f aca="false">IF(T194&gt;0,D194,C194)</f>
        <v>0.0361328125</v>
      </c>
      <c r="D195" s="41" t="n">
        <f aca="false">(B195+C195)/2</f>
        <v>0.03466796875</v>
      </c>
      <c r="E195" s="15" t="n">
        <f aca="false">$C$2*(1+IF(E$3&lt;=$O$2,$D195,$D195-($D195-$I$184)*MIN(E$3-$O$2,$Q$2)/$Q$2))</f>
        <v>3248.857421875</v>
      </c>
      <c r="F195" s="15" t="n">
        <f aca="false">E195*(1+IF(F$3&lt;=$O$2,$D195,$D195-($D195-$I$184)*MIN(F$3-$O$2,$Q$2)/$Q$2))</f>
        <v>3361.48870944977</v>
      </c>
      <c r="G195" s="15" t="n">
        <f aca="false">F195*(1+IF(G$3&lt;=$O$2,$D195,$D195-($D195-$I$184)*MIN(G$3-$O$2,$Q$2)/$Q$2))</f>
        <v>3478.02469498245</v>
      </c>
      <c r="H195" s="15" t="n">
        <f aca="false">G195*(1+IF(H$3&lt;=$O$2,$D195,$D195-($D195-$I$184)*MIN(H$3-$O$2,$Q$2)/$Q$2))</f>
        <v>3598.60074641983</v>
      </c>
      <c r="I195" s="15" t="n">
        <f aca="false">H195*(1+IF(I$3&lt;=$O$2,$D195,$D195-($D195-$I$184)*MIN(I$3-$O$2,$Q$2)/$Q$2))</f>
        <v>3723.35692464044</v>
      </c>
      <c r="J195" s="15" t="n">
        <f aca="false">I195*(1+IF(J$3&lt;=$O$2,$D195,$D195-($D195-$I$184)*MIN(J$3-$O$2,$Q$2)/$Q$2))</f>
        <v>3840.24938819145</v>
      </c>
      <c r="K195" s="15" t="n">
        <f aca="false">J195*(1+IF(K$3&lt;=$O$2,$D195,$D195-($D195-$I$184)*MIN(K$3-$O$2,$Q$2)/$Q$2))</f>
        <v>3948.24020118223</v>
      </c>
      <c r="L195" s="15" t="n">
        <f aca="false">K195*(1+IF(L$3&lt;=$O$2,$D195,$D195-($D195-$I$184)*MIN(L$3-$O$2,$Q$2)/$Q$2))</f>
        <v>4046.34286575604</v>
      </c>
      <c r="M195" s="15" t="n">
        <f aca="false">L195*(1+IF(M$3&lt;=$O$2,$D195,$D195-($D195-$I$184)*MIN(M$3-$O$2,$Q$2)/$Q$2))</f>
        <v>4133.63702291507</v>
      </c>
      <c r="N195" s="15" t="n">
        <f aca="false">M195*(1+IF(N$3&lt;=$O$2,$D195,$D195-($D195-$I$184)*MIN(N$3-$O$2,$Q$2)/$Q$2))</f>
        <v>4209.28258043442</v>
      </c>
      <c r="O195" s="15" t="n">
        <f aca="false">SUMPRODUCT(E195:N195,1/(1+$F$184)^$E$3:$N$3)*$E$2</f>
        <v>11420.0052047358</v>
      </c>
      <c r="P195" s="15" t="n">
        <f aca="false">N195*$E$2*(1+$I$184)/($F$184-$I$184)/(1+$F$184)^$N$3</f>
        <v>15834.5346263346</v>
      </c>
      <c r="Q195" s="15" t="n">
        <f aca="false">O195+P195</f>
        <v>27254.5398310704</v>
      </c>
      <c r="R195" s="15" t="n">
        <f aca="false">Q195-$G$2+$I$2</f>
        <v>23186.7398310704</v>
      </c>
      <c r="S195" s="42" t="n">
        <f aca="false">R195/$K$2</f>
        <v>178.140287577369</v>
      </c>
      <c r="T195" s="43" t="n">
        <f aca="false">S195-$M$2</f>
        <v>1.51152297995077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0.033203125</v>
      </c>
      <c r="C196" s="25" t="n">
        <f aca="false">IF(T195&gt;0,D195,C195)</f>
        <v>0.03466796875</v>
      </c>
      <c r="D196" s="41" t="n">
        <f aca="false">(B196+C196)/2</f>
        <v>0.033935546875</v>
      </c>
      <c r="E196" s="15" t="n">
        <f aca="false">$C$2*(1+IF(E$3&lt;=$O$2,$D196,$D196-($D196-$I$184)*MIN(E$3-$O$2,$Q$2)/$Q$2))</f>
        <v>3246.5576171875</v>
      </c>
      <c r="F196" s="15" t="n">
        <f aca="false">E196*(1+IF(F$3&lt;=$O$2,$D196,$D196-($D196-$I$184)*MIN(F$3-$O$2,$Q$2)/$Q$2))</f>
        <v>3356.73132538795</v>
      </c>
      <c r="G196" s="15" t="n">
        <f aca="false">F196*(1+IF(G$3&lt;=$O$2,$D196,$D196-($D196-$I$184)*MIN(G$3-$O$2,$Q$2)/$Q$2))</f>
        <v>3470.64383862744</v>
      </c>
      <c r="H196" s="15" t="n">
        <f aca="false">G196*(1+IF(H$3&lt;=$O$2,$D196,$D196-($D196-$I$184)*MIN(H$3-$O$2,$Q$2)/$Q$2))</f>
        <v>3588.42203529961</v>
      </c>
      <c r="I196" s="15" t="n">
        <f aca="false">H196*(1+IF(I$3&lt;=$O$2,$D196,$D196-($D196-$I$184)*MIN(I$3-$O$2,$Q$2)/$Q$2))</f>
        <v>3710.1970994858</v>
      </c>
      <c r="J196" s="15" t="n">
        <f aca="false">I196*(1+IF(J$3&lt;=$O$2,$D196,$D196-($D196-$I$184)*MIN(J$3-$O$2,$Q$2)/$Q$2))</f>
        <v>3824.50247493799</v>
      </c>
      <c r="K196" s="15" t="n">
        <f aca="false">J196*(1+IF(K$3&lt;=$O$2,$D196,$D196-($D196-$I$184)*MIN(K$3-$O$2,$Q$2)/$Q$2))</f>
        <v>3930.36978286162</v>
      </c>
      <c r="L196" s="15" t="n">
        <f aca="false">K196*(1+IF(L$3&lt;=$O$2,$D196,$D196-($D196-$I$184)*MIN(L$3-$O$2,$Q$2)/$Q$2))</f>
        <v>4026.8769422784</v>
      </c>
      <c r="M196" s="15" t="n">
        <f aca="false">L196*(1+IF(M$3&lt;=$O$2,$D196,$D196-($D196-$I$184)*MIN(M$3-$O$2,$Q$2)/$Q$2))</f>
        <v>4113.16127496027</v>
      </c>
      <c r="N196" s="15" t="n">
        <f aca="false">M196*(1+IF(N$3&lt;=$O$2,$D196,$D196-($D196-$I$184)*MIN(N$3-$O$2,$Q$2)/$Q$2))</f>
        <v>4188.43212629204</v>
      </c>
      <c r="O196" s="15" t="n">
        <f aca="false">SUMPRODUCT(E196:N196,1/(1+$F$184)^$E$3:$N$3)*$E$2</f>
        <v>11383.304233393</v>
      </c>
      <c r="P196" s="15" t="n">
        <f aca="false">N196*$E$2*(1+$I$184)/($F$184-$I$184)/(1+$F$184)^$N$3</f>
        <v>15756.0991134453</v>
      </c>
      <c r="Q196" s="15" t="n">
        <f aca="false">O196+P196</f>
        <v>27139.4033468383</v>
      </c>
      <c r="R196" s="15" t="n">
        <f aca="false">Q196-$G$2+$I$2</f>
        <v>23071.6033468383</v>
      </c>
      <c r="S196" s="42" t="n">
        <f aca="false">R196/$K$2</f>
        <v>177.25571102365</v>
      </c>
      <c r="T196" s="43" t="n">
        <f aca="false">S196-$M$2</f>
        <v>0.626946426231257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0.033203125</v>
      </c>
      <c r="C197" s="25" t="n">
        <f aca="false">IF(T196&gt;0,D196,C196)</f>
        <v>0.033935546875</v>
      </c>
      <c r="D197" s="41" t="n">
        <f aca="false">(B197+C197)/2</f>
        <v>0.0335693359375</v>
      </c>
      <c r="E197" s="15" t="n">
        <f aca="false">$C$2*(1+IF(E$3&lt;=$O$2,$D197,$D197-($D197-$I$184)*MIN(E$3-$O$2,$Q$2)/$Q$2))</f>
        <v>3245.40771484375</v>
      </c>
      <c r="F197" s="15" t="n">
        <f aca="false">E197*(1+IF(F$3&lt;=$O$2,$D197,$D197-($D197-$I$184)*MIN(F$3-$O$2,$Q$2)/$Q$2))</f>
        <v>3354.35389667749</v>
      </c>
      <c r="G197" s="15" t="n">
        <f aca="false">F197*(1+IF(G$3&lt;=$O$2,$D197,$D197-($D197-$I$184)*MIN(G$3-$O$2,$Q$2)/$Q$2))</f>
        <v>3466.95732948832</v>
      </c>
      <c r="H197" s="15" t="n">
        <f aca="false">G197*(1+IF(H$3&lt;=$O$2,$D197,$D197-($D197-$I$184)*MIN(H$3-$O$2,$Q$2)/$Q$2))</f>
        <v>3583.34078476289</v>
      </c>
      <c r="I197" s="15" t="n">
        <f aca="false">H197*(1+IF(I$3&lt;=$O$2,$D197,$D197-($D197-$I$184)*MIN(I$3-$O$2,$Q$2)/$Q$2))</f>
        <v>3703.63115534515</v>
      </c>
      <c r="J197" s="15" t="n">
        <f aca="false">I197*(1+IF(J$3&lt;=$O$2,$D197,$D197-($D197-$I$184)*MIN(J$3-$O$2,$Q$2)/$Q$2))</f>
        <v>3816.64919612761</v>
      </c>
      <c r="K197" s="15" t="n">
        <f aca="false">J197*(1+IF(K$3&lt;=$O$2,$D197,$D197-($D197-$I$184)*MIN(K$3-$O$2,$Q$2)/$Q$2))</f>
        <v>3921.4604956555</v>
      </c>
      <c r="L197" s="15" t="n">
        <f aca="false">K197*(1+IF(L$3&lt;=$O$2,$D197,$D197-($D197-$I$184)*MIN(L$3-$O$2,$Q$2)/$Q$2))</f>
        <v>4017.17446179551</v>
      </c>
      <c r="M197" s="15" t="n">
        <f aca="false">L197*(1+IF(M$3&lt;=$O$2,$D197,$D197-($D197-$I$184)*MIN(M$3-$O$2,$Q$2)/$Q$2))</f>
        <v>4102.95667172171</v>
      </c>
      <c r="N197" s="15" t="n">
        <f aca="false">M197*(1+IF(N$3&lt;=$O$2,$D197,$D197-($D197-$I$184)*MIN(N$3-$O$2,$Q$2)/$Q$2))</f>
        <v>4178.04077881422</v>
      </c>
      <c r="O197" s="15" t="n">
        <f aca="false">SUMPRODUCT(E197:N197,1/(1+$F$184)^$E$3:$N$3)*$E$2</f>
        <v>11364.998446229</v>
      </c>
      <c r="P197" s="15" t="n">
        <f aca="false">N197*$E$2*(1+$I$184)/($F$184-$I$184)/(1+$F$184)^$N$3</f>
        <v>15717.008805701</v>
      </c>
      <c r="Q197" s="15" t="n">
        <f aca="false">O197+P197</f>
        <v>27082.00725193</v>
      </c>
      <c r="R197" s="15" t="n">
        <f aca="false">Q197-$G$2+$I$2</f>
        <v>23014.20725193</v>
      </c>
      <c r="S197" s="42" t="n">
        <f aca="false">R197/$K$2</f>
        <v>176.814745328288</v>
      </c>
      <c r="T197" s="43" t="n">
        <f aca="false">S197-$M$2</f>
        <v>0.185980730869488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0.033203125</v>
      </c>
      <c r="C198" s="25" t="n">
        <f aca="false">IF(T197&gt;0,D197,C197)</f>
        <v>0.0335693359375</v>
      </c>
      <c r="D198" s="41" t="n">
        <f aca="false">(B198+C198)/2</f>
        <v>0.03338623046875</v>
      </c>
      <c r="E198" s="15" t="n">
        <f aca="false">$C$2*(1+IF(E$3&lt;=$O$2,$D198,$D198-($D198-$I$184)*MIN(E$3-$O$2,$Q$2)/$Q$2))</f>
        <v>3244.83276367188</v>
      </c>
      <c r="F198" s="15" t="n">
        <f aca="false">E198*(1+IF(F$3&lt;=$O$2,$D198,$D198-($D198-$I$184)*MIN(F$3-$O$2,$Q$2)/$Q$2))</f>
        <v>3353.16549815238</v>
      </c>
      <c r="G198" s="15" t="n">
        <f aca="false">F198*(1+IF(G$3&lt;=$O$2,$D198,$D198-($D198-$I$184)*MIN(G$3-$O$2,$Q$2)/$Q$2))</f>
        <v>3465.11505427355</v>
      </c>
      <c r="H198" s="15" t="n">
        <f aca="false">G198*(1+IF(H$3&lt;=$O$2,$D198,$D198-($D198-$I$184)*MIN(H$3-$O$2,$Q$2)/$Q$2))</f>
        <v>3580.80218407626</v>
      </c>
      <c r="I198" s="15" t="n">
        <f aca="false">H198*(1+IF(I$3&lt;=$O$2,$D198,$D198-($D198-$I$184)*MIN(I$3-$O$2,$Q$2)/$Q$2))</f>
        <v>3700.35167105684</v>
      </c>
      <c r="J198" s="15" t="n">
        <f aca="false">I198*(1+IF(J$3&lt;=$O$2,$D198,$D198-($D198-$I$184)*MIN(J$3-$O$2,$Q$2)/$Q$2))</f>
        <v>3812.72759313717</v>
      </c>
      <c r="K198" s="15" t="n">
        <f aca="false">J198*(1+IF(K$3&lt;=$O$2,$D198,$D198-($D198-$I$184)*MIN(K$3-$O$2,$Q$2)/$Q$2))</f>
        <v>3917.01232040235</v>
      </c>
      <c r="L198" s="15" t="n">
        <f aca="false">K198*(1+IF(L$3&lt;=$O$2,$D198,$D198-($D198-$I$184)*MIN(L$3-$O$2,$Q$2)/$Q$2))</f>
        <v>4012.33082611153</v>
      </c>
      <c r="M198" s="15" t="n">
        <f aca="false">L198*(1+IF(M$3&lt;=$O$2,$D198,$D198-($D198-$I$184)*MIN(M$3-$O$2,$Q$2)/$Q$2))</f>
        <v>4097.86266974129</v>
      </c>
      <c r="N198" s="15" t="n">
        <f aca="false">M198*(1+IF(N$3&lt;=$O$2,$D198,$D198-($D198-$I$184)*MIN(N$3-$O$2,$Q$2)/$Q$2))</f>
        <v>4172.85355659755</v>
      </c>
      <c r="O198" s="15" t="n">
        <f aca="false">SUMPRODUCT(E198:N198,1/(1+$F$184)^$E$3:$N$3)*$E$2</f>
        <v>11355.8567074256</v>
      </c>
      <c r="P198" s="15" t="n">
        <f aca="false">N198*$E$2*(1+$I$184)/($F$184-$I$184)/(1+$F$184)^$N$3</f>
        <v>15697.4954448765</v>
      </c>
      <c r="Q198" s="15" t="n">
        <f aca="false">O198+P198</f>
        <v>27053.3521523021</v>
      </c>
      <c r="R198" s="15" t="n">
        <f aca="false">Q198-$G$2+$I$2</f>
        <v>22985.5521523021</v>
      </c>
      <c r="S198" s="42" t="n">
        <f aca="false">R198/$K$2</f>
        <v>176.594592442395</v>
      </c>
      <c r="T198" s="43" t="n">
        <f aca="false">S198-$M$2</f>
        <v>-0.0341721550234979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0.03338623046875</v>
      </c>
      <c r="C199" s="25" t="n">
        <f aca="false">IF(T198&gt;0,D198,C198)</f>
        <v>0.0335693359375</v>
      </c>
      <c r="D199" s="41" t="n">
        <f aca="false">(B199+C199)/2</f>
        <v>0.033477783203125</v>
      </c>
      <c r="E199" s="15" t="n">
        <f aca="false">$C$2*(1+IF(E$3&lt;=$O$2,$D199,$D199-($D199-$I$184)*MIN(E$3-$O$2,$Q$2)/$Q$2))</f>
        <v>3245.12023925781</v>
      </c>
      <c r="F199" s="15" t="n">
        <f aca="false">E199*(1+IF(F$3&lt;=$O$2,$D199,$D199-($D199-$I$184)*MIN(F$3-$O$2,$Q$2)/$Q$2))</f>
        <v>3353.75967109576</v>
      </c>
      <c r="G199" s="15" t="n">
        <f aca="false">F199*(1+IF(G$3&lt;=$O$2,$D199,$D199-($D199-$I$184)*MIN(G$3-$O$2,$Q$2)/$Q$2))</f>
        <v>3466.03611028009</v>
      </c>
      <c r="H199" s="15" t="n">
        <f aca="false">G199*(1+IF(H$3&lt;=$O$2,$D199,$D199-($D199-$I$184)*MIN(H$3-$O$2,$Q$2)/$Q$2))</f>
        <v>3582.07131575425</v>
      </c>
      <c r="I199" s="15" t="n">
        <f aca="false">H199*(1+IF(I$3&lt;=$O$2,$D199,$D199-($D199-$I$184)*MIN(I$3-$O$2,$Q$2)/$Q$2))</f>
        <v>3701.9911226812</v>
      </c>
      <c r="J199" s="15" t="n">
        <f aca="false">I199*(1+IF(J$3&lt;=$O$2,$D199,$D199-($D199-$I$184)*MIN(J$3-$O$2,$Q$2)/$Q$2))</f>
        <v>3814.68797517022</v>
      </c>
      <c r="K199" s="15" t="n">
        <f aca="false">J199*(1+IF(K$3&lt;=$O$2,$D199,$D199-($D199-$I$184)*MIN(K$3-$O$2,$Q$2)/$Q$2))</f>
        <v>3919.23586936066</v>
      </c>
      <c r="L199" s="15" t="n">
        <f aca="false">K199*(1+IF(L$3&lt;=$O$2,$D199,$D199-($D199-$I$184)*MIN(L$3-$O$2,$Q$2)/$Q$2))</f>
        <v>4014.75201070879</v>
      </c>
      <c r="M199" s="15" t="n">
        <f aca="false">L199*(1+IF(M$3&lt;=$O$2,$D199,$D199-($D199-$I$184)*MIN(M$3-$O$2,$Q$2)/$Q$2))</f>
        <v>4100.40897963133</v>
      </c>
      <c r="N199" s="15" t="n">
        <f aca="false">M199*(1+IF(N$3&lt;=$O$2,$D199,$D199-($D199-$I$184)*MIN(N$3-$O$2,$Q$2)/$Q$2))</f>
        <v>4175.44646395858</v>
      </c>
      <c r="O199" s="15" t="n">
        <f aca="false">SUMPRODUCT(E199:N199,1/(1+$F$184)^$E$3:$N$3)*$E$2</f>
        <v>11360.4266478525</v>
      </c>
      <c r="P199" s="15" t="n">
        <f aca="false">N199*$E$2*(1+$I$184)/($F$184-$I$184)/(1+$F$184)^$N$3</f>
        <v>15707.2494779229</v>
      </c>
      <c r="Q199" s="15" t="n">
        <f aca="false">O199+P199</f>
        <v>27067.6761257754</v>
      </c>
      <c r="R199" s="15" t="n">
        <f aca="false">Q199-$G$2+$I$2</f>
        <v>22999.8761257754</v>
      </c>
      <c r="S199" s="42" t="n">
        <f aca="false">R199/$K$2</f>
        <v>176.704641408846</v>
      </c>
      <c r="T199" s="43" t="n">
        <f aca="false">S199-$M$2</f>
        <v>0.0758768114272641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0.03338623046875</v>
      </c>
      <c r="C200" s="25" t="n">
        <f aca="false">IF(T199&gt;0,D199,C199)</f>
        <v>0.033477783203125</v>
      </c>
      <c r="D200" s="41" t="n">
        <f aca="false">(B200+C200)/2</f>
        <v>0.0334320068359375</v>
      </c>
      <c r="E200" s="15" t="n">
        <f aca="false">$C$2*(1+IF(E$3&lt;=$O$2,$D200,$D200-($D200-$I$184)*MIN(E$3-$O$2,$Q$2)/$Q$2))</f>
        <v>3244.97650146484</v>
      </c>
      <c r="F200" s="15" t="n">
        <f aca="false">E200*(1+IF(F$3&lt;=$O$2,$D200,$D200-($D200-$I$184)*MIN(F$3-$O$2,$Q$2)/$Q$2))</f>
        <v>3353.46257804427</v>
      </c>
      <c r="G200" s="15" t="n">
        <f aca="false">F200*(1+IF(G$3&lt;=$O$2,$D200,$D200-($D200-$I$184)*MIN(G$3-$O$2,$Q$2)/$Q$2))</f>
        <v>3465.57556187751</v>
      </c>
      <c r="H200" s="15" t="n">
        <f aca="false">G200*(1+IF(H$3&lt;=$O$2,$D200,$D200-($D200-$I$184)*MIN(H$3-$O$2,$Q$2)/$Q$2))</f>
        <v>3581.43670775266</v>
      </c>
      <c r="I200" s="15" t="n">
        <f aca="false">H200*(1+IF(I$3&lt;=$O$2,$D200,$D200-($D200-$I$184)*MIN(I$3-$O$2,$Q$2)/$Q$2))</f>
        <v>3701.17132424872</v>
      </c>
      <c r="J200" s="15" t="n">
        <f aca="false">I200*(1+IF(J$3&lt;=$O$2,$D200,$D200-($D200-$I$184)*MIN(J$3-$O$2,$Q$2)/$Q$2))</f>
        <v>3813.70767930608</v>
      </c>
      <c r="K200" s="15" t="n">
        <f aca="false">J200*(1+IF(K$3&lt;=$O$2,$D200,$D200-($D200-$I$184)*MIN(K$3-$O$2,$Q$2)/$Q$2))</f>
        <v>3918.1239602415</v>
      </c>
      <c r="L200" s="15" t="n">
        <f aca="false">K200*(1+IF(L$3&lt;=$O$2,$D200,$D200-($D200-$I$184)*MIN(L$3-$O$2,$Q$2)/$Q$2))</f>
        <v>4013.54126013409</v>
      </c>
      <c r="M200" s="15" t="n">
        <f aca="false">L200*(1+IF(M$3&lt;=$O$2,$D200,$D200-($D200-$I$184)*MIN(M$3-$O$2,$Q$2)/$Q$2))</f>
        <v>4099.13565195147</v>
      </c>
      <c r="N200" s="15" t="n">
        <f aca="false">M200*(1+IF(N$3&lt;=$O$2,$D200,$D200-($D200-$I$184)*MIN(N$3-$O$2,$Q$2)/$Q$2))</f>
        <v>4174.14983438219</v>
      </c>
      <c r="O200" s="15" t="n">
        <f aca="false">SUMPRODUCT(E200:N200,1/(1+$F$184)^$E$3:$N$3)*$E$2</f>
        <v>11358.1414454396</v>
      </c>
      <c r="P200" s="15" t="n">
        <f aca="false">N200*$E$2*(1+$I$184)/($F$184-$I$184)/(1+$F$184)^$N$3</f>
        <v>15702.3717997123</v>
      </c>
      <c r="Q200" s="15" t="n">
        <f aca="false">O200+P200</f>
        <v>27060.5132451519</v>
      </c>
      <c r="R200" s="15" t="n">
        <f aca="false">Q200-$G$2+$I$2</f>
        <v>22992.7132451519</v>
      </c>
      <c r="S200" s="42" t="n">
        <f aca="false">R200/$K$2</f>
        <v>176.64961005802</v>
      </c>
      <c r="T200" s="43" t="n">
        <f aca="false">S200-$M$2</f>
        <v>0.0208454606012083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0.03338623046875</v>
      </c>
      <c r="C201" s="25" t="n">
        <f aca="false">IF(T200&gt;0,D200,C200)</f>
        <v>0.0334320068359375</v>
      </c>
      <c r="D201" s="41" t="n">
        <f aca="false">(B201+C201)/2</f>
        <v>0.0334091186523438</v>
      </c>
      <c r="E201" s="15" t="n">
        <f aca="false">$C$2*(1+IF(E$3&lt;=$O$2,$D201,$D201-($D201-$I$184)*MIN(E$3-$O$2,$Q$2)/$Q$2))</f>
        <v>3244.90463256836</v>
      </c>
      <c r="F201" s="15" t="n">
        <f aca="false">E201*(1+IF(F$3&lt;=$O$2,$D201,$D201-($D201-$I$184)*MIN(F$3-$O$2,$Q$2)/$Q$2))</f>
        <v>3353.31403645338</v>
      </c>
      <c r="G201" s="15" t="n">
        <f aca="false">F201*(1+IF(G$3&lt;=$O$2,$D201,$D201-($D201-$I$184)*MIN(G$3-$O$2,$Q$2)/$Q$2))</f>
        <v>3465.34530297582</v>
      </c>
      <c r="H201" s="15" t="n">
        <f aca="false">G201*(1+IF(H$3&lt;=$O$2,$D201,$D201-($D201-$I$184)*MIN(H$3-$O$2,$Q$2)/$Q$2))</f>
        <v>3581.11943537428</v>
      </c>
      <c r="I201" s="15" t="n">
        <f aca="false">H201*(1+IF(I$3&lt;=$O$2,$D201,$D201-($D201-$I$184)*MIN(I$3-$O$2,$Q$2)/$Q$2))</f>
        <v>3700.76147949891</v>
      </c>
      <c r="J201" s="15" t="n">
        <f aca="false">I201*(1+IF(J$3&lt;=$O$2,$D201,$D201-($D201-$I$184)*MIN(J$3-$O$2,$Q$2)/$Q$2))</f>
        <v>3813.21761001196</v>
      </c>
      <c r="K201" s="15" t="n">
        <f aca="false">J201*(1+IF(K$3&lt;=$O$2,$D201,$D201-($D201-$I$184)*MIN(K$3-$O$2,$Q$2)/$Q$2))</f>
        <v>3917.5681066653</v>
      </c>
      <c r="L201" s="15" t="n">
        <f aca="false">K201*(1+IF(L$3&lt;=$O$2,$D201,$D201-($D201-$I$184)*MIN(L$3-$O$2,$Q$2)/$Q$2))</f>
        <v>4012.93600355818</v>
      </c>
      <c r="M201" s="15" t="n">
        <f aca="false">L201*(1+IF(M$3&lt;=$O$2,$D201,$D201-($D201-$I$184)*MIN(M$3-$O$2,$Q$2)/$Q$2))</f>
        <v>4098.4991176677</v>
      </c>
      <c r="N201" s="15" t="n">
        <f aca="false">M201*(1+IF(N$3&lt;=$O$2,$D201,$D201-($D201-$I$184)*MIN(N$3-$O$2,$Q$2)/$Q$2))</f>
        <v>4173.50165152101</v>
      </c>
      <c r="O201" s="15" t="n">
        <f aca="false">SUMPRODUCT(E201:N201,1/(1+$F$184)^$E$3:$N$3)*$E$2</f>
        <v>11356.9990183883</v>
      </c>
      <c r="P201" s="15" t="n">
        <f aca="false">N201*$E$2*(1+$I$184)/($F$184-$I$184)/(1+$F$184)^$N$3</f>
        <v>15699.9334568918</v>
      </c>
      <c r="Q201" s="15" t="n">
        <f aca="false">O201+P201</f>
        <v>27056.9324752801</v>
      </c>
      <c r="R201" s="15" t="n">
        <f aca="false">Q201-$G$2+$I$2</f>
        <v>22989.1324752801</v>
      </c>
      <c r="S201" s="42" t="n">
        <f aca="false">R201/$K$2</f>
        <v>176.622099533498</v>
      </c>
      <c r="T201" s="43" t="n">
        <f aca="false">S201-$M$2</f>
        <v>-0.00666506392096267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0.0334091186523438</v>
      </c>
      <c r="C202" s="25" t="n">
        <f aca="false">IF(T201&gt;0,D201,C201)</f>
        <v>0.0334320068359375</v>
      </c>
      <c r="D202" s="41" t="n">
        <f aca="false">(B202+C202)/2</f>
        <v>0.0334205627441406</v>
      </c>
      <c r="E202" s="15" t="n">
        <f aca="false">$C$2*(1+IF(E$3&lt;=$O$2,$D202,$D202-($D202-$I$184)*MIN(E$3-$O$2,$Q$2)/$Q$2))</f>
        <v>3244.9405670166</v>
      </c>
      <c r="F202" s="15" t="n">
        <f aca="false">E202*(1+IF(F$3&lt;=$O$2,$D202,$D202-($D202-$I$184)*MIN(F$3-$O$2,$Q$2)/$Q$2))</f>
        <v>3353.38830683759</v>
      </c>
      <c r="G202" s="15" t="n">
        <f aca="false">F202*(1+IF(G$3&lt;=$O$2,$D202,$D202-($D202-$I$184)*MIN(G$3-$O$2,$Q$2)/$Q$2))</f>
        <v>3465.46043115172</v>
      </c>
      <c r="H202" s="15" t="n">
        <f aca="false">G202*(1+IF(H$3&lt;=$O$2,$D202,$D202-($D202-$I$184)*MIN(H$3-$O$2,$Q$2)/$Q$2))</f>
        <v>3581.27806892836</v>
      </c>
      <c r="I202" s="15" t="n">
        <f aca="false">H202*(1+IF(I$3&lt;=$O$2,$D202,$D202-($D202-$I$184)*MIN(I$3-$O$2,$Q$2)/$Q$2))</f>
        <v>3700.9663973352</v>
      </c>
      <c r="J202" s="15" t="n">
        <f aca="false">I202*(1+IF(J$3&lt;=$O$2,$D202,$D202-($D202-$I$184)*MIN(J$3-$O$2,$Q$2)/$Q$2))</f>
        <v>3813.46263810632</v>
      </c>
      <c r="K202" s="15" t="n">
        <f aca="false">J202*(1+IF(K$3&lt;=$O$2,$D202,$D202-($D202-$I$184)*MIN(K$3-$O$2,$Q$2)/$Q$2))</f>
        <v>3917.84602503882</v>
      </c>
      <c r="L202" s="15" t="n">
        <f aca="false">K202*(1+IF(L$3&lt;=$O$2,$D202,$D202-($D202-$I$184)*MIN(L$3-$O$2,$Q$2)/$Q$2))</f>
        <v>4013.23862195442</v>
      </c>
      <c r="M202" s="15" t="n">
        <f aca="false">L202*(1+IF(M$3&lt;=$O$2,$D202,$D202-($D202-$I$184)*MIN(M$3-$O$2,$Q$2)/$Q$2))</f>
        <v>4098.81737401429</v>
      </c>
      <c r="N202" s="15" t="n">
        <f aca="false">M202*(1+IF(N$3&lt;=$O$2,$D202,$D202-($D202-$I$184)*MIN(N$3-$O$2,$Q$2)/$Q$2))</f>
        <v>4173.82573195875</v>
      </c>
      <c r="O202" s="15" t="n">
        <f aca="false">SUMPRODUCT(E202:N202,1/(1+$F$184)^$E$3:$N$3)*$E$2</f>
        <v>11357.5702174022</v>
      </c>
      <c r="P202" s="15" t="n">
        <f aca="false">N202*$E$2*(1+$I$184)/($F$184-$I$184)/(1+$F$184)^$N$3</f>
        <v>15701.152586949</v>
      </c>
      <c r="Q202" s="15" t="n">
        <f aca="false">O202+P202</f>
        <v>27058.7228043511</v>
      </c>
      <c r="R202" s="15" t="n">
        <f aca="false">Q202-$G$2+$I$2</f>
        <v>22990.9228043511</v>
      </c>
      <c r="S202" s="42" t="n">
        <f aca="false">R202/$K$2</f>
        <v>176.635854366557</v>
      </c>
      <c r="T202" s="43" t="n">
        <f aca="false">S202-$M$2</f>
        <v>0.00708976913887227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0.0334091186523438</v>
      </c>
      <c r="C203" s="25" t="n">
        <f aca="false">IF(T202&gt;0,D202,C202)</f>
        <v>0.0334205627441406</v>
      </c>
      <c r="D203" s="41" t="n">
        <f aca="false">(B203+C203)/2</f>
        <v>0.0334148406982422</v>
      </c>
      <c r="E203" s="15" t="n">
        <f aca="false">$C$2*(1+IF(E$3&lt;=$O$2,$D203,$D203-($D203-$I$184)*MIN(E$3-$O$2,$Q$2)/$Q$2))</f>
        <v>3244.92259979248</v>
      </c>
      <c r="F203" s="15" t="n">
        <f aca="false">E203*(1+IF(F$3&lt;=$O$2,$D203,$D203-($D203-$I$184)*MIN(F$3-$O$2,$Q$2)/$Q$2))</f>
        <v>3353.35117154267</v>
      </c>
      <c r="G203" s="15" t="n">
        <f aca="false">F203*(1+IF(G$3&lt;=$O$2,$D203,$D203-($D203-$I$184)*MIN(G$3-$O$2,$Q$2)/$Q$2))</f>
        <v>3465.40286674503</v>
      </c>
      <c r="H203" s="15" t="n">
        <f aca="false">G203*(1+IF(H$3&lt;=$O$2,$D203,$D203-($D203-$I$184)*MIN(H$3-$O$2,$Q$2)/$Q$2))</f>
        <v>3581.19875149255</v>
      </c>
      <c r="I203" s="15" t="n">
        <f aca="false">H203*(1+IF(I$3&lt;=$O$2,$D203,$D203-($D203-$I$184)*MIN(I$3-$O$2,$Q$2)/$Q$2))</f>
        <v>3700.86393728242</v>
      </c>
      <c r="J203" s="15" t="n">
        <f aca="false">I203*(1+IF(J$3&lt;=$O$2,$D203,$D203-($D203-$I$184)*MIN(J$3-$O$2,$Q$2)/$Q$2))</f>
        <v>3813.340122421</v>
      </c>
      <c r="K203" s="15" t="n">
        <f aca="false">J203*(1+IF(K$3&lt;=$O$2,$D203,$D203-($D203-$I$184)*MIN(K$3-$O$2,$Q$2)/$Q$2))</f>
        <v>3917.70706374847</v>
      </c>
      <c r="L203" s="15" t="n">
        <f aca="false">K203*(1+IF(L$3&lt;=$O$2,$D203,$D203-($D203-$I$184)*MIN(L$3-$O$2,$Q$2)/$Q$2))</f>
        <v>4013.08731028344</v>
      </c>
      <c r="M203" s="15" t="n">
        <f aca="false">L203*(1+IF(M$3&lt;=$O$2,$D203,$D203-($D203-$I$184)*MIN(M$3-$O$2,$Q$2)/$Q$2))</f>
        <v>4098.65824314224</v>
      </c>
      <c r="N203" s="15" t="n">
        <f aca="false">M203*(1+IF(N$3&lt;=$O$2,$D203,$D203-($D203-$I$184)*MIN(N$3-$O$2,$Q$2)/$Q$2))</f>
        <v>4173.66368899175</v>
      </c>
      <c r="O203" s="15" t="n">
        <f aca="false">SUMPRODUCT(E203:N203,1/(1+$F$184)^$E$3:$N$3)*$E$2</f>
        <v>11357.2846142674</v>
      </c>
      <c r="P203" s="15" t="n">
        <f aca="false">N203*$E$2*(1+$I$184)/($F$184-$I$184)/(1+$F$184)^$N$3</f>
        <v>15700.5430115824</v>
      </c>
      <c r="Q203" s="15" t="n">
        <f aca="false">O203+P203</f>
        <v>27057.8276258498</v>
      </c>
      <c r="R203" s="15" t="n">
        <f aca="false">Q203-$G$2+$I$2</f>
        <v>22990.0276258498</v>
      </c>
      <c r="S203" s="42" t="n">
        <f aca="false">R203/$K$2</f>
        <v>176.62897684273</v>
      </c>
      <c r="T203" s="43" t="n">
        <f aca="false">S203-$M$2</f>
        <v>0.000212245311615789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0.0334091186523438</v>
      </c>
      <c r="C204" s="25" t="n">
        <f aca="false">IF(T203&gt;0,D203,C203)</f>
        <v>0.0334148406982422</v>
      </c>
      <c r="D204" s="41" t="n">
        <f aca="false">(B204+C204)/2</f>
        <v>0.033411979675293</v>
      </c>
      <c r="E204" s="15" t="n">
        <f aca="false">$C$2*(1+IF(E$3&lt;=$O$2,$D204,$D204-($D204-$I$184)*MIN(E$3-$O$2,$Q$2)/$Q$2))</f>
        <v>3244.91361618042</v>
      </c>
      <c r="F204" s="15" t="n">
        <f aca="false">E204*(1+IF(F$3&lt;=$O$2,$D204,$D204-($D204-$I$184)*MIN(F$3-$O$2,$Q$2)/$Q$2))</f>
        <v>3353.33260397232</v>
      </c>
      <c r="G204" s="15" t="n">
        <f aca="false">F204*(1+IF(G$3&lt;=$O$2,$D204,$D204-($D204-$I$184)*MIN(G$3-$O$2,$Q$2)/$Q$2))</f>
        <v>3465.37408478074</v>
      </c>
      <c r="H204" s="15" t="n">
        <f aca="false">G204*(1+IF(H$3&lt;=$O$2,$D204,$D204-($D204-$I$184)*MIN(H$3-$O$2,$Q$2)/$Q$2))</f>
        <v>3581.15909326872</v>
      </c>
      <c r="I204" s="15" t="n">
        <f aca="false">H204*(1+IF(I$3&lt;=$O$2,$D204,$D204-($D204-$I$184)*MIN(I$3-$O$2,$Q$2)/$Q$2))</f>
        <v>3700.81270810701</v>
      </c>
      <c r="J204" s="15" t="n">
        <f aca="false">I204*(1+IF(J$3&lt;=$O$2,$D204,$D204-($D204-$I$184)*MIN(J$3-$O$2,$Q$2)/$Q$2))</f>
        <v>3813.27886580695</v>
      </c>
      <c r="K204" s="15" t="n">
        <f aca="false">J204*(1+IF(K$3&lt;=$O$2,$D204,$D204-($D204-$I$184)*MIN(K$3-$O$2,$Q$2)/$Q$2))</f>
        <v>3917.637584681</v>
      </c>
      <c r="L204" s="15" t="n">
        <f aca="false">K204*(1+IF(L$3&lt;=$O$2,$D204,$D204-($D204-$I$184)*MIN(L$3-$O$2,$Q$2)/$Q$2))</f>
        <v>4013.0116563026</v>
      </c>
      <c r="M204" s="15" t="n">
        <f aca="false">L204*(1+IF(M$3&lt;=$O$2,$D204,$D204-($D204-$I$184)*MIN(M$3-$O$2,$Q$2)/$Q$2))</f>
        <v>4098.57867973029</v>
      </c>
      <c r="N204" s="15" t="n">
        <f aca="false">M204*(1+IF(N$3&lt;=$O$2,$D204,$D204-($D204-$I$184)*MIN(N$3-$O$2,$Q$2)/$Q$2))</f>
        <v>4173.58266956936</v>
      </c>
      <c r="O204" s="15" t="n">
        <f aca="false">SUMPRODUCT(E204:N204,1/(1+$F$184)^$E$3:$N$3)*$E$2</f>
        <v>11357.1418154209</v>
      </c>
      <c r="P204" s="15" t="n">
        <f aca="false">N204*$E$2*(1+$I$184)/($F$184-$I$184)/(1+$F$184)^$N$3</f>
        <v>15700.2382316527</v>
      </c>
      <c r="Q204" s="15" t="n">
        <f aca="false">O204+P204</f>
        <v>27057.3800470735</v>
      </c>
      <c r="R204" s="15" t="n">
        <f aca="false">Q204-$G$2+$I$2</f>
        <v>22989.5800470735</v>
      </c>
      <c r="S204" s="42" t="n">
        <f aca="false">R204/$K$2</f>
        <v>176.62553816129</v>
      </c>
      <c r="T204" s="43" t="n">
        <f aca="false">S204-$M$2</f>
        <v>-0.00322643612858542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0.033411979675293</v>
      </c>
      <c r="C205" s="25" t="n">
        <f aca="false">IF(T204&gt;0,D204,C204)</f>
        <v>0.0334148406982422</v>
      </c>
      <c r="D205" s="41" t="n">
        <f aca="false">(B205+C205)/2</f>
        <v>0.0334134101867676</v>
      </c>
      <c r="E205" s="15" t="n">
        <f aca="false">$C$2*(1+IF(E$3&lt;=$O$2,$D205,$D205-($D205-$I$184)*MIN(E$3-$O$2,$Q$2)/$Q$2))</f>
        <v>3244.91810798645</v>
      </c>
      <c r="F205" s="15" t="n">
        <f aca="false">E205*(1+IF(F$3&lt;=$O$2,$D205,$D205-($D205-$I$184)*MIN(F$3-$O$2,$Q$2)/$Q$2))</f>
        <v>3353.34188775107</v>
      </c>
      <c r="G205" s="15" t="n">
        <f aca="false">F205*(1+IF(G$3&lt;=$O$2,$D205,$D205-($D205-$I$184)*MIN(G$3-$O$2,$Q$2)/$Q$2))</f>
        <v>3465.38847574297</v>
      </c>
      <c r="H205" s="15" t="n">
        <f aca="false">G205*(1+IF(H$3&lt;=$O$2,$D205,$D205-($D205-$I$184)*MIN(H$3-$O$2,$Q$2)/$Q$2))</f>
        <v>3581.17892233946</v>
      </c>
      <c r="I205" s="15" t="n">
        <f aca="false">H205*(1+IF(I$3&lt;=$O$2,$D205,$D205-($D205-$I$184)*MIN(I$3-$O$2,$Q$2)/$Q$2))</f>
        <v>3700.8383226238</v>
      </c>
      <c r="J205" s="15" t="n">
        <f aca="false">I205*(1+IF(J$3&lt;=$O$2,$D205,$D205-($D205-$I$184)*MIN(J$3-$O$2,$Q$2)/$Q$2))</f>
        <v>3813.30949401159</v>
      </c>
      <c r="K205" s="15" t="n">
        <f aca="false">J205*(1+IF(K$3&lt;=$O$2,$D205,$D205-($D205-$I$184)*MIN(K$3-$O$2,$Q$2)/$Q$2))</f>
        <v>3917.67232408326</v>
      </c>
      <c r="L205" s="15" t="n">
        <f aca="false">K205*(1+IF(L$3&lt;=$O$2,$D205,$D205-($D205-$I$184)*MIN(L$3-$O$2,$Q$2)/$Q$2))</f>
        <v>4013.04948313847</v>
      </c>
      <c r="M205" s="15" t="n">
        <f aca="false">L205*(1+IF(M$3&lt;=$O$2,$D205,$D205-($D205-$I$184)*MIN(M$3-$O$2,$Q$2)/$Q$2))</f>
        <v>4098.6184612676</v>
      </c>
      <c r="N205" s="15" t="n">
        <f aca="false">M205*(1+IF(N$3&lt;=$O$2,$D205,$D205-($D205-$I$184)*MIN(N$3-$O$2,$Q$2)/$Q$2))</f>
        <v>4173.6231791088</v>
      </c>
      <c r="O205" s="15" t="n">
        <f aca="false">SUMPRODUCT(E205:N205,1/(1+$F$184)^$E$3:$N$3)*$E$2</f>
        <v>11357.2132146174</v>
      </c>
      <c r="P205" s="15" t="n">
        <f aca="false">N205*$E$2*(1+$I$184)/($F$184-$I$184)/(1+$F$184)^$N$3</f>
        <v>15700.3906209714</v>
      </c>
      <c r="Q205" s="15" t="n">
        <f aca="false">O205+P205</f>
        <v>27057.6038355888</v>
      </c>
      <c r="R205" s="15" t="n">
        <f aca="false">Q205-$G$2+$I$2</f>
        <v>22989.8038355888</v>
      </c>
      <c r="S205" s="42" t="n">
        <f aca="false">R205/$K$2</f>
        <v>176.627257495304</v>
      </c>
      <c r="T205" s="43" t="n">
        <f aca="false">S205-$M$2</f>
        <v>-0.00150710211454452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0.0334134101867676</v>
      </c>
      <c r="C206" s="25" t="n">
        <f aca="false">IF(T205&gt;0,D205,C205)</f>
        <v>0.0334148406982422</v>
      </c>
      <c r="D206" s="41" t="n">
        <f aca="false">(B206+C206)/2</f>
        <v>0.0334141254425049</v>
      </c>
      <c r="E206" s="15" t="n">
        <f aca="false">$C$2*(1+IF(E$3&lt;=$O$2,$D206,$D206-($D206-$I$184)*MIN(E$3-$O$2,$Q$2)/$Q$2))</f>
        <v>3244.92035388947</v>
      </c>
      <c r="F206" s="15" t="n">
        <f aca="false">E206*(1+IF(F$3&lt;=$O$2,$D206,$D206-($D206-$I$184)*MIN(F$3-$O$2,$Q$2)/$Q$2))</f>
        <v>3353.34652964527</v>
      </c>
      <c r="G206" s="15" t="n">
        <f aca="false">F206*(1+IF(G$3&lt;=$O$2,$D206,$D206-($D206-$I$184)*MIN(G$3-$O$2,$Q$2)/$Q$2))</f>
        <v>3465.39567123902</v>
      </c>
      <c r="H206" s="15" t="n">
        <f aca="false">G206*(1+IF(H$3&lt;=$O$2,$D206,$D206-($D206-$I$184)*MIN(H$3-$O$2,$Q$2)/$Q$2))</f>
        <v>3581.18883690571</v>
      </c>
      <c r="I206" s="15" t="n">
        <f aca="false">H206*(1+IF(I$3&lt;=$O$2,$D206,$D206-($D206-$I$184)*MIN(I$3-$O$2,$Q$2)/$Q$2))</f>
        <v>3700.85112993538</v>
      </c>
      <c r="J206" s="15" t="n">
        <f aca="false">I206*(1+IF(J$3&lt;=$O$2,$D206,$D206-($D206-$I$184)*MIN(J$3-$O$2,$Q$2)/$Q$2))</f>
        <v>3813.3248081907</v>
      </c>
      <c r="K206" s="15" t="n">
        <f aca="false">J206*(1+IF(K$3&lt;=$O$2,$D206,$D206-($D206-$I$184)*MIN(K$3-$O$2,$Q$2)/$Q$2))</f>
        <v>3917.689693883</v>
      </c>
      <c r="L206" s="15" t="n">
        <f aca="false">K206*(1+IF(L$3&lt;=$O$2,$D206,$D206-($D206-$I$184)*MIN(L$3-$O$2,$Q$2)/$Q$2))</f>
        <v>4013.06839667232</v>
      </c>
      <c r="M206" s="15" t="n">
        <f aca="false">L206*(1+IF(M$3&lt;=$O$2,$D206,$D206-($D206-$I$184)*MIN(M$3-$O$2,$Q$2)/$Q$2))</f>
        <v>4098.63835216275</v>
      </c>
      <c r="N206" s="15" t="n">
        <f aca="false">M206*(1+IF(N$3&lt;=$O$2,$D206,$D206-($D206-$I$184)*MIN(N$3-$O$2,$Q$2)/$Q$2))</f>
        <v>4173.64343400733</v>
      </c>
      <c r="O206" s="15" t="n">
        <f aca="false">SUMPRODUCT(E206:N206,1/(1+$F$184)^$E$3:$N$3)*$E$2</f>
        <v>11357.2489143857</v>
      </c>
      <c r="P206" s="15" t="n">
        <f aca="false">N206*$E$2*(1+$I$184)/($F$184-$I$184)/(1+$F$184)^$N$3</f>
        <v>15700.4668161154</v>
      </c>
      <c r="Q206" s="15" t="n">
        <f aca="false">O206+P206</f>
        <v>27057.7157305011</v>
      </c>
      <c r="R206" s="15" t="n">
        <f aca="false">Q206-$G$2+$I$2</f>
        <v>22989.9157305011</v>
      </c>
      <c r="S206" s="42" t="n">
        <f aca="false">R206/$K$2</f>
        <v>176.628117167341</v>
      </c>
      <c r="T206" s="43" t="n">
        <f aca="false">S206-$M$2</f>
        <v>-0.000647430078004163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0.0334141254425049</v>
      </c>
      <c r="C207" s="25" t="n">
        <f aca="false">IF(T206&gt;0,D206,C206)</f>
        <v>0.0334148406982422</v>
      </c>
      <c r="D207" s="41" t="n">
        <f aca="false">(B207+C207)/2</f>
        <v>0.0334144830703735</v>
      </c>
      <c r="E207" s="15" t="n">
        <f aca="false">$C$2*(1+IF(E$3&lt;=$O$2,$D207,$D207-($D207-$I$184)*MIN(E$3-$O$2,$Q$2)/$Q$2))</f>
        <v>3244.92147684097</v>
      </c>
      <c r="F207" s="15" t="n">
        <f aca="false">E207*(1+IF(F$3&lt;=$O$2,$D207,$D207-($D207-$I$184)*MIN(F$3-$O$2,$Q$2)/$Q$2))</f>
        <v>3353.34885059357</v>
      </c>
      <c r="G207" s="15" t="n">
        <f aca="false">F207*(1+IF(G$3&lt;=$O$2,$D207,$D207-($D207-$I$184)*MIN(G$3-$O$2,$Q$2)/$Q$2))</f>
        <v>3465.39926899078</v>
      </c>
      <c r="H207" s="15" t="n">
        <f aca="false">G207*(1+IF(H$3&lt;=$O$2,$D207,$D207-($D207-$I$184)*MIN(H$3-$O$2,$Q$2)/$Q$2))</f>
        <v>3581.19379419656</v>
      </c>
      <c r="I207" s="15" t="n">
        <f aca="false">H207*(1+IF(I$3&lt;=$O$2,$D207,$D207-($D207-$I$184)*MIN(I$3-$O$2,$Q$2)/$Q$2))</f>
        <v>3700.85753360447</v>
      </c>
      <c r="J207" s="15" t="n">
        <f aca="false">I207*(1+IF(J$3&lt;=$O$2,$D207,$D207-($D207-$I$184)*MIN(J$3-$O$2,$Q$2)/$Q$2))</f>
        <v>3813.33246529945</v>
      </c>
      <c r="K207" s="15" t="n">
        <f aca="false">J207*(1+IF(K$3&lt;=$O$2,$D207,$D207-($D207-$I$184)*MIN(K$3-$O$2,$Q$2)/$Q$2))</f>
        <v>3917.69837880752</v>
      </c>
      <c r="L207" s="15" t="n">
        <f aca="false">K207*(1+IF(L$3&lt;=$O$2,$D207,$D207-($D207-$I$184)*MIN(L$3-$O$2,$Q$2)/$Q$2))</f>
        <v>4013.07785346822</v>
      </c>
      <c r="M207" s="15" t="n">
        <f aca="false">L207*(1+IF(M$3&lt;=$O$2,$D207,$D207-($D207-$I$184)*MIN(M$3-$O$2,$Q$2)/$Q$2))</f>
        <v>4098.64829764196</v>
      </c>
      <c r="N207" s="15" t="n">
        <f aca="false">M207*(1+IF(N$3&lt;=$O$2,$D207,$D207-($D207-$I$184)*MIN(N$3-$O$2,$Q$2)/$Q$2))</f>
        <v>4173.6535614888</v>
      </c>
      <c r="O207" s="15" t="n">
        <f aca="false">SUMPRODUCT(E207:N207,1/(1+$F$184)^$E$3:$N$3)*$E$2</f>
        <v>11357.2667643123</v>
      </c>
      <c r="P207" s="15" t="n">
        <f aca="false">N207*$E$2*(1+$I$184)/($F$184-$I$184)/(1+$F$184)^$N$3</f>
        <v>15700.5049138085</v>
      </c>
      <c r="Q207" s="15" t="n">
        <f aca="false">O207+P207</f>
        <v>27057.7716781209</v>
      </c>
      <c r="R207" s="15" t="n">
        <f aca="false">Q207-$G$2+$I$2</f>
        <v>22989.9716781209</v>
      </c>
      <c r="S207" s="42" t="n">
        <f aca="false">R207/$K$2</f>
        <v>176.628547004616</v>
      </c>
      <c r="T207" s="43" t="n">
        <f aca="false">S207-$M$2</f>
        <v>-0.000217592802329136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0.0334144830703735</v>
      </c>
      <c r="C208" s="25" t="n">
        <f aca="false">IF(T207&gt;0,D207,C207)</f>
        <v>0.0334148406982422</v>
      </c>
      <c r="D208" s="41" t="n">
        <f aca="false">(B208+C208)/2</f>
        <v>0.0334146618843079</v>
      </c>
      <c r="E208" s="15" t="n">
        <f aca="false">$C$2*(1+IF(E$3&lt;=$O$2,$D208,$D208-($D208-$I$184)*MIN(E$3-$O$2,$Q$2)/$Q$2))</f>
        <v>3244.92203831673</v>
      </c>
      <c r="F208" s="15" t="n">
        <f aca="false">E208*(1+IF(F$3&lt;=$O$2,$D208,$D208-($D208-$I$184)*MIN(F$3-$O$2,$Q$2)/$Q$2))</f>
        <v>3353.35001106802</v>
      </c>
      <c r="G208" s="15" t="n">
        <f aca="false">F208*(1+IF(G$3&lt;=$O$2,$D208,$D208-($D208-$I$184)*MIN(G$3-$O$2,$Q$2)/$Q$2))</f>
        <v>3465.4010678676</v>
      </c>
      <c r="H208" s="15" t="n">
        <f aca="false">G208*(1+IF(H$3&lt;=$O$2,$D208,$D208-($D208-$I$184)*MIN(H$3-$O$2,$Q$2)/$Q$2))</f>
        <v>3581.19627284391</v>
      </c>
      <c r="I208" s="15" t="n">
        <f aca="false">H208*(1+IF(I$3&lt;=$O$2,$D208,$D208-($D208-$I$184)*MIN(I$3-$O$2,$Q$2)/$Q$2))</f>
        <v>3700.86073544234</v>
      </c>
      <c r="J208" s="15" t="n">
        <f aca="false">I208*(1+IF(J$3&lt;=$O$2,$D208,$D208-($D208-$I$184)*MIN(J$3-$O$2,$Q$2)/$Q$2))</f>
        <v>3813.33629385863</v>
      </c>
      <c r="K208" s="15" t="n">
        <f aca="false">J208*(1+IF(K$3&lt;=$O$2,$D208,$D208-($D208-$I$184)*MIN(K$3-$O$2,$Q$2)/$Q$2))</f>
        <v>3917.70272127594</v>
      </c>
      <c r="L208" s="15" t="n">
        <f aca="false">K208*(1+IF(L$3&lt;=$O$2,$D208,$D208-($D208-$I$184)*MIN(L$3-$O$2,$Q$2)/$Q$2))</f>
        <v>4013.08258187342</v>
      </c>
      <c r="M208" s="15" t="n">
        <f aca="false">L208*(1+IF(M$3&lt;=$O$2,$D208,$D208-($D208-$I$184)*MIN(M$3-$O$2,$Q$2)/$Q$2))</f>
        <v>4098.65327038946</v>
      </c>
      <c r="N208" s="15" t="n">
        <f aca="false">M208*(1+IF(N$3&lt;=$O$2,$D208,$D208-($D208-$I$184)*MIN(N$3-$O$2,$Q$2)/$Q$2))</f>
        <v>4173.65862523759</v>
      </c>
      <c r="O208" s="15" t="n">
        <f aca="false">SUMPRODUCT(E208:N208,1/(1+$F$184)^$E$3:$N$3)*$E$2</f>
        <v>11357.2756892863</v>
      </c>
      <c r="P208" s="15" t="n">
        <f aca="false">N208*$E$2*(1+$I$184)/($F$184-$I$184)/(1+$F$184)^$N$3</f>
        <v>15700.5239626854</v>
      </c>
      <c r="Q208" s="15" t="n">
        <f aca="false">O208+P208</f>
        <v>27057.7996519717</v>
      </c>
      <c r="R208" s="15" t="n">
        <f aca="false">Q208-$G$2+$I$2</f>
        <v>22989.9996519717</v>
      </c>
      <c r="S208" s="42" t="n">
        <f aca="false">R208/$K$2</f>
        <v>176.628761923568</v>
      </c>
      <c r="T208" s="43" t="n">
        <f aca="false">S208-$M$2</f>
        <v>-2.67385013330568E-006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0.0334146618843079</v>
      </c>
      <c r="C209" s="25" t="n">
        <f aca="false">IF(T208&gt;0,D208,C208)</f>
        <v>0.0334148406982422</v>
      </c>
      <c r="D209" s="41" t="n">
        <f aca="false">(B209+C209)/2</f>
        <v>0.033414751291275</v>
      </c>
      <c r="E209" s="15" t="n">
        <f aca="false">$C$2*(1+IF(E$3&lt;=$O$2,$D209,$D209-($D209-$I$184)*MIN(E$3-$O$2,$Q$2)/$Q$2))</f>
        <v>3244.9223190546</v>
      </c>
      <c r="F209" s="15" t="n">
        <f aca="false">E209*(1+IF(F$3&lt;=$O$2,$D209,$D209-($D209-$I$184)*MIN(F$3-$O$2,$Q$2)/$Q$2))</f>
        <v>3353.35059130532</v>
      </c>
      <c r="G209" s="15" t="n">
        <f aca="false">F209*(1+IF(G$3&lt;=$O$2,$D209,$D209-($D209-$I$184)*MIN(G$3-$O$2,$Q$2)/$Q$2))</f>
        <v>3465.40196730624</v>
      </c>
      <c r="H209" s="15" t="n">
        <f aca="false">G209*(1+IF(H$3&lt;=$O$2,$D209,$D209-($D209-$I$184)*MIN(H$3-$O$2,$Q$2)/$Q$2))</f>
        <v>3581.19751216807</v>
      </c>
      <c r="I209" s="15" t="n">
        <f aca="false">H209*(1+IF(I$3&lt;=$O$2,$D209,$D209-($D209-$I$184)*MIN(I$3-$O$2,$Q$2)/$Q$2))</f>
        <v>3700.8623363621</v>
      </c>
      <c r="J209" s="15" t="n">
        <f aca="false">I209*(1+IF(J$3&lt;=$O$2,$D209,$D209-($D209-$I$184)*MIN(J$3-$O$2,$Q$2)/$Q$2))</f>
        <v>3813.33820813941</v>
      </c>
      <c r="K209" s="15" t="n">
        <f aca="false">J209*(1+IF(K$3&lt;=$O$2,$D209,$D209-($D209-$I$184)*MIN(K$3-$O$2,$Q$2)/$Q$2))</f>
        <v>3917.70489251169</v>
      </c>
      <c r="L209" s="15" t="n">
        <f aca="false">K209*(1+IF(L$3&lt;=$O$2,$D209,$D209-($D209-$I$184)*MIN(L$3-$O$2,$Q$2)/$Q$2))</f>
        <v>4013.08494607783</v>
      </c>
      <c r="M209" s="15" t="n">
        <f aca="false">L209*(1+IF(M$3&lt;=$O$2,$D209,$D209-($D209-$I$184)*MIN(M$3-$O$2,$Q$2)/$Q$2))</f>
        <v>4098.6557567652</v>
      </c>
      <c r="N209" s="15" t="n">
        <f aca="false">M209*(1+IF(N$3&lt;=$O$2,$D209,$D209-($D209-$I$184)*MIN(N$3-$O$2,$Q$2)/$Q$2))</f>
        <v>4173.661157114</v>
      </c>
      <c r="O209" s="15" t="n">
        <f aca="false">SUMPRODUCT(E209:N209,1/(1+$F$184)^$E$3:$N$3)*$E$2</f>
        <v>11357.2801517759</v>
      </c>
      <c r="P209" s="15" t="n">
        <f aca="false">N209*$E$2*(1+$I$184)/($F$184-$I$184)/(1+$F$184)^$N$3</f>
        <v>15700.5334871314</v>
      </c>
      <c r="Q209" s="15" t="n">
        <f aca="false">O209+P209</f>
        <v>27057.8136389073</v>
      </c>
      <c r="R209" s="15" t="n">
        <f aca="false">Q209-$G$2+$I$2</f>
        <v>22990.0136389073</v>
      </c>
      <c r="S209" s="42" t="n">
        <f aca="false">R209/$K$2</f>
        <v>176.628869383123</v>
      </c>
      <c r="T209" s="43" t="n">
        <f aca="false">S209-$M$2</f>
        <v>0.000104785704508004</v>
      </c>
    </row>
    <row r="211" customFormat="false" ht="15" hidden="false" customHeight="false" outlineLevel="0" collapsed="false">
      <c r="A211" s="38" t="s">
        <v>181</v>
      </c>
      <c r="E211" s="5" t="s">
        <v>11</v>
      </c>
      <c r="F211" s="12" t="n">
        <f aca="false">Sensitivity!$B$11</f>
        <v>0.0769413943493295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155</v>
      </c>
      <c r="B212" s="28" t="s">
        <v>156</v>
      </c>
      <c r="C212" s="28" t="s">
        <v>157</v>
      </c>
      <c r="D212" s="28" t="s">
        <v>158</v>
      </c>
      <c r="E212" s="28" t="s">
        <v>159</v>
      </c>
      <c r="F212" s="28" t="s">
        <v>160</v>
      </c>
      <c r="G212" s="28" t="s">
        <v>161</v>
      </c>
      <c r="H212" s="28" t="s">
        <v>162</v>
      </c>
      <c r="I212" s="28" t="s">
        <v>163</v>
      </c>
      <c r="J212" s="28" t="s">
        <v>164</v>
      </c>
      <c r="K212" s="28" t="s">
        <v>165</v>
      </c>
      <c r="L212" s="28" t="s">
        <v>166</v>
      </c>
      <c r="M212" s="28" t="s">
        <v>167</v>
      </c>
      <c r="N212" s="28" t="s">
        <v>168</v>
      </c>
      <c r="O212" s="28" t="s">
        <v>169</v>
      </c>
      <c r="P212" s="28" t="s">
        <v>170</v>
      </c>
      <c r="Q212" s="28" t="s">
        <v>171</v>
      </c>
      <c r="R212" s="28" t="s">
        <v>172</v>
      </c>
      <c r="S212" s="28" t="s">
        <v>173</v>
      </c>
      <c r="T212" s="28" t="s">
        <v>174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3925</v>
      </c>
      <c r="F213" s="15" t="n">
        <f aca="false">E213*(1+IF(F$3&lt;=$O$2,$D213,$D213-($D213-$I$211)*MIN(F$3-$O$2,$Q$2)/$Q$2))</f>
        <v>4906.25</v>
      </c>
      <c r="G213" s="15" t="n">
        <f aca="false">F213*(1+IF(G$3&lt;=$O$2,$D213,$D213-($D213-$I$211)*MIN(G$3-$O$2,$Q$2)/$Q$2))</f>
        <v>6132.8125</v>
      </c>
      <c r="H213" s="15" t="n">
        <f aca="false">G213*(1+IF(H$3&lt;=$O$2,$D213,$D213-($D213-$I$211)*MIN(H$3-$O$2,$Q$2)/$Q$2))</f>
        <v>7666.015625</v>
      </c>
      <c r="I213" s="15" t="n">
        <f aca="false">H213*(1+IF(I$3&lt;=$O$2,$D213,$D213-($D213-$I$211)*MIN(I$3-$O$2,$Q$2)/$Q$2))</f>
        <v>9582.51953125</v>
      </c>
      <c r="J213" s="15" t="n">
        <f aca="false">I213*(1+IF(J$3&lt;=$O$2,$D213,$D213-($D213-$I$211)*MIN(J$3-$O$2,$Q$2)/$Q$2))</f>
        <v>11543.6779785156</v>
      </c>
      <c r="K213" s="15" t="n">
        <f aca="false">J213*(1+IF(K$3&lt;=$O$2,$D213,$D213-($D213-$I$211)*MIN(K$3-$O$2,$Q$2)/$Q$2))</f>
        <v>13382.8167540527</v>
      </c>
      <c r="L213" s="15" t="n">
        <f aca="false">K213*(1+IF(L$3&lt;=$O$2,$D213,$D213-($D213-$I$211)*MIN(L$3-$O$2,$Q$2)/$Q$2))</f>
        <v>14908.1902076797</v>
      </c>
      <c r="M213" s="15" t="n">
        <f aca="false">L213*(1+IF(M$3&lt;=$O$2,$D213,$D213-($D213-$I$211)*MIN(M$3-$O$2,$Q$2)/$Q$2))</f>
        <v>15931.4883835348</v>
      </c>
      <c r="N213" s="15" t="n">
        <f aca="false">M213*(1+IF(N$3&lt;=$O$2,$D213,$D213-($D213-$I$211)*MIN(N$3-$O$2,$Q$2)/$Q$2))</f>
        <v>16302.6920628712</v>
      </c>
      <c r="O213" s="15" t="n">
        <f aca="false">SUMPRODUCT(E213:N213,1/(1+$F$211)^$E$3:$N$3)*$E$2</f>
        <v>29389.6346500999</v>
      </c>
      <c r="P213" s="15" t="n">
        <f aca="false">N213*$E$2*(1+$I$211)/($F$211-$I$211)/(1+$F$211)^$N$3</f>
        <v>67373.3291048522</v>
      </c>
      <c r="Q213" s="15" t="n">
        <f aca="false">O213+P213</f>
        <v>96762.9637549521</v>
      </c>
      <c r="R213" s="15" t="n">
        <f aca="false">Q213-$G$2+$I$2</f>
        <v>92695.1637549521</v>
      </c>
      <c r="S213" s="42" t="n">
        <f aca="false">R213/$K$2</f>
        <v>712.163212622558</v>
      </c>
      <c r="T213" s="43" t="n">
        <f aca="false">S213-$M$2</f>
        <v>535.534448025139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2747.5</v>
      </c>
      <c r="F214" s="15" t="n">
        <f aca="false">E214*(1+IF(F$3&lt;=$O$2,$D214,$D214-($D214-$I$211)*MIN(F$3-$O$2,$Q$2)/$Q$2))</f>
        <v>2404.0625</v>
      </c>
      <c r="G214" s="15" t="n">
        <f aca="false">F214*(1+IF(G$3&lt;=$O$2,$D214,$D214-($D214-$I$211)*MIN(G$3-$O$2,$Q$2)/$Q$2))</f>
        <v>2103.5546875</v>
      </c>
      <c r="H214" s="15" t="n">
        <f aca="false">G214*(1+IF(H$3&lt;=$O$2,$D214,$D214-($D214-$I$211)*MIN(H$3-$O$2,$Q$2)/$Q$2))</f>
        <v>1840.6103515625</v>
      </c>
      <c r="I214" s="15" t="n">
        <f aca="false">H214*(1+IF(I$3&lt;=$O$2,$D214,$D214-($D214-$I$211)*MIN(I$3-$O$2,$Q$2)/$Q$2))</f>
        <v>1610.53405761719</v>
      </c>
      <c r="J214" s="15" t="n">
        <f aca="false">I214*(1+IF(J$3&lt;=$O$2,$D214,$D214-($D214-$I$211)*MIN(J$3-$O$2,$Q$2)/$Q$2))</f>
        <v>1456.98574056396</v>
      </c>
      <c r="K214" s="15" t="n">
        <f aca="false">J214*(1+IF(K$3&lt;=$O$2,$D214,$D214-($D214-$I$211)*MIN(K$3-$O$2,$Q$2)/$Q$2))</f>
        <v>1361.29091712372</v>
      </c>
      <c r="L214" s="15" t="n">
        <f aca="false">K214*(1+IF(L$3&lt;=$O$2,$D214,$D214-($D214-$I$211)*MIN(L$3-$O$2,$Q$2)/$Q$2))</f>
        <v>1312.25721828893</v>
      </c>
      <c r="M214" s="15" t="n">
        <f aca="false">L214*(1+IF(M$3&lt;=$O$2,$D214,$D214-($D214-$I$211)*MIN(M$3-$O$2,$Q$2)/$Q$2))</f>
        <v>1303.91126238061</v>
      </c>
      <c r="N214" s="15" t="n">
        <f aca="false">M214*(1+IF(N$3&lt;=$O$2,$D214,$D214-($D214-$I$211)*MIN(N$3-$O$2,$Q$2)/$Q$2))</f>
        <v>1334.29239479408</v>
      </c>
      <c r="O214" s="15" t="n">
        <f aca="false">SUMPRODUCT(E214:N214,1/(1+$F$211)^$E$3:$N$3)*$E$2</f>
        <v>5711.17758274255</v>
      </c>
      <c r="P214" s="15" t="n">
        <f aca="false">N214*$E$2*(1+$I$211)/($F$211-$I$211)/(1+$F$211)^$N$3</f>
        <v>5514.16418158921</v>
      </c>
      <c r="Q214" s="15" t="n">
        <f aca="false">O214+P214</f>
        <v>11225.3417643318</v>
      </c>
      <c r="R214" s="15" t="n">
        <f aca="false">Q214-$G$2+$I$2</f>
        <v>7157.54176433176</v>
      </c>
      <c r="S214" s="42" t="n">
        <f aca="false">R214/$K$2</f>
        <v>54.9903331617376</v>
      </c>
      <c r="T214" s="43" t="n">
        <f aca="false">S214-$M$2</f>
        <v>-121.638431435681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3336.25</v>
      </c>
      <c r="F215" s="15" t="n">
        <f aca="false">E215*(1+IF(F$3&lt;=$O$2,$D215,$D215-($D215-$I$211)*MIN(F$3-$O$2,$Q$2)/$Q$2))</f>
        <v>3544.765625</v>
      </c>
      <c r="G215" s="15" t="n">
        <f aca="false">F215*(1+IF(G$3&lt;=$O$2,$D215,$D215-($D215-$I$211)*MIN(G$3-$O$2,$Q$2)/$Q$2))</f>
        <v>3766.3134765625</v>
      </c>
      <c r="H215" s="15" t="n">
        <f aca="false">G215*(1+IF(H$3&lt;=$O$2,$D215,$D215-($D215-$I$211)*MIN(H$3-$O$2,$Q$2)/$Q$2))</f>
        <v>4001.70806884766</v>
      </c>
      <c r="I215" s="15" t="n">
        <f aca="false">H215*(1+IF(I$3&lt;=$O$2,$D215,$D215-($D215-$I$211)*MIN(I$3-$O$2,$Q$2)/$Q$2))</f>
        <v>4251.81482315064</v>
      </c>
      <c r="J215" s="15" t="n">
        <f aca="false">I215*(1+IF(J$3&lt;=$O$2,$D215,$D215-($D215-$I$211)*MIN(J$3-$O$2,$Q$2)/$Q$2))</f>
        <v>4484.21902138405</v>
      </c>
      <c r="K215" s="15" t="n">
        <f aca="false">J215*(1+IF(K$3&lt;=$O$2,$D215,$D215-($D215-$I$211)*MIN(K$3-$O$2,$Q$2)/$Q$2))</f>
        <v>4694.17015596525</v>
      </c>
      <c r="L215" s="15" t="n">
        <f aca="false">K215*(1+IF(L$3&lt;=$O$2,$D215,$D215-($D215-$I$211)*MIN(L$3-$O$2,$Q$2)/$Q$2))</f>
        <v>4877.14890864478</v>
      </c>
      <c r="M215" s="15" t="n">
        <f aca="false">L215*(1+IF(M$3&lt;=$O$2,$D215,$D215-($D215-$I$211)*MIN(M$3-$O$2,$Q$2)/$Q$2))</f>
        <v>5029.02332565997</v>
      </c>
      <c r="N215" s="15" t="n">
        <f aca="false">M215*(1+IF(N$3&lt;=$O$2,$D215,$D215-($D215-$I$211)*MIN(N$3-$O$2,$Q$2)/$Q$2))</f>
        <v>5146.19956914785</v>
      </c>
      <c r="O215" s="15" t="n">
        <f aca="false">SUMPRODUCT(E215:N215,1/(1+$F$211)^$E$3:$N$3)*$E$2</f>
        <v>12945.844096364</v>
      </c>
      <c r="P215" s="15" t="n">
        <f aca="false">N215*$E$2*(1+$I$211)/($F$211-$I$211)/(1+$F$211)^$N$3</f>
        <v>21267.4444119007</v>
      </c>
      <c r="Q215" s="15" t="n">
        <f aca="false">O215+P215</f>
        <v>34213.2885082647</v>
      </c>
      <c r="R215" s="15" t="n">
        <f aca="false">Q215-$G$2+$I$2</f>
        <v>30145.4885082647</v>
      </c>
      <c r="S215" s="42" t="n">
        <f aca="false">R215/$K$2</f>
        <v>231.603322896932</v>
      </c>
      <c r="T215" s="43" t="n">
        <f aca="false">S215-$M$2</f>
        <v>54.9745582995136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3041.875</v>
      </c>
      <c r="F216" s="15" t="n">
        <f aca="false">E216*(1+IF(F$3&lt;=$O$2,$D216,$D216-($D216-$I$211)*MIN(F$3-$O$2,$Q$2)/$Q$2))</f>
        <v>2946.81640625</v>
      </c>
      <c r="G216" s="15" t="n">
        <f aca="false">F216*(1+IF(G$3&lt;=$O$2,$D216,$D216-($D216-$I$211)*MIN(G$3-$O$2,$Q$2)/$Q$2))</f>
        <v>2854.72839355469</v>
      </c>
      <c r="H216" s="15" t="n">
        <f aca="false">G216*(1+IF(H$3&lt;=$O$2,$D216,$D216-($D216-$I$211)*MIN(H$3-$O$2,$Q$2)/$Q$2))</f>
        <v>2765.5181312561</v>
      </c>
      <c r="I216" s="15" t="n">
        <f aca="false">H216*(1+IF(I$3&lt;=$O$2,$D216,$D216-($D216-$I$211)*MIN(I$3-$O$2,$Q$2)/$Q$2))</f>
        <v>2679.09568965435</v>
      </c>
      <c r="J216" s="15" t="n">
        <f aca="false">I216*(1+IF(J$3&lt;=$O$2,$D216,$D216-($D216-$I$211)*MIN(J$3-$O$2,$Q$2)/$Q$2))</f>
        <v>2624.60288332678</v>
      </c>
      <c r="K216" s="15" t="n">
        <f aca="false">J216*(1+IF(K$3&lt;=$O$2,$D216,$D216-($D216-$I$211)*MIN(K$3-$O$2,$Q$2)/$Q$2))</f>
        <v>2599.85287813701</v>
      </c>
      <c r="L216" s="15" t="n">
        <f aca="false">K216*(1+IF(L$3&lt;=$O$2,$D216,$D216-($D216-$I$211)*MIN(L$3-$O$2,$Q$2)/$Q$2))</f>
        <v>2603.70066039665</v>
      </c>
      <c r="M216" s="15" t="n">
        <f aca="false">L216*(1+IF(M$3&lt;=$O$2,$D216,$D216-($D216-$I$211)*MIN(M$3-$O$2,$Q$2)/$Q$2))</f>
        <v>2635.96051157897</v>
      </c>
      <c r="N216" s="15" t="n">
        <f aca="false">M216*(1+IF(N$3&lt;=$O$2,$D216,$D216-($D216-$I$211)*MIN(N$3-$O$2,$Q$2)/$Q$2))</f>
        <v>2697.37839149876</v>
      </c>
      <c r="O216" s="15" t="n">
        <f aca="false">SUMPRODUCT(E216:N216,1/(1+$F$211)^$E$3:$N$3)*$E$2</f>
        <v>8575.45098007149</v>
      </c>
      <c r="P216" s="15" t="n">
        <f aca="false">N216*$E$2*(1+$I$211)/($F$211-$I$211)/(1+$F$211)^$N$3</f>
        <v>11147.3222575706</v>
      </c>
      <c r="Q216" s="15" t="n">
        <f aca="false">O216+P216</f>
        <v>19722.7732376421</v>
      </c>
      <c r="R216" s="15" t="n">
        <f aca="false">Q216-$G$2+$I$2</f>
        <v>15654.9732376421</v>
      </c>
      <c r="S216" s="42" t="n">
        <f aca="false">R216/$K$2</f>
        <v>120.274840485879</v>
      </c>
      <c r="T216" s="43" t="n">
        <f aca="false">S216-$M$2</f>
        <v>-56.3539241115393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3189.0625</v>
      </c>
      <c r="F217" s="15" t="n">
        <f aca="false">E217*(1+IF(F$3&lt;=$O$2,$D217,$D217-($D217-$I$211)*MIN(F$3-$O$2,$Q$2)/$Q$2))</f>
        <v>3238.8916015625</v>
      </c>
      <c r="G217" s="15" t="n">
        <f aca="false">F217*(1+IF(G$3&lt;=$O$2,$D217,$D217-($D217-$I$211)*MIN(G$3-$O$2,$Q$2)/$Q$2))</f>
        <v>3289.49928283691</v>
      </c>
      <c r="H217" s="15" t="n">
        <f aca="false">G217*(1+IF(H$3&lt;=$O$2,$D217,$D217-($D217-$I$211)*MIN(H$3-$O$2,$Q$2)/$Q$2))</f>
        <v>3340.89770913124</v>
      </c>
      <c r="I217" s="15" t="n">
        <f aca="false">H217*(1+IF(I$3&lt;=$O$2,$D217,$D217-($D217-$I$211)*MIN(I$3-$O$2,$Q$2)/$Q$2))</f>
        <v>3393.09923583642</v>
      </c>
      <c r="J217" s="15" t="n">
        <f aca="false">I217*(1+IF(J$3&lt;=$O$2,$D217,$D217-($D217-$I$211)*MIN(J$3-$O$2,$Q$2)/$Q$2))</f>
        <v>3451.32481872337</v>
      </c>
      <c r="K217" s="15" t="n">
        <f aca="false">J217*(1+IF(K$3&lt;=$O$2,$D217,$D217-($D217-$I$211)*MIN(K$3-$O$2,$Q$2)/$Q$2))</f>
        <v>3515.8473362094</v>
      </c>
      <c r="L217" s="15" t="n">
        <f aca="false">K217*(1+IF(L$3&lt;=$O$2,$D217,$D217-($D217-$I$211)*MIN(L$3-$O$2,$Q$2)/$Q$2))</f>
        <v>3586.97292782092</v>
      </c>
      <c r="M217" s="15" t="n">
        <f aca="false">L217*(1+IF(M$3&lt;=$O$2,$D217,$D217-($D217-$I$211)*MIN(M$3-$O$2,$Q$2)/$Q$2))</f>
        <v>3665.04339359494</v>
      </c>
      <c r="N217" s="15" t="n">
        <f aca="false">M217*(1+IF(N$3&lt;=$O$2,$D217,$D217-($D217-$I$211)*MIN(N$3-$O$2,$Q$2)/$Q$2))</f>
        <v>3750.4389046657</v>
      </c>
      <c r="O217" s="15" t="n">
        <f aca="false">SUMPRODUCT(E217:N217,1/(1+$F$211)^$E$3:$N$3)*$E$2</f>
        <v>10532.8763601059</v>
      </c>
      <c r="P217" s="15" t="n">
        <f aca="false">N217*$E$2*(1+$I$211)/($F$211-$I$211)/(1+$F$211)^$N$3</f>
        <v>15499.2533525891</v>
      </c>
      <c r="Q217" s="15" t="n">
        <f aca="false">O217+P217</f>
        <v>26032.129712695</v>
      </c>
      <c r="R217" s="15" t="n">
        <f aca="false">Q217-$G$2+$I$2</f>
        <v>21964.329712695</v>
      </c>
      <c r="S217" s="42" t="n">
        <f aca="false">R217/$K$2</f>
        <v>168.74869170786</v>
      </c>
      <c r="T217" s="43" t="n">
        <f aca="false">S217-$M$2</f>
        <v>-7.88007288955902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0.015625</v>
      </c>
      <c r="C218" s="25" t="n">
        <f aca="false">IF(T217&gt;0,D217,C217)</f>
        <v>0.0625</v>
      </c>
      <c r="D218" s="41" t="n">
        <f aca="false">(B218+C218)/2</f>
        <v>0.0390625</v>
      </c>
      <c r="E218" s="15" t="n">
        <f aca="false">$C$2*(1+IF(E$3&lt;=$O$2,$D218,$D218-($D218-$I$211)*MIN(E$3-$O$2,$Q$2)/$Q$2))</f>
        <v>3262.65625</v>
      </c>
      <c r="F218" s="15" t="n">
        <f aca="false">E218*(1+IF(F$3&lt;=$O$2,$D218,$D218-($D218-$I$211)*MIN(F$3-$O$2,$Q$2)/$Q$2))</f>
        <v>3390.10375976563</v>
      </c>
      <c r="G218" s="15" t="n">
        <f aca="false">F218*(1+IF(G$3&lt;=$O$2,$D218,$D218-($D218-$I$211)*MIN(G$3-$O$2,$Q$2)/$Q$2))</f>
        <v>3522.52968788147</v>
      </c>
      <c r="H218" s="15" t="n">
        <f aca="false">G218*(1+IF(H$3&lt;=$O$2,$D218,$D218-($D218-$I$211)*MIN(H$3-$O$2,$Q$2)/$Q$2))</f>
        <v>3660.12850381434</v>
      </c>
      <c r="I218" s="15" t="n">
        <f aca="false">H218*(1+IF(I$3&lt;=$O$2,$D218,$D218-($D218-$I$211)*MIN(I$3-$O$2,$Q$2)/$Q$2))</f>
        <v>3803.10227349459</v>
      </c>
      <c r="J218" s="15" t="n">
        <f aca="false">I218*(1+IF(J$3&lt;=$O$2,$D218,$D218-($D218-$I$211)*MIN(J$3-$O$2,$Q$2)/$Q$2))</f>
        <v>3939.67167613578</v>
      </c>
      <c r="K218" s="15" t="n">
        <f aca="false">J218*(1+IF(K$3&lt;=$O$2,$D218,$D218-($D218-$I$211)*MIN(K$3-$O$2,$Q$2)/$Q$2))</f>
        <v>4068.7254710668</v>
      </c>
      <c r="L218" s="15" t="n">
        <f aca="false">K218*(1+IF(L$3&lt;=$O$2,$D218,$D218-($D218-$I$211)*MIN(L$3-$O$2,$Q$2)/$Q$2))</f>
        <v>4189.18008863773</v>
      </c>
      <c r="M218" s="15" t="n">
        <f aca="false">L218*(1+IF(M$3&lt;=$O$2,$D218,$D218-($D218-$I$211)*MIN(M$3-$O$2,$Q$2)/$Q$2))</f>
        <v>4299.99437493242</v>
      </c>
      <c r="N218" s="15" t="n">
        <f aca="false">M218*(1+IF(N$3&lt;=$O$2,$D218,$D218-($D218-$I$211)*MIN(N$3-$O$2,$Q$2)/$Q$2))</f>
        <v>4400.18424386834</v>
      </c>
      <c r="O218" s="15" t="n">
        <f aca="false">SUMPRODUCT(E218:N218,1/(1+$F$211)^$E$3:$N$3)*$E$2</f>
        <v>11676.6945541486</v>
      </c>
      <c r="P218" s="15" t="n">
        <f aca="false">N218*$E$2*(1+$I$211)/($F$211-$I$211)/(1+$F$211)^$N$3</f>
        <v>18184.4237774259</v>
      </c>
      <c r="Q218" s="15" t="n">
        <f aca="false">O218+P218</f>
        <v>29861.1183315745</v>
      </c>
      <c r="R218" s="15" t="n">
        <f aca="false">Q218-$G$2+$I$2</f>
        <v>25793.3183315745</v>
      </c>
      <c r="S218" s="42" t="n">
        <f aca="false">R218/$K$2</f>
        <v>198.166244096301</v>
      </c>
      <c r="T218" s="43" t="n">
        <f aca="false">S218-$M$2</f>
        <v>21.5374794988824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0.015625</v>
      </c>
      <c r="C219" s="25" t="n">
        <f aca="false">IF(T218&gt;0,D218,C218)</f>
        <v>0.0390625</v>
      </c>
      <c r="D219" s="41" t="n">
        <f aca="false">(B219+C219)/2</f>
        <v>0.02734375</v>
      </c>
      <c r="E219" s="15" t="n">
        <f aca="false">$C$2*(1+IF(E$3&lt;=$O$2,$D219,$D219-($D219-$I$211)*MIN(E$3-$O$2,$Q$2)/$Q$2))</f>
        <v>3225.859375</v>
      </c>
      <c r="F219" s="15" t="n">
        <f aca="false">E219*(1+IF(F$3&lt;=$O$2,$D219,$D219-($D219-$I$211)*MIN(F$3-$O$2,$Q$2)/$Q$2))</f>
        <v>3314.06646728516</v>
      </c>
      <c r="G219" s="15" t="n">
        <f aca="false">F219*(1+IF(G$3&lt;=$O$2,$D219,$D219-($D219-$I$211)*MIN(G$3-$O$2,$Q$2)/$Q$2))</f>
        <v>3404.68547224998</v>
      </c>
      <c r="H219" s="15" t="n">
        <f aca="false">G219*(1+IF(H$3&lt;=$O$2,$D219,$D219-($D219-$I$211)*MIN(H$3-$O$2,$Q$2)/$Q$2))</f>
        <v>3497.78234063182</v>
      </c>
      <c r="I219" s="15" t="n">
        <f aca="false">H219*(1+IF(I$3&lt;=$O$2,$D219,$D219-($D219-$I$211)*MIN(I$3-$O$2,$Q$2)/$Q$2))</f>
        <v>3593.42482650847</v>
      </c>
      <c r="J219" s="15" t="n">
        <f aca="false">I219*(1+IF(J$3&lt;=$O$2,$D219,$D219-($D219-$I$211)*MIN(J$3-$O$2,$Q$2)/$Q$2))</f>
        <v>3688.77635427987</v>
      </c>
      <c r="K219" s="15" t="n">
        <f aca="false">J219*(1+IF(K$3&lt;=$O$2,$D219,$D219-($D219-$I$211)*MIN(K$3-$O$2,$Q$2)/$Q$2))</f>
        <v>3783.67473696417</v>
      </c>
      <c r="L219" s="15" t="n">
        <f aca="false">K219*(1+IF(L$3&lt;=$O$2,$D219,$D219-($D219-$I$211)*MIN(L$3-$O$2,$Q$2)/$Q$2))</f>
        <v>3877.95445222247</v>
      </c>
      <c r="M219" s="15" t="n">
        <f aca="false">L219*(1+IF(M$3&lt;=$O$2,$D219,$D219-($D219-$I$211)*MIN(M$3-$O$2,$Q$2)/$Q$2))</f>
        <v>3971.44708662249</v>
      </c>
      <c r="N219" s="15" t="n">
        <f aca="false">M219*(1+IF(N$3&lt;=$O$2,$D219,$D219-($D219-$I$211)*MIN(N$3-$O$2,$Q$2)/$Q$2))</f>
        <v>4063.98180374079</v>
      </c>
      <c r="O219" s="15" t="n">
        <f aca="false">SUMPRODUCT(E219:N219,1/(1+$F$211)^$E$3:$N$3)*$E$2</f>
        <v>11089.8727442626</v>
      </c>
      <c r="P219" s="15" t="n">
        <f aca="false">N219*$E$2*(1+$I$211)/($F$211-$I$211)/(1+$F$211)^$N$3</f>
        <v>16795.0165827605</v>
      </c>
      <c r="Q219" s="15" t="n">
        <f aca="false">O219+P219</f>
        <v>27884.8893270231</v>
      </c>
      <c r="R219" s="15" t="n">
        <f aca="false">Q219-$G$2+$I$2</f>
        <v>23817.0893270231</v>
      </c>
      <c r="S219" s="42" t="n">
        <f aca="false">R219/$K$2</f>
        <v>182.983169384013</v>
      </c>
      <c r="T219" s="43" t="n">
        <f aca="false">S219-$M$2</f>
        <v>6.35440478659425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0.015625</v>
      </c>
      <c r="C220" s="25" t="n">
        <f aca="false">IF(T219&gt;0,D219,C219)</f>
        <v>0.02734375</v>
      </c>
      <c r="D220" s="41" t="n">
        <f aca="false">(B220+C220)/2</f>
        <v>0.021484375</v>
      </c>
      <c r="E220" s="15" t="n">
        <f aca="false">$C$2*(1+IF(E$3&lt;=$O$2,$D220,$D220-($D220-$I$211)*MIN(E$3-$O$2,$Q$2)/$Q$2))</f>
        <v>3207.4609375</v>
      </c>
      <c r="F220" s="15" t="n">
        <f aca="false">E220*(1+IF(F$3&lt;=$O$2,$D220,$D220-($D220-$I$211)*MIN(F$3-$O$2,$Q$2)/$Q$2))</f>
        <v>3276.3712310791</v>
      </c>
      <c r="G220" s="15" t="n">
        <f aca="false">F220*(1+IF(G$3&lt;=$O$2,$D220,$D220-($D220-$I$211)*MIN(G$3-$O$2,$Q$2)/$Q$2))</f>
        <v>3346.76201924682</v>
      </c>
      <c r="H220" s="15" t="n">
        <f aca="false">G220*(1+IF(H$3&lt;=$O$2,$D220,$D220-($D220-$I$211)*MIN(H$3-$O$2,$Q$2)/$Q$2))</f>
        <v>3418.66510950407</v>
      </c>
      <c r="I220" s="15" t="n">
        <f aca="false">H220*(1+IF(I$3&lt;=$O$2,$D220,$D220-($D220-$I$211)*MIN(I$3-$O$2,$Q$2)/$Q$2))</f>
        <v>3492.11299271607</v>
      </c>
      <c r="J220" s="15" t="n">
        <f aca="false">I220*(1+IF(J$3&lt;=$O$2,$D220,$D220-($D220-$I$211)*MIN(J$3-$O$2,$Q$2)/$Q$2))</f>
        <v>3568.40693132444</v>
      </c>
      <c r="K220" s="15" t="n">
        <f aca="false">J220*(1+IF(K$3&lt;=$O$2,$D220,$D220-($D220-$I$211)*MIN(K$3-$O$2,$Q$2)/$Q$2))</f>
        <v>3647.66347952349</v>
      </c>
      <c r="L220" s="15" t="n">
        <f aca="false">K220*(1+IF(L$3&lt;=$O$2,$D220,$D220-($D220-$I$211)*MIN(L$3-$O$2,$Q$2)/$Q$2))</f>
        <v>3730.00492299438</v>
      </c>
      <c r="M220" s="15" t="n">
        <f aca="false">L220*(1+IF(M$3&lt;=$O$2,$D220,$D220-($D220-$I$211)*MIN(M$3-$O$2,$Q$2)/$Q$2))</f>
        <v>3815.55957966249</v>
      </c>
      <c r="N220" s="15" t="n">
        <f aca="false">M220*(1+IF(N$3&lt;=$O$2,$D220,$D220-($D220-$I$211)*MIN(N$3-$O$2,$Q$2)/$Q$2))</f>
        <v>3904.46211786862</v>
      </c>
      <c r="O220" s="15" t="n">
        <f aca="false">SUMPRODUCT(E220:N220,1/(1+$F$211)^$E$3:$N$3)*$E$2</f>
        <v>10807.7371255261</v>
      </c>
      <c r="P220" s="15" t="n">
        <f aca="false">N220*$E$2*(1+$I$211)/($F$211-$I$211)/(1+$F$211)^$N$3</f>
        <v>16135.7774673113</v>
      </c>
      <c r="Q220" s="15" t="n">
        <f aca="false">O220+P220</f>
        <v>26943.5145928374</v>
      </c>
      <c r="R220" s="15" t="n">
        <f aca="false">Q220-$G$2+$I$2</f>
        <v>22875.7145928374</v>
      </c>
      <c r="S220" s="42" t="n">
        <f aca="false">R220/$K$2</f>
        <v>175.750726742758</v>
      </c>
      <c r="T220" s="43" t="n">
        <f aca="false">S220-$M$2</f>
        <v>-0.878037854660249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0.021484375</v>
      </c>
      <c r="C221" s="25" t="n">
        <f aca="false">IF(T220&gt;0,D220,C220)</f>
        <v>0.02734375</v>
      </c>
      <c r="D221" s="41" t="n">
        <f aca="false">(B221+C221)/2</f>
        <v>0.0244140625</v>
      </c>
      <c r="E221" s="15" t="n">
        <f aca="false">$C$2*(1+IF(E$3&lt;=$O$2,$D221,$D221-($D221-$I$211)*MIN(E$3-$O$2,$Q$2)/$Q$2))</f>
        <v>3216.66015625</v>
      </c>
      <c r="F221" s="15" t="n">
        <f aca="false">E221*(1+IF(F$3&lt;=$O$2,$D221,$D221-($D221-$I$211)*MIN(F$3-$O$2,$Q$2)/$Q$2))</f>
        <v>3295.19189834595</v>
      </c>
      <c r="G221" s="15" t="n">
        <f aca="false">F221*(1+IF(G$3&lt;=$O$2,$D221,$D221-($D221-$I$211)*MIN(G$3-$O$2,$Q$2)/$Q$2))</f>
        <v>3375.64091930166</v>
      </c>
      <c r="H221" s="15" t="n">
        <f aca="false">G221*(1+IF(H$3&lt;=$O$2,$D221,$D221-($D221-$I$211)*MIN(H$3-$O$2,$Q$2)/$Q$2))</f>
        <v>3458.05402768305</v>
      </c>
      <c r="I221" s="15" t="n">
        <f aca="false">H221*(1+IF(I$3&lt;=$O$2,$D221,$D221-($D221-$I$211)*MIN(I$3-$O$2,$Q$2)/$Q$2))</f>
        <v>3542.47917484328</v>
      </c>
      <c r="J221" s="15" t="n">
        <f aca="false">I221*(1+IF(J$3&lt;=$O$2,$D221,$D221-($D221-$I$211)*MIN(J$3-$O$2,$Q$2)/$Q$2))</f>
        <v>3628.17617418171</v>
      </c>
      <c r="K221" s="15" t="n">
        <f aca="false">J221*(1+IF(K$3&lt;=$O$2,$D221,$D221-($D221-$I$211)*MIN(K$3-$O$2,$Q$2)/$Q$2))</f>
        <v>3715.13788805157</v>
      </c>
      <c r="L221" s="15" t="n">
        <f aca="false">K221*(1+IF(L$3&lt;=$O$2,$D221,$D221-($D221-$I$211)*MIN(L$3-$O$2,$Q$2)/$Q$2))</f>
        <v>3803.35615916453</v>
      </c>
      <c r="M221" s="15" t="n">
        <f aca="false">L221*(1+IF(M$3&lt;=$O$2,$D221,$D221-($D221-$I$211)*MIN(M$3-$O$2,$Q$2)/$Q$2))</f>
        <v>3892.82179296728</v>
      </c>
      <c r="N221" s="15" t="n">
        <f aca="false">M221*(1+IF(N$3&lt;=$O$2,$D221,$D221-($D221-$I$211)*MIN(N$3-$O$2,$Q$2)/$Q$2))</f>
        <v>3983.52454074342</v>
      </c>
      <c r="O221" s="15" t="n">
        <f aca="false">SUMPRODUCT(E221:N221,1/(1+$F$211)^$E$3:$N$3)*$E$2</f>
        <v>10947.8843853178</v>
      </c>
      <c r="P221" s="15" t="n">
        <f aca="false">N221*$E$2*(1+$I$211)/($F$211-$I$211)/(1+$F$211)^$N$3</f>
        <v>16462.5148316453</v>
      </c>
      <c r="Q221" s="15" t="n">
        <f aca="false">O221+P221</f>
        <v>27410.399216963</v>
      </c>
      <c r="R221" s="15" t="n">
        <f aca="false">Q221-$G$2+$I$2</f>
        <v>23342.599216963</v>
      </c>
      <c r="S221" s="42" t="n">
        <f aca="false">R221/$K$2</f>
        <v>179.337732152451</v>
      </c>
      <c r="T221" s="43" t="n">
        <f aca="false">S221-$M$2</f>
        <v>2.70896755503259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0.021484375</v>
      </c>
      <c r="C222" s="25" t="n">
        <f aca="false">IF(T221&gt;0,D221,C221)</f>
        <v>0.0244140625</v>
      </c>
      <c r="D222" s="41" t="n">
        <f aca="false">(B222+C222)/2</f>
        <v>0.02294921875</v>
      </c>
      <c r="E222" s="15" t="n">
        <f aca="false">$C$2*(1+IF(E$3&lt;=$O$2,$D222,$D222-($D222-$I$211)*MIN(E$3-$O$2,$Q$2)/$Q$2))</f>
        <v>3212.060546875</v>
      </c>
      <c r="F222" s="15" t="n">
        <f aca="false">E222*(1+IF(F$3&lt;=$O$2,$D222,$D222-($D222-$I$211)*MIN(F$3-$O$2,$Q$2)/$Q$2))</f>
        <v>3285.77482700348</v>
      </c>
      <c r="G222" s="15" t="n">
        <f aca="false">F222*(1+IF(G$3&lt;=$O$2,$D222,$D222-($D222-$I$211)*MIN(G$3-$O$2,$Q$2)/$Q$2))</f>
        <v>3361.18079227163</v>
      </c>
      <c r="H222" s="15" t="n">
        <f aca="false">G222*(1+IF(H$3&lt;=$O$2,$D222,$D222-($D222-$I$211)*MIN(H$3-$O$2,$Q$2)/$Q$2))</f>
        <v>3438.31726553177</v>
      </c>
      <c r="I222" s="15" t="n">
        <f aca="false">H222*(1+IF(I$3&lt;=$O$2,$D222,$D222-($D222-$I$211)*MIN(I$3-$O$2,$Q$2)/$Q$2))</f>
        <v>3517.22396059036</v>
      </c>
      <c r="J222" s="15" t="n">
        <f aca="false">I222*(1+IF(J$3&lt;=$O$2,$D222,$D222-($D222-$I$211)*MIN(J$3-$O$2,$Q$2)/$Q$2))</f>
        <v>3598.18825789817</v>
      </c>
      <c r="K222" s="15" t="n">
        <f aca="false">J222*(1+IF(K$3&lt;=$O$2,$D222,$D222-($D222-$I$211)*MIN(K$3-$O$2,$Q$2)/$Q$2))</f>
        <v>3681.26873812229</v>
      </c>
      <c r="L222" s="15" t="n">
        <f aca="false">K222*(1+IF(L$3&lt;=$O$2,$D222,$D222-($D222-$I$211)*MIN(L$3-$O$2,$Q$2)/$Q$2))</f>
        <v>3766.52577170072</v>
      </c>
      <c r="M222" s="15" t="n">
        <f aca="false">L222*(1+IF(M$3&lt;=$O$2,$D222,$D222-($D222-$I$211)*MIN(M$3-$O$2,$Q$2)/$Q$2))</f>
        <v>3854.02157685768</v>
      </c>
      <c r="N222" s="15" t="n">
        <f aca="false">M222*(1+IF(N$3&lt;=$O$2,$D222,$D222-($D222-$I$211)*MIN(N$3-$O$2,$Q$2)/$Q$2))</f>
        <v>3943.82027959846</v>
      </c>
      <c r="O222" s="15" t="n">
        <f aca="false">SUMPRODUCT(E222:N222,1/(1+$F$211)^$E$3:$N$3)*$E$2</f>
        <v>10877.5820264901</v>
      </c>
      <c r="P222" s="15" t="n">
        <f aca="false">N222*$E$2*(1+$I$211)/($F$211-$I$211)/(1+$F$211)^$N$3</f>
        <v>16298.4309955115</v>
      </c>
      <c r="Q222" s="15" t="n">
        <f aca="false">O222+P222</f>
        <v>27176.0130220016</v>
      </c>
      <c r="R222" s="15" t="n">
        <f aca="false">Q222-$G$2+$I$2</f>
        <v>23108.2130220016</v>
      </c>
      <c r="S222" s="42" t="n">
        <f aca="false">R222/$K$2</f>
        <v>177.536977735107</v>
      </c>
      <c r="T222" s="43" t="n">
        <f aca="false">S222-$M$2</f>
        <v>0.90821313768862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0.021484375</v>
      </c>
      <c r="C223" s="25" t="n">
        <f aca="false">IF(T222&gt;0,D222,C222)</f>
        <v>0.02294921875</v>
      </c>
      <c r="D223" s="41" t="n">
        <f aca="false">(B223+C223)/2</f>
        <v>0.022216796875</v>
      </c>
      <c r="E223" s="15" t="n">
        <f aca="false">$C$2*(1+IF(E$3&lt;=$O$2,$D223,$D223-($D223-$I$211)*MIN(E$3-$O$2,$Q$2)/$Q$2))</f>
        <v>3209.7607421875</v>
      </c>
      <c r="F223" s="15" t="n">
        <f aca="false">E223*(1+IF(F$3&lt;=$O$2,$D223,$D223-($D223-$I$211)*MIN(F$3-$O$2,$Q$2)/$Q$2))</f>
        <v>3281.07134461403</v>
      </c>
      <c r="G223" s="15" t="n">
        <f aca="false">F223*(1+IF(G$3&lt;=$O$2,$D223,$D223-($D223-$I$211)*MIN(G$3-$O$2,$Q$2)/$Q$2))</f>
        <v>3353.9662402097</v>
      </c>
      <c r="H223" s="15" t="n">
        <f aca="false">G223*(1+IF(H$3&lt;=$O$2,$D223,$D223-($D223-$I$211)*MIN(H$3-$O$2,$Q$2)/$Q$2))</f>
        <v>3428.48062689405</v>
      </c>
      <c r="I223" s="15" t="n">
        <f aca="false">H223*(1+IF(I$3&lt;=$O$2,$D223,$D223-($D223-$I$211)*MIN(I$3-$O$2,$Q$2)/$Q$2))</f>
        <v>3504.65048457163</v>
      </c>
      <c r="J223" s="15" t="n">
        <f aca="false">I223*(1+IF(J$3&lt;=$O$2,$D223,$D223-($D223-$I$211)*MIN(J$3-$O$2,$Q$2)/$Q$2))</f>
        <v>3583.27184217661</v>
      </c>
      <c r="K223" s="15" t="n">
        <f aca="false">J223*(1+IF(K$3&lt;=$O$2,$D223,$D223-($D223-$I$211)*MIN(K$3-$O$2,$Q$2)/$Q$2))</f>
        <v>3664.43322934502</v>
      </c>
      <c r="L223" s="15" t="n">
        <f aca="false">K223*(1+IF(L$3&lt;=$O$2,$D223,$D223-($D223-$I$211)*MIN(L$3-$O$2,$Q$2)/$Q$2))</f>
        <v>3748.22679337861</v>
      </c>
      <c r="M223" s="15" t="n">
        <f aca="false">L223*(1+IF(M$3&lt;=$O$2,$D223,$D223-($D223-$I$211)*MIN(M$3-$O$2,$Q$2)/$Q$2))</f>
        <v>3834.74845946917</v>
      </c>
      <c r="N223" s="15" t="n">
        <f aca="false">M223*(1+IF(N$3&lt;=$O$2,$D223,$D223-($D223-$I$211)*MIN(N$3-$O$2,$Q$2)/$Q$2))</f>
        <v>3924.0980985748</v>
      </c>
      <c r="O223" s="15" t="n">
        <f aca="false">SUMPRODUCT(E223:N223,1/(1+$F$211)^$E$3:$N$3)*$E$2</f>
        <v>10842.6025690117</v>
      </c>
      <c r="P223" s="15" t="n">
        <f aca="false">N223*$E$2*(1+$I$211)/($F$211-$I$211)/(1+$F$211)^$N$3</f>
        <v>16216.9261135172</v>
      </c>
      <c r="Q223" s="15" t="n">
        <f aca="false">O223+P223</f>
        <v>27059.5286825289</v>
      </c>
      <c r="R223" s="15" t="n">
        <f aca="false">Q223-$G$2+$I$2</f>
        <v>22991.7286825289</v>
      </c>
      <c r="S223" s="42" t="n">
        <f aca="false">R223/$K$2</f>
        <v>176.642045809227</v>
      </c>
      <c r="T223" s="43" t="n">
        <f aca="false">S223-$M$2</f>
        <v>0.0132812118079926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0.021484375</v>
      </c>
      <c r="C224" s="25" t="n">
        <f aca="false">IF(T223&gt;0,D223,C223)</f>
        <v>0.022216796875</v>
      </c>
      <c r="D224" s="41" t="n">
        <f aca="false">(B224+C224)/2</f>
        <v>0.0218505859375</v>
      </c>
      <c r="E224" s="15" t="n">
        <f aca="false">$C$2*(1+IF(E$3&lt;=$O$2,$D224,$D224-($D224-$I$211)*MIN(E$3-$O$2,$Q$2)/$Q$2))</f>
        <v>3208.61083984375</v>
      </c>
      <c r="F224" s="15" t="n">
        <f aca="false">E224*(1+IF(F$3&lt;=$O$2,$D224,$D224-($D224-$I$211)*MIN(F$3-$O$2,$Q$2)/$Q$2))</f>
        <v>3278.72086673975</v>
      </c>
      <c r="G224" s="15" t="n">
        <f aca="false">F224*(1+IF(G$3&lt;=$O$2,$D224,$D224-($D224-$I$211)*MIN(G$3-$O$2,$Q$2)/$Q$2))</f>
        <v>3350.36283880352</v>
      </c>
      <c r="H224" s="15" t="n">
        <f aca="false">G224*(1+IF(H$3&lt;=$O$2,$D224,$D224-($D224-$I$211)*MIN(H$3-$O$2,$Q$2)/$Q$2))</f>
        <v>3423.5702299346</v>
      </c>
      <c r="I224" s="15" t="n">
        <f aca="false">H224*(1+IF(I$3&lt;=$O$2,$D224,$D224-($D224-$I$211)*MIN(I$3-$O$2,$Q$2)/$Q$2))</f>
        <v>3498.37724545686</v>
      </c>
      <c r="J224" s="15" t="n">
        <f aca="false">I224*(1+IF(J$3&lt;=$O$2,$D224,$D224-($D224-$I$211)*MIN(J$3-$O$2,$Q$2)/$Q$2))</f>
        <v>3575.83295753561</v>
      </c>
      <c r="K224" s="15" t="n">
        <f aca="false">J224*(1+IF(K$3&lt;=$O$2,$D224,$D224-($D224-$I$211)*MIN(K$3-$O$2,$Q$2)/$Q$2))</f>
        <v>3656.0401479019</v>
      </c>
      <c r="L224" s="15" t="n">
        <f aca="false">K224*(1+IF(L$3&lt;=$O$2,$D224,$D224-($D224-$I$211)*MIN(L$3-$O$2,$Q$2)/$Q$2))</f>
        <v>3739.10623694664</v>
      </c>
      <c r="M224" s="15" t="n">
        <f aca="false">L224*(1+IF(M$3&lt;=$O$2,$D224,$D224-($D224-$I$211)*MIN(M$3-$O$2,$Q$2)/$Q$2))</f>
        <v>3825.1435096353</v>
      </c>
      <c r="N224" s="15" t="n">
        <f aca="false">M224*(1+IF(N$3&lt;=$O$2,$D224,$D224-($D224-$I$211)*MIN(N$3-$O$2,$Q$2)/$Q$2))</f>
        <v>3914.2693534098</v>
      </c>
      <c r="O224" s="15" t="n">
        <f aca="false">SUMPRODUCT(E224:N224,1/(1+$F$211)^$E$3:$N$3)*$E$2</f>
        <v>10825.1556173732</v>
      </c>
      <c r="P224" s="15" t="n">
        <f aca="false">N224*$E$2*(1+$I$211)/($F$211-$I$211)/(1+$F$211)^$N$3</f>
        <v>16176.307344535</v>
      </c>
      <c r="Q224" s="15" t="n">
        <f aca="false">O224+P224</f>
        <v>27001.4629619083</v>
      </c>
      <c r="R224" s="15" t="n">
        <f aca="false">Q224-$G$2+$I$2</f>
        <v>22933.6629619083</v>
      </c>
      <c r="S224" s="42" t="n">
        <f aca="false">R224/$K$2</f>
        <v>176.195935478705</v>
      </c>
      <c r="T224" s="43" t="n">
        <f aca="false">S224-$M$2</f>
        <v>-0.432829118713386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0.0218505859375</v>
      </c>
      <c r="C225" s="25" t="n">
        <f aca="false">IF(T224&gt;0,D224,C224)</f>
        <v>0.022216796875</v>
      </c>
      <c r="D225" s="41" t="n">
        <f aca="false">(B225+C225)/2</f>
        <v>0.02203369140625</v>
      </c>
      <c r="E225" s="15" t="n">
        <f aca="false">$C$2*(1+IF(E$3&lt;=$O$2,$D225,$D225-($D225-$I$211)*MIN(E$3-$O$2,$Q$2)/$Q$2))</f>
        <v>3209.18579101563</v>
      </c>
      <c r="F225" s="15" t="n">
        <f aca="false">E225*(1+IF(F$3&lt;=$O$2,$D225,$D225-($D225-$I$211)*MIN(F$3-$O$2,$Q$2)/$Q$2))</f>
        <v>3279.89600040019</v>
      </c>
      <c r="G225" s="15" t="n">
        <f aca="false">F225*(1+IF(G$3&lt;=$O$2,$D225,$D225-($D225-$I$211)*MIN(G$3-$O$2,$Q$2)/$Q$2))</f>
        <v>3352.1642167176</v>
      </c>
      <c r="H225" s="15" t="n">
        <f aca="false">G225*(1+IF(H$3&lt;=$O$2,$D225,$D225-($D225-$I$211)*MIN(H$3-$O$2,$Q$2)/$Q$2))</f>
        <v>3426.02476861183</v>
      </c>
      <c r="I225" s="15" t="n">
        <f aca="false">H225*(1+IF(I$3&lt;=$O$2,$D225,$D225-($D225-$I$211)*MIN(I$3-$O$2,$Q$2)/$Q$2))</f>
        <v>3501.51274111359</v>
      </c>
      <c r="J225" s="15" t="n">
        <f aca="false">I225*(1+IF(J$3&lt;=$O$2,$D225,$D225-($D225-$I$211)*MIN(J$3-$O$2,$Q$2)/$Q$2))</f>
        <v>3579.55079144138</v>
      </c>
      <c r="K225" s="15" t="n">
        <f aca="false">J225*(1+IF(K$3&lt;=$O$2,$D225,$D225-($D225-$I$211)*MIN(K$3-$O$2,$Q$2)/$Q$2))</f>
        <v>3660.23463532458</v>
      </c>
      <c r="L225" s="15" t="n">
        <f aca="false">K225*(1+IF(L$3&lt;=$O$2,$D225,$D225-($D225-$I$211)*MIN(L$3-$O$2,$Q$2)/$Q$2))</f>
        <v>3743.6641076981</v>
      </c>
      <c r="M225" s="15" t="n">
        <f aca="false">L225*(1+IF(M$3&lt;=$O$2,$D225,$D225-($D225-$I$211)*MIN(M$3-$O$2,$Q$2)/$Q$2))</f>
        <v>3829.94335460113</v>
      </c>
      <c r="N225" s="15" t="n">
        <f aca="false">M225*(1+IF(N$3&lt;=$O$2,$D225,$D225-($D225-$I$211)*MIN(N$3-$O$2,$Q$2)/$Q$2))</f>
        <v>3919.18103476334</v>
      </c>
      <c r="O225" s="15" t="n">
        <f aca="false">SUMPRODUCT(E225:N225,1/(1+$F$211)^$E$3:$N$3)*$E$2</f>
        <v>10833.8755329892</v>
      </c>
      <c r="P225" s="15" t="n">
        <f aca="false">N225*$E$2*(1+$I$211)/($F$211-$I$211)/(1+$F$211)^$N$3</f>
        <v>16196.6056071173</v>
      </c>
      <c r="Q225" s="15" t="n">
        <f aca="false">O225+P225</f>
        <v>27030.4811401065</v>
      </c>
      <c r="R225" s="15" t="n">
        <f aca="false">Q225-$G$2+$I$2</f>
        <v>22962.6811401065</v>
      </c>
      <c r="S225" s="42" t="n">
        <f aca="false">R225/$K$2</f>
        <v>176.418877843473</v>
      </c>
      <c r="T225" s="43" t="n">
        <f aca="false">S225-$M$2</f>
        <v>-0.209886753945455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0.02203369140625</v>
      </c>
      <c r="C226" s="25" t="n">
        <f aca="false">IF(T225&gt;0,D225,C225)</f>
        <v>0.022216796875</v>
      </c>
      <c r="D226" s="41" t="n">
        <f aca="false">(B226+C226)/2</f>
        <v>0.022125244140625</v>
      </c>
      <c r="E226" s="15" t="n">
        <f aca="false">$C$2*(1+IF(E$3&lt;=$O$2,$D226,$D226-($D226-$I$211)*MIN(E$3-$O$2,$Q$2)/$Q$2))</f>
        <v>3209.47326660156</v>
      </c>
      <c r="F226" s="15" t="n">
        <f aca="false">E226*(1+IF(F$3&lt;=$O$2,$D226,$D226-($D226-$I$211)*MIN(F$3-$O$2,$Q$2)/$Q$2))</f>
        <v>3280.48364618793</v>
      </c>
      <c r="G226" s="15" t="n">
        <f aca="false">F226*(1+IF(G$3&lt;=$O$2,$D226,$D226-($D226-$I$211)*MIN(G$3-$O$2,$Q$2)/$Q$2))</f>
        <v>3353.06514775917</v>
      </c>
      <c r="H226" s="15" t="n">
        <f aca="false">G226*(1+IF(H$3&lt;=$O$2,$D226,$D226-($D226-$I$211)*MIN(H$3-$O$2,$Q$2)/$Q$2))</f>
        <v>3427.25253277276</v>
      </c>
      <c r="I226" s="15" t="n">
        <f aca="false">H226*(1+IF(I$3&lt;=$O$2,$D226,$D226-($D226-$I$211)*MIN(I$3-$O$2,$Q$2)/$Q$2))</f>
        <v>3503.08133179193</v>
      </c>
      <c r="J226" s="15" t="n">
        <f aca="false">I226*(1+IF(J$3&lt;=$O$2,$D226,$D226-($D226-$I$211)*MIN(J$3-$O$2,$Q$2)/$Q$2))</f>
        <v>3581.41091456637</v>
      </c>
      <c r="K226" s="15" t="n">
        <f aca="false">J226*(1+IF(K$3&lt;=$O$2,$D226,$D226-($D226-$I$211)*MIN(K$3-$O$2,$Q$2)/$Q$2))</f>
        <v>3662.33341880174</v>
      </c>
      <c r="L226" s="15" t="n">
        <f aca="false">K226*(1+IF(L$3&lt;=$O$2,$D226,$D226-($D226-$I$211)*MIN(L$3-$O$2,$Q$2)/$Q$2))</f>
        <v>3745.94484840273</v>
      </c>
      <c r="M226" s="15" t="n">
        <f aca="false">L226*(1+IF(M$3&lt;=$O$2,$D226,$D226-($D226-$I$211)*MIN(M$3-$O$2,$Q$2)/$Q$2))</f>
        <v>3832.3452492386</v>
      </c>
      <c r="N226" s="15" t="n">
        <f aca="false">M226*(1+IF(N$3&lt;=$O$2,$D226,$D226-($D226-$I$211)*MIN(N$3-$O$2,$Q$2)/$Q$2))</f>
        <v>3921.63889354586</v>
      </c>
      <c r="O226" s="15" t="n">
        <f aca="false">SUMPRODUCT(E226:N226,1/(1+$F$211)^$E$3:$N$3)*$E$2</f>
        <v>10838.2381606082</v>
      </c>
      <c r="P226" s="15" t="n">
        <f aca="false">N226*$E$2*(1+$I$211)/($F$211-$I$211)/(1+$F$211)^$N$3</f>
        <v>16206.7630785343</v>
      </c>
      <c r="Q226" s="15" t="n">
        <f aca="false">O226+P226</f>
        <v>27045.0012391425</v>
      </c>
      <c r="R226" s="15" t="n">
        <f aca="false">Q226-$G$2+$I$2</f>
        <v>22977.2012391425</v>
      </c>
      <c r="S226" s="42" t="n">
        <f aca="false">R226/$K$2</f>
        <v>176.530433613572</v>
      </c>
      <c r="T226" s="43" t="n">
        <f aca="false">S226-$M$2</f>
        <v>-0.0983309838467221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0.022125244140625</v>
      </c>
      <c r="C227" s="25" t="n">
        <f aca="false">IF(T226&gt;0,D226,C226)</f>
        <v>0.022216796875</v>
      </c>
      <c r="D227" s="41" t="n">
        <f aca="false">(B227+C227)/2</f>
        <v>0.0221710205078125</v>
      </c>
      <c r="E227" s="15" t="n">
        <f aca="false">$C$2*(1+IF(E$3&lt;=$O$2,$D227,$D227-($D227-$I$211)*MIN(E$3-$O$2,$Q$2)/$Q$2))</f>
        <v>3209.61700439453</v>
      </c>
      <c r="F227" s="15" t="n">
        <f aca="false">E227*(1+IF(F$3&lt;=$O$2,$D227,$D227-($D227-$I$211)*MIN(F$3-$O$2,$Q$2)/$Q$2))</f>
        <v>3280.77748882119</v>
      </c>
      <c r="G227" s="15" t="n">
        <f aca="false">F227*(1+IF(G$3&lt;=$O$2,$D227,$D227-($D227-$I$211)*MIN(G$3-$O$2,$Q$2)/$Q$2))</f>
        <v>3353.51567380741</v>
      </c>
      <c r="H227" s="15" t="n">
        <f aca="false">G227*(1+IF(H$3&lt;=$O$2,$D227,$D227-($D227-$I$211)*MIN(H$3-$O$2,$Q$2)/$Q$2))</f>
        <v>3427.86653858467</v>
      </c>
      <c r="I227" s="15" t="n">
        <f aca="false">H227*(1+IF(I$3&lt;=$O$2,$D227,$D227-($D227-$I$211)*MIN(I$3-$O$2,$Q$2)/$Q$2))</f>
        <v>3503.86583790967</v>
      </c>
      <c r="J227" s="15" t="n">
        <f aca="false">I227*(1+IF(J$3&lt;=$O$2,$D227,$D227-($D227-$I$211)*MIN(J$3-$O$2,$Q$2)/$Q$2))</f>
        <v>3582.34127779346</v>
      </c>
      <c r="K227" s="15" t="n">
        <f aca="false">J227*(1+IF(K$3&lt;=$O$2,$D227,$D227-($D227-$I$211)*MIN(K$3-$O$2,$Q$2)/$Q$2))</f>
        <v>3663.38319566406</v>
      </c>
      <c r="L227" s="15" t="n">
        <f aca="false">K227*(1+IF(L$3&lt;=$O$2,$D227,$D227-($D227-$I$211)*MIN(L$3-$O$2,$Q$2)/$Q$2))</f>
        <v>3747.08567032307</v>
      </c>
      <c r="M227" s="15" t="n">
        <f aca="false">L227*(1+IF(M$3&lt;=$O$2,$D227,$D227-($D227-$I$211)*MIN(M$3-$O$2,$Q$2)/$Q$2))</f>
        <v>3833.54668986614</v>
      </c>
      <c r="N227" s="15" t="n">
        <f aca="false">M227*(1+IF(N$3&lt;=$O$2,$D227,$D227-($D227-$I$211)*MIN(N$3-$O$2,$Q$2)/$Q$2))</f>
        <v>3922.86832774002</v>
      </c>
      <c r="O227" s="15" t="n">
        <f aca="false">SUMPRODUCT(E227:N227,1/(1+$F$211)^$E$3:$N$3)*$E$2</f>
        <v>10840.4201421692</v>
      </c>
      <c r="P227" s="15" t="n">
        <f aca="false">N227*$E$2*(1+$I$211)/($F$211-$I$211)/(1+$F$211)^$N$3</f>
        <v>16211.8439004167</v>
      </c>
      <c r="Q227" s="15" t="n">
        <f aca="false">O227+P227</f>
        <v>27052.264042586</v>
      </c>
      <c r="R227" s="15" t="n">
        <f aca="false">Q227-$G$2+$I$2</f>
        <v>22984.464042586</v>
      </c>
      <c r="S227" s="42" t="n">
        <f aca="false">R227/$K$2</f>
        <v>176.586232656622</v>
      </c>
      <c r="T227" s="43" t="n">
        <f aca="false">S227-$M$2</f>
        <v>-0.0425319407962093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0.0221710205078125</v>
      </c>
      <c r="C228" s="25" t="n">
        <f aca="false">IF(T227&gt;0,D227,C227)</f>
        <v>0.022216796875</v>
      </c>
      <c r="D228" s="41" t="n">
        <f aca="false">(B228+C228)/2</f>
        <v>0.0221939086914063</v>
      </c>
      <c r="E228" s="15" t="n">
        <f aca="false">$C$2*(1+IF(E$3&lt;=$O$2,$D228,$D228-($D228-$I$211)*MIN(E$3-$O$2,$Q$2)/$Q$2))</f>
        <v>3209.68887329102</v>
      </c>
      <c r="F228" s="15" t="n">
        <f aca="false">E228*(1+IF(F$3&lt;=$O$2,$D228,$D228-($D228-$I$211)*MIN(F$3-$O$2,$Q$2)/$Q$2))</f>
        <v>3280.92441507266</v>
      </c>
      <c r="G228" s="15" t="n">
        <f aca="false">F228*(1+IF(G$3&lt;=$O$2,$D228,$D228-($D228-$I$211)*MIN(G$3-$O$2,$Q$2)/$Q$2))</f>
        <v>3353.74095196419</v>
      </c>
      <c r="H228" s="15" t="n">
        <f aca="false">G228*(1+IF(H$3&lt;=$O$2,$D228,$D228-($D228-$I$211)*MIN(H$3-$O$2,$Q$2)/$Q$2))</f>
        <v>3428.17357242671</v>
      </c>
      <c r="I228" s="15" t="n">
        <f aca="false">H228*(1+IF(I$3&lt;=$O$2,$D228,$D228-($D228-$I$211)*MIN(I$3-$O$2,$Q$2)/$Q$2))</f>
        <v>3504.25814367144</v>
      </c>
      <c r="J228" s="15" t="n">
        <f aca="false">I228*(1+IF(J$3&lt;=$O$2,$D228,$D228-($D228-$I$211)*MIN(J$3-$O$2,$Q$2)/$Q$2))</f>
        <v>3582.80653483836</v>
      </c>
      <c r="K228" s="15" t="n">
        <f aca="false">J228*(1+IF(K$3&lt;=$O$2,$D228,$D228-($D228-$I$211)*MIN(K$3-$O$2,$Q$2)/$Q$2))</f>
        <v>3663.90818039896</v>
      </c>
      <c r="L228" s="15" t="n">
        <f aca="false">K228*(1+IF(L$3&lt;=$O$2,$D228,$D228-($D228-$I$211)*MIN(L$3-$O$2,$Q$2)/$Q$2))</f>
        <v>3747.65619420472</v>
      </c>
      <c r="M228" s="15" t="n">
        <f aca="false">L228*(1+IF(M$3&lt;=$O$2,$D228,$D228-($D228-$I$211)*MIN(M$3-$O$2,$Q$2)/$Q$2))</f>
        <v>3834.14753354089</v>
      </c>
      <c r="N228" s="15" t="n">
        <f aca="false">M228*(1+IF(N$3&lt;=$O$2,$D228,$D228-($D228-$I$211)*MIN(N$3-$O$2,$Q$2)/$Q$2))</f>
        <v>3923.48317107239</v>
      </c>
      <c r="O228" s="15" t="n">
        <f aca="false">SUMPRODUCT(E228:N228,1/(1+$F$211)^$E$3:$N$3)*$E$2</f>
        <v>10841.511299925</v>
      </c>
      <c r="P228" s="15" t="n">
        <f aca="false">N228*$E$2*(1+$I$211)/($F$211-$I$211)/(1+$F$211)^$N$3</f>
        <v>16214.3848330443</v>
      </c>
      <c r="Q228" s="15" t="n">
        <f aca="false">O228+P228</f>
        <v>27055.8961329693</v>
      </c>
      <c r="R228" s="15" t="n">
        <f aca="false">Q228-$G$2+$I$2</f>
        <v>22988.0961329693</v>
      </c>
      <c r="S228" s="42" t="n">
        <f aca="false">R228/$K$2</f>
        <v>176.614137469032</v>
      </c>
      <c r="T228" s="43" t="n">
        <f aca="false">S228-$M$2</f>
        <v>-0.0146271283862234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0.0221939086914063</v>
      </c>
      <c r="C229" s="25" t="n">
        <f aca="false">IF(T228&gt;0,D228,C228)</f>
        <v>0.022216796875</v>
      </c>
      <c r="D229" s="41" t="n">
        <f aca="false">(B229+C229)/2</f>
        <v>0.0222053527832031</v>
      </c>
      <c r="E229" s="15" t="n">
        <f aca="false">$C$2*(1+IF(E$3&lt;=$O$2,$D229,$D229-($D229-$I$211)*MIN(E$3-$O$2,$Q$2)/$Q$2))</f>
        <v>3209.72480773926</v>
      </c>
      <c r="F229" s="15" t="n">
        <f aca="false">E229*(1+IF(F$3&lt;=$O$2,$D229,$D229-($D229-$I$211)*MIN(F$3-$O$2,$Q$2)/$Q$2))</f>
        <v>3280.99787943211</v>
      </c>
      <c r="G229" s="15" t="n">
        <f aca="false">F229*(1+IF(G$3&lt;=$O$2,$D229,$D229-($D229-$I$211)*MIN(G$3-$O$2,$Q$2)/$Q$2))</f>
        <v>3353.85359482584</v>
      </c>
      <c r="H229" s="15" t="n">
        <f aca="false">G229*(1+IF(H$3&lt;=$O$2,$D229,$D229-($D229-$I$211)*MIN(H$3-$O$2,$Q$2)/$Q$2))</f>
        <v>3428.32709708216</v>
      </c>
      <c r="I229" s="15" t="n">
        <f aca="false">H229*(1+IF(I$3&lt;=$O$2,$D229,$D229-($D229-$I$211)*MIN(I$3-$O$2,$Q$2)/$Q$2))</f>
        <v>3504.45430972908</v>
      </c>
      <c r="J229" s="15" t="n">
        <f aca="false">I229*(1+IF(J$3&lt;=$O$2,$D229,$D229-($D229-$I$211)*MIN(J$3-$O$2,$Q$2)/$Q$2))</f>
        <v>3583.03918222054</v>
      </c>
      <c r="K229" s="15" t="n">
        <f aca="false">J229*(1+IF(K$3&lt;=$O$2,$D229,$D229-($D229-$I$211)*MIN(K$3-$O$2,$Q$2)/$Q$2))</f>
        <v>3664.17069684519</v>
      </c>
      <c r="L229" s="15" t="n">
        <f aca="false">K229*(1+IF(L$3&lt;=$O$2,$D229,$D229-($D229-$I$211)*MIN(L$3-$O$2,$Q$2)/$Q$2))</f>
        <v>3747.94148437961</v>
      </c>
      <c r="M229" s="15" t="n">
        <f aca="false">L229*(1+IF(M$3&lt;=$O$2,$D229,$D229-($D229-$I$211)*MIN(M$3-$O$2,$Q$2)/$Q$2))</f>
        <v>3834.44798622274</v>
      </c>
      <c r="N229" s="15" t="n">
        <f aca="false">M229*(1+IF(N$3&lt;=$O$2,$D229,$D229-($D229-$I$211)*MIN(N$3-$O$2,$Q$2)/$Q$2))</f>
        <v>3923.79062430173</v>
      </c>
      <c r="O229" s="15" t="n">
        <f aca="false">SUMPRODUCT(E229:N229,1/(1+$F$211)^$E$3:$N$3)*$E$2</f>
        <v>10842.0569205513</v>
      </c>
      <c r="P229" s="15" t="n">
        <f aca="false">N229*$E$2*(1+$I$211)/($F$211-$I$211)/(1+$F$211)^$N$3</f>
        <v>16215.6554297975</v>
      </c>
      <c r="Q229" s="15" t="n">
        <f aca="false">O229+P229</f>
        <v>27057.7123503488</v>
      </c>
      <c r="R229" s="15" t="n">
        <f aca="false">Q229-$G$2+$I$2</f>
        <v>22989.9123503488</v>
      </c>
      <c r="S229" s="42" t="n">
        <f aca="false">R229/$K$2</f>
        <v>176.628091198132</v>
      </c>
      <c r="T229" s="43" t="n">
        <f aca="false">S229-$M$2</f>
        <v>-0.000673399286824861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0.0222053527832031</v>
      </c>
      <c r="C230" s="25" t="n">
        <f aca="false">IF(T229&gt;0,D229,C229)</f>
        <v>0.022216796875</v>
      </c>
      <c r="D230" s="41" t="n">
        <f aca="false">(B230+C230)/2</f>
        <v>0.0222110748291016</v>
      </c>
      <c r="E230" s="15" t="n">
        <f aca="false">$C$2*(1+IF(E$3&lt;=$O$2,$D230,$D230-($D230-$I$211)*MIN(E$3-$O$2,$Q$2)/$Q$2))</f>
        <v>3209.74277496338</v>
      </c>
      <c r="F230" s="15" t="n">
        <f aca="false">E230*(1+IF(F$3&lt;=$O$2,$D230,$D230-($D230-$I$211)*MIN(F$3-$O$2,$Q$2)/$Q$2))</f>
        <v>3281.03461192026</v>
      </c>
      <c r="G230" s="15" t="n">
        <f aca="false">F230*(1+IF(G$3&lt;=$O$2,$D230,$D230-($D230-$I$211)*MIN(G$3-$O$2,$Q$2)/$Q$2))</f>
        <v>3353.90991720249</v>
      </c>
      <c r="H230" s="15" t="n">
        <f aca="false">G230*(1+IF(H$3&lt;=$O$2,$D230,$D230-($D230-$I$211)*MIN(H$3-$O$2,$Q$2)/$Q$2))</f>
        <v>3428.40386134354</v>
      </c>
      <c r="I230" s="15" t="n">
        <f aca="false">H230*(1+IF(I$3&lt;=$O$2,$D230,$D230-($D230-$I$211)*MIN(I$3-$O$2,$Q$2)/$Q$2))</f>
        <v>3504.55239605222</v>
      </c>
      <c r="J230" s="15" t="n">
        <f aca="false">I230*(1+IF(J$3&lt;=$O$2,$D230,$D230-($D230-$I$211)*MIN(J$3-$O$2,$Q$2)/$Q$2))</f>
        <v>3583.15551062681</v>
      </c>
      <c r="K230" s="15" t="n">
        <f aca="false">J230*(1+IF(K$3&lt;=$O$2,$D230,$D230-($D230-$I$211)*MIN(K$3-$O$2,$Q$2)/$Q$2))</f>
        <v>3664.30196108835</v>
      </c>
      <c r="L230" s="15" t="n">
        <f aca="false">K230*(1+IF(L$3&lt;=$O$2,$D230,$D230-($D230-$I$211)*MIN(L$3-$O$2,$Q$2)/$Q$2))</f>
        <v>3748.08413652603</v>
      </c>
      <c r="M230" s="15" t="n">
        <f aca="false">L230*(1+IF(M$3&lt;=$O$2,$D230,$D230-($D230-$I$211)*MIN(M$3-$O$2,$Q$2)/$Q$2))</f>
        <v>3834.59822027531</v>
      </c>
      <c r="N230" s="15" t="n">
        <f aca="false">M230*(1+IF(N$3&lt;=$O$2,$D230,$D230-($D230-$I$211)*MIN(N$3-$O$2,$Q$2)/$Q$2))</f>
        <v>3923.94435880772</v>
      </c>
      <c r="O230" s="15" t="n">
        <f aca="false">SUMPRODUCT(E230:N230,1/(1+$F$211)^$E$3:$N$3)*$E$2</f>
        <v>10842.3297413022</v>
      </c>
      <c r="P230" s="15" t="n">
        <f aca="false">N230*$E$2*(1+$I$211)/($F$211-$I$211)/(1+$F$211)^$N$3</f>
        <v>16216.2907607863</v>
      </c>
      <c r="Q230" s="15" t="n">
        <f aca="false">O230+P230</f>
        <v>27058.6205020884</v>
      </c>
      <c r="R230" s="15" t="n">
        <f aca="false">Q230-$G$2+$I$2</f>
        <v>22990.8205020884</v>
      </c>
      <c r="S230" s="42" t="n">
        <f aca="false">R230/$K$2</f>
        <v>176.635068393427</v>
      </c>
      <c r="T230" s="43" t="n">
        <f aca="false">S230-$M$2</f>
        <v>0.00630379600809761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0.0222053527832031</v>
      </c>
      <c r="C231" s="25" t="n">
        <f aca="false">IF(T230&gt;0,D230,C230)</f>
        <v>0.0222110748291016</v>
      </c>
      <c r="D231" s="41" t="n">
        <f aca="false">(B231+C231)/2</f>
        <v>0.0222082138061523</v>
      </c>
      <c r="E231" s="15" t="n">
        <f aca="false">$C$2*(1+IF(E$3&lt;=$O$2,$D231,$D231-($D231-$I$211)*MIN(E$3-$O$2,$Q$2)/$Q$2))</f>
        <v>3209.73379135132</v>
      </c>
      <c r="F231" s="15" t="n">
        <f aca="false">E231*(1+IF(F$3&lt;=$O$2,$D231,$D231-($D231-$I$211)*MIN(F$3-$O$2,$Q$2)/$Q$2))</f>
        <v>3281.01624565048</v>
      </c>
      <c r="G231" s="15" t="n">
        <f aca="false">F231*(1+IF(G$3&lt;=$O$2,$D231,$D231-($D231-$I$211)*MIN(G$3-$O$2,$Q$2)/$Q$2))</f>
        <v>3353.88175593535</v>
      </c>
      <c r="H231" s="15" t="n">
        <f aca="false">G231*(1+IF(H$3&lt;=$O$2,$D231,$D231-($D231-$I$211)*MIN(H$3-$O$2,$Q$2)/$Q$2))</f>
        <v>3428.36547905171</v>
      </c>
      <c r="I231" s="15" t="n">
        <f aca="false">H231*(1+IF(I$3&lt;=$O$2,$D231,$D231-($D231-$I$211)*MIN(I$3-$O$2,$Q$2)/$Q$2))</f>
        <v>3504.50335261612</v>
      </c>
      <c r="J231" s="15" t="n">
        <f aca="false">I231*(1+IF(J$3&lt;=$O$2,$D231,$D231-($D231-$I$211)*MIN(J$3-$O$2,$Q$2)/$Q$2))</f>
        <v>3583.09734603074</v>
      </c>
      <c r="K231" s="15" t="n">
        <f aca="false">J231*(1+IF(K$3&lt;=$O$2,$D231,$D231-($D231-$I$211)*MIN(K$3-$O$2,$Q$2)/$Q$2))</f>
        <v>3664.23632846509</v>
      </c>
      <c r="L231" s="15" t="n">
        <f aca="false">K231*(1+IF(L$3&lt;=$O$2,$D231,$D231-($D231-$I$211)*MIN(L$3-$O$2,$Q$2)/$Q$2))</f>
        <v>3748.01280986456</v>
      </c>
      <c r="M231" s="15" t="n">
        <f aca="false">L231*(1+IF(M$3&lt;=$O$2,$D231,$D231-($D231-$I$211)*MIN(M$3-$O$2,$Q$2)/$Q$2))</f>
        <v>3834.52310260637</v>
      </c>
      <c r="N231" s="15" t="n">
        <f aca="false">M231*(1+IF(N$3&lt;=$O$2,$D231,$D231-($D231-$I$211)*MIN(N$3-$O$2,$Q$2)/$Q$2))</f>
        <v>3923.8674908971</v>
      </c>
      <c r="O231" s="15" t="n">
        <f aca="false">SUMPRODUCT(E231:N231,1/(1+$F$211)^$E$3:$N$3)*$E$2</f>
        <v>10842.1933300569</v>
      </c>
      <c r="P231" s="15" t="n">
        <f aca="false">N231*$E$2*(1+$I$211)/($F$211-$I$211)/(1+$F$211)^$N$3</f>
        <v>16215.9730925741</v>
      </c>
      <c r="Q231" s="15" t="n">
        <f aca="false">O231+P231</f>
        <v>27058.1664226311</v>
      </c>
      <c r="R231" s="15" t="n">
        <f aca="false">Q231-$G$2+$I$2</f>
        <v>22990.3664226311</v>
      </c>
      <c r="S231" s="42" t="n">
        <f aca="false">R231/$K$2</f>
        <v>176.631579768216</v>
      </c>
      <c r="T231" s="43" t="n">
        <f aca="false">S231-$M$2</f>
        <v>0.00281517079784521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0.0222053527832031</v>
      </c>
      <c r="C232" s="25" t="n">
        <f aca="false">IF(T231&gt;0,D231,C231)</f>
        <v>0.0222082138061523</v>
      </c>
      <c r="D232" s="41" t="n">
        <f aca="false">(B232+C232)/2</f>
        <v>0.0222067832946777</v>
      </c>
      <c r="E232" s="15" t="n">
        <f aca="false">$C$2*(1+IF(E$3&lt;=$O$2,$D232,$D232-($D232-$I$211)*MIN(E$3-$O$2,$Q$2)/$Q$2))</f>
        <v>3209.72929954529</v>
      </c>
      <c r="F232" s="15" t="n">
        <f aca="false">E232*(1+IF(F$3&lt;=$O$2,$D232,$D232-($D232-$I$211)*MIN(F$3-$O$2,$Q$2)/$Q$2))</f>
        <v>3281.00706253487</v>
      </c>
      <c r="G232" s="15" t="n">
        <f aca="false">F232*(1+IF(G$3&lt;=$O$2,$D232,$D232-($D232-$I$211)*MIN(G$3-$O$2,$Q$2)/$Q$2))</f>
        <v>3353.86767536089</v>
      </c>
      <c r="H232" s="15" t="n">
        <f aca="false">G232*(1+IF(H$3&lt;=$O$2,$D232,$D232-($D232-$I$211)*MIN(H$3-$O$2,$Q$2)/$Q$2))</f>
        <v>3428.34628802665</v>
      </c>
      <c r="I232" s="15" t="n">
        <f aca="false">H232*(1+IF(I$3&lt;=$O$2,$D232,$D232-($D232-$I$211)*MIN(I$3-$O$2,$Q$2)/$Q$2))</f>
        <v>3504.47883110397</v>
      </c>
      <c r="J232" s="15" t="n">
        <f aca="false">I232*(1+IF(J$3&lt;=$O$2,$D232,$D232-($D232-$I$211)*MIN(J$3-$O$2,$Q$2)/$Q$2))</f>
        <v>3583.06826402741</v>
      </c>
      <c r="K232" s="15" t="n">
        <f aca="false">J232*(1+IF(K$3&lt;=$O$2,$D232,$D232-($D232-$I$211)*MIN(K$3-$O$2,$Q$2)/$Q$2))</f>
        <v>3664.20351252972</v>
      </c>
      <c r="L232" s="15" t="n">
        <f aca="false">K232*(1+IF(L$3&lt;=$O$2,$D232,$D232-($D232-$I$211)*MIN(L$3-$O$2,$Q$2)/$Q$2))</f>
        <v>3747.97714697502</v>
      </c>
      <c r="M232" s="15" t="n">
        <f aca="false">L232*(1+IF(M$3&lt;=$O$2,$D232,$D232-($D232-$I$211)*MIN(M$3-$O$2,$Q$2)/$Q$2))</f>
        <v>3834.48554425389</v>
      </c>
      <c r="N232" s="15" t="n">
        <f aca="false">M232*(1+IF(N$3&lt;=$O$2,$D232,$D232-($D232-$I$211)*MIN(N$3-$O$2,$Q$2)/$Q$2))</f>
        <v>3923.82905743501</v>
      </c>
      <c r="O232" s="15" t="n">
        <f aca="false">SUMPRODUCT(E232:N232,1/(1+$F$211)^$E$3:$N$3)*$E$2</f>
        <v>10842.1251250866</v>
      </c>
      <c r="P232" s="15" t="n">
        <f aca="false">N232*$E$2*(1+$I$211)/($F$211-$I$211)/(1+$F$211)^$N$3</f>
        <v>16215.8142605064</v>
      </c>
      <c r="Q232" s="15" t="n">
        <f aca="false">O232+P232</f>
        <v>27057.9393855931</v>
      </c>
      <c r="R232" s="15" t="n">
        <f aca="false">Q232-$G$2+$I$2</f>
        <v>22990.1393855931</v>
      </c>
      <c r="S232" s="42" t="n">
        <f aca="false">R232/$K$2</f>
        <v>176.629835476284</v>
      </c>
      <c r="T232" s="43" t="n">
        <f aca="false">S232-$M$2</f>
        <v>0.00107087886496515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0.0222053527832031</v>
      </c>
      <c r="C233" s="25" t="n">
        <f aca="false">IF(T232&gt;0,D232,C232)</f>
        <v>0.0222067832946777</v>
      </c>
      <c r="D233" s="41" t="n">
        <f aca="false">(B233+C233)/2</f>
        <v>0.0222060680389404</v>
      </c>
      <c r="E233" s="15" t="n">
        <f aca="false">$C$2*(1+IF(E$3&lt;=$O$2,$D233,$D233-($D233-$I$211)*MIN(E$3-$O$2,$Q$2)/$Q$2))</f>
        <v>3209.72705364227</v>
      </c>
      <c r="F233" s="15" t="n">
        <f aca="false">E233*(1+IF(F$3&lt;=$O$2,$D233,$D233-($D233-$I$211)*MIN(F$3-$O$2,$Q$2)/$Q$2))</f>
        <v>3281.00247098188</v>
      </c>
      <c r="G233" s="15" t="n">
        <f aca="false">F233*(1+IF(G$3&lt;=$O$2,$D233,$D233-($D233-$I$211)*MIN(G$3-$O$2,$Q$2)/$Q$2))</f>
        <v>3353.86063508844</v>
      </c>
      <c r="H233" s="15" t="n">
        <f aca="false">G233*(1+IF(H$3&lt;=$O$2,$D233,$D233-($D233-$I$211)*MIN(H$3-$O$2,$Q$2)/$Q$2))</f>
        <v>3428.33669254433</v>
      </c>
      <c r="I233" s="15" t="n">
        <f aca="false">H233*(1+IF(I$3&lt;=$O$2,$D233,$D233-($D233-$I$211)*MIN(I$3-$O$2,$Q$2)/$Q$2))</f>
        <v>3504.46657039937</v>
      </c>
      <c r="J233" s="15" t="n">
        <f aca="false">I233*(1+IF(J$3&lt;=$O$2,$D233,$D233-($D233-$I$211)*MIN(J$3-$O$2,$Q$2)/$Q$2))</f>
        <v>3583.05372309941</v>
      </c>
      <c r="K233" s="15" t="n">
        <f aca="false">J233*(1+IF(K$3&lt;=$O$2,$D233,$D233-($D233-$I$211)*MIN(K$3-$O$2,$Q$2)/$Q$2))</f>
        <v>3664.1871046561</v>
      </c>
      <c r="L233" s="15" t="n">
        <f aca="false">K233*(1+IF(L$3&lt;=$O$2,$D233,$D233-($D233-$I$211)*MIN(L$3-$O$2,$Q$2)/$Q$2))</f>
        <v>3747.95931564055</v>
      </c>
      <c r="M233" s="15" t="n">
        <f aca="false">L233*(1+IF(M$3&lt;=$O$2,$D233,$D233-($D233-$I$211)*MIN(M$3-$O$2,$Q$2)/$Q$2))</f>
        <v>3834.46676519815</v>
      </c>
      <c r="N233" s="15" t="n">
        <f aca="false">M233*(1+IF(N$3&lt;=$O$2,$D233,$D233-($D233-$I$211)*MIN(N$3-$O$2,$Q$2)/$Q$2))</f>
        <v>3923.80984082726</v>
      </c>
      <c r="O233" s="15" t="n">
        <f aca="false">SUMPRODUCT(E233:N233,1/(1+$F$211)^$E$3:$N$3)*$E$2</f>
        <v>10842.0910227646</v>
      </c>
      <c r="P233" s="15" t="n">
        <f aca="false">N233*$E$2*(1+$I$211)/($F$211-$I$211)/(1+$F$211)^$N$3</f>
        <v>16215.7348449821</v>
      </c>
      <c r="Q233" s="15" t="n">
        <f aca="false">O233+P233</f>
        <v>27057.8258677467</v>
      </c>
      <c r="R233" s="15" t="n">
        <f aca="false">Q233-$G$2+$I$2</f>
        <v>22990.0258677467</v>
      </c>
      <c r="S233" s="42" t="n">
        <f aca="false">R233/$K$2</f>
        <v>176.628963335485</v>
      </c>
      <c r="T233" s="43" t="n">
        <f aca="false">S233-$M$2</f>
        <v>0.000198738066330861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0.0222053527832031</v>
      </c>
      <c r="C234" s="25" t="n">
        <f aca="false">IF(T233&gt;0,D233,C233)</f>
        <v>0.0222060680389404</v>
      </c>
      <c r="D234" s="41" t="n">
        <f aca="false">(B234+C234)/2</f>
        <v>0.0222057104110718</v>
      </c>
      <c r="E234" s="15" t="n">
        <f aca="false">$C$2*(1+IF(E$3&lt;=$O$2,$D234,$D234-($D234-$I$211)*MIN(E$3-$O$2,$Q$2)/$Q$2))</f>
        <v>3209.72593069077</v>
      </c>
      <c r="F234" s="15" t="n">
        <f aca="false">E234*(1+IF(F$3&lt;=$O$2,$D234,$D234-($D234-$I$211)*MIN(F$3-$O$2,$Q$2)/$Q$2))</f>
        <v>3281.00017520659</v>
      </c>
      <c r="G234" s="15" t="n">
        <f aca="false">F234*(1+IF(G$3&lt;=$O$2,$D234,$D234-($D234-$I$211)*MIN(G$3-$O$2,$Q$2)/$Q$2))</f>
        <v>3353.85711495591</v>
      </c>
      <c r="H234" s="15" t="n">
        <f aca="false">G234*(1+IF(H$3&lt;=$O$2,$D234,$D234-($D234-$I$211)*MIN(H$3-$O$2,$Q$2)/$Q$2))</f>
        <v>3428.33189481073</v>
      </c>
      <c r="I234" s="15" t="n">
        <f aca="false">H234*(1+IF(I$3&lt;=$O$2,$D234,$D234-($D234-$I$211)*MIN(I$3-$O$2,$Q$2)/$Q$2))</f>
        <v>3504.46044005994</v>
      </c>
      <c r="J234" s="15" t="n">
        <f aca="false">I234*(1+IF(J$3&lt;=$O$2,$D234,$D234-($D234-$I$211)*MIN(J$3-$O$2,$Q$2)/$Q$2))</f>
        <v>3583.04645265384</v>
      </c>
      <c r="K234" s="15" t="n">
        <f aca="false">J234*(1+IF(K$3&lt;=$O$2,$D234,$D234-($D234-$I$211)*MIN(K$3-$O$2,$Q$2)/$Q$2))</f>
        <v>3664.1789007428</v>
      </c>
      <c r="L234" s="15" t="n">
        <f aca="false">K234*(1+IF(L$3&lt;=$O$2,$D234,$D234-($D234-$I$211)*MIN(L$3-$O$2,$Q$2)/$Q$2))</f>
        <v>3747.95040000089</v>
      </c>
      <c r="M234" s="15" t="n">
        <f aca="false">L234*(1+IF(M$3&lt;=$O$2,$D234,$D234-($D234-$I$211)*MIN(M$3-$O$2,$Q$2)/$Q$2))</f>
        <v>3834.4573757004</v>
      </c>
      <c r="N234" s="15" t="n">
        <f aca="false">M234*(1+IF(N$3&lt;=$O$2,$D234,$D234-($D234-$I$211)*MIN(N$3-$O$2,$Q$2)/$Q$2))</f>
        <v>3923.80023255422</v>
      </c>
      <c r="O234" s="15" t="n">
        <f aca="false">SUMPRODUCT(E234:N234,1/(1+$F$211)^$E$3:$N$3)*$E$2</f>
        <v>10842.0739716444</v>
      </c>
      <c r="P234" s="15" t="n">
        <f aca="false">N234*$E$2*(1+$I$211)/($F$211-$I$211)/(1+$F$211)^$N$3</f>
        <v>16215.6951373474</v>
      </c>
      <c r="Q234" s="15" t="n">
        <f aca="false">O234+P234</f>
        <v>27057.7691089917</v>
      </c>
      <c r="R234" s="15" t="n">
        <f aca="false">Q234-$G$2+$I$2</f>
        <v>22989.9691089917</v>
      </c>
      <c r="S234" s="42" t="n">
        <f aca="false">R234/$K$2</f>
        <v>176.628527266378</v>
      </c>
      <c r="T234" s="43" t="n">
        <f aca="false">S234-$M$2</f>
        <v>-0.000237331040835898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0.0222057104110718</v>
      </c>
      <c r="C235" s="25" t="n">
        <f aca="false">IF(T234&gt;0,D234,C234)</f>
        <v>0.0222060680389404</v>
      </c>
      <c r="D235" s="41" t="n">
        <f aca="false">(B235+C235)/2</f>
        <v>0.0222058892250061</v>
      </c>
      <c r="E235" s="15" t="n">
        <f aca="false">$C$2*(1+IF(E$3&lt;=$O$2,$D235,$D235-($D235-$I$211)*MIN(E$3-$O$2,$Q$2)/$Q$2))</f>
        <v>3209.72649216652</v>
      </c>
      <c r="F235" s="15" t="n">
        <f aca="false">E235*(1+IF(F$3&lt;=$O$2,$D235,$D235-($D235-$I$211)*MIN(F$3-$O$2,$Q$2)/$Q$2))</f>
        <v>3281.00132309414</v>
      </c>
      <c r="G235" s="15" t="n">
        <f aca="false">F235*(1+IF(G$3&lt;=$O$2,$D235,$D235-($D235-$I$211)*MIN(G$3-$O$2,$Q$2)/$Q$2))</f>
        <v>3353.85887502186</v>
      </c>
      <c r="H235" s="15" t="n">
        <f aca="false">G235*(1+IF(H$3&lt;=$O$2,$D235,$D235-($D235-$I$211)*MIN(H$3-$O$2,$Q$2)/$Q$2))</f>
        <v>3428.3342936769</v>
      </c>
      <c r="I235" s="15" t="n">
        <f aca="false">H235*(1+IF(I$3&lt;=$O$2,$D235,$D235-($D235-$I$211)*MIN(I$3-$O$2,$Q$2)/$Q$2))</f>
        <v>3504.46350522858</v>
      </c>
      <c r="J235" s="15" t="n">
        <f aca="false">I235*(1+IF(J$3&lt;=$O$2,$D235,$D235-($D235-$I$211)*MIN(J$3-$O$2,$Q$2)/$Q$2))</f>
        <v>3583.05008787509</v>
      </c>
      <c r="K235" s="15" t="n">
        <f aca="false">J235*(1+IF(K$3&lt;=$O$2,$D235,$D235-($D235-$I$211)*MIN(K$3-$O$2,$Q$2)/$Q$2))</f>
        <v>3664.18300269749</v>
      </c>
      <c r="L235" s="15" t="n">
        <f aca="false">K235*(1+IF(L$3&lt;=$O$2,$D235,$D235-($D235-$I$211)*MIN(L$3-$O$2,$Q$2)/$Q$2))</f>
        <v>3747.95485781842</v>
      </c>
      <c r="M235" s="15" t="n">
        <f aca="false">L235*(1+IF(M$3&lt;=$O$2,$D235,$D235-($D235-$I$211)*MIN(M$3-$O$2,$Q$2)/$Q$2))</f>
        <v>3834.46207044676</v>
      </c>
      <c r="N235" s="15" t="n">
        <f aca="false">M235*(1+IF(N$3&lt;=$O$2,$D235,$D235-($D235-$I$211)*MIN(N$3-$O$2,$Q$2)/$Q$2))</f>
        <v>3923.80503668818</v>
      </c>
      <c r="O235" s="15" t="n">
        <f aca="false">SUMPRODUCT(E235:N235,1/(1+$F$211)^$E$3:$N$3)*$E$2</f>
        <v>10842.0824972011</v>
      </c>
      <c r="P235" s="15" t="n">
        <f aca="false">N235*$E$2*(1+$I$211)/($F$211-$I$211)/(1+$F$211)^$N$3</f>
        <v>16215.7149911541</v>
      </c>
      <c r="Q235" s="15" t="n">
        <f aca="false">O235+P235</f>
        <v>27057.7974883552</v>
      </c>
      <c r="R235" s="15" t="n">
        <f aca="false">Q235-$G$2+$I$2</f>
        <v>22989.9974883552</v>
      </c>
      <c r="S235" s="42" t="n">
        <f aca="false">R235/$K$2</f>
        <v>176.628745300824</v>
      </c>
      <c r="T235" s="43" t="n">
        <f aca="false">S235-$M$2</f>
        <v>-1.92965948713209E-005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0.0222058892250061</v>
      </c>
      <c r="C236" s="25" t="n">
        <f aca="false">IF(T235&gt;0,D235,C235)</f>
        <v>0.0222060680389404</v>
      </c>
      <c r="D236" s="41" t="n">
        <f aca="false">(B236+C236)/2</f>
        <v>0.0222059786319733</v>
      </c>
      <c r="E236" s="15" t="n">
        <f aca="false">$C$2*(1+IF(E$3&lt;=$O$2,$D236,$D236-($D236-$I$211)*MIN(E$3-$O$2,$Q$2)/$Q$2))</f>
        <v>3209.7267729044</v>
      </c>
      <c r="F236" s="15" t="n">
        <f aca="false">E236*(1+IF(F$3&lt;=$O$2,$D236,$D236-($D236-$I$211)*MIN(F$3-$O$2,$Q$2)/$Q$2))</f>
        <v>3281.00189703798</v>
      </c>
      <c r="G236" s="15" t="n">
        <f aca="false">F236*(1+IF(G$3&lt;=$O$2,$D236,$D236-($D236-$I$211)*MIN(G$3-$O$2,$Q$2)/$Q$2))</f>
        <v>3353.85975505507</v>
      </c>
      <c r="H236" s="15" t="n">
        <f aca="false">G236*(1+IF(H$3&lt;=$O$2,$D236,$D236-($D236-$I$211)*MIN(H$3-$O$2,$Q$2)/$Q$2))</f>
        <v>3428.33549311046</v>
      </c>
      <c r="I236" s="15" t="n">
        <f aca="false">H236*(1+IF(I$3&lt;=$O$2,$D236,$D236-($D236-$I$211)*MIN(I$3-$O$2,$Q$2)/$Q$2))</f>
        <v>3504.46503781371</v>
      </c>
      <c r="J236" s="15" t="n">
        <f aca="false">I236*(1+IF(J$3&lt;=$O$2,$D236,$D236-($D236-$I$211)*MIN(J$3-$O$2,$Q$2)/$Q$2))</f>
        <v>3583.05190548687</v>
      </c>
      <c r="K236" s="15" t="n">
        <f aca="false">J236*(1+IF(K$3&lt;=$O$2,$D236,$D236-($D236-$I$211)*MIN(K$3-$O$2,$Q$2)/$Q$2))</f>
        <v>3664.1850536763</v>
      </c>
      <c r="L236" s="15" t="n">
        <f aca="false">K236*(1+IF(L$3&lt;=$O$2,$D236,$D236-($D236-$I$211)*MIN(L$3-$O$2,$Q$2)/$Q$2))</f>
        <v>3747.95708672891</v>
      </c>
      <c r="M236" s="15" t="n">
        <f aca="false">L236*(1+IF(M$3&lt;=$O$2,$D236,$D236-($D236-$I$211)*MIN(M$3-$O$2,$Q$2)/$Q$2))</f>
        <v>3834.46441782183</v>
      </c>
      <c r="N236" s="15" t="n">
        <f aca="false">M236*(1+IF(N$3&lt;=$O$2,$D236,$D236-($D236-$I$211)*MIN(N$3-$O$2,$Q$2)/$Q$2))</f>
        <v>3923.80743875708</v>
      </c>
      <c r="O236" s="15" t="n">
        <f aca="false">SUMPRODUCT(E236:N236,1/(1+$F$211)^$E$3:$N$3)*$E$2</f>
        <v>10842.086759982</v>
      </c>
      <c r="P236" s="15" t="n">
        <f aca="false">N236*$E$2*(1+$I$211)/($F$211-$I$211)/(1+$F$211)^$N$3</f>
        <v>16215.7249180655</v>
      </c>
      <c r="Q236" s="15" t="n">
        <f aca="false">O236+P236</f>
        <v>27057.8116780475</v>
      </c>
      <c r="R236" s="15" t="n">
        <f aca="false">Q236-$G$2+$I$2</f>
        <v>22990.0116780475</v>
      </c>
      <c r="S236" s="42" t="n">
        <f aca="false">R236/$K$2</f>
        <v>176.628854318127</v>
      </c>
      <c r="T236" s="43" t="n">
        <f aca="false">S236-$M$2</f>
        <v>8.97207087859897E-005</v>
      </c>
    </row>
    <row r="238" customFormat="false" ht="15" hidden="false" customHeight="false" outlineLevel="0" collapsed="false">
      <c r="A238" s="38" t="s">
        <v>182</v>
      </c>
      <c r="E238" s="5" t="s">
        <v>11</v>
      </c>
      <c r="F238" s="12" t="n">
        <f aca="false">Sensitivity!$B$11</f>
        <v>0.0769413943493295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155</v>
      </c>
      <c r="B239" s="28" t="s">
        <v>156</v>
      </c>
      <c r="C239" s="28" t="s">
        <v>157</v>
      </c>
      <c r="D239" s="28" t="s">
        <v>158</v>
      </c>
      <c r="E239" s="28" t="s">
        <v>159</v>
      </c>
      <c r="F239" s="28" t="s">
        <v>160</v>
      </c>
      <c r="G239" s="28" t="s">
        <v>161</v>
      </c>
      <c r="H239" s="28" t="s">
        <v>162</v>
      </c>
      <c r="I239" s="28" t="s">
        <v>163</v>
      </c>
      <c r="J239" s="28" t="s">
        <v>164</v>
      </c>
      <c r="K239" s="28" t="s">
        <v>165</v>
      </c>
      <c r="L239" s="28" t="s">
        <v>166</v>
      </c>
      <c r="M239" s="28" t="s">
        <v>167</v>
      </c>
      <c r="N239" s="28" t="s">
        <v>168</v>
      </c>
      <c r="O239" s="28" t="s">
        <v>169</v>
      </c>
      <c r="P239" s="28" t="s">
        <v>170</v>
      </c>
      <c r="Q239" s="28" t="s">
        <v>171</v>
      </c>
      <c r="R239" s="28" t="s">
        <v>172</v>
      </c>
      <c r="S239" s="28" t="s">
        <v>173</v>
      </c>
      <c r="T239" s="28" t="s">
        <v>174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3925</v>
      </c>
      <c r="F240" s="15" t="n">
        <f aca="false">E240*(1+IF(F$3&lt;=$O$2,$D240,$D240-($D240-$I$238)*MIN(F$3-$O$2,$Q$2)/$Q$2))</f>
        <v>4906.25</v>
      </c>
      <c r="G240" s="15" t="n">
        <f aca="false">F240*(1+IF(G$3&lt;=$O$2,$D240,$D240-($D240-$I$238)*MIN(G$3-$O$2,$Q$2)/$Q$2))</f>
        <v>6132.8125</v>
      </c>
      <c r="H240" s="15" t="n">
        <f aca="false">G240*(1+IF(H$3&lt;=$O$2,$D240,$D240-($D240-$I$238)*MIN(H$3-$O$2,$Q$2)/$Q$2))</f>
        <v>7666.015625</v>
      </c>
      <c r="I240" s="15" t="n">
        <f aca="false">H240*(1+IF(I$3&lt;=$O$2,$D240,$D240-($D240-$I$238)*MIN(I$3-$O$2,$Q$2)/$Q$2))</f>
        <v>9582.51953125</v>
      </c>
      <c r="J240" s="15" t="n">
        <f aca="false">I240*(1+IF(J$3&lt;=$O$2,$D240,$D240-($D240-$I$238)*MIN(J$3-$O$2,$Q$2)/$Q$2))</f>
        <v>11553.2604980469</v>
      </c>
      <c r="K240" s="15" t="n">
        <f aca="false">J240*(1+IF(K$3&lt;=$O$2,$D240,$D240-($D240-$I$238)*MIN(K$3-$O$2,$Q$2)/$Q$2))</f>
        <v>13417.0324815918</v>
      </c>
      <c r="L240" s="15" t="n">
        <f aca="false">K240*(1+IF(L$3&lt;=$O$2,$D240,$D240-($D240-$I$238)*MIN(L$3-$O$2,$Q$2)/$Q$2))</f>
        <v>14986.5569412884</v>
      </c>
      <c r="M240" s="15" t="n">
        <f aca="false">L240*(1+IF(M$3&lt;=$O$2,$D240,$D240-($D240-$I$238)*MIN(M$3-$O$2,$Q$2)/$Q$2))</f>
        <v>16075.1804375036</v>
      </c>
      <c r="N240" s="15" t="n">
        <f aca="false">M240*(1+IF(N$3&lt;=$O$2,$D240,$D240-($D240-$I$238)*MIN(N$3-$O$2,$Q$2)/$Q$2))</f>
        <v>16530.1080438849</v>
      </c>
      <c r="O240" s="15" t="n">
        <f aca="false">SUMPRODUCT(E240:N240,1/(1+$F$238)^$E$3:$N$3)*$E$2</f>
        <v>29504.164598779</v>
      </c>
      <c r="P240" s="15" t="n">
        <f aca="false">N240*$E$2*(1+$I$238)/($F$238-$I$238)/(1+$F$238)^$N$3</f>
        <v>75703.381444301</v>
      </c>
      <c r="Q240" s="15" t="n">
        <f aca="false">O240+P240</f>
        <v>105207.54604308</v>
      </c>
      <c r="R240" s="15" t="n">
        <f aca="false">Q240-$G$2+$I$2</f>
        <v>101139.74604308</v>
      </c>
      <c r="S240" s="42" t="n">
        <f aca="false">R240/$K$2</f>
        <v>777.041687485249</v>
      </c>
      <c r="T240" s="43" t="n">
        <f aca="false">S240-$M$2</f>
        <v>600.412922887831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2747.5</v>
      </c>
      <c r="F241" s="15" t="n">
        <f aca="false">E241*(1+IF(F$3&lt;=$O$2,$D241,$D241-($D241-$I$238)*MIN(F$3-$O$2,$Q$2)/$Q$2))</f>
        <v>2404.0625</v>
      </c>
      <c r="G241" s="15" t="n">
        <f aca="false">F241*(1+IF(G$3&lt;=$O$2,$D241,$D241-($D241-$I$238)*MIN(G$3-$O$2,$Q$2)/$Q$2))</f>
        <v>2103.5546875</v>
      </c>
      <c r="H241" s="15" t="n">
        <f aca="false">G241*(1+IF(H$3&lt;=$O$2,$D241,$D241-($D241-$I$238)*MIN(H$3-$O$2,$Q$2)/$Q$2))</f>
        <v>1840.6103515625</v>
      </c>
      <c r="I241" s="15" t="n">
        <f aca="false">H241*(1+IF(I$3&lt;=$O$2,$D241,$D241-($D241-$I$238)*MIN(I$3-$O$2,$Q$2)/$Q$2))</f>
        <v>1610.53405761719</v>
      </c>
      <c r="J241" s="15" t="n">
        <f aca="false">I241*(1+IF(J$3&lt;=$O$2,$D241,$D241-($D241-$I$238)*MIN(J$3-$O$2,$Q$2)/$Q$2))</f>
        <v>1458.59627462158</v>
      </c>
      <c r="K241" s="15" t="n">
        <f aca="false">J241*(1+IF(K$3&lt;=$O$2,$D241,$D241-($D241-$I$238)*MIN(K$3-$O$2,$Q$2)/$Q$2))</f>
        <v>1365.71286385368</v>
      </c>
      <c r="L241" s="15" t="n">
        <f aca="false">K241*(1+IF(L$3&lt;=$O$2,$D241,$D241-($D241-$I$238)*MIN(L$3-$O$2,$Q$2)/$Q$2))</f>
        <v>1320.61702508923</v>
      </c>
      <c r="M241" s="15" t="n">
        <f aca="false">L241*(1+IF(M$3&lt;=$O$2,$D241,$D241-($D241-$I$238)*MIN(M$3-$O$2,$Q$2)/$Q$2))</f>
        <v>1317.50036891002</v>
      </c>
      <c r="N241" s="15" t="n">
        <f aca="false">M241*(1+IF(N$3&lt;=$O$2,$D241,$D241-($D241-$I$238)*MIN(N$3-$O$2,$Q$2)/$Q$2))</f>
        <v>1354.78562935017</v>
      </c>
      <c r="O241" s="15" t="n">
        <f aca="false">SUMPRODUCT(E241:N241,1/(1+$F$238)^$E$3:$N$3)*$E$2</f>
        <v>5722.55370873409</v>
      </c>
      <c r="P241" s="15" t="n">
        <f aca="false">N241*$E$2*(1+$I$238)/($F$238-$I$238)/(1+$F$238)^$N$3</f>
        <v>6204.5482704449</v>
      </c>
      <c r="Q241" s="15" t="n">
        <f aca="false">O241+P241</f>
        <v>11927.101979179</v>
      </c>
      <c r="R241" s="15" t="n">
        <f aca="false">Q241-$G$2+$I$2</f>
        <v>7859.30197917899</v>
      </c>
      <c r="S241" s="42" t="n">
        <f aca="false">R241/$K$2</f>
        <v>60.3818529439074</v>
      </c>
      <c r="T241" s="43" t="n">
        <f aca="false">S241-$M$2</f>
        <v>-116.246911653511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3336.25</v>
      </c>
      <c r="F242" s="15" t="n">
        <f aca="false">E242*(1+IF(F$3&lt;=$O$2,$D242,$D242-($D242-$I$238)*MIN(F$3-$O$2,$Q$2)/$Q$2))</f>
        <v>3544.765625</v>
      </c>
      <c r="G242" s="15" t="n">
        <f aca="false">F242*(1+IF(G$3&lt;=$O$2,$D242,$D242-($D242-$I$238)*MIN(G$3-$O$2,$Q$2)/$Q$2))</f>
        <v>3766.3134765625</v>
      </c>
      <c r="H242" s="15" t="n">
        <f aca="false">G242*(1+IF(H$3&lt;=$O$2,$D242,$D242-($D242-$I$238)*MIN(H$3-$O$2,$Q$2)/$Q$2))</f>
        <v>4001.70806884766</v>
      </c>
      <c r="I242" s="15" t="n">
        <f aca="false">H242*(1+IF(I$3&lt;=$O$2,$D242,$D242-($D242-$I$238)*MIN(I$3-$O$2,$Q$2)/$Q$2))</f>
        <v>4251.81482315064</v>
      </c>
      <c r="J242" s="15" t="n">
        <f aca="false">I242*(1+IF(J$3&lt;=$O$2,$D242,$D242-($D242-$I$238)*MIN(J$3-$O$2,$Q$2)/$Q$2))</f>
        <v>4488.4708362072</v>
      </c>
      <c r="K242" s="15" t="n">
        <f aca="false">J242*(1+IF(K$3&lt;=$O$2,$D242,$D242-($D242-$I$238)*MIN(K$3-$O$2,$Q$2)/$Q$2))</f>
        <v>4707.59798243084</v>
      </c>
      <c r="L242" s="15" t="n">
        <f aca="false">K242*(1+IF(L$3&lt;=$O$2,$D242,$D242-($D242-$I$238)*MIN(L$3-$O$2,$Q$2)/$Q$2))</f>
        <v>4905.22294573328</v>
      </c>
      <c r="M242" s="15" t="n">
        <f aca="false">L242*(1+IF(M$3&lt;=$O$2,$D242,$D242-($D242-$I$238)*MIN(M$3-$O$2,$Q$2)/$Q$2))</f>
        <v>5077.59248004635</v>
      </c>
      <c r="N242" s="15" t="n">
        <f aca="false">M242*(1+IF(N$3&lt;=$O$2,$D242,$D242-($D242-$I$238)*MIN(N$3-$O$2,$Q$2)/$Q$2))</f>
        <v>5221.28834723166</v>
      </c>
      <c r="O242" s="15" t="n">
        <f aca="false">SUMPRODUCT(E242:N242,1/(1+$F$238)^$E$3:$N$3)*$E$2</f>
        <v>12985.3681210076</v>
      </c>
      <c r="P242" s="15" t="n">
        <f aca="false">N242*$E$2*(1+$I$238)/($F$238-$I$238)/(1+$F$238)^$N$3</f>
        <v>23912.0750046994</v>
      </c>
      <c r="Q242" s="15" t="n">
        <f aca="false">O242+P242</f>
        <v>36897.443125707</v>
      </c>
      <c r="R242" s="15" t="n">
        <f aca="false">Q242-$G$2+$I$2</f>
        <v>32829.643125707</v>
      </c>
      <c r="S242" s="42" t="n">
        <f aca="false">R242/$K$2</f>
        <v>252.225285231308</v>
      </c>
      <c r="T242" s="43" t="n">
        <f aca="false">S242-$M$2</f>
        <v>75.5965206338891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3041.875</v>
      </c>
      <c r="F243" s="15" t="n">
        <f aca="false">E243*(1+IF(F$3&lt;=$O$2,$D243,$D243-($D243-$I$238)*MIN(F$3-$O$2,$Q$2)/$Q$2))</f>
        <v>2946.81640625</v>
      </c>
      <c r="G243" s="15" t="n">
        <f aca="false">F243*(1+IF(G$3&lt;=$O$2,$D243,$D243-($D243-$I$238)*MIN(G$3-$O$2,$Q$2)/$Q$2))</f>
        <v>2854.72839355469</v>
      </c>
      <c r="H243" s="15" t="n">
        <f aca="false">G243*(1+IF(H$3&lt;=$O$2,$D243,$D243-($D243-$I$238)*MIN(H$3-$O$2,$Q$2)/$Q$2))</f>
        <v>2765.5181312561</v>
      </c>
      <c r="I243" s="15" t="n">
        <f aca="false">H243*(1+IF(I$3&lt;=$O$2,$D243,$D243-($D243-$I$238)*MIN(I$3-$O$2,$Q$2)/$Q$2))</f>
        <v>2679.09568965435</v>
      </c>
      <c r="J243" s="15" t="n">
        <f aca="false">I243*(1+IF(J$3&lt;=$O$2,$D243,$D243-($D243-$I$238)*MIN(J$3-$O$2,$Q$2)/$Q$2))</f>
        <v>2627.28197901644</v>
      </c>
      <c r="K243" s="15" t="n">
        <f aca="false">J243*(1+IF(K$3&lt;=$O$2,$D243,$D243-($D243-$I$238)*MIN(K$3-$O$2,$Q$2)/$Q$2))</f>
        <v>2607.76127391234</v>
      </c>
      <c r="L243" s="15" t="n">
        <f aca="false">K243*(1+IF(L$3&lt;=$O$2,$D243,$D243-($D243-$I$238)*MIN(L$3-$O$2,$Q$2)/$Q$2))</f>
        <v>2619.44404441947</v>
      </c>
      <c r="M243" s="15" t="n">
        <f aca="false">L243*(1+IF(M$3&lt;=$O$2,$D243,$D243-($D243-$I$238)*MIN(M$3-$O$2,$Q$2)/$Q$2))</f>
        <v>2662.37673230751</v>
      </c>
      <c r="N243" s="15" t="n">
        <f aca="false">M243*(1+IF(N$3&lt;=$O$2,$D243,$D243-($D243-$I$238)*MIN(N$3-$O$2,$Q$2)/$Q$2))</f>
        <v>2737.72199383181</v>
      </c>
      <c r="O243" s="15" t="n">
        <f aca="false">SUMPRODUCT(E243:N243,1/(1+$F$238)^$E$3:$N$3)*$E$2</f>
        <v>8597.22984857135</v>
      </c>
      <c r="P243" s="15" t="n">
        <f aca="false">N243*$E$2*(1+$I$238)/($F$238-$I$238)/(1+$F$238)^$N$3</f>
        <v>12538.0192214879</v>
      </c>
      <c r="Q243" s="15" t="n">
        <f aca="false">O243+P243</f>
        <v>21135.2490700593</v>
      </c>
      <c r="R243" s="15" t="n">
        <f aca="false">Q243-$G$2+$I$2</f>
        <v>17067.4490700593</v>
      </c>
      <c r="S243" s="42" t="n">
        <f aca="false">R243/$K$2</f>
        <v>131.126683082816</v>
      </c>
      <c r="T243" s="43" t="n">
        <f aca="false">S243-$M$2</f>
        <v>-45.5020815146031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3189.0625</v>
      </c>
      <c r="F244" s="15" t="n">
        <f aca="false">E244*(1+IF(F$3&lt;=$O$2,$D244,$D244-($D244-$I$238)*MIN(F$3-$O$2,$Q$2)/$Q$2))</f>
        <v>3238.8916015625</v>
      </c>
      <c r="G244" s="15" t="n">
        <f aca="false">F244*(1+IF(G$3&lt;=$O$2,$D244,$D244-($D244-$I$238)*MIN(G$3-$O$2,$Q$2)/$Q$2))</f>
        <v>3289.49928283691</v>
      </c>
      <c r="H244" s="15" t="n">
        <f aca="false">G244*(1+IF(H$3&lt;=$O$2,$D244,$D244-($D244-$I$238)*MIN(H$3-$O$2,$Q$2)/$Q$2))</f>
        <v>3340.89770913124</v>
      </c>
      <c r="I244" s="15" t="n">
        <f aca="false">H244*(1+IF(I$3&lt;=$O$2,$D244,$D244-($D244-$I$238)*MIN(I$3-$O$2,$Q$2)/$Q$2))</f>
        <v>3393.09923583642</v>
      </c>
      <c r="J244" s="15" t="n">
        <f aca="false">I244*(1+IF(J$3&lt;=$O$2,$D244,$D244-($D244-$I$238)*MIN(J$3-$O$2,$Q$2)/$Q$2))</f>
        <v>3454.71791795921</v>
      </c>
      <c r="K244" s="15" t="n">
        <f aca="false">J244*(1+IF(K$3&lt;=$O$2,$D244,$D244-($D244-$I$238)*MIN(K$3-$O$2,$Q$2)/$Q$2))</f>
        <v>3526.21330527137</v>
      </c>
      <c r="L244" s="15" t="n">
        <f aca="false">K244*(1+IF(L$3&lt;=$O$2,$D244,$D244-($D244-$I$238)*MIN(L$3-$O$2,$Q$2)/$Q$2))</f>
        <v>3608.12724035283</v>
      </c>
      <c r="M244" s="15" t="n">
        <f aca="false">L244*(1+IF(M$3&lt;=$O$2,$D244,$D244-($D244-$I$238)*MIN(M$3-$O$2,$Q$2)/$Q$2))</f>
        <v>3701.09063870052</v>
      </c>
      <c r="N244" s="15" t="n">
        <f aca="false">M244*(1+IF(N$3&lt;=$O$2,$D244,$D244-($D244-$I$238)*MIN(N$3-$O$2,$Q$2)/$Q$2))</f>
        <v>3805.83150377574</v>
      </c>
      <c r="O244" s="15" t="n">
        <f aca="false">SUMPRODUCT(E244:N244,1/(1+$F$238)^$E$3:$N$3)*$E$2</f>
        <v>10562.39483098</v>
      </c>
      <c r="P244" s="15" t="n">
        <f aca="false">N244*$E$2*(1+$I$238)/($F$238-$I$238)/(1+$F$238)^$N$3</f>
        <v>17429.6691393772</v>
      </c>
      <c r="Q244" s="15" t="n">
        <f aca="false">O244+P244</f>
        <v>27992.0639703572</v>
      </c>
      <c r="R244" s="15" t="n">
        <f aca="false">Q244-$G$2+$I$2</f>
        <v>23924.2639703572</v>
      </c>
      <c r="S244" s="42" t="n">
        <f aca="false">R244/$K$2</f>
        <v>183.806576293463</v>
      </c>
      <c r="T244" s="43" t="n">
        <f aca="false">S244-$M$2</f>
        <v>7.17781169604464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-0.03125</v>
      </c>
      <c r="C245" s="25" t="n">
        <f aca="false">IF(T244&gt;0,D244,C244)</f>
        <v>0.015625</v>
      </c>
      <c r="D245" s="41" t="n">
        <f aca="false">(B245+C245)/2</f>
        <v>-0.0078125</v>
      </c>
      <c r="E245" s="15" t="n">
        <f aca="false">$C$2*(1+IF(E$3&lt;=$O$2,$D245,$D245-($D245-$I$238)*MIN(E$3-$O$2,$Q$2)/$Q$2))</f>
        <v>3115.46875</v>
      </c>
      <c r="F245" s="15" t="n">
        <f aca="false">E245*(1+IF(F$3&lt;=$O$2,$D245,$D245-($D245-$I$238)*MIN(F$3-$O$2,$Q$2)/$Q$2))</f>
        <v>3091.12915039063</v>
      </c>
      <c r="G245" s="15" t="n">
        <f aca="false">F245*(1+IF(G$3&lt;=$O$2,$D245,$D245-($D245-$I$238)*MIN(G$3-$O$2,$Q$2)/$Q$2))</f>
        <v>3066.9797039032</v>
      </c>
      <c r="H245" s="15" t="n">
        <f aca="false">G245*(1+IF(H$3&lt;=$O$2,$D245,$D245-($D245-$I$238)*MIN(H$3-$O$2,$Q$2)/$Q$2))</f>
        <v>3043.01892496645</v>
      </c>
      <c r="I245" s="15" t="n">
        <f aca="false">H245*(1+IF(I$3&lt;=$O$2,$D245,$D245-($D245-$I$238)*MIN(I$3-$O$2,$Q$2)/$Q$2))</f>
        <v>3019.24533961515</v>
      </c>
      <c r="J245" s="15" t="n">
        <f aca="false">I245*(1+IF(J$3&lt;=$O$2,$D245,$D245-($D245-$I$238)*MIN(J$3-$O$2,$Q$2)/$Q$2))</f>
        <v>3017.46398486478</v>
      </c>
      <c r="K245" s="15" t="n">
        <f aca="false">J245*(1+IF(K$3&lt;=$O$2,$D245,$D245-($D245-$I$238)*MIN(K$3-$O$2,$Q$2)/$Q$2))</f>
        <v>3037.4773147444</v>
      </c>
      <c r="L245" s="15" t="n">
        <f aca="false">K245*(1+IF(L$3&lt;=$O$2,$D245,$D245-($D245-$I$238)*MIN(L$3-$O$2,$Q$2)/$Q$2))</f>
        <v>3079.56156294018</v>
      </c>
      <c r="M245" s="15" t="n">
        <f aca="false">L245*(1+IF(M$3&lt;=$O$2,$D245,$D245-($D245-$I$238)*MIN(M$3-$O$2,$Q$2)/$Q$2))</f>
        <v>3144.47102178305</v>
      </c>
      <c r="N245" s="15" t="n">
        <f aca="false">M245*(1+IF(N$3&lt;=$O$2,$D245,$D245-($D245-$I$238)*MIN(N$3-$O$2,$Q$2)/$Q$2))</f>
        <v>3233.45955169951</v>
      </c>
      <c r="O245" s="15" t="n">
        <f aca="false">SUMPRODUCT(E245:N245,1/(1+$F$238)^$E$3:$N$3)*$E$2</f>
        <v>9528.09888377553</v>
      </c>
      <c r="P245" s="15" t="n">
        <f aca="false">N245*$E$2*(1+$I$238)/($F$238-$I$238)/(1+$F$238)^$N$3</f>
        <v>14808.3618798596</v>
      </c>
      <c r="Q245" s="15" t="n">
        <f aca="false">O245+P245</f>
        <v>24336.4607636351</v>
      </c>
      <c r="R245" s="15" t="n">
        <f aca="false">Q245-$G$2+$I$2</f>
        <v>20268.6607636351</v>
      </c>
      <c r="S245" s="42" t="n">
        <f aca="false">R245/$K$2</f>
        <v>155.721118343847</v>
      </c>
      <c r="T245" s="43" t="n">
        <f aca="false">S245-$M$2</f>
        <v>-20.9076462535715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-0.0078125</v>
      </c>
      <c r="C246" s="25" t="n">
        <f aca="false">IF(T245&gt;0,D245,C245)</f>
        <v>0.015625</v>
      </c>
      <c r="D246" s="41" t="n">
        <f aca="false">(B246+C246)/2</f>
        <v>0.00390625</v>
      </c>
      <c r="E246" s="15" t="n">
        <f aca="false">$C$2*(1+IF(E$3&lt;=$O$2,$D246,$D246-($D246-$I$238)*MIN(E$3-$O$2,$Q$2)/$Q$2))</f>
        <v>3152.265625</v>
      </c>
      <c r="F246" s="15" t="n">
        <f aca="false">E246*(1+IF(F$3&lt;=$O$2,$D246,$D246-($D246-$I$238)*MIN(F$3-$O$2,$Q$2)/$Q$2))</f>
        <v>3164.57916259766</v>
      </c>
      <c r="G246" s="15" t="n">
        <f aca="false">F246*(1+IF(G$3&lt;=$O$2,$D246,$D246-($D246-$I$238)*MIN(G$3-$O$2,$Q$2)/$Q$2))</f>
        <v>3176.94079995155</v>
      </c>
      <c r="H246" s="15" t="n">
        <f aca="false">G246*(1+IF(H$3&lt;=$O$2,$D246,$D246-($D246-$I$238)*MIN(H$3-$O$2,$Q$2)/$Q$2))</f>
        <v>3189.35072495136</v>
      </c>
      <c r="I246" s="15" t="n">
        <f aca="false">H246*(1+IF(I$3&lt;=$O$2,$D246,$D246-($D246-$I$238)*MIN(I$3-$O$2,$Q$2)/$Q$2))</f>
        <v>3201.80912622071</v>
      </c>
      <c r="J246" s="15" t="n">
        <f aca="false">I246*(1+IF(J$3&lt;=$O$2,$D246,$D246-($D246-$I$238)*MIN(J$3-$O$2,$Q$2)/$Q$2))</f>
        <v>3229.93701939455</v>
      </c>
      <c r="K246" s="15" t="n">
        <f aca="false">J246*(1+IF(K$3&lt;=$O$2,$D246,$D246-($D246-$I$238)*MIN(K$3-$O$2,$Q$2)/$Q$2))</f>
        <v>3274.07007134331</v>
      </c>
      <c r="L246" s="15" t="n">
        <f aca="false">K246*(1+IF(L$3&lt;=$O$2,$D246,$D246-($D246-$I$238)*MIN(L$3-$O$2,$Q$2)/$Q$2))</f>
        <v>3334.77951564119</v>
      </c>
      <c r="M246" s="15" t="n">
        <f aca="false">L246*(1+IF(M$3&lt;=$O$2,$D246,$D246-($D246-$I$238)*MIN(M$3-$O$2,$Q$2)/$Q$2))</f>
        <v>3412.8842203719</v>
      </c>
      <c r="N246" s="15" t="n">
        <f aca="false">M246*(1+IF(N$3&lt;=$O$2,$D246,$D246-($D246-$I$238)*MIN(N$3-$O$2,$Q$2)/$Q$2))</f>
        <v>3509.46884380843</v>
      </c>
      <c r="O246" s="15" t="n">
        <f aca="false">SUMPRODUCT(E246:N246,1/(1+$F$238)^$E$3:$N$3)*$E$2</f>
        <v>10031.6663791952</v>
      </c>
      <c r="P246" s="15" t="n">
        <f aca="false">N246*$E$2*(1+$I$238)/($F$238-$I$238)/(1+$F$238)^$N$3</f>
        <v>16072.4090758743</v>
      </c>
      <c r="Q246" s="15" t="n">
        <f aca="false">O246+P246</f>
        <v>26104.0754550695</v>
      </c>
      <c r="R246" s="15" t="n">
        <f aca="false">Q246-$G$2+$I$2</f>
        <v>22036.2754550695</v>
      </c>
      <c r="S246" s="42" t="n">
        <f aca="false">R246/$K$2</f>
        <v>169.301440189532</v>
      </c>
      <c r="T246" s="43" t="n">
        <f aca="false">S246-$M$2</f>
        <v>-7.32732440788652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0.00390625</v>
      </c>
      <c r="C247" s="25" t="n">
        <f aca="false">IF(T246&gt;0,D246,C246)</f>
        <v>0.015625</v>
      </c>
      <c r="D247" s="41" t="n">
        <f aca="false">(B247+C247)/2</f>
        <v>0.009765625</v>
      </c>
      <c r="E247" s="15" t="n">
        <f aca="false">$C$2*(1+IF(E$3&lt;=$O$2,$D247,$D247-($D247-$I$238)*MIN(E$3-$O$2,$Q$2)/$Q$2))</f>
        <v>3170.6640625</v>
      </c>
      <c r="F247" s="15" t="n">
        <f aca="false">E247*(1+IF(F$3&lt;=$O$2,$D247,$D247-($D247-$I$238)*MIN(F$3-$O$2,$Q$2)/$Q$2))</f>
        <v>3201.62757873535</v>
      </c>
      <c r="G247" s="15" t="n">
        <f aca="false">F247*(1+IF(G$3&lt;=$O$2,$D247,$D247-($D247-$I$238)*MIN(G$3-$O$2,$Q$2)/$Q$2))</f>
        <v>3232.89347305894</v>
      </c>
      <c r="H247" s="15" t="n">
        <f aca="false">G247*(1+IF(H$3&lt;=$O$2,$D247,$D247-($D247-$I$238)*MIN(H$3-$O$2,$Q$2)/$Q$2))</f>
        <v>3264.46469838178</v>
      </c>
      <c r="I247" s="15" t="n">
        <f aca="false">H247*(1+IF(I$3&lt;=$O$2,$D247,$D247-($D247-$I$238)*MIN(I$3-$O$2,$Q$2)/$Q$2))</f>
        <v>3296.34423645191</v>
      </c>
      <c r="J247" s="15" t="n">
        <f aca="false">I247*(1+IF(J$3&lt;=$O$2,$D247,$D247-($D247-$I$238)*MIN(J$3-$O$2,$Q$2)/$Q$2))</f>
        <v>3340.75423417751</v>
      </c>
      <c r="K247" s="15" t="n">
        <f aca="false">J247*(1+IF(K$3&lt;=$O$2,$D247,$D247-($D247-$I$238)*MIN(K$3-$O$2,$Q$2)/$Q$2))</f>
        <v>3398.14630394929</v>
      </c>
      <c r="L247" s="15" t="n">
        <f aca="false">K247*(1+IF(L$3&lt;=$O$2,$D247,$D247-($D247-$I$238)*MIN(L$3-$O$2,$Q$2)/$Q$2))</f>
        <v>3469.12083719015</v>
      </c>
      <c r="M247" s="15" t="n">
        <f aca="false">L247*(1+IF(M$3&lt;=$O$2,$D247,$D247-($D247-$I$238)*MIN(M$3-$O$2,$Q$2)/$Q$2))</f>
        <v>3554.43735957927</v>
      </c>
      <c r="N247" s="15" t="n">
        <f aca="false">M247*(1+IF(N$3&lt;=$O$2,$D247,$D247-($D247-$I$238)*MIN(N$3-$O$2,$Q$2)/$Q$2))</f>
        <v>3655.02793685536</v>
      </c>
      <c r="O247" s="15" t="n">
        <f aca="false">SUMPRODUCT(E247:N247,1/(1+$F$238)^$E$3:$N$3)*$E$2</f>
        <v>10293.5508409961</v>
      </c>
      <c r="P247" s="15" t="n">
        <f aca="false">N247*$E$2*(1+$I$238)/($F$238-$I$238)/(1+$F$238)^$N$3</f>
        <v>16739.0299784337</v>
      </c>
      <c r="Q247" s="15" t="n">
        <f aca="false">O247+P247</f>
        <v>27032.5808194298</v>
      </c>
      <c r="R247" s="15" t="n">
        <f aca="false">Q247-$G$2+$I$2</f>
        <v>22964.7808194298</v>
      </c>
      <c r="S247" s="42" t="n">
        <f aca="false">R247/$K$2</f>
        <v>176.435009368698</v>
      </c>
      <c r="T247" s="43" t="n">
        <f aca="false">S247-$M$2</f>
        <v>-0.193755228720391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0.009765625</v>
      </c>
      <c r="C248" s="25" t="n">
        <f aca="false">IF(T247&gt;0,D247,C247)</f>
        <v>0.015625</v>
      </c>
      <c r="D248" s="41" t="n">
        <f aca="false">(B248+C248)/2</f>
        <v>0.0126953125</v>
      </c>
      <c r="E248" s="15" t="n">
        <f aca="false">$C$2*(1+IF(E$3&lt;=$O$2,$D248,$D248-($D248-$I$238)*MIN(E$3-$O$2,$Q$2)/$Q$2))</f>
        <v>3179.86328125</v>
      </c>
      <c r="F248" s="15" t="n">
        <f aca="false">E248*(1+IF(F$3&lt;=$O$2,$D248,$D248-($D248-$I$238)*MIN(F$3-$O$2,$Q$2)/$Q$2))</f>
        <v>3220.23263931274</v>
      </c>
      <c r="G248" s="15" t="n">
        <f aca="false">F248*(1+IF(G$3&lt;=$O$2,$D248,$D248-($D248-$I$238)*MIN(G$3-$O$2,$Q$2)/$Q$2))</f>
        <v>3261.11449899152</v>
      </c>
      <c r="H248" s="15" t="n">
        <f aca="false">G248*(1+IF(H$3&lt;=$O$2,$D248,$D248-($D248-$I$238)*MIN(H$3-$O$2,$Q$2)/$Q$2))</f>
        <v>3302.5153666545</v>
      </c>
      <c r="I248" s="15" t="n">
        <f aca="false">H248*(1+IF(I$3&lt;=$O$2,$D248,$D248-($D248-$I$238)*MIN(I$3-$O$2,$Q$2)/$Q$2))</f>
        <v>3344.44183127023</v>
      </c>
      <c r="J248" s="15" t="n">
        <f aca="false">I248*(1+IF(J$3&lt;=$O$2,$D248,$D248-($D248-$I$238)*MIN(J$3-$O$2,$Q$2)/$Q$2))</f>
        <v>3397.33835938406</v>
      </c>
      <c r="K248" s="15" t="n">
        <f aca="false">J248*(1+IF(K$3&lt;=$O$2,$D248,$D248-($D248-$I$238)*MIN(K$3-$O$2,$Q$2)/$Q$2))</f>
        <v>3461.67439289665</v>
      </c>
      <c r="L248" s="15" t="n">
        <f aca="false">K248*(1+IF(L$3&lt;=$O$2,$D248,$D248-($D248-$I$238)*MIN(L$3-$O$2,$Q$2)/$Q$2))</f>
        <v>3538.03243936447</v>
      </c>
      <c r="M248" s="15" t="n">
        <f aca="false">L248*(1+IF(M$3&lt;=$O$2,$D248,$D248-($D248-$I$238)*MIN(M$3-$O$2,$Q$2)/$Q$2))</f>
        <v>3627.11677928225</v>
      </c>
      <c r="N248" s="15" t="n">
        <f aca="false">M248*(1+IF(N$3&lt;=$O$2,$D248,$D248-($D248-$I$238)*MIN(N$3-$O$2,$Q$2)/$Q$2))</f>
        <v>3729.76418413594</v>
      </c>
      <c r="O248" s="15" t="n">
        <f aca="false">SUMPRODUCT(E248:N248,1/(1+$F$238)^$E$3:$N$3)*$E$2</f>
        <v>10427.0921134647</v>
      </c>
      <c r="P248" s="15" t="n">
        <f aca="false">N248*$E$2*(1+$I$238)/($F$238-$I$238)/(1+$F$238)^$N$3</f>
        <v>17081.3015849215</v>
      </c>
      <c r="Q248" s="15" t="n">
        <f aca="false">O248+P248</f>
        <v>27508.3936983862</v>
      </c>
      <c r="R248" s="15" t="n">
        <f aca="false">Q248-$G$2+$I$2</f>
        <v>23440.5936983862</v>
      </c>
      <c r="S248" s="42" t="n">
        <f aca="false">R248/$K$2</f>
        <v>180.090609237755</v>
      </c>
      <c r="T248" s="43" t="n">
        <f aca="false">S248-$M$2</f>
        <v>3.46184464033632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0.009765625</v>
      </c>
      <c r="C249" s="25" t="n">
        <f aca="false">IF(T248&gt;0,D248,C248)</f>
        <v>0.0126953125</v>
      </c>
      <c r="D249" s="41" t="n">
        <f aca="false">(B249+C249)/2</f>
        <v>0.01123046875</v>
      </c>
      <c r="E249" s="15" t="n">
        <f aca="false">$C$2*(1+IF(E$3&lt;=$O$2,$D249,$D249-($D249-$I$238)*MIN(E$3-$O$2,$Q$2)/$Q$2))</f>
        <v>3175.263671875</v>
      </c>
      <c r="F249" s="15" t="n">
        <f aca="false">E249*(1+IF(F$3&lt;=$O$2,$D249,$D249-($D249-$I$238)*MIN(F$3-$O$2,$Q$2)/$Q$2))</f>
        <v>3210.923371315</v>
      </c>
      <c r="G249" s="15" t="n">
        <f aca="false">F249*(1+IF(G$3&lt;=$O$2,$D249,$D249-($D249-$I$238)*MIN(G$3-$O$2,$Q$2)/$Q$2))</f>
        <v>3246.9835458952</v>
      </c>
      <c r="H249" s="15" t="n">
        <f aca="false">G249*(1+IF(H$3&lt;=$O$2,$D249,$D249-($D249-$I$238)*MIN(H$3-$O$2,$Q$2)/$Q$2))</f>
        <v>3283.44869313914</v>
      </c>
      <c r="I249" s="15" t="n">
        <f aca="false">H249*(1+IF(I$3&lt;=$O$2,$D249,$D249-($D249-$I$238)*MIN(I$3-$O$2,$Q$2)/$Q$2))</f>
        <v>3320.32336107967</v>
      </c>
      <c r="J249" s="15" t="n">
        <f aca="false">I249*(1+IF(J$3&lt;=$O$2,$D249,$D249-($D249-$I$238)*MIN(J$3-$O$2,$Q$2)/$Q$2))</f>
        <v>3368.94742150058</v>
      </c>
      <c r="K249" s="15" t="n">
        <f aca="false">J249*(1+IF(K$3&lt;=$O$2,$D249,$D249-($D249-$I$238)*MIN(K$3-$O$2,$Q$2)/$Q$2))</f>
        <v>3429.7848215545</v>
      </c>
      <c r="L249" s="15" t="n">
        <f aca="false">K249*(1+IF(L$3&lt;=$O$2,$D249,$D249-($D249-$I$238)*MIN(L$3-$O$2,$Q$2)/$Q$2))</f>
        <v>3503.42980432757</v>
      </c>
      <c r="M249" s="15" t="n">
        <f aca="false">L249*(1+IF(M$3&lt;=$O$2,$D249,$D249-($D249-$I$238)*MIN(M$3-$O$2,$Q$2)/$Q$2))</f>
        <v>3590.61648688461</v>
      </c>
      <c r="N249" s="15" t="n">
        <f aca="false">M249*(1+IF(N$3&lt;=$O$2,$D249,$D249-($D249-$I$238)*MIN(N$3-$O$2,$Q$2)/$Q$2))</f>
        <v>3692.23093346345</v>
      </c>
      <c r="O249" s="15" t="n">
        <f aca="false">SUMPRODUCT(E249:N249,1/(1+$F$238)^$E$3:$N$3)*$E$2</f>
        <v>10360.1026533614</v>
      </c>
      <c r="P249" s="15" t="n">
        <f aca="false">N249*$E$2*(1+$I$238)/($F$238-$I$238)/(1+$F$238)^$N$3</f>
        <v>16909.4095449565</v>
      </c>
      <c r="Q249" s="15" t="n">
        <f aca="false">O249+P249</f>
        <v>27269.5121983179</v>
      </c>
      <c r="R249" s="15" t="n">
        <f aca="false">Q249-$G$2+$I$2</f>
        <v>23201.7121983179</v>
      </c>
      <c r="S249" s="42" t="n">
        <f aca="false">R249/$K$2</f>
        <v>178.255318057144</v>
      </c>
      <c r="T249" s="43" t="n">
        <f aca="false">S249-$M$2</f>
        <v>1.62655345972561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0.009765625</v>
      </c>
      <c r="C250" s="25" t="n">
        <f aca="false">IF(T249&gt;0,D249,C249)</f>
        <v>0.01123046875</v>
      </c>
      <c r="D250" s="41" t="n">
        <f aca="false">(B250+C250)/2</f>
        <v>0.010498046875</v>
      </c>
      <c r="E250" s="15" t="n">
        <f aca="false">$C$2*(1+IF(E$3&lt;=$O$2,$D250,$D250-($D250-$I$238)*MIN(E$3-$O$2,$Q$2)/$Q$2))</f>
        <v>3172.9638671875</v>
      </c>
      <c r="F250" s="15" t="n">
        <f aca="false">E250*(1+IF(F$3&lt;=$O$2,$D250,$D250-($D250-$I$238)*MIN(F$3-$O$2,$Q$2)/$Q$2))</f>
        <v>3206.27379059792</v>
      </c>
      <c r="G250" s="15" t="n">
        <f aca="false">F250*(1+IF(G$3&lt;=$O$2,$D250,$D250-($D250-$I$238)*MIN(G$3-$O$2,$Q$2)/$Q$2))</f>
        <v>3239.9334031457</v>
      </c>
      <c r="H250" s="15" t="n">
        <f aca="false">G250*(1+IF(H$3&lt;=$O$2,$D250,$D250-($D250-$I$238)*MIN(H$3-$O$2,$Q$2)/$Q$2))</f>
        <v>3273.9463758838</v>
      </c>
      <c r="I250" s="15" t="n">
        <f aca="false">H250*(1+IF(I$3&lt;=$O$2,$D250,$D250-($D250-$I$238)*MIN(I$3-$O$2,$Q$2)/$Q$2))</f>
        <v>3308.31641840406</v>
      </c>
      <c r="J250" s="15" t="n">
        <f aca="false">I250*(1+IF(J$3&lt;=$O$2,$D250,$D250-($D250-$I$238)*MIN(J$3-$O$2,$Q$2)/$Q$2))</f>
        <v>3354.82617800242</v>
      </c>
      <c r="K250" s="15" t="n">
        <f aca="false">J250*(1+IF(K$3&lt;=$O$2,$D250,$D250-($D250-$I$238)*MIN(K$3-$O$2,$Q$2)/$Q$2))</f>
        <v>3413.9342838219</v>
      </c>
      <c r="L250" s="15" t="n">
        <f aca="false">K250*(1+IF(L$3&lt;=$O$2,$D250,$D250-($D250-$I$238)*MIN(L$3-$O$2,$Q$2)/$Q$2))</f>
        <v>3486.23874481708</v>
      </c>
      <c r="M250" s="15" t="n">
        <f aca="false">L250*(1+IF(M$3&lt;=$O$2,$D250,$D250-($D250-$I$238)*MIN(M$3-$O$2,$Q$2)/$Q$2))</f>
        <v>3572.48692955185</v>
      </c>
      <c r="N250" s="15" t="n">
        <f aca="false">M250*(1+IF(N$3&lt;=$O$2,$D250,$D250-($D250-$I$238)*MIN(N$3-$O$2,$Q$2)/$Q$2))</f>
        <v>3673.58830965817</v>
      </c>
      <c r="O250" s="15" t="n">
        <f aca="false">SUMPRODUCT(E250:N250,1/(1+$F$238)^$E$3:$N$3)*$E$2</f>
        <v>10326.7722100095</v>
      </c>
      <c r="P250" s="15" t="n">
        <f aca="false">N250*$E$2*(1+$I$238)/($F$238-$I$238)/(1+$F$238)^$N$3</f>
        <v>16824.0314181284</v>
      </c>
      <c r="Q250" s="15" t="n">
        <f aca="false">O250+P250</f>
        <v>27150.8036281379</v>
      </c>
      <c r="R250" s="15" t="n">
        <f aca="false">Q250-$G$2+$I$2</f>
        <v>23083.0036281379</v>
      </c>
      <c r="S250" s="42" t="n">
        <f aca="false">R250/$K$2</f>
        <v>177.343297696204</v>
      </c>
      <c r="T250" s="43" t="n">
        <f aca="false">S250-$M$2</f>
        <v>0.714533098785324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0.009765625</v>
      </c>
      <c r="C251" s="25" t="n">
        <f aca="false">IF(T250&gt;0,D250,C250)</f>
        <v>0.010498046875</v>
      </c>
      <c r="D251" s="41" t="n">
        <f aca="false">(B251+C251)/2</f>
        <v>0.0101318359375</v>
      </c>
      <c r="E251" s="15" t="n">
        <f aca="false">$C$2*(1+IF(E$3&lt;=$O$2,$D251,$D251-($D251-$I$238)*MIN(E$3-$O$2,$Q$2)/$Q$2))</f>
        <v>3171.81396484375</v>
      </c>
      <c r="F251" s="15" t="n">
        <f aca="false">E251*(1+IF(F$3&lt;=$O$2,$D251,$D251-($D251-$I$238)*MIN(F$3-$O$2,$Q$2)/$Q$2))</f>
        <v>3203.95026355982</v>
      </c>
      <c r="G251" s="15" t="n">
        <f aca="false">F251*(1+IF(G$3&lt;=$O$2,$D251,$D251-($D251-$I$238)*MIN(G$3-$O$2,$Q$2)/$Q$2))</f>
        <v>3236.41216198212</v>
      </c>
      <c r="H251" s="15" t="n">
        <f aca="false">G251*(1+IF(H$3&lt;=$O$2,$D251,$D251-($D251-$I$238)*MIN(H$3-$O$2,$Q$2)/$Q$2))</f>
        <v>3269.20295903345</v>
      </c>
      <c r="I251" s="15" t="n">
        <f aca="false">H251*(1+IF(I$3&lt;=$O$2,$D251,$D251-($D251-$I$238)*MIN(I$3-$O$2,$Q$2)/$Q$2))</f>
        <v>3302.32598706077</v>
      </c>
      <c r="J251" s="15" t="n">
        <f aca="false">I251*(1+IF(J$3&lt;=$O$2,$D251,$D251-($D251-$I$238)*MIN(J$3-$O$2,$Q$2)/$Q$2))</f>
        <v>3347.78405223796</v>
      </c>
      <c r="K251" s="15" t="n">
        <f aca="false">J251*(1+IF(K$3&lt;=$O$2,$D251,$D251-($D251-$I$238)*MIN(K$3-$O$2,$Q$2)/$Q$2))</f>
        <v>3406.03248697217</v>
      </c>
      <c r="L251" s="15" t="n">
        <f aca="false">K251*(1+IF(L$3&lt;=$O$2,$D251,$D251-($D251-$I$238)*MIN(L$3-$O$2,$Q$2)/$Q$2))</f>
        <v>3477.67066354328</v>
      </c>
      <c r="M251" s="15" t="n">
        <f aca="false">L251*(1+IF(M$3&lt;=$O$2,$D251,$D251-($D251-$I$238)*MIN(M$3-$O$2,$Q$2)/$Q$2))</f>
        <v>3563.45216508743</v>
      </c>
      <c r="N251" s="15" t="n">
        <f aca="false">M251*(1+IF(N$3&lt;=$O$2,$D251,$D251-($D251-$I$238)*MIN(N$3-$O$2,$Q$2)/$Q$2))</f>
        <v>3664.2978613594</v>
      </c>
      <c r="O251" s="15" t="n">
        <f aca="false">SUMPRODUCT(E251:N251,1/(1+$F$238)^$E$3:$N$3)*$E$2</f>
        <v>10310.1479122606</v>
      </c>
      <c r="P251" s="15" t="n">
        <f aca="false">N251*$E$2*(1+$I$238)/($F$238-$I$238)/(1+$F$238)^$N$3</f>
        <v>16781.483701593</v>
      </c>
      <c r="Q251" s="15" t="n">
        <f aca="false">O251+P251</f>
        <v>27091.6316138536</v>
      </c>
      <c r="R251" s="15" t="n">
        <f aca="false">Q251-$G$2+$I$2</f>
        <v>23023.8316138536</v>
      </c>
      <c r="S251" s="42" t="n">
        <f aca="false">R251/$K$2</f>
        <v>176.888687875335</v>
      </c>
      <c r="T251" s="43" t="n">
        <f aca="false">S251-$M$2</f>
        <v>0.259923277916641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0.009765625</v>
      </c>
      <c r="C252" s="25" t="n">
        <f aca="false">IF(T251&gt;0,D251,C251)</f>
        <v>0.0101318359375</v>
      </c>
      <c r="D252" s="41" t="n">
        <f aca="false">(B252+C252)/2</f>
        <v>0.00994873046875</v>
      </c>
      <c r="E252" s="15" t="n">
        <f aca="false">$C$2*(1+IF(E$3&lt;=$O$2,$D252,$D252-($D252-$I$238)*MIN(E$3-$O$2,$Q$2)/$Q$2))</f>
        <v>3171.23901367188</v>
      </c>
      <c r="F252" s="15" t="n">
        <f aca="false">E252*(1+IF(F$3&lt;=$O$2,$D252,$D252-($D252-$I$238)*MIN(F$3-$O$2,$Q$2)/$Q$2))</f>
        <v>3202.78881587088</v>
      </c>
      <c r="G252" s="15" t="n">
        <f aca="false">F252*(1+IF(G$3&lt;=$O$2,$D252,$D252-($D252-$I$238)*MIN(G$3-$O$2,$Q$2)/$Q$2))</f>
        <v>3234.65249854831</v>
      </c>
      <c r="H252" s="15" t="n">
        <f aca="false">G252*(1+IF(H$3&lt;=$O$2,$D252,$D252-($D252-$I$238)*MIN(H$3-$O$2,$Q$2)/$Q$2))</f>
        <v>3266.83318441643</v>
      </c>
      <c r="I252" s="15" t="n">
        <f aca="false">H252*(1+IF(I$3&lt;=$O$2,$D252,$D252-($D252-$I$238)*MIN(I$3-$O$2,$Q$2)/$Q$2))</f>
        <v>3299.33402725456</v>
      </c>
      <c r="J252" s="15" t="n">
        <f aca="false">I252*(1+IF(J$3&lt;=$O$2,$D252,$D252-($D252-$I$238)*MIN(J$3-$O$2,$Q$2)/$Q$2))</f>
        <v>3344.26760581965</v>
      </c>
      <c r="K252" s="15" t="n">
        <f aca="false">J252*(1+IF(K$3&lt;=$O$2,$D252,$D252-($D252-$I$238)*MIN(K$3-$O$2,$Q$2)/$Q$2))</f>
        <v>3402.08744533293</v>
      </c>
      <c r="L252" s="15" t="n">
        <f aca="false">K252*(1+IF(L$3&lt;=$O$2,$D252,$D252-($D252-$I$238)*MIN(L$3-$O$2,$Q$2)/$Q$2))</f>
        <v>3473.39347056458</v>
      </c>
      <c r="M252" s="15" t="n">
        <f aca="false">L252*(1+IF(M$3&lt;=$O$2,$D252,$D252-($D252-$I$238)*MIN(M$3-$O$2,$Q$2)/$Q$2))</f>
        <v>3558.94226982827</v>
      </c>
      <c r="N252" s="15" t="n">
        <f aca="false">M252*(1+IF(N$3&lt;=$O$2,$D252,$D252-($D252-$I$238)*MIN(N$3-$O$2,$Q$2)/$Q$2))</f>
        <v>3659.66033606441</v>
      </c>
      <c r="O252" s="15" t="n">
        <f aca="false">SUMPRODUCT(E252:N252,1/(1+$F$238)^$E$3:$N$3)*$E$2</f>
        <v>10301.8459759459</v>
      </c>
      <c r="P252" s="15" t="n">
        <f aca="false">N252*$E$2*(1+$I$238)/($F$238-$I$238)/(1+$F$238)^$N$3</f>
        <v>16760.2451019764</v>
      </c>
      <c r="Q252" s="15" t="n">
        <f aca="false">O252+P252</f>
        <v>27062.0910779223</v>
      </c>
      <c r="R252" s="15" t="n">
        <f aca="false">Q252-$G$2+$I$2</f>
        <v>22994.2910779223</v>
      </c>
      <c r="S252" s="42" t="n">
        <f aca="false">R252/$K$2</f>
        <v>176.661732313478</v>
      </c>
      <c r="T252" s="43" t="n">
        <f aca="false">S252-$M$2</f>
        <v>0.0329677160594599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0.009765625</v>
      </c>
      <c r="C253" s="25" t="n">
        <f aca="false">IF(T252&gt;0,D252,C252)</f>
        <v>0.00994873046875</v>
      </c>
      <c r="D253" s="41" t="n">
        <f aca="false">(B253+C253)/2</f>
        <v>0.009857177734375</v>
      </c>
      <c r="E253" s="15" t="n">
        <f aca="false">$C$2*(1+IF(E$3&lt;=$O$2,$D253,$D253-($D253-$I$238)*MIN(E$3-$O$2,$Q$2)/$Q$2))</f>
        <v>3170.95153808594</v>
      </c>
      <c r="F253" s="15" t="n">
        <f aca="false">E253*(1+IF(F$3&lt;=$O$2,$D253,$D253-($D253-$I$238)*MIN(F$3-$O$2,$Q$2)/$Q$2))</f>
        <v>3202.20817098394</v>
      </c>
      <c r="G253" s="15" t="n">
        <f aca="false">F253*(1+IF(G$3&lt;=$O$2,$D253,$D253-($D253-$I$238)*MIN(G$3-$O$2,$Q$2)/$Q$2))</f>
        <v>3233.7729060678</v>
      </c>
      <c r="H253" s="15" t="n">
        <f aca="false">G253*(1+IF(H$3&lt;=$O$2,$D253,$D253-($D253-$I$238)*MIN(H$3-$O$2,$Q$2)/$Q$2))</f>
        <v>3265.64878035551</v>
      </c>
      <c r="I253" s="15" t="n">
        <f aca="false">H253*(1+IF(I$3&lt;=$O$2,$D253,$D253-($D253-$I$238)*MIN(I$3-$O$2,$Q$2)/$Q$2))</f>
        <v>3297.83886080152</v>
      </c>
      <c r="J253" s="15" t="n">
        <f aca="false">I253*(1+IF(J$3&lt;=$O$2,$D253,$D253-($D253-$I$238)*MIN(J$3-$O$2,$Q$2)/$Q$2))</f>
        <v>3342.51053578586</v>
      </c>
      <c r="K253" s="15" t="n">
        <f aca="false">J253*(1+IF(K$3&lt;=$O$2,$D253,$D253-($D253-$I$238)*MIN(K$3-$O$2,$Q$2)/$Q$2))</f>
        <v>3400.11638730911</v>
      </c>
      <c r="L253" s="15" t="n">
        <f aca="false">K253*(1+IF(L$3&lt;=$O$2,$D253,$D253-($D253-$I$238)*MIN(L$3-$O$2,$Q$2)/$Q$2))</f>
        <v>3471.25658418453</v>
      </c>
      <c r="M253" s="15" t="n">
        <f aca="false">L253*(1+IF(M$3&lt;=$O$2,$D253,$D253-($D253-$I$238)*MIN(M$3-$O$2,$Q$2)/$Q$2))</f>
        <v>3556.68919187285</v>
      </c>
      <c r="N253" s="15" t="n">
        <f aca="false">M253*(1+IF(N$3&lt;=$O$2,$D253,$D253-($D253-$I$238)*MIN(N$3-$O$2,$Q$2)/$Q$2))</f>
        <v>3657.34349600285</v>
      </c>
      <c r="O253" s="15" t="n">
        <f aca="false">SUMPRODUCT(E253:N253,1/(1+$F$238)^$E$3:$N$3)*$E$2</f>
        <v>10297.6975586287</v>
      </c>
      <c r="P253" s="15" t="n">
        <f aca="false">N253*$E$2*(1+$I$238)/($F$238-$I$238)/(1+$F$238)^$N$3</f>
        <v>16749.6346070867</v>
      </c>
      <c r="Q253" s="15" t="n">
        <f aca="false">O253+P253</f>
        <v>27047.3321657154</v>
      </c>
      <c r="R253" s="15" t="n">
        <f aca="false">Q253-$G$2+$I$2</f>
        <v>22979.5321657154</v>
      </c>
      <c r="S253" s="42" t="n">
        <f aca="false">R253/$K$2</f>
        <v>176.548341777162</v>
      </c>
      <c r="T253" s="43" t="n">
        <f aca="false">S253-$M$2</f>
        <v>-0.080422820256473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0.009857177734375</v>
      </c>
      <c r="C254" s="25" t="n">
        <f aca="false">IF(T253&gt;0,D253,C253)</f>
        <v>0.00994873046875</v>
      </c>
      <c r="D254" s="41" t="n">
        <f aca="false">(B254+C254)/2</f>
        <v>0.0099029541015625</v>
      </c>
      <c r="E254" s="15" t="n">
        <f aca="false">$C$2*(1+IF(E$3&lt;=$O$2,$D254,$D254-($D254-$I$238)*MIN(E$3-$O$2,$Q$2)/$Q$2))</f>
        <v>3171.09527587891</v>
      </c>
      <c r="F254" s="15" t="n">
        <f aca="false">E254*(1+IF(F$3&lt;=$O$2,$D254,$D254-($D254-$I$238)*MIN(F$3-$O$2,$Q$2)/$Q$2))</f>
        <v>3202.49848684762</v>
      </c>
      <c r="G254" s="15" t="n">
        <f aca="false">F254*(1+IF(G$3&lt;=$O$2,$D254,$D254-($D254-$I$238)*MIN(G$3-$O$2,$Q$2)/$Q$2))</f>
        <v>3234.21268237319</v>
      </c>
      <c r="H254" s="15" t="n">
        <f aca="false">G254*(1+IF(H$3&lt;=$O$2,$D254,$D254-($D254-$I$238)*MIN(H$3-$O$2,$Q$2)/$Q$2))</f>
        <v>3266.24094212143</v>
      </c>
      <c r="I254" s="15" t="n">
        <f aca="false">H254*(1+IF(I$3&lt;=$O$2,$D254,$D254-($D254-$I$238)*MIN(I$3-$O$2,$Q$2)/$Q$2))</f>
        <v>3298.5863762559</v>
      </c>
      <c r="J254" s="15" t="n">
        <f aca="false">I254*(1+IF(J$3&lt;=$O$2,$D254,$D254-($D254-$I$238)*MIN(J$3-$O$2,$Q$2)/$Q$2))</f>
        <v>3343.38897473279</v>
      </c>
      <c r="K254" s="15" t="n">
        <f aca="false">J254*(1+IF(K$3&lt;=$O$2,$D254,$D254-($D254-$I$238)*MIN(K$3-$O$2,$Q$2)/$Q$2))</f>
        <v>3401.10179446303</v>
      </c>
      <c r="L254" s="15" t="n">
        <f aca="false">K254*(1+IF(L$3&lt;=$O$2,$D254,$D254-($D254-$I$238)*MIN(L$3-$O$2,$Q$2)/$Q$2))</f>
        <v>3472.32488491914</v>
      </c>
      <c r="M254" s="15" t="n">
        <f aca="false">L254*(1+IF(M$3&lt;=$O$2,$D254,$D254-($D254-$I$238)*MIN(M$3-$O$2,$Q$2)/$Q$2))</f>
        <v>3557.81557510592</v>
      </c>
      <c r="N254" s="15" t="n">
        <f aca="false">M254*(1+IF(N$3&lt;=$O$2,$D254,$D254-($D254-$I$238)*MIN(N$3-$O$2,$Q$2)/$Q$2))</f>
        <v>3658.50175588142</v>
      </c>
      <c r="O254" s="15" t="n">
        <f aca="false">SUMPRODUCT(E254:N254,1/(1+$F$238)^$E$3:$N$3)*$E$2</f>
        <v>10299.7715547857</v>
      </c>
      <c r="P254" s="15" t="n">
        <f aca="false">N254*$E$2*(1+$I$238)/($F$238-$I$238)/(1+$F$238)^$N$3</f>
        <v>16754.9391210781</v>
      </c>
      <c r="Q254" s="15" t="n">
        <f aca="false">O254+P254</f>
        <v>27054.7106758639</v>
      </c>
      <c r="R254" s="15" t="n">
        <f aca="false">Q254-$G$2+$I$2</f>
        <v>22986.9106758639</v>
      </c>
      <c r="S254" s="42" t="n">
        <f aca="false">R254/$K$2</f>
        <v>176.605029777688</v>
      </c>
      <c r="T254" s="43" t="n">
        <f aca="false">S254-$M$2</f>
        <v>-0.023734819730663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0.0099029541015625</v>
      </c>
      <c r="C255" s="25" t="n">
        <f aca="false">IF(T254&gt;0,D254,C254)</f>
        <v>0.00994873046875</v>
      </c>
      <c r="D255" s="41" t="n">
        <f aca="false">(B255+C255)/2</f>
        <v>0.00992584228515625</v>
      </c>
      <c r="E255" s="15" t="n">
        <f aca="false">$C$2*(1+IF(E$3&lt;=$O$2,$D255,$D255-($D255-$I$238)*MIN(E$3-$O$2,$Q$2)/$Q$2))</f>
        <v>3171.16714477539</v>
      </c>
      <c r="F255" s="15" t="n">
        <f aca="false">E255*(1+IF(F$3&lt;=$O$2,$D255,$D255-($D255-$I$238)*MIN(F$3-$O$2,$Q$2)/$Q$2))</f>
        <v>3202.6436497143</v>
      </c>
      <c r="G255" s="15" t="n">
        <f aca="false">F255*(1+IF(G$3&lt;=$O$2,$D255,$D255-($D255-$I$238)*MIN(G$3-$O$2,$Q$2)/$Q$2))</f>
        <v>3234.43258547692</v>
      </c>
      <c r="H255" s="15" t="n">
        <f aca="false">G255*(1+IF(H$3&lt;=$O$2,$D255,$D255-($D255-$I$238)*MIN(H$3-$O$2,$Q$2)/$Q$2))</f>
        <v>3266.53705320234</v>
      </c>
      <c r="I255" s="15" t="n">
        <f aca="false">H255*(1+IF(I$3&lt;=$O$2,$D255,$D255-($D255-$I$238)*MIN(I$3-$O$2,$Q$2)/$Q$2))</f>
        <v>3298.96018481104</v>
      </c>
      <c r="J255" s="15" t="n">
        <f aca="false">I255*(1+IF(J$3&lt;=$O$2,$D255,$D255-($D255-$I$238)*MIN(J$3-$O$2,$Q$2)/$Q$2))</f>
        <v>3343.82826625663</v>
      </c>
      <c r="K255" s="15" t="n">
        <f aca="false">J255*(1+IF(K$3&lt;=$O$2,$D255,$D255-($D255-$I$238)*MIN(K$3-$O$2,$Q$2)/$Q$2))</f>
        <v>3401.59458943036</v>
      </c>
      <c r="L255" s="15" t="n">
        <f aca="false">K255*(1+IF(L$3&lt;=$O$2,$D255,$D255-($D255-$I$238)*MIN(L$3-$O$2,$Q$2)/$Q$2))</f>
        <v>3472.85914212398</v>
      </c>
      <c r="M255" s="15" t="n">
        <f aca="false">L255*(1+IF(M$3&lt;=$O$2,$D255,$D255-($D255-$I$238)*MIN(M$3-$O$2,$Q$2)/$Q$2))</f>
        <v>3558.37888352632</v>
      </c>
      <c r="N255" s="15" t="n">
        <f aca="false">M255*(1+IF(N$3&lt;=$O$2,$D255,$D255-($D255-$I$238)*MIN(N$3-$O$2,$Q$2)/$Q$2))</f>
        <v>3659.08100593012</v>
      </c>
      <c r="O255" s="15" t="n">
        <f aca="false">SUMPRODUCT(E255:N255,1/(1+$F$238)^$E$3:$N$3)*$E$2</f>
        <v>10300.8087122353</v>
      </c>
      <c r="P255" s="15" t="n">
        <f aca="false">N255*$E$2*(1+$I$238)/($F$238-$I$238)/(1+$F$238)^$N$3</f>
        <v>16757.5919281422</v>
      </c>
      <c r="Q255" s="15" t="n">
        <f aca="false">O255+P255</f>
        <v>27058.4006403775</v>
      </c>
      <c r="R255" s="15" t="n">
        <f aca="false">Q255-$G$2+$I$2</f>
        <v>22990.6006403775</v>
      </c>
      <c r="S255" s="42" t="n">
        <f aca="false">R255/$K$2</f>
        <v>176.633379228469</v>
      </c>
      <c r="T255" s="43" t="n">
        <f aca="false">S255-$M$2</f>
        <v>0.00461463104994664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0.0099029541015625</v>
      </c>
      <c r="C256" s="25" t="n">
        <f aca="false">IF(T255&gt;0,D255,C255)</f>
        <v>0.00992584228515625</v>
      </c>
      <c r="D256" s="41" t="n">
        <f aca="false">(B256+C256)/2</f>
        <v>0.00991439819335938</v>
      </c>
      <c r="E256" s="15" t="n">
        <f aca="false">$C$2*(1+IF(E$3&lt;=$O$2,$D256,$D256-($D256-$I$238)*MIN(E$3-$O$2,$Q$2)/$Q$2))</f>
        <v>3171.13121032715</v>
      </c>
      <c r="F256" s="15" t="n">
        <f aca="false">E256*(1+IF(F$3&lt;=$O$2,$D256,$D256-($D256-$I$238)*MIN(F$3-$O$2,$Q$2)/$Q$2))</f>
        <v>3202.57106786972</v>
      </c>
      <c r="G256" s="15" t="n">
        <f aca="false">F256*(1+IF(G$3&lt;=$O$2,$D256,$D256-($D256-$I$238)*MIN(G$3-$O$2,$Q$2)/$Q$2))</f>
        <v>3234.32263267911</v>
      </c>
      <c r="H256" s="15" t="n">
        <f aca="false">G256*(1+IF(H$3&lt;=$O$2,$D256,$D256-($D256-$I$238)*MIN(H$3-$O$2,$Q$2)/$Q$2))</f>
        <v>3266.38899514529</v>
      </c>
      <c r="I256" s="15" t="n">
        <f aca="false">H256*(1+IF(I$3&lt;=$O$2,$D256,$D256-($D256-$I$238)*MIN(I$3-$O$2,$Q$2)/$Q$2))</f>
        <v>3298.77327629757</v>
      </c>
      <c r="J256" s="15" t="n">
        <f aca="false">I256*(1+IF(J$3&lt;=$O$2,$D256,$D256-($D256-$I$238)*MIN(J$3-$O$2,$Q$2)/$Q$2))</f>
        <v>3343.60861449007</v>
      </c>
      <c r="K256" s="15" t="n">
        <f aca="false">J256*(1+IF(K$3&lt;=$O$2,$D256,$D256-($D256-$I$238)*MIN(K$3-$O$2,$Q$2)/$Q$2))</f>
        <v>3401.34818433018</v>
      </c>
      <c r="L256" s="15" t="n">
        <f aca="false">K256*(1+IF(L$3&lt;=$O$2,$D256,$D256-($D256-$I$238)*MIN(L$3-$O$2,$Q$2)/$Q$2))</f>
        <v>3472.59200461759</v>
      </c>
      <c r="M256" s="15" t="n">
        <f aca="false">L256*(1+IF(M$3&lt;=$O$2,$D256,$D256-($D256-$I$238)*MIN(M$3-$O$2,$Q$2)/$Q$2))</f>
        <v>3558.0972195815</v>
      </c>
      <c r="N256" s="15" t="n">
        <f aca="false">M256*(1+IF(N$3&lt;=$O$2,$D256,$D256-($D256-$I$238)*MIN(N$3-$O$2,$Q$2)/$Q$2))</f>
        <v>3658.79137089566</v>
      </c>
      <c r="O256" s="15" t="n">
        <f aca="false">SUMPRODUCT(E256:N256,1/(1+$F$238)^$E$3:$N$3)*$E$2</f>
        <v>10300.2901202285</v>
      </c>
      <c r="P256" s="15" t="n">
        <f aca="false">N256*$E$2*(1+$I$238)/($F$238-$I$238)/(1+$F$238)^$N$3</f>
        <v>16756.2654787666</v>
      </c>
      <c r="Q256" s="15" t="n">
        <f aca="false">O256+P256</f>
        <v>27056.5555989951</v>
      </c>
      <c r="R256" s="15" t="n">
        <f aca="false">Q256-$G$2+$I$2</f>
        <v>22988.7555989951</v>
      </c>
      <c r="S256" s="42" t="n">
        <f aca="false">R256/$K$2</f>
        <v>176.619204048825</v>
      </c>
      <c r="T256" s="43" t="n">
        <f aca="false">S256-$M$2</f>
        <v>-0.00956054859318556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0.00991439819335938</v>
      </c>
      <c r="C257" s="25" t="n">
        <f aca="false">IF(T256&gt;0,D256,C256)</f>
        <v>0.00992584228515625</v>
      </c>
      <c r="D257" s="41" t="n">
        <f aca="false">(B257+C257)/2</f>
        <v>0.00992012023925781</v>
      </c>
      <c r="E257" s="15" t="n">
        <f aca="false">$C$2*(1+IF(E$3&lt;=$O$2,$D257,$D257-($D257-$I$238)*MIN(E$3-$O$2,$Q$2)/$Q$2))</f>
        <v>3171.14917755127</v>
      </c>
      <c r="F257" s="15" t="n">
        <f aca="false">E257*(1+IF(F$3&lt;=$O$2,$D257,$D257-($D257-$I$238)*MIN(F$3-$O$2,$Q$2)/$Q$2))</f>
        <v>3202.6073586892</v>
      </c>
      <c r="G257" s="15" t="n">
        <f aca="false">F257*(1+IF(G$3&lt;=$O$2,$D257,$D257-($D257-$I$238)*MIN(G$3-$O$2,$Q$2)/$Q$2))</f>
        <v>3234.37760876653</v>
      </c>
      <c r="H257" s="15" t="n">
        <f aca="false">G257*(1+IF(H$3&lt;=$O$2,$D257,$D257-($D257-$I$238)*MIN(H$3-$O$2,$Q$2)/$Q$2))</f>
        <v>3266.46302354466</v>
      </c>
      <c r="I257" s="15" t="n">
        <f aca="false">H257*(1+IF(I$3&lt;=$O$2,$D257,$D257-($D257-$I$238)*MIN(I$3-$O$2,$Q$2)/$Q$2))</f>
        <v>3298.86672949531</v>
      </c>
      <c r="J257" s="15" t="n">
        <f aca="false">I257*(1+IF(J$3&lt;=$O$2,$D257,$D257-($D257-$I$238)*MIN(J$3-$O$2,$Q$2)/$Q$2))</f>
        <v>3343.71843887216</v>
      </c>
      <c r="K257" s="15" t="n">
        <f aca="false">J257*(1+IF(K$3&lt;=$O$2,$D257,$D257-($D257-$I$238)*MIN(K$3-$O$2,$Q$2)/$Q$2))</f>
        <v>3401.47138497609</v>
      </c>
      <c r="L257" s="15" t="n">
        <f aca="false">K257*(1+IF(L$3&lt;=$O$2,$D257,$D257-($D257-$I$238)*MIN(L$3-$O$2,$Q$2)/$Q$2))</f>
        <v>3472.72557114473</v>
      </c>
      <c r="M257" s="15" t="n">
        <f aca="false">L257*(1+IF(M$3&lt;=$O$2,$D257,$D257-($D257-$I$238)*MIN(M$3-$O$2,$Q$2)/$Q$2))</f>
        <v>3558.23804912019</v>
      </c>
      <c r="N257" s="15" t="n">
        <f aca="false">M257*(1+IF(N$3&lt;=$O$2,$D257,$D257-($D257-$I$238)*MIN(N$3-$O$2,$Q$2)/$Q$2))</f>
        <v>3658.93618591029</v>
      </c>
      <c r="O257" s="15" t="n">
        <f aca="false">SUMPRODUCT(E257:N257,1/(1+$F$238)^$E$3:$N$3)*$E$2</f>
        <v>10300.5494129113</v>
      </c>
      <c r="P257" s="15" t="n">
        <f aca="false">N257*$E$2*(1+$I$238)/($F$238-$I$238)/(1+$F$238)^$N$3</f>
        <v>16756.9286919931</v>
      </c>
      <c r="Q257" s="15" t="n">
        <f aca="false">O257+P257</f>
        <v>27057.4781049045</v>
      </c>
      <c r="R257" s="15" t="n">
        <f aca="false">Q257-$G$2+$I$2</f>
        <v>22989.6781049045</v>
      </c>
      <c r="S257" s="42" t="n">
        <f aca="false">R257/$K$2</f>
        <v>176.626291525081</v>
      </c>
      <c r="T257" s="43" t="n">
        <f aca="false">S257-$M$2</f>
        <v>-0.0024730723380344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0.00992012023925781</v>
      </c>
      <c r="C258" s="25" t="n">
        <f aca="false">IF(T257&gt;0,D257,C257)</f>
        <v>0.00992584228515625</v>
      </c>
      <c r="D258" s="41" t="n">
        <f aca="false">(B258+C258)/2</f>
        <v>0.00992298126220703</v>
      </c>
      <c r="E258" s="15" t="n">
        <f aca="false">$C$2*(1+IF(E$3&lt;=$O$2,$D258,$D258-($D258-$I$238)*MIN(E$3-$O$2,$Q$2)/$Q$2))</f>
        <v>3171.15816116333</v>
      </c>
      <c r="F258" s="15" t="n">
        <f aca="false">E258*(1+IF(F$3&lt;=$O$2,$D258,$D258-($D258-$I$238)*MIN(F$3-$O$2,$Q$2)/$Q$2))</f>
        <v>3202.62550417605</v>
      </c>
      <c r="G258" s="15" t="n">
        <f aca="false">F258*(1+IF(G$3&lt;=$O$2,$D258,$D258-($D258-$I$238)*MIN(G$3-$O$2,$Q$2)/$Q$2))</f>
        <v>3234.40509704385</v>
      </c>
      <c r="H258" s="15" t="n">
        <f aca="false">G258*(1+IF(H$3&lt;=$O$2,$D258,$D258-($D258-$I$238)*MIN(H$3-$O$2,$Q$2)/$Q$2))</f>
        <v>3266.50003821621</v>
      </c>
      <c r="I258" s="15" t="n">
        <f aca="false">H258*(1+IF(I$3&lt;=$O$2,$D258,$D258-($D258-$I$238)*MIN(I$3-$O$2,$Q$2)/$Q$2))</f>
        <v>3298.91345688843</v>
      </c>
      <c r="J258" s="15" t="n">
        <f aca="false">I258*(1+IF(J$3&lt;=$O$2,$D258,$D258-($D258-$I$238)*MIN(J$3-$O$2,$Q$2)/$Q$2))</f>
        <v>3343.77335218909</v>
      </c>
      <c r="K258" s="15" t="n">
        <f aca="false">J258*(1+IF(K$3&lt;=$O$2,$D258,$D258-($D258-$I$238)*MIN(K$3-$O$2,$Q$2)/$Q$2))</f>
        <v>3401.53298672718</v>
      </c>
      <c r="L258" s="15" t="n">
        <f aca="false">K258*(1+IF(L$3&lt;=$O$2,$D258,$D258-($D258-$I$238)*MIN(L$3-$O$2,$Q$2)/$Q$2))</f>
        <v>3472.79235607783</v>
      </c>
      <c r="M258" s="15" t="n">
        <f aca="false">L258*(1+IF(M$3&lt;=$O$2,$D258,$D258-($D258-$I$238)*MIN(M$3-$O$2,$Q$2)/$Q$2))</f>
        <v>3558.30846571481</v>
      </c>
      <c r="N258" s="15" t="n">
        <f aca="false">M258*(1+IF(N$3&lt;=$O$2,$D258,$D258-($D258-$I$238)*MIN(N$3-$O$2,$Q$2)/$Q$2))</f>
        <v>3659.00859529454</v>
      </c>
      <c r="O258" s="15" t="n">
        <f aca="false">SUMPRODUCT(E258:N258,1/(1+$F$238)^$E$3:$N$3)*$E$2</f>
        <v>10300.6790617432</v>
      </c>
      <c r="P258" s="15" t="n">
        <f aca="false">N258*$E$2*(1+$I$238)/($F$238-$I$238)/(1+$F$238)^$N$3</f>
        <v>16757.2603072023</v>
      </c>
      <c r="Q258" s="15" t="n">
        <f aca="false">O258+P258</f>
        <v>27057.9393689455</v>
      </c>
      <c r="R258" s="15" t="n">
        <f aca="false">Q258-$G$2+$I$2</f>
        <v>22990.1393689455</v>
      </c>
      <c r="S258" s="42" t="n">
        <f aca="false">R258/$K$2</f>
        <v>176.629835348383</v>
      </c>
      <c r="T258" s="43" t="n">
        <f aca="false">S258-$M$2</f>
        <v>0.00107075096394738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0.00992012023925781</v>
      </c>
      <c r="C259" s="25" t="n">
        <f aca="false">IF(T258&gt;0,D258,C258)</f>
        <v>0.00992298126220703</v>
      </c>
      <c r="D259" s="41" t="n">
        <f aca="false">(B259+C259)/2</f>
        <v>0.00992155075073242</v>
      </c>
      <c r="E259" s="15" t="n">
        <f aca="false">$C$2*(1+IF(E$3&lt;=$O$2,$D259,$D259-($D259-$I$238)*MIN(E$3-$O$2,$Q$2)/$Q$2))</f>
        <v>3171.1536693573</v>
      </c>
      <c r="F259" s="15" t="n">
        <f aca="false">E259*(1+IF(F$3&lt;=$O$2,$D259,$D259-($D259-$I$238)*MIN(F$3-$O$2,$Q$2)/$Q$2))</f>
        <v>3202.6164314262</v>
      </c>
      <c r="G259" s="15" t="n">
        <f aca="false">F259*(1+IF(G$3&lt;=$O$2,$D259,$D259-($D259-$I$238)*MIN(G$3-$O$2,$Q$2)/$Q$2))</f>
        <v>3234.39135288572</v>
      </c>
      <c r="H259" s="15" t="n">
        <f aca="false">G259*(1+IF(H$3&lt;=$O$2,$D259,$D259-($D259-$I$238)*MIN(H$3-$O$2,$Q$2)/$Q$2))</f>
        <v>3266.48153084111</v>
      </c>
      <c r="I259" s="15" t="n">
        <f aca="false">H259*(1+IF(I$3&lt;=$O$2,$D259,$D259-($D259-$I$238)*MIN(I$3-$O$2,$Q$2)/$Q$2))</f>
        <v>3298.89009312568</v>
      </c>
      <c r="J259" s="15" t="n">
        <f aca="false">I259*(1+IF(J$3&lt;=$O$2,$D259,$D259-($D259-$I$238)*MIN(J$3-$O$2,$Q$2)/$Q$2))</f>
        <v>3343.7458954368</v>
      </c>
      <c r="K259" s="15" t="n">
        <f aca="false">J259*(1+IF(K$3&lt;=$O$2,$D259,$D259-($D259-$I$238)*MIN(K$3-$O$2,$Q$2)/$Q$2))</f>
        <v>3401.50218573262</v>
      </c>
      <c r="L259" s="15" t="n">
        <f aca="false">K259*(1+IF(L$3&lt;=$O$2,$D259,$D259-($D259-$I$238)*MIN(L$3-$O$2,$Q$2)/$Q$2))</f>
        <v>3472.75896347215</v>
      </c>
      <c r="M259" s="15" t="n">
        <f aca="false">L259*(1+IF(M$3&lt;=$O$2,$D259,$D259-($D259-$I$238)*MIN(M$3-$O$2,$Q$2)/$Q$2))</f>
        <v>3558.27325726539</v>
      </c>
      <c r="N259" s="15" t="n">
        <f aca="false">M259*(1+IF(N$3&lt;=$O$2,$D259,$D259-($D259-$I$238)*MIN(N$3-$O$2,$Q$2)/$Q$2))</f>
        <v>3658.972390446</v>
      </c>
      <c r="O259" s="15" t="n">
        <f aca="false">SUMPRODUCT(E259:N259,1/(1+$F$238)^$E$3:$N$3)*$E$2</f>
        <v>10300.6142371197</v>
      </c>
      <c r="P259" s="15" t="n">
        <f aca="false">N259*$E$2*(1+$I$238)/($F$238-$I$238)/(1+$F$238)^$N$3</f>
        <v>16757.0944988814</v>
      </c>
      <c r="Q259" s="15" t="n">
        <f aca="false">O259+P259</f>
        <v>27057.7087360011</v>
      </c>
      <c r="R259" s="15" t="n">
        <f aca="false">Q259-$G$2+$I$2</f>
        <v>22989.9087360011</v>
      </c>
      <c r="S259" s="42" t="n">
        <f aca="false">R259/$K$2</f>
        <v>176.628063429634</v>
      </c>
      <c r="T259" s="43" t="n">
        <f aca="false">S259-$M$2</f>
        <v>-0.00070116778499596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0.00992155075073242</v>
      </c>
      <c r="C260" s="25" t="n">
        <f aca="false">IF(T259&gt;0,D259,C259)</f>
        <v>0.00992298126220703</v>
      </c>
      <c r="D260" s="41" t="n">
        <f aca="false">(B260+C260)/2</f>
        <v>0.00992226600646973</v>
      </c>
      <c r="E260" s="15" t="n">
        <f aca="false">$C$2*(1+IF(E$3&lt;=$O$2,$D260,$D260-($D260-$I$238)*MIN(E$3-$O$2,$Q$2)/$Q$2))</f>
        <v>3171.15591526032</v>
      </c>
      <c r="F260" s="15" t="n">
        <f aca="false">E260*(1+IF(F$3&lt;=$O$2,$D260,$D260-($D260-$I$238)*MIN(F$3-$O$2,$Q$2)/$Q$2))</f>
        <v>3202.62096779952</v>
      </c>
      <c r="G260" s="15" t="n">
        <f aca="false">F260*(1+IF(G$3&lt;=$O$2,$D260,$D260-($D260-$I$238)*MIN(G$3-$O$2,$Q$2)/$Q$2))</f>
        <v>3234.39822495992</v>
      </c>
      <c r="H260" s="15" t="n">
        <f aca="false">G260*(1+IF(H$3&lt;=$O$2,$D260,$D260-($D260-$I$238)*MIN(H$3-$O$2,$Q$2)/$Q$2))</f>
        <v>3266.49078451883</v>
      </c>
      <c r="I260" s="15" t="n">
        <f aca="false">H260*(1+IF(I$3&lt;=$O$2,$D260,$D260-($D260-$I$238)*MIN(I$3-$O$2,$Q$2)/$Q$2))</f>
        <v>3298.90177499051</v>
      </c>
      <c r="J260" s="15" t="n">
        <f aca="false">I260*(1+IF(J$3&lt;=$O$2,$D260,$D260-($D260-$I$238)*MIN(J$3-$O$2,$Q$2)/$Q$2))</f>
        <v>3343.75962378949</v>
      </c>
      <c r="K260" s="15" t="n">
        <f aca="false">J260*(1+IF(K$3&lt;=$O$2,$D260,$D260-($D260-$I$238)*MIN(K$3-$O$2,$Q$2)/$Q$2))</f>
        <v>3401.51758620014</v>
      </c>
      <c r="L260" s="15" t="n">
        <f aca="false">K260*(1+IF(L$3&lt;=$O$2,$D260,$D260-($D260-$I$238)*MIN(L$3-$O$2,$Q$2)/$Q$2))</f>
        <v>3472.77565974021</v>
      </c>
      <c r="M260" s="15" t="n">
        <f aca="false">L260*(1+IF(M$3&lt;=$O$2,$D260,$D260-($D260-$I$238)*MIN(M$3-$O$2,$Q$2)/$Q$2))</f>
        <v>3558.29086145207</v>
      </c>
      <c r="N260" s="15" t="n">
        <f aca="false">M260*(1+IF(N$3&lt;=$O$2,$D260,$D260-($D260-$I$238)*MIN(N$3-$O$2,$Q$2)/$Q$2))</f>
        <v>3658.99049283117</v>
      </c>
      <c r="O260" s="15" t="n">
        <f aca="false">SUMPRODUCT(E260:N260,1/(1+$F$238)^$E$3:$N$3)*$E$2</f>
        <v>10300.6466493796</v>
      </c>
      <c r="P260" s="15" t="n">
        <f aca="false">N260*$E$2*(1+$I$238)/($F$238-$I$238)/(1+$F$238)^$N$3</f>
        <v>16757.1774028628</v>
      </c>
      <c r="Q260" s="15" t="n">
        <f aca="false">O260+P260</f>
        <v>27057.8240522423</v>
      </c>
      <c r="R260" s="15" t="n">
        <f aca="false">Q260-$G$2+$I$2</f>
        <v>22990.0240522423</v>
      </c>
      <c r="S260" s="42" t="n">
        <f aca="false">R260/$K$2</f>
        <v>176.628949387234</v>
      </c>
      <c r="T260" s="43" t="n">
        <f aca="false">S260-$M$2</f>
        <v>0.000184789814937858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0.00992155075073242</v>
      </c>
      <c r="C261" s="25" t="n">
        <f aca="false">IF(T260&gt;0,D260,C260)</f>
        <v>0.00992226600646973</v>
      </c>
      <c r="D261" s="41" t="n">
        <f aca="false">(B261+C261)/2</f>
        <v>0.00992190837860107</v>
      </c>
      <c r="E261" s="15" t="n">
        <f aca="false">$C$2*(1+IF(E$3&lt;=$O$2,$D261,$D261-($D261-$I$238)*MIN(E$3-$O$2,$Q$2)/$Q$2))</f>
        <v>3171.15479230881</v>
      </c>
      <c r="F261" s="15" t="n">
        <f aca="false">E261*(1+IF(F$3&lt;=$O$2,$D261,$D261-($D261-$I$238)*MIN(F$3-$O$2,$Q$2)/$Q$2))</f>
        <v>3202.61869961246</v>
      </c>
      <c r="G261" s="15" t="n">
        <f aca="false">F261*(1+IF(G$3&lt;=$O$2,$D261,$D261-($D261-$I$238)*MIN(G$3-$O$2,$Q$2)/$Q$2))</f>
        <v>3234.39478892161</v>
      </c>
      <c r="H261" s="15" t="n">
        <f aca="false">G261*(1+IF(H$3&lt;=$O$2,$D261,$D261-($D261-$I$238)*MIN(H$3-$O$2,$Q$2)/$Q$2))</f>
        <v>3266.48615767751</v>
      </c>
      <c r="I261" s="15" t="n">
        <f aca="false">H261*(1+IF(I$3&lt;=$O$2,$D261,$D261-($D261-$I$238)*MIN(I$3-$O$2,$Q$2)/$Q$2))</f>
        <v>3298.89593405396</v>
      </c>
      <c r="J261" s="15" t="n">
        <f aca="false">I261*(1+IF(J$3&lt;=$O$2,$D261,$D261-($D261-$I$238)*MIN(J$3-$O$2,$Q$2)/$Q$2))</f>
        <v>3343.75275960728</v>
      </c>
      <c r="K261" s="15" t="n">
        <f aca="false">J261*(1+IF(K$3&lt;=$O$2,$D261,$D261-($D261-$I$238)*MIN(K$3-$O$2,$Q$2)/$Q$2))</f>
        <v>3401.50988595895</v>
      </c>
      <c r="L261" s="15" t="n">
        <f aca="false">K261*(1+IF(L$3&lt;=$O$2,$D261,$D261-($D261-$I$238)*MIN(L$3-$O$2,$Q$2)/$Q$2))</f>
        <v>3472.76731159749</v>
      </c>
      <c r="M261" s="15" t="n">
        <f aca="false">L261*(1+IF(M$3&lt;=$O$2,$D261,$D261-($D261-$I$238)*MIN(M$3-$O$2,$Q$2)/$Q$2))</f>
        <v>3558.28205934923</v>
      </c>
      <c r="N261" s="15" t="n">
        <f aca="false">M261*(1+IF(N$3&lt;=$O$2,$D261,$D261-($D261-$I$238)*MIN(N$3-$O$2,$Q$2)/$Q$2))</f>
        <v>3658.98144162881</v>
      </c>
      <c r="O261" s="15" t="n">
        <f aca="false">SUMPRODUCT(E261:N261,1/(1+$F$238)^$E$3:$N$3)*$E$2</f>
        <v>10300.6304432367</v>
      </c>
      <c r="P261" s="15" t="n">
        <f aca="false">N261*$E$2*(1+$I$238)/($F$238-$I$238)/(1+$F$238)^$N$3</f>
        <v>16757.1359508273</v>
      </c>
      <c r="Q261" s="15" t="n">
        <f aca="false">O261+P261</f>
        <v>27057.766394064</v>
      </c>
      <c r="R261" s="15" t="n">
        <f aca="false">Q261-$G$2+$I$2</f>
        <v>22989.966394064</v>
      </c>
      <c r="S261" s="42" t="n">
        <f aca="false">R261/$K$2</f>
        <v>176.62850640799</v>
      </c>
      <c r="T261" s="43" t="n">
        <f aca="false">S261-$M$2</f>
        <v>-0.000258189428620881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0.00992190837860107</v>
      </c>
      <c r="C262" s="25" t="n">
        <f aca="false">IF(T261&gt;0,D261,C261)</f>
        <v>0.00992226600646973</v>
      </c>
      <c r="D262" s="41" t="n">
        <f aca="false">(B262+C262)/2</f>
        <v>0.0099220871925354</v>
      </c>
      <c r="E262" s="15" t="n">
        <f aca="false">$C$2*(1+IF(E$3&lt;=$O$2,$D262,$D262-($D262-$I$238)*MIN(E$3-$O$2,$Q$2)/$Q$2))</f>
        <v>3171.15535378456</v>
      </c>
      <c r="F262" s="15" t="n">
        <f aca="false">E262*(1+IF(F$3&lt;=$O$2,$D262,$D262-($D262-$I$238)*MIN(F$3-$O$2,$Q$2)/$Q$2))</f>
        <v>3202.61983370589</v>
      </c>
      <c r="G262" s="15" t="n">
        <f aca="false">F262*(1+IF(G$3&lt;=$O$2,$D262,$D262-($D262-$I$238)*MIN(G$3-$O$2,$Q$2)/$Q$2))</f>
        <v>3234.39650694046</v>
      </c>
      <c r="H262" s="15" t="n">
        <f aca="false">G262*(1+IF(H$3&lt;=$O$2,$D262,$D262-($D262-$I$238)*MIN(H$3-$O$2,$Q$2)/$Q$2))</f>
        <v>3266.48847109756</v>
      </c>
      <c r="I262" s="15" t="n">
        <f aca="false">H262*(1+IF(I$3&lt;=$O$2,$D262,$D262-($D262-$I$238)*MIN(I$3-$O$2,$Q$2)/$Q$2))</f>
        <v>3298.8988545212</v>
      </c>
      <c r="J262" s="15" t="n">
        <f aca="false">I262*(1+IF(J$3&lt;=$O$2,$D262,$D262-($D262-$I$238)*MIN(J$3-$O$2,$Q$2)/$Q$2))</f>
        <v>3343.75619169692</v>
      </c>
      <c r="K262" s="15" t="n">
        <f aca="false">J262*(1+IF(K$3&lt;=$O$2,$D262,$D262-($D262-$I$238)*MIN(K$3-$O$2,$Q$2)/$Q$2))</f>
        <v>3401.51373607769</v>
      </c>
      <c r="L262" s="15" t="n">
        <f aca="false">K262*(1+IF(L$3&lt;=$O$2,$D262,$D262-($D262-$I$238)*MIN(L$3-$O$2,$Q$2)/$Q$2))</f>
        <v>3472.77148566667</v>
      </c>
      <c r="M262" s="15" t="n">
        <f aca="false">L262*(1+IF(M$3&lt;=$O$2,$D262,$D262-($D262-$I$238)*MIN(M$3-$O$2,$Q$2)/$Q$2))</f>
        <v>3558.28646039827</v>
      </c>
      <c r="N262" s="15" t="n">
        <f aca="false">M262*(1+IF(N$3&lt;=$O$2,$D262,$D262-($D262-$I$238)*MIN(N$3-$O$2,$Q$2)/$Q$2))</f>
        <v>3658.98596722754</v>
      </c>
      <c r="O262" s="15" t="n">
        <f aca="false">SUMPRODUCT(E262:N262,1/(1+$F$238)^$E$3:$N$3)*$E$2</f>
        <v>10300.6385463049</v>
      </c>
      <c r="P262" s="15" t="n">
        <f aca="false">N262*$E$2*(1+$I$238)/($F$238-$I$238)/(1+$F$238)^$N$3</f>
        <v>16757.1566768338</v>
      </c>
      <c r="Q262" s="15" t="n">
        <f aca="false">O262+P262</f>
        <v>27057.7952231387</v>
      </c>
      <c r="R262" s="15" t="n">
        <f aca="false">Q262-$G$2+$I$2</f>
        <v>22989.9952231387</v>
      </c>
      <c r="S262" s="42" t="n">
        <f aca="false">R262/$K$2</f>
        <v>176.628727897501</v>
      </c>
      <c r="T262" s="43" t="n">
        <f aca="false">S262-$M$2</f>
        <v>-3.66999177003891E-005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0.0099220871925354</v>
      </c>
      <c r="C263" s="25" t="n">
        <f aca="false">IF(T262&gt;0,D262,C262)</f>
        <v>0.00992226600646973</v>
      </c>
      <c r="D263" s="41" t="n">
        <f aca="false">(B263+C263)/2</f>
        <v>0.00992217659950256</v>
      </c>
      <c r="E263" s="15" t="n">
        <f aca="false">$C$2*(1+IF(E$3&lt;=$O$2,$D263,$D263-($D263-$I$238)*MIN(E$3-$O$2,$Q$2)/$Q$2))</f>
        <v>3171.15563452244</v>
      </c>
      <c r="F263" s="15" t="n">
        <f aca="false">E263*(1+IF(F$3&lt;=$O$2,$D263,$D263-($D263-$I$238)*MIN(F$3-$O$2,$Q$2)/$Q$2))</f>
        <v>3202.62040075268</v>
      </c>
      <c r="G263" s="15" t="n">
        <f aca="false">F263*(1+IF(G$3&lt;=$O$2,$D263,$D263-($D263-$I$238)*MIN(G$3-$O$2,$Q$2)/$Q$2))</f>
        <v>3234.39736595012</v>
      </c>
      <c r="H263" s="15" t="n">
        <f aca="false">G263*(1+IF(H$3&lt;=$O$2,$D263,$D263-($D263-$I$238)*MIN(H$3-$O$2,$Q$2)/$Q$2))</f>
        <v>3266.48962780804</v>
      </c>
      <c r="I263" s="15" t="n">
        <f aca="false">H263*(1+IF(I$3&lt;=$O$2,$D263,$D263-($D263-$I$238)*MIN(I$3-$O$2,$Q$2)/$Q$2))</f>
        <v>3298.90031475559</v>
      </c>
      <c r="J263" s="15" t="n">
        <f aca="false">I263*(1+IF(J$3&lt;=$O$2,$D263,$D263-($D263-$I$238)*MIN(J$3-$O$2,$Q$2)/$Q$2))</f>
        <v>3343.75790774284</v>
      </c>
      <c r="K263" s="15" t="n">
        <f aca="false">J263*(1+IF(K$3&lt;=$O$2,$D263,$D263-($D263-$I$238)*MIN(K$3-$O$2,$Q$2)/$Q$2))</f>
        <v>3401.51566113845</v>
      </c>
      <c r="L263" s="15" t="n">
        <f aca="false">K263*(1+IF(L$3&lt;=$O$2,$D263,$D263-($D263-$I$238)*MIN(L$3-$O$2,$Q$2)/$Q$2))</f>
        <v>3472.7735727029</v>
      </c>
      <c r="M263" s="15" t="n">
        <f aca="false">L263*(1+IF(M$3&lt;=$O$2,$D263,$D263-($D263-$I$238)*MIN(M$3-$O$2,$Q$2)/$Q$2))</f>
        <v>3558.28866092458</v>
      </c>
      <c r="N263" s="15" t="n">
        <f aca="false">M263*(1+IF(N$3&lt;=$O$2,$D263,$D263-($D263-$I$238)*MIN(N$3-$O$2,$Q$2)/$Q$2))</f>
        <v>3658.98823002875</v>
      </c>
      <c r="O263" s="15" t="n">
        <f aca="false">SUMPRODUCT(E263:N263,1/(1+$F$238)^$E$3:$N$3)*$E$2</f>
        <v>10300.6425978414</v>
      </c>
      <c r="P263" s="15" t="n">
        <f aca="false">N263*$E$2*(1+$I$238)/($F$238-$I$238)/(1+$F$238)^$N$3</f>
        <v>16757.1670398455</v>
      </c>
      <c r="Q263" s="15" t="n">
        <f aca="false">O263+P263</f>
        <v>27057.8096376869</v>
      </c>
      <c r="R263" s="15" t="n">
        <f aca="false">Q263-$G$2+$I$2</f>
        <v>22990.0096376869</v>
      </c>
      <c r="S263" s="42" t="n">
        <f aca="false">R263/$K$2</f>
        <v>176.62883864234</v>
      </c>
      <c r="T263" s="43" t="n">
        <f aca="false">S263-$M$2</f>
        <v>7.40449209502003E-005</v>
      </c>
    </row>
    <row r="265" customFormat="false" ht="15" hidden="false" customHeight="false" outlineLevel="0" collapsed="false">
      <c r="A265" s="38" t="s">
        <v>183</v>
      </c>
      <c r="E265" s="5" t="s">
        <v>11</v>
      </c>
      <c r="F265" s="12" t="n">
        <f aca="false">Sensitivity!$B$11</f>
        <v>0.0769413943493295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155</v>
      </c>
      <c r="B266" s="28" t="s">
        <v>156</v>
      </c>
      <c r="C266" s="28" t="s">
        <v>157</v>
      </c>
      <c r="D266" s="28" t="s">
        <v>158</v>
      </c>
      <c r="E266" s="28" t="s">
        <v>159</v>
      </c>
      <c r="F266" s="28" t="s">
        <v>160</v>
      </c>
      <c r="G266" s="28" t="s">
        <v>161</v>
      </c>
      <c r="H266" s="28" t="s">
        <v>162</v>
      </c>
      <c r="I266" s="28" t="s">
        <v>163</v>
      </c>
      <c r="J266" s="28" t="s">
        <v>164</v>
      </c>
      <c r="K266" s="28" t="s">
        <v>165</v>
      </c>
      <c r="L266" s="28" t="s">
        <v>166</v>
      </c>
      <c r="M266" s="28" t="s">
        <v>167</v>
      </c>
      <c r="N266" s="28" t="s">
        <v>168</v>
      </c>
      <c r="O266" s="28" t="s">
        <v>169</v>
      </c>
      <c r="P266" s="28" t="s">
        <v>170</v>
      </c>
      <c r="Q266" s="28" t="s">
        <v>171</v>
      </c>
      <c r="R266" s="28" t="s">
        <v>172</v>
      </c>
      <c r="S266" s="28" t="s">
        <v>173</v>
      </c>
      <c r="T266" s="28" t="s">
        <v>174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3925</v>
      </c>
      <c r="F267" s="15" t="n">
        <f aca="false">E267*(1+IF(F$3&lt;=$O$2,$D267,$D267-($D267-$I$265)*MIN(F$3-$O$2,$Q$2)/$Q$2))</f>
        <v>4906.25</v>
      </c>
      <c r="G267" s="15" t="n">
        <f aca="false">F267*(1+IF(G$3&lt;=$O$2,$D267,$D267-($D267-$I$265)*MIN(G$3-$O$2,$Q$2)/$Q$2))</f>
        <v>6132.8125</v>
      </c>
      <c r="H267" s="15" t="n">
        <f aca="false">G267*(1+IF(H$3&lt;=$O$2,$D267,$D267-($D267-$I$265)*MIN(H$3-$O$2,$Q$2)/$Q$2))</f>
        <v>7666.015625</v>
      </c>
      <c r="I267" s="15" t="n">
        <f aca="false">H267*(1+IF(I$3&lt;=$O$2,$D267,$D267-($D267-$I$265)*MIN(I$3-$O$2,$Q$2)/$Q$2))</f>
        <v>9582.51953125</v>
      </c>
      <c r="J267" s="15" t="n">
        <f aca="false">I267*(1+IF(J$3&lt;=$O$2,$D267,$D267-($D267-$I$265)*MIN(J$3-$O$2,$Q$2)/$Q$2))</f>
        <v>11562.8430175781</v>
      </c>
      <c r="K267" s="15" t="n">
        <f aca="false">J267*(1+IF(K$3&lt;=$O$2,$D267,$D267-($D267-$I$265)*MIN(K$3-$O$2,$Q$2)/$Q$2))</f>
        <v>13451.286539209</v>
      </c>
      <c r="L267" s="15" t="n">
        <f aca="false">K267*(1+IF(L$3&lt;=$O$2,$D267,$D267-($D267-$I$265)*MIN(L$3-$O$2,$Q$2)/$Q$2))</f>
        <v>15065.1718981833</v>
      </c>
      <c r="M267" s="15" t="n">
        <f aca="false">L267*(1+IF(M$3&lt;=$O$2,$D267,$D267-($D267-$I$265)*MIN(M$3-$O$2,$Q$2)/$Q$2))</f>
        <v>16219.76667246</v>
      </c>
      <c r="N267" s="15" t="n">
        <f aca="false">M267*(1+IF(N$3&lt;=$O$2,$D267,$D267-($D267-$I$265)*MIN(N$3-$O$2,$Q$2)/$Q$2))</f>
        <v>16759.884902653</v>
      </c>
      <c r="O267" s="15" t="n">
        <f aca="false">SUMPRODUCT(E267:N267,1/(1+$F$265)^$E$3:$N$3)*$E$2</f>
        <v>29619.4873449126</v>
      </c>
      <c r="P267" s="15" t="n">
        <f aca="false">N267*$E$2*(1+$I$265)/($F$265-$I$265)/(1+$F$265)^$N$3</f>
        <v>85965.5823903711</v>
      </c>
      <c r="Q267" s="15" t="n">
        <f aca="false">O267+P267</f>
        <v>115585.069735284</v>
      </c>
      <c r="R267" s="15" t="n">
        <f aca="false">Q267-$G$2+$I$2</f>
        <v>111517.269735284</v>
      </c>
      <c r="S267" s="42" t="n">
        <f aca="false">R267/$K$2</f>
        <v>856.770664837766</v>
      </c>
      <c r="T267" s="43" t="n">
        <f aca="false">S267-$M$2</f>
        <v>680.141900240348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2747.5</v>
      </c>
      <c r="F268" s="15" t="n">
        <f aca="false">E268*(1+IF(F$3&lt;=$O$2,$D268,$D268-($D268-$I$265)*MIN(F$3-$O$2,$Q$2)/$Q$2))</f>
        <v>2404.0625</v>
      </c>
      <c r="G268" s="15" t="n">
        <f aca="false">F268*(1+IF(G$3&lt;=$O$2,$D268,$D268-($D268-$I$265)*MIN(G$3-$O$2,$Q$2)/$Q$2))</f>
        <v>2103.5546875</v>
      </c>
      <c r="H268" s="15" t="n">
        <f aca="false">G268*(1+IF(H$3&lt;=$O$2,$D268,$D268-($D268-$I$265)*MIN(H$3-$O$2,$Q$2)/$Q$2))</f>
        <v>1840.6103515625</v>
      </c>
      <c r="I268" s="15" t="n">
        <f aca="false">H268*(1+IF(I$3&lt;=$O$2,$D268,$D268-($D268-$I$265)*MIN(I$3-$O$2,$Q$2)/$Q$2))</f>
        <v>1610.53405761719</v>
      </c>
      <c r="J268" s="15" t="n">
        <f aca="false">I268*(1+IF(J$3&lt;=$O$2,$D268,$D268-($D268-$I$265)*MIN(J$3-$O$2,$Q$2)/$Q$2))</f>
        <v>1460.2068086792</v>
      </c>
      <c r="K268" s="15" t="n">
        <f aca="false">J268*(1+IF(K$3&lt;=$O$2,$D268,$D268-($D268-$I$265)*MIN(K$3-$O$2,$Q$2)/$Q$2))</f>
        <v>1370.14125271987</v>
      </c>
      <c r="L268" s="15" t="n">
        <f aca="false">K268*(1+IF(L$3&lt;=$O$2,$D268,$D268-($D268-$I$265)*MIN(L$3-$O$2,$Q$2)/$Q$2))</f>
        <v>1329.00961231322</v>
      </c>
      <c r="M268" s="15" t="n">
        <f aca="false">L268*(1+IF(M$3&lt;=$O$2,$D268,$D268-($D268-$I$265)*MIN(M$3-$O$2,$Q$2)/$Q$2))</f>
        <v>1331.18918807741</v>
      </c>
      <c r="N268" s="15" t="n">
        <f aca="false">M268*(1+IF(N$3&lt;=$O$2,$D268,$D268-($D268-$I$265)*MIN(N$3-$O$2,$Q$2)/$Q$2))</f>
        <v>1375.51778804039</v>
      </c>
      <c r="O268" s="15" t="n">
        <f aca="false">SUMPRODUCT(E268:N268,1/(1+$F$265)^$E$3:$N$3)*$E$2</f>
        <v>5734.01483613196</v>
      </c>
      <c r="P268" s="15" t="n">
        <f aca="false">N268*$E$2*(1+$I$265)/($F$265-$I$265)/(1+$F$265)^$N$3</f>
        <v>7055.36991596459</v>
      </c>
      <c r="Q268" s="15" t="n">
        <f aca="false">O268+P268</f>
        <v>12789.3847520966</v>
      </c>
      <c r="R268" s="15" t="n">
        <f aca="false">Q268-$G$2+$I$2</f>
        <v>8721.58475209655</v>
      </c>
      <c r="S268" s="42" t="n">
        <f aca="false">R268/$K$2</f>
        <v>67.0066437622661</v>
      </c>
      <c r="T268" s="43" t="n">
        <f aca="false">S268-$M$2</f>
        <v>-109.622120835153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3336.25</v>
      </c>
      <c r="F269" s="15" t="n">
        <f aca="false">E269*(1+IF(F$3&lt;=$O$2,$D269,$D269-($D269-$I$265)*MIN(F$3-$O$2,$Q$2)/$Q$2))</f>
        <v>3544.765625</v>
      </c>
      <c r="G269" s="15" t="n">
        <f aca="false">F269*(1+IF(G$3&lt;=$O$2,$D269,$D269-($D269-$I$265)*MIN(G$3-$O$2,$Q$2)/$Q$2))</f>
        <v>3766.3134765625</v>
      </c>
      <c r="H269" s="15" t="n">
        <f aca="false">G269*(1+IF(H$3&lt;=$O$2,$D269,$D269-($D269-$I$265)*MIN(H$3-$O$2,$Q$2)/$Q$2))</f>
        <v>4001.70806884766</v>
      </c>
      <c r="I269" s="15" t="n">
        <f aca="false">H269*(1+IF(I$3&lt;=$O$2,$D269,$D269-($D269-$I$265)*MIN(I$3-$O$2,$Q$2)/$Q$2))</f>
        <v>4251.81482315064</v>
      </c>
      <c r="J269" s="15" t="n">
        <f aca="false">I269*(1+IF(J$3&lt;=$O$2,$D269,$D269-($D269-$I$265)*MIN(J$3-$O$2,$Q$2)/$Q$2))</f>
        <v>4492.72265103035</v>
      </c>
      <c r="K269" s="15" t="n">
        <f aca="false">J269*(1+IF(K$3&lt;=$O$2,$D269,$D269-($D269-$I$265)*MIN(K$3-$O$2,$Q$2)/$Q$2))</f>
        <v>4721.04281615571</v>
      </c>
      <c r="L269" s="15" t="n">
        <f aca="false">K269*(1+IF(L$3&lt;=$O$2,$D269,$D269-($D269-$I$265)*MIN(L$3-$O$2,$Q$2)/$Q$2))</f>
        <v>4933.3953220264</v>
      </c>
      <c r="M269" s="15" t="n">
        <f aca="false">L269*(1+IF(M$3&lt;=$O$2,$D269,$D269-($D269-$I$265)*MIN(M$3-$O$2,$Q$2)/$Q$2))</f>
        <v>5126.48841493051</v>
      </c>
      <c r="N269" s="15" t="n">
        <f aca="false">M269*(1+IF(N$3&lt;=$O$2,$D269,$D269-($D269-$I$265)*MIN(N$3-$O$2,$Q$2)/$Q$2))</f>
        <v>5297.2004791477</v>
      </c>
      <c r="O269" s="15" t="n">
        <f aca="false">SUMPRODUCT(E269:N269,1/(1+$F$265)^$E$3:$N$3)*$E$2</f>
        <v>13025.1760600034</v>
      </c>
      <c r="P269" s="15" t="n">
        <f aca="false">N269*$E$2*(1+$I$265)/($F$265-$I$265)/(1+$F$265)^$N$3</f>
        <v>27170.6474640767</v>
      </c>
      <c r="Q269" s="15" t="n">
        <f aca="false">O269+P269</f>
        <v>40195.82352408</v>
      </c>
      <c r="R269" s="15" t="n">
        <f aca="false">Q269-$G$2+$I$2</f>
        <v>36128.02352408</v>
      </c>
      <c r="S269" s="42" t="n">
        <f aca="false">R269/$K$2</f>
        <v>277.566253258144</v>
      </c>
      <c r="T269" s="43" t="n">
        <f aca="false">S269-$M$2</f>
        <v>100.937488660726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3041.875</v>
      </c>
      <c r="F270" s="15" t="n">
        <f aca="false">E270*(1+IF(F$3&lt;=$O$2,$D270,$D270-($D270-$I$265)*MIN(F$3-$O$2,$Q$2)/$Q$2))</f>
        <v>2946.81640625</v>
      </c>
      <c r="G270" s="15" t="n">
        <f aca="false">F270*(1+IF(G$3&lt;=$O$2,$D270,$D270-($D270-$I$265)*MIN(G$3-$O$2,$Q$2)/$Q$2))</f>
        <v>2854.72839355469</v>
      </c>
      <c r="H270" s="15" t="n">
        <f aca="false">G270*(1+IF(H$3&lt;=$O$2,$D270,$D270-($D270-$I$265)*MIN(H$3-$O$2,$Q$2)/$Q$2))</f>
        <v>2765.5181312561</v>
      </c>
      <c r="I270" s="15" t="n">
        <f aca="false">H270*(1+IF(I$3&lt;=$O$2,$D270,$D270-($D270-$I$265)*MIN(I$3-$O$2,$Q$2)/$Q$2))</f>
        <v>2679.09568965435</v>
      </c>
      <c r="J270" s="15" t="n">
        <f aca="false">I270*(1+IF(J$3&lt;=$O$2,$D270,$D270-($D270-$I$265)*MIN(J$3-$O$2,$Q$2)/$Q$2))</f>
        <v>2629.96107470609</v>
      </c>
      <c r="K270" s="15" t="n">
        <f aca="false">J270*(1+IF(K$3&lt;=$O$2,$D270,$D270-($D270-$I$265)*MIN(K$3-$O$2,$Q$2)/$Q$2))</f>
        <v>2615.68038607044</v>
      </c>
      <c r="L270" s="15" t="n">
        <f aca="false">K270*(1+IF(L$3&lt;=$O$2,$D270,$D270-($D270-$I$265)*MIN(L$3-$O$2,$Q$2)/$Q$2))</f>
        <v>2635.24567535824</v>
      </c>
      <c r="M270" s="15" t="n">
        <f aca="false">L270*(1+IF(M$3&lt;=$O$2,$D270,$D270-($D270-$I$265)*MIN(M$3-$O$2,$Q$2)/$Q$2))</f>
        <v>2688.9783346788</v>
      </c>
      <c r="N270" s="15" t="n">
        <f aca="false">M270*(1+IF(N$3&lt;=$O$2,$D270,$D270-($D270-$I$265)*MIN(N$3-$O$2,$Q$2)/$Q$2))</f>
        <v>2778.5213132236</v>
      </c>
      <c r="O270" s="15" t="n">
        <f aca="false">SUMPRODUCT(E270:N270,1/(1+$F$265)^$E$3:$N$3)*$E$2</f>
        <v>8619.16822488025</v>
      </c>
      <c r="P270" s="15" t="n">
        <f aca="false">N270*$E$2*(1+$I$265)/($F$265-$I$265)/(1+$F$265)^$N$3</f>
        <v>14251.7209552863</v>
      </c>
      <c r="Q270" s="15" t="n">
        <f aca="false">O270+P270</f>
        <v>22870.8891801665</v>
      </c>
      <c r="R270" s="15" t="n">
        <f aca="false">Q270-$G$2+$I$2</f>
        <v>18803.0891801665</v>
      </c>
      <c r="S270" s="42" t="n">
        <f aca="false">R270/$K$2</f>
        <v>144.461348956412</v>
      </c>
      <c r="T270" s="43" t="n">
        <f aca="false">S270-$M$2</f>
        <v>-32.167415641007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3189.0625</v>
      </c>
      <c r="F271" s="15" t="n">
        <f aca="false">E271*(1+IF(F$3&lt;=$O$2,$D271,$D271-($D271-$I$265)*MIN(F$3-$O$2,$Q$2)/$Q$2))</f>
        <v>3238.8916015625</v>
      </c>
      <c r="G271" s="15" t="n">
        <f aca="false">F271*(1+IF(G$3&lt;=$O$2,$D271,$D271-($D271-$I$265)*MIN(G$3-$O$2,$Q$2)/$Q$2))</f>
        <v>3289.49928283691</v>
      </c>
      <c r="H271" s="15" t="n">
        <f aca="false">G271*(1+IF(H$3&lt;=$O$2,$D271,$D271-($D271-$I$265)*MIN(H$3-$O$2,$Q$2)/$Q$2))</f>
        <v>3340.89770913124</v>
      </c>
      <c r="I271" s="15" t="n">
        <f aca="false">H271*(1+IF(I$3&lt;=$O$2,$D271,$D271-($D271-$I$265)*MIN(I$3-$O$2,$Q$2)/$Q$2))</f>
        <v>3393.09923583642</v>
      </c>
      <c r="J271" s="15" t="n">
        <f aca="false">I271*(1+IF(J$3&lt;=$O$2,$D271,$D271-($D271-$I$265)*MIN(J$3-$O$2,$Q$2)/$Q$2))</f>
        <v>3458.11101719504</v>
      </c>
      <c r="K271" s="15" t="n">
        <f aca="false">J271*(1+IF(K$3&lt;=$O$2,$D271,$D271-($D271-$I$265)*MIN(K$3-$O$2,$Q$2)/$Q$2))</f>
        <v>3536.59284673028</v>
      </c>
      <c r="L271" s="15" t="n">
        <f aca="false">K271*(1+IF(L$3&lt;=$O$2,$D271,$D271-($D271-$I$265)*MIN(L$3-$O$2,$Q$2)/$Q$2))</f>
        <v>3629.35767710002</v>
      </c>
      <c r="M271" s="15" t="n">
        <f aca="false">L271*(1+IF(M$3&lt;=$O$2,$D271,$D271-($D271-$I$265)*MIN(M$3-$O$2,$Q$2)/$Q$2))</f>
        <v>3737.3855083589</v>
      </c>
      <c r="N271" s="15" t="n">
        <f aca="false">M271*(1+IF(N$3&lt;=$O$2,$D271,$D271-($D271-$I$265)*MIN(N$3-$O$2,$Q$2)/$Q$2))</f>
        <v>3861.84044578725</v>
      </c>
      <c r="O271" s="15" t="n">
        <f aca="false">SUMPRODUCT(E271:N271,1/(1+$F$265)^$E$3:$N$3)*$E$2</f>
        <v>10592.1273924908</v>
      </c>
      <c r="P271" s="15" t="n">
        <f aca="false">N271*$E$2*(1+$I$265)/($F$265-$I$265)/(1+$F$265)^$N$3</f>
        <v>19808.3319157067</v>
      </c>
      <c r="Q271" s="15" t="n">
        <f aca="false">O271+P271</f>
        <v>30400.4593081974</v>
      </c>
      <c r="R271" s="15" t="n">
        <f aca="false">Q271-$G$2+$I$2</f>
        <v>26332.6593081974</v>
      </c>
      <c r="S271" s="42" t="n">
        <f aca="false">R271/$K$2</f>
        <v>202.309920929605</v>
      </c>
      <c r="T271" s="43" t="n">
        <f aca="false">S271-$M$2</f>
        <v>25.6811563321868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-0.03125</v>
      </c>
      <c r="C272" s="25" t="n">
        <f aca="false">IF(T271&gt;0,D271,C271)</f>
        <v>0.015625</v>
      </c>
      <c r="D272" s="41" t="n">
        <f aca="false">(B272+C272)/2</f>
        <v>-0.0078125</v>
      </c>
      <c r="E272" s="15" t="n">
        <f aca="false">$C$2*(1+IF(E$3&lt;=$O$2,$D272,$D272-($D272-$I$265)*MIN(E$3-$O$2,$Q$2)/$Q$2))</f>
        <v>3115.46875</v>
      </c>
      <c r="F272" s="15" t="n">
        <f aca="false">E272*(1+IF(F$3&lt;=$O$2,$D272,$D272-($D272-$I$265)*MIN(F$3-$O$2,$Q$2)/$Q$2))</f>
        <v>3091.12915039063</v>
      </c>
      <c r="G272" s="15" t="n">
        <f aca="false">F272*(1+IF(G$3&lt;=$O$2,$D272,$D272-($D272-$I$265)*MIN(G$3-$O$2,$Q$2)/$Q$2))</f>
        <v>3066.9797039032</v>
      </c>
      <c r="H272" s="15" t="n">
        <f aca="false">G272*(1+IF(H$3&lt;=$O$2,$D272,$D272-($D272-$I$265)*MIN(H$3-$O$2,$Q$2)/$Q$2))</f>
        <v>3043.01892496645</v>
      </c>
      <c r="I272" s="15" t="n">
        <f aca="false">H272*(1+IF(I$3&lt;=$O$2,$D272,$D272-($D272-$I$265)*MIN(I$3-$O$2,$Q$2)/$Q$2))</f>
        <v>3019.24533961515</v>
      </c>
      <c r="J272" s="15" t="n">
        <f aca="false">I272*(1+IF(J$3&lt;=$O$2,$D272,$D272-($D272-$I$265)*MIN(J$3-$O$2,$Q$2)/$Q$2))</f>
        <v>3020.4832302044</v>
      </c>
      <c r="K272" s="15" t="n">
        <f aca="false">J272*(1+IF(K$3&lt;=$O$2,$D272,$D272-($D272-$I$265)*MIN(K$3-$O$2,$Q$2)/$Q$2))</f>
        <v>3046.55755168914</v>
      </c>
      <c r="L272" s="15" t="n">
        <f aca="false">K272*(1+IF(L$3&lt;=$O$2,$D272,$D272-($D272-$I$265)*MIN(L$3-$O$2,$Q$2)/$Q$2))</f>
        <v>3097.90727922286</v>
      </c>
      <c r="M272" s="15" t="n">
        <f aca="false">L272*(1+IF(M$3&lt;=$O$2,$D272,$D272-($D272-$I$265)*MIN(M$3-$O$2,$Q$2)/$Q$2))</f>
        <v>3175.59504901757</v>
      </c>
      <c r="N272" s="15" t="n">
        <f aca="false">M272*(1+IF(N$3&lt;=$O$2,$D272,$D272-($D272-$I$265)*MIN(N$3-$O$2,$Q$2)/$Q$2))</f>
        <v>3281.34236414985</v>
      </c>
      <c r="O272" s="15" t="n">
        <f aca="false">SUMPRODUCT(E272:N272,1/(1+$F$265)^$E$3:$N$3)*$E$2</f>
        <v>9553.67938117048</v>
      </c>
      <c r="P272" s="15" t="n">
        <f aca="false">N272*$E$2*(1+$I$265)/($F$265-$I$265)/(1+$F$265)^$N$3</f>
        <v>16830.8141132692</v>
      </c>
      <c r="Q272" s="15" t="n">
        <f aca="false">O272+P272</f>
        <v>26384.4934944397</v>
      </c>
      <c r="R272" s="15" t="n">
        <f aca="false">Q272-$G$2+$I$2</f>
        <v>22316.6934944397</v>
      </c>
      <c r="S272" s="42" t="n">
        <f aca="false">R272/$K$2</f>
        <v>171.455850448984</v>
      </c>
      <c r="T272" s="43" t="n">
        <f aca="false">S272-$M$2</f>
        <v>-5.17291414843507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-0.0078125</v>
      </c>
      <c r="C273" s="25" t="n">
        <f aca="false">IF(T272&gt;0,D272,C272)</f>
        <v>0.015625</v>
      </c>
      <c r="D273" s="41" t="n">
        <f aca="false">(B273+C273)/2</f>
        <v>0.00390625</v>
      </c>
      <c r="E273" s="15" t="n">
        <f aca="false">$C$2*(1+IF(E$3&lt;=$O$2,$D273,$D273-($D273-$I$265)*MIN(E$3-$O$2,$Q$2)/$Q$2))</f>
        <v>3152.265625</v>
      </c>
      <c r="F273" s="15" t="n">
        <f aca="false">E273*(1+IF(F$3&lt;=$O$2,$D273,$D273-($D273-$I$265)*MIN(F$3-$O$2,$Q$2)/$Q$2))</f>
        <v>3164.57916259766</v>
      </c>
      <c r="G273" s="15" t="n">
        <f aca="false">F273*(1+IF(G$3&lt;=$O$2,$D273,$D273-($D273-$I$265)*MIN(G$3-$O$2,$Q$2)/$Q$2))</f>
        <v>3176.94079995155</v>
      </c>
      <c r="H273" s="15" t="n">
        <f aca="false">G273*(1+IF(H$3&lt;=$O$2,$D273,$D273-($D273-$I$265)*MIN(H$3-$O$2,$Q$2)/$Q$2))</f>
        <v>3189.35072495136</v>
      </c>
      <c r="I273" s="15" t="n">
        <f aca="false">H273*(1+IF(I$3&lt;=$O$2,$D273,$D273-($D273-$I$265)*MIN(I$3-$O$2,$Q$2)/$Q$2))</f>
        <v>3201.80912622071</v>
      </c>
      <c r="J273" s="15" t="n">
        <f aca="false">I273*(1+IF(J$3&lt;=$O$2,$D273,$D273-($D273-$I$265)*MIN(J$3-$O$2,$Q$2)/$Q$2))</f>
        <v>3233.13882852078</v>
      </c>
      <c r="K273" s="15" t="n">
        <f aca="false">J273*(1+IF(K$3&lt;=$O$2,$D273,$D273-($D273-$I$265)*MIN(K$3-$O$2,$Q$2)/$Q$2))</f>
        <v>3283.78190684602</v>
      </c>
      <c r="L273" s="15" t="n">
        <f aca="false">K273*(1+IF(L$3&lt;=$O$2,$D273,$D273-($D273-$I$265)*MIN(L$3-$O$2,$Q$2)/$Q$2))</f>
        <v>3354.52277857425</v>
      </c>
      <c r="M273" s="15" t="n">
        <f aca="false">L273*(1+IF(M$3&lt;=$O$2,$D273,$D273-($D273-$I$265)*MIN(M$3-$O$2,$Q$2)/$Q$2))</f>
        <v>3446.50798631623</v>
      </c>
      <c r="N273" s="15" t="n">
        <f aca="false">M273*(1+IF(N$3&lt;=$O$2,$D273,$D273-($D273-$I$265)*MIN(N$3-$O$2,$Q$2)/$Q$2))</f>
        <v>3561.27670226056</v>
      </c>
      <c r="O273" s="15" t="n">
        <f aca="false">SUMPRODUCT(E273:N273,1/(1+$F$265)^$E$3:$N$3)*$E$2</f>
        <v>10059.2556032853</v>
      </c>
      <c r="P273" s="15" t="n">
        <f aca="false">N273*$E$2*(1+$I$265)/($F$265-$I$265)/(1+$F$265)^$N$3</f>
        <v>18266.6663608548</v>
      </c>
      <c r="Q273" s="15" t="n">
        <f aca="false">O273+P273</f>
        <v>28325.9219641401</v>
      </c>
      <c r="R273" s="15" t="n">
        <f aca="false">Q273-$G$2+$I$2</f>
        <v>24258.1219641401</v>
      </c>
      <c r="S273" s="42" t="n">
        <f aca="false">R273/$K$2</f>
        <v>186.371557806854</v>
      </c>
      <c r="T273" s="43" t="n">
        <f aca="false">S273-$M$2</f>
        <v>9.74279320943543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-0.0078125</v>
      </c>
      <c r="C274" s="25" t="n">
        <f aca="false">IF(T273&gt;0,D273,C273)</f>
        <v>0.00390625</v>
      </c>
      <c r="D274" s="41" t="n">
        <f aca="false">(B274+C274)/2</f>
        <v>-0.001953125</v>
      </c>
      <c r="E274" s="15" t="n">
        <f aca="false">$C$2*(1+IF(E$3&lt;=$O$2,$D274,$D274-($D274-$I$265)*MIN(E$3-$O$2,$Q$2)/$Q$2))</f>
        <v>3133.8671875</v>
      </c>
      <c r="F274" s="15" t="n">
        <f aca="false">E274*(1+IF(F$3&lt;=$O$2,$D274,$D274-($D274-$I$265)*MIN(F$3-$O$2,$Q$2)/$Q$2))</f>
        <v>3127.74635314941</v>
      </c>
      <c r="G274" s="15" t="n">
        <f aca="false">F274*(1+IF(G$3&lt;=$O$2,$D274,$D274-($D274-$I$265)*MIN(G$3-$O$2,$Q$2)/$Q$2))</f>
        <v>3121.63747355342</v>
      </c>
      <c r="H274" s="15" t="n">
        <f aca="false">G274*(1+IF(H$3&lt;=$O$2,$D274,$D274-($D274-$I$265)*MIN(H$3-$O$2,$Q$2)/$Q$2))</f>
        <v>3115.54052536289</v>
      </c>
      <c r="I274" s="15" t="n">
        <f aca="false">H274*(1+IF(I$3&lt;=$O$2,$D274,$D274-($D274-$I$265)*MIN(I$3-$O$2,$Q$2)/$Q$2))</f>
        <v>3109.45548527429</v>
      </c>
      <c r="J274" s="15" t="n">
        <f aca="false">I274*(1+IF(J$3&lt;=$O$2,$D274,$D274-($D274-$I$265)*MIN(J$3-$O$2,$Q$2)/$Q$2))</f>
        <v>3125.30593461047</v>
      </c>
      <c r="K274" s="15" t="n">
        <f aca="false">J274*(1+IF(K$3&lt;=$O$2,$D274,$D274-($D274-$I$265)*MIN(K$3-$O$2,$Q$2)/$Q$2))</f>
        <v>3163.27254176736</v>
      </c>
      <c r="L274" s="15" t="n">
        <f aca="false">K274*(1+IF(L$3&lt;=$O$2,$D274,$D274-($D274-$I$265)*MIN(L$3-$O$2,$Q$2)/$Q$2))</f>
        <v>3224.00342047862</v>
      </c>
      <c r="M274" s="15" t="n">
        <f aca="false">L274*(1+IF(M$3&lt;=$O$2,$D274,$D274-($D274-$I$265)*MIN(M$3-$O$2,$Q$2)/$Q$2))</f>
        <v>3308.63149526404</v>
      </c>
      <c r="N274" s="15" t="n">
        <f aca="false">M274*(1+IF(N$3&lt;=$O$2,$D274,$D274-($D274-$I$265)*MIN(N$3-$O$2,$Q$2)/$Q$2))</f>
        <v>3418.80892405634</v>
      </c>
      <c r="O274" s="15" t="n">
        <f aca="false">SUMPRODUCT(E274:N274,1/(1+$F$265)^$E$3:$N$3)*$E$2</f>
        <v>9803.13973840637</v>
      </c>
      <c r="P274" s="15" t="n">
        <f aca="false">N274*$E$2*(1+$I$265)/($F$265-$I$265)/(1+$F$265)^$N$3</f>
        <v>17535.9139961265</v>
      </c>
      <c r="Q274" s="15" t="n">
        <f aca="false">O274+P274</f>
        <v>27339.0537345328</v>
      </c>
      <c r="R274" s="15" t="n">
        <f aca="false">Q274-$G$2+$I$2</f>
        <v>23271.2537345328</v>
      </c>
      <c r="S274" s="42" t="n">
        <f aca="false">R274/$K$2</f>
        <v>178.789595379017</v>
      </c>
      <c r="T274" s="43" t="n">
        <f aca="false">S274-$M$2</f>
        <v>2.16083078159832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-0.0078125</v>
      </c>
      <c r="C275" s="25" t="n">
        <f aca="false">IF(T274&gt;0,D274,C274)</f>
        <v>-0.001953125</v>
      </c>
      <c r="D275" s="41" t="n">
        <f aca="false">(B275+C275)/2</f>
        <v>-0.0048828125</v>
      </c>
      <c r="E275" s="15" t="n">
        <f aca="false">$C$2*(1+IF(E$3&lt;=$O$2,$D275,$D275-($D275-$I$265)*MIN(E$3-$O$2,$Q$2)/$Q$2))</f>
        <v>3124.66796875</v>
      </c>
      <c r="F275" s="15" t="n">
        <f aca="false">E275*(1+IF(F$3&lt;=$O$2,$D275,$D275-($D275-$I$265)*MIN(F$3-$O$2,$Q$2)/$Q$2))</f>
        <v>3109.41080093384</v>
      </c>
      <c r="G275" s="15" t="n">
        <f aca="false">F275*(1+IF(G$3&lt;=$O$2,$D275,$D275-($D275-$I$265)*MIN(G$3-$O$2,$Q$2)/$Q$2))</f>
        <v>3094.2281310074</v>
      </c>
      <c r="H275" s="15" t="n">
        <f aca="false">G275*(1+IF(H$3&lt;=$O$2,$D275,$D275-($D275-$I$265)*MIN(H$3-$O$2,$Q$2)/$Q$2))</f>
        <v>3079.11959521147</v>
      </c>
      <c r="I275" s="15" t="n">
        <f aca="false">H275*(1+IF(I$3&lt;=$O$2,$D275,$D275-($D275-$I$265)*MIN(I$3-$O$2,$Q$2)/$Q$2))</f>
        <v>3064.08483156298</v>
      </c>
      <c r="J275" s="15" t="n">
        <f aca="false">I275*(1+IF(J$3&lt;=$O$2,$D275,$D275-($D275-$I$265)*MIN(J$3-$O$2,$Q$2)/$Q$2))</f>
        <v>3072.52255516789</v>
      </c>
      <c r="K275" s="15" t="n">
        <f aca="false">J275*(1+IF(K$3&lt;=$O$2,$D275,$D275-($D275-$I$265)*MIN(K$3-$O$2,$Q$2)/$Q$2))</f>
        <v>3104.44702467939</v>
      </c>
      <c r="L275" s="15" t="n">
        <f aca="false">K275*(1+IF(L$3&lt;=$O$2,$D275,$D275-($D275-$I$265)*MIN(L$3-$O$2,$Q$2)/$Q$2))</f>
        <v>3160.4105031374</v>
      </c>
      <c r="M275" s="15" t="n">
        <f aca="false">L275*(1+IF(M$3&lt;=$O$2,$D275,$D275-($D275-$I$265)*MIN(M$3-$O$2,$Q$2)/$Q$2))</f>
        <v>3241.51750055901</v>
      </c>
      <c r="N275" s="15" t="n">
        <f aca="false">M275*(1+IF(N$3&lt;=$O$2,$D275,$D275-($D275-$I$265)*MIN(N$3-$O$2,$Q$2)/$Q$2))</f>
        <v>3349.46003332763</v>
      </c>
      <c r="O275" s="15" t="n">
        <f aca="false">SUMPRODUCT(E275:N275,1/(1+$F$265)^$E$3:$N$3)*$E$2</f>
        <v>9677.58794684404</v>
      </c>
      <c r="P275" s="15" t="n">
        <f aca="false">N275*$E$2*(1+$I$265)/($F$265-$I$265)/(1+$F$265)^$N$3</f>
        <v>17180.2064352305</v>
      </c>
      <c r="Q275" s="15" t="n">
        <f aca="false">O275+P275</f>
        <v>26857.7943820746</v>
      </c>
      <c r="R275" s="15" t="n">
        <f aca="false">Q275-$G$2+$I$2</f>
        <v>22789.9943820746</v>
      </c>
      <c r="S275" s="42" t="n">
        <f aca="false">R275/$K$2</f>
        <v>175.092151060806</v>
      </c>
      <c r="T275" s="43" t="n">
        <f aca="false">S275-$M$2</f>
        <v>-1.53661353661221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-0.0048828125</v>
      </c>
      <c r="C276" s="25" t="n">
        <f aca="false">IF(T275&gt;0,D275,C275)</f>
        <v>-0.001953125</v>
      </c>
      <c r="D276" s="41" t="n">
        <f aca="false">(B276+C276)/2</f>
        <v>-0.00341796875</v>
      </c>
      <c r="E276" s="15" t="n">
        <f aca="false">$C$2*(1+IF(E$3&lt;=$O$2,$D276,$D276-($D276-$I$265)*MIN(E$3-$O$2,$Q$2)/$Q$2))</f>
        <v>3129.267578125</v>
      </c>
      <c r="F276" s="15" t="n">
        <f aca="false">E276*(1+IF(F$3&lt;=$O$2,$D276,$D276-($D276-$I$265)*MIN(F$3-$O$2,$Q$2)/$Q$2))</f>
        <v>3118.57183933258</v>
      </c>
      <c r="G276" s="15" t="n">
        <f aca="false">F276*(1+IF(G$3&lt;=$O$2,$D276,$D276-($D276-$I$265)*MIN(G$3-$O$2,$Q$2)/$Q$2))</f>
        <v>3107.91265824111</v>
      </c>
      <c r="H276" s="15" t="n">
        <f aca="false">G276*(1+IF(H$3&lt;=$O$2,$D276,$D276-($D276-$I$265)*MIN(H$3-$O$2,$Q$2)/$Q$2))</f>
        <v>3097.28990989751</v>
      </c>
      <c r="I276" s="15" t="n">
        <f aca="false">H276*(1+IF(I$3&lt;=$O$2,$D276,$D276-($D276-$I$265)*MIN(I$3-$O$2,$Q$2)/$Q$2))</f>
        <v>3086.70346977579</v>
      </c>
      <c r="J276" s="15" t="n">
        <f aca="false">I276*(1+IF(J$3&lt;=$O$2,$D276,$D276-($D276-$I$265)*MIN(J$3-$O$2,$Q$2)/$Q$2))</f>
        <v>3098.82071008433</v>
      </c>
      <c r="K276" s="15" t="n">
        <f aca="false">J276*(1+IF(K$3&lt;=$O$2,$D276,$D276-($D276-$I$265)*MIN(K$3-$O$2,$Q$2)/$Q$2))</f>
        <v>3133.7419985333</v>
      </c>
      <c r="L276" s="15" t="n">
        <f aca="false">K276*(1+IF(L$3&lt;=$O$2,$D276,$D276-($D276-$I$265)*MIN(L$3-$O$2,$Q$2)/$Q$2))</f>
        <v>3192.06975077538</v>
      </c>
      <c r="M276" s="15" t="n">
        <f aca="false">L276*(1+IF(M$3&lt;=$O$2,$D276,$D276-($D276-$I$265)*MIN(M$3-$O$2,$Q$2)/$Q$2))</f>
        <v>3274.92441000484</v>
      </c>
      <c r="N276" s="15" t="n">
        <f aca="false">M276*(1+IF(N$3&lt;=$O$2,$D276,$D276-($D276-$I$265)*MIN(N$3-$O$2,$Q$2)/$Q$2))</f>
        <v>3383.979392858</v>
      </c>
      <c r="O276" s="15" t="n">
        <f aca="false">SUMPRODUCT(E276:N276,1/(1+$F$265)^$E$3:$N$3)*$E$2</f>
        <v>9740.15715745887</v>
      </c>
      <c r="P276" s="15" t="n">
        <f aca="false">N276*$E$2*(1+$I$265)/($F$265-$I$265)/(1+$F$265)^$N$3</f>
        <v>17357.2647421943</v>
      </c>
      <c r="Q276" s="15" t="n">
        <f aca="false">O276+P276</f>
        <v>27097.4218996531</v>
      </c>
      <c r="R276" s="15" t="n">
        <f aca="false">Q276-$G$2+$I$2</f>
        <v>23029.6218996531</v>
      </c>
      <c r="S276" s="42" t="n">
        <f aca="false">R276/$K$2</f>
        <v>176.933173783445</v>
      </c>
      <c r="T276" s="43" t="n">
        <f aca="false">S276-$M$2</f>
        <v>0.304409186025964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-0.0048828125</v>
      </c>
      <c r="C277" s="25" t="n">
        <f aca="false">IF(T276&gt;0,D276,C276)</f>
        <v>-0.00341796875</v>
      </c>
      <c r="D277" s="41" t="n">
        <f aca="false">(B277+C277)/2</f>
        <v>-0.004150390625</v>
      </c>
      <c r="E277" s="15" t="n">
        <f aca="false">$C$2*(1+IF(E$3&lt;=$O$2,$D277,$D277-($D277-$I$265)*MIN(E$3-$O$2,$Q$2)/$Q$2))</f>
        <v>3126.9677734375</v>
      </c>
      <c r="F277" s="15" t="n">
        <f aca="false">E277*(1+IF(F$3&lt;=$O$2,$D277,$D277-($D277-$I$265)*MIN(F$3-$O$2,$Q$2)/$Q$2))</f>
        <v>3113.98963570595</v>
      </c>
      <c r="G277" s="15" t="n">
        <f aca="false">F277*(1+IF(G$3&lt;=$O$2,$D277,$D277-($D277-$I$265)*MIN(G$3-$O$2,$Q$2)/$Q$2))</f>
        <v>3101.06536231557</v>
      </c>
      <c r="H277" s="15" t="n">
        <f aca="false">G277*(1+IF(H$3&lt;=$O$2,$D277,$D277-($D277-$I$265)*MIN(H$3-$O$2,$Q$2)/$Q$2))</f>
        <v>3088.1947297083</v>
      </c>
      <c r="I277" s="15" t="n">
        <f aca="false">H277*(1+IF(I$3&lt;=$O$2,$D277,$D277-($D277-$I$265)*MIN(I$3-$O$2,$Q$2)/$Q$2))</f>
        <v>3075.37751525394</v>
      </c>
      <c r="J277" s="15" t="n">
        <f aca="false">I277*(1+IF(J$3&lt;=$O$2,$D277,$D277-($D277-$I$265)*MIN(J$3-$O$2,$Q$2)/$Q$2))</f>
        <v>3085.64831509942</v>
      </c>
      <c r="K277" s="15" t="n">
        <f aca="false">J277*(1+IF(K$3&lt;=$O$2,$D277,$D277-($D277-$I$265)*MIN(K$3-$O$2,$Q$2)/$Q$2))</f>
        <v>3119.06516315312</v>
      </c>
      <c r="L277" s="15" t="n">
        <f aca="false">K277*(1+IF(L$3&lt;=$O$2,$D277,$D277-($D277-$I$265)*MIN(L$3-$O$2,$Q$2)/$Q$2))</f>
        <v>3176.20594958816</v>
      </c>
      <c r="M277" s="15" t="n">
        <f aca="false">L277*(1+IF(M$3&lt;=$O$2,$D277,$D277-($D277-$I$265)*MIN(M$3-$O$2,$Q$2)/$Q$2))</f>
        <v>3258.18357700594</v>
      </c>
      <c r="N277" s="15" t="n">
        <f aca="false">M277*(1+IF(N$3&lt;=$O$2,$D277,$D277-($D277-$I$265)*MIN(N$3-$O$2,$Q$2)/$Q$2))</f>
        <v>3366.68109012023</v>
      </c>
      <c r="O277" s="15" t="n">
        <f aca="false">SUMPRODUCT(E277:N277,1/(1+$F$265)^$E$3:$N$3)*$E$2</f>
        <v>9708.82104164587</v>
      </c>
      <c r="P277" s="15" t="n">
        <f aca="false">N277*$E$2*(1+$I$265)/($F$265-$I$265)/(1+$F$265)^$N$3</f>
        <v>17268.5374819622</v>
      </c>
      <c r="Q277" s="15" t="n">
        <f aca="false">O277+P277</f>
        <v>26977.3585236081</v>
      </c>
      <c r="R277" s="15" t="n">
        <f aca="false">Q277-$G$2+$I$2</f>
        <v>22909.5585236081</v>
      </c>
      <c r="S277" s="42" t="n">
        <f aca="false">R277/$K$2</f>
        <v>176.010744649724</v>
      </c>
      <c r="T277" s="43" t="n">
        <f aca="false">S277-$M$2</f>
        <v>-0.618019947694592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-0.004150390625</v>
      </c>
      <c r="C278" s="25" t="n">
        <f aca="false">IF(T277&gt;0,D277,C277)</f>
        <v>-0.00341796875</v>
      </c>
      <c r="D278" s="41" t="n">
        <f aca="false">(B278+C278)/2</f>
        <v>-0.0037841796875</v>
      </c>
      <c r="E278" s="15" t="n">
        <f aca="false">$C$2*(1+IF(E$3&lt;=$O$2,$D278,$D278-($D278-$I$265)*MIN(E$3-$O$2,$Q$2)/$Q$2))</f>
        <v>3128.11767578125</v>
      </c>
      <c r="F278" s="15" t="n">
        <f aca="false">E278*(1+IF(F$3&lt;=$O$2,$D278,$D278-($D278-$I$265)*MIN(F$3-$O$2,$Q$2)/$Q$2))</f>
        <v>3116.28031641245</v>
      </c>
      <c r="G278" s="15" t="n">
        <f aca="false">F278*(1+IF(G$3&lt;=$O$2,$D278,$D278-($D278-$I$265)*MIN(G$3-$O$2,$Q$2)/$Q$2))</f>
        <v>3104.48775173853</v>
      </c>
      <c r="H278" s="15" t="n">
        <f aca="false">G278*(1+IF(H$3&lt;=$O$2,$D278,$D278-($D278-$I$265)*MIN(H$3-$O$2,$Q$2)/$Q$2))</f>
        <v>3092.7398122483</v>
      </c>
      <c r="I278" s="15" t="n">
        <f aca="false">H278*(1+IF(I$3&lt;=$O$2,$D278,$D278-($D278-$I$265)*MIN(I$3-$O$2,$Q$2)/$Q$2))</f>
        <v>3081.03632907207</v>
      </c>
      <c r="J278" s="15" t="n">
        <f aca="false">I278*(1+IF(J$3&lt;=$O$2,$D278,$D278-($D278-$I$265)*MIN(J$3-$O$2,$Q$2)/$Q$2))</f>
        <v>3092.22867494935</v>
      </c>
      <c r="K278" s="15" t="n">
        <f aca="false">J278*(1+IF(K$3&lt;=$O$2,$D278,$D278-($D278-$I$265)*MIN(K$3-$O$2,$Q$2)/$Q$2))</f>
        <v>3126.39623153517</v>
      </c>
      <c r="L278" s="15" t="n">
        <f aca="false">K278*(1+IF(L$3&lt;=$O$2,$D278,$D278-($D278-$I$265)*MIN(L$3-$O$2,$Q$2)/$Q$2))</f>
        <v>3184.12929019546</v>
      </c>
      <c r="M278" s="15" t="n">
        <f aca="false">L278*(1+IF(M$3&lt;=$O$2,$D278,$D278-($D278-$I$265)*MIN(M$3-$O$2,$Q$2)/$Q$2))</f>
        <v>3266.5446310098</v>
      </c>
      <c r="N278" s="15" t="n">
        <f aca="false">M278*(1+IF(N$3&lt;=$O$2,$D278,$D278-($D278-$I$265)*MIN(N$3-$O$2,$Q$2)/$Q$2))</f>
        <v>3375.32056722243</v>
      </c>
      <c r="O278" s="15" t="n">
        <f aca="false">SUMPRODUCT(E278:N278,1/(1+$F$265)^$E$3:$N$3)*$E$2</f>
        <v>9724.47620186185</v>
      </c>
      <c r="P278" s="15" t="n">
        <f aca="false">N278*$E$2*(1+$I$265)/($F$265-$I$265)/(1+$F$265)^$N$3</f>
        <v>17312.8514903789</v>
      </c>
      <c r="Q278" s="15" t="n">
        <f aca="false">O278+P278</f>
        <v>27037.3276922407</v>
      </c>
      <c r="R278" s="15" t="n">
        <f aca="false">Q278-$G$2+$I$2</f>
        <v>22969.5276922407</v>
      </c>
      <c r="S278" s="42" t="n">
        <f aca="false">R278/$K$2</f>
        <v>176.471478889372</v>
      </c>
      <c r="T278" s="43" t="n">
        <f aca="false">S278-$M$2</f>
        <v>-0.157285708046203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-0.0037841796875</v>
      </c>
      <c r="C279" s="25" t="n">
        <f aca="false">IF(T278&gt;0,D278,C278)</f>
        <v>-0.00341796875</v>
      </c>
      <c r="D279" s="41" t="n">
        <f aca="false">(B279+C279)/2</f>
        <v>-0.00360107421875</v>
      </c>
      <c r="E279" s="15" t="n">
        <f aca="false">$C$2*(1+IF(E$3&lt;=$O$2,$D279,$D279-($D279-$I$265)*MIN(E$3-$O$2,$Q$2)/$Q$2))</f>
        <v>3128.69262695313</v>
      </c>
      <c r="F279" s="15" t="n">
        <f aca="false">E279*(1+IF(F$3&lt;=$O$2,$D279,$D279-($D279-$I$265)*MIN(F$3-$O$2,$Q$2)/$Q$2))</f>
        <v>3117.42597259581</v>
      </c>
      <c r="G279" s="15" t="n">
        <f aca="false">F279*(1+IF(G$3&lt;=$O$2,$D279,$D279-($D279-$I$265)*MIN(G$3-$O$2,$Q$2)/$Q$2))</f>
        <v>3106.19989029703</v>
      </c>
      <c r="H279" s="15" t="n">
        <f aca="false">G279*(1+IF(H$3&lt;=$O$2,$D279,$D279-($D279-$I$265)*MIN(H$3-$O$2,$Q$2)/$Q$2))</f>
        <v>3095.0142339538</v>
      </c>
      <c r="I279" s="15" t="n">
        <f aca="false">H279*(1+IF(I$3&lt;=$O$2,$D279,$D279-($D279-$I$265)*MIN(I$3-$O$2,$Q$2)/$Q$2))</f>
        <v>3083.86885798925</v>
      </c>
      <c r="J279" s="15" t="n">
        <f aca="false">I279*(1+IF(J$3&lt;=$O$2,$D279,$D279-($D279-$I$265)*MIN(J$3-$O$2,$Q$2)/$Q$2))</f>
        <v>3095.52323207265</v>
      </c>
      <c r="K279" s="15" t="n">
        <f aca="false">J279*(1+IF(K$3&lt;=$O$2,$D279,$D279-($D279-$I$265)*MIN(K$3-$O$2,$Q$2)/$Q$2))</f>
        <v>3130.06727618112</v>
      </c>
      <c r="L279" s="15" t="n">
        <f aca="false">K279*(1+IF(L$3&lt;=$O$2,$D279,$D279-($D279-$I$265)*MIN(L$3-$O$2,$Q$2)/$Q$2))</f>
        <v>3188.09737853073</v>
      </c>
      <c r="M279" s="15" t="n">
        <f aca="false">L279*(1+IF(M$3&lt;=$O$2,$D279,$D279-($D279-$I$265)*MIN(M$3-$O$2,$Q$2)/$Q$2))</f>
        <v>3270.73217763945</v>
      </c>
      <c r="N279" s="15" t="n">
        <f aca="false">M279*(1+IF(N$3&lt;=$O$2,$D279,$D279-($D279-$I$265)*MIN(N$3-$O$2,$Q$2)/$Q$2))</f>
        <v>3379.64755915485</v>
      </c>
      <c r="O279" s="15" t="n">
        <f aca="false">SUMPRODUCT(E279:N279,1/(1+$F$265)^$E$3:$N$3)*$E$2</f>
        <v>9732.31345272673</v>
      </c>
      <c r="P279" s="15" t="n">
        <f aca="false">N279*$E$2*(1+$I$265)/($F$265-$I$265)/(1+$F$265)^$N$3</f>
        <v>17335.0456989686</v>
      </c>
      <c r="Q279" s="15" t="n">
        <f aca="false">O279+P279</f>
        <v>27067.3591516953</v>
      </c>
      <c r="R279" s="15" t="n">
        <f aca="false">Q279-$G$2+$I$2</f>
        <v>22999.5591516953</v>
      </c>
      <c r="S279" s="42" t="n">
        <f aca="false">R279/$K$2</f>
        <v>176.702206143941</v>
      </c>
      <c r="T279" s="43" t="n">
        <f aca="false">S279-$M$2</f>
        <v>0.0734415465219627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-0.0037841796875</v>
      </c>
      <c r="C280" s="25" t="n">
        <f aca="false">IF(T279&gt;0,D279,C279)</f>
        <v>-0.00360107421875</v>
      </c>
      <c r="D280" s="41" t="n">
        <f aca="false">(B280+C280)/2</f>
        <v>-0.003692626953125</v>
      </c>
      <c r="E280" s="15" t="n">
        <f aca="false">$C$2*(1+IF(E$3&lt;=$O$2,$D280,$D280-($D280-$I$265)*MIN(E$3-$O$2,$Q$2)/$Q$2))</f>
        <v>3128.40515136719</v>
      </c>
      <c r="F280" s="15" t="n">
        <f aca="false">E280*(1+IF(F$3&lt;=$O$2,$D280,$D280-($D280-$I$265)*MIN(F$3-$O$2,$Q$2)/$Q$2))</f>
        <v>3116.85311818495</v>
      </c>
      <c r="G280" s="15" t="n">
        <f aca="false">F280*(1+IF(G$3&lt;=$O$2,$D280,$D280-($D280-$I$265)*MIN(G$3-$O$2,$Q$2)/$Q$2))</f>
        <v>3105.34374235181</v>
      </c>
      <c r="H280" s="15" t="n">
        <f aca="false">G280*(1+IF(H$3&lt;=$O$2,$D280,$D280-($D280-$I$265)*MIN(H$3-$O$2,$Q$2)/$Q$2))</f>
        <v>3093.87686635009</v>
      </c>
      <c r="I280" s="15" t="n">
        <f aca="false">H280*(1+IF(I$3&lt;=$O$2,$D280,$D280-($D280-$I$265)*MIN(I$3-$O$2,$Q$2)/$Q$2))</f>
        <v>3082.45233324375</v>
      </c>
      <c r="J280" s="15" t="n">
        <f aca="false">I280*(1+IF(J$3&lt;=$O$2,$D280,$D280-($D280-$I$265)*MIN(J$3-$O$2,$Q$2)/$Q$2))</f>
        <v>3093.87558852919</v>
      </c>
      <c r="K280" s="15" t="n">
        <f aca="false">J280*(1+IF(K$3&lt;=$O$2,$D280,$D280-($D280-$I$265)*MIN(K$3-$O$2,$Q$2)/$Q$2))</f>
        <v>3128.23129433571</v>
      </c>
      <c r="L280" s="15" t="n">
        <f aca="false">K280*(1+IF(L$3&lt;=$O$2,$D280,$D280-($D280-$I$265)*MIN(L$3-$O$2,$Q$2)/$Q$2))</f>
        <v>3186.11279911931</v>
      </c>
      <c r="M280" s="15" t="n">
        <f aca="false">L280*(1+IF(M$3&lt;=$O$2,$D280,$D280-($D280-$I$265)*MIN(M$3-$O$2,$Q$2)/$Q$2))</f>
        <v>3268.6378188883</v>
      </c>
      <c r="N280" s="15" t="n">
        <f aca="false">M280*(1+IF(N$3&lt;=$O$2,$D280,$D280-($D280-$I$265)*MIN(N$3-$O$2,$Q$2)/$Q$2))</f>
        <v>3377.48345825728</v>
      </c>
      <c r="O280" s="15" t="n">
        <f aca="false">SUMPRODUCT(E280:N280,1/(1+$F$265)^$E$3:$N$3)*$E$2</f>
        <v>9728.39402087489</v>
      </c>
      <c r="P280" s="15" t="n">
        <f aca="false">N280*$E$2*(1+$I$265)/($F$265-$I$265)/(1+$F$265)^$N$3</f>
        <v>17323.9454918316</v>
      </c>
      <c r="Q280" s="15" t="n">
        <f aca="false">O280+P280</f>
        <v>27052.3395127065</v>
      </c>
      <c r="R280" s="15" t="n">
        <f aca="false">Q280-$G$2+$I$2</f>
        <v>22984.5395127065</v>
      </c>
      <c r="S280" s="42" t="n">
        <f aca="false">R280/$K$2</f>
        <v>176.586812482379</v>
      </c>
      <c r="T280" s="43" t="n">
        <f aca="false">S280-$M$2</f>
        <v>-0.0419521150392086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-0.003692626953125</v>
      </c>
      <c r="C281" s="25" t="n">
        <f aca="false">IF(T280&gt;0,D280,C280)</f>
        <v>-0.00360107421875</v>
      </c>
      <c r="D281" s="41" t="n">
        <f aca="false">(B281+C281)/2</f>
        <v>-0.0036468505859375</v>
      </c>
      <c r="E281" s="15" t="n">
        <f aca="false">$C$2*(1+IF(E$3&lt;=$O$2,$D281,$D281-($D281-$I$265)*MIN(E$3-$O$2,$Q$2)/$Q$2))</f>
        <v>3128.54888916016</v>
      </c>
      <c r="F281" s="15" t="n">
        <f aca="false">E281*(1+IF(F$3&lt;=$O$2,$D281,$D281-($D281-$I$265)*MIN(F$3-$O$2,$Q$2)/$Q$2))</f>
        <v>3117.13953881059</v>
      </c>
      <c r="G281" s="15" t="n">
        <f aca="false">F281*(1+IF(G$3&lt;=$O$2,$D281,$D281-($D281-$I$265)*MIN(G$3-$O$2,$Q$2)/$Q$2))</f>
        <v>3105.77179665703</v>
      </c>
      <c r="H281" s="15" t="n">
        <f aca="false">G281*(1+IF(H$3&lt;=$O$2,$D281,$D281-($D281-$I$265)*MIN(H$3-$O$2,$Q$2)/$Q$2))</f>
        <v>3094.4455109606</v>
      </c>
      <c r="I281" s="15" t="n">
        <f aca="false">H281*(1+IF(I$3&lt;=$O$2,$D281,$D281-($D281-$I$265)*MIN(I$3-$O$2,$Q$2)/$Q$2))</f>
        <v>3083.1605305358</v>
      </c>
      <c r="J281" s="15" t="n">
        <f aca="false">I281*(1+IF(J$3&lt;=$O$2,$D281,$D281-($D281-$I$265)*MIN(J$3-$O$2,$Q$2)/$Q$2))</f>
        <v>3094.69931903931</v>
      </c>
      <c r="K281" s="15" t="n">
        <f aca="false">J281*(1+IF(K$3&lt;=$O$2,$D281,$D281-($D281-$I$265)*MIN(K$3-$O$2,$Q$2)/$Q$2))</f>
        <v>3129.14917035395</v>
      </c>
      <c r="L281" s="15" t="n">
        <f aca="false">K281*(1+IF(L$3&lt;=$O$2,$D281,$D281-($D281-$I$265)*MIN(L$3-$O$2,$Q$2)/$Q$2))</f>
        <v>3187.10495498347</v>
      </c>
      <c r="M281" s="15" t="n">
        <f aca="false">L281*(1+IF(M$3&lt;=$O$2,$D281,$D281-($D281-$I$265)*MIN(M$3-$O$2,$Q$2)/$Q$2))</f>
        <v>3269.68485186972</v>
      </c>
      <c r="N281" s="15" t="n">
        <f aca="false">M281*(1+IF(N$3&lt;=$O$2,$D281,$D281-($D281-$I$265)*MIN(N$3-$O$2,$Q$2)/$Q$2))</f>
        <v>3378.56535743698</v>
      </c>
      <c r="O281" s="15" t="n">
        <f aca="false">SUMPRODUCT(E281:N281,1/(1+$F$265)^$E$3:$N$3)*$E$2</f>
        <v>9730.35353515672</v>
      </c>
      <c r="P281" s="15" t="n">
        <f aca="false">N281*$E$2*(1+$I$265)/($F$265-$I$265)/(1+$F$265)^$N$3</f>
        <v>17329.4948195037</v>
      </c>
      <c r="Q281" s="15" t="n">
        <f aca="false">O281+P281</f>
        <v>27059.8483546604</v>
      </c>
      <c r="R281" s="15" t="n">
        <f aca="false">Q281-$G$2+$I$2</f>
        <v>22992.0483546604</v>
      </c>
      <c r="S281" s="42" t="n">
        <f aca="false">R281/$K$2</f>
        <v>176.644501802861</v>
      </c>
      <c r="T281" s="43" t="n">
        <f aca="false">S281-$M$2</f>
        <v>0.0157372054424911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-0.003692626953125</v>
      </c>
      <c r="C282" s="25" t="n">
        <f aca="false">IF(T281&gt;0,D281,C281)</f>
        <v>-0.0036468505859375</v>
      </c>
      <c r="D282" s="41" t="n">
        <f aca="false">(B282+C282)/2</f>
        <v>-0.00366973876953125</v>
      </c>
      <c r="E282" s="15" t="n">
        <f aca="false">$C$2*(1+IF(E$3&lt;=$O$2,$D282,$D282-($D282-$I$265)*MIN(E$3-$O$2,$Q$2)/$Q$2))</f>
        <v>3128.47702026367</v>
      </c>
      <c r="F282" s="15" t="n">
        <f aca="false">E282*(1+IF(F$3&lt;=$O$2,$D282,$D282-($D282-$I$265)*MIN(F$3-$O$2,$Q$2)/$Q$2))</f>
        <v>3116.99632685282</v>
      </c>
      <c r="G282" s="15" t="n">
        <f aca="false">F282*(1+IF(G$3&lt;=$O$2,$D282,$D282-($D282-$I$265)*MIN(G$3-$O$2,$Q$2)/$Q$2))</f>
        <v>3105.55776458768</v>
      </c>
      <c r="H282" s="15" t="n">
        <f aca="false">G282*(1+IF(H$3&lt;=$O$2,$D282,$D282-($D282-$I$265)*MIN(H$3-$O$2,$Q$2)/$Q$2))</f>
        <v>3094.16117885796</v>
      </c>
      <c r="I282" s="15" t="n">
        <f aca="false">H282*(1+IF(I$3&lt;=$O$2,$D282,$D282-($D282-$I$265)*MIN(I$3-$O$2,$Q$2)/$Q$2))</f>
        <v>3082.80641562072</v>
      </c>
      <c r="J282" s="15" t="n">
        <f aca="false">I282*(1+IF(J$3&lt;=$O$2,$D282,$D282-($D282-$I$265)*MIN(J$3-$O$2,$Q$2)/$Q$2))</f>
        <v>3094.28743097087</v>
      </c>
      <c r="K282" s="15" t="n">
        <f aca="false">J282*(1+IF(K$3&lt;=$O$2,$D282,$D282-($D282-$I$265)*MIN(K$3-$O$2,$Q$2)/$Q$2))</f>
        <v>3128.6902036217</v>
      </c>
      <c r="L282" s="15" t="n">
        <f aca="false">K282*(1+IF(L$3&lt;=$O$2,$D282,$D282-($D282-$I$265)*MIN(L$3-$O$2,$Q$2)/$Q$2))</f>
        <v>3186.60884359482</v>
      </c>
      <c r="M282" s="15" t="n">
        <f aca="false">L282*(1+IF(M$3&lt;=$O$2,$D282,$D282-($D282-$I$265)*MIN(M$3-$O$2,$Q$2)/$Q$2))</f>
        <v>3269.16129878486</v>
      </c>
      <c r="N282" s="15" t="n">
        <f aca="false">M282*(1+IF(N$3&lt;=$O$2,$D282,$D282-($D282-$I$265)*MIN(N$3-$O$2,$Q$2)/$Q$2))</f>
        <v>3378.02437003439</v>
      </c>
      <c r="O282" s="15" t="n">
        <f aca="false">SUMPRODUCT(E282:N282,1/(1+$F$265)^$E$3:$N$3)*$E$2</f>
        <v>9729.37372760968</v>
      </c>
      <c r="P282" s="15" t="n">
        <f aca="false">N282*$E$2*(1+$I$265)/($F$265-$I$265)/(1+$F$265)^$N$3</f>
        <v>17326.7199617168</v>
      </c>
      <c r="Q282" s="15" t="n">
        <f aca="false">O282+P282</f>
        <v>27056.0936893265</v>
      </c>
      <c r="R282" s="15" t="n">
        <f aca="false">Q282-$G$2+$I$2</f>
        <v>22988.2936893265</v>
      </c>
      <c r="S282" s="42" t="n">
        <f aca="false">R282/$K$2</f>
        <v>176.615655265262</v>
      </c>
      <c r="T282" s="43" t="n">
        <f aca="false">S282-$M$2</f>
        <v>-0.0131093321569438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-0.00366973876953125</v>
      </c>
      <c r="C283" s="25" t="n">
        <f aca="false">IF(T282&gt;0,D282,C282)</f>
        <v>-0.0036468505859375</v>
      </c>
      <c r="D283" s="41" t="n">
        <f aca="false">(B283+C283)/2</f>
        <v>-0.00365829467773438</v>
      </c>
      <c r="E283" s="15" t="n">
        <f aca="false">$C$2*(1+IF(E$3&lt;=$O$2,$D283,$D283-($D283-$I$265)*MIN(E$3-$O$2,$Q$2)/$Q$2))</f>
        <v>3128.51295471191</v>
      </c>
      <c r="F283" s="15" t="n">
        <f aca="false">E283*(1+IF(F$3&lt;=$O$2,$D283,$D283-($D283-$I$265)*MIN(F$3-$O$2,$Q$2)/$Q$2))</f>
        <v>3117.06793242047</v>
      </c>
      <c r="G283" s="15" t="n">
        <f aca="false">F283*(1+IF(G$3&lt;=$O$2,$D283,$D283-($D283-$I$265)*MIN(G$3-$O$2,$Q$2)/$Q$2))</f>
        <v>3105.66477939316</v>
      </c>
      <c r="H283" s="15" t="n">
        <f aca="false">G283*(1+IF(H$3&lt;=$O$2,$D283,$D283-($D283-$I$265)*MIN(H$3-$O$2,$Q$2)/$Q$2))</f>
        <v>3094.30334245988</v>
      </c>
      <c r="I283" s="15" t="n">
        <f aca="false">H283*(1+IF(I$3&lt;=$O$2,$D283,$D283-($D283-$I$265)*MIN(I$3-$O$2,$Q$2)/$Q$2))</f>
        <v>3082.98346901086</v>
      </c>
      <c r="J283" s="15" t="n">
        <f aca="false">I283*(1+IF(J$3&lt;=$O$2,$D283,$D283-($D283-$I$265)*MIN(J$3-$O$2,$Q$2)/$Q$2))</f>
        <v>3094.49336930149</v>
      </c>
      <c r="K283" s="15" t="n">
        <f aca="false">J283*(1+IF(K$3&lt;=$O$2,$D283,$D283-($D283-$I$265)*MIN(K$3-$O$2,$Q$2)/$Q$2))</f>
        <v>3128.91967980667</v>
      </c>
      <c r="L283" s="15" t="n">
        <f aca="false">K283*(1+IF(L$3&lt;=$O$2,$D283,$D283-($D283-$I$265)*MIN(L$3-$O$2,$Q$2)/$Q$2))</f>
        <v>3186.85689092453</v>
      </c>
      <c r="M283" s="15" t="n">
        <f aca="false">L283*(1+IF(M$3&lt;=$O$2,$D283,$D283-($D283-$I$265)*MIN(M$3-$O$2,$Q$2)/$Q$2))</f>
        <v>3269.4230661782</v>
      </c>
      <c r="N283" s="15" t="n">
        <f aca="false">M283*(1+IF(N$3&lt;=$O$2,$D283,$D283-($D283-$I$265)*MIN(N$3-$O$2,$Q$2)/$Q$2))</f>
        <v>3378.29485428194</v>
      </c>
      <c r="O283" s="15" t="n">
        <f aca="false">SUMPRODUCT(E283:N283,1/(1+$F$265)^$E$3:$N$3)*$E$2</f>
        <v>9729.86361878106</v>
      </c>
      <c r="P283" s="15" t="n">
        <f aca="false">N283*$E$2*(1+$I$265)/($F$265-$I$265)/(1+$F$265)^$N$3</f>
        <v>17328.1073421196</v>
      </c>
      <c r="Q283" s="15" t="n">
        <f aca="false">O283+P283</f>
        <v>27057.9709609007</v>
      </c>
      <c r="R283" s="15" t="n">
        <f aca="false">Q283-$G$2+$I$2</f>
        <v>22990.1709609007</v>
      </c>
      <c r="S283" s="42" t="n">
        <f aca="false">R283/$K$2</f>
        <v>176.630078064695</v>
      </c>
      <c r="T283" s="43" t="n">
        <f aca="false">S283-$M$2</f>
        <v>0.00131346727616233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-0.00366973876953125</v>
      </c>
      <c r="C284" s="25" t="n">
        <f aca="false">IF(T283&gt;0,D283,C283)</f>
        <v>-0.00365829467773438</v>
      </c>
      <c r="D284" s="41" t="n">
        <f aca="false">(B284+C284)/2</f>
        <v>-0.00366401672363281</v>
      </c>
      <c r="E284" s="15" t="n">
        <f aca="false">$C$2*(1+IF(E$3&lt;=$O$2,$D284,$D284-($D284-$I$265)*MIN(E$3-$O$2,$Q$2)/$Q$2))</f>
        <v>3128.49498748779</v>
      </c>
      <c r="F284" s="15" t="n">
        <f aca="false">E284*(1+IF(F$3&lt;=$O$2,$D284,$D284-($D284-$I$265)*MIN(F$3-$O$2,$Q$2)/$Q$2))</f>
        <v>3117.03212953384</v>
      </c>
      <c r="G284" s="15" t="n">
        <f aca="false">F284*(1+IF(G$3&lt;=$O$2,$D284,$D284-($D284-$I$265)*MIN(G$3-$O$2,$Q$2)/$Q$2))</f>
        <v>3105.61127168312</v>
      </c>
      <c r="H284" s="15" t="n">
        <f aca="false">G284*(1+IF(H$3&lt;=$O$2,$D284,$D284-($D284-$I$265)*MIN(H$3-$O$2,$Q$2)/$Q$2))</f>
        <v>3094.23226004657</v>
      </c>
      <c r="I284" s="15" t="n">
        <f aca="false">H284*(1+IF(I$3&lt;=$O$2,$D284,$D284-($D284-$I$265)*MIN(I$3-$O$2,$Q$2)/$Q$2))</f>
        <v>3082.89494129896</v>
      </c>
      <c r="J284" s="15" t="n">
        <f aca="false">I284*(1+IF(J$3&lt;=$O$2,$D284,$D284-($D284-$I$265)*MIN(J$3-$O$2,$Q$2)/$Q$2))</f>
        <v>3094.39039871031</v>
      </c>
      <c r="K284" s="15" t="n">
        <f aca="false">J284*(1+IF(K$3&lt;=$O$2,$D284,$D284-($D284-$I$265)*MIN(K$3-$O$2,$Q$2)/$Q$2))</f>
        <v>3128.80493991894</v>
      </c>
      <c r="L284" s="15" t="n">
        <f aca="false">K284*(1+IF(L$3&lt;=$O$2,$D284,$D284-($D284-$I$265)*MIN(L$3-$O$2,$Q$2)/$Q$2))</f>
        <v>3186.73286516858</v>
      </c>
      <c r="M284" s="15" t="n">
        <f aca="false">L284*(1+IF(M$3&lt;=$O$2,$D284,$D284-($D284-$I$265)*MIN(M$3-$O$2,$Q$2)/$Q$2))</f>
        <v>3269.29218019433</v>
      </c>
      <c r="N284" s="15" t="n">
        <f aca="false">M284*(1+IF(N$3&lt;=$O$2,$D284,$D284-($D284-$I$265)*MIN(N$3-$O$2,$Q$2)/$Q$2))</f>
        <v>3378.1596097948</v>
      </c>
      <c r="O284" s="15" t="n">
        <f aca="false">SUMPRODUCT(E284:N284,1/(1+$F$265)^$E$3:$N$3)*$E$2</f>
        <v>9729.61867004491</v>
      </c>
      <c r="P284" s="15" t="n">
        <f aca="false">N284*$E$2*(1+$I$265)/($F$265-$I$265)/(1+$F$265)^$N$3</f>
        <v>17327.4136397959</v>
      </c>
      <c r="Q284" s="15" t="n">
        <f aca="false">O284+P284</f>
        <v>27057.0323098408</v>
      </c>
      <c r="R284" s="15" t="n">
        <f aca="false">Q284-$G$2+$I$2</f>
        <v>22989.2323098408</v>
      </c>
      <c r="S284" s="42" t="n">
        <f aca="false">R284/$K$2</f>
        <v>176.62286654764</v>
      </c>
      <c r="T284" s="43" t="n">
        <f aca="false">S284-$M$2</f>
        <v>-0.00589804977863651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-0.00366401672363281</v>
      </c>
      <c r="C285" s="25" t="n">
        <f aca="false">IF(T284&gt;0,D284,C284)</f>
        <v>-0.00365829467773438</v>
      </c>
      <c r="D285" s="41" t="n">
        <f aca="false">(B285+C285)/2</f>
        <v>-0.00366115570068359</v>
      </c>
      <c r="E285" s="15" t="n">
        <f aca="false">$C$2*(1+IF(E$3&lt;=$O$2,$D285,$D285-($D285-$I$265)*MIN(E$3-$O$2,$Q$2)/$Q$2))</f>
        <v>3128.50397109985</v>
      </c>
      <c r="F285" s="15" t="n">
        <f aca="false">E285*(1+IF(F$3&lt;=$O$2,$D285,$D285-($D285-$I$265)*MIN(F$3-$O$2,$Q$2)/$Q$2))</f>
        <v>3117.05003095145</v>
      </c>
      <c r="G285" s="15" t="n">
        <f aca="false">F285*(1+IF(G$3&lt;=$O$2,$D285,$D285-($D285-$I$265)*MIN(G$3-$O$2,$Q$2)/$Q$2))</f>
        <v>3105.63802546132</v>
      </c>
      <c r="H285" s="15" t="n">
        <f aca="false">G285*(1+IF(H$3&lt;=$O$2,$D285,$D285-($D285-$I$265)*MIN(H$3-$O$2,$Q$2)/$Q$2))</f>
        <v>3094.26780110014</v>
      </c>
      <c r="I285" s="15" t="n">
        <f aca="false">H285*(1+IF(I$3&lt;=$O$2,$D285,$D285-($D285-$I$265)*MIN(I$3-$O$2,$Q$2)/$Q$2))</f>
        <v>3082.9392049007</v>
      </c>
      <c r="J285" s="15" t="n">
        <f aca="false">I285*(1+IF(J$3&lt;=$O$2,$D285,$D285-($D285-$I$265)*MIN(J$3-$O$2,$Q$2)/$Q$2))</f>
        <v>3094.44188364943</v>
      </c>
      <c r="K285" s="15" t="n">
        <f aca="false">J285*(1+IF(K$3&lt;=$O$2,$D285,$D285-($D285-$I$265)*MIN(K$3-$O$2,$Q$2)/$Q$2))</f>
        <v>3128.86230941399</v>
      </c>
      <c r="L285" s="15" t="n">
        <f aca="false">K285*(1+IF(L$3&lt;=$O$2,$D285,$D285-($D285-$I$265)*MIN(L$3-$O$2,$Q$2)/$Q$2))</f>
        <v>3186.79487752377</v>
      </c>
      <c r="M285" s="15" t="n">
        <f aca="false">L285*(1+IF(M$3&lt;=$O$2,$D285,$D285-($D285-$I$265)*MIN(M$3-$O$2,$Q$2)/$Q$2))</f>
        <v>3269.35762261446</v>
      </c>
      <c r="N285" s="15" t="n">
        <f aca="false">M285*(1+IF(N$3&lt;=$O$2,$D285,$D285-($D285-$I$265)*MIN(N$3-$O$2,$Q$2)/$Q$2))</f>
        <v>3378.22723144752</v>
      </c>
      <c r="O285" s="15" t="n">
        <f aca="false">SUMPRODUCT(E285:N285,1/(1+$F$265)^$E$3:$N$3)*$E$2</f>
        <v>9729.74114362536</v>
      </c>
      <c r="P285" s="15" t="n">
        <f aca="false">N285*$E$2*(1+$I$265)/($F$265-$I$265)/(1+$F$265)^$N$3</f>
        <v>17327.7604879271</v>
      </c>
      <c r="Q285" s="15" t="n">
        <f aca="false">O285+P285</f>
        <v>27057.5016315525</v>
      </c>
      <c r="R285" s="15" t="n">
        <f aca="false">Q285-$G$2+$I$2</f>
        <v>22989.7016315525</v>
      </c>
      <c r="S285" s="42" t="n">
        <f aca="false">R285/$K$2</f>
        <v>176.626472276832</v>
      </c>
      <c r="T285" s="43" t="n">
        <f aca="false">S285-$M$2</f>
        <v>-0.00229232058617868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-0.00366115570068359</v>
      </c>
      <c r="C286" s="25" t="n">
        <f aca="false">IF(T285&gt;0,D285,C285)</f>
        <v>-0.00365829467773438</v>
      </c>
      <c r="D286" s="41" t="n">
        <f aca="false">(B286+C286)/2</f>
        <v>-0.00365972518920898</v>
      </c>
      <c r="E286" s="15" t="n">
        <f aca="false">$C$2*(1+IF(E$3&lt;=$O$2,$D286,$D286-($D286-$I$265)*MIN(E$3-$O$2,$Q$2)/$Q$2))</f>
        <v>3128.50846290588</v>
      </c>
      <c r="F286" s="15" t="n">
        <f aca="false">E286*(1+IF(F$3&lt;=$O$2,$D286,$D286-($D286-$I$265)*MIN(F$3-$O$2,$Q$2)/$Q$2))</f>
        <v>3117.05898167953</v>
      </c>
      <c r="G286" s="15" t="n">
        <f aca="false">F286*(1+IF(G$3&lt;=$O$2,$D286,$D286-($D286-$I$265)*MIN(G$3-$O$2,$Q$2)/$Q$2))</f>
        <v>3105.65140240803</v>
      </c>
      <c r="H286" s="15" t="n">
        <f aca="false">G286*(1+IF(H$3&lt;=$O$2,$D286,$D286-($D286-$I$265)*MIN(H$3-$O$2,$Q$2)/$Q$2))</f>
        <v>3094.28557174174</v>
      </c>
      <c r="I286" s="15" t="n">
        <f aca="false">H286*(1+IF(I$3&lt;=$O$2,$D286,$D286-($D286-$I$265)*MIN(I$3-$O$2,$Q$2)/$Q$2))</f>
        <v>3082.96133689223</v>
      </c>
      <c r="J286" s="15" t="n">
        <f aca="false">I286*(1+IF(J$3&lt;=$O$2,$D286,$D286-($D286-$I$265)*MIN(J$3-$O$2,$Q$2)/$Q$2))</f>
        <v>3094.46762638634</v>
      </c>
      <c r="K286" s="15" t="n">
        <f aca="false">J286*(1+IF(K$3&lt;=$O$2,$D286,$D286-($D286-$I$265)*MIN(K$3-$O$2,$Q$2)/$Q$2))</f>
        <v>3128.89099449812</v>
      </c>
      <c r="L286" s="15" t="n">
        <f aca="false">K286*(1+IF(L$3&lt;=$O$2,$D286,$D286-($D286-$I$265)*MIN(L$3-$O$2,$Q$2)/$Q$2))</f>
        <v>3186.82588409345</v>
      </c>
      <c r="M286" s="15" t="n">
        <f aca="false">L286*(1+IF(M$3&lt;=$O$2,$D286,$D286-($D286-$I$265)*MIN(M$3-$O$2,$Q$2)/$Q$2))</f>
        <v>3269.39034425338</v>
      </c>
      <c r="N286" s="15" t="n">
        <f aca="false">M286*(1+IF(N$3&lt;=$O$2,$D286,$D286-($D286-$I$265)*MIN(N$3-$O$2,$Q$2)/$Q$2))</f>
        <v>3378.26104271701</v>
      </c>
      <c r="O286" s="15" t="n">
        <f aca="false">SUMPRODUCT(E286:N286,1/(1+$F$265)^$E$3:$N$3)*$E$2</f>
        <v>9729.8023810063</v>
      </c>
      <c r="P286" s="15" t="n">
        <f aca="false">N286*$E$2*(1+$I$265)/($F$265-$I$265)/(1+$F$265)^$N$3</f>
        <v>17327.9339142657</v>
      </c>
      <c r="Q286" s="15" t="n">
        <f aca="false">O286+P286</f>
        <v>27057.736295272</v>
      </c>
      <c r="R286" s="15" t="n">
        <f aca="false">Q286-$G$2+$I$2</f>
        <v>22989.936295272</v>
      </c>
      <c r="S286" s="42" t="n">
        <f aca="false">R286/$K$2</f>
        <v>176.62827516343</v>
      </c>
      <c r="T286" s="43" t="n">
        <f aca="false">S286-$M$2</f>
        <v>-0.000489433988747123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-0.00365972518920898</v>
      </c>
      <c r="C287" s="25" t="n">
        <f aca="false">IF(T286&gt;0,D286,C286)</f>
        <v>-0.00365829467773438</v>
      </c>
      <c r="D287" s="41" t="n">
        <f aca="false">(B287+C287)/2</f>
        <v>-0.00365900993347168</v>
      </c>
      <c r="E287" s="15" t="n">
        <f aca="false">$C$2*(1+IF(E$3&lt;=$O$2,$D287,$D287-($D287-$I$265)*MIN(E$3-$O$2,$Q$2)/$Q$2))</f>
        <v>3128.5107088089</v>
      </c>
      <c r="F287" s="15" t="n">
        <f aca="false">E287*(1+IF(F$3&lt;=$O$2,$D287,$D287-($D287-$I$265)*MIN(F$3-$O$2,$Q$2)/$Q$2))</f>
        <v>3117.06345704839</v>
      </c>
      <c r="G287" s="15" t="n">
        <f aca="false">F287*(1+IF(G$3&lt;=$O$2,$D287,$D287-($D287-$I$265)*MIN(G$3-$O$2,$Q$2)/$Q$2))</f>
        <v>3105.65809089579</v>
      </c>
      <c r="H287" s="15" t="n">
        <f aca="false">G287*(1+IF(H$3&lt;=$O$2,$D287,$D287-($D287-$I$265)*MIN(H$3-$O$2,$Q$2)/$Q$2))</f>
        <v>3094.29445709124</v>
      </c>
      <c r="I287" s="15" t="n">
        <f aca="false">H287*(1+IF(I$3&lt;=$O$2,$D287,$D287-($D287-$I$265)*MIN(I$3-$O$2,$Q$2)/$Q$2))</f>
        <v>3082.97240293566</v>
      </c>
      <c r="J287" s="15" t="n">
        <f aca="false">I287*(1+IF(J$3&lt;=$O$2,$D287,$D287-($D287-$I$265)*MIN(J$3-$O$2,$Q$2)/$Q$2))</f>
        <v>3094.48049782164</v>
      </c>
      <c r="K287" s="15" t="n">
        <f aca="false">J287*(1+IF(K$3&lt;=$O$2,$D287,$D287-($D287-$I$265)*MIN(K$3-$O$2,$Q$2)/$Q$2))</f>
        <v>3128.90533712434</v>
      </c>
      <c r="L287" s="15" t="n">
        <f aca="false">K287*(1+IF(L$3&lt;=$O$2,$D287,$D287-($D287-$I$265)*MIN(L$3-$O$2,$Q$2)/$Q$2))</f>
        <v>3186.84138747632</v>
      </c>
      <c r="M287" s="15" t="n">
        <f aca="false">L287*(1+IF(M$3&lt;=$O$2,$D287,$D287-($D287-$I$265)*MIN(M$3-$O$2,$Q$2)/$Q$2))</f>
        <v>3269.40670518005</v>
      </c>
      <c r="N287" s="15" t="n">
        <f aca="false">M287*(1+IF(N$3&lt;=$O$2,$D287,$D287-($D287-$I$265)*MIN(N$3-$O$2,$Q$2)/$Q$2))</f>
        <v>3378.27794846255</v>
      </c>
      <c r="O287" s="15" t="n">
        <f aca="false">SUMPRODUCT(E287:N287,1/(1+$F$265)^$E$3:$N$3)*$E$2</f>
        <v>9729.83299984445</v>
      </c>
      <c r="P287" s="15" t="n">
        <f aca="false">N287*$E$2*(1+$I$265)/($F$265-$I$265)/(1+$F$265)^$N$3</f>
        <v>17328.0206280032</v>
      </c>
      <c r="Q287" s="15" t="n">
        <f aca="false">O287+P287</f>
        <v>27057.8536278477</v>
      </c>
      <c r="R287" s="15" t="n">
        <f aca="false">Q287-$G$2+$I$2</f>
        <v>22990.0536278477</v>
      </c>
      <c r="S287" s="42" t="n">
        <f aca="false">R287/$K$2</f>
        <v>176.629176612229</v>
      </c>
      <c r="T287" s="43" t="n">
        <f aca="false">S287-$M$2</f>
        <v>0.000412014810166284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-0.00365972518920898</v>
      </c>
      <c r="C288" s="25" t="n">
        <f aca="false">IF(T287&gt;0,D287,C287)</f>
        <v>-0.00365900993347168</v>
      </c>
      <c r="D288" s="41" t="n">
        <f aca="false">(B288+C288)/2</f>
        <v>-0.00365936756134033</v>
      </c>
      <c r="E288" s="15" t="n">
        <f aca="false">$C$2*(1+IF(E$3&lt;=$O$2,$D288,$D288-($D288-$I$265)*MIN(E$3-$O$2,$Q$2)/$Q$2))</f>
        <v>3128.50958585739</v>
      </c>
      <c r="F288" s="15" t="n">
        <f aca="false">E288*(1+IF(F$3&lt;=$O$2,$D288,$D288-($D288-$I$265)*MIN(F$3-$O$2,$Q$2)/$Q$2))</f>
        <v>3117.06121936356</v>
      </c>
      <c r="G288" s="15" t="n">
        <f aca="false">F288*(1+IF(G$3&lt;=$O$2,$D288,$D288-($D288-$I$265)*MIN(G$3-$O$2,$Q$2)/$Q$2))</f>
        <v>3105.65474665071</v>
      </c>
      <c r="H288" s="15" t="n">
        <f aca="false">G288*(1+IF(H$3&lt;=$O$2,$D288,$D288-($D288-$I$265)*MIN(H$3-$O$2,$Q$2)/$Q$2))</f>
        <v>3094.2900144141</v>
      </c>
      <c r="I288" s="15" t="n">
        <f aca="false">H288*(1+IF(I$3&lt;=$O$2,$D288,$D288-($D288-$I$265)*MIN(I$3-$O$2,$Q$2)/$Q$2))</f>
        <v>3082.96686990997</v>
      </c>
      <c r="J288" s="15" t="n">
        <f aca="false">I288*(1+IF(J$3&lt;=$O$2,$D288,$D288-($D288-$I$265)*MIN(J$3-$O$2,$Q$2)/$Q$2))</f>
        <v>3094.47406209842</v>
      </c>
      <c r="K288" s="15" t="n">
        <f aca="false">J288*(1+IF(K$3&lt;=$O$2,$D288,$D288-($D288-$I$265)*MIN(K$3-$O$2,$Q$2)/$Q$2))</f>
        <v>3128.89816580422</v>
      </c>
      <c r="L288" s="15" t="n">
        <f aca="false">K288*(1+IF(L$3&lt;=$O$2,$D288,$D288-($D288-$I$265)*MIN(L$3-$O$2,$Q$2)/$Q$2))</f>
        <v>3186.83363577672</v>
      </c>
      <c r="M288" s="15" t="n">
        <f aca="false">L288*(1+IF(M$3&lt;=$O$2,$D288,$D288-($D288-$I$265)*MIN(M$3-$O$2,$Q$2)/$Q$2))</f>
        <v>3269.39852470778</v>
      </c>
      <c r="N288" s="15" t="n">
        <f aca="false">M288*(1+IF(N$3&lt;=$O$2,$D288,$D288-($D288-$I$265)*MIN(N$3-$O$2,$Q$2)/$Q$2))</f>
        <v>3378.26949558055</v>
      </c>
      <c r="O288" s="15" t="n">
        <f aca="false">SUMPRODUCT(E288:N288,1/(1+$F$265)^$E$3:$N$3)*$E$2</f>
        <v>9729.81769041307</v>
      </c>
      <c r="P288" s="15" t="n">
        <f aca="false">N288*$E$2*(1+$I$265)/($F$265-$I$265)/(1+$F$265)^$N$3</f>
        <v>17327.9772710871</v>
      </c>
      <c r="Q288" s="15" t="n">
        <f aca="false">O288+P288</f>
        <v>27057.7949615002</v>
      </c>
      <c r="R288" s="15" t="n">
        <f aca="false">Q288-$G$2+$I$2</f>
        <v>22989.9949615002</v>
      </c>
      <c r="S288" s="42" t="n">
        <f aca="false">R288/$K$2</f>
        <v>176.628725887371</v>
      </c>
      <c r="T288" s="43" t="n">
        <f aca="false">S288-$M$2</f>
        <v>-3.87100476757496E-005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-0.00365936756134033</v>
      </c>
      <c r="C289" s="25" t="n">
        <f aca="false">IF(T288&gt;0,D288,C288)</f>
        <v>-0.00365900993347168</v>
      </c>
      <c r="D289" s="41" t="n">
        <f aca="false">(B289+C289)/2</f>
        <v>-0.00365918874740601</v>
      </c>
      <c r="E289" s="15" t="n">
        <f aca="false">$C$2*(1+IF(E$3&lt;=$O$2,$D289,$D289-($D289-$I$265)*MIN(E$3-$O$2,$Q$2)/$Q$2))</f>
        <v>3128.51014733315</v>
      </c>
      <c r="F289" s="15" t="n">
        <f aca="false">E289*(1+IF(F$3&lt;=$O$2,$D289,$D289-($D289-$I$265)*MIN(F$3-$O$2,$Q$2)/$Q$2))</f>
        <v>3117.06233820588</v>
      </c>
      <c r="G289" s="15" t="n">
        <f aca="false">F289*(1+IF(G$3&lt;=$O$2,$D289,$D289-($D289-$I$265)*MIN(G$3-$O$2,$Q$2)/$Q$2))</f>
        <v>3105.65641877295</v>
      </c>
      <c r="H289" s="15" t="n">
        <f aca="false">G289*(1+IF(H$3&lt;=$O$2,$D289,$D289-($D289-$I$265)*MIN(H$3-$O$2,$Q$2)/$Q$2))</f>
        <v>3094.29223575207</v>
      </c>
      <c r="I289" s="15" t="n">
        <f aca="false">H289*(1+IF(I$3&lt;=$O$2,$D289,$D289-($D289-$I$265)*MIN(I$3-$O$2,$Q$2)/$Q$2))</f>
        <v>3082.96963642182</v>
      </c>
      <c r="J289" s="15" t="n">
        <f aca="false">I289*(1+IF(J$3&lt;=$O$2,$D289,$D289-($D289-$I$265)*MIN(J$3-$O$2,$Q$2)/$Q$2))</f>
        <v>3094.47727995864</v>
      </c>
      <c r="K289" s="15" t="n">
        <f aca="false">J289*(1+IF(K$3&lt;=$O$2,$D289,$D289-($D289-$I$265)*MIN(K$3-$O$2,$Q$2)/$Q$2))</f>
        <v>3128.90175146253</v>
      </c>
      <c r="L289" s="15" t="n">
        <f aca="false">K289*(1+IF(L$3&lt;=$O$2,$D289,$D289-($D289-$I$265)*MIN(L$3-$O$2,$Q$2)/$Q$2))</f>
        <v>3186.83751162447</v>
      </c>
      <c r="M289" s="15" t="n">
        <f aca="false">L289*(1+IF(M$3&lt;=$O$2,$D289,$D289-($D289-$I$265)*MIN(M$3-$O$2,$Q$2)/$Q$2))</f>
        <v>3269.40261494168</v>
      </c>
      <c r="N289" s="15" t="n">
        <f aca="false">M289*(1+IF(N$3&lt;=$O$2,$D289,$D289-($D289-$I$265)*MIN(N$3-$O$2,$Q$2)/$Q$2))</f>
        <v>3378.27372201924</v>
      </c>
      <c r="O289" s="15" t="n">
        <f aca="false">SUMPRODUCT(E289:N289,1/(1+$F$265)^$E$3:$N$3)*$E$2</f>
        <v>9729.82534512569</v>
      </c>
      <c r="P289" s="15" t="n">
        <f aca="false">N289*$E$2*(1+$I$265)/($F$265-$I$265)/(1+$F$265)^$N$3</f>
        <v>17327.9989495334</v>
      </c>
      <c r="Q289" s="15" t="n">
        <f aca="false">O289+P289</f>
        <v>27057.824294659</v>
      </c>
      <c r="R289" s="15" t="n">
        <f aca="false">Q289-$G$2+$I$2</f>
        <v>22990.024294659</v>
      </c>
      <c r="S289" s="42" t="n">
        <f aca="false">R289/$K$2</f>
        <v>176.628951249685</v>
      </c>
      <c r="T289" s="43" t="n">
        <f aca="false">S289-$M$2</f>
        <v>0.000186652266677356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-0.00365936756134033</v>
      </c>
      <c r="C290" s="25" t="n">
        <f aca="false">IF(T289&gt;0,D289,C289)</f>
        <v>-0.00365918874740601</v>
      </c>
      <c r="D290" s="41" t="n">
        <f aca="false">(B290+C290)/2</f>
        <v>-0.00365927815437317</v>
      </c>
      <c r="E290" s="15" t="n">
        <f aca="false">$C$2*(1+IF(E$3&lt;=$O$2,$D290,$D290-($D290-$I$265)*MIN(E$3-$O$2,$Q$2)/$Q$2))</f>
        <v>3128.50986659527</v>
      </c>
      <c r="F290" s="15" t="n">
        <f aca="false">E290*(1+IF(F$3&lt;=$O$2,$D290,$D290-($D290-$I$265)*MIN(F$3-$O$2,$Q$2)/$Q$2))</f>
        <v>3117.0617787847</v>
      </c>
      <c r="G290" s="15" t="n">
        <f aca="false">F290*(1+IF(G$3&lt;=$O$2,$D290,$D290-($D290-$I$265)*MIN(G$3-$O$2,$Q$2)/$Q$2))</f>
        <v>3105.65558271176</v>
      </c>
      <c r="H290" s="15" t="n">
        <f aca="false">G290*(1+IF(H$3&lt;=$O$2,$D290,$D290-($D290-$I$265)*MIN(H$3-$O$2,$Q$2)/$Q$2))</f>
        <v>3094.29112508293</v>
      </c>
      <c r="I290" s="15" t="n">
        <f aca="false">H290*(1+IF(I$3&lt;=$O$2,$D290,$D290-($D290-$I$265)*MIN(I$3-$O$2,$Q$2)/$Q$2))</f>
        <v>3082.96825316565</v>
      </c>
      <c r="J290" s="15" t="n">
        <f aca="false">I290*(1+IF(J$3&lt;=$O$2,$D290,$D290-($D290-$I$265)*MIN(J$3-$O$2,$Q$2)/$Q$2))</f>
        <v>3094.47567102818</v>
      </c>
      <c r="K290" s="15" t="n">
        <f aca="false">J290*(1+IF(K$3&lt;=$O$2,$D290,$D290-($D290-$I$265)*MIN(K$3-$O$2,$Q$2)/$Q$2))</f>
        <v>3128.89995863294</v>
      </c>
      <c r="L290" s="15" t="n">
        <f aca="false">K290*(1+IF(L$3&lt;=$O$2,$D290,$D290-($D290-$I$265)*MIN(L$3-$O$2,$Q$2)/$Q$2))</f>
        <v>3186.83557370009</v>
      </c>
      <c r="M290" s="15" t="n">
        <f aca="false">L290*(1+IF(M$3&lt;=$O$2,$D290,$D290-($D290-$I$265)*MIN(M$3-$O$2,$Q$2)/$Q$2))</f>
        <v>3269.40056982417</v>
      </c>
      <c r="N290" s="15" t="n">
        <f aca="false">M290*(1+IF(N$3&lt;=$O$2,$D290,$D290-($D290-$I$265)*MIN(N$3-$O$2,$Q$2)/$Q$2))</f>
        <v>3378.27160879932</v>
      </c>
      <c r="O290" s="15" t="n">
        <f aca="false">SUMPRODUCT(E290:N290,1/(1+$F$265)^$E$3:$N$3)*$E$2</f>
        <v>9729.82151776861</v>
      </c>
      <c r="P290" s="15" t="n">
        <f aca="false">N290*$E$2*(1+$I$265)/($F$265-$I$265)/(1+$F$265)^$N$3</f>
        <v>17327.9881103073</v>
      </c>
      <c r="Q290" s="15" t="n">
        <f aca="false">O290+P290</f>
        <v>27057.8096280759</v>
      </c>
      <c r="R290" s="15" t="n">
        <f aca="false">Q290-$G$2+$I$2</f>
        <v>22990.0096280759</v>
      </c>
      <c r="S290" s="42" t="n">
        <f aca="false">R290/$K$2</f>
        <v>176.6288385685</v>
      </c>
      <c r="T290" s="43" t="n">
        <f aca="false">S290-$M$2</f>
        <v>7.39710809227745E-005</v>
      </c>
    </row>
    <row r="292" customFormat="false" ht="15" hidden="false" customHeight="false" outlineLevel="0" collapsed="false">
      <c r="A292" s="38" t="s">
        <v>184</v>
      </c>
      <c r="E292" s="5" t="s">
        <v>11</v>
      </c>
      <c r="F292" s="12" t="n">
        <f aca="false">Sensitivity!$B$11</f>
        <v>0.0769413943493295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155</v>
      </c>
      <c r="B293" s="28" t="s">
        <v>156</v>
      </c>
      <c r="C293" s="28" t="s">
        <v>157</v>
      </c>
      <c r="D293" s="28" t="s">
        <v>158</v>
      </c>
      <c r="E293" s="28" t="s">
        <v>159</v>
      </c>
      <c r="F293" s="28" t="s">
        <v>160</v>
      </c>
      <c r="G293" s="28" t="s">
        <v>161</v>
      </c>
      <c r="H293" s="28" t="s">
        <v>162</v>
      </c>
      <c r="I293" s="28" t="s">
        <v>163</v>
      </c>
      <c r="J293" s="28" t="s">
        <v>164</v>
      </c>
      <c r="K293" s="28" t="s">
        <v>165</v>
      </c>
      <c r="L293" s="28" t="s">
        <v>166</v>
      </c>
      <c r="M293" s="28" t="s">
        <v>167</v>
      </c>
      <c r="N293" s="28" t="s">
        <v>168</v>
      </c>
      <c r="O293" s="28" t="s">
        <v>169</v>
      </c>
      <c r="P293" s="28" t="s">
        <v>170</v>
      </c>
      <c r="Q293" s="28" t="s">
        <v>171</v>
      </c>
      <c r="R293" s="28" t="s">
        <v>172</v>
      </c>
      <c r="S293" s="28" t="s">
        <v>173</v>
      </c>
      <c r="T293" s="28" t="s">
        <v>174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3925</v>
      </c>
      <c r="F294" s="15" t="n">
        <f aca="false">E294*(1+IF(F$3&lt;=$O$2,$D294,$D294-($D294-$I$292)*MIN(F$3-$O$2,$Q$2)/$Q$2))</f>
        <v>4906.25</v>
      </c>
      <c r="G294" s="15" t="n">
        <f aca="false">F294*(1+IF(G$3&lt;=$O$2,$D294,$D294-($D294-$I$292)*MIN(G$3-$O$2,$Q$2)/$Q$2))</f>
        <v>6132.8125</v>
      </c>
      <c r="H294" s="15" t="n">
        <f aca="false">G294*(1+IF(H$3&lt;=$O$2,$D294,$D294-($D294-$I$292)*MIN(H$3-$O$2,$Q$2)/$Q$2))</f>
        <v>7666.015625</v>
      </c>
      <c r="I294" s="15" t="n">
        <f aca="false">H294*(1+IF(I$3&lt;=$O$2,$D294,$D294-($D294-$I$292)*MIN(I$3-$O$2,$Q$2)/$Q$2))</f>
        <v>9582.51953125</v>
      </c>
      <c r="J294" s="15" t="n">
        <f aca="false">I294*(1+IF(J$3&lt;=$O$2,$D294,$D294-($D294-$I$292)*MIN(J$3-$O$2,$Q$2)/$Q$2))</f>
        <v>11572.4255371094</v>
      </c>
      <c r="K294" s="15" t="n">
        <f aca="false">J294*(1+IF(K$3&lt;=$O$2,$D294,$D294-($D294-$I$292)*MIN(K$3-$O$2,$Q$2)/$Q$2))</f>
        <v>13485.5789269043</v>
      </c>
      <c r="L294" s="15" t="n">
        <f aca="false">K294*(1+IF(L$3&lt;=$O$2,$D294,$D294-($D294-$I$292)*MIN(L$3-$O$2,$Q$2)/$Q$2))</f>
        <v>15144.035423335</v>
      </c>
      <c r="M294" s="15" t="n">
        <f aca="false">L294*(1+IF(M$3&lt;=$O$2,$D294,$D294-($D294-$I$292)*MIN(M$3-$O$2,$Q$2)/$Q$2))</f>
        <v>16365.2504398727</v>
      </c>
      <c r="N294" s="15" t="n">
        <f aca="false">M294*(1+IF(N$3&lt;=$O$2,$D294,$D294-($D294-$I$292)*MIN(N$3-$O$2,$Q$2)/$Q$2))</f>
        <v>16992.0395317198</v>
      </c>
      <c r="O294" s="15" t="n">
        <f aca="false">SUMPRODUCT(E294:N294,1/(1+$F$292)^$E$3:$N$3)*$E$2</f>
        <v>29735.6074165707</v>
      </c>
      <c r="P294" s="15" t="n">
        <f aca="false">N294*$E$2*(1+$I$292)/($F$292-$I$292)/(1+$F$292)^$N$3</f>
        <v>98910.2594330312</v>
      </c>
      <c r="Q294" s="15" t="n">
        <f aca="false">O294+P294</f>
        <v>128645.866849602</v>
      </c>
      <c r="R294" s="15" t="n">
        <f aca="false">Q294-$G$2+$I$2</f>
        <v>124578.066849602</v>
      </c>
      <c r="S294" s="42" t="n">
        <f aca="false">R294/$K$2</f>
        <v>957.114834431483</v>
      </c>
      <c r="T294" s="43" t="n">
        <f aca="false">S294-$M$2</f>
        <v>780.486069834065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2747.5</v>
      </c>
      <c r="F295" s="15" t="n">
        <f aca="false">E295*(1+IF(F$3&lt;=$O$2,$D295,$D295-($D295-$I$292)*MIN(F$3-$O$2,$Q$2)/$Q$2))</f>
        <v>2404.0625</v>
      </c>
      <c r="G295" s="15" t="n">
        <f aca="false">F295*(1+IF(G$3&lt;=$O$2,$D295,$D295-($D295-$I$292)*MIN(G$3-$O$2,$Q$2)/$Q$2))</f>
        <v>2103.5546875</v>
      </c>
      <c r="H295" s="15" t="n">
        <f aca="false">G295*(1+IF(H$3&lt;=$O$2,$D295,$D295-($D295-$I$292)*MIN(H$3-$O$2,$Q$2)/$Q$2))</f>
        <v>1840.6103515625</v>
      </c>
      <c r="I295" s="15" t="n">
        <f aca="false">H295*(1+IF(I$3&lt;=$O$2,$D295,$D295-($D295-$I$292)*MIN(I$3-$O$2,$Q$2)/$Q$2))</f>
        <v>1610.53405761719</v>
      </c>
      <c r="J295" s="15" t="n">
        <f aca="false">I295*(1+IF(J$3&lt;=$O$2,$D295,$D295-($D295-$I$292)*MIN(J$3-$O$2,$Q$2)/$Q$2))</f>
        <v>1461.81734273682</v>
      </c>
      <c r="K295" s="15" t="n">
        <f aca="false">J295*(1+IF(K$3&lt;=$O$2,$D295,$D295-($D295-$I$292)*MIN(K$3-$O$2,$Q$2)/$Q$2))</f>
        <v>1374.57608372228</v>
      </c>
      <c r="L295" s="15" t="n">
        <f aca="false">K295*(1+IF(L$3&lt;=$O$2,$D295,$D295-($D295-$I$292)*MIN(L$3-$O$2,$Q$2)/$Q$2))</f>
        <v>1337.43503794011</v>
      </c>
      <c r="M295" s="15" t="n">
        <f aca="false">L295*(1+IF(M$3&lt;=$O$2,$D295,$D295-($D295-$I$292)*MIN(M$3-$O$2,$Q$2)/$Q$2))</f>
        <v>1344.97817155409</v>
      </c>
      <c r="N295" s="15" t="n">
        <f aca="false">M295*(1+IF(N$3&lt;=$O$2,$D295,$D295-($D295-$I$292)*MIN(N$3-$O$2,$Q$2)/$Q$2))</f>
        <v>1396.49083552461</v>
      </c>
      <c r="O295" s="15" t="n">
        <f aca="false">SUMPRODUCT(E295:N295,1/(1+$F$292)^$E$3:$N$3)*$E$2</f>
        <v>5745.56151049052</v>
      </c>
      <c r="P295" s="15" t="n">
        <f aca="false">N295*$E$2*(1+$I$292)/($F$292-$I$292)/(1+$F$292)^$N$3</f>
        <v>8128.94005924015</v>
      </c>
      <c r="Q295" s="15" t="n">
        <f aca="false">O295+P295</f>
        <v>13874.5015697307</v>
      </c>
      <c r="R295" s="15" t="n">
        <f aca="false">Q295-$G$2+$I$2</f>
        <v>9806.70156973067</v>
      </c>
      <c r="S295" s="42" t="n">
        <f aca="false">R295/$K$2</f>
        <v>75.3434355388036</v>
      </c>
      <c r="T295" s="43" t="n">
        <f aca="false">S295-$M$2</f>
        <v>-101.285329058615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3336.25</v>
      </c>
      <c r="F296" s="15" t="n">
        <f aca="false">E296*(1+IF(F$3&lt;=$O$2,$D296,$D296-($D296-$I$292)*MIN(F$3-$O$2,$Q$2)/$Q$2))</f>
        <v>3544.765625</v>
      </c>
      <c r="G296" s="15" t="n">
        <f aca="false">F296*(1+IF(G$3&lt;=$O$2,$D296,$D296-($D296-$I$292)*MIN(G$3-$O$2,$Q$2)/$Q$2))</f>
        <v>3766.3134765625</v>
      </c>
      <c r="H296" s="15" t="n">
        <f aca="false">G296*(1+IF(H$3&lt;=$O$2,$D296,$D296-($D296-$I$292)*MIN(H$3-$O$2,$Q$2)/$Q$2))</f>
        <v>4001.70806884766</v>
      </c>
      <c r="I296" s="15" t="n">
        <f aca="false">H296*(1+IF(I$3&lt;=$O$2,$D296,$D296-($D296-$I$292)*MIN(I$3-$O$2,$Q$2)/$Q$2))</f>
        <v>4251.81482315064</v>
      </c>
      <c r="J296" s="15" t="n">
        <f aca="false">I296*(1+IF(J$3&lt;=$O$2,$D296,$D296-($D296-$I$292)*MIN(J$3-$O$2,$Q$2)/$Q$2))</f>
        <v>4496.9744658535</v>
      </c>
      <c r="K296" s="15" t="n">
        <f aca="false">J296*(1+IF(K$3&lt;=$O$2,$D296,$D296-($D296-$I$292)*MIN(K$3-$O$2,$Q$2)/$Q$2))</f>
        <v>4734.50465713988</v>
      </c>
      <c r="L296" s="15" t="n">
        <f aca="false">K296*(1+IF(L$3&lt;=$O$2,$D296,$D296-($D296-$I$292)*MIN(L$3-$O$2,$Q$2)/$Q$2))</f>
        <v>4961.66619058945</v>
      </c>
      <c r="M296" s="15" t="n">
        <f aca="false">L296*(1+IF(M$3&lt;=$O$2,$D296,$D296-($D296-$I$292)*MIN(M$3-$O$2,$Q$2)/$Q$2))</f>
        <v>5175.71247005148</v>
      </c>
      <c r="N296" s="15" t="n">
        <f aca="false">M296*(1+IF(N$3&lt;=$O$2,$D296,$D296-($D296-$I$292)*MIN(N$3-$O$2,$Q$2)/$Q$2))</f>
        <v>5373.94225765446</v>
      </c>
      <c r="O296" s="15" t="n">
        <f aca="false">SUMPRODUCT(E296:N296,1/(1+$F$292)^$E$3:$N$3)*$E$2</f>
        <v>13065.2696275956</v>
      </c>
      <c r="P296" s="15" t="n">
        <f aca="false">N296*$E$2*(1+$I$292)/($F$292-$I$292)/(1+$F$292)^$N$3</f>
        <v>31281.5905289347</v>
      </c>
      <c r="Q296" s="15" t="n">
        <f aca="false">O296+P296</f>
        <v>44346.8601565302</v>
      </c>
      <c r="R296" s="15" t="n">
        <f aca="false">Q296-$G$2+$I$2</f>
        <v>40279.0601565302</v>
      </c>
      <c r="S296" s="42" t="n">
        <f aca="false">R296/$K$2</f>
        <v>309.458052831363</v>
      </c>
      <c r="T296" s="43" t="n">
        <f aca="false">S296-$M$2</f>
        <v>132.829288233945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3041.875</v>
      </c>
      <c r="F297" s="15" t="n">
        <f aca="false">E297*(1+IF(F$3&lt;=$O$2,$D297,$D297-($D297-$I$292)*MIN(F$3-$O$2,$Q$2)/$Q$2))</f>
        <v>2946.81640625</v>
      </c>
      <c r="G297" s="15" t="n">
        <f aca="false">F297*(1+IF(G$3&lt;=$O$2,$D297,$D297-($D297-$I$292)*MIN(G$3-$O$2,$Q$2)/$Q$2))</f>
        <v>2854.72839355469</v>
      </c>
      <c r="H297" s="15" t="n">
        <f aca="false">G297*(1+IF(H$3&lt;=$O$2,$D297,$D297-($D297-$I$292)*MIN(H$3-$O$2,$Q$2)/$Q$2))</f>
        <v>2765.5181312561</v>
      </c>
      <c r="I297" s="15" t="n">
        <f aca="false">H297*(1+IF(I$3&lt;=$O$2,$D297,$D297-($D297-$I$292)*MIN(I$3-$O$2,$Q$2)/$Q$2))</f>
        <v>2679.09568965435</v>
      </c>
      <c r="J297" s="15" t="n">
        <f aca="false">I297*(1+IF(J$3&lt;=$O$2,$D297,$D297-($D297-$I$292)*MIN(J$3-$O$2,$Q$2)/$Q$2))</f>
        <v>2632.64017039574</v>
      </c>
      <c r="K297" s="15" t="n">
        <f aca="false">J297*(1+IF(K$3&lt;=$O$2,$D297,$D297-($D297-$I$292)*MIN(K$3-$O$2,$Q$2)/$Q$2))</f>
        <v>2623.61021461129</v>
      </c>
      <c r="L297" s="15" t="n">
        <f aca="false">K297*(1+IF(L$3&lt;=$O$2,$D297,$D297-($D297-$I$292)*MIN(L$3-$O$2,$Q$2)/$Q$2))</f>
        <v>2651.10564966041</v>
      </c>
      <c r="M297" s="15" t="n">
        <f aca="false">L297*(1+IF(M$3&lt;=$O$2,$D297,$D297-($D297-$I$292)*MIN(M$3-$O$2,$Q$2)/$Q$2))</f>
        <v>2715.76611645563</v>
      </c>
      <c r="N297" s="15" t="n">
        <f aca="false">M297*(1+IF(N$3&lt;=$O$2,$D297,$D297-($D297-$I$292)*MIN(N$3-$O$2,$Q$2)/$Q$2))</f>
        <v>2819.77995871588</v>
      </c>
      <c r="O297" s="15" t="n">
        <f aca="false">SUMPRODUCT(E297:N297,1/(1+$F$292)^$E$3:$N$3)*$E$2</f>
        <v>8641.26710118983</v>
      </c>
      <c r="P297" s="15" t="n">
        <f aca="false">N297*$E$2*(1+$I$292)/($F$292-$I$292)/(1+$F$292)^$N$3</f>
        <v>16413.8723159162</v>
      </c>
      <c r="Q297" s="15" t="n">
        <f aca="false">O297+P297</f>
        <v>25055.139417106</v>
      </c>
      <c r="R297" s="15" t="n">
        <f aca="false">Q297-$G$2+$I$2</f>
        <v>20987.339417106</v>
      </c>
      <c r="S297" s="42" t="n">
        <f aca="false">R297/$K$2</f>
        <v>161.242619983912</v>
      </c>
      <c r="T297" s="43" t="n">
        <f aca="false">S297-$M$2</f>
        <v>-15.3861446135064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3189.0625</v>
      </c>
      <c r="F298" s="15" t="n">
        <f aca="false">E298*(1+IF(F$3&lt;=$O$2,$D298,$D298-($D298-$I$292)*MIN(F$3-$O$2,$Q$2)/$Q$2))</f>
        <v>3238.8916015625</v>
      </c>
      <c r="G298" s="15" t="n">
        <f aca="false">F298*(1+IF(G$3&lt;=$O$2,$D298,$D298-($D298-$I$292)*MIN(G$3-$O$2,$Q$2)/$Q$2))</f>
        <v>3289.49928283691</v>
      </c>
      <c r="H298" s="15" t="n">
        <f aca="false">G298*(1+IF(H$3&lt;=$O$2,$D298,$D298-($D298-$I$292)*MIN(H$3-$O$2,$Q$2)/$Q$2))</f>
        <v>3340.89770913124</v>
      </c>
      <c r="I298" s="15" t="n">
        <f aca="false">H298*(1+IF(I$3&lt;=$O$2,$D298,$D298-($D298-$I$292)*MIN(I$3-$O$2,$Q$2)/$Q$2))</f>
        <v>3393.09923583642</v>
      </c>
      <c r="J298" s="15" t="n">
        <f aca="false">I298*(1+IF(J$3&lt;=$O$2,$D298,$D298-($D298-$I$292)*MIN(J$3-$O$2,$Q$2)/$Q$2))</f>
        <v>3461.50411643088</v>
      </c>
      <c r="K298" s="15" t="n">
        <f aca="false">J298*(1+IF(K$3&lt;=$O$2,$D298,$D298-($D298-$I$292)*MIN(K$3-$O$2,$Q$2)/$Q$2))</f>
        <v>3546.98596058614</v>
      </c>
      <c r="L298" s="15" t="n">
        <f aca="false">K298*(1+IF(L$3&lt;=$O$2,$D298,$D298-($D298-$I$292)*MIN(L$3-$O$2,$Q$2)/$Q$2))</f>
        <v>3650.66436021407</v>
      </c>
      <c r="M298" s="15" t="n">
        <f aca="false">L298*(1+IF(M$3&lt;=$O$2,$D298,$D298-($D298-$I$292)*MIN(M$3-$O$2,$Q$2)/$Q$2))</f>
        <v>3773.9290423367</v>
      </c>
      <c r="N298" s="15" t="n">
        <f aca="false">M298*(1+IF(N$3&lt;=$O$2,$D298,$D298-($D298-$I$292)*MIN(N$3-$O$2,$Q$2)/$Q$2))</f>
        <v>3918.4705246582</v>
      </c>
      <c r="O298" s="15" t="n">
        <f aca="false">SUMPRODUCT(E298:N298,1/(1+$F$292)^$E$3:$N$3)*$E$2</f>
        <v>10622.0753564406</v>
      </c>
      <c r="P298" s="15" t="n">
        <f aca="false">N298*$E$2*(1+$I$292)/($F$292-$I$292)/(1+$F$292)^$N$3</f>
        <v>22809.3240632544</v>
      </c>
      <c r="Q298" s="15" t="n">
        <f aca="false">O298+P298</f>
        <v>33431.3994196951</v>
      </c>
      <c r="R298" s="15" t="n">
        <f aca="false">Q298-$G$2+$I$2</f>
        <v>29363.5994196951</v>
      </c>
      <c r="S298" s="42" t="n">
        <f aca="false">R298/$K$2</f>
        <v>225.596184847073</v>
      </c>
      <c r="T298" s="43" t="n">
        <f aca="false">S298-$M$2</f>
        <v>48.9674202496546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-0.03125</v>
      </c>
      <c r="C299" s="25" t="n">
        <f aca="false">IF(T298&gt;0,D298,C298)</f>
        <v>0.015625</v>
      </c>
      <c r="D299" s="41" t="n">
        <f aca="false">(B299+C299)/2</f>
        <v>-0.0078125</v>
      </c>
      <c r="E299" s="15" t="n">
        <f aca="false">$C$2*(1+IF(E$3&lt;=$O$2,$D299,$D299-($D299-$I$292)*MIN(E$3-$O$2,$Q$2)/$Q$2))</f>
        <v>3115.46875</v>
      </c>
      <c r="F299" s="15" t="n">
        <f aca="false">E299*(1+IF(F$3&lt;=$O$2,$D299,$D299-($D299-$I$292)*MIN(F$3-$O$2,$Q$2)/$Q$2))</f>
        <v>3091.12915039063</v>
      </c>
      <c r="G299" s="15" t="n">
        <f aca="false">F299*(1+IF(G$3&lt;=$O$2,$D299,$D299-($D299-$I$292)*MIN(G$3-$O$2,$Q$2)/$Q$2))</f>
        <v>3066.9797039032</v>
      </c>
      <c r="H299" s="15" t="n">
        <f aca="false">G299*(1+IF(H$3&lt;=$O$2,$D299,$D299-($D299-$I$292)*MIN(H$3-$O$2,$Q$2)/$Q$2))</f>
        <v>3043.01892496645</v>
      </c>
      <c r="I299" s="15" t="n">
        <f aca="false">H299*(1+IF(I$3&lt;=$O$2,$D299,$D299-($D299-$I$292)*MIN(I$3-$O$2,$Q$2)/$Q$2))</f>
        <v>3019.24533961515</v>
      </c>
      <c r="J299" s="15" t="n">
        <f aca="false">I299*(1+IF(J$3&lt;=$O$2,$D299,$D299-($D299-$I$292)*MIN(J$3-$O$2,$Q$2)/$Q$2))</f>
        <v>3023.50247554401</v>
      </c>
      <c r="K299" s="15" t="n">
        <f aca="false">J299*(1+IF(K$3&lt;=$O$2,$D299,$D299-($D299-$I$292)*MIN(K$3-$O$2,$Q$2)/$Q$2))</f>
        <v>3055.64986561523</v>
      </c>
      <c r="L299" s="15" t="n">
        <f aca="false">K299*(1+IF(L$3&lt;=$O$2,$D299,$D299-($D299-$I$292)*MIN(L$3-$O$2,$Q$2)/$Q$2))</f>
        <v>3116.31979369702</v>
      </c>
      <c r="M299" s="15" t="n">
        <f aca="false">L299*(1+IF(M$3&lt;=$O$2,$D299,$D299-($D299-$I$292)*MIN(M$3-$O$2,$Q$2)/$Q$2))</f>
        <v>3206.93458249825</v>
      </c>
      <c r="N299" s="15" t="n">
        <f aca="false">M299*(1+IF(N$3&lt;=$O$2,$D299,$D299-($D299-$I$292)*MIN(N$3-$O$2,$Q$2)/$Q$2))</f>
        <v>3329.76017700793</v>
      </c>
      <c r="O299" s="15" t="n">
        <f aca="false">SUMPRODUCT(E299:N299,1/(1+$F$292)^$E$3:$N$3)*$E$2</f>
        <v>9579.44610661297</v>
      </c>
      <c r="P299" s="15" t="n">
        <f aca="false">N299*$E$2*(1+$I$292)/($F$292-$I$292)/(1+$F$292)^$N$3</f>
        <v>19382.4550809702</v>
      </c>
      <c r="Q299" s="15" t="n">
        <f aca="false">O299+P299</f>
        <v>28961.9011875832</v>
      </c>
      <c r="R299" s="15" t="n">
        <f aca="false">Q299-$G$2+$I$2</f>
        <v>24894.1011875832</v>
      </c>
      <c r="S299" s="42" t="n">
        <f aca="false">R299/$K$2</f>
        <v>191.2576919759</v>
      </c>
      <c r="T299" s="43" t="n">
        <f aca="false">S299-$M$2</f>
        <v>14.6289273784818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-0.03125</v>
      </c>
      <c r="C300" s="25" t="n">
        <f aca="false">IF(T299&gt;0,D299,C299)</f>
        <v>-0.0078125</v>
      </c>
      <c r="D300" s="41" t="n">
        <f aca="false">(B300+C300)/2</f>
        <v>-0.01953125</v>
      </c>
      <c r="E300" s="15" t="n">
        <f aca="false">$C$2*(1+IF(E$3&lt;=$O$2,$D300,$D300-($D300-$I$292)*MIN(E$3-$O$2,$Q$2)/$Q$2))</f>
        <v>3078.671875</v>
      </c>
      <c r="F300" s="15" t="n">
        <f aca="false">E300*(1+IF(F$3&lt;=$O$2,$D300,$D300-($D300-$I$292)*MIN(F$3-$O$2,$Q$2)/$Q$2))</f>
        <v>3018.54156494141</v>
      </c>
      <c r="G300" s="15" t="n">
        <f aca="false">F300*(1+IF(G$3&lt;=$O$2,$D300,$D300-($D300-$I$292)*MIN(G$3-$O$2,$Q$2)/$Q$2))</f>
        <v>2959.58567500114</v>
      </c>
      <c r="H300" s="15" t="n">
        <f aca="false">G300*(1+IF(H$3&lt;=$O$2,$D300,$D300-($D300-$I$292)*MIN(H$3-$O$2,$Q$2)/$Q$2))</f>
        <v>2901.78126728628</v>
      </c>
      <c r="I300" s="15" t="n">
        <f aca="false">H300*(1+IF(I$3&lt;=$O$2,$D300,$D300-($D300-$I$292)*MIN(I$3-$O$2,$Q$2)/$Q$2))</f>
        <v>2845.10585190959</v>
      </c>
      <c r="J300" s="15" t="n">
        <f aca="false">I300*(1+IF(J$3&lt;=$O$2,$D300,$D300-($D300-$I$292)*MIN(J$3-$O$2,$Q$2)/$Q$2))</f>
        <v>2822.44458379913</v>
      </c>
      <c r="K300" s="15" t="n">
        <f aca="false">J300*(1+IF(K$3&lt;=$O$2,$D300,$D300-($D300-$I$292)*MIN(K$3-$O$2,$Q$2)/$Q$2))</f>
        <v>2832.60891235654</v>
      </c>
      <c r="L300" s="15" t="n">
        <f aca="false">K300*(1+IF(L$3&lt;=$O$2,$D300,$D300-($D300-$I$292)*MIN(L$3-$O$2,$Q$2)/$Q$2))</f>
        <v>2875.57250803471</v>
      </c>
      <c r="M300" s="15" t="n">
        <f aca="false">L300*(1+IF(M$3&lt;=$O$2,$D300,$D300-($D300-$I$292)*MIN(M$3-$O$2,$Q$2)/$Q$2))</f>
        <v>2952.44734457138</v>
      </c>
      <c r="N300" s="15" t="n">
        <f aca="false">M300*(1+IF(N$3&lt;=$O$2,$D300,$D300-($D300-$I$292)*MIN(N$3-$O$2,$Q$2)/$Q$2))</f>
        <v>3065.52607786846</v>
      </c>
      <c r="O300" s="15" t="n">
        <f aca="false">SUMPRODUCT(E300:N300,1/(1+$F$292)^$E$3:$N$3)*$E$2</f>
        <v>9097.94537009816</v>
      </c>
      <c r="P300" s="15" t="n">
        <f aca="false">N300*$E$2*(1+$I$292)/($F$292-$I$292)/(1+$F$292)^$N$3</f>
        <v>17844.3546517575</v>
      </c>
      <c r="Q300" s="15" t="n">
        <f aca="false">O300+P300</f>
        <v>26942.3000218556</v>
      </c>
      <c r="R300" s="15" t="n">
        <f aca="false">Q300-$G$2+$I$2</f>
        <v>22874.5000218557</v>
      </c>
      <c r="S300" s="42" t="n">
        <f aca="false">R300/$K$2</f>
        <v>175.741395373814</v>
      </c>
      <c r="T300" s="43" t="n">
        <f aca="false">S300-$M$2</f>
        <v>-0.887369223604452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-0.01953125</v>
      </c>
      <c r="C301" s="25" t="n">
        <f aca="false">IF(T300&gt;0,D300,C300)</f>
        <v>-0.0078125</v>
      </c>
      <c r="D301" s="41" t="n">
        <f aca="false">(B301+C301)/2</f>
        <v>-0.013671875</v>
      </c>
      <c r="E301" s="15" t="n">
        <f aca="false">$C$2*(1+IF(E$3&lt;=$O$2,$D301,$D301-($D301-$I$292)*MIN(E$3-$O$2,$Q$2)/$Q$2))</f>
        <v>3097.0703125</v>
      </c>
      <c r="F301" s="15" t="n">
        <f aca="false">E301*(1+IF(F$3&lt;=$O$2,$D301,$D301-($D301-$I$292)*MIN(F$3-$O$2,$Q$2)/$Q$2))</f>
        <v>3054.72755432129</v>
      </c>
      <c r="G301" s="15" t="n">
        <f aca="false">F301*(1+IF(G$3&lt;=$O$2,$D301,$D301-($D301-$I$292)*MIN(G$3-$O$2,$Q$2)/$Q$2))</f>
        <v>3012.96370103955</v>
      </c>
      <c r="H301" s="15" t="n">
        <f aca="false">G301*(1+IF(H$3&lt;=$O$2,$D301,$D301-($D301-$I$292)*MIN(H$3-$O$2,$Q$2)/$Q$2))</f>
        <v>2971.7708379394</v>
      </c>
      <c r="I301" s="15" t="n">
        <f aca="false">H301*(1+IF(I$3&lt;=$O$2,$D301,$D301-($D301-$I$292)*MIN(I$3-$O$2,$Q$2)/$Q$2))</f>
        <v>2931.14115851445</v>
      </c>
      <c r="J301" s="15" t="n">
        <f aca="false">I301*(1+IF(J$3&lt;=$O$2,$D301,$D301-($D301-$I$292)*MIN(J$3-$O$2,$Q$2)/$Q$2))</f>
        <v>2921.53434336742</v>
      </c>
      <c r="K301" s="15" t="n">
        <f aca="false">J301*(1+IF(K$3&lt;=$O$2,$D301,$D301-($D301-$I$292)*MIN(K$3-$O$2,$Q$2)/$Q$2))</f>
        <v>2942.32653809737</v>
      </c>
      <c r="L301" s="15" t="n">
        <f aca="false">K301*(1+IF(L$3&lt;=$O$2,$D301,$D301-($D301-$I$292)*MIN(L$3-$O$2,$Q$2)/$Q$2))</f>
        <v>2993.85035368763</v>
      </c>
      <c r="M301" s="15" t="n">
        <f aca="false">L301*(1+IF(M$3&lt;=$O$2,$D301,$D301-($D301-$I$292)*MIN(M$3-$O$2,$Q$2)/$Q$2))</f>
        <v>3077.39561896375</v>
      </c>
      <c r="N301" s="15" t="n">
        <f aca="false">M301*(1+IF(N$3&lt;=$O$2,$D301,$D301-($D301-$I$292)*MIN(N$3-$O$2,$Q$2)/$Q$2))</f>
        <v>3195.25987117007</v>
      </c>
      <c r="O301" s="15" t="n">
        <f aca="false">SUMPRODUCT(E301:N301,1/(1+$F$292)^$E$3:$N$3)*$E$2</f>
        <v>9335.51449626494</v>
      </c>
      <c r="P301" s="15" t="n">
        <f aca="false">N301*$E$2*(1+$I$292)/($F$292-$I$292)/(1+$F$292)^$N$3</f>
        <v>18599.531988106</v>
      </c>
      <c r="Q301" s="15" t="n">
        <f aca="false">O301+P301</f>
        <v>27935.0464843709</v>
      </c>
      <c r="R301" s="15" t="n">
        <f aca="false">Q301-$G$2+$I$2</f>
        <v>23867.2464843709</v>
      </c>
      <c r="S301" s="42" t="n">
        <f aca="false">R301/$K$2</f>
        <v>183.368519394368</v>
      </c>
      <c r="T301" s="43" t="n">
        <f aca="false">S301-$M$2</f>
        <v>6.73975479694943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-0.01953125</v>
      </c>
      <c r="C302" s="25" t="n">
        <f aca="false">IF(T301&gt;0,D301,C301)</f>
        <v>-0.013671875</v>
      </c>
      <c r="D302" s="41" t="n">
        <f aca="false">(B302+C302)/2</f>
        <v>-0.0166015625</v>
      </c>
      <c r="E302" s="15" t="n">
        <f aca="false">$C$2*(1+IF(E$3&lt;=$O$2,$D302,$D302-($D302-$I$292)*MIN(E$3-$O$2,$Q$2)/$Q$2))</f>
        <v>3087.87109375</v>
      </c>
      <c r="F302" s="15" t="n">
        <f aca="false">E302*(1+IF(F$3&lt;=$O$2,$D302,$D302-($D302-$I$292)*MIN(F$3-$O$2,$Q$2)/$Q$2))</f>
        <v>3036.60760879517</v>
      </c>
      <c r="G302" s="15" t="n">
        <f aca="false">F302*(1+IF(G$3&lt;=$O$2,$D302,$D302-($D302-$I$292)*MIN(G$3-$O$2,$Q$2)/$Q$2))</f>
        <v>2986.19517778978</v>
      </c>
      <c r="H302" s="15" t="n">
        <f aca="false">G302*(1+IF(H$3&lt;=$O$2,$D302,$D302-($D302-$I$292)*MIN(H$3-$O$2,$Q$2)/$Q$2))</f>
        <v>2936.6196719085</v>
      </c>
      <c r="I302" s="15" t="n">
        <f aca="false">H302*(1+IF(I$3&lt;=$O$2,$D302,$D302-($D302-$I$292)*MIN(I$3-$O$2,$Q$2)/$Q$2))</f>
        <v>2887.86719688658</v>
      </c>
      <c r="J302" s="15" t="n">
        <f aca="false">I302*(1+IF(J$3&lt;=$O$2,$D302,$D302-($D302-$I$292)*MIN(J$3-$O$2,$Q$2)/$Q$2))</f>
        <v>2871.63377340608</v>
      </c>
      <c r="K302" s="15" t="n">
        <f aca="false">J302*(1+IF(K$3&lt;=$O$2,$D302,$D302-($D302-$I$292)*MIN(K$3-$O$2,$Q$2)/$Q$2))</f>
        <v>2887.02303827488</v>
      </c>
      <c r="L302" s="15" t="n">
        <f aca="false">K302*(1+IF(L$3&lt;=$O$2,$D302,$D302-($D302-$I$292)*MIN(L$3-$O$2,$Q$2)/$Q$2))</f>
        <v>2934.19519033089</v>
      </c>
      <c r="M302" s="15" t="n">
        <f aca="false">L302*(1+IF(M$3&lt;=$O$2,$D302,$D302-($D302-$I$292)*MIN(M$3-$O$2,$Q$2)/$Q$2))</f>
        <v>3014.35648599473</v>
      </c>
      <c r="N302" s="15" t="n">
        <f aca="false">M302*(1+IF(N$3&lt;=$O$2,$D302,$D302-($D302-$I$292)*MIN(N$3-$O$2,$Q$2)/$Q$2))</f>
        <v>3129.80633940833</v>
      </c>
      <c r="O302" s="15" t="n">
        <f aca="false">SUMPRODUCT(E302:N302,1/(1+$F$292)^$E$3:$N$3)*$E$2</f>
        <v>9215.94456147052</v>
      </c>
      <c r="P302" s="15" t="n">
        <f aca="false">N302*$E$2*(1+$I$292)/($F$292-$I$292)/(1+$F$292)^$N$3</f>
        <v>18218.5285308532</v>
      </c>
      <c r="Q302" s="15" t="n">
        <f aca="false">O302+P302</f>
        <v>27434.4730923237</v>
      </c>
      <c r="R302" s="15" t="n">
        <f aca="false">Q302-$G$2+$I$2</f>
        <v>23366.6730923237</v>
      </c>
      <c r="S302" s="42" t="n">
        <f aca="false">R302/$K$2</f>
        <v>179.522688170895</v>
      </c>
      <c r="T302" s="43" t="n">
        <f aca="false">S302-$M$2</f>
        <v>2.89392357347674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-0.01953125</v>
      </c>
      <c r="C303" s="25" t="n">
        <f aca="false">IF(T302&gt;0,D302,C302)</f>
        <v>-0.0166015625</v>
      </c>
      <c r="D303" s="41" t="n">
        <f aca="false">(B303+C303)/2</f>
        <v>-0.01806640625</v>
      </c>
      <c r="E303" s="15" t="n">
        <f aca="false">$C$2*(1+IF(E$3&lt;=$O$2,$D303,$D303-($D303-$I$292)*MIN(E$3-$O$2,$Q$2)/$Q$2))</f>
        <v>3083.271484375</v>
      </c>
      <c r="F303" s="15" t="n">
        <f aca="false">E303*(1+IF(F$3&lt;=$O$2,$D303,$D303-($D303-$I$292)*MIN(F$3-$O$2,$Q$2)/$Q$2))</f>
        <v>3027.56784915924</v>
      </c>
      <c r="G303" s="15" t="n">
        <f aca="false">F303*(1+IF(G$3&lt;=$O$2,$D303,$D303-($D303-$I$292)*MIN(G$3-$O$2,$Q$2)/$Q$2))</f>
        <v>2972.87057844689</v>
      </c>
      <c r="H303" s="15" t="n">
        <f aca="false">G303*(1+IF(H$3&lt;=$O$2,$D303,$D303-($D303-$I$292)*MIN(H$3-$O$2,$Q$2)/$Q$2))</f>
        <v>2919.161490848</v>
      </c>
      <c r="I303" s="15" t="n">
        <f aca="false">H303*(1+IF(I$3&lt;=$O$2,$D303,$D303-($D303-$I$292)*MIN(I$3-$O$2,$Q$2)/$Q$2))</f>
        <v>2866.42273344498</v>
      </c>
      <c r="J303" s="15" t="n">
        <f aca="false">I303*(1+IF(J$3&lt;=$O$2,$D303,$D303-($D303-$I$292)*MIN(J$3-$O$2,$Q$2)/$Q$2))</f>
        <v>2846.95076551385</v>
      </c>
      <c r="K303" s="15" t="n">
        <f aca="false">J303*(1+IF(K$3&lt;=$O$2,$D303,$D303-($D303-$I$292)*MIN(K$3-$O$2,$Q$2)/$Q$2))</f>
        <v>2859.70554977941</v>
      </c>
      <c r="L303" s="15" t="n">
        <f aca="false">K303*(1+IF(L$3&lt;=$O$2,$D303,$D303-($D303-$I$292)*MIN(L$3-$O$2,$Q$2)/$Q$2))</f>
        <v>2904.75574242626</v>
      </c>
      <c r="M303" s="15" t="n">
        <f aca="false">L303*(1+IF(M$3&lt;=$O$2,$D303,$D303-($D303-$I$292)*MIN(M$3-$O$2,$Q$2)/$Q$2))</f>
        <v>2983.26175891426</v>
      </c>
      <c r="N303" s="15" t="n">
        <f aca="false">M303*(1+IF(N$3&lt;=$O$2,$D303,$D303-($D303-$I$292)*MIN(N$3-$O$2,$Q$2)/$Q$2))</f>
        <v>3097.52068428068</v>
      </c>
      <c r="O303" s="15" t="n">
        <f aca="false">SUMPRODUCT(E303:N303,1/(1+$F$292)^$E$3:$N$3)*$E$2</f>
        <v>9156.74985333395</v>
      </c>
      <c r="P303" s="15" t="n">
        <f aca="false">N303*$E$2*(1+$I$292)/($F$292-$I$292)/(1+$F$292)^$N$3</f>
        <v>18030.5944974677</v>
      </c>
      <c r="Q303" s="15" t="n">
        <f aca="false">O303+P303</f>
        <v>27187.3443508017</v>
      </c>
      <c r="R303" s="15" t="n">
        <f aca="false">Q303-$G$2+$I$2</f>
        <v>23119.5443508017</v>
      </c>
      <c r="S303" s="42" t="n">
        <f aca="false">R303/$K$2</f>
        <v>177.624034655821</v>
      </c>
      <c r="T303" s="43" t="n">
        <f aca="false">S303-$M$2</f>
        <v>0.995270058402582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-0.01953125</v>
      </c>
      <c r="C304" s="25" t="n">
        <f aca="false">IF(T303&gt;0,D303,C303)</f>
        <v>-0.01806640625</v>
      </c>
      <c r="D304" s="41" t="n">
        <f aca="false">(B304+C304)/2</f>
        <v>-0.018798828125</v>
      </c>
      <c r="E304" s="15" t="n">
        <f aca="false">$C$2*(1+IF(E$3&lt;=$O$2,$D304,$D304-($D304-$I$292)*MIN(E$3-$O$2,$Q$2)/$Q$2))</f>
        <v>3080.9716796875</v>
      </c>
      <c r="F304" s="15" t="n">
        <f aca="false">E304*(1+IF(F$3&lt;=$O$2,$D304,$D304-($D304-$I$292)*MIN(F$3-$O$2,$Q$2)/$Q$2))</f>
        <v>3023.05302262306</v>
      </c>
      <c r="G304" s="15" t="n">
        <f aca="false">F304*(1+IF(G$3&lt;=$O$2,$D304,$D304-($D304-$I$292)*MIN(G$3-$O$2,$Q$2)/$Q$2))</f>
        <v>2966.22316843801</v>
      </c>
      <c r="H304" s="15" t="n">
        <f aca="false">G304*(1+IF(H$3&lt;=$O$2,$D304,$D304-($D304-$I$292)*MIN(H$3-$O$2,$Q$2)/$Q$2))</f>
        <v>2910.46164891415</v>
      </c>
      <c r="I304" s="15" t="n">
        <f aca="false">H304*(1+IF(I$3&lt;=$O$2,$D304,$D304-($D304-$I$292)*MIN(I$3-$O$2,$Q$2)/$Q$2))</f>
        <v>2855.74838061181</v>
      </c>
      <c r="J304" s="15" t="n">
        <f aca="false">I304*(1+IF(J$3&lt;=$O$2,$D304,$D304-($D304-$I$292)*MIN(J$3-$O$2,$Q$2)/$Q$2))</f>
        <v>2834.675634827</v>
      </c>
      <c r="K304" s="15" t="n">
        <f aca="false">J304*(1+IF(K$3&lt;=$O$2,$D304,$D304-($D304-$I$292)*MIN(K$3-$O$2,$Q$2)/$Q$2))</f>
        <v>2846.12971752301</v>
      </c>
      <c r="L304" s="15" t="n">
        <f aca="false">K304*(1+IF(L$3&lt;=$O$2,$D304,$D304-($D304-$I$292)*MIN(L$3-$O$2,$Q$2)/$Q$2))</f>
        <v>2890.13221707922</v>
      </c>
      <c r="M304" s="15" t="n">
        <f aca="false">L304*(1+IF(M$3&lt;=$O$2,$D304,$D304-($D304-$I$292)*MIN(M$3-$O$2,$Q$2)/$Q$2))</f>
        <v>2967.81964844905</v>
      </c>
      <c r="N304" s="15" t="n">
        <f aca="false">M304*(1+IF(N$3&lt;=$O$2,$D304,$D304-($D304-$I$292)*MIN(N$3-$O$2,$Q$2)/$Q$2))</f>
        <v>3081.48714098465</v>
      </c>
      <c r="O304" s="15" t="n">
        <f aca="false">SUMPRODUCT(E304:N304,1/(1+$F$292)^$E$3:$N$3)*$E$2</f>
        <v>9127.29898667602</v>
      </c>
      <c r="P304" s="15" t="n">
        <f aca="false">N304*$E$2*(1+$I$292)/($F$292-$I$292)/(1+$F$292)^$N$3</f>
        <v>17937.263621908</v>
      </c>
      <c r="Q304" s="15" t="n">
        <f aca="false">O304+P304</f>
        <v>27064.562608584</v>
      </c>
      <c r="R304" s="15" t="n">
        <f aca="false">Q304-$G$2+$I$2</f>
        <v>22996.762608584</v>
      </c>
      <c r="S304" s="42" t="n">
        <f aca="false">R304/$K$2</f>
        <v>176.680720717456</v>
      </c>
      <c r="T304" s="43" t="n">
        <f aca="false">S304-$M$2</f>
        <v>0.0519561200368912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-0.01953125</v>
      </c>
      <c r="C305" s="25" t="n">
        <f aca="false">IF(T304&gt;0,D304,C304)</f>
        <v>-0.018798828125</v>
      </c>
      <c r="D305" s="41" t="n">
        <f aca="false">(B305+C305)/2</f>
        <v>-0.0191650390625</v>
      </c>
      <c r="E305" s="15" t="n">
        <f aca="false">$C$2*(1+IF(E$3&lt;=$O$2,$D305,$D305-($D305-$I$292)*MIN(E$3-$O$2,$Q$2)/$Q$2))</f>
        <v>3079.82177734375</v>
      </c>
      <c r="F305" s="15" t="n">
        <f aca="false">E305*(1+IF(F$3&lt;=$O$2,$D305,$D305-($D305-$I$292)*MIN(F$3-$O$2,$Q$2)/$Q$2))</f>
        <v>3020.79687267542</v>
      </c>
      <c r="G305" s="15" t="n">
        <f aca="false">F305*(1+IF(G$3&lt;=$O$2,$D305,$D305-($D305-$I$292)*MIN(G$3-$O$2,$Q$2)/$Q$2))</f>
        <v>2962.90318261072</v>
      </c>
      <c r="H305" s="15" t="n">
        <f aca="false">G305*(1+IF(H$3&lt;=$O$2,$D305,$D305-($D305-$I$292)*MIN(H$3-$O$2,$Q$2)/$Q$2))</f>
        <v>2906.11902737758</v>
      </c>
      <c r="I305" s="15" t="n">
        <f aca="false">H305*(1+IF(I$3&lt;=$O$2,$D305,$D305-($D305-$I$292)*MIN(I$3-$O$2,$Q$2)/$Q$2))</f>
        <v>2850.42314269761</v>
      </c>
      <c r="J305" s="15" t="n">
        <f aca="false">I305*(1+IF(J$3&lt;=$O$2,$D305,$D305-($D305-$I$292)*MIN(J$3-$O$2,$Q$2)/$Q$2))</f>
        <v>2828.55460727111</v>
      </c>
      <c r="K305" s="15" t="n">
        <f aca="false">J305*(1+IF(K$3&lt;=$O$2,$D305,$D305-($D305-$I$292)*MIN(K$3-$O$2,$Q$2)/$Q$2))</f>
        <v>2839.36244813125</v>
      </c>
      <c r="L305" s="15" t="n">
        <f aca="false">K305*(1+IF(L$3&lt;=$O$2,$D305,$D305-($D305-$I$292)*MIN(L$3-$O$2,$Q$2)/$Q$2))</f>
        <v>2882.84440029689</v>
      </c>
      <c r="M305" s="15" t="n">
        <f aca="false">L305*(1+IF(M$3&lt;=$O$2,$D305,$D305-($D305-$I$292)*MIN(M$3-$O$2,$Q$2)/$Q$2))</f>
        <v>2960.12478761343</v>
      </c>
      <c r="N305" s="15" t="n">
        <f aca="false">M305*(1+IF(N$3&lt;=$O$2,$D305,$D305-($D305-$I$292)*MIN(N$3-$O$2,$Q$2)/$Q$2))</f>
        <v>3073.49756697902</v>
      </c>
      <c r="O305" s="15" t="n">
        <f aca="false">SUMPRODUCT(E305:N305,1/(1+$F$292)^$E$3:$N$3)*$E$2</f>
        <v>9112.61004121524</v>
      </c>
      <c r="P305" s="15" t="n">
        <f aca="false">N305*$E$2*(1+$I$292)/($F$292-$I$292)/(1+$F$292)^$N$3</f>
        <v>17890.7565009599</v>
      </c>
      <c r="Q305" s="15" t="n">
        <f aca="false">O305+P305</f>
        <v>27003.3665421752</v>
      </c>
      <c r="R305" s="15" t="n">
        <f aca="false">Q305-$G$2+$I$2</f>
        <v>22935.5665421752</v>
      </c>
      <c r="S305" s="42" t="n">
        <f aca="false">R305/$K$2</f>
        <v>176.210560403927</v>
      </c>
      <c r="T305" s="43" t="n">
        <f aca="false">S305-$M$2</f>
        <v>-0.418204193491334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-0.0191650390625</v>
      </c>
      <c r="C306" s="25" t="n">
        <f aca="false">IF(T305&gt;0,D305,C305)</f>
        <v>-0.018798828125</v>
      </c>
      <c r="D306" s="41" t="n">
        <f aca="false">(B306+C306)/2</f>
        <v>-0.01898193359375</v>
      </c>
      <c r="E306" s="15" t="n">
        <f aca="false">$C$2*(1+IF(E$3&lt;=$O$2,$D306,$D306-($D306-$I$292)*MIN(E$3-$O$2,$Q$2)/$Q$2))</f>
        <v>3080.39672851563</v>
      </c>
      <c r="F306" s="15" t="n">
        <f aca="false">E306*(1+IF(F$3&lt;=$O$2,$D306,$D306-($D306-$I$292)*MIN(F$3-$O$2,$Q$2)/$Q$2))</f>
        <v>3021.92484237254</v>
      </c>
      <c r="G306" s="15" t="n">
        <f aca="false">F306*(1+IF(G$3&lt;=$O$2,$D306,$D306-($D306-$I$292)*MIN(G$3-$O$2,$Q$2)/$Q$2))</f>
        <v>2964.56286568932</v>
      </c>
      <c r="H306" s="15" t="n">
        <f aca="false">G306*(1+IF(H$3&lt;=$O$2,$D306,$D306-($D306-$I$292)*MIN(H$3-$O$2,$Q$2)/$Q$2))</f>
        <v>2908.28973023831</v>
      </c>
      <c r="I306" s="15" t="n">
        <f aca="false">H306*(1+IF(I$3&lt;=$O$2,$D306,$D306-($D306-$I$292)*MIN(I$3-$O$2,$Q$2)/$Q$2))</f>
        <v>2853.08476770754</v>
      </c>
      <c r="J306" s="15" t="n">
        <f aca="false">I306*(1+IF(J$3&lt;=$O$2,$D306,$D306-($D306-$I$292)*MIN(J$3-$O$2,$Q$2)/$Q$2))</f>
        <v>2831.61374454981</v>
      </c>
      <c r="K306" s="15" t="n">
        <f aca="false">J306*(1+IF(K$3&lt;=$O$2,$D306,$D306-($D306-$I$292)*MIN(K$3-$O$2,$Q$2)/$Q$2))</f>
        <v>2842.74436467899</v>
      </c>
      <c r="L306" s="15" t="n">
        <f aca="false">K306*(1+IF(L$3&lt;=$O$2,$D306,$D306-($D306-$I$292)*MIN(L$3-$O$2,$Q$2)/$Q$2))</f>
        <v>2886.48631627758</v>
      </c>
      <c r="M306" s="15" t="n">
        <f aca="false">L306*(1+IF(M$3&lt;=$O$2,$D306,$D306-($D306-$I$292)*MIN(M$3-$O$2,$Q$2)/$Q$2))</f>
        <v>2963.97003869335</v>
      </c>
      <c r="N306" s="15" t="n">
        <f aca="false">M306*(1+IF(N$3&lt;=$O$2,$D306,$D306-($D306-$I$292)*MIN(N$3-$O$2,$Q$2)/$Q$2))</f>
        <v>3077.49009117531</v>
      </c>
      <c r="O306" s="15" t="n">
        <f aca="false">SUMPRODUCT(E306:N306,1/(1+$F$292)^$E$3:$N$3)*$E$2</f>
        <v>9119.95147726869</v>
      </c>
      <c r="P306" s="15" t="n">
        <f aca="false">N306*$E$2*(1+$I$292)/($F$292-$I$292)/(1+$F$292)^$N$3</f>
        <v>17913.9968896908</v>
      </c>
      <c r="Q306" s="15" t="n">
        <f aca="false">O306+P306</f>
        <v>27033.9483669595</v>
      </c>
      <c r="R306" s="15" t="n">
        <f aca="false">Q306-$G$2+$I$2</f>
        <v>22966.1483669595</v>
      </c>
      <c r="S306" s="42" t="n">
        <f aca="false">R306/$K$2</f>
        <v>176.445516033801</v>
      </c>
      <c r="T306" s="43" t="n">
        <f aca="false">S306-$M$2</f>
        <v>-0.183248563617894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-0.01898193359375</v>
      </c>
      <c r="C307" s="25" t="n">
        <f aca="false">IF(T306&gt;0,D306,C306)</f>
        <v>-0.018798828125</v>
      </c>
      <c r="D307" s="41" t="n">
        <f aca="false">(B307+C307)/2</f>
        <v>-0.018890380859375</v>
      </c>
      <c r="E307" s="15" t="n">
        <f aca="false">$C$2*(1+IF(E$3&lt;=$O$2,$D307,$D307-($D307-$I$292)*MIN(E$3-$O$2,$Q$2)/$Q$2))</f>
        <v>3080.68420410156</v>
      </c>
      <c r="F307" s="15" t="n">
        <f aca="false">E307*(1+IF(F$3&lt;=$O$2,$D307,$D307-($D307-$I$292)*MIN(F$3-$O$2,$Q$2)/$Q$2))</f>
        <v>3022.48890617862</v>
      </c>
      <c r="G307" s="15" t="n">
        <f aca="false">F307*(1+IF(G$3&lt;=$O$2,$D307,$D307-($D307-$I$292)*MIN(G$3-$O$2,$Q$2)/$Q$2))</f>
        <v>2965.39293959767</v>
      </c>
      <c r="H307" s="15" t="n">
        <f aca="false">G307*(1+IF(H$3&lt;=$O$2,$D307,$D307-($D307-$I$292)*MIN(H$3-$O$2,$Q$2)/$Q$2))</f>
        <v>2909.37553757097</v>
      </c>
      <c r="I307" s="15" t="n">
        <f aca="false">H307*(1+IF(I$3&lt;=$O$2,$D307,$D307-($D307-$I$292)*MIN(I$3-$O$2,$Q$2)/$Q$2))</f>
        <v>2854.41632560331</v>
      </c>
      <c r="J307" s="15" t="n">
        <f aca="false">I307*(1+IF(J$3&lt;=$O$2,$D307,$D307-($D307-$I$292)*MIN(J$3-$O$2,$Q$2)/$Q$2))</f>
        <v>2833.14434543994</v>
      </c>
      <c r="K307" s="15" t="n">
        <f aca="false">J307*(1+IF(K$3&lt;=$O$2,$D307,$D307-($D307-$I$292)*MIN(K$3-$O$2,$Q$2)/$Q$2))</f>
        <v>2844.43661138311</v>
      </c>
      <c r="L307" s="15" t="n">
        <f aca="false">K307*(1+IF(L$3&lt;=$O$2,$D307,$D307-($D307-$I$292)*MIN(L$3-$O$2,$Q$2)/$Q$2))</f>
        <v>2888.30876834494</v>
      </c>
      <c r="M307" s="15" t="n">
        <f aca="false">L307*(1+IF(M$3&lt;=$O$2,$D307,$D307-($D307-$I$292)*MIN(M$3-$O$2,$Q$2)/$Q$2))</f>
        <v>2965.89429847233</v>
      </c>
      <c r="N307" s="15" t="n">
        <f aca="false">M307*(1+IF(N$3&lt;=$O$2,$D307,$D307-($D307-$I$292)*MIN(N$3-$O$2,$Q$2)/$Q$2))</f>
        <v>3079.48805010382</v>
      </c>
      <c r="O307" s="15" t="n">
        <f aca="false">SUMPRODUCT(E307:N307,1/(1+$F$292)^$E$3:$N$3)*$E$2</f>
        <v>9123.62447250495</v>
      </c>
      <c r="P307" s="15" t="n">
        <f aca="false">N307*$E$2*(1+$I$292)/($F$292-$I$292)/(1+$F$292)^$N$3</f>
        <v>17925.6269612656</v>
      </c>
      <c r="Q307" s="15" t="n">
        <f aca="false">O307+P307</f>
        <v>27049.2514337705</v>
      </c>
      <c r="R307" s="15" t="n">
        <f aca="false">Q307-$G$2+$I$2</f>
        <v>22981.4514337705</v>
      </c>
      <c r="S307" s="42" t="n">
        <f aca="false">R307/$K$2</f>
        <v>176.563087229337</v>
      </c>
      <c r="T307" s="43" t="n">
        <f aca="false">S307-$M$2</f>
        <v>-0.0656773680812819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-0.018890380859375</v>
      </c>
      <c r="C308" s="25" t="n">
        <f aca="false">IF(T307&gt;0,D307,C307)</f>
        <v>-0.018798828125</v>
      </c>
      <c r="D308" s="41" t="n">
        <f aca="false">(B308+C308)/2</f>
        <v>-0.0188446044921875</v>
      </c>
      <c r="E308" s="15" t="n">
        <f aca="false">$C$2*(1+IF(E$3&lt;=$O$2,$D308,$D308-($D308-$I$292)*MIN(E$3-$O$2,$Q$2)/$Q$2))</f>
        <v>3080.82794189453</v>
      </c>
      <c r="F308" s="15" t="n">
        <f aca="false">E308*(1+IF(F$3&lt;=$O$2,$D308,$D308-($D308-$I$292)*MIN(F$3-$O$2,$Q$2)/$Q$2))</f>
        <v>3022.77095782105</v>
      </c>
      <c r="G308" s="15" t="n">
        <f aca="false">F308*(1+IF(G$3&lt;=$O$2,$D308,$D308-($D308-$I$292)*MIN(G$3-$O$2,$Q$2)/$Q$2))</f>
        <v>2965.80803465044</v>
      </c>
      <c r="H308" s="15" t="n">
        <f aca="false">G308*(1+IF(H$3&lt;=$O$2,$D308,$D308-($D308-$I$292)*MIN(H$3-$O$2,$Q$2)/$Q$2))</f>
        <v>2909.9185552377</v>
      </c>
      <c r="I308" s="15" t="n">
        <f aca="false">H308*(1+IF(I$3&lt;=$O$2,$D308,$D308-($D308-$I$292)*MIN(I$3-$O$2,$Q$2)/$Q$2))</f>
        <v>2855.08229095977</v>
      </c>
      <c r="J308" s="15" t="n">
        <f aca="false">I308*(1+IF(J$3&lt;=$O$2,$D308,$D308-($D308-$I$292)*MIN(J$3-$O$2,$Q$2)/$Q$2))</f>
        <v>2833.90990405589</v>
      </c>
      <c r="K308" s="15" t="n">
        <f aca="false">J308*(1+IF(K$3&lt;=$O$2,$D308,$D308-($D308-$I$292)*MIN(K$3-$O$2,$Q$2)/$Q$2))</f>
        <v>2845.28305700097</v>
      </c>
      <c r="L308" s="15" t="n">
        <f aca="false">K308*(1+IF(L$3&lt;=$O$2,$D308,$D308-($D308-$I$292)*MIN(L$3-$O$2,$Q$2)/$Q$2))</f>
        <v>2889.22036809985</v>
      </c>
      <c r="M308" s="15" t="n">
        <f aca="false">L308*(1+IF(M$3&lt;=$O$2,$D308,$D308-($D308-$I$292)*MIN(M$3-$O$2,$Q$2)/$Q$2))</f>
        <v>2966.85683715291</v>
      </c>
      <c r="N308" s="15" t="n">
        <f aca="false">M308*(1+IF(N$3&lt;=$O$2,$D308,$D308-($D308-$I$292)*MIN(N$3-$O$2,$Q$2)/$Q$2))</f>
        <v>3080.48745401587</v>
      </c>
      <c r="O308" s="15" t="n">
        <f aca="false">SUMPRODUCT(E308:N308,1/(1+$F$292)^$E$3:$N$3)*$E$2</f>
        <v>9125.46153968635</v>
      </c>
      <c r="P308" s="15" t="n">
        <f aca="false">N308*$E$2*(1+$I$292)/($F$292-$I$292)/(1+$F$292)^$N$3</f>
        <v>17931.4444677535</v>
      </c>
      <c r="Q308" s="15" t="n">
        <f aca="false">O308+P308</f>
        <v>27056.9060074399</v>
      </c>
      <c r="R308" s="15" t="n">
        <f aca="false">Q308-$G$2+$I$2</f>
        <v>22989.1060074399</v>
      </c>
      <c r="S308" s="42" t="n">
        <f aca="false">R308/$K$2</f>
        <v>176.621896185002</v>
      </c>
      <c r="T308" s="43" t="n">
        <f aca="false">S308-$M$2</f>
        <v>-0.00686841241656566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-0.0188446044921875</v>
      </c>
      <c r="C309" s="25" t="n">
        <f aca="false">IF(T308&gt;0,D308,C308)</f>
        <v>-0.018798828125</v>
      </c>
      <c r="D309" s="41" t="n">
        <f aca="false">(B309+C309)/2</f>
        <v>-0.0188217163085938</v>
      </c>
      <c r="E309" s="15" t="n">
        <f aca="false">$C$2*(1+IF(E$3&lt;=$O$2,$D309,$D309-($D309-$I$292)*MIN(E$3-$O$2,$Q$2)/$Q$2))</f>
        <v>3080.89981079102</v>
      </c>
      <c r="F309" s="15" t="n">
        <f aca="false">E309*(1+IF(F$3&lt;=$O$2,$D309,$D309-($D309-$I$292)*MIN(F$3-$O$2,$Q$2)/$Q$2))</f>
        <v>3022.91198857711</v>
      </c>
      <c r="G309" s="15" t="n">
        <f aca="false">F309*(1+IF(G$3&lt;=$O$2,$D309,$D309-($D309-$I$292)*MIN(G$3-$O$2,$Q$2)/$Q$2))</f>
        <v>2966.01559670226</v>
      </c>
      <c r="H309" s="15" t="n">
        <f aca="false">G309*(1+IF(H$3&lt;=$O$2,$D309,$D309-($D309-$I$292)*MIN(H$3-$O$2,$Q$2)/$Q$2))</f>
        <v>2910.19009257427</v>
      </c>
      <c r="I309" s="15" t="n">
        <f aca="false">H309*(1+IF(I$3&lt;=$O$2,$D309,$D309-($D309-$I$292)*MIN(I$3-$O$2,$Q$2)/$Q$2))</f>
        <v>2855.41532024775</v>
      </c>
      <c r="J309" s="15" t="n">
        <f aca="false">I309*(1+IF(J$3&lt;=$O$2,$D309,$D309-($D309-$I$292)*MIN(J$3-$O$2,$Q$2)/$Q$2))</f>
        <v>2834.29274792012</v>
      </c>
      <c r="K309" s="15" t="n">
        <f aca="false">J309*(1+IF(K$3&lt;=$O$2,$D309,$D309-($D309-$I$292)*MIN(K$3-$O$2,$Q$2)/$Q$2))</f>
        <v>2845.70636039614</v>
      </c>
      <c r="L309" s="15" t="n">
        <f aca="false">K309*(1+IF(L$3&lt;=$O$2,$D309,$D309-($D309-$I$292)*MIN(L$3-$O$2,$Q$2)/$Q$2))</f>
        <v>2889.67626143287</v>
      </c>
      <c r="M309" s="15" t="n">
        <f aca="false">L309*(1+IF(M$3&lt;=$O$2,$D309,$D309-($D309-$I$292)*MIN(M$3-$O$2,$Q$2)/$Q$2))</f>
        <v>2967.3382087199</v>
      </c>
      <c r="N309" s="15" t="n">
        <f aca="false">M309*(1+IF(N$3&lt;=$O$2,$D309,$D309-($D309-$I$292)*MIN(N$3-$O$2,$Q$2)/$Q$2))</f>
        <v>3080.98726211387</v>
      </c>
      <c r="O309" s="15" t="n">
        <f aca="false">SUMPRODUCT(E309:N309,1/(1+$F$292)^$E$3:$N$3)*$E$2</f>
        <v>9126.38021570049</v>
      </c>
      <c r="P309" s="15" t="n">
        <f aca="false">N309*$E$2*(1+$I$292)/($F$292-$I$292)/(1+$F$292)^$N$3</f>
        <v>17934.3538388475</v>
      </c>
      <c r="Q309" s="15" t="n">
        <f aca="false">O309+P309</f>
        <v>27060.7340545479</v>
      </c>
      <c r="R309" s="15" t="n">
        <f aca="false">Q309-$G$2+$I$2</f>
        <v>22992.9340545479</v>
      </c>
      <c r="S309" s="42" t="n">
        <f aca="false">R309/$K$2</f>
        <v>176.651306503902</v>
      </c>
      <c r="T309" s="43" t="n">
        <f aca="false">S309-$M$2</f>
        <v>0.0225419064838377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-0.0188446044921875</v>
      </c>
      <c r="C310" s="25" t="n">
        <f aca="false">IF(T309&gt;0,D309,C309)</f>
        <v>-0.0188217163085938</v>
      </c>
      <c r="D310" s="41" t="n">
        <f aca="false">(B310+C310)/2</f>
        <v>-0.0188331604003906</v>
      </c>
      <c r="E310" s="15" t="n">
        <f aca="false">$C$2*(1+IF(E$3&lt;=$O$2,$D310,$D310-($D310-$I$292)*MIN(E$3-$O$2,$Q$2)/$Q$2))</f>
        <v>3080.86387634277</v>
      </c>
      <c r="F310" s="15" t="n">
        <f aca="false">E310*(1+IF(F$3&lt;=$O$2,$D310,$D310-($D310-$I$292)*MIN(F$3-$O$2,$Q$2)/$Q$2))</f>
        <v>3022.84147278784</v>
      </c>
      <c r="G310" s="15" t="n">
        <f aca="false">F310*(1+IF(G$3&lt;=$O$2,$D310,$D310-($D310-$I$292)*MIN(G$3-$O$2,$Q$2)/$Q$2))</f>
        <v>2965.91181446587</v>
      </c>
      <c r="H310" s="15" t="n">
        <f aca="false">G310*(1+IF(H$3&lt;=$O$2,$D310,$D310-($D310-$I$292)*MIN(H$3-$O$2,$Q$2)/$Q$2))</f>
        <v>2910.05432153062</v>
      </c>
      <c r="I310" s="15" t="n">
        <f aca="false">H310*(1+IF(I$3&lt;=$O$2,$D310,$D310-($D310-$I$292)*MIN(I$3-$O$2,$Q$2)/$Q$2))</f>
        <v>2855.24880171939</v>
      </c>
      <c r="J310" s="15" t="n">
        <f aca="false">I310*(1+IF(J$3&lt;=$O$2,$D310,$D310-($D310-$I$292)*MIN(J$3-$O$2,$Q$2)/$Q$2))</f>
        <v>2834.10132060792</v>
      </c>
      <c r="K310" s="15" t="n">
        <f aca="false">J310*(1+IF(K$3&lt;=$O$2,$D310,$D310-($D310-$I$292)*MIN(K$3-$O$2,$Q$2)/$Q$2))</f>
        <v>2845.49470198245</v>
      </c>
      <c r="L310" s="15" t="n">
        <f aca="false">K310*(1+IF(L$3&lt;=$O$2,$D310,$D310-($D310-$I$292)*MIN(L$3-$O$2,$Q$2)/$Q$2))</f>
        <v>2889.44830697765</v>
      </c>
      <c r="M310" s="15" t="n">
        <f aca="false">L310*(1+IF(M$3&lt;=$O$2,$D310,$D310-($D310-$I$292)*MIN(M$3-$O$2,$Q$2)/$Q$2))</f>
        <v>2967.09751441665</v>
      </c>
      <c r="N310" s="15" t="n">
        <f aca="false">M310*(1+IF(N$3&lt;=$O$2,$D310,$D310-($D310-$I$292)*MIN(N$3-$O$2,$Q$2)/$Q$2))</f>
        <v>3080.73734921881</v>
      </c>
      <c r="O310" s="15" t="n">
        <f aca="false">SUMPRODUCT(E310:N310,1/(1+$F$292)^$E$3:$N$3)*$E$2</f>
        <v>9125.92086582383</v>
      </c>
      <c r="P310" s="15" t="n">
        <f aca="false">N310*$E$2*(1+$I$292)/($F$292-$I$292)/(1+$F$292)^$N$3</f>
        <v>17932.8991018078</v>
      </c>
      <c r="Q310" s="15" t="n">
        <f aca="false">O310+P310</f>
        <v>27058.8199676316</v>
      </c>
      <c r="R310" s="15" t="n">
        <f aca="false">Q310-$G$2+$I$2</f>
        <v>22991.0199676316</v>
      </c>
      <c r="S310" s="42" t="n">
        <f aca="false">R310/$K$2</f>
        <v>176.636600857649</v>
      </c>
      <c r="T310" s="43" t="n">
        <f aca="false">S310-$M$2</f>
        <v>0.00783626023050488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-0.0188446044921875</v>
      </c>
      <c r="C311" s="25" t="n">
        <f aca="false">IF(T310&gt;0,D310,C310)</f>
        <v>-0.0188331604003906</v>
      </c>
      <c r="D311" s="41" t="n">
        <f aca="false">(B311+C311)/2</f>
        <v>-0.0188388824462891</v>
      </c>
      <c r="E311" s="15" t="n">
        <f aca="false">$C$2*(1+IF(E$3&lt;=$O$2,$D311,$D311-($D311-$I$292)*MIN(E$3-$O$2,$Q$2)/$Q$2))</f>
        <v>3080.84590911865</v>
      </c>
      <c r="F311" s="15" t="n">
        <f aca="false">E311*(1+IF(F$3&lt;=$O$2,$D311,$D311-($D311-$I$292)*MIN(F$3-$O$2,$Q$2)/$Q$2))</f>
        <v>3022.80621520164</v>
      </c>
      <c r="G311" s="15" t="n">
        <f aca="false">F311*(1+IF(G$3&lt;=$O$2,$D311,$D311-($D311-$I$292)*MIN(G$3-$O$2,$Q$2)/$Q$2))</f>
        <v>2965.85992425554</v>
      </c>
      <c r="H311" s="15" t="n">
        <f aca="false">G311*(1+IF(H$3&lt;=$O$2,$D311,$D311-($D311-$I$292)*MIN(H$3-$O$2,$Q$2)/$Q$2))</f>
        <v>2909.98643779033</v>
      </c>
      <c r="I311" s="15" t="n">
        <f aca="false">H311*(1+IF(I$3&lt;=$O$2,$D311,$D311-($D311-$I$292)*MIN(I$3-$O$2,$Q$2)/$Q$2))</f>
        <v>2855.1655453685</v>
      </c>
      <c r="J311" s="15" t="n">
        <f aca="false">I311*(1+IF(J$3&lt;=$O$2,$D311,$D311-($D311-$I$292)*MIN(J$3-$O$2,$Q$2)/$Q$2))</f>
        <v>2834.00561098691</v>
      </c>
      <c r="K311" s="15" t="n">
        <f aca="false">J311*(1+IF(K$3&lt;=$O$2,$D311,$D311-($D311-$I$292)*MIN(K$3-$O$2,$Q$2)/$Q$2))</f>
        <v>2845.38887781273</v>
      </c>
      <c r="L311" s="15" t="n">
        <f aca="false">K311*(1+IF(L$3&lt;=$O$2,$D311,$D311-($D311-$I$292)*MIN(L$3-$O$2,$Q$2)/$Q$2))</f>
        <v>2889.33433559163</v>
      </c>
      <c r="M311" s="15" t="n">
        <f aca="false">L311*(1+IF(M$3&lt;=$O$2,$D311,$D311-($D311-$I$292)*MIN(M$3-$O$2,$Q$2)/$Q$2))</f>
        <v>2966.97717365491</v>
      </c>
      <c r="N311" s="15" t="n">
        <f aca="false">M311*(1+IF(N$3&lt;=$O$2,$D311,$D311-($D311-$I$292)*MIN(N$3-$O$2,$Q$2)/$Q$2))</f>
        <v>3080.61239940589</v>
      </c>
      <c r="O311" s="15" t="n">
        <f aca="false">SUMPRODUCT(E311:N311,1/(1+$F$292)^$E$3:$N$3)*$E$2</f>
        <v>9125.69119978777</v>
      </c>
      <c r="P311" s="15" t="n">
        <f aca="false">N311*$E$2*(1+$I$292)/($F$292-$I$292)/(1+$F$292)^$N$3</f>
        <v>17932.1717719079</v>
      </c>
      <c r="Q311" s="15" t="n">
        <f aca="false">O311+P311</f>
        <v>27057.8629716956</v>
      </c>
      <c r="R311" s="15" t="n">
        <f aca="false">Q311-$G$2+$I$2</f>
        <v>22990.0629716956</v>
      </c>
      <c r="S311" s="42" t="n">
        <f aca="false">R311/$K$2</f>
        <v>176.629248399628</v>
      </c>
      <c r="T311" s="43" t="n">
        <f aca="false">S311-$M$2</f>
        <v>0.000483802209828355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-0.0188446044921875</v>
      </c>
      <c r="C312" s="25" t="n">
        <f aca="false">IF(T311&gt;0,D311,C311)</f>
        <v>-0.0188388824462891</v>
      </c>
      <c r="D312" s="41" t="n">
        <f aca="false">(B312+C312)/2</f>
        <v>-0.0188417434692383</v>
      </c>
      <c r="E312" s="15" t="n">
        <f aca="false">$C$2*(1+IF(E$3&lt;=$O$2,$D312,$D312-($D312-$I$292)*MIN(E$3-$O$2,$Q$2)/$Q$2))</f>
        <v>3080.83692550659</v>
      </c>
      <c r="F312" s="15" t="n">
        <f aca="false">E312*(1+IF(F$3&lt;=$O$2,$D312,$D312-($D312-$I$292)*MIN(F$3-$O$2,$Q$2)/$Q$2))</f>
        <v>3022.78858648564</v>
      </c>
      <c r="G312" s="15" t="n">
        <f aca="false">F312*(1+IF(G$3&lt;=$O$2,$D312,$D312-($D312-$I$292)*MIN(G$3-$O$2,$Q$2)/$Q$2))</f>
        <v>2965.83397937734</v>
      </c>
      <c r="H312" s="15" t="n">
        <f aca="false">G312*(1+IF(H$3&lt;=$O$2,$D312,$D312-($D312-$I$292)*MIN(H$3-$O$2,$Q$2)/$Q$2))</f>
        <v>2909.95249636556</v>
      </c>
      <c r="I312" s="15" t="n">
        <f aca="false">H312*(1+IF(I$3&lt;=$O$2,$D312,$D312-($D312-$I$292)*MIN(I$3-$O$2,$Q$2)/$Q$2))</f>
        <v>2855.12391792137</v>
      </c>
      <c r="J312" s="15" t="n">
        <f aca="false">I312*(1+IF(J$3&lt;=$O$2,$D312,$D312-($D312-$I$292)*MIN(J$3-$O$2,$Q$2)/$Q$2))</f>
        <v>2833.95775718516</v>
      </c>
      <c r="K312" s="15" t="n">
        <f aca="false">J312*(1+IF(K$3&lt;=$O$2,$D312,$D312-($D312-$I$292)*MIN(K$3-$O$2,$Q$2)/$Q$2))</f>
        <v>2845.33596698711</v>
      </c>
      <c r="L312" s="15" t="n">
        <f aca="false">K312*(1+IF(L$3&lt;=$O$2,$D312,$D312-($D312-$I$292)*MIN(L$3-$O$2,$Q$2)/$Q$2))</f>
        <v>2889.27735135897</v>
      </c>
      <c r="M312" s="15" t="n">
        <f aca="false">L312*(1+IF(M$3&lt;=$O$2,$D312,$D312-($D312-$I$292)*MIN(M$3-$O$2,$Q$2)/$Q$2))</f>
        <v>2966.91700487145</v>
      </c>
      <c r="N312" s="15" t="n">
        <f aca="false">M312*(1+IF(N$3&lt;=$O$2,$D312,$D312-($D312-$I$292)*MIN(N$3-$O$2,$Q$2)/$Q$2))</f>
        <v>3080.54992615802</v>
      </c>
      <c r="O312" s="15" t="n">
        <f aca="false">SUMPRODUCT(E312:N312,1/(1+$F$292)^$E$3:$N$3)*$E$2</f>
        <v>9125.57636899524</v>
      </c>
      <c r="P312" s="15" t="n">
        <f aca="false">N312*$E$2*(1+$I$292)/($F$292-$I$292)/(1+$F$292)^$N$3</f>
        <v>17931.8081166126</v>
      </c>
      <c r="Q312" s="15" t="n">
        <f aca="false">O312+P312</f>
        <v>27057.3844856078</v>
      </c>
      <c r="R312" s="15" t="n">
        <f aca="false">Q312-$G$2+$I$2</f>
        <v>22989.5844856078</v>
      </c>
      <c r="S312" s="42" t="n">
        <f aca="false">R312/$K$2</f>
        <v>176.625572261891</v>
      </c>
      <c r="T312" s="43" t="n">
        <f aca="false">S312-$M$2</f>
        <v>-0.00319233552718856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-0.0188417434692383</v>
      </c>
      <c r="C313" s="25" t="n">
        <f aca="false">IF(T312&gt;0,D312,C312)</f>
        <v>-0.0188388824462891</v>
      </c>
      <c r="D313" s="41" t="n">
        <f aca="false">(B313+C313)/2</f>
        <v>-0.0188403129577637</v>
      </c>
      <c r="E313" s="15" t="n">
        <f aca="false">$C$2*(1+IF(E$3&lt;=$O$2,$D313,$D313-($D313-$I$292)*MIN(E$3-$O$2,$Q$2)/$Q$2))</f>
        <v>3080.84141731262</v>
      </c>
      <c r="F313" s="15" t="n">
        <f aca="false">E313*(1+IF(F$3&lt;=$O$2,$D313,$D313-($D313-$I$292)*MIN(F$3-$O$2,$Q$2)/$Q$2))</f>
        <v>3022.79740083721</v>
      </c>
      <c r="G313" s="15" t="n">
        <f aca="false">F313*(1+IF(G$3&lt;=$O$2,$D313,$D313-($D313-$I$292)*MIN(G$3-$O$2,$Q$2)/$Q$2))</f>
        <v>2965.84695179752</v>
      </c>
      <c r="H313" s="15" t="n">
        <f aca="false">G313*(1+IF(H$3&lt;=$O$2,$D313,$D313-($D313-$I$292)*MIN(H$3-$O$2,$Q$2)/$Q$2))</f>
        <v>2909.96946704083</v>
      </c>
      <c r="I313" s="15" t="n">
        <f aca="false">H313*(1+IF(I$3&lt;=$O$2,$D313,$D313-($D313-$I$292)*MIN(I$3-$O$2,$Q$2)/$Q$2))</f>
        <v>2855.14473158424</v>
      </c>
      <c r="J313" s="15" t="n">
        <f aca="false">I313*(1+IF(J$3&lt;=$O$2,$D313,$D313-($D313-$I$292)*MIN(J$3-$O$2,$Q$2)/$Q$2))</f>
        <v>2833.98168400197</v>
      </c>
      <c r="K313" s="15" t="n">
        <f aca="false">J313*(1+IF(K$3&lt;=$O$2,$D313,$D313-($D313-$I$292)*MIN(K$3-$O$2,$Q$2)/$Q$2))</f>
        <v>2845.36242229498</v>
      </c>
      <c r="L313" s="15" t="n">
        <f aca="false">K313*(1+IF(L$3&lt;=$O$2,$D313,$D313-($D313-$I$292)*MIN(L$3-$O$2,$Q$2)/$Q$2))</f>
        <v>2889.3058433536</v>
      </c>
      <c r="M313" s="15" t="n">
        <f aca="false">L313*(1+IF(M$3&lt;=$O$2,$D313,$D313-($D313-$I$292)*MIN(M$3-$O$2,$Q$2)/$Q$2))</f>
        <v>2966.94708913006</v>
      </c>
      <c r="N313" s="15" t="n">
        <f aca="false">M313*(1+IF(N$3&lt;=$O$2,$D313,$D313-($D313-$I$292)*MIN(N$3-$O$2,$Q$2)/$Q$2))</f>
        <v>3080.58116264374</v>
      </c>
      <c r="O313" s="15" t="n">
        <f aca="false">SUMPRODUCT(E313:N313,1/(1+$F$292)^$E$3:$N$3)*$E$2</f>
        <v>9125.63378420604</v>
      </c>
      <c r="P313" s="15" t="n">
        <f aca="false">N313*$E$2*(1+$I$292)/($F$292-$I$292)/(1+$F$292)^$N$3</f>
        <v>17931.9899434557</v>
      </c>
      <c r="Q313" s="15" t="n">
        <f aca="false">O313+P313</f>
        <v>27057.6237276617</v>
      </c>
      <c r="R313" s="15" t="n">
        <f aca="false">Q313-$G$2+$I$2</f>
        <v>22989.8237276617</v>
      </c>
      <c r="S313" s="42" t="n">
        <f aca="false">R313/$K$2</f>
        <v>176.627410323154</v>
      </c>
      <c r="T313" s="43" t="n">
        <f aca="false">S313-$M$2</f>
        <v>-0.00135427426477008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-0.0188403129577637</v>
      </c>
      <c r="C314" s="25" t="n">
        <f aca="false">IF(T313&gt;0,D313,C313)</f>
        <v>-0.0188388824462891</v>
      </c>
      <c r="D314" s="41" t="n">
        <f aca="false">(B314+C314)/2</f>
        <v>-0.0188395977020264</v>
      </c>
      <c r="E314" s="15" t="n">
        <f aca="false">$C$2*(1+IF(E$3&lt;=$O$2,$D314,$D314-($D314-$I$292)*MIN(E$3-$O$2,$Q$2)/$Q$2))</f>
        <v>3080.84366321564</v>
      </c>
      <c r="F314" s="15" t="n">
        <f aca="false">E314*(1+IF(F$3&lt;=$O$2,$D314,$D314-($D314-$I$292)*MIN(F$3-$O$2,$Q$2)/$Q$2))</f>
        <v>3022.80180801782</v>
      </c>
      <c r="G314" s="15" t="n">
        <f aca="false">F314*(1+IF(G$3&lt;=$O$2,$D314,$D314-($D314-$I$292)*MIN(G$3-$O$2,$Q$2)/$Q$2))</f>
        <v>2965.8534380218</v>
      </c>
      <c r="H314" s="15" t="n">
        <f aca="false">G314*(1+IF(H$3&lt;=$O$2,$D314,$D314-($D314-$I$292)*MIN(H$3-$O$2,$Q$2)/$Q$2))</f>
        <v>2909.9779524063</v>
      </c>
      <c r="I314" s="15" t="n">
        <f aca="false">H314*(1+IF(I$3&lt;=$O$2,$D314,$D314-($D314-$I$292)*MIN(I$3-$O$2,$Q$2)/$Q$2))</f>
        <v>2855.1551384612</v>
      </c>
      <c r="J314" s="15" t="n">
        <f aca="false">I314*(1+IF(J$3&lt;=$O$2,$D314,$D314-($D314-$I$292)*MIN(J$3-$O$2,$Q$2)/$Q$2))</f>
        <v>2833.99364747343</v>
      </c>
      <c r="K314" s="15" t="n">
        <f aca="false">J314*(1+IF(K$3&lt;=$O$2,$D314,$D314-($D314-$I$292)*MIN(K$3-$O$2,$Q$2)/$Q$2))</f>
        <v>2845.37565002762</v>
      </c>
      <c r="L314" s="15" t="n">
        <f aca="false">K314*(1+IF(L$3&lt;=$O$2,$D314,$D314-($D314-$I$292)*MIN(L$3-$O$2,$Q$2)/$Q$2))</f>
        <v>2889.32008944219</v>
      </c>
      <c r="M314" s="15" t="n">
        <f aca="false">L314*(1+IF(M$3&lt;=$O$2,$D314,$D314-($D314-$I$292)*MIN(M$3-$O$2,$Q$2)/$Q$2))</f>
        <v>2966.96213135921</v>
      </c>
      <c r="N314" s="15" t="n">
        <f aca="false">M314*(1+IF(N$3&lt;=$O$2,$D314,$D314-($D314-$I$292)*MIN(N$3-$O$2,$Q$2)/$Q$2))</f>
        <v>3080.59678099026</v>
      </c>
      <c r="O314" s="15" t="n">
        <f aca="false">SUMPRODUCT(E314:N314,1/(1+$F$292)^$E$3:$N$3)*$E$2</f>
        <v>9125.66249195054</v>
      </c>
      <c r="P314" s="15" t="n">
        <f aca="false">N314*$E$2*(1+$I$292)/($F$292-$I$292)/(1+$F$292)^$N$3</f>
        <v>17932.0808574806</v>
      </c>
      <c r="Q314" s="15" t="n">
        <f aca="false">O314+P314</f>
        <v>27057.7433494312</v>
      </c>
      <c r="R314" s="15" t="n">
        <f aca="false">Q314-$G$2+$I$2</f>
        <v>22989.9433494312</v>
      </c>
      <c r="S314" s="42" t="n">
        <f aca="false">R314/$K$2</f>
        <v>176.62832935949</v>
      </c>
      <c r="T314" s="43" t="n">
        <f aca="false">S314-$M$2</f>
        <v>-0.00043523792896849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-0.0188395977020264</v>
      </c>
      <c r="C315" s="25" t="n">
        <f aca="false">IF(T314&gt;0,D314,C314)</f>
        <v>-0.0188388824462891</v>
      </c>
      <c r="D315" s="41" t="n">
        <f aca="false">(B315+C315)/2</f>
        <v>-0.0188392400741577</v>
      </c>
      <c r="E315" s="15" t="n">
        <f aca="false">$C$2*(1+IF(E$3&lt;=$O$2,$D315,$D315-($D315-$I$292)*MIN(E$3-$O$2,$Q$2)/$Q$2))</f>
        <v>3080.84478616715</v>
      </c>
      <c r="F315" s="15" t="n">
        <f aca="false">E315*(1+IF(F$3&lt;=$O$2,$D315,$D315-($D315-$I$292)*MIN(F$3-$O$2,$Q$2)/$Q$2))</f>
        <v>3022.80401160933</v>
      </c>
      <c r="G315" s="15" t="n">
        <f aca="false">F315*(1+IF(G$3&lt;=$O$2,$D315,$D315-($D315-$I$292)*MIN(G$3-$O$2,$Q$2)/$Q$2))</f>
        <v>2965.85668113749</v>
      </c>
      <c r="H315" s="15" t="n">
        <f aca="false">G315*(1+IF(H$3&lt;=$O$2,$D315,$D315-($D315-$I$292)*MIN(H$3-$O$2,$Q$2)/$Q$2))</f>
        <v>2909.982195096</v>
      </c>
      <c r="I315" s="15" t="n">
        <f aca="false">H315*(1+IF(I$3&lt;=$O$2,$D315,$D315-($D315-$I$292)*MIN(I$3-$O$2,$Q$2)/$Q$2))</f>
        <v>2855.16034191106</v>
      </c>
      <c r="J315" s="15" t="n">
        <f aca="false">I315*(1+IF(J$3&lt;=$O$2,$D315,$D315-($D315-$I$292)*MIN(J$3-$O$2,$Q$2)/$Q$2))</f>
        <v>2833.99962922492</v>
      </c>
      <c r="K315" s="15" t="n">
        <f aca="false">J315*(1+IF(K$3&lt;=$O$2,$D315,$D315-($D315-$I$292)*MIN(K$3-$O$2,$Q$2)/$Q$2))</f>
        <v>2845.38226391362</v>
      </c>
      <c r="L315" s="15" t="n">
        <f aca="false">K315*(1+IF(L$3&lt;=$O$2,$D315,$D315-($D315-$I$292)*MIN(L$3-$O$2,$Q$2)/$Q$2))</f>
        <v>2889.3272125093</v>
      </c>
      <c r="M315" s="15" t="n">
        <f aca="false">L315*(1+IF(M$3&lt;=$O$2,$D315,$D315-($D315-$I$292)*MIN(M$3-$O$2,$Q$2)/$Q$2))</f>
        <v>2966.96965249874</v>
      </c>
      <c r="N315" s="15" t="n">
        <f aca="false">M315*(1+IF(N$3&lt;=$O$2,$D315,$D315-($D315-$I$292)*MIN(N$3-$O$2,$Q$2)/$Q$2))</f>
        <v>3080.60459018944</v>
      </c>
      <c r="O315" s="15" t="n">
        <f aca="false">SUMPRODUCT(E315:N315,1/(1+$F$292)^$E$3:$N$3)*$E$2</f>
        <v>9125.67684585756</v>
      </c>
      <c r="P315" s="15" t="n">
        <f aca="false">N315*$E$2*(1+$I$292)/($F$292-$I$292)/(1+$F$292)^$N$3</f>
        <v>17932.126314644</v>
      </c>
      <c r="Q315" s="15" t="n">
        <f aca="false">O315+P315</f>
        <v>27057.8031605015</v>
      </c>
      <c r="R315" s="15" t="n">
        <f aca="false">Q315-$G$2+$I$2</f>
        <v>22990.0031605015</v>
      </c>
      <c r="S315" s="42" t="n">
        <f aca="false">R315/$K$2</f>
        <v>176.628788879084</v>
      </c>
      <c r="T315" s="43" t="n">
        <f aca="false">S315-$M$2</f>
        <v>2.42816650484201E-005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-0.0188395977020264</v>
      </c>
      <c r="C316" s="25" t="n">
        <f aca="false">IF(T315&gt;0,D315,C315)</f>
        <v>-0.0188392400741577</v>
      </c>
      <c r="D316" s="41" t="n">
        <f aca="false">(B316+C316)/2</f>
        <v>-0.018839418888092</v>
      </c>
      <c r="E316" s="15" t="n">
        <f aca="false">$C$2*(1+IF(E$3&lt;=$O$2,$D316,$D316-($D316-$I$292)*MIN(E$3-$O$2,$Q$2)/$Q$2))</f>
        <v>3080.84422469139</v>
      </c>
      <c r="F316" s="15" t="n">
        <f aca="false">E316*(1+IF(F$3&lt;=$O$2,$D316,$D316-($D316-$I$292)*MIN(F$3-$O$2,$Q$2)/$Q$2))</f>
        <v>3022.80290981347</v>
      </c>
      <c r="G316" s="15" t="n">
        <f aca="false">F316*(1+IF(G$3&lt;=$O$2,$D316,$D316-($D316-$I$292)*MIN(G$3-$O$2,$Q$2)/$Q$2))</f>
        <v>2965.85505957935</v>
      </c>
      <c r="H316" s="15" t="n">
        <f aca="false">G316*(1+IF(H$3&lt;=$O$2,$D316,$D316-($D316-$I$292)*MIN(H$3-$O$2,$Q$2)/$Q$2))</f>
        <v>2909.98007375057</v>
      </c>
      <c r="I316" s="15" t="n">
        <f aca="false">H316*(1+IF(I$3&lt;=$O$2,$D316,$D316-($D316-$I$292)*MIN(I$3-$O$2,$Q$2)/$Q$2))</f>
        <v>2855.15774018518</v>
      </c>
      <c r="J316" s="15" t="n">
        <f aca="false">I316*(1+IF(J$3&lt;=$O$2,$D316,$D316-($D316-$I$292)*MIN(J$3-$O$2,$Q$2)/$Q$2))</f>
        <v>2833.99663834786</v>
      </c>
      <c r="K316" s="15" t="n">
        <f aca="false">J316*(1+IF(K$3&lt;=$O$2,$D316,$D316-($D316-$I$292)*MIN(K$3-$O$2,$Q$2)/$Q$2))</f>
        <v>2845.37895696898</v>
      </c>
      <c r="L316" s="15" t="n">
        <f aca="false">K316*(1+IF(L$3&lt;=$O$2,$D316,$D316-($D316-$I$292)*MIN(L$3-$O$2,$Q$2)/$Q$2))</f>
        <v>2889.32365097385</v>
      </c>
      <c r="M316" s="15" t="n">
        <f aca="false">L316*(1+IF(M$3&lt;=$O$2,$D316,$D316-($D316-$I$292)*MIN(M$3-$O$2,$Q$2)/$Q$2))</f>
        <v>2966.96589192689</v>
      </c>
      <c r="N316" s="15" t="n">
        <f aca="false">M316*(1+IF(N$3&lt;=$O$2,$D316,$D316-($D316-$I$292)*MIN(N$3-$O$2,$Q$2)/$Q$2))</f>
        <v>3080.60068558769</v>
      </c>
      <c r="O316" s="15" t="n">
        <f aca="false">SUMPRODUCT(E316:N316,1/(1+$F$292)^$E$3:$N$3)*$E$2</f>
        <v>9125.66966890115</v>
      </c>
      <c r="P316" s="15" t="n">
        <f aca="false">N316*$E$2*(1+$I$292)/($F$292-$I$292)/(1+$F$292)^$N$3</f>
        <v>17932.1035860497</v>
      </c>
      <c r="Q316" s="15" t="n">
        <f aca="false">O316+P316</f>
        <v>27057.7732549509</v>
      </c>
      <c r="R316" s="15" t="n">
        <f aca="false">Q316-$G$2+$I$2</f>
        <v>22989.9732549509</v>
      </c>
      <c r="S316" s="42" t="n">
        <f aca="false">R316/$K$2</f>
        <v>176.628559119168</v>
      </c>
      <c r="T316" s="43" t="n">
        <f aca="false">S316-$M$2</f>
        <v>-0.000205478250848046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-0.018839418888092</v>
      </c>
      <c r="C317" s="25" t="n">
        <f aca="false">IF(T316&gt;0,D316,C316)</f>
        <v>-0.0188392400741577</v>
      </c>
      <c r="D317" s="41" t="n">
        <f aca="false">(B317+C317)/2</f>
        <v>-0.0188393294811249</v>
      </c>
      <c r="E317" s="15" t="n">
        <f aca="false">$C$2*(1+IF(E$3&lt;=$O$2,$D317,$D317-($D317-$I$292)*MIN(E$3-$O$2,$Q$2)/$Q$2))</f>
        <v>3080.84450542927</v>
      </c>
      <c r="F317" s="15" t="n">
        <f aca="false">E317*(1+IF(F$3&lt;=$O$2,$D317,$D317-($D317-$I$292)*MIN(F$3-$O$2,$Q$2)/$Q$2))</f>
        <v>3022.80346071137</v>
      </c>
      <c r="G317" s="15" t="n">
        <f aca="false">F317*(1+IF(G$3&lt;=$O$2,$D317,$D317-($D317-$I$292)*MIN(G$3-$O$2,$Q$2)/$Q$2))</f>
        <v>2965.85587035835</v>
      </c>
      <c r="H317" s="15" t="n">
        <f aca="false">G317*(1+IF(H$3&lt;=$O$2,$D317,$D317-($D317-$I$292)*MIN(H$3-$O$2,$Q$2)/$Q$2))</f>
        <v>2909.98113442314</v>
      </c>
      <c r="I317" s="15" t="n">
        <f aca="false">H317*(1+IF(I$3&lt;=$O$2,$D317,$D317-($D317-$I$292)*MIN(I$3-$O$2,$Q$2)/$Q$2))</f>
        <v>2855.15904104788</v>
      </c>
      <c r="J317" s="15" t="n">
        <f aca="false">I317*(1+IF(J$3&lt;=$O$2,$D317,$D317-($D317-$I$292)*MIN(J$3-$O$2,$Q$2)/$Q$2))</f>
        <v>2833.99813378606</v>
      </c>
      <c r="K317" s="15" t="n">
        <f aca="false">J317*(1+IF(K$3&lt;=$O$2,$D317,$D317-($D317-$I$292)*MIN(K$3-$O$2,$Q$2)/$Q$2))</f>
        <v>2845.38061044089</v>
      </c>
      <c r="L317" s="15" t="n">
        <f aca="false">K317*(1+IF(L$3&lt;=$O$2,$D317,$D317-($D317-$I$292)*MIN(L$3-$O$2,$Q$2)/$Q$2))</f>
        <v>2889.3254317411</v>
      </c>
      <c r="M317" s="15" t="n">
        <f aca="false">L317*(1+IF(M$3&lt;=$O$2,$D317,$D317-($D317-$I$292)*MIN(M$3-$O$2,$Q$2)/$Q$2))</f>
        <v>2966.96777221229</v>
      </c>
      <c r="N317" s="15" t="n">
        <f aca="false">M317*(1+IF(N$3&lt;=$O$2,$D317,$D317-($D317-$I$292)*MIN(N$3-$O$2,$Q$2)/$Q$2))</f>
        <v>3080.60263788803</v>
      </c>
      <c r="O317" s="15" t="n">
        <f aca="false">SUMPRODUCT(E317:N317,1/(1+$F$292)^$E$3:$N$3)*$E$2</f>
        <v>9125.67325737863</v>
      </c>
      <c r="P317" s="15" t="n">
        <f aca="false">N317*$E$2*(1+$I$292)/($F$292-$I$292)/(1+$F$292)^$N$3</f>
        <v>17932.1149503437</v>
      </c>
      <c r="Q317" s="15" t="n">
        <f aca="false">O317+P317</f>
        <v>27057.7882077223</v>
      </c>
      <c r="R317" s="15" t="n">
        <f aca="false">Q317-$G$2+$I$2</f>
        <v>22989.9882077223</v>
      </c>
      <c r="S317" s="42" t="n">
        <f aca="false">R317/$K$2</f>
        <v>176.628673999096</v>
      </c>
      <c r="T317" s="43" t="n">
        <f aca="false">S317-$M$2</f>
        <v>-9.05983225720775E-005</v>
      </c>
    </row>
    <row r="319" customFormat="false" ht="15" hidden="false" customHeight="false" outlineLevel="0" collapsed="false">
      <c r="A319" s="38" t="s">
        <v>185</v>
      </c>
      <c r="E319" s="5" t="s">
        <v>11</v>
      </c>
      <c r="F319" s="12" t="n">
        <f aca="false">Sensitivity!$B$12</f>
        <v>0.0819413943493295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155</v>
      </c>
      <c r="B320" s="28" t="s">
        <v>156</v>
      </c>
      <c r="C320" s="28" t="s">
        <v>157</v>
      </c>
      <c r="D320" s="28" t="s">
        <v>158</v>
      </c>
      <c r="E320" s="28" t="s">
        <v>159</v>
      </c>
      <c r="F320" s="28" t="s">
        <v>160</v>
      </c>
      <c r="G320" s="28" t="s">
        <v>161</v>
      </c>
      <c r="H320" s="28" t="s">
        <v>162</v>
      </c>
      <c r="I320" s="28" t="s">
        <v>163</v>
      </c>
      <c r="J320" s="28" t="s">
        <v>164</v>
      </c>
      <c r="K320" s="28" t="s">
        <v>165</v>
      </c>
      <c r="L320" s="28" t="s">
        <v>166</v>
      </c>
      <c r="M320" s="28" t="s">
        <v>167</v>
      </c>
      <c r="N320" s="28" t="s">
        <v>168</v>
      </c>
      <c r="O320" s="28" t="s">
        <v>169</v>
      </c>
      <c r="P320" s="28" t="s">
        <v>170</v>
      </c>
      <c r="Q320" s="28" t="s">
        <v>171</v>
      </c>
      <c r="R320" s="28" t="s">
        <v>172</v>
      </c>
      <c r="S320" s="28" t="s">
        <v>173</v>
      </c>
      <c r="T320" s="28" t="s">
        <v>174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3925</v>
      </c>
      <c r="F321" s="15" t="n">
        <f aca="false">E321*(1+IF(F$3&lt;=$O$2,$D321,$D321-($D321-$I$319)*MIN(F$3-$O$2,$Q$2)/$Q$2))</f>
        <v>4906.25</v>
      </c>
      <c r="G321" s="15" t="n">
        <f aca="false">F321*(1+IF(G$3&lt;=$O$2,$D321,$D321-($D321-$I$319)*MIN(G$3-$O$2,$Q$2)/$Q$2))</f>
        <v>6132.8125</v>
      </c>
      <c r="H321" s="15" t="n">
        <f aca="false">G321*(1+IF(H$3&lt;=$O$2,$D321,$D321-($D321-$I$319)*MIN(H$3-$O$2,$Q$2)/$Q$2))</f>
        <v>7666.015625</v>
      </c>
      <c r="I321" s="15" t="n">
        <f aca="false">H321*(1+IF(I$3&lt;=$O$2,$D321,$D321-($D321-$I$319)*MIN(I$3-$O$2,$Q$2)/$Q$2))</f>
        <v>9582.51953125</v>
      </c>
      <c r="J321" s="15" t="n">
        <f aca="false">I321*(1+IF(J$3&lt;=$O$2,$D321,$D321-($D321-$I$319)*MIN(J$3-$O$2,$Q$2)/$Q$2))</f>
        <v>11534.0954589844</v>
      </c>
      <c r="K321" s="15" t="n">
        <f aca="false">J321*(1+IF(K$3&lt;=$O$2,$D321,$D321-($D321-$I$319)*MIN(K$3-$O$2,$Q$2)/$Q$2))</f>
        <v>13348.6393565918</v>
      </c>
      <c r="L321" s="15" t="n">
        <f aca="false">K321*(1+IF(L$3&lt;=$O$2,$D321,$D321-($D321-$I$319)*MIN(L$3-$O$2,$Q$2)/$Q$2))</f>
        <v>14830.0713523864</v>
      </c>
      <c r="M321" s="15" t="n">
        <f aca="false">L321*(1+IF(M$3&lt;=$O$2,$D321,$D321-($D321-$I$319)*MIN(M$3-$O$2,$Q$2)/$Q$2))</f>
        <v>15788.6871646046</v>
      </c>
      <c r="N321" s="15" t="n">
        <f aca="false">M321*(1+IF(N$3&lt;=$O$2,$D321,$D321-($D321-$I$319)*MIN(N$3-$O$2,$Q$2)/$Q$2))</f>
        <v>16077.6201397169</v>
      </c>
      <c r="O321" s="15" t="n">
        <f aca="false">SUMPRODUCT(E321:N321,1/(1+$F$319)^$E$3:$N$3)*$E$2</f>
        <v>28452.3238695572</v>
      </c>
      <c r="P321" s="15" t="n">
        <f aca="false">N321*$E$2*(1+$I$319)/($F$319-$I$319)/(1+$F$319)^$N$3</f>
        <v>53206.7731162932</v>
      </c>
      <c r="Q321" s="15" t="n">
        <f aca="false">O321+P321</f>
        <v>81659.0969858504</v>
      </c>
      <c r="R321" s="15" t="n">
        <f aca="false">Q321-$G$2+$I$2</f>
        <v>77591.2969858504</v>
      </c>
      <c r="S321" s="42" t="n">
        <f aca="false">R321/$K$2</f>
        <v>596.122441501616</v>
      </c>
      <c r="T321" s="43" t="n">
        <f aca="false">S321-$M$2</f>
        <v>419.493676904198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2747.5</v>
      </c>
      <c r="F322" s="15" t="n">
        <f aca="false">E322*(1+IF(F$3&lt;=$O$2,$D322,$D322-($D322-$I$319)*MIN(F$3-$O$2,$Q$2)/$Q$2))</f>
        <v>2404.0625</v>
      </c>
      <c r="G322" s="15" t="n">
        <f aca="false">F322*(1+IF(G$3&lt;=$O$2,$D322,$D322-($D322-$I$319)*MIN(G$3-$O$2,$Q$2)/$Q$2))</f>
        <v>2103.5546875</v>
      </c>
      <c r="H322" s="15" t="n">
        <f aca="false">G322*(1+IF(H$3&lt;=$O$2,$D322,$D322-($D322-$I$319)*MIN(H$3-$O$2,$Q$2)/$Q$2))</f>
        <v>1840.6103515625</v>
      </c>
      <c r="I322" s="15" t="n">
        <f aca="false">H322*(1+IF(I$3&lt;=$O$2,$D322,$D322-($D322-$I$319)*MIN(I$3-$O$2,$Q$2)/$Q$2))</f>
        <v>1610.53405761719</v>
      </c>
      <c r="J322" s="15" t="n">
        <f aca="false">I322*(1+IF(J$3&lt;=$O$2,$D322,$D322-($D322-$I$319)*MIN(J$3-$O$2,$Q$2)/$Q$2))</f>
        <v>1455.37520650635</v>
      </c>
      <c r="K322" s="15" t="n">
        <f aca="false">J322*(1+IF(K$3&lt;=$O$2,$D322,$D322-($D322-$I$319)*MIN(K$3-$O$2,$Q$2)/$Q$2))</f>
        <v>1356.87541253</v>
      </c>
      <c r="L322" s="15" t="n">
        <f aca="false">K322*(1+IF(L$3&lt;=$O$2,$D322,$D322-($D322-$I$319)*MIN(L$3-$O$2,$Q$2)/$Q$2))</f>
        <v>1303.93013393308</v>
      </c>
      <c r="M322" s="15" t="n">
        <f aca="false">L322*(1+IF(M$3&lt;=$O$2,$D322,$D322-($D322-$I$319)*MIN(M$3-$O$2,$Q$2)/$Q$2))</f>
        <v>1290.42141774553</v>
      </c>
      <c r="N322" s="15" t="n">
        <f aca="false">M322*(1+IF(N$3&lt;=$O$2,$D322,$D322-($D322-$I$319)*MIN(N$3-$O$2,$Q$2)/$Q$2))</f>
        <v>1314.03612969027</v>
      </c>
      <c r="O322" s="15" t="n">
        <f aca="false">SUMPRODUCT(E322:N322,1/(1+$F$319)^$E$3:$N$3)*$E$2</f>
        <v>5591.84607592309</v>
      </c>
      <c r="P322" s="15" t="n">
        <f aca="false">N322*$E$2*(1+$I$319)/($F$319-$I$319)/(1+$F$319)^$N$3</f>
        <v>4348.63005914218</v>
      </c>
      <c r="Q322" s="15" t="n">
        <f aca="false">O322+P322</f>
        <v>9940.47613506527</v>
      </c>
      <c r="R322" s="15" t="n">
        <f aca="false">Q322-$G$2+$I$2</f>
        <v>5872.67613506527</v>
      </c>
      <c r="S322" s="42" t="n">
        <f aca="false">R322/$K$2</f>
        <v>45.118900853298</v>
      </c>
      <c r="T322" s="43" t="n">
        <f aca="false">S322-$M$2</f>
        <v>-131.509863744121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3336.25</v>
      </c>
      <c r="F323" s="15" t="n">
        <f aca="false">E323*(1+IF(F$3&lt;=$O$2,$D323,$D323-($D323-$I$319)*MIN(F$3-$O$2,$Q$2)/$Q$2))</f>
        <v>3544.765625</v>
      </c>
      <c r="G323" s="15" t="n">
        <f aca="false">F323*(1+IF(G$3&lt;=$O$2,$D323,$D323-($D323-$I$319)*MIN(G$3-$O$2,$Q$2)/$Q$2))</f>
        <v>3766.3134765625</v>
      </c>
      <c r="H323" s="15" t="n">
        <f aca="false">G323*(1+IF(H$3&lt;=$O$2,$D323,$D323-($D323-$I$319)*MIN(H$3-$O$2,$Q$2)/$Q$2))</f>
        <v>4001.70806884766</v>
      </c>
      <c r="I323" s="15" t="n">
        <f aca="false">H323*(1+IF(I$3&lt;=$O$2,$D323,$D323-($D323-$I$319)*MIN(I$3-$O$2,$Q$2)/$Q$2))</f>
        <v>4251.81482315064</v>
      </c>
      <c r="J323" s="15" t="n">
        <f aca="false">I323*(1+IF(J$3&lt;=$O$2,$D323,$D323-($D323-$I$319)*MIN(J$3-$O$2,$Q$2)/$Q$2))</f>
        <v>4479.9672065609</v>
      </c>
      <c r="K323" s="15" t="n">
        <f aca="false">J323*(1+IF(K$3&lt;=$O$2,$D323,$D323-($D323-$I$319)*MIN(K$3-$O$2,$Q$2)/$Q$2))</f>
        <v>4680.75933675896</v>
      </c>
      <c r="L323" s="15" t="n">
        <f aca="false">K323*(1+IF(L$3&lt;=$O$2,$D323,$D323-($D323-$I$319)*MIN(L$3-$O$2,$Q$2)/$Q$2))</f>
        <v>4849.17305769555</v>
      </c>
      <c r="M323" s="15" t="n">
        <f aca="false">L323*(1+IF(M$3&lt;=$O$2,$D323,$D323-($D323-$I$319)*MIN(M$3-$O$2,$Q$2)/$Q$2))</f>
        <v>4980.7796144814</v>
      </c>
      <c r="N323" s="15" t="n">
        <f aca="false">M323*(1+IF(N$3&lt;=$O$2,$D323,$D323-($D323-$I$319)*MIN(N$3-$O$2,$Q$2)/$Q$2))</f>
        <v>5071.92788142641</v>
      </c>
      <c r="O323" s="15" t="n">
        <f aca="false">SUMPRODUCT(E323:N323,1/(1+$F$319)^$E$3:$N$3)*$E$2</f>
        <v>12595.2948040511</v>
      </c>
      <c r="P323" s="15" t="n">
        <f aca="false">N323*$E$2*(1+$I$319)/($F$319-$I$319)/(1+$F$319)^$N$3</f>
        <v>16784.8794600274</v>
      </c>
      <c r="Q323" s="15" t="n">
        <f aca="false">O323+P323</f>
        <v>29380.1742640786</v>
      </c>
      <c r="R323" s="15" t="n">
        <f aca="false">Q323-$G$2+$I$2</f>
        <v>25312.3742640786</v>
      </c>
      <c r="S323" s="42" t="n">
        <f aca="false">R323/$K$2</f>
        <v>194.471222065754</v>
      </c>
      <c r="T323" s="43" t="n">
        <f aca="false">S323-$M$2</f>
        <v>17.8424574683355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41" t="n">
        <f aca="false">(B324+C324)/2</f>
        <v>-0.03125</v>
      </c>
      <c r="E324" s="15" t="n">
        <f aca="false">$C$2*(1+IF(E$3&lt;=$O$2,$D324,$D324-($D324-$I$319)*MIN(E$3-$O$2,$Q$2)/$Q$2))</f>
        <v>3041.875</v>
      </c>
      <c r="F324" s="15" t="n">
        <f aca="false">E324*(1+IF(F$3&lt;=$O$2,$D324,$D324-($D324-$I$319)*MIN(F$3-$O$2,$Q$2)/$Q$2))</f>
        <v>2946.81640625</v>
      </c>
      <c r="G324" s="15" t="n">
        <f aca="false">F324*(1+IF(G$3&lt;=$O$2,$D324,$D324-($D324-$I$319)*MIN(G$3-$O$2,$Q$2)/$Q$2))</f>
        <v>2854.72839355469</v>
      </c>
      <c r="H324" s="15" t="n">
        <f aca="false">G324*(1+IF(H$3&lt;=$O$2,$D324,$D324-($D324-$I$319)*MIN(H$3-$O$2,$Q$2)/$Q$2))</f>
        <v>2765.5181312561</v>
      </c>
      <c r="I324" s="15" t="n">
        <f aca="false">H324*(1+IF(I$3&lt;=$O$2,$D324,$D324-($D324-$I$319)*MIN(I$3-$O$2,$Q$2)/$Q$2))</f>
        <v>2679.09568965435</v>
      </c>
      <c r="J324" s="15" t="n">
        <f aca="false">I324*(1+IF(J$3&lt;=$O$2,$D324,$D324-($D324-$I$319)*MIN(J$3-$O$2,$Q$2)/$Q$2))</f>
        <v>2621.92378763713</v>
      </c>
      <c r="K324" s="15" t="n">
        <f aca="false">J324*(1+IF(K$3&lt;=$O$2,$D324,$D324-($D324-$I$319)*MIN(K$3-$O$2,$Q$2)/$Q$2))</f>
        <v>2591.95519874443</v>
      </c>
      <c r="L324" s="15" t="n">
        <f aca="false">K324*(1+IF(L$3&lt;=$O$2,$D324,$D324-($D324-$I$319)*MIN(L$3-$O$2,$Q$2)/$Q$2))</f>
        <v>2588.01542684234</v>
      </c>
      <c r="M324" s="15" t="n">
        <f aca="false">L324*(1+IF(M$3&lt;=$O$2,$D324,$D324-($D324-$I$319)*MIN(M$3-$O$2,$Q$2)/$Q$2))</f>
        <v>2609.72887627355</v>
      </c>
      <c r="N324" s="15" t="n">
        <f aca="false">M324*(1+IF(N$3&lt;=$O$2,$D324,$D324-($D324-$I$319)*MIN(N$3-$O$2,$Q$2)/$Q$2))</f>
        <v>2657.48691470936</v>
      </c>
      <c r="O324" s="15" t="n">
        <f aca="false">SUMPRODUCT(E324:N324,1/(1+$F$319)^$E$3:$N$3)*$E$2</f>
        <v>8368.60851674735</v>
      </c>
      <c r="P324" s="15" t="n">
        <f aca="false">N324*$E$2*(1+$I$319)/($F$319-$I$319)/(1+$F$319)^$N$3</f>
        <v>8794.60405841811</v>
      </c>
      <c r="Q324" s="15" t="n">
        <f aca="false">O324+P324</f>
        <v>17163.2125751655</v>
      </c>
      <c r="R324" s="15" t="n">
        <f aca="false">Q324-$G$2+$I$2</f>
        <v>13095.4125751655</v>
      </c>
      <c r="S324" s="42" t="n">
        <f aca="false">R324/$K$2</f>
        <v>100.610115051978</v>
      </c>
      <c r="T324" s="43" t="n">
        <f aca="false">S324-$M$2</f>
        <v>-76.0186495454406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41" t="n">
        <f aca="false">(B325+C325)/2</f>
        <v>0.015625</v>
      </c>
      <c r="E325" s="15" t="n">
        <f aca="false">$C$2*(1+IF(E$3&lt;=$O$2,$D325,$D325-($D325-$I$319)*MIN(E$3-$O$2,$Q$2)/$Q$2))</f>
        <v>3189.0625</v>
      </c>
      <c r="F325" s="15" t="n">
        <f aca="false">E325*(1+IF(F$3&lt;=$O$2,$D325,$D325-($D325-$I$319)*MIN(F$3-$O$2,$Q$2)/$Q$2))</f>
        <v>3238.8916015625</v>
      </c>
      <c r="G325" s="15" t="n">
        <f aca="false">F325*(1+IF(G$3&lt;=$O$2,$D325,$D325-($D325-$I$319)*MIN(G$3-$O$2,$Q$2)/$Q$2))</f>
        <v>3289.49928283691</v>
      </c>
      <c r="H325" s="15" t="n">
        <f aca="false">G325*(1+IF(H$3&lt;=$O$2,$D325,$D325-($D325-$I$319)*MIN(H$3-$O$2,$Q$2)/$Q$2))</f>
        <v>3340.89770913124</v>
      </c>
      <c r="I325" s="15" t="n">
        <f aca="false">H325*(1+IF(I$3&lt;=$O$2,$D325,$D325-($D325-$I$319)*MIN(I$3-$O$2,$Q$2)/$Q$2))</f>
        <v>3393.09923583642</v>
      </c>
      <c r="J325" s="15" t="n">
        <f aca="false">I325*(1+IF(J$3&lt;=$O$2,$D325,$D325-($D325-$I$319)*MIN(J$3-$O$2,$Q$2)/$Q$2))</f>
        <v>3447.93171948753</v>
      </c>
      <c r="K325" s="15" t="n">
        <f aca="false">J325*(1+IF(K$3&lt;=$O$2,$D325,$D325-($D325-$I$319)*MIN(K$3-$O$2,$Q$2)/$Q$2))</f>
        <v>3505.49493954438</v>
      </c>
      <c r="L325" s="15" t="n">
        <f aca="false">K325*(1+IF(L$3&lt;=$O$2,$D325,$D325-($D325-$I$319)*MIN(L$3-$O$2,$Q$2)/$Q$2))</f>
        <v>3565.89461735273</v>
      </c>
      <c r="M325" s="15" t="n">
        <f aca="false">L325*(1+IF(M$3&lt;=$O$2,$D325,$D325-($D325-$I$319)*MIN(M$3-$O$2,$Q$2)/$Q$2))</f>
        <v>3629.24273523</v>
      </c>
      <c r="N325" s="15" t="n">
        <f aca="false">M325*(1+IF(N$3&lt;=$O$2,$D325,$D325-($D325-$I$319)*MIN(N$3-$O$2,$Q$2)/$Q$2))</f>
        <v>3695.65787728471</v>
      </c>
      <c r="O325" s="15" t="n">
        <f aca="false">SUMPRODUCT(E325:N325,1/(1+$F$319)^$E$3:$N$3)*$E$2</f>
        <v>10262.8085383895</v>
      </c>
      <c r="P325" s="15" t="n">
        <f aca="false">N325*$E$2*(1+$I$319)/($F$319-$I$319)/(1+$F$319)^$N$3</f>
        <v>12230.2945637072</v>
      </c>
      <c r="Q325" s="15" t="n">
        <f aca="false">O325+P325</f>
        <v>22493.1031020967</v>
      </c>
      <c r="R325" s="15" t="n">
        <f aca="false">Q325-$G$2+$I$2</f>
        <v>18425.3031020967</v>
      </c>
      <c r="S325" s="42" t="n">
        <f aca="false">R325/$K$2</f>
        <v>141.558874478309</v>
      </c>
      <c r="T325" s="43" t="n">
        <f aca="false">S325-$M$2</f>
        <v>-35.0698901191097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0.015625</v>
      </c>
      <c r="C326" s="25" t="n">
        <f aca="false">IF(T325&gt;0,D325,C325)</f>
        <v>0.0625</v>
      </c>
      <c r="D326" s="41" t="n">
        <f aca="false">(B326+C326)/2</f>
        <v>0.0390625</v>
      </c>
      <c r="E326" s="15" t="n">
        <f aca="false">$C$2*(1+IF(E$3&lt;=$O$2,$D326,$D326-($D326-$I$319)*MIN(E$3-$O$2,$Q$2)/$Q$2))</f>
        <v>3262.65625</v>
      </c>
      <c r="F326" s="15" t="n">
        <f aca="false">E326*(1+IF(F$3&lt;=$O$2,$D326,$D326-($D326-$I$319)*MIN(F$3-$O$2,$Q$2)/$Q$2))</f>
        <v>3390.10375976563</v>
      </c>
      <c r="G326" s="15" t="n">
        <f aca="false">F326*(1+IF(G$3&lt;=$O$2,$D326,$D326-($D326-$I$319)*MIN(G$3-$O$2,$Q$2)/$Q$2))</f>
        <v>3522.52968788147</v>
      </c>
      <c r="H326" s="15" t="n">
        <f aca="false">G326*(1+IF(H$3&lt;=$O$2,$D326,$D326-($D326-$I$319)*MIN(H$3-$O$2,$Q$2)/$Q$2))</f>
        <v>3660.12850381434</v>
      </c>
      <c r="I326" s="15" t="n">
        <f aca="false">H326*(1+IF(I$3&lt;=$O$2,$D326,$D326-($D326-$I$319)*MIN(I$3-$O$2,$Q$2)/$Q$2))</f>
        <v>3803.10227349459</v>
      </c>
      <c r="J326" s="15" t="n">
        <f aca="false">I326*(1+IF(J$3&lt;=$O$2,$D326,$D326-($D326-$I$319)*MIN(J$3-$O$2,$Q$2)/$Q$2))</f>
        <v>3935.86857386228</v>
      </c>
      <c r="K326" s="15" t="n">
        <f aca="false">J326*(1+IF(K$3&lt;=$O$2,$D326,$D326-($D326-$I$319)*MIN(K$3-$O$2,$Q$2)/$Q$2))</f>
        <v>4056.92605152285</v>
      </c>
      <c r="L326" s="15" t="n">
        <f aca="false">K326*(1+IF(L$3&lt;=$O$2,$D326,$D326-($D326-$I$319)*MIN(L$3-$O$2,$Q$2)/$Q$2))</f>
        <v>4164.86056912362</v>
      </c>
      <c r="M326" s="15" t="n">
        <f aca="false">L326*(1+IF(M$3&lt;=$O$2,$D326,$D326-($D326-$I$319)*MIN(M$3-$O$2,$Q$2)/$Q$2))</f>
        <v>4258.37210105187</v>
      </c>
      <c r="N326" s="15" t="n">
        <f aca="false">M326*(1+IF(N$3&lt;=$O$2,$D326,$D326-($D326-$I$319)*MIN(N$3-$O$2,$Q$2)/$Q$2))</f>
        <v>4336.30031050112</v>
      </c>
      <c r="O326" s="15" t="n">
        <f aca="false">SUMPRODUCT(E326:N326,1/(1+$F$319)^$E$3:$N$3)*$E$2</f>
        <v>11368.7769470961</v>
      </c>
      <c r="P326" s="15" t="n">
        <f aca="false">N326*$E$2*(1+$I$319)/($F$319-$I$319)/(1+$F$319)^$N$3</f>
        <v>14350.4165902633</v>
      </c>
      <c r="Q326" s="15" t="n">
        <f aca="false">O326+P326</f>
        <v>25719.1935373594</v>
      </c>
      <c r="R326" s="15" t="n">
        <f aca="false">Q326-$G$2+$I$2</f>
        <v>21651.3935373594</v>
      </c>
      <c r="S326" s="42" t="n">
        <f aca="false">R326/$K$2</f>
        <v>166.344449426547</v>
      </c>
      <c r="T326" s="43" t="n">
        <f aca="false">S326-$M$2</f>
        <v>-10.2843151708715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0.0390625</v>
      </c>
      <c r="C327" s="25" t="n">
        <f aca="false">IF(T326&gt;0,D326,C326)</f>
        <v>0.0625</v>
      </c>
      <c r="D327" s="41" t="n">
        <f aca="false">(B327+C327)/2</f>
        <v>0.05078125</v>
      </c>
      <c r="E327" s="15" t="n">
        <f aca="false">$C$2*(1+IF(E$3&lt;=$O$2,$D327,$D327-($D327-$I$319)*MIN(E$3-$O$2,$Q$2)/$Q$2))</f>
        <v>3299.453125</v>
      </c>
      <c r="F327" s="15" t="n">
        <f aca="false">E327*(1+IF(F$3&lt;=$O$2,$D327,$D327-($D327-$I$319)*MIN(F$3-$O$2,$Q$2)/$Q$2))</f>
        <v>3467.00347900391</v>
      </c>
      <c r="G327" s="15" t="n">
        <f aca="false">F327*(1+IF(G$3&lt;=$O$2,$D327,$D327-($D327-$I$319)*MIN(G$3-$O$2,$Q$2)/$Q$2))</f>
        <v>3643.06224942207</v>
      </c>
      <c r="H327" s="15" t="n">
        <f aca="false">G327*(1+IF(H$3&lt;=$O$2,$D327,$D327-($D327-$I$319)*MIN(H$3-$O$2,$Q$2)/$Q$2))</f>
        <v>3828.06150427554</v>
      </c>
      <c r="I327" s="15" t="n">
        <f aca="false">H327*(1+IF(I$3&lt;=$O$2,$D327,$D327-($D327-$I$319)*MIN(I$3-$O$2,$Q$2)/$Q$2))</f>
        <v>4022.45525253953</v>
      </c>
      <c r="J327" s="15" t="n">
        <f aca="false">I327*(1+IF(J$3&lt;=$O$2,$D327,$D327-($D327-$I$319)*MIN(J$3-$O$2,$Q$2)/$Q$2))</f>
        <v>4200.58968339824</v>
      </c>
      <c r="K327" s="15" t="n">
        <f aca="false">J327*(1+IF(K$3&lt;=$O$2,$D327,$D327-($D327-$I$319)*MIN(K$3-$O$2,$Q$2)/$Q$2))</f>
        <v>4359.32471679676</v>
      </c>
      <c r="L327" s="15" t="n">
        <f aca="false">K327*(1+IF(L$3&lt;=$O$2,$D327,$D327-($D327-$I$319)*MIN(L$3-$O$2,$Q$2)/$Q$2))</f>
        <v>4495.73888549712</v>
      </c>
      <c r="M327" s="15" t="n">
        <f aca="false">L327*(1+IF(M$3&lt;=$O$2,$D327,$D327-($D327-$I$319)*MIN(M$3-$O$2,$Q$2)/$Q$2))</f>
        <v>4607.21635083663</v>
      </c>
      <c r="N327" s="15" t="n">
        <f aca="false">M327*(1+IF(N$3&lt;=$O$2,$D327,$D327-($D327-$I$319)*MIN(N$3-$O$2,$Q$2)/$Q$2))</f>
        <v>4691.52841005694</v>
      </c>
      <c r="O327" s="15" t="n">
        <f aca="false">SUMPRODUCT(E327:N327,1/(1+$F$319)^$E$3:$N$3)*$E$2</f>
        <v>11966.2289588786</v>
      </c>
      <c r="P327" s="15" t="n">
        <f aca="false">N327*$E$2*(1+$I$319)/($F$319-$I$319)/(1+$F$319)^$N$3</f>
        <v>15525.9973499373</v>
      </c>
      <c r="Q327" s="15" t="n">
        <f aca="false">O327+P327</f>
        <v>27492.2263088159</v>
      </c>
      <c r="R327" s="15" t="n">
        <f aca="false">Q327-$G$2+$I$2</f>
        <v>23424.4263088159</v>
      </c>
      <c r="S327" s="42" t="n">
        <f aca="false">R327/$K$2</f>
        <v>179.966397578488</v>
      </c>
      <c r="T327" s="43" t="n">
        <f aca="false">S327-$M$2</f>
        <v>3.33763298106888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0.0390625</v>
      </c>
      <c r="C328" s="25" t="n">
        <f aca="false">IF(T327&gt;0,D327,C327)</f>
        <v>0.05078125</v>
      </c>
      <c r="D328" s="41" t="n">
        <f aca="false">(B328+C328)/2</f>
        <v>0.044921875</v>
      </c>
      <c r="E328" s="15" t="n">
        <f aca="false">$C$2*(1+IF(E$3&lt;=$O$2,$D328,$D328-($D328-$I$319)*MIN(E$3-$O$2,$Q$2)/$Q$2))</f>
        <v>3281.0546875</v>
      </c>
      <c r="F328" s="15" t="n">
        <f aca="false">E328*(1+IF(F$3&lt;=$O$2,$D328,$D328-($D328-$I$319)*MIN(F$3-$O$2,$Q$2)/$Q$2))</f>
        <v>3428.44581604004</v>
      </c>
      <c r="G328" s="15" t="n">
        <f aca="false">F328*(1+IF(G$3&lt;=$O$2,$D328,$D328-($D328-$I$319)*MIN(G$3-$O$2,$Q$2)/$Q$2))</f>
        <v>3582.45803043246</v>
      </c>
      <c r="H328" s="15" t="n">
        <f aca="false">G328*(1+IF(H$3&lt;=$O$2,$D328,$D328-($D328-$I$319)*MIN(H$3-$O$2,$Q$2)/$Q$2))</f>
        <v>3743.3887622683</v>
      </c>
      <c r="I328" s="15" t="n">
        <f aca="false">H328*(1+IF(I$3&lt;=$O$2,$D328,$D328-($D328-$I$319)*MIN(I$3-$O$2,$Q$2)/$Q$2))</f>
        <v>3911.54880432332</v>
      </c>
      <c r="J328" s="15" t="n">
        <f aca="false">I328*(1+IF(J$3&lt;=$O$2,$D328,$D328-($D328-$I$319)*MIN(J$3-$O$2,$Q$2)/$Q$2))</f>
        <v>4066.43635810251</v>
      </c>
      <c r="K328" s="15" t="n">
        <f aca="false">J328*(1+IF(K$3&lt;=$O$2,$D328,$D328-($D328-$I$319)*MIN(K$3-$O$2,$Q$2)/$Q$2))</f>
        <v>4205.8058397083</v>
      </c>
      <c r="L328" s="15" t="n">
        <f aca="false">K328*(1+IF(L$3&lt;=$O$2,$D328,$D328-($D328-$I$319)*MIN(L$3-$O$2,$Q$2)/$Q$2))</f>
        <v>4327.55866151056</v>
      </c>
      <c r="M328" s="15" t="n">
        <f aca="false">L328*(1+IF(M$3&lt;=$O$2,$D328,$D328-($D328-$I$319)*MIN(M$3-$O$2,$Q$2)/$Q$2))</f>
        <v>4429.79453016458</v>
      </c>
      <c r="N328" s="15" t="n">
        <f aca="false">M328*(1+IF(N$3&lt;=$O$2,$D328,$D328-($D328-$I$319)*MIN(N$3-$O$2,$Q$2)/$Q$2))</f>
        <v>4510.85977006659</v>
      </c>
      <c r="O328" s="15" t="n">
        <f aca="false">SUMPRODUCT(E328:N328,1/(1+$F$319)^$E$3:$N$3)*$E$2</f>
        <v>11663.6459368263</v>
      </c>
      <c r="P328" s="15" t="n">
        <f aca="false">N328*$E$2*(1+$I$319)/($F$319-$I$319)/(1+$F$319)^$N$3</f>
        <v>14928.0982048114</v>
      </c>
      <c r="Q328" s="15" t="n">
        <f aca="false">O328+P328</f>
        <v>26591.7441416377</v>
      </c>
      <c r="R328" s="15" t="n">
        <f aca="false">Q328-$G$2+$I$2</f>
        <v>22523.9441416377</v>
      </c>
      <c r="S328" s="42" t="n">
        <f aca="false">R328/$K$2</f>
        <v>173.048126472324</v>
      </c>
      <c r="T328" s="43" t="n">
        <f aca="false">S328-$M$2</f>
        <v>-3.58063812509434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0.044921875</v>
      </c>
      <c r="C329" s="25" t="n">
        <f aca="false">IF(T328&gt;0,D328,C328)</f>
        <v>0.05078125</v>
      </c>
      <c r="D329" s="41" t="n">
        <f aca="false">(B329+C329)/2</f>
        <v>0.0478515625</v>
      </c>
      <c r="E329" s="15" t="n">
        <f aca="false">$C$2*(1+IF(E$3&lt;=$O$2,$D329,$D329-($D329-$I$319)*MIN(E$3-$O$2,$Q$2)/$Q$2))</f>
        <v>3290.25390625</v>
      </c>
      <c r="F329" s="15" t="n">
        <f aca="false">E329*(1+IF(F$3&lt;=$O$2,$D329,$D329-($D329-$I$319)*MIN(F$3-$O$2,$Q$2)/$Q$2))</f>
        <v>3447.69769668579</v>
      </c>
      <c r="G329" s="15" t="n">
        <f aca="false">F329*(1+IF(G$3&lt;=$O$2,$D329,$D329-($D329-$I$319)*MIN(G$3-$O$2,$Q$2)/$Q$2))</f>
        <v>3612.67541849986</v>
      </c>
      <c r="H329" s="15" t="n">
        <f aca="false">G329*(1+IF(H$3&lt;=$O$2,$D329,$D329-($D329-$I$319)*MIN(H$3-$O$2,$Q$2)/$Q$2))</f>
        <v>3785.54758208042</v>
      </c>
      <c r="I329" s="15" t="n">
        <f aca="false">H329*(1+IF(I$3&lt;=$O$2,$D329,$D329-($D329-$I$319)*MIN(I$3-$O$2,$Q$2)/$Q$2))</f>
        <v>3966.69194880106</v>
      </c>
      <c r="J329" s="15" t="n">
        <f aca="false">I329*(1+IF(J$3&lt;=$O$2,$D329,$D329-($D329-$I$319)*MIN(J$3-$O$2,$Q$2)/$Q$2))</f>
        <v>4133.05996749871</v>
      </c>
      <c r="K329" s="15" t="n">
        <f aca="false">J329*(1+IF(K$3&lt;=$O$2,$D329,$D329-($D329-$I$319)*MIN(K$3-$O$2,$Q$2)/$Q$2))</f>
        <v>4281.97799287141</v>
      </c>
      <c r="L329" s="15" t="n">
        <f aca="false">K329*(1+IF(L$3&lt;=$O$2,$D329,$D329-($D329-$I$319)*MIN(L$3-$O$2,$Q$2)/$Q$2))</f>
        <v>4410.95384625294</v>
      </c>
      <c r="M329" s="15" t="n">
        <f aca="false">L329*(1+IF(M$3&lt;=$O$2,$D329,$D329-($D329-$I$319)*MIN(M$3-$O$2,$Q$2)/$Q$2))</f>
        <v>4517.74441729381</v>
      </c>
      <c r="N329" s="15" t="n">
        <f aca="false">M329*(1+IF(N$3&lt;=$O$2,$D329,$D329-($D329-$I$319)*MIN(N$3-$O$2,$Q$2)/$Q$2))</f>
        <v>4600.41914013028</v>
      </c>
      <c r="O329" s="15" t="n">
        <f aca="false">SUMPRODUCT(E329:N329,1/(1+$F$319)^$E$3:$N$3)*$E$2</f>
        <v>11813.9615096959</v>
      </c>
      <c r="P329" s="15" t="n">
        <f aca="false">N329*$E$2*(1+$I$319)/($F$319-$I$319)/(1+$F$319)^$N$3</f>
        <v>15224.4831823148</v>
      </c>
      <c r="Q329" s="15" t="n">
        <f aca="false">O329+P329</f>
        <v>27038.4446920106</v>
      </c>
      <c r="R329" s="15" t="n">
        <f aca="false">Q329-$G$2+$I$2</f>
        <v>22970.6446920106</v>
      </c>
      <c r="S329" s="42" t="n">
        <f aca="false">R329/$K$2</f>
        <v>176.480060633149</v>
      </c>
      <c r="T329" s="43" t="n">
        <f aca="false">S329-$M$2</f>
        <v>-0.148703964269998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0.0478515625</v>
      </c>
      <c r="C330" s="25" t="n">
        <f aca="false">IF(T329&gt;0,D329,C329)</f>
        <v>0.05078125</v>
      </c>
      <c r="D330" s="41" t="n">
        <f aca="false">(B330+C330)/2</f>
        <v>0.04931640625</v>
      </c>
      <c r="E330" s="15" t="n">
        <f aca="false">$C$2*(1+IF(E$3&lt;=$O$2,$D330,$D330-($D330-$I$319)*MIN(E$3-$O$2,$Q$2)/$Q$2))</f>
        <v>3294.853515625</v>
      </c>
      <c r="F330" s="15" t="n">
        <f aca="false">E330*(1+IF(F$3&lt;=$O$2,$D330,$D330-($D330-$I$319)*MIN(F$3-$O$2,$Q$2)/$Q$2))</f>
        <v>3457.3438501358</v>
      </c>
      <c r="G330" s="15" t="n">
        <f aca="false">F330*(1+IF(G$3&lt;=$O$2,$D330,$D330-($D330-$I$319)*MIN(G$3-$O$2,$Q$2)/$Q$2))</f>
        <v>3627.84762399504</v>
      </c>
      <c r="H330" s="15" t="n">
        <f aca="false">G330*(1+IF(H$3&lt;=$O$2,$D330,$D330-($D330-$I$319)*MIN(H$3-$O$2,$Q$2)/$Q$2))</f>
        <v>3806.76003123308</v>
      </c>
      <c r="I330" s="15" t="n">
        <f aca="false">H330*(1+IF(I$3&lt;=$O$2,$D330,$D330-($D330-$I$319)*MIN(I$3-$O$2,$Q$2)/$Q$2))</f>
        <v>3994.49575542963</v>
      </c>
      <c r="J330" s="15" t="n">
        <f aca="false">I330*(1+IF(J$3&lt;=$O$2,$D330,$D330-($D330-$I$319)*MIN(J$3-$O$2,$Q$2)/$Q$2))</f>
        <v>4166.71095024544</v>
      </c>
      <c r="K330" s="15" t="n">
        <f aca="false">J330*(1+IF(K$3&lt;=$O$2,$D330,$D330-($D330-$I$319)*MIN(K$3-$O$2,$Q$2)/$Q$2))</f>
        <v>4320.50360037041</v>
      </c>
      <c r="L330" s="15" t="n">
        <f aca="false">K330*(1+IF(L$3&lt;=$O$2,$D330,$D330-($D330-$I$319)*MIN(L$3-$O$2,$Q$2)/$Q$2))</f>
        <v>4453.17141420666</v>
      </c>
      <c r="M330" s="15" t="n">
        <f aca="false">L330*(1+IF(M$3&lt;=$O$2,$D330,$D330-($D330-$I$319)*MIN(M$3-$O$2,$Q$2)/$Q$2))</f>
        <v>4562.28872582342</v>
      </c>
      <c r="N330" s="15" t="n">
        <f aca="false">M330*(1+IF(N$3&lt;=$O$2,$D330,$D330-($D330-$I$319)*MIN(N$3-$O$2,$Q$2)/$Q$2))</f>
        <v>4645.77860950599</v>
      </c>
      <c r="O330" s="15" t="n">
        <f aca="false">SUMPRODUCT(E330:N330,1/(1+$F$319)^$E$3:$N$3)*$E$2</f>
        <v>11889.8497757758</v>
      </c>
      <c r="P330" s="15" t="n">
        <f aca="false">N330*$E$2*(1+$I$319)/($F$319-$I$319)/(1+$F$319)^$N$3</f>
        <v>15374.594391236</v>
      </c>
      <c r="Q330" s="15" t="n">
        <f aca="false">O330+P330</f>
        <v>27264.4441670117</v>
      </c>
      <c r="R330" s="15" t="n">
        <f aca="false">Q330-$G$2+$I$2</f>
        <v>23196.6441670117</v>
      </c>
      <c r="S330" s="42" t="n">
        <f aca="false">R330/$K$2</f>
        <v>178.216381123323</v>
      </c>
      <c r="T330" s="43" t="n">
        <f aca="false">S330-$M$2</f>
        <v>1.58761652590459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0.0478515625</v>
      </c>
      <c r="C331" s="25" t="n">
        <f aca="false">IF(T330&gt;0,D330,C330)</f>
        <v>0.04931640625</v>
      </c>
      <c r="D331" s="41" t="n">
        <f aca="false">(B331+C331)/2</f>
        <v>0.048583984375</v>
      </c>
      <c r="E331" s="15" t="n">
        <f aca="false">$C$2*(1+IF(E$3&lt;=$O$2,$D331,$D331-($D331-$I$319)*MIN(E$3-$O$2,$Q$2)/$Q$2))</f>
        <v>3292.5537109375</v>
      </c>
      <c r="F331" s="15" t="n">
        <f aca="false">E331*(1+IF(F$3&lt;=$O$2,$D331,$D331-($D331-$I$319)*MIN(F$3-$O$2,$Q$2)/$Q$2))</f>
        <v>3452.51908898354</v>
      </c>
      <c r="G331" s="15" t="n">
        <f aca="false">F331*(1+IF(G$3&lt;=$O$2,$D331,$D331-($D331-$I$319)*MIN(G$3-$O$2,$Q$2)/$Q$2))</f>
        <v>3620.2562224571</v>
      </c>
      <c r="H331" s="15" t="n">
        <f aca="false">G331*(1+IF(H$3&lt;=$O$2,$D331,$D331-($D331-$I$319)*MIN(H$3-$O$2,$Q$2)/$Q$2))</f>
        <v>3796.14269420245</v>
      </c>
      <c r="I331" s="15" t="n">
        <f aca="false">H331*(1+IF(I$3&lt;=$O$2,$D331,$D331-($D331-$I$319)*MIN(I$3-$O$2,$Q$2)/$Q$2))</f>
        <v>3980.57443154286</v>
      </c>
      <c r="J331" s="15" t="n">
        <f aca="false">I331*(1+IF(J$3&lt;=$O$2,$D331,$D331-($D331-$I$319)*MIN(J$3-$O$2,$Q$2)/$Q$2))</f>
        <v>4149.85706675079</v>
      </c>
      <c r="K331" s="15" t="n">
        <f aca="false">J331*(1+IF(K$3&lt;=$O$2,$D331,$D331-($D331-$I$319)*MIN(K$3-$O$2,$Q$2)/$Q$2))</f>
        <v>4301.2039750131</v>
      </c>
      <c r="L331" s="15" t="n">
        <f aca="false">K331*(1+IF(L$3&lt;=$O$2,$D331,$D331-($D331-$I$319)*MIN(L$3-$O$2,$Q$2)/$Q$2))</f>
        <v>4432.01904534504</v>
      </c>
      <c r="M331" s="15" t="n">
        <f aca="false">L331*(1+IF(M$3&lt;=$O$2,$D331,$D331-($D331-$I$319)*MIN(M$3-$O$2,$Q$2)/$Q$2))</f>
        <v>4539.96883297864</v>
      </c>
      <c r="N331" s="15" t="n">
        <f aca="false">M331*(1+IF(N$3&lt;=$O$2,$D331,$D331-($D331-$I$319)*MIN(N$3-$O$2,$Q$2)/$Q$2))</f>
        <v>4623.05026262215</v>
      </c>
      <c r="O331" s="15" t="n">
        <f aca="false">SUMPRODUCT(E331:N331,1/(1+$F$319)^$E$3:$N$3)*$E$2</f>
        <v>11851.8444629587</v>
      </c>
      <c r="P331" s="15" t="n">
        <f aca="false">N331*$E$2*(1+$I$319)/($F$319-$I$319)/(1+$F$319)^$N$3</f>
        <v>15299.3779110947</v>
      </c>
      <c r="Q331" s="15" t="n">
        <f aca="false">O331+P331</f>
        <v>27151.2223740534</v>
      </c>
      <c r="R331" s="15" t="n">
        <f aca="false">Q331-$G$2+$I$2</f>
        <v>23083.4223740534</v>
      </c>
      <c r="S331" s="42" t="n">
        <f aca="false">R331/$K$2</f>
        <v>177.346514859046</v>
      </c>
      <c r="T331" s="43" t="n">
        <f aca="false">S331-$M$2</f>
        <v>0.717750261627316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0.0478515625</v>
      </c>
      <c r="C332" s="25" t="n">
        <f aca="false">IF(T331&gt;0,D331,C331)</f>
        <v>0.048583984375</v>
      </c>
      <c r="D332" s="41" t="n">
        <f aca="false">(B332+C332)/2</f>
        <v>0.0482177734375</v>
      </c>
      <c r="E332" s="15" t="n">
        <f aca="false">$C$2*(1+IF(E$3&lt;=$O$2,$D332,$D332-($D332-$I$319)*MIN(E$3-$O$2,$Q$2)/$Q$2))</f>
        <v>3291.40380859375</v>
      </c>
      <c r="F332" s="15" t="n">
        <f aca="false">E332*(1+IF(F$3&lt;=$O$2,$D332,$D332-($D332-$I$319)*MIN(F$3-$O$2,$Q$2)/$Q$2))</f>
        <v>3450.10797172785</v>
      </c>
      <c r="G332" s="15" t="n">
        <f aca="false">F332*(1+IF(G$3&lt;=$O$2,$D332,$D332-($D332-$I$319)*MIN(G$3-$O$2,$Q$2)/$Q$2))</f>
        <v>3616.46449624353</v>
      </c>
      <c r="H332" s="15" t="n">
        <f aca="false">G332*(1+IF(H$3&lt;=$O$2,$D332,$D332-($D332-$I$319)*MIN(H$3-$O$2,$Q$2)/$Q$2))</f>
        <v>3790.84236196817</v>
      </c>
      <c r="I332" s="15" t="n">
        <f aca="false">H332*(1+IF(I$3&lt;=$O$2,$D332,$D332-($D332-$I$319)*MIN(I$3-$O$2,$Q$2)/$Q$2))</f>
        <v>3973.62834011483</v>
      </c>
      <c r="J332" s="15" t="n">
        <f aca="false">I332*(1+IF(J$3&lt;=$O$2,$D332,$D332-($D332-$I$319)*MIN(J$3-$O$2,$Q$2)/$Q$2))</f>
        <v>4141.45142866244</v>
      </c>
      <c r="K332" s="15" t="n">
        <f aca="false">J332*(1+IF(K$3&lt;=$O$2,$D332,$D332-($D332-$I$319)*MIN(K$3-$O$2,$Q$2)/$Q$2))</f>
        <v>4291.58179313404</v>
      </c>
      <c r="L332" s="15" t="n">
        <f aca="false">K332*(1+IF(L$3&lt;=$O$2,$D332,$D332-($D332-$I$319)*MIN(L$3-$O$2,$Q$2)/$Q$2))</f>
        <v>4421.47556865858</v>
      </c>
      <c r="M332" s="15" t="n">
        <f aca="false">L332*(1+IF(M$3&lt;=$O$2,$D332,$D332-($D332-$I$319)*MIN(M$3-$O$2,$Q$2)/$Q$2))</f>
        <v>4528.84471242955</v>
      </c>
      <c r="N332" s="15" t="n">
        <f aca="false">M332*(1+IF(N$3&lt;=$O$2,$D332,$D332-($D332-$I$319)*MIN(N$3-$O$2,$Q$2)/$Q$2))</f>
        <v>4611.72257066701</v>
      </c>
      <c r="O332" s="15" t="n">
        <f aca="false">SUMPRODUCT(E332:N332,1/(1+$F$319)^$E$3:$N$3)*$E$2</f>
        <v>11832.8877144364</v>
      </c>
      <c r="P332" s="15" t="n">
        <f aca="false">N332*$E$2*(1+$I$319)/($F$319-$I$319)/(1+$F$319)^$N$3</f>
        <v>15261.8904017152</v>
      </c>
      <c r="Q332" s="15" t="n">
        <f aca="false">O332+P332</f>
        <v>27094.7781161516</v>
      </c>
      <c r="R332" s="15" t="n">
        <f aca="false">Q332-$G$2+$I$2</f>
        <v>23026.9781161516</v>
      </c>
      <c r="S332" s="42" t="n">
        <f aca="false">R332/$K$2</f>
        <v>176.912861986413</v>
      </c>
      <c r="T332" s="43" t="n">
        <f aca="false">S332-$M$2</f>
        <v>0.28409738899478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0.0478515625</v>
      </c>
      <c r="C333" s="25" t="n">
        <f aca="false">IF(T332&gt;0,D332,C332)</f>
        <v>0.0482177734375</v>
      </c>
      <c r="D333" s="41" t="n">
        <f aca="false">(B333+C333)/2</f>
        <v>0.04803466796875</v>
      </c>
      <c r="E333" s="15" t="n">
        <f aca="false">$C$2*(1+IF(E$3&lt;=$O$2,$D333,$D333-($D333-$I$319)*MIN(E$3-$O$2,$Q$2)/$Q$2))</f>
        <v>3290.82885742188</v>
      </c>
      <c r="F333" s="15" t="n">
        <f aca="false">E333*(1+IF(F$3&lt;=$O$2,$D333,$D333-($D333-$I$319)*MIN(F$3-$O$2,$Q$2)/$Q$2))</f>
        <v>3448.90272893012</v>
      </c>
      <c r="G333" s="15" t="n">
        <f aca="false">F333*(1+IF(G$3&lt;=$O$2,$D333,$D333-($D333-$I$319)*MIN(G$3-$O$2,$Q$2)/$Q$2))</f>
        <v>3614.56962637079</v>
      </c>
      <c r="H333" s="15" t="n">
        <f aca="false">G333*(1+IF(H$3&lt;=$O$2,$D333,$D333-($D333-$I$319)*MIN(H$3-$O$2,$Q$2)/$Q$2))</f>
        <v>3788.19427822344</v>
      </c>
      <c r="I333" s="15" t="n">
        <f aca="false">H333*(1+IF(I$3&lt;=$O$2,$D333,$D333-($D333-$I$319)*MIN(I$3-$O$2,$Q$2)/$Q$2))</f>
        <v>3970.15893257902</v>
      </c>
      <c r="J333" s="15" t="n">
        <f aca="false">I333*(1+IF(J$3&lt;=$O$2,$D333,$D333-($D333-$I$319)*MIN(J$3-$O$2,$Q$2)/$Q$2))</f>
        <v>4137.25392715994</v>
      </c>
      <c r="K333" s="15" t="n">
        <f aca="false">J333*(1+IF(K$3&lt;=$O$2,$D333,$D333-($D333-$I$319)*MIN(K$3-$O$2,$Q$2)/$Q$2))</f>
        <v>4286.77759712287</v>
      </c>
      <c r="L333" s="15" t="n">
        <f aca="false">K333*(1+IF(L$3&lt;=$O$2,$D333,$D333-($D333-$I$319)*MIN(L$3-$O$2,$Q$2)/$Q$2))</f>
        <v>4416.21199055275</v>
      </c>
      <c r="M333" s="15" t="n">
        <f aca="false">L333*(1+IF(M$3&lt;=$O$2,$D333,$D333-($D333-$I$319)*MIN(M$3-$O$2,$Q$2)/$Q$2))</f>
        <v>4523.2915894236</v>
      </c>
      <c r="N333" s="15" t="n">
        <f aca="false">M333*(1+IF(N$3&lt;=$O$2,$D333,$D333-($D333-$I$319)*MIN(N$3-$O$2,$Q$2)/$Q$2))</f>
        <v>4606.06782551006</v>
      </c>
      <c r="O333" s="15" t="n">
        <f aca="false">SUMPRODUCT(E333:N333,1/(1+$F$319)^$E$3:$N$3)*$E$2</f>
        <v>11823.4207969717</v>
      </c>
      <c r="P333" s="15" t="n">
        <f aca="false">N333*$E$2*(1+$I$319)/($F$319-$I$319)/(1+$F$319)^$N$3</f>
        <v>15243.1767649965</v>
      </c>
      <c r="Q333" s="15" t="n">
        <f aca="false">O333+P333</f>
        <v>27066.5975619682</v>
      </c>
      <c r="R333" s="15" t="n">
        <f aca="false">Q333-$G$2+$I$2</f>
        <v>22998.7975619682</v>
      </c>
      <c r="S333" s="42" t="n">
        <f aca="false">R333/$K$2</f>
        <v>176.696354962878</v>
      </c>
      <c r="T333" s="43" t="n">
        <f aca="false">S333-$M$2</f>
        <v>0.0675903654594947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0.0478515625</v>
      </c>
      <c r="C334" s="25" t="n">
        <f aca="false">IF(T333&gt;0,D333,C333)</f>
        <v>0.04803466796875</v>
      </c>
      <c r="D334" s="41" t="n">
        <f aca="false">(B334+C334)/2</f>
        <v>0.047943115234375</v>
      </c>
      <c r="E334" s="15" t="n">
        <f aca="false">$C$2*(1+IF(E$3&lt;=$O$2,$D334,$D334-($D334-$I$319)*MIN(E$3-$O$2,$Q$2)/$Q$2))</f>
        <v>3290.54138183594</v>
      </c>
      <c r="F334" s="15" t="n">
        <f aca="false">E334*(1+IF(F$3&lt;=$O$2,$D334,$D334-($D334-$I$319)*MIN(F$3-$O$2,$Q$2)/$Q$2))</f>
        <v>3448.30018648878</v>
      </c>
      <c r="G334" s="15" t="n">
        <f aca="false">F334*(1+IF(G$3&lt;=$O$2,$D334,$D334-($D334-$I$319)*MIN(G$3-$O$2,$Q$2)/$Q$2))</f>
        <v>3613.62243969233</v>
      </c>
      <c r="H334" s="15" t="n">
        <f aca="false">G334*(1+IF(H$3&lt;=$O$2,$D334,$D334-($D334-$I$319)*MIN(H$3-$O$2,$Q$2)/$Q$2))</f>
        <v>3786.87075673202</v>
      </c>
      <c r="I334" s="15" t="n">
        <f aca="false">H334*(1+IF(I$3&lt;=$O$2,$D334,$D334-($D334-$I$319)*MIN(I$3-$O$2,$Q$2)/$Q$2))</f>
        <v>3968.42513779971</v>
      </c>
      <c r="J334" s="15" t="n">
        <f aca="false">I334*(1+IF(J$3&lt;=$O$2,$D334,$D334-($D334-$I$319)*MIN(J$3-$O$2,$Q$2)/$Q$2))</f>
        <v>4135.15650474847</v>
      </c>
      <c r="K334" s="15" t="n">
        <f aca="false">J334*(1+IF(K$3&lt;=$O$2,$D334,$D334-($D334-$I$319)*MIN(K$3-$O$2,$Q$2)/$Q$2))</f>
        <v>4284.37722125483</v>
      </c>
      <c r="L334" s="15" t="n">
        <f aca="false">K334*(1+IF(L$3&lt;=$O$2,$D334,$D334-($D334-$I$319)*MIN(L$3-$O$2,$Q$2)/$Q$2))</f>
        <v>4413.58223947467</v>
      </c>
      <c r="M334" s="15" t="n">
        <f aca="false">L334*(1+IF(M$3&lt;=$O$2,$D334,$D334-($D334-$I$319)*MIN(M$3-$O$2,$Q$2)/$Q$2))</f>
        <v>4520.51725984128</v>
      </c>
      <c r="N334" s="15" t="n">
        <f aca="false">M334*(1+IF(N$3&lt;=$O$2,$D334,$D334-($D334-$I$319)*MIN(N$3-$O$2,$Q$2)/$Q$2))</f>
        <v>4603.24272569638</v>
      </c>
      <c r="O334" s="15" t="n">
        <f aca="false">SUMPRODUCT(E334:N334,1/(1+$F$319)^$E$3:$N$3)*$E$2</f>
        <v>11818.6901999198</v>
      </c>
      <c r="P334" s="15" t="n">
        <f aca="false">N334*$E$2*(1+$I$319)/($F$319-$I$319)/(1+$F$319)^$N$3</f>
        <v>15233.8274680538</v>
      </c>
      <c r="Q334" s="15" t="n">
        <f aca="false">O334+P334</f>
        <v>27052.5176679736</v>
      </c>
      <c r="R334" s="15" t="n">
        <f aca="false">Q334-$G$2+$I$2</f>
        <v>22984.7176679736</v>
      </c>
      <c r="S334" s="42" t="n">
        <f aca="false">R334/$K$2</f>
        <v>176.588181222907</v>
      </c>
      <c r="T334" s="43" t="n">
        <f aca="false">S334-$M$2</f>
        <v>-0.0405833745112147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0.047943115234375</v>
      </c>
      <c r="C335" s="25" t="n">
        <f aca="false">IF(T334&gt;0,D334,C334)</f>
        <v>0.04803466796875</v>
      </c>
      <c r="D335" s="41" t="n">
        <f aca="false">(B335+C335)/2</f>
        <v>0.0479888916015625</v>
      </c>
      <c r="E335" s="15" t="n">
        <f aca="false">$C$2*(1+IF(E$3&lt;=$O$2,$D335,$D335-($D335-$I$319)*MIN(E$3-$O$2,$Q$2)/$Q$2))</f>
        <v>3290.68511962891</v>
      </c>
      <c r="F335" s="15" t="n">
        <f aca="false">E335*(1+IF(F$3&lt;=$O$2,$D335,$D335-($D335-$I$319)*MIN(F$3-$O$2,$Q$2)/$Q$2))</f>
        <v>3448.60145112965</v>
      </c>
      <c r="G335" s="15" t="n">
        <f aca="false">F335*(1+IF(G$3&lt;=$O$2,$D335,$D335-($D335-$I$319)*MIN(G$3-$O$2,$Q$2)/$Q$2))</f>
        <v>3614.0960123449</v>
      </c>
      <c r="H335" s="15" t="n">
        <f aca="false">G335*(1+IF(H$3&lt;=$O$2,$D335,$D335-($D335-$I$319)*MIN(H$3-$O$2,$Q$2)/$Q$2))</f>
        <v>3787.53247411896</v>
      </c>
      <c r="I335" s="15" t="n">
        <f aca="false">H335*(1+IF(I$3&lt;=$O$2,$D335,$D335-($D335-$I$319)*MIN(I$3-$O$2,$Q$2)/$Q$2))</f>
        <v>3969.29195945686</v>
      </c>
      <c r="J335" s="15" t="n">
        <f aca="false">I335*(1+IF(J$3&lt;=$O$2,$D335,$D335-($D335-$I$319)*MIN(J$3-$O$2,$Q$2)/$Q$2))</f>
        <v>4136.20510529033</v>
      </c>
      <c r="K335" s="15" t="n">
        <f aca="false">J335*(1+IF(K$3&lt;=$O$2,$D335,$D335-($D335-$I$319)*MIN(K$3-$O$2,$Q$2)/$Q$2))</f>
        <v>4285.57726572482</v>
      </c>
      <c r="L335" s="15" t="n">
        <f aca="false">K335*(1+IF(L$3&lt;=$O$2,$D335,$D335-($D335-$I$319)*MIN(L$3-$O$2,$Q$2)/$Q$2))</f>
        <v>4414.89694524447</v>
      </c>
      <c r="M335" s="15" t="n">
        <f aca="false">L335*(1+IF(M$3&lt;=$O$2,$D335,$D335-($D335-$I$319)*MIN(M$3-$O$2,$Q$2)/$Q$2))</f>
        <v>4521.90423871033</v>
      </c>
      <c r="N335" s="15" t="n">
        <f aca="false">M335*(1+IF(N$3&lt;=$O$2,$D335,$D335-($D335-$I$319)*MIN(N$3-$O$2,$Q$2)/$Q$2))</f>
        <v>4604.65508627873</v>
      </c>
      <c r="O335" s="15" t="n">
        <f aca="false">SUMPRODUCT(E335:N335,1/(1+$F$319)^$E$3:$N$3)*$E$2</f>
        <v>11821.0552600473</v>
      </c>
      <c r="P335" s="15" t="n">
        <f aca="false">N335*$E$2*(1+$I$319)/($F$319-$I$319)/(1+$F$319)^$N$3</f>
        <v>15238.5014899806</v>
      </c>
      <c r="Q335" s="15" t="n">
        <f aca="false">O335+P335</f>
        <v>27059.556750028</v>
      </c>
      <c r="R335" s="15" t="n">
        <f aca="false">Q335-$G$2+$I$2</f>
        <v>22991.756750028</v>
      </c>
      <c r="S335" s="42" t="n">
        <f aca="false">R335/$K$2</f>
        <v>176.642261447664</v>
      </c>
      <c r="T335" s="43" t="n">
        <f aca="false">S335-$M$2</f>
        <v>0.0134968502455308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0.047943115234375</v>
      </c>
      <c r="C336" s="25" t="n">
        <f aca="false">IF(T335&gt;0,D335,C335)</f>
        <v>0.0479888916015625</v>
      </c>
      <c r="D336" s="41" t="n">
        <f aca="false">(B336+C336)/2</f>
        <v>0.0479660034179688</v>
      </c>
      <c r="E336" s="15" t="n">
        <f aca="false">$C$2*(1+IF(E$3&lt;=$O$2,$D336,$D336-($D336-$I$319)*MIN(E$3-$O$2,$Q$2)/$Q$2))</f>
        <v>3290.61325073242</v>
      </c>
      <c r="F336" s="15" t="n">
        <f aca="false">E336*(1+IF(F$3&lt;=$O$2,$D336,$D336-($D336-$I$319)*MIN(F$3-$O$2,$Q$2)/$Q$2))</f>
        <v>3448.45081716427</v>
      </c>
      <c r="G336" s="15" t="n">
        <f aca="false">F336*(1+IF(G$3&lt;=$O$2,$D336,$D336-($D336-$I$319)*MIN(G$3-$O$2,$Q$2)/$Q$2))</f>
        <v>3613.85922084707</v>
      </c>
      <c r="H336" s="15" t="n">
        <f aca="false">G336*(1+IF(H$3&lt;=$O$2,$D336,$D336-($D336-$I$319)*MIN(H$3-$O$2,$Q$2)/$Q$2))</f>
        <v>3787.20160458627</v>
      </c>
      <c r="I336" s="15" t="n">
        <f aca="false">H336*(1+IF(I$3&lt;=$O$2,$D336,$D336-($D336-$I$319)*MIN(I$3-$O$2,$Q$2)/$Q$2))</f>
        <v>3968.8585296964</v>
      </c>
      <c r="J336" s="15" t="n">
        <f aca="false">I336*(1+IF(J$3&lt;=$O$2,$D336,$D336-($D336-$I$319)*MIN(J$3-$O$2,$Q$2)/$Q$2))</f>
        <v>4135.68077735577</v>
      </c>
      <c r="K336" s="15" t="n">
        <f aca="false">J336*(1+IF(K$3&lt;=$O$2,$D336,$D336-($D336-$I$319)*MIN(K$3-$O$2,$Q$2)/$Q$2))</f>
        <v>4284.97720762738</v>
      </c>
      <c r="L336" s="15" t="n">
        <f aca="false">K336*(1+IF(L$3&lt;=$O$2,$D336,$D336-($D336-$I$319)*MIN(L$3-$O$2,$Q$2)/$Q$2))</f>
        <v>4414.23954992191</v>
      </c>
      <c r="M336" s="15" t="n">
        <f aca="false">L336*(1+IF(M$3&lt;=$O$2,$D336,$D336-($D336-$I$319)*MIN(M$3-$O$2,$Q$2)/$Q$2))</f>
        <v>4521.21070280063</v>
      </c>
      <c r="N336" s="15" t="n">
        <f aca="false">M336*(1+IF(N$3&lt;=$O$2,$D336,$D336-($D336-$I$319)*MIN(N$3-$O$2,$Q$2)/$Q$2))</f>
        <v>4603.94885866188</v>
      </c>
      <c r="O336" s="15" t="n">
        <f aca="false">SUMPRODUCT(E336:N336,1/(1+$F$319)^$E$3:$N$3)*$E$2</f>
        <v>11819.8726703896</v>
      </c>
      <c r="P336" s="15" t="n">
        <f aca="false">N336*$E$2*(1+$I$319)/($F$319-$I$319)/(1+$F$319)^$N$3</f>
        <v>15236.1643223991</v>
      </c>
      <c r="Q336" s="15" t="n">
        <f aca="false">O336+P336</f>
        <v>27056.0369927887</v>
      </c>
      <c r="R336" s="15" t="n">
        <f aca="false">Q336-$G$2+$I$2</f>
        <v>22988.2369927887</v>
      </c>
      <c r="S336" s="42" t="n">
        <f aca="false">R336/$K$2</f>
        <v>176.61521967416</v>
      </c>
      <c r="T336" s="43" t="n">
        <f aca="false">S336-$M$2</f>
        <v>-0.0135449232584506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0.0479660034179688</v>
      </c>
      <c r="C337" s="25" t="n">
        <f aca="false">IF(T336&gt;0,D336,C336)</f>
        <v>0.0479888916015625</v>
      </c>
      <c r="D337" s="41" t="n">
        <f aca="false">(B337+C337)/2</f>
        <v>0.0479774475097656</v>
      </c>
      <c r="E337" s="15" t="n">
        <f aca="false">$C$2*(1+IF(E$3&lt;=$O$2,$D337,$D337-($D337-$I$319)*MIN(E$3-$O$2,$Q$2)/$Q$2))</f>
        <v>3290.64918518066</v>
      </c>
      <c r="F337" s="15" t="n">
        <f aca="false">E337*(1+IF(F$3&lt;=$O$2,$D337,$D337-($D337-$I$319)*MIN(F$3-$O$2,$Q$2)/$Q$2))</f>
        <v>3448.52613373572</v>
      </c>
      <c r="G337" s="15" t="n">
        <f aca="false">F337*(1+IF(G$3&lt;=$O$2,$D337,$D337-($D337-$I$319)*MIN(G$3-$O$2,$Q$2)/$Q$2))</f>
        <v>3613.97761530308</v>
      </c>
      <c r="H337" s="15" t="n">
        <f aca="false">G337*(1+IF(H$3&lt;=$O$2,$D337,$D337-($D337-$I$319)*MIN(H$3-$O$2,$Q$2)/$Q$2))</f>
        <v>3787.36703664275</v>
      </c>
      <c r="I337" s="15" t="n">
        <f aca="false">H337*(1+IF(I$3&lt;=$O$2,$D337,$D337-($D337-$I$319)*MIN(I$3-$O$2,$Q$2)/$Q$2))</f>
        <v>3969.0752398435</v>
      </c>
      <c r="J337" s="15" t="n">
        <f aca="false">I337*(1+IF(J$3&lt;=$O$2,$D337,$D337-($D337-$I$319)*MIN(J$3-$O$2,$Q$2)/$Q$2))</f>
        <v>4135.94293440685</v>
      </c>
      <c r="K337" s="15" t="n">
        <f aca="false">J337*(1+IF(K$3&lt;=$O$2,$D337,$D337-($D337-$I$319)*MIN(K$3-$O$2,$Q$2)/$Q$2))</f>
        <v>4285.27722771004</v>
      </c>
      <c r="L337" s="15" t="n">
        <f aca="false">K337*(1+IF(L$3&lt;=$O$2,$D337,$D337-($D337-$I$319)*MIN(L$3-$O$2,$Q$2)/$Q$2))</f>
        <v>4414.5682369732</v>
      </c>
      <c r="M337" s="15" t="n">
        <f aca="false">L337*(1+IF(M$3&lt;=$O$2,$D337,$D337-($D337-$I$319)*MIN(M$3-$O$2,$Q$2)/$Q$2))</f>
        <v>4521.55745913602</v>
      </c>
      <c r="N337" s="15" t="n">
        <f aca="false">M337*(1+IF(N$3&lt;=$O$2,$D337,$D337-($D337-$I$319)*MIN(N$3-$O$2,$Q$2)/$Q$2))</f>
        <v>4604.30196063821</v>
      </c>
      <c r="O337" s="15" t="n">
        <f aca="false">SUMPRODUCT(E337:N337,1/(1+$F$319)^$E$3:$N$3)*$E$2</f>
        <v>11820.4639503193</v>
      </c>
      <c r="P337" s="15" t="n">
        <f aca="false">N337*$E$2*(1+$I$319)/($F$319-$I$319)/(1+$F$319)^$N$3</f>
        <v>15237.3328670331</v>
      </c>
      <c r="Q337" s="15" t="n">
        <f aca="false">O337+P337</f>
        <v>27057.7968173523</v>
      </c>
      <c r="R337" s="15" t="n">
        <f aca="false">Q337-$G$2+$I$2</f>
        <v>22989.9968173524</v>
      </c>
      <c r="S337" s="42" t="n">
        <f aca="false">R337/$K$2</f>
        <v>176.628740145608</v>
      </c>
      <c r="T337" s="43" t="n">
        <f aca="false">S337-$M$2</f>
        <v>-2.44518105319003E-005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0.0479774475097656</v>
      </c>
      <c r="C338" s="25" t="n">
        <f aca="false">IF(T337&gt;0,D337,C337)</f>
        <v>0.0479888916015625</v>
      </c>
      <c r="D338" s="41" t="n">
        <f aca="false">(B338+C338)/2</f>
        <v>0.0479831695556641</v>
      </c>
      <c r="E338" s="15" t="n">
        <f aca="false">$C$2*(1+IF(E$3&lt;=$O$2,$D338,$D338-($D338-$I$319)*MIN(E$3-$O$2,$Q$2)/$Q$2))</f>
        <v>3290.66715240479</v>
      </c>
      <c r="F338" s="15" t="n">
        <f aca="false">E338*(1+IF(F$3&lt;=$O$2,$D338,$D338-($D338-$I$319)*MIN(F$3-$O$2,$Q$2)/$Q$2))</f>
        <v>3448.56379232988</v>
      </c>
      <c r="G338" s="15" t="n">
        <f aca="false">F338*(1+IF(G$3&lt;=$O$2,$D338,$D338-($D338-$I$319)*MIN(G$3-$O$2,$Q$2)/$Q$2))</f>
        <v>3614.03681350077</v>
      </c>
      <c r="H338" s="15" t="n">
        <f aca="false">G338*(1+IF(H$3&lt;=$O$2,$D338,$D338-($D338-$I$319)*MIN(H$3-$O$2,$Q$2)/$Q$2))</f>
        <v>3787.44975470339</v>
      </c>
      <c r="I338" s="15" t="n">
        <f aca="false">H338*(1+IF(I$3&lt;=$O$2,$D338,$D338-($D338-$I$319)*MIN(I$3-$O$2,$Q$2)/$Q$2))</f>
        <v>3969.18359846688</v>
      </c>
      <c r="J338" s="15" t="n">
        <f aca="false">I338*(1+IF(J$3&lt;=$O$2,$D338,$D338-($D338-$I$319)*MIN(J$3-$O$2,$Q$2)/$Q$2))</f>
        <v>4136.0740181195</v>
      </c>
      <c r="K338" s="15" t="n">
        <f aca="false">J338*(1+IF(K$3&lt;=$O$2,$D338,$D338-($D338-$I$319)*MIN(K$3-$O$2,$Q$2)/$Q$2))</f>
        <v>4285.42724447586</v>
      </c>
      <c r="L338" s="15" t="n">
        <f aca="false">K338*(1+IF(L$3&lt;=$O$2,$D338,$D338-($D338-$I$319)*MIN(L$3-$O$2,$Q$2)/$Q$2))</f>
        <v>4414.73258845626</v>
      </c>
      <c r="M338" s="15" t="n">
        <f aca="false">L338*(1+IF(M$3&lt;=$O$2,$D338,$D338-($D338-$I$319)*MIN(M$3-$O$2,$Q$2)/$Q$2))</f>
        <v>4521.73084601823</v>
      </c>
      <c r="N338" s="15" t="n">
        <f aca="false">M338*(1+IF(N$3&lt;=$O$2,$D338,$D338-($D338-$I$319)*MIN(N$3-$O$2,$Q$2)/$Q$2))</f>
        <v>4604.47852050036</v>
      </c>
      <c r="O338" s="15" t="n">
        <f aca="false">SUMPRODUCT(E338:N338,1/(1+$F$319)^$E$3:$N$3)*$E$2</f>
        <v>11820.7596014584</v>
      </c>
      <c r="P338" s="15" t="n">
        <f aca="false">N338*$E$2*(1+$I$319)/($F$319-$I$319)/(1+$F$319)^$N$3</f>
        <v>15237.9171687174</v>
      </c>
      <c r="Q338" s="15" t="n">
        <f aca="false">O338+P338</f>
        <v>27058.6767701758</v>
      </c>
      <c r="R338" s="15" t="n">
        <f aca="false">Q338-$G$2+$I$2</f>
        <v>22990.8767701758</v>
      </c>
      <c r="S338" s="42" t="n">
        <f aca="false">R338/$K$2</f>
        <v>176.635500692807</v>
      </c>
      <c r="T338" s="43" t="n">
        <f aca="false">S338-$M$2</f>
        <v>0.00673609538861797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0.0479774475097656</v>
      </c>
      <c r="C339" s="25" t="n">
        <f aca="false">IF(T338&gt;0,D338,C338)</f>
        <v>0.0479831695556641</v>
      </c>
      <c r="D339" s="41" t="n">
        <f aca="false">(B339+C339)/2</f>
        <v>0.0479803085327148</v>
      </c>
      <c r="E339" s="15" t="n">
        <f aca="false">$C$2*(1+IF(E$3&lt;=$O$2,$D339,$D339-($D339-$I$319)*MIN(E$3-$O$2,$Q$2)/$Q$2))</f>
        <v>3290.65816879272</v>
      </c>
      <c r="F339" s="15" t="n">
        <f aca="false">E339*(1+IF(F$3&lt;=$O$2,$D339,$D339-($D339-$I$319)*MIN(F$3-$O$2,$Q$2)/$Q$2))</f>
        <v>3448.5449630071</v>
      </c>
      <c r="G339" s="15" t="n">
        <f aca="false">F339*(1+IF(G$3&lt;=$O$2,$D339,$D339-($D339-$I$319)*MIN(G$3-$O$2,$Q$2)/$Q$2))</f>
        <v>3614.00721432112</v>
      </c>
      <c r="H339" s="15" t="n">
        <f aca="false">G339*(1+IF(H$3&lt;=$O$2,$D339,$D339-($D339-$I$319)*MIN(H$3-$O$2,$Q$2)/$Q$2))</f>
        <v>3787.4083955037</v>
      </c>
      <c r="I339" s="15" t="n">
        <f aca="false">H339*(1+IF(I$3&lt;=$O$2,$D339,$D339-($D339-$I$319)*MIN(I$3-$O$2,$Q$2)/$Q$2))</f>
        <v>3969.12941885936</v>
      </c>
      <c r="J339" s="15" t="n">
        <f aca="false">I339*(1+IF(J$3&lt;=$O$2,$D339,$D339-($D339-$I$319)*MIN(J$3-$O$2,$Q$2)/$Q$2))</f>
        <v>4136.00847583091</v>
      </c>
      <c r="K339" s="15" t="n">
        <f aca="false">J339*(1+IF(K$3&lt;=$O$2,$D339,$D339-($D339-$I$319)*MIN(K$3-$O$2,$Q$2)/$Q$2))</f>
        <v>4285.35223553257</v>
      </c>
      <c r="L339" s="15" t="n">
        <f aca="false">K339*(1+IF(L$3&lt;=$O$2,$D339,$D339-($D339-$I$319)*MIN(L$3-$O$2,$Q$2)/$Q$2))</f>
        <v>4414.6504120516</v>
      </c>
      <c r="M339" s="15" t="n">
        <f aca="false">L339*(1+IF(M$3&lt;=$O$2,$D339,$D339-($D339-$I$319)*MIN(M$3-$O$2,$Q$2)/$Q$2))</f>
        <v>4521.6441518509</v>
      </c>
      <c r="N339" s="15" t="n">
        <f aca="false">M339*(1+IF(N$3&lt;=$O$2,$D339,$D339-($D339-$I$319)*MIN(N$3-$O$2,$Q$2)/$Q$2))</f>
        <v>4604.39023982977</v>
      </c>
      <c r="O339" s="15" t="n">
        <f aca="false">SUMPRODUCT(E339:N339,1/(1+$F$319)^$E$3:$N$3)*$E$2</f>
        <v>11820.6117749576</v>
      </c>
      <c r="P339" s="15" t="n">
        <f aca="false">N339*$E$2*(1+$I$319)/($F$319-$I$319)/(1+$F$319)^$N$3</f>
        <v>15237.6250154279</v>
      </c>
      <c r="Q339" s="15" t="n">
        <f aca="false">O339+P339</f>
        <v>27058.2367903855</v>
      </c>
      <c r="R339" s="15" t="n">
        <f aca="false">Q339-$G$2+$I$2</f>
        <v>22990.4367903855</v>
      </c>
      <c r="S339" s="42" t="n">
        <f aca="false">R339/$K$2</f>
        <v>176.632120393251</v>
      </c>
      <c r="T339" s="43" t="n">
        <f aca="false">S339-$M$2</f>
        <v>0.00335579583222057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0.0479774475097656</v>
      </c>
      <c r="C340" s="25" t="n">
        <f aca="false">IF(T339&gt;0,D339,C339)</f>
        <v>0.0479803085327148</v>
      </c>
      <c r="D340" s="41" t="n">
        <f aca="false">(B340+C340)/2</f>
        <v>0.0479788780212402</v>
      </c>
      <c r="E340" s="15" t="n">
        <f aca="false">$C$2*(1+IF(E$3&lt;=$O$2,$D340,$D340-($D340-$I$319)*MIN(E$3-$O$2,$Q$2)/$Q$2))</f>
        <v>3290.65367698669</v>
      </c>
      <c r="F340" s="15" t="n">
        <f aca="false">E340*(1+IF(F$3&lt;=$O$2,$D340,$D340-($D340-$I$319)*MIN(F$3-$O$2,$Q$2)/$Q$2))</f>
        <v>3448.53554836498</v>
      </c>
      <c r="G340" s="15" t="n">
        <f aca="false">F340*(1+IF(G$3&lt;=$O$2,$D340,$D340-($D340-$I$319)*MIN(G$3-$O$2,$Q$2)/$Q$2))</f>
        <v>3613.9924147919</v>
      </c>
      <c r="H340" s="15" t="n">
        <f aca="false">G340*(1+IF(H$3&lt;=$O$2,$D340,$D340-($D340-$I$319)*MIN(H$3-$O$2,$Q$2)/$Q$2))</f>
        <v>3787.38771603089</v>
      </c>
      <c r="I340" s="15" t="n">
        <f aca="false">H340*(1+IF(I$3&lt;=$O$2,$D340,$D340-($D340-$I$319)*MIN(I$3-$O$2,$Q$2)/$Q$2))</f>
        <v>3969.10232927748</v>
      </c>
      <c r="J340" s="15" t="n">
        <f aca="false">I340*(1+IF(J$3&lt;=$O$2,$D340,$D340-($D340-$I$319)*MIN(J$3-$O$2,$Q$2)/$Q$2))</f>
        <v>4135.97570501081</v>
      </c>
      <c r="K340" s="15" t="n">
        <f aca="false">J340*(1+IF(K$3&lt;=$O$2,$D340,$D340-($D340-$I$319)*MIN(K$3-$O$2,$Q$2)/$Q$2))</f>
        <v>4285.31473148121</v>
      </c>
      <c r="L340" s="15" t="n">
        <f aca="false">K340*(1+IF(L$3&lt;=$O$2,$D340,$D340-($D340-$I$319)*MIN(L$3-$O$2,$Q$2)/$Q$2))</f>
        <v>4414.60932434662</v>
      </c>
      <c r="M340" s="15" t="n">
        <f aca="false">L340*(1+IF(M$3&lt;=$O$2,$D340,$D340-($D340-$I$319)*MIN(M$3-$O$2,$Q$2)/$Q$2))</f>
        <v>4521.6008053119</v>
      </c>
      <c r="N340" s="15" t="n">
        <f aca="false">M340*(1+IF(N$3&lt;=$O$2,$D340,$D340-($D340-$I$319)*MIN(N$3-$O$2,$Q$2)/$Q$2))</f>
        <v>4604.34610004911</v>
      </c>
      <c r="O340" s="15" t="n">
        <f aca="false">SUMPRODUCT(E340:N340,1/(1+$F$319)^$E$3:$N$3)*$E$2</f>
        <v>11820.5378624056</v>
      </c>
      <c r="P340" s="15" t="n">
        <f aca="false">N340*$E$2*(1+$I$319)/($F$319-$I$319)/(1+$F$319)^$N$3</f>
        <v>15237.4789406187</v>
      </c>
      <c r="Q340" s="15" t="n">
        <f aca="false">O340+P340</f>
        <v>27058.0168030243</v>
      </c>
      <c r="R340" s="15" t="n">
        <f aca="false">Q340-$G$2+$I$2</f>
        <v>22990.2168030243</v>
      </c>
      <c r="S340" s="42" t="n">
        <f aca="false">R340/$K$2</f>
        <v>176.63043026294</v>
      </c>
      <c r="T340" s="43" t="n">
        <f aca="false">S340-$M$2</f>
        <v>0.00166566552164227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0.0479774475097656</v>
      </c>
      <c r="C341" s="25" t="n">
        <f aca="false">IF(T340&gt;0,D340,C340)</f>
        <v>0.0479788780212402</v>
      </c>
      <c r="D341" s="41" t="n">
        <f aca="false">(B341+C341)/2</f>
        <v>0.0479781627655029</v>
      </c>
      <c r="E341" s="15" t="n">
        <f aca="false">$C$2*(1+IF(E$3&lt;=$O$2,$D341,$D341-($D341-$I$319)*MIN(E$3-$O$2,$Q$2)/$Q$2))</f>
        <v>3290.65143108368</v>
      </c>
      <c r="F341" s="15" t="n">
        <f aca="false">E341*(1+IF(F$3&lt;=$O$2,$D341,$D341-($D341-$I$319)*MIN(F$3-$O$2,$Q$2)/$Q$2))</f>
        <v>3448.53084104875</v>
      </c>
      <c r="G341" s="15" t="n">
        <f aca="false">F341*(1+IF(G$3&lt;=$O$2,$D341,$D341-($D341-$I$319)*MIN(G$3-$O$2,$Q$2)/$Q$2))</f>
        <v>3613.98501504244</v>
      </c>
      <c r="H341" s="15" t="n">
        <f aca="false">G341*(1+IF(H$3&lt;=$O$2,$D341,$D341-($D341-$I$319)*MIN(H$3-$O$2,$Q$2)/$Q$2))</f>
        <v>3787.37737632624</v>
      </c>
      <c r="I341" s="15" t="n">
        <f aca="false">H341*(1+IF(I$3&lt;=$O$2,$D341,$D341-($D341-$I$319)*MIN(I$3-$O$2,$Q$2)/$Q$2))</f>
        <v>3969.088784542</v>
      </c>
      <c r="J341" s="15" t="n">
        <f aca="false">I341*(1+IF(J$3&lt;=$O$2,$D341,$D341-($D341-$I$319)*MIN(J$3-$O$2,$Q$2)/$Q$2))</f>
        <v>4135.95931968181</v>
      </c>
      <c r="K341" s="15" t="n">
        <f aca="false">J341*(1+IF(K$3&lt;=$O$2,$D341,$D341-($D341-$I$319)*MIN(K$3-$O$2,$Q$2)/$Q$2))</f>
        <v>4285.2959795606</v>
      </c>
      <c r="L341" s="15" t="n">
        <f aca="false">K341*(1+IF(L$3&lt;=$O$2,$D341,$D341-($D341-$I$319)*MIN(L$3-$O$2,$Q$2)/$Q$2))</f>
        <v>4414.58878061846</v>
      </c>
      <c r="M341" s="15" t="n">
        <f aca="false">L341*(1+IF(M$3&lt;=$O$2,$D341,$D341-($D341-$I$319)*MIN(M$3-$O$2,$Q$2)/$Q$2))</f>
        <v>4521.57913217857</v>
      </c>
      <c r="N341" s="15" t="n">
        <f aca="false">M341*(1+IF(N$3&lt;=$O$2,$D341,$D341-($D341-$I$319)*MIN(N$3-$O$2,$Q$2)/$Q$2))</f>
        <v>4604.32403029744</v>
      </c>
      <c r="O341" s="15" t="n">
        <f aca="false">SUMPRODUCT(E341:N341,1/(1+$F$319)^$E$3:$N$3)*$E$2</f>
        <v>11820.5009063042</v>
      </c>
      <c r="P341" s="15" t="n">
        <f aca="false">N341*$E$2*(1+$I$319)/($F$319-$I$319)/(1+$F$319)^$N$3</f>
        <v>15237.4059036729</v>
      </c>
      <c r="Q341" s="15" t="n">
        <f aca="false">O341+P341</f>
        <v>27057.9068099772</v>
      </c>
      <c r="R341" s="15" t="n">
        <f aca="false">Q341-$G$2+$I$2</f>
        <v>22990.1068099772</v>
      </c>
      <c r="S341" s="42" t="n">
        <f aca="false">R341/$K$2</f>
        <v>176.629585202652</v>
      </c>
      <c r="T341" s="43" t="n">
        <f aca="false">S341-$M$2</f>
        <v>0.000820605233286642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0.0479774475097656</v>
      </c>
      <c r="C342" s="25" t="n">
        <f aca="false">IF(T341&gt;0,D341,C341)</f>
        <v>0.0479781627655029</v>
      </c>
      <c r="D342" s="41" t="n">
        <f aca="false">(B342+C342)/2</f>
        <v>0.0479778051376343</v>
      </c>
      <c r="E342" s="15" t="n">
        <f aca="false">$C$2*(1+IF(E$3&lt;=$O$2,$D342,$D342-($D342-$I$319)*MIN(E$3-$O$2,$Q$2)/$Q$2))</f>
        <v>3290.65030813217</v>
      </c>
      <c r="F342" s="15" t="n">
        <f aca="false">E342*(1+IF(F$3&lt;=$O$2,$D342,$D342-($D342-$I$319)*MIN(F$3-$O$2,$Q$2)/$Q$2))</f>
        <v>3448.52848739183</v>
      </c>
      <c r="G342" s="15" t="n">
        <f aca="false">F342*(1+IF(G$3&lt;=$O$2,$D342,$D342-($D342-$I$319)*MIN(G$3-$O$2,$Q$2)/$Q$2))</f>
        <v>3613.9813151715</v>
      </c>
      <c r="H342" s="15" t="n">
        <f aca="false">G342*(1+IF(H$3&lt;=$O$2,$D342,$D342-($D342-$I$319)*MIN(H$3-$O$2,$Q$2)/$Q$2))</f>
        <v>3787.37220648185</v>
      </c>
      <c r="I342" s="15" t="n">
        <f aca="false">H342*(1+IF(I$3&lt;=$O$2,$D342,$D342-($D342-$I$319)*MIN(I$3-$O$2,$Q$2)/$Q$2))</f>
        <v>3969.08201218813</v>
      </c>
      <c r="J342" s="15" t="n">
        <f aca="false">I342*(1+IF(J$3&lt;=$O$2,$D342,$D342-($D342-$I$319)*MIN(J$3-$O$2,$Q$2)/$Q$2))</f>
        <v>4135.95112703758</v>
      </c>
      <c r="K342" s="15" t="n">
        <f aca="false">J342*(1+IF(K$3&lt;=$O$2,$D342,$D342-($D342-$I$319)*MIN(K$3-$O$2,$Q$2)/$Q$2))</f>
        <v>4285.28660362656</v>
      </c>
      <c r="L342" s="15" t="n">
        <f aca="false">K342*(1+IF(L$3&lt;=$O$2,$D342,$D342-($D342-$I$319)*MIN(L$3-$O$2,$Q$2)/$Q$2))</f>
        <v>4414.57850878547</v>
      </c>
      <c r="M342" s="15" t="n">
        <f aca="false">L342*(1+IF(M$3&lt;=$O$2,$D342,$D342-($D342-$I$319)*MIN(M$3-$O$2,$Q$2)/$Q$2))</f>
        <v>4521.56829564595</v>
      </c>
      <c r="N342" s="15" t="n">
        <f aca="false">M342*(1+IF(N$3&lt;=$O$2,$D342,$D342-($D342-$I$319)*MIN(N$3-$O$2,$Q$2)/$Q$2))</f>
        <v>4604.31299545627</v>
      </c>
      <c r="O342" s="15" t="n">
        <f aca="false">SUMPRODUCT(E342:N342,1/(1+$F$319)^$E$3:$N$3)*$E$2</f>
        <v>11820.4824282972</v>
      </c>
      <c r="P342" s="15" t="n">
        <f aca="false">N342*$E$2*(1+$I$319)/($F$319-$I$319)/(1+$F$319)^$N$3</f>
        <v>15237.3693853148</v>
      </c>
      <c r="Q342" s="15" t="n">
        <f aca="false">O342+P342</f>
        <v>27057.851813612</v>
      </c>
      <c r="R342" s="15" t="n">
        <f aca="false">Q342-$G$2+$I$2</f>
        <v>22990.051813612</v>
      </c>
      <c r="S342" s="42" t="n">
        <f aca="false">R342/$K$2</f>
        <v>176.629162673724</v>
      </c>
      <c r="T342" s="43" t="n">
        <f aca="false">S342-$M$2</f>
        <v>0.000398076305742734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0.0479774475097656</v>
      </c>
      <c r="C343" s="25" t="n">
        <f aca="false">IF(T342&gt;0,D342,C342)</f>
        <v>0.0479778051376343</v>
      </c>
      <c r="D343" s="41" t="n">
        <f aca="false">(B343+C343)/2</f>
        <v>0.0479776263237</v>
      </c>
      <c r="E343" s="15" t="n">
        <f aca="false">$C$2*(1+IF(E$3&lt;=$O$2,$D343,$D343-($D343-$I$319)*MIN(E$3-$O$2,$Q$2)/$Q$2))</f>
        <v>3290.64974665642</v>
      </c>
      <c r="F343" s="15" t="n">
        <f aca="false">E343*(1+IF(F$3&lt;=$O$2,$D343,$D343-($D343-$I$319)*MIN(F$3-$O$2,$Q$2)/$Q$2))</f>
        <v>3448.52731056368</v>
      </c>
      <c r="G343" s="15" t="n">
        <f aca="false">F343*(1+IF(G$3&lt;=$O$2,$D343,$D343-($D343-$I$319)*MIN(G$3-$O$2,$Q$2)/$Q$2))</f>
        <v>3613.97946523698</v>
      </c>
      <c r="H343" s="15" t="n">
        <f aca="false">G343*(1+IF(H$3&lt;=$O$2,$D343,$D343-($D343-$I$319)*MIN(H$3-$O$2,$Q$2)/$Q$2))</f>
        <v>3787.36962156164</v>
      </c>
      <c r="I343" s="15" t="n">
        <f aca="false">H343*(1+IF(I$3&lt;=$O$2,$D343,$D343-($D343-$I$319)*MIN(I$3-$O$2,$Q$2)/$Q$2))</f>
        <v>3969.07862601466</v>
      </c>
      <c r="J343" s="15" t="n">
        <f aca="false">I343*(1+IF(J$3&lt;=$O$2,$D343,$D343-($D343-$I$319)*MIN(J$3-$O$2,$Q$2)/$Q$2))</f>
        <v>4135.94703072052</v>
      </c>
      <c r="K343" s="15" t="n">
        <f aca="false">J343*(1+IF(K$3&lt;=$O$2,$D343,$D343-($D343-$I$319)*MIN(K$3-$O$2,$Q$2)/$Q$2))</f>
        <v>4285.28191566611</v>
      </c>
      <c r="L343" s="15" t="n">
        <f aca="false">K343*(1+IF(L$3&lt;=$O$2,$D343,$D343-($D343-$I$319)*MIN(L$3-$O$2,$Q$2)/$Q$2))</f>
        <v>4414.57337287674</v>
      </c>
      <c r="M343" s="15" t="n">
        <f aca="false">L343*(1+IF(M$3&lt;=$O$2,$D343,$D343-($D343-$I$319)*MIN(M$3-$O$2,$Q$2)/$Q$2))</f>
        <v>4521.56287738814</v>
      </c>
      <c r="N343" s="15" t="n">
        <f aca="false">M343*(1+IF(N$3&lt;=$O$2,$D343,$D343-($D343-$I$319)*MIN(N$3-$O$2,$Q$2)/$Q$2))</f>
        <v>4604.30747804435</v>
      </c>
      <c r="O343" s="15" t="n">
        <f aca="false">SUMPRODUCT(E343:N343,1/(1+$F$319)^$E$3:$N$3)*$E$2</f>
        <v>11820.4731893046</v>
      </c>
      <c r="P343" s="15" t="n">
        <f aca="false">N343*$E$2*(1+$I$319)/($F$319-$I$319)/(1+$F$319)^$N$3</f>
        <v>15237.3511261644</v>
      </c>
      <c r="Q343" s="15" t="n">
        <f aca="false">O343+P343</f>
        <v>27057.824315469</v>
      </c>
      <c r="R343" s="15" t="n">
        <f aca="false">Q343-$G$2+$I$2</f>
        <v>22990.024315469</v>
      </c>
      <c r="S343" s="42" t="n">
        <f aca="false">R343/$K$2</f>
        <v>176.628951409565</v>
      </c>
      <c r="T343" s="43" t="n">
        <f aca="false">S343-$M$2</f>
        <v>0.00018681214623939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0.0479774475097656</v>
      </c>
      <c r="C344" s="25" t="n">
        <f aca="false">IF(T343&gt;0,D343,C343)</f>
        <v>0.0479776263237</v>
      </c>
      <c r="D344" s="41" t="n">
        <f aca="false">(B344+C344)/2</f>
        <v>0.0479775369167328</v>
      </c>
      <c r="E344" s="15" t="n">
        <f aca="false">$C$2*(1+IF(E$3&lt;=$O$2,$D344,$D344-($D344-$I$319)*MIN(E$3-$O$2,$Q$2)/$Q$2))</f>
        <v>3290.64946591854</v>
      </c>
      <c r="F344" s="15" t="n">
        <f aca="false">E344*(1+IF(F$3&lt;=$O$2,$D344,$D344-($D344-$I$319)*MIN(F$3-$O$2,$Q$2)/$Q$2))</f>
        <v>3448.52672214967</v>
      </c>
      <c r="G344" s="15" t="n">
        <f aca="false">F344*(1+IF(G$3&lt;=$O$2,$D344,$D344-($D344-$I$319)*MIN(G$3-$O$2,$Q$2)/$Q$2))</f>
        <v>3613.97854026995</v>
      </c>
      <c r="H344" s="15" t="n">
        <f aca="false">G344*(1+IF(H$3&lt;=$O$2,$D344,$D344-($D344-$I$319)*MIN(H$3-$O$2,$Q$2)/$Q$2))</f>
        <v>3787.36832910203</v>
      </c>
      <c r="I344" s="15" t="n">
        <f aca="false">H344*(1+IF(I$3&lt;=$O$2,$D344,$D344-($D344-$I$319)*MIN(I$3-$O$2,$Q$2)/$Q$2))</f>
        <v>3969.07693292879</v>
      </c>
      <c r="J344" s="15" t="n">
        <f aca="false">I344*(1+IF(J$3&lt;=$O$2,$D344,$D344-($D344-$I$319)*MIN(J$3-$O$2,$Q$2)/$Q$2))</f>
        <v>4135.94498256326</v>
      </c>
      <c r="K344" s="15" t="n">
        <f aca="false">J344*(1+IF(K$3&lt;=$O$2,$D344,$D344-($D344-$I$319)*MIN(K$3-$O$2,$Q$2)/$Q$2))</f>
        <v>4285.27957168753</v>
      </c>
      <c r="L344" s="15" t="n">
        <f aca="false">K344*(1+IF(L$3&lt;=$O$2,$D344,$D344-($D344-$I$319)*MIN(L$3-$O$2,$Q$2)/$Q$2))</f>
        <v>4414.57080492432</v>
      </c>
      <c r="M344" s="15" t="n">
        <f aca="false">L344*(1+IF(M$3&lt;=$O$2,$D344,$D344-($D344-$I$319)*MIN(M$3-$O$2,$Q$2)/$Q$2))</f>
        <v>4521.56016826137</v>
      </c>
      <c r="N344" s="15" t="n">
        <f aca="false">M344*(1+IF(N$3&lt;=$O$2,$D344,$D344-($D344-$I$319)*MIN(N$3-$O$2,$Q$2)/$Q$2))</f>
        <v>4604.30471934056</v>
      </c>
      <c r="O344" s="15" t="n">
        <f aca="false">SUMPRODUCT(E344:N344,1/(1+$F$319)^$E$3:$N$3)*$E$2</f>
        <v>11820.468569811</v>
      </c>
      <c r="P344" s="15" t="n">
        <f aca="false">N344*$E$2*(1+$I$319)/($F$319-$I$319)/(1+$F$319)^$N$3</f>
        <v>15237.3419965963</v>
      </c>
      <c r="Q344" s="15" t="n">
        <f aca="false">O344+P344</f>
        <v>27057.8105664074</v>
      </c>
      <c r="R344" s="15" t="n">
        <f aca="false">Q344-$G$2+$I$2</f>
        <v>22990.0105664074</v>
      </c>
      <c r="S344" s="42" t="n">
        <f aca="false">R344/$K$2</f>
        <v>176.628845777561</v>
      </c>
      <c r="T344" s="43" t="n">
        <f aca="false">S344-$M$2</f>
        <v>8.11801425584235E-005</v>
      </c>
    </row>
    <row r="346" customFormat="false" ht="15" hidden="false" customHeight="false" outlineLevel="0" collapsed="false">
      <c r="A346" s="38" t="s">
        <v>186</v>
      </c>
      <c r="E346" s="5" t="s">
        <v>11</v>
      </c>
      <c r="F346" s="12" t="n">
        <f aca="false">Sensitivity!$B$12</f>
        <v>0.0819413943493295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155</v>
      </c>
      <c r="B347" s="28" t="s">
        <v>156</v>
      </c>
      <c r="C347" s="28" t="s">
        <v>157</v>
      </c>
      <c r="D347" s="28" t="s">
        <v>158</v>
      </c>
      <c r="E347" s="28" t="s">
        <v>159</v>
      </c>
      <c r="F347" s="28" t="s">
        <v>160</v>
      </c>
      <c r="G347" s="28" t="s">
        <v>161</v>
      </c>
      <c r="H347" s="28" t="s">
        <v>162</v>
      </c>
      <c r="I347" s="28" t="s">
        <v>163</v>
      </c>
      <c r="J347" s="28" t="s">
        <v>164</v>
      </c>
      <c r="K347" s="28" t="s">
        <v>165</v>
      </c>
      <c r="L347" s="28" t="s">
        <v>166</v>
      </c>
      <c r="M347" s="28" t="s">
        <v>167</v>
      </c>
      <c r="N347" s="28" t="s">
        <v>168</v>
      </c>
      <c r="O347" s="28" t="s">
        <v>169</v>
      </c>
      <c r="P347" s="28" t="s">
        <v>170</v>
      </c>
      <c r="Q347" s="28" t="s">
        <v>171</v>
      </c>
      <c r="R347" s="28" t="s">
        <v>172</v>
      </c>
      <c r="S347" s="28" t="s">
        <v>173</v>
      </c>
      <c r="T347" s="28" t="s">
        <v>174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3925</v>
      </c>
      <c r="F348" s="15" t="n">
        <f aca="false">E348*(1+IF(F$3&lt;=$O$2,$D348,$D348-($D348-$I$346)*MIN(F$3-$O$2,$Q$2)/$Q$2))</f>
        <v>4906.25</v>
      </c>
      <c r="G348" s="15" t="n">
        <f aca="false">F348*(1+IF(G$3&lt;=$O$2,$D348,$D348-($D348-$I$346)*MIN(G$3-$O$2,$Q$2)/$Q$2))</f>
        <v>6132.8125</v>
      </c>
      <c r="H348" s="15" t="n">
        <f aca="false">G348*(1+IF(H$3&lt;=$O$2,$D348,$D348-($D348-$I$346)*MIN(H$3-$O$2,$Q$2)/$Q$2))</f>
        <v>7666.015625</v>
      </c>
      <c r="I348" s="15" t="n">
        <f aca="false">H348*(1+IF(I$3&lt;=$O$2,$D348,$D348-($D348-$I$346)*MIN(I$3-$O$2,$Q$2)/$Q$2))</f>
        <v>9582.51953125</v>
      </c>
      <c r="J348" s="15" t="n">
        <f aca="false">I348*(1+IF(J$3&lt;=$O$2,$D348,$D348-($D348-$I$346)*MIN(J$3-$O$2,$Q$2)/$Q$2))</f>
        <v>11543.6779785156</v>
      </c>
      <c r="K348" s="15" t="n">
        <f aca="false">J348*(1+IF(K$3&lt;=$O$2,$D348,$D348-($D348-$I$346)*MIN(K$3-$O$2,$Q$2)/$Q$2))</f>
        <v>13382.8167540527</v>
      </c>
      <c r="L348" s="15" t="n">
        <f aca="false">K348*(1+IF(L$3&lt;=$O$2,$D348,$D348-($D348-$I$346)*MIN(L$3-$O$2,$Q$2)/$Q$2))</f>
        <v>14908.1902076797</v>
      </c>
      <c r="M348" s="15" t="n">
        <f aca="false">L348*(1+IF(M$3&lt;=$O$2,$D348,$D348-($D348-$I$346)*MIN(M$3-$O$2,$Q$2)/$Q$2))</f>
        <v>15931.4883835348</v>
      </c>
      <c r="N348" s="15" t="n">
        <f aca="false">M348*(1+IF(N$3&lt;=$O$2,$D348,$D348-($D348-$I$346)*MIN(N$3-$O$2,$Q$2)/$Q$2))</f>
        <v>16302.6920628712</v>
      </c>
      <c r="O348" s="15" t="n">
        <f aca="false">SUMPRODUCT(E348:N348,1/(1+$F$346)^$E$3:$N$3)*$E$2</f>
        <v>28561.4126260869</v>
      </c>
      <c r="P348" s="15" t="n">
        <f aca="false">N348*$E$2*(1+$I$346)/($F$346-$I$346)/(1+$F$346)^$N$3</f>
        <v>58839.2476337312</v>
      </c>
      <c r="Q348" s="15" t="n">
        <f aca="false">O348+P348</f>
        <v>87400.6602598181</v>
      </c>
      <c r="R348" s="15" t="n">
        <f aca="false">Q348-$G$2+$I$2</f>
        <v>83332.8602598181</v>
      </c>
      <c r="S348" s="42" t="n">
        <f aca="false">R348/$K$2</f>
        <v>640.234021664245</v>
      </c>
      <c r="T348" s="43" t="n">
        <f aca="false">S348-$M$2</f>
        <v>463.605257066826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2747.5</v>
      </c>
      <c r="F349" s="15" t="n">
        <f aca="false">E349*(1+IF(F$3&lt;=$O$2,$D349,$D349-($D349-$I$346)*MIN(F$3-$O$2,$Q$2)/$Q$2))</f>
        <v>2404.0625</v>
      </c>
      <c r="G349" s="15" t="n">
        <f aca="false">F349*(1+IF(G$3&lt;=$O$2,$D349,$D349-($D349-$I$346)*MIN(G$3-$O$2,$Q$2)/$Q$2))</f>
        <v>2103.5546875</v>
      </c>
      <c r="H349" s="15" t="n">
        <f aca="false">G349*(1+IF(H$3&lt;=$O$2,$D349,$D349-($D349-$I$346)*MIN(H$3-$O$2,$Q$2)/$Q$2))</f>
        <v>1840.6103515625</v>
      </c>
      <c r="I349" s="15" t="n">
        <f aca="false">H349*(1+IF(I$3&lt;=$O$2,$D349,$D349-($D349-$I$346)*MIN(I$3-$O$2,$Q$2)/$Q$2))</f>
        <v>1610.53405761719</v>
      </c>
      <c r="J349" s="15" t="n">
        <f aca="false">I349*(1+IF(J$3&lt;=$O$2,$D349,$D349-($D349-$I$346)*MIN(J$3-$O$2,$Q$2)/$Q$2))</f>
        <v>1456.98574056396</v>
      </c>
      <c r="K349" s="15" t="n">
        <f aca="false">J349*(1+IF(K$3&lt;=$O$2,$D349,$D349-($D349-$I$346)*MIN(K$3-$O$2,$Q$2)/$Q$2))</f>
        <v>1361.29091712372</v>
      </c>
      <c r="L349" s="15" t="n">
        <f aca="false">K349*(1+IF(L$3&lt;=$O$2,$D349,$D349-($D349-$I$346)*MIN(L$3-$O$2,$Q$2)/$Q$2))</f>
        <v>1312.25721828893</v>
      </c>
      <c r="M349" s="15" t="n">
        <f aca="false">L349*(1+IF(M$3&lt;=$O$2,$D349,$D349-($D349-$I$346)*MIN(M$3-$O$2,$Q$2)/$Q$2))</f>
        <v>1303.91126238061</v>
      </c>
      <c r="N349" s="15" t="n">
        <f aca="false">M349*(1+IF(N$3&lt;=$O$2,$D349,$D349-($D349-$I$346)*MIN(N$3-$O$2,$Q$2)/$Q$2))</f>
        <v>1334.29239479408</v>
      </c>
      <c r="O349" s="15" t="n">
        <f aca="false">SUMPRODUCT(E349:N349,1/(1+$F$346)^$E$3:$N$3)*$E$2</f>
        <v>5602.68352083374</v>
      </c>
      <c r="P349" s="15" t="n">
        <f aca="false">N349*$E$2*(1+$I$346)/($F$346-$I$346)/(1+$F$346)^$N$3</f>
        <v>4815.69303586947</v>
      </c>
      <c r="Q349" s="15" t="n">
        <f aca="false">O349+P349</f>
        <v>10418.3765567032</v>
      </c>
      <c r="R349" s="15" t="n">
        <f aca="false">Q349-$G$2+$I$2</f>
        <v>6350.57655670321</v>
      </c>
      <c r="S349" s="42" t="n">
        <f aca="false">R349/$K$2</f>
        <v>48.7905390035587</v>
      </c>
      <c r="T349" s="43" t="n">
        <f aca="false">S349-$M$2</f>
        <v>-127.83822559386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3336.25</v>
      </c>
      <c r="F350" s="15" t="n">
        <f aca="false">E350*(1+IF(F$3&lt;=$O$2,$D350,$D350-($D350-$I$346)*MIN(F$3-$O$2,$Q$2)/$Q$2))</f>
        <v>3544.765625</v>
      </c>
      <c r="G350" s="15" t="n">
        <f aca="false">F350*(1+IF(G$3&lt;=$O$2,$D350,$D350-($D350-$I$346)*MIN(G$3-$O$2,$Q$2)/$Q$2))</f>
        <v>3766.3134765625</v>
      </c>
      <c r="H350" s="15" t="n">
        <f aca="false">G350*(1+IF(H$3&lt;=$O$2,$D350,$D350-($D350-$I$346)*MIN(H$3-$O$2,$Q$2)/$Q$2))</f>
        <v>4001.70806884766</v>
      </c>
      <c r="I350" s="15" t="n">
        <f aca="false">H350*(1+IF(I$3&lt;=$O$2,$D350,$D350-($D350-$I$346)*MIN(I$3-$O$2,$Q$2)/$Q$2))</f>
        <v>4251.81482315064</v>
      </c>
      <c r="J350" s="15" t="n">
        <f aca="false">I350*(1+IF(J$3&lt;=$O$2,$D350,$D350-($D350-$I$346)*MIN(J$3-$O$2,$Q$2)/$Q$2))</f>
        <v>4484.21902138405</v>
      </c>
      <c r="K350" s="15" t="n">
        <f aca="false">J350*(1+IF(K$3&lt;=$O$2,$D350,$D350-($D350-$I$346)*MIN(K$3-$O$2,$Q$2)/$Q$2))</f>
        <v>4694.17015596525</v>
      </c>
      <c r="L350" s="15" t="n">
        <f aca="false">K350*(1+IF(L$3&lt;=$O$2,$D350,$D350-($D350-$I$346)*MIN(L$3-$O$2,$Q$2)/$Q$2))</f>
        <v>4877.14890864478</v>
      </c>
      <c r="M350" s="15" t="n">
        <f aca="false">L350*(1+IF(M$3&lt;=$O$2,$D350,$D350-($D350-$I$346)*MIN(M$3-$O$2,$Q$2)/$Q$2))</f>
        <v>5029.02332565997</v>
      </c>
      <c r="N350" s="15" t="n">
        <f aca="false">M350*(1+IF(N$3&lt;=$O$2,$D350,$D350-($D350-$I$346)*MIN(N$3-$O$2,$Q$2)/$Q$2))</f>
        <v>5146.19956914785</v>
      </c>
      <c r="O350" s="15" t="n">
        <f aca="false">SUMPRODUCT(E350:N350,1/(1+$F$346)^$E$3:$N$3)*$E$2</f>
        <v>12632.9433327437</v>
      </c>
      <c r="P350" s="15" t="n">
        <f aca="false">N350*$E$2*(1+$I$346)/($F$346-$I$346)/(1+$F$346)^$N$3</f>
        <v>18573.5282034373</v>
      </c>
      <c r="Q350" s="15" t="n">
        <f aca="false">O350+P350</f>
        <v>31206.4715361811</v>
      </c>
      <c r="R350" s="15" t="n">
        <f aca="false">Q350-$G$2+$I$2</f>
        <v>27138.6715361811</v>
      </c>
      <c r="S350" s="42" t="n">
        <f aca="false">R350/$K$2</f>
        <v>208.502393486333</v>
      </c>
      <c r="T350" s="43" t="n">
        <f aca="false">S350-$M$2</f>
        <v>31.8736288889141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3041.875</v>
      </c>
      <c r="F351" s="15" t="n">
        <f aca="false">E351*(1+IF(F$3&lt;=$O$2,$D351,$D351-($D351-$I$346)*MIN(F$3-$O$2,$Q$2)/$Q$2))</f>
        <v>2946.81640625</v>
      </c>
      <c r="G351" s="15" t="n">
        <f aca="false">F351*(1+IF(G$3&lt;=$O$2,$D351,$D351-($D351-$I$346)*MIN(G$3-$O$2,$Q$2)/$Q$2))</f>
        <v>2854.72839355469</v>
      </c>
      <c r="H351" s="15" t="n">
        <f aca="false">G351*(1+IF(H$3&lt;=$O$2,$D351,$D351-($D351-$I$346)*MIN(H$3-$O$2,$Q$2)/$Q$2))</f>
        <v>2765.5181312561</v>
      </c>
      <c r="I351" s="15" t="n">
        <f aca="false">H351*(1+IF(I$3&lt;=$O$2,$D351,$D351-($D351-$I$346)*MIN(I$3-$O$2,$Q$2)/$Q$2))</f>
        <v>2679.09568965435</v>
      </c>
      <c r="J351" s="15" t="n">
        <f aca="false">I351*(1+IF(J$3&lt;=$O$2,$D351,$D351-($D351-$I$346)*MIN(J$3-$O$2,$Q$2)/$Q$2))</f>
        <v>2624.60288332678</v>
      </c>
      <c r="K351" s="15" t="n">
        <f aca="false">J351*(1+IF(K$3&lt;=$O$2,$D351,$D351-($D351-$I$346)*MIN(K$3-$O$2,$Q$2)/$Q$2))</f>
        <v>2599.85287813701</v>
      </c>
      <c r="L351" s="15" t="n">
        <f aca="false">K351*(1+IF(L$3&lt;=$O$2,$D351,$D351-($D351-$I$346)*MIN(L$3-$O$2,$Q$2)/$Q$2))</f>
        <v>2603.70066039665</v>
      </c>
      <c r="M351" s="15" t="n">
        <f aca="false">L351*(1+IF(M$3&lt;=$O$2,$D351,$D351-($D351-$I$346)*MIN(M$3-$O$2,$Q$2)/$Q$2))</f>
        <v>2635.96051157897</v>
      </c>
      <c r="N351" s="15" t="n">
        <f aca="false">M351*(1+IF(N$3&lt;=$O$2,$D351,$D351-($D351-$I$346)*MIN(N$3-$O$2,$Q$2)/$Q$2))</f>
        <v>2697.37839149876</v>
      </c>
      <c r="O351" s="15" t="n">
        <f aca="false">SUMPRODUCT(E351:N351,1/(1+$F$346)^$E$3:$N$3)*$E$2</f>
        <v>8389.35487780862</v>
      </c>
      <c r="P351" s="15" t="n">
        <f aca="false">N351*$E$2*(1+$I$346)/($F$346-$I$346)/(1+$F$346)^$N$3</f>
        <v>9735.30718283833</v>
      </c>
      <c r="Q351" s="15" t="n">
        <f aca="false">O351+P351</f>
        <v>18124.6620606469</v>
      </c>
      <c r="R351" s="15" t="n">
        <f aca="false">Q351-$G$2+$I$2</f>
        <v>14056.8620606469</v>
      </c>
      <c r="S351" s="42" t="n">
        <f aca="false">R351/$K$2</f>
        <v>107.996789033858</v>
      </c>
      <c r="T351" s="43" t="n">
        <f aca="false">S351-$M$2</f>
        <v>-68.6319755635607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3189.0625</v>
      </c>
      <c r="F352" s="15" t="n">
        <f aca="false">E352*(1+IF(F$3&lt;=$O$2,$D352,$D352-($D352-$I$346)*MIN(F$3-$O$2,$Q$2)/$Q$2))</f>
        <v>3238.8916015625</v>
      </c>
      <c r="G352" s="15" t="n">
        <f aca="false">F352*(1+IF(G$3&lt;=$O$2,$D352,$D352-($D352-$I$346)*MIN(G$3-$O$2,$Q$2)/$Q$2))</f>
        <v>3289.49928283691</v>
      </c>
      <c r="H352" s="15" t="n">
        <f aca="false">G352*(1+IF(H$3&lt;=$O$2,$D352,$D352-($D352-$I$346)*MIN(H$3-$O$2,$Q$2)/$Q$2))</f>
        <v>3340.89770913124</v>
      </c>
      <c r="I352" s="15" t="n">
        <f aca="false">H352*(1+IF(I$3&lt;=$O$2,$D352,$D352-($D352-$I$346)*MIN(I$3-$O$2,$Q$2)/$Q$2))</f>
        <v>3393.09923583642</v>
      </c>
      <c r="J352" s="15" t="n">
        <f aca="false">I352*(1+IF(J$3&lt;=$O$2,$D352,$D352-($D352-$I$346)*MIN(J$3-$O$2,$Q$2)/$Q$2))</f>
        <v>3451.32481872337</v>
      </c>
      <c r="K352" s="15" t="n">
        <f aca="false">J352*(1+IF(K$3&lt;=$O$2,$D352,$D352-($D352-$I$346)*MIN(K$3-$O$2,$Q$2)/$Q$2))</f>
        <v>3515.8473362094</v>
      </c>
      <c r="L352" s="15" t="n">
        <f aca="false">K352*(1+IF(L$3&lt;=$O$2,$D352,$D352-($D352-$I$346)*MIN(L$3-$O$2,$Q$2)/$Q$2))</f>
        <v>3586.97292782092</v>
      </c>
      <c r="M352" s="15" t="n">
        <f aca="false">L352*(1+IF(M$3&lt;=$O$2,$D352,$D352-($D352-$I$346)*MIN(M$3-$O$2,$Q$2)/$Q$2))</f>
        <v>3665.04339359494</v>
      </c>
      <c r="N352" s="15" t="n">
        <f aca="false">M352*(1+IF(N$3&lt;=$O$2,$D352,$D352-($D352-$I$346)*MIN(N$3-$O$2,$Q$2)/$Q$2))</f>
        <v>3750.4389046657</v>
      </c>
      <c r="O352" s="15" t="n">
        <f aca="false">SUMPRODUCT(E352:N352,1/(1+$F$346)^$E$3:$N$3)*$E$2</f>
        <v>10290.9268934792</v>
      </c>
      <c r="P352" s="15" t="n">
        <f aca="false">N352*$E$2*(1+$I$346)/($F$346-$I$346)/(1+$F$346)^$N$3</f>
        <v>13535.9855044665</v>
      </c>
      <c r="Q352" s="15" t="n">
        <f aca="false">O352+P352</f>
        <v>23826.9123979457</v>
      </c>
      <c r="R352" s="15" t="n">
        <f aca="false">Q352-$G$2+$I$2</f>
        <v>19759.1123979457</v>
      </c>
      <c r="S352" s="42" t="n">
        <f aca="false">R352/$K$2</f>
        <v>151.806333727303</v>
      </c>
      <c r="T352" s="43" t="n">
        <f aca="false">S352-$M$2</f>
        <v>-24.822430870116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41" t="n">
        <f aca="false">(B353+C353)/2</f>
        <v>0.0390625</v>
      </c>
      <c r="E353" s="15" t="n">
        <f aca="false">$C$2*(1+IF(E$3&lt;=$O$2,$D353,$D353-($D353-$I$346)*MIN(E$3-$O$2,$Q$2)/$Q$2))</f>
        <v>3262.65625</v>
      </c>
      <c r="F353" s="15" t="n">
        <f aca="false">E353*(1+IF(F$3&lt;=$O$2,$D353,$D353-($D353-$I$346)*MIN(F$3-$O$2,$Q$2)/$Q$2))</f>
        <v>3390.10375976563</v>
      </c>
      <c r="G353" s="15" t="n">
        <f aca="false">F353*(1+IF(G$3&lt;=$O$2,$D353,$D353-($D353-$I$346)*MIN(G$3-$O$2,$Q$2)/$Q$2))</f>
        <v>3522.52968788147</v>
      </c>
      <c r="H353" s="15" t="n">
        <f aca="false">G353*(1+IF(H$3&lt;=$O$2,$D353,$D353-($D353-$I$346)*MIN(H$3-$O$2,$Q$2)/$Q$2))</f>
        <v>3660.12850381434</v>
      </c>
      <c r="I353" s="15" t="n">
        <f aca="false">H353*(1+IF(I$3&lt;=$O$2,$D353,$D353-($D353-$I$346)*MIN(I$3-$O$2,$Q$2)/$Q$2))</f>
        <v>3803.10227349459</v>
      </c>
      <c r="J353" s="15" t="n">
        <f aca="false">I353*(1+IF(J$3&lt;=$O$2,$D353,$D353-($D353-$I$346)*MIN(J$3-$O$2,$Q$2)/$Q$2))</f>
        <v>3939.67167613578</v>
      </c>
      <c r="K353" s="15" t="n">
        <f aca="false">J353*(1+IF(K$3&lt;=$O$2,$D353,$D353-($D353-$I$346)*MIN(K$3-$O$2,$Q$2)/$Q$2))</f>
        <v>4068.7254710668</v>
      </c>
      <c r="L353" s="15" t="n">
        <f aca="false">K353*(1+IF(L$3&lt;=$O$2,$D353,$D353-($D353-$I$346)*MIN(L$3-$O$2,$Q$2)/$Q$2))</f>
        <v>4189.18008863773</v>
      </c>
      <c r="M353" s="15" t="n">
        <f aca="false">L353*(1+IF(M$3&lt;=$O$2,$D353,$D353-($D353-$I$346)*MIN(M$3-$O$2,$Q$2)/$Q$2))</f>
        <v>4299.99437493242</v>
      </c>
      <c r="N353" s="15" t="n">
        <f aca="false">M353*(1+IF(N$3&lt;=$O$2,$D353,$D353-($D353-$I$346)*MIN(N$3-$O$2,$Q$2)/$Q$2))</f>
        <v>4400.18424386834</v>
      </c>
      <c r="O353" s="15" t="n">
        <f aca="false">SUMPRODUCT(E353:N353,1/(1+$F$346)^$E$3:$N$3)*$E$2</f>
        <v>11401.3607595547</v>
      </c>
      <c r="P353" s="15" t="n">
        <f aca="false">N353*$E$2*(1+$I$346)/($F$346-$I$346)/(1+$F$346)^$N$3</f>
        <v>15881.0293024338</v>
      </c>
      <c r="Q353" s="15" t="n">
        <f aca="false">O353+P353</f>
        <v>27282.3900619885</v>
      </c>
      <c r="R353" s="15" t="n">
        <f aca="false">Q353-$G$2+$I$2</f>
        <v>23214.5900619885</v>
      </c>
      <c r="S353" s="42" t="n">
        <f aca="false">R353/$K$2</f>
        <v>178.354256776187</v>
      </c>
      <c r="T353" s="43" t="n">
        <f aca="false">S353-$M$2</f>
        <v>1.72549217876832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0.015625</v>
      </c>
      <c r="C354" s="25" t="n">
        <f aca="false">IF(T353&gt;0,D353,C353)</f>
        <v>0.0390625</v>
      </c>
      <c r="D354" s="41" t="n">
        <f aca="false">(B354+C354)/2</f>
        <v>0.02734375</v>
      </c>
      <c r="E354" s="15" t="n">
        <f aca="false">$C$2*(1+IF(E$3&lt;=$O$2,$D354,$D354-($D354-$I$346)*MIN(E$3-$O$2,$Q$2)/$Q$2))</f>
        <v>3225.859375</v>
      </c>
      <c r="F354" s="15" t="n">
        <f aca="false">E354*(1+IF(F$3&lt;=$O$2,$D354,$D354-($D354-$I$346)*MIN(F$3-$O$2,$Q$2)/$Q$2))</f>
        <v>3314.06646728516</v>
      </c>
      <c r="G354" s="15" t="n">
        <f aca="false">F354*(1+IF(G$3&lt;=$O$2,$D354,$D354-($D354-$I$346)*MIN(G$3-$O$2,$Q$2)/$Q$2))</f>
        <v>3404.68547224998</v>
      </c>
      <c r="H354" s="15" t="n">
        <f aca="false">G354*(1+IF(H$3&lt;=$O$2,$D354,$D354-($D354-$I$346)*MIN(H$3-$O$2,$Q$2)/$Q$2))</f>
        <v>3497.78234063182</v>
      </c>
      <c r="I354" s="15" t="n">
        <f aca="false">H354*(1+IF(I$3&lt;=$O$2,$D354,$D354-($D354-$I$346)*MIN(I$3-$O$2,$Q$2)/$Q$2))</f>
        <v>3593.42482650847</v>
      </c>
      <c r="J354" s="15" t="n">
        <f aca="false">I354*(1+IF(J$3&lt;=$O$2,$D354,$D354-($D354-$I$346)*MIN(J$3-$O$2,$Q$2)/$Q$2))</f>
        <v>3688.77635427987</v>
      </c>
      <c r="K354" s="15" t="n">
        <f aca="false">J354*(1+IF(K$3&lt;=$O$2,$D354,$D354-($D354-$I$346)*MIN(K$3-$O$2,$Q$2)/$Q$2))</f>
        <v>3783.67473696417</v>
      </c>
      <c r="L354" s="15" t="n">
        <f aca="false">K354*(1+IF(L$3&lt;=$O$2,$D354,$D354-($D354-$I$346)*MIN(L$3-$O$2,$Q$2)/$Q$2))</f>
        <v>3877.95445222247</v>
      </c>
      <c r="M354" s="15" t="n">
        <f aca="false">L354*(1+IF(M$3&lt;=$O$2,$D354,$D354-($D354-$I$346)*MIN(M$3-$O$2,$Q$2)/$Q$2))</f>
        <v>3971.44708662249</v>
      </c>
      <c r="N354" s="15" t="n">
        <f aca="false">M354*(1+IF(N$3&lt;=$O$2,$D354,$D354-($D354-$I$346)*MIN(N$3-$O$2,$Q$2)/$Q$2))</f>
        <v>4063.98180374079</v>
      </c>
      <c r="O354" s="15" t="n">
        <f aca="false">SUMPRODUCT(E354:N354,1/(1+$F$346)^$E$3:$N$3)*$E$2</f>
        <v>10831.7269996735</v>
      </c>
      <c r="P354" s="15" t="n">
        <f aca="false">N354*$E$2*(1+$I$346)/($F$346-$I$346)/(1+$F$346)^$N$3</f>
        <v>14667.6162935</v>
      </c>
      <c r="Q354" s="15" t="n">
        <f aca="false">O354+P354</f>
        <v>25499.3432931735</v>
      </c>
      <c r="R354" s="15" t="n">
        <f aca="false">Q354-$G$2+$I$2</f>
        <v>21431.5432931735</v>
      </c>
      <c r="S354" s="42" t="n">
        <f aca="false">R354/$K$2</f>
        <v>164.655372565869</v>
      </c>
      <c r="T354" s="43" t="n">
        <f aca="false">S354-$M$2</f>
        <v>-11.9733920315497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0.02734375</v>
      </c>
      <c r="C355" s="25" t="n">
        <f aca="false">IF(T354&gt;0,D354,C354)</f>
        <v>0.0390625</v>
      </c>
      <c r="D355" s="41" t="n">
        <f aca="false">(B355+C355)/2</f>
        <v>0.033203125</v>
      </c>
      <c r="E355" s="15" t="n">
        <f aca="false">$C$2*(1+IF(E$3&lt;=$O$2,$D355,$D355-($D355-$I$346)*MIN(E$3-$O$2,$Q$2)/$Q$2))</f>
        <v>3244.2578125</v>
      </c>
      <c r="F355" s="15" t="n">
        <f aca="false">E355*(1+IF(F$3&lt;=$O$2,$D355,$D355-($D355-$I$346)*MIN(F$3-$O$2,$Q$2)/$Q$2))</f>
        <v>3351.97731018066</v>
      </c>
      <c r="G355" s="15" t="n">
        <f aca="false">F355*(1+IF(G$3&lt;=$O$2,$D355,$D355-($D355-$I$346)*MIN(G$3-$O$2,$Q$2)/$Q$2))</f>
        <v>3463.27343180776</v>
      </c>
      <c r="H355" s="15" t="n">
        <f aca="false">G355*(1+IF(H$3&lt;=$O$2,$D355,$D355-($D355-$I$346)*MIN(H$3-$O$2,$Q$2)/$Q$2))</f>
        <v>3578.26493247325</v>
      </c>
      <c r="I355" s="15" t="n">
        <f aca="false">H355*(1+IF(I$3&lt;=$O$2,$D355,$D355-($D355-$I$346)*MIN(I$3-$O$2,$Q$2)/$Q$2))</f>
        <v>3697.07451030927</v>
      </c>
      <c r="J355" s="15" t="n">
        <f aca="false">I355*(1+IF(J$3&lt;=$O$2,$D355,$D355-($D355-$I$346)*MIN(J$3-$O$2,$Q$2)/$Q$2))</f>
        <v>3812.50641920741</v>
      </c>
      <c r="K355" s="15" t="n">
        <f aca="false">J355*(1+IF(K$3&lt;=$O$2,$D355,$D355-($D355-$I$346)*MIN(K$3-$O$2,$Q$2)/$Q$2))</f>
        <v>3923.99125535457</v>
      </c>
      <c r="L355" s="15" t="n">
        <f aca="false">K355*(1+IF(L$3&lt;=$O$2,$D355,$D355-($D355-$I$346)*MIN(L$3-$O$2,$Q$2)/$Q$2))</f>
        <v>4030.9641619646</v>
      </c>
      <c r="M355" s="15" t="n">
        <f aca="false">L355*(1+IF(M$3&lt;=$O$2,$D355,$D355-($D355-$I$346)*MIN(M$3-$O$2,$Q$2)/$Q$2))</f>
        <v>4132.86945533167</v>
      </c>
      <c r="N355" s="15" t="n">
        <f aca="false">M355*(1+IF(N$3&lt;=$O$2,$D355,$D355-($D355-$I$346)*MIN(N$3-$O$2,$Q$2)/$Q$2))</f>
        <v>4229.1653136409</v>
      </c>
      <c r="O355" s="15" t="n">
        <f aca="false">SUMPRODUCT(E355:N355,1/(1+$F$346)^$E$3:$N$3)*$E$2</f>
        <v>11112.8512243724</v>
      </c>
      <c r="P355" s="15" t="n">
        <f aca="false">N355*$E$2*(1+$I$346)/($F$346-$I$346)/(1+$F$346)^$N$3</f>
        <v>15263.792275144</v>
      </c>
      <c r="Q355" s="15" t="n">
        <f aca="false">O355+P355</f>
        <v>26376.6434995163</v>
      </c>
      <c r="R355" s="15" t="n">
        <f aca="false">Q355-$G$2+$I$2</f>
        <v>22308.8434995163</v>
      </c>
      <c r="S355" s="42" t="n">
        <f aca="false">R355/$K$2</f>
        <v>171.395540100771</v>
      </c>
      <c r="T355" s="43" t="n">
        <f aca="false">S355-$M$2</f>
        <v>-5.23322449664764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0.033203125</v>
      </c>
      <c r="C356" s="25" t="n">
        <f aca="false">IF(T355&gt;0,D355,C355)</f>
        <v>0.0390625</v>
      </c>
      <c r="D356" s="41" t="n">
        <f aca="false">(B356+C356)/2</f>
        <v>0.0361328125</v>
      </c>
      <c r="E356" s="15" t="n">
        <f aca="false">$C$2*(1+IF(E$3&lt;=$O$2,$D356,$D356-($D356-$I$346)*MIN(E$3-$O$2,$Q$2)/$Q$2))</f>
        <v>3253.45703125</v>
      </c>
      <c r="F356" s="15" t="n">
        <f aca="false">E356*(1+IF(F$3&lt;=$O$2,$D356,$D356-($D356-$I$346)*MIN(F$3-$O$2,$Q$2)/$Q$2))</f>
        <v>3371.01358413696</v>
      </c>
      <c r="G356" s="15" t="n">
        <f aca="false">F356*(1+IF(G$3&lt;=$O$2,$D356,$D356-($D356-$I$346)*MIN(G$3-$O$2,$Q$2)/$Q$2))</f>
        <v>3492.81778590754</v>
      </c>
      <c r="H356" s="15" t="n">
        <f aca="false">G356*(1+IF(H$3&lt;=$O$2,$D356,$D356-($D356-$I$346)*MIN(H$3-$O$2,$Q$2)/$Q$2))</f>
        <v>3619.0231160624</v>
      </c>
      <c r="I356" s="15" t="n">
        <f aca="false">H356*(1+IF(I$3&lt;=$O$2,$D356,$D356-($D356-$I$346)*MIN(I$3-$O$2,$Q$2)/$Q$2))</f>
        <v>3749.78859974825</v>
      </c>
      <c r="J356" s="15" t="n">
        <f aca="false">I356*(1+IF(J$3&lt;=$O$2,$D356,$D356-($D356-$I$346)*MIN(J$3-$O$2,$Q$2)/$Q$2))</f>
        <v>3875.65494133455</v>
      </c>
      <c r="K356" s="15" t="n">
        <f aca="false">J356*(1+IF(K$3&lt;=$O$2,$D356,$D356-($D356-$I$346)*MIN(K$3-$O$2,$Q$2)/$Q$2))</f>
        <v>3995.79903337375</v>
      </c>
      <c r="L356" s="15" t="n">
        <f aca="false">K356*(1+IF(L$3&lt;=$O$2,$D356,$D356-($D356-$I$346)*MIN(L$3-$O$2,$Q$2)/$Q$2))</f>
        <v>4109.41208676454</v>
      </c>
      <c r="M356" s="15" t="n">
        <f aca="false">L356*(1+IF(M$3&lt;=$O$2,$D356,$D356-($D356-$I$346)*MIN(M$3-$O$2,$Q$2)/$Q$2))</f>
        <v>4215.7084513451</v>
      </c>
      <c r="N356" s="15" t="n">
        <f aca="false">M356*(1+IF(N$3&lt;=$O$2,$D356,$D356-($D356-$I$346)*MIN(N$3-$O$2,$Q$2)/$Q$2))</f>
        <v>4313.93445826144</v>
      </c>
      <c r="O356" s="15" t="n">
        <f aca="false">SUMPRODUCT(E356:N356,1/(1+$F$346)^$E$3:$N$3)*$E$2</f>
        <v>11256.1715656741</v>
      </c>
      <c r="P356" s="15" t="n">
        <f aca="false">N356*$E$2*(1+$I$346)/($F$346-$I$346)/(1+$F$346)^$N$3</f>
        <v>15569.7388435262</v>
      </c>
      <c r="Q356" s="15" t="n">
        <f aca="false">O356+P356</f>
        <v>26825.9104092002</v>
      </c>
      <c r="R356" s="15" t="n">
        <f aca="false">Q356-$G$2+$I$2</f>
        <v>22758.1104092002</v>
      </c>
      <c r="S356" s="42" t="n">
        <f aca="false">R356/$K$2</f>
        <v>174.847191220039</v>
      </c>
      <c r="T356" s="43" t="n">
        <f aca="false">S356-$M$2</f>
        <v>-1.78157337737991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0.0361328125</v>
      </c>
      <c r="C357" s="25" t="n">
        <f aca="false">IF(T356&gt;0,D356,C356)</f>
        <v>0.0390625</v>
      </c>
      <c r="D357" s="41" t="n">
        <f aca="false">(B357+C357)/2</f>
        <v>0.03759765625</v>
      </c>
      <c r="E357" s="15" t="n">
        <f aca="false">$C$2*(1+IF(E$3&lt;=$O$2,$D357,$D357-($D357-$I$346)*MIN(E$3-$O$2,$Q$2)/$Q$2))</f>
        <v>3258.056640625</v>
      </c>
      <c r="F357" s="15" t="n">
        <f aca="false">E357*(1+IF(F$3&lt;=$O$2,$D357,$D357-($D357-$I$346)*MIN(F$3-$O$2,$Q$2)/$Q$2))</f>
        <v>3380.55193424225</v>
      </c>
      <c r="G357" s="15" t="n">
        <f aca="false">F357*(1+IF(G$3&lt;=$O$2,$D357,$D357-($D357-$I$346)*MIN(G$3-$O$2,$Q$2)/$Q$2))</f>
        <v>3507.65276380116</v>
      </c>
      <c r="H357" s="15" t="n">
        <f aca="false">G357*(1+IF(H$3&lt;=$O$2,$D357,$D357-($D357-$I$346)*MIN(H$3-$O$2,$Q$2)/$Q$2))</f>
        <v>3639.53228665892</v>
      </c>
      <c r="I357" s="15" t="n">
        <f aca="false">H357*(1+IF(I$3&lt;=$O$2,$D357,$D357-($D357-$I$346)*MIN(I$3-$O$2,$Q$2)/$Q$2))</f>
        <v>3776.3701704835</v>
      </c>
      <c r="J357" s="15" t="n">
        <f aca="false">I357*(1+IF(J$3&lt;=$O$2,$D357,$D357-($D357-$I$346)*MIN(J$3-$O$2,$Q$2)/$Q$2))</f>
        <v>3907.55418951203</v>
      </c>
      <c r="K357" s="15" t="n">
        <f aca="false">J357*(1+IF(K$3&lt;=$O$2,$D357,$D357-($D357-$I$346)*MIN(K$3-$O$2,$Q$2)/$Q$2))</f>
        <v>4032.12152207559</v>
      </c>
      <c r="L357" s="15" t="n">
        <f aca="false">K357*(1+IF(L$3&lt;=$O$2,$D357,$D357-($D357-$I$346)*MIN(L$3-$O$2,$Q$2)/$Q$2))</f>
        <v>4149.1299085323</v>
      </c>
      <c r="M357" s="15" t="n">
        <f aca="false">L357*(1+IF(M$3&lt;=$O$2,$D357,$D357-($D357-$I$346)*MIN(M$3-$O$2,$Q$2)/$Q$2))</f>
        <v>4257.66920203486</v>
      </c>
      <c r="N357" s="15" t="n">
        <f aca="false">M357*(1+IF(N$3&lt;=$O$2,$D357,$D357-($D357-$I$346)*MIN(N$3-$O$2,$Q$2)/$Q$2))</f>
        <v>4356.87289444227</v>
      </c>
      <c r="O357" s="15" t="n">
        <f aca="false">SUMPRODUCT(E357:N357,1/(1+$F$346)^$E$3:$N$3)*$E$2</f>
        <v>11328.5311351613</v>
      </c>
      <c r="P357" s="15" t="n">
        <f aca="false">N357*$E$2*(1+$I$346)/($F$346-$I$346)/(1+$F$346)^$N$3</f>
        <v>15724.7111186391</v>
      </c>
      <c r="Q357" s="15" t="n">
        <f aca="false">O357+P357</f>
        <v>27053.2422538005</v>
      </c>
      <c r="R357" s="15" t="n">
        <f aca="false">Q357-$G$2+$I$2</f>
        <v>22985.4422538005</v>
      </c>
      <c r="S357" s="42" t="n">
        <f aca="false">R357/$K$2</f>
        <v>176.593748108486</v>
      </c>
      <c r="T357" s="43" t="n">
        <f aca="false">S357-$M$2</f>
        <v>-0.0350164889329676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0.03759765625</v>
      </c>
      <c r="C358" s="25" t="n">
        <f aca="false">IF(T357&gt;0,D357,C357)</f>
        <v>0.0390625</v>
      </c>
      <c r="D358" s="41" t="n">
        <f aca="false">(B358+C358)/2</f>
        <v>0.038330078125</v>
      </c>
      <c r="E358" s="15" t="n">
        <f aca="false">$C$2*(1+IF(E$3&lt;=$O$2,$D358,$D358-($D358-$I$346)*MIN(E$3-$O$2,$Q$2)/$Q$2))</f>
        <v>3260.3564453125</v>
      </c>
      <c r="F358" s="15" t="n">
        <f aca="false">E358*(1+IF(F$3&lt;=$O$2,$D358,$D358-($D358-$I$346)*MIN(F$3-$O$2,$Q$2)/$Q$2))</f>
        <v>3385.32616257668</v>
      </c>
      <c r="G358" s="15" t="n">
        <f aca="false">F358*(1+IF(G$3&lt;=$O$2,$D358,$D358-($D358-$I$346)*MIN(G$3-$O$2,$Q$2)/$Q$2))</f>
        <v>3515.08597886685</v>
      </c>
      <c r="H358" s="15" t="n">
        <f aca="false">G358*(1+IF(H$3&lt;=$O$2,$D358,$D358-($D358-$I$346)*MIN(H$3-$O$2,$Q$2)/$Q$2))</f>
        <v>3649.8194990529</v>
      </c>
      <c r="I358" s="15" t="n">
        <f aca="false">H358*(1+IF(I$3&lt;=$O$2,$D358,$D358-($D358-$I$346)*MIN(I$3-$O$2,$Q$2)/$Q$2))</f>
        <v>3789.71736559375</v>
      </c>
      <c r="J358" s="15" t="n">
        <f aca="false">I358*(1+IF(J$3&lt;=$O$2,$D358,$D358-($D358-$I$346)*MIN(J$3-$O$2,$Q$2)/$Q$2))</f>
        <v>3923.58557867332</v>
      </c>
      <c r="K358" s="15" t="n">
        <f aca="false">J358*(1+IF(K$3&lt;=$O$2,$D358,$D358-($D358-$I$346)*MIN(K$3-$O$2,$Q$2)/$Q$2))</f>
        <v>4050.38820132296</v>
      </c>
      <c r="L358" s="15" t="n">
        <f aca="false">K358*(1+IF(L$3&lt;=$O$2,$D358,$D358-($D358-$I$346)*MIN(L$3-$O$2,$Q$2)/$Q$2))</f>
        <v>4169.11330685477</v>
      </c>
      <c r="M358" s="15" t="n">
        <f aca="false">L358*(1+IF(M$3&lt;=$O$2,$D358,$D358-($D358-$I$346)*MIN(M$3-$O$2,$Q$2)/$Q$2))</f>
        <v>4278.78606664728</v>
      </c>
      <c r="N358" s="15" t="n">
        <f aca="false">M358*(1+IF(N$3&lt;=$O$2,$D358,$D358-($D358-$I$346)*MIN(N$3-$O$2,$Q$2)/$Q$2))</f>
        <v>4378.48178200017</v>
      </c>
      <c r="O358" s="15" t="n">
        <f aca="false">SUMPRODUCT(E358:N358,1/(1+$F$346)^$E$3:$N$3)*$E$2</f>
        <v>11364.8870120624</v>
      </c>
      <c r="P358" s="15" t="n">
        <f aca="false">N358*$E$2*(1+$I$346)/($F$346-$I$346)/(1+$F$346)^$N$3</f>
        <v>15802.7013475661</v>
      </c>
      <c r="Q358" s="15" t="n">
        <f aca="false">O358+P358</f>
        <v>27167.5883596285</v>
      </c>
      <c r="R358" s="15" t="n">
        <f aca="false">Q358-$G$2+$I$2</f>
        <v>23099.7883596285</v>
      </c>
      <c r="S358" s="42" t="n">
        <f aca="false">R358/$K$2</f>
        <v>177.472252302001</v>
      </c>
      <c r="T358" s="43" t="n">
        <f aca="false">S358-$M$2</f>
        <v>0.843487704582429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0.03759765625</v>
      </c>
      <c r="C359" s="25" t="n">
        <f aca="false">IF(T358&gt;0,D358,C358)</f>
        <v>0.038330078125</v>
      </c>
      <c r="D359" s="41" t="n">
        <f aca="false">(B359+C359)/2</f>
        <v>0.0379638671875</v>
      </c>
      <c r="E359" s="15" t="n">
        <f aca="false">$C$2*(1+IF(E$3&lt;=$O$2,$D359,$D359-($D359-$I$346)*MIN(E$3-$O$2,$Q$2)/$Q$2))</f>
        <v>3259.20654296875</v>
      </c>
      <c r="F359" s="15" t="n">
        <f aca="false">E359*(1+IF(F$3&lt;=$O$2,$D359,$D359-($D359-$I$346)*MIN(F$3-$O$2,$Q$2)/$Q$2))</f>
        <v>3382.93862730265</v>
      </c>
      <c r="G359" s="15" t="n">
        <f aca="false">F359*(1+IF(G$3&lt;=$O$2,$D359,$D359-($D359-$I$346)*MIN(G$3-$O$2,$Q$2)/$Q$2))</f>
        <v>3511.36806005303</v>
      </c>
      <c r="H359" s="15" t="n">
        <f aca="false">G359*(1+IF(H$3&lt;=$O$2,$D359,$D359-($D359-$I$346)*MIN(H$3-$O$2,$Q$2)/$Q$2))</f>
        <v>3644.67317073131</v>
      </c>
      <c r="I359" s="15" t="n">
        <f aca="false">H359*(1+IF(I$3&lt;=$O$2,$D359,$D359-($D359-$I$346)*MIN(I$3-$O$2,$Q$2)/$Q$2))</f>
        <v>3783.0390589268</v>
      </c>
      <c r="J359" s="15" t="n">
        <f aca="false">I359*(1+IF(J$3&lt;=$O$2,$D359,$D359-($D359-$I$346)*MIN(J$3-$O$2,$Q$2)/$Q$2))</f>
        <v>3915.56305485998</v>
      </c>
      <c r="K359" s="15" t="n">
        <f aca="false">J359*(1+IF(K$3&lt;=$O$2,$D359,$D359-($D359-$I$346)*MIN(K$3-$O$2,$Q$2)/$Q$2))</f>
        <v>4041.24605199866</v>
      </c>
      <c r="L359" s="15" t="n">
        <f aca="false">K359*(1+IF(L$3&lt;=$O$2,$D359,$D359-($D359-$I$346)*MIN(L$3-$O$2,$Q$2)/$Q$2))</f>
        <v>4159.11120316164</v>
      </c>
      <c r="M359" s="15" t="n">
        <f aca="false">L359*(1+IF(M$3&lt;=$O$2,$D359,$D359-($D359-$I$346)*MIN(M$3-$O$2,$Q$2)/$Q$2))</f>
        <v>4268.21622505555</v>
      </c>
      <c r="N359" s="15" t="n">
        <f aca="false">M359*(1+IF(N$3&lt;=$O$2,$D359,$D359-($D359-$I$346)*MIN(N$3-$O$2,$Q$2)/$Q$2))</f>
        <v>4367.66566309934</v>
      </c>
      <c r="O359" s="15" t="n">
        <f aca="false">SUMPRODUCT(E359:N359,1/(1+$F$346)^$E$3:$N$3)*$E$2</f>
        <v>11346.6943621288</v>
      </c>
      <c r="P359" s="15" t="n">
        <f aca="false">N359*$E$2*(1+$I$346)/($F$346-$I$346)/(1+$F$346)^$N$3</f>
        <v>15763.6640955596</v>
      </c>
      <c r="Q359" s="15" t="n">
        <f aca="false">O359+P359</f>
        <v>27110.3584576885</v>
      </c>
      <c r="R359" s="15" t="n">
        <f aca="false">Q359-$G$2+$I$2</f>
        <v>23042.5584576885</v>
      </c>
      <c r="S359" s="42" t="n">
        <f aca="false">R359/$K$2</f>
        <v>177.032563442597</v>
      </c>
      <c r="T359" s="43" t="n">
        <f aca="false">S359-$M$2</f>
        <v>0.403798845178613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0.03759765625</v>
      </c>
      <c r="C360" s="25" t="n">
        <f aca="false">IF(T359&gt;0,D359,C359)</f>
        <v>0.0379638671875</v>
      </c>
      <c r="D360" s="41" t="n">
        <f aca="false">(B360+C360)/2</f>
        <v>0.03778076171875</v>
      </c>
      <c r="E360" s="15" t="n">
        <f aca="false">$C$2*(1+IF(E$3&lt;=$O$2,$D360,$D360-($D360-$I$346)*MIN(E$3-$O$2,$Q$2)/$Q$2))</f>
        <v>3258.63159179688</v>
      </c>
      <c r="F360" s="15" t="n">
        <f aca="false">E360*(1+IF(F$3&lt;=$O$2,$D360,$D360-($D360-$I$346)*MIN(F$3-$O$2,$Q$2)/$Q$2))</f>
        <v>3381.74517549574</v>
      </c>
      <c r="G360" s="15" t="n">
        <f aca="false">F360*(1+IF(G$3&lt;=$O$2,$D360,$D360-($D360-$I$346)*MIN(G$3-$O$2,$Q$2)/$Q$2))</f>
        <v>3509.51008416468</v>
      </c>
      <c r="H360" s="15" t="n">
        <f aca="false">G360*(1+IF(H$3&lt;=$O$2,$D360,$D360-($D360-$I$346)*MIN(H$3-$O$2,$Q$2)/$Q$2))</f>
        <v>3642.10204840406</v>
      </c>
      <c r="I360" s="15" t="n">
        <f aca="false">H360*(1+IF(I$3&lt;=$O$2,$D360,$D360-($D360-$I$346)*MIN(I$3-$O$2,$Q$2)/$Q$2))</f>
        <v>3779.70343805018</v>
      </c>
      <c r="J360" s="15" t="n">
        <f aca="false">I360*(1+IF(J$3&lt;=$O$2,$D360,$D360-($D360-$I$346)*MIN(J$3-$O$2,$Q$2)/$Q$2))</f>
        <v>3911.55691603991</v>
      </c>
      <c r="K360" s="15" t="n">
        <f aca="false">J360*(1+IF(K$3&lt;=$O$2,$D360,$D360-($D360-$I$346)*MIN(K$3-$O$2,$Q$2)/$Q$2))</f>
        <v>4036.68158637394</v>
      </c>
      <c r="L360" s="15" t="n">
        <f aca="false">K360*(1+IF(L$3&lt;=$O$2,$D360,$D360-($D360-$I$346)*MIN(L$3-$O$2,$Q$2)/$Q$2))</f>
        <v>4154.11795701115</v>
      </c>
      <c r="M360" s="15" t="n">
        <f aca="false">L360*(1+IF(M$3&lt;=$O$2,$D360,$D360-($D360-$I$346)*MIN(M$3-$O$2,$Q$2)/$Q$2))</f>
        <v>4262.93986386692</v>
      </c>
      <c r="N360" s="15" t="n">
        <f aca="false">M360*(1+IF(N$3&lt;=$O$2,$D360,$D360-($D360-$I$346)*MIN(N$3-$O$2,$Q$2)/$Q$2))</f>
        <v>4362.26636269502</v>
      </c>
      <c r="O360" s="15" t="n">
        <f aca="false">SUMPRODUCT(E360:N360,1/(1+$F$346)^$E$3:$N$3)*$E$2</f>
        <v>11337.6090735637</v>
      </c>
      <c r="P360" s="15" t="n">
        <f aca="false">N360*$E$2*(1+$I$346)/($F$346-$I$346)/(1+$F$346)^$N$3</f>
        <v>15744.1770824753</v>
      </c>
      <c r="Q360" s="15" t="n">
        <f aca="false">O360+P360</f>
        <v>27081.786156039</v>
      </c>
      <c r="R360" s="15" t="n">
        <f aca="false">Q360-$G$2+$I$2</f>
        <v>23013.986156039</v>
      </c>
      <c r="S360" s="42" t="n">
        <f aca="false">R360/$K$2</f>
        <v>176.813046681308</v>
      </c>
      <c r="T360" s="43" t="n">
        <f aca="false">S360-$M$2</f>
        <v>0.184282083889286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0.03759765625</v>
      </c>
      <c r="C361" s="25" t="n">
        <f aca="false">IF(T360&gt;0,D360,C360)</f>
        <v>0.03778076171875</v>
      </c>
      <c r="D361" s="41" t="n">
        <f aca="false">(B361+C361)/2</f>
        <v>0.037689208984375</v>
      </c>
      <c r="E361" s="15" t="n">
        <f aca="false">$C$2*(1+IF(E$3&lt;=$O$2,$D361,$D361-($D361-$I$346)*MIN(E$3-$O$2,$Q$2)/$Q$2))</f>
        <v>3258.34411621094</v>
      </c>
      <c r="F361" s="15" t="n">
        <f aca="false">E361*(1+IF(F$3&lt;=$O$2,$D361,$D361-($D361-$I$346)*MIN(F$3-$O$2,$Q$2)/$Q$2))</f>
        <v>3381.14852854982</v>
      </c>
      <c r="G361" s="15" t="n">
        <f aca="false">F361*(1+IF(G$3&lt;=$O$2,$D361,$D361-($D361-$I$346)*MIN(G$3-$O$2,$Q$2)/$Q$2))</f>
        <v>3508.58134204955</v>
      </c>
      <c r="H361" s="15" t="n">
        <f aca="false">G361*(1+IF(H$3&lt;=$O$2,$D361,$D361-($D361-$I$346)*MIN(H$3-$O$2,$Q$2)/$Q$2))</f>
        <v>3640.81699748873</v>
      </c>
      <c r="I361" s="15" t="n">
        <f aca="false">H361*(1+IF(I$3&lt;=$O$2,$D361,$D361-($D361-$I$346)*MIN(I$3-$O$2,$Q$2)/$Q$2))</f>
        <v>3778.03651018095</v>
      </c>
      <c r="J361" s="15" t="n">
        <f aca="false">I361*(1+IF(J$3&lt;=$O$2,$D361,$D361-($D361-$I$346)*MIN(J$3-$O$2,$Q$2)/$Q$2))</f>
        <v>3909.55512638464</v>
      </c>
      <c r="K361" s="15" t="n">
        <f aca="false">J361*(1+IF(K$3&lt;=$O$2,$D361,$D361-($D361-$I$346)*MIN(K$3-$O$2,$Q$2)/$Q$2))</f>
        <v>4034.40100427909</v>
      </c>
      <c r="L361" s="15" t="n">
        <f aca="false">K361*(1+IF(L$3&lt;=$O$2,$D361,$D361-($D361-$I$346)*MIN(L$3-$O$2,$Q$2)/$Q$2))</f>
        <v>4151.62328334973</v>
      </c>
      <c r="M361" s="15" t="n">
        <f aca="false">L361*(1+IF(M$3&lt;=$O$2,$D361,$D361-($D361-$I$346)*MIN(M$3-$O$2,$Q$2)/$Q$2))</f>
        <v>4260.30382086148</v>
      </c>
      <c r="N361" s="15" t="n">
        <f aca="false">M361*(1+IF(N$3&lt;=$O$2,$D361,$D361-($D361-$I$346)*MIN(N$3-$O$2,$Q$2)/$Q$2))</f>
        <v>4359.56889988756</v>
      </c>
      <c r="O361" s="15" t="n">
        <f aca="false">SUMPRODUCT(E361:N361,1/(1+$F$346)^$E$3:$N$3)*$E$2</f>
        <v>11333.0691859407</v>
      </c>
      <c r="P361" s="15" t="n">
        <f aca="false">N361*$E$2*(1+$I$346)/($F$346-$I$346)/(1+$F$346)^$N$3</f>
        <v>15734.4414706206</v>
      </c>
      <c r="Q361" s="15" t="n">
        <f aca="false">O361+P361</f>
        <v>27067.5106565613</v>
      </c>
      <c r="R361" s="15" t="n">
        <f aca="false">Q361-$G$2+$I$2</f>
        <v>22999.7106565613</v>
      </c>
      <c r="S361" s="42" t="n">
        <f aca="false">R361/$K$2</f>
        <v>176.703370133384</v>
      </c>
      <c r="T361" s="43" t="n">
        <f aca="false">S361-$M$2</f>
        <v>0.0746055359653326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0.03759765625</v>
      </c>
      <c r="C362" s="25" t="n">
        <f aca="false">IF(T361&gt;0,D361,C361)</f>
        <v>0.037689208984375</v>
      </c>
      <c r="D362" s="41" t="n">
        <f aca="false">(B362+C362)/2</f>
        <v>0.0376434326171875</v>
      </c>
      <c r="E362" s="15" t="n">
        <f aca="false">$C$2*(1+IF(E$3&lt;=$O$2,$D362,$D362-($D362-$I$346)*MIN(E$3-$O$2,$Q$2)/$Q$2))</f>
        <v>3258.20037841797</v>
      </c>
      <c r="F362" s="15" t="n">
        <f aca="false">E362*(1+IF(F$3&lt;=$O$2,$D362,$D362-($D362-$I$346)*MIN(F$3-$O$2,$Q$2)/$Q$2))</f>
        <v>3380.85022481624</v>
      </c>
      <c r="G362" s="15" t="n">
        <f aca="false">F362*(1+IF(G$3&lt;=$O$2,$D362,$D362-($D362-$I$346)*MIN(G$3-$O$2,$Q$2)/$Q$2))</f>
        <v>3508.11703244291</v>
      </c>
      <c r="H362" s="15" t="n">
        <f aca="false">G362*(1+IF(H$3&lt;=$O$2,$D362,$D362-($D362-$I$346)*MIN(H$3-$O$2,$Q$2)/$Q$2))</f>
        <v>3640.17459956689</v>
      </c>
      <c r="I362" s="15" t="n">
        <f aca="false">H362*(1+IF(I$3&lt;=$O$2,$D362,$D362-($D362-$I$346)*MIN(I$3-$O$2,$Q$2)/$Q$2))</f>
        <v>3777.20326682048</v>
      </c>
      <c r="J362" s="15" t="n">
        <f aca="false">I362*(1+IF(J$3&lt;=$O$2,$D362,$D362-($D362-$I$346)*MIN(J$3-$O$2,$Q$2)/$Q$2))</f>
        <v>3908.55455136864</v>
      </c>
      <c r="K362" s="15" t="n">
        <f aca="false">J362*(1+IF(K$3&lt;=$O$2,$D362,$D362-($D362-$I$346)*MIN(K$3-$O$2,$Q$2)/$Q$2))</f>
        <v>4033.26112571843</v>
      </c>
      <c r="L362" s="15" t="n">
        <f aca="false">K362*(1+IF(L$3&lt;=$O$2,$D362,$D362-($D362-$I$346)*MIN(L$3-$O$2,$Q$2)/$Q$2))</f>
        <v>4150.37643362137</v>
      </c>
      <c r="M362" s="15" t="n">
        <f aca="false">L362*(1+IF(M$3&lt;=$O$2,$D362,$D362-($D362-$I$346)*MIN(M$3-$O$2,$Q$2)/$Q$2))</f>
        <v>4258.98633346707</v>
      </c>
      <c r="N362" s="15" t="n">
        <f aca="false">M362*(1+IF(N$3&lt;=$O$2,$D362,$D362-($D362-$I$346)*MIN(N$3-$O$2,$Q$2)/$Q$2))</f>
        <v>4358.22071503686</v>
      </c>
      <c r="O362" s="15" t="n">
        <f aca="false">SUMPRODUCT(E362:N362,1/(1+$F$346)^$E$3:$N$3)*$E$2</f>
        <v>11330.7999309891</v>
      </c>
      <c r="P362" s="15" t="n">
        <f aca="false">N362*$E$2*(1+$I$346)/($F$346-$I$346)/(1+$F$346)^$N$3</f>
        <v>15729.5756372981</v>
      </c>
      <c r="Q362" s="15" t="n">
        <f aca="false">O362+P362</f>
        <v>27060.3755682872</v>
      </c>
      <c r="R362" s="15" t="n">
        <f aca="false">Q362-$G$2+$I$2</f>
        <v>22992.5755682872</v>
      </c>
      <c r="S362" s="42" t="n">
        <f aca="false">R362/$K$2</f>
        <v>176.648552307062</v>
      </c>
      <c r="T362" s="43" t="n">
        <f aca="false">S362-$M$2</f>
        <v>0.0197877096431398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0.03759765625</v>
      </c>
      <c r="C363" s="25" t="n">
        <f aca="false">IF(T362&gt;0,D362,C362)</f>
        <v>0.0376434326171875</v>
      </c>
      <c r="D363" s="41" t="n">
        <f aca="false">(B363+C363)/2</f>
        <v>0.0376205444335938</v>
      </c>
      <c r="E363" s="15" t="n">
        <f aca="false">$C$2*(1+IF(E$3&lt;=$O$2,$D363,$D363-($D363-$I$346)*MIN(E$3-$O$2,$Q$2)/$Q$2))</f>
        <v>3258.12850952148</v>
      </c>
      <c r="F363" s="15" t="n">
        <f aca="false">E363*(1+IF(F$3&lt;=$O$2,$D363,$D363-($D363-$I$346)*MIN(F$3-$O$2,$Q$2)/$Q$2))</f>
        <v>3380.7010778843</v>
      </c>
      <c r="G363" s="15" t="n">
        <f aca="false">F363*(1+IF(G$3&lt;=$O$2,$D363,$D363-($D363-$I$346)*MIN(G$3-$O$2,$Q$2)/$Q$2))</f>
        <v>3507.88489300154</v>
      </c>
      <c r="H363" s="15" t="n">
        <f aca="false">G363*(1+IF(H$3&lt;=$O$2,$D363,$D363-($D363-$I$346)*MIN(H$3-$O$2,$Q$2)/$Q$2))</f>
        <v>3639.85343248664</v>
      </c>
      <c r="I363" s="15" t="n">
        <f aca="false">H363*(1+IF(I$3&lt;=$O$2,$D363,$D363-($D363-$I$346)*MIN(I$3-$O$2,$Q$2)/$Q$2))</f>
        <v>3776.78670027527</v>
      </c>
      <c r="J363" s="15" t="n">
        <f aca="false">I363*(1+IF(J$3&lt;=$O$2,$D363,$D363-($D363-$I$346)*MIN(J$3-$O$2,$Q$2)/$Q$2))</f>
        <v>3908.05434379768</v>
      </c>
      <c r="K363" s="15" t="n">
        <f aca="false">J363*(1+IF(K$3&lt;=$O$2,$D363,$D363-($D363-$I$346)*MIN(K$3-$O$2,$Q$2)/$Q$2))</f>
        <v>4032.69128953572</v>
      </c>
      <c r="L363" s="15" t="n">
        <f aca="false">K363*(1+IF(L$3&lt;=$O$2,$D363,$D363-($D363-$I$346)*MIN(L$3-$O$2,$Q$2)/$Q$2))</f>
        <v>4149.75313050141</v>
      </c>
      <c r="M363" s="15" t="n">
        <f aca="false">L363*(1+IF(M$3&lt;=$O$2,$D363,$D363-($D363-$I$346)*MIN(M$3-$O$2,$Q$2)/$Q$2))</f>
        <v>4258.32772326085</v>
      </c>
      <c r="N363" s="15" t="n">
        <f aca="false">M363*(1+IF(N$3&lt;=$O$2,$D363,$D363-($D363-$I$346)*MIN(N$3-$O$2,$Q$2)/$Q$2))</f>
        <v>4357.54675921283</v>
      </c>
      <c r="O363" s="15" t="n">
        <f aca="false">SUMPRODUCT(E363:N363,1/(1+$F$346)^$E$3:$N$3)*$E$2</f>
        <v>11329.6654756902</v>
      </c>
      <c r="P363" s="15" t="n">
        <f aca="false">N363*$E$2*(1+$I$346)/($F$346-$I$346)/(1+$F$346)^$N$3</f>
        <v>15727.1432136547</v>
      </c>
      <c r="Q363" s="15" t="n">
        <f aca="false">O363+P363</f>
        <v>27056.8086893449</v>
      </c>
      <c r="R363" s="15" t="n">
        <f aca="false">Q363-$G$2+$I$2</f>
        <v>22989.0086893449</v>
      </c>
      <c r="S363" s="42" t="n">
        <f aca="false">R363/$K$2</f>
        <v>176.621148504494</v>
      </c>
      <c r="T363" s="43" t="n">
        <f aca="false">S363-$M$2</f>
        <v>-0.00761609292504772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0.0376205444335938</v>
      </c>
      <c r="C364" s="25" t="n">
        <f aca="false">IF(T363&gt;0,D363,C363)</f>
        <v>0.0376434326171875</v>
      </c>
      <c r="D364" s="41" t="n">
        <f aca="false">(B364+C364)/2</f>
        <v>0.0376319885253906</v>
      </c>
      <c r="E364" s="15" t="n">
        <f aca="false">$C$2*(1+IF(E$3&lt;=$O$2,$D364,$D364-($D364-$I$346)*MIN(E$3-$O$2,$Q$2)/$Q$2))</f>
        <v>3258.16444396973</v>
      </c>
      <c r="F364" s="15" t="n">
        <f aca="false">E364*(1+IF(F$3&lt;=$O$2,$D364,$D364-($D364-$I$346)*MIN(F$3-$O$2,$Q$2)/$Q$2))</f>
        <v>3380.77565093903</v>
      </c>
      <c r="G364" s="15" t="n">
        <f aca="false">F364*(1+IF(G$3&lt;=$O$2,$D364,$D364-($D364-$I$346)*MIN(G$3-$O$2,$Q$2)/$Q$2))</f>
        <v>3508.00096144209</v>
      </c>
      <c r="H364" s="15" t="n">
        <f aca="false">G364*(1+IF(H$3&lt;=$O$2,$D364,$D364-($D364-$I$346)*MIN(H$3-$O$2,$Q$2)/$Q$2))</f>
        <v>3640.01401337014</v>
      </c>
      <c r="I364" s="15" t="n">
        <f aca="false">H364*(1+IF(I$3&lt;=$O$2,$D364,$D364-($D364-$I$346)*MIN(I$3-$O$2,$Q$2)/$Q$2))</f>
        <v>3776.99497895354</v>
      </c>
      <c r="J364" s="15" t="n">
        <f aca="false">I364*(1+IF(J$3&lt;=$O$2,$D364,$D364-($D364-$I$346)*MIN(J$3-$O$2,$Q$2)/$Q$2))</f>
        <v>3908.30444092222</v>
      </c>
      <c r="K364" s="15" t="n">
        <f aca="false">J364*(1+IF(K$3&lt;=$O$2,$D364,$D364-($D364-$I$346)*MIN(K$3-$O$2,$Q$2)/$Q$2))</f>
        <v>4032.97619903632</v>
      </c>
      <c r="L364" s="15" t="n">
        <f aca="false">K364*(1+IF(L$3&lt;=$O$2,$D364,$D364-($D364-$I$346)*MIN(L$3-$O$2,$Q$2)/$Q$2))</f>
        <v>4150.06477191697</v>
      </c>
      <c r="M364" s="15" t="n">
        <f aca="false">L364*(1+IF(M$3&lt;=$O$2,$D364,$D364-($D364-$I$346)*MIN(M$3-$O$2,$Q$2)/$Q$2))</f>
        <v>4258.65701724079</v>
      </c>
      <c r="N364" s="15" t="n">
        <f aca="false">M364*(1+IF(N$3&lt;=$O$2,$D364,$D364-($D364-$I$346)*MIN(N$3-$O$2,$Q$2)/$Q$2))</f>
        <v>4357.8837257425</v>
      </c>
      <c r="O364" s="15" t="n">
        <f aca="false">SUMPRODUCT(E364:N364,1/(1+$F$346)^$E$3:$N$3)*$E$2</f>
        <v>11330.2326889927</v>
      </c>
      <c r="P364" s="15" t="n">
        <f aca="false">N364*$E$2*(1+$I$346)/($F$346-$I$346)/(1+$F$346)^$N$3</f>
        <v>15728.3593843955</v>
      </c>
      <c r="Q364" s="15" t="n">
        <f aca="false">O364+P364</f>
        <v>27058.5920733882</v>
      </c>
      <c r="R364" s="15" t="n">
        <f aca="false">Q364-$G$2+$I$2</f>
        <v>22990.7920733882</v>
      </c>
      <c r="S364" s="42" t="n">
        <f aca="false">R364/$K$2</f>
        <v>176.634849979934</v>
      </c>
      <c r="T364" s="43" t="n">
        <f aca="false">S364-$M$2</f>
        <v>0.00608538251549362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0.0376205444335938</v>
      </c>
      <c r="C365" s="25" t="n">
        <f aca="false">IF(T364&gt;0,D364,C364)</f>
        <v>0.0376319885253906</v>
      </c>
      <c r="D365" s="41" t="n">
        <f aca="false">(B365+C365)/2</f>
        <v>0.0376262664794922</v>
      </c>
      <c r="E365" s="15" t="n">
        <f aca="false">$C$2*(1+IF(E$3&lt;=$O$2,$D365,$D365-($D365-$I$346)*MIN(E$3-$O$2,$Q$2)/$Q$2))</f>
        <v>3258.14647674561</v>
      </c>
      <c r="F365" s="15" t="n">
        <f aca="false">E365*(1+IF(F$3&lt;=$O$2,$D365,$D365-($D365-$I$346)*MIN(F$3-$O$2,$Q$2)/$Q$2))</f>
        <v>3380.73836430885</v>
      </c>
      <c r="G365" s="15" t="n">
        <f aca="false">F365*(1+IF(G$3&lt;=$O$2,$D365,$D365-($D365-$I$346)*MIN(G$3-$O$2,$Q$2)/$Q$2))</f>
        <v>3507.94292690178</v>
      </c>
      <c r="H365" s="15" t="n">
        <f aca="false">G365*(1+IF(H$3&lt;=$O$2,$D365,$D365-($D365-$I$346)*MIN(H$3-$O$2,$Q$2)/$Q$2))</f>
        <v>3639.93372226424</v>
      </c>
      <c r="I365" s="15" t="n">
        <f aca="false">H365*(1+IF(I$3&lt;=$O$2,$D365,$D365-($D365-$I$346)*MIN(I$3-$O$2,$Q$2)/$Q$2))</f>
        <v>3776.89083846584</v>
      </c>
      <c r="J365" s="15" t="n">
        <f aca="false">I365*(1+IF(J$3&lt;=$O$2,$D365,$D365-($D365-$I$346)*MIN(J$3-$O$2,$Q$2)/$Q$2))</f>
        <v>3908.17939069475</v>
      </c>
      <c r="K365" s="15" t="n">
        <f aca="false">J365*(1+IF(K$3&lt;=$O$2,$D365,$D365-($D365-$I$346)*MIN(K$3-$O$2,$Q$2)/$Q$2))</f>
        <v>4032.83374213839</v>
      </c>
      <c r="L365" s="15" t="n">
        <f aca="false">K365*(1+IF(L$3&lt;=$O$2,$D365,$D365-($D365-$I$346)*MIN(L$3-$O$2,$Q$2)/$Q$2))</f>
        <v>4149.90894867316</v>
      </c>
      <c r="M365" s="15" t="n">
        <f aca="false">L365*(1+IF(M$3&lt;=$O$2,$D365,$D365-($D365-$I$346)*MIN(M$3-$O$2,$Q$2)/$Q$2))</f>
        <v>4258.4923674701</v>
      </c>
      <c r="N365" s="15" t="n">
        <f aca="false">M365*(1+IF(N$3&lt;=$O$2,$D365,$D365-($D365-$I$346)*MIN(N$3-$O$2,$Q$2)/$Q$2))</f>
        <v>4357.71523963216</v>
      </c>
      <c r="O365" s="15" t="n">
        <f aca="false">SUMPRODUCT(E365:N365,1/(1+$F$346)^$E$3:$N$3)*$E$2</f>
        <v>11329.9490787548</v>
      </c>
      <c r="P365" s="15" t="n">
        <f aca="false">N365*$E$2*(1+$I$346)/($F$346-$I$346)/(1+$F$346)^$N$3</f>
        <v>15727.7512887552</v>
      </c>
      <c r="Q365" s="15" t="n">
        <f aca="false">O365+P365</f>
        <v>27057.70036751</v>
      </c>
      <c r="R365" s="15" t="n">
        <f aca="false">Q365-$G$2+$I$2</f>
        <v>22989.90036751</v>
      </c>
      <c r="S365" s="42" t="n">
        <f aca="false">R365/$K$2</f>
        <v>176.627999135756</v>
      </c>
      <c r="T365" s="43" t="n">
        <f aca="false">S365-$M$2</f>
        <v>-0.00076546166272351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0.0376262664794922</v>
      </c>
      <c r="C366" s="25" t="n">
        <f aca="false">IF(T365&gt;0,D365,C365)</f>
        <v>0.0376319885253906</v>
      </c>
      <c r="D366" s="41" t="n">
        <f aca="false">(B366+C366)/2</f>
        <v>0.0376291275024414</v>
      </c>
      <c r="E366" s="15" t="n">
        <f aca="false">$C$2*(1+IF(E$3&lt;=$O$2,$D366,$D366-($D366-$I$346)*MIN(E$3-$O$2,$Q$2)/$Q$2))</f>
        <v>3258.15546035767</v>
      </c>
      <c r="F366" s="15" t="n">
        <f aca="false">E366*(1+IF(F$3&lt;=$O$2,$D366,$D366-($D366-$I$346)*MIN(F$3-$O$2,$Q$2)/$Q$2))</f>
        <v>3380.75700759824</v>
      </c>
      <c r="G366" s="15" t="n">
        <f aca="false">F366*(1+IF(G$3&lt;=$O$2,$D366,$D366-($D366-$I$346)*MIN(G$3-$O$2,$Q$2)/$Q$2))</f>
        <v>3507.97194409193</v>
      </c>
      <c r="H366" s="15" t="n">
        <f aca="false">G366*(1+IF(H$3&lt;=$O$2,$D366,$D366-($D366-$I$346)*MIN(H$3-$O$2,$Q$2)/$Q$2))</f>
        <v>3639.97386765115</v>
      </c>
      <c r="I366" s="15" t="n">
        <f aca="false">H366*(1+IF(I$3&lt;=$O$2,$D366,$D366-($D366-$I$346)*MIN(I$3-$O$2,$Q$2)/$Q$2))</f>
        <v>3776.94290842255</v>
      </c>
      <c r="J366" s="15" t="n">
        <f aca="false">I366*(1+IF(J$3&lt;=$O$2,$D366,$D366-($D366-$I$346)*MIN(J$3-$O$2,$Q$2)/$Q$2))</f>
        <v>3908.24191539218</v>
      </c>
      <c r="K366" s="15" t="n">
        <f aca="false">J366*(1+IF(K$3&lt;=$O$2,$D366,$D366-($D366-$I$346)*MIN(K$3-$O$2,$Q$2)/$Q$2))</f>
        <v>4032.90497005044</v>
      </c>
      <c r="L366" s="15" t="n">
        <f aca="false">K366*(1+IF(L$3&lt;=$O$2,$D366,$D366-($D366-$I$346)*MIN(L$3-$O$2,$Q$2)/$Q$2))</f>
        <v>4149.98685966105</v>
      </c>
      <c r="M366" s="15" t="n">
        <f aca="false">L366*(1+IF(M$3&lt;=$O$2,$D366,$D366-($D366-$I$346)*MIN(M$3-$O$2,$Q$2)/$Q$2))</f>
        <v>4258.57469166026</v>
      </c>
      <c r="N366" s="15" t="n">
        <f aca="false">M366*(1+IF(N$3&lt;=$O$2,$D366,$D366-($D366-$I$346)*MIN(N$3-$O$2,$Q$2)/$Q$2))</f>
        <v>4357.79948197594</v>
      </c>
      <c r="O366" s="15" t="n">
        <f aca="false">SUMPRODUCT(E366:N366,1/(1+$F$346)^$E$3:$N$3)*$E$2</f>
        <v>11330.0908829771</v>
      </c>
      <c r="P366" s="15" t="n">
        <f aca="false">N366*$E$2*(1+$I$346)/($F$346-$I$346)/(1+$F$346)^$N$3</f>
        <v>15728.0553340078</v>
      </c>
      <c r="Q366" s="15" t="n">
        <f aca="false">O366+P366</f>
        <v>27058.1462169849</v>
      </c>
      <c r="R366" s="15" t="n">
        <f aca="false">Q366-$G$2+$I$2</f>
        <v>22990.3462169849</v>
      </c>
      <c r="S366" s="42" t="n">
        <f aca="false">R366/$K$2</f>
        <v>176.63142453123</v>
      </c>
      <c r="T366" s="43" t="n">
        <f aca="false">S366-$M$2</f>
        <v>0.00265993381148633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0.0376262664794922</v>
      </c>
      <c r="C367" s="25" t="n">
        <f aca="false">IF(T366&gt;0,D366,C366)</f>
        <v>0.0376291275024414</v>
      </c>
      <c r="D367" s="41" t="n">
        <f aca="false">(B367+C367)/2</f>
        <v>0.0376276969909668</v>
      </c>
      <c r="E367" s="15" t="n">
        <f aca="false">$C$2*(1+IF(E$3&lt;=$O$2,$D367,$D367-($D367-$I$346)*MIN(E$3-$O$2,$Q$2)/$Q$2))</f>
        <v>3258.15096855164</v>
      </c>
      <c r="F367" s="15" t="n">
        <f aca="false">E367*(1+IF(F$3&lt;=$O$2,$D367,$D367-($D367-$I$346)*MIN(F$3-$O$2,$Q$2)/$Q$2))</f>
        <v>3380.74768594712</v>
      </c>
      <c r="G367" s="15" t="n">
        <f aca="false">F367*(1+IF(G$3&lt;=$O$2,$D367,$D367-($D367-$I$346)*MIN(G$3-$O$2,$Q$2)/$Q$2))</f>
        <v>3507.95743547685</v>
      </c>
      <c r="H367" s="15" t="n">
        <f aca="false">G367*(1+IF(H$3&lt;=$O$2,$D367,$D367-($D367-$I$346)*MIN(H$3-$O$2,$Q$2)/$Q$2))</f>
        <v>3639.95379491618</v>
      </c>
      <c r="I367" s="15" t="n">
        <f aca="false">H367*(1+IF(I$3&lt;=$O$2,$D367,$D367-($D367-$I$346)*MIN(I$3-$O$2,$Q$2)/$Q$2))</f>
        <v>3776.91687337241</v>
      </c>
      <c r="J367" s="15" t="n">
        <f aca="false">I367*(1+IF(J$3&lt;=$O$2,$D367,$D367-($D367-$I$346)*MIN(J$3-$O$2,$Q$2)/$Q$2))</f>
        <v>3908.21065293939</v>
      </c>
      <c r="K367" s="15" t="n">
        <f aca="false">J367*(1+IF(K$3&lt;=$O$2,$D367,$D367-($D367-$I$346)*MIN(K$3-$O$2,$Q$2)/$Q$2))</f>
        <v>4032.86935596019</v>
      </c>
      <c r="L367" s="15" t="n">
        <f aca="false">K367*(1+IF(L$3&lt;=$O$2,$D367,$D367-($D367-$I$346)*MIN(L$3-$O$2,$Q$2)/$Q$2))</f>
        <v>4149.9479040086</v>
      </c>
      <c r="M367" s="15" t="n">
        <f aca="false">L367*(1+IF(M$3&lt;=$O$2,$D367,$D367-($D367-$I$346)*MIN(M$3-$O$2,$Q$2)/$Q$2))</f>
        <v>4258.53352939139</v>
      </c>
      <c r="N367" s="15" t="n">
        <f aca="false">M367*(1+IF(N$3&lt;=$O$2,$D367,$D367-($D367-$I$346)*MIN(N$3-$O$2,$Q$2)/$Q$2))</f>
        <v>4357.75736062621</v>
      </c>
      <c r="O367" s="15" t="n">
        <f aca="false">SUMPRODUCT(E367:N367,1/(1+$F$346)^$E$3:$N$3)*$E$2</f>
        <v>11330.0199806418</v>
      </c>
      <c r="P367" s="15" t="n">
        <f aca="false">N367*$E$2*(1+$I$346)/($F$346-$I$346)/(1+$F$346)^$N$3</f>
        <v>15727.9033107397</v>
      </c>
      <c r="Q367" s="15" t="n">
        <f aca="false">O367+P367</f>
        <v>27057.9232913814</v>
      </c>
      <c r="R367" s="15" t="n">
        <f aca="false">Q367-$G$2+$I$2</f>
        <v>22990.1232913814</v>
      </c>
      <c r="S367" s="42" t="n">
        <f aca="false">R367/$K$2</f>
        <v>176.629711826839</v>
      </c>
      <c r="T367" s="43" t="n">
        <f aca="false">S367-$M$2</f>
        <v>0.000947229420802387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0.0376262664794922</v>
      </c>
      <c r="C368" s="25" t="n">
        <f aca="false">IF(T367&gt;0,D367,C367)</f>
        <v>0.0376276969909668</v>
      </c>
      <c r="D368" s="41" t="n">
        <f aca="false">(B368+C368)/2</f>
        <v>0.0376269817352295</v>
      </c>
      <c r="E368" s="15" t="n">
        <f aca="false">$C$2*(1+IF(E$3&lt;=$O$2,$D368,$D368-($D368-$I$346)*MIN(E$3-$O$2,$Q$2)/$Q$2))</f>
        <v>3258.14872264862</v>
      </c>
      <c r="F368" s="15" t="n">
        <f aca="false">E368*(1+IF(F$3&lt;=$O$2,$D368,$D368-($D368-$I$346)*MIN(F$3-$O$2,$Q$2)/$Q$2))</f>
        <v>3380.74302512638</v>
      </c>
      <c r="G368" s="15" t="n">
        <f aca="false">F368*(1+IF(G$3&lt;=$O$2,$D368,$D368-($D368-$I$346)*MIN(G$3-$O$2,$Q$2)/$Q$2))</f>
        <v>3507.95018118432</v>
      </c>
      <c r="H368" s="15" t="n">
        <f aca="false">G368*(1+IF(H$3&lt;=$O$2,$D368,$D368-($D368-$I$346)*MIN(H$3-$O$2,$Q$2)/$Q$2))</f>
        <v>3639.94375857983</v>
      </c>
      <c r="I368" s="15" t="n">
        <f aca="false">H368*(1+IF(I$3&lt;=$O$2,$D368,$D368-($D368-$I$346)*MIN(I$3-$O$2,$Q$2)/$Q$2))</f>
        <v>3776.90385590118</v>
      </c>
      <c r="J368" s="15" t="n">
        <f aca="false">I368*(1+IF(J$3&lt;=$O$2,$D368,$D368-($D368-$I$346)*MIN(J$3-$O$2,$Q$2)/$Q$2))</f>
        <v>3908.19502179105</v>
      </c>
      <c r="K368" s="15" t="n">
        <f aca="false">J368*(1+IF(K$3&lt;=$O$2,$D368,$D368-($D368-$I$346)*MIN(K$3-$O$2,$Q$2)/$Q$2))</f>
        <v>4032.85154901573</v>
      </c>
      <c r="L368" s="15" t="n">
        <f aca="false">K368*(1+IF(L$3&lt;=$O$2,$D368,$D368-($D368-$I$346)*MIN(L$3-$O$2,$Q$2)/$Q$2))</f>
        <v>4149.92842630125</v>
      </c>
      <c r="M368" s="15" t="n">
        <f aca="false">L368*(1+IF(M$3&lt;=$O$2,$D368,$D368-($D368-$I$346)*MIN(M$3-$O$2,$Q$2)/$Q$2))</f>
        <v>4258.5129483873</v>
      </c>
      <c r="N368" s="15" t="n">
        <f aca="false">M368*(1+IF(N$3&lt;=$O$2,$D368,$D368-($D368-$I$346)*MIN(N$3-$O$2,$Q$2)/$Q$2))</f>
        <v>4357.73630008472</v>
      </c>
      <c r="O368" s="15" t="n">
        <f aca="false">SUMPRODUCT(E368:N368,1/(1+$F$346)^$E$3:$N$3)*$E$2</f>
        <v>11329.9845296422</v>
      </c>
      <c r="P368" s="15" t="n">
        <f aca="false">N368*$E$2*(1+$I$346)/($F$346-$I$346)/(1+$F$346)^$N$3</f>
        <v>15727.827299587</v>
      </c>
      <c r="Q368" s="15" t="n">
        <f aca="false">O368+P368</f>
        <v>27057.8118292292</v>
      </c>
      <c r="R368" s="15" t="n">
        <f aca="false">Q368-$G$2+$I$2</f>
        <v>22990.0118292292</v>
      </c>
      <c r="S368" s="42" t="n">
        <f aca="false">R368/$K$2</f>
        <v>176.628855479634</v>
      </c>
      <c r="T368" s="43" t="n">
        <f aca="false">S368-$M$2</f>
        <v>9.08822156304723E-005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0.0376262664794922</v>
      </c>
      <c r="C369" s="25" t="n">
        <f aca="false">IF(T368&gt;0,D368,C368)</f>
        <v>0.0376269817352295</v>
      </c>
      <c r="D369" s="41" t="n">
        <f aca="false">(B369+C369)/2</f>
        <v>0.0376266241073608</v>
      </c>
      <c r="E369" s="15" t="n">
        <f aca="false">$C$2*(1+IF(E$3&lt;=$O$2,$D369,$D369-($D369-$I$346)*MIN(E$3-$O$2,$Q$2)/$Q$2))</f>
        <v>3258.14759969711</v>
      </c>
      <c r="F369" s="15" t="n">
        <f aca="false">E369*(1+IF(F$3&lt;=$O$2,$D369,$D369-($D369-$I$346)*MIN(F$3-$O$2,$Q$2)/$Q$2))</f>
        <v>3380.74069471722</v>
      </c>
      <c r="G369" s="15" t="n">
        <f aca="false">F369*(1+IF(G$3&lt;=$O$2,$D369,$D369-($D369-$I$346)*MIN(G$3-$O$2,$Q$2)/$Q$2))</f>
        <v>3507.9465540418</v>
      </c>
      <c r="H369" s="15" t="n">
        <f aca="false">G369*(1+IF(H$3&lt;=$O$2,$D369,$D369-($D369-$I$346)*MIN(H$3-$O$2,$Q$2)/$Q$2))</f>
        <v>3639.93874041944</v>
      </c>
      <c r="I369" s="15" t="n">
        <f aca="false">H369*(1+IF(I$3&lt;=$O$2,$D369,$D369-($D369-$I$346)*MIN(I$3-$O$2,$Q$2)/$Q$2))</f>
        <v>3776.89734717902</v>
      </c>
      <c r="J369" s="15" t="n">
        <f aca="false">I369*(1+IF(J$3&lt;=$O$2,$D369,$D369-($D369-$I$346)*MIN(J$3-$O$2,$Q$2)/$Q$2))</f>
        <v>3908.18720623639</v>
      </c>
      <c r="K369" s="15" t="n">
        <f aca="false">J369*(1+IF(K$3&lt;=$O$2,$D369,$D369-($D369-$I$346)*MIN(K$3-$O$2,$Q$2)/$Q$2))</f>
        <v>4032.84264556867</v>
      </c>
      <c r="L369" s="15" t="n">
        <f aca="false">K369*(1+IF(L$3&lt;=$O$2,$D369,$D369-($D369-$I$346)*MIN(L$3-$O$2,$Q$2)/$Q$2))</f>
        <v>4149.9186874773</v>
      </c>
      <c r="M369" s="15" t="n">
        <f aca="false">L369*(1+IF(M$3&lt;=$O$2,$D369,$D369-($D369-$I$346)*MIN(M$3-$O$2,$Q$2)/$Q$2))</f>
        <v>4258.50265791784</v>
      </c>
      <c r="N369" s="15" t="n">
        <f aca="false">M369*(1+IF(N$3&lt;=$O$2,$D369,$D369-($D369-$I$346)*MIN(N$3-$O$2,$Q$2)/$Q$2))</f>
        <v>4357.72576984732</v>
      </c>
      <c r="O369" s="15" t="n">
        <f aca="false">SUMPRODUCT(E369:N369,1/(1+$F$346)^$E$3:$N$3)*$E$2</f>
        <v>11329.9668041845</v>
      </c>
      <c r="P369" s="15" t="n">
        <f aca="false">N369*$E$2*(1+$I$346)/($F$346-$I$346)/(1+$F$346)^$N$3</f>
        <v>15727.789294131</v>
      </c>
      <c r="Q369" s="15" t="n">
        <f aca="false">O369+P369</f>
        <v>27057.7560983155</v>
      </c>
      <c r="R369" s="15" t="n">
        <f aca="false">Q369-$G$2+$I$2</f>
        <v>22989.9560983155</v>
      </c>
      <c r="S369" s="42" t="n">
        <f aca="false">R369/$K$2</f>
        <v>176.628427307279</v>
      </c>
      <c r="T369" s="43" t="n">
        <f aca="false">S369-$M$2</f>
        <v>-0.000337290139412971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0.0376266241073608</v>
      </c>
      <c r="C370" s="25" t="n">
        <f aca="false">IF(T369&gt;0,D369,C369)</f>
        <v>0.0376269817352295</v>
      </c>
      <c r="D370" s="41" t="n">
        <f aca="false">(B370+C370)/2</f>
        <v>0.0376268029212952</v>
      </c>
      <c r="E370" s="15" t="n">
        <f aca="false">$C$2*(1+IF(E$3&lt;=$O$2,$D370,$D370-($D370-$I$346)*MIN(E$3-$O$2,$Q$2)/$Q$2))</f>
        <v>3258.14816117287</v>
      </c>
      <c r="F370" s="15" t="n">
        <f aca="false">E370*(1+IF(F$3&lt;=$O$2,$D370,$D370-($D370-$I$346)*MIN(F$3-$O$2,$Q$2)/$Q$2))</f>
        <v>3380.7418599217</v>
      </c>
      <c r="G370" s="15" t="n">
        <f aca="false">F370*(1+IF(G$3&lt;=$O$2,$D370,$D370-($D370-$I$346)*MIN(G$3-$O$2,$Q$2)/$Q$2))</f>
        <v>3507.94836761275</v>
      </c>
      <c r="H370" s="15" t="n">
        <f aca="false">G370*(1+IF(H$3&lt;=$O$2,$D370,$D370-($D370-$I$346)*MIN(H$3-$O$2,$Q$2)/$Q$2))</f>
        <v>3639.94124949899</v>
      </c>
      <c r="I370" s="15" t="n">
        <f aca="false">H370*(1+IF(I$3&lt;=$O$2,$D370,$D370-($D370-$I$346)*MIN(I$3-$O$2,$Q$2)/$Q$2))</f>
        <v>3776.90060153898</v>
      </c>
      <c r="J370" s="15" t="n">
        <f aca="false">I370*(1+IF(J$3&lt;=$O$2,$D370,$D370-($D370-$I$346)*MIN(J$3-$O$2,$Q$2)/$Q$2))</f>
        <v>3908.1911140121</v>
      </c>
      <c r="K370" s="15" t="n">
        <f aca="false">J370*(1+IF(K$3&lt;=$O$2,$D370,$D370-($D370-$I$346)*MIN(K$3-$O$2,$Q$2)/$Q$2))</f>
        <v>4032.8470972901</v>
      </c>
      <c r="L370" s="15" t="n">
        <f aca="false">K370*(1+IF(L$3&lt;=$O$2,$D370,$D370-($D370-$I$346)*MIN(L$3-$O$2,$Q$2)/$Q$2))</f>
        <v>4149.9235568868</v>
      </c>
      <c r="M370" s="15" t="n">
        <f aca="false">L370*(1+IF(M$3&lt;=$O$2,$D370,$D370-($D370-$I$346)*MIN(M$3-$O$2,$Q$2)/$Q$2))</f>
        <v>4258.50780314985</v>
      </c>
      <c r="N370" s="15" t="n">
        <f aca="false">M370*(1+IF(N$3&lt;=$O$2,$D370,$D370-($D370-$I$346)*MIN(N$3-$O$2,$Q$2)/$Q$2))</f>
        <v>4357.73103496325</v>
      </c>
      <c r="O370" s="15" t="n">
        <f aca="false">SUMPRODUCT(E370:N370,1/(1+$F$346)^$E$3:$N$3)*$E$2</f>
        <v>11329.9756669099</v>
      </c>
      <c r="P370" s="15" t="n">
        <f aca="false">N370*$E$2*(1+$I$346)/($F$346-$I$346)/(1+$F$346)^$N$3</f>
        <v>15727.8082968489</v>
      </c>
      <c r="Q370" s="15" t="n">
        <f aca="false">O370+P370</f>
        <v>27057.7839637588</v>
      </c>
      <c r="R370" s="15" t="n">
        <f aca="false">Q370-$G$2+$I$2</f>
        <v>22989.9839637588</v>
      </c>
      <c r="S370" s="42" t="n">
        <f aca="false">R370/$K$2</f>
        <v>176.628641393353</v>
      </c>
      <c r="T370" s="43" t="n">
        <f aca="false">S370-$M$2</f>
        <v>-0.000123204065772597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0.0376268029212952</v>
      </c>
      <c r="C371" s="25" t="n">
        <f aca="false">IF(T370&gt;0,D370,C370)</f>
        <v>0.0376269817352295</v>
      </c>
      <c r="D371" s="41" t="n">
        <f aca="false">(B371+C371)/2</f>
        <v>0.0376268923282623</v>
      </c>
      <c r="E371" s="15" t="n">
        <f aca="false">$C$2*(1+IF(E$3&lt;=$O$2,$D371,$D371-($D371-$I$346)*MIN(E$3-$O$2,$Q$2)/$Q$2))</f>
        <v>3258.14844191074</v>
      </c>
      <c r="F371" s="15" t="n">
        <f aca="false">E371*(1+IF(F$3&lt;=$O$2,$D371,$D371-($D371-$I$346)*MIN(F$3-$O$2,$Q$2)/$Q$2))</f>
        <v>3380.74244252402</v>
      </c>
      <c r="G371" s="15" t="n">
        <f aca="false">F371*(1+IF(G$3&lt;=$O$2,$D371,$D371-($D371-$I$346)*MIN(G$3-$O$2,$Q$2)/$Q$2))</f>
        <v>3507.94927439845</v>
      </c>
      <c r="H371" s="15" t="n">
        <f aca="false">G371*(1+IF(H$3&lt;=$O$2,$D371,$D371-($D371-$I$346)*MIN(H$3-$O$2,$Q$2)/$Q$2))</f>
        <v>3639.94250403925</v>
      </c>
      <c r="I371" s="15" t="n">
        <f aca="false">H371*(1+IF(I$3&lt;=$O$2,$D371,$D371-($D371-$I$346)*MIN(I$3-$O$2,$Q$2)/$Q$2))</f>
        <v>3776.9022287198</v>
      </c>
      <c r="J371" s="15" t="n">
        <f aca="false">I371*(1+IF(J$3&lt;=$O$2,$D371,$D371-($D371-$I$346)*MIN(J$3-$O$2,$Q$2)/$Q$2))</f>
        <v>3908.19306790117</v>
      </c>
      <c r="K371" s="15" t="n">
        <f aca="false">J371*(1+IF(K$3&lt;=$O$2,$D371,$D371-($D371-$I$346)*MIN(K$3-$O$2,$Q$2)/$Q$2))</f>
        <v>4032.84932315239</v>
      </c>
      <c r="L371" s="15" t="n">
        <f aca="false">K371*(1+IF(L$3&lt;=$O$2,$D371,$D371-($D371-$I$346)*MIN(L$3-$O$2,$Q$2)/$Q$2))</f>
        <v>4149.92599159341</v>
      </c>
      <c r="M371" s="15" t="n">
        <f aca="false">L371*(1+IF(M$3&lt;=$O$2,$D371,$D371-($D371-$I$346)*MIN(M$3-$O$2,$Q$2)/$Q$2))</f>
        <v>4258.51037576789</v>
      </c>
      <c r="N371" s="15" t="n">
        <f aca="false">M371*(1+IF(N$3&lt;=$O$2,$D371,$D371-($D371-$I$346)*MIN(N$3-$O$2,$Q$2)/$Q$2))</f>
        <v>4357.73366752329</v>
      </c>
      <c r="O371" s="15" t="n">
        <f aca="false">SUMPRODUCT(E371:N371,1/(1+$F$346)^$E$3:$N$3)*$E$2</f>
        <v>11329.9800982752</v>
      </c>
      <c r="P371" s="15" t="n">
        <f aca="false">N371*$E$2*(1+$I$346)/($F$346-$I$346)/(1+$F$346)^$N$3</f>
        <v>15727.8177982154</v>
      </c>
      <c r="Q371" s="15" t="n">
        <f aca="false">O371+P371</f>
        <v>27057.7978964906</v>
      </c>
      <c r="R371" s="15" t="n">
        <f aca="false">Q371-$G$2+$I$2</f>
        <v>22989.9978964906</v>
      </c>
      <c r="S371" s="42" t="n">
        <f aca="false">R371/$K$2</f>
        <v>176.628748436467</v>
      </c>
      <c r="T371" s="43" t="n">
        <f aca="false">S371-$M$2</f>
        <v>-1.61609511621919E-005</v>
      </c>
    </row>
    <row r="373" customFormat="false" ht="15" hidden="false" customHeight="false" outlineLevel="0" collapsed="false">
      <c r="A373" s="38" t="s">
        <v>187</v>
      </c>
      <c r="E373" s="5" t="s">
        <v>11</v>
      </c>
      <c r="F373" s="12" t="n">
        <f aca="false">Sensitivity!$B$12</f>
        <v>0.0819413943493295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155</v>
      </c>
      <c r="B374" s="28" t="s">
        <v>156</v>
      </c>
      <c r="C374" s="28" t="s">
        <v>157</v>
      </c>
      <c r="D374" s="28" t="s">
        <v>158</v>
      </c>
      <c r="E374" s="28" t="s">
        <v>159</v>
      </c>
      <c r="F374" s="28" t="s">
        <v>160</v>
      </c>
      <c r="G374" s="28" t="s">
        <v>161</v>
      </c>
      <c r="H374" s="28" t="s">
        <v>162</v>
      </c>
      <c r="I374" s="28" t="s">
        <v>163</v>
      </c>
      <c r="J374" s="28" t="s">
        <v>164</v>
      </c>
      <c r="K374" s="28" t="s">
        <v>165</v>
      </c>
      <c r="L374" s="28" t="s">
        <v>166</v>
      </c>
      <c r="M374" s="28" t="s">
        <v>167</v>
      </c>
      <c r="N374" s="28" t="s">
        <v>168</v>
      </c>
      <c r="O374" s="28" t="s">
        <v>169</v>
      </c>
      <c r="P374" s="28" t="s">
        <v>170</v>
      </c>
      <c r="Q374" s="28" t="s">
        <v>171</v>
      </c>
      <c r="R374" s="28" t="s">
        <v>172</v>
      </c>
      <c r="S374" s="28" t="s">
        <v>173</v>
      </c>
      <c r="T374" s="28" t="s">
        <v>174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3925</v>
      </c>
      <c r="F375" s="15" t="n">
        <f aca="false">E375*(1+IF(F$3&lt;=$O$2,$D375,$D375-($D375-$I$373)*MIN(F$3-$O$2,$Q$2)/$Q$2))</f>
        <v>4906.25</v>
      </c>
      <c r="G375" s="15" t="n">
        <f aca="false">F375*(1+IF(G$3&lt;=$O$2,$D375,$D375-($D375-$I$373)*MIN(G$3-$O$2,$Q$2)/$Q$2))</f>
        <v>6132.8125</v>
      </c>
      <c r="H375" s="15" t="n">
        <f aca="false">G375*(1+IF(H$3&lt;=$O$2,$D375,$D375-($D375-$I$373)*MIN(H$3-$O$2,$Q$2)/$Q$2))</f>
        <v>7666.015625</v>
      </c>
      <c r="I375" s="15" t="n">
        <f aca="false">H375*(1+IF(I$3&lt;=$O$2,$D375,$D375-($D375-$I$373)*MIN(I$3-$O$2,$Q$2)/$Q$2))</f>
        <v>9582.51953125</v>
      </c>
      <c r="J375" s="15" t="n">
        <f aca="false">I375*(1+IF(J$3&lt;=$O$2,$D375,$D375-($D375-$I$373)*MIN(J$3-$O$2,$Q$2)/$Q$2))</f>
        <v>11553.2604980469</v>
      </c>
      <c r="K375" s="15" t="n">
        <f aca="false">J375*(1+IF(K$3&lt;=$O$2,$D375,$D375-($D375-$I$373)*MIN(K$3-$O$2,$Q$2)/$Q$2))</f>
        <v>13417.0324815918</v>
      </c>
      <c r="L375" s="15" t="n">
        <f aca="false">K375*(1+IF(L$3&lt;=$O$2,$D375,$D375-($D375-$I$373)*MIN(L$3-$O$2,$Q$2)/$Q$2))</f>
        <v>14986.5569412884</v>
      </c>
      <c r="M375" s="15" t="n">
        <f aca="false">L375*(1+IF(M$3&lt;=$O$2,$D375,$D375-($D375-$I$373)*MIN(M$3-$O$2,$Q$2)/$Q$2))</f>
        <v>16075.1804375036</v>
      </c>
      <c r="N375" s="15" t="n">
        <f aca="false">M375*(1+IF(N$3&lt;=$O$2,$D375,$D375-($D375-$I$373)*MIN(N$3-$O$2,$Q$2)/$Q$2))</f>
        <v>16530.1080438849</v>
      </c>
      <c r="O375" s="15" t="n">
        <f aca="false">SUMPRODUCT(E375:N375,1/(1+$F$373)^$E$3:$N$3)*$E$2</f>
        <v>28671.2556013081</v>
      </c>
      <c r="P375" s="15" t="n">
        <f aca="false">N375*$E$2*(1+$I$373)/($F$373-$I$373)/(1+$F$373)^$N$3</f>
        <v>65539.7181312158</v>
      </c>
      <c r="Q375" s="15" t="n">
        <f aca="false">O375+P375</f>
        <v>94210.9737325239</v>
      </c>
      <c r="R375" s="15" t="n">
        <f aca="false">Q375-$G$2+$I$2</f>
        <v>90143.1737325239</v>
      </c>
      <c r="S375" s="42" t="n">
        <f aca="false">R375/$K$2</f>
        <v>692.556651294745</v>
      </c>
      <c r="T375" s="43" t="n">
        <f aca="false">S375-$M$2</f>
        <v>515.927886697326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2747.5</v>
      </c>
      <c r="F376" s="15" t="n">
        <f aca="false">E376*(1+IF(F$3&lt;=$O$2,$D376,$D376-($D376-$I$373)*MIN(F$3-$O$2,$Q$2)/$Q$2))</f>
        <v>2404.0625</v>
      </c>
      <c r="G376" s="15" t="n">
        <f aca="false">F376*(1+IF(G$3&lt;=$O$2,$D376,$D376-($D376-$I$373)*MIN(G$3-$O$2,$Q$2)/$Q$2))</f>
        <v>2103.5546875</v>
      </c>
      <c r="H376" s="15" t="n">
        <f aca="false">G376*(1+IF(H$3&lt;=$O$2,$D376,$D376-($D376-$I$373)*MIN(H$3-$O$2,$Q$2)/$Q$2))</f>
        <v>1840.6103515625</v>
      </c>
      <c r="I376" s="15" t="n">
        <f aca="false">H376*(1+IF(I$3&lt;=$O$2,$D376,$D376-($D376-$I$373)*MIN(I$3-$O$2,$Q$2)/$Q$2))</f>
        <v>1610.53405761719</v>
      </c>
      <c r="J376" s="15" t="n">
        <f aca="false">I376*(1+IF(J$3&lt;=$O$2,$D376,$D376-($D376-$I$373)*MIN(J$3-$O$2,$Q$2)/$Q$2))</f>
        <v>1458.59627462158</v>
      </c>
      <c r="K376" s="15" t="n">
        <f aca="false">J376*(1+IF(K$3&lt;=$O$2,$D376,$D376-($D376-$I$373)*MIN(K$3-$O$2,$Q$2)/$Q$2))</f>
        <v>1365.71286385368</v>
      </c>
      <c r="L376" s="15" t="n">
        <f aca="false">K376*(1+IF(L$3&lt;=$O$2,$D376,$D376-($D376-$I$373)*MIN(L$3-$O$2,$Q$2)/$Q$2))</f>
        <v>1320.61702508923</v>
      </c>
      <c r="M376" s="15" t="n">
        <f aca="false">L376*(1+IF(M$3&lt;=$O$2,$D376,$D376-($D376-$I$373)*MIN(M$3-$O$2,$Q$2)/$Q$2))</f>
        <v>1317.50036891002</v>
      </c>
      <c r="N376" s="15" t="n">
        <f aca="false">M376*(1+IF(N$3&lt;=$O$2,$D376,$D376-($D376-$I$373)*MIN(N$3-$O$2,$Q$2)/$Q$2))</f>
        <v>1354.78562935017</v>
      </c>
      <c r="O376" s="15" t="n">
        <f aca="false">SUMPRODUCT(E376:N376,1/(1+$F$373)^$E$3:$N$3)*$E$2</f>
        <v>5613.60180005757</v>
      </c>
      <c r="P376" s="15" t="n">
        <f aca="false">N376*$E$2*(1+$I$373)/($F$373-$I$373)/(1+$F$373)^$N$3</f>
        <v>5371.54796811383</v>
      </c>
      <c r="Q376" s="15" t="n">
        <f aca="false">O376+P376</f>
        <v>10985.1497681714</v>
      </c>
      <c r="R376" s="15" t="n">
        <f aca="false">Q376-$G$2+$I$2</f>
        <v>6917.3497681714</v>
      </c>
      <c r="S376" s="42" t="n">
        <f aca="false">R376/$K$2</f>
        <v>53.1449736337692</v>
      </c>
      <c r="T376" s="43" t="n">
        <f aca="false">S376-$M$2</f>
        <v>-123.483790963649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3336.25</v>
      </c>
      <c r="F377" s="15" t="n">
        <f aca="false">E377*(1+IF(F$3&lt;=$O$2,$D377,$D377-($D377-$I$373)*MIN(F$3-$O$2,$Q$2)/$Q$2))</f>
        <v>3544.765625</v>
      </c>
      <c r="G377" s="15" t="n">
        <f aca="false">F377*(1+IF(G$3&lt;=$O$2,$D377,$D377-($D377-$I$373)*MIN(G$3-$O$2,$Q$2)/$Q$2))</f>
        <v>3766.3134765625</v>
      </c>
      <c r="H377" s="15" t="n">
        <f aca="false">G377*(1+IF(H$3&lt;=$O$2,$D377,$D377-($D377-$I$373)*MIN(H$3-$O$2,$Q$2)/$Q$2))</f>
        <v>4001.70806884766</v>
      </c>
      <c r="I377" s="15" t="n">
        <f aca="false">H377*(1+IF(I$3&lt;=$O$2,$D377,$D377-($D377-$I$373)*MIN(I$3-$O$2,$Q$2)/$Q$2))</f>
        <v>4251.81482315064</v>
      </c>
      <c r="J377" s="15" t="n">
        <f aca="false">I377*(1+IF(J$3&lt;=$O$2,$D377,$D377-($D377-$I$373)*MIN(J$3-$O$2,$Q$2)/$Q$2))</f>
        <v>4488.4708362072</v>
      </c>
      <c r="K377" s="15" t="n">
        <f aca="false">J377*(1+IF(K$3&lt;=$O$2,$D377,$D377-($D377-$I$373)*MIN(K$3-$O$2,$Q$2)/$Q$2))</f>
        <v>4707.59798243084</v>
      </c>
      <c r="L377" s="15" t="n">
        <f aca="false">K377*(1+IF(L$3&lt;=$O$2,$D377,$D377-($D377-$I$373)*MIN(L$3-$O$2,$Q$2)/$Q$2))</f>
        <v>4905.22294573328</v>
      </c>
      <c r="M377" s="15" t="n">
        <f aca="false">L377*(1+IF(M$3&lt;=$O$2,$D377,$D377-($D377-$I$373)*MIN(M$3-$O$2,$Q$2)/$Q$2))</f>
        <v>5077.59248004635</v>
      </c>
      <c r="N377" s="15" t="n">
        <f aca="false">M377*(1+IF(N$3&lt;=$O$2,$D377,$D377-($D377-$I$373)*MIN(N$3-$O$2,$Q$2)/$Q$2))</f>
        <v>5221.28834723166</v>
      </c>
      <c r="O377" s="15" t="n">
        <f aca="false">SUMPRODUCT(E377:N377,1/(1+$F$373)^$E$3:$N$3)*$E$2</f>
        <v>12670.8619119059</v>
      </c>
      <c r="P377" s="15" t="n">
        <f aca="false">N377*$E$2*(1+$I$373)/($F$373-$I$373)/(1+$F$373)^$N$3</f>
        <v>20701.7259446139</v>
      </c>
      <c r="Q377" s="15" t="n">
        <f aca="false">O377+P377</f>
        <v>33372.5878565199</v>
      </c>
      <c r="R377" s="15" t="n">
        <f aca="false">Q377-$G$2+$I$2</f>
        <v>29304.7878565199</v>
      </c>
      <c r="S377" s="42" t="n">
        <f aca="false">R377/$K$2</f>
        <v>225.144344318684</v>
      </c>
      <c r="T377" s="43" t="n">
        <f aca="false">S377-$M$2</f>
        <v>48.5155797212649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3041.875</v>
      </c>
      <c r="F378" s="15" t="n">
        <f aca="false">E378*(1+IF(F$3&lt;=$O$2,$D378,$D378-($D378-$I$373)*MIN(F$3-$O$2,$Q$2)/$Q$2))</f>
        <v>2946.81640625</v>
      </c>
      <c r="G378" s="15" t="n">
        <f aca="false">F378*(1+IF(G$3&lt;=$O$2,$D378,$D378-($D378-$I$373)*MIN(G$3-$O$2,$Q$2)/$Q$2))</f>
        <v>2854.72839355469</v>
      </c>
      <c r="H378" s="15" t="n">
        <f aca="false">G378*(1+IF(H$3&lt;=$O$2,$D378,$D378-($D378-$I$373)*MIN(H$3-$O$2,$Q$2)/$Q$2))</f>
        <v>2765.5181312561</v>
      </c>
      <c r="I378" s="15" t="n">
        <f aca="false">H378*(1+IF(I$3&lt;=$O$2,$D378,$D378-($D378-$I$373)*MIN(I$3-$O$2,$Q$2)/$Q$2))</f>
        <v>2679.09568965435</v>
      </c>
      <c r="J378" s="15" t="n">
        <f aca="false">I378*(1+IF(J$3&lt;=$O$2,$D378,$D378-($D378-$I$373)*MIN(J$3-$O$2,$Q$2)/$Q$2))</f>
        <v>2627.28197901644</v>
      </c>
      <c r="K378" s="15" t="n">
        <f aca="false">J378*(1+IF(K$3&lt;=$O$2,$D378,$D378-($D378-$I$373)*MIN(K$3-$O$2,$Q$2)/$Q$2))</f>
        <v>2607.76127391234</v>
      </c>
      <c r="L378" s="15" t="n">
        <f aca="false">K378*(1+IF(L$3&lt;=$O$2,$D378,$D378-($D378-$I$373)*MIN(L$3-$O$2,$Q$2)/$Q$2))</f>
        <v>2619.44404441947</v>
      </c>
      <c r="M378" s="15" t="n">
        <f aca="false">L378*(1+IF(M$3&lt;=$O$2,$D378,$D378-($D378-$I$373)*MIN(M$3-$O$2,$Q$2)/$Q$2))</f>
        <v>2662.37673230751</v>
      </c>
      <c r="N378" s="15" t="n">
        <f aca="false">M378*(1+IF(N$3&lt;=$O$2,$D378,$D378-($D378-$I$373)*MIN(N$3-$O$2,$Q$2)/$Q$2))</f>
        <v>2737.72199383181</v>
      </c>
      <c r="O378" s="15" t="n">
        <f aca="false">SUMPRODUCT(E378:N378,1/(1+$F$373)^$E$3:$N$3)*$E$2</f>
        <v>8410.25294286901</v>
      </c>
      <c r="P378" s="15" t="n">
        <f aca="false">N378*$E$2*(1+$I$373)/($F$373-$I$373)/(1+$F$373)^$N$3</f>
        <v>10854.7099221014</v>
      </c>
      <c r="Q378" s="15" t="n">
        <f aca="false">O378+P378</f>
        <v>19264.9628649705</v>
      </c>
      <c r="R378" s="15" t="n">
        <f aca="false">Q378-$G$2+$I$2</f>
        <v>15197.1628649705</v>
      </c>
      <c r="S378" s="42" t="n">
        <f aca="false">R378/$K$2</f>
        <v>116.757551205981</v>
      </c>
      <c r="T378" s="43" t="n">
        <f aca="false">S378-$M$2</f>
        <v>-59.8712133914379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3189.0625</v>
      </c>
      <c r="F379" s="15" t="n">
        <f aca="false">E379*(1+IF(F$3&lt;=$O$2,$D379,$D379-($D379-$I$373)*MIN(F$3-$O$2,$Q$2)/$Q$2))</f>
        <v>3238.8916015625</v>
      </c>
      <c r="G379" s="15" t="n">
        <f aca="false">F379*(1+IF(G$3&lt;=$O$2,$D379,$D379-($D379-$I$373)*MIN(G$3-$O$2,$Q$2)/$Q$2))</f>
        <v>3289.49928283691</v>
      </c>
      <c r="H379" s="15" t="n">
        <f aca="false">G379*(1+IF(H$3&lt;=$O$2,$D379,$D379-($D379-$I$373)*MIN(H$3-$O$2,$Q$2)/$Q$2))</f>
        <v>3340.89770913124</v>
      </c>
      <c r="I379" s="15" t="n">
        <f aca="false">H379*(1+IF(I$3&lt;=$O$2,$D379,$D379-($D379-$I$373)*MIN(I$3-$O$2,$Q$2)/$Q$2))</f>
        <v>3393.09923583642</v>
      </c>
      <c r="J379" s="15" t="n">
        <f aca="false">I379*(1+IF(J$3&lt;=$O$2,$D379,$D379-($D379-$I$373)*MIN(J$3-$O$2,$Q$2)/$Q$2))</f>
        <v>3454.71791795921</v>
      </c>
      <c r="K379" s="15" t="n">
        <f aca="false">J379*(1+IF(K$3&lt;=$O$2,$D379,$D379-($D379-$I$373)*MIN(K$3-$O$2,$Q$2)/$Q$2))</f>
        <v>3526.21330527137</v>
      </c>
      <c r="L379" s="15" t="n">
        <f aca="false">K379*(1+IF(L$3&lt;=$O$2,$D379,$D379-($D379-$I$373)*MIN(L$3-$O$2,$Q$2)/$Q$2))</f>
        <v>3608.12724035283</v>
      </c>
      <c r="M379" s="15" t="n">
        <f aca="false">L379*(1+IF(M$3&lt;=$O$2,$D379,$D379-($D379-$I$373)*MIN(M$3-$O$2,$Q$2)/$Q$2))</f>
        <v>3701.09063870052</v>
      </c>
      <c r="N379" s="15" t="n">
        <f aca="false">M379*(1+IF(N$3&lt;=$O$2,$D379,$D379-($D379-$I$373)*MIN(N$3-$O$2,$Q$2)/$Q$2))</f>
        <v>3805.83150377574</v>
      </c>
      <c r="O379" s="15" t="n">
        <f aca="false">SUMPRODUCT(E379:N379,1/(1+$F$373)^$E$3:$N$3)*$E$2</f>
        <v>10319.2488750956</v>
      </c>
      <c r="P379" s="15" t="n">
        <f aca="false">N379*$E$2*(1+$I$373)/($F$373-$I$373)/(1+$F$373)^$N$3</f>
        <v>15089.6245414825</v>
      </c>
      <c r="Q379" s="15" t="n">
        <f aca="false">O379+P379</f>
        <v>25408.8734165781</v>
      </c>
      <c r="R379" s="15" t="n">
        <f aca="false">Q379-$G$2+$I$2</f>
        <v>21341.0734165781</v>
      </c>
      <c r="S379" s="42" t="n">
        <f aca="false">R379/$K$2</f>
        <v>163.960305904872</v>
      </c>
      <c r="T379" s="43" t="n">
        <f aca="false">S379-$M$2</f>
        <v>-12.6684586925469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0.015625</v>
      </c>
      <c r="C380" s="25" t="n">
        <f aca="false">IF(T379&gt;0,D379,C379)</f>
        <v>0.0625</v>
      </c>
      <c r="D380" s="41" t="n">
        <f aca="false">(B380+C380)/2</f>
        <v>0.0390625</v>
      </c>
      <c r="E380" s="15" t="n">
        <f aca="false">$C$2*(1+IF(E$3&lt;=$O$2,$D380,$D380-($D380-$I$373)*MIN(E$3-$O$2,$Q$2)/$Q$2))</f>
        <v>3262.65625</v>
      </c>
      <c r="F380" s="15" t="n">
        <f aca="false">E380*(1+IF(F$3&lt;=$O$2,$D380,$D380-($D380-$I$373)*MIN(F$3-$O$2,$Q$2)/$Q$2))</f>
        <v>3390.10375976563</v>
      </c>
      <c r="G380" s="15" t="n">
        <f aca="false">F380*(1+IF(G$3&lt;=$O$2,$D380,$D380-($D380-$I$373)*MIN(G$3-$O$2,$Q$2)/$Q$2))</f>
        <v>3522.52968788147</v>
      </c>
      <c r="H380" s="15" t="n">
        <f aca="false">G380*(1+IF(H$3&lt;=$O$2,$D380,$D380-($D380-$I$373)*MIN(H$3-$O$2,$Q$2)/$Q$2))</f>
        <v>3660.12850381434</v>
      </c>
      <c r="I380" s="15" t="n">
        <f aca="false">H380*(1+IF(I$3&lt;=$O$2,$D380,$D380-($D380-$I$373)*MIN(I$3-$O$2,$Q$2)/$Q$2))</f>
        <v>3803.10227349459</v>
      </c>
      <c r="J380" s="15" t="n">
        <f aca="false">I380*(1+IF(J$3&lt;=$O$2,$D380,$D380-($D380-$I$373)*MIN(J$3-$O$2,$Q$2)/$Q$2))</f>
        <v>3943.47477840927</v>
      </c>
      <c r="K380" s="15" t="n">
        <f aca="false">J380*(1+IF(K$3&lt;=$O$2,$D380,$D380-($D380-$I$373)*MIN(K$3-$O$2,$Q$2)/$Q$2))</f>
        <v>4080.54010301983</v>
      </c>
      <c r="L380" s="15" t="n">
        <f aca="false">K380*(1+IF(L$3&lt;=$O$2,$D380,$D380-($D380-$I$373)*MIN(L$3-$O$2,$Q$2)/$Q$2))</f>
        <v>4213.58611307879</v>
      </c>
      <c r="M380" s="15" t="n">
        <f aca="false">L380*(1+IF(M$3&lt;=$O$2,$D380,$D380-($D380-$I$373)*MIN(M$3-$O$2,$Q$2)/$Q$2))</f>
        <v>4341.90034418733</v>
      </c>
      <c r="N380" s="15" t="n">
        <f aca="false">M380*(1+IF(N$3&lt;=$O$2,$D380,$D380-($D380-$I$373)*MIN(N$3-$O$2,$Q$2)/$Q$2))</f>
        <v>4464.77612392783</v>
      </c>
      <c r="O380" s="15" t="n">
        <f aca="false">SUMPRODUCT(E380:N380,1/(1+$F$373)^$E$3:$N$3)*$E$2</f>
        <v>11434.1794080528</v>
      </c>
      <c r="P380" s="15" t="n">
        <f aca="false">N380*$E$2*(1+$I$373)/($F$373-$I$373)/(1+$F$373)^$N$3</f>
        <v>17702.2538451866</v>
      </c>
      <c r="Q380" s="15" t="n">
        <f aca="false">O380+P380</f>
        <v>29136.4332532394</v>
      </c>
      <c r="R380" s="15" t="n">
        <f aca="false">Q380-$G$2+$I$2</f>
        <v>25068.6332532394</v>
      </c>
      <c r="S380" s="42" t="n">
        <f aca="false">R380/$K$2</f>
        <v>192.598595983708</v>
      </c>
      <c r="T380" s="43" t="n">
        <f aca="false">S380-$M$2</f>
        <v>15.9698313862891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0.015625</v>
      </c>
      <c r="C381" s="25" t="n">
        <f aca="false">IF(T380&gt;0,D380,C380)</f>
        <v>0.0390625</v>
      </c>
      <c r="D381" s="41" t="n">
        <f aca="false">(B381+C381)/2</f>
        <v>0.02734375</v>
      </c>
      <c r="E381" s="15" t="n">
        <f aca="false">$C$2*(1+IF(E$3&lt;=$O$2,$D381,$D381-($D381-$I$373)*MIN(E$3-$O$2,$Q$2)/$Q$2))</f>
        <v>3225.859375</v>
      </c>
      <c r="F381" s="15" t="n">
        <f aca="false">E381*(1+IF(F$3&lt;=$O$2,$D381,$D381-($D381-$I$373)*MIN(F$3-$O$2,$Q$2)/$Q$2))</f>
        <v>3314.06646728516</v>
      </c>
      <c r="G381" s="15" t="n">
        <f aca="false">F381*(1+IF(G$3&lt;=$O$2,$D381,$D381-($D381-$I$373)*MIN(G$3-$O$2,$Q$2)/$Q$2))</f>
        <v>3404.68547224998</v>
      </c>
      <c r="H381" s="15" t="n">
        <f aca="false">G381*(1+IF(H$3&lt;=$O$2,$D381,$D381-($D381-$I$373)*MIN(H$3-$O$2,$Q$2)/$Q$2))</f>
        <v>3497.78234063182</v>
      </c>
      <c r="I381" s="15" t="n">
        <f aca="false">H381*(1+IF(I$3&lt;=$O$2,$D381,$D381-($D381-$I$373)*MIN(I$3-$O$2,$Q$2)/$Q$2))</f>
        <v>3593.42482650847</v>
      </c>
      <c r="J381" s="15" t="n">
        <f aca="false">I381*(1+IF(J$3&lt;=$O$2,$D381,$D381-($D381-$I$373)*MIN(J$3-$O$2,$Q$2)/$Q$2))</f>
        <v>3692.36977910638</v>
      </c>
      <c r="K381" s="15" t="n">
        <f aca="false">J381*(1+IF(K$3&lt;=$O$2,$D381,$D381-($D381-$I$373)*MIN(K$3-$O$2,$Q$2)/$Q$2))</f>
        <v>3794.74534669433</v>
      </c>
      <c r="L381" s="15" t="n">
        <f aca="false">K381*(1+IF(L$3&lt;=$O$2,$D381,$D381-($D381-$I$373)*MIN(L$3-$O$2,$Q$2)/$Q$2))</f>
        <v>3900.68514991067</v>
      </c>
      <c r="M381" s="15" t="n">
        <f aca="false">L381*(1+IF(M$3&lt;=$O$2,$D381,$D381-($D381-$I$373)*MIN(M$3-$O$2,$Q$2)/$Q$2))</f>
        <v>4010.32853361822</v>
      </c>
      <c r="N381" s="15" t="n">
        <f aca="false">M381*(1+IF(N$3&lt;=$O$2,$D381,$D381-($D381-$I$373)*MIN(N$3-$O$2,$Q$2)/$Q$2))</f>
        <v>4123.82083111962</v>
      </c>
      <c r="O381" s="15" t="n">
        <f aca="false">SUMPRODUCT(E381:N381,1/(1+$F$373)^$E$3:$N$3)*$E$2</f>
        <v>10862.2258709063</v>
      </c>
      <c r="P381" s="15" t="n">
        <f aca="false">N381*$E$2*(1+$I$373)/($F$373-$I$373)/(1+$F$373)^$N$3</f>
        <v>16350.4106674729</v>
      </c>
      <c r="Q381" s="15" t="n">
        <f aca="false">O381+P381</f>
        <v>27212.6365383792</v>
      </c>
      <c r="R381" s="15" t="n">
        <f aca="false">Q381-$G$2+$I$2</f>
        <v>23144.8365383792</v>
      </c>
      <c r="S381" s="42" t="n">
        <f aca="false">R381/$K$2</f>
        <v>177.818350786564</v>
      </c>
      <c r="T381" s="43" t="n">
        <f aca="false">S381-$M$2</f>
        <v>1.18958618914579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0.015625</v>
      </c>
      <c r="C382" s="25" t="n">
        <f aca="false">IF(T381&gt;0,D381,C381)</f>
        <v>0.02734375</v>
      </c>
      <c r="D382" s="41" t="n">
        <f aca="false">(B382+C382)/2</f>
        <v>0.021484375</v>
      </c>
      <c r="E382" s="15" t="n">
        <f aca="false">$C$2*(1+IF(E$3&lt;=$O$2,$D382,$D382-($D382-$I$373)*MIN(E$3-$O$2,$Q$2)/$Q$2))</f>
        <v>3207.4609375</v>
      </c>
      <c r="F382" s="15" t="n">
        <f aca="false">E382*(1+IF(F$3&lt;=$O$2,$D382,$D382-($D382-$I$373)*MIN(F$3-$O$2,$Q$2)/$Q$2))</f>
        <v>3276.3712310791</v>
      </c>
      <c r="G382" s="15" t="n">
        <f aca="false">F382*(1+IF(G$3&lt;=$O$2,$D382,$D382-($D382-$I$373)*MIN(G$3-$O$2,$Q$2)/$Q$2))</f>
        <v>3346.76201924682</v>
      </c>
      <c r="H382" s="15" t="n">
        <f aca="false">G382*(1+IF(H$3&lt;=$O$2,$D382,$D382-($D382-$I$373)*MIN(H$3-$O$2,$Q$2)/$Q$2))</f>
        <v>3418.66510950407</v>
      </c>
      <c r="I382" s="15" t="n">
        <f aca="false">H382*(1+IF(I$3&lt;=$O$2,$D382,$D382-($D382-$I$373)*MIN(I$3-$O$2,$Q$2)/$Q$2))</f>
        <v>3492.11299271607</v>
      </c>
      <c r="J382" s="15" t="n">
        <f aca="false">I382*(1+IF(J$3&lt;=$O$2,$D382,$D382-($D382-$I$373)*MIN(J$3-$O$2,$Q$2)/$Q$2))</f>
        <v>3571.89904431715</v>
      </c>
      <c r="K382" s="15" t="n">
        <f aca="false">J382*(1+IF(K$3&lt;=$O$2,$D382,$D382-($D382-$I$373)*MIN(K$3-$O$2,$Q$2)/$Q$2))</f>
        <v>3658.37695261698</v>
      </c>
      <c r="L382" s="15" t="n">
        <f aca="false">K382*(1+IF(L$3&lt;=$O$2,$D382,$D382-($D382-$I$373)*MIN(L$3-$O$2,$Q$2)/$Q$2))</f>
        <v>3751.93537020896</v>
      </c>
      <c r="M382" s="15" t="n">
        <f aca="false">L382*(1+IF(M$3&lt;=$O$2,$D382,$D382-($D382-$I$373)*MIN(M$3-$O$2,$Q$2)/$Q$2))</f>
        <v>3853.00078428436</v>
      </c>
      <c r="N382" s="15" t="n">
        <f aca="false">M382*(1+IF(N$3&lt;=$O$2,$D382,$D382-($D382-$I$373)*MIN(N$3-$O$2,$Q$2)/$Q$2))</f>
        <v>3962.04070647961</v>
      </c>
      <c r="O382" s="15" t="n">
        <f aca="false">SUMPRODUCT(E382:N382,1/(1+$F$373)^$E$3:$N$3)*$E$2</f>
        <v>10587.2032952212</v>
      </c>
      <c r="P382" s="15" t="n">
        <f aca="false">N382*$E$2*(1+$I$373)/($F$373-$I$373)/(1+$F$373)^$N$3</f>
        <v>15708.9736157616</v>
      </c>
      <c r="Q382" s="15" t="n">
        <f aca="false">O382+P382</f>
        <v>26296.1769109828</v>
      </c>
      <c r="R382" s="15" t="n">
        <f aca="false">Q382-$G$2+$I$2</f>
        <v>22228.3769109828</v>
      </c>
      <c r="S382" s="42" t="n">
        <f aca="false">R382/$K$2</f>
        <v>170.777327220212</v>
      </c>
      <c r="T382" s="43" t="n">
        <f aca="false">S382-$M$2</f>
        <v>-5.85143737720654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0.021484375</v>
      </c>
      <c r="C383" s="25" t="n">
        <f aca="false">IF(T382&gt;0,D382,C382)</f>
        <v>0.02734375</v>
      </c>
      <c r="D383" s="41" t="n">
        <f aca="false">(B383+C383)/2</f>
        <v>0.0244140625</v>
      </c>
      <c r="E383" s="15" t="n">
        <f aca="false">$C$2*(1+IF(E$3&lt;=$O$2,$D383,$D383-($D383-$I$373)*MIN(E$3-$O$2,$Q$2)/$Q$2))</f>
        <v>3216.66015625</v>
      </c>
      <c r="F383" s="15" t="n">
        <f aca="false">E383*(1+IF(F$3&lt;=$O$2,$D383,$D383-($D383-$I$373)*MIN(F$3-$O$2,$Q$2)/$Q$2))</f>
        <v>3295.19189834595</v>
      </c>
      <c r="G383" s="15" t="n">
        <f aca="false">F383*(1+IF(G$3&lt;=$O$2,$D383,$D383-($D383-$I$373)*MIN(G$3-$O$2,$Q$2)/$Q$2))</f>
        <v>3375.64091930166</v>
      </c>
      <c r="H383" s="15" t="n">
        <f aca="false">G383*(1+IF(H$3&lt;=$O$2,$D383,$D383-($D383-$I$373)*MIN(H$3-$O$2,$Q$2)/$Q$2))</f>
        <v>3458.05402768305</v>
      </c>
      <c r="I383" s="15" t="n">
        <f aca="false">H383*(1+IF(I$3&lt;=$O$2,$D383,$D383-($D383-$I$373)*MIN(I$3-$O$2,$Q$2)/$Q$2))</f>
        <v>3542.47917484328</v>
      </c>
      <c r="J383" s="15" t="n">
        <f aca="false">I383*(1+IF(J$3&lt;=$O$2,$D383,$D383-($D383-$I$373)*MIN(J$3-$O$2,$Q$2)/$Q$2))</f>
        <v>3631.71865335655</v>
      </c>
      <c r="K383" s="15" t="n">
        <f aca="false">J383*(1+IF(K$3&lt;=$O$2,$D383,$D383-($D383-$I$373)*MIN(K$3-$O$2,$Q$2)/$Q$2))</f>
        <v>3726.02871222382</v>
      </c>
      <c r="L383" s="15" t="n">
        <f aca="false">K383*(1+IF(L$3&lt;=$O$2,$D383,$D383-($D383-$I$373)*MIN(L$3-$O$2,$Q$2)/$Q$2))</f>
        <v>3825.68367890019</v>
      </c>
      <c r="M383" s="15" t="n">
        <f aca="false">L383*(1+IF(M$3&lt;=$O$2,$D383,$D383-($D383-$I$373)*MIN(M$3-$O$2,$Q$2)/$Q$2))</f>
        <v>3930.97725347887</v>
      </c>
      <c r="N383" s="15" t="n">
        <f aca="false">M383*(1+IF(N$3&lt;=$O$2,$D383,$D383-($D383-$I$373)*MIN(N$3-$O$2,$Q$2)/$Q$2))</f>
        <v>4042.22390975233</v>
      </c>
      <c r="O383" s="15" t="n">
        <f aca="false">SUMPRODUCT(E383:N383,1/(1+$F$373)^$E$3:$N$3)*$E$2</f>
        <v>10723.8202110854</v>
      </c>
      <c r="P383" s="15" t="n">
        <f aca="false">N383*$E$2*(1+$I$373)/($F$373-$I$373)/(1+$F$373)^$N$3</f>
        <v>16026.8895378717</v>
      </c>
      <c r="Q383" s="15" t="n">
        <f aca="false">O383+P383</f>
        <v>26750.7097489571</v>
      </c>
      <c r="R383" s="15" t="n">
        <f aca="false">Q383-$G$2+$I$2</f>
        <v>22682.9097489571</v>
      </c>
      <c r="S383" s="42" t="n">
        <f aca="false">R383/$K$2</f>
        <v>174.269435686517</v>
      </c>
      <c r="T383" s="43" t="n">
        <f aca="false">S383-$M$2</f>
        <v>-2.35932891090155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0.0244140625</v>
      </c>
      <c r="C384" s="25" t="n">
        <f aca="false">IF(T383&gt;0,D383,C383)</f>
        <v>0.02734375</v>
      </c>
      <c r="D384" s="41" t="n">
        <f aca="false">(B384+C384)/2</f>
        <v>0.02587890625</v>
      </c>
      <c r="E384" s="15" t="n">
        <f aca="false">$C$2*(1+IF(E$3&lt;=$O$2,$D384,$D384-($D384-$I$373)*MIN(E$3-$O$2,$Q$2)/$Q$2))</f>
        <v>3221.259765625</v>
      </c>
      <c r="F384" s="15" t="n">
        <f aca="false">E384*(1+IF(F$3&lt;=$O$2,$D384,$D384-($D384-$I$373)*MIN(F$3-$O$2,$Q$2)/$Q$2))</f>
        <v>3304.62244510651</v>
      </c>
      <c r="G384" s="15" t="n">
        <f aca="false">F384*(1+IF(G$3&lt;=$O$2,$D384,$D384-($D384-$I$373)*MIN(G$3-$O$2,$Q$2)/$Q$2))</f>
        <v>3390.14245955506</v>
      </c>
      <c r="H384" s="15" t="n">
        <f aca="false">G384*(1+IF(H$3&lt;=$O$2,$D384,$D384-($D384-$I$373)*MIN(H$3-$O$2,$Q$2)/$Q$2))</f>
        <v>3477.87563844003</v>
      </c>
      <c r="I384" s="15" t="n">
        <f aca="false">H384*(1+IF(I$3&lt;=$O$2,$D384,$D384-($D384-$I$373)*MIN(I$3-$O$2,$Q$2)/$Q$2))</f>
        <v>3567.87925603638</v>
      </c>
      <c r="J384" s="15" t="n">
        <f aca="false">I384*(1+IF(J$3&lt;=$O$2,$D384,$D384-($D384-$I$373)*MIN(J$3-$O$2,$Q$2)/$Q$2))</f>
        <v>3661.93970284818</v>
      </c>
      <c r="K384" s="15" t="n">
        <f aca="false">J384*(1+IF(K$3&lt;=$O$2,$D384,$D384-($D384-$I$373)*MIN(K$3-$O$2,$Q$2)/$Q$2))</f>
        <v>3760.25305684231</v>
      </c>
      <c r="L384" s="15" t="n">
        <f aca="false">K384*(1+IF(L$3&lt;=$O$2,$D384,$D384-($D384-$I$373)*MIN(L$3-$O$2,$Q$2)/$Q$2))</f>
        <v>3863.02664828122</v>
      </c>
      <c r="M384" s="15" t="n">
        <f aca="false">L384*(1+IF(M$3&lt;=$O$2,$D384,$D384-($D384-$I$373)*MIN(M$3-$O$2,$Q$2)/$Q$2))</f>
        <v>3970.47975249273</v>
      </c>
      <c r="N384" s="15" t="n">
        <f aca="false">M384*(1+IF(N$3&lt;=$O$2,$D384,$D384-($D384-$I$373)*MIN(N$3-$O$2,$Q$2)/$Q$2))</f>
        <v>4082.84432948827</v>
      </c>
      <c r="O384" s="15" t="n">
        <f aca="false">SUMPRODUCT(E384:N384,1/(1+$F$373)^$E$3:$N$3)*$E$2</f>
        <v>10792.798078743</v>
      </c>
      <c r="P384" s="15" t="n">
        <f aca="false">N384*$E$2*(1+$I$373)/($F$373-$I$373)/(1+$F$373)^$N$3</f>
        <v>16187.9441935822</v>
      </c>
      <c r="Q384" s="15" t="n">
        <f aca="false">O384+P384</f>
        <v>26980.7422723252</v>
      </c>
      <c r="R384" s="15" t="n">
        <f aca="false">Q384-$G$2+$I$2</f>
        <v>22912.9422723252</v>
      </c>
      <c r="S384" s="42" t="n">
        <f aca="false">R384/$K$2</f>
        <v>176.036741489899</v>
      </c>
      <c r="T384" s="43" t="n">
        <f aca="false">S384-$M$2</f>
        <v>-0.592023107519822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0.02587890625</v>
      </c>
      <c r="C385" s="25" t="n">
        <f aca="false">IF(T384&gt;0,D384,C384)</f>
        <v>0.02734375</v>
      </c>
      <c r="D385" s="41" t="n">
        <f aca="false">(B385+C385)/2</f>
        <v>0.026611328125</v>
      </c>
      <c r="E385" s="15" t="n">
        <f aca="false">$C$2*(1+IF(E$3&lt;=$O$2,$D385,$D385-($D385-$I$373)*MIN(E$3-$O$2,$Q$2)/$Q$2))</f>
        <v>3223.5595703125</v>
      </c>
      <c r="F385" s="15" t="n">
        <f aca="false">E385*(1+IF(F$3&lt;=$O$2,$D385,$D385-($D385-$I$373)*MIN(F$3-$O$2,$Q$2)/$Q$2))</f>
        <v>3309.34277176857</v>
      </c>
      <c r="G385" s="15" t="n">
        <f aca="false">F385*(1+IF(G$3&lt;=$O$2,$D385,$D385-($D385-$I$373)*MIN(G$3-$O$2,$Q$2)/$Q$2))</f>
        <v>3397.4087781462</v>
      </c>
      <c r="H385" s="15" t="n">
        <f aca="false">G385*(1+IF(H$3&lt;=$O$2,$D385,$D385-($D385-$I$373)*MIN(H$3-$O$2,$Q$2)/$Q$2))</f>
        <v>3487.8183379162</v>
      </c>
      <c r="I385" s="15" t="n">
        <f aca="false">H385*(1+IF(I$3&lt;=$O$2,$D385,$D385-($D385-$I$373)*MIN(I$3-$O$2,$Q$2)/$Q$2))</f>
        <v>3580.63381614688</v>
      </c>
      <c r="J385" s="15" t="n">
        <f aca="false">I385*(1+IF(J$3&lt;=$O$2,$D385,$D385-($D385-$I$373)*MIN(J$3-$O$2,$Q$2)/$Q$2))</f>
        <v>3677.12854064784</v>
      </c>
      <c r="K385" s="15" t="n">
        <f aca="false">J385*(1+IF(K$3&lt;=$O$2,$D385,$D385-($D385-$I$373)*MIN(K$3-$O$2,$Q$2)/$Q$2))</f>
        <v>3777.46560021976</v>
      </c>
      <c r="L385" s="15" t="n">
        <f aca="false">K385*(1+IF(L$3&lt;=$O$2,$D385,$D385-($D385-$I$373)*MIN(L$3-$O$2,$Q$2)/$Q$2))</f>
        <v>3881.81631673883</v>
      </c>
      <c r="M385" s="15" t="n">
        <f aca="false">L385*(1+IF(M$3&lt;=$O$2,$D385,$D385-($D385-$I$373)*MIN(M$3-$O$2,$Q$2)/$Q$2))</f>
        <v>3990.36069569494</v>
      </c>
      <c r="N385" s="15" t="n">
        <f aca="false">M385*(1+IF(N$3&lt;=$O$2,$D385,$D385-($D385-$I$373)*MIN(N$3-$O$2,$Q$2)/$Q$2))</f>
        <v>4103.28790338311</v>
      </c>
      <c r="O385" s="15" t="n">
        <f aca="false">SUMPRODUCT(E385:N385,1/(1+$F$373)^$E$3:$N$3)*$E$2</f>
        <v>10827.4555623057</v>
      </c>
      <c r="P385" s="15" t="n">
        <f aca="false">N385*$E$2*(1+$I$373)/($F$373-$I$373)/(1+$F$373)^$N$3</f>
        <v>16269.0002923751</v>
      </c>
      <c r="Q385" s="15" t="n">
        <f aca="false">O385+P385</f>
        <v>27096.4558546808</v>
      </c>
      <c r="R385" s="15" t="n">
        <f aca="false">Q385-$G$2+$I$2</f>
        <v>23028.6558546808</v>
      </c>
      <c r="S385" s="42" t="n">
        <f aca="false">R385/$K$2</f>
        <v>176.925751803018</v>
      </c>
      <c r="T385" s="43" t="n">
        <f aca="false">S385-$M$2</f>
        <v>0.296987205599521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0.02587890625</v>
      </c>
      <c r="C386" s="25" t="n">
        <f aca="false">IF(T385&gt;0,D385,C385)</f>
        <v>0.026611328125</v>
      </c>
      <c r="D386" s="41" t="n">
        <f aca="false">(B386+C386)/2</f>
        <v>0.0262451171875</v>
      </c>
      <c r="E386" s="15" t="n">
        <f aca="false">$C$2*(1+IF(E$3&lt;=$O$2,$D386,$D386-($D386-$I$373)*MIN(E$3-$O$2,$Q$2)/$Q$2))</f>
        <v>3222.40966796875</v>
      </c>
      <c r="F386" s="15" t="n">
        <f aca="false">E386*(1+IF(F$3&lt;=$O$2,$D386,$D386-($D386-$I$373)*MIN(F$3-$O$2,$Q$2)/$Q$2))</f>
        <v>3306.98218733072</v>
      </c>
      <c r="G386" s="15" t="n">
        <f aca="false">F386*(1+IF(G$3&lt;=$O$2,$D386,$D386-($D386-$I$373)*MIN(G$3-$O$2,$Q$2)/$Q$2))</f>
        <v>3393.77432237419</v>
      </c>
      <c r="H386" s="15" t="n">
        <f aca="false">G386*(1+IF(H$3&lt;=$O$2,$D386,$D386-($D386-$I$373)*MIN(H$3-$O$2,$Q$2)/$Q$2))</f>
        <v>3482.84432717283</v>
      </c>
      <c r="I386" s="15" t="n">
        <f aca="false">H386*(1+IF(I$3&lt;=$O$2,$D386,$D386-($D386-$I$373)*MIN(I$3-$O$2,$Q$2)/$Q$2))</f>
        <v>3574.2519846853</v>
      </c>
      <c r="J386" s="15" t="n">
        <f aca="false">I386*(1+IF(J$3&lt;=$O$2,$D386,$D386-($D386-$I$373)*MIN(J$3-$O$2,$Q$2)/$Q$2))</f>
        <v>3669.5275806752</v>
      </c>
      <c r="K386" s="15" t="n">
        <f aca="false">J386*(1+IF(K$3&lt;=$O$2,$D386,$D386-($D386-$I$373)*MIN(K$3-$O$2,$Q$2)/$Q$2))</f>
        <v>3768.85094171499</v>
      </c>
      <c r="L386" s="15" t="n">
        <f aca="false">K386*(1+IF(L$3&lt;=$O$2,$D386,$D386-($D386-$I$373)*MIN(L$3-$O$2,$Q$2)/$Q$2))</f>
        <v>3872.41160455632</v>
      </c>
      <c r="M386" s="15" t="n">
        <f aca="false">L386*(1+IF(M$3&lt;=$O$2,$D386,$D386-($D386-$I$373)*MIN(M$3-$O$2,$Q$2)/$Q$2))</f>
        <v>3980.40938255544</v>
      </c>
      <c r="N386" s="15" t="n">
        <f aca="false">M386*(1+IF(N$3&lt;=$O$2,$D386,$D386-($D386-$I$373)*MIN(N$3-$O$2,$Q$2)/$Q$2))</f>
        <v>4093.05496808176</v>
      </c>
      <c r="O386" s="15" t="n">
        <f aca="false">SUMPRODUCT(E386:N386,1/(1+$F$373)^$E$3:$N$3)*$E$2</f>
        <v>10810.1127389248</v>
      </c>
      <c r="P386" s="15" t="n">
        <f aca="false">N386*$E$2*(1+$I$373)/($F$373-$I$373)/(1+$F$373)^$N$3</f>
        <v>16228.4280412123</v>
      </c>
      <c r="Q386" s="15" t="n">
        <f aca="false">O386+P386</f>
        <v>27038.5407801371</v>
      </c>
      <c r="R386" s="15" t="n">
        <f aca="false">Q386-$G$2+$I$2</f>
        <v>22970.7407801371</v>
      </c>
      <c r="S386" s="42" t="n">
        <f aca="false">R386/$K$2</f>
        <v>176.480798863991</v>
      </c>
      <c r="T386" s="43" t="n">
        <f aca="false">S386-$M$2</f>
        <v>-0.147965733427242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0.0262451171875</v>
      </c>
      <c r="C387" s="25" t="n">
        <f aca="false">IF(T386&gt;0,D386,C386)</f>
        <v>0.026611328125</v>
      </c>
      <c r="D387" s="41" t="n">
        <f aca="false">(B387+C387)/2</f>
        <v>0.02642822265625</v>
      </c>
      <c r="E387" s="15" t="n">
        <f aca="false">$C$2*(1+IF(E$3&lt;=$O$2,$D387,$D387-($D387-$I$373)*MIN(E$3-$O$2,$Q$2)/$Q$2))</f>
        <v>3222.98461914063</v>
      </c>
      <c r="F387" s="15" t="n">
        <f aca="false">E387*(1+IF(F$3&lt;=$O$2,$D387,$D387-($D387-$I$373)*MIN(F$3-$O$2,$Q$2)/$Q$2))</f>
        <v>3308.16237427294</v>
      </c>
      <c r="G387" s="15" t="n">
        <f aca="false">F387*(1+IF(G$3&lt;=$O$2,$D387,$D387-($D387-$I$373)*MIN(G$3-$O$2,$Q$2)/$Q$2))</f>
        <v>3395.59122608326</v>
      </c>
      <c r="H387" s="15" t="n">
        <f aca="false">G387*(1+IF(H$3&lt;=$O$2,$D387,$D387-($D387-$I$373)*MIN(H$3-$O$2,$Q$2)/$Q$2))</f>
        <v>3485.33066705579</v>
      </c>
      <c r="I387" s="15" t="n">
        <f aca="false">H387*(1+IF(I$3&lt;=$O$2,$D387,$D387-($D387-$I$373)*MIN(I$3-$O$2,$Q$2)/$Q$2))</f>
        <v>3577.4417619554</v>
      </c>
      <c r="J387" s="15" t="n">
        <f aca="false">I387*(1+IF(J$3&lt;=$O$2,$D387,$D387-($D387-$I$373)*MIN(J$3-$O$2,$Q$2)/$Q$2))</f>
        <v>3673.32642426785</v>
      </c>
      <c r="K387" s="15" t="n">
        <f aca="false">J387*(1+IF(K$3&lt;=$O$2,$D387,$D387-($D387-$I$373)*MIN(K$3-$O$2,$Q$2)/$Q$2))</f>
        <v>3773.15617256834</v>
      </c>
      <c r="L387" s="15" t="n">
        <f aca="false">K387*(1+IF(L$3&lt;=$O$2,$D387,$D387-($D387-$I$373)*MIN(L$3-$O$2,$Q$2)/$Q$2))</f>
        <v>3877.11148895673</v>
      </c>
      <c r="M387" s="15" t="n">
        <f aca="false">L387*(1+IF(M$3&lt;=$O$2,$D387,$D387-($D387-$I$373)*MIN(M$3-$O$2,$Q$2)/$Q$2))</f>
        <v>3985.38232620536</v>
      </c>
      <c r="N387" s="15" t="n">
        <f aca="false">M387*(1+IF(N$3&lt;=$O$2,$D387,$D387-($D387-$I$373)*MIN(N$3-$O$2,$Q$2)/$Q$2))</f>
        <v>4098.16864603697</v>
      </c>
      <c r="O387" s="15" t="n">
        <f aca="false">SUMPRODUCT(E387:N387,1/(1+$F$373)^$E$3:$N$3)*$E$2</f>
        <v>10818.7806275264</v>
      </c>
      <c r="P387" s="15" t="n">
        <f aca="false">N387*$E$2*(1+$I$373)/($F$373-$I$373)/(1+$F$373)^$N$3</f>
        <v>16248.7031060158</v>
      </c>
      <c r="Q387" s="15" t="n">
        <f aca="false">O387+P387</f>
        <v>27067.4837335421</v>
      </c>
      <c r="R387" s="15" t="n">
        <f aca="false">Q387-$G$2+$I$2</f>
        <v>22999.6837335421</v>
      </c>
      <c r="S387" s="42" t="n">
        <f aca="false">R387/$K$2</f>
        <v>176.703163287816</v>
      </c>
      <c r="T387" s="43" t="n">
        <f aca="false">S387-$M$2</f>
        <v>0.0743986903972882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0.0262451171875</v>
      </c>
      <c r="C388" s="25" t="n">
        <f aca="false">IF(T387&gt;0,D387,C387)</f>
        <v>0.02642822265625</v>
      </c>
      <c r="D388" s="41" t="n">
        <f aca="false">(B388+C388)/2</f>
        <v>0.026336669921875</v>
      </c>
      <c r="E388" s="15" t="n">
        <f aca="false">$C$2*(1+IF(E$3&lt;=$O$2,$D388,$D388-($D388-$I$373)*MIN(E$3-$O$2,$Q$2)/$Q$2))</f>
        <v>3222.69714355469</v>
      </c>
      <c r="F388" s="15" t="n">
        <f aca="false">E388*(1+IF(F$3&lt;=$O$2,$D388,$D388-($D388-$I$373)*MIN(F$3-$O$2,$Q$2)/$Q$2))</f>
        <v>3307.57225448266</v>
      </c>
      <c r="G388" s="15" t="n">
        <f aca="false">F388*(1+IF(G$3&lt;=$O$2,$D388,$D388-($D388-$I$373)*MIN(G$3-$O$2,$Q$2)/$Q$2))</f>
        <v>3394.68269319172</v>
      </c>
      <c r="H388" s="15" t="n">
        <f aca="false">G388*(1+IF(H$3&lt;=$O$2,$D388,$D388-($D388-$I$373)*MIN(H$3-$O$2,$Q$2)/$Q$2))</f>
        <v>3484.08733077181</v>
      </c>
      <c r="I388" s="15" t="n">
        <f aca="false">H388*(1+IF(I$3&lt;=$O$2,$D388,$D388-($D388-$I$373)*MIN(I$3-$O$2,$Q$2)/$Q$2))</f>
        <v>3575.84658878133</v>
      </c>
      <c r="J388" s="15" t="n">
        <f aca="false">I388*(1+IF(J$3&lt;=$O$2,$D388,$D388-($D388-$I$373)*MIN(J$3-$O$2,$Q$2)/$Q$2))</f>
        <v>3671.42659351383</v>
      </c>
      <c r="K388" s="15" t="n">
        <f aca="false">J388*(1+IF(K$3&lt;=$O$2,$D388,$D388-($D388-$I$373)*MIN(K$3-$O$2,$Q$2)/$Q$2))</f>
        <v>3771.00303275387</v>
      </c>
      <c r="L388" s="15" t="n">
        <f aca="false">K388*(1+IF(L$3&lt;=$O$2,$D388,$D388-($D388-$I$373)*MIN(L$3-$O$2,$Q$2)/$Q$2))</f>
        <v>3874.76092910924</v>
      </c>
      <c r="M388" s="15" t="n">
        <f aca="false">L388*(1+IF(M$3&lt;=$O$2,$D388,$D388-($D388-$I$373)*MIN(M$3-$O$2,$Q$2)/$Q$2))</f>
        <v>3982.8951764675</v>
      </c>
      <c r="N388" s="15" t="n">
        <f aca="false">M388*(1+IF(N$3&lt;=$O$2,$D388,$D388-($D388-$I$373)*MIN(N$3-$O$2,$Q$2)/$Q$2))</f>
        <v>4095.61110996153</v>
      </c>
      <c r="O388" s="15" t="n">
        <f aca="false">SUMPRODUCT(E388:N388,1/(1+$F$373)^$E$3:$N$3)*$E$2</f>
        <v>10814.4458027896</v>
      </c>
      <c r="P388" s="15" t="n">
        <f aca="false">N388*$E$2*(1+$I$373)/($F$373-$I$373)/(1+$F$373)^$N$3</f>
        <v>16238.5628097122</v>
      </c>
      <c r="Q388" s="15" t="n">
        <f aca="false">O388+P388</f>
        <v>27053.0086125018</v>
      </c>
      <c r="R388" s="15" t="n">
        <f aca="false">Q388-$G$2+$I$2</f>
        <v>22985.2086125018</v>
      </c>
      <c r="S388" s="42" t="n">
        <f aca="false">R388/$K$2</f>
        <v>176.591953076996</v>
      </c>
      <c r="T388" s="43" t="n">
        <f aca="false">S388-$M$2</f>
        <v>-0.0368115204222761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0.026336669921875</v>
      </c>
      <c r="C389" s="25" t="n">
        <f aca="false">IF(T388&gt;0,D388,C388)</f>
        <v>0.02642822265625</v>
      </c>
      <c r="D389" s="41" t="n">
        <f aca="false">(B389+C389)/2</f>
        <v>0.0263824462890625</v>
      </c>
      <c r="E389" s="15" t="n">
        <f aca="false">$C$2*(1+IF(E$3&lt;=$O$2,$D389,$D389-($D389-$I$373)*MIN(E$3-$O$2,$Q$2)/$Q$2))</f>
        <v>3222.84088134766</v>
      </c>
      <c r="F389" s="15" t="n">
        <f aca="false">E389*(1+IF(F$3&lt;=$O$2,$D389,$D389-($D389-$I$373)*MIN(F$3-$O$2,$Q$2)/$Q$2))</f>
        <v>3307.86730779801</v>
      </c>
      <c r="G389" s="15" t="n">
        <f aca="false">F389*(1+IF(G$3&lt;=$O$2,$D389,$D389-($D389-$I$373)*MIN(G$3-$O$2,$Q$2)/$Q$2))</f>
        <v>3395.13693937733</v>
      </c>
      <c r="H389" s="15" t="n">
        <f aca="false">G389*(1+IF(H$3&lt;=$O$2,$D389,$D389-($D389-$I$373)*MIN(H$3-$O$2,$Q$2)/$Q$2))</f>
        <v>3484.70895732447</v>
      </c>
      <c r="I389" s="15" t="n">
        <f aca="false">H389*(1+IF(I$3&lt;=$O$2,$D389,$D389-($D389-$I$373)*MIN(I$3-$O$2,$Q$2)/$Q$2))</f>
        <v>3576.6441042241</v>
      </c>
      <c r="J389" s="15" t="n">
        <f aca="false">I389*(1+IF(J$3&lt;=$O$2,$D389,$D389-($D389-$I$373)*MIN(J$3-$O$2,$Q$2)/$Q$2))</f>
        <v>3672.37640663383</v>
      </c>
      <c r="K389" s="15" t="n">
        <f aca="false">J389*(1+IF(K$3&lt;=$O$2,$D389,$D389-($D389-$I$373)*MIN(K$3-$O$2,$Q$2)/$Q$2))</f>
        <v>3772.07947153767</v>
      </c>
      <c r="L389" s="15" t="n">
        <f aca="false">K389*(1+IF(L$3&lt;=$O$2,$D389,$D389-($D389-$I$373)*MIN(L$3-$O$2,$Q$2)/$Q$2))</f>
        <v>3875.93605458674</v>
      </c>
      <c r="M389" s="15" t="n">
        <f aca="false">L389*(1+IF(M$3&lt;=$O$2,$D389,$D389-($D389-$I$373)*MIN(M$3-$O$2,$Q$2)/$Q$2))</f>
        <v>3984.13858181858</v>
      </c>
      <c r="N389" s="15" t="n">
        <f aca="false">M389*(1+IF(N$3&lt;=$O$2,$D389,$D389-($D389-$I$373)*MIN(N$3-$O$2,$Q$2)/$Q$2))</f>
        <v>4096.88970368405</v>
      </c>
      <c r="O389" s="15" t="n">
        <f aca="false">SUMPRODUCT(E389:N389,1/(1+$F$373)^$E$3:$N$3)*$E$2</f>
        <v>10816.612995007</v>
      </c>
      <c r="P389" s="15" t="n">
        <f aca="false">N389*$E$2*(1+$I$373)/($F$373-$I$373)/(1+$F$373)^$N$3</f>
        <v>16243.632266727</v>
      </c>
      <c r="Q389" s="15" t="n">
        <f aca="false">O389+P389</f>
        <v>27060.245261734</v>
      </c>
      <c r="R389" s="15" t="n">
        <f aca="false">Q389-$G$2+$I$2</f>
        <v>22992.445261734</v>
      </c>
      <c r="S389" s="42" t="n">
        <f aca="false">R389/$K$2</f>
        <v>176.647551181115</v>
      </c>
      <c r="T389" s="43" t="n">
        <f aca="false">S389-$M$2</f>
        <v>0.0187865836966807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0.026336669921875</v>
      </c>
      <c r="C390" s="25" t="n">
        <f aca="false">IF(T389&gt;0,D389,C389)</f>
        <v>0.0263824462890625</v>
      </c>
      <c r="D390" s="41" t="n">
        <f aca="false">(B390+C390)/2</f>
        <v>0.0263595581054688</v>
      </c>
      <c r="E390" s="15" t="n">
        <f aca="false">$C$2*(1+IF(E$3&lt;=$O$2,$D390,$D390-($D390-$I$373)*MIN(E$3-$O$2,$Q$2)/$Q$2))</f>
        <v>3222.76901245117</v>
      </c>
      <c r="F390" s="15" t="n">
        <f aca="false">E390*(1+IF(F$3&lt;=$O$2,$D390,$D390-($D390-$I$373)*MIN(F$3-$O$2,$Q$2)/$Q$2))</f>
        <v>3307.71977949538</v>
      </c>
      <c r="G390" s="15" t="n">
        <f aca="false">F390*(1+IF(G$3&lt;=$O$2,$D390,$D390-($D390-$I$373)*MIN(G$3-$O$2,$Q$2)/$Q$2))</f>
        <v>3394.9098112196</v>
      </c>
      <c r="H390" s="15" t="n">
        <f aca="false">G390*(1+IF(H$3&lt;=$O$2,$D390,$D390-($D390-$I$373)*MIN(H$3-$O$2,$Q$2)/$Q$2))</f>
        <v>3484.39813365127</v>
      </c>
      <c r="I390" s="15" t="n">
        <f aca="false">H390*(1+IF(I$3&lt;=$O$2,$D390,$D390-($D390-$I$373)*MIN(I$3-$O$2,$Q$2)/$Q$2))</f>
        <v>3576.24532871784</v>
      </c>
      <c r="J390" s="15" t="n">
        <f aca="false">I390*(1+IF(J$3&lt;=$O$2,$D390,$D390-($D390-$I$373)*MIN(J$3-$O$2,$Q$2)/$Q$2))</f>
        <v>3671.90147451178</v>
      </c>
      <c r="K390" s="15" t="n">
        <f aca="false">J390*(1+IF(K$3&lt;=$O$2,$D390,$D390-($D390-$I$373)*MIN(K$3-$O$2,$Q$2)/$Q$2))</f>
        <v>3771.54121936822</v>
      </c>
      <c r="L390" s="15" t="n">
        <f aca="false">K390*(1+IF(L$3&lt;=$O$2,$D390,$D390-($D390-$I$373)*MIN(L$3-$O$2,$Q$2)/$Q$2))</f>
        <v>3875.34845324074</v>
      </c>
      <c r="M390" s="15" t="n">
        <f aca="false">L390*(1+IF(M$3&lt;=$O$2,$D390,$D390-($D390-$I$373)*MIN(M$3-$O$2,$Q$2)/$Q$2))</f>
        <v>3983.51683676853</v>
      </c>
      <c r="N390" s="15" t="n">
        <f aca="false">M390*(1+IF(N$3&lt;=$O$2,$D390,$D390-($D390-$I$373)*MIN(N$3-$O$2,$Q$2)/$Q$2))</f>
        <v>4096.25036324908</v>
      </c>
      <c r="O390" s="15" t="n">
        <f aca="false">SUMPRODUCT(E390:N390,1/(1+$F$373)^$E$3:$N$3)*$E$2</f>
        <v>10815.5293438658</v>
      </c>
      <c r="P390" s="15" t="n">
        <f aca="false">N390*$E$2*(1+$I$373)/($F$373-$I$373)/(1+$F$373)^$N$3</f>
        <v>16241.0973654555</v>
      </c>
      <c r="Q390" s="15" t="n">
        <f aca="false">O390+P390</f>
        <v>27056.6267093214</v>
      </c>
      <c r="R390" s="15" t="n">
        <f aca="false">Q390-$G$2+$I$2</f>
        <v>22988.8267093214</v>
      </c>
      <c r="S390" s="42" t="n">
        <f aca="false">R390/$K$2</f>
        <v>176.619750378929</v>
      </c>
      <c r="T390" s="43" t="n">
        <f aca="false">S390-$M$2</f>
        <v>-0.0090142184899662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0.0263595581054688</v>
      </c>
      <c r="C391" s="25" t="n">
        <f aca="false">IF(T390&gt;0,D390,C390)</f>
        <v>0.0263824462890625</v>
      </c>
      <c r="D391" s="41" t="n">
        <f aca="false">(B391+C391)/2</f>
        <v>0.0263710021972656</v>
      </c>
      <c r="E391" s="15" t="n">
        <f aca="false">$C$2*(1+IF(E$3&lt;=$O$2,$D391,$D391-($D391-$I$373)*MIN(E$3-$O$2,$Q$2)/$Q$2))</f>
        <v>3222.80494689941</v>
      </c>
      <c r="F391" s="15" t="n">
        <f aca="false">E391*(1+IF(F$3&lt;=$O$2,$D391,$D391-($D391-$I$373)*MIN(F$3-$O$2,$Q$2)/$Q$2))</f>
        <v>3307.79354323546</v>
      </c>
      <c r="G391" s="15" t="n">
        <f aca="false">F391*(1+IF(G$3&lt;=$O$2,$D391,$D391-($D391-$I$373)*MIN(G$3-$O$2,$Q$2)/$Q$2))</f>
        <v>3395.02337403222</v>
      </c>
      <c r="H391" s="15" t="n">
        <f aca="false">G391*(1+IF(H$3&lt;=$O$2,$D391,$D391-($D391-$I$373)*MIN(H$3-$O$2,$Q$2)/$Q$2))</f>
        <v>3484.55354288859</v>
      </c>
      <c r="I391" s="15" t="n">
        <f aca="false">H391*(1+IF(I$3&lt;=$O$2,$D391,$D391-($D391-$I$373)*MIN(I$3-$O$2,$Q$2)/$Q$2))</f>
        <v>3576.4447120246</v>
      </c>
      <c r="J391" s="15" t="n">
        <f aca="false">I391*(1+IF(J$3&lt;=$O$2,$D391,$D391-($D391-$I$373)*MIN(J$3-$O$2,$Q$2)/$Q$2))</f>
        <v>3672.13893418202</v>
      </c>
      <c r="K391" s="15" t="n">
        <f aca="false">J391*(1+IF(K$3&lt;=$O$2,$D391,$D391-($D391-$I$373)*MIN(K$3-$O$2,$Q$2)/$Q$2))</f>
        <v>3771.81033725814</v>
      </c>
      <c r="L391" s="15" t="n">
        <f aca="false">K391*(1+IF(L$3&lt;=$O$2,$D391,$D391-($D391-$I$373)*MIN(L$3-$O$2,$Q$2)/$Q$2))</f>
        <v>3875.64224426139</v>
      </c>
      <c r="M391" s="15" t="n">
        <f aca="false">L391*(1+IF(M$3&lt;=$O$2,$D391,$D391-($D391-$I$373)*MIN(M$3-$O$2,$Q$2)/$Q$2))</f>
        <v>3983.82769869931</v>
      </c>
      <c r="N391" s="15" t="n">
        <f aca="false">M391*(1+IF(N$3&lt;=$O$2,$D391,$D391-($D391-$I$373)*MIN(N$3-$O$2,$Q$2)/$Q$2))</f>
        <v>4096.5700225725</v>
      </c>
      <c r="O391" s="15" t="n">
        <f aca="false">SUMPRODUCT(E391:N391,1/(1+$F$373)^$E$3:$N$3)*$E$2</f>
        <v>10816.0711556776</v>
      </c>
      <c r="P391" s="15" t="n">
        <f aca="false">N391*$E$2*(1+$I$373)/($F$373-$I$373)/(1+$F$373)^$N$3</f>
        <v>16242.3647728977</v>
      </c>
      <c r="Q391" s="15" t="n">
        <f aca="false">O391+P391</f>
        <v>27058.4359285753</v>
      </c>
      <c r="R391" s="15" t="n">
        <f aca="false">Q391-$G$2+$I$2</f>
        <v>22990.6359285753</v>
      </c>
      <c r="S391" s="42" t="n">
        <f aca="false">R391/$K$2</f>
        <v>176.633650342466</v>
      </c>
      <c r="T391" s="43" t="n">
        <f aca="false">S391-$M$2</f>
        <v>0.00488574504711892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0.0263595581054688</v>
      </c>
      <c r="C392" s="25" t="n">
        <f aca="false">IF(T391&gt;0,D391,C391)</f>
        <v>0.0263710021972656</v>
      </c>
      <c r="D392" s="41" t="n">
        <f aca="false">(B392+C392)/2</f>
        <v>0.0263652801513672</v>
      </c>
      <c r="E392" s="15" t="n">
        <f aca="false">$C$2*(1+IF(E$3&lt;=$O$2,$D392,$D392-($D392-$I$373)*MIN(E$3-$O$2,$Q$2)/$Q$2))</f>
        <v>3222.78697967529</v>
      </c>
      <c r="F392" s="15" t="n">
        <f aca="false">E392*(1+IF(F$3&lt;=$O$2,$D392,$D392-($D392-$I$373)*MIN(F$3-$O$2,$Q$2)/$Q$2))</f>
        <v>3307.75666126261</v>
      </c>
      <c r="G392" s="15" t="n">
        <f aca="false">F392*(1+IF(G$3&lt;=$O$2,$D392,$D392-($D392-$I$373)*MIN(G$3-$O$2,$Q$2)/$Q$2))</f>
        <v>3394.96659230935</v>
      </c>
      <c r="H392" s="15" t="n">
        <f aca="false">G392*(1+IF(H$3&lt;=$O$2,$D392,$D392-($D392-$I$373)*MIN(H$3-$O$2,$Q$2)/$Q$2))</f>
        <v>3484.47583762012</v>
      </c>
      <c r="I392" s="15" t="n">
        <f aca="false">H392*(1+IF(I$3&lt;=$O$2,$D392,$D392-($D392-$I$373)*MIN(I$3-$O$2,$Q$2)/$Q$2))</f>
        <v>3576.34501925964</v>
      </c>
      <c r="J392" s="15" t="n">
        <f aca="false">I392*(1+IF(J$3&lt;=$O$2,$D392,$D392-($D392-$I$373)*MIN(J$3-$O$2,$Q$2)/$Q$2))</f>
        <v>3672.02020274923</v>
      </c>
      <c r="K392" s="15" t="n">
        <f aca="false">J392*(1+IF(K$3&lt;=$O$2,$D392,$D392-($D392-$I$373)*MIN(K$3-$O$2,$Q$2)/$Q$2))</f>
        <v>3771.67577626453</v>
      </c>
      <c r="L392" s="15" t="n">
        <f aca="false">K392*(1+IF(L$3&lt;=$O$2,$D392,$D392-($D392-$I$373)*MIN(L$3-$O$2,$Q$2)/$Q$2))</f>
        <v>3875.49534633804</v>
      </c>
      <c r="M392" s="15" t="n">
        <f aca="false">L392*(1+IF(M$3&lt;=$O$2,$D392,$D392-($D392-$I$373)*MIN(M$3-$O$2,$Q$2)/$Q$2))</f>
        <v>3983.67226508544</v>
      </c>
      <c r="N392" s="15" t="n">
        <f aca="false">M392*(1+IF(N$3&lt;=$O$2,$D392,$D392-($D392-$I$373)*MIN(N$3-$O$2,$Q$2)/$Q$2))</f>
        <v>4096.41019018736</v>
      </c>
      <c r="O392" s="15" t="n">
        <f aca="false">SUMPRODUCT(E392:N392,1/(1+$F$373)^$E$3:$N$3)*$E$2</f>
        <v>10815.8002463321</v>
      </c>
      <c r="P392" s="15" t="n">
        <f aca="false">N392*$E$2*(1+$I$373)/($F$373-$I$373)/(1+$F$373)^$N$3</f>
        <v>16241.7310583786</v>
      </c>
      <c r="Q392" s="15" t="n">
        <f aca="false">O392+P392</f>
        <v>27057.5313047107</v>
      </c>
      <c r="R392" s="15" t="n">
        <f aca="false">Q392-$G$2+$I$2</f>
        <v>22989.7313047107</v>
      </c>
      <c r="S392" s="42" t="n">
        <f aca="false">R392/$K$2</f>
        <v>176.626700251311</v>
      </c>
      <c r="T392" s="43" t="n">
        <f aca="false">S392-$M$2</f>
        <v>-0.00206434610740303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0.0263652801513672</v>
      </c>
      <c r="C393" s="25" t="n">
        <f aca="false">IF(T392&gt;0,D392,C392)</f>
        <v>0.0263710021972656</v>
      </c>
      <c r="D393" s="41" t="n">
        <f aca="false">(B393+C393)/2</f>
        <v>0.0263681411743164</v>
      </c>
      <c r="E393" s="15" t="n">
        <f aca="false">$C$2*(1+IF(E$3&lt;=$O$2,$D393,$D393-($D393-$I$373)*MIN(E$3-$O$2,$Q$2)/$Q$2))</f>
        <v>3222.79596328735</v>
      </c>
      <c r="F393" s="15" t="n">
        <f aca="false">E393*(1+IF(F$3&lt;=$O$2,$D393,$D393-($D393-$I$373)*MIN(F$3-$O$2,$Q$2)/$Q$2))</f>
        <v>3307.77510222333</v>
      </c>
      <c r="G393" s="15" t="n">
        <f aca="false">F393*(1+IF(G$3&lt;=$O$2,$D393,$D393-($D393-$I$373)*MIN(G$3-$O$2,$Q$2)/$Q$2))</f>
        <v>3394.99498309165</v>
      </c>
      <c r="H393" s="15" t="n">
        <f aca="false">G393*(1+IF(H$3&lt;=$O$2,$D393,$D393-($D393-$I$373)*MIN(H$3-$O$2,$Q$2)/$Q$2))</f>
        <v>3484.5146900919</v>
      </c>
      <c r="I393" s="15" t="n">
        <f aca="false">H393*(1+IF(I$3&lt;=$O$2,$D393,$D393-($D393-$I$373)*MIN(I$3-$O$2,$Q$2)/$Q$2))</f>
        <v>3576.39486536422</v>
      </c>
      <c r="J393" s="15" t="n">
        <f aca="false">I393*(1+IF(J$3&lt;=$O$2,$D393,$D393-($D393-$I$373)*MIN(J$3-$O$2,$Q$2)/$Q$2))</f>
        <v>3672.07956806621</v>
      </c>
      <c r="K393" s="15" t="n">
        <f aca="false">J393*(1+IF(K$3&lt;=$O$2,$D393,$D393-($D393-$I$373)*MIN(K$3-$O$2,$Q$2)/$Q$2))</f>
        <v>3771.74305624917</v>
      </c>
      <c r="L393" s="15" t="n">
        <f aca="false">K393*(1+IF(L$3&lt;=$O$2,$D393,$D393-($D393-$I$373)*MIN(L$3-$O$2,$Q$2)/$Q$2))</f>
        <v>3875.56879469645</v>
      </c>
      <c r="M393" s="15" t="n">
        <f aca="false">L393*(1+IF(M$3&lt;=$O$2,$D393,$D393-($D393-$I$373)*MIN(M$3-$O$2,$Q$2)/$Q$2))</f>
        <v>3983.74998123025</v>
      </c>
      <c r="N393" s="15" t="n">
        <f aca="false">M393*(1+IF(N$3&lt;=$O$2,$D393,$D393-($D393-$I$373)*MIN(N$3-$O$2,$Q$2)/$Q$2))</f>
        <v>4096.49010569906</v>
      </c>
      <c r="O393" s="15" t="n">
        <f aca="false">SUMPRODUCT(E393:N393,1/(1+$F$373)^$E$3:$N$3)*$E$2</f>
        <v>10815.9357001449</v>
      </c>
      <c r="P393" s="15" t="n">
        <f aca="false">N393*$E$2*(1+$I$373)/($F$373-$I$373)/(1+$F$373)^$N$3</f>
        <v>16242.0479129386</v>
      </c>
      <c r="Q393" s="15" t="n">
        <f aca="false">O393+P393</f>
        <v>27057.9836130835</v>
      </c>
      <c r="R393" s="15" t="n">
        <f aca="false">Q393-$G$2+$I$2</f>
        <v>22990.1836130835</v>
      </c>
      <c r="S393" s="42" t="n">
        <f aca="false">R393/$K$2</f>
        <v>176.630175269542</v>
      </c>
      <c r="T393" s="43" t="n">
        <f aca="false">S393-$M$2</f>
        <v>0.0014106721229723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0.0263652801513672</v>
      </c>
      <c r="C394" s="25" t="n">
        <f aca="false">IF(T393&gt;0,D393,C393)</f>
        <v>0.0263681411743164</v>
      </c>
      <c r="D394" s="41" t="n">
        <f aca="false">(B394+C394)/2</f>
        <v>0.0263667106628418</v>
      </c>
      <c r="E394" s="15" t="n">
        <f aca="false">$C$2*(1+IF(E$3&lt;=$O$2,$D394,$D394-($D394-$I$373)*MIN(E$3-$O$2,$Q$2)/$Q$2))</f>
        <v>3222.79147148132</v>
      </c>
      <c r="F394" s="15" t="n">
        <f aca="false">E394*(1+IF(F$3&lt;=$O$2,$D394,$D394-($D394-$I$373)*MIN(F$3-$O$2,$Q$2)/$Q$2))</f>
        <v>3307.76588173655</v>
      </c>
      <c r="G394" s="15" t="n">
        <f aca="false">F394*(1+IF(G$3&lt;=$O$2,$D394,$D394-($D394-$I$373)*MIN(G$3-$O$2,$Q$2)/$Q$2))</f>
        <v>3394.98078768071</v>
      </c>
      <c r="H394" s="15" t="n">
        <f aca="false">G394*(1+IF(H$3&lt;=$O$2,$D394,$D394-($D394-$I$373)*MIN(H$3-$O$2,$Q$2)/$Q$2))</f>
        <v>3484.4952638154</v>
      </c>
      <c r="I394" s="15" t="n">
        <f aca="false">H394*(1+IF(I$3&lt;=$O$2,$D394,$D394-($D394-$I$373)*MIN(I$3-$O$2,$Q$2)/$Q$2))</f>
        <v>3576.36994224246</v>
      </c>
      <c r="J394" s="15" t="n">
        <f aca="false">I394*(1+IF(J$3&lt;=$O$2,$D394,$D394-($D394-$I$373)*MIN(J$3-$O$2,$Q$2)/$Q$2))</f>
        <v>3672.04988530787</v>
      </c>
      <c r="K394" s="15" t="n">
        <f aca="false">J394*(1+IF(K$3&lt;=$O$2,$D394,$D394-($D394-$I$373)*MIN(K$3-$O$2,$Q$2)/$Q$2))</f>
        <v>3771.70941612881</v>
      </c>
      <c r="L394" s="15" t="n">
        <f aca="false">K394*(1+IF(L$3&lt;=$O$2,$D394,$D394-($D394-$I$373)*MIN(L$3-$O$2,$Q$2)/$Q$2))</f>
        <v>3875.53207036643</v>
      </c>
      <c r="M394" s="15" t="n">
        <f aca="false">L394*(1+IF(M$3&lt;=$O$2,$D394,$D394-($D394-$I$373)*MIN(M$3-$O$2,$Q$2)/$Q$2))</f>
        <v>3983.71112299231</v>
      </c>
      <c r="N394" s="15" t="n">
        <f aca="false">M394*(1+IF(N$3&lt;=$O$2,$D394,$D394-($D394-$I$373)*MIN(N$3-$O$2,$Q$2)/$Q$2))</f>
        <v>4096.45014777299</v>
      </c>
      <c r="O394" s="15" t="n">
        <f aca="false">SUMPRODUCT(E394:N394,1/(1+$F$373)^$E$3:$N$3)*$E$2</f>
        <v>10815.8679730235</v>
      </c>
      <c r="P394" s="15" t="n">
        <f aca="false">N394*$E$2*(1+$I$373)/($F$373-$I$373)/(1+$F$373)^$N$3</f>
        <v>16241.8894849837</v>
      </c>
      <c r="Q394" s="15" t="n">
        <f aca="false">O394+P394</f>
        <v>27057.7574580072</v>
      </c>
      <c r="R394" s="15" t="n">
        <f aca="false">Q394-$G$2+$I$2</f>
        <v>22989.9574580072</v>
      </c>
      <c r="S394" s="42" t="n">
        <f aca="false">R394/$K$2</f>
        <v>176.62843775359</v>
      </c>
      <c r="T394" s="43" t="n">
        <f aca="false">S394-$M$2</f>
        <v>-0.000326843828929668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0.0263667106628418</v>
      </c>
      <c r="C395" s="25" t="n">
        <f aca="false">IF(T394&gt;0,D394,C394)</f>
        <v>0.0263681411743164</v>
      </c>
      <c r="D395" s="41" t="n">
        <f aca="false">(B395+C395)/2</f>
        <v>0.0263674259185791</v>
      </c>
      <c r="E395" s="15" t="n">
        <f aca="false">$C$2*(1+IF(E$3&lt;=$O$2,$D395,$D395-($D395-$I$373)*MIN(E$3-$O$2,$Q$2)/$Q$2))</f>
        <v>3222.79371738434</v>
      </c>
      <c r="F395" s="15" t="n">
        <f aca="false">E395*(1+IF(F$3&lt;=$O$2,$D395,$D395-($D395-$I$373)*MIN(F$3-$O$2,$Q$2)/$Q$2))</f>
        <v>3307.77049197833</v>
      </c>
      <c r="G395" s="15" t="n">
        <f aca="false">F395*(1+IF(G$3&lt;=$O$2,$D395,$D395-($D395-$I$373)*MIN(G$3-$O$2,$Q$2)/$Q$2))</f>
        <v>3394.98788538123</v>
      </c>
      <c r="H395" s="15" t="n">
        <f aca="false">G395*(1+IF(H$3&lt;=$O$2,$D395,$D395-($D395-$I$373)*MIN(H$3-$O$2,$Q$2)/$Q$2))</f>
        <v>3484.5049769435</v>
      </c>
      <c r="I395" s="15" t="n">
        <f aca="false">H395*(1+IF(I$3&lt;=$O$2,$D395,$D395-($D395-$I$373)*MIN(I$3-$O$2,$Q$2)/$Q$2))</f>
        <v>3576.38240378597</v>
      </c>
      <c r="J395" s="15" t="n">
        <f aca="false">I395*(1+IF(J$3&lt;=$O$2,$D395,$D395-($D395-$I$373)*MIN(J$3-$O$2,$Q$2)/$Q$2))</f>
        <v>3672.06472666207</v>
      </c>
      <c r="K395" s="15" t="n">
        <f aca="false">J395*(1+IF(K$3&lt;=$O$2,$D395,$D395-($D395-$I$373)*MIN(K$3-$O$2,$Q$2)/$Q$2))</f>
        <v>3771.72623615698</v>
      </c>
      <c r="L395" s="15" t="n">
        <f aca="false">K395*(1+IF(L$3&lt;=$O$2,$D395,$D395-($D395-$I$373)*MIN(L$3-$O$2,$Q$2)/$Q$2))</f>
        <v>3875.55043249374</v>
      </c>
      <c r="M395" s="15" t="n">
        <f aca="false">L395*(1+IF(M$3&lt;=$O$2,$D395,$D395-($D395-$I$373)*MIN(M$3-$O$2,$Q$2)/$Q$2))</f>
        <v>3983.73055206989</v>
      </c>
      <c r="N395" s="15" t="n">
        <f aca="false">M395*(1+IF(N$3&lt;=$O$2,$D395,$D395-($D395-$I$373)*MIN(N$3-$O$2,$Q$2)/$Q$2))</f>
        <v>4096.47012669347</v>
      </c>
      <c r="O395" s="15" t="n">
        <f aca="false">SUMPRODUCT(E395:N395,1/(1+$F$373)^$E$3:$N$3)*$E$2</f>
        <v>10815.9018365305</v>
      </c>
      <c r="P395" s="15" t="n">
        <f aca="false">N395*$E$2*(1+$I$373)/($F$373-$I$373)/(1+$F$373)^$N$3</f>
        <v>16241.9686987924</v>
      </c>
      <c r="Q395" s="15" t="n">
        <f aca="false">O395+P395</f>
        <v>27057.8705353229</v>
      </c>
      <c r="R395" s="15" t="n">
        <f aca="false">Q395-$G$2+$I$2</f>
        <v>22990.0705353229</v>
      </c>
      <c r="S395" s="42" t="n">
        <f aca="false">R395/$K$2</f>
        <v>176.629306509856</v>
      </c>
      <c r="T395" s="43" t="n">
        <f aca="false">S395-$M$2</f>
        <v>0.000541912437824976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0.0263667106628418</v>
      </c>
      <c r="C396" s="25" t="n">
        <f aca="false">IF(T395&gt;0,D395,C395)</f>
        <v>0.0263674259185791</v>
      </c>
      <c r="D396" s="41" t="n">
        <f aca="false">(B396+C396)/2</f>
        <v>0.0263670682907105</v>
      </c>
      <c r="E396" s="15" t="n">
        <f aca="false">$C$2*(1+IF(E$3&lt;=$O$2,$D396,$D396-($D396-$I$373)*MIN(E$3-$O$2,$Q$2)/$Q$2))</f>
        <v>3222.79259443283</v>
      </c>
      <c r="F396" s="15" t="n">
        <f aca="false">E396*(1+IF(F$3&lt;=$O$2,$D396,$D396-($D396-$I$373)*MIN(F$3-$O$2,$Q$2)/$Q$2))</f>
        <v>3307.76818685704</v>
      </c>
      <c r="G396" s="15" t="n">
        <f aca="false">F396*(1+IF(G$3&lt;=$O$2,$D396,$D396-($D396-$I$373)*MIN(G$3-$O$2,$Q$2)/$Q$2))</f>
        <v>3394.98433652974</v>
      </c>
      <c r="H396" s="15" t="n">
        <f aca="false">G396*(1+IF(H$3&lt;=$O$2,$D396,$D396-($D396-$I$373)*MIN(H$3-$O$2,$Q$2)/$Q$2))</f>
        <v>3484.50012037691</v>
      </c>
      <c r="I396" s="15" t="n">
        <f aca="false">H396*(1+IF(I$3&lt;=$O$2,$D396,$D396-($D396-$I$373)*MIN(I$3-$O$2,$Q$2)/$Q$2))</f>
        <v>3576.37617300987</v>
      </c>
      <c r="J396" s="15" t="n">
        <f aca="false">I396*(1+IF(J$3&lt;=$O$2,$D396,$D396-($D396-$I$373)*MIN(J$3-$O$2,$Q$2)/$Q$2))</f>
        <v>3672.05730597873</v>
      </c>
      <c r="K396" s="15" t="n">
        <f aca="false">J396*(1+IF(K$3&lt;=$O$2,$D396,$D396-($D396-$I$373)*MIN(K$3-$O$2,$Q$2)/$Q$2))</f>
        <v>3771.71782613489</v>
      </c>
      <c r="L396" s="15" t="n">
        <f aca="false">K396*(1+IF(L$3&lt;=$O$2,$D396,$D396-($D396-$I$373)*MIN(L$3-$O$2,$Q$2)/$Q$2))</f>
        <v>3875.54125142066</v>
      </c>
      <c r="M396" s="15" t="n">
        <f aca="false">L396*(1+IF(M$3&lt;=$O$2,$D396,$D396-($D396-$I$373)*MIN(M$3-$O$2,$Q$2)/$Q$2))</f>
        <v>3983.72083752076</v>
      </c>
      <c r="N396" s="15" t="n">
        <f aca="false">M396*(1+IF(N$3&lt;=$O$2,$D396,$D396-($D396-$I$373)*MIN(N$3-$O$2,$Q$2)/$Q$2))</f>
        <v>4096.46013722259</v>
      </c>
      <c r="O396" s="15" t="n">
        <f aca="false">SUMPRODUCT(E396:N396,1/(1+$F$373)^$E$3:$N$3)*$E$2</f>
        <v>10815.8849047636</v>
      </c>
      <c r="P396" s="15" t="n">
        <f aca="false">N396*$E$2*(1+$I$373)/($F$373-$I$373)/(1+$F$373)^$N$3</f>
        <v>16241.9290918459</v>
      </c>
      <c r="Q396" s="15" t="n">
        <f aca="false">O396+P396</f>
        <v>27057.8139966095</v>
      </c>
      <c r="R396" s="15" t="n">
        <f aca="false">Q396-$G$2+$I$2</f>
        <v>22990.0139966095</v>
      </c>
      <c r="S396" s="42" t="n">
        <f aca="false">R396/$K$2</f>
        <v>176.628872131296</v>
      </c>
      <c r="T396" s="43" t="n">
        <f aca="false">S396-$M$2</f>
        <v>0.000107533877155674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0.0263667106628418</v>
      </c>
      <c r="C397" s="25" t="n">
        <f aca="false">IF(T396&gt;0,D396,C396)</f>
        <v>0.0263670682907105</v>
      </c>
      <c r="D397" s="41" t="n">
        <f aca="false">(B397+C397)/2</f>
        <v>0.0263668894767761</v>
      </c>
      <c r="E397" s="15" t="n">
        <f aca="false">$C$2*(1+IF(E$3&lt;=$O$2,$D397,$D397-($D397-$I$373)*MIN(E$3-$O$2,$Q$2)/$Q$2))</f>
        <v>3222.79203295708</v>
      </c>
      <c r="F397" s="15" t="n">
        <f aca="false">E397*(1+IF(F$3&lt;=$O$2,$D397,$D397-($D397-$I$373)*MIN(F$3-$O$2,$Q$2)/$Q$2))</f>
        <v>3307.76703429669</v>
      </c>
      <c r="G397" s="15" t="n">
        <f aca="false">F397*(1+IF(G$3&lt;=$O$2,$D397,$D397-($D397-$I$373)*MIN(G$3-$O$2,$Q$2)/$Q$2))</f>
        <v>3394.98256210492</v>
      </c>
      <c r="H397" s="15" t="n">
        <f aca="false">G397*(1+IF(H$3&lt;=$O$2,$D397,$D397-($D397-$I$373)*MIN(H$3-$O$2,$Q$2)/$Q$2))</f>
        <v>3484.49769209552</v>
      </c>
      <c r="I397" s="15" t="n">
        <f aca="false">H397*(1+IF(I$3&lt;=$O$2,$D397,$D397-($D397-$I$373)*MIN(I$3-$O$2,$Q$2)/$Q$2))</f>
        <v>3576.37305762508</v>
      </c>
      <c r="J397" s="15" t="n">
        <f aca="false">I397*(1+IF(J$3&lt;=$O$2,$D397,$D397-($D397-$I$373)*MIN(J$3-$O$2,$Q$2)/$Q$2))</f>
        <v>3672.05359564174</v>
      </c>
      <c r="K397" s="15" t="n">
        <f aca="false">J397*(1+IF(K$3&lt;=$O$2,$D397,$D397-($D397-$I$373)*MIN(K$3-$O$2,$Q$2)/$Q$2))</f>
        <v>3771.71362112985</v>
      </c>
      <c r="L397" s="15" t="n">
        <f aca="false">K397*(1+IF(L$3&lt;=$O$2,$D397,$D397-($D397-$I$373)*MIN(L$3-$O$2,$Q$2)/$Q$2))</f>
        <v>3875.53666089119</v>
      </c>
      <c r="M397" s="15" t="n">
        <f aca="false">L397*(1+IF(M$3&lt;=$O$2,$D397,$D397-($D397-$I$373)*MIN(M$3-$O$2,$Q$2)/$Q$2))</f>
        <v>3983.71598025395</v>
      </c>
      <c r="N397" s="15" t="n">
        <f aca="false">M397*(1+IF(N$3&lt;=$O$2,$D397,$D397-($D397-$I$373)*MIN(N$3-$O$2,$Q$2)/$Q$2))</f>
        <v>4096.45514249513</v>
      </c>
      <c r="O397" s="15" t="n">
        <f aca="false">SUMPRODUCT(E397:N397,1/(1+$F$373)^$E$3:$N$3)*$E$2</f>
        <v>10815.8764388902</v>
      </c>
      <c r="P397" s="15" t="n">
        <f aca="false">N397*$E$2*(1+$I$373)/($F$373-$I$373)/(1+$F$373)^$N$3</f>
        <v>16241.9092884042</v>
      </c>
      <c r="Q397" s="15" t="n">
        <f aca="false">O397+P397</f>
        <v>27057.7857272944</v>
      </c>
      <c r="R397" s="15" t="n">
        <f aca="false">Q397-$G$2+$I$2</f>
        <v>22989.9857272944</v>
      </c>
      <c r="S397" s="42" t="n">
        <f aca="false">R397/$K$2</f>
        <v>176.628654942336</v>
      </c>
      <c r="T397" s="43" t="n">
        <f aca="false">S397-$M$2</f>
        <v>-0.000109655082724203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0.0263668894767761</v>
      </c>
      <c r="C398" s="25" t="n">
        <f aca="false">IF(T397&gt;0,D397,C397)</f>
        <v>0.0263670682907105</v>
      </c>
      <c r="D398" s="41" t="n">
        <f aca="false">(B398+C398)/2</f>
        <v>0.0263669788837433</v>
      </c>
      <c r="E398" s="15" t="n">
        <f aca="false">$C$2*(1+IF(E$3&lt;=$O$2,$D398,$D398-($D398-$I$373)*MIN(E$3-$O$2,$Q$2)/$Q$2))</f>
        <v>3222.79231369495</v>
      </c>
      <c r="F398" s="15" t="n">
        <f aca="false">E398*(1+IF(F$3&lt;=$O$2,$D398,$D398-($D398-$I$373)*MIN(F$3-$O$2,$Q$2)/$Q$2))</f>
        <v>3307.76761057684</v>
      </c>
      <c r="G398" s="15" t="n">
        <f aca="false">F398*(1+IF(G$3&lt;=$O$2,$D398,$D398-($D398-$I$373)*MIN(G$3-$O$2,$Q$2)/$Q$2))</f>
        <v>3394.98344931725</v>
      </c>
      <c r="H398" s="15" t="n">
        <f aca="false">G398*(1+IF(H$3&lt;=$O$2,$D398,$D398-($D398-$I$373)*MIN(H$3-$O$2,$Q$2)/$Q$2))</f>
        <v>3484.49890623605</v>
      </c>
      <c r="I398" s="15" t="n">
        <f aca="false">H398*(1+IF(I$3&lt;=$O$2,$D398,$D398-($D398-$I$373)*MIN(I$3-$O$2,$Q$2)/$Q$2))</f>
        <v>3576.37461531721</v>
      </c>
      <c r="J398" s="15" t="n">
        <f aca="false">I398*(1+IF(J$3&lt;=$O$2,$D398,$D398-($D398-$I$373)*MIN(J$3-$O$2,$Q$2)/$Q$2))</f>
        <v>3672.05545080984</v>
      </c>
      <c r="K398" s="15" t="n">
        <f aca="false">J398*(1+IF(K$3&lt;=$O$2,$D398,$D398-($D398-$I$373)*MIN(K$3-$O$2,$Q$2)/$Q$2))</f>
        <v>3771.71572363187</v>
      </c>
      <c r="L398" s="15" t="n">
        <f aca="false">K398*(1+IF(L$3&lt;=$O$2,$D398,$D398-($D398-$I$373)*MIN(L$3-$O$2,$Q$2)/$Q$2))</f>
        <v>3875.53895615534</v>
      </c>
      <c r="M398" s="15" t="n">
        <f aca="false">L398*(1+IF(M$3&lt;=$O$2,$D398,$D398-($D398-$I$373)*MIN(M$3-$O$2,$Q$2)/$Q$2))</f>
        <v>3983.71840888671</v>
      </c>
      <c r="N398" s="15" t="n">
        <f aca="false">M398*(1+IF(N$3&lt;=$O$2,$D398,$D398-($D398-$I$373)*MIN(N$3-$O$2,$Q$2)/$Q$2))</f>
        <v>4096.4576398582</v>
      </c>
      <c r="O398" s="15" t="n">
        <f aca="false">SUMPRODUCT(E398:N398,1/(1+$F$373)^$E$3:$N$3)*$E$2</f>
        <v>10815.8806718261</v>
      </c>
      <c r="P398" s="15" t="n">
        <f aca="false">N398*$E$2*(1+$I$373)/($F$373-$I$373)/(1+$F$373)^$N$3</f>
        <v>16241.9191901224</v>
      </c>
      <c r="Q398" s="15" t="n">
        <f aca="false">O398+P398</f>
        <v>27057.7998619485</v>
      </c>
      <c r="R398" s="15" t="n">
        <f aca="false">Q398-$G$2+$I$2</f>
        <v>22989.9998619485</v>
      </c>
      <c r="S398" s="42" t="n">
        <f aca="false">R398/$K$2</f>
        <v>176.628763536789</v>
      </c>
      <c r="T398" s="43" t="n">
        <f aca="false">S398-$M$2</f>
        <v>-1.06062941540586E-006</v>
      </c>
    </row>
    <row r="400" customFormat="false" ht="15" hidden="false" customHeight="false" outlineLevel="0" collapsed="false">
      <c r="A400" s="38" t="s">
        <v>188</v>
      </c>
      <c r="E400" s="5" t="s">
        <v>11</v>
      </c>
      <c r="F400" s="12" t="n">
        <f aca="false">Sensitivity!$B$12</f>
        <v>0.0819413943493295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155</v>
      </c>
      <c r="B401" s="28" t="s">
        <v>156</v>
      </c>
      <c r="C401" s="28" t="s">
        <v>157</v>
      </c>
      <c r="D401" s="28" t="s">
        <v>158</v>
      </c>
      <c r="E401" s="28" t="s">
        <v>159</v>
      </c>
      <c r="F401" s="28" t="s">
        <v>160</v>
      </c>
      <c r="G401" s="28" t="s">
        <v>161</v>
      </c>
      <c r="H401" s="28" t="s">
        <v>162</v>
      </c>
      <c r="I401" s="28" t="s">
        <v>163</v>
      </c>
      <c r="J401" s="28" t="s">
        <v>164</v>
      </c>
      <c r="K401" s="28" t="s">
        <v>165</v>
      </c>
      <c r="L401" s="28" t="s">
        <v>166</v>
      </c>
      <c r="M401" s="28" t="s">
        <v>167</v>
      </c>
      <c r="N401" s="28" t="s">
        <v>168</v>
      </c>
      <c r="O401" s="28" t="s">
        <v>169</v>
      </c>
      <c r="P401" s="28" t="s">
        <v>170</v>
      </c>
      <c r="Q401" s="28" t="s">
        <v>171</v>
      </c>
      <c r="R401" s="28" t="s">
        <v>172</v>
      </c>
      <c r="S401" s="28" t="s">
        <v>173</v>
      </c>
      <c r="T401" s="28" t="s">
        <v>174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3925</v>
      </c>
      <c r="F402" s="15" t="n">
        <f aca="false">E402*(1+IF(F$3&lt;=$O$2,$D402,$D402-($D402-$I$400)*MIN(F$3-$O$2,$Q$2)/$Q$2))</f>
        <v>4906.25</v>
      </c>
      <c r="G402" s="15" t="n">
        <f aca="false">F402*(1+IF(G$3&lt;=$O$2,$D402,$D402-($D402-$I$400)*MIN(G$3-$O$2,$Q$2)/$Q$2))</f>
        <v>6132.8125</v>
      </c>
      <c r="H402" s="15" t="n">
        <f aca="false">G402*(1+IF(H$3&lt;=$O$2,$D402,$D402-($D402-$I$400)*MIN(H$3-$O$2,$Q$2)/$Q$2))</f>
        <v>7666.015625</v>
      </c>
      <c r="I402" s="15" t="n">
        <f aca="false">H402*(1+IF(I$3&lt;=$O$2,$D402,$D402-($D402-$I$400)*MIN(I$3-$O$2,$Q$2)/$Q$2))</f>
        <v>9582.51953125</v>
      </c>
      <c r="J402" s="15" t="n">
        <f aca="false">I402*(1+IF(J$3&lt;=$O$2,$D402,$D402-($D402-$I$400)*MIN(J$3-$O$2,$Q$2)/$Q$2))</f>
        <v>11562.8430175781</v>
      </c>
      <c r="K402" s="15" t="n">
        <f aca="false">J402*(1+IF(K$3&lt;=$O$2,$D402,$D402-($D402-$I$400)*MIN(K$3-$O$2,$Q$2)/$Q$2))</f>
        <v>13451.286539209</v>
      </c>
      <c r="L402" s="15" t="n">
        <f aca="false">K402*(1+IF(L$3&lt;=$O$2,$D402,$D402-($D402-$I$400)*MIN(L$3-$O$2,$Q$2)/$Q$2))</f>
        <v>15065.1718981833</v>
      </c>
      <c r="M402" s="15" t="n">
        <f aca="false">L402*(1+IF(M$3&lt;=$O$2,$D402,$D402-($D402-$I$400)*MIN(M$3-$O$2,$Q$2)/$Q$2))</f>
        <v>16219.76667246</v>
      </c>
      <c r="N402" s="15" t="n">
        <f aca="false">M402*(1+IF(N$3&lt;=$O$2,$D402,$D402-($D402-$I$400)*MIN(N$3-$O$2,$Q$2)/$Q$2))</f>
        <v>16759.884902653</v>
      </c>
      <c r="O402" s="15" t="n">
        <f aca="false">SUMPRODUCT(E402:N402,1/(1+$F$400)^$E$3:$N$3)*$E$2</f>
        <v>28781.8571063078</v>
      </c>
      <c r="P402" s="15" t="n">
        <f aca="false">N402*$E$2*(1+$I$400)/($F$400-$I$400)/(1+$F$400)^$N$3</f>
        <v>73637.7558891627</v>
      </c>
      <c r="Q402" s="15" t="n">
        <f aca="false">O402+P402</f>
        <v>102419.612995471</v>
      </c>
      <c r="R402" s="15" t="n">
        <f aca="false">Q402-$G$2+$I$2</f>
        <v>98351.8129954705</v>
      </c>
      <c r="S402" s="42" t="n">
        <f aca="false">R402/$K$2</f>
        <v>755.622410844119</v>
      </c>
      <c r="T402" s="43" t="n">
        <f aca="false">S402-$M$2</f>
        <v>578.9936462467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2747.5</v>
      </c>
      <c r="F403" s="15" t="n">
        <f aca="false">E403*(1+IF(F$3&lt;=$O$2,$D403,$D403-($D403-$I$400)*MIN(F$3-$O$2,$Q$2)/$Q$2))</f>
        <v>2404.0625</v>
      </c>
      <c r="G403" s="15" t="n">
        <f aca="false">F403*(1+IF(G$3&lt;=$O$2,$D403,$D403-($D403-$I$400)*MIN(G$3-$O$2,$Q$2)/$Q$2))</f>
        <v>2103.5546875</v>
      </c>
      <c r="H403" s="15" t="n">
        <f aca="false">G403*(1+IF(H$3&lt;=$O$2,$D403,$D403-($D403-$I$400)*MIN(H$3-$O$2,$Q$2)/$Q$2))</f>
        <v>1840.6103515625</v>
      </c>
      <c r="I403" s="15" t="n">
        <f aca="false">H403*(1+IF(I$3&lt;=$O$2,$D403,$D403-($D403-$I$400)*MIN(I$3-$O$2,$Q$2)/$Q$2))</f>
        <v>1610.53405761719</v>
      </c>
      <c r="J403" s="15" t="n">
        <f aca="false">I403*(1+IF(J$3&lt;=$O$2,$D403,$D403-($D403-$I$400)*MIN(J$3-$O$2,$Q$2)/$Q$2))</f>
        <v>1460.2068086792</v>
      </c>
      <c r="K403" s="15" t="n">
        <f aca="false">J403*(1+IF(K$3&lt;=$O$2,$D403,$D403-($D403-$I$400)*MIN(K$3-$O$2,$Q$2)/$Q$2))</f>
        <v>1370.14125271987</v>
      </c>
      <c r="L403" s="15" t="n">
        <f aca="false">K403*(1+IF(L$3&lt;=$O$2,$D403,$D403-($D403-$I$400)*MIN(L$3-$O$2,$Q$2)/$Q$2))</f>
        <v>1329.00961231322</v>
      </c>
      <c r="M403" s="15" t="n">
        <f aca="false">L403*(1+IF(M$3&lt;=$O$2,$D403,$D403-($D403-$I$400)*MIN(M$3-$O$2,$Q$2)/$Q$2))</f>
        <v>1331.18918807741</v>
      </c>
      <c r="N403" s="15" t="n">
        <f aca="false">M403*(1+IF(N$3&lt;=$O$2,$D403,$D403-($D403-$I$400)*MIN(N$3-$O$2,$Q$2)/$Q$2))</f>
        <v>1375.51778804039</v>
      </c>
      <c r="O403" s="15" t="n">
        <f aca="false">SUMPRODUCT(E403:N403,1/(1+$F$400)^$E$3:$N$3)*$E$2</f>
        <v>5624.60143278022</v>
      </c>
      <c r="P403" s="15" t="n">
        <f aca="false">N403*$E$2*(1+$I$400)/($F$400-$I$400)/(1+$F$400)^$N$3</f>
        <v>6043.60016105395</v>
      </c>
      <c r="Q403" s="15" t="n">
        <f aca="false">O403+P403</f>
        <v>11668.2015938342</v>
      </c>
      <c r="R403" s="15" t="n">
        <f aca="false">Q403-$G$2+$I$2</f>
        <v>7600.40159383417</v>
      </c>
      <c r="S403" s="42" t="n">
        <f aca="false">R403/$K$2</f>
        <v>58.3927596330222</v>
      </c>
      <c r="T403" s="43" t="n">
        <f aca="false">S403-$M$2</f>
        <v>-118.236004964396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3336.25</v>
      </c>
      <c r="F404" s="15" t="n">
        <f aca="false">E404*(1+IF(F$3&lt;=$O$2,$D404,$D404-($D404-$I$400)*MIN(F$3-$O$2,$Q$2)/$Q$2))</f>
        <v>3544.765625</v>
      </c>
      <c r="G404" s="15" t="n">
        <f aca="false">F404*(1+IF(G$3&lt;=$O$2,$D404,$D404-($D404-$I$400)*MIN(G$3-$O$2,$Q$2)/$Q$2))</f>
        <v>3766.3134765625</v>
      </c>
      <c r="H404" s="15" t="n">
        <f aca="false">G404*(1+IF(H$3&lt;=$O$2,$D404,$D404-($D404-$I$400)*MIN(H$3-$O$2,$Q$2)/$Q$2))</f>
        <v>4001.70806884766</v>
      </c>
      <c r="I404" s="15" t="n">
        <f aca="false">H404*(1+IF(I$3&lt;=$O$2,$D404,$D404-($D404-$I$400)*MIN(I$3-$O$2,$Q$2)/$Q$2))</f>
        <v>4251.81482315064</v>
      </c>
      <c r="J404" s="15" t="n">
        <f aca="false">I404*(1+IF(J$3&lt;=$O$2,$D404,$D404-($D404-$I$400)*MIN(J$3-$O$2,$Q$2)/$Q$2))</f>
        <v>4492.72265103035</v>
      </c>
      <c r="K404" s="15" t="n">
        <f aca="false">J404*(1+IF(K$3&lt;=$O$2,$D404,$D404-($D404-$I$400)*MIN(K$3-$O$2,$Q$2)/$Q$2))</f>
        <v>4721.04281615571</v>
      </c>
      <c r="L404" s="15" t="n">
        <f aca="false">K404*(1+IF(L$3&lt;=$O$2,$D404,$D404-($D404-$I$400)*MIN(L$3-$O$2,$Q$2)/$Q$2))</f>
        <v>4933.3953220264</v>
      </c>
      <c r="M404" s="15" t="n">
        <f aca="false">L404*(1+IF(M$3&lt;=$O$2,$D404,$D404-($D404-$I$400)*MIN(M$3-$O$2,$Q$2)/$Q$2))</f>
        <v>5126.48841493051</v>
      </c>
      <c r="N404" s="15" t="n">
        <f aca="false">M404*(1+IF(N$3&lt;=$O$2,$D404,$D404-($D404-$I$400)*MIN(N$3-$O$2,$Q$2)/$Q$2))</f>
        <v>5297.2004791477</v>
      </c>
      <c r="O404" s="15" t="n">
        <f aca="false">SUMPRODUCT(E404:N404,1/(1+$F$400)^$E$3:$N$3)*$E$2</f>
        <v>12709.0521733099</v>
      </c>
      <c r="P404" s="15" t="n">
        <f aca="false">N404*$E$2*(1+$I$400)/($F$400-$I$400)/(1+$F$400)^$N$3</f>
        <v>23274.2622067582</v>
      </c>
      <c r="Q404" s="15" t="n">
        <f aca="false">O404+P404</f>
        <v>35983.3143800681</v>
      </c>
      <c r="R404" s="15" t="n">
        <f aca="false">Q404-$G$2+$I$2</f>
        <v>31915.5143800681</v>
      </c>
      <c r="S404" s="42" t="n">
        <f aca="false">R404/$K$2</f>
        <v>245.202169484236</v>
      </c>
      <c r="T404" s="43" t="n">
        <f aca="false">S404-$M$2</f>
        <v>68.573404886817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3041.875</v>
      </c>
      <c r="F405" s="15" t="n">
        <f aca="false">E405*(1+IF(F$3&lt;=$O$2,$D405,$D405-($D405-$I$400)*MIN(F$3-$O$2,$Q$2)/$Q$2))</f>
        <v>2946.81640625</v>
      </c>
      <c r="G405" s="15" t="n">
        <f aca="false">F405*(1+IF(G$3&lt;=$O$2,$D405,$D405-($D405-$I$400)*MIN(G$3-$O$2,$Q$2)/$Q$2))</f>
        <v>2854.72839355469</v>
      </c>
      <c r="H405" s="15" t="n">
        <f aca="false">G405*(1+IF(H$3&lt;=$O$2,$D405,$D405-($D405-$I$400)*MIN(H$3-$O$2,$Q$2)/$Q$2))</f>
        <v>2765.5181312561</v>
      </c>
      <c r="I405" s="15" t="n">
        <f aca="false">H405*(1+IF(I$3&lt;=$O$2,$D405,$D405-($D405-$I$400)*MIN(I$3-$O$2,$Q$2)/$Q$2))</f>
        <v>2679.09568965435</v>
      </c>
      <c r="J405" s="15" t="n">
        <f aca="false">I405*(1+IF(J$3&lt;=$O$2,$D405,$D405-($D405-$I$400)*MIN(J$3-$O$2,$Q$2)/$Q$2))</f>
        <v>2629.96107470609</v>
      </c>
      <c r="K405" s="15" t="n">
        <f aca="false">J405*(1+IF(K$3&lt;=$O$2,$D405,$D405-($D405-$I$400)*MIN(K$3-$O$2,$Q$2)/$Q$2))</f>
        <v>2615.68038607044</v>
      </c>
      <c r="L405" s="15" t="n">
        <f aca="false">K405*(1+IF(L$3&lt;=$O$2,$D405,$D405-($D405-$I$400)*MIN(L$3-$O$2,$Q$2)/$Q$2))</f>
        <v>2635.24567535824</v>
      </c>
      <c r="M405" s="15" t="n">
        <f aca="false">L405*(1+IF(M$3&lt;=$O$2,$D405,$D405-($D405-$I$400)*MIN(M$3-$O$2,$Q$2)/$Q$2))</f>
        <v>2688.9783346788</v>
      </c>
      <c r="N405" s="15" t="n">
        <f aca="false">M405*(1+IF(N$3&lt;=$O$2,$D405,$D405-($D405-$I$400)*MIN(N$3-$O$2,$Q$2)/$Q$2))</f>
        <v>2778.5213132236</v>
      </c>
      <c r="O405" s="15" t="n">
        <f aca="false">SUMPRODUCT(E405:N405,1/(1+$F$400)^$E$3:$N$3)*$E$2</f>
        <v>8431.30365627968</v>
      </c>
      <c r="P405" s="15" t="n">
        <f aca="false">N405*$E$2*(1+$I$400)/($F$400-$I$400)/(1+$F$400)^$N$3</f>
        <v>12207.9641587281</v>
      </c>
      <c r="Q405" s="15" t="n">
        <f aca="false">O405+P405</f>
        <v>20639.2678150078</v>
      </c>
      <c r="R405" s="15" t="n">
        <f aca="false">Q405-$G$2+$I$2</f>
        <v>16571.4678150078</v>
      </c>
      <c r="S405" s="42" t="n">
        <f aca="false">R405/$K$2</f>
        <v>127.316132567669</v>
      </c>
      <c r="T405" s="43" t="n">
        <f aca="false">S405-$M$2</f>
        <v>-49.3126320297499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3189.0625</v>
      </c>
      <c r="F406" s="15" t="n">
        <f aca="false">E406*(1+IF(F$3&lt;=$O$2,$D406,$D406-($D406-$I$400)*MIN(F$3-$O$2,$Q$2)/$Q$2))</f>
        <v>3238.8916015625</v>
      </c>
      <c r="G406" s="15" t="n">
        <f aca="false">F406*(1+IF(G$3&lt;=$O$2,$D406,$D406-($D406-$I$400)*MIN(G$3-$O$2,$Q$2)/$Q$2))</f>
        <v>3289.49928283691</v>
      </c>
      <c r="H406" s="15" t="n">
        <f aca="false">G406*(1+IF(H$3&lt;=$O$2,$D406,$D406-($D406-$I$400)*MIN(H$3-$O$2,$Q$2)/$Q$2))</f>
        <v>3340.89770913124</v>
      </c>
      <c r="I406" s="15" t="n">
        <f aca="false">H406*(1+IF(I$3&lt;=$O$2,$D406,$D406-($D406-$I$400)*MIN(I$3-$O$2,$Q$2)/$Q$2))</f>
        <v>3393.09923583642</v>
      </c>
      <c r="J406" s="15" t="n">
        <f aca="false">I406*(1+IF(J$3&lt;=$O$2,$D406,$D406-($D406-$I$400)*MIN(J$3-$O$2,$Q$2)/$Q$2))</f>
        <v>3458.11101719504</v>
      </c>
      <c r="K406" s="15" t="n">
        <f aca="false">J406*(1+IF(K$3&lt;=$O$2,$D406,$D406-($D406-$I$400)*MIN(K$3-$O$2,$Q$2)/$Q$2))</f>
        <v>3536.59284673028</v>
      </c>
      <c r="L406" s="15" t="n">
        <f aca="false">K406*(1+IF(L$3&lt;=$O$2,$D406,$D406-($D406-$I$400)*MIN(L$3-$O$2,$Q$2)/$Q$2))</f>
        <v>3629.35767710002</v>
      </c>
      <c r="M406" s="15" t="n">
        <f aca="false">L406*(1+IF(M$3&lt;=$O$2,$D406,$D406-($D406-$I$400)*MIN(M$3-$O$2,$Q$2)/$Q$2))</f>
        <v>3737.3855083589</v>
      </c>
      <c r="N406" s="15" t="n">
        <f aca="false">M406*(1+IF(N$3&lt;=$O$2,$D406,$D406-($D406-$I$400)*MIN(N$3-$O$2,$Q$2)/$Q$2))</f>
        <v>3861.84044578725</v>
      </c>
      <c r="O406" s="15" t="n">
        <f aca="false">SUMPRODUCT(E406:N406,1/(1+$F$400)^$E$3:$N$3)*$E$2</f>
        <v>10347.7757318618</v>
      </c>
      <c r="P406" s="15" t="n">
        <f aca="false">N406*$E$2*(1+$I$400)/($F$400-$I$400)/(1+$F$400)^$N$3</f>
        <v>16967.7337094816</v>
      </c>
      <c r="Q406" s="15" t="n">
        <f aca="false">O406+P406</f>
        <v>27315.5094413434</v>
      </c>
      <c r="R406" s="15" t="n">
        <f aca="false">Q406-$G$2+$I$2</f>
        <v>23247.7094413434</v>
      </c>
      <c r="S406" s="42" t="n">
        <f aca="false">R406/$K$2</f>
        <v>178.60870806195</v>
      </c>
      <c r="T406" s="43" t="n">
        <f aca="false">S406-$M$2</f>
        <v>1.97994346453117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-0.03125</v>
      </c>
      <c r="C407" s="25" t="n">
        <f aca="false">IF(T406&gt;0,D406,C406)</f>
        <v>0.015625</v>
      </c>
      <c r="D407" s="41" t="n">
        <f aca="false">(B407+C407)/2</f>
        <v>-0.0078125</v>
      </c>
      <c r="E407" s="15" t="n">
        <f aca="false">$C$2*(1+IF(E$3&lt;=$O$2,$D407,$D407-($D407-$I$400)*MIN(E$3-$O$2,$Q$2)/$Q$2))</f>
        <v>3115.46875</v>
      </c>
      <c r="F407" s="15" t="n">
        <f aca="false">E407*(1+IF(F$3&lt;=$O$2,$D407,$D407-($D407-$I$400)*MIN(F$3-$O$2,$Q$2)/$Q$2))</f>
        <v>3091.12915039063</v>
      </c>
      <c r="G407" s="15" t="n">
        <f aca="false">F407*(1+IF(G$3&lt;=$O$2,$D407,$D407-($D407-$I$400)*MIN(G$3-$O$2,$Q$2)/$Q$2))</f>
        <v>3066.9797039032</v>
      </c>
      <c r="H407" s="15" t="n">
        <f aca="false">G407*(1+IF(H$3&lt;=$O$2,$D407,$D407-($D407-$I$400)*MIN(H$3-$O$2,$Q$2)/$Q$2))</f>
        <v>3043.01892496645</v>
      </c>
      <c r="I407" s="15" t="n">
        <f aca="false">H407*(1+IF(I$3&lt;=$O$2,$D407,$D407-($D407-$I$400)*MIN(I$3-$O$2,$Q$2)/$Q$2))</f>
        <v>3019.24533961515</v>
      </c>
      <c r="J407" s="15" t="n">
        <f aca="false">I407*(1+IF(J$3&lt;=$O$2,$D407,$D407-($D407-$I$400)*MIN(J$3-$O$2,$Q$2)/$Q$2))</f>
        <v>3020.4832302044</v>
      </c>
      <c r="K407" s="15" t="n">
        <f aca="false">J407*(1+IF(K$3&lt;=$O$2,$D407,$D407-($D407-$I$400)*MIN(K$3-$O$2,$Q$2)/$Q$2))</f>
        <v>3046.55755168914</v>
      </c>
      <c r="L407" s="15" t="n">
        <f aca="false">K407*(1+IF(L$3&lt;=$O$2,$D407,$D407-($D407-$I$400)*MIN(L$3-$O$2,$Q$2)/$Q$2))</f>
        <v>3097.90727922286</v>
      </c>
      <c r="M407" s="15" t="n">
        <f aca="false">L407*(1+IF(M$3&lt;=$O$2,$D407,$D407-($D407-$I$400)*MIN(M$3-$O$2,$Q$2)/$Q$2))</f>
        <v>3175.59504901757</v>
      </c>
      <c r="N407" s="15" t="n">
        <f aca="false">M407*(1+IF(N$3&lt;=$O$2,$D407,$D407-($D407-$I$400)*MIN(N$3-$O$2,$Q$2)/$Q$2))</f>
        <v>3281.34236414985</v>
      </c>
      <c r="O407" s="15" t="n">
        <f aca="false">SUMPRODUCT(E407:N407,1/(1+$F$400)^$E$3:$N$3)*$E$2</f>
        <v>9339.28431135408</v>
      </c>
      <c r="P407" s="15" t="n">
        <f aca="false">N407*$E$2*(1+$I$400)/($F$400-$I$400)/(1+$F$400)^$N$3</f>
        <v>14417.2044977341</v>
      </c>
      <c r="Q407" s="15" t="n">
        <f aca="false">O407+P407</f>
        <v>23756.4888090882</v>
      </c>
      <c r="R407" s="15" t="n">
        <f aca="false">Q407-$G$2+$I$2</f>
        <v>19688.6888090882</v>
      </c>
      <c r="S407" s="42" t="n">
        <f aca="false">R407/$K$2</f>
        <v>151.265279725632</v>
      </c>
      <c r="T407" s="43" t="n">
        <f aca="false">S407-$M$2</f>
        <v>-25.3634848717869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-0.0078125</v>
      </c>
      <c r="C408" s="25" t="n">
        <f aca="false">IF(T407&gt;0,D407,C407)</f>
        <v>0.015625</v>
      </c>
      <c r="D408" s="41" t="n">
        <f aca="false">(B408+C408)/2</f>
        <v>0.00390625</v>
      </c>
      <c r="E408" s="15" t="n">
        <f aca="false">$C$2*(1+IF(E$3&lt;=$O$2,$D408,$D408-($D408-$I$400)*MIN(E$3-$O$2,$Q$2)/$Q$2))</f>
        <v>3152.265625</v>
      </c>
      <c r="F408" s="15" t="n">
        <f aca="false">E408*(1+IF(F$3&lt;=$O$2,$D408,$D408-($D408-$I$400)*MIN(F$3-$O$2,$Q$2)/$Q$2))</f>
        <v>3164.57916259766</v>
      </c>
      <c r="G408" s="15" t="n">
        <f aca="false">F408*(1+IF(G$3&lt;=$O$2,$D408,$D408-($D408-$I$400)*MIN(G$3-$O$2,$Q$2)/$Q$2))</f>
        <v>3176.94079995155</v>
      </c>
      <c r="H408" s="15" t="n">
        <f aca="false">G408*(1+IF(H$3&lt;=$O$2,$D408,$D408-($D408-$I$400)*MIN(H$3-$O$2,$Q$2)/$Q$2))</f>
        <v>3189.35072495136</v>
      </c>
      <c r="I408" s="15" t="n">
        <f aca="false">H408*(1+IF(I$3&lt;=$O$2,$D408,$D408-($D408-$I$400)*MIN(I$3-$O$2,$Q$2)/$Q$2))</f>
        <v>3201.80912622071</v>
      </c>
      <c r="J408" s="15" t="n">
        <f aca="false">I408*(1+IF(J$3&lt;=$O$2,$D408,$D408-($D408-$I$400)*MIN(J$3-$O$2,$Q$2)/$Q$2))</f>
        <v>3233.13882852078</v>
      </c>
      <c r="K408" s="15" t="n">
        <f aca="false">J408*(1+IF(K$3&lt;=$O$2,$D408,$D408-($D408-$I$400)*MIN(K$3-$O$2,$Q$2)/$Q$2))</f>
        <v>3283.78190684602</v>
      </c>
      <c r="L408" s="15" t="n">
        <f aca="false">K408*(1+IF(L$3&lt;=$O$2,$D408,$D408-($D408-$I$400)*MIN(L$3-$O$2,$Q$2)/$Q$2))</f>
        <v>3354.52277857425</v>
      </c>
      <c r="M408" s="15" t="n">
        <f aca="false">L408*(1+IF(M$3&lt;=$O$2,$D408,$D408-($D408-$I$400)*MIN(M$3-$O$2,$Q$2)/$Q$2))</f>
        <v>3446.50798631623</v>
      </c>
      <c r="N408" s="15" t="n">
        <f aca="false">M408*(1+IF(N$3&lt;=$O$2,$D408,$D408-($D408-$I$400)*MIN(N$3-$O$2,$Q$2)/$Q$2))</f>
        <v>3561.27670226056</v>
      </c>
      <c r="O408" s="15" t="n">
        <f aca="false">SUMPRODUCT(E408:N408,1/(1+$F$400)^$E$3:$N$3)*$E$2</f>
        <v>9830.33380894758</v>
      </c>
      <c r="P408" s="15" t="n">
        <f aca="false">N408*$E$2*(1+$I$400)/($F$400-$I$400)/(1+$F$400)^$N$3</f>
        <v>15647.1494868866</v>
      </c>
      <c r="Q408" s="15" t="n">
        <f aca="false">O408+P408</f>
        <v>25477.4832958342</v>
      </c>
      <c r="R408" s="15" t="n">
        <f aca="false">Q408-$G$2+$I$2</f>
        <v>21409.6832958342</v>
      </c>
      <c r="S408" s="42" t="n">
        <f aca="false">R408/$K$2</f>
        <v>164.487425444332</v>
      </c>
      <c r="T408" s="43" t="n">
        <f aca="false">S408-$M$2</f>
        <v>-12.1413391530869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0.00390625</v>
      </c>
      <c r="C409" s="25" t="n">
        <f aca="false">IF(T408&gt;0,D408,C408)</f>
        <v>0.015625</v>
      </c>
      <c r="D409" s="41" t="n">
        <f aca="false">(B409+C409)/2</f>
        <v>0.009765625</v>
      </c>
      <c r="E409" s="15" t="n">
        <f aca="false">$C$2*(1+IF(E$3&lt;=$O$2,$D409,$D409-($D409-$I$400)*MIN(E$3-$O$2,$Q$2)/$Q$2))</f>
        <v>3170.6640625</v>
      </c>
      <c r="F409" s="15" t="n">
        <f aca="false">E409*(1+IF(F$3&lt;=$O$2,$D409,$D409-($D409-$I$400)*MIN(F$3-$O$2,$Q$2)/$Q$2))</f>
        <v>3201.62757873535</v>
      </c>
      <c r="G409" s="15" t="n">
        <f aca="false">F409*(1+IF(G$3&lt;=$O$2,$D409,$D409-($D409-$I$400)*MIN(G$3-$O$2,$Q$2)/$Q$2))</f>
        <v>3232.89347305894</v>
      </c>
      <c r="H409" s="15" t="n">
        <f aca="false">G409*(1+IF(H$3&lt;=$O$2,$D409,$D409-($D409-$I$400)*MIN(H$3-$O$2,$Q$2)/$Q$2))</f>
        <v>3264.46469838178</v>
      </c>
      <c r="I409" s="15" t="n">
        <f aca="false">H409*(1+IF(I$3&lt;=$O$2,$D409,$D409-($D409-$I$400)*MIN(I$3-$O$2,$Q$2)/$Q$2))</f>
        <v>3296.34423645191</v>
      </c>
      <c r="J409" s="15" t="n">
        <f aca="false">I409*(1+IF(J$3&lt;=$O$2,$D409,$D409-($D409-$I$400)*MIN(J$3-$O$2,$Q$2)/$Q$2))</f>
        <v>3344.05057841397</v>
      </c>
      <c r="K409" s="15" t="n">
        <f aca="false">J409*(1+IF(K$3&lt;=$O$2,$D409,$D409-($D409-$I$400)*MIN(K$3-$O$2,$Q$2)/$Q$2))</f>
        <v>3408.18737847633</v>
      </c>
      <c r="L409" s="15" t="n">
        <f aca="false">K409*(1+IF(L$3&lt;=$O$2,$D409,$D409-($D409-$I$400)*MIN(L$3-$O$2,$Q$2)/$Q$2))</f>
        <v>3489.59619424546</v>
      </c>
      <c r="M409" s="15" t="n">
        <f aca="false">L409*(1+IF(M$3&lt;=$O$2,$D409,$D409-($D409-$I$400)*MIN(M$3-$O$2,$Q$2)/$Q$2))</f>
        <v>3589.37465442705</v>
      </c>
      <c r="N409" s="15" t="n">
        <f aca="false">M409*(1+IF(N$3&lt;=$O$2,$D409,$D409-($D409-$I$400)*MIN(N$3-$O$2,$Q$2)/$Q$2))</f>
        <v>3708.90083041947</v>
      </c>
      <c r="O409" s="15" t="n">
        <f aca="false">SUMPRODUCT(E409:N409,1/(1+$F$400)^$E$3:$N$3)*$E$2</f>
        <v>10085.6736409051</v>
      </c>
      <c r="P409" s="15" t="n">
        <f aca="false">N409*$E$2*(1+$I$400)/($F$400-$I$400)/(1+$F$400)^$N$3</f>
        <v>16295.7642939606</v>
      </c>
      <c r="Q409" s="15" t="n">
        <f aca="false">O409+P409</f>
        <v>26381.4379348657</v>
      </c>
      <c r="R409" s="15" t="n">
        <f aca="false">Q409-$G$2+$I$2</f>
        <v>22313.6379348657</v>
      </c>
      <c r="S409" s="42" t="n">
        <f aca="false">R409/$K$2</f>
        <v>171.432375037382</v>
      </c>
      <c r="T409" s="43" t="n">
        <f aca="false">S409-$M$2</f>
        <v>-5.19638956003624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0.009765625</v>
      </c>
      <c r="C410" s="25" t="n">
        <f aca="false">IF(T409&gt;0,D409,C409)</f>
        <v>0.015625</v>
      </c>
      <c r="D410" s="41" t="n">
        <f aca="false">(B410+C410)/2</f>
        <v>0.0126953125</v>
      </c>
      <c r="E410" s="15" t="n">
        <f aca="false">$C$2*(1+IF(E$3&lt;=$O$2,$D410,$D410-($D410-$I$400)*MIN(E$3-$O$2,$Q$2)/$Q$2))</f>
        <v>3179.86328125</v>
      </c>
      <c r="F410" s="15" t="n">
        <f aca="false">E410*(1+IF(F$3&lt;=$O$2,$D410,$D410-($D410-$I$400)*MIN(F$3-$O$2,$Q$2)/$Q$2))</f>
        <v>3220.23263931274</v>
      </c>
      <c r="G410" s="15" t="n">
        <f aca="false">F410*(1+IF(G$3&lt;=$O$2,$D410,$D410-($D410-$I$400)*MIN(G$3-$O$2,$Q$2)/$Q$2))</f>
        <v>3261.11449899152</v>
      </c>
      <c r="H410" s="15" t="n">
        <f aca="false">G410*(1+IF(H$3&lt;=$O$2,$D410,$D410-($D410-$I$400)*MIN(H$3-$O$2,$Q$2)/$Q$2))</f>
        <v>3302.5153666545</v>
      </c>
      <c r="I410" s="15" t="n">
        <f aca="false">H410*(1+IF(I$3&lt;=$O$2,$D410,$D410-($D410-$I$400)*MIN(I$3-$O$2,$Q$2)/$Q$2))</f>
        <v>3344.44183127023</v>
      </c>
      <c r="J410" s="15" t="n">
        <f aca="false">I410*(1+IF(J$3&lt;=$O$2,$D410,$D410-($D410-$I$400)*MIN(J$3-$O$2,$Q$2)/$Q$2))</f>
        <v>3400.68280121533</v>
      </c>
      <c r="K410" s="15" t="n">
        <f aca="false">J410*(1+IF(K$3&lt;=$O$2,$D410,$D410-($D410-$I$400)*MIN(K$3-$O$2,$Q$2)/$Q$2))</f>
        <v>3471.8835346524</v>
      </c>
      <c r="L410" s="15" t="n">
        <f aca="false">K410*(1+IF(L$3&lt;=$O$2,$D410,$D410-($D410-$I$400)*MIN(L$3-$O$2,$Q$2)/$Q$2))</f>
        <v>3558.88242624916</v>
      </c>
      <c r="M410" s="15" t="n">
        <f aca="false">L410*(1+IF(M$3&lt;=$O$2,$D410,$D410-($D410-$I$400)*MIN(M$3-$O$2,$Q$2)/$Q$2))</f>
        <v>3662.72727899483</v>
      </c>
      <c r="N410" s="15" t="n">
        <f aca="false">M410*(1+IF(N$3&lt;=$O$2,$D410,$D410-($D410-$I$400)*MIN(N$3-$O$2,$Q$2)/$Q$2))</f>
        <v>3784.69609738536</v>
      </c>
      <c r="O410" s="15" t="n">
        <f aca="false">SUMPRODUCT(E410:N410,1/(1+$F$400)^$E$3:$N$3)*$E$2</f>
        <v>10215.8689499491</v>
      </c>
      <c r="P410" s="15" t="n">
        <f aca="false">N410*$E$2*(1+$I$400)/($F$400-$I$400)/(1+$F$400)^$N$3</f>
        <v>16628.785278222</v>
      </c>
      <c r="Q410" s="15" t="n">
        <f aca="false">O410+P410</f>
        <v>26844.6542281711</v>
      </c>
      <c r="R410" s="15" t="n">
        <f aca="false">Q410-$G$2+$I$2</f>
        <v>22776.8542281711</v>
      </c>
      <c r="S410" s="42" t="n">
        <f aca="false">R410/$K$2</f>
        <v>174.991197204756</v>
      </c>
      <c r="T410" s="43" t="n">
        <f aca="false">S410-$M$2</f>
        <v>-1.63756739266219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0.0126953125</v>
      </c>
      <c r="C411" s="25" t="n">
        <f aca="false">IF(T410&gt;0,D410,C410)</f>
        <v>0.015625</v>
      </c>
      <c r="D411" s="41" t="n">
        <f aca="false">(B411+C411)/2</f>
        <v>0.01416015625</v>
      </c>
      <c r="E411" s="15" t="n">
        <f aca="false">$C$2*(1+IF(E$3&lt;=$O$2,$D411,$D411-($D411-$I$400)*MIN(E$3-$O$2,$Q$2)/$Q$2))</f>
        <v>3184.462890625</v>
      </c>
      <c r="F411" s="15" t="n">
        <f aca="false">E411*(1+IF(F$3&lt;=$O$2,$D411,$D411-($D411-$I$400)*MIN(F$3-$O$2,$Q$2)/$Q$2))</f>
        <v>3229.55538272858</v>
      </c>
      <c r="G411" s="15" t="n">
        <f aca="false">F411*(1+IF(G$3&lt;=$O$2,$D411,$D411-($D411-$I$400)*MIN(G$3-$O$2,$Q$2)/$Q$2))</f>
        <v>3275.28639156604</v>
      </c>
      <c r="H411" s="15" t="n">
        <f aca="false">G411*(1+IF(H$3&lt;=$O$2,$D411,$D411-($D411-$I$400)*MIN(H$3-$O$2,$Q$2)/$Q$2))</f>
        <v>3321.66495863412</v>
      </c>
      <c r="I411" s="15" t="n">
        <f aca="false">H411*(1+IF(I$3&lt;=$O$2,$D411,$D411-($D411-$I$400)*MIN(I$3-$O$2,$Q$2)/$Q$2))</f>
        <v>3368.70025345852</v>
      </c>
      <c r="J411" s="15" t="n">
        <f aca="false">I411*(1+IF(J$3&lt;=$O$2,$D411,$D411-($D411-$I$400)*MIN(J$3-$O$2,$Q$2)/$Q$2))</f>
        <v>3429.29685470527</v>
      </c>
      <c r="K411" s="15" t="n">
        <f aca="false">J411*(1+IF(K$3&lt;=$O$2,$D411,$D411-($D411-$I$400)*MIN(K$3-$O$2,$Q$2)/$Q$2))</f>
        <v>3504.1107163841</v>
      </c>
      <c r="L411" s="15" t="n">
        <f aca="false">K411*(1+IF(L$3&lt;=$O$2,$D411,$D411-($D411-$I$400)*MIN(L$3-$O$2,$Q$2)/$Q$2))</f>
        <v>3593.97035060197</v>
      </c>
      <c r="M411" s="15" t="n">
        <f aca="false">L411*(1+IF(M$3&lt;=$O$2,$D411,$D411-($D411-$I$400)*MIN(M$3-$O$2,$Q$2)/$Q$2))</f>
        <v>3699.89195708649</v>
      </c>
      <c r="N411" s="15" t="n">
        <f aca="false">M411*(1+IF(N$3&lt;=$O$2,$D411,$D411-($D411-$I$400)*MIN(N$3-$O$2,$Q$2)/$Q$2))</f>
        <v>3823.09835925747</v>
      </c>
      <c r="O411" s="15" t="n">
        <f aca="false">SUMPRODUCT(E411:N411,1/(1+$F$400)^$E$3:$N$3)*$E$2</f>
        <v>10281.6070877194</v>
      </c>
      <c r="P411" s="15" t="n">
        <f aca="false">N411*$E$2*(1+$I$400)/($F$400-$I$400)/(1+$F$400)^$N$3</f>
        <v>16797.5129515774</v>
      </c>
      <c r="Q411" s="15" t="n">
        <f aca="false">O411+P411</f>
        <v>27079.1200392968</v>
      </c>
      <c r="R411" s="15" t="n">
        <f aca="false">Q411-$G$2+$I$2</f>
        <v>23011.3200392968</v>
      </c>
      <c r="S411" s="42" t="n">
        <f aca="false">R411/$K$2</f>
        <v>176.792563301297</v>
      </c>
      <c r="T411" s="43" t="n">
        <f aca="false">S411-$M$2</f>
        <v>0.16379870387857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0.0126953125</v>
      </c>
      <c r="C412" s="25" t="n">
        <f aca="false">IF(T411&gt;0,D411,C411)</f>
        <v>0.01416015625</v>
      </c>
      <c r="D412" s="41" t="n">
        <f aca="false">(B412+C412)/2</f>
        <v>0.013427734375</v>
      </c>
      <c r="E412" s="15" t="n">
        <f aca="false">$C$2*(1+IF(E$3&lt;=$O$2,$D412,$D412-($D412-$I$400)*MIN(E$3-$O$2,$Q$2)/$Q$2))</f>
        <v>3182.1630859375</v>
      </c>
      <c r="F412" s="15" t="n">
        <f aca="false">E412*(1+IF(F$3&lt;=$O$2,$D412,$D412-($D412-$I$400)*MIN(F$3-$O$2,$Q$2)/$Q$2))</f>
        <v>3224.8923265934</v>
      </c>
      <c r="G412" s="15" t="n">
        <f aca="false">F412*(1+IF(G$3&lt;=$O$2,$D412,$D412-($D412-$I$400)*MIN(G$3-$O$2,$Q$2)/$Q$2))</f>
        <v>3268.19532414287</v>
      </c>
      <c r="H412" s="15" t="n">
        <f aca="false">G412*(1+IF(H$3&lt;=$O$2,$D412,$D412-($D412-$I$400)*MIN(H$3-$O$2,$Q$2)/$Q$2))</f>
        <v>3312.07978284108</v>
      </c>
      <c r="I412" s="15" t="n">
        <f aca="false">H412*(1+IF(I$3&lt;=$O$2,$D412,$D412-($D412-$I$400)*MIN(I$3-$O$2,$Q$2)/$Q$2))</f>
        <v>3356.55351039388</v>
      </c>
      <c r="J412" s="15" t="n">
        <f aca="false">I412*(1+IF(J$3&lt;=$O$2,$D412,$D412-($D412-$I$400)*MIN(J$3-$O$2,$Q$2)/$Q$2))</f>
        <v>3414.96488393553</v>
      </c>
      <c r="K412" s="15" t="n">
        <f aca="false">J412*(1+IF(K$3&lt;=$O$2,$D412,$D412-($D412-$I$400)*MIN(K$3-$O$2,$Q$2)/$Q$2))</f>
        <v>3487.96536100642</v>
      </c>
      <c r="L412" s="15" t="n">
        <f aca="false">K412*(1+IF(L$3&lt;=$O$2,$D412,$D412-($D412-$I$400)*MIN(L$3-$O$2,$Q$2)/$Q$2))</f>
        <v>3576.38909787005</v>
      </c>
      <c r="M412" s="15" t="n">
        <f aca="false">L412*(1+IF(M$3&lt;=$O$2,$D412,$D412-($D412-$I$400)*MIN(M$3-$O$2,$Q$2)/$Q$2))</f>
        <v>3681.26866400287</v>
      </c>
      <c r="N412" s="15" t="n">
        <f aca="false">M412*(1+IF(N$3&lt;=$O$2,$D412,$D412-($D412-$I$400)*MIN(N$3-$O$2,$Q$2)/$Q$2))</f>
        <v>3803.85491051417</v>
      </c>
      <c r="O412" s="15" t="n">
        <f aca="false">SUMPRODUCT(E412:N412,1/(1+$F$400)^$E$3:$N$3)*$E$2</f>
        <v>10248.6843709756</v>
      </c>
      <c r="P412" s="15" t="n">
        <f aca="false">N412*$E$2*(1+$I$400)/($F$400-$I$400)/(1+$F$400)^$N$3</f>
        <v>16712.9631835298</v>
      </c>
      <c r="Q412" s="15" t="n">
        <f aca="false">O412+P412</f>
        <v>26961.6475545054</v>
      </c>
      <c r="R412" s="15" t="n">
        <f aca="false">Q412-$G$2+$I$2</f>
        <v>22893.8475545054</v>
      </c>
      <c r="S412" s="42" t="n">
        <f aca="false">R412/$K$2</f>
        <v>175.890039601301</v>
      </c>
      <c r="T412" s="43" t="n">
        <f aca="false">S412-$M$2</f>
        <v>-0.738724996117185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0.013427734375</v>
      </c>
      <c r="C413" s="25" t="n">
        <f aca="false">IF(T412&gt;0,D412,C412)</f>
        <v>0.01416015625</v>
      </c>
      <c r="D413" s="41" t="n">
        <f aca="false">(B413+C413)/2</f>
        <v>0.0137939453125</v>
      </c>
      <c r="E413" s="15" t="n">
        <f aca="false">$C$2*(1+IF(E$3&lt;=$O$2,$D413,$D413-($D413-$I$400)*MIN(E$3-$O$2,$Q$2)/$Q$2))</f>
        <v>3183.31298828125</v>
      </c>
      <c r="F413" s="15" t="n">
        <f aca="false">E413*(1+IF(F$3&lt;=$O$2,$D413,$D413-($D413-$I$400)*MIN(F$3-$O$2,$Q$2)/$Q$2))</f>
        <v>3227.22343355417</v>
      </c>
      <c r="G413" s="15" t="n">
        <f aca="false">F413*(1+IF(G$3&lt;=$O$2,$D413,$D413-($D413-$I$400)*MIN(G$3-$O$2,$Q$2)/$Q$2))</f>
        <v>3271.73957710784</v>
      </c>
      <c r="H413" s="15" t="n">
        <f aca="false">G413*(1+IF(H$3&lt;=$O$2,$D413,$D413-($D413-$I$400)*MIN(H$3-$O$2,$Q$2)/$Q$2))</f>
        <v>3316.8697739112</v>
      </c>
      <c r="I413" s="15" t="n">
        <f aca="false">H413*(1+IF(I$3&lt;=$O$2,$D413,$D413-($D413-$I$400)*MIN(I$3-$O$2,$Q$2)/$Q$2))</f>
        <v>3362.62249418122</v>
      </c>
      <c r="J413" s="15" t="n">
        <f aca="false">I413*(1+IF(J$3&lt;=$O$2,$D413,$D413-($D413-$I$400)*MIN(J$3-$O$2,$Q$2)/$Q$2))</f>
        <v>3422.12462462552</v>
      </c>
      <c r="K413" s="15" t="n">
        <f aca="false">J413*(1+IF(K$3&lt;=$O$2,$D413,$D413-($D413-$I$400)*MIN(K$3-$O$2,$Q$2)/$Q$2))</f>
        <v>3496.03008458032</v>
      </c>
      <c r="L413" s="15" t="n">
        <f aca="false">K413*(1+IF(L$3&lt;=$O$2,$D413,$D413-($D413-$I$400)*MIN(L$3-$O$2,$Q$2)/$Q$2))</f>
        <v>3585.17038478926</v>
      </c>
      <c r="M413" s="15" t="n">
        <f aca="false">L413*(1+IF(M$3&lt;=$O$2,$D413,$D413-($D413-$I$400)*MIN(M$3-$O$2,$Q$2)/$Q$2))</f>
        <v>3690.5700526848</v>
      </c>
      <c r="N413" s="15" t="n">
        <f aca="false">M413*(1+IF(N$3&lt;=$O$2,$D413,$D413-($D413-$I$400)*MIN(N$3-$O$2,$Q$2)/$Q$2))</f>
        <v>3813.4660354392</v>
      </c>
      <c r="O413" s="15" t="n">
        <f aca="false">SUMPRODUCT(E413:N413,1/(1+$F$400)^$E$3:$N$3)*$E$2</f>
        <v>10265.1322967378</v>
      </c>
      <c r="P413" s="15" t="n">
        <f aca="false">N413*$E$2*(1+$I$400)/($F$400-$I$400)/(1+$F$400)^$N$3</f>
        <v>16755.1914968601</v>
      </c>
      <c r="Q413" s="15" t="n">
        <f aca="false">O413+P413</f>
        <v>27020.3237935979</v>
      </c>
      <c r="R413" s="15" t="n">
        <f aca="false">Q413-$G$2+$I$2</f>
        <v>22952.5237935979</v>
      </c>
      <c r="S413" s="42" t="n">
        <f aca="false">R413/$K$2</f>
        <v>176.340840454809</v>
      </c>
      <c r="T413" s="43" t="n">
        <f aca="false">S413-$M$2</f>
        <v>-0.287924142609853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0.0137939453125</v>
      </c>
      <c r="C414" s="25" t="n">
        <f aca="false">IF(T413&gt;0,D413,C413)</f>
        <v>0.01416015625</v>
      </c>
      <c r="D414" s="41" t="n">
        <f aca="false">(B414+C414)/2</f>
        <v>0.01397705078125</v>
      </c>
      <c r="E414" s="15" t="n">
        <f aca="false">$C$2*(1+IF(E$3&lt;=$O$2,$D414,$D414-($D414-$I$400)*MIN(E$3-$O$2,$Q$2)/$Q$2))</f>
        <v>3183.88793945313</v>
      </c>
      <c r="F414" s="15" t="n">
        <f aca="false">E414*(1+IF(F$3&lt;=$O$2,$D414,$D414-($D414-$I$400)*MIN(F$3-$O$2,$Q$2)/$Q$2))</f>
        <v>3228.38930286467</v>
      </c>
      <c r="G414" s="15" t="n">
        <f aca="false">F414*(1+IF(G$3&lt;=$O$2,$D414,$D414-($D414-$I$400)*MIN(G$3-$O$2,$Q$2)/$Q$2))</f>
        <v>3273.51266409245</v>
      </c>
      <c r="H414" s="15" t="n">
        <f aca="false">G414*(1+IF(H$3&lt;=$O$2,$D414,$D414-($D414-$I$400)*MIN(H$3-$O$2,$Q$2)/$Q$2))</f>
        <v>3319.26671683154</v>
      </c>
      <c r="I414" s="15" t="n">
        <f aca="false">H414*(1+IF(I$3&lt;=$O$2,$D414,$D414-($D414-$I$400)*MIN(I$3-$O$2,$Q$2)/$Q$2))</f>
        <v>3365.66027628921</v>
      </c>
      <c r="J414" s="15" t="n">
        <f aca="false">I414*(1+IF(J$3&lt;=$O$2,$D414,$D414-($D414-$I$400)*MIN(J$3-$O$2,$Q$2)/$Q$2))</f>
        <v>3425.7091774046</v>
      </c>
      <c r="K414" s="15" t="n">
        <f aca="false">J414*(1+IF(K$3&lt;=$O$2,$D414,$D414-($D414-$I$400)*MIN(K$3-$O$2,$Q$2)/$Q$2))</f>
        <v>3500.06841032825</v>
      </c>
      <c r="L414" s="15" t="n">
        <f aca="false">K414*(1+IF(L$3&lt;=$O$2,$D414,$D414-($D414-$I$400)*MIN(L$3-$O$2,$Q$2)/$Q$2))</f>
        <v>3589.56803073021</v>
      </c>
      <c r="M414" s="15" t="n">
        <f aca="false">L414*(1+IF(M$3&lt;=$O$2,$D414,$D414-($D414-$I$400)*MIN(M$3-$O$2,$Q$2)/$Q$2))</f>
        <v>3695.22843799852</v>
      </c>
      <c r="N414" s="15" t="n">
        <f aca="false">M414*(1+IF(N$3&lt;=$O$2,$D414,$D414-($D414-$I$400)*MIN(N$3-$O$2,$Q$2)/$Q$2))</f>
        <v>3818.27954498387</v>
      </c>
      <c r="O414" s="15" t="n">
        <f aca="false">SUMPRODUCT(E414:N414,1/(1+$F$400)^$E$3:$N$3)*$E$2</f>
        <v>10273.3663314925</v>
      </c>
      <c r="P414" s="15" t="n">
        <f aca="false">N414*$E$2*(1+$I$400)/($F$400-$I$400)/(1+$F$400)^$N$3</f>
        <v>16776.3405705488</v>
      </c>
      <c r="Q414" s="15" t="n">
        <f aca="false">O414+P414</f>
        <v>27049.7069020413</v>
      </c>
      <c r="R414" s="15" t="n">
        <f aca="false">Q414-$G$2+$I$2</f>
        <v>22981.9069020413</v>
      </c>
      <c r="S414" s="42" t="n">
        <f aca="false">R414/$K$2</f>
        <v>176.566586524595</v>
      </c>
      <c r="T414" s="43" t="n">
        <f aca="false">S414-$M$2</f>
        <v>-0.0621780728232295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0.01397705078125</v>
      </c>
      <c r="C415" s="25" t="n">
        <f aca="false">IF(T414&gt;0,D414,C414)</f>
        <v>0.01416015625</v>
      </c>
      <c r="D415" s="41" t="n">
        <f aca="false">(B415+C415)/2</f>
        <v>0.014068603515625</v>
      </c>
      <c r="E415" s="15" t="n">
        <f aca="false">$C$2*(1+IF(E$3&lt;=$O$2,$D415,$D415-($D415-$I$400)*MIN(E$3-$O$2,$Q$2)/$Q$2))</f>
        <v>3184.17541503906</v>
      </c>
      <c r="F415" s="15" t="n">
        <f aca="false">E415*(1+IF(F$3&lt;=$O$2,$D415,$D415-($D415-$I$400)*MIN(F$3-$O$2,$Q$2)/$Q$2))</f>
        <v>3228.97231647745</v>
      </c>
      <c r="G415" s="15" t="n">
        <f aca="false">F415*(1+IF(G$3&lt;=$O$2,$D415,$D415-($D415-$I$400)*MIN(G$3-$O$2,$Q$2)/$Q$2))</f>
        <v>3274.3994477609</v>
      </c>
      <c r="H415" s="15" t="n">
        <f aca="false">G415*(1+IF(H$3&lt;=$O$2,$D415,$D415-($D415-$I$400)*MIN(H$3-$O$2,$Q$2)/$Q$2))</f>
        <v>3320.46567534323</v>
      </c>
      <c r="I415" s="15" t="n">
        <f aca="false">H415*(1+IF(I$3&lt;=$O$2,$D415,$D415-($D415-$I$400)*MIN(I$3-$O$2,$Q$2)/$Q$2))</f>
        <v>3367.17999041687</v>
      </c>
      <c r="J415" s="15" t="n">
        <f aca="false">I415*(1+IF(J$3&lt;=$O$2,$D415,$D415-($D415-$I$400)*MIN(J$3-$O$2,$Q$2)/$Q$2))</f>
        <v>3427.50262535379</v>
      </c>
      <c r="K415" s="15" t="n">
        <f aca="false">J415*(1+IF(K$3&lt;=$O$2,$D415,$D415-($D415-$I$400)*MIN(K$3-$O$2,$Q$2)/$Q$2))</f>
        <v>3502.08906561442</v>
      </c>
      <c r="L415" s="15" t="n">
        <f aca="false">K415*(1+IF(L$3&lt;=$O$2,$D415,$D415-($D415-$I$400)*MIN(L$3-$O$2,$Q$2)/$Q$2))</f>
        <v>3591.76860616161</v>
      </c>
      <c r="M415" s="15" t="n">
        <f aca="false">L415*(1+IF(M$3&lt;=$O$2,$D415,$D415-($D415-$I$400)*MIN(M$3-$O$2,$Q$2)/$Q$2))</f>
        <v>3697.55955551775</v>
      </c>
      <c r="N415" s="15" t="n">
        <f aca="false">M415*(1+IF(N$3&lt;=$O$2,$D415,$D415-($D415-$I$400)*MIN(N$3-$O$2,$Q$2)/$Q$2))</f>
        <v>3820.68828871649</v>
      </c>
      <c r="O415" s="15" t="n">
        <f aca="false">SUMPRODUCT(E415:N415,1/(1+$F$400)^$E$3:$N$3)*$E$2</f>
        <v>10277.4858690988</v>
      </c>
      <c r="P415" s="15" t="n">
        <f aca="false">N415*$E$2*(1+$I$400)/($F$400-$I$400)/(1+$F$400)^$N$3</f>
        <v>16786.9238462701</v>
      </c>
      <c r="Q415" s="15" t="n">
        <f aca="false">O415+P415</f>
        <v>27064.4097153689</v>
      </c>
      <c r="R415" s="15" t="n">
        <f aca="false">Q415-$G$2+$I$2</f>
        <v>22996.6097153689</v>
      </c>
      <c r="S415" s="42" t="n">
        <f aca="false">R415/$K$2</f>
        <v>176.679546061531</v>
      </c>
      <c r="T415" s="43" t="n">
        <f aca="false">S415-$M$2</f>
        <v>0.0507814641126458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0.01397705078125</v>
      </c>
      <c r="C416" s="25" t="n">
        <f aca="false">IF(T415&gt;0,D415,C415)</f>
        <v>0.014068603515625</v>
      </c>
      <c r="D416" s="41" t="n">
        <f aca="false">(B416+C416)/2</f>
        <v>0.0140228271484375</v>
      </c>
      <c r="E416" s="15" t="n">
        <f aca="false">$C$2*(1+IF(E$3&lt;=$O$2,$D416,$D416-($D416-$I$400)*MIN(E$3-$O$2,$Q$2)/$Q$2))</f>
        <v>3184.03167724609</v>
      </c>
      <c r="F416" s="15" t="n">
        <f aca="false">E416*(1+IF(F$3&lt;=$O$2,$D416,$D416-($D416-$I$400)*MIN(F$3-$O$2,$Q$2)/$Q$2))</f>
        <v>3228.68080309127</v>
      </c>
      <c r="G416" s="15" t="n">
        <f aca="false">F416*(1+IF(G$3&lt;=$O$2,$D416,$D416-($D416-$I$400)*MIN(G$3-$O$2,$Q$2)/$Q$2))</f>
        <v>3273.95603591049</v>
      </c>
      <c r="H416" s="15" t="n">
        <f aca="false">G416*(1+IF(H$3&lt;=$O$2,$D416,$D416-($D416-$I$400)*MIN(H$3-$O$2,$Q$2)/$Q$2))</f>
        <v>3319.86615549365</v>
      </c>
      <c r="I416" s="15" t="n">
        <f aca="false">H416*(1+IF(I$3&lt;=$O$2,$D416,$D416-($D416-$I$400)*MIN(I$3-$O$2,$Q$2)/$Q$2))</f>
        <v>3366.42006474808</v>
      </c>
      <c r="J416" s="15" t="n">
        <f aca="false">I416*(1+IF(J$3&lt;=$O$2,$D416,$D416-($D416-$I$400)*MIN(J$3-$O$2,$Q$2)/$Q$2))</f>
        <v>3426.6058037209</v>
      </c>
      <c r="K416" s="15" t="n">
        <f aca="false">J416*(1+IF(K$3&lt;=$O$2,$D416,$D416-($D416-$I$400)*MIN(K$3-$O$2,$Q$2)/$Q$2))</f>
        <v>3501.07861356131</v>
      </c>
      <c r="L416" s="15" t="n">
        <f aca="false">K416*(1+IF(L$3&lt;=$O$2,$D416,$D416-($D416-$I$400)*MIN(L$3-$O$2,$Q$2)/$Q$2))</f>
        <v>3590.66817235269</v>
      </c>
      <c r="M416" s="15" t="n">
        <f aca="false">L416*(1+IF(M$3&lt;=$O$2,$D416,$D416-($D416-$I$400)*MIN(M$3-$O$2,$Q$2)/$Q$2))</f>
        <v>3696.39383628983</v>
      </c>
      <c r="N416" s="15" t="n">
        <f aca="false">M416*(1+IF(N$3&lt;=$O$2,$D416,$D416-($D416-$I$400)*MIN(N$3-$O$2,$Q$2)/$Q$2))</f>
        <v>3819.48375103828</v>
      </c>
      <c r="O416" s="15" t="n">
        <f aca="false">SUMPRODUCT(E416:N416,1/(1+$F$400)^$E$3:$N$3)*$E$2</f>
        <v>10275.4258902093</v>
      </c>
      <c r="P416" s="15" t="n">
        <f aca="false">N416*$E$2*(1+$I$400)/($F$400-$I$400)/(1+$F$400)^$N$3</f>
        <v>16781.6314798832</v>
      </c>
      <c r="Q416" s="15" t="n">
        <f aca="false">O416+P416</f>
        <v>27057.0573700925</v>
      </c>
      <c r="R416" s="15" t="n">
        <f aca="false">Q416-$G$2+$I$2</f>
        <v>22989.2573700925</v>
      </c>
      <c r="S416" s="42" t="n">
        <f aca="false">R416/$K$2</f>
        <v>176.623059081841</v>
      </c>
      <c r="T416" s="43" t="n">
        <f aca="false">S416-$M$2</f>
        <v>-0.00570551557731847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0.0140228271484375</v>
      </c>
      <c r="C417" s="25" t="n">
        <f aca="false">IF(T416&gt;0,D416,C416)</f>
        <v>0.014068603515625</v>
      </c>
      <c r="D417" s="41" t="n">
        <f aca="false">(B417+C417)/2</f>
        <v>0.0140457153320313</v>
      </c>
      <c r="E417" s="15" t="n">
        <f aca="false">$C$2*(1+IF(E$3&lt;=$O$2,$D417,$D417-($D417-$I$400)*MIN(E$3-$O$2,$Q$2)/$Q$2))</f>
        <v>3184.10354614258</v>
      </c>
      <c r="F417" s="15" t="n">
        <f aca="false">E417*(1+IF(F$3&lt;=$O$2,$D417,$D417-($D417-$I$400)*MIN(F$3-$O$2,$Q$2)/$Q$2))</f>
        <v>3228.82655813941</v>
      </c>
      <c r="G417" s="15" t="n">
        <f aca="false">F417*(1+IF(G$3&lt;=$O$2,$D417,$D417-($D417-$I$400)*MIN(G$3-$O$2,$Q$2)/$Q$2))</f>
        <v>3274.17773683154</v>
      </c>
      <c r="H417" s="15" t="n">
        <f aca="false">G417*(1+IF(H$3&lt;=$O$2,$D417,$D417-($D417-$I$400)*MIN(H$3-$O$2,$Q$2)/$Q$2))</f>
        <v>3320.16590526955</v>
      </c>
      <c r="I417" s="15" t="n">
        <f aca="false">H417*(1+IF(I$3&lt;=$O$2,$D417,$D417-($D417-$I$400)*MIN(I$3-$O$2,$Q$2)/$Q$2))</f>
        <v>3366.80001043008</v>
      </c>
      <c r="J417" s="15" t="n">
        <f aca="false">I417*(1+IF(J$3&lt;=$O$2,$D417,$D417-($D417-$I$400)*MIN(J$3-$O$2,$Q$2)/$Q$2))</f>
        <v>3427.05419012065</v>
      </c>
      <c r="K417" s="15" t="n">
        <f aca="false">J417*(1+IF(K$3&lt;=$O$2,$D417,$D417-($D417-$I$400)*MIN(K$3-$O$2,$Q$2)/$Q$2))</f>
        <v>3501.58380848218</v>
      </c>
      <c r="L417" s="15" t="n">
        <f aca="false">K417*(1+IF(L$3&lt;=$O$2,$D417,$D417-($D417-$I$400)*MIN(L$3-$O$2,$Q$2)/$Q$2))</f>
        <v>3591.21835272973</v>
      </c>
      <c r="M417" s="15" t="n">
        <f aca="false">L417*(1+IF(M$3&lt;=$O$2,$D417,$D417-($D417-$I$400)*MIN(M$3-$O$2,$Q$2)/$Q$2))</f>
        <v>3696.97665578198</v>
      </c>
      <c r="N417" s="15" t="n">
        <f aca="false">M417*(1+IF(N$3&lt;=$O$2,$D417,$D417-($D417-$I$400)*MIN(N$3-$O$2,$Q$2)/$Q$2))</f>
        <v>3820.08597841952</v>
      </c>
      <c r="O417" s="15" t="n">
        <f aca="false">SUMPRODUCT(E417:N417,1/(1+$F$400)^$E$3:$N$3)*$E$2</f>
        <v>10276.4558271274</v>
      </c>
      <c r="P417" s="15" t="n">
        <f aca="false">N417*$E$2*(1+$I$400)/($F$400-$I$400)/(1+$F$400)^$N$3</f>
        <v>16784.2774809236</v>
      </c>
      <c r="Q417" s="15" t="n">
        <f aca="false">O417+P417</f>
        <v>27060.733308051</v>
      </c>
      <c r="R417" s="15" t="n">
        <f aca="false">Q417-$G$2+$I$2</f>
        <v>22992.933308051</v>
      </c>
      <c r="S417" s="42" t="n">
        <f aca="false">R417/$K$2</f>
        <v>176.651300768677</v>
      </c>
      <c r="T417" s="43" t="n">
        <f aca="false">S417-$M$2</f>
        <v>0.0225361712582526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0.0140228271484375</v>
      </c>
      <c r="C418" s="25" t="n">
        <f aca="false">IF(T417&gt;0,D417,C417)</f>
        <v>0.0140457153320313</v>
      </c>
      <c r="D418" s="41" t="n">
        <f aca="false">(B418+C418)/2</f>
        <v>0.0140342712402344</v>
      </c>
      <c r="E418" s="15" t="n">
        <f aca="false">$C$2*(1+IF(E$3&lt;=$O$2,$D418,$D418-($D418-$I$400)*MIN(E$3-$O$2,$Q$2)/$Q$2))</f>
        <v>3184.06761169434</v>
      </c>
      <c r="F418" s="15" t="n">
        <f aca="false">E418*(1+IF(F$3&lt;=$O$2,$D418,$D418-($D418-$I$400)*MIN(F$3-$O$2,$Q$2)/$Q$2))</f>
        <v>3228.7536802041</v>
      </c>
      <c r="G418" s="15" t="n">
        <f aca="false">F418*(1+IF(G$3&lt;=$O$2,$D418,$D418-($D418-$I$400)*MIN(G$3-$O$2,$Q$2)/$Q$2))</f>
        <v>3274.06688511999</v>
      </c>
      <c r="H418" s="15" t="n">
        <f aca="false">G418*(1+IF(H$3&lt;=$O$2,$D418,$D418-($D418-$I$400)*MIN(H$3-$O$2,$Q$2)/$Q$2))</f>
        <v>3320.01602784443</v>
      </c>
      <c r="I418" s="15" t="n">
        <f aca="false">H418*(1+IF(I$3&lt;=$O$2,$D418,$D418-($D418-$I$400)*MIN(I$3-$O$2,$Q$2)/$Q$2))</f>
        <v>3366.61003330113</v>
      </c>
      <c r="J418" s="15" t="n">
        <f aca="false">I418*(1+IF(J$3&lt;=$O$2,$D418,$D418-($D418-$I$400)*MIN(J$3-$O$2,$Q$2)/$Q$2))</f>
        <v>3426.82999081687</v>
      </c>
      <c r="K418" s="15" t="n">
        <f aca="false">J418*(1+IF(K$3&lt;=$O$2,$D418,$D418-($D418-$I$400)*MIN(K$3-$O$2,$Q$2)/$Q$2))</f>
        <v>3501.33120324572</v>
      </c>
      <c r="L418" s="15" t="n">
        <f aca="false">K418*(1+IF(L$3&lt;=$O$2,$D418,$D418-($D418-$I$400)*MIN(L$3-$O$2,$Q$2)/$Q$2))</f>
        <v>3590.94325340987</v>
      </c>
      <c r="M418" s="15" t="n">
        <f aca="false">L418*(1+IF(M$3&lt;=$O$2,$D418,$D418-($D418-$I$400)*MIN(M$3-$O$2,$Q$2)/$Q$2))</f>
        <v>3696.68523600604</v>
      </c>
      <c r="N418" s="15" t="n">
        <f aca="false">M418*(1+IF(N$3&lt;=$O$2,$D418,$D418-($D418-$I$400)*MIN(N$3-$O$2,$Q$2)/$Q$2))</f>
        <v>3819.78485436504</v>
      </c>
      <c r="O418" s="15" t="n">
        <f aca="false">SUMPRODUCT(E418:N418,1/(1+$F$400)^$E$3:$N$3)*$E$2</f>
        <v>10275.9408455373</v>
      </c>
      <c r="P418" s="15" t="n">
        <f aca="false">N418*$E$2*(1+$I$400)/($F$400-$I$400)/(1+$F$400)^$N$3</f>
        <v>16782.9544348678</v>
      </c>
      <c r="Q418" s="15" t="n">
        <f aca="false">O418+P418</f>
        <v>27058.8952804051</v>
      </c>
      <c r="R418" s="15" t="n">
        <f aca="false">Q418-$G$2+$I$2</f>
        <v>22991.0952804051</v>
      </c>
      <c r="S418" s="42" t="n">
        <f aca="false">R418/$K$2</f>
        <v>176.637179474532</v>
      </c>
      <c r="T418" s="43" t="n">
        <f aca="false">S418-$M$2</f>
        <v>0.00841487711360855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0.0140228271484375</v>
      </c>
      <c r="C419" s="25" t="n">
        <f aca="false">IF(T418&gt;0,D418,C418)</f>
        <v>0.0140342712402344</v>
      </c>
      <c r="D419" s="41" t="n">
        <f aca="false">(B419+C419)/2</f>
        <v>0.0140285491943359</v>
      </c>
      <c r="E419" s="15" t="n">
        <f aca="false">$C$2*(1+IF(E$3&lt;=$O$2,$D419,$D419-($D419-$I$400)*MIN(E$3-$O$2,$Q$2)/$Q$2))</f>
        <v>3184.04964447022</v>
      </c>
      <c r="F419" s="15" t="n">
        <f aca="false">E419*(1+IF(F$3&lt;=$O$2,$D419,$D419-($D419-$I$400)*MIN(F$3-$O$2,$Q$2)/$Q$2))</f>
        <v>3228.71724154487</v>
      </c>
      <c r="G419" s="15" t="n">
        <f aca="false">F419*(1+IF(G$3&lt;=$O$2,$D419,$D419-($D419-$I$400)*MIN(G$3-$O$2,$Q$2)/$Q$2))</f>
        <v>3274.01146020249</v>
      </c>
      <c r="H419" s="15" t="n">
        <f aca="false">G419*(1+IF(H$3&lt;=$O$2,$D419,$D419-($D419-$I$400)*MIN(H$3-$O$2,$Q$2)/$Q$2))</f>
        <v>3319.94109103476</v>
      </c>
      <c r="I419" s="15" t="n">
        <f aca="false">H419*(1+IF(I$3&lt;=$O$2,$D419,$D419-($D419-$I$400)*MIN(I$3-$O$2,$Q$2)/$Q$2))</f>
        <v>3366.51504795263</v>
      </c>
      <c r="J419" s="15" t="n">
        <f aca="false">I419*(1+IF(J$3&lt;=$O$2,$D419,$D419-($D419-$I$400)*MIN(J$3-$O$2,$Q$2)/$Q$2))</f>
        <v>3426.71789574294</v>
      </c>
      <c r="K419" s="15" t="n">
        <f aca="false">J419*(1+IF(K$3&lt;=$O$2,$D419,$D419-($D419-$I$400)*MIN(K$3-$O$2,$Q$2)/$Q$2))</f>
        <v>3501.20490645956</v>
      </c>
      <c r="L419" s="15" t="n">
        <f aca="false">K419*(1+IF(L$3&lt;=$O$2,$D419,$D419-($D419-$I$400)*MIN(L$3-$O$2,$Q$2)/$Q$2))</f>
        <v>3590.80571059851</v>
      </c>
      <c r="M419" s="15" t="n">
        <f aca="false">L419*(1+IF(M$3&lt;=$O$2,$D419,$D419-($D419-$I$400)*MIN(M$3-$O$2,$Q$2)/$Q$2))</f>
        <v>3696.53953364054</v>
      </c>
      <c r="N419" s="15" t="n">
        <f aca="false">M419*(1+IF(N$3&lt;=$O$2,$D419,$D419-($D419-$I$400)*MIN(N$3-$O$2,$Q$2)/$Q$2))</f>
        <v>3819.63430011077</v>
      </c>
      <c r="O419" s="15" t="n">
        <f aca="false">SUMPRODUCT(E419:N419,1/(1+$F$400)^$E$3:$N$3)*$E$2</f>
        <v>10275.6833645906</v>
      </c>
      <c r="P419" s="15" t="n">
        <f aca="false">N419*$E$2*(1+$I$400)/($F$400-$I$400)/(1+$F$400)^$N$3</f>
        <v>16782.292945992</v>
      </c>
      <c r="Q419" s="15" t="n">
        <f aca="false">O419+P419</f>
        <v>27057.9763105826</v>
      </c>
      <c r="R419" s="15" t="n">
        <f aca="false">Q419-$G$2+$I$2</f>
        <v>22990.1763105826</v>
      </c>
      <c r="S419" s="42" t="n">
        <f aca="false">R419/$K$2</f>
        <v>176.630119165508</v>
      </c>
      <c r="T419" s="43" t="n">
        <f aca="false">S419-$M$2</f>
        <v>0.00135456808965273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0.0140228271484375</v>
      </c>
      <c r="C420" s="25" t="n">
        <f aca="false">IF(T419&gt;0,D419,C419)</f>
        <v>0.0140285491943359</v>
      </c>
      <c r="D420" s="41" t="n">
        <f aca="false">(B420+C420)/2</f>
        <v>0.0140256881713867</v>
      </c>
      <c r="E420" s="15" t="n">
        <f aca="false">$C$2*(1+IF(E$3&lt;=$O$2,$D420,$D420-($D420-$I$400)*MIN(E$3-$O$2,$Q$2)/$Q$2))</f>
        <v>3184.04066085815</v>
      </c>
      <c r="F420" s="15" t="n">
        <f aca="false">E420*(1+IF(F$3&lt;=$O$2,$D420,$D420-($D420-$I$400)*MIN(F$3-$O$2,$Q$2)/$Q$2))</f>
        <v>3228.69902229237</v>
      </c>
      <c r="G420" s="15" t="n">
        <f aca="false">F420*(1+IF(G$3&lt;=$O$2,$D420,$D420-($D420-$I$400)*MIN(G$3-$O$2,$Q$2)/$Q$2))</f>
        <v>3273.9837479783</v>
      </c>
      <c r="H420" s="15" t="n">
        <f aca="false">G420*(1+IF(H$3&lt;=$O$2,$D420,$D420-($D420-$I$400)*MIN(H$3-$O$2,$Q$2)/$Q$2))</f>
        <v>3319.90362310563</v>
      </c>
      <c r="I420" s="15" t="n">
        <f aca="false">H420*(1+IF(I$3&lt;=$O$2,$D420,$D420-($D420-$I$400)*MIN(I$3-$O$2,$Q$2)/$Q$2))</f>
        <v>3366.46755608237</v>
      </c>
      <c r="J420" s="15" t="n">
        <f aca="false">I420*(1+IF(J$3&lt;=$O$2,$D420,$D420-($D420-$I$400)*MIN(J$3-$O$2,$Q$2)/$Q$2))</f>
        <v>3426.66184935044</v>
      </c>
      <c r="K420" s="15" t="n">
        <f aca="false">J420*(1+IF(K$3&lt;=$O$2,$D420,$D420-($D420-$I$400)*MIN(K$3-$O$2,$Q$2)/$Q$2))</f>
        <v>3501.14175952445</v>
      </c>
      <c r="L420" s="15" t="n">
        <f aca="false">K420*(1+IF(L$3&lt;=$O$2,$D420,$D420-($D420-$I$400)*MIN(L$3-$O$2,$Q$2)/$Q$2))</f>
        <v>3590.73694090491</v>
      </c>
      <c r="M420" s="15" t="n">
        <f aca="false">L420*(1+IF(M$3&lt;=$O$2,$D420,$D420-($D420-$I$400)*MIN(M$3-$O$2,$Q$2)/$Q$2))</f>
        <v>3696.46668433834</v>
      </c>
      <c r="N420" s="15" t="n">
        <f aca="false">M420*(1+IF(N$3&lt;=$O$2,$D420,$D420-($D420-$I$400)*MIN(N$3-$O$2,$Q$2)/$Q$2))</f>
        <v>3819.55902492681</v>
      </c>
      <c r="O420" s="15" t="n">
        <f aca="false">SUMPRODUCT(E420:N420,1/(1+$F$400)^$E$3:$N$3)*$E$2</f>
        <v>10275.5546265793</v>
      </c>
      <c r="P420" s="15" t="n">
        <f aca="false">N420*$E$2*(1+$I$400)/($F$400-$I$400)/(1+$F$400)^$N$3</f>
        <v>16781.9622100917</v>
      </c>
      <c r="Q420" s="15" t="n">
        <f aca="false">O420+P420</f>
        <v>27057.516836671</v>
      </c>
      <c r="R420" s="15" t="n">
        <f aca="false">Q420-$G$2+$I$2</f>
        <v>22989.716836671</v>
      </c>
      <c r="S420" s="42" t="n">
        <f aca="false">R420/$K$2</f>
        <v>176.626589095505</v>
      </c>
      <c r="T420" s="43" t="n">
        <f aca="false">S420-$M$2</f>
        <v>-0.00217550191314331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0.0140256881713867</v>
      </c>
      <c r="C421" s="25" t="n">
        <f aca="false">IF(T420&gt;0,D420,C420)</f>
        <v>0.0140285491943359</v>
      </c>
      <c r="D421" s="41" t="n">
        <f aca="false">(B421+C421)/2</f>
        <v>0.0140271186828613</v>
      </c>
      <c r="E421" s="15" t="n">
        <f aca="false">$C$2*(1+IF(E$3&lt;=$O$2,$D421,$D421-($D421-$I$400)*MIN(E$3-$O$2,$Q$2)/$Q$2))</f>
        <v>3184.04515266418</v>
      </c>
      <c r="F421" s="15" t="n">
        <f aca="false">E421*(1+IF(F$3&lt;=$O$2,$D421,$D421-($D421-$I$400)*MIN(F$3-$O$2,$Q$2)/$Q$2))</f>
        <v>3228.70813191219</v>
      </c>
      <c r="G421" s="15" t="n">
        <f aca="false">F421*(1+IF(G$3&lt;=$O$2,$D421,$D421-($D421-$I$400)*MIN(G$3-$O$2,$Q$2)/$Q$2))</f>
        <v>3273.99760407085</v>
      </c>
      <c r="H421" s="15" t="n">
        <f aca="false">G421*(1+IF(H$3&lt;=$O$2,$D421,$D421-($D421-$I$400)*MIN(H$3-$O$2,$Q$2)/$Q$2))</f>
        <v>3319.92235703055</v>
      </c>
      <c r="I421" s="15" t="n">
        <f aca="false">H421*(1+IF(I$3&lt;=$O$2,$D421,$D421-($D421-$I$400)*MIN(I$3-$O$2,$Q$2)/$Q$2))</f>
        <v>3366.4913019505</v>
      </c>
      <c r="J421" s="15" t="n">
        <f aca="false">I421*(1+IF(J$3&lt;=$O$2,$D421,$D421-($D421-$I$400)*MIN(J$3-$O$2,$Q$2)/$Q$2))</f>
        <v>3426.68987245132</v>
      </c>
      <c r="K421" s="15" t="n">
        <f aca="false">J421*(1+IF(K$3&lt;=$O$2,$D421,$D421-($D421-$I$400)*MIN(K$3-$O$2,$Q$2)/$Q$2))</f>
        <v>3501.17333287051</v>
      </c>
      <c r="L421" s="15" t="n">
        <f aca="false">K421*(1+IF(L$3&lt;=$O$2,$D421,$D421-($D421-$I$400)*MIN(L$3-$O$2,$Q$2)/$Q$2))</f>
        <v>3590.77132560904</v>
      </c>
      <c r="M421" s="15" t="n">
        <f aca="false">L421*(1+IF(M$3&lt;=$O$2,$D421,$D421-($D421-$I$400)*MIN(M$3-$O$2,$Q$2)/$Q$2))</f>
        <v>3696.50310883273</v>
      </c>
      <c r="N421" s="15" t="n">
        <f aca="false">M421*(1+IF(N$3&lt;=$O$2,$D421,$D421-($D421-$I$400)*MIN(N$3-$O$2,$Q$2)/$Q$2))</f>
        <v>3819.59666235686</v>
      </c>
      <c r="O421" s="15" t="n">
        <f aca="false">SUMPRODUCT(E421:N421,1/(1+$F$400)^$E$3:$N$3)*$E$2</f>
        <v>10275.6189953798</v>
      </c>
      <c r="P421" s="15" t="n">
        <f aca="false">N421*$E$2*(1+$I$400)/($F$400-$I$400)/(1+$F$400)^$N$3</f>
        <v>16782.1275773304</v>
      </c>
      <c r="Q421" s="15" t="n">
        <f aca="false">O421+P421</f>
        <v>27057.7465727101</v>
      </c>
      <c r="R421" s="15" t="n">
        <f aca="false">Q421-$G$2+$I$2</f>
        <v>22989.9465727101</v>
      </c>
      <c r="S421" s="42" t="n">
        <f aca="false">R421/$K$2</f>
        <v>176.628354123465</v>
      </c>
      <c r="T421" s="43" t="n">
        <f aca="false">S421-$M$2</f>
        <v>-0.00041047395404803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0.0140271186828613</v>
      </c>
      <c r="C422" s="25" t="n">
        <f aca="false">IF(T421&gt;0,D421,C421)</f>
        <v>0.0140285491943359</v>
      </c>
      <c r="D422" s="41" t="n">
        <f aca="false">(B422+C422)/2</f>
        <v>0.0140278339385986</v>
      </c>
      <c r="E422" s="15" t="n">
        <f aca="false">$C$2*(1+IF(E$3&lt;=$O$2,$D422,$D422-($D422-$I$400)*MIN(E$3-$O$2,$Q$2)/$Q$2))</f>
        <v>3184.0473985672</v>
      </c>
      <c r="F422" s="15" t="n">
        <f aca="false">E422*(1+IF(F$3&lt;=$O$2,$D422,$D422-($D422-$I$400)*MIN(F$3-$O$2,$Q$2)/$Q$2))</f>
        <v>3228.71268672693</v>
      </c>
      <c r="G422" s="15" t="n">
        <f aca="false">F422*(1+IF(G$3&lt;=$O$2,$D422,$D422-($D422-$I$400)*MIN(G$3-$O$2,$Q$2)/$Q$2))</f>
        <v>3274.00453213178</v>
      </c>
      <c r="H422" s="15" t="n">
        <f aca="false">G422*(1+IF(H$3&lt;=$O$2,$D422,$D422-($D422-$I$400)*MIN(H$3-$O$2,$Q$2)/$Q$2))</f>
        <v>3319.93172402274</v>
      </c>
      <c r="I422" s="15" t="n">
        <f aca="false">H422*(1+IF(I$3&lt;=$O$2,$D422,$D422-($D422-$I$400)*MIN(I$3-$O$2,$Q$2)/$Q$2))</f>
        <v>3366.50317493482</v>
      </c>
      <c r="J422" s="15" t="n">
        <f aca="false">I422*(1+IF(J$3&lt;=$O$2,$D422,$D422-($D422-$I$400)*MIN(J$3-$O$2,$Q$2)/$Q$2))</f>
        <v>3426.70388407329</v>
      </c>
      <c r="K422" s="15" t="n">
        <f aca="false">J422*(1+IF(K$3&lt;=$O$2,$D422,$D422-($D422-$I$400)*MIN(K$3-$O$2,$Q$2)/$Q$2))</f>
        <v>3501.18911963466</v>
      </c>
      <c r="L422" s="15" t="n">
        <f aca="false">K422*(1+IF(L$3&lt;=$O$2,$D422,$D422-($D422-$I$400)*MIN(L$3-$O$2,$Q$2)/$Q$2))</f>
        <v>3590.78851806811</v>
      </c>
      <c r="M422" s="15" t="n">
        <f aca="false">L422*(1+IF(M$3&lt;=$O$2,$D422,$D422-($D422-$I$400)*MIN(M$3-$O$2,$Q$2)/$Q$2))</f>
        <v>3696.52132119746</v>
      </c>
      <c r="N422" s="15" t="n">
        <f aca="false">M422*(1+IF(N$3&lt;=$O$2,$D422,$D422-($D422-$I$400)*MIN(N$3-$O$2,$Q$2)/$Q$2))</f>
        <v>3819.61548119333</v>
      </c>
      <c r="O422" s="15" t="n">
        <f aca="false">SUMPRODUCT(E422:N422,1/(1+$F$400)^$E$3:$N$3)*$E$2</f>
        <v>10275.6511799339</v>
      </c>
      <c r="P422" s="15" t="n">
        <f aca="false">N422*$E$2*(1+$I$400)/($F$400-$I$400)/(1+$F$400)^$N$3</f>
        <v>16782.2102614833</v>
      </c>
      <c r="Q422" s="15" t="n">
        <f aca="false">O422+P422</f>
        <v>27057.8614414172</v>
      </c>
      <c r="R422" s="15" t="n">
        <f aca="false">Q422-$G$2+$I$2</f>
        <v>22990.0614414172</v>
      </c>
      <c r="S422" s="42" t="n">
        <f aca="false">R422/$K$2</f>
        <v>176.629236642726</v>
      </c>
      <c r="T422" s="43" t="n">
        <f aca="false">S422-$M$2</f>
        <v>0.000472045307162716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0.0140271186828613</v>
      </c>
      <c r="C423" s="25" t="n">
        <f aca="false">IF(T422&gt;0,D422,C422)</f>
        <v>0.0140278339385986</v>
      </c>
      <c r="D423" s="41" t="n">
        <f aca="false">(B423+C423)/2</f>
        <v>0.01402747631073</v>
      </c>
      <c r="E423" s="15" t="n">
        <f aca="false">$C$2*(1+IF(E$3&lt;=$O$2,$D423,$D423-($D423-$I$400)*MIN(E$3-$O$2,$Q$2)/$Q$2))</f>
        <v>3184.04627561569</v>
      </c>
      <c r="F423" s="15" t="n">
        <f aca="false">E423*(1+IF(F$3&lt;=$O$2,$D423,$D423-($D423-$I$400)*MIN(F$3-$O$2,$Q$2)/$Q$2))</f>
        <v>3228.71040931916</v>
      </c>
      <c r="G423" s="15" t="n">
        <f aca="false">F423*(1+IF(G$3&lt;=$O$2,$D423,$D423-($D423-$I$400)*MIN(G$3-$O$2,$Q$2)/$Q$2))</f>
        <v>3274.00106810009</v>
      </c>
      <c r="H423" s="15" t="n">
        <f aca="false">G423*(1+IF(H$3&lt;=$O$2,$D423,$D423-($D423-$I$400)*MIN(H$3-$O$2,$Q$2)/$Q$2))</f>
        <v>3319.92704052417</v>
      </c>
      <c r="I423" s="15" t="n">
        <f aca="false">H423*(1+IF(I$3&lt;=$O$2,$D423,$D423-($D423-$I$400)*MIN(I$3-$O$2,$Q$2)/$Q$2))</f>
        <v>3366.49723843847</v>
      </c>
      <c r="J423" s="15" t="n">
        <f aca="false">I423*(1+IF(J$3&lt;=$O$2,$D423,$D423-($D423-$I$400)*MIN(J$3-$O$2,$Q$2)/$Q$2))</f>
        <v>3426.69687825634</v>
      </c>
      <c r="K423" s="15" t="n">
        <f aca="false">J423*(1+IF(K$3&lt;=$O$2,$D423,$D423-($D423-$I$400)*MIN(K$3-$O$2,$Q$2)/$Q$2))</f>
        <v>3501.18122624499</v>
      </c>
      <c r="L423" s="15" t="n">
        <f aca="false">K423*(1+IF(L$3&lt;=$O$2,$D423,$D423-($D423-$I$400)*MIN(L$3-$O$2,$Q$2)/$Q$2))</f>
        <v>3590.77992182966</v>
      </c>
      <c r="M423" s="15" t="n">
        <f aca="false">L423*(1+IF(M$3&lt;=$O$2,$D423,$D423-($D423-$I$400)*MIN(M$3-$O$2,$Q$2)/$Q$2))</f>
        <v>3696.5122150053</v>
      </c>
      <c r="N423" s="15" t="n">
        <f aca="false">M423*(1+IF(N$3&lt;=$O$2,$D423,$D423-($D423-$I$400)*MIN(N$3-$O$2,$Q$2)/$Q$2))</f>
        <v>3819.60607176498</v>
      </c>
      <c r="O423" s="15" t="n">
        <f aca="false">SUMPRODUCT(E423:N423,1/(1+$F$400)^$E$3:$N$3)*$E$2</f>
        <v>10275.635087644</v>
      </c>
      <c r="P423" s="15" t="n">
        <f aca="false">N423*$E$2*(1+$I$400)/($F$400-$I$400)/(1+$F$400)^$N$3</f>
        <v>16782.1689193624</v>
      </c>
      <c r="Q423" s="15" t="n">
        <f aca="false">O423+P423</f>
        <v>27057.8040070064</v>
      </c>
      <c r="R423" s="15" t="n">
        <f aca="false">Q423-$G$2+$I$2</f>
        <v>22990.0040070064</v>
      </c>
      <c r="S423" s="42" t="n">
        <f aca="false">R423/$K$2</f>
        <v>176.628795382655</v>
      </c>
      <c r="T423" s="43" t="n">
        <f aca="false">S423-$M$2</f>
        <v>3.0785236333486E-005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0.0140271186828613</v>
      </c>
      <c r="C424" s="25" t="n">
        <f aca="false">IF(T423&gt;0,D423,C423)</f>
        <v>0.01402747631073</v>
      </c>
      <c r="D424" s="41" t="n">
        <f aca="false">(B424+C424)/2</f>
        <v>0.0140272974967957</v>
      </c>
      <c r="E424" s="15" t="n">
        <f aca="false">$C$2*(1+IF(E$3&lt;=$O$2,$D424,$D424-($D424-$I$400)*MIN(E$3-$O$2,$Q$2)/$Q$2))</f>
        <v>3184.04571413994</v>
      </c>
      <c r="F424" s="15" t="n">
        <f aca="false">E424*(1+IF(F$3&lt;=$O$2,$D424,$D424-($D424-$I$400)*MIN(F$3-$O$2,$Q$2)/$Q$2))</f>
        <v>3228.70927061558</v>
      </c>
      <c r="G424" s="15" t="n">
        <f aca="false">F424*(1+IF(G$3&lt;=$O$2,$D424,$D424-($D424-$I$400)*MIN(G$3-$O$2,$Q$2)/$Q$2))</f>
        <v>3273.99933608516</v>
      </c>
      <c r="H424" s="15" t="n">
        <f aca="false">G424*(1+IF(H$3&lt;=$O$2,$D424,$D424-($D424-$I$400)*MIN(H$3-$O$2,$Q$2)/$Q$2))</f>
        <v>3319.92469877674</v>
      </c>
      <c r="I424" s="15" t="n">
        <f aca="false">H424*(1+IF(I$3&lt;=$O$2,$D424,$D424-($D424-$I$400)*MIN(I$3-$O$2,$Q$2)/$Q$2))</f>
        <v>3366.49427019344</v>
      </c>
      <c r="J424" s="15" t="n">
        <f aca="false">I424*(1+IF(J$3&lt;=$O$2,$D424,$D424-($D424-$I$400)*MIN(J$3-$O$2,$Q$2)/$Q$2))</f>
        <v>3426.69337535234</v>
      </c>
      <c r="K424" s="15" t="n">
        <f aca="false">J424*(1+IF(K$3&lt;=$O$2,$D424,$D424-($D424-$I$400)*MIN(K$3-$O$2,$Q$2)/$Q$2))</f>
        <v>3501.17727955585</v>
      </c>
      <c r="L424" s="15" t="n">
        <f aca="false">K424*(1+IF(L$3&lt;=$O$2,$D424,$D424-($D424-$I$400)*MIN(L$3-$O$2,$Q$2)/$Q$2))</f>
        <v>3590.77562371712</v>
      </c>
      <c r="M424" s="15" t="n">
        <f aca="false">L424*(1+IF(M$3&lt;=$O$2,$D424,$D424-($D424-$I$400)*MIN(M$3-$O$2,$Q$2)/$Q$2))</f>
        <v>3696.50766191657</v>
      </c>
      <c r="N424" s="15" t="n">
        <f aca="false">M424*(1+IF(N$3&lt;=$O$2,$D424,$D424-($D424-$I$400)*MIN(N$3-$O$2,$Q$2)/$Q$2))</f>
        <v>3819.60136705839</v>
      </c>
      <c r="O424" s="15" t="n">
        <f aca="false">SUMPRODUCT(E424:N424,1/(1+$F$400)^$E$3:$N$3)*$E$2</f>
        <v>10275.6270415087</v>
      </c>
      <c r="P424" s="15" t="n">
        <f aca="false">N424*$E$2*(1+$I$400)/($F$400-$I$400)/(1+$F$400)^$N$3</f>
        <v>16782.1482483353</v>
      </c>
      <c r="Q424" s="15" t="n">
        <f aca="false">O424+P424</f>
        <v>27057.7752898439</v>
      </c>
      <c r="R424" s="15" t="n">
        <f aca="false">Q424-$G$2+$I$2</f>
        <v>22989.9752898439</v>
      </c>
      <c r="S424" s="42" t="n">
        <f aca="false">R424/$K$2</f>
        <v>176.62857475295</v>
      </c>
      <c r="T424" s="43" t="n">
        <f aca="false">S424-$M$2</f>
        <v>-0.000189844468906131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0.0140272974967957</v>
      </c>
      <c r="C425" s="25" t="n">
        <f aca="false">IF(T424&gt;0,D424,C424)</f>
        <v>0.01402747631073</v>
      </c>
      <c r="D425" s="41" t="n">
        <f aca="false">(B425+C425)/2</f>
        <v>0.0140273869037628</v>
      </c>
      <c r="E425" s="15" t="n">
        <f aca="false">$C$2*(1+IF(E$3&lt;=$O$2,$D425,$D425-($D425-$I$400)*MIN(E$3-$O$2,$Q$2)/$Q$2))</f>
        <v>3184.04599487782</v>
      </c>
      <c r="F425" s="15" t="n">
        <f aca="false">E425*(1+IF(F$3&lt;=$O$2,$D425,$D425-($D425-$I$400)*MIN(F$3-$O$2,$Q$2)/$Q$2))</f>
        <v>3228.70983996734</v>
      </c>
      <c r="G425" s="15" t="n">
        <f aca="false">F425*(1+IF(G$3&lt;=$O$2,$D425,$D425-($D425-$I$400)*MIN(G$3-$O$2,$Q$2)/$Q$2))</f>
        <v>3274.00020209255</v>
      </c>
      <c r="H425" s="15" t="n">
        <f aca="false">G425*(1+IF(H$3&lt;=$O$2,$D425,$D425-($D425-$I$400)*MIN(H$3-$O$2,$Q$2)/$Q$2))</f>
        <v>3319.9258696503</v>
      </c>
      <c r="I425" s="15" t="n">
        <f aca="false">H425*(1+IF(I$3&lt;=$O$2,$D425,$D425-($D425-$I$400)*MIN(I$3-$O$2,$Q$2)/$Q$2))</f>
        <v>3366.4957543157</v>
      </c>
      <c r="J425" s="15" t="n">
        <f aca="false">I425*(1+IF(J$3&lt;=$O$2,$D425,$D425-($D425-$I$400)*MIN(J$3-$O$2,$Q$2)/$Q$2))</f>
        <v>3426.69512680397</v>
      </c>
      <c r="K425" s="15" t="n">
        <f aca="false">J425*(1+IF(K$3&lt;=$O$2,$D425,$D425-($D425-$I$400)*MIN(K$3-$O$2,$Q$2)/$Q$2))</f>
        <v>3501.17925289995</v>
      </c>
      <c r="L425" s="15" t="n">
        <f aca="false">K425*(1+IF(L$3&lt;=$O$2,$D425,$D425-($D425-$I$400)*MIN(L$3-$O$2,$Q$2)/$Q$2))</f>
        <v>3590.77777277283</v>
      </c>
      <c r="M425" s="15" t="n">
        <f aca="false">L425*(1+IF(M$3&lt;=$O$2,$D425,$D425-($D425-$I$400)*MIN(M$3-$O$2,$Q$2)/$Q$2))</f>
        <v>3696.50993846032</v>
      </c>
      <c r="N425" s="15" t="n">
        <f aca="false">M425*(1+IF(N$3&lt;=$O$2,$D425,$D425-($D425-$I$400)*MIN(N$3-$O$2,$Q$2)/$Q$2))</f>
        <v>3819.60371941105</v>
      </c>
      <c r="O425" s="15" t="n">
        <f aca="false">SUMPRODUCT(E425:N425,1/(1+$F$400)^$E$3:$N$3)*$E$2</f>
        <v>10275.6310645755</v>
      </c>
      <c r="P425" s="15" t="n">
        <f aca="false">N425*$E$2*(1+$I$400)/($F$400-$I$400)/(1+$F$400)^$N$3</f>
        <v>16782.158583846</v>
      </c>
      <c r="Q425" s="15" t="n">
        <f aca="false">O425+P425</f>
        <v>27057.7896484216</v>
      </c>
      <c r="R425" s="15" t="n">
        <f aca="false">Q425-$G$2+$I$2</f>
        <v>22989.9896484216</v>
      </c>
      <c r="S425" s="42" t="n">
        <f aca="false">R425/$K$2</f>
        <v>176.628685067775</v>
      </c>
      <c r="T425" s="43" t="n">
        <f aca="false">S425-$M$2</f>
        <v>-7.95296437274828E-005</v>
      </c>
    </row>
    <row r="427" customFormat="false" ht="15" hidden="false" customHeight="false" outlineLevel="0" collapsed="false">
      <c r="A427" s="38" t="s">
        <v>189</v>
      </c>
      <c r="E427" s="5" t="s">
        <v>11</v>
      </c>
      <c r="F427" s="12" t="n">
        <f aca="false">Sensitivity!$B$12</f>
        <v>0.0819413943493295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155</v>
      </c>
      <c r="B428" s="28" t="s">
        <v>156</v>
      </c>
      <c r="C428" s="28" t="s">
        <v>157</v>
      </c>
      <c r="D428" s="28" t="s">
        <v>158</v>
      </c>
      <c r="E428" s="28" t="s">
        <v>159</v>
      </c>
      <c r="F428" s="28" t="s">
        <v>160</v>
      </c>
      <c r="G428" s="28" t="s">
        <v>161</v>
      </c>
      <c r="H428" s="28" t="s">
        <v>162</v>
      </c>
      <c r="I428" s="28" t="s">
        <v>163</v>
      </c>
      <c r="J428" s="28" t="s">
        <v>164</v>
      </c>
      <c r="K428" s="28" t="s">
        <v>165</v>
      </c>
      <c r="L428" s="28" t="s">
        <v>166</v>
      </c>
      <c r="M428" s="28" t="s">
        <v>167</v>
      </c>
      <c r="N428" s="28" t="s">
        <v>168</v>
      </c>
      <c r="O428" s="28" t="s">
        <v>169</v>
      </c>
      <c r="P428" s="28" t="s">
        <v>170</v>
      </c>
      <c r="Q428" s="28" t="s">
        <v>171</v>
      </c>
      <c r="R428" s="28" t="s">
        <v>172</v>
      </c>
      <c r="S428" s="28" t="s">
        <v>173</v>
      </c>
      <c r="T428" s="28" t="s">
        <v>174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3925</v>
      </c>
      <c r="F429" s="15" t="n">
        <f aca="false">E429*(1+IF(F$3&lt;=$O$2,$D429,$D429-($D429-$I$427)*MIN(F$3-$O$2,$Q$2)/$Q$2))</f>
        <v>4906.25</v>
      </c>
      <c r="G429" s="15" t="n">
        <f aca="false">F429*(1+IF(G$3&lt;=$O$2,$D429,$D429-($D429-$I$427)*MIN(G$3-$O$2,$Q$2)/$Q$2))</f>
        <v>6132.8125</v>
      </c>
      <c r="H429" s="15" t="n">
        <f aca="false">G429*(1+IF(H$3&lt;=$O$2,$D429,$D429-($D429-$I$427)*MIN(H$3-$O$2,$Q$2)/$Q$2))</f>
        <v>7666.015625</v>
      </c>
      <c r="I429" s="15" t="n">
        <f aca="false">H429*(1+IF(I$3&lt;=$O$2,$D429,$D429-($D429-$I$427)*MIN(I$3-$O$2,$Q$2)/$Q$2))</f>
        <v>9582.51953125</v>
      </c>
      <c r="J429" s="15" t="n">
        <f aca="false">I429*(1+IF(J$3&lt;=$O$2,$D429,$D429-($D429-$I$427)*MIN(J$3-$O$2,$Q$2)/$Q$2))</f>
        <v>11572.4255371094</v>
      </c>
      <c r="K429" s="15" t="n">
        <f aca="false">J429*(1+IF(K$3&lt;=$O$2,$D429,$D429-($D429-$I$427)*MIN(K$3-$O$2,$Q$2)/$Q$2))</f>
        <v>13485.5789269043</v>
      </c>
      <c r="L429" s="15" t="n">
        <f aca="false">K429*(1+IF(L$3&lt;=$O$2,$D429,$D429-($D429-$I$427)*MIN(L$3-$O$2,$Q$2)/$Q$2))</f>
        <v>15144.035423335</v>
      </c>
      <c r="M429" s="15" t="n">
        <f aca="false">L429*(1+IF(M$3&lt;=$O$2,$D429,$D429-($D429-$I$427)*MIN(M$3-$O$2,$Q$2)/$Q$2))</f>
        <v>16365.2504398727</v>
      </c>
      <c r="N429" s="15" t="n">
        <f aca="false">M429*(1+IF(N$3&lt;=$O$2,$D429,$D429-($D429-$I$427)*MIN(N$3-$O$2,$Q$2)/$Q$2))</f>
        <v>16992.0395317198</v>
      </c>
      <c r="O429" s="15" t="n">
        <f aca="false">SUMPRODUCT(E429:N429,1/(1+$F$427)^$E$3:$N$3)*$E$2</f>
        <v>28893.2214684339</v>
      </c>
      <c r="P429" s="15" t="n">
        <f aca="false">N429*$E$2*(1+$I$427)/($F$427-$I$427)/(1+$F$427)^$N$3</f>
        <v>83613.9702307585</v>
      </c>
      <c r="Q429" s="15" t="n">
        <f aca="false">O429+P429</f>
        <v>112507.191699192</v>
      </c>
      <c r="R429" s="15" t="n">
        <f aca="false">Q429-$G$2+$I$2</f>
        <v>108439.391699192</v>
      </c>
      <c r="S429" s="42" t="n">
        <f aca="false">R429/$K$2</f>
        <v>833.123783798344</v>
      </c>
      <c r="T429" s="43" t="n">
        <f aca="false">S429-$M$2</f>
        <v>656.495019200925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2747.5</v>
      </c>
      <c r="F430" s="15" t="n">
        <f aca="false">E430*(1+IF(F$3&lt;=$O$2,$D430,$D430-($D430-$I$427)*MIN(F$3-$O$2,$Q$2)/$Q$2))</f>
        <v>2404.0625</v>
      </c>
      <c r="G430" s="15" t="n">
        <f aca="false">F430*(1+IF(G$3&lt;=$O$2,$D430,$D430-($D430-$I$427)*MIN(G$3-$O$2,$Q$2)/$Q$2))</f>
        <v>2103.5546875</v>
      </c>
      <c r="H430" s="15" t="n">
        <f aca="false">G430*(1+IF(H$3&lt;=$O$2,$D430,$D430-($D430-$I$427)*MIN(H$3-$O$2,$Q$2)/$Q$2))</f>
        <v>1840.6103515625</v>
      </c>
      <c r="I430" s="15" t="n">
        <f aca="false">H430*(1+IF(I$3&lt;=$O$2,$D430,$D430-($D430-$I$427)*MIN(I$3-$O$2,$Q$2)/$Q$2))</f>
        <v>1610.53405761719</v>
      </c>
      <c r="J430" s="15" t="n">
        <f aca="false">I430*(1+IF(J$3&lt;=$O$2,$D430,$D430-($D430-$I$427)*MIN(J$3-$O$2,$Q$2)/$Q$2))</f>
        <v>1461.81734273682</v>
      </c>
      <c r="K430" s="15" t="n">
        <f aca="false">J430*(1+IF(K$3&lt;=$O$2,$D430,$D430-($D430-$I$427)*MIN(K$3-$O$2,$Q$2)/$Q$2))</f>
        <v>1374.57608372228</v>
      </c>
      <c r="L430" s="15" t="n">
        <f aca="false">K430*(1+IF(L$3&lt;=$O$2,$D430,$D430-($D430-$I$427)*MIN(L$3-$O$2,$Q$2)/$Q$2))</f>
        <v>1337.43503794011</v>
      </c>
      <c r="M430" s="15" t="n">
        <f aca="false">L430*(1+IF(M$3&lt;=$O$2,$D430,$D430-($D430-$I$427)*MIN(M$3-$O$2,$Q$2)/$Q$2))</f>
        <v>1344.97817155409</v>
      </c>
      <c r="N430" s="15" t="n">
        <f aca="false">M430*(1+IF(N$3&lt;=$O$2,$D430,$D430-($D430-$I$427)*MIN(N$3-$O$2,$Q$2)/$Q$2))</f>
        <v>1396.49083552461</v>
      </c>
      <c r="O430" s="15" t="n">
        <f aca="false">SUMPRODUCT(E430:N430,1/(1+$F$427)^$E$3:$N$3)*$E$2</f>
        <v>5635.68294045867</v>
      </c>
      <c r="P430" s="15" t="n">
        <f aca="false">N430*$E$2*(1+$I$427)/($F$427-$I$427)/(1+$F$427)^$N$3</f>
        <v>6871.81447118864</v>
      </c>
      <c r="Q430" s="15" t="n">
        <f aca="false">O430+P430</f>
        <v>12507.4974116473</v>
      </c>
      <c r="R430" s="15" t="n">
        <f aca="false">Q430-$G$2+$I$2</f>
        <v>8439.69741164732</v>
      </c>
      <c r="S430" s="42" t="n">
        <f aca="false">R430/$K$2</f>
        <v>64.8409450802652</v>
      </c>
      <c r="T430" s="43" t="n">
        <f aca="false">S430-$M$2</f>
        <v>-111.787819517153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3336.25</v>
      </c>
      <c r="F431" s="15" t="n">
        <f aca="false">E431*(1+IF(F$3&lt;=$O$2,$D431,$D431-($D431-$I$427)*MIN(F$3-$O$2,$Q$2)/$Q$2))</f>
        <v>3544.765625</v>
      </c>
      <c r="G431" s="15" t="n">
        <f aca="false">F431*(1+IF(G$3&lt;=$O$2,$D431,$D431-($D431-$I$427)*MIN(G$3-$O$2,$Q$2)/$Q$2))</f>
        <v>3766.3134765625</v>
      </c>
      <c r="H431" s="15" t="n">
        <f aca="false">G431*(1+IF(H$3&lt;=$O$2,$D431,$D431-($D431-$I$427)*MIN(H$3-$O$2,$Q$2)/$Q$2))</f>
        <v>4001.70806884766</v>
      </c>
      <c r="I431" s="15" t="n">
        <f aca="false">H431*(1+IF(I$3&lt;=$O$2,$D431,$D431-($D431-$I$427)*MIN(I$3-$O$2,$Q$2)/$Q$2))</f>
        <v>4251.81482315064</v>
      </c>
      <c r="J431" s="15" t="n">
        <f aca="false">I431*(1+IF(J$3&lt;=$O$2,$D431,$D431-($D431-$I$427)*MIN(J$3-$O$2,$Q$2)/$Q$2))</f>
        <v>4496.9744658535</v>
      </c>
      <c r="K431" s="15" t="n">
        <f aca="false">J431*(1+IF(K$3&lt;=$O$2,$D431,$D431-($D431-$I$427)*MIN(K$3-$O$2,$Q$2)/$Q$2))</f>
        <v>4734.50465713988</v>
      </c>
      <c r="L431" s="15" t="n">
        <f aca="false">K431*(1+IF(L$3&lt;=$O$2,$D431,$D431-($D431-$I$427)*MIN(L$3-$O$2,$Q$2)/$Q$2))</f>
        <v>4961.66619058945</v>
      </c>
      <c r="M431" s="15" t="n">
        <f aca="false">L431*(1+IF(M$3&lt;=$O$2,$D431,$D431-($D431-$I$427)*MIN(M$3-$O$2,$Q$2)/$Q$2))</f>
        <v>5175.71247005148</v>
      </c>
      <c r="N431" s="15" t="n">
        <f aca="false">M431*(1+IF(N$3&lt;=$O$2,$D431,$D431-($D431-$I$427)*MIN(N$3-$O$2,$Q$2)/$Q$2))</f>
        <v>5373.94225765446</v>
      </c>
      <c r="O431" s="15" t="n">
        <f aca="false">SUMPRODUCT(E431:N431,1/(1+$F$427)^$E$3:$N$3)*$E$2</f>
        <v>12747.5157553335</v>
      </c>
      <c r="P431" s="15" t="n">
        <f aca="false">N431*$E$2*(1+$I$427)/($F$427-$I$427)/(1+$F$427)^$N$3</f>
        <v>26443.95024591</v>
      </c>
      <c r="Q431" s="15" t="n">
        <f aca="false">O431+P431</f>
        <v>39191.4660012435</v>
      </c>
      <c r="R431" s="15" t="n">
        <f aca="false">Q431-$G$2+$I$2</f>
        <v>35123.6660012435</v>
      </c>
      <c r="S431" s="42" t="n">
        <f aca="false">R431/$K$2</f>
        <v>269.849923181035</v>
      </c>
      <c r="T431" s="43" t="n">
        <f aca="false">S431-$M$2</f>
        <v>93.221158583616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3041.875</v>
      </c>
      <c r="F432" s="15" t="n">
        <f aca="false">E432*(1+IF(F$3&lt;=$O$2,$D432,$D432-($D432-$I$427)*MIN(F$3-$O$2,$Q$2)/$Q$2))</f>
        <v>2946.81640625</v>
      </c>
      <c r="G432" s="15" t="n">
        <f aca="false">F432*(1+IF(G$3&lt;=$O$2,$D432,$D432-($D432-$I$427)*MIN(G$3-$O$2,$Q$2)/$Q$2))</f>
        <v>2854.72839355469</v>
      </c>
      <c r="H432" s="15" t="n">
        <f aca="false">G432*(1+IF(H$3&lt;=$O$2,$D432,$D432-($D432-$I$427)*MIN(H$3-$O$2,$Q$2)/$Q$2))</f>
        <v>2765.5181312561</v>
      </c>
      <c r="I432" s="15" t="n">
        <f aca="false">H432*(1+IF(I$3&lt;=$O$2,$D432,$D432-($D432-$I$427)*MIN(I$3-$O$2,$Q$2)/$Q$2))</f>
        <v>2679.09568965435</v>
      </c>
      <c r="J432" s="15" t="n">
        <f aca="false">I432*(1+IF(J$3&lt;=$O$2,$D432,$D432-($D432-$I$427)*MIN(J$3-$O$2,$Q$2)/$Q$2))</f>
        <v>2632.64017039574</v>
      </c>
      <c r="K432" s="15" t="n">
        <f aca="false">J432*(1+IF(K$3&lt;=$O$2,$D432,$D432-($D432-$I$427)*MIN(K$3-$O$2,$Q$2)/$Q$2))</f>
        <v>2623.61021461129</v>
      </c>
      <c r="L432" s="15" t="n">
        <f aca="false">K432*(1+IF(L$3&lt;=$O$2,$D432,$D432-($D432-$I$427)*MIN(L$3-$O$2,$Q$2)/$Q$2))</f>
        <v>2651.10564966041</v>
      </c>
      <c r="M432" s="15" t="n">
        <f aca="false">L432*(1+IF(M$3&lt;=$O$2,$D432,$D432-($D432-$I$427)*MIN(M$3-$O$2,$Q$2)/$Q$2))</f>
        <v>2715.76611645563</v>
      </c>
      <c r="N432" s="15" t="n">
        <f aca="false">M432*(1+IF(N$3&lt;=$O$2,$D432,$D432-($D432-$I$427)*MIN(N$3-$O$2,$Q$2)/$Q$2))</f>
        <v>2819.77995871588</v>
      </c>
      <c r="O432" s="15" t="n">
        <f aca="false">SUMPRODUCT(E432:N432,1/(1+$F$427)^$E$3:$N$3)*$E$2</f>
        <v>8452.5079663621</v>
      </c>
      <c r="P432" s="15" t="n">
        <f aca="false">N432*$E$2*(1+$I$427)/($F$427-$I$427)/(1+$F$427)^$N$3</f>
        <v>13875.4972341743</v>
      </c>
      <c r="Q432" s="15" t="n">
        <f aca="false">O432+P432</f>
        <v>22328.0052005364</v>
      </c>
      <c r="R432" s="15" t="n">
        <f aca="false">Q432-$G$2+$I$2</f>
        <v>18260.2052005364</v>
      </c>
      <c r="S432" s="42" t="n">
        <f aca="false">R432/$K$2</f>
        <v>140.290451755811</v>
      </c>
      <c r="T432" s="43" t="n">
        <f aca="false">S432-$M$2</f>
        <v>-36.3383128416073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3189.0625</v>
      </c>
      <c r="F433" s="15" t="n">
        <f aca="false">E433*(1+IF(F$3&lt;=$O$2,$D433,$D433-($D433-$I$427)*MIN(F$3-$O$2,$Q$2)/$Q$2))</f>
        <v>3238.8916015625</v>
      </c>
      <c r="G433" s="15" t="n">
        <f aca="false">F433*(1+IF(G$3&lt;=$O$2,$D433,$D433-($D433-$I$427)*MIN(G$3-$O$2,$Q$2)/$Q$2))</f>
        <v>3289.49928283691</v>
      </c>
      <c r="H433" s="15" t="n">
        <f aca="false">G433*(1+IF(H$3&lt;=$O$2,$D433,$D433-($D433-$I$427)*MIN(H$3-$O$2,$Q$2)/$Q$2))</f>
        <v>3340.89770913124</v>
      </c>
      <c r="I433" s="15" t="n">
        <f aca="false">H433*(1+IF(I$3&lt;=$O$2,$D433,$D433-($D433-$I$427)*MIN(I$3-$O$2,$Q$2)/$Q$2))</f>
        <v>3393.09923583642</v>
      </c>
      <c r="J433" s="15" t="n">
        <f aca="false">I433*(1+IF(J$3&lt;=$O$2,$D433,$D433-($D433-$I$427)*MIN(J$3-$O$2,$Q$2)/$Q$2))</f>
        <v>3461.50411643088</v>
      </c>
      <c r="K433" s="15" t="n">
        <f aca="false">J433*(1+IF(K$3&lt;=$O$2,$D433,$D433-($D433-$I$427)*MIN(K$3-$O$2,$Q$2)/$Q$2))</f>
        <v>3546.98596058614</v>
      </c>
      <c r="L433" s="15" t="n">
        <f aca="false">K433*(1+IF(L$3&lt;=$O$2,$D433,$D433-($D433-$I$427)*MIN(L$3-$O$2,$Q$2)/$Q$2))</f>
        <v>3650.66436021407</v>
      </c>
      <c r="M433" s="15" t="n">
        <f aca="false">L433*(1+IF(M$3&lt;=$O$2,$D433,$D433-($D433-$I$427)*MIN(M$3-$O$2,$Q$2)/$Q$2))</f>
        <v>3773.9290423367</v>
      </c>
      <c r="N433" s="15" t="n">
        <f aca="false">M433*(1+IF(N$3&lt;=$O$2,$D433,$D433-($D433-$I$427)*MIN(N$3-$O$2,$Q$2)/$Q$2))</f>
        <v>3918.4705246582</v>
      </c>
      <c r="O433" s="15" t="n">
        <f aca="false">SUMPRODUCT(E433:N433,1/(1+$F$427)^$E$3:$N$3)*$E$2</f>
        <v>10376.5087175506</v>
      </c>
      <c r="P433" s="15" t="n">
        <f aca="false">N433*$E$2*(1+$I$427)/($F$427-$I$427)/(1+$F$427)^$N$3</f>
        <v>19281.9041638443</v>
      </c>
      <c r="Q433" s="15" t="n">
        <f aca="false">O433+P433</f>
        <v>29658.4128813949</v>
      </c>
      <c r="R433" s="15" t="n">
        <f aca="false">Q433-$G$2+$I$2</f>
        <v>25590.6128813949</v>
      </c>
      <c r="S433" s="42" t="n">
        <f aca="false">R433/$K$2</f>
        <v>196.608888148393</v>
      </c>
      <c r="T433" s="43" t="n">
        <f aca="false">S433-$M$2</f>
        <v>19.9801235509746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-0.03125</v>
      </c>
      <c r="C434" s="25" t="n">
        <f aca="false">IF(T433&gt;0,D433,C433)</f>
        <v>0.015625</v>
      </c>
      <c r="D434" s="41" t="n">
        <f aca="false">(B434+C434)/2</f>
        <v>-0.0078125</v>
      </c>
      <c r="E434" s="15" t="n">
        <f aca="false">$C$2*(1+IF(E$3&lt;=$O$2,$D434,$D434-($D434-$I$427)*MIN(E$3-$O$2,$Q$2)/$Q$2))</f>
        <v>3115.46875</v>
      </c>
      <c r="F434" s="15" t="n">
        <f aca="false">E434*(1+IF(F$3&lt;=$O$2,$D434,$D434-($D434-$I$427)*MIN(F$3-$O$2,$Q$2)/$Q$2))</f>
        <v>3091.12915039063</v>
      </c>
      <c r="G434" s="15" t="n">
        <f aca="false">F434*(1+IF(G$3&lt;=$O$2,$D434,$D434-($D434-$I$427)*MIN(G$3-$O$2,$Q$2)/$Q$2))</f>
        <v>3066.9797039032</v>
      </c>
      <c r="H434" s="15" t="n">
        <f aca="false">G434*(1+IF(H$3&lt;=$O$2,$D434,$D434-($D434-$I$427)*MIN(H$3-$O$2,$Q$2)/$Q$2))</f>
        <v>3043.01892496645</v>
      </c>
      <c r="I434" s="15" t="n">
        <f aca="false">H434*(1+IF(I$3&lt;=$O$2,$D434,$D434-($D434-$I$427)*MIN(I$3-$O$2,$Q$2)/$Q$2))</f>
        <v>3019.24533961515</v>
      </c>
      <c r="J434" s="15" t="n">
        <f aca="false">I434*(1+IF(J$3&lt;=$O$2,$D434,$D434-($D434-$I$427)*MIN(J$3-$O$2,$Q$2)/$Q$2))</f>
        <v>3023.50247554401</v>
      </c>
      <c r="K434" s="15" t="n">
        <f aca="false">J434*(1+IF(K$3&lt;=$O$2,$D434,$D434-($D434-$I$427)*MIN(K$3-$O$2,$Q$2)/$Q$2))</f>
        <v>3055.64986561523</v>
      </c>
      <c r="L434" s="15" t="n">
        <f aca="false">K434*(1+IF(L$3&lt;=$O$2,$D434,$D434-($D434-$I$427)*MIN(L$3-$O$2,$Q$2)/$Q$2))</f>
        <v>3116.31979369702</v>
      </c>
      <c r="M434" s="15" t="n">
        <f aca="false">L434*(1+IF(M$3&lt;=$O$2,$D434,$D434-($D434-$I$427)*MIN(M$3-$O$2,$Q$2)/$Q$2))</f>
        <v>3206.93458249825</v>
      </c>
      <c r="N434" s="15" t="n">
        <f aca="false">M434*(1+IF(N$3&lt;=$O$2,$D434,$D434-($D434-$I$427)*MIN(N$3-$O$2,$Q$2)/$Q$2))</f>
        <v>3329.76017700793</v>
      </c>
      <c r="O434" s="15" t="n">
        <f aca="false">SUMPRODUCT(E434:N434,1/(1+$F$427)^$E$3:$N$3)*$E$2</f>
        <v>9364.00682726894</v>
      </c>
      <c r="P434" s="15" t="n">
        <f aca="false">N434*$E$2*(1+$I$427)/($F$427-$I$427)/(1+$F$427)^$N$3</f>
        <v>16384.9941495356</v>
      </c>
      <c r="Q434" s="15" t="n">
        <f aca="false">O434+P434</f>
        <v>25749.0009768045</v>
      </c>
      <c r="R434" s="15" t="n">
        <f aca="false">Q434-$G$2+$I$2</f>
        <v>21681.2009768045</v>
      </c>
      <c r="S434" s="42" t="n">
        <f aca="false">R434/$K$2</f>
        <v>166.573455568566</v>
      </c>
      <c r="T434" s="43" t="n">
        <f aca="false">S434-$M$2</f>
        <v>-10.055309028853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-0.0078125</v>
      </c>
      <c r="C435" s="25" t="n">
        <f aca="false">IF(T434&gt;0,D434,C434)</f>
        <v>0.015625</v>
      </c>
      <c r="D435" s="41" t="n">
        <f aca="false">(B435+C435)/2</f>
        <v>0.00390625</v>
      </c>
      <c r="E435" s="15" t="n">
        <f aca="false">$C$2*(1+IF(E$3&lt;=$O$2,$D435,$D435-($D435-$I$427)*MIN(E$3-$O$2,$Q$2)/$Q$2))</f>
        <v>3152.265625</v>
      </c>
      <c r="F435" s="15" t="n">
        <f aca="false">E435*(1+IF(F$3&lt;=$O$2,$D435,$D435-($D435-$I$427)*MIN(F$3-$O$2,$Q$2)/$Q$2))</f>
        <v>3164.57916259766</v>
      </c>
      <c r="G435" s="15" t="n">
        <f aca="false">F435*(1+IF(G$3&lt;=$O$2,$D435,$D435-($D435-$I$427)*MIN(G$3-$O$2,$Q$2)/$Q$2))</f>
        <v>3176.94079995155</v>
      </c>
      <c r="H435" s="15" t="n">
        <f aca="false">G435*(1+IF(H$3&lt;=$O$2,$D435,$D435-($D435-$I$427)*MIN(H$3-$O$2,$Q$2)/$Q$2))</f>
        <v>3189.35072495136</v>
      </c>
      <c r="I435" s="15" t="n">
        <f aca="false">H435*(1+IF(I$3&lt;=$O$2,$D435,$D435-($D435-$I$427)*MIN(I$3-$O$2,$Q$2)/$Q$2))</f>
        <v>3201.80912622071</v>
      </c>
      <c r="J435" s="15" t="n">
        <f aca="false">I435*(1+IF(J$3&lt;=$O$2,$D435,$D435-($D435-$I$427)*MIN(J$3-$O$2,$Q$2)/$Q$2))</f>
        <v>3236.340637647</v>
      </c>
      <c r="K435" s="15" t="n">
        <f aca="false">J435*(1+IF(K$3&lt;=$O$2,$D435,$D435-($D435-$I$427)*MIN(K$3-$O$2,$Q$2)/$Q$2))</f>
        <v>3293.50654958523</v>
      </c>
      <c r="L435" s="15" t="n">
        <f aca="false">K435*(1+IF(L$3&lt;=$O$2,$D435,$D435-($D435-$I$427)*MIN(L$3-$O$2,$Q$2)/$Q$2))</f>
        <v>3374.33743407843</v>
      </c>
      <c r="M435" s="15" t="n">
        <f aca="false">L435*(1+IF(M$3&lt;=$O$2,$D435,$D435-($D435-$I$427)*MIN(M$3-$O$2,$Q$2)/$Q$2))</f>
        <v>3480.36333417897</v>
      </c>
      <c r="N435" s="15" t="n">
        <f aca="false">M435*(1+IF(N$3&lt;=$O$2,$D435,$D435-($D435-$I$427)*MIN(N$3-$O$2,$Q$2)/$Q$2))</f>
        <v>3613.66124987802</v>
      </c>
      <c r="O435" s="15" t="n">
        <f aca="false">SUMPRODUCT(E435:N435,1/(1+$F$427)^$E$3:$N$3)*$E$2</f>
        <v>9856.99659034139</v>
      </c>
      <c r="P435" s="15" t="n">
        <f aca="false">N435*$E$2*(1+$I$427)/($F$427-$I$427)/(1+$F$427)^$N$3</f>
        <v>17782.0068984246</v>
      </c>
      <c r="Q435" s="15" t="n">
        <f aca="false">O435+P435</f>
        <v>27639.003488766</v>
      </c>
      <c r="R435" s="15" t="n">
        <f aca="false">Q435-$G$2+$I$2</f>
        <v>23571.203488766</v>
      </c>
      <c r="S435" s="42" t="n">
        <f aca="false">R435/$K$2</f>
        <v>181.094064910618</v>
      </c>
      <c r="T435" s="43" t="n">
        <f aca="false">S435-$M$2</f>
        <v>4.46530031319927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-0.0078125</v>
      </c>
      <c r="C436" s="25" t="n">
        <f aca="false">IF(T435&gt;0,D435,C435)</f>
        <v>0.00390625</v>
      </c>
      <c r="D436" s="41" t="n">
        <f aca="false">(B436+C436)/2</f>
        <v>-0.001953125</v>
      </c>
      <c r="E436" s="15" t="n">
        <f aca="false">$C$2*(1+IF(E$3&lt;=$O$2,$D436,$D436-($D436-$I$427)*MIN(E$3-$O$2,$Q$2)/$Q$2))</f>
        <v>3133.8671875</v>
      </c>
      <c r="F436" s="15" t="n">
        <f aca="false">E436*(1+IF(F$3&lt;=$O$2,$D436,$D436-($D436-$I$427)*MIN(F$3-$O$2,$Q$2)/$Q$2))</f>
        <v>3127.74635314941</v>
      </c>
      <c r="G436" s="15" t="n">
        <f aca="false">F436*(1+IF(G$3&lt;=$O$2,$D436,$D436-($D436-$I$427)*MIN(G$3-$O$2,$Q$2)/$Q$2))</f>
        <v>3121.63747355342</v>
      </c>
      <c r="H436" s="15" t="n">
        <f aca="false">G436*(1+IF(H$3&lt;=$O$2,$D436,$D436-($D436-$I$427)*MIN(H$3-$O$2,$Q$2)/$Q$2))</f>
        <v>3115.54052536289</v>
      </c>
      <c r="I436" s="15" t="n">
        <f aca="false">H436*(1+IF(I$3&lt;=$O$2,$D436,$D436-($D436-$I$427)*MIN(I$3-$O$2,$Q$2)/$Q$2))</f>
        <v>3109.45548527429</v>
      </c>
      <c r="J436" s="15" t="n">
        <f aca="false">I436*(1+IF(J$3&lt;=$O$2,$D436,$D436-($D436-$I$427)*MIN(J$3-$O$2,$Q$2)/$Q$2))</f>
        <v>3128.41539009575</v>
      </c>
      <c r="K436" s="15" t="n">
        <f aca="false">J436*(1+IF(K$3&lt;=$O$2,$D436,$D436-($D436-$I$427)*MIN(K$3-$O$2,$Q$2)/$Q$2))</f>
        <v>3172.67660208674</v>
      </c>
      <c r="L436" s="15" t="n">
        <f aca="false">K436*(1+IF(L$3&lt;=$O$2,$D436,$D436-($D436-$I$427)*MIN(L$3-$O$2,$Q$2)/$Q$2))</f>
        <v>3243.10605680732</v>
      </c>
      <c r="M436" s="15" t="n">
        <f aca="false">L436*(1+IF(M$3&lt;=$O$2,$D436,$D436-($D436-$I$427)*MIN(M$3-$O$2,$Q$2)/$Q$2))</f>
        <v>3341.20798808445</v>
      </c>
      <c r="N436" s="15" t="n">
        <f aca="false">M436*(1+IF(N$3&lt;=$O$2,$D436,$D436-($D436-$I$427)*MIN(N$3-$O$2,$Q$2)/$Q$2))</f>
        <v>3469.17625402809</v>
      </c>
      <c r="O436" s="15" t="n">
        <f aca="false">SUMPRODUCT(E436:N436,1/(1+$F$427)^$E$3:$N$3)*$E$2</f>
        <v>9607.26804997833</v>
      </c>
      <c r="P436" s="15" t="n">
        <f aca="false">N436*$E$2*(1+$I$427)/($F$427-$I$427)/(1+$F$427)^$N$3</f>
        <v>17071.0290243892</v>
      </c>
      <c r="Q436" s="15" t="n">
        <f aca="false">O436+P436</f>
        <v>26678.2970743676</v>
      </c>
      <c r="R436" s="15" t="n">
        <f aca="false">Q436-$G$2+$I$2</f>
        <v>22610.4970743676</v>
      </c>
      <c r="S436" s="42" t="n">
        <f aca="false">R436/$K$2</f>
        <v>173.713099833801</v>
      </c>
      <c r="T436" s="43" t="n">
        <f aca="false">S436-$M$2</f>
        <v>-2.91566476361737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-0.001953125</v>
      </c>
      <c r="C437" s="25" t="n">
        <f aca="false">IF(T436&gt;0,D436,C436)</f>
        <v>0.00390625</v>
      </c>
      <c r="D437" s="41" t="n">
        <f aca="false">(B437+C437)/2</f>
        <v>0.0009765625</v>
      </c>
      <c r="E437" s="15" t="n">
        <f aca="false">$C$2*(1+IF(E$3&lt;=$O$2,$D437,$D437-($D437-$I$427)*MIN(E$3-$O$2,$Q$2)/$Q$2))</f>
        <v>3143.06640625</v>
      </c>
      <c r="F437" s="15" t="n">
        <f aca="false">E437*(1+IF(F$3&lt;=$O$2,$D437,$D437-($D437-$I$427)*MIN(F$3-$O$2,$Q$2)/$Q$2))</f>
        <v>3146.13580703735</v>
      </c>
      <c r="G437" s="15" t="n">
        <f aca="false">F437*(1+IF(G$3&lt;=$O$2,$D437,$D437-($D437-$I$427)*MIN(G$3-$O$2,$Q$2)/$Q$2))</f>
        <v>3149.20820528641</v>
      </c>
      <c r="H437" s="15" t="n">
        <f aca="false">G437*(1+IF(H$3&lt;=$O$2,$D437,$D437-($D437-$I$427)*MIN(H$3-$O$2,$Q$2)/$Q$2))</f>
        <v>3152.28360392439</v>
      </c>
      <c r="I437" s="15" t="n">
        <f aca="false">H437*(1+IF(I$3&lt;=$O$2,$D437,$D437-($D437-$I$427)*MIN(I$3-$O$2,$Q$2)/$Q$2))</f>
        <v>3155.36200588135</v>
      </c>
      <c r="J437" s="15" t="n">
        <f aca="false">I437*(1+IF(J$3&lt;=$O$2,$D437,$D437-($D437-$I$427)*MIN(J$3-$O$2,$Q$2)/$Q$2))</f>
        <v>3181.99720541349</v>
      </c>
      <c r="K437" s="15" t="n">
        <f aca="false">J437*(1+IF(K$3&lt;=$O$2,$D437,$D437-($D437-$I$427)*MIN(K$3-$O$2,$Q$2)/$Q$2))</f>
        <v>3232.60985408797</v>
      </c>
      <c r="L437" s="15" t="n">
        <f aca="false">K437*(1+IF(L$3&lt;=$O$2,$D437,$D437-($D437-$I$427)*MIN(L$3-$O$2,$Q$2)/$Q$2))</f>
        <v>3308.15796675917</v>
      </c>
      <c r="M437" s="15" t="n">
        <f aca="false">L437*(1+IF(M$3&lt;=$O$2,$D437,$D437-($D437-$I$427)*MIN(M$3-$O$2,$Q$2)/$Q$2))</f>
        <v>3410.16605146355</v>
      </c>
      <c r="N437" s="15" t="n">
        <f aca="false">M437*(1+IF(N$3&lt;=$O$2,$D437,$D437-($D437-$I$427)*MIN(N$3-$O$2,$Q$2)/$Q$2))</f>
        <v>3540.77541123461</v>
      </c>
      <c r="O437" s="15" t="n">
        <f aca="false">SUMPRODUCT(E437:N437,1/(1+$F$427)^$E$3:$N$3)*$E$2</f>
        <v>9731.31383861463</v>
      </c>
      <c r="P437" s="15" t="n">
        <f aca="false">N437*$E$2*(1+$I$427)/($F$427-$I$427)/(1+$F$427)^$N$3</f>
        <v>17423.3522277362</v>
      </c>
      <c r="Q437" s="15" t="n">
        <f aca="false">O437+P437</f>
        <v>27154.6660663508</v>
      </c>
      <c r="R437" s="15" t="n">
        <f aca="false">Q437-$G$2+$I$2</f>
        <v>23086.8660663508</v>
      </c>
      <c r="S437" s="42" t="n">
        <f aca="false">R437/$K$2</f>
        <v>177.372972236869</v>
      </c>
      <c r="T437" s="43" t="n">
        <f aca="false">S437-$M$2</f>
        <v>0.74420763944994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-0.001953125</v>
      </c>
      <c r="C438" s="25" t="n">
        <f aca="false">IF(T437&gt;0,D437,C437)</f>
        <v>0.0009765625</v>
      </c>
      <c r="D438" s="41" t="n">
        <f aca="false">(B438+C438)/2</f>
        <v>-0.00048828125</v>
      </c>
      <c r="E438" s="15" t="n">
        <f aca="false">$C$2*(1+IF(E$3&lt;=$O$2,$D438,$D438-($D438-$I$427)*MIN(E$3-$O$2,$Q$2)/$Q$2))</f>
        <v>3138.466796875</v>
      </c>
      <c r="F438" s="15" t="n">
        <f aca="false">E438*(1+IF(F$3&lt;=$O$2,$D438,$D438-($D438-$I$427)*MIN(F$3-$O$2,$Q$2)/$Q$2))</f>
        <v>3136.93434238434</v>
      </c>
      <c r="G438" s="15" t="n">
        <f aca="false">F438*(1+IF(G$3&lt;=$O$2,$D438,$D438-($D438-$I$427)*MIN(G$3-$O$2,$Q$2)/$Q$2))</f>
        <v>3135.40263616247</v>
      </c>
      <c r="H438" s="15" t="n">
        <f aca="false">G438*(1+IF(H$3&lt;=$O$2,$D438,$D438-($D438-$I$427)*MIN(H$3-$O$2,$Q$2)/$Q$2))</f>
        <v>3133.87167784403</v>
      </c>
      <c r="I438" s="15" t="n">
        <f aca="false">H438*(1+IF(I$3&lt;=$O$2,$D438,$D438-($D438-$I$427)*MIN(I$3-$O$2,$Q$2)/$Q$2))</f>
        <v>3132.34146706384</v>
      </c>
      <c r="J438" s="15" t="n">
        <f aca="false">I438*(1+IF(J$3&lt;=$O$2,$D438,$D438-($D438-$I$427)*MIN(J$3-$O$2,$Q$2)/$Q$2))</f>
        <v>3155.11163181597</v>
      </c>
      <c r="K438" s="15" t="n">
        <f aca="false">J438*(1+IF(K$3&lt;=$O$2,$D438,$D438-($D438-$I$427)*MIN(K$3-$O$2,$Q$2)/$Q$2))</f>
        <v>3202.52359290451</v>
      </c>
      <c r="L438" s="15" t="n">
        <f aca="false">K438*(1+IF(L$3&lt;=$O$2,$D438,$D438-($D438-$I$427)*MIN(L$3-$O$2,$Q$2)/$Q$2))</f>
        <v>3275.49209218022</v>
      </c>
      <c r="M438" s="15" t="n">
        <f aca="false">L438*(1+IF(M$3&lt;=$O$2,$D438,$D438-($D438-$I$427)*MIN(M$3-$O$2,$Q$2)/$Q$2))</f>
        <v>3375.53329760999</v>
      </c>
      <c r="N438" s="15" t="n">
        <f aca="false">M438*(1+IF(N$3&lt;=$O$2,$D438,$D438-($D438-$I$427)*MIN(N$3-$O$2,$Q$2)/$Q$2))</f>
        <v>3504.81622290845</v>
      </c>
      <c r="O438" s="15" t="n">
        <f aca="false">SUMPRODUCT(E438:N438,1/(1+$F$427)^$E$3:$N$3)*$E$2</f>
        <v>9669.08759078981</v>
      </c>
      <c r="P438" s="15" t="n">
        <f aca="false">N438*$E$2*(1+$I$427)/($F$427-$I$427)/(1+$F$427)^$N$3</f>
        <v>17246.4052228394</v>
      </c>
      <c r="Q438" s="15" t="n">
        <f aca="false">O438+P438</f>
        <v>26915.4928136292</v>
      </c>
      <c r="R438" s="15" t="n">
        <f aca="false">Q438-$G$2+$I$2</f>
        <v>22847.6928136292</v>
      </c>
      <c r="S438" s="42" t="n">
        <f aca="false">R438/$K$2</f>
        <v>175.535439563838</v>
      </c>
      <c r="T438" s="43" t="n">
        <f aca="false">S438-$M$2</f>
        <v>-1.09332503358013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-0.00048828125</v>
      </c>
      <c r="C439" s="25" t="n">
        <f aca="false">IF(T438&gt;0,D438,C438)</f>
        <v>0.0009765625</v>
      </c>
      <c r="D439" s="41" t="n">
        <f aca="false">(B439+C439)/2</f>
        <v>0.000244140625</v>
      </c>
      <c r="E439" s="15" t="n">
        <f aca="false">$C$2*(1+IF(E$3&lt;=$O$2,$D439,$D439-($D439-$I$427)*MIN(E$3-$O$2,$Q$2)/$Q$2))</f>
        <v>3140.7666015625</v>
      </c>
      <c r="F439" s="15" t="n">
        <f aca="false">E439*(1+IF(F$3&lt;=$O$2,$D439,$D439-($D439-$I$427)*MIN(F$3-$O$2,$Q$2)/$Q$2))</f>
        <v>3141.53339028358</v>
      </c>
      <c r="G439" s="15" t="n">
        <f aca="false">F439*(1+IF(G$3&lt;=$O$2,$D439,$D439-($D439-$I$427)*MIN(G$3-$O$2,$Q$2)/$Q$2))</f>
        <v>3142.30036620895</v>
      </c>
      <c r="H439" s="15" t="n">
        <f aca="false">G439*(1+IF(H$3&lt;=$O$2,$D439,$D439-($D439-$I$427)*MIN(H$3-$O$2,$Q$2)/$Q$2))</f>
        <v>3143.06752938429</v>
      </c>
      <c r="I439" s="15" t="n">
        <f aca="false">H439*(1+IF(I$3&lt;=$O$2,$D439,$D439-($D439-$I$427)*MIN(I$3-$O$2,$Q$2)/$Q$2))</f>
        <v>3143.83487985533</v>
      </c>
      <c r="J439" s="15" t="n">
        <f aca="false">I439*(1+IF(J$3&lt;=$O$2,$D439,$D439-($D439-$I$427)*MIN(J$3-$O$2,$Q$2)/$Q$2))</f>
        <v>3168.530685285</v>
      </c>
      <c r="K439" s="15" t="n">
        <f aca="false">J439*(1+IF(K$3&lt;=$O$2,$D439,$D439-($D439-$I$427)*MIN(K$3-$O$2,$Q$2)/$Q$2))</f>
        <v>3217.53671562066</v>
      </c>
      <c r="L439" s="15" t="n">
        <f aca="false">K439*(1+IF(L$3&lt;=$O$2,$D439,$D439-($D439-$I$427)*MIN(L$3-$O$2,$Q$2)/$Q$2))</f>
        <v>3291.78992191551</v>
      </c>
      <c r="M439" s="15" t="n">
        <f aca="false">L439*(1+IF(M$3&lt;=$O$2,$D439,$D439-($D439-$I$427)*MIN(M$3-$O$2,$Q$2)/$Q$2))</f>
        <v>3392.81109705278</v>
      </c>
      <c r="N439" s="15" t="n">
        <f aca="false">M439*(1+IF(N$3&lt;=$O$2,$D439,$D439-($D439-$I$427)*MIN(N$3-$O$2,$Q$2)/$Q$2))</f>
        <v>3522.75576206991</v>
      </c>
      <c r="O439" s="15" t="n">
        <f aca="false">SUMPRODUCT(E439:N439,1/(1+$F$427)^$E$3:$N$3)*$E$2</f>
        <v>9700.14971850102</v>
      </c>
      <c r="P439" s="15" t="n">
        <f aca="false">N439*$E$2*(1+$I$427)/($F$427-$I$427)/(1+$F$427)^$N$3</f>
        <v>17334.6816237152</v>
      </c>
      <c r="Q439" s="15" t="n">
        <f aca="false">O439+P439</f>
        <v>27034.8313422162</v>
      </c>
      <c r="R439" s="15" t="n">
        <f aca="false">Q439-$G$2+$I$2</f>
        <v>22967.0313422162</v>
      </c>
      <c r="S439" s="42" t="n">
        <f aca="false">R439/$K$2</f>
        <v>176.452299801907</v>
      </c>
      <c r="T439" s="43" t="n">
        <f aca="false">S439-$M$2</f>
        <v>-0.176464795511521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0.000244140625</v>
      </c>
      <c r="C440" s="25" t="n">
        <f aca="false">IF(T439&gt;0,D439,C439)</f>
        <v>0.0009765625</v>
      </c>
      <c r="D440" s="41" t="n">
        <f aca="false">(B440+C440)/2</f>
        <v>0.0006103515625</v>
      </c>
      <c r="E440" s="15" t="n">
        <f aca="false">$C$2*(1+IF(E$3&lt;=$O$2,$D440,$D440-($D440-$I$427)*MIN(E$3-$O$2,$Q$2)/$Q$2))</f>
        <v>3141.91650390625</v>
      </c>
      <c r="F440" s="15" t="n">
        <f aca="false">E440*(1+IF(F$3&lt;=$O$2,$D440,$D440-($D440-$I$427)*MIN(F$3-$O$2,$Q$2)/$Q$2))</f>
        <v>3143.83417755365</v>
      </c>
      <c r="G440" s="15" t="n">
        <f aca="false">F440*(1+IF(G$3&lt;=$O$2,$D440,$D440-($D440-$I$427)*MIN(G$3-$O$2,$Q$2)/$Q$2))</f>
        <v>3145.75302165616</v>
      </c>
      <c r="H440" s="15" t="n">
        <f aca="false">G440*(1+IF(H$3&lt;=$O$2,$D440,$D440-($D440-$I$427)*MIN(H$3-$O$2,$Q$2)/$Q$2))</f>
        <v>3147.67303692817</v>
      </c>
      <c r="I440" s="15" t="n">
        <f aca="false">H440*(1+IF(I$3&lt;=$O$2,$D440,$D440-($D440-$I$427)*MIN(I$3-$O$2,$Q$2)/$Q$2))</f>
        <v>3149.5942240845</v>
      </c>
      <c r="J440" s="15" t="n">
        <f aca="false">I440*(1+IF(J$3&lt;=$O$2,$D440,$D440-($D440-$I$427)*MIN(J$3-$O$2,$Q$2)/$Q$2))</f>
        <v>3175.25800364572</v>
      </c>
      <c r="K440" s="15" t="n">
        <f aca="false">J440*(1+IF(K$3&lt;=$O$2,$D440,$D440-($D440-$I$427)*MIN(K$3-$O$2,$Q$2)/$Q$2))</f>
        <v>3225.06577047189</v>
      </c>
      <c r="L440" s="15" t="n">
        <f aca="false">K440*(1+IF(L$3&lt;=$O$2,$D440,$D440-($D440-$I$427)*MIN(L$3-$O$2,$Q$2)/$Q$2))</f>
        <v>3299.9651514502</v>
      </c>
      <c r="M440" s="15" t="n">
        <f aca="false">L440*(1+IF(M$3&lt;=$O$2,$D440,$D440-($D440-$I$427)*MIN(M$3-$O$2,$Q$2)/$Q$2))</f>
        <v>3401.47891146791</v>
      </c>
      <c r="N440" s="15" t="n">
        <f aca="false">M440*(1+IF(N$3&lt;=$O$2,$D440,$D440-($D440-$I$427)*MIN(N$3-$O$2,$Q$2)/$Q$2))</f>
        <v>3531.75555377713</v>
      </c>
      <c r="O440" s="15" t="n">
        <f aca="false">SUMPRODUCT(E440:N440,1/(1+$F$427)^$E$3:$N$3)*$E$2</f>
        <v>9715.7190097327</v>
      </c>
      <c r="P440" s="15" t="n">
        <f aca="false">N440*$E$2*(1+$I$427)/($F$427-$I$427)/(1+$F$427)^$N$3</f>
        <v>17378.9675562241</v>
      </c>
      <c r="Q440" s="15" t="n">
        <f aca="false">O440+P440</f>
        <v>27094.6865659568</v>
      </c>
      <c r="R440" s="15" t="n">
        <f aca="false">Q440-$G$2+$I$2</f>
        <v>23026.8865659568</v>
      </c>
      <c r="S440" s="42" t="n">
        <f aca="false">R440/$K$2</f>
        <v>176.912158619828</v>
      </c>
      <c r="T440" s="43" t="n">
        <f aca="false">S440-$M$2</f>
        <v>0.283394022409652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0.000244140625</v>
      </c>
      <c r="C441" s="25" t="n">
        <f aca="false">IF(T440&gt;0,D440,C440)</f>
        <v>0.0006103515625</v>
      </c>
      <c r="D441" s="41" t="n">
        <f aca="false">(B441+C441)/2</f>
        <v>0.00042724609375</v>
      </c>
      <c r="E441" s="15" t="n">
        <f aca="false">$C$2*(1+IF(E$3&lt;=$O$2,$D441,$D441-($D441-$I$427)*MIN(E$3-$O$2,$Q$2)/$Q$2))</f>
        <v>3141.34155273438</v>
      </c>
      <c r="F441" s="15" t="n">
        <f aca="false">E441*(1+IF(F$3&lt;=$O$2,$D441,$D441-($D441-$I$427)*MIN(F$3-$O$2,$Q$2)/$Q$2))</f>
        <v>3142.68367864192</v>
      </c>
      <c r="G441" s="15" t="n">
        <f aca="false">F441*(1+IF(G$3&lt;=$O$2,$D441,$D441-($D441-$I$427)*MIN(G$3-$O$2,$Q$2)/$Q$2))</f>
        <v>3144.02637796751</v>
      </c>
      <c r="H441" s="15" t="n">
        <f aca="false">G441*(1+IF(H$3&lt;=$O$2,$D441,$D441-($D441-$I$427)*MIN(H$3-$O$2,$Q$2)/$Q$2))</f>
        <v>3145.36965095614</v>
      </c>
      <c r="I441" s="15" t="n">
        <f aca="false">H441*(1+IF(I$3&lt;=$O$2,$D441,$D441-($D441-$I$427)*MIN(I$3-$O$2,$Q$2)/$Q$2))</f>
        <v>3146.71349785291</v>
      </c>
      <c r="J441" s="15" t="n">
        <f aca="false">I441*(1+IF(J$3&lt;=$O$2,$D441,$D441-($D441-$I$427)*MIN(J$3-$O$2,$Q$2)/$Q$2))</f>
        <v>3171.89286008655</v>
      </c>
      <c r="K441" s="15" t="n">
        <f aca="false">J441*(1+IF(K$3&lt;=$O$2,$D441,$D441-($D441-$I$427)*MIN(K$3-$O$2,$Q$2)/$Q$2))</f>
        <v>3221.29936600364</v>
      </c>
      <c r="L441" s="15" t="n">
        <f aca="false">K441*(1+IF(L$3&lt;=$O$2,$D441,$D441-($D441-$I$427)*MIN(L$3-$O$2,$Q$2)/$Q$2))</f>
        <v>3295.87534046277</v>
      </c>
      <c r="M441" s="15" t="n">
        <f aca="false">L441*(1+IF(M$3&lt;=$O$2,$D441,$D441-($D441-$I$427)*MIN(M$3-$O$2,$Q$2)/$Q$2))</f>
        <v>3397.14259086749</v>
      </c>
      <c r="N441" s="15" t="n">
        <f aca="false">M441*(1+IF(N$3&lt;=$O$2,$D441,$D441-($D441-$I$427)*MIN(N$3-$O$2,$Q$2)/$Q$2))</f>
        <v>3527.25315209771</v>
      </c>
      <c r="O441" s="15" t="n">
        <f aca="false">SUMPRODUCT(E441:N441,1/(1+$F$427)^$E$3:$N$3)*$E$2</f>
        <v>9707.93117438453</v>
      </c>
      <c r="P441" s="15" t="n">
        <f aca="false">N441*$E$2*(1+$I$427)/($F$427-$I$427)/(1+$F$427)^$N$3</f>
        <v>17356.8122593696</v>
      </c>
      <c r="Q441" s="15" t="n">
        <f aca="false">O441+P441</f>
        <v>27064.7434337541</v>
      </c>
      <c r="R441" s="15" t="n">
        <f aca="false">Q441-$G$2+$I$2</f>
        <v>22996.9434337541</v>
      </c>
      <c r="S441" s="42" t="n">
        <f aca="false">R441/$K$2</f>
        <v>176.682109970453</v>
      </c>
      <c r="T441" s="43" t="n">
        <f aca="false">S441-$M$2</f>
        <v>0.0533453730339204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0.000244140625</v>
      </c>
      <c r="C442" s="25" t="n">
        <f aca="false">IF(T441&gt;0,D441,C441)</f>
        <v>0.00042724609375</v>
      </c>
      <c r="D442" s="41" t="n">
        <f aca="false">(B442+C442)/2</f>
        <v>0.000335693359375</v>
      </c>
      <c r="E442" s="15" t="n">
        <f aca="false">$C$2*(1+IF(E$3&lt;=$O$2,$D442,$D442-($D442-$I$427)*MIN(E$3-$O$2,$Q$2)/$Q$2))</f>
        <v>3141.05407714844</v>
      </c>
      <c r="F442" s="15" t="n">
        <f aca="false">E442*(1+IF(F$3&lt;=$O$2,$D442,$D442-($D442-$I$427)*MIN(F$3-$O$2,$Q$2)/$Q$2))</f>
        <v>3142.10850814357</v>
      </c>
      <c r="G442" s="15" t="n">
        <f aca="false">F442*(1+IF(G$3&lt;=$O$2,$D442,$D442-($D442-$I$427)*MIN(G$3-$O$2,$Q$2)/$Q$2))</f>
        <v>3143.16329310419</v>
      </c>
      <c r="H442" s="15" t="n">
        <f aca="false">G442*(1+IF(H$3&lt;=$O$2,$D442,$D442-($D442-$I$427)*MIN(H$3-$O$2,$Q$2)/$Q$2))</f>
        <v>3144.21843214912</v>
      </c>
      <c r="I442" s="15" t="n">
        <f aca="false">H442*(1+IF(I$3&lt;=$O$2,$D442,$D442-($D442-$I$427)*MIN(I$3-$O$2,$Q$2)/$Q$2))</f>
        <v>3145.27392539722</v>
      </c>
      <c r="J442" s="15" t="n">
        <f aca="false">I442*(1+IF(J$3&lt;=$O$2,$D442,$D442-($D442-$I$427)*MIN(J$3-$O$2,$Q$2)/$Q$2))</f>
        <v>3170.2114017219</v>
      </c>
      <c r="K442" s="15" t="n">
        <f aca="false">J442*(1+IF(K$3&lt;=$O$2,$D442,$D442-($D442-$I$427)*MIN(K$3-$O$2,$Q$2)/$Q$2))</f>
        <v>3219.4175717455</v>
      </c>
      <c r="L442" s="15" t="n">
        <f aca="false">K442*(1+IF(L$3&lt;=$O$2,$D442,$D442-($D442-$I$427)*MIN(L$3-$O$2,$Q$2)/$Q$2))</f>
        <v>3293.83208238417</v>
      </c>
      <c r="M442" s="15" t="n">
        <f aca="false">L442*(1+IF(M$3&lt;=$O$2,$D442,$D442-($D442-$I$427)*MIN(M$3-$O$2,$Q$2)/$Q$2))</f>
        <v>3394.97624089981</v>
      </c>
      <c r="N442" s="15" t="n">
        <f aca="false">M442*(1+IF(N$3&lt;=$O$2,$D442,$D442-($D442-$I$427)*MIN(N$3-$O$2,$Q$2)/$Q$2))</f>
        <v>3525.00383092627</v>
      </c>
      <c r="O442" s="15" t="n">
        <f aca="false">SUMPRODUCT(E442:N442,1/(1+$F$427)^$E$3:$N$3)*$E$2</f>
        <v>9704.03964931875</v>
      </c>
      <c r="P442" s="15" t="n">
        <f aca="false">N442*$E$2*(1+$I$427)/($F$427-$I$427)/(1+$F$427)^$N$3</f>
        <v>17345.7438603632</v>
      </c>
      <c r="Q442" s="15" t="n">
        <f aca="false">O442+P442</f>
        <v>27049.783509682</v>
      </c>
      <c r="R442" s="15" t="n">
        <f aca="false">Q442-$G$2+$I$2</f>
        <v>22981.983509682</v>
      </c>
      <c r="S442" s="42" t="n">
        <f aca="false">R442/$K$2</f>
        <v>176.567175089751</v>
      </c>
      <c r="T442" s="43" t="n">
        <f aca="false">S442-$M$2</f>
        <v>-0.0615895076675486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0.000335693359375</v>
      </c>
      <c r="C443" s="25" t="n">
        <f aca="false">IF(T442&gt;0,D442,C442)</f>
        <v>0.00042724609375</v>
      </c>
      <c r="D443" s="41" t="n">
        <f aca="false">(B443+C443)/2</f>
        <v>0.0003814697265625</v>
      </c>
      <c r="E443" s="15" t="n">
        <f aca="false">$C$2*(1+IF(E$3&lt;=$O$2,$D443,$D443-($D443-$I$427)*MIN(E$3-$O$2,$Q$2)/$Q$2))</f>
        <v>3141.19781494141</v>
      </c>
      <c r="F443" s="15" t="n">
        <f aca="false">E443*(1+IF(F$3&lt;=$O$2,$D443,$D443-($D443-$I$427)*MIN(F$3-$O$2,$Q$2)/$Q$2))</f>
        <v>3142.39608681295</v>
      </c>
      <c r="G443" s="15" t="n">
        <f aca="false">F443*(1+IF(G$3&lt;=$O$2,$D443,$D443-($D443-$I$427)*MIN(G$3-$O$2,$Q$2)/$Q$2))</f>
        <v>3143.59481578894</v>
      </c>
      <c r="H443" s="15" t="n">
        <f aca="false">G443*(1+IF(H$3&lt;=$O$2,$D443,$D443-($D443-$I$427)*MIN(H$3-$O$2,$Q$2)/$Q$2))</f>
        <v>3144.79400204374</v>
      </c>
      <c r="I443" s="15" t="n">
        <f aca="false">H443*(1+IF(I$3&lt;=$O$2,$D443,$D443-($D443-$I$427)*MIN(I$3-$O$2,$Q$2)/$Q$2))</f>
        <v>3145.9936457518</v>
      </c>
      <c r="J443" s="15" t="n">
        <f aca="false">I443*(1+IF(J$3&lt;=$O$2,$D443,$D443-($D443-$I$427)*MIN(J$3-$O$2,$Q$2)/$Q$2))</f>
        <v>3171.0520381469</v>
      </c>
      <c r="K443" s="15" t="n">
        <f aca="false">J443*(1+IF(K$3&lt;=$O$2,$D443,$D443-($D443-$I$427)*MIN(K$3-$O$2,$Q$2)/$Q$2))</f>
        <v>3220.35835158366</v>
      </c>
      <c r="L443" s="15" t="n">
        <f aca="false">K443*(1+IF(L$3&lt;=$O$2,$D443,$D443-($D443-$I$427)*MIN(L$3-$O$2,$Q$2)/$Q$2))</f>
        <v>3294.85357419098</v>
      </c>
      <c r="M443" s="15" t="n">
        <f aca="false">L443*(1+IF(M$3&lt;=$O$2,$D443,$D443-($D443-$I$427)*MIN(M$3-$O$2,$Q$2)/$Q$2))</f>
        <v>3396.05926508259</v>
      </c>
      <c r="N443" s="15" t="n">
        <f aca="false">M443*(1+IF(N$3&lt;=$O$2,$D443,$D443-($D443-$I$427)*MIN(N$3-$O$2,$Q$2)/$Q$2))</f>
        <v>3526.12833493525</v>
      </c>
      <c r="O443" s="15" t="n">
        <f aca="false">SUMPRODUCT(E443:N443,1/(1+$F$427)^$E$3:$N$3)*$E$2</f>
        <v>9705.98521253201</v>
      </c>
      <c r="P443" s="15" t="n">
        <f aca="false">N443*$E$2*(1+$I$427)/($F$427-$I$427)/(1+$F$427)^$N$3</f>
        <v>17351.2772893878</v>
      </c>
      <c r="Q443" s="15" t="n">
        <f aca="false">O443+P443</f>
        <v>27057.2625019198</v>
      </c>
      <c r="R443" s="15" t="n">
        <f aca="false">Q443-$G$2+$I$2</f>
        <v>22989.4625019198</v>
      </c>
      <c r="S443" s="42" t="n">
        <f aca="false">R443/$K$2</f>
        <v>176.624635079286</v>
      </c>
      <c r="T443" s="43" t="n">
        <f aca="false">S443-$M$2</f>
        <v>-0.00412951813299856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0.0003814697265625</v>
      </c>
      <c r="C444" s="25" t="n">
        <f aca="false">IF(T443&gt;0,D443,C443)</f>
        <v>0.00042724609375</v>
      </c>
      <c r="D444" s="41" t="n">
        <f aca="false">(B444+C444)/2</f>
        <v>0.00040435791015625</v>
      </c>
      <c r="E444" s="15" t="n">
        <f aca="false">$C$2*(1+IF(E$3&lt;=$O$2,$D444,$D444-($D444-$I$427)*MIN(E$3-$O$2,$Q$2)/$Q$2))</f>
        <v>3141.26968383789</v>
      </c>
      <c r="F444" s="15" t="n">
        <f aca="false">E444*(1+IF(F$3&lt;=$O$2,$D444,$D444-($D444-$I$427)*MIN(F$3-$O$2,$Q$2)/$Q$2))</f>
        <v>3142.53988108248</v>
      </c>
      <c r="G444" s="15" t="n">
        <f aca="false">F444*(1+IF(G$3&lt;=$O$2,$D444,$D444-($D444-$I$427)*MIN(G$3-$O$2,$Q$2)/$Q$2))</f>
        <v>3143.81059194138</v>
      </c>
      <c r="H444" s="15" t="n">
        <f aca="false">G444*(1+IF(H$3&lt;=$O$2,$D444,$D444-($D444-$I$427)*MIN(H$3-$O$2,$Q$2)/$Q$2))</f>
        <v>3145.08181662227</v>
      </c>
      <c r="I444" s="15" t="n">
        <f aca="false">H444*(1+IF(I$3&lt;=$O$2,$D444,$D444-($D444-$I$427)*MIN(I$3-$O$2,$Q$2)/$Q$2))</f>
        <v>3146.35355533291</v>
      </c>
      <c r="J444" s="15" t="n">
        <f aca="false">I444*(1+IF(J$3&lt;=$O$2,$D444,$D444-($D444-$I$427)*MIN(J$3-$O$2,$Q$2)/$Q$2))</f>
        <v>3171.47242592535</v>
      </c>
      <c r="K444" s="15" t="n">
        <f aca="false">J444*(1+IF(K$3&lt;=$O$2,$D444,$D444-($D444-$I$427)*MIN(K$3-$O$2,$Q$2)/$Q$2))</f>
        <v>3220.82882946789</v>
      </c>
      <c r="L444" s="15" t="n">
        <f aca="false">K444*(1+IF(L$3&lt;=$O$2,$D444,$D444-($D444-$I$427)*MIN(L$3-$O$2,$Q$2)/$Q$2))</f>
        <v>3295.36442301484</v>
      </c>
      <c r="M444" s="15" t="n">
        <f aca="false">L444*(1+IF(M$3&lt;=$O$2,$D444,$D444-($D444-$I$427)*MIN(M$3-$O$2,$Q$2)/$Q$2))</f>
        <v>3396.60089027028</v>
      </c>
      <c r="N444" s="15" t="n">
        <f aca="false">M444*(1+IF(N$3&lt;=$O$2,$D444,$D444-($D444-$I$427)*MIN(N$3-$O$2,$Q$2)/$Q$2))</f>
        <v>3526.69070436763</v>
      </c>
      <c r="O444" s="15" t="n">
        <f aca="false">SUMPRODUCT(E444:N444,1/(1+$F$427)^$E$3:$N$3)*$E$2</f>
        <v>9706.95814362353</v>
      </c>
      <c r="P444" s="15" t="n">
        <f aca="false">N444*$E$2*(1+$I$427)/($F$427-$I$427)/(1+$F$427)^$N$3</f>
        <v>17354.0445817361</v>
      </c>
      <c r="Q444" s="15" t="n">
        <f aca="false">O444+P444</f>
        <v>27061.0027253596</v>
      </c>
      <c r="R444" s="15" t="n">
        <f aca="false">Q444-$G$2+$I$2</f>
        <v>22993.2027253596</v>
      </c>
      <c r="S444" s="42" t="n">
        <f aca="false">R444/$K$2</f>
        <v>176.653370661951</v>
      </c>
      <c r="T444" s="43" t="n">
        <f aca="false">S444-$M$2</f>
        <v>0.0246060645327759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0.0003814697265625</v>
      </c>
      <c r="C445" s="25" t="n">
        <f aca="false">IF(T444&gt;0,D444,C444)</f>
        <v>0.00040435791015625</v>
      </c>
      <c r="D445" s="41" t="n">
        <f aca="false">(B445+C445)/2</f>
        <v>0.000392913818359375</v>
      </c>
      <c r="E445" s="15" t="n">
        <f aca="false">$C$2*(1+IF(E$3&lt;=$O$2,$D445,$D445-($D445-$I$427)*MIN(E$3-$O$2,$Q$2)/$Q$2))</f>
        <v>3141.23374938965</v>
      </c>
      <c r="F445" s="15" t="n">
        <f aca="false">E445*(1+IF(F$3&lt;=$O$2,$D445,$D445-($D445-$I$427)*MIN(F$3-$O$2,$Q$2)/$Q$2))</f>
        <v>3142.46798353648</v>
      </c>
      <c r="G445" s="15" t="n">
        <f aca="false">F445*(1+IF(G$3&lt;=$O$2,$D445,$D445-($D445-$I$427)*MIN(G$3-$O$2,$Q$2)/$Q$2))</f>
        <v>3143.70270263096</v>
      </c>
      <c r="H445" s="15" t="n">
        <f aca="false">G445*(1+IF(H$3&lt;=$O$2,$D445,$D445-($D445-$I$427)*MIN(H$3-$O$2,$Q$2)/$Q$2))</f>
        <v>3144.93790686364</v>
      </c>
      <c r="I445" s="15" t="n">
        <f aca="false">H445*(1+IF(I$3&lt;=$O$2,$D445,$D445-($D445-$I$427)*MIN(I$3-$O$2,$Q$2)/$Q$2))</f>
        <v>3146.17359642513</v>
      </c>
      <c r="J445" s="15" t="n">
        <f aca="false">I445*(1+IF(J$3&lt;=$O$2,$D445,$D445-($D445-$I$427)*MIN(J$3-$O$2,$Q$2)/$Q$2))</f>
        <v>3171.26222623854</v>
      </c>
      <c r="K445" s="15" t="n">
        <f aca="false">J445*(1+IF(K$3&lt;=$O$2,$D445,$D445-($D445-$I$427)*MIN(K$3-$O$2,$Q$2)/$Q$2))</f>
        <v>3220.59358319471</v>
      </c>
      <c r="L445" s="15" t="n">
        <f aca="false">K445*(1+IF(L$3&lt;=$O$2,$D445,$D445-($D445-$I$427)*MIN(L$3-$O$2,$Q$2)/$Q$2))</f>
        <v>3295.10899002539</v>
      </c>
      <c r="M445" s="15" t="n">
        <f aca="false">L445*(1+IF(M$3&lt;=$O$2,$D445,$D445-($D445-$I$427)*MIN(M$3-$O$2,$Q$2)/$Q$2))</f>
        <v>3396.3300682508</v>
      </c>
      <c r="N445" s="15" t="n">
        <f aca="false">M445*(1+IF(N$3&lt;=$O$2,$D445,$D445-($D445-$I$427)*MIN(N$3-$O$2,$Q$2)/$Q$2))</f>
        <v>3526.40950986481</v>
      </c>
      <c r="O445" s="15" t="n">
        <f aca="false">SUMPRODUCT(E445:N445,1/(1+$F$427)^$E$3:$N$3)*$E$2</f>
        <v>9706.47166561969</v>
      </c>
      <c r="P445" s="15" t="n">
        <f aca="false">N445*$E$2*(1+$I$427)/($F$427-$I$427)/(1+$F$427)^$N$3</f>
        <v>17352.6608874041</v>
      </c>
      <c r="Q445" s="15" t="n">
        <f aca="false">O445+P445</f>
        <v>27059.1325530238</v>
      </c>
      <c r="R445" s="15" t="n">
        <f aca="false">Q445-$G$2+$I$2</f>
        <v>22991.3325530238</v>
      </c>
      <c r="S445" s="42" t="n">
        <f aca="false">R445/$K$2</f>
        <v>176.639002404916</v>
      </c>
      <c r="T445" s="43" t="n">
        <f aca="false">S445-$M$2</f>
        <v>0.0102378074971341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0.0003814697265625</v>
      </c>
      <c r="C446" s="25" t="n">
        <f aca="false">IF(T445&gt;0,D445,C445)</f>
        <v>0.000392913818359375</v>
      </c>
      <c r="D446" s="41" t="n">
        <f aca="false">(B446+C446)/2</f>
        <v>0.000387191772460938</v>
      </c>
      <c r="E446" s="15" t="n">
        <f aca="false">$C$2*(1+IF(E$3&lt;=$O$2,$D446,$D446-($D446-$I$427)*MIN(E$3-$O$2,$Q$2)/$Q$2))</f>
        <v>3141.21578216553</v>
      </c>
      <c r="F446" s="15" t="n">
        <f aca="false">E446*(1+IF(F$3&lt;=$O$2,$D446,$D446-($D446-$I$427)*MIN(F$3-$O$2,$Q$2)/$Q$2))</f>
        <v>3142.43203507191</v>
      </c>
      <c r="G446" s="15" t="n">
        <f aca="false">F446*(1+IF(G$3&lt;=$O$2,$D446,$D446-($D446-$I$427)*MIN(G$3-$O$2,$Q$2)/$Q$2))</f>
        <v>3143.6487589014</v>
      </c>
      <c r="H446" s="15" t="n">
        <f aca="false">G446*(1+IF(H$3&lt;=$O$2,$D446,$D446-($D446-$I$427)*MIN(H$3-$O$2,$Q$2)/$Q$2))</f>
        <v>3144.86595383636</v>
      </c>
      <c r="I446" s="15" t="n">
        <f aca="false">H446*(1+IF(I$3&lt;=$O$2,$D446,$D446-($D446-$I$427)*MIN(I$3-$O$2,$Q$2)/$Q$2))</f>
        <v>3146.08362005918</v>
      </c>
      <c r="J446" s="15" t="n">
        <f aca="false">I446*(1+IF(J$3&lt;=$O$2,$D446,$D446-($D446-$I$427)*MIN(J$3-$O$2,$Q$2)/$Q$2))</f>
        <v>3171.15713074336</v>
      </c>
      <c r="K446" s="15" t="n">
        <f aca="false">J446*(1+IF(K$3&lt;=$O$2,$D446,$D446-($D446-$I$427)*MIN(K$3-$O$2,$Q$2)/$Q$2))</f>
        <v>3220.47596555647</v>
      </c>
      <c r="L446" s="15" t="n">
        <f aca="false">K446*(1+IF(L$3&lt;=$O$2,$D446,$D446-($D446-$I$427)*MIN(L$3-$O$2,$Q$2)/$Q$2))</f>
        <v>3294.98127996386</v>
      </c>
      <c r="M446" s="15" t="n">
        <f aca="false">L446*(1+IF(M$3&lt;=$O$2,$D446,$D446-($D446-$I$427)*MIN(M$3-$O$2,$Q$2)/$Q$2))</f>
        <v>3396.19466431036</v>
      </c>
      <c r="N446" s="15" t="n">
        <f aca="false">M446*(1+IF(N$3&lt;=$O$2,$D446,$D446-($D446-$I$427)*MIN(N$3-$O$2,$Q$2)/$Q$2))</f>
        <v>3526.26891995345</v>
      </c>
      <c r="O446" s="15" t="n">
        <f aca="false">SUMPRODUCT(E446:N446,1/(1+$F$427)^$E$3:$N$3)*$E$2</f>
        <v>9706.2284359614</v>
      </c>
      <c r="P446" s="15" t="n">
        <f aca="false">N446*$E$2*(1+$I$427)/($F$427-$I$427)/(1+$F$427)^$N$3</f>
        <v>17351.9690763569</v>
      </c>
      <c r="Q446" s="15" t="n">
        <f aca="false">O446+P446</f>
        <v>27058.1975123183</v>
      </c>
      <c r="R446" s="15" t="n">
        <f aca="false">Q446-$G$2+$I$2</f>
        <v>22990.3975123183</v>
      </c>
      <c r="S446" s="42" t="n">
        <f aca="false">R446/$K$2</f>
        <v>176.631818625678</v>
      </c>
      <c r="T446" s="43" t="n">
        <f aca="false">S446-$M$2</f>
        <v>0.0030540282597542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0.0003814697265625</v>
      </c>
      <c r="C447" s="25" t="n">
        <f aca="false">IF(T446&gt;0,D446,C446)</f>
        <v>0.000387191772460938</v>
      </c>
      <c r="D447" s="41" t="n">
        <f aca="false">(B447+C447)/2</f>
        <v>0.000384330749511719</v>
      </c>
      <c r="E447" s="15" t="n">
        <f aca="false">$C$2*(1+IF(E$3&lt;=$O$2,$D447,$D447-($D447-$I$427)*MIN(E$3-$O$2,$Q$2)/$Q$2))</f>
        <v>3141.20679855347</v>
      </c>
      <c r="F447" s="15" t="n">
        <f aca="false">E447*(1+IF(F$3&lt;=$O$2,$D447,$D447-($D447-$I$427)*MIN(F$3-$O$2,$Q$2)/$Q$2))</f>
        <v>3142.41406091673</v>
      </c>
      <c r="G447" s="15" t="n">
        <f aca="false">F447*(1+IF(G$3&lt;=$O$2,$D447,$D447-($D447-$I$427)*MIN(G$3-$O$2,$Q$2)/$Q$2))</f>
        <v>3143.62178726803</v>
      </c>
      <c r="H447" s="15" t="n">
        <f aca="false">G447*(1+IF(H$3&lt;=$O$2,$D447,$D447-($D447-$I$427)*MIN(H$3-$O$2,$Q$2)/$Q$2))</f>
        <v>3144.82997778572</v>
      </c>
      <c r="I447" s="15" t="n">
        <f aca="false">H447*(1+IF(I$3&lt;=$O$2,$D447,$D447-($D447-$I$427)*MIN(I$3-$O$2,$Q$2)/$Q$2))</f>
        <v>3146.03863264817</v>
      </c>
      <c r="J447" s="15" t="n">
        <f aca="false">I447*(1+IF(J$3&lt;=$O$2,$D447,$D447-($D447-$I$427)*MIN(J$3-$O$2,$Q$2)/$Q$2))</f>
        <v>3171.10458408279</v>
      </c>
      <c r="K447" s="15" t="n">
        <f aca="false">J447*(1+IF(K$3&lt;=$O$2,$D447,$D447-($D447-$I$427)*MIN(K$3-$O$2,$Q$2)/$Q$2))</f>
        <v>3220.41715811189</v>
      </c>
      <c r="L447" s="15" t="n">
        <f aca="false">K447*(1+IF(L$3&lt;=$O$2,$D447,$D447-($D447-$I$427)*MIN(L$3-$O$2,$Q$2)/$Q$2))</f>
        <v>3294.91742654135</v>
      </c>
      <c r="M447" s="15" t="n">
        <f aca="false">L447*(1+IF(M$3&lt;=$O$2,$D447,$D447-($D447-$I$427)*MIN(M$3-$O$2,$Q$2)/$Q$2))</f>
        <v>3396.1269641074</v>
      </c>
      <c r="N447" s="15" t="n">
        <f aca="false">M447*(1+IF(N$3&lt;=$O$2,$D447,$D447-($D447-$I$427)*MIN(N$3-$O$2,$Q$2)/$Q$2))</f>
        <v>3526.19862683271</v>
      </c>
      <c r="O447" s="15" t="n">
        <f aca="false">SUMPRODUCT(E447:N447,1/(1+$F$427)^$E$3:$N$3)*$E$2</f>
        <v>9706.1068234681</v>
      </c>
      <c r="P447" s="15" t="n">
        <f aca="false">N447*$E$2*(1+$I$427)/($F$427-$I$427)/(1+$F$427)^$N$3</f>
        <v>17351.6231798626</v>
      </c>
      <c r="Q447" s="15" t="n">
        <f aca="false">O447+P447</f>
        <v>27057.7300033307</v>
      </c>
      <c r="R447" s="15" t="n">
        <f aca="false">Q447-$G$2+$I$2</f>
        <v>22989.9300033307</v>
      </c>
      <c r="S447" s="42" t="n">
        <f aca="false">R447/$K$2</f>
        <v>176.628226823377</v>
      </c>
      <c r="T447" s="43" t="n">
        <f aca="false">S447-$M$2</f>
        <v>-0.000537774041816874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0.000384330749511719</v>
      </c>
      <c r="C448" s="25" t="n">
        <f aca="false">IF(T447&gt;0,D447,C447)</f>
        <v>0.000387191772460938</v>
      </c>
      <c r="D448" s="41" t="n">
        <f aca="false">(B448+C448)/2</f>
        <v>0.000385761260986328</v>
      </c>
      <c r="E448" s="15" t="n">
        <f aca="false">$C$2*(1+IF(E$3&lt;=$O$2,$D448,$D448-($D448-$I$427)*MIN(E$3-$O$2,$Q$2)/$Q$2))</f>
        <v>3141.2112903595</v>
      </c>
      <c r="F448" s="15" t="n">
        <f aca="false">E448*(1+IF(F$3&lt;=$O$2,$D448,$D448-($D448-$I$427)*MIN(F$3-$O$2,$Q$2)/$Q$2))</f>
        <v>3142.42304798789</v>
      </c>
      <c r="G448" s="15" t="n">
        <f aca="false">F448*(1+IF(G$3&lt;=$O$2,$D448,$D448-($D448-$I$427)*MIN(G$3-$O$2,$Q$2)/$Q$2))</f>
        <v>3143.63527306544</v>
      </c>
      <c r="H448" s="15" t="n">
        <f aca="false">G448*(1+IF(H$3&lt;=$O$2,$D448,$D448-($D448-$I$427)*MIN(H$3-$O$2,$Q$2)/$Q$2))</f>
        <v>3144.84796577245</v>
      </c>
      <c r="I448" s="15" t="n">
        <f aca="false">H448*(1+IF(I$3&lt;=$O$2,$D448,$D448-($D448-$I$427)*MIN(I$3-$O$2,$Q$2)/$Q$2))</f>
        <v>3146.06112628934</v>
      </c>
      <c r="J448" s="15" t="n">
        <f aca="false">I448*(1+IF(J$3&lt;=$O$2,$D448,$D448-($D448-$I$427)*MIN(J$3-$O$2,$Q$2)/$Q$2))</f>
        <v>3171.13085732249</v>
      </c>
      <c r="K448" s="15" t="n">
        <f aca="false">J448*(1+IF(K$3&lt;=$O$2,$D448,$D448-($D448-$I$427)*MIN(K$3-$O$2,$Q$2)/$Q$2))</f>
        <v>3220.44656171964</v>
      </c>
      <c r="L448" s="15" t="n">
        <f aca="false">K448*(1+IF(L$3&lt;=$O$2,$D448,$D448-($D448-$I$427)*MIN(L$3-$O$2,$Q$2)/$Q$2))</f>
        <v>3294.94935311859</v>
      </c>
      <c r="M448" s="15" t="n">
        <f aca="false">L448*(1+IF(M$3&lt;=$O$2,$D448,$D448-($D448-$I$427)*MIN(M$3-$O$2,$Q$2)/$Q$2))</f>
        <v>3396.16081406161</v>
      </c>
      <c r="N448" s="15" t="n">
        <f aca="false">M448*(1+IF(N$3&lt;=$O$2,$D448,$D448-($D448-$I$427)*MIN(N$3-$O$2,$Q$2)/$Q$2))</f>
        <v>3526.23377324017</v>
      </c>
      <c r="O448" s="15" t="n">
        <f aca="false">SUMPRODUCT(E448:N448,1/(1+$F$427)^$E$3:$N$3)*$E$2</f>
        <v>9706.1676295201</v>
      </c>
      <c r="P448" s="15" t="n">
        <f aca="false">N448*$E$2*(1+$I$427)/($F$427-$I$427)/(1+$F$427)^$N$3</f>
        <v>17351.7961273573</v>
      </c>
      <c r="Q448" s="15" t="n">
        <f aca="false">O448+P448</f>
        <v>27057.9637568774</v>
      </c>
      <c r="R448" s="15" t="n">
        <f aca="false">Q448-$G$2+$I$2</f>
        <v>22990.1637568774</v>
      </c>
      <c r="S448" s="42" t="n">
        <f aca="false">R448/$K$2</f>
        <v>176.630022717251</v>
      </c>
      <c r="T448" s="43" t="n">
        <f aca="false">S448-$M$2</f>
        <v>0.00125811983264157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0.000384330749511719</v>
      </c>
      <c r="C449" s="25" t="n">
        <f aca="false">IF(T448&gt;0,D448,C448)</f>
        <v>0.000385761260986328</v>
      </c>
      <c r="D449" s="41" t="n">
        <f aca="false">(B449+C449)/2</f>
        <v>0.000385046005249023</v>
      </c>
      <c r="E449" s="15" t="n">
        <f aca="false">$C$2*(1+IF(E$3&lt;=$O$2,$D449,$D449-($D449-$I$427)*MIN(E$3-$O$2,$Q$2)/$Q$2))</f>
        <v>3141.20904445648</v>
      </c>
      <c r="F449" s="15" t="n">
        <f aca="false">E449*(1+IF(F$3&lt;=$O$2,$D449,$D449-($D449-$I$427)*MIN(F$3-$O$2,$Q$2)/$Q$2))</f>
        <v>3142.4185544507</v>
      </c>
      <c r="G449" s="15" t="n">
        <f aca="false">F449*(1+IF(G$3&lt;=$O$2,$D449,$D449-($D449-$I$427)*MIN(G$3-$O$2,$Q$2)/$Q$2))</f>
        <v>3143.62853016191</v>
      </c>
      <c r="H449" s="15" t="n">
        <f aca="false">G449*(1+IF(H$3&lt;=$O$2,$D449,$D449-($D449-$I$427)*MIN(H$3-$O$2,$Q$2)/$Q$2))</f>
        <v>3144.83897176944</v>
      </c>
      <c r="I449" s="15" t="n">
        <f aca="false">H449*(1+IF(I$3&lt;=$O$2,$D449,$D449-($D449-$I$427)*MIN(I$3-$O$2,$Q$2)/$Q$2))</f>
        <v>3146.04987945267</v>
      </c>
      <c r="J449" s="15" t="n">
        <f aca="false">I449*(1+IF(J$3&lt;=$O$2,$D449,$D449-($D449-$I$427)*MIN(J$3-$O$2,$Q$2)/$Q$2))</f>
        <v>3171.11772068</v>
      </c>
      <c r="K449" s="15" t="n">
        <f aca="false">J449*(1+IF(K$3&lt;=$O$2,$D449,$D449-($D449-$I$427)*MIN(K$3-$O$2,$Q$2)/$Q$2))</f>
        <v>3220.43185988713</v>
      </c>
      <c r="L449" s="15" t="n">
        <f aca="false">K449*(1+IF(L$3&lt;=$O$2,$D449,$D449-($D449-$I$427)*MIN(L$3-$O$2,$Q$2)/$Q$2))</f>
        <v>3294.93338979646</v>
      </c>
      <c r="M449" s="15" t="n">
        <f aca="false">L449*(1+IF(M$3&lt;=$O$2,$D449,$D449-($D449-$I$427)*MIN(M$3-$O$2,$Q$2)/$Q$2))</f>
        <v>3396.14388904769</v>
      </c>
      <c r="N449" s="15" t="n">
        <f aca="false">M449*(1+IF(N$3&lt;=$O$2,$D449,$D449-($D449-$I$427)*MIN(N$3-$O$2,$Q$2)/$Q$2))</f>
        <v>3526.21619999821</v>
      </c>
      <c r="O449" s="15" t="n">
        <f aca="false">SUMPRODUCT(E449:N449,1/(1+$F$427)^$E$3:$N$3)*$E$2</f>
        <v>9706.13722644544</v>
      </c>
      <c r="P449" s="15" t="n">
        <f aca="false">N449*$E$2*(1+$I$427)/($F$427-$I$427)/(1+$F$427)^$N$3</f>
        <v>17351.7096534219</v>
      </c>
      <c r="Q449" s="15" t="n">
        <f aca="false">O449+P449</f>
        <v>27057.8468798673</v>
      </c>
      <c r="R449" s="15" t="n">
        <f aca="false">Q449-$G$2+$I$2</f>
        <v>22990.0468798673</v>
      </c>
      <c r="S449" s="42" t="n">
        <f aca="false">R449/$K$2</f>
        <v>176.629124768495</v>
      </c>
      <c r="T449" s="43" t="n">
        <f aca="false">S449-$M$2</f>
        <v>0.000360171076295046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0.000384330749511719</v>
      </c>
      <c r="C450" s="25" t="n">
        <f aca="false">IF(T449&gt;0,D449,C449)</f>
        <v>0.000385046005249023</v>
      </c>
      <c r="D450" s="41" t="n">
        <f aca="false">(B450+C450)/2</f>
        <v>0.000384688377380371</v>
      </c>
      <c r="E450" s="15" t="n">
        <f aca="false">$C$2*(1+IF(E$3&lt;=$O$2,$D450,$D450-($D450-$I$427)*MIN(E$3-$O$2,$Q$2)/$Q$2))</f>
        <v>3141.20792150497</v>
      </c>
      <c r="F450" s="15" t="n">
        <f aca="false">E450*(1+IF(F$3&lt;=$O$2,$D450,$D450-($D450-$I$427)*MIN(F$3-$O$2,$Q$2)/$Q$2))</f>
        <v>3142.41630768331</v>
      </c>
      <c r="G450" s="15" t="n">
        <f aca="false">F450*(1+IF(G$3&lt;=$O$2,$D450,$D450-($D450-$I$427)*MIN(G$3-$O$2,$Q$2)/$Q$2))</f>
        <v>3143.62515871377</v>
      </c>
      <c r="H450" s="15" t="n">
        <f aca="false">G450*(1+IF(H$3&lt;=$O$2,$D450,$D450-($D450-$I$427)*MIN(H$3-$O$2,$Q$2)/$Q$2))</f>
        <v>3144.83447477517</v>
      </c>
      <c r="I450" s="15" t="n">
        <f aca="false">H450*(1+IF(I$3&lt;=$O$2,$D450,$D450-($D450-$I$427)*MIN(I$3-$O$2,$Q$2)/$Q$2))</f>
        <v>3146.0442560464</v>
      </c>
      <c r="J450" s="15" t="n">
        <f aca="false">I450*(1+IF(J$3&lt;=$O$2,$D450,$D450-($D450-$I$427)*MIN(J$3-$O$2,$Q$2)/$Q$2))</f>
        <v>3171.11115237573</v>
      </c>
      <c r="K450" s="15" t="n">
        <f aca="false">J450*(1+IF(K$3&lt;=$O$2,$D450,$D450-($D450-$I$427)*MIN(K$3-$O$2,$Q$2)/$Q$2))</f>
        <v>3220.42450899235</v>
      </c>
      <c r="L450" s="15" t="n">
        <f aca="false">K450*(1+IF(L$3&lt;=$O$2,$D450,$D450-($D450-$I$427)*MIN(L$3-$O$2,$Q$2)/$Q$2))</f>
        <v>3294.92540816053</v>
      </c>
      <c r="M450" s="15" t="n">
        <f aca="false">L450*(1+IF(M$3&lt;=$O$2,$D450,$D450-($D450-$I$427)*MIN(M$3-$O$2,$Q$2)/$Q$2))</f>
        <v>3396.13542656834</v>
      </c>
      <c r="N450" s="15" t="n">
        <f aca="false">M450*(1+IF(N$3&lt;=$O$2,$D450,$D450-($D450-$I$427)*MIN(N$3-$O$2,$Q$2)/$Q$2))</f>
        <v>3526.20741340591</v>
      </c>
      <c r="O450" s="15" t="n">
        <f aca="false">SUMPRODUCT(E450:N450,1/(1+$F$427)^$E$3:$N$3)*$E$2</f>
        <v>9706.1220249446</v>
      </c>
      <c r="P450" s="15" t="n">
        <f aca="false">N450*$E$2*(1+$I$427)/($F$427-$I$427)/(1+$F$427)^$N$3</f>
        <v>17351.6664165952</v>
      </c>
      <c r="Q450" s="15" t="n">
        <f aca="false">O450+P450</f>
        <v>27057.7884415398</v>
      </c>
      <c r="R450" s="15" t="n">
        <f aca="false">Q450-$G$2+$I$2</f>
        <v>22989.9884415398</v>
      </c>
      <c r="S450" s="42" t="n">
        <f aca="false">R450/$K$2</f>
        <v>176.628675795481</v>
      </c>
      <c r="T450" s="43" t="n">
        <f aca="false">S450-$M$2</f>
        <v>-8.88019375508975E-005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0.000384688377380371</v>
      </c>
      <c r="C451" s="25" t="n">
        <f aca="false">IF(T450&gt;0,D450,C450)</f>
        <v>0.000385046005249023</v>
      </c>
      <c r="D451" s="41" t="n">
        <f aca="false">(B451+C451)/2</f>
        <v>0.000384867191314697</v>
      </c>
      <c r="E451" s="15" t="n">
        <f aca="false">$C$2*(1+IF(E$3&lt;=$O$2,$D451,$D451-($D451-$I$427)*MIN(E$3-$O$2,$Q$2)/$Q$2))</f>
        <v>3141.20848298073</v>
      </c>
      <c r="F451" s="15" t="n">
        <f aca="false">E451*(1+IF(F$3&lt;=$O$2,$D451,$D451-($D451-$I$427)*MIN(F$3-$O$2,$Q$2)/$Q$2))</f>
        <v>3142.41743106691</v>
      </c>
      <c r="G451" s="15" t="n">
        <f aca="false">F451*(1+IF(G$3&lt;=$O$2,$D451,$D451-($D451-$I$427)*MIN(G$3-$O$2,$Q$2)/$Q$2))</f>
        <v>3143.62684443754</v>
      </c>
      <c r="H451" s="15" t="n">
        <f aca="false">G451*(1+IF(H$3&lt;=$O$2,$D451,$D451-($D451-$I$427)*MIN(H$3-$O$2,$Q$2)/$Q$2))</f>
        <v>3144.8367232717</v>
      </c>
      <c r="I451" s="15" t="n">
        <f aca="false">H451*(1+IF(I$3&lt;=$O$2,$D451,$D451-($D451-$I$427)*MIN(I$3-$O$2,$Q$2)/$Q$2))</f>
        <v>3146.04706774853</v>
      </c>
      <c r="J451" s="15" t="n">
        <f aca="false">I451*(1+IF(J$3&lt;=$O$2,$D451,$D451-($D451-$I$427)*MIN(J$3-$O$2,$Q$2)/$Q$2))</f>
        <v>3171.11443652645</v>
      </c>
      <c r="K451" s="15" t="n">
        <f aca="false">J451*(1+IF(K$3&lt;=$O$2,$D451,$D451-($D451-$I$427)*MIN(K$3-$O$2,$Q$2)/$Q$2))</f>
        <v>3220.42818443795</v>
      </c>
      <c r="L451" s="15" t="n">
        <f aca="false">K451*(1+IF(L$3&lt;=$O$2,$D451,$D451-($D451-$I$427)*MIN(L$3-$O$2,$Q$2)/$Q$2))</f>
        <v>3294.9293989764</v>
      </c>
      <c r="M451" s="15" t="n">
        <f aca="false">L451*(1+IF(M$3&lt;=$O$2,$D451,$D451-($D451-$I$427)*MIN(M$3-$O$2,$Q$2)/$Q$2))</f>
        <v>3396.13965780571</v>
      </c>
      <c r="N451" s="15" t="n">
        <f aca="false">M451*(1+IF(N$3&lt;=$O$2,$D451,$D451-($D451-$I$427)*MIN(N$3-$O$2,$Q$2)/$Q$2))</f>
        <v>3526.21180669967</v>
      </c>
      <c r="O451" s="15" t="n">
        <f aca="false">SUMPRODUCT(E451:N451,1/(1+$F$427)^$E$3:$N$3)*$E$2</f>
        <v>9706.12962569198</v>
      </c>
      <c r="P451" s="15" t="n">
        <f aca="false">N451*$E$2*(1+$I$427)/($F$427-$I$427)/(1+$F$427)^$N$3</f>
        <v>17351.6880349968</v>
      </c>
      <c r="Q451" s="15" t="n">
        <f aca="false">O451+P451</f>
        <v>27057.8176606888</v>
      </c>
      <c r="R451" s="15" t="n">
        <f aca="false">Q451-$G$2+$I$2</f>
        <v>22990.0176606888</v>
      </c>
      <c r="S451" s="42" t="n">
        <f aca="false">R451/$K$2</f>
        <v>176.628900281874</v>
      </c>
      <c r="T451" s="43" t="n">
        <f aca="false">S451-$M$2</f>
        <v>0.000135684455756291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0.000384688377380371</v>
      </c>
      <c r="C452" s="25" t="n">
        <f aca="false">IF(T451&gt;0,D451,C451)</f>
        <v>0.000384867191314697</v>
      </c>
      <c r="D452" s="41" t="n">
        <f aca="false">(B452+C452)/2</f>
        <v>0.000384777784347534</v>
      </c>
      <c r="E452" s="15" t="n">
        <f aca="false">$C$2*(1+IF(E$3&lt;=$O$2,$D452,$D452-($D452-$I$427)*MIN(E$3-$O$2,$Q$2)/$Q$2))</f>
        <v>3141.20820224285</v>
      </c>
      <c r="F452" s="15" t="n">
        <f aca="false">E452*(1+IF(F$3&lt;=$O$2,$D452,$D452-($D452-$I$427)*MIN(F$3-$O$2,$Q$2)/$Q$2))</f>
        <v>3142.41686937508</v>
      </c>
      <c r="G452" s="15" t="n">
        <f aca="false">F452*(1+IF(G$3&lt;=$O$2,$D452,$D452-($D452-$I$427)*MIN(G$3-$O$2,$Q$2)/$Q$2))</f>
        <v>3143.62600157558</v>
      </c>
      <c r="H452" s="15" t="n">
        <f aca="false">G452*(1+IF(H$3&lt;=$O$2,$D452,$D452-($D452-$I$427)*MIN(H$3-$O$2,$Q$2)/$Q$2))</f>
        <v>3144.83559902328</v>
      </c>
      <c r="I452" s="15" t="n">
        <f aca="false">H452*(1+IF(I$3&lt;=$O$2,$D452,$D452-($D452-$I$427)*MIN(I$3-$O$2,$Q$2)/$Q$2))</f>
        <v>3146.04566189721</v>
      </c>
      <c r="J452" s="15" t="n">
        <f aca="false">I452*(1+IF(J$3&lt;=$O$2,$D452,$D452-($D452-$I$427)*MIN(J$3-$O$2,$Q$2)/$Q$2))</f>
        <v>3171.11279445074</v>
      </c>
      <c r="K452" s="15" t="n">
        <f aca="false">J452*(1+IF(K$3&lt;=$O$2,$D452,$D452-($D452-$I$427)*MIN(K$3-$O$2,$Q$2)/$Q$2))</f>
        <v>3220.4263467147</v>
      </c>
      <c r="L452" s="15" t="n">
        <f aca="false">K452*(1+IF(L$3&lt;=$O$2,$D452,$D452-($D452-$I$427)*MIN(L$3-$O$2,$Q$2)/$Q$2))</f>
        <v>3294.92740356794</v>
      </c>
      <c r="M452" s="15" t="n">
        <f aca="false">L452*(1+IF(M$3&lt;=$O$2,$D452,$D452-($D452-$I$427)*MIN(M$3-$O$2,$Q$2)/$Q$2))</f>
        <v>3396.13754218645</v>
      </c>
      <c r="N452" s="15" t="n">
        <f aca="false">M452*(1+IF(N$3&lt;=$O$2,$D452,$D452-($D452-$I$427)*MIN(N$3-$O$2,$Q$2)/$Q$2))</f>
        <v>3526.20961005219</v>
      </c>
      <c r="O452" s="15" t="n">
        <f aca="false">SUMPRODUCT(E452:N452,1/(1+$F$427)^$E$3:$N$3)*$E$2</f>
        <v>9706.12582531753</v>
      </c>
      <c r="P452" s="15" t="n">
        <f aca="false">N452*$E$2*(1+$I$427)/($F$427-$I$427)/(1+$F$427)^$N$3</f>
        <v>17351.6772257931</v>
      </c>
      <c r="Q452" s="15" t="n">
        <f aca="false">O452+P452</f>
        <v>27057.8030511106</v>
      </c>
      <c r="R452" s="15" t="n">
        <f aca="false">Q452-$G$2+$I$2</f>
        <v>22990.0030511106</v>
      </c>
      <c r="S452" s="42" t="n">
        <f aca="false">R452/$K$2</f>
        <v>176.628788038649</v>
      </c>
      <c r="T452" s="43" t="n">
        <f aca="false">S452-$M$2</f>
        <v>2.34412306667764E-005</v>
      </c>
    </row>
    <row r="454" customFormat="false" ht="15" hidden="false" customHeight="false" outlineLevel="0" collapsed="false">
      <c r="A454" s="38" t="s">
        <v>190</v>
      </c>
      <c r="E454" s="5" t="s">
        <v>11</v>
      </c>
      <c r="F454" s="12" t="n">
        <f aca="false">Sensitivity!$B$13</f>
        <v>0.0869413943493295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155</v>
      </c>
      <c r="B455" s="28" t="s">
        <v>156</v>
      </c>
      <c r="C455" s="28" t="s">
        <v>157</v>
      </c>
      <c r="D455" s="28" t="s">
        <v>158</v>
      </c>
      <c r="E455" s="28" t="s">
        <v>159</v>
      </c>
      <c r="F455" s="28" t="s">
        <v>160</v>
      </c>
      <c r="G455" s="28" t="s">
        <v>161</v>
      </c>
      <c r="H455" s="28" t="s">
        <v>162</v>
      </c>
      <c r="I455" s="28" t="s">
        <v>163</v>
      </c>
      <c r="J455" s="28" t="s">
        <v>164</v>
      </c>
      <c r="K455" s="28" t="s">
        <v>165</v>
      </c>
      <c r="L455" s="28" t="s">
        <v>166</v>
      </c>
      <c r="M455" s="28" t="s">
        <v>167</v>
      </c>
      <c r="N455" s="28" t="s">
        <v>168</v>
      </c>
      <c r="O455" s="28" t="s">
        <v>169</v>
      </c>
      <c r="P455" s="28" t="s">
        <v>170</v>
      </c>
      <c r="Q455" s="28" t="s">
        <v>171</v>
      </c>
      <c r="R455" s="28" t="s">
        <v>172</v>
      </c>
      <c r="S455" s="28" t="s">
        <v>173</v>
      </c>
      <c r="T455" s="28" t="s">
        <v>174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3925</v>
      </c>
      <c r="F456" s="15" t="n">
        <f aca="false">E456*(1+IF(F$3&lt;=$O$2,$D456,$D456-($D456-$I$454)*MIN(F$3-$O$2,$Q$2)/$Q$2))</f>
        <v>4906.25</v>
      </c>
      <c r="G456" s="15" t="n">
        <f aca="false">F456*(1+IF(G$3&lt;=$O$2,$D456,$D456-($D456-$I$454)*MIN(G$3-$O$2,$Q$2)/$Q$2))</f>
        <v>6132.8125</v>
      </c>
      <c r="H456" s="15" t="n">
        <f aca="false">G456*(1+IF(H$3&lt;=$O$2,$D456,$D456-($D456-$I$454)*MIN(H$3-$O$2,$Q$2)/$Q$2))</f>
        <v>7666.015625</v>
      </c>
      <c r="I456" s="15" t="n">
        <f aca="false">H456*(1+IF(I$3&lt;=$O$2,$D456,$D456-($D456-$I$454)*MIN(I$3-$O$2,$Q$2)/$Q$2))</f>
        <v>9582.51953125</v>
      </c>
      <c r="J456" s="15" t="n">
        <f aca="false">I456*(1+IF(J$3&lt;=$O$2,$D456,$D456-($D456-$I$454)*MIN(J$3-$O$2,$Q$2)/$Q$2))</f>
        <v>11534.0954589844</v>
      </c>
      <c r="K456" s="15" t="n">
        <f aca="false">J456*(1+IF(K$3&lt;=$O$2,$D456,$D456-($D456-$I$454)*MIN(K$3-$O$2,$Q$2)/$Q$2))</f>
        <v>13348.6393565918</v>
      </c>
      <c r="L456" s="15" t="n">
        <f aca="false">K456*(1+IF(L$3&lt;=$O$2,$D456,$D456-($D456-$I$454)*MIN(L$3-$O$2,$Q$2)/$Q$2))</f>
        <v>14830.0713523864</v>
      </c>
      <c r="M456" s="15" t="n">
        <f aca="false">L456*(1+IF(M$3&lt;=$O$2,$D456,$D456-($D456-$I$454)*MIN(M$3-$O$2,$Q$2)/$Q$2))</f>
        <v>15788.6871646046</v>
      </c>
      <c r="N456" s="15" t="n">
        <f aca="false">M456*(1+IF(N$3&lt;=$O$2,$D456,$D456-($D456-$I$454)*MIN(N$3-$O$2,$Q$2)/$Q$2))</f>
        <v>16077.6201397169</v>
      </c>
      <c r="O456" s="15" t="n">
        <f aca="false">SUMPRODUCT(E456:N456,1/(1+$F$454)^$E$3:$N$3)*$E$2</f>
        <v>27659.8467669231</v>
      </c>
      <c r="P456" s="15" t="n">
        <f aca="false">N456*$E$2*(1+$I$454)/($F$454-$I$454)/(1+$F$454)^$N$3</f>
        <v>47108.2091602654</v>
      </c>
      <c r="Q456" s="15" t="n">
        <f aca="false">O456+P456</f>
        <v>74768.0559271885</v>
      </c>
      <c r="R456" s="15" t="n">
        <f aca="false">Q456-$G$2+$I$2</f>
        <v>70700.2559271885</v>
      </c>
      <c r="S456" s="42" t="n">
        <f aca="false">R456/$K$2</f>
        <v>543.179593786021</v>
      </c>
      <c r="T456" s="43" t="n">
        <f aca="false">S456-$M$2</f>
        <v>366.550829188602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2747.5</v>
      </c>
      <c r="F457" s="15" t="n">
        <f aca="false">E457*(1+IF(F$3&lt;=$O$2,$D457,$D457-($D457-$I$454)*MIN(F$3-$O$2,$Q$2)/$Q$2))</f>
        <v>2404.0625</v>
      </c>
      <c r="G457" s="15" t="n">
        <f aca="false">F457*(1+IF(G$3&lt;=$O$2,$D457,$D457-($D457-$I$454)*MIN(G$3-$O$2,$Q$2)/$Q$2))</f>
        <v>2103.5546875</v>
      </c>
      <c r="H457" s="15" t="n">
        <f aca="false">G457*(1+IF(H$3&lt;=$O$2,$D457,$D457-($D457-$I$454)*MIN(H$3-$O$2,$Q$2)/$Q$2))</f>
        <v>1840.6103515625</v>
      </c>
      <c r="I457" s="15" t="n">
        <f aca="false">H457*(1+IF(I$3&lt;=$O$2,$D457,$D457-($D457-$I$454)*MIN(I$3-$O$2,$Q$2)/$Q$2))</f>
        <v>1610.53405761719</v>
      </c>
      <c r="J457" s="15" t="n">
        <f aca="false">I457*(1+IF(J$3&lt;=$O$2,$D457,$D457-($D457-$I$454)*MIN(J$3-$O$2,$Q$2)/$Q$2))</f>
        <v>1455.37520650635</v>
      </c>
      <c r="K457" s="15" t="n">
        <f aca="false">J457*(1+IF(K$3&lt;=$O$2,$D457,$D457-($D457-$I$454)*MIN(K$3-$O$2,$Q$2)/$Q$2))</f>
        <v>1356.87541253</v>
      </c>
      <c r="L457" s="15" t="n">
        <f aca="false">K457*(1+IF(L$3&lt;=$O$2,$D457,$D457-($D457-$I$454)*MIN(L$3-$O$2,$Q$2)/$Q$2))</f>
        <v>1303.93013393308</v>
      </c>
      <c r="M457" s="15" t="n">
        <f aca="false">L457*(1+IF(M$3&lt;=$O$2,$D457,$D457-($D457-$I$454)*MIN(M$3-$O$2,$Q$2)/$Q$2))</f>
        <v>1290.42141774553</v>
      </c>
      <c r="N457" s="15" t="n">
        <f aca="false">M457*(1+IF(N$3&lt;=$O$2,$D457,$D457-($D457-$I$454)*MIN(N$3-$O$2,$Q$2)/$Q$2))</f>
        <v>1314.03612969027</v>
      </c>
      <c r="O457" s="15" t="n">
        <f aca="false">SUMPRODUCT(E457:N457,1/(1+$F$454)^$E$3:$N$3)*$E$2</f>
        <v>5487.22053829179</v>
      </c>
      <c r="P457" s="15" t="n">
        <f aca="false">N457*$E$2*(1+$I$454)/($F$454-$I$454)/(1+$F$454)^$N$3</f>
        <v>3850.1897857804</v>
      </c>
      <c r="Q457" s="15" t="n">
        <f aca="false">O457+P457</f>
        <v>9337.41032407218</v>
      </c>
      <c r="R457" s="15" t="n">
        <f aca="false">Q457-$G$2+$I$2</f>
        <v>5269.61032407218</v>
      </c>
      <c r="S457" s="42" t="n">
        <f aca="false">R457/$K$2</f>
        <v>40.485635556793</v>
      </c>
      <c r="T457" s="43" t="n">
        <f aca="false">S457-$M$2</f>
        <v>-136.143129040626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3336.25</v>
      </c>
      <c r="F458" s="15" t="n">
        <f aca="false">E458*(1+IF(F$3&lt;=$O$2,$D458,$D458-($D458-$I$454)*MIN(F$3-$O$2,$Q$2)/$Q$2))</f>
        <v>3544.765625</v>
      </c>
      <c r="G458" s="15" t="n">
        <f aca="false">F458*(1+IF(G$3&lt;=$O$2,$D458,$D458-($D458-$I$454)*MIN(G$3-$O$2,$Q$2)/$Q$2))</f>
        <v>3766.3134765625</v>
      </c>
      <c r="H458" s="15" t="n">
        <f aca="false">G458*(1+IF(H$3&lt;=$O$2,$D458,$D458-($D458-$I$454)*MIN(H$3-$O$2,$Q$2)/$Q$2))</f>
        <v>4001.70806884766</v>
      </c>
      <c r="I458" s="15" t="n">
        <f aca="false">H458*(1+IF(I$3&lt;=$O$2,$D458,$D458-($D458-$I$454)*MIN(I$3-$O$2,$Q$2)/$Q$2))</f>
        <v>4251.81482315064</v>
      </c>
      <c r="J458" s="15" t="n">
        <f aca="false">I458*(1+IF(J$3&lt;=$O$2,$D458,$D458-($D458-$I$454)*MIN(J$3-$O$2,$Q$2)/$Q$2))</f>
        <v>4479.9672065609</v>
      </c>
      <c r="K458" s="15" t="n">
        <f aca="false">J458*(1+IF(K$3&lt;=$O$2,$D458,$D458-($D458-$I$454)*MIN(K$3-$O$2,$Q$2)/$Q$2))</f>
        <v>4680.75933675896</v>
      </c>
      <c r="L458" s="15" t="n">
        <f aca="false">K458*(1+IF(L$3&lt;=$O$2,$D458,$D458-($D458-$I$454)*MIN(L$3-$O$2,$Q$2)/$Q$2))</f>
        <v>4849.17305769555</v>
      </c>
      <c r="M458" s="15" t="n">
        <f aca="false">L458*(1+IF(M$3&lt;=$O$2,$D458,$D458-($D458-$I$454)*MIN(M$3-$O$2,$Q$2)/$Q$2))</f>
        <v>4980.7796144814</v>
      </c>
      <c r="N458" s="15" t="n">
        <f aca="false">M458*(1+IF(N$3&lt;=$O$2,$D458,$D458-($D458-$I$454)*MIN(N$3-$O$2,$Q$2)/$Q$2))</f>
        <v>5071.92788142641</v>
      </c>
      <c r="O458" s="15" t="n">
        <f aca="false">SUMPRODUCT(E458:N458,1/(1+$F$454)^$E$3:$N$3)*$E$2</f>
        <v>12294.9918600952</v>
      </c>
      <c r="P458" s="15" t="n">
        <f aca="false">N458*$E$2*(1+$I$454)/($F$454-$I$454)/(1+$F$454)^$N$3</f>
        <v>14860.9954338817</v>
      </c>
      <c r="Q458" s="15" t="n">
        <f aca="false">O458+P458</f>
        <v>27155.9872939769</v>
      </c>
      <c r="R458" s="15" t="n">
        <f aca="false">Q458-$G$2+$I$2</f>
        <v>23088.1872939769</v>
      </c>
      <c r="S458" s="42" t="n">
        <f aca="false">R458/$K$2</f>
        <v>177.383123033012</v>
      </c>
      <c r="T458" s="43" t="n">
        <f aca="false">S458-$M$2</f>
        <v>0.754358435593673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-0.125</v>
      </c>
      <c r="C459" s="25" t="n">
        <f aca="false">IF(T458&gt;0,D458,C458)</f>
        <v>0.0625</v>
      </c>
      <c r="D459" s="41" t="n">
        <f aca="false">(B459+C459)/2</f>
        <v>-0.03125</v>
      </c>
      <c r="E459" s="15" t="n">
        <f aca="false">$C$2*(1+IF(E$3&lt;=$O$2,$D459,$D459-($D459-$I$454)*MIN(E$3-$O$2,$Q$2)/$Q$2))</f>
        <v>3041.875</v>
      </c>
      <c r="F459" s="15" t="n">
        <f aca="false">E459*(1+IF(F$3&lt;=$O$2,$D459,$D459-($D459-$I$454)*MIN(F$3-$O$2,$Q$2)/$Q$2))</f>
        <v>2946.81640625</v>
      </c>
      <c r="G459" s="15" t="n">
        <f aca="false">F459*(1+IF(G$3&lt;=$O$2,$D459,$D459-($D459-$I$454)*MIN(G$3-$O$2,$Q$2)/$Q$2))</f>
        <v>2854.72839355469</v>
      </c>
      <c r="H459" s="15" t="n">
        <f aca="false">G459*(1+IF(H$3&lt;=$O$2,$D459,$D459-($D459-$I$454)*MIN(H$3-$O$2,$Q$2)/$Q$2))</f>
        <v>2765.5181312561</v>
      </c>
      <c r="I459" s="15" t="n">
        <f aca="false">H459*(1+IF(I$3&lt;=$O$2,$D459,$D459-($D459-$I$454)*MIN(I$3-$O$2,$Q$2)/$Q$2))</f>
        <v>2679.09568965435</v>
      </c>
      <c r="J459" s="15" t="n">
        <f aca="false">I459*(1+IF(J$3&lt;=$O$2,$D459,$D459-($D459-$I$454)*MIN(J$3-$O$2,$Q$2)/$Q$2))</f>
        <v>2621.92378763713</v>
      </c>
      <c r="K459" s="15" t="n">
        <f aca="false">J459*(1+IF(K$3&lt;=$O$2,$D459,$D459-($D459-$I$454)*MIN(K$3-$O$2,$Q$2)/$Q$2))</f>
        <v>2591.95519874443</v>
      </c>
      <c r="L459" s="15" t="n">
        <f aca="false">K459*(1+IF(L$3&lt;=$O$2,$D459,$D459-($D459-$I$454)*MIN(L$3-$O$2,$Q$2)/$Q$2))</f>
        <v>2588.01542684234</v>
      </c>
      <c r="M459" s="15" t="n">
        <f aca="false">L459*(1+IF(M$3&lt;=$O$2,$D459,$D459-($D459-$I$454)*MIN(M$3-$O$2,$Q$2)/$Q$2))</f>
        <v>2609.72887627355</v>
      </c>
      <c r="N459" s="15" t="n">
        <f aca="false">M459*(1+IF(N$3&lt;=$O$2,$D459,$D459-($D459-$I$454)*MIN(N$3-$O$2,$Q$2)/$Q$2))</f>
        <v>2657.48691470936</v>
      </c>
      <c r="O459" s="15" t="n">
        <f aca="false">SUMPRODUCT(E459:N459,1/(1+$F$454)^$E$3:$N$3)*$E$2</f>
        <v>8189.62540725785</v>
      </c>
      <c r="P459" s="15" t="n">
        <f aca="false">N459*$E$2*(1+$I$454)/($F$454-$I$454)/(1+$F$454)^$N$3</f>
        <v>7786.56594265085</v>
      </c>
      <c r="Q459" s="15" t="n">
        <f aca="false">O459+P459</f>
        <v>15976.1913499087</v>
      </c>
      <c r="R459" s="15" t="n">
        <f aca="false">Q459-$G$2+$I$2</f>
        <v>11908.3913499087</v>
      </c>
      <c r="S459" s="42" t="n">
        <f aca="false">R459/$K$2</f>
        <v>91.4904068063053</v>
      </c>
      <c r="T459" s="43" t="n">
        <f aca="false">S459-$M$2</f>
        <v>-85.1383577911133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-0.03125</v>
      </c>
      <c r="C460" s="25" t="n">
        <f aca="false">IF(T459&gt;0,D459,C459)</f>
        <v>0.0625</v>
      </c>
      <c r="D460" s="41" t="n">
        <f aca="false">(B460+C460)/2</f>
        <v>0.015625</v>
      </c>
      <c r="E460" s="15" t="n">
        <f aca="false">$C$2*(1+IF(E$3&lt;=$O$2,$D460,$D460-($D460-$I$454)*MIN(E$3-$O$2,$Q$2)/$Q$2))</f>
        <v>3189.0625</v>
      </c>
      <c r="F460" s="15" t="n">
        <f aca="false">E460*(1+IF(F$3&lt;=$O$2,$D460,$D460-($D460-$I$454)*MIN(F$3-$O$2,$Q$2)/$Q$2))</f>
        <v>3238.8916015625</v>
      </c>
      <c r="G460" s="15" t="n">
        <f aca="false">F460*(1+IF(G$3&lt;=$O$2,$D460,$D460-($D460-$I$454)*MIN(G$3-$O$2,$Q$2)/$Q$2))</f>
        <v>3289.49928283691</v>
      </c>
      <c r="H460" s="15" t="n">
        <f aca="false">G460*(1+IF(H$3&lt;=$O$2,$D460,$D460-($D460-$I$454)*MIN(H$3-$O$2,$Q$2)/$Q$2))</f>
        <v>3340.89770913124</v>
      </c>
      <c r="I460" s="15" t="n">
        <f aca="false">H460*(1+IF(I$3&lt;=$O$2,$D460,$D460-($D460-$I$454)*MIN(I$3-$O$2,$Q$2)/$Q$2))</f>
        <v>3393.09923583642</v>
      </c>
      <c r="J460" s="15" t="n">
        <f aca="false">I460*(1+IF(J$3&lt;=$O$2,$D460,$D460-($D460-$I$454)*MIN(J$3-$O$2,$Q$2)/$Q$2))</f>
        <v>3447.93171948753</v>
      </c>
      <c r="K460" s="15" t="n">
        <f aca="false">J460*(1+IF(K$3&lt;=$O$2,$D460,$D460-($D460-$I$454)*MIN(K$3-$O$2,$Q$2)/$Q$2))</f>
        <v>3505.49493954438</v>
      </c>
      <c r="L460" s="15" t="n">
        <f aca="false">K460*(1+IF(L$3&lt;=$O$2,$D460,$D460-($D460-$I$454)*MIN(L$3-$O$2,$Q$2)/$Q$2))</f>
        <v>3565.89461735273</v>
      </c>
      <c r="M460" s="15" t="n">
        <f aca="false">L460*(1+IF(M$3&lt;=$O$2,$D460,$D460-($D460-$I$454)*MIN(M$3-$O$2,$Q$2)/$Q$2))</f>
        <v>3629.24273523</v>
      </c>
      <c r="N460" s="15" t="n">
        <f aca="false">M460*(1+IF(N$3&lt;=$O$2,$D460,$D460-($D460-$I$454)*MIN(N$3-$O$2,$Q$2)/$Q$2))</f>
        <v>3695.65787728471</v>
      </c>
      <c r="O460" s="15" t="n">
        <f aca="false">SUMPRODUCT(E460:N460,1/(1+$F$454)^$E$3:$N$3)*$E$2</f>
        <v>10030.3679858435</v>
      </c>
      <c r="P460" s="15" t="n">
        <f aca="false">N460*$E$2*(1+$I$454)/($F$454-$I$454)/(1+$F$454)^$N$3</f>
        <v>10828.4573683787</v>
      </c>
      <c r="Q460" s="15" t="n">
        <f aca="false">O460+P460</f>
        <v>20858.8253542222</v>
      </c>
      <c r="R460" s="15" t="n">
        <f aca="false">Q460-$G$2+$I$2</f>
        <v>16791.0253542222</v>
      </c>
      <c r="S460" s="42" t="n">
        <f aca="false">R460/$K$2</f>
        <v>129.002960619409</v>
      </c>
      <c r="T460" s="43" t="n">
        <f aca="false">S460-$M$2</f>
        <v>-47.6258039780101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0.015625</v>
      </c>
      <c r="C461" s="25" t="n">
        <f aca="false">IF(T460&gt;0,D460,C460)</f>
        <v>0.0625</v>
      </c>
      <c r="D461" s="41" t="n">
        <f aca="false">(B461+C461)/2</f>
        <v>0.0390625</v>
      </c>
      <c r="E461" s="15" t="n">
        <f aca="false">$C$2*(1+IF(E$3&lt;=$O$2,$D461,$D461-($D461-$I$454)*MIN(E$3-$O$2,$Q$2)/$Q$2))</f>
        <v>3262.65625</v>
      </c>
      <c r="F461" s="15" t="n">
        <f aca="false">E461*(1+IF(F$3&lt;=$O$2,$D461,$D461-($D461-$I$454)*MIN(F$3-$O$2,$Q$2)/$Q$2))</f>
        <v>3390.10375976563</v>
      </c>
      <c r="G461" s="15" t="n">
        <f aca="false">F461*(1+IF(G$3&lt;=$O$2,$D461,$D461-($D461-$I$454)*MIN(G$3-$O$2,$Q$2)/$Q$2))</f>
        <v>3522.52968788147</v>
      </c>
      <c r="H461" s="15" t="n">
        <f aca="false">G461*(1+IF(H$3&lt;=$O$2,$D461,$D461-($D461-$I$454)*MIN(H$3-$O$2,$Q$2)/$Q$2))</f>
        <v>3660.12850381434</v>
      </c>
      <c r="I461" s="15" t="n">
        <f aca="false">H461*(1+IF(I$3&lt;=$O$2,$D461,$D461-($D461-$I$454)*MIN(I$3-$O$2,$Q$2)/$Q$2))</f>
        <v>3803.10227349459</v>
      </c>
      <c r="J461" s="15" t="n">
        <f aca="false">I461*(1+IF(J$3&lt;=$O$2,$D461,$D461-($D461-$I$454)*MIN(J$3-$O$2,$Q$2)/$Q$2))</f>
        <v>3935.86857386228</v>
      </c>
      <c r="K461" s="15" t="n">
        <f aca="false">J461*(1+IF(K$3&lt;=$O$2,$D461,$D461-($D461-$I$454)*MIN(K$3-$O$2,$Q$2)/$Q$2))</f>
        <v>4056.92605152285</v>
      </c>
      <c r="L461" s="15" t="n">
        <f aca="false">K461*(1+IF(L$3&lt;=$O$2,$D461,$D461-($D461-$I$454)*MIN(L$3-$O$2,$Q$2)/$Q$2))</f>
        <v>4164.86056912362</v>
      </c>
      <c r="M461" s="15" t="n">
        <f aca="false">L461*(1+IF(M$3&lt;=$O$2,$D461,$D461-($D461-$I$454)*MIN(M$3-$O$2,$Q$2)/$Q$2))</f>
        <v>4258.37210105187</v>
      </c>
      <c r="N461" s="15" t="n">
        <f aca="false">M461*(1+IF(N$3&lt;=$O$2,$D461,$D461-($D461-$I$454)*MIN(N$3-$O$2,$Q$2)/$Q$2))</f>
        <v>4336.30031050112</v>
      </c>
      <c r="O461" s="15" t="n">
        <f aca="false">SUMPRODUCT(E461:N461,1/(1+$F$454)^$E$3:$N$3)*$E$2</f>
        <v>11104.4001621649</v>
      </c>
      <c r="P461" s="15" t="n">
        <f aca="false">N461*$E$2*(1+$I$454)/($F$454-$I$454)/(1+$F$454)^$N$3</f>
        <v>12705.570863948</v>
      </c>
      <c r="Q461" s="15" t="n">
        <f aca="false">O461+P461</f>
        <v>23809.9710261129</v>
      </c>
      <c r="R461" s="15" t="n">
        <f aca="false">Q461-$G$2+$I$2</f>
        <v>19742.1710261129</v>
      </c>
      <c r="S461" s="42" t="n">
        <f aca="false">R461/$K$2</f>
        <v>151.676175676958</v>
      </c>
      <c r="T461" s="43" t="n">
        <f aca="false">S461-$M$2</f>
        <v>-24.9525889204604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0.0390625</v>
      </c>
      <c r="C462" s="25" t="n">
        <f aca="false">IF(T461&gt;0,D461,C461)</f>
        <v>0.0625</v>
      </c>
      <c r="D462" s="41" t="n">
        <f aca="false">(B462+C462)/2</f>
        <v>0.05078125</v>
      </c>
      <c r="E462" s="15" t="n">
        <f aca="false">$C$2*(1+IF(E$3&lt;=$O$2,$D462,$D462-($D462-$I$454)*MIN(E$3-$O$2,$Q$2)/$Q$2))</f>
        <v>3299.453125</v>
      </c>
      <c r="F462" s="15" t="n">
        <f aca="false">E462*(1+IF(F$3&lt;=$O$2,$D462,$D462-($D462-$I$454)*MIN(F$3-$O$2,$Q$2)/$Q$2))</f>
        <v>3467.00347900391</v>
      </c>
      <c r="G462" s="15" t="n">
        <f aca="false">F462*(1+IF(G$3&lt;=$O$2,$D462,$D462-($D462-$I$454)*MIN(G$3-$O$2,$Q$2)/$Q$2))</f>
        <v>3643.06224942207</v>
      </c>
      <c r="H462" s="15" t="n">
        <f aca="false">G462*(1+IF(H$3&lt;=$O$2,$D462,$D462-($D462-$I$454)*MIN(H$3-$O$2,$Q$2)/$Q$2))</f>
        <v>3828.06150427554</v>
      </c>
      <c r="I462" s="15" t="n">
        <f aca="false">H462*(1+IF(I$3&lt;=$O$2,$D462,$D462-($D462-$I$454)*MIN(I$3-$O$2,$Q$2)/$Q$2))</f>
        <v>4022.45525253953</v>
      </c>
      <c r="J462" s="15" t="n">
        <f aca="false">I462*(1+IF(J$3&lt;=$O$2,$D462,$D462-($D462-$I$454)*MIN(J$3-$O$2,$Q$2)/$Q$2))</f>
        <v>4200.58968339824</v>
      </c>
      <c r="K462" s="15" t="n">
        <f aca="false">J462*(1+IF(K$3&lt;=$O$2,$D462,$D462-($D462-$I$454)*MIN(K$3-$O$2,$Q$2)/$Q$2))</f>
        <v>4359.32471679676</v>
      </c>
      <c r="L462" s="15" t="n">
        <f aca="false">K462*(1+IF(L$3&lt;=$O$2,$D462,$D462-($D462-$I$454)*MIN(L$3-$O$2,$Q$2)/$Q$2))</f>
        <v>4495.73888549712</v>
      </c>
      <c r="M462" s="15" t="n">
        <f aca="false">L462*(1+IF(M$3&lt;=$O$2,$D462,$D462-($D462-$I$454)*MIN(M$3-$O$2,$Q$2)/$Q$2))</f>
        <v>4607.21635083663</v>
      </c>
      <c r="N462" s="15" t="n">
        <f aca="false">M462*(1+IF(N$3&lt;=$O$2,$D462,$D462-($D462-$I$454)*MIN(N$3-$O$2,$Q$2)/$Q$2))</f>
        <v>4691.52841005694</v>
      </c>
      <c r="O462" s="15" t="n">
        <f aca="false">SUMPRODUCT(E462:N462,1/(1+$F$454)^$E$3:$N$3)*$E$2</f>
        <v>11684.414066308</v>
      </c>
      <c r="P462" s="15" t="n">
        <f aca="false">N462*$E$2*(1+$I$454)/($F$454-$I$454)/(1+$F$454)^$N$3</f>
        <v>13746.4064769341</v>
      </c>
      <c r="Q462" s="15" t="n">
        <f aca="false">O462+P462</f>
        <v>25430.8205432421</v>
      </c>
      <c r="R462" s="15" t="n">
        <f aca="false">Q462-$G$2+$I$2</f>
        <v>21363.0205432421</v>
      </c>
      <c r="S462" s="42" t="n">
        <f aca="false">R462/$K$2</f>
        <v>164.128922428105</v>
      </c>
      <c r="T462" s="43" t="n">
        <f aca="false">S462-$M$2</f>
        <v>-12.4998421693141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0.05078125</v>
      </c>
      <c r="C463" s="25" t="n">
        <f aca="false">IF(T462&gt;0,D462,C462)</f>
        <v>0.0625</v>
      </c>
      <c r="D463" s="41" t="n">
        <f aca="false">(B463+C463)/2</f>
        <v>0.056640625</v>
      </c>
      <c r="E463" s="15" t="n">
        <f aca="false">$C$2*(1+IF(E$3&lt;=$O$2,$D463,$D463-($D463-$I$454)*MIN(E$3-$O$2,$Q$2)/$Q$2))</f>
        <v>3317.8515625</v>
      </c>
      <c r="F463" s="15" t="n">
        <f aca="false">E463*(1+IF(F$3&lt;=$O$2,$D463,$D463-($D463-$I$454)*MIN(F$3-$O$2,$Q$2)/$Q$2))</f>
        <v>3505.77674865723</v>
      </c>
      <c r="G463" s="15" t="n">
        <f aca="false">F463*(1+IF(G$3&lt;=$O$2,$D463,$D463-($D463-$I$454)*MIN(G$3-$O$2,$Q$2)/$Q$2))</f>
        <v>3704.34613481164</v>
      </c>
      <c r="H463" s="15" t="n">
        <f aca="false">G463*(1+IF(H$3&lt;=$O$2,$D463,$D463-($D463-$I$454)*MIN(H$3-$O$2,$Q$2)/$Q$2))</f>
        <v>3914.16261510371</v>
      </c>
      <c r="I463" s="15" t="n">
        <f aca="false">H463*(1+IF(I$3&lt;=$O$2,$D463,$D463-($D463-$I$454)*MIN(I$3-$O$2,$Q$2)/$Q$2))</f>
        <v>4135.86323197481</v>
      </c>
      <c r="J463" s="15" t="n">
        <f aca="false">I463*(1+IF(J$3&lt;=$O$2,$D463,$D463-($D463-$I$454)*MIN(J$3-$O$2,$Q$2)/$Q$2))</f>
        <v>4338.4067941027</v>
      </c>
      <c r="K463" s="15" t="n">
        <f aca="false">J463*(1+IF(K$3&lt;=$O$2,$D463,$D463-($D463-$I$454)*MIN(K$3-$O$2,$Q$2)/$Q$2))</f>
        <v>4517.60197522887</v>
      </c>
      <c r="L463" s="15" t="n">
        <f aca="false">K463*(1+IF(L$3&lt;=$O$2,$D463,$D463-($D463-$I$454)*MIN(L$3-$O$2,$Q$2)/$Q$2))</f>
        <v>4669.55716466816</v>
      </c>
      <c r="M463" s="15" t="n">
        <f aca="false">L463*(1+IF(M$3&lt;=$O$2,$D463,$D463-($D463-$I$454)*MIN(M$3-$O$2,$Q$2)/$Q$2))</f>
        <v>4790.81680881491</v>
      </c>
      <c r="N463" s="15" t="n">
        <f aca="false">M463*(1+IF(N$3&lt;=$O$2,$D463,$D463-($D463-$I$454)*MIN(N$3-$O$2,$Q$2)/$Q$2))</f>
        <v>4878.48875641622</v>
      </c>
      <c r="O463" s="15" t="n">
        <f aca="false">SUMPRODUCT(E463:N463,1/(1+$F$454)^$E$3:$N$3)*$E$2</f>
        <v>11985.7901734449</v>
      </c>
      <c r="P463" s="15" t="n">
        <f aca="false">N463*$E$2*(1+$I$454)/($F$454-$I$454)/(1+$F$454)^$N$3</f>
        <v>14294.2093870931</v>
      </c>
      <c r="Q463" s="15" t="n">
        <f aca="false">O463+P463</f>
        <v>26279.999560538</v>
      </c>
      <c r="R463" s="15" t="n">
        <f aca="false">Q463-$G$2+$I$2</f>
        <v>22212.199560538</v>
      </c>
      <c r="S463" s="42" t="n">
        <f aca="false">R463/$K$2</f>
        <v>170.653039033021</v>
      </c>
      <c r="T463" s="43" t="n">
        <f aca="false">S463-$M$2</f>
        <v>-5.97572556439735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0.056640625</v>
      </c>
      <c r="C464" s="25" t="n">
        <f aca="false">IF(T463&gt;0,D463,C463)</f>
        <v>0.0625</v>
      </c>
      <c r="D464" s="41" t="n">
        <f aca="false">(B464+C464)/2</f>
        <v>0.0595703125</v>
      </c>
      <c r="E464" s="15" t="n">
        <f aca="false">$C$2*(1+IF(E$3&lt;=$O$2,$D464,$D464-($D464-$I$454)*MIN(E$3-$O$2,$Q$2)/$Q$2))</f>
        <v>3327.05078125</v>
      </c>
      <c r="F464" s="15" t="n">
        <f aca="false">E464*(1+IF(F$3&lt;=$O$2,$D464,$D464-($D464-$I$454)*MIN(F$3-$O$2,$Q$2)/$Q$2))</f>
        <v>3525.24423599243</v>
      </c>
      <c r="G464" s="15" t="n">
        <f aca="false">F464*(1+IF(G$3&lt;=$O$2,$D464,$D464-($D464-$I$454)*MIN(G$3-$O$2,$Q$2)/$Q$2))</f>
        <v>3735.24413676932</v>
      </c>
      <c r="H464" s="15" t="n">
        <f aca="false">G464*(1+IF(H$3&lt;=$O$2,$D464,$D464-($D464-$I$454)*MIN(H$3-$O$2,$Q$2)/$Q$2))</f>
        <v>3957.75379726047</v>
      </c>
      <c r="I464" s="15" t="n">
        <f aca="false">H464*(1+IF(I$3&lt;=$O$2,$D464,$D464-($D464-$I$454)*MIN(I$3-$O$2,$Q$2)/$Q$2))</f>
        <v>4193.51842776133</v>
      </c>
      <c r="J464" s="15" t="n">
        <f aca="false">I464*(1+IF(J$3&lt;=$O$2,$D464,$D464-($D464-$I$454)*MIN(J$3-$O$2,$Q$2)/$Q$2))</f>
        <v>4408.71406777994</v>
      </c>
      <c r="K464" s="15" t="n">
        <f aca="false">J464*(1+IF(K$3&lt;=$O$2,$D464,$D464-($D464-$I$454)*MIN(K$3-$O$2,$Q$2)/$Q$2))</f>
        <v>4598.56293960057</v>
      </c>
      <c r="L464" s="15" t="n">
        <f aca="false">K464*(1+IF(L$3&lt;=$O$2,$D464,$D464-($D464-$I$454)*MIN(L$3-$O$2,$Q$2)/$Q$2))</f>
        <v>4758.63029322255</v>
      </c>
      <c r="M464" s="15" t="n">
        <f aca="false">L464*(1+IF(M$3&lt;=$O$2,$D464,$D464-($D464-$I$454)*MIN(M$3-$O$2,$Q$2)/$Q$2))</f>
        <v>4884.99125944318</v>
      </c>
      <c r="N464" s="15" t="n">
        <f aca="false">M464*(1+IF(N$3&lt;=$O$2,$D464,$D464-($D464-$I$454)*MIN(N$3-$O$2,$Q$2)/$Q$2))</f>
        <v>4974.38659949099</v>
      </c>
      <c r="O464" s="15" t="n">
        <f aca="false">SUMPRODUCT(E464:N464,1/(1+$F$454)^$E$3:$N$3)*$E$2</f>
        <v>12139.401069556</v>
      </c>
      <c r="P464" s="15" t="n">
        <f aca="false">N464*$E$2*(1+$I$454)/($F$454-$I$454)/(1+$F$454)^$N$3</f>
        <v>14575.1947325812</v>
      </c>
      <c r="Q464" s="15" t="n">
        <f aca="false">O464+P464</f>
        <v>26714.5958021372</v>
      </c>
      <c r="R464" s="15" t="n">
        <f aca="false">Q464-$G$2+$I$2</f>
        <v>22646.7958021372</v>
      </c>
      <c r="S464" s="42" t="n">
        <f aca="false">R464/$K$2</f>
        <v>173.991977582493</v>
      </c>
      <c r="T464" s="43" t="n">
        <f aca="false">S464-$M$2</f>
        <v>-2.63678701492606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0.0595703125</v>
      </c>
      <c r="C465" s="25" t="n">
        <f aca="false">IF(T464&gt;0,D464,C464)</f>
        <v>0.0625</v>
      </c>
      <c r="D465" s="41" t="n">
        <f aca="false">(B465+C465)/2</f>
        <v>0.06103515625</v>
      </c>
      <c r="E465" s="15" t="n">
        <f aca="false">$C$2*(1+IF(E$3&lt;=$O$2,$D465,$D465-($D465-$I$454)*MIN(E$3-$O$2,$Q$2)/$Q$2))</f>
        <v>3331.650390625</v>
      </c>
      <c r="F465" s="15" t="n">
        <f aca="false">E465*(1+IF(F$3&lt;=$O$2,$D465,$D465-($D465-$I$454)*MIN(F$3-$O$2,$Q$2)/$Q$2))</f>
        <v>3534.99819278717</v>
      </c>
      <c r="G465" s="15" t="n">
        <f aca="false">F465*(1+IF(G$3&lt;=$O$2,$D465,$D465-($D465-$I$454)*MIN(G$3-$O$2,$Q$2)/$Q$2))</f>
        <v>3750.7573598274</v>
      </c>
      <c r="H465" s="15" t="n">
        <f aca="false">G465*(1+IF(H$3&lt;=$O$2,$D465,$D465-($D465-$I$454)*MIN(H$3-$O$2,$Q$2)/$Q$2))</f>
        <v>3979.68542134031</v>
      </c>
      <c r="I465" s="15" t="n">
        <f aca="false">H465*(1+IF(I$3&lt;=$O$2,$D465,$D465-($D465-$I$454)*MIN(I$3-$O$2,$Q$2)/$Q$2))</f>
        <v>4222.58614285766</v>
      </c>
      <c r="J465" s="15" t="n">
        <f aca="false">I465*(1+IF(J$3&lt;=$O$2,$D465,$D465-($D465-$I$454)*MIN(J$3-$O$2,$Q$2)/$Q$2))</f>
        <v>4444.22177214724</v>
      </c>
      <c r="K465" s="15" t="n">
        <f aca="false">J465*(1+IF(K$3&lt;=$O$2,$D465,$D465-($D465-$I$454)*MIN(K$3-$O$2,$Q$2)/$Q$2))</f>
        <v>4639.50573768295</v>
      </c>
      <c r="L465" s="15" t="n">
        <f aca="false">K465*(1+IF(L$3&lt;=$O$2,$D465,$D465-($D465-$I$454)*MIN(L$3-$O$2,$Q$2)/$Q$2))</f>
        <v>4803.71669373161</v>
      </c>
      <c r="M465" s="15" t="n">
        <f aca="false">L465*(1+IF(M$3&lt;=$O$2,$D465,$D465-($D465-$I$454)*MIN(M$3-$O$2,$Q$2)/$Q$2))</f>
        <v>4932.68222592437</v>
      </c>
      <c r="N465" s="15" t="n">
        <f aca="false">M465*(1+IF(N$3&lt;=$O$2,$D465,$D465-($D465-$I$454)*MIN(N$3-$O$2,$Q$2)/$Q$2))</f>
        <v>5022.95031065879</v>
      </c>
      <c r="O465" s="15" t="n">
        <f aca="false">SUMPRODUCT(E465:N465,1/(1+$F$454)^$E$3:$N$3)*$E$2</f>
        <v>12216.9474958893</v>
      </c>
      <c r="P465" s="15" t="n">
        <f aca="false">N465*$E$2*(1+$I$454)/($F$454-$I$454)/(1+$F$454)^$N$3</f>
        <v>14717.4887688509</v>
      </c>
      <c r="Q465" s="15" t="n">
        <f aca="false">O465+P465</f>
        <v>26934.4362647402</v>
      </c>
      <c r="R465" s="15" t="n">
        <f aca="false">Q465-$G$2+$I$2</f>
        <v>22866.6362647402</v>
      </c>
      <c r="S465" s="42" t="n">
        <f aca="false">R465/$K$2</f>
        <v>175.680979292718</v>
      </c>
      <c r="T465" s="43" t="n">
        <f aca="false">S465-$M$2</f>
        <v>-0.947785304700744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0.06103515625</v>
      </c>
      <c r="C466" s="25" t="n">
        <f aca="false">IF(T465&gt;0,D465,C465)</f>
        <v>0.0625</v>
      </c>
      <c r="D466" s="41" t="n">
        <f aca="false">(B466+C466)/2</f>
        <v>0.061767578125</v>
      </c>
      <c r="E466" s="15" t="n">
        <f aca="false">$C$2*(1+IF(E$3&lt;=$O$2,$D466,$D466-($D466-$I$454)*MIN(E$3-$O$2,$Q$2)/$Q$2))</f>
        <v>3333.9501953125</v>
      </c>
      <c r="F466" s="15" t="n">
        <f aca="false">E466*(1+IF(F$3&lt;=$O$2,$D466,$D466-($D466-$I$454)*MIN(F$3-$O$2,$Q$2)/$Q$2))</f>
        <v>3539.88022446632</v>
      </c>
      <c r="G466" s="15" t="n">
        <f aca="false">F466*(1+IF(G$3&lt;=$O$2,$D466,$D466-($D466-$I$454)*MIN(G$3-$O$2,$Q$2)/$Q$2))</f>
        <v>3758.53005278419</v>
      </c>
      <c r="H466" s="15" t="n">
        <f aca="false">G466*(1+IF(H$3&lt;=$O$2,$D466,$D466-($D466-$I$454)*MIN(H$3-$O$2,$Q$2)/$Q$2))</f>
        <v>3990.6853514547</v>
      </c>
      <c r="I466" s="15" t="n">
        <f aca="false">H466*(1+IF(I$3&lt;=$O$2,$D466,$D466-($D466-$I$454)*MIN(I$3-$O$2,$Q$2)/$Q$2))</f>
        <v>4237.18032067297</v>
      </c>
      <c r="J466" s="15" t="n">
        <f aca="false">I466*(1+IF(J$3&lt;=$O$2,$D466,$D466-($D466-$I$454)*MIN(J$3-$O$2,$Q$2)/$Q$2))</f>
        <v>4462.06469383614</v>
      </c>
      <c r="K466" s="15" t="n">
        <f aca="false">J466*(1+IF(K$3&lt;=$O$2,$D466,$D466-($D466-$I$454)*MIN(K$3-$O$2,$Q$2)/$Q$2))</f>
        <v>4660.09356514021</v>
      </c>
      <c r="L466" s="15" t="n">
        <f aca="false">K466*(1+IF(L$3&lt;=$O$2,$D466,$D466-($D466-$I$454)*MIN(L$3-$O$2,$Q$2)/$Q$2))</f>
        <v>4826.3984698273</v>
      </c>
      <c r="M466" s="15" t="n">
        <f aca="false">L466*(1+IF(M$3&lt;=$O$2,$D466,$D466-($D466-$I$454)*MIN(M$3-$O$2,$Q$2)/$Q$2))</f>
        <v>4956.67993233506</v>
      </c>
      <c r="N466" s="15" t="n">
        <f aca="false">M466*(1+IF(N$3&lt;=$O$2,$D466,$D466-($D466-$I$454)*MIN(N$3-$O$2,$Q$2)/$Q$2))</f>
        <v>5047.38717509679</v>
      </c>
      <c r="O466" s="15" t="n">
        <f aca="false">SUMPRODUCT(E466:N466,1/(1+$F$454)^$E$3:$N$3)*$E$2</f>
        <v>12255.9072496479</v>
      </c>
      <c r="P466" s="15" t="n">
        <f aca="false">N466*$E$2*(1+$I$454)/($F$454-$I$454)/(1+$F$454)^$N$3</f>
        <v>14789.0899704692</v>
      </c>
      <c r="Q466" s="15" t="n">
        <f aca="false">O466+P466</f>
        <v>27044.9972201171</v>
      </c>
      <c r="R466" s="15" t="n">
        <f aca="false">Q466-$G$2+$I$2</f>
        <v>22977.1972201171</v>
      </c>
      <c r="S466" s="42" t="n">
        <f aca="false">R466/$K$2</f>
        <v>176.530402735995</v>
      </c>
      <c r="T466" s="43" t="n">
        <f aca="false">S466-$M$2</f>
        <v>-0.0983618614234274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0.061767578125</v>
      </c>
      <c r="C467" s="25" t="n">
        <f aca="false">IF(T466&gt;0,D466,C466)</f>
        <v>0.0625</v>
      </c>
      <c r="D467" s="41" t="n">
        <f aca="false">(B467+C467)/2</f>
        <v>0.0621337890625</v>
      </c>
      <c r="E467" s="15" t="n">
        <f aca="false">$C$2*(1+IF(E$3&lt;=$O$2,$D467,$D467-($D467-$I$454)*MIN(E$3-$O$2,$Q$2)/$Q$2))</f>
        <v>3335.10009765625</v>
      </c>
      <c r="F467" s="15" t="n">
        <f aca="false">E467*(1+IF(F$3&lt;=$O$2,$D467,$D467-($D467-$I$454)*MIN(F$3-$O$2,$Q$2)/$Q$2))</f>
        <v>3542.32250362635</v>
      </c>
      <c r="G467" s="15" t="n">
        <f aca="false">F467*(1+IF(G$3&lt;=$O$2,$D467,$D467-($D467-$I$454)*MIN(G$3-$O$2,$Q$2)/$Q$2))</f>
        <v>3762.42042285801</v>
      </c>
      <c r="H467" s="15" t="n">
        <f aca="false">G467*(1+IF(H$3&lt;=$O$2,$D467,$D467-($D467-$I$454)*MIN(H$3-$O$2,$Q$2)/$Q$2))</f>
        <v>3996.19385977631</v>
      </c>
      <c r="I467" s="15" t="n">
        <f aca="false">H467*(1+IF(I$3&lt;=$O$2,$D467,$D467-($D467-$I$454)*MIN(I$3-$O$2,$Q$2)/$Q$2))</f>
        <v>4244.49252611251</v>
      </c>
      <c r="J467" s="15" t="n">
        <f aca="false">I467*(1+IF(J$3&lt;=$O$2,$D467,$D467-($D467-$I$454)*MIN(J$3-$O$2,$Q$2)/$Q$2))</f>
        <v>4471.00849139395</v>
      </c>
      <c r="K467" s="15" t="n">
        <f aca="false">J467*(1+IF(K$3&lt;=$O$2,$D467,$D467-($D467-$I$454)*MIN(K$3-$O$2,$Q$2)/$Q$2))</f>
        <v>4670.41669265151</v>
      </c>
      <c r="L467" s="15" t="n">
        <f aca="false">K467*(1+IF(L$3&lt;=$O$2,$D467,$D467-($D467-$I$454)*MIN(L$3-$O$2,$Q$2)/$Q$2))</f>
        <v>4837.7741421829</v>
      </c>
      <c r="M467" s="15" t="n">
        <f aca="false">L467*(1+IF(M$3&lt;=$O$2,$D467,$D467-($D467-$I$454)*MIN(M$3-$O$2,$Q$2)/$Q$2))</f>
        <v>4968.71700324093</v>
      </c>
      <c r="N467" s="15" t="n">
        <f aca="false">M467*(1+IF(N$3&lt;=$O$2,$D467,$D467-($D467-$I$454)*MIN(N$3-$O$2,$Q$2)/$Q$2))</f>
        <v>5059.64452440024</v>
      </c>
      <c r="O467" s="15" t="n">
        <f aca="false">SUMPRODUCT(E467:N467,1/(1+$F$454)^$E$3:$N$3)*$E$2</f>
        <v>12275.4339244688</v>
      </c>
      <c r="P467" s="15" t="n">
        <f aca="false">N467*$E$2*(1+$I$454)/($F$454-$I$454)/(1+$F$454)^$N$3</f>
        <v>14825.0046002291</v>
      </c>
      <c r="Q467" s="15" t="n">
        <f aca="false">O467+P467</f>
        <v>27100.4385246979</v>
      </c>
      <c r="R467" s="15" t="n">
        <f aca="false">Q467-$G$2+$I$2</f>
        <v>23032.6385246979</v>
      </c>
      <c r="S467" s="42" t="n">
        <f aca="false">R467/$K$2</f>
        <v>176.956350066824</v>
      </c>
      <c r="T467" s="43" t="n">
        <f aca="false">S467-$M$2</f>
        <v>0.327585469405847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0.061767578125</v>
      </c>
      <c r="C468" s="25" t="n">
        <f aca="false">IF(T467&gt;0,D467,C467)</f>
        <v>0.0621337890625</v>
      </c>
      <c r="D468" s="41" t="n">
        <f aca="false">(B468+C468)/2</f>
        <v>0.06195068359375</v>
      </c>
      <c r="E468" s="15" t="n">
        <f aca="false">$C$2*(1+IF(E$3&lt;=$O$2,$D468,$D468-($D468-$I$454)*MIN(E$3-$O$2,$Q$2)/$Q$2))</f>
        <v>3334.52514648438</v>
      </c>
      <c r="F468" s="15" t="n">
        <f aca="false">E468*(1+IF(F$3&lt;=$O$2,$D468,$D468-($D468-$I$454)*MIN(F$3-$O$2,$Q$2)/$Q$2))</f>
        <v>3541.10125876963</v>
      </c>
      <c r="G468" s="15" t="n">
        <f aca="false">F468*(1+IF(G$3&lt;=$O$2,$D468,$D468-($D468-$I$454)*MIN(G$3-$O$2,$Q$2)/$Q$2))</f>
        <v>3760.4749024251</v>
      </c>
      <c r="H468" s="15" t="n">
        <f aca="false">G468*(1+IF(H$3&lt;=$O$2,$D468,$D468-($D468-$I$454)*MIN(H$3-$O$2,$Q$2)/$Q$2))</f>
        <v>3993.43889326747</v>
      </c>
      <c r="I468" s="15" t="n">
        <f aca="false">H468*(1+IF(I$3&lt;=$O$2,$D468,$D468-($D468-$I$454)*MIN(I$3-$O$2,$Q$2)/$Q$2))</f>
        <v>4240.83516259526</v>
      </c>
      <c r="J468" s="15" t="n">
        <f aca="false">I468*(1+IF(J$3&lt;=$O$2,$D468,$D468-($D468-$I$454)*MIN(J$3-$O$2,$Q$2)/$Q$2))</f>
        <v>4466.53472915531</v>
      </c>
      <c r="K468" s="15" t="n">
        <f aca="false">J468*(1+IF(K$3&lt;=$O$2,$D468,$D468-($D468-$I$454)*MIN(K$3-$O$2,$Q$2)/$Q$2))</f>
        <v>4665.25269123257</v>
      </c>
      <c r="L468" s="15" t="n">
        <f aca="false">K468*(1+IF(L$3&lt;=$O$2,$D468,$D468-($D468-$I$454)*MIN(L$3-$O$2,$Q$2)/$Q$2))</f>
        <v>4832.08340312608</v>
      </c>
      <c r="M468" s="15" t="n">
        <f aca="false">L468*(1+IF(M$3&lt;=$O$2,$D468,$D468-($D468-$I$454)*MIN(M$3-$O$2,$Q$2)/$Q$2))</f>
        <v>4962.69527814898</v>
      </c>
      <c r="N468" s="15" t="n">
        <f aca="false">M468*(1+IF(N$3&lt;=$O$2,$D468,$D468-($D468-$I$454)*MIN(N$3-$O$2,$Q$2)/$Q$2))</f>
        <v>5053.5126017391</v>
      </c>
      <c r="O468" s="15" t="n">
        <f aca="false">SUMPRODUCT(E468:N468,1/(1+$F$454)^$E$3:$N$3)*$E$2</f>
        <v>12265.6666823746</v>
      </c>
      <c r="P468" s="15" t="n">
        <f aca="false">N468*$E$2*(1+$I$454)/($F$454-$I$454)/(1+$F$454)^$N$3</f>
        <v>14807.0377685236</v>
      </c>
      <c r="Q468" s="15" t="n">
        <f aca="false">O468+P468</f>
        <v>27072.7044508982</v>
      </c>
      <c r="R468" s="15" t="n">
        <f aca="false">Q468-$G$2+$I$2</f>
        <v>23004.9044508982</v>
      </c>
      <c r="S468" s="42" t="n">
        <f aca="false">R468/$K$2</f>
        <v>176.743273285942</v>
      </c>
      <c r="T468" s="43" t="n">
        <f aca="false">S468-$M$2</f>
        <v>0.114508688523102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0.061767578125</v>
      </c>
      <c r="C469" s="25" t="n">
        <f aca="false">IF(T468&gt;0,D468,C468)</f>
        <v>0.06195068359375</v>
      </c>
      <c r="D469" s="41" t="n">
        <f aca="false">(B469+C469)/2</f>
        <v>0.061859130859375</v>
      </c>
      <c r="E469" s="15" t="n">
        <f aca="false">$C$2*(1+IF(E$3&lt;=$O$2,$D469,$D469-($D469-$I$454)*MIN(E$3-$O$2,$Q$2)/$Q$2))</f>
        <v>3334.23767089844</v>
      </c>
      <c r="F469" s="15" t="n">
        <f aca="false">E469*(1+IF(F$3&lt;=$O$2,$D469,$D469-($D469-$I$454)*MIN(F$3-$O$2,$Q$2)/$Q$2))</f>
        <v>3540.4907152988</v>
      </c>
      <c r="G469" s="15" t="n">
        <f aca="false">F469*(1+IF(G$3&lt;=$O$2,$D469,$D469-($D469-$I$454)*MIN(G$3-$O$2,$Q$2)/$Q$2))</f>
        <v>3759.50239376287</v>
      </c>
      <c r="H469" s="15" t="n">
        <f aca="false">G469*(1+IF(H$3&lt;=$O$2,$D469,$D469-($D469-$I$454)*MIN(H$3-$O$2,$Q$2)/$Q$2))</f>
        <v>3992.06194430478</v>
      </c>
      <c r="I469" s="15" t="n">
        <f aca="false">H469*(1+IF(I$3&lt;=$O$2,$D469,$D469-($D469-$I$454)*MIN(I$3-$O$2,$Q$2)/$Q$2))</f>
        <v>4239.00742651626</v>
      </c>
      <c r="J469" s="15" t="n">
        <f aca="false">I469*(1+IF(J$3&lt;=$O$2,$D469,$D469-($D469-$I$454)*MIN(J$3-$O$2,$Q$2)/$Q$2))</f>
        <v>4464.2992457859</v>
      </c>
      <c r="K469" s="15" t="n">
        <f aca="false">J469*(1+IF(K$3&lt;=$O$2,$D469,$D469-($D469-$I$454)*MIN(K$3-$O$2,$Q$2)/$Q$2))</f>
        <v>4662.67251900934</v>
      </c>
      <c r="L469" s="15" t="n">
        <f aca="false">K469*(1+IF(L$3&lt;=$O$2,$D469,$D469-($D469-$I$454)*MIN(L$3-$O$2,$Q$2)/$Q$2))</f>
        <v>4829.24021107119</v>
      </c>
      <c r="M469" s="15" t="n">
        <f aca="false">L469*(1+IF(M$3&lt;=$O$2,$D469,$D469-($D469-$I$454)*MIN(M$3-$O$2,$Q$2)/$Q$2))</f>
        <v>4959.68680819487</v>
      </c>
      <c r="N469" s="15" t="n">
        <f aca="false">M469*(1+IF(N$3&lt;=$O$2,$D469,$D469-($D469-$I$454)*MIN(N$3-$O$2,$Q$2)/$Q$2))</f>
        <v>5050.44907678484</v>
      </c>
      <c r="O469" s="15" t="n">
        <f aca="false">SUMPRODUCT(E469:N469,1/(1+$F$454)^$E$3:$N$3)*$E$2</f>
        <v>12260.7859902047</v>
      </c>
      <c r="P469" s="15" t="n">
        <f aca="false">N469*$E$2*(1+$I$454)/($F$454-$I$454)/(1+$F$454)^$N$3</f>
        <v>14798.0614913719</v>
      </c>
      <c r="Q469" s="15" t="n">
        <f aca="false">O469+P469</f>
        <v>27058.8474815766</v>
      </c>
      <c r="R469" s="15" t="n">
        <f aca="false">Q469-$G$2+$I$2</f>
        <v>22991.0474815766</v>
      </c>
      <c r="S469" s="42" t="n">
        <f aca="false">R469/$K$2</f>
        <v>176.636812243213</v>
      </c>
      <c r="T469" s="43" t="n">
        <f aca="false">S469-$M$2</f>
        <v>0.00804764579467587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0.061767578125</v>
      </c>
      <c r="C470" s="25" t="n">
        <f aca="false">IF(T469&gt;0,D469,C469)</f>
        <v>0.061859130859375</v>
      </c>
      <c r="D470" s="41" t="n">
        <f aca="false">(B470+C470)/2</f>
        <v>0.0618133544921875</v>
      </c>
      <c r="E470" s="15" t="n">
        <f aca="false">$C$2*(1+IF(E$3&lt;=$O$2,$D470,$D470-($D470-$I$454)*MIN(E$3-$O$2,$Q$2)/$Q$2))</f>
        <v>3334.09393310547</v>
      </c>
      <c r="F470" s="15" t="n">
        <f aca="false">E470*(1+IF(F$3&lt;=$O$2,$D470,$D470-($D470-$I$454)*MIN(F$3-$O$2,$Q$2)/$Q$2))</f>
        <v>3540.18546330277</v>
      </c>
      <c r="G470" s="15" t="n">
        <f aca="false">F470*(1+IF(G$3&lt;=$O$2,$D470,$D470-($D470-$I$454)*MIN(G$3-$O$2,$Q$2)/$Q$2))</f>
        <v>3759.01620231399</v>
      </c>
      <c r="H470" s="15" t="n">
        <f aca="false">G470*(1+IF(H$3&lt;=$O$2,$D470,$D470-($D470-$I$454)*MIN(H$3-$O$2,$Q$2)/$Q$2))</f>
        <v>3991.3736033695</v>
      </c>
      <c r="I470" s="15" t="n">
        <f aca="false">H470*(1+IF(I$3&lt;=$O$2,$D470,$D470-($D470-$I$454)*MIN(I$3-$O$2,$Q$2)/$Q$2))</f>
        <v>4238.09379482534</v>
      </c>
      <c r="J470" s="15" t="n">
        <f aca="false">I470*(1+IF(J$3&lt;=$O$2,$D470,$D470-($D470-$I$454)*MIN(J$3-$O$2,$Q$2)/$Q$2))</f>
        <v>4463.18185340295</v>
      </c>
      <c r="K470" s="15" t="n">
        <f aca="false">J470*(1+IF(K$3&lt;=$O$2,$D470,$D470-($D470-$I$454)*MIN(K$3-$O$2,$Q$2)/$Q$2))</f>
        <v>4661.38288981035</v>
      </c>
      <c r="L470" s="15" t="n">
        <f aca="false">K470*(1+IF(L$3&lt;=$O$2,$D470,$D470-($D470-$I$454)*MIN(L$3-$O$2,$Q$2)/$Q$2))</f>
        <v>4827.81915913714</v>
      </c>
      <c r="M470" s="15" t="n">
        <f aca="false">L470*(1+IF(M$3&lt;=$O$2,$D470,$D470-($D470-$I$454)*MIN(M$3-$O$2,$Q$2)/$Q$2))</f>
        <v>4958.18317104849</v>
      </c>
      <c r="N470" s="15" t="n">
        <f aca="false">M470*(1+IF(N$3&lt;=$O$2,$D470,$D470-($D470-$I$454)*MIN(N$3-$O$2,$Q$2)/$Q$2))</f>
        <v>5048.91792307867</v>
      </c>
      <c r="O470" s="15" t="n">
        <f aca="false">SUMPRODUCT(E470:N470,1/(1+$F$454)^$E$3:$N$3)*$E$2</f>
        <v>12258.3463760202</v>
      </c>
      <c r="P470" s="15" t="n">
        <f aca="false">N470*$E$2*(1+$I$454)/($F$454-$I$454)/(1+$F$454)^$N$3</f>
        <v>14793.5751365246</v>
      </c>
      <c r="Q470" s="15" t="n">
        <f aca="false">O470+P470</f>
        <v>27051.9215125449</v>
      </c>
      <c r="R470" s="15" t="n">
        <f aca="false">Q470-$G$2+$I$2</f>
        <v>22984.1215125449</v>
      </c>
      <c r="S470" s="42" t="n">
        <f aca="false">R470/$K$2</f>
        <v>176.583601049054</v>
      </c>
      <c r="T470" s="43" t="n">
        <f aca="false">S470-$M$2</f>
        <v>-0.0451635483646555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0.0618133544921875</v>
      </c>
      <c r="C471" s="25" t="n">
        <f aca="false">IF(T470&gt;0,D470,C470)</f>
        <v>0.061859130859375</v>
      </c>
      <c r="D471" s="41" t="n">
        <f aca="false">(B471+C471)/2</f>
        <v>0.0618362426757813</v>
      </c>
      <c r="E471" s="15" t="n">
        <f aca="false">$C$2*(1+IF(E$3&lt;=$O$2,$D471,$D471-($D471-$I$454)*MIN(E$3-$O$2,$Q$2)/$Q$2))</f>
        <v>3334.16580200195</v>
      </c>
      <c r="F471" s="15" t="n">
        <f aca="false">E471*(1+IF(F$3&lt;=$O$2,$D471,$D471-($D471-$I$454)*MIN(F$3-$O$2,$Q$2)/$Q$2))</f>
        <v>3540.33808765584</v>
      </c>
      <c r="G471" s="15" t="n">
        <f aca="false">F471*(1+IF(G$3&lt;=$O$2,$D471,$D471-($D471-$I$454)*MIN(G$3-$O$2,$Q$2)/$Q$2))</f>
        <v>3759.25929279843</v>
      </c>
      <c r="H471" s="15" t="n">
        <f aca="false">G471*(1+IF(H$3&lt;=$O$2,$D471,$D471-($D471-$I$454)*MIN(H$3-$O$2,$Q$2)/$Q$2))</f>
        <v>3991.7177627091</v>
      </c>
      <c r="I471" s="15" t="n">
        <f aca="false">H471*(1+IF(I$3&lt;=$O$2,$D471,$D471-($D471-$I$454)*MIN(I$3-$O$2,$Q$2)/$Q$2))</f>
        <v>4238.55059097721</v>
      </c>
      <c r="J471" s="15" t="n">
        <f aca="false">I471*(1+IF(J$3&lt;=$O$2,$D471,$D471-($D471-$I$454)*MIN(J$3-$O$2,$Q$2)/$Q$2))</f>
        <v>4463.74052048998</v>
      </c>
      <c r="K471" s="15" t="n">
        <f aca="false">J471*(1+IF(K$3&lt;=$O$2,$D471,$D471-($D471-$I$454)*MIN(K$3-$O$2,$Q$2)/$Q$2))</f>
        <v>4662.02766634001</v>
      </c>
      <c r="L471" s="15" t="n">
        <f aca="false">K471*(1+IF(L$3&lt;=$O$2,$D471,$D471-($D471-$I$454)*MIN(L$3-$O$2,$Q$2)/$Q$2))</f>
        <v>4828.52963977123</v>
      </c>
      <c r="M471" s="15" t="n">
        <f aca="false">L471*(1+IF(M$3&lt;=$O$2,$D471,$D471-($D471-$I$454)*MIN(M$3-$O$2,$Q$2)/$Q$2))</f>
        <v>4958.9349398119</v>
      </c>
      <c r="N471" s="15" t="n">
        <f aca="false">M471*(1+IF(N$3&lt;=$O$2,$D471,$D471-($D471-$I$454)*MIN(N$3-$O$2,$Q$2)/$Q$2))</f>
        <v>5049.68344921045</v>
      </c>
      <c r="O471" s="15" t="n">
        <f aca="false">SUMPRODUCT(E471:N471,1/(1+$F$454)^$E$3:$N$3)*$E$2</f>
        <v>12259.5661221303</v>
      </c>
      <c r="P471" s="15" t="n">
        <f aca="false">N471*$E$2*(1+$I$454)/($F$454-$I$454)/(1+$F$454)^$N$3</f>
        <v>14795.8181653324</v>
      </c>
      <c r="Q471" s="15" t="n">
        <f aca="false">O471+P471</f>
        <v>27055.3842874627</v>
      </c>
      <c r="R471" s="15" t="n">
        <f aca="false">Q471-$G$2+$I$2</f>
        <v>22987.5842874627</v>
      </c>
      <c r="S471" s="42" t="n">
        <f aca="false">R471/$K$2</f>
        <v>176.610205035822</v>
      </c>
      <c r="T471" s="43" t="n">
        <f aca="false">S471-$M$2</f>
        <v>-0.0185595615961347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0.0618362426757813</v>
      </c>
      <c r="C472" s="25" t="n">
        <f aca="false">IF(T471&gt;0,D471,C471)</f>
        <v>0.061859130859375</v>
      </c>
      <c r="D472" s="41" t="n">
        <f aca="false">(B472+C472)/2</f>
        <v>0.0618476867675781</v>
      </c>
      <c r="E472" s="15" t="n">
        <f aca="false">$C$2*(1+IF(E$3&lt;=$O$2,$D472,$D472-($D472-$I$454)*MIN(E$3-$O$2,$Q$2)/$Q$2))</f>
        <v>3334.2017364502</v>
      </c>
      <c r="F472" s="15" t="n">
        <f aca="false">E472*(1+IF(F$3&lt;=$O$2,$D472,$D472-($D472-$I$454)*MIN(F$3-$O$2,$Q$2)/$Q$2))</f>
        <v>3540.41440106608</v>
      </c>
      <c r="G472" s="15" t="n">
        <f aca="false">F472*(1+IF(G$3&lt;=$O$2,$D472,$D472-($D472-$I$454)*MIN(G$3-$O$2,$Q$2)/$Q$2))</f>
        <v>3759.38084197064</v>
      </c>
      <c r="H472" s="15" t="n">
        <f aca="false">G472*(1+IF(H$3&lt;=$O$2,$D472,$D472-($D472-$I$454)*MIN(H$3-$O$2,$Q$2)/$Q$2))</f>
        <v>3991.88985072487</v>
      </c>
      <c r="I472" s="15" t="n">
        <f aca="false">H472*(1+IF(I$3&lt;=$O$2,$D472,$D472-($D472-$I$454)*MIN(I$3-$O$2,$Q$2)/$Q$2))</f>
        <v>4238.77900382318</v>
      </c>
      <c r="J472" s="15" t="n">
        <f aca="false">I472*(1+IF(J$3&lt;=$O$2,$D472,$D472-($D472-$I$454)*MIN(J$3-$O$2,$Q$2)/$Q$2))</f>
        <v>4464.01987586153</v>
      </c>
      <c r="K472" s="15" t="n">
        <f aca="false">J472*(1+IF(K$3&lt;=$O$2,$D472,$D472-($D472-$I$454)*MIN(K$3-$O$2,$Q$2)/$Q$2))</f>
        <v>4662.35008315675</v>
      </c>
      <c r="L472" s="15" t="n">
        <f aca="false">K472*(1+IF(L$3&lt;=$O$2,$D472,$D472-($D472-$I$454)*MIN(L$3-$O$2,$Q$2)/$Q$2))</f>
        <v>4828.88491408736</v>
      </c>
      <c r="M472" s="15" t="n">
        <f aca="false">L472*(1+IF(M$3&lt;=$O$2,$D472,$D472-($D472-$I$454)*MIN(M$3-$O$2,$Q$2)/$Q$2))</f>
        <v>4959.31086155023</v>
      </c>
      <c r="N472" s="15" t="n">
        <f aca="false">M472*(1+IF(N$3&lt;=$O$2,$D472,$D472-($D472-$I$454)*MIN(N$3-$O$2,$Q$2)/$Q$2))</f>
        <v>5050.0662503166</v>
      </c>
      <c r="O472" s="15" t="n">
        <f aca="false">SUMPRODUCT(E472:N472,1/(1+$F$454)^$E$3:$N$3)*$E$2</f>
        <v>12260.1760409212</v>
      </c>
      <c r="P472" s="15" t="n">
        <f aca="false">N472*$E$2*(1+$I$454)/($F$454-$I$454)/(1+$F$454)^$N$3</f>
        <v>14796.939791196</v>
      </c>
      <c r="Q472" s="15" t="n">
        <f aca="false">O472+P472</f>
        <v>27057.1158321173</v>
      </c>
      <c r="R472" s="15" t="n">
        <f aca="false">Q472-$G$2+$I$2</f>
        <v>22989.3158321173</v>
      </c>
      <c r="S472" s="42" t="n">
        <f aca="false">R472/$K$2</f>
        <v>176.623508236918</v>
      </c>
      <c r="T472" s="43" t="n">
        <f aca="false">S472-$M$2</f>
        <v>-0.00525636050022627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0.0618476867675781</v>
      </c>
      <c r="C473" s="25" t="n">
        <f aca="false">IF(T472&gt;0,D472,C472)</f>
        <v>0.061859130859375</v>
      </c>
      <c r="D473" s="41" t="n">
        <f aca="false">(B473+C473)/2</f>
        <v>0.0618534088134766</v>
      </c>
      <c r="E473" s="15" t="n">
        <f aca="false">$C$2*(1+IF(E$3&lt;=$O$2,$D473,$D473-($D473-$I$454)*MIN(E$3-$O$2,$Q$2)/$Q$2))</f>
        <v>3334.21970367432</v>
      </c>
      <c r="F473" s="15" t="n">
        <f aca="false">E473*(1+IF(F$3&lt;=$O$2,$D473,$D473-($D473-$I$454)*MIN(F$3-$O$2,$Q$2)/$Q$2))</f>
        <v>3540.45255807963</v>
      </c>
      <c r="G473" s="15" t="n">
        <f aca="false">F473*(1+IF(G$3&lt;=$O$2,$D473,$D473-($D473-$I$454)*MIN(G$3-$O$2,$Q$2)/$Q$2))</f>
        <v>3759.44161753925</v>
      </c>
      <c r="H473" s="15" t="n">
        <f aca="false">G473*(1+IF(H$3&lt;=$O$2,$D473,$D473-($D473-$I$454)*MIN(H$3-$O$2,$Q$2)/$Q$2))</f>
        <v>3991.9758968193</v>
      </c>
      <c r="I473" s="15" t="n">
        <f aca="false">H473*(1+IF(I$3&lt;=$O$2,$D473,$D473-($D473-$I$454)*MIN(I$3-$O$2,$Q$2)/$Q$2))</f>
        <v>4238.89321393881</v>
      </c>
      <c r="J473" s="15" t="n">
        <f aca="false">I473*(1+IF(J$3&lt;=$O$2,$D473,$D473-($D473-$I$454)*MIN(J$3-$O$2,$Q$2)/$Q$2))</f>
        <v>4464.15955900457</v>
      </c>
      <c r="K473" s="15" t="n">
        <f aca="false">J473*(1+IF(K$3&lt;=$O$2,$D473,$D473-($D473-$I$454)*MIN(K$3-$O$2,$Q$2)/$Q$2))</f>
        <v>4662.51129870351</v>
      </c>
      <c r="L473" s="15" t="n">
        <f aca="false">K473*(1+IF(L$3&lt;=$O$2,$D473,$D473-($D473-$I$454)*MIN(L$3-$O$2,$Q$2)/$Q$2))</f>
        <v>4829.06255974574</v>
      </c>
      <c r="M473" s="15" t="n">
        <f aca="false">L473*(1+IF(M$3&lt;=$O$2,$D473,$D473-($D473-$I$454)*MIN(M$3-$O$2,$Q$2)/$Q$2))</f>
        <v>4959.49883175917</v>
      </c>
      <c r="N473" s="15" t="n">
        <f aca="false">M473*(1+IF(N$3&lt;=$O$2,$D473,$D473-($D473-$I$454)*MIN(N$3-$O$2,$Q$2)/$Q$2))</f>
        <v>5050.25766038037</v>
      </c>
      <c r="O473" s="15" t="n">
        <f aca="false">SUMPRODUCT(E473:N473,1/(1+$F$454)^$E$3:$N$3)*$E$2</f>
        <v>12260.4810117513</v>
      </c>
      <c r="P473" s="15" t="n">
        <f aca="false">N473*$E$2*(1+$I$454)/($F$454-$I$454)/(1+$F$454)^$N$3</f>
        <v>14797.5006319947</v>
      </c>
      <c r="Q473" s="15" t="n">
        <f aca="false">O473+P473</f>
        <v>27057.981643746</v>
      </c>
      <c r="R473" s="15" t="n">
        <f aca="false">Q473-$G$2+$I$2</f>
        <v>22990.181643746</v>
      </c>
      <c r="S473" s="42" t="n">
        <f aca="false">R473/$K$2</f>
        <v>176.630160139413</v>
      </c>
      <c r="T473" s="43" t="n">
        <f aca="false">S473-$M$2</f>
        <v>0.00139554199466829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0.0618476867675781</v>
      </c>
      <c r="C474" s="25" t="n">
        <f aca="false">IF(T473&gt;0,D473,C473)</f>
        <v>0.0618534088134766</v>
      </c>
      <c r="D474" s="41" t="n">
        <f aca="false">(B474+C474)/2</f>
        <v>0.0618505477905273</v>
      </c>
      <c r="E474" s="15" t="n">
        <f aca="false">$C$2*(1+IF(E$3&lt;=$O$2,$D474,$D474-($D474-$I$454)*MIN(E$3-$O$2,$Q$2)/$Q$2))</f>
        <v>3334.21072006226</v>
      </c>
      <c r="F474" s="15" t="n">
        <f aca="false">E474*(1+IF(F$3&lt;=$O$2,$D474,$D474-($D474-$I$454)*MIN(F$3-$O$2,$Q$2)/$Q$2))</f>
        <v>3540.43347954716</v>
      </c>
      <c r="G474" s="15" t="n">
        <f aca="false">F474*(1+IF(G$3&lt;=$O$2,$D474,$D474-($D474-$I$454)*MIN(G$3-$O$2,$Q$2)/$Q$2))</f>
        <v>3759.41122967307</v>
      </c>
      <c r="H474" s="15" t="n">
        <f aca="false">G474*(1+IF(H$3&lt;=$O$2,$D474,$D474-($D474-$I$454)*MIN(H$3-$O$2,$Q$2)/$Q$2))</f>
        <v>3991.93287359821</v>
      </c>
      <c r="I474" s="15" t="n">
        <f aca="false">H474*(1+IF(I$3&lt;=$O$2,$D474,$D474-($D474-$I$454)*MIN(I$3-$O$2,$Q$2)/$Q$2))</f>
        <v>4238.83610857327</v>
      </c>
      <c r="J474" s="15" t="n">
        <f aca="false">I474*(1+IF(J$3&lt;=$O$2,$D474,$D474-($D474-$I$454)*MIN(J$3-$O$2,$Q$2)/$Q$2))</f>
        <v>4464.08971697827</v>
      </c>
      <c r="K474" s="15" t="n">
        <f aca="false">J474*(1+IF(K$3&lt;=$O$2,$D474,$D474-($D474-$I$454)*MIN(K$3-$O$2,$Q$2)/$Q$2))</f>
        <v>4662.43069033525</v>
      </c>
      <c r="L474" s="15" t="n">
        <f aca="false">K474*(1+IF(L$3&lt;=$O$2,$D474,$D474-($D474-$I$454)*MIN(L$3-$O$2,$Q$2)/$Q$2))</f>
        <v>4828.97373620817</v>
      </c>
      <c r="M474" s="15" t="n">
        <f aca="false">L474*(1+IF(M$3&lt;=$O$2,$D474,$D474-($D474-$I$454)*MIN(M$3-$O$2,$Q$2)/$Q$2))</f>
        <v>4959.40484587637</v>
      </c>
      <c r="N474" s="15" t="n">
        <f aca="false">M474*(1+IF(N$3&lt;=$O$2,$D474,$D474-($D474-$I$454)*MIN(N$3-$O$2,$Q$2)/$Q$2))</f>
        <v>5050.16195455591</v>
      </c>
      <c r="O474" s="15" t="n">
        <f aca="false">SUMPRODUCT(E474:N474,1/(1+$F$454)^$E$3:$N$3)*$E$2</f>
        <v>12260.3285253834</v>
      </c>
      <c r="P474" s="15" t="n">
        <f aca="false">N474*$E$2*(1+$I$454)/($F$454-$I$454)/(1+$F$454)^$N$3</f>
        <v>14797.2202092731</v>
      </c>
      <c r="Q474" s="15" t="n">
        <f aca="false">O474+P474</f>
        <v>27057.5487346565</v>
      </c>
      <c r="R474" s="15" t="n">
        <f aca="false">Q474-$G$2+$I$2</f>
        <v>22989.7487346565</v>
      </c>
      <c r="S474" s="42" t="n">
        <f aca="false">R474/$K$2</f>
        <v>176.626834163003</v>
      </c>
      <c r="T474" s="43" t="n">
        <f aca="false">S474-$M$2</f>
        <v>-0.00193043441561258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0.0618505477905273</v>
      </c>
      <c r="C475" s="25" t="n">
        <f aca="false">IF(T474&gt;0,D474,C474)</f>
        <v>0.0618534088134766</v>
      </c>
      <c r="D475" s="41" t="n">
        <f aca="false">(B475+C475)/2</f>
        <v>0.061851978302002</v>
      </c>
      <c r="E475" s="15" t="n">
        <f aca="false">$C$2*(1+IF(E$3&lt;=$O$2,$D475,$D475-($D475-$I$454)*MIN(E$3-$O$2,$Q$2)/$Q$2))</f>
        <v>3334.21521186829</v>
      </c>
      <c r="F475" s="15" t="n">
        <f aca="false">E475*(1+IF(F$3&lt;=$O$2,$D475,$D475-($D475-$I$454)*MIN(F$3-$O$2,$Q$2)/$Q$2))</f>
        <v>3540.44301880697</v>
      </c>
      <c r="G475" s="15" t="n">
        <f aca="false">F475*(1+IF(G$3&lt;=$O$2,$D475,$D475-($D475-$I$454)*MIN(G$3-$O$2,$Q$2)/$Q$2))</f>
        <v>3759.42642358569</v>
      </c>
      <c r="H475" s="15" t="n">
        <f aca="false">G475*(1+IF(H$3&lt;=$O$2,$D475,$D475-($D475-$I$454)*MIN(H$3-$O$2,$Q$2)/$Q$2))</f>
        <v>3991.95438516529</v>
      </c>
      <c r="I475" s="15" t="n">
        <f aca="false">H475*(1+IF(I$3&lt;=$O$2,$D475,$D475-($D475-$I$454)*MIN(I$3-$O$2,$Q$2)/$Q$2))</f>
        <v>4238.86466117911</v>
      </c>
      <c r="J475" s="15" t="n">
        <f aca="false">I475*(1+IF(J$3&lt;=$O$2,$D475,$D475-($D475-$I$454)*MIN(J$3-$O$2,$Q$2)/$Q$2))</f>
        <v>4464.12463787773</v>
      </c>
      <c r="K475" s="15" t="n">
        <f aca="false">J475*(1+IF(K$3&lt;=$O$2,$D475,$D475-($D475-$I$454)*MIN(K$3-$O$2,$Q$2)/$Q$2))</f>
        <v>4662.47099437066</v>
      </c>
      <c r="L475" s="15" t="n">
        <f aca="false">K475*(1+IF(L$3&lt;=$O$2,$D475,$D475-($D475-$I$454)*MIN(L$3-$O$2,$Q$2)/$Q$2))</f>
        <v>4829.01814779986</v>
      </c>
      <c r="M475" s="15" t="n">
        <f aca="false">L475*(1+IF(M$3&lt;=$O$2,$D475,$D475-($D475-$I$454)*MIN(M$3-$O$2,$Q$2)/$Q$2))</f>
        <v>4959.45183862319</v>
      </c>
      <c r="N475" s="15" t="n">
        <f aca="false">M475*(1+IF(N$3&lt;=$O$2,$D475,$D475-($D475-$I$454)*MIN(N$3-$O$2,$Q$2)/$Q$2))</f>
        <v>5050.20980726999</v>
      </c>
      <c r="O475" s="15" t="n">
        <f aca="false">SUMPRODUCT(E475:N475,1/(1+$F$454)^$E$3:$N$3)*$E$2</f>
        <v>12260.4047683291</v>
      </c>
      <c r="P475" s="15" t="n">
        <f aca="false">N475*$E$2*(1+$I$454)/($F$454-$I$454)/(1+$F$454)^$N$3</f>
        <v>14797.3604200533</v>
      </c>
      <c r="Q475" s="15" t="n">
        <f aca="false">O475+P475</f>
        <v>27057.7651883824</v>
      </c>
      <c r="R475" s="15" t="n">
        <f aca="false">Q475-$G$2+$I$2</f>
        <v>22989.9651883824</v>
      </c>
      <c r="S475" s="42" t="n">
        <f aca="false">R475/$K$2</f>
        <v>176.628497144917</v>
      </c>
      <c r="T475" s="43" t="n">
        <f aca="false">S475-$M$2</f>
        <v>-0.000267452501219623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0.061851978302002</v>
      </c>
      <c r="C476" s="25" t="n">
        <f aca="false">IF(T475&gt;0,D475,C475)</f>
        <v>0.0618534088134766</v>
      </c>
      <c r="D476" s="41" t="n">
        <f aca="false">(B476+C476)/2</f>
        <v>0.0618526935577393</v>
      </c>
      <c r="E476" s="15" t="n">
        <f aca="false">$C$2*(1+IF(E$3&lt;=$O$2,$D476,$D476-($D476-$I$454)*MIN(E$3-$O$2,$Q$2)/$Q$2))</f>
        <v>3334.2174577713</v>
      </c>
      <c r="F476" s="15" t="n">
        <f aca="false">E476*(1+IF(F$3&lt;=$O$2,$D476,$D476-($D476-$I$454)*MIN(F$3-$O$2,$Q$2)/$Q$2))</f>
        <v>3540.44778844169</v>
      </c>
      <c r="G476" s="15" t="n">
        <f aca="false">F476*(1+IF(G$3&lt;=$O$2,$D476,$D476-($D476-$I$454)*MIN(G$3-$O$2,$Q$2)/$Q$2))</f>
        <v>3759.43402055735</v>
      </c>
      <c r="H476" s="15" t="n">
        <f aca="false">G476*(1+IF(H$3&lt;=$O$2,$D476,$D476-($D476-$I$454)*MIN(H$3-$O$2,$Q$2)/$Q$2))</f>
        <v>3991.96514098143</v>
      </c>
      <c r="I476" s="15" t="n">
        <f aca="false">H476*(1+IF(I$3&lt;=$O$2,$D476,$D476-($D476-$I$454)*MIN(I$3-$O$2,$Q$2)/$Q$2))</f>
        <v>4238.87893753973</v>
      </c>
      <c r="J476" s="15" t="n">
        <f aca="false">I476*(1+IF(J$3&lt;=$O$2,$D476,$D476-($D476-$I$454)*MIN(J$3-$O$2,$Q$2)/$Q$2))</f>
        <v>4464.14209841273</v>
      </c>
      <c r="K476" s="15" t="n">
        <f aca="false">J476*(1+IF(K$3&lt;=$O$2,$D476,$D476-($D476-$I$454)*MIN(K$3-$O$2,$Q$2)/$Q$2))</f>
        <v>4662.4911464999</v>
      </c>
      <c r="L476" s="15" t="n">
        <f aca="false">K476*(1+IF(L$3&lt;=$O$2,$D476,$D476-($D476-$I$454)*MIN(L$3-$O$2,$Q$2)/$Q$2))</f>
        <v>4829.04035372852</v>
      </c>
      <c r="M476" s="15" t="n">
        <f aca="false">L476*(1+IF(M$3&lt;=$O$2,$D476,$D476-($D476-$I$454)*MIN(M$3-$O$2,$Q$2)/$Q$2))</f>
        <v>4959.47533514253</v>
      </c>
      <c r="N476" s="15" t="n">
        <f aca="false">M476*(1+IF(N$3&lt;=$O$2,$D476,$D476-($D476-$I$454)*MIN(N$3-$O$2,$Q$2)/$Q$2))</f>
        <v>5050.23373377564</v>
      </c>
      <c r="O476" s="15" t="n">
        <f aca="false">SUMPRODUCT(E476:N476,1/(1+$F$454)^$E$3:$N$3)*$E$2</f>
        <v>12260.4428899807</v>
      </c>
      <c r="P476" s="15" t="n">
        <f aca="false">N476*$E$2*(1+$I$454)/($F$454-$I$454)/(1+$F$454)^$N$3</f>
        <v>14797.4305258789</v>
      </c>
      <c r="Q476" s="15" t="n">
        <f aca="false">O476+P476</f>
        <v>27057.8734158595</v>
      </c>
      <c r="R476" s="15" t="n">
        <f aca="false">Q476-$G$2+$I$2</f>
        <v>22990.0734158595</v>
      </c>
      <c r="S476" s="42" t="n">
        <f aca="false">R476/$K$2</f>
        <v>176.629328640593</v>
      </c>
      <c r="T476" s="43" t="n">
        <f aca="false">S476-$M$2</f>
        <v>0.000564043174023254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0.061851978302002</v>
      </c>
      <c r="C477" s="25" t="n">
        <f aca="false">IF(T476&gt;0,D476,C476)</f>
        <v>0.0618526935577393</v>
      </c>
      <c r="D477" s="41" t="n">
        <f aca="false">(B477+C477)/2</f>
        <v>0.0618523359298706</v>
      </c>
      <c r="E477" s="15" t="n">
        <f aca="false">$C$2*(1+IF(E$3&lt;=$O$2,$D477,$D477-($D477-$I$454)*MIN(E$3-$O$2,$Q$2)/$Q$2))</f>
        <v>3334.21633481979</v>
      </c>
      <c r="F477" s="15" t="n">
        <f aca="false">E477*(1+IF(F$3&lt;=$O$2,$D477,$D477-($D477-$I$454)*MIN(F$3-$O$2,$Q$2)/$Q$2))</f>
        <v>3540.44540362393</v>
      </c>
      <c r="G477" s="15" t="n">
        <f aca="false">F477*(1+IF(G$3&lt;=$O$2,$D477,$D477-($D477-$I$454)*MIN(G$3-$O$2,$Q$2)/$Q$2))</f>
        <v>3759.43022207024</v>
      </c>
      <c r="H477" s="15" t="n">
        <f aca="false">G477*(1+IF(H$3&lt;=$O$2,$D477,$D477-($D477-$I$454)*MIN(H$3-$O$2,$Q$2)/$Q$2))</f>
        <v>3991.95976307064</v>
      </c>
      <c r="I477" s="15" t="n">
        <f aca="false">H477*(1+IF(I$3&lt;=$O$2,$D477,$D477-($D477-$I$454)*MIN(I$3-$O$2,$Q$2)/$Q$2))</f>
        <v>4238.87179935461</v>
      </c>
      <c r="J477" s="15" t="n">
        <f aca="false">I477*(1+IF(J$3&lt;=$O$2,$D477,$D477-($D477-$I$454)*MIN(J$3-$O$2,$Q$2)/$Q$2))</f>
        <v>4464.13336813812</v>
      </c>
      <c r="K477" s="15" t="n">
        <f aca="false">J477*(1+IF(K$3&lt;=$O$2,$D477,$D477-($D477-$I$454)*MIN(K$3-$O$2,$Q$2)/$Q$2))</f>
        <v>4662.48107042598</v>
      </c>
      <c r="L477" s="15" t="n">
        <f aca="false">K477*(1+IF(L$3&lt;=$O$2,$D477,$D477-($D477-$I$454)*MIN(L$3-$O$2,$Q$2)/$Q$2))</f>
        <v>4829.02925075312</v>
      </c>
      <c r="M477" s="15" t="n">
        <f aca="false">L477*(1+IF(M$3&lt;=$O$2,$D477,$D477-($D477-$I$454)*MIN(M$3-$O$2,$Q$2)/$Q$2))</f>
        <v>4959.4635868707</v>
      </c>
      <c r="N477" s="15" t="n">
        <f aca="false">M477*(1+IF(N$3&lt;=$O$2,$D477,$D477-($D477-$I$454)*MIN(N$3-$O$2,$Q$2)/$Q$2))</f>
        <v>5050.22177051043</v>
      </c>
      <c r="O477" s="15" t="n">
        <f aca="false">SUMPRODUCT(E477:N477,1/(1+$F$454)^$E$3:$N$3)*$E$2</f>
        <v>12260.42382914</v>
      </c>
      <c r="P477" s="15" t="n">
        <f aca="false">N477*$E$2*(1+$I$454)/($F$454-$I$454)/(1+$F$454)^$N$3</f>
        <v>14797.3954729298</v>
      </c>
      <c r="Q477" s="15" t="n">
        <f aca="false">O477+P477</f>
        <v>27057.8193020698</v>
      </c>
      <c r="R477" s="15" t="n">
        <f aca="false">Q477-$G$2+$I$2</f>
        <v>22990.0193020698</v>
      </c>
      <c r="S477" s="42" t="n">
        <f aca="false">R477/$K$2</f>
        <v>176.628912892362</v>
      </c>
      <c r="T477" s="43" t="n">
        <f aca="false">S477-$M$2</f>
        <v>0.000148294943244309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0.061851978302002</v>
      </c>
      <c r="C478" s="25" t="n">
        <f aca="false">IF(T477&gt;0,D477,C477)</f>
        <v>0.0618523359298706</v>
      </c>
      <c r="D478" s="41" t="n">
        <f aca="false">(B478+C478)/2</f>
        <v>0.0618521571159363</v>
      </c>
      <c r="E478" s="15" t="n">
        <f aca="false">$C$2*(1+IF(E$3&lt;=$O$2,$D478,$D478-($D478-$I$454)*MIN(E$3-$O$2,$Q$2)/$Q$2))</f>
        <v>3334.21577334404</v>
      </c>
      <c r="F478" s="15" t="n">
        <f aca="false">E478*(1+IF(F$3&lt;=$O$2,$D478,$D478-($D478-$I$454)*MIN(F$3-$O$2,$Q$2)/$Q$2))</f>
        <v>3540.44421121535</v>
      </c>
      <c r="G478" s="15" t="n">
        <f aca="false">F478*(1+IF(G$3&lt;=$O$2,$D478,$D478-($D478-$I$454)*MIN(G$3-$O$2,$Q$2)/$Q$2))</f>
        <v>3759.42832282765</v>
      </c>
      <c r="H478" s="15" t="n">
        <f aca="false">G478*(1+IF(H$3&lt;=$O$2,$D478,$D478-($D478-$I$454)*MIN(H$3-$O$2,$Q$2)/$Q$2))</f>
        <v>3991.95707411728</v>
      </c>
      <c r="I478" s="15" t="n">
        <f aca="false">H478*(1+IF(I$3&lt;=$O$2,$D478,$D478-($D478-$I$454)*MIN(I$3-$O$2,$Q$2)/$Q$2))</f>
        <v>4238.86823026566</v>
      </c>
      <c r="J478" s="15" t="n">
        <f aca="false">I478*(1+IF(J$3&lt;=$O$2,$D478,$D478-($D478-$I$454)*MIN(J$3-$O$2,$Q$2)/$Q$2))</f>
        <v>4464.12900300615</v>
      </c>
      <c r="K478" s="15" t="n">
        <f aca="false">J478*(1+IF(K$3&lt;=$O$2,$D478,$D478-($D478-$I$454)*MIN(K$3-$O$2,$Q$2)/$Q$2))</f>
        <v>4662.476032396</v>
      </c>
      <c r="L478" s="15" t="n">
        <f aca="false">K478*(1+IF(L$3&lt;=$O$2,$D478,$D478-($D478-$I$454)*MIN(L$3-$O$2,$Q$2)/$Q$2))</f>
        <v>4829.02369927372</v>
      </c>
      <c r="M478" s="15" t="n">
        <f aca="false">L478*(1+IF(M$3&lt;=$O$2,$D478,$D478-($D478-$I$454)*MIN(M$3-$O$2,$Q$2)/$Q$2))</f>
        <v>4959.4577127439</v>
      </c>
      <c r="N478" s="15" t="n">
        <f aca="false">M478*(1+IF(N$3&lt;=$O$2,$D478,$D478-($D478-$I$454)*MIN(N$3-$O$2,$Q$2)/$Q$2))</f>
        <v>5050.21578888711</v>
      </c>
      <c r="O478" s="15" t="n">
        <f aca="false">SUMPRODUCT(E478:N478,1/(1+$F$454)^$E$3:$N$3)*$E$2</f>
        <v>12260.4142987309</v>
      </c>
      <c r="P478" s="15" t="n">
        <f aca="false">N478*$E$2*(1+$I$454)/($F$454-$I$454)/(1+$F$454)^$N$3</f>
        <v>14797.3779464825</v>
      </c>
      <c r="Q478" s="15" t="n">
        <f aca="false">O478+P478</f>
        <v>27057.7922452133</v>
      </c>
      <c r="R478" s="15" t="n">
        <f aca="false">Q478-$G$2+$I$2</f>
        <v>22989.9922452133</v>
      </c>
      <c r="S478" s="42" t="n">
        <f aca="false">R478/$K$2</f>
        <v>176.628705018541</v>
      </c>
      <c r="T478" s="43" t="n">
        <f aca="false">S478-$M$2</f>
        <v>-5.95788773125605E-005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0.0618521571159363</v>
      </c>
      <c r="C479" s="25" t="n">
        <f aca="false">IF(T478&gt;0,D478,C478)</f>
        <v>0.0618523359298706</v>
      </c>
      <c r="D479" s="41" t="n">
        <f aca="false">(B479+C479)/2</f>
        <v>0.0618522465229034</v>
      </c>
      <c r="E479" s="15" t="n">
        <f aca="false">$C$2*(1+IF(E$3&lt;=$O$2,$D479,$D479-($D479-$I$454)*MIN(E$3-$O$2,$Q$2)/$Q$2))</f>
        <v>3334.21605408192</v>
      </c>
      <c r="F479" s="15" t="n">
        <f aca="false">E479*(1+IF(F$3&lt;=$O$2,$D479,$D479-($D479-$I$454)*MIN(F$3-$O$2,$Q$2)/$Q$2))</f>
        <v>3540.44480741961</v>
      </c>
      <c r="G479" s="15" t="n">
        <f aca="false">F479*(1+IF(G$3&lt;=$O$2,$D479,$D479-($D479-$I$454)*MIN(G$3-$O$2,$Q$2)/$Q$2))</f>
        <v>3759.42927244887</v>
      </c>
      <c r="H479" s="15" t="n">
        <f aca="false">G479*(1+IF(H$3&lt;=$O$2,$D479,$D479-($D479-$I$454)*MIN(H$3-$O$2,$Q$2)/$Q$2))</f>
        <v>3991.95841859379</v>
      </c>
      <c r="I479" s="15" t="n">
        <f aca="false">H479*(1+IF(I$3&lt;=$O$2,$D479,$D479-($D479-$I$454)*MIN(I$3-$O$2,$Q$2)/$Q$2))</f>
        <v>4238.87001480984</v>
      </c>
      <c r="J479" s="15" t="n">
        <f aca="false">I479*(1+IF(J$3&lt;=$O$2,$D479,$D479-($D479-$I$454)*MIN(J$3-$O$2,$Q$2)/$Q$2))</f>
        <v>4464.13118557169</v>
      </c>
      <c r="K479" s="15" t="n">
        <f aca="false">J479*(1+IF(K$3&lt;=$O$2,$D479,$D479-($D479-$I$454)*MIN(K$3-$O$2,$Q$2)/$Q$2))</f>
        <v>4662.47855141041</v>
      </c>
      <c r="L479" s="15" t="n">
        <f aca="false">K479*(1+IF(L$3&lt;=$O$2,$D479,$D479-($D479-$I$454)*MIN(L$3-$O$2,$Q$2)/$Q$2))</f>
        <v>4829.02647501273</v>
      </c>
      <c r="M479" s="15" t="n">
        <f aca="false">L479*(1+IF(M$3&lt;=$O$2,$D479,$D479-($D479-$I$454)*MIN(M$3-$O$2,$Q$2)/$Q$2))</f>
        <v>4959.46064980654</v>
      </c>
      <c r="N479" s="15" t="n">
        <f aca="false">M479*(1+IF(N$3&lt;=$O$2,$D479,$D479-($D479-$I$454)*MIN(N$3-$O$2,$Q$2)/$Q$2))</f>
        <v>5050.218779698</v>
      </c>
      <c r="O479" s="15" t="n">
        <f aca="false">SUMPRODUCT(E479:N479,1/(1+$F$454)^$E$3:$N$3)*$E$2</f>
        <v>12260.4190639345</v>
      </c>
      <c r="P479" s="15" t="n">
        <f aca="false">N479*$E$2*(1+$I$454)/($F$454-$I$454)/(1+$F$454)^$N$3</f>
        <v>14797.3867097039</v>
      </c>
      <c r="Q479" s="15" t="n">
        <f aca="false">O479+P479</f>
        <v>27057.8057736384</v>
      </c>
      <c r="R479" s="15" t="n">
        <f aca="false">Q479-$G$2+$I$2</f>
        <v>22990.0057736384</v>
      </c>
      <c r="S479" s="42" t="n">
        <f aca="false">R479/$K$2</f>
        <v>176.628808955427</v>
      </c>
      <c r="T479" s="43" t="n">
        <f aca="false">S479-$M$2</f>
        <v>4.43580084095174E-005</v>
      </c>
    </row>
    <row r="481" customFormat="false" ht="15" hidden="false" customHeight="false" outlineLevel="0" collapsed="false">
      <c r="A481" s="38" t="s">
        <v>191</v>
      </c>
      <c r="E481" s="5" t="s">
        <v>11</v>
      </c>
      <c r="F481" s="12" t="n">
        <f aca="false">Sensitivity!$B$13</f>
        <v>0.0869413943493295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155</v>
      </c>
      <c r="B482" s="28" t="s">
        <v>156</v>
      </c>
      <c r="C482" s="28" t="s">
        <v>157</v>
      </c>
      <c r="D482" s="28" t="s">
        <v>158</v>
      </c>
      <c r="E482" s="28" t="s">
        <v>159</v>
      </c>
      <c r="F482" s="28" t="s">
        <v>160</v>
      </c>
      <c r="G482" s="28" t="s">
        <v>161</v>
      </c>
      <c r="H482" s="28" t="s">
        <v>162</v>
      </c>
      <c r="I482" s="28" t="s">
        <v>163</v>
      </c>
      <c r="J482" s="28" t="s">
        <v>164</v>
      </c>
      <c r="K482" s="28" t="s">
        <v>165</v>
      </c>
      <c r="L482" s="28" t="s">
        <v>166</v>
      </c>
      <c r="M482" s="28" t="s">
        <v>167</v>
      </c>
      <c r="N482" s="28" t="s">
        <v>168</v>
      </c>
      <c r="O482" s="28" t="s">
        <v>169</v>
      </c>
      <c r="P482" s="28" t="s">
        <v>170</v>
      </c>
      <c r="Q482" s="28" t="s">
        <v>171</v>
      </c>
      <c r="R482" s="28" t="s">
        <v>172</v>
      </c>
      <c r="S482" s="28" t="s">
        <v>173</v>
      </c>
      <c r="T482" s="28" t="s">
        <v>174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3925</v>
      </c>
      <c r="F483" s="15" t="n">
        <f aca="false">E483*(1+IF(F$3&lt;=$O$2,$D483,$D483-($D483-$I$481)*MIN(F$3-$O$2,$Q$2)/$Q$2))</f>
        <v>4906.25</v>
      </c>
      <c r="G483" s="15" t="n">
        <f aca="false">F483*(1+IF(G$3&lt;=$O$2,$D483,$D483-($D483-$I$481)*MIN(G$3-$O$2,$Q$2)/$Q$2))</f>
        <v>6132.8125</v>
      </c>
      <c r="H483" s="15" t="n">
        <f aca="false">G483*(1+IF(H$3&lt;=$O$2,$D483,$D483-($D483-$I$481)*MIN(H$3-$O$2,$Q$2)/$Q$2))</f>
        <v>7666.015625</v>
      </c>
      <c r="I483" s="15" t="n">
        <f aca="false">H483*(1+IF(I$3&lt;=$O$2,$D483,$D483-($D483-$I$481)*MIN(I$3-$O$2,$Q$2)/$Q$2))</f>
        <v>9582.51953125</v>
      </c>
      <c r="J483" s="15" t="n">
        <f aca="false">I483*(1+IF(J$3&lt;=$O$2,$D483,$D483-($D483-$I$481)*MIN(J$3-$O$2,$Q$2)/$Q$2))</f>
        <v>11543.6779785156</v>
      </c>
      <c r="K483" s="15" t="n">
        <f aca="false">J483*(1+IF(K$3&lt;=$O$2,$D483,$D483-($D483-$I$481)*MIN(K$3-$O$2,$Q$2)/$Q$2))</f>
        <v>13382.8167540527</v>
      </c>
      <c r="L483" s="15" t="n">
        <f aca="false">K483*(1+IF(L$3&lt;=$O$2,$D483,$D483-($D483-$I$481)*MIN(L$3-$O$2,$Q$2)/$Q$2))</f>
        <v>14908.1902076797</v>
      </c>
      <c r="M483" s="15" t="n">
        <f aca="false">L483*(1+IF(M$3&lt;=$O$2,$D483,$D483-($D483-$I$481)*MIN(M$3-$O$2,$Q$2)/$Q$2))</f>
        <v>15931.4883835348</v>
      </c>
      <c r="N483" s="15" t="n">
        <f aca="false">M483*(1+IF(N$3&lt;=$O$2,$D483,$D483-($D483-$I$481)*MIN(N$3-$O$2,$Q$2)/$Q$2))</f>
        <v>16302.6920628712</v>
      </c>
      <c r="O483" s="15" t="n">
        <f aca="false">SUMPRODUCT(E483:N483,1/(1+$F$481)^$E$3:$N$3)*$E$2</f>
        <v>27764.4956771528</v>
      </c>
      <c r="P483" s="15" t="n">
        <f aca="false">N483*$E$2*(1+$I$481)/($F$481-$I$481)/(1+$F$481)^$N$3</f>
        <v>51773.5324702716</v>
      </c>
      <c r="Q483" s="15" t="n">
        <f aca="false">O483+P483</f>
        <v>79538.0281474244</v>
      </c>
      <c r="R483" s="15" t="n">
        <f aca="false">Q483-$G$2+$I$2</f>
        <v>75470.2281474244</v>
      </c>
      <c r="S483" s="42" t="n">
        <f aca="false">R483/$K$2</f>
        <v>579.826583800126</v>
      </c>
      <c r="T483" s="43" t="n">
        <f aca="false">S483-$M$2</f>
        <v>403.197819202708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2747.5</v>
      </c>
      <c r="F484" s="15" t="n">
        <f aca="false">E484*(1+IF(F$3&lt;=$O$2,$D484,$D484-($D484-$I$481)*MIN(F$3-$O$2,$Q$2)/$Q$2))</f>
        <v>2404.0625</v>
      </c>
      <c r="G484" s="15" t="n">
        <f aca="false">F484*(1+IF(G$3&lt;=$O$2,$D484,$D484-($D484-$I$481)*MIN(G$3-$O$2,$Q$2)/$Q$2))</f>
        <v>2103.5546875</v>
      </c>
      <c r="H484" s="15" t="n">
        <f aca="false">G484*(1+IF(H$3&lt;=$O$2,$D484,$D484-($D484-$I$481)*MIN(H$3-$O$2,$Q$2)/$Q$2))</f>
        <v>1840.6103515625</v>
      </c>
      <c r="I484" s="15" t="n">
        <f aca="false">H484*(1+IF(I$3&lt;=$O$2,$D484,$D484-($D484-$I$481)*MIN(I$3-$O$2,$Q$2)/$Q$2))</f>
        <v>1610.53405761719</v>
      </c>
      <c r="J484" s="15" t="n">
        <f aca="false">I484*(1+IF(J$3&lt;=$O$2,$D484,$D484-($D484-$I$481)*MIN(J$3-$O$2,$Q$2)/$Q$2))</f>
        <v>1456.98574056396</v>
      </c>
      <c r="K484" s="15" t="n">
        <f aca="false">J484*(1+IF(K$3&lt;=$O$2,$D484,$D484-($D484-$I$481)*MIN(K$3-$O$2,$Q$2)/$Q$2))</f>
        <v>1361.29091712372</v>
      </c>
      <c r="L484" s="15" t="n">
        <f aca="false">K484*(1+IF(L$3&lt;=$O$2,$D484,$D484-($D484-$I$481)*MIN(L$3-$O$2,$Q$2)/$Q$2))</f>
        <v>1312.25721828893</v>
      </c>
      <c r="M484" s="15" t="n">
        <f aca="false">L484*(1+IF(M$3&lt;=$O$2,$D484,$D484-($D484-$I$481)*MIN(M$3-$O$2,$Q$2)/$Q$2))</f>
        <v>1303.91126238061</v>
      </c>
      <c r="N484" s="15" t="n">
        <f aca="false">M484*(1+IF(N$3&lt;=$O$2,$D484,$D484-($D484-$I$481)*MIN(N$3-$O$2,$Q$2)/$Q$2))</f>
        <v>1334.29239479408</v>
      </c>
      <c r="O484" s="15" t="n">
        <f aca="false">SUMPRODUCT(E484:N484,1/(1+$F$481)^$E$3:$N$3)*$E$2</f>
        <v>5497.62430262505</v>
      </c>
      <c r="P484" s="15" t="n">
        <f aca="false">N484*$E$2*(1+$I$481)/($F$481-$I$481)/(1+$F$481)^$N$3</f>
        <v>4237.40020116294</v>
      </c>
      <c r="Q484" s="15" t="n">
        <f aca="false">O484+P484</f>
        <v>9735.02450378799</v>
      </c>
      <c r="R484" s="15" t="n">
        <f aca="false">Q484-$G$2+$I$2</f>
        <v>5667.22450378799</v>
      </c>
      <c r="S484" s="42" t="n">
        <f aca="false">R484/$K$2</f>
        <v>43.5404464027964</v>
      </c>
      <c r="T484" s="43" t="n">
        <f aca="false">S484-$M$2</f>
        <v>-133.088318194622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3336.25</v>
      </c>
      <c r="F485" s="15" t="n">
        <f aca="false">E485*(1+IF(F$3&lt;=$O$2,$D485,$D485-($D485-$I$481)*MIN(F$3-$O$2,$Q$2)/$Q$2))</f>
        <v>3544.765625</v>
      </c>
      <c r="G485" s="15" t="n">
        <f aca="false">F485*(1+IF(G$3&lt;=$O$2,$D485,$D485-($D485-$I$481)*MIN(G$3-$O$2,$Q$2)/$Q$2))</f>
        <v>3766.3134765625</v>
      </c>
      <c r="H485" s="15" t="n">
        <f aca="false">G485*(1+IF(H$3&lt;=$O$2,$D485,$D485-($D485-$I$481)*MIN(H$3-$O$2,$Q$2)/$Q$2))</f>
        <v>4001.70806884766</v>
      </c>
      <c r="I485" s="15" t="n">
        <f aca="false">H485*(1+IF(I$3&lt;=$O$2,$D485,$D485-($D485-$I$481)*MIN(I$3-$O$2,$Q$2)/$Q$2))</f>
        <v>4251.81482315064</v>
      </c>
      <c r="J485" s="15" t="n">
        <f aca="false">I485*(1+IF(J$3&lt;=$O$2,$D485,$D485-($D485-$I$481)*MIN(J$3-$O$2,$Q$2)/$Q$2))</f>
        <v>4484.21902138405</v>
      </c>
      <c r="K485" s="15" t="n">
        <f aca="false">J485*(1+IF(K$3&lt;=$O$2,$D485,$D485-($D485-$I$481)*MIN(K$3-$O$2,$Q$2)/$Q$2))</f>
        <v>4694.17015596525</v>
      </c>
      <c r="L485" s="15" t="n">
        <f aca="false">K485*(1+IF(L$3&lt;=$O$2,$D485,$D485-($D485-$I$481)*MIN(L$3-$O$2,$Q$2)/$Q$2))</f>
        <v>4877.14890864478</v>
      </c>
      <c r="M485" s="15" t="n">
        <f aca="false">L485*(1+IF(M$3&lt;=$O$2,$D485,$D485-($D485-$I$481)*MIN(M$3-$O$2,$Q$2)/$Q$2))</f>
        <v>5029.02332565997</v>
      </c>
      <c r="N485" s="15" t="n">
        <f aca="false">M485*(1+IF(N$3&lt;=$O$2,$D485,$D485-($D485-$I$481)*MIN(N$3-$O$2,$Q$2)/$Q$2))</f>
        <v>5146.19956914785</v>
      </c>
      <c r="O485" s="15" t="n">
        <f aca="false">SUMPRODUCT(E485:N485,1/(1+$F$481)^$E$3:$N$3)*$E$2</f>
        <v>12331.1196531196</v>
      </c>
      <c r="P485" s="15" t="n">
        <f aca="false">N485*$E$2*(1+$I$481)/($F$481-$I$481)/(1+$F$481)^$N$3</f>
        <v>16343.1247713116</v>
      </c>
      <c r="Q485" s="15" t="n">
        <f aca="false">O485+P485</f>
        <v>28674.2444244312</v>
      </c>
      <c r="R485" s="15" t="n">
        <f aca="false">Q485-$G$2+$I$2</f>
        <v>24606.4444244312</v>
      </c>
      <c r="S485" s="42" t="n">
        <f aca="false">R485/$K$2</f>
        <v>189.047667673872</v>
      </c>
      <c r="T485" s="43" t="n">
        <f aca="false">S485-$M$2</f>
        <v>12.4189030764534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41" t="n">
        <f aca="false">(B486+C486)/2</f>
        <v>-0.03125</v>
      </c>
      <c r="E486" s="15" t="n">
        <f aca="false">$C$2*(1+IF(E$3&lt;=$O$2,$D486,$D486-($D486-$I$481)*MIN(E$3-$O$2,$Q$2)/$Q$2))</f>
        <v>3041.875</v>
      </c>
      <c r="F486" s="15" t="n">
        <f aca="false">E486*(1+IF(F$3&lt;=$O$2,$D486,$D486-($D486-$I$481)*MIN(F$3-$O$2,$Q$2)/$Q$2))</f>
        <v>2946.81640625</v>
      </c>
      <c r="G486" s="15" t="n">
        <f aca="false">F486*(1+IF(G$3&lt;=$O$2,$D486,$D486-($D486-$I$481)*MIN(G$3-$O$2,$Q$2)/$Q$2))</f>
        <v>2854.72839355469</v>
      </c>
      <c r="H486" s="15" t="n">
        <f aca="false">G486*(1+IF(H$3&lt;=$O$2,$D486,$D486-($D486-$I$481)*MIN(H$3-$O$2,$Q$2)/$Q$2))</f>
        <v>2765.5181312561</v>
      </c>
      <c r="I486" s="15" t="n">
        <f aca="false">H486*(1+IF(I$3&lt;=$O$2,$D486,$D486-($D486-$I$481)*MIN(I$3-$O$2,$Q$2)/$Q$2))</f>
        <v>2679.09568965435</v>
      </c>
      <c r="J486" s="15" t="n">
        <f aca="false">I486*(1+IF(J$3&lt;=$O$2,$D486,$D486-($D486-$I$481)*MIN(J$3-$O$2,$Q$2)/$Q$2))</f>
        <v>2624.60288332678</v>
      </c>
      <c r="K486" s="15" t="n">
        <f aca="false">J486*(1+IF(K$3&lt;=$O$2,$D486,$D486-($D486-$I$481)*MIN(K$3-$O$2,$Q$2)/$Q$2))</f>
        <v>2599.85287813701</v>
      </c>
      <c r="L486" s="15" t="n">
        <f aca="false">K486*(1+IF(L$3&lt;=$O$2,$D486,$D486-($D486-$I$481)*MIN(L$3-$O$2,$Q$2)/$Q$2))</f>
        <v>2603.70066039665</v>
      </c>
      <c r="M486" s="15" t="n">
        <f aca="false">L486*(1+IF(M$3&lt;=$O$2,$D486,$D486-($D486-$I$481)*MIN(M$3-$O$2,$Q$2)/$Q$2))</f>
        <v>2635.96051157897</v>
      </c>
      <c r="N486" s="15" t="n">
        <f aca="false">M486*(1+IF(N$3&lt;=$O$2,$D486,$D486-($D486-$I$481)*MIN(N$3-$O$2,$Q$2)/$Q$2))</f>
        <v>2697.37839149876</v>
      </c>
      <c r="O486" s="15" t="n">
        <f aca="false">SUMPRODUCT(E486:N486,1/(1+$F$481)^$E$3:$N$3)*$E$2</f>
        <v>8209.53745049145</v>
      </c>
      <c r="P486" s="15" t="n">
        <f aca="false">N486*$E$2*(1+$I$481)/($F$481-$I$481)/(1+$F$481)^$N$3</f>
        <v>8566.24213953747</v>
      </c>
      <c r="Q486" s="15" t="n">
        <f aca="false">O486+P486</f>
        <v>16775.7795900289</v>
      </c>
      <c r="R486" s="15" t="n">
        <f aca="false">Q486-$G$2+$I$2</f>
        <v>12707.9795900289</v>
      </c>
      <c r="S486" s="42" t="n">
        <f aca="false">R486/$K$2</f>
        <v>97.6335248158337</v>
      </c>
      <c r="T486" s="43" t="n">
        <f aca="false">S486-$M$2</f>
        <v>-78.9952397815849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41" t="n">
        <f aca="false">(B487+C487)/2</f>
        <v>0.015625</v>
      </c>
      <c r="E487" s="15" t="n">
        <f aca="false">$C$2*(1+IF(E$3&lt;=$O$2,$D487,$D487-($D487-$I$481)*MIN(E$3-$O$2,$Q$2)/$Q$2))</f>
        <v>3189.0625</v>
      </c>
      <c r="F487" s="15" t="n">
        <f aca="false">E487*(1+IF(F$3&lt;=$O$2,$D487,$D487-($D487-$I$481)*MIN(F$3-$O$2,$Q$2)/$Q$2))</f>
        <v>3238.8916015625</v>
      </c>
      <c r="G487" s="15" t="n">
        <f aca="false">F487*(1+IF(G$3&lt;=$O$2,$D487,$D487-($D487-$I$481)*MIN(G$3-$O$2,$Q$2)/$Q$2))</f>
        <v>3289.49928283691</v>
      </c>
      <c r="H487" s="15" t="n">
        <f aca="false">G487*(1+IF(H$3&lt;=$O$2,$D487,$D487-($D487-$I$481)*MIN(H$3-$O$2,$Q$2)/$Q$2))</f>
        <v>3340.89770913124</v>
      </c>
      <c r="I487" s="15" t="n">
        <f aca="false">H487*(1+IF(I$3&lt;=$O$2,$D487,$D487-($D487-$I$481)*MIN(I$3-$O$2,$Q$2)/$Q$2))</f>
        <v>3393.09923583642</v>
      </c>
      <c r="J487" s="15" t="n">
        <f aca="false">I487*(1+IF(J$3&lt;=$O$2,$D487,$D487-($D487-$I$481)*MIN(J$3-$O$2,$Q$2)/$Q$2))</f>
        <v>3451.32481872337</v>
      </c>
      <c r="K487" s="15" t="n">
        <f aca="false">J487*(1+IF(K$3&lt;=$O$2,$D487,$D487-($D487-$I$481)*MIN(K$3-$O$2,$Q$2)/$Q$2))</f>
        <v>3515.8473362094</v>
      </c>
      <c r="L487" s="15" t="n">
        <f aca="false">K487*(1+IF(L$3&lt;=$O$2,$D487,$D487-($D487-$I$481)*MIN(L$3-$O$2,$Q$2)/$Q$2))</f>
        <v>3586.97292782092</v>
      </c>
      <c r="M487" s="15" t="n">
        <f aca="false">L487*(1+IF(M$3&lt;=$O$2,$D487,$D487-($D487-$I$481)*MIN(M$3-$O$2,$Q$2)/$Q$2))</f>
        <v>3665.04339359494</v>
      </c>
      <c r="N487" s="15" t="n">
        <f aca="false">M487*(1+IF(N$3&lt;=$O$2,$D487,$D487-($D487-$I$481)*MIN(N$3-$O$2,$Q$2)/$Q$2))</f>
        <v>3750.4389046657</v>
      </c>
      <c r="O487" s="15" t="n">
        <f aca="false">SUMPRODUCT(E487:N487,1/(1+$F$481)^$E$3:$N$3)*$E$2</f>
        <v>10057.3529914925</v>
      </c>
      <c r="P487" s="15" t="n">
        <f aca="false">N487*$E$2*(1+$I$481)/($F$481-$I$481)/(1+$F$481)^$N$3</f>
        <v>11910.5157393424</v>
      </c>
      <c r="Q487" s="15" t="n">
        <f aca="false">O487+P487</f>
        <v>21967.8687308349</v>
      </c>
      <c r="R487" s="15" t="n">
        <f aca="false">Q487-$G$2+$I$2</f>
        <v>17900.0687308349</v>
      </c>
      <c r="S487" s="42" t="n">
        <f aca="false">R487/$K$2</f>
        <v>137.523576604448</v>
      </c>
      <c r="T487" s="43" t="n">
        <f aca="false">S487-$M$2</f>
        <v>-39.1051879929709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0.015625</v>
      </c>
      <c r="C488" s="25" t="n">
        <f aca="false">IF(T487&gt;0,D487,C487)</f>
        <v>0.0625</v>
      </c>
      <c r="D488" s="41" t="n">
        <f aca="false">(B488+C488)/2</f>
        <v>0.0390625</v>
      </c>
      <c r="E488" s="15" t="n">
        <f aca="false">$C$2*(1+IF(E$3&lt;=$O$2,$D488,$D488-($D488-$I$481)*MIN(E$3-$O$2,$Q$2)/$Q$2))</f>
        <v>3262.65625</v>
      </c>
      <c r="F488" s="15" t="n">
        <f aca="false">E488*(1+IF(F$3&lt;=$O$2,$D488,$D488-($D488-$I$481)*MIN(F$3-$O$2,$Q$2)/$Q$2))</f>
        <v>3390.10375976563</v>
      </c>
      <c r="G488" s="15" t="n">
        <f aca="false">F488*(1+IF(G$3&lt;=$O$2,$D488,$D488-($D488-$I$481)*MIN(G$3-$O$2,$Q$2)/$Q$2))</f>
        <v>3522.52968788147</v>
      </c>
      <c r="H488" s="15" t="n">
        <f aca="false">G488*(1+IF(H$3&lt;=$O$2,$D488,$D488-($D488-$I$481)*MIN(H$3-$O$2,$Q$2)/$Q$2))</f>
        <v>3660.12850381434</v>
      </c>
      <c r="I488" s="15" t="n">
        <f aca="false">H488*(1+IF(I$3&lt;=$O$2,$D488,$D488-($D488-$I$481)*MIN(I$3-$O$2,$Q$2)/$Q$2))</f>
        <v>3803.10227349459</v>
      </c>
      <c r="J488" s="15" t="n">
        <f aca="false">I488*(1+IF(J$3&lt;=$O$2,$D488,$D488-($D488-$I$481)*MIN(J$3-$O$2,$Q$2)/$Q$2))</f>
        <v>3939.67167613578</v>
      </c>
      <c r="K488" s="15" t="n">
        <f aca="false">J488*(1+IF(K$3&lt;=$O$2,$D488,$D488-($D488-$I$481)*MIN(K$3-$O$2,$Q$2)/$Q$2))</f>
        <v>4068.7254710668</v>
      </c>
      <c r="L488" s="15" t="n">
        <f aca="false">K488*(1+IF(L$3&lt;=$O$2,$D488,$D488-($D488-$I$481)*MIN(L$3-$O$2,$Q$2)/$Q$2))</f>
        <v>4189.18008863773</v>
      </c>
      <c r="M488" s="15" t="n">
        <f aca="false">L488*(1+IF(M$3&lt;=$O$2,$D488,$D488-($D488-$I$481)*MIN(M$3-$O$2,$Q$2)/$Q$2))</f>
        <v>4299.99437493242</v>
      </c>
      <c r="N488" s="15" t="n">
        <f aca="false">M488*(1+IF(N$3&lt;=$O$2,$D488,$D488-($D488-$I$481)*MIN(N$3-$O$2,$Q$2)/$Q$2))</f>
        <v>4400.18424386834</v>
      </c>
      <c r="O488" s="15" t="n">
        <f aca="false">SUMPRODUCT(E488:N488,1/(1+$F$481)^$E$3:$N$3)*$E$2</f>
        <v>11135.6692100199</v>
      </c>
      <c r="P488" s="15" t="n">
        <f aca="false">N488*$E$2*(1+$I$481)/($F$481-$I$481)/(1+$F$481)^$N$3</f>
        <v>13973.9547889721</v>
      </c>
      <c r="Q488" s="15" t="n">
        <f aca="false">O488+P488</f>
        <v>25109.623998992</v>
      </c>
      <c r="R488" s="15" t="n">
        <f aca="false">Q488-$G$2+$I$2</f>
        <v>21041.823998992</v>
      </c>
      <c r="S488" s="42" t="n">
        <f aca="false">R488/$K$2</f>
        <v>161.661216955992</v>
      </c>
      <c r="T488" s="43" t="n">
        <f aca="false">S488-$M$2</f>
        <v>-14.9675476414262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0.0390625</v>
      </c>
      <c r="C489" s="25" t="n">
        <f aca="false">IF(T488&gt;0,D488,C488)</f>
        <v>0.0625</v>
      </c>
      <c r="D489" s="41" t="n">
        <f aca="false">(B489+C489)/2</f>
        <v>0.05078125</v>
      </c>
      <c r="E489" s="15" t="n">
        <f aca="false">$C$2*(1+IF(E$3&lt;=$O$2,$D489,$D489-($D489-$I$481)*MIN(E$3-$O$2,$Q$2)/$Q$2))</f>
        <v>3299.453125</v>
      </c>
      <c r="F489" s="15" t="n">
        <f aca="false">E489*(1+IF(F$3&lt;=$O$2,$D489,$D489-($D489-$I$481)*MIN(F$3-$O$2,$Q$2)/$Q$2))</f>
        <v>3467.00347900391</v>
      </c>
      <c r="G489" s="15" t="n">
        <f aca="false">F489*(1+IF(G$3&lt;=$O$2,$D489,$D489-($D489-$I$481)*MIN(G$3-$O$2,$Q$2)/$Q$2))</f>
        <v>3643.06224942207</v>
      </c>
      <c r="H489" s="15" t="n">
        <f aca="false">G489*(1+IF(H$3&lt;=$O$2,$D489,$D489-($D489-$I$481)*MIN(H$3-$O$2,$Q$2)/$Q$2))</f>
        <v>3828.06150427554</v>
      </c>
      <c r="I489" s="15" t="n">
        <f aca="false">H489*(1+IF(I$3&lt;=$O$2,$D489,$D489-($D489-$I$481)*MIN(I$3-$O$2,$Q$2)/$Q$2))</f>
        <v>4022.45525253953</v>
      </c>
      <c r="J489" s="15" t="n">
        <f aca="false">I489*(1+IF(J$3&lt;=$O$2,$D489,$D489-($D489-$I$481)*MIN(J$3-$O$2,$Q$2)/$Q$2))</f>
        <v>4204.61213865078</v>
      </c>
      <c r="K489" s="15" t="n">
        <f aca="false">J489*(1+IF(K$3&lt;=$O$2,$D489,$D489-($D489-$I$481)*MIN(K$3-$O$2,$Q$2)/$Q$2))</f>
        <v>4371.90839988252</v>
      </c>
      <c r="L489" s="15" t="n">
        <f aca="false">K489*(1+IF(L$3&lt;=$O$2,$D489,$D489-($D489-$I$481)*MIN(L$3-$O$2,$Q$2)/$Q$2))</f>
        <v>4521.8320686855</v>
      </c>
      <c r="M489" s="15" t="n">
        <f aca="false">L489*(1+IF(M$3&lt;=$O$2,$D489,$D489-($D489-$I$481)*MIN(M$3-$O$2,$Q$2)/$Q$2))</f>
        <v>4652.04387539338</v>
      </c>
      <c r="N489" s="15" t="n">
        <f aca="false">M489*(1+IF(N$3&lt;=$O$2,$D489,$D489-($D489-$I$481)*MIN(N$3-$O$2,$Q$2)/$Q$2))</f>
        <v>4760.43649769005</v>
      </c>
      <c r="O489" s="15" t="n">
        <f aca="false">SUMPRODUCT(E489:N489,1/(1+$F$481)^$E$3:$N$3)*$E$2</f>
        <v>11718.0367892329</v>
      </c>
      <c r="P489" s="15" t="n">
        <f aca="false">N489*$E$2*(1+$I$481)/($F$481-$I$481)/(1+$F$481)^$N$3</f>
        <v>15118.0315886072</v>
      </c>
      <c r="Q489" s="15" t="n">
        <f aca="false">O489+P489</f>
        <v>26836.0683778401</v>
      </c>
      <c r="R489" s="15" t="n">
        <f aca="false">Q489-$G$2+$I$2</f>
        <v>22768.2683778401</v>
      </c>
      <c r="S489" s="42" t="n">
        <f aca="false">R489/$K$2</f>
        <v>174.925233388445</v>
      </c>
      <c r="T489" s="43" t="n">
        <f aca="false">S489-$M$2</f>
        <v>-1.7035312089732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0.05078125</v>
      </c>
      <c r="C490" s="25" t="n">
        <f aca="false">IF(T489&gt;0,D489,C489)</f>
        <v>0.0625</v>
      </c>
      <c r="D490" s="41" t="n">
        <f aca="false">(B490+C490)/2</f>
        <v>0.056640625</v>
      </c>
      <c r="E490" s="15" t="n">
        <f aca="false">$C$2*(1+IF(E$3&lt;=$O$2,$D490,$D490-($D490-$I$481)*MIN(E$3-$O$2,$Q$2)/$Q$2))</f>
        <v>3317.8515625</v>
      </c>
      <c r="F490" s="15" t="n">
        <f aca="false">E490*(1+IF(F$3&lt;=$O$2,$D490,$D490-($D490-$I$481)*MIN(F$3-$O$2,$Q$2)/$Q$2))</f>
        <v>3505.77674865723</v>
      </c>
      <c r="G490" s="15" t="n">
        <f aca="false">F490*(1+IF(G$3&lt;=$O$2,$D490,$D490-($D490-$I$481)*MIN(G$3-$O$2,$Q$2)/$Q$2))</f>
        <v>3704.34613481164</v>
      </c>
      <c r="H490" s="15" t="n">
        <f aca="false">G490*(1+IF(H$3&lt;=$O$2,$D490,$D490-($D490-$I$481)*MIN(H$3-$O$2,$Q$2)/$Q$2))</f>
        <v>3914.16261510371</v>
      </c>
      <c r="I490" s="15" t="n">
        <f aca="false">H490*(1+IF(I$3&lt;=$O$2,$D490,$D490-($D490-$I$481)*MIN(I$3-$O$2,$Q$2)/$Q$2))</f>
        <v>4135.86323197481</v>
      </c>
      <c r="J490" s="15" t="n">
        <f aca="false">I490*(1+IF(J$3&lt;=$O$2,$D490,$D490-($D490-$I$481)*MIN(J$3-$O$2,$Q$2)/$Q$2))</f>
        <v>4342.54265733468</v>
      </c>
      <c r="K490" s="15" t="n">
        <f aca="false">J490*(1+IF(K$3&lt;=$O$2,$D490,$D490-($D490-$I$481)*MIN(K$3-$O$2,$Q$2)/$Q$2))</f>
        <v>4530.59375302139</v>
      </c>
      <c r="L490" s="15" t="n">
        <f aca="false">K490*(1+IF(L$3&lt;=$O$2,$D490,$D490-($D490-$I$481)*MIN(L$3-$O$2,$Q$2)/$Q$2))</f>
        <v>4696.57771840552</v>
      </c>
      <c r="M490" s="15" t="n">
        <f aca="false">L490*(1+IF(M$3&lt;=$O$2,$D490,$D490-($D490-$I$481)*MIN(M$3-$O$2,$Q$2)/$Q$2))</f>
        <v>4837.32534654291</v>
      </c>
      <c r="N490" s="15" t="n">
        <f aca="false">M490*(1+IF(N$3&lt;=$O$2,$D490,$D490-($D490-$I$481)*MIN(N$3-$O$2,$Q$2)/$Q$2))</f>
        <v>4950.03502711736</v>
      </c>
      <c r="O490" s="15" t="n">
        <f aca="false">SUMPRODUCT(E490:N490,1/(1+$F$481)^$E$3:$N$3)*$E$2</f>
        <v>12020.6460060506</v>
      </c>
      <c r="P490" s="15" t="n">
        <f aca="false">N490*$E$2*(1+$I$481)/($F$481-$I$481)/(1+$F$481)^$N$3</f>
        <v>15720.152120711</v>
      </c>
      <c r="Q490" s="15" t="n">
        <f aca="false">O490+P490</f>
        <v>27740.7981267617</v>
      </c>
      <c r="R490" s="15" t="n">
        <f aca="false">Q490-$G$2+$I$2</f>
        <v>23672.9981267617</v>
      </c>
      <c r="S490" s="42" t="n">
        <f aca="false">R490/$K$2</f>
        <v>181.876138035968</v>
      </c>
      <c r="T490" s="43" t="n">
        <f aca="false">S490-$M$2</f>
        <v>5.24737343854983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0.05078125</v>
      </c>
      <c r="C491" s="25" t="n">
        <f aca="false">IF(T490&gt;0,D490,C490)</f>
        <v>0.056640625</v>
      </c>
      <c r="D491" s="41" t="n">
        <f aca="false">(B491+C491)/2</f>
        <v>0.0537109375</v>
      </c>
      <c r="E491" s="15" t="n">
        <f aca="false">$C$2*(1+IF(E$3&lt;=$O$2,$D491,$D491-($D491-$I$481)*MIN(E$3-$O$2,$Q$2)/$Q$2))</f>
        <v>3308.65234375</v>
      </c>
      <c r="F491" s="15" t="n">
        <f aca="false">E491*(1+IF(F$3&lt;=$O$2,$D491,$D491-($D491-$I$481)*MIN(F$3-$O$2,$Q$2)/$Q$2))</f>
        <v>3486.36316299438</v>
      </c>
      <c r="G491" s="15" t="n">
        <f aca="false">F491*(1+IF(G$3&lt;=$O$2,$D491,$D491-($D491-$I$481)*MIN(G$3-$O$2,$Q$2)/$Q$2))</f>
        <v>3673.61899694428</v>
      </c>
      <c r="H491" s="15" t="n">
        <f aca="false">G491*(1+IF(H$3&lt;=$O$2,$D491,$D491-($D491-$I$481)*MIN(H$3-$O$2,$Q$2)/$Q$2))</f>
        <v>3870.93251728797</v>
      </c>
      <c r="I491" s="15" t="n">
        <f aca="false">H491*(1+IF(I$3&lt;=$O$2,$D491,$D491-($D491-$I$481)*MIN(I$3-$O$2,$Q$2)/$Q$2))</f>
        <v>4078.84393179074</v>
      </c>
      <c r="J491" s="15" t="n">
        <f aca="false">I491*(1+IF(J$3&lt;=$O$2,$D491,$D491-($D491-$I$481)*MIN(J$3-$O$2,$Q$2)/$Q$2))</f>
        <v>4273.11416970701</v>
      </c>
      <c r="K491" s="15" t="n">
        <f aca="false">J491*(1+IF(K$3&lt;=$O$2,$D491,$D491-($D491-$I$481)*MIN(K$3-$O$2,$Q$2)/$Q$2))</f>
        <v>4450.64737462838</v>
      </c>
      <c r="L491" s="15" t="n">
        <f aca="false">K491*(1+IF(L$3&lt;=$O$2,$D491,$D491-($D491-$I$481)*MIN(L$3-$O$2,$Q$2)/$Q$2))</f>
        <v>4608.48680211497</v>
      </c>
      <c r="M491" s="15" t="n">
        <f aca="false">L491*(1+IF(M$3&lt;=$O$2,$D491,$D491-($D491-$I$481)*MIN(M$3-$O$2,$Q$2)/$Q$2))</f>
        <v>4743.89422542599</v>
      </c>
      <c r="N491" s="15" t="n">
        <f aca="false">M491*(1+IF(N$3&lt;=$O$2,$D491,$D491-($D491-$I$481)*MIN(N$3-$O$2,$Q$2)/$Q$2))</f>
        <v>4854.42696087841</v>
      </c>
      <c r="O491" s="15" t="n">
        <f aca="false">SUMPRODUCT(E491:N491,1/(1+$F$481)^$E$3:$N$3)*$E$2</f>
        <v>11868.3700960604</v>
      </c>
      <c r="P491" s="15" t="n">
        <f aca="false">N491*$E$2*(1+$I$481)/($F$481-$I$481)/(1+$F$481)^$N$3</f>
        <v>15416.5232904079</v>
      </c>
      <c r="Q491" s="15" t="n">
        <f aca="false">O491+P491</f>
        <v>27284.8933864683</v>
      </c>
      <c r="R491" s="15" t="n">
        <f aca="false">Q491-$G$2+$I$2</f>
        <v>23217.0933864683</v>
      </c>
      <c r="S491" s="42" t="n">
        <f aca="false">R491/$K$2</f>
        <v>178.373489447359</v>
      </c>
      <c r="T491" s="43" t="n">
        <f aca="false">S491-$M$2</f>
        <v>1.74472484994078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0.05078125</v>
      </c>
      <c r="C492" s="25" t="n">
        <f aca="false">IF(T491&gt;0,D491,C491)</f>
        <v>0.0537109375</v>
      </c>
      <c r="D492" s="41" t="n">
        <f aca="false">(B492+C492)/2</f>
        <v>0.05224609375</v>
      </c>
      <c r="E492" s="15" t="n">
        <f aca="false">$C$2*(1+IF(E$3&lt;=$O$2,$D492,$D492-($D492-$I$481)*MIN(E$3-$O$2,$Q$2)/$Q$2))</f>
        <v>3304.052734375</v>
      </c>
      <c r="F492" s="15" t="n">
        <f aca="false">E492*(1+IF(F$3&lt;=$O$2,$D492,$D492-($D492-$I$481)*MIN(F$3-$O$2,$Q$2)/$Q$2))</f>
        <v>3476.6765832901</v>
      </c>
      <c r="G492" s="15" t="n">
        <f aca="false">F492*(1+IF(G$3&lt;=$O$2,$D492,$D492-($D492-$I$481)*MIN(G$3-$O$2,$Q$2)/$Q$2))</f>
        <v>3658.3193539991</v>
      </c>
      <c r="H492" s="15" t="n">
        <f aca="false">G492*(1+IF(H$3&lt;=$O$2,$D492,$D492-($D492-$I$481)*MIN(H$3-$O$2,$Q$2)/$Q$2))</f>
        <v>3849.45224993558</v>
      </c>
      <c r="I492" s="15" t="n">
        <f aca="false">H492*(1+IF(I$3&lt;=$O$2,$D492,$D492-($D492-$I$481)*MIN(I$3-$O$2,$Q$2)/$Q$2))</f>
        <v>4050.57109307186</v>
      </c>
      <c r="J492" s="15" t="n">
        <f aca="false">I492*(1+IF(J$3&lt;=$O$2,$D492,$D492-($D492-$I$481)*MIN(J$3-$O$2,$Q$2)/$Q$2))</f>
        <v>4238.74796802132</v>
      </c>
      <c r="K492" s="15" t="n">
        <f aca="false">J492*(1+IF(K$3&lt;=$O$2,$D492,$D492-($D492-$I$481)*MIN(K$3-$O$2,$Q$2)/$Q$2))</f>
        <v>4411.12791331519</v>
      </c>
      <c r="L492" s="15" t="n">
        <f aca="false">K492*(1+IF(L$3&lt;=$O$2,$D492,$D492-($D492-$I$481)*MIN(L$3-$O$2,$Q$2)/$Q$2))</f>
        <v>4564.98116254426</v>
      </c>
      <c r="M492" s="15" t="n">
        <f aca="false">L492*(1+IF(M$3&lt;=$O$2,$D492,$D492-($D492-$I$481)*MIN(M$3-$O$2,$Q$2)/$Q$2))</f>
        <v>4697.77289817114</v>
      </c>
      <c r="N492" s="15" t="n">
        <f aca="false">M492*(1+IF(N$3&lt;=$O$2,$D492,$D492-($D492-$I$481)*MIN(N$3-$O$2,$Q$2)/$Q$2))</f>
        <v>4807.23100669853</v>
      </c>
      <c r="O492" s="15" t="n">
        <f aca="false">SUMPRODUCT(E492:N492,1/(1+$F$481)^$E$3:$N$3)*$E$2</f>
        <v>11792.9620729056</v>
      </c>
      <c r="P492" s="15" t="n">
        <f aca="false">N492*$E$2*(1+$I$481)/($F$481-$I$481)/(1+$F$481)^$N$3</f>
        <v>15266.6399915776</v>
      </c>
      <c r="Q492" s="15" t="n">
        <f aca="false">O492+P492</f>
        <v>27059.6020644831</v>
      </c>
      <c r="R492" s="15" t="n">
        <f aca="false">Q492-$G$2+$I$2</f>
        <v>22991.8020644831</v>
      </c>
      <c r="S492" s="42" t="n">
        <f aca="false">R492/$K$2</f>
        <v>176.642609591911</v>
      </c>
      <c r="T492" s="43" t="n">
        <f aca="false">S492-$M$2</f>
        <v>0.013844994492473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0.05078125</v>
      </c>
      <c r="C493" s="25" t="n">
        <f aca="false">IF(T492&gt;0,D492,C492)</f>
        <v>0.05224609375</v>
      </c>
      <c r="D493" s="41" t="n">
        <f aca="false">(B493+C493)/2</f>
        <v>0.051513671875</v>
      </c>
      <c r="E493" s="15" t="n">
        <f aca="false">$C$2*(1+IF(E$3&lt;=$O$2,$D493,$D493-($D493-$I$481)*MIN(E$3-$O$2,$Q$2)/$Q$2))</f>
        <v>3301.7529296875</v>
      </c>
      <c r="F493" s="15" t="n">
        <f aca="false">E493*(1+IF(F$3&lt;=$O$2,$D493,$D493-($D493-$I$481)*MIN(F$3-$O$2,$Q$2)/$Q$2))</f>
        <v>3471.83834671974</v>
      </c>
      <c r="G493" s="15" t="n">
        <f aca="false">F493*(1+IF(G$3&lt;=$O$2,$D493,$D493-($D493-$I$481)*MIN(G$3-$O$2,$Q$2)/$Q$2))</f>
        <v>3650.68548811571</v>
      </c>
      <c r="H493" s="15" t="n">
        <f aca="false">G493*(1+IF(H$3&lt;=$O$2,$D493,$D493-($D493-$I$481)*MIN(H$3-$O$2,$Q$2)/$Q$2))</f>
        <v>3838.74570246932</v>
      </c>
      <c r="I493" s="15" t="n">
        <f aca="false">H493*(1+IF(I$3&lt;=$O$2,$D493,$D493-($D493-$I$481)*MIN(I$3-$O$2,$Q$2)/$Q$2))</f>
        <v>4036.49358899789</v>
      </c>
      <c r="J493" s="15" t="n">
        <f aca="false">I493*(1+IF(J$3&lt;=$O$2,$D493,$D493-($D493-$I$481)*MIN(J$3-$O$2,$Q$2)/$Q$2))</f>
        <v>4221.65133413797</v>
      </c>
      <c r="K493" s="15" t="n">
        <f aca="false">J493*(1+IF(K$3&lt;=$O$2,$D493,$D493-($D493-$I$481)*MIN(K$3-$O$2,$Q$2)/$Q$2))</f>
        <v>4391.4807815306</v>
      </c>
      <c r="L493" s="15" t="n">
        <f aca="false">K493*(1+IF(L$3&lt;=$O$2,$D493,$D493-($D493-$I$481)*MIN(L$3-$O$2,$Q$2)/$Q$2))</f>
        <v>4543.36220286645</v>
      </c>
      <c r="M493" s="15" t="n">
        <f aca="false">L493*(1+IF(M$3&lt;=$O$2,$D493,$D493-($D493-$I$481)*MIN(M$3-$O$2,$Q$2)/$Q$2))</f>
        <v>4674.85952827343</v>
      </c>
      <c r="N493" s="15" t="n">
        <f aca="false">M493*(1+IF(N$3&lt;=$O$2,$D493,$D493-($D493-$I$481)*MIN(N$3-$O$2,$Q$2)/$Q$2))</f>
        <v>4783.7837552822</v>
      </c>
      <c r="O493" s="15" t="n">
        <f aca="false">SUMPRODUCT(E493:N493,1/(1+$F$481)^$E$3:$N$3)*$E$2</f>
        <v>11755.4392697604</v>
      </c>
      <c r="P493" s="15" t="n">
        <f aca="false">N493*$E$2*(1+$I$481)/($F$481-$I$481)/(1+$F$481)^$N$3</f>
        <v>15192.1770116071</v>
      </c>
      <c r="Q493" s="15" t="n">
        <f aca="false">O493+P493</f>
        <v>26947.6162813676</v>
      </c>
      <c r="R493" s="15" t="n">
        <f aca="false">Q493-$G$2+$I$2</f>
        <v>22879.8162813676</v>
      </c>
      <c r="S493" s="42" t="n">
        <f aca="false">R493/$K$2</f>
        <v>175.782239408171</v>
      </c>
      <c r="T493" s="43" t="n">
        <f aca="false">S493-$M$2</f>
        <v>-0.846525189247473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0.051513671875</v>
      </c>
      <c r="C494" s="25" t="n">
        <f aca="false">IF(T493&gt;0,D493,C493)</f>
        <v>0.05224609375</v>
      </c>
      <c r="D494" s="41" t="n">
        <f aca="false">(B494+C494)/2</f>
        <v>0.0518798828125</v>
      </c>
      <c r="E494" s="15" t="n">
        <f aca="false">$C$2*(1+IF(E$3&lt;=$O$2,$D494,$D494-($D494-$I$481)*MIN(E$3-$O$2,$Q$2)/$Q$2))</f>
        <v>3302.90283203125</v>
      </c>
      <c r="F494" s="15" t="n">
        <f aca="false">E494*(1+IF(F$3&lt;=$O$2,$D494,$D494-($D494-$I$481)*MIN(F$3-$O$2,$Q$2)/$Q$2))</f>
        <v>3474.25704389811</v>
      </c>
      <c r="G494" s="15" t="n">
        <f aca="false">F494*(1+IF(G$3&lt;=$O$2,$D494,$D494-($D494-$I$481)*MIN(G$3-$O$2,$Q$2)/$Q$2))</f>
        <v>3654.50109219604</v>
      </c>
      <c r="H494" s="15" t="n">
        <f aca="false">G494*(1+IF(H$3&lt;=$O$2,$D494,$D494-($D494-$I$481)*MIN(H$3-$O$2,$Q$2)/$Q$2))</f>
        <v>3844.09618059733</v>
      </c>
      <c r="I494" s="15" t="n">
        <f aca="false">H494*(1+IF(I$3&lt;=$O$2,$D494,$D494-($D494-$I$481)*MIN(I$3-$O$2,$Q$2)/$Q$2))</f>
        <v>4043.52743996669</v>
      </c>
      <c r="J494" s="15" t="n">
        <f aca="false">I494*(1+IF(J$3&lt;=$O$2,$D494,$D494-($D494-$I$481)*MIN(J$3-$O$2,$Q$2)/$Q$2))</f>
        <v>4230.19246162462</v>
      </c>
      <c r="K494" s="15" t="n">
        <f aca="false">J494*(1+IF(K$3&lt;=$O$2,$D494,$D494-($D494-$I$481)*MIN(K$3-$O$2,$Q$2)/$Q$2))</f>
        <v>4401.294988877</v>
      </c>
      <c r="L494" s="15" t="n">
        <f aca="false">K494*(1+IF(L$3&lt;=$O$2,$D494,$D494-($D494-$I$481)*MIN(L$3-$O$2,$Q$2)/$Q$2))</f>
        <v>4554.16056011998</v>
      </c>
      <c r="M494" s="15" t="n">
        <f aca="false">L494*(1+IF(M$3&lt;=$O$2,$D494,$D494-($D494-$I$481)*MIN(M$3-$O$2,$Q$2)/$Q$2))</f>
        <v>4686.30397619428</v>
      </c>
      <c r="N494" s="15" t="n">
        <f aca="false">M494*(1+IF(N$3&lt;=$O$2,$D494,$D494-($D494-$I$481)*MIN(N$3-$O$2,$Q$2)/$Q$2))</f>
        <v>4795.49485883961</v>
      </c>
      <c r="O494" s="15" t="n">
        <f aca="false">SUMPRODUCT(E494:N494,1/(1+$F$481)^$E$3:$N$3)*$E$2</f>
        <v>11774.185608402</v>
      </c>
      <c r="P494" s="15" t="n">
        <f aca="false">N494*$E$2*(1+$I$481)/($F$481-$I$481)/(1+$F$481)^$N$3</f>
        <v>15229.3687341738</v>
      </c>
      <c r="Q494" s="15" t="n">
        <f aca="false">O494+P494</f>
        <v>27003.5543425758</v>
      </c>
      <c r="R494" s="15" t="n">
        <f aca="false">Q494-$G$2+$I$2</f>
        <v>22935.7543425758</v>
      </c>
      <c r="S494" s="42" t="n">
        <f aca="false">R494/$K$2</f>
        <v>176.212003246587</v>
      </c>
      <c r="T494" s="43" t="n">
        <f aca="false">S494-$M$2</f>
        <v>-0.416761350831706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0.0518798828125</v>
      </c>
      <c r="C495" s="25" t="n">
        <f aca="false">IF(T494&gt;0,D494,C494)</f>
        <v>0.05224609375</v>
      </c>
      <c r="D495" s="41" t="n">
        <f aca="false">(B495+C495)/2</f>
        <v>0.05206298828125</v>
      </c>
      <c r="E495" s="15" t="n">
        <f aca="false">$C$2*(1+IF(E$3&lt;=$O$2,$D495,$D495-($D495-$I$481)*MIN(E$3-$O$2,$Q$2)/$Q$2))</f>
        <v>3303.47778320313</v>
      </c>
      <c r="F495" s="15" t="n">
        <f aca="false">E495*(1+IF(F$3&lt;=$O$2,$D495,$D495-($D495-$I$481)*MIN(F$3-$O$2,$Q$2)/$Q$2))</f>
        <v>3475.4667083174</v>
      </c>
      <c r="G495" s="15" t="n">
        <f aca="false">F495*(1+IF(G$3&lt;=$O$2,$D495,$D495-($D495-$I$481)*MIN(G$3-$O$2,$Q$2)/$Q$2))</f>
        <v>3656.4098908244</v>
      </c>
      <c r="H495" s="15" t="n">
        <f aca="false">G495*(1+IF(H$3&lt;=$O$2,$D495,$D495-($D495-$I$481)*MIN(H$3-$O$2,$Q$2)/$Q$2))</f>
        <v>3846.77351612184</v>
      </c>
      <c r="I495" s="15" t="n">
        <f aca="false">H495*(1+IF(I$3&lt;=$O$2,$D495,$D495-($D495-$I$481)*MIN(I$3-$O$2,$Q$2)/$Q$2))</f>
        <v>4047.04804061231</v>
      </c>
      <c r="J495" s="15" t="n">
        <f aca="false">I495*(1+IF(J$3&lt;=$O$2,$D495,$D495-($D495-$I$481)*MIN(J$3-$O$2,$Q$2)/$Q$2))</f>
        <v>4234.46841625121</v>
      </c>
      <c r="K495" s="15" t="n">
        <f aca="false">J495*(1+IF(K$3&lt;=$O$2,$D495,$D495-($D495-$I$481)*MIN(K$3-$O$2,$Q$2)/$Q$2))</f>
        <v>4406.20910961024</v>
      </c>
      <c r="L495" s="15" t="n">
        <f aca="false">K495*(1+IF(L$3&lt;=$O$2,$D495,$D495-($D495-$I$481)*MIN(L$3-$O$2,$Q$2)/$Q$2))</f>
        <v>4559.56807825794</v>
      </c>
      <c r="M495" s="15" t="n">
        <f aca="false">L495*(1+IF(M$3&lt;=$O$2,$D495,$D495-($D495-$I$481)*MIN(M$3-$O$2,$Q$2)/$Q$2))</f>
        <v>4692.03537512185</v>
      </c>
      <c r="N495" s="15" t="n">
        <f aca="false">M495*(1+IF(N$3&lt;=$O$2,$D495,$D495-($D495-$I$481)*MIN(N$3-$O$2,$Q$2)/$Q$2))</f>
        <v>4801.35979936219</v>
      </c>
      <c r="O495" s="15" t="n">
        <f aca="false">SUMPRODUCT(E495:N495,1/(1+$F$481)^$E$3:$N$3)*$E$2</f>
        <v>11783.5700720923</v>
      </c>
      <c r="P495" s="15" t="n">
        <f aca="false">N495*$E$2*(1+$I$481)/($F$481-$I$481)/(1+$F$481)^$N$3</f>
        <v>15247.9944119092</v>
      </c>
      <c r="Q495" s="15" t="n">
        <f aca="false">O495+P495</f>
        <v>27031.5644840015</v>
      </c>
      <c r="R495" s="15" t="n">
        <f aca="false">Q495-$G$2+$I$2</f>
        <v>22963.7644840015</v>
      </c>
      <c r="S495" s="42" t="n">
        <f aca="false">R495/$K$2</f>
        <v>176.427201014148</v>
      </c>
      <c r="T495" s="43" t="n">
        <f aca="false">S495-$M$2</f>
        <v>-0.201563583270996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0.05206298828125</v>
      </c>
      <c r="C496" s="25" t="n">
        <f aca="false">IF(T495&gt;0,D495,C495)</f>
        <v>0.05224609375</v>
      </c>
      <c r="D496" s="41" t="n">
        <f aca="false">(B496+C496)/2</f>
        <v>0.052154541015625</v>
      </c>
      <c r="E496" s="15" t="n">
        <f aca="false">$C$2*(1+IF(E$3&lt;=$O$2,$D496,$D496-($D496-$I$481)*MIN(E$3-$O$2,$Q$2)/$Q$2))</f>
        <v>3303.76525878906</v>
      </c>
      <c r="F496" s="15" t="n">
        <f aca="false">E496*(1+IF(F$3&lt;=$O$2,$D496,$D496-($D496-$I$481)*MIN(F$3-$O$2,$Q$2)/$Q$2))</f>
        <v>3476.07161948457</v>
      </c>
      <c r="G496" s="15" t="n">
        <f aca="false">F496*(1+IF(G$3&lt;=$O$2,$D496,$D496-($D496-$I$481)*MIN(G$3-$O$2,$Q$2)/$Q$2))</f>
        <v>3657.36453933623</v>
      </c>
      <c r="H496" s="15" t="n">
        <f aca="false">G496*(1+IF(H$3&lt;=$O$2,$D496,$D496-($D496-$I$481)*MIN(H$3-$O$2,$Q$2)/$Q$2))</f>
        <v>3848.11270821214</v>
      </c>
      <c r="I496" s="15" t="n">
        <f aca="false">H496*(1+IF(I$3&lt;=$O$2,$D496,$D496-($D496-$I$481)*MIN(I$3-$O$2,$Q$2)/$Q$2))</f>
        <v>4048.80926028533</v>
      </c>
      <c r="J496" s="15" t="n">
        <f aca="false">I496*(1+IF(J$3&lt;=$O$2,$D496,$D496-($D496-$I$481)*MIN(J$3-$O$2,$Q$2)/$Q$2))</f>
        <v>4236.60774234226</v>
      </c>
      <c r="K496" s="15" t="n">
        <f aca="false">J496*(1+IF(K$3&lt;=$O$2,$D496,$D496-($D496-$I$481)*MIN(K$3-$O$2,$Q$2)/$Q$2))</f>
        <v>4408.66792585995</v>
      </c>
      <c r="L496" s="15" t="n">
        <f aca="false">K496*(1+IF(L$3&lt;=$O$2,$D496,$D496-($D496-$I$481)*MIN(L$3-$O$2,$Q$2)/$Q$2))</f>
        <v>4562.27392432889</v>
      </c>
      <c r="M496" s="15" t="n">
        <f aca="false">L496*(1+IF(M$3&lt;=$O$2,$D496,$D496-($D496-$I$481)*MIN(M$3-$O$2,$Q$2)/$Q$2))</f>
        <v>4694.90337078056</v>
      </c>
      <c r="N496" s="15" t="n">
        <f aca="false">M496*(1+IF(N$3&lt;=$O$2,$D496,$D496-($D496-$I$481)*MIN(N$3-$O$2,$Q$2)/$Q$2))</f>
        <v>4804.29461931975</v>
      </c>
      <c r="O496" s="15" t="n">
        <f aca="false">SUMPRODUCT(E496:N496,1/(1+$F$481)^$E$3:$N$3)*$E$2</f>
        <v>11788.2651300048</v>
      </c>
      <c r="P496" s="15" t="n">
        <f aca="false">N496*$E$2*(1+$I$481)/($F$481-$I$481)/(1+$F$481)^$N$3</f>
        <v>15257.314712862</v>
      </c>
      <c r="Q496" s="15" t="n">
        <f aca="false">O496+P496</f>
        <v>27045.5798428668</v>
      </c>
      <c r="R496" s="15" t="n">
        <f aca="false">Q496-$G$2+$I$2</f>
        <v>22977.7798428668</v>
      </c>
      <c r="S496" s="42" t="n">
        <f aca="false">R496/$K$2</f>
        <v>176.534878940279</v>
      </c>
      <c r="T496" s="43" t="n">
        <f aca="false">S496-$M$2</f>
        <v>-0.0938856571392535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0.052154541015625</v>
      </c>
      <c r="C497" s="25" t="n">
        <f aca="false">IF(T496&gt;0,D496,C496)</f>
        <v>0.05224609375</v>
      </c>
      <c r="D497" s="41" t="n">
        <f aca="false">(B497+C497)/2</f>
        <v>0.0522003173828125</v>
      </c>
      <c r="E497" s="15" t="n">
        <f aca="false">$C$2*(1+IF(E$3&lt;=$O$2,$D497,$D497-($D497-$I$481)*MIN(E$3-$O$2,$Q$2)/$Q$2))</f>
        <v>3303.90899658203</v>
      </c>
      <c r="F497" s="15" t="n">
        <f aca="false">E497*(1+IF(F$3&lt;=$O$2,$D497,$D497-($D497-$I$481)*MIN(F$3-$O$2,$Q$2)/$Q$2))</f>
        <v>3476.37409480754</v>
      </c>
      <c r="G497" s="15" t="n">
        <f aca="false">F497*(1+IF(G$3&lt;=$O$2,$D497,$D497-($D497-$I$481)*MIN(G$3-$O$2,$Q$2)/$Q$2))</f>
        <v>3657.84192589788</v>
      </c>
      <c r="H497" s="15" t="n">
        <f aca="false">G497*(1+IF(H$3&lt;=$O$2,$D497,$D497-($D497-$I$481)*MIN(H$3-$O$2,$Q$2)/$Q$2))</f>
        <v>3848.78243536591</v>
      </c>
      <c r="I497" s="15" t="n">
        <f aca="false">H497*(1+IF(I$3&lt;=$O$2,$D497,$D497-($D497-$I$481)*MIN(I$3-$O$2,$Q$2)/$Q$2))</f>
        <v>4049.69010002941</v>
      </c>
      <c r="J497" s="15" t="n">
        <f aca="false">I497*(1+IF(J$3&lt;=$O$2,$D497,$D497-($D497-$I$481)*MIN(J$3-$O$2,$Q$2)/$Q$2))</f>
        <v>4237.6777427144</v>
      </c>
      <c r="K497" s="15" t="n">
        <f aca="false">J497*(1+IF(K$3&lt;=$O$2,$D497,$D497-($D497-$I$481)*MIN(K$3-$O$2,$Q$2)/$Q$2))</f>
        <v>4409.89777315796</v>
      </c>
      <c r="L497" s="15" t="n">
        <f aca="false">K497*(1+IF(L$3&lt;=$O$2,$D497,$D497-($D497-$I$481)*MIN(L$3-$O$2,$Q$2)/$Q$2))</f>
        <v>4563.62736938055</v>
      </c>
      <c r="M497" s="15" t="n">
        <f aca="false">L497*(1+IF(M$3&lt;=$O$2,$D497,$D497-($D497-$I$481)*MIN(M$3-$O$2,$Q$2)/$Q$2))</f>
        <v>4696.33794296552</v>
      </c>
      <c r="N497" s="15" t="n">
        <f aca="false">M497*(1+IF(N$3&lt;=$O$2,$D497,$D497-($D497-$I$481)*MIN(N$3-$O$2,$Q$2)/$Q$2))</f>
        <v>4805.76261703661</v>
      </c>
      <c r="O497" s="15" t="n">
        <f aca="false">SUMPRODUCT(E497:N497,1/(1+$F$481)^$E$3:$N$3)*$E$2</f>
        <v>11790.6133657874</v>
      </c>
      <c r="P497" s="15" t="n">
        <f aca="false">N497*$E$2*(1+$I$481)/($F$481-$I$481)/(1+$F$481)^$N$3</f>
        <v>15261.9767298569</v>
      </c>
      <c r="Q497" s="15" t="n">
        <f aca="false">O497+P497</f>
        <v>27052.5900956443</v>
      </c>
      <c r="R497" s="15" t="n">
        <f aca="false">Q497-$G$2+$I$2</f>
        <v>22984.7900956443</v>
      </c>
      <c r="S497" s="42" t="n">
        <f aca="false">R497/$K$2</f>
        <v>176.588737673973</v>
      </c>
      <c r="T497" s="43" t="n">
        <f aca="false">S497-$M$2</f>
        <v>-0.0400269234456232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0.0522003173828125</v>
      </c>
      <c r="C498" s="25" t="n">
        <f aca="false">IF(T497&gt;0,D497,C497)</f>
        <v>0.05224609375</v>
      </c>
      <c r="D498" s="41" t="n">
        <f aca="false">(B498+C498)/2</f>
        <v>0.0522232055664063</v>
      </c>
      <c r="E498" s="15" t="n">
        <f aca="false">$C$2*(1+IF(E$3&lt;=$O$2,$D498,$D498-($D498-$I$481)*MIN(E$3-$O$2,$Q$2)/$Q$2))</f>
        <v>3303.98086547852</v>
      </c>
      <c r="F498" s="15" t="n">
        <f aca="false">E498*(1+IF(F$3&lt;=$O$2,$D498,$D498-($D498-$I$481)*MIN(F$3-$O$2,$Q$2)/$Q$2))</f>
        <v>3476.52533740387</v>
      </c>
      <c r="G498" s="15" t="n">
        <f aca="false">F498*(1+IF(G$3&lt;=$O$2,$D498,$D498-($D498-$I$481)*MIN(G$3-$O$2,$Q$2)/$Q$2))</f>
        <v>3658.08063475594</v>
      </c>
      <c r="H498" s="15" t="n">
        <f aca="false">G498*(1+IF(H$3&lt;=$O$2,$D498,$D498-($D498-$I$481)*MIN(H$3-$O$2,$Q$2)/$Q$2))</f>
        <v>3849.11733172328</v>
      </c>
      <c r="I498" s="15" t="n">
        <f aca="false">H498*(1+IF(I$3&lt;=$O$2,$D498,$D498-($D498-$I$481)*MIN(I$3-$O$2,$Q$2)/$Q$2))</f>
        <v>4050.13057738709</v>
      </c>
      <c r="J498" s="15" t="n">
        <f aca="false">I498*(1+IF(J$3&lt;=$O$2,$D498,$D498-($D498-$I$481)*MIN(J$3-$O$2,$Q$2)/$Q$2))</f>
        <v>4238.21282724865</v>
      </c>
      <c r="K498" s="15" t="n">
        <f aca="false">J498*(1+IF(K$3&lt;=$O$2,$D498,$D498-($D498-$I$481)*MIN(K$3-$O$2,$Q$2)/$Q$2))</f>
        <v>4410.51280662556</v>
      </c>
      <c r="L498" s="15" t="n">
        <f aca="false">K498*(1+IF(L$3&lt;=$O$2,$D498,$D498-($D498-$I$481)*MIN(L$3-$O$2,$Q$2)/$Q$2))</f>
        <v>4564.30422244365</v>
      </c>
      <c r="M498" s="15" t="n">
        <f aca="false">L498*(1+IF(M$3&lt;=$O$2,$D498,$D498-($D498-$I$481)*MIN(M$3-$O$2,$Q$2)/$Q$2))</f>
        <v>4697.05537268526</v>
      </c>
      <c r="N498" s="15" t="n">
        <f aca="false">M498*(1+IF(N$3&lt;=$O$2,$D498,$D498-($D498-$I$481)*MIN(N$3-$O$2,$Q$2)/$Q$2))</f>
        <v>4806.49676286883</v>
      </c>
      <c r="O498" s="15" t="n">
        <f aca="false">SUMPRODUCT(E498:N498,1/(1+$F$481)^$E$3:$N$3)*$E$2</f>
        <v>11791.787660424</v>
      </c>
      <c r="P498" s="15" t="n">
        <f aca="false">N498*$E$2*(1+$I$481)/($F$481-$I$481)/(1+$F$481)^$N$3</f>
        <v>15264.3082051087</v>
      </c>
      <c r="Q498" s="15" t="n">
        <f aca="false">O498+P498</f>
        <v>27056.0958655327</v>
      </c>
      <c r="R498" s="15" t="n">
        <f aca="false">Q498-$G$2+$I$2</f>
        <v>22988.2958655327</v>
      </c>
      <c r="S498" s="42" t="n">
        <f aca="false">R498/$K$2</f>
        <v>176.615671984732</v>
      </c>
      <c r="T498" s="43" t="n">
        <f aca="false">S498-$M$2</f>
        <v>-0.0130926126865916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0.0522232055664063</v>
      </c>
      <c r="C499" s="25" t="n">
        <f aca="false">IF(T498&gt;0,D498,C498)</f>
        <v>0.05224609375</v>
      </c>
      <c r="D499" s="41" t="n">
        <f aca="false">(B499+C499)/2</f>
        <v>0.0522346496582031</v>
      </c>
      <c r="E499" s="15" t="n">
        <f aca="false">$C$2*(1+IF(E$3&lt;=$O$2,$D499,$D499-($D499-$I$481)*MIN(E$3-$O$2,$Q$2)/$Q$2))</f>
        <v>3304.01679992676</v>
      </c>
      <c r="F499" s="15" t="n">
        <f aca="false">E499*(1+IF(F$3&lt;=$O$2,$D499,$D499-($D499-$I$481)*MIN(F$3-$O$2,$Q$2)/$Q$2))</f>
        <v>3476.60095993575</v>
      </c>
      <c r="G499" s="15" t="n">
        <f aca="false">F499*(1+IF(G$3&lt;=$O$2,$D499,$D499-($D499-$I$481)*MIN(G$3-$O$2,$Q$2)/$Q$2))</f>
        <v>3658.19999307937</v>
      </c>
      <c r="H499" s="15" t="n">
        <f aca="false">G499*(1+IF(H$3&lt;=$O$2,$D499,$D499-($D499-$I$481)*MIN(H$3-$O$2,$Q$2)/$Q$2))</f>
        <v>3849.28478809751</v>
      </c>
      <c r="I499" s="15" t="n">
        <f aca="false">H499*(1+IF(I$3&lt;=$O$2,$D499,$D499-($D499-$I$481)*MIN(I$3-$O$2,$Q$2)/$Q$2))</f>
        <v>4050.35083043843</v>
      </c>
      <c r="J499" s="15" t="n">
        <f aca="false">I499*(1+IF(J$3&lt;=$O$2,$D499,$D499-($D499-$I$481)*MIN(J$3-$O$2,$Q$2)/$Q$2))</f>
        <v>4238.48039060489</v>
      </c>
      <c r="K499" s="15" t="n">
        <f aca="false">J499*(1+IF(K$3&lt;=$O$2,$D499,$D499-($D499-$I$481)*MIN(K$3-$O$2,$Q$2)/$Q$2))</f>
        <v>4410.82035081717</v>
      </c>
      <c r="L499" s="15" t="n">
        <f aca="false">K499*(1+IF(L$3&lt;=$O$2,$D499,$D499-($D499-$I$481)*MIN(L$3-$O$2,$Q$2)/$Q$2))</f>
        <v>4564.64268161368</v>
      </c>
      <c r="M499" s="15" t="n">
        <f aca="false">L499*(1+IF(M$3&lt;=$O$2,$D499,$D499-($D499-$I$481)*MIN(M$3-$O$2,$Q$2)/$Q$2))</f>
        <v>4697.41412345675</v>
      </c>
      <c r="N499" s="15" t="n">
        <f aca="false">M499*(1+IF(N$3&lt;=$O$2,$D499,$D499-($D499-$I$481)*MIN(N$3-$O$2,$Q$2)/$Q$2))</f>
        <v>4806.86387253329</v>
      </c>
      <c r="O499" s="15" t="n">
        <f aca="false">SUMPRODUCT(E499:N499,1/(1+$F$481)^$E$3:$N$3)*$E$2</f>
        <v>11792.3748519335</v>
      </c>
      <c r="P499" s="15" t="n">
        <f aca="false">N499*$E$2*(1+$I$481)/($F$481-$I$481)/(1+$F$481)^$N$3</f>
        <v>15265.4740594388</v>
      </c>
      <c r="Q499" s="15" t="n">
        <f aca="false">O499+P499</f>
        <v>27057.8489113723</v>
      </c>
      <c r="R499" s="15" t="n">
        <f aca="false">Q499-$G$2+$I$2</f>
        <v>22990.0489113723</v>
      </c>
      <c r="S499" s="42" t="n">
        <f aca="false">R499/$K$2</f>
        <v>176.629140376247</v>
      </c>
      <c r="T499" s="43" t="n">
        <f aca="false">S499-$M$2</f>
        <v>0.000375778827958584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0.0522232055664063</v>
      </c>
      <c r="C500" s="25" t="n">
        <f aca="false">IF(T499&gt;0,D499,C499)</f>
        <v>0.0522346496582031</v>
      </c>
      <c r="D500" s="41" t="n">
        <f aca="false">(B500+C500)/2</f>
        <v>0.0522289276123047</v>
      </c>
      <c r="E500" s="15" t="n">
        <f aca="false">$C$2*(1+IF(E$3&lt;=$O$2,$D500,$D500-($D500-$I$481)*MIN(E$3-$O$2,$Q$2)/$Q$2))</f>
        <v>3303.99883270264</v>
      </c>
      <c r="F500" s="15" t="n">
        <f aca="false">E500*(1+IF(F$3&lt;=$O$2,$D500,$D500-($D500-$I$481)*MIN(F$3-$O$2,$Q$2)/$Q$2))</f>
        <v>3476.563148567</v>
      </c>
      <c r="G500" s="15" t="n">
        <f aca="false">F500*(1+IF(G$3&lt;=$O$2,$D500,$D500-($D500-$I$481)*MIN(G$3-$O$2,$Q$2)/$Q$2))</f>
        <v>3658.14031359311</v>
      </c>
      <c r="H500" s="15" t="n">
        <f aca="false">G500*(1+IF(H$3&lt;=$O$2,$D500,$D500-($D500-$I$481)*MIN(H$3-$O$2,$Q$2)/$Q$2))</f>
        <v>3849.20105922742</v>
      </c>
      <c r="I500" s="15" t="n">
        <f aca="false">H500*(1+IF(I$3&lt;=$O$2,$D500,$D500-($D500-$I$481)*MIN(I$3-$O$2,$Q$2)/$Q$2))</f>
        <v>4050.24070271502</v>
      </c>
      <c r="J500" s="15" t="n">
        <f aca="false">I500*(1+IF(J$3&lt;=$O$2,$D500,$D500-($D500-$I$481)*MIN(J$3-$O$2,$Q$2)/$Q$2))</f>
        <v>4238.34660716928</v>
      </c>
      <c r="K500" s="15" t="n">
        <f aca="false">J500*(1+IF(K$3&lt;=$O$2,$D500,$D500-($D500-$I$481)*MIN(K$3-$O$2,$Q$2)/$Q$2))</f>
        <v>4410.66657643312</v>
      </c>
      <c r="L500" s="15" t="n">
        <f aca="false">K500*(1+IF(L$3&lt;=$O$2,$D500,$D500-($D500-$I$481)*MIN(L$3-$O$2,$Q$2)/$Q$2))</f>
        <v>4564.47344930867</v>
      </c>
      <c r="M500" s="15" t="n">
        <f aca="false">L500*(1+IF(M$3&lt;=$O$2,$D500,$D500-($D500-$I$481)*MIN(M$3-$O$2,$Q$2)/$Q$2))</f>
        <v>4697.23474507823</v>
      </c>
      <c r="N500" s="15" t="n">
        <f aca="false">M500*(1+IF(N$3&lt;=$O$2,$D500,$D500-($D500-$I$481)*MIN(N$3-$O$2,$Q$2)/$Q$2))</f>
        <v>4806.68031463855</v>
      </c>
      <c r="O500" s="15" t="n">
        <f aca="false">SUMPRODUCT(E500:N500,1/(1+$F$481)^$E$3:$N$3)*$E$2</f>
        <v>11792.081252496</v>
      </c>
      <c r="P500" s="15" t="n">
        <f aca="false">N500*$E$2*(1+$I$481)/($F$481-$I$481)/(1+$F$481)^$N$3</f>
        <v>15264.8911225479</v>
      </c>
      <c r="Q500" s="15" t="n">
        <f aca="false">O500+P500</f>
        <v>27056.9723750439</v>
      </c>
      <c r="R500" s="15" t="n">
        <f aca="false">Q500-$G$2+$I$2</f>
        <v>22989.1723750439</v>
      </c>
      <c r="S500" s="42" t="n">
        <f aca="false">R500/$K$2</f>
        <v>176.622406077473</v>
      </c>
      <c r="T500" s="43" t="n">
        <f aca="false">S500-$M$2</f>
        <v>-0.00635851994522341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0.0522289276123047</v>
      </c>
      <c r="C501" s="25" t="n">
        <f aca="false">IF(T500&gt;0,D500,C500)</f>
        <v>0.0522346496582031</v>
      </c>
      <c r="D501" s="41" t="n">
        <f aca="false">(B501+C501)/2</f>
        <v>0.0522317886352539</v>
      </c>
      <c r="E501" s="15" t="n">
        <f aca="false">$C$2*(1+IF(E$3&lt;=$O$2,$D501,$D501-($D501-$I$481)*MIN(E$3-$O$2,$Q$2)/$Q$2))</f>
        <v>3304.0078163147</v>
      </c>
      <c r="F501" s="15" t="n">
        <f aca="false">E501*(1+IF(F$3&lt;=$O$2,$D501,$D501-($D501-$I$481)*MIN(F$3-$O$2,$Q$2)/$Q$2))</f>
        <v>3476.58205422567</v>
      </c>
      <c r="G501" s="15" t="n">
        <f aca="false">F501*(1+IF(G$3&lt;=$O$2,$D501,$D501-($D501-$I$481)*MIN(G$3-$O$2,$Q$2)/$Q$2))</f>
        <v>3658.17015325511</v>
      </c>
      <c r="H501" s="15" t="n">
        <f aca="false">G501*(1+IF(H$3&lt;=$O$2,$D501,$D501-($D501-$I$481)*MIN(H$3-$O$2,$Q$2)/$Q$2))</f>
        <v>3849.24292349172</v>
      </c>
      <c r="I501" s="15" t="n">
        <f aca="false">H501*(1+IF(I$3&lt;=$O$2,$D501,$D501-($D501-$I$481)*MIN(I$3-$O$2,$Q$2)/$Q$2))</f>
        <v>4050.29576627729</v>
      </c>
      <c r="J501" s="15" t="n">
        <f aca="false">I501*(1+IF(J$3&lt;=$O$2,$D501,$D501-($D501-$I$481)*MIN(J$3-$O$2,$Q$2)/$Q$2))</f>
        <v>4238.41349844771</v>
      </c>
      <c r="K501" s="15" t="n">
        <f aca="false">J501*(1+IF(K$3&lt;=$O$2,$D501,$D501-($D501-$I$481)*MIN(K$3-$O$2,$Q$2)/$Q$2))</f>
        <v>4410.74346305308</v>
      </c>
      <c r="L501" s="15" t="n">
        <f aca="false">K501*(1+IF(L$3&lt;=$O$2,$D501,$D501-($D501-$I$481)*MIN(L$3-$O$2,$Q$2)/$Q$2))</f>
        <v>4564.55806478117</v>
      </c>
      <c r="M501" s="15" t="n">
        <f aca="false">L501*(1+IF(M$3&lt;=$O$2,$D501,$D501-($D501-$I$481)*MIN(M$3-$O$2,$Q$2)/$Q$2))</f>
        <v>4697.32443351929</v>
      </c>
      <c r="N501" s="15" t="n">
        <f aca="false">M501*(1+IF(N$3&lt;=$O$2,$D501,$D501-($D501-$I$481)*MIN(N$3-$O$2,$Q$2)/$Q$2))</f>
        <v>4806.77209282028</v>
      </c>
      <c r="O501" s="15" t="n">
        <f aca="false">SUMPRODUCT(E501:N501,1/(1+$F$481)^$E$3:$N$3)*$E$2</f>
        <v>11792.228051294</v>
      </c>
      <c r="P501" s="15" t="n">
        <f aca="false">N501*$E$2*(1+$I$481)/($F$481-$I$481)/(1+$F$481)^$N$3</f>
        <v>15265.1825885619</v>
      </c>
      <c r="Q501" s="15" t="n">
        <f aca="false">O501+P501</f>
        <v>27057.4106398559</v>
      </c>
      <c r="R501" s="15" t="n">
        <f aca="false">Q501-$G$2+$I$2</f>
        <v>22989.6106398559</v>
      </c>
      <c r="S501" s="42" t="n">
        <f aca="false">R501/$K$2</f>
        <v>176.625773201106</v>
      </c>
      <c r="T501" s="43" t="n">
        <f aca="false">S501-$M$2</f>
        <v>-0.00299139631286494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0.0522317886352539</v>
      </c>
      <c r="C502" s="25" t="n">
        <f aca="false">IF(T501&gt;0,D501,C501)</f>
        <v>0.0522346496582031</v>
      </c>
      <c r="D502" s="41" t="n">
        <f aca="false">(B502+C502)/2</f>
        <v>0.0522332191467285</v>
      </c>
      <c r="E502" s="15" t="n">
        <f aca="false">$C$2*(1+IF(E$3&lt;=$O$2,$D502,$D502-($D502-$I$481)*MIN(E$3-$O$2,$Q$2)/$Q$2))</f>
        <v>3304.01230812073</v>
      </c>
      <c r="F502" s="15" t="n">
        <f aca="false">E502*(1+IF(F$3&lt;=$O$2,$D502,$D502-($D502-$I$481)*MIN(F$3-$O$2,$Q$2)/$Q$2))</f>
        <v>3476.59150707429</v>
      </c>
      <c r="G502" s="15" t="n">
        <f aca="false">F502*(1+IF(G$3&lt;=$O$2,$D502,$D502-($D502-$I$481)*MIN(G$3-$O$2,$Q$2)/$Q$2))</f>
        <v>3658.18507314695</v>
      </c>
      <c r="H502" s="15" t="n">
        <f aca="false">G502*(1+IF(H$3&lt;=$O$2,$D502,$D502-($D502-$I$481)*MIN(H$3-$O$2,$Q$2)/$Q$2))</f>
        <v>3849.26385575193</v>
      </c>
      <c r="I502" s="15" t="n">
        <f aca="false">H502*(1+IF(I$3&lt;=$O$2,$D502,$D502-($D502-$I$481)*MIN(I$3-$O$2,$Q$2)/$Q$2))</f>
        <v>4050.323298283</v>
      </c>
      <c r="J502" s="15" t="n">
        <f aca="false">I502*(1+IF(J$3&lt;=$O$2,$D502,$D502-($D502-$I$481)*MIN(J$3-$O$2,$Q$2)/$Q$2))</f>
        <v>4238.44694441645</v>
      </c>
      <c r="K502" s="15" t="n">
        <f aca="false">J502*(1+IF(K$3&lt;=$O$2,$D502,$D502-($D502-$I$481)*MIN(K$3-$O$2,$Q$2)/$Q$2))</f>
        <v>4410.78190679211</v>
      </c>
      <c r="L502" s="15" t="n">
        <f aca="false">K502*(1+IF(L$3&lt;=$O$2,$D502,$D502-($D502-$I$481)*MIN(L$3-$O$2,$Q$2)/$Q$2))</f>
        <v>4564.60037302742</v>
      </c>
      <c r="M502" s="15" t="n">
        <f aca="false">L502*(1+IF(M$3&lt;=$O$2,$D502,$D502-($D502-$I$481)*MIN(M$3-$O$2,$Q$2)/$Q$2))</f>
        <v>4697.36927830097</v>
      </c>
      <c r="N502" s="15" t="n">
        <f aca="false">M502*(1+IF(N$3&lt;=$O$2,$D502,$D502-($D502-$I$481)*MIN(N$3-$O$2,$Q$2)/$Q$2))</f>
        <v>4806.81798248538</v>
      </c>
      <c r="O502" s="15" t="n">
        <f aca="false">SUMPRODUCT(E502:N502,1/(1+$F$481)^$E$3:$N$3)*$E$2</f>
        <v>11792.3014513836</v>
      </c>
      <c r="P502" s="15" t="n">
        <f aca="false">N502*$E$2*(1+$I$481)/($F$481-$I$481)/(1+$F$481)^$N$3</f>
        <v>15265.3283233925</v>
      </c>
      <c r="Q502" s="15" t="n">
        <f aca="false">O502+P502</f>
        <v>27057.629774776</v>
      </c>
      <c r="R502" s="15" t="n">
        <f aca="false">Q502-$G$2+$I$2</f>
        <v>22989.829774776</v>
      </c>
      <c r="S502" s="42" t="n">
        <f aca="false">R502/$K$2</f>
        <v>176.627456782238</v>
      </c>
      <c r="T502" s="43" t="n">
        <f aca="false">S502-$M$2</f>
        <v>-0.00130781518103618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0.0522332191467285</v>
      </c>
      <c r="C503" s="25" t="n">
        <f aca="false">IF(T502&gt;0,D502,C502)</f>
        <v>0.0522346496582031</v>
      </c>
      <c r="D503" s="41" t="n">
        <f aca="false">(B503+C503)/2</f>
        <v>0.0522339344024658</v>
      </c>
      <c r="E503" s="15" t="n">
        <f aca="false">$C$2*(1+IF(E$3&lt;=$O$2,$D503,$D503-($D503-$I$481)*MIN(E$3-$O$2,$Q$2)/$Q$2))</f>
        <v>3304.01455402374</v>
      </c>
      <c r="F503" s="15" t="n">
        <f aca="false">E503*(1+IF(F$3&lt;=$O$2,$D503,$D503-($D503-$I$481)*MIN(F$3-$O$2,$Q$2)/$Q$2))</f>
        <v>3476.59623350341</v>
      </c>
      <c r="G503" s="15" t="n">
        <f aca="false">F503*(1+IF(G$3&lt;=$O$2,$D503,$D503-($D503-$I$481)*MIN(G$3-$O$2,$Q$2)/$Q$2))</f>
        <v>3658.19253310809</v>
      </c>
      <c r="H503" s="15" t="n">
        <f aca="false">G503*(1+IF(H$3&lt;=$O$2,$D503,$D503-($D503-$I$481)*MIN(H$3-$O$2,$Q$2)/$Q$2))</f>
        <v>3849.27432191405</v>
      </c>
      <c r="I503" s="15" t="n">
        <f aca="false">H503*(1+IF(I$3&lt;=$O$2,$D503,$D503-($D503-$I$481)*MIN(I$3-$O$2,$Q$2)/$Q$2))</f>
        <v>4050.337064342</v>
      </c>
      <c r="J503" s="15" t="n">
        <f aca="false">I503*(1+IF(J$3&lt;=$O$2,$D503,$D503-($D503-$I$481)*MIN(J$3-$O$2,$Q$2)/$Q$2))</f>
        <v>4238.46366748321</v>
      </c>
      <c r="K503" s="15" t="n">
        <f aca="false">J503*(1+IF(K$3&lt;=$O$2,$D503,$D503-($D503-$I$481)*MIN(K$3-$O$2,$Q$2)/$Q$2))</f>
        <v>4410.80112876888</v>
      </c>
      <c r="L503" s="15" t="n">
        <f aca="false">K503*(1+IF(L$3&lt;=$O$2,$D503,$D503-($D503-$I$481)*MIN(L$3-$O$2,$Q$2)/$Q$2))</f>
        <v>4564.62152727805</v>
      </c>
      <c r="M503" s="15" t="n">
        <f aca="false">L503*(1+IF(M$3&lt;=$O$2,$D503,$D503-($D503-$I$481)*MIN(M$3-$O$2,$Q$2)/$Q$2))</f>
        <v>4697.39170083209</v>
      </c>
      <c r="N503" s="15" t="n">
        <f aca="false">M503*(1+IF(N$3&lt;=$O$2,$D503,$D503-($D503-$I$481)*MIN(N$3-$O$2,$Q$2)/$Q$2))</f>
        <v>4806.84092746148</v>
      </c>
      <c r="O503" s="15" t="n">
        <f aca="false">SUMPRODUCT(E503:N503,1/(1+$F$481)^$E$3:$N$3)*$E$2</f>
        <v>11792.338151601</v>
      </c>
      <c r="P503" s="15" t="n">
        <f aca="false">N503*$E$2*(1+$I$481)/($F$481-$I$481)/(1+$F$481)^$N$3</f>
        <v>15265.4011912636</v>
      </c>
      <c r="Q503" s="15" t="n">
        <f aca="false">O503+P503</f>
        <v>27057.7393428646</v>
      </c>
      <c r="R503" s="15" t="n">
        <f aca="false">Q503-$G$2+$I$2</f>
        <v>22989.9393428646</v>
      </c>
      <c r="S503" s="42" t="n">
        <f aca="false">R503/$K$2</f>
        <v>176.628298577632</v>
      </c>
      <c r="T503" s="43" t="n">
        <f aca="false">S503-$M$2</f>
        <v>-0.000466019786216521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0.0522339344024658</v>
      </c>
      <c r="C504" s="25" t="n">
        <f aca="false">IF(T503&gt;0,D503,C503)</f>
        <v>0.0522346496582031</v>
      </c>
      <c r="D504" s="41" t="n">
        <f aca="false">(B504+C504)/2</f>
        <v>0.0522342920303345</v>
      </c>
      <c r="E504" s="15" t="n">
        <f aca="false">$C$2*(1+IF(E$3&lt;=$O$2,$D504,$D504-($D504-$I$481)*MIN(E$3-$O$2,$Q$2)/$Q$2))</f>
        <v>3304.01567697525</v>
      </c>
      <c r="F504" s="15" t="n">
        <f aca="false">E504*(1+IF(F$3&lt;=$O$2,$D504,$D504-($D504-$I$481)*MIN(F$3-$O$2,$Q$2)/$Q$2))</f>
        <v>3476.59859671918</v>
      </c>
      <c r="G504" s="15" t="n">
        <f aca="false">F504*(1+IF(G$3&lt;=$O$2,$D504,$D504-($D504-$I$481)*MIN(G$3-$O$2,$Q$2)/$Q$2))</f>
        <v>3658.19626309246</v>
      </c>
      <c r="H504" s="15" t="n">
        <f aca="false">G504*(1+IF(H$3&lt;=$O$2,$D504,$D504-($D504-$I$481)*MIN(H$3-$O$2,$Q$2)/$Q$2))</f>
        <v>3849.27955500311</v>
      </c>
      <c r="I504" s="15" t="n">
        <f aca="false">H504*(1+IF(I$3&lt;=$O$2,$D504,$D504-($D504-$I$481)*MIN(I$3-$O$2,$Q$2)/$Q$2))</f>
        <v>4050.34394738554</v>
      </c>
      <c r="J504" s="15" t="n">
        <f aca="false">I504*(1+IF(J$3&lt;=$O$2,$D504,$D504-($D504-$I$481)*MIN(J$3-$O$2,$Q$2)/$Q$2))</f>
        <v>4238.47202903718</v>
      </c>
      <c r="K504" s="15" t="n">
        <f aca="false">J504*(1+IF(K$3&lt;=$O$2,$D504,$D504-($D504-$I$481)*MIN(K$3-$O$2,$Q$2)/$Q$2))</f>
        <v>4410.81073978409</v>
      </c>
      <c r="L504" s="15" t="n">
        <f aca="false">K504*(1+IF(L$3&lt;=$O$2,$D504,$D504-($D504-$I$481)*MIN(L$3-$O$2,$Q$2)/$Q$2))</f>
        <v>4564.63210443524</v>
      </c>
      <c r="M504" s="15" t="n">
        <f aca="false">L504*(1+IF(M$3&lt;=$O$2,$D504,$D504-($D504-$I$481)*MIN(M$3-$O$2,$Q$2)/$Q$2))</f>
        <v>4697.40291213273</v>
      </c>
      <c r="N504" s="15" t="n">
        <f aca="false">M504*(1+IF(N$3&lt;=$O$2,$D504,$D504-($D504-$I$481)*MIN(N$3-$O$2,$Q$2)/$Q$2))</f>
        <v>4806.85239998542</v>
      </c>
      <c r="O504" s="15" t="n">
        <f aca="false">SUMPRODUCT(E504:N504,1/(1+$F$481)^$E$3:$N$3)*$E$2</f>
        <v>11792.3565017528</v>
      </c>
      <c r="P504" s="15" t="n">
        <f aca="false">N504*$E$2*(1+$I$481)/($F$481-$I$481)/(1+$F$481)^$N$3</f>
        <v>15265.4376253132</v>
      </c>
      <c r="Q504" s="15" t="n">
        <f aca="false">O504+P504</f>
        <v>27057.7941270661</v>
      </c>
      <c r="R504" s="15" t="n">
        <f aca="false">Q504-$G$2+$I$2</f>
        <v>22989.9941270661</v>
      </c>
      <c r="S504" s="42" t="n">
        <f aca="false">R504/$K$2</f>
        <v>176.628719476537</v>
      </c>
      <c r="T504" s="43" t="n">
        <f aca="false">S504-$M$2</f>
        <v>-4.51208815377413E-005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0.0522342920303345</v>
      </c>
      <c r="C505" s="25" t="n">
        <f aca="false">IF(T504&gt;0,D504,C504)</f>
        <v>0.0522346496582031</v>
      </c>
      <c r="D505" s="41" t="n">
        <f aca="false">(B505+C505)/2</f>
        <v>0.0522344708442688</v>
      </c>
      <c r="E505" s="15" t="n">
        <f aca="false">$C$2*(1+IF(E$3&lt;=$O$2,$D505,$D505-($D505-$I$481)*MIN(E$3-$O$2,$Q$2)/$Q$2))</f>
        <v>3304.016238451</v>
      </c>
      <c r="F505" s="15" t="n">
        <f aca="false">E505*(1+IF(F$3&lt;=$O$2,$D505,$D505-($D505-$I$481)*MIN(F$3-$O$2,$Q$2)/$Q$2))</f>
        <v>3476.59977832736</v>
      </c>
      <c r="G505" s="15" t="n">
        <f aca="false">F505*(1+IF(G$3&lt;=$O$2,$D505,$D505-($D505-$I$481)*MIN(G$3-$O$2,$Q$2)/$Q$2))</f>
        <v>3658.1981280856</v>
      </c>
      <c r="H505" s="15" t="n">
        <f aca="false">G505*(1+IF(H$3&lt;=$O$2,$D505,$D505-($D505-$I$481)*MIN(H$3-$O$2,$Q$2)/$Q$2))</f>
        <v>3849.28217154964</v>
      </c>
      <c r="I505" s="15" t="n">
        <f aca="false">H505*(1+IF(I$3&lt;=$O$2,$D505,$D505-($D505-$I$481)*MIN(I$3-$O$2,$Q$2)/$Q$2))</f>
        <v>4050.34738891082</v>
      </c>
      <c r="J505" s="15" t="n">
        <f aca="false">I505*(1+IF(J$3&lt;=$O$2,$D505,$D505-($D505-$I$481)*MIN(J$3-$O$2,$Q$2)/$Q$2))</f>
        <v>4238.47620981932</v>
      </c>
      <c r="K505" s="15" t="n">
        <f aca="false">J505*(1+IF(K$3&lt;=$O$2,$D505,$D505-($D505-$I$481)*MIN(K$3-$O$2,$Q$2)/$Q$2))</f>
        <v>4410.81554529839</v>
      </c>
      <c r="L505" s="15" t="n">
        <f aca="false">K505*(1+IF(L$3&lt;=$O$2,$D505,$D505-($D505-$I$481)*MIN(L$3-$O$2,$Q$2)/$Q$2))</f>
        <v>4564.6373930218</v>
      </c>
      <c r="M505" s="15" t="n">
        <f aca="false">L505*(1+IF(M$3&lt;=$O$2,$D505,$D505-($D505-$I$481)*MIN(M$3-$O$2,$Q$2)/$Q$2))</f>
        <v>4697.40851779182</v>
      </c>
      <c r="N505" s="15" t="n">
        <f aca="false">M505*(1+IF(N$3&lt;=$O$2,$D505,$D505-($D505-$I$481)*MIN(N$3-$O$2,$Q$2)/$Q$2))</f>
        <v>4806.85813625637</v>
      </c>
      <c r="O505" s="15" t="n">
        <f aca="false">SUMPRODUCT(E505:N505,1/(1+$F$481)^$E$3:$N$3)*$E$2</f>
        <v>11792.3656768396</v>
      </c>
      <c r="P505" s="15" t="n">
        <f aca="false">N505*$E$2*(1+$I$481)/($F$481-$I$481)/(1+$F$481)^$N$3</f>
        <v>15265.4558423665</v>
      </c>
      <c r="Q505" s="15" t="n">
        <f aca="false">O505+P505</f>
        <v>27057.8215192061</v>
      </c>
      <c r="R505" s="15" t="n">
        <f aca="false">Q505-$G$2+$I$2</f>
        <v>22990.0215192061</v>
      </c>
      <c r="S505" s="42" t="n">
        <f aca="false">R505/$K$2</f>
        <v>176.628929926291</v>
      </c>
      <c r="T505" s="43" t="n">
        <f aca="false">S505-$M$2</f>
        <v>0.000165328872668624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0.0522342920303345</v>
      </c>
      <c r="C506" s="25" t="n">
        <f aca="false">IF(T505&gt;0,D505,C505)</f>
        <v>0.0522344708442688</v>
      </c>
      <c r="D506" s="41" t="n">
        <f aca="false">(B506+C506)/2</f>
        <v>0.0522343814373016</v>
      </c>
      <c r="E506" s="15" t="n">
        <f aca="false">$C$2*(1+IF(E$3&lt;=$O$2,$D506,$D506-($D506-$I$481)*MIN(E$3-$O$2,$Q$2)/$Q$2))</f>
        <v>3304.01595771313</v>
      </c>
      <c r="F506" s="15" t="n">
        <f aca="false">E506*(1+IF(F$3&lt;=$O$2,$D506,$D506-($D506-$I$481)*MIN(F$3-$O$2,$Q$2)/$Q$2))</f>
        <v>3476.59918752325</v>
      </c>
      <c r="G506" s="15" t="n">
        <f aca="false">F506*(1+IF(G$3&lt;=$O$2,$D506,$D506-($D506-$I$481)*MIN(G$3-$O$2,$Q$2)/$Q$2))</f>
        <v>3658.19719558895</v>
      </c>
      <c r="H506" s="15" t="n">
        <f aca="false">G506*(1+IF(H$3&lt;=$O$2,$D506,$D506-($D506-$I$481)*MIN(H$3-$O$2,$Q$2)/$Q$2))</f>
        <v>3849.28086327621</v>
      </c>
      <c r="I506" s="15" t="n">
        <f aca="false">H506*(1+IF(I$3&lt;=$O$2,$D506,$D506-($D506-$I$481)*MIN(I$3-$O$2,$Q$2)/$Q$2))</f>
        <v>4050.34566814788</v>
      </c>
      <c r="J506" s="15" t="n">
        <f aca="false">I506*(1+IF(J$3&lt;=$O$2,$D506,$D506-($D506-$I$481)*MIN(J$3-$O$2,$Q$2)/$Q$2))</f>
        <v>4238.47411942782</v>
      </c>
      <c r="K506" s="15" t="n">
        <f aca="false">J506*(1+IF(K$3&lt;=$O$2,$D506,$D506-($D506-$I$481)*MIN(K$3-$O$2,$Q$2)/$Q$2))</f>
        <v>4410.81314254068</v>
      </c>
      <c r="L506" s="15" t="n">
        <f aca="false">K506*(1+IF(L$3&lt;=$O$2,$D506,$D506-($D506-$I$481)*MIN(L$3-$O$2,$Q$2)/$Q$2))</f>
        <v>4564.63474872785</v>
      </c>
      <c r="M506" s="15" t="n">
        <f aca="false">L506*(1+IF(M$3&lt;=$O$2,$D506,$D506-($D506-$I$481)*MIN(M$3-$O$2,$Q$2)/$Q$2))</f>
        <v>4697.40571496154</v>
      </c>
      <c r="N506" s="15" t="n">
        <f aca="false">M506*(1+IF(N$3&lt;=$O$2,$D506,$D506-($D506-$I$481)*MIN(N$3-$O$2,$Q$2)/$Q$2))</f>
        <v>4806.85526812015</v>
      </c>
      <c r="O506" s="15" t="n">
        <f aca="false">SUMPRODUCT(E506:N506,1/(1+$F$481)^$E$3:$N$3)*$E$2</f>
        <v>11792.3610892953</v>
      </c>
      <c r="P506" s="15" t="n">
        <f aca="false">N506*$E$2*(1+$I$481)/($F$481-$I$481)/(1+$F$481)^$N$3</f>
        <v>15265.4467338375</v>
      </c>
      <c r="Q506" s="15" t="n">
        <f aca="false">O506+P506</f>
        <v>27057.8078231328</v>
      </c>
      <c r="R506" s="15" t="n">
        <f aca="false">Q506-$G$2+$I$2</f>
        <v>22990.0078231328</v>
      </c>
      <c r="S506" s="42" t="n">
        <f aca="false">R506/$K$2</f>
        <v>176.628824701389</v>
      </c>
      <c r="T506" s="43" t="n">
        <f aca="false">S506-$M$2</f>
        <v>6.01039704406503E-005</v>
      </c>
    </row>
    <row r="508" customFormat="false" ht="15" hidden="false" customHeight="false" outlineLevel="0" collapsed="false">
      <c r="A508" s="38" t="s">
        <v>192</v>
      </c>
      <c r="E508" s="5" t="s">
        <v>11</v>
      </c>
      <c r="F508" s="12" t="n">
        <f aca="false">Sensitivity!$B$13</f>
        <v>0.0869413943493295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155</v>
      </c>
      <c r="B509" s="28" t="s">
        <v>156</v>
      </c>
      <c r="C509" s="28" t="s">
        <v>157</v>
      </c>
      <c r="D509" s="28" t="s">
        <v>158</v>
      </c>
      <c r="E509" s="28" t="s">
        <v>159</v>
      </c>
      <c r="F509" s="28" t="s">
        <v>160</v>
      </c>
      <c r="G509" s="28" t="s">
        <v>161</v>
      </c>
      <c r="H509" s="28" t="s">
        <v>162</v>
      </c>
      <c r="I509" s="28" t="s">
        <v>163</v>
      </c>
      <c r="J509" s="28" t="s">
        <v>164</v>
      </c>
      <c r="K509" s="28" t="s">
        <v>165</v>
      </c>
      <c r="L509" s="28" t="s">
        <v>166</v>
      </c>
      <c r="M509" s="28" t="s">
        <v>167</v>
      </c>
      <c r="N509" s="28" t="s">
        <v>168</v>
      </c>
      <c r="O509" s="28" t="s">
        <v>169</v>
      </c>
      <c r="P509" s="28" t="s">
        <v>170</v>
      </c>
      <c r="Q509" s="28" t="s">
        <v>171</v>
      </c>
      <c r="R509" s="28" t="s">
        <v>172</v>
      </c>
      <c r="S509" s="28" t="s">
        <v>173</v>
      </c>
      <c r="T509" s="28" t="s">
        <v>174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3925</v>
      </c>
      <c r="F510" s="15" t="n">
        <f aca="false">E510*(1+IF(F$3&lt;=$O$2,$D510,$D510-($D510-$I$508)*MIN(F$3-$O$2,$Q$2)/$Q$2))</f>
        <v>4906.25</v>
      </c>
      <c r="G510" s="15" t="n">
        <f aca="false">F510*(1+IF(G$3&lt;=$O$2,$D510,$D510-($D510-$I$508)*MIN(G$3-$O$2,$Q$2)/$Q$2))</f>
        <v>6132.8125</v>
      </c>
      <c r="H510" s="15" t="n">
        <f aca="false">G510*(1+IF(H$3&lt;=$O$2,$D510,$D510-($D510-$I$508)*MIN(H$3-$O$2,$Q$2)/$Q$2))</f>
        <v>7666.015625</v>
      </c>
      <c r="I510" s="15" t="n">
        <f aca="false">H510*(1+IF(I$3&lt;=$O$2,$D510,$D510-($D510-$I$508)*MIN(I$3-$O$2,$Q$2)/$Q$2))</f>
        <v>9582.51953125</v>
      </c>
      <c r="J510" s="15" t="n">
        <f aca="false">I510*(1+IF(J$3&lt;=$O$2,$D510,$D510-($D510-$I$508)*MIN(J$3-$O$2,$Q$2)/$Q$2))</f>
        <v>11553.2604980469</v>
      </c>
      <c r="K510" s="15" t="n">
        <f aca="false">J510*(1+IF(K$3&lt;=$O$2,$D510,$D510-($D510-$I$508)*MIN(K$3-$O$2,$Q$2)/$Q$2))</f>
        <v>13417.0324815918</v>
      </c>
      <c r="L510" s="15" t="n">
        <f aca="false">K510*(1+IF(L$3&lt;=$O$2,$D510,$D510-($D510-$I$508)*MIN(L$3-$O$2,$Q$2)/$Q$2))</f>
        <v>14986.5569412884</v>
      </c>
      <c r="M510" s="15" t="n">
        <f aca="false">L510*(1+IF(M$3&lt;=$O$2,$D510,$D510-($D510-$I$508)*MIN(M$3-$O$2,$Q$2)/$Q$2))</f>
        <v>16075.1804375036</v>
      </c>
      <c r="N510" s="15" t="n">
        <f aca="false">M510*(1+IF(N$3&lt;=$O$2,$D510,$D510-($D510-$I$508)*MIN(N$3-$O$2,$Q$2)/$Q$2))</f>
        <v>16530.1080438849</v>
      </c>
      <c r="O510" s="15" t="n">
        <f aca="false">SUMPRODUCT(E510:N510,1/(1+$F$508)^$E$3:$N$3)*$E$2</f>
        <v>27869.8663651816</v>
      </c>
      <c r="P510" s="15" t="n">
        <f aca="false">N510*$E$2*(1+$I$508)/($F$508-$I$508)/(1+$F$508)^$N$3</f>
        <v>57250.123008196</v>
      </c>
      <c r="Q510" s="15" t="n">
        <f aca="false">O510+P510</f>
        <v>85119.9893733776</v>
      </c>
      <c r="R510" s="15" t="n">
        <f aca="false">Q510-$G$2+$I$2</f>
        <v>81052.1893733776</v>
      </c>
      <c r="S510" s="42" t="n">
        <f aca="false">R510/$K$2</f>
        <v>622.711965068974</v>
      </c>
      <c r="T510" s="43" t="n">
        <f aca="false">S510-$M$2</f>
        <v>446.083200471555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2747.5</v>
      </c>
      <c r="F511" s="15" t="n">
        <f aca="false">E511*(1+IF(F$3&lt;=$O$2,$D511,$D511-($D511-$I$508)*MIN(F$3-$O$2,$Q$2)/$Q$2))</f>
        <v>2404.0625</v>
      </c>
      <c r="G511" s="15" t="n">
        <f aca="false">F511*(1+IF(G$3&lt;=$O$2,$D511,$D511-($D511-$I$508)*MIN(G$3-$O$2,$Q$2)/$Q$2))</f>
        <v>2103.5546875</v>
      </c>
      <c r="H511" s="15" t="n">
        <f aca="false">G511*(1+IF(H$3&lt;=$O$2,$D511,$D511-($D511-$I$508)*MIN(H$3-$O$2,$Q$2)/$Q$2))</f>
        <v>1840.6103515625</v>
      </c>
      <c r="I511" s="15" t="n">
        <f aca="false">H511*(1+IF(I$3&lt;=$O$2,$D511,$D511-($D511-$I$508)*MIN(I$3-$O$2,$Q$2)/$Q$2))</f>
        <v>1610.53405761719</v>
      </c>
      <c r="J511" s="15" t="n">
        <f aca="false">I511*(1+IF(J$3&lt;=$O$2,$D511,$D511-($D511-$I$508)*MIN(J$3-$O$2,$Q$2)/$Q$2))</f>
        <v>1458.59627462158</v>
      </c>
      <c r="K511" s="15" t="n">
        <f aca="false">J511*(1+IF(K$3&lt;=$O$2,$D511,$D511-($D511-$I$508)*MIN(K$3-$O$2,$Q$2)/$Q$2))</f>
        <v>1365.71286385368</v>
      </c>
      <c r="L511" s="15" t="n">
        <f aca="false">K511*(1+IF(L$3&lt;=$O$2,$D511,$D511-($D511-$I$508)*MIN(L$3-$O$2,$Q$2)/$Q$2))</f>
        <v>1320.61702508923</v>
      </c>
      <c r="M511" s="15" t="n">
        <f aca="false">L511*(1+IF(M$3&lt;=$O$2,$D511,$D511-($D511-$I$508)*MIN(M$3-$O$2,$Q$2)/$Q$2))</f>
        <v>1317.50036891002</v>
      </c>
      <c r="N511" s="15" t="n">
        <f aca="false">M511*(1+IF(N$3&lt;=$O$2,$D511,$D511-($D511-$I$508)*MIN(N$3-$O$2,$Q$2)/$Q$2))</f>
        <v>1354.78562935017</v>
      </c>
      <c r="O511" s="15" t="n">
        <f aca="false">SUMPRODUCT(E511:N511,1/(1+$F$508)^$E$3:$N$3)*$E$2</f>
        <v>5508.10544943436</v>
      </c>
      <c r="P511" s="15" t="n">
        <f aca="false">N511*$E$2*(1+$I$508)/($F$508-$I$508)/(1+$F$508)^$N$3</f>
        <v>4692.14379749481</v>
      </c>
      <c r="Q511" s="15" t="n">
        <f aca="false">O511+P511</f>
        <v>10200.2492469292</v>
      </c>
      <c r="R511" s="15" t="n">
        <f aca="false">Q511-$G$2+$I$2</f>
        <v>6132.44924692917</v>
      </c>
      <c r="S511" s="42" t="n">
        <f aca="false">R511/$K$2</f>
        <v>47.1146991927564</v>
      </c>
      <c r="T511" s="43" t="n">
        <f aca="false">S511-$M$2</f>
        <v>-129.514065404662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3336.25</v>
      </c>
      <c r="F512" s="15" t="n">
        <f aca="false">E512*(1+IF(F$3&lt;=$O$2,$D512,$D512-($D512-$I$508)*MIN(F$3-$O$2,$Q$2)/$Q$2))</f>
        <v>3544.765625</v>
      </c>
      <c r="G512" s="15" t="n">
        <f aca="false">F512*(1+IF(G$3&lt;=$O$2,$D512,$D512-($D512-$I$508)*MIN(G$3-$O$2,$Q$2)/$Q$2))</f>
        <v>3766.3134765625</v>
      </c>
      <c r="H512" s="15" t="n">
        <f aca="false">G512*(1+IF(H$3&lt;=$O$2,$D512,$D512-($D512-$I$508)*MIN(H$3-$O$2,$Q$2)/$Q$2))</f>
        <v>4001.70806884766</v>
      </c>
      <c r="I512" s="15" t="n">
        <f aca="false">H512*(1+IF(I$3&lt;=$O$2,$D512,$D512-($D512-$I$508)*MIN(I$3-$O$2,$Q$2)/$Q$2))</f>
        <v>4251.81482315064</v>
      </c>
      <c r="J512" s="15" t="n">
        <f aca="false">I512*(1+IF(J$3&lt;=$O$2,$D512,$D512-($D512-$I$508)*MIN(J$3-$O$2,$Q$2)/$Q$2))</f>
        <v>4488.4708362072</v>
      </c>
      <c r="K512" s="15" t="n">
        <f aca="false">J512*(1+IF(K$3&lt;=$O$2,$D512,$D512-($D512-$I$508)*MIN(K$3-$O$2,$Q$2)/$Q$2))</f>
        <v>4707.59798243084</v>
      </c>
      <c r="L512" s="15" t="n">
        <f aca="false">K512*(1+IF(L$3&lt;=$O$2,$D512,$D512-($D512-$I$508)*MIN(L$3-$O$2,$Q$2)/$Q$2))</f>
        <v>4905.22294573328</v>
      </c>
      <c r="M512" s="15" t="n">
        <f aca="false">L512*(1+IF(M$3&lt;=$O$2,$D512,$D512-($D512-$I$508)*MIN(M$3-$O$2,$Q$2)/$Q$2))</f>
        <v>5077.59248004635</v>
      </c>
      <c r="N512" s="15" t="n">
        <f aca="false">M512*(1+IF(N$3&lt;=$O$2,$D512,$D512-($D512-$I$508)*MIN(N$3-$O$2,$Q$2)/$Q$2))</f>
        <v>5221.28834723166</v>
      </c>
      <c r="O512" s="15" t="n">
        <f aca="false">SUMPRODUCT(E512:N512,1/(1+$F$508)^$E$3:$N$3)*$E$2</f>
        <v>12367.5059190837</v>
      </c>
      <c r="P512" s="15" t="n">
        <f aca="false">N512*$E$2*(1+$I$508)/($F$508-$I$508)/(1+$F$508)^$N$3</f>
        <v>18083.3300875401</v>
      </c>
      <c r="Q512" s="15" t="n">
        <f aca="false">O512+P512</f>
        <v>30450.8360066237</v>
      </c>
      <c r="R512" s="15" t="n">
        <f aca="false">Q512-$G$2+$I$2</f>
        <v>26383.0360066237</v>
      </c>
      <c r="S512" s="42" t="n">
        <f aca="false">R512/$K$2</f>
        <v>202.696957641547</v>
      </c>
      <c r="T512" s="43" t="n">
        <f aca="false">S512-$M$2</f>
        <v>26.0681930441283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41" t="n">
        <f aca="false">(B513+C513)/2</f>
        <v>-0.03125</v>
      </c>
      <c r="E513" s="15" t="n">
        <f aca="false">$C$2*(1+IF(E$3&lt;=$O$2,$D513,$D513-($D513-$I$508)*MIN(E$3-$O$2,$Q$2)/$Q$2))</f>
        <v>3041.875</v>
      </c>
      <c r="F513" s="15" t="n">
        <f aca="false">E513*(1+IF(F$3&lt;=$O$2,$D513,$D513-($D513-$I$508)*MIN(F$3-$O$2,$Q$2)/$Q$2))</f>
        <v>2946.81640625</v>
      </c>
      <c r="G513" s="15" t="n">
        <f aca="false">F513*(1+IF(G$3&lt;=$O$2,$D513,$D513-($D513-$I$508)*MIN(G$3-$O$2,$Q$2)/$Q$2))</f>
        <v>2854.72839355469</v>
      </c>
      <c r="H513" s="15" t="n">
        <f aca="false">G513*(1+IF(H$3&lt;=$O$2,$D513,$D513-($D513-$I$508)*MIN(H$3-$O$2,$Q$2)/$Q$2))</f>
        <v>2765.5181312561</v>
      </c>
      <c r="I513" s="15" t="n">
        <f aca="false">H513*(1+IF(I$3&lt;=$O$2,$D513,$D513-($D513-$I$508)*MIN(I$3-$O$2,$Q$2)/$Q$2))</f>
        <v>2679.09568965435</v>
      </c>
      <c r="J513" s="15" t="n">
        <f aca="false">I513*(1+IF(J$3&lt;=$O$2,$D513,$D513-($D513-$I$508)*MIN(J$3-$O$2,$Q$2)/$Q$2))</f>
        <v>2627.28197901644</v>
      </c>
      <c r="K513" s="15" t="n">
        <f aca="false">J513*(1+IF(K$3&lt;=$O$2,$D513,$D513-($D513-$I$508)*MIN(K$3-$O$2,$Q$2)/$Q$2))</f>
        <v>2607.76127391234</v>
      </c>
      <c r="L513" s="15" t="n">
        <f aca="false">K513*(1+IF(L$3&lt;=$O$2,$D513,$D513-($D513-$I$508)*MIN(L$3-$O$2,$Q$2)/$Q$2))</f>
        <v>2619.44404441947</v>
      </c>
      <c r="M513" s="15" t="n">
        <f aca="false">L513*(1+IF(M$3&lt;=$O$2,$D513,$D513-($D513-$I$508)*MIN(M$3-$O$2,$Q$2)/$Q$2))</f>
        <v>2662.37673230751</v>
      </c>
      <c r="N513" s="15" t="n">
        <f aca="false">M513*(1+IF(N$3&lt;=$O$2,$D513,$D513-($D513-$I$508)*MIN(N$3-$O$2,$Q$2)/$Q$2))</f>
        <v>2737.72199383181</v>
      </c>
      <c r="O513" s="15" t="n">
        <f aca="false">SUMPRODUCT(E513:N513,1/(1+$F$508)^$E$3:$N$3)*$E$2</f>
        <v>8229.59470611457</v>
      </c>
      <c r="P513" s="15" t="n">
        <f aca="false">N513*$E$2*(1+$I$508)/($F$508-$I$508)/(1+$F$508)^$N$3</f>
        <v>9481.78441986024</v>
      </c>
      <c r="Q513" s="15" t="n">
        <f aca="false">O513+P513</f>
        <v>17711.3791259748</v>
      </c>
      <c r="R513" s="15" t="n">
        <f aca="false">Q513-$G$2+$I$2</f>
        <v>13643.5791259748</v>
      </c>
      <c r="S513" s="42" t="n">
        <f aca="false">R513/$K$2</f>
        <v>104.821597464465</v>
      </c>
      <c r="T513" s="43" t="n">
        <f aca="false">S513-$M$2</f>
        <v>-71.8071671329533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41" t="n">
        <f aca="false">(B514+C514)/2</f>
        <v>0.015625</v>
      </c>
      <c r="E514" s="15" t="n">
        <f aca="false">$C$2*(1+IF(E$3&lt;=$O$2,$D514,$D514-($D514-$I$508)*MIN(E$3-$O$2,$Q$2)/$Q$2))</f>
        <v>3189.0625</v>
      </c>
      <c r="F514" s="15" t="n">
        <f aca="false">E514*(1+IF(F$3&lt;=$O$2,$D514,$D514-($D514-$I$508)*MIN(F$3-$O$2,$Q$2)/$Q$2))</f>
        <v>3238.8916015625</v>
      </c>
      <c r="G514" s="15" t="n">
        <f aca="false">F514*(1+IF(G$3&lt;=$O$2,$D514,$D514-($D514-$I$508)*MIN(G$3-$O$2,$Q$2)/$Q$2))</f>
        <v>3289.49928283691</v>
      </c>
      <c r="H514" s="15" t="n">
        <f aca="false">G514*(1+IF(H$3&lt;=$O$2,$D514,$D514-($D514-$I$508)*MIN(H$3-$O$2,$Q$2)/$Q$2))</f>
        <v>3340.89770913124</v>
      </c>
      <c r="I514" s="15" t="n">
        <f aca="false">H514*(1+IF(I$3&lt;=$O$2,$D514,$D514-($D514-$I$508)*MIN(I$3-$O$2,$Q$2)/$Q$2))</f>
        <v>3393.09923583642</v>
      </c>
      <c r="J514" s="15" t="n">
        <f aca="false">I514*(1+IF(J$3&lt;=$O$2,$D514,$D514-($D514-$I$508)*MIN(J$3-$O$2,$Q$2)/$Q$2))</f>
        <v>3454.71791795921</v>
      </c>
      <c r="K514" s="15" t="n">
        <f aca="false">J514*(1+IF(K$3&lt;=$O$2,$D514,$D514-($D514-$I$508)*MIN(K$3-$O$2,$Q$2)/$Q$2))</f>
        <v>3526.21330527137</v>
      </c>
      <c r="L514" s="15" t="n">
        <f aca="false">K514*(1+IF(L$3&lt;=$O$2,$D514,$D514-($D514-$I$508)*MIN(L$3-$O$2,$Q$2)/$Q$2))</f>
        <v>3608.12724035283</v>
      </c>
      <c r="M514" s="15" t="n">
        <f aca="false">L514*(1+IF(M$3&lt;=$O$2,$D514,$D514-($D514-$I$508)*MIN(M$3-$O$2,$Q$2)/$Q$2))</f>
        <v>3701.09063870052</v>
      </c>
      <c r="N514" s="15" t="n">
        <f aca="false">M514*(1+IF(N$3&lt;=$O$2,$D514,$D514-($D514-$I$508)*MIN(N$3-$O$2,$Q$2)/$Q$2))</f>
        <v>3805.83150377574</v>
      </c>
      <c r="O514" s="15" t="n">
        <f aca="false">SUMPRODUCT(E514:N514,1/(1+$F$508)^$E$3:$N$3)*$E$2</f>
        <v>10084.5329018445</v>
      </c>
      <c r="P514" s="15" t="n">
        <f aca="false">N514*$E$2*(1+$I$508)/($F$508-$I$508)/(1+$F$508)^$N$3</f>
        <v>13181.05853641</v>
      </c>
      <c r="Q514" s="15" t="n">
        <f aca="false">O514+P514</f>
        <v>23265.5914382544</v>
      </c>
      <c r="R514" s="15" t="n">
        <f aca="false">Q514-$G$2+$I$2</f>
        <v>19197.7914382544</v>
      </c>
      <c r="S514" s="42" t="n">
        <f aca="false">R514/$K$2</f>
        <v>147.493787939877</v>
      </c>
      <c r="T514" s="43" t="n">
        <f aca="false">S514-$M$2</f>
        <v>-29.1349766575412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0.015625</v>
      </c>
      <c r="C515" s="25" t="n">
        <f aca="false">IF(T514&gt;0,D514,C514)</f>
        <v>0.0625</v>
      </c>
      <c r="D515" s="41" t="n">
        <f aca="false">(B515+C515)/2</f>
        <v>0.0390625</v>
      </c>
      <c r="E515" s="15" t="n">
        <f aca="false">$C$2*(1+IF(E$3&lt;=$O$2,$D515,$D515-($D515-$I$508)*MIN(E$3-$O$2,$Q$2)/$Q$2))</f>
        <v>3262.65625</v>
      </c>
      <c r="F515" s="15" t="n">
        <f aca="false">E515*(1+IF(F$3&lt;=$O$2,$D515,$D515-($D515-$I$508)*MIN(F$3-$O$2,$Q$2)/$Q$2))</f>
        <v>3390.10375976563</v>
      </c>
      <c r="G515" s="15" t="n">
        <f aca="false">F515*(1+IF(G$3&lt;=$O$2,$D515,$D515-($D515-$I$508)*MIN(G$3-$O$2,$Q$2)/$Q$2))</f>
        <v>3522.52968788147</v>
      </c>
      <c r="H515" s="15" t="n">
        <f aca="false">G515*(1+IF(H$3&lt;=$O$2,$D515,$D515-($D515-$I$508)*MIN(H$3-$O$2,$Q$2)/$Q$2))</f>
        <v>3660.12850381434</v>
      </c>
      <c r="I515" s="15" t="n">
        <f aca="false">H515*(1+IF(I$3&lt;=$O$2,$D515,$D515-($D515-$I$508)*MIN(I$3-$O$2,$Q$2)/$Q$2))</f>
        <v>3803.10227349459</v>
      </c>
      <c r="J515" s="15" t="n">
        <f aca="false">I515*(1+IF(J$3&lt;=$O$2,$D515,$D515-($D515-$I$508)*MIN(J$3-$O$2,$Q$2)/$Q$2))</f>
        <v>3943.47477840927</v>
      </c>
      <c r="K515" s="15" t="n">
        <f aca="false">J515*(1+IF(K$3&lt;=$O$2,$D515,$D515-($D515-$I$508)*MIN(K$3-$O$2,$Q$2)/$Q$2))</f>
        <v>4080.54010301983</v>
      </c>
      <c r="L515" s="15" t="n">
        <f aca="false">K515*(1+IF(L$3&lt;=$O$2,$D515,$D515-($D515-$I$508)*MIN(L$3-$O$2,$Q$2)/$Q$2))</f>
        <v>4213.58611307879</v>
      </c>
      <c r="M515" s="15" t="n">
        <f aca="false">L515*(1+IF(M$3&lt;=$O$2,$D515,$D515-($D515-$I$508)*MIN(M$3-$O$2,$Q$2)/$Q$2))</f>
        <v>4341.90034418733</v>
      </c>
      <c r="N515" s="15" t="n">
        <f aca="false">M515*(1+IF(N$3&lt;=$O$2,$D515,$D515-($D515-$I$508)*MIN(N$3-$O$2,$Q$2)/$Q$2))</f>
        <v>4464.77612392783</v>
      </c>
      <c r="O515" s="15" t="n">
        <f aca="false">SUMPRODUCT(E515:N515,1/(1+$F$508)^$E$3:$N$3)*$E$2</f>
        <v>11167.163030646</v>
      </c>
      <c r="P515" s="15" t="n">
        <f aca="false">N515*$E$2*(1+$I$508)/($F$508-$I$508)/(1+$F$508)^$N$3</f>
        <v>15463.2372408167</v>
      </c>
      <c r="Q515" s="15" t="n">
        <f aca="false">O515+P515</f>
        <v>26630.4002714627</v>
      </c>
      <c r="R515" s="15" t="n">
        <f aca="false">Q515-$G$2+$I$2</f>
        <v>22562.6002714627</v>
      </c>
      <c r="S515" s="42" t="n">
        <f aca="false">R515/$K$2</f>
        <v>173.345115791815</v>
      </c>
      <c r="T515" s="43" t="n">
        <f aca="false">S515-$M$2</f>
        <v>-3.28364880560315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0.0390625</v>
      </c>
      <c r="C516" s="25" t="n">
        <f aca="false">IF(T515&gt;0,D515,C515)</f>
        <v>0.0625</v>
      </c>
      <c r="D516" s="41" t="n">
        <f aca="false">(B516+C516)/2</f>
        <v>0.05078125</v>
      </c>
      <c r="E516" s="15" t="n">
        <f aca="false">$C$2*(1+IF(E$3&lt;=$O$2,$D516,$D516-($D516-$I$508)*MIN(E$3-$O$2,$Q$2)/$Q$2))</f>
        <v>3299.453125</v>
      </c>
      <c r="F516" s="15" t="n">
        <f aca="false">E516*(1+IF(F$3&lt;=$O$2,$D516,$D516-($D516-$I$508)*MIN(F$3-$O$2,$Q$2)/$Q$2))</f>
        <v>3467.00347900391</v>
      </c>
      <c r="G516" s="15" t="n">
        <f aca="false">F516*(1+IF(G$3&lt;=$O$2,$D516,$D516-($D516-$I$508)*MIN(G$3-$O$2,$Q$2)/$Q$2))</f>
        <v>3643.06224942207</v>
      </c>
      <c r="H516" s="15" t="n">
        <f aca="false">G516*(1+IF(H$3&lt;=$O$2,$D516,$D516-($D516-$I$508)*MIN(H$3-$O$2,$Q$2)/$Q$2))</f>
        <v>3828.06150427554</v>
      </c>
      <c r="I516" s="15" t="n">
        <f aca="false">H516*(1+IF(I$3&lt;=$O$2,$D516,$D516-($D516-$I$508)*MIN(I$3-$O$2,$Q$2)/$Q$2))</f>
        <v>4022.45525253953</v>
      </c>
      <c r="J516" s="15" t="n">
        <f aca="false">I516*(1+IF(J$3&lt;=$O$2,$D516,$D516-($D516-$I$508)*MIN(J$3-$O$2,$Q$2)/$Q$2))</f>
        <v>4208.63459390332</v>
      </c>
      <c r="K516" s="15" t="n">
        <f aca="false">J516*(1+IF(K$3&lt;=$O$2,$D516,$D516-($D516-$I$508)*MIN(K$3-$O$2,$Q$2)/$Q$2))</f>
        <v>4384.5081727893</v>
      </c>
      <c r="L516" s="15" t="n">
        <f aca="false">K516*(1+IF(L$3&lt;=$O$2,$D516,$D516-($D516-$I$508)*MIN(L$3-$O$2,$Q$2)/$Q$2))</f>
        <v>4548.01744382304</v>
      </c>
      <c r="M516" s="15" t="n">
        <f aca="false">L516*(1+IF(M$3&lt;=$O$2,$D516,$D516-($D516-$I$508)*MIN(M$3-$O$2,$Q$2)/$Q$2))</f>
        <v>4697.17536091503</v>
      </c>
      <c r="N516" s="15" t="n">
        <f aca="false">M516*(1+IF(N$3&lt;=$O$2,$D516,$D516-($D516-$I$508)*MIN(N$3-$O$2,$Q$2)/$Q$2))</f>
        <v>4830.10542362892</v>
      </c>
      <c r="O516" s="15" t="n">
        <f aca="false">SUMPRODUCT(E516:N516,1/(1+$F$508)^$E$3:$N$3)*$E$2</f>
        <v>11751.9006316462</v>
      </c>
      <c r="P516" s="15" t="n">
        <f aca="false">N516*$E$2*(1+$I$508)/($F$508-$I$508)/(1+$F$508)^$N$3</f>
        <v>16728.5131416674</v>
      </c>
      <c r="Q516" s="15" t="n">
        <f aca="false">O516+P516</f>
        <v>28480.4137733135</v>
      </c>
      <c r="R516" s="15" t="n">
        <f aca="false">Q516-$G$2+$I$2</f>
        <v>24412.6137733135</v>
      </c>
      <c r="S516" s="42" t="n">
        <f aca="false">R516/$K$2</f>
        <v>187.558495492575</v>
      </c>
      <c r="T516" s="43" t="n">
        <f aca="false">S516-$M$2</f>
        <v>10.9297308951561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0.0390625</v>
      </c>
      <c r="C517" s="25" t="n">
        <f aca="false">IF(T516&gt;0,D516,C516)</f>
        <v>0.05078125</v>
      </c>
      <c r="D517" s="41" t="n">
        <f aca="false">(B517+C517)/2</f>
        <v>0.044921875</v>
      </c>
      <c r="E517" s="15" t="n">
        <f aca="false">$C$2*(1+IF(E$3&lt;=$O$2,$D517,$D517-($D517-$I$508)*MIN(E$3-$O$2,$Q$2)/$Q$2))</f>
        <v>3281.0546875</v>
      </c>
      <c r="F517" s="15" t="n">
        <f aca="false">E517*(1+IF(F$3&lt;=$O$2,$D517,$D517-($D517-$I$508)*MIN(F$3-$O$2,$Q$2)/$Q$2))</f>
        <v>3428.44581604004</v>
      </c>
      <c r="G517" s="15" t="n">
        <f aca="false">F517*(1+IF(G$3&lt;=$O$2,$D517,$D517-($D517-$I$508)*MIN(G$3-$O$2,$Q$2)/$Q$2))</f>
        <v>3582.45803043246</v>
      </c>
      <c r="H517" s="15" t="n">
        <f aca="false">G517*(1+IF(H$3&lt;=$O$2,$D517,$D517-($D517-$I$508)*MIN(H$3-$O$2,$Q$2)/$Q$2))</f>
        <v>3743.3887622683</v>
      </c>
      <c r="I517" s="15" t="n">
        <f aca="false">H517*(1+IF(I$3&lt;=$O$2,$D517,$D517-($D517-$I$508)*MIN(I$3-$O$2,$Q$2)/$Q$2))</f>
        <v>3911.54880432332</v>
      </c>
      <c r="J517" s="15" t="n">
        <f aca="false">I517*(1+IF(J$3&lt;=$O$2,$D517,$D517-($D517-$I$508)*MIN(J$3-$O$2,$Q$2)/$Q$2))</f>
        <v>4074.25945571116</v>
      </c>
      <c r="K517" s="15" t="n">
        <f aca="false">J517*(1+IF(K$3&lt;=$O$2,$D517,$D517-($D517-$I$508)*MIN(K$3-$O$2,$Q$2)/$Q$2))</f>
        <v>4230.19409714202</v>
      </c>
      <c r="L517" s="15" t="n">
        <f aca="false">K517*(1+IF(L$3&lt;=$O$2,$D517,$D517-($D517-$I$508)*MIN(L$3-$O$2,$Q$2)/$Q$2))</f>
        <v>4378.03409309451</v>
      </c>
      <c r="M517" s="15" t="n">
        <f aca="false">L517*(1+IF(M$3&lt;=$O$2,$D517,$D517-($D517-$I$508)*MIN(M$3-$O$2,$Q$2)/$Q$2))</f>
        <v>4516.48668501732</v>
      </c>
      <c r="N517" s="15" t="n">
        <f aca="false">M517*(1+IF(N$3&lt;=$O$2,$D517,$D517-($D517-$I$508)*MIN(N$3-$O$2,$Q$2)/$Q$2))</f>
        <v>4644.30325820331</v>
      </c>
      <c r="O517" s="15" t="n">
        <f aca="false">SUMPRODUCT(E517:N517,1/(1+$F$508)^$E$3:$N$3)*$E$2</f>
        <v>11455.7657081651</v>
      </c>
      <c r="P517" s="15" t="n">
        <f aca="false">N517*$E$2*(1+$I$508)/($F$508-$I$508)/(1+$F$508)^$N$3</f>
        <v>16085.0087678565</v>
      </c>
      <c r="Q517" s="15" t="n">
        <f aca="false">O517+P517</f>
        <v>27540.7744760216</v>
      </c>
      <c r="R517" s="15" t="n">
        <f aca="false">Q517-$G$2+$I$2</f>
        <v>23472.9744760216</v>
      </c>
      <c r="S517" s="42" t="n">
        <f aca="false">R517/$K$2</f>
        <v>180.339385955913</v>
      </c>
      <c r="T517" s="43" t="n">
        <f aca="false">S517-$M$2</f>
        <v>3.71062135849442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0.0390625</v>
      </c>
      <c r="C518" s="25" t="n">
        <f aca="false">IF(T517&gt;0,D517,C517)</f>
        <v>0.044921875</v>
      </c>
      <c r="D518" s="41" t="n">
        <f aca="false">(B518+C518)/2</f>
        <v>0.0419921875</v>
      </c>
      <c r="E518" s="15" t="n">
        <f aca="false">$C$2*(1+IF(E$3&lt;=$O$2,$D518,$D518-($D518-$I$508)*MIN(E$3-$O$2,$Q$2)/$Q$2))</f>
        <v>3271.85546875</v>
      </c>
      <c r="F518" s="15" t="n">
        <f aca="false">E518*(1+IF(F$3&lt;=$O$2,$D518,$D518-($D518-$I$508)*MIN(F$3-$O$2,$Q$2)/$Q$2))</f>
        <v>3409.24783706665</v>
      </c>
      <c r="G518" s="15" t="n">
        <f aca="false">F518*(1+IF(G$3&lt;=$O$2,$D518,$D518-($D518-$I$508)*MIN(G$3-$O$2,$Q$2)/$Q$2))</f>
        <v>3552.40961147472</v>
      </c>
      <c r="H518" s="15" t="n">
        <f aca="false">G518*(1+IF(H$3&lt;=$O$2,$D518,$D518-($D518-$I$508)*MIN(H$3-$O$2,$Q$2)/$Q$2))</f>
        <v>3701.58306195657</v>
      </c>
      <c r="I518" s="15" t="n">
        <f aca="false">H518*(1+IF(I$3&lt;=$O$2,$D518,$D518-($D518-$I$508)*MIN(I$3-$O$2,$Q$2)/$Q$2))</f>
        <v>3857.02063194108</v>
      </c>
      <c r="J518" s="15" t="n">
        <f aca="false">I518*(1+IF(J$3&lt;=$O$2,$D518,$D518-($D518-$I$508)*MIN(J$3-$O$2,$Q$2)/$Q$2))</f>
        <v>4008.42315557213</v>
      </c>
      <c r="K518" s="15" t="n">
        <f aca="false">J518*(1+IF(K$3&lt;=$O$2,$D518,$D518-($D518-$I$508)*MIN(K$3-$O$2,$Q$2)/$Q$2))</f>
        <v>4154.79197973009</v>
      </c>
      <c r="L518" s="15" t="n">
        <f aca="false">K518*(1+IF(L$3&lt;=$O$2,$D518,$D518-($D518-$I$508)*MIN(L$3-$O$2,$Q$2)/$Q$2))</f>
        <v>4295.12786908043</v>
      </c>
      <c r="M518" s="15" t="n">
        <f aca="false">L518*(1+IF(M$3&lt;=$O$2,$D518,$D518-($D518-$I$508)*MIN(M$3-$O$2,$Q$2)/$Q$2))</f>
        <v>4428.44192699939</v>
      </c>
      <c r="N518" s="15" t="n">
        <f aca="false">M518*(1+IF(N$3&lt;=$O$2,$D518,$D518-($D518-$I$508)*MIN(N$3-$O$2,$Q$2)/$Q$2))</f>
        <v>4553.76683353347</v>
      </c>
      <c r="O518" s="15" t="n">
        <f aca="false">SUMPRODUCT(E518:N518,1/(1+$F$508)^$E$3:$N$3)*$E$2</f>
        <v>11310.5341703389</v>
      </c>
      <c r="P518" s="15" t="n">
        <f aca="false">N518*$E$2*(1+$I$508)/($F$508-$I$508)/(1+$F$508)^$N$3</f>
        <v>15771.4463013978</v>
      </c>
      <c r="Q518" s="15" t="n">
        <f aca="false">O518+P518</f>
        <v>27081.9804717367</v>
      </c>
      <c r="R518" s="15" t="n">
        <f aca="false">Q518-$G$2+$I$2</f>
        <v>23014.1804717367</v>
      </c>
      <c r="S518" s="42" t="n">
        <f aca="false">R518/$K$2</f>
        <v>176.81453958003</v>
      </c>
      <c r="T518" s="43" t="n">
        <f aca="false">S518-$M$2</f>
        <v>0.185774982611463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0.0390625</v>
      </c>
      <c r="C519" s="25" t="n">
        <f aca="false">IF(T518&gt;0,D518,C518)</f>
        <v>0.0419921875</v>
      </c>
      <c r="D519" s="41" t="n">
        <f aca="false">(B519+C519)/2</f>
        <v>0.04052734375</v>
      </c>
      <c r="E519" s="15" t="n">
        <f aca="false">$C$2*(1+IF(E$3&lt;=$O$2,$D519,$D519-($D519-$I$508)*MIN(E$3-$O$2,$Q$2)/$Q$2))</f>
        <v>3267.255859375</v>
      </c>
      <c r="F519" s="15" t="n">
        <f aca="false">E519*(1+IF(F$3&lt;=$O$2,$D519,$D519-($D519-$I$508)*MIN(F$3-$O$2,$Q$2)/$Q$2))</f>
        <v>3399.66906070709</v>
      </c>
      <c r="G519" s="15" t="n">
        <f aca="false">F519*(1+IF(G$3&lt;=$O$2,$D519,$D519-($D519-$I$508)*MIN(G$3-$O$2,$Q$2)/$Q$2))</f>
        <v>3537.44861736661</v>
      </c>
      <c r="H519" s="15" t="n">
        <f aca="false">G519*(1+IF(H$3&lt;=$O$2,$D519,$D519-($D519-$I$508)*MIN(H$3-$O$2,$Q$2)/$Q$2))</f>
        <v>3680.81201348059</v>
      </c>
      <c r="I519" s="15" t="n">
        <f aca="false">H519*(1+IF(I$3&lt;=$O$2,$D519,$D519-($D519-$I$508)*MIN(I$3-$O$2,$Q$2)/$Q$2))</f>
        <v>3829.98554723004</v>
      </c>
      <c r="J519" s="15" t="n">
        <f aca="false">I519*(1+IF(J$3&lt;=$O$2,$D519,$D519-($D519-$I$508)*MIN(J$3-$O$2,$Q$2)/$Q$2))</f>
        <v>3975.83857809147</v>
      </c>
      <c r="K519" s="15" t="n">
        <f aca="false">J519*(1+IF(K$3&lt;=$O$2,$D519,$D519-($D519-$I$508)*MIN(K$3-$O$2,$Q$2)/$Q$2))</f>
        <v>4117.52317684476</v>
      </c>
      <c r="L519" s="15" t="n">
        <f aca="false">K519*(1+IF(L$3&lt;=$O$2,$D519,$D519-($D519-$I$508)*MIN(L$3-$O$2,$Q$2)/$Q$2))</f>
        <v>4254.18763126221</v>
      </c>
      <c r="M519" s="15" t="n">
        <f aca="false">L519*(1+IF(M$3&lt;=$O$2,$D519,$D519-($D519-$I$508)*MIN(M$3-$O$2,$Q$2)/$Q$2))</f>
        <v>4384.98462413582</v>
      </c>
      <c r="N519" s="15" t="n">
        <f aca="false">M519*(1+IF(N$3&lt;=$O$2,$D519,$D519-($D519-$I$508)*MIN(N$3-$O$2,$Q$2)/$Q$2))</f>
        <v>4509.07968899886</v>
      </c>
      <c r="O519" s="15" t="n">
        <f aca="false">SUMPRODUCT(E519:N519,1/(1+$F$508)^$E$3:$N$3)*$E$2</f>
        <v>11238.6174541965</v>
      </c>
      <c r="P519" s="15" t="n">
        <f aca="false">N519*$E$2*(1+$I$508)/($F$508-$I$508)/(1+$F$508)^$N$3</f>
        <v>15616.6775294878</v>
      </c>
      <c r="Q519" s="15" t="n">
        <f aca="false">O519+P519</f>
        <v>26855.2949836843</v>
      </c>
      <c r="R519" s="15" t="n">
        <f aca="false">Q519-$G$2+$I$2</f>
        <v>22787.4949836843</v>
      </c>
      <c r="S519" s="42" t="n">
        <f aca="false">R519/$K$2</f>
        <v>175.072948553198</v>
      </c>
      <c r="T519" s="43" t="n">
        <f aca="false">S519-$M$2</f>
        <v>-1.55581604422039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0.04052734375</v>
      </c>
      <c r="C520" s="25" t="n">
        <f aca="false">IF(T519&gt;0,D519,C519)</f>
        <v>0.0419921875</v>
      </c>
      <c r="D520" s="41" t="n">
        <f aca="false">(B520+C520)/2</f>
        <v>0.041259765625</v>
      </c>
      <c r="E520" s="15" t="n">
        <f aca="false">$C$2*(1+IF(E$3&lt;=$O$2,$D520,$D520-($D520-$I$508)*MIN(E$3-$O$2,$Q$2)/$Q$2))</f>
        <v>3269.5556640625</v>
      </c>
      <c r="F520" s="15" t="n">
        <f aca="false">E520*(1+IF(F$3&lt;=$O$2,$D520,$D520-($D520-$I$508)*MIN(F$3-$O$2,$Q$2)/$Q$2))</f>
        <v>3404.45676445961</v>
      </c>
      <c r="G520" s="15" t="n">
        <f aca="false">F520*(1+IF(G$3&lt;=$O$2,$D520,$D520-($D520-$I$508)*MIN(G$3-$O$2,$Q$2)/$Q$2))</f>
        <v>3544.92385264166</v>
      </c>
      <c r="H520" s="15" t="n">
        <f aca="false">G520*(1+IF(H$3&lt;=$O$2,$D520,$D520-($D520-$I$508)*MIN(H$3-$O$2,$Q$2)/$Q$2))</f>
        <v>3691.18657996013</v>
      </c>
      <c r="I520" s="15" t="n">
        <f aca="false">H520*(1+IF(I$3&lt;=$O$2,$D520,$D520-($D520-$I$508)*MIN(I$3-$O$2,$Q$2)/$Q$2))</f>
        <v>3843.48407312743</v>
      </c>
      <c r="J520" s="15" t="n">
        <f aca="false">I520*(1+IF(J$3&lt;=$O$2,$D520,$D520-($D520-$I$508)*MIN(J$3-$O$2,$Q$2)/$Q$2))</f>
        <v>3992.10319461385</v>
      </c>
      <c r="K520" s="15" t="n">
        <f aca="false">J520*(1+IF(K$3&lt;=$O$2,$D520,$D520-($D520-$I$508)*MIN(K$3-$O$2,$Q$2)/$Q$2))</f>
        <v>4136.12174807323</v>
      </c>
      <c r="L520" s="15" t="n">
        <f aca="false">K520*(1+IF(L$3&lt;=$O$2,$D520,$D520-($D520-$I$508)*MIN(L$3-$O$2,$Q$2)/$Q$2))</f>
        <v>4274.6152609243</v>
      </c>
      <c r="M520" s="15" t="n">
        <f aca="false">L520*(1+IF(M$3&lt;=$O$2,$D520,$D520-($D520-$I$508)*MIN(M$3-$O$2,$Q$2)/$Q$2))</f>
        <v>4406.66647519219</v>
      </c>
      <c r="N520" s="15" t="n">
        <f aca="false">M520*(1+IF(N$3&lt;=$O$2,$D520,$D520-($D520-$I$508)*MIN(N$3-$O$2,$Q$2)/$Q$2))</f>
        <v>4531.37513644012</v>
      </c>
      <c r="O520" s="15" t="n">
        <f aca="false">SUMPRODUCT(E520:N520,1/(1+$F$508)^$E$3:$N$3)*$E$2</f>
        <v>11274.5178508365</v>
      </c>
      <c r="P520" s="15" t="n">
        <f aca="false">N520*$E$2*(1+$I$508)/($F$508-$I$508)/(1+$F$508)^$N$3</f>
        <v>15693.8952406574</v>
      </c>
      <c r="Q520" s="15" t="n">
        <f aca="false">O520+P520</f>
        <v>26968.4130914939</v>
      </c>
      <c r="R520" s="15" t="n">
        <f aca="false">Q520-$G$2+$I$2</f>
        <v>22900.6130914939</v>
      </c>
      <c r="S520" s="42" t="n">
        <f aca="false">R520/$K$2</f>
        <v>175.942018219836</v>
      </c>
      <c r="T520" s="43" t="n">
        <f aca="false">S520-$M$2</f>
        <v>-0.686746377582466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0.041259765625</v>
      </c>
      <c r="C521" s="25" t="n">
        <f aca="false">IF(T520&gt;0,D520,C520)</f>
        <v>0.0419921875</v>
      </c>
      <c r="D521" s="41" t="n">
        <f aca="false">(B521+C521)/2</f>
        <v>0.0416259765625</v>
      </c>
      <c r="E521" s="15" t="n">
        <f aca="false">$C$2*(1+IF(E$3&lt;=$O$2,$D521,$D521-($D521-$I$508)*MIN(E$3-$O$2,$Q$2)/$Q$2))</f>
        <v>3270.70556640625</v>
      </c>
      <c r="F521" s="15" t="n">
        <f aca="false">E521*(1+IF(F$3&lt;=$O$2,$D521,$D521-($D521-$I$508)*MIN(F$3-$O$2,$Q$2)/$Q$2))</f>
        <v>3406.85187965632</v>
      </c>
      <c r="G521" s="15" t="n">
        <f aca="false">F521*(1+IF(G$3&lt;=$O$2,$D521,$D521-($D521-$I$508)*MIN(G$3-$O$2,$Q$2)/$Q$2))</f>
        <v>3548.6654161508</v>
      </c>
      <c r="H521" s="15" t="n">
        <f aca="false">G521*(1+IF(H$3&lt;=$O$2,$D521,$D521-($D521-$I$508)*MIN(H$3-$O$2,$Q$2)/$Q$2))</f>
        <v>3696.38207959165</v>
      </c>
      <c r="I521" s="15" t="n">
        <f aca="false">H521*(1+IF(I$3&lt;=$O$2,$D521,$D521-($D521-$I$508)*MIN(I$3-$O$2,$Q$2)/$Q$2))</f>
        <v>3850.24759340277</v>
      </c>
      <c r="J521" s="15" t="n">
        <f aca="false">I521*(1+IF(J$3&lt;=$O$2,$D521,$D521-($D521-$I$508)*MIN(J$3-$O$2,$Q$2)/$Q$2))</f>
        <v>4000.25624764768</v>
      </c>
      <c r="K521" s="15" t="n">
        <f aca="false">J521*(1+IF(K$3&lt;=$O$2,$D521,$D521-($D521-$I$508)*MIN(K$3-$O$2,$Q$2)/$Q$2))</f>
        <v>4145.44789205619</v>
      </c>
      <c r="L521" s="15" t="n">
        <f aca="false">K521*(1+IF(L$3&lt;=$O$2,$D521,$D521-($D521-$I$508)*MIN(L$3-$O$2,$Q$2)/$Q$2))</f>
        <v>4284.86092398163</v>
      </c>
      <c r="M521" s="15" t="n">
        <f aca="false">L521*(1+IF(M$3&lt;=$O$2,$D521,$D521-($D521-$I$508)*MIN(M$3-$O$2,$Q$2)/$Q$2))</f>
        <v>4417.54247937962</v>
      </c>
      <c r="N521" s="15" t="n">
        <f aca="false">M521*(1+IF(N$3&lt;=$O$2,$D521,$D521-($D521-$I$508)*MIN(N$3-$O$2,$Q$2)/$Q$2))</f>
        <v>4542.55893154606</v>
      </c>
      <c r="O521" s="15" t="n">
        <f aca="false">SUMPRODUCT(E521:N521,1/(1+$F$508)^$E$3:$N$3)*$E$2</f>
        <v>11292.5114983224</v>
      </c>
      <c r="P521" s="15" t="n">
        <f aca="false">N521*$E$2*(1+$I$508)/($F$508-$I$508)/(1+$F$508)^$N$3</f>
        <v>15732.6290253255</v>
      </c>
      <c r="Q521" s="15" t="n">
        <f aca="false">O521+P521</f>
        <v>27025.1405236479</v>
      </c>
      <c r="R521" s="15" t="n">
        <f aca="false">Q521-$G$2+$I$2</f>
        <v>22957.340523648</v>
      </c>
      <c r="S521" s="42" t="n">
        <f aca="false">R521/$K$2</f>
        <v>176.377846678303</v>
      </c>
      <c r="T521" s="43" t="n">
        <f aca="false">S521-$M$2</f>
        <v>-0.250917919115381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0.0416259765625</v>
      </c>
      <c r="C522" s="25" t="n">
        <f aca="false">IF(T521&gt;0,D521,C521)</f>
        <v>0.0419921875</v>
      </c>
      <c r="D522" s="41" t="n">
        <f aca="false">(B522+C522)/2</f>
        <v>0.04180908203125</v>
      </c>
      <c r="E522" s="15" t="n">
        <f aca="false">$C$2*(1+IF(E$3&lt;=$O$2,$D522,$D522-($D522-$I$508)*MIN(E$3-$O$2,$Q$2)/$Q$2))</f>
        <v>3271.28051757813</v>
      </c>
      <c r="F522" s="15" t="n">
        <f aca="false">E522*(1+IF(F$3&lt;=$O$2,$D522,$D522-($D522-$I$508)*MIN(F$3-$O$2,$Q$2)/$Q$2))</f>
        <v>3408.04975308478</v>
      </c>
      <c r="G522" s="15" t="n">
        <f aca="false">F522*(1+IF(G$3&lt;=$O$2,$D522,$D522-($D522-$I$508)*MIN(G$3-$O$2,$Q$2)/$Q$2))</f>
        <v>3550.53718477808</v>
      </c>
      <c r="H522" s="15" t="n">
        <f aca="false">G522*(1+IF(H$3&lt;=$O$2,$D522,$D522-($D522-$I$508)*MIN(H$3-$O$2,$Q$2)/$Q$2))</f>
        <v>3698.98188519147</v>
      </c>
      <c r="I522" s="15" t="n">
        <f aca="false">H522*(1+IF(I$3&lt;=$O$2,$D522,$D522-($D522-$I$508)*MIN(I$3-$O$2,$Q$2)/$Q$2))</f>
        <v>3853.63292226155</v>
      </c>
      <c r="J522" s="15" t="n">
        <f aca="false">I522*(1+IF(J$3&lt;=$O$2,$D522,$D522-($D522-$I$508)*MIN(J$3-$O$2,$Q$2)/$Q$2))</f>
        <v>4004.33796857368</v>
      </c>
      <c r="K522" s="15" t="n">
        <f aca="false">J522*(1+IF(K$3&lt;=$O$2,$D522,$D522-($D522-$I$508)*MIN(K$3-$O$2,$Q$2)/$Q$2))</f>
        <v>4150.1176911433</v>
      </c>
      <c r="L522" s="15" t="n">
        <f aca="false">K522*(1+IF(L$3&lt;=$O$2,$D522,$D522-($D522-$I$508)*MIN(L$3-$O$2,$Q$2)/$Q$2))</f>
        <v>4289.99173393425</v>
      </c>
      <c r="M522" s="15" t="n">
        <f aca="false">L522*(1+IF(M$3&lt;=$O$2,$D522,$D522-($D522-$I$508)*MIN(M$3-$O$2,$Q$2)/$Q$2))</f>
        <v>4422.98927005401</v>
      </c>
      <c r="N522" s="15" t="n">
        <f aca="false">M522*(1+IF(N$3&lt;=$O$2,$D522,$D522-($D522-$I$508)*MIN(N$3-$O$2,$Q$2)/$Q$2))</f>
        <v>4548.15986639654</v>
      </c>
      <c r="O522" s="15" t="n">
        <f aca="false">SUMPRODUCT(E522:N522,1/(1+$F$508)^$E$3:$N$3)*$E$2</f>
        <v>11301.5192035228</v>
      </c>
      <c r="P522" s="15" t="n">
        <f aca="false">N522*$E$2*(1+$I$508)/($F$508-$I$508)/(1+$F$508)^$N$3</f>
        <v>15752.0272172974</v>
      </c>
      <c r="Q522" s="15" t="n">
        <f aca="false">O522+P522</f>
        <v>27053.5464208202</v>
      </c>
      <c r="R522" s="15" t="n">
        <f aca="false">Q522-$G$2+$I$2</f>
        <v>22985.7464208202</v>
      </c>
      <c r="S522" s="42" t="n">
        <f aca="false">R522/$K$2</f>
        <v>176.596084978643</v>
      </c>
      <c r="T522" s="43" t="n">
        <f aca="false">S522-$M$2</f>
        <v>-0.0326796187757452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0.04180908203125</v>
      </c>
      <c r="C523" s="25" t="n">
        <f aca="false">IF(T522&gt;0,D522,C522)</f>
        <v>0.0419921875</v>
      </c>
      <c r="D523" s="41" t="n">
        <f aca="false">(B523+C523)/2</f>
        <v>0.041900634765625</v>
      </c>
      <c r="E523" s="15" t="n">
        <f aca="false">$C$2*(1+IF(E$3&lt;=$O$2,$D523,$D523-($D523-$I$508)*MIN(E$3-$O$2,$Q$2)/$Q$2))</f>
        <v>3271.56799316406</v>
      </c>
      <c r="F523" s="15" t="n">
        <f aca="false">E523*(1+IF(F$3&lt;=$O$2,$D523,$D523-($D523-$I$508)*MIN(F$3-$O$2,$Q$2)/$Q$2))</f>
        <v>3408.64876875654</v>
      </c>
      <c r="G523" s="15" t="n">
        <f aca="false">F523*(1+IF(G$3&lt;=$O$2,$D523,$D523-($D523-$I$508)*MIN(G$3-$O$2,$Q$2)/$Q$2))</f>
        <v>3551.4733158605</v>
      </c>
      <c r="H523" s="15" t="n">
        <f aca="false">G523*(1+IF(H$3&lt;=$O$2,$D523,$D523-($D523-$I$508)*MIN(H$3-$O$2,$Q$2)/$Q$2))</f>
        <v>3700.28230214824</v>
      </c>
      <c r="I523" s="15" t="n">
        <f aca="false">H523*(1+IF(I$3&lt;=$O$2,$D523,$D523-($D523-$I$508)*MIN(I$3-$O$2,$Q$2)/$Q$2))</f>
        <v>3855.32647942026</v>
      </c>
      <c r="J523" s="15" t="n">
        <f aca="false">I523*(1+IF(J$3&lt;=$O$2,$D523,$D523-($D523-$I$508)*MIN(J$3-$O$2,$Q$2)/$Q$2))</f>
        <v>4006.38012866692</v>
      </c>
      <c r="K523" s="15" t="n">
        <f aca="false">J523*(1+IF(K$3&lt;=$O$2,$D523,$D523-($D523-$I$508)*MIN(K$3-$O$2,$Q$2)/$Q$2))</f>
        <v>4152.45427402555</v>
      </c>
      <c r="L523" s="15" t="n">
        <f aca="false">K523*(1+IF(L$3&lt;=$O$2,$D523,$D523-($D523-$I$508)*MIN(L$3-$O$2,$Q$2)/$Q$2))</f>
        <v>4292.55913556526</v>
      </c>
      <c r="M523" s="15" t="n">
        <f aca="false">L523*(1+IF(M$3&lt;=$O$2,$D523,$D523-($D523-$I$508)*MIN(M$3-$O$2,$Q$2)/$Q$2))</f>
        <v>4425.71486490429</v>
      </c>
      <c r="N523" s="15" t="n">
        <f aca="false">M523*(1+IF(N$3&lt;=$O$2,$D523,$D523-($D523-$I$508)*MIN(N$3-$O$2,$Q$2)/$Q$2))</f>
        <v>4550.96259558109</v>
      </c>
      <c r="O523" s="15" t="n">
        <f aca="false">SUMPRODUCT(E523:N523,1/(1+$F$508)^$E$3:$N$3)*$E$2</f>
        <v>11306.025778886</v>
      </c>
      <c r="P523" s="15" t="n">
        <f aca="false">N523*$E$2*(1+$I$508)/($F$508-$I$508)/(1+$F$508)^$N$3</f>
        <v>15761.7341466259</v>
      </c>
      <c r="Q523" s="15" t="n">
        <f aca="false">O523+P523</f>
        <v>27067.7599255118</v>
      </c>
      <c r="R523" s="15" t="n">
        <f aca="false">Q523-$G$2+$I$2</f>
        <v>22999.9599255118</v>
      </c>
      <c r="S523" s="42" t="n">
        <f aca="false">R523/$K$2</f>
        <v>176.705285229808</v>
      </c>
      <c r="T523" s="43" t="n">
        <f aca="false">S523-$M$2</f>
        <v>0.0765206323896166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0.04180908203125</v>
      </c>
      <c r="C524" s="25" t="n">
        <f aca="false">IF(T523&gt;0,D523,C523)</f>
        <v>0.041900634765625</v>
      </c>
      <c r="D524" s="41" t="n">
        <f aca="false">(B524+C524)/2</f>
        <v>0.0418548583984375</v>
      </c>
      <c r="E524" s="15" t="n">
        <f aca="false">$C$2*(1+IF(E$3&lt;=$O$2,$D524,$D524-($D524-$I$508)*MIN(E$3-$O$2,$Q$2)/$Q$2))</f>
        <v>3271.42425537109</v>
      </c>
      <c r="F524" s="15" t="n">
        <f aca="false">E524*(1+IF(F$3&lt;=$O$2,$D524,$D524-($D524-$I$508)*MIN(F$3-$O$2,$Q$2)/$Q$2))</f>
        <v>3408.34925434086</v>
      </c>
      <c r="G524" s="15" t="n">
        <f aca="false">F524*(1+IF(G$3&lt;=$O$2,$D524,$D524-($D524-$I$508)*MIN(G$3-$O$2,$Q$2)/$Q$2))</f>
        <v>3551.00522975372</v>
      </c>
      <c r="H524" s="15" t="n">
        <f aca="false">G524*(1+IF(H$3&lt;=$O$2,$D524,$D524-($D524-$I$508)*MIN(H$3-$O$2,$Q$2)/$Q$2))</f>
        <v>3699.63205081718</v>
      </c>
      <c r="I524" s="15" t="n">
        <f aca="false">H524*(1+IF(I$3&lt;=$O$2,$D524,$D524-($D524-$I$508)*MIN(I$3-$O$2,$Q$2)/$Q$2))</f>
        <v>3854.47962643045</v>
      </c>
      <c r="J524" s="15" t="n">
        <f aca="false">I524*(1+IF(J$3&lt;=$O$2,$D524,$D524-($D524-$I$508)*MIN(J$3-$O$2,$Q$2)/$Q$2))</f>
        <v>4005.35894028717</v>
      </c>
      <c r="K524" s="15" t="n">
        <f aca="false">J524*(1+IF(K$3&lt;=$O$2,$D524,$D524-($D524-$I$508)*MIN(K$3-$O$2,$Q$2)/$Q$2))</f>
        <v>4151.2858422596</v>
      </c>
      <c r="L524" s="15" t="n">
        <f aca="false">K524*(1+IF(L$3&lt;=$O$2,$D524,$D524-($D524-$I$508)*MIN(L$3-$O$2,$Q$2)/$Q$2))</f>
        <v>4291.27526830086</v>
      </c>
      <c r="M524" s="15" t="n">
        <f aca="false">L524*(1+IF(M$3&lt;=$O$2,$D524,$D524-($D524-$I$508)*MIN(M$3-$O$2,$Q$2)/$Q$2))</f>
        <v>4424.35188411588</v>
      </c>
      <c r="N524" s="15" t="n">
        <f aca="false">M524*(1+IF(N$3&lt;=$O$2,$D524,$D524-($D524-$I$508)*MIN(N$3-$O$2,$Q$2)/$Q$2))</f>
        <v>4549.56104243636</v>
      </c>
      <c r="O524" s="15" t="n">
        <f aca="false">SUMPRODUCT(E524:N524,1/(1+$F$508)^$E$3:$N$3)*$E$2</f>
        <v>11303.772264236</v>
      </c>
      <c r="P524" s="15" t="n">
        <f aca="false">N524*$E$2*(1+$I$508)/($F$508-$I$508)/(1+$F$508)^$N$3</f>
        <v>15756.8800289319</v>
      </c>
      <c r="Q524" s="15" t="n">
        <f aca="false">O524+P524</f>
        <v>27060.652293168</v>
      </c>
      <c r="R524" s="15" t="n">
        <f aca="false">Q524-$G$2+$I$2</f>
        <v>22992.852293168</v>
      </c>
      <c r="S524" s="42" t="n">
        <f aca="false">R524/$K$2</f>
        <v>176.650678343331</v>
      </c>
      <c r="T524" s="43" t="n">
        <f aca="false">S524-$M$2</f>
        <v>0.0219137459124283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0.04180908203125</v>
      </c>
      <c r="C525" s="25" t="n">
        <f aca="false">IF(T524&gt;0,D524,C524)</f>
        <v>0.0418548583984375</v>
      </c>
      <c r="D525" s="41" t="n">
        <f aca="false">(B525+C525)/2</f>
        <v>0.0418319702148438</v>
      </c>
      <c r="E525" s="15" t="n">
        <f aca="false">$C$2*(1+IF(E$3&lt;=$O$2,$D525,$D525-($D525-$I$508)*MIN(E$3-$O$2,$Q$2)/$Q$2))</f>
        <v>3271.35238647461</v>
      </c>
      <c r="F525" s="15" t="n">
        <f aca="false">E525*(1+IF(F$3&lt;=$O$2,$D525,$D525-($D525-$I$508)*MIN(F$3-$O$2,$Q$2)/$Q$2))</f>
        <v>3408.19950206787</v>
      </c>
      <c r="G525" s="15" t="n">
        <f aca="false">F525*(1+IF(G$3&lt;=$O$2,$D525,$D525-($D525-$I$508)*MIN(G$3-$O$2,$Q$2)/$Q$2))</f>
        <v>3550.77120212462</v>
      </c>
      <c r="H525" s="15" t="n">
        <f aca="false">G525*(1+IF(H$3&lt;=$O$2,$D525,$D525-($D525-$I$508)*MIN(H$3-$O$2,$Q$2)/$Q$2))</f>
        <v>3699.30695729162</v>
      </c>
      <c r="I525" s="15" t="n">
        <f aca="false">H525*(1+IF(I$3&lt;=$O$2,$D525,$D525-($D525-$I$508)*MIN(I$3-$O$2,$Q$2)/$Q$2))</f>
        <v>3854.05625574461</v>
      </c>
      <c r="J525" s="15" t="n">
        <f aca="false">I525*(1+IF(J$3&lt;=$O$2,$D525,$D525-($D525-$I$508)*MIN(J$3-$O$2,$Q$2)/$Q$2))</f>
        <v>4004.84842734944</v>
      </c>
      <c r="K525" s="15" t="n">
        <f aca="false">J525*(1+IF(K$3&lt;=$O$2,$D525,$D525-($D525-$I$508)*MIN(K$3-$O$2,$Q$2)/$Q$2))</f>
        <v>4150.70173162374</v>
      </c>
      <c r="L525" s="15" t="n">
        <f aca="false">K525*(1+IF(L$3&lt;=$O$2,$D525,$D525-($D525-$I$508)*MIN(L$3-$O$2,$Q$2)/$Q$2))</f>
        <v>4290.63345950991</v>
      </c>
      <c r="M525" s="15" t="n">
        <f aca="false">L525*(1+IF(M$3&lt;=$O$2,$D525,$D525-($D525-$I$508)*MIN(M$3-$O$2,$Q$2)/$Q$2))</f>
        <v>4423.67053124942</v>
      </c>
      <c r="N525" s="15" t="n">
        <f aca="false">M525*(1+IF(N$3&lt;=$O$2,$D525,$D525-($D525-$I$508)*MIN(N$3-$O$2,$Q$2)/$Q$2))</f>
        <v>4548.86040728378</v>
      </c>
      <c r="O525" s="15" t="n">
        <f aca="false">SUMPRODUCT(E525:N525,1/(1+$F$508)^$E$3:$N$3)*$E$2</f>
        <v>11302.6456771427</v>
      </c>
      <c r="P525" s="15" t="n">
        <f aca="false">N525*$E$2*(1+$I$508)/($F$508-$I$508)/(1+$F$508)^$N$3</f>
        <v>15754.4534598761</v>
      </c>
      <c r="Q525" s="15" t="n">
        <f aca="false">O525+P525</f>
        <v>27057.0991370188</v>
      </c>
      <c r="R525" s="15" t="n">
        <f aca="false">Q525-$G$2+$I$2</f>
        <v>22989.2991370188</v>
      </c>
      <c r="S525" s="42" t="n">
        <f aca="false">R525/$K$2</f>
        <v>176.623379970949</v>
      </c>
      <c r="T525" s="43" t="n">
        <f aca="false">S525-$M$2</f>
        <v>-0.00538462646935045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0.0418319702148438</v>
      </c>
      <c r="C526" s="25" t="n">
        <f aca="false">IF(T525&gt;0,D525,C525)</f>
        <v>0.0418548583984375</v>
      </c>
      <c r="D526" s="41" t="n">
        <f aca="false">(B526+C526)/2</f>
        <v>0.0418434143066406</v>
      </c>
      <c r="E526" s="15" t="n">
        <f aca="false">$C$2*(1+IF(E$3&lt;=$O$2,$D526,$D526-($D526-$I$508)*MIN(E$3-$O$2,$Q$2)/$Q$2))</f>
        <v>3271.38832092285</v>
      </c>
      <c r="F526" s="15" t="n">
        <f aca="false">E526*(1+IF(F$3&lt;=$O$2,$D526,$D526-($D526-$I$508)*MIN(F$3-$O$2,$Q$2)/$Q$2))</f>
        <v>3408.27437779313</v>
      </c>
      <c r="G526" s="15" t="n">
        <f aca="false">F526*(1+IF(G$3&lt;=$O$2,$D526,$D526-($D526-$I$508)*MIN(G$3-$O$2,$Q$2)/$Q$2))</f>
        <v>3550.88821465384</v>
      </c>
      <c r="H526" s="15" t="n">
        <f aca="false">G526*(1+IF(H$3&lt;=$O$2,$D526,$D526-($D526-$I$508)*MIN(H$3-$O$2,$Q$2)/$Q$2))</f>
        <v>3699.46950137617</v>
      </c>
      <c r="I526" s="15" t="n">
        <f aca="false">H526*(1+IF(I$3&lt;=$O$2,$D526,$D526-($D526-$I$508)*MIN(I$3-$O$2,$Q$2)/$Q$2))</f>
        <v>3854.26793643703</v>
      </c>
      <c r="J526" s="15" t="n">
        <f aca="false">I526*(1+IF(J$3&lt;=$O$2,$D526,$D526-($D526-$I$508)*MIN(J$3-$O$2,$Q$2)/$Q$2))</f>
        <v>4005.10367704777</v>
      </c>
      <c r="K526" s="15" t="n">
        <f aca="false">J526*(1+IF(K$3&lt;=$O$2,$D526,$D526-($D526-$I$508)*MIN(K$3-$O$2,$Q$2)/$Q$2))</f>
        <v>4150.99377817181</v>
      </c>
      <c r="L526" s="15" t="n">
        <f aca="false">K526*(1+IF(L$3&lt;=$O$2,$D526,$D526-($D526-$I$508)*MIN(L$3-$O$2,$Q$2)/$Q$2))</f>
        <v>4290.9543535029</v>
      </c>
      <c r="M526" s="15" t="n">
        <f aca="false">L526*(1+IF(M$3&lt;=$O$2,$D526,$D526-($D526-$I$508)*MIN(M$3-$O$2,$Q$2)/$Q$2))</f>
        <v>4424.0111962231</v>
      </c>
      <c r="N526" s="15" t="n">
        <f aca="false">M526*(1+IF(N$3&lt;=$O$2,$D526,$D526-($D526-$I$508)*MIN(N$3-$O$2,$Q$2)/$Q$2))</f>
        <v>4549.21071307622</v>
      </c>
      <c r="O526" s="15" t="n">
        <f aca="false">SUMPRODUCT(E526:N526,1/(1+$F$508)^$E$3:$N$3)*$E$2</f>
        <v>11303.2089565045</v>
      </c>
      <c r="P526" s="15" t="n">
        <f aca="false">N526*$E$2*(1+$I$508)/($F$508-$I$508)/(1+$F$508)^$N$3</f>
        <v>15755.666703592</v>
      </c>
      <c r="Q526" s="15" t="n">
        <f aca="false">O526+P526</f>
        <v>27058.8756600965</v>
      </c>
      <c r="R526" s="15" t="n">
        <f aca="false">Q526-$G$2+$I$2</f>
        <v>22991.0756600965</v>
      </c>
      <c r="S526" s="42" t="n">
        <f aca="false">R526/$K$2</f>
        <v>176.637028734607</v>
      </c>
      <c r="T526" s="43" t="n">
        <f aca="false">S526-$M$2</f>
        <v>0.00826413718885988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0.0418319702148438</v>
      </c>
      <c r="C527" s="25" t="n">
        <f aca="false">IF(T526&gt;0,D526,C526)</f>
        <v>0.0418434143066406</v>
      </c>
      <c r="D527" s="41" t="n">
        <f aca="false">(B527+C527)/2</f>
        <v>0.0418376922607422</v>
      </c>
      <c r="E527" s="15" t="n">
        <f aca="false">$C$2*(1+IF(E$3&lt;=$O$2,$D527,$D527-($D527-$I$508)*MIN(E$3-$O$2,$Q$2)/$Q$2))</f>
        <v>3271.37035369873</v>
      </c>
      <c r="F527" s="15" t="n">
        <f aca="false">E527*(1+IF(F$3&lt;=$O$2,$D527,$D527-($D527-$I$508)*MIN(F$3-$O$2,$Q$2)/$Q$2))</f>
        <v>3408.23693982769</v>
      </c>
      <c r="G527" s="15" t="n">
        <f aca="false">F527*(1+IF(G$3&lt;=$O$2,$D527,$D527-($D527-$I$508)*MIN(G$3-$O$2,$Q$2)/$Q$2))</f>
        <v>3550.8297080679</v>
      </c>
      <c r="H527" s="15" t="n">
        <f aca="false">G527*(1+IF(H$3&lt;=$O$2,$D527,$D527-($D527-$I$508)*MIN(H$3-$O$2,$Q$2)/$Q$2))</f>
        <v>3699.38822866434</v>
      </c>
      <c r="I527" s="15" t="n">
        <f aca="false">H527*(1+IF(I$3&lt;=$O$2,$D527,$D527-($D527-$I$508)*MIN(I$3-$O$2,$Q$2)/$Q$2))</f>
        <v>3854.16209492821</v>
      </c>
      <c r="J527" s="15" t="n">
        <f aca="false">I527*(1+IF(J$3&lt;=$O$2,$D527,$D527-($D527-$I$508)*MIN(J$3-$O$2,$Q$2)/$Q$2))</f>
        <v>4004.97605050601</v>
      </c>
      <c r="K527" s="15" t="n">
        <f aca="false">J527*(1+IF(K$3&lt;=$O$2,$D527,$D527-($D527-$I$508)*MIN(K$3-$O$2,$Q$2)/$Q$2))</f>
        <v>4150.84775270536</v>
      </c>
      <c r="L527" s="15" t="n">
        <f aca="false">K527*(1+IF(L$3&lt;=$O$2,$D527,$D527-($D527-$I$508)*MIN(L$3-$O$2,$Q$2)/$Q$2))</f>
        <v>4290.79390390585</v>
      </c>
      <c r="M527" s="15" t="n">
        <f aca="false">L527*(1+IF(M$3&lt;=$O$2,$D527,$D527-($D527-$I$508)*MIN(M$3-$O$2,$Q$2)/$Q$2))</f>
        <v>4423.84086087146</v>
      </c>
      <c r="N527" s="15" t="n">
        <f aca="false">M527*(1+IF(N$3&lt;=$O$2,$D527,$D527-($D527-$I$508)*MIN(N$3-$O$2,$Q$2)/$Q$2))</f>
        <v>4549.03555723412</v>
      </c>
      <c r="O527" s="15" t="n">
        <f aca="false">SUMPRODUCT(E527:N527,1/(1+$F$508)^$E$3:$N$3)*$E$2</f>
        <v>11302.9273132774</v>
      </c>
      <c r="P527" s="15" t="n">
        <f aca="false">N527*$E$2*(1+$I$508)/($F$508-$I$508)/(1+$F$508)^$N$3</f>
        <v>15755.0600715314</v>
      </c>
      <c r="Q527" s="15" t="n">
        <f aca="false">O527+P527</f>
        <v>27057.9873848088</v>
      </c>
      <c r="R527" s="15" t="n">
        <f aca="false">Q527-$G$2+$I$2</f>
        <v>22990.1873848088</v>
      </c>
      <c r="S527" s="42" t="n">
        <f aca="false">R527/$K$2</f>
        <v>176.630204247148</v>
      </c>
      <c r="T527" s="43" t="n">
        <f aca="false">S527-$M$2</f>
        <v>0.00143964972951949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0.0418319702148438</v>
      </c>
      <c r="C528" s="25" t="n">
        <f aca="false">IF(T527&gt;0,D527,C527)</f>
        <v>0.0418376922607422</v>
      </c>
      <c r="D528" s="41" t="n">
        <f aca="false">(B528+C528)/2</f>
        <v>0.041834831237793</v>
      </c>
      <c r="E528" s="15" t="n">
        <f aca="false">$C$2*(1+IF(E$3&lt;=$O$2,$D528,$D528-($D528-$I$508)*MIN(E$3-$O$2,$Q$2)/$Q$2))</f>
        <v>3271.36137008667</v>
      </c>
      <c r="F528" s="15" t="n">
        <f aca="false">E528*(1+IF(F$3&lt;=$O$2,$D528,$D528-($D528-$I$508)*MIN(F$3-$O$2,$Q$2)/$Q$2))</f>
        <v>3408.21822092208</v>
      </c>
      <c r="G528" s="15" t="n">
        <f aca="false">F528*(1+IF(G$3&lt;=$O$2,$D528,$D528-($D528-$I$508)*MIN(G$3-$O$2,$Q$2)/$Q$2))</f>
        <v>3550.80045501593</v>
      </c>
      <c r="H528" s="15" t="n">
        <f aca="false">G528*(1+IF(H$3&lt;=$O$2,$D528,$D528-($D528-$I$508)*MIN(H$3-$O$2,$Q$2)/$Q$2))</f>
        <v>3699.3475928106</v>
      </c>
      <c r="I528" s="15" t="n">
        <f aca="false">H528*(1+IF(I$3&lt;=$O$2,$D528,$D528-($D528-$I$508)*MIN(I$3-$O$2,$Q$2)/$Q$2))</f>
        <v>3854.10917504576</v>
      </c>
      <c r="J528" s="15" t="n">
        <f aca="false">I528*(1+IF(J$3&lt;=$O$2,$D528,$D528-($D528-$I$508)*MIN(J$3-$O$2,$Q$2)/$Q$2))</f>
        <v>4004.91223850458</v>
      </c>
      <c r="K528" s="15" t="n">
        <f aca="false">J528*(1+IF(K$3&lt;=$O$2,$D528,$D528-($D528-$I$508)*MIN(K$3-$O$2,$Q$2)/$Q$2))</f>
        <v>4150.77474161646</v>
      </c>
      <c r="L528" s="15" t="n">
        <f aca="false">K528*(1+IF(L$3&lt;=$O$2,$D528,$D528-($D528-$I$508)*MIN(L$3-$O$2,$Q$2)/$Q$2))</f>
        <v>4290.71368105775</v>
      </c>
      <c r="M528" s="15" t="n">
        <f aca="false">L528*(1+IF(M$3&lt;=$O$2,$D528,$D528-($D528-$I$508)*MIN(M$3-$O$2,$Q$2)/$Q$2))</f>
        <v>4423.75569534425</v>
      </c>
      <c r="N528" s="15" t="n">
        <f aca="false">M528*(1+IF(N$3&lt;=$O$2,$D528,$D528-($D528-$I$508)*MIN(N$3-$O$2,$Q$2)/$Q$2))</f>
        <v>4548.94798152249</v>
      </c>
      <c r="O528" s="15" t="n">
        <f aca="false">SUMPRODUCT(E528:N528,1/(1+$F$508)^$E$3:$N$3)*$E$2</f>
        <v>11302.7864943235</v>
      </c>
      <c r="P528" s="15" t="n">
        <f aca="false">N528*$E$2*(1+$I$508)/($F$508-$I$508)/(1+$F$508)^$N$3</f>
        <v>15754.7567631531</v>
      </c>
      <c r="Q528" s="15" t="n">
        <f aca="false">O528+P528</f>
        <v>27057.5432574766</v>
      </c>
      <c r="R528" s="15" t="n">
        <f aca="false">Q528-$G$2+$I$2</f>
        <v>22989.7432574766</v>
      </c>
      <c r="S528" s="42" t="n">
        <f aca="false">R528/$K$2</f>
        <v>176.626792082641</v>
      </c>
      <c r="T528" s="43" t="n">
        <f aca="false">S528-$M$2</f>
        <v>-0.00197251477720783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0.041834831237793</v>
      </c>
      <c r="C529" s="25" t="n">
        <f aca="false">IF(T528&gt;0,D528,C528)</f>
        <v>0.0418376922607422</v>
      </c>
      <c r="D529" s="41" t="n">
        <f aca="false">(B529+C529)/2</f>
        <v>0.0418362617492676</v>
      </c>
      <c r="E529" s="15" t="n">
        <f aca="false">$C$2*(1+IF(E$3&lt;=$O$2,$D529,$D529-($D529-$I$508)*MIN(E$3-$O$2,$Q$2)/$Q$2))</f>
        <v>3271.3658618927</v>
      </c>
      <c r="F529" s="15" t="n">
        <f aca="false">E529*(1+IF(F$3&lt;=$O$2,$D529,$D529-($D529-$I$508)*MIN(F$3-$O$2,$Q$2)/$Q$2))</f>
        <v>3408.22758036846</v>
      </c>
      <c r="G529" s="15" t="n">
        <f aca="false">F529*(1+IF(G$3&lt;=$O$2,$D529,$D529-($D529-$I$508)*MIN(G$3-$O$2,$Q$2)/$Q$2))</f>
        <v>3550.81508152183</v>
      </c>
      <c r="H529" s="15" t="n">
        <f aca="false">G529*(1+IF(H$3&lt;=$O$2,$D529,$D529-($D529-$I$508)*MIN(H$3-$O$2,$Q$2)/$Q$2))</f>
        <v>3699.36791069562</v>
      </c>
      <c r="I529" s="15" t="n">
        <f aca="false">H529*(1+IF(I$3&lt;=$O$2,$D529,$D529-($D529-$I$508)*MIN(I$3-$O$2,$Q$2)/$Q$2))</f>
        <v>3854.13563491433</v>
      </c>
      <c r="J529" s="15" t="n">
        <f aca="false">I529*(1+IF(J$3&lt;=$O$2,$D529,$D529-($D529-$I$508)*MIN(J$3-$O$2,$Q$2)/$Q$2))</f>
        <v>4004.94414439951</v>
      </c>
      <c r="K529" s="15" t="n">
        <f aca="false">J529*(1+IF(K$3&lt;=$O$2,$D529,$D529-($D529-$I$508)*MIN(K$3-$O$2,$Q$2)/$Q$2))</f>
        <v>4150.81124702389</v>
      </c>
      <c r="L529" s="15" t="n">
        <f aca="false">K529*(1+IF(L$3&lt;=$O$2,$D529,$D529-($D529-$I$508)*MIN(L$3-$O$2,$Q$2)/$Q$2))</f>
        <v>4290.75379231927</v>
      </c>
      <c r="M529" s="15" t="n">
        <f aca="false">L529*(1+IF(M$3&lt;=$O$2,$D529,$D529-($D529-$I$508)*MIN(M$3-$O$2,$Q$2)/$Q$2))</f>
        <v>4423.7982779288</v>
      </c>
      <c r="N529" s="15" t="n">
        <f aca="false">M529*(1+IF(N$3&lt;=$O$2,$D529,$D529-($D529-$I$508)*MIN(N$3-$O$2,$Q$2)/$Q$2))</f>
        <v>4548.99176919419</v>
      </c>
      <c r="O529" s="15" t="n">
        <f aca="false">SUMPRODUCT(E529:N529,1/(1+$F$508)^$E$3:$N$3)*$E$2</f>
        <v>11302.8569035789</v>
      </c>
      <c r="P529" s="15" t="n">
        <f aca="false">N529*$E$2*(1+$I$508)/($F$508-$I$508)/(1+$F$508)^$N$3</f>
        <v>15754.9084167046</v>
      </c>
      <c r="Q529" s="15" t="n">
        <f aca="false">O529+P529</f>
        <v>27057.7653202834</v>
      </c>
      <c r="R529" s="15" t="n">
        <f aca="false">Q529-$G$2+$I$2</f>
        <v>22989.9653202834</v>
      </c>
      <c r="S529" s="42" t="n">
        <f aca="false">R529/$K$2</f>
        <v>176.628498158293</v>
      </c>
      <c r="T529" s="43" t="n">
        <f aca="false">S529-$M$2</f>
        <v>-0.000266439125624629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0.0418362617492676</v>
      </c>
      <c r="C530" s="25" t="n">
        <f aca="false">IF(T529&gt;0,D529,C529)</f>
        <v>0.0418376922607422</v>
      </c>
      <c r="D530" s="41" t="n">
        <f aca="false">(B530+C530)/2</f>
        <v>0.0418369770050049</v>
      </c>
      <c r="E530" s="15" t="n">
        <f aca="false">$C$2*(1+IF(E$3&lt;=$O$2,$D530,$D530-($D530-$I$508)*MIN(E$3-$O$2,$Q$2)/$Q$2))</f>
        <v>3271.36810779572</v>
      </c>
      <c r="F530" s="15" t="n">
        <f aca="false">E530*(1+IF(F$3&lt;=$O$2,$D530,$D530-($D530-$I$508)*MIN(F$3-$O$2,$Q$2)/$Q$2))</f>
        <v>3408.23226009647</v>
      </c>
      <c r="G530" s="15" t="n">
        <f aca="false">F530*(1+IF(G$3&lt;=$O$2,$D530,$D530-($D530-$I$508)*MIN(G$3-$O$2,$Q$2)/$Q$2))</f>
        <v>3550.82239478984</v>
      </c>
      <c r="H530" s="15" t="n">
        <f aca="false">G530*(1+IF(H$3&lt;=$O$2,$D530,$D530-($D530-$I$508)*MIN(H$3-$O$2,$Q$2)/$Q$2))</f>
        <v>3699.37806966952</v>
      </c>
      <c r="I530" s="15" t="n">
        <f aca="false">H530*(1+IF(I$3&lt;=$O$2,$D530,$D530-($D530-$I$508)*MIN(I$3-$O$2,$Q$2)/$Q$2))</f>
        <v>3854.14886490311</v>
      </c>
      <c r="J530" s="15" t="n">
        <f aca="false">I530*(1+IF(J$3&lt;=$O$2,$D530,$D530-($D530-$I$508)*MIN(J$3-$O$2,$Q$2)/$Q$2))</f>
        <v>4004.96009742631</v>
      </c>
      <c r="K530" s="15" t="n">
        <f aca="false">J530*(1+IF(K$3&lt;=$O$2,$D530,$D530-($D530-$I$508)*MIN(K$3-$O$2,$Q$2)/$Q$2))</f>
        <v>4150.82949983037</v>
      </c>
      <c r="L530" s="15" t="n">
        <f aca="false">K530*(1+IF(L$3&lt;=$O$2,$D530,$D530-($D530-$I$508)*MIN(L$3-$O$2,$Q$2)/$Q$2))</f>
        <v>4290.77384807193</v>
      </c>
      <c r="M530" s="15" t="n">
        <f aca="false">L530*(1+IF(M$3&lt;=$O$2,$D530,$D530-($D530-$I$508)*MIN(M$3-$O$2,$Q$2)/$Q$2))</f>
        <v>4423.81956935537</v>
      </c>
      <c r="N530" s="15" t="n">
        <f aca="false">M530*(1+IF(N$3&lt;=$O$2,$D530,$D530-($D530-$I$508)*MIN(N$3-$O$2,$Q$2)/$Q$2))</f>
        <v>4549.01366316812</v>
      </c>
      <c r="O530" s="15" t="n">
        <f aca="false">SUMPRODUCT(E530:N530,1/(1+$F$508)^$E$3:$N$3)*$E$2</f>
        <v>11302.8921083727</v>
      </c>
      <c r="P530" s="15" t="n">
        <f aca="false">N530*$E$2*(1+$I$508)/($F$508-$I$508)/(1+$F$508)^$N$3</f>
        <v>15754.9842439585</v>
      </c>
      <c r="Q530" s="15" t="n">
        <f aca="false">O530+P530</f>
        <v>27057.8763523313</v>
      </c>
      <c r="R530" s="15" t="n">
        <f aca="false">Q530-$G$2+$I$2</f>
        <v>22990.0763523313</v>
      </c>
      <c r="S530" s="42" t="n">
        <f aca="false">R530/$K$2</f>
        <v>176.62935120107</v>
      </c>
      <c r="T530" s="43" t="n">
        <f aca="false">S530-$M$2</f>
        <v>0.000586603651413498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0.0418362617492676</v>
      </c>
      <c r="C531" s="25" t="n">
        <f aca="false">IF(T530&gt;0,D530,C530)</f>
        <v>0.0418369770050049</v>
      </c>
      <c r="D531" s="41" t="n">
        <f aca="false">(B531+C531)/2</f>
        <v>0.0418366193771362</v>
      </c>
      <c r="E531" s="15" t="n">
        <f aca="false">$C$2*(1+IF(E$3&lt;=$O$2,$D531,$D531-($D531-$I$508)*MIN(E$3-$O$2,$Q$2)/$Q$2))</f>
        <v>3271.36698484421</v>
      </c>
      <c r="F531" s="15" t="n">
        <f aca="false">E531*(1+IF(F$3&lt;=$O$2,$D531,$D531-($D531-$I$508)*MIN(F$3-$O$2,$Q$2)/$Q$2))</f>
        <v>3408.22992023206</v>
      </c>
      <c r="G531" s="15" t="n">
        <f aca="false">F531*(1+IF(G$3&lt;=$O$2,$D531,$D531-($D531-$I$508)*MIN(G$3-$O$2,$Q$2)/$Q$2))</f>
        <v>3550.81873815458</v>
      </c>
      <c r="H531" s="15" t="n">
        <f aca="false">G531*(1+IF(H$3&lt;=$O$2,$D531,$D531-($D531-$I$508)*MIN(H$3-$O$2,$Q$2)/$Q$2))</f>
        <v>3699.37299017996</v>
      </c>
      <c r="I531" s="15" t="n">
        <f aca="false">H531*(1+IF(I$3&lt;=$O$2,$D531,$D531-($D531-$I$508)*MIN(I$3-$O$2,$Q$2)/$Q$2))</f>
        <v>3854.14224990417</v>
      </c>
      <c r="J531" s="15" t="n">
        <f aca="false">I531*(1+IF(J$3&lt;=$O$2,$D531,$D531-($D531-$I$508)*MIN(J$3-$O$2,$Q$2)/$Q$2))</f>
        <v>4004.9521209063</v>
      </c>
      <c r="K531" s="15" t="n">
        <f aca="false">J531*(1+IF(K$3&lt;=$O$2,$D531,$D531-($D531-$I$508)*MIN(K$3-$O$2,$Q$2)/$Q$2))</f>
        <v>4150.82037341856</v>
      </c>
      <c r="L531" s="15" t="n">
        <f aca="false">K531*(1+IF(L$3&lt;=$O$2,$D531,$D531-($D531-$I$508)*MIN(L$3-$O$2,$Q$2)/$Q$2))</f>
        <v>4290.76382018544</v>
      </c>
      <c r="M531" s="15" t="n">
        <f aca="false">L531*(1+IF(M$3&lt;=$O$2,$D531,$D531-($D531-$I$508)*MIN(M$3-$O$2,$Q$2)/$Q$2))</f>
        <v>4423.80892363089</v>
      </c>
      <c r="N531" s="15" t="n">
        <f aca="false">M531*(1+IF(N$3&lt;=$O$2,$D531,$D531-($D531-$I$508)*MIN(N$3-$O$2,$Q$2)/$Q$2))</f>
        <v>4549.00271616965</v>
      </c>
      <c r="O531" s="15" t="n">
        <f aca="false">SUMPRODUCT(E531:N531,1/(1+$F$508)^$E$3:$N$3)*$E$2</f>
        <v>11302.8745059619</v>
      </c>
      <c r="P531" s="15" t="n">
        <f aca="false">N531*$E$2*(1+$I$508)/($F$508-$I$508)/(1+$F$508)^$N$3</f>
        <v>15754.9463302917</v>
      </c>
      <c r="Q531" s="15" t="n">
        <f aca="false">O531+P531</f>
        <v>27057.8208362536</v>
      </c>
      <c r="R531" s="15" t="n">
        <f aca="false">Q531-$G$2+$I$2</f>
        <v>22990.0208362536</v>
      </c>
      <c r="S531" s="42" t="n">
        <f aca="false">R531/$K$2</f>
        <v>176.628924679269</v>
      </c>
      <c r="T531" s="43" t="n">
        <f aca="false">S531-$M$2</f>
        <v>0.000160081850168581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0.0418362617492676</v>
      </c>
      <c r="C532" s="25" t="n">
        <f aca="false">IF(T531&gt;0,D531,C531)</f>
        <v>0.0418366193771362</v>
      </c>
      <c r="D532" s="41" t="n">
        <f aca="false">(B532+C532)/2</f>
        <v>0.0418364405632019</v>
      </c>
      <c r="E532" s="15" t="n">
        <f aca="false">$C$2*(1+IF(E$3&lt;=$O$2,$D532,$D532-($D532-$I$508)*MIN(E$3-$O$2,$Q$2)/$Q$2))</f>
        <v>3271.36642336845</v>
      </c>
      <c r="F532" s="15" t="n">
        <f aca="false">E532*(1+IF(F$3&lt;=$O$2,$D532,$D532-($D532-$I$508)*MIN(F$3-$O$2,$Q$2)/$Q$2))</f>
        <v>3408.22875030016</v>
      </c>
      <c r="G532" s="15" t="n">
        <f aca="false">F532*(1+IF(G$3&lt;=$O$2,$D532,$D532-($D532-$I$508)*MIN(G$3-$O$2,$Q$2)/$Q$2))</f>
        <v>3550.81690983789</v>
      </c>
      <c r="H532" s="15" t="n">
        <f aca="false">G532*(1+IF(H$3&lt;=$O$2,$D532,$D532-($D532-$I$508)*MIN(H$3-$O$2,$Q$2)/$Q$2))</f>
        <v>3699.37045043714</v>
      </c>
      <c r="I532" s="15" t="n">
        <f aca="false">H532*(1+IF(I$3&lt;=$O$2,$D532,$D532-($D532-$I$508)*MIN(I$3-$O$2,$Q$2)/$Q$2))</f>
        <v>3854.13894240812</v>
      </c>
      <c r="J532" s="15" t="n">
        <f aca="false">I532*(1+IF(J$3&lt;=$O$2,$D532,$D532-($D532-$I$508)*MIN(J$3-$O$2,$Q$2)/$Q$2))</f>
        <v>4004.94813265125</v>
      </c>
      <c r="K532" s="15" t="n">
        <f aca="false">J532*(1+IF(K$3&lt;=$O$2,$D532,$D532-($D532-$I$508)*MIN(K$3-$O$2,$Q$2)/$Q$2))</f>
        <v>4150.81581021908</v>
      </c>
      <c r="L532" s="15" t="n">
        <f aca="false">K532*(1+IF(L$3&lt;=$O$2,$D532,$D532-($D532-$I$508)*MIN(L$3-$O$2,$Q$2)/$Q$2))</f>
        <v>4290.75880624981</v>
      </c>
      <c r="M532" s="15" t="n">
        <f aca="false">L532*(1+IF(M$3&lt;=$O$2,$D532,$D532-($D532-$I$508)*MIN(M$3-$O$2,$Q$2)/$Q$2))</f>
        <v>4423.80360077705</v>
      </c>
      <c r="N532" s="15" t="n">
        <f aca="false">M532*(1+IF(N$3&lt;=$O$2,$D532,$D532-($D532-$I$508)*MIN(N$3-$O$2,$Q$2)/$Q$2))</f>
        <v>4548.99724267904</v>
      </c>
      <c r="O532" s="15" t="n">
        <f aca="false">SUMPRODUCT(E532:N532,1/(1+$F$508)^$E$3:$N$3)*$E$2</f>
        <v>11302.8657047669</v>
      </c>
      <c r="P532" s="15" t="n">
        <f aca="false">N532*$E$2*(1+$I$508)/($F$508-$I$508)/(1+$F$508)^$N$3</f>
        <v>15754.9273734882</v>
      </c>
      <c r="Q532" s="15" t="n">
        <f aca="false">O532+P532</f>
        <v>27057.7930782551</v>
      </c>
      <c r="R532" s="15" t="n">
        <f aca="false">Q532-$G$2+$I$2</f>
        <v>22989.9930782551</v>
      </c>
      <c r="S532" s="42" t="n">
        <f aca="false">R532/$K$2</f>
        <v>176.628711418678</v>
      </c>
      <c r="T532" s="43" t="n">
        <f aca="false">S532-$M$2</f>
        <v>-5.31787408988293E-005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0.0418364405632019</v>
      </c>
      <c r="C533" s="25" t="n">
        <f aca="false">IF(T532&gt;0,D532,C532)</f>
        <v>0.0418366193771362</v>
      </c>
      <c r="D533" s="41" t="n">
        <f aca="false">(B533+C533)/2</f>
        <v>0.0418365299701691</v>
      </c>
      <c r="E533" s="15" t="n">
        <f aca="false">$C$2*(1+IF(E$3&lt;=$O$2,$D533,$D533-($D533-$I$508)*MIN(E$3-$O$2,$Q$2)/$Q$2))</f>
        <v>3271.36670410633</v>
      </c>
      <c r="F533" s="15" t="n">
        <f aca="false">E533*(1+IF(F$3&lt;=$O$2,$D533,$D533-($D533-$I$508)*MIN(F$3-$O$2,$Q$2)/$Q$2))</f>
        <v>3408.22933526609</v>
      </c>
      <c r="G533" s="15" t="n">
        <f aca="false">F533*(1+IF(G$3&lt;=$O$2,$D533,$D533-($D533-$I$508)*MIN(G$3-$O$2,$Q$2)/$Q$2))</f>
        <v>3550.81782399616</v>
      </c>
      <c r="H533" s="15" t="n">
        <f aca="false">G533*(1+IF(H$3&lt;=$O$2,$D533,$D533-($D533-$I$508)*MIN(H$3-$O$2,$Q$2)/$Q$2))</f>
        <v>3699.37172030838</v>
      </c>
      <c r="I533" s="15" t="n">
        <f aca="false">H533*(1+IF(I$3&lt;=$O$2,$D533,$D533-($D533-$I$508)*MIN(I$3-$O$2,$Q$2)/$Q$2))</f>
        <v>3854.14059615586</v>
      </c>
      <c r="J533" s="15" t="n">
        <f aca="false">I533*(1+IF(J$3&lt;=$O$2,$D533,$D533-($D533-$I$508)*MIN(J$3-$O$2,$Q$2)/$Q$2))</f>
        <v>4004.95012677836</v>
      </c>
      <c r="K533" s="15" t="n">
        <f aca="false">J533*(1+IF(K$3&lt;=$O$2,$D533,$D533-($D533-$I$508)*MIN(K$3-$O$2,$Q$2)/$Q$2))</f>
        <v>4150.81809181829</v>
      </c>
      <c r="L533" s="15" t="n">
        <f aca="false">K533*(1+IF(L$3&lt;=$O$2,$D533,$D533-($D533-$I$508)*MIN(L$3-$O$2,$Q$2)/$Q$2))</f>
        <v>4290.76131321699</v>
      </c>
      <c r="M533" s="15" t="n">
        <f aca="false">L533*(1+IF(M$3&lt;=$O$2,$D533,$D533-($D533-$I$508)*MIN(M$3-$O$2,$Q$2)/$Q$2))</f>
        <v>4423.80626220327</v>
      </c>
      <c r="N533" s="15" t="n">
        <f aca="false">M533*(1+IF(N$3&lt;=$O$2,$D533,$D533-($D533-$I$508)*MIN(N$3-$O$2,$Q$2)/$Q$2))</f>
        <v>4548.99997942363</v>
      </c>
      <c r="O533" s="15" t="n">
        <f aca="false">SUMPRODUCT(E533:N533,1/(1+$F$508)^$E$3:$N$3)*$E$2</f>
        <v>11302.8701053636</v>
      </c>
      <c r="P533" s="15" t="n">
        <f aca="false">N533*$E$2*(1+$I$508)/($F$508-$I$508)/(1+$F$508)^$N$3</f>
        <v>15754.9368518874</v>
      </c>
      <c r="Q533" s="15" t="n">
        <f aca="false">O533+P533</f>
        <v>27057.806957251</v>
      </c>
      <c r="R533" s="15" t="n">
        <f aca="false">Q533-$G$2+$I$2</f>
        <v>22990.006957251</v>
      </c>
      <c r="S533" s="42" t="n">
        <f aca="false">R533/$K$2</f>
        <v>176.628818048948</v>
      </c>
      <c r="T533" s="43" t="n">
        <f aca="false">S533-$M$2</f>
        <v>5.34515289132287E-005</v>
      </c>
    </row>
    <row r="535" customFormat="false" ht="15" hidden="false" customHeight="false" outlineLevel="0" collapsed="false">
      <c r="A535" s="38" t="s">
        <v>193</v>
      </c>
      <c r="E535" s="5" t="s">
        <v>11</v>
      </c>
      <c r="F535" s="12" t="n">
        <f aca="false">Sensitivity!$B$13</f>
        <v>0.0869413943493295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155</v>
      </c>
      <c r="B536" s="28" t="s">
        <v>156</v>
      </c>
      <c r="C536" s="28" t="s">
        <v>157</v>
      </c>
      <c r="D536" s="28" t="s">
        <v>158</v>
      </c>
      <c r="E536" s="28" t="s">
        <v>159</v>
      </c>
      <c r="F536" s="28" t="s">
        <v>160</v>
      </c>
      <c r="G536" s="28" t="s">
        <v>161</v>
      </c>
      <c r="H536" s="28" t="s">
        <v>162</v>
      </c>
      <c r="I536" s="28" t="s">
        <v>163</v>
      </c>
      <c r="J536" s="28" t="s">
        <v>164</v>
      </c>
      <c r="K536" s="28" t="s">
        <v>165</v>
      </c>
      <c r="L536" s="28" t="s">
        <v>166</v>
      </c>
      <c r="M536" s="28" t="s">
        <v>167</v>
      </c>
      <c r="N536" s="28" t="s">
        <v>168</v>
      </c>
      <c r="O536" s="28" t="s">
        <v>169</v>
      </c>
      <c r="P536" s="28" t="s">
        <v>170</v>
      </c>
      <c r="Q536" s="28" t="s">
        <v>171</v>
      </c>
      <c r="R536" s="28" t="s">
        <v>172</v>
      </c>
      <c r="S536" s="28" t="s">
        <v>173</v>
      </c>
      <c r="T536" s="28" t="s">
        <v>174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3925</v>
      </c>
      <c r="F537" s="15" t="n">
        <f aca="false">E537*(1+IF(F$3&lt;=$O$2,$D537,$D537-($D537-$I$535)*MIN(F$3-$O$2,$Q$2)/$Q$2))</f>
        <v>4906.25</v>
      </c>
      <c r="G537" s="15" t="n">
        <f aca="false">F537*(1+IF(G$3&lt;=$O$2,$D537,$D537-($D537-$I$535)*MIN(G$3-$O$2,$Q$2)/$Q$2))</f>
        <v>6132.8125</v>
      </c>
      <c r="H537" s="15" t="n">
        <f aca="false">G537*(1+IF(H$3&lt;=$O$2,$D537,$D537-($D537-$I$535)*MIN(H$3-$O$2,$Q$2)/$Q$2))</f>
        <v>7666.015625</v>
      </c>
      <c r="I537" s="15" t="n">
        <f aca="false">H537*(1+IF(I$3&lt;=$O$2,$D537,$D537-($D537-$I$535)*MIN(I$3-$O$2,$Q$2)/$Q$2))</f>
        <v>9582.51953125</v>
      </c>
      <c r="J537" s="15" t="n">
        <f aca="false">I537*(1+IF(J$3&lt;=$O$2,$D537,$D537-($D537-$I$535)*MIN(J$3-$O$2,$Q$2)/$Q$2))</f>
        <v>11562.8430175781</v>
      </c>
      <c r="K537" s="15" t="n">
        <f aca="false">J537*(1+IF(K$3&lt;=$O$2,$D537,$D537-($D537-$I$535)*MIN(K$3-$O$2,$Q$2)/$Q$2))</f>
        <v>13451.286539209</v>
      </c>
      <c r="L537" s="15" t="n">
        <f aca="false">K537*(1+IF(L$3&lt;=$O$2,$D537,$D537-($D537-$I$535)*MIN(L$3-$O$2,$Q$2)/$Q$2))</f>
        <v>15065.1718981833</v>
      </c>
      <c r="M537" s="15" t="n">
        <f aca="false">L537*(1+IF(M$3&lt;=$O$2,$D537,$D537-($D537-$I$535)*MIN(M$3-$O$2,$Q$2)/$Q$2))</f>
        <v>16219.76667246</v>
      </c>
      <c r="N537" s="15" t="n">
        <f aca="false">M537*(1+IF(N$3&lt;=$O$2,$D537,$D537-($D537-$I$535)*MIN(N$3-$O$2,$Q$2)/$Q$2))</f>
        <v>16759.884902653</v>
      </c>
      <c r="O537" s="15" t="n">
        <f aca="false">SUMPRODUCT(E537:N537,1/(1+$F$535)^$E$3:$N$3)*$E$2</f>
        <v>27975.962951882</v>
      </c>
      <c r="P537" s="15" t="n">
        <f aca="false">N537*$E$2*(1+$I$535)/($F$535-$I$535)/(1+$F$535)^$N$3</f>
        <v>63765.0327703462</v>
      </c>
      <c r="Q537" s="15" t="n">
        <f aca="false">O537+P537</f>
        <v>91740.9957222282</v>
      </c>
      <c r="R537" s="15" t="n">
        <f aca="false">Q537-$G$2+$I$2</f>
        <v>87673.1957222282</v>
      </c>
      <c r="S537" s="42" t="n">
        <f aca="false">R537/$K$2</f>
        <v>673.580176108084</v>
      </c>
      <c r="T537" s="43" t="n">
        <f aca="false">S537-$M$2</f>
        <v>496.951411510665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2747.5</v>
      </c>
      <c r="F538" s="15" t="n">
        <f aca="false">E538*(1+IF(F$3&lt;=$O$2,$D538,$D538-($D538-$I$535)*MIN(F$3-$O$2,$Q$2)/$Q$2))</f>
        <v>2404.0625</v>
      </c>
      <c r="G538" s="15" t="n">
        <f aca="false">F538*(1+IF(G$3&lt;=$O$2,$D538,$D538-($D538-$I$535)*MIN(G$3-$O$2,$Q$2)/$Q$2))</f>
        <v>2103.5546875</v>
      </c>
      <c r="H538" s="15" t="n">
        <f aca="false">G538*(1+IF(H$3&lt;=$O$2,$D538,$D538-($D538-$I$535)*MIN(H$3-$O$2,$Q$2)/$Q$2))</f>
        <v>1840.6103515625</v>
      </c>
      <c r="I538" s="15" t="n">
        <f aca="false">H538*(1+IF(I$3&lt;=$O$2,$D538,$D538-($D538-$I$535)*MIN(I$3-$O$2,$Q$2)/$Q$2))</f>
        <v>1610.53405761719</v>
      </c>
      <c r="J538" s="15" t="n">
        <f aca="false">I538*(1+IF(J$3&lt;=$O$2,$D538,$D538-($D538-$I$535)*MIN(J$3-$O$2,$Q$2)/$Q$2))</f>
        <v>1460.2068086792</v>
      </c>
      <c r="K538" s="15" t="n">
        <f aca="false">J538*(1+IF(K$3&lt;=$O$2,$D538,$D538-($D538-$I$535)*MIN(K$3-$O$2,$Q$2)/$Q$2))</f>
        <v>1370.14125271987</v>
      </c>
      <c r="L538" s="15" t="n">
        <f aca="false">K538*(1+IF(L$3&lt;=$O$2,$D538,$D538-($D538-$I$535)*MIN(L$3-$O$2,$Q$2)/$Q$2))</f>
        <v>1329.00961231322</v>
      </c>
      <c r="M538" s="15" t="n">
        <f aca="false">L538*(1+IF(M$3&lt;=$O$2,$D538,$D538-($D538-$I$535)*MIN(M$3-$O$2,$Q$2)/$Q$2))</f>
        <v>1331.18918807741</v>
      </c>
      <c r="N538" s="15" t="n">
        <f aca="false">M538*(1+IF(N$3&lt;=$O$2,$D538,$D538-($D538-$I$535)*MIN(N$3-$O$2,$Q$2)/$Q$2))</f>
        <v>1375.51778804039</v>
      </c>
      <c r="O538" s="15" t="n">
        <f aca="false">SUMPRODUCT(E538:N538,1/(1+$F$535)^$E$3:$N$3)*$E$2</f>
        <v>5518.66447508019</v>
      </c>
      <c r="P538" s="15" t="n">
        <f aca="false">N538*$E$2*(1+$I$535)/($F$535-$I$535)/(1+$F$535)^$N$3</f>
        <v>5233.32572628262</v>
      </c>
      <c r="Q538" s="15" t="n">
        <f aca="false">O538+P538</f>
        <v>10751.9902013628</v>
      </c>
      <c r="R538" s="15" t="n">
        <f aca="false">Q538-$G$2+$I$2</f>
        <v>6684.19020136281</v>
      </c>
      <c r="S538" s="42" t="n">
        <f aca="false">R538/$K$2</f>
        <v>51.3536432188292</v>
      </c>
      <c r="T538" s="43" t="n">
        <f aca="false">S538-$M$2</f>
        <v>-125.275121378589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3336.25</v>
      </c>
      <c r="F539" s="15" t="n">
        <f aca="false">E539*(1+IF(F$3&lt;=$O$2,$D539,$D539-($D539-$I$535)*MIN(F$3-$O$2,$Q$2)/$Q$2))</f>
        <v>3544.765625</v>
      </c>
      <c r="G539" s="15" t="n">
        <f aca="false">F539*(1+IF(G$3&lt;=$O$2,$D539,$D539-($D539-$I$535)*MIN(G$3-$O$2,$Q$2)/$Q$2))</f>
        <v>3766.3134765625</v>
      </c>
      <c r="H539" s="15" t="n">
        <f aca="false">G539*(1+IF(H$3&lt;=$O$2,$D539,$D539-($D539-$I$535)*MIN(H$3-$O$2,$Q$2)/$Q$2))</f>
        <v>4001.70806884766</v>
      </c>
      <c r="I539" s="15" t="n">
        <f aca="false">H539*(1+IF(I$3&lt;=$O$2,$D539,$D539-($D539-$I$535)*MIN(I$3-$O$2,$Q$2)/$Q$2))</f>
        <v>4251.81482315064</v>
      </c>
      <c r="J539" s="15" t="n">
        <f aca="false">I539*(1+IF(J$3&lt;=$O$2,$D539,$D539-($D539-$I$535)*MIN(J$3-$O$2,$Q$2)/$Q$2))</f>
        <v>4492.72265103035</v>
      </c>
      <c r="K539" s="15" t="n">
        <f aca="false">J539*(1+IF(K$3&lt;=$O$2,$D539,$D539-($D539-$I$535)*MIN(K$3-$O$2,$Q$2)/$Q$2))</f>
        <v>4721.04281615571</v>
      </c>
      <c r="L539" s="15" t="n">
        <f aca="false">K539*(1+IF(L$3&lt;=$O$2,$D539,$D539-($D539-$I$535)*MIN(L$3-$O$2,$Q$2)/$Q$2))</f>
        <v>4933.3953220264</v>
      </c>
      <c r="M539" s="15" t="n">
        <f aca="false">L539*(1+IF(M$3&lt;=$O$2,$D539,$D539-($D539-$I$535)*MIN(M$3-$O$2,$Q$2)/$Q$2))</f>
        <v>5126.48841493051</v>
      </c>
      <c r="N539" s="15" t="n">
        <f aca="false">M539*(1+IF(N$3&lt;=$O$2,$D539,$D539-($D539-$I$535)*MIN(N$3-$O$2,$Q$2)/$Q$2))</f>
        <v>5297.2004791477</v>
      </c>
      <c r="O539" s="15" t="n">
        <f aca="false">SUMPRODUCT(E539:N539,1/(1+$F$535)^$E$3:$N$3)*$E$2</f>
        <v>12404.1522178803</v>
      </c>
      <c r="P539" s="15" t="n">
        <f aca="false">N539*$E$2*(1+$I$535)/($F$535-$I$535)/(1+$F$535)^$N$3</f>
        <v>20153.8473626677</v>
      </c>
      <c r="Q539" s="15" t="n">
        <f aca="false">O539+P539</f>
        <v>32557.999580548</v>
      </c>
      <c r="R539" s="15" t="n">
        <f aca="false">Q539-$G$2+$I$2</f>
        <v>28490.199580548</v>
      </c>
      <c r="S539" s="42" t="n">
        <f aca="false">R539/$K$2</f>
        <v>218.885983255593</v>
      </c>
      <c r="T539" s="43" t="n">
        <f aca="false">S539-$M$2</f>
        <v>42.2572186581744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3041.875</v>
      </c>
      <c r="F540" s="15" t="n">
        <f aca="false">E540*(1+IF(F$3&lt;=$O$2,$D540,$D540-($D540-$I$535)*MIN(F$3-$O$2,$Q$2)/$Q$2))</f>
        <v>2946.81640625</v>
      </c>
      <c r="G540" s="15" t="n">
        <f aca="false">F540*(1+IF(G$3&lt;=$O$2,$D540,$D540-($D540-$I$535)*MIN(G$3-$O$2,$Q$2)/$Q$2))</f>
        <v>2854.72839355469</v>
      </c>
      <c r="H540" s="15" t="n">
        <f aca="false">G540*(1+IF(H$3&lt;=$O$2,$D540,$D540-($D540-$I$535)*MIN(H$3-$O$2,$Q$2)/$Q$2))</f>
        <v>2765.5181312561</v>
      </c>
      <c r="I540" s="15" t="n">
        <f aca="false">H540*(1+IF(I$3&lt;=$O$2,$D540,$D540-($D540-$I$535)*MIN(I$3-$O$2,$Q$2)/$Q$2))</f>
        <v>2679.09568965435</v>
      </c>
      <c r="J540" s="15" t="n">
        <f aca="false">I540*(1+IF(J$3&lt;=$O$2,$D540,$D540-($D540-$I$535)*MIN(J$3-$O$2,$Q$2)/$Q$2))</f>
        <v>2629.96107470609</v>
      </c>
      <c r="K540" s="15" t="n">
        <f aca="false">J540*(1+IF(K$3&lt;=$O$2,$D540,$D540-($D540-$I$535)*MIN(K$3-$O$2,$Q$2)/$Q$2))</f>
        <v>2615.68038607044</v>
      </c>
      <c r="L540" s="15" t="n">
        <f aca="false">K540*(1+IF(L$3&lt;=$O$2,$D540,$D540-($D540-$I$535)*MIN(L$3-$O$2,$Q$2)/$Q$2))</f>
        <v>2635.24567535824</v>
      </c>
      <c r="M540" s="15" t="n">
        <f aca="false">L540*(1+IF(M$3&lt;=$O$2,$D540,$D540-($D540-$I$535)*MIN(M$3-$O$2,$Q$2)/$Q$2))</f>
        <v>2688.9783346788</v>
      </c>
      <c r="N540" s="15" t="n">
        <f aca="false">M540*(1+IF(N$3&lt;=$O$2,$D540,$D540-($D540-$I$535)*MIN(N$3-$O$2,$Q$2)/$Q$2))</f>
        <v>2778.5213132236</v>
      </c>
      <c r="O540" s="15" t="n">
        <f aca="false">SUMPRODUCT(E540:N540,1/(1+$F$535)^$E$3:$N$3)*$E$2</f>
        <v>8249.79807691879</v>
      </c>
      <c r="P540" s="15" t="n">
        <f aca="false">N540*$E$2*(1+$I$535)/($F$535-$I$535)/(1+$F$535)^$N$3</f>
        <v>10571.2243025466</v>
      </c>
      <c r="Q540" s="15" t="n">
        <f aca="false">O540+P540</f>
        <v>18821.0223794653</v>
      </c>
      <c r="R540" s="15" t="n">
        <f aca="false">Q540-$G$2+$I$2</f>
        <v>14753.2223794653</v>
      </c>
      <c r="S540" s="42" t="n">
        <f aca="false">R540/$K$2</f>
        <v>113.3468222147</v>
      </c>
      <c r="T540" s="43" t="n">
        <f aca="false">S540-$M$2</f>
        <v>-63.2819423827187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3189.0625</v>
      </c>
      <c r="F541" s="15" t="n">
        <f aca="false">E541*(1+IF(F$3&lt;=$O$2,$D541,$D541-($D541-$I$535)*MIN(F$3-$O$2,$Q$2)/$Q$2))</f>
        <v>3238.8916015625</v>
      </c>
      <c r="G541" s="15" t="n">
        <f aca="false">F541*(1+IF(G$3&lt;=$O$2,$D541,$D541-($D541-$I$535)*MIN(G$3-$O$2,$Q$2)/$Q$2))</f>
        <v>3289.49928283691</v>
      </c>
      <c r="H541" s="15" t="n">
        <f aca="false">G541*(1+IF(H$3&lt;=$O$2,$D541,$D541-($D541-$I$535)*MIN(H$3-$O$2,$Q$2)/$Q$2))</f>
        <v>3340.89770913124</v>
      </c>
      <c r="I541" s="15" t="n">
        <f aca="false">H541*(1+IF(I$3&lt;=$O$2,$D541,$D541-($D541-$I$535)*MIN(I$3-$O$2,$Q$2)/$Q$2))</f>
        <v>3393.09923583642</v>
      </c>
      <c r="J541" s="15" t="n">
        <f aca="false">I541*(1+IF(J$3&lt;=$O$2,$D541,$D541-($D541-$I$535)*MIN(J$3-$O$2,$Q$2)/$Q$2))</f>
        <v>3458.11101719504</v>
      </c>
      <c r="K541" s="15" t="n">
        <f aca="false">J541*(1+IF(K$3&lt;=$O$2,$D541,$D541-($D541-$I$535)*MIN(K$3-$O$2,$Q$2)/$Q$2))</f>
        <v>3536.59284673028</v>
      </c>
      <c r="L541" s="15" t="n">
        <f aca="false">K541*(1+IF(L$3&lt;=$O$2,$D541,$D541-($D541-$I$535)*MIN(L$3-$O$2,$Q$2)/$Q$2))</f>
        <v>3629.35767710002</v>
      </c>
      <c r="M541" s="15" t="n">
        <f aca="false">L541*(1+IF(M$3&lt;=$O$2,$D541,$D541-($D541-$I$535)*MIN(M$3-$O$2,$Q$2)/$Q$2))</f>
        <v>3737.3855083589</v>
      </c>
      <c r="N541" s="15" t="n">
        <f aca="false">M541*(1+IF(N$3&lt;=$O$2,$D541,$D541-($D541-$I$535)*MIN(N$3-$O$2,$Q$2)/$Q$2))</f>
        <v>3861.84044578725</v>
      </c>
      <c r="O541" s="15" t="n">
        <f aca="false">SUMPRODUCT(E541:N541,1/(1+$F$535)^$E$3:$N$3)*$E$2</f>
        <v>10111.9089105461</v>
      </c>
      <c r="P541" s="15" t="n">
        <f aca="false">N541*$E$2*(1+$I$535)/($F$535-$I$535)/(1+$F$535)^$N$3</f>
        <v>14692.8444920581</v>
      </c>
      <c r="Q541" s="15" t="n">
        <f aca="false">O541+P541</f>
        <v>24804.7534026042</v>
      </c>
      <c r="R541" s="15" t="n">
        <f aca="false">Q541-$G$2+$I$2</f>
        <v>20736.9534026042</v>
      </c>
      <c r="S541" s="42" t="n">
        <f aca="false">R541/$K$2</f>
        <v>159.318941323019</v>
      </c>
      <c r="T541" s="43" t="n">
        <f aca="false">S541-$M$2</f>
        <v>-17.3098232743994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41" t="n">
        <f aca="false">(B542+C542)/2</f>
        <v>0.0390625</v>
      </c>
      <c r="E542" s="15" t="n">
        <f aca="false">$C$2*(1+IF(E$3&lt;=$O$2,$D542,$D542-($D542-$I$535)*MIN(E$3-$O$2,$Q$2)/$Q$2))</f>
        <v>3262.65625</v>
      </c>
      <c r="F542" s="15" t="n">
        <f aca="false">E542*(1+IF(F$3&lt;=$O$2,$D542,$D542-($D542-$I$535)*MIN(F$3-$O$2,$Q$2)/$Q$2))</f>
        <v>3390.10375976563</v>
      </c>
      <c r="G542" s="15" t="n">
        <f aca="false">F542*(1+IF(G$3&lt;=$O$2,$D542,$D542-($D542-$I$535)*MIN(G$3-$O$2,$Q$2)/$Q$2))</f>
        <v>3522.52968788147</v>
      </c>
      <c r="H542" s="15" t="n">
        <f aca="false">G542*(1+IF(H$3&lt;=$O$2,$D542,$D542-($D542-$I$535)*MIN(H$3-$O$2,$Q$2)/$Q$2))</f>
        <v>3660.12850381434</v>
      </c>
      <c r="I542" s="15" t="n">
        <f aca="false">H542*(1+IF(I$3&lt;=$O$2,$D542,$D542-($D542-$I$535)*MIN(I$3-$O$2,$Q$2)/$Q$2))</f>
        <v>3803.10227349459</v>
      </c>
      <c r="J542" s="15" t="n">
        <f aca="false">I542*(1+IF(J$3&lt;=$O$2,$D542,$D542-($D542-$I$535)*MIN(J$3-$O$2,$Q$2)/$Q$2))</f>
        <v>3947.27788068277</v>
      </c>
      <c r="K542" s="15" t="n">
        <f aca="false">J542*(1+IF(K$3&lt;=$O$2,$D542,$D542-($D542-$I$535)*MIN(K$3-$O$2,$Q$2)/$Q$2))</f>
        <v>4092.36994738196</v>
      </c>
      <c r="L542" s="15" t="n">
        <f aca="false">K542*(1+IF(L$3&lt;=$O$2,$D542,$D542-($D542-$I$535)*MIN(L$3-$O$2,$Q$2)/$Q$2))</f>
        <v>4238.0787793585</v>
      </c>
      <c r="M542" s="15" t="n">
        <f aca="false">L542*(1+IF(M$3&lt;=$O$2,$D542,$D542-($D542-$I$535)*MIN(M$3-$O$2,$Q$2)/$Q$2))</f>
        <v>4384.09118850435</v>
      </c>
      <c r="N542" s="15" t="n">
        <f aca="false">M542*(1+IF(N$3&lt;=$O$2,$D542,$D542-($D542-$I$535)*MIN(N$3-$O$2,$Q$2)/$Q$2))</f>
        <v>4530.08142508154</v>
      </c>
      <c r="O542" s="15" t="n">
        <f aca="false">SUMPRODUCT(E542:N542,1/(1+$F$535)^$E$3:$N$3)*$E$2</f>
        <v>11198.8829904855</v>
      </c>
      <c r="P542" s="15" t="n">
        <f aca="false">N542*$E$2*(1+$I$535)/($F$535-$I$535)/(1+$F$535)^$N$3</f>
        <v>17235.2490605074</v>
      </c>
      <c r="Q542" s="15" t="n">
        <f aca="false">O542+P542</f>
        <v>28434.1320509929</v>
      </c>
      <c r="R542" s="15" t="n">
        <f aca="false">Q542-$G$2+$I$2</f>
        <v>24366.3320509929</v>
      </c>
      <c r="S542" s="42" t="n">
        <f aca="false">R542/$K$2</f>
        <v>187.202919875483</v>
      </c>
      <c r="T542" s="43" t="n">
        <f aca="false">S542-$M$2</f>
        <v>10.5741552780643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0.015625</v>
      </c>
      <c r="C543" s="25" t="n">
        <f aca="false">IF(T542&gt;0,D542,C542)</f>
        <v>0.0390625</v>
      </c>
      <c r="D543" s="41" t="n">
        <f aca="false">(B543+C543)/2</f>
        <v>0.02734375</v>
      </c>
      <c r="E543" s="15" t="n">
        <f aca="false">$C$2*(1+IF(E$3&lt;=$O$2,$D543,$D543-($D543-$I$535)*MIN(E$3-$O$2,$Q$2)/$Q$2))</f>
        <v>3225.859375</v>
      </c>
      <c r="F543" s="15" t="n">
        <f aca="false">E543*(1+IF(F$3&lt;=$O$2,$D543,$D543-($D543-$I$535)*MIN(F$3-$O$2,$Q$2)/$Q$2))</f>
        <v>3314.06646728516</v>
      </c>
      <c r="G543" s="15" t="n">
        <f aca="false">F543*(1+IF(G$3&lt;=$O$2,$D543,$D543-($D543-$I$535)*MIN(G$3-$O$2,$Q$2)/$Q$2))</f>
        <v>3404.68547224998</v>
      </c>
      <c r="H543" s="15" t="n">
        <f aca="false">G543*(1+IF(H$3&lt;=$O$2,$D543,$D543-($D543-$I$535)*MIN(H$3-$O$2,$Q$2)/$Q$2))</f>
        <v>3497.78234063182</v>
      </c>
      <c r="I543" s="15" t="n">
        <f aca="false">H543*(1+IF(I$3&lt;=$O$2,$D543,$D543-($D543-$I$535)*MIN(I$3-$O$2,$Q$2)/$Q$2))</f>
        <v>3593.42482650847</v>
      </c>
      <c r="J543" s="15" t="n">
        <f aca="false">I543*(1+IF(J$3&lt;=$O$2,$D543,$D543-($D543-$I$535)*MIN(J$3-$O$2,$Q$2)/$Q$2))</f>
        <v>3695.96320393289</v>
      </c>
      <c r="K543" s="15" t="n">
        <f aca="false">J543*(1+IF(K$3&lt;=$O$2,$D543,$D543-($D543-$I$535)*MIN(K$3-$O$2,$Q$2)/$Q$2))</f>
        <v>3805.8303301238</v>
      </c>
      <c r="L543" s="15" t="n">
        <f aca="false">K543*(1+IF(L$3&lt;=$O$2,$D543,$D543-($D543-$I$535)*MIN(L$3-$O$2,$Q$2)/$Q$2))</f>
        <v>3923.4970893554</v>
      </c>
      <c r="M543" s="15" t="n">
        <f aca="false">L543*(1+IF(M$3&lt;=$O$2,$D543,$D543-($D543-$I$535)*MIN(M$3-$O$2,$Q$2)/$Q$2))</f>
        <v>4049.47567652324</v>
      </c>
      <c r="N543" s="15" t="n">
        <f aca="false">M543*(1+IF(N$3&lt;=$O$2,$D543,$D543-($D543-$I$535)*MIN(N$3-$O$2,$Q$2)/$Q$2))</f>
        <v>4184.32321655147</v>
      </c>
      <c r="O543" s="15" t="n">
        <f aca="false">SUMPRODUCT(E543:N543,1/(1+$F$535)^$E$3:$N$3)*$E$2</f>
        <v>10641.3176230213</v>
      </c>
      <c r="P543" s="15" t="n">
        <f aca="false">N543*$E$2*(1+$I$535)/($F$535-$I$535)/(1+$F$535)^$N$3</f>
        <v>15919.7696508578</v>
      </c>
      <c r="Q543" s="15" t="n">
        <f aca="false">O543+P543</f>
        <v>26561.0872738791</v>
      </c>
      <c r="R543" s="15" t="n">
        <f aca="false">Q543-$G$2+$I$2</f>
        <v>22493.2872738791</v>
      </c>
      <c r="S543" s="42" t="n">
        <f aca="false">R543/$K$2</f>
        <v>172.812594298395</v>
      </c>
      <c r="T543" s="43" t="n">
        <f aca="false">S543-$M$2</f>
        <v>-3.8161702990233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0.02734375</v>
      </c>
      <c r="C544" s="25" t="n">
        <f aca="false">IF(T543&gt;0,D543,C543)</f>
        <v>0.0390625</v>
      </c>
      <c r="D544" s="41" t="n">
        <f aca="false">(B544+C544)/2</f>
        <v>0.033203125</v>
      </c>
      <c r="E544" s="15" t="n">
        <f aca="false">$C$2*(1+IF(E$3&lt;=$O$2,$D544,$D544-($D544-$I$535)*MIN(E$3-$O$2,$Q$2)/$Q$2))</f>
        <v>3244.2578125</v>
      </c>
      <c r="F544" s="15" t="n">
        <f aca="false">E544*(1+IF(F$3&lt;=$O$2,$D544,$D544-($D544-$I$535)*MIN(F$3-$O$2,$Q$2)/$Q$2))</f>
        <v>3351.97731018066</v>
      </c>
      <c r="G544" s="15" t="n">
        <f aca="false">F544*(1+IF(G$3&lt;=$O$2,$D544,$D544-($D544-$I$535)*MIN(G$3-$O$2,$Q$2)/$Q$2))</f>
        <v>3463.27343180776</v>
      </c>
      <c r="H544" s="15" t="n">
        <f aca="false">G544*(1+IF(H$3&lt;=$O$2,$D544,$D544-($D544-$I$535)*MIN(H$3-$O$2,$Q$2)/$Q$2))</f>
        <v>3578.26493247325</v>
      </c>
      <c r="I544" s="15" t="n">
        <f aca="false">H544*(1+IF(I$3&lt;=$O$2,$D544,$D544-($D544-$I$535)*MIN(I$3-$O$2,$Q$2)/$Q$2))</f>
        <v>3697.07451030927</v>
      </c>
      <c r="J544" s="15" t="n">
        <f aca="false">I544*(1+IF(J$3&lt;=$O$2,$D544,$D544-($D544-$I$535)*MIN(J$3-$O$2,$Q$2)/$Q$2))</f>
        <v>3819.90056822802</v>
      </c>
      <c r="K544" s="15" t="n">
        <f aca="false">J544*(1+IF(K$3&lt;=$O$2,$D544,$D544-($D544-$I$535)*MIN(K$3-$O$2,$Q$2)/$Q$2))</f>
        <v>3946.88122542949</v>
      </c>
      <c r="L544" s="15" t="n">
        <f aca="false">K544*(1+IF(L$3&lt;=$O$2,$D544,$D544-($D544-$I$535)*MIN(L$3-$O$2,$Q$2)/$Q$2))</f>
        <v>4078.15942858881</v>
      </c>
      <c r="M544" s="15" t="n">
        <f aca="false">L544*(1+IF(M$3&lt;=$O$2,$D544,$D544-($D544-$I$535)*MIN(M$3-$O$2,$Q$2)/$Q$2))</f>
        <v>4213.88312322188</v>
      </c>
      <c r="N544" s="15" t="n">
        <f aca="false">M544*(1+IF(N$3&lt;=$O$2,$D544,$D544-($D544-$I$535)*MIN(N$3-$O$2,$Q$2)/$Q$2))</f>
        <v>4354.20543122517</v>
      </c>
      <c r="O544" s="15" t="n">
        <f aca="false">SUMPRODUCT(E544:N544,1/(1+$F$535)^$E$3:$N$3)*$E$2</f>
        <v>10916.4944875302</v>
      </c>
      <c r="P544" s="15" t="n">
        <f aca="false">N544*$E$2*(1+$I$535)/($F$535-$I$535)/(1+$F$535)^$N$3</f>
        <v>16566.1073225475</v>
      </c>
      <c r="Q544" s="15" t="n">
        <f aca="false">O544+P544</f>
        <v>27482.6018100777</v>
      </c>
      <c r="R544" s="15" t="n">
        <f aca="false">Q544-$G$2+$I$2</f>
        <v>23414.8018100777</v>
      </c>
      <c r="S544" s="42" t="n">
        <f aca="false">R544/$K$2</f>
        <v>179.892453980314</v>
      </c>
      <c r="T544" s="43" t="n">
        <f aca="false">S544-$M$2</f>
        <v>3.26368938289573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0.02734375</v>
      </c>
      <c r="C545" s="25" t="n">
        <f aca="false">IF(T544&gt;0,D544,C544)</f>
        <v>0.033203125</v>
      </c>
      <c r="D545" s="41" t="n">
        <f aca="false">(B545+C545)/2</f>
        <v>0.0302734375</v>
      </c>
      <c r="E545" s="15" t="n">
        <f aca="false">$C$2*(1+IF(E$3&lt;=$O$2,$D545,$D545-($D545-$I$535)*MIN(E$3-$O$2,$Q$2)/$Q$2))</f>
        <v>3235.05859375</v>
      </c>
      <c r="F545" s="15" t="n">
        <f aca="false">E545*(1+IF(F$3&lt;=$O$2,$D545,$D545-($D545-$I$535)*MIN(F$3-$O$2,$Q$2)/$Q$2))</f>
        <v>3332.99493789673</v>
      </c>
      <c r="G545" s="15" t="n">
        <f aca="false">F545*(1+IF(G$3&lt;=$O$2,$D545,$D545-($D545-$I$535)*MIN(G$3-$O$2,$Q$2)/$Q$2))</f>
        <v>3433.89615183696</v>
      </c>
      <c r="H545" s="15" t="n">
        <f aca="false">G545*(1+IF(H$3&lt;=$O$2,$D545,$D545-($D545-$I$535)*MIN(H$3-$O$2,$Q$2)/$Q$2))</f>
        <v>3537.85199237109</v>
      </c>
      <c r="I545" s="15" t="n">
        <f aca="false">H545*(1+IF(I$3&lt;=$O$2,$D545,$D545-($D545-$I$535)*MIN(I$3-$O$2,$Q$2)/$Q$2))</f>
        <v>3644.95493354639</v>
      </c>
      <c r="J545" s="15" t="n">
        <f aca="false">I545*(1+IF(J$3&lt;=$O$2,$D545,$D545-($D545-$I$535)*MIN(J$3-$O$2,$Q$2)/$Q$2))</f>
        <v>3757.50658570063</v>
      </c>
      <c r="K545" s="15" t="n">
        <f aca="false">J545*(1+IF(K$3&lt;=$O$2,$D545,$D545-($D545-$I$535)*MIN(K$3-$O$2,$Q$2)/$Q$2))</f>
        <v>3875.80815788899</v>
      </c>
      <c r="L545" s="15" t="n">
        <f aca="false">K545*(1+IF(L$3&lt;=$O$2,$D545,$D545-($D545-$I$535)*MIN(L$3-$O$2,$Q$2)/$Q$2))</f>
        <v>4000.18041929555</v>
      </c>
      <c r="M545" s="15" t="n">
        <f aca="false">L545*(1+IF(M$3&lt;=$O$2,$D545,$D545-($D545-$I$535)*MIN(M$3-$O$2,$Q$2)/$Q$2))</f>
        <v>4130.96506804804</v>
      </c>
      <c r="N545" s="15" t="n">
        <f aca="false">M545*(1+IF(N$3&lt;=$O$2,$D545,$D545-($D545-$I$535)*MIN(N$3-$O$2,$Q$2)/$Q$2))</f>
        <v>4268.52620481404</v>
      </c>
      <c r="O545" s="15" t="n">
        <f aca="false">SUMPRODUCT(E545:N545,1/(1+$F$535)^$E$3:$N$3)*$E$2</f>
        <v>10778.0155231855</v>
      </c>
      <c r="P545" s="15" t="n">
        <f aca="false">N545*$E$2*(1+$I$535)/($F$535-$I$535)/(1+$F$535)^$N$3</f>
        <v>16240.1302223719</v>
      </c>
      <c r="Q545" s="15" t="n">
        <f aca="false">O545+P545</f>
        <v>27018.1457455574</v>
      </c>
      <c r="R545" s="15" t="n">
        <f aca="false">Q545-$G$2+$I$2</f>
        <v>22950.3457455574</v>
      </c>
      <c r="S545" s="42" t="n">
        <f aca="false">R545/$K$2</f>
        <v>176.324106834337</v>
      </c>
      <c r="T545" s="43" t="n">
        <f aca="false">S545-$M$2</f>
        <v>-0.304657763081252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0.0302734375</v>
      </c>
      <c r="C546" s="25" t="n">
        <f aca="false">IF(T545&gt;0,D545,C545)</f>
        <v>0.033203125</v>
      </c>
      <c r="D546" s="41" t="n">
        <f aca="false">(B546+C546)/2</f>
        <v>0.03173828125</v>
      </c>
      <c r="E546" s="15" t="n">
        <f aca="false">$C$2*(1+IF(E$3&lt;=$O$2,$D546,$D546-($D546-$I$535)*MIN(E$3-$O$2,$Q$2)/$Q$2))</f>
        <v>3239.658203125</v>
      </c>
      <c r="F546" s="15" t="n">
        <f aca="false">E546*(1+IF(F$3&lt;=$O$2,$D546,$D546-($D546-$I$535)*MIN(F$3-$O$2,$Q$2)/$Q$2))</f>
        <v>3342.47938632965</v>
      </c>
      <c r="G546" s="15" t="n">
        <f aca="false">F546*(1+IF(G$3&lt;=$O$2,$D546,$D546-($D546-$I$535)*MIN(G$3-$O$2,$Q$2)/$Q$2))</f>
        <v>3448.56393716531</v>
      </c>
      <c r="H546" s="15" t="n">
        <f aca="false">G546*(1+IF(H$3&lt;=$O$2,$D546,$D546-($D546-$I$535)*MIN(H$3-$O$2,$Q$2)/$Q$2))</f>
        <v>3558.01542931167</v>
      </c>
      <c r="I546" s="15" t="n">
        <f aca="false">H546*(1+IF(I$3&lt;=$O$2,$D546,$D546-($D546-$I$535)*MIN(I$3-$O$2,$Q$2)/$Q$2))</f>
        <v>3670.940723699</v>
      </c>
      <c r="J546" s="15" t="n">
        <f aca="false">I546*(1+IF(J$3&lt;=$O$2,$D546,$D546-($D546-$I$535)*MIN(J$3-$O$2,$Q$2)/$Q$2))</f>
        <v>3788.59666823151</v>
      </c>
      <c r="K546" s="15" t="n">
        <f aca="false">J546*(1+IF(K$3&lt;=$O$2,$D546,$D546-($D546-$I$535)*MIN(K$3-$O$2,$Q$2)/$Q$2))</f>
        <v>3911.20690381184</v>
      </c>
      <c r="L546" s="15" t="n">
        <f aca="false">K546*(1+IF(L$3&lt;=$O$2,$D546,$D546-($D546-$I$535)*MIN(L$3-$O$2,$Q$2)/$Q$2))</f>
        <v>4039.00681164605</v>
      </c>
      <c r="M546" s="15" t="n">
        <f aca="false">L546*(1+IF(M$3&lt;=$O$2,$D546,$D546-($D546-$I$535)*MIN(M$3-$O$2,$Q$2)/$Q$2))</f>
        <v>4172.24417994004</v>
      </c>
      <c r="N546" s="15" t="n">
        <f aca="false">M546*(1+IF(N$3&lt;=$O$2,$D546,$D546-($D546-$I$535)*MIN(N$3-$O$2,$Q$2)/$Q$2))</f>
        <v>4311.17991113204</v>
      </c>
      <c r="O546" s="15" t="n">
        <f aca="false">SUMPRODUCT(E546:N546,1/(1+$F$535)^$E$3:$N$3)*$E$2</f>
        <v>10847.0310160224</v>
      </c>
      <c r="P546" s="15" t="n">
        <f aca="false">N546*$E$2*(1+$I$535)/($F$535-$I$535)/(1+$F$535)^$N$3</f>
        <v>16402.4114669593</v>
      </c>
      <c r="Q546" s="15" t="n">
        <f aca="false">O546+P546</f>
        <v>27249.4424829817</v>
      </c>
      <c r="R546" s="15" t="n">
        <f aca="false">Q546-$G$2+$I$2</f>
        <v>23181.6424829817</v>
      </c>
      <c r="S546" s="42" t="n">
        <f aca="false">R546/$K$2</f>
        <v>178.101125407051</v>
      </c>
      <c r="T546" s="43" t="n">
        <f aca="false">S546-$M$2</f>
        <v>1.47236080963197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0.0302734375</v>
      </c>
      <c r="C547" s="25" t="n">
        <f aca="false">IF(T546&gt;0,D546,C546)</f>
        <v>0.03173828125</v>
      </c>
      <c r="D547" s="41" t="n">
        <f aca="false">(B547+C547)/2</f>
        <v>0.031005859375</v>
      </c>
      <c r="E547" s="15" t="n">
        <f aca="false">$C$2*(1+IF(E$3&lt;=$O$2,$D547,$D547-($D547-$I$535)*MIN(E$3-$O$2,$Q$2)/$Q$2))</f>
        <v>3237.3583984375</v>
      </c>
      <c r="F547" s="15" t="n">
        <f aca="false">E547*(1+IF(F$3&lt;=$O$2,$D547,$D547-($D547-$I$535)*MIN(F$3-$O$2,$Q$2)/$Q$2))</f>
        <v>3337.73547768593</v>
      </c>
      <c r="G547" s="15" t="n">
        <f aca="false">F547*(1+IF(G$3&lt;=$O$2,$D547,$D547-($D547-$I$535)*MIN(G$3-$O$2,$Q$2)/$Q$2))</f>
        <v>3441.22483453801</v>
      </c>
      <c r="H547" s="15" t="n">
        <f aca="false">G547*(1+IF(H$3&lt;=$O$2,$D547,$D547-($D547-$I$535)*MIN(H$3-$O$2,$Q$2)/$Q$2))</f>
        <v>3547.92296783545</v>
      </c>
      <c r="I547" s="15" t="n">
        <f aca="false">H547*(1+IF(I$3&lt;=$O$2,$D547,$D547-($D547-$I$535)*MIN(I$3-$O$2,$Q$2)/$Q$2))</f>
        <v>3657.92936844949</v>
      </c>
      <c r="J547" s="15" t="n">
        <f aca="false">I547*(1+IF(J$3&lt;=$O$2,$D547,$D547-($D547-$I$535)*MIN(J$3-$O$2,$Q$2)/$Q$2))</f>
        <v>3773.02497292482</v>
      </c>
      <c r="K547" s="15" t="n">
        <f aca="false">J547*(1+IF(K$3&lt;=$O$2,$D547,$D547-($D547-$I$535)*MIN(K$3-$O$2,$Q$2)/$Q$2))</f>
        <v>3893.4731946015</v>
      </c>
      <c r="L547" s="15" t="n">
        <f aca="false">K547*(1+IF(L$3&lt;=$O$2,$D547,$D547-($D547-$I$535)*MIN(L$3-$O$2,$Q$2)/$Q$2))</f>
        <v>4019.5529819705</v>
      </c>
      <c r="M547" s="15" t="n">
        <f aca="false">L547*(1+IF(M$3&lt;=$O$2,$D547,$D547-($D547-$I$535)*MIN(M$3-$O$2,$Q$2)/$Q$2))</f>
        <v>4151.55981231206</v>
      </c>
      <c r="N547" s="15" t="n">
        <f aca="false">M547*(1+IF(N$3&lt;=$O$2,$D547,$D547-($D547-$I$535)*MIN(N$3-$O$2,$Q$2)/$Q$2))</f>
        <v>4289.80675406206</v>
      </c>
      <c r="O547" s="15" t="n">
        <f aca="false">SUMPRODUCT(E547:N547,1/(1+$F$535)^$E$3:$N$3)*$E$2</f>
        <v>10812.4674423707</v>
      </c>
      <c r="P547" s="15" t="n">
        <f aca="false">N547*$E$2*(1+$I$535)/($F$535-$I$535)/(1+$F$535)^$N$3</f>
        <v>16321.0946757707</v>
      </c>
      <c r="Q547" s="15" t="n">
        <f aca="false">O547+P547</f>
        <v>27133.5621181414</v>
      </c>
      <c r="R547" s="15" t="n">
        <f aca="false">Q547-$G$2+$I$2</f>
        <v>23065.7621181414</v>
      </c>
      <c r="S547" s="42" t="n">
        <f aca="false">R547/$K$2</f>
        <v>177.210833728806</v>
      </c>
      <c r="T547" s="43" t="n">
        <f aca="false">S547-$M$2</f>
        <v>0.582069131387243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0.0302734375</v>
      </c>
      <c r="C548" s="25" t="n">
        <f aca="false">IF(T547&gt;0,D547,C547)</f>
        <v>0.031005859375</v>
      </c>
      <c r="D548" s="41" t="n">
        <f aca="false">(B548+C548)/2</f>
        <v>0.0306396484375</v>
      </c>
      <c r="E548" s="15" t="n">
        <f aca="false">$C$2*(1+IF(E$3&lt;=$O$2,$D548,$D548-($D548-$I$535)*MIN(E$3-$O$2,$Q$2)/$Q$2))</f>
        <v>3236.20849609375</v>
      </c>
      <c r="F548" s="15" t="n">
        <f aca="false">E548*(1+IF(F$3&lt;=$O$2,$D548,$D548-($D548-$I$535)*MIN(F$3-$O$2,$Q$2)/$Q$2))</f>
        <v>3335.36478668451</v>
      </c>
      <c r="G548" s="15" t="n">
        <f aca="false">F548*(1+IF(G$3&lt;=$O$2,$D548,$D548-($D548-$I$535)*MIN(G$3-$O$2,$Q$2)/$Q$2))</f>
        <v>3437.55919115934</v>
      </c>
      <c r="H548" s="15" t="n">
        <f aca="false">G548*(1+IF(H$3&lt;=$O$2,$D548,$D548-($D548-$I$535)*MIN(H$3-$O$2,$Q$2)/$Q$2))</f>
        <v>3542.88479625956</v>
      </c>
      <c r="I548" s="15" t="n">
        <f aca="false">H548*(1+IF(I$3&lt;=$O$2,$D548,$D548-($D548-$I$535)*MIN(I$3-$O$2,$Q$2)/$Q$2))</f>
        <v>3651.43754087152</v>
      </c>
      <c r="J548" s="15" t="n">
        <f aca="false">I548*(1+IF(J$3&lt;=$O$2,$D548,$D548-($D548-$I$535)*MIN(J$3-$O$2,$Q$2)/$Q$2))</f>
        <v>3765.25912492876</v>
      </c>
      <c r="K548" s="15" t="n">
        <f aca="false">J548*(1+IF(K$3&lt;=$O$2,$D548,$D548-($D548-$I$535)*MIN(K$3-$O$2,$Q$2)/$Q$2))</f>
        <v>3884.63210599115</v>
      </c>
      <c r="L548" s="15" t="n">
        <f aca="false">K548*(1+IF(L$3&lt;=$O$2,$D548,$D548-($D548-$I$535)*MIN(L$3-$O$2,$Q$2)/$Q$2))</f>
        <v>4009.85656028349</v>
      </c>
      <c r="M548" s="15" t="n">
        <f aca="false">L548*(1+IF(M$3&lt;=$O$2,$D548,$D548-($D548-$I$535)*MIN(M$3-$O$2,$Q$2)/$Q$2))</f>
        <v>4141.25125810783</v>
      </c>
      <c r="N548" s="15" t="n">
        <f aca="false">M548*(1+IF(N$3&lt;=$O$2,$D548,$D548-($D548-$I$535)*MIN(N$3-$O$2,$Q$2)/$Q$2))</f>
        <v>4279.15492500282</v>
      </c>
      <c r="O548" s="15" t="n">
        <f aca="false">SUMPRODUCT(E548:N548,1/(1+$F$535)^$E$3:$N$3)*$E$2</f>
        <v>10795.2275471831</v>
      </c>
      <c r="P548" s="15" t="n">
        <f aca="false">N548*$E$2*(1+$I$535)/($F$535-$I$535)/(1+$F$535)^$N$3</f>
        <v>16280.5684888087</v>
      </c>
      <c r="Q548" s="15" t="n">
        <f aca="false">O548+P548</f>
        <v>27075.7960359918</v>
      </c>
      <c r="R548" s="15" t="n">
        <f aca="false">Q548-$G$2+$I$2</f>
        <v>23007.9960359918</v>
      </c>
      <c r="S548" s="42" t="n">
        <f aca="false">R548/$K$2</f>
        <v>176.767025476274</v>
      </c>
      <c r="T548" s="43" t="n">
        <f aca="false">S548-$M$2</f>
        <v>0.138260878855277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0.0302734375</v>
      </c>
      <c r="C549" s="25" t="n">
        <f aca="false">IF(T548&gt;0,D548,C548)</f>
        <v>0.0306396484375</v>
      </c>
      <c r="D549" s="41" t="n">
        <f aca="false">(B549+C549)/2</f>
        <v>0.03045654296875</v>
      </c>
      <c r="E549" s="15" t="n">
        <f aca="false">$C$2*(1+IF(E$3&lt;=$O$2,$D549,$D549-($D549-$I$535)*MIN(E$3-$O$2,$Q$2)/$Q$2))</f>
        <v>3235.63354492188</v>
      </c>
      <c r="F549" s="15" t="n">
        <f aca="false">E549*(1+IF(F$3&lt;=$O$2,$D549,$D549-($D549-$I$535)*MIN(F$3-$O$2,$Q$2)/$Q$2))</f>
        <v>3334.17975701392</v>
      </c>
      <c r="G549" s="15" t="n">
        <f aca="false">F549*(1+IF(G$3&lt;=$O$2,$D549,$D549-($D549-$I$535)*MIN(G$3-$O$2,$Q$2)/$Q$2))</f>
        <v>3435.72734604895</v>
      </c>
      <c r="H549" s="15" t="n">
        <f aca="false">G549*(1+IF(H$3&lt;=$O$2,$D549,$D549-($D549-$I$535)*MIN(H$3-$O$2,$Q$2)/$Q$2))</f>
        <v>3540.3677235928</v>
      </c>
      <c r="I549" s="15" t="n">
        <f aca="false">H549*(1+IF(I$3&lt;=$O$2,$D549,$D549-($D549-$I$535)*MIN(I$3-$O$2,$Q$2)/$Q$2))</f>
        <v>3648.19508529158</v>
      </c>
      <c r="J549" s="15" t="n">
        <f aca="false">I549*(1+IF(J$3&lt;=$O$2,$D549,$D549-($D549-$I$535)*MIN(J$3-$O$2,$Q$2)/$Q$2))</f>
        <v>3761.38119285847</v>
      </c>
      <c r="K549" s="15" t="n">
        <f aca="false">J549*(1+IF(K$3&lt;=$O$2,$D549,$D549-($D549-$I$535)*MIN(K$3-$O$2,$Q$2)/$Q$2))</f>
        <v>3880.21799110063</v>
      </c>
      <c r="L549" s="15" t="n">
        <f aca="false">K549*(1+IF(L$3&lt;=$O$2,$D549,$D549-($D549-$I$535)*MIN(L$3-$O$2,$Q$2)/$Q$2))</f>
        <v>4005.01595695245</v>
      </c>
      <c r="M549" s="15" t="n">
        <f aca="false">L549*(1+IF(M$3&lt;=$O$2,$D549,$D549-($D549-$I$535)*MIN(M$3-$O$2,$Q$2)/$Q$2))</f>
        <v>4136.10537016235</v>
      </c>
      <c r="N549" s="15" t="n">
        <f aca="false">M549*(1+IF(N$3&lt;=$O$2,$D549,$D549-($D549-$I$535)*MIN(N$3-$O$2,$Q$2)/$Q$2))</f>
        <v>4273.83767898876</v>
      </c>
      <c r="O549" s="15" t="n">
        <f aca="false">SUMPRODUCT(E549:N549,1/(1+$F$535)^$E$3:$N$3)*$E$2</f>
        <v>10786.6180539341</v>
      </c>
      <c r="P549" s="15" t="n">
        <f aca="false">N549*$E$2*(1+$I$535)/($F$535-$I$535)/(1+$F$535)^$N$3</f>
        <v>16260.3383757558</v>
      </c>
      <c r="Q549" s="15" t="n">
        <f aca="false">O549+P549</f>
        <v>27046.95642969</v>
      </c>
      <c r="R549" s="15" t="n">
        <f aca="false">Q549-$G$2+$I$2</f>
        <v>22979.15642969</v>
      </c>
      <c r="S549" s="42" t="n">
        <f aca="false">R549/$K$2</f>
        <v>176.545455052935</v>
      </c>
      <c r="T549" s="43" t="n">
        <f aca="false">S549-$M$2</f>
        <v>-0.0833095444841092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0.03045654296875</v>
      </c>
      <c r="C550" s="25" t="n">
        <f aca="false">IF(T549&gt;0,D549,C549)</f>
        <v>0.0306396484375</v>
      </c>
      <c r="D550" s="41" t="n">
        <f aca="false">(B550+C550)/2</f>
        <v>0.030548095703125</v>
      </c>
      <c r="E550" s="15" t="n">
        <f aca="false">$C$2*(1+IF(E$3&lt;=$O$2,$D550,$D550-($D550-$I$535)*MIN(E$3-$O$2,$Q$2)/$Q$2))</f>
        <v>3235.92102050781</v>
      </c>
      <c r="F550" s="15" t="n">
        <f aca="false">E550*(1+IF(F$3&lt;=$O$2,$D550,$D550-($D550-$I$535)*MIN(F$3-$O$2,$Q$2)/$Q$2))</f>
        <v>3334.77224553004</v>
      </c>
      <c r="G550" s="15" t="n">
        <f aca="false">F550*(1+IF(G$3&lt;=$O$2,$D550,$D550-($D550-$I$535)*MIN(G$3-$O$2,$Q$2)/$Q$2))</f>
        <v>3436.64318723462</v>
      </c>
      <c r="H550" s="15" t="n">
        <f aca="false">G550*(1+IF(H$3&lt;=$O$2,$D550,$D550-($D550-$I$535)*MIN(H$3-$O$2,$Q$2)/$Q$2))</f>
        <v>3541.62609221575</v>
      </c>
      <c r="I550" s="15" t="n">
        <f aca="false">H550*(1+IF(I$3&lt;=$O$2,$D550,$D550-($D550-$I$535)*MIN(I$3-$O$2,$Q$2)/$Q$2))</f>
        <v>3649.81602502544</v>
      </c>
      <c r="J550" s="15" t="n">
        <f aca="false">I550*(1+IF(J$3&lt;=$O$2,$D550,$D550-($D550-$I$535)*MIN(J$3-$O$2,$Q$2)/$Q$2))</f>
        <v>3763.31974313713</v>
      </c>
      <c r="K550" s="15" t="n">
        <f aca="false">J550*(1+IF(K$3&lt;=$O$2,$D550,$D550-($D550-$I$535)*MIN(K$3-$O$2,$Q$2)/$Q$2))</f>
        <v>3882.42451312061</v>
      </c>
      <c r="L550" s="15" t="n">
        <f aca="false">K550*(1+IF(L$3&lt;=$O$2,$D550,$D550-($D550-$I$535)*MIN(L$3-$O$2,$Q$2)/$Q$2))</f>
        <v>4007.43562512754</v>
      </c>
      <c r="M550" s="15" t="n">
        <f aca="false">L550*(1+IF(M$3&lt;=$O$2,$D550,$D550-($D550-$I$535)*MIN(M$3-$O$2,$Q$2)/$Q$2))</f>
        <v>4138.67761558104</v>
      </c>
      <c r="N550" s="15" t="n">
        <f aca="false">M550*(1+IF(N$3&lt;=$O$2,$D550,$D550-($D550-$I$535)*MIN(N$3-$O$2,$Q$2)/$Q$2))</f>
        <v>4276.49558017989</v>
      </c>
      <c r="O550" s="15" t="n">
        <f aca="false">SUMPRODUCT(E550:N550,1/(1+$F$535)^$E$3:$N$3)*$E$2</f>
        <v>10790.9219299151</v>
      </c>
      <c r="P550" s="15" t="n">
        <f aca="false">N550*$E$2*(1+$I$535)/($F$535-$I$535)/(1+$F$535)^$N$3</f>
        <v>16270.4506860454</v>
      </c>
      <c r="Q550" s="15" t="n">
        <f aca="false">O550+P550</f>
        <v>27061.3726159605</v>
      </c>
      <c r="R550" s="15" t="n">
        <f aca="false">Q550-$G$2+$I$2</f>
        <v>22993.5726159605</v>
      </c>
      <c r="S550" s="42" t="n">
        <f aca="false">R550/$K$2</f>
        <v>176.656212476648</v>
      </c>
      <c r="T550" s="43" t="n">
        <f aca="false">S550-$M$2</f>
        <v>0.0274478792294417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0.03045654296875</v>
      </c>
      <c r="C551" s="25" t="n">
        <f aca="false">IF(T550&gt;0,D550,C550)</f>
        <v>0.030548095703125</v>
      </c>
      <c r="D551" s="41" t="n">
        <f aca="false">(B551+C551)/2</f>
        <v>0.0305023193359375</v>
      </c>
      <c r="E551" s="15" t="n">
        <f aca="false">$C$2*(1+IF(E$3&lt;=$O$2,$D551,$D551-($D551-$I$535)*MIN(E$3-$O$2,$Q$2)/$Q$2))</f>
        <v>3235.77728271484</v>
      </c>
      <c r="F551" s="15" t="n">
        <f aca="false">E551*(1+IF(F$3&lt;=$O$2,$D551,$D551-($D551-$I$535)*MIN(F$3-$O$2,$Q$2)/$Q$2))</f>
        <v>3334.47599469218</v>
      </c>
      <c r="G551" s="15" t="n">
        <f aca="false">F551*(1+IF(G$3&lt;=$O$2,$D551,$D551-($D551-$I$535)*MIN(G$3-$O$2,$Q$2)/$Q$2))</f>
        <v>3436.1852463003</v>
      </c>
      <c r="H551" s="15" t="n">
        <f aca="false">G551*(1+IF(H$3&lt;=$O$2,$D551,$D551-($D551-$I$535)*MIN(H$3-$O$2,$Q$2)/$Q$2))</f>
        <v>3540.99686598039</v>
      </c>
      <c r="I551" s="15" t="n">
        <f aca="false">H551*(1+IF(I$3&lt;=$O$2,$D551,$D551-($D551-$I$535)*MIN(I$3-$O$2,$Q$2)/$Q$2))</f>
        <v>3649.00548315408</v>
      </c>
      <c r="J551" s="15" t="n">
        <f aca="false">I551*(1+IF(J$3&lt;=$O$2,$D551,$D551-($D551-$I$535)*MIN(J$3-$O$2,$Q$2)/$Q$2))</f>
        <v>3762.35036407649</v>
      </c>
      <c r="K551" s="15" t="n">
        <f aca="false">J551*(1+IF(K$3&lt;=$O$2,$D551,$D551-($D551-$I$535)*MIN(K$3-$O$2,$Q$2)/$Q$2))</f>
        <v>3881.32111828123</v>
      </c>
      <c r="L551" s="15" t="n">
        <f aca="false">K551*(1+IF(L$3&lt;=$O$2,$D551,$D551-($D551-$I$535)*MIN(L$3-$O$2,$Q$2)/$Q$2))</f>
        <v>4006.22563270254</v>
      </c>
      <c r="M551" s="15" t="n">
        <f aca="false">L551*(1+IF(M$3&lt;=$O$2,$D551,$D551-($D551-$I$535)*MIN(M$3-$O$2,$Q$2)/$Q$2))</f>
        <v>4137.39131827384</v>
      </c>
      <c r="N551" s="15" t="n">
        <f aca="false">M551*(1+IF(N$3&lt;=$O$2,$D551,$D551-($D551-$I$535)*MIN(N$3-$O$2,$Q$2)/$Q$2))</f>
        <v>4275.16644917236</v>
      </c>
      <c r="O551" s="15" t="n">
        <f aca="false">SUMPRODUCT(E551:N551,1/(1+$F$535)^$E$3:$N$3)*$E$2</f>
        <v>10788.7697743051</v>
      </c>
      <c r="P551" s="15" t="n">
        <f aca="false">N551*$E$2*(1+$I$535)/($F$535-$I$535)/(1+$F$535)^$N$3</f>
        <v>16265.3938445012</v>
      </c>
      <c r="Q551" s="15" t="n">
        <f aca="false">O551+P551</f>
        <v>27054.1636188063</v>
      </c>
      <c r="R551" s="15" t="n">
        <f aca="false">Q551-$G$2+$I$2</f>
        <v>22986.3636188063</v>
      </c>
      <c r="S551" s="42" t="n">
        <f aca="false">R551/$K$2</f>
        <v>176.600826819348</v>
      </c>
      <c r="T551" s="43" t="n">
        <f aca="false">S551-$M$2</f>
        <v>-0.027937778070509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0.0305023193359375</v>
      </c>
      <c r="C552" s="25" t="n">
        <f aca="false">IF(T551&gt;0,D551,C551)</f>
        <v>0.030548095703125</v>
      </c>
      <c r="D552" s="41" t="n">
        <f aca="false">(B552+C552)/2</f>
        <v>0.0305252075195313</v>
      </c>
      <c r="E552" s="15" t="n">
        <f aca="false">$C$2*(1+IF(E$3&lt;=$O$2,$D552,$D552-($D552-$I$535)*MIN(E$3-$O$2,$Q$2)/$Q$2))</f>
        <v>3235.84915161133</v>
      </c>
      <c r="F552" s="15" t="n">
        <f aca="false">E552*(1+IF(F$3&lt;=$O$2,$D552,$D552-($D552-$I$535)*MIN(F$3-$O$2,$Q$2)/$Q$2))</f>
        <v>3334.62411846616</v>
      </c>
      <c r="G552" s="15" t="n">
        <f aca="false">F552*(1+IF(G$3&lt;=$O$2,$D552,$D552-($D552-$I$535)*MIN(G$3-$O$2,$Q$2)/$Q$2))</f>
        <v>3436.41421168198</v>
      </c>
      <c r="H552" s="15" t="n">
        <f aca="false">G552*(1+IF(H$3&lt;=$O$2,$D552,$D552-($D552-$I$535)*MIN(H$3-$O$2,$Q$2)/$Q$2))</f>
        <v>3541.31146861664</v>
      </c>
      <c r="I552" s="15" t="n">
        <f aca="false">H552*(1+IF(I$3&lt;=$O$2,$D552,$D552-($D552-$I$535)*MIN(I$3-$O$2,$Q$2)/$Q$2))</f>
        <v>3649.41073608745</v>
      </c>
      <c r="J552" s="15" t="n">
        <f aca="false">I552*(1+IF(J$3&lt;=$O$2,$D552,$D552-($D552-$I$535)*MIN(J$3-$O$2,$Q$2)/$Q$2))</f>
        <v>3762.83502762426</v>
      </c>
      <c r="K552" s="15" t="n">
        <f aca="false">J552*(1+IF(K$3&lt;=$O$2,$D552,$D552-($D552-$I$535)*MIN(K$3-$O$2,$Q$2)/$Q$2))</f>
        <v>3881.87278224021</v>
      </c>
      <c r="L552" s="15" t="n">
        <f aca="false">K552*(1+IF(L$3&lt;=$O$2,$D552,$D552-($D552-$I$535)*MIN(L$3-$O$2,$Q$2)/$Q$2))</f>
        <v>4006.83058932629</v>
      </c>
      <c r="M552" s="15" t="n">
        <f aca="false">L552*(1+IF(M$3&lt;=$O$2,$D552,$D552-($D552-$I$535)*MIN(M$3-$O$2,$Q$2)/$Q$2))</f>
        <v>4138.0344232729</v>
      </c>
      <c r="N552" s="15" t="n">
        <f aca="false">M552*(1+IF(N$3&lt;=$O$2,$D552,$D552-($D552-$I$535)*MIN(N$3-$O$2,$Q$2)/$Q$2))</f>
        <v>4275.83096956789</v>
      </c>
      <c r="O552" s="15" t="n">
        <f aca="false">SUMPRODUCT(E552:N552,1/(1+$F$535)^$E$3:$N$3)*$E$2</f>
        <v>10789.8457977001</v>
      </c>
      <c r="P552" s="15" t="n">
        <f aca="false">N552*$E$2*(1+$I$535)/($F$535-$I$535)/(1+$F$535)^$N$3</f>
        <v>16267.9220936535</v>
      </c>
      <c r="Q552" s="15" t="n">
        <f aca="false">O552+P552</f>
        <v>27057.7678913536</v>
      </c>
      <c r="R552" s="15" t="n">
        <f aca="false">Q552-$G$2+$I$2</f>
        <v>22989.9678913536</v>
      </c>
      <c r="S552" s="42" t="n">
        <f aca="false">R552/$K$2</f>
        <v>176.628517911444</v>
      </c>
      <c r="T552" s="43" t="n">
        <f aca="false">S552-$M$2</f>
        <v>-0.000246685974502725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0.0305252075195313</v>
      </c>
      <c r="C553" s="25" t="n">
        <f aca="false">IF(T552&gt;0,D552,C552)</f>
        <v>0.030548095703125</v>
      </c>
      <c r="D553" s="41" t="n">
        <f aca="false">(B553+C553)/2</f>
        <v>0.0305366516113281</v>
      </c>
      <c r="E553" s="15" t="n">
        <f aca="false">$C$2*(1+IF(E$3&lt;=$O$2,$D553,$D553-($D553-$I$535)*MIN(E$3-$O$2,$Q$2)/$Q$2))</f>
        <v>3235.88508605957</v>
      </c>
      <c r="F553" s="15" t="n">
        <f aca="false">E553*(1+IF(F$3&lt;=$O$2,$D553,$D553-($D553-$I$535)*MIN(F$3-$O$2,$Q$2)/$Q$2))</f>
        <v>3334.69818158686</v>
      </c>
      <c r="G553" s="15" t="n">
        <f aca="false">F553*(1+IF(G$3&lt;=$O$2,$D553,$D553-($D553-$I$535)*MIN(G$3-$O$2,$Q$2)/$Q$2))</f>
        <v>3436.52869818691</v>
      </c>
      <c r="H553" s="15" t="n">
        <f aca="false">G553*(1+IF(H$3&lt;=$O$2,$D553,$D553-($D553-$I$535)*MIN(H$3-$O$2,$Q$2)/$Q$2))</f>
        <v>3541.46877779578</v>
      </c>
      <c r="I553" s="15" t="n">
        <f aca="false">H553*(1+IF(I$3&lt;=$O$2,$D553,$D553-($D553-$I$535)*MIN(I$3-$O$2,$Q$2)/$Q$2))</f>
        <v>3649.61337605572</v>
      </c>
      <c r="J553" s="15" t="n">
        <f aca="false">I553*(1+IF(J$3&lt;=$O$2,$D553,$D553-($D553-$I$535)*MIN(J$3-$O$2,$Q$2)/$Q$2))</f>
        <v>3763.07737888478</v>
      </c>
      <c r="K553" s="15" t="n">
        <f aca="false">J553*(1+IF(K$3&lt;=$O$2,$D553,$D553-($D553-$I$535)*MIN(K$3-$O$2,$Q$2)/$Q$2))</f>
        <v>3882.14863931481</v>
      </c>
      <c r="L553" s="15" t="n">
        <f aca="false">K553*(1+IF(L$3&lt;=$O$2,$D553,$D553-($D553-$I$535)*MIN(L$3-$O$2,$Q$2)/$Q$2))</f>
        <v>4007.13309732918</v>
      </c>
      <c r="M553" s="15" t="n">
        <f aca="false">L553*(1+IF(M$3&lt;=$O$2,$D553,$D553-($D553-$I$535)*MIN(M$3-$O$2,$Q$2)/$Q$2))</f>
        <v>4138.3560085127</v>
      </c>
      <c r="N553" s="15" t="n">
        <f aca="false">M553*(1+IF(N$3&lt;=$O$2,$D553,$D553-($D553-$I$535)*MIN(N$3-$O$2,$Q$2)/$Q$2))</f>
        <v>4276.16326359617</v>
      </c>
      <c r="O553" s="15" t="n">
        <f aca="false">SUMPRODUCT(E553:N553,1/(1+$F$535)^$E$3:$N$3)*$E$2</f>
        <v>10790.3838502045</v>
      </c>
      <c r="P553" s="15" t="n">
        <f aca="false">N553*$E$2*(1+$I$535)/($F$535-$I$535)/(1+$F$535)^$N$3</f>
        <v>16269.186346942</v>
      </c>
      <c r="Q553" s="15" t="n">
        <f aca="false">O553+P553</f>
        <v>27059.5701971464</v>
      </c>
      <c r="R553" s="15" t="n">
        <f aca="false">Q553-$G$2+$I$2</f>
        <v>22991.7701971464</v>
      </c>
      <c r="S553" s="42" t="n">
        <f aca="false">R553/$K$2</f>
        <v>176.642364759883</v>
      </c>
      <c r="T553" s="43" t="n">
        <f aca="false">S553-$M$2</f>
        <v>0.0136001624647975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0.0305252075195313</v>
      </c>
      <c r="C554" s="25" t="n">
        <f aca="false">IF(T553&gt;0,D553,C553)</f>
        <v>0.0305366516113281</v>
      </c>
      <c r="D554" s="41" t="n">
        <f aca="false">(B554+C554)/2</f>
        <v>0.0305309295654297</v>
      </c>
      <c r="E554" s="15" t="n">
        <f aca="false">$C$2*(1+IF(E$3&lt;=$O$2,$D554,$D554-($D554-$I$535)*MIN(E$3-$O$2,$Q$2)/$Q$2))</f>
        <v>3235.86711883545</v>
      </c>
      <c r="F554" s="15" t="n">
        <f aca="false">E554*(1+IF(F$3&lt;=$O$2,$D554,$D554-($D554-$I$535)*MIN(F$3-$O$2,$Q$2)/$Q$2))</f>
        <v>3334.6611499237</v>
      </c>
      <c r="G554" s="15" t="n">
        <f aca="false">F554*(1+IF(G$3&lt;=$O$2,$D554,$D554-($D554-$I$535)*MIN(G$3-$O$2,$Q$2)/$Q$2))</f>
        <v>3436.4714546166</v>
      </c>
      <c r="H554" s="15" t="n">
        <f aca="false">G554*(1+IF(H$3&lt;=$O$2,$D554,$D554-($D554-$I$535)*MIN(H$3-$O$2,$Q$2)/$Q$2))</f>
        <v>3541.39012255111</v>
      </c>
      <c r="I554" s="15" t="n">
        <f aca="false">H554*(1+IF(I$3&lt;=$O$2,$D554,$D554-($D554-$I$535)*MIN(I$3-$O$2,$Q$2)/$Q$2))</f>
        <v>3649.51205494643</v>
      </c>
      <c r="J554" s="15" t="n">
        <f aca="false">I554*(1+IF(J$3&lt;=$O$2,$D554,$D554-($D554-$I$535)*MIN(J$3-$O$2,$Q$2)/$Q$2))</f>
        <v>3762.95620163057</v>
      </c>
      <c r="K554" s="15" t="n">
        <f aca="false">J554*(1+IF(K$3&lt;=$O$2,$D554,$D554-($D554-$I$535)*MIN(K$3-$O$2,$Q$2)/$Q$2))</f>
        <v>3882.01070868616</v>
      </c>
      <c r="L554" s="15" t="n">
        <f aca="false">K554*(1+IF(L$3&lt;=$O$2,$D554,$D554-($D554-$I$535)*MIN(L$3-$O$2,$Q$2)/$Q$2))</f>
        <v>4006.98184085337</v>
      </c>
      <c r="M554" s="15" t="n">
        <f aca="false">L554*(1+IF(M$3&lt;=$O$2,$D554,$D554-($D554-$I$535)*MIN(M$3-$O$2,$Q$2)/$Q$2))</f>
        <v>4138.19521316431</v>
      </c>
      <c r="N554" s="15" t="n">
        <f aca="false">M554*(1+IF(N$3&lt;=$O$2,$D554,$D554-($D554-$I$535)*MIN(N$3-$O$2,$Q$2)/$Q$2))</f>
        <v>4275.99711376268</v>
      </c>
      <c r="O554" s="15" t="n">
        <f aca="false">SUMPRODUCT(E554:N554,1/(1+$F$535)^$E$3:$N$3)*$E$2</f>
        <v>10790.1148205516</v>
      </c>
      <c r="P554" s="15" t="n">
        <f aca="false">N554*$E$2*(1+$I$535)/($F$535-$I$535)/(1+$F$535)^$N$3</f>
        <v>16268.5542095712</v>
      </c>
      <c r="Q554" s="15" t="n">
        <f aca="false">O554+P554</f>
        <v>27058.6690301227</v>
      </c>
      <c r="R554" s="15" t="n">
        <f aca="false">Q554-$G$2+$I$2</f>
        <v>22990.8690301227</v>
      </c>
      <c r="S554" s="42" t="n">
        <f aca="false">R554/$K$2</f>
        <v>176.635441227126</v>
      </c>
      <c r="T554" s="43" t="n">
        <f aca="false">S554-$M$2</f>
        <v>0.00667662970747074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0.0305252075195313</v>
      </c>
      <c r="C555" s="25" t="n">
        <f aca="false">IF(T554&gt;0,D554,C554)</f>
        <v>0.0305309295654297</v>
      </c>
      <c r="D555" s="41" t="n">
        <f aca="false">(B555+C555)/2</f>
        <v>0.0305280685424805</v>
      </c>
      <c r="E555" s="15" t="n">
        <f aca="false">$C$2*(1+IF(E$3&lt;=$O$2,$D555,$D555-($D555-$I$535)*MIN(E$3-$O$2,$Q$2)/$Q$2))</f>
        <v>3235.85813522339</v>
      </c>
      <c r="F555" s="15" t="n">
        <f aca="false">E555*(1+IF(F$3&lt;=$O$2,$D555,$D555-($D555-$I$535)*MIN(F$3-$O$2,$Q$2)/$Q$2))</f>
        <v>3334.64263416923</v>
      </c>
      <c r="G555" s="15" t="n">
        <f aca="false">F555*(1+IF(G$3&lt;=$O$2,$D555,$D555-($D555-$I$535)*MIN(G$3-$O$2,$Q$2)/$Q$2))</f>
        <v>3436.44283306983</v>
      </c>
      <c r="H555" s="15" t="n">
        <f aca="false">G555*(1+IF(H$3&lt;=$O$2,$D555,$D555-($D555-$I$535)*MIN(H$3-$O$2,$Q$2)/$Q$2))</f>
        <v>3541.3507954201</v>
      </c>
      <c r="I555" s="15" t="n">
        <f aca="false">H555*(1+IF(I$3&lt;=$O$2,$D555,$D555-($D555-$I$535)*MIN(I$3-$O$2,$Q$2)/$Q$2))</f>
        <v>3649.46139523565</v>
      </c>
      <c r="J555" s="15" t="n">
        <f aca="false">I555*(1+IF(J$3&lt;=$O$2,$D555,$D555-($D555-$I$535)*MIN(J$3-$O$2,$Q$2)/$Q$2))</f>
        <v>3762.89561422143</v>
      </c>
      <c r="K555" s="15" t="n">
        <f aca="false">J555*(1+IF(K$3&lt;=$O$2,$D555,$D555-($D555-$I$535)*MIN(K$3-$O$2,$Q$2)/$Q$2))</f>
        <v>3881.94174494035</v>
      </c>
      <c r="L555" s="15" t="n">
        <f aca="false">K555*(1+IF(L$3&lt;=$O$2,$D555,$D555-($D555-$I$535)*MIN(L$3-$O$2,$Q$2)/$Q$2))</f>
        <v>4006.90621447124</v>
      </c>
      <c r="M555" s="15" t="n">
        <f aca="false">L555*(1+IF(M$3&lt;=$O$2,$D555,$D555-($D555-$I$535)*MIN(M$3-$O$2,$Q$2)/$Q$2))</f>
        <v>4138.11481753649</v>
      </c>
      <c r="N555" s="15" t="n">
        <f aca="false">M555*(1+IF(N$3&lt;=$O$2,$D555,$D555-($D555-$I$535)*MIN(N$3-$O$2,$Q$2)/$Q$2))</f>
        <v>4275.91404096046</v>
      </c>
      <c r="O555" s="15" t="n">
        <f aca="false">SUMPRODUCT(E555:N555,1/(1+$F$535)^$E$3:$N$3)*$E$2</f>
        <v>10789.9803082757</v>
      </c>
      <c r="P555" s="15" t="n">
        <f aca="false">N555*$E$2*(1+$I$535)/($F$535-$I$535)/(1+$F$535)^$N$3</f>
        <v>16268.2381489307</v>
      </c>
      <c r="Q555" s="15" t="n">
        <f aca="false">O555+P555</f>
        <v>27058.2184572064</v>
      </c>
      <c r="R555" s="15" t="n">
        <f aca="false">Q555-$G$2+$I$2</f>
        <v>22990.4184572064</v>
      </c>
      <c r="S555" s="42" t="n">
        <f aca="false">R555/$K$2</f>
        <v>176.631979542151</v>
      </c>
      <c r="T555" s="43" t="n">
        <f aca="false">S555-$M$2</f>
        <v>0.00321494473243433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0.0305252075195313</v>
      </c>
      <c r="C556" s="25" t="n">
        <f aca="false">IF(T555&gt;0,D555,C555)</f>
        <v>0.0305280685424805</v>
      </c>
      <c r="D556" s="41" t="n">
        <f aca="false">(B556+C556)/2</f>
        <v>0.0305266380310059</v>
      </c>
      <c r="E556" s="15" t="n">
        <f aca="false">$C$2*(1+IF(E$3&lt;=$O$2,$D556,$D556-($D556-$I$535)*MIN(E$3-$O$2,$Q$2)/$Q$2))</f>
        <v>3235.85364341736</v>
      </c>
      <c r="F556" s="15" t="n">
        <f aca="false">E556*(1+IF(F$3&lt;=$O$2,$D556,$D556-($D556-$I$535)*MIN(F$3-$O$2,$Q$2)/$Q$2))</f>
        <v>3334.63337631127</v>
      </c>
      <c r="G556" s="15" t="n">
        <f aca="false">F556*(1+IF(G$3&lt;=$O$2,$D556,$D556-($D556-$I$535)*MIN(G$3-$O$2,$Q$2)/$Q$2))</f>
        <v>3436.42852235604</v>
      </c>
      <c r="H556" s="15" t="n">
        <f aca="false">G556*(1+IF(H$3&lt;=$O$2,$D556,$D556-($D556-$I$535)*MIN(H$3-$O$2,$Q$2)/$Q$2))</f>
        <v>3541.33113197742</v>
      </c>
      <c r="I556" s="15" t="n">
        <f aca="false">H556*(1+IF(I$3&lt;=$O$2,$D556,$D556-($D556-$I$535)*MIN(I$3-$O$2,$Q$2)/$Q$2))</f>
        <v>3649.43606559123</v>
      </c>
      <c r="J556" s="15" t="n">
        <f aca="false">I556*(1+IF(J$3&lt;=$O$2,$D556,$D556-($D556-$I$535)*MIN(J$3-$O$2,$Q$2)/$Q$2))</f>
        <v>3762.86532082135</v>
      </c>
      <c r="K556" s="15" t="n">
        <f aca="false">J556*(1+IF(K$3&lt;=$O$2,$D556,$D556-($D556-$I$535)*MIN(K$3-$O$2,$Q$2)/$Q$2))</f>
        <v>3881.90726345957</v>
      </c>
      <c r="L556" s="15" t="n">
        <f aca="false">K556*(1+IF(L$3&lt;=$O$2,$D556,$D556-($D556-$I$535)*MIN(L$3-$O$2,$Q$2)/$Q$2))</f>
        <v>4006.86840174412</v>
      </c>
      <c r="M556" s="15" t="n">
        <f aca="false">L556*(1+IF(M$3&lt;=$O$2,$D556,$D556-($D556-$I$535)*MIN(M$3-$O$2,$Q$2)/$Q$2))</f>
        <v>4138.07462023417</v>
      </c>
      <c r="N556" s="15" t="n">
        <f aca="false">M556*(1+IF(N$3&lt;=$O$2,$D556,$D556-($D556-$I$535)*MIN(N$3-$O$2,$Q$2)/$Q$2))</f>
        <v>4275.87250508797</v>
      </c>
      <c r="O556" s="15" t="n">
        <f aca="false">SUMPRODUCT(E556:N556,1/(1+$F$535)^$E$3:$N$3)*$E$2</f>
        <v>10789.9130527753</v>
      </c>
      <c r="P556" s="15" t="n">
        <f aca="false">N556*$E$2*(1+$I$535)/($F$535-$I$535)/(1+$F$535)^$N$3</f>
        <v>16268.0801206217</v>
      </c>
      <c r="Q556" s="15" t="n">
        <f aca="false">O556+P556</f>
        <v>27057.993173397</v>
      </c>
      <c r="R556" s="15" t="n">
        <f aca="false">Q556-$G$2+$I$2</f>
        <v>22990.193173397</v>
      </c>
      <c r="S556" s="42" t="n">
        <f aca="false">R556/$K$2</f>
        <v>176.630248720014</v>
      </c>
      <c r="T556" s="43" t="n">
        <f aca="false">S556-$M$2</f>
        <v>0.00148412259540009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0.0305252075195313</v>
      </c>
      <c r="C557" s="25" t="n">
        <f aca="false">IF(T556&gt;0,D556,C556)</f>
        <v>0.0305266380310059</v>
      </c>
      <c r="D557" s="41" t="n">
        <f aca="false">(B557+C557)/2</f>
        <v>0.0305259227752686</v>
      </c>
      <c r="E557" s="15" t="n">
        <f aca="false">$C$2*(1+IF(E$3&lt;=$O$2,$D557,$D557-($D557-$I$535)*MIN(E$3-$O$2,$Q$2)/$Q$2))</f>
        <v>3235.85139751434</v>
      </c>
      <c r="F557" s="15" t="n">
        <f aca="false">E557*(1+IF(F$3&lt;=$O$2,$D557,$D557-($D557-$I$535)*MIN(F$3-$O$2,$Q$2)/$Q$2))</f>
        <v>3334.62874738711</v>
      </c>
      <c r="G557" s="15" t="n">
        <f aca="false">F557*(1+IF(G$3&lt;=$O$2,$D557,$D557-($D557-$I$535)*MIN(G$3-$O$2,$Q$2)/$Q$2))</f>
        <v>3436.42136701404</v>
      </c>
      <c r="H557" s="15" t="n">
        <f aca="false">G557*(1+IF(H$3&lt;=$O$2,$D557,$D557-($D557-$I$535)*MIN(H$3-$O$2,$Q$2)/$Q$2))</f>
        <v>3541.32130028679</v>
      </c>
      <c r="I557" s="15" t="n">
        <f aca="false">H557*(1+IF(I$3&lt;=$O$2,$D557,$D557-($D557-$I$535)*MIN(I$3-$O$2,$Q$2)/$Q$2))</f>
        <v>3649.42340082176</v>
      </c>
      <c r="J557" s="15" t="n">
        <f aca="false">I557*(1+IF(J$3&lt;=$O$2,$D557,$D557-($D557-$I$535)*MIN(J$3-$O$2,$Q$2)/$Q$2))</f>
        <v>3762.85017419743</v>
      </c>
      <c r="K557" s="15" t="n">
        <f aca="false">J557*(1+IF(K$3&lt;=$O$2,$D557,$D557-($D557-$I$535)*MIN(K$3-$O$2,$Q$2)/$Q$2))</f>
        <v>3881.89002281721</v>
      </c>
      <c r="L557" s="15" t="n">
        <f aca="false">K557*(1+IF(L$3&lt;=$O$2,$D557,$D557-($D557-$I$535)*MIN(L$3-$O$2,$Q$2)/$Q$2))</f>
        <v>4006.84949549654</v>
      </c>
      <c r="M557" s="15" t="n">
        <f aca="false">L557*(1+IF(M$3&lt;=$O$2,$D557,$D557-($D557-$I$535)*MIN(M$3-$O$2,$Q$2)/$Q$2))</f>
        <v>4138.0545217109</v>
      </c>
      <c r="N557" s="15" t="n">
        <f aca="false">M557*(1+IF(N$3&lt;=$O$2,$D557,$D557-($D557-$I$535)*MIN(N$3-$O$2,$Q$2)/$Q$2))</f>
        <v>4275.85173728388</v>
      </c>
      <c r="O557" s="15" t="n">
        <f aca="false">SUMPRODUCT(E557:N557,1/(1+$F$535)^$E$3:$N$3)*$E$2</f>
        <v>10789.8794251846</v>
      </c>
      <c r="P557" s="15" t="n">
        <f aca="false">N557*$E$2*(1+$I$535)/($F$535-$I$535)/(1+$F$535)^$N$3</f>
        <v>16268.00110697</v>
      </c>
      <c r="Q557" s="15" t="n">
        <f aca="false">O557+P557</f>
        <v>27057.8805321546</v>
      </c>
      <c r="R557" s="15" t="n">
        <f aca="false">Q557-$G$2+$I$2</f>
        <v>22990.0805321546</v>
      </c>
      <c r="S557" s="42" t="n">
        <f aca="false">R557/$K$2</f>
        <v>176.629383314033</v>
      </c>
      <c r="T557" s="43" t="n">
        <f aca="false">S557-$M$2</f>
        <v>0.000618716614610548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0.0305252075195313</v>
      </c>
      <c r="C558" s="25" t="n">
        <f aca="false">IF(T557&gt;0,D557,C557)</f>
        <v>0.0305259227752686</v>
      </c>
      <c r="D558" s="41" t="n">
        <f aca="false">(B558+C558)/2</f>
        <v>0.0305255651473999</v>
      </c>
      <c r="E558" s="15" t="n">
        <f aca="false">$C$2*(1+IF(E$3&lt;=$O$2,$D558,$D558-($D558-$I$535)*MIN(E$3-$O$2,$Q$2)/$Q$2))</f>
        <v>3235.85027456284</v>
      </c>
      <c r="F558" s="15" t="n">
        <f aca="false">E558*(1+IF(F$3&lt;=$O$2,$D558,$D558-($D558-$I$535)*MIN(F$3-$O$2,$Q$2)/$Q$2))</f>
        <v>3334.62643292624</v>
      </c>
      <c r="G558" s="15" t="n">
        <f aca="false">F558*(1+IF(G$3&lt;=$O$2,$D558,$D558-($D558-$I$535)*MIN(G$3-$O$2,$Q$2)/$Q$2))</f>
        <v>3436.41778934677</v>
      </c>
      <c r="H558" s="15" t="n">
        <f aca="false">G558*(1+IF(H$3&lt;=$O$2,$D558,$D558-($D558-$I$535)*MIN(H$3-$O$2,$Q$2)/$Q$2))</f>
        <v>3541.31638444916</v>
      </c>
      <c r="I558" s="15" t="n">
        <f aca="false">H558*(1+IF(I$3&lt;=$O$2,$D558,$D558-($D558-$I$535)*MIN(I$3-$O$2,$Q$2)/$Q$2))</f>
        <v>3649.41706845021</v>
      </c>
      <c r="J558" s="15" t="n">
        <f aca="false">I558*(1+IF(J$3&lt;=$O$2,$D558,$D558-($D558-$I$535)*MIN(J$3-$O$2,$Q$2)/$Q$2))</f>
        <v>3762.8426009045</v>
      </c>
      <c r="K558" s="15" t="n">
        <f aca="false">J558*(1+IF(K$3&lt;=$O$2,$D558,$D558-($D558-$I$535)*MIN(K$3-$O$2,$Q$2)/$Q$2))</f>
        <v>3881.88140252054</v>
      </c>
      <c r="L558" s="15" t="n">
        <f aca="false">K558*(1+IF(L$3&lt;=$O$2,$D558,$D558-($D558-$I$535)*MIN(L$3-$O$2,$Q$2)/$Q$2))</f>
        <v>4006.84004240175</v>
      </c>
      <c r="M558" s="15" t="n">
        <f aca="false">L558*(1+IF(M$3&lt;=$O$2,$D558,$D558-($D558-$I$535)*MIN(M$3-$O$2,$Q$2)/$Q$2))</f>
        <v>4138.04447248124</v>
      </c>
      <c r="N558" s="15" t="n">
        <f aca="false">M558*(1+IF(N$3&lt;=$O$2,$D558,$D558-($D558-$I$535)*MIN(N$3-$O$2,$Q$2)/$Q$2))</f>
        <v>4275.84135341487</v>
      </c>
      <c r="O558" s="15" t="n">
        <f aca="false">SUMPRODUCT(E558:N558,1/(1+$F$535)^$E$3:$N$3)*$E$2</f>
        <v>10789.8626114291</v>
      </c>
      <c r="P558" s="15" t="n">
        <f aca="false">N558*$E$2*(1+$I$535)/($F$535-$I$535)/(1+$F$535)^$N$3</f>
        <v>16267.9616002698</v>
      </c>
      <c r="Q558" s="15" t="n">
        <f aca="false">O558+P558</f>
        <v>27057.8242116989</v>
      </c>
      <c r="R558" s="15" t="n">
        <f aca="false">Q558-$G$2+$I$2</f>
        <v>22990.0242116989</v>
      </c>
      <c r="S558" s="42" t="n">
        <f aca="false">R558/$K$2</f>
        <v>176.628950612315</v>
      </c>
      <c r="T558" s="43" t="n">
        <f aca="false">S558-$M$2</f>
        <v>0.00018601489605885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0.0305252075195313</v>
      </c>
      <c r="C559" s="25" t="n">
        <f aca="false">IF(T558&gt;0,D558,C558)</f>
        <v>0.0305255651473999</v>
      </c>
      <c r="D559" s="41" t="n">
        <f aca="false">(B559+C559)/2</f>
        <v>0.0305253863334656</v>
      </c>
      <c r="E559" s="15" t="n">
        <f aca="false">$C$2*(1+IF(E$3&lt;=$O$2,$D559,$D559-($D559-$I$535)*MIN(E$3-$O$2,$Q$2)/$Q$2))</f>
        <v>3235.84971308708</v>
      </c>
      <c r="F559" s="15" t="n">
        <f aca="false">E559*(1+IF(F$3&lt;=$O$2,$D559,$D559-($D559-$I$535)*MIN(F$3-$O$2,$Q$2)/$Q$2))</f>
        <v>3334.6252756961</v>
      </c>
      <c r="G559" s="15" t="n">
        <f aca="false">F559*(1+IF(G$3&lt;=$O$2,$D559,$D559-($D559-$I$535)*MIN(G$3-$O$2,$Q$2)/$Q$2))</f>
        <v>3436.41600051406</v>
      </c>
      <c r="H559" s="15" t="n">
        <f aca="false">G559*(1+IF(H$3&lt;=$O$2,$D559,$D559-($D559-$I$535)*MIN(H$3-$O$2,$Q$2)/$Q$2))</f>
        <v>3541.31392653226</v>
      </c>
      <c r="I559" s="15" t="n">
        <f aca="false">H559*(1+IF(I$3&lt;=$O$2,$D559,$D559-($D559-$I$535)*MIN(I$3-$O$2,$Q$2)/$Q$2))</f>
        <v>3649.41390226774</v>
      </c>
      <c r="J559" s="15" t="n">
        <f aca="false">I559*(1+IF(J$3&lt;=$O$2,$D559,$D559-($D559-$I$535)*MIN(J$3-$O$2,$Q$2)/$Q$2))</f>
        <v>3762.83881426279</v>
      </c>
      <c r="K559" s="15" t="n">
        <f aca="false">J559*(1+IF(K$3&lt;=$O$2,$D559,$D559-($D559-$I$535)*MIN(K$3-$O$2,$Q$2)/$Q$2))</f>
        <v>3881.87709237833</v>
      </c>
      <c r="L559" s="15" t="n">
        <f aca="false">K559*(1+IF(L$3&lt;=$O$2,$D559,$D559-($D559-$I$535)*MIN(L$3-$O$2,$Q$2)/$Q$2))</f>
        <v>4006.8353158616</v>
      </c>
      <c r="M559" s="15" t="n">
        <f aca="false">L559*(1+IF(M$3&lt;=$O$2,$D559,$D559-($D559-$I$535)*MIN(M$3-$O$2,$Q$2)/$Q$2))</f>
        <v>4138.03944787441</v>
      </c>
      <c r="N559" s="15" t="n">
        <f aca="false">M559*(1+IF(N$3&lt;=$O$2,$D559,$D559-($D559-$I$535)*MIN(N$3-$O$2,$Q$2)/$Q$2))</f>
        <v>4275.83616148862</v>
      </c>
      <c r="O559" s="15" t="n">
        <f aca="false">SUMPRODUCT(E559:N559,1/(1+$F$535)^$E$3:$N$3)*$E$2</f>
        <v>10789.8542045613</v>
      </c>
      <c r="P559" s="15" t="n">
        <f aca="false">N559*$E$2*(1+$I$535)/($F$535-$I$535)/(1+$F$535)^$N$3</f>
        <v>16267.9418469512</v>
      </c>
      <c r="Q559" s="15" t="n">
        <f aca="false">O559+P559</f>
        <v>27057.7960515124</v>
      </c>
      <c r="R559" s="15" t="n">
        <f aca="false">Q559-$G$2+$I$2</f>
        <v>22989.9960515124</v>
      </c>
      <c r="S559" s="42" t="n">
        <f aca="false">R559/$K$2</f>
        <v>176.628734261773</v>
      </c>
      <c r="T559" s="43" t="n">
        <f aca="false">S559-$M$2</f>
        <v>-3.03356452491244E-005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0.0305253863334656</v>
      </c>
      <c r="C560" s="25" t="n">
        <f aca="false">IF(T559&gt;0,D559,C559)</f>
        <v>0.0305255651473999</v>
      </c>
      <c r="D560" s="41" t="n">
        <f aca="false">(B560+C560)/2</f>
        <v>0.0305254757404327</v>
      </c>
      <c r="E560" s="15" t="n">
        <f aca="false">$C$2*(1+IF(E$3&lt;=$O$2,$D560,$D560-($D560-$I$535)*MIN(E$3-$O$2,$Q$2)/$Q$2))</f>
        <v>3235.84999382496</v>
      </c>
      <c r="F560" s="15" t="n">
        <f aca="false">E560*(1+IF(F$3&lt;=$O$2,$D560,$D560-($D560-$I$535)*MIN(F$3-$O$2,$Q$2)/$Q$2))</f>
        <v>3334.62585431114</v>
      </c>
      <c r="G560" s="15" t="n">
        <f aca="false">F560*(1+IF(G$3&lt;=$O$2,$D560,$D560-($D560-$I$535)*MIN(G$3-$O$2,$Q$2)/$Q$2))</f>
        <v>3436.41689493034</v>
      </c>
      <c r="H560" s="15" t="n">
        <f aca="false">G560*(1+IF(H$3&lt;=$O$2,$D560,$D560-($D560-$I$535)*MIN(H$3-$O$2,$Q$2)/$Q$2))</f>
        <v>3541.31515549055</v>
      </c>
      <c r="I560" s="15" t="n">
        <f aca="false">H560*(1+IF(I$3&lt;=$O$2,$D560,$D560-($D560-$I$535)*MIN(I$3-$O$2,$Q$2)/$Q$2))</f>
        <v>3649.4154853587</v>
      </c>
      <c r="J560" s="15" t="n">
        <f aca="false">I560*(1+IF(J$3&lt;=$O$2,$D560,$D560-($D560-$I$535)*MIN(J$3-$O$2,$Q$2)/$Q$2))</f>
        <v>3762.84070758325</v>
      </c>
      <c r="K560" s="15" t="n">
        <f aca="false">J560*(1+IF(K$3&lt;=$O$2,$D560,$D560-($D560-$I$535)*MIN(K$3-$O$2,$Q$2)/$Q$2))</f>
        <v>3881.87924744893</v>
      </c>
      <c r="L560" s="15" t="n">
        <f aca="false">K560*(1+IF(L$3&lt;=$O$2,$D560,$D560-($D560-$I$535)*MIN(L$3-$O$2,$Q$2)/$Q$2))</f>
        <v>4006.83767913107</v>
      </c>
      <c r="M560" s="15" t="n">
        <f aca="false">L560*(1+IF(M$3&lt;=$O$2,$D560,$D560-($D560-$I$535)*MIN(M$3-$O$2,$Q$2)/$Q$2))</f>
        <v>4138.04196017716</v>
      </c>
      <c r="N560" s="15" t="n">
        <f aca="false">M560*(1+IF(N$3&lt;=$O$2,$D560,$D560-($D560-$I$535)*MIN(N$3-$O$2,$Q$2)/$Q$2))</f>
        <v>4275.83875745106</v>
      </c>
      <c r="O560" s="15" t="n">
        <f aca="false">SUMPRODUCT(E560:N560,1/(1+$F$535)^$E$3:$N$3)*$E$2</f>
        <v>10789.8584079943</v>
      </c>
      <c r="P560" s="15" t="n">
        <f aca="false">N560*$E$2*(1+$I$535)/($F$535-$I$535)/(1+$F$535)^$N$3</f>
        <v>16267.9517236079</v>
      </c>
      <c r="Q560" s="15" t="n">
        <f aca="false">O560+P560</f>
        <v>27057.8101316022</v>
      </c>
      <c r="R560" s="15" t="n">
        <f aca="false">Q560-$G$2+$I$2</f>
        <v>22990.0101316022</v>
      </c>
      <c r="S560" s="42" t="n">
        <f aca="false">R560/$K$2</f>
        <v>176.628842437018</v>
      </c>
      <c r="T560" s="43" t="n">
        <f aca="false">S560-$M$2</f>
        <v>7.78395989300407E-005</v>
      </c>
    </row>
    <row r="562" customFormat="false" ht="15" hidden="false" customHeight="false" outlineLevel="0" collapsed="false">
      <c r="A562" s="38" t="s">
        <v>194</v>
      </c>
      <c r="E562" s="5" t="s">
        <v>11</v>
      </c>
      <c r="F562" s="12" t="n">
        <f aca="false">Sensitivity!$B$13</f>
        <v>0.0869413943493295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155</v>
      </c>
      <c r="B563" s="28" t="s">
        <v>156</v>
      </c>
      <c r="C563" s="28" t="s">
        <v>157</v>
      </c>
      <c r="D563" s="28" t="s">
        <v>158</v>
      </c>
      <c r="E563" s="28" t="s">
        <v>159</v>
      </c>
      <c r="F563" s="28" t="s">
        <v>160</v>
      </c>
      <c r="G563" s="28" t="s">
        <v>161</v>
      </c>
      <c r="H563" s="28" t="s">
        <v>162</v>
      </c>
      <c r="I563" s="28" t="s">
        <v>163</v>
      </c>
      <c r="J563" s="28" t="s">
        <v>164</v>
      </c>
      <c r="K563" s="28" t="s">
        <v>165</v>
      </c>
      <c r="L563" s="28" t="s">
        <v>166</v>
      </c>
      <c r="M563" s="28" t="s">
        <v>167</v>
      </c>
      <c r="N563" s="28" t="s">
        <v>168</v>
      </c>
      <c r="O563" s="28" t="s">
        <v>169</v>
      </c>
      <c r="P563" s="28" t="s">
        <v>170</v>
      </c>
      <c r="Q563" s="28" t="s">
        <v>171</v>
      </c>
      <c r="R563" s="28" t="s">
        <v>172</v>
      </c>
      <c r="S563" s="28" t="s">
        <v>173</v>
      </c>
      <c r="T563" s="28" t="s">
        <v>174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3925</v>
      </c>
      <c r="F564" s="15" t="n">
        <f aca="false">E564*(1+IF(F$3&lt;=$O$2,$D564,$D564-($D564-$I$562)*MIN(F$3-$O$2,$Q$2)/$Q$2))</f>
        <v>4906.25</v>
      </c>
      <c r="G564" s="15" t="n">
        <f aca="false">F564*(1+IF(G$3&lt;=$O$2,$D564,$D564-($D564-$I$562)*MIN(G$3-$O$2,$Q$2)/$Q$2))</f>
        <v>6132.8125</v>
      </c>
      <c r="H564" s="15" t="n">
        <f aca="false">G564*(1+IF(H$3&lt;=$O$2,$D564,$D564-($D564-$I$562)*MIN(H$3-$O$2,$Q$2)/$Q$2))</f>
        <v>7666.015625</v>
      </c>
      <c r="I564" s="15" t="n">
        <f aca="false">H564*(1+IF(I$3&lt;=$O$2,$D564,$D564-($D564-$I$562)*MIN(I$3-$O$2,$Q$2)/$Q$2))</f>
        <v>9582.51953125</v>
      </c>
      <c r="J564" s="15" t="n">
        <f aca="false">I564*(1+IF(J$3&lt;=$O$2,$D564,$D564-($D564-$I$562)*MIN(J$3-$O$2,$Q$2)/$Q$2))</f>
        <v>11572.4255371094</v>
      </c>
      <c r="K564" s="15" t="n">
        <f aca="false">J564*(1+IF(K$3&lt;=$O$2,$D564,$D564-($D564-$I$562)*MIN(K$3-$O$2,$Q$2)/$Q$2))</f>
        <v>13485.5789269043</v>
      </c>
      <c r="L564" s="15" t="n">
        <f aca="false">K564*(1+IF(L$3&lt;=$O$2,$D564,$D564-($D564-$I$562)*MIN(L$3-$O$2,$Q$2)/$Q$2))</f>
        <v>15144.035423335</v>
      </c>
      <c r="M564" s="15" t="n">
        <f aca="false">L564*(1+IF(M$3&lt;=$O$2,$D564,$D564-($D564-$I$562)*MIN(M$3-$O$2,$Q$2)/$Q$2))</f>
        <v>16365.2504398727</v>
      </c>
      <c r="N564" s="15" t="n">
        <f aca="false">M564*(1+IF(N$3&lt;=$O$2,$D564,$D564-($D564-$I$562)*MIN(N$3-$O$2,$Q$2)/$Q$2))</f>
        <v>16992.0395317198</v>
      </c>
      <c r="O564" s="15" t="n">
        <f aca="false">SUMPRODUCT(E564:N564,1/(1+$F$562)^$E$3:$N$3)*$E$2</f>
        <v>28082.7895736602</v>
      </c>
      <c r="P564" s="15" t="n">
        <f aca="false">N564*$E$2*(1+$I$562)/($F$562-$I$562)/(1+$F$562)^$N$3</f>
        <v>71638.6729448615</v>
      </c>
      <c r="Q564" s="15" t="n">
        <f aca="false">O564+P564</f>
        <v>99721.4625185217</v>
      </c>
      <c r="R564" s="15" t="n">
        <f aca="false">Q564-$G$2+$I$2</f>
        <v>95653.6625185217</v>
      </c>
      <c r="S564" s="42" t="n">
        <f aca="false">R564/$K$2</f>
        <v>734.892920394297</v>
      </c>
      <c r="T564" s="43" t="n">
        <f aca="false">S564-$M$2</f>
        <v>558.264155796878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2747.5</v>
      </c>
      <c r="F565" s="15" t="n">
        <f aca="false">E565*(1+IF(F$3&lt;=$O$2,$D565,$D565-($D565-$I$562)*MIN(F$3-$O$2,$Q$2)/$Q$2))</f>
        <v>2404.0625</v>
      </c>
      <c r="G565" s="15" t="n">
        <f aca="false">F565*(1+IF(G$3&lt;=$O$2,$D565,$D565-($D565-$I$562)*MIN(G$3-$O$2,$Q$2)/$Q$2))</f>
        <v>2103.5546875</v>
      </c>
      <c r="H565" s="15" t="n">
        <f aca="false">G565*(1+IF(H$3&lt;=$O$2,$D565,$D565-($D565-$I$562)*MIN(H$3-$O$2,$Q$2)/$Q$2))</f>
        <v>1840.6103515625</v>
      </c>
      <c r="I565" s="15" t="n">
        <f aca="false">H565*(1+IF(I$3&lt;=$O$2,$D565,$D565-($D565-$I$562)*MIN(I$3-$O$2,$Q$2)/$Q$2))</f>
        <v>1610.53405761719</v>
      </c>
      <c r="J565" s="15" t="n">
        <f aca="false">I565*(1+IF(J$3&lt;=$O$2,$D565,$D565-($D565-$I$562)*MIN(J$3-$O$2,$Q$2)/$Q$2))</f>
        <v>1461.81734273682</v>
      </c>
      <c r="K565" s="15" t="n">
        <f aca="false">J565*(1+IF(K$3&lt;=$O$2,$D565,$D565-($D565-$I$562)*MIN(K$3-$O$2,$Q$2)/$Q$2))</f>
        <v>1374.57608372228</v>
      </c>
      <c r="L565" s="15" t="n">
        <f aca="false">K565*(1+IF(L$3&lt;=$O$2,$D565,$D565-($D565-$I$562)*MIN(L$3-$O$2,$Q$2)/$Q$2))</f>
        <v>1337.43503794011</v>
      </c>
      <c r="M565" s="15" t="n">
        <f aca="false">L565*(1+IF(M$3&lt;=$O$2,$D565,$D565-($D565-$I$562)*MIN(M$3-$O$2,$Q$2)/$Q$2))</f>
        <v>1344.97817155409</v>
      </c>
      <c r="N565" s="15" t="n">
        <f aca="false">M565*(1+IF(N$3&lt;=$O$2,$D565,$D565-($D565-$I$562)*MIN(N$3-$O$2,$Q$2)/$Q$2))</f>
        <v>1396.49083552461</v>
      </c>
      <c r="O565" s="15" t="n">
        <f aca="false">SUMPRODUCT(E565:N565,1/(1+$F$562)^$E$3:$N$3)*$E$2</f>
        <v>5529.30187809288</v>
      </c>
      <c r="P565" s="15" t="n">
        <f aca="false">N565*$E$2*(1+$I$562)/($F$562-$I$562)/(1+$F$562)^$N$3</f>
        <v>5887.62461680303</v>
      </c>
      <c r="Q565" s="15" t="n">
        <f aca="false">O565+P565</f>
        <v>11416.9264948959</v>
      </c>
      <c r="R565" s="15" t="n">
        <f aca="false">Q565-$G$2+$I$2</f>
        <v>7349.12649489591</v>
      </c>
      <c r="S565" s="42" t="n">
        <f aca="false">R565/$K$2</f>
        <v>56.4622502681001</v>
      </c>
      <c r="T565" s="43" t="n">
        <f aca="false">S565-$M$2</f>
        <v>-120.166514329319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3336.25</v>
      </c>
      <c r="F566" s="15" t="n">
        <f aca="false">E566*(1+IF(F$3&lt;=$O$2,$D566,$D566-($D566-$I$562)*MIN(F$3-$O$2,$Q$2)/$Q$2))</f>
        <v>3544.765625</v>
      </c>
      <c r="G566" s="15" t="n">
        <f aca="false">F566*(1+IF(G$3&lt;=$O$2,$D566,$D566-($D566-$I$562)*MIN(G$3-$O$2,$Q$2)/$Q$2))</f>
        <v>3766.3134765625</v>
      </c>
      <c r="H566" s="15" t="n">
        <f aca="false">G566*(1+IF(H$3&lt;=$O$2,$D566,$D566-($D566-$I$562)*MIN(H$3-$O$2,$Q$2)/$Q$2))</f>
        <v>4001.70806884766</v>
      </c>
      <c r="I566" s="15" t="n">
        <f aca="false">H566*(1+IF(I$3&lt;=$O$2,$D566,$D566-($D566-$I$562)*MIN(I$3-$O$2,$Q$2)/$Q$2))</f>
        <v>4251.81482315064</v>
      </c>
      <c r="J566" s="15" t="n">
        <f aca="false">I566*(1+IF(J$3&lt;=$O$2,$D566,$D566-($D566-$I$562)*MIN(J$3-$O$2,$Q$2)/$Q$2))</f>
        <v>4496.9744658535</v>
      </c>
      <c r="K566" s="15" t="n">
        <f aca="false">J566*(1+IF(K$3&lt;=$O$2,$D566,$D566-($D566-$I$562)*MIN(K$3-$O$2,$Q$2)/$Q$2))</f>
        <v>4734.50465713988</v>
      </c>
      <c r="L566" s="15" t="n">
        <f aca="false">K566*(1+IF(L$3&lt;=$O$2,$D566,$D566-($D566-$I$562)*MIN(L$3-$O$2,$Q$2)/$Q$2))</f>
        <v>4961.66619058945</v>
      </c>
      <c r="M566" s="15" t="n">
        <f aca="false">L566*(1+IF(M$3&lt;=$O$2,$D566,$D566-($D566-$I$562)*MIN(M$3-$O$2,$Q$2)/$Q$2))</f>
        <v>5175.71247005148</v>
      </c>
      <c r="N566" s="15" t="n">
        <f aca="false">M566*(1+IF(N$3&lt;=$O$2,$D566,$D566-($D566-$I$562)*MIN(N$3-$O$2,$Q$2)/$Q$2))</f>
        <v>5373.94225765446</v>
      </c>
      <c r="O566" s="15" t="n">
        <f aca="false">SUMPRODUCT(E566:N566,1/(1+$F$562)^$E$3:$N$3)*$E$2</f>
        <v>12441.060115713</v>
      </c>
      <c r="P566" s="15" t="n">
        <f aca="false">N566*$E$2*(1+$I$562)/($F$562-$I$562)/(1+$F$562)^$N$3</f>
        <v>22656.6146519383</v>
      </c>
      <c r="Q566" s="15" t="n">
        <f aca="false">O566+P566</f>
        <v>35097.6747676513</v>
      </c>
      <c r="R566" s="15" t="n">
        <f aca="false">Q566-$G$2+$I$2</f>
        <v>31029.8747676513</v>
      </c>
      <c r="S566" s="42" t="n">
        <f aca="false">R566/$K$2</f>
        <v>238.397931527745</v>
      </c>
      <c r="T566" s="43" t="n">
        <f aca="false">S566-$M$2</f>
        <v>61.7691669303265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3041.875</v>
      </c>
      <c r="F567" s="15" t="n">
        <f aca="false">E567*(1+IF(F$3&lt;=$O$2,$D567,$D567-($D567-$I$562)*MIN(F$3-$O$2,$Q$2)/$Q$2))</f>
        <v>2946.81640625</v>
      </c>
      <c r="G567" s="15" t="n">
        <f aca="false">F567*(1+IF(G$3&lt;=$O$2,$D567,$D567-($D567-$I$562)*MIN(G$3-$O$2,$Q$2)/$Q$2))</f>
        <v>2854.72839355469</v>
      </c>
      <c r="H567" s="15" t="n">
        <f aca="false">G567*(1+IF(H$3&lt;=$O$2,$D567,$D567-($D567-$I$562)*MIN(H$3-$O$2,$Q$2)/$Q$2))</f>
        <v>2765.5181312561</v>
      </c>
      <c r="I567" s="15" t="n">
        <f aca="false">H567*(1+IF(I$3&lt;=$O$2,$D567,$D567-($D567-$I$562)*MIN(I$3-$O$2,$Q$2)/$Q$2))</f>
        <v>2679.09568965435</v>
      </c>
      <c r="J567" s="15" t="n">
        <f aca="false">I567*(1+IF(J$3&lt;=$O$2,$D567,$D567-($D567-$I$562)*MIN(J$3-$O$2,$Q$2)/$Q$2))</f>
        <v>2632.64017039574</v>
      </c>
      <c r="K567" s="15" t="n">
        <f aca="false">J567*(1+IF(K$3&lt;=$O$2,$D567,$D567-($D567-$I$562)*MIN(K$3-$O$2,$Q$2)/$Q$2))</f>
        <v>2623.61021461129</v>
      </c>
      <c r="L567" s="15" t="n">
        <f aca="false">K567*(1+IF(L$3&lt;=$O$2,$D567,$D567-($D567-$I$562)*MIN(L$3-$O$2,$Q$2)/$Q$2))</f>
        <v>2651.10564966041</v>
      </c>
      <c r="M567" s="15" t="n">
        <f aca="false">L567*(1+IF(M$3&lt;=$O$2,$D567,$D567-($D567-$I$562)*MIN(M$3-$O$2,$Q$2)/$Q$2))</f>
        <v>2715.76611645563</v>
      </c>
      <c r="N567" s="15" t="n">
        <f aca="false">M567*(1+IF(N$3&lt;=$O$2,$D567,$D567-($D567-$I$562)*MIN(N$3-$O$2,$Q$2)/$Q$2))</f>
        <v>2819.77995871588</v>
      </c>
      <c r="O567" s="15" t="n">
        <f aca="false">SUMPRODUCT(E567:N567,1/(1+$F$562)^$E$3:$N$3)*$E$2</f>
        <v>8270.14846948861</v>
      </c>
      <c r="P567" s="15" t="n">
        <f aca="false">N567*$E$2*(1+$I$562)/($F$562-$I$562)/(1+$F$562)^$N$3</f>
        <v>11888.2311838923</v>
      </c>
      <c r="Q567" s="15" t="n">
        <f aca="false">O567+P567</f>
        <v>20158.3796533809</v>
      </c>
      <c r="R567" s="15" t="n">
        <f aca="false">Q567-$G$2+$I$2</f>
        <v>16090.5796533809</v>
      </c>
      <c r="S567" s="42" t="n">
        <f aca="false">R567/$K$2</f>
        <v>123.621540053633</v>
      </c>
      <c r="T567" s="43" t="n">
        <f aca="false">S567-$M$2</f>
        <v>-53.0072245437856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3189.0625</v>
      </c>
      <c r="F568" s="15" t="n">
        <f aca="false">E568*(1+IF(F$3&lt;=$O$2,$D568,$D568-($D568-$I$562)*MIN(F$3-$O$2,$Q$2)/$Q$2))</f>
        <v>3238.8916015625</v>
      </c>
      <c r="G568" s="15" t="n">
        <f aca="false">F568*(1+IF(G$3&lt;=$O$2,$D568,$D568-($D568-$I$562)*MIN(G$3-$O$2,$Q$2)/$Q$2))</f>
        <v>3289.49928283691</v>
      </c>
      <c r="H568" s="15" t="n">
        <f aca="false">G568*(1+IF(H$3&lt;=$O$2,$D568,$D568-($D568-$I$562)*MIN(H$3-$O$2,$Q$2)/$Q$2))</f>
        <v>3340.89770913124</v>
      </c>
      <c r="I568" s="15" t="n">
        <f aca="false">H568*(1+IF(I$3&lt;=$O$2,$D568,$D568-($D568-$I$562)*MIN(I$3-$O$2,$Q$2)/$Q$2))</f>
        <v>3393.09923583642</v>
      </c>
      <c r="J568" s="15" t="n">
        <f aca="false">I568*(1+IF(J$3&lt;=$O$2,$D568,$D568-($D568-$I$562)*MIN(J$3-$O$2,$Q$2)/$Q$2))</f>
        <v>3461.50411643088</v>
      </c>
      <c r="K568" s="15" t="n">
        <f aca="false">J568*(1+IF(K$3&lt;=$O$2,$D568,$D568-($D568-$I$562)*MIN(K$3-$O$2,$Q$2)/$Q$2))</f>
        <v>3546.98596058614</v>
      </c>
      <c r="L568" s="15" t="n">
        <f aca="false">K568*(1+IF(L$3&lt;=$O$2,$D568,$D568-($D568-$I$562)*MIN(L$3-$O$2,$Q$2)/$Q$2))</f>
        <v>3650.66436021407</v>
      </c>
      <c r="M568" s="15" t="n">
        <f aca="false">L568*(1+IF(M$3&lt;=$O$2,$D568,$D568-($D568-$I$562)*MIN(M$3-$O$2,$Q$2)/$Q$2))</f>
        <v>3773.9290423367</v>
      </c>
      <c r="N568" s="15" t="n">
        <f aca="false">M568*(1+IF(N$3&lt;=$O$2,$D568,$D568-($D568-$I$562)*MIN(N$3-$O$2,$Q$2)/$Q$2))</f>
        <v>3918.4705246582</v>
      </c>
      <c r="O568" s="15" t="n">
        <f aca="false">SUMPRODUCT(E568:N568,1/(1+$F$562)^$E$3:$N$3)*$E$2</f>
        <v>10139.4822161637</v>
      </c>
      <c r="P568" s="15" t="n">
        <f aca="false">N568*$E$2*(1+$I$562)/($F$562-$I$562)/(1+$F$562)^$N$3</f>
        <v>16520.3257581908</v>
      </c>
      <c r="Q568" s="15" t="n">
        <f aca="false">O568+P568</f>
        <v>26659.8079743546</v>
      </c>
      <c r="R568" s="15" t="n">
        <f aca="false">Q568-$G$2+$I$2</f>
        <v>22592.0079743546</v>
      </c>
      <c r="S568" s="42" t="n">
        <f aca="false">R568/$K$2</f>
        <v>173.571050817106</v>
      </c>
      <c r="T568" s="43" t="n">
        <f aca="false">S568-$M$2</f>
        <v>-3.05771378031221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0.015625</v>
      </c>
      <c r="C569" s="25" t="n">
        <f aca="false">IF(T568&gt;0,D568,C568)</f>
        <v>0.0625</v>
      </c>
      <c r="D569" s="41" t="n">
        <f aca="false">(B569+C569)/2</f>
        <v>0.0390625</v>
      </c>
      <c r="E569" s="15" t="n">
        <f aca="false">$C$2*(1+IF(E$3&lt;=$O$2,$D569,$D569-($D569-$I$562)*MIN(E$3-$O$2,$Q$2)/$Q$2))</f>
        <v>3262.65625</v>
      </c>
      <c r="F569" s="15" t="n">
        <f aca="false">E569*(1+IF(F$3&lt;=$O$2,$D569,$D569-($D569-$I$562)*MIN(F$3-$O$2,$Q$2)/$Q$2))</f>
        <v>3390.10375976563</v>
      </c>
      <c r="G569" s="15" t="n">
        <f aca="false">F569*(1+IF(G$3&lt;=$O$2,$D569,$D569-($D569-$I$562)*MIN(G$3-$O$2,$Q$2)/$Q$2))</f>
        <v>3522.52968788147</v>
      </c>
      <c r="H569" s="15" t="n">
        <f aca="false">G569*(1+IF(H$3&lt;=$O$2,$D569,$D569-($D569-$I$562)*MIN(H$3-$O$2,$Q$2)/$Q$2))</f>
        <v>3660.12850381434</v>
      </c>
      <c r="I569" s="15" t="n">
        <f aca="false">H569*(1+IF(I$3&lt;=$O$2,$D569,$D569-($D569-$I$562)*MIN(I$3-$O$2,$Q$2)/$Q$2))</f>
        <v>3803.10227349459</v>
      </c>
      <c r="J569" s="15" t="n">
        <f aca="false">I569*(1+IF(J$3&lt;=$O$2,$D569,$D569-($D569-$I$562)*MIN(J$3-$O$2,$Q$2)/$Q$2))</f>
        <v>3951.08098295626</v>
      </c>
      <c r="K569" s="15" t="n">
        <f aca="false">J569*(1+IF(K$3&lt;=$O$2,$D569,$D569-($D569-$I$562)*MIN(K$3-$O$2,$Q$2)/$Q$2))</f>
        <v>4104.21500415319</v>
      </c>
      <c r="L569" s="15" t="n">
        <f aca="false">K569*(1+IF(L$3&lt;=$O$2,$D569,$D569-($D569-$I$562)*MIN(L$3-$O$2,$Q$2)/$Q$2))</f>
        <v>4262.65822438852</v>
      </c>
      <c r="M569" s="15" t="n">
        <f aca="false">L569*(1+IF(M$3&lt;=$O$2,$D569,$D569-($D569-$I$562)*MIN(M$3-$O$2,$Q$2)/$Q$2))</f>
        <v>4426.56808976182</v>
      </c>
      <c r="N569" s="15" t="n">
        <f aca="false">M569*(1+IF(N$3&lt;=$O$2,$D569,$D569-($D569-$I$562)*MIN(N$3-$O$2,$Q$2)/$Q$2))</f>
        <v>4596.1056475997</v>
      </c>
      <c r="O569" s="15" t="n">
        <f aca="false">SUMPRODUCT(E569:N569,1/(1+$F$562)^$E$3:$N$3)*$E$2</f>
        <v>11230.8304615599</v>
      </c>
      <c r="P569" s="15" t="n">
        <f aca="false">N569*$E$2*(1+$I$562)/($F$562-$I$562)/(1+$F$562)^$N$3</f>
        <v>19377.2447794617</v>
      </c>
      <c r="Q569" s="15" t="n">
        <f aca="false">O569+P569</f>
        <v>30608.0752410216</v>
      </c>
      <c r="R569" s="15" t="n">
        <f aca="false">Q569-$G$2+$I$2</f>
        <v>26540.2752410216</v>
      </c>
      <c r="S569" s="42" t="n">
        <f aca="false">R569/$K$2</f>
        <v>203.905003388304</v>
      </c>
      <c r="T569" s="43" t="n">
        <f aca="false">S569-$M$2</f>
        <v>27.2762387908853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0.015625</v>
      </c>
      <c r="C570" s="25" t="n">
        <f aca="false">IF(T569&gt;0,D569,C569)</f>
        <v>0.0390625</v>
      </c>
      <c r="D570" s="41" t="n">
        <f aca="false">(B570+C570)/2</f>
        <v>0.02734375</v>
      </c>
      <c r="E570" s="15" t="n">
        <f aca="false">$C$2*(1+IF(E$3&lt;=$O$2,$D570,$D570-($D570-$I$562)*MIN(E$3-$O$2,$Q$2)/$Q$2))</f>
        <v>3225.859375</v>
      </c>
      <c r="F570" s="15" t="n">
        <f aca="false">E570*(1+IF(F$3&lt;=$O$2,$D570,$D570-($D570-$I$562)*MIN(F$3-$O$2,$Q$2)/$Q$2))</f>
        <v>3314.06646728516</v>
      </c>
      <c r="G570" s="15" t="n">
        <f aca="false">F570*(1+IF(G$3&lt;=$O$2,$D570,$D570-($D570-$I$562)*MIN(G$3-$O$2,$Q$2)/$Q$2))</f>
        <v>3404.68547224998</v>
      </c>
      <c r="H570" s="15" t="n">
        <f aca="false">G570*(1+IF(H$3&lt;=$O$2,$D570,$D570-($D570-$I$562)*MIN(H$3-$O$2,$Q$2)/$Q$2))</f>
        <v>3497.78234063182</v>
      </c>
      <c r="I570" s="15" t="n">
        <f aca="false">H570*(1+IF(I$3&lt;=$O$2,$D570,$D570-($D570-$I$562)*MIN(I$3-$O$2,$Q$2)/$Q$2))</f>
        <v>3593.42482650847</v>
      </c>
      <c r="J570" s="15" t="n">
        <f aca="false">I570*(1+IF(J$3&lt;=$O$2,$D570,$D570-($D570-$I$562)*MIN(J$3-$O$2,$Q$2)/$Q$2))</f>
        <v>3699.5566287594</v>
      </c>
      <c r="K570" s="15" t="n">
        <f aca="false">J570*(1+IF(K$3&lt;=$O$2,$D570,$D570-($D570-$I$562)*MIN(K$3-$O$2,$Q$2)/$Q$2))</f>
        <v>3816.92968725258</v>
      </c>
      <c r="L570" s="15" t="n">
        <f aca="false">K570*(1+IF(L$3&lt;=$O$2,$D570,$D570-($D570-$I$562)*MIN(L$3-$O$2,$Q$2)/$Q$2))</f>
        <v>3946.39039991997</v>
      </c>
      <c r="M570" s="15" t="n">
        <f aca="false">L570*(1+IF(M$3&lt;=$O$2,$D570,$D570-($D570-$I$562)*MIN(M$3-$O$2,$Q$2)/$Q$2))</f>
        <v>4088.88962427308</v>
      </c>
      <c r="N570" s="15" t="n">
        <f aca="false">M570*(1+IF(N$3&lt;=$O$2,$D570,$D570-($D570-$I$562)*MIN(N$3-$O$2,$Q$2)/$Q$2))</f>
        <v>4245.49409688274</v>
      </c>
      <c r="O570" s="15" t="n">
        <f aca="false">SUMPRODUCT(E570:N570,1/(1+$F$562)^$E$3:$N$3)*$E$2</f>
        <v>10671.0085770128</v>
      </c>
      <c r="P570" s="15" t="n">
        <f aca="false">N570*$E$2*(1+$I$562)/($F$562-$I$562)/(1+$F$562)^$N$3</f>
        <v>17899.0616475537</v>
      </c>
      <c r="Q570" s="15" t="n">
        <f aca="false">O570+P570</f>
        <v>28570.0702245665</v>
      </c>
      <c r="R570" s="15" t="n">
        <f aca="false">Q570-$G$2+$I$2</f>
        <v>24502.2702245665</v>
      </c>
      <c r="S570" s="42" t="n">
        <f aca="false">R570/$K$2</f>
        <v>188.247312727155</v>
      </c>
      <c r="T570" s="43" t="n">
        <f aca="false">S570-$M$2</f>
        <v>11.6185481297361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0.015625</v>
      </c>
      <c r="C571" s="25" t="n">
        <f aca="false">IF(T570&gt;0,D570,C570)</f>
        <v>0.02734375</v>
      </c>
      <c r="D571" s="41" t="n">
        <f aca="false">(B571+C571)/2</f>
        <v>0.021484375</v>
      </c>
      <c r="E571" s="15" t="n">
        <f aca="false">$C$2*(1+IF(E$3&lt;=$O$2,$D571,$D571-($D571-$I$562)*MIN(E$3-$O$2,$Q$2)/$Q$2))</f>
        <v>3207.4609375</v>
      </c>
      <c r="F571" s="15" t="n">
        <f aca="false">E571*(1+IF(F$3&lt;=$O$2,$D571,$D571-($D571-$I$562)*MIN(F$3-$O$2,$Q$2)/$Q$2))</f>
        <v>3276.3712310791</v>
      </c>
      <c r="G571" s="15" t="n">
        <f aca="false">F571*(1+IF(G$3&lt;=$O$2,$D571,$D571-($D571-$I$562)*MIN(G$3-$O$2,$Q$2)/$Q$2))</f>
        <v>3346.76201924682</v>
      </c>
      <c r="H571" s="15" t="n">
        <f aca="false">G571*(1+IF(H$3&lt;=$O$2,$D571,$D571-($D571-$I$562)*MIN(H$3-$O$2,$Q$2)/$Q$2))</f>
        <v>3418.66510950407</v>
      </c>
      <c r="I571" s="15" t="n">
        <f aca="false">H571*(1+IF(I$3&lt;=$O$2,$D571,$D571-($D571-$I$562)*MIN(I$3-$O$2,$Q$2)/$Q$2))</f>
        <v>3492.11299271607</v>
      </c>
      <c r="J571" s="15" t="n">
        <f aca="false">I571*(1+IF(J$3&lt;=$O$2,$D571,$D571-($D571-$I$562)*MIN(J$3-$O$2,$Q$2)/$Q$2))</f>
        <v>3578.88327030259</v>
      </c>
      <c r="K571" s="15" t="n">
        <f aca="false">J571*(1+IF(K$3&lt;=$O$2,$D571,$D571-($D571-$I$562)*MIN(K$3-$O$2,$Q$2)/$Q$2))</f>
        <v>3679.84580415987</v>
      </c>
      <c r="L571" s="15" t="n">
        <f aca="false">K571*(1+IF(L$3&lt;=$O$2,$D571,$D571-($D571-$I$562)*MIN(L$3-$O$2,$Q$2)/$Q$2))</f>
        <v>3796.03233561896</v>
      </c>
      <c r="M571" s="15" t="n">
        <f aca="false">L571*(1+IF(M$3&lt;=$O$2,$D571,$D571-($D571-$I$562)*MIN(M$3-$O$2,$Q$2)/$Q$2))</f>
        <v>3928.65384282444</v>
      </c>
      <c r="N571" s="15" t="n">
        <f aca="false">M571*(1+IF(N$3&lt;=$O$2,$D571,$D571-($D571-$I$562)*MIN(N$3-$O$2,$Q$2)/$Q$2))</f>
        <v>4079.12128500461</v>
      </c>
      <c r="O571" s="15" t="n">
        <f aca="false">SUMPRODUCT(E571:N571,1/(1+$F$562)^$E$3:$N$3)*$E$2</f>
        <v>10401.794245583</v>
      </c>
      <c r="P571" s="15" t="n">
        <f aca="false">N571*$E$2*(1+$I$562)/($F$562-$I$562)/(1+$F$562)^$N$3</f>
        <v>17197.6315787968</v>
      </c>
      <c r="Q571" s="15" t="n">
        <f aca="false">O571+P571</f>
        <v>27599.4258243798</v>
      </c>
      <c r="R571" s="15" t="n">
        <f aca="false">Q571-$G$2+$I$2</f>
        <v>23531.6258243798</v>
      </c>
      <c r="S571" s="42" t="n">
        <f aca="false">R571/$K$2</f>
        <v>180.789995577595</v>
      </c>
      <c r="T571" s="43" t="n">
        <f aca="false">S571-$M$2</f>
        <v>4.16123098017647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0.015625</v>
      </c>
      <c r="C572" s="25" t="n">
        <f aca="false">IF(T571&gt;0,D571,C571)</f>
        <v>0.021484375</v>
      </c>
      <c r="D572" s="41" t="n">
        <f aca="false">(B572+C572)/2</f>
        <v>0.0185546875</v>
      </c>
      <c r="E572" s="15" t="n">
        <f aca="false">$C$2*(1+IF(E$3&lt;=$O$2,$D572,$D572-($D572-$I$562)*MIN(E$3-$O$2,$Q$2)/$Q$2))</f>
        <v>3198.26171875</v>
      </c>
      <c r="F572" s="15" t="n">
        <f aca="false">E572*(1+IF(F$3&lt;=$O$2,$D572,$D572-($D572-$I$562)*MIN(F$3-$O$2,$Q$2)/$Q$2))</f>
        <v>3257.60446548462</v>
      </c>
      <c r="G572" s="15" t="n">
        <f aca="false">F572*(1+IF(G$3&lt;=$O$2,$D572,$D572-($D572-$I$562)*MIN(G$3-$O$2,$Q$2)/$Q$2))</f>
        <v>3318.04829834029</v>
      </c>
      <c r="H572" s="15" t="n">
        <f aca="false">G572*(1+IF(H$3&lt;=$O$2,$D572,$D572-($D572-$I$562)*MIN(H$3-$O$2,$Q$2)/$Q$2))</f>
        <v>3379.6136476259</v>
      </c>
      <c r="I572" s="15" t="n">
        <f aca="false">H572*(1+IF(I$3&lt;=$O$2,$D572,$D572-($D572-$I$562)*MIN(I$3-$O$2,$Q$2)/$Q$2))</f>
        <v>3442.32132272834</v>
      </c>
      <c r="J572" s="15" t="n">
        <f aca="false">I572*(1+IF(J$3&lt;=$O$2,$D572,$D572-($D572-$I$562)*MIN(J$3-$O$2,$Q$2)/$Q$2))</f>
        <v>3519.78646119468</v>
      </c>
      <c r="K572" s="15" t="n">
        <f aca="false">J572*(1+IF(K$3&lt;=$O$2,$D572,$D572-($D572-$I$562)*MIN(K$3-$O$2,$Q$2)/$Q$2))</f>
        <v>3612.89471249271</v>
      </c>
      <c r="L572" s="15" t="n">
        <f aca="false">K572*(1+IF(L$3&lt;=$O$2,$D572,$D572-($D572-$I$562)*MIN(L$3-$O$2,$Q$2)/$Q$2))</f>
        <v>3722.73348593007</v>
      </c>
      <c r="M572" s="15" t="n">
        <f aca="false">L572*(1+IF(M$3&lt;=$O$2,$D572,$D572-($D572-$I$562)*MIN(M$3-$O$2,$Q$2)/$Q$2))</f>
        <v>3850.61287123441</v>
      </c>
      <c r="N572" s="15" t="n">
        <f aca="false">M572*(1+IF(N$3&lt;=$O$2,$D572,$D572-($D572-$I$562)*MIN(N$3-$O$2,$Q$2)/$Q$2))</f>
        <v>3998.09134420269</v>
      </c>
      <c r="O572" s="15" t="n">
        <f aca="false">SUMPRODUCT(E572:N572,1/(1+$F$562)^$E$3:$N$3)*$E$2</f>
        <v>10269.7859682171</v>
      </c>
      <c r="P572" s="15" t="n">
        <f aca="false">N572*$E$2*(1+$I$562)/($F$562-$I$562)/(1+$F$562)^$N$3</f>
        <v>16856.008231169</v>
      </c>
      <c r="Q572" s="15" t="n">
        <f aca="false">O572+P572</f>
        <v>27125.794199386</v>
      </c>
      <c r="R572" s="15" t="n">
        <f aca="false">Q572-$G$2+$I$2</f>
        <v>23057.994199386</v>
      </c>
      <c r="S572" s="42" t="n">
        <f aca="false">R572/$K$2</f>
        <v>177.151153959634</v>
      </c>
      <c r="T572" s="43" t="n">
        <f aca="false">S572-$M$2</f>
        <v>0.52238936221579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0.015625</v>
      </c>
      <c r="C573" s="25" t="n">
        <f aca="false">IF(T572&gt;0,D572,C572)</f>
        <v>0.0185546875</v>
      </c>
      <c r="D573" s="41" t="n">
        <f aca="false">(B573+C573)/2</f>
        <v>0.01708984375</v>
      </c>
      <c r="E573" s="15" t="n">
        <f aca="false">$C$2*(1+IF(E$3&lt;=$O$2,$D573,$D573-($D573-$I$562)*MIN(E$3-$O$2,$Q$2)/$Q$2))</f>
        <v>3193.662109375</v>
      </c>
      <c r="F573" s="15" t="n">
        <f aca="false">E573*(1+IF(F$3&lt;=$O$2,$D573,$D573-($D573-$I$562)*MIN(F$3-$O$2,$Q$2)/$Q$2))</f>
        <v>3248.24129581451</v>
      </c>
      <c r="G573" s="15" t="n">
        <f aca="false">F573*(1+IF(G$3&lt;=$O$2,$D573,$D573-($D573-$I$562)*MIN(G$3-$O$2,$Q$2)/$Q$2))</f>
        <v>3303.75323202228</v>
      </c>
      <c r="H573" s="15" t="n">
        <f aca="false">G573*(1+IF(H$3&lt;=$O$2,$D573,$D573-($D573-$I$562)*MIN(H$3-$O$2,$Q$2)/$Q$2))</f>
        <v>3360.2138585461</v>
      </c>
      <c r="I573" s="15" t="n">
        <f aca="false">H573*(1+IF(I$3&lt;=$O$2,$D573,$D573-($D573-$I$562)*MIN(I$3-$O$2,$Q$2)/$Q$2))</f>
        <v>3417.63938835524</v>
      </c>
      <c r="J573" s="15" t="n">
        <f aca="false">I573*(1+IF(J$3&lt;=$O$2,$D573,$D573-($D573-$I$562)*MIN(J$3-$O$2,$Q$2)/$Q$2))</f>
        <v>3490.54404458271</v>
      </c>
      <c r="K573" s="15" t="n">
        <f aca="false">J573*(1+IF(K$3&lt;=$O$2,$D573,$D573-($D573-$I$562)*MIN(K$3-$O$2,$Q$2)/$Q$2))</f>
        <v>3579.81089074036</v>
      </c>
      <c r="L573" s="15" t="n">
        <f aca="false">K573*(1+IF(L$3&lt;=$O$2,$D573,$D573-($D573-$I$562)*MIN(L$3-$O$2,$Q$2)/$Q$2))</f>
        <v>3686.5463085205</v>
      </c>
      <c r="M573" s="15" t="n">
        <f aca="false">L573*(1+IF(M$3&lt;=$O$2,$D573,$D573-($D573-$I$562)*MIN(M$3-$O$2,$Q$2)/$Q$2))</f>
        <v>3812.10258749151</v>
      </c>
      <c r="N573" s="15" t="n">
        <f aca="false">M573*(1+IF(N$3&lt;=$O$2,$D573,$D573-($D573-$I$562)*MIN(N$3-$O$2,$Q$2)/$Q$2))</f>
        <v>3958.10611659244</v>
      </c>
      <c r="O573" s="15" t="n">
        <f aca="false">SUMPRODUCT(E573:N573,1/(1+$F$562)^$E$3:$N$3)*$E$2</f>
        <v>10204.4223299145</v>
      </c>
      <c r="P573" s="15" t="n">
        <f aca="false">N573*$E$2*(1+$I$562)/($F$562-$I$562)/(1+$F$562)^$N$3</f>
        <v>16687.4299602646</v>
      </c>
      <c r="Q573" s="15" t="n">
        <f aca="false">O573+P573</f>
        <v>26891.852290179</v>
      </c>
      <c r="R573" s="15" t="n">
        <f aca="false">Q573-$G$2+$I$2</f>
        <v>22824.052290179</v>
      </c>
      <c r="S573" s="42" t="n">
        <f aca="false">R573/$K$2</f>
        <v>175.353812923932</v>
      </c>
      <c r="T573" s="43" t="n">
        <f aca="false">S573-$M$2</f>
        <v>-1.27495167348624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0.01708984375</v>
      </c>
      <c r="C574" s="25" t="n">
        <f aca="false">IF(T573&gt;0,D573,C573)</f>
        <v>0.0185546875</v>
      </c>
      <c r="D574" s="41" t="n">
        <f aca="false">(B574+C574)/2</f>
        <v>0.017822265625</v>
      </c>
      <c r="E574" s="15" t="n">
        <f aca="false">$C$2*(1+IF(E$3&lt;=$O$2,$D574,$D574-($D574-$I$562)*MIN(E$3-$O$2,$Q$2)/$Q$2))</f>
        <v>3195.9619140625</v>
      </c>
      <c r="F574" s="15" t="n">
        <f aca="false">E574*(1+IF(F$3&lt;=$O$2,$D574,$D574-($D574-$I$562)*MIN(F$3-$O$2,$Q$2)/$Q$2))</f>
        <v>3252.92119622231</v>
      </c>
      <c r="G574" s="15" t="n">
        <f aca="false">F574*(1+IF(G$3&lt;=$O$2,$D574,$D574-($D574-$I$562)*MIN(G$3-$O$2,$Q$2)/$Q$2))</f>
        <v>3310.89562183857</v>
      </c>
      <c r="H574" s="15" t="n">
        <f aca="false">G574*(1+IF(H$3&lt;=$O$2,$D574,$D574-($D574-$I$562)*MIN(H$3-$O$2,$Q$2)/$Q$2))</f>
        <v>3369.90328306763</v>
      </c>
      <c r="I574" s="15" t="n">
        <f aca="false">H574*(1+IF(I$3&lt;=$O$2,$D574,$D574-($D574-$I$562)*MIN(I$3-$O$2,$Q$2)/$Q$2))</f>
        <v>3429.96259450902</v>
      </c>
      <c r="J574" s="15" t="n">
        <f aca="false">I574*(1+IF(J$3&lt;=$O$2,$D574,$D574-($D574-$I$562)*MIN(J$3-$O$2,$Q$2)/$Q$2))</f>
        <v>3505.13987153748</v>
      </c>
      <c r="K574" s="15" t="n">
        <f aca="false">J574*(1+IF(K$3&lt;=$O$2,$D574,$D574-($D574-$I$562)*MIN(K$3-$O$2,$Q$2)/$Q$2))</f>
        <v>3596.32033467543</v>
      </c>
      <c r="L574" s="15" t="n">
        <f aca="false">K574*(1+IF(L$3&lt;=$O$2,$D574,$D574-($D574-$I$562)*MIN(L$3-$O$2,$Q$2)/$Q$2))</f>
        <v>3704.60160647714</v>
      </c>
      <c r="M574" s="15" t="n">
        <f aca="false">L574*(1+IF(M$3&lt;=$O$2,$D574,$D574-($D574-$I$562)*MIN(M$3-$O$2,$Q$2)/$Q$2))</f>
        <v>3831.31547847269</v>
      </c>
      <c r="N574" s="15" t="n">
        <f aca="false">M574*(1+IF(N$3&lt;=$O$2,$D574,$D574-($D574-$I$562)*MIN(N$3-$O$2,$Q$2)/$Q$2))</f>
        <v>3978.05486129819</v>
      </c>
      <c r="O574" s="15" t="n">
        <f aca="false">SUMPRODUCT(E574:N574,1/(1+$F$562)^$E$3:$N$3)*$E$2</f>
        <v>10237.051046117</v>
      </c>
      <c r="P574" s="15" t="n">
        <f aca="false">N574*$E$2*(1+$I$562)/($F$562-$I$562)/(1+$F$562)^$N$3</f>
        <v>16771.5341429889</v>
      </c>
      <c r="Q574" s="15" t="n">
        <f aca="false">O574+P574</f>
        <v>27008.5851891059</v>
      </c>
      <c r="R574" s="15" t="n">
        <f aca="false">Q574-$G$2+$I$2</f>
        <v>22940.7851891059</v>
      </c>
      <c r="S574" s="42" t="n">
        <f aca="false">R574/$K$2</f>
        <v>176.250654495282</v>
      </c>
      <c r="T574" s="43" t="n">
        <f aca="false">S574-$M$2</f>
        <v>-0.378110102136588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0.017822265625</v>
      </c>
      <c r="C575" s="25" t="n">
        <f aca="false">IF(T574&gt;0,D574,C574)</f>
        <v>0.0185546875</v>
      </c>
      <c r="D575" s="41" t="n">
        <f aca="false">(B575+C575)/2</f>
        <v>0.0181884765625</v>
      </c>
      <c r="E575" s="15" t="n">
        <f aca="false">$C$2*(1+IF(E$3&lt;=$O$2,$D575,$D575-($D575-$I$562)*MIN(E$3-$O$2,$Q$2)/$Q$2))</f>
        <v>3197.11181640625</v>
      </c>
      <c r="F575" s="15" t="n">
        <f aca="false">E575*(1+IF(F$3&lt;=$O$2,$D575,$D575-($D575-$I$562)*MIN(F$3-$O$2,$Q$2)/$Q$2))</f>
        <v>3255.26240974665</v>
      </c>
      <c r="G575" s="15" t="n">
        <f aca="false">F575*(1+IF(G$3&lt;=$O$2,$D575,$D575-($D575-$I$562)*MIN(G$3-$O$2,$Q$2)/$Q$2))</f>
        <v>3314.47067379111</v>
      </c>
      <c r="H575" s="15" t="n">
        <f aca="false">G575*(1+IF(H$3&lt;=$O$2,$D575,$D575-($D575-$I$562)*MIN(H$3-$O$2,$Q$2)/$Q$2))</f>
        <v>3374.75584595845</v>
      </c>
      <c r="I575" s="15" t="n">
        <f aca="false">H575*(1+IF(I$3&lt;=$O$2,$D575,$D575-($D575-$I$562)*MIN(I$3-$O$2,$Q$2)/$Q$2))</f>
        <v>3436.13751356683</v>
      </c>
      <c r="J575" s="15" t="n">
        <f aca="false">I575*(1+IF(J$3&lt;=$O$2,$D575,$D575-($D575-$I$562)*MIN(J$3-$O$2,$Q$2)/$Q$2))</f>
        <v>3512.45681222558</v>
      </c>
      <c r="K575" s="15" t="n">
        <f aca="false">J575*(1+IF(K$3&lt;=$O$2,$D575,$D575-($D575-$I$562)*MIN(K$3-$O$2,$Q$2)/$Q$2))</f>
        <v>3604.59939363245</v>
      </c>
      <c r="L575" s="15" t="n">
        <f aca="false">K575*(1+IF(L$3&lt;=$O$2,$D575,$D575-($D575-$I$562)*MIN(L$3-$O$2,$Q$2)/$Q$2))</f>
        <v>3713.65795633344</v>
      </c>
      <c r="M575" s="15" t="n">
        <f aca="false">L575*(1+IF(M$3&lt;=$O$2,$D575,$D575-($D575-$I$562)*MIN(M$3-$O$2,$Q$2)/$Q$2))</f>
        <v>3840.95359225548</v>
      </c>
      <c r="N575" s="15" t="n">
        <f aca="false">M575*(1+IF(N$3&lt;=$O$2,$D575,$D575-($D575-$I$562)*MIN(N$3-$O$2,$Q$2)/$Q$2))</f>
        <v>3988.06211483886</v>
      </c>
      <c r="O575" s="15" t="n">
        <f aca="false">SUMPRODUCT(E575:N575,1/(1+$F$562)^$E$3:$N$3)*$E$2</f>
        <v>10253.4052110849</v>
      </c>
      <c r="P575" s="15" t="n">
        <f aca="false">N575*$E$2*(1+$I$562)/($F$562-$I$562)/(1+$F$562)^$N$3</f>
        <v>16813.7248618923</v>
      </c>
      <c r="Q575" s="15" t="n">
        <f aca="false">O575+P575</f>
        <v>27067.1300729771</v>
      </c>
      <c r="R575" s="15" t="n">
        <f aca="false">Q575-$G$2+$I$2</f>
        <v>22999.3300729771</v>
      </c>
      <c r="S575" s="42" t="n">
        <f aca="false">R575/$K$2</f>
        <v>176.700446166081</v>
      </c>
      <c r="T575" s="43" t="n">
        <f aca="false">S575-$M$2</f>
        <v>0.0716815686623988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0.017822265625</v>
      </c>
      <c r="C576" s="25" t="n">
        <f aca="false">IF(T575&gt;0,D575,C575)</f>
        <v>0.0181884765625</v>
      </c>
      <c r="D576" s="41" t="n">
        <f aca="false">(B576+C576)/2</f>
        <v>0.01800537109375</v>
      </c>
      <c r="E576" s="15" t="n">
        <f aca="false">$C$2*(1+IF(E$3&lt;=$O$2,$D576,$D576-($D576-$I$562)*MIN(E$3-$O$2,$Q$2)/$Q$2))</f>
        <v>3196.53686523438</v>
      </c>
      <c r="F576" s="15" t="n">
        <f aca="false">E576*(1+IF(F$3&lt;=$O$2,$D576,$D576-($D576-$I$562)*MIN(F$3-$O$2,$Q$2)/$Q$2))</f>
        <v>3254.09169770777</v>
      </c>
      <c r="G576" s="15" t="n">
        <f aca="false">F576*(1+IF(G$3&lt;=$O$2,$D576,$D576-($D576-$I$562)*MIN(G$3-$O$2,$Q$2)/$Q$2))</f>
        <v>3312.68282629809</v>
      </c>
      <c r="H576" s="15" t="n">
        <f aca="false">G576*(1+IF(H$3&lt;=$O$2,$D576,$D576-($D576-$I$562)*MIN(H$3-$O$2,$Q$2)/$Q$2))</f>
        <v>3372.32890990148</v>
      </c>
      <c r="I576" s="15" t="n">
        <f aca="false">H576*(1+IF(I$3&lt;=$O$2,$D576,$D576-($D576-$I$562)*MIN(I$3-$O$2,$Q$2)/$Q$2))</f>
        <v>3433.04894337444</v>
      </c>
      <c r="J576" s="15" t="n">
        <f aca="false">I576*(1+IF(J$3&lt;=$O$2,$D576,$D576-($D576-$I$562)*MIN(J$3-$O$2,$Q$2)/$Q$2))</f>
        <v>3508.79675444746</v>
      </c>
      <c r="K576" s="15" t="n">
        <f aca="false">J576*(1+IF(K$3&lt;=$O$2,$D576,$D576-($D576-$I$562)*MIN(K$3-$O$2,$Q$2)/$Q$2))</f>
        <v>3600.45783331942</v>
      </c>
      <c r="L576" s="15" t="n">
        <f aca="false">K576*(1+IF(L$3&lt;=$O$2,$D576,$D576-($D576-$I$562)*MIN(L$3-$O$2,$Q$2)/$Q$2))</f>
        <v>3709.12738608762</v>
      </c>
      <c r="M576" s="15" t="n">
        <f aca="false">L576*(1+IF(M$3&lt;=$O$2,$D576,$D576-($D576-$I$562)*MIN(M$3-$O$2,$Q$2)/$Q$2))</f>
        <v>3836.13189220145</v>
      </c>
      <c r="N576" s="15" t="n">
        <f aca="false">M576*(1+IF(N$3&lt;=$O$2,$D576,$D576-($D576-$I$562)*MIN(N$3-$O$2,$Q$2)/$Q$2))</f>
        <v>3983.05574367276</v>
      </c>
      <c r="O576" s="15" t="n">
        <f aca="false">SUMPRODUCT(E576:N576,1/(1+$F$562)^$E$3:$N$3)*$E$2</f>
        <v>10245.2248071256</v>
      </c>
      <c r="P576" s="15" t="n">
        <f aca="false">N576*$E$2*(1+$I$562)/($F$562-$I$562)/(1+$F$562)^$N$3</f>
        <v>16792.6179320302</v>
      </c>
      <c r="Q576" s="15" t="n">
        <f aca="false">O576+P576</f>
        <v>27037.8427391558</v>
      </c>
      <c r="R576" s="15" t="n">
        <f aca="false">Q576-$G$2+$I$2</f>
        <v>22970.0427391558</v>
      </c>
      <c r="S576" s="42" t="n">
        <f aca="false">R576/$K$2</f>
        <v>176.47543591853</v>
      </c>
      <c r="T576" s="43" t="n">
        <f aca="false">S576-$M$2</f>
        <v>-0.153328678888869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0.01800537109375</v>
      </c>
      <c r="C577" s="25" t="n">
        <f aca="false">IF(T576&gt;0,D576,C576)</f>
        <v>0.0181884765625</v>
      </c>
      <c r="D577" s="41" t="n">
        <f aca="false">(B577+C577)/2</f>
        <v>0.018096923828125</v>
      </c>
      <c r="E577" s="15" t="n">
        <f aca="false">$C$2*(1+IF(E$3&lt;=$O$2,$D577,$D577-($D577-$I$562)*MIN(E$3-$O$2,$Q$2)/$Q$2))</f>
        <v>3196.82434082031</v>
      </c>
      <c r="F577" s="15" t="n">
        <f aca="false">E577*(1+IF(F$3&lt;=$O$2,$D577,$D577-($D577-$I$562)*MIN(F$3-$O$2,$Q$2)/$Q$2))</f>
        <v>3254.67702740803</v>
      </c>
      <c r="G577" s="15" t="n">
        <f aca="false">F577*(1+IF(G$3&lt;=$O$2,$D577,$D577-($D577-$I$562)*MIN(G$3-$O$2,$Q$2)/$Q$2))</f>
        <v>3313.57666965819</v>
      </c>
      <c r="H577" s="15" t="n">
        <f aca="false">G577*(1+IF(H$3&lt;=$O$2,$D577,$D577-($D577-$I$562)*MIN(H$3-$O$2,$Q$2)/$Q$2))</f>
        <v>3373.54221424764</v>
      </c>
      <c r="I577" s="15" t="n">
        <f aca="false">H577*(1+IF(I$3&lt;=$O$2,$D577,$D577-($D577-$I$562)*MIN(I$3-$O$2,$Q$2)/$Q$2))</f>
        <v>3434.59295072985</v>
      </c>
      <c r="J577" s="15" t="n">
        <f aca="false">I577*(1+IF(J$3&lt;=$O$2,$D577,$D577-($D577-$I$562)*MIN(J$3-$O$2,$Q$2)/$Q$2))</f>
        <v>3510.62638634041</v>
      </c>
      <c r="K577" s="15" t="n">
        <f aca="false">J577*(1+IF(K$3&lt;=$O$2,$D577,$D577-($D577-$I$562)*MIN(K$3-$O$2,$Q$2)/$Q$2))</f>
        <v>3602.52810556071</v>
      </c>
      <c r="L577" s="15" t="n">
        <f aca="false">K577*(1+IF(L$3&lt;=$O$2,$D577,$D577-($D577-$I$562)*MIN(L$3-$O$2,$Q$2)/$Q$2))</f>
        <v>3711.3920721125</v>
      </c>
      <c r="M577" s="15" t="n">
        <f aca="false">L577*(1+IF(M$3&lt;=$O$2,$D577,$D577-($D577-$I$562)*MIN(M$3-$O$2,$Q$2)/$Q$2))</f>
        <v>3838.5420811271</v>
      </c>
      <c r="N577" s="15" t="n">
        <f aca="false">M577*(1+IF(N$3&lt;=$O$2,$D577,$D577-($D577-$I$562)*MIN(N$3-$O$2,$Q$2)/$Q$2))</f>
        <v>3985.55824283426</v>
      </c>
      <c r="O577" s="15" t="n">
        <f aca="false">SUMPRODUCT(E577:N577,1/(1+$F$562)^$E$3:$N$3)*$E$2</f>
        <v>10249.3141784184</v>
      </c>
      <c r="P577" s="15" t="n">
        <f aca="false">N577*$E$2*(1+$I$562)/($F$562-$I$562)/(1+$F$562)^$N$3</f>
        <v>16803.1685029985</v>
      </c>
      <c r="Q577" s="15" t="n">
        <f aca="false">O577+P577</f>
        <v>27052.4826814169</v>
      </c>
      <c r="R577" s="15" t="n">
        <f aca="false">Q577-$G$2+$I$2</f>
        <v>22984.6826814169</v>
      </c>
      <c r="S577" s="42" t="n">
        <f aca="false">R577/$K$2</f>
        <v>176.587912426375</v>
      </c>
      <c r="T577" s="43" t="n">
        <f aca="false">S577-$M$2</f>
        <v>-0.0408521710441221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0.018096923828125</v>
      </c>
      <c r="C578" s="25" t="n">
        <f aca="false">IF(T577&gt;0,D577,C577)</f>
        <v>0.0181884765625</v>
      </c>
      <c r="D578" s="41" t="n">
        <f aca="false">(B578+C578)/2</f>
        <v>0.0181427001953125</v>
      </c>
      <c r="E578" s="15" t="n">
        <f aca="false">$C$2*(1+IF(E$3&lt;=$O$2,$D578,$D578-($D578-$I$562)*MIN(E$3-$O$2,$Q$2)/$Q$2))</f>
        <v>3196.96807861328</v>
      </c>
      <c r="F578" s="15" t="n">
        <f aca="false">E578*(1+IF(F$3&lt;=$O$2,$D578,$D578-($D578-$I$562)*MIN(F$3-$O$2,$Q$2)/$Q$2))</f>
        <v>3254.96971199755</v>
      </c>
      <c r="G578" s="15" t="n">
        <f aca="false">F578*(1+IF(G$3&lt;=$O$2,$D578,$D578-($D578-$I$562)*MIN(G$3-$O$2,$Q$2)/$Q$2))</f>
        <v>3314.02365162714</v>
      </c>
      <c r="H578" s="15" t="n">
        <f aca="false">G578*(1+IF(H$3&lt;=$O$2,$D578,$D578-($D578-$I$562)*MIN(H$3-$O$2,$Q$2)/$Q$2))</f>
        <v>3374.14898917879</v>
      </c>
      <c r="I578" s="15" t="n">
        <f aca="false">H578*(1+IF(I$3&lt;=$O$2,$D578,$D578-($D578-$I$562)*MIN(I$3-$O$2,$Q$2)/$Q$2))</f>
        <v>3435.36516270377</v>
      </c>
      <c r="J578" s="15" t="n">
        <f aca="false">I578*(1+IF(J$3&lt;=$O$2,$D578,$D578-($D578-$I$562)*MIN(J$3-$O$2,$Q$2)/$Q$2))</f>
        <v>3511.54150001677</v>
      </c>
      <c r="K578" s="15" t="n">
        <f aca="false">J578*(1+IF(K$3&lt;=$O$2,$D578,$D578-($D578-$I$562)*MIN(K$3-$O$2,$Q$2)/$Q$2))</f>
        <v>3603.56362259195</v>
      </c>
      <c r="L578" s="15" t="n">
        <f aca="false">K578*(1+IF(L$3&lt;=$O$2,$D578,$D578-($D578-$I$562)*MIN(L$3-$O$2,$Q$2)/$Q$2))</f>
        <v>3712.52486441488</v>
      </c>
      <c r="M578" s="15" t="n">
        <f aca="false">L578*(1+IF(M$3&lt;=$O$2,$D578,$D578-($D578-$I$562)*MIN(M$3-$O$2,$Q$2)/$Q$2))</f>
        <v>3839.74767137709</v>
      </c>
      <c r="N578" s="15" t="n">
        <f aca="false">M578*(1+IF(N$3&lt;=$O$2,$D578,$D578-($D578-$I$562)*MIN(N$3-$O$2,$Q$2)/$Q$2))</f>
        <v>3986.81000719084</v>
      </c>
      <c r="O578" s="15" t="n">
        <f aca="false">SUMPRODUCT(E578:N578,1/(1+$F$562)^$E$3:$N$3)*$E$2</f>
        <v>10251.3594870401</v>
      </c>
      <c r="P578" s="15" t="n">
        <f aca="false">N578*$E$2*(1+$I$562)/($F$562-$I$562)/(1+$F$562)^$N$3</f>
        <v>16808.4459587846</v>
      </c>
      <c r="Q578" s="15" t="n">
        <f aca="false">O578+P578</f>
        <v>27059.8054458248</v>
      </c>
      <c r="R578" s="15" t="n">
        <f aca="false">Q578-$G$2+$I$2</f>
        <v>22992.0054458248</v>
      </c>
      <c r="S578" s="42" t="n">
        <f aca="false">R578/$K$2</f>
        <v>176.644172140633</v>
      </c>
      <c r="T578" s="43" t="n">
        <f aca="false">S578-$M$2</f>
        <v>0.015407543214252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0.018096923828125</v>
      </c>
      <c r="C579" s="25" t="n">
        <f aca="false">IF(T578&gt;0,D578,C578)</f>
        <v>0.0181427001953125</v>
      </c>
      <c r="D579" s="41" t="n">
        <f aca="false">(B579+C579)/2</f>
        <v>0.0181198120117188</v>
      </c>
      <c r="E579" s="15" t="n">
        <f aca="false">$C$2*(1+IF(E$3&lt;=$O$2,$D579,$D579-($D579-$I$562)*MIN(E$3-$O$2,$Q$2)/$Q$2))</f>
        <v>3196.8962097168</v>
      </c>
      <c r="F579" s="15" t="n">
        <f aca="false">E579*(1+IF(F$3&lt;=$O$2,$D579,$D579-($D579-$I$562)*MIN(F$3-$O$2,$Q$2)/$Q$2))</f>
        <v>3254.82336805784</v>
      </c>
      <c r="G579" s="15" t="n">
        <f aca="false">F579*(1+IF(G$3&lt;=$O$2,$D579,$D579-($D579-$I$562)*MIN(G$3-$O$2,$Q$2)/$Q$2))</f>
        <v>3313.8001556184</v>
      </c>
      <c r="H579" s="15" t="n">
        <f aca="false">G579*(1+IF(H$3&lt;=$O$2,$D579,$D579-($D579-$I$562)*MIN(H$3-$O$2,$Q$2)/$Q$2))</f>
        <v>3373.84559148261</v>
      </c>
      <c r="I579" s="15" t="n">
        <f aca="false">H579*(1+IF(I$3&lt;=$O$2,$D579,$D579-($D579-$I$562)*MIN(I$3-$O$2,$Q$2)/$Q$2))</f>
        <v>3434.97903935684</v>
      </c>
      <c r="J579" s="15" t="n">
        <f aca="false">I579*(1+IF(J$3&lt;=$O$2,$D579,$D579-($D579-$I$562)*MIN(J$3-$O$2,$Q$2)/$Q$2))</f>
        <v>3511.08391836419</v>
      </c>
      <c r="K579" s="15" t="n">
        <f aca="false">J579*(1+IF(K$3&lt;=$O$2,$D579,$D579-($D579-$I$562)*MIN(K$3-$O$2,$Q$2)/$Q$2))</f>
        <v>3603.0458323284</v>
      </c>
      <c r="L579" s="15" t="n">
        <f aca="false">K579*(1+IF(L$3&lt;=$O$2,$D579,$D579-($D579-$I$562)*MIN(L$3-$O$2,$Q$2)/$Q$2))</f>
        <v>3711.95843081587</v>
      </c>
      <c r="M579" s="15" t="n">
        <f aca="false">L579*(1+IF(M$3&lt;=$O$2,$D579,$D579-($D579-$I$562)*MIN(M$3-$O$2,$Q$2)/$Q$2))</f>
        <v>3839.1448349284</v>
      </c>
      <c r="N579" s="15" t="n">
        <f aca="false">M579*(1+IF(N$3&lt;=$O$2,$D579,$D579-($D579-$I$562)*MIN(N$3-$O$2,$Q$2)/$Q$2))</f>
        <v>3986.18408210616</v>
      </c>
      <c r="O579" s="15" t="n">
        <f aca="false">SUMPRODUCT(E579:N579,1/(1+$F$562)^$E$3:$N$3)*$E$2</f>
        <v>10250.3367808064</v>
      </c>
      <c r="P579" s="15" t="n">
        <f aca="false">N579*$E$2*(1+$I$562)/($F$562-$I$562)/(1+$F$562)^$N$3</f>
        <v>16805.8070499977</v>
      </c>
      <c r="Q579" s="15" t="n">
        <f aca="false">O579+P579</f>
        <v>27056.143830804</v>
      </c>
      <c r="R579" s="15" t="n">
        <f aca="false">Q579-$G$2+$I$2</f>
        <v>22988.343830804</v>
      </c>
      <c r="S579" s="42" t="n">
        <f aca="false">R579/$K$2</f>
        <v>176.616040494807</v>
      </c>
      <c r="T579" s="43" t="n">
        <f aca="false">S579-$M$2</f>
        <v>-0.0127241026120828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0.0181198120117188</v>
      </c>
      <c r="C580" s="25" t="n">
        <f aca="false">IF(T579&gt;0,D579,C579)</f>
        <v>0.0181427001953125</v>
      </c>
      <c r="D580" s="41" t="n">
        <f aca="false">(B580+C580)/2</f>
        <v>0.0181312561035156</v>
      </c>
      <c r="E580" s="15" t="n">
        <f aca="false">$C$2*(1+IF(E$3&lt;=$O$2,$D580,$D580-($D580-$I$562)*MIN(E$3-$O$2,$Q$2)/$Q$2))</f>
        <v>3196.93214416504</v>
      </c>
      <c r="F580" s="15" t="n">
        <f aca="false">E580*(1+IF(F$3&lt;=$O$2,$D580,$D580-($D580-$I$562)*MIN(F$3-$O$2,$Q$2)/$Q$2))</f>
        <v>3254.89653961646</v>
      </c>
      <c r="G580" s="15" t="n">
        <f aca="false">F580*(1+IF(G$3&lt;=$O$2,$D580,$D580-($D580-$I$562)*MIN(G$3-$O$2,$Q$2)/$Q$2))</f>
        <v>3313.91190236669</v>
      </c>
      <c r="H580" s="15" t="n">
        <f aca="false">G580*(1+IF(H$3&lt;=$O$2,$D580,$D580-($D580-$I$562)*MIN(H$3-$O$2,$Q$2)/$Q$2))</f>
        <v>3373.99728777299</v>
      </c>
      <c r="I580" s="15" t="n">
        <f aca="false">H580*(1+IF(I$3&lt;=$O$2,$D580,$D580-($D580-$I$562)*MIN(I$3-$O$2,$Q$2)/$Q$2))</f>
        <v>3435.17209669017</v>
      </c>
      <c r="J580" s="15" t="n">
        <f aca="false">I580*(1+IF(J$3&lt;=$O$2,$D580,$D580-($D580-$I$562)*MIN(J$3-$O$2,$Q$2)/$Q$2))</f>
        <v>3511.31270298661</v>
      </c>
      <c r="K580" s="15" t="n">
        <f aca="false">J580*(1+IF(K$3&lt;=$O$2,$D580,$D580-($D580-$I$562)*MIN(K$3-$O$2,$Q$2)/$Q$2))</f>
        <v>3603.30471952279</v>
      </c>
      <c r="L580" s="15" t="n">
        <f aca="false">K580*(1+IF(L$3&lt;=$O$2,$D580,$D580-($D580-$I$562)*MIN(L$3-$O$2,$Q$2)/$Q$2))</f>
        <v>3712.24163825289</v>
      </c>
      <c r="M580" s="15" t="n">
        <f aca="false">L580*(1+IF(M$3&lt;=$O$2,$D580,$D580-($D580-$I$562)*MIN(M$3-$O$2,$Q$2)/$Q$2))</f>
        <v>3839.44624282122</v>
      </c>
      <c r="N580" s="15" t="n">
        <f aca="false">M580*(1+IF(N$3&lt;=$O$2,$D580,$D580-($D580-$I$562)*MIN(N$3-$O$2,$Q$2)/$Q$2))</f>
        <v>3986.49703392127</v>
      </c>
      <c r="O580" s="15" t="n">
        <f aca="false">SUMPRODUCT(E580:N580,1/(1+$F$562)^$E$3:$N$3)*$E$2</f>
        <v>10250.8481209419</v>
      </c>
      <c r="P580" s="15" t="n">
        <f aca="false">N580*$E$2*(1+$I$562)/($F$562-$I$562)/(1+$F$562)^$N$3</f>
        <v>16807.126459165</v>
      </c>
      <c r="Q580" s="15" t="n">
        <f aca="false">O580+P580</f>
        <v>27057.9745801069</v>
      </c>
      <c r="R580" s="15" t="n">
        <f aca="false">Q580-$G$2+$I$2</f>
        <v>22990.1745801069</v>
      </c>
      <c r="S580" s="42" t="n">
        <f aca="false">R580/$K$2</f>
        <v>176.63010587052</v>
      </c>
      <c r="T580" s="43" t="n">
        <f aca="false">S580-$M$2</f>
        <v>0.00134127310164445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0.0181198120117188</v>
      </c>
      <c r="C581" s="25" t="n">
        <f aca="false">IF(T580&gt;0,D580,C580)</f>
        <v>0.0181312561035156</v>
      </c>
      <c r="D581" s="41" t="n">
        <f aca="false">(B581+C581)/2</f>
        <v>0.0181255340576172</v>
      </c>
      <c r="E581" s="15" t="n">
        <f aca="false">$C$2*(1+IF(E$3&lt;=$O$2,$D581,$D581-($D581-$I$562)*MIN(E$3-$O$2,$Q$2)/$Q$2))</f>
        <v>3196.91417694092</v>
      </c>
      <c r="F581" s="15" t="n">
        <f aca="false">E581*(1+IF(F$3&lt;=$O$2,$D581,$D581-($D581-$I$562)*MIN(F$3-$O$2,$Q$2)/$Q$2))</f>
        <v>3254.85995373434</v>
      </c>
      <c r="G581" s="15" t="n">
        <f aca="false">F581*(1+IF(G$3&lt;=$O$2,$D581,$D581-($D581-$I$562)*MIN(G$3-$O$2,$Q$2)/$Q$2))</f>
        <v>3313.85602867853</v>
      </c>
      <c r="H581" s="15" t="n">
        <f aca="false">G581*(1+IF(H$3&lt;=$O$2,$D581,$D581-($D581-$I$562)*MIN(H$3-$O$2,$Q$2)/$Q$2))</f>
        <v>3373.92143898838</v>
      </c>
      <c r="I581" s="15" t="n">
        <f aca="false">H581*(1+IF(I$3&lt;=$O$2,$D581,$D581-($D581-$I$562)*MIN(I$3-$O$2,$Q$2)/$Q$2))</f>
        <v>3435.07556693849</v>
      </c>
      <c r="J581" s="15" t="n">
        <f aca="false">I581*(1+IF(J$3&lt;=$O$2,$D581,$D581-($D581-$I$562)*MIN(J$3-$O$2,$Q$2)/$Q$2))</f>
        <v>3511.19830912446</v>
      </c>
      <c r="K581" s="15" t="n">
        <f aca="false">J581*(1+IF(K$3&lt;=$O$2,$D581,$D581-($D581-$I$562)*MIN(K$3-$O$2,$Q$2)/$Q$2))</f>
        <v>3603.1752739413</v>
      </c>
      <c r="L581" s="15" t="n">
        <f aca="false">K581*(1+IF(L$3&lt;=$O$2,$D581,$D581-($D581-$I$562)*MIN(L$3-$O$2,$Q$2)/$Q$2))</f>
        <v>3712.10003219382</v>
      </c>
      <c r="M581" s="15" t="n">
        <f aca="false">L581*(1+IF(M$3&lt;=$O$2,$D581,$D581-($D581-$I$562)*MIN(M$3-$O$2,$Q$2)/$Q$2))</f>
        <v>3839.29553629201</v>
      </c>
      <c r="N581" s="15" t="n">
        <f aca="false">M581*(1+IF(N$3&lt;=$O$2,$D581,$D581-($D581-$I$562)*MIN(N$3-$O$2,$Q$2)/$Q$2))</f>
        <v>3986.34055533199</v>
      </c>
      <c r="O581" s="15" t="n">
        <f aca="false">SUMPRODUCT(E581:N581,1/(1+$F$562)^$E$3:$N$3)*$E$2</f>
        <v>10250.5924476289</v>
      </c>
      <c r="P581" s="15" t="n">
        <f aca="false">N581*$E$2*(1+$I$562)/($F$562-$I$562)/(1+$F$562)^$N$3</f>
        <v>16806.4667432751</v>
      </c>
      <c r="Q581" s="15" t="n">
        <f aca="false">O581+P581</f>
        <v>27057.059190904</v>
      </c>
      <c r="R581" s="15" t="n">
        <f aca="false">Q581-$G$2+$I$2</f>
        <v>22989.259190904</v>
      </c>
      <c r="S581" s="42" t="n">
        <f aca="false">R581/$K$2</f>
        <v>176.623073070867</v>
      </c>
      <c r="T581" s="43" t="n">
        <f aca="false">S581-$M$2</f>
        <v>-0.00569152655197058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0.0181255340576172</v>
      </c>
      <c r="C582" s="25" t="n">
        <f aca="false">IF(T581&gt;0,D581,C581)</f>
        <v>0.0181312561035156</v>
      </c>
      <c r="D582" s="41" t="n">
        <f aca="false">(B582+C582)/2</f>
        <v>0.0181283950805664</v>
      </c>
      <c r="E582" s="15" t="n">
        <f aca="false">$C$2*(1+IF(E$3&lt;=$O$2,$D582,$D582-($D582-$I$562)*MIN(E$3-$O$2,$Q$2)/$Q$2))</f>
        <v>3196.92316055298</v>
      </c>
      <c r="F582" s="15" t="n">
        <f aca="false">E582*(1+IF(F$3&lt;=$O$2,$D582,$D582-($D582-$I$562)*MIN(F$3-$O$2,$Q$2)/$Q$2))</f>
        <v>3254.8782466497</v>
      </c>
      <c r="G582" s="15" t="n">
        <f aca="false">F582*(1+IF(G$3&lt;=$O$2,$D582,$D582-($D582-$I$562)*MIN(G$3-$O$2,$Q$2)/$Q$2))</f>
        <v>3313.8839654441</v>
      </c>
      <c r="H582" s="15" t="n">
        <f aca="false">G582*(1+IF(H$3&lt;=$O$2,$D582,$D582-($D582-$I$562)*MIN(H$3-$O$2,$Q$2)/$Q$2))</f>
        <v>3373.95936322083</v>
      </c>
      <c r="I582" s="15" t="n">
        <f aca="false">H582*(1+IF(I$3&lt;=$O$2,$D582,$D582-($D582-$I$562)*MIN(I$3-$O$2,$Q$2)/$Q$2))</f>
        <v>3435.12383154307</v>
      </c>
      <c r="J582" s="15" t="n">
        <f aca="false">I582*(1+IF(J$3&lt;=$O$2,$D582,$D582-($D582-$I$562)*MIN(J$3-$O$2,$Q$2)/$Q$2))</f>
        <v>3511.2555056678</v>
      </c>
      <c r="K582" s="15" t="n">
        <f aca="false">J582*(1+IF(K$3&lt;=$O$2,$D582,$D582-($D582-$I$562)*MIN(K$3-$O$2,$Q$2)/$Q$2))</f>
        <v>3603.23999623596</v>
      </c>
      <c r="L582" s="15" t="n">
        <f aca="false">K582*(1+IF(L$3&lt;=$O$2,$D582,$D582-($D582-$I$562)*MIN(L$3-$O$2,$Q$2)/$Q$2))</f>
        <v>3712.17083463821</v>
      </c>
      <c r="M582" s="15" t="n">
        <f aca="false">L582*(1+IF(M$3&lt;=$O$2,$D582,$D582-($D582-$I$562)*MIN(M$3-$O$2,$Q$2)/$Q$2))</f>
        <v>3839.3708889109</v>
      </c>
      <c r="N582" s="15" t="n">
        <f aca="false">M582*(1+IF(N$3&lt;=$O$2,$D582,$D582-($D582-$I$562)*MIN(N$3-$O$2,$Q$2)/$Q$2))</f>
        <v>3986.41879395619</v>
      </c>
      <c r="O582" s="15" t="n">
        <f aca="false">SUMPRODUCT(E582:N582,1/(1+$F$562)^$E$3:$N$3)*$E$2</f>
        <v>10250.7202834741</v>
      </c>
      <c r="P582" s="15" t="n">
        <f aca="false">N582*$E$2*(1+$I$562)/($F$562-$I$562)/(1+$F$562)^$N$3</f>
        <v>16806.7965983935</v>
      </c>
      <c r="Q582" s="15" t="n">
        <f aca="false">O582+P582</f>
        <v>27057.5168818675</v>
      </c>
      <c r="R582" s="15" t="n">
        <f aca="false">Q582-$G$2+$I$2</f>
        <v>22989.7168818675</v>
      </c>
      <c r="S582" s="42" t="n">
        <f aca="false">R582/$K$2</f>
        <v>176.626589442744</v>
      </c>
      <c r="T582" s="43" t="n">
        <f aca="false">S582-$M$2</f>
        <v>-0.00217515467474527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0.0181283950805664</v>
      </c>
      <c r="C583" s="25" t="n">
        <f aca="false">IF(T582&gt;0,D582,C582)</f>
        <v>0.0181312561035156</v>
      </c>
      <c r="D583" s="41" t="n">
        <f aca="false">(B583+C583)/2</f>
        <v>0.018129825592041</v>
      </c>
      <c r="E583" s="15" t="n">
        <f aca="false">$C$2*(1+IF(E$3&lt;=$O$2,$D583,$D583-($D583-$I$562)*MIN(E$3-$O$2,$Q$2)/$Q$2))</f>
        <v>3196.92765235901</v>
      </c>
      <c r="F583" s="15" t="n">
        <f aca="false">E583*(1+IF(F$3&lt;=$O$2,$D583,$D583-($D583-$I$562)*MIN(F$3-$O$2,$Q$2)/$Q$2))</f>
        <v>3254.88739312665</v>
      </c>
      <c r="G583" s="15" t="n">
        <f aca="false">F583*(1+IF(G$3&lt;=$O$2,$D583,$D583-($D583-$I$562)*MIN(G$3-$O$2,$Q$2)/$Q$2))</f>
        <v>3313.89793388577</v>
      </c>
      <c r="H583" s="15" t="n">
        <f aca="false">G583*(1+IF(H$3&lt;=$O$2,$D583,$D583-($D583-$I$562)*MIN(H$3-$O$2,$Q$2)/$Q$2))</f>
        <v>3373.97832545694</v>
      </c>
      <c r="I583" s="15" t="n">
        <f aca="false">H583*(1+IF(I$3&lt;=$O$2,$D583,$D583-($D583-$I$562)*MIN(I$3-$O$2,$Q$2)/$Q$2))</f>
        <v>3435.1479640488</v>
      </c>
      <c r="J583" s="15" t="n">
        <f aca="false">I583*(1+IF(J$3&lt;=$O$2,$D583,$D583-($D583-$I$562)*MIN(J$3-$O$2,$Q$2)/$Q$2))</f>
        <v>3511.28410423027</v>
      </c>
      <c r="K583" s="15" t="n">
        <f aca="false">J583*(1+IF(K$3&lt;=$O$2,$D583,$D583-($D583-$I$562)*MIN(K$3-$O$2,$Q$2)/$Q$2))</f>
        <v>3603.27235775535</v>
      </c>
      <c r="L583" s="15" t="n">
        <f aca="false">K583*(1+IF(L$3&lt;=$O$2,$D583,$D583-($D583-$I$562)*MIN(L$3-$O$2,$Q$2)/$Q$2))</f>
        <v>3712.20623629926</v>
      </c>
      <c r="M583" s="15" t="n">
        <f aca="false">L583*(1+IF(M$3&lt;=$O$2,$D583,$D583-($D583-$I$562)*MIN(M$3-$O$2,$Q$2)/$Q$2))</f>
        <v>3839.40856570463</v>
      </c>
      <c r="N583" s="15" t="n">
        <f aca="false">M583*(1+IF(N$3&lt;=$O$2,$D583,$D583-($D583-$I$562)*MIN(N$3-$O$2,$Q$2)/$Q$2))</f>
        <v>3986.45791377112</v>
      </c>
      <c r="O583" s="15" t="n">
        <f aca="false">SUMPRODUCT(E583:N583,1/(1+$F$562)^$E$3:$N$3)*$E$2</f>
        <v>10250.7842020052</v>
      </c>
      <c r="P583" s="15" t="n">
        <f aca="false">N583*$E$2*(1+$I$562)/($F$562-$I$562)/(1+$F$562)^$N$3</f>
        <v>16806.9615280726</v>
      </c>
      <c r="Q583" s="15" t="n">
        <f aca="false">O583+P583</f>
        <v>27057.7457300777</v>
      </c>
      <c r="R583" s="15" t="n">
        <f aca="false">Q583-$G$2+$I$2</f>
        <v>22989.9457300777</v>
      </c>
      <c r="S583" s="42" t="n">
        <f aca="false">R583/$K$2</f>
        <v>176.628347649645</v>
      </c>
      <c r="T583" s="43" t="n">
        <f aca="false">S583-$M$2</f>
        <v>-0.000416947774027676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0.018129825592041</v>
      </c>
      <c r="C584" s="25" t="n">
        <f aca="false">IF(T583&gt;0,D583,C583)</f>
        <v>0.0181312561035156</v>
      </c>
      <c r="D584" s="41" t="n">
        <f aca="false">(B584+C584)/2</f>
        <v>0.0181305408477783</v>
      </c>
      <c r="E584" s="15" t="n">
        <f aca="false">$C$2*(1+IF(E$3&lt;=$O$2,$D584,$D584-($D584-$I$562)*MIN(E$3-$O$2,$Q$2)/$Q$2))</f>
        <v>3196.92989826202</v>
      </c>
      <c r="F584" s="15" t="n">
        <f aca="false">E584*(1+IF(F$3&lt;=$O$2,$D584,$D584-($D584-$I$562)*MIN(F$3-$O$2,$Q$2)/$Q$2))</f>
        <v>3254.89196636995</v>
      </c>
      <c r="G584" s="15" t="n">
        <f aca="false">F584*(1+IF(G$3&lt;=$O$2,$D584,$D584-($D584-$I$562)*MIN(G$3-$O$2,$Q$2)/$Q$2))</f>
        <v>3313.90491812132</v>
      </c>
      <c r="H584" s="15" t="n">
        <f aca="false">G584*(1+IF(H$3&lt;=$O$2,$D584,$D584-($D584-$I$562)*MIN(H$3-$O$2,$Q$2)/$Q$2))</f>
        <v>3373.98780660498</v>
      </c>
      <c r="I584" s="15" t="n">
        <f aca="false">H584*(1+IF(I$3&lt;=$O$2,$D584,$D584-($D584-$I$562)*MIN(I$3-$O$2,$Q$2)/$Q$2))</f>
        <v>3435.16003035253</v>
      </c>
      <c r="J584" s="15" t="n">
        <f aca="false">I584*(1+IF(J$3&lt;=$O$2,$D584,$D584-($D584-$I$562)*MIN(J$3-$O$2,$Q$2)/$Q$2))</f>
        <v>3511.2984035842</v>
      </c>
      <c r="K584" s="15" t="n">
        <f aca="false">J584*(1+IF(K$3&lt;=$O$2,$D584,$D584-($D584-$I$562)*MIN(K$3-$O$2,$Q$2)/$Q$2))</f>
        <v>3603.28853860807</v>
      </c>
      <c r="L584" s="15" t="n">
        <f aca="false">K584*(1+IF(L$3&lt;=$O$2,$D584,$D584-($D584-$I$562)*MIN(L$3-$O$2,$Q$2)/$Q$2))</f>
        <v>3712.22393723951</v>
      </c>
      <c r="M584" s="15" t="n">
        <f aca="false">L584*(1+IF(M$3&lt;=$O$2,$D584,$D584-($D584-$I$562)*MIN(M$3-$O$2,$Q$2)/$Q$2))</f>
        <v>3839.42740422257</v>
      </c>
      <c r="N584" s="15" t="n">
        <f aca="false">M584*(1+IF(N$3&lt;=$O$2,$D584,$D584-($D584-$I$562)*MIN(N$3-$O$2,$Q$2)/$Q$2))</f>
        <v>3986.47747380429</v>
      </c>
      <c r="O584" s="15" t="n">
        <f aca="false">SUMPRODUCT(E584:N584,1/(1+$F$562)^$E$3:$N$3)*$E$2</f>
        <v>10250.8161614228</v>
      </c>
      <c r="P584" s="15" t="n">
        <f aca="false">N584*$E$2*(1+$I$562)/($F$562-$I$562)/(1+$F$562)^$N$3</f>
        <v>16807.0439934421</v>
      </c>
      <c r="Q584" s="15" t="n">
        <f aca="false">O584+P584</f>
        <v>27057.860154865</v>
      </c>
      <c r="R584" s="15" t="n">
        <f aca="false">Q584-$G$2+$I$2</f>
        <v>22990.060154865</v>
      </c>
      <c r="S584" s="42" t="n">
        <f aca="false">R584/$K$2</f>
        <v>176.629226758336</v>
      </c>
      <c r="T584" s="43" t="n">
        <f aca="false">S584-$M$2</f>
        <v>0.000462160916924859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0.018129825592041</v>
      </c>
      <c r="C585" s="25" t="n">
        <f aca="false">IF(T584&gt;0,D584,C584)</f>
        <v>0.0181305408477783</v>
      </c>
      <c r="D585" s="41" t="n">
        <f aca="false">(B585+C585)/2</f>
        <v>0.0181301832199097</v>
      </c>
      <c r="E585" s="15" t="n">
        <f aca="false">$C$2*(1+IF(E$3&lt;=$O$2,$D585,$D585-($D585-$I$562)*MIN(E$3-$O$2,$Q$2)/$Q$2))</f>
        <v>3196.92877531052</v>
      </c>
      <c r="F585" s="15" t="n">
        <f aca="false">E585*(1+IF(F$3&lt;=$O$2,$D585,$D585-($D585-$I$562)*MIN(F$3-$O$2,$Q$2)/$Q$2))</f>
        <v>3254.8896797479</v>
      </c>
      <c r="G585" s="15" t="n">
        <f aca="false">F585*(1+IF(G$3&lt;=$O$2,$D585,$D585-($D585-$I$562)*MIN(G$3-$O$2,$Q$2)/$Q$2))</f>
        <v>3313.90142600232</v>
      </c>
      <c r="H585" s="15" t="n">
        <f aca="false">G585*(1+IF(H$3&lt;=$O$2,$D585,$D585-($D585-$I$562)*MIN(H$3-$O$2,$Q$2)/$Q$2))</f>
        <v>3373.98306602846</v>
      </c>
      <c r="I585" s="15" t="n">
        <f aca="false">H585*(1+IF(I$3&lt;=$O$2,$D585,$D585-($D585-$I$562)*MIN(I$3-$O$2,$Q$2)/$Q$2))</f>
        <v>3435.15399719643</v>
      </c>
      <c r="J585" s="15" t="n">
        <f aca="false">I585*(1+IF(J$3&lt;=$O$2,$D585,$D585-($D585-$I$562)*MIN(J$3-$O$2,$Q$2)/$Q$2))</f>
        <v>3511.29125390118</v>
      </c>
      <c r="K585" s="15" t="n">
        <f aca="false">J585*(1+IF(K$3&lt;=$O$2,$D585,$D585-($D585-$I$562)*MIN(K$3-$O$2,$Q$2)/$Q$2))</f>
        <v>3603.28044817396</v>
      </c>
      <c r="L585" s="15" t="n">
        <f aca="false">K585*(1+IF(L$3&lt;=$O$2,$D585,$D585-($D585-$I$562)*MIN(L$3-$O$2,$Q$2)/$Q$2))</f>
        <v>3712.21508676024</v>
      </c>
      <c r="M585" s="15" t="n">
        <f aca="false">L585*(1+IF(M$3&lt;=$O$2,$D585,$D585-($D585-$I$562)*MIN(M$3-$O$2,$Q$2)/$Q$2))</f>
        <v>3839.41798495351</v>
      </c>
      <c r="N585" s="15" t="n">
        <f aca="false">M585*(1+IF(N$3&lt;=$O$2,$D585,$D585-($D585-$I$562)*MIN(N$3-$O$2,$Q$2)/$Q$2))</f>
        <v>3986.46769377723</v>
      </c>
      <c r="O585" s="15" t="n">
        <f aca="false">SUMPRODUCT(E585:N585,1/(1+$F$562)^$E$3:$N$3)*$E$2</f>
        <v>10250.8001817013</v>
      </c>
      <c r="P585" s="15" t="n">
        <f aca="false">N585*$E$2*(1+$I$562)/($F$562-$I$562)/(1+$F$562)^$N$3</f>
        <v>16807.0027607132</v>
      </c>
      <c r="Q585" s="15" t="n">
        <f aca="false">O585+P585</f>
        <v>27057.8029424145</v>
      </c>
      <c r="R585" s="15" t="n">
        <f aca="false">Q585-$G$2+$I$2</f>
        <v>22990.0029424145</v>
      </c>
      <c r="S585" s="42" t="n">
        <f aca="false">R585/$K$2</f>
        <v>176.628787203553</v>
      </c>
      <c r="T585" s="43" t="n">
        <f aca="false">S585-$M$2</f>
        <v>2.26061347632367E-005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0.018129825592041</v>
      </c>
      <c r="C586" s="25" t="n">
        <f aca="false">IF(T585&gt;0,D585,C585)</f>
        <v>0.0181301832199097</v>
      </c>
      <c r="D586" s="41" t="n">
        <f aca="false">(B586+C586)/2</f>
        <v>0.0181300044059753</v>
      </c>
      <c r="E586" s="15" t="n">
        <f aca="false">$C$2*(1+IF(E$3&lt;=$O$2,$D586,$D586-($D586-$I$562)*MIN(E$3-$O$2,$Q$2)/$Q$2))</f>
        <v>3196.92821383476</v>
      </c>
      <c r="F586" s="15" t="n">
        <f aca="false">E586*(1+IF(F$3&lt;=$O$2,$D586,$D586-($D586-$I$562)*MIN(F$3-$O$2,$Q$2)/$Q$2))</f>
        <v>3254.88853643717</v>
      </c>
      <c r="G586" s="15" t="n">
        <f aca="false">F586*(1+IF(G$3&lt;=$O$2,$D586,$D586-($D586-$I$562)*MIN(G$3-$O$2,$Q$2)/$Q$2))</f>
        <v>3313.89967994374</v>
      </c>
      <c r="H586" s="15" t="n">
        <f aca="false">G586*(1+IF(H$3&lt;=$O$2,$D586,$D586-($D586-$I$562)*MIN(H$3-$O$2,$Q$2)/$Q$2))</f>
        <v>3373.98069574208</v>
      </c>
      <c r="I586" s="15" t="n">
        <f aca="false">H586*(1+IF(I$3&lt;=$O$2,$D586,$D586-($D586-$I$562)*MIN(I$3-$O$2,$Q$2)/$Q$2))</f>
        <v>3435.15098062156</v>
      </c>
      <c r="J586" s="15" t="n">
        <f aca="false">I586*(1+IF(J$3&lt;=$O$2,$D586,$D586-($D586-$I$562)*MIN(J$3-$O$2,$Q$2)/$Q$2))</f>
        <v>3511.28767906421</v>
      </c>
      <c r="K586" s="15" t="n">
        <f aca="false">J586*(1+IF(K$3&lt;=$O$2,$D586,$D586-($D586-$I$562)*MIN(K$3-$O$2,$Q$2)/$Q$2))</f>
        <v>3603.27640296272</v>
      </c>
      <c r="L586" s="15" t="n">
        <f aca="false">K586*(1+IF(L$3&lt;=$O$2,$D586,$D586-($D586-$I$562)*MIN(L$3-$O$2,$Q$2)/$Q$2))</f>
        <v>3712.21066152747</v>
      </c>
      <c r="M586" s="15" t="n">
        <f aca="false">L586*(1+IF(M$3&lt;=$O$2,$D586,$D586-($D586-$I$562)*MIN(M$3-$O$2,$Q$2)/$Q$2))</f>
        <v>3839.41327532655</v>
      </c>
      <c r="N586" s="15" t="n">
        <f aca="false">M586*(1+IF(N$3&lt;=$O$2,$D586,$D586-($D586-$I$562)*MIN(N$3-$O$2,$Q$2)/$Q$2))</f>
        <v>3986.46280377155</v>
      </c>
      <c r="O586" s="15" t="n">
        <f aca="false">SUMPRODUCT(E586:N586,1/(1+$F$562)^$E$3:$N$3)*$E$2</f>
        <v>10250.7921918501</v>
      </c>
      <c r="P586" s="15" t="n">
        <f aca="false">N586*$E$2*(1+$I$562)/($F$562-$I$562)/(1+$F$562)^$N$3</f>
        <v>16806.9821443818</v>
      </c>
      <c r="Q586" s="15" t="n">
        <f aca="false">O586+P586</f>
        <v>27057.7743362319</v>
      </c>
      <c r="R586" s="15" t="n">
        <f aca="false">Q586-$G$2+$I$2</f>
        <v>22989.9743362319</v>
      </c>
      <c r="S586" s="42" t="n">
        <f aca="false">R586/$K$2</f>
        <v>176.62856742649</v>
      </c>
      <c r="T586" s="43" t="n">
        <f aca="false">S586-$M$2</f>
        <v>-0.000197170928856849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0.0181300044059753</v>
      </c>
      <c r="C587" s="25" t="n">
        <f aca="false">IF(T586&gt;0,D586,C586)</f>
        <v>0.0181301832199097</v>
      </c>
      <c r="D587" s="41" t="n">
        <f aca="false">(B587+C587)/2</f>
        <v>0.0181300938129425</v>
      </c>
      <c r="E587" s="15" t="n">
        <f aca="false">$C$2*(1+IF(E$3&lt;=$O$2,$D587,$D587-($D587-$I$562)*MIN(E$3-$O$2,$Q$2)/$Q$2))</f>
        <v>3196.92849457264</v>
      </c>
      <c r="F587" s="15" t="n">
        <f aca="false">E587*(1+IF(F$3&lt;=$O$2,$D587,$D587-($D587-$I$562)*MIN(F$3-$O$2,$Q$2)/$Q$2))</f>
        <v>3254.88910809251</v>
      </c>
      <c r="G587" s="15" t="n">
        <f aca="false">F587*(1+IF(G$3&lt;=$O$2,$D587,$D587-($D587-$I$562)*MIN(G$3-$O$2,$Q$2)/$Q$2))</f>
        <v>3313.90055297295</v>
      </c>
      <c r="H587" s="15" t="n">
        <f aca="false">G587*(1+IF(H$3&lt;=$O$2,$D587,$D587-($D587-$I$562)*MIN(H$3-$O$2,$Q$2)/$Q$2))</f>
        <v>3373.98188088511</v>
      </c>
      <c r="I587" s="15" t="n">
        <f aca="false">H587*(1+IF(I$3&lt;=$O$2,$D587,$D587-($D587-$I$562)*MIN(I$3-$O$2,$Q$2)/$Q$2))</f>
        <v>3435.15248890873</v>
      </c>
      <c r="J587" s="15" t="n">
        <f aca="false">I587*(1+IF(J$3&lt;=$O$2,$D587,$D587-($D587-$I$562)*MIN(J$3-$O$2,$Q$2)/$Q$2))</f>
        <v>3511.28946648231</v>
      </c>
      <c r="K587" s="15" t="n">
        <f aca="false">J587*(1+IF(K$3&lt;=$O$2,$D587,$D587-($D587-$I$562)*MIN(K$3-$O$2,$Q$2)/$Q$2))</f>
        <v>3603.27842556786</v>
      </c>
      <c r="L587" s="15" t="n">
        <f aca="false">K587*(1+IF(L$3&lt;=$O$2,$D587,$D587-($D587-$I$562)*MIN(L$3-$O$2,$Q$2)/$Q$2))</f>
        <v>3712.21287414328</v>
      </c>
      <c r="M587" s="15" t="n">
        <f aca="false">L587*(1+IF(M$3&lt;=$O$2,$D587,$D587-($D587-$I$562)*MIN(M$3-$O$2,$Q$2)/$Q$2))</f>
        <v>3839.4156301394</v>
      </c>
      <c r="N587" s="15" t="n">
        <f aca="false">M587*(1+IF(N$3&lt;=$O$2,$D587,$D587-($D587-$I$562)*MIN(N$3-$O$2,$Q$2)/$Q$2))</f>
        <v>3986.46524877374</v>
      </c>
      <c r="O587" s="15" t="n">
        <f aca="false">SUMPRODUCT(E587:N587,1/(1+$F$562)^$E$3:$N$3)*$E$2</f>
        <v>10250.7961867749</v>
      </c>
      <c r="P587" s="15" t="n">
        <f aca="false">N587*$E$2*(1+$I$562)/($F$562-$I$562)/(1+$F$562)^$N$3</f>
        <v>16806.9924525448</v>
      </c>
      <c r="Q587" s="15" t="n">
        <f aca="false">O587+P587</f>
        <v>27057.7886393197</v>
      </c>
      <c r="R587" s="15" t="n">
        <f aca="false">Q587-$G$2+$I$2</f>
        <v>22989.9886393197</v>
      </c>
      <c r="S587" s="42" t="n">
        <f aca="false">R587/$K$2</f>
        <v>176.628677314994</v>
      </c>
      <c r="T587" s="43" t="n">
        <f aca="false">S587-$M$2</f>
        <v>-8.72824243458581E-005</v>
      </c>
    </row>
    <row r="589" customFormat="false" ht="15" hidden="false" customHeight="false" outlineLevel="0" collapsed="false">
      <c r="A589" s="38" t="s">
        <v>195</v>
      </c>
      <c r="E589" s="5" t="s">
        <v>11</v>
      </c>
      <c r="F589" s="12" t="n">
        <f aca="false">Sensitivity!$B$14</f>
        <v>0.0919413943493295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155</v>
      </c>
      <c r="B590" s="28" t="s">
        <v>156</v>
      </c>
      <c r="C590" s="28" t="s">
        <v>157</v>
      </c>
      <c r="D590" s="28" t="s">
        <v>158</v>
      </c>
      <c r="E590" s="28" t="s">
        <v>159</v>
      </c>
      <c r="F590" s="28" t="s">
        <v>160</v>
      </c>
      <c r="G590" s="28" t="s">
        <v>161</v>
      </c>
      <c r="H590" s="28" t="s">
        <v>162</v>
      </c>
      <c r="I590" s="28" t="s">
        <v>163</v>
      </c>
      <c r="J590" s="28" t="s">
        <v>164</v>
      </c>
      <c r="K590" s="28" t="s">
        <v>165</v>
      </c>
      <c r="L590" s="28" t="s">
        <v>166</v>
      </c>
      <c r="M590" s="28" t="s">
        <v>167</v>
      </c>
      <c r="N590" s="28" t="s">
        <v>168</v>
      </c>
      <c r="O590" s="28" t="s">
        <v>169</v>
      </c>
      <c r="P590" s="28" t="s">
        <v>170</v>
      </c>
      <c r="Q590" s="28" t="s">
        <v>171</v>
      </c>
      <c r="R590" s="28" t="s">
        <v>172</v>
      </c>
      <c r="S590" s="28" t="s">
        <v>173</v>
      </c>
      <c r="T590" s="28" t="s">
        <v>174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3925</v>
      </c>
      <c r="F591" s="15" t="n">
        <f aca="false">E591*(1+IF(F$3&lt;=$O$2,$D591,$D591-($D591-$I$589)*MIN(F$3-$O$2,$Q$2)/$Q$2))</f>
        <v>4906.25</v>
      </c>
      <c r="G591" s="15" t="n">
        <f aca="false">F591*(1+IF(G$3&lt;=$O$2,$D591,$D591-($D591-$I$589)*MIN(G$3-$O$2,$Q$2)/$Q$2))</f>
        <v>6132.8125</v>
      </c>
      <c r="H591" s="15" t="n">
        <f aca="false">G591*(1+IF(H$3&lt;=$O$2,$D591,$D591-($D591-$I$589)*MIN(H$3-$O$2,$Q$2)/$Q$2))</f>
        <v>7666.015625</v>
      </c>
      <c r="I591" s="15" t="n">
        <f aca="false">H591*(1+IF(I$3&lt;=$O$2,$D591,$D591-($D591-$I$589)*MIN(I$3-$O$2,$Q$2)/$Q$2))</f>
        <v>9582.51953125</v>
      </c>
      <c r="J591" s="15" t="n">
        <f aca="false">I591*(1+IF(J$3&lt;=$O$2,$D591,$D591-($D591-$I$589)*MIN(J$3-$O$2,$Q$2)/$Q$2))</f>
        <v>11534.0954589844</v>
      </c>
      <c r="K591" s="15" t="n">
        <f aca="false">J591*(1+IF(K$3&lt;=$O$2,$D591,$D591-($D591-$I$589)*MIN(K$3-$O$2,$Q$2)/$Q$2))</f>
        <v>13348.6393565918</v>
      </c>
      <c r="L591" s="15" t="n">
        <f aca="false">K591*(1+IF(L$3&lt;=$O$2,$D591,$D591-($D591-$I$589)*MIN(L$3-$O$2,$Q$2)/$Q$2))</f>
        <v>14830.0713523864</v>
      </c>
      <c r="M591" s="15" t="n">
        <f aca="false">L591*(1+IF(M$3&lt;=$O$2,$D591,$D591-($D591-$I$589)*MIN(M$3-$O$2,$Q$2)/$Q$2))</f>
        <v>15788.6871646046</v>
      </c>
      <c r="N591" s="15" t="n">
        <f aca="false">M591*(1+IF(N$3&lt;=$O$2,$D591,$D591-($D591-$I$589)*MIN(N$3-$O$2,$Q$2)/$Q$2))</f>
        <v>16077.6201397169</v>
      </c>
      <c r="O591" s="15" t="n">
        <f aca="false">SUMPRODUCT(E591:N591,1/(1+$F$589)^$E$3:$N$3)*$E$2</f>
        <v>26897.0723543784</v>
      </c>
      <c r="P591" s="15" t="n">
        <f aca="false">N591*$E$2*(1+$I$589)/($F$589-$I$589)/(1+$F$589)^$N$3</f>
        <v>41940.0239044048</v>
      </c>
      <c r="Q591" s="15" t="n">
        <f aca="false">O591+P591</f>
        <v>68837.0962587832</v>
      </c>
      <c r="R591" s="15" t="n">
        <f aca="false">Q591-$G$2+$I$2</f>
        <v>64769.2962587832</v>
      </c>
      <c r="S591" s="42" t="n">
        <f aca="false">R591/$K$2</f>
        <v>497.612909179342</v>
      </c>
      <c r="T591" s="43" t="n">
        <f aca="false">S591-$M$2</f>
        <v>320.984144581924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2747.5</v>
      </c>
      <c r="F592" s="15" t="n">
        <f aca="false">E592*(1+IF(F$3&lt;=$O$2,$D592,$D592-($D592-$I$589)*MIN(F$3-$O$2,$Q$2)/$Q$2))</f>
        <v>2404.0625</v>
      </c>
      <c r="G592" s="15" t="n">
        <f aca="false">F592*(1+IF(G$3&lt;=$O$2,$D592,$D592-($D592-$I$589)*MIN(G$3-$O$2,$Q$2)/$Q$2))</f>
        <v>2103.5546875</v>
      </c>
      <c r="H592" s="15" t="n">
        <f aca="false">G592*(1+IF(H$3&lt;=$O$2,$D592,$D592-($D592-$I$589)*MIN(H$3-$O$2,$Q$2)/$Q$2))</f>
        <v>1840.6103515625</v>
      </c>
      <c r="I592" s="15" t="n">
        <f aca="false">H592*(1+IF(I$3&lt;=$O$2,$D592,$D592-($D592-$I$589)*MIN(I$3-$O$2,$Q$2)/$Q$2))</f>
        <v>1610.53405761719</v>
      </c>
      <c r="J592" s="15" t="n">
        <f aca="false">I592*(1+IF(J$3&lt;=$O$2,$D592,$D592-($D592-$I$589)*MIN(J$3-$O$2,$Q$2)/$Q$2))</f>
        <v>1455.37520650635</v>
      </c>
      <c r="K592" s="15" t="n">
        <f aca="false">J592*(1+IF(K$3&lt;=$O$2,$D592,$D592-($D592-$I$589)*MIN(K$3-$O$2,$Q$2)/$Q$2))</f>
        <v>1356.87541253</v>
      </c>
      <c r="L592" s="15" t="n">
        <f aca="false">K592*(1+IF(L$3&lt;=$O$2,$D592,$D592-($D592-$I$589)*MIN(L$3-$O$2,$Q$2)/$Q$2))</f>
        <v>1303.93013393308</v>
      </c>
      <c r="M592" s="15" t="n">
        <f aca="false">L592*(1+IF(M$3&lt;=$O$2,$D592,$D592-($D592-$I$589)*MIN(M$3-$O$2,$Q$2)/$Q$2))</f>
        <v>1290.42141774553</v>
      </c>
      <c r="N592" s="15" t="n">
        <f aca="false">M592*(1+IF(N$3&lt;=$O$2,$D592,$D592-($D592-$I$589)*MIN(N$3-$O$2,$Q$2)/$Q$2))</f>
        <v>1314.03612969027</v>
      </c>
      <c r="O592" s="15" t="n">
        <f aca="false">SUMPRODUCT(E592:N592,1/(1+$F$589)^$E$3:$N$3)*$E$2</f>
        <v>5385.87046617031</v>
      </c>
      <c r="P592" s="15" t="n">
        <f aca="false">N592*$E$2*(1+$I$589)/($F$589-$I$589)/(1+$F$589)^$N$3</f>
        <v>3427.79007163632</v>
      </c>
      <c r="Q592" s="15" t="n">
        <f aca="false">O592+P592</f>
        <v>8813.66053780663</v>
      </c>
      <c r="R592" s="15" t="n">
        <f aca="false">Q592-$G$2+$I$2</f>
        <v>4745.86053780663</v>
      </c>
      <c r="S592" s="42" t="n">
        <f aca="false">R592/$K$2</f>
        <v>36.4617435295531</v>
      </c>
      <c r="T592" s="43" t="n">
        <f aca="false">S592-$M$2</f>
        <v>-140.167021067866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3336.25</v>
      </c>
      <c r="F593" s="15" t="n">
        <f aca="false">E593*(1+IF(F$3&lt;=$O$2,$D593,$D593-($D593-$I$589)*MIN(F$3-$O$2,$Q$2)/$Q$2))</f>
        <v>3544.765625</v>
      </c>
      <c r="G593" s="15" t="n">
        <f aca="false">F593*(1+IF(G$3&lt;=$O$2,$D593,$D593-($D593-$I$589)*MIN(G$3-$O$2,$Q$2)/$Q$2))</f>
        <v>3766.3134765625</v>
      </c>
      <c r="H593" s="15" t="n">
        <f aca="false">G593*(1+IF(H$3&lt;=$O$2,$D593,$D593-($D593-$I$589)*MIN(H$3-$O$2,$Q$2)/$Q$2))</f>
        <v>4001.70806884766</v>
      </c>
      <c r="I593" s="15" t="n">
        <f aca="false">H593*(1+IF(I$3&lt;=$O$2,$D593,$D593-($D593-$I$589)*MIN(I$3-$O$2,$Q$2)/$Q$2))</f>
        <v>4251.81482315064</v>
      </c>
      <c r="J593" s="15" t="n">
        <f aca="false">I593*(1+IF(J$3&lt;=$O$2,$D593,$D593-($D593-$I$589)*MIN(J$3-$O$2,$Q$2)/$Q$2))</f>
        <v>4479.9672065609</v>
      </c>
      <c r="K593" s="15" t="n">
        <f aca="false">J593*(1+IF(K$3&lt;=$O$2,$D593,$D593-($D593-$I$589)*MIN(K$3-$O$2,$Q$2)/$Q$2))</f>
        <v>4680.75933675896</v>
      </c>
      <c r="L593" s="15" t="n">
        <f aca="false">K593*(1+IF(L$3&lt;=$O$2,$D593,$D593-($D593-$I$589)*MIN(L$3-$O$2,$Q$2)/$Q$2))</f>
        <v>4849.17305769555</v>
      </c>
      <c r="M593" s="15" t="n">
        <f aca="false">L593*(1+IF(M$3&lt;=$O$2,$D593,$D593-($D593-$I$589)*MIN(M$3-$O$2,$Q$2)/$Q$2))</f>
        <v>4980.7796144814</v>
      </c>
      <c r="N593" s="15" t="n">
        <f aca="false">M593*(1+IF(N$3&lt;=$O$2,$D593,$D593-($D593-$I$589)*MIN(N$3-$O$2,$Q$2)/$Q$2))</f>
        <v>5071.92788142641</v>
      </c>
      <c r="O593" s="15" t="n">
        <f aca="false">SUMPRODUCT(E593:N593,1/(1+$F$589)^$E$3:$N$3)*$E$2</f>
        <v>12005.2186027265</v>
      </c>
      <c r="P593" s="15" t="n">
        <f aca="false">N593*$E$2*(1+$I$589)/($F$589-$I$589)/(1+$F$589)^$N$3</f>
        <v>13230.6134079485</v>
      </c>
      <c r="Q593" s="15" t="n">
        <f aca="false">O593+P593</f>
        <v>25235.8320106751</v>
      </c>
      <c r="R593" s="15" t="n">
        <f aca="false">Q593-$G$2+$I$2</f>
        <v>21168.0320106751</v>
      </c>
      <c r="S593" s="42" t="n">
        <f aca="false">R593/$K$2</f>
        <v>162.630854415143</v>
      </c>
      <c r="T593" s="43" t="n">
        <f aca="false">S593-$M$2</f>
        <v>-13.9979101822753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3630.625</v>
      </c>
      <c r="F594" s="15" t="n">
        <f aca="false">E594*(1+IF(F$3&lt;=$O$2,$D594,$D594-($D594-$I$589)*MIN(F$3-$O$2,$Q$2)/$Q$2))</f>
        <v>4197.91015625</v>
      </c>
      <c r="G594" s="15" t="n">
        <f aca="false">F594*(1+IF(G$3&lt;=$O$2,$D594,$D594-($D594-$I$589)*MIN(G$3-$O$2,$Q$2)/$Q$2))</f>
        <v>4853.83361816406</v>
      </c>
      <c r="H594" s="15" t="n">
        <f aca="false">G594*(1+IF(H$3&lt;=$O$2,$D594,$D594-($D594-$I$589)*MIN(H$3-$O$2,$Q$2)/$Q$2))</f>
        <v>5612.2451210022</v>
      </c>
      <c r="I594" s="15" t="n">
        <f aca="false">H594*(1+IF(I$3&lt;=$O$2,$D594,$D594-($D594-$I$589)*MIN(I$3-$O$2,$Q$2)/$Q$2))</f>
        <v>6489.15842115879</v>
      </c>
      <c r="J594" s="15" t="n">
        <f aca="false">I594*(1+IF(J$3&lt;=$O$2,$D594,$D594-($D594-$I$589)*MIN(J$3-$O$2,$Q$2)/$Q$2))</f>
        <v>7324.05354362508</v>
      </c>
      <c r="K594" s="15" t="n">
        <f aca="false">J594*(1+IF(K$3&lt;=$O$2,$D594,$D594-($D594-$I$589)*MIN(K$3-$O$2,$Q$2)/$Q$2))</f>
        <v>8064.29563527927</v>
      </c>
      <c r="L594" s="15" t="n">
        <f aca="false">K594*(1+IF(L$3&lt;=$O$2,$D594,$D594-($D594-$I$589)*MIN(L$3-$O$2,$Q$2)/$Q$2))</f>
        <v>8656.86007855959</v>
      </c>
      <c r="M594" s="15" t="n">
        <f aca="false">L594*(1+IF(M$3&lt;=$O$2,$D594,$D594-($D594-$I$589)*MIN(M$3-$O$2,$Q$2)/$Q$2))</f>
        <v>9054.12338756469</v>
      </c>
      <c r="N594" s="15" t="n">
        <f aca="false">M594*(1+IF(N$3&lt;=$O$2,$D594,$D594-($D594-$I$589)*MIN(N$3-$O$2,$Q$2)/$Q$2))</f>
        <v>9219.81384555712</v>
      </c>
      <c r="O594" s="15" t="n">
        <f aca="false">SUMPRODUCT(E594:N594,1/(1+$F$589)^$E$3:$N$3)*$E$2</f>
        <v>17998.632879941</v>
      </c>
      <c r="P594" s="15" t="n">
        <f aca="false">N594*$E$2*(1+$I$589)/($F$589-$I$589)/(1+$F$589)^$N$3</f>
        <v>24050.7742885159</v>
      </c>
      <c r="Q594" s="15" t="n">
        <f aca="false">O594+P594</f>
        <v>42049.4071684569</v>
      </c>
      <c r="R594" s="15" t="n">
        <f aca="false">Q594-$G$2+$I$2</f>
        <v>37981.6071684569</v>
      </c>
      <c r="S594" s="42" t="n">
        <f aca="false">R594/$K$2</f>
        <v>291.807061835102</v>
      </c>
      <c r="T594" s="43" t="n">
        <f aca="false">S594-$M$2</f>
        <v>115.178297237684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3483.4375</v>
      </c>
      <c r="F595" s="15" t="n">
        <f aca="false">E595*(1+IF(F$3&lt;=$O$2,$D595,$D595-($D595-$I$589)*MIN(F$3-$O$2,$Q$2)/$Q$2))</f>
        <v>3864.4384765625</v>
      </c>
      <c r="G595" s="15" t="n">
        <f aca="false">F595*(1+IF(G$3&lt;=$O$2,$D595,$D595-($D595-$I$589)*MIN(G$3-$O$2,$Q$2)/$Q$2))</f>
        <v>4287.11143493652</v>
      </c>
      <c r="H595" s="15" t="n">
        <f aca="false">G595*(1+IF(H$3&lt;=$O$2,$D595,$D595-($D595-$I$589)*MIN(H$3-$O$2,$Q$2)/$Q$2))</f>
        <v>4756.01424813271</v>
      </c>
      <c r="I595" s="15" t="n">
        <f aca="false">H595*(1+IF(I$3&lt;=$O$2,$D595,$D595-($D595-$I$589)*MIN(I$3-$O$2,$Q$2)/$Q$2))</f>
        <v>5276.20330652222</v>
      </c>
      <c r="J595" s="15" t="n">
        <f aca="false">I595*(1+IF(J$3&lt;=$O$2,$D595,$D595-($D595-$I$589)*MIN(J$3-$O$2,$Q$2)/$Q$2))</f>
        <v>5757.18199994479</v>
      </c>
      <c r="K595" s="15" t="n">
        <f aca="false">J595*(1+IF(K$3&lt;=$O$2,$D595,$D595-($D595-$I$589)*MIN(K$3-$O$2,$Q$2)/$Q$2))</f>
        <v>6177.13964093076</v>
      </c>
      <c r="L595" s="15" t="n">
        <f aca="false">K595*(1+IF(L$3&lt;=$O$2,$D595,$D595-($D595-$I$589)*MIN(L$3-$O$2,$Q$2)/$Q$2))</f>
        <v>6515.2144934789</v>
      </c>
      <c r="M595" s="15" t="n">
        <f aca="false">L595*(1+IF(M$3&lt;=$O$2,$D595,$D595-($D595-$I$589)*MIN(M$3-$O$2,$Q$2)/$Q$2))</f>
        <v>6753.11755070828</v>
      </c>
      <c r="N595" s="15" t="n">
        <f aca="false">M595*(1+IF(N$3&lt;=$O$2,$D595,$D595-($D595-$I$589)*MIN(N$3-$O$2,$Q$2)/$Q$2))</f>
        <v>6876.69960188624</v>
      </c>
      <c r="O595" s="15" t="n">
        <f aca="false">SUMPRODUCT(E595:N595,1/(1+$F$589)^$E$3:$N$3)*$E$2</f>
        <v>14701.8183440576</v>
      </c>
      <c r="P595" s="15" t="n">
        <f aca="false">N595*$E$2*(1+$I$589)/($F$589-$I$589)/(1+$F$589)^$N$3</f>
        <v>17938.5346326262</v>
      </c>
      <c r="Q595" s="15" t="n">
        <f aca="false">O595+P595</f>
        <v>32640.3529766838</v>
      </c>
      <c r="R595" s="15" t="n">
        <f aca="false">Q595-$G$2+$I$2</f>
        <v>28572.5529766838</v>
      </c>
      <c r="S595" s="42" t="n">
        <f aca="false">R595/$K$2</f>
        <v>219.518692199476</v>
      </c>
      <c r="T595" s="43" t="n">
        <f aca="false">S595-$M$2</f>
        <v>42.8899276020576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41" t="n">
        <f aca="false">(B596+C596)/2</f>
        <v>0.0859375</v>
      </c>
      <c r="E596" s="15" t="n">
        <f aca="false">$C$2*(1+IF(E$3&lt;=$O$2,$D596,$D596-($D596-$I$589)*MIN(E$3-$O$2,$Q$2)/$Q$2))</f>
        <v>3409.84375</v>
      </c>
      <c r="F596" s="15" t="n">
        <f aca="false">E596*(1+IF(F$3&lt;=$O$2,$D596,$D596-($D596-$I$589)*MIN(F$3-$O$2,$Q$2)/$Q$2))</f>
        <v>3702.87719726563</v>
      </c>
      <c r="G596" s="15" t="n">
        <f aca="false">F596*(1+IF(G$3&lt;=$O$2,$D596,$D596-($D596-$I$589)*MIN(G$3-$O$2,$Q$2)/$Q$2))</f>
        <v>4021.09320640564</v>
      </c>
      <c r="H596" s="15" t="n">
        <f aca="false">G596*(1+IF(H$3&lt;=$O$2,$D596,$D596-($D596-$I$589)*MIN(H$3-$O$2,$Q$2)/$Q$2))</f>
        <v>4366.65590383112</v>
      </c>
      <c r="I596" s="15" t="n">
        <f aca="false">H596*(1+IF(I$3&lt;=$O$2,$D596,$D596-($D596-$I$589)*MIN(I$3-$O$2,$Q$2)/$Q$2))</f>
        <v>4741.91539556661</v>
      </c>
      <c r="J596" s="15" t="n">
        <f aca="false">I596*(1+IF(J$3&lt;=$O$2,$D596,$D596-($D596-$I$589)*MIN(J$3-$O$2,$Q$2)/$Q$2))</f>
        <v>5085.27748935959</v>
      </c>
      <c r="K596" s="15" t="n">
        <f aca="false">J596*(1+IF(K$3&lt;=$O$2,$D596,$D596-($D596-$I$589)*MIN(K$3-$O$2,$Q$2)/$Q$2))</f>
        <v>5384.71134112681</v>
      </c>
      <c r="L596" s="15" t="n">
        <f aca="false">K596*(1+IF(L$3&lt;=$O$2,$D596,$D596-($D596-$I$589)*MIN(L$3-$O$2,$Q$2)/$Q$2))</f>
        <v>5628.93492400361</v>
      </c>
      <c r="M596" s="15" t="n">
        <f aca="false">L596*(1+IF(M$3&lt;=$O$2,$D596,$D596-($D596-$I$589)*MIN(M$3-$O$2,$Q$2)/$Q$2))</f>
        <v>5808.08985029734</v>
      </c>
      <c r="N596" s="15" t="n">
        <f aca="false">M596*(1+IF(N$3&lt;=$O$2,$D596,$D596-($D596-$I$589)*MIN(N$3-$O$2,$Q$2)/$Q$2))</f>
        <v>5914.37789455778</v>
      </c>
      <c r="O596" s="15" t="n">
        <f aca="false">SUMPRODUCT(E596:N596,1/(1+$F$589)^$E$3:$N$3)*$E$2</f>
        <v>13285.3190117687</v>
      </c>
      <c r="P596" s="15" t="n">
        <f aca="false">N596*$E$2*(1+$I$589)/($F$589-$I$589)/(1+$F$589)^$N$3</f>
        <v>15428.2255782792</v>
      </c>
      <c r="Q596" s="15" t="n">
        <f aca="false">O596+P596</f>
        <v>28713.5445900479</v>
      </c>
      <c r="R596" s="15" t="n">
        <f aca="false">Q596-$G$2+$I$2</f>
        <v>24645.7445900479</v>
      </c>
      <c r="S596" s="42" t="n">
        <f aca="false">R596/$K$2</f>
        <v>189.349605024953</v>
      </c>
      <c r="T596" s="43" t="n">
        <f aca="false">S596-$M$2</f>
        <v>12.7208404275345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0.0625</v>
      </c>
      <c r="C597" s="25" t="n">
        <f aca="false">IF(T596&gt;0,D596,C596)</f>
        <v>0.0859375</v>
      </c>
      <c r="D597" s="41" t="n">
        <f aca="false">(B597+C597)/2</f>
        <v>0.07421875</v>
      </c>
      <c r="E597" s="15" t="n">
        <f aca="false">$C$2*(1+IF(E$3&lt;=$O$2,$D597,$D597-($D597-$I$589)*MIN(E$3-$O$2,$Q$2)/$Q$2))</f>
        <v>3373.046875</v>
      </c>
      <c r="F597" s="15" t="n">
        <f aca="false">E597*(1+IF(F$3&lt;=$O$2,$D597,$D597-($D597-$I$589)*MIN(F$3-$O$2,$Q$2)/$Q$2))</f>
        <v>3623.39019775391</v>
      </c>
      <c r="G597" s="15" t="n">
        <f aca="false">F597*(1+IF(G$3&lt;=$O$2,$D597,$D597-($D597-$I$589)*MIN(G$3-$O$2,$Q$2)/$Q$2))</f>
        <v>3892.31368899345</v>
      </c>
      <c r="H597" s="15" t="n">
        <f aca="false">G597*(1+IF(H$3&lt;=$O$2,$D597,$D597-($D597-$I$589)*MIN(H$3-$O$2,$Q$2)/$Q$2))</f>
        <v>4181.19634559844</v>
      </c>
      <c r="I597" s="15" t="n">
        <f aca="false">H597*(1+IF(I$3&lt;=$O$2,$D597,$D597-($D597-$I$589)*MIN(I$3-$O$2,$Q$2)/$Q$2))</f>
        <v>4491.51951187332</v>
      </c>
      <c r="J597" s="15" t="n">
        <f aca="false">I597*(1+IF(J$3&lt;=$O$2,$D597,$D597-($D597-$I$589)*MIN(J$3-$O$2,$Q$2)/$Q$2))</f>
        <v>4774.64244430426</v>
      </c>
      <c r="K597" s="15" t="n">
        <f aca="false">J597*(1+IF(K$3&lt;=$O$2,$D597,$D597-($D597-$I$589)*MIN(K$3-$O$2,$Q$2)/$Q$2))</f>
        <v>5022.21362334449</v>
      </c>
      <c r="L597" s="15" t="n">
        <f aca="false">K597*(1+IF(L$3&lt;=$O$2,$D597,$D597-($D597-$I$589)*MIN(L$3-$O$2,$Q$2)/$Q$2))</f>
        <v>5226.45449587185</v>
      </c>
      <c r="M597" s="15" t="n">
        <f aca="false">L597*(1+IF(M$3&lt;=$O$2,$D597,$D597-($D597-$I$589)*MIN(M$3-$O$2,$Q$2)/$Q$2))</f>
        <v>5380.54997361451</v>
      </c>
      <c r="N597" s="15" t="n">
        <f aca="false">M597*(1+IF(N$3&lt;=$O$2,$D597,$D597-($D597-$I$589)*MIN(N$3-$O$2,$Q$2)/$Q$2))</f>
        <v>5479.01403813166</v>
      </c>
      <c r="O597" s="15" t="n">
        <f aca="false">SUMPRODUCT(E597:N597,1/(1+$F$589)^$E$3:$N$3)*$E$2</f>
        <v>12629.0130298849</v>
      </c>
      <c r="P597" s="15" t="n">
        <f aca="false">N597*$E$2*(1+$I$589)/($F$589-$I$589)/(1+$F$589)^$N$3</f>
        <v>14292.536938608</v>
      </c>
      <c r="Q597" s="15" t="n">
        <f aca="false">O597+P597</f>
        <v>26921.5499684929</v>
      </c>
      <c r="R597" s="15" t="n">
        <f aca="false">Q597-$G$2+$I$2</f>
        <v>22853.7499684929</v>
      </c>
      <c r="S597" s="42" t="n">
        <f aca="false">R597/$K$2</f>
        <v>175.581975787437</v>
      </c>
      <c r="T597" s="43" t="n">
        <f aca="false">S597-$M$2</f>
        <v>-1.04678880998114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0.07421875</v>
      </c>
      <c r="C598" s="25" t="n">
        <f aca="false">IF(T597&gt;0,D597,C597)</f>
        <v>0.0859375</v>
      </c>
      <c r="D598" s="41" t="n">
        <f aca="false">(B598+C598)/2</f>
        <v>0.080078125</v>
      </c>
      <c r="E598" s="15" t="n">
        <f aca="false">$C$2*(1+IF(E$3&lt;=$O$2,$D598,$D598-($D598-$I$589)*MIN(E$3-$O$2,$Q$2)/$Q$2))</f>
        <v>3391.4453125</v>
      </c>
      <c r="F598" s="15" t="n">
        <f aca="false">E598*(1+IF(F$3&lt;=$O$2,$D598,$D598-($D598-$I$589)*MIN(F$3-$O$2,$Q$2)/$Q$2))</f>
        <v>3663.02589416504</v>
      </c>
      <c r="G598" s="15" t="n">
        <f aca="false">F598*(1+IF(G$3&lt;=$O$2,$D598,$D598-($D598-$I$589)*MIN(G$3-$O$2,$Q$2)/$Q$2))</f>
        <v>3956.35413959622</v>
      </c>
      <c r="H598" s="15" t="n">
        <f aca="false">G598*(1+IF(H$3&lt;=$O$2,$D598,$D598-($D598-$I$589)*MIN(H$3-$O$2,$Q$2)/$Q$2))</f>
        <v>4273.17156093108</v>
      </c>
      <c r="I598" s="15" t="n">
        <f aca="false">H598*(1+IF(I$3&lt;=$O$2,$D598,$D598-($D598-$I$589)*MIN(I$3-$O$2,$Q$2)/$Q$2))</f>
        <v>4615.35912733376</v>
      </c>
      <c r="J598" s="15" t="n">
        <f aca="false">I598*(1+IF(J$3&lt;=$O$2,$D598,$D598-($D598-$I$589)*MIN(J$3-$O$2,$Q$2)/$Q$2))</f>
        <v>4927.92278583462</v>
      </c>
      <c r="K598" s="15" t="n">
        <f aca="false">J598*(1+IF(K$3&lt;=$O$2,$D598,$D598-($D598-$I$589)*MIN(K$3-$O$2,$Q$2)/$Q$2))</f>
        <v>5200.76647072758</v>
      </c>
      <c r="L598" s="15" t="n">
        <f aca="false">K598*(1+IF(L$3&lt;=$O$2,$D598,$D598-($D598-$I$589)*MIN(L$3-$O$2,$Q$2)/$Q$2))</f>
        <v>5424.45793759166</v>
      </c>
      <c r="M598" s="15" t="n">
        <f aca="false">L598*(1+IF(M$3&lt;=$O$2,$D598,$D598-($D598-$I$589)*MIN(M$3-$O$2,$Q$2)/$Q$2))</f>
        <v>5590.74808595475</v>
      </c>
      <c r="N598" s="15" t="n">
        <f aca="false">M598*(1+IF(N$3&lt;=$O$2,$D598,$D598-($D598-$I$589)*MIN(N$3-$O$2,$Q$2)/$Q$2))</f>
        <v>5693.05877592772</v>
      </c>
      <c r="O598" s="15" t="n">
        <f aca="false">SUMPRODUCT(E598:N598,1/(1+$F$589)^$E$3:$N$3)*$E$2</f>
        <v>12953.0053499547</v>
      </c>
      <c r="P598" s="15" t="n">
        <f aca="false">N598*$E$2*(1+$I$589)/($F$589-$I$589)/(1+$F$589)^$N$3</f>
        <v>14850.8932961887</v>
      </c>
      <c r="Q598" s="15" t="n">
        <f aca="false">O598+P598</f>
        <v>27803.8986461435</v>
      </c>
      <c r="R598" s="15" t="n">
        <f aca="false">Q598-$G$2+$I$2</f>
        <v>23736.0986461435</v>
      </c>
      <c r="S598" s="42" t="n">
        <f aca="false">R598/$K$2</f>
        <v>182.36092997959</v>
      </c>
      <c r="T598" s="43" t="n">
        <f aca="false">S598-$M$2</f>
        <v>5.73216538217153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0.07421875</v>
      </c>
      <c r="C599" s="25" t="n">
        <f aca="false">IF(T598&gt;0,D598,C598)</f>
        <v>0.080078125</v>
      </c>
      <c r="D599" s="41" t="n">
        <f aca="false">(B599+C599)/2</f>
        <v>0.0771484375</v>
      </c>
      <c r="E599" s="15" t="n">
        <f aca="false">$C$2*(1+IF(E$3&lt;=$O$2,$D599,$D599-($D599-$I$589)*MIN(E$3-$O$2,$Q$2)/$Q$2))</f>
        <v>3382.24609375</v>
      </c>
      <c r="F599" s="15" t="n">
        <f aca="false">E599*(1+IF(F$3&lt;=$O$2,$D599,$D599-($D599-$I$589)*MIN(F$3-$O$2,$Q$2)/$Q$2))</f>
        <v>3643.18109512329</v>
      </c>
      <c r="G599" s="15" t="n">
        <f aca="false">F599*(1+IF(G$3&lt;=$O$2,$D599,$D599-($D599-$I$589)*MIN(G$3-$O$2,$Q$2)/$Q$2))</f>
        <v>3924.24682414159</v>
      </c>
      <c r="H599" s="15" t="n">
        <f aca="false">G599*(1+IF(H$3&lt;=$O$2,$D599,$D599-($D599-$I$589)*MIN(H$3-$O$2,$Q$2)/$Q$2))</f>
        <v>4226.99633498845</v>
      </c>
      <c r="I599" s="15" t="n">
        <f aca="false">H599*(1+IF(I$3&lt;=$O$2,$D599,$D599-($D599-$I$589)*MIN(I$3-$O$2,$Q$2)/$Q$2))</f>
        <v>4553.10249755104</v>
      </c>
      <c r="J599" s="15" t="n">
        <f aca="false">I599*(1+IF(J$3&lt;=$O$2,$D599,$D599-($D599-$I$589)*MIN(J$3-$O$2,$Q$2)/$Q$2))</f>
        <v>4850.7786474628</v>
      </c>
      <c r="K599" s="15" t="n">
        <f aca="false">J599*(1+IF(K$3&lt;=$O$2,$D599,$D599-($D599-$I$589)*MIN(K$3-$O$2,$Q$2)/$Q$2))</f>
        <v>5110.8243431483</v>
      </c>
      <c r="L599" s="15" t="n">
        <f aca="false">K599*(1+IF(L$3&lt;=$O$2,$D599,$D599-($D599-$I$589)*MIN(L$3-$O$2,$Q$2)/$Q$2))</f>
        <v>5324.65803940041</v>
      </c>
      <c r="M599" s="15" t="n">
        <f aca="false">L599*(1+IF(M$3&lt;=$O$2,$D599,$D599-($D599-$I$589)*MIN(M$3-$O$2,$Q$2)/$Q$2))</f>
        <v>5484.76884268955</v>
      </c>
      <c r="N599" s="15" t="n">
        <f aca="false">M599*(1+IF(N$3&lt;=$O$2,$D599,$D599-($D599-$I$589)*MIN(N$3-$O$2,$Q$2)/$Q$2))</f>
        <v>5585.14011251076</v>
      </c>
      <c r="O599" s="15" t="n">
        <f aca="false">SUMPRODUCT(E599:N599,1/(1+$F$589)^$E$3:$N$3)*$E$2</f>
        <v>12789.9812684857</v>
      </c>
      <c r="P599" s="15" t="n">
        <f aca="false">N599*$E$2*(1+$I$589)/($F$589-$I$589)/(1+$F$589)^$N$3</f>
        <v>14569.3770466377</v>
      </c>
      <c r="Q599" s="15" t="n">
        <f aca="false">O599+P599</f>
        <v>27359.3583151235</v>
      </c>
      <c r="R599" s="15" t="n">
        <f aca="false">Q599-$G$2+$I$2</f>
        <v>23291.5583151235</v>
      </c>
      <c r="S599" s="42" t="n">
        <f aca="false">R599/$K$2</f>
        <v>178.945592464071</v>
      </c>
      <c r="T599" s="43" t="n">
        <f aca="false">S599-$M$2</f>
        <v>2.31682786665223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0.07421875</v>
      </c>
      <c r="C600" s="25" t="n">
        <f aca="false">IF(T599&gt;0,D599,C599)</f>
        <v>0.0771484375</v>
      </c>
      <c r="D600" s="41" t="n">
        <f aca="false">(B600+C600)/2</f>
        <v>0.07568359375</v>
      </c>
      <c r="E600" s="15" t="n">
        <f aca="false">$C$2*(1+IF(E$3&lt;=$O$2,$D600,$D600-($D600-$I$589)*MIN(E$3-$O$2,$Q$2)/$Q$2))</f>
        <v>3377.646484375</v>
      </c>
      <c r="F600" s="15" t="n">
        <f aca="false">E600*(1+IF(F$3&lt;=$O$2,$D600,$D600-($D600-$I$589)*MIN(F$3-$O$2,$Q$2)/$Q$2))</f>
        <v>3633.27890872955</v>
      </c>
      <c r="G600" s="15" t="n">
        <f aca="false">F600*(1+IF(G$3&lt;=$O$2,$D600,$D600-($D600-$I$589)*MIN(G$3-$O$2,$Q$2)/$Q$2))</f>
        <v>3908.25851363828</v>
      </c>
      <c r="H600" s="15" t="n">
        <f aca="false">G600*(1+IF(H$3&lt;=$O$2,$D600,$D600-($D600-$I$589)*MIN(H$3-$O$2,$Q$2)/$Q$2))</f>
        <v>4204.04956325446</v>
      </c>
      <c r="I600" s="15" t="n">
        <f aca="false">H600*(1+IF(I$3&lt;=$O$2,$D600,$D600-($D600-$I$589)*MIN(I$3-$O$2,$Q$2)/$Q$2))</f>
        <v>4522.22714250468</v>
      </c>
      <c r="J600" s="15" t="n">
        <f aca="false">I600*(1+IF(J$3&lt;=$O$2,$D600,$D600-($D600-$I$589)*MIN(J$3-$O$2,$Q$2)/$Q$2))</f>
        <v>4812.58521536508</v>
      </c>
      <c r="K600" s="15" t="n">
        <f aca="false">J600*(1+IF(K$3&lt;=$O$2,$D600,$D600-($D600-$I$589)*MIN(K$3-$O$2,$Q$2)/$Q$2))</f>
        <v>5066.35358573772</v>
      </c>
      <c r="L600" s="15" t="n">
        <f aca="false">K600*(1+IF(L$3&lt;=$O$2,$D600,$D600-($D600-$I$589)*MIN(L$3-$O$2,$Q$2)/$Q$2))</f>
        <v>5275.35808673986</v>
      </c>
      <c r="M600" s="15" t="n">
        <f aca="false">L600*(1+IF(M$3&lt;=$O$2,$D600,$D600-($D600-$I$589)*MIN(M$3-$O$2,$Q$2)/$Q$2))</f>
        <v>5432.44094079425</v>
      </c>
      <c r="N600" s="15" t="n">
        <f aca="false">M600*(1+IF(N$3&lt;=$O$2,$D600,$D600-($D600-$I$589)*MIN(N$3-$O$2,$Q$2)/$Q$2))</f>
        <v>5531.85461001078</v>
      </c>
      <c r="O600" s="15" t="n">
        <f aca="false">SUMPRODUCT(E600:N600,1/(1+$F$589)^$E$3:$N$3)*$E$2</f>
        <v>12709.2416859051</v>
      </c>
      <c r="P600" s="15" t="n">
        <f aca="false">N600*$E$2*(1+$I$589)/($F$589-$I$589)/(1+$F$589)^$N$3</f>
        <v>14430.3766703888</v>
      </c>
      <c r="Q600" s="15" t="n">
        <f aca="false">O600+P600</f>
        <v>27139.6183562939</v>
      </c>
      <c r="R600" s="15" t="n">
        <f aca="false">Q600-$G$2+$I$2</f>
        <v>23071.8183562939</v>
      </c>
      <c r="S600" s="42" t="n">
        <f aca="false">R600/$K$2</f>
        <v>177.257362909449</v>
      </c>
      <c r="T600" s="43" t="n">
        <f aca="false">S600-$M$2</f>
        <v>0.628598312030505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0.07421875</v>
      </c>
      <c r="C601" s="25" t="n">
        <f aca="false">IF(T600&gt;0,D600,C600)</f>
        <v>0.07568359375</v>
      </c>
      <c r="D601" s="41" t="n">
        <f aca="false">(B601+C601)/2</f>
        <v>0.074951171875</v>
      </c>
      <c r="E601" s="15" t="n">
        <f aca="false">$C$2*(1+IF(E$3&lt;=$O$2,$D601,$D601-($D601-$I$589)*MIN(E$3-$O$2,$Q$2)/$Q$2))</f>
        <v>3375.3466796875</v>
      </c>
      <c r="F601" s="15" t="n">
        <f aca="false">E601*(1+IF(F$3&lt;=$O$2,$D601,$D601-($D601-$I$589)*MIN(F$3-$O$2,$Q$2)/$Q$2))</f>
        <v>3628.33286881447</v>
      </c>
      <c r="G601" s="15" t="n">
        <f aca="false">F601*(1+IF(G$3&lt;=$O$2,$D601,$D601-($D601-$I$589)*MIN(G$3-$O$2,$Q$2)/$Q$2))</f>
        <v>3900.28066928469</v>
      </c>
      <c r="H601" s="15" t="n">
        <f aca="false">G601*(1+IF(H$3&lt;=$O$2,$D601,$D601-($D601-$I$589)*MIN(H$3-$O$2,$Q$2)/$Q$2))</f>
        <v>4192.61127608899</v>
      </c>
      <c r="I601" s="15" t="n">
        <f aca="false">H601*(1+IF(I$3&lt;=$O$2,$D601,$D601-($D601-$I$589)*MIN(I$3-$O$2,$Q$2)/$Q$2))</f>
        <v>4506.8524044482</v>
      </c>
      <c r="J601" s="15" t="n">
        <f aca="false">I601*(1+IF(J$3&lt;=$O$2,$D601,$D601-($D601-$I$589)*MIN(J$3-$O$2,$Q$2)/$Q$2))</f>
        <v>4793.58257959332</v>
      </c>
      <c r="K601" s="15" t="n">
        <f aca="false">J601*(1+IF(K$3&lt;=$O$2,$D601,$D601-($D601-$I$589)*MIN(K$3-$O$2,$Q$2)/$Q$2))</f>
        <v>5044.24238316801</v>
      </c>
      <c r="L601" s="15" t="n">
        <f aca="false">K601*(1+IF(L$3&lt;=$O$2,$D601,$D601-($D601-$I$589)*MIN(L$3-$O$2,$Q$2)/$Q$2))</f>
        <v>5250.85691567119</v>
      </c>
      <c r="M601" s="15" t="n">
        <f aca="false">L601*(1+IF(M$3&lt;=$O$2,$D601,$D601-($D601-$I$589)*MIN(M$3-$O$2,$Q$2)/$Q$2))</f>
        <v>5406.44103675212</v>
      </c>
      <c r="N601" s="15" t="n">
        <f aca="false">M601*(1+IF(N$3&lt;=$O$2,$D601,$D601-($D601-$I$589)*MIN(N$3-$O$2,$Q$2)/$Q$2))</f>
        <v>5505.37890772468</v>
      </c>
      <c r="O601" s="15" t="n">
        <f aca="false">SUMPRODUCT(E601:N601,1/(1+$F$589)^$E$3:$N$3)*$E$2</f>
        <v>12669.0636808584</v>
      </c>
      <c r="P601" s="15" t="n">
        <f aca="false">N601*$E$2*(1+$I$589)/($F$589-$I$589)/(1+$F$589)^$N$3</f>
        <v>14361.3122456098</v>
      </c>
      <c r="Q601" s="15" t="n">
        <f aca="false">O601+P601</f>
        <v>27030.3759264682</v>
      </c>
      <c r="R601" s="15" t="n">
        <f aca="false">Q601-$G$2+$I$2</f>
        <v>22962.5759264682</v>
      </c>
      <c r="S601" s="42" t="n">
        <f aca="false">R601/$K$2</f>
        <v>176.418069502676</v>
      </c>
      <c r="T601" s="43" t="n">
        <f aca="false">S601-$M$2</f>
        <v>-0.210695094743073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0.074951171875</v>
      </c>
      <c r="C602" s="25" t="n">
        <f aca="false">IF(T601&gt;0,D601,C601)</f>
        <v>0.07568359375</v>
      </c>
      <c r="D602" s="41" t="n">
        <f aca="false">(B602+C602)/2</f>
        <v>0.0753173828125</v>
      </c>
      <c r="E602" s="15" t="n">
        <f aca="false">$C$2*(1+IF(E$3&lt;=$O$2,$D602,$D602-($D602-$I$589)*MIN(E$3-$O$2,$Q$2)/$Q$2))</f>
        <v>3376.49658203125</v>
      </c>
      <c r="F602" s="15" t="n">
        <f aca="false">E602*(1+IF(F$3&lt;=$O$2,$D602,$D602-($D602-$I$589)*MIN(F$3-$O$2,$Q$2)/$Q$2))</f>
        <v>3630.8054676652</v>
      </c>
      <c r="G602" s="15" t="n">
        <f aca="false">F602*(1+IF(G$3&lt;=$O$2,$D602,$D602-($D602-$I$589)*MIN(G$3-$O$2,$Q$2)/$Q$2))</f>
        <v>3904.26823299105</v>
      </c>
      <c r="H602" s="15" t="n">
        <f aca="false">G602*(1+IF(H$3&lt;=$O$2,$D602,$D602-($D602-$I$589)*MIN(H$3-$O$2,$Q$2)/$Q$2))</f>
        <v>4198.32749809792</v>
      </c>
      <c r="I602" s="15" t="n">
        <f aca="false">H602*(1+IF(I$3&lt;=$O$2,$D602,$D602-($D602-$I$589)*MIN(I$3-$O$2,$Q$2)/$Q$2))</f>
        <v>4514.53453744441</v>
      </c>
      <c r="J602" s="15" t="n">
        <f aca="false">I602*(1+IF(J$3&lt;=$O$2,$D602,$D602-($D602-$I$589)*MIN(J$3-$O$2,$Q$2)/$Q$2))</f>
        <v>4803.07607463302</v>
      </c>
      <c r="K602" s="15" t="n">
        <f aca="false">J602*(1+IF(K$3&lt;=$O$2,$D602,$D602-($D602-$I$589)*MIN(K$3-$O$2,$Q$2)/$Q$2))</f>
        <v>5055.28766313375</v>
      </c>
      <c r="L602" s="15" t="n">
        <f aca="false">K602*(1+IF(L$3&lt;=$O$2,$D602,$D602-($D602-$I$589)*MIN(L$3-$O$2,$Q$2)/$Q$2))</f>
        <v>5263.09513613558</v>
      </c>
      <c r="M602" s="15" t="n">
        <f aca="false">L602*(1+IF(M$3&lt;=$O$2,$D602,$D602-($D602-$I$589)*MIN(M$3-$O$2,$Q$2)/$Q$2))</f>
        <v>5419.42735915799</v>
      </c>
      <c r="N602" s="15" t="n">
        <f aca="false">M602*(1+IF(N$3&lt;=$O$2,$D602,$D602-($D602-$I$589)*MIN(N$3-$O$2,$Q$2)/$Q$2))</f>
        <v>5518.60287983058</v>
      </c>
      <c r="O602" s="15" t="n">
        <f aca="false">SUMPRODUCT(E602:N602,1/(1+$F$589)^$E$3:$N$3)*$E$2</f>
        <v>12689.1367405626</v>
      </c>
      <c r="P602" s="15" t="n">
        <f aca="false">N602*$E$2*(1+$I$589)/($F$589-$I$589)/(1+$F$589)^$N$3</f>
        <v>14395.8082531914</v>
      </c>
      <c r="Q602" s="15" t="n">
        <f aca="false">O602+P602</f>
        <v>27084.9449937539</v>
      </c>
      <c r="R602" s="15" t="n">
        <f aca="false">Q602-$G$2+$I$2</f>
        <v>23017.1449937539</v>
      </c>
      <c r="S602" s="42" t="n">
        <f aca="false">R602/$K$2</f>
        <v>176.837315563567</v>
      </c>
      <c r="T602" s="43" t="n">
        <f aca="false">S602-$M$2</f>
        <v>0.208550966148692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0.074951171875</v>
      </c>
      <c r="C603" s="25" t="n">
        <f aca="false">IF(T602&gt;0,D602,C602)</f>
        <v>0.0753173828125</v>
      </c>
      <c r="D603" s="41" t="n">
        <f aca="false">(B603+C603)/2</f>
        <v>0.07513427734375</v>
      </c>
      <c r="E603" s="15" t="n">
        <f aca="false">$C$2*(1+IF(E$3&lt;=$O$2,$D603,$D603-($D603-$I$589)*MIN(E$3-$O$2,$Q$2)/$Q$2))</f>
        <v>3375.92163085938</v>
      </c>
      <c r="F603" s="15" t="n">
        <f aca="false">E603*(1+IF(F$3&lt;=$O$2,$D603,$D603-($D603-$I$589)*MIN(F$3-$O$2,$Q$2)/$Q$2))</f>
        <v>3629.56906296313</v>
      </c>
      <c r="G603" s="15" t="n">
        <f aca="false">F603*(1+IF(G$3&lt;=$O$2,$D603,$D603-($D603-$I$589)*MIN(G$3-$O$2,$Q$2)/$Q$2))</f>
        <v>3902.27411157809</v>
      </c>
      <c r="H603" s="15" t="n">
        <f aca="false">G603*(1+IF(H$3&lt;=$O$2,$D603,$D603-($D603-$I$589)*MIN(H$3-$O$2,$Q$2)/$Q$2))</f>
        <v>4195.46865694874</v>
      </c>
      <c r="I603" s="15" t="n">
        <f aca="false">H603*(1+IF(I$3&lt;=$O$2,$D603,$D603-($D603-$I$589)*MIN(I$3-$O$2,$Q$2)/$Q$2))</f>
        <v>4510.69216260694</v>
      </c>
      <c r="J603" s="15" t="n">
        <f aca="false">I603*(1+IF(J$3&lt;=$O$2,$D603,$D603-($D603-$I$589)*MIN(J$3-$O$2,$Q$2)/$Q$2))</f>
        <v>4798.32737268815</v>
      </c>
      <c r="K603" s="15" t="n">
        <f aca="false">J603*(1+IF(K$3&lt;=$O$2,$D603,$D603-($D603-$I$589)*MIN(K$3-$O$2,$Q$2)/$Q$2))</f>
        <v>5049.76244481962</v>
      </c>
      <c r="L603" s="15" t="n">
        <f aca="false">K603*(1+IF(L$3&lt;=$O$2,$D603,$D603-($D603-$I$589)*MIN(L$3-$O$2,$Q$2)/$Q$2))</f>
        <v>5256.97293728339</v>
      </c>
      <c r="M603" s="15" t="n">
        <f aca="false">L603*(1+IF(M$3&lt;=$O$2,$D603,$D603-($D603-$I$589)*MIN(M$3-$O$2,$Q$2)/$Q$2))</f>
        <v>5412.93079361691</v>
      </c>
      <c r="N603" s="15" t="n">
        <f aca="false">M603*(1+IF(N$3&lt;=$O$2,$D603,$D603-($D603-$I$589)*MIN(N$3-$O$2,$Q$2)/$Q$2))</f>
        <v>5511.9874271401</v>
      </c>
      <c r="O603" s="15" t="n">
        <f aca="false">SUMPRODUCT(E603:N603,1/(1+$F$589)^$E$3:$N$3)*$E$2</f>
        <v>12679.0962279531</v>
      </c>
      <c r="P603" s="15" t="n">
        <f aca="false">N603*$E$2*(1+$I$589)/($F$589-$I$589)/(1+$F$589)^$N$3</f>
        <v>14378.551206342</v>
      </c>
      <c r="Q603" s="15" t="n">
        <f aca="false">O603+P603</f>
        <v>27057.6474342951</v>
      </c>
      <c r="R603" s="15" t="n">
        <f aca="false">Q603-$G$2+$I$2</f>
        <v>22989.8474342951</v>
      </c>
      <c r="S603" s="42" t="n">
        <f aca="false">R603/$K$2</f>
        <v>176.627592457706</v>
      </c>
      <c r="T603" s="43" t="n">
        <f aca="false">S603-$M$2</f>
        <v>-0.00117213971222441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0.07513427734375</v>
      </c>
      <c r="C604" s="25" t="n">
        <f aca="false">IF(T603&gt;0,D603,C603)</f>
        <v>0.0753173828125</v>
      </c>
      <c r="D604" s="41" t="n">
        <f aca="false">(B604+C604)/2</f>
        <v>0.075225830078125</v>
      </c>
      <c r="E604" s="15" t="n">
        <f aca="false">$C$2*(1+IF(E$3&lt;=$O$2,$D604,$D604-($D604-$I$589)*MIN(E$3-$O$2,$Q$2)/$Q$2))</f>
        <v>3376.20910644531</v>
      </c>
      <c r="F604" s="15" t="n">
        <f aca="false">E604*(1+IF(F$3&lt;=$O$2,$D604,$D604-($D604-$I$589)*MIN(F$3-$O$2,$Q$2)/$Q$2))</f>
        <v>3630.18723899499</v>
      </c>
      <c r="G604" s="15" t="n">
        <f aca="false">F604*(1+IF(G$3&lt;=$O$2,$D604,$D604-($D604-$I$589)*MIN(G$3-$O$2,$Q$2)/$Q$2))</f>
        <v>3903.2710873874</v>
      </c>
      <c r="H604" s="15" t="n">
        <f aca="false">G604*(1+IF(H$3&lt;=$O$2,$D604,$D604-($D604-$I$589)*MIN(H$3-$O$2,$Q$2)/$Q$2))</f>
        <v>4196.89789495606</v>
      </c>
      <c r="I604" s="15" t="n">
        <f aca="false">H604*(1+IF(I$3&lt;=$O$2,$D604,$D604-($D604-$I$589)*MIN(I$3-$O$2,$Q$2)/$Q$2))</f>
        <v>4512.61302285727</v>
      </c>
      <c r="J604" s="15" t="n">
        <f aca="false">I604*(1+IF(J$3&lt;=$O$2,$D604,$D604-($D604-$I$589)*MIN(J$3-$O$2,$Q$2)/$Q$2))</f>
        <v>4800.70123489356</v>
      </c>
      <c r="K604" s="15" t="n">
        <f aca="false">J604*(1+IF(K$3&lt;=$O$2,$D604,$D604-($D604-$I$589)*MIN(K$3-$O$2,$Q$2)/$Q$2))</f>
        <v>5052.52440914415</v>
      </c>
      <c r="L604" s="15" t="n">
        <f aca="false">K604*(1+IF(L$3&lt;=$O$2,$D604,$D604-($D604-$I$589)*MIN(L$3-$O$2,$Q$2)/$Q$2))</f>
        <v>5260.0332642237</v>
      </c>
      <c r="M604" s="15" t="n">
        <f aca="false">L604*(1+IF(M$3&lt;=$O$2,$D604,$D604-($D604-$I$589)*MIN(M$3-$O$2,$Q$2)/$Q$2))</f>
        <v>5416.17822491989</v>
      </c>
      <c r="N604" s="15" t="n">
        <f aca="false">M604*(1+IF(N$3&lt;=$O$2,$D604,$D604-($D604-$I$589)*MIN(N$3-$O$2,$Q$2)/$Q$2))</f>
        <v>5515.29428643592</v>
      </c>
      <c r="O604" s="15" t="n">
        <f aca="false">SUMPRODUCT(E604:N604,1/(1+$F$589)^$E$3:$N$3)*$E$2</f>
        <v>12684.1154882002</v>
      </c>
      <c r="P604" s="15" t="n">
        <f aca="false">N604*$E$2*(1+$I$589)/($F$589-$I$589)/(1+$F$589)^$N$3</f>
        <v>14387.1774679846</v>
      </c>
      <c r="Q604" s="15" t="n">
        <f aca="false">O604+P604</f>
        <v>27071.2929561848</v>
      </c>
      <c r="R604" s="15" t="n">
        <f aca="false">Q604-$G$2+$I$2</f>
        <v>23003.4929561848</v>
      </c>
      <c r="S604" s="42" t="n">
        <f aca="false">R604/$K$2</f>
        <v>176.732428981137</v>
      </c>
      <c r="T604" s="43" t="n">
        <f aca="false">S604-$M$2</f>
        <v>0.103664383718211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0.07513427734375</v>
      </c>
      <c r="C605" s="25" t="n">
        <f aca="false">IF(T604&gt;0,D604,C604)</f>
        <v>0.075225830078125</v>
      </c>
      <c r="D605" s="41" t="n">
        <f aca="false">(B605+C605)/2</f>
        <v>0.0751800537109375</v>
      </c>
      <c r="E605" s="15" t="n">
        <f aca="false">$C$2*(1+IF(E$3&lt;=$O$2,$D605,$D605-($D605-$I$589)*MIN(E$3-$O$2,$Q$2)/$Q$2))</f>
        <v>3376.06536865234</v>
      </c>
      <c r="F605" s="15" t="n">
        <f aca="false">E605*(1+IF(F$3&lt;=$O$2,$D605,$D605-($D605-$I$589)*MIN(F$3-$O$2,$Q$2)/$Q$2))</f>
        <v>3629.87814439926</v>
      </c>
      <c r="G605" s="15" t="n">
        <f aca="false">F605*(1+IF(G$3&lt;=$O$2,$D605,$D605-($D605-$I$589)*MIN(G$3-$O$2,$Q$2)/$Q$2))</f>
        <v>3902.77257825936</v>
      </c>
      <c r="H605" s="15" t="n">
        <f aca="false">G605*(1+IF(H$3&lt;=$O$2,$D605,$D605-($D605-$I$589)*MIN(H$3-$O$2,$Q$2)/$Q$2))</f>
        <v>4196.18323031447</v>
      </c>
      <c r="I605" s="15" t="n">
        <f aca="false">H605*(1+IF(I$3&lt;=$O$2,$D605,$D605-($D605-$I$589)*MIN(I$3-$O$2,$Q$2)/$Q$2))</f>
        <v>4511.65251095045</v>
      </c>
      <c r="J605" s="15" t="n">
        <f aca="false">I605*(1+IF(J$3&lt;=$O$2,$D605,$D605-($D605-$I$589)*MIN(J$3-$O$2,$Q$2)/$Q$2))</f>
        <v>4799.5141816192</v>
      </c>
      <c r="K605" s="15" t="n">
        <f aca="false">J605*(1+IF(K$3&lt;=$O$2,$D605,$D605-($D605-$I$589)*MIN(K$3-$O$2,$Q$2)/$Q$2))</f>
        <v>5051.14326580497</v>
      </c>
      <c r="L605" s="15" t="n">
        <f aca="false">K605*(1+IF(L$3&lt;=$O$2,$D605,$D605-($D605-$I$589)*MIN(L$3-$O$2,$Q$2)/$Q$2))</f>
        <v>5258.50290767346</v>
      </c>
      <c r="M605" s="15" t="n">
        <f aca="false">L605*(1+IF(M$3&lt;=$O$2,$D605,$D605-($D605-$I$589)*MIN(M$3-$O$2,$Q$2)/$Q$2))</f>
        <v>5414.5542964494</v>
      </c>
      <c r="N605" s="15" t="n">
        <f aca="false">M605*(1+IF(N$3&lt;=$O$2,$D605,$D605-($D605-$I$589)*MIN(N$3-$O$2,$Q$2)/$Q$2))</f>
        <v>5513.64064007442</v>
      </c>
      <c r="O605" s="15" t="n">
        <f aca="false">SUMPRODUCT(E605:N605,1/(1+$F$589)^$E$3:$N$3)*$E$2</f>
        <v>12681.6056091083</v>
      </c>
      <c r="P605" s="15" t="n">
        <f aca="false">N605*$E$2*(1+$I$589)/($F$589-$I$589)/(1+$F$589)^$N$3</f>
        <v>14382.863771845</v>
      </c>
      <c r="Q605" s="15" t="n">
        <f aca="false">O605+P605</f>
        <v>27064.4693809532</v>
      </c>
      <c r="R605" s="15" t="n">
        <f aca="false">Q605-$G$2+$I$2</f>
        <v>22996.6693809532</v>
      </c>
      <c r="S605" s="42" t="n">
        <f aca="false">R605/$K$2</f>
        <v>176.680004463378</v>
      </c>
      <c r="T605" s="43" t="n">
        <f aca="false">S605-$M$2</f>
        <v>0.0512398659591042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0.07513427734375</v>
      </c>
      <c r="C606" s="25" t="n">
        <f aca="false">IF(T605&gt;0,D605,C605)</f>
        <v>0.0751800537109375</v>
      </c>
      <c r="D606" s="41" t="n">
        <f aca="false">(B606+C606)/2</f>
        <v>0.0751571655273438</v>
      </c>
      <c r="E606" s="15" t="n">
        <f aca="false">$C$2*(1+IF(E$3&lt;=$O$2,$D606,$D606-($D606-$I$589)*MIN(E$3-$O$2,$Q$2)/$Q$2))</f>
        <v>3375.99349975586</v>
      </c>
      <c r="F606" s="15" t="n">
        <f aca="false">E606*(1+IF(F$3&lt;=$O$2,$D606,$D606-($D606-$I$589)*MIN(F$3-$O$2,$Q$2)/$Q$2))</f>
        <v>3629.72360203625</v>
      </c>
      <c r="G606" s="15" t="n">
        <f aca="false">F606*(1+IF(G$3&lt;=$O$2,$D606,$D606-($D606-$I$589)*MIN(G$3-$O$2,$Q$2)/$Q$2))</f>
        <v>3902.52333961299</v>
      </c>
      <c r="H606" s="15" t="n">
        <f aca="false">G606*(1+IF(H$3&lt;=$O$2,$D606,$D606-($D606-$I$589)*MIN(H$3-$O$2,$Q$2)/$Q$2))</f>
        <v>4195.82593222261</v>
      </c>
      <c r="I606" s="15" t="n">
        <f aca="false">H606*(1+IF(I$3&lt;=$O$2,$D606,$D606-($D606-$I$589)*MIN(I$3-$O$2,$Q$2)/$Q$2))</f>
        <v>4511.17231633458</v>
      </c>
      <c r="J606" s="15" t="n">
        <f aca="false">I606*(1+IF(J$3&lt;=$O$2,$D606,$D606-($D606-$I$589)*MIN(J$3-$O$2,$Q$2)/$Q$2))</f>
        <v>4798.92074661327</v>
      </c>
      <c r="K606" s="15" t="n">
        <f aca="false">J606*(1+IF(K$3&lt;=$O$2,$D606,$D606-($D606-$I$589)*MIN(K$3-$O$2,$Q$2)/$Q$2))</f>
        <v>5050.45281502197</v>
      </c>
      <c r="L606" s="15" t="n">
        <f aca="false">K606*(1+IF(L$3&lt;=$O$2,$D606,$D606-($D606-$I$589)*MIN(L$3-$O$2,$Q$2)/$Q$2))</f>
        <v>5257.73787421357</v>
      </c>
      <c r="M606" s="15" t="n">
        <f aca="false">L606*(1+IF(M$3&lt;=$O$2,$D606,$D606-($D606-$I$589)*MIN(M$3-$O$2,$Q$2)/$Q$2))</f>
        <v>5413.74249183439</v>
      </c>
      <c r="N606" s="15" t="n">
        <f aca="false">M606*(1+IF(N$3&lt;=$O$2,$D606,$D606-($D606-$I$589)*MIN(N$3-$O$2,$Q$2)/$Q$2))</f>
        <v>5512.81397943496</v>
      </c>
      <c r="O606" s="15" t="n">
        <f aca="false">SUMPRODUCT(E606:N606,1/(1+$F$589)^$E$3:$N$3)*$E$2</f>
        <v>12680.3508562943</v>
      </c>
      <c r="P606" s="15" t="n">
        <f aca="false">N606*$E$2*(1+$I$589)/($F$589-$I$589)/(1+$F$589)^$N$3</f>
        <v>14380.7073477798</v>
      </c>
      <c r="Q606" s="15" t="n">
        <f aca="false">O606+P606</f>
        <v>27061.0582040741</v>
      </c>
      <c r="R606" s="15" t="n">
        <f aca="false">Q606-$G$2+$I$2</f>
        <v>22993.2582040741</v>
      </c>
      <c r="S606" s="42" t="n">
        <f aca="false">R606/$K$2</f>
        <v>176.653796896697</v>
      </c>
      <c r="T606" s="43" t="n">
        <f aca="false">S606-$M$2</f>
        <v>0.0250322992788199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0.07513427734375</v>
      </c>
      <c r="C607" s="25" t="n">
        <f aca="false">IF(T606&gt;0,D606,C606)</f>
        <v>0.0751571655273438</v>
      </c>
      <c r="D607" s="41" t="n">
        <f aca="false">(B607+C607)/2</f>
        <v>0.0751457214355469</v>
      </c>
      <c r="E607" s="15" t="n">
        <f aca="false">$C$2*(1+IF(E$3&lt;=$O$2,$D607,$D607-($D607-$I$589)*MIN(E$3-$O$2,$Q$2)/$Q$2))</f>
        <v>3375.95756530762</v>
      </c>
      <c r="F607" s="15" t="n">
        <f aca="false">E607*(1+IF(F$3&lt;=$O$2,$D607,$D607-($D607-$I$589)*MIN(F$3-$O$2,$Q$2)/$Q$2))</f>
        <v>3629.64633208845</v>
      </c>
      <c r="G607" s="15" t="n">
        <f aca="false">F607*(1+IF(G$3&lt;=$O$2,$D607,$D607-($D607-$I$589)*MIN(G$3-$O$2,$Q$2)/$Q$2))</f>
        <v>3902.39872426912</v>
      </c>
      <c r="H607" s="15" t="n">
        <f aca="false">G607*(1+IF(H$3&lt;=$O$2,$D607,$D607-($D607-$I$589)*MIN(H$3-$O$2,$Q$2)/$Q$2))</f>
        <v>4195.64729173349</v>
      </c>
      <c r="I607" s="15" t="n">
        <f aca="false">H607*(1+IF(I$3&lt;=$O$2,$D607,$D607-($D607-$I$589)*MIN(I$3-$O$2,$Q$2)/$Q$2))</f>
        <v>4510.9322343599</v>
      </c>
      <c r="J607" s="15" t="n">
        <f aca="false">I607*(1+IF(J$3&lt;=$O$2,$D607,$D607-($D607-$I$589)*MIN(J$3-$O$2,$Q$2)/$Q$2))</f>
        <v>4798.62405201592</v>
      </c>
      <c r="K607" s="15" t="n">
        <f aca="false">J607*(1+IF(K$3&lt;=$O$2,$D607,$D607-($D607-$I$589)*MIN(K$3-$O$2,$Q$2)/$Q$2))</f>
        <v>5050.1076198487</v>
      </c>
      <c r="L607" s="15" t="n">
        <f aca="false">K607*(1+IF(L$3&lt;=$O$2,$D607,$D607-($D607-$I$589)*MIN(L$3-$O$2,$Q$2)/$Q$2))</f>
        <v>5257.35539368291</v>
      </c>
      <c r="M607" s="15" t="n">
        <f aca="false">L607*(1+IF(M$3&lt;=$O$2,$D607,$D607-($D607-$I$589)*MIN(M$3-$O$2,$Q$2)/$Q$2))</f>
        <v>5413.3366294267</v>
      </c>
      <c r="N607" s="15" t="n">
        <f aca="false">M607*(1+IF(N$3&lt;=$O$2,$D607,$D607-($D607-$I$589)*MIN(N$3-$O$2,$Q$2)/$Q$2))</f>
        <v>5512.40068974521</v>
      </c>
      <c r="O607" s="15" t="n">
        <f aca="false">SUMPRODUCT(E607:N607,1/(1+$F$589)^$E$3:$N$3)*$E$2</f>
        <v>12679.7235265653</v>
      </c>
      <c r="P607" s="15" t="n">
        <f aca="false">N607*$E$2*(1+$I$589)/($F$589-$I$589)/(1+$F$589)^$N$3</f>
        <v>14379.6292417345</v>
      </c>
      <c r="Q607" s="15" t="n">
        <f aca="false">O607+P607</f>
        <v>27059.3527682998</v>
      </c>
      <c r="R607" s="15" t="n">
        <f aca="false">Q607-$G$2+$I$2</f>
        <v>22991.5527682998</v>
      </c>
      <c r="S607" s="42" t="n">
        <f aca="false">R607/$K$2</f>
        <v>176.640694286262</v>
      </c>
      <c r="T607" s="43" t="n">
        <f aca="false">S607-$M$2</f>
        <v>0.0119296888429403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0.07513427734375</v>
      </c>
      <c r="C608" s="25" t="n">
        <f aca="false">IF(T607&gt;0,D607,C607)</f>
        <v>0.0751457214355469</v>
      </c>
      <c r="D608" s="41" t="n">
        <f aca="false">(B608+C608)/2</f>
        <v>0.0751399993896484</v>
      </c>
      <c r="E608" s="15" t="n">
        <f aca="false">$C$2*(1+IF(E$3&lt;=$O$2,$D608,$D608-($D608-$I$589)*MIN(E$3-$O$2,$Q$2)/$Q$2))</f>
        <v>3375.9395980835</v>
      </c>
      <c r="F608" s="15" t="n">
        <f aca="false">E608*(1+IF(F$3&lt;=$O$2,$D608,$D608-($D608-$I$589)*MIN(F$3-$O$2,$Q$2)/$Q$2))</f>
        <v>3629.60769742298</v>
      </c>
      <c r="G608" s="15" t="n">
        <f aca="false">F608*(1+IF(G$3&lt;=$O$2,$D608,$D608-($D608-$I$589)*MIN(G$3-$O$2,$Q$2)/$Q$2))</f>
        <v>3902.33641759201</v>
      </c>
      <c r="H608" s="15" t="n">
        <f aca="false">G608*(1+IF(H$3&lt;=$O$2,$D608,$D608-($D608-$I$589)*MIN(H$3-$O$2,$Q$2)/$Q$2))</f>
        <v>4195.55797362807</v>
      </c>
      <c r="I608" s="15" t="n">
        <f aca="false">H608*(1+IF(I$3&lt;=$O$2,$D608,$D608-($D608-$I$589)*MIN(I$3-$O$2,$Q$2)/$Q$2))</f>
        <v>4510.81219720572</v>
      </c>
      <c r="J608" s="15" t="n">
        <f aca="false">I608*(1+IF(J$3&lt;=$O$2,$D608,$D608-($D608-$I$589)*MIN(J$3-$O$2,$Q$2)/$Q$2))</f>
        <v>4798.47571044338</v>
      </c>
      <c r="K608" s="15" t="n">
        <f aca="false">J608*(1+IF(K$3&lt;=$O$2,$D608,$D608-($D608-$I$589)*MIN(K$3-$O$2,$Q$2)/$Q$2))</f>
        <v>5049.9350298162</v>
      </c>
      <c r="L608" s="15" t="n">
        <f aca="false">K608*(1+IF(L$3&lt;=$O$2,$D608,$D608-($D608-$I$589)*MIN(L$3-$O$2,$Q$2)/$Q$2))</f>
        <v>5257.16416246684</v>
      </c>
      <c r="M608" s="15" t="n">
        <f aca="false">L608*(1+IF(M$3&lt;=$O$2,$D608,$D608-($D608-$I$589)*MIN(M$3-$O$2,$Q$2)/$Q$2))</f>
        <v>5413.13370819716</v>
      </c>
      <c r="N608" s="15" t="n">
        <f aca="false">M608*(1+IF(N$3&lt;=$O$2,$D608,$D608-($D608-$I$589)*MIN(N$3-$O$2,$Q$2)/$Q$2))</f>
        <v>5512.19405505717</v>
      </c>
      <c r="O608" s="15" t="n">
        <f aca="false">SUMPRODUCT(E608:N608,1/(1+$F$589)^$E$3:$N$3)*$E$2</f>
        <v>12679.4098733697</v>
      </c>
      <c r="P608" s="15" t="n">
        <f aca="false">N608*$E$2*(1+$I$589)/($F$589-$I$589)/(1+$F$589)^$N$3</f>
        <v>14379.0902152069</v>
      </c>
      <c r="Q608" s="15" t="n">
        <f aca="false">O608+P608</f>
        <v>27058.5000885766</v>
      </c>
      <c r="R608" s="15" t="n">
        <f aca="false">Q608-$G$2+$I$2</f>
        <v>22990.7000885766</v>
      </c>
      <c r="S608" s="42" t="n">
        <f aca="false">R608/$K$2</f>
        <v>176.634143274252</v>
      </c>
      <c r="T608" s="43" t="n">
        <f aca="false">S608-$M$2</f>
        <v>0.00537867683291893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0.07513427734375</v>
      </c>
      <c r="C609" s="25" t="n">
        <f aca="false">IF(T608&gt;0,D608,C608)</f>
        <v>0.0751399993896484</v>
      </c>
      <c r="D609" s="41" t="n">
        <f aca="false">(B609+C609)/2</f>
        <v>0.0751371383666992</v>
      </c>
      <c r="E609" s="15" t="n">
        <f aca="false">$C$2*(1+IF(E$3&lt;=$O$2,$D609,$D609-($D609-$I$589)*MIN(E$3-$O$2,$Q$2)/$Q$2))</f>
        <v>3375.93061447144</v>
      </c>
      <c r="F609" s="15" t="n">
        <f aca="false">E609*(1+IF(F$3&lt;=$O$2,$D609,$D609-($D609-$I$589)*MIN(F$3-$O$2,$Q$2)/$Q$2))</f>
        <v>3629.58838016735</v>
      </c>
      <c r="G609" s="15" t="n">
        <f aca="false">F609*(1+IF(G$3&lt;=$O$2,$D609,$D609-($D609-$I$589)*MIN(G$3-$O$2,$Q$2)/$Q$2))</f>
        <v>3902.30526450215</v>
      </c>
      <c r="H609" s="15" t="n">
        <f aca="false">G609*(1+IF(H$3&lt;=$O$2,$D609,$D609-($D609-$I$589)*MIN(H$3-$O$2,$Q$2)/$Q$2))</f>
        <v>4195.51331511015</v>
      </c>
      <c r="I609" s="15" t="n">
        <f aca="false">H609*(1+IF(I$3&lt;=$O$2,$D609,$D609-($D609-$I$589)*MIN(I$3-$O$2,$Q$2)/$Q$2))</f>
        <v>4510.75217958691</v>
      </c>
      <c r="J609" s="15" t="n">
        <f aca="false">I609*(1+IF(J$3&lt;=$O$2,$D609,$D609-($D609-$I$589)*MIN(J$3-$O$2,$Q$2)/$Q$2))</f>
        <v>4798.4015410886</v>
      </c>
      <c r="K609" s="15" t="n">
        <f aca="false">J609*(1+IF(K$3&lt;=$O$2,$D609,$D609-($D609-$I$589)*MIN(K$3-$O$2,$Q$2)/$Q$2))</f>
        <v>5049.84873668843</v>
      </c>
      <c r="L609" s="15" t="n">
        <f aca="false">K609*(1+IF(L$3&lt;=$O$2,$D609,$D609-($D609-$I$589)*MIN(L$3-$O$2,$Q$2)/$Q$2))</f>
        <v>5257.06854912105</v>
      </c>
      <c r="M609" s="15" t="n">
        <f aca="false">L609*(1+IF(M$3&lt;=$O$2,$D609,$D609-($D609-$I$589)*MIN(M$3-$O$2,$Q$2)/$Q$2))</f>
        <v>5413.03225007589</v>
      </c>
      <c r="N609" s="15" t="n">
        <f aca="false">M609*(1+IF(N$3&lt;=$O$2,$D609,$D609-($D609-$I$589)*MIN(N$3-$O$2,$Q$2)/$Q$2))</f>
        <v>5512.09074025228</v>
      </c>
      <c r="O609" s="15" t="n">
        <f aca="false">SUMPRODUCT(E609:N609,1/(1+$F$589)^$E$3:$N$3)*$E$2</f>
        <v>12679.253049689</v>
      </c>
      <c r="P609" s="15" t="n">
        <f aca="false">N609*$E$2*(1+$I$589)/($F$589-$I$589)/(1+$F$589)^$N$3</f>
        <v>14378.8207085666</v>
      </c>
      <c r="Q609" s="15" t="n">
        <f aca="false">O609+P609</f>
        <v>27058.0737582556</v>
      </c>
      <c r="R609" s="15" t="n">
        <f aca="false">Q609-$G$2+$I$2</f>
        <v>22990.2737582556</v>
      </c>
      <c r="S609" s="42" t="n">
        <f aca="false">R609/$K$2</f>
        <v>176.630867841546</v>
      </c>
      <c r="T609" s="43" t="n">
        <f aca="false">S609-$M$2</f>
        <v>0.00210324412751106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0.07513427734375</v>
      </c>
      <c r="C610" s="25" t="n">
        <f aca="false">IF(T609&gt;0,D609,C609)</f>
        <v>0.0751371383666992</v>
      </c>
      <c r="D610" s="41" t="n">
        <f aca="false">(B610+C610)/2</f>
        <v>0.0751357078552246</v>
      </c>
      <c r="E610" s="15" t="n">
        <f aca="false">$C$2*(1+IF(E$3&lt;=$O$2,$D610,$D610-($D610-$I$589)*MIN(E$3-$O$2,$Q$2)/$Q$2))</f>
        <v>3375.92612266541</v>
      </c>
      <c r="F610" s="15" t="n">
        <f aca="false">E610*(1+IF(F$3&lt;=$O$2,$D610,$D610-($D610-$I$589)*MIN(F$3-$O$2,$Q$2)/$Q$2))</f>
        <v>3629.57872155881</v>
      </c>
      <c r="G610" s="15" t="n">
        <f aca="false">F610*(1+IF(G$3&lt;=$O$2,$D610,$D610-($D610-$I$589)*MIN(G$3-$O$2,$Q$2)/$Q$2))</f>
        <v>3902.2896880194</v>
      </c>
      <c r="H610" s="15" t="n">
        <f aca="false">G610*(1+IF(H$3&lt;=$O$2,$D610,$D610-($D610-$I$589)*MIN(H$3-$O$2,$Q$2)/$Q$2))</f>
        <v>4195.49098598488</v>
      </c>
      <c r="I610" s="15" t="n">
        <f aca="false">H610*(1+IF(I$3&lt;=$O$2,$D610,$D610-($D610-$I$589)*MIN(I$3-$O$2,$Q$2)/$Q$2))</f>
        <v>4510.72217101707</v>
      </c>
      <c r="J610" s="15" t="n">
        <f aca="false">I610*(1+IF(J$3&lt;=$O$2,$D610,$D610-($D610-$I$589)*MIN(J$3-$O$2,$Q$2)/$Q$2))</f>
        <v>4798.36445676909</v>
      </c>
      <c r="K610" s="15" t="n">
        <f aca="false">J610*(1+IF(K$3&lt;=$O$2,$D610,$D610-($D610-$I$589)*MIN(K$3-$O$2,$Q$2)/$Q$2))</f>
        <v>5049.80559059666</v>
      </c>
      <c r="L610" s="15" t="n">
        <f aca="false">K610*(1+IF(L$3&lt;=$O$2,$D610,$D610-($D610-$I$589)*MIN(L$3-$O$2,$Q$2)/$Q$2))</f>
        <v>5257.02074301371</v>
      </c>
      <c r="M610" s="15" t="n">
        <f aca="false">L610*(1+IF(M$3&lt;=$O$2,$D610,$D610-($D610-$I$589)*MIN(M$3-$O$2,$Q$2)/$Q$2))</f>
        <v>5412.98152163861</v>
      </c>
      <c r="N610" s="15" t="n">
        <f aca="false">M610*(1+IF(N$3&lt;=$O$2,$D610,$D610-($D610-$I$589)*MIN(N$3-$O$2,$Q$2)/$Q$2))</f>
        <v>5512.0390834846</v>
      </c>
      <c r="O610" s="15" t="n">
        <f aca="false">SUMPRODUCT(E610:N610,1/(1+$F$589)^$E$3:$N$3)*$E$2</f>
        <v>12679.174638578</v>
      </c>
      <c r="P610" s="15" t="n">
        <f aca="false">N610*$E$2*(1+$I$589)/($F$589-$I$589)/(1+$F$589)^$N$3</f>
        <v>14378.6859569024</v>
      </c>
      <c r="Q610" s="15" t="n">
        <f aca="false">O610+P610</f>
        <v>27057.8605954803</v>
      </c>
      <c r="R610" s="15" t="n">
        <f aca="false">Q610-$G$2+$I$2</f>
        <v>22990.0605954803</v>
      </c>
      <c r="S610" s="42" t="n">
        <f aca="false">R610/$K$2</f>
        <v>176.629230143518</v>
      </c>
      <c r="T610" s="43" t="n">
        <f aca="false">S610-$M$2</f>
        <v>0.000465546099604808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0.07513427734375</v>
      </c>
      <c r="C611" s="25" t="n">
        <f aca="false">IF(T610&gt;0,D610,C610)</f>
        <v>0.0751357078552246</v>
      </c>
      <c r="D611" s="41" t="n">
        <f aca="false">(B611+C611)/2</f>
        <v>0.0751349925994873</v>
      </c>
      <c r="E611" s="15" t="n">
        <f aca="false">$C$2*(1+IF(E$3&lt;=$O$2,$D611,$D611-($D611-$I$589)*MIN(E$3-$O$2,$Q$2)/$Q$2))</f>
        <v>3375.92387676239</v>
      </c>
      <c r="F611" s="15" t="n">
        <f aca="false">E611*(1+IF(F$3&lt;=$O$2,$D611,$D611-($D611-$I$589)*MIN(F$3-$O$2,$Q$2)/$Q$2))</f>
        <v>3629.57389225936</v>
      </c>
      <c r="G611" s="15" t="n">
        <f aca="false">F611*(1+IF(G$3&lt;=$O$2,$D611,$D611-($D611-$I$589)*MIN(G$3-$O$2,$Q$2)/$Q$2))</f>
        <v>3902.28189979356</v>
      </c>
      <c r="H611" s="15" t="n">
        <f aca="false">G611*(1+IF(H$3&lt;=$O$2,$D611,$D611-($D611-$I$589)*MIN(H$3-$O$2,$Q$2)/$Q$2))</f>
        <v>4195.47982145567</v>
      </c>
      <c r="I611" s="15" t="n">
        <f aca="false">H611*(1+IF(I$3&lt;=$O$2,$D611,$D611-($D611-$I$589)*MIN(I$3-$O$2,$Q$2)/$Q$2))</f>
        <v>4510.70716679204</v>
      </c>
      <c r="J611" s="15" t="n">
        <f aca="false">I611*(1+IF(J$3&lt;=$O$2,$D611,$D611-($D611-$I$589)*MIN(J$3-$O$2,$Q$2)/$Q$2))</f>
        <v>4798.34591469879</v>
      </c>
      <c r="K611" s="15" t="n">
        <f aca="false">J611*(1+IF(K$3&lt;=$O$2,$D611,$D611-($D611-$I$589)*MIN(K$3-$O$2,$Q$2)/$Q$2))</f>
        <v>5049.78401766879</v>
      </c>
      <c r="L611" s="15" t="n">
        <f aca="false">K611*(1+IF(L$3&lt;=$O$2,$D611,$D611-($D611-$I$589)*MIN(L$3-$O$2,$Q$2)/$Q$2))</f>
        <v>5256.99684010142</v>
      </c>
      <c r="M611" s="15" t="n">
        <f aca="false">L611*(1+IF(M$3&lt;=$O$2,$D611,$D611-($D611-$I$589)*MIN(M$3-$O$2,$Q$2)/$Q$2))</f>
        <v>5412.95615757581</v>
      </c>
      <c r="N611" s="15" t="n">
        <f aca="false">M611*(1+IF(N$3&lt;=$O$2,$D611,$D611-($D611-$I$589)*MIN(N$3-$O$2,$Q$2)/$Q$2))</f>
        <v>5512.01325525945</v>
      </c>
      <c r="O611" s="15" t="n">
        <f aca="false">SUMPRODUCT(E611:N611,1/(1+$F$589)^$E$3:$N$3)*$E$2</f>
        <v>12679.1354332047</v>
      </c>
      <c r="P611" s="15" t="n">
        <f aca="false">N611*$E$2*(1+$I$589)/($F$589-$I$589)/(1+$F$589)^$N$3</f>
        <v>14378.6185814842</v>
      </c>
      <c r="Q611" s="15" t="n">
        <f aca="false">O611+P611</f>
        <v>27057.7540146889</v>
      </c>
      <c r="R611" s="15" t="n">
        <f aca="false">Q611-$G$2+$I$2</f>
        <v>22989.9540146889</v>
      </c>
      <c r="S611" s="42" t="n">
        <f aca="false">R611/$K$2</f>
        <v>176.628411299085</v>
      </c>
      <c r="T611" s="43" t="n">
        <f aca="false">S611-$M$2</f>
        <v>-0.000353298333465091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0.0751349925994873</v>
      </c>
      <c r="C612" s="25" t="n">
        <f aca="false">IF(T611&gt;0,D611,C611)</f>
        <v>0.0751357078552246</v>
      </c>
      <c r="D612" s="41" t="n">
        <f aca="false">(B612+C612)/2</f>
        <v>0.075135350227356</v>
      </c>
      <c r="E612" s="15" t="n">
        <f aca="false">$C$2*(1+IF(E$3&lt;=$O$2,$D612,$D612-($D612-$I$589)*MIN(E$3-$O$2,$Q$2)/$Q$2))</f>
        <v>3375.9249997139</v>
      </c>
      <c r="F612" s="15" t="n">
        <f aca="false">E612*(1+IF(F$3&lt;=$O$2,$D612,$D612-($D612-$I$589)*MIN(F$3-$O$2,$Q$2)/$Q$2))</f>
        <v>3629.57630690869</v>
      </c>
      <c r="G612" s="15" t="n">
        <f aca="false">F612*(1+IF(G$3&lt;=$O$2,$D612,$D612-($D612-$I$589)*MIN(G$3-$O$2,$Q$2)/$Q$2))</f>
        <v>3902.28579390519</v>
      </c>
      <c r="H612" s="15" t="n">
        <f aca="false">G612*(1+IF(H$3&lt;=$O$2,$D612,$D612-($D612-$I$589)*MIN(H$3-$O$2,$Q$2)/$Q$2))</f>
        <v>4195.48540371749</v>
      </c>
      <c r="I612" s="15" t="n">
        <f aca="false">H612*(1+IF(I$3&lt;=$O$2,$D612,$D612-($D612-$I$589)*MIN(I$3-$O$2,$Q$2)/$Q$2))</f>
        <v>4510.71466889956</v>
      </c>
      <c r="J612" s="15" t="n">
        <f aca="false">I612*(1+IF(J$3&lt;=$O$2,$D612,$D612-($D612-$I$589)*MIN(J$3-$O$2,$Q$2)/$Q$2))</f>
        <v>4798.35518572649</v>
      </c>
      <c r="K612" s="15" t="n">
        <f aca="false">J612*(1+IF(K$3&lt;=$O$2,$D612,$D612-($D612-$I$589)*MIN(K$3-$O$2,$Q$2)/$Q$2))</f>
        <v>5049.79480412289</v>
      </c>
      <c r="L612" s="15" t="n">
        <f aca="false">K612*(1+IF(L$3&lt;=$O$2,$D612,$D612-($D612-$I$589)*MIN(L$3-$O$2,$Q$2)/$Q$2))</f>
        <v>5257.00879154578</v>
      </c>
      <c r="M612" s="15" t="n">
        <f aca="false">L612*(1+IF(M$3&lt;=$O$2,$D612,$D612-($D612-$I$589)*MIN(M$3-$O$2,$Q$2)/$Q$2))</f>
        <v>5412.96883959423</v>
      </c>
      <c r="N612" s="15" t="n">
        <f aca="false">M612*(1+IF(N$3&lt;=$O$2,$D612,$D612-($D612-$I$589)*MIN(N$3-$O$2,$Q$2)/$Q$2))</f>
        <v>5512.0261693588</v>
      </c>
      <c r="O612" s="15" t="n">
        <f aca="false">SUMPRODUCT(E612:N612,1/(1+$F$589)^$E$3:$N$3)*$E$2</f>
        <v>12679.1550358761</v>
      </c>
      <c r="P612" s="15" t="n">
        <f aca="false">N612*$E$2*(1+$I$589)/($F$589-$I$589)/(1+$F$589)^$N$3</f>
        <v>14378.6522691588</v>
      </c>
      <c r="Q612" s="15" t="n">
        <f aca="false">O612+P612</f>
        <v>27057.8073050349</v>
      </c>
      <c r="R612" s="15" t="n">
        <f aca="false">Q612-$G$2+$I$2</f>
        <v>22990.0073050349</v>
      </c>
      <c r="S612" s="42" t="n">
        <f aca="false">R612/$K$2</f>
        <v>176.62882072092</v>
      </c>
      <c r="T612" s="43" t="n">
        <f aca="false">S612-$M$2</f>
        <v>5.61235013094574E-005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0.0751349925994873</v>
      </c>
      <c r="C613" s="25" t="n">
        <f aca="false">IF(T612&gt;0,D612,C612)</f>
        <v>0.075135350227356</v>
      </c>
      <c r="D613" s="41" t="n">
        <f aca="false">(B613+C613)/2</f>
        <v>0.0751351714134216</v>
      </c>
      <c r="E613" s="15" t="n">
        <f aca="false">$C$2*(1+IF(E$3&lt;=$O$2,$D613,$D613-($D613-$I$589)*MIN(E$3-$O$2,$Q$2)/$Q$2))</f>
        <v>3375.92443823814</v>
      </c>
      <c r="F613" s="15" t="n">
        <f aca="false">E613*(1+IF(F$3&lt;=$O$2,$D613,$D613-($D613-$I$589)*MIN(F$3-$O$2,$Q$2)/$Q$2))</f>
        <v>3629.57509958393</v>
      </c>
      <c r="G613" s="15" t="n">
        <f aca="false">F613*(1+IF(G$3&lt;=$O$2,$D613,$D613-($D613-$I$589)*MIN(G$3-$O$2,$Q$2)/$Q$2))</f>
        <v>3902.28384684905</v>
      </c>
      <c r="H613" s="15" t="n">
        <f aca="false">G613*(1+IF(H$3&lt;=$O$2,$D613,$D613-($D613-$I$589)*MIN(H$3-$O$2,$Q$2)/$Q$2))</f>
        <v>4195.48261258588</v>
      </c>
      <c r="I613" s="15" t="n">
        <f aca="false">H613*(1+IF(I$3&lt;=$O$2,$D613,$D613-($D613-$I$589)*MIN(I$3-$O$2,$Q$2)/$Q$2))</f>
        <v>4510.71091784455</v>
      </c>
      <c r="J613" s="15" t="n">
        <f aca="false">I613*(1+IF(J$3&lt;=$O$2,$D613,$D613-($D613-$I$589)*MIN(J$3-$O$2,$Q$2)/$Q$2))</f>
        <v>4798.35055021078</v>
      </c>
      <c r="K613" s="15" t="n">
        <f aca="false">J613*(1+IF(K$3&lt;=$O$2,$D613,$D613-($D613-$I$589)*MIN(K$3-$O$2,$Q$2)/$Q$2))</f>
        <v>5049.78941089338</v>
      </c>
      <c r="L613" s="15" t="n">
        <f aca="false">K613*(1+IF(L$3&lt;=$O$2,$D613,$D613-($D613-$I$589)*MIN(L$3-$O$2,$Q$2)/$Q$2))</f>
        <v>5257.00281582065</v>
      </c>
      <c r="M613" s="15" t="n">
        <f aca="false">L613*(1+IF(M$3&lt;=$O$2,$D613,$D613-($D613-$I$589)*MIN(M$3-$O$2,$Q$2)/$Q$2))</f>
        <v>5412.96249858177</v>
      </c>
      <c r="N613" s="15" t="n">
        <f aca="false">M613*(1+IF(N$3&lt;=$O$2,$D613,$D613-($D613-$I$589)*MIN(N$3-$O$2,$Q$2)/$Q$2))</f>
        <v>5512.01971230582</v>
      </c>
      <c r="O613" s="15" t="n">
        <f aca="false">SUMPRODUCT(E613:N613,1/(1+$F$589)^$E$3:$N$3)*$E$2</f>
        <v>12679.1452345366</v>
      </c>
      <c r="P613" s="15" t="n">
        <f aca="false">N613*$E$2*(1+$I$589)/($F$589-$I$589)/(1+$F$589)^$N$3</f>
        <v>14378.6354253129</v>
      </c>
      <c r="Q613" s="15" t="n">
        <f aca="false">O613+P613</f>
        <v>27057.7806598495</v>
      </c>
      <c r="R613" s="15" t="n">
        <f aca="false">Q613-$G$2+$I$2</f>
        <v>22989.9806598495</v>
      </c>
      <c r="S613" s="42" t="n">
        <f aca="false">R613/$K$2</f>
        <v>176.628616009907</v>
      </c>
      <c r="T613" s="43" t="n">
        <f aca="false">S613-$M$2</f>
        <v>-0.000148587511489495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0.0751351714134216</v>
      </c>
      <c r="C614" s="25" t="n">
        <f aca="false">IF(T613&gt;0,D613,C613)</f>
        <v>0.075135350227356</v>
      </c>
      <c r="D614" s="41" t="n">
        <f aca="false">(B614+C614)/2</f>
        <v>0.0751352608203888</v>
      </c>
      <c r="E614" s="15" t="n">
        <f aca="false">$C$2*(1+IF(E$3&lt;=$O$2,$D614,$D614-($D614-$I$589)*MIN(E$3-$O$2,$Q$2)/$Q$2))</f>
        <v>3375.92471897602</v>
      </c>
      <c r="F614" s="15" t="n">
        <f aca="false">E614*(1+IF(F$3&lt;=$O$2,$D614,$D614-($D614-$I$589)*MIN(F$3-$O$2,$Q$2)/$Q$2))</f>
        <v>3629.57570324628</v>
      </c>
      <c r="G614" s="15" t="n">
        <f aca="false">F614*(1+IF(G$3&lt;=$O$2,$D614,$D614-($D614-$I$589)*MIN(G$3-$O$2,$Q$2)/$Q$2))</f>
        <v>3902.28482037704</v>
      </c>
      <c r="H614" s="15" t="n">
        <f aca="false">G614*(1+IF(H$3&lt;=$O$2,$D614,$D614-($D614-$I$589)*MIN(H$3-$O$2,$Q$2)/$Q$2))</f>
        <v>4195.48400815151</v>
      </c>
      <c r="I614" s="15" t="n">
        <f aca="false">H614*(1+IF(I$3&lt;=$O$2,$D614,$D614-($D614-$I$589)*MIN(I$3-$O$2,$Q$2)/$Q$2))</f>
        <v>4510.71279337174</v>
      </c>
      <c r="J614" s="15" t="n">
        <f aca="false">I614*(1+IF(J$3&lt;=$O$2,$D614,$D614-($D614-$I$589)*MIN(J$3-$O$2,$Q$2)/$Q$2))</f>
        <v>4798.35286796816</v>
      </c>
      <c r="K614" s="15" t="n">
        <f aca="false">J614*(1+IF(K$3&lt;=$O$2,$D614,$D614-($D614-$I$589)*MIN(K$3-$O$2,$Q$2)/$Q$2))</f>
        <v>5049.79210750752</v>
      </c>
      <c r="L614" s="15" t="n">
        <f aca="false">K614*(1+IF(L$3&lt;=$O$2,$D614,$D614-($D614-$I$589)*MIN(L$3-$O$2,$Q$2)/$Q$2))</f>
        <v>5257.00580368248</v>
      </c>
      <c r="M614" s="15" t="n">
        <f aca="false">L614*(1+IF(M$3&lt;=$O$2,$D614,$D614-($D614-$I$589)*MIN(M$3-$O$2,$Q$2)/$Q$2))</f>
        <v>5412.96566908719</v>
      </c>
      <c r="N614" s="15" t="n">
        <f aca="false">M614*(1+IF(N$3&lt;=$O$2,$D614,$D614-($D614-$I$589)*MIN(N$3-$O$2,$Q$2)/$Q$2))</f>
        <v>5512.02294083148</v>
      </c>
      <c r="O614" s="15" t="n">
        <f aca="false">SUMPRODUCT(E614:N614,1/(1+$F$589)^$E$3:$N$3)*$E$2</f>
        <v>12679.1501352054</v>
      </c>
      <c r="P614" s="15" t="n">
        <f aca="false">N614*$E$2*(1+$I$589)/($F$589-$I$589)/(1+$F$589)^$N$3</f>
        <v>14378.6438472337</v>
      </c>
      <c r="Q614" s="15" t="n">
        <f aca="false">O614+P614</f>
        <v>27057.7939824391</v>
      </c>
      <c r="R614" s="15" t="n">
        <f aca="false">Q614-$G$2+$I$2</f>
        <v>22989.9939824391</v>
      </c>
      <c r="S614" s="42" t="n">
        <f aca="false">R614/$K$2</f>
        <v>176.62871836539</v>
      </c>
      <c r="T614" s="43" t="n">
        <f aca="false">S614-$M$2</f>
        <v>-4.62320290068874E-005</v>
      </c>
    </row>
    <row r="616" customFormat="false" ht="15" hidden="false" customHeight="false" outlineLevel="0" collapsed="false">
      <c r="A616" s="38" t="s">
        <v>196</v>
      </c>
      <c r="E616" s="5" t="s">
        <v>11</v>
      </c>
      <c r="F616" s="12" t="n">
        <f aca="false">Sensitivity!$B$14</f>
        <v>0.0919413943493295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155</v>
      </c>
      <c r="B617" s="28" t="s">
        <v>156</v>
      </c>
      <c r="C617" s="28" t="s">
        <v>157</v>
      </c>
      <c r="D617" s="28" t="s">
        <v>158</v>
      </c>
      <c r="E617" s="28" t="s">
        <v>159</v>
      </c>
      <c r="F617" s="28" t="s">
        <v>160</v>
      </c>
      <c r="G617" s="28" t="s">
        <v>161</v>
      </c>
      <c r="H617" s="28" t="s">
        <v>162</v>
      </c>
      <c r="I617" s="28" t="s">
        <v>163</v>
      </c>
      <c r="J617" s="28" t="s">
        <v>164</v>
      </c>
      <c r="K617" s="28" t="s">
        <v>165</v>
      </c>
      <c r="L617" s="28" t="s">
        <v>166</v>
      </c>
      <c r="M617" s="28" t="s">
        <v>167</v>
      </c>
      <c r="N617" s="28" t="s">
        <v>168</v>
      </c>
      <c r="O617" s="28" t="s">
        <v>169</v>
      </c>
      <c r="P617" s="28" t="s">
        <v>170</v>
      </c>
      <c r="Q617" s="28" t="s">
        <v>171</v>
      </c>
      <c r="R617" s="28" t="s">
        <v>172</v>
      </c>
      <c r="S617" s="28" t="s">
        <v>173</v>
      </c>
      <c r="T617" s="28" t="s">
        <v>174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3925</v>
      </c>
      <c r="F618" s="15" t="n">
        <f aca="false">E618*(1+IF(F$3&lt;=$O$2,$D618,$D618-($D618-$I$616)*MIN(F$3-$O$2,$Q$2)/$Q$2))</f>
        <v>4906.25</v>
      </c>
      <c r="G618" s="15" t="n">
        <f aca="false">F618*(1+IF(G$3&lt;=$O$2,$D618,$D618-($D618-$I$616)*MIN(G$3-$O$2,$Q$2)/$Q$2))</f>
        <v>6132.8125</v>
      </c>
      <c r="H618" s="15" t="n">
        <f aca="false">G618*(1+IF(H$3&lt;=$O$2,$D618,$D618-($D618-$I$616)*MIN(H$3-$O$2,$Q$2)/$Q$2))</f>
        <v>7666.015625</v>
      </c>
      <c r="I618" s="15" t="n">
        <f aca="false">H618*(1+IF(I$3&lt;=$O$2,$D618,$D618-($D618-$I$616)*MIN(I$3-$O$2,$Q$2)/$Q$2))</f>
        <v>9582.51953125</v>
      </c>
      <c r="J618" s="15" t="n">
        <f aca="false">I618*(1+IF(J$3&lt;=$O$2,$D618,$D618-($D618-$I$616)*MIN(J$3-$O$2,$Q$2)/$Q$2))</f>
        <v>11543.6779785156</v>
      </c>
      <c r="K618" s="15" t="n">
        <f aca="false">J618*(1+IF(K$3&lt;=$O$2,$D618,$D618-($D618-$I$616)*MIN(K$3-$O$2,$Q$2)/$Q$2))</f>
        <v>13382.8167540527</v>
      </c>
      <c r="L618" s="15" t="n">
        <f aca="false">K618*(1+IF(L$3&lt;=$O$2,$D618,$D618-($D618-$I$616)*MIN(L$3-$O$2,$Q$2)/$Q$2))</f>
        <v>14908.1902076797</v>
      </c>
      <c r="M618" s="15" t="n">
        <f aca="false">L618*(1+IF(M$3&lt;=$O$2,$D618,$D618-($D618-$I$616)*MIN(M$3-$O$2,$Q$2)/$Q$2))</f>
        <v>15931.4883835348</v>
      </c>
      <c r="N618" s="15" t="n">
        <f aca="false">M618*(1+IF(N$3&lt;=$O$2,$D618,$D618-($D618-$I$616)*MIN(N$3-$O$2,$Q$2)/$Q$2))</f>
        <v>16302.6920628712</v>
      </c>
      <c r="O618" s="15" t="n">
        <f aca="false">SUMPRODUCT(E618:N618,1/(1+$F$616)^$E$3:$N$3)*$E$2</f>
        <v>26997.48371693</v>
      </c>
      <c r="P618" s="15" t="n">
        <f aca="false">N618*$E$2*(1+$I$616)/($F$616-$I$616)/(1+$F$616)^$N$3</f>
        <v>45848.9476382182</v>
      </c>
      <c r="Q618" s="15" t="n">
        <f aca="false">O618+P618</f>
        <v>72846.4313551482</v>
      </c>
      <c r="R618" s="15" t="n">
        <f aca="false">Q618-$G$2+$I$2</f>
        <v>68778.6313551482</v>
      </c>
      <c r="S618" s="42" t="n">
        <f aca="false">R618/$K$2</f>
        <v>528.416036840413</v>
      </c>
      <c r="T618" s="43" t="n">
        <f aca="false">S618-$M$2</f>
        <v>351.787272242995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2747.5</v>
      </c>
      <c r="F619" s="15" t="n">
        <f aca="false">E619*(1+IF(F$3&lt;=$O$2,$D619,$D619-($D619-$I$616)*MIN(F$3-$O$2,$Q$2)/$Q$2))</f>
        <v>2404.0625</v>
      </c>
      <c r="G619" s="15" t="n">
        <f aca="false">F619*(1+IF(G$3&lt;=$O$2,$D619,$D619-($D619-$I$616)*MIN(G$3-$O$2,$Q$2)/$Q$2))</f>
        <v>2103.5546875</v>
      </c>
      <c r="H619" s="15" t="n">
        <f aca="false">G619*(1+IF(H$3&lt;=$O$2,$D619,$D619-($D619-$I$616)*MIN(H$3-$O$2,$Q$2)/$Q$2))</f>
        <v>1840.6103515625</v>
      </c>
      <c r="I619" s="15" t="n">
        <f aca="false">H619*(1+IF(I$3&lt;=$O$2,$D619,$D619-($D619-$I$616)*MIN(I$3-$O$2,$Q$2)/$Q$2))</f>
        <v>1610.53405761719</v>
      </c>
      <c r="J619" s="15" t="n">
        <f aca="false">I619*(1+IF(J$3&lt;=$O$2,$D619,$D619-($D619-$I$616)*MIN(J$3-$O$2,$Q$2)/$Q$2))</f>
        <v>1456.98574056396</v>
      </c>
      <c r="K619" s="15" t="n">
        <f aca="false">J619*(1+IF(K$3&lt;=$O$2,$D619,$D619-($D619-$I$616)*MIN(K$3-$O$2,$Q$2)/$Q$2))</f>
        <v>1361.29091712372</v>
      </c>
      <c r="L619" s="15" t="n">
        <f aca="false">K619*(1+IF(L$3&lt;=$O$2,$D619,$D619-($D619-$I$616)*MIN(L$3-$O$2,$Q$2)/$Q$2))</f>
        <v>1312.25721828893</v>
      </c>
      <c r="M619" s="15" t="n">
        <f aca="false">L619*(1+IF(M$3&lt;=$O$2,$D619,$D619-($D619-$I$616)*MIN(M$3-$O$2,$Q$2)/$Q$2))</f>
        <v>1303.91126238061</v>
      </c>
      <c r="N619" s="15" t="n">
        <f aca="false">M619*(1+IF(N$3&lt;=$O$2,$D619,$D619-($D619-$I$616)*MIN(N$3-$O$2,$Q$2)/$Q$2))</f>
        <v>1334.29239479408</v>
      </c>
      <c r="O619" s="15" t="n">
        <f aca="false">SUMPRODUCT(E619:N619,1/(1+$F$616)^$E$3:$N$3)*$E$2</f>
        <v>5395.86006446099</v>
      </c>
      <c r="P619" s="15" t="n">
        <f aca="false">N619*$E$2*(1+$I$616)/($F$616-$I$616)/(1+$F$616)^$N$3</f>
        <v>3752.50307783906</v>
      </c>
      <c r="Q619" s="15" t="n">
        <f aca="false">O619+P619</f>
        <v>9148.36314230005</v>
      </c>
      <c r="R619" s="15" t="n">
        <f aca="false">Q619-$G$2+$I$2</f>
        <v>5080.56314230005</v>
      </c>
      <c r="S619" s="42" t="n">
        <f aca="false">R619/$K$2</f>
        <v>39.0332140619242</v>
      </c>
      <c r="T619" s="43" t="n">
        <f aca="false">S619-$M$2</f>
        <v>-137.595550535494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3336.25</v>
      </c>
      <c r="F620" s="15" t="n">
        <f aca="false">E620*(1+IF(F$3&lt;=$O$2,$D620,$D620-($D620-$I$616)*MIN(F$3-$O$2,$Q$2)/$Q$2))</f>
        <v>3544.765625</v>
      </c>
      <c r="G620" s="15" t="n">
        <f aca="false">F620*(1+IF(G$3&lt;=$O$2,$D620,$D620-($D620-$I$616)*MIN(G$3-$O$2,$Q$2)/$Q$2))</f>
        <v>3766.3134765625</v>
      </c>
      <c r="H620" s="15" t="n">
        <f aca="false">G620*(1+IF(H$3&lt;=$O$2,$D620,$D620-($D620-$I$616)*MIN(H$3-$O$2,$Q$2)/$Q$2))</f>
        <v>4001.70806884766</v>
      </c>
      <c r="I620" s="15" t="n">
        <f aca="false">H620*(1+IF(I$3&lt;=$O$2,$D620,$D620-($D620-$I$616)*MIN(I$3-$O$2,$Q$2)/$Q$2))</f>
        <v>4251.81482315064</v>
      </c>
      <c r="J620" s="15" t="n">
        <f aca="false">I620*(1+IF(J$3&lt;=$O$2,$D620,$D620-($D620-$I$616)*MIN(J$3-$O$2,$Q$2)/$Q$2))</f>
        <v>4484.21902138405</v>
      </c>
      <c r="K620" s="15" t="n">
        <f aca="false">J620*(1+IF(K$3&lt;=$O$2,$D620,$D620-($D620-$I$616)*MIN(K$3-$O$2,$Q$2)/$Q$2))</f>
        <v>4694.17015596525</v>
      </c>
      <c r="L620" s="15" t="n">
        <f aca="false">K620*(1+IF(L$3&lt;=$O$2,$D620,$D620-($D620-$I$616)*MIN(L$3-$O$2,$Q$2)/$Q$2))</f>
        <v>4877.14890864478</v>
      </c>
      <c r="M620" s="15" t="n">
        <f aca="false">L620*(1+IF(M$3&lt;=$O$2,$D620,$D620-($D620-$I$616)*MIN(M$3-$O$2,$Q$2)/$Q$2))</f>
        <v>5029.02332565997</v>
      </c>
      <c r="N620" s="15" t="n">
        <f aca="false">M620*(1+IF(N$3&lt;=$O$2,$D620,$D620-($D620-$I$616)*MIN(N$3-$O$2,$Q$2)/$Q$2))</f>
        <v>5146.19956914785</v>
      </c>
      <c r="O620" s="15" t="n">
        <f aca="false">SUMPRODUCT(E620:N620,1/(1+$F$616)^$E$3:$N$3)*$E$2</f>
        <v>12039.894564462</v>
      </c>
      <c r="P620" s="15" t="n">
        <f aca="false">N620*$E$2*(1+$I$616)/($F$616-$I$616)/(1+$F$616)^$N$3</f>
        <v>14472.936964751</v>
      </c>
      <c r="Q620" s="15" t="n">
        <f aca="false">O620+P620</f>
        <v>26512.831529213</v>
      </c>
      <c r="R620" s="15" t="n">
        <f aca="false">Q620-$G$2+$I$2</f>
        <v>22445.031529213</v>
      </c>
      <c r="S620" s="42" t="n">
        <f aca="false">R620/$K$2</f>
        <v>172.441852560026</v>
      </c>
      <c r="T620" s="43" t="n">
        <f aca="false">S620-$M$2</f>
        <v>-4.18691203739232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3630.625</v>
      </c>
      <c r="F621" s="15" t="n">
        <f aca="false">E621*(1+IF(F$3&lt;=$O$2,$D621,$D621-($D621-$I$616)*MIN(F$3-$O$2,$Q$2)/$Q$2))</f>
        <v>4197.91015625</v>
      </c>
      <c r="G621" s="15" t="n">
        <f aca="false">F621*(1+IF(G$3&lt;=$O$2,$D621,$D621-($D621-$I$616)*MIN(G$3-$O$2,$Q$2)/$Q$2))</f>
        <v>4853.83361816406</v>
      </c>
      <c r="H621" s="15" t="n">
        <f aca="false">G621*(1+IF(H$3&lt;=$O$2,$D621,$D621-($D621-$I$616)*MIN(H$3-$O$2,$Q$2)/$Q$2))</f>
        <v>5612.2451210022</v>
      </c>
      <c r="I621" s="15" t="n">
        <f aca="false">H621*(1+IF(I$3&lt;=$O$2,$D621,$D621-($D621-$I$616)*MIN(I$3-$O$2,$Q$2)/$Q$2))</f>
        <v>6489.15842115879</v>
      </c>
      <c r="J621" s="15" t="n">
        <f aca="false">I621*(1+IF(J$3&lt;=$O$2,$D621,$D621-($D621-$I$616)*MIN(J$3-$O$2,$Q$2)/$Q$2))</f>
        <v>7330.54270204624</v>
      </c>
      <c r="K621" s="15" t="n">
        <f aca="false">J621*(1+IF(K$3&lt;=$O$2,$D621,$D621-($D621-$I$616)*MIN(K$3-$O$2,$Q$2)/$Q$2))</f>
        <v>8086.10173834614</v>
      </c>
      <c r="L621" s="15" t="n">
        <f aca="false">K621*(1+IF(L$3&lt;=$O$2,$D621,$D621-($D621-$I$616)*MIN(L$3-$O$2,$Q$2)/$Q$2))</f>
        <v>8704.52679929486</v>
      </c>
      <c r="M621" s="15" t="n">
        <f aca="false">L621*(1+IF(M$3&lt;=$O$2,$D621,$D621-($D621-$I$616)*MIN(M$3-$O$2,$Q$2)/$Q$2))</f>
        <v>9138.79564131168</v>
      </c>
      <c r="N621" s="15" t="n">
        <f aca="false">M621*(1+IF(N$3&lt;=$O$2,$D621,$D621-($D621-$I$616)*MIN(N$3-$O$2,$Q$2)/$Q$2))</f>
        <v>9351.72957975424</v>
      </c>
      <c r="O621" s="15" t="n">
        <f aca="false">SUMPRODUCT(E621:N621,1/(1+$F$616)^$E$3:$N$3)*$E$2</f>
        <v>18058.7784720398</v>
      </c>
      <c r="P621" s="15" t="n">
        <f aca="false">N621*$E$2*(1+$I$616)/($F$616-$I$616)/(1+$F$616)^$N$3</f>
        <v>26300.3777643222</v>
      </c>
      <c r="Q621" s="15" t="n">
        <f aca="false">O621+P621</f>
        <v>44359.156236362</v>
      </c>
      <c r="R621" s="15" t="n">
        <f aca="false">Q621-$G$2+$I$2</f>
        <v>40291.356236362</v>
      </c>
      <c r="S621" s="42" t="n">
        <f aca="false">R621/$K$2</f>
        <v>309.552521791349</v>
      </c>
      <c r="T621" s="43" t="n">
        <f aca="false">S621-$M$2</f>
        <v>132.923757193931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3483.4375</v>
      </c>
      <c r="F622" s="15" t="n">
        <f aca="false">E622*(1+IF(F$3&lt;=$O$2,$D622,$D622-($D622-$I$616)*MIN(F$3-$O$2,$Q$2)/$Q$2))</f>
        <v>3864.4384765625</v>
      </c>
      <c r="G622" s="15" t="n">
        <f aca="false">F622*(1+IF(G$3&lt;=$O$2,$D622,$D622-($D622-$I$616)*MIN(G$3-$O$2,$Q$2)/$Q$2))</f>
        <v>4287.11143493652</v>
      </c>
      <c r="H622" s="15" t="n">
        <f aca="false">G622*(1+IF(H$3&lt;=$O$2,$D622,$D622-($D622-$I$616)*MIN(H$3-$O$2,$Q$2)/$Q$2))</f>
        <v>4756.01424813271</v>
      </c>
      <c r="I622" s="15" t="n">
        <f aca="false">H622*(1+IF(I$3&lt;=$O$2,$D622,$D622-($D622-$I$616)*MIN(I$3-$O$2,$Q$2)/$Q$2))</f>
        <v>5276.20330652222</v>
      </c>
      <c r="J622" s="15" t="n">
        <f aca="false">I622*(1+IF(J$3&lt;=$O$2,$D622,$D622-($D622-$I$616)*MIN(J$3-$O$2,$Q$2)/$Q$2))</f>
        <v>5762.45820325131</v>
      </c>
      <c r="K622" s="15" t="n">
        <f aca="false">J622*(1+IF(K$3&lt;=$O$2,$D622,$D622-($D622-$I$616)*MIN(K$3-$O$2,$Q$2)/$Q$2))</f>
        <v>6194.32563329398</v>
      </c>
      <c r="L622" s="15" t="n">
        <f aca="false">K622*(1+IF(L$3&lt;=$O$2,$D622,$D622-($D622-$I$616)*MIN(L$3-$O$2,$Q$2)/$Q$2))</f>
        <v>6551.92405210404</v>
      </c>
      <c r="M622" s="15" t="n">
        <f aca="false">L622*(1+IF(M$3&lt;=$O$2,$D622,$D622-($D622-$I$616)*MIN(M$3-$O$2,$Q$2)/$Q$2))</f>
        <v>6817.37525507504</v>
      </c>
      <c r="N622" s="15" t="n">
        <f aca="false">M622*(1+IF(N$3&lt;=$O$2,$D622,$D622-($D622-$I$616)*MIN(N$3-$O$2,$Q$2)/$Q$2))</f>
        <v>6976.22009851828</v>
      </c>
      <c r="O622" s="15" t="n">
        <f aca="false">SUMPRODUCT(E622:N622,1/(1+$F$616)^$E$3:$N$3)*$E$2</f>
        <v>14747.7226843747</v>
      </c>
      <c r="P622" s="15" t="n">
        <f aca="false">N622*$E$2*(1+$I$616)/($F$616-$I$616)/(1+$F$616)^$N$3</f>
        <v>19619.6032395228</v>
      </c>
      <c r="Q622" s="15" t="n">
        <f aca="false">O622+P622</f>
        <v>34367.3259238975</v>
      </c>
      <c r="R622" s="15" t="n">
        <f aca="false">Q622-$G$2+$I$2</f>
        <v>30299.5259238975</v>
      </c>
      <c r="S622" s="42" t="n">
        <f aca="false">R622/$K$2</f>
        <v>232.786769544388</v>
      </c>
      <c r="T622" s="43" t="n">
        <f aca="false">S622-$M$2</f>
        <v>56.1580049469691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41" t="n">
        <f aca="false">(B623+C623)/2</f>
        <v>0.0859375</v>
      </c>
      <c r="E623" s="15" t="n">
        <f aca="false">$C$2*(1+IF(E$3&lt;=$O$2,$D623,$D623-($D623-$I$616)*MIN(E$3-$O$2,$Q$2)/$Q$2))</f>
        <v>3409.84375</v>
      </c>
      <c r="F623" s="15" t="n">
        <f aca="false">E623*(1+IF(F$3&lt;=$O$2,$D623,$D623-($D623-$I$616)*MIN(F$3-$O$2,$Q$2)/$Q$2))</f>
        <v>3702.87719726563</v>
      </c>
      <c r="G623" s="15" t="n">
        <f aca="false">F623*(1+IF(G$3&lt;=$O$2,$D623,$D623-($D623-$I$616)*MIN(G$3-$O$2,$Q$2)/$Q$2))</f>
        <v>4021.09320640564</v>
      </c>
      <c r="H623" s="15" t="n">
        <f aca="false">G623*(1+IF(H$3&lt;=$O$2,$D623,$D623-($D623-$I$616)*MIN(H$3-$O$2,$Q$2)/$Q$2))</f>
        <v>4366.65590383112</v>
      </c>
      <c r="I623" s="15" t="n">
        <f aca="false">H623*(1+IF(I$3&lt;=$O$2,$D623,$D623-($D623-$I$616)*MIN(I$3-$O$2,$Q$2)/$Q$2))</f>
        <v>4741.91539556661</v>
      </c>
      <c r="J623" s="15" t="n">
        <f aca="false">I623*(1+IF(J$3&lt;=$O$2,$D623,$D623-($D623-$I$616)*MIN(J$3-$O$2,$Q$2)/$Q$2))</f>
        <v>5090.01940475516</v>
      </c>
      <c r="K623" s="15" t="n">
        <f aca="false">J623*(1+IF(K$3&lt;=$O$2,$D623,$D623-($D623-$I$616)*MIN(K$3-$O$2,$Q$2)/$Q$2))</f>
        <v>5399.91251116516</v>
      </c>
      <c r="L623" s="15" t="n">
        <f aca="false">K623*(1+IF(L$3&lt;=$O$2,$D623,$D623-($D623-$I$616)*MIN(L$3-$O$2,$Q$2)/$Q$2))</f>
        <v>5661.02528064255</v>
      </c>
      <c r="M623" s="15" t="n">
        <f aca="false">L623*(1+IF(M$3&lt;=$O$2,$D623,$D623-($D623-$I$616)*MIN(M$3-$O$2,$Q$2)/$Q$2))</f>
        <v>5863.84566388477</v>
      </c>
      <c r="N623" s="15" t="n">
        <f aca="false">M623*(1+IF(N$3&lt;=$O$2,$D623,$D623-($D623-$I$616)*MIN(N$3-$O$2,$Q$2)/$Q$2))</f>
        <v>6000.47326785329</v>
      </c>
      <c r="O623" s="15" t="n">
        <f aca="false">SUMPRODUCT(E623:N623,1/(1+$F$616)^$E$3:$N$3)*$E$2</f>
        <v>13325.2695946856</v>
      </c>
      <c r="P623" s="15" t="n">
        <f aca="false">N623*$E$2*(1+$I$616)/($F$616-$I$616)/(1+$F$616)^$N$3</f>
        <v>16875.4573539974</v>
      </c>
      <c r="Q623" s="15" t="n">
        <f aca="false">O623+P623</f>
        <v>30200.7269486829</v>
      </c>
      <c r="R623" s="15" t="n">
        <f aca="false">Q623-$G$2+$I$2</f>
        <v>26132.9269486829</v>
      </c>
      <c r="S623" s="42" t="n">
        <f aca="false">R623/$K$2</f>
        <v>200.775406796888</v>
      </c>
      <c r="T623" s="43" t="n">
        <f aca="false">S623-$M$2</f>
        <v>24.1466421994694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0.0625</v>
      </c>
      <c r="C624" s="25" t="n">
        <f aca="false">IF(T623&gt;0,D623,C623)</f>
        <v>0.0859375</v>
      </c>
      <c r="D624" s="41" t="n">
        <f aca="false">(B624+C624)/2</f>
        <v>0.07421875</v>
      </c>
      <c r="E624" s="15" t="n">
        <f aca="false">$C$2*(1+IF(E$3&lt;=$O$2,$D624,$D624-($D624-$I$616)*MIN(E$3-$O$2,$Q$2)/$Q$2))</f>
        <v>3373.046875</v>
      </c>
      <c r="F624" s="15" t="n">
        <f aca="false">E624*(1+IF(F$3&lt;=$O$2,$D624,$D624-($D624-$I$616)*MIN(F$3-$O$2,$Q$2)/$Q$2))</f>
        <v>3623.39019775391</v>
      </c>
      <c r="G624" s="15" t="n">
        <f aca="false">F624*(1+IF(G$3&lt;=$O$2,$D624,$D624-($D624-$I$616)*MIN(G$3-$O$2,$Q$2)/$Q$2))</f>
        <v>3892.31368899345</v>
      </c>
      <c r="H624" s="15" t="n">
        <f aca="false">G624*(1+IF(H$3&lt;=$O$2,$D624,$D624-($D624-$I$616)*MIN(H$3-$O$2,$Q$2)/$Q$2))</f>
        <v>4181.19634559844</v>
      </c>
      <c r="I624" s="15" t="n">
        <f aca="false">H624*(1+IF(I$3&lt;=$O$2,$D624,$D624-($D624-$I$616)*MIN(I$3-$O$2,$Q$2)/$Q$2))</f>
        <v>4491.51951187332</v>
      </c>
      <c r="J624" s="15" t="n">
        <f aca="false">I624*(1+IF(J$3&lt;=$O$2,$D624,$D624-($D624-$I$616)*MIN(J$3-$O$2,$Q$2)/$Q$2))</f>
        <v>4779.13396381613</v>
      </c>
      <c r="K624" s="15" t="n">
        <f aca="false">J624*(1+IF(K$3&lt;=$O$2,$D624,$D624-($D624-$I$616)*MIN(K$3-$O$2,$Q$2)/$Q$2))</f>
        <v>5036.49630168508</v>
      </c>
      <c r="L624" s="15" t="n">
        <f aca="false">K624*(1+IF(L$3&lt;=$O$2,$D624,$D624-($D624-$I$616)*MIN(L$3-$O$2,$Q$2)/$Q$2))</f>
        <v>5256.42750393892</v>
      </c>
      <c r="M624" s="15" t="n">
        <f aca="false">L624*(1+IF(M$3&lt;=$O$2,$D624,$D624-($D624-$I$616)*MIN(M$3-$O$2,$Q$2)/$Q$2))</f>
        <v>5432.43240837393</v>
      </c>
      <c r="N624" s="15" t="n">
        <f aca="false">M624*(1+IF(N$3&lt;=$O$2,$D624,$D624-($D624-$I$616)*MIN(N$3-$O$2,$Q$2)/$Q$2))</f>
        <v>5559.00808348904</v>
      </c>
      <c r="O624" s="15" t="n">
        <f aca="false">SUMPRODUCT(E624:N624,1/(1+$F$616)^$E$3:$N$3)*$E$2</f>
        <v>12666.2457095541</v>
      </c>
      <c r="P624" s="15" t="n">
        <f aca="false">N624*$E$2*(1+$I$616)/($F$616-$I$616)/(1+$F$616)^$N$3</f>
        <v>15633.9008034624</v>
      </c>
      <c r="Q624" s="15" t="n">
        <f aca="false">O624+P624</f>
        <v>28300.1465130165</v>
      </c>
      <c r="R624" s="15" t="n">
        <f aca="false">Q624-$G$2+$I$2</f>
        <v>24232.3465130165</v>
      </c>
      <c r="S624" s="42" t="n">
        <f aca="false">R624/$K$2</f>
        <v>186.17352883387</v>
      </c>
      <c r="T624" s="43" t="n">
        <f aca="false">S624-$M$2</f>
        <v>9.54476423645127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0.0625</v>
      </c>
      <c r="C625" s="25" t="n">
        <f aca="false">IF(T624&gt;0,D624,C624)</f>
        <v>0.07421875</v>
      </c>
      <c r="D625" s="41" t="n">
        <f aca="false">(B625+C625)/2</f>
        <v>0.068359375</v>
      </c>
      <c r="E625" s="15" t="n">
        <f aca="false">$C$2*(1+IF(E$3&lt;=$O$2,$D625,$D625-($D625-$I$616)*MIN(E$3-$O$2,$Q$2)/$Q$2))</f>
        <v>3354.6484375</v>
      </c>
      <c r="F625" s="15" t="n">
        <f aca="false">E625*(1+IF(F$3&lt;=$O$2,$D625,$D625-($D625-$I$616)*MIN(F$3-$O$2,$Q$2)/$Q$2))</f>
        <v>3583.97010803223</v>
      </c>
      <c r="G625" s="15" t="n">
        <f aca="false">F625*(1+IF(G$3&lt;=$O$2,$D625,$D625-($D625-$I$616)*MIN(G$3-$O$2,$Q$2)/$Q$2))</f>
        <v>3828.96806463599</v>
      </c>
      <c r="H625" s="15" t="n">
        <f aca="false">G625*(1+IF(H$3&lt;=$O$2,$D625,$D625-($D625-$I$616)*MIN(H$3-$O$2,$Q$2)/$Q$2))</f>
        <v>4090.71392842947</v>
      </c>
      <c r="I625" s="15" t="n">
        <f aca="false">H625*(1+IF(I$3&lt;=$O$2,$D625,$D625-($D625-$I$616)*MIN(I$3-$O$2,$Q$2)/$Q$2))</f>
        <v>4370.3525758807</v>
      </c>
      <c r="J625" s="15" t="n">
        <f aca="false">I625*(1+IF(J$3&lt;=$O$2,$D625,$D625-($D625-$I$616)*MIN(J$3-$O$2,$Q$2)/$Q$2))</f>
        <v>4629.72207537778</v>
      </c>
      <c r="K625" s="15" t="n">
        <f aca="false">J625*(1+IF(K$3&lt;=$O$2,$D625,$D625-($D625-$I$616)*MIN(K$3-$O$2,$Q$2)/$Q$2))</f>
        <v>4862.76202961822</v>
      </c>
      <c r="L625" s="15" t="n">
        <f aca="false">K625*(1+IF(L$3&lt;=$O$2,$D625,$D625-($D625-$I$616)*MIN(L$3-$O$2,$Q$2)/$Q$2))</f>
        <v>5063.70959203965</v>
      </c>
      <c r="M625" s="15" t="n">
        <f aca="false">L625*(1+IF(M$3&lt;=$O$2,$D625,$D625-($D625-$I$616)*MIN(M$3-$O$2,$Q$2)/$Q$2))</f>
        <v>5227.32754341394</v>
      </c>
      <c r="N625" s="15" t="n">
        <f aca="false">M625*(1+IF(N$3&lt;=$O$2,$D625,$D625-($D625-$I$616)*MIN(N$3-$O$2,$Q$2)/$Q$2))</f>
        <v>5349.12427517549</v>
      </c>
      <c r="O625" s="15" t="n">
        <f aca="false">SUMPRODUCT(E625:N625,1/(1+$F$616)^$E$3:$N$3)*$E$2</f>
        <v>12349.0822988506</v>
      </c>
      <c r="P625" s="15" t="n">
        <f aca="false">N625*$E$2*(1+$I$616)/($F$616-$I$616)/(1+$F$616)^$N$3</f>
        <v>15043.6331531647</v>
      </c>
      <c r="Q625" s="15" t="n">
        <f aca="false">O625+P625</f>
        <v>27392.7154520153</v>
      </c>
      <c r="R625" s="15" t="n">
        <f aca="false">Q625-$G$2+$I$2</f>
        <v>23324.9154520153</v>
      </c>
      <c r="S625" s="42" t="n">
        <f aca="false">R625/$K$2</f>
        <v>179.201870405772</v>
      </c>
      <c r="T625" s="43" t="n">
        <f aca="false">S625-$M$2</f>
        <v>2.57310580835318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0.0625</v>
      </c>
      <c r="C626" s="25" t="n">
        <f aca="false">IF(T625&gt;0,D625,C625)</f>
        <v>0.068359375</v>
      </c>
      <c r="D626" s="41" t="n">
        <f aca="false">(B626+C626)/2</f>
        <v>0.0654296875</v>
      </c>
      <c r="E626" s="15" t="n">
        <f aca="false">$C$2*(1+IF(E$3&lt;=$O$2,$D626,$D626-($D626-$I$616)*MIN(E$3-$O$2,$Q$2)/$Q$2))</f>
        <v>3345.44921875</v>
      </c>
      <c r="F626" s="15" t="n">
        <f aca="false">E626*(1+IF(F$3&lt;=$O$2,$D626,$D626-($D626-$I$616)*MIN(F$3-$O$2,$Q$2)/$Q$2))</f>
        <v>3564.34091567993</v>
      </c>
      <c r="G626" s="15" t="n">
        <f aca="false">F626*(1+IF(G$3&lt;=$O$2,$D626,$D626-($D626-$I$616)*MIN(G$3-$O$2,$Q$2)/$Q$2))</f>
        <v>3797.55462793633</v>
      </c>
      <c r="H626" s="15" t="n">
        <f aca="false">G626*(1+IF(H$3&lt;=$O$2,$D626,$D626-($D626-$I$616)*MIN(H$3-$O$2,$Q$2)/$Q$2))</f>
        <v>4046.02744050639</v>
      </c>
      <c r="I626" s="15" t="n">
        <f aca="false">H626*(1+IF(I$3&lt;=$O$2,$D626,$D626-($D626-$I$616)*MIN(I$3-$O$2,$Q$2)/$Q$2))</f>
        <v>4310.75775155514</v>
      </c>
      <c r="J626" s="15" t="n">
        <f aca="false">I626*(1+IF(J$3&lt;=$O$2,$D626,$D626-($D626-$I$616)*MIN(J$3-$O$2,$Q$2)/$Q$2))</f>
        <v>4556.48710873536</v>
      </c>
      <c r="K626" s="15" t="n">
        <f aca="false">J626*(1+IF(K$3&lt;=$O$2,$D626,$D626-($D626-$I$616)*MIN(K$3-$O$2,$Q$2)/$Q$2))</f>
        <v>4777.83128516217</v>
      </c>
      <c r="L626" s="15" t="n">
        <f aca="false">K626*(1+IF(L$3&lt;=$O$2,$D626,$D626-($D626-$I$616)*MIN(L$3-$O$2,$Q$2)/$Q$2))</f>
        <v>4969.67016969509</v>
      </c>
      <c r="M626" s="15" t="n">
        <f aca="false">L626*(1+IF(M$3&lt;=$O$2,$D626,$D626-($D626-$I$616)*MIN(M$3-$O$2,$Q$2)/$Q$2))</f>
        <v>5127.33761489445</v>
      </c>
      <c r="N626" s="15" t="n">
        <f aca="false">M626*(1+IF(N$3&lt;=$O$2,$D626,$D626-($D626-$I$616)*MIN(N$3-$O$2,$Q$2)/$Q$2))</f>
        <v>5246.80458132149</v>
      </c>
      <c r="O626" s="15" t="n">
        <f aca="false">SUMPRODUCT(E626:N626,1/(1+$F$616)^$E$3:$N$3)*$E$2</f>
        <v>12193.5032879942</v>
      </c>
      <c r="P626" s="15" t="n">
        <f aca="false">N626*$E$2*(1+$I$616)/($F$616-$I$616)/(1+$F$616)^$N$3</f>
        <v>14755.8739126798</v>
      </c>
      <c r="Q626" s="15" t="n">
        <f aca="false">O626+P626</f>
        <v>26949.377200674</v>
      </c>
      <c r="R626" s="15" t="n">
        <f aca="false">Q626-$G$2+$I$2</f>
        <v>22881.577200674</v>
      </c>
      <c r="S626" s="42" t="n">
        <f aca="false">R626/$K$2</f>
        <v>175.795768290365</v>
      </c>
      <c r="T626" s="43" t="n">
        <f aca="false">S626-$M$2</f>
        <v>-0.832996307053151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0.0654296875</v>
      </c>
      <c r="C627" s="25" t="n">
        <f aca="false">IF(T626&gt;0,D626,C626)</f>
        <v>0.068359375</v>
      </c>
      <c r="D627" s="41" t="n">
        <f aca="false">(B627+C627)/2</f>
        <v>0.06689453125</v>
      </c>
      <c r="E627" s="15" t="n">
        <f aca="false">$C$2*(1+IF(E$3&lt;=$O$2,$D627,$D627-($D627-$I$616)*MIN(E$3-$O$2,$Q$2)/$Q$2))</f>
        <v>3350.048828125</v>
      </c>
      <c r="F627" s="15" t="n">
        <f aca="false">E627*(1+IF(F$3&lt;=$O$2,$D627,$D627-($D627-$I$616)*MIN(F$3-$O$2,$Q$2)/$Q$2))</f>
        <v>3574.14877414703</v>
      </c>
      <c r="G627" s="15" t="n">
        <f aca="false">F627*(1+IF(G$3&lt;=$O$2,$D627,$D627-($D627-$I$616)*MIN(G$3-$O$2,$Q$2)/$Q$2))</f>
        <v>3813.23978101136</v>
      </c>
      <c r="H627" s="15" t="n">
        <f aca="false">G627*(1+IF(H$3&lt;=$O$2,$D627,$D627-($D627-$I$616)*MIN(H$3-$O$2,$Q$2)/$Q$2))</f>
        <v>4068.32466870597</v>
      </c>
      <c r="I627" s="15" t="n">
        <f aca="false">H627*(1+IF(I$3&lt;=$O$2,$D627,$D627-($D627-$I$616)*MIN(I$3-$O$2,$Q$2)/$Q$2))</f>
        <v>4340.47334039187</v>
      </c>
      <c r="J627" s="15" t="n">
        <f aca="false">I627*(1+IF(J$3&lt;=$O$2,$D627,$D627-($D627-$I$616)*MIN(J$3-$O$2,$Q$2)/$Q$2))</f>
        <v>4592.983089765</v>
      </c>
      <c r="K627" s="15" t="n">
        <f aca="false">J627*(1+IF(K$3&lt;=$O$2,$D627,$D627-($D627-$I$616)*MIN(K$3-$O$2,$Q$2)/$Q$2))</f>
        <v>4820.13696265901</v>
      </c>
      <c r="L627" s="15" t="n">
        <f aca="false">K627*(1+IF(L$3&lt;=$O$2,$D627,$D627-($D627-$I$616)*MIN(L$3-$O$2,$Q$2)/$Q$2))</f>
        <v>5016.49879846814</v>
      </c>
      <c r="M627" s="15" t="n">
        <f aca="false">L627*(1+IF(M$3&lt;=$O$2,$D627,$D627-($D627-$I$616)*MIN(M$3-$O$2,$Q$2)/$Q$2))</f>
        <v>5177.12160319953</v>
      </c>
      <c r="N627" s="15" t="n">
        <f aca="false">M627*(1+IF(N$3&lt;=$O$2,$D627,$D627-($D627-$I$616)*MIN(N$3-$O$2,$Q$2)/$Q$2))</f>
        <v>5297.74853655408</v>
      </c>
      <c r="O627" s="15" t="n">
        <f aca="false">SUMPRODUCT(E627:N627,1/(1+$F$616)^$E$3:$N$3)*$E$2</f>
        <v>12271.0450400549</v>
      </c>
      <c r="P627" s="15" t="n">
        <f aca="false">N627*$E$2*(1+$I$616)/($F$616-$I$616)/(1+$F$616)^$N$3</f>
        <v>14899.1463689671</v>
      </c>
      <c r="Q627" s="15" t="n">
        <f aca="false">O627+P627</f>
        <v>27170.191409022</v>
      </c>
      <c r="R627" s="15" t="n">
        <f aca="false">Q627-$G$2+$I$2</f>
        <v>23102.391409022</v>
      </c>
      <c r="S627" s="42" t="n">
        <f aca="false">R627/$K$2</f>
        <v>177.492251144914</v>
      </c>
      <c r="T627" s="43" t="n">
        <f aca="false">S627-$M$2</f>
        <v>0.863486547495199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0.0654296875</v>
      </c>
      <c r="C628" s="25" t="n">
        <f aca="false">IF(T627&gt;0,D627,C627)</f>
        <v>0.06689453125</v>
      </c>
      <c r="D628" s="41" t="n">
        <f aca="false">(B628+C628)/2</f>
        <v>0.066162109375</v>
      </c>
      <c r="E628" s="15" t="n">
        <f aca="false">$C$2*(1+IF(E$3&lt;=$O$2,$D628,$D628-($D628-$I$616)*MIN(E$3-$O$2,$Q$2)/$Q$2))</f>
        <v>3347.7490234375</v>
      </c>
      <c r="F628" s="15" t="n">
        <f aca="false">E628*(1+IF(F$3&lt;=$O$2,$D628,$D628-($D628-$I$616)*MIN(F$3-$O$2,$Q$2)/$Q$2))</f>
        <v>3569.24316048622</v>
      </c>
      <c r="G628" s="15" t="n">
        <f aca="false">F628*(1+IF(G$3&lt;=$O$2,$D628,$D628-($D628-$I$616)*MIN(G$3-$O$2,$Q$2)/$Q$2))</f>
        <v>3805.39181685628</v>
      </c>
      <c r="H628" s="15" t="n">
        <f aca="false">G628*(1+IF(H$3&lt;=$O$2,$D628,$D628-($D628-$I$616)*MIN(H$3-$O$2,$Q$2)/$Q$2))</f>
        <v>4057.16456645786</v>
      </c>
      <c r="I628" s="15" t="n">
        <f aca="false">H628*(1+IF(I$3&lt;=$O$2,$D628,$D628-($D628-$I$616)*MIN(I$3-$O$2,$Q$2)/$Q$2))</f>
        <v>4325.59513225622</v>
      </c>
      <c r="J628" s="15" t="n">
        <f aca="false">I628*(1+IF(J$3&lt;=$O$2,$D628,$D628-($D628-$I$616)*MIN(J$3-$O$2,$Q$2)/$Q$2))</f>
        <v>4574.70480417437</v>
      </c>
      <c r="K628" s="15" t="n">
        <f aca="false">J628*(1+IF(K$3&lt;=$O$2,$D628,$D628-($D628-$I$616)*MIN(K$3-$O$2,$Q$2)/$Q$2))</f>
        <v>4798.94432471655</v>
      </c>
      <c r="L628" s="15" t="n">
        <f aca="false">K628*(1+IF(L$3&lt;=$O$2,$D628,$D628-($D628-$I$616)*MIN(L$3-$O$2,$Q$2)/$Q$2))</f>
        <v>4993.03687809466</v>
      </c>
      <c r="M628" s="15" t="n">
        <f aca="false">L628*(1+IF(M$3&lt;=$O$2,$D628,$D628-($D628-$I$616)*MIN(M$3-$O$2,$Q$2)/$Q$2))</f>
        <v>5152.17705591073</v>
      </c>
      <c r="N628" s="15" t="n">
        <f aca="false">M628*(1+IF(N$3&lt;=$O$2,$D628,$D628-($D628-$I$616)*MIN(N$3-$O$2,$Q$2)/$Q$2))</f>
        <v>5272.22278131345</v>
      </c>
      <c r="O628" s="15" t="n">
        <f aca="false">SUMPRODUCT(E628:N628,1/(1+$F$616)^$E$3:$N$3)*$E$2</f>
        <v>12232.2124097072</v>
      </c>
      <c r="P628" s="15" t="n">
        <f aca="false">N628*$E$2*(1+$I$616)/($F$616-$I$616)/(1+$F$616)^$N$3</f>
        <v>14827.3588990854</v>
      </c>
      <c r="Q628" s="15" t="n">
        <f aca="false">O628+P628</f>
        <v>27059.5713087926</v>
      </c>
      <c r="R628" s="15" t="n">
        <f aca="false">Q628-$G$2+$I$2</f>
        <v>22991.7713087926</v>
      </c>
      <c r="S628" s="42" t="n">
        <f aca="false">R628/$K$2</f>
        <v>176.642373300496</v>
      </c>
      <c r="T628" s="43" t="n">
        <f aca="false">S628-$M$2</f>
        <v>0.0136087030773808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0.0654296875</v>
      </c>
      <c r="C629" s="25" t="n">
        <f aca="false">IF(T628&gt;0,D628,C628)</f>
        <v>0.066162109375</v>
      </c>
      <c r="D629" s="41" t="n">
        <f aca="false">(B629+C629)/2</f>
        <v>0.0657958984375</v>
      </c>
      <c r="E629" s="15" t="n">
        <f aca="false">$C$2*(1+IF(E$3&lt;=$O$2,$D629,$D629-($D629-$I$616)*MIN(E$3-$O$2,$Q$2)/$Q$2))</f>
        <v>3346.59912109375</v>
      </c>
      <c r="F629" s="15" t="n">
        <f aca="false">E629*(1+IF(F$3&lt;=$O$2,$D629,$D629-($D629-$I$616)*MIN(F$3-$O$2,$Q$2)/$Q$2))</f>
        <v>3566.79161697626</v>
      </c>
      <c r="G629" s="15" t="n">
        <f aca="false">F629*(1+IF(G$3&lt;=$O$2,$D629,$D629-($D629-$I$616)*MIN(G$3-$O$2,$Q$2)/$Q$2))</f>
        <v>3801.47187595456</v>
      </c>
      <c r="H629" s="15" t="n">
        <f aca="false">G629*(1+IF(H$3&lt;=$O$2,$D629,$D629-($D629-$I$616)*MIN(H$3-$O$2,$Q$2)/$Q$2))</f>
        <v>4051.59313341788</v>
      </c>
      <c r="I629" s="15" t="n">
        <f aca="false">H629*(1+IF(I$3&lt;=$O$2,$D629,$D629-($D629-$I$616)*MIN(I$3-$O$2,$Q$2)/$Q$2))</f>
        <v>4318.17134373431</v>
      </c>
      <c r="J629" s="15" t="n">
        <f aca="false">I629*(1+IF(J$3&lt;=$O$2,$D629,$D629-($D629-$I$616)*MIN(J$3-$O$2,$Q$2)/$Q$2))</f>
        <v>4565.58839273057</v>
      </c>
      <c r="K629" s="15" t="n">
        <f aca="false">J629*(1+IF(K$3&lt;=$O$2,$D629,$D629-($D629-$I$616)*MIN(K$3-$O$2,$Q$2)/$Q$2))</f>
        <v>4788.37787066813</v>
      </c>
      <c r="L629" s="15" t="n">
        <f aca="false">K629*(1+IF(L$3&lt;=$O$2,$D629,$D629-($D629-$I$616)*MIN(L$3-$O$2,$Q$2)/$Q$2))</f>
        <v>4981.34164292361</v>
      </c>
      <c r="M629" s="15" t="n">
        <f aca="false">L629*(1+IF(M$3&lt;=$O$2,$D629,$D629-($D629-$I$616)*MIN(M$3-$O$2,$Q$2)/$Q$2))</f>
        <v>5139.74422091177</v>
      </c>
      <c r="N629" s="15" t="n">
        <f aca="false">M629*(1+IF(N$3&lt;=$O$2,$D629,$D629-($D629-$I$616)*MIN(N$3-$O$2,$Q$2)/$Q$2))</f>
        <v>5259.50026125901</v>
      </c>
      <c r="O629" s="15" t="n">
        <f aca="false">SUMPRODUCT(E629:N629,1/(1+$F$616)^$E$3:$N$3)*$E$2</f>
        <v>12212.8424332224</v>
      </c>
      <c r="P629" s="15" t="n">
        <f aca="false">N629*$E$2*(1+$I$616)/($F$616-$I$616)/(1+$F$616)^$N$3</f>
        <v>14791.5786639222</v>
      </c>
      <c r="Q629" s="15" t="n">
        <f aca="false">O629+P629</f>
        <v>27004.4210971446</v>
      </c>
      <c r="R629" s="15" t="n">
        <f aca="false">Q629-$G$2+$I$2</f>
        <v>22936.6210971446</v>
      </c>
      <c r="S629" s="42" t="n">
        <f aca="false">R629/$K$2</f>
        <v>176.218662393551</v>
      </c>
      <c r="T629" s="43" t="n">
        <f aca="false">S629-$M$2</f>
        <v>-0.410102203867297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0.0657958984375</v>
      </c>
      <c r="C630" s="25" t="n">
        <f aca="false">IF(T629&gt;0,D629,C629)</f>
        <v>0.066162109375</v>
      </c>
      <c r="D630" s="41" t="n">
        <f aca="false">(B630+C630)/2</f>
        <v>0.06597900390625</v>
      </c>
      <c r="E630" s="15" t="n">
        <f aca="false">$C$2*(1+IF(E$3&lt;=$O$2,$D630,$D630-($D630-$I$616)*MIN(E$3-$O$2,$Q$2)/$Q$2))</f>
        <v>3347.17407226563</v>
      </c>
      <c r="F630" s="15" t="n">
        <f aca="false">E630*(1+IF(F$3&lt;=$O$2,$D630,$D630-($D630-$I$616)*MIN(F$3-$O$2,$Q$2)/$Q$2))</f>
        <v>3568.01728345454</v>
      </c>
      <c r="G630" s="15" t="n">
        <f aca="false">F630*(1+IF(G$3&lt;=$O$2,$D630,$D630-($D630-$I$616)*MIN(G$3-$O$2,$Q$2)/$Q$2))</f>
        <v>3803.43150973715</v>
      </c>
      <c r="H630" s="15" t="n">
        <f aca="false">G630*(1+IF(H$3&lt;=$O$2,$D630,$D630-($D630-$I$616)*MIN(H$3-$O$2,$Q$2)/$Q$2))</f>
        <v>4054.37813217525</v>
      </c>
      <c r="I630" s="15" t="n">
        <f aca="false">H630*(1+IF(I$3&lt;=$O$2,$D630,$D630-($D630-$I$616)*MIN(I$3-$O$2,$Q$2)/$Q$2))</f>
        <v>4321.88196279546</v>
      </c>
      <c r="J630" s="15" t="n">
        <f aca="false">I630*(1+IF(J$3&lt;=$O$2,$D630,$D630-($D630-$I$616)*MIN(J$3-$O$2,$Q$2)/$Q$2))</f>
        <v>4570.14470626659</v>
      </c>
      <c r="K630" s="15" t="n">
        <f aca="false">J630*(1+IF(K$3&lt;=$O$2,$D630,$D630-($D630-$I$616)*MIN(K$3-$O$2,$Q$2)/$Q$2))</f>
        <v>4793.65861218513</v>
      </c>
      <c r="L630" s="15" t="n">
        <f aca="false">K630*(1+IF(L$3&lt;=$O$2,$D630,$D630-($D630-$I$616)*MIN(L$3-$O$2,$Q$2)/$Q$2))</f>
        <v>4987.18628770292</v>
      </c>
      <c r="M630" s="15" t="n">
        <f aca="false">L630*(1+IF(M$3&lt;=$O$2,$D630,$D630-($D630-$I$616)*MIN(M$3-$O$2,$Q$2)/$Q$2))</f>
        <v>5145.95735681721</v>
      </c>
      <c r="N630" s="15" t="n">
        <f aca="false">M630*(1+IF(N$3&lt;=$O$2,$D630,$D630-($D630-$I$616)*MIN(N$3-$O$2,$Q$2)/$Q$2))</f>
        <v>5265.85816323105</v>
      </c>
      <c r="O630" s="15" t="n">
        <f aca="false">SUMPRODUCT(E630:N630,1/(1+$F$616)^$E$3:$N$3)*$E$2</f>
        <v>12222.5235646912</v>
      </c>
      <c r="P630" s="15" t="n">
        <f aca="false">N630*$E$2*(1+$I$616)/($F$616-$I$616)/(1+$F$616)^$N$3</f>
        <v>14809.4593374626</v>
      </c>
      <c r="Q630" s="15" t="n">
        <f aca="false">O630+P630</f>
        <v>27031.9829021537</v>
      </c>
      <c r="R630" s="15" t="n">
        <f aca="false">Q630-$G$2+$I$2</f>
        <v>22964.1829021537</v>
      </c>
      <c r="S630" s="42" t="n">
        <f aca="false">R630/$K$2</f>
        <v>176.430415658833</v>
      </c>
      <c r="T630" s="43" t="n">
        <f aca="false">S630-$M$2</f>
        <v>-0.198348938585383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0.06597900390625</v>
      </c>
      <c r="C631" s="25" t="n">
        <f aca="false">IF(T630&gt;0,D630,C630)</f>
        <v>0.066162109375</v>
      </c>
      <c r="D631" s="41" t="n">
        <f aca="false">(B631+C631)/2</f>
        <v>0.066070556640625</v>
      </c>
      <c r="E631" s="15" t="n">
        <f aca="false">$C$2*(1+IF(E$3&lt;=$O$2,$D631,$D631-($D631-$I$616)*MIN(E$3-$O$2,$Q$2)/$Q$2))</f>
        <v>3347.46154785156</v>
      </c>
      <c r="F631" s="15" t="n">
        <f aca="false">E631*(1+IF(F$3&lt;=$O$2,$D631,$D631-($D631-$I$616)*MIN(F$3-$O$2,$Q$2)/$Q$2))</f>
        <v>3568.6301956512</v>
      </c>
      <c r="G631" s="15" t="n">
        <f aca="false">F631*(1+IF(G$3&lt;=$O$2,$D631,$D631-($D631-$I$616)*MIN(G$3-$O$2,$Q$2)/$Q$2))</f>
        <v>3804.41157912242</v>
      </c>
      <c r="H631" s="15" t="n">
        <f aca="false">G631*(1+IF(H$3&lt;=$O$2,$D631,$D631-($D631-$I$616)*MIN(H$3-$O$2,$Q$2)/$Q$2))</f>
        <v>4055.77116984508</v>
      </c>
      <c r="I631" s="15" t="n">
        <f aca="false">H631*(1+IF(I$3&lt;=$O$2,$D631,$D631-($D631-$I$616)*MIN(I$3-$O$2,$Q$2)/$Q$2))</f>
        <v>4323.73822864374</v>
      </c>
      <c r="J631" s="15" t="n">
        <f aca="false">I631*(1+IF(J$3&lt;=$O$2,$D631,$D631-($D631-$I$616)*MIN(J$3-$O$2,$Q$2)/$Q$2))</f>
        <v>4572.42428201709</v>
      </c>
      <c r="K631" s="15" t="n">
        <f aca="false">J631*(1+IF(K$3&lt;=$O$2,$D631,$D631-($D631-$I$616)*MIN(K$3-$O$2,$Q$2)/$Q$2))</f>
        <v>4796.30084683148</v>
      </c>
      <c r="L631" s="15" t="n">
        <f aca="false">K631*(1+IF(L$3&lt;=$O$2,$D631,$D631-($D631-$I$616)*MIN(L$3-$O$2,$Q$2)/$Q$2))</f>
        <v>4990.11083937661</v>
      </c>
      <c r="M631" s="15" t="n">
        <f aca="false">L631*(1+IF(M$3&lt;=$O$2,$D631,$D631-($D631-$I$616)*MIN(M$3-$O$2,$Q$2)/$Q$2))</f>
        <v>5149.06638559379</v>
      </c>
      <c r="N631" s="15" t="n">
        <f aca="false">M631*(1+IF(N$3&lt;=$O$2,$D631,$D631-($D631-$I$616)*MIN(N$3-$O$2,$Q$2)/$Q$2))</f>
        <v>5269.03963237813</v>
      </c>
      <c r="O631" s="15" t="n">
        <f aca="false">SUMPRODUCT(E631:N631,1/(1+$F$616)^$E$3:$N$3)*$E$2</f>
        <v>12227.3670226472</v>
      </c>
      <c r="P631" s="15" t="n">
        <f aca="false">N631*$E$2*(1+$I$616)/($F$616-$I$616)/(1+$F$616)^$N$3</f>
        <v>14818.4067561941</v>
      </c>
      <c r="Q631" s="15" t="n">
        <f aca="false">O631+P631</f>
        <v>27045.7737788413</v>
      </c>
      <c r="R631" s="15" t="n">
        <f aca="false">Q631-$G$2+$I$2</f>
        <v>22977.9737788413</v>
      </c>
      <c r="S631" s="42" t="n">
        <f aca="false">R631/$K$2</f>
        <v>176.536368921645</v>
      </c>
      <c r="T631" s="43" t="n">
        <f aca="false">S631-$M$2</f>
        <v>-0.0923956757737301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0.066070556640625</v>
      </c>
      <c r="C632" s="25" t="n">
        <f aca="false">IF(T631&gt;0,D631,C631)</f>
        <v>0.066162109375</v>
      </c>
      <c r="D632" s="41" t="n">
        <f aca="false">(B632+C632)/2</f>
        <v>0.0661163330078125</v>
      </c>
      <c r="E632" s="15" t="n">
        <f aca="false">$C$2*(1+IF(E$3&lt;=$O$2,$D632,$D632-($D632-$I$616)*MIN(E$3-$O$2,$Q$2)/$Q$2))</f>
        <v>3347.60528564453</v>
      </c>
      <c r="F632" s="15" t="n">
        <f aca="false">E632*(1+IF(F$3&lt;=$O$2,$D632,$D632-($D632-$I$616)*MIN(F$3-$O$2,$Q$2)/$Q$2))</f>
        <v>3568.93667148892</v>
      </c>
      <c r="G632" s="15" t="n">
        <f aca="false">F632*(1+IF(G$3&lt;=$O$2,$D632,$D632-($D632-$I$616)*MIN(G$3-$O$2,$Q$2)/$Q$2))</f>
        <v>3804.90167694487</v>
      </c>
      <c r="H632" s="15" t="n">
        <f aca="false">G632*(1+IF(H$3&lt;=$O$2,$D632,$D632-($D632-$I$616)*MIN(H$3-$O$2,$Q$2)/$Q$2))</f>
        <v>4056.46782327975</v>
      </c>
      <c r="I632" s="15" t="n">
        <f aca="false">H632*(1+IF(I$3&lt;=$O$2,$D632,$D632-($D632-$I$616)*MIN(I$3-$O$2,$Q$2)/$Q$2))</f>
        <v>4324.66660071919</v>
      </c>
      <c r="J632" s="15" t="n">
        <f aca="false">I632*(1+IF(J$3&lt;=$O$2,$D632,$D632-($D632-$I$616)*MIN(J$3-$O$2,$Q$2)/$Q$2))</f>
        <v>4573.56442477527</v>
      </c>
      <c r="K632" s="15" t="n">
        <f aca="false">J632*(1+IF(K$3&lt;=$O$2,$D632,$D632-($D632-$I$616)*MIN(K$3-$O$2,$Q$2)/$Q$2))</f>
        <v>4797.62243033885</v>
      </c>
      <c r="L632" s="15" t="n">
        <f aca="false">K632*(1+IF(L$3&lt;=$O$2,$D632,$D632-($D632-$I$616)*MIN(L$3-$O$2,$Q$2)/$Q$2))</f>
        <v>4991.573672815</v>
      </c>
      <c r="M632" s="15" t="n">
        <f aca="false">L632*(1+IF(M$3&lt;=$O$2,$D632,$D632-($D632-$I$616)*MIN(M$3-$O$2,$Q$2)/$Q$2))</f>
        <v>5150.62151551325</v>
      </c>
      <c r="N632" s="15" t="n">
        <f aca="false">M632*(1+IF(N$3&lt;=$O$2,$D632,$D632-($D632-$I$616)*MIN(N$3-$O$2,$Q$2)/$Q$2))</f>
        <v>5270.6309968247</v>
      </c>
      <c r="O632" s="15" t="n">
        <f aca="false">SUMPRODUCT(E632:N632,1/(1+$F$616)^$E$3:$N$3)*$E$2</f>
        <v>12229.7894749944</v>
      </c>
      <c r="P632" s="15" t="n">
        <f aca="false">N632*$E$2*(1+$I$616)/($F$616-$I$616)/(1+$F$616)^$N$3</f>
        <v>14822.882236986</v>
      </c>
      <c r="Q632" s="15" t="n">
        <f aca="false">O632+P632</f>
        <v>27052.6717119804</v>
      </c>
      <c r="R632" s="15" t="n">
        <f aca="false">Q632-$G$2+$I$2</f>
        <v>22984.8717119804</v>
      </c>
      <c r="S632" s="42" t="n">
        <f aca="false">R632/$K$2</f>
        <v>176.589364720194</v>
      </c>
      <c r="T632" s="43" t="n">
        <f aca="false">S632-$M$2</f>
        <v>-0.0393998772249802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0.0661163330078125</v>
      </c>
      <c r="C633" s="25" t="n">
        <f aca="false">IF(T632&gt;0,D632,C632)</f>
        <v>0.066162109375</v>
      </c>
      <c r="D633" s="41" t="n">
        <f aca="false">(B633+C633)/2</f>
        <v>0.0661392211914063</v>
      </c>
      <c r="E633" s="15" t="n">
        <f aca="false">$C$2*(1+IF(E$3&lt;=$O$2,$D633,$D633-($D633-$I$616)*MIN(E$3-$O$2,$Q$2)/$Q$2))</f>
        <v>3347.67715454102</v>
      </c>
      <c r="F633" s="15" t="n">
        <f aca="false">E633*(1+IF(F$3&lt;=$O$2,$D633,$D633-($D633-$I$616)*MIN(F$3-$O$2,$Q$2)/$Q$2))</f>
        <v>3569.08991434262</v>
      </c>
      <c r="G633" s="15" t="n">
        <f aca="false">F633*(1+IF(G$3&lt;=$O$2,$D633,$D633-($D633-$I$616)*MIN(G$3-$O$2,$Q$2)/$Q$2))</f>
        <v>3805.14674163935</v>
      </c>
      <c r="H633" s="15" t="n">
        <f aca="false">G633*(1+IF(H$3&lt;=$O$2,$D633,$D633-($D633-$I$616)*MIN(H$3-$O$2,$Q$2)/$Q$2))</f>
        <v>4056.81618365039</v>
      </c>
      <c r="I633" s="15" t="n">
        <f aca="false">H633*(1+IF(I$3&lt;=$O$2,$D633,$D633-($D633-$I$616)*MIN(I$3-$O$2,$Q$2)/$Q$2))</f>
        <v>4325.13084655372</v>
      </c>
      <c r="J633" s="15" t="n">
        <f aca="false">I633*(1+IF(J$3&lt;=$O$2,$D633,$D633-($D633-$I$616)*MIN(J$3-$O$2,$Q$2)/$Q$2))</f>
        <v>4574.13458489225</v>
      </c>
      <c r="K633" s="15" t="n">
        <f aca="false">J633*(1+IF(K$3&lt;=$O$2,$D633,$D633-($D633-$I$616)*MIN(K$3-$O$2,$Q$2)/$Q$2))</f>
        <v>4798.28333866512</v>
      </c>
      <c r="L633" s="15" t="n">
        <f aca="false">K633*(1+IF(L$3&lt;=$O$2,$D633,$D633-($D633-$I$616)*MIN(L$3-$O$2,$Q$2)/$Q$2))</f>
        <v>4992.30522896966</v>
      </c>
      <c r="M633" s="15" t="n">
        <f aca="false">L633*(1+IF(M$3&lt;=$O$2,$D633,$D633-($D633-$I$616)*MIN(M$3-$O$2,$Q$2)/$Q$2))</f>
        <v>5151.39923439642</v>
      </c>
      <c r="N633" s="15" t="n">
        <f aca="false">M633*(1+IF(N$3&lt;=$O$2,$D633,$D633-($D633-$I$616)*MIN(N$3-$O$2,$Q$2)/$Q$2))</f>
        <v>5271.42683655786</v>
      </c>
      <c r="O633" s="15" t="n">
        <f aca="false">SUMPRODUCT(E633:N633,1/(1+$F$616)^$E$3:$N$3)*$E$2</f>
        <v>12231.0008820495</v>
      </c>
      <c r="P633" s="15" t="n">
        <f aca="false">N633*$E$2*(1+$I$616)/($F$616-$I$616)/(1+$F$616)^$N$3</f>
        <v>14825.1204203555</v>
      </c>
      <c r="Q633" s="15" t="n">
        <f aca="false">O633+P633</f>
        <v>27056.121302405</v>
      </c>
      <c r="R633" s="15" t="n">
        <f aca="false">Q633-$G$2+$I$2</f>
        <v>22988.321302405</v>
      </c>
      <c r="S633" s="42" t="n">
        <f aca="false">R633/$K$2</f>
        <v>176.615867412454</v>
      </c>
      <c r="T633" s="43" t="n">
        <f aca="false">S633-$M$2</f>
        <v>-0.0128971849645723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0.0661392211914063</v>
      </c>
      <c r="C634" s="25" t="n">
        <f aca="false">IF(T633&gt;0,D633,C633)</f>
        <v>0.066162109375</v>
      </c>
      <c r="D634" s="41" t="n">
        <f aca="false">(B634+C634)/2</f>
        <v>0.0661506652832031</v>
      </c>
      <c r="E634" s="15" t="n">
        <f aca="false">$C$2*(1+IF(E$3&lt;=$O$2,$D634,$D634-($D634-$I$616)*MIN(E$3-$O$2,$Q$2)/$Q$2))</f>
        <v>3347.71308898926</v>
      </c>
      <c r="F634" s="15" t="n">
        <f aca="false">E634*(1+IF(F$3&lt;=$O$2,$D634,$D634-($D634-$I$616)*MIN(F$3-$O$2,$Q$2)/$Q$2))</f>
        <v>3569.16653700318</v>
      </c>
      <c r="G634" s="15" t="n">
        <f aca="false">F634*(1+IF(G$3&lt;=$O$2,$D634,$D634-($D634-$I$616)*MIN(G$3-$O$2,$Q$2)/$Q$2))</f>
        <v>3805.26927793249</v>
      </c>
      <c r="H634" s="15" t="n">
        <f aca="false">G634*(1+IF(H$3&lt;=$O$2,$D634,$D634-($D634-$I$616)*MIN(H$3-$O$2,$Q$2)/$Q$2))</f>
        <v>4056.99037224946</v>
      </c>
      <c r="I634" s="15" t="n">
        <f aca="false">H634*(1+IF(I$3&lt;=$O$2,$D634,$D634-($D634-$I$616)*MIN(I$3-$O$2,$Q$2)/$Q$2))</f>
        <v>4325.36298442131</v>
      </c>
      <c r="J634" s="15" t="n">
        <f aca="false">I634*(1+IF(J$3&lt;=$O$2,$D634,$D634-($D634-$I$616)*MIN(J$3-$O$2,$Q$2)/$Q$2))</f>
        <v>4574.41968713736</v>
      </c>
      <c r="K634" s="15" t="n">
        <f aca="false">J634*(1+IF(K$3&lt;=$O$2,$D634,$D634-($D634-$I$616)*MIN(K$3-$O$2,$Q$2)/$Q$2))</f>
        <v>4798.61382197471</v>
      </c>
      <c r="L634" s="15" t="n">
        <f aca="false">K634*(1+IF(L$3&lt;=$O$2,$D634,$D634-($D634-$I$616)*MIN(L$3-$O$2,$Q$2)/$Q$2))</f>
        <v>4992.67104191024</v>
      </c>
      <c r="M634" s="15" t="n">
        <f aca="false">L634*(1+IF(M$3&lt;=$O$2,$D634,$D634-($D634-$I$616)*MIN(M$3-$O$2,$Q$2)/$Q$2))</f>
        <v>5151.78813232396</v>
      </c>
      <c r="N634" s="15" t="n">
        <f aca="false">M634*(1+IF(N$3&lt;=$O$2,$D634,$D634-($D634-$I$616)*MIN(N$3-$O$2,$Q$2)/$Q$2))</f>
        <v>5271.82479580711</v>
      </c>
      <c r="O634" s="15" t="n">
        <f aca="false">SUMPRODUCT(E634:N634,1/(1+$F$616)^$E$3:$N$3)*$E$2</f>
        <v>12231.6066308023</v>
      </c>
      <c r="P634" s="15" t="n">
        <f aca="false">N634*$E$2*(1+$I$616)/($F$616-$I$616)/(1+$F$616)^$N$3</f>
        <v>14826.2396227983</v>
      </c>
      <c r="Q634" s="15" t="n">
        <f aca="false">O634+P634</f>
        <v>27057.8462536006</v>
      </c>
      <c r="R634" s="15" t="n">
        <f aca="false">Q634-$G$2+$I$2</f>
        <v>22990.0462536006</v>
      </c>
      <c r="S634" s="42" t="n">
        <f aca="false">R634/$K$2</f>
        <v>176.629119956981</v>
      </c>
      <c r="T634" s="43" t="n">
        <f aca="false">S634-$M$2</f>
        <v>0.000355359562320245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0.0661392211914063</v>
      </c>
      <c r="C635" s="25" t="n">
        <f aca="false">IF(T634&gt;0,D634,C634)</f>
        <v>0.0661506652832031</v>
      </c>
      <c r="D635" s="41" t="n">
        <f aca="false">(B635+C635)/2</f>
        <v>0.0661449432373047</v>
      </c>
      <c r="E635" s="15" t="n">
        <f aca="false">$C$2*(1+IF(E$3&lt;=$O$2,$D635,$D635-($D635-$I$616)*MIN(E$3-$O$2,$Q$2)/$Q$2))</f>
        <v>3347.69512176514</v>
      </c>
      <c r="F635" s="15" t="n">
        <f aca="false">E635*(1+IF(F$3&lt;=$O$2,$D635,$D635-($D635-$I$616)*MIN(F$3-$O$2,$Q$2)/$Q$2))</f>
        <v>3569.12822557009</v>
      </c>
      <c r="G635" s="15" t="n">
        <f aca="false">F635*(1+IF(G$3&lt;=$O$2,$D635,$D635-($D635-$I$616)*MIN(G$3-$O$2,$Q$2)/$Q$2))</f>
        <v>3805.20800945709</v>
      </c>
      <c r="H635" s="15" t="n">
        <f aca="false">G635*(1+IF(H$3&lt;=$O$2,$D635,$D635-($D635-$I$616)*MIN(H$3-$O$2,$Q$2)/$Q$2))</f>
        <v>4056.90327724877</v>
      </c>
      <c r="I635" s="15" t="n">
        <f aca="false">H635*(1+IF(I$3&lt;=$O$2,$D635,$D635-($D635-$I$616)*MIN(I$3-$O$2,$Q$2)/$Q$2))</f>
        <v>4325.24691424162</v>
      </c>
      <c r="J635" s="15" t="n">
        <f aca="false">I635*(1+IF(J$3&lt;=$O$2,$D635,$D635-($D635-$I$616)*MIN(J$3-$O$2,$Q$2)/$Q$2))</f>
        <v>4574.27713416586</v>
      </c>
      <c r="K635" s="15" t="n">
        <f aca="false">J635*(1+IF(K$3&lt;=$O$2,$D635,$D635-($D635-$I$616)*MIN(K$3-$O$2,$Q$2)/$Q$2))</f>
        <v>4798.44857789095</v>
      </c>
      <c r="L635" s="15" t="n">
        <f aca="false">K635*(1+IF(L$3&lt;=$O$2,$D635,$D635-($D635-$I$616)*MIN(L$3-$O$2,$Q$2)/$Q$2))</f>
        <v>4992.48813253455</v>
      </c>
      <c r="M635" s="15" t="n">
        <f aca="false">L635*(1+IF(M$3&lt;=$O$2,$D635,$D635-($D635-$I$616)*MIN(M$3-$O$2,$Q$2)/$Q$2))</f>
        <v>5151.59368015288</v>
      </c>
      <c r="N635" s="15" t="n">
        <f aca="false">M635*(1+IF(N$3&lt;=$O$2,$D635,$D635-($D635-$I$616)*MIN(N$3-$O$2,$Q$2)/$Q$2))</f>
        <v>5271.62581290044</v>
      </c>
      <c r="O635" s="15" t="n">
        <f aca="false">SUMPRODUCT(E635:N635,1/(1+$F$616)^$E$3:$N$3)*$E$2</f>
        <v>12231.303752657</v>
      </c>
      <c r="P635" s="15" t="n">
        <f aca="false">N635*$E$2*(1+$I$616)/($F$616-$I$616)/(1+$F$616)^$N$3</f>
        <v>14825.6800123467</v>
      </c>
      <c r="Q635" s="15" t="n">
        <f aca="false">O635+P635</f>
        <v>27056.9837650037</v>
      </c>
      <c r="R635" s="15" t="n">
        <f aca="false">Q635-$G$2+$I$2</f>
        <v>22989.1837650037</v>
      </c>
      <c r="S635" s="42" t="n">
        <f aca="false">R635/$K$2</f>
        <v>176.622493584847</v>
      </c>
      <c r="T635" s="43" t="n">
        <f aca="false">S635-$M$2</f>
        <v>-0.00627101257188656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0.0661449432373047</v>
      </c>
      <c r="C636" s="25" t="n">
        <f aca="false">IF(T635&gt;0,D635,C635)</f>
        <v>0.0661506652832031</v>
      </c>
      <c r="D636" s="41" t="n">
        <f aca="false">(B636+C636)/2</f>
        <v>0.0661478042602539</v>
      </c>
      <c r="E636" s="15" t="n">
        <f aca="false">$C$2*(1+IF(E$3&lt;=$O$2,$D636,$D636-($D636-$I$616)*MIN(E$3-$O$2,$Q$2)/$Q$2))</f>
        <v>3347.7041053772</v>
      </c>
      <c r="F636" s="15" t="n">
        <f aca="false">E636*(1+IF(F$3&lt;=$O$2,$D636,$D636-($D636-$I$616)*MIN(F$3-$O$2,$Q$2)/$Q$2))</f>
        <v>3569.14738126094</v>
      </c>
      <c r="G636" s="15" t="n">
        <f aca="false">F636*(1+IF(G$3&lt;=$O$2,$D636,$D636-($D636-$I$616)*MIN(G$3-$O$2,$Q$2)/$Q$2))</f>
        <v>3805.23864361258</v>
      </c>
      <c r="H636" s="15" t="n">
        <f aca="false">G636*(1+IF(H$3&lt;=$O$2,$D636,$D636-($D636-$I$616)*MIN(H$3-$O$2,$Q$2)/$Q$2))</f>
        <v>4056.94682457382</v>
      </c>
      <c r="I636" s="15" t="n">
        <f aca="false">H636*(1+IF(I$3&lt;=$O$2,$D636,$D636-($D636-$I$616)*MIN(I$3-$O$2,$Q$2)/$Q$2))</f>
        <v>4325.30494901999</v>
      </c>
      <c r="J636" s="15" t="n">
        <f aca="false">I636*(1+IF(J$3&lt;=$O$2,$D636,$D636-($D636-$I$616)*MIN(J$3-$O$2,$Q$2)/$Q$2))</f>
        <v>4574.34841018937</v>
      </c>
      <c r="K636" s="15" t="n">
        <f aca="false">J636*(1+IF(K$3&lt;=$O$2,$D636,$D636-($D636-$I$616)*MIN(K$3-$O$2,$Q$2)/$Q$2))</f>
        <v>4798.53119932558</v>
      </c>
      <c r="L636" s="15" t="n">
        <f aca="false">K636*(1+IF(L$3&lt;=$O$2,$D636,$D636-($D636-$I$616)*MIN(L$3-$O$2,$Q$2)/$Q$2))</f>
        <v>4992.57958649603</v>
      </c>
      <c r="M636" s="15" t="n">
        <f aca="false">L636*(1+IF(M$3&lt;=$O$2,$D636,$D636-($D636-$I$616)*MIN(M$3-$O$2,$Q$2)/$Q$2))</f>
        <v>5151.69090543658</v>
      </c>
      <c r="N636" s="15" t="n">
        <f aca="false">M636*(1+IF(N$3&lt;=$O$2,$D636,$D636-($D636-$I$616)*MIN(N$3-$O$2,$Q$2)/$Q$2))</f>
        <v>5271.72530353325</v>
      </c>
      <c r="O636" s="15" t="n">
        <f aca="false">SUMPRODUCT(E636:N636,1/(1+$F$616)^$E$3:$N$3)*$E$2</f>
        <v>12231.4551907874</v>
      </c>
      <c r="P636" s="15" t="n">
        <f aca="false">N636*$E$2*(1+$I$616)/($F$616-$I$616)/(1+$F$616)^$N$3</f>
        <v>14825.9598152649</v>
      </c>
      <c r="Q636" s="15" t="n">
        <f aca="false">O636+P636</f>
        <v>27057.4150060523</v>
      </c>
      <c r="R636" s="15" t="n">
        <f aca="false">Q636-$G$2+$I$2</f>
        <v>22989.6150060523</v>
      </c>
      <c r="S636" s="42" t="n">
        <f aca="false">R636/$K$2</f>
        <v>176.625806745946</v>
      </c>
      <c r="T636" s="43" t="n">
        <f aca="false">S636-$M$2</f>
        <v>-0.00295785147289962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0.0661478042602539</v>
      </c>
      <c r="C637" s="25" t="n">
        <f aca="false">IF(T636&gt;0,D636,C636)</f>
        <v>0.0661506652832031</v>
      </c>
      <c r="D637" s="41" t="n">
        <f aca="false">(B637+C637)/2</f>
        <v>0.0661492347717285</v>
      </c>
      <c r="E637" s="15" t="n">
        <f aca="false">$C$2*(1+IF(E$3&lt;=$O$2,$D637,$D637-($D637-$I$616)*MIN(E$3-$O$2,$Q$2)/$Q$2))</f>
        <v>3347.70859718323</v>
      </c>
      <c r="F637" s="15" t="n">
        <f aca="false">E637*(1+IF(F$3&lt;=$O$2,$D637,$D637-($D637-$I$616)*MIN(F$3-$O$2,$Q$2)/$Q$2))</f>
        <v>3569.15695912564</v>
      </c>
      <c r="G637" s="15" t="n">
        <f aca="false">F637*(1+IF(G$3&lt;=$O$2,$D637,$D637-($D637-$I$616)*MIN(G$3-$O$2,$Q$2)/$Q$2))</f>
        <v>3805.25396075199</v>
      </c>
      <c r="H637" s="15" t="n">
        <f aca="false">G637*(1+IF(H$3&lt;=$O$2,$D637,$D637-($D637-$I$616)*MIN(H$3-$O$2,$Q$2)/$Q$2))</f>
        <v>4056.96859836782</v>
      </c>
      <c r="I637" s="15" t="n">
        <f aca="false">H637*(1+IF(I$3&lt;=$O$2,$D637,$D637-($D637-$I$616)*MIN(I$3-$O$2,$Q$2)/$Q$2))</f>
        <v>4325.33396664278</v>
      </c>
      <c r="J637" s="15" t="n">
        <f aca="false">I637*(1+IF(J$3&lt;=$O$2,$D637,$D637-($D637-$I$616)*MIN(J$3-$O$2,$Q$2)/$Q$2))</f>
        <v>4574.3840485478</v>
      </c>
      <c r="K637" s="15" t="n">
        <f aca="false">J637*(1+IF(K$3&lt;=$O$2,$D637,$D637-($D637-$I$616)*MIN(K$3-$O$2,$Q$2)/$Q$2))</f>
        <v>4798.57251049833</v>
      </c>
      <c r="L637" s="15" t="n">
        <f aca="false">K637*(1+IF(L$3&lt;=$O$2,$D637,$D637-($D637-$I$616)*MIN(L$3-$O$2,$Q$2)/$Q$2))</f>
        <v>4992.62531402155</v>
      </c>
      <c r="M637" s="15" t="n">
        <f aca="false">L637*(1+IF(M$3&lt;=$O$2,$D637,$D637-($D637-$I$616)*MIN(M$3-$O$2,$Q$2)/$Q$2))</f>
        <v>5151.73951867981</v>
      </c>
      <c r="N637" s="15" t="n">
        <f aca="false">M637*(1+IF(N$3&lt;=$O$2,$D637,$D637-($D637-$I$616)*MIN(N$3-$O$2,$Q$2)/$Q$2))</f>
        <v>5271.77504946505</v>
      </c>
      <c r="O637" s="15" t="n">
        <f aca="false">SUMPRODUCT(E637:N637,1/(1+$F$616)^$E$3:$N$3)*$E$2</f>
        <v>12231.5309105593</v>
      </c>
      <c r="P637" s="15" t="n">
        <f aca="false">N637*$E$2*(1+$I$616)/($F$616-$I$616)/(1+$F$616)^$N$3</f>
        <v>14826.0997184547</v>
      </c>
      <c r="Q637" s="15" t="n">
        <f aca="false">O637+P637</f>
        <v>27057.630629014</v>
      </c>
      <c r="R637" s="15" t="n">
        <f aca="false">Q637-$G$2+$I$2</f>
        <v>22989.830629014</v>
      </c>
      <c r="S637" s="42" t="n">
        <f aca="false">R637/$K$2</f>
        <v>176.627463345221</v>
      </c>
      <c r="T637" s="43" t="n">
        <f aca="false">S637-$M$2</f>
        <v>-0.00130125219735078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0.0661492347717285</v>
      </c>
      <c r="C638" s="25" t="n">
        <f aca="false">IF(T637&gt;0,D637,C637)</f>
        <v>0.0661506652832031</v>
      </c>
      <c r="D638" s="41" t="n">
        <f aca="false">(B638+C638)/2</f>
        <v>0.0661499500274658</v>
      </c>
      <c r="E638" s="15" t="n">
        <f aca="false">$C$2*(1+IF(E$3&lt;=$O$2,$D638,$D638-($D638-$I$616)*MIN(E$3-$O$2,$Q$2)/$Q$2))</f>
        <v>3347.71084308624</v>
      </c>
      <c r="F638" s="15" t="n">
        <f aca="false">E638*(1+IF(F$3&lt;=$O$2,$D638,$D638-($D638-$I$616)*MIN(F$3-$O$2,$Q$2)/$Q$2))</f>
        <v>3569.1617480628</v>
      </c>
      <c r="G638" s="15" t="n">
        <f aca="false">F638*(1+IF(G$3&lt;=$O$2,$D638,$D638-($D638-$I$616)*MIN(G$3-$O$2,$Q$2)/$Q$2))</f>
        <v>3805.2616193371</v>
      </c>
      <c r="H638" s="15" t="n">
        <f aca="false">G638*(1+IF(H$3&lt;=$O$2,$D638,$D638-($D638-$I$616)*MIN(H$3-$O$2,$Q$2)/$Q$2))</f>
        <v>4056.97948529768</v>
      </c>
      <c r="I638" s="15" t="n">
        <f aca="false">H638*(1+IF(I$3&lt;=$O$2,$D638,$D638-($D638-$I$616)*MIN(I$3-$O$2,$Q$2)/$Q$2))</f>
        <v>4325.34847551258</v>
      </c>
      <c r="J638" s="15" t="n">
        <f aca="false">I638*(1+IF(J$3&lt;=$O$2,$D638,$D638-($D638-$I$616)*MIN(J$3-$O$2,$Q$2)/$Q$2))</f>
        <v>4574.40186781369</v>
      </c>
      <c r="K638" s="15" t="n">
        <f aca="false">J638*(1+IF(K$3&lt;=$O$2,$D638,$D638-($D638-$I$616)*MIN(K$3-$O$2,$Q$2)/$Q$2))</f>
        <v>4798.59316619857</v>
      </c>
      <c r="L638" s="15" t="n">
        <f aca="false">K638*(1+IF(L$3&lt;=$O$2,$D638,$D638-($D638-$I$616)*MIN(L$3-$O$2,$Q$2)/$Q$2))</f>
        <v>4992.6481779205</v>
      </c>
      <c r="M638" s="15" t="n">
        <f aca="false">L638*(1+IF(M$3&lt;=$O$2,$D638,$D638-($D638-$I$616)*MIN(M$3-$O$2,$Q$2)/$Q$2))</f>
        <v>5151.76382545176</v>
      </c>
      <c r="N638" s="15" t="n">
        <f aca="false">M638*(1+IF(N$3&lt;=$O$2,$D638,$D638-($D638-$I$616)*MIN(N$3-$O$2,$Q$2)/$Q$2))</f>
        <v>5271.79992258479</v>
      </c>
      <c r="O638" s="15" t="n">
        <f aca="false">SUMPRODUCT(E638:N638,1/(1+$F$616)^$E$3:$N$3)*$E$2</f>
        <v>12231.5687706219</v>
      </c>
      <c r="P638" s="15" t="n">
        <f aca="false">N638*$E$2*(1+$I$616)/($F$616-$I$616)/(1+$F$616)^$N$3</f>
        <v>14826.1696704823</v>
      </c>
      <c r="Q638" s="15" t="n">
        <f aca="false">O638+P638</f>
        <v>27057.7384411042</v>
      </c>
      <c r="R638" s="15" t="n">
        <f aca="false">Q638-$G$2+$I$2</f>
        <v>22989.9384411042</v>
      </c>
      <c r="S638" s="42" t="n">
        <f aca="false">R638/$K$2</f>
        <v>176.628291649541</v>
      </c>
      <c r="T638" s="43" t="n">
        <f aca="false">S638-$M$2</f>
        <v>-0.000472947878080277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0.0661499500274658</v>
      </c>
      <c r="C639" s="25" t="n">
        <f aca="false">IF(T638&gt;0,D638,C638)</f>
        <v>0.0661506652832031</v>
      </c>
      <c r="D639" s="41" t="n">
        <f aca="false">(B639+C639)/2</f>
        <v>0.0661503076553345</v>
      </c>
      <c r="E639" s="15" t="n">
        <f aca="false">$C$2*(1+IF(E$3&lt;=$O$2,$D639,$D639-($D639-$I$616)*MIN(E$3-$O$2,$Q$2)/$Q$2))</f>
        <v>3347.71196603775</v>
      </c>
      <c r="F639" s="15" t="n">
        <f aca="false">E639*(1+IF(F$3&lt;=$O$2,$D639,$D639-($D639-$I$616)*MIN(F$3-$O$2,$Q$2)/$Q$2))</f>
        <v>3569.16414253259</v>
      </c>
      <c r="G639" s="15" t="n">
        <f aca="false">F639*(1+IF(G$3&lt;=$O$2,$D639,$D639-($D639-$I$616)*MIN(G$3-$O$2,$Q$2)/$Q$2))</f>
        <v>3805.26544863351</v>
      </c>
      <c r="H639" s="15" t="n">
        <f aca="false">G639*(1+IF(H$3&lt;=$O$2,$D639,$D639-($D639-$I$616)*MIN(H$3-$O$2,$Q$2)/$Q$2))</f>
        <v>4056.98492877083</v>
      </c>
      <c r="I639" s="15" t="n">
        <f aca="false">H639*(1+IF(I$3&lt;=$O$2,$D639,$D639-($D639-$I$616)*MIN(I$3-$O$2,$Q$2)/$Q$2))</f>
        <v>4325.35572996208</v>
      </c>
      <c r="J639" s="15" t="n">
        <f aca="false">I639*(1+IF(J$3&lt;=$O$2,$D639,$D639-($D639-$I$616)*MIN(J$3-$O$2,$Q$2)/$Q$2))</f>
        <v>4574.41077746831</v>
      </c>
      <c r="K639" s="15" t="n">
        <f aca="false">J639*(1+IF(K$3&lt;=$O$2,$D639,$D639-($D639-$I$616)*MIN(K$3-$O$2,$Q$2)/$Q$2))</f>
        <v>4798.60349407715</v>
      </c>
      <c r="L639" s="15" t="n">
        <f aca="false">K639*(1+IF(L$3&lt;=$O$2,$D639,$D639-($D639-$I$616)*MIN(L$3-$O$2,$Q$2)/$Q$2))</f>
        <v>4992.65960990402</v>
      </c>
      <c r="M639" s="15" t="n">
        <f aca="false">L639*(1+IF(M$3&lt;=$O$2,$D639,$D639-($D639-$I$616)*MIN(M$3-$O$2,$Q$2)/$Q$2))</f>
        <v>5151.77597887533</v>
      </c>
      <c r="N639" s="15" t="n">
        <f aca="false">M639*(1+IF(N$3&lt;=$O$2,$D639,$D639-($D639-$I$616)*MIN(N$3-$O$2,$Q$2)/$Q$2))</f>
        <v>5271.81235918313</v>
      </c>
      <c r="O639" s="15" t="n">
        <f aca="false">SUMPRODUCT(E639:N639,1/(1+$F$616)^$E$3:$N$3)*$E$2</f>
        <v>12231.5877006974</v>
      </c>
      <c r="P639" s="15" t="n">
        <f aca="false">N639*$E$2*(1+$I$616)/($F$616-$I$616)/(1+$F$616)^$N$3</f>
        <v>14826.2046466043</v>
      </c>
      <c r="Q639" s="15" t="n">
        <f aca="false">O639+P639</f>
        <v>27057.7923473016</v>
      </c>
      <c r="R639" s="15" t="n">
        <f aca="false">Q639-$G$2+$I$2</f>
        <v>22989.9923473016</v>
      </c>
      <c r="S639" s="42" t="n">
        <f aca="false">R639/$K$2</f>
        <v>176.628705802871</v>
      </c>
      <c r="T639" s="43" t="n">
        <f aca="false">S639-$M$2</f>
        <v>-5.87945479537666E-005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0.0661503076553345</v>
      </c>
      <c r="C640" s="25" t="n">
        <f aca="false">IF(T639&gt;0,D639,C639)</f>
        <v>0.0661506652832031</v>
      </c>
      <c r="D640" s="41" t="n">
        <f aca="false">(B640+C640)/2</f>
        <v>0.0661504864692688</v>
      </c>
      <c r="E640" s="15" t="n">
        <f aca="false">$C$2*(1+IF(E$3&lt;=$O$2,$D640,$D640-($D640-$I$616)*MIN(E$3-$O$2,$Q$2)/$Q$2))</f>
        <v>3347.7125275135</v>
      </c>
      <c r="F640" s="15" t="n">
        <f aca="false">E640*(1+IF(F$3&lt;=$O$2,$D640,$D640-($D640-$I$616)*MIN(F$3-$O$2,$Q$2)/$Q$2))</f>
        <v>3569.16533976779</v>
      </c>
      <c r="G640" s="15" t="n">
        <f aca="false">F640*(1+IF(G$3&lt;=$O$2,$D640,$D640-($D640-$I$616)*MIN(G$3-$O$2,$Q$2)/$Q$2))</f>
        <v>3805.26736328268</v>
      </c>
      <c r="H640" s="15" t="n">
        <f aca="false">G640*(1+IF(H$3&lt;=$O$2,$D640,$D640-($D640-$I$616)*MIN(H$3-$O$2,$Q$2)/$Q$2))</f>
        <v>4056.98765050946</v>
      </c>
      <c r="I640" s="15" t="n">
        <f aca="false">H640*(1+IF(I$3&lt;=$O$2,$D640,$D640-($D640-$I$616)*MIN(I$3-$O$2,$Q$2)/$Q$2))</f>
        <v>4325.35935719048</v>
      </c>
      <c r="J640" s="15" t="n">
        <f aca="false">I640*(1+IF(J$3&lt;=$O$2,$D640,$D640-($D640-$I$616)*MIN(J$3-$O$2,$Q$2)/$Q$2))</f>
        <v>4574.41523230103</v>
      </c>
      <c r="K640" s="15" t="n">
        <f aca="false">J640*(1+IF(K$3&lt;=$O$2,$D640,$D640-($D640-$I$616)*MIN(K$3-$O$2,$Q$2)/$Q$2))</f>
        <v>4798.60865802356</v>
      </c>
      <c r="L640" s="15" t="n">
        <f aca="false">K640*(1+IF(L$3&lt;=$O$2,$D640,$D640-($D640-$I$616)*MIN(L$3-$O$2,$Q$2)/$Q$2))</f>
        <v>4992.66532590429</v>
      </c>
      <c r="M640" s="15" t="n">
        <f aca="false">L640*(1+IF(M$3&lt;=$O$2,$D640,$D640-($D640-$I$616)*MIN(M$3-$O$2,$Q$2)/$Q$2))</f>
        <v>5151.78205559651</v>
      </c>
      <c r="N640" s="15" t="n">
        <f aca="false">M640*(1+IF(N$3&lt;=$O$2,$D640,$D640-($D640-$I$616)*MIN(N$3-$O$2,$Q$2)/$Q$2))</f>
        <v>5271.81857749191</v>
      </c>
      <c r="O640" s="15" t="n">
        <f aca="false">SUMPRODUCT(E640:N640,1/(1+$F$616)^$E$3:$N$3)*$E$2</f>
        <v>12231.5971657462</v>
      </c>
      <c r="P640" s="15" t="n">
        <f aca="false">N640*$E$2*(1+$I$616)/($F$616-$I$616)/(1+$F$616)^$N$3</f>
        <v>14826.2221346923</v>
      </c>
      <c r="Q640" s="15" t="n">
        <f aca="false">O640+P640</f>
        <v>27057.8193004384</v>
      </c>
      <c r="R640" s="15" t="n">
        <f aca="false">Q640-$G$2+$I$2</f>
        <v>22990.0193004384</v>
      </c>
      <c r="S640" s="42" t="n">
        <f aca="false">R640/$K$2</f>
        <v>176.628912879828</v>
      </c>
      <c r="T640" s="43" t="n">
        <f aca="false">S640-$M$2</f>
        <v>0.000148282409639933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0.0661503076553345</v>
      </c>
      <c r="C641" s="25" t="n">
        <f aca="false">IF(T640&gt;0,D640,C640)</f>
        <v>0.0661504864692688</v>
      </c>
      <c r="D641" s="41" t="n">
        <f aca="false">(B641+C641)/2</f>
        <v>0.0661503970623016</v>
      </c>
      <c r="E641" s="15" t="n">
        <f aca="false">$C$2*(1+IF(E$3&lt;=$O$2,$D641,$D641-($D641-$I$616)*MIN(E$3-$O$2,$Q$2)/$Q$2))</f>
        <v>3347.71224677563</v>
      </c>
      <c r="F641" s="15" t="n">
        <f aca="false">E641*(1+IF(F$3&lt;=$O$2,$D641,$D641-($D641-$I$616)*MIN(F$3-$O$2,$Q$2)/$Q$2))</f>
        <v>3569.16474115017</v>
      </c>
      <c r="G641" s="15" t="n">
        <f aca="false">F641*(1+IF(G$3&lt;=$O$2,$D641,$D641-($D641-$I$616)*MIN(G$3-$O$2,$Q$2)/$Q$2))</f>
        <v>3805.26640595802</v>
      </c>
      <c r="H641" s="15" t="n">
        <f aca="false">G641*(1+IF(H$3&lt;=$O$2,$D641,$D641-($D641-$I$616)*MIN(H$3-$O$2,$Q$2)/$Q$2))</f>
        <v>4056.98628963998</v>
      </c>
      <c r="I641" s="15" t="n">
        <f aca="false">H641*(1+IF(I$3&lt;=$O$2,$D641,$D641-($D641-$I$616)*MIN(I$3-$O$2,$Q$2)/$Q$2))</f>
        <v>4325.35754357597</v>
      </c>
      <c r="J641" s="15" t="n">
        <f aca="false">I641*(1+IF(J$3&lt;=$O$2,$D641,$D641-($D641-$I$616)*MIN(J$3-$O$2,$Q$2)/$Q$2))</f>
        <v>4574.41300488422</v>
      </c>
      <c r="K641" s="15" t="n">
        <f aca="false">J641*(1+IF(K$3&lt;=$O$2,$D641,$D641-($D641-$I$616)*MIN(K$3-$O$2,$Q$2)/$Q$2))</f>
        <v>4798.60607604977</v>
      </c>
      <c r="L641" s="15" t="n">
        <f aca="false">K641*(1+IF(L$3&lt;=$O$2,$D641,$D641-($D641-$I$616)*MIN(L$3-$O$2,$Q$2)/$Q$2))</f>
        <v>4992.66246790345</v>
      </c>
      <c r="M641" s="15" t="n">
        <f aca="false">L641*(1+IF(M$3&lt;=$O$2,$D641,$D641-($D641-$I$616)*MIN(M$3-$O$2,$Q$2)/$Q$2))</f>
        <v>5151.77901723514</v>
      </c>
      <c r="N641" s="15" t="n">
        <f aca="false">M641*(1+IF(N$3&lt;=$O$2,$D641,$D641-($D641-$I$616)*MIN(N$3-$O$2,$Q$2)/$Q$2))</f>
        <v>5271.81546833672</v>
      </c>
      <c r="O641" s="15" t="n">
        <f aca="false">SUMPRODUCT(E641:N641,1/(1+$F$616)^$E$3:$N$3)*$E$2</f>
        <v>12231.5924332208</v>
      </c>
      <c r="P641" s="15" t="n">
        <f aca="false">N641*$E$2*(1+$I$616)/($F$616-$I$616)/(1+$F$616)^$N$3</f>
        <v>14826.213390646</v>
      </c>
      <c r="Q641" s="15" t="n">
        <f aca="false">O641+P641</f>
        <v>27057.8058238669</v>
      </c>
      <c r="R641" s="15" t="n">
        <f aca="false">Q641-$G$2+$I$2</f>
        <v>22990.0058238669</v>
      </c>
      <c r="S641" s="42" t="n">
        <f aca="false">R641/$K$2</f>
        <v>176.628809341325</v>
      </c>
      <c r="T641" s="43" t="n">
        <f aca="false">S641-$M$2</f>
        <v>4.47439064430455E-005</v>
      </c>
    </row>
    <row r="643" customFormat="false" ht="15" hidden="false" customHeight="false" outlineLevel="0" collapsed="false">
      <c r="A643" s="38" t="s">
        <v>197</v>
      </c>
      <c r="E643" s="5" t="s">
        <v>11</v>
      </c>
      <c r="F643" s="12" t="n">
        <f aca="false">Sensitivity!$B$14</f>
        <v>0.0919413943493295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155</v>
      </c>
      <c r="B644" s="28" t="s">
        <v>156</v>
      </c>
      <c r="C644" s="28" t="s">
        <v>157</v>
      </c>
      <c r="D644" s="28" t="s">
        <v>158</v>
      </c>
      <c r="E644" s="28" t="s">
        <v>159</v>
      </c>
      <c r="F644" s="28" t="s">
        <v>160</v>
      </c>
      <c r="G644" s="28" t="s">
        <v>161</v>
      </c>
      <c r="H644" s="28" t="s">
        <v>162</v>
      </c>
      <c r="I644" s="28" t="s">
        <v>163</v>
      </c>
      <c r="J644" s="28" t="s">
        <v>164</v>
      </c>
      <c r="K644" s="28" t="s">
        <v>165</v>
      </c>
      <c r="L644" s="28" t="s">
        <v>166</v>
      </c>
      <c r="M644" s="28" t="s">
        <v>167</v>
      </c>
      <c r="N644" s="28" t="s">
        <v>168</v>
      </c>
      <c r="O644" s="28" t="s">
        <v>169</v>
      </c>
      <c r="P644" s="28" t="s">
        <v>170</v>
      </c>
      <c r="Q644" s="28" t="s">
        <v>171</v>
      </c>
      <c r="R644" s="28" t="s">
        <v>172</v>
      </c>
      <c r="S644" s="28" t="s">
        <v>173</v>
      </c>
      <c r="T644" s="28" t="s">
        <v>174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3925</v>
      </c>
      <c r="F645" s="15" t="n">
        <f aca="false">E645*(1+IF(F$3&lt;=$O$2,$D645,$D645-($D645-$I$643)*MIN(F$3-$O$2,$Q$2)/$Q$2))</f>
        <v>4906.25</v>
      </c>
      <c r="G645" s="15" t="n">
        <f aca="false">F645*(1+IF(G$3&lt;=$O$2,$D645,$D645-($D645-$I$643)*MIN(G$3-$O$2,$Q$2)/$Q$2))</f>
        <v>6132.8125</v>
      </c>
      <c r="H645" s="15" t="n">
        <f aca="false">G645*(1+IF(H$3&lt;=$O$2,$D645,$D645-($D645-$I$643)*MIN(H$3-$O$2,$Q$2)/$Q$2))</f>
        <v>7666.015625</v>
      </c>
      <c r="I645" s="15" t="n">
        <f aca="false">H645*(1+IF(I$3&lt;=$O$2,$D645,$D645-($D645-$I$643)*MIN(I$3-$O$2,$Q$2)/$Q$2))</f>
        <v>9582.51953125</v>
      </c>
      <c r="J645" s="15" t="n">
        <f aca="false">I645*(1+IF(J$3&lt;=$O$2,$D645,$D645-($D645-$I$643)*MIN(J$3-$O$2,$Q$2)/$Q$2))</f>
        <v>11553.2604980469</v>
      </c>
      <c r="K645" s="15" t="n">
        <f aca="false">J645*(1+IF(K$3&lt;=$O$2,$D645,$D645-($D645-$I$643)*MIN(K$3-$O$2,$Q$2)/$Q$2))</f>
        <v>13417.0324815918</v>
      </c>
      <c r="L645" s="15" t="n">
        <f aca="false">K645*(1+IF(L$3&lt;=$O$2,$D645,$D645-($D645-$I$643)*MIN(L$3-$O$2,$Q$2)/$Q$2))</f>
        <v>14986.5569412884</v>
      </c>
      <c r="M645" s="15" t="n">
        <f aca="false">L645*(1+IF(M$3&lt;=$O$2,$D645,$D645-($D645-$I$643)*MIN(M$3-$O$2,$Q$2)/$Q$2))</f>
        <v>16075.1804375036</v>
      </c>
      <c r="N645" s="15" t="n">
        <f aca="false">M645*(1+IF(N$3&lt;=$O$2,$D645,$D645-($D645-$I$643)*MIN(N$3-$O$2,$Q$2)/$Q$2))</f>
        <v>16530.1080438849</v>
      </c>
      <c r="O645" s="15" t="n">
        <f aca="false">SUMPRODUCT(E645:N645,1/(1+$F$643)^$E$3:$N$3)*$E$2</f>
        <v>27098.5859582896</v>
      </c>
      <c r="P645" s="15" t="n">
        <f aca="false">N645*$E$2*(1+$I$643)/($F$643-$I$643)/(1+$F$643)^$N$3</f>
        <v>50385.8989242104</v>
      </c>
      <c r="Q645" s="15" t="n">
        <f aca="false">O645+P645</f>
        <v>77484.4848825</v>
      </c>
      <c r="R645" s="15" t="n">
        <f aca="false">Q645-$G$2+$I$2</f>
        <v>73416.6848825</v>
      </c>
      <c r="S645" s="42" t="n">
        <f aca="false">R645/$K$2</f>
        <v>564.049515077597</v>
      </c>
      <c r="T645" s="43" t="n">
        <f aca="false">S645-$M$2</f>
        <v>387.420750480178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2747.5</v>
      </c>
      <c r="F646" s="15" t="n">
        <f aca="false">E646*(1+IF(F$3&lt;=$O$2,$D646,$D646-($D646-$I$643)*MIN(F$3-$O$2,$Q$2)/$Q$2))</f>
        <v>2404.0625</v>
      </c>
      <c r="G646" s="15" t="n">
        <f aca="false">F646*(1+IF(G$3&lt;=$O$2,$D646,$D646-($D646-$I$643)*MIN(G$3-$O$2,$Q$2)/$Q$2))</f>
        <v>2103.5546875</v>
      </c>
      <c r="H646" s="15" t="n">
        <f aca="false">G646*(1+IF(H$3&lt;=$O$2,$D646,$D646-($D646-$I$643)*MIN(H$3-$O$2,$Q$2)/$Q$2))</f>
        <v>1840.6103515625</v>
      </c>
      <c r="I646" s="15" t="n">
        <f aca="false">H646*(1+IF(I$3&lt;=$O$2,$D646,$D646-($D646-$I$643)*MIN(I$3-$O$2,$Q$2)/$Q$2))</f>
        <v>1610.53405761719</v>
      </c>
      <c r="J646" s="15" t="n">
        <f aca="false">I646*(1+IF(J$3&lt;=$O$2,$D646,$D646-($D646-$I$643)*MIN(J$3-$O$2,$Q$2)/$Q$2))</f>
        <v>1458.59627462158</v>
      </c>
      <c r="K646" s="15" t="n">
        <f aca="false">J646*(1+IF(K$3&lt;=$O$2,$D646,$D646-($D646-$I$643)*MIN(K$3-$O$2,$Q$2)/$Q$2))</f>
        <v>1365.71286385368</v>
      </c>
      <c r="L646" s="15" t="n">
        <f aca="false">K646*(1+IF(L$3&lt;=$O$2,$D646,$D646-($D646-$I$643)*MIN(L$3-$O$2,$Q$2)/$Q$2))</f>
        <v>1320.61702508923</v>
      </c>
      <c r="M646" s="15" t="n">
        <f aca="false">L646*(1+IF(M$3&lt;=$O$2,$D646,$D646-($D646-$I$643)*MIN(M$3-$O$2,$Q$2)/$Q$2))</f>
        <v>1317.50036891002</v>
      </c>
      <c r="N646" s="15" t="n">
        <f aca="false">M646*(1+IF(N$3&lt;=$O$2,$D646,$D646-($D646-$I$643)*MIN(N$3-$O$2,$Q$2)/$Q$2))</f>
        <v>1354.78562935017</v>
      </c>
      <c r="O646" s="15" t="n">
        <f aca="false">SUMPRODUCT(E646:N646,1/(1+$F$643)^$E$3:$N$3)*$E$2</f>
        <v>5405.92375652776</v>
      </c>
      <c r="P646" s="15" t="n">
        <f aca="false">N646*$E$2*(1+$I$643)/($F$643-$I$643)/(1+$F$643)^$N$3</f>
        <v>4129.56113796626</v>
      </c>
      <c r="Q646" s="15" t="n">
        <f aca="false">O646+P646</f>
        <v>9535.48489449401</v>
      </c>
      <c r="R646" s="15" t="n">
        <f aca="false">Q646-$G$2+$I$2</f>
        <v>5467.68489449401</v>
      </c>
      <c r="S646" s="42" t="n">
        <f aca="false">R646/$K$2</f>
        <v>42.0074131414721</v>
      </c>
      <c r="T646" s="43" t="n">
        <f aca="false">S646-$M$2</f>
        <v>-134.621351455946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3336.25</v>
      </c>
      <c r="F647" s="15" t="n">
        <f aca="false">E647*(1+IF(F$3&lt;=$O$2,$D647,$D647-($D647-$I$643)*MIN(F$3-$O$2,$Q$2)/$Q$2))</f>
        <v>3544.765625</v>
      </c>
      <c r="G647" s="15" t="n">
        <f aca="false">F647*(1+IF(G$3&lt;=$O$2,$D647,$D647-($D647-$I$643)*MIN(G$3-$O$2,$Q$2)/$Q$2))</f>
        <v>3766.3134765625</v>
      </c>
      <c r="H647" s="15" t="n">
        <f aca="false">G647*(1+IF(H$3&lt;=$O$2,$D647,$D647-($D647-$I$643)*MIN(H$3-$O$2,$Q$2)/$Q$2))</f>
        <v>4001.70806884766</v>
      </c>
      <c r="I647" s="15" t="n">
        <f aca="false">H647*(1+IF(I$3&lt;=$O$2,$D647,$D647-($D647-$I$643)*MIN(I$3-$O$2,$Q$2)/$Q$2))</f>
        <v>4251.81482315064</v>
      </c>
      <c r="J647" s="15" t="n">
        <f aca="false">I647*(1+IF(J$3&lt;=$O$2,$D647,$D647-($D647-$I$643)*MIN(J$3-$O$2,$Q$2)/$Q$2))</f>
        <v>4488.4708362072</v>
      </c>
      <c r="K647" s="15" t="n">
        <f aca="false">J647*(1+IF(K$3&lt;=$O$2,$D647,$D647-($D647-$I$643)*MIN(K$3-$O$2,$Q$2)/$Q$2))</f>
        <v>4707.59798243084</v>
      </c>
      <c r="L647" s="15" t="n">
        <f aca="false">K647*(1+IF(L$3&lt;=$O$2,$D647,$D647-($D647-$I$643)*MIN(L$3-$O$2,$Q$2)/$Q$2))</f>
        <v>4905.22294573328</v>
      </c>
      <c r="M647" s="15" t="n">
        <f aca="false">L647*(1+IF(M$3&lt;=$O$2,$D647,$D647-($D647-$I$643)*MIN(M$3-$O$2,$Q$2)/$Q$2))</f>
        <v>5077.59248004635</v>
      </c>
      <c r="N647" s="15" t="n">
        <f aca="false">M647*(1+IF(N$3&lt;=$O$2,$D647,$D647-($D647-$I$643)*MIN(N$3-$O$2,$Q$2)/$Q$2))</f>
        <v>5221.28834723166</v>
      </c>
      <c r="O647" s="15" t="n">
        <f aca="false">SUMPRODUCT(E647:N647,1/(1+$F$643)^$E$3:$N$3)*$E$2</f>
        <v>12074.8179704672</v>
      </c>
      <c r="P647" s="15" t="n">
        <f aca="false">N647*$E$2*(1+$I$643)/($F$643-$I$643)/(1+$F$643)^$N$3</f>
        <v>15915.1595512465</v>
      </c>
      <c r="Q647" s="15" t="n">
        <f aca="false">O647+P647</f>
        <v>27989.9775217137</v>
      </c>
      <c r="R647" s="15" t="n">
        <f aca="false">Q647-$G$2+$I$2</f>
        <v>23922.1775217137</v>
      </c>
      <c r="S647" s="42" t="n">
        <f aca="false">R647/$K$2</f>
        <v>183.790546417592</v>
      </c>
      <c r="T647" s="43" t="n">
        <f aca="false">S647-$M$2</f>
        <v>7.1617818201731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41" t="n">
        <f aca="false">(B648+C648)/2</f>
        <v>-0.03125</v>
      </c>
      <c r="E648" s="15" t="n">
        <f aca="false">$C$2*(1+IF(E$3&lt;=$O$2,$D648,$D648-($D648-$I$643)*MIN(E$3-$O$2,$Q$2)/$Q$2))</f>
        <v>3041.875</v>
      </c>
      <c r="F648" s="15" t="n">
        <f aca="false">E648*(1+IF(F$3&lt;=$O$2,$D648,$D648-($D648-$I$643)*MIN(F$3-$O$2,$Q$2)/$Q$2))</f>
        <v>2946.81640625</v>
      </c>
      <c r="G648" s="15" t="n">
        <f aca="false">F648*(1+IF(G$3&lt;=$O$2,$D648,$D648-($D648-$I$643)*MIN(G$3-$O$2,$Q$2)/$Q$2))</f>
        <v>2854.72839355469</v>
      </c>
      <c r="H648" s="15" t="n">
        <f aca="false">G648*(1+IF(H$3&lt;=$O$2,$D648,$D648-($D648-$I$643)*MIN(H$3-$O$2,$Q$2)/$Q$2))</f>
        <v>2765.5181312561</v>
      </c>
      <c r="I648" s="15" t="n">
        <f aca="false">H648*(1+IF(I$3&lt;=$O$2,$D648,$D648-($D648-$I$643)*MIN(I$3-$O$2,$Q$2)/$Q$2))</f>
        <v>2679.09568965435</v>
      </c>
      <c r="J648" s="15" t="n">
        <f aca="false">I648*(1+IF(J$3&lt;=$O$2,$D648,$D648-($D648-$I$643)*MIN(J$3-$O$2,$Q$2)/$Q$2))</f>
        <v>2627.28197901644</v>
      </c>
      <c r="K648" s="15" t="n">
        <f aca="false">J648*(1+IF(K$3&lt;=$O$2,$D648,$D648-($D648-$I$643)*MIN(K$3-$O$2,$Q$2)/$Q$2))</f>
        <v>2607.76127391234</v>
      </c>
      <c r="L648" s="15" t="n">
        <f aca="false">K648*(1+IF(L$3&lt;=$O$2,$D648,$D648-($D648-$I$643)*MIN(L$3-$O$2,$Q$2)/$Q$2))</f>
        <v>2619.44404441947</v>
      </c>
      <c r="M648" s="15" t="n">
        <f aca="false">L648*(1+IF(M$3&lt;=$O$2,$D648,$D648-($D648-$I$643)*MIN(M$3-$O$2,$Q$2)/$Q$2))</f>
        <v>2662.37673230751</v>
      </c>
      <c r="N648" s="15" t="n">
        <f aca="false">M648*(1+IF(N$3&lt;=$O$2,$D648,$D648-($D648-$I$643)*MIN(N$3-$O$2,$Q$2)/$Q$2))</f>
        <v>2737.72199383181</v>
      </c>
      <c r="O648" s="15" t="n">
        <f aca="false">SUMPRODUCT(E648:N648,1/(1+$F$643)^$E$3:$N$3)*$E$2</f>
        <v>8054.98868476379</v>
      </c>
      <c r="P648" s="15" t="n">
        <f aca="false">N648*$E$2*(1+$I$643)/($F$643-$I$643)/(1+$F$643)^$N$3</f>
        <v>8344.92934332798</v>
      </c>
      <c r="Q648" s="15" t="n">
        <f aca="false">O648+P648</f>
        <v>16399.9180280918</v>
      </c>
      <c r="R648" s="15" t="n">
        <f aca="false">Q648-$G$2+$I$2</f>
        <v>12332.1180280918</v>
      </c>
      <c r="S648" s="42" t="n">
        <f aca="false">R648/$K$2</f>
        <v>94.7458361101089</v>
      </c>
      <c r="T648" s="43" t="n">
        <f aca="false">S648-$M$2</f>
        <v>-81.8829284873098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41" t="n">
        <f aca="false">(B649+C649)/2</f>
        <v>0.015625</v>
      </c>
      <c r="E649" s="15" t="n">
        <f aca="false">$C$2*(1+IF(E$3&lt;=$O$2,$D649,$D649-($D649-$I$643)*MIN(E$3-$O$2,$Q$2)/$Q$2))</f>
        <v>3189.0625</v>
      </c>
      <c r="F649" s="15" t="n">
        <f aca="false">E649*(1+IF(F$3&lt;=$O$2,$D649,$D649-($D649-$I$643)*MIN(F$3-$O$2,$Q$2)/$Q$2))</f>
        <v>3238.8916015625</v>
      </c>
      <c r="G649" s="15" t="n">
        <f aca="false">F649*(1+IF(G$3&lt;=$O$2,$D649,$D649-($D649-$I$643)*MIN(G$3-$O$2,$Q$2)/$Q$2))</f>
        <v>3289.49928283691</v>
      </c>
      <c r="H649" s="15" t="n">
        <f aca="false">G649*(1+IF(H$3&lt;=$O$2,$D649,$D649-($D649-$I$643)*MIN(H$3-$O$2,$Q$2)/$Q$2))</f>
        <v>3340.89770913124</v>
      </c>
      <c r="I649" s="15" t="n">
        <f aca="false">H649*(1+IF(I$3&lt;=$O$2,$D649,$D649-($D649-$I$643)*MIN(I$3-$O$2,$Q$2)/$Q$2))</f>
        <v>3393.09923583642</v>
      </c>
      <c r="J649" s="15" t="n">
        <f aca="false">I649*(1+IF(J$3&lt;=$O$2,$D649,$D649-($D649-$I$643)*MIN(J$3-$O$2,$Q$2)/$Q$2))</f>
        <v>3454.71791795921</v>
      </c>
      <c r="K649" s="15" t="n">
        <f aca="false">J649*(1+IF(K$3&lt;=$O$2,$D649,$D649-($D649-$I$643)*MIN(K$3-$O$2,$Q$2)/$Q$2))</f>
        <v>3526.21330527137</v>
      </c>
      <c r="L649" s="15" t="n">
        <f aca="false">K649*(1+IF(L$3&lt;=$O$2,$D649,$D649-($D649-$I$643)*MIN(L$3-$O$2,$Q$2)/$Q$2))</f>
        <v>3608.12724035283</v>
      </c>
      <c r="M649" s="15" t="n">
        <f aca="false">L649*(1+IF(M$3&lt;=$O$2,$D649,$D649-($D649-$I$643)*MIN(M$3-$O$2,$Q$2)/$Q$2))</f>
        <v>3701.09063870052</v>
      </c>
      <c r="N649" s="15" t="n">
        <f aca="false">M649*(1+IF(N$3&lt;=$O$2,$D649,$D649-($D649-$I$643)*MIN(N$3-$O$2,$Q$2)/$Q$2))</f>
        <v>3805.83150377574</v>
      </c>
      <c r="O649" s="15" t="n">
        <f aca="false">SUMPRODUCT(E649:N649,1/(1+$F$643)^$E$3:$N$3)*$E$2</f>
        <v>9857.88661422665</v>
      </c>
      <c r="P649" s="15" t="n">
        <f aca="false">N649*$E$2*(1+$I$643)/($F$643-$I$643)/(1+$F$643)^$N$3</f>
        <v>11600.6647362937</v>
      </c>
      <c r="Q649" s="15" t="n">
        <f aca="false">O649+P649</f>
        <v>21458.5513505203</v>
      </c>
      <c r="R649" s="15" t="n">
        <f aca="false">Q649-$G$2+$I$2</f>
        <v>17390.7513505203</v>
      </c>
      <c r="S649" s="42" t="n">
        <f aca="false">R649/$K$2</f>
        <v>133.610566614323</v>
      </c>
      <c r="T649" s="43" t="n">
        <f aca="false">S649-$M$2</f>
        <v>-43.0181979830954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0.015625</v>
      </c>
      <c r="C650" s="25" t="n">
        <f aca="false">IF(T649&gt;0,D649,C649)</f>
        <v>0.0625</v>
      </c>
      <c r="D650" s="41" t="n">
        <f aca="false">(B650+C650)/2</f>
        <v>0.0390625</v>
      </c>
      <c r="E650" s="15" t="n">
        <f aca="false">$C$2*(1+IF(E$3&lt;=$O$2,$D650,$D650-($D650-$I$643)*MIN(E$3-$O$2,$Q$2)/$Q$2))</f>
        <v>3262.65625</v>
      </c>
      <c r="F650" s="15" t="n">
        <f aca="false">E650*(1+IF(F$3&lt;=$O$2,$D650,$D650-($D650-$I$643)*MIN(F$3-$O$2,$Q$2)/$Q$2))</f>
        <v>3390.10375976563</v>
      </c>
      <c r="G650" s="15" t="n">
        <f aca="false">F650*(1+IF(G$3&lt;=$O$2,$D650,$D650-($D650-$I$643)*MIN(G$3-$O$2,$Q$2)/$Q$2))</f>
        <v>3522.52968788147</v>
      </c>
      <c r="H650" s="15" t="n">
        <f aca="false">G650*(1+IF(H$3&lt;=$O$2,$D650,$D650-($D650-$I$643)*MIN(H$3-$O$2,$Q$2)/$Q$2))</f>
        <v>3660.12850381434</v>
      </c>
      <c r="I650" s="15" t="n">
        <f aca="false">H650*(1+IF(I$3&lt;=$O$2,$D650,$D650-($D650-$I$643)*MIN(I$3-$O$2,$Q$2)/$Q$2))</f>
        <v>3803.10227349459</v>
      </c>
      <c r="J650" s="15" t="n">
        <f aca="false">I650*(1+IF(J$3&lt;=$O$2,$D650,$D650-($D650-$I$643)*MIN(J$3-$O$2,$Q$2)/$Q$2))</f>
        <v>3943.47477840927</v>
      </c>
      <c r="K650" s="15" t="n">
        <f aca="false">J650*(1+IF(K$3&lt;=$O$2,$D650,$D650-($D650-$I$643)*MIN(K$3-$O$2,$Q$2)/$Q$2))</f>
        <v>4080.54010301983</v>
      </c>
      <c r="L650" s="15" t="n">
        <f aca="false">K650*(1+IF(L$3&lt;=$O$2,$D650,$D650-($D650-$I$643)*MIN(L$3-$O$2,$Q$2)/$Q$2))</f>
        <v>4213.58611307879</v>
      </c>
      <c r="M650" s="15" t="n">
        <f aca="false">L650*(1+IF(M$3&lt;=$O$2,$D650,$D650-($D650-$I$643)*MIN(M$3-$O$2,$Q$2)/$Q$2))</f>
        <v>4341.90034418733</v>
      </c>
      <c r="N650" s="15" t="n">
        <f aca="false">M650*(1+IF(N$3&lt;=$O$2,$D650,$D650-($D650-$I$643)*MIN(N$3-$O$2,$Q$2)/$Q$2))</f>
        <v>4464.77612392783</v>
      </c>
      <c r="O650" s="15" t="n">
        <f aca="false">SUMPRODUCT(E650:N650,1/(1+$F$643)^$E$3:$N$3)*$E$2</f>
        <v>10909.4347498679</v>
      </c>
      <c r="P650" s="15" t="n">
        <f aca="false">N650*$E$2*(1+$I$643)/($F$643-$I$643)/(1+$F$643)^$N$3</f>
        <v>13609.2128316534</v>
      </c>
      <c r="Q650" s="15" t="n">
        <f aca="false">O650+P650</f>
        <v>24518.6475815213</v>
      </c>
      <c r="R650" s="15" t="n">
        <f aca="false">Q650-$G$2+$I$2</f>
        <v>20450.8475815213</v>
      </c>
      <c r="S650" s="42" t="n">
        <f aca="false">R650/$K$2</f>
        <v>157.120832679174</v>
      </c>
      <c r="T650" s="43" t="n">
        <f aca="false">S650-$M$2</f>
        <v>-19.5079319182449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0.0390625</v>
      </c>
      <c r="C651" s="25" t="n">
        <f aca="false">IF(T650&gt;0,D650,C650)</f>
        <v>0.0625</v>
      </c>
      <c r="D651" s="41" t="n">
        <f aca="false">(B651+C651)/2</f>
        <v>0.05078125</v>
      </c>
      <c r="E651" s="15" t="n">
        <f aca="false">$C$2*(1+IF(E$3&lt;=$O$2,$D651,$D651-($D651-$I$643)*MIN(E$3-$O$2,$Q$2)/$Q$2))</f>
        <v>3299.453125</v>
      </c>
      <c r="F651" s="15" t="n">
        <f aca="false">E651*(1+IF(F$3&lt;=$O$2,$D651,$D651-($D651-$I$643)*MIN(F$3-$O$2,$Q$2)/$Q$2))</f>
        <v>3467.00347900391</v>
      </c>
      <c r="G651" s="15" t="n">
        <f aca="false">F651*(1+IF(G$3&lt;=$O$2,$D651,$D651-($D651-$I$643)*MIN(G$3-$O$2,$Q$2)/$Q$2))</f>
        <v>3643.06224942207</v>
      </c>
      <c r="H651" s="15" t="n">
        <f aca="false">G651*(1+IF(H$3&lt;=$O$2,$D651,$D651-($D651-$I$643)*MIN(H$3-$O$2,$Q$2)/$Q$2))</f>
        <v>3828.06150427554</v>
      </c>
      <c r="I651" s="15" t="n">
        <f aca="false">H651*(1+IF(I$3&lt;=$O$2,$D651,$D651-($D651-$I$643)*MIN(I$3-$O$2,$Q$2)/$Q$2))</f>
        <v>4022.45525253953</v>
      </c>
      <c r="J651" s="15" t="n">
        <f aca="false">I651*(1+IF(J$3&lt;=$O$2,$D651,$D651-($D651-$I$643)*MIN(J$3-$O$2,$Q$2)/$Q$2))</f>
        <v>4208.63459390332</v>
      </c>
      <c r="K651" s="15" t="n">
        <f aca="false">J651*(1+IF(K$3&lt;=$O$2,$D651,$D651-($D651-$I$643)*MIN(K$3-$O$2,$Q$2)/$Q$2))</f>
        <v>4384.5081727893</v>
      </c>
      <c r="L651" s="15" t="n">
        <f aca="false">K651*(1+IF(L$3&lt;=$O$2,$D651,$D651-($D651-$I$643)*MIN(L$3-$O$2,$Q$2)/$Q$2))</f>
        <v>4548.01744382304</v>
      </c>
      <c r="M651" s="15" t="n">
        <f aca="false">L651*(1+IF(M$3&lt;=$O$2,$D651,$D651-($D651-$I$643)*MIN(M$3-$O$2,$Q$2)/$Q$2))</f>
        <v>4697.17536091503</v>
      </c>
      <c r="N651" s="15" t="n">
        <f aca="false">M651*(1+IF(N$3&lt;=$O$2,$D651,$D651-($D651-$I$643)*MIN(N$3-$O$2,$Q$2)/$Q$2))</f>
        <v>4830.10542362892</v>
      </c>
      <c r="O651" s="15" t="n">
        <f aca="false">SUMPRODUCT(E651:N651,1/(1+$F$643)^$E$3:$N$3)*$E$2</f>
        <v>11477.2026879362</v>
      </c>
      <c r="P651" s="15" t="n">
        <f aca="false">N651*$E$2*(1+$I$643)/($F$643-$I$643)/(1+$F$643)^$N$3</f>
        <v>14722.7836032371</v>
      </c>
      <c r="Q651" s="15" t="n">
        <f aca="false">O651+P651</f>
        <v>26199.9862911734</v>
      </c>
      <c r="R651" s="15" t="n">
        <f aca="false">Q651-$G$2+$I$2</f>
        <v>22132.1862911734</v>
      </c>
      <c r="S651" s="42" t="n">
        <f aca="false">R651/$K$2</f>
        <v>170.038308936489</v>
      </c>
      <c r="T651" s="43" t="n">
        <f aca="false">S651-$M$2</f>
        <v>-6.59045566092988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0.05078125</v>
      </c>
      <c r="C652" s="25" t="n">
        <f aca="false">IF(T651&gt;0,D651,C651)</f>
        <v>0.0625</v>
      </c>
      <c r="D652" s="41" t="n">
        <f aca="false">(B652+C652)/2</f>
        <v>0.056640625</v>
      </c>
      <c r="E652" s="15" t="n">
        <f aca="false">$C$2*(1+IF(E$3&lt;=$O$2,$D652,$D652-($D652-$I$643)*MIN(E$3-$O$2,$Q$2)/$Q$2))</f>
        <v>3317.8515625</v>
      </c>
      <c r="F652" s="15" t="n">
        <f aca="false">E652*(1+IF(F$3&lt;=$O$2,$D652,$D652-($D652-$I$643)*MIN(F$3-$O$2,$Q$2)/$Q$2))</f>
        <v>3505.77674865723</v>
      </c>
      <c r="G652" s="15" t="n">
        <f aca="false">F652*(1+IF(G$3&lt;=$O$2,$D652,$D652-($D652-$I$643)*MIN(G$3-$O$2,$Q$2)/$Q$2))</f>
        <v>3704.34613481164</v>
      </c>
      <c r="H652" s="15" t="n">
        <f aca="false">G652*(1+IF(H$3&lt;=$O$2,$D652,$D652-($D652-$I$643)*MIN(H$3-$O$2,$Q$2)/$Q$2))</f>
        <v>3914.16261510371</v>
      </c>
      <c r="I652" s="15" t="n">
        <f aca="false">H652*(1+IF(I$3&lt;=$O$2,$D652,$D652-($D652-$I$643)*MIN(I$3-$O$2,$Q$2)/$Q$2))</f>
        <v>4135.86323197481</v>
      </c>
      <c r="J652" s="15" t="n">
        <f aca="false">I652*(1+IF(J$3&lt;=$O$2,$D652,$D652-($D652-$I$643)*MIN(J$3-$O$2,$Q$2)/$Q$2))</f>
        <v>4346.67852056665</v>
      </c>
      <c r="K652" s="15" t="n">
        <f aca="false">J652*(1+IF(K$3&lt;=$O$2,$D652,$D652-($D652-$I$643)*MIN(K$3-$O$2,$Q$2)/$Q$2))</f>
        <v>4543.60207426685</v>
      </c>
      <c r="L652" s="15" t="n">
        <f aca="false">K652*(1+IF(L$3&lt;=$O$2,$D652,$D652-($D652-$I$643)*MIN(L$3-$O$2,$Q$2)/$Q$2))</f>
        <v>4723.69342198301</v>
      </c>
      <c r="M652" s="15" t="n">
        <f aca="false">L652*(1+IF(M$3&lt;=$O$2,$D652,$D652-($D652-$I$643)*MIN(M$3-$O$2,$Q$2)/$Q$2))</f>
        <v>4884.1484306026</v>
      </c>
      <c r="N652" s="15" t="n">
        <f aca="false">M652*(1+IF(N$3&lt;=$O$2,$D652,$D652-($D652-$I$643)*MIN(N$3-$O$2,$Q$2)/$Q$2))</f>
        <v>5022.36983118866</v>
      </c>
      <c r="O652" s="15" t="n">
        <f aca="false">SUMPRODUCT(E652:N652,1/(1+$F$643)^$E$3:$N$3)*$E$2</f>
        <v>11772.1894090659</v>
      </c>
      <c r="P652" s="15" t="n">
        <f aca="false">N652*$E$2*(1+$I$643)/($F$643-$I$643)/(1+$F$643)^$N$3</f>
        <v>15308.8302872823</v>
      </c>
      <c r="Q652" s="15" t="n">
        <f aca="false">O652+P652</f>
        <v>27081.0196963482</v>
      </c>
      <c r="R652" s="15" t="n">
        <f aca="false">Q652-$G$2+$I$2</f>
        <v>23013.2196963482</v>
      </c>
      <c r="S652" s="42" t="n">
        <f aca="false">R652/$K$2</f>
        <v>176.807158085036</v>
      </c>
      <c r="T652" s="43" t="n">
        <f aca="false">S652-$M$2</f>
        <v>0.178393487616972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0.05078125</v>
      </c>
      <c r="C653" s="25" t="n">
        <f aca="false">IF(T652&gt;0,D652,C652)</f>
        <v>0.056640625</v>
      </c>
      <c r="D653" s="41" t="n">
        <f aca="false">(B653+C653)/2</f>
        <v>0.0537109375</v>
      </c>
      <c r="E653" s="15" t="n">
        <f aca="false">$C$2*(1+IF(E$3&lt;=$O$2,$D653,$D653-($D653-$I$643)*MIN(E$3-$O$2,$Q$2)/$Q$2))</f>
        <v>3308.65234375</v>
      </c>
      <c r="F653" s="15" t="n">
        <f aca="false">E653*(1+IF(F$3&lt;=$O$2,$D653,$D653-($D653-$I$643)*MIN(F$3-$O$2,$Q$2)/$Q$2))</f>
        <v>3486.36316299438</v>
      </c>
      <c r="G653" s="15" t="n">
        <f aca="false">F653*(1+IF(G$3&lt;=$O$2,$D653,$D653-($D653-$I$643)*MIN(G$3-$O$2,$Q$2)/$Q$2))</f>
        <v>3673.61899694428</v>
      </c>
      <c r="H653" s="15" t="n">
        <f aca="false">G653*(1+IF(H$3&lt;=$O$2,$D653,$D653-($D653-$I$643)*MIN(H$3-$O$2,$Q$2)/$Q$2))</f>
        <v>3870.93251728797</v>
      </c>
      <c r="I653" s="15" t="n">
        <f aca="false">H653*(1+IF(I$3&lt;=$O$2,$D653,$D653-($D653-$I$643)*MIN(I$3-$O$2,$Q$2)/$Q$2))</f>
        <v>4078.84393179074</v>
      </c>
      <c r="J653" s="15" t="n">
        <f aca="false">I653*(1+IF(J$3&lt;=$O$2,$D653,$D653-($D653-$I$643)*MIN(J$3-$O$2,$Q$2)/$Q$2))</f>
        <v>4277.19301363881</v>
      </c>
      <c r="K653" s="15" t="n">
        <f aca="false">J653*(1+IF(K$3&lt;=$O$2,$D653,$D653-($D653-$I$643)*MIN(K$3-$O$2,$Q$2)/$Q$2))</f>
        <v>4463.45006653179</v>
      </c>
      <c r="L653" s="15" t="n">
        <f aca="false">K653*(1+IF(L$3&lt;=$O$2,$D653,$D653-($D653-$I$643)*MIN(L$3-$O$2,$Q$2)/$Q$2))</f>
        <v>4635.13388368464</v>
      </c>
      <c r="M653" s="15" t="n">
        <f aca="false">L653*(1+IF(M$3&lt;=$O$2,$D653,$D653-($D653-$I$643)*MIN(M$3-$O$2,$Q$2)/$Q$2))</f>
        <v>4789.86479207741</v>
      </c>
      <c r="N653" s="15" t="n">
        <f aca="false">M653*(1+IF(N$3&lt;=$O$2,$D653,$D653-($D653-$I$643)*MIN(N$3-$O$2,$Q$2)/$Q$2))</f>
        <v>4925.4179656932</v>
      </c>
      <c r="O653" s="15" t="n">
        <f aca="false">SUMPRODUCT(E653:N653,1/(1+$F$643)^$E$3:$N$3)*$E$2</f>
        <v>11623.7522155494</v>
      </c>
      <c r="P653" s="15" t="n">
        <f aca="false">N653*$E$2*(1+$I$643)/($F$643-$I$643)/(1+$F$643)^$N$3</f>
        <v>15013.308510752</v>
      </c>
      <c r="Q653" s="15" t="n">
        <f aca="false">O653+P653</f>
        <v>26637.0607263013</v>
      </c>
      <c r="R653" s="15" t="n">
        <f aca="false">Q653-$G$2+$I$2</f>
        <v>22569.2607263013</v>
      </c>
      <c r="S653" s="42" t="n">
        <f aca="false">R653/$K$2</f>
        <v>173.396287079758</v>
      </c>
      <c r="T653" s="43" t="n">
        <f aca="false">S653-$M$2</f>
        <v>-3.23247751766033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0.0537109375</v>
      </c>
      <c r="C654" s="25" t="n">
        <f aca="false">IF(T653&gt;0,D653,C653)</f>
        <v>0.056640625</v>
      </c>
      <c r="D654" s="41" t="n">
        <f aca="false">(B654+C654)/2</f>
        <v>0.05517578125</v>
      </c>
      <c r="E654" s="15" t="n">
        <f aca="false">$C$2*(1+IF(E$3&lt;=$O$2,$D654,$D654-($D654-$I$643)*MIN(E$3-$O$2,$Q$2)/$Q$2))</f>
        <v>3313.251953125</v>
      </c>
      <c r="F654" s="15" t="n">
        <f aca="false">E654*(1+IF(F$3&lt;=$O$2,$D654,$D654-($D654-$I$643)*MIN(F$3-$O$2,$Q$2)/$Q$2))</f>
        <v>3496.06321811676</v>
      </c>
      <c r="G654" s="15" t="n">
        <f aca="false">F654*(1+IF(G$3&lt;=$O$2,$D654,$D654-($D654-$I$643)*MIN(G$3-$O$2,$Q$2)/$Q$2))</f>
        <v>3688.96123747574</v>
      </c>
      <c r="H654" s="15" t="n">
        <f aca="false">G654*(1+IF(H$3&lt;=$O$2,$D654,$D654-($D654-$I$643)*MIN(H$3-$O$2,$Q$2)/$Q$2))</f>
        <v>3892.50255575443</v>
      </c>
      <c r="I654" s="15" t="n">
        <f aca="false">H654*(1+IF(I$3&lt;=$O$2,$D654,$D654-($D654-$I$643)*MIN(I$3-$O$2,$Q$2)/$Q$2))</f>
        <v>4107.27442528581</v>
      </c>
      <c r="J654" s="15" t="n">
        <f aca="false">I654*(1+IF(J$3&lt;=$O$2,$D654,$D654-($D654-$I$643)*MIN(J$3-$O$2,$Q$2)/$Q$2))</f>
        <v>4311.81925871155</v>
      </c>
      <c r="K654" s="15" t="n">
        <f aca="false">J654*(1+IF(K$3&lt;=$O$2,$D654,$D654-($D654-$I$643)*MIN(K$3-$O$2,$Q$2)/$Q$2))</f>
        <v>4503.37385044509</v>
      </c>
      <c r="L654" s="15" t="n">
        <f aca="false">K654*(1+IF(L$3&lt;=$O$2,$D654,$D654-($D654-$I$643)*MIN(L$3-$O$2,$Q$2)/$Q$2))</f>
        <v>4679.2320066093</v>
      </c>
      <c r="M654" s="15" t="n">
        <f aca="false">L654*(1+IF(M$3&lt;=$O$2,$D654,$D654-($D654-$I$643)*MIN(M$3-$O$2,$Q$2)/$Q$2))</f>
        <v>4836.80587556187</v>
      </c>
      <c r="N654" s="15" t="n">
        <f aca="false">M654*(1+IF(N$3&lt;=$O$2,$D654,$D654-($D654-$I$643)*MIN(N$3-$O$2,$Q$2)/$Q$2))</f>
        <v>4973.68748184027</v>
      </c>
      <c r="O654" s="15" t="n">
        <f aca="false">SUMPRODUCT(E654:N654,1/(1+$F$643)^$E$3:$N$3)*$E$2</f>
        <v>11697.7334386978</v>
      </c>
      <c r="P654" s="15" t="n">
        <f aca="false">N654*$E$2*(1+$I$643)/($F$643-$I$643)/(1+$F$643)^$N$3</f>
        <v>15160.4402146253</v>
      </c>
      <c r="Q654" s="15" t="n">
        <f aca="false">O654+P654</f>
        <v>26858.1736533231</v>
      </c>
      <c r="R654" s="15" t="n">
        <f aca="false">Q654-$G$2+$I$2</f>
        <v>22790.3736533231</v>
      </c>
      <c r="S654" s="42" t="n">
        <f aca="false">R654/$K$2</f>
        <v>175.095064945629</v>
      </c>
      <c r="T654" s="43" t="n">
        <f aca="false">S654-$M$2</f>
        <v>-1.53369965178948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0.05517578125</v>
      </c>
      <c r="C655" s="25" t="n">
        <f aca="false">IF(T654&gt;0,D654,C654)</f>
        <v>0.056640625</v>
      </c>
      <c r="D655" s="41" t="n">
        <f aca="false">(B655+C655)/2</f>
        <v>0.055908203125</v>
      </c>
      <c r="E655" s="15" t="n">
        <f aca="false">$C$2*(1+IF(E$3&lt;=$O$2,$D655,$D655-($D655-$I$643)*MIN(E$3-$O$2,$Q$2)/$Q$2))</f>
        <v>3315.5517578125</v>
      </c>
      <c r="F655" s="15" t="n">
        <f aca="false">E655*(1+IF(F$3&lt;=$O$2,$D655,$D655-($D655-$I$643)*MIN(F$3-$O$2,$Q$2)/$Q$2))</f>
        <v>3500.91829895973</v>
      </c>
      <c r="G655" s="15" t="n">
        <f aca="false">F655*(1+IF(G$3&lt;=$O$2,$D655,$D655-($D655-$I$643)*MIN(G$3-$O$2,$Q$2)/$Q$2))</f>
        <v>3696.648350342</v>
      </c>
      <c r="H655" s="15" t="n">
        <f aca="false">G655*(1+IF(H$3&lt;=$O$2,$D655,$D655-($D655-$I$643)*MIN(H$3-$O$2,$Q$2)/$Q$2))</f>
        <v>3903.32131719462</v>
      </c>
      <c r="I655" s="15" t="n">
        <f aca="false">H655*(1+IF(I$3&lt;=$O$2,$D655,$D655-($D655-$I$643)*MIN(I$3-$O$2,$Q$2)/$Q$2))</f>
        <v>4121.54899825848</v>
      </c>
      <c r="J655" s="15" t="n">
        <f aca="false">I655*(1+IF(J$3&lt;=$O$2,$D655,$D655-($D655-$I$643)*MIN(J$3-$O$2,$Q$2)/$Q$2))</f>
        <v>4329.21968445604</v>
      </c>
      <c r="K655" s="15" t="n">
        <f aca="false">J655*(1+IF(K$3&lt;=$O$2,$D655,$D655-($D655-$I$643)*MIN(K$3-$O$2,$Q$2)/$Q$2))</f>
        <v>4523.44978737887</v>
      </c>
      <c r="L655" s="15" t="n">
        <f aca="false">K655*(1+IF(L$3&lt;=$O$2,$D655,$D655-($D655-$I$643)*MIN(L$3-$O$2,$Q$2)/$Q$2))</f>
        <v>4701.41714458397</v>
      </c>
      <c r="M655" s="15" t="n">
        <f aca="false">L655*(1+IF(M$3&lt;=$O$2,$D655,$D655-($D655-$I$643)*MIN(M$3-$O$2,$Q$2)/$Q$2))</f>
        <v>4860.42678567631</v>
      </c>
      <c r="N655" s="15" t="n">
        <f aca="false">M655*(1+IF(N$3&lt;=$O$2,$D655,$D655-($D655-$I$643)*MIN(N$3-$O$2,$Q$2)/$Q$2))</f>
        <v>4997.97686371095</v>
      </c>
      <c r="O655" s="15" t="n">
        <f aca="false">SUMPRODUCT(E655:N655,1/(1+$F$643)^$E$3:$N$3)*$E$2</f>
        <v>11734.9019027505</v>
      </c>
      <c r="P655" s="15" t="n">
        <f aca="false">N655*$E$2*(1+$I$643)/($F$643-$I$643)/(1+$F$643)^$N$3</f>
        <v>15234.4773798161</v>
      </c>
      <c r="Q655" s="15" t="n">
        <f aca="false">O655+P655</f>
        <v>26969.3792825666</v>
      </c>
      <c r="R655" s="15" t="n">
        <f aca="false">Q655-$G$2+$I$2</f>
        <v>22901.5792825666</v>
      </c>
      <c r="S655" s="42" t="n">
        <f aca="false">R655/$K$2</f>
        <v>175.949441322731</v>
      </c>
      <c r="T655" s="43" t="n">
        <f aca="false">S655-$M$2</f>
        <v>-0.679323274688073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0.055908203125</v>
      </c>
      <c r="C656" s="25" t="n">
        <f aca="false">IF(T655&gt;0,D655,C655)</f>
        <v>0.056640625</v>
      </c>
      <c r="D656" s="41" t="n">
        <f aca="false">(B656+C656)/2</f>
        <v>0.0562744140625</v>
      </c>
      <c r="E656" s="15" t="n">
        <f aca="false">$C$2*(1+IF(E$3&lt;=$O$2,$D656,$D656-($D656-$I$643)*MIN(E$3-$O$2,$Q$2)/$Q$2))</f>
        <v>3316.70166015625</v>
      </c>
      <c r="F656" s="15" t="n">
        <f aca="false">E656*(1+IF(F$3&lt;=$O$2,$D656,$D656-($D656-$I$643)*MIN(F$3-$O$2,$Q$2)/$Q$2))</f>
        <v>3503.34710270166</v>
      </c>
      <c r="G656" s="15" t="n">
        <f aca="false">F656*(1+IF(G$3&lt;=$O$2,$D656,$D656-($D656-$I$643)*MIN(G$3-$O$2,$Q$2)/$Q$2))</f>
        <v>3700.49590816376</v>
      </c>
      <c r="H656" s="15" t="n">
        <f aca="false">G656*(1+IF(H$3&lt;=$O$2,$D656,$D656-($D656-$I$643)*MIN(H$3-$O$2,$Q$2)/$Q$2))</f>
        <v>3908.73914713635</v>
      </c>
      <c r="I656" s="15" t="n">
        <f aca="false">H656*(1+IF(I$3&lt;=$O$2,$D656,$D656-($D656-$I$643)*MIN(I$3-$O$2,$Q$2)/$Q$2))</f>
        <v>4128.70115236461</v>
      </c>
      <c r="J656" s="15" t="n">
        <f aca="false">I656*(1+IF(J$3&lt;=$O$2,$D656,$D656-($D656-$I$643)*MIN(J$3-$O$2,$Q$2)/$Q$2))</f>
        <v>4337.94179143778</v>
      </c>
      <c r="K656" s="15" t="n">
        <f aca="false">J656*(1+IF(K$3&lt;=$O$2,$D656,$D656-($D656-$I$643)*MIN(K$3-$O$2,$Q$2)/$Q$2))</f>
        <v>4533.51637204709</v>
      </c>
      <c r="L656" s="15" t="n">
        <f aca="false">K656*(1+IF(L$3&lt;=$O$2,$D656,$D656-($D656-$I$643)*MIN(L$3-$O$2,$Q$2)/$Q$2))</f>
        <v>4712.54387103633</v>
      </c>
      <c r="M656" s="15" t="n">
        <f aca="false">L656*(1+IF(M$3&lt;=$O$2,$D656,$D656-($D656-$I$643)*MIN(M$3-$O$2,$Q$2)/$Q$2))</f>
        <v>4872.27499329387</v>
      </c>
      <c r="N656" s="15" t="n">
        <f aca="false">M656*(1+IF(N$3&lt;=$O$2,$D656,$D656-($D656-$I$643)*MIN(N$3-$O$2,$Q$2)/$Q$2))</f>
        <v>5010.16037560409</v>
      </c>
      <c r="O656" s="15" t="n">
        <f aca="false">SUMPRODUCT(E656:N656,1/(1+$F$643)^$E$3:$N$3)*$E$2</f>
        <v>11753.5307533586</v>
      </c>
      <c r="P656" s="15" t="n">
        <f aca="false">N656*$E$2*(1+$I$643)/($F$643-$I$643)/(1+$F$643)^$N$3</f>
        <v>15271.6142936923</v>
      </c>
      <c r="Q656" s="15" t="n">
        <f aca="false">O656+P656</f>
        <v>27025.1450470509</v>
      </c>
      <c r="R656" s="15" t="n">
        <f aca="false">Q656-$G$2+$I$2</f>
        <v>22957.3450470509</v>
      </c>
      <c r="S656" s="42" t="n">
        <f aca="false">R656/$K$2</f>
        <v>176.377881430938</v>
      </c>
      <c r="T656" s="43" t="n">
        <f aca="false">S656-$M$2</f>
        <v>-0.250883166480406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0.0562744140625</v>
      </c>
      <c r="C657" s="25" t="n">
        <f aca="false">IF(T656&gt;0,D656,C656)</f>
        <v>0.056640625</v>
      </c>
      <c r="D657" s="41" t="n">
        <f aca="false">(B657+C657)/2</f>
        <v>0.05645751953125</v>
      </c>
      <c r="E657" s="15" t="n">
        <f aca="false">$C$2*(1+IF(E$3&lt;=$O$2,$D657,$D657-($D657-$I$643)*MIN(E$3-$O$2,$Q$2)/$Q$2))</f>
        <v>3317.27661132813</v>
      </c>
      <c r="F657" s="15" t="n">
        <f aca="false">E657*(1+IF(F$3&lt;=$O$2,$D657,$D657-($D657-$I$643)*MIN(F$3-$O$2,$Q$2)/$Q$2))</f>
        <v>3504.56182040274</v>
      </c>
      <c r="G657" s="15" t="n">
        <f aca="false">F657*(1+IF(G$3&lt;=$O$2,$D657,$D657-($D657-$I$643)*MIN(G$3-$O$2,$Q$2)/$Q$2))</f>
        <v>3702.4206878266</v>
      </c>
      <c r="H657" s="15" t="n">
        <f aca="false">G657*(1+IF(H$3&lt;=$O$2,$D657,$D657-($D657-$I$643)*MIN(H$3-$O$2,$Q$2)/$Q$2))</f>
        <v>3911.45017612248</v>
      </c>
      <c r="I657" s="15" t="n">
        <f aca="false">H657*(1+IF(I$3&lt;=$O$2,$D657,$D657-($D657-$I$643)*MIN(I$3-$O$2,$Q$2)/$Q$2))</f>
        <v>4132.28095083642</v>
      </c>
      <c r="J657" s="15" t="n">
        <f aca="false">I657*(1+IF(J$3&lt;=$O$2,$D657,$D657-($D657-$I$643)*MIN(J$3-$O$2,$Q$2)/$Q$2))</f>
        <v>4342.30832701052</v>
      </c>
      <c r="K657" s="15" t="n">
        <f aca="false">J657*(1+IF(K$3&lt;=$O$2,$D657,$D657-($D657-$I$643)*MIN(K$3-$O$2,$Q$2)/$Q$2))</f>
        <v>4538.55683158203</v>
      </c>
      <c r="L657" s="15" t="n">
        <f aca="false">K657*(1+IF(L$3&lt;=$O$2,$D657,$D657-($D657-$I$643)*MIN(L$3-$O$2,$Q$2)/$Q$2))</f>
        <v>4718.11579096738</v>
      </c>
      <c r="M657" s="15" t="n">
        <f aca="false">L657*(1+IF(M$3&lt;=$O$2,$D657,$D657-($D657-$I$643)*MIN(M$3-$O$2,$Q$2)/$Q$2))</f>
        <v>4878.20855535873</v>
      </c>
      <c r="N657" s="15" t="n">
        <f aca="false">M657*(1+IF(N$3&lt;=$O$2,$D657,$D657-($D657-$I$643)*MIN(N$3-$O$2,$Q$2)/$Q$2))</f>
        <v>5016.26185747538</v>
      </c>
      <c r="O657" s="15" t="n">
        <f aca="false">SUMPRODUCT(E657:N657,1/(1+$F$643)^$E$3:$N$3)*$E$2</f>
        <v>11762.8563527883</v>
      </c>
      <c r="P657" s="15" t="n">
        <f aca="false">N657*$E$2*(1+$I$643)/($F$643-$I$643)/(1+$F$643)^$N$3</f>
        <v>15290.212396502</v>
      </c>
      <c r="Q657" s="15" t="n">
        <f aca="false">O657+P657</f>
        <v>27053.0687492903</v>
      </c>
      <c r="R657" s="15" t="n">
        <f aca="false">Q657-$G$2+$I$2</f>
        <v>22985.2687492903</v>
      </c>
      <c r="S657" s="42" t="n">
        <f aca="false">R657/$K$2</f>
        <v>176.592415099034</v>
      </c>
      <c r="T657" s="43" t="n">
        <f aca="false">S657-$M$2</f>
        <v>-0.036349498384169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0.05645751953125</v>
      </c>
      <c r="C658" s="25" t="n">
        <f aca="false">IF(T657&gt;0,D657,C657)</f>
        <v>0.056640625</v>
      </c>
      <c r="D658" s="41" t="n">
        <f aca="false">(B658+C658)/2</f>
        <v>0.056549072265625</v>
      </c>
      <c r="E658" s="15" t="n">
        <f aca="false">$C$2*(1+IF(E$3&lt;=$O$2,$D658,$D658-($D658-$I$643)*MIN(E$3-$O$2,$Q$2)/$Q$2))</f>
        <v>3317.56408691406</v>
      </c>
      <c r="F658" s="15" t="n">
        <f aca="false">E658*(1+IF(F$3&lt;=$O$2,$D658,$D658-($D658-$I$643)*MIN(F$3-$O$2,$Q$2)/$Q$2))</f>
        <v>3505.16925821081</v>
      </c>
      <c r="G658" s="15" t="n">
        <f aca="false">F658*(1+IF(G$3&lt;=$O$2,$D658,$D658-($D658-$I$643)*MIN(G$3-$O$2,$Q$2)/$Q$2))</f>
        <v>3703.38332789662</v>
      </c>
      <c r="H658" s="15" t="n">
        <f aca="false">G658*(1+IF(H$3&lt;=$O$2,$D658,$D658-($D658-$I$643)*MIN(H$3-$O$2,$Q$2)/$Q$2))</f>
        <v>3912.80621933316</v>
      </c>
      <c r="I658" s="15" t="n">
        <f aca="false">H658*(1+IF(I$3&lt;=$O$2,$D658,$D658-($D658-$I$643)*MIN(I$3-$O$2,$Q$2)/$Q$2))</f>
        <v>4134.07178099161</v>
      </c>
      <c r="J658" s="15" t="n">
        <f aca="false">I658*(1+IF(J$3&lt;=$O$2,$D658,$D658-($D658-$I$643)*MIN(J$3-$O$2,$Q$2)/$Q$2))</f>
        <v>4344.49296638769</v>
      </c>
      <c r="K658" s="15" t="n">
        <f aca="false">J658*(1+IF(K$3&lt;=$O$2,$D658,$D658-($D658-$I$643)*MIN(K$3-$O$2,$Q$2)/$Q$2))</f>
        <v>4541.07885479545</v>
      </c>
      <c r="L658" s="15" t="n">
        <f aca="false">K658*(1+IF(L$3&lt;=$O$2,$D658,$D658-($D658-$I$643)*MIN(L$3-$O$2,$Q$2)/$Q$2))</f>
        <v>4720.90389227937</v>
      </c>
      <c r="M658" s="15" t="n">
        <f aca="false">L658*(1+IF(M$3&lt;=$O$2,$D658,$D658-($D658-$I$643)*MIN(M$3-$O$2,$Q$2)/$Q$2))</f>
        <v>4881.17770347329</v>
      </c>
      <c r="N658" s="15" t="n">
        <f aca="false">M658*(1+IF(N$3&lt;=$O$2,$D658,$D658-($D658-$I$643)*MIN(N$3-$O$2,$Q$2)/$Q$2))</f>
        <v>5019.31503248158</v>
      </c>
      <c r="O658" s="15" t="n">
        <f aca="false">SUMPRODUCT(E658:N658,1/(1+$F$643)^$E$3:$N$3)*$E$2</f>
        <v>11767.5219484726</v>
      </c>
      <c r="P658" s="15" t="n">
        <f aca="false">N658*$E$2*(1+$I$643)/($F$643-$I$643)/(1+$F$643)^$N$3</f>
        <v>15299.5188672674</v>
      </c>
      <c r="Q658" s="15" t="n">
        <f aca="false">O658+P658</f>
        <v>27067.0408157401</v>
      </c>
      <c r="R658" s="15" t="n">
        <f aca="false">Q658-$G$2+$I$2</f>
        <v>22999.2408157401</v>
      </c>
      <c r="S658" s="42" t="n">
        <f aca="false">R658/$K$2</f>
        <v>176.69976041595</v>
      </c>
      <c r="T658" s="43" t="n">
        <f aca="false">S658-$M$2</f>
        <v>0.0709958185314008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0.05645751953125</v>
      </c>
      <c r="C659" s="25" t="n">
        <f aca="false">IF(T658&gt;0,D658,C658)</f>
        <v>0.056549072265625</v>
      </c>
      <c r="D659" s="41" t="n">
        <f aca="false">(B659+C659)/2</f>
        <v>0.0565032958984375</v>
      </c>
      <c r="E659" s="15" t="n">
        <f aca="false">$C$2*(1+IF(E$3&lt;=$O$2,$D659,$D659-($D659-$I$643)*MIN(E$3-$O$2,$Q$2)/$Q$2))</f>
        <v>3317.42034912109</v>
      </c>
      <c r="F659" s="15" t="n">
        <f aca="false">E659*(1+IF(F$3&lt;=$O$2,$D659,$D659-($D659-$I$643)*MIN(F$3-$O$2,$Q$2)/$Q$2))</f>
        <v>3504.86553272698</v>
      </c>
      <c r="G659" s="15" t="n">
        <f aca="false">F659*(1+IF(G$3&lt;=$O$2,$D659,$D659-($D659-$I$643)*MIN(G$3-$O$2,$Q$2)/$Q$2))</f>
        <v>3702.90198700689</v>
      </c>
      <c r="H659" s="15" t="n">
        <f aca="false">G659*(1+IF(H$3&lt;=$O$2,$D659,$D659-($D659-$I$643)*MIN(H$3-$O$2,$Q$2)/$Q$2))</f>
        <v>3912.12815366165</v>
      </c>
      <c r="I659" s="15" t="n">
        <f aca="false">H659*(1+IF(I$3&lt;=$O$2,$D659,$D659-($D659-$I$643)*MIN(I$3-$O$2,$Q$2)/$Q$2))</f>
        <v>4133.1762883206</v>
      </c>
      <c r="J659" s="15" t="n">
        <f aca="false">I659*(1+IF(J$3&lt;=$O$2,$D659,$D659-($D659-$I$643)*MIN(J$3-$O$2,$Q$2)/$Q$2))</f>
        <v>4343.40053236801</v>
      </c>
      <c r="K659" s="15" t="n">
        <f aca="false">J659*(1+IF(K$3&lt;=$O$2,$D659,$D659-($D659-$I$643)*MIN(K$3-$O$2,$Q$2)/$Q$2))</f>
        <v>4539.8176936859</v>
      </c>
      <c r="L659" s="15" t="n">
        <f aca="false">K659*(1+IF(L$3&lt;=$O$2,$D659,$D659-($D659-$I$643)*MIN(L$3-$O$2,$Q$2)/$Q$2))</f>
        <v>4719.50966311321</v>
      </c>
      <c r="M659" s="15" t="n">
        <f aca="false">L659*(1+IF(M$3&lt;=$O$2,$D659,$D659-($D659-$I$643)*MIN(M$3-$O$2,$Q$2)/$Q$2))</f>
        <v>4879.69293208418</v>
      </c>
      <c r="N659" s="15" t="n">
        <f aca="false">M659*(1+IF(N$3&lt;=$O$2,$D659,$D659-($D659-$I$643)*MIN(N$3-$O$2,$Q$2)/$Q$2))</f>
        <v>5017.78824206216</v>
      </c>
      <c r="O659" s="15" t="n">
        <f aca="false">SUMPRODUCT(E659:N659,1/(1+$F$643)^$E$3:$N$3)*$E$2</f>
        <v>11765.1889175604</v>
      </c>
      <c r="P659" s="15" t="n">
        <f aca="false">N659*$E$2*(1+$I$643)/($F$643-$I$643)/(1+$F$643)^$N$3</f>
        <v>15294.8650133696</v>
      </c>
      <c r="Q659" s="15" t="n">
        <f aca="false">O659+P659</f>
        <v>27060.05393093</v>
      </c>
      <c r="R659" s="15" t="n">
        <f aca="false">Q659-$G$2+$I$2</f>
        <v>22992.25393093</v>
      </c>
      <c r="S659" s="42" t="n">
        <f aca="false">R659/$K$2</f>
        <v>176.64608121489</v>
      </c>
      <c r="T659" s="43" t="n">
        <f aca="false">S659-$M$2</f>
        <v>0.0173166174710673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0.05645751953125</v>
      </c>
      <c r="C660" s="25" t="n">
        <f aca="false">IF(T659&gt;0,D659,C659)</f>
        <v>0.0565032958984375</v>
      </c>
      <c r="D660" s="41" t="n">
        <f aca="false">(B660+C660)/2</f>
        <v>0.0564804077148438</v>
      </c>
      <c r="E660" s="15" t="n">
        <f aca="false">$C$2*(1+IF(E$3&lt;=$O$2,$D660,$D660-($D660-$I$643)*MIN(E$3-$O$2,$Q$2)/$Q$2))</f>
        <v>3317.34848022461</v>
      </c>
      <c r="F660" s="15" t="n">
        <f aca="false">E660*(1+IF(F$3&lt;=$O$2,$D660,$D660-($D660-$I$643)*MIN(F$3-$O$2,$Q$2)/$Q$2))</f>
        <v>3504.71367491991</v>
      </c>
      <c r="G660" s="15" t="n">
        <f aca="false">F660*(1+IF(G$3&lt;=$O$2,$D660,$D660-($D660-$I$643)*MIN(G$3-$O$2,$Q$2)/$Q$2))</f>
        <v>3702.66133220318</v>
      </c>
      <c r="H660" s="15" t="n">
        <f aca="false">G660*(1+IF(H$3&lt;=$O$2,$D660,$D660-($D660-$I$643)*MIN(H$3-$O$2,$Q$2)/$Q$2))</f>
        <v>3911.789153876</v>
      </c>
      <c r="I660" s="15" t="n">
        <f aca="false">H660*(1+IF(I$3&lt;=$O$2,$D660,$D660-($D660-$I$643)*MIN(I$3-$O$2,$Q$2)/$Q$2))</f>
        <v>4132.72860018142</v>
      </c>
      <c r="J660" s="15" t="n">
        <f aca="false">I660*(1+IF(J$3&lt;=$O$2,$D660,$D660-($D660-$I$643)*MIN(J$3-$O$2,$Q$2)/$Q$2))</f>
        <v>4342.85440110888</v>
      </c>
      <c r="K660" s="15" t="n">
        <f aca="false">J660*(1+IF(K$3&lt;=$O$2,$D660,$D660-($D660-$I$643)*MIN(K$3-$O$2,$Q$2)/$Q$2))</f>
        <v>4539.18722526193</v>
      </c>
      <c r="L660" s="15" t="n">
        <f aca="false">K660*(1+IF(L$3&lt;=$O$2,$D660,$D660-($D660-$I$643)*MIN(L$3-$O$2,$Q$2)/$Q$2))</f>
        <v>4718.8126824176</v>
      </c>
      <c r="M660" s="15" t="n">
        <f aca="false">L660*(1+IF(M$3&lt;=$O$2,$D660,$D660-($D660-$I$643)*MIN(M$3-$O$2,$Q$2)/$Q$2))</f>
        <v>4878.95069439412</v>
      </c>
      <c r="N660" s="15" t="n">
        <f aca="false">M660*(1+IF(N$3&lt;=$O$2,$D660,$D660-($D660-$I$643)*MIN(N$3-$O$2,$Q$2)/$Q$2))</f>
        <v>5017.02499904548</v>
      </c>
      <c r="O660" s="15" t="n">
        <f aca="false">SUMPRODUCT(E660:N660,1/(1+$F$643)^$E$3:$N$3)*$E$2</f>
        <v>11764.0225769123</v>
      </c>
      <c r="P660" s="15" t="n">
        <f aca="false">N660*$E$2*(1+$I$643)/($F$643-$I$643)/(1+$F$643)^$N$3</f>
        <v>15292.5385503247</v>
      </c>
      <c r="Q660" s="15" t="n">
        <f aca="false">O660+P660</f>
        <v>27056.561127237</v>
      </c>
      <c r="R660" s="15" t="n">
        <f aca="false">Q660-$G$2+$I$2</f>
        <v>22988.761127237</v>
      </c>
      <c r="S660" s="42" t="n">
        <f aca="false">R660/$K$2</f>
        <v>176.619246521489</v>
      </c>
      <c r="T660" s="43" t="n">
        <f aca="false">S660-$M$2</f>
        <v>-0.00951807592986143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0.0564804077148438</v>
      </c>
      <c r="C661" s="25" t="n">
        <f aca="false">IF(T660&gt;0,D660,C660)</f>
        <v>0.0565032958984375</v>
      </c>
      <c r="D661" s="41" t="n">
        <f aca="false">(B661+C661)/2</f>
        <v>0.0564918518066406</v>
      </c>
      <c r="E661" s="15" t="n">
        <f aca="false">$C$2*(1+IF(E$3&lt;=$O$2,$D661,$D661-($D661-$I$643)*MIN(E$3-$O$2,$Q$2)/$Q$2))</f>
        <v>3317.38441467285</v>
      </c>
      <c r="F661" s="15" t="n">
        <f aca="false">E661*(1+IF(F$3&lt;=$O$2,$D661,$D661-($D661-$I$643)*MIN(F$3-$O$2,$Q$2)/$Q$2))</f>
        <v>3504.78960341221</v>
      </c>
      <c r="G661" s="15" t="n">
        <f aca="false">F661*(1+IF(G$3&lt;=$O$2,$D661,$D661-($D661-$I$643)*MIN(G$3-$O$2,$Q$2)/$Q$2))</f>
        <v>3702.78165830163</v>
      </c>
      <c r="H661" s="15" t="n">
        <f aca="false">G661*(1+IF(H$3&lt;=$O$2,$D661,$D661-($D661-$I$643)*MIN(H$3-$O$2,$Q$2)/$Q$2))</f>
        <v>3911.95865101475</v>
      </c>
      <c r="I661" s="15" t="n">
        <f aca="false">H661*(1+IF(I$3&lt;=$O$2,$D661,$D661-($D661-$I$643)*MIN(I$3-$O$2,$Q$2)/$Q$2))</f>
        <v>4132.95243940158</v>
      </c>
      <c r="J661" s="15" t="n">
        <f aca="false">I661*(1+IF(J$3&lt;=$O$2,$D661,$D661-($D661-$I$643)*MIN(J$3-$O$2,$Q$2)/$Q$2))</f>
        <v>4343.12745959305</v>
      </c>
      <c r="K661" s="15" t="n">
        <f aca="false">J661*(1+IF(K$3&lt;=$O$2,$D661,$D661-($D661-$I$643)*MIN(K$3-$O$2,$Q$2)/$Q$2))</f>
        <v>4539.50245013045</v>
      </c>
      <c r="L661" s="15" t="n">
        <f aca="false">K661*(1+IF(L$3&lt;=$O$2,$D661,$D661-($D661-$I$643)*MIN(L$3-$O$2,$Q$2)/$Q$2))</f>
        <v>4719.16116160913</v>
      </c>
      <c r="M661" s="15" t="n">
        <f aca="false">L661*(1+IF(M$3&lt;=$O$2,$D661,$D661-($D661-$I$643)*MIN(M$3-$O$2,$Q$2)/$Q$2))</f>
        <v>4879.32180090661</v>
      </c>
      <c r="N661" s="15" t="n">
        <f aca="false">M661*(1+IF(N$3&lt;=$O$2,$D661,$D661-($D661-$I$643)*MIN(N$3-$O$2,$Q$2)/$Q$2))</f>
        <v>5017.40660787227</v>
      </c>
      <c r="O661" s="15" t="n">
        <f aca="false">SUMPRODUCT(E661:N661,1/(1+$F$643)^$E$3:$N$3)*$E$2</f>
        <v>11764.6057326702</v>
      </c>
      <c r="P661" s="15" t="n">
        <f aca="false">N661*$E$2*(1+$I$643)/($F$643-$I$643)/(1+$F$643)^$N$3</f>
        <v>15293.7017431921</v>
      </c>
      <c r="Q661" s="15" t="n">
        <f aca="false">O661+P661</f>
        <v>27058.3074758623</v>
      </c>
      <c r="R661" s="15" t="n">
        <f aca="false">Q661-$G$2+$I$2</f>
        <v>22990.5074758623</v>
      </c>
      <c r="S661" s="42" t="n">
        <f aca="false">R661/$K$2</f>
        <v>176.632663459299</v>
      </c>
      <c r="T661" s="43" t="n">
        <f aca="false">S661-$M$2</f>
        <v>0.00389886188008859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0.0564804077148438</v>
      </c>
      <c r="C662" s="25" t="n">
        <f aca="false">IF(T661&gt;0,D661,C661)</f>
        <v>0.0564918518066406</v>
      </c>
      <c r="D662" s="41" t="n">
        <f aca="false">(B662+C662)/2</f>
        <v>0.0564861297607422</v>
      </c>
      <c r="E662" s="15" t="n">
        <f aca="false">$C$2*(1+IF(E$3&lt;=$O$2,$D662,$D662-($D662-$I$643)*MIN(E$3-$O$2,$Q$2)/$Q$2))</f>
        <v>3317.36644744873</v>
      </c>
      <c r="F662" s="15" t="n">
        <f aca="false">E662*(1+IF(F$3&lt;=$O$2,$D662,$D662-($D662-$I$643)*MIN(F$3-$O$2,$Q$2)/$Q$2))</f>
        <v>3504.75163906325</v>
      </c>
      <c r="G662" s="15" t="n">
        <f aca="false">F662*(1+IF(G$3&lt;=$O$2,$D662,$D662-($D662-$I$643)*MIN(G$3-$O$2,$Q$2)/$Q$2))</f>
        <v>3702.72149492655</v>
      </c>
      <c r="H662" s="15" t="n">
        <f aca="false">G662*(1+IF(H$3&lt;=$O$2,$D662,$D662-($D662-$I$643)*MIN(H$3-$O$2,$Q$2)/$Q$2))</f>
        <v>3911.87390175686</v>
      </c>
      <c r="I662" s="15" t="n">
        <f aca="false">H662*(1+IF(I$3&lt;=$O$2,$D662,$D662-($D662-$I$643)*MIN(I$3-$O$2,$Q$2)/$Q$2))</f>
        <v>4132.84051857916</v>
      </c>
      <c r="J662" s="15" t="n">
        <f aca="false">I662*(1+IF(J$3&lt;=$O$2,$D662,$D662-($D662-$I$643)*MIN(J$3-$O$2,$Q$2)/$Q$2))</f>
        <v>4342.99092856465</v>
      </c>
      <c r="K662" s="15" t="n">
        <f aca="false">J662*(1+IF(K$3&lt;=$O$2,$D662,$D662-($D662-$I$643)*MIN(K$3-$O$2,$Q$2)/$Q$2))</f>
        <v>4539.34483536038</v>
      </c>
      <c r="L662" s="15" t="n">
        <f aca="false">K662*(1+IF(L$3&lt;=$O$2,$D662,$D662-($D662-$I$643)*MIN(L$3-$O$2,$Q$2)/$Q$2))</f>
        <v>4718.98691922437</v>
      </c>
      <c r="M662" s="15" t="n">
        <f aca="false">L662*(1+IF(M$3&lt;=$O$2,$D662,$D662-($D662-$I$643)*MIN(M$3-$O$2,$Q$2)/$Q$2))</f>
        <v>4879.13624456732</v>
      </c>
      <c r="N662" s="15" t="n">
        <f aca="false">M662*(1+IF(N$3&lt;=$O$2,$D662,$D662-($D662-$I$643)*MIN(N$3-$O$2,$Q$2)/$Q$2))</f>
        <v>5017.21580028857</v>
      </c>
      <c r="O662" s="15" t="n">
        <f aca="false">SUMPRODUCT(E662:N662,1/(1+$F$643)^$E$3:$N$3)*$E$2</f>
        <v>11764.3141511498</v>
      </c>
      <c r="P662" s="15" t="n">
        <f aca="false">N662*$E$2*(1+$I$643)/($F$643-$I$643)/(1+$F$643)^$N$3</f>
        <v>15293.1201370949</v>
      </c>
      <c r="Q662" s="15" t="n">
        <f aca="false">O662+P662</f>
        <v>27057.4342882447</v>
      </c>
      <c r="R662" s="15" t="n">
        <f aca="false">Q662-$G$2+$I$2</f>
        <v>22989.6342882447</v>
      </c>
      <c r="S662" s="42" t="n">
        <f aca="false">R662/$K$2</f>
        <v>176.625954888174</v>
      </c>
      <c r="T662" s="43" t="n">
        <f aca="false">S662-$M$2</f>
        <v>-0.00280970924472967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0.0564861297607422</v>
      </c>
      <c r="C663" s="25" t="n">
        <f aca="false">IF(T662&gt;0,D662,C662)</f>
        <v>0.0564918518066406</v>
      </c>
      <c r="D663" s="41" t="n">
        <f aca="false">(B663+C663)/2</f>
        <v>0.0564889907836914</v>
      </c>
      <c r="E663" s="15" t="n">
        <f aca="false">$C$2*(1+IF(E$3&lt;=$O$2,$D663,$D663-($D663-$I$643)*MIN(E$3-$O$2,$Q$2)/$Q$2))</f>
        <v>3317.37543106079</v>
      </c>
      <c r="F663" s="15" t="n">
        <f aca="false">E663*(1+IF(F$3&lt;=$O$2,$D663,$D663-($D663-$I$643)*MIN(F$3-$O$2,$Q$2)/$Q$2))</f>
        <v>3504.77062121203</v>
      </c>
      <c r="G663" s="15" t="n">
        <f aca="false">F663*(1+IF(G$3&lt;=$O$2,$D663,$D663-($D663-$I$643)*MIN(G$3-$O$2,$Q$2)/$Q$2))</f>
        <v>3702.75157653263</v>
      </c>
      <c r="H663" s="15" t="n">
        <f aca="false">G663*(1+IF(H$3&lt;=$O$2,$D663,$D663-($D663-$I$643)*MIN(H$3-$O$2,$Q$2)/$Q$2))</f>
        <v>3911.91627621368</v>
      </c>
      <c r="I663" s="15" t="n">
        <f aca="false">H663*(1+IF(I$3&lt;=$O$2,$D663,$D663-($D663-$I$643)*MIN(I$3-$O$2,$Q$2)/$Q$2))</f>
        <v>4132.89647868729</v>
      </c>
      <c r="J663" s="15" t="n">
        <f aca="false">I663*(1+IF(J$3&lt;=$O$2,$D663,$D663-($D663-$I$643)*MIN(J$3-$O$2,$Q$2)/$Q$2))</f>
        <v>4343.05919363227</v>
      </c>
      <c r="K663" s="15" t="n">
        <f aca="false">J663*(1+IF(K$3&lt;=$O$2,$D663,$D663-($D663-$I$643)*MIN(K$3-$O$2,$Q$2)/$Q$2))</f>
        <v>4539.42364216146</v>
      </c>
      <c r="L663" s="15" t="n">
        <f aca="false">K663*(1+IF(L$3&lt;=$O$2,$D663,$D663-($D663-$I$643)*MIN(L$3-$O$2,$Q$2)/$Q$2))</f>
        <v>4719.07403971949</v>
      </c>
      <c r="M663" s="15" t="n">
        <f aca="false">L663*(1+IF(M$3&lt;=$O$2,$D663,$D663-($D663-$I$643)*MIN(M$3-$O$2,$Q$2)/$Q$2))</f>
        <v>4879.22902196619</v>
      </c>
      <c r="N663" s="15" t="n">
        <f aca="false">M663*(1+IF(N$3&lt;=$O$2,$D663,$D663-($D663-$I$643)*MIN(N$3-$O$2,$Q$2)/$Q$2))</f>
        <v>5017.31120328784</v>
      </c>
      <c r="O663" s="15" t="n">
        <f aca="false">SUMPRODUCT(E663:N663,1/(1+$F$643)^$E$3:$N$3)*$E$2</f>
        <v>11764.4599409996</v>
      </c>
      <c r="P663" s="15" t="n">
        <f aca="false">N663*$E$2*(1+$I$643)/($F$643-$I$643)/(1+$F$643)^$N$3</f>
        <v>15293.4109377276</v>
      </c>
      <c r="Q663" s="15" t="n">
        <f aca="false">O663+P663</f>
        <v>27057.8708787272</v>
      </c>
      <c r="R663" s="15" t="n">
        <f aca="false">Q663-$G$2+$I$2</f>
        <v>22990.0708787272</v>
      </c>
      <c r="S663" s="42" t="n">
        <f aca="false">R663/$K$2</f>
        <v>176.629309148181</v>
      </c>
      <c r="T663" s="43" t="n">
        <f aca="false">S663-$M$2</f>
        <v>0.000544550762356266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0.0564861297607422</v>
      </c>
      <c r="C664" s="25" t="n">
        <f aca="false">IF(T663&gt;0,D663,C663)</f>
        <v>0.0564889907836914</v>
      </c>
      <c r="D664" s="41" t="n">
        <f aca="false">(B664+C664)/2</f>
        <v>0.0564875602722168</v>
      </c>
      <c r="E664" s="15" t="n">
        <f aca="false">$C$2*(1+IF(E$3&lt;=$O$2,$D664,$D664-($D664-$I$643)*MIN(E$3-$O$2,$Q$2)/$Q$2))</f>
        <v>3317.37093925476</v>
      </c>
      <c r="F664" s="15" t="n">
        <f aca="false">E664*(1+IF(F$3&lt;=$O$2,$D664,$D664-($D664-$I$643)*MIN(F$3-$O$2,$Q$2)/$Q$2))</f>
        <v>3504.76113013121</v>
      </c>
      <c r="G664" s="15" t="n">
        <f aca="false">F664*(1+IF(G$3&lt;=$O$2,$D664,$D664-($D664-$I$643)*MIN(G$3-$O$2,$Q$2)/$Q$2))</f>
        <v>3702.73653570922</v>
      </c>
      <c r="H664" s="15" t="n">
        <f aca="false">G664*(1+IF(H$3&lt;=$O$2,$D664,$D664-($D664-$I$643)*MIN(H$3-$O$2,$Q$2)/$Q$2))</f>
        <v>3911.89508894224</v>
      </c>
      <c r="I664" s="15" t="n">
        <f aca="false">H664*(1+IF(I$3&lt;=$O$2,$D664,$D664-($D664-$I$643)*MIN(I$3-$O$2,$Q$2)/$Q$2))</f>
        <v>4132.86849855745</v>
      </c>
      <c r="J664" s="15" t="n">
        <f aca="false">I664*(1+IF(J$3&lt;=$O$2,$D664,$D664-($D664-$I$643)*MIN(J$3-$O$2,$Q$2)/$Q$2))</f>
        <v>4343.02506098682</v>
      </c>
      <c r="K664" s="15" t="n">
        <f aca="false">J664*(1+IF(K$3&lt;=$O$2,$D664,$D664-($D664-$I$643)*MIN(K$3-$O$2,$Q$2)/$Q$2))</f>
        <v>4539.38423861493</v>
      </c>
      <c r="L664" s="15" t="n">
        <f aca="false">K664*(1+IF(L$3&lt;=$O$2,$D664,$D664-($D664-$I$643)*MIN(L$3-$O$2,$Q$2)/$Q$2))</f>
        <v>4719.03047929762</v>
      </c>
      <c r="M664" s="15" t="n">
        <f aca="false">L664*(1+IF(M$3&lt;=$O$2,$D664,$D664-($D664-$I$643)*MIN(M$3-$O$2,$Q$2)/$Q$2))</f>
        <v>4879.18263307407</v>
      </c>
      <c r="N664" s="15" t="n">
        <f aca="false">M664*(1+IF(N$3&lt;=$O$2,$D664,$D664-($D664-$I$643)*MIN(N$3-$O$2,$Q$2)/$Q$2))</f>
        <v>5017.26350159006</v>
      </c>
      <c r="O664" s="15" t="n">
        <f aca="false">SUMPRODUCT(E664:N664,1/(1+$F$643)^$E$3:$N$3)*$E$2</f>
        <v>11764.3870458471</v>
      </c>
      <c r="P664" s="15" t="n">
        <f aca="false">N664*$E$2*(1+$I$643)/($F$643-$I$643)/(1+$F$643)^$N$3</f>
        <v>15293.2655368073</v>
      </c>
      <c r="Q664" s="15" t="n">
        <f aca="false">O664+P664</f>
        <v>27057.6525826544</v>
      </c>
      <c r="R664" s="15" t="n">
        <f aca="false">Q664-$G$2+$I$2</f>
        <v>22989.8525826544</v>
      </c>
      <c r="S664" s="42" t="n">
        <f aca="false">R664/$K$2</f>
        <v>176.627632011789</v>
      </c>
      <c r="T664" s="43" t="n">
        <f aca="false">S664-$M$2</f>
        <v>-0.00113258562993224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0.0564875602722168</v>
      </c>
      <c r="C665" s="25" t="n">
        <f aca="false">IF(T664&gt;0,D664,C664)</f>
        <v>0.0564889907836914</v>
      </c>
      <c r="D665" s="41" t="n">
        <f aca="false">(B665+C665)/2</f>
        <v>0.0564882755279541</v>
      </c>
      <c r="E665" s="15" t="n">
        <f aca="false">$C$2*(1+IF(E$3&lt;=$O$2,$D665,$D665-($D665-$I$643)*MIN(E$3-$O$2,$Q$2)/$Q$2))</f>
        <v>3317.37318515778</v>
      </c>
      <c r="F665" s="15" t="n">
        <f aca="false">E665*(1+IF(F$3&lt;=$O$2,$D665,$D665-($D665-$I$643)*MIN(F$3-$O$2,$Q$2)/$Q$2))</f>
        <v>3504.76587567002</v>
      </c>
      <c r="G665" s="15" t="n">
        <f aca="false">F665*(1+IF(G$3&lt;=$O$2,$D665,$D665-($D665-$I$643)*MIN(G$3-$O$2,$Q$2)/$Q$2))</f>
        <v>3702.74405611583</v>
      </c>
      <c r="H665" s="15" t="n">
        <f aca="false">G665*(1+IF(H$3&lt;=$O$2,$D665,$D665-($D665-$I$643)*MIN(H$3-$O$2,$Q$2)/$Q$2))</f>
        <v>3911.9056825672</v>
      </c>
      <c r="I665" s="15" t="n">
        <f aca="false">H665*(1+IF(I$3&lt;=$O$2,$D665,$D665-($D665-$I$643)*MIN(I$3-$O$2,$Q$2)/$Q$2))</f>
        <v>4132.88248860342</v>
      </c>
      <c r="J665" s="15" t="n">
        <f aca="false">I665*(1+IF(J$3&lt;=$O$2,$D665,$D665-($D665-$I$643)*MIN(J$3-$O$2,$Q$2)/$Q$2))</f>
        <v>4343.04212728163</v>
      </c>
      <c r="K665" s="15" t="n">
        <f aca="false">J665*(1+IF(K$3&lt;=$O$2,$D665,$D665-($D665-$I$643)*MIN(K$3-$O$2,$Q$2)/$Q$2))</f>
        <v>4539.4039403517</v>
      </c>
      <c r="L665" s="15" t="n">
        <f aca="false">K665*(1+IF(L$3&lt;=$O$2,$D665,$D665-($D665-$I$643)*MIN(L$3-$O$2,$Q$2)/$Q$2))</f>
        <v>4719.05225946497</v>
      </c>
      <c r="M665" s="15" t="n">
        <f aca="false">L665*(1+IF(M$3&lt;=$O$2,$D665,$D665-($D665-$I$643)*MIN(M$3-$O$2,$Q$2)/$Q$2))</f>
        <v>4879.20582747196</v>
      </c>
      <c r="N665" s="15" t="n">
        <f aca="false">M665*(1+IF(N$3&lt;=$O$2,$D665,$D665-($D665-$I$643)*MIN(N$3-$O$2,$Q$2)/$Q$2))</f>
        <v>5017.28735238941</v>
      </c>
      <c r="O665" s="15" t="n">
        <f aca="false">SUMPRODUCT(E665:N665,1/(1+$F$643)^$E$3:$N$3)*$E$2</f>
        <v>11764.4234933665</v>
      </c>
      <c r="P665" s="15" t="n">
        <f aca="false">N665*$E$2*(1+$I$643)/($F$643-$I$643)/(1+$F$643)^$N$3</f>
        <v>15293.3382371165</v>
      </c>
      <c r="Q665" s="15" t="n">
        <f aca="false">O665+P665</f>
        <v>27057.7617304829</v>
      </c>
      <c r="R665" s="15" t="n">
        <f aca="false">Q665-$G$2+$I$2</f>
        <v>22989.9617304829</v>
      </c>
      <c r="S665" s="42" t="n">
        <f aca="false">R665/$K$2</f>
        <v>176.628470578388</v>
      </c>
      <c r="T665" s="43" t="n">
        <f aca="false">S665-$M$2</f>
        <v>-0.000294019031031212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0.0564882755279541</v>
      </c>
      <c r="C666" s="25" t="n">
        <f aca="false">IF(T665&gt;0,D665,C665)</f>
        <v>0.0564889907836914</v>
      </c>
      <c r="D666" s="41" t="n">
        <f aca="false">(B666+C666)/2</f>
        <v>0.0564886331558228</v>
      </c>
      <c r="E666" s="15" t="n">
        <f aca="false">$C$2*(1+IF(E$3&lt;=$O$2,$D666,$D666-($D666-$I$643)*MIN(E$3-$O$2,$Q$2)/$Q$2))</f>
        <v>3317.37430810928</v>
      </c>
      <c r="F666" s="15" t="n">
        <f aca="false">E666*(1+IF(F$3&lt;=$O$2,$D666,$D666-($D666-$I$643)*MIN(F$3-$O$2,$Q$2)/$Q$2))</f>
        <v>3504.76824844062</v>
      </c>
      <c r="G666" s="15" t="n">
        <f aca="false">F666*(1+IF(G$3&lt;=$O$2,$D666,$D666-($D666-$I$643)*MIN(G$3-$O$2,$Q$2)/$Q$2))</f>
        <v>3702.74781632296</v>
      </c>
      <c r="H666" s="15" t="n">
        <f aca="false">G666*(1+IF(H$3&lt;=$O$2,$D666,$D666-($D666-$I$643)*MIN(H$3-$O$2,$Q$2)/$Q$2))</f>
        <v>3911.91097938775</v>
      </c>
      <c r="I666" s="15" t="n">
        <f aca="false">H666*(1+IF(I$3&lt;=$O$2,$D666,$D666-($D666-$I$643)*MIN(I$3-$O$2,$Q$2)/$Q$2))</f>
        <v>4132.88948364062</v>
      </c>
      <c r="J666" s="15" t="n">
        <f aca="false">I666*(1+IF(J$3&lt;=$O$2,$D666,$D666-($D666-$I$643)*MIN(J$3-$O$2,$Q$2)/$Q$2))</f>
        <v>4343.05066044997</v>
      </c>
      <c r="K666" s="15" t="n">
        <f aca="false">J666*(1+IF(K$3&lt;=$O$2,$D666,$D666-($D666-$I$643)*MIN(K$3-$O$2,$Q$2)/$Q$2))</f>
        <v>4539.41379124745</v>
      </c>
      <c r="L666" s="15" t="n">
        <f aca="false">K666*(1+IF(L$3&lt;=$O$2,$D666,$D666-($D666-$I$643)*MIN(L$3-$O$2,$Q$2)/$Q$2))</f>
        <v>4719.06314958134</v>
      </c>
      <c r="M666" s="15" t="n">
        <f aca="false">L666*(1+IF(M$3&lt;=$O$2,$D666,$D666-($D666-$I$643)*MIN(M$3-$O$2,$Q$2)/$Q$2))</f>
        <v>4879.21742470703</v>
      </c>
      <c r="N666" s="15" t="n">
        <f aca="false">M666*(1+IF(N$3&lt;=$O$2,$D666,$D666-($D666-$I$643)*MIN(N$3-$O$2,$Q$2)/$Q$2))</f>
        <v>5017.29927782624</v>
      </c>
      <c r="O666" s="15" t="n">
        <f aca="false">SUMPRODUCT(E666:N666,1/(1+$F$643)^$E$3:$N$3)*$E$2</f>
        <v>11764.4417171688</v>
      </c>
      <c r="P666" s="15" t="n">
        <f aca="false">N666*$E$2*(1+$I$643)/($F$643-$I$643)/(1+$F$643)^$N$3</f>
        <v>15293.3745873843</v>
      </c>
      <c r="Q666" s="15" t="n">
        <f aca="false">O666+P666</f>
        <v>27057.8163045531</v>
      </c>
      <c r="R666" s="15" t="n">
        <f aca="false">Q666-$G$2+$I$2</f>
        <v>22990.0163045531</v>
      </c>
      <c r="S666" s="42" t="n">
        <f aca="false">R666/$K$2</f>
        <v>176.628889862885</v>
      </c>
      <c r="T666" s="43" t="n">
        <f aca="false">S666-$M$2</f>
        <v>0.000125265466436986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0.0564882755279541</v>
      </c>
      <c r="C667" s="25" t="n">
        <f aca="false">IF(T666&gt;0,D666,C666)</f>
        <v>0.0564886331558228</v>
      </c>
      <c r="D667" s="41" t="n">
        <f aca="false">(B667+C667)/2</f>
        <v>0.0564884543418884</v>
      </c>
      <c r="E667" s="15" t="n">
        <f aca="false">$C$2*(1+IF(E$3&lt;=$O$2,$D667,$D667-($D667-$I$643)*MIN(E$3-$O$2,$Q$2)/$Q$2))</f>
        <v>3317.37374663353</v>
      </c>
      <c r="F667" s="15" t="n">
        <f aca="false">E667*(1+IF(F$3&lt;=$O$2,$D667,$D667-($D667-$I$643)*MIN(F$3-$O$2,$Q$2)/$Q$2))</f>
        <v>3504.76706205522</v>
      </c>
      <c r="G667" s="15" t="n">
        <f aca="false">F667*(1+IF(G$3&lt;=$O$2,$D667,$D667-($D667-$I$643)*MIN(G$3-$O$2,$Q$2)/$Q$2))</f>
        <v>3702.74593621908</v>
      </c>
      <c r="H667" s="15" t="n">
        <f aca="false">G667*(1+IF(H$3&lt;=$O$2,$D667,$D667-($D667-$I$643)*MIN(H$3-$O$2,$Q$2)/$Q$2))</f>
        <v>3911.9083309768</v>
      </c>
      <c r="I667" s="15" t="n">
        <f aca="false">H667*(1+IF(I$3&lt;=$O$2,$D667,$D667-($D667-$I$643)*MIN(I$3-$O$2,$Q$2)/$Q$2))</f>
        <v>4132.88598612084</v>
      </c>
      <c r="J667" s="15" t="n">
        <f aca="false">I667*(1+IF(J$3&lt;=$O$2,$D667,$D667-($D667-$I$643)*MIN(J$3-$O$2,$Q$2)/$Q$2))</f>
        <v>4343.04639386406</v>
      </c>
      <c r="K667" s="15" t="n">
        <f aca="false">J667*(1+IF(K$3&lt;=$O$2,$D667,$D667-($D667-$I$643)*MIN(K$3-$O$2,$Q$2)/$Q$2))</f>
        <v>4539.40886579729</v>
      </c>
      <c r="L667" s="15" t="n">
        <f aca="false">K667*(1+IF(L$3&lt;=$O$2,$D667,$D667-($D667-$I$643)*MIN(L$3-$O$2,$Q$2)/$Q$2))</f>
        <v>4719.05770452043</v>
      </c>
      <c r="M667" s="15" t="n">
        <f aca="false">L667*(1+IF(M$3&lt;=$O$2,$D667,$D667-($D667-$I$643)*MIN(M$3-$O$2,$Q$2)/$Q$2))</f>
        <v>4879.21162608648</v>
      </c>
      <c r="N667" s="15" t="n">
        <f aca="false">M667*(1+IF(N$3&lt;=$O$2,$D667,$D667-($D667-$I$643)*MIN(N$3-$O$2,$Q$2)/$Q$2))</f>
        <v>5017.29331510473</v>
      </c>
      <c r="O667" s="15" t="n">
        <f aca="false">SUMPRODUCT(E667:N667,1/(1+$F$643)^$E$3:$N$3)*$E$2</f>
        <v>11764.4326052641</v>
      </c>
      <c r="P667" s="15" t="n">
        <f aca="false">N667*$E$2*(1+$I$643)/($F$643-$I$643)/(1+$F$643)^$N$3</f>
        <v>15293.356412241</v>
      </c>
      <c r="Q667" s="15" t="n">
        <f aca="false">O667+P667</f>
        <v>27057.789017505</v>
      </c>
      <c r="R667" s="15" t="n">
        <f aca="false">Q667-$G$2+$I$2</f>
        <v>22989.989017505</v>
      </c>
      <c r="S667" s="42" t="n">
        <f aca="false">R667/$K$2</f>
        <v>176.628680220536</v>
      </c>
      <c r="T667" s="43" t="n">
        <f aca="false">S667-$M$2</f>
        <v>-8.43768821425783E-005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0.0564884543418884</v>
      </c>
      <c r="C668" s="25" t="n">
        <f aca="false">IF(T667&gt;0,D667,C667)</f>
        <v>0.0564886331558228</v>
      </c>
      <c r="D668" s="41" t="n">
        <f aca="false">(B668+C668)/2</f>
        <v>0.0564885437488556</v>
      </c>
      <c r="E668" s="15" t="n">
        <f aca="false">$C$2*(1+IF(E$3&lt;=$O$2,$D668,$D668-($D668-$I$643)*MIN(E$3-$O$2,$Q$2)/$Q$2))</f>
        <v>3317.37402737141</v>
      </c>
      <c r="F668" s="15" t="n">
        <f aca="false">E668*(1+IF(F$3&lt;=$O$2,$D668,$D668-($D668-$I$643)*MIN(F$3-$O$2,$Q$2)/$Q$2))</f>
        <v>3504.76765524789</v>
      </c>
      <c r="G668" s="15" t="n">
        <f aca="false">F668*(1+IF(G$3&lt;=$O$2,$D668,$D668-($D668-$I$643)*MIN(G$3-$O$2,$Q$2)/$Q$2))</f>
        <v>3702.74687627094</v>
      </c>
      <c r="H668" s="15" t="n">
        <f aca="false">G668*(1+IF(H$3&lt;=$O$2,$D668,$D668-($D668-$I$643)*MIN(H$3-$O$2,$Q$2)/$Q$2))</f>
        <v>3911.90965518211</v>
      </c>
      <c r="I668" s="15" t="n">
        <f aca="false">H668*(1+IF(I$3&lt;=$O$2,$D668,$D668-($D668-$I$643)*MIN(I$3-$O$2,$Q$2)/$Q$2))</f>
        <v>4132.88773488043</v>
      </c>
      <c r="J668" s="15" t="n">
        <f aca="false">I668*(1+IF(J$3&lt;=$O$2,$D668,$D668-($D668-$I$643)*MIN(J$3-$O$2,$Q$2)/$Q$2))</f>
        <v>4343.04852715658</v>
      </c>
      <c r="K668" s="15" t="n">
        <f aca="false">J668*(1+IF(K$3&lt;=$O$2,$D668,$D668-($D668-$I$643)*MIN(K$3-$O$2,$Q$2)/$Q$2))</f>
        <v>4539.4113285218</v>
      </c>
      <c r="L668" s="15" t="n">
        <f aca="false">K668*(1+IF(L$3&lt;=$O$2,$D668,$D668-($D668-$I$643)*MIN(L$3-$O$2,$Q$2)/$Q$2))</f>
        <v>4719.0604270502</v>
      </c>
      <c r="M668" s="15" t="n">
        <f aca="false">L668*(1+IF(M$3&lt;=$O$2,$D668,$D668-($D668-$I$643)*MIN(M$3-$O$2,$Q$2)/$Q$2))</f>
        <v>4879.214525396</v>
      </c>
      <c r="N668" s="15" t="n">
        <f aca="false">M668*(1+IF(N$3&lt;=$O$2,$D668,$D668-($D668-$I$643)*MIN(N$3-$O$2,$Q$2)/$Q$2))</f>
        <v>5017.29629646471</v>
      </c>
      <c r="O668" s="15" t="n">
        <f aca="false">SUMPRODUCT(E668:N668,1/(1+$F$643)^$E$3:$N$3)*$E$2</f>
        <v>11764.4371612155</v>
      </c>
      <c r="P668" s="15" t="n">
        <f aca="false">N668*$E$2*(1+$I$643)/($F$643-$I$643)/(1+$F$643)^$N$3</f>
        <v>15293.3654998103</v>
      </c>
      <c r="Q668" s="15" t="n">
        <f aca="false">O668+P668</f>
        <v>27057.8026610258</v>
      </c>
      <c r="R668" s="15" t="n">
        <f aca="false">Q668-$G$2+$I$2</f>
        <v>22990.0026610258</v>
      </c>
      <c r="S668" s="42" t="n">
        <f aca="false">R668/$K$2</f>
        <v>176.628785041686</v>
      </c>
      <c r="T668" s="43" t="n">
        <f aca="false">S668-$M$2</f>
        <v>2.04442671645211E-005</v>
      </c>
    </row>
    <row r="670" customFormat="false" ht="15" hidden="false" customHeight="false" outlineLevel="0" collapsed="false">
      <c r="A670" s="38" t="s">
        <v>198</v>
      </c>
      <c r="E670" s="5" t="s">
        <v>11</v>
      </c>
      <c r="F670" s="12" t="n">
        <f aca="false">Sensitivity!$B$14</f>
        <v>0.0919413943493295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155</v>
      </c>
      <c r="B671" s="28" t="s">
        <v>156</v>
      </c>
      <c r="C671" s="28" t="s">
        <v>157</v>
      </c>
      <c r="D671" s="28" t="s">
        <v>158</v>
      </c>
      <c r="E671" s="28" t="s">
        <v>159</v>
      </c>
      <c r="F671" s="28" t="s">
        <v>160</v>
      </c>
      <c r="G671" s="28" t="s">
        <v>161</v>
      </c>
      <c r="H671" s="28" t="s">
        <v>162</v>
      </c>
      <c r="I671" s="28" t="s">
        <v>163</v>
      </c>
      <c r="J671" s="28" t="s">
        <v>164</v>
      </c>
      <c r="K671" s="28" t="s">
        <v>165</v>
      </c>
      <c r="L671" s="28" t="s">
        <v>166</v>
      </c>
      <c r="M671" s="28" t="s">
        <v>167</v>
      </c>
      <c r="N671" s="28" t="s">
        <v>168</v>
      </c>
      <c r="O671" s="28" t="s">
        <v>169</v>
      </c>
      <c r="P671" s="28" t="s">
        <v>170</v>
      </c>
      <c r="Q671" s="28" t="s">
        <v>171</v>
      </c>
      <c r="R671" s="28" t="s">
        <v>172</v>
      </c>
      <c r="S671" s="28" t="s">
        <v>173</v>
      </c>
      <c r="T671" s="28" t="s">
        <v>174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3925</v>
      </c>
      <c r="F672" s="15" t="n">
        <f aca="false">E672*(1+IF(F$3&lt;=$O$2,$D672,$D672-($D672-$I$670)*MIN(F$3-$O$2,$Q$2)/$Q$2))</f>
        <v>4906.25</v>
      </c>
      <c r="G672" s="15" t="n">
        <f aca="false">F672*(1+IF(G$3&lt;=$O$2,$D672,$D672-($D672-$I$670)*MIN(G$3-$O$2,$Q$2)/$Q$2))</f>
        <v>6132.8125</v>
      </c>
      <c r="H672" s="15" t="n">
        <f aca="false">G672*(1+IF(H$3&lt;=$O$2,$D672,$D672-($D672-$I$670)*MIN(H$3-$O$2,$Q$2)/$Q$2))</f>
        <v>7666.015625</v>
      </c>
      <c r="I672" s="15" t="n">
        <f aca="false">H672*(1+IF(I$3&lt;=$O$2,$D672,$D672-($D672-$I$670)*MIN(I$3-$O$2,$Q$2)/$Q$2))</f>
        <v>9582.51953125</v>
      </c>
      <c r="J672" s="15" t="n">
        <f aca="false">I672*(1+IF(J$3&lt;=$O$2,$D672,$D672-($D672-$I$670)*MIN(J$3-$O$2,$Q$2)/$Q$2))</f>
        <v>11562.8430175781</v>
      </c>
      <c r="K672" s="15" t="n">
        <f aca="false">J672*(1+IF(K$3&lt;=$O$2,$D672,$D672-($D672-$I$670)*MIN(K$3-$O$2,$Q$2)/$Q$2))</f>
        <v>13451.286539209</v>
      </c>
      <c r="L672" s="15" t="n">
        <f aca="false">K672*(1+IF(L$3&lt;=$O$2,$D672,$D672-($D672-$I$670)*MIN(L$3-$O$2,$Q$2)/$Q$2))</f>
        <v>15065.1718981833</v>
      </c>
      <c r="M672" s="15" t="n">
        <f aca="false">L672*(1+IF(M$3&lt;=$O$2,$D672,$D672-($D672-$I$670)*MIN(M$3-$O$2,$Q$2)/$Q$2))</f>
        <v>16219.76667246</v>
      </c>
      <c r="N672" s="15" t="n">
        <f aca="false">M672*(1+IF(N$3&lt;=$O$2,$D672,$D672-($D672-$I$670)*MIN(N$3-$O$2,$Q$2)/$Q$2))</f>
        <v>16759.884902653</v>
      </c>
      <c r="O672" s="15" t="n">
        <f aca="false">SUMPRODUCT(E672:N672,1/(1+$F$670)^$E$3:$N$3)*$E$2</f>
        <v>27200.3830183408</v>
      </c>
      <c r="P672" s="15" t="n">
        <f aca="false">N672*$E$2*(1+$I$670)/($F$670-$I$670)/(1+$F$670)^$N$3</f>
        <v>55711.6912140131</v>
      </c>
      <c r="Q672" s="15" t="n">
        <f aca="false">O672+P672</f>
        <v>82912.0742323539</v>
      </c>
      <c r="R672" s="15" t="n">
        <f aca="false">Q672-$G$2+$I$2</f>
        <v>78844.2742323539</v>
      </c>
      <c r="S672" s="42" t="n">
        <f aca="false">R672/$K$2</f>
        <v>605.748880088767</v>
      </c>
      <c r="T672" s="43" t="n">
        <f aca="false">S672-$M$2</f>
        <v>429.120115491348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2747.5</v>
      </c>
      <c r="F673" s="15" t="n">
        <f aca="false">E673*(1+IF(F$3&lt;=$O$2,$D673,$D673-($D673-$I$670)*MIN(F$3-$O$2,$Q$2)/$Q$2))</f>
        <v>2404.0625</v>
      </c>
      <c r="G673" s="15" t="n">
        <f aca="false">F673*(1+IF(G$3&lt;=$O$2,$D673,$D673-($D673-$I$670)*MIN(G$3-$O$2,$Q$2)/$Q$2))</f>
        <v>2103.5546875</v>
      </c>
      <c r="H673" s="15" t="n">
        <f aca="false">G673*(1+IF(H$3&lt;=$O$2,$D673,$D673-($D673-$I$670)*MIN(H$3-$O$2,$Q$2)/$Q$2))</f>
        <v>1840.6103515625</v>
      </c>
      <c r="I673" s="15" t="n">
        <f aca="false">H673*(1+IF(I$3&lt;=$O$2,$D673,$D673-($D673-$I$670)*MIN(I$3-$O$2,$Q$2)/$Q$2))</f>
        <v>1610.53405761719</v>
      </c>
      <c r="J673" s="15" t="n">
        <f aca="false">I673*(1+IF(J$3&lt;=$O$2,$D673,$D673-($D673-$I$670)*MIN(J$3-$O$2,$Q$2)/$Q$2))</f>
        <v>1460.2068086792</v>
      </c>
      <c r="K673" s="15" t="n">
        <f aca="false">J673*(1+IF(K$3&lt;=$O$2,$D673,$D673-($D673-$I$670)*MIN(K$3-$O$2,$Q$2)/$Q$2))</f>
        <v>1370.14125271987</v>
      </c>
      <c r="L673" s="15" t="n">
        <f aca="false">K673*(1+IF(L$3&lt;=$O$2,$D673,$D673-($D673-$I$670)*MIN(L$3-$O$2,$Q$2)/$Q$2))</f>
        <v>1329.00961231322</v>
      </c>
      <c r="M673" s="15" t="n">
        <f aca="false">L673*(1+IF(M$3&lt;=$O$2,$D673,$D673-($D673-$I$670)*MIN(M$3-$O$2,$Q$2)/$Q$2))</f>
        <v>1331.18918807741</v>
      </c>
      <c r="N673" s="15" t="n">
        <f aca="false">M673*(1+IF(N$3&lt;=$O$2,$D673,$D673-($D673-$I$670)*MIN(N$3-$O$2,$Q$2)/$Q$2))</f>
        <v>1375.51778804039</v>
      </c>
      <c r="O673" s="15" t="n">
        <f aca="false">SUMPRODUCT(E673:N673,1/(1+$F$670)^$E$3:$N$3)*$E$2</f>
        <v>5416.0620170097</v>
      </c>
      <c r="P673" s="15" t="n">
        <f aca="false">N673*$E$2*(1+$I$670)/($F$670-$I$670)/(1+$F$670)^$N$3</f>
        <v>4572.37163093871</v>
      </c>
      <c r="Q673" s="15" t="n">
        <f aca="false">O673+P673</f>
        <v>9988.43364794841</v>
      </c>
      <c r="R673" s="15" t="n">
        <f aca="false">Q673-$G$2+$I$2</f>
        <v>5920.63364794841</v>
      </c>
      <c r="S673" s="42" t="n">
        <f aca="false">R673/$K$2</f>
        <v>45.4873513210542</v>
      </c>
      <c r="T673" s="43" t="n">
        <f aca="false">S673-$M$2</f>
        <v>-131.141413276364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3336.25</v>
      </c>
      <c r="F674" s="15" t="n">
        <f aca="false">E674*(1+IF(F$3&lt;=$O$2,$D674,$D674-($D674-$I$670)*MIN(F$3-$O$2,$Q$2)/$Q$2))</f>
        <v>3544.765625</v>
      </c>
      <c r="G674" s="15" t="n">
        <f aca="false">F674*(1+IF(G$3&lt;=$O$2,$D674,$D674-($D674-$I$670)*MIN(G$3-$O$2,$Q$2)/$Q$2))</f>
        <v>3766.3134765625</v>
      </c>
      <c r="H674" s="15" t="n">
        <f aca="false">G674*(1+IF(H$3&lt;=$O$2,$D674,$D674-($D674-$I$670)*MIN(H$3-$O$2,$Q$2)/$Q$2))</f>
        <v>4001.70806884766</v>
      </c>
      <c r="I674" s="15" t="n">
        <f aca="false">H674*(1+IF(I$3&lt;=$O$2,$D674,$D674-($D674-$I$670)*MIN(I$3-$O$2,$Q$2)/$Q$2))</f>
        <v>4251.81482315064</v>
      </c>
      <c r="J674" s="15" t="n">
        <f aca="false">I674*(1+IF(J$3&lt;=$O$2,$D674,$D674-($D674-$I$670)*MIN(J$3-$O$2,$Q$2)/$Q$2))</f>
        <v>4492.72265103035</v>
      </c>
      <c r="K674" s="15" t="n">
        <f aca="false">J674*(1+IF(K$3&lt;=$O$2,$D674,$D674-($D674-$I$670)*MIN(K$3-$O$2,$Q$2)/$Q$2))</f>
        <v>4721.04281615571</v>
      </c>
      <c r="L674" s="15" t="n">
        <f aca="false">K674*(1+IF(L$3&lt;=$O$2,$D674,$D674-($D674-$I$670)*MIN(L$3-$O$2,$Q$2)/$Q$2))</f>
        <v>4933.3953220264</v>
      </c>
      <c r="M674" s="15" t="n">
        <f aca="false">L674*(1+IF(M$3&lt;=$O$2,$D674,$D674-($D674-$I$670)*MIN(M$3-$O$2,$Q$2)/$Q$2))</f>
        <v>5126.48841493051</v>
      </c>
      <c r="N674" s="15" t="n">
        <f aca="false">M674*(1+IF(N$3&lt;=$O$2,$D674,$D674-($D674-$I$670)*MIN(N$3-$O$2,$Q$2)/$Q$2))</f>
        <v>5297.2004791477</v>
      </c>
      <c r="O674" s="15" t="n">
        <f aca="false">SUMPRODUCT(E674:N674,1/(1+$F$670)^$E$3:$N$3)*$E$2</f>
        <v>12109.9903122377</v>
      </c>
      <c r="P674" s="15" t="n">
        <f aca="false">N674*$E$2*(1+$I$670)/($F$670-$I$670)/(1+$F$670)^$N$3</f>
        <v>17608.4739905513</v>
      </c>
      <c r="Q674" s="15" t="n">
        <f aca="false">O674+P674</f>
        <v>29718.464302789</v>
      </c>
      <c r="R674" s="15" t="n">
        <f aca="false">Q674-$G$2+$I$2</f>
        <v>25650.664302789</v>
      </c>
      <c r="S674" s="42" t="n">
        <f aca="false">R674/$K$2</f>
        <v>197.070254323824</v>
      </c>
      <c r="T674" s="43" t="n">
        <f aca="false">S674-$M$2</f>
        <v>20.4414897264058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41" t="n">
        <f aca="false">(B675+C675)/2</f>
        <v>-0.03125</v>
      </c>
      <c r="E675" s="15" t="n">
        <f aca="false">$C$2*(1+IF(E$3&lt;=$O$2,$D675,$D675-($D675-$I$670)*MIN(E$3-$O$2,$Q$2)/$Q$2))</f>
        <v>3041.875</v>
      </c>
      <c r="F675" s="15" t="n">
        <f aca="false">E675*(1+IF(F$3&lt;=$O$2,$D675,$D675-($D675-$I$670)*MIN(F$3-$O$2,$Q$2)/$Q$2))</f>
        <v>2946.81640625</v>
      </c>
      <c r="G675" s="15" t="n">
        <f aca="false">F675*(1+IF(G$3&lt;=$O$2,$D675,$D675-($D675-$I$670)*MIN(G$3-$O$2,$Q$2)/$Q$2))</f>
        <v>2854.72839355469</v>
      </c>
      <c r="H675" s="15" t="n">
        <f aca="false">G675*(1+IF(H$3&lt;=$O$2,$D675,$D675-($D675-$I$670)*MIN(H$3-$O$2,$Q$2)/$Q$2))</f>
        <v>2765.5181312561</v>
      </c>
      <c r="I675" s="15" t="n">
        <f aca="false">H675*(1+IF(I$3&lt;=$O$2,$D675,$D675-($D675-$I$670)*MIN(I$3-$O$2,$Q$2)/$Q$2))</f>
        <v>2679.09568965435</v>
      </c>
      <c r="J675" s="15" t="n">
        <f aca="false">I675*(1+IF(J$3&lt;=$O$2,$D675,$D675-($D675-$I$670)*MIN(J$3-$O$2,$Q$2)/$Q$2))</f>
        <v>2629.96107470609</v>
      </c>
      <c r="K675" s="15" t="n">
        <f aca="false">J675*(1+IF(K$3&lt;=$O$2,$D675,$D675-($D675-$I$670)*MIN(K$3-$O$2,$Q$2)/$Q$2))</f>
        <v>2615.68038607044</v>
      </c>
      <c r="L675" s="15" t="n">
        <f aca="false">K675*(1+IF(L$3&lt;=$O$2,$D675,$D675-($D675-$I$670)*MIN(L$3-$O$2,$Q$2)/$Q$2))</f>
        <v>2635.24567535824</v>
      </c>
      <c r="M675" s="15" t="n">
        <f aca="false">L675*(1+IF(M$3&lt;=$O$2,$D675,$D675-($D675-$I$670)*MIN(M$3-$O$2,$Q$2)/$Q$2))</f>
        <v>2688.9783346788</v>
      </c>
      <c r="N675" s="15" t="n">
        <f aca="false">M675*(1+IF(N$3&lt;=$O$2,$D675,$D675-($D675-$I$670)*MIN(N$3-$O$2,$Q$2)/$Q$2))</f>
        <v>2778.5213132236</v>
      </c>
      <c r="O675" s="15" t="n">
        <f aca="false">SUMPRODUCT(E675:N675,1/(1+$F$670)^$E$3:$N$3)*$E$2</f>
        <v>8074.38300922711</v>
      </c>
      <c r="P675" s="15" t="n">
        <f aca="false">N675*$E$2*(1+$I$670)/($F$670-$I$670)/(1+$F$670)^$N$3</f>
        <v>9236.10885951635</v>
      </c>
      <c r="Q675" s="15" t="n">
        <f aca="false">O675+P675</f>
        <v>17310.4918687435</v>
      </c>
      <c r="R675" s="15" t="n">
        <f aca="false">Q675-$G$2+$I$2</f>
        <v>13242.6918687435</v>
      </c>
      <c r="S675" s="42" t="n">
        <f aca="false">R675/$K$2</f>
        <v>101.741640048736</v>
      </c>
      <c r="T675" s="43" t="n">
        <f aca="false">S675-$M$2</f>
        <v>-74.8871245486828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41" t="n">
        <f aca="false">(B676+C676)/2</f>
        <v>0.015625</v>
      </c>
      <c r="E676" s="15" t="n">
        <f aca="false">$C$2*(1+IF(E$3&lt;=$O$2,$D676,$D676-($D676-$I$670)*MIN(E$3-$O$2,$Q$2)/$Q$2))</f>
        <v>3189.0625</v>
      </c>
      <c r="F676" s="15" t="n">
        <f aca="false">E676*(1+IF(F$3&lt;=$O$2,$D676,$D676-($D676-$I$670)*MIN(F$3-$O$2,$Q$2)/$Q$2))</f>
        <v>3238.8916015625</v>
      </c>
      <c r="G676" s="15" t="n">
        <f aca="false">F676*(1+IF(G$3&lt;=$O$2,$D676,$D676-($D676-$I$670)*MIN(G$3-$O$2,$Q$2)/$Q$2))</f>
        <v>3289.49928283691</v>
      </c>
      <c r="H676" s="15" t="n">
        <f aca="false">G676*(1+IF(H$3&lt;=$O$2,$D676,$D676-($D676-$I$670)*MIN(H$3-$O$2,$Q$2)/$Q$2))</f>
        <v>3340.89770913124</v>
      </c>
      <c r="I676" s="15" t="n">
        <f aca="false">H676*(1+IF(I$3&lt;=$O$2,$D676,$D676-($D676-$I$670)*MIN(I$3-$O$2,$Q$2)/$Q$2))</f>
        <v>3393.09923583642</v>
      </c>
      <c r="J676" s="15" t="n">
        <f aca="false">I676*(1+IF(J$3&lt;=$O$2,$D676,$D676-($D676-$I$670)*MIN(J$3-$O$2,$Q$2)/$Q$2))</f>
        <v>3458.11101719504</v>
      </c>
      <c r="K676" s="15" t="n">
        <f aca="false">J676*(1+IF(K$3&lt;=$O$2,$D676,$D676-($D676-$I$670)*MIN(K$3-$O$2,$Q$2)/$Q$2))</f>
        <v>3536.59284673028</v>
      </c>
      <c r="L676" s="15" t="n">
        <f aca="false">K676*(1+IF(L$3&lt;=$O$2,$D676,$D676-($D676-$I$670)*MIN(L$3-$O$2,$Q$2)/$Q$2))</f>
        <v>3629.35767710002</v>
      </c>
      <c r="M676" s="15" t="n">
        <f aca="false">L676*(1+IF(M$3&lt;=$O$2,$D676,$D676-($D676-$I$670)*MIN(M$3-$O$2,$Q$2)/$Q$2))</f>
        <v>3737.3855083589</v>
      </c>
      <c r="N676" s="15" t="n">
        <f aca="false">M676*(1+IF(N$3&lt;=$O$2,$D676,$D676-($D676-$I$670)*MIN(N$3-$O$2,$Q$2)/$Q$2))</f>
        <v>3861.84044578725</v>
      </c>
      <c r="O676" s="15" t="n">
        <f aca="false">SUMPRODUCT(E676:N676,1/(1+$F$670)^$E$3:$N$3)*$E$2</f>
        <v>9884.16387437084</v>
      </c>
      <c r="P676" s="15" t="n">
        <f aca="false">N676*$E$2*(1+$I$670)/($F$670-$I$670)/(1+$F$670)^$N$3</f>
        <v>12837.1801884767</v>
      </c>
      <c r="Q676" s="15" t="n">
        <f aca="false">O676+P676</f>
        <v>22721.3440628475</v>
      </c>
      <c r="R676" s="15" t="n">
        <f aca="false">Q676-$G$2+$I$2</f>
        <v>18653.5440628475</v>
      </c>
      <c r="S676" s="42" t="n">
        <f aca="false">R676/$K$2</f>
        <v>143.312415971478</v>
      </c>
      <c r="T676" s="43" t="n">
        <f aca="false">S676-$M$2</f>
        <v>-33.316348625941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0.015625</v>
      </c>
      <c r="C677" s="25" t="n">
        <f aca="false">IF(T676&gt;0,D676,C676)</f>
        <v>0.0625</v>
      </c>
      <c r="D677" s="41" t="n">
        <f aca="false">(B677+C677)/2</f>
        <v>0.0390625</v>
      </c>
      <c r="E677" s="15" t="n">
        <f aca="false">$C$2*(1+IF(E$3&lt;=$O$2,$D677,$D677-($D677-$I$670)*MIN(E$3-$O$2,$Q$2)/$Q$2))</f>
        <v>3262.65625</v>
      </c>
      <c r="F677" s="15" t="n">
        <f aca="false">E677*(1+IF(F$3&lt;=$O$2,$D677,$D677-($D677-$I$670)*MIN(F$3-$O$2,$Q$2)/$Q$2))</f>
        <v>3390.10375976563</v>
      </c>
      <c r="G677" s="15" t="n">
        <f aca="false">F677*(1+IF(G$3&lt;=$O$2,$D677,$D677-($D677-$I$670)*MIN(G$3-$O$2,$Q$2)/$Q$2))</f>
        <v>3522.52968788147</v>
      </c>
      <c r="H677" s="15" t="n">
        <f aca="false">G677*(1+IF(H$3&lt;=$O$2,$D677,$D677-($D677-$I$670)*MIN(H$3-$O$2,$Q$2)/$Q$2))</f>
        <v>3660.12850381434</v>
      </c>
      <c r="I677" s="15" t="n">
        <f aca="false">H677*(1+IF(I$3&lt;=$O$2,$D677,$D677-($D677-$I$670)*MIN(I$3-$O$2,$Q$2)/$Q$2))</f>
        <v>3803.10227349459</v>
      </c>
      <c r="J677" s="15" t="n">
        <f aca="false">I677*(1+IF(J$3&lt;=$O$2,$D677,$D677-($D677-$I$670)*MIN(J$3-$O$2,$Q$2)/$Q$2))</f>
        <v>3947.27788068277</v>
      </c>
      <c r="K677" s="15" t="n">
        <f aca="false">J677*(1+IF(K$3&lt;=$O$2,$D677,$D677-($D677-$I$670)*MIN(K$3-$O$2,$Q$2)/$Q$2))</f>
        <v>4092.36994738196</v>
      </c>
      <c r="L677" s="15" t="n">
        <f aca="false">K677*(1+IF(L$3&lt;=$O$2,$D677,$D677-($D677-$I$670)*MIN(L$3-$O$2,$Q$2)/$Q$2))</f>
        <v>4238.0787793585</v>
      </c>
      <c r="M677" s="15" t="n">
        <f aca="false">L677*(1+IF(M$3&lt;=$O$2,$D677,$D677-($D677-$I$670)*MIN(M$3-$O$2,$Q$2)/$Q$2))</f>
        <v>4384.09118850435</v>
      </c>
      <c r="N677" s="15" t="n">
        <f aca="false">M677*(1+IF(N$3&lt;=$O$2,$D677,$D677-($D677-$I$670)*MIN(N$3-$O$2,$Q$2)/$Q$2))</f>
        <v>4530.08142508154</v>
      </c>
      <c r="O677" s="15" t="n">
        <f aca="false">SUMPRODUCT(E677:N677,1/(1+$F$670)^$E$3:$N$3)*$E$2</f>
        <v>10939.8802376837</v>
      </c>
      <c r="P677" s="15" t="n">
        <f aca="false">N677*$E$2*(1+$I$670)/($F$670-$I$670)/(1+$F$670)^$N$3</f>
        <v>15058.4863198273</v>
      </c>
      <c r="Q677" s="15" t="n">
        <f aca="false">O677+P677</f>
        <v>25998.3665575109</v>
      </c>
      <c r="R677" s="15" t="n">
        <f aca="false">Q677-$G$2+$I$2</f>
        <v>21930.566557511</v>
      </c>
      <c r="S677" s="42" t="n">
        <f aca="false">R677/$K$2</f>
        <v>168.489294387761</v>
      </c>
      <c r="T677" s="43" t="n">
        <f aca="false">S677-$M$2</f>
        <v>-8.13947020965779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0.0390625</v>
      </c>
      <c r="C678" s="25" t="n">
        <f aca="false">IF(T677&gt;0,D677,C677)</f>
        <v>0.0625</v>
      </c>
      <c r="D678" s="41" t="n">
        <f aca="false">(B678+C678)/2</f>
        <v>0.05078125</v>
      </c>
      <c r="E678" s="15" t="n">
        <f aca="false">$C$2*(1+IF(E$3&lt;=$O$2,$D678,$D678-($D678-$I$670)*MIN(E$3-$O$2,$Q$2)/$Q$2))</f>
        <v>3299.453125</v>
      </c>
      <c r="F678" s="15" t="n">
        <f aca="false">E678*(1+IF(F$3&lt;=$O$2,$D678,$D678-($D678-$I$670)*MIN(F$3-$O$2,$Q$2)/$Q$2))</f>
        <v>3467.00347900391</v>
      </c>
      <c r="G678" s="15" t="n">
        <f aca="false">F678*(1+IF(G$3&lt;=$O$2,$D678,$D678-($D678-$I$670)*MIN(G$3-$O$2,$Q$2)/$Q$2))</f>
        <v>3643.06224942207</v>
      </c>
      <c r="H678" s="15" t="n">
        <f aca="false">G678*(1+IF(H$3&lt;=$O$2,$D678,$D678-($D678-$I$670)*MIN(H$3-$O$2,$Q$2)/$Q$2))</f>
        <v>3828.06150427554</v>
      </c>
      <c r="I678" s="15" t="n">
        <f aca="false">H678*(1+IF(I$3&lt;=$O$2,$D678,$D678-($D678-$I$670)*MIN(I$3-$O$2,$Q$2)/$Q$2))</f>
        <v>4022.45525253953</v>
      </c>
      <c r="J678" s="15" t="n">
        <f aca="false">I678*(1+IF(J$3&lt;=$O$2,$D678,$D678-($D678-$I$670)*MIN(J$3-$O$2,$Q$2)/$Q$2))</f>
        <v>4212.65704915586</v>
      </c>
      <c r="K678" s="15" t="n">
        <f aca="false">J678*(1+IF(K$3&lt;=$O$2,$D678,$D678-($D678-$I$670)*MIN(K$3-$O$2,$Q$2)/$Q$2))</f>
        <v>4397.12403551709</v>
      </c>
      <c r="L678" s="15" t="n">
        <f aca="false">K678*(1+IF(L$3&lt;=$O$2,$D678,$D678-($D678-$I$670)*MIN(L$3-$O$2,$Q$2)/$Q$2))</f>
        <v>4574.29515571816</v>
      </c>
      <c r="M678" s="15" t="n">
        <f aca="false">L678*(1+IF(M$3&lt;=$O$2,$D678,$D678-($D678-$I$670)*MIN(M$3-$O$2,$Q$2)/$Q$2))</f>
        <v>4742.61206384175</v>
      </c>
      <c r="N678" s="15" t="n">
        <f aca="false">M678*(1+IF(N$3&lt;=$O$2,$D678,$D678-($D678-$I$670)*MIN(N$3-$O$2,$Q$2)/$Q$2))</f>
        <v>4900.54104556769</v>
      </c>
      <c r="O678" s="15" t="n">
        <f aca="false">SUMPRODUCT(E678:N678,1/(1+$F$670)^$E$3:$N$3)*$E$2</f>
        <v>11509.9380268767</v>
      </c>
      <c r="P678" s="15" t="n">
        <f aca="false">N678*$E$2*(1+$I$670)/($F$670-$I$670)/(1+$F$670)^$N$3</f>
        <v>16289.9346324895</v>
      </c>
      <c r="Q678" s="15" t="n">
        <f aca="false">O678+P678</f>
        <v>27799.8726593661</v>
      </c>
      <c r="R678" s="15" t="n">
        <f aca="false">Q678-$G$2+$I$2</f>
        <v>23732.0726593661</v>
      </c>
      <c r="S678" s="42" t="n">
        <f aca="false">R678/$K$2</f>
        <v>182.329998919531</v>
      </c>
      <c r="T678" s="43" t="n">
        <f aca="false">S678-$M$2</f>
        <v>5.70123432211233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0.0390625</v>
      </c>
      <c r="C679" s="25" t="n">
        <f aca="false">IF(T678&gt;0,D678,C678)</f>
        <v>0.05078125</v>
      </c>
      <c r="D679" s="41" t="n">
        <f aca="false">(B679+C679)/2</f>
        <v>0.044921875</v>
      </c>
      <c r="E679" s="15" t="n">
        <f aca="false">$C$2*(1+IF(E$3&lt;=$O$2,$D679,$D679-($D679-$I$670)*MIN(E$3-$O$2,$Q$2)/$Q$2))</f>
        <v>3281.0546875</v>
      </c>
      <c r="F679" s="15" t="n">
        <f aca="false">E679*(1+IF(F$3&lt;=$O$2,$D679,$D679-($D679-$I$670)*MIN(F$3-$O$2,$Q$2)/$Q$2))</f>
        <v>3428.44581604004</v>
      </c>
      <c r="G679" s="15" t="n">
        <f aca="false">F679*(1+IF(G$3&lt;=$O$2,$D679,$D679-($D679-$I$670)*MIN(G$3-$O$2,$Q$2)/$Q$2))</f>
        <v>3582.45803043246</v>
      </c>
      <c r="H679" s="15" t="n">
        <f aca="false">G679*(1+IF(H$3&lt;=$O$2,$D679,$D679-($D679-$I$670)*MIN(H$3-$O$2,$Q$2)/$Q$2))</f>
        <v>3743.3887622683</v>
      </c>
      <c r="I679" s="15" t="n">
        <f aca="false">H679*(1+IF(I$3&lt;=$O$2,$D679,$D679-($D679-$I$670)*MIN(I$3-$O$2,$Q$2)/$Q$2))</f>
        <v>3911.54880432332</v>
      </c>
      <c r="J679" s="15" t="n">
        <f aca="false">I679*(1+IF(J$3&lt;=$O$2,$D679,$D679-($D679-$I$670)*MIN(J$3-$O$2,$Q$2)/$Q$2))</f>
        <v>4078.17100451548</v>
      </c>
      <c r="K679" s="15" t="n">
        <f aca="false">J679*(1+IF(K$3&lt;=$O$2,$D679,$D679-($D679-$I$670)*MIN(K$3-$O$2,$Q$2)/$Q$2))</f>
        <v>4242.41169515171</v>
      </c>
      <c r="L679" s="15" t="n">
        <f aca="false">K679*(1+IF(L$3&lt;=$O$2,$D679,$D679-($D679-$I$670)*MIN(L$3-$O$2,$Q$2)/$Q$2))</f>
        <v>4403.4059159681</v>
      </c>
      <c r="M679" s="15" t="n">
        <f aca="false">L679*(1+IF(M$3&lt;=$O$2,$D679,$D679-($D679-$I$670)*MIN(M$3-$O$2,$Q$2)/$Q$2))</f>
        <v>4560.27449959576</v>
      </c>
      <c r="N679" s="15" t="n">
        <f aca="false">M679*(1+IF(N$3&lt;=$O$2,$D679,$D679-($D679-$I$670)*MIN(N$3-$O$2,$Q$2)/$Q$2))</f>
        <v>4712.1316404323</v>
      </c>
      <c r="O679" s="15" t="n">
        <f aca="false">SUMPRODUCT(E679:N679,1/(1+$F$670)^$E$3:$N$3)*$E$2</f>
        <v>11221.2493687077</v>
      </c>
      <c r="P679" s="15" t="n">
        <f aca="false">N679*$E$2*(1+$I$670)/($F$670-$I$670)/(1+$F$670)^$N$3</f>
        <v>15663.6411548381</v>
      </c>
      <c r="Q679" s="15" t="n">
        <f aca="false">O679+P679</f>
        <v>26884.8905235458</v>
      </c>
      <c r="R679" s="15" t="n">
        <f aca="false">Q679-$G$2+$I$2</f>
        <v>22817.0905235458</v>
      </c>
      <c r="S679" s="42" t="n">
        <f aca="false">R679/$K$2</f>
        <v>175.300326702103</v>
      </c>
      <c r="T679" s="43" t="n">
        <f aca="false">S679-$M$2</f>
        <v>-1.32843789531515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0.044921875</v>
      </c>
      <c r="C680" s="25" t="n">
        <f aca="false">IF(T679&gt;0,D679,C679)</f>
        <v>0.05078125</v>
      </c>
      <c r="D680" s="41" t="n">
        <f aca="false">(B680+C680)/2</f>
        <v>0.0478515625</v>
      </c>
      <c r="E680" s="15" t="n">
        <f aca="false">$C$2*(1+IF(E$3&lt;=$O$2,$D680,$D680-($D680-$I$670)*MIN(E$3-$O$2,$Q$2)/$Q$2))</f>
        <v>3290.25390625</v>
      </c>
      <c r="F680" s="15" t="n">
        <f aca="false">E680*(1+IF(F$3&lt;=$O$2,$D680,$D680-($D680-$I$670)*MIN(F$3-$O$2,$Q$2)/$Q$2))</f>
        <v>3447.69769668579</v>
      </c>
      <c r="G680" s="15" t="n">
        <f aca="false">F680*(1+IF(G$3&lt;=$O$2,$D680,$D680-($D680-$I$670)*MIN(G$3-$O$2,$Q$2)/$Q$2))</f>
        <v>3612.67541849986</v>
      </c>
      <c r="H680" s="15" t="n">
        <f aca="false">G680*(1+IF(H$3&lt;=$O$2,$D680,$D680-($D680-$I$670)*MIN(H$3-$O$2,$Q$2)/$Q$2))</f>
        <v>3785.54758208042</v>
      </c>
      <c r="I680" s="15" t="n">
        <f aca="false">H680*(1+IF(I$3&lt;=$O$2,$D680,$D680-($D680-$I$670)*MIN(I$3-$O$2,$Q$2)/$Q$2))</f>
        <v>3966.69194880106</v>
      </c>
      <c r="J680" s="15" t="n">
        <f aca="false">I680*(1+IF(J$3&lt;=$O$2,$D680,$D680-($D680-$I$670)*MIN(J$3-$O$2,$Q$2)/$Q$2))</f>
        <v>4144.96004334512</v>
      </c>
      <c r="K680" s="15" t="n">
        <f aca="false">J680*(1+IF(K$3&lt;=$O$2,$D680,$D680-($D680-$I$670)*MIN(K$3-$O$2,$Q$2)/$Q$2))</f>
        <v>4319.17659986695</v>
      </c>
      <c r="L680" s="15" t="n">
        <f aca="false">K680*(1+IF(L$3&lt;=$O$2,$D680,$D680-($D680-$I$670)*MIN(L$3-$O$2,$Q$2)/$Q$2))</f>
        <v>4488.14548793912</v>
      </c>
      <c r="M680" s="15" t="n">
        <f aca="false">L680*(1+IF(M$3&lt;=$O$2,$D680,$D680-($D680-$I$670)*MIN(M$3-$O$2,$Q$2)/$Q$2))</f>
        <v>4650.66263860287</v>
      </c>
      <c r="N680" s="15" t="n">
        <f aca="false">M680*(1+IF(N$3&lt;=$O$2,$D680,$D680-($D680-$I$670)*MIN(N$3-$O$2,$Q$2)/$Q$2))</f>
        <v>4805.52970446834</v>
      </c>
      <c r="O680" s="15" t="n">
        <f aca="false">SUMPRODUCT(E680:N680,1/(1+$F$670)^$E$3:$N$3)*$E$2</f>
        <v>11364.667709467</v>
      </c>
      <c r="P680" s="15" t="n">
        <f aca="false">N680*$E$2*(1+$I$670)/($F$670-$I$670)/(1+$F$670)^$N$3</f>
        <v>15974.1065389255</v>
      </c>
      <c r="Q680" s="15" t="n">
        <f aca="false">O680+P680</f>
        <v>27338.7742483925</v>
      </c>
      <c r="R680" s="15" t="n">
        <f aca="false">Q680-$G$2+$I$2</f>
        <v>23270.9742483925</v>
      </c>
      <c r="S680" s="42" t="n">
        <f aca="false">R680/$K$2</f>
        <v>178.7874481284</v>
      </c>
      <c r="T680" s="43" t="n">
        <f aca="false">S680-$M$2</f>
        <v>2.15868353098105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0.044921875</v>
      </c>
      <c r="C681" s="25" t="n">
        <f aca="false">IF(T680&gt;0,D680,C680)</f>
        <v>0.0478515625</v>
      </c>
      <c r="D681" s="41" t="n">
        <f aca="false">(B681+C681)/2</f>
        <v>0.04638671875</v>
      </c>
      <c r="E681" s="15" t="n">
        <f aca="false">$C$2*(1+IF(E$3&lt;=$O$2,$D681,$D681-($D681-$I$670)*MIN(E$3-$O$2,$Q$2)/$Q$2))</f>
        <v>3285.654296875</v>
      </c>
      <c r="F681" s="15" t="n">
        <f aca="false">E681*(1+IF(F$3&lt;=$O$2,$D681,$D681-($D681-$I$670)*MIN(F$3-$O$2,$Q$2)/$Q$2))</f>
        <v>3438.06501865387</v>
      </c>
      <c r="G681" s="15" t="n">
        <f aca="false">F681*(1+IF(G$3&lt;=$O$2,$D681,$D681-($D681-$I$670)*MIN(G$3-$O$2,$Q$2)/$Q$2))</f>
        <v>3597.54557371838</v>
      </c>
      <c r="H681" s="15" t="n">
        <f aca="false">G681*(1+IF(H$3&lt;=$O$2,$D681,$D681-($D681-$I$670)*MIN(H$3-$O$2,$Q$2)/$Q$2))</f>
        <v>3764.42390843676</v>
      </c>
      <c r="I681" s="15" t="n">
        <f aca="false">H681*(1+IF(I$3&lt;=$O$2,$D681,$D681-($D681-$I$670)*MIN(I$3-$O$2,$Q$2)/$Q$2))</f>
        <v>3939.04318153319</v>
      </c>
      <c r="J681" s="15" t="n">
        <f aca="false">I681*(1+IF(J$3&lt;=$O$2,$D681,$D681-($D681-$I$670)*MIN(J$3-$O$2,$Q$2)/$Q$2))</f>
        <v>4111.45263968691</v>
      </c>
      <c r="K681" s="15" t="n">
        <f aca="false">J681*(1+IF(K$3&lt;=$O$2,$D681,$D681-($D681-$I$670)*MIN(K$3-$O$2,$Q$2)/$Q$2))</f>
        <v>4280.6472671982</v>
      </c>
      <c r="L681" s="15" t="n">
        <f aca="false">K681*(1+IF(L$3&lt;=$O$2,$D681,$D681-($D681-$I$670)*MIN(L$3-$O$2,$Q$2)/$Q$2))</f>
        <v>4445.60067193742</v>
      </c>
      <c r="M681" s="15" t="n">
        <f aca="false">L681*(1+IF(M$3&lt;=$O$2,$D681,$D681-($D681-$I$670)*MIN(M$3-$O$2,$Q$2)/$Q$2))</f>
        <v>4605.27483944662</v>
      </c>
      <c r="N681" s="15" t="n">
        <f aca="false">M681*(1+IF(N$3&lt;=$O$2,$D681,$D681-($D681-$I$670)*MIN(N$3-$O$2,$Q$2)/$Q$2))</f>
        <v>4758.6304916002</v>
      </c>
      <c r="O681" s="15" t="n">
        <f aca="false">SUMPRODUCT(E681:N681,1/(1+$F$670)^$E$3:$N$3)*$E$2</f>
        <v>11292.7284319812</v>
      </c>
      <c r="P681" s="15" t="n">
        <f aca="false">N681*$E$2*(1+$I$670)/($F$670-$I$670)/(1+$F$670)^$N$3</f>
        <v>15818.208423833</v>
      </c>
      <c r="Q681" s="15" t="n">
        <f aca="false">O681+P681</f>
        <v>27110.9368558143</v>
      </c>
      <c r="R681" s="15" t="n">
        <f aca="false">Q681-$G$2+$I$2</f>
        <v>23043.1368558143</v>
      </c>
      <c r="S681" s="42" t="n">
        <f aca="false">R681/$K$2</f>
        <v>177.037007189722</v>
      </c>
      <c r="T681" s="43" t="n">
        <f aca="false">S681-$M$2</f>
        <v>0.408242592303651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0.044921875</v>
      </c>
      <c r="C682" s="25" t="n">
        <f aca="false">IF(T681&gt;0,D681,C681)</f>
        <v>0.04638671875</v>
      </c>
      <c r="D682" s="41" t="n">
        <f aca="false">(B682+C682)/2</f>
        <v>0.045654296875</v>
      </c>
      <c r="E682" s="15" t="n">
        <f aca="false">$C$2*(1+IF(E$3&lt;=$O$2,$D682,$D682-($D682-$I$670)*MIN(E$3-$O$2,$Q$2)/$Q$2))</f>
        <v>3283.3544921875</v>
      </c>
      <c r="F682" s="15" t="n">
        <f aca="false">E682*(1+IF(F$3&lt;=$O$2,$D682,$D682-($D682-$I$670)*MIN(F$3-$O$2,$Q$2)/$Q$2))</f>
        <v>3433.25373291969</v>
      </c>
      <c r="G682" s="15" t="n">
        <f aca="false">F682*(1+IF(G$3&lt;=$O$2,$D682,$D682-($D682-$I$670)*MIN(G$3-$O$2,$Q$2)/$Q$2))</f>
        <v>3589.99651808961</v>
      </c>
      <c r="H682" s="15" t="n">
        <f aca="false">G682*(1+IF(H$3&lt;=$O$2,$D682,$D682-($D682-$I$670)*MIN(H$3-$O$2,$Q$2)/$Q$2))</f>
        <v>3753.89528490669</v>
      </c>
      <c r="I682" s="15" t="n">
        <f aca="false">H682*(1+IF(I$3&lt;=$O$2,$D682,$D682-($D682-$I$670)*MIN(I$3-$O$2,$Q$2)/$Q$2))</f>
        <v>3925.27673468148</v>
      </c>
      <c r="J682" s="15" t="n">
        <f aca="false">I682*(1+IF(J$3&lt;=$O$2,$D682,$D682-($D682-$I$670)*MIN(J$3-$O$2,$Q$2)/$Q$2))</f>
        <v>4094.7836772238</v>
      </c>
      <c r="K682" s="15" t="n">
        <f aca="false">J682*(1+IF(K$3&lt;=$O$2,$D682,$D682-($D682-$I$670)*MIN(K$3-$O$2,$Q$2)/$Q$2))</f>
        <v>4261.49287758775</v>
      </c>
      <c r="L682" s="15" t="n">
        <f aca="false">K682*(1+IF(L$3&lt;=$O$2,$D682,$D682-($D682-$I$670)*MIN(L$3-$O$2,$Q$2)/$Q$2))</f>
        <v>4424.45968966759</v>
      </c>
      <c r="M682" s="15" t="n">
        <f aca="false">L682*(1+IF(M$3&lt;=$O$2,$D682,$D682-($D682-$I$670)*MIN(M$3-$O$2,$Q$2)/$Q$2))</f>
        <v>4582.72641503705</v>
      </c>
      <c r="N682" s="15" t="n">
        <f aca="false">M682*(1+IF(N$3&lt;=$O$2,$D682,$D682-($D682-$I$670)*MIN(N$3-$O$2,$Q$2)/$Q$2))</f>
        <v>4735.33120465778</v>
      </c>
      <c r="O682" s="15" t="n">
        <f aca="false">SUMPRODUCT(E682:N682,1/(1+$F$670)^$E$3:$N$3)*$E$2</f>
        <v>11256.9315465202</v>
      </c>
      <c r="P682" s="15" t="n">
        <f aca="false">N682*$E$2*(1+$I$670)/($F$670-$I$670)/(1+$F$670)^$N$3</f>
        <v>15740.7590447244</v>
      </c>
      <c r="Q682" s="15" t="n">
        <f aca="false">O682+P682</f>
        <v>26997.6905912446</v>
      </c>
      <c r="R682" s="15" t="n">
        <f aca="false">Q682-$G$2+$I$2</f>
        <v>22929.8905912446</v>
      </c>
      <c r="S682" s="42" t="n">
        <f aca="false">R682/$K$2</f>
        <v>176.16695291368</v>
      </c>
      <c r="T682" s="43" t="n">
        <f aca="false">S682-$M$2</f>
        <v>-0.461811683738517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0.045654296875</v>
      </c>
      <c r="C683" s="25" t="n">
        <f aca="false">IF(T682&gt;0,D682,C682)</f>
        <v>0.04638671875</v>
      </c>
      <c r="D683" s="41" t="n">
        <f aca="false">(B683+C683)/2</f>
        <v>0.0460205078125</v>
      </c>
      <c r="E683" s="15" t="n">
        <f aca="false">$C$2*(1+IF(E$3&lt;=$O$2,$D683,$D683-($D683-$I$670)*MIN(E$3-$O$2,$Q$2)/$Q$2))</f>
        <v>3284.50439453125</v>
      </c>
      <c r="F683" s="15" t="n">
        <f aca="false">E683*(1+IF(F$3&lt;=$O$2,$D683,$D683-($D683-$I$670)*MIN(F$3-$O$2,$Q$2)/$Q$2))</f>
        <v>3435.65895467997</v>
      </c>
      <c r="G683" s="15" t="n">
        <f aca="false">F683*(1+IF(G$3&lt;=$O$2,$D683,$D683-($D683-$I$670)*MIN(G$3-$O$2,$Q$2)/$Q$2))</f>
        <v>3593.7697244449</v>
      </c>
      <c r="H683" s="15" t="n">
        <f aca="false">G683*(1+IF(H$3&lt;=$O$2,$D683,$D683-($D683-$I$670)*MIN(H$3-$O$2,$Q$2)/$Q$2))</f>
        <v>3759.15683212504</v>
      </c>
      <c r="I683" s="15" t="n">
        <f aca="false">H683*(1+IF(I$3&lt;=$O$2,$D683,$D683-($D683-$I$670)*MIN(I$3-$O$2,$Q$2)/$Q$2))</f>
        <v>3932.15513848627</v>
      </c>
      <c r="J683" s="15" t="n">
        <f aca="false">I683*(1+IF(J$3&lt;=$O$2,$D683,$D683-($D683-$I$670)*MIN(J$3-$O$2,$Q$2)/$Q$2))</f>
        <v>4103.11111272512</v>
      </c>
      <c r="K683" s="15" t="n">
        <f aca="false">J683*(1+IF(K$3&lt;=$O$2,$D683,$D683-($D683-$I$670)*MIN(K$3-$O$2,$Q$2)/$Q$2))</f>
        <v>4271.06090695785</v>
      </c>
      <c r="L683" s="15" t="n">
        <f aca="false">K683*(1+IF(L$3&lt;=$O$2,$D683,$D683-($D683-$I$670)*MIN(L$3-$O$2,$Q$2)/$Q$2))</f>
        <v>4435.0192606134</v>
      </c>
      <c r="M683" s="15" t="n">
        <f aca="false">L683*(1+IF(M$3&lt;=$O$2,$D683,$D683-($D683-$I$670)*MIN(M$3-$O$2,$Q$2)/$Q$2))</f>
        <v>4593.98854142247</v>
      </c>
      <c r="N683" s="15" t="n">
        <f aca="false">M683*(1+IF(N$3&lt;=$O$2,$D683,$D683-($D683-$I$670)*MIN(N$3-$O$2,$Q$2)/$Q$2))</f>
        <v>4746.96835985184</v>
      </c>
      <c r="O683" s="15" t="n">
        <f aca="false">SUMPRODUCT(E683:N683,1/(1+$F$670)^$E$3:$N$3)*$E$2</f>
        <v>11274.815629211</v>
      </c>
      <c r="P683" s="15" t="n">
        <f aca="false">N683*$E$2*(1+$I$670)/($F$670-$I$670)/(1+$F$670)^$N$3</f>
        <v>15779.4422218791</v>
      </c>
      <c r="Q683" s="15" t="n">
        <f aca="false">O683+P683</f>
        <v>27054.25785109</v>
      </c>
      <c r="R683" s="15" t="n">
        <f aca="false">Q683-$G$2+$I$2</f>
        <v>22986.45785109</v>
      </c>
      <c r="S683" s="42" t="n">
        <f aca="false">R683/$K$2</f>
        <v>176.601550792025</v>
      </c>
      <c r="T683" s="43" t="n">
        <f aca="false">S683-$M$2</f>
        <v>-0.0272138053931315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0.0460205078125</v>
      </c>
      <c r="C684" s="25" t="n">
        <f aca="false">IF(T683&gt;0,D683,C683)</f>
        <v>0.04638671875</v>
      </c>
      <c r="D684" s="41" t="n">
        <f aca="false">(B684+C684)/2</f>
        <v>0.04620361328125</v>
      </c>
      <c r="E684" s="15" t="n">
        <f aca="false">$C$2*(1+IF(E$3&lt;=$O$2,$D684,$D684-($D684-$I$670)*MIN(E$3-$O$2,$Q$2)/$Q$2))</f>
        <v>3285.07934570313</v>
      </c>
      <c r="F684" s="15" t="n">
        <f aca="false">E684*(1+IF(F$3&lt;=$O$2,$D684,$D684-($D684-$I$670)*MIN(F$3-$O$2,$Q$2)/$Q$2))</f>
        <v>3436.86188139021</v>
      </c>
      <c r="G684" s="15" t="n">
        <f aca="false">F684*(1+IF(G$3&lt;=$O$2,$D684,$D684-($D684-$I$670)*MIN(G$3-$O$2,$Q$2)/$Q$2))</f>
        <v>3595.65731865904</v>
      </c>
      <c r="H684" s="15" t="n">
        <f aca="false">G684*(1+IF(H$3&lt;=$O$2,$D684,$D684-($D684-$I$670)*MIN(H$3-$O$2,$Q$2)/$Q$2))</f>
        <v>3761.78967890226</v>
      </c>
      <c r="I684" s="15" t="n">
        <f aca="false">H684*(1+IF(I$3&lt;=$O$2,$D684,$D684-($D684-$I$670)*MIN(I$3-$O$2,$Q$2)/$Q$2))</f>
        <v>3935.59795447165</v>
      </c>
      <c r="J684" s="15" t="n">
        <f aca="false">I684*(1+IF(J$3&lt;=$O$2,$D684,$D684-($D684-$I$670)*MIN(J$3-$O$2,$Q$2)/$Q$2))</f>
        <v>4107.28011358354</v>
      </c>
      <c r="K684" s="15" t="n">
        <f aca="false">J684*(1+IF(K$3&lt;=$O$2,$D684,$D684-($D684-$I$670)*MIN(K$3-$O$2,$Q$2)/$Q$2))</f>
        <v>4275.85179389995</v>
      </c>
      <c r="L684" s="15" t="n">
        <f aca="false">K684*(1+IF(L$3&lt;=$O$2,$D684,$D684-($D684-$I$670)*MIN(L$3-$O$2,$Q$2)/$Q$2))</f>
        <v>4440.30723383538</v>
      </c>
      <c r="M684" s="15" t="n">
        <f aca="false">L684*(1+IF(M$3&lt;=$O$2,$D684,$D684-($D684-$I$670)*MIN(M$3-$O$2,$Q$2)/$Q$2))</f>
        <v>4599.62866620117</v>
      </c>
      <c r="N684" s="15" t="n">
        <f aca="false">M684*(1+IF(N$3&lt;=$O$2,$D684,$D684-($D684-$I$670)*MIN(N$3-$O$2,$Q$2)/$Q$2))</f>
        <v>4752.79630078567</v>
      </c>
      <c r="O684" s="15" t="n">
        <f aca="false">SUMPRODUCT(E684:N684,1/(1+$F$670)^$E$3:$N$3)*$E$2</f>
        <v>11283.7684378851</v>
      </c>
      <c r="P684" s="15" t="n">
        <f aca="false">N684*$E$2*(1+$I$670)/($F$670-$I$670)/(1+$F$670)^$N$3</f>
        <v>15798.8149352124</v>
      </c>
      <c r="Q684" s="15" t="n">
        <f aca="false">O684+P684</f>
        <v>27082.5833730975</v>
      </c>
      <c r="R684" s="15" t="n">
        <f aca="false">Q684-$G$2+$I$2</f>
        <v>23014.7833730975</v>
      </c>
      <c r="S684" s="42" t="n">
        <f aca="false">R684/$K$2</f>
        <v>176.81917158188</v>
      </c>
      <c r="T684" s="43" t="n">
        <f aca="false">S684-$M$2</f>
        <v>0.19040698446176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0.0460205078125</v>
      </c>
      <c r="C685" s="25" t="n">
        <f aca="false">IF(T684&gt;0,D684,C684)</f>
        <v>0.04620361328125</v>
      </c>
      <c r="D685" s="41" t="n">
        <f aca="false">(B685+C685)/2</f>
        <v>0.046112060546875</v>
      </c>
      <c r="E685" s="15" t="n">
        <f aca="false">$C$2*(1+IF(E$3&lt;=$O$2,$D685,$D685-($D685-$I$670)*MIN(E$3-$O$2,$Q$2)/$Q$2))</f>
        <v>3284.79187011719</v>
      </c>
      <c r="F685" s="15" t="n">
        <f aca="false">E685*(1+IF(F$3&lt;=$O$2,$D685,$D685-($D685-$I$670)*MIN(F$3-$O$2,$Q$2)/$Q$2))</f>
        <v>3436.26039171591</v>
      </c>
      <c r="G685" s="15" t="n">
        <f aca="false">F685*(1+IF(G$3&lt;=$O$2,$D685,$D685-($D685-$I$670)*MIN(G$3-$O$2,$Q$2)/$Q$2))</f>
        <v>3594.71343895355</v>
      </c>
      <c r="H685" s="15" t="n">
        <f aca="false">G685*(1+IF(H$3&lt;=$O$2,$D685,$D685-($D685-$I$670)*MIN(H$3-$O$2,$Q$2)/$Q$2))</f>
        <v>3760.47308269924</v>
      </c>
      <c r="I685" s="15" t="n">
        <f aca="false">H685*(1+IF(I$3&lt;=$O$2,$D685,$D685-($D685-$I$670)*MIN(I$3-$O$2,$Q$2)/$Q$2))</f>
        <v>3933.87624517356</v>
      </c>
      <c r="J685" s="15" t="n">
        <f aca="false">I685*(1+IF(J$3&lt;=$O$2,$D685,$D685-($D685-$I$670)*MIN(J$3-$O$2,$Q$2)/$Q$2))</f>
        <v>4105.1951726475</v>
      </c>
      <c r="K685" s="15" t="n">
        <f aca="false">J685*(1+IF(K$3&lt;=$O$2,$D685,$D685-($D685-$I$670)*MIN(K$3-$O$2,$Q$2)/$Q$2))</f>
        <v>4273.45577736188</v>
      </c>
      <c r="L685" s="15" t="n">
        <f aca="false">K685*(1+IF(L$3&lt;=$O$2,$D685,$D685-($D685-$I$670)*MIN(L$3-$O$2,$Q$2)/$Q$2))</f>
        <v>4437.66256441361</v>
      </c>
      <c r="M685" s="15" t="n">
        <f aca="false">L685*(1+IF(M$3&lt;=$O$2,$D685,$D685-($D685-$I$670)*MIN(M$3-$O$2,$Q$2)/$Q$2))</f>
        <v>4596.80784810096</v>
      </c>
      <c r="N685" s="15" t="n">
        <f aca="false">M685*(1+IF(N$3&lt;=$O$2,$D685,$D685-($D685-$I$670)*MIN(N$3-$O$2,$Q$2)/$Q$2))</f>
        <v>4749.88154944272</v>
      </c>
      <c r="O685" s="15" t="n">
        <f aca="false">SUMPRODUCT(E685:N685,1/(1+$F$670)^$E$3:$N$3)*$E$2</f>
        <v>11279.2911357081</v>
      </c>
      <c r="P685" s="15" t="n">
        <f aca="false">N685*$E$2*(1+$I$670)/($F$670-$I$670)/(1+$F$670)^$N$3</f>
        <v>15789.1259828284</v>
      </c>
      <c r="Q685" s="15" t="n">
        <f aca="false">O685+P685</f>
        <v>27068.4171185364</v>
      </c>
      <c r="R685" s="15" t="n">
        <f aca="false">Q685-$G$2+$I$2</f>
        <v>23000.6171185364</v>
      </c>
      <c r="S685" s="42" t="n">
        <f aca="false">R685/$K$2</f>
        <v>176.710334346469</v>
      </c>
      <c r="T685" s="43" t="n">
        <f aca="false">S685-$M$2</f>
        <v>0.081569749050658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0.0460205078125</v>
      </c>
      <c r="C686" s="25" t="n">
        <f aca="false">IF(T685&gt;0,D685,C685)</f>
        <v>0.046112060546875</v>
      </c>
      <c r="D686" s="41" t="n">
        <f aca="false">(B686+C686)/2</f>
        <v>0.0460662841796875</v>
      </c>
      <c r="E686" s="15" t="n">
        <f aca="false">$C$2*(1+IF(E$3&lt;=$O$2,$D686,$D686-($D686-$I$670)*MIN(E$3-$O$2,$Q$2)/$Q$2))</f>
        <v>3284.64813232422</v>
      </c>
      <c r="F686" s="15" t="n">
        <f aca="false">E686*(1+IF(F$3&lt;=$O$2,$D686,$D686-($D686-$I$670)*MIN(F$3-$O$2,$Q$2)/$Q$2))</f>
        <v>3435.95966661815</v>
      </c>
      <c r="G686" s="15" t="n">
        <f aca="false">F686*(1+IF(G$3&lt;=$O$2,$D686,$D686-($D686-$I$670)*MIN(G$3-$O$2,$Q$2)/$Q$2))</f>
        <v>3594.24156105052</v>
      </c>
      <c r="H686" s="15" t="n">
        <f aca="false">G686*(1+IF(H$3&lt;=$O$2,$D686,$D686-($D686-$I$670)*MIN(H$3-$O$2,$Q$2)/$Q$2))</f>
        <v>3759.81491421232</v>
      </c>
      <c r="I686" s="15" t="n">
        <f aca="false">H686*(1+IF(I$3&lt;=$O$2,$D686,$D686-($D686-$I$670)*MIN(I$3-$O$2,$Q$2)/$Q$2))</f>
        <v>3933.01561651345</v>
      </c>
      <c r="J686" s="15" t="n">
        <f aca="false">I686*(1+IF(J$3&lt;=$O$2,$D686,$D686-($D686-$I$670)*MIN(J$3-$O$2,$Q$2)/$Q$2))</f>
        <v>4104.1530325782</v>
      </c>
      <c r="K686" s="15" t="n">
        <f aca="false">J686*(1+IF(K$3&lt;=$O$2,$D686,$D686-($D686-$I$670)*MIN(K$3-$O$2,$Q$2)/$Q$2))</f>
        <v>4272.25819892154</v>
      </c>
      <c r="L686" s="15" t="n">
        <f aca="false">K686*(1+IF(L$3&lt;=$O$2,$D686,$D686-($D686-$I$670)*MIN(L$3-$O$2,$Q$2)/$Q$2))</f>
        <v>4436.3407418482</v>
      </c>
      <c r="M686" s="15" t="n">
        <f aca="false">L686*(1+IF(M$3&lt;=$O$2,$D686,$D686-($D686-$I$670)*MIN(M$3-$O$2,$Q$2)/$Q$2))</f>
        <v>4595.39800587742</v>
      </c>
      <c r="N686" s="15" t="n">
        <f aca="false">M686*(1+IF(N$3&lt;=$O$2,$D686,$D686-($D686-$I$670)*MIN(N$3-$O$2,$Q$2)/$Q$2))</f>
        <v>4748.42475947314</v>
      </c>
      <c r="O686" s="15" t="n">
        <f aca="false">SUMPRODUCT(E686:N686,1/(1+$F$670)^$E$3:$N$3)*$E$2</f>
        <v>11277.0531580417</v>
      </c>
      <c r="P686" s="15" t="n">
        <f aca="false">N686*$E$2*(1+$I$670)/($F$670-$I$670)/(1+$F$670)^$N$3</f>
        <v>15784.2834535735</v>
      </c>
      <c r="Q686" s="15" t="n">
        <f aca="false">O686+P686</f>
        <v>27061.3366116153</v>
      </c>
      <c r="R686" s="15" t="n">
        <f aca="false">Q686-$G$2+$I$2</f>
        <v>22993.5366116153</v>
      </c>
      <c r="S686" s="42" t="n">
        <f aca="false">R686/$K$2</f>
        <v>176.655935860597</v>
      </c>
      <c r="T686" s="43" t="n">
        <f aca="false">S686-$M$2</f>
        <v>0.0271712631779906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0.0460205078125</v>
      </c>
      <c r="C687" s="25" t="n">
        <f aca="false">IF(T686&gt;0,D686,C686)</f>
        <v>0.0460662841796875</v>
      </c>
      <c r="D687" s="41" t="n">
        <f aca="false">(B687+C687)/2</f>
        <v>0.0460433959960938</v>
      </c>
      <c r="E687" s="15" t="n">
        <f aca="false">$C$2*(1+IF(E$3&lt;=$O$2,$D687,$D687-($D687-$I$670)*MIN(E$3-$O$2,$Q$2)/$Q$2))</f>
        <v>3284.57626342773</v>
      </c>
      <c r="F687" s="15" t="n">
        <f aca="false">E687*(1+IF(F$3&lt;=$O$2,$D687,$D687-($D687-$I$670)*MIN(F$3-$O$2,$Q$2)/$Q$2))</f>
        <v>3435.80930900411</v>
      </c>
      <c r="G687" s="15" t="n">
        <f aca="false">F687*(1+IF(G$3&lt;=$O$2,$D687,$D687-($D687-$I$670)*MIN(G$3-$O$2,$Q$2)/$Q$2))</f>
        <v>3594.00563758565</v>
      </c>
      <c r="H687" s="15" t="n">
        <f aca="false">G687*(1+IF(H$3&lt;=$O$2,$D687,$D687-($D687-$I$670)*MIN(H$3-$O$2,$Q$2)/$Q$2))</f>
        <v>3759.4858623692</v>
      </c>
      <c r="I687" s="15" t="n">
        <f aca="false">H687*(1+IF(I$3&lt;=$O$2,$D687,$D687-($D687-$I$670)*MIN(I$3-$O$2,$Q$2)/$Q$2))</f>
        <v>3932.58535867198</v>
      </c>
      <c r="J687" s="15" t="n">
        <f aca="false">I687*(1+IF(J$3&lt;=$O$2,$D687,$D687-($D687-$I$670)*MIN(J$3-$O$2,$Q$2)/$Q$2))</f>
        <v>4103.63204512696</v>
      </c>
      <c r="K687" s="15" t="n">
        <f aca="false">J687*(1+IF(K$3&lt;=$O$2,$D687,$D687-($D687-$I$670)*MIN(K$3-$O$2,$Q$2)/$Q$2))</f>
        <v>4271.65951713367</v>
      </c>
      <c r="L687" s="15" t="n">
        <f aca="false">K687*(1+IF(L$3&lt;=$O$2,$D687,$D687-($D687-$I$670)*MIN(L$3-$O$2,$Q$2)/$Q$2))</f>
        <v>4435.67995856915</v>
      </c>
      <c r="M687" s="15" t="n">
        <f aca="false">L687*(1+IF(M$3&lt;=$O$2,$D687,$D687-($D687-$I$670)*MIN(M$3-$O$2,$Q$2)/$Q$2))</f>
        <v>4594.6932264343</v>
      </c>
      <c r="N687" s="15" t="n">
        <f aca="false">M687*(1+IF(N$3&lt;=$O$2,$D687,$D687-($D687-$I$670)*MIN(N$3-$O$2,$Q$2)/$Q$2))</f>
        <v>4747.69651087456</v>
      </c>
      <c r="O687" s="15" t="n">
        <f aca="false">SUMPRODUCT(E687:N687,1/(1+$F$670)^$E$3:$N$3)*$E$2</f>
        <v>11275.9343375272</v>
      </c>
      <c r="P687" s="15" t="n">
        <f aca="false">N687*$E$2*(1+$I$670)/($F$670-$I$670)/(1+$F$670)^$N$3</f>
        <v>15781.8626755499</v>
      </c>
      <c r="Q687" s="15" t="n">
        <f aca="false">O687+P687</f>
        <v>27057.7970130771</v>
      </c>
      <c r="R687" s="15" t="n">
        <f aca="false">Q687-$G$2+$I$2</f>
        <v>22989.9970130771</v>
      </c>
      <c r="S687" s="42" t="n">
        <f aca="false">R687/$K$2</f>
        <v>176.628741649332</v>
      </c>
      <c r="T687" s="43" t="n">
        <f aca="false">S687-$M$2</f>
        <v>-2.29480864959442E-005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0.0460433959960938</v>
      </c>
      <c r="C688" s="25" t="n">
        <f aca="false">IF(T687&gt;0,D687,C687)</f>
        <v>0.0460662841796875</v>
      </c>
      <c r="D688" s="41" t="n">
        <f aca="false">(B688+C688)/2</f>
        <v>0.0460548400878906</v>
      </c>
      <c r="E688" s="15" t="n">
        <f aca="false">$C$2*(1+IF(E$3&lt;=$O$2,$D688,$D688-($D688-$I$670)*MIN(E$3-$O$2,$Q$2)/$Q$2))</f>
        <v>3284.61219787598</v>
      </c>
      <c r="F688" s="15" t="n">
        <f aca="false">E688*(1+IF(F$3&lt;=$O$2,$D688,$D688-($D688-$I$670)*MIN(F$3-$O$2,$Q$2)/$Q$2))</f>
        <v>3435.88448739989</v>
      </c>
      <c r="G688" s="15" t="n">
        <f aca="false">F688*(1+IF(G$3&lt;=$O$2,$D688,$D688-($D688-$I$670)*MIN(G$3-$O$2,$Q$2)/$Q$2))</f>
        <v>3594.12359802756</v>
      </c>
      <c r="H688" s="15" t="n">
        <f aca="false">G688*(1+IF(H$3&lt;=$O$2,$D688,$D688-($D688-$I$670)*MIN(H$3-$O$2,$Q$2)/$Q$2))</f>
        <v>3759.65038559083</v>
      </c>
      <c r="I688" s="15" t="n">
        <f aca="false">H688*(1+IF(I$3&lt;=$O$2,$D688,$D688-($D688-$I$670)*MIN(I$3-$O$2,$Q$2)/$Q$2))</f>
        <v>3932.80048288559</v>
      </c>
      <c r="J688" s="15" t="n">
        <f aca="false">I688*(1+IF(J$3&lt;=$O$2,$D688,$D688-($D688-$I$670)*MIN(J$3-$O$2,$Q$2)/$Q$2))</f>
        <v>4103.89253197111</v>
      </c>
      <c r="K688" s="15" t="n">
        <f aca="false">J688*(1+IF(K$3&lt;=$O$2,$D688,$D688-($D688-$I$670)*MIN(K$3-$O$2,$Q$2)/$Q$2))</f>
        <v>4271.95884907566</v>
      </c>
      <c r="L688" s="15" t="n">
        <f aca="false">K688*(1+IF(L$3&lt;=$O$2,$D688,$D688-($D688-$I$670)*MIN(L$3-$O$2,$Q$2)/$Q$2))</f>
        <v>4436.01033954268</v>
      </c>
      <c r="M688" s="15" t="n">
        <f aca="false">L688*(1+IF(M$3&lt;=$O$2,$D688,$D688-($D688-$I$670)*MIN(M$3-$O$2,$Q$2)/$Q$2))</f>
        <v>4595.04560435127</v>
      </c>
      <c r="N688" s="15" t="n">
        <f aca="false">M688*(1+IF(N$3&lt;=$O$2,$D688,$D688-($D688-$I$670)*MIN(N$3-$O$2,$Q$2)/$Q$2))</f>
        <v>4748.06062297617</v>
      </c>
      <c r="O688" s="15" t="n">
        <f aca="false">SUMPRODUCT(E688:N688,1/(1+$F$670)^$E$3:$N$3)*$E$2</f>
        <v>11276.493733759</v>
      </c>
      <c r="P688" s="15" t="n">
        <f aca="false">N688*$E$2*(1+$I$670)/($F$670-$I$670)/(1+$F$670)^$N$3</f>
        <v>15783.0730240153</v>
      </c>
      <c r="Q688" s="15" t="n">
        <f aca="false">O688+P688</f>
        <v>27059.5667577743</v>
      </c>
      <c r="R688" s="15" t="n">
        <f aca="false">Q688-$G$2+$I$2</f>
        <v>22991.7667577743</v>
      </c>
      <c r="S688" s="42" t="n">
        <f aca="false">R688/$K$2</f>
        <v>176.642338335697</v>
      </c>
      <c r="T688" s="43" t="n">
        <f aca="false">S688-$M$2</f>
        <v>0.0135737382780121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0.0460433959960938</v>
      </c>
      <c r="C689" s="25" t="n">
        <f aca="false">IF(T688&gt;0,D688,C688)</f>
        <v>0.0460548400878906</v>
      </c>
      <c r="D689" s="41" t="n">
        <f aca="false">(B689+C689)/2</f>
        <v>0.0460491180419922</v>
      </c>
      <c r="E689" s="15" t="n">
        <f aca="false">$C$2*(1+IF(E$3&lt;=$O$2,$D689,$D689-($D689-$I$670)*MIN(E$3-$O$2,$Q$2)/$Q$2))</f>
        <v>3284.59423065186</v>
      </c>
      <c r="F689" s="15" t="n">
        <f aca="false">E689*(1+IF(F$3&lt;=$O$2,$D689,$D689-($D689-$I$670)*MIN(F$3-$O$2,$Q$2)/$Q$2))</f>
        <v>3435.84689809919</v>
      </c>
      <c r="G689" s="15" t="n">
        <f aca="false">F689*(1+IF(G$3&lt;=$O$2,$D689,$D689-($D689-$I$670)*MIN(G$3-$O$2,$Q$2)/$Q$2))</f>
        <v>3594.06461748397</v>
      </c>
      <c r="H689" s="15" t="n">
        <f aca="false">G689*(1+IF(H$3&lt;=$O$2,$D689,$D689-($D689-$I$670)*MIN(H$3-$O$2,$Q$2)/$Q$2))</f>
        <v>3759.56812330504</v>
      </c>
      <c r="I689" s="15" t="n">
        <f aca="false">H689*(1+IF(I$3&lt;=$O$2,$D689,$D689-($D689-$I$670)*MIN(I$3-$O$2,$Q$2)/$Q$2))</f>
        <v>3932.69291960202</v>
      </c>
      <c r="J689" s="15" t="n">
        <f aca="false">I689*(1+IF(J$3&lt;=$O$2,$D689,$D689-($D689-$I$670)*MIN(J$3-$O$2,$Q$2)/$Q$2))</f>
        <v>4103.7622868287</v>
      </c>
      <c r="K689" s="15" t="n">
        <f aca="false">J689*(1+IF(K$3&lt;=$O$2,$D689,$D689-($D689-$I$670)*MIN(K$3-$O$2,$Q$2)/$Q$2))</f>
        <v>4271.80918086673</v>
      </c>
      <c r="L689" s="15" t="n">
        <f aca="false">K689*(1+IF(L$3&lt;=$O$2,$D689,$D689-($D689-$I$670)*MIN(L$3-$O$2,$Q$2)/$Q$2))</f>
        <v>4435.84514638949</v>
      </c>
      <c r="M689" s="15" t="n">
        <f aca="false">L689*(1+IF(M$3&lt;=$O$2,$D689,$D689-($D689-$I$670)*MIN(M$3-$O$2,$Q$2)/$Q$2))</f>
        <v>4594.86941244172</v>
      </c>
      <c r="N689" s="15" t="n">
        <f aca="false">M689*(1+IF(N$3&lt;=$O$2,$D689,$D689-($D689-$I$670)*MIN(N$3-$O$2,$Q$2)/$Q$2))</f>
        <v>4747.87856387603</v>
      </c>
      <c r="O689" s="15" t="n">
        <f aca="false">SUMPRODUCT(E689:N689,1/(1+$F$670)^$E$3:$N$3)*$E$2</f>
        <v>11276.2140321368</v>
      </c>
      <c r="P689" s="15" t="n">
        <f aca="false">N689*$E$2*(1+$I$670)/($F$670-$I$670)/(1+$F$670)^$N$3</f>
        <v>15782.4678396463</v>
      </c>
      <c r="Q689" s="15" t="n">
        <f aca="false">O689+P689</f>
        <v>27058.6818717831</v>
      </c>
      <c r="R689" s="15" t="n">
        <f aca="false">Q689-$G$2+$I$2</f>
        <v>22990.8818717831</v>
      </c>
      <c r="S689" s="42" t="n">
        <f aca="false">R689/$K$2</f>
        <v>176.6355398877</v>
      </c>
      <c r="T689" s="43" t="n">
        <f aca="false">S689-$M$2</f>
        <v>0.00677529028166646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0.0460433959960938</v>
      </c>
      <c r="C690" s="25" t="n">
        <f aca="false">IF(T689&gt;0,D689,C689)</f>
        <v>0.0460491180419922</v>
      </c>
      <c r="D690" s="41" t="n">
        <f aca="false">(B690+C690)/2</f>
        <v>0.046046257019043</v>
      </c>
      <c r="E690" s="15" t="n">
        <f aca="false">$C$2*(1+IF(E$3&lt;=$O$2,$D690,$D690-($D690-$I$670)*MIN(E$3-$O$2,$Q$2)/$Q$2))</f>
        <v>3284.5852470398</v>
      </c>
      <c r="F690" s="15" t="n">
        <f aca="false">E690*(1+IF(F$3&lt;=$O$2,$D690,$D690-($D690-$I$670)*MIN(F$3-$O$2,$Q$2)/$Q$2))</f>
        <v>3435.82810352595</v>
      </c>
      <c r="G690" s="15" t="n">
        <f aca="false">F690*(1+IF(G$3&lt;=$O$2,$D690,$D690-($D690-$I$670)*MIN(G$3-$O$2,$Q$2)/$Q$2))</f>
        <v>3594.03512745415</v>
      </c>
      <c r="H690" s="15" t="n">
        <f aca="false">G690*(1+IF(H$3&lt;=$O$2,$D690,$D690-($D690-$I$670)*MIN(H$3-$O$2,$Q$2)/$Q$2))</f>
        <v>3759.52699266838</v>
      </c>
      <c r="I690" s="15" t="n">
        <f aca="false">H690*(1+IF(I$3&lt;=$O$2,$D690,$D690-($D690-$I$670)*MIN(I$3-$O$2,$Q$2)/$Q$2))</f>
        <v>3932.63913884281</v>
      </c>
      <c r="J690" s="15" t="n">
        <f aca="false">I690*(1+IF(J$3&lt;=$O$2,$D690,$D690-($D690-$I$670)*MIN(J$3-$O$2,$Q$2)/$Q$2))</f>
        <v>4103.69716554775</v>
      </c>
      <c r="K690" s="15" t="n">
        <f aca="false">J690*(1+IF(K$3&lt;=$O$2,$D690,$D690-($D690-$I$670)*MIN(K$3-$O$2,$Q$2)/$Q$2))</f>
        <v>4271.73434844072</v>
      </c>
      <c r="L690" s="15" t="n">
        <f aca="false">K690*(1+IF(L$3&lt;=$O$2,$D690,$D690-($D690-$I$670)*MIN(L$3-$O$2,$Q$2)/$Q$2))</f>
        <v>4435.76255181272</v>
      </c>
      <c r="M690" s="15" t="n">
        <f aca="false">L690*(1+IF(M$3&lt;=$O$2,$D690,$D690-($D690-$I$670)*MIN(M$3-$O$2,$Q$2)/$Q$2))</f>
        <v>4594.78131870025</v>
      </c>
      <c r="N690" s="15" t="n">
        <f aca="false">M690*(1+IF(N$3&lt;=$O$2,$D690,$D690-($D690-$I$670)*MIN(N$3-$O$2,$Q$2)/$Q$2))</f>
        <v>4747.78753661297</v>
      </c>
      <c r="O690" s="15" t="n">
        <f aca="false">SUMPRODUCT(E690:N690,1/(1+$F$670)^$E$3:$N$3)*$E$2</f>
        <v>11276.0741839554</v>
      </c>
      <c r="P690" s="15" t="n">
        <f aca="false">N690*$E$2*(1+$I$670)/($F$670-$I$670)/(1+$F$670)^$N$3</f>
        <v>15782.165255064</v>
      </c>
      <c r="Q690" s="15" t="n">
        <f aca="false">O690+P690</f>
        <v>27058.2394390195</v>
      </c>
      <c r="R690" s="15" t="n">
        <f aca="false">Q690-$G$2+$I$2</f>
        <v>22990.4394390195</v>
      </c>
      <c r="S690" s="42" t="n">
        <f aca="false">R690/$K$2</f>
        <v>176.632140742313</v>
      </c>
      <c r="T690" s="43" t="n">
        <f aca="false">S690-$M$2</f>
        <v>0.00337614489444604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0.0460433959960938</v>
      </c>
      <c r="C691" s="25" t="n">
        <f aca="false">IF(T690&gt;0,D690,C690)</f>
        <v>0.046046257019043</v>
      </c>
      <c r="D691" s="41" t="n">
        <f aca="false">(B691+C691)/2</f>
        <v>0.0460448265075684</v>
      </c>
      <c r="E691" s="15" t="n">
        <f aca="false">$C$2*(1+IF(E$3&lt;=$O$2,$D691,$D691-($D691-$I$670)*MIN(E$3-$O$2,$Q$2)/$Q$2))</f>
        <v>3284.58075523376</v>
      </c>
      <c r="F691" s="15" t="n">
        <f aca="false">E691*(1+IF(F$3&lt;=$O$2,$D691,$D691-($D691-$I$670)*MIN(F$3-$O$2,$Q$2)/$Q$2))</f>
        <v>3435.8187062586</v>
      </c>
      <c r="G691" s="15" t="n">
        <f aca="false">F691*(1+IF(G$3&lt;=$O$2,$D691,$D691-($D691-$I$670)*MIN(G$3-$O$2,$Q$2)/$Q$2))</f>
        <v>3594.02038249974</v>
      </c>
      <c r="H691" s="15" t="n">
        <f aca="false">G691*(1+IF(H$3&lt;=$O$2,$D691,$D691-($D691-$I$670)*MIN(H$3-$O$2,$Q$2)/$Q$2))</f>
        <v>3759.5064274766</v>
      </c>
      <c r="I691" s="15" t="n">
        <f aca="false">H691*(1+IF(I$3&lt;=$O$2,$D691,$D691-($D691-$I$670)*MIN(I$3-$O$2,$Q$2)/$Q$2))</f>
        <v>3932.61224868385</v>
      </c>
      <c r="J691" s="15" t="n">
        <f aca="false">I691*(1+IF(J$3&lt;=$O$2,$D691,$D691-($D691-$I$670)*MIN(J$3-$O$2,$Q$2)/$Q$2))</f>
        <v>4103.66460522983</v>
      </c>
      <c r="K691" s="15" t="n">
        <f aca="false">J691*(1+IF(K$3&lt;=$O$2,$D691,$D691-($D691-$I$670)*MIN(K$3-$O$2,$Q$2)/$Q$2))</f>
        <v>4271.69693264733</v>
      </c>
      <c r="L691" s="15" t="n">
        <f aca="false">K691*(1+IF(L$3&lt;=$O$2,$D691,$D691-($D691-$I$670)*MIN(L$3-$O$2,$Q$2)/$Q$2))</f>
        <v>4435.72125502429</v>
      </c>
      <c r="M691" s="15" t="n">
        <f aca="false">L691*(1+IF(M$3&lt;=$O$2,$D691,$D691-($D691-$I$670)*MIN(M$3-$O$2,$Q$2)/$Q$2))</f>
        <v>4594.73727238284</v>
      </c>
      <c r="N691" s="15" t="n">
        <f aca="false">M691*(1+IF(N$3&lt;=$O$2,$D691,$D691-($D691-$I$670)*MIN(N$3-$O$2,$Q$2)/$Q$2))</f>
        <v>4747.74202355319</v>
      </c>
      <c r="O691" s="15" t="n">
        <f aca="false">SUMPRODUCT(E691:N691,1/(1+$F$670)^$E$3:$N$3)*$E$2</f>
        <v>11276.0042605222</v>
      </c>
      <c r="P691" s="15" t="n">
        <f aca="false">N691*$E$2*(1+$I$670)/($F$670-$I$670)/(1+$F$670)^$N$3</f>
        <v>15782.0139646734</v>
      </c>
      <c r="Q691" s="15" t="n">
        <f aca="false">O691+P691</f>
        <v>27058.0182251956</v>
      </c>
      <c r="R691" s="15" t="n">
        <f aca="false">Q691-$G$2+$I$2</f>
        <v>22990.2182251956</v>
      </c>
      <c r="S691" s="42" t="n">
        <f aca="false">R691/$K$2</f>
        <v>176.630441189272</v>
      </c>
      <c r="T691" s="43" t="n">
        <f aca="false">S691-$M$2</f>
        <v>0.00167659185316893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0.0460433959960938</v>
      </c>
      <c r="C692" s="25" t="n">
        <f aca="false">IF(T691&gt;0,D691,C691)</f>
        <v>0.0460448265075684</v>
      </c>
      <c r="D692" s="41" t="n">
        <f aca="false">(B692+C692)/2</f>
        <v>0.0460441112518311</v>
      </c>
      <c r="E692" s="15" t="n">
        <f aca="false">$C$2*(1+IF(E$3&lt;=$O$2,$D692,$D692-($D692-$I$670)*MIN(E$3-$O$2,$Q$2)/$Q$2))</f>
        <v>3284.57850933075</v>
      </c>
      <c r="F692" s="15" t="n">
        <f aca="false">E692*(1+IF(F$3&lt;=$O$2,$D692,$D692-($D692-$I$670)*MIN(F$3-$O$2,$Q$2)/$Q$2))</f>
        <v>3435.81400762975</v>
      </c>
      <c r="G692" s="15" t="n">
        <f aca="false">F692*(1+IF(G$3&lt;=$O$2,$D692,$D692-($D692-$I$670)*MIN(G$3-$O$2,$Q$2)/$Q$2))</f>
        <v>3594.01301003765</v>
      </c>
      <c r="H692" s="15" t="n">
        <f aca="false">G692*(1+IF(H$3&lt;=$O$2,$D692,$D692-($D692-$I$670)*MIN(H$3-$O$2,$Q$2)/$Q$2))</f>
        <v>3759.49614491235</v>
      </c>
      <c r="I692" s="15" t="n">
        <f aca="false">H692*(1+IF(I$3&lt;=$O$2,$D692,$D692-($D692-$I$670)*MIN(I$3-$O$2,$Q$2)/$Q$2))</f>
        <v>3932.59880365953</v>
      </c>
      <c r="J692" s="15" t="n">
        <f aca="false">I692*(1+IF(J$3&lt;=$O$2,$D692,$D692-($D692-$I$670)*MIN(J$3-$O$2,$Q$2)/$Q$2))</f>
        <v>4103.64832515151</v>
      </c>
      <c r="K692" s="15" t="n">
        <f aca="false">J692*(1+IF(K$3&lt;=$O$2,$D692,$D692-($D692-$I$670)*MIN(K$3-$O$2,$Q$2)/$Q$2))</f>
        <v>4271.67822485553</v>
      </c>
      <c r="L692" s="15" t="n">
        <f aca="false">K692*(1+IF(L$3&lt;=$O$2,$D692,$D692-($D692-$I$670)*MIN(L$3-$O$2,$Q$2)/$Q$2))</f>
        <v>4435.70060675505</v>
      </c>
      <c r="M692" s="15" t="n">
        <f aca="false">L692*(1+IF(M$3&lt;=$O$2,$D692,$D692-($D692-$I$670)*MIN(M$3-$O$2,$Q$2)/$Q$2))</f>
        <v>4594.71524936246</v>
      </c>
      <c r="N692" s="15" t="n">
        <f aca="false">M692*(1+IF(N$3&lt;=$O$2,$D692,$D692-($D692-$I$670)*MIN(N$3-$O$2,$Q$2)/$Q$2))</f>
        <v>4747.71926716623</v>
      </c>
      <c r="O692" s="15" t="n">
        <f aca="false">SUMPRODUCT(E692:N692,1/(1+$F$670)^$E$3:$N$3)*$E$2</f>
        <v>11275.9692989699</v>
      </c>
      <c r="P692" s="15" t="n">
        <f aca="false">N692*$E$2*(1+$I$670)/($F$670-$I$670)/(1+$F$670)^$N$3</f>
        <v>15781.9383199533</v>
      </c>
      <c r="Q692" s="15" t="n">
        <f aca="false">O692+P692</f>
        <v>27057.9076189232</v>
      </c>
      <c r="R692" s="15" t="n">
        <f aca="false">Q692-$G$2+$I$2</f>
        <v>22990.1076189232</v>
      </c>
      <c r="S692" s="42" t="n">
        <f aca="false">R692/$K$2</f>
        <v>176.629591417664</v>
      </c>
      <c r="T692" s="43" t="n">
        <f aca="false">S692-$M$2</f>
        <v>0.000826820245634963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0.0460433959960938</v>
      </c>
      <c r="C693" s="25" t="n">
        <f aca="false">IF(T692&gt;0,D692,C692)</f>
        <v>0.0460441112518311</v>
      </c>
      <c r="D693" s="41" t="n">
        <f aca="false">(B693+C693)/2</f>
        <v>0.0460437536239624</v>
      </c>
      <c r="E693" s="15" t="n">
        <f aca="false">$C$2*(1+IF(E$3&lt;=$O$2,$D693,$D693-($D693-$I$670)*MIN(E$3-$O$2,$Q$2)/$Q$2))</f>
        <v>3284.57738637924</v>
      </c>
      <c r="F693" s="15" t="n">
        <f aca="false">E693*(1+IF(F$3&lt;=$O$2,$D693,$D693-($D693-$I$670)*MIN(F$3-$O$2,$Q$2)/$Q$2))</f>
        <v>3435.81165831653</v>
      </c>
      <c r="G693" s="15" t="n">
        <f aca="false">F693*(1+IF(G$3&lt;=$O$2,$D693,$D693-($D693-$I$670)*MIN(G$3-$O$2,$Q$2)/$Q$2))</f>
        <v>3594.00932381039</v>
      </c>
      <c r="H693" s="15" t="n">
        <f aca="false">G693*(1+IF(H$3&lt;=$O$2,$D693,$D693-($D693-$I$670)*MIN(H$3-$O$2,$Q$2)/$Q$2))</f>
        <v>3759.49100363814</v>
      </c>
      <c r="I693" s="15" t="n">
        <f aca="false">H693*(1+IF(I$3&lt;=$O$2,$D693,$D693-($D693-$I$670)*MIN(I$3-$O$2,$Q$2)/$Q$2))</f>
        <v>3932.59208116116</v>
      </c>
      <c r="J693" s="15" t="n">
        <f aca="false">I693*(1+IF(J$3&lt;=$O$2,$D693,$D693-($D693-$I$670)*MIN(J$3-$O$2,$Q$2)/$Q$2))</f>
        <v>4103.64018513251</v>
      </c>
      <c r="K693" s="15" t="n">
        <f aca="false">J693*(1+IF(K$3&lt;=$O$2,$D693,$D693-($D693-$I$670)*MIN(K$3-$O$2,$Q$2)/$Q$2))</f>
        <v>4271.66887098586</v>
      </c>
      <c r="L693" s="15" t="n">
        <f aca="false">K693*(1+IF(L$3&lt;=$O$2,$D693,$D693-($D693-$I$670)*MIN(L$3-$O$2,$Q$2)/$Q$2))</f>
        <v>4435.69028265169</v>
      </c>
      <c r="M693" s="15" t="n">
        <f aca="false">L693*(1+IF(M$3&lt;=$O$2,$D693,$D693-($D693-$I$670)*MIN(M$3-$O$2,$Q$2)/$Q$2))</f>
        <v>4594.70423788685</v>
      </c>
      <c r="N693" s="15" t="n">
        <f aca="false">M693*(1+IF(N$3&lt;=$O$2,$D693,$D693-($D693-$I$670)*MIN(N$3-$O$2,$Q$2)/$Q$2))</f>
        <v>4747.70788900848</v>
      </c>
      <c r="O693" s="15" t="n">
        <f aca="false">SUMPRODUCT(E693:N693,1/(1+$F$670)^$E$3:$N$3)*$E$2</f>
        <v>11275.9518182348</v>
      </c>
      <c r="P693" s="15" t="n">
        <f aca="false">N693*$E$2*(1+$I$670)/($F$670-$I$670)/(1+$F$670)^$N$3</f>
        <v>15781.900497712</v>
      </c>
      <c r="Q693" s="15" t="n">
        <f aca="false">O693+P693</f>
        <v>27057.8523159468</v>
      </c>
      <c r="R693" s="15" t="n">
        <f aca="false">Q693-$G$2+$I$2</f>
        <v>22990.0523159468</v>
      </c>
      <c r="S693" s="42" t="n">
        <f aca="false">R693/$K$2</f>
        <v>176.629166533089</v>
      </c>
      <c r="T693" s="43" t="n">
        <f aca="false">S693-$M$2</f>
        <v>0.000401935670083731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0.0460433959960938</v>
      </c>
      <c r="C694" s="25" t="n">
        <f aca="false">IF(T693&gt;0,D693,C693)</f>
        <v>0.0460437536239624</v>
      </c>
      <c r="D694" s="41" t="n">
        <f aca="false">(B694+C694)/2</f>
        <v>0.0460435748100281</v>
      </c>
      <c r="E694" s="15" t="n">
        <f aca="false">$C$2*(1+IF(E$3&lt;=$O$2,$D694,$D694-($D694-$I$670)*MIN(E$3-$O$2,$Q$2)/$Q$2))</f>
        <v>3284.57682490349</v>
      </c>
      <c r="F694" s="15" t="n">
        <f aca="false">E694*(1+IF(F$3&lt;=$O$2,$D694,$D694-($D694-$I$670)*MIN(F$3-$O$2,$Q$2)/$Q$2))</f>
        <v>3435.81048366022</v>
      </c>
      <c r="G694" s="15" t="n">
        <f aca="false">F694*(1+IF(G$3&lt;=$O$2,$D694,$D694-($D694-$I$670)*MIN(G$3-$O$2,$Q$2)/$Q$2))</f>
        <v>3594.0074806977</v>
      </c>
      <c r="H694" s="15" t="n">
        <f aca="false">G694*(1+IF(H$3&lt;=$O$2,$D694,$D694-($D694-$I$670)*MIN(H$3-$O$2,$Q$2)/$Q$2))</f>
        <v>3759.48843300301</v>
      </c>
      <c r="I694" s="15" t="n">
        <f aca="false">H694*(1+IF(I$3&lt;=$O$2,$D694,$D694-($D694-$I$670)*MIN(I$3-$O$2,$Q$2)/$Q$2))</f>
        <v>3932.58871991542</v>
      </c>
      <c r="J694" s="15" t="n">
        <f aca="false">I694*(1+IF(J$3&lt;=$O$2,$D694,$D694-($D694-$I$670)*MIN(J$3-$O$2,$Q$2)/$Q$2))</f>
        <v>4103.63611512805</v>
      </c>
      <c r="K694" s="15" t="n">
        <f aca="false">J694*(1+IF(K$3&lt;=$O$2,$D694,$D694-($D694-$I$670)*MIN(K$3-$O$2,$Q$2)/$Q$2))</f>
        <v>4271.66419405758</v>
      </c>
      <c r="L694" s="15" t="n">
        <f aca="false">K694*(1+IF(L$3&lt;=$O$2,$D694,$D694-($D694-$I$670)*MIN(L$3-$O$2,$Q$2)/$Q$2))</f>
        <v>4435.68512060781</v>
      </c>
      <c r="M694" s="15" t="n">
        <f aca="false">L694*(1+IF(M$3&lt;=$O$2,$D694,$D694-($D694-$I$670)*MIN(M$3-$O$2,$Q$2)/$Q$2))</f>
        <v>4594.69873215769</v>
      </c>
      <c r="N694" s="15" t="n">
        <f aca="false">M694*(1+IF(N$3&lt;=$O$2,$D694,$D694-($D694-$I$670)*MIN(N$3-$O$2,$Q$2)/$Q$2))</f>
        <v>4747.70219993854</v>
      </c>
      <c r="O694" s="15" t="n">
        <f aca="false">SUMPRODUCT(E694:N694,1/(1+$F$670)^$E$3:$N$3)*$E$2</f>
        <v>11275.9430778776</v>
      </c>
      <c r="P694" s="15" t="n">
        <f aca="false">N694*$E$2*(1+$I$670)/($F$670-$I$670)/(1+$F$670)^$N$3</f>
        <v>15781.881586621</v>
      </c>
      <c r="Q694" s="15" t="n">
        <f aca="false">O694+P694</f>
        <v>27057.8246644986</v>
      </c>
      <c r="R694" s="15" t="n">
        <f aca="false">Q694-$G$2+$I$2</f>
        <v>22990.0246644986</v>
      </c>
      <c r="S694" s="42" t="n">
        <f aca="false">R694/$K$2</f>
        <v>176.628954091108</v>
      </c>
      <c r="T694" s="43" t="n">
        <f aca="false">S694-$M$2</f>
        <v>0.000189493689447318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0.0460433959960938</v>
      </c>
      <c r="C695" s="25" t="n">
        <f aca="false">IF(T694&gt;0,D694,C694)</f>
        <v>0.0460435748100281</v>
      </c>
      <c r="D695" s="41" t="n">
        <f aca="false">(B695+C695)/2</f>
        <v>0.0460434854030609</v>
      </c>
      <c r="E695" s="15" t="n">
        <f aca="false">$C$2*(1+IF(E$3&lt;=$O$2,$D695,$D695-($D695-$I$670)*MIN(E$3-$O$2,$Q$2)/$Q$2))</f>
        <v>3284.57654416561</v>
      </c>
      <c r="F695" s="15" t="n">
        <f aca="false">E695*(1+IF(F$3&lt;=$O$2,$D695,$D695-($D695-$I$670)*MIN(F$3-$O$2,$Q$2)/$Q$2))</f>
        <v>3435.80989633214</v>
      </c>
      <c r="G695" s="15" t="n">
        <f aca="false">F695*(1+IF(G$3&lt;=$O$2,$D695,$D695-($D695-$I$670)*MIN(G$3-$O$2,$Q$2)/$Q$2))</f>
        <v>3594.0065591416</v>
      </c>
      <c r="H695" s="15" t="n">
        <f aca="false">G695*(1+IF(H$3&lt;=$O$2,$D695,$D695-($D695-$I$670)*MIN(H$3-$O$2,$Q$2)/$Q$2))</f>
        <v>3759.48714768594</v>
      </c>
      <c r="I695" s="15" t="n">
        <f aca="false">H695*(1+IF(I$3&lt;=$O$2,$D695,$D695-($D695-$I$670)*MIN(I$3-$O$2,$Q$2)/$Q$2))</f>
        <v>3932.58703929341</v>
      </c>
      <c r="J695" s="15" t="n">
        <f aca="false">I695*(1+IF(J$3&lt;=$O$2,$D695,$D695-($D695-$I$670)*MIN(J$3-$O$2,$Q$2)/$Q$2))</f>
        <v>4103.63408012708</v>
      </c>
      <c r="K695" s="15" t="n">
        <f aca="false">J695*(1+IF(K$3&lt;=$O$2,$D695,$D695-($D695-$I$670)*MIN(K$3-$O$2,$Q$2)/$Q$2))</f>
        <v>4271.66185559508</v>
      </c>
      <c r="L695" s="15" t="n">
        <f aca="false">K695*(1+IF(L$3&lt;=$O$2,$D695,$D695-($D695-$I$670)*MIN(L$3-$O$2,$Q$2)/$Q$2))</f>
        <v>4435.68253958783</v>
      </c>
      <c r="M695" s="15" t="n">
        <f aca="false">L695*(1+IF(M$3&lt;=$O$2,$D695,$D695-($D695-$I$670)*MIN(M$3-$O$2,$Q$2)/$Q$2))</f>
        <v>4594.69597929527</v>
      </c>
      <c r="N695" s="15" t="n">
        <f aca="false">M695*(1+IF(N$3&lt;=$O$2,$D695,$D695-($D695-$I$670)*MIN(N$3-$O$2,$Q$2)/$Q$2))</f>
        <v>4747.69935540581</v>
      </c>
      <c r="O695" s="15" t="n">
        <f aca="false">SUMPRODUCT(E695:N695,1/(1+$F$670)^$E$3:$N$3)*$E$2</f>
        <v>11275.9387077015</v>
      </c>
      <c r="P695" s="15" t="n">
        <f aca="false">N695*$E$2*(1+$I$670)/($F$670-$I$670)/(1+$F$670)^$N$3</f>
        <v>15781.872131083</v>
      </c>
      <c r="Q695" s="15" t="n">
        <f aca="false">O695+P695</f>
        <v>27057.8108387845</v>
      </c>
      <c r="R695" s="15" t="n">
        <f aca="false">Q695-$G$2+$I$2</f>
        <v>22990.0108387845</v>
      </c>
      <c r="S695" s="42" t="n">
        <f aca="false">R695/$K$2</f>
        <v>176.628847870194</v>
      </c>
      <c r="T695" s="43" t="n">
        <f aca="false">S695-$M$2</f>
        <v>8.32727758677265E-005</v>
      </c>
    </row>
    <row r="697" customFormat="false" ht="15" hidden="false" customHeight="false" outlineLevel="0" collapsed="false">
      <c r="A697" s="38" t="s">
        <v>199</v>
      </c>
      <c r="E697" s="5" t="s">
        <v>11</v>
      </c>
      <c r="F697" s="12" t="n">
        <f aca="false">Sensitivity!$B$14</f>
        <v>0.0919413943493295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155</v>
      </c>
      <c r="B698" s="28" t="s">
        <v>156</v>
      </c>
      <c r="C698" s="28" t="s">
        <v>157</v>
      </c>
      <c r="D698" s="28" t="s">
        <v>158</v>
      </c>
      <c r="E698" s="28" t="s">
        <v>159</v>
      </c>
      <c r="F698" s="28" t="s">
        <v>160</v>
      </c>
      <c r="G698" s="28" t="s">
        <v>161</v>
      </c>
      <c r="H698" s="28" t="s">
        <v>162</v>
      </c>
      <c r="I698" s="28" t="s">
        <v>163</v>
      </c>
      <c r="J698" s="28" t="s">
        <v>164</v>
      </c>
      <c r="K698" s="28" t="s">
        <v>165</v>
      </c>
      <c r="L698" s="28" t="s">
        <v>166</v>
      </c>
      <c r="M698" s="28" t="s">
        <v>167</v>
      </c>
      <c r="N698" s="28" t="s">
        <v>168</v>
      </c>
      <c r="O698" s="28" t="s">
        <v>169</v>
      </c>
      <c r="P698" s="28" t="s">
        <v>170</v>
      </c>
      <c r="Q698" s="28" t="s">
        <v>171</v>
      </c>
      <c r="R698" s="28" t="s">
        <v>172</v>
      </c>
      <c r="S698" s="28" t="s">
        <v>173</v>
      </c>
      <c r="T698" s="28" t="s">
        <v>174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3925</v>
      </c>
      <c r="F699" s="15" t="n">
        <f aca="false">E699*(1+IF(F$3&lt;=$O$2,$D699,$D699-($D699-$I$697)*MIN(F$3-$O$2,$Q$2)/$Q$2))</f>
        <v>4906.25</v>
      </c>
      <c r="G699" s="15" t="n">
        <f aca="false">F699*(1+IF(G$3&lt;=$O$2,$D699,$D699-($D699-$I$697)*MIN(G$3-$O$2,$Q$2)/$Q$2))</f>
        <v>6132.8125</v>
      </c>
      <c r="H699" s="15" t="n">
        <f aca="false">G699*(1+IF(H$3&lt;=$O$2,$D699,$D699-($D699-$I$697)*MIN(H$3-$O$2,$Q$2)/$Q$2))</f>
        <v>7666.015625</v>
      </c>
      <c r="I699" s="15" t="n">
        <f aca="false">H699*(1+IF(I$3&lt;=$O$2,$D699,$D699-($D699-$I$697)*MIN(I$3-$O$2,$Q$2)/$Q$2))</f>
        <v>9582.51953125</v>
      </c>
      <c r="J699" s="15" t="n">
        <f aca="false">I699*(1+IF(J$3&lt;=$O$2,$D699,$D699-($D699-$I$697)*MIN(J$3-$O$2,$Q$2)/$Q$2))</f>
        <v>11572.4255371094</v>
      </c>
      <c r="K699" s="15" t="n">
        <f aca="false">J699*(1+IF(K$3&lt;=$O$2,$D699,$D699-($D699-$I$697)*MIN(K$3-$O$2,$Q$2)/$Q$2))</f>
        <v>13485.5789269043</v>
      </c>
      <c r="L699" s="15" t="n">
        <f aca="false">K699*(1+IF(L$3&lt;=$O$2,$D699,$D699-($D699-$I$697)*MIN(L$3-$O$2,$Q$2)/$Q$2))</f>
        <v>15144.035423335</v>
      </c>
      <c r="M699" s="15" t="n">
        <f aca="false">L699*(1+IF(M$3&lt;=$O$2,$D699,$D699-($D699-$I$697)*MIN(M$3-$O$2,$Q$2)/$Q$2))</f>
        <v>16365.2504398727</v>
      </c>
      <c r="N699" s="15" t="n">
        <f aca="false">M699*(1+IF(N$3&lt;=$O$2,$D699,$D699-($D699-$I$697)*MIN(N$3-$O$2,$Q$2)/$Q$2))</f>
        <v>16992.0395317198</v>
      </c>
      <c r="O699" s="15" t="n">
        <f aca="false">SUMPRODUCT(E699:N699,1/(1+$F$697)^$E$3:$N$3)*$E$2</f>
        <v>27302.8788518098</v>
      </c>
      <c r="P699" s="15" t="n">
        <f aca="false">N699*$E$2*(1+$I$697)/($F$697-$I$697)/(1+$F$697)^$N$3</f>
        <v>62047.0981217923</v>
      </c>
      <c r="Q699" s="15" t="n">
        <f aca="false">O699+P699</f>
        <v>89349.9769736021</v>
      </c>
      <c r="R699" s="15" t="n">
        <f aca="false">Q699-$G$2+$I$2</f>
        <v>85282.1769736021</v>
      </c>
      <c r="S699" s="42" t="n">
        <f aca="false">R699/$K$2</f>
        <v>655.21033323296</v>
      </c>
      <c r="T699" s="43" t="n">
        <f aca="false">S699-$M$2</f>
        <v>478.581568635542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2747.5</v>
      </c>
      <c r="F700" s="15" t="n">
        <f aca="false">E700*(1+IF(F$3&lt;=$O$2,$D700,$D700-($D700-$I$697)*MIN(F$3-$O$2,$Q$2)/$Q$2))</f>
        <v>2404.0625</v>
      </c>
      <c r="G700" s="15" t="n">
        <f aca="false">F700*(1+IF(G$3&lt;=$O$2,$D700,$D700-($D700-$I$697)*MIN(G$3-$O$2,$Q$2)/$Q$2))</f>
        <v>2103.5546875</v>
      </c>
      <c r="H700" s="15" t="n">
        <f aca="false">G700*(1+IF(H$3&lt;=$O$2,$D700,$D700-($D700-$I$697)*MIN(H$3-$O$2,$Q$2)/$Q$2))</f>
        <v>1840.6103515625</v>
      </c>
      <c r="I700" s="15" t="n">
        <f aca="false">H700*(1+IF(I$3&lt;=$O$2,$D700,$D700-($D700-$I$697)*MIN(I$3-$O$2,$Q$2)/$Q$2))</f>
        <v>1610.53405761719</v>
      </c>
      <c r="J700" s="15" t="n">
        <f aca="false">I700*(1+IF(J$3&lt;=$O$2,$D700,$D700-($D700-$I$697)*MIN(J$3-$O$2,$Q$2)/$Q$2))</f>
        <v>1461.81734273682</v>
      </c>
      <c r="K700" s="15" t="n">
        <f aca="false">J700*(1+IF(K$3&lt;=$O$2,$D700,$D700-($D700-$I$697)*MIN(K$3-$O$2,$Q$2)/$Q$2))</f>
        <v>1374.57608372228</v>
      </c>
      <c r="L700" s="15" t="n">
        <f aca="false">K700*(1+IF(L$3&lt;=$O$2,$D700,$D700-($D700-$I$697)*MIN(L$3-$O$2,$Q$2)/$Q$2))</f>
        <v>1337.43503794011</v>
      </c>
      <c r="M700" s="15" t="n">
        <f aca="false">L700*(1+IF(M$3&lt;=$O$2,$D700,$D700-($D700-$I$697)*MIN(M$3-$O$2,$Q$2)/$Q$2))</f>
        <v>1344.97817155409</v>
      </c>
      <c r="N700" s="15" t="n">
        <f aca="false">M700*(1+IF(N$3&lt;=$O$2,$D700,$D700-($D700-$I$697)*MIN(N$3-$O$2,$Q$2)/$Q$2))</f>
        <v>1396.49083552461</v>
      </c>
      <c r="O700" s="15" t="n">
        <f aca="false">SUMPRODUCT(E700:N700,1/(1+$F$697)^$E$3:$N$3)*$E$2</f>
        <v>5426.27532261934</v>
      </c>
      <c r="P700" s="15" t="n">
        <f aca="false">N700*$E$2*(1+$I$697)/($F$697-$I$697)/(1+$F$697)^$N$3</f>
        <v>5099.34100236932</v>
      </c>
      <c r="Q700" s="15" t="n">
        <f aca="false">O700+P700</f>
        <v>10525.6163249887</v>
      </c>
      <c r="R700" s="15" t="n">
        <f aca="false">Q700-$G$2+$I$2</f>
        <v>6457.81632498866</v>
      </c>
      <c r="S700" s="42" t="n">
        <f aca="false">R700/$K$2</f>
        <v>49.614446258364</v>
      </c>
      <c r="T700" s="43" t="n">
        <f aca="false">S700-$M$2</f>
        <v>-127.014318339055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3336.25</v>
      </c>
      <c r="F701" s="15" t="n">
        <f aca="false">E701*(1+IF(F$3&lt;=$O$2,$D701,$D701-($D701-$I$697)*MIN(F$3-$O$2,$Q$2)/$Q$2))</f>
        <v>3544.765625</v>
      </c>
      <c r="G701" s="15" t="n">
        <f aca="false">F701*(1+IF(G$3&lt;=$O$2,$D701,$D701-($D701-$I$697)*MIN(G$3-$O$2,$Q$2)/$Q$2))</f>
        <v>3766.3134765625</v>
      </c>
      <c r="H701" s="15" t="n">
        <f aca="false">G701*(1+IF(H$3&lt;=$O$2,$D701,$D701-($D701-$I$697)*MIN(H$3-$O$2,$Q$2)/$Q$2))</f>
        <v>4001.70806884766</v>
      </c>
      <c r="I701" s="15" t="n">
        <f aca="false">H701*(1+IF(I$3&lt;=$O$2,$D701,$D701-($D701-$I$697)*MIN(I$3-$O$2,$Q$2)/$Q$2))</f>
        <v>4251.81482315064</v>
      </c>
      <c r="J701" s="15" t="n">
        <f aca="false">I701*(1+IF(J$3&lt;=$O$2,$D701,$D701-($D701-$I$697)*MIN(J$3-$O$2,$Q$2)/$Q$2))</f>
        <v>4496.9744658535</v>
      </c>
      <c r="K701" s="15" t="n">
        <f aca="false">J701*(1+IF(K$3&lt;=$O$2,$D701,$D701-($D701-$I$697)*MIN(K$3-$O$2,$Q$2)/$Q$2))</f>
        <v>4734.50465713988</v>
      </c>
      <c r="L701" s="15" t="n">
        <f aca="false">K701*(1+IF(L$3&lt;=$O$2,$D701,$D701-($D701-$I$697)*MIN(L$3-$O$2,$Q$2)/$Q$2))</f>
        <v>4961.66619058945</v>
      </c>
      <c r="M701" s="15" t="n">
        <f aca="false">L701*(1+IF(M$3&lt;=$O$2,$D701,$D701-($D701-$I$697)*MIN(M$3-$O$2,$Q$2)/$Q$2))</f>
        <v>5175.71247005148</v>
      </c>
      <c r="N701" s="15" t="n">
        <f aca="false">M701*(1+IF(N$3&lt;=$O$2,$D701,$D701-($D701-$I$697)*MIN(N$3-$O$2,$Q$2)/$Q$2))</f>
        <v>5373.94225765446</v>
      </c>
      <c r="O701" s="15" t="n">
        <f aca="false">SUMPRODUCT(E701:N701,1/(1+$F$697)^$E$3:$N$3)*$E$2</f>
        <v>12145.4130872985</v>
      </c>
      <c r="P701" s="15" t="n">
        <f aca="false">N701*$E$2*(1+$I$697)/($F$697-$I$697)/(1+$F$697)^$N$3</f>
        <v>19623.1607123494</v>
      </c>
      <c r="Q701" s="15" t="n">
        <f aca="false">O701+P701</f>
        <v>31768.5737996478</v>
      </c>
      <c r="R701" s="15" t="n">
        <f aca="false">Q701-$G$2+$I$2</f>
        <v>27700.7737996478</v>
      </c>
      <c r="S701" s="42" t="n">
        <f aca="false">R701/$K$2</f>
        <v>212.820941914934</v>
      </c>
      <c r="T701" s="43" t="n">
        <f aca="false">S701-$M$2</f>
        <v>36.1921773175154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3041.875</v>
      </c>
      <c r="F702" s="15" t="n">
        <f aca="false">E702*(1+IF(F$3&lt;=$O$2,$D702,$D702-($D702-$I$697)*MIN(F$3-$O$2,$Q$2)/$Q$2))</f>
        <v>2946.81640625</v>
      </c>
      <c r="G702" s="15" t="n">
        <f aca="false">F702*(1+IF(G$3&lt;=$O$2,$D702,$D702-($D702-$I$697)*MIN(G$3-$O$2,$Q$2)/$Q$2))</f>
        <v>2854.72839355469</v>
      </c>
      <c r="H702" s="15" t="n">
        <f aca="false">G702*(1+IF(H$3&lt;=$O$2,$D702,$D702-($D702-$I$697)*MIN(H$3-$O$2,$Q$2)/$Q$2))</f>
        <v>2765.5181312561</v>
      </c>
      <c r="I702" s="15" t="n">
        <f aca="false">H702*(1+IF(I$3&lt;=$O$2,$D702,$D702-($D702-$I$697)*MIN(I$3-$O$2,$Q$2)/$Q$2))</f>
        <v>2679.09568965435</v>
      </c>
      <c r="J702" s="15" t="n">
        <f aca="false">I702*(1+IF(J$3&lt;=$O$2,$D702,$D702-($D702-$I$697)*MIN(J$3-$O$2,$Q$2)/$Q$2))</f>
        <v>2632.64017039574</v>
      </c>
      <c r="K702" s="15" t="n">
        <f aca="false">J702*(1+IF(K$3&lt;=$O$2,$D702,$D702-($D702-$I$697)*MIN(K$3-$O$2,$Q$2)/$Q$2))</f>
        <v>2623.61021461129</v>
      </c>
      <c r="L702" s="15" t="n">
        <f aca="false">K702*(1+IF(L$3&lt;=$O$2,$D702,$D702-($D702-$I$697)*MIN(L$3-$O$2,$Q$2)/$Q$2))</f>
        <v>2651.10564966041</v>
      </c>
      <c r="M702" s="15" t="n">
        <f aca="false">L702*(1+IF(M$3&lt;=$O$2,$D702,$D702-($D702-$I$697)*MIN(M$3-$O$2,$Q$2)/$Q$2))</f>
        <v>2715.76611645563</v>
      </c>
      <c r="N702" s="15" t="n">
        <f aca="false">M702*(1+IF(N$3&lt;=$O$2,$D702,$D702-($D702-$I$697)*MIN(N$3-$O$2,$Q$2)/$Q$2))</f>
        <v>2819.77995871588</v>
      </c>
      <c r="O702" s="15" t="n">
        <f aca="false">SUMPRODUCT(E702:N702,1/(1+$F$697)^$E$3:$N$3)*$E$2</f>
        <v>8093.91809187936</v>
      </c>
      <c r="P702" s="15" t="n">
        <f aca="false">N702*$E$2*(1+$I$697)/($F$697-$I$697)/(1+$F$697)^$N$3</f>
        <v>10296.5370021476</v>
      </c>
      <c r="Q702" s="15" t="n">
        <f aca="false">O702+P702</f>
        <v>18390.4550940269</v>
      </c>
      <c r="R702" s="15" t="n">
        <f aca="false">Q702-$G$2+$I$2</f>
        <v>14322.6550940269</v>
      </c>
      <c r="S702" s="42" t="n">
        <f aca="false">R702/$K$2</f>
        <v>110.038837538621</v>
      </c>
      <c r="T702" s="43" t="n">
        <f aca="false">S702-$M$2</f>
        <v>-66.5899270587974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3189.0625</v>
      </c>
      <c r="F703" s="15" t="n">
        <f aca="false">E703*(1+IF(F$3&lt;=$O$2,$D703,$D703-($D703-$I$697)*MIN(F$3-$O$2,$Q$2)/$Q$2))</f>
        <v>3238.8916015625</v>
      </c>
      <c r="G703" s="15" t="n">
        <f aca="false">F703*(1+IF(G$3&lt;=$O$2,$D703,$D703-($D703-$I$697)*MIN(G$3-$O$2,$Q$2)/$Q$2))</f>
        <v>3289.49928283691</v>
      </c>
      <c r="H703" s="15" t="n">
        <f aca="false">G703*(1+IF(H$3&lt;=$O$2,$D703,$D703-($D703-$I$697)*MIN(H$3-$O$2,$Q$2)/$Q$2))</f>
        <v>3340.89770913124</v>
      </c>
      <c r="I703" s="15" t="n">
        <f aca="false">H703*(1+IF(I$3&lt;=$O$2,$D703,$D703-($D703-$I$697)*MIN(I$3-$O$2,$Q$2)/$Q$2))</f>
        <v>3393.09923583642</v>
      </c>
      <c r="J703" s="15" t="n">
        <f aca="false">I703*(1+IF(J$3&lt;=$O$2,$D703,$D703-($D703-$I$697)*MIN(J$3-$O$2,$Q$2)/$Q$2))</f>
        <v>3461.50411643088</v>
      </c>
      <c r="K703" s="15" t="n">
        <f aca="false">J703*(1+IF(K$3&lt;=$O$2,$D703,$D703-($D703-$I$697)*MIN(K$3-$O$2,$Q$2)/$Q$2))</f>
        <v>3546.98596058614</v>
      </c>
      <c r="L703" s="15" t="n">
        <f aca="false">K703*(1+IF(L$3&lt;=$O$2,$D703,$D703-($D703-$I$697)*MIN(L$3-$O$2,$Q$2)/$Q$2))</f>
        <v>3650.66436021407</v>
      </c>
      <c r="M703" s="15" t="n">
        <f aca="false">L703*(1+IF(M$3&lt;=$O$2,$D703,$D703-($D703-$I$697)*MIN(M$3-$O$2,$Q$2)/$Q$2))</f>
        <v>3773.9290423367</v>
      </c>
      <c r="N703" s="15" t="n">
        <f aca="false">M703*(1+IF(N$3&lt;=$O$2,$D703,$D703-($D703-$I$697)*MIN(N$3-$O$2,$Q$2)/$Q$2))</f>
        <v>3918.4705246582</v>
      </c>
      <c r="O703" s="15" t="n">
        <f aca="false">SUMPRODUCT(E703:N703,1/(1+$F$697)^$E$3:$N$3)*$E$2</f>
        <v>9910.63001794143</v>
      </c>
      <c r="P703" s="15" t="n">
        <f aca="false">N703*$E$2*(1+$I$697)/($F$697-$I$697)/(1+$F$697)^$N$3</f>
        <v>14308.4486519088</v>
      </c>
      <c r="Q703" s="15" t="n">
        <f aca="false">O703+P703</f>
        <v>24219.0786698502</v>
      </c>
      <c r="R703" s="15" t="n">
        <f aca="false">Q703-$G$2+$I$2</f>
        <v>20151.2786698502</v>
      </c>
      <c r="S703" s="42" t="n">
        <f aca="false">R703/$K$2</f>
        <v>154.819289104565</v>
      </c>
      <c r="T703" s="43" t="n">
        <f aca="false">S703-$M$2</f>
        <v>-21.8094754928531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41" t="n">
        <f aca="false">(B704+C704)/2</f>
        <v>0.0390625</v>
      </c>
      <c r="E704" s="15" t="n">
        <f aca="false">$C$2*(1+IF(E$3&lt;=$O$2,$D704,$D704-($D704-$I$697)*MIN(E$3-$O$2,$Q$2)/$Q$2))</f>
        <v>3262.65625</v>
      </c>
      <c r="F704" s="15" t="n">
        <f aca="false">E704*(1+IF(F$3&lt;=$O$2,$D704,$D704-($D704-$I$697)*MIN(F$3-$O$2,$Q$2)/$Q$2))</f>
        <v>3390.10375976563</v>
      </c>
      <c r="G704" s="15" t="n">
        <f aca="false">F704*(1+IF(G$3&lt;=$O$2,$D704,$D704-($D704-$I$697)*MIN(G$3-$O$2,$Q$2)/$Q$2))</f>
        <v>3522.52968788147</v>
      </c>
      <c r="H704" s="15" t="n">
        <f aca="false">G704*(1+IF(H$3&lt;=$O$2,$D704,$D704-($D704-$I$697)*MIN(H$3-$O$2,$Q$2)/$Q$2))</f>
        <v>3660.12850381434</v>
      </c>
      <c r="I704" s="15" t="n">
        <f aca="false">H704*(1+IF(I$3&lt;=$O$2,$D704,$D704-($D704-$I$697)*MIN(I$3-$O$2,$Q$2)/$Q$2))</f>
        <v>3803.10227349459</v>
      </c>
      <c r="J704" s="15" t="n">
        <f aca="false">I704*(1+IF(J$3&lt;=$O$2,$D704,$D704-($D704-$I$697)*MIN(J$3-$O$2,$Q$2)/$Q$2))</f>
        <v>3951.08098295626</v>
      </c>
      <c r="K704" s="15" t="n">
        <f aca="false">J704*(1+IF(K$3&lt;=$O$2,$D704,$D704-($D704-$I$697)*MIN(K$3-$O$2,$Q$2)/$Q$2))</f>
        <v>4104.21500415319</v>
      </c>
      <c r="L704" s="15" t="n">
        <f aca="false">K704*(1+IF(L$3&lt;=$O$2,$D704,$D704-($D704-$I$697)*MIN(L$3-$O$2,$Q$2)/$Q$2))</f>
        <v>4262.65822438852</v>
      </c>
      <c r="M704" s="15" t="n">
        <f aca="false">L704*(1+IF(M$3&lt;=$O$2,$D704,$D704-($D704-$I$697)*MIN(M$3-$O$2,$Q$2)/$Q$2))</f>
        <v>4426.56808976182</v>
      </c>
      <c r="N704" s="15" t="n">
        <f aca="false">M704*(1+IF(N$3&lt;=$O$2,$D704,$D704-($D704-$I$697)*MIN(N$3-$O$2,$Q$2)/$Q$2))</f>
        <v>4596.1056475997</v>
      </c>
      <c r="O704" s="15" t="n">
        <f aca="false">SUMPRODUCT(E704:N704,1/(1+$F$697)^$E$3:$N$3)*$E$2</f>
        <v>10970.5435303183</v>
      </c>
      <c r="P704" s="15" t="n">
        <f aca="false">N704*$E$2*(1+$I$697)/($F$697-$I$697)/(1+$F$697)^$N$3</f>
        <v>16782.8598540153</v>
      </c>
      <c r="Q704" s="15" t="n">
        <f aca="false">O704+P704</f>
        <v>27753.4033843337</v>
      </c>
      <c r="R704" s="15" t="n">
        <f aca="false">Q704-$G$2+$I$2</f>
        <v>23685.6033843337</v>
      </c>
      <c r="S704" s="42" t="n">
        <f aca="false">R704/$K$2</f>
        <v>181.972982362736</v>
      </c>
      <c r="T704" s="43" t="n">
        <f aca="false">S704-$M$2</f>
        <v>5.3442177653171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0.015625</v>
      </c>
      <c r="C705" s="25" t="n">
        <f aca="false">IF(T704&gt;0,D704,C704)</f>
        <v>0.0390625</v>
      </c>
      <c r="D705" s="41" t="n">
        <f aca="false">(B705+C705)/2</f>
        <v>0.02734375</v>
      </c>
      <c r="E705" s="15" t="n">
        <f aca="false">$C$2*(1+IF(E$3&lt;=$O$2,$D705,$D705-($D705-$I$697)*MIN(E$3-$O$2,$Q$2)/$Q$2))</f>
        <v>3225.859375</v>
      </c>
      <c r="F705" s="15" t="n">
        <f aca="false">E705*(1+IF(F$3&lt;=$O$2,$D705,$D705-($D705-$I$697)*MIN(F$3-$O$2,$Q$2)/$Q$2))</f>
        <v>3314.06646728516</v>
      </c>
      <c r="G705" s="15" t="n">
        <f aca="false">F705*(1+IF(G$3&lt;=$O$2,$D705,$D705-($D705-$I$697)*MIN(G$3-$O$2,$Q$2)/$Q$2))</f>
        <v>3404.68547224998</v>
      </c>
      <c r="H705" s="15" t="n">
        <f aca="false">G705*(1+IF(H$3&lt;=$O$2,$D705,$D705-($D705-$I$697)*MIN(H$3-$O$2,$Q$2)/$Q$2))</f>
        <v>3497.78234063182</v>
      </c>
      <c r="I705" s="15" t="n">
        <f aca="false">H705*(1+IF(I$3&lt;=$O$2,$D705,$D705-($D705-$I$697)*MIN(I$3-$O$2,$Q$2)/$Q$2))</f>
        <v>3593.42482650847</v>
      </c>
      <c r="J705" s="15" t="n">
        <f aca="false">I705*(1+IF(J$3&lt;=$O$2,$D705,$D705-($D705-$I$697)*MIN(J$3-$O$2,$Q$2)/$Q$2))</f>
        <v>3699.5566287594</v>
      </c>
      <c r="K705" s="15" t="n">
        <f aca="false">J705*(1+IF(K$3&lt;=$O$2,$D705,$D705-($D705-$I$697)*MIN(K$3-$O$2,$Q$2)/$Q$2))</f>
        <v>3816.92968725258</v>
      </c>
      <c r="L705" s="15" t="n">
        <f aca="false">K705*(1+IF(L$3&lt;=$O$2,$D705,$D705-($D705-$I$697)*MIN(L$3-$O$2,$Q$2)/$Q$2))</f>
        <v>3946.39039991997</v>
      </c>
      <c r="M705" s="15" t="n">
        <f aca="false">L705*(1+IF(M$3&lt;=$O$2,$D705,$D705-($D705-$I$697)*MIN(M$3-$O$2,$Q$2)/$Q$2))</f>
        <v>4088.88962427308</v>
      </c>
      <c r="N705" s="15" t="n">
        <f aca="false">M705*(1+IF(N$3&lt;=$O$2,$D705,$D705-($D705-$I$697)*MIN(N$3-$O$2,$Q$2)/$Q$2))</f>
        <v>4245.49409688274</v>
      </c>
      <c r="O705" s="15" t="n">
        <f aca="false">SUMPRODUCT(E705:N705,1/(1+$F$697)^$E$3:$N$3)*$E$2</f>
        <v>10426.904461602</v>
      </c>
      <c r="P705" s="15" t="n">
        <f aca="false">N705*$E$2*(1+$I$697)/($F$697-$I$697)/(1+$F$697)^$N$3</f>
        <v>15502.5880391246</v>
      </c>
      <c r="Q705" s="15" t="n">
        <f aca="false">O705+P705</f>
        <v>25929.4925007267</v>
      </c>
      <c r="R705" s="15" t="n">
        <f aca="false">Q705-$G$2+$I$2</f>
        <v>21861.6925007267</v>
      </c>
      <c r="S705" s="42" t="n">
        <f aca="false">R705/$K$2</f>
        <v>167.960145211484</v>
      </c>
      <c r="T705" s="43" t="n">
        <f aca="false">S705-$M$2</f>
        <v>-8.66861938593507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0.02734375</v>
      </c>
      <c r="C706" s="25" t="n">
        <f aca="false">IF(T705&gt;0,D705,C705)</f>
        <v>0.0390625</v>
      </c>
      <c r="D706" s="41" t="n">
        <f aca="false">(B706+C706)/2</f>
        <v>0.033203125</v>
      </c>
      <c r="E706" s="15" t="n">
        <f aca="false">$C$2*(1+IF(E$3&lt;=$O$2,$D706,$D706-($D706-$I$697)*MIN(E$3-$O$2,$Q$2)/$Q$2))</f>
        <v>3244.2578125</v>
      </c>
      <c r="F706" s="15" t="n">
        <f aca="false">E706*(1+IF(F$3&lt;=$O$2,$D706,$D706-($D706-$I$697)*MIN(F$3-$O$2,$Q$2)/$Q$2))</f>
        <v>3351.97731018066</v>
      </c>
      <c r="G706" s="15" t="n">
        <f aca="false">F706*(1+IF(G$3&lt;=$O$2,$D706,$D706-($D706-$I$697)*MIN(G$3-$O$2,$Q$2)/$Q$2))</f>
        <v>3463.27343180776</v>
      </c>
      <c r="H706" s="15" t="n">
        <f aca="false">G706*(1+IF(H$3&lt;=$O$2,$D706,$D706-($D706-$I$697)*MIN(H$3-$O$2,$Q$2)/$Q$2))</f>
        <v>3578.26493247325</v>
      </c>
      <c r="I706" s="15" t="n">
        <f aca="false">H706*(1+IF(I$3&lt;=$O$2,$D706,$D706-($D706-$I$697)*MIN(I$3-$O$2,$Q$2)/$Q$2))</f>
        <v>3697.07451030927</v>
      </c>
      <c r="J706" s="15" t="n">
        <f aca="false">I706*(1+IF(J$3&lt;=$O$2,$D706,$D706-($D706-$I$697)*MIN(J$3-$O$2,$Q$2)/$Q$2))</f>
        <v>3823.59764273833</v>
      </c>
      <c r="K706" s="15" t="n">
        <f aca="false">J706*(1+IF(K$3&lt;=$O$2,$D706,$D706-($D706-$I$697)*MIN(K$3-$O$2,$Q$2)/$Q$2))</f>
        <v>3958.34839291401</v>
      </c>
      <c r="L706" s="15" t="n">
        <f aca="false">K706*(1+IF(L$3&lt;=$O$2,$D706,$D706-($D706-$I$697)*MIN(L$3-$O$2,$Q$2)/$Q$2))</f>
        <v>4101.88305357657</v>
      </c>
      <c r="M706" s="15" t="n">
        <f aca="false">L706*(1+IF(M$3&lt;=$O$2,$D706,$D706-($D706-$I$697)*MIN(M$3-$O$2,$Q$2)/$Q$2))</f>
        <v>4254.80381749081</v>
      </c>
      <c r="N706" s="15" t="n">
        <f aca="false">M706*(1+IF(N$3&lt;=$O$2,$D706,$D706-($D706-$I$697)*MIN(N$3-$O$2,$Q$2)/$Q$2))</f>
        <v>4417.76280370071</v>
      </c>
      <c r="O706" s="15" t="n">
        <f aca="false">SUMPRODUCT(E706:N706,1/(1+$F$697)^$E$3:$N$3)*$E$2</f>
        <v>10695.2197781269</v>
      </c>
      <c r="P706" s="15" t="n">
        <f aca="false">N706*$E$2*(1+$I$697)/($F$697-$I$697)/(1+$F$697)^$N$3</f>
        <v>16131.6339717977</v>
      </c>
      <c r="Q706" s="15" t="n">
        <f aca="false">O706+P706</f>
        <v>26826.8537499247</v>
      </c>
      <c r="R706" s="15" t="n">
        <f aca="false">Q706-$G$2+$I$2</f>
        <v>22759.0537499247</v>
      </c>
      <c r="S706" s="42" t="n">
        <f aca="false">R706/$K$2</f>
        <v>174.854438767092</v>
      </c>
      <c r="T706" s="43" t="n">
        <f aca="false">S706-$M$2</f>
        <v>-1.77432583032669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0.033203125</v>
      </c>
      <c r="C707" s="25" t="n">
        <f aca="false">IF(T706&gt;0,D706,C706)</f>
        <v>0.0390625</v>
      </c>
      <c r="D707" s="41" t="n">
        <f aca="false">(B707+C707)/2</f>
        <v>0.0361328125</v>
      </c>
      <c r="E707" s="15" t="n">
        <f aca="false">$C$2*(1+IF(E$3&lt;=$O$2,$D707,$D707-($D707-$I$697)*MIN(E$3-$O$2,$Q$2)/$Q$2))</f>
        <v>3253.45703125</v>
      </c>
      <c r="F707" s="15" t="n">
        <f aca="false">E707*(1+IF(F$3&lt;=$O$2,$D707,$D707-($D707-$I$697)*MIN(F$3-$O$2,$Q$2)/$Q$2))</f>
        <v>3371.01358413696</v>
      </c>
      <c r="G707" s="15" t="n">
        <f aca="false">F707*(1+IF(G$3&lt;=$O$2,$D707,$D707-($D707-$I$697)*MIN(G$3-$O$2,$Q$2)/$Q$2))</f>
        <v>3492.81778590754</v>
      </c>
      <c r="H707" s="15" t="n">
        <f aca="false">G707*(1+IF(H$3&lt;=$O$2,$D707,$D707-($D707-$I$697)*MIN(H$3-$O$2,$Q$2)/$Q$2))</f>
        <v>3619.0231160624</v>
      </c>
      <c r="I707" s="15" t="n">
        <f aca="false">H707*(1+IF(I$3&lt;=$O$2,$D707,$D707-($D707-$I$697)*MIN(I$3-$O$2,$Q$2)/$Q$2))</f>
        <v>3749.78859974825</v>
      </c>
      <c r="J707" s="15" t="n">
        <f aca="false">I707*(1+IF(J$3&lt;=$O$2,$D707,$D707-($D707-$I$697)*MIN(J$3-$O$2,$Q$2)/$Q$2))</f>
        <v>3886.90430713379</v>
      </c>
      <c r="K707" s="15" t="n">
        <f aca="false">J707*(1+IF(K$3&lt;=$O$2,$D707,$D707-($D707-$I$697)*MIN(K$3-$O$2,$Q$2)/$Q$2))</f>
        <v>4030.71855184015</v>
      </c>
      <c r="L707" s="15" t="n">
        <f aca="false">K707*(1+IF(L$3&lt;=$O$2,$D707,$D707-($D707-$I$697)*MIN(L$3-$O$2,$Q$2)/$Q$2))</f>
        <v>4181.600943231</v>
      </c>
      <c r="M707" s="15" t="n">
        <f aca="false">L707*(1+IF(M$3&lt;=$O$2,$D707,$D707-($D707-$I$697)*MIN(M$3-$O$2,$Q$2)/$Q$2))</f>
        <v>4339.94379669791</v>
      </c>
      <c r="N707" s="15" t="n">
        <f aca="false">M707*(1+IF(N$3&lt;=$O$2,$D707,$D707-($D707-$I$697)*MIN(N$3-$O$2,$Q$2)/$Q$2))</f>
        <v>4506.16364411144</v>
      </c>
      <c r="O707" s="15" t="n">
        <f aca="false">SUMPRODUCT(E707:N707,1/(1+$F$697)^$E$3:$N$3)*$E$2</f>
        <v>10831.9949501988</v>
      </c>
      <c r="P707" s="15" t="n">
        <f aca="false">N707*$E$2*(1+$I$697)/($F$697-$I$697)/(1+$F$697)^$N$3</f>
        <v>16454.4331042253</v>
      </c>
      <c r="Q707" s="15" t="n">
        <f aca="false">O707+P707</f>
        <v>27286.4280544241</v>
      </c>
      <c r="R707" s="15" t="n">
        <f aca="false">Q707-$G$2+$I$2</f>
        <v>23218.6280544241</v>
      </c>
      <c r="S707" s="42" t="n">
        <f aca="false">R707/$K$2</f>
        <v>178.38528007394</v>
      </c>
      <c r="T707" s="43" t="n">
        <f aca="false">S707-$M$2</f>
        <v>1.75651547652186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0.033203125</v>
      </c>
      <c r="C708" s="25" t="n">
        <f aca="false">IF(T707&gt;0,D707,C707)</f>
        <v>0.0361328125</v>
      </c>
      <c r="D708" s="41" t="n">
        <f aca="false">(B708+C708)/2</f>
        <v>0.03466796875</v>
      </c>
      <c r="E708" s="15" t="n">
        <f aca="false">$C$2*(1+IF(E$3&lt;=$O$2,$D708,$D708-($D708-$I$697)*MIN(E$3-$O$2,$Q$2)/$Q$2))</f>
        <v>3248.857421875</v>
      </c>
      <c r="F708" s="15" t="n">
        <f aca="false">E708*(1+IF(F$3&lt;=$O$2,$D708,$D708-($D708-$I$697)*MIN(F$3-$O$2,$Q$2)/$Q$2))</f>
        <v>3361.48870944977</v>
      </c>
      <c r="G708" s="15" t="n">
        <f aca="false">F708*(1+IF(G$3&lt;=$O$2,$D708,$D708-($D708-$I$697)*MIN(G$3-$O$2,$Q$2)/$Q$2))</f>
        <v>3478.02469498245</v>
      </c>
      <c r="H708" s="15" t="n">
        <f aca="false">G708*(1+IF(H$3&lt;=$O$2,$D708,$D708-($D708-$I$697)*MIN(H$3-$O$2,$Q$2)/$Q$2))</f>
        <v>3598.60074641983</v>
      </c>
      <c r="I708" s="15" t="n">
        <f aca="false">H708*(1+IF(I$3&lt;=$O$2,$D708,$D708-($D708-$I$697)*MIN(I$3-$O$2,$Q$2)/$Q$2))</f>
        <v>3723.35692464044</v>
      </c>
      <c r="J708" s="15" t="n">
        <f aca="false">I708*(1+IF(J$3&lt;=$O$2,$D708,$D708-($D708-$I$697)*MIN(J$3-$O$2,$Q$2)/$Q$2))</f>
        <v>3855.14281589001</v>
      </c>
      <c r="K708" s="15" t="n">
        <f aca="false">J708*(1+IF(K$3&lt;=$O$2,$D708,$D708-($D708-$I$697)*MIN(K$3-$O$2,$Q$2)/$Q$2))</f>
        <v>3994.39358623028</v>
      </c>
      <c r="L708" s="15" t="n">
        <f aca="false">K708*(1+IF(L$3&lt;=$O$2,$D708,$D708-($D708-$I$697)*MIN(L$3-$O$2,$Q$2)/$Q$2))</f>
        <v>4141.57575565091</v>
      </c>
      <c r="M708" s="15" t="n">
        <f aca="false">L708*(1+IF(M$3&lt;=$O$2,$D708,$D708-($D708-$I$697)*MIN(M$3-$O$2,$Q$2)/$Q$2))</f>
        <v>4297.18964057858</v>
      </c>
      <c r="N708" s="15" t="n">
        <f aca="false">M708*(1+IF(N$3&lt;=$O$2,$D708,$D708-($D708-$I$697)*MIN(N$3-$O$2,$Q$2)/$Q$2))</f>
        <v>4461.77200381274</v>
      </c>
      <c r="O708" s="15" t="n">
        <f aca="false">SUMPRODUCT(E708:N708,1/(1+$F$697)^$E$3:$N$3)*$E$2</f>
        <v>10763.387028139</v>
      </c>
      <c r="P708" s="15" t="n">
        <f aca="false">N708*$E$2*(1+$I$697)/($F$697-$I$697)/(1+$F$697)^$N$3</f>
        <v>16292.3352903485</v>
      </c>
      <c r="Q708" s="15" t="n">
        <f aca="false">O708+P708</f>
        <v>27055.7223184875</v>
      </c>
      <c r="R708" s="15" t="n">
        <f aca="false">Q708-$G$2+$I$2</f>
        <v>22987.9223184875</v>
      </c>
      <c r="S708" s="42" t="n">
        <f aca="false">R708/$K$2</f>
        <v>176.612802078115</v>
      </c>
      <c r="T708" s="43" t="n">
        <f aca="false">S708-$M$2</f>
        <v>-0.015962519303514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0.03466796875</v>
      </c>
      <c r="C709" s="25" t="n">
        <f aca="false">IF(T708&gt;0,D708,C708)</f>
        <v>0.0361328125</v>
      </c>
      <c r="D709" s="41" t="n">
        <f aca="false">(B709+C709)/2</f>
        <v>0.035400390625</v>
      </c>
      <c r="E709" s="15" t="n">
        <f aca="false">$C$2*(1+IF(E$3&lt;=$O$2,$D709,$D709-($D709-$I$697)*MIN(E$3-$O$2,$Q$2)/$Q$2))</f>
        <v>3251.1572265625</v>
      </c>
      <c r="F709" s="15" t="n">
        <f aca="false">E709*(1+IF(F$3&lt;=$O$2,$D709,$D709-($D709-$I$697)*MIN(F$3-$O$2,$Q$2)/$Q$2))</f>
        <v>3366.2494623661</v>
      </c>
      <c r="G709" s="15" t="n">
        <f aca="false">F709*(1+IF(G$3&lt;=$O$2,$D709,$D709-($D709-$I$697)*MIN(G$3-$O$2,$Q$2)/$Q$2))</f>
        <v>3485.41600827506</v>
      </c>
      <c r="H709" s="15" t="n">
        <f aca="false">G709*(1+IF(H$3&lt;=$O$2,$D709,$D709-($D709-$I$697)*MIN(H$3-$O$2,$Q$2)/$Q$2))</f>
        <v>3608.80109645863</v>
      </c>
      <c r="I709" s="15" t="n">
        <f aca="false">H709*(1+IF(I$3&lt;=$O$2,$D709,$D709-($D709-$I$697)*MIN(I$3-$O$2,$Q$2)/$Q$2))</f>
        <v>3736.55406496119</v>
      </c>
      <c r="J709" s="15" t="n">
        <f aca="false">I709*(1+IF(J$3&lt;=$O$2,$D709,$D709-($D709-$I$697)*MIN(J$3-$O$2,$Q$2)/$Q$2))</f>
        <v>3870.99644789164</v>
      </c>
      <c r="K709" s="15" t="n">
        <f aca="false">J709*(1+IF(K$3&lt;=$O$2,$D709,$D709-($D709-$I$697)*MIN(K$3-$O$2,$Q$2)/$Q$2))</f>
        <v>4012.52098529135</v>
      </c>
      <c r="L709" s="15" t="n">
        <f aca="false">K709*(1+IF(L$3&lt;=$O$2,$D709,$D709-($D709-$I$697)*MIN(L$3-$O$2,$Q$2)/$Q$2))</f>
        <v>4161.54664164147</v>
      </c>
      <c r="M709" s="15" t="n">
        <f aca="false">L709*(1+IF(M$3&lt;=$O$2,$D709,$D709-($D709-$I$697)*MIN(M$3-$O$2,$Q$2)/$Q$2))</f>
        <v>4318.52050608502</v>
      </c>
      <c r="N709" s="15" t="n">
        <f aca="false">M709*(1+IF(N$3&lt;=$O$2,$D709,$D709-($D709-$I$697)*MIN(N$3-$O$2,$Q$2)/$Q$2))</f>
        <v>4483.91984146808</v>
      </c>
      <c r="O709" s="15" t="n">
        <f aca="false">SUMPRODUCT(E709:N709,1/(1+$F$697)^$E$3:$N$3)*$E$2</f>
        <v>10797.635738217</v>
      </c>
      <c r="P709" s="15" t="n">
        <f aca="false">N709*$E$2*(1+$I$697)/($F$697-$I$697)/(1+$F$697)^$N$3</f>
        <v>16373.20898733</v>
      </c>
      <c r="Q709" s="15" t="n">
        <f aca="false">O709+P709</f>
        <v>27170.8447255469</v>
      </c>
      <c r="R709" s="15" t="n">
        <f aca="false">Q709-$G$2+$I$2</f>
        <v>23103.0447255469</v>
      </c>
      <c r="S709" s="42" t="n">
        <f aca="false">R709/$K$2</f>
        <v>177.497270479002</v>
      </c>
      <c r="T709" s="43" t="n">
        <f aca="false">S709-$M$2</f>
        <v>0.868505881583502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0.03466796875</v>
      </c>
      <c r="C710" s="25" t="n">
        <f aca="false">IF(T709&gt;0,D709,C709)</f>
        <v>0.035400390625</v>
      </c>
      <c r="D710" s="41" t="n">
        <f aca="false">(B710+C710)/2</f>
        <v>0.0350341796875</v>
      </c>
      <c r="E710" s="15" t="n">
        <f aca="false">$C$2*(1+IF(E$3&lt;=$O$2,$D710,$D710-($D710-$I$697)*MIN(E$3-$O$2,$Q$2)/$Q$2))</f>
        <v>3250.00732421875</v>
      </c>
      <c r="F710" s="15" t="n">
        <f aca="false">E710*(1+IF(F$3&lt;=$O$2,$D710,$D710-($D710-$I$697)*MIN(F$3-$O$2,$Q$2)/$Q$2))</f>
        <v>3363.86866480112</v>
      </c>
      <c r="G710" s="15" t="n">
        <f aca="false">F710*(1+IF(G$3&lt;=$O$2,$D710,$D710-($D710-$I$697)*MIN(G$3-$O$2,$Q$2)/$Q$2))</f>
        <v>3481.71904404891</v>
      </c>
      <c r="H710" s="15" t="n">
        <f aca="false">G710*(1+IF(H$3&lt;=$O$2,$D710,$D710-($D710-$I$697)*MIN(H$3-$O$2,$Q$2)/$Q$2))</f>
        <v>3603.69821465951</v>
      </c>
      <c r="I710" s="15" t="n">
        <f aca="false">H710*(1+IF(I$3&lt;=$O$2,$D710,$D710-($D710-$I$697)*MIN(I$3-$O$2,$Q$2)/$Q$2))</f>
        <v>3729.95082545142</v>
      </c>
      <c r="J710" s="15" t="n">
        <f aca="false">I710*(1+IF(J$3&lt;=$O$2,$D710,$D710-($D710-$I$697)*MIN(J$3-$O$2,$Q$2)/$Q$2))</f>
        <v>3863.0628627299</v>
      </c>
      <c r="K710" s="15" t="n">
        <f aca="false">J710*(1+IF(K$3&lt;=$O$2,$D710,$D710-($D710-$I$697)*MIN(K$3-$O$2,$Q$2)/$Q$2))</f>
        <v>4003.44852887312</v>
      </c>
      <c r="L710" s="15" t="n">
        <f aca="false">K710*(1+IF(L$3&lt;=$O$2,$D710,$D710-($D710-$I$697)*MIN(L$3-$O$2,$Q$2)/$Q$2))</f>
        <v>4151.5507901187</v>
      </c>
      <c r="M710" s="15" t="n">
        <f aca="false">L710*(1+IF(M$3&lt;=$O$2,$D710,$D710-($D710-$I$697)*MIN(M$3-$O$2,$Q$2)/$Q$2))</f>
        <v>4307.84354160049</v>
      </c>
      <c r="N710" s="15" t="n">
        <f aca="false">M710*(1+IF(N$3&lt;=$O$2,$D710,$D710-($D710-$I$697)*MIN(N$3-$O$2,$Q$2)/$Q$2))</f>
        <v>4472.83394924379</v>
      </c>
      <c r="O710" s="15" t="n">
        <f aca="false">SUMPRODUCT(E710:N710,1/(1+$F$697)^$E$3:$N$3)*$E$2</f>
        <v>10780.4975913426</v>
      </c>
      <c r="P710" s="15" t="n">
        <f aca="false">N710*$E$2*(1+$I$697)/($F$697-$I$697)/(1+$F$697)^$N$3</f>
        <v>16332.7284175123</v>
      </c>
      <c r="Q710" s="15" t="n">
        <f aca="false">O710+P710</f>
        <v>27113.226008855</v>
      </c>
      <c r="R710" s="15" t="n">
        <f aca="false">Q710-$G$2+$I$2</f>
        <v>23045.426008855</v>
      </c>
      <c r="S710" s="42" t="n">
        <f aca="false">R710/$K$2</f>
        <v>177.054594413453</v>
      </c>
      <c r="T710" s="43" t="n">
        <f aca="false">S710-$M$2</f>
        <v>0.425829816033883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0.03466796875</v>
      </c>
      <c r="C711" s="25" t="n">
        <f aca="false">IF(T710&gt;0,D710,C710)</f>
        <v>0.0350341796875</v>
      </c>
      <c r="D711" s="41" t="n">
        <f aca="false">(B711+C711)/2</f>
        <v>0.03485107421875</v>
      </c>
      <c r="E711" s="15" t="n">
        <f aca="false">$C$2*(1+IF(E$3&lt;=$O$2,$D711,$D711-($D711-$I$697)*MIN(E$3-$O$2,$Q$2)/$Q$2))</f>
        <v>3249.43237304688</v>
      </c>
      <c r="F711" s="15" t="n">
        <f aca="false">E711*(1+IF(F$3&lt;=$O$2,$D711,$D711-($D711-$I$697)*MIN(F$3-$O$2,$Q$2)/$Q$2))</f>
        <v>3362.67858184874</v>
      </c>
      <c r="G711" s="15" t="n">
        <f aca="false">F711*(1+IF(G$3&lt;=$O$2,$D711,$D711-($D711-$I$697)*MIN(G$3-$O$2,$Q$2)/$Q$2))</f>
        <v>3479.87154267855</v>
      </c>
      <c r="H711" s="15" t="n">
        <f aca="false">G711*(1+IF(H$3&lt;=$O$2,$D711,$D711-($D711-$I$697)*MIN(H$3-$O$2,$Q$2)/$Q$2))</f>
        <v>3601.14880408416</v>
      </c>
      <c r="I711" s="15" t="n">
        <f aca="false">H711*(1+IF(I$3&lt;=$O$2,$D711,$D711-($D711-$I$697)*MIN(I$3-$O$2,$Q$2)/$Q$2))</f>
        <v>3726.65270832806</v>
      </c>
      <c r="J711" s="15" t="n">
        <f aca="false">I711*(1+IF(J$3&lt;=$O$2,$D711,$D711-($D711-$I$697)*MIN(J$3-$O$2,$Q$2)/$Q$2))</f>
        <v>3859.10114817421</v>
      </c>
      <c r="K711" s="15" t="n">
        <f aca="false">J711*(1+IF(K$3&lt;=$O$2,$D711,$D711-($D711-$I$697)*MIN(K$3-$O$2,$Q$2)/$Q$2))</f>
        <v>3998.91887008385</v>
      </c>
      <c r="L711" s="15" t="n">
        <f aca="false">K711*(1+IF(L$3&lt;=$O$2,$D711,$D711-($D711-$I$697)*MIN(L$3-$O$2,$Q$2)/$Q$2))</f>
        <v>4146.56067305279</v>
      </c>
      <c r="M711" s="15" t="n">
        <f aca="false">L711*(1+IF(M$3&lt;=$O$2,$D711,$D711-($D711-$I$697)*MIN(M$3-$O$2,$Q$2)/$Q$2))</f>
        <v>4302.51371082896</v>
      </c>
      <c r="N711" s="15" t="n">
        <f aca="false">M711*(1+IF(N$3&lt;=$O$2,$D711,$D711-($D711-$I$697)*MIN(N$3-$O$2,$Q$2)/$Q$2))</f>
        <v>4467.2999859537</v>
      </c>
      <c r="O711" s="15" t="n">
        <f aca="false">SUMPRODUCT(E711:N711,1/(1+$F$697)^$E$3:$N$3)*$E$2</f>
        <v>10771.9388643918</v>
      </c>
      <c r="P711" s="15" t="n">
        <f aca="false">N711*$E$2*(1+$I$697)/($F$697-$I$697)/(1+$F$697)^$N$3</f>
        <v>16312.5209337302</v>
      </c>
      <c r="Q711" s="15" t="n">
        <f aca="false">O711+P711</f>
        <v>27084.459798122</v>
      </c>
      <c r="R711" s="15" t="n">
        <f aca="false">Q711-$G$2+$I$2</f>
        <v>23016.659798122</v>
      </c>
      <c r="S711" s="42" t="n">
        <f aca="false">R711/$K$2</f>
        <v>176.833587877397</v>
      </c>
      <c r="T711" s="43" t="n">
        <f aca="false">S711-$M$2</f>
        <v>0.204823279978513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0.03466796875</v>
      </c>
      <c r="C712" s="25" t="n">
        <f aca="false">IF(T711&gt;0,D711,C711)</f>
        <v>0.03485107421875</v>
      </c>
      <c r="D712" s="41" t="n">
        <f aca="false">(B712+C712)/2</f>
        <v>0.034759521484375</v>
      </c>
      <c r="E712" s="15" t="n">
        <f aca="false">$C$2*(1+IF(E$3&lt;=$O$2,$D712,$D712-($D712-$I$697)*MIN(E$3-$O$2,$Q$2)/$Q$2))</f>
        <v>3249.14489746094</v>
      </c>
      <c r="F712" s="15" t="n">
        <f aca="false">E712*(1+IF(F$3&lt;=$O$2,$D712,$D712-($D712-$I$697)*MIN(F$3-$O$2,$Q$2)/$Q$2))</f>
        <v>3362.08361933008</v>
      </c>
      <c r="G712" s="15" t="n">
        <f aca="false">F712*(1+IF(G$3&lt;=$O$2,$D712,$D712-($D712-$I$697)*MIN(G$3-$O$2,$Q$2)/$Q$2))</f>
        <v>3478.94803712845</v>
      </c>
      <c r="H712" s="15" t="n">
        <f aca="false">G712*(1+IF(H$3&lt;=$O$2,$D712,$D712-($D712-$I$697)*MIN(H$3-$O$2,$Q$2)/$Q$2))</f>
        <v>3599.87460616804</v>
      </c>
      <c r="I712" s="15" t="n">
        <f aca="false">H712*(1+IF(I$3&lt;=$O$2,$D712,$D712-($D712-$I$697)*MIN(I$3-$O$2,$Q$2)/$Q$2))</f>
        <v>3725.00452488219</v>
      </c>
      <c r="J712" s="15" t="n">
        <f aca="false">I712*(1+IF(J$3&lt;=$O$2,$D712,$D712-($D712-$I$697)*MIN(J$3-$O$2,$Q$2)/$Q$2))</f>
        <v>3857.12155939242</v>
      </c>
      <c r="K712" s="15" t="n">
        <f aca="false">J712*(1+IF(K$3&lt;=$O$2,$D712,$D712-($D712-$I$697)*MIN(K$3-$O$2,$Q$2)/$Q$2))</f>
        <v>3996.65568150924</v>
      </c>
      <c r="L712" s="15" t="n">
        <f aca="false">K712*(1+IF(L$3&lt;=$O$2,$D712,$D712-($D712-$I$697)*MIN(L$3-$O$2,$Q$2)/$Q$2))</f>
        <v>4144.06756468115</v>
      </c>
      <c r="M712" s="15" t="n">
        <f aca="false">L712*(1+IF(M$3&lt;=$O$2,$D712,$D712-($D712-$I$697)*MIN(M$3-$O$2,$Q$2)/$Q$2))</f>
        <v>4299.85095597243</v>
      </c>
      <c r="N712" s="15" t="n">
        <f aca="false">M712*(1+IF(N$3&lt;=$O$2,$D712,$D712-($D712-$I$697)*MIN(N$3-$O$2,$Q$2)/$Q$2))</f>
        <v>4464.53524758617</v>
      </c>
      <c r="O712" s="15" t="n">
        <f aca="false">SUMPRODUCT(E712:N712,1/(1+$F$697)^$E$3:$N$3)*$E$2</f>
        <v>10767.6620852542</v>
      </c>
      <c r="P712" s="15" t="n">
        <f aca="false">N712*$E$2*(1+$I$697)/($F$697-$I$697)/(1+$F$697)^$N$3</f>
        <v>16302.4253832549</v>
      </c>
      <c r="Q712" s="15" t="n">
        <f aca="false">O712+P712</f>
        <v>27070.0874685091</v>
      </c>
      <c r="R712" s="15" t="n">
        <f aca="false">Q712-$G$2+$I$2</f>
        <v>23002.2874685091</v>
      </c>
      <c r="S712" s="42" t="n">
        <f aca="false">R712/$K$2</f>
        <v>176.723167397888</v>
      </c>
      <c r="T712" s="43" t="n">
        <f aca="false">S712-$M$2</f>
        <v>0.0944028004690267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0.03466796875</v>
      </c>
      <c r="C713" s="25" t="n">
        <f aca="false">IF(T712&gt;0,D712,C712)</f>
        <v>0.034759521484375</v>
      </c>
      <c r="D713" s="41" t="n">
        <f aca="false">(B713+C713)/2</f>
        <v>0.0347137451171875</v>
      </c>
      <c r="E713" s="15" t="n">
        <f aca="false">$C$2*(1+IF(E$3&lt;=$O$2,$D713,$D713-($D713-$I$697)*MIN(E$3-$O$2,$Q$2)/$Q$2))</f>
        <v>3249.00115966797</v>
      </c>
      <c r="F713" s="15" t="n">
        <f aca="false">E713*(1+IF(F$3&lt;=$O$2,$D713,$D713-($D713-$I$697)*MIN(F$3-$O$2,$Q$2)/$Q$2))</f>
        <v>3361.78615781013</v>
      </c>
      <c r="G713" s="15" t="n">
        <f aca="false">F713*(1+IF(G$3&lt;=$O$2,$D713,$D713-($D713-$I$697)*MIN(G$3-$O$2,$Q$2)/$Q$2))</f>
        <v>3478.48634563084</v>
      </c>
      <c r="H713" s="15" t="n">
        <f aca="false">G713*(1+IF(H$3&lt;=$O$2,$D713,$D713-($D713-$I$697)*MIN(H$3-$O$2,$Q$2)/$Q$2))</f>
        <v>3599.23763402669</v>
      </c>
      <c r="I713" s="15" t="n">
        <f aca="false">H713*(1+IF(I$3&lt;=$O$2,$D713,$D713-($D713-$I$697)*MIN(I$3-$O$2,$Q$2)/$Q$2))</f>
        <v>3724.18065187048</v>
      </c>
      <c r="J713" s="15" t="n">
        <f aca="false">I713*(1+IF(J$3&lt;=$O$2,$D713,$D713-($D713-$I$697)*MIN(J$3-$O$2,$Q$2)/$Q$2))</f>
        <v>3856.13208199932</v>
      </c>
      <c r="K713" s="15" t="n">
        <f aca="false">J713*(1+IF(K$3&lt;=$O$2,$D713,$D713-($D713-$I$697)*MIN(K$3-$O$2,$Q$2)/$Q$2))</f>
        <v>3995.52449723519</v>
      </c>
      <c r="L713" s="15" t="n">
        <f aca="false">K713*(1+IF(L$3&lt;=$O$2,$D713,$D713-($D713-$I$697)*MIN(L$3-$O$2,$Q$2)/$Q$2))</f>
        <v>4142.82149778425</v>
      </c>
      <c r="M713" s="15" t="n">
        <f aca="false">L713*(1+IF(M$3&lt;=$O$2,$D713,$D713-($D713-$I$697)*MIN(M$3-$O$2,$Q$2)/$Q$2))</f>
        <v>4298.52011838438</v>
      </c>
      <c r="N713" s="15" t="n">
        <f aca="false">M713*(1+IF(N$3&lt;=$O$2,$D713,$D713-($D713-$I$697)*MIN(N$3-$O$2,$Q$2)/$Q$2))</f>
        <v>4463.1534389185</v>
      </c>
      <c r="O713" s="15" t="n">
        <f aca="false">SUMPRODUCT(E713:N713,1/(1+$F$697)^$E$3:$N$3)*$E$2</f>
        <v>10765.5243414845</v>
      </c>
      <c r="P713" s="15" t="n">
        <f aca="false">N713*$E$2*(1+$I$697)/($F$697-$I$697)/(1+$F$697)^$N$3</f>
        <v>16297.3796547637</v>
      </c>
      <c r="Q713" s="15" t="n">
        <f aca="false">O713+P713</f>
        <v>27062.9039962482</v>
      </c>
      <c r="R713" s="15" t="n">
        <f aca="false">Q713-$G$2+$I$2</f>
        <v>22995.1039962482</v>
      </c>
      <c r="S713" s="42" t="n">
        <f aca="false">R713/$K$2</f>
        <v>176.667977844562</v>
      </c>
      <c r="T713" s="43" t="n">
        <f aca="false">S713-$M$2</f>
        <v>0.0392132471436923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0.03466796875</v>
      </c>
      <c r="C714" s="25" t="n">
        <f aca="false">IF(T713&gt;0,D713,C713)</f>
        <v>0.0347137451171875</v>
      </c>
      <c r="D714" s="41" t="n">
        <f aca="false">(B714+C714)/2</f>
        <v>0.0346908569335938</v>
      </c>
      <c r="E714" s="15" t="n">
        <f aca="false">$C$2*(1+IF(E$3&lt;=$O$2,$D714,$D714-($D714-$I$697)*MIN(E$3-$O$2,$Q$2)/$Q$2))</f>
        <v>3248.92929077148</v>
      </c>
      <c r="F714" s="15" t="n">
        <f aca="false">E714*(1+IF(F$3&lt;=$O$2,$D714,$D714-($D714-$I$697)*MIN(F$3-$O$2,$Q$2)/$Q$2))</f>
        <v>3361.637431985</v>
      </c>
      <c r="G714" s="15" t="n">
        <f aca="false">F714*(1+IF(G$3&lt;=$O$2,$D714,$D714-($D714-$I$697)*MIN(G$3-$O$2,$Q$2)/$Q$2))</f>
        <v>3478.25551520061</v>
      </c>
      <c r="H714" s="15" t="n">
        <f aca="false">G714*(1+IF(H$3&lt;=$O$2,$D714,$D714-($D714-$I$697)*MIN(H$3-$O$2,$Q$2)/$Q$2))</f>
        <v>3598.91917965691</v>
      </c>
      <c r="I714" s="15" t="n">
        <f aca="false">H714*(1+IF(I$3&lt;=$O$2,$D714,$D714-($D714-$I$697)*MIN(I$3-$O$2,$Q$2)/$Q$2))</f>
        <v>3723.76877003396</v>
      </c>
      <c r="J714" s="15" t="n">
        <f aca="false">I714*(1+IF(J$3&lt;=$O$2,$D714,$D714-($D714-$I$697)*MIN(J$3-$O$2,$Q$2)/$Q$2))</f>
        <v>3855.63742253644</v>
      </c>
      <c r="K714" s="15" t="n">
        <f aca="false">J714*(1+IF(K$3&lt;=$O$2,$D714,$D714-($D714-$I$697)*MIN(K$3-$O$2,$Q$2)/$Q$2))</f>
        <v>3994.95900757752</v>
      </c>
      <c r="L714" s="15" t="n">
        <f aca="false">K714*(1+IF(L$3&lt;=$O$2,$D714,$D714-($D714-$I$697)*MIN(L$3-$O$2,$Q$2)/$Q$2))</f>
        <v>4142.19858612662</v>
      </c>
      <c r="M714" s="15" t="n">
        <f aca="false">L714*(1+IF(M$3&lt;=$O$2,$D714,$D714-($D714-$I$697)*MIN(M$3-$O$2,$Q$2)/$Q$2))</f>
        <v>4297.85483451391</v>
      </c>
      <c r="N714" s="15" t="n">
        <f aca="false">M714*(1+IF(N$3&lt;=$O$2,$D714,$D714-($D714-$I$697)*MIN(N$3-$O$2,$Q$2)/$Q$2))</f>
        <v>4462.4626746758</v>
      </c>
      <c r="O714" s="15" t="n">
        <f aca="false">SUMPRODUCT(E714:N714,1/(1+$F$697)^$E$3:$N$3)*$E$2</f>
        <v>10764.4556310139</v>
      </c>
      <c r="P714" s="15" t="n">
        <f aca="false">N714*$E$2*(1+$I$697)/($F$697-$I$697)/(1+$F$697)^$N$3</f>
        <v>16294.8573020663</v>
      </c>
      <c r="Q714" s="15" t="n">
        <f aca="false">O714+P714</f>
        <v>27059.3129330802</v>
      </c>
      <c r="R714" s="15" t="n">
        <f aca="false">Q714-$G$2+$I$2</f>
        <v>22991.5129330802</v>
      </c>
      <c r="S714" s="42" t="n">
        <f aca="false">R714/$K$2</f>
        <v>176.64038823817</v>
      </c>
      <c r="T714" s="43" t="n">
        <f aca="false">S714-$M$2</f>
        <v>0.01162364075131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0.03466796875</v>
      </c>
      <c r="C715" s="25" t="n">
        <f aca="false">IF(T714&gt;0,D714,C714)</f>
        <v>0.0346908569335938</v>
      </c>
      <c r="D715" s="41" t="n">
        <f aca="false">(B715+C715)/2</f>
        <v>0.0346794128417969</v>
      </c>
      <c r="E715" s="15" t="n">
        <f aca="false">$C$2*(1+IF(E$3&lt;=$O$2,$D715,$D715-($D715-$I$697)*MIN(E$3-$O$2,$Q$2)/$Q$2))</f>
        <v>3248.89335632324</v>
      </c>
      <c r="F715" s="15" t="n">
        <f aca="false">E715*(1+IF(F$3&lt;=$O$2,$D715,$D715-($D715-$I$697)*MIN(F$3-$O$2,$Q$2)/$Q$2))</f>
        <v>3361.56307030615</v>
      </c>
      <c r="G715" s="15" t="n">
        <f aca="false">F715*(1+IF(G$3&lt;=$O$2,$D715,$D715-($D715-$I$697)*MIN(G$3-$O$2,$Q$2)/$Q$2))</f>
        <v>3478.14010381503</v>
      </c>
      <c r="H715" s="15" t="n">
        <f aca="false">G715*(1+IF(H$3&lt;=$O$2,$D715,$D715-($D715-$I$697)*MIN(H$3-$O$2,$Q$2)/$Q$2))</f>
        <v>3598.75996039684</v>
      </c>
      <c r="I715" s="15" t="n">
        <f aca="false">H715*(1+IF(I$3&lt;=$O$2,$D715,$D715-($D715-$I$697)*MIN(I$3-$O$2,$Q$2)/$Q$2))</f>
        <v>3723.56284278197</v>
      </c>
      <c r="J715" s="15" t="n">
        <f aca="false">I715*(1+IF(J$3&lt;=$O$2,$D715,$D715-($D715-$I$697)*MIN(J$3-$O$2,$Q$2)/$Q$2))</f>
        <v>3855.39011261145</v>
      </c>
      <c r="K715" s="15" t="n">
        <f aca="false">J715*(1+IF(K$3&lt;=$O$2,$D715,$D715-($D715-$I$697)*MIN(K$3-$O$2,$Q$2)/$Q$2))</f>
        <v>3994.67628836552</v>
      </c>
      <c r="L715" s="15" t="n">
        <f aca="false">K715*(1+IF(L$3&lt;=$O$2,$D715,$D715-($D715-$I$697)*MIN(L$3-$O$2,$Q$2)/$Q$2))</f>
        <v>4141.88716074159</v>
      </c>
      <c r="M715" s="15" t="n">
        <f aca="false">L715*(1+IF(M$3&lt;=$O$2,$D715,$D715-($D715-$I$697)*MIN(M$3-$O$2,$Q$2)/$Q$2))</f>
        <v>4297.52222630501</v>
      </c>
      <c r="N715" s="15" t="n">
        <f aca="false">M715*(1+IF(N$3&lt;=$O$2,$D715,$D715-($D715-$I$697)*MIN(N$3-$O$2,$Q$2)/$Q$2))</f>
        <v>4462.11732757249</v>
      </c>
      <c r="O715" s="15" t="n">
        <f aca="false">SUMPRODUCT(E715:N715,1/(1+$F$697)^$E$3:$N$3)*$E$2</f>
        <v>10763.9213161276</v>
      </c>
      <c r="P715" s="15" t="n">
        <f aca="false">N715*$E$2*(1+$I$697)/($F$697-$I$697)/(1+$F$697)^$N$3</f>
        <v>16293.5962535874</v>
      </c>
      <c r="Q715" s="15" t="n">
        <f aca="false">O715+P715</f>
        <v>27057.517569715</v>
      </c>
      <c r="R715" s="15" t="n">
        <f aca="false">Q715-$G$2+$I$2</f>
        <v>22989.717569715</v>
      </c>
      <c r="S715" s="42" t="n">
        <f aca="false">R715/$K$2</f>
        <v>176.626594727374</v>
      </c>
      <c r="T715" s="43" t="n">
        <f aca="false">S715-$M$2</f>
        <v>-0.00216987004444036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0.0346794128417969</v>
      </c>
      <c r="C716" s="25" t="n">
        <f aca="false">IF(T715&gt;0,D715,C715)</f>
        <v>0.0346908569335938</v>
      </c>
      <c r="D716" s="41" t="n">
        <f aca="false">(B716+C716)/2</f>
        <v>0.0346851348876953</v>
      </c>
      <c r="E716" s="15" t="n">
        <f aca="false">$C$2*(1+IF(E$3&lt;=$O$2,$D716,$D716-($D716-$I$697)*MIN(E$3-$O$2,$Q$2)/$Q$2))</f>
        <v>3248.91132354736</v>
      </c>
      <c r="F716" s="15" t="n">
        <f aca="false">E716*(1+IF(F$3&lt;=$O$2,$D716,$D716-($D716-$I$697)*MIN(F$3-$O$2,$Q$2)/$Q$2))</f>
        <v>3361.60025104276</v>
      </c>
      <c r="G716" s="15" t="n">
        <f aca="false">F716*(1+IF(G$3&lt;=$O$2,$D716,$D716-($D716-$I$697)*MIN(G$3-$O$2,$Q$2)/$Q$2))</f>
        <v>3478.19780918869</v>
      </c>
      <c r="H716" s="15" t="n">
        <f aca="false">G716*(1+IF(H$3&lt;=$O$2,$D716,$D716-($D716-$I$697)*MIN(H$3-$O$2,$Q$2)/$Q$2))</f>
        <v>3598.83956936649</v>
      </c>
      <c r="I716" s="15" t="n">
        <f aca="false">H716*(1+IF(I$3&lt;=$O$2,$D716,$D716-($D716-$I$697)*MIN(I$3-$O$2,$Q$2)/$Q$2))</f>
        <v>3723.66580526914</v>
      </c>
      <c r="J716" s="15" t="n">
        <f aca="false">I716*(1+IF(J$3&lt;=$O$2,$D716,$D716-($D716-$I$697)*MIN(J$3-$O$2,$Q$2)/$Q$2))</f>
        <v>3855.51376592347</v>
      </c>
      <c r="K716" s="15" t="n">
        <f aca="false">J716*(1+IF(K$3&lt;=$O$2,$D716,$D716-($D716-$I$697)*MIN(K$3-$O$2,$Q$2)/$Q$2))</f>
        <v>3994.81764583687</v>
      </c>
      <c r="L716" s="15" t="n">
        <f aca="false">K716*(1+IF(L$3&lt;=$O$2,$D716,$D716-($D716-$I$697)*MIN(L$3-$O$2,$Q$2)/$Q$2))</f>
        <v>4142.04287089724</v>
      </c>
      <c r="M716" s="15" t="n">
        <f aca="false">L716*(1+IF(M$3&lt;=$O$2,$D716,$D716-($D716-$I$697)*MIN(M$3-$O$2,$Q$2)/$Q$2))</f>
        <v>4297.68852759907</v>
      </c>
      <c r="N716" s="15" t="n">
        <f aca="false">M716*(1+IF(N$3&lt;=$O$2,$D716,$D716-($D716-$I$697)*MIN(N$3-$O$2,$Q$2)/$Q$2))</f>
        <v>4462.28999820611</v>
      </c>
      <c r="O716" s="15" t="n">
        <f aca="false">SUMPRODUCT(E716:N716,1/(1+$F$697)^$E$3:$N$3)*$E$2</f>
        <v>10764.1884702084</v>
      </c>
      <c r="P716" s="15" t="n">
        <f aca="false">N716*$E$2*(1+$I$697)/($F$697-$I$697)/(1+$F$697)^$N$3</f>
        <v>16294.2267671716</v>
      </c>
      <c r="Q716" s="15" t="n">
        <f aca="false">O716+P716</f>
        <v>27058.41523738</v>
      </c>
      <c r="R716" s="15" t="n">
        <f aca="false">Q716-$G$2+$I$2</f>
        <v>22990.61523738</v>
      </c>
      <c r="S716" s="42" t="n">
        <f aca="false">R716/$K$2</f>
        <v>176.633491375077</v>
      </c>
      <c r="T716" s="43" t="n">
        <f aca="false">S716-$M$2</f>
        <v>0.00472677765841922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0.0346794128417969</v>
      </c>
      <c r="C717" s="25" t="n">
        <f aca="false">IF(T716&gt;0,D716,C716)</f>
        <v>0.0346851348876953</v>
      </c>
      <c r="D717" s="41" t="n">
        <f aca="false">(B717+C717)/2</f>
        <v>0.0346822738647461</v>
      </c>
      <c r="E717" s="15" t="n">
        <f aca="false">$C$2*(1+IF(E$3&lt;=$O$2,$D717,$D717-($D717-$I$697)*MIN(E$3-$O$2,$Q$2)/$Q$2))</f>
        <v>3248.9023399353</v>
      </c>
      <c r="F717" s="15" t="n">
        <f aca="false">E717*(1+IF(F$3&lt;=$O$2,$D717,$D717-($D717-$I$697)*MIN(F$3-$O$2,$Q$2)/$Q$2))</f>
        <v>3361.58166064875</v>
      </c>
      <c r="G717" s="15" t="n">
        <f aca="false">F717*(1+IF(G$3&lt;=$O$2,$D717,$D717-($D717-$I$697)*MIN(G$3-$O$2,$Q$2)/$Q$2))</f>
        <v>3478.16895642208</v>
      </c>
      <c r="H717" s="15" t="n">
        <f aca="false">G717*(1+IF(H$3&lt;=$O$2,$D717,$D717-($D717-$I$697)*MIN(H$3-$O$2,$Q$2)/$Q$2))</f>
        <v>3598.79976471657</v>
      </c>
      <c r="I717" s="15" t="n">
        <f aca="false">H717*(1+IF(I$3&lt;=$O$2,$D717,$D717-($D717-$I$697)*MIN(I$3-$O$2,$Q$2)/$Q$2))</f>
        <v>3723.61432374085</v>
      </c>
      <c r="J717" s="15" t="n">
        <f aca="false">I717*(1+IF(J$3&lt;=$O$2,$D717,$D717-($D717-$I$697)*MIN(J$3-$O$2,$Q$2)/$Q$2))</f>
        <v>3855.45193885485</v>
      </c>
      <c r="K717" s="15" t="n">
        <f aca="false">J717*(1+IF(K$3&lt;=$O$2,$D717,$D717-($D717-$I$697)*MIN(K$3-$O$2,$Q$2)/$Q$2))</f>
        <v>3994.74696656754</v>
      </c>
      <c r="L717" s="15" t="n">
        <f aca="false">K717*(1+IF(L$3&lt;=$O$2,$D717,$D717-($D717-$I$697)*MIN(L$3-$O$2,$Q$2)/$Q$2))</f>
        <v>4141.96501518521</v>
      </c>
      <c r="M717" s="15" t="n">
        <f aca="false">L717*(1+IF(M$3&lt;=$O$2,$D717,$D717-($D717-$I$697)*MIN(M$3-$O$2,$Q$2)/$Q$2))</f>
        <v>4297.60537624945</v>
      </c>
      <c r="N717" s="15" t="n">
        <f aca="false">M717*(1+IF(N$3&lt;=$O$2,$D717,$D717-($D717-$I$697)*MIN(N$3-$O$2,$Q$2)/$Q$2))</f>
        <v>4462.20366215981</v>
      </c>
      <c r="O717" s="15" t="n">
        <f aca="false">SUMPRODUCT(E717:N717,1/(1+$F$697)^$E$3:$N$3)*$E$2</f>
        <v>10764.0548923274</v>
      </c>
      <c r="P717" s="15" t="n">
        <f aca="false">N717*$E$2*(1+$I$697)/($F$697-$I$697)/(1+$F$697)^$N$3</f>
        <v>16293.9115077157</v>
      </c>
      <c r="Q717" s="15" t="n">
        <f aca="false">O717+P717</f>
        <v>27057.9664000432</v>
      </c>
      <c r="R717" s="15" t="n">
        <f aca="false">Q717-$G$2+$I$2</f>
        <v>22990.1664000432</v>
      </c>
      <c r="S717" s="42" t="n">
        <f aca="false">R717/$K$2</f>
        <v>176.630043024302</v>
      </c>
      <c r="T717" s="43" t="n">
        <f aca="false">S717-$M$2</f>
        <v>0.00127842688362989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0.0346794128417969</v>
      </c>
      <c r="C718" s="25" t="n">
        <f aca="false">IF(T717&gt;0,D717,C717)</f>
        <v>0.0346822738647461</v>
      </c>
      <c r="D718" s="41" t="n">
        <f aca="false">(B718+C718)/2</f>
        <v>0.0346808433532715</v>
      </c>
      <c r="E718" s="15" t="n">
        <f aca="false">$C$2*(1+IF(E$3&lt;=$O$2,$D718,$D718-($D718-$I$697)*MIN(E$3-$O$2,$Q$2)/$Q$2))</f>
        <v>3248.89784812927</v>
      </c>
      <c r="F718" s="15" t="n">
        <f aca="false">E718*(1+IF(F$3&lt;=$O$2,$D718,$D718-($D718-$I$697)*MIN(F$3-$O$2,$Q$2)/$Q$2))</f>
        <v>3361.57236547102</v>
      </c>
      <c r="G718" s="15" t="n">
        <f aca="false">F718*(1+IF(G$3&lt;=$O$2,$D718,$D718-($D718-$I$697)*MIN(G$3-$O$2,$Q$2)/$Q$2))</f>
        <v>3478.15453009861</v>
      </c>
      <c r="H718" s="15" t="n">
        <f aca="false">G718*(1+IF(H$3&lt;=$O$2,$D718,$D718-($D718-$I$697)*MIN(H$3-$O$2,$Q$2)/$Q$2))</f>
        <v>3598.77986251543</v>
      </c>
      <c r="I718" s="15" t="n">
        <f aca="false">H718*(1+IF(I$3&lt;=$O$2,$D718,$D718-($D718-$I$697)*MIN(I$3-$O$2,$Q$2)/$Q$2))</f>
        <v>3723.58858319024</v>
      </c>
      <c r="J718" s="15" t="n">
        <f aca="false">I718*(1+IF(J$3&lt;=$O$2,$D718,$D718-($D718-$I$697)*MIN(J$3-$O$2,$Q$2)/$Q$2))</f>
        <v>3855.42102563</v>
      </c>
      <c r="K718" s="15" t="n">
        <f aca="false">J718*(1+IF(K$3&lt;=$O$2,$D718,$D718-($D718-$I$697)*MIN(K$3-$O$2,$Q$2)/$Q$2))</f>
        <v>3994.71162733312</v>
      </c>
      <c r="L718" s="15" t="n">
        <f aca="false">K718*(1+IF(L$3&lt;=$O$2,$D718,$D718-($D718-$I$697)*MIN(L$3-$O$2,$Q$2)/$Q$2))</f>
        <v>4141.92608780484</v>
      </c>
      <c r="M718" s="15" t="n">
        <f aca="false">L718*(1+IF(M$3&lt;=$O$2,$D718,$D718-($D718-$I$697)*MIN(M$3-$O$2,$Q$2)/$Q$2))</f>
        <v>4297.56380110158</v>
      </c>
      <c r="N718" s="15" t="n">
        <f aca="false">M718*(1+IF(N$3&lt;=$O$2,$D718,$D718-($D718-$I$697)*MIN(N$3-$O$2,$Q$2)/$Q$2))</f>
        <v>4462.16049468377</v>
      </c>
      <c r="O718" s="15" t="n">
        <f aca="false">SUMPRODUCT(E718:N718,1/(1+$F$697)^$E$3:$N$3)*$E$2</f>
        <v>10763.9881040174</v>
      </c>
      <c r="P718" s="15" t="n">
        <f aca="false">N718*$E$2*(1+$I$697)/($F$697-$I$697)/(1+$F$697)^$N$3</f>
        <v>16293.7538799856</v>
      </c>
      <c r="Q718" s="15" t="n">
        <f aca="false">O718+P718</f>
        <v>27057.741984003</v>
      </c>
      <c r="R718" s="15" t="n">
        <f aca="false">Q718-$G$2+$I$2</f>
        <v>22989.941984003</v>
      </c>
      <c r="S718" s="42" t="n">
        <f aca="false">R718/$K$2</f>
        <v>176.628318869107</v>
      </c>
      <c r="T718" s="43" t="n">
        <f aca="false">S718-$M$2</f>
        <v>-0.000445728311291305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0.0346808433532715</v>
      </c>
      <c r="C719" s="25" t="n">
        <f aca="false">IF(T718&gt;0,D718,C718)</f>
        <v>0.0346822738647461</v>
      </c>
      <c r="D719" s="41" t="n">
        <f aca="false">(B719+C719)/2</f>
        <v>0.0346815586090088</v>
      </c>
      <c r="E719" s="15" t="n">
        <f aca="false">$C$2*(1+IF(E$3&lt;=$O$2,$D719,$D719-($D719-$I$697)*MIN(E$3-$O$2,$Q$2)/$Q$2))</f>
        <v>3248.90009403229</v>
      </c>
      <c r="F719" s="15" t="n">
        <f aca="false">E719*(1+IF(F$3&lt;=$O$2,$D719,$D719-($D719-$I$697)*MIN(F$3-$O$2,$Q$2)/$Q$2))</f>
        <v>3361.57701305828</v>
      </c>
      <c r="G719" s="15" t="n">
        <f aca="false">F719*(1+IF(G$3&lt;=$O$2,$D719,$D719-($D719-$I$697)*MIN(G$3-$O$2,$Q$2)/$Q$2))</f>
        <v>3478.16174325536</v>
      </c>
      <c r="H719" s="15" t="n">
        <f aca="false">G719*(1+IF(H$3&lt;=$O$2,$D719,$D719-($D719-$I$697)*MIN(H$3-$O$2,$Q$2)/$Q$2))</f>
        <v>3598.78981360568</v>
      </c>
      <c r="I719" s="15" t="n">
        <f aca="false">H719*(1+IF(I$3&lt;=$O$2,$D719,$D719-($D719-$I$697)*MIN(I$3-$O$2,$Q$2)/$Q$2))</f>
        <v>3723.60145344775</v>
      </c>
      <c r="J719" s="15" t="n">
        <f aca="false">I719*(1+IF(J$3&lt;=$O$2,$D719,$D719-($D719-$I$697)*MIN(J$3-$O$2,$Q$2)/$Q$2))</f>
        <v>3855.43648221663</v>
      </c>
      <c r="K719" s="15" t="n">
        <f aca="false">J719*(1+IF(K$3&lt;=$O$2,$D719,$D719-($D719-$I$697)*MIN(K$3-$O$2,$Q$2)/$Q$2))</f>
        <v>3994.72929691698</v>
      </c>
      <c r="L719" s="15" t="n">
        <f aca="false">K719*(1+IF(L$3&lt;=$O$2,$D719,$D719-($D719-$I$697)*MIN(L$3-$O$2,$Q$2)/$Q$2))</f>
        <v>4141.94555145539</v>
      </c>
      <c r="M719" s="15" t="n">
        <f aca="false">L719*(1+IF(M$3&lt;=$O$2,$D719,$D719-($D719-$I$697)*MIN(M$3-$O$2,$Q$2)/$Q$2))</f>
        <v>4297.58458863161</v>
      </c>
      <c r="N719" s="15" t="n">
        <f aca="false">M719*(1+IF(N$3&lt;=$O$2,$D719,$D719-($D719-$I$697)*MIN(N$3-$O$2,$Q$2)/$Q$2))</f>
        <v>4462.1820783762</v>
      </c>
      <c r="O719" s="15" t="n">
        <f aca="false">SUMPRODUCT(E719:N719,1/(1+$F$697)^$E$3:$N$3)*$E$2</f>
        <v>10764.0214981199</v>
      </c>
      <c r="P719" s="15" t="n">
        <f aca="false">N719*$E$2*(1+$I$697)/($F$697-$I$697)/(1+$F$697)^$N$3</f>
        <v>16293.8326936842</v>
      </c>
      <c r="Q719" s="15" t="n">
        <f aca="false">O719+P719</f>
        <v>27057.8541918041</v>
      </c>
      <c r="R719" s="15" t="n">
        <f aca="false">Q719-$G$2+$I$2</f>
        <v>22990.0541918041</v>
      </c>
      <c r="S719" s="42" t="n">
        <f aca="false">R719/$K$2</f>
        <v>176.629180945022</v>
      </c>
      <c r="T719" s="43" t="n">
        <f aca="false">S719-$M$2</f>
        <v>0.000416347603476197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0.0346808433532715</v>
      </c>
      <c r="C720" s="25" t="n">
        <f aca="false">IF(T719&gt;0,D719,C719)</f>
        <v>0.0346815586090088</v>
      </c>
      <c r="D720" s="41" t="n">
        <f aca="false">(B720+C720)/2</f>
        <v>0.0346812009811401</v>
      </c>
      <c r="E720" s="15" t="n">
        <f aca="false">$C$2*(1+IF(E$3&lt;=$O$2,$D720,$D720-($D720-$I$697)*MIN(E$3-$O$2,$Q$2)/$Q$2))</f>
        <v>3248.89897108078</v>
      </c>
      <c r="F720" s="15" t="n">
        <f aca="false">E720*(1+IF(F$3&lt;=$O$2,$D720,$D720-($D720-$I$697)*MIN(F$3-$O$2,$Q$2)/$Q$2))</f>
        <v>3361.57468926425</v>
      </c>
      <c r="G720" s="15" t="n">
        <f aca="false">F720*(1+IF(G$3&lt;=$O$2,$D720,$D720-($D720-$I$697)*MIN(G$3-$O$2,$Q$2)/$Q$2))</f>
        <v>3478.15813667574</v>
      </c>
      <c r="H720" s="15" t="n">
        <f aca="false">G720*(1+IF(H$3&lt;=$O$2,$D720,$D720-($D720-$I$697)*MIN(H$3-$O$2,$Q$2)/$Q$2))</f>
        <v>3598.78483805798</v>
      </c>
      <c r="I720" s="15" t="n">
        <f aca="false">H720*(1+IF(I$3&lt;=$O$2,$D720,$D720-($D720-$I$697)*MIN(I$3-$O$2,$Q$2)/$Q$2))</f>
        <v>3723.59501831455</v>
      </c>
      <c r="J720" s="15" t="n">
        <f aca="false">I720*(1+IF(J$3&lt;=$O$2,$D720,$D720-($D720-$I$697)*MIN(J$3-$O$2,$Q$2)/$Q$2))</f>
        <v>3855.42875391687</v>
      </c>
      <c r="K720" s="15" t="n">
        <f aca="false">J720*(1+IF(K$3&lt;=$O$2,$D720,$D720-($D720-$I$697)*MIN(K$3-$O$2,$Q$2)/$Q$2))</f>
        <v>3994.72046211671</v>
      </c>
      <c r="L720" s="15" t="n">
        <f aca="false">K720*(1+IF(L$3&lt;=$O$2,$D720,$D720-($D720-$I$697)*MIN(L$3-$O$2,$Q$2)/$Q$2))</f>
        <v>4141.93581962021</v>
      </c>
      <c r="M720" s="15" t="n">
        <f aca="false">L720*(1+IF(M$3&lt;=$O$2,$D720,$D720-($D720-$I$697)*MIN(M$3-$O$2,$Q$2)/$Q$2))</f>
        <v>4297.57419485562</v>
      </c>
      <c r="N720" s="15" t="n">
        <f aca="false">M720*(1+IF(N$3&lt;=$O$2,$D720,$D720-($D720-$I$697)*MIN(N$3-$O$2,$Q$2)/$Q$2))</f>
        <v>4462.17128651859</v>
      </c>
      <c r="O720" s="15" t="n">
        <f aca="false">SUMPRODUCT(E720:N720,1/(1+$F$697)^$E$3:$N$3)*$E$2</f>
        <v>10764.0048010555</v>
      </c>
      <c r="P720" s="15" t="n">
        <f aca="false">N720*$E$2*(1+$I$697)/($F$697-$I$697)/(1+$F$697)^$N$3</f>
        <v>16293.7932867933</v>
      </c>
      <c r="Q720" s="15" t="n">
        <f aca="false">O720+P720</f>
        <v>27057.7980878488</v>
      </c>
      <c r="R720" s="15" t="n">
        <f aca="false">Q720-$G$2+$I$2</f>
        <v>22989.9980878488</v>
      </c>
      <c r="S720" s="42" t="n">
        <f aca="false">R720/$K$2</f>
        <v>176.628749906644</v>
      </c>
      <c r="T720" s="43" t="n">
        <f aca="false">S720-$M$2</f>
        <v>-1.46907745772751E-005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0.0346812009811401</v>
      </c>
      <c r="C721" s="25" t="n">
        <f aca="false">IF(T720&gt;0,D720,C720)</f>
        <v>0.0346815586090088</v>
      </c>
      <c r="D721" s="41" t="n">
        <f aca="false">(B721+C721)/2</f>
        <v>0.0346813797950745</v>
      </c>
      <c r="E721" s="15" t="n">
        <f aca="false">$C$2*(1+IF(E$3&lt;=$O$2,$D721,$D721-($D721-$I$697)*MIN(E$3-$O$2,$Q$2)/$Q$2))</f>
        <v>3248.89953255653</v>
      </c>
      <c r="F721" s="15" t="n">
        <f aca="false">E721*(1+IF(F$3&lt;=$O$2,$D721,$D721-($D721-$I$697)*MIN(F$3-$O$2,$Q$2)/$Q$2))</f>
        <v>3361.57585116117</v>
      </c>
      <c r="G721" s="15" t="n">
        <f aca="false">F721*(1+IF(G$3&lt;=$O$2,$D721,$D721-($D721-$I$697)*MIN(G$3-$O$2,$Q$2)/$Q$2))</f>
        <v>3478.15993996524</v>
      </c>
      <c r="H721" s="15" t="n">
        <f aca="false">G721*(1+IF(H$3&lt;=$O$2,$D721,$D721-($D721-$I$697)*MIN(H$3-$O$2,$Q$2)/$Q$2))</f>
        <v>3598.78732583119</v>
      </c>
      <c r="I721" s="15" t="n">
        <f aca="false">H721*(1+IF(I$3&lt;=$O$2,$D721,$D721-($D721-$I$697)*MIN(I$3-$O$2,$Q$2)/$Q$2))</f>
        <v>3723.59823588004</v>
      </c>
      <c r="J721" s="15" t="n">
        <f aca="false">I721*(1+IF(J$3&lt;=$O$2,$D721,$D721-($D721-$I$697)*MIN(J$3-$O$2,$Q$2)/$Q$2))</f>
        <v>3855.43261806514</v>
      </c>
      <c r="K721" s="15" t="n">
        <f aca="false">J721*(1+IF(K$3&lt;=$O$2,$D721,$D721-($D721-$I$697)*MIN(K$3-$O$2,$Q$2)/$Q$2))</f>
        <v>3994.72487951476</v>
      </c>
      <c r="L721" s="15" t="n">
        <f aca="false">K721*(1+IF(L$3&lt;=$O$2,$D721,$D721-($D721-$I$697)*MIN(L$3-$O$2,$Q$2)/$Q$2))</f>
        <v>4141.94068553532</v>
      </c>
      <c r="M721" s="15" t="n">
        <f aca="false">L721*(1+IF(M$3&lt;=$O$2,$D721,$D721-($D721-$I$697)*MIN(M$3-$O$2,$Q$2)/$Q$2))</f>
        <v>4297.57939174087</v>
      </c>
      <c r="N721" s="15" t="n">
        <f aca="false">M721*(1+IF(N$3&lt;=$O$2,$D721,$D721-($D721-$I$697)*MIN(N$3-$O$2,$Q$2)/$Q$2))</f>
        <v>4462.17668244454</v>
      </c>
      <c r="O721" s="15" t="n">
        <f aca="false">SUMPRODUCT(E721:N721,1/(1+$F$697)^$E$3:$N$3)*$E$2</f>
        <v>10764.0131495844</v>
      </c>
      <c r="P721" s="15" t="n">
        <f aca="false">N721*$E$2*(1+$I$697)/($F$697-$I$697)/(1+$F$697)^$N$3</f>
        <v>16293.8129902283</v>
      </c>
      <c r="Q721" s="15" t="n">
        <f aca="false">O721+P721</f>
        <v>27057.8261398127</v>
      </c>
      <c r="R721" s="15" t="n">
        <f aca="false">Q721-$G$2+$I$2</f>
        <v>22990.0261398127</v>
      </c>
      <c r="S721" s="42" t="n">
        <f aca="false">R721/$K$2</f>
        <v>176.628965425728</v>
      </c>
      <c r="T721" s="43" t="n">
        <f aca="false">S721-$M$2</f>
        <v>0.000200828309289136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0.0346812009811401</v>
      </c>
      <c r="C722" s="25" t="n">
        <f aca="false">IF(T721&gt;0,D721,C721)</f>
        <v>0.0346813797950745</v>
      </c>
      <c r="D722" s="41" t="n">
        <f aca="false">(B722+C722)/2</f>
        <v>0.0346812903881073</v>
      </c>
      <c r="E722" s="15" t="n">
        <f aca="false">$C$2*(1+IF(E$3&lt;=$O$2,$D722,$D722-($D722-$I$697)*MIN(E$3-$O$2,$Q$2)/$Q$2))</f>
        <v>3248.89925181866</v>
      </c>
      <c r="F722" s="15" t="n">
        <f aca="false">E722*(1+IF(F$3&lt;=$O$2,$D722,$D722-($D722-$I$697)*MIN(F$3-$O$2,$Q$2)/$Q$2))</f>
        <v>3361.57527021268</v>
      </c>
      <c r="G722" s="15" t="n">
        <f aca="false">F722*(1+IF(G$3&lt;=$O$2,$D722,$D722-($D722-$I$697)*MIN(G$3-$O$2,$Q$2)/$Q$2))</f>
        <v>3478.15903832041</v>
      </c>
      <c r="H722" s="15" t="n">
        <f aca="false">G722*(1+IF(H$3&lt;=$O$2,$D722,$D722-($D722-$I$697)*MIN(H$3-$O$2,$Q$2)/$Q$2))</f>
        <v>3598.78608194442</v>
      </c>
      <c r="I722" s="15" t="n">
        <f aca="false">H722*(1+IF(I$3&lt;=$O$2,$D722,$D722-($D722-$I$697)*MIN(I$3-$O$2,$Q$2)/$Q$2))</f>
        <v>3723.59662709701</v>
      </c>
      <c r="J722" s="15" t="n">
        <f aca="false">I722*(1+IF(J$3&lt;=$O$2,$D722,$D722-($D722-$I$697)*MIN(J$3-$O$2,$Q$2)/$Q$2))</f>
        <v>3855.4306859906</v>
      </c>
      <c r="K722" s="15" t="n">
        <f aca="false">J722*(1+IF(K$3&lt;=$O$2,$D722,$D722-($D722-$I$697)*MIN(K$3-$O$2,$Q$2)/$Q$2))</f>
        <v>3994.72267081521</v>
      </c>
      <c r="L722" s="15" t="n">
        <f aca="false">K722*(1+IF(L$3&lt;=$O$2,$D722,$D722-($D722-$I$697)*MIN(L$3-$O$2,$Q$2)/$Q$2))</f>
        <v>4141.93825257714</v>
      </c>
      <c r="M722" s="15" t="n">
        <f aca="false">L722*(1+IF(M$3&lt;=$O$2,$D722,$D722-($D722-$I$697)*MIN(M$3-$O$2,$Q$2)/$Q$2))</f>
        <v>4297.57679329756</v>
      </c>
      <c r="N722" s="15" t="n">
        <f aca="false">M722*(1+IF(N$3&lt;=$O$2,$D722,$D722-($D722-$I$697)*MIN(N$3-$O$2,$Q$2)/$Q$2))</f>
        <v>4462.17398448085</v>
      </c>
      <c r="O722" s="15" t="n">
        <f aca="false">SUMPRODUCT(E722:N722,1/(1+$F$697)^$E$3:$N$3)*$E$2</f>
        <v>10764.0089753191</v>
      </c>
      <c r="P722" s="15" t="n">
        <f aca="false">N722*$E$2*(1+$I$697)/($F$697-$I$697)/(1+$F$697)^$N$3</f>
        <v>16293.8031385082</v>
      </c>
      <c r="Q722" s="15" t="n">
        <f aca="false">O722+P722</f>
        <v>27057.8121138273</v>
      </c>
      <c r="R722" s="15" t="n">
        <f aca="false">Q722-$G$2+$I$2</f>
        <v>22990.0121138273</v>
      </c>
      <c r="S722" s="42" t="n">
        <f aca="false">R722/$K$2</f>
        <v>176.62885766616</v>
      </c>
      <c r="T722" s="43" t="n">
        <f aca="false">S722-$M$2</f>
        <v>9.30687410516384E-005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200</v>
      </c>
    </row>
    <row r="3" customFormat="false" ht="15" hidden="false" customHeight="false" outlineLevel="0" collapsed="false">
      <c r="B3" s="2" t="s">
        <v>201</v>
      </c>
    </row>
    <row r="5" customFormat="false" ht="15" hidden="false" customHeight="false" outlineLevel="0" collapsed="false">
      <c r="B5" s="3" t="s">
        <v>202</v>
      </c>
    </row>
    <row r="6" customFormat="false" ht="15" hidden="false" customHeight="false" outlineLevel="0" collapsed="false">
      <c r="B6" s="28" t="s">
        <v>151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203</v>
      </c>
      <c r="C7" s="23" t="n">
        <f aca="false">IF(C$6&lt;=Inputs!$C$46,Solver!$W$7,Solver!$W$7-(Solver!$W$7-Inputs!$C$37)*MIN(C$6-Inputs!$C$46,Inputs!$C$47)/Inputs!$C$47)</f>
        <v>0.0263669797582224</v>
      </c>
      <c r="D7" s="23" t="n">
        <f aca="false">IF(D$6&lt;=Inputs!$C$46,Solver!$W$7,Solver!$W$7-(Solver!$W$7-Inputs!$C$37)*MIN(D$6-Inputs!$C$46,Inputs!$C$47)/Inputs!$C$47)</f>
        <v>0.0263669797582224</v>
      </c>
      <c r="E7" s="23" t="n">
        <f aca="false">IF(E$6&lt;=Inputs!$C$46,Solver!$W$7,Solver!$W$7-(Solver!$W$7-Inputs!$C$37)*MIN(E$6-Inputs!$C$46,Inputs!$C$47)/Inputs!$C$47)</f>
        <v>0.0263669797582224</v>
      </c>
      <c r="F7" s="23" t="n">
        <f aca="false">IF(F$6&lt;=Inputs!$C$46,Solver!$W$7,Solver!$W$7-(Solver!$W$7-Inputs!$C$37)*MIN(F$6-Inputs!$C$46,Inputs!$C$47)/Inputs!$C$47)</f>
        <v>0.0263669797582224</v>
      </c>
      <c r="G7" s="23" t="n">
        <f aca="false">IF(G$6&lt;=Inputs!$C$46,Solver!$W$7,Solver!$W$7-(Solver!$W$7-Inputs!$C$37)*MIN(G$6-Inputs!$C$46,Inputs!$C$47)/Inputs!$C$47)</f>
        <v>0.0263669797582224</v>
      </c>
      <c r="H7" s="23" t="n">
        <f aca="false">IF(H$6&lt;=Inputs!$C$46,Solver!$W$7,Solver!$W$7-(Solver!$W$7-Inputs!$C$37)*MIN(H$6-Inputs!$C$46,Inputs!$C$47)/Inputs!$C$47)</f>
        <v>0.026753583806578</v>
      </c>
      <c r="I7" s="23" t="n">
        <f aca="false">IF(I$6&lt;=Inputs!$C$46,Solver!$W$7,Solver!$W$7-(Solver!$W$7-Inputs!$C$37)*MIN(I$6-Inputs!$C$46,Inputs!$C$47)/Inputs!$C$47)</f>
        <v>0.0271401878549335</v>
      </c>
      <c r="J7" s="23" t="n">
        <f aca="false">IF(J$6&lt;=Inputs!$C$46,Solver!$W$7,Solver!$W$7-(Solver!$W$7-Inputs!$C$37)*MIN(J$6-Inputs!$C$46,Inputs!$C$47)/Inputs!$C$47)</f>
        <v>0.027526791903289</v>
      </c>
      <c r="K7" s="23" t="n">
        <f aca="false">IF(K$6&lt;=Inputs!$C$46,Solver!$W$7,Solver!$W$7-(Solver!$W$7-Inputs!$C$37)*MIN(K$6-Inputs!$C$46,Inputs!$C$47)/Inputs!$C$47)</f>
        <v>0.0279133959516445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3222.79231644082</v>
      </c>
      <c r="D8" s="15" t="n">
        <f aca="false">C8*(1+D7)</f>
        <v>3307.76761621337</v>
      </c>
      <c r="E8" s="15" t="n">
        <f aca="false">D8*(1+E7)</f>
        <v>3394.98345799497</v>
      </c>
      <c r="F8" s="15" t="n">
        <f aca="false">E8*(1+F7)</f>
        <v>3484.49891811142</v>
      </c>
      <c r="G8" s="15" t="n">
        <f aca="false">F8*(1+G7)</f>
        <v>3576.37463055282</v>
      </c>
      <c r="H8" s="15" t="n">
        <f aca="false">G8*(1+H7)</f>
        <v>3672.05546895503</v>
      </c>
      <c r="I8" s="15" t="n">
        <f aca="false">H8*(1+I7)</f>
        <v>3771.71574419621</v>
      </c>
      <c r="J8" s="15" t="n">
        <f aca="false">I8*(1+J7)</f>
        <v>3875.53897860505</v>
      </c>
      <c r="K8" s="15" t="n">
        <f aca="false">J8*(1+K7)</f>
        <v>3983.71843264089</v>
      </c>
      <c r="L8" s="15" t="n">
        <f aca="false">K8*(1+L7)</f>
        <v>4096.45766428462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1465.13886360486</v>
      </c>
      <c r="D9" s="15" t="n">
        <f aca="false">D8*Inputs!$C$23</f>
        <v>1503.77015036452</v>
      </c>
      <c r="E9" s="15" t="n">
        <f aca="false">E8*Inputs!$C$23</f>
        <v>1543.4200274802</v>
      </c>
      <c r="F9" s="15" t="n">
        <f aca="false">F8*Inputs!$C$23</f>
        <v>1584.1153521032</v>
      </c>
      <c r="G9" s="15" t="n">
        <f aca="false">G8*Inputs!$C$23</f>
        <v>1625.8836895268</v>
      </c>
      <c r="H9" s="15" t="n">
        <f aca="false">H8*Inputs!$C$23</f>
        <v>1669.3819050743</v>
      </c>
      <c r="I9" s="15" t="n">
        <f aca="false">I8*Inputs!$C$23</f>
        <v>1714.68924357964</v>
      </c>
      <c r="J9" s="15" t="n">
        <f aca="false">J8*Inputs!$C$23</f>
        <v>1761.88913756647</v>
      </c>
      <c r="K9" s="15" t="n">
        <f aca="false">K8*Inputs!$C$23</f>
        <v>1811.06944668626</v>
      </c>
      <c r="L9" s="15" t="n">
        <f aca="false">L8*Inputs!$C$23</f>
        <v>1862.32271202748</v>
      </c>
    </row>
    <row r="10" customFormat="false" ht="15" hidden="false" customHeight="false" outlineLevel="0" collapsed="false">
      <c r="B10" s="5" t="s">
        <v>204</v>
      </c>
      <c r="C10" s="45" t="n">
        <f aca="false">1/(1+WACC!$C$35)^C$6</f>
        <v>0.924264479779325</v>
      </c>
      <c r="D10" s="45" t="n">
        <f aca="false">1/(1+WACC!$C$35)^D$6</f>
        <v>0.854264828581746</v>
      </c>
      <c r="E10" s="45" t="n">
        <f aca="false">1/(1+WACC!$C$35)^E$6</f>
        <v>0.789566637382881</v>
      </c>
      <c r="F10" s="45" t="n">
        <f aca="false">1/(1+WACC!$C$35)^F$6</f>
        <v>0.729768397351799</v>
      </c>
      <c r="G10" s="45" t="n">
        <f aca="false">1/(1+WACC!$C$35)^G$6</f>
        <v>0.674499008137752</v>
      </c>
      <c r="H10" s="45" t="n">
        <f aca="false">1/(1+WACC!$C$35)^H$6</f>
        <v>0.62341547486811</v>
      </c>
      <c r="I10" s="45" t="n">
        <f aca="false">1/(1+WACC!$C$35)^I$6</f>
        <v>0.576200779565354</v>
      </c>
      <c r="J10" s="45" t="n">
        <f aca="false">1/(1+WACC!$C$35)^J$6</f>
        <v>0.532561913773413</v>
      </c>
      <c r="K10" s="45" t="n">
        <f aca="false">1/(1+WACC!$C$35)^K$6</f>
        <v>0.492228060184065</v>
      </c>
      <c r="L10" s="45" t="n">
        <f aca="false">1/(1+WACC!$C$35)^L$6</f>
        <v>0.454948911978811</v>
      </c>
    </row>
    <row r="11" customFormat="false" ht="15" hidden="false" customHeight="false" outlineLevel="0" collapsed="false">
      <c r="B11" s="5" t="s">
        <v>205</v>
      </c>
      <c r="C11" s="15" t="n">
        <f aca="false">C9*C10</f>
        <v>1354.17580957422</v>
      </c>
      <c r="D11" s="15" t="n">
        <f aca="false">D9*D10</f>
        <v>1284.61794972749</v>
      </c>
      <c r="E11" s="15" t="n">
        <f aca="false">E9*E10</f>
        <v>1218.63296116693</v>
      </c>
      <c r="F11" s="15" t="n">
        <f aca="false">F9*F10</f>
        <v>1156.03732172473</v>
      </c>
      <c r="G11" s="15" t="n">
        <f aca="false">G9*G10</f>
        <v>1096.65693593317</v>
      </c>
      <c r="H11" s="15" t="n">
        <f aca="false">H9*H10</f>
        <v>1040.71851308812</v>
      </c>
      <c r="I11" s="15" t="n">
        <f aca="false">I9*I10</f>
        <v>988.005278862918</v>
      </c>
      <c r="J11" s="15" t="n">
        <f aca="false">J9*J10</f>
        <v>938.315050958987</v>
      </c>
      <c r="K11" s="15" t="n">
        <f aca="false">K9*K10</f>
        <v>891.459200601007</v>
      </c>
      <c r="L11" s="15" t="n">
        <f aca="false">L9*L10</f>
        <v>847.261691590332</v>
      </c>
    </row>
    <row r="13" customFormat="false" ht="15" hidden="false" customHeight="false" outlineLevel="0" collapsed="false">
      <c r="B13" s="5" t="s">
        <v>206</v>
      </c>
      <c r="C13" s="15" t="n">
        <f aca="false">SUM(C11:L11)</f>
        <v>10815.8807132279</v>
      </c>
    </row>
    <row r="14" customFormat="false" ht="15" hidden="false" customHeight="false" outlineLevel="0" collapsed="false">
      <c r="B14" s="5" t="s">
        <v>207</v>
      </c>
      <c r="C14" s="15" t="n">
        <f aca="false">L9*(1+Inputs!$C$37)/(WACC!$C$35-Inputs!$C$37)</f>
        <v>35700.5344101723</v>
      </c>
    </row>
    <row r="15" customFormat="false" ht="15" hidden="false" customHeight="false" outlineLevel="0" collapsed="false">
      <c r="B15" s="5" t="s">
        <v>208</v>
      </c>
      <c r="C15" s="15" t="n">
        <f aca="false">C14*L10</f>
        <v>16241.91928697</v>
      </c>
    </row>
    <row r="16" customFormat="false" ht="15" hidden="false" customHeight="false" outlineLevel="0" collapsed="false">
      <c r="B16" s="7" t="s">
        <v>209</v>
      </c>
      <c r="C16" s="15" t="n">
        <f aca="false">C13+C15</f>
        <v>27057.8000001979</v>
      </c>
    </row>
    <row r="17" customFormat="false" ht="15" hidden="false" customHeight="false" outlineLevel="0" collapsed="false">
      <c r="B17" s="5" t="s">
        <v>210</v>
      </c>
      <c r="C17" s="16" t="n">
        <f aca="false">-Inputs!$C$27</f>
        <v>-4620</v>
      </c>
    </row>
    <row r="18" customFormat="false" ht="15" hidden="false" customHeight="false" outlineLevel="0" collapsed="false">
      <c r="B18" s="5" t="s">
        <v>211</v>
      </c>
      <c r="C18" s="16" t="n">
        <f aca="false">Inputs!$C$28</f>
        <v>552.2</v>
      </c>
    </row>
    <row r="19" customFormat="false" ht="15" hidden="false" customHeight="false" outlineLevel="0" collapsed="false">
      <c r="B19" s="5" t="s">
        <v>212</v>
      </c>
      <c r="C19" s="15" t="n">
        <f aca="false">SUM(C16:C18)</f>
        <v>22990.0000001979</v>
      </c>
    </row>
    <row r="20" customFormat="false" ht="15" hidden="false" customHeight="false" outlineLevel="0" collapsed="false">
      <c r="B20" s="5" t="s">
        <v>213</v>
      </c>
      <c r="C20" s="36" t="n">
        <f aca="false">Inputs!$C$7</f>
        <v>130.16</v>
      </c>
    </row>
    <row r="21" customFormat="false" ht="15" hidden="false" customHeight="false" outlineLevel="0" collapsed="false">
      <c r="B21" s="7" t="s">
        <v>214</v>
      </c>
      <c r="C21" s="46" t="n">
        <f aca="false">C19/C20</f>
        <v>176.628764598939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176.628764597419</v>
      </c>
    </row>
    <row r="23" customFormat="false" ht="15" hidden="false" customHeight="false" outlineLevel="0" collapsed="false">
      <c r="B23" s="5" t="s">
        <v>215</v>
      </c>
      <c r="C23" s="23" t="n">
        <f aca="false">C21/C22-1</f>
        <v>8.60889137754839E-012</v>
      </c>
    </row>
    <row r="24" customFormat="false" ht="15" hidden="false" customHeight="false" outlineLevel="0" collapsed="false">
      <c r="B24" s="5" t="s">
        <v>216</v>
      </c>
      <c r="C24" s="23" t="n">
        <f aca="false">C15/C16</f>
        <v>0.600267548982223</v>
      </c>
    </row>
    <row r="25" customFormat="false" ht="15" hidden="false" customHeight="false" outlineLevel="0" collapsed="false">
      <c r="B25" s="3" t="s">
        <v>217</v>
      </c>
    </row>
    <row r="26" customFormat="false" ht="15" hidden="false" customHeight="false" outlineLevel="0" collapsed="false">
      <c r="B26" s="28" t="s">
        <v>151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203</v>
      </c>
      <c r="C27" s="23" t="n">
        <f aca="false">IF(C$26&lt;=Inputs!$C$46,Inputs!$C$45,Inputs!$C$45-(Inputs!$C$45-Inputs!$C$37)*MIN(C$26-Inputs!$C$46,Inputs!$C$47)/Inputs!$C$47)</f>
        <v>0.0627554448798554</v>
      </c>
      <c r="D27" s="23" t="n">
        <f aca="false">IF(D$26&lt;=Inputs!$C$46,Inputs!$C$45,Inputs!$C$45-(Inputs!$C$45-Inputs!$C$37)*MIN(D$26-Inputs!$C$46,Inputs!$C$47)/Inputs!$C$47)</f>
        <v>0.0627554448798554</v>
      </c>
      <c r="E27" s="23" t="n">
        <f aca="false">IF(E$26&lt;=Inputs!$C$46,Inputs!$C$45,Inputs!$C$45-(Inputs!$C$45-Inputs!$C$37)*MIN(E$26-Inputs!$C$46,Inputs!$C$47)/Inputs!$C$47)</f>
        <v>0.0627554448798554</v>
      </c>
      <c r="F27" s="23" t="n">
        <f aca="false">IF(F$26&lt;=Inputs!$C$46,Inputs!$C$45,Inputs!$C$45-(Inputs!$C$45-Inputs!$C$37)*MIN(F$26-Inputs!$C$46,Inputs!$C$47)/Inputs!$C$47)</f>
        <v>0.0627554448798554</v>
      </c>
      <c r="G27" s="23" t="n">
        <f aca="false">IF(G$26&lt;=Inputs!$C$46,Inputs!$C$45,Inputs!$C$45-(Inputs!$C$45-Inputs!$C$37)*MIN(G$26-Inputs!$C$46,Inputs!$C$47)/Inputs!$C$47)</f>
        <v>0.0627554448798554</v>
      </c>
      <c r="H27" s="23" t="n">
        <f aca="false">IF(H$26&lt;=Inputs!$C$46,Inputs!$C$45,Inputs!$C$45-(Inputs!$C$45-Inputs!$C$37)*MIN(H$26-Inputs!$C$46,Inputs!$C$47)/Inputs!$C$47)</f>
        <v>0.0558643559038843</v>
      </c>
      <c r="I27" s="23" t="n">
        <f aca="false">IF(I$26&lt;=Inputs!$C$46,Inputs!$C$45,Inputs!$C$45-(Inputs!$C$45-Inputs!$C$37)*MIN(I$26-Inputs!$C$46,Inputs!$C$47)/Inputs!$C$47)</f>
        <v>0.0489732669279133</v>
      </c>
      <c r="J27" s="23" t="n">
        <f aca="false">IF(J$26&lt;=Inputs!$C$46,Inputs!$C$45,Inputs!$C$45-(Inputs!$C$45-Inputs!$C$37)*MIN(J$26-Inputs!$C$46,Inputs!$C$47)/Inputs!$C$47)</f>
        <v>0.0420821779519422</v>
      </c>
      <c r="K27" s="23" t="n">
        <f aca="false">IF(K$26&lt;=Inputs!$C$46,Inputs!$C$45,Inputs!$C$45-(Inputs!$C$45-Inputs!$C$37)*MIN(K$26-Inputs!$C$46,Inputs!$C$47)/Inputs!$C$47)</f>
        <v>0.0351910889759711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3337.05209692275</v>
      </c>
      <c r="D28" s="15" t="n">
        <f aca="false">C28*(1+D27)</f>
        <v>3546.47028585239</v>
      </c>
      <c r="E28" s="15" t="n">
        <f aca="false">D28*(1+E27)</f>
        <v>3769.03060639424</v>
      </c>
      <c r="F28" s="15" t="n">
        <f aca="false">E28*(1+F27)</f>
        <v>4005.5577988643</v>
      </c>
      <c r="G28" s="15" t="n">
        <f aca="false">F28*(1+G27)</f>
        <v>4256.92836052401</v>
      </c>
      <c r="H28" s="15" t="n">
        <f aca="false">G28*(1+H27)</f>
        <v>4494.73892151366</v>
      </c>
      <c r="I28" s="15" t="n">
        <f aca="false">H28*(1+I27)</f>
        <v>4714.86097048823</v>
      </c>
      <c r="J28" s="15" t="n">
        <f aca="false">I28*(1+J27)</f>
        <v>4913.27258886698</v>
      </c>
      <c r="K28" s="15" t="n">
        <f aca="false">J28*(1+K27)</f>
        <v>5086.176001705</v>
      </c>
      <c r="L28" s="15" t="n">
        <f aca="false">K28*(1+L27)</f>
        <v>5230.11478255325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1517.08339756599</v>
      </c>
      <c r="D29" s="15" t="n">
        <f aca="false">D28*Inputs!$C$23</f>
        <v>1612.28864110009</v>
      </c>
      <c r="E29" s="15" t="n">
        <f aca="false">E28*Inputs!$C$23</f>
        <v>1713.46853204706</v>
      </c>
      <c r="F29" s="15" t="n">
        <f aca="false">F28*Inputs!$C$23</f>
        <v>1820.99801206331</v>
      </c>
      <c r="G29" s="15" t="n">
        <f aca="false">G28*Inputs!$C$23</f>
        <v>1935.27555243567</v>
      </c>
      <c r="H29" s="15" t="n">
        <f aca="false">H28*Inputs!$C$23</f>
        <v>2043.38847466903</v>
      </c>
      <c r="I29" s="15" t="n">
        <f aca="false">I28*Inputs!$C$23</f>
        <v>2143.45988387642</v>
      </c>
      <c r="J29" s="15" t="n">
        <f aca="false">J28*Inputs!$C$23</f>
        <v>2233.66134414255</v>
      </c>
      <c r="K29" s="15" t="n">
        <f aca="false">K28*Inputs!$C$23</f>
        <v>2312.26631924646</v>
      </c>
      <c r="L29" s="15" t="n">
        <f aca="false">L28*Inputs!$C$23</f>
        <v>2377.70345608113</v>
      </c>
    </row>
    <row r="30" customFormat="false" ht="15" hidden="false" customHeight="false" outlineLevel="0" collapsed="false">
      <c r="B30" s="5" t="s">
        <v>204</v>
      </c>
      <c r="C30" s="45" t="n">
        <f aca="false">1/(1+WACC!$C$35)^C$26</f>
        <v>0.924264479779325</v>
      </c>
      <c r="D30" s="45" t="n">
        <f aca="false">1/(1+WACC!$C$35)^D$26</f>
        <v>0.854264828581746</v>
      </c>
      <c r="E30" s="45" t="n">
        <f aca="false">1/(1+WACC!$C$35)^E$26</f>
        <v>0.789566637382881</v>
      </c>
      <c r="F30" s="45" t="n">
        <f aca="false">1/(1+WACC!$C$35)^F$26</f>
        <v>0.729768397351799</v>
      </c>
      <c r="G30" s="45" t="n">
        <f aca="false">1/(1+WACC!$C$35)^G$26</f>
        <v>0.674499008137752</v>
      </c>
      <c r="H30" s="45" t="n">
        <f aca="false">1/(1+WACC!$C$35)^H$26</f>
        <v>0.62341547486811</v>
      </c>
      <c r="I30" s="45" t="n">
        <f aca="false">1/(1+WACC!$C$35)^I$26</f>
        <v>0.576200779565354</v>
      </c>
      <c r="J30" s="45" t="n">
        <f aca="false">1/(1+WACC!$C$35)^J$26</f>
        <v>0.532561913773413</v>
      </c>
      <c r="K30" s="45" t="n">
        <f aca="false">1/(1+WACC!$C$35)^K$26</f>
        <v>0.492228060184065</v>
      </c>
      <c r="L30" s="45" t="n">
        <f aca="false">1/(1+WACC!$C$35)^L$26</f>
        <v>0.454948911978811</v>
      </c>
    </row>
    <row r="31" customFormat="false" ht="15" hidden="false" customHeight="false" outlineLevel="0" collapsed="false">
      <c r="B31" s="5" t="s">
        <v>205</v>
      </c>
      <c r="C31" s="15" t="n">
        <f aca="false">C29*C30</f>
        <v>1402.18629723318</v>
      </c>
      <c r="D31" s="15" t="n">
        <f aca="false">D29*D30</f>
        <v>1377.32147961366</v>
      </c>
      <c r="E31" s="15" t="n">
        <f aca="false">E29*E30</f>
        <v>1352.89758710978</v>
      </c>
      <c r="F31" s="15" t="n">
        <f aca="false">F29*F30</f>
        <v>1328.90680084425</v>
      </c>
      <c r="G31" s="15" t="n">
        <f aca="false">G29*G30</f>
        <v>1305.3414405911</v>
      </c>
      <c r="H31" s="15" t="n">
        <f aca="false">H29*H30</f>
        <v>1273.87999627581</v>
      </c>
      <c r="I31" s="15" t="n">
        <f aca="false">I29*I30</f>
        <v>1235.06325605665</v>
      </c>
      <c r="J31" s="15" t="n">
        <f aca="false">J29*J30</f>
        <v>1189.56296015825</v>
      </c>
      <c r="K31" s="15" t="n">
        <f aca="false">K29*K30</f>
        <v>1138.16236495163</v>
      </c>
      <c r="L31" s="15" t="n">
        <f aca="false">L29*L30</f>
        <v>1081.73360035237</v>
      </c>
    </row>
    <row r="33" customFormat="false" ht="15" hidden="false" customHeight="false" outlineLevel="0" collapsed="false">
      <c r="B33" s="5" t="s">
        <v>206</v>
      </c>
      <c r="C33" s="15" t="n">
        <f aca="false">SUM(C31:L31)</f>
        <v>12685.0557831867</v>
      </c>
    </row>
    <row r="34" customFormat="false" ht="15" hidden="false" customHeight="false" outlineLevel="0" collapsed="false">
      <c r="B34" s="5" t="s">
        <v>207</v>
      </c>
      <c r="C34" s="15" t="n">
        <f aca="false">L29*(1+Inputs!$C$37)/(WACC!$C$35-Inputs!$C$37)</f>
        <v>45580.3301451427</v>
      </c>
    </row>
    <row r="35" customFormat="false" ht="15" hidden="false" customHeight="false" outlineLevel="0" collapsed="false">
      <c r="B35" s="5" t="s">
        <v>208</v>
      </c>
      <c r="C35" s="15" t="n">
        <f aca="false">C34*L30</f>
        <v>20736.7216071677</v>
      </c>
    </row>
    <row r="36" customFormat="false" ht="15" hidden="false" customHeight="false" outlineLevel="0" collapsed="false">
      <c r="B36" s="7" t="s">
        <v>209</v>
      </c>
      <c r="C36" s="15" t="n">
        <f aca="false">C33+C35</f>
        <v>33421.7773903544</v>
      </c>
    </row>
    <row r="37" customFormat="false" ht="15" hidden="false" customHeight="false" outlineLevel="0" collapsed="false">
      <c r="B37" s="5" t="s">
        <v>210</v>
      </c>
      <c r="C37" s="16" t="n">
        <f aca="false">-Inputs!$C$27</f>
        <v>-4620</v>
      </c>
    </row>
    <row r="38" customFormat="false" ht="15" hidden="false" customHeight="false" outlineLevel="0" collapsed="false">
      <c r="B38" s="5" t="s">
        <v>211</v>
      </c>
      <c r="C38" s="16" t="n">
        <f aca="false">Inputs!$C$28</f>
        <v>552.2</v>
      </c>
    </row>
    <row r="39" customFormat="false" ht="15" hidden="false" customHeight="false" outlineLevel="0" collapsed="false">
      <c r="B39" s="5" t="s">
        <v>212</v>
      </c>
      <c r="C39" s="15" t="n">
        <f aca="false">SUM(C36:C38)</f>
        <v>29353.9773903544</v>
      </c>
    </row>
    <row r="40" customFormat="false" ht="15" hidden="false" customHeight="false" outlineLevel="0" collapsed="false">
      <c r="B40" s="5" t="s">
        <v>213</v>
      </c>
      <c r="C40" s="36" t="n">
        <f aca="false">Inputs!$C$7</f>
        <v>130.16</v>
      </c>
    </row>
    <row r="41" customFormat="false" ht="15" hidden="false" customHeight="false" outlineLevel="0" collapsed="false">
      <c r="B41" s="7" t="s">
        <v>214</v>
      </c>
      <c r="C41" s="46" t="n">
        <f aca="false">C39/C40</f>
        <v>225.522260220915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176.628764597419</v>
      </c>
    </row>
    <row r="43" customFormat="false" ht="15" hidden="false" customHeight="false" outlineLevel="0" collapsed="false">
      <c r="B43" s="5" t="s">
        <v>215</v>
      </c>
      <c r="C43" s="23" t="n">
        <f aca="false">C41/C42-1</f>
        <v>0.276815023503887</v>
      </c>
    </row>
    <row r="44" customFormat="false" ht="15" hidden="false" customHeight="false" outlineLevel="0" collapsed="false">
      <c r="B44" s="5" t="s">
        <v>216</v>
      </c>
      <c r="C44" s="23" t="n">
        <f aca="false">C35/C36</f>
        <v>0.620455380483515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218</v>
      </c>
    </row>
    <row r="3" customFormat="false" ht="15" hidden="false" customHeight="false" outlineLevel="0" collapsed="false">
      <c r="B3" s="2" t="s">
        <v>219</v>
      </c>
    </row>
    <row r="5" customFormat="false" ht="15" hidden="false" customHeight="false" outlineLevel="0" collapsed="false">
      <c r="B5" s="5" t="s">
        <v>220</v>
      </c>
      <c r="C5" s="24" t="n">
        <v>0.005</v>
      </c>
      <c r="D5" s="5" t="s">
        <v>221</v>
      </c>
      <c r="F5" s="24" t="n">
        <v>0.005</v>
      </c>
    </row>
    <row r="6" customFormat="false" ht="15" hidden="false" customHeight="false" outlineLevel="0" collapsed="false">
      <c r="B6" s="5" t="s">
        <v>222</v>
      </c>
      <c r="C6" s="24" t="n">
        <v>0.02</v>
      </c>
    </row>
    <row r="8" customFormat="false" ht="15" hidden="false" customHeight="false" outlineLevel="0" collapsed="false">
      <c r="B8" s="3" t="s">
        <v>223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WACC!$C$35+(0-2)*$C$5</f>
        <v>0.0719413943493295</v>
      </c>
      <c r="C10" s="9" t="n">
        <f aca="false">Solver!$D$74</f>
        <v>0.018042117357254</v>
      </c>
      <c r="D10" s="9" t="n">
        <f aca="false">Solver!$D$101</f>
        <v>0.00581410527229309</v>
      </c>
      <c r="E10" s="9" t="n">
        <f aca="false">Solver!$D$128</f>
        <v>-0.00770601630210877</v>
      </c>
      <c r="F10" s="9" t="n">
        <f aca="false">Solver!$D$155</f>
        <v>-0.0228179395198822</v>
      </c>
      <c r="G10" s="9" t="n">
        <f aca="false">Solver!$D$182</f>
        <v>-0.0399408042430878</v>
      </c>
      <c r="I10" s="19" t="s">
        <v>224</v>
      </c>
    </row>
    <row r="11" customFormat="false" ht="15" hidden="false" customHeight="false" outlineLevel="0" collapsed="false">
      <c r="B11" s="47" t="n">
        <f aca="false">WACC!$C$35+(1-2)*$C$5</f>
        <v>0.0769413943493295</v>
      </c>
      <c r="C11" s="9" t="n">
        <f aca="false">Solver!$D$209</f>
        <v>0.033414751291275</v>
      </c>
      <c r="D11" s="9" t="n">
        <f aca="false">Solver!$D$236</f>
        <v>0.0222059786319733</v>
      </c>
      <c r="E11" s="9" t="n">
        <f aca="false">Solver!$D$263</f>
        <v>0.00992217659950256</v>
      </c>
      <c r="F11" s="9" t="n">
        <f aca="false">Solver!$D$290</f>
        <v>-0.00365927815437317</v>
      </c>
      <c r="G11" s="9" t="n">
        <f aca="false">Solver!$D$317</f>
        <v>-0.0188393294811249</v>
      </c>
    </row>
    <row r="12" customFormat="false" ht="15" hidden="false" customHeight="false" outlineLevel="0" collapsed="false">
      <c r="B12" s="47" t="n">
        <f aca="false">WACC!$C$35+(2-2)*$C$5</f>
        <v>0.0819413943493295</v>
      </c>
      <c r="C12" s="9" t="n">
        <f aca="false">Solver!$D$344</f>
        <v>0.0479775369167328</v>
      </c>
      <c r="D12" s="9" t="n">
        <f aca="false">Solver!$D$371</f>
        <v>0.0376268923282623</v>
      </c>
      <c r="E12" s="8" t="n">
        <f aca="false">Solver!$D$398</f>
        <v>0.0263669788837433</v>
      </c>
      <c r="F12" s="9" t="n">
        <f aca="false">Solver!$D$425</f>
        <v>0.0140273869037628</v>
      </c>
      <c r="G12" s="9" t="n">
        <f aca="false">Solver!$D$452</f>
        <v>0.000384777784347534</v>
      </c>
    </row>
    <row r="13" customFormat="false" ht="15" hidden="false" customHeight="false" outlineLevel="0" collapsed="false">
      <c r="B13" s="47" t="n">
        <f aca="false">WACC!$C$35+(3-2)*$C$5</f>
        <v>0.0869413943493295</v>
      </c>
      <c r="C13" s="9" t="n">
        <f aca="false">Solver!$D$479</f>
        <v>0.0618522465229034</v>
      </c>
      <c r="D13" s="9" t="n">
        <f aca="false">Solver!$D$506</f>
        <v>0.0522343814373016</v>
      </c>
      <c r="E13" s="9" t="n">
        <f aca="false">Solver!$D$533</f>
        <v>0.0418365299701691</v>
      </c>
      <c r="F13" s="9" t="n">
        <f aca="false">Solver!$D$560</f>
        <v>0.0305254757404327</v>
      </c>
      <c r="G13" s="9" t="n">
        <f aca="false">Solver!$D$587</f>
        <v>0.0181300938129425</v>
      </c>
    </row>
    <row r="14" customFormat="false" ht="15" hidden="false" customHeight="false" outlineLevel="0" collapsed="false">
      <c r="B14" s="47" t="n">
        <f aca="false">WACC!$C$35+(4-2)*$C$5</f>
        <v>0.0919413943493295</v>
      </c>
      <c r="C14" s="9" t="n">
        <f aca="false">Solver!$D$614</f>
        <v>0.0751352608203888</v>
      </c>
      <c r="D14" s="9" t="n">
        <f aca="false">Solver!$D$641</f>
        <v>0.0661503970623016</v>
      </c>
      <c r="E14" s="9" t="n">
        <f aca="false">Solver!$D$668</f>
        <v>0.0564885437488556</v>
      </c>
      <c r="F14" s="9" t="n">
        <f aca="false">Solver!$D$695</f>
        <v>0.0460434854030609</v>
      </c>
      <c r="G14" s="9" t="n">
        <f aca="false">Solver!$D$722</f>
        <v>0.0346812903881073</v>
      </c>
    </row>
    <row r="17" customFormat="false" ht="15" hidden="false" customHeight="false" outlineLevel="0" collapsed="false">
      <c r="B17" s="3" t="s">
        <v>225</v>
      </c>
    </row>
    <row r="18" customFormat="false" ht="15" hidden="false" customHeight="false" outlineLevel="0" collapsed="false">
      <c r="C18" s="48" t="n">
        <f aca="false">Inputs!$C$45+(0-2)*$C$6</f>
        <v>0.0227554448798554</v>
      </c>
      <c r="D18" s="48" t="n">
        <f aca="false">Inputs!$C$45+(1-2)*$C$6</f>
        <v>0.0427554448798554</v>
      </c>
      <c r="E18" s="48" t="n">
        <f aca="false">Inputs!$C$45+(2-2)*$C$6</f>
        <v>0.0627554448798554</v>
      </c>
      <c r="F18" s="48" t="n">
        <f aca="false">Inputs!$C$45+(3-2)*$C$6</f>
        <v>0.0827554448798554</v>
      </c>
      <c r="G18" s="48" t="n">
        <f aca="false">Inputs!$C$45+(4-2)*$C$6</f>
        <v>0.102755444879855</v>
      </c>
    </row>
    <row r="19" customFormat="false" ht="15" hidden="false" customHeight="false" outlineLevel="0" collapsed="false">
      <c r="B19" s="47" t="n">
        <f aca="false">WACC!$C$35+(0-2)*$C$5</f>
        <v>0.0719413943493295</v>
      </c>
      <c r="C19" s="42" t="n">
        <f aca="false">(SUMPRODUCT($C28:$L28,1/(1+$B19)^$C$27:$L$27)*Inputs!$C$23+$L28*Inputs!$C$23*(1+Inputs!$C$37)/($B19-Inputs!$C$37)/(1+$B19)^$L$27-Inputs!$C$27+Inputs!$C$28)/Inputs!$C$7</f>
        <v>218.699887406169</v>
      </c>
      <c r="D19" s="42" t="n">
        <f aca="false">(SUMPRODUCT($C29:$L29,1/(1+$B19)^$C$27:$L$27)*Inputs!$C$23+$L29*Inputs!$C$23*(1+Inputs!$C$37)/($B19-Inputs!$C$37)/(1+$B19)^$L$27-Inputs!$C$27+Inputs!$C$28)/Inputs!$C$7</f>
        <v>250.499058677792</v>
      </c>
      <c r="E19" s="42" t="n">
        <f aca="false">(SUMPRODUCT($C30:$L30,1/(1+$B19)^$C$27:$L$27)*Inputs!$C$23+$L30*Inputs!$C$23*(1+Inputs!$C$37)/($B19-Inputs!$C$37)/(1+$B19)^$L$27-Inputs!$C$27+Inputs!$C$28)/Inputs!$C$7</f>
        <v>286.011619592506</v>
      </c>
      <c r="F19" s="42" t="n">
        <f aca="false">(SUMPRODUCT($C31:$L31,1/(1+$B19)^$C$27:$L$27)*Inputs!$C$23+$L31*Inputs!$C$23*(1+Inputs!$C$37)/($B19-Inputs!$C$37)/(1+$B19)^$L$27-Inputs!$C$27+Inputs!$C$28)/Inputs!$C$7</f>
        <v>325.613773733124</v>
      </c>
      <c r="G19" s="42" t="n">
        <f aca="false">(SUMPRODUCT($C32:$L32,1/(1+$B19)^$C$27:$L$27)*Inputs!$C$23+$L32*Inputs!$C$23*(1+Inputs!$C$37)/($B19-Inputs!$C$37)/(1+$B19)^$L$27-Inputs!$C$27+Inputs!$C$28)/Inputs!$C$7</f>
        <v>369.713482865159</v>
      </c>
      <c r="I19" s="19" t="s">
        <v>226</v>
      </c>
    </row>
    <row r="20" customFormat="false" ht="15" hidden="false" customHeight="false" outlineLevel="0" collapsed="false">
      <c r="B20" s="47" t="n">
        <f aca="false">WACC!$C$35+(1-2)*$C$5</f>
        <v>0.0769413943493295</v>
      </c>
      <c r="C20" s="42" t="n">
        <f aca="false">(SUMPRODUCT($C28:$L28,1/(1+$B20)^$C$27:$L$27)*Inputs!$C$23+$L28*Inputs!$C$23*(1+Inputs!$C$37)/($B20-Inputs!$C$37)/(1+$B20)^$L$27-Inputs!$C$27+Inputs!$C$28)/Inputs!$C$7</f>
        <v>193.108440875562</v>
      </c>
      <c r="D20" s="42" t="n">
        <f aca="false">(SUMPRODUCT($C29:$L29,1/(1+$B20)^$C$27:$L$27)*Inputs!$C$23+$L29*Inputs!$C$23*(1+Inputs!$C$37)/($B20-Inputs!$C$37)/(1+$B20)^$L$27-Inputs!$C$27+Inputs!$C$28)/Inputs!$C$7</f>
        <v>221.247567212722</v>
      </c>
      <c r="E20" s="42" t="n">
        <f aca="false">(SUMPRODUCT($C30:$L30,1/(1+$B20)^$C$27:$L$27)*Inputs!$C$23+$L30*Inputs!$C$23*(1+Inputs!$C$37)/($B20-Inputs!$C$37)/(1+$B20)^$L$27-Inputs!$C$27+Inputs!$C$28)/Inputs!$C$7</f>
        <v>252.648250718367</v>
      </c>
      <c r="F20" s="42" t="n">
        <f aca="false">(SUMPRODUCT($C31:$L31,1/(1+$B20)^$C$27:$L$27)*Inputs!$C$23+$L31*Inputs!$C$23*(1+Inputs!$C$37)/($B20-Inputs!$C$37)/(1+$B20)^$L$27-Inputs!$C$27+Inputs!$C$28)/Inputs!$C$7</f>
        <v>287.639530375755</v>
      </c>
      <c r="G20" s="42" t="n">
        <f aca="false">(SUMPRODUCT($C32:$L32,1/(1+$B20)^$C$27:$L$27)*Inputs!$C$23+$L32*Inputs!$C$23*(1+Inputs!$C$37)/($B20-Inputs!$C$37)/(1+$B20)^$L$27-Inputs!$C$27+Inputs!$C$28)/Inputs!$C$7</f>
        <v>326.578141236173</v>
      </c>
    </row>
    <row r="21" customFormat="false" ht="15" hidden="false" customHeight="false" outlineLevel="0" collapsed="false">
      <c r="B21" s="47" t="n">
        <f aca="false">WACC!$C$35+(2-2)*$C$5</f>
        <v>0.0819413943493295</v>
      </c>
      <c r="C21" s="42" t="n">
        <f aca="false">(SUMPRODUCT($C28:$L28,1/(1+$B21)^$C$27:$L$27)*Inputs!$C$23+$L28*Inputs!$C$23*(1+Inputs!$C$37)/($B21-Inputs!$C$37)/(1+$B21)^$L$27-Inputs!$C$27+Inputs!$C$28)/Inputs!$C$7</f>
        <v>172.285483717594</v>
      </c>
      <c r="D21" s="42" t="n">
        <f aca="false">(SUMPRODUCT($C29:$L29,1/(1+$B21)^$C$27:$L$27)*Inputs!$C$23+$L29*Inputs!$C$23*(1+Inputs!$C$37)/($B21-Inputs!$C$37)/(1+$B21)^$L$27-Inputs!$C$27+Inputs!$C$28)/Inputs!$C$7</f>
        <v>197.455975101437</v>
      </c>
      <c r="E21" s="46" t="n">
        <f aca="false">(SUMPRODUCT($C30:$L30,1/(1+$B21)^$C$27:$L$27)*Inputs!$C$23+$L30*Inputs!$C$23*(1+Inputs!$C$37)/($B21-Inputs!$C$37)/(1+$B21)^$L$27-Inputs!$C$27+Inputs!$C$28)/Inputs!$C$7</f>
        <v>225.522260220915</v>
      </c>
      <c r="F21" s="42" t="n">
        <f aca="false">(SUMPRODUCT($C31:$L31,1/(1+$B21)^$C$27:$L$27)*Inputs!$C$23+$L31*Inputs!$C$23*(1+Inputs!$C$37)/($B21-Inputs!$C$37)/(1+$B21)^$L$27-Inputs!$C$27+Inputs!$C$28)/Inputs!$C$7</f>
        <v>256.7752491301</v>
      </c>
      <c r="G21" s="42" t="n">
        <f aca="false">(SUMPRODUCT($C32:$L32,1/(1+$B21)^$C$27:$L$27)*Inputs!$C$23+$L32*Inputs!$C$23*(1+Inputs!$C$37)/($B21-Inputs!$C$37)/(1+$B21)^$L$27-Inputs!$C$27+Inputs!$C$28)/Inputs!$C$7</f>
        <v>291.53026745512</v>
      </c>
    </row>
    <row r="22" customFormat="false" ht="15" hidden="false" customHeight="false" outlineLevel="0" collapsed="false">
      <c r="B22" s="47" t="n">
        <f aca="false">WACC!$C$35+(3-2)*$C$5</f>
        <v>0.0869413943493295</v>
      </c>
      <c r="C22" s="42" t="n">
        <f aca="false">(SUMPRODUCT($C28:$L28,1/(1+$B22)^$C$27:$L$27)*Inputs!$C$23+$L28*Inputs!$C$23*(1+Inputs!$C$37)/($B22-Inputs!$C$37)/(1+$B22)^$L$27-Inputs!$C$27+Inputs!$C$28)/Inputs!$C$7</f>
        <v>155.011344768159</v>
      </c>
      <c r="D22" s="42" t="n">
        <f aca="false">(SUMPRODUCT($C29:$L29,1/(1+$B22)^$C$27:$L$27)*Inputs!$C$23+$L29*Inputs!$C$23*(1+Inputs!$C$37)/($B22-Inputs!$C$37)/(1+$B22)^$L$27-Inputs!$C$27+Inputs!$C$28)/Inputs!$C$7</f>
        <v>177.72748060261</v>
      </c>
      <c r="E22" s="42" t="n">
        <f aca="false">(SUMPRODUCT($C30:$L30,1/(1+$B22)^$C$27:$L$27)*Inputs!$C$23+$L30*Inputs!$C$23*(1+Inputs!$C$37)/($B22-Inputs!$C$37)/(1+$B22)^$L$27-Inputs!$C$27+Inputs!$C$28)/Inputs!$C$7</f>
        <v>203.03764071158</v>
      </c>
      <c r="F22" s="42" t="n">
        <f aca="false">(SUMPRODUCT($C31:$L31,1/(1+$B22)^$C$27:$L$27)*Inputs!$C$23+$L31*Inputs!$C$23*(1+Inputs!$C$37)/($B22-Inputs!$C$37)/(1+$B22)^$L$27-Inputs!$C$27+Inputs!$C$28)/Inputs!$C$7</f>
        <v>231.201322346136</v>
      </c>
      <c r="G22" s="42" t="n">
        <f aca="false">(SUMPRODUCT($C32:$L32,1/(1+$B22)^$C$27:$L$27)*Inputs!$C$23+$L32*Inputs!$C$23*(1+Inputs!$C$37)/($B22-Inputs!$C$37)/(1+$B22)^$L$27-Inputs!$C$27+Inputs!$C$28)/Inputs!$C$7</f>
        <v>262.499738652856</v>
      </c>
    </row>
    <row r="23" customFormat="false" ht="15" hidden="false" customHeight="false" outlineLevel="0" collapsed="false">
      <c r="B23" s="47" t="n">
        <f aca="false">WACC!$C$35+(4-2)*$C$5</f>
        <v>0.0919413943493295</v>
      </c>
      <c r="C23" s="42" t="n">
        <f aca="false">(SUMPRODUCT($C28:$L28,1/(1+$B23)^$C$27:$L$27)*Inputs!$C$23+$L28*Inputs!$C$23*(1+Inputs!$C$37)/($B23-Inputs!$C$37)/(1+$B23)^$L$27-Inputs!$C$27+Inputs!$C$28)/Inputs!$C$7</f>
        <v>140.449645258233</v>
      </c>
      <c r="D23" s="42" t="n">
        <f aca="false">(SUMPRODUCT($C29:$L29,1/(1+$B23)^$C$27:$L$27)*Inputs!$C$23+$L29*Inputs!$C$23*(1+Inputs!$C$37)/($B23-Inputs!$C$37)/(1+$B23)^$L$27-Inputs!$C$27+Inputs!$C$28)/Inputs!$C$7</f>
        <v>161.104249441493</v>
      </c>
      <c r="E23" s="42" t="n">
        <f aca="false">(SUMPRODUCT($C30:$L30,1/(1+$B23)^$C$27:$L$27)*Inputs!$C$23+$L30*Inputs!$C$23*(1+Inputs!$C$37)/($B23-Inputs!$C$37)/(1+$B23)^$L$27-Inputs!$C$27+Inputs!$C$28)/Inputs!$C$7</f>
        <v>184.099966912132</v>
      </c>
      <c r="F23" s="42" t="n">
        <f aca="false">(SUMPRODUCT($C31:$L31,1/(1+$B23)^$C$27:$L$27)*Inputs!$C$23+$L31*Inputs!$C$23*(1+Inputs!$C$37)/($B23-Inputs!$C$37)/(1+$B23)^$L$27-Inputs!$C$27+Inputs!$C$28)/Inputs!$C$7</f>
        <v>209.67000796781</v>
      </c>
      <c r="G23" s="42" t="n">
        <f aca="false">(SUMPRODUCT($C32:$L32,1/(1+$B23)^$C$27:$L$27)*Inputs!$C$23+$L32*Inputs!$C$23*(1+Inputs!$C$37)/($B23-Inputs!$C$37)/(1+$B23)^$L$27-Inputs!$C$27+Inputs!$C$28)/Inputs!$C$7</f>
        <v>238.067042283773</v>
      </c>
    </row>
    <row r="26" customFormat="false" ht="15" hidden="false" customHeight="false" outlineLevel="0" collapsed="false">
      <c r="B26" s="19" t="s">
        <v>227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0.0227554448798554</v>
      </c>
      <c r="C28" s="15" t="n">
        <f aca="false">Inputs!$C$12*(1+IF(C$27&lt;=Inputs!$C$46,$B28,$B28-($B28-Inputs!$C$37)*MIN(C$27-Inputs!$C$46,Inputs!$C$47)/Inputs!$C$47))</f>
        <v>3211.45209692275</v>
      </c>
      <c r="D28" s="15" t="n">
        <f aca="false">C28*(1+IF(D$27&lt;=Inputs!$C$46,$B28,$B28-($B28-Inputs!$C$37)*MIN(D$27-Inputs!$C$46,Inputs!$C$47)/Inputs!$C$47))</f>
        <v>3284.53011809857</v>
      </c>
      <c r="E28" s="15" t="n">
        <f aca="false">D28*(1+IF(E$27&lt;=Inputs!$C$46,$B28,$B28-($B28-Inputs!$C$37)*MIN(E$27-Inputs!$C$46,Inputs!$C$47)/Inputs!$C$47))</f>
        <v>3359.27106215719</v>
      </c>
      <c r="F28" s="15" t="n">
        <f aca="false">E28*(1+IF(F$27&lt;=Inputs!$C$46,$B28,$B28-($B28-Inputs!$C$37)*MIN(F$27-Inputs!$C$46,Inputs!$C$47)/Inputs!$C$47))</f>
        <v>3435.7127696486</v>
      </c>
      <c r="G28" s="15" t="n">
        <f aca="false">F28*(1+IF(G$27&lt;=Inputs!$C$46,$B28,$B28-($B28-Inputs!$C$37)*MIN(G$27-Inputs!$C$46,Inputs!$C$47)/Inputs!$C$47))</f>
        <v>3513.89394220135</v>
      </c>
      <c r="H28" s="15" t="n">
        <f aca="false">G28*(1+IF(H$27&lt;=Inputs!$C$46,$B28,$B28-($B28-Inputs!$C$37)*MIN(H$27-Inputs!$C$46,Inputs!$C$47)/Inputs!$C$47))</f>
        <v>3597.75075784655</v>
      </c>
      <c r="I28" s="15" t="n">
        <f aca="false">H28*(1+IF(I$27&lt;=Inputs!$C$46,$B28,$B28-($B28-Inputs!$C$37)*MIN(I$27-Inputs!$C$46,Inputs!$C$47)/Inputs!$C$47))</f>
        <v>3687.59834786235</v>
      </c>
      <c r="J28" s="15" t="n">
        <f aca="false">I28*(1+IF(J$27&lt;=Inputs!$C$46,$B28,$B28-($B28-Inputs!$C$37)*MIN(J$27-Inputs!$C$46,Inputs!$C$47)/Inputs!$C$47))</f>
        <v>3783.77894418659</v>
      </c>
      <c r="K28" s="15" t="n">
        <f aca="false">J28*(1+IF(K$27&lt;=Inputs!$C$46,$B28,$B28-($B28-Inputs!$C$37)*MIN(K$27-Inputs!$C$46,Inputs!$C$47)/Inputs!$C$47))</f>
        <v>3886.66401412337</v>
      </c>
      <c r="L28" s="15" t="n">
        <f aca="false">K28*(1+IF(L$27&lt;=Inputs!$C$46,$B28,$B28-($B28-Inputs!$C$37)*MIN(L$27-Inputs!$C$46,Inputs!$C$47)/Inputs!$C$47))</f>
        <v>3996.65660572306</v>
      </c>
    </row>
    <row r="29" customFormat="false" ht="15" hidden="false" customHeight="false" outlineLevel="0" collapsed="false">
      <c r="B29" s="23" t="n">
        <f aca="false">D$18</f>
        <v>0.0427554448798554</v>
      </c>
      <c r="C29" s="15" t="n">
        <f aca="false">Inputs!$C$12*(1+IF(C$27&lt;=Inputs!$C$46,$B29,$B29-($B29-Inputs!$C$37)*MIN(C$27-Inputs!$C$46,Inputs!$C$47)/Inputs!$C$47))</f>
        <v>3274.25209692275</v>
      </c>
      <c r="D29" s="15" t="n">
        <f aca="false">C29*(1+IF(D$27&lt;=Inputs!$C$46,$B29,$B29-($B29-Inputs!$C$37)*MIN(D$27-Inputs!$C$46,Inputs!$C$47)/Inputs!$C$47))</f>
        <v>3414.24420197548</v>
      </c>
      <c r="E29" s="15" t="n">
        <f aca="false">D29*(1+IF(E$27&lt;=Inputs!$C$46,$B29,$B29-($B29-Inputs!$C$37)*MIN(E$27-Inputs!$C$46,Inputs!$C$47)/Inputs!$C$47))</f>
        <v>3560.22173175941</v>
      </c>
      <c r="F29" s="15" t="n">
        <f aca="false">E29*(1+IF(F$27&lt;=Inputs!$C$46,$B29,$B29-($B29-Inputs!$C$37)*MIN(F$27-Inputs!$C$46,Inputs!$C$47)/Inputs!$C$47))</f>
        <v>3712.44059577171</v>
      </c>
      <c r="G29" s="15" t="n">
        <f aca="false">F29*(1+IF(G$27&lt;=Inputs!$C$46,$B29,$B29-($B29-Inputs!$C$37)*MIN(G$27-Inputs!$C$46,Inputs!$C$47)/Inputs!$C$47))</f>
        <v>3871.16764503397</v>
      </c>
      <c r="H29" s="15" t="n">
        <f aca="false">G29*(1+IF(H$27&lt;=Inputs!$C$46,$B29,$B29-($B29-Inputs!$C$37)*MIN(H$27-Inputs!$C$46,Inputs!$C$47)/Inputs!$C$47))</f>
        <v>4025.4892497992</v>
      </c>
      <c r="I29" s="15" t="n">
        <f aca="false">H29*(1+IF(I$27&lt;=Inputs!$C$46,$B29,$B29-($B29-Inputs!$C$37)*MIN(I$27-Inputs!$C$46,Inputs!$C$47)/Inputs!$C$47))</f>
        <v>4174.32473834747</v>
      </c>
      <c r="J29" s="15" t="n">
        <f aca="false">I29*(1+IF(J$27&lt;=Inputs!$C$46,$B29,$B29-($B29-Inputs!$C$37)*MIN(J$27-Inputs!$C$46,Inputs!$C$47)/Inputs!$C$47))</f>
        <v>4316.59481690903</v>
      </c>
      <c r="K29" s="15" t="n">
        <f aca="false">J29*(1+IF(K$27&lt;=Inputs!$C$46,$B29,$B29-($B29-Inputs!$C$37)*MIN(K$27-Inputs!$C$46,Inputs!$C$47)/Inputs!$C$47))</f>
        <v>4451.23410991645</v>
      </c>
      <c r="L29" s="15" t="n">
        <f aca="false">K29*(1+IF(L$27&lt;=Inputs!$C$46,$B29,$B29-($B29-Inputs!$C$37)*MIN(L$27-Inputs!$C$46,Inputs!$C$47)/Inputs!$C$47))</f>
        <v>4577.20403522709</v>
      </c>
    </row>
    <row r="30" customFormat="false" ht="15" hidden="false" customHeight="false" outlineLevel="0" collapsed="false">
      <c r="B30" s="23" t="n">
        <f aca="false">E$18</f>
        <v>0.0627554448798554</v>
      </c>
      <c r="C30" s="15" t="n">
        <f aca="false">Inputs!$C$12*(1+IF(C$27&lt;=Inputs!$C$46,$B30,$B30-($B30-Inputs!$C$37)*MIN(C$27-Inputs!$C$46,Inputs!$C$47)/Inputs!$C$47))</f>
        <v>3337.05209692275</v>
      </c>
      <c r="D30" s="15" t="n">
        <f aca="false">C30*(1+IF(D$27&lt;=Inputs!$C$46,$B30,$B30-($B30-Inputs!$C$37)*MIN(D$27-Inputs!$C$46,Inputs!$C$47)/Inputs!$C$47))</f>
        <v>3546.47028585239</v>
      </c>
      <c r="E30" s="15" t="n">
        <f aca="false">D30*(1+IF(E$27&lt;=Inputs!$C$46,$B30,$B30-($B30-Inputs!$C$37)*MIN(E$27-Inputs!$C$46,Inputs!$C$47)/Inputs!$C$47))</f>
        <v>3769.03060639424</v>
      </c>
      <c r="F30" s="15" t="n">
        <f aca="false">E30*(1+IF(F$27&lt;=Inputs!$C$46,$B30,$B30-($B30-Inputs!$C$37)*MIN(F$27-Inputs!$C$46,Inputs!$C$47)/Inputs!$C$47))</f>
        <v>4005.5577988643</v>
      </c>
      <c r="G30" s="15" t="n">
        <f aca="false">F30*(1+IF(G$27&lt;=Inputs!$C$46,$B30,$B30-($B30-Inputs!$C$37)*MIN(G$27-Inputs!$C$46,Inputs!$C$47)/Inputs!$C$47))</f>
        <v>4256.92836052401</v>
      </c>
      <c r="H30" s="15" t="n">
        <f aca="false">G30*(1+IF(H$27&lt;=Inputs!$C$46,$B30,$B30-($B30-Inputs!$C$37)*MIN(H$27-Inputs!$C$46,Inputs!$C$47)/Inputs!$C$47))</f>
        <v>4494.73892151366</v>
      </c>
      <c r="I30" s="15" t="n">
        <f aca="false">H30*(1+IF(I$27&lt;=Inputs!$C$46,$B30,$B30-($B30-Inputs!$C$37)*MIN(I$27-Inputs!$C$46,Inputs!$C$47)/Inputs!$C$47))</f>
        <v>4714.86097048823</v>
      </c>
      <c r="J30" s="15" t="n">
        <f aca="false">I30*(1+IF(J$27&lt;=Inputs!$C$46,$B30,$B30-($B30-Inputs!$C$37)*MIN(J$27-Inputs!$C$46,Inputs!$C$47)/Inputs!$C$47))</f>
        <v>4913.27258886698</v>
      </c>
      <c r="K30" s="15" t="n">
        <f aca="false">J30*(1+IF(K$27&lt;=Inputs!$C$46,$B30,$B30-($B30-Inputs!$C$37)*MIN(K$27-Inputs!$C$46,Inputs!$C$47)/Inputs!$C$47))</f>
        <v>5086.176001705</v>
      </c>
      <c r="L30" s="15" t="n">
        <f aca="false">K30*(1+IF(L$27&lt;=Inputs!$C$46,$B30,$B30-($B30-Inputs!$C$37)*MIN(L$27-Inputs!$C$46,Inputs!$C$47)/Inputs!$C$47))</f>
        <v>5230.11478255325</v>
      </c>
    </row>
    <row r="31" customFormat="false" ht="15" hidden="false" customHeight="false" outlineLevel="0" collapsed="false">
      <c r="B31" s="23" t="n">
        <f aca="false">F$18</f>
        <v>0.0827554448798554</v>
      </c>
      <c r="C31" s="15" t="n">
        <f aca="false">Inputs!$C$12*(1+IF(C$27&lt;=Inputs!$C$46,$B31,$B31-($B31-Inputs!$C$37)*MIN(C$27-Inputs!$C$46,Inputs!$C$47)/Inputs!$C$47))</f>
        <v>3399.85209692275</v>
      </c>
      <c r="D31" s="15" t="n">
        <f aca="false">C31*(1+IF(D$27&lt;=Inputs!$C$46,$B31,$B31-($B31-Inputs!$C$37)*MIN(D$27-Inputs!$C$46,Inputs!$C$47)/Inputs!$C$47))</f>
        <v>3681.2083697293</v>
      </c>
      <c r="E31" s="15" t="n">
        <f aca="false">D31*(1+IF(E$27&lt;=Inputs!$C$46,$B31,$B31-($B31-Inputs!$C$37)*MIN(E$27-Inputs!$C$46,Inputs!$C$47)/Inputs!$C$47))</f>
        <v>3985.84840606169</v>
      </c>
      <c r="F31" s="15" t="n">
        <f aca="false">E31*(1+IF(F$27&lt;=Inputs!$C$46,$B31,$B31-($B31-Inputs!$C$37)*MIN(F$27-Inputs!$C$46,Inputs!$C$47)/Inputs!$C$47))</f>
        <v>4315.69906412899</v>
      </c>
      <c r="G31" s="15" t="n">
        <f aca="false">F31*(1+IF(G$27&lt;=Inputs!$C$46,$B31,$B31-($B31-Inputs!$C$37)*MIN(G$27-Inputs!$C$46,Inputs!$C$47)/Inputs!$C$47))</f>
        <v>4672.84666014856</v>
      </c>
      <c r="H31" s="15" t="n">
        <f aca="false">G31*(1+IF(H$27&lt;=Inputs!$C$46,$B31,$B31-($B31-Inputs!$C$37)*MIN(H$27-Inputs!$C$46,Inputs!$C$47)/Inputs!$C$47))</f>
        <v>5008.65777561775</v>
      </c>
      <c r="I31" s="15" t="n">
        <f aca="false">H31*(1+IF(I$27&lt;=Inputs!$C$46,$B31,$B31-($B31-Inputs!$C$37)*MIN(I$27-Inputs!$C$46,Inputs!$C$47)/Inputs!$C$47))</f>
        <v>5314.05200312106</v>
      </c>
      <c r="J31" s="15" t="n">
        <f aca="false">I31*(1+IF(J$27&lt;=Inputs!$C$46,$B31,$B31-($B31-Inputs!$C$37)*MIN(J$27-Inputs!$C$46,Inputs!$C$47)/Inputs!$C$47))</f>
        <v>5580.19130118725</v>
      </c>
      <c r="K31" s="15" t="n">
        <f aca="false">J31*(1+IF(K$27&lt;=Inputs!$C$46,$B31,$B31-($B31-Inputs!$C$37)*MIN(K$27-Inputs!$C$46,Inputs!$C$47)/Inputs!$C$47))</f>
        <v>5798.88507497501</v>
      </c>
      <c r="L31" s="15" t="n">
        <f aca="false">K31*(1+IF(L$27&lt;=Inputs!$C$46,$B31,$B31-($B31-Inputs!$C$37)*MIN(L$27-Inputs!$C$46,Inputs!$C$47)/Inputs!$C$47))</f>
        <v>5962.99352259681</v>
      </c>
    </row>
    <row r="32" customFormat="false" ht="15" hidden="false" customHeight="false" outlineLevel="0" collapsed="false">
      <c r="B32" s="23" t="n">
        <f aca="false">G$18</f>
        <v>0.102755444879855</v>
      </c>
      <c r="C32" s="15" t="n">
        <f aca="false">Inputs!$C$12*(1+IF(C$27&lt;=Inputs!$C$46,$B32,$B32-($B32-Inputs!$C$37)*MIN(C$27-Inputs!$C$46,Inputs!$C$47)/Inputs!$C$47))</f>
        <v>3462.65209692275</v>
      </c>
      <c r="D32" s="15" t="n">
        <f aca="false">C32*(1+IF(D$27&lt;=Inputs!$C$46,$B32,$B32-($B32-Inputs!$C$37)*MIN(D$27-Inputs!$C$46,Inputs!$C$47)/Inputs!$C$47))</f>
        <v>3818.45845360621</v>
      </c>
      <c r="E32" s="15" t="n">
        <f aca="false">D32*(1+IF(E$27&lt;=Inputs!$C$46,$B32,$B32-($B32-Inputs!$C$37)*MIN(E$27-Inputs!$C$46,Inputs!$C$47)/Inputs!$C$47))</f>
        <v>4210.82585076176</v>
      </c>
      <c r="F32" s="15" t="n">
        <f aca="false">E32*(1+IF(F$27&lt;=Inputs!$C$46,$B32,$B32-($B32-Inputs!$C$37)*MIN(F$27-Inputs!$C$46,Inputs!$C$47)/Inputs!$C$47))</f>
        <v>4643.51113436838</v>
      </c>
      <c r="G32" s="15" t="n">
        <f aca="false">F32*(1+IF(G$27&lt;=Inputs!$C$46,$B32,$B32-($B32-Inputs!$C$37)*MIN(G$27-Inputs!$C$46,Inputs!$C$47)/Inputs!$C$47))</f>
        <v>5120.65718678496</v>
      </c>
      <c r="H32" s="15" t="n">
        <f aca="false">G32*(1+IF(H$27&lt;=Inputs!$C$46,$B32,$B32-($B32-Inputs!$C$37)*MIN(H$27-Inputs!$C$46,Inputs!$C$47)/Inputs!$C$47))</f>
        <v>5570.58043230642</v>
      </c>
      <c r="I32" s="15" t="n">
        <f aca="false">H32*(1+IF(I$27&lt;=Inputs!$C$46,$B32,$B32-($B32-Inputs!$C$37)*MIN(I$27-Inputs!$C$46,Inputs!$C$47)/Inputs!$C$47))</f>
        <v>5977.08388513652</v>
      </c>
      <c r="J32" s="15" t="n">
        <f aca="false">I32*(1+IF(J$27&lt;=Inputs!$C$46,$B32,$B32-($B32-Inputs!$C$37)*MIN(J$27-Inputs!$C$46,Inputs!$C$47)/Inputs!$C$47))</f>
        <v>6324.24593498671</v>
      </c>
      <c r="K32" s="15" t="n">
        <f aca="false">J32*(1+IF(K$27&lt;=Inputs!$C$46,$B32,$B32-($B32-Inputs!$C$37)*MIN(K$27-Inputs!$C$46,Inputs!$C$47)/Inputs!$C$47))</f>
        <v>6597.39700387065</v>
      </c>
      <c r="L32" s="15" t="n">
        <f aca="false">K32*(1+IF(L$27&lt;=Inputs!$C$46,$B32,$B32-($B32-Inputs!$C$37)*MIN(L$27-Inputs!$C$46,Inputs!$C$47)/Inputs!$C$47))</f>
        <v>6784.10333908018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228</v>
      </c>
    </row>
    <row r="3" customFormat="false" ht="15" hidden="false" customHeight="false" outlineLevel="0" collapsed="false">
      <c r="B3" s="2" t="s">
        <v>229</v>
      </c>
    </row>
    <row r="5" customFormat="false" ht="15" hidden="false" customHeight="false" outlineLevel="0" collapsed="false">
      <c r="B5" s="28" t="s">
        <v>230</v>
      </c>
      <c r="C5" s="28" t="s">
        <v>231</v>
      </c>
      <c r="D5" s="28" t="s">
        <v>232</v>
      </c>
      <c r="E5" s="28" t="s">
        <v>233</v>
      </c>
      <c r="F5" s="28" t="s">
        <v>234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0.454617834394904</v>
      </c>
      <c r="D6" s="24" t="n">
        <v>0.45461783</v>
      </c>
      <c r="E6" s="49" t="n">
        <f aca="false">C6-D6</f>
        <v>4.3949044403746E-009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124</v>
      </c>
      <c r="C7" s="50" t="n">
        <f aca="false">WACC!$C$12</f>
        <v>0.728116658230903</v>
      </c>
      <c r="D7" s="51" t="n">
        <v>0.72811666</v>
      </c>
      <c r="E7" s="49" t="n">
        <f aca="false">C7-D7</f>
        <v>-1.76909698001992E-009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WACC!$C$35</f>
        <v>0.0819413943493295</v>
      </c>
      <c r="D8" s="24" t="n">
        <v>0.08194139</v>
      </c>
      <c r="E8" s="49" t="n">
        <f aca="false">C8-D8</f>
        <v>4.34932952153577E-009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235</v>
      </c>
      <c r="C10" s="12" t="n">
        <f aca="false">Inputs!$C$43</f>
        <v>0.0627554448798554</v>
      </c>
      <c r="D10" s="24" t="n">
        <v>0.06275544</v>
      </c>
      <c r="E10" s="49" t="n">
        <f aca="false">C10-D10</f>
        <v>4.87985542252378E-009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236</v>
      </c>
      <c r="C11" s="12" t="n">
        <f aca="false">Solver!$W$7</f>
        <v>0.0263669797582224</v>
      </c>
      <c r="D11" s="24" t="n">
        <v>0.02636698</v>
      </c>
      <c r="E11" s="49" t="n">
        <f aca="false">C11-D11</f>
        <v>-2.417775597785E-010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237</v>
      </c>
      <c r="C12" s="12" t="n">
        <f aca="false">Sensitivity!$E$14</f>
        <v>0.0564885437488556</v>
      </c>
      <c r="D12" s="24" t="n">
        <v>0.05648852</v>
      </c>
      <c r="E12" s="49" t="n">
        <f aca="false">C12-D12</f>
        <v>2.37488555904219E-008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238</v>
      </c>
      <c r="C13" s="6" t="n">
        <f aca="false">DCF!$C$41</f>
        <v>225.522260220915</v>
      </c>
      <c r="D13" s="20" t="n">
        <v>225.52226022</v>
      </c>
      <c r="E13" s="49" t="n">
        <f aca="false">C13-D13</f>
        <v>9.15491682462744E-010</v>
      </c>
      <c r="F13" s="5" t="str">
        <f aca="false">IF(ABS(E13)&lt;=0.0225522260220916,"Pass","Check")</f>
        <v>Pass</v>
      </c>
    </row>
    <row r="14" customFormat="false" ht="15" hidden="false" customHeight="false" outlineLevel="0" collapsed="false">
      <c r="B14" s="5" t="s">
        <v>239</v>
      </c>
      <c r="C14" s="6" t="n">
        <f aca="false">DCF!$C$21-DCF!$C$22</f>
        <v>1.52056145452661E-009</v>
      </c>
      <c r="D14" s="20" t="n">
        <v>0</v>
      </c>
      <c r="E14" s="49" t="n">
        <f aca="false">C14-D14</f>
        <v>1.52056145452661E-009</v>
      </c>
      <c r="F14" s="5" t="str">
        <f aca="false">IF(ABS(E14)&lt;=0.01,"Pass","Check")</f>
        <v>Pass</v>
      </c>
      <c r="G14" s="19" t="s">
        <v>240</v>
      </c>
    </row>
    <row r="16" customFormat="false" ht="15" hidden="false" customHeight="false" outlineLevel="0" collapsed="false">
      <c r="B16" s="38" t="s">
        <v>241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2026-10-14T16:48:51Z</dcterms:created>
  <dc:creator>openpyxl</dc:creator>
  <dc:description/>
  <dc:language>en-US</dc:language>
  <cp:lastModifiedBy/>
  <dcterms:modified xsi:type="dcterms:W3CDTF">2026-10-14T16:48:51Z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