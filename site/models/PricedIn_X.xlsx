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<sst xmlns="http://schemas.openxmlformats.org/spreadsheetml/2006/main" count="832" uniqueCount="243">
  <si>
    <t xml:space="preserve">Priced In: TMX Group (X)</t>
  </si>
  <si>
    <t xml:space="preserve">Reverse DCF, model v1.0. Inputs as of the Oct 13, 2026 close; model locked Oct 14, 2026 (commit 0735af0).</t>
  </si>
  <si>
    <t xml:space="preserve">Exchanges | Canada | reports in CAD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</si>
  <si>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</si>
  <si>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</si>
  <si>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</si>
  <si>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(C$)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</si>
  <si>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</si>
  <si>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</si>
  <si>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</si>
  <si>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</si>
  <si>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</si>
  <si>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</si>
  <si>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</si>
  <si>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</si>
  <si>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(C$)</t>
  </si>
  <si>
    <t xml:space="preserve">Upside or downside at your view</t>
  </si>
  <si>
    <t xml:space="preserve">Fit flag: History not comparable</t>
  </si>
  <si>
    <t xml:space="preserve">VettaFi was consolidated in 2024 and the Cboe Canada purchase is pending.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</si>
  <si>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</si>
  <si>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</si>
  <si>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</si>
  <si>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</si>
  <si>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</si>
  <si>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</si>
  <si>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</si>
  <si>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</si>
  <si>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</si>
  <si>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</si>
  <si>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</si>
  <si>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</si>
  <si>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</si>
  <si>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TMX Group (X):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</si>
  <si>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</si>
  <si>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</si>
  <si>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(C$)</t>
  </si>
  <si>
    <t xml:space="preserve">Market cap divided by shares from Stock Analysis at the Oct 13, 2026 close. The TSX close that day was C$53.22; the lock used C$54.50.</t>
  </si>
  <si>
    <t xml:space="preserve">Diluted shares outstanding (mm)</t>
  </si>
  <si>
    <t xml:space="preserve">Stock Analysis statistics page, Oct 13, 2026.</t>
  </si>
  <si>
    <t xml:space="preserve">Market value of equity (C$mm)</t>
  </si>
  <si>
    <t xml:space="preserve">Price x shares.</t>
  </si>
  <si>
    <t xml:space="preserve">Trailing 12 months</t>
  </si>
  <si>
    <t xml:space="preserve">Revenue, reported (C$mm)</t>
  </si>
  <si>
    <t xml:space="preserve">Stock Analysis income statement, trailing 12 months.</t>
  </si>
  <si>
    <t xml:space="preserve">Revenue used in the model (C$mm)</t>
  </si>
  <si>
    <t xml:space="preserve">Same as reported.</t>
  </si>
  <si>
    <t xml:space="preserve">Free cash flow, reported (cash from operations - capex) (C$mm)</t>
  </si>
  <si>
    <t xml:space="preserve">Stock Analysis cash flow statement, trailing 12 months.</t>
  </si>
  <si>
    <t xml:space="preserve">Free cash flow before adjustments (C$mm)</t>
  </si>
  <si>
    <t xml:space="preserve">Less: adjustments (C$mm)</t>
  </si>
  <si>
    <t xml:space="preserve">None for this company.</t>
  </si>
  <si>
    <t xml:space="preserve">Free cash flow used (C$mm)</t>
  </si>
  <si>
    <t xml:space="preserve">Operating income (C$mm)</t>
  </si>
  <si>
    <t xml:space="preserve">Stock Analysis, trailing 12 months.</t>
  </si>
  <si>
    <t xml:space="preserve">Pretax income (C$mm)</t>
  </si>
  <si>
    <t xml:space="preserve">Interest proxy: operating income - pretax, floored at zero (C$mm)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</si>
  <si>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</si>
  <si>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</si>
  <si>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</si>
  <si>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(C$mm)</t>
  </si>
  <si>
    <t xml:space="preserve">Unlevered free cash flow (C$mm)</t>
  </si>
  <si>
    <t xml:space="preserve">Held flat for all 10 years in the model.</t>
  </si>
  <si>
    <t xml:space="preserve">EBITDA (C$mm)</t>
  </si>
  <si>
    <t xml:space="preserve">Balance sheet</t>
  </si>
  <si>
    <t xml:space="preserve">Total debt (C$mm)</t>
  </si>
  <si>
    <t xml:space="preserve">Stock Analysis balance sheet, latest quarter.</t>
  </si>
  <si>
    <t xml:space="preserve">Cash and equivalents (C$mm)</t>
  </si>
  <si>
    <t xml:space="preserve">Net debt (C$mm)</t>
  </si>
  <si>
    <t xml:space="preserve">Rates</t>
  </si>
  <si>
    <t xml:space="preserve">10-year Government of Canada yield</t>
  </si>
  <si>
    <t xml:space="preserve">Bank of Canada Valet, Oct 13, 2026.</t>
  </si>
  <si>
    <t xml:space="preserve">Inflation target</t>
  </si>
  <si>
    <t xml:space="preserve">Bank of Canada 2% target.</t>
  </si>
  <si>
    <t xml:space="preserve">Inflation used</t>
  </si>
  <si>
    <t xml:space="preserve">Risk-free rate used</t>
  </si>
  <si>
    <t xml:space="preserve">Real growth added to inflation</t>
  </si>
  <si>
    <t xml:space="preserve">Half a point of long-run real growth.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</si>
  <si>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</si>
  <si>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</si>
  <si>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</si>
  <si>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</si>
  <si>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n/a</t>
  </si>
  <si>
    <t xml:space="preserve">Not used: past growth isn't comparable (see Cover).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</si>
  <si>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</si>
  <si>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</si>
  <si>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</si>
  <si>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</si>
  <si>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</si>
  <si>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</si>
  <si>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</si>
  <si>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</si>
  <si>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</si>
  <si>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</si>
  <si>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</si>
  <si>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</si>
  <si>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TMX Group (X):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</si>
  <si>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</si>
  <si>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</si>
  <si>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</si>
  <si>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</si>
  <si>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</si>
  <si>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</si>
  <si>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</si>
  <si>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</si>
  <si>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(C$mm)</t>
  </si>
  <si>
    <t xml:space="preserve">Growth on the prior year</t>
  </si>
  <si>
    <t xml:space="preserve">Source note: CAD; VettaFi consolidated 2024</t>
  </si>
  <si>
    <t xml:space="preserve">History window</t>
  </si>
  <si>
    <t xml:space="preserve">Not used for this company: VettaFi was consolidated in 2024 and the Cboe Canada purchase is pending.</t>
  </si>
  <si>
    <t xml:space="preserve">TMX Group (X):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</si>
  <si>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</si>
  <si>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</si>
  <si>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</si>
  <si>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</si>
  <si>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</si>
  <si>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</si>
  <si>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Intercontinental Exchange (ICE)</t>
  </si>
  <si>
    <t xml:space="preserve">Raw betas: 60 monthly returns to Sep 2026 against the S&amp;P 500 (S&amp;P/TSX for TMX); Cboe uses Stock Analysis's 5-year beta. Debt and equity from Stock Analysis, Oct 13, 2026.</t>
  </si>
  <si>
    <t xml:space="preserve">CME Group (CME)</t>
  </si>
  <si>
    <t xml:space="preserve">Nasdaq (NDAQ)</t>
  </si>
  <si>
    <t xml:space="preserve">Cboe Global Markets (CBOE)</t>
  </si>
  <si>
    <t xml:space="preserve">TMX Group (X)</t>
  </si>
  <si>
    <t xml:space="preserve">Tradeweb (TW)</t>
  </si>
  <si>
    <t xml:space="preserve">MarketAxess (MKTX)</t>
  </si>
  <si>
    <t xml:space="preserve">Group median unlevered beta</t>
  </si>
  <si>
    <t xml:space="preserve">Debt (C$mm)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</si>
  <si>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</si>
  <si>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</si>
  <si>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</si>
  <si>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</si>
  <si>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</si>
  <si>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</si>
  <si>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</si>
  <si>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</si>
  <si>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</si>
  <si>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</si>
  <si>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</si>
  <si>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</si>
  <si>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</si>
  <si>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</si>
  <si>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</si>
  <si>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</si>
  <si>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</si>
  <si>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</si>
  <si>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</si>
  <si>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</si>
  <si>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</si>
  <si>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</si>
  <si>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</si>
  <si>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</si>
  <si>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</si>
  <si>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</si>
  <si>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</si>
  <si>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</si>
  <si>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</si>
  <si>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</si>
  <si>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</si>
  <si>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</si>
  <si>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</si>
  <si>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</si>
  <si>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</si>
  <si>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</si>
  <si>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</si>
  <si>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</si>
  <si>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</si>
  <si>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</si>
  <si>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</si>
  <si>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</si>
  <si>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</si>
  <si>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</si>
  <si>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</si>
  <si>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</si>
  <si>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</si>
  <si>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</si>
  <si>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</si>
  <si>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</si>
  <si>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</si>
  <si>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</si>
  <si>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</si>
  <si>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</si>
  <si>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</si>
  <si>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</si>
  <si>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</si>
  <si>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</si>
  <si>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</si>
  <si>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</si>
  <si>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</si>
  <si>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</si>
  <si>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</si>
  <si>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</si>
  <si>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</si>
  <si>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</si>
  <si>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</si>
  <si>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</si>
  <si>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</si>
  <si>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</si>
  <si>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</si>
  <si>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</si>
  <si>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</si>
  <si>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</si>
  <si>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</si>
  <si>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TMX Group (X):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</si>
  <si>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</si>
  <si>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</si>
  <si>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</si>
  <si>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</si>
  <si>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(C$mm)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</si>
  <si>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</si>
  <si>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</si>
  <si>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</si>
  <si>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</si>
  <si>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</si>
  <si>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</si>
  <si>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</si>
  <si>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</si>
  <si>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(C$)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</si>
  <si>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</si>
  <si>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</si>
  <si>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</si>
  <si>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TMX Group (X):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</si>
  <si>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</si>
  <si>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</si>
  <si>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</si>
  <si>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</si>
  <si>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</si>
  <si>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</si>
  <si>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</si>
  <si>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C$54.50.</t>
  </si>
  <si>
    <t xml:space="preserve">Helper: revenue paths for each growth view (years 1 to 10)</t>
  </si>
  <si>
    <t xml:space="preserve">TMX Group (X):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</si>
  <si>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</si>
  <si>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</si>
  <si>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</si>
  <si>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</si>
  <si>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</si>
  <si>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</si>
  <si>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</si>
  <si>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</si>
  <si>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</si>
  <si>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(C$)</t>
  </si>
  <si>
    <t xml:space="preserve">Panel A value minus price (C$)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</si>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</sst>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&quot;C$&quot;#,##0.00;&quot;(C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;\(0.00\);\-"/>
    <numFmt numFmtId="172" formatCode="0.0\x"/>
    <numFmt numFmtId="173" formatCode="0.0000%"/>
    <numFmt numFmtId="174" formatCode="#,##0.0000;\(#,##0.0000\);\-"/>
    <numFmt numFmtId="175" formatCode="0.0000"/>
    <numFmt numFmtId="176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54.5045208613239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0.0139550970475284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0.1503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-0.136344902952472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WACC!$C$37</f>
        <v>0.0635093056415221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0.025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0.359871351351351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0.1503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129.385948281436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1.37385718169385</v>
      </c>
    </row>
    <row r="22" customFormat="false" ht="15" hidden="false" customHeight="false" outlineLevel="0" collapsed="false">
      <c r="B22" s="3" t="s">
        <v>17</v>
      </c>
    </row>
    <row r="23" customFormat="false" ht="30" hidden="false" customHeight="true" outlineLevel="0" collapsed="false">
      <c r="B23" s="13" t="s">
        <v>18</v>
      </c>
      <c r="C23" s="13"/>
      <c r="D23" s="13"/>
      <c r="E23" s="13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5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5" t="s">
        <v>25</v>
      </c>
      <c r="C32" s="14" t="n">
        <v>1234</v>
      </c>
    </row>
    <row r="33" customFormat="false" ht="15" hidden="false" customHeight="false" outlineLevel="0" collapsed="false">
      <c r="B33" s="5" t="s">
        <v>26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27</v>
      </c>
      <c r="C34" s="16" t="n">
        <f aca="false">Inputs!$C$12</f>
        <v>1850</v>
      </c>
    </row>
    <row r="35" customFormat="false" ht="15" hidden="false" customHeight="false" outlineLevel="0" collapsed="false">
      <c r="B35" s="5" t="s">
        <v>28</v>
      </c>
      <c r="C35" s="17" t="n">
        <f aca="false">Inputs!$C$45</f>
        <v>0.1503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18" t="s">
        <v>30</v>
      </c>
    </row>
    <row r="40" customFormat="false" ht="15" hidden="false" customHeight="false" outlineLevel="0" collapsed="false">
      <c r="B40" s="19" t="s">
        <v>31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33</v>
      </c>
    </row>
    <row r="5" customFormat="false" ht="15" hidden="false" customHeight="false" outlineLevel="0" collapsed="false">
      <c r="B5" s="3" t="s">
        <v>34</v>
      </c>
    </row>
    <row r="6" customFormat="false" ht="15" hidden="false" customHeight="false" outlineLevel="0" collapsed="false">
      <c r="B6" s="5" t="s">
        <v>35</v>
      </c>
      <c r="C6" s="20" t="n">
        <v>54.5045208613239</v>
      </c>
      <c r="E6" s="19" t="s">
        <v>36</v>
      </c>
    </row>
    <row r="7" customFormat="false" ht="15" hidden="false" customHeight="false" outlineLevel="0" collapsed="false">
      <c r="B7" s="5" t="s">
        <v>37</v>
      </c>
      <c r="C7" s="21" t="n">
        <v>275.39</v>
      </c>
      <c r="E7" s="19" t="s">
        <v>38</v>
      </c>
    </row>
    <row r="8" customFormat="false" ht="15" hidden="false" customHeight="false" outlineLevel="0" collapsed="false">
      <c r="B8" s="5" t="s">
        <v>39</v>
      </c>
      <c r="C8" s="15" t="n">
        <f aca="false">C6*C7</f>
        <v>15010</v>
      </c>
      <c r="E8" s="19" t="s">
        <v>40</v>
      </c>
    </row>
    <row r="10" customFormat="false" ht="15" hidden="false" customHeight="false" outlineLevel="0" collapsed="false">
      <c r="B10" s="3" t="s">
        <v>41</v>
      </c>
    </row>
    <row r="11" customFormat="false" ht="15" hidden="false" customHeight="false" outlineLevel="0" collapsed="false">
      <c r="B11" s="5" t="s">
        <v>42</v>
      </c>
      <c r="C11" s="14" t="n">
        <v>1850</v>
      </c>
      <c r="E11" s="19" t="s">
        <v>43</v>
      </c>
    </row>
    <row r="12" customFormat="false" ht="15" hidden="false" customHeight="false" outlineLevel="0" collapsed="false">
      <c r="B12" s="5" t="s">
        <v>44</v>
      </c>
      <c r="C12" s="15" t="n">
        <f aca="false">C11</f>
        <v>1850</v>
      </c>
      <c r="E12" s="19" t="s">
        <v>45</v>
      </c>
    </row>
    <row r="13" customFormat="false" ht="15" hidden="false" customHeight="false" outlineLevel="0" collapsed="false">
      <c r="B13" s="5" t="s">
        <v>46</v>
      </c>
      <c r="C13" s="14" t="n">
        <v>659</v>
      </c>
      <c r="E13" s="19" t="s">
        <v>47</v>
      </c>
    </row>
    <row r="14" customFormat="false" ht="15" hidden="false" customHeight="false" outlineLevel="0" collapsed="false">
      <c r="B14" s="5" t="s">
        <v>48</v>
      </c>
      <c r="C14" s="15" t="n">
        <f aca="false">C13</f>
        <v>659</v>
      </c>
      <c r="E14" s="19" t="s">
        <v>45</v>
      </c>
    </row>
    <row r="15" customFormat="false" ht="15" hidden="false" customHeight="false" outlineLevel="0" collapsed="false">
      <c r="B15" s="5" t="s">
        <v>49</v>
      </c>
      <c r="C15" s="14" t="n">
        <v>0</v>
      </c>
      <c r="E15" s="19" t="s">
        <v>50</v>
      </c>
    </row>
    <row r="16" customFormat="false" ht="15" hidden="false" customHeight="false" outlineLevel="0" collapsed="false">
      <c r="B16" s="5" t="s">
        <v>51</v>
      </c>
      <c r="C16" s="15" t="n">
        <f aca="false">C14-C15</f>
        <v>659</v>
      </c>
    </row>
    <row r="17" customFormat="false" ht="15" hidden="false" customHeight="false" outlineLevel="0" collapsed="false">
      <c r="B17" s="5" t="s">
        <v>52</v>
      </c>
      <c r="C17" s="14" t="n">
        <v>893.8</v>
      </c>
      <c r="E17" s="19" t="s">
        <v>53</v>
      </c>
    </row>
    <row r="18" customFormat="false" ht="15" hidden="false" customHeight="false" outlineLevel="0" collapsed="false">
      <c r="B18" s="5" t="s">
        <v>54</v>
      </c>
      <c r="C18" s="14" t="n">
        <v>884.6</v>
      </c>
      <c r="E18" s="19" t="s">
        <v>53</v>
      </c>
    </row>
    <row r="19" customFormat="false" ht="15" hidden="false" customHeight="false" outlineLevel="0" collapsed="false">
      <c r="B19" s="5" t="s">
        <v>55</v>
      </c>
      <c r="C19" s="15" t="n">
        <f aca="false">MAX(0,C17-C18)</f>
        <v>9.19999999999993</v>
      </c>
      <c r="E19" s="19" t="s">
        <v>56</v>
      </c>
    </row>
    <row r="20" customFormat="false" ht="15" hidden="false" customHeight="false" outlineLevel="0" collapsed="false">
      <c r="B20" s="5" t="s">
        <v>57</v>
      </c>
      <c r="C20" s="22" t="n">
        <v>0.265</v>
      </c>
      <c r="E20" s="19" t="s">
        <v>58</v>
      </c>
    </row>
    <row r="21" customFormat="false" ht="15" hidden="false" customHeight="false" outlineLevel="0" collapsed="false">
      <c r="B21" s="5" t="s">
        <v>59</v>
      </c>
      <c r="C21" s="15" t="n">
        <f aca="false">C19*(1-C20)</f>
        <v>6.76199999999995</v>
      </c>
    </row>
    <row r="22" customFormat="false" ht="15" hidden="false" customHeight="false" outlineLevel="0" collapsed="false">
      <c r="B22" s="5" t="s">
        <v>60</v>
      </c>
      <c r="C22" s="15" t="n">
        <f aca="false">C16+C21</f>
        <v>665.762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0.359871351351351</v>
      </c>
      <c r="E23" s="19" t="s">
        <v>61</v>
      </c>
    </row>
    <row r="24" customFormat="false" ht="15" hidden="false" customHeight="false" outlineLevel="0" collapsed="false">
      <c r="B24" s="5" t="s">
        <v>62</v>
      </c>
      <c r="C24" s="14" t="n">
        <v>1070</v>
      </c>
      <c r="E24" s="19" t="s">
        <v>53</v>
      </c>
    </row>
    <row r="26" customFormat="false" ht="15" hidden="false" customHeight="false" outlineLevel="0" collapsed="false">
      <c r="B26" s="3" t="s">
        <v>63</v>
      </c>
    </row>
    <row r="27" customFormat="false" ht="15" hidden="false" customHeight="false" outlineLevel="0" collapsed="false">
      <c r="B27" s="5" t="s">
        <v>64</v>
      </c>
      <c r="C27" s="14" t="n">
        <v>2070</v>
      </c>
      <c r="E27" s="19" t="s">
        <v>65</v>
      </c>
    </row>
    <row r="28" customFormat="false" ht="15" hidden="false" customHeight="false" outlineLevel="0" collapsed="false">
      <c r="B28" s="5" t="s">
        <v>66</v>
      </c>
      <c r="C28" s="14" t="n">
        <v>517.3</v>
      </c>
      <c r="E28" s="19" t="s">
        <v>65</v>
      </c>
    </row>
    <row r="29" customFormat="false" ht="15" hidden="false" customHeight="false" outlineLevel="0" collapsed="false">
      <c r="B29" s="5" t="s">
        <v>67</v>
      </c>
      <c r="C29" s="15" t="n">
        <f aca="false">C27-C28</f>
        <v>1552.7</v>
      </c>
    </row>
    <row r="31" customFormat="false" ht="15" hidden="false" customHeight="false" outlineLevel="0" collapsed="false">
      <c r="B31" s="3" t="s">
        <v>68</v>
      </c>
    </row>
    <row r="32" customFormat="false" ht="15" hidden="false" customHeight="false" outlineLevel="0" collapsed="false">
      <c r="B32" s="5" t="s">
        <v>69</v>
      </c>
      <c r="C32" s="24" t="n">
        <v>0.0387</v>
      </c>
      <c r="E32" s="19" t="s">
        <v>70</v>
      </c>
    </row>
    <row r="33" customFormat="false" ht="15" hidden="false" customHeight="false" outlineLevel="0" collapsed="false">
      <c r="B33" s="5" t="s">
        <v>71</v>
      </c>
      <c r="C33" s="24" t="n">
        <v>0.02</v>
      </c>
      <c r="E33" s="19" t="s">
        <v>72</v>
      </c>
    </row>
    <row r="34" customFormat="false" ht="15" hidden="false" customHeight="false" outlineLevel="0" collapsed="false">
      <c r="B34" s="5" t="s">
        <v>73</v>
      </c>
      <c r="C34" s="25" t="n">
        <f aca="false">C33</f>
        <v>0.02</v>
      </c>
    </row>
    <row r="35" customFormat="false" ht="15" hidden="false" customHeight="false" outlineLevel="0" collapsed="false">
      <c r="B35" s="5" t="s">
        <v>74</v>
      </c>
      <c r="C35" s="25" t="n">
        <f aca="false">C32</f>
        <v>0.0387</v>
      </c>
    </row>
    <row r="36" customFormat="false" ht="15" hidden="false" customHeight="false" outlineLevel="0" collapsed="false">
      <c r="B36" s="5" t="s">
        <v>75</v>
      </c>
      <c r="C36" s="24" t="n">
        <v>0.005</v>
      </c>
      <c r="E36" s="19" t="s">
        <v>76</v>
      </c>
    </row>
    <row r="37" customFormat="false" ht="15" hidden="false" customHeight="false" outlineLevel="0" collapsed="false">
      <c r="B37" s="5" t="s">
        <v>12</v>
      </c>
      <c r="C37" s="25" t="n">
        <f aca="false">C34+C36</f>
        <v>0.025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5" t="s">
        <v>81</v>
      </c>
      <c r="E41" s="19" t="s">
        <v>82</v>
      </c>
    </row>
    <row r="42" customFormat="false" ht="15" hidden="false" customHeight="false" outlineLevel="0" collapsed="false">
      <c r="B42" s="5" t="s">
        <v>83</v>
      </c>
      <c r="C42" s="22" t="n">
        <v>0.1503</v>
      </c>
      <c r="E42" s="19" t="s">
        <v>84</v>
      </c>
    </row>
    <row r="43" customFormat="false" ht="15" hidden="false" customHeight="false" outlineLevel="0" collapsed="false">
      <c r="B43" s="5" t="s">
        <v>85</v>
      </c>
      <c r="C43" s="23" t="n">
        <f aca="false">AVERAGE(C41:C42)</f>
        <v>0.1503</v>
      </c>
      <c r="E43" s="19" t="s">
        <v>86</v>
      </c>
    </row>
    <row r="44" customFormat="false" ht="15" hidden="false" customHeight="false" outlineLevel="0" collapsed="false">
      <c r="B44" s="5" t="s">
        <v>87</v>
      </c>
      <c r="C44" s="22" t="n">
        <v>0.03</v>
      </c>
      <c r="E44" s="19" t="s">
        <v>88</v>
      </c>
    </row>
    <row r="45" customFormat="false" ht="15" hidden="false" customHeight="false" outlineLevel="0" collapsed="false">
      <c r="B45" s="5" t="s">
        <v>89</v>
      </c>
      <c r="C45" s="26" t="n">
        <v>0.1503</v>
      </c>
      <c r="E45" s="19" t="s">
        <v>90</v>
      </c>
    </row>
    <row r="46" customFormat="false" ht="15" hidden="false" customHeight="false" outlineLevel="0" collapsed="false">
      <c r="B46" s="5" t="s">
        <v>91</v>
      </c>
      <c r="C46" s="27" t="n">
        <v>5</v>
      </c>
      <c r="E46" s="19" t="s">
        <v>92</v>
      </c>
    </row>
    <row r="47" customFormat="false" ht="15" hidden="false" customHeight="false" outlineLevel="0" collapsed="false">
      <c r="B47" s="5" t="s">
        <v>93</v>
      </c>
      <c r="C47" s="27" t="n">
        <v>5</v>
      </c>
      <c r="E47" s="19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95</v>
      </c>
    </row>
    <row r="3" customFormat="false" ht="15" hidden="false" customHeight="false" outlineLevel="0" collapsed="false">
      <c r="B3" s="2" t="s">
        <v>96</v>
      </c>
    </row>
    <row r="5" customFormat="false" ht="15" hidden="false" customHeight="false" outlineLevel="0" collapsed="false">
      <c r="B5" s="28" t="s">
        <v>97</v>
      </c>
      <c r="C5" s="28" t="s">
        <v>98</v>
      </c>
      <c r="D5" s="28" t="s">
        <v>99</v>
      </c>
      <c r="E5" s="28" t="s">
        <v>100</v>
      </c>
      <c r="F5" s="28" t="s">
        <v>101</v>
      </c>
      <c r="G5" s="28" t="s">
        <v>102</v>
      </c>
      <c r="H5" s="28" t="s">
        <v>103</v>
      </c>
    </row>
    <row r="6" customFormat="false" ht="15" hidden="false" customHeight="false" outlineLevel="0" collapsed="false">
      <c r="B6" s="5" t="s">
        <v>104</v>
      </c>
      <c r="C6" s="14" t="n">
        <v>980.7</v>
      </c>
      <c r="D6" s="14" t="n">
        <v>1115</v>
      </c>
      <c r="E6" s="14" t="n">
        <v>1194</v>
      </c>
      <c r="F6" s="14" t="n">
        <v>1460</v>
      </c>
      <c r="G6" s="14" t="n">
        <v>1717</v>
      </c>
      <c r="H6" s="14" t="n">
        <v>1852</v>
      </c>
    </row>
    <row r="7" customFormat="false" ht="15" hidden="false" customHeight="false" outlineLevel="0" collapsed="false">
      <c r="B7" s="5" t="s">
        <v>105</v>
      </c>
      <c r="D7" s="23" t="n">
        <f aca="false">D6/C6-1</f>
        <v>0.136942999898032</v>
      </c>
      <c r="E7" s="23" t="n">
        <f aca="false">E6/D6-1</f>
        <v>0.0708520179372196</v>
      </c>
      <c r="F7" s="23" t="n">
        <f aca="false">F6/E6-1</f>
        <v>0.222780569514238</v>
      </c>
      <c r="G7" s="23" t="n">
        <f aca="false">G6/F6-1</f>
        <v>0.176027397260274</v>
      </c>
    </row>
    <row r="8" customFormat="false" ht="15" hidden="false" customHeight="false" outlineLevel="0" collapsed="false">
      <c r="B8" s="19" t="s">
        <v>106</v>
      </c>
    </row>
    <row r="10" customFormat="false" ht="15" hidden="false" customHeight="false" outlineLevel="0" collapsed="false">
      <c r="B10" s="3" t="s">
        <v>107</v>
      </c>
    </row>
    <row r="11" customFormat="false" ht="15" hidden="false" customHeight="false" outlineLevel="0" collapsed="false">
      <c r="B11" s="19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109</v>
      </c>
    </row>
    <row r="3" customFormat="false" ht="15" hidden="false" customHeight="false" outlineLevel="0" collapsed="false">
      <c r="B3" s="2" t="s">
        <v>110</v>
      </c>
    </row>
    <row r="5" customFormat="false" ht="15" hidden="false" customHeight="false" outlineLevel="0" collapsed="false">
      <c r="B5" s="28" t="s">
        <v>111</v>
      </c>
      <c r="C5" s="28" t="s">
        <v>112</v>
      </c>
      <c r="D5" s="28" t="s">
        <v>113</v>
      </c>
      <c r="E5" s="28" t="s">
        <v>114</v>
      </c>
      <c r="F5" s="28" t="s">
        <v>57</v>
      </c>
      <c r="G5" s="28" t="s">
        <v>115</v>
      </c>
    </row>
    <row r="6" customFormat="false" ht="15" hidden="false" customHeight="false" outlineLevel="0" collapsed="false">
      <c r="B6" s="5" t="s">
        <v>116</v>
      </c>
      <c r="C6" s="29" t="n">
        <v>0.937184629651022</v>
      </c>
      <c r="D6" s="14" t="n">
        <v>20530</v>
      </c>
      <c r="E6" s="14" t="n">
        <v>87470</v>
      </c>
      <c r="F6" s="22" t="n">
        <v>0.25</v>
      </c>
      <c r="G6" s="30" t="n">
        <f aca="false">C6/(1+(1-F6)*D6/E6)</f>
        <v>0.796904168523342</v>
      </c>
      <c r="H6" s="19" t="s">
        <v>117</v>
      </c>
    </row>
    <row r="7" customFormat="false" ht="15" hidden="false" customHeight="false" outlineLevel="0" collapsed="false">
      <c r="B7" s="5" t="s">
        <v>118</v>
      </c>
      <c r="C7" s="29" t="n">
        <v>0.239866317804515</v>
      </c>
      <c r="D7" s="14" t="n">
        <v>3870</v>
      </c>
      <c r="E7" s="14" t="n">
        <v>99970</v>
      </c>
      <c r="F7" s="22" t="n">
        <v>0.25</v>
      </c>
      <c r="G7" s="30" t="n">
        <f aca="false">C7/(1+(1-F7)*D7/E7)</f>
        <v>0.233098600606745</v>
      </c>
    </row>
    <row r="8" customFormat="false" ht="15" hidden="false" customHeight="false" outlineLevel="0" collapsed="false">
      <c r="B8" s="5" t="s">
        <v>119</v>
      </c>
      <c r="C8" s="29" t="n">
        <v>0.991894933766176</v>
      </c>
      <c r="D8" s="14" t="n">
        <v>9320</v>
      </c>
      <c r="E8" s="14" t="n">
        <v>52250</v>
      </c>
      <c r="F8" s="22" t="n">
        <v>0.25</v>
      </c>
      <c r="G8" s="30" t="n">
        <f aca="false">C8/(1+(1-F8)*D8/E8)</f>
        <v>0.874856689555751</v>
      </c>
    </row>
    <row r="9" customFormat="false" ht="15" hidden="false" customHeight="false" outlineLevel="0" collapsed="false">
      <c r="B9" s="5" t="s">
        <v>120</v>
      </c>
      <c r="C9" s="29" t="n">
        <v>0.41</v>
      </c>
      <c r="D9" s="14" t="n">
        <v>1580</v>
      </c>
      <c r="E9" s="14" t="n">
        <v>30520</v>
      </c>
      <c r="F9" s="22" t="n">
        <v>0.25</v>
      </c>
      <c r="G9" s="30" t="n">
        <f aca="false">C9/(1+(1-F9)*D9/E9)</f>
        <v>0.394675918624823</v>
      </c>
    </row>
    <row r="10" customFormat="false" ht="15" hidden="false" customHeight="false" outlineLevel="0" collapsed="false">
      <c r="B10" s="7" t="s">
        <v>121</v>
      </c>
      <c r="C10" s="29" t="n">
        <v>0.0712282477450855</v>
      </c>
      <c r="D10" s="14" t="n">
        <v>2070</v>
      </c>
      <c r="E10" s="14" t="n">
        <v>15010</v>
      </c>
      <c r="F10" s="22" t="n">
        <v>0.265</v>
      </c>
      <c r="G10" s="30" t="n">
        <f aca="false">C10/(1+(1-F10)*D10/E10)</f>
        <v>0.0646728507574189</v>
      </c>
    </row>
    <row r="11" customFormat="false" ht="15" hidden="false" customHeight="false" outlineLevel="0" collapsed="false">
      <c r="B11" s="5" t="s">
        <v>122</v>
      </c>
      <c r="C11" s="29" t="n">
        <v>0.611799852675033</v>
      </c>
      <c r="D11" s="14" t="n">
        <v>150.34</v>
      </c>
      <c r="E11" s="14" t="n">
        <v>25740</v>
      </c>
      <c r="F11" s="22" t="n">
        <v>0.25</v>
      </c>
      <c r="G11" s="30" t="n">
        <f aca="false">C11/(1+(1-F11)*D11/E11)</f>
        <v>0.609131529999621</v>
      </c>
    </row>
    <row r="12" customFormat="false" ht="15" hidden="false" customHeight="false" outlineLevel="0" collapsed="false">
      <c r="B12" s="5" t="s">
        <v>123</v>
      </c>
      <c r="C12" s="29" t="n">
        <v>0.798396426820285</v>
      </c>
      <c r="D12" s="14" t="n">
        <v>178.91</v>
      </c>
      <c r="E12" s="14" t="n">
        <v>5790</v>
      </c>
      <c r="F12" s="22" t="n">
        <v>0.25</v>
      </c>
      <c r="G12" s="30" t="n">
        <f aca="false">C12/(1+(1-F12)*D12/E12)</f>
        <v>0.780312779238224</v>
      </c>
    </row>
    <row r="14" customFormat="false" ht="15" hidden="false" customHeight="false" outlineLevel="0" collapsed="false">
      <c r="B14" s="5" t="s">
        <v>124</v>
      </c>
      <c r="C14" s="30" t="n">
        <f aca="false">MEDIAN(G6:G12)</f>
        <v>0.609131529999621</v>
      </c>
    </row>
    <row r="15" customFormat="false" ht="15" hidden="false" customHeight="false" outlineLevel="0" collapsed="false">
      <c r="B15" s="5" t="s">
        <v>125</v>
      </c>
      <c r="C15" s="16" t="n">
        <f aca="false">Inputs!$C$27</f>
        <v>2070</v>
      </c>
    </row>
    <row r="16" customFormat="false" ht="15" hidden="false" customHeight="false" outlineLevel="0" collapsed="false">
      <c r="B16" s="5" t="s">
        <v>39</v>
      </c>
      <c r="C16" s="16" t="n">
        <f aca="false">Inputs!$C$8</f>
        <v>15010</v>
      </c>
    </row>
    <row r="17" customFormat="false" ht="15" hidden="false" customHeight="false" outlineLevel="0" collapsed="false">
      <c r="B17" s="5" t="s">
        <v>57</v>
      </c>
      <c r="C17" s="9" t="n">
        <f aca="false">Inputs!$C$20</f>
        <v>0.265</v>
      </c>
    </row>
    <row r="18" customFormat="false" ht="15" hidden="false" customHeight="false" outlineLevel="0" collapsed="false">
      <c r="B18" s="5" t="s">
        <v>126</v>
      </c>
      <c r="C18" s="30" t="n">
        <f aca="false">WACC!$C$14*(1+(1-WACC!$C$17)*WACC!$C$15/WACC!$C$16)</f>
        <v>0.670874579054779</v>
      </c>
      <c r="H18" s="19" t="s">
        <v>127</v>
      </c>
    </row>
    <row r="19" customFormat="false" ht="15" hidden="false" customHeight="false" outlineLevel="0" collapsed="false">
      <c r="B19" s="5" t="s">
        <v>128</v>
      </c>
      <c r="C19" s="12" t="n">
        <f aca="false">Inputs!$C$35</f>
        <v>0.0387</v>
      </c>
    </row>
    <row r="20" customFormat="false" ht="15" hidden="false" customHeight="false" outlineLevel="0" collapsed="false">
      <c r="B20" s="5" t="s">
        <v>77</v>
      </c>
      <c r="C20" s="12" t="n">
        <f aca="false">Inputs!$C$38</f>
        <v>0.0423</v>
      </c>
    </row>
    <row r="21" customFormat="false" ht="15" hidden="false" customHeight="false" outlineLevel="0" collapsed="false">
      <c r="B21" s="5" t="s">
        <v>129</v>
      </c>
      <c r="C21" s="25" t="n">
        <f aca="false">WACC!$C$19+WACC!$C$18*WACC!$C$20</f>
        <v>0.0670779946940172</v>
      </c>
      <c r="H21" s="19" t="s">
        <v>130</v>
      </c>
    </row>
    <row r="23" customFormat="false" ht="15" hidden="false" customHeight="false" outlineLevel="0" collapsed="false">
      <c r="B23" s="3" t="s">
        <v>131</v>
      </c>
    </row>
    <row r="24" customFormat="false" ht="15" hidden="false" customHeight="false" outlineLevel="0" collapsed="false">
      <c r="B24" s="28" t="s">
        <v>132</v>
      </c>
      <c r="C24" s="28" t="s">
        <v>133</v>
      </c>
    </row>
    <row r="25" customFormat="false" ht="15" hidden="false" customHeight="false" outlineLevel="0" collapsed="false">
      <c r="B25" s="31" t="n">
        <v>1</v>
      </c>
      <c r="C25" s="24" t="n">
        <v>0.01</v>
      </c>
      <c r="H25" s="19" t="s">
        <v>134</v>
      </c>
    </row>
    <row r="26" customFormat="false" ht="15" hidden="false" customHeight="false" outlineLevel="0" collapsed="false">
      <c r="B26" s="31" t="n">
        <v>2</v>
      </c>
      <c r="C26" s="24" t="n">
        <v>0.0125</v>
      </c>
    </row>
    <row r="27" customFormat="false" ht="15" hidden="false" customHeight="false" outlineLevel="0" collapsed="false">
      <c r="B27" s="31" t="n">
        <v>3</v>
      </c>
      <c r="C27" s="24" t="n">
        <v>0.016</v>
      </c>
    </row>
    <row r="28" customFormat="false" ht="15" hidden="false" customHeight="false" outlineLevel="0" collapsed="false">
      <c r="B28" s="31" t="n">
        <v>4</v>
      </c>
      <c r="C28" s="24" t="n">
        <v>0.02</v>
      </c>
    </row>
    <row r="29" customFormat="false" ht="15" hidden="false" customHeight="false" outlineLevel="0" collapsed="false">
      <c r="B29" s="31" t="n">
        <v>99</v>
      </c>
      <c r="C29" s="24" t="n">
        <v>0.0275</v>
      </c>
    </row>
    <row r="31" customFormat="false" ht="15" hidden="false" customHeight="false" outlineLevel="0" collapsed="false">
      <c r="B31" s="5" t="s">
        <v>135</v>
      </c>
      <c r="C31" s="32" t="n">
        <f aca="false">Inputs!$C$27/Inputs!$C$24</f>
        <v>1.93457943925234</v>
      </c>
    </row>
    <row r="32" customFormat="false" ht="15" hidden="false" customHeight="false" outlineLevel="0" collapsed="false">
      <c r="B32" s="5" t="s">
        <v>136</v>
      </c>
      <c r="C32" s="25" t="n">
        <f aca="false">INDEX(C25:C29,COUNTIF(B25:B29,"&lt;="&amp;WACC!$C$31)+1)</f>
        <v>0.0125</v>
      </c>
      <c r="H32" s="19" t="s">
        <v>137</v>
      </c>
    </row>
    <row r="33" customFormat="false" ht="15" hidden="false" customHeight="false" outlineLevel="0" collapsed="false">
      <c r="B33" s="5" t="s">
        <v>138</v>
      </c>
      <c r="C33" s="25" t="n">
        <f aca="false">WACC!$C$19+WACC!$C$32</f>
        <v>0.0512</v>
      </c>
    </row>
    <row r="34" customFormat="false" ht="15" hidden="false" customHeight="false" outlineLevel="0" collapsed="false">
      <c r="B34" s="5" t="s">
        <v>139</v>
      </c>
      <c r="C34" s="25" t="n">
        <f aca="false">WACC!$C$33*(1-WACC!$C$17)</f>
        <v>0.037632</v>
      </c>
    </row>
    <row r="35" customFormat="false" ht="15" hidden="false" customHeight="false" outlineLevel="0" collapsed="false">
      <c r="B35" s="5" t="s">
        <v>140</v>
      </c>
      <c r="C35" s="23" t="n">
        <f aca="false">WACC!$C$15/(WACC!$C$15+WACC!$C$16)</f>
        <v>0.121194379391101</v>
      </c>
      <c r="H35" s="19" t="s">
        <v>141</v>
      </c>
    </row>
    <row r="36" customFormat="false" ht="15" hidden="false" customHeight="false" outlineLevel="0" collapsed="false">
      <c r="B36" s="5" t="s">
        <v>142</v>
      </c>
      <c r="C36" s="23" t="n">
        <f aca="false">1-WACC!$C$35</f>
        <v>0.878805620608899</v>
      </c>
    </row>
    <row r="37" customFormat="false" ht="15" hidden="false" customHeight="false" outlineLevel="0" collapsed="false">
      <c r="B37" s="5" t="s">
        <v>11</v>
      </c>
      <c r="C37" s="33" t="n">
        <f aca="false">WACC!$C$36*WACC!$C$21+WACC!$C$35*WACC!$C$34</f>
        <v>0.0635093056415221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143</v>
      </c>
    </row>
    <row r="2" customFormat="false" ht="15" hidden="false" customHeight="false" outlineLevel="0" collapsed="false">
      <c r="B2" s="5" t="s">
        <v>144</v>
      </c>
      <c r="C2" s="16" t="n">
        <f aca="false">Inputs!$C$12</f>
        <v>1850</v>
      </c>
      <c r="D2" s="5" t="s">
        <v>145</v>
      </c>
      <c r="E2" s="9" t="n">
        <f aca="false">Inputs!$C$23</f>
        <v>0.359871351351351</v>
      </c>
      <c r="F2" s="5" t="s">
        <v>146</v>
      </c>
      <c r="G2" s="16" t="n">
        <f aca="false">Inputs!$C$27</f>
        <v>2070</v>
      </c>
      <c r="H2" s="5" t="s">
        <v>147</v>
      </c>
      <c r="I2" s="16" t="n">
        <f aca="false">Inputs!$C$28</f>
        <v>517.3</v>
      </c>
      <c r="J2" s="5" t="s">
        <v>148</v>
      </c>
      <c r="K2" s="34" t="n">
        <f aca="false">Inputs!$C$7</f>
        <v>275.39</v>
      </c>
      <c r="L2" s="5" t="s">
        <v>149</v>
      </c>
      <c r="M2" s="6" t="n">
        <f aca="false">Inputs!$C$6</f>
        <v>54.5045208613239</v>
      </c>
      <c r="N2" s="5" t="s">
        <v>150</v>
      </c>
      <c r="O2" s="35" t="n">
        <f aca="false">Inputs!$C$46</f>
        <v>5</v>
      </c>
      <c r="P2" s="5" t="s">
        <v>151</v>
      </c>
      <c r="Q2" s="35" t="n">
        <f aca="false">Inputs!$C$47</f>
        <v>5</v>
      </c>
    </row>
    <row r="3" customFormat="false" ht="15" hidden="false" customHeight="false" outlineLevel="0" collapsed="false">
      <c r="D3" s="36" t="s">
        <v>152</v>
      </c>
      <c r="E3" s="37" t="n">
        <v>1</v>
      </c>
      <c r="F3" s="37" t="n">
        <v>2</v>
      </c>
      <c r="G3" s="37" t="n">
        <v>3</v>
      </c>
      <c r="H3" s="37" t="n">
        <v>4</v>
      </c>
      <c r="I3" s="37" t="n">
        <v>5</v>
      </c>
      <c r="J3" s="37" t="n">
        <v>6</v>
      </c>
      <c r="K3" s="37" t="n">
        <v>7</v>
      </c>
      <c r="L3" s="37" t="n">
        <v>8</v>
      </c>
      <c r="M3" s="37" t="n">
        <v>9</v>
      </c>
      <c r="N3" s="37" t="n">
        <v>10</v>
      </c>
    </row>
    <row r="4" customFormat="false" ht="15" hidden="false" customHeight="false" outlineLevel="0" collapsed="false">
      <c r="A4" s="19" t="s">
        <v>153</v>
      </c>
    </row>
    <row r="6" customFormat="false" ht="15" hidden="false" customHeight="false" outlineLevel="0" collapsed="false">
      <c r="A6" s="36" t="s">
        <v>154</v>
      </c>
      <c r="E6" s="5" t="s">
        <v>11</v>
      </c>
      <c r="F6" s="12" t="n">
        <f aca="false">WACC!$C$37</f>
        <v>0.0635093056415221</v>
      </c>
      <c r="G6" s="5" t="s">
        <v>12</v>
      </c>
      <c r="I6" s="12" t="n">
        <f aca="false">Inputs!$C$37</f>
        <v>0.025</v>
      </c>
      <c r="W6" s="36" t="s">
        <v>155</v>
      </c>
    </row>
    <row r="7" customFormat="false" ht="23.85" hidden="false" customHeight="false" outlineLevel="0" collapsed="false">
      <c r="A7" s="36" t="s">
        <v>156</v>
      </c>
      <c r="B7" s="28" t="s">
        <v>157</v>
      </c>
      <c r="C7" s="28" t="s">
        <v>158</v>
      </c>
      <c r="D7" s="28" t="s">
        <v>159</v>
      </c>
      <c r="E7" s="28" t="s">
        <v>160</v>
      </c>
      <c r="F7" s="28" t="s">
        <v>161</v>
      </c>
      <c r="G7" s="28" t="s">
        <v>162</v>
      </c>
      <c r="H7" s="28" t="s">
        <v>163</v>
      </c>
      <c r="I7" s="28" t="s">
        <v>164</v>
      </c>
      <c r="J7" s="28" t="s">
        <v>165</v>
      </c>
      <c r="K7" s="28" t="s">
        <v>166</v>
      </c>
      <c r="L7" s="28" t="s">
        <v>167</v>
      </c>
      <c r="M7" s="28" t="s">
        <v>168</v>
      </c>
      <c r="N7" s="28" t="s">
        <v>169</v>
      </c>
      <c r="O7" s="28" t="s">
        <v>170</v>
      </c>
      <c r="P7" s="28" t="s">
        <v>171</v>
      </c>
      <c r="Q7" s="28" t="s">
        <v>172</v>
      </c>
      <c r="R7" s="28" t="s">
        <v>173</v>
      </c>
      <c r="S7" s="28" t="s">
        <v>174</v>
      </c>
      <c r="T7" s="28" t="s">
        <v>175</v>
      </c>
      <c r="W7" s="38" t="n">
        <f aca="false">$D$47</f>
        <v>0.0139550970475284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39" t="n">
        <f aca="false">(B8+C8)/2</f>
        <v>0.25</v>
      </c>
      <c r="E8" s="15" t="n">
        <f aca="false">$C$2*(1+IF(E$3&lt;=$O$2,$D8,$D8-($D8-$I$6)*MIN(E$3-$O$2,$Q$2)/$Q$2))</f>
        <v>2312.5</v>
      </c>
      <c r="F8" s="15" t="n">
        <f aca="false">E8*(1+IF(F$3&lt;=$O$2,$D8,$D8-($D8-$I$6)*MIN(F$3-$O$2,$Q$2)/$Q$2))</f>
        <v>2890.625</v>
      </c>
      <c r="G8" s="15" t="n">
        <f aca="false">F8*(1+IF(G$3&lt;=$O$2,$D8,$D8-($D8-$I$6)*MIN(G$3-$O$2,$Q$2)/$Q$2))</f>
        <v>3613.28125</v>
      </c>
      <c r="H8" s="15" t="n">
        <f aca="false">G8*(1+IF(H$3&lt;=$O$2,$D8,$D8-($D8-$I$6)*MIN(H$3-$O$2,$Q$2)/$Q$2))</f>
        <v>4516.6015625</v>
      </c>
      <c r="I8" s="15" t="n">
        <f aca="false">H8*(1+IF(I$3&lt;=$O$2,$D8,$D8-($D8-$I$6)*MIN(I$3-$O$2,$Q$2)/$Q$2))</f>
        <v>5645.751953125</v>
      </c>
      <c r="J8" s="15" t="n">
        <f aca="false">I8*(1+IF(J$3&lt;=$O$2,$D8,$D8-($D8-$I$6)*MIN(J$3-$O$2,$Q$2)/$Q$2))</f>
        <v>6803.13110351563</v>
      </c>
      <c r="K8" s="15" t="n">
        <f aca="false">J8*(1+IF(K$3&lt;=$O$2,$D8,$D8-($D8-$I$6)*MIN(K$3-$O$2,$Q$2)/$Q$2))</f>
        <v>7891.63208007812</v>
      </c>
      <c r="L8" s="15" t="n">
        <f aca="false">K8*(1+IF(L$3&lt;=$O$2,$D8,$D8-($D8-$I$6)*MIN(L$3-$O$2,$Q$2)/$Q$2))</f>
        <v>8799.16976928711</v>
      </c>
      <c r="M8" s="15" t="n">
        <f aca="false">L8*(1+IF(M$3&lt;=$O$2,$D8,$D8-($D8-$I$6)*MIN(M$3-$O$2,$Q$2)/$Q$2))</f>
        <v>9415.11165313721</v>
      </c>
      <c r="N8" s="15" t="n">
        <f aca="false">M8*(1+IF(N$3&lt;=$O$2,$D8,$D8-($D8-$I$6)*MIN(N$3-$O$2,$Q$2)/$Q$2))</f>
        <v>9650.48944446564</v>
      </c>
      <c r="O8" s="15" t="n">
        <f aca="false">SUMPRODUCT(E8:N8,1/(1+$F$6)^$E$3:$N$3)*$E$2</f>
        <v>14842.5432310948</v>
      </c>
      <c r="P8" s="15" t="n">
        <f aca="false">N8*$E$2*(1+$I$6)/($F$6-$I$6)/(1+$F$6)^$N$3</f>
        <v>49939.2308423353</v>
      </c>
      <c r="Q8" s="15" t="n">
        <f aca="false">O8+P8</f>
        <v>64781.7740734301</v>
      </c>
      <c r="R8" s="15" t="n">
        <f aca="false">Q8-$G$2+$I$2</f>
        <v>63229.0740734301</v>
      </c>
      <c r="S8" s="40" t="n">
        <f aca="false">R8/$K$2</f>
        <v>229.598293596101</v>
      </c>
      <c r="T8" s="41" t="n">
        <f aca="false">S8-$M$2</f>
        <v>175.093772734777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39" t="n">
        <f aca="false">(B9+C9)/2</f>
        <v>-0.125</v>
      </c>
      <c r="E9" s="15" t="n">
        <f aca="false">$C$2*(1+IF(E$3&lt;=$O$2,$D9,$D9-($D9-$I$6)*MIN(E$3-$O$2,$Q$2)/$Q$2))</f>
        <v>1618.75</v>
      </c>
      <c r="F9" s="15" t="n">
        <f aca="false">E9*(1+IF(F$3&lt;=$O$2,$D9,$D9-($D9-$I$6)*MIN(F$3-$O$2,$Q$2)/$Q$2))</f>
        <v>1416.40625</v>
      </c>
      <c r="G9" s="15" t="n">
        <f aca="false">F9*(1+IF(G$3&lt;=$O$2,$D9,$D9-($D9-$I$6)*MIN(G$3-$O$2,$Q$2)/$Q$2))</f>
        <v>1239.35546875</v>
      </c>
      <c r="H9" s="15" t="n">
        <f aca="false">G9*(1+IF(H$3&lt;=$O$2,$D9,$D9-($D9-$I$6)*MIN(H$3-$O$2,$Q$2)/$Q$2))</f>
        <v>1084.43603515625</v>
      </c>
      <c r="I9" s="15" t="n">
        <f aca="false">H9*(1+IF(I$3&lt;=$O$2,$D9,$D9-($D9-$I$6)*MIN(I$3-$O$2,$Q$2)/$Q$2))</f>
        <v>948.881530761719</v>
      </c>
      <c r="J9" s="15" t="n">
        <f aca="false">I9*(1+IF(J$3&lt;=$O$2,$D9,$D9-($D9-$I$6)*MIN(J$3-$O$2,$Q$2)/$Q$2))</f>
        <v>858.737785339356</v>
      </c>
      <c r="K9" s="15" t="n">
        <f aca="false">J9*(1+IF(K$3&lt;=$O$2,$D9,$D9-($D9-$I$6)*MIN(K$3-$O$2,$Q$2)/$Q$2))</f>
        <v>802.919829292297</v>
      </c>
      <c r="L9" s="15" t="n">
        <f aca="false">K9*(1+IF(L$3&lt;=$O$2,$D9,$D9-($D9-$I$6)*MIN(L$3-$O$2,$Q$2)/$Q$2))</f>
        <v>774.817635267067</v>
      </c>
      <c r="M9" s="15" t="n">
        <f aca="false">L9*(1+IF(M$3&lt;=$O$2,$D9,$D9-($D9-$I$6)*MIN(M$3-$O$2,$Q$2)/$Q$2))</f>
        <v>770.943547090732</v>
      </c>
      <c r="N9" s="15" t="n">
        <f aca="false">M9*(1+IF(N$3&lt;=$O$2,$D9,$D9-($D9-$I$6)*MIN(N$3-$O$2,$Q$2)/$Q$2))</f>
        <v>790.217135768</v>
      </c>
      <c r="O9" s="15" t="n">
        <f aca="false">SUMPRODUCT(E9:N9,1/(1+$F$6)^$E$3:$N$3)*$E$2</f>
        <v>2810.01490181603</v>
      </c>
      <c r="P9" s="15" t="n">
        <f aca="false">N9*$E$2*(1+$I$6)/($F$6-$I$6)/(1+$F$6)^$N$3</f>
        <v>4089.20564970084</v>
      </c>
      <c r="Q9" s="15" t="n">
        <f aca="false">O9+P9</f>
        <v>6899.22055151687</v>
      </c>
      <c r="R9" s="15" t="n">
        <f aca="false">Q9-$G$2+$I$2</f>
        <v>5346.52055151687</v>
      </c>
      <c r="S9" s="40" t="n">
        <f aca="false">R9/$K$2</f>
        <v>19.4143598224949</v>
      </c>
      <c r="T9" s="41" t="n">
        <f aca="false">S9-$M$2</f>
        <v>-35.090161038829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39" t="n">
        <f aca="false">(B10+C10)/2</f>
        <v>0.0625</v>
      </c>
      <c r="E10" s="15" t="n">
        <f aca="false">$C$2*(1+IF(E$3&lt;=$O$2,$D10,$D10-($D10-$I$6)*MIN(E$3-$O$2,$Q$2)/$Q$2))</f>
        <v>1965.625</v>
      </c>
      <c r="F10" s="15" t="n">
        <f aca="false">E10*(1+IF(F$3&lt;=$O$2,$D10,$D10-($D10-$I$6)*MIN(F$3-$O$2,$Q$2)/$Q$2))</f>
        <v>2088.4765625</v>
      </c>
      <c r="G10" s="15" t="n">
        <f aca="false">F10*(1+IF(G$3&lt;=$O$2,$D10,$D10-($D10-$I$6)*MIN(G$3-$O$2,$Q$2)/$Q$2))</f>
        <v>2219.00634765625</v>
      </c>
      <c r="H10" s="15" t="n">
        <f aca="false">G10*(1+IF(H$3&lt;=$O$2,$D10,$D10-($D10-$I$6)*MIN(H$3-$O$2,$Q$2)/$Q$2))</f>
        <v>2357.69424438477</v>
      </c>
      <c r="I10" s="15" t="n">
        <f aca="false">H10*(1+IF(I$3&lt;=$O$2,$D10,$D10-($D10-$I$6)*MIN(I$3-$O$2,$Q$2)/$Q$2))</f>
        <v>2505.05013465881</v>
      </c>
      <c r="J10" s="15" t="n">
        <f aca="false">I10*(1+IF(J$3&lt;=$O$2,$D10,$D10-($D10-$I$6)*MIN(J$3-$O$2,$Q$2)/$Q$2))</f>
        <v>2642.82789206505</v>
      </c>
      <c r="K10" s="15" t="n">
        <f aca="false">J10*(1+IF(K$3&lt;=$O$2,$D10,$D10-($D10-$I$6)*MIN(K$3-$O$2,$Q$2)/$Q$2))</f>
        <v>2768.36221693814</v>
      </c>
      <c r="L10" s="15" t="n">
        <f aca="false">K10*(1+IF(L$3&lt;=$O$2,$D10,$D10-($D10-$I$6)*MIN(L$3-$O$2,$Q$2)/$Q$2))</f>
        <v>2879.09670561566</v>
      </c>
      <c r="M10" s="15" t="n">
        <f aca="false">L10*(1+IF(M$3&lt;=$O$2,$D10,$D10-($D10-$I$6)*MIN(M$3-$O$2,$Q$2)/$Q$2))</f>
        <v>2972.66734854817</v>
      </c>
      <c r="N10" s="15" t="n">
        <f aca="false">M10*(1+IF(N$3&lt;=$O$2,$D10,$D10-($D10-$I$6)*MIN(N$3-$O$2,$Q$2)/$Q$2))</f>
        <v>3046.98403226188</v>
      </c>
      <c r="O10" s="15" t="n">
        <f aca="false">SUMPRODUCT(E10:N10,1/(1+$F$6)^$E$3:$N$3)*$E$2</f>
        <v>6464.19276191976</v>
      </c>
      <c r="P10" s="15" t="n">
        <f aca="false">N10*$E$2*(1+$I$6)/($F$6-$I$6)/(1+$F$6)^$N$3</f>
        <v>15767.4944712052</v>
      </c>
      <c r="Q10" s="15" t="n">
        <f aca="false">O10+P10</f>
        <v>22231.6872331249</v>
      </c>
      <c r="R10" s="15" t="n">
        <f aca="false">Q10-$G$2+$I$2</f>
        <v>20678.9872331249</v>
      </c>
      <c r="S10" s="40" t="n">
        <f aca="false">R10/$K$2</f>
        <v>75.0898261851372</v>
      </c>
      <c r="T10" s="41" t="n">
        <f aca="false">S10-$M$2</f>
        <v>20.5853053238132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39" t="n">
        <f aca="false">(B11+C11)/2</f>
        <v>-0.03125</v>
      </c>
      <c r="E11" s="15" t="n">
        <f aca="false">$C$2*(1+IF(E$3&lt;=$O$2,$D11,$D11-($D11-$I$6)*MIN(E$3-$O$2,$Q$2)/$Q$2))</f>
        <v>1792.1875</v>
      </c>
      <c r="F11" s="15" t="n">
        <f aca="false">E11*(1+IF(F$3&lt;=$O$2,$D11,$D11-($D11-$I$6)*MIN(F$3-$O$2,$Q$2)/$Q$2))</f>
        <v>1736.181640625</v>
      </c>
      <c r="G11" s="15" t="n">
        <f aca="false">F11*(1+IF(G$3&lt;=$O$2,$D11,$D11-($D11-$I$6)*MIN(G$3-$O$2,$Q$2)/$Q$2))</f>
        <v>1681.92596435547</v>
      </c>
      <c r="H11" s="15" t="n">
        <f aca="false">G11*(1+IF(H$3&lt;=$O$2,$D11,$D11-($D11-$I$6)*MIN(H$3-$O$2,$Q$2)/$Q$2))</f>
        <v>1629.36577796936</v>
      </c>
      <c r="I11" s="15" t="n">
        <f aca="false">H11*(1+IF(I$3&lt;=$O$2,$D11,$D11-($D11-$I$6)*MIN(I$3-$O$2,$Q$2)/$Q$2))</f>
        <v>1578.44809740782</v>
      </c>
      <c r="J11" s="15" t="n">
        <f aca="false">I11*(1+IF(J$3&lt;=$O$2,$D11,$D11-($D11-$I$6)*MIN(J$3-$O$2,$Q$2)/$Q$2))</f>
        <v>1546.87913545966</v>
      </c>
      <c r="K11" s="15" t="n">
        <f aca="false">J11*(1+IF(K$3&lt;=$O$2,$D11,$D11-($D11-$I$6)*MIN(K$3-$O$2,$Q$2)/$Q$2))</f>
        <v>1533.34394302439</v>
      </c>
      <c r="L11" s="15" t="n">
        <f aca="false">K11*(1+IF(L$3&lt;=$O$2,$D11,$D11-($D11-$I$6)*MIN(L$3-$O$2,$Q$2)/$Q$2))</f>
        <v>1537.17730288195</v>
      </c>
      <c r="M11" s="15" t="n">
        <f aca="false">L11*(1+IF(M$3&lt;=$O$2,$D11,$D11-($D11-$I$6)*MIN(M$3-$O$2,$Q$2)/$Q$2))</f>
        <v>1558.31349079658</v>
      </c>
      <c r="N11" s="15" t="n">
        <f aca="false">M11*(1+IF(N$3&lt;=$O$2,$D11,$D11-($D11-$I$6)*MIN(N$3-$O$2,$Q$2)/$Q$2))</f>
        <v>1597.27132806649</v>
      </c>
      <c r="O11" s="15" t="n">
        <f aca="false">SUMPRODUCT(E11:N11,1/(1+$F$6)^$E$3:$N$3)*$E$2</f>
        <v>4251.98454987756</v>
      </c>
      <c r="P11" s="15" t="n">
        <f aca="false">N11*$E$2*(1+$I$6)/($F$6-$I$6)/(1+$F$6)^$N$3</f>
        <v>8265.5394867978</v>
      </c>
      <c r="Q11" s="15" t="n">
        <f aca="false">O11+P11</f>
        <v>12517.5240366754</v>
      </c>
      <c r="R11" s="15" t="n">
        <f aca="false">Q11-$G$2+$I$2</f>
        <v>10964.8240366754</v>
      </c>
      <c r="S11" s="40" t="n">
        <f aca="false">R11/$K$2</f>
        <v>39.8156216154376</v>
      </c>
      <c r="T11" s="41" t="n">
        <f aca="false">S11-$M$2</f>
        <v>-14.6888992458863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39" t="n">
        <f aca="false">(B12+C12)/2</f>
        <v>0.015625</v>
      </c>
      <c r="E12" s="15" t="n">
        <f aca="false">$C$2*(1+IF(E$3&lt;=$O$2,$D12,$D12-($D12-$I$6)*MIN(E$3-$O$2,$Q$2)/$Q$2))</f>
        <v>1878.90625</v>
      </c>
      <c r="F12" s="15" t="n">
        <f aca="false">E12*(1+IF(F$3&lt;=$O$2,$D12,$D12-($D12-$I$6)*MIN(F$3-$O$2,$Q$2)/$Q$2))</f>
        <v>1908.26416015625</v>
      </c>
      <c r="G12" s="15" t="n">
        <f aca="false">F12*(1+IF(G$3&lt;=$O$2,$D12,$D12-($D12-$I$6)*MIN(G$3-$O$2,$Q$2)/$Q$2))</f>
        <v>1938.08078765869</v>
      </c>
      <c r="H12" s="15" t="n">
        <f aca="false">G12*(1+IF(H$3&lt;=$O$2,$D12,$D12-($D12-$I$6)*MIN(H$3-$O$2,$Q$2)/$Q$2))</f>
        <v>1968.36329996586</v>
      </c>
      <c r="I12" s="15" t="n">
        <f aca="false">H12*(1+IF(I$3&lt;=$O$2,$D12,$D12-($D12-$I$6)*MIN(I$3-$O$2,$Q$2)/$Q$2))</f>
        <v>1999.11897652783</v>
      </c>
      <c r="J12" s="15" t="n">
        <f aca="false">I12*(1+IF(J$3&lt;=$O$2,$D12,$D12-($D12-$I$6)*MIN(J$3-$O$2,$Q$2)/$Q$2))</f>
        <v>2034.10355861706</v>
      </c>
      <c r="K12" s="15" t="n">
        <f aca="false">J12*(1+IF(K$3&lt;=$O$2,$D12,$D12-($D12-$I$6)*MIN(K$3-$O$2,$Q$2)/$Q$2))</f>
        <v>2073.51431506527</v>
      </c>
      <c r="L12" s="15" t="n">
        <f aca="false">K12*(1+IF(L$3&lt;=$O$2,$D12,$D12-($D12-$I$6)*MIN(L$3-$O$2,$Q$2)/$Q$2))</f>
        <v>2117.5764942604</v>
      </c>
      <c r="M12" s="15" t="n">
        <f aca="false">L12*(1+IF(M$3&lt;=$O$2,$D12,$D12-($D12-$I$6)*MIN(M$3-$O$2,$Q$2)/$Q$2))</f>
        <v>2166.54545069018</v>
      </c>
      <c r="N12" s="15" t="n">
        <f aca="false">M12*(1+IF(N$3&lt;=$O$2,$D12,$D12-($D12-$I$6)*MIN(N$3-$O$2,$Q$2)/$Q$2))</f>
        <v>2220.70908695743</v>
      </c>
      <c r="O12" s="15" t="n">
        <f aca="false">SUMPRODUCT(E12:N12,1/(1+$F$6)^$E$3:$N$3)*$E$2</f>
        <v>5241.44871298624</v>
      </c>
      <c r="P12" s="15" t="n">
        <f aca="false">N12*$E$2*(1+$I$6)/($F$6-$I$6)/(1+$F$6)^$N$3</f>
        <v>11491.6973243091</v>
      </c>
      <c r="Q12" s="15" t="n">
        <f aca="false">O12+P12</f>
        <v>16733.1460372953</v>
      </c>
      <c r="R12" s="15" t="n">
        <f aca="false">Q12-$G$2+$I$2</f>
        <v>15180.4460372953</v>
      </c>
      <c r="S12" s="40" t="n">
        <f aca="false">R12/$K$2</f>
        <v>55.1234468836753</v>
      </c>
      <c r="T12" s="41" t="n">
        <f aca="false">S12-$M$2</f>
        <v>0.618926022351317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-0.03125</v>
      </c>
      <c r="C13" s="25" t="n">
        <f aca="false">IF(T12&gt;0,D12,C12)</f>
        <v>0.015625</v>
      </c>
      <c r="D13" s="39" t="n">
        <f aca="false">(B13+C13)/2</f>
        <v>-0.0078125</v>
      </c>
      <c r="E13" s="15" t="n">
        <f aca="false">$C$2*(1+IF(E$3&lt;=$O$2,$D13,$D13-($D13-$I$6)*MIN(E$3-$O$2,$Q$2)/$Q$2))</f>
        <v>1835.546875</v>
      </c>
      <c r="F13" s="15" t="n">
        <f aca="false">E13*(1+IF(F$3&lt;=$O$2,$D13,$D13-($D13-$I$6)*MIN(F$3-$O$2,$Q$2)/$Q$2))</f>
        <v>1821.20666503906</v>
      </c>
      <c r="G13" s="15" t="n">
        <f aca="false">F13*(1+IF(G$3&lt;=$O$2,$D13,$D13-($D13-$I$6)*MIN(G$3-$O$2,$Q$2)/$Q$2))</f>
        <v>1806.97848796844</v>
      </c>
      <c r="H13" s="15" t="n">
        <f aca="false">G13*(1+IF(H$3&lt;=$O$2,$D13,$D13-($D13-$I$6)*MIN(H$3-$O$2,$Q$2)/$Q$2))</f>
        <v>1792.86146853119</v>
      </c>
      <c r="I13" s="15" t="n">
        <f aca="false">H13*(1+IF(I$3&lt;=$O$2,$D13,$D13-($D13-$I$6)*MIN(I$3-$O$2,$Q$2)/$Q$2))</f>
        <v>1778.85473830829</v>
      </c>
      <c r="J13" s="15" t="n">
        <f aca="false">I13*(1+IF(J$3&lt;=$O$2,$D13,$D13-($D13-$I$6)*MIN(J$3-$O$2,$Q$2)/$Q$2))</f>
        <v>1776.63116988541</v>
      </c>
      <c r="K13" s="15" t="n">
        <f aca="false">J13*(1+IF(K$3&lt;=$O$2,$D13,$D13-($D13-$I$6)*MIN(K$3-$O$2,$Q$2)/$Q$2))</f>
        <v>1786.06952297542</v>
      </c>
      <c r="L13" s="15" t="n">
        <f aca="false">K13*(1+IF(L$3&lt;=$O$2,$D13,$D13-($D13-$I$6)*MIN(L$3-$O$2,$Q$2)/$Q$2))</f>
        <v>1807.27909856076</v>
      </c>
      <c r="M13" s="15" t="n">
        <f aca="false">L13*(1+IF(M$3&lt;=$O$2,$D13,$D13-($D13-$I$6)*MIN(M$3-$O$2,$Q$2)/$Q$2))</f>
        <v>1840.60080694047</v>
      </c>
      <c r="N13" s="15" t="n">
        <f aca="false">M13*(1+IF(N$3&lt;=$O$2,$D13,$D13-($D13-$I$6)*MIN(N$3-$O$2,$Q$2)/$Q$2))</f>
        <v>1886.61582711398</v>
      </c>
      <c r="O13" s="15" t="n">
        <f aca="false">SUMPRODUCT(E13:N13,1/(1+$F$6)^$E$3:$N$3)*$E$2</f>
        <v>4720.3836296543</v>
      </c>
      <c r="P13" s="15" t="n">
        <f aca="false">N13*$E$2*(1+$I$6)/($F$6-$I$6)/(1+$F$6)^$N$3</f>
        <v>9762.83574457248</v>
      </c>
      <c r="Q13" s="15" t="n">
        <f aca="false">O13+P13</f>
        <v>14483.2193742268</v>
      </c>
      <c r="R13" s="15" t="n">
        <f aca="false">Q13-$G$2+$I$2</f>
        <v>12930.5193742268</v>
      </c>
      <c r="S13" s="40" t="n">
        <f aca="false">R13/$K$2</f>
        <v>46.9534818774348</v>
      </c>
      <c r="T13" s="41" t="n">
        <f aca="false">S13-$M$2</f>
        <v>-7.55103898388911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-0.0078125</v>
      </c>
      <c r="C14" s="25" t="n">
        <f aca="false">IF(T13&gt;0,D13,C13)</f>
        <v>0.015625</v>
      </c>
      <c r="D14" s="39" t="n">
        <f aca="false">(B14+C14)/2</f>
        <v>0.00390625</v>
      </c>
      <c r="E14" s="15" t="n">
        <f aca="false">$C$2*(1+IF(E$3&lt;=$O$2,$D14,$D14-($D14-$I$6)*MIN(E$3-$O$2,$Q$2)/$Q$2))</f>
        <v>1857.2265625</v>
      </c>
      <c r="F14" s="15" t="n">
        <f aca="false">E14*(1+IF(F$3&lt;=$O$2,$D14,$D14-($D14-$I$6)*MIN(F$3-$O$2,$Q$2)/$Q$2))</f>
        <v>1864.48135375977</v>
      </c>
      <c r="G14" s="15" t="n">
        <f aca="false">F14*(1+IF(G$3&lt;=$O$2,$D14,$D14-($D14-$I$6)*MIN(G$3-$O$2,$Q$2)/$Q$2))</f>
        <v>1871.76448404789</v>
      </c>
      <c r="H14" s="15" t="n">
        <f aca="false">G14*(1+IF(H$3&lt;=$O$2,$D14,$D14-($D14-$I$6)*MIN(H$3-$O$2,$Q$2)/$Q$2))</f>
        <v>1879.0760640637</v>
      </c>
      <c r="I14" s="15" t="n">
        <f aca="false">H14*(1+IF(I$3&lt;=$O$2,$D14,$D14-($D14-$I$6)*MIN(I$3-$O$2,$Q$2)/$Q$2))</f>
        <v>1886.41620493895</v>
      </c>
      <c r="J14" s="15" t="n">
        <f aca="false">I14*(1+IF(J$3&lt;=$O$2,$D14,$D14-($D14-$I$6)*MIN(J$3-$O$2,$Q$2)/$Q$2))</f>
        <v>1901.74333660408</v>
      </c>
      <c r="K14" s="15" t="n">
        <f aca="false">J14*(1+IF(K$3&lt;=$O$2,$D14,$D14-($D14-$I$6)*MIN(K$3-$O$2,$Q$2)/$Q$2))</f>
        <v>1925.21798091529</v>
      </c>
      <c r="L14" s="15" t="n">
        <f aca="false">K14*(1+IF(L$3&lt;=$O$2,$D14,$D14-($D14-$I$6)*MIN(L$3-$O$2,$Q$2)/$Q$2))</f>
        <v>1957.1044037242</v>
      </c>
      <c r="M14" s="15" t="n">
        <f aca="false">L14*(1+IF(M$3&lt;=$O$2,$D14,$D14-($D14-$I$6)*MIN(M$3-$O$2,$Q$2)/$Q$2))</f>
        <v>1997.77547961409</v>
      </c>
      <c r="N14" s="15" t="n">
        <f aca="false">M14*(1+IF(N$3&lt;=$O$2,$D14,$D14-($D14-$I$6)*MIN(N$3-$O$2,$Q$2)/$Q$2))</f>
        <v>2047.71986660444</v>
      </c>
      <c r="O14" s="15" t="n">
        <f aca="false">SUMPRODUCT(E14:N14,1/(1+$F$6)^$E$3:$N$3)*$E$2</f>
        <v>4973.99859084629</v>
      </c>
      <c r="P14" s="15" t="n">
        <f aca="false">N14*$E$2*(1+$I$6)/($F$6-$I$6)/(1+$F$6)^$N$3</f>
        <v>10596.5148925623</v>
      </c>
      <c r="Q14" s="15" t="n">
        <f aca="false">O14+P14</f>
        <v>15570.5134834086</v>
      </c>
      <c r="R14" s="15" t="n">
        <f aca="false">Q14-$G$2+$I$2</f>
        <v>14017.8134834086</v>
      </c>
      <c r="S14" s="40" t="n">
        <f aca="false">R14/$K$2</f>
        <v>50.9016793761886</v>
      </c>
      <c r="T14" s="41" t="n">
        <f aca="false">S14-$M$2</f>
        <v>-3.60284148513534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0.00390625</v>
      </c>
      <c r="C15" s="25" t="n">
        <f aca="false">IF(T14&gt;0,D14,C14)</f>
        <v>0.015625</v>
      </c>
      <c r="D15" s="39" t="n">
        <f aca="false">(B15+C15)/2</f>
        <v>0.009765625</v>
      </c>
      <c r="E15" s="15" t="n">
        <f aca="false">$C$2*(1+IF(E$3&lt;=$O$2,$D15,$D15-($D15-$I$6)*MIN(E$3-$O$2,$Q$2)/$Q$2))</f>
        <v>1868.06640625</v>
      </c>
      <c r="F15" s="15" t="n">
        <f aca="false">E15*(1+IF(F$3&lt;=$O$2,$D15,$D15-($D15-$I$6)*MIN(F$3-$O$2,$Q$2)/$Q$2))</f>
        <v>1886.30924224854</v>
      </c>
      <c r="G15" s="15" t="n">
        <f aca="false">F15*(1+IF(G$3&lt;=$O$2,$D15,$D15-($D15-$I$6)*MIN(G$3-$O$2,$Q$2)/$Q$2))</f>
        <v>1904.73023094237</v>
      </c>
      <c r="H15" s="15" t="n">
        <f aca="false">G15*(1+IF(H$3&lt;=$O$2,$D15,$D15-($D15-$I$6)*MIN(H$3-$O$2,$Q$2)/$Q$2))</f>
        <v>1923.33111210392</v>
      </c>
      <c r="I15" s="15" t="n">
        <f aca="false">H15*(1+IF(I$3&lt;=$O$2,$D15,$D15-($D15-$I$6)*MIN(I$3-$O$2,$Q$2)/$Q$2))</f>
        <v>1942.11364249555</v>
      </c>
      <c r="J15" s="15" t="n">
        <f aca="false">I15*(1+IF(J$3&lt;=$O$2,$D15,$D15-($D15-$I$6)*MIN(J$3-$O$2,$Q$2)/$Q$2))</f>
        <v>1966.99697354003</v>
      </c>
      <c r="K15" s="15" t="n">
        <f aca="false">J15*(1+IF(K$3&lt;=$O$2,$D15,$D15-($D15-$I$6)*MIN(K$3-$O$2,$Q$2)/$Q$2))</f>
        <v>1998.19231616727</v>
      </c>
      <c r="L15" s="15" t="n">
        <f aca="false">K15*(1+IF(L$3&lt;=$O$2,$D15,$D15-($D15-$I$6)*MIN(L$3-$O$2,$Q$2)/$Q$2))</f>
        <v>2035.9706396448</v>
      </c>
      <c r="M15" s="15" t="n">
        <f aca="false">L15*(1+IF(M$3&lt;=$O$2,$D15,$D15-($D15-$I$6)*MIN(M$3-$O$2,$Q$2)/$Q$2))</f>
        <v>2080.66655759325</v>
      </c>
      <c r="N15" s="15" t="n">
        <f aca="false">M15*(1+IF(N$3&lt;=$O$2,$D15,$D15-($D15-$I$6)*MIN(N$3-$O$2,$Q$2)/$Q$2))</f>
        <v>2132.68322153309</v>
      </c>
      <c r="O15" s="15" t="n">
        <f aca="false">SUMPRODUCT(E15:N15,1/(1+$F$6)^$E$3:$N$3)*$E$2</f>
        <v>5105.95085287692</v>
      </c>
      <c r="P15" s="15" t="n">
        <f aca="false">N15*$E$2*(1+$I$6)/($F$6-$I$6)/(1+$F$6)^$N$3</f>
        <v>11036.1821881267</v>
      </c>
      <c r="Q15" s="15" t="n">
        <f aca="false">O15+P15</f>
        <v>16142.1330410036</v>
      </c>
      <c r="R15" s="15" t="n">
        <f aca="false">Q15-$G$2+$I$2</f>
        <v>14589.4330410036</v>
      </c>
      <c r="S15" s="40" t="n">
        <f aca="false">R15/$K$2</f>
        <v>52.9773522677062</v>
      </c>
      <c r="T15" s="41" t="n">
        <f aca="false">S15-$M$2</f>
        <v>-1.52716859361778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0.009765625</v>
      </c>
      <c r="C16" s="25" t="n">
        <f aca="false">IF(T15&gt;0,D15,C15)</f>
        <v>0.015625</v>
      </c>
      <c r="D16" s="39" t="n">
        <f aca="false">(B16+C16)/2</f>
        <v>0.0126953125</v>
      </c>
      <c r="E16" s="15" t="n">
        <f aca="false">$C$2*(1+IF(E$3&lt;=$O$2,$D16,$D16-($D16-$I$6)*MIN(E$3-$O$2,$Q$2)/$Q$2))</f>
        <v>1873.486328125</v>
      </c>
      <c r="F16" s="15" t="n">
        <f aca="false">E16*(1+IF(F$3&lt;=$O$2,$D16,$D16-($D16-$I$6)*MIN(F$3-$O$2,$Q$2)/$Q$2))</f>
        <v>1897.27082252502</v>
      </c>
      <c r="G16" s="15" t="n">
        <f aca="false">F16*(1+IF(G$3&lt;=$O$2,$D16,$D16-($D16-$I$6)*MIN(G$3-$O$2,$Q$2)/$Q$2))</f>
        <v>1921.35726851411</v>
      </c>
      <c r="H16" s="15" t="n">
        <f aca="false">G16*(1+IF(H$3&lt;=$O$2,$D16,$D16-($D16-$I$6)*MIN(H$3-$O$2,$Q$2)/$Q$2))</f>
        <v>1945.74949946204</v>
      </c>
      <c r="I16" s="15" t="n">
        <f aca="false">H16*(1+IF(I$3&lt;=$O$2,$D16,$D16-($D16-$I$6)*MIN(I$3-$O$2,$Q$2)/$Q$2))</f>
        <v>1970.45139740443</v>
      </c>
      <c r="J16" s="15" t="n">
        <f aca="false">I16*(1+IF(J$3&lt;=$O$2,$D16,$D16-($D16-$I$6)*MIN(J$3-$O$2,$Q$2)/$Q$2))</f>
        <v>2000.31605139634</v>
      </c>
      <c r="K16" s="15" t="n">
        <f aca="false">J16*(1+IF(K$3&lt;=$O$2,$D16,$D16-($D16-$I$6)*MIN(K$3-$O$2,$Q$2)/$Q$2))</f>
        <v>2035.55599433305</v>
      </c>
      <c r="L16" s="15" t="n">
        <f aca="false">K16*(1+IF(L$3&lt;=$O$2,$D16,$D16-($D16-$I$6)*MIN(L$3-$O$2,$Q$2)/$Q$2))</f>
        <v>2076.42614203177</v>
      </c>
      <c r="M16" s="15" t="n">
        <f aca="false">L16*(1+IF(M$3&lt;=$O$2,$D16,$D16-($D16-$I$6)*MIN(M$3-$O$2,$Q$2)/$Q$2))</f>
        <v>2123.22684062366</v>
      </c>
      <c r="N16" s="15" t="n">
        <f aca="false">M16*(1+IF(N$3&lt;=$O$2,$D16,$D16-($D16-$I$6)*MIN(N$3-$O$2,$Q$2)/$Q$2))</f>
        <v>2176.30751163925</v>
      </c>
      <c r="O16" s="15" t="n">
        <f aca="false">SUMPRODUCT(E16:N16,1/(1+$F$6)^$E$3:$N$3)*$E$2</f>
        <v>5173.25105415372</v>
      </c>
      <c r="P16" s="15" t="n">
        <f aca="false">N16*$E$2*(1+$I$6)/($F$6-$I$6)/(1+$F$6)^$N$3</f>
        <v>11261.9286133709</v>
      </c>
      <c r="Q16" s="15" t="n">
        <f aca="false">O16+P16</f>
        <v>16435.1796675246</v>
      </c>
      <c r="R16" s="15" t="n">
        <f aca="false">Q16-$G$2+$I$2</f>
        <v>14882.4796675246</v>
      </c>
      <c r="S16" s="40" t="n">
        <f aca="false">R16/$K$2</f>
        <v>54.0414672556178</v>
      </c>
      <c r="T16" s="41" t="n">
        <f aca="false">S16-$M$2</f>
        <v>-0.463053605706165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0.0126953125</v>
      </c>
      <c r="C17" s="25" t="n">
        <f aca="false">IF(T16&gt;0,D16,C16)</f>
        <v>0.015625</v>
      </c>
      <c r="D17" s="39" t="n">
        <f aca="false">(B17+C17)/2</f>
        <v>0.01416015625</v>
      </c>
      <c r="E17" s="15" t="n">
        <f aca="false">$C$2*(1+IF(E$3&lt;=$O$2,$D17,$D17-($D17-$I$6)*MIN(E$3-$O$2,$Q$2)/$Q$2))</f>
        <v>1876.1962890625</v>
      </c>
      <c r="F17" s="15" t="n">
        <f aca="false">E17*(1+IF(F$3&lt;=$O$2,$D17,$D17-($D17-$I$6)*MIN(F$3-$O$2,$Q$2)/$Q$2))</f>
        <v>1902.7635216713</v>
      </c>
      <c r="G17" s="15" t="n">
        <f aca="false">F17*(1+IF(G$3&lt;=$O$2,$D17,$D17-($D17-$I$6)*MIN(G$3-$O$2,$Q$2)/$Q$2))</f>
        <v>1929.70695044496</v>
      </c>
      <c r="H17" s="15" t="n">
        <f aca="false">G17*(1+IF(H$3&lt;=$O$2,$D17,$D17-($D17-$I$6)*MIN(H$3-$O$2,$Q$2)/$Q$2))</f>
        <v>1957.03190237997</v>
      </c>
      <c r="I17" s="15" t="n">
        <f aca="false">H17*(1+IF(I$3&lt;=$O$2,$D17,$D17-($D17-$I$6)*MIN(I$3-$O$2,$Q$2)/$Q$2))</f>
        <v>1984.74377990391</v>
      </c>
      <c r="J17" s="15" t="n">
        <f aca="false">I17*(1+IF(J$3&lt;=$O$2,$D17,$D17-($D17-$I$6)*MIN(J$3-$O$2,$Q$2)/$Q$2))</f>
        <v>2017.15092443515</v>
      </c>
      <c r="K17" s="15" t="n">
        <f aca="false">J17*(1+IF(K$3&lt;=$O$2,$D17,$D17-($D17-$I$6)*MIN(K$3-$O$2,$Q$2)/$Q$2))</f>
        <v>2054.4603370414</v>
      </c>
      <c r="L17" s="15" t="n">
        <f aca="false">K17*(1+IF(L$3&lt;=$O$2,$D17,$D17-($D17-$I$6)*MIN(L$3-$O$2,$Q$2)/$Q$2))</f>
        <v>2096.9138338498</v>
      </c>
      <c r="M17" s="15" t="n">
        <f aca="false">L17*(1+IF(M$3&lt;=$O$2,$D17,$D17-($D17-$I$6)*MIN(M$3-$O$2,$Q$2)/$Q$2))</f>
        <v>2144.79063603281</v>
      </c>
      <c r="N17" s="15" t="n">
        <f aca="false">M17*(1+IF(N$3&lt;=$O$2,$D17,$D17-($D17-$I$6)*MIN(N$3-$O$2,$Q$2)/$Q$2))</f>
        <v>2198.41040193363</v>
      </c>
      <c r="O17" s="15" t="n">
        <f aca="false">SUMPRODUCT(E17:N17,1/(1+$F$6)^$E$3:$N$3)*$E$2</f>
        <v>5207.23700369071</v>
      </c>
      <c r="P17" s="15" t="n">
        <f aca="false">N17*$E$2*(1+$I$6)/($F$6-$I$6)/(1+$F$6)^$N$3</f>
        <v>11376.306370794</v>
      </c>
      <c r="Q17" s="15" t="n">
        <f aca="false">O17+P17</f>
        <v>16583.5433744847</v>
      </c>
      <c r="R17" s="15" t="n">
        <f aca="false">Q17-$G$2+$I$2</f>
        <v>15030.8433744847</v>
      </c>
      <c r="S17" s="40" t="n">
        <f aca="false">R17/$K$2</f>
        <v>54.5802076127846</v>
      </c>
      <c r="T17" s="41" t="n">
        <f aca="false">S17-$M$2</f>
        <v>0.0756867514606299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0.0126953125</v>
      </c>
      <c r="C18" s="25" t="n">
        <f aca="false">IF(T17&gt;0,D17,C17)</f>
        <v>0.01416015625</v>
      </c>
      <c r="D18" s="39" t="n">
        <f aca="false">(B18+C18)/2</f>
        <v>0.013427734375</v>
      </c>
      <c r="E18" s="15" t="n">
        <f aca="false">$C$2*(1+IF(E$3&lt;=$O$2,$D18,$D18-($D18-$I$6)*MIN(E$3-$O$2,$Q$2)/$Q$2))</f>
        <v>1874.84130859375</v>
      </c>
      <c r="F18" s="15" t="n">
        <f aca="false">E18*(1+IF(F$3&lt;=$O$2,$D18,$D18-($D18-$I$6)*MIN(F$3-$O$2,$Q$2)/$Q$2))</f>
        <v>1900.01617968082</v>
      </c>
      <c r="G18" s="15" t="n">
        <f aca="false">F18*(1+IF(G$3&lt;=$O$2,$D18,$D18-($D18-$I$6)*MIN(G$3-$O$2,$Q$2)/$Q$2))</f>
        <v>1925.52909224978</v>
      </c>
      <c r="H18" s="15" t="n">
        <f aca="false">G18*(1+IF(H$3&lt;=$O$2,$D18,$D18-($D18-$I$6)*MIN(H$3-$O$2,$Q$2)/$Q$2))</f>
        <v>1951.38458543185</v>
      </c>
      <c r="I18" s="15" t="n">
        <f aca="false">H18*(1+IF(I$3&lt;=$O$2,$D18,$D18-($D18-$I$6)*MIN(I$3-$O$2,$Q$2)/$Q$2))</f>
        <v>1977.58725930849</v>
      </c>
      <c r="J18" s="15" t="n">
        <f aca="false">I18*(1+IF(J$3&lt;=$O$2,$D18,$D18-($D18-$I$6)*MIN(J$3-$O$2,$Q$2)/$Q$2))</f>
        <v>2008.71880874214</v>
      </c>
      <c r="K18" s="15" t="n">
        <f aca="false">J18*(1+IF(K$3&lt;=$O$2,$D18,$D18-($D18-$I$6)*MIN(K$3-$O$2,$Q$2)/$Q$2))</f>
        <v>2044.98952238827</v>
      </c>
      <c r="L18" s="15" t="n">
        <f aca="false">K18*(1+IF(L$3&lt;=$O$2,$D18,$D18-($D18-$I$6)*MIN(L$3-$O$2,$Q$2)/$Q$2))</f>
        <v>2086.64819566661</v>
      </c>
      <c r="M18" s="15" t="n">
        <f aca="false">L18*(1+IF(M$3&lt;=$O$2,$D18,$D18-($D18-$I$6)*MIN(M$3-$O$2,$Q$2)/$Q$2))</f>
        <v>2133.98495112104</v>
      </c>
      <c r="N18" s="15" t="n">
        <f aca="false">M18*(1+IF(N$3&lt;=$O$2,$D18,$D18-($D18-$I$6)*MIN(N$3-$O$2,$Q$2)/$Q$2))</f>
        <v>2187.33457489907</v>
      </c>
      <c r="O18" s="15" t="n">
        <f aca="false">SUMPRODUCT(E18:N18,1/(1+$F$6)^$E$3:$N$3)*$E$2</f>
        <v>5190.21589645745</v>
      </c>
      <c r="P18" s="15" t="n">
        <f aca="false">N18*$E$2*(1+$I$6)/($F$6-$I$6)/(1+$F$6)^$N$3</f>
        <v>11318.9913209997</v>
      </c>
      <c r="Q18" s="15" t="n">
        <f aca="false">O18+P18</f>
        <v>16509.2072174572</v>
      </c>
      <c r="R18" s="15" t="n">
        <f aca="false">Q18-$G$2+$I$2</f>
        <v>14956.5072174572</v>
      </c>
      <c r="S18" s="40" t="n">
        <f aca="false">R18/$K$2</f>
        <v>54.3102771250124</v>
      </c>
      <c r="T18" s="41" t="n">
        <f aca="false">S18-$M$2</f>
        <v>-0.194243736311506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0.013427734375</v>
      </c>
      <c r="C19" s="25" t="n">
        <f aca="false">IF(T18&gt;0,D18,C18)</f>
        <v>0.01416015625</v>
      </c>
      <c r="D19" s="39" t="n">
        <f aca="false">(B19+C19)/2</f>
        <v>0.0137939453125</v>
      </c>
      <c r="E19" s="15" t="n">
        <f aca="false">$C$2*(1+IF(E$3&lt;=$O$2,$D19,$D19-($D19-$I$6)*MIN(E$3-$O$2,$Q$2)/$Q$2))</f>
        <v>1875.51879882813</v>
      </c>
      <c r="F19" s="15" t="n">
        <f aca="false">E19*(1+IF(F$3&lt;=$O$2,$D19,$D19-($D19-$I$6)*MIN(F$3-$O$2,$Q$2)/$Q$2))</f>
        <v>1901.38960257173</v>
      </c>
      <c r="G19" s="15" t="n">
        <f aca="false">F19*(1+IF(G$3&lt;=$O$2,$D19,$D19-($D19-$I$6)*MIN(G$3-$O$2,$Q$2)/$Q$2))</f>
        <v>1927.61726676736</v>
      </c>
      <c r="H19" s="15" t="n">
        <f aca="false">G19*(1+IF(H$3&lt;=$O$2,$D19,$D19-($D19-$I$6)*MIN(H$3-$O$2,$Q$2)/$Q$2))</f>
        <v>1954.20671392858</v>
      </c>
      <c r="I19" s="15" t="n">
        <f aca="false">H19*(1+IF(I$3&lt;=$O$2,$D19,$D19-($D19-$I$6)*MIN(I$3-$O$2,$Q$2)/$Q$2))</f>
        <v>1981.16293446983</v>
      </c>
      <c r="J19" s="15" t="n">
        <f aca="false">I19*(1+IF(J$3&lt;=$O$2,$D19,$D19-($D19-$I$6)*MIN(J$3-$O$2,$Q$2)/$Q$2))</f>
        <v>2012.93119168076</v>
      </c>
      <c r="K19" s="15" t="n">
        <f aca="false">J19*(1+IF(K$3&lt;=$O$2,$D19,$D19-($D19-$I$6)*MIN(K$3-$O$2,$Q$2)/$Q$2))</f>
        <v>2049.72026126309</v>
      </c>
      <c r="L19" s="15" t="n">
        <f aca="false">K19*(1+IF(L$3&lt;=$O$2,$D19,$D19-($D19-$I$6)*MIN(L$3-$O$2,$Q$2)/$Q$2))</f>
        <v>2091.77555685795</v>
      </c>
      <c r="M19" s="15" t="n">
        <f aca="false">L19*(1+IF(M$3&lt;=$O$2,$D19,$D19-($D19-$I$6)*MIN(M$3-$O$2,$Q$2)/$Q$2))</f>
        <v>2139.38183552257</v>
      </c>
      <c r="N19" s="15" t="n">
        <f aca="false">M19*(1+IF(N$3&lt;=$O$2,$D19,$D19-($D19-$I$6)*MIN(N$3-$O$2,$Q$2)/$Q$2))</f>
        <v>2192.86638141064</v>
      </c>
      <c r="O19" s="15" t="n">
        <f aca="false">SUMPRODUCT(E19:N19,1/(1+$F$6)^$E$3:$N$3)*$E$2</f>
        <v>5198.7194060382</v>
      </c>
      <c r="P19" s="15" t="n">
        <f aca="false">N19*$E$2*(1+$I$6)/($F$6-$I$6)/(1+$F$6)^$N$3</f>
        <v>11347.6172434409</v>
      </c>
      <c r="Q19" s="15" t="n">
        <f aca="false">O19+P19</f>
        <v>16546.3366494791</v>
      </c>
      <c r="R19" s="15" t="n">
        <f aca="false">Q19-$G$2+$I$2</f>
        <v>14993.6366494791</v>
      </c>
      <c r="S19" s="40" t="n">
        <f aca="false">R19/$K$2</f>
        <v>54.4451020352194</v>
      </c>
      <c r="T19" s="41" t="n">
        <f aca="false">S19-$M$2</f>
        <v>-0.059418826104519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0.0137939453125</v>
      </c>
      <c r="C20" s="25" t="n">
        <f aca="false">IF(T19&gt;0,D19,C19)</f>
        <v>0.01416015625</v>
      </c>
      <c r="D20" s="39" t="n">
        <f aca="false">(B20+C20)/2</f>
        <v>0.01397705078125</v>
      </c>
      <c r="E20" s="15" t="n">
        <f aca="false">$C$2*(1+IF(E$3&lt;=$O$2,$D20,$D20-($D20-$I$6)*MIN(E$3-$O$2,$Q$2)/$Q$2))</f>
        <v>1875.85754394531</v>
      </c>
      <c r="F20" s="15" t="n">
        <f aca="false">E20*(1+IF(F$3&lt;=$O$2,$D20,$D20-($D20-$I$6)*MIN(F$3-$O$2,$Q$2)/$Q$2))</f>
        <v>1902.07650009543</v>
      </c>
      <c r="G20" s="15" t="n">
        <f aca="false">F20*(1+IF(G$3&lt;=$O$2,$D20,$D20-($D20-$I$6)*MIN(G$3-$O$2,$Q$2)/$Q$2))</f>
        <v>1928.66191992708</v>
      </c>
      <c r="H20" s="15" t="n">
        <f aca="false">G20*(1+IF(H$3&lt;=$O$2,$D20,$D20-($D20-$I$6)*MIN(H$3-$O$2,$Q$2)/$Q$2))</f>
        <v>1955.61892552177</v>
      </c>
      <c r="I20" s="15" t="n">
        <f aca="false">H20*(1+IF(I$3&lt;=$O$2,$D20,$D20-($D20-$I$6)*MIN(I$3-$O$2,$Q$2)/$Q$2))</f>
        <v>1982.95271055256</v>
      </c>
      <c r="J20" s="15" t="n">
        <f aca="false">I20*(1+IF(J$3&lt;=$O$2,$D20,$D20-($D20-$I$6)*MIN(J$3-$O$2,$Q$2)/$Q$2))</f>
        <v>2015.04013869109</v>
      </c>
      <c r="K20" s="15" t="n">
        <f aca="false">J20*(1+IF(K$3&lt;=$O$2,$D20,$D20-($D20-$I$6)*MIN(K$3-$O$2,$Q$2)/$Q$2))</f>
        <v>2052.08913108485</v>
      </c>
      <c r="L20" s="15" t="n">
        <f aca="false">K20*(1+IF(L$3&lt;=$O$2,$D20,$D20-($D20-$I$6)*MIN(L$3-$O$2,$Q$2)/$Q$2))</f>
        <v>2094.34332964825</v>
      </c>
      <c r="M20" s="15" t="n">
        <f aca="false">L20*(1+IF(M$3&lt;=$O$2,$D20,$D20-($D20-$I$6)*MIN(M$3-$O$2,$Q$2)/$Q$2))</f>
        <v>2142.08474485559</v>
      </c>
      <c r="N20" s="15" t="n">
        <f aca="false">M20*(1+IF(N$3&lt;=$O$2,$D20,$D20-($D20-$I$6)*MIN(N$3-$O$2,$Q$2)/$Q$2))</f>
        <v>2195.63686347698</v>
      </c>
      <c r="O20" s="15" t="n">
        <f aca="false">SUMPRODUCT(E20:N20,1/(1+$F$6)^$E$3:$N$3)*$E$2</f>
        <v>5202.97644248892</v>
      </c>
      <c r="P20" s="15" t="n">
        <f aca="false">N20*$E$2*(1+$I$6)/($F$6-$I$6)/(1+$F$6)^$N$3</f>
        <v>11361.9538990324</v>
      </c>
      <c r="Q20" s="15" t="n">
        <f aca="false">O20+P20</f>
        <v>16564.9303415214</v>
      </c>
      <c r="R20" s="15" t="n">
        <f aca="false">Q20-$G$2+$I$2</f>
        <v>15012.2303415214</v>
      </c>
      <c r="S20" s="40" t="n">
        <f aca="false">R20/$K$2</f>
        <v>54.5126197084911</v>
      </c>
      <c r="T20" s="41" t="n">
        <f aca="false">S20-$M$2</f>
        <v>0.00809884716716169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0.0137939453125</v>
      </c>
      <c r="C21" s="25" t="n">
        <f aca="false">IF(T20&gt;0,D20,C20)</f>
        <v>0.01397705078125</v>
      </c>
      <c r="D21" s="39" t="n">
        <f aca="false">(B21+C21)/2</f>
        <v>0.013885498046875</v>
      </c>
      <c r="E21" s="15" t="n">
        <f aca="false">$C$2*(1+IF(E$3&lt;=$O$2,$D21,$D21-($D21-$I$6)*MIN(E$3-$O$2,$Q$2)/$Q$2))</f>
        <v>1875.68817138672</v>
      </c>
      <c r="F21" s="15" t="n">
        <f aca="false">E21*(1+IF(F$3&lt;=$O$2,$D21,$D21-($D21-$I$6)*MIN(F$3-$O$2,$Q$2)/$Q$2))</f>
        <v>1901.73303582706</v>
      </c>
      <c r="G21" s="15" t="n">
        <f aca="false">F21*(1+IF(G$3&lt;=$O$2,$D21,$D21-($D21-$I$6)*MIN(G$3-$O$2,$Q$2)/$Q$2))</f>
        <v>1928.13954618171</v>
      </c>
      <c r="H21" s="15" t="n">
        <f aca="false">G21*(1+IF(H$3&lt;=$O$2,$D21,$D21-($D21-$I$6)*MIN(H$3-$O$2,$Q$2)/$Q$2))</f>
        <v>1954.91272408432</v>
      </c>
      <c r="I21" s="15" t="n">
        <f aca="false">H21*(1+IF(I$3&lt;=$O$2,$D21,$D21-($D21-$I$6)*MIN(I$3-$O$2,$Q$2)/$Q$2))</f>
        <v>1982.0576608964</v>
      </c>
      <c r="J21" s="15" t="n">
        <f aca="false">I21*(1+IF(J$3&lt;=$O$2,$D21,$D21-($D21-$I$6)*MIN(J$3-$O$2,$Q$2)/$Q$2))</f>
        <v>2013.98543542422</v>
      </c>
      <c r="K21" s="15" t="n">
        <f aca="false">J21*(1+IF(K$3&lt;=$O$2,$D21,$D21-($D21-$I$6)*MIN(K$3-$O$2,$Q$2)/$Q$2))</f>
        <v>2050.90440427647</v>
      </c>
      <c r="L21" s="15" t="n">
        <f aca="false">K21*(1+IF(L$3&lt;=$O$2,$D21,$D21-($D21-$I$6)*MIN(L$3-$O$2,$Q$2)/$Q$2))</f>
        <v>2093.05910198058</v>
      </c>
      <c r="M21" s="15" t="n">
        <f aca="false">L21*(1+IF(M$3&lt;=$O$2,$D21,$D21-($D21-$I$6)*MIN(M$3-$O$2,$Q$2)/$Q$2))</f>
        <v>2140.7329176347</v>
      </c>
      <c r="N21" s="15" t="n">
        <f aca="false">M21*(1+IF(N$3&lt;=$O$2,$D21,$D21-($D21-$I$6)*MIN(N$3-$O$2,$Q$2)/$Q$2))</f>
        <v>2194.25124057557</v>
      </c>
      <c r="O21" s="15" t="n">
        <f aca="false">SUMPRODUCT(E21:N21,1/(1+$F$6)^$E$3:$N$3)*$E$2</f>
        <v>5200.84748384057</v>
      </c>
      <c r="P21" s="15" t="n">
        <f aca="false">N21*$E$2*(1+$I$6)/($F$6-$I$6)/(1+$F$6)^$N$3</f>
        <v>11354.7835951497</v>
      </c>
      <c r="Q21" s="15" t="n">
        <f aca="false">O21+P21</f>
        <v>16555.6310789903</v>
      </c>
      <c r="R21" s="15" t="n">
        <f aca="false">Q21-$G$2+$I$2</f>
        <v>15002.9310789903</v>
      </c>
      <c r="S21" s="40" t="n">
        <f aca="false">R21/$K$2</f>
        <v>54.4788520969909</v>
      </c>
      <c r="T21" s="41" t="n">
        <f aca="false">S21-$M$2</f>
        <v>-0.0256687643330835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0.013885498046875</v>
      </c>
      <c r="C22" s="25" t="n">
        <f aca="false">IF(T21&gt;0,D21,C21)</f>
        <v>0.01397705078125</v>
      </c>
      <c r="D22" s="39" t="n">
        <f aca="false">(B22+C22)/2</f>
        <v>0.0139312744140625</v>
      </c>
      <c r="E22" s="15" t="n">
        <f aca="false">$C$2*(1+IF(E$3&lt;=$O$2,$D22,$D22-($D22-$I$6)*MIN(E$3-$O$2,$Q$2)/$Q$2))</f>
        <v>1875.77285766602</v>
      </c>
      <c r="F22" s="15" t="n">
        <f aca="false">E22*(1+IF(F$3&lt;=$O$2,$D22,$D22-($D22-$I$6)*MIN(F$3-$O$2,$Q$2)/$Q$2))</f>
        <v>1901.90476408461</v>
      </c>
      <c r="G22" s="15" t="n">
        <f aca="false">F22*(1+IF(G$3&lt;=$O$2,$D22,$D22-($D22-$I$6)*MIN(G$3-$O$2,$Q$2)/$Q$2))</f>
        <v>1928.40072126249</v>
      </c>
      <c r="H22" s="15" t="n">
        <f aca="false">G22*(1+IF(H$3&lt;=$O$2,$D22,$D22-($D22-$I$6)*MIN(H$3-$O$2,$Q$2)/$Q$2))</f>
        <v>1955.26580089067</v>
      </c>
      <c r="I22" s="15" t="n">
        <f aca="false">H22*(1+IF(I$3&lt;=$O$2,$D22,$D22-($D22-$I$6)*MIN(I$3-$O$2,$Q$2)/$Q$2))</f>
        <v>1982.50514531531</v>
      </c>
      <c r="J22" s="15" t="n">
        <f aca="false">I22*(1+IF(J$3&lt;=$O$2,$D22,$D22-($D22-$I$6)*MIN(J$3-$O$2,$Q$2)/$Q$2))</f>
        <v>2014.51272960723</v>
      </c>
      <c r="K22" s="15" t="n">
        <f aca="false">J22*(1+IF(K$3&lt;=$O$2,$D22,$D22-($D22-$I$6)*MIN(K$3-$O$2,$Q$2)/$Q$2))</f>
        <v>2051.49669469137</v>
      </c>
      <c r="L22" s="15" t="n">
        <f aca="false">K22*(1+IF(L$3&lt;=$O$2,$D22,$D22-($D22-$I$6)*MIN(L$3-$O$2,$Q$2)/$Q$2))</f>
        <v>2093.70113047706</v>
      </c>
      <c r="M22" s="15" t="n">
        <f aca="false">L22*(1+IF(M$3&lt;=$O$2,$D22,$D22-($D22-$I$6)*MIN(M$3-$O$2,$Q$2)/$Q$2))</f>
        <v>2141.40873808454</v>
      </c>
      <c r="N22" s="15" t="n">
        <f aca="false">M22*(1+IF(N$3&lt;=$O$2,$D22,$D22-($D22-$I$6)*MIN(N$3-$O$2,$Q$2)/$Q$2))</f>
        <v>2194.94395653665</v>
      </c>
      <c r="O22" s="15" t="n">
        <f aca="false">SUMPRODUCT(E22:N22,1/(1+$F$6)^$E$3:$N$3)*$E$2</f>
        <v>5201.91185303764</v>
      </c>
      <c r="P22" s="15" t="n">
        <f aca="false">N22*$E$2*(1+$I$6)/($F$6-$I$6)/(1+$F$6)^$N$3</f>
        <v>11358.3682529526</v>
      </c>
      <c r="Q22" s="15" t="n">
        <f aca="false">O22+P22</f>
        <v>16560.2801059902</v>
      </c>
      <c r="R22" s="15" t="n">
        <f aca="false">Q22-$G$2+$I$2</f>
        <v>15007.5801059902</v>
      </c>
      <c r="S22" s="40" t="n">
        <f aca="false">R22/$K$2</f>
        <v>54.4957337085233</v>
      </c>
      <c r="T22" s="41" t="n">
        <f aca="false">S22-$M$2</f>
        <v>-0.00878715280059339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0.0139312744140625</v>
      </c>
      <c r="C23" s="25" t="n">
        <f aca="false">IF(T22&gt;0,D22,C22)</f>
        <v>0.01397705078125</v>
      </c>
      <c r="D23" s="39" t="n">
        <f aca="false">(B23+C23)/2</f>
        <v>0.0139541625976563</v>
      </c>
      <c r="E23" s="15" t="n">
        <f aca="false">$C$2*(1+IF(E$3&lt;=$O$2,$D23,$D23-($D23-$I$6)*MIN(E$3-$O$2,$Q$2)/$Q$2))</f>
        <v>1875.81520080566</v>
      </c>
      <c r="F23" s="15" t="n">
        <f aca="false">E23*(1+IF(F$3&lt;=$O$2,$D23,$D23-($D23-$I$6)*MIN(F$3-$O$2,$Q$2)/$Q$2))</f>
        <v>1901.99063112086</v>
      </c>
      <c r="G23" s="15" t="n">
        <f aca="false">F23*(1+IF(G$3&lt;=$O$2,$D23,$D23-($D23-$I$6)*MIN(G$3-$O$2,$Q$2)/$Q$2))</f>
        <v>1928.53131764674</v>
      </c>
      <c r="H23" s="15" t="n">
        <f aca="false">G23*(1+IF(H$3&lt;=$O$2,$D23,$D23-($D23-$I$6)*MIN(H$3-$O$2,$Q$2)/$Q$2))</f>
        <v>1955.44235722786</v>
      </c>
      <c r="I23" s="15" t="n">
        <f aca="false">H23*(1+IF(I$3&lt;=$O$2,$D23,$D23-($D23-$I$6)*MIN(I$3-$O$2,$Q$2)/$Q$2))</f>
        <v>1982.72891783096</v>
      </c>
      <c r="J23" s="15" t="n">
        <f aca="false">I23*(1+IF(J$3&lt;=$O$2,$D23,$D23-($D23-$I$6)*MIN(J$3-$O$2,$Q$2)/$Q$2))</f>
        <v>2014.7764197853</v>
      </c>
      <c r="K23" s="15" t="n">
        <f aca="false">J23*(1+IF(K$3&lt;=$O$2,$D23,$D23-($D23-$I$6)*MIN(K$3-$O$2,$Q$2)/$Q$2))</f>
        <v>2051.79289463892</v>
      </c>
      <c r="L23" s="15" t="n">
        <f aca="false">K23*(1+IF(L$3&lt;=$O$2,$D23,$D23-($D23-$I$6)*MIN(L$3-$O$2,$Q$2)/$Q$2))</f>
        <v>2094.02220872591</v>
      </c>
      <c r="M23" s="15" t="n">
        <f aca="false">L23*(1+IF(M$3&lt;=$O$2,$D23,$D23-($D23-$I$6)*MIN(M$3-$O$2,$Q$2)/$Q$2))</f>
        <v>2141.74671817716</v>
      </c>
      <c r="N23" s="15" t="n">
        <f aca="false">M23*(1+IF(N$3&lt;=$O$2,$D23,$D23-($D23-$I$6)*MIN(N$3-$O$2,$Q$2)/$Q$2))</f>
        <v>2195.29038613159</v>
      </c>
      <c r="O23" s="15" t="n">
        <f aca="false">SUMPRODUCT(E23:N23,1/(1+$F$6)^$E$3:$N$3)*$E$2</f>
        <v>5202.44412022883</v>
      </c>
      <c r="P23" s="15" t="n">
        <f aca="false">N23*$E$2*(1+$I$6)/($F$6-$I$6)/(1+$F$6)^$N$3</f>
        <v>11360.1609524433</v>
      </c>
      <c r="Q23" s="15" t="n">
        <f aca="false">O23+P23</f>
        <v>16562.6050726721</v>
      </c>
      <c r="R23" s="15" t="n">
        <f aca="false">Q23-$G$2+$I$2</f>
        <v>15009.9050726721</v>
      </c>
      <c r="S23" s="40" t="n">
        <f aca="false">R23/$K$2</f>
        <v>54.5041761598901</v>
      </c>
      <c r="T23" s="41" t="n">
        <f aca="false">S23-$M$2</f>
        <v>-0.00034470143384624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0.0139541625976563</v>
      </c>
      <c r="C24" s="25" t="n">
        <f aca="false">IF(T23&gt;0,D23,C23)</f>
        <v>0.01397705078125</v>
      </c>
      <c r="D24" s="39" t="n">
        <f aca="false">(B24+C24)/2</f>
        <v>0.0139656066894531</v>
      </c>
      <c r="E24" s="15" t="n">
        <f aca="false">$C$2*(1+IF(E$3&lt;=$O$2,$D24,$D24-($D24-$I$6)*MIN(E$3-$O$2,$Q$2)/$Q$2))</f>
        <v>1875.83637237549</v>
      </c>
      <c r="F24" s="15" t="n">
        <f aca="false">E24*(1+IF(F$3&lt;=$O$2,$D24,$D24-($D24-$I$6)*MIN(F$3-$O$2,$Q$2)/$Q$2))</f>
        <v>1902.03356536585</v>
      </c>
      <c r="G24" s="15" t="n">
        <f aca="false">F24*(1+IF(G$3&lt;=$O$2,$D24,$D24-($D24-$I$6)*MIN(G$3-$O$2,$Q$2)/$Q$2))</f>
        <v>1928.59661804989</v>
      </c>
      <c r="H24" s="15" t="n">
        <f aca="false">G24*(1+IF(H$3&lt;=$O$2,$D24,$D24-($D24-$I$6)*MIN(H$3-$O$2,$Q$2)/$Q$2))</f>
        <v>1955.53063988019</v>
      </c>
      <c r="I24" s="15" t="n">
        <f aca="false">H24*(1+IF(I$3&lt;=$O$2,$D24,$D24-($D24-$I$6)*MIN(I$3-$O$2,$Q$2)/$Q$2))</f>
        <v>1982.84081166593</v>
      </c>
      <c r="J24" s="15" t="n">
        <f aca="false">I24*(1+IF(J$3&lt;=$O$2,$D24,$D24-($D24-$I$6)*MIN(J$3-$O$2,$Q$2)/$Q$2))</f>
        <v>2014.90827564708</v>
      </c>
      <c r="K24" s="15" t="n">
        <f aca="false">J24*(1+IF(K$3&lt;=$O$2,$D24,$D24-($D24-$I$6)*MIN(K$3-$O$2,$Q$2)/$Q$2))</f>
        <v>2051.94100829935</v>
      </c>
      <c r="L24" s="15" t="n">
        <f aca="false">K24*(1+IF(L$3&lt;=$O$2,$D24,$D24-($D24-$I$6)*MIN(L$3-$O$2,$Q$2)/$Q$2))</f>
        <v>2094.18276385259</v>
      </c>
      <c r="M24" s="15" t="n">
        <f aca="false">L24*(1+IF(M$3&lt;=$O$2,$D24,$D24-($D24-$I$6)*MIN(M$3-$O$2,$Q$2)/$Q$2))</f>
        <v>2141.9157256928</v>
      </c>
      <c r="N24" s="15" t="n">
        <f aca="false">M24*(1+IF(N$3&lt;=$O$2,$D24,$D24-($D24-$I$6)*MIN(N$3-$O$2,$Q$2)/$Q$2))</f>
        <v>2195.46361883512</v>
      </c>
      <c r="O24" s="15" t="n">
        <f aca="false">SUMPRODUCT(E24:N24,1/(1+$F$6)^$E$3:$N$3)*$E$2</f>
        <v>5202.71027447493</v>
      </c>
      <c r="P24" s="15" t="n">
        <f aca="false">N24*$E$2*(1+$I$6)/($F$6-$I$6)/(1+$F$6)^$N$3</f>
        <v>11361.0573948487</v>
      </c>
      <c r="Q24" s="15" t="n">
        <f aca="false">O24+P24</f>
        <v>16563.7676693237</v>
      </c>
      <c r="R24" s="15" t="n">
        <f aca="false">Q24-$G$2+$I$2</f>
        <v>15011.0676693237</v>
      </c>
      <c r="S24" s="40" t="n">
        <f aca="false">R24/$K$2</f>
        <v>54.5083977970285</v>
      </c>
      <c r="T24" s="41" t="n">
        <f aca="false">S24-$M$2</f>
        <v>0.00387693570454672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0.0139541625976563</v>
      </c>
      <c r="C25" s="25" t="n">
        <f aca="false">IF(T24&gt;0,D24,C24)</f>
        <v>0.0139656066894531</v>
      </c>
      <c r="D25" s="39" t="n">
        <f aca="false">(B25+C25)/2</f>
        <v>0.0139598846435547</v>
      </c>
      <c r="E25" s="15" t="n">
        <f aca="false">$C$2*(1+IF(E$3&lt;=$O$2,$D25,$D25-($D25-$I$6)*MIN(E$3-$O$2,$Q$2)/$Q$2))</f>
        <v>1875.82578659058</v>
      </c>
      <c r="F25" s="15" t="n">
        <f aca="false">E25*(1+IF(F$3&lt;=$O$2,$D25,$D25-($D25-$I$6)*MIN(F$3-$O$2,$Q$2)/$Q$2))</f>
        <v>1902.01209818279</v>
      </c>
      <c r="G25" s="15" t="n">
        <f aca="false">F25*(1+IF(G$3&lt;=$O$2,$D25,$D25-($D25-$I$6)*MIN(G$3-$O$2,$Q$2)/$Q$2))</f>
        <v>1928.56396766406</v>
      </c>
      <c r="H25" s="15" t="n">
        <f aca="false">G25*(1+IF(H$3&lt;=$O$2,$D25,$D25-($D25-$I$6)*MIN(H$3-$O$2,$Q$2)/$Q$2))</f>
        <v>1955.48649818037</v>
      </c>
      <c r="I25" s="15" t="n">
        <f aca="false">H25*(1+IF(I$3&lt;=$O$2,$D25,$D25-($D25-$I$6)*MIN(I$3-$O$2,$Q$2)/$Q$2))</f>
        <v>1982.784864117</v>
      </c>
      <c r="J25" s="15" t="n">
        <f aca="false">I25*(1+IF(J$3&lt;=$O$2,$D25,$D25-($D25-$I$6)*MIN(J$3-$O$2,$Q$2)/$Q$2))</f>
        <v>2014.84234681843</v>
      </c>
      <c r="K25" s="15" t="n">
        <f aca="false">J25*(1+IF(K$3&lt;=$O$2,$D25,$D25-($D25-$I$6)*MIN(K$3-$O$2,$Q$2)/$Q$2))</f>
        <v>2051.86695032853</v>
      </c>
      <c r="L25" s="15" t="n">
        <f aca="false">K25*(1+IF(L$3&lt;=$O$2,$D25,$D25-($D25-$I$6)*MIN(L$3-$O$2,$Q$2)/$Q$2))</f>
        <v>2094.10248495567</v>
      </c>
      <c r="M25" s="15" t="n">
        <f aca="false">L25*(1+IF(M$3&lt;=$O$2,$D25,$D25-($D25-$I$6)*MIN(M$3-$O$2,$Q$2)/$Q$2))</f>
        <v>2141.83122047913</v>
      </c>
      <c r="N25" s="15" t="n">
        <f aca="false">M25*(1+IF(N$3&lt;=$O$2,$D25,$D25-($D25-$I$6)*MIN(N$3-$O$2,$Q$2)/$Q$2))</f>
        <v>2195.37700099111</v>
      </c>
      <c r="O25" s="15" t="n">
        <f aca="false">SUMPRODUCT(E25:N25,1/(1+$F$6)^$E$3:$N$3)*$E$2</f>
        <v>5202.57719563093</v>
      </c>
      <c r="P25" s="15" t="n">
        <f aca="false">N25*$E$2*(1+$I$6)/($F$6-$I$6)/(1+$F$6)^$N$3</f>
        <v>11360.609165924</v>
      </c>
      <c r="Q25" s="15" t="n">
        <f aca="false">O25+P25</f>
        <v>16563.1863615549</v>
      </c>
      <c r="R25" s="15" t="n">
        <f aca="false">Q25-$G$2+$I$2</f>
        <v>15010.4863615549</v>
      </c>
      <c r="S25" s="40" t="n">
        <f aca="false">R25/$K$2</f>
        <v>54.5062869441698</v>
      </c>
      <c r="T25" s="41" t="n">
        <f aca="false">S25-$M$2</f>
        <v>0.00176608284582613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0.0139541625976563</v>
      </c>
      <c r="C26" s="25" t="n">
        <f aca="false">IF(T25&gt;0,D25,C25)</f>
        <v>0.0139598846435547</v>
      </c>
      <c r="D26" s="39" t="n">
        <f aca="false">(B26+C26)/2</f>
        <v>0.0139570236206055</v>
      </c>
      <c r="E26" s="15" t="n">
        <f aca="false">$C$2*(1+IF(E$3&lt;=$O$2,$D26,$D26-($D26-$I$6)*MIN(E$3-$O$2,$Q$2)/$Q$2))</f>
        <v>1875.82049369812</v>
      </c>
      <c r="F26" s="15" t="n">
        <f aca="false">E26*(1+IF(F$3&lt;=$O$2,$D26,$D26-($D26-$I$6)*MIN(F$3-$O$2,$Q$2)/$Q$2))</f>
        <v>1902.00136463668</v>
      </c>
      <c r="G26" s="15" t="n">
        <f aca="false">F26*(1+IF(G$3&lt;=$O$2,$D26,$D26-($D26-$I$6)*MIN(G$3-$O$2,$Q$2)/$Q$2))</f>
        <v>1928.54764260934</v>
      </c>
      <c r="H26" s="15" t="n">
        <f aca="false">G26*(1+IF(H$3&lt;=$O$2,$D26,$D26-($D26-$I$6)*MIN(H$3-$O$2,$Q$2)/$Q$2))</f>
        <v>1955.4644276107</v>
      </c>
      <c r="I26" s="15" t="n">
        <f aca="false">H26*(1+IF(I$3&lt;=$O$2,$D26,$D26-($D26-$I$6)*MIN(I$3-$O$2,$Q$2)/$Q$2))</f>
        <v>1982.75689081612</v>
      </c>
      <c r="J26" s="15" t="n">
        <f aca="false">I26*(1+IF(J$3&lt;=$O$2,$D26,$D26-($D26-$I$6)*MIN(J$3-$O$2,$Q$2)/$Q$2))</f>
        <v>2014.80938307743</v>
      </c>
      <c r="K26" s="15" t="n">
        <f aca="false">J26*(1+IF(K$3&lt;=$O$2,$D26,$D26-($D26-$I$6)*MIN(K$3-$O$2,$Q$2)/$Q$2))</f>
        <v>2051.82992219858</v>
      </c>
      <c r="L26" s="15" t="n">
        <f aca="false">K26*(1+IF(L$3&lt;=$O$2,$D26,$D26-($D26-$I$6)*MIN(L$3-$O$2,$Q$2)/$Q$2))</f>
        <v>2094.06234650739</v>
      </c>
      <c r="M26" s="15" t="n">
        <f aca="false">L26*(1+IF(M$3&lt;=$O$2,$D26,$D26-($D26-$I$6)*MIN(M$3-$O$2,$Q$2)/$Q$2))</f>
        <v>2141.78896896419</v>
      </c>
      <c r="N26" s="15" t="n">
        <f aca="false">M26*(1+IF(N$3&lt;=$O$2,$D26,$D26-($D26-$I$6)*MIN(N$3-$O$2,$Q$2)/$Q$2))</f>
        <v>2195.33369318829</v>
      </c>
      <c r="O26" s="15" t="n">
        <f aca="false">SUMPRODUCT(E26:N26,1/(1+$F$6)^$E$3:$N$3)*$E$2</f>
        <v>5202.51065749965</v>
      </c>
      <c r="P26" s="15" t="n">
        <f aca="false">N26*$E$2*(1+$I$6)/($F$6-$I$6)/(1+$F$6)^$N$3</f>
        <v>11360.3850572532</v>
      </c>
      <c r="Q26" s="15" t="n">
        <f aca="false">O26+P26</f>
        <v>16562.8957147528</v>
      </c>
      <c r="R26" s="15" t="n">
        <f aca="false">Q26-$G$2+$I$2</f>
        <v>15010.1957147528</v>
      </c>
      <c r="S26" s="40" t="n">
        <f aca="false">R26/$K$2</f>
        <v>54.5052315434576</v>
      </c>
      <c r="T26" s="41" t="n">
        <f aca="false">S26-$M$2</f>
        <v>0.000710682133693297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0.0139541625976563</v>
      </c>
      <c r="C27" s="25" t="n">
        <f aca="false">IF(T26&gt;0,D26,C26)</f>
        <v>0.0139570236206055</v>
      </c>
      <c r="D27" s="39" t="n">
        <f aca="false">(B27+C27)/2</f>
        <v>0.0139555931091309</v>
      </c>
      <c r="E27" s="15" t="n">
        <f aca="false">$C$2*(1+IF(E$3&lt;=$O$2,$D27,$D27-($D27-$I$6)*MIN(E$3-$O$2,$Q$2)/$Q$2))</f>
        <v>1875.81784725189</v>
      </c>
      <c r="F27" s="15" t="n">
        <f aca="false">E27*(1+IF(F$3&lt;=$O$2,$D27,$D27-($D27-$I$6)*MIN(F$3-$O$2,$Q$2)/$Q$2))</f>
        <v>1901.99599787499</v>
      </c>
      <c r="G27" s="15" t="n">
        <f aca="false">F27*(1+IF(G$3&lt;=$O$2,$D27,$D27-($D27-$I$6)*MIN(G$3-$O$2,$Q$2)/$Q$2))</f>
        <v>1928.53948011652</v>
      </c>
      <c r="H27" s="15" t="n">
        <f aca="false">G27*(1+IF(H$3&lt;=$O$2,$D27,$D27-($D27-$I$6)*MIN(H$3-$O$2,$Q$2)/$Q$2))</f>
        <v>1955.45339239593</v>
      </c>
      <c r="I27" s="15" t="n">
        <f aca="false">H27*(1+IF(I$3&lt;=$O$2,$D27,$D27-($D27-$I$6)*MIN(I$3-$O$2,$Q$2)/$Q$2))</f>
        <v>1982.74290428407</v>
      </c>
      <c r="J27" s="15" t="n">
        <f aca="false">I27*(1+IF(J$3&lt;=$O$2,$D27,$D27-($D27-$I$6)*MIN(J$3-$O$2,$Q$2)/$Q$2))</f>
        <v>2014.79290137526</v>
      </c>
      <c r="K27" s="15" t="n">
        <f aca="false">J27*(1+IF(K$3&lt;=$O$2,$D27,$D27-($D27-$I$6)*MIN(K$3-$O$2,$Q$2)/$Q$2))</f>
        <v>2051.81140834746</v>
      </c>
      <c r="L27" s="15" t="n">
        <f aca="false">K27*(1+IF(L$3&lt;=$O$2,$D27,$D27-($D27-$I$6)*MIN(L$3-$O$2,$Q$2)/$Q$2))</f>
        <v>2094.0422775333</v>
      </c>
      <c r="M27" s="15" t="n">
        <f aca="false">L27*(1+IF(M$3&lt;=$O$2,$D27,$D27-($D27-$I$6)*MIN(M$3-$O$2,$Q$2)/$Q$2))</f>
        <v>2141.76784347969</v>
      </c>
      <c r="N27" s="15" t="n">
        <f aca="false">M27*(1+IF(N$3&lt;=$O$2,$D27,$D27-($D27-$I$6)*MIN(N$3-$O$2,$Q$2)/$Q$2))</f>
        <v>2195.31203956668</v>
      </c>
      <c r="O27" s="15" t="n">
        <f aca="false">SUMPRODUCT(E27:N27,1/(1+$F$6)^$E$3:$N$3)*$E$2</f>
        <v>5202.47738875668</v>
      </c>
      <c r="P27" s="15" t="n">
        <f aca="false">N27*$E$2*(1+$I$6)/($F$6-$I$6)/(1+$F$6)^$N$3</f>
        <v>11360.2730043656</v>
      </c>
      <c r="Q27" s="15" t="n">
        <f aca="false">O27+P27</f>
        <v>16562.7503931223</v>
      </c>
      <c r="R27" s="15" t="n">
        <f aca="false">Q27-$G$2+$I$2</f>
        <v>15010.0503931223</v>
      </c>
      <c r="S27" s="40" t="n">
        <f aca="false">R27/$K$2</f>
        <v>54.5047038495308</v>
      </c>
      <c r="T27" s="41" t="n">
        <f aca="false">S27-$M$2</f>
        <v>0.000182988206894663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0.0139541625976563</v>
      </c>
      <c r="C28" s="25" t="n">
        <f aca="false">IF(T27&gt;0,D27,C27)</f>
        <v>0.0139555931091309</v>
      </c>
      <c r="D28" s="39" t="n">
        <f aca="false">(B28+C28)/2</f>
        <v>0.0139548778533936</v>
      </c>
      <c r="E28" s="15" t="n">
        <f aca="false">$C$2*(1+IF(E$3&lt;=$O$2,$D28,$D28-($D28-$I$6)*MIN(E$3-$O$2,$Q$2)/$Q$2))</f>
        <v>1875.81652402878</v>
      </c>
      <c r="F28" s="15" t="n">
        <f aca="false">E28*(1+IF(F$3&lt;=$O$2,$D28,$D28-($D28-$I$6)*MIN(F$3-$O$2,$Q$2)/$Q$2))</f>
        <v>1901.99331449698</v>
      </c>
      <c r="G28" s="15" t="n">
        <f aca="false">F28*(1+IF(G$3&lt;=$O$2,$D28,$D28-($D28-$I$6)*MIN(G$3-$O$2,$Q$2)/$Q$2))</f>
        <v>1928.53539887875</v>
      </c>
      <c r="H28" s="15" t="n">
        <f aca="false">G28*(1+IF(H$3&lt;=$O$2,$D28,$D28-($D28-$I$6)*MIN(H$3-$O$2,$Q$2)/$Q$2))</f>
        <v>1955.44787480605</v>
      </c>
      <c r="I28" s="15" t="n">
        <f aca="false">H28*(1+IF(I$3&lt;=$O$2,$D28,$D28-($D28-$I$6)*MIN(I$3-$O$2,$Q$2)/$Q$2))</f>
        <v>1982.73591104765</v>
      </c>
      <c r="J28" s="15" t="n">
        <f aca="false">I28*(1+IF(J$3&lt;=$O$2,$D28,$D28-($D28-$I$6)*MIN(J$3-$O$2,$Q$2)/$Q$2))</f>
        <v>2014.78466056625</v>
      </c>
      <c r="K28" s="15" t="n">
        <f aca="false">J28*(1+IF(K$3&lt;=$O$2,$D28,$D28-($D28-$I$6)*MIN(K$3-$O$2,$Q$2)/$Q$2))</f>
        <v>2051.80215147537</v>
      </c>
      <c r="L28" s="15" t="n">
        <f aca="false">K28*(1+IF(L$3&lt;=$O$2,$D28,$D28-($D28-$I$6)*MIN(L$3-$O$2,$Q$2)/$Q$2))</f>
        <v>2094.03224310877</v>
      </c>
      <c r="M28" s="15" t="n">
        <f aca="false">L28*(1+IF(M$3&lt;=$O$2,$D28,$D28-($D28-$I$6)*MIN(M$3-$O$2,$Q$2)/$Q$2))</f>
        <v>2141.75728080567</v>
      </c>
      <c r="N28" s="15" t="n">
        <f aca="false">M28*(1+IF(N$3&lt;=$O$2,$D28,$D28-($D28-$I$6)*MIN(N$3-$O$2,$Q$2)/$Q$2))</f>
        <v>2195.30121282582</v>
      </c>
      <c r="O28" s="15" t="n">
        <f aca="false">SUMPRODUCT(E28:N28,1/(1+$F$6)^$E$3:$N$3)*$E$2</f>
        <v>5202.46075446587</v>
      </c>
      <c r="P28" s="15" t="n">
        <f aca="false">N28*$E$2*(1+$I$6)/($F$6-$I$6)/(1+$F$6)^$N$3</f>
        <v>11360.2169782838</v>
      </c>
      <c r="Q28" s="15" t="n">
        <f aca="false">O28+P28</f>
        <v>16562.6777327497</v>
      </c>
      <c r="R28" s="15" t="n">
        <f aca="false">Q28-$G$2+$I$2</f>
        <v>15009.9777327497</v>
      </c>
      <c r="S28" s="40" t="n">
        <f aca="false">R28/$K$2</f>
        <v>54.5044400041747</v>
      </c>
      <c r="T28" s="41" t="n">
        <f aca="false">S28-$M$2</f>
        <v>-8.085714924988E-005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0.0139548778533936</v>
      </c>
      <c r="C29" s="25" t="n">
        <f aca="false">IF(T28&gt;0,D28,C28)</f>
        <v>0.0139555931091309</v>
      </c>
      <c r="D29" s="39" t="n">
        <f aca="false">(B29+C29)/2</f>
        <v>0.0139552354812622</v>
      </c>
      <c r="E29" s="15" t="n">
        <f aca="false">$C$2*(1+IF(E$3&lt;=$O$2,$D29,$D29-($D29-$I$6)*MIN(E$3-$O$2,$Q$2)/$Q$2))</f>
        <v>1875.81718564034</v>
      </c>
      <c r="F29" s="15" t="n">
        <f aca="false">E29*(1+IF(F$3&lt;=$O$2,$D29,$D29-($D29-$I$6)*MIN(F$3-$O$2,$Q$2)/$Q$2))</f>
        <v>1901.99465618574</v>
      </c>
      <c r="G29" s="15" t="n">
        <f aca="false">F29*(1+IF(G$3&lt;=$O$2,$D29,$D29-($D29-$I$6)*MIN(G$3-$O$2,$Q$2)/$Q$2))</f>
        <v>1928.53743949692</v>
      </c>
      <c r="H29" s="15" t="n">
        <f aca="false">G29*(1+IF(H$3&lt;=$O$2,$D29,$D29-($D29-$I$6)*MIN(H$3-$O$2,$Q$2)/$Q$2))</f>
        <v>1955.45063359953</v>
      </c>
      <c r="I29" s="15" t="n">
        <f aca="false">H29*(1+IF(I$3&lt;=$O$2,$D29,$D29-($D29-$I$6)*MIN(I$3-$O$2,$Q$2)/$Q$2))</f>
        <v>1982.73940766339</v>
      </c>
      <c r="J29" s="15" t="n">
        <f aca="false">I29*(1+IF(J$3&lt;=$O$2,$D29,$D29-($D29-$I$6)*MIN(J$3-$O$2,$Q$2)/$Q$2))</f>
        <v>2014.78878096725</v>
      </c>
      <c r="K29" s="15" t="n">
        <f aca="false">J29*(1+IF(K$3&lt;=$O$2,$D29,$D29-($D29-$I$6)*MIN(K$3-$O$2,$Q$2)/$Q$2))</f>
        <v>2051.80677990696</v>
      </c>
      <c r="L29" s="15" t="n">
        <f aca="false">K29*(1+IF(L$3&lt;=$O$2,$D29,$D29-($D29-$I$6)*MIN(L$3-$O$2,$Q$2)/$Q$2))</f>
        <v>2094.03726031583</v>
      </c>
      <c r="M29" s="15" t="n">
        <f aca="false">L29*(1+IF(M$3&lt;=$O$2,$D29,$D29-($D29-$I$6)*MIN(M$3-$O$2,$Q$2)/$Q$2))</f>
        <v>2141.76256213699</v>
      </c>
      <c r="N29" s="15" t="n">
        <f aca="false">M29*(1+IF(N$3&lt;=$O$2,$D29,$D29-($D29-$I$6)*MIN(N$3-$O$2,$Q$2)/$Q$2))</f>
        <v>2195.30662619042</v>
      </c>
      <c r="O29" s="15" t="n">
        <f aca="false">SUMPRODUCT(E29:N29,1/(1+$F$6)^$E$3:$N$3)*$E$2</f>
        <v>5202.46907160455</v>
      </c>
      <c r="P29" s="15" t="n">
        <f aca="false">N29*$E$2*(1+$I$6)/($F$6-$I$6)/(1+$F$6)^$N$3</f>
        <v>11360.2449912945</v>
      </c>
      <c r="Q29" s="15" t="n">
        <f aca="false">O29+P29</f>
        <v>16562.7140628991</v>
      </c>
      <c r="R29" s="15" t="n">
        <f aca="false">Q29-$G$2+$I$2</f>
        <v>15010.0140628991</v>
      </c>
      <c r="S29" s="40" t="n">
        <f aca="false">R29/$K$2</f>
        <v>54.5045719267188</v>
      </c>
      <c r="T29" s="41" t="n">
        <f aca="false">S29-$M$2</f>
        <v>5.10653948850859E-005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0.0139548778533936</v>
      </c>
      <c r="C30" s="25" t="n">
        <f aca="false">IF(T29&gt;0,D29,C29)</f>
        <v>0.0139552354812622</v>
      </c>
      <c r="D30" s="39" t="n">
        <f aca="false">(B30+C30)/2</f>
        <v>0.0139550566673279</v>
      </c>
      <c r="E30" s="15" t="n">
        <f aca="false">$C$2*(1+IF(E$3&lt;=$O$2,$D30,$D30-($D30-$I$6)*MIN(E$3-$O$2,$Q$2)/$Q$2))</f>
        <v>1875.81685483456</v>
      </c>
      <c r="F30" s="15" t="n">
        <f aca="false">E30*(1+IF(F$3&lt;=$O$2,$D30,$D30-($D30-$I$6)*MIN(F$3-$O$2,$Q$2)/$Q$2))</f>
        <v>1901.9939853413</v>
      </c>
      <c r="G30" s="15" t="n">
        <f aca="false">F30*(1+IF(G$3&lt;=$O$2,$D30,$D30-($D30-$I$6)*MIN(G$3-$O$2,$Q$2)/$Q$2))</f>
        <v>1928.53641918766</v>
      </c>
      <c r="H30" s="15" t="n">
        <f aca="false">G30*(1+IF(H$3&lt;=$O$2,$D30,$D30-($D30-$I$6)*MIN(H$3-$O$2,$Q$2)/$Q$2))</f>
        <v>1955.44925420243</v>
      </c>
      <c r="I30" s="15" t="n">
        <f aca="false">H30*(1+IF(I$3&lt;=$O$2,$D30,$D30-($D30-$I$6)*MIN(I$3-$O$2,$Q$2)/$Q$2))</f>
        <v>1982.7376593549</v>
      </c>
      <c r="J30" s="15" t="n">
        <f aca="false">I30*(1+IF(J$3&lt;=$O$2,$D30,$D30-($D30-$I$6)*MIN(J$3-$O$2,$Q$2)/$Q$2))</f>
        <v>2014.78672076587</v>
      </c>
      <c r="K30" s="15" t="n">
        <f aca="false">J30*(1+IF(K$3&lt;=$O$2,$D30,$D30-($D30-$I$6)*MIN(K$3-$O$2,$Q$2)/$Q$2))</f>
        <v>2051.80446569005</v>
      </c>
      <c r="L30" s="15" t="n">
        <f aca="false">K30*(1+IF(L$3&lt;=$O$2,$D30,$D30-($D30-$I$6)*MIN(L$3-$O$2,$Q$2)/$Q$2))</f>
        <v>2094.034751711</v>
      </c>
      <c r="M30" s="15" t="n">
        <f aca="false">L30*(1+IF(M$3&lt;=$O$2,$D30,$D30-($D30-$I$6)*MIN(M$3-$O$2,$Q$2)/$Q$2))</f>
        <v>2141.75992146991</v>
      </c>
      <c r="N30" s="15" t="n">
        <f aca="false">M30*(1+IF(N$3&lt;=$O$2,$D30,$D30-($D30-$I$6)*MIN(N$3-$O$2,$Q$2)/$Q$2))</f>
        <v>2195.30391950666</v>
      </c>
      <c r="O30" s="15" t="n">
        <f aca="false">SUMPRODUCT(E30:N30,1/(1+$F$6)^$E$3:$N$3)*$E$2</f>
        <v>5202.46491303353</v>
      </c>
      <c r="P30" s="15" t="n">
        <f aca="false">N30*$E$2*(1+$I$6)/($F$6-$I$6)/(1+$F$6)^$N$3</f>
        <v>11360.2309847816</v>
      </c>
      <c r="Q30" s="15" t="n">
        <f aca="false">O30+P30</f>
        <v>16562.6958978152</v>
      </c>
      <c r="R30" s="15" t="n">
        <f aca="false">Q30-$G$2+$I$2</f>
        <v>15009.9958978152</v>
      </c>
      <c r="S30" s="40" t="n">
        <f aca="false">R30/$K$2</f>
        <v>54.5045059654133</v>
      </c>
      <c r="T30" s="41" t="n">
        <f aca="false">S30-$M$2</f>
        <v>-1.48959106738289E-005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0.0139550566673279</v>
      </c>
      <c r="C31" s="25" t="n">
        <f aca="false">IF(T30&gt;0,D30,C30)</f>
        <v>0.0139552354812622</v>
      </c>
      <c r="D31" s="39" t="n">
        <f aca="false">(B31+C31)/2</f>
        <v>0.013955146074295</v>
      </c>
      <c r="E31" s="15" t="n">
        <f aca="false">$C$2*(1+IF(E$3&lt;=$O$2,$D31,$D31-($D31-$I$6)*MIN(E$3-$O$2,$Q$2)/$Q$2))</f>
        <v>1875.81702023745</v>
      </c>
      <c r="F31" s="15" t="n">
        <f aca="false">E31*(1+IF(F$3&lt;=$O$2,$D31,$D31-($D31-$I$6)*MIN(F$3-$O$2,$Q$2)/$Q$2))</f>
        <v>1901.99432076351</v>
      </c>
      <c r="G31" s="15" t="n">
        <f aca="false">F31*(1+IF(G$3&lt;=$O$2,$D31,$D31-($D31-$I$6)*MIN(G$3-$O$2,$Q$2)/$Q$2))</f>
        <v>1928.53692934224</v>
      </c>
      <c r="H31" s="15" t="n">
        <f aca="false">G31*(1+IF(H$3&lt;=$O$2,$D31,$D31-($D31-$I$6)*MIN(H$3-$O$2,$Q$2)/$Q$2))</f>
        <v>1955.44994390089</v>
      </c>
      <c r="I31" s="15" t="n">
        <f aca="false">H31*(1+IF(I$3&lt;=$O$2,$D31,$D31-($D31-$I$6)*MIN(I$3-$O$2,$Q$2)/$Q$2))</f>
        <v>1982.738533509</v>
      </c>
      <c r="J31" s="15" t="n">
        <f aca="false">I31*(1+IF(J$3&lt;=$O$2,$D31,$D31-($D31-$I$6)*MIN(J$3-$O$2,$Q$2)/$Q$2))</f>
        <v>2014.78775086634</v>
      </c>
      <c r="K31" s="15" t="n">
        <f aca="false">J31*(1+IF(K$3&lt;=$O$2,$D31,$D31-($D31-$I$6)*MIN(K$3-$O$2,$Q$2)/$Q$2))</f>
        <v>2051.80562279823</v>
      </c>
      <c r="L31" s="15" t="n">
        <f aca="false">K31*(1+IF(L$3&lt;=$O$2,$D31,$D31-($D31-$I$6)*MIN(L$3-$O$2,$Q$2)/$Q$2))</f>
        <v>2094.03600601309</v>
      </c>
      <c r="M31" s="15" t="n">
        <f aca="false">L31*(1+IF(M$3&lt;=$O$2,$D31,$D31-($D31-$I$6)*MIN(M$3-$O$2,$Q$2)/$Q$2))</f>
        <v>2141.7612418031</v>
      </c>
      <c r="N31" s="15" t="n">
        <f aca="false">M31*(1+IF(N$3&lt;=$O$2,$D31,$D31-($D31-$I$6)*MIN(N$3-$O$2,$Q$2)/$Q$2))</f>
        <v>2195.30527284817</v>
      </c>
      <c r="O31" s="15" t="n">
        <f aca="false">SUMPRODUCT(E31:N31,1/(1+$F$6)^$E$3:$N$3)*$E$2</f>
        <v>5202.46699231862</v>
      </c>
      <c r="P31" s="15" t="n">
        <f aca="false">N31*$E$2*(1+$I$6)/($F$6-$I$6)/(1+$F$6)^$N$3</f>
        <v>11360.2379880362</v>
      </c>
      <c r="Q31" s="15" t="n">
        <f aca="false">O31+P31</f>
        <v>16562.7049803548</v>
      </c>
      <c r="R31" s="15" t="n">
        <f aca="false">Q31-$G$2+$I$2</f>
        <v>15010.0049803548</v>
      </c>
      <c r="S31" s="40" t="n">
        <f aca="false">R31/$K$2</f>
        <v>54.5045389460577</v>
      </c>
      <c r="T31" s="41" t="n">
        <f aca="false">S31-$M$2</f>
        <v>1.80847337531986E-005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0.0139550566673279</v>
      </c>
      <c r="C32" s="25" t="n">
        <f aca="false">IF(T31&gt;0,D31,C31)</f>
        <v>0.013955146074295</v>
      </c>
      <c r="D32" s="39" t="n">
        <f aca="false">(B32+C32)/2</f>
        <v>0.0139551013708115</v>
      </c>
      <c r="E32" s="15" t="n">
        <f aca="false">$C$2*(1+IF(E$3&lt;=$O$2,$D32,$D32-($D32-$I$6)*MIN(E$3-$O$2,$Q$2)/$Q$2))</f>
        <v>1875.816937536</v>
      </c>
      <c r="F32" s="15" t="n">
        <f aca="false">E32*(1+IF(F$3&lt;=$O$2,$D32,$D32-($D32-$I$6)*MIN(F$3-$O$2,$Q$2)/$Q$2))</f>
        <v>1901.9941530524</v>
      </c>
      <c r="G32" s="15" t="n">
        <f aca="false">F32*(1+IF(G$3&lt;=$O$2,$D32,$D32-($D32-$I$6)*MIN(G$3-$O$2,$Q$2)/$Q$2))</f>
        <v>1928.53667426494</v>
      </c>
      <c r="H32" s="15" t="n">
        <f aca="false">G32*(1+IF(H$3&lt;=$O$2,$D32,$D32-($D32-$I$6)*MIN(H$3-$O$2,$Q$2)/$Q$2))</f>
        <v>1955.44959905163</v>
      </c>
      <c r="I32" s="15" t="n">
        <f aca="false">H32*(1+IF(I$3&lt;=$O$2,$D32,$D32-($D32-$I$6)*MIN(I$3-$O$2,$Q$2)/$Q$2))</f>
        <v>1982.73809643191</v>
      </c>
      <c r="J32" s="15" t="n">
        <f aca="false">I32*(1+IF(J$3&lt;=$O$2,$D32,$D32-($D32-$I$6)*MIN(J$3-$O$2,$Q$2)/$Q$2))</f>
        <v>2014.78723581605</v>
      </c>
      <c r="K32" s="15" t="n">
        <f aca="false">J32*(1+IF(K$3&lt;=$O$2,$D32,$D32-($D32-$I$6)*MIN(K$3-$O$2,$Q$2)/$Q$2))</f>
        <v>2051.80504424407</v>
      </c>
      <c r="L32" s="15" t="n">
        <f aca="false">K32*(1+IF(L$3&lt;=$O$2,$D32,$D32-($D32-$I$6)*MIN(L$3-$O$2,$Q$2)/$Q$2))</f>
        <v>2094.03537886196</v>
      </c>
      <c r="M32" s="15" t="n">
        <f aca="false">L32*(1+IF(M$3&lt;=$O$2,$D32,$D32-($D32-$I$6)*MIN(M$3-$O$2,$Q$2)/$Q$2))</f>
        <v>2141.76058163642</v>
      </c>
      <c r="N32" s="15" t="n">
        <f aca="false">M32*(1+IF(N$3&lt;=$O$2,$D32,$D32-($D32-$I$6)*MIN(N$3-$O$2,$Q$2)/$Q$2))</f>
        <v>2195.30459617733</v>
      </c>
      <c r="O32" s="15" t="n">
        <f aca="false">SUMPRODUCT(E32:N32,1/(1+$F$6)^$E$3:$N$3)*$E$2</f>
        <v>5202.46595267597</v>
      </c>
      <c r="P32" s="15" t="n">
        <f aca="false">N32*$E$2*(1+$I$6)/($F$6-$I$6)/(1+$F$6)^$N$3</f>
        <v>11360.2344864085</v>
      </c>
      <c r="Q32" s="15" t="n">
        <f aca="false">O32+P32</f>
        <v>16562.7004390844</v>
      </c>
      <c r="R32" s="15" t="n">
        <f aca="false">Q32-$G$2+$I$2</f>
        <v>15010.0004390844</v>
      </c>
      <c r="S32" s="40" t="n">
        <f aca="false">R32/$K$2</f>
        <v>54.5045224557334</v>
      </c>
      <c r="T32" s="41" t="n">
        <f aca="false">S32-$M$2</f>
        <v>1.59440945424194E-006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0.0139550566673279</v>
      </c>
      <c r="C33" s="25" t="n">
        <f aca="false">IF(T32&gt;0,D32,C32)</f>
        <v>0.0139551013708115</v>
      </c>
      <c r="D33" s="39" t="n">
        <f aca="false">(B33+C33)/2</f>
        <v>0.0139550790190697</v>
      </c>
      <c r="E33" s="15" t="n">
        <f aca="false">$C$2*(1+IF(E$3&lt;=$O$2,$D33,$D33-($D33-$I$6)*MIN(E$3-$O$2,$Q$2)/$Q$2))</f>
        <v>1875.81689618528</v>
      </c>
      <c r="F33" s="15" t="n">
        <f aca="false">E33*(1+IF(F$3&lt;=$O$2,$D33,$D33-($D33-$I$6)*MIN(F$3-$O$2,$Q$2)/$Q$2))</f>
        <v>1901.99406919685</v>
      </c>
      <c r="G33" s="15" t="n">
        <f aca="false">F33*(1+IF(G$3&lt;=$O$2,$D33,$D33-($D33-$I$6)*MIN(G$3-$O$2,$Q$2)/$Q$2))</f>
        <v>1928.53654672629</v>
      </c>
      <c r="H33" s="15" t="n">
        <f aca="false">G33*(1+IF(H$3&lt;=$O$2,$D33,$D33-($D33-$I$6)*MIN(H$3-$O$2,$Q$2)/$Q$2))</f>
        <v>1955.44942662702</v>
      </c>
      <c r="I33" s="15" t="n">
        <f aca="false">H33*(1+IF(I$3&lt;=$O$2,$D33,$D33-($D33-$I$6)*MIN(I$3-$O$2,$Q$2)/$Q$2))</f>
        <v>1982.7378778934</v>
      </c>
      <c r="J33" s="15" t="n">
        <f aca="false">I33*(1+IF(J$3&lt;=$O$2,$D33,$D33-($D33-$I$6)*MIN(J$3-$O$2,$Q$2)/$Q$2))</f>
        <v>2014.78697829095</v>
      </c>
      <c r="K33" s="15" t="n">
        <f aca="false">J33*(1+IF(K$3&lt;=$O$2,$D33,$D33-($D33-$I$6)*MIN(K$3-$O$2,$Q$2)/$Q$2))</f>
        <v>2051.80475496704</v>
      </c>
      <c r="L33" s="15" t="n">
        <f aca="false">K33*(1+IF(L$3&lt;=$O$2,$D33,$D33-($D33-$I$6)*MIN(L$3-$O$2,$Q$2)/$Q$2))</f>
        <v>2094.03506528646</v>
      </c>
      <c r="M33" s="15" t="n">
        <f aca="false">L33*(1+IF(M$3&lt;=$O$2,$D33,$D33-($D33-$I$6)*MIN(M$3-$O$2,$Q$2)/$Q$2))</f>
        <v>2141.76025155314</v>
      </c>
      <c r="N33" s="15" t="n">
        <f aca="false">M33*(1+IF(N$3&lt;=$O$2,$D33,$D33-($D33-$I$6)*MIN(N$3-$O$2,$Q$2)/$Q$2))</f>
        <v>2195.30425784197</v>
      </c>
      <c r="O33" s="15" t="n">
        <f aca="false">SUMPRODUCT(E33:N33,1/(1+$F$6)^$E$3:$N$3)*$E$2</f>
        <v>5202.46543285472</v>
      </c>
      <c r="P33" s="15" t="n">
        <f aca="false">N33*$E$2*(1+$I$6)/($F$6-$I$6)/(1+$F$6)^$N$3</f>
        <v>11360.2327355949</v>
      </c>
      <c r="Q33" s="15" t="n">
        <f aca="false">O33+P33</f>
        <v>16562.6981684497</v>
      </c>
      <c r="R33" s="15" t="n">
        <f aca="false">Q33-$G$2+$I$2</f>
        <v>15009.9981684496</v>
      </c>
      <c r="S33" s="40" t="n">
        <f aca="false">R33/$K$2</f>
        <v>54.5045142105728</v>
      </c>
      <c r="T33" s="41" t="n">
        <f aca="false">S33-$M$2</f>
        <v>-6.65075111783153E-006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0.0139550790190697</v>
      </c>
      <c r="C34" s="25" t="n">
        <f aca="false">IF(T33&gt;0,D33,C33)</f>
        <v>0.0139551013708115</v>
      </c>
      <c r="D34" s="39" t="n">
        <f aca="false">(B34+C34)/2</f>
        <v>0.0139550901949406</v>
      </c>
      <c r="E34" s="15" t="n">
        <f aca="false">$C$2*(1+IF(E$3&lt;=$O$2,$D34,$D34-($D34-$I$6)*MIN(E$3-$O$2,$Q$2)/$Q$2))</f>
        <v>1875.81691686064</v>
      </c>
      <c r="F34" s="15" t="n">
        <f aca="false">E34*(1+IF(F$3&lt;=$O$2,$D34,$D34-($D34-$I$6)*MIN(F$3-$O$2,$Q$2)/$Q$2))</f>
        <v>1901.99411112463</v>
      </c>
      <c r="G34" s="15" t="n">
        <f aca="false">F34*(1+IF(G$3&lt;=$O$2,$D34,$D34-($D34-$I$6)*MIN(G$3-$O$2,$Q$2)/$Q$2))</f>
        <v>1928.53661049562</v>
      </c>
      <c r="H34" s="15" t="n">
        <f aca="false">G34*(1+IF(H$3&lt;=$O$2,$D34,$D34-($D34-$I$6)*MIN(H$3-$O$2,$Q$2)/$Q$2))</f>
        <v>1955.44951283933</v>
      </c>
      <c r="I34" s="15" t="n">
        <f aca="false">H34*(1+IF(I$3&lt;=$O$2,$D34,$D34-($D34-$I$6)*MIN(I$3-$O$2,$Q$2)/$Q$2))</f>
        <v>1982.73798716265</v>
      </c>
      <c r="J34" s="15" t="n">
        <f aca="false">I34*(1+IF(J$3&lt;=$O$2,$D34,$D34-($D34-$I$6)*MIN(J$3-$O$2,$Q$2)/$Q$2))</f>
        <v>2014.7871070535</v>
      </c>
      <c r="K34" s="15" t="n">
        <f aca="false">J34*(1+IF(K$3&lt;=$O$2,$D34,$D34-($D34-$I$6)*MIN(K$3-$O$2,$Q$2)/$Q$2))</f>
        <v>2051.80489960555</v>
      </c>
      <c r="L34" s="15" t="n">
        <f aca="false">K34*(1+IF(L$3&lt;=$O$2,$D34,$D34-($D34-$I$6)*MIN(L$3-$O$2,$Q$2)/$Q$2))</f>
        <v>2094.0352220742</v>
      </c>
      <c r="M34" s="15" t="n">
        <f aca="false">L34*(1+IF(M$3&lt;=$O$2,$D34,$D34-($D34-$I$6)*MIN(M$3-$O$2,$Q$2)/$Q$2))</f>
        <v>2141.76041659477</v>
      </c>
      <c r="N34" s="15" t="n">
        <f aca="false">M34*(1+IF(N$3&lt;=$O$2,$D34,$D34-($D34-$I$6)*MIN(N$3-$O$2,$Q$2)/$Q$2))</f>
        <v>2195.30442700964</v>
      </c>
      <c r="O34" s="15" t="n">
        <f aca="false">SUMPRODUCT(E34:N34,1/(1+$F$6)^$E$3:$N$3)*$E$2</f>
        <v>5202.46569276534</v>
      </c>
      <c r="P34" s="15" t="n">
        <f aca="false">N34*$E$2*(1+$I$6)/($F$6-$I$6)/(1+$F$6)^$N$3</f>
        <v>11360.2336110017</v>
      </c>
      <c r="Q34" s="15" t="n">
        <f aca="false">O34+P34</f>
        <v>16562.699303767</v>
      </c>
      <c r="R34" s="15" t="n">
        <f aca="false">Q34-$G$2+$I$2</f>
        <v>15009.999303767</v>
      </c>
      <c r="S34" s="40" t="n">
        <f aca="false">R34/$K$2</f>
        <v>54.504518333153</v>
      </c>
      <c r="T34" s="41" t="n">
        <f aca="false">S34-$M$2</f>
        <v>-2.52817098100877E-006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0.0139550901949406</v>
      </c>
      <c r="C35" s="25" t="n">
        <f aca="false">IF(T34&gt;0,D34,C34)</f>
        <v>0.0139551013708115</v>
      </c>
      <c r="D35" s="39" t="n">
        <f aca="false">(B35+C35)/2</f>
        <v>0.013955095782876</v>
      </c>
      <c r="E35" s="15" t="n">
        <f aca="false">$C$2*(1+IF(E$3&lt;=$O$2,$D35,$D35-($D35-$I$6)*MIN(E$3-$O$2,$Q$2)/$Q$2))</f>
        <v>1875.81692719832</v>
      </c>
      <c r="F35" s="15" t="n">
        <f aca="false">E35*(1+IF(F$3&lt;=$O$2,$D35,$D35-($D35-$I$6)*MIN(F$3-$O$2,$Q$2)/$Q$2))</f>
        <v>1901.99413208851</v>
      </c>
      <c r="G35" s="15" t="n">
        <f aca="false">F35*(1+IF(G$3&lt;=$O$2,$D35,$D35-($D35-$I$6)*MIN(G$3-$O$2,$Q$2)/$Q$2))</f>
        <v>1928.53664238028</v>
      </c>
      <c r="H35" s="15" t="n">
        <f aca="false">G35*(1+IF(H$3&lt;=$O$2,$D35,$D35-($D35-$I$6)*MIN(H$3-$O$2,$Q$2)/$Q$2))</f>
        <v>1955.44955594548</v>
      </c>
      <c r="I35" s="15" t="n">
        <f aca="false">H35*(1+IF(I$3&lt;=$O$2,$D35,$D35-($D35-$I$6)*MIN(I$3-$O$2,$Q$2)/$Q$2))</f>
        <v>1982.73804179728</v>
      </c>
      <c r="J35" s="15" t="n">
        <f aca="false">I35*(1+IF(J$3&lt;=$O$2,$D35,$D35-($D35-$I$6)*MIN(J$3-$O$2,$Q$2)/$Q$2))</f>
        <v>2014.78717143477</v>
      </c>
      <c r="K35" s="15" t="n">
        <f aca="false">J35*(1+IF(K$3&lt;=$O$2,$D35,$D35-($D35-$I$6)*MIN(K$3-$O$2,$Q$2)/$Q$2))</f>
        <v>2051.80497192481</v>
      </c>
      <c r="L35" s="15" t="n">
        <f aca="false">K35*(1+IF(L$3&lt;=$O$2,$D35,$D35-($D35-$I$6)*MIN(L$3-$O$2,$Q$2)/$Q$2))</f>
        <v>2094.03530046808</v>
      </c>
      <c r="M35" s="15" t="n">
        <f aca="false">L35*(1+IF(M$3&lt;=$O$2,$D35,$D35-($D35-$I$6)*MIN(M$3-$O$2,$Q$2)/$Q$2))</f>
        <v>2141.76049911559</v>
      </c>
      <c r="N35" s="15" t="n">
        <f aca="false">M35*(1+IF(N$3&lt;=$O$2,$D35,$D35-($D35-$I$6)*MIN(N$3-$O$2,$Q$2)/$Q$2))</f>
        <v>2195.30451159348</v>
      </c>
      <c r="O35" s="15" t="n">
        <f aca="false">SUMPRODUCT(E35:N35,1/(1+$F$6)^$E$3:$N$3)*$E$2</f>
        <v>5202.46582272065</v>
      </c>
      <c r="P35" s="15" t="n">
        <f aca="false">N35*$E$2*(1+$I$6)/($F$6-$I$6)/(1+$F$6)^$N$3</f>
        <v>11360.234048705</v>
      </c>
      <c r="Q35" s="15" t="n">
        <f aca="false">O35+P35</f>
        <v>16562.6998714257</v>
      </c>
      <c r="R35" s="15" t="n">
        <f aca="false">Q35-$G$2+$I$2</f>
        <v>15009.9998714257</v>
      </c>
      <c r="S35" s="40" t="n">
        <f aca="false">R35/$K$2</f>
        <v>54.5045203944431</v>
      </c>
      <c r="T35" s="41" t="n">
        <f aca="false">S35-$M$2</f>
        <v>-4.66880806015979E-007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0.013955095782876</v>
      </c>
      <c r="C36" s="25" t="n">
        <f aca="false">IF(T35&gt;0,D35,C35)</f>
        <v>0.0139551013708115</v>
      </c>
      <c r="D36" s="39" t="n">
        <f aca="false">(B36+C36)/2</f>
        <v>0.0139550985768437</v>
      </c>
      <c r="E36" s="15" t="n">
        <f aca="false">$C$2*(1+IF(E$3&lt;=$O$2,$D36,$D36-($D36-$I$6)*MIN(E$3-$O$2,$Q$2)/$Q$2))</f>
        <v>1875.81693236716</v>
      </c>
      <c r="F36" s="15" t="n">
        <f aca="false">E36*(1+IF(F$3&lt;=$O$2,$D36,$D36-($D36-$I$6)*MIN(F$3-$O$2,$Q$2)/$Q$2))</f>
        <v>1901.99414257046</v>
      </c>
      <c r="G36" s="15" t="n">
        <f aca="false">F36*(1+IF(G$3&lt;=$O$2,$D36,$D36-($D36-$I$6)*MIN(G$3-$O$2,$Q$2)/$Q$2))</f>
        <v>1928.53665832261</v>
      </c>
      <c r="H36" s="15" t="n">
        <f aca="false">G36*(1+IF(H$3&lt;=$O$2,$D36,$D36-($D36-$I$6)*MIN(H$3-$O$2,$Q$2)/$Q$2))</f>
        <v>1955.44957749856</v>
      </c>
      <c r="I36" s="15" t="n">
        <f aca="false">H36*(1+IF(I$3&lt;=$O$2,$D36,$D36-($D36-$I$6)*MIN(I$3-$O$2,$Q$2)/$Q$2))</f>
        <v>1982.7380691146</v>
      </c>
      <c r="J36" s="15" t="n">
        <f aca="false">I36*(1+IF(J$3&lt;=$O$2,$D36,$D36-($D36-$I$6)*MIN(J$3-$O$2,$Q$2)/$Q$2))</f>
        <v>2014.78720362541</v>
      </c>
      <c r="K36" s="15" t="n">
        <f aca="false">J36*(1+IF(K$3&lt;=$O$2,$D36,$D36-($D36-$I$6)*MIN(K$3-$O$2,$Q$2)/$Q$2))</f>
        <v>2051.80500808444</v>
      </c>
      <c r="L36" s="15" t="n">
        <f aca="false">K36*(1+IF(L$3&lt;=$O$2,$D36,$D36-($D36-$I$6)*MIN(L$3-$O$2,$Q$2)/$Q$2))</f>
        <v>2094.03533966502</v>
      </c>
      <c r="M36" s="15" t="n">
        <f aca="false">L36*(1+IF(M$3&lt;=$O$2,$D36,$D36-($D36-$I$6)*MIN(M$3-$O$2,$Q$2)/$Q$2))</f>
        <v>2141.760540376</v>
      </c>
      <c r="N36" s="15" t="n">
        <f aca="false">M36*(1+IF(N$3&lt;=$O$2,$D36,$D36-($D36-$I$6)*MIN(N$3-$O$2,$Q$2)/$Q$2))</f>
        <v>2195.3045538854</v>
      </c>
      <c r="O36" s="15" t="n">
        <f aca="false">SUMPRODUCT(E36:N36,1/(1+$F$6)^$E$3:$N$3)*$E$2</f>
        <v>5202.46588769831</v>
      </c>
      <c r="P36" s="15" t="n">
        <f aca="false">N36*$E$2*(1+$I$6)/($F$6-$I$6)/(1+$F$6)^$N$3</f>
        <v>11360.2342675567</v>
      </c>
      <c r="Q36" s="15" t="n">
        <f aca="false">O36+P36</f>
        <v>16562.7001552551</v>
      </c>
      <c r="R36" s="15" t="n">
        <f aca="false">Q36-$G$2+$I$2</f>
        <v>15010.0001552551</v>
      </c>
      <c r="S36" s="40" t="n">
        <f aca="false">R36/$K$2</f>
        <v>54.5045214250883</v>
      </c>
      <c r="T36" s="41" t="n">
        <f aca="false">S36-$M$2</f>
        <v>5.63764324112981E-007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0.013955095782876</v>
      </c>
      <c r="C37" s="25" t="n">
        <f aca="false">IF(T36&gt;0,D36,C36)</f>
        <v>0.0139550985768437</v>
      </c>
      <c r="D37" s="39" t="n">
        <f aca="false">(B37+C37)/2</f>
        <v>0.0139550971798599</v>
      </c>
      <c r="E37" s="15" t="n">
        <f aca="false">$C$2*(1+IF(E$3&lt;=$O$2,$D37,$D37-($D37-$I$6)*MIN(E$3-$O$2,$Q$2)/$Q$2))</f>
        <v>1875.81692978274</v>
      </c>
      <c r="F37" s="15" t="n">
        <f aca="false">E37*(1+IF(F$3&lt;=$O$2,$D37,$D37-($D37-$I$6)*MIN(F$3-$O$2,$Q$2)/$Q$2))</f>
        <v>1901.99413732949</v>
      </c>
      <c r="G37" s="15" t="n">
        <f aca="false">F37*(1+IF(G$3&lt;=$O$2,$D37,$D37-($D37-$I$6)*MIN(G$3-$O$2,$Q$2)/$Q$2))</f>
        <v>1928.53665035144</v>
      </c>
      <c r="H37" s="15" t="n">
        <f aca="false">G37*(1+IF(H$3&lt;=$O$2,$D37,$D37-($D37-$I$6)*MIN(H$3-$O$2,$Q$2)/$Q$2))</f>
        <v>1955.44956672202</v>
      </c>
      <c r="I37" s="15" t="n">
        <f aca="false">H37*(1+IF(I$3&lt;=$O$2,$D37,$D37-($D37-$I$6)*MIN(I$3-$O$2,$Q$2)/$Q$2))</f>
        <v>1982.73805545594</v>
      </c>
      <c r="J37" s="15" t="n">
        <f aca="false">I37*(1+IF(J$3&lt;=$O$2,$D37,$D37-($D37-$I$6)*MIN(J$3-$O$2,$Q$2)/$Q$2))</f>
        <v>2014.78718753009</v>
      </c>
      <c r="K37" s="15" t="n">
        <f aca="false">J37*(1+IF(K$3&lt;=$O$2,$D37,$D37-($D37-$I$6)*MIN(K$3-$O$2,$Q$2)/$Q$2))</f>
        <v>2051.80499000463</v>
      </c>
      <c r="L37" s="15" t="n">
        <f aca="false">K37*(1+IF(L$3&lt;=$O$2,$D37,$D37-($D37-$I$6)*MIN(L$3-$O$2,$Q$2)/$Q$2))</f>
        <v>2094.03532006655</v>
      </c>
      <c r="M37" s="15" t="n">
        <f aca="false">L37*(1+IF(M$3&lt;=$O$2,$D37,$D37-($D37-$I$6)*MIN(M$3-$O$2,$Q$2)/$Q$2))</f>
        <v>2141.7605197458</v>
      </c>
      <c r="N37" s="15" t="n">
        <f aca="false">M37*(1+IF(N$3&lt;=$O$2,$D37,$D37-($D37-$I$6)*MIN(N$3-$O$2,$Q$2)/$Q$2))</f>
        <v>2195.30453273944</v>
      </c>
      <c r="O37" s="15" t="n">
        <f aca="false">SUMPRODUCT(E37:N37,1/(1+$F$6)^$E$3:$N$3)*$E$2</f>
        <v>5202.46585520948</v>
      </c>
      <c r="P37" s="15" t="n">
        <f aca="false">N37*$E$2*(1+$I$6)/($F$6-$I$6)/(1+$F$6)^$N$3</f>
        <v>11360.2341581309</v>
      </c>
      <c r="Q37" s="15" t="n">
        <f aca="false">O37+P37</f>
        <v>16562.7000133404</v>
      </c>
      <c r="R37" s="15" t="n">
        <f aca="false">Q37-$G$2+$I$2</f>
        <v>15010.0000133404</v>
      </c>
      <c r="S37" s="40" t="n">
        <f aca="false">R37/$K$2</f>
        <v>54.5045209097657</v>
      </c>
      <c r="T37" s="41" t="n">
        <f aca="false">S37-$M$2</f>
        <v>4.84417554957872E-008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0.013955095782876</v>
      </c>
      <c r="C38" s="25" t="n">
        <f aca="false">IF(T37&gt;0,D37,C37)</f>
        <v>0.0139550971798599</v>
      </c>
      <c r="D38" s="39" t="n">
        <f aca="false">(B38+C38)/2</f>
        <v>0.0139550964813679</v>
      </c>
      <c r="E38" s="15" t="n">
        <f aca="false">$C$2*(1+IF(E$3&lt;=$O$2,$D38,$D38-($D38-$I$6)*MIN(E$3-$O$2,$Q$2)/$Q$2))</f>
        <v>1875.81692849053</v>
      </c>
      <c r="F38" s="15" t="n">
        <f aca="false">E38*(1+IF(F$3&lt;=$O$2,$D38,$D38-($D38-$I$6)*MIN(F$3-$O$2,$Q$2)/$Q$2))</f>
        <v>1901.994134709</v>
      </c>
      <c r="G38" s="15" t="n">
        <f aca="false">F38*(1+IF(G$3&lt;=$O$2,$D38,$D38-($D38-$I$6)*MIN(G$3-$O$2,$Q$2)/$Q$2))</f>
        <v>1928.53664636586</v>
      </c>
      <c r="H38" s="15" t="n">
        <f aca="false">G38*(1+IF(H$3&lt;=$O$2,$D38,$D38-($D38-$I$6)*MIN(H$3-$O$2,$Q$2)/$Q$2))</f>
        <v>1955.44956133375</v>
      </c>
      <c r="I38" s="15" t="n">
        <f aca="false">H38*(1+IF(I$3&lt;=$O$2,$D38,$D38-($D38-$I$6)*MIN(I$3-$O$2,$Q$2)/$Q$2))</f>
        <v>1982.73804862661</v>
      </c>
      <c r="J38" s="15" t="n">
        <f aca="false">I38*(1+IF(J$3&lt;=$O$2,$D38,$D38-($D38-$I$6)*MIN(J$3-$O$2,$Q$2)/$Q$2))</f>
        <v>2014.78717948243</v>
      </c>
      <c r="K38" s="15" t="n">
        <f aca="false">J38*(1+IF(K$3&lt;=$O$2,$D38,$D38-($D38-$I$6)*MIN(K$3-$O$2,$Q$2)/$Q$2))</f>
        <v>2051.80498096472</v>
      </c>
      <c r="L38" s="15" t="n">
        <f aca="false">K38*(1+IF(L$3&lt;=$O$2,$D38,$D38-($D38-$I$6)*MIN(L$3-$O$2,$Q$2)/$Q$2))</f>
        <v>2094.03531026732</v>
      </c>
      <c r="M38" s="15" t="n">
        <f aca="false">L38*(1+IF(M$3&lt;=$O$2,$D38,$D38-($D38-$I$6)*MIN(M$3-$O$2,$Q$2)/$Q$2))</f>
        <v>2141.7605094307</v>
      </c>
      <c r="N38" s="15" t="n">
        <f aca="false">M38*(1+IF(N$3&lt;=$O$2,$D38,$D38-($D38-$I$6)*MIN(N$3-$O$2,$Q$2)/$Q$2))</f>
        <v>2195.30452216646</v>
      </c>
      <c r="O38" s="15" t="n">
        <f aca="false">SUMPRODUCT(E38:N38,1/(1+$F$6)^$E$3:$N$3)*$E$2</f>
        <v>5202.46583896507</v>
      </c>
      <c r="P38" s="15" t="n">
        <f aca="false">N38*$E$2*(1+$I$6)/($F$6-$I$6)/(1+$F$6)^$N$3</f>
        <v>11360.234103418</v>
      </c>
      <c r="Q38" s="15" t="n">
        <f aca="false">O38+P38</f>
        <v>16562.699942383</v>
      </c>
      <c r="R38" s="15" t="n">
        <f aca="false">Q38-$G$2+$I$2</f>
        <v>15009.999942383</v>
      </c>
      <c r="S38" s="40" t="n">
        <f aca="false">R38/$K$2</f>
        <v>54.5045206521044</v>
      </c>
      <c r="T38" s="41" t="n">
        <f aca="false">S38-$M$2</f>
        <v>-2.092195003911E-007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0.0139550964813679</v>
      </c>
      <c r="C39" s="25" t="n">
        <f aca="false">IF(T38&gt;0,D38,C38)</f>
        <v>0.0139550971798599</v>
      </c>
      <c r="D39" s="39" t="n">
        <f aca="false">(B39+C39)/2</f>
        <v>0.0139550968306139</v>
      </c>
      <c r="E39" s="15" t="n">
        <f aca="false">$C$2*(1+IF(E$3&lt;=$O$2,$D39,$D39-($D39-$I$6)*MIN(E$3-$O$2,$Q$2)/$Q$2))</f>
        <v>1875.81692913664</v>
      </c>
      <c r="F39" s="15" t="n">
        <f aca="false">E39*(1+IF(F$3&lt;=$O$2,$D39,$D39-($D39-$I$6)*MIN(F$3-$O$2,$Q$2)/$Q$2))</f>
        <v>1901.99413601924</v>
      </c>
      <c r="G39" s="15" t="n">
        <f aca="false">F39*(1+IF(G$3&lt;=$O$2,$D39,$D39-($D39-$I$6)*MIN(G$3-$O$2,$Q$2)/$Q$2))</f>
        <v>1928.53664835865</v>
      </c>
      <c r="H39" s="15" t="n">
        <f aca="false">G39*(1+IF(H$3&lt;=$O$2,$D39,$D39-($D39-$I$6)*MIN(H$3-$O$2,$Q$2)/$Q$2))</f>
        <v>1955.44956402788</v>
      </c>
      <c r="I39" s="15" t="n">
        <f aca="false">H39*(1+IF(I$3&lt;=$O$2,$D39,$D39-($D39-$I$6)*MIN(I$3-$O$2,$Q$2)/$Q$2))</f>
        <v>1982.73805204127</v>
      </c>
      <c r="J39" s="15" t="n">
        <f aca="false">I39*(1+IF(J$3&lt;=$O$2,$D39,$D39-($D39-$I$6)*MIN(J$3-$O$2,$Q$2)/$Q$2))</f>
        <v>2014.78718350626</v>
      </c>
      <c r="K39" s="15" t="n">
        <f aca="false">J39*(1+IF(K$3&lt;=$O$2,$D39,$D39-($D39-$I$6)*MIN(K$3-$O$2,$Q$2)/$Q$2))</f>
        <v>2051.80498548467</v>
      </c>
      <c r="L39" s="15" t="n">
        <f aca="false">K39*(1+IF(L$3&lt;=$O$2,$D39,$D39-($D39-$I$6)*MIN(L$3-$O$2,$Q$2)/$Q$2))</f>
        <v>2094.03531516693</v>
      </c>
      <c r="M39" s="15" t="n">
        <f aca="false">L39*(1+IF(M$3&lt;=$O$2,$D39,$D39-($D39-$I$6)*MIN(M$3-$O$2,$Q$2)/$Q$2))</f>
        <v>2141.76051458825</v>
      </c>
      <c r="N39" s="15" t="n">
        <f aca="false">M39*(1+IF(N$3&lt;=$O$2,$D39,$D39-($D39-$I$6)*MIN(N$3-$O$2,$Q$2)/$Q$2))</f>
        <v>2195.30452745295</v>
      </c>
      <c r="O39" s="15" t="n">
        <f aca="false">SUMPRODUCT(E39:N39,1/(1+$F$6)^$E$3:$N$3)*$E$2</f>
        <v>5202.46584708728</v>
      </c>
      <c r="P39" s="15" t="n">
        <f aca="false">N39*$E$2*(1+$I$6)/($F$6-$I$6)/(1+$F$6)^$N$3</f>
        <v>11360.2341307744</v>
      </c>
      <c r="Q39" s="15" t="n">
        <f aca="false">O39+P39</f>
        <v>16562.6999778617</v>
      </c>
      <c r="R39" s="15" t="n">
        <f aca="false">Q39-$G$2+$I$2</f>
        <v>15009.9999778617</v>
      </c>
      <c r="S39" s="40" t="n">
        <f aca="false">R39/$K$2</f>
        <v>54.5045207809351</v>
      </c>
      <c r="T39" s="41" t="n">
        <f aca="false">S39-$M$2</f>
        <v>-8.03888795530838E-008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0.0139550968306139</v>
      </c>
      <c r="C40" s="25" t="n">
        <f aca="false">IF(T39&gt;0,D39,C39)</f>
        <v>0.0139550971798599</v>
      </c>
      <c r="D40" s="39" t="n">
        <f aca="false">(B40+C40)/2</f>
        <v>0.0139550970052369</v>
      </c>
      <c r="E40" s="15" t="n">
        <f aca="false">$C$2*(1+IF(E$3&lt;=$O$2,$D40,$D40-($D40-$I$6)*MIN(E$3-$O$2,$Q$2)/$Q$2))</f>
        <v>1875.81692945969</v>
      </c>
      <c r="F40" s="15" t="n">
        <f aca="false">E40*(1+IF(F$3&lt;=$O$2,$D40,$D40-($D40-$I$6)*MIN(F$3-$O$2,$Q$2)/$Q$2))</f>
        <v>1901.99413667436</v>
      </c>
      <c r="G40" s="15" t="n">
        <f aca="false">F40*(1+IF(G$3&lt;=$O$2,$D40,$D40-($D40-$I$6)*MIN(G$3-$O$2,$Q$2)/$Q$2))</f>
        <v>1928.53664935505</v>
      </c>
      <c r="H40" s="15" t="n">
        <f aca="false">G40*(1+IF(H$3&lt;=$O$2,$D40,$D40-($D40-$I$6)*MIN(H$3-$O$2,$Q$2)/$Q$2))</f>
        <v>1955.44956537495</v>
      </c>
      <c r="I40" s="15" t="n">
        <f aca="false">H40*(1+IF(I$3&lt;=$O$2,$D40,$D40-($D40-$I$6)*MIN(I$3-$O$2,$Q$2)/$Q$2))</f>
        <v>1982.73805374861</v>
      </c>
      <c r="J40" s="15" t="n">
        <f aca="false">I40*(1+IF(J$3&lt;=$O$2,$D40,$D40-($D40-$I$6)*MIN(J$3-$O$2,$Q$2)/$Q$2))</f>
        <v>2014.78718551818</v>
      </c>
      <c r="K40" s="15" t="n">
        <f aca="false">J40*(1+IF(K$3&lt;=$O$2,$D40,$D40-($D40-$I$6)*MIN(K$3-$O$2,$Q$2)/$Q$2))</f>
        <v>2051.80498774465</v>
      </c>
      <c r="L40" s="15" t="n">
        <f aca="false">K40*(1+IF(L$3&lt;=$O$2,$D40,$D40-($D40-$I$6)*MIN(L$3-$O$2,$Q$2)/$Q$2))</f>
        <v>2094.03531761674</v>
      </c>
      <c r="M40" s="15" t="n">
        <f aca="false">L40*(1+IF(M$3&lt;=$O$2,$D40,$D40-($D40-$I$6)*MIN(M$3-$O$2,$Q$2)/$Q$2))</f>
        <v>2141.76051716702</v>
      </c>
      <c r="N40" s="15" t="n">
        <f aca="false">M40*(1+IF(N$3&lt;=$O$2,$D40,$D40-($D40-$I$6)*MIN(N$3-$O$2,$Q$2)/$Q$2))</f>
        <v>2195.3045300962</v>
      </c>
      <c r="O40" s="15" t="n">
        <f aca="false">SUMPRODUCT(E40:N40,1/(1+$F$6)^$E$3:$N$3)*$E$2</f>
        <v>5202.46585114838</v>
      </c>
      <c r="P40" s="15" t="n">
        <f aca="false">N40*$E$2*(1+$I$6)/($F$6-$I$6)/(1+$F$6)^$N$3</f>
        <v>11360.2341444527</v>
      </c>
      <c r="Q40" s="15" t="n">
        <f aca="false">O40+P40</f>
        <v>16562.699995601</v>
      </c>
      <c r="R40" s="15" t="n">
        <f aca="false">Q40-$G$2+$I$2</f>
        <v>15009.999995601</v>
      </c>
      <c r="S40" s="40" t="n">
        <f aca="false">R40/$K$2</f>
        <v>54.5045208453504</v>
      </c>
      <c r="T40" s="41" t="n">
        <f aca="false">S40-$M$2</f>
        <v>-1.59735478177936E-008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0.0139550970052369</v>
      </c>
      <c r="C41" s="25" t="n">
        <f aca="false">IF(T40&gt;0,D40,C40)</f>
        <v>0.0139550971798599</v>
      </c>
      <c r="D41" s="39" t="n">
        <f aca="false">(B41+C41)/2</f>
        <v>0.0139550970925484</v>
      </c>
      <c r="E41" s="15" t="n">
        <f aca="false">$C$2*(1+IF(E$3&lt;=$O$2,$D41,$D41-($D41-$I$6)*MIN(E$3-$O$2,$Q$2)/$Q$2))</f>
        <v>1875.81692962121</v>
      </c>
      <c r="F41" s="15" t="n">
        <f aca="false">E41*(1+IF(F$3&lt;=$O$2,$D41,$D41-($D41-$I$6)*MIN(F$3-$O$2,$Q$2)/$Q$2))</f>
        <v>1901.99413700192</v>
      </c>
      <c r="G41" s="15" t="n">
        <f aca="false">F41*(1+IF(G$3&lt;=$O$2,$D41,$D41-($D41-$I$6)*MIN(G$3-$O$2,$Q$2)/$Q$2))</f>
        <v>1928.53664985324</v>
      </c>
      <c r="H41" s="15" t="n">
        <f aca="false">G41*(1+IF(H$3&lt;=$O$2,$D41,$D41-($D41-$I$6)*MIN(H$3-$O$2,$Q$2)/$Q$2))</f>
        <v>1955.44956604848</v>
      </c>
      <c r="I41" s="15" t="n">
        <f aca="false">H41*(1+IF(I$3&lt;=$O$2,$D41,$D41-($D41-$I$6)*MIN(I$3-$O$2,$Q$2)/$Q$2))</f>
        <v>1982.73805460227</v>
      </c>
      <c r="J41" s="15" t="n">
        <f aca="false">I41*(1+IF(J$3&lt;=$O$2,$D41,$D41-($D41-$I$6)*MIN(J$3-$O$2,$Q$2)/$Q$2))</f>
        <v>2014.78718652414</v>
      </c>
      <c r="K41" s="15" t="n">
        <f aca="false">J41*(1+IF(K$3&lt;=$O$2,$D41,$D41-($D41-$I$6)*MIN(K$3-$O$2,$Q$2)/$Q$2))</f>
        <v>2051.80498887464</v>
      </c>
      <c r="L41" s="15" t="n">
        <f aca="false">K41*(1+IF(L$3&lt;=$O$2,$D41,$D41-($D41-$I$6)*MIN(L$3-$O$2,$Q$2)/$Q$2))</f>
        <v>2094.03531884164</v>
      </c>
      <c r="M41" s="15" t="n">
        <f aca="false">L41*(1+IF(M$3&lt;=$O$2,$D41,$D41-($D41-$I$6)*MIN(M$3-$O$2,$Q$2)/$Q$2))</f>
        <v>2141.76051845641</v>
      </c>
      <c r="N41" s="15" t="n">
        <f aca="false">M41*(1+IF(N$3&lt;=$O$2,$D41,$D41-($D41-$I$6)*MIN(N$3-$O$2,$Q$2)/$Q$2))</f>
        <v>2195.30453141782</v>
      </c>
      <c r="O41" s="15" t="n">
        <f aca="false">SUMPRODUCT(E41:N41,1/(1+$F$6)^$E$3:$N$3)*$E$2</f>
        <v>5202.46585317893</v>
      </c>
      <c r="P41" s="15" t="n">
        <f aca="false">N41*$E$2*(1+$I$6)/($F$6-$I$6)/(1+$F$6)^$N$3</f>
        <v>11360.2341512918</v>
      </c>
      <c r="Q41" s="15" t="n">
        <f aca="false">O41+P41</f>
        <v>16562.7000044707</v>
      </c>
      <c r="R41" s="15" t="n">
        <f aca="false">Q41-$G$2+$I$2</f>
        <v>15010.0000044707</v>
      </c>
      <c r="S41" s="40" t="n">
        <f aca="false">R41/$K$2</f>
        <v>54.504520877558</v>
      </c>
      <c r="T41" s="41" t="n">
        <f aca="false">S41-$M$2</f>
        <v>1.62341038389968E-008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0.0139550970052369</v>
      </c>
      <c r="C42" s="25" t="n">
        <f aca="false">IF(T41&gt;0,D41,C41)</f>
        <v>0.0139550970925484</v>
      </c>
      <c r="D42" s="39" t="n">
        <f aca="false">(B42+C42)/2</f>
        <v>0.0139550970488926</v>
      </c>
      <c r="E42" s="15" t="n">
        <f aca="false">$C$2*(1+IF(E$3&lt;=$O$2,$D42,$D42-($D42-$I$6)*MIN(E$3-$O$2,$Q$2)/$Q$2))</f>
        <v>1875.81692954045</v>
      </c>
      <c r="F42" s="15" t="n">
        <f aca="false">E42*(1+IF(F$3&lt;=$O$2,$D42,$D42-($D42-$I$6)*MIN(F$3-$O$2,$Q$2)/$Q$2))</f>
        <v>1901.99413683814</v>
      </c>
      <c r="G42" s="15" t="n">
        <f aca="false">F42*(1+IF(G$3&lt;=$O$2,$D42,$D42-($D42-$I$6)*MIN(G$3-$O$2,$Q$2)/$Q$2))</f>
        <v>1928.53664960415</v>
      </c>
      <c r="H42" s="15" t="n">
        <f aca="false">G42*(1+IF(H$3&lt;=$O$2,$D42,$D42-($D42-$I$6)*MIN(H$3-$O$2,$Q$2)/$Q$2))</f>
        <v>1955.44956571172</v>
      </c>
      <c r="I42" s="15" t="n">
        <f aca="false">H42*(1+IF(I$3&lt;=$O$2,$D42,$D42-($D42-$I$6)*MIN(I$3-$O$2,$Q$2)/$Q$2))</f>
        <v>1982.73805417544</v>
      </c>
      <c r="J42" s="15" t="n">
        <f aca="false">I42*(1+IF(J$3&lt;=$O$2,$D42,$D42-($D42-$I$6)*MIN(J$3-$O$2,$Q$2)/$Q$2))</f>
        <v>2014.78718602116</v>
      </c>
      <c r="K42" s="15" t="n">
        <f aca="false">J42*(1+IF(K$3&lt;=$O$2,$D42,$D42-($D42-$I$6)*MIN(K$3-$O$2,$Q$2)/$Q$2))</f>
        <v>2051.80498830964</v>
      </c>
      <c r="L42" s="15" t="n">
        <f aca="false">K42*(1+IF(L$3&lt;=$O$2,$D42,$D42-($D42-$I$6)*MIN(L$3-$O$2,$Q$2)/$Q$2))</f>
        <v>2094.03531822919</v>
      </c>
      <c r="M42" s="15" t="n">
        <f aca="false">L42*(1+IF(M$3&lt;=$O$2,$D42,$D42-($D42-$I$6)*MIN(M$3-$O$2,$Q$2)/$Q$2))</f>
        <v>2141.76051781172</v>
      </c>
      <c r="N42" s="15" t="n">
        <f aca="false">M42*(1+IF(N$3&lt;=$O$2,$D42,$D42-($D42-$I$6)*MIN(N$3-$O$2,$Q$2)/$Q$2))</f>
        <v>2195.30453075701</v>
      </c>
      <c r="O42" s="15" t="n">
        <f aca="false">SUMPRODUCT(E42:N42,1/(1+$F$6)^$E$3:$N$3)*$E$2</f>
        <v>5202.46585216365</v>
      </c>
      <c r="P42" s="15" t="n">
        <f aca="false">N42*$E$2*(1+$I$6)/($F$6-$I$6)/(1+$F$6)^$N$3</f>
        <v>11360.2341478722</v>
      </c>
      <c r="Q42" s="15" t="n">
        <f aca="false">O42+P42</f>
        <v>16562.7000000359</v>
      </c>
      <c r="R42" s="15" t="n">
        <f aca="false">Q42-$G$2+$I$2</f>
        <v>15010.0000000359</v>
      </c>
      <c r="S42" s="40" t="n">
        <f aca="false">R42/$K$2</f>
        <v>54.5045208614542</v>
      </c>
      <c r="T42" s="41" t="n">
        <f aca="false">S42-$M$2</f>
        <v>1.30242483464826E-010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0.0139550970052369</v>
      </c>
      <c r="C43" s="25" t="n">
        <f aca="false">IF(T42&gt;0,D42,C42)</f>
        <v>0.0139550970488926</v>
      </c>
      <c r="D43" s="39" t="n">
        <f aca="false">(B43+C43)/2</f>
        <v>0.0139550970270648</v>
      </c>
      <c r="E43" s="15" t="n">
        <f aca="false">$C$2*(1+IF(E$3&lt;=$O$2,$D43,$D43-($D43-$I$6)*MIN(E$3-$O$2,$Q$2)/$Q$2))</f>
        <v>1875.81692950007</v>
      </c>
      <c r="F43" s="15" t="n">
        <f aca="false">E43*(1+IF(F$3&lt;=$O$2,$D43,$D43-($D43-$I$6)*MIN(F$3-$O$2,$Q$2)/$Q$2))</f>
        <v>1901.99413675625</v>
      </c>
      <c r="G43" s="15" t="n">
        <f aca="false">F43*(1+IF(G$3&lt;=$O$2,$D43,$D43-($D43-$I$6)*MIN(G$3-$O$2,$Q$2)/$Q$2))</f>
        <v>1928.5366494796</v>
      </c>
      <c r="H43" s="15" t="n">
        <f aca="false">G43*(1+IF(H$3&lt;=$O$2,$D43,$D43-($D43-$I$6)*MIN(H$3-$O$2,$Q$2)/$Q$2))</f>
        <v>1955.44956554333</v>
      </c>
      <c r="I43" s="15" t="n">
        <f aca="false">H43*(1+IF(I$3&lt;=$O$2,$D43,$D43-($D43-$I$6)*MIN(I$3-$O$2,$Q$2)/$Q$2))</f>
        <v>1982.73805396202</v>
      </c>
      <c r="J43" s="15" t="n">
        <f aca="false">I43*(1+IF(J$3&lt;=$O$2,$D43,$D43-($D43-$I$6)*MIN(J$3-$O$2,$Q$2)/$Q$2))</f>
        <v>2014.78718576967</v>
      </c>
      <c r="K43" s="15" t="n">
        <f aca="false">J43*(1+IF(K$3&lt;=$O$2,$D43,$D43-($D43-$I$6)*MIN(K$3-$O$2,$Q$2)/$Q$2))</f>
        <v>2051.80498802715</v>
      </c>
      <c r="L43" s="15" t="n">
        <f aca="false">K43*(1+IF(L$3&lt;=$O$2,$D43,$D43-($D43-$I$6)*MIN(L$3-$O$2,$Q$2)/$Q$2))</f>
        <v>2094.03531792297</v>
      </c>
      <c r="M43" s="15" t="n">
        <f aca="false">L43*(1+IF(M$3&lt;=$O$2,$D43,$D43-($D43-$I$6)*MIN(M$3-$O$2,$Q$2)/$Q$2))</f>
        <v>2141.76051748937</v>
      </c>
      <c r="N43" s="15" t="n">
        <f aca="false">M43*(1+IF(N$3&lt;=$O$2,$D43,$D43-($D43-$I$6)*MIN(N$3-$O$2,$Q$2)/$Q$2))</f>
        <v>2195.3045304266</v>
      </c>
      <c r="O43" s="15" t="n">
        <f aca="false">SUMPRODUCT(E43:N43,1/(1+$F$6)^$E$3:$N$3)*$E$2</f>
        <v>5202.46585165602</v>
      </c>
      <c r="P43" s="15" t="n">
        <f aca="false">N43*$E$2*(1+$I$6)/($F$6-$I$6)/(1+$F$6)^$N$3</f>
        <v>11360.2341461624</v>
      </c>
      <c r="Q43" s="15" t="n">
        <f aca="false">O43+P43</f>
        <v>16562.6999978185</v>
      </c>
      <c r="R43" s="15" t="n">
        <f aca="false">Q43-$G$2+$I$2</f>
        <v>15009.9999978185</v>
      </c>
      <c r="S43" s="40" t="n">
        <f aca="false">R43/$K$2</f>
        <v>54.5045208534023</v>
      </c>
      <c r="T43" s="41" t="n">
        <f aca="false">S43-$M$2</f>
        <v>-7.9216491144507E-009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0.0139550970270648</v>
      </c>
      <c r="C44" s="25" t="n">
        <f aca="false">IF(T43&gt;0,D43,C43)</f>
        <v>0.0139550970488926</v>
      </c>
      <c r="D44" s="39" t="n">
        <f aca="false">(B44+C44)/2</f>
        <v>0.0139550970379787</v>
      </c>
      <c r="E44" s="15" t="n">
        <f aca="false">$C$2*(1+IF(E$3&lt;=$O$2,$D44,$D44-($D44-$I$6)*MIN(E$3-$O$2,$Q$2)/$Q$2))</f>
        <v>1875.81692952026</v>
      </c>
      <c r="F44" s="15" t="n">
        <f aca="false">E44*(1+IF(F$3&lt;=$O$2,$D44,$D44-($D44-$I$6)*MIN(F$3-$O$2,$Q$2)/$Q$2))</f>
        <v>1901.9941367972</v>
      </c>
      <c r="G44" s="15" t="n">
        <f aca="false">F44*(1+IF(G$3&lt;=$O$2,$D44,$D44-($D44-$I$6)*MIN(G$3-$O$2,$Q$2)/$Q$2))</f>
        <v>1928.53664954187</v>
      </c>
      <c r="H44" s="15" t="n">
        <f aca="false">G44*(1+IF(H$3&lt;=$O$2,$D44,$D44-($D44-$I$6)*MIN(H$3-$O$2,$Q$2)/$Q$2))</f>
        <v>1955.44956562753</v>
      </c>
      <c r="I44" s="15" t="n">
        <f aca="false">H44*(1+IF(I$3&lt;=$O$2,$D44,$D44-($D44-$I$6)*MIN(I$3-$O$2,$Q$2)/$Q$2))</f>
        <v>1982.73805406873</v>
      </c>
      <c r="J44" s="15" t="n">
        <f aca="false">I44*(1+IF(J$3&lt;=$O$2,$D44,$D44-($D44-$I$6)*MIN(J$3-$O$2,$Q$2)/$Q$2))</f>
        <v>2014.78718589541</v>
      </c>
      <c r="K44" s="15" t="n">
        <f aca="false">J44*(1+IF(K$3&lt;=$O$2,$D44,$D44-($D44-$I$6)*MIN(K$3-$O$2,$Q$2)/$Q$2))</f>
        <v>2051.80498816839</v>
      </c>
      <c r="L44" s="15" t="n">
        <f aca="false">K44*(1+IF(L$3&lt;=$O$2,$D44,$D44-($D44-$I$6)*MIN(L$3-$O$2,$Q$2)/$Q$2))</f>
        <v>2094.03531807608</v>
      </c>
      <c r="M44" s="15" t="n">
        <f aca="false">L44*(1+IF(M$3&lt;=$O$2,$D44,$D44-($D44-$I$6)*MIN(M$3-$O$2,$Q$2)/$Q$2))</f>
        <v>2141.76051765054</v>
      </c>
      <c r="N44" s="15" t="n">
        <f aca="false">M44*(1+IF(N$3&lt;=$O$2,$D44,$D44-($D44-$I$6)*MIN(N$3-$O$2,$Q$2)/$Q$2))</f>
        <v>2195.30453059181</v>
      </c>
      <c r="O44" s="15" t="n">
        <f aca="false">SUMPRODUCT(E44:N44,1/(1+$F$6)^$E$3:$N$3)*$E$2</f>
        <v>5202.46585190984</v>
      </c>
      <c r="P44" s="15" t="n">
        <f aca="false">N44*$E$2*(1+$I$6)/($F$6-$I$6)/(1+$F$6)^$N$3</f>
        <v>11360.2341470173</v>
      </c>
      <c r="Q44" s="15" t="n">
        <f aca="false">O44+P44</f>
        <v>16562.6999989272</v>
      </c>
      <c r="R44" s="15" t="n">
        <f aca="false">Q44-$G$2+$I$2</f>
        <v>15009.9999989272</v>
      </c>
      <c r="S44" s="40" t="n">
        <f aca="false">R44/$K$2</f>
        <v>54.5045208574283</v>
      </c>
      <c r="T44" s="41" t="n">
        <f aca="false">S44-$M$2</f>
        <v>-3.8956926573519E-009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0.0139550970379787</v>
      </c>
      <c r="C45" s="25" t="n">
        <f aca="false">IF(T44&gt;0,D44,C44)</f>
        <v>0.0139550970488926</v>
      </c>
      <c r="D45" s="39" t="n">
        <f aca="false">(B45+C45)/2</f>
        <v>0.0139550970434357</v>
      </c>
      <c r="E45" s="15" t="n">
        <f aca="false">$C$2*(1+IF(E$3&lt;=$O$2,$D45,$D45-($D45-$I$6)*MIN(E$3-$O$2,$Q$2)/$Q$2))</f>
        <v>1875.81692953036</v>
      </c>
      <c r="F45" s="15" t="n">
        <f aca="false">E45*(1+IF(F$3&lt;=$O$2,$D45,$D45-($D45-$I$6)*MIN(F$3-$O$2,$Q$2)/$Q$2))</f>
        <v>1901.99413681767</v>
      </c>
      <c r="G45" s="15" t="n">
        <f aca="false">F45*(1+IF(G$3&lt;=$O$2,$D45,$D45-($D45-$I$6)*MIN(G$3-$O$2,$Q$2)/$Q$2))</f>
        <v>1928.53664957301</v>
      </c>
      <c r="H45" s="15" t="n">
        <f aca="false">G45*(1+IF(H$3&lt;=$O$2,$D45,$D45-($D45-$I$6)*MIN(H$3-$O$2,$Q$2)/$Q$2))</f>
        <v>1955.44956566962</v>
      </c>
      <c r="I45" s="15" t="n">
        <f aca="false">H45*(1+IF(I$3&lt;=$O$2,$D45,$D45-($D45-$I$6)*MIN(I$3-$O$2,$Q$2)/$Q$2))</f>
        <v>1982.73805412209</v>
      </c>
      <c r="J45" s="15" t="n">
        <f aca="false">I45*(1+IF(J$3&lt;=$O$2,$D45,$D45-($D45-$I$6)*MIN(J$3-$O$2,$Q$2)/$Q$2))</f>
        <v>2014.78718595828</v>
      </c>
      <c r="K45" s="15" t="n">
        <f aca="false">J45*(1+IF(K$3&lt;=$O$2,$D45,$D45-($D45-$I$6)*MIN(K$3-$O$2,$Q$2)/$Q$2))</f>
        <v>2051.80498823902</v>
      </c>
      <c r="L45" s="15" t="n">
        <f aca="false">K45*(1+IF(L$3&lt;=$O$2,$D45,$D45-($D45-$I$6)*MIN(L$3-$O$2,$Q$2)/$Q$2))</f>
        <v>2094.03531815264</v>
      </c>
      <c r="M45" s="15" t="n">
        <f aca="false">L45*(1+IF(M$3&lt;=$O$2,$D45,$D45-($D45-$I$6)*MIN(M$3-$O$2,$Q$2)/$Q$2))</f>
        <v>2141.76051773113</v>
      </c>
      <c r="N45" s="15" t="n">
        <f aca="false">M45*(1+IF(N$3&lt;=$O$2,$D45,$D45-($D45-$I$6)*MIN(N$3-$O$2,$Q$2)/$Q$2))</f>
        <v>2195.30453067441</v>
      </c>
      <c r="O45" s="15" t="n">
        <f aca="false">SUMPRODUCT(E45:N45,1/(1+$F$6)^$E$3:$N$3)*$E$2</f>
        <v>5202.46585203675</v>
      </c>
      <c r="P45" s="15" t="n">
        <f aca="false">N45*$E$2*(1+$I$6)/($F$6-$I$6)/(1+$F$6)^$N$3</f>
        <v>11360.2341474448</v>
      </c>
      <c r="Q45" s="15" t="n">
        <f aca="false">O45+P45</f>
        <v>16562.6999994815</v>
      </c>
      <c r="R45" s="15" t="n">
        <f aca="false">Q45-$G$2+$I$2</f>
        <v>15009.9999994815</v>
      </c>
      <c r="S45" s="40" t="n">
        <f aca="false">R45/$K$2</f>
        <v>54.5045208594412</v>
      </c>
      <c r="T45" s="41" t="n">
        <f aca="false">S45-$M$2</f>
        <v>-1.88269666523411E-009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0.0139550970434357</v>
      </c>
      <c r="C46" s="25" t="n">
        <f aca="false">IF(T45&gt;0,D45,C45)</f>
        <v>0.0139550970488926</v>
      </c>
      <c r="D46" s="39" t="n">
        <f aca="false">(B46+C46)/2</f>
        <v>0.0139550970461642</v>
      </c>
      <c r="E46" s="15" t="n">
        <f aca="false">$C$2*(1+IF(E$3&lt;=$O$2,$D46,$D46-($D46-$I$6)*MIN(E$3-$O$2,$Q$2)/$Q$2))</f>
        <v>1875.8169295354</v>
      </c>
      <c r="F46" s="15" t="n">
        <f aca="false">E46*(1+IF(F$3&lt;=$O$2,$D46,$D46-($D46-$I$6)*MIN(F$3-$O$2,$Q$2)/$Q$2))</f>
        <v>1901.99413682791</v>
      </c>
      <c r="G46" s="15" t="n">
        <f aca="false">F46*(1+IF(G$3&lt;=$O$2,$D46,$D46-($D46-$I$6)*MIN(G$3-$O$2,$Q$2)/$Q$2))</f>
        <v>1928.53664958858</v>
      </c>
      <c r="H46" s="15" t="n">
        <f aca="false">G46*(1+IF(H$3&lt;=$O$2,$D46,$D46-($D46-$I$6)*MIN(H$3-$O$2,$Q$2)/$Q$2))</f>
        <v>1955.44956569067</v>
      </c>
      <c r="I46" s="15" t="n">
        <f aca="false">H46*(1+IF(I$3&lt;=$O$2,$D46,$D46-($D46-$I$6)*MIN(I$3-$O$2,$Q$2)/$Q$2))</f>
        <v>1982.73805414876</v>
      </c>
      <c r="J46" s="15" t="n">
        <f aca="false">I46*(1+IF(J$3&lt;=$O$2,$D46,$D46-($D46-$I$6)*MIN(J$3-$O$2,$Q$2)/$Q$2))</f>
        <v>2014.78718598972</v>
      </c>
      <c r="K46" s="15" t="n">
        <f aca="false">J46*(1+IF(K$3&lt;=$O$2,$D46,$D46-($D46-$I$6)*MIN(K$3-$O$2,$Q$2)/$Q$2))</f>
        <v>2051.80498827433</v>
      </c>
      <c r="L46" s="15" t="n">
        <f aca="false">K46*(1+IF(L$3&lt;=$O$2,$D46,$D46-($D46-$I$6)*MIN(L$3-$O$2,$Q$2)/$Q$2))</f>
        <v>2094.03531819091</v>
      </c>
      <c r="M46" s="15" t="n">
        <f aca="false">L46*(1+IF(M$3&lt;=$O$2,$D46,$D46-($D46-$I$6)*MIN(M$3-$O$2,$Q$2)/$Q$2))</f>
        <v>2141.76051777142</v>
      </c>
      <c r="N46" s="15" t="n">
        <f aca="false">M46*(1+IF(N$3&lt;=$O$2,$D46,$D46-($D46-$I$6)*MIN(N$3-$O$2,$Q$2)/$Q$2))</f>
        <v>2195.30453071571</v>
      </c>
      <c r="O46" s="15" t="n">
        <f aca="false">SUMPRODUCT(E46:N46,1/(1+$F$6)^$E$3:$N$3)*$E$2</f>
        <v>5202.4658521002</v>
      </c>
      <c r="P46" s="15" t="n">
        <f aca="false">N46*$E$2*(1+$I$6)/($F$6-$I$6)/(1+$F$6)^$N$3</f>
        <v>11360.2341476585</v>
      </c>
      <c r="Q46" s="15" t="n">
        <f aca="false">O46+P46</f>
        <v>16562.6999997587</v>
      </c>
      <c r="R46" s="15" t="n">
        <f aca="false">Q46-$G$2+$I$2</f>
        <v>15009.9999997587</v>
      </c>
      <c r="S46" s="40" t="n">
        <f aca="false">R46/$K$2</f>
        <v>54.5045208604477</v>
      </c>
      <c r="T46" s="41" t="n">
        <f aca="false">S46-$M$2</f>
        <v>-8.76219985457283E-010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0.0139550970461642</v>
      </c>
      <c r="C47" s="25" t="n">
        <f aca="false">IF(T46&gt;0,D46,C46)</f>
        <v>0.0139550970488926</v>
      </c>
      <c r="D47" s="39" t="n">
        <f aca="false">(B47+C47)/2</f>
        <v>0.0139550970475284</v>
      </c>
      <c r="E47" s="15" t="n">
        <f aca="false">$C$2*(1+IF(E$3&lt;=$O$2,$D47,$D47-($D47-$I$6)*MIN(E$3-$O$2,$Q$2)/$Q$2))</f>
        <v>1875.81692953793</v>
      </c>
      <c r="F47" s="15" t="n">
        <f aca="false">E47*(1+IF(F$3&lt;=$O$2,$D47,$D47-($D47-$I$6)*MIN(F$3-$O$2,$Q$2)/$Q$2))</f>
        <v>1901.99413683303</v>
      </c>
      <c r="G47" s="15" t="n">
        <f aca="false">F47*(1+IF(G$3&lt;=$O$2,$D47,$D47-($D47-$I$6)*MIN(G$3-$O$2,$Q$2)/$Q$2))</f>
        <v>1928.53664959636</v>
      </c>
      <c r="H47" s="15" t="n">
        <f aca="false">G47*(1+IF(H$3&lt;=$O$2,$D47,$D47-($D47-$I$6)*MIN(H$3-$O$2,$Q$2)/$Q$2))</f>
        <v>1955.44956570119</v>
      </c>
      <c r="I47" s="15" t="n">
        <f aca="false">H47*(1+IF(I$3&lt;=$O$2,$D47,$D47-($D47-$I$6)*MIN(I$3-$O$2,$Q$2)/$Q$2))</f>
        <v>1982.7380541621</v>
      </c>
      <c r="J47" s="15" t="n">
        <f aca="false">I47*(1+IF(J$3&lt;=$O$2,$D47,$D47-($D47-$I$6)*MIN(J$3-$O$2,$Q$2)/$Q$2))</f>
        <v>2014.78718600544</v>
      </c>
      <c r="K47" s="15" t="n">
        <f aca="false">J47*(1+IF(K$3&lt;=$O$2,$D47,$D47-($D47-$I$6)*MIN(K$3-$O$2,$Q$2)/$Q$2))</f>
        <v>2051.80498829199</v>
      </c>
      <c r="L47" s="15" t="n">
        <f aca="false">K47*(1+IF(L$3&lt;=$O$2,$D47,$D47-($D47-$I$6)*MIN(L$3-$O$2,$Q$2)/$Q$2))</f>
        <v>2094.03531821005</v>
      </c>
      <c r="M47" s="15" t="n">
        <f aca="false">L47*(1+IF(M$3&lt;=$O$2,$D47,$D47-($D47-$I$6)*MIN(M$3-$O$2,$Q$2)/$Q$2))</f>
        <v>2141.76051779157</v>
      </c>
      <c r="N47" s="15" t="n">
        <f aca="false">M47*(1+IF(N$3&lt;=$O$2,$D47,$D47-($D47-$I$6)*MIN(N$3-$O$2,$Q$2)/$Q$2))</f>
        <v>2195.30453073636</v>
      </c>
      <c r="O47" s="15" t="n">
        <f aca="false">SUMPRODUCT(E47:N47,1/(1+$F$6)^$E$3:$N$3)*$E$2</f>
        <v>5202.46585213193</v>
      </c>
      <c r="P47" s="15" t="n">
        <f aca="false">N47*$E$2*(1+$I$6)/($F$6-$I$6)/(1+$F$6)^$N$3</f>
        <v>11360.2341477654</v>
      </c>
      <c r="Q47" s="15" t="n">
        <f aca="false">O47+P47</f>
        <v>16562.6999998973</v>
      </c>
      <c r="R47" s="15" t="n">
        <f aca="false">Q47-$G$2+$I$2</f>
        <v>15009.9999998973</v>
      </c>
      <c r="S47" s="40" t="n">
        <f aca="false">R47/$K$2</f>
        <v>54.504520860951</v>
      </c>
      <c r="T47" s="41" t="n">
        <f aca="false">S47-$M$2</f>
        <v>-3.72963882000477E-010</v>
      </c>
    </row>
    <row r="49" customFormat="false" ht="15" hidden="false" customHeight="false" outlineLevel="0" collapsed="false">
      <c r="A49" s="36" t="s">
        <v>176</v>
      </c>
      <c r="E49" s="5" t="s">
        <v>11</v>
      </c>
      <c r="F49" s="12" t="n">
        <f aca="false">Sensitivity!$B$10</f>
        <v>0.0535093056415221</v>
      </c>
      <c r="G49" s="5" t="s">
        <v>12</v>
      </c>
      <c r="I49" s="12" t="n">
        <f aca="false">Sensitivity!$C$9</f>
        <v>0.015</v>
      </c>
    </row>
    <row r="50" customFormat="false" ht="23.85" hidden="false" customHeight="false" outlineLevel="0" collapsed="false">
      <c r="A50" s="36" t="s">
        <v>156</v>
      </c>
      <c r="B50" s="28" t="s">
        <v>157</v>
      </c>
      <c r="C50" s="28" t="s">
        <v>158</v>
      </c>
      <c r="D50" s="28" t="s">
        <v>159</v>
      </c>
      <c r="E50" s="28" t="s">
        <v>160</v>
      </c>
      <c r="F50" s="28" t="s">
        <v>161</v>
      </c>
      <c r="G50" s="28" t="s">
        <v>162</v>
      </c>
      <c r="H50" s="28" t="s">
        <v>163</v>
      </c>
      <c r="I50" s="28" t="s">
        <v>164</v>
      </c>
      <c r="J50" s="28" t="s">
        <v>165</v>
      </c>
      <c r="K50" s="28" t="s">
        <v>166</v>
      </c>
      <c r="L50" s="28" t="s">
        <v>167</v>
      </c>
      <c r="M50" s="28" t="s">
        <v>168</v>
      </c>
      <c r="N50" s="28" t="s">
        <v>169</v>
      </c>
      <c r="O50" s="28" t="s">
        <v>170</v>
      </c>
      <c r="P50" s="28" t="s">
        <v>171</v>
      </c>
      <c r="Q50" s="28" t="s">
        <v>172</v>
      </c>
      <c r="R50" s="28" t="s">
        <v>173</v>
      </c>
      <c r="S50" s="28" t="s">
        <v>174</v>
      </c>
      <c r="T50" s="28" t="s">
        <v>175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39" t="n">
        <f aca="false">(B51+C51)/2</f>
        <v>0.25</v>
      </c>
      <c r="E51" s="15" t="n">
        <f aca="false">$C$2*(1+IF(E$3&lt;=$O$2,$D51,$D51-($D51-$I$49)*MIN(E$3-$O$2,$Q$2)/$Q$2))</f>
        <v>2312.5</v>
      </c>
      <c r="F51" s="15" t="n">
        <f aca="false">E51*(1+IF(F$3&lt;=$O$2,$D51,$D51-($D51-$I$49)*MIN(F$3-$O$2,$Q$2)/$Q$2))</f>
        <v>2890.625</v>
      </c>
      <c r="G51" s="15" t="n">
        <f aca="false">F51*(1+IF(G$3&lt;=$O$2,$D51,$D51-($D51-$I$49)*MIN(G$3-$O$2,$Q$2)/$Q$2))</f>
        <v>3613.28125</v>
      </c>
      <c r="H51" s="15" t="n">
        <f aca="false">G51*(1+IF(H$3&lt;=$O$2,$D51,$D51-($D51-$I$49)*MIN(H$3-$O$2,$Q$2)/$Q$2))</f>
        <v>4516.6015625</v>
      </c>
      <c r="I51" s="15" t="n">
        <f aca="false">H51*(1+IF(I$3&lt;=$O$2,$D51,$D51-($D51-$I$49)*MIN(I$3-$O$2,$Q$2)/$Q$2))</f>
        <v>5645.751953125</v>
      </c>
      <c r="J51" s="15" t="n">
        <f aca="false">I51*(1+IF(J$3&lt;=$O$2,$D51,$D51-($D51-$I$49)*MIN(J$3-$O$2,$Q$2)/$Q$2))</f>
        <v>6791.83959960938</v>
      </c>
      <c r="K51" s="15" t="n">
        <f aca="false">J51*(1+IF(K$3&lt;=$O$2,$D51,$D51-($D51-$I$49)*MIN(K$3-$O$2,$Q$2)/$Q$2))</f>
        <v>7851.36657714844</v>
      </c>
      <c r="L51" s="15" t="n">
        <f aca="false">K51*(1+IF(L$3&lt;=$O$2,$D51,$D51-($D51-$I$49)*MIN(L$3-$O$2,$Q$2)/$Q$2))</f>
        <v>8707.16553405762</v>
      </c>
      <c r="M51" s="15" t="n">
        <f aca="false">L51*(1+IF(M$3&lt;=$O$2,$D51,$D51-($D51-$I$49)*MIN(M$3-$O$2,$Q$2)/$Q$2))</f>
        <v>9247.00979716919</v>
      </c>
      <c r="N51" s="15" t="n">
        <f aca="false">M51*(1+IF(N$3&lt;=$O$2,$D51,$D51-($D51-$I$49)*MIN(N$3-$O$2,$Q$2)/$Q$2))</f>
        <v>9385.71494412673</v>
      </c>
      <c r="O51" s="15" t="n">
        <f aca="false">SUMPRODUCT(E51:N51,1/(1+$F$49)^$E$3:$N$3)*$E$2</f>
        <v>15625.9014328098</v>
      </c>
      <c r="P51" s="15" t="n">
        <f aca="false">N51*$E$2*(1+$I$49)/($F$49-$I$49)/(1+$F$49)^$N$3</f>
        <v>52860.4953065371</v>
      </c>
      <c r="Q51" s="15" t="n">
        <f aca="false">O51+P51</f>
        <v>68486.396739347</v>
      </c>
      <c r="R51" s="15" t="n">
        <f aca="false">Q51-$G$2+$I$2</f>
        <v>66933.696739347</v>
      </c>
      <c r="S51" s="40" t="n">
        <f aca="false">R51/$K$2</f>
        <v>243.050570969705</v>
      </c>
      <c r="T51" s="41" t="n">
        <f aca="false">S51-$M$2</f>
        <v>188.546050108381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39" t="n">
        <f aca="false">(B52+C52)/2</f>
        <v>-0.125</v>
      </c>
      <c r="E52" s="15" t="n">
        <f aca="false">$C$2*(1+IF(E$3&lt;=$O$2,$D52,$D52-($D52-$I$49)*MIN(E$3-$O$2,$Q$2)/$Q$2))</f>
        <v>1618.75</v>
      </c>
      <c r="F52" s="15" t="n">
        <f aca="false">E52*(1+IF(F$3&lt;=$O$2,$D52,$D52-($D52-$I$49)*MIN(F$3-$O$2,$Q$2)/$Q$2))</f>
        <v>1416.40625</v>
      </c>
      <c r="G52" s="15" t="n">
        <f aca="false">F52*(1+IF(G$3&lt;=$O$2,$D52,$D52-($D52-$I$49)*MIN(G$3-$O$2,$Q$2)/$Q$2))</f>
        <v>1239.35546875</v>
      </c>
      <c r="H52" s="15" t="n">
        <f aca="false">G52*(1+IF(H$3&lt;=$O$2,$D52,$D52-($D52-$I$49)*MIN(H$3-$O$2,$Q$2)/$Q$2))</f>
        <v>1084.43603515625</v>
      </c>
      <c r="I52" s="15" t="n">
        <f aca="false">H52*(1+IF(I$3&lt;=$O$2,$D52,$D52-($D52-$I$49)*MIN(I$3-$O$2,$Q$2)/$Q$2))</f>
        <v>948.881530761719</v>
      </c>
      <c r="J52" s="15" t="n">
        <f aca="false">I52*(1+IF(J$3&lt;=$O$2,$D52,$D52-($D52-$I$49)*MIN(J$3-$O$2,$Q$2)/$Q$2))</f>
        <v>856.840022277832</v>
      </c>
      <c r="K52" s="15" t="n">
        <f aca="false">J52*(1+IF(K$3&lt;=$O$2,$D52,$D52-($D52-$I$49)*MIN(K$3-$O$2,$Q$2)/$Q$2))</f>
        <v>797.718060740662</v>
      </c>
      <c r="L52" s="15" t="n">
        <f aca="false">K52*(1+IF(L$3&lt;=$O$2,$D52,$D52-($D52-$I$49)*MIN(L$3-$O$2,$Q$2)/$Q$2))</f>
        <v>765.011620250295</v>
      </c>
      <c r="M52" s="15" t="n">
        <f aca="false">L52*(1+IF(M$3&lt;=$O$2,$D52,$D52-($D52-$I$49)*MIN(M$3-$O$2,$Q$2)/$Q$2))</f>
        <v>755.066469187041</v>
      </c>
      <c r="N52" s="15" t="n">
        <f aca="false">M52*(1+IF(N$3&lt;=$O$2,$D52,$D52-($D52-$I$49)*MIN(N$3-$O$2,$Q$2)/$Q$2))</f>
        <v>766.392466224846</v>
      </c>
      <c r="O52" s="15" t="n">
        <f aca="false">SUMPRODUCT(E52:N52,1/(1+$F$49)^$E$3:$N$3)*$E$2</f>
        <v>2913.60628610138</v>
      </c>
      <c r="P52" s="15" t="n">
        <f aca="false">N52*$E$2*(1+$I$49)/($F$49-$I$49)/(1+$F$49)^$N$3</f>
        <v>4316.33451527259</v>
      </c>
      <c r="Q52" s="15" t="n">
        <f aca="false">O52+P52</f>
        <v>7229.94080137397</v>
      </c>
      <c r="R52" s="15" t="n">
        <f aca="false">Q52-$G$2+$I$2</f>
        <v>5677.24080137397</v>
      </c>
      <c r="S52" s="40" t="n">
        <f aca="false">R52/$K$2</f>
        <v>20.615275795686</v>
      </c>
      <c r="T52" s="41" t="n">
        <f aca="false">S52-$M$2</f>
        <v>-33.8892450656379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39" t="n">
        <f aca="false">(B53+C53)/2</f>
        <v>0.0625</v>
      </c>
      <c r="E53" s="15" t="n">
        <f aca="false">$C$2*(1+IF(E$3&lt;=$O$2,$D53,$D53-($D53-$I$49)*MIN(E$3-$O$2,$Q$2)/$Q$2))</f>
        <v>1965.625</v>
      </c>
      <c r="F53" s="15" t="n">
        <f aca="false">E53*(1+IF(F$3&lt;=$O$2,$D53,$D53-($D53-$I$49)*MIN(F$3-$O$2,$Q$2)/$Q$2))</f>
        <v>2088.4765625</v>
      </c>
      <c r="G53" s="15" t="n">
        <f aca="false">F53*(1+IF(G$3&lt;=$O$2,$D53,$D53-($D53-$I$49)*MIN(G$3-$O$2,$Q$2)/$Q$2))</f>
        <v>2219.00634765625</v>
      </c>
      <c r="H53" s="15" t="n">
        <f aca="false">G53*(1+IF(H$3&lt;=$O$2,$D53,$D53-($D53-$I$49)*MIN(H$3-$O$2,$Q$2)/$Q$2))</f>
        <v>2357.69424438477</v>
      </c>
      <c r="I53" s="15" t="n">
        <f aca="false">H53*(1+IF(I$3&lt;=$O$2,$D53,$D53-($D53-$I$49)*MIN(I$3-$O$2,$Q$2)/$Q$2))</f>
        <v>2505.05013465881</v>
      </c>
      <c r="J53" s="15" t="n">
        <f aca="false">I53*(1+IF(J$3&lt;=$O$2,$D53,$D53-($D53-$I$49)*MIN(J$3-$O$2,$Q$2)/$Q$2))</f>
        <v>2637.81779179573</v>
      </c>
      <c r="K53" s="15" t="n">
        <f aca="false">J53*(1+IF(K$3&lt;=$O$2,$D53,$D53-($D53-$I$49)*MIN(K$3-$O$2,$Q$2)/$Q$2))</f>
        <v>2752.56286573885</v>
      </c>
      <c r="L53" s="15" t="n">
        <f aca="false">K53*(1+IF(L$3&lt;=$O$2,$D53,$D53-($D53-$I$49)*MIN(L$3-$O$2,$Q$2)/$Q$2))</f>
        <v>2846.15000317397</v>
      </c>
      <c r="M53" s="15" t="n">
        <f aca="false">L53*(1+IF(M$3&lt;=$O$2,$D53,$D53-($D53-$I$49)*MIN(M$3-$O$2,$Q$2)/$Q$2))</f>
        <v>2915.88067825173</v>
      </c>
      <c r="N53" s="15" t="n">
        <f aca="false">M53*(1+IF(N$3&lt;=$O$2,$D53,$D53-($D53-$I$49)*MIN(N$3-$O$2,$Q$2)/$Q$2))</f>
        <v>2959.6188884255</v>
      </c>
      <c r="O53" s="15" t="n">
        <f aca="false">SUMPRODUCT(E53:N53,1/(1+$F$49)^$E$3:$N$3)*$E$2</f>
        <v>6760.86730422669</v>
      </c>
      <c r="P53" s="15" t="n">
        <f aca="false">N53*$E$2*(1+$I$49)/($F$49-$I$49)/(1+$F$49)^$N$3</f>
        <v>16668.620482519</v>
      </c>
      <c r="Q53" s="15" t="n">
        <f aca="false">O53+P53</f>
        <v>23429.4877867456</v>
      </c>
      <c r="R53" s="15" t="n">
        <f aca="false">Q53-$G$2+$I$2</f>
        <v>21876.7877867456</v>
      </c>
      <c r="S53" s="40" t="n">
        <f aca="false">R53/$K$2</f>
        <v>79.4392962226139</v>
      </c>
      <c r="T53" s="41" t="n">
        <f aca="false">S53-$M$2</f>
        <v>24.93477536129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39" t="n">
        <f aca="false">(B54+C54)/2</f>
        <v>-0.03125</v>
      </c>
      <c r="E54" s="15" t="n">
        <f aca="false">$C$2*(1+IF(E$3&lt;=$O$2,$D54,$D54-($D54-$I$49)*MIN(E$3-$O$2,$Q$2)/$Q$2))</f>
        <v>1792.1875</v>
      </c>
      <c r="F54" s="15" t="n">
        <f aca="false">E54*(1+IF(F$3&lt;=$O$2,$D54,$D54-($D54-$I$49)*MIN(F$3-$O$2,$Q$2)/$Q$2))</f>
        <v>1736.181640625</v>
      </c>
      <c r="G54" s="15" t="n">
        <f aca="false">F54*(1+IF(G$3&lt;=$O$2,$D54,$D54-($D54-$I$49)*MIN(G$3-$O$2,$Q$2)/$Q$2))</f>
        <v>1681.92596435547</v>
      </c>
      <c r="H54" s="15" t="n">
        <f aca="false">G54*(1+IF(H$3&lt;=$O$2,$D54,$D54-($D54-$I$49)*MIN(H$3-$O$2,$Q$2)/$Q$2))</f>
        <v>1629.36577796936</v>
      </c>
      <c r="I54" s="15" t="n">
        <f aca="false">H54*(1+IF(I$3&lt;=$O$2,$D54,$D54-($D54-$I$49)*MIN(I$3-$O$2,$Q$2)/$Q$2))</f>
        <v>1578.44809740782</v>
      </c>
      <c r="J54" s="15" t="n">
        <f aca="false">I54*(1+IF(J$3&lt;=$O$2,$D54,$D54-($D54-$I$49)*MIN(J$3-$O$2,$Q$2)/$Q$2))</f>
        <v>1543.72223926485</v>
      </c>
      <c r="K54" s="15" t="n">
        <f aca="false">J54*(1+IF(K$3&lt;=$O$2,$D54,$D54-($D54-$I$49)*MIN(K$3-$O$2,$Q$2)/$Q$2))</f>
        <v>1524.03978071422</v>
      </c>
      <c r="L54" s="15" t="n">
        <f aca="false">K54*(1+IF(L$3&lt;=$O$2,$D54,$D54-($D54-$I$49)*MIN(L$3-$O$2,$Q$2)/$Q$2))</f>
        <v>1518.70564148172</v>
      </c>
      <c r="M54" s="15" t="n">
        <f aca="false">L54*(1+IF(M$3&lt;=$O$2,$D54,$D54-($D54-$I$49)*MIN(M$3-$O$2,$Q$2)/$Q$2))</f>
        <v>1527.43819892024</v>
      </c>
      <c r="N54" s="15" t="n">
        <f aca="false">M54*(1+IF(N$3&lt;=$O$2,$D54,$D54-($D54-$I$49)*MIN(N$3-$O$2,$Q$2)/$Q$2))</f>
        <v>1550.34977190404</v>
      </c>
      <c r="O54" s="15" t="n">
        <f aca="false">SUMPRODUCT(E54:N54,1/(1+$F$49)^$E$3:$N$3)*$E$2</f>
        <v>4428.9302316698</v>
      </c>
      <c r="P54" s="15" t="n">
        <f aca="false">N54*$E$2*(1+$I$49)/($F$49-$I$49)/(1+$F$49)^$N$3</f>
        <v>8731.59448471292</v>
      </c>
      <c r="Q54" s="15" t="n">
        <f aca="false">O54+P54</f>
        <v>13160.5247163827</v>
      </c>
      <c r="R54" s="15" t="n">
        <f aca="false">Q54-$G$2+$I$2</f>
        <v>11607.8247163827</v>
      </c>
      <c r="S54" s="40" t="n">
        <f aca="false">R54/$K$2</f>
        <v>42.1504946308244</v>
      </c>
      <c r="T54" s="41" t="n">
        <f aca="false">S54-$M$2</f>
        <v>-12.3540262304996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39" t="n">
        <f aca="false">(B55+C55)/2</f>
        <v>0.015625</v>
      </c>
      <c r="E55" s="15" t="n">
        <f aca="false">$C$2*(1+IF(E$3&lt;=$O$2,$D55,$D55-($D55-$I$49)*MIN(E$3-$O$2,$Q$2)/$Q$2))</f>
        <v>1878.90625</v>
      </c>
      <c r="F55" s="15" t="n">
        <f aca="false">E55*(1+IF(F$3&lt;=$O$2,$D55,$D55-($D55-$I$49)*MIN(F$3-$O$2,$Q$2)/$Q$2))</f>
        <v>1908.26416015625</v>
      </c>
      <c r="G55" s="15" t="n">
        <f aca="false">F55*(1+IF(G$3&lt;=$O$2,$D55,$D55-($D55-$I$49)*MIN(G$3-$O$2,$Q$2)/$Q$2))</f>
        <v>1938.08078765869</v>
      </c>
      <c r="H55" s="15" t="n">
        <f aca="false">G55*(1+IF(H$3&lt;=$O$2,$D55,$D55-($D55-$I$49)*MIN(H$3-$O$2,$Q$2)/$Q$2))</f>
        <v>1968.36329996586</v>
      </c>
      <c r="I55" s="15" t="n">
        <f aca="false">H55*(1+IF(I$3&lt;=$O$2,$D55,$D55-($D55-$I$49)*MIN(I$3-$O$2,$Q$2)/$Q$2))</f>
        <v>1999.11897652783</v>
      </c>
      <c r="J55" s="15" t="n">
        <f aca="false">I55*(1+IF(J$3&lt;=$O$2,$D55,$D55-($D55-$I$49)*MIN(J$3-$O$2,$Q$2)/$Q$2))</f>
        <v>2030.10532066401</v>
      </c>
      <c r="K55" s="15" t="n">
        <f aca="false">J55*(1+IF(K$3&lt;=$O$2,$D55,$D55-($D55-$I$49)*MIN(K$3-$O$2,$Q$2)/$Q$2))</f>
        <v>2061.31818996922</v>
      </c>
      <c r="L55" s="15" t="n">
        <f aca="false">K55*(1+IF(L$3&lt;=$O$2,$D55,$D55-($D55-$I$49)*MIN(L$3-$O$2,$Q$2)/$Q$2))</f>
        <v>2092.75329236625</v>
      </c>
      <c r="M55" s="15" t="n">
        <f aca="false">L55*(1+IF(M$3&lt;=$O$2,$D55,$D55-($D55-$I$49)*MIN(M$3-$O$2,$Q$2)/$Q$2))</f>
        <v>2124.40618591329</v>
      </c>
      <c r="N55" s="15" t="n">
        <f aca="false">M55*(1+IF(N$3&lt;=$O$2,$D55,$D55-($D55-$I$49)*MIN(N$3-$O$2,$Q$2)/$Q$2))</f>
        <v>2156.27227870198</v>
      </c>
      <c r="O55" s="15" t="n">
        <f aca="false">SUMPRODUCT(E55:N55,1/(1+$F$49)^$E$3:$N$3)*$E$2</f>
        <v>5471.13984361515</v>
      </c>
      <c r="P55" s="15" t="n">
        <f aca="false">N55*$E$2*(1+$I$49)/($F$49-$I$49)/(1+$F$49)^$N$3</f>
        <v>12144.1596454267</v>
      </c>
      <c r="Q55" s="15" t="n">
        <f aca="false">O55+P55</f>
        <v>17615.2994890419</v>
      </c>
      <c r="R55" s="15" t="n">
        <f aca="false">Q55-$G$2+$I$2</f>
        <v>16062.5994890419</v>
      </c>
      <c r="S55" s="40" t="n">
        <f aca="false">R55/$K$2</f>
        <v>58.3267347726565</v>
      </c>
      <c r="T55" s="41" t="n">
        <f aca="false">S55-$M$2</f>
        <v>3.82221391133256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-0.03125</v>
      </c>
      <c r="C56" s="25" t="n">
        <f aca="false">IF(T55&gt;0,D55,C55)</f>
        <v>0.015625</v>
      </c>
      <c r="D56" s="39" t="n">
        <f aca="false">(B56+C56)/2</f>
        <v>-0.0078125</v>
      </c>
      <c r="E56" s="15" t="n">
        <f aca="false">$C$2*(1+IF(E$3&lt;=$O$2,$D56,$D56-($D56-$I$49)*MIN(E$3-$O$2,$Q$2)/$Q$2))</f>
        <v>1835.546875</v>
      </c>
      <c r="F56" s="15" t="n">
        <f aca="false">E56*(1+IF(F$3&lt;=$O$2,$D56,$D56-($D56-$I$49)*MIN(F$3-$O$2,$Q$2)/$Q$2))</f>
        <v>1821.20666503906</v>
      </c>
      <c r="G56" s="15" t="n">
        <f aca="false">F56*(1+IF(G$3&lt;=$O$2,$D56,$D56-($D56-$I$49)*MIN(G$3-$O$2,$Q$2)/$Q$2))</f>
        <v>1806.97848796844</v>
      </c>
      <c r="H56" s="15" t="n">
        <f aca="false">G56*(1+IF(H$3&lt;=$O$2,$D56,$D56-($D56-$I$49)*MIN(H$3-$O$2,$Q$2)/$Q$2))</f>
        <v>1792.86146853119</v>
      </c>
      <c r="I56" s="15" t="n">
        <f aca="false">H56*(1+IF(I$3&lt;=$O$2,$D56,$D56-($D56-$I$49)*MIN(I$3-$O$2,$Q$2)/$Q$2))</f>
        <v>1778.85473830829</v>
      </c>
      <c r="J56" s="15" t="n">
        <f aca="false">I56*(1+IF(J$3&lt;=$O$2,$D56,$D56-($D56-$I$49)*MIN(J$3-$O$2,$Q$2)/$Q$2))</f>
        <v>1773.07346040879</v>
      </c>
      <c r="K56" s="15" t="n">
        <f aca="false">J56*(1+IF(K$3&lt;=$O$2,$D56,$D56-($D56-$I$49)*MIN(K$3-$O$2,$Q$2)/$Q$2))</f>
        <v>1775.40061932558</v>
      </c>
      <c r="L56" s="15" t="n">
        <f aca="false">K56*(1+IF(L$3&lt;=$O$2,$D56,$D56-($D56-$I$49)*MIN(L$3-$O$2,$Q$2)/$Q$2))</f>
        <v>1785.83109796411</v>
      </c>
      <c r="M56" s="15" t="n">
        <f aca="false">L56*(1+IF(M$3&lt;=$O$2,$D56,$D56-($D56-$I$49)*MIN(M$3-$O$2,$Q$2)/$Q$2))</f>
        <v>1804.47071004911</v>
      </c>
      <c r="N56" s="15" t="n">
        <f aca="false">M56*(1+IF(N$3&lt;=$O$2,$D56,$D56-($D56-$I$49)*MIN(N$3-$O$2,$Q$2)/$Q$2))</f>
        <v>1831.53777069985</v>
      </c>
      <c r="O56" s="15" t="n">
        <f aca="false">SUMPRODUCT(E56:N56,1/(1+$F$49)^$E$3:$N$3)*$E$2</f>
        <v>4922.10687149677</v>
      </c>
      <c r="P56" s="15" t="n">
        <f aca="false">N56*$E$2*(1+$I$49)/($F$49-$I$49)/(1+$F$49)^$N$3</f>
        <v>10315.2497500906</v>
      </c>
      <c r="Q56" s="15" t="n">
        <f aca="false">O56+P56</f>
        <v>15237.3566215874</v>
      </c>
      <c r="R56" s="15" t="n">
        <f aca="false">Q56-$G$2+$I$2</f>
        <v>13684.6566215874</v>
      </c>
      <c r="S56" s="40" t="n">
        <f aca="false">R56/$K$2</f>
        <v>49.6919155437285</v>
      </c>
      <c r="T56" s="41" t="n">
        <f aca="false">S56-$M$2</f>
        <v>-4.81260531759547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-0.0078125</v>
      </c>
      <c r="C57" s="25" t="n">
        <f aca="false">IF(T56&gt;0,D56,C56)</f>
        <v>0.015625</v>
      </c>
      <c r="D57" s="39" t="n">
        <f aca="false">(B57+C57)/2</f>
        <v>0.00390625</v>
      </c>
      <c r="E57" s="15" t="n">
        <f aca="false">$C$2*(1+IF(E$3&lt;=$O$2,$D57,$D57-($D57-$I$49)*MIN(E$3-$O$2,$Q$2)/$Q$2))</f>
        <v>1857.2265625</v>
      </c>
      <c r="F57" s="15" t="n">
        <f aca="false">E57*(1+IF(F$3&lt;=$O$2,$D57,$D57-($D57-$I$49)*MIN(F$3-$O$2,$Q$2)/$Q$2))</f>
        <v>1864.48135375977</v>
      </c>
      <c r="G57" s="15" t="n">
        <f aca="false">F57*(1+IF(G$3&lt;=$O$2,$D57,$D57-($D57-$I$49)*MIN(G$3-$O$2,$Q$2)/$Q$2))</f>
        <v>1871.76448404789</v>
      </c>
      <c r="H57" s="15" t="n">
        <f aca="false">G57*(1+IF(H$3&lt;=$O$2,$D57,$D57-($D57-$I$49)*MIN(H$3-$O$2,$Q$2)/$Q$2))</f>
        <v>1879.0760640637</v>
      </c>
      <c r="I57" s="15" t="n">
        <f aca="false">H57*(1+IF(I$3&lt;=$O$2,$D57,$D57-($D57-$I$49)*MIN(I$3-$O$2,$Q$2)/$Q$2))</f>
        <v>1886.41620493895</v>
      </c>
      <c r="J57" s="15" t="n">
        <f aca="false">I57*(1+IF(J$3&lt;=$O$2,$D57,$D57-($D57-$I$49)*MIN(J$3-$O$2,$Q$2)/$Q$2))</f>
        <v>1897.9705041942</v>
      </c>
      <c r="K57" s="15" t="n">
        <f aca="false">J57*(1+IF(K$3&lt;=$O$2,$D57,$D57-($D57-$I$49)*MIN(K$3-$O$2,$Q$2)/$Q$2))</f>
        <v>1913.80669558857</v>
      </c>
      <c r="L57" s="15" t="n">
        <f aca="false">K57*(1+IF(L$3&lt;=$O$2,$D57,$D57-($D57-$I$49)*MIN(L$3-$O$2,$Q$2)/$Q$2))</f>
        <v>1934.02127881073</v>
      </c>
      <c r="M57" s="15" t="n">
        <f aca="false">L57*(1+IF(M$3&lt;=$O$2,$D57,$D57-($D57-$I$49)*MIN(M$3-$O$2,$Q$2)/$Q$2))</f>
        <v>1958.74048828053</v>
      </c>
      <c r="N57" s="15" t="n">
        <f aca="false">M57*(1+IF(N$3&lt;=$O$2,$D57,$D57-($D57-$I$49)*MIN(N$3-$O$2,$Q$2)/$Q$2))</f>
        <v>1988.12159560473</v>
      </c>
      <c r="O57" s="15" t="n">
        <f aca="false">SUMPRODUCT(E57:N57,1/(1+$F$49)^$E$3:$N$3)*$E$2</f>
        <v>5189.28522221523</v>
      </c>
      <c r="P57" s="15" t="n">
        <f aca="false">N57*$E$2*(1+$I$49)/($F$49-$I$49)/(1+$F$49)^$N$3</f>
        <v>11197.1323334354</v>
      </c>
      <c r="Q57" s="15" t="n">
        <f aca="false">O57+P57</f>
        <v>16386.4175556506</v>
      </c>
      <c r="R57" s="15" t="n">
        <f aca="false">Q57-$G$2+$I$2</f>
        <v>14833.7175556506</v>
      </c>
      <c r="S57" s="40" t="n">
        <f aca="false">R57/$K$2</f>
        <v>53.8644015964655</v>
      </c>
      <c r="T57" s="41" t="n">
        <f aca="false">S57-$M$2</f>
        <v>-0.640119264858491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0.00390625</v>
      </c>
      <c r="C58" s="25" t="n">
        <f aca="false">IF(T57&gt;0,D57,C57)</f>
        <v>0.015625</v>
      </c>
      <c r="D58" s="39" t="n">
        <f aca="false">(B58+C58)/2</f>
        <v>0.009765625</v>
      </c>
      <c r="E58" s="15" t="n">
        <f aca="false">$C$2*(1+IF(E$3&lt;=$O$2,$D58,$D58-($D58-$I$49)*MIN(E$3-$O$2,$Q$2)/$Q$2))</f>
        <v>1868.06640625</v>
      </c>
      <c r="F58" s="15" t="n">
        <f aca="false">E58*(1+IF(F$3&lt;=$O$2,$D58,$D58-($D58-$I$49)*MIN(F$3-$O$2,$Q$2)/$Q$2))</f>
        <v>1886.30924224854</v>
      </c>
      <c r="G58" s="15" t="n">
        <f aca="false">F58*(1+IF(G$3&lt;=$O$2,$D58,$D58-($D58-$I$49)*MIN(G$3-$O$2,$Q$2)/$Q$2))</f>
        <v>1904.73023094237</v>
      </c>
      <c r="H58" s="15" t="n">
        <f aca="false">G58*(1+IF(H$3&lt;=$O$2,$D58,$D58-($D58-$I$49)*MIN(H$3-$O$2,$Q$2)/$Q$2))</f>
        <v>1923.33111210392</v>
      </c>
      <c r="I58" s="15" t="n">
        <f aca="false">H58*(1+IF(I$3&lt;=$O$2,$D58,$D58-($D58-$I$49)*MIN(I$3-$O$2,$Q$2)/$Q$2))</f>
        <v>1942.11364249555</v>
      </c>
      <c r="J58" s="15" t="n">
        <f aca="false">I58*(1+IF(J$3&lt;=$O$2,$D58,$D58-($D58-$I$49)*MIN(J$3-$O$2,$Q$2)/$Q$2))</f>
        <v>1963.11274625504</v>
      </c>
      <c r="K58" s="15" t="n">
        <f aca="false">J58*(1+IF(K$3&lt;=$O$2,$D58,$D58-($D58-$I$49)*MIN(K$3-$O$2,$Q$2)/$Q$2))</f>
        <v>1986.39403648016</v>
      </c>
      <c r="L58" s="15" t="n">
        <f aca="false">K58*(1+IF(L$3&lt;=$O$2,$D58,$D58-($D58-$I$49)*MIN(L$3-$O$2,$Q$2)/$Q$2))</f>
        <v>2012.03093451348</v>
      </c>
      <c r="M58" s="15" t="n">
        <f aca="false">L58*(1+IF(M$3&lt;=$O$2,$D58,$D58-($D58-$I$49)*MIN(M$3-$O$2,$Q$2)/$Q$2))</f>
        <v>2040.10505364661</v>
      </c>
      <c r="N58" s="15" t="n">
        <f aca="false">M58*(1+IF(N$3&lt;=$O$2,$D58,$D58-($D58-$I$49)*MIN(N$3-$O$2,$Q$2)/$Q$2))</f>
        <v>2070.70662945131</v>
      </c>
      <c r="O58" s="15" t="n">
        <f aca="false">SUMPRODUCT(E58:N58,1/(1+$F$49)^$E$3:$N$3)*$E$2</f>
        <v>5328.3317640192</v>
      </c>
      <c r="P58" s="15" t="n">
        <f aca="false">N58*$E$2*(1+$I$49)/($F$49-$I$49)/(1+$F$49)^$N$3</f>
        <v>11662.2525528353</v>
      </c>
      <c r="Q58" s="15" t="n">
        <f aca="false">O58+P58</f>
        <v>16990.5843168545</v>
      </c>
      <c r="R58" s="15" t="n">
        <f aca="false">Q58-$G$2+$I$2</f>
        <v>15437.8843168545</v>
      </c>
      <c r="S58" s="40" t="n">
        <f aca="false">R58/$K$2</f>
        <v>56.0582603466157</v>
      </c>
      <c r="T58" s="41" t="n">
        <f aca="false">S58-$M$2</f>
        <v>1.55373948529176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0.00390625</v>
      </c>
      <c r="C59" s="25" t="n">
        <f aca="false">IF(T58&gt;0,D58,C58)</f>
        <v>0.009765625</v>
      </c>
      <c r="D59" s="39" t="n">
        <f aca="false">(B59+C59)/2</f>
        <v>0.0068359375</v>
      </c>
      <c r="E59" s="15" t="n">
        <f aca="false">$C$2*(1+IF(E$3&lt;=$O$2,$D59,$D59-($D59-$I$49)*MIN(E$3-$O$2,$Q$2)/$Q$2))</f>
        <v>1862.646484375</v>
      </c>
      <c r="F59" s="15" t="n">
        <f aca="false">E59*(1+IF(F$3&lt;=$O$2,$D59,$D59-($D59-$I$49)*MIN(F$3-$O$2,$Q$2)/$Q$2))</f>
        <v>1875.37941932678</v>
      </c>
      <c r="G59" s="15" t="n">
        <f aca="false">F59*(1+IF(G$3&lt;=$O$2,$D59,$D59-($D59-$I$49)*MIN(G$3-$O$2,$Q$2)/$Q$2))</f>
        <v>1888.19939582609</v>
      </c>
      <c r="H59" s="15" t="n">
        <f aca="false">G59*(1+IF(H$3&lt;=$O$2,$D59,$D59-($D59-$I$49)*MIN(H$3-$O$2,$Q$2)/$Q$2))</f>
        <v>1901.10700888349</v>
      </c>
      <c r="I59" s="15" t="n">
        <f aca="false">H59*(1+IF(I$3&lt;=$O$2,$D59,$D59-($D59-$I$49)*MIN(I$3-$O$2,$Q$2)/$Q$2))</f>
        <v>1914.10285757703</v>
      </c>
      <c r="J59" s="15" t="n">
        <f aca="false">I59*(1+IF(J$3&lt;=$O$2,$D59,$D59-($D59-$I$49)*MIN(J$3-$O$2,$Q$2)/$Q$2))</f>
        <v>1930.31291615214</v>
      </c>
      <c r="K59" s="15" t="n">
        <f aca="false">J59*(1+IF(K$3&lt;=$O$2,$D59,$D59-($D59-$I$49)*MIN(K$3-$O$2,$Q$2)/$Q$2))</f>
        <v>1949.8120927192</v>
      </c>
      <c r="L59" s="15" t="n">
        <f aca="false">K59*(1+IF(L$3&lt;=$O$2,$D59,$D59-($D59-$I$49)*MIN(L$3-$O$2,$Q$2)/$Q$2))</f>
        <v>1972.69191899471</v>
      </c>
      <c r="M59" s="15" t="n">
        <f aca="false">L59*(1+IF(M$3&lt;=$O$2,$D59,$D59-($D59-$I$49)*MIN(M$3-$O$2,$Q$2)/$Q$2))</f>
        <v>1999.06126175564</v>
      </c>
      <c r="N59" s="15" t="n">
        <f aca="false">M59*(1+IF(N$3&lt;=$O$2,$D59,$D59-($D59-$I$49)*MIN(N$3-$O$2,$Q$2)/$Q$2))</f>
        <v>2029.04718068198</v>
      </c>
      <c r="O59" s="15" t="n">
        <f aca="false">SUMPRODUCT(E59:N59,1/(1+$F$49)^$E$3:$N$3)*$E$2</f>
        <v>5258.34415902179</v>
      </c>
      <c r="P59" s="15" t="n">
        <f aca="false">N59*$E$2*(1+$I$49)/($F$49-$I$49)/(1+$F$49)^$N$3</f>
        <v>11427.6258771634</v>
      </c>
      <c r="Q59" s="15" t="n">
        <f aca="false">O59+P59</f>
        <v>16685.9700361852</v>
      </c>
      <c r="R59" s="15" t="n">
        <f aca="false">Q59-$G$2+$I$2</f>
        <v>15133.2700361852</v>
      </c>
      <c r="S59" s="40" t="n">
        <f aca="false">R59/$K$2</f>
        <v>54.9521407319991</v>
      </c>
      <c r="T59" s="41" t="n">
        <f aca="false">S59-$M$2</f>
        <v>0.447619870675126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0.00390625</v>
      </c>
      <c r="C60" s="25" t="n">
        <f aca="false">IF(T59&gt;0,D59,C59)</f>
        <v>0.0068359375</v>
      </c>
      <c r="D60" s="39" t="n">
        <f aca="false">(B60+C60)/2</f>
        <v>0.00537109375</v>
      </c>
      <c r="E60" s="15" t="n">
        <f aca="false">$C$2*(1+IF(E$3&lt;=$O$2,$D60,$D60-($D60-$I$49)*MIN(E$3-$O$2,$Q$2)/$Q$2))</f>
        <v>1859.9365234375</v>
      </c>
      <c r="F60" s="15" t="n">
        <f aca="false">E60*(1+IF(F$3&lt;=$O$2,$D60,$D60-($D60-$I$49)*MIN(F$3-$O$2,$Q$2)/$Q$2))</f>
        <v>1869.92641687393</v>
      </c>
      <c r="G60" s="15" t="n">
        <f aca="false">F60*(1+IF(G$3&lt;=$O$2,$D60,$D60-($D60-$I$49)*MIN(G$3-$O$2,$Q$2)/$Q$2))</f>
        <v>1879.96996696456</v>
      </c>
      <c r="H60" s="15" t="n">
        <f aca="false">G60*(1+IF(H$3&lt;=$O$2,$D60,$D60-($D60-$I$49)*MIN(H$3-$O$2,$Q$2)/$Q$2))</f>
        <v>1890.06746190431</v>
      </c>
      <c r="I60" s="15" t="n">
        <f aca="false">H60*(1+IF(I$3&lt;=$O$2,$D60,$D60-($D60-$I$49)*MIN(I$3-$O$2,$Q$2)/$Q$2))</f>
        <v>1900.21919143603</v>
      </c>
      <c r="J60" s="15" t="n">
        <f aca="false">I60*(1+IF(J$3&lt;=$O$2,$D60,$D60-($D60-$I$49)*MIN(J$3-$O$2,$Q$2)/$Q$2))</f>
        <v>1914.08485334854</v>
      </c>
      <c r="K60" s="15" t="n">
        <f aca="false">J60*(1+IF(K$3&lt;=$O$2,$D60,$D60-($D60-$I$49)*MIN(K$3-$O$2,$Q$2)/$Q$2))</f>
        <v>1931.7377999843</v>
      </c>
      <c r="L60" s="15" t="n">
        <f aca="false">K60*(1+IF(L$3&lt;=$O$2,$D60,$D60-($D60-$I$49)*MIN(L$3-$O$2,$Q$2)/$Q$2))</f>
        <v>1953.27365811381</v>
      </c>
      <c r="M60" s="15" t="n">
        <f aca="false">L60*(1+IF(M$3&lt;=$O$2,$D60,$D60-($D60-$I$49)*MIN(M$3-$O$2,$Q$2)/$Q$2))</f>
        <v>1978.81118519861</v>
      </c>
      <c r="N60" s="15" t="n">
        <f aca="false">M60*(1+IF(N$3&lt;=$O$2,$D60,$D60-($D60-$I$49)*MIN(N$3-$O$2,$Q$2)/$Q$2))</f>
        <v>2008.49335297659</v>
      </c>
      <c r="O60" s="15" t="n">
        <f aca="false">SUMPRODUCT(E60:N60,1/(1+$F$49)^$E$3:$N$3)*$E$2</f>
        <v>5223.69933241478</v>
      </c>
      <c r="P60" s="15" t="n">
        <f aca="false">N60*$E$2*(1+$I$49)/($F$49-$I$49)/(1+$F$49)^$N$3</f>
        <v>11311.8663937975</v>
      </c>
      <c r="Q60" s="15" t="n">
        <f aca="false">O60+P60</f>
        <v>16535.5657262123</v>
      </c>
      <c r="R60" s="15" t="n">
        <f aca="false">Q60-$G$2+$I$2</f>
        <v>14982.8657262123</v>
      </c>
      <c r="S60" s="40" t="n">
        <f aca="false">R60/$K$2</f>
        <v>54.4059905087776</v>
      </c>
      <c r="T60" s="41" t="n">
        <f aca="false">S60-$M$2</f>
        <v>-0.098530352546355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0.00537109375</v>
      </c>
      <c r="C61" s="25" t="n">
        <f aca="false">IF(T60&gt;0,D60,C60)</f>
        <v>0.0068359375</v>
      </c>
      <c r="D61" s="39" t="n">
        <f aca="false">(B61+C61)/2</f>
        <v>0.006103515625</v>
      </c>
      <c r="E61" s="15" t="n">
        <f aca="false">$C$2*(1+IF(E$3&lt;=$O$2,$D61,$D61-($D61-$I$49)*MIN(E$3-$O$2,$Q$2)/$Q$2))</f>
        <v>1861.29150390625</v>
      </c>
      <c r="F61" s="15" t="n">
        <f aca="false">E61*(1+IF(F$3&lt;=$O$2,$D61,$D61-($D61-$I$49)*MIN(F$3-$O$2,$Q$2)/$Q$2))</f>
        <v>1872.65192568302</v>
      </c>
      <c r="G61" s="15" t="n">
        <f aca="false">F61*(1+IF(G$3&lt;=$O$2,$D61,$D61-($D61-$I$49)*MIN(G$3-$O$2,$Q$2)/$Q$2))</f>
        <v>1884.08168597161</v>
      </c>
      <c r="H61" s="15" t="n">
        <f aca="false">G61*(1+IF(H$3&lt;=$O$2,$D61,$D61-($D61-$I$49)*MIN(H$3-$O$2,$Q$2)/$Q$2))</f>
        <v>1895.58120798072</v>
      </c>
      <c r="I61" s="15" t="n">
        <f aca="false">H61*(1+IF(I$3&lt;=$O$2,$D61,$D61-($D61-$I$49)*MIN(I$3-$O$2,$Q$2)/$Q$2))</f>
        <v>1907.15091750209</v>
      </c>
      <c r="J61" s="15" t="n">
        <f aca="false">I61*(1+IF(J$3&lt;=$O$2,$D61,$D61-($D61-$I$49)*MIN(J$3-$O$2,$Q$2)/$Q$2))</f>
        <v>1922.18463059396</v>
      </c>
      <c r="K61" s="15" t="n">
        <f aca="false">J61*(1+IF(K$3&lt;=$O$2,$D61,$D61-($D61-$I$49)*MIN(K$3-$O$2,$Q$2)/$Q$2))</f>
        <v>1940.7569887337</v>
      </c>
      <c r="L61" s="15" t="n">
        <f aca="false">K61*(1+IF(L$3&lt;=$O$2,$D61,$D61-($D61-$I$49)*MIN(L$3-$O$2,$Q$2)/$Q$2))</f>
        <v>1962.96197787433</v>
      </c>
      <c r="M61" s="15" t="n">
        <f aca="false">L61*(1+IF(M$3&lt;=$O$2,$D61,$D61-($D61-$I$49)*MIN(M$3-$O$2,$Q$2)/$Q$2))</f>
        <v>1988.91371542947</v>
      </c>
      <c r="N61" s="15" t="n">
        <f aca="false">M61*(1+IF(N$3&lt;=$O$2,$D61,$D61-($D61-$I$49)*MIN(N$3-$O$2,$Q$2)/$Q$2))</f>
        <v>2018.74742116091</v>
      </c>
      <c r="O61" s="15" t="n">
        <f aca="false">SUMPRODUCT(E61:N61,1/(1+$F$49)^$E$3:$N$3)*$E$2</f>
        <v>5240.99281581062</v>
      </c>
      <c r="P61" s="15" t="n">
        <f aca="false">N61*$E$2*(1+$I$49)/($F$49-$I$49)/(1+$F$49)^$N$3</f>
        <v>11369.6174683141</v>
      </c>
      <c r="Q61" s="15" t="n">
        <f aca="false">O61+P61</f>
        <v>16610.6102841248</v>
      </c>
      <c r="R61" s="15" t="n">
        <f aca="false">Q61-$G$2+$I$2</f>
        <v>15057.9102841247</v>
      </c>
      <c r="S61" s="40" t="n">
        <f aca="false">R61/$K$2</f>
        <v>54.6784933517003</v>
      </c>
      <c r="T61" s="41" t="n">
        <f aca="false">S61-$M$2</f>
        <v>0.173972490376372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0.00537109375</v>
      </c>
      <c r="C62" s="25" t="n">
        <f aca="false">IF(T61&gt;0,D61,C61)</f>
        <v>0.006103515625</v>
      </c>
      <c r="D62" s="39" t="n">
        <f aca="false">(B62+C62)/2</f>
        <v>0.0057373046875</v>
      </c>
      <c r="E62" s="15" t="n">
        <f aca="false">$C$2*(1+IF(E$3&lt;=$O$2,$D62,$D62-($D62-$I$49)*MIN(E$3-$O$2,$Q$2)/$Q$2))</f>
        <v>1860.61401367188</v>
      </c>
      <c r="F62" s="15" t="n">
        <f aca="false">E62*(1+IF(F$3&lt;=$O$2,$D62,$D62-($D62-$I$49)*MIN(F$3-$O$2,$Q$2)/$Q$2))</f>
        <v>1871.28892317414</v>
      </c>
      <c r="G62" s="15" t="n">
        <f aca="false">F62*(1+IF(G$3&lt;=$O$2,$D62,$D62-($D62-$I$49)*MIN(G$3-$O$2,$Q$2)/$Q$2))</f>
        <v>1882.02507788474</v>
      </c>
      <c r="H62" s="15" t="n">
        <f aca="false">G62*(1+IF(H$3&lt;=$O$2,$D62,$D62-($D62-$I$49)*MIN(H$3-$O$2,$Q$2)/$Q$2))</f>
        <v>1892.82282918608</v>
      </c>
      <c r="I62" s="15" t="n">
        <f aca="false">H62*(1+IF(I$3&lt;=$O$2,$D62,$D62-($D62-$I$49)*MIN(I$3-$O$2,$Q$2)/$Q$2))</f>
        <v>1903.68253047657</v>
      </c>
      <c r="J62" s="15" t="n">
        <f aca="false">I62*(1+IF(J$3&lt;=$O$2,$D62,$D62-($D62-$I$49)*MIN(J$3-$O$2,$Q$2)/$Q$2))</f>
        <v>1918.1311834325</v>
      </c>
      <c r="K62" s="15" t="n">
        <f aca="false">J62*(1+IF(K$3&lt;=$O$2,$D62,$D62-($D62-$I$49)*MIN(K$3-$O$2,$Q$2)/$Q$2))</f>
        <v>1936.24291235106</v>
      </c>
      <c r="L62" s="15" t="n">
        <f aca="false">K62*(1+IF(L$3&lt;=$O$2,$D62,$D62-($D62-$I$49)*MIN(L$3-$O$2,$Q$2)/$Q$2))</f>
        <v>1958.11262477709</v>
      </c>
      <c r="M62" s="15" t="n">
        <f aca="false">L62*(1+IF(M$3&lt;=$O$2,$D62,$D62-($D62-$I$49)*MIN(M$3-$O$2,$Q$2)/$Q$2))</f>
        <v>1983.85683402257</v>
      </c>
      <c r="N62" s="15" t="n">
        <f aca="false">M62*(1+IF(N$3&lt;=$O$2,$D62,$D62-($D62-$I$49)*MIN(N$3-$O$2,$Q$2)/$Q$2))</f>
        <v>2013.61468653291</v>
      </c>
      <c r="O62" s="15" t="n">
        <f aca="false">SUMPRODUCT(E62:N62,1/(1+$F$49)^$E$3:$N$3)*$E$2</f>
        <v>5232.3388529496</v>
      </c>
      <c r="P62" s="15" t="n">
        <f aca="false">N62*$E$2*(1+$I$49)/($F$49-$I$49)/(1+$F$49)^$N$3</f>
        <v>11340.7098255476</v>
      </c>
      <c r="Q62" s="15" t="n">
        <f aca="false">O62+P62</f>
        <v>16573.0486784972</v>
      </c>
      <c r="R62" s="15" t="n">
        <f aca="false">Q62-$G$2+$I$2</f>
        <v>15020.3486784972</v>
      </c>
      <c r="S62" s="40" t="n">
        <f aca="false">R62/$K$2</f>
        <v>54.5420991266829</v>
      </c>
      <c r="T62" s="41" t="n">
        <f aca="false">S62-$M$2</f>
        <v>0.0375782653589525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0.00537109375</v>
      </c>
      <c r="C63" s="25" t="n">
        <f aca="false">IF(T62&gt;0,D62,C62)</f>
        <v>0.0057373046875</v>
      </c>
      <c r="D63" s="39" t="n">
        <f aca="false">(B63+C63)/2</f>
        <v>0.00555419921875</v>
      </c>
      <c r="E63" s="15" t="n">
        <f aca="false">$C$2*(1+IF(E$3&lt;=$O$2,$D63,$D63-($D63-$I$49)*MIN(E$3-$O$2,$Q$2)/$Q$2))</f>
        <v>1860.27526855469</v>
      </c>
      <c r="F63" s="15" t="n">
        <f aca="false">E63*(1+IF(F$3&lt;=$O$2,$D63,$D63-($D63-$I$49)*MIN(F$3-$O$2,$Q$2)/$Q$2))</f>
        <v>1870.60760799795</v>
      </c>
      <c r="G63" s="15" t="n">
        <f aca="false">F63*(1+IF(G$3&lt;=$O$2,$D63,$D63-($D63-$I$49)*MIN(G$3-$O$2,$Q$2)/$Q$2))</f>
        <v>1880.99733531288</v>
      </c>
      <c r="H63" s="15" t="n">
        <f aca="false">G63*(1+IF(H$3&lt;=$O$2,$D63,$D63-($D63-$I$49)*MIN(H$3-$O$2,$Q$2)/$Q$2))</f>
        <v>1891.44476924315</v>
      </c>
      <c r="I63" s="15" t="n">
        <f aca="false">H63*(1+IF(I$3&lt;=$O$2,$D63,$D63-($D63-$I$49)*MIN(I$3-$O$2,$Q$2)/$Q$2))</f>
        <v>1901.95023030279</v>
      </c>
      <c r="J63" s="15" t="n">
        <f aca="false">I63*(1+IF(J$3&lt;=$O$2,$D63,$D63-($D63-$I$49)*MIN(J$3-$O$2,$Q$2)/$Q$2))</f>
        <v>1916.1071293803</v>
      </c>
      <c r="K63" s="15" t="n">
        <f aca="false">J63*(1+IF(K$3&lt;=$O$2,$D63,$D63-($D63-$I$49)*MIN(K$3-$O$2,$Q$2)/$Q$2))</f>
        <v>1933.98923658921</v>
      </c>
      <c r="L63" s="15" t="n">
        <f aca="false">K63*(1+IF(L$3&lt;=$O$2,$D63,$D63-($D63-$I$49)*MIN(L$3-$O$2,$Q$2)/$Q$2))</f>
        <v>1955.69184432128</v>
      </c>
      <c r="M63" s="15" t="n">
        <f aca="false">L63*(1+IF(M$3&lt;=$O$2,$D63,$D63-($D63-$I$49)*MIN(M$3-$O$2,$Q$2)/$Q$2))</f>
        <v>1981.33260687591</v>
      </c>
      <c r="N63" s="15" t="n">
        <f aca="false">M63*(1+IF(N$3&lt;=$O$2,$D63,$D63-($D63-$I$49)*MIN(N$3-$O$2,$Q$2)/$Q$2))</f>
        <v>2011.05259597905</v>
      </c>
      <c r="O63" s="15" t="n">
        <f aca="false">SUMPRODUCT(E63:N63,1/(1+$F$49)^$E$3:$N$3)*$E$2</f>
        <v>5228.01728880396</v>
      </c>
      <c r="P63" s="15" t="n">
        <f aca="false">N63*$E$2*(1+$I$49)/($F$49-$I$49)/(1+$F$49)^$N$3</f>
        <v>11326.2800909452</v>
      </c>
      <c r="Q63" s="15" t="n">
        <f aca="false">O63+P63</f>
        <v>16554.2973797492</v>
      </c>
      <c r="R63" s="15" t="n">
        <f aca="false">Q63-$G$2+$I$2</f>
        <v>15001.5973797492</v>
      </c>
      <c r="S63" s="40" t="n">
        <f aca="false">R63/$K$2</f>
        <v>54.4740091497483</v>
      </c>
      <c r="T63" s="41" t="n">
        <f aca="false">S63-$M$2</f>
        <v>-0.0305117115756417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0.00555419921875</v>
      </c>
      <c r="C64" s="25" t="n">
        <f aca="false">IF(T63&gt;0,D63,C63)</f>
        <v>0.0057373046875</v>
      </c>
      <c r="D64" s="39" t="n">
        <f aca="false">(B64+C64)/2</f>
        <v>0.005645751953125</v>
      </c>
      <c r="E64" s="15" t="n">
        <f aca="false">$C$2*(1+IF(E$3&lt;=$O$2,$D64,$D64-($D64-$I$49)*MIN(E$3-$O$2,$Q$2)/$Q$2))</f>
        <v>1860.44464111328</v>
      </c>
      <c r="F64" s="15" t="n">
        <f aca="false">E64*(1+IF(F$3&lt;=$O$2,$D64,$D64-($D64-$I$49)*MIN(F$3-$O$2,$Q$2)/$Q$2))</f>
        <v>1870.94825007953</v>
      </c>
      <c r="G64" s="15" t="n">
        <f aca="false">F64*(1+IF(G$3&lt;=$O$2,$D64,$D64-($D64-$I$49)*MIN(G$3-$O$2,$Q$2)/$Q$2))</f>
        <v>1881.51115981661</v>
      </c>
      <c r="H64" s="15" t="n">
        <f aca="false">G64*(1+IF(H$3&lt;=$O$2,$D64,$D64-($D64-$I$49)*MIN(H$3-$O$2,$Q$2)/$Q$2))</f>
        <v>1892.13370512197</v>
      </c>
      <c r="I64" s="15" t="n">
        <f aca="false">H64*(1+IF(I$3&lt;=$O$2,$D64,$D64-($D64-$I$49)*MIN(I$3-$O$2,$Q$2)/$Q$2))</f>
        <v>1902.81622268324</v>
      </c>
      <c r="J64" s="15" t="n">
        <f aca="false">I64*(1+IF(J$3&lt;=$O$2,$D64,$D64-($D64-$I$49)*MIN(J$3-$O$2,$Q$2)/$Q$2))</f>
        <v>1917.11893407581</v>
      </c>
      <c r="K64" s="15" t="n">
        <f aca="false">J64*(1+IF(K$3&lt;=$O$2,$D64,$D64-($D64-$I$49)*MIN(K$3-$O$2,$Q$2)/$Q$2))</f>
        <v>1935.11579446012</v>
      </c>
      <c r="L64" s="15" t="n">
        <f aca="false">K64*(1+IF(L$3&lt;=$O$2,$D64,$D64-($D64-$I$49)*MIN(L$3-$O$2,$Q$2)/$Q$2))</f>
        <v>1956.9019101207</v>
      </c>
      <c r="M64" s="15" t="n">
        <f aca="false">L64*(1+IF(M$3&lt;=$O$2,$D64,$D64-($D64-$I$49)*MIN(M$3-$O$2,$Q$2)/$Q$2))</f>
        <v>1982.59436959838</v>
      </c>
      <c r="N64" s="15" t="n">
        <f aca="false">M64*(1+IF(N$3&lt;=$O$2,$D64,$D64-($D64-$I$49)*MIN(N$3-$O$2,$Q$2)/$Q$2))</f>
        <v>2012.33328514235</v>
      </c>
      <c r="O64" s="15" t="n">
        <f aca="false">SUMPRODUCT(E64:N64,1/(1+$F$49)^$E$3:$N$3)*$E$2</f>
        <v>5230.17761973073</v>
      </c>
      <c r="P64" s="15" t="n">
        <f aca="false">N64*$E$2*(1+$I$49)/($F$49-$I$49)/(1+$F$49)^$N$3</f>
        <v>11333.4929526088</v>
      </c>
      <c r="Q64" s="15" t="n">
        <f aca="false">O64+P64</f>
        <v>16563.6705723396</v>
      </c>
      <c r="R64" s="15" t="n">
        <f aca="false">Q64-$G$2+$I$2</f>
        <v>15010.9705723396</v>
      </c>
      <c r="S64" s="40" t="n">
        <f aca="false">R64/$K$2</f>
        <v>54.5080452171087</v>
      </c>
      <c r="T64" s="41" t="n">
        <f aca="false">S64-$M$2</f>
        <v>0.0035243557847835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0.00555419921875</v>
      </c>
      <c r="C65" s="25" t="n">
        <f aca="false">IF(T64&gt;0,D64,C64)</f>
        <v>0.005645751953125</v>
      </c>
      <c r="D65" s="39" t="n">
        <f aca="false">(B65+C65)/2</f>
        <v>0.0055999755859375</v>
      </c>
      <c r="E65" s="15" t="n">
        <f aca="false">$C$2*(1+IF(E$3&lt;=$O$2,$D65,$D65-($D65-$I$49)*MIN(E$3-$O$2,$Q$2)/$Q$2))</f>
        <v>1860.35995483398</v>
      </c>
      <c r="F65" s="15" t="n">
        <f aca="false">E65*(1+IF(F$3&lt;=$O$2,$D65,$D65-($D65-$I$49)*MIN(F$3-$O$2,$Q$2)/$Q$2))</f>
        <v>1870.77792516211</v>
      </c>
      <c r="G65" s="15" t="n">
        <f aca="false">F65*(1+IF(G$3&lt;=$O$2,$D65,$D65-($D65-$I$49)*MIN(G$3-$O$2,$Q$2)/$Q$2))</f>
        <v>1881.25423586973</v>
      </c>
      <c r="H65" s="15" t="n">
        <f aca="false">G65*(1+IF(H$3&lt;=$O$2,$D65,$D65-($D65-$I$49)*MIN(H$3-$O$2,$Q$2)/$Q$2))</f>
        <v>1891.78921366154</v>
      </c>
      <c r="I65" s="15" t="n">
        <f aca="false">H65*(1+IF(I$3&lt;=$O$2,$D65,$D65-($D65-$I$49)*MIN(I$3-$O$2,$Q$2)/$Q$2))</f>
        <v>1902.38318707179</v>
      </c>
      <c r="J65" s="15" t="n">
        <f aca="false">I65*(1+IF(J$3&lt;=$O$2,$D65,$D65-($D65-$I$49)*MIN(J$3-$O$2,$Q$2)/$Q$2))</f>
        <v>1916.61297615516</v>
      </c>
      <c r="K65" s="15" t="n">
        <f aca="false">J65*(1+IF(K$3&lt;=$O$2,$D65,$D65-($D65-$I$49)*MIN(K$3-$O$2,$Q$2)/$Q$2))</f>
        <v>1934.55244553659</v>
      </c>
      <c r="L65" s="15" t="n">
        <f aca="false">K65*(1+IF(L$3&lt;=$O$2,$D65,$D65-($D65-$I$49)*MIN(L$3-$O$2,$Q$2)/$Q$2))</f>
        <v>1956.29679613231</v>
      </c>
      <c r="M65" s="15" t="n">
        <f aca="false">L65*(1+IF(M$3&lt;=$O$2,$D65,$D65-($D65-$I$49)*MIN(M$3-$O$2,$Q$2)/$Q$2))</f>
        <v>1981.96340054533</v>
      </c>
      <c r="N65" s="15" t="n">
        <f aca="false">M65*(1+IF(N$3&lt;=$O$2,$D65,$D65-($D65-$I$49)*MIN(N$3-$O$2,$Q$2)/$Q$2))</f>
        <v>2011.69285155351</v>
      </c>
      <c r="O65" s="15" t="n">
        <f aca="false">SUMPRODUCT(E65:N65,1/(1+$F$49)^$E$3:$N$3)*$E$2</f>
        <v>5229.0973415029</v>
      </c>
      <c r="P65" s="15" t="n">
        <f aca="false">N65*$E$2*(1+$I$49)/($F$49-$I$49)/(1+$F$49)^$N$3</f>
        <v>11329.8860204871</v>
      </c>
      <c r="Q65" s="15" t="n">
        <f aca="false">O65+P65</f>
        <v>16558.98336199</v>
      </c>
      <c r="R65" s="15" t="n">
        <f aca="false">Q65-$G$2+$I$2</f>
        <v>15006.28336199</v>
      </c>
      <c r="S65" s="40" t="n">
        <f aca="false">R65/$K$2</f>
        <v>54.4910249536659</v>
      </c>
      <c r="T65" s="41" t="n">
        <f aca="false">S65-$M$2</f>
        <v>-0.0134959076580898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0.0055999755859375</v>
      </c>
      <c r="C66" s="25" t="n">
        <f aca="false">IF(T65&gt;0,D65,C65)</f>
        <v>0.005645751953125</v>
      </c>
      <c r="D66" s="39" t="n">
        <f aca="false">(B66+C66)/2</f>
        <v>0.00562286376953125</v>
      </c>
      <c r="E66" s="15" t="n">
        <f aca="false">$C$2*(1+IF(E$3&lt;=$O$2,$D66,$D66-($D66-$I$49)*MIN(E$3-$O$2,$Q$2)/$Q$2))</f>
        <v>1860.40229797363</v>
      </c>
      <c r="F66" s="15" t="n">
        <f aca="false">E66*(1+IF(F$3&lt;=$O$2,$D66,$D66-($D66-$I$49)*MIN(F$3-$O$2,$Q$2)/$Q$2))</f>
        <v>1870.86308665166</v>
      </c>
      <c r="G66" s="15" t="n">
        <f aca="false">F66*(1+IF(G$3&lt;=$O$2,$D66,$D66-($D66-$I$49)*MIN(G$3-$O$2,$Q$2)/$Q$2))</f>
        <v>1881.38269491935</v>
      </c>
      <c r="H66" s="15" t="n">
        <f aca="false">G66*(1+IF(H$3&lt;=$O$2,$D66,$D66-($D66-$I$49)*MIN(H$3-$O$2,$Q$2)/$Q$2))</f>
        <v>1891.96145351123</v>
      </c>
      <c r="I66" s="15" t="n">
        <f aca="false">H66*(1+IF(I$3&lt;=$O$2,$D66,$D66-($D66-$I$49)*MIN(I$3-$O$2,$Q$2)/$Q$2))</f>
        <v>1902.59969502153</v>
      </c>
      <c r="J66" s="15" t="n">
        <f aca="false">I66*(1+IF(J$3&lt;=$O$2,$D66,$D66-($D66-$I$49)*MIN(J$3-$O$2,$Q$2)/$Q$2))</f>
        <v>1916.86594122104</v>
      </c>
      <c r="K66" s="15" t="n">
        <f aca="false">J66*(1+IF(K$3&lt;=$O$2,$D66,$D66-($D66-$I$49)*MIN(K$3-$O$2,$Q$2)/$Q$2))</f>
        <v>1934.83410249953</v>
      </c>
      <c r="L66" s="15" t="n">
        <f aca="false">K66*(1+IF(L$3&lt;=$O$2,$D66,$D66-($D66-$I$49)*MIN(L$3-$O$2,$Q$2)/$Q$2))</f>
        <v>1956.59933285203</v>
      </c>
      <c r="M66" s="15" t="n">
        <f aca="false">L66*(1+IF(M$3&lt;=$O$2,$D66,$D66-($D66-$I$49)*MIN(M$3-$O$2,$Q$2)/$Q$2))</f>
        <v>1982.27886314629</v>
      </c>
      <c r="N66" s="15" t="n">
        <f aca="false">M66*(1+IF(N$3&lt;=$O$2,$D66,$D66-($D66-$I$49)*MIN(N$3-$O$2,$Q$2)/$Q$2))</f>
        <v>2012.01304609348</v>
      </c>
      <c r="O66" s="15" t="n">
        <f aca="false">SUMPRODUCT(E66:N66,1/(1+$F$49)^$E$3:$N$3)*$E$2</f>
        <v>5229.63745242294</v>
      </c>
      <c r="P66" s="15" t="n">
        <f aca="false">N66*$E$2*(1+$I$49)/($F$49-$I$49)/(1+$F$49)^$N$3</f>
        <v>11331.6893612106</v>
      </c>
      <c r="Q66" s="15" t="n">
        <f aca="false">O66+P66</f>
        <v>16561.3268136335</v>
      </c>
      <c r="R66" s="15" t="n">
        <f aca="false">Q66-$G$2+$I$2</f>
        <v>15008.6268136335</v>
      </c>
      <c r="S66" s="40" t="n">
        <f aca="false">R66/$K$2</f>
        <v>54.4995345278824</v>
      </c>
      <c r="T66" s="41" t="n">
        <f aca="false">S66-$M$2</f>
        <v>-0.00498633344155763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0.00562286376953125</v>
      </c>
      <c r="C67" s="25" t="n">
        <f aca="false">IF(T66&gt;0,D66,C66)</f>
        <v>0.005645751953125</v>
      </c>
      <c r="D67" s="39" t="n">
        <f aca="false">(B67+C67)/2</f>
        <v>0.00563430786132813</v>
      </c>
      <c r="E67" s="15" t="n">
        <f aca="false">$C$2*(1+IF(E$3&lt;=$O$2,$D67,$D67-($D67-$I$49)*MIN(E$3-$O$2,$Q$2)/$Q$2))</f>
        <v>1860.42346954346</v>
      </c>
      <c r="F67" s="15" t="n">
        <f aca="false">E67*(1+IF(F$3&lt;=$O$2,$D67,$D67-($D67-$I$49)*MIN(F$3-$O$2,$Q$2)/$Q$2))</f>
        <v>1870.90566812331</v>
      </c>
      <c r="G67" s="15" t="n">
        <f aca="false">F67*(1+IF(G$3&lt;=$O$2,$D67,$D67-($D67-$I$49)*MIN(G$3-$O$2,$Q$2)/$Q$2))</f>
        <v>1881.44692663702</v>
      </c>
      <c r="H67" s="15" t="n">
        <f aca="false">G67*(1+IF(H$3&lt;=$O$2,$D67,$D67-($D67-$I$49)*MIN(H$3-$O$2,$Q$2)/$Q$2))</f>
        <v>1892.04757784644</v>
      </c>
      <c r="I67" s="15" t="n">
        <f aca="false">H67*(1+IF(I$3&lt;=$O$2,$D67,$D67-($D67-$I$49)*MIN(I$3-$O$2,$Q$2)/$Q$2))</f>
        <v>1902.70795638831</v>
      </c>
      <c r="J67" s="15" t="n">
        <f aca="false">I67*(1+IF(J$3&lt;=$O$2,$D67,$D67-($D67-$I$49)*MIN(J$3-$O$2,$Q$2)/$Q$2))</f>
        <v>1916.99243417466</v>
      </c>
      <c r="K67" s="15" t="n">
        <f aca="false">J67*(1+IF(K$3&lt;=$O$2,$D67,$D67-($D67-$I$49)*MIN(K$3-$O$2,$Q$2)/$Q$2))</f>
        <v>1934.9749441049</v>
      </c>
      <c r="L67" s="15" t="n">
        <f aca="false">K67*(1+IF(L$3&lt;=$O$2,$D67,$D67-($D67-$I$49)*MIN(L$3-$O$2,$Q$2)/$Q$2))</f>
        <v>1956.75061641746</v>
      </c>
      <c r="M67" s="15" t="n">
        <f aca="false">L67*(1+IF(M$3&lt;=$O$2,$D67,$D67-($D67-$I$49)*MIN(M$3-$O$2,$Q$2)/$Q$2))</f>
        <v>1982.43661089062</v>
      </c>
      <c r="N67" s="15" t="n">
        <f aca="false">M67*(1+IF(N$3&lt;=$O$2,$D67,$D67-($D67-$I$49)*MIN(N$3-$O$2,$Q$2)/$Q$2))</f>
        <v>2012.17316005397</v>
      </c>
      <c r="O67" s="15" t="n">
        <f aca="false">SUMPRODUCT(E67:N67,1/(1+$F$49)^$E$3:$N$3)*$E$2</f>
        <v>5229.90752902802</v>
      </c>
      <c r="P67" s="15" t="n">
        <f aca="false">N67*$E$2*(1+$I$49)/($F$49-$I$49)/(1+$F$49)^$N$3</f>
        <v>11332.5911255735</v>
      </c>
      <c r="Q67" s="15" t="n">
        <f aca="false">O67+P67</f>
        <v>16562.4986546015</v>
      </c>
      <c r="R67" s="15" t="n">
        <f aca="false">Q67-$G$2+$I$2</f>
        <v>15009.7986546015</v>
      </c>
      <c r="S67" s="40" t="n">
        <f aca="false">R67/$K$2</f>
        <v>54.5037897331113</v>
      </c>
      <c r="T67" s="41" t="n">
        <f aca="false">S67-$M$2</f>
        <v>-0.000731128212642318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0.00563430786132813</v>
      </c>
      <c r="C68" s="25" t="n">
        <f aca="false">IF(T67&gt;0,D67,C67)</f>
        <v>0.005645751953125</v>
      </c>
      <c r="D68" s="39" t="n">
        <f aca="false">(B68+C68)/2</f>
        <v>0.00564002990722656</v>
      </c>
      <c r="E68" s="15" t="n">
        <f aca="false">$C$2*(1+IF(E$3&lt;=$O$2,$D68,$D68-($D68-$I$49)*MIN(E$3-$O$2,$Q$2)/$Q$2))</f>
        <v>1860.43405532837</v>
      </c>
      <c r="F68" s="15" t="n">
        <f aca="false">E68*(1+IF(F$3&lt;=$O$2,$D68,$D68-($D68-$I$49)*MIN(F$3-$O$2,$Q$2)/$Q$2))</f>
        <v>1870.92695904084</v>
      </c>
      <c r="G68" s="15" t="n">
        <f aca="false">F68*(1+IF(G$3&lt;=$O$2,$D68,$D68-($D68-$I$49)*MIN(G$3-$O$2,$Q$2)/$Q$2))</f>
        <v>1881.47904304407</v>
      </c>
      <c r="H68" s="15" t="n">
        <f aca="false">G68*(1+IF(H$3&lt;=$O$2,$D68,$D68-($D68-$I$49)*MIN(H$3-$O$2,$Q$2)/$Q$2))</f>
        <v>1892.09064111666</v>
      </c>
      <c r="I68" s="15" t="n">
        <f aca="false">H68*(1+IF(I$3&lt;=$O$2,$D68,$D68-($D68-$I$49)*MIN(I$3-$O$2,$Q$2)/$Q$2))</f>
        <v>1902.76208891974</v>
      </c>
      <c r="J68" s="15" t="n">
        <f aca="false">I68*(1+IF(J$3&lt;=$O$2,$D68,$D68-($D68-$I$49)*MIN(J$3-$O$2,$Q$2)/$Q$2))</f>
        <v>1917.05568325678</v>
      </c>
      <c r="K68" s="15" t="n">
        <f aca="false">J68*(1+IF(K$3&lt;=$O$2,$D68,$D68-($D68-$I$49)*MIN(K$3-$O$2,$Q$2)/$Q$2))</f>
        <v>1935.04536818875</v>
      </c>
      <c r="L68" s="15" t="n">
        <f aca="false">K68*(1+IF(L$3&lt;=$O$2,$D68,$D68-($D68-$I$49)*MIN(L$3-$O$2,$Q$2)/$Q$2))</f>
        <v>1956.82626200182</v>
      </c>
      <c r="M68" s="15" t="n">
        <f aca="false">L68*(1+IF(M$3&lt;=$O$2,$D68,$D68-($D68-$I$49)*MIN(M$3-$O$2,$Q$2)/$Q$2))</f>
        <v>1982.51548887403</v>
      </c>
      <c r="N68" s="15" t="n">
        <f aca="false">M68*(1+IF(N$3&lt;=$O$2,$D68,$D68-($D68-$I$49)*MIN(N$3-$O$2,$Q$2)/$Q$2))</f>
        <v>2012.25322120714</v>
      </c>
      <c r="O68" s="15" t="n">
        <f aca="false">SUMPRODUCT(E68:N68,1/(1+$F$49)^$E$3:$N$3)*$E$2</f>
        <v>5230.04257261713</v>
      </c>
      <c r="P68" s="15" t="n">
        <f aca="false">N68*$E$2*(1+$I$49)/($F$49-$I$49)/(1+$F$49)^$N$3</f>
        <v>11333.0420312569</v>
      </c>
      <c r="Q68" s="15" t="n">
        <f aca="false">O68+P68</f>
        <v>16563.084603874</v>
      </c>
      <c r="R68" s="15" t="n">
        <f aca="false">Q68-$G$2+$I$2</f>
        <v>15010.384603874</v>
      </c>
      <c r="S68" s="40" t="n">
        <f aca="false">R68/$K$2</f>
        <v>54.505917440263</v>
      </c>
      <c r="T68" s="41" t="n">
        <f aca="false">S68-$M$2</f>
        <v>0.00139657893900846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0.00563430786132813</v>
      </c>
      <c r="C69" s="25" t="n">
        <f aca="false">IF(T68&gt;0,D68,C68)</f>
        <v>0.00564002990722656</v>
      </c>
      <c r="D69" s="39" t="n">
        <f aca="false">(B69+C69)/2</f>
        <v>0.00563716888427734</v>
      </c>
      <c r="E69" s="15" t="n">
        <f aca="false">$C$2*(1+IF(E$3&lt;=$O$2,$D69,$D69-($D69-$I$49)*MIN(E$3-$O$2,$Q$2)/$Q$2))</f>
        <v>1860.42876243591</v>
      </c>
      <c r="F69" s="15" t="n">
        <f aca="false">E69*(1+IF(F$3&lt;=$O$2,$D69,$D69-($D69-$I$49)*MIN(F$3-$O$2,$Q$2)/$Q$2))</f>
        <v>1870.91631356693</v>
      </c>
      <c r="G69" s="15" t="n">
        <f aca="false">F69*(1+IF(G$3&lt;=$O$2,$D69,$D69-($D69-$I$49)*MIN(G$3-$O$2,$Q$2)/$Q$2))</f>
        <v>1881.46298479486</v>
      </c>
      <c r="H69" s="15" t="n">
        <f aca="false">G69*(1+IF(H$3&lt;=$O$2,$D69,$D69-($D69-$I$49)*MIN(H$3-$O$2,$Q$2)/$Q$2))</f>
        <v>1892.06910938966</v>
      </c>
      <c r="I69" s="15" t="n">
        <f aca="false">H69*(1+IF(I$3&lt;=$O$2,$D69,$D69-($D69-$I$49)*MIN(I$3-$O$2,$Q$2)/$Q$2))</f>
        <v>1902.73502250002</v>
      </c>
      <c r="J69" s="15" t="n">
        <f aca="false">I69*(1+IF(J$3&lt;=$O$2,$D69,$D69-($D69-$I$49)*MIN(J$3-$O$2,$Q$2)/$Q$2))</f>
        <v>1917.02405849861</v>
      </c>
      <c r="K69" s="15" t="n">
        <f aca="false">J69*(1+IF(K$3&lt;=$O$2,$D69,$D69-($D69-$I$49)*MIN(K$3-$O$2,$Q$2)/$Q$2))</f>
        <v>1935.01015587339</v>
      </c>
      <c r="L69" s="15" t="n">
        <f aca="false">K69*(1+IF(L$3&lt;=$O$2,$D69,$D69-($D69-$I$49)*MIN(L$3-$O$2,$Q$2)/$Q$2))</f>
        <v>1956.78843889283</v>
      </c>
      <c r="M69" s="15" t="n">
        <f aca="false">L69*(1+IF(M$3&lt;=$O$2,$D69,$D69-($D69-$I$49)*MIN(M$3-$O$2,$Q$2)/$Q$2))</f>
        <v>1982.47604953971</v>
      </c>
      <c r="N69" s="15" t="n">
        <f aca="false">M69*(1+IF(N$3&lt;=$O$2,$D69,$D69-($D69-$I$49)*MIN(N$3-$O$2,$Q$2)/$Q$2))</f>
        <v>2012.2131902828</v>
      </c>
      <c r="O69" s="15" t="n">
        <f aca="false">SUMPRODUCT(E69:N69,1/(1+$F$49)^$E$3:$N$3)*$E$2</f>
        <v>5229.97505038202</v>
      </c>
      <c r="P69" s="15" t="n">
        <f aca="false">N69*$E$2*(1+$I$49)/($F$49-$I$49)/(1+$F$49)^$N$3</f>
        <v>11332.8165764567</v>
      </c>
      <c r="Q69" s="15" t="n">
        <f aca="false">O69+P69</f>
        <v>16562.7916268387</v>
      </c>
      <c r="R69" s="15" t="n">
        <f aca="false">Q69-$G$2+$I$2</f>
        <v>15010.0916268387</v>
      </c>
      <c r="S69" s="40" t="n">
        <f aca="false">R69/$K$2</f>
        <v>54.5048535779755</v>
      </c>
      <c r="T69" s="41" t="n">
        <f aca="false">S69-$M$2</f>
        <v>0.000332716651548992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0.00563430786132813</v>
      </c>
      <c r="C70" s="25" t="n">
        <f aca="false">IF(T69&gt;0,D69,C69)</f>
        <v>0.00563716888427734</v>
      </c>
      <c r="D70" s="39" t="n">
        <f aca="false">(B70+C70)/2</f>
        <v>0.00563573837280273</v>
      </c>
      <c r="E70" s="15" t="n">
        <f aca="false">$C$2*(1+IF(E$3&lt;=$O$2,$D70,$D70-($D70-$I$49)*MIN(E$3-$O$2,$Q$2)/$Q$2))</f>
        <v>1860.42611598969</v>
      </c>
      <c r="F70" s="15" t="n">
        <f aca="false">E70*(1+IF(F$3&lt;=$O$2,$D70,$D70-($D70-$I$49)*MIN(F$3-$O$2,$Q$2)/$Q$2))</f>
        <v>1870.91099084133</v>
      </c>
      <c r="G70" s="15" t="n">
        <f aca="false">F70*(1+IF(G$3&lt;=$O$2,$D70,$D70-($D70-$I$49)*MIN(G$3-$O$2,$Q$2)/$Q$2))</f>
        <v>1881.45495570452</v>
      </c>
      <c r="H70" s="15" t="n">
        <f aca="false">G70*(1+IF(H$3&lt;=$O$2,$D70,$D70-($D70-$I$49)*MIN(H$3-$O$2,$Q$2)/$Q$2))</f>
        <v>1892.05834359508</v>
      </c>
      <c r="I70" s="15" t="n">
        <f aca="false">H70*(1+IF(I$3&lt;=$O$2,$D70,$D70-($D70-$I$49)*MIN(I$3-$O$2,$Q$2)/$Q$2))</f>
        <v>1902.72148940566</v>
      </c>
      <c r="J70" s="15" t="n">
        <f aca="false">I70*(1+IF(J$3&lt;=$O$2,$D70,$D70-($D70-$I$49)*MIN(J$3-$O$2,$Q$2)/$Q$2))</f>
        <v>1917.00824628236</v>
      </c>
      <c r="K70" s="15" t="n">
        <f aca="false">J70*(1+IF(K$3&lt;=$O$2,$D70,$D70-($D70-$I$49)*MIN(K$3-$O$2,$Q$2)/$Q$2))</f>
        <v>1934.99254992078</v>
      </c>
      <c r="L70" s="15" t="n">
        <f aca="false">K70*(1+IF(L$3&lt;=$O$2,$D70,$D70-($D70-$I$49)*MIN(L$3-$O$2,$Q$2)/$Q$2))</f>
        <v>1956.76952757594</v>
      </c>
      <c r="M70" s="15" t="n">
        <f aca="false">L70*(1+IF(M$3&lt;=$O$2,$D70,$D70-($D70-$I$49)*MIN(M$3-$O$2,$Q$2)/$Q$2))</f>
        <v>1982.45633012951</v>
      </c>
      <c r="N70" s="15" t="n">
        <f aca="false">M70*(1+IF(N$3&lt;=$O$2,$D70,$D70-($D70-$I$49)*MIN(N$3-$O$2,$Q$2)/$Q$2))</f>
        <v>2012.19317508145</v>
      </c>
      <c r="O70" s="15" t="n">
        <f aca="false">SUMPRODUCT(E70:N70,1/(1+$F$49)^$E$3:$N$3)*$E$2</f>
        <v>5229.94128959488</v>
      </c>
      <c r="P70" s="15" t="n">
        <f aca="false">N70*$E$2*(1+$I$49)/($F$49-$I$49)/(1+$F$49)^$N$3</f>
        <v>11332.7038505254</v>
      </c>
      <c r="Q70" s="15" t="n">
        <f aca="false">O70+P70</f>
        <v>16562.6451401203</v>
      </c>
      <c r="R70" s="15" t="n">
        <f aca="false">Q70-$G$2+$I$2</f>
        <v>15009.9451401203</v>
      </c>
      <c r="S70" s="40" t="n">
        <f aca="false">R70/$K$2</f>
        <v>54.5043216533655</v>
      </c>
      <c r="T70" s="41" t="n">
        <f aca="false">S70-$M$2</f>
        <v>-0.000199207958459624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0.00563573837280273</v>
      </c>
      <c r="C71" s="25" t="n">
        <f aca="false">IF(T70&gt;0,D70,C70)</f>
        <v>0.00563716888427734</v>
      </c>
      <c r="D71" s="39" t="n">
        <f aca="false">(B71+C71)/2</f>
        <v>0.00563645362854004</v>
      </c>
      <c r="E71" s="15" t="n">
        <f aca="false">$C$2*(1+IF(E$3&lt;=$O$2,$D71,$D71-($D71-$I$49)*MIN(E$3-$O$2,$Q$2)/$Q$2))</f>
        <v>1860.4274392128</v>
      </c>
      <c r="F71" s="15" t="n">
        <f aca="false">E71*(1+IF(F$3&lt;=$O$2,$D71,$D71-($D71-$I$49)*MIN(F$3-$O$2,$Q$2)/$Q$2))</f>
        <v>1870.91365220319</v>
      </c>
      <c r="G71" s="15" t="n">
        <f aca="false">F71*(1+IF(G$3&lt;=$O$2,$D71,$D71-($D71-$I$49)*MIN(G$3-$O$2,$Q$2)/$Q$2))</f>
        <v>1881.45897024683</v>
      </c>
      <c r="H71" s="15" t="n">
        <f aca="false">G71*(1+IF(H$3&lt;=$O$2,$D71,$D71-($D71-$I$49)*MIN(H$3-$O$2,$Q$2)/$Q$2))</f>
        <v>1892.06372648663</v>
      </c>
      <c r="I71" s="15" t="n">
        <f aca="false">H71*(1+IF(I$3&lt;=$O$2,$D71,$D71-($D71-$I$49)*MIN(I$3-$O$2,$Q$2)/$Q$2))</f>
        <v>1902.72825594321</v>
      </c>
      <c r="J71" s="15" t="n">
        <f aca="false">I71*(1+IF(J$3&lt;=$O$2,$D71,$D71-($D71-$I$49)*MIN(J$3-$O$2,$Q$2)/$Q$2))</f>
        <v>1917.01615237691</v>
      </c>
      <c r="K71" s="15" t="n">
        <f aca="false">J71*(1+IF(K$3&lt;=$O$2,$D71,$D71-($D71-$I$49)*MIN(K$3-$O$2,$Q$2)/$Q$2))</f>
        <v>1935.00135287999</v>
      </c>
      <c r="L71" s="15" t="n">
        <f aca="false">K71*(1+IF(L$3&lt;=$O$2,$D71,$D71-($D71-$I$49)*MIN(L$3-$O$2,$Q$2)/$Q$2))</f>
        <v>1956.77898321458</v>
      </c>
      <c r="M71" s="15" t="n">
        <f aca="false">L71*(1+IF(M$3&lt;=$O$2,$D71,$D71-($D71-$I$49)*MIN(M$3-$O$2,$Q$2)/$Q$2))</f>
        <v>1982.4661898132</v>
      </c>
      <c r="N71" s="15" t="n">
        <f aca="false">M71*(1+IF(N$3&lt;=$O$2,$D71,$D71-($D71-$I$49)*MIN(N$3-$O$2,$Q$2)/$Q$2))</f>
        <v>2012.20318266039</v>
      </c>
      <c r="O71" s="15" t="n">
        <f aca="false">SUMPRODUCT(E71:N71,1/(1+$F$49)^$E$3:$N$3)*$E$2</f>
        <v>5229.95816996091</v>
      </c>
      <c r="P71" s="15" t="n">
        <f aca="false">N71*$E$2*(1+$I$49)/($F$49-$I$49)/(1+$F$49)^$N$3</f>
        <v>11332.7602133686</v>
      </c>
      <c r="Q71" s="15" t="n">
        <f aca="false">O71+P71</f>
        <v>16562.7183833296</v>
      </c>
      <c r="R71" s="15" t="n">
        <f aca="false">Q71-$G$2+$I$2</f>
        <v>15010.0183833295</v>
      </c>
      <c r="S71" s="40" t="n">
        <f aca="false">R71/$K$2</f>
        <v>54.504587615126</v>
      </c>
      <c r="T71" s="41" t="n">
        <f aca="false">S71-$M$2</f>
        <v>6.67538020593383E-005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0.00563573837280273</v>
      </c>
      <c r="C72" s="25" t="n">
        <f aca="false">IF(T71&gt;0,D71,C71)</f>
        <v>0.00563645362854004</v>
      </c>
      <c r="D72" s="39" t="n">
        <f aca="false">(B72+C72)/2</f>
        <v>0.00563609600067139</v>
      </c>
      <c r="E72" s="15" t="n">
        <f aca="false">$C$2*(1+IF(E$3&lt;=$O$2,$D72,$D72-($D72-$I$49)*MIN(E$3-$O$2,$Q$2)/$Q$2))</f>
        <v>1860.42677760124</v>
      </c>
      <c r="F72" s="15" t="n">
        <f aca="false">E72*(1+IF(F$3&lt;=$O$2,$D72,$D72-($D72-$I$49)*MIN(F$3-$O$2,$Q$2)/$Q$2))</f>
        <v>1870.91232152202</v>
      </c>
      <c r="G72" s="15" t="n">
        <f aca="false">F72*(1+IF(G$3&lt;=$O$2,$D72,$D72-($D72-$I$49)*MIN(G$3-$O$2,$Q$2)/$Q$2))</f>
        <v>1881.45696297496</v>
      </c>
      <c r="H72" s="15" t="n">
        <f aca="false">G72*(1+IF(H$3&lt;=$O$2,$D72,$D72-($D72-$I$49)*MIN(H$3-$O$2,$Q$2)/$Q$2))</f>
        <v>1892.06103503942</v>
      </c>
      <c r="I72" s="15" t="n">
        <f aca="false">H72*(1+IF(I$3&lt;=$O$2,$D72,$D72-($D72-$I$49)*MIN(I$3-$O$2,$Q$2)/$Q$2))</f>
        <v>1902.72487267203</v>
      </c>
      <c r="J72" s="15" t="n">
        <f aca="false">I72*(1+IF(J$3&lt;=$O$2,$D72,$D72-($D72-$I$49)*MIN(J$3-$O$2,$Q$2)/$Q$2))</f>
        <v>1917.01219932624</v>
      </c>
      <c r="K72" s="15" t="n">
        <f aca="false">J72*(1+IF(K$3&lt;=$O$2,$D72,$D72-($D72-$I$49)*MIN(K$3-$O$2,$Q$2)/$Q$2))</f>
        <v>1934.99695139612</v>
      </c>
      <c r="L72" s="15" t="n">
        <f aca="false">K72*(1+IF(L$3&lt;=$O$2,$D72,$D72-($D72-$I$49)*MIN(L$3-$O$2,$Q$2)/$Q$2))</f>
        <v>1956.77425539031</v>
      </c>
      <c r="M72" s="15" t="n">
        <f aca="false">L72*(1+IF(M$3&lt;=$O$2,$D72,$D72-($D72-$I$49)*MIN(M$3-$O$2,$Q$2)/$Q$2))</f>
        <v>1982.461259966</v>
      </c>
      <c r="N72" s="15" t="n">
        <f aca="false">M72*(1+IF(N$3&lt;=$O$2,$D72,$D72-($D72-$I$49)*MIN(N$3-$O$2,$Q$2)/$Q$2))</f>
        <v>2012.19817886549</v>
      </c>
      <c r="O72" s="15" t="n">
        <f aca="false">SUMPRODUCT(E72:N72,1/(1+$F$49)^$E$3:$N$3)*$E$2</f>
        <v>5229.94972977102</v>
      </c>
      <c r="P72" s="15" t="n">
        <f aca="false">N72*$E$2*(1+$I$49)/($F$49-$I$49)/(1+$F$49)^$N$3</f>
        <v>11332.7320319164</v>
      </c>
      <c r="Q72" s="15" t="n">
        <f aca="false">O72+P72</f>
        <v>16562.6817616875</v>
      </c>
      <c r="R72" s="15" t="n">
        <f aca="false">Q72-$G$2+$I$2</f>
        <v>15009.9817616875</v>
      </c>
      <c r="S72" s="40" t="n">
        <f aca="false">R72/$K$2</f>
        <v>54.5044546341096</v>
      </c>
      <c r="T72" s="41" t="n">
        <f aca="false">S72-$M$2</f>
        <v>-6.62272142974985E-005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0.00563609600067139</v>
      </c>
      <c r="C73" s="25" t="n">
        <f aca="false">IF(T72&gt;0,D72,C72)</f>
        <v>0.00563645362854004</v>
      </c>
      <c r="D73" s="39" t="n">
        <f aca="false">(B73+C73)/2</f>
        <v>0.00563627481460571</v>
      </c>
      <c r="E73" s="15" t="n">
        <f aca="false">$C$2*(1+IF(E$3&lt;=$O$2,$D73,$D73-($D73-$I$49)*MIN(E$3-$O$2,$Q$2)/$Q$2))</f>
        <v>1860.42710840702</v>
      </c>
      <c r="F73" s="15" t="n">
        <f aca="false">E73*(1+IF(F$3&lt;=$O$2,$D73,$D73-($D73-$I$49)*MIN(F$3-$O$2,$Q$2)/$Q$2))</f>
        <v>1870.91298686254</v>
      </c>
      <c r="G73" s="15" t="n">
        <f aca="false">F73*(1+IF(G$3&lt;=$O$2,$D73,$D73-($D73-$I$49)*MIN(G$3-$O$2,$Q$2)/$Q$2))</f>
        <v>1881.45796661072</v>
      </c>
      <c r="H73" s="15" t="n">
        <f aca="false">G73*(1+IF(H$3&lt;=$O$2,$D73,$D73-($D73-$I$49)*MIN(H$3-$O$2,$Q$2)/$Q$2))</f>
        <v>1892.06238076266</v>
      </c>
      <c r="I73" s="15" t="n">
        <f aca="false">H73*(1+IF(I$3&lt;=$O$2,$D73,$D73-($D73-$I$49)*MIN(I$3-$O$2,$Q$2)/$Q$2))</f>
        <v>1902.72656430702</v>
      </c>
      <c r="J73" s="15" t="n">
        <f aca="false">I73*(1+IF(J$3&lt;=$O$2,$D73,$D73-($D73-$I$49)*MIN(J$3-$O$2,$Q$2)/$Q$2))</f>
        <v>1917.01417585073</v>
      </c>
      <c r="K73" s="15" t="n">
        <f aca="false">J73*(1+IF(K$3&lt;=$O$2,$D73,$D73-($D73-$I$49)*MIN(K$3-$O$2,$Q$2)/$Q$2))</f>
        <v>1934.99915213699</v>
      </c>
      <c r="L73" s="15" t="n">
        <f aca="false">K73*(1+IF(L$3&lt;=$O$2,$D73,$D73-($D73-$I$49)*MIN(L$3-$O$2,$Q$2)/$Q$2))</f>
        <v>1956.77661930121</v>
      </c>
      <c r="M73" s="15" t="n">
        <f aca="false">L73*(1+IF(M$3&lt;=$O$2,$D73,$D73-($D73-$I$49)*MIN(M$3-$O$2,$Q$2)/$Q$2))</f>
        <v>1982.46372488826</v>
      </c>
      <c r="N73" s="15" t="n">
        <f aca="false">M73*(1+IF(N$3&lt;=$O$2,$D73,$D73-($D73-$I$49)*MIN(N$3-$O$2,$Q$2)/$Q$2))</f>
        <v>2012.20068076158</v>
      </c>
      <c r="O73" s="15" t="n">
        <f aca="false">SUMPRODUCT(E73:N73,1/(1+$F$49)^$E$3:$N$3)*$E$2</f>
        <v>5229.95394986424</v>
      </c>
      <c r="P73" s="15" t="n">
        <f aca="false">N73*$E$2*(1+$I$49)/($F$49-$I$49)/(1+$F$49)^$N$3</f>
        <v>11332.7461226349</v>
      </c>
      <c r="Q73" s="15" t="n">
        <f aca="false">O73+P73</f>
        <v>16562.7000724991</v>
      </c>
      <c r="R73" s="15" t="n">
        <f aca="false">Q73-$G$2+$I$2</f>
        <v>15010.0000724991</v>
      </c>
      <c r="S73" s="40" t="n">
        <f aca="false">R73/$K$2</f>
        <v>54.5045211245838</v>
      </c>
      <c r="T73" s="41" t="n">
        <f aca="false">S73-$M$2</f>
        <v>2.63259863686471E-007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0.00563609600067139</v>
      </c>
      <c r="C74" s="25" t="n">
        <f aca="false">IF(T73&gt;0,D73,C73)</f>
        <v>0.00563627481460571</v>
      </c>
      <c r="D74" s="39" t="n">
        <f aca="false">(B74+C74)/2</f>
        <v>0.00563618540763855</v>
      </c>
      <c r="E74" s="15" t="n">
        <f aca="false">$C$2*(1+IF(E$3&lt;=$O$2,$D74,$D74-($D74-$I$49)*MIN(E$3-$O$2,$Q$2)/$Q$2))</f>
        <v>1860.42694300413</v>
      </c>
      <c r="F74" s="15" t="n">
        <f aca="false">E74*(1+IF(F$3&lt;=$O$2,$D74,$D74-($D74-$I$49)*MIN(F$3-$O$2,$Q$2)/$Q$2))</f>
        <v>1870.91265419227</v>
      </c>
      <c r="G74" s="15" t="n">
        <f aca="false">F74*(1+IF(G$3&lt;=$O$2,$D74,$D74-($D74-$I$49)*MIN(G$3-$O$2,$Q$2)/$Q$2))</f>
        <v>1881.45746479279</v>
      </c>
      <c r="H74" s="15" t="n">
        <f aca="false">G74*(1+IF(H$3&lt;=$O$2,$D74,$D74-($D74-$I$49)*MIN(H$3-$O$2,$Q$2)/$Q$2))</f>
        <v>1892.06170790095</v>
      </c>
      <c r="I74" s="15" t="n">
        <f aca="false">H74*(1+IF(I$3&lt;=$O$2,$D74,$D74-($D74-$I$49)*MIN(I$3-$O$2,$Q$2)/$Q$2))</f>
        <v>1902.72571848937</v>
      </c>
      <c r="J74" s="15" t="n">
        <f aca="false">I74*(1+IF(J$3&lt;=$O$2,$D74,$D74-($D74-$I$49)*MIN(J$3-$O$2,$Q$2)/$Q$2))</f>
        <v>1917.01318758827</v>
      </c>
      <c r="K74" s="15" t="n">
        <f aca="false">J74*(1+IF(K$3&lt;=$O$2,$D74,$D74-($D74-$I$49)*MIN(K$3-$O$2,$Q$2)/$Q$2))</f>
        <v>1934.99805176628</v>
      </c>
      <c r="L74" s="15" t="n">
        <f aca="false">K74*(1+IF(L$3&lt;=$O$2,$D74,$D74-($D74-$I$49)*MIN(L$3-$O$2,$Q$2)/$Q$2))</f>
        <v>1956.77543734545</v>
      </c>
      <c r="M74" s="15" t="n">
        <f aca="false">L74*(1+IF(M$3&lt;=$O$2,$D74,$D74-($D74-$I$49)*MIN(M$3-$O$2,$Q$2)/$Q$2))</f>
        <v>1982.46249242679</v>
      </c>
      <c r="N74" s="15" t="n">
        <f aca="false">M74*(1+IF(N$3&lt;=$O$2,$D74,$D74-($D74-$I$49)*MIN(N$3-$O$2,$Q$2)/$Q$2))</f>
        <v>2012.1994298132</v>
      </c>
      <c r="O74" s="15" t="n">
        <f aca="false">SUMPRODUCT(E74:N74,1/(1+$F$49)^$E$3:$N$3)*$E$2</f>
        <v>5229.9518398172</v>
      </c>
      <c r="P74" s="15" t="n">
        <f aca="false">N74*$E$2*(1+$I$49)/($F$49-$I$49)/(1+$F$49)^$N$3</f>
        <v>11332.7390772737</v>
      </c>
      <c r="Q74" s="15" t="n">
        <f aca="false">O74+P74</f>
        <v>16562.6909170909</v>
      </c>
      <c r="R74" s="15" t="n">
        <f aca="false">Q74-$G$2+$I$2</f>
        <v>15009.9909170909</v>
      </c>
      <c r="S74" s="40" t="n">
        <f aca="false">R74/$K$2</f>
        <v>54.5044878793382</v>
      </c>
      <c r="T74" s="41" t="n">
        <f aca="false">S74-$M$2</f>
        <v>-3.2981985754077E-005</v>
      </c>
    </row>
    <row r="76" customFormat="false" ht="15" hidden="false" customHeight="false" outlineLevel="0" collapsed="false">
      <c r="A76" s="36" t="s">
        <v>177</v>
      </c>
      <c r="E76" s="5" t="s">
        <v>11</v>
      </c>
      <c r="F76" s="12" t="n">
        <f aca="false">Sensitivity!$B$10</f>
        <v>0.0535093056415221</v>
      </c>
      <c r="G76" s="5" t="s">
        <v>12</v>
      </c>
      <c r="I76" s="12" t="n">
        <f aca="false">Sensitivity!$D$9</f>
        <v>0.02</v>
      </c>
    </row>
    <row r="77" customFormat="false" ht="23.85" hidden="false" customHeight="false" outlineLevel="0" collapsed="false">
      <c r="A77" s="36" t="s">
        <v>156</v>
      </c>
      <c r="B77" s="28" t="s">
        <v>157</v>
      </c>
      <c r="C77" s="28" t="s">
        <v>158</v>
      </c>
      <c r="D77" s="28" t="s">
        <v>159</v>
      </c>
      <c r="E77" s="28" t="s">
        <v>160</v>
      </c>
      <c r="F77" s="28" t="s">
        <v>161</v>
      </c>
      <c r="G77" s="28" t="s">
        <v>162</v>
      </c>
      <c r="H77" s="28" t="s">
        <v>163</v>
      </c>
      <c r="I77" s="28" t="s">
        <v>164</v>
      </c>
      <c r="J77" s="28" t="s">
        <v>165</v>
      </c>
      <c r="K77" s="28" t="s">
        <v>166</v>
      </c>
      <c r="L77" s="28" t="s">
        <v>167</v>
      </c>
      <c r="M77" s="28" t="s">
        <v>168</v>
      </c>
      <c r="N77" s="28" t="s">
        <v>169</v>
      </c>
      <c r="O77" s="28" t="s">
        <v>170</v>
      </c>
      <c r="P77" s="28" t="s">
        <v>171</v>
      </c>
      <c r="Q77" s="28" t="s">
        <v>172</v>
      </c>
      <c r="R77" s="28" t="s">
        <v>173</v>
      </c>
      <c r="S77" s="28" t="s">
        <v>174</v>
      </c>
      <c r="T77" s="28" t="s">
        <v>175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39" t="n">
        <f aca="false">(B78+C78)/2</f>
        <v>0.25</v>
      </c>
      <c r="E78" s="15" t="n">
        <f aca="false">$C$2*(1+IF(E$3&lt;=$O$2,$D78,$D78-($D78-$I$76)*MIN(E$3-$O$2,$Q$2)/$Q$2))</f>
        <v>2312.5</v>
      </c>
      <c r="F78" s="15" t="n">
        <f aca="false">E78*(1+IF(F$3&lt;=$O$2,$D78,$D78-($D78-$I$76)*MIN(F$3-$O$2,$Q$2)/$Q$2))</f>
        <v>2890.625</v>
      </c>
      <c r="G78" s="15" t="n">
        <f aca="false">F78*(1+IF(G$3&lt;=$O$2,$D78,$D78-($D78-$I$76)*MIN(G$3-$O$2,$Q$2)/$Q$2))</f>
        <v>3613.28125</v>
      </c>
      <c r="H78" s="15" t="n">
        <f aca="false">G78*(1+IF(H$3&lt;=$O$2,$D78,$D78-($D78-$I$76)*MIN(H$3-$O$2,$Q$2)/$Q$2))</f>
        <v>4516.6015625</v>
      </c>
      <c r="I78" s="15" t="n">
        <f aca="false">H78*(1+IF(I$3&lt;=$O$2,$D78,$D78-($D78-$I$76)*MIN(I$3-$O$2,$Q$2)/$Q$2))</f>
        <v>5645.751953125</v>
      </c>
      <c r="J78" s="15" t="n">
        <f aca="false">I78*(1+IF(J$3&lt;=$O$2,$D78,$D78-($D78-$I$76)*MIN(J$3-$O$2,$Q$2)/$Q$2))</f>
        <v>6797.4853515625</v>
      </c>
      <c r="K78" s="15" t="n">
        <f aca="false">J78*(1+IF(K$3&lt;=$O$2,$D78,$D78-($D78-$I$76)*MIN(K$3-$O$2,$Q$2)/$Q$2))</f>
        <v>7871.48803710937</v>
      </c>
      <c r="L78" s="15" t="n">
        <f aca="false">K78*(1+IF(L$3&lt;=$O$2,$D78,$D78-($D78-$I$76)*MIN(L$3-$O$2,$Q$2)/$Q$2))</f>
        <v>8753.09469726563</v>
      </c>
      <c r="M78" s="15" t="n">
        <f aca="false">L78*(1+IF(M$3&lt;=$O$2,$D78,$D78-($D78-$I$76)*MIN(M$3-$O$2,$Q$2)/$Q$2))</f>
        <v>9330.79894728516</v>
      </c>
      <c r="N78" s="15" t="n">
        <f aca="false">M78*(1+IF(N$3&lt;=$O$2,$D78,$D78-($D78-$I$76)*MIN(N$3-$O$2,$Q$2)/$Q$2))</f>
        <v>9517.41492623086</v>
      </c>
      <c r="O78" s="15" t="n">
        <f aca="false">SUMPRODUCT(E78:N78,1/(1+$F$76)^$E$3:$N$3)*$E$2</f>
        <v>15690.3110834518</v>
      </c>
      <c r="P78" s="15" t="n">
        <f aca="false">N78*$E$2*(1+$I$76)/($F$76-$I$76)/(1+$F$76)^$N$3</f>
        <v>61903.7930290692</v>
      </c>
      <c r="Q78" s="15" t="n">
        <f aca="false">O78+P78</f>
        <v>77594.104112521</v>
      </c>
      <c r="R78" s="15" t="n">
        <f aca="false">Q78-$G$2+$I$2</f>
        <v>76041.404112521</v>
      </c>
      <c r="S78" s="40" t="n">
        <f aca="false">R78/$K$2</f>
        <v>276.122604715208</v>
      </c>
      <c r="T78" s="41" t="n">
        <f aca="false">S78-$M$2</f>
        <v>221.618083853884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39" t="n">
        <f aca="false">(B79+C79)/2</f>
        <v>-0.125</v>
      </c>
      <c r="E79" s="15" t="n">
        <f aca="false">$C$2*(1+IF(E$3&lt;=$O$2,$D79,$D79-($D79-$I$76)*MIN(E$3-$O$2,$Q$2)/$Q$2))</f>
        <v>1618.75</v>
      </c>
      <c r="F79" s="15" t="n">
        <f aca="false">E79*(1+IF(F$3&lt;=$O$2,$D79,$D79-($D79-$I$76)*MIN(F$3-$O$2,$Q$2)/$Q$2))</f>
        <v>1416.40625</v>
      </c>
      <c r="G79" s="15" t="n">
        <f aca="false">F79*(1+IF(G$3&lt;=$O$2,$D79,$D79-($D79-$I$76)*MIN(G$3-$O$2,$Q$2)/$Q$2))</f>
        <v>1239.35546875</v>
      </c>
      <c r="H79" s="15" t="n">
        <f aca="false">G79*(1+IF(H$3&lt;=$O$2,$D79,$D79-($D79-$I$76)*MIN(H$3-$O$2,$Q$2)/$Q$2))</f>
        <v>1084.43603515625</v>
      </c>
      <c r="I79" s="15" t="n">
        <f aca="false">H79*(1+IF(I$3&lt;=$O$2,$D79,$D79-($D79-$I$76)*MIN(I$3-$O$2,$Q$2)/$Q$2))</f>
        <v>948.881530761719</v>
      </c>
      <c r="J79" s="15" t="n">
        <f aca="false">I79*(1+IF(J$3&lt;=$O$2,$D79,$D79-($D79-$I$76)*MIN(J$3-$O$2,$Q$2)/$Q$2))</f>
        <v>857.788903808594</v>
      </c>
      <c r="K79" s="15" t="n">
        <f aca="false">J79*(1+IF(K$3&lt;=$O$2,$D79,$D79-($D79-$I$76)*MIN(K$3-$O$2,$Q$2)/$Q$2))</f>
        <v>800.317047253418</v>
      </c>
      <c r="L79" s="15" t="n">
        <f aca="false">K79*(1+IF(L$3&lt;=$O$2,$D79,$D79-($D79-$I$76)*MIN(L$3-$O$2,$Q$2)/$Q$2))</f>
        <v>769.904999457788</v>
      </c>
      <c r="M79" s="15" t="n">
        <f aca="false">L79*(1+IF(M$3&lt;=$O$2,$D79,$D79-($D79-$I$76)*MIN(M$3-$O$2,$Q$2)/$Q$2))</f>
        <v>762.975854462668</v>
      </c>
      <c r="N79" s="15" t="n">
        <f aca="false">M79*(1+IF(N$3&lt;=$O$2,$D79,$D79-($D79-$I$76)*MIN(N$3-$O$2,$Q$2)/$Q$2))</f>
        <v>778.235371551922</v>
      </c>
      <c r="O79" s="15" t="n">
        <f aca="false">SUMPRODUCT(E79:N79,1/(1+$F$76)^$E$3:$N$3)*$E$2</f>
        <v>2919.97701675374</v>
      </c>
      <c r="P79" s="15" t="n">
        <f aca="false">N79*$E$2*(1+$I$76)/($F$76-$I$76)/(1+$F$76)^$N$3</f>
        <v>5061.84943515222</v>
      </c>
      <c r="Q79" s="15" t="n">
        <f aca="false">O79+P79</f>
        <v>7981.82645190596</v>
      </c>
      <c r="R79" s="15" t="n">
        <f aca="false">Q79-$G$2+$I$2</f>
        <v>6429.12645190596</v>
      </c>
      <c r="S79" s="40" t="n">
        <f aca="false">R79/$K$2</f>
        <v>23.345533432245</v>
      </c>
      <c r="T79" s="41" t="n">
        <f aca="false">S79-$M$2</f>
        <v>-31.1589874290789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39" t="n">
        <f aca="false">(B80+C80)/2</f>
        <v>0.0625</v>
      </c>
      <c r="E80" s="15" t="n">
        <f aca="false">$C$2*(1+IF(E$3&lt;=$O$2,$D80,$D80-($D80-$I$76)*MIN(E$3-$O$2,$Q$2)/$Q$2))</f>
        <v>1965.625</v>
      </c>
      <c r="F80" s="15" t="n">
        <f aca="false">E80*(1+IF(F$3&lt;=$O$2,$D80,$D80-($D80-$I$76)*MIN(F$3-$O$2,$Q$2)/$Q$2))</f>
        <v>2088.4765625</v>
      </c>
      <c r="G80" s="15" t="n">
        <f aca="false">F80*(1+IF(G$3&lt;=$O$2,$D80,$D80-($D80-$I$76)*MIN(G$3-$O$2,$Q$2)/$Q$2))</f>
        <v>2219.00634765625</v>
      </c>
      <c r="H80" s="15" t="n">
        <f aca="false">G80*(1+IF(H$3&lt;=$O$2,$D80,$D80-($D80-$I$76)*MIN(H$3-$O$2,$Q$2)/$Q$2))</f>
        <v>2357.69424438477</v>
      </c>
      <c r="I80" s="15" t="n">
        <f aca="false">H80*(1+IF(I$3&lt;=$O$2,$D80,$D80-($D80-$I$76)*MIN(I$3-$O$2,$Q$2)/$Q$2))</f>
        <v>2505.05013465881</v>
      </c>
      <c r="J80" s="15" t="n">
        <f aca="false">I80*(1+IF(J$3&lt;=$O$2,$D80,$D80-($D80-$I$76)*MIN(J$3-$O$2,$Q$2)/$Q$2))</f>
        <v>2640.32284193039</v>
      </c>
      <c r="K80" s="15" t="n">
        <f aca="false">J80*(1+IF(K$3&lt;=$O$2,$D80,$D80-($D80-$I$76)*MIN(K$3-$O$2,$Q$2)/$Q$2))</f>
        <v>2760.45753123822</v>
      </c>
      <c r="L80" s="15" t="n">
        <f aca="false">K80*(1+IF(L$3&lt;=$O$2,$D80,$D80-($D80-$I$76)*MIN(L$3-$O$2,$Q$2)/$Q$2))</f>
        <v>2862.59445989404</v>
      </c>
      <c r="M80" s="15" t="n">
        <f aca="false">L80*(1+IF(M$3&lt;=$O$2,$D80,$D80-($D80-$I$76)*MIN(M$3-$O$2,$Q$2)/$Q$2))</f>
        <v>2944.17840200102</v>
      </c>
      <c r="N80" s="15" t="n">
        <f aca="false">M80*(1+IF(N$3&lt;=$O$2,$D80,$D80-($D80-$I$76)*MIN(N$3-$O$2,$Q$2)/$Q$2))</f>
        <v>3003.06197004104</v>
      </c>
      <c r="O80" s="15" t="n">
        <f aca="false">SUMPRODUCT(E80:N80,1/(1+$F$76)^$E$3:$N$3)*$E$2</f>
        <v>6783.05223115518</v>
      </c>
      <c r="P80" s="15" t="n">
        <f aca="false">N80*$E$2*(1+$I$76)/($F$76-$I$76)/(1+$F$76)^$N$3</f>
        <v>19532.7122005083</v>
      </c>
      <c r="Q80" s="15" t="n">
        <f aca="false">O80+P80</f>
        <v>26315.7644316635</v>
      </c>
      <c r="R80" s="15" t="n">
        <f aca="false">Q80-$G$2+$I$2</f>
        <v>24763.0644316635</v>
      </c>
      <c r="S80" s="40" t="n">
        <f aca="false">R80/$K$2</f>
        <v>89.9199841376356</v>
      </c>
      <c r="T80" s="41" t="n">
        <f aca="false">S80-$M$2</f>
        <v>35.4154632763117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39" t="n">
        <f aca="false">(B81+C81)/2</f>
        <v>-0.03125</v>
      </c>
      <c r="E81" s="15" t="n">
        <f aca="false">$C$2*(1+IF(E$3&lt;=$O$2,$D81,$D81-($D81-$I$76)*MIN(E$3-$O$2,$Q$2)/$Q$2))</f>
        <v>1792.1875</v>
      </c>
      <c r="F81" s="15" t="n">
        <f aca="false">E81*(1+IF(F$3&lt;=$O$2,$D81,$D81-($D81-$I$76)*MIN(F$3-$O$2,$Q$2)/$Q$2))</f>
        <v>1736.181640625</v>
      </c>
      <c r="G81" s="15" t="n">
        <f aca="false">F81*(1+IF(G$3&lt;=$O$2,$D81,$D81-($D81-$I$76)*MIN(G$3-$O$2,$Q$2)/$Q$2))</f>
        <v>1681.92596435547</v>
      </c>
      <c r="H81" s="15" t="n">
        <f aca="false">G81*(1+IF(H$3&lt;=$O$2,$D81,$D81-($D81-$I$76)*MIN(H$3-$O$2,$Q$2)/$Q$2))</f>
        <v>1629.36577796936</v>
      </c>
      <c r="I81" s="15" t="n">
        <f aca="false">H81*(1+IF(I$3&lt;=$O$2,$D81,$D81-($D81-$I$76)*MIN(I$3-$O$2,$Q$2)/$Q$2))</f>
        <v>1578.44809740782</v>
      </c>
      <c r="J81" s="15" t="n">
        <f aca="false">I81*(1+IF(J$3&lt;=$O$2,$D81,$D81-($D81-$I$76)*MIN(J$3-$O$2,$Q$2)/$Q$2))</f>
        <v>1545.30068736225</v>
      </c>
      <c r="K81" s="15" t="n">
        <f aca="false">J81*(1+IF(K$3&lt;=$O$2,$D81,$D81-($D81-$I$76)*MIN(K$3-$O$2,$Q$2)/$Q$2))</f>
        <v>1528.68870497311</v>
      </c>
      <c r="L81" s="15" t="n">
        <f aca="false">K81*(1+IF(L$3&lt;=$O$2,$D81,$D81-($D81-$I$76)*MIN(L$3-$O$2,$Q$2)/$Q$2))</f>
        <v>1527.92436062062</v>
      </c>
      <c r="M81" s="15" t="n">
        <f aca="false">L81*(1+IF(M$3&lt;=$O$2,$D81,$D81-($D81-$I$76)*MIN(M$3-$O$2,$Q$2)/$Q$2))</f>
        <v>1542.82162313667</v>
      </c>
      <c r="N81" s="15" t="n">
        <f aca="false">M81*(1+IF(N$3&lt;=$O$2,$D81,$D81-($D81-$I$76)*MIN(N$3-$O$2,$Q$2)/$Q$2))</f>
        <v>1573.67805559941</v>
      </c>
      <c r="O81" s="15" t="n">
        <f aca="false">SUMPRODUCT(E81:N81,1/(1+$F$76)^$E$3:$N$3)*$E$2</f>
        <v>4441.14134909824</v>
      </c>
      <c r="P81" s="15" t="n">
        <f aca="false">N81*$E$2*(1+$I$76)/($F$76-$I$76)/(1+$F$76)^$N$3</f>
        <v>10235.6197983682</v>
      </c>
      <c r="Q81" s="15" t="n">
        <f aca="false">O81+P81</f>
        <v>14676.7611474665</v>
      </c>
      <c r="R81" s="15" t="n">
        <f aca="false">Q81-$G$2+$I$2</f>
        <v>13124.0611474665</v>
      </c>
      <c r="S81" s="40" t="n">
        <f aca="false">R81/$K$2</f>
        <v>47.6562734575201</v>
      </c>
      <c r="T81" s="41" t="n">
        <f aca="false">S81-$M$2</f>
        <v>-6.84824740380385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39" t="n">
        <f aca="false">(B82+C82)/2</f>
        <v>0.015625</v>
      </c>
      <c r="E82" s="15" t="n">
        <f aca="false">$C$2*(1+IF(E$3&lt;=$O$2,$D82,$D82-($D82-$I$76)*MIN(E$3-$O$2,$Q$2)/$Q$2))</f>
        <v>1878.90625</v>
      </c>
      <c r="F82" s="15" t="n">
        <f aca="false">E82*(1+IF(F$3&lt;=$O$2,$D82,$D82-($D82-$I$76)*MIN(F$3-$O$2,$Q$2)/$Q$2))</f>
        <v>1908.26416015625</v>
      </c>
      <c r="G82" s="15" t="n">
        <f aca="false">F82*(1+IF(G$3&lt;=$O$2,$D82,$D82-($D82-$I$76)*MIN(G$3-$O$2,$Q$2)/$Q$2))</f>
        <v>1938.08078765869</v>
      </c>
      <c r="H82" s="15" t="n">
        <f aca="false">G82*(1+IF(H$3&lt;=$O$2,$D82,$D82-($D82-$I$76)*MIN(H$3-$O$2,$Q$2)/$Q$2))</f>
        <v>1968.36329996586</v>
      </c>
      <c r="I82" s="15" t="n">
        <f aca="false">H82*(1+IF(I$3&lt;=$O$2,$D82,$D82-($D82-$I$76)*MIN(I$3-$O$2,$Q$2)/$Q$2))</f>
        <v>1999.11897652783</v>
      </c>
      <c r="J82" s="15" t="n">
        <f aca="false">I82*(1+IF(J$3&lt;=$O$2,$D82,$D82-($D82-$I$76)*MIN(J$3-$O$2,$Q$2)/$Q$2))</f>
        <v>2032.10443964053</v>
      </c>
      <c r="K82" s="15" t="n">
        <f aca="false">J82*(1+IF(K$3&lt;=$O$2,$D82,$D82-($D82-$I$76)*MIN(K$3-$O$2,$Q$2)/$Q$2))</f>
        <v>2067.41225427929</v>
      </c>
      <c r="L82" s="15" t="n">
        <f aca="false">K82*(1+IF(L$3&lt;=$O$2,$D82,$D82-($D82-$I$76)*MIN(L$3-$O$2,$Q$2)/$Q$2))</f>
        <v>2105.14252791989</v>
      </c>
      <c r="M82" s="15" t="n">
        <f aca="false">L82*(1+IF(M$3&lt;=$O$2,$D82,$D82-($D82-$I$76)*MIN(M$3-$O$2,$Q$2)/$Q$2))</f>
        <v>2145.40337876635</v>
      </c>
      <c r="N82" s="15" t="n">
        <f aca="false">M82*(1+IF(N$3&lt;=$O$2,$D82,$D82-($D82-$I$76)*MIN(N$3-$O$2,$Q$2)/$Q$2))</f>
        <v>2188.31144634168</v>
      </c>
      <c r="O82" s="15" t="n">
        <f aca="false">SUMPRODUCT(E82:N82,1/(1+$F$76)^$E$3:$N$3)*$E$2</f>
        <v>5487.69975110099</v>
      </c>
      <c r="P82" s="15" t="n">
        <f aca="false">N82*$E$2*(1+$I$76)/($F$76-$I$76)/(1+$F$76)^$N$3</f>
        <v>14233.3585230297</v>
      </c>
      <c r="Q82" s="15" t="n">
        <f aca="false">O82+P82</f>
        <v>19721.0582741307</v>
      </c>
      <c r="R82" s="15" t="n">
        <f aca="false">Q82-$G$2+$I$2</f>
        <v>18168.3582741307</v>
      </c>
      <c r="S82" s="40" t="n">
        <f aca="false">R82/$K$2</f>
        <v>65.9731953743082</v>
      </c>
      <c r="T82" s="41" t="n">
        <f aca="false">S82-$M$2</f>
        <v>11.4686745129843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-0.03125</v>
      </c>
      <c r="C83" s="25" t="n">
        <f aca="false">IF(T82&gt;0,D82,C82)</f>
        <v>0.015625</v>
      </c>
      <c r="D83" s="39" t="n">
        <f aca="false">(B83+C83)/2</f>
        <v>-0.0078125</v>
      </c>
      <c r="E83" s="15" t="n">
        <f aca="false">$C$2*(1+IF(E$3&lt;=$O$2,$D83,$D83-($D83-$I$76)*MIN(E$3-$O$2,$Q$2)/$Q$2))</f>
        <v>1835.546875</v>
      </c>
      <c r="F83" s="15" t="n">
        <f aca="false">E83*(1+IF(F$3&lt;=$O$2,$D83,$D83-($D83-$I$76)*MIN(F$3-$O$2,$Q$2)/$Q$2))</f>
        <v>1821.20666503906</v>
      </c>
      <c r="G83" s="15" t="n">
        <f aca="false">F83*(1+IF(G$3&lt;=$O$2,$D83,$D83-($D83-$I$76)*MIN(G$3-$O$2,$Q$2)/$Q$2))</f>
        <v>1806.97848796844</v>
      </c>
      <c r="H83" s="15" t="n">
        <f aca="false">G83*(1+IF(H$3&lt;=$O$2,$D83,$D83-($D83-$I$76)*MIN(H$3-$O$2,$Q$2)/$Q$2))</f>
        <v>1792.86146853119</v>
      </c>
      <c r="I83" s="15" t="n">
        <f aca="false">H83*(1+IF(I$3&lt;=$O$2,$D83,$D83-($D83-$I$76)*MIN(I$3-$O$2,$Q$2)/$Q$2))</f>
        <v>1778.85473830829</v>
      </c>
      <c r="J83" s="15" t="n">
        <f aca="false">I83*(1+IF(J$3&lt;=$O$2,$D83,$D83-($D83-$I$76)*MIN(J$3-$O$2,$Q$2)/$Q$2))</f>
        <v>1774.8523151471</v>
      </c>
      <c r="K83" s="15" t="n">
        <f aca="false">J83*(1+IF(K$3&lt;=$O$2,$D83,$D83-($D83-$I$76)*MIN(K$3-$O$2,$Q$2)/$Q$2))</f>
        <v>1780.73151344102</v>
      </c>
      <c r="L83" s="15" t="n">
        <f aca="false">K83*(1+IF(L$3&lt;=$O$2,$D83,$D83-($D83-$I$76)*MIN(L$3-$O$2,$Q$2)/$Q$2))</f>
        <v>1796.53550562281</v>
      </c>
      <c r="M83" s="15" t="n">
        <f aca="false">L83*(1+IF(M$3&lt;=$O$2,$D83,$D83-($D83-$I$76)*MIN(M$3-$O$2,$Q$2)/$Q$2))</f>
        <v>1822.47298698524</v>
      </c>
      <c r="N83" s="15" t="n">
        <f aca="false">M83*(1+IF(N$3&lt;=$O$2,$D83,$D83-($D83-$I$76)*MIN(N$3-$O$2,$Q$2)/$Q$2))</f>
        <v>1858.92244672495</v>
      </c>
      <c r="O83" s="15" t="n">
        <f aca="false">SUMPRODUCT(E83:N83,1/(1+$F$76)^$E$3:$N$3)*$E$2</f>
        <v>4936.34978332815</v>
      </c>
      <c r="P83" s="15" t="n">
        <f aca="false">N83*$E$2*(1+$I$76)/($F$76-$I$76)/(1+$F$76)^$N$3</f>
        <v>12090.9250349059</v>
      </c>
      <c r="Q83" s="15" t="n">
        <f aca="false">O83+P83</f>
        <v>17027.2748182341</v>
      </c>
      <c r="R83" s="15" t="n">
        <f aca="false">Q83-$G$2+$I$2</f>
        <v>15474.5748182341</v>
      </c>
      <c r="S83" s="40" t="n">
        <f aca="false">R83/$K$2</f>
        <v>56.1914914057667</v>
      </c>
      <c r="T83" s="41" t="n">
        <f aca="false">S83-$M$2</f>
        <v>1.68697054444272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-0.03125</v>
      </c>
      <c r="C84" s="25" t="n">
        <f aca="false">IF(T83&gt;0,D83,C83)</f>
        <v>-0.0078125</v>
      </c>
      <c r="D84" s="39" t="n">
        <f aca="false">(B84+C84)/2</f>
        <v>-0.01953125</v>
      </c>
      <c r="E84" s="15" t="n">
        <f aca="false">$C$2*(1+IF(E$3&lt;=$O$2,$D84,$D84-($D84-$I$76)*MIN(E$3-$O$2,$Q$2)/$Q$2))</f>
        <v>1813.8671875</v>
      </c>
      <c r="F84" s="15" t="n">
        <f aca="false">E84*(1+IF(F$3&lt;=$O$2,$D84,$D84-($D84-$I$76)*MIN(F$3-$O$2,$Q$2)/$Q$2))</f>
        <v>1778.44009399414</v>
      </c>
      <c r="G84" s="15" t="n">
        <f aca="false">F84*(1+IF(G$3&lt;=$O$2,$D84,$D84-($D84-$I$76)*MIN(G$3-$O$2,$Q$2)/$Q$2))</f>
        <v>1743.70493590832</v>
      </c>
      <c r="H84" s="15" t="n">
        <f aca="false">G84*(1+IF(H$3&lt;=$O$2,$D84,$D84-($D84-$I$76)*MIN(H$3-$O$2,$Q$2)/$Q$2))</f>
        <v>1709.64819887886</v>
      </c>
      <c r="I84" s="15" t="n">
        <f aca="false">H84*(1+IF(I$3&lt;=$O$2,$D84,$D84-($D84-$I$76)*MIN(I$3-$O$2,$Q$2)/$Q$2))</f>
        <v>1676.25663249451</v>
      </c>
      <c r="J84" s="15" t="n">
        <f aca="false">I84*(1+IF(J$3&lt;=$O$2,$D84,$D84-($D84-$I$76)*MIN(J$3-$O$2,$Q$2)/$Q$2))</f>
        <v>1656.77014914176</v>
      </c>
      <c r="K84" s="15" t="n">
        <f aca="false">J84*(1+IF(K$3&lt;=$O$2,$D84,$D84-($D84-$I$76)*MIN(K$3-$O$2,$Q$2)/$Q$2))</f>
        <v>1650.60903514964</v>
      </c>
      <c r="L84" s="15" t="n">
        <f aca="false">K84*(1+IF(L$3&lt;=$O$2,$D84,$D84-($D84-$I$76)*MIN(L$3-$O$2,$Q$2)/$Q$2))</f>
        <v>1657.52096048433</v>
      </c>
      <c r="M84" s="15" t="n">
        <f aca="false">L84*(1+IF(M$3&lt;=$O$2,$D84,$D84-($D84-$I$76)*MIN(M$3-$O$2,$Q$2)/$Q$2))</f>
        <v>1677.56660460018</v>
      </c>
      <c r="N84" s="15" t="n">
        <f aca="false">M84*(1+IF(N$3&lt;=$O$2,$D84,$D84-($D84-$I$76)*MIN(N$3-$O$2,$Q$2)/$Q$2))</f>
        <v>1711.11793669219</v>
      </c>
      <c r="O84" s="15" t="n">
        <f aca="false">SUMPRODUCT(E84:N84,1/(1+$F$76)^$E$3:$N$3)*$E$2</f>
        <v>4682.07818450909</v>
      </c>
      <c r="P84" s="15" t="n">
        <f aca="false">N84*$E$2*(1+$I$76)/($F$76-$I$76)/(1+$F$76)^$N$3</f>
        <v>11129.5652677055</v>
      </c>
      <c r="Q84" s="15" t="n">
        <f aca="false">O84+P84</f>
        <v>15811.6434522146</v>
      </c>
      <c r="R84" s="15" t="n">
        <f aca="false">Q84-$G$2+$I$2</f>
        <v>14258.9434522146</v>
      </c>
      <c r="S84" s="40" t="n">
        <f aca="false">R84/$K$2</f>
        <v>51.7772738741952</v>
      </c>
      <c r="T84" s="41" t="n">
        <f aca="false">S84-$M$2</f>
        <v>-2.72724698712877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-0.01953125</v>
      </c>
      <c r="C85" s="25" t="n">
        <f aca="false">IF(T84&gt;0,D84,C84)</f>
        <v>-0.0078125</v>
      </c>
      <c r="D85" s="39" t="n">
        <f aca="false">(B85+C85)/2</f>
        <v>-0.013671875</v>
      </c>
      <c r="E85" s="15" t="n">
        <f aca="false">$C$2*(1+IF(E$3&lt;=$O$2,$D85,$D85-($D85-$I$76)*MIN(E$3-$O$2,$Q$2)/$Q$2))</f>
        <v>1824.70703125</v>
      </c>
      <c r="F85" s="15" t="n">
        <f aca="false">E85*(1+IF(F$3&lt;=$O$2,$D85,$D85-($D85-$I$76)*MIN(F$3-$O$2,$Q$2)/$Q$2))</f>
        <v>1799.75986480713</v>
      </c>
      <c r="G85" s="15" t="n">
        <f aca="false">F85*(1+IF(G$3&lt;=$O$2,$D85,$D85-($D85-$I$76)*MIN(G$3-$O$2,$Q$2)/$Q$2))</f>
        <v>1775.15377290547</v>
      </c>
      <c r="H85" s="15" t="n">
        <f aca="false">G85*(1+IF(H$3&lt;=$O$2,$D85,$D85-($D85-$I$76)*MIN(H$3-$O$2,$Q$2)/$Q$2))</f>
        <v>1750.88409241653</v>
      </c>
      <c r="I85" s="15" t="n">
        <f aca="false">H85*(1+IF(I$3&lt;=$O$2,$D85,$D85-($D85-$I$76)*MIN(I$3-$O$2,$Q$2)/$Q$2))</f>
        <v>1726.94622396552</v>
      </c>
      <c r="J85" s="15" t="n">
        <f aca="false">I85*(1+IF(J$3&lt;=$O$2,$D85,$D85-($D85-$I$76)*MIN(J$3-$O$2,$Q$2)/$Q$2))</f>
        <v>1714.96553453676</v>
      </c>
      <c r="K85" s="15" t="n">
        <f aca="false">J85*(1+IF(K$3&lt;=$O$2,$D85,$D85-($D85-$I$76)*MIN(K$3-$O$2,$Q$2)/$Q$2))</f>
        <v>1714.61718216256</v>
      </c>
      <c r="L85" s="15" t="n">
        <f aca="false">K85*(1+IF(L$3&lt;=$O$2,$D85,$D85-($D85-$I$76)*MIN(L$3-$O$2,$Q$2)/$Q$2))</f>
        <v>1725.81577563356</v>
      </c>
      <c r="M85" s="15" t="n">
        <f aca="false">L85*(1+IF(M$3&lt;=$O$2,$D85,$D85-($D85-$I$76)*MIN(M$3-$O$2,$Q$2)/$Q$2))</f>
        <v>1748.70980053219</v>
      </c>
      <c r="N85" s="15" t="n">
        <f aca="false">M85*(1+IF(N$3&lt;=$O$2,$D85,$D85-($D85-$I$76)*MIN(N$3-$O$2,$Q$2)/$Q$2))</f>
        <v>1783.68399654284</v>
      </c>
      <c r="O85" s="15" t="n">
        <f aca="false">SUMPRODUCT(E85:N85,1/(1+$F$76)^$E$3:$N$3)*$E$2</f>
        <v>4807.50455246485</v>
      </c>
      <c r="P85" s="15" t="n">
        <f aca="false">N85*$E$2*(1+$I$76)/($F$76-$I$76)/(1+$F$76)^$N$3</f>
        <v>11601.5541832617</v>
      </c>
      <c r="Q85" s="15" t="n">
        <f aca="false">O85+P85</f>
        <v>16409.0587357265</v>
      </c>
      <c r="R85" s="15" t="n">
        <f aca="false">Q85-$G$2+$I$2</f>
        <v>14856.3587357265</v>
      </c>
      <c r="S85" s="40" t="n">
        <f aca="false">R85/$K$2</f>
        <v>53.9466165646049</v>
      </c>
      <c r="T85" s="41" t="n">
        <f aca="false">S85-$M$2</f>
        <v>-0.557904296719038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-0.013671875</v>
      </c>
      <c r="C86" s="25" t="n">
        <f aca="false">IF(T85&gt;0,D85,C85)</f>
        <v>-0.0078125</v>
      </c>
      <c r="D86" s="39" t="n">
        <f aca="false">(B86+C86)/2</f>
        <v>-0.0107421875</v>
      </c>
      <c r="E86" s="15" t="n">
        <f aca="false">$C$2*(1+IF(E$3&lt;=$O$2,$D86,$D86-($D86-$I$76)*MIN(E$3-$O$2,$Q$2)/$Q$2))</f>
        <v>1830.126953125</v>
      </c>
      <c r="F86" s="15" t="n">
        <f aca="false">E86*(1+IF(F$3&lt;=$O$2,$D86,$D86-($D86-$I$76)*MIN(F$3-$O$2,$Q$2)/$Q$2))</f>
        <v>1810.46738624573</v>
      </c>
      <c r="G86" s="15" t="n">
        <f aca="false">F86*(1+IF(G$3&lt;=$O$2,$D86,$D86-($D86-$I$76)*MIN(G$3-$O$2,$Q$2)/$Q$2))</f>
        <v>1791.01900612004</v>
      </c>
      <c r="H86" s="15" t="n">
        <f aca="false">G86*(1+IF(H$3&lt;=$O$2,$D86,$D86-($D86-$I$76)*MIN(H$3-$O$2,$Q$2)/$Q$2))</f>
        <v>1771.77954414024</v>
      </c>
      <c r="I86" s="15" t="n">
        <f aca="false">H86*(1+IF(I$3&lt;=$O$2,$D86,$D86-($D86-$I$76)*MIN(I$3-$O$2,$Q$2)/$Q$2))</f>
        <v>1752.74675606842</v>
      </c>
      <c r="J86" s="15" t="n">
        <f aca="false">I86*(1+IF(J$3&lt;=$O$2,$D86,$D86-($D86-$I$76)*MIN(J$3-$O$2,$Q$2)/$Q$2))</f>
        <v>1744.69507565773</v>
      </c>
      <c r="K86" s="15" t="n">
        <f aca="false">J86*(1+IF(K$3&lt;=$O$2,$D86,$D86-($D86-$I$76)*MIN(K$3-$O$2,$Q$2)/$Q$2))</f>
        <v>1747.40753128316</v>
      </c>
      <c r="L86" s="15" t="n">
        <f aca="false">K86*(1+IF(L$3&lt;=$O$2,$D86,$D86-($D86-$I$76)*MIN(L$3-$O$2,$Q$2)/$Q$2))</f>
        <v>1760.86802992258</v>
      </c>
      <c r="M86" s="15" t="n">
        <f aca="false">L86*(1+IF(M$3&lt;=$O$2,$D86,$D86-($D86-$I$76)*MIN(M$3-$O$2,$Q$2)/$Q$2))</f>
        <v>1785.2588034933</v>
      </c>
      <c r="N86" s="15" t="n">
        <f aca="false">M86*(1+IF(N$3&lt;=$O$2,$D86,$D86-($D86-$I$76)*MIN(N$3-$O$2,$Q$2)/$Q$2))</f>
        <v>1820.96397956317</v>
      </c>
      <c r="O86" s="15" t="n">
        <f aca="false">SUMPRODUCT(E86:N86,1/(1+$F$76)^$E$3:$N$3)*$E$2</f>
        <v>4871.49438326217</v>
      </c>
      <c r="P86" s="15" t="n">
        <f aca="false">N86*$E$2*(1+$I$76)/($F$76-$I$76)/(1+$F$76)^$N$3</f>
        <v>11844.0330886058</v>
      </c>
      <c r="Q86" s="15" t="n">
        <f aca="false">O86+P86</f>
        <v>16715.5274718679</v>
      </c>
      <c r="R86" s="15" t="n">
        <f aca="false">Q86-$G$2+$I$2</f>
        <v>15162.8274718679</v>
      </c>
      <c r="S86" s="40" t="n">
        <f aca="false">R86/$K$2</f>
        <v>55.0594701037363</v>
      </c>
      <c r="T86" s="41" t="n">
        <f aca="false">S86-$M$2</f>
        <v>0.55494924241237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-0.013671875</v>
      </c>
      <c r="C87" s="25" t="n">
        <f aca="false">IF(T86&gt;0,D86,C86)</f>
        <v>-0.0107421875</v>
      </c>
      <c r="D87" s="39" t="n">
        <f aca="false">(B87+C87)/2</f>
        <v>-0.01220703125</v>
      </c>
      <c r="E87" s="15" t="n">
        <f aca="false">$C$2*(1+IF(E$3&lt;=$O$2,$D87,$D87-($D87-$I$76)*MIN(E$3-$O$2,$Q$2)/$Q$2))</f>
        <v>1827.4169921875</v>
      </c>
      <c r="F87" s="15" t="n">
        <f aca="false">E87*(1+IF(F$3&lt;=$O$2,$D87,$D87-($D87-$I$76)*MIN(F$3-$O$2,$Q$2)/$Q$2))</f>
        <v>1805.10965585709</v>
      </c>
      <c r="G87" s="15" t="n">
        <f aca="false">F87*(1+IF(G$3&lt;=$O$2,$D87,$D87-($D87-$I$76)*MIN(G$3-$O$2,$Q$2)/$Q$2))</f>
        <v>1783.07462587836</v>
      </c>
      <c r="H87" s="15" t="n">
        <f aca="false">G87*(1+IF(H$3&lt;=$O$2,$D87,$D87-($D87-$I$76)*MIN(H$3-$O$2,$Q$2)/$Q$2))</f>
        <v>1761.30857819918</v>
      </c>
      <c r="I87" s="15" t="n">
        <f aca="false">H87*(1+IF(I$3&lt;=$O$2,$D87,$D87-($D87-$I$76)*MIN(I$3-$O$2,$Q$2)/$Q$2))</f>
        <v>1739.80822934421</v>
      </c>
      <c r="J87" s="15" t="n">
        <f aca="false">I87*(1+IF(J$3&lt;=$O$2,$D87,$D87-($D87-$I$76)*MIN(J$3-$O$2,$Q$2)/$Q$2))</f>
        <v>1729.7771475219</v>
      </c>
      <c r="K87" s="15" t="n">
        <f aca="false">J87*(1+IF(K$3&lt;=$O$2,$D87,$D87-($D87-$I$76)*MIN(K$3-$O$2,$Q$2)/$Q$2))</f>
        <v>1730.94609848487</v>
      </c>
      <c r="L87" s="15" t="n">
        <f aca="false">K87*(1+IF(L$3&lt;=$O$2,$D87,$D87-($D87-$I$76)*MIN(L$3-$O$2,$Q$2)/$Q$2))</f>
        <v>1743.26556642018</v>
      </c>
      <c r="M87" s="15" t="n">
        <f aca="false">L87*(1+IF(M$3&lt;=$O$2,$D87,$D87-($D87-$I$76)*MIN(M$3-$O$2,$Q$2)/$Q$2))</f>
        <v>1766.90179603364</v>
      </c>
      <c r="N87" s="15" t="n">
        <f aca="false">M87*(1+IF(N$3&lt;=$O$2,$D87,$D87-($D87-$I$76)*MIN(N$3-$O$2,$Q$2)/$Q$2))</f>
        <v>1802.23983195431</v>
      </c>
      <c r="O87" s="15" t="n">
        <f aca="false">SUMPRODUCT(E87:N87,1/(1+$F$76)^$E$3:$N$3)*$E$2</f>
        <v>4839.39195472746</v>
      </c>
      <c r="P87" s="15" t="n">
        <f aca="false">N87*$E$2*(1+$I$76)/($F$76-$I$76)/(1+$F$76)^$N$3</f>
        <v>11722.246262329</v>
      </c>
      <c r="Q87" s="15" t="n">
        <f aca="false">O87+P87</f>
        <v>16561.6382170565</v>
      </c>
      <c r="R87" s="15" t="n">
        <f aca="false">Q87-$G$2+$I$2</f>
        <v>15008.9382170565</v>
      </c>
      <c r="S87" s="40" t="n">
        <f aca="false">R87/$K$2</f>
        <v>54.500665300325</v>
      </c>
      <c r="T87" s="41" t="n">
        <f aca="false">S87-$M$2</f>
        <v>-0.00385556099897855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-0.01220703125</v>
      </c>
      <c r="C88" s="25" t="n">
        <f aca="false">IF(T87&gt;0,D87,C87)</f>
        <v>-0.0107421875</v>
      </c>
      <c r="D88" s="39" t="n">
        <f aca="false">(B88+C88)/2</f>
        <v>-0.011474609375</v>
      </c>
      <c r="E88" s="15" t="n">
        <f aca="false">$C$2*(1+IF(E$3&lt;=$O$2,$D88,$D88-($D88-$I$76)*MIN(E$3-$O$2,$Q$2)/$Q$2))</f>
        <v>1828.77197265625</v>
      </c>
      <c r="F88" s="15" t="n">
        <f aca="false">E88*(1+IF(F$3&lt;=$O$2,$D88,$D88-($D88-$I$76)*MIN(F$3-$O$2,$Q$2)/$Q$2))</f>
        <v>1807.78752863407</v>
      </c>
      <c r="G88" s="15" t="n">
        <f aca="false">F88*(1+IF(G$3&lt;=$O$2,$D88,$D88-($D88-$I$76)*MIN(G$3-$O$2,$Q$2)/$Q$2))</f>
        <v>1787.04387291</v>
      </c>
      <c r="H88" s="15" t="n">
        <f aca="false">G88*(1+IF(H$3&lt;=$O$2,$D88,$D88-($D88-$I$76)*MIN(H$3-$O$2,$Q$2)/$Q$2))</f>
        <v>1766.53824253237</v>
      </c>
      <c r="I88" s="15" t="n">
        <f aca="false">H88*(1+IF(I$3&lt;=$O$2,$D88,$D88-($D88-$I$76)*MIN(I$3-$O$2,$Q$2)/$Q$2))</f>
        <v>1746.26790625331</v>
      </c>
      <c r="J88" s="15" t="n">
        <f aca="false">I88*(1+IF(J$3&lt;=$O$2,$D88,$D88-($D88-$I$76)*MIN(J$3-$O$2,$Q$2)/$Q$2))</f>
        <v>1737.22278420764</v>
      </c>
      <c r="K88" s="15" t="n">
        <f aca="false">J88*(1+IF(K$3&lt;=$O$2,$D88,$D88-($D88-$I$76)*MIN(K$3-$O$2,$Q$2)/$Q$2))</f>
        <v>1739.16019477362</v>
      </c>
      <c r="L88" s="15" t="n">
        <f aca="false">K88*(1+IF(L$3&lt;=$O$2,$D88,$D88-($D88-$I$76)*MIN(L$3-$O$2,$Q$2)/$Q$2))</f>
        <v>1752.04764356067</v>
      </c>
      <c r="M88" s="15" t="n">
        <f aca="false">L88*(1+IF(M$3&lt;=$O$2,$D88,$D88-($D88-$I$76)*MIN(M$3-$O$2,$Q$2)/$Q$2))</f>
        <v>1776.0595933944</v>
      </c>
      <c r="N88" s="15" t="n">
        <f aca="false">M88*(1+IF(N$3&lt;=$O$2,$D88,$D88-($D88-$I$76)*MIN(N$3-$O$2,$Q$2)/$Q$2))</f>
        <v>1811.58078526228</v>
      </c>
      <c r="O88" s="15" t="n">
        <f aca="false">SUMPRODUCT(E88:N88,1/(1+$F$76)^$E$3:$N$3)*$E$2</f>
        <v>4855.41620562671</v>
      </c>
      <c r="P88" s="15" t="n">
        <f aca="false">N88*$E$2*(1+$I$76)/($F$76-$I$76)/(1+$F$76)^$N$3</f>
        <v>11783.0023021521</v>
      </c>
      <c r="Q88" s="15" t="n">
        <f aca="false">O88+P88</f>
        <v>16638.4185077788</v>
      </c>
      <c r="R88" s="15" t="n">
        <f aca="false">Q88-$G$2+$I$2</f>
        <v>15085.7185077788</v>
      </c>
      <c r="S88" s="40" t="n">
        <f aca="false">R88/$K$2</f>
        <v>54.7794709603792</v>
      </c>
      <c r="T88" s="41" t="n">
        <f aca="false">S88-$M$2</f>
        <v>0.274950099055246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-0.01220703125</v>
      </c>
      <c r="C89" s="25" t="n">
        <f aca="false">IF(T88&gt;0,D88,C88)</f>
        <v>-0.011474609375</v>
      </c>
      <c r="D89" s="39" t="n">
        <f aca="false">(B89+C89)/2</f>
        <v>-0.0118408203125</v>
      </c>
      <c r="E89" s="15" t="n">
        <f aca="false">$C$2*(1+IF(E$3&lt;=$O$2,$D89,$D89-($D89-$I$76)*MIN(E$3-$O$2,$Q$2)/$Q$2))</f>
        <v>1828.09448242188</v>
      </c>
      <c r="F89" s="15" t="n">
        <f aca="false">E89*(1+IF(F$3&lt;=$O$2,$D89,$D89-($D89-$I$76)*MIN(F$3-$O$2,$Q$2)/$Q$2))</f>
        <v>1806.44834414125</v>
      </c>
      <c r="G89" s="15" t="n">
        <f aca="false">F89*(1+IF(G$3&lt;=$O$2,$D89,$D89-($D89-$I$76)*MIN(G$3-$O$2,$Q$2)/$Q$2))</f>
        <v>1785.05851389446</v>
      </c>
      <c r="H89" s="15" t="n">
        <f aca="false">G89*(1+IF(H$3&lt;=$O$2,$D89,$D89-($D89-$I$76)*MIN(H$3-$O$2,$Q$2)/$Q$2))</f>
        <v>1763.92195678413</v>
      </c>
      <c r="I89" s="15" t="n">
        <f aca="false">H89*(1+IF(I$3&lt;=$O$2,$D89,$D89-($D89-$I$76)*MIN(I$3-$O$2,$Q$2)/$Q$2))</f>
        <v>1743.03567384858</v>
      </c>
      <c r="J89" s="15" t="n">
        <f aca="false">I89*(1+IF(J$3&lt;=$O$2,$D89,$D89-($D89-$I$76)*MIN(J$3-$O$2,$Q$2)/$Q$2))</f>
        <v>1733.49663877412</v>
      </c>
      <c r="K89" s="15" t="n">
        <f aca="false">J89*(1+IF(K$3&lt;=$O$2,$D89,$D89-($D89-$I$76)*MIN(K$3-$O$2,$Q$2)/$Q$2))</f>
        <v>1735.04899855708</v>
      </c>
      <c r="L89" s="15" t="n">
        <f aca="false">K89*(1+IF(L$3&lt;=$O$2,$D89,$D89-($D89-$I$76)*MIN(L$3-$O$2,$Q$2)/$Q$2))</f>
        <v>1747.65182516965</v>
      </c>
      <c r="M89" s="15" t="n">
        <f aca="false">L89*(1+IF(M$3&lt;=$O$2,$D89,$D89-($D89-$I$76)*MIN(M$3-$O$2,$Q$2)/$Q$2))</f>
        <v>1771.47552812623</v>
      </c>
      <c r="N89" s="15" t="n">
        <f aca="false">M89*(1+IF(N$3&lt;=$O$2,$D89,$D89-($D89-$I$76)*MIN(N$3-$O$2,$Q$2)/$Q$2))</f>
        <v>1806.90503868876</v>
      </c>
      <c r="O89" s="15" t="n">
        <f aca="false">SUMPRODUCT(E89:N89,1/(1+$F$76)^$E$3:$N$3)*$E$2</f>
        <v>4847.39734998888</v>
      </c>
      <c r="P89" s="15" t="n">
        <f aca="false">N89*$E$2*(1+$I$76)/($F$76-$I$76)/(1+$F$76)^$N$3</f>
        <v>11752.590005285</v>
      </c>
      <c r="Q89" s="15" t="n">
        <f aca="false">O89+P89</f>
        <v>16599.9873552739</v>
      </c>
      <c r="R89" s="15" t="n">
        <f aca="false">Q89-$G$2+$I$2</f>
        <v>15047.2873552739</v>
      </c>
      <c r="S89" s="40" t="n">
        <f aca="false">R89/$K$2</f>
        <v>54.6399192246411</v>
      </c>
      <c r="T89" s="41" t="n">
        <f aca="false">S89-$M$2</f>
        <v>0.135398363317115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-0.01220703125</v>
      </c>
      <c r="C90" s="25" t="n">
        <f aca="false">IF(T89&gt;0,D89,C89)</f>
        <v>-0.0118408203125</v>
      </c>
      <c r="D90" s="39" t="n">
        <f aca="false">(B90+C90)/2</f>
        <v>-0.01202392578125</v>
      </c>
      <c r="E90" s="15" t="n">
        <f aca="false">$C$2*(1+IF(E$3&lt;=$O$2,$D90,$D90-($D90-$I$76)*MIN(E$3-$O$2,$Q$2)/$Q$2))</f>
        <v>1827.75573730469</v>
      </c>
      <c r="F90" s="15" t="n">
        <f aca="false">E90*(1+IF(F$3&lt;=$O$2,$D90,$D90-($D90-$I$76)*MIN(F$3-$O$2,$Q$2)/$Q$2))</f>
        <v>1805.77893797308</v>
      </c>
      <c r="G90" s="15" t="n">
        <f aca="false">F90*(1+IF(G$3&lt;=$O$2,$D90,$D90-($D90-$I$76)*MIN(G$3-$O$2,$Q$2)/$Q$2))</f>
        <v>1784.06638604555</v>
      </c>
      <c r="H90" s="15" t="n">
        <f aca="false">G90*(1+IF(H$3&lt;=$O$2,$D90,$D90-($D90-$I$76)*MIN(H$3-$O$2,$Q$2)/$Q$2))</f>
        <v>1762.61490423091</v>
      </c>
      <c r="I90" s="15" t="n">
        <f aca="false">H90*(1+IF(I$3&lt;=$O$2,$D90,$D90-($D90-$I$76)*MIN(I$3-$O$2,$Q$2)/$Q$2))</f>
        <v>1741.42135344152</v>
      </c>
      <c r="J90" s="15" t="n">
        <f aca="false">I90*(1+IF(J$3&lt;=$O$2,$D90,$D90-($D90-$I$76)*MIN(J$3-$O$2,$Q$2)/$Q$2))</f>
        <v>1731.63606196915</v>
      </c>
      <c r="K90" s="15" t="n">
        <f aca="false">J90*(1+IF(K$3&lt;=$O$2,$D90,$D90-($D90-$I$76)*MIN(K$3-$O$2,$Q$2)/$Q$2))</f>
        <v>1732.99651237135</v>
      </c>
      <c r="L90" s="15" t="n">
        <f aca="false">K90*(1+IF(L$3&lt;=$O$2,$D90,$D90-($D90-$I$76)*MIN(L$3-$O$2,$Q$2)/$Q$2))</f>
        <v>1745.45750194224</v>
      </c>
      <c r="M90" s="15" t="n">
        <f aca="false">L90*(1+IF(M$3&lt;=$O$2,$D90,$D90-($D90-$I$76)*MIN(M$3-$O$2,$Q$2)/$Q$2))</f>
        <v>1769.18737168178</v>
      </c>
      <c r="N90" s="15" t="n">
        <f aca="false">M90*(1+IF(N$3&lt;=$O$2,$D90,$D90-($D90-$I$76)*MIN(N$3-$O$2,$Q$2)/$Q$2))</f>
        <v>1804.57111911542</v>
      </c>
      <c r="O90" s="15" t="n">
        <f aca="false">SUMPRODUCT(E90:N90,1/(1+$F$76)^$E$3:$N$3)*$E$2</f>
        <v>4843.39297114124</v>
      </c>
      <c r="P90" s="15" t="n">
        <f aca="false">N90*$E$2*(1+$I$76)/($F$76-$I$76)/(1+$F$76)^$N$3</f>
        <v>11737.409572853</v>
      </c>
      <c r="Q90" s="15" t="n">
        <f aca="false">O90+P90</f>
        <v>16580.8025439943</v>
      </c>
      <c r="R90" s="15" t="n">
        <f aca="false">Q90-$G$2+$I$2</f>
        <v>15028.1025439943</v>
      </c>
      <c r="S90" s="40" t="n">
        <f aca="false">R90/$K$2</f>
        <v>54.5702550709695</v>
      </c>
      <c r="T90" s="41" t="n">
        <f aca="false">S90-$M$2</f>
        <v>0.0657342096455693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-0.01220703125</v>
      </c>
      <c r="C91" s="25" t="n">
        <f aca="false">IF(T90&gt;0,D90,C90)</f>
        <v>-0.01202392578125</v>
      </c>
      <c r="D91" s="39" t="n">
        <f aca="false">(B91+C91)/2</f>
        <v>-0.012115478515625</v>
      </c>
      <c r="E91" s="15" t="n">
        <f aca="false">$C$2*(1+IF(E$3&lt;=$O$2,$D91,$D91-($D91-$I$76)*MIN(E$3-$O$2,$Q$2)/$Q$2))</f>
        <v>1827.58636474609</v>
      </c>
      <c r="F91" s="15" t="n">
        <f aca="false">E91*(1+IF(F$3&lt;=$O$2,$D91,$D91-($D91-$I$76)*MIN(F$3-$O$2,$Q$2)/$Q$2))</f>
        <v>1805.44428140856</v>
      </c>
      <c r="G91" s="15" t="n">
        <f aca="false">F91*(1+IF(G$3&lt;=$O$2,$D91,$D91-($D91-$I$76)*MIN(G$3-$O$2,$Q$2)/$Q$2))</f>
        <v>1783.570460006</v>
      </c>
      <c r="H91" s="15" t="n">
        <f aca="false">G91*(1+IF(H$3&lt;=$O$2,$D91,$D91-($D91-$I$76)*MIN(H$3-$O$2,$Q$2)/$Q$2))</f>
        <v>1761.96165041669</v>
      </c>
      <c r="I91" s="15" t="n">
        <f aca="false">H91*(1+IF(I$3&lt;=$O$2,$D91,$D91-($D91-$I$76)*MIN(I$3-$O$2,$Q$2)/$Q$2))</f>
        <v>1740.61464189572</v>
      </c>
      <c r="J91" s="15" t="n">
        <f aca="false">I91*(1+IF(J$3&lt;=$O$2,$D91,$D91-($D91-$I$76)*MIN(J$3-$O$2,$Q$2)/$Q$2))</f>
        <v>1730.706397025</v>
      </c>
      <c r="K91" s="15" t="n">
        <f aca="false">J91*(1+IF(K$3&lt;=$O$2,$D91,$D91-($D91-$I$76)*MIN(K$3-$O$2,$Q$2)/$Q$2))</f>
        <v>1731.9710464992</v>
      </c>
      <c r="L91" s="15" t="n">
        <f aca="false">K91*(1+IF(L$3&lt;=$O$2,$D91,$D91-($D91-$I$76)*MIN(L$3-$O$2,$Q$2)/$Q$2))</f>
        <v>1744.36123585577</v>
      </c>
      <c r="M91" s="15" t="n">
        <f aca="false">L91*(1+IF(M$3&lt;=$O$2,$D91,$D91-($D91-$I$76)*MIN(M$3-$O$2,$Q$2)/$Q$2))</f>
        <v>1768.04426141416</v>
      </c>
      <c r="N91" s="15" t="n">
        <f aca="false">M91*(1+IF(N$3&lt;=$O$2,$D91,$D91-($D91-$I$76)*MIN(N$3-$O$2,$Q$2)/$Q$2))</f>
        <v>1803.40514664244</v>
      </c>
      <c r="O91" s="15" t="n">
        <f aca="false">SUMPRODUCT(E91:N91,1/(1+$F$76)^$E$3:$N$3)*$E$2</f>
        <v>4841.39204279629</v>
      </c>
      <c r="P91" s="15" t="n">
        <f aca="false">N91*$E$2*(1+$I$76)/($F$76-$I$76)/(1+$F$76)^$N$3</f>
        <v>11729.8257783874</v>
      </c>
      <c r="Q91" s="15" t="n">
        <f aca="false">O91+P91</f>
        <v>16571.2178211837</v>
      </c>
      <c r="R91" s="15" t="n">
        <f aca="false">Q91-$G$2+$I$2</f>
        <v>15018.5178211837</v>
      </c>
      <c r="S91" s="40" t="n">
        <f aca="false">R91/$K$2</f>
        <v>54.5354508921301</v>
      </c>
      <c r="T91" s="41" t="n">
        <f aca="false">S91-$M$2</f>
        <v>0.0309300308061893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-0.01220703125</v>
      </c>
      <c r="C92" s="25" t="n">
        <f aca="false">IF(T91&gt;0,D91,C91)</f>
        <v>-0.012115478515625</v>
      </c>
      <c r="D92" s="39" t="n">
        <f aca="false">(B92+C92)/2</f>
        <v>-0.0121612548828125</v>
      </c>
      <c r="E92" s="15" t="n">
        <f aca="false">$C$2*(1+IF(E$3&lt;=$O$2,$D92,$D92-($D92-$I$76)*MIN(E$3-$O$2,$Q$2)/$Q$2))</f>
        <v>1827.5016784668</v>
      </c>
      <c r="F92" s="15" t="n">
        <f aca="false">E92*(1+IF(F$3&lt;=$O$2,$D92,$D92-($D92-$I$76)*MIN(F$3-$O$2,$Q$2)/$Q$2))</f>
        <v>1805.27696475619</v>
      </c>
      <c r="G92" s="15" t="n">
        <f aca="false">F92*(1+IF(G$3&lt;=$O$2,$D92,$D92-($D92-$I$76)*MIN(G$3-$O$2,$Q$2)/$Q$2))</f>
        <v>1783.32253145372</v>
      </c>
      <c r="H92" s="15" t="n">
        <f aca="false">G92*(1+IF(H$3&lt;=$O$2,$D92,$D92-($D92-$I$76)*MIN(H$3-$O$2,$Q$2)/$Q$2))</f>
        <v>1761.63509161045</v>
      </c>
      <c r="I92" s="15" t="n">
        <f aca="false">H92*(1+IF(I$3&lt;=$O$2,$D92,$D92-($D92-$I$76)*MIN(I$3-$O$2,$Q$2)/$Q$2))</f>
        <v>1740.21139825087</v>
      </c>
      <c r="J92" s="15" t="n">
        <f aca="false">I92*(1+IF(J$3&lt;=$O$2,$D92,$D92-($D92-$I$76)*MIN(J$3-$O$2,$Q$2)/$Q$2))</f>
        <v>1730.24172035259</v>
      </c>
      <c r="K92" s="15" t="n">
        <f aca="false">J92*(1+IF(K$3&lt;=$O$2,$D92,$D92-($D92-$I$76)*MIN(K$3-$O$2,$Q$2)/$Q$2))</f>
        <v>1731.45850777336</v>
      </c>
      <c r="L92" s="15" t="n">
        <f aca="false">K92*(1+IF(L$3&lt;=$O$2,$D92,$D92-($D92-$I$76)*MIN(L$3-$O$2,$Q$2)/$Q$2))</f>
        <v>1743.81332657382</v>
      </c>
      <c r="M92" s="15" t="n">
        <f aca="false">L92*(1+IF(M$3&lt;=$O$2,$D92,$D92-($D92-$I$76)*MIN(M$3-$O$2,$Q$2)/$Q$2))</f>
        <v>1767.4729481325</v>
      </c>
      <c r="N92" s="15" t="n">
        <f aca="false">M92*(1+IF(N$3&lt;=$O$2,$D92,$D92-($D92-$I$76)*MIN(N$3-$O$2,$Q$2)/$Q$2))</f>
        <v>1802.82240709515</v>
      </c>
      <c r="O92" s="15" t="n">
        <f aca="false">SUMPRODUCT(E92:N92,1/(1+$F$76)^$E$3:$N$3)*$E$2</f>
        <v>4840.39189374812</v>
      </c>
      <c r="P92" s="15" t="n">
        <f aca="false">N92*$E$2*(1+$I$76)/($F$76-$I$76)/(1+$F$76)^$N$3</f>
        <v>11726.0354856866</v>
      </c>
      <c r="Q92" s="15" t="n">
        <f aca="false">O92+P92</f>
        <v>16566.4273794348</v>
      </c>
      <c r="R92" s="15" t="n">
        <f aca="false">Q92-$G$2+$I$2</f>
        <v>15013.7273794348</v>
      </c>
      <c r="S92" s="40" t="n">
        <f aca="false">R92/$K$2</f>
        <v>54.5180557733932</v>
      </c>
      <c r="T92" s="41" t="n">
        <f aca="false">S92-$M$2</f>
        <v>0.0135349120692894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-0.01220703125</v>
      </c>
      <c r="C93" s="25" t="n">
        <f aca="false">IF(T92&gt;0,D92,C92)</f>
        <v>-0.0121612548828125</v>
      </c>
      <c r="D93" s="39" t="n">
        <f aca="false">(B93+C93)/2</f>
        <v>-0.0121841430664063</v>
      </c>
      <c r="E93" s="15" t="n">
        <f aca="false">$C$2*(1+IF(E$3&lt;=$O$2,$D93,$D93-($D93-$I$76)*MIN(E$3-$O$2,$Q$2)/$Q$2))</f>
        <v>1827.45933532715</v>
      </c>
      <c r="F93" s="15" t="n">
        <f aca="false">E93*(1+IF(F$3&lt;=$O$2,$D93,$D93-($D93-$I$76)*MIN(F$3-$O$2,$Q$2)/$Q$2))</f>
        <v>1805.19330933748</v>
      </c>
      <c r="G93" s="15" t="n">
        <f aca="false">F93*(1+IF(G$3&lt;=$O$2,$D93,$D93-($D93-$I$76)*MIN(G$3-$O$2,$Q$2)/$Q$2))</f>
        <v>1783.198575794</v>
      </c>
      <c r="H93" s="15" t="n">
        <f aca="false">G93*(1+IF(H$3&lt;=$O$2,$D93,$D93-($D93-$I$76)*MIN(H$3-$O$2,$Q$2)/$Q$2))</f>
        <v>1761.47182923071</v>
      </c>
      <c r="I93" s="15" t="n">
        <f aca="false">H93*(1+IF(I$3&lt;=$O$2,$D93,$D93-($D93-$I$76)*MIN(I$3-$O$2,$Q$2)/$Q$2))</f>
        <v>1740.00980445592</v>
      </c>
      <c r="J93" s="15" t="n">
        <f aca="false">I93*(1+IF(J$3&lt;=$O$2,$D93,$D93-($D93-$I$76)*MIN(J$3-$O$2,$Q$2)/$Q$2))</f>
        <v>1730.00942095819</v>
      </c>
      <c r="K93" s="15" t="n">
        <f aca="false">J93*(1+IF(K$3&lt;=$O$2,$D93,$D93-($D93-$I$76)*MIN(K$3-$O$2,$Q$2)/$Q$2))</f>
        <v>1731.20228695114</v>
      </c>
      <c r="L93" s="15" t="n">
        <f aca="false">K93*(1+IF(L$3&lt;=$O$2,$D93,$D93-($D93-$I$76)*MIN(L$3-$O$2,$Q$2)/$Q$2))</f>
        <v>1743.53942785812</v>
      </c>
      <c r="M93" s="15" t="n">
        <f aca="false">L93*(1+IF(M$3&lt;=$O$2,$D93,$D93-($D93-$I$76)*MIN(M$3-$O$2,$Q$2)/$Q$2))</f>
        <v>1767.18735193766</v>
      </c>
      <c r="N93" s="15" t="n">
        <f aca="false">M93*(1+IF(N$3&lt;=$O$2,$D93,$D93-($D93-$I$76)*MIN(N$3-$O$2,$Q$2)/$Q$2))</f>
        <v>1802.53109897641</v>
      </c>
      <c r="O93" s="15" t="n">
        <f aca="false">SUMPRODUCT(E93:N93,1/(1+$F$76)^$E$3:$N$3)*$E$2</f>
        <v>4839.89189798695</v>
      </c>
      <c r="P93" s="15" t="n">
        <f aca="false">N93*$E$2*(1+$I$76)/($F$76-$I$76)/(1+$F$76)^$N$3</f>
        <v>11724.1407403561</v>
      </c>
      <c r="Q93" s="15" t="n">
        <f aca="false">O93+P93</f>
        <v>16564.0326383431</v>
      </c>
      <c r="R93" s="15" t="n">
        <f aca="false">Q93-$G$2+$I$2</f>
        <v>15011.3326383431</v>
      </c>
      <c r="S93" s="40" t="n">
        <f aca="false">R93/$K$2</f>
        <v>54.5093599562186</v>
      </c>
      <c r="T93" s="41" t="n">
        <f aca="false">S93-$M$2</f>
        <v>0.0048390948946988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-0.01220703125</v>
      </c>
      <c r="C94" s="25" t="n">
        <f aca="false">IF(T93&gt;0,D93,C93)</f>
        <v>-0.0121841430664063</v>
      </c>
      <c r="D94" s="39" t="n">
        <f aca="false">(B94+C94)/2</f>
        <v>-0.0121955871582031</v>
      </c>
      <c r="E94" s="15" t="n">
        <f aca="false">$C$2*(1+IF(E$3&lt;=$O$2,$D94,$D94-($D94-$I$76)*MIN(E$3-$O$2,$Q$2)/$Q$2))</f>
        <v>1827.43816375732</v>
      </c>
      <c r="F94" s="15" t="n">
        <f aca="false">E94*(1+IF(F$3&lt;=$O$2,$D94,$D94-($D94-$I$76)*MIN(F$3-$O$2,$Q$2)/$Q$2))</f>
        <v>1805.151482355</v>
      </c>
      <c r="G94" s="15" t="n">
        <f aca="false">F94*(1+IF(G$3&lt;=$O$2,$D94,$D94-($D94-$I$76)*MIN(G$3-$O$2,$Q$2)/$Q$2))</f>
        <v>1783.13660011818</v>
      </c>
      <c r="H94" s="15" t="n">
        <f aca="false">G94*(1+IF(H$3&lt;=$O$2,$D94,$D94-($D94-$I$76)*MIN(H$3-$O$2,$Q$2)/$Q$2))</f>
        <v>1761.39020229645</v>
      </c>
      <c r="I94" s="15" t="n">
        <f aca="false">H94*(1+IF(I$3&lt;=$O$2,$D94,$D94-($D94-$I$76)*MIN(I$3-$O$2,$Q$2)/$Q$2))</f>
        <v>1739.90901456474</v>
      </c>
      <c r="J94" s="15" t="n">
        <f aca="false">I94*(1+IF(J$3&lt;=$O$2,$D94,$D94-($D94-$I$76)*MIN(J$3-$O$2,$Q$2)/$Q$2))</f>
        <v>1729.89328099543</v>
      </c>
      <c r="K94" s="15" t="n">
        <f aca="false">J94*(1+IF(K$3&lt;=$O$2,$D94,$D94-($D94-$I$76)*MIN(K$3-$O$2,$Q$2)/$Q$2))</f>
        <v>1731.07418867373</v>
      </c>
      <c r="L94" s="15" t="n">
        <f aca="false">K94*(1+IF(L$3&lt;=$O$2,$D94,$D94-($D94-$I$76)*MIN(L$3-$O$2,$Q$2)/$Q$2))</f>
        <v>1743.4024924797</v>
      </c>
      <c r="M94" s="15" t="n">
        <f aca="false">L94*(1+IF(M$3&lt;=$O$2,$D94,$D94-($D94-$I$76)*MIN(M$3-$O$2,$Q$2)/$Q$2))</f>
        <v>1767.0445689496</v>
      </c>
      <c r="N94" s="15" t="n">
        <f aca="false">M94*(1+IF(N$3&lt;=$O$2,$D94,$D94-($D94-$I$76)*MIN(N$3-$O$2,$Q$2)/$Q$2))</f>
        <v>1802.38546032859</v>
      </c>
      <c r="O94" s="15" t="n">
        <f aca="false">SUMPRODUCT(E94:N94,1/(1+$F$76)^$E$3:$N$3)*$E$2</f>
        <v>4839.64191979482</v>
      </c>
      <c r="P94" s="15" t="n">
        <f aca="false">N94*$E$2*(1+$I$76)/($F$76-$I$76)/(1+$F$76)^$N$3</f>
        <v>11723.1934679317</v>
      </c>
      <c r="Q94" s="15" t="n">
        <f aca="false">O94+P94</f>
        <v>16562.8353877265</v>
      </c>
      <c r="R94" s="15" t="n">
        <f aca="false">Q94-$G$2+$I$2</f>
        <v>15010.1353877265</v>
      </c>
      <c r="S94" s="40" t="n">
        <f aca="false">R94/$K$2</f>
        <v>54.5050124831202</v>
      </c>
      <c r="T94" s="41" t="n">
        <f aca="false">S94-$M$2</f>
        <v>0.00049162179624318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-0.01220703125</v>
      </c>
      <c r="C95" s="25" t="n">
        <f aca="false">IF(T94&gt;0,D94,C94)</f>
        <v>-0.0121955871582031</v>
      </c>
      <c r="D95" s="39" t="n">
        <f aca="false">(B95+C95)/2</f>
        <v>-0.0122013092041016</v>
      </c>
      <c r="E95" s="15" t="n">
        <f aca="false">$C$2*(1+IF(E$3&lt;=$O$2,$D95,$D95-($D95-$I$76)*MIN(E$3-$O$2,$Q$2)/$Q$2))</f>
        <v>1827.42757797241</v>
      </c>
      <c r="F95" s="15" t="n">
        <f aca="false">E95*(1+IF(F$3&lt;=$O$2,$D95,$D95-($D95-$I$76)*MIN(F$3-$O$2,$Q$2)/$Q$2))</f>
        <v>1805.13056904547</v>
      </c>
      <c r="G95" s="15" t="n">
        <f aca="false">F95*(1+IF(G$3&lt;=$O$2,$D95,$D95-($D95-$I$76)*MIN(G$3-$O$2,$Q$2)/$Q$2))</f>
        <v>1783.10561281877</v>
      </c>
      <c r="H95" s="15" t="n">
        <f aca="false">G95*(1+IF(H$3&lt;=$O$2,$D95,$D95-($D95-$I$76)*MIN(H$3-$O$2,$Q$2)/$Q$2))</f>
        <v>1761.3493898932</v>
      </c>
      <c r="I95" s="15" t="n">
        <f aca="false">H95*(1+IF(I$3&lt;=$O$2,$D95,$D95-($D95-$I$76)*MIN(I$3-$O$2,$Q$2)/$Q$2))</f>
        <v>1739.85862137066</v>
      </c>
      <c r="J95" s="15" t="n">
        <f aca="false">I95*(1+IF(J$3&lt;=$O$2,$D95,$D95-($D95-$I$76)*MIN(J$3-$O$2,$Q$2)/$Q$2))</f>
        <v>1729.83521344753</v>
      </c>
      <c r="K95" s="15" t="n">
        <f aca="false">J95*(1+IF(K$3&lt;=$O$2,$D95,$D95-($D95-$I$76)*MIN(K$3-$O$2,$Q$2)/$Q$2))</f>
        <v>1731.01014256826</v>
      </c>
      <c r="L95" s="15" t="n">
        <f aca="false">K95*(1+IF(L$3&lt;=$O$2,$D95,$D95-($D95-$I$76)*MIN(L$3-$O$2,$Q$2)/$Q$2))</f>
        <v>1743.33402828511</v>
      </c>
      <c r="M95" s="15" t="n">
        <f aca="false">L95*(1+IF(M$3&lt;=$O$2,$D95,$D95-($D95-$I$76)*MIN(M$3-$O$2,$Q$2)/$Q$2))</f>
        <v>1766.97318123265</v>
      </c>
      <c r="N95" s="15" t="n">
        <f aca="false">M95*(1+IF(N$3&lt;=$O$2,$D95,$D95-($D95-$I$76)*MIN(N$3-$O$2,$Q$2)/$Q$2))</f>
        <v>1802.3126448573</v>
      </c>
      <c r="O95" s="15" t="n">
        <f aca="false">SUMPRODUCT(E95:N95,1/(1+$F$76)^$E$3:$N$3)*$E$2</f>
        <v>4839.51693562058</v>
      </c>
      <c r="P95" s="15" t="n">
        <f aca="false">N95*$E$2*(1+$I$76)/($F$76-$I$76)/(1+$F$76)^$N$3</f>
        <v>11722.7198567779</v>
      </c>
      <c r="Q95" s="15" t="n">
        <f aca="false">O95+P95</f>
        <v>16562.2367923984</v>
      </c>
      <c r="R95" s="15" t="n">
        <f aca="false">Q95-$G$2+$I$2</f>
        <v>15009.5367923984</v>
      </c>
      <c r="S95" s="40" t="n">
        <f aca="false">R95/$K$2</f>
        <v>54.5028388554357</v>
      </c>
      <c r="T95" s="41" t="n">
        <f aca="false">S95-$M$2</f>
        <v>-0.00168200588820611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-0.0122013092041016</v>
      </c>
      <c r="C96" s="25" t="n">
        <f aca="false">IF(T95&gt;0,D95,C95)</f>
        <v>-0.0121955871582031</v>
      </c>
      <c r="D96" s="39" t="n">
        <f aca="false">(B96+C96)/2</f>
        <v>-0.0121984481811523</v>
      </c>
      <c r="E96" s="15" t="n">
        <f aca="false">$C$2*(1+IF(E$3&lt;=$O$2,$D96,$D96-($D96-$I$76)*MIN(E$3-$O$2,$Q$2)/$Q$2))</f>
        <v>1827.43287086487</v>
      </c>
      <c r="F96" s="15" t="n">
        <f aca="false">E96*(1+IF(F$3&lt;=$O$2,$D96,$D96-($D96-$I$76)*MIN(F$3-$O$2,$Q$2)/$Q$2))</f>
        <v>1805.14102568509</v>
      </c>
      <c r="G96" s="15" t="n">
        <f aca="false">F96*(1+IF(G$3&lt;=$O$2,$D96,$D96-($D96-$I$76)*MIN(G$3-$O$2,$Q$2)/$Q$2))</f>
        <v>1783.1211064236</v>
      </c>
      <c r="H96" s="15" t="n">
        <f aca="false">G96*(1+IF(H$3&lt;=$O$2,$D96,$D96-($D96-$I$76)*MIN(H$3-$O$2,$Q$2)/$Q$2))</f>
        <v>1761.36979600617</v>
      </c>
      <c r="I96" s="15" t="n">
        <f aca="false">H96*(1+IF(I$3&lt;=$O$2,$D96,$D96-($D96-$I$76)*MIN(I$3-$O$2,$Q$2)/$Q$2))</f>
        <v>1739.88381782174</v>
      </c>
      <c r="J96" s="15" t="n">
        <f aca="false">I96*(1+IF(J$3&lt;=$O$2,$D96,$D96-($D96-$I$76)*MIN(J$3-$O$2,$Q$2)/$Q$2))</f>
        <v>1729.86424701869</v>
      </c>
      <c r="K96" s="15" t="n">
        <f aca="false">J96*(1+IF(K$3&lt;=$O$2,$D96,$D96-($D96-$I$76)*MIN(K$3-$O$2,$Q$2)/$Q$2))</f>
        <v>1731.04216536823</v>
      </c>
      <c r="L96" s="15" t="n">
        <f aca="false">K96*(1+IF(L$3&lt;=$O$2,$D96,$D96-($D96-$I$76)*MIN(L$3-$O$2,$Q$2)/$Q$2))</f>
        <v>1743.36826009119</v>
      </c>
      <c r="M96" s="15" t="n">
        <f aca="false">L96*(1+IF(M$3&lt;=$O$2,$D96,$D96-($D96-$I$76)*MIN(M$3-$O$2,$Q$2)/$Q$2))</f>
        <v>1767.00887477637</v>
      </c>
      <c r="N96" s="15" t="n">
        <f aca="false">M96*(1+IF(N$3&lt;=$O$2,$D96,$D96-($D96-$I$76)*MIN(N$3-$O$2,$Q$2)/$Q$2))</f>
        <v>1802.3490522719</v>
      </c>
      <c r="O96" s="15" t="n">
        <f aca="false">SUMPRODUCT(E96:N96,1/(1+$F$76)^$E$3:$N$3)*$E$2</f>
        <v>4839.57942729756</v>
      </c>
      <c r="P96" s="15" t="n">
        <f aca="false">N96*$E$2*(1+$I$76)/($F$76-$I$76)/(1+$F$76)^$N$3</f>
        <v>11722.9566602666</v>
      </c>
      <c r="Q96" s="15" t="n">
        <f aca="false">O96+P96</f>
        <v>16562.5360875642</v>
      </c>
      <c r="R96" s="15" t="n">
        <f aca="false">Q96-$G$2+$I$2</f>
        <v>15009.8360875642</v>
      </c>
      <c r="S96" s="40" t="n">
        <f aca="false">R96/$K$2</f>
        <v>54.5039256602061</v>
      </c>
      <c r="T96" s="41" t="n">
        <f aca="false">S96-$M$2</f>
        <v>-0.000595201117832289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-0.0121984481811523</v>
      </c>
      <c r="C97" s="25" t="n">
        <f aca="false">IF(T96&gt;0,D96,C96)</f>
        <v>-0.0121955871582031</v>
      </c>
      <c r="D97" s="39" t="n">
        <f aca="false">(B97+C97)/2</f>
        <v>-0.0121970176696777</v>
      </c>
      <c r="E97" s="15" t="n">
        <f aca="false">$C$2*(1+IF(E$3&lt;=$O$2,$D97,$D97-($D97-$I$76)*MIN(E$3-$O$2,$Q$2)/$Q$2))</f>
        <v>1827.4355173111</v>
      </c>
      <c r="F97" s="15" t="n">
        <f aca="false">E97*(1+IF(F$3&lt;=$O$2,$D97,$D97-($D97-$I$76)*MIN(F$3-$O$2,$Q$2)/$Q$2))</f>
        <v>1805.14625401626</v>
      </c>
      <c r="G97" s="15" t="n">
        <f aca="false">F97*(1+IF(G$3&lt;=$O$2,$D97,$D97-($D97-$I$76)*MIN(G$3-$O$2,$Q$2)/$Q$2))</f>
        <v>1783.12885325967</v>
      </c>
      <c r="H97" s="15" t="n">
        <f aca="false">G97*(1+IF(H$3&lt;=$O$2,$D97,$D97-($D97-$I$76)*MIN(H$3-$O$2,$Q$2)/$Q$2))</f>
        <v>1761.37999912915</v>
      </c>
      <c r="I97" s="15" t="n">
        <f aca="false">H97*(1+IF(I$3&lt;=$O$2,$D97,$D97-($D97-$I$76)*MIN(I$3-$O$2,$Q$2)/$Q$2))</f>
        <v>1739.89641615675</v>
      </c>
      <c r="J97" s="15" t="n">
        <f aca="false">I97*(1+IF(J$3&lt;=$O$2,$D97,$D97-($D97-$I$76)*MIN(J$3-$O$2,$Q$2)/$Q$2))</f>
        <v>1729.87876395636</v>
      </c>
      <c r="K97" s="15" t="n">
        <f aca="false">J97*(1+IF(K$3&lt;=$O$2,$D97,$D97-($D97-$I$76)*MIN(K$3-$O$2,$Q$2)/$Q$2))</f>
        <v>1731.05817695779</v>
      </c>
      <c r="L97" s="15" t="n">
        <f aca="false">K97*(1+IF(L$3&lt;=$O$2,$D97,$D97-($D97-$I$76)*MIN(L$3-$O$2,$Q$2)/$Q$2))</f>
        <v>1743.38537621264</v>
      </c>
      <c r="M97" s="15" t="n">
        <f aca="false">L97*(1+IF(M$3&lt;=$O$2,$D97,$D97-($D97-$I$76)*MIN(M$3-$O$2,$Q$2)/$Q$2))</f>
        <v>1767.0267217843</v>
      </c>
      <c r="N97" s="15" t="n">
        <f aca="false">M97*(1+IF(N$3&lt;=$O$2,$D97,$D97-($D97-$I$76)*MIN(N$3-$O$2,$Q$2)/$Q$2))</f>
        <v>1802.36725621999</v>
      </c>
      <c r="O97" s="15" t="n">
        <f aca="false">SUMPRODUCT(E97:N97,1/(1+$F$76)^$E$3:$N$3)*$E$2</f>
        <v>4839.61067344365</v>
      </c>
      <c r="P97" s="15" t="n">
        <f aca="false">N97*$E$2*(1+$I$76)/($F$76-$I$76)/(1+$F$76)^$N$3</f>
        <v>11723.0750635771</v>
      </c>
      <c r="Q97" s="15" t="n">
        <f aca="false">O97+P97</f>
        <v>16562.6857370207</v>
      </c>
      <c r="R97" s="15" t="n">
        <f aca="false">Q97-$G$2+$I$2</f>
        <v>15009.9857370207</v>
      </c>
      <c r="S97" s="40" t="n">
        <f aca="false">R97/$K$2</f>
        <v>54.5044690693952</v>
      </c>
      <c r="T97" s="41" t="n">
        <f aca="false">S97-$M$2</f>
        <v>-5.17919287688073E-005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-0.0121970176696777</v>
      </c>
      <c r="C98" s="25" t="n">
        <f aca="false">IF(T97&gt;0,D97,C97)</f>
        <v>-0.0121955871582031</v>
      </c>
      <c r="D98" s="39" t="n">
        <f aca="false">(B98+C98)/2</f>
        <v>-0.0121963024139404</v>
      </c>
      <c r="E98" s="15" t="n">
        <f aca="false">$C$2*(1+IF(E$3&lt;=$O$2,$D98,$D98-($D98-$I$76)*MIN(E$3-$O$2,$Q$2)/$Q$2))</f>
        <v>1827.43684053421</v>
      </c>
      <c r="F98" s="15" t="n">
        <f aca="false">E98*(1+IF(F$3&lt;=$O$2,$D98,$D98-($D98-$I$76)*MIN(F$3-$O$2,$Q$2)/$Q$2))</f>
        <v>1805.14886818468</v>
      </c>
      <c r="G98" s="15" t="n">
        <f aca="false">F98*(1+IF(G$3&lt;=$O$2,$D98,$D98-($D98-$I$76)*MIN(G$3-$O$2,$Q$2)/$Q$2))</f>
        <v>1783.13272668612</v>
      </c>
      <c r="H98" s="15" t="n">
        <f aca="false">G98*(1+IF(H$3&lt;=$O$2,$D98,$D98-($D98-$I$76)*MIN(H$3-$O$2,$Q$2)/$Q$2))</f>
        <v>1761.38510070726</v>
      </c>
      <c r="I98" s="15" t="n">
        <f aca="false">H98*(1+IF(I$3&lt;=$O$2,$D98,$D98-($D98-$I$76)*MIN(I$3-$O$2,$Q$2)/$Q$2))</f>
        <v>1739.90271535162</v>
      </c>
      <c r="J98" s="15" t="n">
        <f aca="false">I98*(1+IF(J$3&lt;=$O$2,$D98,$D98-($D98-$I$76)*MIN(J$3-$O$2,$Q$2)/$Q$2))</f>
        <v>1729.88602246322</v>
      </c>
      <c r="K98" s="15" t="n">
        <f aca="false">J98*(1+IF(K$3&lt;=$O$2,$D98,$D98-($D98-$I$76)*MIN(K$3-$O$2,$Q$2)/$Q$2))</f>
        <v>1731.06618279996</v>
      </c>
      <c r="L98" s="15" t="n">
        <f aca="false">K98*(1+IF(L$3&lt;=$O$2,$D98,$D98-($D98-$I$76)*MIN(L$3-$O$2,$Q$2)/$Q$2))</f>
        <v>1743.39393432797</v>
      </c>
      <c r="M98" s="15" t="n">
        <f aca="false">L98*(1+IF(M$3&lt;=$O$2,$D98,$D98-($D98-$I$76)*MIN(M$3-$O$2,$Q$2)/$Q$2))</f>
        <v>1767.03564534728</v>
      </c>
      <c r="N98" s="15" t="n">
        <f aca="false">M98*(1+IF(N$3&lt;=$O$2,$D98,$D98-($D98-$I$76)*MIN(N$3-$O$2,$Q$2)/$Q$2))</f>
        <v>1802.37635825422</v>
      </c>
      <c r="O98" s="15" t="n">
        <f aca="false">SUMPRODUCT(E98:N98,1/(1+$F$76)^$E$3:$N$3)*$E$2</f>
        <v>4839.6262965936</v>
      </c>
      <c r="P98" s="15" t="n">
        <f aca="false">N98*$E$2*(1+$I$76)/($F$76-$I$76)/(1+$F$76)^$N$3</f>
        <v>11723.1342656239</v>
      </c>
      <c r="Q98" s="15" t="n">
        <f aca="false">O98+P98</f>
        <v>16562.7605622175</v>
      </c>
      <c r="R98" s="15" t="n">
        <f aca="false">Q98-$G$2+$I$2</f>
        <v>15010.0605622175</v>
      </c>
      <c r="S98" s="40" t="n">
        <f aca="false">R98/$K$2</f>
        <v>54.5047407756907</v>
      </c>
      <c r="T98" s="41" t="n">
        <f aca="false">S98-$M$2</f>
        <v>0.000219914366738294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-0.0121970176696777</v>
      </c>
      <c r="C99" s="25" t="n">
        <f aca="false">IF(T98&gt;0,D98,C98)</f>
        <v>-0.0121963024139404</v>
      </c>
      <c r="D99" s="39" t="n">
        <f aca="false">(B99+C99)/2</f>
        <v>-0.0121966600418091</v>
      </c>
      <c r="E99" s="15" t="n">
        <f aca="false">$C$2*(1+IF(E$3&lt;=$O$2,$D99,$D99-($D99-$I$76)*MIN(E$3-$O$2,$Q$2)/$Q$2))</f>
        <v>1827.43617892265</v>
      </c>
      <c r="F99" s="15" t="n">
        <f aca="false">E99*(1+IF(F$3&lt;=$O$2,$D99,$D99-($D99-$I$76)*MIN(F$3-$O$2,$Q$2)/$Q$2))</f>
        <v>1805.14756110023</v>
      </c>
      <c r="G99" s="15" t="n">
        <f aca="false">F99*(1+IF(G$3&lt;=$O$2,$D99,$D99-($D99-$I$76)*MIN(G$3-$O$2,$Q$2)/$Q$2))</f>
        <v>1783.13078997219</v>
      </c>
      <c r="H99" s="15" t="n">
        <f aca="false">G99*(1+IF(H$3&lt;=$O$2,$D99,$D99-($D99-$I$76)*MIN(H$3-$O$2,$Q$2)/$Q$2))</f>
        <v>1761.38254991682</v>
      </c>
      <c r="I99" s="15" t="n">
        <f aca="false">H99*(1+IF(I$3&lt;=$O$2,$D99,$D99-($D99-$I$76)*MIN(I$3-$O$2,$Q$2)/$Q$2))</f>
        <v>1739.89956575191</v>
      </c>
      <c r="J99" s="15" t="n">
        <f aca="false">I99*(1+IF(J$3&lt;=$O$2,$D99,$D99-($D99-$I$76)*MIN(J$3-$O$2,$Q$2)/$Q$2))</f>
        <v>1729.88239320662</v>
      </c>
      <c r="K99" s="15" t="n">
        <f aca="false">J99*(1+IF(K$3&lt;=$O$2,$D99,$D99-($D99-$I$76)*MIN(K$3-$O$2,$Q$2)/$Q$2))</f>
        <v>1731.06217987492</v>
      </c>
      <c r="L99" s="15" t="n">
        <f aca="false">K99*(1+IF(L$3&lt;=$O$2,$D99,$D99-($D99-$I$76)*MIN(L$3-$O$2,$Q$2)/$Q$2))</f>
        <v>1743.38965526575</v>
      </c>
      <c r="M99" s="15" t="n">
        <f aca="false">L99*(1+IF(M$3&lt;=$O$2,$D99,$D99-($D99-$I$76)*MIN(M$3-$O$2,$Q$2)/$Q$2))</f>
        <v>1767.03118356087</v>
      </c>
      <c r="N99" s="15" t="n">
        <f aca="false">M99*(1+IF(N$3&lt;=$O$2,$D99,$D99-($D99-$I$76)*MIN(N$3-$O$2,$Q$2)/$Q$2))</f>
        <v>1802.37180723209</v>
      </c>
      <c r="O99" s="15" t="n">
        <f aca="false">SUMPRODUCT(E99:N99,1/(1+$F$76)^$E$3:$N$3)*$E$2</f>
        <v>4839.61848501222</v>
      </c>
      <c r="P99" s="15" t="n">
        <f aca="false">N99*$E$2*(1+$I$76)/($F$76-$I$76)/(1+$F$76)^$N$3</f>
        <v>11723.1046645678</v>
      </c>
      <c r="Q99" s="15" t="n">
        <f aca="false">O99+P99</f>
        <v>16562.7231495801</v>
      </c>
      <c r="R99" s="15" t="n">
        <f aca="false">Q99-$G$2+$I$2</f>
        <v>15010.0231495801</v>
      </c>
      <c r="S99" s="40" t="n">
        <f aca="false">R99/$K$2</f>
        <v>54.5046049224012</v>
      </c>
      <c r="T99" s="41" t="n">
        <f aca="false">S99-$M$2</f>
        <v>8.40610772314676E-005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-0.0121970176696777</v>
      </c>
      <c r="C100" s="25" t="n">
        <f aca="false">IF(T99&gt;0,D99,C99)</f>
        <v>-0.0121966600418091</v>
      </c>
      <c r="D100" s="39" t="n">
        <f aca="false">(B100+C100)/2</f>
        <v>-0.0121968388557434</v>
      </c>
      <c r="E100" s="15" t="n">
        <f aca="false">$C$2*(1+IF(E$3&lt;=$O$2,$D100,$D100-($D100-$I$76)*MIN(E$3-$O$2,$Q$2)/$Q$2))</f>
        <v>1827.43584811687</v>
      </c>
      <c r="F100" s="15" t="n">
        <f aca="false">E100*(1+IF(F$3&lt;=$O$2,$D100,$D100-($D100-$I$76)*MIN(F$3-$O$2,$Q$2)/$Q$2))</f>
        <v>1805.14690755818</v>
      </c>
      <c r="G100" s="15" t="n">
        <f aca="false">F100*(1+IF(G$3&lt;=$O$2,$D100,$D100-($D100-$I$76)*MIN(G$3-$O$2,$Q$2)/$Q$2))</f>
        <v>1783.12982161575</v>
      </c>
      <c r="H100" s="15" t="n">
        <f aca="false">G100*(1+IF(H$3&lt;=$O$2,$D100,$D100-($D100-$I$76)*MIN(H$3-$O$2,$Q$2)/$Q$2))</f>
        <v>1761.38127452264</v>
      </c>
      <c r="I100" s="15" t="n">
        <f aca="false">H100*(1+IF(I$3&lt;=$O$2,$D100,$D100-($D100-$I$76)*MIN(I$3-$O$2,$Q$2)/$Q$2))</f>
        <v>1739.89799095376</v>
      </c>
      <c r="J100" s="15" t="n">
        <f aca="false">I100*(1+IF(J$3&lt;=$O$2,$D100,$D100-($D100-$I$76)*MIN(J$3-$O$2,$Q$2)/$Q$2))</f>
        <v>1729.8805785807</v>
      </c>
      <c r="K100" s="15" t="n">
        <f aca="false">J100*(1+IF(K$3&lt;=$O$2,$D100,$D100-($D100-$I$76)*MIN(K$3-$O$2,$Q$2)/$Q$2))</f>
        <v>1731.06017841537</v>
      </c>
      <c r="L100" s="15" t="n">
        <f aca="false">K100*(1+IF(L$3&lt;=$O$2,$D100,$D100-($D100-$I$76)*MIN(L$3-$O$2,$Q$2)/$Q$2))</f>
        <v>1743.38751573806</v>
      </c>
      <c r="M100" s="15" t="n">
        <f aca="false">L100*(1+IF(M$3&lt;=$O$2,$D100,$D100-($D100-$I$76)*MIN(M$3-$O$2,$Q$2)/$Q$2))</f>
        <v>1767.02895267136</v>
      </c>
      <c r="N100" s="15" t="n">
        <f aca="false">M100*(1+IF(N$3&lt;=$O$2,$D100,$D100-($D100-$I$76)*MIN(N$3-$O$2,$Q$2)/$Q$2))</f>
        <v>1802.36953172478</v>
      </c>
      <c r="O100" s="15" t="n">
        <f aca="false">SUMPRODUCT(E100:N100,1/(1+$F$76)^$E$3:$N$3)*$E$2</f>
        <v>4839.61457922633</v>
      </c>
      <c r="P100" s="15" t="n">
        <f aca="false">N100*$E$2*(1+$I$76)/($F$76-$I$76)/(1+$F$76)^$N$3</f>
        <v>11723.0898640643</v>
      </c>
      <c r="Q100" s="15" t="n">
        <f aca="false">O100+P100</f>
        <v>16562.7044432906</v>
      </c>
      <c r="R100" s="15" t="n">
        <f aca="false">Q100-$G$2+$I$2</f>
        <v>15010.0044432906</v>
      </c>
      <c r="S100" s="40" t="n">
        <f aca="false">R100/$K$2</f>
        <v>54.5045369958627</v>
      </c>
      <c r="T100" s="41" t="n">
        <f aca="false">S100-$M$2</f>
        <v>1.61345388036693E-005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-0.0121970176696777</v>
      </c>
      <c r="C101" s="25" t="n">
        <f aca="false">IF(T100&gt;0,D100,C100)</f>
        <v>-0.0121968388557434</v>
      </c>
      <c r="D101" s="39" t="n">
        <f aca="false">(B101+C101)/2</f>
        <v>-0.0121969282627106</v>
      </c>
      <c r="E101" s="15" t="n">
        <f aca="false">$C$2*(1+IF(E$3&lt;=$O$2,$D101,$D101-($D101-$I$76)*MIN(E$3-$O$2,$Q$2)/$Q$2))</f>
        <v>1827.43568271399</v>
      </c>
      <c r="F101" s="15" t="n">
        <f aca="false">E101*(1+IF(F$3&lt;=$O$2,$D101,$D101-($D101-$I$76)*MIN(F$3-$O$2,$Q$2)/$Q$2))</f>
        <v>1805.14658078721</v>
      </c>
      <c r="G101" s="15" t="n">
        <f aca="false">F101*(1+IF(G$3&lt;=$O$2,$D101,$D101-($D101-$I$76)*MIN(G$3-$O$2,$Q$2)/$Q$2))</f>
        <v>1783.12933743767</v>
      </c>
      <c r="H101" s="15" t="n">
        <f aca="false">G101*(1+IF(H$3&lt;=$O$2,$D101,$D101-($D101-$I$76)*MIN(H$3-$O$2,$Q$2)/$Q$2))</f>
        <v>1761.38063682581</v>
      </c>
      <c r="I101" s="15" t="n">
        <f aca="false">H101*(1+IF(I$3&lt;=$O$2,$D101,$D101-($D101-$I$76)*MIN(I$3-$O$2,$Q$2)/$Q$2))</f>
        <v>1739.89720355511</v>
      </c>
      <c r="J101" s="15" t="n">
        <f aca="false">I101*(1+IF(J$3&lt;=$O$2,$D101,$D101-($D101-$I$76)*MIN(J$3-$O$2,$Q$2)/$Q$2))</f>
        <v>1729.87967126833</v>
      </c>
      <c r="K101" s="15" t="n">
        <f aca="false">J101*(1+IF(K$3&lt;=$O$2,$D101,$D101-($D101-$I$76)*MIN(K$3-$O$2,$Q$2)/$Q$2))</f>
        <v>1731.05917768633</v>
      </c>
      <c r="L101" s="15" t="n">
        <f aca="false">K101*(1+IF(L$3&lt;=$O$2,$D101,$D101-($D101-$I$76)*MIN(L$3-$O$2,$Q$2)/$Q$2))</f>
        <v>1743.38644597507</v>
      </c>
      <c r="M101" s="15" t="n">
        <f aca="false">L101*(1+IF(M$3&lt;=$O$2,$D101,$D101-($D101-$I$76)*MIN(M$3-$O$2,$Q$2)/$Q$2))</f>
        <v>1767.02783722752</v>
      </c>
      <c r="N101" s="15" t="n">
        <f aca="false">M101*(1+IF(N$3&lt;=$O$2,$D101,$D101-($D101-$I$76)*MIN(N$3-$O$2,$Q$2)/$Q$2))</f>
        <v>1802.36839397207</v>
      </c>
      <c r="O101" s="15" t="n">
        <f aca="false">SUMPRODUCT(E101:N101,1/(1+$F$76)^$E$3:$N$3)*$E$2</f>
        <v>4839.61262633459</v>
      </c>
      <c r="P101" s="15" t="n">
        <f aca="false">N101*$E$2*(1+$I$76)/($F$76-$I$76)/(1+$F$76)^$N$3</f>
        <v>11723.0824638187</v>
      </c>
      <c r="Q101" s="15" t="n">
        <f aca="false">O101+P101</f>
        <v>16562.6950901532</v>
      </c>
      <c r="R101" s="15" t="n">
        <f aca="false">Q101-$G$2+$I$2</f>
        <v>15009.9950901532</v>
      </c>
      <c r="S101" s="40" t="n">
        <f aca="false">R101/$K$2</f>
        <v>54.5045030326201</v>
      </c>
      <c r="T101" s="41" t="n">
        <f aca="false">S101-$M$2</f>
        <v>-1.78287038465896E-005</v>
      </c>
    </row>
    <row r="103" customFormat="false" ht="15" hidden="false" customHeight="false" outlineLevel="0" collapsed="false">
      <c r="A103" s="36" t="s">
        <v>178</v>
      </c>
      <c r="E103" s="5" t="s">
        <v>11</v>
      </c>
      <c r="F103" s="12" t="n">
        <f aca="false">Sensitivity!$B$10</f>
        <v>0.0535093056415221</v>
      </c>
      <c r="G103" s="5" t="s">
        <v>12</v>
      </c>
      <c r="I103" s="12" t="n">
        <f aca="false">Sensitivity!$E$9</f>
        <v>0.025</v>
      </c>
    </row>
    <row r="104" customFormat="false" ht="23.85" hidden="false" customHeight="false" outlineLevel="0" collapsed="false">
      <c r="A104" s="36" t="s">
        <v>156</v>
      </c>
      <c r="B104" s="28" t="s">
        <v>157</v>
      </c>
      <c r="C104" s="28" t="s">
        <v>158</v>
      </c>
      <c r="D104" s="28" t="s">
        <v>159</v>
      </c>
      <c r="E104" s="28" t="s">
        <v>160</v>
      </c>
      <c r="F104" s="28" t="s">
        <v>161</v>
      </c>
      <c r="G104" s="28" t="s">
        <v>162</v>
      </c>
      <c r="H104" s="28" t="s">
        <v>163</v>
      </c>
      <c r="I104" s="28" t="s">
        <v>164</v>
      </c>
      <c r="J104" s="28" t="s">
        <v>165</v>
      </c>
      <c r="K104" s="28" t="s">
        <v>166</v>
      </c>
      <c r="L104" s="28" t="s">
        <v>167</v>
      </c>
      <c r="M104" s="28" t="s">
        <v>168</v>
      </c>
      <c r="N104" s="28" t="s">
        <v>169</v>
      </c>
      <c r="O104" s="28" t="s">
        <v>170</v>
      </c>
      <c r="P104" s="28" t="s">
        <v>171</v>
      </c>
      <c r="Q104" s="28" t="s">
        <v>172</v>
      </c>
      <c r="R104" s="28" t="s">
        <v>173</v>
      </c>
      <c r="S104" s="28" t="s">
        <v>174</v>
      </c>
      <c r="T104" s="28" t="s">
        <v>175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39" t="n">
        <f aca="false">(B105+C105)/2</f>
        <v>0.25</v>
      </c>
      <c r="E105" s="15" t="n">
        <f aca="false">$C$2*(1+IF(E$3&lt;=$O$2,$D105,$D105-($D105-$I$103)*MIN(E$3-$O$2,$Q$2)/$Q$2))</f>
        <v>2312.5</v>
      </c>
      <c r="F105" s="15" t="n">
        <f aca="false">E105*(1+IF(F$3&lt;=$O$2,$D105,$D105-($D105-$I$103)*MIN(F$3-$O$2,$Q$2)/$Q$2))</f>
        <v>2890.625</v>
      </c>
      <c r="G105" s="15" t="n">
        <f aca="false">F105*(1+IF(G$3&lt;=$O$2,$D105,$D105-($D105-$I$103)*MIN(G$3-$O$2,$Q$2)/$Q$2))</f>
        <v>3613.28125</v>
      </c>
      <c r="H105" s="15" t="n">
        <f aca="false">G105*(1+IF(H$3&lt;=$O$2,$D105,$D105-($D105-$I$103)*MIN(H$3-$O$2,$Q$2)/$Q$2))</f>
        <v>4516.6015625</v>
      </c>
      <c r="I105" s="15" t="n">
        <f aca="false">H105*(1+IF(I$3&lt;=$O$2,$D105,$D105-($D105-$I$103)*MIN(I$3-$O$2,$Q$2)/$Q$2))</f>
        <v>5645.751953125</v>
      </c>
      <c r="J105" s="15" t="n">
        <f aca="false">I105*(1+IF(J$3&lt;=$O$2,$D105,$D105-($D105-$I$103)*MIN(J$3-$O$2,$Q$2)/$Q$2))</f>
        <v>6803.13110351563</v>
      </c>
      <c r="K105" s="15" t="n">
        <f aca="false">J105*(1+IF(K$3&lt;=$O$2,$D105,$D105-($D105-$I$103)*MIN(K$3-$O$2,$Q$2)/$Q$2))</f>
        <v>7891.63208007812</v>
      </c>
      <c r="L105" s="15" t="n">
        <f aca="false">K105*(1+IF(L$3&lt;=$O$2,$D105,$D105-($D105-$I$103)*MIN(L$3-$O$2,$Q$2)/$Q$2))</f>
        <v>8799.16976928711</v>
      </c>
      <c r="M105" s="15" t="n">
        <f aca="false">L105*(1+IF(M$3&lt;=$O$2,$D105,$D105-($D105-$I$103)*MIN(M$3-$O$2,$Q$2)/$Q$2))</f>
        <v>9415.11165313721</v>
      </c>
      <c r="N105" s="15" t="n">
        <f aca="false">M105*(1+IF(N$3&lt;=$O$2,$D105,$D105-($D105-$I$103)*MIN(N$3-$O$2,$Q$2)/$Q$2))</f>
        <v>9650.48944446564</v>
      </c>
      <c r="O105" s="15" t="n">
        <f aca="false">SUMPRODUCT(E105:N105,1/(1+$F$103)^$E$3:$N$3)*$E$2</f>
        <v>15755.1725502848</v>
      </c>
      <c r="P105" s="15" t="n">
        <f aca="false">N105*$E$2*(1+$I$103)/($F$103-$I$103)/(1+$F$103)^$N$3</f>
        <v>74139.5728155134</v>
      </c>
      <c r="Q105" s="15" t="n">
        <f aca="false">O105+P105</f>
        <v>89894.7453657981</v>
      </c>
      <c r="R105" s="15" t="n">
        <f aca="false">Q105-$G$2+$I$2</f>
        <v>88342.0453657981</v>
      </c>
      <c r="S105" s="40" t="n">
        <f aca="false">R105/$K$2</f>
        <v>320.788864395215</v>
      </c>
      <c r="T105" s="41" t="n">
        <f aca="false">S105-$M$2</f>
        <v>266.284343533891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39" t="n">
        <f aca="false">(B106+C106)/2</f>
        <v>-0.125</v>
      </c>
      <c r="E106" s="15" t="n">
        <f aca="false">$C$2*(1+IF(E$3&lt;=$O$2,$D106,$D106-($D106-$I$103)*MIN(E$3-$O$2,$Q$2)/$Q$2))</f>
        <v>1618.75</v>
      </c>
      <c r="F106" s="15" t="n">
        <f aca="false">E106*(1+IF(F$3&lt;=$O$2,$D106,$D106-($D106-$I$103)*MIN(F$3-$O$2,$Q$2)/$Q$2))</f>
        <v>1416.40625</v>
      </c>
      <c r="G106" s="15" t="n">
        <f aca="false">F106*(1+IF(G$3&lt;=$O$2,$D106,$D106-($D106-$I$103)*MIN(G$3-$O$2,$Q$2)/$Q$2))</f>
        <v>1239.35546875</v>
      </c>
      <c r="H106" s="15" t="n">
        <f aca="false">G106*(1+IF(H$3&lt;=$O$2,$D106,$D106-($D106-$I$103)*MIN(H$3-$O$2,$Q$2)/$Q$2))</f>
        <v>1084.43603515625</v>
      </c>
      <c r="I106" s="15" t="n">
        <f aca="false">H106*(1+IF(I$3&lt;=$O$2,$D106,$D106-($D106-$I$103)*MIN(I$3-$O$2,$Q$2)/$Q$2))</f>
        <v>948.881530761719</v>
      </c>
      <c r="J106" s="15" t="n">
        <f aca="false">I106*(1+IF(J$3&lt;=$O$2,$D106,$D106-($D106-$I$103)*MIN(J$3-$O$2,$Q$2)/$Q$2))</f>
        <v>858.737785339356</v>
      </c>
      <c r="K106" s="15" t="n">
        <f aca="false">J106*(1+IF(K$3&lt;=$O$2,$D106,$D106-($D106-$I$103)*MIN(K$3-$O$2,$Q$2)/$Q$2))</f>
        <v>802.919829292297</v>
      </c>
      <c r="L106" s="15" t="n">
        <f aca="false">K106*(1+IF(L$3&lt;=$O$2,$D106,$D106-($D106-$I$103)*MIN(L$3-$O$2,$Q$2)/$Q$2))</f>
        <v>774.817635267067</v>
      </c>
      <c r="M106" s="15" t="n">
        <f aca="false">L106*(1+IF(M$3&lt;=$O$2,$D106,$D106-($D106-$I$103)*MIN(M$3-$O$2,$Q$2)/$Q$2))</f>
        <v>770.943547090732</v>
      </c>
      <c r="N106" s="15" t="n">
        <f aca="false">M106*(1+IF(N$3&lt;=$O$2,$D106,$D106-($D106-$I$103)*MIN(N$3-$O$2,$Q$2)/$Q$2))</f>
        <v>790.217135768</v>
      </c>
      <c r="O106" s="15" t="n">
        <f aca="false">SUMPRODUCT(E106:N106,1/(1+$F$103)^$E$3:$N$3)*$E$2</f>
        <v>2926.39605972554</v>
      </c>
      <c r="P106" s="15" t="n">
        <f aca="false">N106*$E$2*(1+$I$103)/($F$103-$I$103)/(1+$F$103)^$N$3</f>
        <v>6070.81756987322</v>
      </c>
      <c r="Q106" s="15" t="n">
        <f aca="false">O106+P106</f>
        <v>8997.21362959877</v>
      </c>
      <c r="R106" s="15" t="n">
        <f aca="false">Q106-$G$2+$I$2</f>
        <v>7444.51362959877</v>
      </c>
      <c r="S106" s="40" t="n">
        <f aca="false">R106/$K$2</f>
        <v>27.0326214808046</v>
      </c>
      <c r="T106" s="41" t="n">
        <f aca="false">S106-$M$2</f>
        <v>-27.4718993805194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39" t="n">
        <f aca="false">(B107+C107)/2</f>
        <v>0.0625</v>
      </c>
      <c r="E107" s="15" t="n">
        <f aca="false">$C$2*(1+IF(E$3&lt;=$O$2,$D107,$D107-($D107-$I$103)*MIN(E$3-$O$2,$Q$2)/$Q$2))</f>
        <v>1965.625</v>
      </c>
      <c r="F107" s="15" t="n">
        <f aca="false">E107*(1+IF(F$3&lt;=$O$2,$D107,$D107-($D107-$I$103)*MIN(F$3-$O$2,$Q$2)/$Q$2))</f>
        <v>2088.4765625</v>
      </c>
      <c r="G107" s="15" t="n">
        <f aca="false">F107*(1+IF(G$3&lt;=$O$2,$D107,$D107-($D107-$I$103)*MIN(G$3-$O$2,$Q$2)/$Q$2))</f>
        <v>2219.00634765625</v>
      </c>
      <c r="H107" s="15" t="n">
        <f aca="false">G107*(1+IF(H$3&lt;=$O$2,$D107,$D107-($D107-$I$103)*MIN(H$3-$O$2,$Q$2)/$Q$2))</f>
        <v>2357.69424438477</v>
      </c>
      <c r="I107" s="15" t="n">
        <f aca="false">H107*(1+IF(I$3&lt;=$O$2,$D107,$D107-($D107-$I$103)*MIN(I$3-$O$2,$Q$2)/$Q$2))</f>
        <v>2505.05013465881</v>
      </c>
      <c r="J107" s="15" t="n">
        <f aca="false">I107*(1+IF(J$3&lt;=$O$2,$D107,$D107-($D107-$I$103)*MIN(J$3-$O$2,$Q$2)/$Q$2))</f>
        <v>2642.82789206505</v>
      </c>
      <c r="K107" s="15" t="n">
        <f aca="false">J107*(1+IF(K$3&lt;=$O$2,$D107,$D107-($D107-$I$103)*MIN(K$3-$O$2,$Q$2)/$Q$2))</f>
        <v>2768.36221693814</v>
      </c>
      <c r="L107" s="15" t="n">
        <f aca="false">K107*(1+IF(L$3&lt;=$O$2,$D107,$D107-($D107-$I$103)*MIN(L$3-$O$2,$Q$2)/$Q$2))</f>
        <v>2879.09670561566</v>
      </c>
      <c r="M107" s="15" t="n">
        <f aca="false">L107*(1+IF(M$3&lt;=$O$2,$D107,$D107-($D107-$I$103)*MIN(M$3-$O$2,$Q$2)/$Q$2))</f>
        <v>2972.66734854817</v>
      </c>
      <c r="N107" s="15" t="n">
        <f aca="false">M107*(1+IF(N$3&lt;=$O$2,$D107,$D107-($D107-$I$103)*MIN(N$3-$O$2,$Q$2)/$Q$2))</f>
        <v>3046.98403226188</v>
      </c>
      <c r="O107" s="15" t="n">
        <f aca="false">SUMPRODUCT(E107:N107,1/(1+$F$103)^$E$3:$N$3)*$E$2</f>
        <v>6805.39876218777</v>
      </c>
      <c r="P107" s="15" t="n">
        <f aca="false">N107*$E$2*(1+$I$103)/($F$103-$I$103)/(1+$F$103)^$N$3</f>
        <v>23408.3562111077</v>
      </c>
      <c r="Q107" s="15" t="n">
        <f aca="false">O107+P107</f>
        <v>30213.7549732954</v>
      </c>
      <c r="R107" s="15" t="n">
        <f aca="false">Q107-$G$2+$I$2</f>
        <v>28661.0549732954</v>
      </c>
      <c r="S107" s="40" t="n">
        <f aca="false">R107/$K$2</f>
        <v>104.074421632214</v>
      </c>
      <c r="T107" s="41" t="n">
        <f aca="false">S107-$M$2</f>
        <v>49.5699007708901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39" t="n">
        <f aca="false">(B108+C108)/2</f>
        <v>-0.03125</v>
      </c>
      <c r="E108" s="15" t="n">
        <f aca="false">$C$2*(1+IF(E$3&lt;=$O$2,$D108,$D108-($D108-$I$103)*MIN(E$3-$O$2,$Q$2)/$Q$2))</f>
        <v>1792.1875</v>
      </c>
      <c r="F108" s="15" t="n">
        <f aca="false">E108*(1+IF(F$3&lt;=$O$2,$D108,$D108-($D108-$I$103)*MIN(F$3-$O$2,$Q$2)/$Q$2))</f>
        <v>1736.181640625</v>
      </c>
      <c r="G108" s="15" t="n">
        <f aca="false">F108*(1+IF(G$3&lt;=$O$2,$D108,$D108-($D108-$I$103)*MIN(G$3-$O$2,$Q$2)/$Q$2))</f>
        <v>1681.92596435547</v>
      </c>
      <c r="H108" s="15" t="n">
        <f aca="false">G108*(1+IF(H$3&lt;=$O$2,$D108,$D108-($D108-$I$103)*MIN(H$3-$O$2,$Q$2)/$Q$2))</f>
        <v>1629.36577796936</v>
      </c>
      <c r="I108" s="15" t="n">
        <f aca="false">H108*(1+IF(I$3&lt;=$O$2,$D108,$D108-($D108-$I$103)*MIN(I$3-$O$2,$Q$2)/$Q$2))</f>
        <v>1578.44809740782</v>
      </c>
      <c r="J108" s="15" t="n">
        <f aca="false">I108*(1+IF(J$3&lt;=$O$2,$D108,$D108-($D108-$I$103)*MIN(J$3-$O$2,$Q$2)/$Q$2))</f>
        <v>1546.87913545966</v>
      </c>
      <c r="K108" s="15" t="n">
        <f aca="false">J108*(1+IF(K$3&lt;=$O$2,$D108,$D108-($D108-$I$103)*MIN(K$3-$O$2,$Q$2)/$Q$2))</f>
        <v>1533.34394302439</v>
      </c>
      <c r="L108" s="15" t="n">
        <f aca="false">K108*(1+IF(L$3&lt;=$O$2,$D108,$D108-($D108-$I$103)*MIN(L$3-$O$2,$Q$2)/$Q$2))</f>
        <v>1537.17730288195</v>
      </c>
      <c r="M108" s="15" t="n">
        <f aca="false">L108*(1+IF(M$3&lt;=$O$2,$D108,$D108-($D108-$I$103)*MIN(M$3-$O$2,$Q$2)/$Q$2))</f>
        <v>1558.31349079658</v>
      </c>
      <c r="N108" s="15" t="n">
        <f aca="false">M108*(1+IF(N$3&lt;=$O$2,$D108,$D108-($D108-$I$103)*MIN(N$3-$O$2,$Q$2)/$Q$2))</f>
        <v>1597.27132806649</v>
      </c>
      <c r="O108" s="15" t="n">
        <f aca="false">SUMPRODUCT(E108:N108,1/(1+$F$103)^$E$3:$N$3)*$E$2</f>
        <v>4453.44319521529</v>
      </c>
      <c r="P108" s="15" t="n">
        <f aca="false">N108*$E$2*(1+$I$103)/($F$103-$I$103)/(1+$F$103)^$N$3</f>
        <v>12270.9852816045</v>
      </c>
      <c r="Q108" s="15" t="n">
        <f aca="false">O108+P108</f>
        <v>16724.4284768198</v>
      </c>
      <c r="R108" s="15" t="n">
        <f aca="false">Q108-$G$2+$I$2</f>
        <v>15171.7284768198</v>
      </c>
      <c r="S108" s="40" t="n">
        <f aca="false">R108/$K$2</f>
        <v>55.0917915567732</v>
      </c>
      <c r="T108" s="41" t="n">
        <f aca="false">S108-$M$2</f>
        <v>0.587270695449305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-0.125</v>
      </c>
      <c r="C109" s="25" t="n">
        <f aca="false">IF(T108&gt;0,D108,C108)</f>
        <v>-0.03125</v>
      </c>
      <c r="D109" s="39" t="n">
        <f aca="false">(B109+C109)/2</f>
        <v>-0.078125</v>
      </c>
      <c r="E109" s="15" t="n">
        <f aca="false">$C$2*(1+IF(E$3&lt;=$O$2,$D109,$D109-($D109-$I$103)*MIN(E$3-$O$2,$Q$2)/$Q$2))</f>
        <v>1705.46875</v>
      </c>
      <c r="F109" s="15" t="n">
        <f aca="false">E109*(1+IF(F$3&lt;=$O$2,$D109,$D109-($D109-$I$103)*MIN(F$3-$O$2,$Q$2)/$Q$2))</f>
        <v>1572.22900390625</v>
      </c>
      <c r="G109" s="15" t="n">
        <f aca="false">F109*(1+IF(G$3&lt;=$O$2,$D109,$D109-($D109-$I$103)*MIN(G$3-$O$2,$Q$2)/$Q$2))</f>
        <v>1449.39861297607</v>
      </c>
      <c r="H109" s="15" t="n">
        <f aca="false">G109*(1+IF(H$3&lt;=$O$2,$D109,$D109-($D109-$I$103)*MIN(H$3-$O$2,$Q$2)/$Q$2))</f>
        <v>1336.16434633732</v>
      </c>
      <c r="I109" s="15" t="n">
        <f aca="false">H109*(1+IF(I$3&lt;=$O$2,$D109,$D109-($D109-$I$103)*MIN(I$3-$O$2,$Q$2)/$Q$2))</f>
        <v>1231.77650677972</v>
      </c>
      <c r="J109" s="15" t="n">
        <f aca="false">I109*(1+IF(J$3&lt;=$O$2,$D109,$D109-($D109-$I$103)*MIN(J$3-$O$2,$Q$2)/$Q$2))</f>
        <v>1160.94935763988</v>
      </c>
      <c r="K109" s="15" t="n">
        <f aca="false">J109*(1+IF(K$3&lt;=$O$2,$D109,$D109-($D109-$I$103)*MIN(K$3-$O$2,$Q$2)/$Q$2))</f>
        <v>1118.13935007691</v>
      </c>
      <c r="L109" s="15" t="n">
        <f aca="false">K109*(1+IF(L$3&lt;=$O$2,$D109,$D109-($D109-$I$103)*MIN(L$3-$O$2,$Q$2)/$Q$2))</f>
        <v>1099.96958563816</v>
      </c>
      <c r="M109" s="15" t="n">
        <f aca="false">L109*(1+IF(M$3&lt;=$O$2,$D109,$D109-($D109-$I$103)*MIN(M$3-$O$2,$Q$2)/$Q$2))</f>
        <v>1104.78195257533</v>
      </c>
      <c r="N109" s="15" t="n">
        <f aca="false">M109*(1+IF(N$3&lt;=$O$2,$D109,$D109-($D109-$I$103)*MIN(N$3-$O$2,$Q$2)/$Q$2))</f>
        <v>1132.40150138971</v>
      </c>
      <c r="O109" s="15" t="n">
        <f aca="false">SUMPRODUCT(E109:N109,1/(1+$F$103)^$E$3:$N$3)*$E$2</f>
        <v>3606.8645710751</v>
      </c>
      <c r="P109" s="15" t="n">
        <f aca="false">N109*$E$2*(1+$I$103)/($F$103-$I$103)/(1+$F$103)^$N$3</f>
        <v>8699.63788384082</v>
      </c>
      <c r="Q109" s="15" t="n">
        <f aca="false">O109+P109</f>
        <v>12306.5024549159</v>
      </c>
      <c r="R109" s="15" t="n">
        <f aca="false">Q109-$G$2+$I$2</f>
        <v>10753.8024549159</v>
      </c>
      <c r="S109" s="40" t="n">
        <f aca="false">R109/$K$2</f>
        <v>39.0493571114272</v>
      </c>
      <c r="T109" s="41" t="n">
        <f aca="false">S109-$M$2</f>
        <v>-15.4551637498968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-0.078125</v>
      </c>
      <c r="C110" s="25" t="n">
        <f aca="false">IF(T109&gt;0,D109,C109)</f>
        <v>-0.03125</v>
      </c>
      <c r="D110" s="39" t="n">
        <f aca="false">(B110+C110)/2</f>
        <v>-0.0546875</v>
      </c>
      <c r="E110" s="15" t="n">
        <f aca="false">$C$2*(1+IF(E$3&lt;=$O$2,$D110,$D110-($D110-$I$103)*MIN(E$3-$O$2,$Q$2)/$Q$2))</f>
        <v>1748.828125</v>
      </c>
      <c r="F110" s="15" t="n">
        <f aca="false">E110*(1+IF(F$3&lt;=$O$2,$D110,$D110-($D110-$I$103)*MIN(F$3-$O$2,$Q$2)/$Q$2))</f>
        <v>1653.18908691406</v>
      </c>
      <c r="G110" s="15" t="n">
        <f aca="false">F110*(1+IF(G$3&lt;=$O$2,$D110,$D110-($D110-$I$103)*MIN(G$3-$O$2,$Q$2)/$Q$2))</f>
        <v>1562.78030872345</v>
      </c>
      <c r="H110" s="15" t="n">
        <f aca="false">G110*(1+IF(H$3&lt;=$O$2,$D110,$D110-($D110-$I$103)*MIN(H$3-$O$2,$Q$2)/$Q$2))</f>
        <v>1477.31576059014</v>
      </c>
      <c r="I110" s="15" t="n">
        <f aca="false">H110*(1+IF(I$3&lt;=$O$2,$D110,$D110-($D110-$I$103)*MIN(I$3-$O$2,$Q$2)/$Q$2))</f>
        <v>1396.52505493286</v>
      </c>
      <c r="J110" s="15" t="n">
        <f aca="false">I110*(1+IF(J$3&lt;=$O$2,$D110,$D110-($D110-$I$103)*MIN(J$3-$O$2,$Q$2)/$Q$2))</f>
        <v>1342.40970905421</v>
      </c>
      <c r="K110" s="15" t="n">
        <f aca="false">J110*(1+IF(K$3&lt;=$O$2,$D110,$D110-($D110-$I$103)*MIN(K$3-$O$2,$Q$2)/$Q$2))</f>
        <v>1311.78598756642</v>
      </c>
      <c r="L110" s="15" t="n">
        <f aca="false">K110*(1+IF(L$3&lt;=$O$2,$D110,$D110-($D110-$I$103)*MIN(L$3-$O$2,$Q$2)/$Q$2))</f>
        <v>1302.7674589019</v>
      </c>
      <c r="M110" s="15" t="n">
        <f aca="false">L110*(1+IF(M$3&lt;=$O$2,$D110,$D110-($D110-$I$103)*MIN(M$3-$O$2,$Q$2)/$Q$2))</f>
        <v>1314.57378899819</v>
      </c>
      <c r="N110" s="15" t="n">
        <f aca="false">M110*(1+IF(N$3&lt;=$O$2,$D110,$D110-($D110-$I$103)*MIN(N$3-$O$2,$Q$2)/$Q$2))</f>
        <v>1347.43813372315</v>
      </c>
      <c r="O110" s="15" t="n">
        <f aca="false">SUMPRODUCT(E110:N110,1/(1+$F$103)^$E$3:$N$3)*$E$2</f>
        <v>4007.16184368546</v>
      </c>
      <c r="P110" s="15" t="n">
        <f aca="false">N110*$E$2*(1+$I$103)/($F$103-$I$103)/(1+$F$103)^$N$3</f>
        <v>10351.6498520038</v>
      </c>
      <c r="Q110" s="15" t="n">
        <f aca="false">O110+P110</f>
        <v>14358.8116956893</v>
      </c>
      <c r="R110" s="15" t="n">
        <f aca="false">Q110-$G$2+$I$2</f>
        <v>12806.1116956893</v>
      </c>
      <c r="S110" s="40" t="n">
        <f aca="false">R110/$K$2</f>
        <v>46.50173098402</v>
      </c>
      <c r="T110" s="41" t="n">
        <f aca="false">S110-$M$2</f>
        <v>-8.00278987730398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-0.0546875</v>
      </c>
      <c r="C111" s="25" t="n">
        <f aca="false">IF(T110&gt;0,D110,C110)</f>
        <v>-0.03125</v>
      </c>
      <c r="D111" s="39" t="n">
        <f aca="false">(B111+C111)/2</f>
        <v>-0.04296875</v>
      </c>
      <c r="E111" s="15" t="n">
        <f aca="false">$C$2*(1+IF(E$3&lt;=$O$2,$D111,$D111-($D111-$I$103)*MIN(E$3-$O$2,$Q$2)/$Q$2))</f>
        <v>1770.5078125</v>
      </c>
      <c r="F111" s="15" t="n">
        <f aca="false">E111*(1+IF(F$3&lt;=$O$2,$D111,$D111-($D111-$I$103)*MIN(F$3-$O$2,$Q$2)/$Q$2))</f>
        <v>1694.43130493164</v>
      </c>
      <c r="G111" s="15" t="n">
        <f aca="false">F111*(1+IF(G$3&lt;=$O$2,$D111,$D111-($D111-$I$103)*MIN(G$3-$O$2,$Q$2)/$Q$2))</f>
        <v>1621.62370979786</v>
      </c>
      <c r="H111" s="15" t="n">
        <f aca="false">G111*(1+IF(H$3&lt;=$O$2,$D111,$D111-($D111-$I$103)*MIN(H$3-$O$2,$Q$2)/$Q$2))</f>
        <v>1551.94456601748</v>
      </c>
      <c r="I111" s="15" t="n">
        <f aca="false">H111*(1+IF(I$3&lt;=$O$2,$D111,$D111-($D111-$I$103)*MIN(I$3-$O$2,$Q$2)/$Q$2))</f>
        <v>1485.25944794642</v>
      </c>
      <c r="J111" s="15" t="n">
        <f aca="false">I111*(1+IF(J$3&lt;=$O$2,$D111,$D111-($D111-$I$103)*MIN(J$3-$O$2,$Q$2)/$Q$2))</f>
        <v>1441.62995166299</v>
      </c>
      <c r="K111" s="15" t="n">
        <f aca="false">J111*(1+IF(K$3&lt;=$O$2,$D111,$D111-($D111-$I$103)*MIN(K$3-$O$2,$Q$2)/$Q$2))</f>
        <v>1418.87922898831</v>
      </c>
      <c r="L111" s="15" t="n">
        <f aca="false">K111*(1+IF(L$3&lt;=$O$2,$D111,$D111-($D111-$I$103)*MIN(L$3-$O$2,$Q$2)/$Q$2))</f>
        <v>1415.7754306749</v>
      </c>
      <c r="M111" s="15" t="n">
        <f aca="false">L111*(1+IF(M$3&lt;=$O$2,$D111,$D111-($D111-$I$103)*MIN(M$3-$O$2,$Q$2)/$Q$2))</f>
        <v>1431.92411918103</v>
      </c>
      <c r="N111" s="15" t="n">
        <f aca="false">M111*(1+IF(N$3&lt;=$O$2,$D111,$D111-($D111-$I$103)*MIN(N$3-$O$2,$Q$2)/$Q$2))</f>
        <v>1467.72222216056</v>
      </c>
      <c r="O111" s="15" t="n">
        <f aca="false">SUMPRODUCT(E111:N111,1/(1+$F$103)^$E$3:$N$3)*$E$2</f>
        <v>4224.25319320111</v>
      </c>
      <c r="P111" s="15" t="n">
        <f aca="false">N111*$E$2*(1+$I$103)/($F$103-$I$103)/(1+$F$103)^$N$3</f>
        <v>11275.728468386</v>
      </c>
      <c r="Q111" s="15" t="n">
        <f aca="false">O111+P111</f>
        <v>15499.9816615871</v>
      </c>
      <c r="R111" s="15" t="n">
        <f aca="false">Q111-$G$2+$I$2</f>
        <v>13947.2816615871</v>
      </c>
      <c r="S111" s="40" t="n">
        <f aca="false">R111/$K$2</f>
        <v>50.6455632433535</v>
      </c>
      <c r="T111" s="41" t="n">
        <f aca="false">S111-$M$2</f>
        <v>-3.85895761797041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-0.04296875</v>
      </c>
      <c r="C112" s="25" t="n">
        <f aca="false">IF(T111&gt;0,D111,C111)</f>
        <v>-0.03125</v>
      </c>
      <c r="D112" s="39" t="n">
        <f aca="false">(B112+C112)/2</f>
        <v>-0.037109375</v>
      </c>
      <c r="E112" s="15" t="n">
        <f aca="false">$C$2*(1+IF(E$3&lt;=$O$2,$D112,$D112-($D112-$I$103)*MIN(E$3-$O$2,$Q$2)/$Q$2))</f>
        <v>1781.34765625</v>
      </c>
      <c r="F112" s="15" t="n">
        <f aca="false">E112*(1+IF(F$3&lt;=$O$2,$D112,$D112-($D112-$I$103)*MIN(F$3-$O$2,$Q$2)/$Q$2))</f>
        <v>1715.24295806885</v>
      </c>
      <c r="G112" s="15" t="n">
        <f aca="false">F112*(1+IF(G$3&lt;=$O$2,$D112,$D112-($D112-$I$103)*MIN(G$3-$O$2,$Q$2)/$Q$2))</f>
        <v>1651.59136392176</v>
      </c>
      <c r="H112" s="15" t="n">
        <f aca="false">G112*(1+IF(H$3&lt;=$O$2,$D112,$D112-($D112-$I$103)*MIN(H$3-$O$2,$Q$2)/$Q$2))</f>
        <v>1590.30184065123</v>
      </c>
      <c r="I112" s="15" t="n">
        <f aca="false">H112*(1+IF(I$3&lt;=$O$2,$D112,$D112-($D112-$I$103)*MIN(I$3-$O$2,$Q$2)/$Q$2))</f>
        <v>1531.28673328331</v>
      </c>
      <c r="J112" s="15" t="n">
        <f aca="false">I112*(1+IF(J$3&lt;=$O$2,$D112,$D112-($D112-$I$103)*MIN(J$3-$O$2,$Q$2)/$Q$2))</f>
        <v>1493.48309205538</v>
      </c>
      <c r="K112" s="15" t="n">
        <f aca="false">J112*(1+IF(K$3&lt;=$O$2,$D112,$D112-($D112-$I$103)*MIN(K$3-$O$2,$Q$2)/$Q$2))</f>
        <v>1475.16458850439</v>
      </c>
      <c r="L112" s="15" t="n">
        <f aca="false">K112*(1+IF(L$3&lt;=$O$2,$D112,$D112-($D112-$I$103)*MIN(L$3-$O$2,$Q$2)/$Q$2))</f>
        <v>1475.39508297134</v>
      </c>
      <c r="M112" s="15" t="n">
        <f aca="false">L112*(1+IF(M$3&lt;=$O$2,$D112,$D112-($D112-$I$103)*MIN(M$3-$O$2,$Q$2)/$Q$2))</f>
        <v>1493.95278674934</v>
      </c>
      <c r="N112" s="15" t="n">
        <f aca="false">M112*(1+IF(N$3&lt;=$O$2,$D112,$D112-($D112-$I$103)*MIN(N$3-$O$2,$Q$2)/$Q$2))</f>
        <v>1531.30160641807</v>
      </c>
      <c r="O112" s="15" t="n">
        <f aca="false">SUMPRODUCT(E112:N112,1/(1+$F$103)^$E$3:$N$3)*$E$2</f>
        <v>4337.29669262517</v>
      </c>
      <c r="P112" s="15" t="n">
        <f aca="false">N112*$E$2*(1+$I$103)/($F$103-$I$103)/(1+$F$103)^$N$3</f>
        <v>11764.1750301745</v>
      </c>
      <c r="Q112" s="15" t="n">
        <f aca="false">O112+P112</f>
        <v>16101.4717227997</v>
      </c>
      <c r="R112" s="15" t="n">
        <f aca="false">Q112-$G$2+$I$2</f>
        <v>14548.7717227997</v>
      </c>
      <c r="S112" s="40" t="n">
        <f aca="false">R112/$K$2</f>
        <v>52.8297023232495</v>
      </c>
      <c r="T112" s="41" t="n">
        <f aca="false">S112-$M$2</f>
        <v>-1.6748185380744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-0.037109375</v>
      </c>
      <c r="C113" s="25" t="n">
        <f aca="false">IF(T112&gt;0,D112,C112)</f>
        <v>-0.03125</v>
      </c>
      <c r="D113" s="39" t="n">
        <f aca="false">(B113+C113)/2</f>
        <v>-0.0341796875</v>
      </c>
      <c r="E113" s="15" t="n">
        <f aca="false">$C$2*(1+IF(E$3&lt;=$O$2,$D113,$D113-($D113-$I$103)*MIN(E$3-$O$2,$Q$2)/$Q$2))</f>
        <v>1786.767578125</v>
      </c>
      <c r="F113" s="15" t="n">
        <f aca="false">E113*(1+IF(F$3&lt;=$O$2,$D113,$D113-($D113-$I$103)*MIN(F$3-$O$2,$Q$2)/$Q$2))</f>
        <v>1725.69642066956</v>
      </c>
      <c r="G113" s="15" t="n">
        <f aca="false">F113*(1+IF(G$3&lt;=$O$2,$D113,$D113-($D113-$I$103)*MIN(G$3-$O$2,$Q$2)/$Q$2))</f>
        <v>1666.7126562912</v>
      </c>
      <c r="H113" s="15" t="n">
        <f aca="false">G113*(1+IF(H$3&lt;=$O$2,$D113,$D113-($D113-$I$103)*MIN(H$3-$O$2,$Q$2)/$Q$2))</f>
        <v>1609.74493854687</v>
      </c>
      <c r="I113" s="15" t="n">
        <f aca="false">H113*(1+IF(I$3&lt;=$O$2,$D113,$D113-($D113-$I$103)*MIN(I$3-$O$2,$Q$2)/$Q$2))</f>
        <v>1554.72435959263</v>
      </c>
      <c r="J113" s="15" t="n">
        <f aca="false">I113*(1+IF(J$3&lt;=$O$2,$D113,$D113-($D113-$I$103)*MIN(J$3-$O$2,$Q$2)/$Q$2))</f>
        <v>1519.98598718299</v>
      </c>
      <c r="K113" s="15" t="n">
        <f aca="false">J113*(1+IF(K$3&lt;=$O$2,$D113,$D113-($D113-$I$103)*MIN(K$3-$O$2,$Q$2)/$Q$2))</f>
        <v>1504.01425942704</v>
      </c>
      <c r="L113" s="15" t="n">
        <f aca="false">K113*(1+IF(L$3&lt;=$O$2,$D113,$D113-($D113-$I$103)*MIN(L$3-$O$2,$Q$2)/$Q$2))</f>
        <v>1506.01177836534</v>
      </c>
      <c r="M113" s="15" t="n">
        <f aca="false">L113*(1+IF(M$3&lt;=$O$2,$D113,$D113-($D113-$I$103)*MIN(M$3-$O$2,$Q$2)/$Q$2))</f>
        <v>1525.83701154148</v>
      </c>
      <c r="N113" s="15" t="n">
        <f aca="false">M113*(1+IF(N$3&lt;=$O$2,$D113,$D113-($D113-$I$103)*MIN(N$3-$O$2,$Q$2)/$Q$2))</f>
        <v>1563.98293683002</v>
      </c>
      <c r="O113" s="15" t="n">
        <f aca="false">SUMPRODUCT(E113:N113,1/(1+$F$103)^$E$3:$N$3)*$E$2</f>
        <v>4394.97707553279</v>
      </c>
      <c r="P113" s="15" t="n">
        <f aca="false">N113*$E$2*(1+$I$103)/($F$103-$I$103)/(1+$F$103)^$N$3</f>
        <v>12015.2482933211</v>
      </c>
      <c r="Q113" s="15" t="n">
        <f aca="false">O113+P113</f>
        <v>16410.2253688539</v>
      </c>
      <c r="R113" s="15" t="n">
        <f aca="false">Q113-$G$2+$I$2</f>
        <v>14857.5253688539</v>
      </c>
      <c r="S113" s="40" t="n">
        <f aca="false">R113/$K$2</f>
        <v>53.9508528590506</v>
      </c>
      <c r="T113" s="41" t="n">
        <f aca="false">S113-$M$2</f>
        <v>-0.553668002273362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-0.0341796875</v>
      </c>
      <c r="C114" s="25" t="n">
        <f aca="false">IF(T113&gt;0,D113,C113)</f>
        <v>-0.03125</v>
      </c>
      <c r="D114" s="39" t="n">
        <f aca="false">(B114+C114)/2</f>
        <v>-0.03271484375</v>
      </c>
      <c r="E114" s="15" t="n">
        <f aca="false">$C$2*(1+IF(E$3&lt;=$O$2,$D114,$D114-($D114-$I$103)*MIN(E$3-$O$2,$Q$2)/$Q$2))</f>
        <v>1789.4775390625</v>
      </c>
      <c r="F114" s="15" t="n">
        <f aca="false">E114*(1+IF(F$3&lt;=$O$2,$D114,$D114-($D114-$I$103)*MIN(F$3-$O$2,$Q$2)/$Q$2))</f>
        <v>1730.93506097794</v>
      </c>
      <c r="G114" s="15" t="n">
        <f aca="false">F114*(1+IF(G$3&lt;=$O$2,$D114,$D114-($D114-$I$103)*MIN(G$3-$O$2,$Q$2)/$Q$2))</f>
        <v>1674.30779091665</v>
      </c>
      <c r="H114" s="15" t="n">
        <f aca="false">G114*(1+IF(H$3&lt;=$O$2,$D114,$D114-($D114-$I$103)*MIN(H$3-$O$2,$Q$2)/$Q$2))</f>
        <v>1619.5330731474</v>
      </c>
      <c r="I114" s="15" t="n">
        <f aca="false">H114*(1+IF(I$3&lt;=$O$2,$D114,$D114-($D114-$I$103)*MIN(I$3-$O$2,$Q$2)/$Q$2))</f>
        <v>1566.55030171143</v>
      </c>
      <c r="J114" s="15" t="n">
        <f aca="false">I114*(1+IF(J$3&lt;=$O$2,$D114,$D114-($D114-$I$103)*MIN(J$3-$O$2,$Q$2)/$Q$2))</f>
        <v>1533.38349454238</v>
      </c>
      <c r="K114" s="15" t="n">
        <f aca="false">J114*(1+IF(K$3&lt;=$O$2,$D114,$D114-($D114-$I$103)*MIN(K$3-$O$2,$Q$2)/$Q$2))</f>
        <v>1518.61868862813</v>
      </c>
      <c r="L114" s="15" t="n">
        <f aca="false">K114*(1+IF(L$3&lt;=$O$2,$D114,$D114-($D114-$I$103)*MIN(L$3-$O$2,$Q$2)/$Q$2))</f>
        <v>1521.52541971184</v>
      </c>
      <c r="M114" s="15" t="n">
        <f aca="false">L114*(1+IF(M$3&lt;=$O$2,$D114,$D114-($D114-$I$103)*MIN(M$3-$O$2,$Q$2)/$Q$2))</f>
        <v>1542.00063483257</v>
      </c>
      <c r="N114" s="15" t="n">
        <f aca="false">M114*(1+IF(N$3&lt;=$O$2,$D114,$D114-($D114-$I$103)*MIN(N$3-$O$2,$Q$2)/$Q$2))</f>
        <v>1580.55065070338</v>
      </c>
      <c r="O114" s="15" t="n">
        <f aca="false">SUMPRODUCT(E114:N114,1/(1+$F$103)^$E$3:$N$3)*$E$2</f>
        <v>4424.11128802276</v>
      </c>
      <c r="P114" s="15" t="n">
        <f aca="false">N114*$E$2*(1+$I$103)/($F$103-$I$103)/(1+$F$103)^$N$3</f>
        <v>12142.5292189332</v>
      </c>
      <c r="Q114" s="15" t="n">
        <f aca="false">O114+P114</f>
        <v>16566.640506956</v>
      </c>
      <c r="R114" s="15" t="n">
        <f aca="false">Q114-$G$2+$I$2</f>
        <v>15013.940506956</v>
      </c>
      <c r="S114" s="40" t="n">
        <f aca="false">R114/$K$2</f>
        <v>54.5188296850138</v>
      </c>
      <c r="T114" s="41" t="n">
        <f aca="false">S114-$M$2</f>
        <v>0.0143088236898663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-0.0341796875</v>
      </c>
      <c r="C115" s="25" t="n">
        <f aca="false">IF(T114&gt;0,D114,C114)</f>
        <v>-0.03271484375</v>
      </c>
      <c r="D115" s="39" t="n">
        <f aca="false">(B115+C115)/2</f>
        <v>-0.033447265625</v>
      </c>
      <c r="E115" s="15" t="n">
        <f aca="false">$C$2*(1+IF(E$3&lt;=$O$2,$D115,$D115-($D115-$I$103)*MIN(E$3-$O$2,$Q$2)/$Q$2))</f>
        <v>1788.12255859375</v>
      </c>
      <c r="F115" s="15" t="n">
        <f aca="false">E115*(1+IF(F$3&lt;=$O$2,$D115,$D115-($D115-$I$103)*MIN(F$3-$O$2,$Q$2)/$Q$2))</f>
        <v>1728.31474840641</v>
      </c>
      <c r="G115" s="15" t="n">
        <f aca="false">F115*(1+IF(G$3&lt;=$O$2,$D115,$D115-($D115-$I$103)*MIN(G$3-$O$2,$Q$2)/$Q$2))</f>
        <v>1670.50734593286</v>
      </c>
      <c r="H115" s="15" t="n">
        <f aca="false">G115*(1+IF(H$3&lt;=$O$2,$D115,$D115-($D115-$I$103)*MIN(H$3-$O$2,$Q$2)/$Q$2))</f>
        <v>1614.63344300493</v>
      </c>
      <c r="I115" s="15" t="n">
        <f aca="false">H115*(1+IF(I$3&lt;=$O$2,$D115,$D115-($D115-$I$103)*MIN(I$3-$O$2,$Q$2)/$Q$2))</f>
        <v>1560.62836934973</v>
      </c>
      <c r="J115" s="15" t="n">
        <f aca="false">I115*(1+IF(J$3&lt;=$O$2,$D115,$D115-($D115-$I$103)*MIN(J$3-$O$2,$Q$2)/$Q$2))</f>
        <v>1526.67250990724</v>
      </c>
      <c r="K115" s="15" t="n">
        <f aca="false">J115*(1+IF(K$3&lt;=$O$2,$D115,$D115-($D115-$I$103)*MIN(K$3-$O$2,$Q$2)/$Q$2))</f>
        <v>1511.30142242956</v>
      </c>
      <c r="L115" s="15" t="n">
        <f aca="false">K115*(1+IF(L$3&lt;=$O$2,$D115,$D115-($D115-$I$103)*MIN(L$3-$O$2,$Q$2)/$Q$2))</f>
        <v>1513.75138371983</v>
      </c>
      <c r="M115" s="15" t="n">
        <f aca="false">L115*(1+IF(M$3&lt;=$O$2,$D115,$D115-($D115-$I$103)*MIN(M$3-$O$2,$Q$2)/$Q$2))</f>
        <v>1533.90024246993</v>
      </c>
      <c r="N115" s="15" t="n">
        <f aca="false">M115*(1+IF(N$3&lt;=$O$2,$D115,$D115-($D115-$I$103)*MIN(N$3-$O$2,$Q$2)/$Q$2))</f>
        <v>1572.24774853167</v>
      </c>
      <c r="O115" s="15" t="n">
        <f aca="false">SUMPRODUCT(E115:N115,1/(1+$F$103)^$E$3:$N$3)*$E$2</f>
        <v>4409.51954899708</v>
      </c>
      <c r="P115" s="15" t="n">
        <f aca="false">N115*$E$2*(1+$I$103)/($F$103-$I$103)/(1+$F$103)^$N$3</f>
        <v>12078.7424417255</v>
      </c>
      <c r="Q115" s="15" t="n">
        <f aca="false">O115+P115</f>
        <v>16488.2619907226</v>
      </c>
      <c r="R115" s="15" t="n">
        <f aca="false">Q115-$G$2+$I$2</f>
        <v>14935.5619907226</v>
      </c>
      <c r="S115" s="40" t="n">
        <f aca="false">R115/$K$2</f>
        <v>54.2342205262449</v>
      </c>
      <c r="T115" s="41" t="n">
        <f aca="false">S115-$M$2</f>
        <v>-0.270300335079043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-0.033447265625</v>
      </c>
      <c r="C116" s="25" t="n">
        <f aca="false">IF(T115&gt;0,D115,C115)</f>
        <v>-0.03271484375</v>
      </c>
      <c r="D116" s="39" t="n">
        <f aca="false">(B116+C116)/2</f>
        <v>-0.0330810546875</v>
      </c>
      <c r="E116" s="15" t="n">
        <f aca="false">$C$2*(1+IF(E$3&lt;=$O$2,$D116,$D116-($D116-$I$103)*MIN(E$3-$O$2,$Q$2)/$Q$2))</f>
        <v>1788.80004882813</v>
      </c>
      <c r="F116" s="15" t="n">
        <f aca="false">E116*(1+IF(F$3&lt;=$O$2,$D116,$D116-($D116-$I$103)*MIN(F$3-$O$2,$Q$2)/$Q$2))</f>
        <v>1729.62465658784</v>
      </c>
      <c r="G116" s="15" t="n">
        <f aca="false">F116*(1+IF(G$3&lt;=$O$2,$D116,$D116-($D116-$I$103)*MIN(G$3-$O$2,$Q$2)/$Q$2))</f>
        <v>1672.40684873441</v>
      </c>
      <c r="H116" s="15" t="n">
        <f aca="false">G116*(1+IF(H$3&lt;=$O$2,$D116,$D116-($D116-$I$103)*MIN(H$3-$O$2,$Q$2)/$Q$2))</f>
        <v>1617.08186631168</v>
      </c>
      <c r="I116" s="15" t="n">
        <f aca="false">H116*(1+IF(I$3&lt;=$O$2,$D116,$D116-($D116-$I$103)*MIN(I$3-$O$2,$Q$2)/$Q$2))</f>
        <v>1563.58709265805</v>
      </c>
      <c r="J116" s="15" t="n">
        <f aca="false">I116*(1+IF(J$3&lt;=$O$2,$D116,$D116-($D116-$I$103)*MIN(J$3-$O$2,$Q$2)/$Q$2))</f>
        <v>1530.02494002463</v>
      </c>
      <c r="K116" s="15" t="n">
        <f aca="false">J116*(1+IF(K$3&lt;=$O$2,$D116,$D116-($D116-$I$103)*MIN(K$3-$O$2,$Q$2)/$Q$2))</f>
        <v>1514.95628619636</v>
      </c>
      <c r="L116" s="15" t="n">
        <f aca="false">K116*(1+IF(L$3&lt;=$O$2,$D116,$D116-($D116-$I$103)*MIN(L$3-$O$2,$Q$2)/$Q$2))</f>
        <v>1517.63408978817</v>
      </c>
      <c r="M116" s="15" t="n">
        <f aca="false">L116*(1+IF(M$3&lt;=$O$2,$D116,$D116-($D116-$I$103)*MIN(M$3-$O$2,$Q$2)/$Q$2))</f>
        <v>1537.94578431996</v>
      </c>
      <c r="N116" s="15" t="n">
        <f aca="false">M116*(1+IF(N$3&lt;=$O$2,$D116,$D116-($D116-$I$103)*MIN(N$3-$O$2,$Q$2)/$Q$2))</f>
        <v>1576.39442892796</v>
      </c>
      <c r="O116" s="15" t="n">
        <f aca="false">SUMPRODUCT(E116:N116,1/(1+$F$103)^$E$3:$N$3)*$E$2</f>
        <v>4416.80925044986</v>
      </c>
      <c r="P116" s="15" t="n">
        <f aca="false">N116*$E$2*(1+$I$103)/($F$103-$I$103)/(1+$F$103)^$N$3</f>
        <v>12110.5991796611</v>
      </c>
      <c r="Q116" s="15" t="n">
        <f aca="false">O116+P116</f>
        <v>16527.408430111</v>
      </c>
      <c r="R116" s="15" t="n">
        <f aca="false">Q116-$G$2+$I$2</f>
        <v>14974.708430111</v>
      </c>
      <c r="S116" s="40" t="n">
        <f aca="false">R116/$K$2</f>
        <v>54.3763696216674</v>
      </c>
      <c r="T116" s="41" t="n">
        <f aca="false">S116-$M$2</f>
        <v>-0.128151239656518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-0.0330810546875</v>
      </c>
      <c r="C117" s="25" t="n">
        <f aca="false">IF(T116&gt;0,D116,C116)</f>
        <v>-0.03271484375</v>
      </c>
      <c r="D117" s="39" t="n">
        <f aca="false">(B117+C117)/2</f>
        <v>-0.03289794921875</v>
      </c>
      <c r="E117" s="15" t="n">
        <f aca="false">$C$2*(1+IF(E$3&lt;=$O$2,$D117,$D117-($D117-$I$103)*MIN(E$3-$O$2,$Q$2)/$Q$2))</f>
        <v>1789.13879394531</v>
      </c>
      <c r="F117" s="15" t="n">
        <f aca="false">E117*(1+IF(F$3&lt;=$O$2,$D117,$D117-($D117-$I$103)*MIN(F$3-$O$2,$Q$2)/$Q$2))</f>
        <v>1730.2797967568</v>
      </c>
      <c r="G117" s="15" t="n">
        <f aca="false">F117*(1+IF(G$3&lt;=$O$2,$D117,$D117-($D117-$I$103)*MIN(G$3-$O$2,$Q$2)/$Q$2))</f>
        <v>1673.35713986887</v>
      </c>
      <c r="H117" s="15" t="n">
        <f aca="false">G117*(1+IF(H$3&lt;=$O$2,$D117,$D117-($D117-$I$103)*MIN(H$3-$O$2,$Q$2)/$Q$2))</f>
        <v>1618.30712165663</v>
      </c>
      <c r="I117" s="15" t="n">
        <f aca="false">H117*(1+IF(I$3&lt;=$O$2,$D117,$D117-($D117-$I$103)*MIN(I$3-$O$2,$Q$2)/$Q$2))</f>
        <v>1565.06813614803</v>
      </c>
      <c r="J117" s="15" t="n">
        <f aca="false">I117*(1+IF(J$3&lt;=$O$2,$D117,$D117-($D117-$I$103)*MIN(J$3-$O$2,$Q$2)/$Q$2))</f>
        <v>1531.70345117526</v>
      </c>
      <c r="K117" s="15" t="n">
        <f aca="false">J117*(1+IF(K$3&lt;=$O$2,$D117,$D117-($D117-$I$103)*MIN(K$3-$O$2,$Q$2)/$Q$2))</f>
        <v>1516.78654427405</v>
      </c>
      <c r="L117" s="15" t="n">
        <f aca="false">K117*(1+IF(L$3&lt;=$O$2,$D117,$D117-($D117-$I$103)*MIN(L$3-$O$2,$Q$2)/$Q$2))</f>
        <v>1519.57867575447</v>
      </c>
      <c r="M117" s="15" t="n">
        <f aca="false">L117*(1+IF(M$3&lt;=$O$2,$D117,$D117-($D117-$I$103)*MIN(M$3-$O$2,$Q$2)/$Q$2))</f>
        <v>1539.97204484779</v>
      </c>
      <c r="N117" s="15" t="n">
        <f aca="false">M117*(1+IF(N$3&lt;=$O$2,$D117,$D117-($D117-$I$103)*MIN(N$3-$O$2,$Q$2)/$Q$2))</f>
        <v>1578.47134596899</v>
      </c>
      <c r="O117" s="15" t="n">
        <f aca="false">SUMPRODUCT(E117:N117,1/(1+$F$103)^$E$3:$N$3)*$E$2</f>
        <v>4420.45872598667</v>
      </c>
      <c r="P117" s="15" t="n">
        <f aca="false">N117*$E$2*(1+$I$103)/($F$103-$I$103)/(1+$F$103)^$N$3</f>
        <v>12126.5550276087</v>
      </c>
      <c r="Q117" s="15" t="n">
        <f aca="false">O117+P117</f>
        <v>16547.0137535953</v>
      </c>
      <c r="R117" s="15" t="n">
        <f aca="false">Q117-$G$2+$I$2</f>
        <v>14994.3137535953</v>
      </c>
      <c r="S117" s="40" t="n">
        <f aca="false">R117/$K$2</f>
        <v>54.4475607451081</v>
      </c>
      <c r="T117" s="41" t="n">
        <f aca="false">S117-$M$2</f>
        <v>-0.0569601162158193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-0.03289794921875</v>
      </c>
      <c r="C118" s="25" t="n">
        <f aca="false">IF(T117&gt;0,D117,C117)</f>
        <v>-0.03271484375</v>
      </c>
      <c r="D118" s="39" t="n">
        <f aca="false">(B118+C118)/2</f>
        <v>-0.032806396484375</v>
      </c>
      <c r="E118" s="15" t="n">
        <f aca="false">$C$2*(1+IF(E$3&lt;=$O$2,$D118,$D118-($D118-$I$103)*MIN(E$3-$O$2,$Q$2)/$Q$2))</f>
        <v>1789.30816650391</v>
      </c>
      <c r="F118" s="15" t="n">
        <f aca="false">E118*(1+IF(F$3&lt;=$O$2,$D118,$D118-($D118-$I$103)*MIN(F$3-$O$2,$Q$2)/$Q$2))</f>
        <v>1730.60741336085</v>
      </c>
      <c r="G118" s="15" t="n">
        <f aca="false">F118*(1+IF(G$3&lt;=$O$2,$D118,$D118-($D118-$I$103)*MIN(G$3-$O$2,$Q$2)/$Q$2))</f>
        <v>1673.83242039933</v>
      </c>
      <c r="H118" s="15" t="n">
        <f aca="false">G118*(1+IF(H$3&lt;=$O$2,$D118,$D118-($D118-$I$103)*MIN(H$3-$O$2,$Q$2)/$Q$2))</f>
        <v>1618.92001036731</v>
      </c>
      <c r="I118" s="15" t="n">
        <f aca="false">H118*(1+IF(I$3&lt;=$O$2,$D118,$D118-($D118-$I$103)*MIN(I$3-$O$2,$Q$2)/$Q$2))</f>
        <v>1565.80907863071</v>
      </c>
      <c r="J118" s="15" t="n">
        <f aca="false">I118*(1+IF(J$3&lt;=$O$2,$D118,$D118-($D118-$I$103)*MIN(J$3-$O$2,$Q$2)/$Q$2))</f>
        <v>1532.54328126195</v>
      </c>
      <c r="K118" s="15" t="n">
        <f aca="false">J118*(1+IF(K$3&lt;=$O$2,$D118,$D118-($D118-$I$103)*MIN(K$3-$O$2,$Q$2)/$Q$2))</f>
        <v>1517.70238056585</v>
      </c>
      <c r="L118" s="15" t="n">
        <f aca="false">K118*(1+IF(L$3&lt;=$O$2,$D118,$D118-($D118-$I$103)*MIN(L$3-$O$2,$Q$2)/$Q$2))</f>
        <v>1520.55177785748</v>
      </c>
      <c r="M118" s="15" t="n">
        <f aca="false">L118*(1+IF(M$3&lt;=$O$2,$D118,$D118-($D118-$I$103)*MIN(M$3-$O$2,$Q$2)/$Q$2))</f>
        <v>1540.98604851475</v>
      </c>
      <c r="N118" s="15" t="n">
        <f aca="false">M118*(1+IF(N$3&lt;=$O$2,$D118,$D118-($D118-$I$103)*MIN(N$3-$O$2,$Q$2)/$Q$2))</f>
        <v>1579.51069972762</v>
      </c>
      <c r="O118" s="15" t="n">
        <f aca="false">SUMPRODUCT(E118:N118,1/(1+$F$103)^$E$3:$N$3)*$E$2</f>
        <v>4422.28462103788</v>
      </c>
      <c r="P118" s="15" t="n">
        <f aca="false">N118*$E$2*(1+$I$103)/($F$103-$I$103)/(1+$F$103)^$N$3</f>
        <v>12134.5398292203</v>
      </c>
      <c r="Q118" s="15" t="n">
        <f aca="false">O118+P118</f>
        <v>16556.8244502582</v>
      </c>
      <c r="R118" s="15" t="n">
        <f aca="false">Q118-$G$2+$I$2</f>
        <v>15004.1244502582</v>
      </c>
      <c r="S118" s="40" t="n">
        <f aca="false">R118/$K$2</f>
        <v>54.4831854833443</v>
      </c>
      <c r="T118" s="41" t="n">
        <f aca="false">S118-$M$2</f>
        <v>-0.0213353779796535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-0.032806396484375</v>
      </c>
      <c r="C119" s="25" t="n">
        <f aca="false">IF(T118&gt;0,D118,C118)</f>
        <v>-0.03271484375</v>
      </c>
      <c r="D119" s="39" t="n">
        <f aca="false">(B119+C119)/2</f>
        <v>-0.0327606201171875</v>
      </c>
      <c r="E119" s="15" t="n">
        <f aca="false">$C$2*(1+IF(E$3&lt;=$O$2,$D119,$D119-($D119-$I$103)*MIN(E$3-$O$2,$Q$2)/$Q$2))</f>
        <v>1789.3928527832</v>
      </c>
      <c r="F119" s="15" t="n">
        <f aca="false">E119*(1+IF(F$3&lt;=$O$2,$D119,$D119-($D119-$I$103)*MIN(F$3-$O$2,$Q$2)/$Q$2))</f>
        <v>1730.77123329276</v>
      </c>
      <c r="G119" s="15" t="n">
        <f aca="false">F119*(1+IF(G$3&lt;=$O$2,$D119,$D119-($D119-$I$103)*MIN(G$3-$O$2,$Q$2)/$Q$2))</f>
        <v>1674.0700944091</v>
      </c>
      <c r="H119" s="15" t="n">
        <f aca="false">G119*(1+IF(H$3&lt;=$O$2,$D119,$D119-($D119-$I$103)*MIN(H$3-$O$2,$Q$2)/$Q$2))</f>
        <v>1619.22651999662</v>
      </c>
      <c r="I119" s="15" t="n">
        <f aca="false">H119*(1+IF(I$3&lt;=$O$2,$D119,$D119-($D119-$I$103)*MIN(I$3-$O$2,$Q$2)/$Q$2))</f>
        <v>1566.17965509134</v>
      </c>
      <c r="J119" s="15" t="n">
        <f aca="false">I119*(1+IF(J$3&lt;=$O$2,$D119,$D119-($D119-$I$103)*MIN(J$3-$O$2,$Q$2)/$Q$2))</f>
        <v>1532.96333999422</v>
      </c>
      <c r="K119" s="15" t="n">
        <f aca="false">J119*(1+IF(K$3&lt;=$O$2,$D119,$D119-($D119-$I$103)*MIN(K$3-$O$2,$Q$2)/$Q$2))</f>
        <v>1518.16047561309</v>
      </c>
      <c r="L119" s="15" t="n">
        <f aca="false">K119*(1+IF(L$3&lt;=$O$2,$D119,$D119-($D119-$I$103)*MIN(L$3-$O$2,$Q$2)/$Q$2))</f>
        <v>1521.03853129989</v>
      </c>
      <c r="M119" s="15" t="n">
        <f aca="false">L119*(1+IF(M$3&lt;=$O$2,$D119,$D119-($D119-$I$103)*MIN(M$3-$O$2,$Q$2)/$Q$2))</f>
        <v>1541.49326882438</v>
      </c>
      <c r="N119" s="15" t="n">
        <f aca="false">M119*(1+IF(N$3&lt;=$O$2,$D119,$D119-($D119-$I$103)*MIN(N$3-$O$2,$Q$2)/$Q$2))</f>
        <v>1580.03060054499</v>
      </c>
      <c r="O119" s="15" t="n">
        <f aca="false">SUMPRODUCT(E119:N119,1/(1+$F$103)^$E$3:$N$3)*$E$2</f>
        <v>4423.1978580193</v>
      </c>
      <c r="P119" s="15" t="n">
        <f aca="false">N119*$E$2*(1+$I$103)/($F$103-$I$103)/(1+$F$103)^$N$3</f>
        <v>12138.533950423</v>
      </c>
      <c r="Q119" s="15" t="n">
        <f aca="false">O119+P119</f>
        <v>16561.7318084423</v>
      </c>
      <c r="R119" s="15" t="n">
        <f aca="false">Q119-$G$2+$I$2</f>
        <v>15009.0318084423</v>
      </c>
      <c r="S119" s="40" t="n">
        <f aca="false">R119/$K$2</f>
        <v>54.5010051506674</v>
      </c>
      <c r="T119" s="41" t="n">
        <f aca="false">S119-$M$2</f>
        <v>-0.00351571065656486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-0.0327606201171875</v>
      </c>
      <c r="C120" s="25" t="n">
        <f aca="false">IF(T119&gt;0,D119,C119)</f>
        <v>-0.03271484375</v>
      </c>
      <c r="D120" s="39" t="n">
        <f aca="false">(B120+C120)/2</f>
        <v>-0.0327377319335938</v>
      </c>
      <c r="E120" s="15" t="n">
        <f aca="false">$C$2*(1+IF(E$3&lt;=$O$2,$D120,$D120-($D120-$I$103)*MIN(E$3-$O$2,$Q$2)/$Q$2))</f>
        <v>1789.43519592285</v>
      </c>
      <c r="F120" s="15" t="n">
        <f aca="false">E120*(1+IF(F$3&lt;=$O$2,$D120,$D120-($D120-$I$103)*MIN(F$3-$O$2,$Q$2)/$Q$2))</f>
        <v>1730.85314616619</v>
      </c>
      <c r="G120" s="15" t="n">
        <f aca="false">F120*(1+IF(G$3&lt;=$O$2,$D120,$D120-($D120-$I$103)*MIN(G$3-$O$2,$Q$2)/$Q$2))</f>
        <v>1674.18893985059</v>
      </c>
      <c r="H120" s="15" t="n">
        <f aca="false">G120*(1+IF(H$3&lt;=$O$2,$D120,$D120-($D120-$I$103)*MIN(H$3-$O$2,$Q$2)/$Q$2))</f>
        <v>1619.37979113157</v>
      </c>
      <c r="I120" s="15" t="n">
        <f aca="false">H120*(1+IF(I$3&lt;=$O$2,$D120,$D120-($D120-$I$103)*MIN(I$3-$O$2,$Q$2)/$Q$2))</f>
        <v>1566.36496963083</v>
      </c>
      <c r="J120" s="15" t="n">
        <f aca="false">I120*(1+IF(J$3&lt;=$O$2,$D120,$D120-($D120-$I$103)*MIN(J$3-$O$2,$Q$2)/$Q$2))</f>
        <v>1533.17340529022</v>
      </c>
      <c r="K120" s="15" t="n">
        <f aca="false">J120*(1+IF(K$3&lt;=$O$2,$D120,$D120-($D120-$I$103)*MIN(K$3-$O$2,$Q$2)/$Q$2))</f>
        <v>1518.38956737306</v>
      </c>
      <c r="L120" s="15" t="n">
        <f aca="false">K120*(1+IF(L$3&lt;=$O$2,$D120,$D120-($D120-$I$103)*MIN(L$3-$O$2,$Q$2)/$Q$2))</f>
        <v>1521.28195863269</v>
      </c>
      <c r="M120" s="15" t="n">
        <f aca="false">L120*(1+IF(M$3&lt;=$O$2,$D120,$D120-($D120-$I$103)*MIN(M$3-$O$2,$Q$2)/$Q$2))</f>
        <v>1541.74693361391</v>
      </c>
      <c r="N120" s="15" t="n">
        <f aca="false">M120*(1+IF(N$3&lt;=$O$2,$D120,$D120-($D120-$I$103)*MIN(N$3-$O$2,$Q$2)/$Q$2))</f>
        <v>1580.29060695426</v>
      </c>
      <c r="O120" s="15" t="n">
        <f aca="false">SUMPRODUCT(E120:N120,1/(1+$F$103)^$E$3:$N$3)*$E$2</f>
        <v>4423.65454889086</v>
      </c>
      <c r="P120" s="15" t="n">
        <f aca="false">N120*$E$2*(1+$I$103)/($F$103-$I$103)/(1+$F$103)^$N$3</f>
        <v>12140.531441247</v>
      </c>
      <c r="Q120" s="15" t="n">
        <f aca="false">O120+P120</f>
        <v>16564.1859901379</v>
      </c>
      <c r="R120" s="15" t="n">
        <f aca="false">Q120-$G$2+$I$2</f>
        <v>15011.4859901379</v>
      </c>
      <c r="S120" s="40" t="n">
        <f aca="false">R120/$K$2</f>
        <v>54.5099168093898</v>
      </c>
      <c r="T120" s="41" t="n">
        <f aca="false">S120-$M$2</f>
        <v>0.00539594806588184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-0.0327606201171875</v>
      </c>
      <c r="C121" s="25" t="n">
        <f aca="false">IF(T120&gt;0,D120,C120)</f>
        <v>-0.0327377319335938</v>
      </c>
      <c r="D121" s="39" t="n">
        <f aca="false">(B121+C121)/2</f>
        <v>-0.0327491760253906</v>
      </c>
      <c r="E121" s="15" t="n">
        <f aca="false">$C$2*(1+IF(E$3&lt;=$O$2,$D121,$D121-($D121-$I$103)*MIN(E$3-$O$2,$Q$2)/$Q$2))</f>
        <v>1789.41402435303</v>
      </c>
      <c r="F121" s="15" t="n">
        <f aca="false">E121*(1+IF(F$3&lt;=$O$2,$D121,$D121-($D121-$I$103)*MIN(F$3-$O$2,$Q$2)/$Q$2))</f>
        <v>1730.81218948719</v>
      </c>
      <c r="G121" s="15" t="n">
        <f aca="false">F121*(1+IF(G$3&lt;=$O$2,$D121,$D121-($D121-$I$103)*MIN(G$3-$O$2,$Q$2)/$Q$2))</f>
        <v>1674.12951642678</v>
      </c>
      <c r="H121" s="15" t="n">
        <f aca="false">G121*(1+IF(H$3&lt;=$O$2,$D121,$D121-($D121-$I$103)*MIN(H$3-$O$2,$Q$2)/$Q$2))</f>
        <v>1619.30315420402</v>
      </c>
      <c r="I121" s="15" t="n">
        <f aca="false">H121*(1+IF(I$3&lt;=$O$2,$D121,$D121-($D121-$I$103)*MIN(I$3-$O$2,$Q$2)/$Q$2))</f>
        <v>1566.27231016852</v>
      </c>
      <c r="J121" s="15" t="n">
        <f aca="false">I121*(1+IF(J$3&lt;=$O$2,$D121,$D121-($D121-$I$103)*MIN(J$3-$O$2,$Q$2)/$Q$2))</f>
        <v>1533.06836964784</v>
      </c>
      <c r="K121" s="15" t="n">
        <f aca="false">J121*(1+IF(K$3&lt;=$O$2,$D121,$D121-($D121-$I$103)*MIN(K$3-$O$2,$Q$2)/$Q$2))</f>
        <v>1518.27501780638</v>
      </c>
      <c r="L121" s="15" t="n">
        <f aca="false">K121*(1+IF(L$3&lt;=$O$2,$D121,$D121-($D121-$I$103)*MIN(L$3-$O$2,$Q$2)/$Q$2))</f>
        <v>1521.16024074824</v>
      </c>
      <c r="M121" s="15" t="n">
        <f aca="false">L121*(1+IF(M$3&lt;=$O$2,$D121,$D121-($D121-$I$103)*MIN(M$3-$O$2,$Q$2)/$Q$2))</f>
        <v>1541.62009666579</v>
      </c>
      <c r="N121" s="15" t="n">
        <f aca="false">M121*(1+IF(N$3&lt;=$O$2,$D121,$D121-($D121-$I$103)*MIN(N$3-$O$2,$Q$2)/$Q$2))</f>
        <v>1580.16059908243</v>
      </c>
      <c r="O121" s="15" t="n">
        <f aca="false">SUMPRODUCT(E121:N121,1/(1+$F$103)^$E$3:$N$3)*$E$2</f>
        <v>4423.42619742284</v>
      </c>
      <c r="P121" s="15" t="n">
        <f aca="false">N121*$E$2*(1+$I$103)/($F$103-$I$103)/(1+$F$103)^$N$3</f>
        <v>12139.5326599794</v>
      </c>
      <c r="Q121" s="15" t="n">
        <f aca="false">O121+P121</f>
        <v>16562.9588574023</v>
      </c>
      <c r="R121" s="15" t="n">
        <f aca="false">Q121-$G$2+$I$2</f>
        <v>15010.2588574023</v>
      </c>
      <c r="S121" s="40" t="n">
        <f aca="false">R121/$K$2</f>
        <v>54.505460827925</v>
      </c>
      <c r="T121" s="41" t="n">
        <f aca="false">S121-$M$2</f>
        <v>0.000939966601066544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-0.0327606201171875</v>
      </c>
      <c r="C122" s="25" t="n">
        <f aca="false">IF(T121&gt;0,D121,C121)</f>
        <v>-0.0327491760253906</v>
      </c>
      <c r="D122" s="39" t="n">
        <f aca="false">(B122+C122)/2</f>
        <v>-0.0327548980712891</v>
      </c>
      <c r="E122" s="15" t="n">
        <f aca="false">$C$2*(1+IF(E$3&lt;=$O$2,$D122,$D122-($D122-$I$103)*MIN(E$3-$O$2,$Q$2)/$Q$2))</f>
        <v>1789.40343856812</v>
      </c>
      <c r="F122" s="15" t="n">
        <f aca="false">E122*(1+IF(F$3&lt;=$O$2,$D122,$D122-($D122-$I$103)*MIN(F$3-$O$2,$Q$2)/$Q$2))</f>
        <v>1730.7917113294</v>
      </c>
      <c r="G122" s="15" t="n">
        <f aca="false">F122*(1+IF(G$3&lt;=$O$2,$D122,$D122-($D122-$I$103)*MIN(G$3-$O$2,$Q$2)/$Q$2))</f>
        <v>1674.09980524218</v>
      </c>
      <c r="H122" s="15" t="n">
        <f aca="false">G122*(1+IF(H$3&lt;=$O$2,$D122,$D122-($D122-$I$103)*MIN(H$3-$O$2,$Q$2)/$Q$2))</f>
        <v>1619.2648367603</v>
      </c>
      <c r="I122" s="15" t="n">
        <f aca="false">H122*(1+IF(I$3&lt;=$O$2,$D122,$D122-($D122-$I$103)*MIN(I$3-$O$2,$Q$2)/$Q$2))</f>
        <v>1566.2259820818</v>
      </c>
      <c r="J122" s="15" t="n">
        <f aca="false">I122*(1+IF(J$3&lt;=$O$2,$D122,$D122-($D122-$I$103)*MIN(J$3-$O$2,$Q$2)/$Q$2))</f>
        <v>1533.01585407245</v>
      </c>
      <c r="K122" s="15" t="n">
        <f aca="false">J122*(1+IF(K$3&lt;=$O$2,$D122,$D122-($D122-$I$103)*MIN(K$3-$O$2,$Q$2)/$Q$2))</f>
        <v>1518.21774578809</v>
      </c>
      <c r="L122" s="15" t="n">
        <f aca="false">K122*(1+IF(L$3&lt;=$O$2,$D122,$D122-($D122-$I$103)*MIN(L$3-$O$2,$Q$2)/$Q$2))</f>
        <v>1521.09938496958</v>
      </c>
      <c r="M122" s="15" t="n">
        <f aca="false">L122*(1+IF(M$3&lt;=$O$2,$D122,$D122-($D122-$I$103)*MIN(M$3-$O$2,$Q$2)/$Q$2))</f>
        <v>1541.55668160678</v>
      </c>
      <c r="N122" s="15" t="n">
        <f aca="false">M122*(1+IF(N$3&lt;=$O$2,$D122,$D122-($D122-$I$103)*MIN(N$3-$O$2,$Q$2)/$Q$2))</f>
        <v>1580.09559864695</v>
      </c>
      <c r="O122" s="15" t="n">
        <f aca="false">SUMPRODUCT(E122:N122,1/(1+$F$103)^$E$3:$N$3)*$E$2</f>
        <v>4423.31202621305</v>
      </c>
      <c r="P122" s="15" t="n">
        <f aca="false">N122*$E$2*(1+$I$103)/($F$103-$I$103)/(1+$F$103)^$N$3</f>
        <v>12139.0332962376</v>
      </c>
      <c r="Q122" s="15" t="n">
        <f aca="false">O122+P122</f>
        <v>16562.3453224506</v>
      </c>
      <c r="R122" s="15" t="n">
        <f aca="false">Q122-$G$2+$I$2</f>
        <v>15009.6453224506</v>
      </c>
      <c r="S122" s="40" t="n">
        <f aca="false">R122/$K$2</f>
        <v>54.5032329512714</v>
      </c>
      <c r="T122" s="41" t="n">
        <f aca="false">S122-$M$2</f>
        <v>-0.00128791005251827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-0.0327548980712891</v>
      </c>
      <c r="C123" s="25" t="n">
        <f aca="false">IF(T122&gt;0,D122,C122)</f>
        <v>-0.0327491760253906</v>
      </c>
      <c r="D123" s="39" t="n">
        <f aca="false">(B123+C123)/2</f>
        <v>-0.0327520370483398</v>
      </c>
      <c r="E123" s="15" t="n">
        <f aca="false">$C$2*(1+IF(E$3&lt;=$O$2,$D123,$D123-($D123-$I$103)*MIN(E$3-$O$2,$Q$2)/$Q$2))</f>
        <v>1789.40873146057</v>
      </c>
      <c r="F123" s="15" t="n">
        <f aca="false">E123*(1+IF(F$3&lt;=$O$2,$D123,$D123-($D123-$I$103)*MIN(F$3-$O$2,$Q$2)/$Q$2))</f>
        <v>1730.80195039315</v>
      </c>
      <c r="G123" s="15" t="n">
        <f aca="false">F123*(1+IF(G$3&lt;=$O$2,$D123,$D123-($D123-$I$103)*MIN(G$3-$O$2,$Q$2)/$Q$2))</f>
        <v>1674.11466079054</v>
      </c>
      <c r="H123" s="15" t="n">
        <f aca="false">G123*(1+IF(H$3&lt;=$O$2,$D123,$D123-($D123-$I$103)*MIN(H$3-$O$2,$Q$2)/$Q$2))</f>
        <v>1619.28399539716</v>
      </c>
      <c r="I123" s="15" t="n">
        <f aca="false">H123*(1+IF(I$3&lt;=$O$2,$D123,$D123-($D123-$I$103)*MIN(I$3-$O$2,$Q$2)/$Q$2))</f>
        <v>1566.24914598812</v>
      </c>
      <c r="J123" s="15" t="n">
        <f aca="false">I123*(1+IF(J$3&lt;=$O$2,$D123,$D123-($D123-$I$103)*MIN(J$3-$O$2,$Q$2)/$Q$2))</f>
        <v>1533.042111673</v>
      </c>
      <c r="K123" s="15" t="n">
        <f aca="false">J123*(1+IF(K$3&lt;=$O$2,$D123,$D123-($D123-$I$103)*MIN(K$3-$O$2,$Q$2)/$Q$2))</f>
        <v>1518.24638156682</v>
      </c>
      <c r="L123" s="15" t="n">
        <f aca="false">K123*(1+IF(L$3&lt;=$O$2,$D123,$D123-($D123-$I$103)*MIN(L$3-$O$2,$Q$2)/$Q$2))</f>
        <v>1521.12981259529</v>
      </c>
      <c r="M123" s="15" t="n">
        <f aca="false">L123*(1+IF(M$3&lt;=$O$2,$D123,$D123-($D123-$I$103)*MIN(M$3-$O$2,$Q$2)/$Q$2))</f>
        <v>1541.5883888517</v>
      </c>
      <c r="N123" s="15" t="n">
        <f aca="false">M123*(1+IF(N$3&lt;=$O$2,$D123,$D123-($D123-$I$103)*MIN(N$3-$O$2,$Q$2)/$Q$2))</f>
        <v>1580.128098573</v>
      </c>
      <c r="O123" s="15" t="n">
        <f aca="false">SUMPRODUCT(E123:N123,1/(1+$F$103)^$E$3:$N$3)*$E$2</f>
        <v>4423.36911144093</v>
      </c>
      <c r="P123" s="15" t="n">
        <f aca="false">N123*$E$2*(1+$I$103)/($F$103-$I$103)/(1+$F$103)^$N$3</f>
        <v>12139.2829758676</v>
      </c>
      <c r="Q123" s="15" t="n">
        <f aca="false">O123+P123</f>
        <v>16562.6520873085</v>
      </c>
      <c r="R123" s="15" t="n">
        <f aca="false">Q123-$G$2+$I$2</f>
        <v>15009.9520873085</v>
      </c>
      <c r="S123" s="40" t="n">
        <f aca="false">R123/$K$2</f>
        <v>54.5043468800919</v>
      </c>
      <c r="T123" s="41" t="n">
        <f aca="false">S123-$M$2</f>
        <v>-0.000173981232059361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-0.0327520370483398</v>
      </c>
      <c r="C124" s="25" t="n">
        <f aca="false">IF(T123&gt;0,D123,C123)</f>
        <v>-0.0327491760253906</v>
      </c>
      <c r="D124" s="39" t="n">
        <f aca="false">(B124+C124)/2</f>
        <v>-0.0327506065368652</v>
      </c>
      <c r="E124" s="15" t="n">
        <f aca="false">$C$2*(1+IF(E$3&lt;=$O$2,$D124,$D124-($D124-$I$103)*MIN(E$3-$O$2,$Q$2)/$Q$2))</f>
        <v>1789.4113779068</v>
      </c>
      <c r="F124" s="15" t="n">
        <f aca="false">E124*(1+IF(F$3&lt;=$O$2,$D124,$D124-($D124-$I$103)*MIN(F$3-$O$2,$Q$2)/$Q$2))</f>
        <v>1730.80706993638</v>
      </c>
      <c r="G124" s="15" t="n">
        <f aca="false">F124*(1+IF(G$3&lt;=$O$2,$D124,$D124-($D124-$I$103)*MIN(G$3-$O$2,$Q$2)/$Q$2))</f>
        <v>1674.12208859767</v>
      </c>
      <c r="H124" s="15" t="n">
        <f aca="false">G124*(1+IF(H$3&lt;=$O$2,$D124,$D124-($D124-$I$103)*MIN(H$3-$O$2,$Q$2)/$Q$2))</f>
        <v>1619.29357477934</v>
      </c>
      <c r="I124" s="15" t="n">
        <f aca="false">H124*(1+IF(I$3&lt;=$O$2,$D124,$D124-($D124-$I$103)*MIN(I$3-$O$2,$Q$2)/$Q$2))</f>
        <v>1566.26072804406</v>
      </c>
      <c r="J124" s="15" t="n">
        <f aca="false">I124*(1+IF(J$3&lt;=$O$2,$D124,$D124-($D124-$I$103)*MIN(J$3-$O$2,$Q$2)/$Q$2))</f>
        <v>1533.05524061363</v>
      </c>
      <c r="K124" s="15" t="n">
        <f aca="false">J124*(1+IF(K$3&lt;=$O$2,$D124,$D124-($D124-$I$103)*MIN(K$3-$O$2,$Q$2)/$Q$2))</f>
        <v>1518.260699629</v>
      </c>
      <c r="L124" s="15" t="n">
        <f aca="false">K124*(1+IF(L$3&lt;=$O$2,$D124,$D124-($D124-$I$103)*MIN(L$3-$O$2,$Q$2)/$Q$2))</f>
        <v>1521.14502660586</v>
      </c>
      <c r="M124" s="15" t="n">
        <f aca="false">L124*(1+IF(M$3&lt;=$O$2,$D124,$D124-($D124-$I$103)*MIN(M$3-$O$2,$Q$2)/$Q$2))</f>
        <v>1541.6042426876</v>
      </c>
      <c r="N124" s="15" t="n">
        <f aca="false">M124*(1+IF(N$3&lt;=$O$2,$D124,$D124-($D124-$I$103)*MIN(N$3-$O$2,$Q$2)/$Q$2))</f>
        <v>1580.14434875479</v>
      </c>
      <c r="O124" s="15" t="n">
        <f aca="false">SUMPRODUCT(E124:N124,1/(1+$F$103)^$E$3:$N$3)*$E$2</f>
        <v>4423.39765433764</v>
      </c>
      <c r="P124" s="15" t="n">
        <f aca="false">N124*$E$2*(1+$I$103)/($F$103-$I$103)/(1+$F$103)^$N$3</f>
        <v>12139.4078173633</v>
      </c>
      <c r="Q124" s="15" t="n">
        <f aca="false">O124+P124</f>
        <v>16562.8054717009</v>
      </c>
      <c r="R124" s="15" t="n">
        <f aca="false">Q124-$G$2+$I$2</f>
        <v>15010.1054717009</v>
      </c>
      <c r="S124" s="40" t="n">
        <f aca="false">R124/$K$2</f>
        <v>54.5049038516319</v>
      </c>
      <c r="T124" s="41" t="n">
        <f aca="false">S124-$M$2</f>
        <v>0.000382990307912223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-0.0327520370483398</v>
      </c>
      <c r="C125" s="25" t="n">
        <f aca="false">IF(T124&gt;0,D124,C124)</f>
        <v>-0.0327506065368652</v>
      </c>
      <c r="D125" s="39" t="n">
        <f aca="false">(B125+C125)/2</f>
        <v>-0.0327513217926025</v>
      </c>
      <c r="E125" s="15" t="n">
        <f aca="false">$C$2*(1+IF(E$3&lt;=$O$2,$D125,$D125-($D125-$I$103)*MIN(E$3-$O$2,$Q$2)/$Q$2))</f>
        <v>1789.41005468369</v>
      </c>
      <c r="F125" s="15" t="n">
        <f aca="false">E125*(1+IF(F$3&lt;=$O$2,$D125,$D125-($D125-$I$103)*MIN(F$3-$O$2,$Q$2)/$Q$2))</f>
        <v>1730.80451016382</v>
      </c>
      <c r="G125" s="15" t="n">
        <f aca="false">F125*(1+IF(G$3&lt;=$O$2,$D125,$D125-($D125-$I$103)*MIN(G$3-$O$2,$Q$2)/$Q$2))</f>
        <v>1674.11837469136</v>
      </c>
      <c r="H125" s="15" t="n">
        <f aca="false">G125*(1+IF(H$3&lt;=$O$2,$D125,$D125-($D125-$I$103)*MIN(H$3-$O$2,$Q$2)/$Q$2))</f>
        <v>1619.28878508293</v>
      </c>
      <c r="I125" s="15" t="n">
        <f aca="false">H125*(1+IF(I$3&lt;=$O$2,$D125,$D125-($D125-$I$103)*MIN(I$3-$O$2,$Q$2)/$Q$2))</f>
        <v>1566.25493700753</v>
      </c>
      <c r="J125" s="15" t="n">
        <f aca="false">I125*(1+IF(J$3&lt;=$O$2,$D125,$D125-($D125-$I$103)*MIN(J$3-$O$2,$Q$2)/$Q$2))</f>
        <v>1533.04867613162</v>
      </c>
      <c r="K125" s="15" t="n">
        <f aca="false">J125*(1+IF(K$3&lt;=$O$2,$D125,$D125-($D125-$I$103)*MIN(K$3-$O$2,$Q$2)/$Q$2))</f>
        <v>1518.25354058351</v>
      </c>
      <c r="L125" s="15" t="n">
        <f aca="false">K125*(1+IF(L$3&lt;=$O$2,$D125,$D125-($D125-$I$103)*MIN(L$3-$O$2,$Q$2)/$Q$2))</f>
        <v>1521.1374195841</v>
      </c>
      <c r="M125" s="15" t="n">
        <f aca="false">L125*(1+IF(M$3&lt;=$O$2,$D125,$D125-($D125-$I$103)*MIN(M$3-$O$2,$Q$2)/$Q$2))</f>
        <v>1541.59631575187</v>
      </c>
      <c r="N125" s="15" t="n">
        <f aca="false">M125*(1+IF(N$3&lt;=$O$2,$D125,$D125-($D125-$I$103)*MIN(N$3-$O$2,$Q$2)/$Q$2))</f>
        <v>1580.13622364566</v>
      </c>
      <c r="O125" s="15" t="n">
        <f aca="false">SUMPRODUCT(E125:N125,1/(1+$F$103)^$E$3:$N$3)*$E$2</f>
        <v>4423.38338286572</v>
      </c>
      <c r="P125" s="15" t="n">
        <f aca="false">N125*$E$2*(1+$I$103)/($F$103-$I$103)/(1+$F$103)^$N$3</f>
        <v>12139.3453964754</v>
      </c>
      <c r="Q125" s="15" t="n">
        <f aca="false">O125+P125</f>
        <v>16562.7287793411</v>
      </c>
      <c r="R125" s="15" t="n">
        <f aca="false">Q125-$G$2+$I$2</f>
        <v>15010.0287793411</v>
      </c>
      <c r="S125" s="40" t="n">
        <f aca="false">R125/$K$2</f>
        <v>54.5046253652677</v>
      </c>
      <c r="T125" s="41" t="n">
        <f aca="false">S125-$M$2</f>
        <v>0.000104503943759937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-0.0327520370483398</v>
      </c>
      <c r="C126" s="25" t="n">
        <f aca="false">IF(T125&gt;0,D125,C125)</f>
        <v>-0.0327513217926025</v>
      </c>
      <c r="D126" s="39" t="n">
        <f aca="false">(B126+C126)/2</f>
        <v>-0.0327516794204712</v>
      </c>
      <c r="E126" s="15" t="n">
        <f aca="false">$C$2*(1+IF(E$3&lt;=$O$2,$D126,$D126-($D126-$I$103)*MIN(E$3-$O$2,$Q$2)/$Q$2))</f>
        <v>1789.40939307213</v>
      </c>
      <c r="F126" s="15" t="n">
        <f aca="false">E126*(1+IF(F$3&lt;=$O$2,$D126,$D126-($D126-$I$103)*MIN(F$3-$O$2,$Q$2)/$Q$2))</f>
        <v>1730.80323027825</v>
      </c>
      <c r="G126" s="15" t="n">
        <f aca="false">F126*(1+IF(G$3&lt;=$O$2,$D126,$D126-($D126-$I$103)*MIN(G$3-$O$2,$Q$2)/$Q$2))</f>
        <v>1674.11651774026</v>
      </c>
      <c r="H126" s="15" t="n">
        <f aca="false">G126*(1+IF(H$3&lt;=$O$2,$D126,$D126-($D126-$I$103)*MIN(H$3-$O$2,$Q$2)/$Q$2))</f>
        <v>1619.28639023872</v>
      </c>
      <c r="I126" s="15" t="n">
        <f aca="false">H126*(1+IF(I$3&lt;=$O$2,$D126,$D126-($D126-$I$103)*MIN(I$3-$O$2,$Q$2)/$Q$2))</f>
        <v>1566.25204149569</v>
      </c>
      <c r="J126" s="15" t="n">
        <f aca="false">I126*(1+IF(J$3&lt;=$O$2,$D126,$D126-($D126-$I$103)*MIN(J$3-$O$2,$Q$2)/$Q$2))</f>
        <v>1533.04539389938</v>
      </c>
      <c r="K126" s="15" t="n">
        <f aca="false">J126*(1+IF(K$3&lt;=$O$2,$D126,$D126-($D126-$I$103)*MIN(K$3-$O$2,$Q$2)/$Q$2))</f>
        <v>1518.24996107156</v>
      </c>
      <c r="L126" s="15" t="n">
        <f aca="false">K126*(1+IF(L$3&lt;=$O$2,$D126,$D126-($D126-$I$103)*MIN(L$3-$O$2,$Q$2)/$Q$2))</f>
        <v>1521.13361608557</v>
      </c>
      <c r="M126" s="15" t="n">
        <f aca="false">L126*(1+IF(M$3&lt;=$O$2,$D126,$D126-($D126-$I$103)*MIN(M$3-$O$2,$Q$2)/$Q$2))</f>
        <v>1541.59235229734</v>
      </c>
      <c r="N126" s="15" t="n">
        <f aca="false">M126*(1+IF(N$3&lt;=$O$2,$D126,$D126-($D126-$I$103)*MIN(N$3-$O$2,$Q$2)/$Q$2))</f>
        <v>1580.13216110477</v>
      </c>
      <c r="O126" s="15" t="n">
        <f aca="false">SUMPRODUCT(E126:N126,1/(1+$F$103)^$E$3:$N$3)*$E$2</f>
        <v>4423.37624714744</v>
      </c>
      <c r="P126" s="15" t="n">
        <f aca="false">N126*$E$2*(1+$I$103)/($F$103-$I$103)/(1+$F$103)^$N$3</f>
        <v>12139.3141861365</v>
      </c>
      <c r="Q126" s="15" t="n">
        <f aca="false">O126+P126</f>
        <v>16562.6904332839</v>
      </c>
      <c r="R126" s="15" t="n">
        <f aca="false">Q126-$G$2+$I$2</f>
        <v>15009.9904332839</v>
      </c>
      <c r="S126" s="40" t="n">
        <f aca="false">R126/$K$2</f>
        <v>54.5044861225313</v>
      </c>
      <c r="T126" s="41" t="n">
        <f aca="false">S126-$M$2</f>
        <v>-3.47387926566967E-005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-0.0327516794204712</v>
      </c>
      <c r="C127" s="25" t="n">
        <f aca="false">IF(T126&gt;0,D126,C126)</f>
        <v>-0.0327513217926025</v>
      </c>
      <c r="D127" s="39" t="n">
        <f aca="false">(B127+C127)/2</f>
        <v>-0.0327515006065369</v>
      </c>
      <c r="E127" s="15" t="n">
        <f aca="false">$C$2*(1+IF(E$3&lt;=$O$2,$D127,$D127-($D127-$I$103)*MIN(E$3-$O$2,$Q$2)/$Q$2))</f>
        <v>1789.40972387791</v>
      </c>
      <c r="F127" s="15" t="n">
        <f aca="false">E127*(1+IF(F$3&lt;=$O$2,$D127,$D127-($D127-$I$103)*MIN(F$3-$O$2,$Q$2)/$Q$2))</f>
        <v>1730.80387022098</v>
      </c>
      <c r="G127" s="15" t="n">
        <f aca="false">F127*(1+IF(G$3&lt;=$O$2,$D127,$D127-($D127-$I$103)*MIN(G$3-$O$2,$Q$2)/$Q$2))</f>
        <v>1674.11744621564</v>
      </c>
      <c r="H127" s="15" t="n">
        <f aca="false">G127*(1+IF(H$3&lt;=$O$2,$D127,$D127-($D127-$I$103)*MIN(H$3-$O$2,$Q$2)/$Q$2))</f>
        <v>1619.28758766049</v>
      </c>
      <c r="I127" s="15" t="n">
        <f aca="false">H127*(1+IF(I$3&lt;=$O$2,$D127,$D127-($D127-$I$103)*MIN(I$3-$O$2,$Q$2)/$Q$2))</f>
        <v>1566.25348925107</v>
      </c>
      <c r="J127" s="15" t="n">
        <f aca="false">I127*(1+IF(J$3&lt;=$O$2,$D127,$D127-($D127-$I$103)*MIN(J$3-$O$2,$Q$2)/$Q$2))</f>
        <v>1533.04703501477</v>
      </c>
      <c r="K127" s="15" t="n">
        <f aca="false">J127*(1+IF(K$3&lt;=$O$2,$D127,$D127-($D127-$I$103)*MIN(K$3-$O$2,$Q$2)/$Q$2))</f>
        <v>1518.25175082664</v>
      </c>
      <c r="L127" s="15" t="n">
        <f aca="false">K127*(1+IF(L$3&lt;=$O$2,$D127,$D127-($D127-$I$103)*MIN(L$3-$O$2,$Q$2)/$Q$2))</f>
        <v>1521.13551783381</v>
      </c>
      <c r="M127" s="15" t="n">
        <f aca="false">L127*(1+IF(M$3&lt;=$O$2,$D127,$D127-($D127-$I$103)*MIN(M$3-$O$2,$Q$2)/$Q$2))</f>
        <v>1541.59433402349</v>
      </c>
      <c r="N127" s="15" t="n">
        <f aca="false">M127*(1+IF(N$3&lt;=$O$2,$D127,$D127-($D127-$I$103)*MIN(N$3-$O$2,$Q$2)/$Q$2))</f>
        <v>1580.13419237408</v>
      </c>
      <c r="O127" s="15" t="n">
        <f aca="false">SUMPRODUCT(E127:N127,1/(1+$F$103)^$E$3:$N$3)*$E$2</f>
        <v>4423.37981500511</v>
      </c>
      <c r="P127" s="15" t="n">
        <f aca="false">N127*$E$2*(1+$I$103)/($F$103-$I$103)/(1+$F$103)^$N$3</f>
        <v>12139.3297912971</v>
      </c>
      <c r="Q127" s="15" t="n">
        <f aca="false">O127+P127</f>
        <v>16562.7096063023</v>
      </c>
      <c r="R127" s="15" t="n">
        <f aca="false">Q127-$G$2+$I$2</f>
        <v>15010.0096063023</v>
      </c>
      <c r="S127" s="40" t="n">
        <f aca="false">R127/$K$2</f>
        <v>54.5045557438624</v>
      </c>
      <c r="T127" s="41" t="n">
        <f aca="false">S127-$M$2</f>
        <v>3.48825384151041E-005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-0.0327516794204712</v>
      </c>
      <c r="C128" s="25" t="n">
        <f aca="false">IF(T127&gt;0,D127,C127)</f>
        <v>-0.0327515006065369</v>
      </c>
      <c r="D128" s="39" t="n">
        <f aca="false">(B128+C128)/2</f>
        <v>-0.032751590013504</v>
      </c>
      <c r="E128" s="15" t="n">
        <f aca="false">$C$2*(1+IF(E$3&lt;=$O$2,$D128,$D128-($D128-$I$103)*MIN(E$3-$O$2,$Q$2)/$Q$2))</f>
        <v>1789.40955847502</v>
      </c>
      <c r="F128" s="15" t="n">
        <f aca="false">E128*(1+IF(F$3&lt;=$O$2,$D128,$D128-($D128-$I$103)*MIN(F$3-$O$2,$Q$2)/$Q$2))</f>
        <v>1730.8035502496</v>
      </c>
      <c r="G128" s="15" t="n">
        <f aca="false">F128*(1+IF(G$3&lt;=$O$2,$D128,$D128-($D128-$I$103)*MIN(G$3-$O$2,$Q$2)/$Q$2))</f>
        <v>1674.11698197791</v>
      </c>
      <c r="H128" s="15" t="n">
        <f aca="false">G128*(1+IF(H$3&lt;=$O$2,$D128,$D128-($D128-$I$103)*MIN(H$3-$O$2,$Q$2)/$Q$2))</f>
        <v>1619.28698894952</v>
      </c>
      <c r="I128" s="15" t="n">
        <f aca="false">H128*(1+IF(I$3&lt;=$O$2,$D128,$D128-($D128-$I$103)*MIN(I$3-$O$2,$Q$2)/$Q$2))</f>
        <v>1566.25276537325</v>
      </c>
      <c r="J128" s="15" t="n">
        <f aca="false">I128*(1+IF(J$3&lt;=$O$2,$D128,$D128-($D128-$I$103)*MIN(J$3-$O$2,$Q$2)/$Q$2))</f>
        <v>1533.04621445689</v>
      </c>
      <c r="K128" s="15" t="n">
        <f aca="false">J128*(1+IF(K$3&lt;=$O$2,$D128,$D128-($D128-$I$103)*MIN(K$3-$O$2,$Q$2)/$Q$2))</f>
        <v>1518.25085594888</v>
      </c>
      <c r="L128" s="15" t="n">
        <f aca="false">K128*(1+IF(L$3&lt;=$O$2,$D128,$D128-($D128-$I$103)*MIN(L$3-$O$2,$Q$2)/$Q$2))</f>
        <v>1521.13456695943</v>
      </c>
      <c r="M128" s="15" t="n">
        <f aca="false">L128*(1+IF(M$3&lt;=$O$2,$D128,$D128-($D128-$I$103)*MIN(M$3-$O$2,$Q$2)/$Q$2))</f>
        <v>1541.59334316014</v>
      </c>
      <c r="N128" s="15" t="n">
        <f aca="false">M128*(1+IF(N$3&lt;=$O$2,$D128,$D128-($D128-$I$103)*MIN(N$3-$O$2,$Q$2)/$Q$2))</f>
        <v>1580.13317673914</v>
      </c>
      <c r="O128" s="15" t="n">
        <f aca="false">SUMPRODUCT(E128:N128,1/(1+$F$103)^$E$3:$N$3)*$E$2</f>
        <v>4423.3780310759</v>
      </c>
      <c r="P128" s="15" t="n">
        <f aca="false">N128*$E$2*(1+$I$103)/($F$103-$I$103)/(1+$F$103)^$N$3</f>
        <v>12139.3219887146</v>
      </c>
      <c r="Q128" s="15" t="n">
        <f aca="false">O128+P128</f>
        <v>16562.7000197905</v>
      </c>
      <c r="R128" s="15" t="n">
        <f aca="false">Q128-$G$2+$I$2</f>
        <v>15010.0000197905</v>
      </c>
      <c r="S128" s="40" t="n">
        <f aca="false">R128/$K$2</f>
        <v>54.5045209331875</v>
      </c>
      <c r="T128" s="41" t="n">
        <f aca="false">S128-$M$2</f>
        <v>7.18635675411861E-008</v>
      </c>
    </row>
    <row r="130" customFormat="false" ht="15" hidden="false" customHeight="false" outlineLevel="0" collapsed="false">
      <c r="A130" s="36" t="s">
        <v>179</v>
      </c>
      <c r="E130" s="5" t="s">
        <v>11</v>
      </c>
      <c r="F130" s="12" t="n">
        <f aca="false">Sensitivity!$B$10</f>
        <v>0.0535093056415221</v>
      </c>
      <c r="G130" s="5" t="s">
        <v>12</v>
      </c>
      <c r="I130" s="12" t="n">
        <f aca="false">Sensitivity!$F$9</f>
        <v>0.03</v>
      </c>
    </row>
    <row r="131" customFormat="false" ht="23.85" hidden="false" customHeight="false" outlineLevel="0" collapsed="false">
      <c r="A131" s="36" t="s">
        <v>156</v>
      </c>
      <c r="B131" s="28" t="s">
        <v>157</v>
      </c>
      <c r="C131" s="28" t="s">
        <v>158</v>
      </c>
      <c r="D131" s="28" t="s">
        <v>159</v>
      </c>
      <c r="E131" s="28" t="s">
        <v>160</v>
      </c>
      <c r="F131" s="28" t="s">
        <v>161</v>
      </c>
      <c r="G131" s="28" t="s">
        <v>162</v>
      </c>
      <c r="H131" s="28" t="s">
        <v>163</v>
      </c>
      <c r="I131" s="28" t="s">
        <v>164</v>
      </c>
      <c r="J131" s="28" t="s">
        <v>165</v>
      </c>
      <c r="K131" s="28" t="s">
        <v>166</v>
      </c>
      <c r="L131" s="28" t="s">
        <v>167</v>
      </c>
      <c r="M131" s="28" t="s">
        <v>168</v>
      </c>
      <c r="N131" s="28" t="s">
        <v>169</v>
      </c>
      <c r="O131" s="28" t="s">
        <v>170</v>
      </c>
      <c r="P131" s="28" t="s">
        <v>171</v>
      </c>
      <c r="Q131" s="28" t="s">
        <v>172</v>
      </c>
      <c r="R131" s="28" t="s">
        <v>173</v>
      </c>
      <c r="S131" s="28" t="s">
        <v>174</v>
      </c>
      <c r="T131" s="28" t="s">
        <v>175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39" t="n">
        <f aca="false">(B132+C132)/2</f>
        <v>0.25</v>
      </c>
      <c r="E132" s="15" t="n">
        <f aca="false">$C$2*(1+IF(E$3&lt;=$O$2,$D132,$D132-($D132-$I$130)*MIN(E$3-$O$2,$Q$2)/$Q$2))</f>
        <v>2312.5</v>
      </c>
      <c r="F132" s="15" t="n">
        <f aca="false">E132*(1+IF(F$3&lt;=$O$2,$D132,$D132-($D132-$I$130)*MIN(F$3-$O$2,$Q$2)/$Q$2))</f>
        <v>2890.625</v>
      </c>
      <c r="G132" s="15" t="n">
        <f aca="false">F132*(1+IF(G$3&lt;=$O$2,$D132,$D132-($D132-$I$130)*MIN(G$3-$O$2,$Q$2)/$Q$2))</f>
        <v>3613.28125</v>
      </c>
      <c r="H132" s="15" t="n">
        <f aca="false">G132*(1+IF(H$3&lt;=$O$2,$D132,$D132-($D132-$I$130)*MIN(H$3-$O$2,$Q$2)/$Q$2))</f>
        <v>4516.6015625</v>
      </c>
      <c r="I132" s="15" t="n">
        <f aca="false">H132*(1+IF(I$3&lt;=$O$2,$D132,$D132-($D132-$I$130)*MIN(I$3-$O$2,$Q$2)/$Q$2))</f>
        <v>5645.751953125</v>
      </c>
      <c r="J132" s="15" t="n">
        <f aca="false">I132*(1+IF(J$3&lt;=$O$2,$D132,$D132-($D132-$I$130)*MIN(J$3-$O$2,$Q$2)/$Q$2))</f>
        <v>6808.77685546875</v>
      </c>
      <c r="K132" s="15" t="n">
        <f aca="false">J132*(1+IF(K$3&lt;=$O$2,$D132,$D132-($D132-$I$130)*MIN(K$3-$O$2,$Q$2)/$Q$2))</f>
        <v>7911.79870605469</v>
      </c>
      <c r="L132" s="15" t="n">
        <f aca="false">K132*(1+IF(L$3&lt;=$O$2,$D132,$D132-($D132-$I$130)*MIN(L$3-$O$2,$Q$2)/$Q$2))</f>
        <v>8845.39095336914</v>
      </c>
      <c r="M132" s="15" t="n">
        <f aca="false">L132*(1+IF(M$3&lt;=$O$2,$D132,$D132-($D132-$I$130)*MIN(M$3-$O$2,$Q$2)/$Q$2))</f>
        <v>9499.94988391846</v>
      </c>
      <c r="N132" s="15" t="n">
        <f aca="false">M132*(1+IF(N$3&lt;=$O$2,$D132,$D132-($D132-$I$130)*MIN(N$3-$O$2,$Q$2)/$Q$2))</f>
        <v>9784.94838043601</v>
      </c>
      <c r="O132" s="15" t="n">
        <f aca="false">SUMPRODUCT(E132:N132,1/(1+$F$130)^$E$3:$N$3)*$E$2</f>
        <v>15820.4884363026</v>
      </c>
      <c r="P132" s="15" t="n">
        <f aca="false">N132*$E$2*(1+$I$130)/($F$130-$I$130)/(1+$F$130)^$N$3</f>
        <v>91605.0624850619</v>
      </c>
      <c r="Q132" s="15" t="n">
        <f aca="false">O132+P132</f>
        <v>107425.550921365</v>
      </c>
      <c r="R132" s="15" t="n">
        <f aca="false">Q132-$G$2+$I$2</f>
        <v>105872.850921365</v>
      </c>
      <c r="S132" s="40" t="n">
        <f aca="false">R132/$K$2</f>
        <v>384.446969466446</v>
      </c>
      <c r="T132" s="41" t="n">
        <f aca="false">S132-$M$2</f>
        <v>329.942448605122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39" t="n">
        <f aca="false">(B133+C133)/2</f>
        <v>-0.125</v>
      </c>
      <c r="E133" s="15" t="n">
        <f aca="false">$C$2*(1+IF(E$3&lt;=$O$2,$D133,$D133-($D133-$I$130)*MIN(E$3-$O$2,$Q$2)/$Q$2))</f>
        <v>1618.75</v>
      </c>
      <c r="F133" s="15" t="n">
        <f aca="false">E133*(1+IF(F$3&lt;=$O$2,$D133,$D133-($D133-$I$130)*MIN(F$3-$O$2,$Q$2)/$Q$2))</f>
        <v>1416.40625</v>
      </c>
      <c r="G133" s="15" t="n">
        <f aca="false">F133*(1+IF(G$3&lt;=$O$2,$D133,$D133-($D133-$I$130)*MIN(G$3-$O$2,$Q$2)/$Q$2))</f>
        <v>1239.35546875</v>
      </c>
      <c r="H133" s="15" t="n">
        <f aca="false">G133*(1+IF(H$3&lt;=$O$2,$D133,$D133-($D133-$I$130)*MIN(H$3-$O$2,$Q$2)/$Q$2))</f>
        <v>1084.43603515625</v>
      </c>
      <c r="I133" s="15" t="n">
        <f aca="false">H133*(1+IF(I$3&lt;=$O$2,$D133,$D133-($D133-$I$130)*MIN(I$3-$O$2,$Q$2)/$Q$2))</f>
        <v>948.881530761719</v>
      </c>
      <c r="J133" s="15" t="n">
        <f aca="false">I133*(1+IF(J$3&lt;=$O$2,$D133,$D133-($D133-$I$130)*MIN(J$3-$O$2,$Q$2)/$Q$2))</f>
        <v>859.686666870117</v>
      </c>
      <c r="K133" s="15" t="n">
        <f aca="false">J133*(1+IF(K$3&lt;=$O$2,$D133,$D133-($D133-$I$130)*MIN(K$3-$O$2,$Q$2)/$Q$2))</f>
        <v>805.5264068573</v>
      </c>
      <c r="L133" s="15" t="n">
        <f aca="false">K133*(1+IF(L$3&lt;=$O$2,$D133,$D133-($D133-$I$130)*MIN(L$3-$O$2,$Q$2)/$Q$2))</f>
        <v>779.749561837866</v>
      </c>
      <c r="M133" s="15" t="n">
        <f aca="false">L133*(1+IF(M$3&lt;=$O$2,$D133,$D133-($D133-$I$130)*MIN(M$3-$O$2,$Q$2)/$Q$2))</f>
        <v>778.969812276028</v>
      </c>
      <c r="N133" s="15" t="n">
        <f aca="false">M133*(1+IF(N$3&lt;=$O$2,$D133,$D133-($D133-$I$130)*MIN(N$3-$O$2,$Q$2)/$Q$2))</f>
        <v>802.338906644309</v>
      </c>
      <c r="O133" s="15" t="n">
        <f aca="false">SUMPRODUCT(E133:N133,1/(1+$F$130)^$E$3:$N$3)*$E$2</f>
        <v>2932.86372807487</v>
      </c>
      <c r="P133" s="15" t="n">
        <f aca="false">N133*$E$2*(1+$I$130)/($F$130-$I$130)/(1+$F$130)^$N$3</f>
        <v>7511.36365975117</v>
      </c>
      <c r="Q133" s="15" t="n">
        <f aca="false">O133+P133</f>
        <v>10444.227387826</v>
      </c>
      <c r="R133" s="15" t="n">
        <f aca="false">Q133-$G$2+$I$2</f>
        <v>8891.52738782605</v>
      </c>
      <c r="S133" s="40" t="n">
        <f aca="false">R133/$K$2</f>
        <v>32.2870379746035</v>
      </c>
      <c r="T133" s="41" t="n">
        <f aca="false">S133-$M$2</f>
        <v>-22.2174828867205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39" t="n">
        <f aca="false">(B134+C134)/2</f>
        <v>0.0625</v>
      </c>
      <c r="E134" s="15" t="n">
        <f aca="false">$C$2*(1+IF(E$3&lt;=$O$2,$D134,$D134-($D134-$I$130)*MIN(E$3-$O$2,$Q$2)/$Q$2))</f>
        <v>1965.625</v>
      </c>
      <c r="F134" s="15" t="n">
        <f aca="false">E134*(1+IF(F$3&lt;=$O$2,$D134,$D134-($D134-$I$130)*MIN(F$3-$O$2,$Q$2)/$Q$2))</f>
        <v>2088.4765625</v>
      </c>
      <c r="G134" s="15" t="n">
        <f aca="false">F134*(1+IF(G$3&lt;=$O$2,$D134,$D134-($D134-$I$130)*MIN(G$3-$O$2,$Q$2)/$Q$2))</f>
        <v>2219.00634765625</v>
      </c>
      <c r="H134" s="15" t="n">
        <f aca="false">G134*(1+IF(H$3&lt;=$O$2,$D134,$D134-($D134-$I$130)*MIN(H$3-$O$2,$Q$2)/$Q$2))</f>
        <v>2357.69424438477</v>
      </c>
      <c r="I134" s="15" t="n">
        <f aca="false">H134*(1+IF(I$3&lt;=$O$2,$D134,$D134-($D134-$I$130)*MIN(I$3-$O$2,$Q$2)/$Q$2))</f>
        <v>2505.05013465881</v>
      </c>
      <c r="J134" s="15" t="n">
        <f aca="false">I134*(1+IF(J$3&lt;=$O$2,$D134,$D134-($D134-$I$130)*MIN(J$3-$O$2,$Q$2)/$Q$2))</f>
        <v>2645.33294219971</v>
      </c>
      <c r="K134" s="15" t="n">
        <f aca="false">J134*(1+IF(K$3&lt;=$O$2,$D134,$D134-($D134-$I$130)*MIN(K$3-$O$2,$Q$2)/$Q$2))</f>
        <v>2776.27692283859</v>
      </c>
      <c r="L134" s="15" t="n">
        <f aca="false">K134*(1+IF(L$3&lt;=$O$2,$D134,$D134-($D134-$I$130)*MIN(L$3-$O$2,$Q$2)/$Q$2))</f>
        <v>2895.65683052065</v>
      </c>
      <c r="M134" s="15" t="n">
        <f aca="false">L134*(1+IF(M$3&lt;=$O$2,$D134,$D134-($D134-$I$130)*MIN(M$3-$O$2,$Q$2)/$Q$2))</f>
        <v>3001.34830483466</v>
      </c>
      <c r="N134" s="15" t="n">
        <f aca="false">M134*(1+IF(N$3&lt;=$O$2,$D134,$D134-($D134-$I$130)*MIN(N$3-$O$2,$Q$2)/$Q$2))</f>
        <v>3091.3887539797</v>
      </c>
      <c r="O134" s="15" t="n">
        <f aca="false">SUMPRODUCT(E134:N134,1/(1+$F$130)^$E$3:$N$3)*$E$2</f>
        <v>6827.90788196815</v>
      </c>
      <c r="P134" s="15" t="n">
        <f aca="false">N134*$E$2*(1+$I$130)/($F$130-$I$130)/(1+$F$130)^$N$3</f>
        <v>28941.0683596584</v>
      </c>
      <c r="Q134" s="15" t="n">
        <f aca="false">O134+P134</f>
        <v>35768.9762416266</v>
      </c>
      <c r="R134" s="15" t="n">
        <f aca="false">Q134-$G$2+$I$2</f>
        <v>34216.2762416266</v>
      </c>
      <c r="S134" s="40" t="n">
        <f aca="false">R134/$K$2</f>
        <v>124.246618401636</v>
      </c>
      <c r="T134" s="41" t="n">
        <f aca="false">S134-$M$2</f>
        <v>69.7420975403122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39" t="n">
        <f aca="false">(B135+C135)/2</f>
        <v>-0.03125</v>
      </c>
      <c r="E135" s="15" t="n">
        <f aca="false">$C$2*(1+IF(E$3&lt;=$O$2,$D135,$D135-($D135-$I$130)*MIN(E$3-$O$2,$Q$2)/$Q$2))</f>
        <v>1792.1875</v>
      </c>
      <c r="F135" s="15" t="n">
        <f aca="false">E135*(1+IF(F$3&lt;=$O$2,$D135,$D135-($D135-$I$130)*MIN(F$3-$O$2,$Q$2)/$Q$2))</f>
        <v>1736.181640625</v>
      </c>
      <c r="G135" s="15" t="n">
        <f aca="false">F135*(1+IF(G$3&lt;=$O$2,$D135,$D135-($D135-$I$130)*MIN(G$3-$O$2,$Q$2)/$Q$2))</f>
        <v>1681.92596435547</v>
      </c>
      <c r="H135" s="15" t="n">
        <f aca="false">G135*(1+IF(H$3&lt;=$O$2,$D135,$D135-($D135-$I$130)*MIN(H$3-$O$2,$Q$2)/$Q$2))</f>
        <v>1629.36577796936</v>
      </c>
      <c r="I135" s="15" t="n">
        <f aca="false">H135*(1+IF(I$3&lt;=$O$2,$D135,$D135-($D135-$I$130)*MIN(I$3-$O$2,$Q$2)/$Q$2))</f>
        <v>1578.44809740782</v>
      </c>
      <c r="J135" s="15" t="n">
        <f aca="false">I135*(1+IF(J$3&lt;=$O$2,$D135,$D135-($D135-$I$130)*MIN(J$3-$O$2,$Q$2)/$Q$2))</f>
        <v>1548.45758355707</v>
      </c>
      <c r="K135" s="15" t="n">
        <f aca="false">J135*(1+IF(K$3&lt;=$O$2,$D135,$D135-($D135-$I$130)*MIN(K$3-$O$2,$Q$2)/$Q$2))</f>
        <v>1538.00549486806</v>
      </c>
      <c r="L135" s="15" t="n">
        <f aca="false">K135*(1+IF(L$3&lt;=$O$2,$D135,$D135-($D135-$I$130)*MIN(L$3-$O$2,$Q$2)/$Q$2))</f>
        <v>1546.46452508983</v>
      </c>
      <c r="M135" s="15" t="n">
        <f aca="false">L135*(1+IF(M$3&lt;=$O$2,$D135,$D135-($D135-$I$130)*MIN(M$3-$O$2,$Q$2)/$Q$2))</f>
        <v>1573.91427041018</v>
      </c>
      <c r="N135" s="15" t="n">
        <f aca="false">M135*(1+IF(N$3&lt;=$O$2,$D135,$D135-($D135-$I$130)*MIN(N$3-$O$2,$Q$2)/$Q$2))</f>
        <v>1621.13169852248</v>
      </c>
      <c r="O135" s="15" t="n">
        <f aca="false">SUMPRODUCT(E135:N135,1/(1+$F$130)^$E$3:$N$3)*$E$2</f>
        <v>4465.83633966253</v>
      </c>
      <c r="P135" s="15" t="n">
        <f aca="false">N135*$E$2*(1+$I$130)/($F$130-$I$130)/(1+$F$130)^$N$3</f>
        <v>15176.765861799</v>
      </c>
      <c r="Q135" s="15" t="n">
        <f aca="false">O135+P135</f>
        <v>19642.6022014615</v>
      </c>
      <c r="R135" s="15" t="n">
        <f aca="false">Q135-$G$2+$I$2</f>
        <v>18089.9022014615</v>
      </c>
      <c r="S135" s="40" t="n">
        <f aca="false">R135/$K$2</f>
        <v>65.6883045915303</v>
      </c>
      <c r="T135" s="41" t="n">
        <f aca="false">S135-$M$2</f>
        <v>11.1837837302063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-0.125</v>
      </c>
      <c r="C136" s="25" t="n">
        <f aca="false">IF(T135&gt;0,D135,C135)</f>
        <v>-0.03125</v>
      </c>
      <c r="D136" s="39" t="n">
        <f aca="false">(B136+C136)/2</f>
        <v>-0.078125</v>
      </c>
      <c r="E136" s="15" t="n">
        <f aca="false">$C$2*(1+IF(E$3&lt;=$O$2,$D136,$D136-($D136-$I$130)*MIN(E$3-$O$2,$Q$2)/$Q$2))</f>
        <v>1705.46875</v>
      </c>
      <c r="F136" s="15" t="n">
        <f aca="false">E136*(1+IF(F$3&lt;=$O$2,$D136,$D136-($D136-$I$130)*MIN(F$3-$O$2,$Q$2)/$Q$2))</f>
        <v>1572.22900390625</v>
      </c>
      <c r="G136" s="15" t="n">
        <f aca="false">F136*(1+IF(G$3&lt;=$O$2,$D136,$D136-($D136-$I$130)*MIN(G$3-$O$2,$Q$2)/$Q$2))</f>
        <v>1449.39861297607</v>
      </c>
      <c r="H136" s="15" t="n">
        <f aca="false">G136*(1+IF(H$3&lt;=$O$2,$D136,$D136-($D136-$I$130)*MIN(H$3-$O$2,$Q$2)/$Q$2))</f>
        <v>1336.16434633732</v>
      </c>
      <c r="I136" s="15" t="n">
        <f aca="false">H136*(1+IF(I$3&lt;=$O$2,$D136,$D136-($D136-$I$130)*MIN(I$3-$O$2,$Q$2)/$Q$2))</f>
        <v>1231.77650677972</v>
      </c>
      <c r="J136" s="15" t="n">
        <f aca="false">I136*(1+IF(J$3&lt;=$O$2,$D136,$D136-($D136-$I$130)*MIN(J$3-$O$2,$Q$2)/$Q$2))</f>
        <v>1162.18113414666</v>
      </c>
      <c r="K136" s="15" t="n">
        <f aca="false">J136*(1+IF(K$3&lt;=$O$2,$D136,$D136-($D136-$I$130)*MIN(K$3-$O$2,$Q$2)/$Q$2))</f>
        <v>1121.6500670933</v>
      </c>
      <c r="L136" s="15" t="n">
        <f aca="false">K136*(1+IF(L$3&lt;=$O$2,$D136,$D136-($D136-$I$130)*MIN(L$3-$O$2,$Q$2)/$Q$2))</f>
        <v>1106.78820370431</v>
      </c>
      <c r="M136" s="15" t="n">
        <f aca="false">L136*(1+IF(M$3&lt;=$O$2,$D136,$D136-($D136-$I$130)*MIN(M$3-$O$2,$Q$2)/$Q$2))</f>
        <v>1116.05755491033</v>
      </c>
      <c r="N136" s="15" t="n">
        <f aca="false">M136*(1+IF(N$3&lt;=$O$2,$D136,$D136-($D136-$I$130)*MIN(N$3-$O$2,$Q$2)/$Q$2))</f>
        <v>1149.53928155764</v>
      </c>
      <c r="O136" s="15" t="n">
        <f aca="false">SUMPRODUCT(E136:N136,1/(1+$F$130)^$E$3:$N$3)*$E$2</f>
        <v>3615.8833383571</v>
      </c>
      <c r="P136" s="15" t="n">
        <f aca="false">N136*$E$2*(1+$I$130)/($F$130-$I$130)/(1+$F$130)^$N$3</f>
        <v>10761.795936161</v>
      </c>
      <c r="Q136" s="15" t="n">
        <f aca="false">O136+P136</f>
        <v>14377.6792745181</v>
      </c>
      <c r="R136" s="15" t="n">
        <f aca="false">Q136-$G$2+$I$2</f>
        <v>12824.9792745181</v>
      </c>
      <c r="S136" s="40" t="n">
        <f aca="false">R136/$K$2</f>
        <v>46.570243198802</v>
      </c>
      <c r="T136" s="41" t="n">
        <f aca="false">S136-$M$2</f>
        <v>-7.93427766252199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-0.078125</v>
      </c>
      <c r="C137" s="25" t="n">
        <f aca="false">IF(T136&gt;0,D136,C136)</f>
        <v>-0.03125</v>
      </c>
      <c r="D137" s="39" t="n">
        <f aca="false">(B137+C137)/2</f>
        <v>-0.0546875</v>
      </c>
      <c r="E137" s="15" t="n">
        <f aca="false">$C$2*(1+IF(E$3&lt;=$O$2,$D137,$D137-($D137-$I$130)*MIN(E$3-$O$2,$Q$2)/$Q$2))</f>
        <v>1748.828125</v>
      </c>
      <c r="F137" s="15" t="n">
        <f aca="false">E137*(1+IF(F$3&lt;=$O$2,$D137,$D137-($D137-$I$130)*MIN(F$3-$O$2,$Q$2)/$Q$2))</f>
        <v>1653.18908691406</v>
      </c>
      <c r="G137" s="15" t="n">
        <f aca="false">F137*(1+IF(G$3&lt;=$O$2,$D137,$D137-($D137-$I$130)*MIN(G$3-$O$2,$Q$2)/$Q$2))</f>
        <v>1562.78030872345</v>
      </c>
      <c r="H137" s="15" t="n">
        <f aca="false">G137*(1+IF(H$3&lt;=$O$2,$D137,$D137-($D137-$I$130)*MIN(H$3-$O$2,$Q$2)/$Q$2))</f>
        <v>1477.31576059014</v>
      </c>
      <c r="I137" s="15" t="n">
        <f aca="false">H137*(1+IF(I$3&lt;=$O$2,$D137,$D137-($D137-$I$130)*MIN(I$3-$O$2,$Q$2)/$Q$2))</f>
        <v>1396.52505493286</v>
      </c>
      <c r="J137" s="15" t="n">
        <f aca="false">I137*(1+IF(J$3&lt;=$O$2,$D137,$D137-($D137-$I$130)*MIN(J$3-$O$2,$Q$2)/$Q$2))</f>
        <v>1343.80623410915</v>
      </c>
      <c r="K137" s="15" t="n">
        <f aca="false">J137*(1+IF(K$3&lt;=$O$2,$D137,$D137-($D137-$I$130)*MIN(K$3-$O$2,$Q$2)/$Q$2))</f>
        <v>1315.83826686175</v>
      </c>
      <c r="L137" s="15" t="n">
        <f aca="false">K137*(1+IF(L$3&lt;=$O$2,$D137,$D137-($D137-$I$130)*MIN(L$3-$O$2,$Q$2)/$Q$2))</f>
        <v>1310.73939357766</v>
      </c>
      <c r="M137" s="15" t="n">
        <f aca="false">L137*(1+IF(M$3&lt;=$O$2,$D137,$D137-($D137-$I$130)*MIN(M$3-$O$2,$Q$2)/$Q$2))</f>
        <v>1327.86092690627</v>
      </c>
      <c r="N137" s="15" t="n">
        <f aca="false">M137*(1+IF(N$3&lt;=$O$2,$D137,$D137-($D137-$I$130)*MIN(N$3-$O$2,$Q$2)/$Q$2))</f>
        <v>1367.69675471346</v>
      </c>
      <c r="O137" s="15" t="n">
        <f aca="false">SUMPRODUCT(E137:N137,1/(1+$F$130)^$E$3:$N$3)*$E$2</f>
        <v>4017.75248972453</v>
      </c>
      <c r="P137" s="15" t="n">
        <f aca="false">N137*$E$2*(1+$I$130)/($F$130-$I$130)/(1+$F$130)^$N$3</f>
        <v>12804.1499867943</v>
      </c>
      <c r="Q137" s="15" t="n">
        <f aca="false">O137+P137</f>
        <v>16821.9024765188</v>
      </c>
      <c r="R137" s="15" t="n">
        <f aca="false">Q137-$G$2+$I$2</f>
        <v>15269.2024765188</v>
      </c>
      <c r="S137" s="40" t="n">
        <f aca="false">R137/$K$2</f>
        <v>55.4457405008128</v>
      </c>
      <c r="T137" s="41" t="n">
        <f aca="false">S137-$M$2</f>
        <v>0.941219639488821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-0.078125</v>
      </c>
      <c r="C138" s="25" t="n">
        <f aca="false">IF(T137&gt;0,D137,C137)</f>
        <v>-0.0546875</v>
      </c>
      <c r="D138" s="39" t="n">
        <f aca="false">(B138+C138)/2</f>
        <v>-0.06640625</v>
      </c>
      <c r="E138" s="15" t="n">
        <f aca="false">$C$2*(1+IF(E$3&lt;=$O$2,$D138,$D138-($D138-$I$130)*MIN(E$3-$O$2,$Q$2)/$Q$2))</f>
        <v>1727.1484375</v>
      </c>
      <c r="F138" s="15" t="n">
        <f aca="false">E138*(1+IF(F$3&lt;=$O$2,$D138,$D138-($D138-$I$130)*MIN(F$3-$O$2,$Q$2)/$Q$2))</f>
        <v>1612.45498657227</v>
      </c>
      <c r="G138" s="15" t="n">
        <f aca="false">F138*(1+IF(G$3&lt;=$O$2,$D138,$D138-($D138-$I$130)*MIN(G$3-$O$2,$Q$2)/$Q$2))</f>
        <v>1505.3778976202</v>
      </c>
      <c r="H138" s="15" t="n">
        <f aca="false">G138*(1+IF(H$3&lt;=$O$2,$D138,$D138-($D138-$I$130)*MIN(H$3-$O$2,$Q$2)/$Q$2))</f>
        <v>1405.41139660636</v>
      </c>
      <c r="I138" s="15" t="n">
        <f aca="false">H138*(1+IF(I$3&lt;=$O$2,$D138,$D138-($D138-$I$130)*MIN(I$3-$O$2,$Q$2)/$Q$2))</f>
        <v>1312.08329605047</v>
      </c>
      <c r="J138" s="15" t="n">
        <f aca="false">I138*(1+IF(J$3&lt;=$O$2,$D138,$D138-($D138-$I$130)*MIN(J$3-$O$2,$Q$2)/$Q$2))</f>
        <v>1250.25137072409</v>
      </c>
      <c r="K138" s="15" t="n">
        <f aca="false">J138*(1+IF(K$3&lt;=$O$2,$D138,$D138-($D138-$I$130)*MIN(K$3-$O$2,$Q$2)/$Q$2))</f>
        <v>1215.43968412049</v>
      </c>
      <c r="L138" s="15" t="n">
        <f aca="false">K138*(1+IF(L$3&lt;=$O$2,$D138,$D138-($D138-$I$130)*MIN(L$3-$O$2,$Q$2)/$Q$2))</f>
        <v>1205.03248182521</v>
      </c>
      <c r="M138" s="15" t="n">
        <f aca="false">L138*(1+IF(M$3&lt;=$O$2,$D138,$D138-($D138-$I$130)*MIN(M$3-$O$2,$Q$2)/$Q$2))</f>
        <v>1217.94892373977</v>
      </c>
      <c r="N138" s="15" t="n">
        <f aca="false">M138*(1+IF(N$3&lt;=$O$2,$D138,$D138-($D138-$I$130)*MIN(N$3-$O$2,$Q$2)/$Q$2))</f>
        <v>1254.48739145197</v>
      </c>
      <c r="O138" s="15" t="n">
        <f aca="false">SUMPRODUCT(E138:N138,1/(1+$F$130)^$E$3:$N$3)*$E$2</f>
        <v>3811.3372815305</v>
      </c>
      <c r="P138" s="15" t="n">
        <f aca="false">N138*$E$2*(1+$I$130)/($F$130-$I$130)/(1+$F$130)^$N$3</f>
        <v>11744.3027201293</v>
      </c>
      <c r="Q138" s="15" t="n">
        <f aca="false">O138+P138</f>
        <v>15555.6400016598</v>
      </c>
      <c r="R138" s="15" t="n">
        <f aca="false">Q138-$G$2+$I$2</f>
        <v>14002.9400016598</v>
      </c>
      <c r="S138" s="40" t="n">
        <f aca="false">R138/$K$2</f>
        <v>50.8476705823009</v>
      </c>
      <c r="T138" s="41" t="n">
        <f aca="false">S138-$M$2</f>
        <v>-3.65685027902309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-0.06640625</v>
      </c>
      <c r="C139" s="25" t="n">
        <f aca="false">IF(T138&gt;0,D138,C138)</f>
        <v>-0.0546875</v>
      </c>
      <c r="D139" s="39" t="n">
        <f aca="false">(B139+C139)/2</f>
        <v>-0.060546875</v>
      </c>
      <c r="E139" s="15" t="n">
        <f aca="false">$C$2*(1+IF(E$3&lt;=$O$2,$D139,$D139-($D139-$I$130)*MIN(E$3-$O$2,$Q$2)/$Q$2))</f>
        <v>1737.98828125</v>
      </c>
      <c r="F139" s="15" t="n">
        <f aca="false">E139*(1+IF(F$3&lt;=$O$2,$D139,$D139-($D139-$I$130)*MIN(F$3-$O$2,$Q$2)/$Q$2))</f>
        <v>1632.75852203369</v>
      </c>
      <c r="G139" s="15" t="n">
        <f aca="false">F139*(1+IF(G$3&lt;=$O$2,$D139,$D139-($D139-$I$130)*MIN(G$3-$O$2,$Q$2)/$Q$2))</f>
        <v>1533.90009589493</v>
      </c>
      <c r="H139" s="15" t="n">
        <f aca="false">G139*(1+IF(H$3&lt;=$O$2,$D139,$D139-($D139-$I$130)*MIN(H$3-$O$2,$Q$2)/$Q$2))</f>
        <v>1441.02723852629</v>
      </c>
      <c r="I139" s="15" t="n">
        <f aca="false">H139*(1+IF(I$3&lt;=$O$2,$D139,$D139-($D139-$I$130)*MIN(I$3-$O$2,$Q$2)/$Q$2))</f>
        <v>1353.77754244365</v>
      </c>
      <c r="J139" s="15" t="n">
        <f aca="false">I139*(1+IF(J$3&lt;=$O$2,$D139,$D139-($D139-$I$130)*MIN(J$3-$O$2,$Q$2)/$Q$2))</f>
        <v>1296.3266079862</v>
      </c>
      <c r="K139" s="15" t="n">
        <f aca="false">J139*(1+IF(K$3&lt;=$O$2,$D139,$D139-($D139-$I$130)*MIN(K$3-$O$2,$Q$2)/$Q$2))</f>
        <v>1264.78941222628</v>
      </c>
      <c r="L139" s="15" t="n">
        <f aca="false">K139*(1+IF(L$3&lt;=$O$2,$D139,$D139-($D139-$I$130)*MIN(L$3-$O$2,$Q$2)/$Q$2))</f>
        <v>1256.924003069</v>
      </c>
      <c r="M139" s="15" t="n">
        <f aca="false">L139*(1+IF(M$3&lt;=$O$2,$D139,$D139-($D139-$I$130)*MIN(M$3-$O$2,$Q$2)/$Q$2))</f>
        <v>1271.86961504299</v>
      </c>
      <c r="N139" s="15" t="n">
        <f aca="false">M139*(1+IF(N$3&lt;=$O$2,$D139,$D139-($D139-$I$130)*MIN(N$3-$O$2,$Q$2)/$Q$2))</f>
        <v>1310.02570349428</v>
      </c>
      <c r="O139" s="15" t="n">
        <f aca="false">SUMPRODUCT(E139:N139,1/(1+$F$130)^$E$3:$N$3)*$E$2</f>
        <v>3913.13875157679</v>
      </c>
      <c r="P139" s="15" t="n">
        <f aca="false">N139*$E$2*(1+$I$130)/($F$130-$I$130)/(1+$F$130)^$N$3</f>
        <v>12264.2431783869</v>
      </c>
      <c r="Q139" s="15" t="n">
        <f aca="false">O139+P139</f>
        <v>16177.3819299637</v>
      </c>
      <c r="R139" s="15" t="n">
        <f aca="false">Q139-$G$2+$I$2</f>
        <v>14624.6819299637</v>
      </c>
      <c r="S139" s="40" t="n">
        <f aca="false">R139/$K$2</f>
        <v>53.1053485237799</v>
      </c>
      <c r="T139" s="41" t="n">
        <f aca="false">S139-$M$2</f>
        <v>-1.39917233754408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-0.060546875</v>
      </c>
      <c r="C140" s="25" t="n">
        <f aca="false">IF(T139&gt;0,D139,C139)</f>
        <v>-0.0546875</v>
      </c>
      <c r="D140" s="39" t="n">
        <f aca="false">(B140+C140)/2</f>
        <v>-0.0576171875</v>
      </c>
      <c r="E140" s="15" t="n">
        <f aca="false">$C$2*(1+IF(E$3&lt;=$O$2,$D140,$D140-($D140-$I$130)*MIN(E$3-$O$2,$Q$2)/$Q$2))</f>
        <v>1743.408203125</v>
      </c>
      <c r="F140" s="15" t="n">
        <f aca="false">E140*(1+IF(F$3&lt;=$O$2,$D140,$D140-($D140-$I$130)*MIN(F$3-$O$2,$Q$2)/$Q$2))</f>
        <v>1642.95792579651</v>
      </c>
      <c r="G140" s="15" t="n">
        <f aca="false">F140*(1+IF(G$3&lt;=$O$2,$D140,$D140-($D140-$I$130)*MIN(G$3-$O$2,$Q$2)/$Q$2))</f>
        <v>1548.29531093128</v>
      </c>
      <c r="H140" s="15" t="n">
        <f aca="false">G140*(1+IF(H$3&lt;=$O$2,$D140,$D140-($D140-$I$130)*MIN(H$3-$O$2,$Q$2)/$Q$2))</f>
        <v>1459.08688969598</v>
      </c>
      <c r="I140" s="15" t="n">
        <f aca="false">H140*(1+IF(I$3&lt;=$O$2,$D140,$D140-($D140-$I$130)*MIN(I$3-$O$2,$Q$2)/$Q$2))</f>
        <v>1375.01840679358</v>
      </c>
      <c r="J140" s="15" t="n">
        <f aca="false">I140*(1+IF(J$3&lt;=$O$2,$D140,$D140-($D140-$I$130)*MIN(J$3-$O$2,$Q$2)/$Q$2))</f>
        <v>1319.8887625462</v>
      </c>
      <c r="K140" s="15" t="n">
        <f aca="false">J140*(1+IF(K$3&lt;=$O$2,$D140,$D140-($D140-$I$130)*MIN(K$3-$O$2,$Q$2)/$Q$2))</f>
        <v>1290.09846071029</v>
      </c>
      <c r="L140" s="15" t="n">
        <f aca="false">K140*(1+IF(L$3&lt;=$O$2,$D140,$D140-($D140-$I$130)*MIN(L$3-$O$2,$Q$2)/$Q$2))</f>
        <v>1283.58749504139</v>
      </c>
      <c r="M140" s="15" t="n">
        <f aca="false">L140*(1+IF(M$3&lt;=$O$2,$D140,$D140-($D140-$I$130)*MIN(M$3-$O$2,$Q$2)/$Q$2))</f>
        <v>1299.6022546475</v>
      </c>
      <c r="N140" s="15" t="n">
        <f aca="false">M140*(1+IF(N$3&lt;=$O$2,$D140,$D140-($D140-$I$130)*MIN(N$3-$O$2,$Q$2)/$Q$2))</f>
        <v>1338.59032228692</v>
      </c>
      <c r="O140" s="15" t="n">
        <f aca="false">SUMPRODUCT(E140:N140,1/(1+$F$130)^$E$3:$N$3)*$E$2</f>
        <v>3965.08949985233</v>
      </c>
      <c r="P140" s="15" t="n">
        <f aca="false">N140*$E$2*(1+$I$130)/($F$130-$I$130)/(1+$F$130)^$N$3</f>
        <v>12531.6603979395</v>
      </c>
      <c r="Q140" s="15" t="n">
        <f aca="false">O140+P140</f>
        <v>16496.7498977919</v>
      </c>
      <c r="R140" s="15" t="n">
        <f aca="false">Q140-$G$2+$I$2</f>
        <v>14944.0498977919</v>
      </c>
      <c r="S140" s="40" t="n">
        <f aca="false">R140/$K$2</f>
        <v>54.2650419325025</v>
      </c>
      <c r="T140" s="41" t="n">
        <f aca="false">S140-$M$2</f>
        <v>-0.239478928821441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-0.0576171875</v>
      </c>
      <c r="C141" s="25" t="n">
        <f aca="false">IF(T140&gt;0,D140,C140)</f>
        <v>-0.0546875</v>
      </c>
      <c r="D141" s="39" t="n">
        <f aca="false">(B141+C141)/2</f>
        <v>-0.05615234375</v>
      </c>
      <c r="E141" s="15" t="n">
        <f aca="false">$C$2*(1+IF(E$3&lt;=$O$2,$D141,$D141-($D141-$I$130)*MIN(E$3-$O$2,$Q$2)/$Q$2))</f>
        <v>1746.1181640625</v>
      </c>
      <c r="F141" s="15" t="n">
        <f aca="false">E141*(1+IF(F$3&lt;=$O$2,$D141,$D141-($D141-$I$130)*MIN(F$3-$O$2,$Q$2)/$Q$2))</f>
        <v>1648.06953668594</v>
      </c>
      <c r="G141" s="15" t="n">
        <f aca="false">F141*(1+IF(G$3&lt;=$O$2,$D141,$D141-($D141-$I$130)*MIN(G$3-$O$2,$Q$2)/$Q$2))</f>
        <v>1555.52656953805</v>
      </c>
      <c r="H141" s="15" t="n">
        <f aca="false">G141*(1+IF(H$3&lt;=$O$2,$D141,$D141-($D141-$I$130)*MIN(H$3-$O$2,$Q$2)/$Q$2))</f>
        <v>1468.18010689309</v>
      </c>
      <c r="I141" s="15" t="n">
        <f aca="false">H141*(1+IF(I$3&lt;=$O$2,$D141,$D141-($D141-$I$130)*MIN(I$3-$O$2,$Q$2)/$Q$2))</f>
        <v>1385.73835284392</v>
      </c>
      <c r="J141" s="15" t="n">
        <f aca="false">I141*(1+IF(J$3&lt;=$O$2,$D141,$D141-($D141-$I$130)*MIN(J$3-$O$2,$Q$2)/$Q$2))</f>
        <v>1331.80281789182</v>
      </c>
      <c r="K141" s="15" t="n">
        <f aca="false">J141*(1+IF(K$3&lt;=$O$2,$D141,$D141-($D141-$I$130)*MIN(K$3-$O$2,$Q$2)/$Q$2))</f>
        <v>1302.91414192404</v>
      </c>
      <c r="L141" s="15" t="n">
        <f aca="false">K141*(1+IF(L$3&lt;=$O$2,$D141,$D141-($D141-$I$130)*MIN(L$3-$O$2,$Q$2)/$Q$2))</f>
        <v>1297.10192336905</v>
      </c>
      <c r="M141" s="15" t="n">
        <f aca="false">L141*(1+IF(M$3&lt;=$O$2,$D141,$D141-($D141-$I$130)*MIN(M$3-$O$2,$Q$2)/$Q$2))</f>
        <v>1313.66530691394</v>
      </c>
      <c r="N141" s="15" t="n">
        <f aca="false">M141*(1+IF(N$3&lt;=$O$2,$D141,$D141-($D141-$I$130)*MIN(N$3-$O$2,$Q$2)/$Q$2))</f>
        <v>1353.07526612136</v>
      </c>
      <c r="O141" s="15" t="n">
        <f aca="false">SUMPRODUCT(E141:N141,1/(1+$F$130)^$E$3:$N$3)*$E$2</f>
        <v>3991.33138545471</v>
      </c>
      <c r="P141" s="15" t="n">
        <f aca="false">N141*$E$2*(1+$I$130)/($F$130-$I$130)/(1+$F$130)^$N$3</f>
        <v>12667.2660376892</v>
      </c>
      <c r="Q141" s="15" t="n">
        <f aca="false">O141+P141</f>
        <v>16658.5974231439</v>
      </c>
      <c r="R141" s="15" t="n">
        <f aca="false">Q141-$G$2+$I$2</f>
        <v>15105.8974231439</v>
      </c>
      <c r="S141" s="40" t="n">
        <f aca="false">R141/$K$2</f>
        <v>54.8527449186387</v>
      </c>
      <c r="T141" s="41" t="n">
        <f aca="false">S141-$M$2</f>
        <v>0.348224057314766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-0.0576171875</v>
      </c>
      <c r="C142" s="25" t="n">
        <f aca="false">IF(T141&gt;0,D141,C141)</f>
        <v>-0.05615234375</v>
      </c>
      <c r="D142" s="39" t="n">
        <f aca="false">(B142+C142)/2</f>
        <v>-0.056884765625</v>
      </c>
      <c r="E142" s="15" t="n">
        <f aca="false">$C$2*(1+IF(E$3&lt;=$O$2,$D142,$D142-($D142-$I$130)*MIN(E$3-$O$2,$Q$2)/$Q$2))</f>
        <v>1744.76318359375</v>
      </c>
      <c r="F142" s="15" t="n">
        <f aca="false">E142*(1+IF(F$3&lt;=$O$2,$D142,$D142-($D142-$I$130)*MIN(F$3-$O$2,$Q$2)/$Q$2))</f>
        <v>1645.51273882389</v>
      </c>
      <c r="G142" s="15" t="n">
        <f aca="false">F142*(1+IF(G$3&lt;=$O$2,$D142,$D142-($D142-$I$130)*MIN(G$3-$O$2,$Q$2)/$Q$2))</f>
        <v>1551.90813234294</v>
      </c>
      <c r="H142" s="15" t="n">
        <f aca="false">G142*(1+IF(H$3&lt;=$O$2,$D142,$D142-($D142-$I$130)*MIN(H$3-$O$2,$Q$2)/$Q$2))</f>
        <v>1463.62820196308</v>
      </c>
      <c r="I142" s="15" t="n">
        <f aca="false">H142*(1+IF(I$3&lt;=$O$2,$D142,$D142-($D142-$I$130)*MIN(I$3-$O$2,$Q$2)/$Q$2))</f>
        <v>1380.37005473227</v>
      </c>
      <c r="J142" s="15" t="n">
        <f aca="false">I142*(1+IF(J$3&lt;=$O$2,$D142,$D142-($D142-$I$130)*MIN(J$3-$O$2,$Q$2)/$Q$2))</f>
        <v>1325.83465342929</v>
      </c>
      <c r="K142" s="15" t="n">
        <f aca="false">J142*(1+IF(K$3&lt;=$O$2,$D142,$D142-($D142-$I$130)*MIN(K$3-$O$2,$Q$2)/$Q$2))</f>
        <v>1296.49279315975</v>
      </c>
      <c r="L142" s="15" t="n">
        <f aca="false">K142*(1+IF(L$3&lt;=$O$2,$D142,$D142-($D142-$I$130)*MIN(L$3-$O$2,$Q$2)/$Q$2))</f>
        <v>1290.32938796727</v>
      </c>
      <c r="M142" s="15" t="n">
        <f aca="false">L142*(1+IF(M$3&lt;=$O$2,$D142,$D142-($D142-$I$130)*MIN(M$3-$O$2,$Q$2)/$Q$2))</f>
        <v>1306.61727631577</v>
      </c>
      <c r="N142" s="15" t="n">
        <f aca="false">M142*(1+IF(N$3&lt;=$O$2,$D142,$D142-($D142-$I$130)*MIN(N$3-$O$2,$Q$2)/$Q$2))</f>
        <v>1345.81579460524</v>
      </c>
      <c r="O142" s="15" t="n">
        <f aca="false">SUMPRODUCT(E142:N142,1/(1+$F$130)^$E$3:$N$3)*$E$2</f>
        <v>3978.18811296893</v>
      </c>
      <c r="P142" s="15" t="n">
        <f aca="false">N142*$E$2*(1+$I$130)/($F$130-$I$130)/(1+$F$130)^$N$3</f>
        <v>12599.3040703913</v>
      </c>
      <c r="Q142" s="15" t="n">
        <f aca="false">O142+P142</f>
        <v>16577.4921833602</v>
      </c>
      <c r="R142" s="15" t="n">
        <f aca="false">Q142-$G$2+$I$2</f>
        <v>15024.7921833602</v>
      </c>
      <c r="S142" s="40" t="n">
        <f aca="false">R142/$K$2</f>
        <v>54.5582344433721</v>
      </c>
      <c r="T142" s="41" t="n">
        <f aca="false">S142-$M$2</f>
        <v>0.0537135820481609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-0.0576171875</v>
      </c>
      <c r="C143" s="25" t="n">
        <f aca="false">IF(T142&gt;0,D142,C142)</f>
        <v>-0.056884765625</v>
      </c>
      <c r="D143" s="39" t="n">
        <f aca="false">(B143+C143)/2</f>
        <v>-0.0572509765625</v>
      </c>
      <c r="E143" s="15" t="n">
        <f aca="false">$C$2*(1+IF(E$3&lt;=$O$2,$D143,$D143-($D143-$I$130)*MIN(E$3-$O$2,$Q$2)/$Q$2))</f>
        <v>1744.08569335938</v>
      </c>
      <c r="F143" s="15" t="n">
        <f aca="false">E143*(1+IF(F$3&lt;=$O$2,$D143,$D143-($D143-$I$130)*MIN(F$3-$O$2,$Q$2)/$Q$2))</f>
        <v>1644.23508420587</v>
      </c>
      <c r="G143" s="15" t="n">
        <f aca="false">F143*(1+IF(G$3&lt;=$O$2,$D143,$D143-($D143-$I$130)*MIN(G$3-$O$2,$Q$2)/$Q$2))</f>
        <v>1550.10101993676</v>
      </c>
      <c r="H143" s="15" t="n">
        <f aca="false">G143*(1+IF(H$3&lt;=$O$2,$D143,$D143-($D143-$I$130)*MIN(H$3-$O$2,$Q$2)/$Q$2))</f>
        <v>1461.35622277485</v>
      </c>
      <c r="I143" s="15" t="n">
        <f aca="false">H143*(1+IF(I$3&lt;=$O$2,$D143,$D143-($D143-$I$130)*MIN(I$3-$O$2,$Q$2)/$Q$2))</f>
        <v>1377.6921519153</v>
      </c>
      <c r="J143" s="15" t="n">
        <f aca="false">I143*(1+IF(J$3&lt;=$O$2,$D143,$D143-($D143-$I$130)*MIN(J$3-$O$2,$Q$2)/$Q$2))</f>
        <v>1322.85892794708</v>
      </c>
      <c r="K143" s="15" t="n">
        <f aca="false">J143*(1+IF(K$3&lt;=$O$2,$D143,$D143-($D143-$I$130)*MIN(K$3-$O$2,$Q$2)/$Q$2))</f>
        <v>1293.29225579481</v>
      </c>
      <c r="L143" s="15" t="n">
        <f aca="false">K143*(1+IF(L$3&lt;=$O$2,$D143,$D143-($D143-$I$130)*MIN(L$3-$O$2,$Q$2)/$Q$2))</f>
        <v>1286.95461854913</v>
      </c>
      <c r="M143" s="15" t="n">
        <f aca="false">L143*(1+IF(M$3&lt;=$O$2,$D143,$D143-($D143-$I$130)*MIN(M$3-$O$2,$Q$2)/$Q$2))</f>
        <v>1303.1056476536</v>
      </c>
      <c r="N143" s="15" t="n">
        <f aca="false">M143*(1+IF(N$3&lt;=$O$2,$D143,$D143-($D143-$I$130)*MIN(N$3-$O$2,$Q$2)/$Q$2))</f>
        <v>1342.1988170832</v>
      </c>
      <c r="O143" s="15" t="n">
        <f aca="false">SUMPRODUCT(E143:N143,1/(1+$F$130)^$E$3:$N$3)*$E$2</f>
        <v>3971.63323304805</v>
      </c>
      <c r="P143" s="15" t="n">
        <f aca="false">N143*$E$2*(1+$I$130)/($F$130-$I$130)/(1+$F$130)^$N$3</f>
        <v>12565.4425272302</v>
      </c>
      <c r="Q143" s="15" t="n">
        <f aca="false">O143+P143</f>
        <v>16537.0757602783</v>
      </c>
      <c r="R143" s="15" t="n">
        <f aca="false">Q143-$G$2+$I$2</f>
        <v>14984.3757602783</v>
      </c>
      <c r="S143" s="40" t="n">
        <f aca="false">R143/$K$2</f>
        <v>54.4114737654899</v>
      </c>
      <c r="T143" s="41" t="n">
        <f aca="false">S143-$M$2</f>
        <v>-0.0930470958340735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-0.0572509765625</v>
      </c>
      <c r="C144" s="25" t="n">
        <f aca="false">IF(T143&gt;0,D143,C143)</f>
        <v>-0.056884765625</v>
      </c>
      <c r="D144" s="39" t="n">
        <f aca="false">(B144+C144)/2</f>
        <v>-0.05706787109375</v>
      </c>
      <c r="E144" s="15" t="n">
        <f aca="false">$C$2*(1+IF(E$3&lt;=$O$2,$D144,$D144-($D144-$I$130)*MIN(E$3-$O$2,$Q$2)/$Q$2))</f>
        <v>1744.42443847656</v>
      </c>
      <c r="F144" s="15" t="n">
        <f aca="false">E144*(1+IF(F$3&lt;=$O$2,$D144,$D144-($D144-$I$130)*MIN(F$3-$O$2,$Q$2)/$Q$2))</f>
        <v>1644.87384948879</v>
      </c>
      <c r="G144" s="15" t="n">
        <f aca="false">F144*(1+IF(G$3&lt;=$O$2,$D144,$D144-($D144-$I$130)*MIN(G$3-$O$2,$Q$2)/$Q$2))</f>
        <v>1551.00440068069</v>
      </c>
      <c r="H144" s="15" t="n">
        <f aca="false">G144*(1+IF(H$3&lt;=$O$2,$D144,$D144-($D144-$I$130)*MIN(H$3-$O$2,$Q$2)/$Q$2))</f>
        <v>1462.4918814768</v>
      </c>
      <c r="I144" s="15" t="n">
        <f aca="false">H144*(1+IF(I$3&lt;=$O$2,$D144,$D144-($D144-$I$130)*MIN(I$3-$O$2,$Q$2)/$Q$2))</f>
        <v>1379.03058330903</v>
      </c>
      <c r="J144" s="15" t="n">
        <f aca="false">I144*(1+IF(J$3&lt;=$O$2,$D144,$D144-($D144-$I$130)*MIN(J$3-$O$2,$Q$2)/$Q$2))</f>
        <v>1324.34609515879</v>
      </c>
      <c r="K144" s="15" t="n">
        <f aca="false">J144*(1+IF(K$3&lt;=$O$2,$D144,$D144-($D144-$I$130)*MIN(K$3-$O$2,$Q$2)/$Q$2))</f>
        <v>1294.89168095547</v>
      </c>
      <c r="L144" s="15" t="n">
        <f aca="false">K144*(1+IF(L$3&lt;=$O$2,$D144,$D144-($D144-$I$130)*MIN(L$3-$O$2,$Q$2)/$Q$2))</f>
        <v>1288.64104660102</v>
      </c>
      <c r="M144" s="15" t="n">
        <f aca="false">L144*(1+IF(M$3&lt;=$O$2,$D144,$D144-($D144-$I$130)*MIN(M$3-$O$2,$Q$2)/$Q$2))</f>
        <v>1304.86043149273</v>
      </c>
      <c r="N144" s="15" t="n">
        <f aca="false">M144*(1+IF(N$3&lt;=$O$2,$D144,$D144-($D144-$I$130)*MIN(N$3-$O$2,$Q$2)/$Q$2))</f>
        <v>1344.00624443752</v>
      </c>
      <c r="O144" s="15" t="n">
        <f aca="false">SUMPRODUCT(E144:N144,1/(1+$F$130)^$E$3:$N$3)*$E$2</f>
        <v>3974.90927853653</v>
      </c>
      <c r="P144" s="15" t="n">
        <f aca="false">N144*$E$2*(1+$I$130)/($F$130-$I$130)/(1+$F$130)^$N$3</f>
        <v>12582.3633620974</v>
      </c>
      <c r="Q144" s="15" t="n">
        <f aca="false">O144+P144</f>
        <v>16557.2726406339</v>
      </c>
      <c r="R144" s="15" t="n">
        <f aca="false">Q144-$G$2+$I$2</f>
        <v>15004.5726406339</v>
      </c>
      <c r="S144" s="40" t="n">
        <f aca="false">R144/$K$2</f>
        <v>54.4848129584731</v>
      </c>
      <c r="T144" s="41" t="n">
        <f aca="false">S144-$M$2</f>
        <v>-0.0197079028508824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-0.05706787109375</v>
      </c>
      <c r="C145" s="25" t="n">
        <f aca="false">IF(T144&gt;0,D144,C144)</f>
        <v>-0.056884765625</v>
      </c>
      <c r="D145" s="39" t="n">
        <f aca="false">(B145+C145)/2</f>
        <v>-0.056976318359375</v>
      </c>
      <c r="E145" s="15" t="n">
        <f aca="false">$C$2*(1+IF(E$3&lt;=$O$2,$D145,$D145-($D145-$I$130)*MIN(E$3-$O$2,$Q$2)/$Q$2))</f>
        <v>1744.59381103516</v>
      </c>
      <c r="F145" s="15" t="n">
        <f aca="false">E145*(1+IF(F$3&lt;=$O$2,$D145,$D145-($D145-$I$130)*MIN(F$3-$O$2,$Q$2)/$Q$2))</f>
        <v>1645.19327864982</v>
      </c>
      <c r="G145" s="15" t="n">
        <f aca="false">F145*(1+IF(G$3&lt;=$O$2,$D145,$D145-($D145-$I$130)*MIN(G$3-$O$2,$Q$2)/$Q$2))</f>
        <v>1551.45622264277</v>
      </c>
      <c r="H145" s="15" t="n">
        <f aca="false">G145*(1+IF(H$3&lt;=$O$2,$D145,$D145-($D145-$I$130)*MIN(H$3-$O$2,$Q$2)/$Q$2))</f>
        <v>1463.05995898084</v>
      </c>
      <c r="I145" s="15" t="n">
        <f aca="false">H145*(1+IF(I$3&lt;=$O$2,$D145,$D145-($D145-$I$130)*MIN(I$3-$O$2,$Q$2)/$Q$2))</f>
        <v>1379.70018897909</v>
      </c>
      <c r="J145" s="15" t="n">
        <f aca="false">I145*(1+IF(J$3&lt;=$O$2,$D145,$D145-($D145-$I$130)*MIN(J$3-$O$2,$Q$2)/$Q$2))</f>
        <v>1325.09020034676</v>
      </c>
      <c r="K145" s="15" t="n">
        <f aca="false">J145*(1+IF(K$3&lt;=$O$2,$D145,$D145-($D145-$I$130)*MIN(K$3-$O$2,$Q$2)/$Q$2))</f>
        <v>1295.69202608501</v>
      </c>
      <c r="L145" s="15" t="n">
        <f aca="false">K145*(1+IF(L$3&lt;=$O$2,$D145,$D145-($D145-$I$130)*MIN(L$3-$O$2,$Q$2)/$Q$2))</f>
        <v>1289.48497800497</v>
      </c>
      <c r="M145" s="15" t="n">
        <f aca="false">L145*(1+IF(M$3&lt;=$O$2,$D145,$D145-($D145-$I$130)*MIN(M$3-$O$2,$Q$2)/$Q$2))</f>
        <v>1305.7385961518</v>
      </c>
      <c r="N145" s="15" t="n">
        <f aca="false">M145*(1+IF(N$3&lt;=$O$2,$D145,$D145-($D145-$I$130)*MIN(N$3-$O$2,$Q$2)/$Q$2))</f>
        <v>1344.91075403636</v>
      </c>
      <c r="O145" s="15" t="n">
        <f aca="false">SUMPRODUCT(E145:N145,1/(1+$F$130)^$E$3:$N$3)*$E$2</f>
        <v>3976.54834699324</v>
      </c>
      <c r="P145" s="15" t="n">
        <f aca="false">N145*$E$2*(1+$I$130)/($F$130-$I$130)/(1+$F$130)^$N$3</f>
        <v>12590.8312308176</v>
      </c>
      <c r="Q145" s="15" t="n">
        <f aca="false">O145+P145</f>
        <v>16567.3795778109</v>
      </c>
      <c r="R145" s="15" t="n">
        <f aca="false">Q145-$G$2+$I$2</f>
        <v>15014.6795778109</v>
      </c>
      <c r="S145" s="40" t="n">
        <f aca="false">R145/$K$2</f>
        <v>54.5215134093862</v>
      </c>
      <c r="T145" s="41" t="n">
        <f aca="false">S145-$M$2</f>
        <v>0.0169925480622481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-0.05706787109375</v>
      </c>
      <c r="C146" s="25" t="n">
        <f aca="false">IF(T145&gt;0,D145,C145)</f>
        <v>-0.056976318359375</v>
      </c>
      <c r="D146" s="39" t="n">
        <f aca="false">(B146+C146)/2</f>
        <v>-0.0570220947265625</v>
      </c>
      <c r="E146" s="15" t="n">
        <f aca="false">$C$2*(1+IF(E$3&lt;=$O$2,$D146,$D146-($D146-$I$130)*MIN(E$3-$O$2,$Q$2)/$Q$2))</f>
        <v>1744.50912475586</v>
      </c>
      <c r="F146" s="15" t="n">
        <f aca="false">E146*(1+IF(F$3&lt;=$O$2,$D146,$D146-($D146-$I$130)*MIN(F$3-$O$2,$Q$2)/$Q$2))</f>
        <v>1645.03356019268</v>
      </c>
      <c r="G146" s="15" t="n">
        <f aca="false">F146*(1+IF(G$3&lt;=$O$2,$D146,$D146-($D146-$I$130)*MIN(G$3-$O$2,$Q$2)/$Q$2))</f>
        <v>1551.230300695</v>
      </c>
      <c r="H146" s="15" t="n">
        <f aca="false">G146*(1+IF(H$3&lt;=$O$2,$D146,$D146-($D146-$I$130)*MIN(H$3-$O$2,$Q$2)/$Q$2))</f>
        <v>1462.77589954605</v>
      </c>
      <c r="I146" s="15" t="n">
        <f aca="false">H146*(1+IF(I$3&lt;=$O$2,$D146,$D146-($D146-$I$130)*MIN(I$3-$O$2,$Q$2)/$Q$2))</f>
        <v>1379.36535363841</v>
      </c>
      <c r="J146" s="15" t="n">
        <f aca="false">I146*(1+IF(J$3&lt;=$O$2,$D146,$D146-($D146-$I$130)*MIN(J$3-$O$2,$Q$2)/$Q$2))</f>
        <v>1324.71810427407</v>
      </c>
      <c r="K146" s="15" t="n">
        <f aca="false">J146*(1+IF(K$3&lt;=$O$2,$D146,$D146-($D146-$I$130)*MIN(K$3-$O$2,$Q$2)/$Q$2))</f>
        <v>1295.29180078861</v>
      </c>
      <c r="L146" s="15" t="n">
        <f aca="false">K146*(1+IF(L$3&lt;=$O$2,$D146,$D146-($D146-$I$130)*MIN(L$3-$O$2,$Q$2)/$Q$2))</f>
        <v>1289.06295249757</v>
      </c>
      <c r="M146" s="15" t="n">
        <f aca="false">L146*(1+IF(M$3&lt;=$O$2,$D146,$D146-($D146-$I$130)*MIN(M$3-$O$2,$Q$2)/$Q$2))</f>
        <v>1305.29944940034</v>
      </c>
      <c r="N146" s="15" t="n">
        <f aca="false">M146*(1+IF(N$3&lt;=$O$2,$D146,$D146-($D146-$I$130)*MIN(N$3-$O$2,$Q$2)/$Q$2))</f>
        <v>1344.45843288235</v>
      </c>
      <c r="O146" s="15" t="n">
        <f aca="false">SUMPRODUCT(E146:N146,1/(1+$F$130)^$E$3:$N$3)*$E$2</f>
        <v>3975.7287255927</v>
      </c>
      <c r="P146" s="15" t="n">
        <f aca="false">N146*$E$2*(1+$I$130)/($F$130-$I$130)/(1+$F$130)^$N$3</f>
        <v>12586.5966752569</v>
      </c>
      <c r="Q146" s="15" t="n">
        <f aca="false">O146+P146</f>
        <v>16562.3254008496</v>
      </c>
      <c r="R146" s="15" t="n">
        <f aca="false">Q146-$G$2+$I$2</f>
        <v>15009.6254008496</v>
      </c>
      <c r="S146" s="40" t="n">
        <f aca="false">R146/$K$2</f>
        <v>54.5031606116766</v>
      </c>
      <c r="T146" s="41" t="n">
        <f aca="false">S146-$M$2</f>
        <v>-0.00136024964736947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-0.0570220947265625</v>
      </c>
      <c r="C147" s="25" t="n">
        <f aca="false">IF(T146&gt;0,D146,C146)</f>
        <v>-0.056976318359375</v>
      </c>
      <c r="D147" s="39" t="n">
        <f aca="false">(B147+C147)/2</f>
        <v>-0.0569992065429688</v>
      </c>
      <c r="E147" s="15" t="n">
        <f aca="false">$C$2*(1+IF(E$3&lt;=$O$2,$D147,$D147-($D147-$I$130)*MIN(E$3-$O$2,$Q$2)/$Q$2))</f>
        <v>1744.55146789551</v>
      </c>
      <c r="F147" s="15" t="n">
        <f aca="false">E147*(1+IF(F$3&lt;=$O$2,$D147,$D147-($D147-$I$130)*MIN(F$3-$O$2,$Q$2)/$Q$2))</f>
        <v>1645.11341845209</v>
      </c>
      <c r="G147" s="15" t="n">
        <f aca="false">F147*(1+IF(G$3&lt;=$O$2,$D147,$D147-($D147-$I$130)*MIN(G$3-$O$2,$Q$2)/$Q$2))</f>
        <v>1551.34325892713</v>
      </c>
      <c r="H147" s="15" t="n">
        <f aca="false">G147*(1+IF(H$3&lt;=$O$2,$D147,$D147-($D147-$I$130)*MIN(H$3-$O$2,$Q$2)/$Q$2))</f>
        <v>1462.9179240925</v>
      </c>
      <c r="I147" s="15" t="n">
        <f aca="false">H147*(1+IF(I$3&lt;=$O$2,$D147,$D147-($D147-$I$130)*MIN(I$3-$O$2,$Q$2)/$Q$2))</f>
        <v>1379.53276318174</v>
      </c>
      <c r="J147" s="15" t="n">
        <f aca="false">I147*(1+IF(J$3&lt;=$O$2,$D147,$D147-($D147-$I$130)*MIN(J$3-$O$2,$Q$2)/$Q$2))</f>
        <v>1324.90414143972</v>
      </c>
      <c r="K147" s="15" t="n">
        <f aca="false">J147*(1+IF(K$3&lt;=$O$2,$D147,$D147-($D147-$I$130)*MIN(K$3-$O$2,$Q$2)/$Q$2))</f>
        <v>1295.49190025246</v>
      </c>
      <c r="L147" s="15" t="n">
        <f aca="false">K147*(1+IF(L$3&lt;=$O$2,$D147,$D147-($D147-$I$130)*MIN(L$3-$O$2,$Q$2)/$Q$2))</f>
        <v>1289.27395029812</v>
      </c>
      <c r="M147" s="15" t="n">
        <f aca="false">L147*(1+IF(M$3&lt;=$O$2,$D147,$D147-($D147-$I$130)*MIN(M$3-$O$2,$Q$2)/$Q$2))</f>
        <v>1305.51900666857</v>
      </c>
      <c r="N147" s="15" t="n">
        <f aca="false">M147*(1+IF(N$3&lt;=$O$2,$D147,$D147-($D147-$I$130)*MIN(N$3-$O$2,$Q$2)/$Q$2))</f>
        <v>1344.68457686862</v>
      </c>
      <c r="O147" s="15" t="n">
        <f aca="false">SUMPRODUCT(E147:N147,1/(1+$F$130)^$E$3:$N$3)*$E$2</f>
        <v>3976.13851449771</v>
      </c>
      <c r="P147" s="15" t="n">
        <f aca="false">N147*$E$2*(1+$I$130)/($F$130-$I$130)/(1+$F$130)^$N$3</f>
        <v>12588.7137977176</v>
      </c>
      <c r="Q147" s="15" t="n">
        <f aca="false">O147+P147</f>
        <v>16564.8523122153</v>
      </c>
      <c r="R147" s="15" t="n">
        <f aca="false">Q147-$G$2+$I$2</f>
        <v>15012.1523122153</v>
      </c>
      <c r="S147" s="40" t="n">
        <f aca="false">R147/$K$2</f>
        <v>54.5123363673892</v>
      </c>
      <c r="T147" s="41" t="n">
        <f aca="false">S147-$M$2</f>
        <v>0.00781550606527759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-0.0570220947265625</v>
      </c>
      <c r="C148" s="25" t="n">
        <f aca="false">IF(T147&gt;0,D147,C147)</f>
        <v>-0.0569992065429688</v>
      </c>
      <c r="D148" s="39" t="n">
        <f aca="false">(B148+C148)/2</f>
        <v>-0.0570106506347656</v>
      </c>
      <c r="E148" s="15" t="n">
        <f aca="false">$C$2*(1+IF(E$3&lt;=$O$2,$D148,$D148-($D148-$I$130)*MIN(E$3-$O$2,$Q$2)/$Q$2))</f>
        <v>1744.53029632568</v>
      </c>
      <c r="F148" s="15" t="n">
        <f aca="false">E148*(1+IF(F$3&lt;=$O$2,$D148,$D148-($D148-$I$130)*MIN(F$3-$O$2,$Q$2)/$Q$2))</f>
        <v>1645.0734890801</v>
      </c>
      <c r="G148" s="15" t="n">
        <f aca="false">F148*(1+IF(G$3&lt;=$O$2,$D148,$D148-($D148-$I$130)*MIN(G$3-$O$2,$Q$2)/$Q$2))</f>
        <v>1551.28677912564</v>
      </c>
      <c r="H148" s="15" t="n">
        <f aca="false">G148*(1+IF(H$3&lt;=$O$2,$D148,$D148-($D148-$I$130)*MIN(H$3-$O$2,$Q$2)/$Q$2))</f>
        <v>1462.84691052657</v>
      </c>
      <c r="I148" s="15" t="n">
        <f aca="false">H148*(1+IF(I$3&lt;=$O$2,$D148,$D148-($D148-$I$130)*MIN(I$3-$O$2,$Q$2)/$Q$2))</f>
        <v>1379.4490563784</v>
      </c>
      <c r="J148" s="15" t="n">
        <f aca="false">I148*(1+IF(J$3&lt;=$O$2,$D148,$D148-($D148-$I$130)*MIN(J$3-$O$2,$Q$2)/$Q$2))</f>
        <v>1324.81112013935</v>
      </c>
      <c r="K148" s="15" t="n">
        <f aca="false">J148*(1+IF(K$3&lt;=$O$2,$D148,$D148-($D148-$I$130)*MIN(K$3-$O$2,$Q$2)/$Q$2))</f>
        <v>1295.39184722463</v>
      </c>
      <c r="L148" s="15" t="n">
        <f aca="false">K148*(1+IF(L$3&lt;=$O$2,$D148,$D148-($D148-$I$130)*MIN(L$3-$O$2,$Q$2)/$Q$2))</f>
        <v>1289.16844765978</v>
      </c>
      <c r="M148" s="15" t="n">
        <f aca="false">L148*(1+IF(M$3&lt;=$O$2,$D148,$D148-($D148-$I$130)*MIN(M$3-$O$2,$Q$2)/$Q$2))</f>
        <v>1305.40922400783</v>
      </c>
      <c r="N148" s="15" t="n">
        <f aca="false">M148*(1+IF(N$3&lt;=$O$2,$D148,$D148-($D148-$I$130)*MIN(N$3-$O$2,$Q$2)/$Q$2))</f>
        <v>1344.57150072807</v>
      </c>
      <c r="O148" s="15" t="n">
        <f aca="false">SUMPRODUCT(E148:N148,1/(1+$F$130)^$E$3:$N$3)*$E$2</f>
        <v>3975.93361459667</v>
      </c>
      <c r="P148" s="15" t="n">
        <f aca="false">N148*$E$2*(1+$I$130)/($F$130-$I$130)/(1+$F$130)^$N$3</f>
        <v>12587.6551976598</v>
      </c>
      <c r="Q148" s="15" t="n">
        <f aca="false">O148+P148</f>
        <v>16563.5888122565</v>
      </c>
      <c r="R148" s="15" t="n">
        <f aca="false">Q148-$G$2+$I$2</f>
        <v>15010.8888122565</v>
      </c>
      <c r="S148" s="40" t="n">
        <f aca="false">R148/$K$2</f>
        <v>54.5077483287572</v>
      </c>
      <c r="T148" s="41" t="n">
        <f aca="false">S148-$M$2</f>
        <v>0.00322746743327684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-0.0570220947265625</v>
      </c>
      <c r="C149" s="25" t="n">
        <f aca="false">IF(T148&gt;0,D148,C148)</f>
        <v>-0.0570106506347656</v>
      </c>
      <c r="D149" s="39" t="n">
        <f aca="false">(B149+C149)/2</f>
        <v>-0.0570163726806641</v>
      </c>
      <c r="E149" s="15" t="n">
        <f aca="false">$C$2*(1+IF(E$3&lt;=$O$2,$D149,$D149-($D149-$I$130)*MIN(E$3-$O$2,$Q$2)/$Q$2))</f>
        <v>1744.51971054077</v>
      </c>
      <c r="F149" s="15" t="n">
        <f aca="false">E149*(1+IF(F$3&lt;=$O$2,$D149,$D149-($D149-$I$130)*MIN(F$3-$O$2,$Q$2)/$Q$2))</f>
        <v>1645.05352457581</v>
      </c>
      <c r="G149" s="15" t="n">
        <f aca="false">F149*(1+IF(G$3&lt;=$O$2,$D149,$D149-($D149-$I$130)*MIN(G$3-$O$2,$Q$2)/$Q$2))</f>
        <v>1551.25853973896</v>
      </c>
      <c r="H149" s="15" t="n">
        <f aca="false">G149*(1+IF(H$3&lt;=$O$2,$D149,$D149-($D149-$I$130)*MIN(H$3-$O$2,$Q$2)/$Q$2))</f>
        <v>1462.81140471314</v>
      </c>
      <c r="I149" s="15" t="n">
        <f aca="false">H149*(1+IF(I$3&lt;=$O$2,$D149,$D149-($D149-$I$130)*MIN(I$3-$O$2,$Q$2)/$Q$2))</f>
        <v>1379.40720450049</v>
      </c>
      <c r="J149" s="15" t="n">
        <f aca="false">I149*(1+IF(J$3&lt;=$O$2,$D149,$D149-($D149-$I$130)*MIN(J$3-$O$2,$Q$2)/$Q$2))</f>
        <v>1324.76461152734</v>
      </c>
      <c r="K149" s="15" t="n">
        <f aca="false">J149*(1+IF(K$3&lt;=$O$2,$D149,$D149-($D149-$I$130)*MIN(K$3-$O$2,$Q$2)/$Q$2))</f>
        <v>1295.34182318267</v>
      </c>
      <c r="L149" s="15" t="n">
        <f aca="false">K149*(1+IF(L$3&lt;=$O$2,$D149,$D149-($D149-$I$130)*MIN(L$3-$O$2,$Q$2)/$Q$2))</f>
        <v>1289.11569914418</v>
      </c>
      <c r="M149" s="15" t="n">
        <f aca="false">L149*(1+IF(M$3&lt;=$O$2,$D149,$D149-($D149-$I$130)*MIN(M$3-$O$2,$Q$2)/$Q$2))</f>
        <v>1305.35433569746</v>
      </c>
      <c r="N149" s="15" t="n">
        <f aca="false">M149*(1+IF(N$3&lt;=$O$2,$D149,$D149-($D149-$I$130)*MIN(N$3-$O$2,$Q$2)/$Q$2))</f>
        <v>1344.51496576839</v>
      </c>
      <c r="O149" s="15" t="n">
        <f aca="false">SUMPRODUCT(E149:N149,1/(1+$F$130)^$E$3:$N$3)*$E$2</f>
        <v>3975.83116873259</v>
      </c>
      <c r="P149" s="15" t="n">
        <f aca="false">N149*$E$2*(1+$I$130)/($F$130-$I$130)/(1+$F$130)^$N$3</f>
        <v>12587.1259267518</v>
      </c>
      <c r="Q149" s="15" t="n">
        <f aca="false">O149+P149</f>
        <v>16562.9570954844</v>
      </c>
      <c r="R149" s="15" t="n">
        <f aca="false">Q149-$G$2+$I$2</f>
        <v>15010.2570954844</v>
      </c>
      <c r="S149" s="40" t="n">
        <f aca="false">R149/$K$2</f>
        <v>54.5054544300242</v>
      </c>
      <c r="T149" s="41" t="n">
        <f aca="false">S149-$M$2</f>
        <v>0.000933568700254739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-0.0570220947265625</v>
      </c>
      <c r="C150" s="25" t="n">
        <f aca="false">IF(T149&gt;0,D149,C149)</f>
        <v>-0.0570163726806641</v>
      </c>
      <c r="D150" s="39" t="n">
        <f aca="false">(B150+C150)/2</f>
        <v>-0.0570192337036133</v>
      </c>
      <c r="E150" s="15" t="n">
        <f aca="false">$C$2*(1+IF(E$3&lt;=$O$2,$D150,$D150-($D150-$I$130)*MIN(E$3-$O$2,$Q$2)/$Q$2))</f>
        <v>1744.51441764832</v>
      </c>
      <c r="F150" s="15" t="n">
        <f aca="false">E150*(1+IF(F$3&lt;=$O$2,$D150,$D150-($D150-$I$130)*MIN(F$3-$O$2,$Q$2)/$Q$2))</f>
        <v>1645.0435423691</v>
      </c>
      <c r="G150" s="15" t="n">
        <f aca="false">F150*(1+IF(G$3&lt;=$O$2,$D150,$D150-($D150-$I$130)*MIN(G$3-$O$2,$Q$2)/$Q$2))</f>
        <v>1551.24442017414</v>
      </c>
      <c r="H150" s="15" t="n">
        <f aca="false">G150*(1+IF(H$3&lt;=$O$2,$D150,$D150-($D150-$I$130)*MIN(H$3-$O$2,$Q$2)/$Q$2))</f>
        <v>1462.7936520488</v>
      </c>
      <c r="I150" s="15" t="n">
        <f aca="false">H150*(1+IF(I$3&lt;=$O$2,$D150,$D150-($D150-$I$130)*MIN(I$3-$O$2,$Q$2)/$Q$2))</f>
        <v>1379.38627894247</v>
      </c>
      <c r="J150" s="15" t="n">
        <f aca="false">I150*(1+IF(J$3&lt;=$O$2,$D150,$D150-($D150-$I$130)*MIN(J$3-$O$2,$Q$2)/$Q$2))</f>
        <v>1324.74135773086</v>
      </c>
      <c r="K150" s="15" t="n">
        <f aca="false">J150*(1+IF(K$3&lt;=$O$2,$D150,$D150-($D150-$I$130)*MIN(K$3-$O$2,$Q$2)/$Q$2))</f>
        <v>1295.31681177966</v>
      </c>
      <c r="L150" s="15" t="n">
        <f aca="false">K150*(1+IF(L$3&lt;=$O$2,$D150,$D150-($D150-$I$130)*MIN(L$3-$O$2,$Q$2)/$Q$2))</f>
        <v>1289.08932558726</v>
      </c>
      <c r="M150" s="15" t="n">
        <f aca="false">L150*(1+IF(M$3&lt;=$O$2,$D150,$D150-($D150-$I$130)*MIN(M$3-$O$2,$Q$2)/$Q$2))</f>
        <v>1305.32689229725</v>
      </c>
      <c r="N150" s="15" t="n">
        <f aca="false">M150*(1+IF(N$3&lt;=$O$2,$D150,$D150-($D150-$I$130)*MIN(N$3-$O$2,$Q$2)/$Q$2))</f>
        <v>1344.48669906617</v>
      </c>
      <c r="O150" s="15" t="n">
        <f aca="false">SUMPRODUCT(E150:N150,1/(1+$F$130)^$E$3:$N$3)*$E$2</f>
        <v>3975.77994682212</v>
      </c>
      <c r="P150" s="15" t="n">
        <f aca="false">N150*$E$2*(1+$I$130)/($F$130-$I$130)/(1+$F$130)^$N$3</f>
        <v>12586.8612985777</v>
      </c>
      <c r="Q150" s="15" t="n">
        <f aca="false">O150+P150</f>
        <v>16562.6412453999</v>
      </c>
      <c r="R150" s="15" t="n">
        <f aca="false">Q150-$G$2+$I$2</f>
        <v>15009.9412453999</v>
      </c>
      <c r="S150" s="40" t="n">
        <f aca="false">R150/$K$2</f>
        <v>54.5043075108024</v>
      </c>
      <c r="T150" s="41" t="n">
        <f aca="false">S150-$M$2</f>
        <v>-0.000213350521569566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-0.0570192337036133</v>
      </c>
      <c r="C151" s="25" t="n">
        <f aca="false">IF(T150&gt;0,D150,C150)</f>
        <v>-0.0570163726806641</v>
      </c>
      <c r="D151" s="39" t="n">
        <f aca="false">(B151+C151)/2</f>
        <v>-0.0570178031921387</v>
      </c>
      <c r="E151" s="15" t="n">
        <f aca="false">$C$2*(1+IF(E$3&lt;=$O$2,$D151,$D151-($D151-$I$130)*MIN(E$3-$O$2,$Q$2)/$Q$2))</f>
        <v>1744.51706409454</v>
      </c>
      <c r="F151" s="15" t="n">
        <f aca="false">E151*(1+IF(F$3&lt;=$O$2,$D151,$D151-($D151-$I$130)*MIN(F$3-$O$2,$Q$2)/$Q$2))</f>
        <v>1645.04853346867</v>
      </c>
      <c r="G151" s="15" t="n">
        <f aca="false">F151*(1+IF(G$3&lt;=$O$2,$D151,$D151-($D151-$I$130)*MIN(G$3-$O$2,$Q$2)/$Q$2))</f>
        <v>1551.25147994584</v>
      </c>
      <c r="H151" s="15" t="n">
        <f aca="false">G151*(1+IF(H$3&lt;=$O$2,$D151,$D151-($D151-$I$130)*MIN(H$3-$O$2,$Q$2)/$Q$2))</f>
        <v>1462.80252836077</v>
      </c>
      <c r="I151" s="15" t="n">
        <f aca="false">H151*(1+IF(I$3&lt;=$O$2,$D151,$D151-($D151-$I$130)*MIN(I$3-$O$2,$Q$2)/$Q$2))</f>
        <v>1379.39674168974</v>
      </c>
      <c r="J151" s="15" t="n">
        <f aca="false">I151*(1+IF(J$3&lt;=$O$2,$D151,$D151-($D151-$I$130)*MIN(J$3-$O$2,$Q$2)/$Q$2))</f>
        <v>1324.75298458664</v>
      </c>
      <c r="K151" s="15" t="n">
        <f aca="false">J151*(1+IF(K$3&lt;=$O$2,$D151,$D151-($D151-$I$130)*MIN(K$3-$O$2,$Q$2)/$Q$2))</f>
        <v>1295.32931742967</v>
      </c>
      <c r="L151" s="15" t="n">
        <f aca="false">K151*(1+IF(L$3&lt;=$O$2,$D151,$D151-($D151-$I$130)*MIN(L$3-$O$2,$Q$2)/$Q$2))</f>
        <v>1289.10251230731</v>
      </c>
      <c r="M151" s="15" t="n">
        <f aca="false">L151*(1+IF(M$3&lt;=$O$2,$D151,$D151-($D151-$I$130)*MIN(M$3-$O$2,$Q$2)/$Q$2))</f>
        <v>1305.34061393444</v>
      </c>
      <c r="N151" s="15" t="n">
        <f aca="false">M151*(1+IF(N$3&lt;=$O$2,$D151,$D151-($D151-$I$130)*MIN(N$3-$O$2,$Q$2)/$Q$2))</f>
        <v>1344.50083235248</v>
      </c>
      <c r="O151" s="15" t="n">
        <f aca="false">SUMPRODUCT(E151:N151,1/(1+$F$130)^$E$3:$N$3)*$E$2</f>
        <v>3975.80555769222</v>
      </c>
      <c r="P151" s="15" t="n">
        <f aca="false">N151*$E$2*(1+$I$130)/($F$130-$I$130)/(1+$F$130)^$N$3</f>
        <v>12586.9936120581</v>
      </c>
      <c r="Q151" s="15" t="n">
        <f aca="false">O151+P151</f>
        <v>16562.7991697503</v>
      </c>
      <c r="R151" s="15" t="n">
        <f aca="false">Q151-$G$2+$I$2</f>
        <v>15010.0991697503</v>
      </c>
      <c r="S151" s="40" t="n">
        <f aca="false">R151/$K$2</f>
        <v>54.5048809679012</v>
      </c>
      <c r="T151" s="41" t="n">
        <f aca="false">S151-$M$2</f>
        <v>0.000360106577304009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-0.0570192337036133</v>
      </c>
      <c r="C152" s="25" t="n">
        <f aca="false">IF(T151&gt;0,D151,C151)</f>
        <v>-0.0570178031921387</v>
      </c>
      <c r="D152" s="39" t="n">
        <f aca="false">(B152+C152)/2</f>
        <v>-0.057018518447876</v>
      </c>
      <c r="E152" s="15" t="n">
        <f aca="false">$C$2*(1+IF(E$3&lt;=$O$2,$D152,$D152-($D152-$I$130)*MIN(E$3-$O$2,$Q$2)/$Q$2))</f>
        <v>1744.51574087143</v>
      </c>
      <c r="F152" s="15" t="n">
        <f aca="false">E152*(1+IF(F$3&lt;=$O$2,$D152,$D152-($D152-$I$130)*MIN(F$3-$O$2,$Q$2)/$Q$2))</f>
        <v>1645.04603791794</v>
      </c>
      <c r="G152" s="15" t="n">
        <f aca="false">F152*(1+IF(G$3&lt;=$O$2,$D152,$D152-($D152-$I$130)*MIN(G$3-$O$2,$Q$2)/$Q$2))</f>
        <v>1551.24795005731</v>
      </c>
      <c r="H152" s="15" t="n">
        <f aca="false">G152*(1+IF(H$3&lt;=$O$2,$D152,$D152-($D152-$I$130)*MIN(H$3-$O$2,$Q$2)/$Q$2))</f>
        <v>1462.79809019974</v>
      </c>
      <c r="I152" s="15" t="n">
        <f aca="false">H152*(1+IF(I$3&lt;=$O$2,$D152,$D152-($D152-$I$130)*MIN(I$3-$O$2,$Q$2)/$Q$2))</f>
        <v>1379.39151030817</v>
      </c>
      <c r="J152" s="15" t="n">
        <f aca="false">I152*(1+IF(J$3&lt;=$O$2,$D152,$D152-($D152-$I$130)*MIN(J$3-$O$2,$Q$2)/$Q$2))</f>
        <v>1324.74717114814</v>
      </c>
      <c r="K152" s="15" t="n">
        <f aca="false">J152*(1+IF(K$3&lt;=$O$2,$D152,$D152-($D152-$I$130)*MIN(K$3-$O$2,$Q$2)/$Q$2))</f>
        <v>1295.32306459179</v>
      </c>
      <c r="L152" s="15" t="n">
        <f aca="false">K152*(1+IF(L$3&lt;=$O$2,$D152,$D152-($D152-$I$130)*MIN(L$3-$O$2,$Q$2)/$Q$2))</f>
        <v>1289.09591893268</v>
      </c>
      <c r="M152" s="15" t="n">
        <f aca="false">L152*(1+IF(M$3&lt;=$O$2,$D152,$D152-($D152-$I$130)*MIN(M$3-$O$2,$Q$2)/$Q$2))</f>
        <v>1305.33375310012</v>
      </c>
      <c r="N152" s="15" t="n">
        <f aca="false">M152*(1+IF(N$3&lt;=$O$2,$D152,$D152-($D152-$I$130)*MIN(N$3-$O$2,$Q$2)/$Q$2))</f>
        <v>1344.49376569312</v>
      </c>
      <c r="O152" s="15" t="n">
        <f aca="false">SUMPRODUCT(E152:N152,1/(1+$F$130)^$E$3:$N$3)*$E$2</f>
        <v>3975.79275223589</v>
      </c>
      <c r="P152" s="15" t="n">
        <f aca="false">N152*$E$2*(1+$I$130)/($F$130-$I$130)/(1+$F$130)^$N$3</f>
        <v>12586.9274551663</v>
      </c>
      <c r="Q152" s="15" t="n">
        <f aca="false">O152+P152</f>
        <v>16562.7202074021</v>
      </c>
      <c r="R152" s="15" t="n">
        <f aca="false">Q152-$G$2+$I$2</f>
        <v>15010.0202074021</v>
      </c>
      <c r="S152" s="40" t="n">
        <f aca="false">R152/$K$2</f>
        <v>54.5045942387238</v>
      </c>
      <c r="T152" s="41" t="n">
        <f aca="false">S152-$M$2</f>
        <v>7.33773998646825E-005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-0.0570192337036133</v>
      </c>
      <c r="C153" s="25" t="n">
        <f aca="false">IF(T152&gt;0,D152,C152)</f>
        <v>-0.057018518447876</v>
      </c>
      <c r="D153" s="39" t="n">
        <f aca="false">(B153+C153)/2</f>
        <v>-0.0570188760757446</v>
      </c>
      <c r="E153" s="15" t="n">
        <f aca="false">$C$2*(1+IF(E$3&lt;=$O$2,$D153,$D153-($D153-$I$130)*MIN(E$3-$O$2,$Q$2)/$Q$2))</f>
        <v>1744.51507925987</v>
      </c>
      <c r="F153" s="15" t="n">
        <f aca="false">E153*(1+IF(F$3&lt;=$O$2,$D153,$D153-($D153-$I$130)*MIN(F$3-$O$2,$Q$2)/$Q$2))</f>
        <v>1645.04479014329</v>
      </c>
      <c r="G153" s="15" t="n">
        <f aca="false">F153*(1+IF(G$3&lt;=$O$2,$D153,$D153-($D153-$I$130)*MIN(G$3-$O$2,$Q$2)/$Q$2))</f>
        <v>1551.24618511506</v>
      </c>
      <c r="H153" s="15" t="n">
        <f aca="false">G153*(1+IF(H$3&lt;=$O$2,$D153,$D153-($D153-$I$130)*MIN(H$3-$O$2,$Q$2)/$Q$2))</f>
        <v>1462.79587112301</v>
      </c>
      <c r="I153" s="15" t="n">
        <f aca="false">H153*(1+IF(I$3&lt;=$O$2,$D153,$D153-($D153-$I$130)*MIN(I$3-$O$2,$Q$2)/$Q$2))</f>
        <v>1379.38889462334</v>
      </c>
      <c r="J153" s="15" t="n">
        <f aca="false">I153*(1+IF(J$3&lt;=$O$2,$D153,$D153-($D153-$I$130)*MIN(J$3-$O$2,$Q$2)/$Q$2))</f>
        <v>1324.74426443685</v>
      </c>
      <c r="K153" s="15" t="n">
        <f aca="false">J153*(1+IF(K$3&lt;=$O$2,$D153,$D153-($D153-$I$130)*MIN(K$3-$O$2,$Q$2)/$Q$2))</f>
        <v>1295.3199381825</v>
      </c>
      <c r="L153" s="15" t="n">
        <f aca="false">K153*(1+IF(L$3&lt;=$O$2,$D153,$D153-($D153-$I$130)*MIN(L$3-$O$2,$Q$2)/$Q$2))</f>
        <v>1289.09262225632</v>
      </c>
      <c r="M153" s="15" t="n">
        <f aca="false">L153*(1+IF(M$3&lt;=$O$2,$D153,$D153-($D153-$I$130)*MIN(M$3-$O$2,$Q$2)/$Q$2))</f>
        <v>1305.33032269475</v>
      </c>
      <c r="N153" s="15" t="n">
        <f aca="false">M153*(1+IF(N$3&lt;=$O$2,$D153,$D153-($D153-$I$130)*MIN(N$3-$O$2,$Q$2)/$Q$2))</f>
        <v>1344.4902323756</v>
      </c>
      <c r="O153" s="15" t="n">
        <f aca="false">SUMPRODUCT(E153:N153,1/(1+$F$130)^$E$3:$N$3)*$E$2</f>
        <v>3975.78634952369</v>
      </c>
      <c r="P153" s="15" t="n">
        <f aca="false">N153*$E$2*(1+$I$130)/($F$130-$I$130)/(1+$F$130)^$N$3</f>
        <v>12586.8943768341</v>
      </c>
      <c r="Q153" s="15" t="n">
        <f aca="false">O153+P153</f>
        <v>16562.6807263578</v>
      </c>
      <c r="R153" s="15" t="n">
        <f aca="false">Q153-$G$2+$I$2</f>
        <v>15009.9807263578</v>
      </c>
      <c r="S153" s="40" t="n">
        <f aca="false">R153/$K$2</f>
        <v>54.5044508746061</v>
      </c>
      <c r="T153" s="41" t="n">
        <f aca="false">S153-$M$2</f>
        <v>-6.99867178752811E-005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-0.0570188760757446</v>
      </c>
      <c r="C154" s="25" t="n">
        <f aca="false">IF(T153&gt;0,D153,C153)</f>
        <v>-0.057018518447876</v>
      </c>
      <c r="D154" s="39" t="n">
        <f aca="false">(B154+C154)/2</f>
        <v>-0.0570186972618103</v>
      </c>
      <c r="E154" s="15" t="n">
        <f aca="false">$C$2*(1+IF(E$3&lt;=$O$2,$D154,$D154-($D154-$I$130)*MIN(E$3-$O$2,$Q$2)/$Q$2))</f>
        <v>1744.51541006565</v>
      </c>
      <c r="F154" s="15" t="n">
        <f aca="false">E154*(1+IF(F$3&lt;=$O$2,$D154,$D154-($D154-$I$130)*MIN(F$3-$O$2,$Q$2)/$Q$2))</f>
        <v>1645.04541403055</v>
      </c>
      <c r="G154" s="15" t="n">
        <f aca="false">F154*(1+IF(G$3&lt;=$O$2,$D154,$D154-($D154-$I$130)*MIN(G$3-$O$2,$Q$2)/$Q$2))</f>
        <v>1551.24706758602</v>
      </c>
      <c r="H154" s="15" t="n">
        <f aca="false">G154*(1+IF(H$3&lt;=$O$2,$D154,$D154-($D154-$I$130)*MIN(H$3-$O$2,$Q$2)/$Q$2))</f>
        <v>1462.79698066106</v>
      </c>
      <c r="I154" s="15" t="n">
        <f aca="false">H154*(1+IF(I$3&lt;=$O$2,$D154,$D154-($D154-$I$130)*MIN(I$3-$O$2,$Q$2)/$Q$2))</f>
        <v>1379.39020246526</v>
      </c>
      <c r="J154" s="15" t="n">
        <f aca="false">I154*(1+IF(J$3&lt;=$O$2,$D154,$D154-($D154-$I$130)*MIN(J$3-$O$2,$Q$2)/$Q$2))</f>
        <v>1324.74571779183</v>
      </c>
      <c r="K154" s="15" t="n">
        <f aca="false">J154*(1+IF(K$3&lt;=$O$2,$D154,$D154-($D154-$I$130)*MIN(K$3-$O$2,$Q$2)/$Q$2))</f>
        <v>1295.32150138634</v>
      </c>
      <c r="L154" s="15" t="n">
        <f aca="false">K154*(1+IF(L$3&lt;=$O$2,$D154,$D154-($D154-$I$130)*MIN(L$3-$O$2,$Q$2)/$Q$2))</f>
        <v>1289.09427059359</v>
      </c>
      <c r="M154" s="15" t="n">
        <f aca="false">L154*(1+IF(M$3&lt;=$O$2,$D154,$D154-($D154-$I$130)*MIN(M$3-$O$2,$Q$2)/$Q$2))</f>
        <v>1305.33203789645</v>
      </c>
      <c r="N154" s="15" t="n">
        <f aca="false">M154*(1+IF(N$3&lt;=$O$2,$D154,$D154-($D154-$I$130)*MIN(N$3-$O$2,$Q$2)/$Q$2))</f>
        <v>1344.49199903335</v>
      </c>
      <c r="O154" s="15" t="n">
        <f aca="false">SUMPRODUCT(E154:N154,1/(1+$F$130)^$E$3:$N$3)*$E$2</f>
        <v>3975.78955087846</v>
      </c>
      <c r="P154" s="15" t="n">
        <f aca="false">N154*$E$2*(1+$I$130)/($F$130-$I$130)/(1+$F$130)^$N$3</f>
        <v>12586.9109159907</v>
      </c>
      <c r="Q154" s="15" t="n">
        <f aca="false">O154+P154</f>
        <v>16562.7004668692</v>
      </c>
      <c r="R154" s="15" t="n">
        <f aca="false">Q154-$G$2+$I$2</f>
        <v>15010.0004668692</v>
      </c>
      <c r="S154" s="40" t="n">
        <f aca="false">R154/$K$2</f>
        <v>54.5045225566257</v>
      </c>
      <c r="T154" s="41" t="n">
        <f aca="false">S154-$M$2</f>
        <v>1.69530176208355E-006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-0.0570188760757446</v>
      </c>
      <c r="C155" s="25" t="n">
        <f aca="false">IF(T154&gt;0,D154,C154)</f>
        <v>-0.0570186972618103</v>
      </c>
      <c r="D155" s="39" t="n">
        <f aca="false">(B155+C155)/2</f>
        <v>-0.0570187866687775</v>
      </c>
      <c r="E155" s="15" t="n">
        <f aca="false">$C$2*(1+IF(E$3&lt;=$O$2,$D155,$D155-($D155-$I$130)*MIN(E$3-$O$2,$Q$2)/$Q$2))</f>
        <v>1744.51524466276</v>
      </c>
      <c r="F155" s="15" t="n">
        <f aca="false">E155*(1+IF(F$3&lt;=$O$2,$D155,$D155-($D155-$I$130)*MIN(F$3-$O$2,$Q$2)/$Q$2))</f>
        <v>1645.04510208691</v>
      </c>
      <c r="G155" s="15" t="n">
        <f aca="false">F155*(1+IF(G$3&lt;=$O$2,$D155,$D155-($D155-$I$130)*MIN(G$3-$O$2,$Q$2)/$Q$2))</f>
        <v>1551.2466263505</v>
      </c>
      <c r="H155" s="15" t="n">
        <f aca="false">G155*(1+IF(H$3&lt;=$O$2,$D155,$D155-($D155-$I$130)*MIN(H$3-$O$2,$Q$2)/$Q$2))</f>
        <v>1462.79642589196</v>
      </c>
      <c r="I155" s="15" t="n">
        <f aca="false">H155*(1+IF(I$3&lt;=$O$2,$D155,$D155-($D155-$I$130)*MIN(I$3-$O$2,$Q$2)/$Q$2))</f>
        <v>1379.38954854417</v>
      </c>
      <c r="J155" s="15" t="n">
        <f aca="false">I155*(1+IF(J$3&lt;=$O$2,$D155,$D155-($D155-$I$130)*MIN(J$3-$O$2,$Q$2)/$Q$2))</f>
        <v>1324.74499111417</v>
      </c>
      <c r="K155" s="15" t="n">
        <f aca="false">J155*(1+IF(K$3&lt;=$O$2,$D155,$D155-($D155-$I$130)*MIN(K$3-$O$2,$Q$2)/$Q$2))</f>
        <v>1295.32071978422</v>
      </c>
      <c r="L155" s="15" t="n">
        <f aca="false">K155*(1+IF(L$3&lt;=$O$2,$D155,$D155-($D155-$I$130)*MIN(L$3-$O$2,$Q$2)/$Q$2))</f>
        <v>1289.09344642473</v>
      </c>
      <c r="M155" s="15" t="n">
        <f aca="false">L155*(1+IF(M$3&lt;=$O$2,$D155,$D155-($D155-$I$130)*MIN(M$3-$O$2,$Q$2)/$Q$2))</f>
        <v>1305.33118029536</v>
      </c>
      <c r="N155" s="15" t="n">
        <f aca="false">M155*(1+IF(N$3&lt;=$O$2,$D155,$D155-($D155-$I$130)*MIN(N$3-$O$2,$Q$2)/$Q$2))</f>
        <v>1344.49111570422</v>
      </c>
      <c r="O155" s="15" t="n">
        <f aca="false">SUMPRODUCT(E155:N155,1/(1+$F$130)^$E$3:$N$3)*$E$2</f>
        <v>3975.78795020074</v>
      </c>
      <c r="P155" s="15" t="n">
        <f aca="false">N155*$E$2*(1+$I$130)/($F$130-$I$130)/(1+$F$130)^$N$3</f>
        <v>12586.90264641</v>
      </c>
      <c r="Q155" s="15" t="n">
        <f aca="false">O155+P155</f>
        <v>16562.6905966108</v>
      </c>
      <c r="R155" s="15" t="n">
        <f aca="false">Q155-$G$2+$I$2</f>
        <v>15009.9905966108</v>
      </c>
      <c r="S155" s="40" t="n">
        <f aca="false">R155/$K$2</f>
        <v>54.5044867156061</v>
      </c>
      <c r="T155" s="41" t="n">
        <f aca="false">S155-$M$2</f>
        <v>-3.4145717869194E-005</v>
      </c>
    </row>
    <row r="157" customFormat="false" ht="15" hidden="false" customHeight="false" outlineLevel="0" collapsed="false">
      <c r="A157" s="36" t="s">
        <v>180</v>
      </c>
      <c r="E157" s="5" t="s">
        <v>11</v>
      </c>
      <c r="F157" s="12" t="n">
        <f aca="false">Sensitivity!$B$10</f>
        <v>0.0535093056415221</v>
      </c>
      <c r="G157" s="5" t="s">
        <v>12</v>
      </c>
      <c r="I157" s="12" t="n">
        <f aca="false">Sensitivity!$G$9</f>
        <v>0.035</v>
      </c>
    </row>
    <row r="158" customFormat="false" ht="23.85" hidden="false" customHeight="false" outlineLevel="0" collapsed="false">
      <c r="A158" s="36" t="s">
        <v>156</v>
      </c>
      <c r="B158" s="28" t="s">
        <v>157</v>
      </c>
      <c r="C158" s="28" t="s">
        <v>158</v>
      </c>
      <c r="D158" s="28" t="s">
        <v>159</v>
      </c>
      <c r="E158" s="28" t="s">
        <v>160</v>
      </c>
      <c r="F158" s="28" t="s">
        <v>161</v>
      </c>
      <c r="G158" s="28" t="s">
        <v>162</v>
      </c>
      <c r="H158" s="28" t="s">
        <v>163</v>
      </c>
      <c r="I158" s="28" t="s">
        <v>164</v>
      </c>
      <c r="J158" s="28" t="s">
        <v>165</v>
      </c>
      <c r="K158" s="28" t="s">
        <v>166</v>
      </c>
      <c r="L158" s="28" t="s">
        <v>167</v>
      </c>
      <c r="M158" s="28" t="s">
        <v>168</v>
      </c>
      <c r="N158" s="28" t="s">
        <v>169</v>
      </c>
      <c r="O158" s="28" t="s">
        <v>170</v>
      </c>
      <c r="P158" s="28" t="s">
        <v>171</v>
      </c>
      <c r="Q158" s="28" t="s">
        <v>172</v>
      </c>
      <c r="R158" s="28" t="s">
        <v>173</v>
      </c>
      <c r="S158" s="28" t="s">
        <v>174</v>
      </c>
      <c r="T158" s="28" t="s">
        <v>175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39" t="n">
        <f aca="false">(B159+C159)/2</f>
        <v>0.25</v>
      </c>
      <c r="E159" s="15" t="n">
        <f aca="false">$C$2*(1+IF(E$3&lt;=$O$2,$D159,$D159-($D159-$I$157)*MIN(E$3-$O$2,$Q$2)/$Q$2))</f>
        <v>2312.5</v>
      </c>
      <c r="F159" s="15" t="n">
        <f aca="false">E159*(1+IF(F$3&lt;=$O$2,$D159,$D159-($D159-$I$157)*MIN(F$3-$O$2,$Q$2)/$Q$2))</f>
        <v>2890.625</v>
      </c>
      <c r="G159" s="15" t="n">
        <f aca="false">F159*(1+IF(G$3&lt;=$O$2,$D159,$D159-($D159-$I$157)*MIN(G$3-$O$2,$Q$2)/$Q$2))</f>
        <v>3613.28125</v>
      </c>
      <c r="H159" s="15" t="n">
        <f aca="false">G159*(1+IF(H$3&lt;=$O$2,$D159,$D159-($D159-$I$157)*MIN(H$3-$O$2,$Q$2)/$Q$2))</f>
        <v>4516.6015625</v>
      </c>
      <c r="I159" s="15" t="n">
        <f aca="false">H159*(1+IF(I$3&lt;=$O$2,$D159,$D159-($D159-$I$157)*MIN(I$3-$O$2,$Q$2)/$Q$2))</f>
        <v>5645.751953125</v>
      </c>
      <c r="J159" s="15" t="n">
        <f aca="false">I159*(1+IF(J$3&lt;=$O$2,$D159,$D159-($D159-$I$157)*MIN(J$3-$O$2,$Q$2)/$Q$2))</f>
        <v>6814.42260742188</v>
      </c>
      <c r="K159" s="15" t="n">
        <f aca="false">J159*(1+IF(K$3&lt;=$O$2,$D159,$D159-($D159-$I$157)*MIN(K$3-$O$2,$Q$2)/$Q$2))</f>
        <v>7931.98791503906</v>
      </c>
      <c r="L159" s="15" t="n">
        <f aca="false">K159*(1+IF(L$3&lt;=$O$2,$D159,$D159-($D159-$I$157)*MIN(L$3-$O$2,$Q$2)/$Q$2))</f>
        <v>8891.75845275879</v>
      </c>
      <c r="M159" s="15" t="n">
        <f aca="false">L159*(1+IF(M$3&lt;=$O$2,$D159,$D159-($D159-$I$157)*MIN(M$3-$O$2,$Q$2)/$Q$2))</f>
        <v>9585.31561207397</v>
      </c>
      <c r="N159" s="15" t="n">
        <f aca="false">M159*(1+IF(N$3&lt;=$O$2,$D159,$D159-($D159-$I$157)*MIN(N$3-$O$2,$Q$2)/$Q$2))</f>
        <v>9920.80165849656</v>
      </c>
      <c r="O159" s="15" t="n">
        <f aca="false">SUMPRODUCT(E159:N159,1/(1+$F$157)^$E$3:$N$3)*$E$2</f>
        <v>15886.261354366</v>
      </c>
      <c r="P159" s="15" t="n">
        <f aca="false">N159*$E$2*(1+$I$157)/($F$157-$I$157)/(1+$F$157)^$N$3</f>
        <v>118538.793831103</v>
      </c>
      <c r="Q159" s="15" t="n">
        <f aca="false">O159+P159</f>
        <v>134425.055185469</v>
      </c>
      <c r="R159" s="15" t="n">
        <f aca="false">Q159-$G$2+$I$2</f>
        <v>132872.355185469</v>
      </c>
      <c r="S159" s="40" t="n">
        <f aca="false">R159/$K$2</f>
        <v>482.487945043279</v>
      </c>
      <c r="T159" s="41" t="n">
        <f aca="false">S159-$M$2</f>
        <v>427.983424181955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39" t="n">
        <f aca="false">(B160+C160)/2</f>
        <v>-0.125</v>
      </c>
      <c r="E160" s="15" t="n">
        <f aca="false">$C$2*(1+IF(E$3&lt;=$O$2,$D160,$D160-($D160-$I$157)*MIN(E$3-$O$2,$Q$2)/$Q$2))</f>
        <v>1618.75</v>
      </c>
      <c r="F160" s="15" t="n">
        <f aca="false">E160*(1+IF(F$3&lt;=$O$2,$D160,$D160-($D160-$I$157)*MIN(F$3-$O$2,$Q$2)/$Q$2))</f>
        <v>1416.40625</v>
      </c>
      <c r="G160" s="15" t="n">
        <f aca="false">F160*(1+IF(G$3&lt;=$O$2,$D160,$D160-($D160-$I$157)*MIN(G$3-$O$2,$Q$2)/$Q$2))</f>
        <v>1239.35546875</v>
      </c>
      <c r="H160" s="15" t="n">
        <f aca="false">G160*(1+IF(H$3&lt;=$O$2,$D160,$D160-($D160-$I$157)*MIN(H$3-$O$2,$Q$2)/$Q$2))</f>
        <v>1084.43603515625</v>
      </c>
      <c r="I160" s="15" t="n">
        <f aca="false">H160*(1+IF(I$3&lt;=$O$2,$D160,$D160-($D160-$I$157)*MIN(I$3-$O$2,$Q$2)/$Q$2))</f>
        <v>948.881530761719</v>
      </c>
      <c r="J160" s="15" t="n">
        <f aca="false">I160*(1+IF(J$3&lt;=$O$2,$D160,$D160-($D160-$I$157)*MIN(J$3-$O$2,$Q$2)/$Q$2))</f>
        <v>860.635548400879</v>
      </c>
      <c r="K160" s="15" t="n">
        <f aca="false">J160*(1+IF(K$3&lt;=$O$2,$D160,$D160-($D160-$I$157)*MIN(K$3-$O$2,$Q$2)/$Q$2))</f>
        <v>808.136779948425</v>
      </c>
      <c r="L160" s="15" t="n">
        <f aca="false">K160*(1+IF(L$3&lt;=$O$2,$D160,$D160-($D160-$I$157)*MIN(L$3-$O$2,$Q$2)/$Q$2))</f>
        <v>784.700813329921</v>
      </c>
      <c r="M160" s="15" t="n">
        <f aca="false">L160*(1+IF(M$3&lt;=$O$2,$D160,$D160-($D160-$I$157)*MIN(M$3-$O$2,$Q$2)/$Q$2))</f>
        <v>787.054915769911</v>
      </c>
      <c r="N160" s="15" t="n">
        <f aca="false">M160*(1+IF(N$3&lt;=$O$2,$D160,$D160-($D160-$I$157)*MIN(N$3-$O$2,$Q$2)/$Q$2))</f>
        <v>814.601837821858</v>
      </c>
      <c r="O160" s="15" t="n">
        <f aca="false">SUMPRODUCT(E160:N160,1/(1+$F$157)^$E$3:$N$3)*$E$2</f>
        <v>2939.3803362371</v>
      </c>
      <c r="P160" s="15" t="n">
        <f aca="false">N160*$E$2*(1+$I$157)/($F$157-$I$157)/(1+$F$157)^$N$3</f>
        <v>9733.27787732789</v>
      </c>
      <c r="Q160" s="15" t="n">
        <f aca="false">O160+P160</f>
        <v>12672.658213565</v>
      </c>
      <c r="R160" s="15" t="n">
        <f aca="false">Q160-$G$2+$I$2</f>
        <v>11119.958213565</v>
      </c>
      <c r="S160" s="40" t="n">
        <f aca="false">R160/$K$2</f>
        <v>40.3789469972221</v>
      </c>
      <c r="T160" s="41" t="n">
        <f aca="false">S160-$M$2</f>
        <v>-14.1255738641019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39" t="n">
        <f aca="false">(B161+C161)/2</f>
        <v>0.0625</v>
      </c>
      <c r="E161" s="15" t="n">
        <f aca="false">$C$2*(1+IF(E$3&lt;=$O$2,$D161,$D161-($D161-$I$157)*MIN(E$3-$O$2,$Q$2)/$Q$2))</f>
        <v>1965.625</v>
      </c>
      <c r="F161" s="15" t="n">
        <f aca="false">E161*(1+IF(F$3&lt;=$O$2,$D161,$D161-($D161-$I$157)*MIN(F$3-$O$2,$Q$2)/$Q$2))</f>
        <v>2088.4765625</v>
      </c>
      <c r="G161" s="15" t="n">
        <f aca="false">F161*(1+IF(G$3&lt;=$O$2,$D161,$D161-($D161-$I$157)*MIN(G$3-$O$2,$Q$2)/$Q$2))</f>
        <v>2219.00634765625</v>
      </c>
      <c r="H161" s="15" t="n">
        <f aca="false">G161*(1+IF(H$3&lt;=$O$2,$D161,$D161-($D161-$I$157)*MIN(H$3-$O$2,$Q$2)/$Q$2))</f>
        <v>2357.69424438477</v>
      </c>
      <c r="I161" s="15" t="n">
        <f aca="false">H161*(1+IF(I$3&lt;=$O$2,$D161,$D161-($D161-$I$157)*MIN(I$3-$O$2,$Q$2)/$Q$2))</f>
        <v>2505.05013465881</v>
      </c>
      <c r="J161" s="15" t="n">
        <f aca="false">I161*(1+IF(J$3&lt;=$O$2,$D161,$D161-($D161-$I$157)*MIN(J$3-$O$2,$Q$2)/$Q$2))</f>
        <v>2647.83799233437</v>
      </c>
      <c r="K161" s="15" t="n">
        <f aca="false">J161*(1+IF(K$3&lt;=$O$2,$D161,$D161-($D161-$I$157)*MIN(K$3-$O$2,$Q$2)/$Q$2))</f>
        <v>2784.20164893959</v>
      </c>
      <c r="L161" s="15" t="n">
        <f aca="false">K161*(1+IF(L$3&lt;=$O$2,$D161,$D161-($D161-$I$157)*MIN(L$3-$O$2,$Q$2)/$Q$2))</f>
        <v>2912.27492479081</v>
      </c>
      <c r="M161" s="15" t="n">
        <f aca="false">L161*(1+IF(M$3&lt;=$O$2,$D161,$D161-($D161-$I$157)*MIN(M$3-$O$2,$Q$2)/$Q$2))</f>
        <v>3030.22205924483</v>
      </c>
      <c r="N161" s="15" t="n">
        <f aca="false">M161*(1+IF(N$3&lt;=$O$2,$D161,$D161-($D161-$I$157)*MIN(N$3-$O$2,$Q$2)/$Q$2))</f>
        <v>3136.2798313184</v>
      </c>
      <c r="O161" s="15" t="n">
        <f aca="false">SUMPRODUCT(E161:N161,1/(1+$F$157)^$E$3:$N$3)*$E$2</f>
        <v>6850.58057914698</v>
      </c>
      <c r="P161" s="15" t="n">
        <f aca="false">N161*$E$2*(1+$I$157)/($F$157-$I$157)/(1+$F$157)^$N$3</f>
        <v>37473.8696648469</v>
      </c>
      <c r="Q161" s="15" t="n">
        <f aca="false">O161+P161</f>
        <v>44324.4502439939</v>
      </c>
      <c r="R161" s="15" t="n">
        <f aca="false">Q161-$G$2+$I$2</f>
        <v>42771.7502439939</v>
      </c>
      <c r="S161" s="40" t="n">
        <f aca="false">R161/$K$2</f>
        <v>155.313374646842</v>
      </c>
      <c r="T161" s="41" t="n">
        <f aca="false">S161-$M$2</f>
        <v>100.808853785518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39" t="n">
        <f aca="false">(B162+C162)/2</f>
        <v>-0.03125</v>
      </c>
      <c r="E162" s="15" t="n">
        <f aca="false">$C$2*(1+IF(E$3&lt;=$O$2,$D162,$D162-($D162-$I$157)*MIN(E$3-$O$2,$Q$2)/$Q$2))</f>
        <v>1792.1875</v>
      </c>
      <c r="F162" s="15" t="n">
        <f aca="false">E162*(1+IF(F$3&lt;=$O$2,$D162,$D162-($D162-$I$157)*MIN(F$3-$O$2,$Q$2)/$Q$2))</f>
        <v>1736.181640625</v>
      </c>
      <c r="G162" s="15" t="n">
        <f aca="false">F162*(1+IF(G$3&lt;=$O$2,$D162,$D162-($D162-$I$157)*MIN(G$3-$O$2,$Q$2)/$Q$2))</f>
        <v>1681.92596435547</v>
      </c>
      <c r="H162" s="15" t="n">
        <f aca="false">G162*(1+IF(H$3&lt;=$O$2,$D162,$D162-($D162-$I$157)*MIN(H$3-$O$2,$Q$2)/$Q$2))</f>
        <v>1629.36577796936</v>
      </c>
      <c r="I162" s="15" t="n">
        <f aca="false">H162*(1+IF(I$3&lt;=$O$2,$D162,$D162-($D162-$I$157)*MIN(I$3-$O$2,$Q$2)/$Q$2))</f>
        <v>1578.44809740782</v>
      </c>
      <c r="J162" s="15" t="n">
        <f aca="false">I162*(1+IF(J$3&lt;=$O$2,$D162,$D162-($D162-$I$157)*MIN(J$3-$O$2,$Q$2)/$Q$2))</f>
        <v>1550.03603165448</v>
      </c>
      <c r="K162" s="15" t="n">
        <f aca="false">J162*(1+IF(K$3&lt;=$O$2,$D162,$D162-($D162-$I$157)*MIN(K$3-$O$2,$Q$2)/$Q$2))</f>
        <v>1542.67336050412</v>
      </c>
      <c r="L162" s="15" t="n">
        <f aca="false">K162*(1+IF(L$3&lt;=$O$2,$D162,$D162-($D162-$I$157)*MIN(L$3-$O$2,$Q$2)/$Q$2))</f>
        <v>1555.7860840684</v>
      </c>
      <c r="M162" s="15" t="n">
        <f aca="false">L162*(1+IF(M$3&lt;=$O$2,$D162,$D162-($D162-$I$157)*MIN(M$3-$O$2,$Q$2)/$Q$2))</f>
        <v>1589.62443139689</v>
      </c>
      <c r="N162" s="15" t="n">
        <f aca="false">M162*(1+IF(N$3&lt;=$O$2,$D162,$D162-($D162-$I$157)*MIN(N$3-$O$2,$Q$2)/$Q$2))</f>
        <v>1645.26128649578</v>
      </c>
      <c r="O162" s="15" t="n">
        <f aca="false">SUMPRODUCT(E162:N162,1/(1+$F$157)^$E$3:$N$3)*$E$2</f>
        <v>4478.32135448954</v>
      </c>
      <c r="P162" s="15" t="n">
        <f aca="false">N162*$E$2*(1+$I$157)/($F$157-$I$157)/(1+$F$157)^$N$3</f>
        <v>19658.4202720341</v>
      </c>
      <c r="Q162" s="15" t="n">
        <f aca="false">O162+P162</f>
        <v>24136.7416265236</v>
      </c>
      <c r="R162" s="15" t="n">
        <f aca="false">Q162-$G$2+$I$2</f>
        <v>22584.0416265236</v>
      </c>
      <c r="S162" s="40" t="n">
        <f aca="false">R162/$K$2</f>
        <v>82.0074862069197</v>
      </c>
      <c r="T162" s="41" t="n">
        <f aca="false">S162-$M$2</f>
        <v>27.5029653455957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-0.125</v>
      </c>
      <c r="C163" s="25" t="n">
        <f aca="false">IF(T162&gt;0,D162,C162)</f>
        <v>-0.03125</v>
      </c>
      <c r="D163" s="39" t="n">
        <f aca="false">(B163+C163)/2</f>
        <v>-0.078125</v>
      </c>
      <c r="E163" s="15" t="n">
        <f aca="false">$C$2*(1+IF(E$3&lt;=$O$2,$D163,$D163-($D163-$I$157)*MIN(E$3-$O$2,$Q$2)/$Q$2))</f>
        <v>1705.46875</v>
      </c>
      <c r="F163" s="15" t="n">
        <f aca="false">E163*(1+IF(F$3&lt;=$O$2,$D163,$D163-($D163-$I$157)*MIN(F$3-$O$2,$Q$2)/$Q$2))</f>
        <v>1572.22900390625</v>
      </c>
      <c r="G163" s="15" t="n">
        <f aca="false">F163*(1+IF(G$3&lt;=$O$2,$D163,$D163-($D163-$I$157)*MIN(G$3-$O$2,$Q$2)/$Q$2))</f>
        <v>1449.39861297607</v>
      </c>
      <c r="H163" s="15" t="n">
        <f aca="false">G163*(1+IF(H$3&lt;=$O$2,$D163,$D163-($D163-$I$157)*MIN(H$3-$O$2,$Q$2)/$Q$2))</f>
        <v>1336.16434633732</v>
      </c>
      <c r="I163" s="15" t="n">
        <f aca="false">H163*(1+IF(I$3&lt;=$O$2,$D163,$D163-($D163-$I$157)*MIN(I$3-$O$2,$Q$2)/$Q$2))</f>
        <v>1231.77650677972</v>
      </c>
      <c r="J163" s="15" t="n">
        <f aca="false">I163*(1+IF(J$3&lt;=$O$2,$D163,$D163-($D163-$I$157)*MIN(J$3-$O$2,$Q$2)/$Q$2))</f>
        <v>1163.41291065344</v>
      </c>
      <c r="K163" s="15" t="n">
        <f aca="false">J163*(1+IF(K$3&lt;=$O$2,$D163,$D163-($D163-$I$157)*MIN(K$3-$O$2,$Q$2)/$Q$2))</f>
        <v>1125.16571121571</v>
      </c>
      <c r="L163" s="15" t="n">
        <f aca="false">K163*(1+IF(L$3&lt;=$O$2,$D163,$D163-($D163-$I$157)*MIN(L$3-$O$2,$Q$2)/$Q$2))</f>
        <v>1113.63276267575</v>
      </c>
      <c r="M163" s="15" t="n">
        <f aca="false">L163*(1+IF(M$3&lt;=$O$2,$D163,$D163-($D163-$I$157)*MIN(M$3-$O$2,$Q$2)/$Q$2))</f>
        <v>1127.41396811386</v>
      </c>
      <c r="N163" s="15" t="n">
        <f aca="false">M163*(1+IF(N$3&lt;=$O$2,$D163,$D163-($D163-$I$157)*MIN(N$3-$O$2,$Q$2)/$Q$2))</f>
        <v>1166.87345699785</v>
      </c>
      <c r="O163" s="15" t="n">
        <f aca="false">SUMPRODUCT(E163:N163,1/(1+$F$157)^$E$3:$N$3)*$E$2</f>
        <v>3624.96964614194</v>
      </c>
      <c r="P163" s="15" t="n">
        <f aca="false">N163*$E$2*(1+$I$157)/($F$157-$I$157)/(1+$F$157)^$N$3</f>
        <v>13942.3986999671</v>
      </c>
      <c r="Q163" s="15" t="n">
        <f aca="false">O163+P163</f>
        <v>17567.368346109</v>
      </c>
      <c r="R163" s="15" t="n">
        <f aca="false">Q163-$G$2+$I$2</f>
        <v>16014.668346109</v>
      </c>
      <c r="S163" s="40" t="n">
        <f aca="false">R163/$K$2</f>
        <v>58.1526865394858</v>
      </c>
      <c r="T163" s="41" t="n">
        <f aca="false">S163-$M$2</f>
        <v>3.6481656781619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-0.125</v>
      </c>
      <c r="C164" s="25" t="n">
        <f aca="false">IF(T163&gt;0,D163,C163)</f>
        <v>-0.078125</v>
      </c>
      <c r="D164" s="39" t="n">
        <f aca="false">(B164+C164)/2</f>
        <v>-0.1015625</v>
      </c>
      <c r="E164" s="15" t="n">
        <f aca="false">$C$2*(1+IF(E$3&lt;=$O$2,$D164,$D164-($D164-$I$157)*MIN(E$3-$O$2,$Q$2)/$Q$2))</f>
        <v>1662.109375</v>
      </c>
      <c r="F164" s="15" t="n">
        <f aca="false">E164*(1+IF(F$3&lt;=$O$2,$D164,$D164-($D164-$I$157)*MIN(F$3-$O$2,$Q$2)/$Q$2))</f>
        <v>1493.30139160156</v>
      </c>
      <c r="G164" s="15" t="n">
        <f aca="false">F164*(1+IF(G$3&lt;=$O$2,$D164,$D164-($D164-$I$157)*MIN(G$3-$O$2,$Q$2)/$Q$2))</f>
        <v>1341.63796901703</v>
      </c>
      <c r="H164" s="15" t="n">
        <f aca="false">G164*(1+IF(H$3&lt;=$O$2,$D164,$D164-($D164-$I$157)*MIN(H$3-$O$2,$Q$2)/$Q$2))</f>
        <v>1205.37786278874</v>
      </c>
      <c r="I164" s="15" t="n">
        <f aca="false">H164*(1+IF(I$3&lt;=$O$2,$D164,$D164-($D164-$I$157)*MIN(I$3-$O$2,$Q$2)/$Q$2))</f>
        <v>1082.95667359926</v>
      </c>
      <c r="J164" s="15" t="n">
        <f aca="false">I164*(1+IF(J$3&lt;=$O$2,$D164,$D164-($D164-$I$157)*MIN(J$3-$O$2,$Q$2)/$Q$2))</f>
        <v>1002.54714058451</v>
      </c>
      <c r="K164" s="15" t="n">
        <f aca="false">J164*(1+IF(K$3&lt;=$O$2,$D164,$D164-($D164-$I$157)*MIN(K$3-$O$2,$Q$2)/$Q$2))</f>
        <v>955.490084173326</v>
      </c>
      <c r="L164" s="15" t="n">
        <f aca="false">K164*(1+IF(L$3&lt;=$O$2,$D164,$D164-($D164-$I$157)*MIN(L$3-$O$2,$Q$2)/$Q$2))</f>
        <v>936.738591271424</v>
      </c>
      <c r="M164" s="15" t="n">
        <f aca="false">L164*(1+IF(M$3&lt;=$O$2,$D164,$D164-($D164-$I$157)*MIN(M$3-$O$2,$Q$2)/$Q$2))</f>
        <v>943.939769191823</v>
      </c>
      <c r="N164" s="15" t="n">
        <f aca="false">M164*(1+IF(N$3&lt;=$O$2,$D164,$D164-($D164-$I$157)*MIN(N$3-$O$2,$Q$2)/$Q$2))</f>
        <v>976.977661113537</v>
      </c>
      <c r="O164" s="15" t="n">
        <f aca="false">SUMPRODUCT(E164:N164,1/(1+$F$157)^$E$3:$N$3)*$E$2</f>
        <v>3263.35640568534</v>
      </c>
      <c r="P164" s="15" t="n">
        <f aca="false">N164*$E$2*(1+$I$157)/($F$157-$I$157)/(1+$F$157)^$N$3</f>
        <v>11673.426960325</v>
      </c>
      <c r="Q164" s="15" t="n">
        <f aca="false">O164+P164</f>
        <v>14936.7833660103</v>
      </c>
      <c r="R164" s="15" t="n">
        <f aca="false">Q164-$G$2+$I$2</f>
        <v>13384.0833660103</v>
      </c>
      <c r="S164" s="40" t="n">
        <f aca="false">R164/$K$2</f>
        <v>48.6004697556567</v>
      </c>
      <c r="T164" s="41" t="n">
        <f aca="false">S164-$M$2</f>
        <v>-5.90405110566726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-0.1015625</v>
      </c>
      <c r="C165" s="25" t="n">
        <f aca="false">IF(T164&gt;0,D164,C164)</f>
        <v>-0.078125</v>
      </c>
      <c r="D165" s="39" t="n">
        <f aca="false">(B165+C165)/2</f>
        <v>-0.08984375</v>
      </c>
      <c r="E165" s="15" t="n">
        <f aca="false">$C$2*(1+IF(E$3&lt;=$O$2,$D165,$D165-($D165-$I$157)*MIN(E$3-$O$2,$Q$2)/$Q$2))</f>
        <v>1683.7890625</v>
      </c>
      <c r="F165" s="15" t="n">
        <f aca="false">E165*(1+IF(F$3&lt;=$O$2,$D165,$D165-($D165-$I$157)*MIN(F$3-$O$2,$Q$2)/$Q$2))</f>
        <v>1532.51113891602</v>
      </c>
      <c r="G165" s="15" t="n">
        <f aca="false">F165*(1+IF(G$3&lt;=$O$2,$D165,$D165-($D165-$I$157)*MIN(G$3-$O$2,$Q$2)/$Q$2))</f>
        <v>1394.82459127903</v>
      </c>
      <c r="H165" s="15" t="n">
        <f aca="false">G165*(1+IF(H$3&lt;=$O$2,$D165,$D165-($D165-$I$157)*MIN(H$3-$O$2,$Q$2)/$Q$2))</f>
        <v>1269.5083194063</v>
      </c>
      <c r="I165" s="15" t="n">
        <f aca="false">H165*(1+IF(I$3&lt;=$O$2,$D165,$D165-($D165-$I$157)*MIN(I$3-$O$2,$Q$2)/$Q$2))</f>
        <v>1155.45093133464</v>
      </c>
      <c r="J165" s="15" t="n">
        <f aca="false">I165*(1+IF(J$3&lt;=$O$2,$D165,$D165-($D165-$I$157)*MIN(J$3-$O$2,$Q$2)/$Q$2))</f>
        <v>1080.49105216431</v>
      </c>
      <c r="K165" s="15" t="n">
        <f aca="false">J165*(1+IF(K$3&lt;=$O$2,$D165,$D165-($D165-$I$157)*MIN(K$3-$O$2,$Q$2)/$Q$2))</f>
        <v>1037.37270611388</v>
      </c>
      <c r="L165" s="15" t="n">
        <f aca="false">K165*(1+IF(L$3&lt;=$O$2,$D165,$D165-($D165-$I$157)*MIN(L$3-$O$2,$Q$2)/$Q$2))</f>
        <v>1021.8769513163</v>
      </c>
      <c r="M165" s="15" t="n">
        <f aca="false">L165*(1+IF(M$3&lt;=$O$2,$D165,$D165-($D165-$I$157)*MIN(M$3-$O$2,$Q$2)/$Q$2))</f>
        <v>1032.12765448419</v>
      </c>
      <c r="N165" s="15" t="n">
        <f aca="false">M165*(1+IF(N$3&lt;=$O$2,$D165,$D165-($D165-$I$157)*MIN(N$3-$O$2,$Q$2)/$Q$2))</f>
        <v>1068.25212239114</v>
      </c>
      <c r="O165" s="15" t="n">
        <f aca="false">SUMPRODUCT(E165:N165,1/(1+$F$157)^$E$3:$N$3)*$E$2</f>
        <v>3439.20490554353</v>
      </c>
      <c r="P165" s="15" t="n">
        <f aca="false">N165*$E$2*(1+$I$157)/($F$157-$I$157)/(1+$F$157)^$N$3</f>
        <v>12764.0207369039</v>
      </c>
      <c r="Q165" s="15" t="n">
        <f aca="false">O165+P165</f>
        <v>16203.2256424475</v>
      </c>
      <c r="R165" s="15" t="n">
        <f aca="false">Q165-$G$2+$I$2</f>
        <v>14650.5256424475</v>
      </c>
      <c r="S165" s="40" t="n">
        <f aca="false">R165/$K$2</f>
        <v>53.1991925721611</v>
      </c>
      <c r="T165" s="41" t="n">
        <f aca="false">S165-$M$2</f>
        <v>-1.30532828916279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-0.08984375</v>
      </c>
      <c r="C166" s="25" t="n">
        <f aca="false">IF(T165&gt;0,D165,C165)</f>
        <v>-0.078125</v>
      </c>
      <c r="D166" s="39" t="n">
        <f aca="false">(B166+C166)/2</f>
        <v>-0.083984375</v>
      </c>
      <c r="E166" s="15" t="n">
        <f aca="false">$C$2*(1+IF(E$3&lt;=$O$2,$D166,$D166-($D166-$I$157)*MIN(E$3-$O$2,$Q$2)/$Q$2))</f>
        <v>1694.62890625</v>
      </c>
      <c r="F166" s="15" t="n">
        <f aca="false">E166*(1+IF(F$3&lt;=$O$2,$D166,$D166-($D166-$I$157)*MIN(F$3-$O$2,$Q$2)/$Q$2))</f>
        <v>1552.30655670166</v>
      </c>
      <c r="G166" s="15" t="n">
        <f aca="false">F166*(1+IF(G$3&lt;=$O$2,$D166,$D166-($D166-$I$157)*MIN(G$3-$O$2,$Q$2)/$Q$2))</f>
        <v>1421.93706072867</v>
      </c>
      <c r="H166" s="15" t="n">
        <f aca="false">G166*(1+IF(H$3&lt;=$O$2,$D166,$D166-($D166-$I$157)*MIN(H$3-$O$2,$Q$2)/$Q$2))</f>
        <v>1302.51656539403</v>
      </c>
      <c r="I166" s="15" t="n">
        <f aca="false">H166*(1+IF(I$3&lt;=$O$2,$D166,$D166-($D166-$I$157)*MIN(I$3-$O$2,$Q$2)/$Q$2))</f>
        <v>1193.12552572227</v>
      </c>
      <c r="J166" s="15" t="n">
        <f aca="false">I166*(1+IF(J$3&lt;=$O$2,$D166,$D166-($D166-$I$157)*MIN(J$3-$O$2,$Q$2)/$Q$2))</f>
        <v>1121.31428314286</v>
      </c>
      <c r="K166" s="15" t="n">
        <f aca="false">J166*(1+IF(K$3&lt;=$O$2,$D166,$D166-($D166-$I$157)*MIN(K$3-$O$2,$Q$2)/$Q$2))</f>
        <v>1080.50895555787</v>
      </c>
      <c r="L166" s="15" t="n">
        <f aca="false">K166*(1+IF(L$3&lt;=$O$2,$D166,$D166-($D166-$I$157)*MIN(L$3-$O$2,$Q$2)/$Q$2))</f>
        <v>1066.90129589881</v>
      </c>
      <c r="M166" s="15" t="n">
        <f aca="false">L166*(1+IF(M$3&lt;=$O$2,$D166,$D166-($D166-$I$157)*MIN(M$3-$O$2,$Q$2)/$Q$2))</f>
        <v>1078.85392447943</v>
      </c>
      <c r="N166" s="15" t="n">
        <f aca="false">M166*(1+IF(N$3&lt;=$O$2,$D166,$D166-($D166-$I$157)*MIN(N$3-$O$2,$Q$2)/$Q$2))</f>
        <v>1116.6138118362</v>
      </c>
      <c r="O166" s="15" t="n">
        <f aca="false">SUMPRODUCT(E166:N166,1/(1+$F$157)^$E$3:$N$3)*$E$2</f>
        <v>3530.81475278717</v>
      </c>
      <c r="P166" s="15" t="n">
        <f aca="false">N166*$E$2*(1+$I$157)/($F$157-$I$157)/(1+$F$157)^$N$3</f>
        <v>13341.870847388</v>
      </c>
      <c r="Q166" s="15" t="n">
        <f aca="false">O166+P166</f>
        <v>16872.6856001751</v>
      </c>
      <c r="R166" s="15" t="n">
        <f aca="false">Q166-$G$2+$I$2</f>
        <v>15319.9856001751</v>
      </c>
      <c r="S166" s="40" t="n">
        <f aca="false">R166/$K$2</f>
        <v>55.6301448860711</v>
      </c>
      <c r="T166" s="41" t="n">
        <f aca="false">S166-$M$2</f>
        <v>1.1256240247472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-0.08984375</v>
      </c>
      <c r="C167" s="25" t="n">
        <f aca="false">IF(T166&gt;0,D166,C166)</f>
        <v>-0.083984375</v>
      </c>
      <c r="D167" s="39" t="n">
        <f aca="false">(B167+C167)/2</f>
        <v>-0.0869140625</v>
      </c>
      <c r="E167" s="15" t="n">
        <f aca="false">$C$2*(1+IF(E$3&lt;=$O$2,$D167,$D167-($D167-$I$157)*MIN(E$3-$O$2,$Q$2)/$Q$2))</f>
        <v>1689.208984375</v>
      </c>
      <c r="F167" s="15" t="n">
        <f aca="false">E167*(1+IF(F$3&lt;=$O$2,$D167,$D167-($D167-$I$157)*MIN(F$3-$O$2,$Q$2)/$Q$2))</f>
        <v>1542.39296913147</v>
      </c>
      <c r="G167" s="15" t="n">
        <f aca="false">F167*(1+IF(G$3&lt;=$O$2,$D167,$D167-($D167-$I$157)*MIN(G$3-$O$2,$Q$2)/$Q$2))</f>
        <v>1408.33733021282</v>
      </c>
      <c r="H167" s="15" t="n">
        <f aca="false">G167*(1+IF(H$3&lt;=$O$2,$D167,$D167-($D167-$I$157)*MIN(H$3-$O$2,$Q$2)/$Q$2))</f>
        <v>1285.93301147362</v>
      </c>
      <c r="I167" s="15" t="n">
        <f aca="false">H167*(1+IF(I$3&lt;=$O$2,$D167,$D167-($D167-$I$157)*MIN(I$3-$O$2,$Q$2)/$Q$2))</f>
        <v>1174.16734934359</v>
      </c>
      <c r="J167" s="15" t="n">
        <f aca="false">I167*(1+IF(J$3&lt;=$O$2,$D167,$D167-($D167-$I$157)*MIN(J$3-$O$2,$Q$2)/$Q$2))</f>
        <v>1100.74519727994</v>
      </c>
      <c r="K167" s="15" t="n">
        <f aca="false">J167*(1+IF(K$3&lt;=$O$2,$D167,$D167-($D167-$I$157)*MIN(K$3-$O$2,$Q$2)/$Q$2))</f>
        <v>1058.75348791809</v>
      </c>
      <c r="L167" s="15" t="n">
        <f aca="false">K167*(1+IF(L$3&lt;=$O$2,$D167,$D167-($D167-$I$157)*MIN(L$3-$O$2,$Q$2)/$Q$2))</f>
        <v>1044.17908443596</v>
      </c>
      <c r="M167" s="15" t="n">
        <f aca="false">L167*(1+IF(M$3&lt;=$O$2,$D167,$D167-($D167-$I$157)*MIN(M$3-$O$2,$Q$2)/$Q$2))</f>
        <v>1055.265329559</v>
      </c>
      <c r="N167" s="15" t="n">
        <f aca="false">M167*(1+IF(N$3&lt;=$O$2,$D167,$D167-($D167-$I$157)*MIN(N$3-$O$2,$Q$2)/$Q$2))</f>
        <v>1092.19961609356</v>
      </c>
      <c r="O167" s="15" t="n">
        <f aca="false">SUMPRODUCT(E167:N167,1/(1+$F$157)^$E$3:$N$3)*$E$2</f>
        <v>3484.69588241643</v>
      </c>
      <c r="P167" s="15" t="n">
        <f aca="false">N167*$E$2*(1+$I$157)/($F$157-$I$157)/(1+$F$157)^$N$3</f>
        <v>13050.1575952426</v>
      </c>
      <c r="Q167" s="15" t="n">
        <f aca="false">O167+P167</f>
        <v>16534.853477659</v>
      </c>
      <c r="R167" s="15" t="n">
        <f aca="false">Q167-$G$2+$I$2</f>
        <v>14982.153477659</v>
      </c>
      <c r="S167" s="40" t="n">
        <f aca="false">R167/$K$2</f>
        <v>54.4034041819202</v>
      </c>
      <c r="T167" s="41" t="n">
        <f aca="false">S167-$M$2</f>
        <v>-0.101116679403695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-0.0869140625</v>
      </c>
      <c r="C168" s="25" t="n">
        <f aca="false">IF(T167&gt;0,D167,C167)</f>
        <v>-0.083984375</v>
      </c>
      <c r="D168" s="39" t="n">
        <f aca="false">(B168+C168)/2</f>
        <v>-0.08544921875</v>
      </c>
      <c r="E168" s="15" t="n">
        <f aca="false">$C$2*(1+IF(E$3&lt;=$O$2,$D168,$D168-($D168-$I$157)*MIN(E$3-$O$2,$Q$2)/$Q$2))</f>
        <v>1691.9189453125</v>
      </c>
      <c r="F168" s="15" t="n">
        <f aca="false">E168*(1+IF(F$3&lt;=$O$2,$D168,$D168-($D168-$I$157)*MIN(F$3-$O$2,$Q$2)/$Q$2))</f>
        <v>1547.34579324722</v>
      </c>
      <c r="G168" s="15" t="n">
        <f aca="false">F168*(1+IF(G$3&lt;=$O$2,$D168,$D168-($D168-$I$157)*MIN(G$3-$O$2,$Q$2)/$Q$2))</f>
        <v>1415.12630407815</v>
      </c>
      <c r="H168" s="15" t="n">
        <f aca="false">G168*(1+IF(H$3&lt;=$O$2,$D168,$D168-($D168-$I$157)*MIN(H$3-$O$2,$Q$2)/$Q$2))</f>
        <v>1294.2048669621</v>
      </c>
      <c r="I168" s="15" t="n">
        <f aca="false">H168*(1+IF(I$3&lt;=$O$2,$D168,$D168-($D168-$I$157)*MIN(I$3-$O$2,$Q$2)/$Q$2))</f>
        <v>1183.61607217774</v>
      </c>
      <c r="J168" s="15" t="n">
        <f aca="false">I168*(1+IF(J$3&lt;=$O$2,$D168,$D168-($D168-$I$157)*MIN(J$3-$O$2,$Q$2)/$Q$2))</f>
        <v>1110.99012974896</v>
      </c>
      <c r="K168" s="15" t="n">
        <f aca="false">J168*(1+IF(K$3&lt;=$O$2,$D168,$D168-($D168-$I$157)*MIN(K$3-$O$2,$Q$2)/$Q$2))</f>
        <v>1069.58404838984</v>
      </c>
      <c r="L168" s="15" t="n">
        <f aca="false">K168*(1+IF(L$3&lt;=$O$2,$D168,$D168-($D168-$I$157)*MIN(L$3-$O$2,$Q$2)/$Q$2))</f>
        <v>1055.48726487707</v>
      </c>
      <c r="M168" s="15" t="n">
        <f aca="false">L168*(1+IF(M$3&lt;=$O$2,$D168,$D168-($D168-$I$157)*MIN(M$3-$O$2,$Q$2)/$Q$2))</f>
        <v>1067.00279585677</v>
      </c>
      <c r="N168" s="15" t="n">
        <f aca="false">M168*(1+IF(N$3&lt;=$O$2,$D168,$D168-($D168-$I$157)*MIN(N$3-$O$2,$Q$2)/$Q$2))</f>
        <v>1104.34789371175</v>
      </c>
      <c r="O168" s="15" t="n">
        <f aca="false">SUMPRODUCT(E168:N168,1/(1+$F$157)^$E$3:$N$3)*$E$2</f>
        <v>3507.67631169563</v>
      </c>
      <c r="P168" s="15" t="n">
        <f aca="false">N168*$E$2*(1+$I$157)/($F$157-$I$157)/(1+$F$157)^$N$3</f>
        <v>13195.3114069562</v>
      </c>
      <c r="Q168" s="15" t="n">
        <f aca="false">O168+P168</f>
        <v>16702.9877186519</v>
      </c>
      <c r="R168" s="15" t="n">
        <f aca="false">Q168-$G$2+$I$2</f>
        <v>15150.2877186519</v>
      </c>
      <c r="S168" s="40" t="n">
        <f aca="false">R168/$K$2</f>
        <v>55.0139355773698</v>
      </c>
      <c r="T168" s="41" t="n">
        <f aca="false">S168-$M$2</f>
        <v>0.509414716045832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-0.0869140625</v>
      </c>
      <c r="C169" s="25" t="n">
        <f aca="false">IF(T168&gt;0,D168,C168)</f>
        <v>-0.08544921875</v>
      </c>
      <c r="D169" s="39" t="n">
        <f aca="false">(B169+C169)/2</f>
        <v>-0.086181640625</v>
      </c>
      <c r="E169" s="15" t="n">
        <f aca="false">$C$2*(1+IF(E$3&lt;=$O$2,$D169,$D169-($D169-$I$157)*MIN(E$3-$O$2,$Q$2)/$Q$2))</f>
        <v>1690.56396484375</v>
      </c>
      <c r="F169" s="15" t="n">
        <f aca="false">E169*(1+IF(F$3&lt;=$O$2,$D169,$D169-($D169-$I$157)*MIN(F$3-$O$2,$Q$2)/$Q$2))</f>
        <v>1544.86838877201</v>
      </c>
      <c r="G169" s="15" t="n">
        <f aca="false">F169*(1+IF(G$3&lt;=$O$2,$D169,$D169-($D169-$I$157)*MIN(G$3-$O$2,$Q$2)/$Q$2))</f>
        <v>1411.72909647794</v>
      </c>
      <c r="H169" s="15" t="n">
        <f aca="false">G169*(1+IF(H$3&lt;=$O$2,$D169,$D169-($D169-$I$157)*MIN(H$3-$O$2,$Q$2)/$Q$2))</f>
        <v>1290.06396682542</v>
      </c>
      <c r="I169" s="15" t="n">
        <f aca="false">H169*(1+IF(I$3&lt;=$O$2,$D169,$D169-($D169-$I$157)*MIN(I$3-$O$2,$Q$2)/$Q$2))</f>
        <v>1178.88413765321</v>
      </c>
      <c r="J169" s="15" t="n">
        <f aca="false">I169*(1+IF(J$3&lt;=$O$2,$D169,$D169-($D169-$I$157)*MIN(J$3-$O$2,$Q$2)/$Q$2))</f>
        <v>1105.85779134499</v>
      </c>
      <c r="K169" s="15" t="n">
        <f aca="false">J169*(1+IF(K$3&lt;=$O$2,$D169,$D169-($D169-$I$157)*MIN(K$3-$O$2,$Q$2)/$Q$2))</f>
        <v>1064.15701717019</v>
      </c>
      <c r="L169" s="15" t="n">
        <f aca="false">K169*(1+IF(L$3&lt;=$O$2,$D169,$D169-($D169-$I$157)*MIN(L$3-$O$2,$Q$2)/$Q$2))</f>
        <v>1049.81999548183</v>
      </c>
      <c r="M169" s="15" t="n">
        <f aca="false">L169*(1+IF(M$3&lt;=$O$2,$D169,$D169-($D169-$I$157)*MIN(M$3-$O$2,$Q$2)/$Q$2))</f>
        <v>1061.11991344101</v>
      </c>
      <c r="N169" s="15" t="n">
        <f aca="false">M169*(1+IF(N$3&lt;=$O$2,$D169,$D169-($D169-$I$157)*MIN(N$3-$O$2,$Q$2)/$Q$2))</f>
        <v>1098.25911041145</v>
      </c>
      <c r="O169" s="15" t="n">
        <f aca="false">SUMPRODUCT(E169:N169,1/(1+$F$157)^$E$3:$N$3)*$E$2</f>
        <v>3496.16641071705</v>
      </c>
      <c r="P169" s="15" t="n">
        <f aca="false">N169*$E$2*(1+$I$157)/($F$157-$I$157)/(1+$F$157)^$N$3</f>
        <v>13122.5595212556</v>
      </c>
      <c r="Q169" s="15" t="n">
        <f aca="false">O169+P169</f>
        <v>16618.7259319726</v>
      </c>
      <c r="R169" s="15" t="n">
        <f aca="false">Q169-$G$2+$I$2</f>
        <v>15066.0259319726</v>
      </c>
      <c r="S169" s="40" t="n">
        <f aca="false">R169/$K$2</f>
        <v>54.7079630050933</v>
      </c>
      <c r="T169" s="41" t="n">
        <f aca="false">S169-$M$2</f>
        <v>0.203442143769358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-0.0869140625</v>
      </c>
      <c r="C170" s="25" t="n">
        <f aca="false">IF(T169&gt;0,D169,C169)</f>
        <v>-0.086181640625</v>
      </c>
      <c r="D170" s="39" t="n">
        <f aca="false">(B170+C170)/2</f>
        <v>-0.0865478515625</v>
      </c>
      <c r="E170" s="15" t="n">
        <f aca="false">$C$2*(1+IF(E$3&lt;=$O$2,$D170,$D170-($D170-$I$157)*MIN(E$3-$O$2,$Q$2)/$Q$2))</f>
        <v>1689.88647460938</v>
      </c>
      <c r="F170" s="15" t="n">
        <f aca="false">E170*(1+IF(F$3&lt;=$O$2,$D170,$D170-($D170-$I$157)*MIN(F$3-$O$2,$Q$2)/$Q$2))</f>
        <v>1543.63043084741</v>
      </c>
      <c r="G170" s="15" t="n">
        <f aca="false">F170*(1+IF(G$3&lt;=$O$2,$D170,$D170-($D170-$I$157)*MIN(G$3-$O$2,$Q$2)/$Q$2))</f>
        <v>1410.03253345107</v>
      </c>
      <c r="H170" s="15" t="n">
        <f aca="false">G170*(1+IF(H$3&lt;=$O$2,$D170,$D170-($D170-$I$157)*MIN(H$3-$O$2,$Q$2)/$Q$2))</f>
        <v>1287.99724704765</v>
      </c>
      <c r="I170" s="15" t="n">
        <f aca="false">H170*(1+IF(I$3&lt;=$O$2,$D170,$D170-($D170-$I$157)*MIN(I$3-$O$2,$Q$2)/$Q$2))</f>
        <v>1176.52385249726</v>
      </c>
      <c r="J170" s="15" t="n">
        <f aca="false">I170*(1+IF(J$3&lt;=$O$2,$D170,$D170-($D170-$I$157)*MIN(J$3-$O$2,$Q$2)/$Q$2))</f>
        <v>1103.2990300682</v>
      </c>
      <c r="K170" s="15" t="n">
        <f aca="false">J170*(1+IF(K$3&lt;=$O$2,$D170,$D170-($D170-$I$157)*MIN(K$3-$O$2,$Q$2)/$Q$2))</f>
        <v>1061.45232007912</v>
      </c>
      <c r="L170" s="15" t="n">
        <f aca="false">K170*(1+IF(L$3&lt;=$O$2,$D170,$D170-($D170-$I$157)*MIN(L$3-$O$2,$Q$2)/$Q$2))</f>
        <v>1046.99625166523</v>
      </c>
      <c r="M170" s="15" t="n">
        <f aca="false">L170*(1+IF(M$3&lt;=$O$2,$D170,$D170-($D170-$I$157)*MIN(M$3-$O$2,$Q$2)/$Q$2))</f>
        <v>1058.18909147673</v>
      </c>
      <c r="N170" s="15" t="n">
        <f aca="false">M170*(1+IF(N$3&lt;=$O$2,$D170,$D170-($D170-$I$157)*MIN(N$3-$O$2,$Q$2)/$Q$2))</f>
        <v>1095.22570967842</v>
      </c>
      <c r="O170" s="15" t="n">
        <f aca="false">SUMPRODUCT(E170:N170,1/(1+$F$157)^$E$3:$N$3)*$E$2</f>
        <v>3490.42623310356</v>
      </c>
      <c r="P170" s="15" t="n">
        <f aca="false">N170*$E$2*(1+$I$157)/($F$157-$I$157)/(1+$F$157)^$N$3</f>
        <v>13086.3149034841</v>
      </c>
      <c r="Q170" s="15" t="n">
        <f aca="false">O170+P170</f>
        <v>16576.7411365876</v>
      </c>
      <c r="R170" s="15" t="n">
        <f aca="false">Q170-$G$2+$I$2</f>
        <v>15024.0411365876</v>
      </c>
      <c r="S170" s="40" t="n">
        <f aca="false">R170/$K$2</f>
        <v>54.5555072318808</v>
      </c>
      <c r="T170" s="41" t="n">
        <f aca="false">S170-$M$2</f>
        <v>0.0509863705568208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-0.0869140625</v>
      </c>
      <c r="C171" s="25" t="n">
        <f aca="false">IF(T170&gt;0,D170,C170)</f>
        <v>-0.0865478515625</v>
      </c>
      <c r="D171" s="39" t="n">
        <f aca="false">(B171+C171)/2</f>
        <v>-0.08673095703125</v>
      </c>
      <c r="E171" s="15" t="n">
        <f aca="false">$C$2*(1+IF(E$3&lt;=$O$2,$D171,$D171-($D171-$I$157)*MIN(E$3-$O$2,$Q$2)/$Q$2))</f>
        <v>1689.54772949219</v>
      </c>
      <c r="F171" s="15" t="n">
        <f aca="false">E171*(1+IF(F$3&lt;=$O$2,$D171,$D171-($D171-$I$157)*MIN(F$3-$O$2,$Q$2)/$Q$2))</f>
        <v>1543.01163796335</v>
      </c>
      <c r="G171" s="15" t="n">
        <f aca="false">F171*(1+IF(G$3&lt;=$O$2,$D171,$D171-($D171-$I$157)*MIN(G$3-$O$2,$Q$2)/$Q$2))</f>
        <v>1409.18476189244</v>
      </c>
      <c r="H171" s="15" t="n">
        <f aca="false">G171*(1+IF(H$3&lt;=$O$2,$D171,$D171-($D171-$I$157)*MIN(H$3-$O$2,$Q$2)/$Q$2))</f>
        <v>1286.96481885965</v>
      </c>
      <c r="I171" s="15" t="n">
        <f aca="false">H171*(1+IF(I$3&lt;=$O$2,$D171,$D171-($D171-$I$157)*MIN(I$3-$O$2,$Q$2)/$Q$2))</f>
        <v>1175.3451284544</v>
      </c>
      <c r="J171" s="15" t="n">
        <f aca="false">I171*(1+IF(J$3&lt;=$O$2,$D171,$D171-($D171-$I$157)*MIN(J$3-$O$2,$Q$2)/$Q$2))</f>
        <v>1102.02149808729</v>
      </c>
      <c r="K171" s="15" t="n">
        <f aca="false">J171*(1+IF(K$3&lt;=$O$2,$D171,$D171-($D171-$I$157)*MIN(K$3-$O$2,$Q$2)/$Q$2))</f>
        <v>1060.10217154164</v>
      </c>
      <c r="L171" s="15" t="n">
        <f aca="false">K171*(1+IF(L$3&lt;=$O$2,$D171,$D171-($D171-$I$157)*MIN(L$3-$O$2,$Q$2)/$Q$2))</f>
        <v>1045.58684678853</v>
      </c>
      <c r="M171" s="15" t="n">
        <f aca="false">L171*(1+IF(M$3&lt;=$O$2,$D171,$D171-($D171-$I$157)*MIN(M$3-$O$2,$Q$2)/$Q$2))</f>
        <v>1056.72632892236</v>
      </c>
      <c r="N171" s="15" t="n">
        <f aca="false">M171*(1+IF(N$3&lt;=$O$2,$D171,$D171-($D171-$I$157)*MIN(N$3-$O$2,$Q$2)/$Q$2))</f>
        <v>1093.71175043464</v>
      </c>
      <c r="O171" s="15" t="n">
        <f aca="false">SUMPRODUCT(E171:N171,1/(1+$F$157)^$E$3:$N$3)*$E$2</f>
        <v>3487.55983040811</v>
      </c>
      <c r="P171" s="15" t="n">
        <f aca="false">N171*$E$2*(1+$I$157)/($F$157-$I$157)/(1+$F$157)^$N$3</f>
        <v>13068.2253469296</v>
      </c>
      <c r="Q171" s="15" t="n">
        <f aca="false">O171+P171</f>
        <v>16555.7851773377</v>
      </c>
      <c r="R171" s="15" t="n">
        <f aca="false">Q171-$G$2+$I$2</f>
        <v>15003.0851773377</v>
      </c>
      <c r="S171" s="40" t="n">
        <f aca="false">R171/$K$2</f>
        <v>54.4794116610541</v>
      </c>
      <c r="T171" s="41" t="n">
        <f aca="false">S171-$M$2</f>
        <v>-0.0251092002697959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-0.08673095703125</v>
      </c>
      <c r="C172" s="25" t="n">
        <f aca="false">IF(T171&gt;0,D171,C171)</f>
        <v>-0.0865478515625</v>
      </c>
      <c r="D172" s="39" t="n">
        <f aca="false">(B172+C172)/2</f>
        <v>-0.086639404296875</v>
      </c>
      <c r="E172" s="15" t="n">
        <f aca="false">$C$2*(1+IF(E$3&lt;=$O$2,$D172,$D172-($D172-$I$157)*MIN(E$3-$O$2,$Q$2)/$Q$2))</f>
        <v>1689.71710205078</v>
      </c>
      <c r="F172" s="15" t="n">
        <f aca="false">E172*(1+IF(F$3&lt;=$O$2,$D172,$D172-($D172-$I$157)*MIN(F$3-$O$2,$Q$2)/$Q$2))</f>
        <v>1543.32101889886</v>
      </c>
      <c r="G172" s="15" t="n">
        <f aca="false">F172*(1+IF(G$3&lt;=$O$2,$D172,$D172-($D172-$I$157)*MIN(G$3-$O$2,$Q$2)/$Q$2))</f>
        <v>1409.60860518262</v>
      </c>
      <c r="H172" s="15" t="n">
        <f aca="false">G172*(1+IF(H$3&lt;=$O$2,$D172,$D172-($D172-$I$157)*MIN(H$3-$O$2,$Q$2)/$Q$2))</f>
        <v>1287.48095533785</v>
      </c>
      <c r="I172" s="15" t="n">
        <f aca="false">H172*(1+IF(I$3&lt;=$O$2,$D172,$D172-($D172-$I$157)*MIN(I$3-$O$2,$Q$2)/$Q$2))</f>
        <v>1175.9343723238</v>
      </c>
      <c r="J172" s="15" t="n">
        <f aca="false">I172*(1+IF(J$3&lt;=$O$2,$D172,$D172-($D172-$I$157)*MIN(J$3-$O$2,$Q$2)/$Q$2))</f>
        <v>1102.66011012179</v>
      </c>
      <c r="K172" s="15" t="n">
        <f aca="false">J172*(1+IF(K$3&lt;=$O$2,$D172,$D172-($D172-$I$157)*MIN(K$3-$O$2,$Q$2)/$Q$2))</f>
        <v>1060.77706261376</v>
      </c>
      <c r="L172" s="15" t="n">
        <f aca="false">K172*(1+IF(L$3&lt;=$O$2,$D172,$D172-($D172-$I$157)*MIN(L$3-$O$2,$Q$2)/$Q$2))</f>
        <v>1046.29134381</v>
      </c>
      <c r="M172" s="15" t="n">
        <f aca="false">L172*(1+IF(M$3&lt;=$O$2,$D172,$D172-($D172-$I$157)*MIN(M$3-$O$2,$Q$2)/$Q$2))</f>
        <v>1057.45748968694</v>
      </c>
      <c r="N172" s="15" t="n">
        <f aca="false">M172*(1+IF(N$3&lt;=$O$2,$D172,$D172-($D172-$I$157)*MIN(N$3-$O$2,$Q$2)/$Q$2))</f>
        <v>1094.46850182598</v>
      </c>
      <c r="O172" s="15" t="n">
        <f aca="false">SUMPRODUCT(E172:N172,1/(1+$F$157)^$E$3:$N$3)*$E$2</f>
        <v>3488.99272479118</v>
      </c>
      <c r="P172" s="15" t="n">
        <f aca="false">N172*$E$2*(1+$I$157)/($F$157-$I$157)/(1+$F$157)^$N$3</f>
        <v>13077.267398192</v>
      </c>
      <c r="Q172" s="15" t="n">
        <f aca="false">O172+P172</f>
        <v>16566.2601229832</v>
      </c>
      <c r="R172" s="15" t="n">
        <f aca="false">Q172-$G$2+$I$2</f>
        <v>15013.5601229831</v>
      </c>
      <c r="S172" s="40" t="n">
        <f aca="false">R172/$K$2</f>
        <v>54.5174484294388</v>
      </c>
      <c r="T172" s="41" t="n">
        <f aca="false">S172-$M$2</f>
        <v>0.0129275681148542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-0.08673095703125</v>
      </c>
      <c r="C173" s="25" t="n">
        <f aca="false">IF(T172&gt;0,D172,C172)</f>
        <v>-0.086639404296875</v>
      </c>
      <c r="D173" s="39" t="n">
        <f aca="false">(B173+C173)/2</f>
        <v>-0.0866851806640625</v>
      </c>
      <c r="E173" s="15" t="n">
        <f aca="false">$C$2*(1+IF(E$3&lt;=$O$2,$D173,$D173-($D173-$I$157)*MIN(E$3-$O$2,$Q$2)/$Q$2))</f>
        <v>1689.63241577148</v>
      </c>
      <c r="F173" s="15" t="n">
        <f aca="false">E173*(1+IF(F$3&lt;=$O$2,$D173,$D173-($D173-$I$157)*MIN(F$3-$O$2,$Q$2)/$Q$2))</f>
        <v>1543.16632455448</v>
      </c>
      <c r="G173" s="15" t="n">
        <f aca="false">F173*(1+IF(G$3&lt;=$O$2,$D173,$D173-($D173-$I$157)*MIN(G$3-$O$2,$Q$2)/$Q$2))</f>
        <v>1409.39667291577</v>
      </c>
      <c r="H173" s="15" t="n">
        <f aca="false">G173*(1+IF(H$3&lt;=$O$2,$D173,$D173-($D173-$I$157)*MIN(H$3-$O$2,$Q$2)/$Q$2))</f>
        <v>1287.22286769674</v>
      </c>
      <c r="I173" s="15" t="n">
        <f aca="false">H173*(1+IF(I$3&lt;=$O$2,$D173,$D173-($D173-$I$157)*MIN(I$3-$O$2,$Q$2)/$Q$2))</f>
        <v>1175.63972085554</v>
      </c>
      <c r="J173" s="15" t="n">
        <f aca="false">I173*(1+IF(J$3&lt;=$O$2,$D173,$D173-($D173-$I$157)*MIN(J$3-$O$2,$Q$2)/$Q$2))</f>
        <v>1102.34076562296</v>
      </c>
      <c r="K173" s="15" t="n">
        <f aca="false">J173*(1+IF(K$3&lt;=$O$2,$D173,$D173-($D173-$I$157)*MIN(K$3-$O$2,$Q$2)/$Q$2))</f>
        <v>1060.43957128885</v>
      </c>
      <c r="L173" s="15" t="n">
        <f aca="false">K173*(1+IF(L$3&lt;=$O$2,$D173,$D173-($D173-$I$157)*MIN(L$3-$O$2,$Q$2)/$Q$2))</f>
        <v>1045.93904395771</v>
      </c>
      <c r="M173" s="15" t="n">
        <f aca="false">L173*(1+IF(M$3&lt;=$O$2,$D173,$D173-($D173-$I$157)*MIN(M$3-$O$2,$Q$2)/$Q$2))</f>
        <v>1057.09185419072</v>
      </c>
      <c r="N173" s="15" t="n">
        <f aca="false">M173*(1+IF(N$3&lt;=$O$2,$D173,$D173-($D173-$I$157)*MIN(N$3-$O$2,$Q$2)/$Q$2))</f>
        <v>1094.09006908739</v>
      </c>
      <c r="O173" s="15" t="n">
        <f aca="false">SUMPRODUCT(E173:N173,1/(1+$F$157)^$E$3:$N$3)*$E$2</f>
        <v>3488.27620087432</v>
      </c>
      <c r="P173" s="15" t="n">
        <f aca="false">N173*$E$2*(1+$I$157)/($F$157-$I$157)/(1+$F$157)^$N$3</f>
        <v>13072.7456909829</v>
      </c>
      <c r="Q173" s="15" t="n">
        <f aca="false">O173+P173</f>
        <v>16561.0218918572</v>
      </c>
      <c r="R173" s="15" t="n">
        <f aca="false">Q173-$G$2+$I$2</f>
        <v>15008.3218918572</v>
      </c>
      <c r="S173" s="40" t="n">
        <f aca="false">R173/$K$2</f>
        <v>54.4984272916854</v>
      </c>
      <c r="T173" s="41" t="n">
        <f aca="false">S173-$M$2</f>
        <v>-0.00609356963856556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-0.0866851806640625</v>
      </c>
      <c r="C174" s="25" t="n">
        <f aca="false">IF(T173&gt;0,D173,C173)</f>
        <v>-0.086639404296875</v>
      </c>
      <c r="D174" s="39" t="n">
        <f aca="false">(B174+C174)/2</f>
        <v>-0.0866622924804688</v>
      </c>
      <c r="E174" s="15" t="n">
        <f aca="false">$C$2*(1+IF(E$3&lt;=$O$2,$D174,$D174-($D174-$I$157)*MIN(E$3-$O$2,$Q$2)/$Q$2))</f>
        <v>1689.67475891113</v>
      </c>
      <c r="F174" s="15" t="n">
        <f aca="false">E174*(1+IF(F$3&lt;=$O$2,$D174,$D174-($D174-$I$157)*MIN(F$3-$O$2,$Q$2)/$Q$2))</f>
        <v>1543.24367075751</v>
      </c>
      <c r="G174" s="15" t="n">
        <f aca="false">F174*(1+IF(G$3&lt;=$O$2,$D174,$D174-($D174-$I$157)*MIN(G$3-$O$2,$Q$2)/$Q$2))</f>
        <v>1409.50263639369</v>
      </c>
      <c r="H174" s="15" t="n">
        <f aca="false">G174*(1+IF(H$3&lt;=$O$2,$D174,$D174-($D174-$I$157)*MIN(H$3-$O$2,$Q$2)/$Q$2))</f>
        <v>1287.35190666655</v>
      </c>
      <c r="I174" s="15" t="n">
        <f aca="false">H174*(1+IF(I$3&lt;=$O$2,$D174,$D174-($D174-$I$157)*MIN(I$3-$O$2,$Q$2)/$Q$2))</f>
        <v>1175.78703920572</v>
      </c>
      <c r="J174" s="15" t="n">
        <f aca="false">I174*(1+IF(J$3&lt;=$O$2,$D174,$D174-($D174-$I$157)*MIN(J$3-$O$2,$Q$2)/$Q$2))</f>
        <v>1102.50042825105</v>
      </c>
      <c r="K174" s="15" t="n">
        <f aca="false">J174*(1+IF(K$3&lt;=$O$2,$D174,$D174-($D174-$I$157)*MIN(K$3-$O$2,$Q$2)/$Q$2))</f>
        <v>1060.60830550281</v>
      </c>
      <c r="L174" s="15" t="n">
        <f aca="false">K174*(1+IF(L$3&lt;=$O$2,$D174,$D174-($D174-$I$157)*MIN(L$3-$O$2,$Q$2)/$Q$2))</f>
        <v>1046.11518104688</v>
      </c>
      <c r="M174" s="15" t="n">
        <f aca="false">L174*(1+IF(M$3&lt;=$O$2,$D174,$D174-($D174-$I$157)*MIN(M$3-$O$2,$Q$2)/$Q$2))</f>
        <v>1057.27465815857</v>
      </c>
      <c r="N174" s="15" t="n">
        <f aca="false">M174*(1+IF(N$3&lt;=$O$2,$D174,$D174-($D174-$I$157)*MIN(N$3-$O$2,$Q$2)/$Q$2))</f>
        <v>1094.27927119412</v>
      </c>
      <c r="O174" s="15" t="n">
        <f aca="false">SUMPRODUCT(E174:N174,1/(1+$F$157)^$E$3:$N$3)*$E$2</f>
        <v>3488.63444364944</v>
      </c>
      <c r="P174" s="15" t="n">
        <f aca="false">N174*$E$2*(1+$I$157)/($F$157-$I$157)/(1+$F$157)^$N$3</f>
        <v>13075.006374171</v>
      </c>
      <c r="Q174" s="15" t="n">
        <f aca="false">O174+P174</f>
        <v>16563.6408178204</v>
      </c>
      <c r="R174" s="15" t="n">
        <f aca="false">Q174-$G$2+$I$2</f>
        <v>15010.9408178204</v>
      </c>
      <c r="S174" s="40" t="n">
        <f aca="false">R174/$K$2</f>
        <v>54.5079371720848</v>
      </c>
      <c r="T174" s="41" t="n">
        <f aca="false">S174-$M$2</f>
        <v>0.00341631076087623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-0.0866851806640625</v>
      </c>
      <c r="C175" s="25" t="n">
        <f aca="false">IF(T174&gt;0,D174,C174)</f>
        <v>-0.0866622924804688</v>
      </c>
      <c r="D175" s="39" t="n">
        <f aca="false">(B175+C175)/2</f>
        <v>-0.0866737365722656</v>
      </c>
      <c r="E175" s="15" t="n">
        <f aca="false">$C$2*(1+IF(E$3&lt;=$O$2,$D175,$D175-($D175-$I$157)*MIN(E$3-$O$2,$Q$2)/$Q$2))</f>
        <v>1689.65358734131</v>
      </c>
      <c r="F175" s="15" t="n">
        <f aca="false">E175*(1+IF(F$3&lt;=$O$2,$D175,$D175-($D175-$I$157)*MIN(F$3-$O$2,$Q$2)/$Q$2))</f>
        <v>1543.2049974137</v>
      </c>
      <c r="G175" s="15" t="n">
        <f aca="false">F175*(1+IF(G$3&lt;=$O$2,$D175,$D175-($D175-$I$157)*MIN(G$3-$O$2,$Q$2)/$Q$2))</f>
        <v>1409.44965399087</v>
      </c>
      <c r="H175" s="15" t="n">
        <f aca="false">G175*(1+IF(H$3&lt;=$O$2,$D175,$D175-($D175-$I$157)*MIN(H$3-$O$2,$Q$2)/$Q$2))</f>
        <v>1287.28738596899</v>
      </c>
      <c r="I175" s="15" t="n">
        <f aca="false">H175*(1+IF(I$3&lt;=$O$2,$D175,$D175-($D175-$I$157)*MIN(I$3-$O$2,$Q$2)/$Q$2))</f>
        <v>1175.71337818471</v>
      </c>
      <c r="J175" s="15" t="n">
        <f aca="false">I175*(1+IF(J$3&lt;=$O$2,$D175,$D175-($D175-$I$157)*MIN(J$3-$O$2,$Q$2)/$Q$2))</f>
        <v>1102.42059453179</v>
      </c>
      <c r="K175" s="15" t="n">
        <f aca="false">J175*(1+IF(K$3&lt;=$O$2,$D175,$D175-($D175-$I$157)*MIN(K$3-$O$2,$Q$2)/$Q$2))</f>
        <v>1060.52393553386</v>
      </c>
      <c r="L175" s="15" t="n">
        <f aca="false">K175*(1+IF(L$3&lt;=$O$2,$D175,$D175-($D175-$I$157)*MIN(L$3-$O$2,$Q$2)/$Q$2))</f>
        <v>1046.02710929326</v>
      </c>
      <c r="M175" s="15" t="n">
        <f aca="false">L175*(1+IF(M$3&lt;=$O$2,$D175,$D175-($D175-$I$157)*MIN(M$3-$O$2,$Q$2)/$Q$2))</f>
        <v>1057.1832527298</v>
      </c>
      <c r="N175" s="15" t="n">
        <f aca="false">M175*(1+IF(N$3&lt;=$O$2,$D175,$D175-($D175-$I$157)*MIN(N$3-$O$2,$Q$2)/$Q$2))</f>
        <v>1094.18466657534</v>
      </c>
      <c r="O175" s="15" t="n">
        <f aca="false">SUMPRODUCT(E175:N175,1/(1+$F$157)^$E$3:$N$3)*$E$2</f>
        <v>3488.4553174663</v>
      </c>
      <c r="P175" s="15" t="n">
        <f aca="false">N175*$E$2*(1+$I$157)/($F$157-$I$157)/(1+$F$157)^$N$3</f>
        <v>13073.8759899756</v>
      </c>
      <c r="Q175" s="15" t="n">
        <f aca="false">O175+P175</f>
        <v>16562.3313074419</v>
      </c>
      <c r="R175" s="15" t="n">
        <f aca="false">Q175-$G$2+$I$2</f>
        <v>15009.6313074419</v>
      </c>
      <c r="S175" s="40" t="n">
        <f aca="false">R175/$K$2</f>
        <v>54.5031820597767</v>
      </c>
      <c r="T175" s="41" t="n">
        <f aca="false">S175-$M$2</f>
        <v>-0.00133880154729127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-0.0866737365722656</v>
      </c>
      <c r="C176" s="25" t="n">
        <f aca="false">IF(T175&gt;0,D175,C175)</f>
        <v>-0.0866622924804688</v>
      </c>
      <c r="D176" s="39" t="n">
        <f aca="false">(B176+C176)/2</f>
        <v>-0.0866680145263672</v>
      </c>
      <c r="E176" s="15" t="n">
        <f aca="false">$C$2*(1+IF(E$3&lt;=$O$2,$D176,$D176-($D176-$I$157)*MIN(E$3-$O$2,$Q$2)/$Q$2))</f>
        <v>1689.66417312622</v>
      </c>
      <c r="F176" s="15" t="n">
        <f aca="false">E176*(1+IF(F$3&lt;=$O$2,$D176,$D176-($D176-$I$157)*MIN(F$3-$O$2,$Q$2)/$Q$2))</f>
        <v>1543.22433402504</v>
      </c>
      <c r="G176" s="15" t="n">
        <f aca="false">F176*(1+IF(G$3&lt;=$O$2,$D176,$D176-($D176-$I$157)*MIN(G$3-$O$2,$Q$2)/$Q$2))</f>
        <v>1409.47614502631</v>
      </c>
      <c r="H176" s="15" t="n">
        <f aca="false">G176*(1+IF(H$3&lt;=$O$2,$D176,$D176-($D176-$I$157)*MIN(H$3-$O$2,$Q$2)/$Q$2))</f>
        <v>1287.3196460146</v>
      </c>
      <c r="I176" s="15" t="n">
        <f aca="false">H176*(1+IF(I$3&lt;=$O$2,$D176,$D176-($D176-$I$157)*MIN(I$3-$O$2,$Q$2)/$Q$2))</f>
        <v>1175.75020823373</v>
      </c>
      <c r="J176" s="15" t="n">
        <f aca="false">I176*(1+IF(J$3&lt;=$O$2,$D176,$D176-($D176-$I$157)*MIN(J$3-$O$2,$Q$2)/$Q$2))</f>
        <v>1102.4605107901</v>
      </c>
      <c r="K176" s="15" t="n">
        <f aca="false">J176*(1+IF(K$3&lt;=$O$2,$D176,$D176-($D176-$I$157)*MIN(K$3-$O$2,$Q$2)/$Q$2))</f>
        <v>1060.56611980282</v>
      </c>
      <c r="L176" s="15" t="n">
        <f aca="false">K176*(1+IF(L$3&lt;=$O$2,$D176,$D176-($D176-$I$157)*MIN(L$3-$O$2,$Q$2)/$Q$2))</f>
        <v>1046.07114436778</v>
      </c>
      <c r="M176" s="15" t="n">
        <f aca="false">L176*(1+IF(M$3&lt;=$O$2,$D176,$D176-($D176-$I$157)*MIN(M$3-$O$2,$Q$2)/$Q$2))</f>
        <v>1057.22895458295</v>
      </c>
      <c r="N176" s="15" t="n">
        <f aca="false">M176*(1+IF(N$3&lt;=$O$2,$D176,$D176-($D176-$I$157)*MIN(N$3-$O$2,$Q$2)/$Q$2))</f>
        <v>1094.23196799335</v>
      </c>
      <c r="O176" s="15" t="n">
        <f aca="false">SUMPRODUCT(E176:N176,1/(1+$F$157)^$E$3:$N$3)*$E$2</f>
        <v>3488.54487935895</v>
      </c>
      <c r="P176" s="15" t="n">
        <f aca="false">N176*$E$2*(1+$I$157)/($F$157-$I$157)/(1+$F$157)^$N$3</f>
        <v>13074.4411714226</v>
      </c>
      <c r="Q176" s="15" t="n">
        <f aca="false">O176+P176</f>
        <v>16562.9860507816</v>
      </c>
      <c r="R176" s="15" t="n">
        <f aca="false">Q176-$G$2+$I$2</f>
        <v>15010.2860507816</v>
      </c>
      <c r="S176" s="40" t="n">
        <f aca="false">R176/$K$2</f>
        <v>54.5055595729023</v>
      </c>
      <c r="T176" s="41" t="n">
        <f aca="false">S176-$M$2</f>
        <v>0.00103871157831037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-0.0866737365722656</v>
      </c>
      <c r="C177" s="25" t="n">
        <f aca="false">IF(T176&gt;0,D176,C176)</f>
        <v>-0.0866680145263672</v>
      </c>
      <c r="D177" s="39" t="n">
        <f aca="false">(B177+C177)/2</f>
        <v>-0.0866708755493164</v>
      </c>
      <c r="E177" s="15" t="n">
        <f aca="false">$C$2*(1+IF(E$3&lt;=$O$2,$D177,$D177-($D177-$I$157)*MIN(E$3-$O$2,$Q$2)/$Q$2))</f>
        <v>1689.65888023376</v>
      </c>
      <c r="F177" s="15" t="n">
        <f aca="false">E177*(1+IF(F$3&lt;=$O$2,$D177,$D177-($D177-$I$157)*MIN(F$3-$O$2,$Q$2)/$Q$2))</f>
        <v>1543.21466570423</v>
      </c>
      <c r="G177" s="15" t="n">
        <f aca="false">F177*(1+IF(G$3&lt;=$O$2,$D177,$D177-($D177-$I$157)*MIN(G$3-$O$2,$Q$2)/$Q$2))</f>
        <v>1409.4628994671</v>
      </c>
      <c r="H177" s="15" t="n">
        <f aca="false">G177*(1+IF(H$3&lt;=$O$2,$D177,$D177-($D177-$I$157)*MIN(H$3-$O$2,$Q$2)/$Q$2))</f>
        <v>1287.303515916</v>
      </c>
      <c r="I177" s="15" t="n">
        <f aca="false">H177*(1+IF(I$3&lt;=$O$2,$D177,$D177-($D177-$I$157)*MIN(I$3-$O$2,$Q$2)/$Q$2))</f>
        <v>1175.73179309385</v>
      </c>
      <c r="J177" s="15" t="n">
        <f aca="false">I177*(1+IF(J$3&lt;=$O$2,$D177,$D177-($D177-$I$157)*MIN(J$3-$O$2,$Q$2)/$Q$2))</f>
        <v>1102.44055251062</v>
      </c>
      <c r="K177" s="15" t="n">
        <f aca="false">J177*(1+IF(K$3&lt;=$O$2,$D177,$D177-($D177-$I$157)*MIN(K$3-$O$2,$Q$2)/$Q$2))</f>
        <v>1060.54502748947</v>
      </c>
      <c r="L177" s="15" t="n">
        <f aca="false">K177*(1+IF(L$3&lt;=$O$2,$D177,$D177-($D177-$I$157)*MIN(L$3-$O$2,$Q$2)/$Q$2))</f>
        <v>1046.04912662995</v>
      </c>
      <c r="M177" s="15" t="n">
        <f aca="false">L177*(1+IF(M$3&lt;=$O$2,$D177,$D177-($D177-$I$157)*MIN(M$3-$O$2,$Q$2)/$Q$2))</f>
        <v>1057.20610344107</v>
      </c>
      <c r="N177" s="15" t="n">
        <f aca="false">M177*(1+IF(N$3&lt;=$O$2,$D177,$D177-($D177-$I$157)*MIN(N$3-$O$2,$Q$2)/$Q$2))</f>
        <v>1094.2083170615</v>
      </c>
      <c r="O177" s="15" t="n">
        <f aca="false">SUMPRODUCT(E177:N177,1/(1+$F$157)^$E$3:$N$3)*$E$2</f>
        <v>3488.5000981129</v>
      </c>
      <c r="P177" s="15" t="n">
        <f aca="false">N177*$E$2*(1+$I$157)/($F$157-$I$157)/(1+$F$157)^$N$3</f>
        <v>13074.1585780365</v>
      </c>
      <c r="Q177" s="15" t="n">
        <f aca="false">O177+P177</f>
        <v>16562.6586761494</v>
      </c>
      <c r="R177" s="15" t="n">
        <f aca="false">Q177-$G$2+$I$2</f>
        <v>15009.9586761494</v>
      </c>
      <c r="S177" s="40" t="n">
        <f aca="false">R177/$K$2</f>
        <v>54.5043708055825</v>
      </c>
      <c r="T177" s="41" t="n">
        <f aca="false">S177-$M$2</f>
        <v>-0.000150055741457322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-0.0866708755493164</v>
      </c>
      <c r="C178" s="25" t="n">
        <f aca="false">IF(T177&gt;0,D177,C177)</f>
        <v>-0.0866680145263672</v>
      </c>
      <c r="D178" s="39" t="n">
        <f aca="false">(B178+C178)/2</f>
        <v>-0.0866694450378418</v>
      </c>
      <c r="E178" s="15" t="n">
        <f aca="false">$C$2*(1+IF(E$3&lt;=$O$2,$D178,$D178-($D178-$I$157)*MIN(E$3-$O$2,$Q$2)/$Q$2))</f>
        <v>1689.66152667999</v>
      </c>
      <c r="F178" s="15" t="n">
        <f aca="false">E178*(1+IF(F$3&lt;=$O$2,$D178,$D178-($D178-$I$157)*MIN(F$3-$O$2,$Q$2)/$Q$2))</f>
        <v>1543.21949986085</v>
      </c>
      <c r="G178" s="15" t="n">
        <f aca="false">F178*(1+IF(G$3&lt;=$O$2,$D178,$D178-($D178-$I$157)*MIN(G$3-$O$2,$Q$2)/$Q$2))</f>
        <v>1409.46952223633</v>
      </c>
      <c r="H178" s="15" t="n">
        <f aca="false">G178*(1+IF(H$3&lt;=$O$2,$D178,$D178-($D178-$I$157)*MIN(H$3-$O$2,$Q$2)/$Q$2))</f>
        <v>1287.31158094636</v>
      </c>
      <c r="I178" s="15" t="n">
        <f aca="false">H178*(1+IF(I$3&lt;=$O$2,$D178,$D178-($D178-$I$157)*MIN(I$3-$O$2,$Q$2)/$Q$2))</f>
        <v>1175.74100063495</v>
      </c>
      <c r="J178" s="15" t="n">
        <f aca="false">I178*(1+IF(J$3&lt;=$O$2,$D178,$D178-($D178-$I$157)*MIN(J$3-$O$2,$Q$2)/$Q$2))</f>
        <v>1102.45053161278</v>
      </c>
      <c r="K178" s="15" t="n">
        <f aca="false">J178*(1+IF(K$3&lt;=$O$2,$D178,$D178-($D178-$I$157)*MIN(K$3-$O$2,$Q$2)/$Q$2))</f>
        <v>1060.55557360143</v>
      </c>
      <c r="L178" s="15" t="n">
        <f aca="false">K178*(1+IF(L$3&lt;=$O$2,$D178,$D178-($D178-$I$157)*MIN(L$3-$O$2,$Q$2)/$Q$2))</f>
        <v>1046.06013544873</v>
      </c>
      <c r="M178" s="15" t="n">
        <f aca="false">L178*(1+IF(M$3&lt;=$O$2,$D178,$D178-($D178-$I$157)*MIN(M$3-$O$2,$Q$2)/$Q$2))</f>
        <v>1057.21752895818</v>
      </c>
      <c r="N178" s="15" t="n">
        <f aca="false">M178*(1+IF(N$3&lt;=$O$2,$D178,$D178-($D178-$I$157)*MIN(N$3-$O$2,$Q$2)/$Q$2))</f>
        <v>1094.22014247172</v>
      </c>
      <c r="O178" s="15" t="n">
        <f aca="false">SUMPRODUCT(E178:N178,1/(1+$F$157)^$E$3:$N$3)*$E$2</f>
        <v>3488.52248866099</v>
      </c>
      <c r="P178" s="15" t="n">
        <f aca="false">N178*$E$2*(1+$I$157)/($F$157-$I$157)/(1+$F$157)^$N$3</f>
        <v>13074.2998740639</v>
      </c>
      <c r="Q178" s="15" t="n">
        <f aca="false">O178+P178</f>
        <v>16562.8223627249</v>
      </c>
      <c r="R178" s="15" t="n">
        <f aca="false">Q178-$G$2+$I$2</f>
        <v>15010.1223627249</v>
      </c>
      <c r="S178" s="40" t="n">
        <f aca="false">R178/$K$2</f>
        <v>54.5049651865532</v>
      </c>
      <c r="T178" s="41" t="n">
        <f aca="false">S178-$M$2</f>
        <v>0.000444325229217668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-0.0866708755493164</v>
      </c>
      <c r="C179" s="25" t="n">
        <f aca="false">IF(T178&gt;0,D178,C178)</f>
        <v>-0.0866694450378418</v>
      </c>
      <c r="D179" s="39" t="n">
        <f aca="false">(B179+C179)/2</f>
        <v>-0.0866701602935791</v>
      </c>
      <c r="E179" s="15" t="n">
        <f aca="false">$C$2*(1+IF(E$3&lt;=$O$2,$D179,$D179-($D179-$I$157)*MIN(E$3-$O$2,$Q$2)/$Q$2))</f>
        <v>1689.66020345688</v>
      </c>
      <c r="F179" s="15" t="n">
        <f aca="false">E179*(1+IF(F$3&lt;=$O$2,$D179,$D179-($D179-$I$157)*MIN(F$3-$O$2,$Q$2)/$Q$2))</f>
        <v>1543.21708278159</v>
      </c>
      <c r="G179" s="15" t="n">
        <f aca="false">F179*(1+IF(G$3&lt;=$O$2,$D179,$D179-($D179-$I$157)*MIN(G$3-$O$2,$Q$2)/$Q$2))</f>
        <v>1409.46621084912</v>
      </c>
      <c r="H179" s="15" t="n">
        <f aca="false">G179*(1+IF(H$3&lt;=$O$2,$D179,$D179-($D179-$I$157)*MIN(H$3-$O$2,$Q$2)/$Q$2))</f>
        <v>1287.30754842644</v>
      </c>
      <c r="I179" s="15" t="n">
        <f aca="false">H179*(1+IF(I$3&lt;=$O$2,$D179,$D179-($D179-$I$157)*MIN(I$3-$O$2,$Q$2)/$Q$2))</f>
        <v>1175.73639685719</v>
      </c>
      <c r="J179" s="15" t="n">
        <f aca="false">I179*(1+IF(J$3&lt;=$O$2,$D179,$D179-($D179-$I$157)*MIN(J$3-$O$2,$Q$2)/$Q$2))</f>
        <v>1102.4455420523</v>
      </c>
      <c r="K179" s="15" t="n">
        <f aca="false">J179*(1+IF(K$3&lt;=$O$2,$D179,$D179-($D179-$I$157)*MIN(K$3-$O$2,$Q$2)/$Q$2))</f>
        <v>1060.55030053427</v>
      </c>
      <c r="L179" s="15" t="n">
        <f aca="false">K179*(1+IF(L$3&lt;=$O$2,$D179,$D179-($D179-$I$157)*MIN(L$3-$O$2,$Q$2)/$Q$2))</f>
        <v>1046.0546310268</v>
      </c>
      <c r="M179" s="15" t="n">
        <f aca="false">L179*(1+IF(M$3&lt;=$O$2,$D179,$D179-($D179-$I$157)*MIN(M$3-$O$2,$Q$2)/$Q$2))</f>
        <v>1057.21181618617</v>
      </c>
      <c r="N179" s="15" t="n">
        <f aca="false">M179*(1+IF(N$3&lt;=$O$2,$D179,$D179-($D179-$I$157)*MIN(N$3-$O$2,$Q$2)/$Q$2))</f>
        <v>1094.21422975268</v>
      </c>
      <c r="O179" s="15" t="n">
        <f aca="false">SUMPRODUCT(E179:N179,1/(1+$F$157)^$E$3:$N$3)*$E$2</f>
        <v>3488.51129336821</v>
      </c>
      <c r="P179" s="15" t="n">
        <f aca="false">N179*$E$2*(1+$I$157)/($F$157-$I$157)/(1+$F$157)^$N$3</f>
        <v>13074.2292258838</v>
      </c>
      <c r="Q179" s="15" t="n">
        <f aca="false">O179+P179</f>
        <v>16562.740519252</v>
      </c>
      <c r="R179" s="15" t="n">
        <f aca="false">Q179-$G$2+$I$2</f>
        <v>15010.040519252</v>
      </c>
      <c r="S179" s="40" t="n">
        <f aca="false">R179/$K$2</f>
        <v>54.5046679953955</v>
      </c>
      <c r="T179" s="41" t="n">
        <f aca="false">S179-$M$2</f>
        <v>0.000147134071568189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-0.0866708755493164</v>
      </c>
      <c r="C180" s="25" t="n">
        <f aca="false">IF(T179&gt;0,D179,C179)</f>
        <v>-0.0866701602935791</v>
      </c>
      <c r="D180" s="39" t="n">
        <f aca="false">(B180+C180)/2</f>
        <v>-0.0866705179214478</v>
      </c>
      <c r="E180" s="15" t="n">
        <f aca="false">$C$2*(1+IF(E$3&lt;=$O$2,$D180,$D180-($D180-$I$157)*MIN(E$3-$O$2,$Q$2)/$Q$2))</f>
        <v>1689.65954184532</v>
      </c>
      <c r="F180" s="15" t="n">
        <f aca="false">E180*(1+IF(F$3&lt;=$O$2,$D180,$D180-($D180-$I$157)*MIN(F$3-$O$2,$Q$2)/$Q$2))</f>
        <v>1543.21587424267</v>
      </c>
      <c r="G180" s="15" t="n">
        <f aca="false">F180*(1+IF(G$3&lt;=$O$2,$D180,$D180-($D180-$I$157)*MIN(G$3-$O$2,$Q$2)/$Q$2))</f>
        <v>1409.46455515746</v>
      </c>
      <c r="H180" s="15" t="n">
        <f aca="false">G180*(1+IF(H$3&lt;=$O$2,$D180,$D180-($D180-$I$157)*MIN(H$3-$O$2,$Q$2)/$Q$2))</f>
        <v>1287.30553217004</v>
      </c>
      <c r="I180" s="15" t="n">
        <f aca="false">H180*(1+IF(I$3&lt;=$O$2,$D180,$D180-($D180-$I$157)*MIN(I$3-$O$2,$Q$2)/$Q$2))</f>
        <v>1175.73409497372</v>
      </c>
      <c r="J180" s="15" t="n">
        <f aca="false">I180*(1+IF(J$3&lt;=$O$2,$D180,$D180-($D180-$I$157)*MIN(J$3-$O$2,$Q$2)/$Q$2))</f>
        <v>1102.44304727911</v>
      </c>
      <c r="K180" s="15" t="n">
        <f aca="false">J180*(1+IF(K$3&lt;=$O$2,$D180,$D180-($D180-$I$157)*MIN(K$3-$O$2,$Q$2)/$Q$2))</f>
        <v>1060.54766400907</v>
      </c>
      <c r="L180" s="15" t="n">
        <f aca="false">K180*(1+IF(L$3&lt;=$O$2,$D180,$D180-($D180-$I$157)*MIN(L$3-$O$2,$Q$2)/$Q$2))</f>
        <v>1046.05187882524</v>
      </c>
      <c r="M180" s="15" t="n">
        <f aca="false">L180*(1+IF(M$3&lt;=$O$2,$D180,$D180-($D180-$I$157)*MIN(M$3-$O$2,$Q$2)/$Q$2))</f>
        <v>1057.20895981025</v>
      </c>
      <c r="N180" s="15" t="n">
        <f aca="false">M180*(1+IF(N$3&lt;=$O$2,$D180,$D180-($D180-$I$157)*MIN(N$3-$O$2,$Q$2)/$Q$2))</f>
        <v>1094.21127340361</v>
      </c>
      <c r="O180" s="15" t="n">
        <f aca="false">SUMPRODUCT(E180:N180,1/(1+$F$157)^$E$3:$N$3)*$E$2</f>
        <v>3488.50569573587</v>
      </c>
      <c r="P180" s="15" t="n">
        <f aca="false">N180*$E$2*(1+$I$157)/($F$157-$I$157)/(1+$F$157)^$N$3</f>
        <v>13074.1939019185</v>
      </c>
      <c r="Q180" s="15" t="n">
        <f aca="false">O180+P180</f>
        <v>16562.6995976544</v>
      </c>
      <c r="R180" s="15" t="n">
        <f aca="false">Q180-$G$2+$I$2</f>
        <v>15009.9995976544</v>
      </c>
      <c r="S180" s="40" t="n">
        <f aca="false">R180/$K$2</f>
        <v>54.5045194003209</v>
      </c>
      <c r="T180" s="41" t="n">
        <f aca="false">S180-$M$2</f>
        <v>-1.46100299502905E-006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-0.0866705179214478</v>
      </c>
      <c r="C181" s="25" t="n">
        <f aca="false">IF(T180&gt;0,D180,C180)</f>
        <v>-0.0866701602935791</v>
      </c>
      <c r="D181" s="39" t="n">
        <f aca="false">(B181+C181)/2</f>
        <v>-0.0866703391075134</v>
      </c>
      <c r="E181" s="15" t="n">
        <f aca="false">$C$2*(1+IF(E$3&lt;=$O$2,$D181,$D181-($D181-$I$157)*MIN(E$3-$O$2,$Q$2)/$Q$2))</f>
        <v>1689.6598726511</v>
      </c>
      <c r="F181" s="15" t="n">
        <f aca="false">E181*(1+IF(F$3&lt;=$O$2,$D181,$D181-($D181-$I$157)*MIN(F$3-$O$2,$Q$2)/$Q$2))</f>
        <v>1543.21647851207</v>
      </c>
      <c r="G181" s="15" t="n">
        <f aca="false">F181*(1+IF(G$3&lt;=$O$2,$D181,$D181-($D181-$I$157)*MIN(G$3-$O$2,$Q$2)/$Q$2))</f>
        <v>1409.46538300313</v>
      </c>
      <c r="H181" s="15" t="n">
        <f aca="false">G181*(1+IF(H$3&lt;=$O$2,$D181,$D181-($D181-$I$157)*MIN(H$3-$O$2,$Q$2)/$Q$2))</f>
        <v>1287.30654029795</v>
      </c>
      <c r="I181" s="15" t="n">
        <f aca="false">H181*(1+IF(I$3&lt;=$O$2,$D181,$D181-($D181-$I$157)*MIN(I$3-$O$2,$Q$2)/$Q$2))</f>
        <v>1175.735245915</v>
      </c>
      <c r="J181" s="15" t="n">
        <f aca="false">I181*(1+IF(J$3&lt;=$O$2,$D181,$D181-($D181-$I$157)*MIN(J$3-$O$2,$Q$2)/$Q$2))</f>
        <v>1102.44429466512</v>
      </c>
      <c r="K181" s="15" t="n">
        <f aca="false">J181*(1+IF(K$3&lt;=$O$2,$D181,$D181-($D181-$I$157)*MIN(K$3-$O$2,$Q$2)/$Q$2))</f>
        <v>1060.54898227097</v>
      </c>
      <c r="L181" s="15" t="n">
        <f aca="false">K181*(1+IF(L$3&lt;=$O$2,$D181,$D181-($D181-$I$157)*MIN(L$3-$O$2,$Q$2)/$Q$2))</f>
        <v>1046.05325492524</v>
      </c>
      <c r="M181" s="15" t="n">
        <f aca="false">L181*(1+IF(M$3&lt;=$O$2,$D181,$D181-($D181-$I$157)*MIN(M$3-$O$2,$Q$2)/$Q$2))</f>
        <v>1057.21038799737</v>
      </c>
      <c r="N181" s="15" t="n">
        <f aca="false">M181*(1+IF(N$3&lt;=$O$2,$D181,$D181-($D181-$I$157)*MIN(N$3-$O$2,$Q$2)/$Q$2))</f>
        <v>1094.21275157728</v>
      </c>
      <c r="O181" s="15" t="n">
        <f aca="false">SUMPRODUCT(E181:N181,1/(1+$F$157)^$E$3:$N$3)*$E$2</f>
        <v>3488.50849455087</v>
      </c>
      <c r="P181" s="15" t="n">
        <f aca="false">N181*$E$2*(1+$I$157)/($F$157-$I$157)/(1+$F$157)^$N$3</f>
        <v>13074.2115638907</v>
      </c>
      <c r="Q181" s="15" t="n">
        <f aca="false">O181+P181</f>
        <v>16562.7200584416</v>
      </c>
      <c r="R181" s="15" t="n">
        <f aca="false">Q181-$G$2+$I$2</f>
        <v>15010.0200584416</v>
      </c>
      <c r="S181" s="40" t="n">
        <f aca="false">R181/$K$2</f>
        <v>54.5045936978162</v>
      </c>
      <c r="T181" s="41" t="n">
        <f aca="false">S181-$M$2</f>
        <v>7.2836492272188E-005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-0.0866705179214478</v>
      </c>
      <c r="C182" s="25" t="n">
        <f aca="false">IF(T181&gt;0,D181,C181)</f>
        <v>-0.0866703391075134</v>
      </c>
      <c r="D182" s="39" t="n">
        <f aca="false">(B182+C182)/2</f>
        <v>-0.0866704285144806</v>
      </c>
      <c r="E182" s="15" t="n">
        <f aca="false">$C$2*(1+IF(E$3&lt;=$O$2,$D182,$D182-($D182-$I$157)*MIN(E$3-$O$2,$Q$2)/$Q$2))</f>
        <v>1689.65970724821</v>
      </c>
      <c r="F182" s="15" t="n">
        <f aca="false">E182*(1+IF(F$3&lt;=$O$2,$D182,$D182-($D182-$I$157)*MIN(F$3-$O$2,$Q$2)/$Q$2))</f>
        <v>1543.21617637736</v>
      </c>
      <c r="G182" s="15" t="n">
        <f aca="false">F182*(1+IF(G$3&lt;=$O$2,$D182,$D182-($D182-$I$157)*MIN(G$3-$O$2,$Q$2)/$Q$2))</f>
        <v>1409.46496908025</v>
      </c>
      <c r="H182" s="15" t="n">
        <f aca="false">G182*(1+IF(H$3&lt;=$O$2,$D182,$D182-($D182-$I$157)*MIN(H$3-$O$2,$Q$2)/$Q$2))</f>
        <v>1287.30603623392</v>
      </c>
      <c r="I182" s="15" t="n">
        <f aca="false">H182*(1+IF(I$3&lt;=$O$2,$D182,$D182-($D182-$I$157)*MIN(I$3-$O$2,$Q$2)/$Q$2))</f>
        <v>1175.73467044425</v>
      </c>
      <c r="J182" s="15" t="n">
        <f aca="false">I182*(1+IF(J$3&lt;=$O$2,$D182,$D182-($D182-$I$157)*MIN(J$3-$O$2,$Q$2)/$Q$2))</f>
        <v>1102.44367097197</v>
      </c>
      <c r="K182" s="15" t="n">
        <f aca="false">J182*(1+IF(K$3&lt;=$O$2,$D182,$D182-($D182-$I$157)*MIN(K$3-$O$2,$Q$2)/$Q$2))</f>
        <v>1060.54832313985</v>
      </c>
      <c r="L182" s="15" t="n">
        <f aca="false">K182*(1+IF(L$3&lt;=$O$2,$D182,$D182-($D182-$I$157)*MIN(L$3-$O$2,$Q$2)/$Q$2))</f>
        <v>1046.05256687505</v>
      </c>
      <c r="M182" s="15" t="n">
        <f aca="false">L182*(1+IF(M$3&lt;=$O$2,$D182,$D182-($D182-$I$157)*MIN(M$3-$O$2,$Q$2)/$Q$2))</f>
        <v>1057.2096739036</v>
      </c>
      <c r="N182" s="15" t="n">
        <f aca="false">M182*(1+IF(N$3&lt;=$O$2,$D182,$D182-($D182-$I$157)*MIN(N$3-$O$2,$Q$2)/$Q$2))</f>
        <v>1094.21201249023</v>
      </c>
      <c r="O182" s="15" t="n">
        <f aca="false">SUMPRODUCT(E182:N182,1/(1+$F$157)^$E$3:$N$3)*$E$2</f>
        <v>3488.50709514308</v>
      </c>
      <c r="P182" s="15" t="n">
        <f aca="false">N182*$E$2*(1+$I$157)/($F$157-$I$157)/(1+$F$157)^$N$3</f>
        <v>13074.202732902</v>
      </c>
      <c r="Q182" s="15" t="n">
        <f aca="false">O182+P182</f>
        <v>16562.7098280451</v>
      </c>
      <c r="R182" s="15" t="n">
        <f aca="false">Q182-$G$2+$I$2</f>
        <v>15010.0098280451</v>
      </c>
      <c r="S182" s="40" t="n">
        <f aca="false">R182/$K$2</f>
        <v>54.5045565490581</v>
      </c>
      <c r="T182" s="41" t="n">
        <f aca="false">S182-$M$2</f>
        <v>3.56877341189943E-005</v>
      </c>
    </row>
    <row r="184" customFormat="false" ht="15" hidden="false" customHeight="false" outlineLevel="0" collapsed="false">
      <c r="A184" s="36" t="s">
        <v>181</v>
      </c>
      <c r="E184" s="5" t="s">
        <v>11</v>
      </c>
      <c r="F184" s="12" t="n">
        <f aca="false">Sensitivity!$B$11</f>
        <v>0.0585093056415221</v>
      </c>
      <c r="G184" s="5" t="s">
        <v>12</v>
      </c>
      <c r="I184" s="12" t="n">
        <f aca="false">Sensitivity!$C$9</f>
        <v>0.015</v>
      </c>
    </row>
    <row r="185" customFormat="false" ht="23.85" hidden="false" customHeight="false" outlineLevel="0" collapsed="false">
      <c r="A185" s="36" t="s">
        <v>156</v>
      </c>
      <c r="B185" s="28" t="s">
        <v>157</v>
      </c>
      <c r="C185" s="28" t="s">
        <v>158</v>
      </c>
      <c r="D185" s="28" t="s">
        <v>159</v>
      </c>
      <c r="E185" s="28" t="s">
        <v>160</v>
      </c>
      <c r="F185" s="28" t="s">
        <v>161</v>
      </c>
      <c r="G185" s="28" t="s">
        <v>162</v>
      </c>
      <c r="H185" s="28" t="s">
        <v>163</v>
      </c>
      <c r="I185" s="28" t="s">
        <v>164</v>
      </c>
      <c r="J185" s="28" t="s">
        <v>165</v>
      </c>
      <c r="K185" s="28" t="s">
        <v>166</v>
      </c>
      <c r="L185" s="28" t="s">
        <v>167</v>
      </c>
      <c r="M185" s="28" t="s">
        <v>168</v>
      </c>
      <c r="N185" s="28" t="s">
        <v>169</v>
      </c>
      <c r="O185" s="28" t="s">
        <v>170</v>
      </c>
      <c r="P185" s="28" t="s">
        <v>171</v>
      </c>
      <c r="Q185" s="28" t="s">
        <v>172</v>
      </c>
      <c r="R185" s="28" t="s">
        <v>173</v>
      </c>
      <c r="S185" s="28" t="s">
        <v>174</v>
      </c>
      <c r="T185" s="28" t="s">
        <v>175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39" t="n">
        <f aca="false">(B186+C186)/2</f>
        <v>0.25</v>
      </c>
      <c r="E186" s="15" t="n">
        <f aca="false">$C$2*(1+IF(E$3&lt;=$O$2,$D186,$D186-($D186-$I$184)*MIN(E$3-$O$2,$Q$2)/$Q$2))</f>
        <v>2312.5</v>
      </c>
      <c r="F186" s="15" t="n">
        <f aca="false">E186*(1+IF(F$3&lt;=$O$2,$D186,$D186-($D186-$I$184)*MIN(F$3-$O$2,$Q$2)/$Q$2))</f>
        <v>2890.625</v>
      </c>
      <c r="G186" s="15" t="n">
        <f aca="false">F186*(1+IF(G$3&lt;=$O$2,$D186,$D186-($D186-$I$184)*MIN(G$3-$O$2,$Q$2)/$Q$2))</f>
        <v>3613.28125</v>
      </c>
      <c r="H186" s="15" t="n">
        <f aca="false">G186*(1+IF(H$3&lt;=$O$2,$D186,$D186-($D186-$I$184)*MIN(H$3-$O$2,$Q$2)/$Q$2))</f>
        <v>4516.6015625</v>
      </c>
      <c r="I186" s="15" t="n">
        <f aca="false">H186*(1+IF(I$3&lt;=$O$2,$D186,$D186-($D186-$I$184)*MIN(I$3-$O$2,$Q$2)/$Q$2))</f>
        <v>5645.751953125</v>
      </c>
      <c r="J186" s="15" t="n">
        <f aca="false">I186*(1+IF(J$3&lt;=$O$2,$D186,$D186-($D186-$I$184)*MIN(J$3-$O$2,$Q$2)/$Q$2))</f>
        <v>6791.83959960938</v>
      </c>
      <c r="K186" s="15" t="n">
        <f aca="false">J186*(1+IF(K$3&lt;=$O$2,$D186,$D186-($D186-$I$184)*MIN(K$3-$O$2,$Q$2)/$Q$2))</f>
        <v>7851.36657714844</v>
      </c>
      <c r="L186" s="15" t="n">
        <f aca="false">K186*(1+IF(L$3&lt;=$O$2,$D186,$D186-($D186-$I$184)*MIN(L$3-$O$2,$Q$2)/$Q$2))</f>
        <v>8707.16553405762</v>
      </c>
      <c r="M186" s="15" t="n">
        <f aca="false">L186*(1+IF(M$3&lt;=$O$2,$D186,$D186-($D186-$I$184)*MIN(M$3-$O$2,$Q$2)/$Q$2))</f>
        <v>9247.00979716919</v>
      </c>
      <c r="N186" s="15" t="n">
        <f aca="false">M186*(1+IF(N$3&lt;=$O$2,$D186,$D186-($D186-$I$184)*MIN(N$3-$O$2,$Q$2)/$Q$2))</f>
        <v>9385.71494412673</v>
      </c>
      <c r="O186" s="15" t="n">
        <f aca="false">SUMPRODUCT(E186:N186,1/(1+$F$184)^$E$3:$N$3)*$E$2</f>
        <v>15165.9010297846</v>
      </c>
      <c r="P186" s="15" t="n">
        <f aca="false">N186*$E$2*(1+$I$184)/($F$184-$I$184)/(1+$F$184)^$N$3</f>
        <v>44622.2762702693</v>
      </c>
      <c r="Q186" s="15" t="n">
        <f aca="false">O186+P186</f>
        <v>59788.1773000539</v>
      </c>
      <c r="R186" s="15" t="n">
        <f aca="false">Q186-$G$2+$I$2</f>
        <v>58235.4773000539</v>
      </c>
      <c r="S186" s="40" t="n">
        <f aca="false">R186/$K$2</f>
        <v>211.465475507658</v>
      </c>
      <c r="T186" s="41" t="n">
        <f aca="false">S186-$M$2</f>
        <v>156.960954646334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39" t="n">
        <f aca="false">(B187+C187)/2</f>
        <v>-0.125</v>
      </c>
      <c r="E187" s="15" t="n">
        <f aca="false">$C$2*(1+IF(E$3&lt;=$O$2,$D187,$D187-($D187-$I$184)*MIN(E$3-$O$2,$Q$2)/$Q$2))</f>
        <v>1618.75</v>
      </c>
      <c r="F187" s="15" t="n">
        <f aca="false">E187*(1+IF(F$3&lt;=$O$2,$D187,$D187-($D187-$I$184)*MIN(F$3-$O$2,$Q$2)/$Q$2))</f>
        <v>1416.40625</v>
      </c>
      <c r="G187" s="15" t="n">
        <f aca="false">F187*(1+IF(G$3&lt;=$O$2,$D187,$D187-($D187-$I$184)*MIN(G$3-$O$2,$Q$2)/$Q$2))</f>
        <v>1239.35546875</v>
      </c>
      <c r="H187" s="15" t="n">
        <f aca="false">G187*(1+IF(H$3&lt;=$O$2,$D187,$D187-($D187-$I$184)*MIN(H$3-$O$2,$Q$2)/$Q$2))</f>
        <v>1084.43603515625</v>
      </c>
      <c r="I187" s="15" t="n">
        <f aca="false">H187*(1+IF(I$3&lt;=$O$2,$D187,$D187-($D187-$I$184)*MIN(I$3-$O$2,$Q$2)/$Q$2))</f>
        <v>948.881530761719</v>
      </c>
      <c r="J187" s="15" t="n">
        <f aca="false">I187*(1+IF(J$3&lt;=$O$2,$D187,$D187-($D187-$I$184)*MIN(J$3-$O$2,$Q$2)/$Q$2))</f>
        <v>856.840022277832</v>
      </c>
      <c r="K187" s="15" t="n">
        <f aca="false">J187*(1+IF(K$3&lt;=$O$2,$D187,$D187-($D187-$I$184)*MIN(K$3-$O$2,$Q$2)/$Q$2))</f>
        <v>797.718060740662</v>
      </c>
      <c r="L187" s="15" t="n">
        <f aca="false">K187*(1+IF(L$3&lt;=$O$2,$D187,$D187-($D187-$I$184)*MIN(L$3-$O$2,$Q$2)/$Q$2))</f>
        <v>765.011620250295</v>
      </c>
      <c r="M187" s="15" t="n">
        <f aca="false">L187*(1+IF(M$3&lt;=$O$2,$D187,$D187-($D187-$I$184)*MIN(M$3-$O$2,$Q$2)/$Q$2))</f>
        <v>755.066469187041</v>
      </c>
      <c r="N187" s="15" t="n">
        <f aca="false">M187*(1+IF(N$3&lt;=$O$2,$D187,$D187-($D187-$I$184)*MIN(N$3-$O$2,$Q$2)/$Q$2))</f>
        <v>766.392466224846</v>
      </c>
      <c r="O187" s="15" t="n">
        <f aca="false">SUMPRODUCT(E187:N187,1/(1+$F$184)^$E$3:$N$3)*$E$2</f>
        <v>2854.96348981229</v>
      </c>
      <c r="P187" s="15" t="n">
        <f aca="false">N187*$E$2*(1+$I$184)/($F$184-$I$184)/(1+$F$184)^$N$3</f>
        <v>3643.64106122126</v>
      </c>
      <c r="Q187" s="15" t="n">
        <f aca="false">O187+P187</f>
        <v>6498.60455103354</v>
      </c>
      <c r="R187" s="15" t="n">
        <f aca="false">Q187-$G$2+$I$2</f>
        <v>4945.90455103354</v>
      </c>
      <c r="S187" s="40" t="n">
        <f aca="false">R187/$K$2</f>
        <v>17.9596374270436</v>
      </c>
      <c r="T187" s="41" t="n">
        <f aca="false">S187-$M$2</f>
        <v>-36.5448834342803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39" t="n">
        <f aca="false">(B188+C188)/2</f>
        <v>0.0625</v>
      </c>
      <c r="E188" s="15" t="n">
        <f aca="false">$C$2*(1+IF(E$3&lt;=$O$2,$D188,$D188-($D188-$I$184)*MIN(E$3-$O$2,$Q$2)/$Q$2))</f>
        <v>1965.625</v>
      </c>
      <c r="F188" s="15" t="n">
        <f aca="false">E188*(1+IF(F$3&lt;=$O$2,$D188,$D188-($D188-$I$184)*MIN(F$3-$O$2,$Q$2)/$Q$2))</f>
        <v>2088.4765625</v>
      </c>
      <c r="G188" s="15" t="n">
        <f aca="false">F188*(1+IF(G$3&lt;=$O$2,$D188,$D188-($D188-$I$184)*MIN(G$3-$O$2,$Q$2)/$Q$2))</f>
        <v>2219.00634765625</v>
      </c>
      <c r="H188" s="15" t="n">
        <f aca="false">G188*(1+IF(H$3&lt;=$O$2,$D188,$D188-($D188-$I$184)*MIN(H$3-$O$2,$Q$2)/$Q$2))</f>
        <v>2357.69424438477</v>
      </c>
      <c r="I188" s="15" t="n">
        <f aca="false">H188*(1+IF(I$3&lt;=$O$2,$D188,$D188-($D188-$I$184)*MIN(I$3-$O$2,$Q$2)/$Q$2))</f>
        <v>2505.05013465881</v>
      </c>
      <c r="J188" s="15" t="n">
        <f aca="false">I188*(1+IF(J$3&lt;=$O$2,$D188,$D188-($D188-$I$184)*MIN(J$3-$O$2,$Q$2)/$Q$2))</f>
        <v>2637.81779179573</v>
      </c>
      <c r="K188" s="15" t="n">
        <f aca="false">J188*(1+IF(K$3&lt;=$O$2,$D188,$D188-($D188-$I$184)*MIN(K$3-$O$2,$Q$2)/$Q$2))</f>
        <v>2752.56286573885</v>
      </c>
      <c r="L188" s="15" t="n">
        <f aca="false">K188*(1+IF(L$3&lt;=$O$2,$D188,$D188-($D188-$I$184)*MIN(L$3-$O$2,$Q$2)/$Q$2))</f>
        <v>2846.15000317397</v>
      </c>
      <c r="M188" s="15" t="n">
        <f aca="false">L188*(1+IF(M$3&lt;=$O$2,$D188,$D188-($D188-$I$184)*MIN(M$3-$O$2,$Q$2)/$Q$2))</f>
        <v>2915.88067825173</v>
      </c>
      <c r="N188" s="15" t="n">
        <f aca="false">M188*(1+IF(N$3&lt;=$O$2,$D188,$D188-($D188-$I$184)*MIN(N$3-$O$2,$Q$2)/$Q$2))</f>
        <v>2959.6188884255</v>
      </c>
      <c r="O188" s="15" t="n">
        <f aca="false">SUMPRODUCT(E188:N188,1/(1+$F$184)^$E$3:$N$3)*$E$2</f>
        <v>6588.91964462624</v>
      </c>
      <c r="P188" s="15" t="n">
        <f aca="false">N188*$E$2*(1+$I$184)/($F$184-$I$184)/(1+$F$184)^$N$3</f>
        <v>14070.8440944791</v>
      </c>
      <c r="Q188" s="15" t="n">
        <f aca="false">O188+P188</f>
        <v>20659.7637391054</v>
      </c>
      <c r="R188" s="15" t="n">
        <f aca="false">Q188-$G$2+$I$2</f>
        <v>19107.0637391054</v>
      </c>
      <c r="S188" s="40" t="n">
        <f aca="false">R188/$K$2</f>
        <v>69.3818357206339</v>
      </c>
      <c r="T188" s="41" t="n">
        <f aca="false">S188-$M$2</f>
        <v>14.87731485931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39" t="n">
        <f aca="false">(B189+C189)/2</f>
        <v>-0.03125</v>
      </c>
      <c r="E189" s="15" t="n">
        <f aca="false">$C$2*(1+IF(E$3&lt;=$O$2,$D189,$D189-($D189-$I$184)*MIN(E$3-$O$2,$Q$2)/$Q$2))</f>
        <v>1792.1875</v>
      </c>
      <c r="F189" s="15" t="n">
        <f aca="false">E189*(1+IF(F$3&lt;=$O$2,$D189,$D189-($D189-$I$184)*MIN(F$3-$O$2,$Q$2)/$Q$2))</f>
        <v>1736.181640625</v>
      </c>
      <c r="G189" s="15" t="n">
        <f aca="false">F189*(1+IF(G$3&lt;=$O$2,$D189,$D189-($D189-$I$184)*MIN(G$3-$O$2,$Q$2)/$Q$2))</f>
        <v>1681.92596435547</v>
      </c>
      <c r="H189" s="15" t="n">
        <f aca="false">G189*(1+IF(H$3&lt;=$O$2,$D189,$D189-($D189-$I$184)*MIN(H$3-$O$2,$Q$2)/$Q$2))</f>
        <v>1629.36577796936</v>
      </c>
      <c r="I189" s="15" t="n">
        <f aca="false">H189*(1+IF(I$3&lt;=$O$2,$D189,$D189-($D189-$I$184)*MIN(I$3-$O$2,$Q$2)/$Q$2))</f>
        <v>1578.44809740782</v>
      </c>
      <c r="J189" s="15" t="n">
        <f aca="false">I189*(1+IF(J$3&lt;=$O$2,$D189,$D189-($D189-$I$184)*MIN(J$3-$O$2,$Q$2)/$Q$2))</f>
        <v>1543.72223926485</v>
      </c>
      <c r="K189" s="15" t="n">
        <f aca="false">J189*(1+IF(K$3&lt;=$O$2,$D189,$D189-($D189-$I$184)*MIN(K$3-$O$2,$Q$2)/$Q$2))</f>
        <v>1524.03978071422</v>
      </c>
      <c r="L189" s="15" t="n">
        <f aca="false">K189*(1+IF(L$3&lt;=$O$2,$D189,$D189-($D189-$I$184)*MIN(L$3-$O$2,$Q$2)/$Q$2))</f>
        <v>1518.70564148172</v>
      </c>
      <c r="M189" s="15" t="n">
        <f aca="false">L189*(1+IF(M$3&lt;=$O$2,$D189,$D189-($D189-$I$184)*MIN(M$3-$O$2,$Q$2)/$Q$2))</f>
        <v>1527.43819892024</v>
      </c>
      <c r="N189" s="15" t="n">
        <f aca="false">M189*(1+IF(N$3&lt;=$O$2,$D189,$D189-($D189-$I$184)*MIN(N$3-$O$2,$Q$2)/$Q$2))</f>
        <v>1550.34977190404</v>
      </c>
      <c r="O189" s="15" t="n">
        <f aca="false">SUMPRODUCT(E189:N189,1/(1+$F$184)^$E$3:$N$3)*$E$2</f>
        <v>4327.41359796964</v>
      </c>
      <c r="P189" s="15" t="n">
        <f aca="false">N189*$E$2*(1+$I$184)/($F$184-$I$184)/(1+$F$184)^$N$3</f>
        <v>7370.79021143102</v>
      </c>
      <c r="Q189" s="15" t="n">
        <f aca="false">O189+P189</f>
        <v>11698.2038094007</v>
      </c>
      <c r="R189" s="15" t="n">
        <f aca="false">Q189-$G$2+$I$2</f>
        <v>10145.5038094007</v>
      </c>
      <c r="S189" s="40" t="n">
        <f aca="false">R189/$K$2</f>
        <v>36.840494605471</v>
      </c>
      <c r="T189" s="41" t="n">
        <f aca="false">S189-$M$2</f>
        <v>-17.6640262558529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39" t="n">
        <f aca="false">(B190+C190)/2</f>
        <v>0.015625</v>
      </c>
      <c r="E190" s="15" t="n">
        <f aca="false">$C$2*(1+IF(E$3&lt;=$O$2,$D190,$D190-($D190-$I$184)*MIN(E$3-$O$2,$Q$2)/$Q$2))</f>
        <v>1878.90625</v>
      </c>
      <c r="F190" s="15" t="n">
        <f aca="false">E190*(1+IF(F$3&lt;=$O$2,$D190,$D190-($D190-$I$184)*MIN(F$3-$O$2,$Q$2)/$Q$2))</f>
        <v>1908.26416015625</v>
      </c>
      <c r="G190" s="15" t="n">
        <f aca="false">F190*(1+IF(G$3&lt;=$O$2,$D190,$D190-($D190-$I$184)*MIN(G$3-$O$2,$Q$2)/$Q$2))</f>
        <v>1938.08078765869</v>
      </c>
      <c r="H190" s="15" t="n">
        <f aca="false">G190*(1+IF(H$3&lt;=$O$2,$D190,$D190-($D190-$I$184)*MIN(H$3-$O$2,$Q$2)/$Q$2))</f>
        <v>1968.36329996586</v>
      </c>
      <c r="I190" s="15" t="n">
        <f aca="false">H190*(1+IF(I$3&lt;=$O$2,$D190,$D190-($D190-$I$184)*MIN(I$3-$O$2,$Q$2)/$Q$2))</f>
        <v>1999.11897652783</v>
      </c>
      <c r="J190" s="15" t="n">
        <f aca="false">I190*(1+IF(J$3&lt;=$O$2,$D190,$D190-($D190-$I$184)*MIN(J$3-$O$2,$Q$2)/$Q$2))</f>
        <v>2030.10532066401</v>
      </c>
      <c r="K190" s="15" t="n">
        <f aca="false">J190*(1+IF(K$3&lt;=$O$2,$D190,$D190-($D190-$I$184)*MIN(K$3-$O$2,$Q$2)/$Q$2))</f>
        <v>2061.31818996922</v>
      </c>
      <c r="L190" s="15" t="n">
        <f aca="false">K190*(1+IF(L$3&lt;=$O$2,$D190,$D190-($D190-$I$184)*MIN(L$3-$O$2,$Q$2)/$Q$2))</f>
        <v>2092.75329236625</v>
      </c>
      <c r="M190" s="15" t="n">
        <f aca="false">L190*(1+IF(M$3&lt;=$O$2,$D190,$D190-($D190-$I$184)*MIN(M$3-$O$2,$Q$2)/$Q$2))</f>
        <v>2124.40618591329</v>
      </c>
      <c r="N190" s="15" t="n">
        <f aca="false">M190*(1+IF(N$3&lt;=$O$2,$D190,$D190-($D190-$I$184)*MIN(N$3-$O$2,$Q$2)/$Q$2))</f>
        <v>2156.27227870198</v>
      </c>
      <c r="O190" s="15" t="n">
        <f aca="false">SUMPRODUCT(E190:N190,1/(1+$F$184)^$E$3:$N$3)*$E$2</f>
        <v>5338.64196012283</v>
      </c>
      <c r="P190" s="15" t="n">
        <f aca="false">N190*$E$2*(1+$I$184)/($F$184-$I$184)/(1+$F$184)^$N$3</f>
        <v>10251.5128476572</v>
      </c>
      <c r="Q190" s="15" t="n">
        <f aca="false">O190+P190</f>
        <v>15590.15480778</v>
      </c>
      <c r="R190" s="15" t="n">
        <f aca="false">Q190-$G$2+$I$2</f>
        <v>14037.45480778</v>
      </c>
      <c r="S190" s="40" t="n">
        <f aca="false">R190/$K$2</f>
        <v>50.9730012265514</v>
      </c>
      <c r="T190" s="41" t="n">
        <f aca="false">S190-$M$2</f>
        <v>-3.53151963477249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0.015625</v>
      </c>
      <c r="C191" s="25" t="n">
        <f aca="false">IF(T190&gt;0,D190,C190)</f>
        <v>0.0625</v>
      </c>
      <c r="D191" s="39" t="n">
        <f aca="false">(B191+C191)/2</f>
        <v>0.0390625</v>
      </c>
      <c r="E191" s="15" t="n">
        <f aca="false">$C$2*(1+IF(E$3&lt;=$O$2,$D191,$D191-($D191-$I$184)*MIN(E$3-$O$2,$Q$2)/$Q$2))</f>
        <v>1922.265625</v>
      </c>
      <c r="F191" s="15" t="n">
        <f aca="false">E191*(1+IF(F$3&lt;=$O$2,$D191,$D191-($D191-$I$184)*MIN(F$3-$O$2,$Q$2)/$Q$2))</f>
        <v>1997.35412597656</v>
      </c>
      <c r="G191" s="15" t="n">
        <f aca="false">F191*(1+IF(G$3&lt;=$O$2,$D191,$D191-($D191-$I$184)*MIN(G$3-$O$2,$Q$2)/$Q$2))</f>
        <v>2075.37577152252</v>
      </c>
      <c r="H191" s="15" t="n">
        <f aca="false">G191*(1+IF(H$3&lt;=$O$2,$D191,$D191-($D191-$I$184)*MIN(H$3-$O$2,$Q$2)/$Q$2))</f>
        <v>2156.44513759762</v>
      </c>
      <c r="I191" s="15" t="n">
        <f aca="false">H191*(1+IF(I$3&lt;=$O$2,$D191,$D191-($D191-$I$184)*MIN(I$3-$O$2,$Q$2)/$Q$2))</f>
        <v>2240.68127578503</v>
      </c>
      <c r="J191" s="15" t="n">
        <f aca="false">I191*(1+IF(J$3&lt;=$O$2,$D191,$D191-($D191-$I$184)*MIN(J$3-$O$2,$Q$2)/$Q$2))</f>
        <v>2317.42460948067</v>
      </c>
      <c r="K191" s="15" t="n">
        <f aca="false">J191*(1+IF(K$3&lt;=$O$2,$D191,$D191-($D191-$I$184)*MIN(K$3-$O$2,$Q$2)/$Q$2))</f>
        <v>2385.64379642225</v>
      </c>
      <c r="L191" s="15" t="n">
        <f aca="false">K191*(1+IF(L$3&lt;=$O$2,$D191,$D191-($D191-$I$184)*MIN(L$3-$O$2,$Q$2)/$Q$2))</f>
        <v>2444.39027490915</v>
      </c>
      <c r="M191" s="15" t="n">
        <f aca="false">L191*(1+IF(M$3&lt;=$O$2,$D191,$D191-($D191-$I$184)*MIN(M$3-$O$2,$Q$2)/$Q$2))</f>
        <v>2492.81975723079</v>
      </c>
      <c r="N191" s="15" t="n">
        <f aca="false">M191*(1+IF(N$3&lt;=$O$2,$D191,$D191-($D191-$I$184)*MIN(N$3-$O$2,$Q$2)/$Q$2))</f>
        <v>2530.21205358925</v>
      </c>
      <c r="O191" s="15" t="n">
        <f aca="false">SUMPRODUCT(E191:N191,1/(1+$F$184)^$E$3:$N$3)*$E$2</f>
        <v>5930.87030749615</v>
      </c>
      <c r="P191" s="15" t="n">
        <f aca="false">N191*$E$2*(1+$I$184)/($F$184-$I$184)/(1+$F$184)^$N$3</f>
        <v>12029.3256240726</v>
      </c>
      <c r="Q191" s="15" t="n">
        <f aca="false">O191+P191</f>
        <v>17960.1959315688</v>
      </c>
      <c r="R191" s="15" t="n">
        <f aca="false">Q191-$G$2+$I$2</f>
        <v>16407.4959315688</v>
      </c>
      <c r="S191" s="40" t="n">
        <f aca="false">R191/$K$2</f>
        <v>59.5791275339292</v>
      </c>
      <c r="T191" s="41" t="n">
        <f aca="false">S191-$M$2</f>
        <v>5.07460667260521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0.015625</v>
      </c>
      <c r="C192" s="25" t="n">
        <f aca="false">IF(T191&gt;0,D191,C191)</f>
        <v>0.0390625</v>
      </c>
      <c r="D192" s="39" t="n">
        <f aca="false">(B192+C192)/2</f>
        <v>0.02734375</v>
      </c>
      <c r="E192" s="15" t="n">
        <f aca="false">$C$2*(1+IF(E$3&lt;=$O$2,$D192,$D192-($D192-$I$184)*MIN(E$3-$O$2,$Q$2)/$Q$2))</f>
        <v>1900.5859375</v>
      </c>
      <c r="F192" s="15" t="n">
        <f aca="false">E192*(1+IF(F$3&lt;=$O$2,$D192,$D192-($D192-$I$184)*MIN(F$3-$O$2,$Q$2)/$Q$2))</f>
        <v>1952.55508422852</v>
      </c>
      <c r="G192" s="15" t="n">
        <f aca="false">F192*(1+IF(G$3&lt;=$O$2,$D192,$D192-($D192-$I$184)*MIN(G$3-$O$2,$Q$2)/$Q$2))</f>
        <v>2005.94526231289</v>
      </c>
      <c r="H192" s="15" t="n">
        <f aca="false">G192*(1+IF(H$3&lt;=$O$2,$D192,$D192-($D192-$I$184)*MIN(H$3-$O$2,$Q$2)/$Q$2))</f>
        <v>2060.79532807926</v>
      </c>
      <c r="I192" s="15" t="n">
        <f aca="false">H192*(1+IF(I$3&lt;=$O$2,$D192,$D192-($D192-$I$184)*MIN(I$3-$O$2,$Q$2)/$Q$2))</f>
        <v>2117.14520033142</v>
      </c>
      <c r="J192" s="15" t="n">
        <f aca="false">I192*(1+IF(J$3&lt;=$O$2,$D192,$D192-($D192-$I$184)*MIN(J$3-$O$2,$Q$2)/$Q$2))</f>
        <v>2169.80918718967</v>
      </c>
      <c r="K192" s="15" t="n">
        <f aca="false">J192*(1+IF(K$3&lt;=$O$2,$D192,$D192-($D192-$I$184)*MIN(K$3-$O$2,$Q$2)/$Q$2))</f>
        <v>2218.42647429014</v>
      </c>
      <c r="L192" s="15" t="n">
        <f aca="false">K192*(1+IF(L$3&lt;=$O$2,$D192,$D192-($D192-$I$184)*MIN(L$3-$O$2,$Q$2)/$Q$2))</f>
        <v>2262.6563521213</v>
      </c>
      <c r="M192" s="15" t="n">
        <f aca="false">L192*(1+IF(M$3&lt;=$O$2,$D192,$D192-($D192-$I$184)*MIN(M$3-$O$2,$Q$2)/$Q$2))</f>
        <v>2302.18213027242</v>
      </c>
      <c r="N192" s="15" t="n">
        <f aca="false">M192*(1+IF(N$3&lt;=$O$2,$D192,$D192-($D192-$I$184)*MIN(N$3-$O$2,$Q$2)/$Q$2))</f>
        <v>2336.7148622265</v>
      </c>
      <c r="O192" s="15" t="n">
        <f aca="false">SUMPRODUCT(E192:N192,1/(1+$F$184)^$E$3:$N$3)*$E$2</f>
        <v>5626.92760253261</v>
      </c>
      <c r="P192" s="15" t="n">
        <f aca="false">N192*$E$2*(1+$I$184)/($F$184-$I$184)/(1+$F$184)^$N$3</f>
        <v>11109.3866336057</v>
      </c>
      <c r="Q192" s="15" t="n">
        <f aca="false">O192+P192</f>
        <v>16736.3142361384</v>
      </c>
      <c r="R192" s="15" t="n">
        <f aca="false">Q192-$G$2+$I$2</f>
        <v>15183.6142361384</v>
      </c>
      <c r="S192" s="40" t="n">
        <f aca="false">R192/$K$2</f>
        <v>55.1349512913989</v>
      </c>
      <c r="T192" s="41" t="n">
        <f aca="false">S192-$M$2</f>
        <v>0.630430430074988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0.015625</v>
      </c>
      <c r="C193" s="25" t="n">
        <f aca="false">IF(T192&gt;0,D192,C192)</f>
        <v>0.02734375</v>
      </c>
      <c r="D193" s="39" t="n">
        <f aca="false">(B193+C193)/2</f>
        <v>0.021484375</v>
      </c>
      <c r="E193" s="15" t="n">
        <f aca="false">$C$2*(1+IF(E$3&lt;=$O$2,$D193,$D193-($D193-$I$184)*MIN(E$3-$O$2,$Q$2)/$Q$2))</f>
        <v>1889.74609375</v>
      </c>
      <c r="F193" s="15" t="n">
        <f aca="false">E193*(1+IF(F$3&lt;=$O$2,$D193,$D193-($D193-$I$184)*MIN(F$3-$O$2,$Q$2)/$Q$2))</f>
        <v>1930.34610748291</v>
      </c>
      <c r="G193" s="15" t="n">
        <f aca="false">F193*(1+IF(G$3&lt;=$O$2,$D193,$D193-($D193-$I$184)*MIN(G$3-$O$2,$Q$2)/$Q$2))</f>
        <v>1971.81838713586</v>
      </c>
      <c r="H193" s="15" t="n">
        <f aca="false">G193*(1+IF(H$3&lt;=$O$2,$D193,$D193-($D193-$I$184)*MIN(H$3-$O$2,$Q$2)/$Q$2))</f>
        <v>2014.18167279699</v>
      </c>
      <c r="I193" s="15" t="n">
        <f aca="false">H193*(1+IF(I$3&lt;=$O$2,$D193,$D193-($D193-$I$184)*MIN(I$3-$O$2,$Q$2)/$Q$2))</f>
        <v>2057.45510717348</v>
      </c>
      <c r="J193" s="15" t="n">
        <f aca="false">I193*(1+IF(J$3&lt;=$O$2,$D193,$D193-($D193-$I$184)*MIN(J$3-$O$2,$Q$2)/$Q$2))</f>
        <v>2098.98998214955</v>
      </c>
      <c r="K193" s="15" t="n">
        <f aca="false">J193*(1+IF(K$3&lt;=$O$2,$D193,$D193-($D193-$I$184)*MIN(K$3-$O$2,$Q$2)/$Q$2))</f>
        <v>2138.64121478109</v>
      </c>
      <c r="L193" s="15" t="n">
        <f aca="false">K193*(1+IF(L$3&lt;=$O$2,$D193,$D193-($D193-$I$184)*MIN(L$3-$O$2,$Q$2)/$Q$2))</f>
        <v>2176.26793365365</v>
      </c>
      <c r="M193" s="15" t="n">
        <f aca="false">L193*(1+IF(M$3&lt;=$O$2,$D193,$D193-($D193-$I$184)*MIN(M$3-$O$2,$Q$2)/$Q$2))</f>
        <v>2211.73430013491</v>
      </c>
      <c r="N193" s="15" t="n">
        <f aca="false">M193*(1+IF(N$3&lt;=$O$2,$D193,$D193-($D193-$I$184)*MIN(N$3-$O$2,$Q$2)/$Q$2))</f>
        <v>2244.91031463693</v>
      </c>
      <c r="O193" s="15" t="n">
        <f aca="false">SUMPRODUCT(E193:N193,1/(1+$F$184)^$E$3:$N$3)*$E$2</f>
        <v>5480.8756907855</v>
      </c>
      <c r="P193" s="15" t="n">
        <f aca="false">N193*$E$2*(1+$I$184)/($F$184-$I$184)/(1+$F$184)^$N$3</f>
        <v>10672.9225059612</v>
      </c>
      <c r="Q193" s="15" t="n">
        <f aca="false">O193+P193</f>
        <v>16153.7981967467</v>
      </c>
      <c r="R193" s="15" t="n">
        <f aca="false">Q193-$G$2+$I$2</f>
        <v>14601.0981967467</v>
      </c>
      <c r="S193" s="40" t="n">
        <f aca="false">R193/$K$2</f>
        <v>53.0197109435589</v>
      </c>
      <c r="T193" s="41" t="n">
        <f aca="false">S193-$M$2</f>
        <v>-1.48480991776507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0.021484375</v>
      </c>
      <c r="C194" s="25" t="n">
        <f aca="false">IF(T193&gt;0,D193,C193)</f>
        <v>0.02734375</v>
      </c>
      <c r="D194" s="39" t="n">
        <f aca="false">(B194+C194)/2</f>
        <v>0.0244140625</v>
      </c>
      <c r="E194" s="15" t="n">
        <f aca="false">$C$2*(1+IF(E$3&lt;=$O$2,$D194,$D194-($D194-$I$184)*MIN(E$3-$O$2,$Q$2)/$Q$2))</f>
        <v>1895.166015625</v>
      </c>
      <c r="F194" s="15" t="n">
        <f aca="false">E194*(1+IF(F$3&lt;=$O$2,$D194,$D194-($D194-$I$184)*MIN(F$3-$O$2,$Q$2)/$Q$2))</f>
        <v>1941.43471717834</v>
      </c>
      <c r="G194" s="15" t="n">
        <f aca="false">F194*(1+IF(G$3&lt;=$O$2,$D194,$D194-($D194-$I$184)*MIN(G$3-$O$2,$Q$2)/$Q$2))</f>
        <v>1988.83302570321</v>
      </c>
      <c r="H194" s="15" t="n">
        <f aca="false">G194*(1+IF(H$3&lt;=$O$2,$D194,$D194-($D194-$I$184)*MIN(H$3-$O$2,$Q$2)/$Q$2))</f>
        <v>2037.38851949479</v>
      </c>
      <c r="I194" s="15" t="n">
        <f aca="false">H194*(1+IF(I$3&lt;=$O$2,$D194,$D194-($D194-$I$184)*MIN(I$3-$O$2,$Q$2)/$Q$2))</f>
        <v>2087.12945014652</v>
      </c>
      <c r="J194" s="15" t="n">
        <f aca="false">I194*(1+IF(J$3&lt;=$O$2,$D194,$D194-($D194-$I$184)*MIN(J$3-$O$2,$Q$2)/$Q$2))</f>
        <v>2134.15508557013</v>
      </c>
      <c r="K194" s="15" t="n">
        <f aca="false">J194*(1+IF(K$3&lt;=$O$2,$D194,$D194-($D194-$I$184)*MIN(K$3-$O$2,$Q$2)/$Q$2))</f>
        <v>2178.22205346983</v>
      </c>
      <c r="L194" s="15" t="n">
        <f aca="false">K194*(1+IF(L$3&lt;=$O$2,$D194,$D194-($D194-$I$184)*MIN(L$3-$O$2,$Q$2)/$Q$2))</f>
        <v>2219.09775169198</v>
      </c>
      <c r="M194" s="15" t="n">
        <f aca="false">L194*(1+IF(M$3&lt;=$O$2,$D194,$D194-($D194-$I$184)*MIN(M$3-$O$2,$Q$2)/$Q$2))</f>
        <v>2256.56236295296</v>
      </c>
      <c r="N194" s="15" t="n">
        <f aca="false">M194*(1+IF(N$3&lt;=$O$2,$D194,$D194-($D194-$I$184)*MIN(N$3-$O$2,$Q$2)/$Q$2))</f>
        <v>2290.41079839726</v>
      </c>
      <c r="O194" s="15" t="n">
        <f aca="false">SUMPRODUCT(E194:N194,1/(1+$F$184)^$E$3:$N$3)*$E$2</f>
        <v>5553.41844919533</v>
      </c>
      <c r="P194" s="15" t="n">
        <f aca="false">N194*$E$2*(1+$I$184)/($F$184-$I$184)/(1+$F$184)^$N$3</f>
        <v>10889.2443491954</v>
      </c>
      <c r="Q194" s="15" t="n">
        <f aca="false">O194+P194</f>
        <v>16442.6627983907</v>
      </c>
      <c r="R194" s="15" t="n">
        <f aca="false">Q194-$G$2+$I$2</f>
        <v>14889.9627983907</v>
      </c>
      <c r="S194" s="40" t="n">
        <f aca="false">R194/$K$2</f>
        <v>54.0686401045452</v>
      </c>
      <c r="T194" s="41" t="n">
        <f aca="false">S194-$M$2</f>
        <v>-0.435880756778758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0.0244140625</v>
      </c>
      <c r="C195" s="25" t="n">
        <f aca="false">IF(T194&gt;0,D194,C194)</f>
        <v>0.02734375</v>
      </c>
      <c r="D195" s="39" t="n">
        <f aca="false">(B195+C195)/2</f>
        <v>0.02587890625</v>
      </c>
      <c r="E195" s="15" t="n">
        <f aca="false">$C$2*(1+IF(E$3&lt;=$O$2,$D195,$D195-($D195-$I$184)*MIN(E$3-$O$2,$Q$2)/$Q$2))</f>
        <v>1897.8759765625</v>
      </c>
      <c r="F195" s="15" t="n">
        <f aca="false">E195*(1+IF(F$3&lt;=$O$2,$D195,$D195-($D195-$I$184)*MIN(F$3-$O$2,$Q$2)/$Q$2))</f>
        <v>1946.99093103409</v>
      </c>
      <c r="G195" s="15" t="n">
        <f aca="false">F195*(1+IF(G$3&lt;=$O$2,$D195,$D195-($D195-$I$184)*MIN(G$3-$O$2,$Q$2)/$Q$2))</f>
        <v>1997.37692680792</v>
      </c>
      <c r="H195" s="15" t="n">
        <f aca="false">G195*(1+IF(H$3&lt;=$O$2,$D195,$D195-($D195-$I$184)*MIN(H$3-$O$2,$Q$2)/$Q$2))</f>
        <v>2049.06685704269</v>
      </c>
      <c r="I195" s="15" t="n">
        <f aca="false">H195*(1+IF(I$3&lt;=$O$2,$D195,$D195-($D195-$I$184)*MIN(I$3-$O$2,$Q$2)/$Q$2))</f>
        <v>2102.09446613608</v>
      </c>
      <c r="J195" s="15" t="n">
        <f aca="false">I195*(1+IF(J$3&lt;=$O$2,$D195,$D195-($D195-$I$184)*MIN(J$3-$O$2,$Q$2)/$Q$2))</f>
        <v>2151.92067402872</v>
      </c>
      <c r="K195" s="15" t="n">
        <f aca="false">J195*(1+IF(K$3&lt;=$O$2,$D195,$D195-($D195-$I$184)*MIN(K$3-$O$2,$Q$2)/$Q$2))</f>
        <v>2198.24581010126</v>
      </c>
      <c r="L195" s="15" t="n">
        <f aca="false">K195*(1+IF(L$3&lt;=$O$2,$D195,$D195-($D195-$I$184)*MIN(L$3-$O$2,$Q$2)/$Q$2))</f>
        <v>2240.7853012858</v>
      </c>
      <c r="M195" s="15" t="n">
        <f aca="false">L195*(1+IF(M$3&lt;=$O$2,$D195,$D195-($D195-$I$184)*MIN(M$3-$O$2,$Q$2)/$Q$2))</f>
        <v>2279.2725394489</v>
      </c>
      <c r="N195" s="15" t="n">
        <f aca="false">M195*(1+IF(N$3&lt;=$O$2,$D195,$D195-($D195-$I$184)*MIN(N$3-$O$2,$Q$2)/$Q$2))</f>
        <v>2313.46162754064</v>
      </c>
      <c r="O195" s="15" t="n">
        <f aca="false">SUMPRODUCT(E195:N195,1/(1+$F$184)^$E$3:$N$3)*$E$2</f>
        <v>5590.05147891063</v>
      </c>
      <c r="P195" s="15" t="n">
        <f aca="false">N195*$E$2*(1+$I$184)/($F$184-$I$184)/(1+$F$184)^$N$3</f>
        <v>10998.8343455268</v>
      </c>
      <c r="Q195" s="15" t="n">
        <f aca="false">O195+P195</f>
        <v>16588.8858244374</v>
      </c>
      <c r="R195" s="15" t="n">
        <f aca="false">Q195-$G$2+$I$2</f>
        <v>15036.1858244374</v>
      </c>
      <c r="S195" s="40" t="n">
        <f aca="false">R195/$K$2</f>
        <v>54.5996071913919</v>
      </c>
      <c r="T195" s="41" t="n">
        <f aca="false">S195-$M$2</f>
        <v>0.0950863300679501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0.0244140625</v>
      </c>
      <c r="C196" s="25" t="n">
        <f aca="false">IF(T195&gt;0,D195,C195)</f>
        <v>0.02587890625</v>
      </c>
      <c r="D196" s="39" t="n">
        <f aca="false">(B196+C196)/2</f>
        <v>0.025146484375</v>
      </c>
      <c r="E196" s="15" t="n">
        <f aca="false">$C$2*(1+IF(E$3&lt;=$O$2,$D196,$D196-($D196-$I$184)*MIN(E$3-$O$2,$Q$2)/$Q$2))</f>
        <v>1896.52099609375</v>
      </c>
      <c r="F196" s="15" t="n">
        <f aca="false">E196*(1+IF(F$3&lt;=$O$2,$D196,$D196-($D196-$I$184)*MIN(F$3-$O$2,$Q$2)/$Q$2))</f>
        <v>1944.21183168888</v>
      </c>
      <c r="G196" s="15" t="n">
        <f aca="false">F196*(1+IF(G$3&lt;=$O$2,$D196,$D196-($D196-$I$184)*MIN(G$3-$O$2,$Q$2)/$Q$2))</f>
        <v>1993.10192413614</v>
      </c>
      <c r="H196" s="15" t="n">
        <f aca="false">G196*(1+IF(H$3&lt;=$O$2,$D196,$D196-($D196-$I$184)*MIN(H$3-$O$2,$Q$2)/$Q$2))</f>
        <v>2043.22143052921</v>
      </c>
      <c r="I196" s="15" t="n">
        <f aca="false">H196*(1+IF(I$3&lt;=$O$2,$D196,$D196-($D196-$I$184)*MIN(I$3-$O$2,$Q$2)/$Q$2))</f>
        <v>2094.60126630668</v>
      </c>
      <c r="J196" s="15" t="n">
        <f aca="false">I196*(1+IF(J$3&lt;=$O$2,$D196,$D196-($D196-$I$184)*MIN(J$3-$O$2,$Q$2)/$Q$2))</f>
        <v>2143.02255651762</v>
      </c>
      <c r="K196" s="15" t="n">
        <f aca="false">J196*(1+IF(K$3&lt;=$O$2,$D196,$D196-($D196-$I$184)*MIN(K$3-$O$2,$Q$2)/$Q$2))</f>
        <v>2188.21438179638</v>
      </c>
      <c r="L196" s="15" t="n">
        <f aca="false">K196*(1+IF(L$3&lt;=$O$2,$D196,$D196-($D196-$I$184)*MIN(L$3-$O$2,$Q$2)/$Q$2))</f>
        <v>2229.91867073694</v>
      </c>
      <c r="M196" s="15" t="n">
        <f aca="false">L196*(1+IF(M$3&lt;=$O$2,$D196,$D196-($D196-$I$184)*MIN(M$3-$O$2,$Q$2)/$Q$2))</f>
        <v>2267.89261778803</v>
      </c>
      <c r="N196" s="15" t="n">
        <f aca="false">M196*(1+IF(N$3&lt;=$O$2,$D196,$D196-($D196-$I$184)*MIN(N$3-$O$2,$Q$2)/$Q$2))</f>
        <v>2301.91100705485</v>
      </c>
      <c r="O196" s="15" t="n">
        <f aca="false">SUMPRODUCT(E196:N196,1/(1+$F$184)^$E$3:$N$3)*$E$2</f>
        <v>5571.70467107665</v>
      </c>
      <c r="P196" s="15" t="n">
        <f aca="false">N196*$E$2*(1+$I$184)/($F$184-$I$184)/(1+$F$184)^$N$3</f>
        <v>10943.9195114967</v>
      </c>
      <c r="Q196" s="15" t="n">
        <f aca="false">O196+P196</f>
        <v>16515.6241825734</v>
      </c>
      <c r="R196" s="15" t="n">
        <f aca="false">Q196-$G$2+$I$2</f>
        <v>14962.9241825734</v>
      </c>
      <c r="S196" s="40" t="n">
        <f aca="false">R196/$K$2</f>
        <v>54.3335784980333</v>
      </c>
      <c r="T196" s="41" t="n">
        <f aca="false">S196-$M$2</f>
        <v>-0.170942363290621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0.025146484375</v>
      </c>
      <c r="C197" s="25" t="n">
        <f aca="false">IF(T196&gt;0,D196,C196)</f>
        <v>0.02587890625</v>
      </c>
      <c r="D197" s="39" t="n">
        <f aca="false">(B197+C197)/2</f>
        <v>0.0255126953125</v>
      </c>
      <c r="E197" s="15" t="n">
        <f aca="false">$C$2*(1+IF(E$3&lt;=$O$2,$D197,$D197-($D197-$I$184)*MIN(E$3-$O$2,$Q$2)/$Q$2))</f>
        <v>1897.19848632813</v>
      </c>
      <c r="F197" s="15" t="n">
        <f aca="false">E197*(1+IF(F$3&lt;=$O$2,$D197,$D197-($D197-$I$184)*MIN(F$3-$O$2,$Q$2)/$Q$2))</f>
        <v>1945.60113325715</v>
      </c>
      <c r="G197" s="15" t="n">
        <f aca="false">F197*(1+IF(G$3&lt;=$O$2,$D197,$D197-($D197-$I$184)*MIN(G$3-$O$2,$Q$2)/$Q$2))</f>
        <v>1995.2386621696</v>
      </c>
      <c r="H197" s="15" t="n">
        <f aca="false">G197*(1+IF(H$3&lt;=$O$2,$D197,$D197-($D197-$I$184)*MIN(H$3-$O$2,$Q$2)/$Q$2))</f>
        <v>2046.14257823325</v>
      </c>
      <c r="I197" s="15" t="n">
        <f aca="false">H197*(1+IF(I$3&lt;=$O$2,$D197,$D197-($D197-$I$184)*MIN(I$3-$O$2,$Q$2)/$Q$2))</f>
        <v>2098.34519039765</v>
      </c>
      <c r="J197" s="15" t="n">
        <f aca="false">I197*(1+IF(J$3&lt;=$O$2,$D197,$D197-($D197-$I$184)*MIN(J$3-$O$2,$Q$2)/$Q$2))</f>
        <v>2147.46777917129</v>
      </c>
      <c r="K197" s="15" t="n">
        <f aca="false">J197*(1+IF(K$3&lt;=$O$2,$D197,$D197-($D197-$I$184)*MIN(K$3-$O$2,$Q$2)/$Q$2))</f>
        <v>2193.22520053236</v>
      </c>
      <c r="L197" s="15" t="n">
        <f aca="false">K197*(1+IF(L$3&lt;=$O$2,$D197,$D197-($D197-$I$184)*MIN(L$3-$O$2,$Q$2)/$Q$2))</f>
        <v>2235.34626185431</v>
      </c>
      <c r="M197" s="15" t="n">
        <f aca="false">L197*(1+IF(M$3&lt;=$O$2,$D197,$D197-($D197-$I$184)*MIN(M$3-$O$2,$Q$2)/$Q$2))</f>
        <v>2273.57635861588</v>
      </c>
      <c r="N197" s="15" t="n">
        <f aca="false">M197*(1+IF(N$3&lt;=$O$2,$D197,$D197-($D197-$I$184)*MIN(N$3-$O$2,$Q$2)/$Q$2))</f>
        <v>2307.68000399512</v>
      </c>
      <c r="O197" s="15" t="n">
        <f aca="false">SUMPRODUCT(E197:N197,1/(1+$F$184)^$E$3:$N$3)*$E$2</f>
        <v>5580.87049004895</v>
      </c>
      <c r="P197" s="15" t="n">
        <f aca="false">N197*$E$2*(1+$I$184)/($F$184-$I$184)/(1+$F$184)^$N$3</f>
        <v>10971.3469133307</v>
      </c>
      <c r="Q197" s="15" t="n">
        <f aca="false">O197+P197</f>
        <v>16552.2174033796</v>
      </c>
      <c r="R197" s="15" t="n">
        <f aca="false">Q197-$G$2+$I$2</f>
        <v>14999.5174033796</v>
      </c>
      <c r="S197" s="40" t="n">
        <f aca="false">R197/$K$2</f>
        <v>54.4664563106127</v>
      </c>
      <c r="T197" s="41" t="n">
        <f aca="false">S197-$M$2</f>
        <v>-0.0380645507112476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0.0255126953125</v>
      </c>
      <c r="C198" s="25" t="n">
        <f aca="false">IF(T197&gt;0,D197,C197)</f>
        <v>0.02587890625</v>
      </c>
      <c r="D198" s="39" t="n">
        <f aca="false">(B198+C198)/2</f>
        <v>0.02569580078125</v>
      </c>
      <c r="E198" s="15" t="n">
        <f aca="false">$C$2*(1+IF(E$3&lt;=$O$2,$D198,$D198-($D198-$I$184)*MIN(E$3-$O$2,$Q$2)/$Q$2))</f>
        <v>1897.53723144531</v>
      </c>
      <c r="F198" s="15" t="n">
        <f aca="false">E198*(1+IF(F$3&lt;=$O$2,$D198,$D198-($D198-$I$184)*MIN(F$3-$O$2,$Q$2)/$Q$2))</f>
        <v>1946.29597011954</v>
      </c>
      <c r="G198" s="15" t="n">
        <f aca="false">F198*(1+IF(G$3&lt;=$O$2,$D198,$D198-($D198-$I$184)*MIN(G$3-$O$2,$Q$2)/$Q$2))</f>
        <v>1996.30760362908</v>
      </c>
      <c r="H198" s="15" t="n">
        <f aca="false">G198*(1+IF(H$3&lt;=$O$2,$D198,$D198-($D198-$I$184)*MIN(H$3-$O$2,$Q$2)/$Q$2))</f>
        <v>2047.60432611002</v>
      </c>
      <c r="I198" s="15" t="n">
        <f aca="false">H198*(1+IF(I$3&lt;=$O$2,$D198,$D198-($D198-$I$184)*MIN(I$3-$O$2,$Q$2)/$Q$2))</f>
        <v>2100.21915895257</v>
      </c>
      <c r="J198" s="15" t="n">
        <f aca="false">I198*(1+IF(J$3&lt;=$O$2,$D198,$D198-($D198-$I$184)*MIN(J$3-$O$2,$Q$2)/$Q$2))</f>
        <v>2149.69326691376</v>
      </c>
      <c r="K198" s="15" t="n">
        <f aca="false">J198*(1+IF(K$3&lt;=$O$2,$D198,$D198-($D198-$I$184)*MIN(K$3-$O$2,$Q$2)/$Q$2))</f>
        <v>2195.73428047169</v>
      </c>
      <c r="L198" s="15" t="n">
        <f aca="false">K198*(1+IF(L$3&lt;=$O$2,$D198,$D198-($D198-$I$184)*MIN(L$3-$O$2,$Q$2)/$Q$2))</f>
        <v>2238.06434925176</v>
      </c>
      <c r="M198" s="15" t="n">
        <f aca="false">L198*(1+IF(M$3&lt;=$O$2,$D198,$D198-($D198-$I$184)*MIN(M$3-$O$2,$Q$2)/$Q$2))</f>
        <v>2276.42289257358</v>
      </c>
      <c r="N198" s="15" t="n">
        <f aca="false">M198*(1+IF(N$3&lt;=$O$2,$D198,$D198-($D198-$I$184)*MIN(N$3-$O$2,$Q$2)/$Q$2))</f>
        <v>2310.56923596218</v>
      </c>
      <c r="O198" s="15" t="n">
        <f aca="false">SUMPRODUCT(E198:N198,1/(1+$F$184)^$E$3:$N$3)*$E$2</f>
        <v>5585.45908677932</v>
      </c>
      <c r="P198" s="15" t="n">
        <f aca="false">N198*$E$2*(1+$I$184)/($F$184-$I$184)/(1+$F$184)^$N$3</f>
        <v>10985.0831185969</v>
      </c>
      <c r="Q198" s="15" t="n">
        <f aca="false">O198+P198</f>
        <v>16570.5422053763</v>
      </c>
      <c r="R198" s="15" t="n">
        <f aca="false">Q198-$G$2+$I$2</f>
        <v>15017.8422053763</v>
      </c>
      <c r="S198" s="40" t="n">
        <f aca="false">R198/$K$2</f>
        <v>54.532997586609</v>
      </c>
      <c r="T198" s="41" t="n">
        <f aca="false">S198-$M$2</f>
        <v>0.02847672528506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0.0255126953125</v>
      </c>
      <c r="C199" s="25" t="n">
        <f aca="false">IF(T198&gt;0,D198,C198)</f>
        <v>0.02569580078125</v>
      </c>
      <c r="D199" s="39" t="n">
        <f aca="false">(B199+C199)/2</f>
        <v>0.025604248046875</v>
      </c>
      <c r="E199" s="15" t="n">
        <f aca="false">$C$2*(1+IF(E$3&lt;=$O$2,$D199,$D199-($D199-$I$184)*MIN(E$3-$O$2,$Q$2)/$Q$2))</f>
        <v>1897.36785888672</v>
      </c>
      <c r="F199" s="15" t="n">
        <f aca="false">E199*(1+IF(F$3&lt;=$O$2,$D199,$D199-($D199-$I$184)*MIN(F$3-$O$2,$Q$2)/$Q$2))</f>
        <v>1945.94853618182</v>
      </c>
      <c r="G199" s="15" t="n">
        <f aca="false">F199*(1+IF(G$3&lt;=$O$2,$D199,$D199-($D199-$I$184)*MIN(G$3-$O$2,$Q$2)/$Q$2))</f>
        <v>1995.77308518868</v>
      </c>
      <c r="H199" s="15" t="n">
        <f aca="false">G199*(1+IF(H$3&lt;=$O$2,$D199,$D199-($D199-$I$184)*MIN(H$3-$O$2,$Q$2)/$Q$2))</f>
        <v>2046.87335430712</v>
      </c>
      <c r="I199" s="15" t="n">
        <f aca="false">H199*(1+IF(I$3&lt;=$O$2,$D199,$D199-($D199-$I$184)*MIN(I$3-$O$2,$Q$2)/$Q$2))</f>
        <v>2099.28200739134</v>
      </c>
      <c r="J199" s="15" t="n">
        <f aca="false">I199*(1+IF(J$3&lt;=$O$2,$D199,$D199-($D199-$I$184)*MIN(J$3-$O$2,$Q$2)/$Q$2))</f>
        <v>2148.58028320359</v>
      </c>
      <c r="K199" s="15" t="n">
        <f aca="false">J199*(1+IF(K$3&lt;=$O$2,$D199,$D199-($D199-$I$184)*MIN(K$3-$O$2,$Q$2)/$Q$2))</f>
        <v>2194.47943441467</v>
      </c>
      <c r="L199" s="15" t="n">
        <f aca="false">K199*(1+IF(L$3&lt;=$O$2,$D199,$D199-($D199-$I$184)*MIN(L$3-$O$2,$Q$2)/$Q$2))</f>
        <v>2236.70494763341</v>
      </c>
      <c r="M199" s="15" t="n">
        <f aca="false">L199*(1+IF(M$3&lt;=$O$2,$D199,$D199-($D199-$I$184)*MIN(M$3-$O$2,$Q$2)/$Q$2))</f>
        <v>2274.99923666239</v>
      </c>
      <c r="N199" s="15" t="n">
        <f aca="false">M199*(1+IF(N$3&lt;=$O$2,$D199,$D199-($D199-$I$184)*MIN(N$3-$O$2,$Q$2)/$Q$2))</f>
        <v>2309.12422521232</v>
      </c>
      <c r="O199" s="15" t="n">
        <f aca="false">SUMPRODUCT(E199:N199,1/(1+$F$184)^$E$3:$N$3)*$E$2</f>
        <v>5583.16431417213</v>
      </c>
      <c r="P199" s="15" t="n">
        <f aca="false">N199*$E$2*(1+$I$184)/($F$184-$I$184)/(1+$F$184)^$N$3</f>
        <v>10978.2131391359</v>
      </c>
      <c r="Q199" s="15" t="n">
        <f aca="false">O199+P199</f>
        <v>16561.377453308</v>
      </c>
      <c r="R199" s="15" t="n">
        <f aca="false">Q199-$G$2+$I$2</f>
        <v>15008.677453308</v>
      </c>
      <c r="S199" s="40" t="n">
        <f aca="false">R199/$K$2</f>
        <v>54.4997184113729</v>
      </c>
      <c r="T199" s="41" t="n">
        <f aca="false">S199-$M$2</f>
        <v>-0.00480244995102197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0.025604248046875</v>
      </c>
      <c r="C200" s="25" t="n">
        <f aca="false">IF(T199&gt;0,D199,C199)</f>
        <v>0.02569580078125</v>
      </c>
      <c r="D200" s="39" t="n">
        <f aca="false">(B200+C200)/2</f>
        <v>0.0256500244140625</v>
      </c>
      <c r="E200" s="15" t="n">
        <f aca="false">$C$2*(1+IF(E$3&lt;=$O$2,$D200,$D200-($D200-$I$184)*MIN(E$3-$O$2,$Q$2)/$Q$2))</f>
        <v>1897.45254516602</v>
      </c>
      <c r="F200" s="15" t="n">
        <f aca="false">E200*(1+IF(F$3&lt;=$O$2,$D200,$D200-($D200-$I$184)*MIN(F$3-$O$2,$Q$2)/$Q$2))</f>
        <v>1946.12224927405</v>
      </c>
      <c r="G200" s="15" t="n">
        <f aca="false">F200*(1+IF(G$3&lt;=$O$2,$D200,$D200-($D200-$I$184)*MIN(G$3-$O$2,$Q$2)/$Q$2))</f>
        <v>1996.04033248068</v>
      </c>
      <c r="H200" s="15" t="n">
        <f aca="false">G200*(1+IF(H$3&lt;=$O$2,$D200,$D200-($D200-$I$184)*MIN(H$3-$O$2,$Q$2)/$Q$2))</f>
        <v>2047.23881574026</v>
      </c>
      <c r="I200" s="15" t="n">
        <f aca="false">H200*(1+IF(I$3&lt;=$O$2,$D200,$D200-($D200-$I$184)*MIN(I$3-$O$2,$Q$2)/$Q$2))</f>
        <v>2099.75054134542</v>
      </c>
      <c r="J200" s="15" t="n">
        <f aca="false">I200*(1+IF(J$3&lt;=$O$2,$D200,$D200-($D200-$I$184)*MIN(J$3-$O$2,$Q$2)/$Q$2))</f>
        <v>2149.13671508861</v>
      </c>
      <c r="K200" s="15" t="n">
        <f aca="false">J200*(1+IF(K$3&lt;=$O$2,$D200,$D200-($D200-$I$184)*MIN(K$3-$O$2,$Q$2)/$Q$2))</f>
        <v>2195.10678090585</v>
      </c>
      <c r="L200" s="15" t="n">
        <f aca="false">K200*(1+IF(L$3&lt;=$O$2,$D200,$D200-($D200-$I$184)*MIN(L$3-$O$2,$Q$2)/$Q$2))</f>
        <v>2237.38455894269</v>
      </c>
      <c r="M200" s="15" t="n">
        <f aca="false">L200*(1+IF(M$3&lt;=$O$2,$D200,$D200-($D200-$I$184)*MIN(M$3-$O$2,$Q$2)/$Q$2))</f>
        <v>2275.71096736211</v>
      </c>
      <c r="N200" s="15" t="n">
        <f aca="false">M200*(1+IF(N$3&lt;=$O$2,$D200,$D200-($D200-$I$184)*MIN(N$3-$O$2,$Q$2)/$Q$2))</f>
        <v>2309.84663187254</v>
      </c>
      <c r="O200" s="15" t="n">
        <f aca="false">SUMPRODUCT(E200:N200,1/(1+$F$184)^$E$3:$N$3)*$E$2</f>
        <v>5584.31158189234</v>
      </c>
      <c r="P200" s="15" t="n">
        <f aca="false">N200*$E$2*(1+$I$184)/($F$184-$I$184)/(1+$F$184)^$N$3</f>
        <v>10981.6476595494</v>
      </c>
      <c r="Q200" s="15" t="n">
        <f aca="false">O200+P200</f>
        <v>16565.9592414418</v>
      </c>
      <c r="R200" s="15" t="n">
        <f aca="false">Q200-$G$2+$I$2</f>
        <v>15013.2592414418</v>
      </c>
      <c r="S200" s="40" t="n">
        <f aca="false">R200/$K$2</f>
        <v>54.516355864199</v>
      </c>
      <c r="T200" s="41" t="n">
        <f aca="false">S200-$M$2</f>
        <v>0.0118350028751024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0.025604248046875</v>
      </c>
      <c r="C201" s="25" t="n">
        <f aca="false">IF(T200&gt;0,D200,C200)</f>
        <v>0.0256500244140625</v>
      </c>
      <c r="D201" s="39" t="n">
        <f aca="false">(B201+C201)/2</f>
        <v>0.0256271362304688</v>
      </c>
      <c r="E201" s="15" t="n">
        <f aca="false">$C$2*(1+IF(E$3&lt;=$O$2,$D201,$D201-($D201-$I$184)*MIN(E$3-$O$2,$Q$2)/$Q$2))</f>
        <v>1897.41020202637</v>
      </c>
      <c r="F201" s="15" t="n">
        <f aca="false">E201*(1+IF(F$3&lt;=$O$2,$D201,$D201-($D201-$I$184)*MIN(F$3-$O$2,$Q$2)/$Q$2))</f>
        <v>1946.03539175878</v>
      </c>
      <c r="G201" s="15" t="n">
        <f aca="false">F201*(1+IF(G$3&lt;=$O$2,$D201,$D201-($D201-$I$184)*MIN(G$3-$O$2,$Q$2)/$Q$2))</f>
        <v>1995.90670585269</v>
      </c>
      <c r="H201" s="15" t="n">
        <f aca="false">G201*(1+IF(H$3&lt;=$O$2,$D201,$D201-($D201-$I$184)*MIN(H$3-$O$2,$Q$2)/$Q$2))</f>
        <v>2047.05607890689</v>
      </c>
      <c r="I201" s="15" t="n">
        <f aca="false">H201*(1+IF(I$3&lt;=$O$2,$D201,$D201-($D201-$I$184)*MIN(I$3-$O$2,$Q$2)/$Q$2))</f>
        <v>2099.51626391244</v>
      </c>
      <c r="J201" s="15" t="n">
        <f aca="false">I201*(1+IF(J$3&lt;=$O$2,$D201,$D201-($D201-$I$184)*MIN(J$3-$O$2,$Q$2)/$Q$2))</f>
        <v>2148.85848415488</v>
      </c>
      <c r="K201" s="15" t="n">
        <f aca="false">J201*(1+IF(K$3&lt;=$O$2,$D201,$D201-($D201-$I$184)*MIN(K$3-$O$2,$Q$2)/$Q$2))</f>
        <v>2194.79308852787</v>
      </c>
      <c r="L201" s="15" t="n">
        <f aca="false">K201*(1+IF(L$3&lt;=$O$2,$D201,$D201-($D201-$I$184)*MIN(L$3-$O$2,$Q$2)/$Q$2))</f>
        <v>2237.04473091557</v>
      </c>
      <c r="M201" s="15" t="n">
        <f aca="false">L201*(1+IF(M$3&lt;=$O$2,$D201,$D201-($D201-$I$184)*MIN(M$3-$O$2,$Q$2)/$Q$2))</f>
        <v>2275.35507770113</v>
      </c>
      <c r="N201" s="15" t="n">
        <f aca="false">M201*(1+IF(N$3&lt;=$O$2,$D201,$D201-($D201-$I$184)*MIN(N$3-$O$2,$Q$2)/$Q$2))</f>
        <v>2309.48540386664</v>
      </c>
      <c r="O201" s="15" t="n">
        <f aca="false">SUMPRODUCT(E201:N201,1/(1+$F$184)^$E$3:$N$3)*$E$2</f>
        <v>5583.73791838925</v>
      </c>
      <c r="P201" s="15" t="n">
        <f aca="false">N201*$E$2*(1+$I$184)/($F$184-$I$184)/(1+$F$184)^$N$3</f>
        <v>10979.9302820271</v>
      </c>
      <c r="Q201" s="15" t="n">
        <f aca="false">O201+P201</f>
        <v>16563.6682004164</v>
      </c>
      <c r="R201" s="15" t="n">
        <f aca="false">Q201-$G$2+$I$2</f>
        <v>15010.9682004164</v>
      </c>
      <c r="S201" s="40" t="n">
        <f aca="false">R201/$K$2</f>
        <v>54.5080366041483</v>
      </c>
      <c r="T201" s="41" t="n">
        <f aca="false">S201-$M$2</f>
        <v>0.00351574282434086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0.025604248046875</v>
      </c>
      <c r="C202" s="25" t="n">
        <f aca="false">IF(T201&gt;0,D201,C201)</f>
        <v>0.0256271362304688</v>
      </c>
      <c r="D202" s="39" t="n">
        <f aca="false">(B202+C202)/2</f>
        <v>0.0256156921386719</v>
      </c>
      <c r="E202" s="15" t="n">
        <f aca="false">$C$2*(1+IF(E$3&lt;=$O$2,$D202,$D202-($D202-$I$184)*MIN(E$3-$O$2,$Q$2)/$Q$2))</f>
        <v>1897.38903045654</v>
      </c>
      <c r="F202" s="15" t="n">
        <f aca="false">E202*(1+IF(F$3&lt;=$O$2,$D202,$D202-($D202-$I$184)*MIN(F$3-$O$2,$Q$2)/$Q$2))</f>
        <v>1945.99196372801</v>
      </c>
      <c r="G202" s="15" t="n">
        <f aca="false">F202*(1+IF(G$3&lt;=$O$2,$D202,$D202-($D202-$I$184)*MIN(G$3-$O$2,$Q$2)/$Q$2))</f>
        <v>1995.8398947752</v>
      </c>
      <c r="H202" s="15" t="n">
        <f aca="false">G202*(1+IF(H$3&lt;=$O$2,$D202,$D202-($D202-$I$184)*MIN(H$3-$O$2,$Q$2)/$Q$2))</f>
        <v>2046.96471507784</v>
      </c>
      <c r="I202" s="15" t="n">
        <f aca="false">H202*(1+IF(I$3&lt;=$O$2,$D202,$D202-($D202-$I$184)*MIN(I$3-$O$2,$Q$2)/$Q$2))</f>
        <v>2099.399133038</v>
      </c>
      <c r="J202" s="15" t="n">
        <f aca="false">I202*(1+IF(J$3&lt;=$O$2,$D202,$D202-($D202-$I$184)*MIN(J$3-$O$2,$Q$2)/$Q$2))</f>
        <v>2148.71937993159</v>
      </c>
      <c r="K202" s="15" t="n">
        <f aca="false">J202*(1+IF(K$3&lt;=$O$2,$D202,$D202-($D202-$I$184)*MIN(K$3-$O$2,$Q$2)/$Q$2))</f>
        <v>2194.63625668841</v>
      </c>
      <c r="L202" s="15" t="n">
        <f aca="false">K202*(1+IF(L$3&lt;=$O$2,$D202,$D202-($D202-$I$184)*MIN(L$3-$O$2,$Q$2)/$Q$2))</f>
        <v>2236.87483368169</v>
      </c>
      <c r="M202" s="15" t="n">
        <f aca="false">L202*(1+IF(M$3&lt;=$O$2,$D202,$D202-($D202-$I$184)*MIN(M$3-$O$2,$Q$2)/$Q$2))</f>
        <v>2275.17715110433</v>
      </c>
      <c r="N202" s="15" t="n">
        <f aca="false">M202*(1+IF(N$3&lt;=$O$2,$D202,$D202-($D202-$I$184)*MIN(N$3-$O$2,$Q$2)/$Q$2))</f>
        <v>2309.3048083709</v>
      </c>
      <c r="O202" s="15" t="n">
        <f aca="false">SUMPRODUCT(E202:N202,1/(1+$F$184)^$E$3:$N$3)*$E$2</f>
        <v>5583.45110887031</v>
      </c>
      <c r="P202" s="15" t="n">
        <f aca="false">N202*$E$2*(1+$I$184)/($F$184-$I$184)/(1+$F$184)^$N$3</f>
        <v>10979.0716812543</v>
      </c>
      <c r="Q202" s="15" t="n">
        <f aca="false">O202+P202</f>
        <v>16562.5227901246</v>
      </c>
      <c r="R202" s="15" t="n">
        <f aca="false">Q202-$G$2+$I$2</f>
        <v>15009.8227901246</v>
      </c>
      <c r="S202" s="40" t="n">
        <f aca="false">R202/$K$2</f>
        <v>54.5038773743587</v>
      </c>
      <c r="T202" s="41" t="n">
        <f aca="false">S202-$M$2</f>
        <v>-0.000643486965223872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0.0256156921386719</v>
      </c>
      <c r="C203" s="25" t="n">
        <f aca="false">IF(T202&gt;0,D202,C202)</f>
        <v>0.0256271362304688</v>
      </c>
      <c r="D203" s="39" t="n">
        <f aca="false">(B203+C203)/2</f>
        <v>0.0256214141845703</v>
      </c>
      <c r="E203" s="15" t="n">
        <f aca="false">$C$2*(1+IF(E$3&lt;=$O$2,$D203,$D203-($D203-$I$184)*MIN(E$3-$O$2,$Q$2)/$Q$2))</f>
        <v>1897.39961624146</v>
      </c>
      <c r="F203" s="15" t="n">
        <f aca="false">E203*(1+IF(F$3&lt;=$O$2,$D203,$D203-($D203-$I$184)*MIN(F$3-$O$2,$Q$2)/$Q$2))</f>
        <v>1946.01367768282</v>
      </c>
      <c r="G203" s="15" t="n">
        <f aca="false">F203*(1+IF(G$3&lt;=$O$2,$D203,$D203-($D203-$I$184)*MIN(G$3-$O$2,$Q$2)/$Q$2))</f>
        <v>1995.87330012757</v>
      </c>
      <c r="H203" s="15" t="n">
        <f aca="false">G203*(1+IF(H$3&lt;=$O$2,$D203,$D203-($D203-$I$184)*MIN(H$3-$O$2,$Q$2)/$Q$2))</f>
        <v>2047.01039661007</v>
      </c>
      <c r="I203" s="15" t="n">
        <f aca="false">H203*(1+IF(I$3&lt;=$O$2,$D203,$D203-($D203-$I$184)*MIN(I$3-$O$2,$Q$2)/$Q$2))</f>
        <v>2099.45769782173</v>
      </c>
      <c r="J203" s="15" t="n">
        <f aca="false">I203*(1+IF(J$3&lt;=$O$2,$D203,$D203-($D203-$I$184)*MIN(J$3-$O$2,$Q$2)/$Q$2))</f>
        <v>2148.7889311063</v>
      </c>
      <c r="K203" s="15" t="n">
        <f aca="false">J203*(1+IF(K$3&lt;=$O$2,$D203,$D203-($D203-$I$184)*MIN(K$3-$O$2,$Q$2)/$Q$2))</f>
        <v>2194.71467141239</v>
      </c>
      <c r="L203" s="15" t="n">
        <f aca="false">K203*(1+IF(L$3&lt;=$O$2,$D203,$D203-($D203-$I$184)*MIN(L$3-$O$2,$Q$2)/$Q$2))</f>
        <v>2236.95978090039</v>
      </c>
      <c r="M203" s="15" t="n">
        <f aca="false">L203*(1+IF(M$3&lt;=$O$2,$D203,$D203-($D203-$I$184)*MIN(M$3-$O$2,$Q$2)/$Q$2))</f>
        <v>2275.26611288333</v>
      </c>
      <c r="N203" s="15" t="n">
        <f aca="false">M203*(1+IF(N$3&lt;=$O$2,$D203,$D203-($D203-$I$184)*MIN(N$3-$O$2,$Q$2)/$Q$2))</f>
        <v>2309.39510457658</v>
      </c>
      <c r="O203" s="15" t="n">
        <f aca="false">SUMPRODUCT(E203:N203,1/(1+$F$184)^$E$3:$N$3)*$E$2</f>
        <v>5583.59451177714</v>
      </c>
      <c r="P203" s="15" t="n">
        <f aca="false">N203*$E$2*(1+$I$184)/($F$184-$I$184)/(1+$F$184)^$N$3</f>
        <v>10979.5009743087</v>
      </c>
      <c r="Q203" s="15" t="n">
        <f aca="false">O203+P203</f>
        <v>16563.0954860859</v>
      </c>
      <c r="R203" s="15" t="n">
        <f aca="false">Q203-$G$2+$I$2</f>
        <v>15010.3954860859</v>
      </c>
      <c r="S203" s="40" t="n">
        <f aca="false">R203/$K$2</f>
        <v>54.5059569559021</v>
      </c>
      <c r="T203" s="41" t="n">
        <f aca="false">S203-$M$2</f>
        <v>0.00143609457817462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0.0256156921386719</v>
      </c>
      <c r="C204" s="25" t="n">
        <f aca="false">IF(T203&gt;0,D203,C203)</f>
        <v>0.0256214141845703</v>
      </c>
      <c r="D204" s="39" t="n">
        <f aca="false">(B204+C204)/2</f>
        <v>0.0256185531616211</v>
      </c>
      <c r="E204" s="15" t="n">
        <f aca="false">$C$2*(1+IF(E$3&lt;=$O$2,$D204,$D204-($D204-$I$184)*MIN(E$3-$O$2,$Q$2)/$Q$2))</f>
        <v>1897.394323349</v>
      </c>
      <c r="F204" s="15" t="n">
        <f aca="false">E204*(1+IF(F$3&lt;=$O$2,$D204,$D204-($D204-$I$184)*MIN(F$3-$O$2,$Q$2)/$Q$2))</f>
        <v>1946.00282069027</v>
      </c>
      <c r="G204" s="15" t="n">
        <f aca="false">F204*(1+IF(G$3&lt;=$O$2,$D204,$D204-($D204-$I$184)*MIN(G$3-$O$2,$Q$2)/$Q$2))</f>
        <v>1995.85659740479</v>
      </c>
      <c r="H204" s="15" t="n">
        <f aca="false">G204*(1+IF(H$3&lt;=$O$2,$D204,$D204-($D204-$I$184)*MIN(H$3-$O$2,$Q$2)/$Q$2))</f>
        <v>2046.98755574838</v>
      </c>
      <c r="I204" s="15" t="n">
        <f aca="false">H204*(1+IF(I$3&lt;=$O$2,$D204,$D204-($D204-$I$184)*MIN(I$3-$O$2,$Q$2)/$Q$2))</f>
        <v>2099.4284152665</v>
      </c>
      <c r="J204" s="15" t="n">
        <f aca="false">I204*(1+IF(J$3&lt;=$O$2,$D204,$D204-($D204-$I$184)*MIN(J$3-$O$2,$Q$2)/$Q$2))</f>
        <v>2148.75415528471</v>
      </c>
      <c r="K204" s="15" t="n">
        <f aca="false">J204*(1+IF(K$3&lt;=$O$2,$D204,$D204-($D204-$I$184)*MIN(K$3-$O$2,$Q$2)/$Q$2))</f>
        <v>2194.67546375147</v>
      </c>
      <c r="L204" s="15" t="n">
        <f aca="false">K204*(1+IF(L$3&lt;=$O$2,$D204,$D204-($D204-$I$184)*MIN(L$3-$O$2,$Q$2)/$Q$2))</f>
        <v>2236.91730694148</v>
      </c>
      <c r="M204" s="15" t="n">
        <f aca="false">L204*(1+IF(M$3&lt;=$O$2,$D204,$D204-($D204-$I$184)*MIN(M$3-$O$2,$Q$2)/$Q$2))</f>
        <v>2275.22163161399</v>
      </c>
      <c r="N204" s="15" t="n">
        <f aca="false">M204*(1+IF(N$3&lt;=$O$2,$D204,$D204-($D204-$I$184)*MIN(N$3-$O$2,$Q$2)/$Q$2))</f>
        <v>2309.3499560882</v>
      </c>
      <c r="O204" s="15" t="n">
        <f aca="false">SUMPRODUCT(E204:N204,1/(1+$F$184)^$E$3:$N$3)*$E$2</f>
        <v>5583.52280986057</v>
      </c>
      <c r="P204" s="15" t="n">
        <f aca="false">N204*$E$2*(1+$I$184)/($F$184-$I$184)/(1+$F$184)^$N$3</f>
        <v>10979.2863259486</v>
      </c>
      <c r="Q204" s="15" t="n">
        <f aca="false">O204+P204</f>
        <v>16562.8091358091</v>
      </c>
      <c r="R204" s="15" t="n">
        <f aca="false">Q204-$G$2+$I$2</f>
        <v>15010.1091358091</v>
      </c>
      <c r="S204" s="40" t="n">
        <f aca="false">R204/$K$2</f>
        <v>54.5049171567927</v>
      </c>
      <c r="T204" s="41" t="n">
        <f aca="false">S204-$M$2</f>
        <v>0.000396295468732433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0.0256156921386719</v>
      </c>
      <c r="C205" s="25" t="n">
        <f aca="false">IF(T204&gt;0,D204,C204)</f>
        <v>0.0256185531616211</v>
      </c>
      <c r="D205" s="39" t="n">
        <f aca="false">(B205+C205)/2</f>
        <v>0.0256171226501465</v>
      </c>
      <c r="E205" s="15" t="n">
        <f aca="false">$C$2*(1+IF(E$3&lt;=$O$2,$D205,$D205-($D205-$I$184)*MIN(E$3-$O$2,$Q$2)/$Q$2))</f>
        <v>1897.39167690277</v>
      </c>
      <c r="F205" s="15" t="n">
        <f aca="false">E205*(1+IF(F$3&lt;=$O$2,$D205,$D205-($D205-$I$184)*MIN(F$3-$O$2,$Q$2)/$Q$2))</f>
        <v>1945.99739220536</v>
      </c>
      <c r="G205" s="15" t="n">
        <f aca="false">F205*(1+IF(G$3&lt;=$O$2,$D205,$D205-($D205-$I$184)*MIN(G$3-$O$2,$Q$2)/$Q$2))</f>
        <v>1995.84824607835</v>
      </c>
      <c r="H205" s="15" t="n">
        <f aca="false">G205*(1+IF(H$3&lt;=$O$2,$D205,$D205-($D205-$I$184)*MIN(H$3-$O$2,$Q$2)/$Q$2))</f>
        <v>2046.97613538922</v>
      </c>
      <c r="I205" s="15" t="n">
        <f aca="false">H205*(1+IF(I$3&lt;=$O$2,$D205,$D205-($D205-$I$184)*MIN(I$3-$O$2,$Q$2)/$Q$2))</f>
        <v>2099.4137741114</v>
      </c>
      <c r="J205" s="15" t="n">
        <f aca="false">I205*(1+IF(J$3&lt;=$O$2,$D205,$D205-($D205-$I$184)*MIN(J$3-$O$2,$Q$2)/$Q$2))</f>
        <v>2148.73676754959</v>
      </c>
      <c r="K205" s="15" t="n">
        <f aca="false">J205*(1+IF(K$3&lt;=$O$2,$D205,$D205-($D205-$I$184)*MIN(K$3-$O$2,$Q$2)/$Q$2))</f>
        <v>2194.65586014521</v>
      </c>
      <c r="L205" s="15" t="n">
        <f aca="false">K205*(1+IF(L$3&lt;=$O$2,$D205,$D205-($D205-$I$184)*MIN(L$3-$O$2,$Q$2)/$Q$2))</f>
        <v>2236.8960702242</v>
      </c>
      <c r="M205" s="15" t="n">
        <f aca="false">L205*(1+IF(M$3&lt;=$O$2,$D205,$D205-($D205-$I$184)*MIN(M$3-$O$2,$Q$2)/$Q$2))</f>
        <v>2275.1993912642</v>
      </c>
      <c r="N205" s="15" t="n">
        <f aca="false">M205*(1+IF(N$3&lt;=$O$2,$D205,$D205-($D205-$I$184)*MIN(N$3-$O$2,$Q$2)/$Q$2))</f>
        <v>2309.32738213316</v>
      </c>
      <c r="O205" s="15" t="n">
        <f aca="false">SUMPRODUCT(E205:N205,1/(1+$F$184)^$E$3:$N$3)*$E$2</f>
        <v>5583.48695924965</v>
      </c>
      <c r="P205" s="15" t="n">
        <f aca="false">N205*$E$2*(1+$I$184)/($F$184-$I$184)/(1+$F$184)^$N$3</f>
        <v>10979.1790031432</v>
      </c>
      <c r="Q205" s="15" t="n">
        <f aca="false">O205+P205</f>
        <v>16562.6659623929</v>
      </c>
      <c r="R205" s="15" t="n">
        <f aca="false">Q205-$G$2+$I$2</f>
        <v>15009.9659623929</v>
      </c>
      <c r="S205" s="40" t="n">
        <f aca="false">R205/$K$2</f>
        <v>54.5043972634913</v>
      </c>
      <c r="T205" s="41" t="n">
        <f aca="false">S205-$M$2</f>
        <v>-0.00012359783266902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0.0256171226501465</v>
      </c>
      <c r="C206" s="25" t="n">
        <f aca="false">IF(T205&gt;0,D205,C205)</f>
        <v>0.0256185531616211</v>
      </c>
      <c r="D206" s="39" t="n">
        <f aca="false">(B206+C206)/2</f>
        <v>0.0256178379058838</v>
      </c>
      <c r="E206" s="15" t="n">
        <f aca="false">$C$2*(1+IF(E$3&lt;=$O$2,$D206,$D206-($D206-$I$184)*MIN(E$3-$O$2,$Q$2)/$Q$2))</f>
        <v>1897.39300012589</v>
      </c>
      <c r="F206" s="15" t="n">
        <f aca="false">E206*(1+IF(F$3&lt;=$O$2,$D206,$D206-($D206-$I$184)*MIN(F$3-$O$2,$Q$2)/$Q$2))</f>
        <v>1946.00010644687</v>
      </c>
      <c r="G206" s="15" t="n">
        <f aca="false">F206*(1+IF(G$3&lt;=$O$2,$D206,$D206-($D206-$I$184)*MIN(G$3-$O$2,$Q$2)/$Q$2))</f>
        <v>1995.85242173866</v>
      </c>
      <c r="H206" s="15" t="n">
        <f aca="false">G206*(1+IF(H$3&lt;=$O$2,$D206,$D206-($D206-$I$184)*MIN(H$3-$O$2,$Q$2)/$Q$2))</f>
        <v>2046.98184556282</v>
      </c>
      <c r="I206" s="15" t="n">
        <f aca="false">H206*(1+IF(I$3&lt;=$O$2,$D206,$D206-($D206-$I$184)*MIN(I$3-$O$2,$Q$2)/$Q$2))</f>
        <v>2099.42109467874</v>
      </c>
      <c r="J206" s="15" t="n">
        <f aca="false">I206*(1+IF(J$3&lt;=$O$2,$D206,$D206-($D206-$I$184)*MIN(J$3-$O$2,$Q$2)/$Q$2))</f>
        <v>2148.74546140251</v>
      </c>
      <c r="K206" s="15" t="n">
        <f aca="false">J206*(1+IF(K$3&lt;=$O$2,$D206,$D206-($D206-$I$184)*MIN(K$3-$O$2,$Q$2)/$Q$2))</f>
        <v>2194.66566192966</v>
      </c>
      <c r="L206" s="15" t="n">
        <f aca="false">K206*(1+IF(L$3&lt;=$O$2,$D206,$D206-($D206-$I$184)*MIN(L$3-$O$2,$Q$2)/$Q$2))</f>
        <v>2236.90668856099</v>
      </c>
      <c r="M206" s="15" t="n">
        <f aca="false">L206*(1+IF(M$3&lt;=$O$2,$D206,$D206-($D206-$I$184)*MIN(M$3-$O$2,$Q$2)/$Q$2))</f>
        <v>2275.21051141535</v>
      </c>
      <c r="N206" s="15" t="n">
        <f aca="false">M206*(1+IF(N$3&lt;=$O$2,$D206,$D206-($D206-$I$184)*MIN(N$3-$O$2,$Q$2)/$Q$2))</f>
        <v>2309.33866908658</v>
      </c>
      <c r="O206" s="15" t="n">
        <f aca="false">SUMPRODUCT(E206:N206,1/(1+$F$184)^$E$3:$N$3)*$E$2</f>
        <v>5583.50488452616</v>
      </c>
      <c r="P206" s="15" t="n">
        <f aca="false">N206*$E$2*(1+$I$184)/($F$184-$I$184)/(1+$F$184)^$N$3</f>
        <v>10979.2326644313</v>
      </c>
      <c r="Q206" s="15" t="n">
        <f aca="false">O206+P206</f>
        <v>16562.7375489575</v>
      </c>
      <c r="R206" s="15" t="n">
        <f aca="false">Q206-$G$2+$I$2</f>
        <v>15010.0375489575</v>
      </c>
      <c r="S206" s="40" t="n">
        <f aca="false">R206/$K$2</f>
        <v>54.5046572096209</v>
      </c>
      <c r="T206" s="41" t="n">
        <f aca="false">S206-$M$2</f>
        <v>0.000136348296933875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0.0256171226501465</v>
      </c>
      <c r="C207" s="25" t="n">
        <f aca="false">IF(T206&gt;0,D206,C206)</f>
        <v>0.0256178379058838</v>
      </c>
      <c r="D207" s="39" t="n">
        <f aca="false">(B207+C207)/2</f>
        <v>0.0256174802780151</v>
      </c>
      <c r="E207" s="15" t="n">
        <f aca="false">$C$2*(1+IF(E$3&lt;=$O$2,$D207,$D207-($D207-$I$184)*MIN(E$3-$O$2,$Q$2)/$Q$2))</f>
        <v>1897.39233851433</v>
      </c>
      <c r="F207" s="15" t="n">
        <f aca="false">E207*(1+IF(F$3&lt;=$O$2,$D207,$D207-($D207-$I$184)*MIN(F$3-$O$2,$Q$2)/$Q$2))</f>
        <v>1945.99874932588</v>
      </c>
      <c r="G207" s="15" t="n">
        <f aca="false">F207*(1+IF(G$3&lt;=$O$2,$D207,$D207-($D207-$I$184)*MIN(G$3-$O$2,$Q$2)/$Q$2))</f>
        <v>1995.85033390777</v>
      </c>
      <c r="H207" s="15" t="n">
        <f aca="false">G207*(1+IF(H$3&lt;=$O$2,$D207,$D207-($D207-$I$184)*MIN(H$3-$O$2,$Q$2)/$Q$2))</f>
        <v>2046.97899047453</v>
      </c>
      <c r="I207" s="15" t="n">
        <f aca="false">H207*(1+IF(I$3&lt;=$O$2,$D207,$D207-($D207-$I$184)*MIN(I$3-$O$2,$Q$2)/$Q$2))</f>
        <v>2099.41743439252</v>
      </c>
      <c r="J207" s="15" t="n">
        <f aca="false">I207*(1+IF(J$3&lt;=$O$2,$D207,$D207-($D207-$I$184)*MIN(J$3-$O$2,$Q$2)/$Q$2))</f>
        <v>2148.74111447239</v>
      </c>
      <c r="K207" s="15" t="n">
        <f aca="false">J207*(1+IF(K$3&lt;=$O$2,$D207,$D207-($D207-$I$184)*MIN(K$3-$O$2,$Q$2)/$Q$2))</f>
        <v>2194.66076103276</v>
      </c>
      <c r="L207" s="15" t="n">
        <f aca="false">K207*(1+IF(L$3&lt;=$O$2,$D207,$D207-($D207-$I$184)*MIN(L$3-$O$2,$Q$2)/$Q$2))</f>
        <v>2236.90137938713</v>
      </c>
      <c r="M207" s="15" t="n">
        <f aca="false">L207*(1+IF(M$3&lt;=$O$2,$D207,$D207-($D207-$I$184)*MIN(M$3-$O$2,$Q$2)/$Q$2))</f>
        <v>2275.20495133384</v>
      </c>
      <c r="N207" s="15" t="n">
        <f aca="false">M207*(1+IF(N$3&lt;=$O$2,$D207,$D207-($D207-$I$184)*MIN(N$3-$O$2,$Q$2)/$Q$2))</f>
        <v>2309.33302560385</v>
      </c>
      <c r="O207" s="15" t="n">
        <f aca="false">SUMPRODUCT(E207:N207,1/(1+$F$184)^$E$3:$N$3)*$E$2</f>
        <v>5583.49592188067</v>
      </c>
      <c r="P207" s="15" t="n">
        <f aca="false">N207*$E$2*(1+$I$184)/($F$184-$I$184)/(1+$F$184)^$N$3</f>
        <v>10979.2058337586</v>
      </c>
      <c r="Q207" s="15" t="n">
        <f aca="false">O207+P207</f>
        <v>16562.7017556393</v>
      </c>
      <c r="R207" s="15" t="n">
        <f aca="false">Q207-$G$2+$I$2</f>
        <v>15010.0017556393</v>
      </c>
      <c r="S207" s="40" t="n">
        <f aca="false">R207/$K$2</f>
        <v>54.5045272364258</v>
      </c>
      <c r="T207" s="41" t="n">
        <f aca="false">S207-$M$2</f>
        <v>6.37510184731127E-006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0.0256171226501465</v>
      </c>
      <c r="C208" s="25" t="n">
        <f aca="false">IF(T207&gt;0,D207,C207)</f>
        <v>0.0256174802780151</v>
      </c>
      <c r="D208" s="39" t="n">
        <f aca="false">(B208+C208)/2</f>
        <v>0.0256173014640808</v>
      </c>
      <c r="E208" s="15" t="n">
        <f aca="false">$C$2*(1+IF(E$3&lt;=$O$2,$D208,$D208-($D208-$I$184)*MIN(E$3-$O$2,$Q$2)/$Q$2))</f>
        <v>1897.39200770855</v>
      </c>
      <c r="F208" s="15" t="n">
        <f aca="false">E208*(1+IF(F$3&lt;=$O$2,$D208,$D208-($D208-$I$184)*MIN(F$3-$O$2,$Q$2)/$Q$2))</f>
        <v>1945.99807076556</v>
      </c>
      <c r="G208" s="15" t="n">
        <f aca="false">F208*(1+IF(G$3&lt;=$O$2,$D208,$D208-($D208-$I$184)*MIN(G$3-$O$2,$Q$2)/$Q$2))</f>
        <v>1995.84928999288</v>
      </c>
      <c r="H208" s="15" t="n">
        <f aca="false">G208*(1+IF(H$3&lt;=$O$2,$D208,$D208-($D208-$I$184)*MIN(H$3-$O$2,$Q$2)/$Q$2))</f>
        <v>2046.9775629315</v>
      </c>
      <c r="I208" s="15" t="n">
        <f aca="false">H208*(1+IF(I$3&lt;=$O$2,$D208,$D208-($D208-$I$184)*MIN(I$3-$O$2,$Q$2)/$Q$2))</f>
        <v>2099.41560425132</v>
      </c>
      <c r="J208" s="15" t="n">
        <f aca="false">I208*(1+IF(J$3&lt;=$O$2,$D208,$D208-($D208-$I$184)*MIN(J$3-$O$2,$Q$2)/$Q$2))</f>
        <v>2148.73894101008</v>
      </c>
      <c r="K208" s="15" t="n">
        <f aca="false">J208*(1+IF(K$3&lt;=$O$2,$D208,$D208-($D208-$I$184)*MIN(K$3-$O$2,$Q$2)/$Q$2))</f>
        <v>2194.65831058782</v>
      </c>
      <c r="L208" s="15" t="n">
        <f aca="false">K208*(1+IF(L$3&lt;=$O$2,$D208,$D208-($D208-$I$184)*MIN(L$3-$O$2,$Q$2)/$Q$2))</f>
        <v>2236.8987248043</v>
      </c>
      <c r="M208" s="15" t="n">
        <f aca="false">L208*(1+IF(M$3&lt;=$O$2,$D208,$D208-($D208-$I$184)*MIN(M$3-$O$2,$Q$2)/$Q$2))</f>
        <v>2275.20217129754</v>
      </c>
      <c r="N208" s="15" t="n">
        <f aca="false">M208*(1+IF(N$3&lt;=$O$2,$D208,$D208-($D208-$I$184)*MIN(N$3-$O$2,$Q$2)/$Q$2))</f>
        <v>2309.330203867</v>
      </c>
      <c r="O208" s="15" t="n">
        <f aca="false">SUMPRODUCT(E208:N208,1/(1+$F$184)^$E$3:$N$3)*$E$2</f>
        <v>5583.49144056335</v>
      </c>
      <c r="P208" s="15" t="n">
        <f aca="false">N208*$E$2*(1+$I$184)/($F$184-$I$184)/(1+$F$184)^$N$3</f>
        <v>10979.1924184438</v>
      </c>
      <c r="Q208" s="15" t="n">
        <f aca="false">O208+P208</f>
        <v>16562.6838590071</v>
      </c>
      <c r="R208" s="15" t="n">
        <f aca="false">Q208-$G$2+$I$2</f>
        <v>15009.9838590071</v>
      </c>
      <c r="S208" s="40" t="n">
        <f aca="false">R208/$K$2</f>
        <v>54.504462249926</v>
      </c>
      <c r="T208" s="41" t="n">
        <f aca="false">S208-$M$2</f>
        <v>-5.86113979679226E-005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0.0256173014640808</v>
      </c>
      <c r="C209" s="25" t="n">
        <f aca="false">IF(T208&gt;0,D208,C208)</f>
        <v>0.0256174802780151</v>
      </c>
      <c r="D209" s="39" t="n">
        <f aca="false">(B209+C209)/2</f>
        <v>0.025617390871048</v>
      </c>
      <c r="E209" s="15" t="n">
        <f aca="false">$C$2*(1+IF(E$3&lt;=$O$2,$D209,$D209-($D209-$I$184)*MIN(E$3-$O$2,$Q$2)/$Q$2))</f>
        <v>1897.39217311144</v>
      </c>
      <c r="F209" s="15" t="n">
        <f aca="false">E209*(1+IF(F$3&lt;=$O$2,$D209,$D209-($D209-$I$184)*MIN(F$3-$O$2,$Q$2)/$Q$2))</f>
        <v>1945.9984100457</v>
      </c>
      <c r="G209" s="15" t="n">
        <f aca="false">F209*(1+IF(G$3&lt;=$O$2,$D209,$D209-($D209-$I$184)*MIN(G$3-$O$2,$Q$2)/$Q$2))</f>
        <v>1995.84981195028</v>
      </c>
      <c r="H209" s="15" t="n">
        <f aca="false">G209*(1+IF(H$3&lt;=$O$2,$D209,$D209-($D209-$I$184)*MIN(H$3-$O$2,$Q$2)/$Q$2))</f>
        <v>2046.97827670292</v>
      </c>
      <c r="I209" s="15" t="n">
        <f aca="false">H209*(1+IF(I$3&lt;=$O$2,$D209,$D209-($D209-$I$184)*MIN(I$3-$O$2,$Q$2)/$Q$2))</f>
        <v>2099.41651932176</v>
      </c>
      <c r="J209" s="15" t="n">
        <f aca="false">I209*(1+IF(J$3&lt;=$O$2,$D209,$D209-($D209-$I$184)*MIN(J$3-$O$2,$Q$2)/$Q$2))</f>
        <v>2148.74002774101</v>
      </c>
      <c r="K209" s="15" t="n">
        <f aca="false">J209*(1+IF(K$3&lt;=$O$2,$D209,$D209-($D209-$I$184)*MIN(K$3-$O$2,$Q$2)/$Q$2))</f>
        <v>2194.65953581</v>
      </c>
      <c r="L209" s="15" t="n">
        <f aca="false">K209*(1+IF(L$3&lt;=$O$2,$D209,$D209-($D209-$I$184)*MIN(L$3-$O$2,$Q$2)/$Q$2))</f>
        <v>2236.90005209537</v>
      </c>
      <c r="M209" s="15" t="n">
        <f aca="false">L209*(1+IF(M$3&lt;=$O$2,$D209,$D209-($D209-$I$184)*MIN(M$3-$O$2,$Q$2)/$Q$2))</f>
        <v>2275.20356131532</v>
      </c>
      <c r="N209" s="15" t="n">
        <f aca="false">M209*(1+IF(N$3&lt;=$O$2,$D209,$D209-($D209-$I$184)*MIN(N$3-$O$2,$Q$2)/$Q$2))</f>
        <v>2309.33161473505</v>
      </c>
      <c r="O209" s="15" t="n">
        <f aca="false">SUMPRODUCT(E209:N209,1/(1+$F$184)^$E$3:$N$3)*$E$2</f>
        <v>5583.49368122156</v>
      </c>
      <c r="P209" s="15" t="n">
        <f aca="false">N209*$E$2*(1+$I$184)/($F$184-$I$184)/(1+$F$184)^$N$3</f>
        <v>10979.1991260994</v>
      </c>
      <c r="Q209" s="15" t="n">
        <f aca="false">O209+P209</f>
        <v>16562.692807321</v>
      </c>
      <c r="R209" s="15" t="n">
        <f aca="false">Q209-$G$2+$I$2</f>
        <v>15009.992807321</v>
      </c>
      <c r="S209" s="40" t="n">
        <f aca="false">R209/$K$2</f>
        <v>54.5044947431678</v>
      </c>
      <c r="T209" s="41" t="n">
        <f aca="false">S209-$M$2</f>
        <v>-2.61181561853618E-005</v>
      </c>
    </row>
    <row r="211" customFormat="false" ht="15" hidden="false" customHeight="false" outlineLevel="0" collapsed="false">
      <c r="A211" s="36" t="s">
        <v>182</v>
      </c>
      <c r="E211" s="5" t="s">
        <v>11</v>
      </c>
      <c r="F211" s="12" t="n">
        <f aca="false">Sensitivity!$B$11</f>
        <v>0.0585093056415221</v>
      </c>
      <c r="G211" s="5" t="s">
        <v>12</v>
      </c>
      <c r="I211" s="12" t="n">
        <f aca="false">Sensitivity!$D$9</f>
        <v>0.02</v>
      </c>
    </row>
    <row r="212" customFormat="false" ht="23.85" hidden="false" customHeight="false" outlineLevel="0" collapsed="false">
      <c r="A212" s="36" t="s">
        <v>156</v>
      </c>
      <c r="B212" s="28" t="s">
        <v>157</v>
      </c>
      <c r="C212" s="28" t="s">
        <v>158</v>
      </c>
      <c r="D212" s="28" t="s">
        <v>159</v>
      </c>
      <c r="E212" s="28" t="s">
        <v>160</v>
      </c>
      <c r="F212" s="28" t="s">
        <v>161</v>
      </c>
      <c r="G212" s="28" t="s">
        <v>162</v>
      </c>
      <c r="H212" s="28" t="s">
        <v>163</v>
      </c>
      <c r="I212" s="28" t="s">
        <v>164</v>
      </c>
      <c r="J212" s="28" t="s">
        <v>165</v>
      </c>
      <c r="K212" s="28" t="s">
        <v>166</v>
      </c>
      <c r="L212" s="28" t="s">
        <v>167</v>
      </c>
      <c r="M212" s="28" t="s">
        <v>168</v>
      </c>
      <c r="N212" s="28" t="s">
        <v>169</v>
      </c>
      <c r="O212" s="28" t="s">
        <v>170</v>
      </c>
      <c r="P212" s="28" t="s">
        <v>171</v>
      </c>
      <c r="Q212" s="28" t="s">
        <v>172</v>
      </c>
      <c r="R212" s="28" t="s">
        <v>173</v>
      </c>
      <c r="S212" s="28" t="s">
        <v>174</v>
      </c>
      <c r="T212" s="28" t="s">
        <v>175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39" t="n">
        <f aca="false">(B213+C213)/2</f>
        <v>0.25</v>
      </c>
      <c r="E213" s="15" t="n">
        <f aca="false">$C$2*(1+IF(E$3&lt;=$O$2,$D213,$D213-($D213-$I$211)*MIN(E$3-$O$2,$Q$2)/$Q$2))</f>
        <v>2312.5</v>
      </c>
      <c r="F213" s="15" t="n">
        <f aca="false">E213*(1+IF(F$3&lt;=$O$2,$D213,$D213-($D213-$I$211)*MIN(F$3-$O$2,$Q$2)/$Q$2))</f>
        <v>2890.625</v>
      </c>
      <c r="G213" s="15" t="n">
        <f aca="false">F213*(1+IF(G$3&lt;=$O$2,$D213,$D213-($D213-$I$211)*MIN(G$3-$O$2,$Q$2)/$Q$2))</f>
        <v>3613.28125</v>
      </c>
      <c r="H213" s="15" t="n">
        <f aca="false">G213*(1+IF(H$3&lt;=$O$2,$D213,$D213-($D213-$I$211)*MIN(H$3-$O$2,$Q$2)/$Q$2))</f>
        <v>4516.6015625</v>
      </c>
      <c r="I213" s="15" t="n">
        <f aca="false">H213*(1+IF(I$3&lt;=$O$2,$D213,$D213-($D213-$I$211)*MIN(I$3-$O$2,$Q$2)/$Q$2))</f>
        <v>5645.751953125</v>
      </c>
      <c r="J213" s="15" t="n">
        <f aca="false">I213*(1+IF(J$3&lt;=$O$2,$D213,$D213-($D213-$I$211)*MIN(J$3-$O$2,$Q$2)/$Q$2))</f>
        <v>6797.4853515625</v>
      </c>
      <c r="K213" s="15" t="n">
        <f aca="false">J213*(1+IF(K$3&lt;=$O$2,$D213,$D213-($D213-$I$211)*MIN(K$3-$O$2,$Q$2)/$Q$2))</f>
        <v>7871.48803710937</v>
      </c>
      <c r="L213" s="15" t="n">
        <f aca="false">K213*(1+IF(L$3&lt;=$O$2,$D213,$D213-($D213-$I$211)*MIN(L$3-$O$2,$Q$2)/$Q$2))</f>
        <v>8753.09469726563</v>
      </c>
      <c r="M213" s="15" t="n">
        <f aca="false">L213*(1+IF(M$3&lt;=$O$2,$D213,$D213-($D213-$I$211)*MIN(M$3-$O$2,$Q$2)/$Q$2))</f>
        <v>9330.79894728516</v>
      </c>
      <c r="N213" s="15" t="n">
        <f aca="false">M213*(1+IF(N$3&lt;=$O$2,$D213,$D213-($D213-$I$211)*MIN(N$3-$O$2,$Q$2)/$Q$2))</f>
        <v>9517.41492623086</v>
      </c>
      <c r="O213" s="15" t="n">
        <f aca="false">SUMPRODUCT(E213:N213,1/(1+$F$211)^$E$3:$N$3)*$E$2</f>
        <v>15227.6119938218</v>
      </c>
      <c r="P213" s="15" t="n">
        <f aca="false">N213*$E$2*(1+$I$211)/($F$211-$I$211)/(1+$F$211)^$N$3</f>
        <v>51375.2511828298</v>
      </c>
      <c r="Q213" s="15" t="n">
        <f aca="false">O213+P213</f>
        <v>66602.8631766516</v>
      </c>
      <c r="R213" s="15" t="n">
        <f aca="false">Q213-$G$2+$I$2</f>
        <v>65050.1631766516</v>
      </c>
      <c r="S213" s="40" t="n">
        <f aca="false">R213/$K$2</f>
        <v>236.21105768783</v>
      </c>
      <c r="T213" s="41" t="n">
        <f aca="false">S213-$M$2</f>
        <v>181.706536826506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39" t="n">
        <f aca="false">(B214+C214)/2</f>
        <v>-0.125</v>
      </c>
      <c r="E214" s="15" t="n">
        <f aca="false">$C$2*(1+IF(E$3&lt;=$O$2,$D214,$D214-($D214-$I$211)*MIN(E$3-$O$2,$Q$2)/$Q$2))</f>
        <v>1618.75</v>
      </c>
      <c r="F214" s="15" t="n">
        <f aca="false">E214*(1+IF(F$3&lt;=$O$2,$D214,$D214-($D214-$I$211)*MIN(F$3-$O$2,$Q$2)/$Q$2))</f>
        <v>1416.40625</v>
      </c>
      <c r="G214" s="15" t="n">
        <f aca="false">F214*(1+IF(G$3&lt;=$O$2,$D214,$D214-($D214-$I$211)*MIN(G$3-$O$2,$Q$2)/$Q$2))</f>
        <v>1239.35546875</v>
      </c>
      <c r="H214" s="15" t="n">
        <f aca="false">G214*(1+IF(H$3&lt;=$O$2,$D214,$D214-($D214-$I$211)*MIN(H$3-$O$2,$Q$2)/$Q$2))</f>
        <v>1084.43603515625</v>
      </c>
      <c r="I214" s="15" t="n">
        <f aca="false">H214*(1+IF(I$3&lt;=$O$2,$D214,$D214-($D214-$I$211)*MIN(I$3-$O$2,$Q$2)/$Q$2))</f>
        <v>948.881530761719</v>
      </c>
      <c r="J214" s="15" t="n">
        <f aca="false">I214*(1+IF(J$3&lt;=$O$2,$D214,$D214-($D214-$I$211)*MIN(J$3-$O$2,$Q$2)/$Q$2))</f>
        <v>857.788903808594</v>
      </c>
      <c r="K214" s="15" t="n">
        <f aca="false">J214*(1+IF(K$3&lt;=$O$2,$D214,$D214-($D214-$I$211)*MIN(K$3-$O$2,$Q$2)/$Q$2))</f>
        <v>800.317047253418</v>
      </c>
      <c r="L214" s="15" t="n">
        <f aca="false">K214*(1+IF(L$3&lt;=$O$2,$D214,$D214-($D214-$I$211)*MIN(L$3-$O$2,$Q$2)/$Q$2))</f>
        <v>769.904999457788</v>
      </c>
      <c r="M214" s="15" t="n">
        <f aca="false">L214*(1+IF(M$3&lt;=$O$2,$D214,$D214-($D214-$I$211)*MIN(M$3-$O$2,$Q$2)/$Q$2))</f>
        <v>762.975854462668</v>
      </c>
      <c r="N214" s="15" t="n">
        <f aca="false">M214*(1+IF(N$3&lt;=$O$2,$D214,$D214-($D214-$I$211)*MIN(N$3-$O$2,$Q$2)/$Q$2))</f>
        <v>778.235371551922</v>
      </c>
      <c r="O214" s="15" t="n">
        <f aca="false">SUMPRODUCT(E214:N214,1/(1+$F$211)^$E$3:$N$3)*$E$2</f>
        <v>2861.07161315546</v>
      </c>
      <c r="P214" s="15" t="n">
        <f aca="false">N214*$E$2*(1+$I$211)/($F$211-$I$211)/(1+$F$211)^$N$3</f>
        <v>4200.93460280361</v>
      </c>
      <c r="Q214" s="15" t="n">
        <f aca="false">O214+P214</f>
        <v>7062.00621595907</v>
      </c>
      <c r="R214" s="15" t="n">
        <f aca="false">Q214-$G$2+$I$2</f>
        <v>5509.30621595907</v>
      </c>
      <c r="S214" s="40" t="n">
        <f aca="false">R214/$K$2</f>
        <v>20.0054693923493</v>
      </c>
      <c r="T214" s="41" t="n">
        <f aca="false">S214-$M$2</f>
        <v>-34.4990514689747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39" t="n">
        <f aca="false">(B215+C215)/2</f>
        <v>0.0625</v>
      </c>
      <c r="E215" s="15" t="n">
        <f aca="false">$C$2*(1+IF(E$3&lt;=$O$2,$D215,$D215-($D215-$I$211)*MIN(E$3-$O$2,$Q$2)/$Q$2))</f>
        <v>1965.625</v>
      </c>
      <c r="F215" s="15" t="n">
        <f aca="false">E215*(1+IF(F$3&lt;=$O$2,$D215,$D215-($D215-$I$211)*MIN(F$3-$O$2,$Q$2)/$Q$2))</f>
        <v>2088.4765625</v>
      </c>
      <c r="G215" s="15" t="n">
        <f aca="false">F215*(1+IF(G$3&lt;=$O$2,$D215,$D215-($D215-$I$211)*MIN(G$3-$O$2,$Q$2)/$Q$2))</f>
        <v>2219.00634765625</v>
      </c>
      <c r="H215" s="15" t="n">
        <f aca="false">G215*(1+IF(H$3&lt;=$O$2,$D215,$D215-($D215-$I$211)*MIN(H$3-$O$2,$Q$2)/$Q$2))</f>
        <v>2357.69424438477</v>
      </c>
      <c r="I215" s="15" t="n">
        <f aca="false">H215*(1+IF(I$3&lt;=$O$2,$D215,$D215-($D215-$I$211)*MIN(I$3-$O$2,$Q$2)/$Q$2))</f>
        <v>2505.05013465881</v>
      </c>
      <c r="J215" s="15" t="n">
        <f aca="false">I215*(1+IF(J$3&lt;=$O$2,$D215,$D215-($D215-$I$211)*MIN(J$3-$O$2,$Q$2)/$Q$2))</f>
        <v>2640.32284193039</v>
      </c>
      <c r="K215" s="15" t="n">
        <f aca="false">J215*(1+IF(K$3&lt;=$O$2,$D215,$D215-($D215-$I$211)*MIN(K$3-$O$2,$Q$2)/$Q$2))</f>
        <v>2760.45753123822</v>
      </c>
      <c r="L215" s="15" t="n">
        <f aca="false">K215*(1+IF(L$3&lt;=$O$2,$D215,$D215-($D215-$I$211)*MIN(L$3-$O$2,$Q$2)/$Q$2))</f>
        <v>2862.59445989404</v>
      </c>
      <c r="M215" s="15" t="n">
        <f aca="false">L215*(1+IF(M$3&lt;=$O$2,$D215,$D215-($D215-$I$211)*MIN(M$3-$O$2,$Q$2)/$Q$2))</f>
        <v>2944.17840200102</v>
      </c>
      <c r="N215" s="15" t="n">
        <f aca="false">M215*(1+IF(N$3&lt;=$O$2,$D215,$D215-($D215-$I$211)*MIN(N$3-$O$2,$Q$2)/$Q$2))</f>
        <v>3003.06197004104</v>
      </c>
      <c r="O215" s="15" t="n">
        <f aca="false">SUMPRODUCT(E215:N215,1/(1+$F$211)^$E$3:$N$3)*$E$2</f>
        <v>6610.18179870913</v>
      </c>
      <c r="P215" s="15" t="n">
        <f aca="false">N215*$E$2*(1+$I$211)/($F$211-$I$211)/(1+$F$211)^$N$3</f>
        <v>16210.6059496517</v>
      </c>
      <c r="Q215" s="15" t="n">
        <f aca="false">O215+P215</f>
        <v>22820.7877483608</v>
      </c>
      <c r="R215" s="15" t="n">
        <f aca="false">Q215-$G$2+$I$2</f>
        <v>21268.0877483608</v>
      </c>
      <c r="S215" s="40" t="n">
        <f aca="false">R215/$K$2</f>
        <v>77.2289761732845</v>
      </c>
      <c r="T215" s="41" t="n">
        <f aca="false">S215-$M$2</f>
        <v>22.7244553119606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39" t="n">
        <f aca="false">(B216+C216)/2</f>
        <v>-0.03125</v>
      </c>
      <c r="E216" s="15" t="n">
        <f aca="false">$C$2*(1+IF(E$3&lt;=$O$2,$D216,$D216-($D216-$I$211)*MIN(E$3-$O$2,$Q$2)/$Q$2))</f>
        <v>1792.1875</v>
      </c>
      <c r="F216" s="15" t="n">
        <f aca="false">E216*(1+IF(F$3&lt;=$O$2,$D216,$D216-($D216-$I$211)*MIN(F$3-$O$2,$Q$2)/$Q$2))</f>
        <v>1736.181640625</v>
      </c>
      <c r="G216" s="15" t="n">
        <f aca="false">F216*(1+IF(G$3&lt;=$O$2,$D216,$D216-($D216-$I$211)*MIN(G$3-$O$2,$Q$2)/$Q$2))</f>
        <v>1681.92596435547</v>
      </c>
      <c r="H216" s="15" t="n">
        <f aca="false">G216*(1+IF(H$3&lt;=$O$2,$D216,$D216-($D216-$I$211)*MIN(H$3-$O$2,$Q$2)/$Q$2))</f>
        <v>1629.36577796936</v>
      </c>
      <c r="I216" s="15" t="n">
        <f aca="false">H216*(1+IF(I$3&lt;=$O$2,$D216,$D216-($D216-$I$211)*MIN(I$3-$O$2,$Q$2)/$Q$2))</f>
        <v>1578.44809740782</v>
      </c>
      <c r="J216" s="15" t="n">
        <f aca="false">I216*(1+IF(J$3&lt;=$O$2,$D216,$D216-($D216-$I$211)*MIN(J$3-$O$2,$Q$2)/$Q$2))</f>
        <v>1545.30068736225</v>
      </c>
      <c r="K216" s="15" t="n">
        <f aca="false">J216*(1+IF(K$3&lt;=$O$2,$D216,$D216-($D216-$I$211)*MIN(K$3-$O$2,$Q$2)/$Q$2))</f>
        <v>1528.68870497311</v>
      </c>
      <c r="L216" s="15" t="n">
        <f aca="false">K216*(1+IF(L$3&lt;=$O$2,$D216,$D216-($D216-$I$211)*MIN(L$3-$O$2,$Q$2)/$Q$2))</f>
        <v>1527.92436062062</v>
      </c>
      <c r="M216" s="15" t="n">
        <f aca="false">L216*(1+IF(M$3&lt;=$O$2,$D216,$D216-($D216-$I$211)*MIN(M$3-$O$2,$Q$2)/$Q$2))</f>
        <v>1542.82162313667</v>
      </c>
      <c r="N216" s="15" t="n">
        <f aca="false">M216*(1+IF(N$3&lt;=$O$2,$D216,$D216-($D216-$I$211)*MIN(N$3-$O$2,$Q$2)/$Q$2))</f>
        <v>1573.67805559941</v>
      </c>
      <c r="O216" s="15" t="n">
        <f aca="false">SUMPRODUCT(E216:N216,1/(1+$F$211)^$E$3:$N$3)*$E$2</f>
        <v>4339.11895586838</v>
      </c>
      <c r="P216" s="15" t="n">
        <f aca="false">N216*$E$2*(1+$I$211)/($F$211-$I$211)/(1+$F$211)^$N$3</f>
        <v>8494.75472215695</v>
      </c>
      <c r="Q216" s="15" t="n">
        <f aca="false">O216+P216</f>
        <v>12833.8736780253</v>
      </c>
      <c r="R216" s="15" t="n">
        <f aca="false">Q216-$G$2+$I$2</f>
        <v>11281.1736780253</v>
      </c>
      <c r="S216" s="40" t="n">
        <f aca="false">R216/$K$2</f>
        <v>40.9643548350533</v>
      </c>
      <c r="T216" s="41" t="n">
        <f aca="false">S216-$M$2</f>
        <v>-13.5401660262706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39" t="n">
        <f aca="false">(B217+C217)/2</f>
        <v>0.015625</v>
      </c>
      <c r="E217" s="15" t="n">
        <f aca="false">$C$2*(1+IF(E$3&lt;=$O$2,$D217,$D217-($D217-$I$211)*MIN(E$3-$O$2,$Q$2)/$Q$2))</f>
        <v>1878.90625</v>
      </c>
      <c r="F217" s="15" t="n">
        <f aca="false">E217*(1+IF(F$3&lt;=$O$2,$D217,$D217-($D217-$I$211)*MIN(F$3-$O$2,$Q$2)/$Q$2))</f>
        <v>1908.26416015625</v>
      </c>
      <c r="G217" s="15" t="n">
        <f aca="false">F217*(1+IF(G$3&lt;=$O$2,$D217,$D217-($D217-$I$211)*MIN(G$3-$O$2,$Q$2)/$Q$2))</f>
        <v>1938.08078765869</v>
      </c>
      <c r="H217" s="15" t="n">
        <f aca="false">G217*(1+IF(H$3&lt;=$O$2,$D217,$D217-($D217-$I$211)*MIN(H$3-$O$2,$Q$2)/$Q$2))</f>
        <v>1968.36329996586</v>
      </c>
      <c r="I217" s="15" t="n">
        <f aca="false">H217*(1+IF(I$3&lt;=$O$2,$D217,$D217-($D217-$I$211)*MIN(I$3-$O$2,$Q$2)/$Q$2))</f>
        <v>1999.11897652783</v>
      </c>
      <c r="J217" s="15" t="n">
        <f aca="false">I217*(1+IF(J$3&lt;=$O$2,$D217,$D217-($D217-$I$211)*MIN(J$3-$O$2,$Q$2)/$Q$2))</f>
        <v>2032.10443964053</v>
      </c>
      <c r="K217" s="15" t="n">
        <f aca="false">J217*(1+IF(K$3&lt;=$O$2,$D217,$D217-($D217-$I$211)*MIN(K$3-$O$2,$Q$2)/$Q$2))</f>
        <v>2067.41225427929</v>
      </c>
      <c r="L217" s="15" t="n">
        <f aca="false">K217*(1+IF(L$3&lt;=$O$2,$D217,$D217-($D217-$I$211)*MIN(L$3-$O$2,$Q$2)/$Q$2))</f>
        <v>2105.14252791989</v>
      </c>
      <c r="M217" s="15" t="n">
        <f aca="false">L217*(1+IF(M$3&lt;=$O$2,$D217,$D217-($D217-$I$211)*MIN(M$3-$O$2,$Q$2)/$Q$2))</f>
        <v>2145.40337876635</v>
      </c>
      <c r="N217" s="15" t="n">
        <f aca="false">M217*(1+IF(N$3&lt;=$O$2,$D217,$D217-($D217-$I$211)*MIN(N$3-$O$2,$Q$2)/$Q$2))</f>
        <v>2188.31144634168</v>
      </c>
      <c r="O217" s="15" t="n">
        <f aca="false">SUMPRODUCT(E217:N217,1/(1+$F$211)^$E$3:$N$3)*$E$2</f>
        <v>5354.51448894927</v>
      </c>
      <c r="P217" s="15" t="n">
        <f aca="false">N217*$E$2*(1+$I$211)/($F$211-$I$211)/(1+$F$211)^$N$3</f>
        <v>11812.5616139958</v>
      </c>
      <c r="Q217" s="15" t="n">
        <f aca="false">O217+P217</f>
        <v>17167.0761029451</v>
      </c>
      <c r="R217" s="15" t="n">
        <f aca="false">Q217-$G$2+$I$2</f>
        <v>15614.3761029451</v>
      </c>
      <c r="S217" s="40" t="n">
        <f aca="false">R217/$K$2</f>
        <v>56.6991397761178</v>
      </c>
      <c r="T217" s="41" t="n">
        <f aca="false">S217-$M$2</f>
        <v>2.19461891479382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-0.03125</v>
      </c>
      <c r="C218" s="25" t="n">
        <f aca="false">IF(T217&gt;0,D217,C217)</f>
        <v>0.015625</v>
      </c>
      <c r="D218" s="39" t="n">
        <f aca="false">(B218+C218)/2</f>
        <v>-0.0078125</v>
      </c>
      <c r="E218" s="15" t="n">
        <f aca="false">$C$2*(1+IF(E$3&lt;=$O$2,$D218,$D218-($D218-$I$211)*MIN(E$3-$O$2,$Q$2)/$Q$2))</f>
        <v>1835.546875</v>
      </c>
      <c r="F218" s="15" t="n">
        <f aca="false">E218*(1+IF(F$3&lt;=$O$2,$D218,$D218-($D218-$I$211)*MIN(F$3-$O$2,$Q$2)/$Q$2))</f>
        <v>1821.20666503906</v>
      </c>
      <c r="G218" s="15" t="n">
        <f aca="false">F218*(1+IF(G$3&lt;=$O$2,$D218,$D218-($D218-$I$211)*MIN(G$3-$O$2,$Q$2)/$Q$2))</f>
        <v>1806.97848796844</v>
      </c>
      <c r="H218" s="15" t="n">
        <f aca="false">G218*(1+IF(H$3&lt;=$O$2,$D218,$D218-($D218-$I$211)*MIN(H$3-$O$2,$Q$2)/$Q$2))</f>
        <v>1792.86146853119</v>
      </c>
      <c r="I218" s="15" t="n">
        <f aca="false">H218*(1+IF(I$3&lt;=$O$2,$D218,$D218-($D218-$I$211)*MIN(I$3-$O$2,$Q$2)/$Q$2))</f>
        <v>1778.85473830829</v>
      </c>
      <c r="J218" s="15" t="n">
        <f aca="false">I218*(1+IF(J$3&lt;=$O$2,$D218,$D218-($D218-$I$211)*MIN(J$3-$O$2,$Q$2)/$Q$2))</f>
        <v>1774.8523151471</v>
      </c>
      <c r="K218" s="15" t="n">
        <f aca="false">J218*(1+IF(K$3&lt;=$O$2,$D218,$D218-($D218-$I$211)*MIN(K$3-$O$2,$Q$2)/$Q$2))</f>
        <v>1780.73151344102</v>
      </c>
      <c r="L218" s="15" t="n">
        <f aca="false">K218*(1+IF(L$3&lt;=$O$2,$D218,$D218-($D218-$I$211)*MIN(L$3-$O$2,$Q$2)/$Q$2))</f>
        <v>1796.53550562281</v>
      </c>
      <c r="M218" s="15" t="n">
        <f aca="false">L218*(1+IF(M$3&lt;=$O$2,$D218,$D218-($D218-$I$211)*MIN(M$3-$O$2,$Q$2)/$Q$2))</f>
        <v>1822.47298698524</v>
      </c>
      <c r="N218" s="15" t="n">
        <f aca="false">M218*(1+IF(N$3&lt;=$O$2,$D218,$D218-($D218-$I$211)*MIN(N$3-$O$2,$Q$2)/$Q$2))</f>
        <v>1858.92244672495</v>
      </c>
      <c r="O218" s="15" t="n">
        <f aca="false">SUMPRODUCT(E218:N218,1/(1+$F$211)^$E$3:$N$3)*$E$2</f>
        <v>4819.70030749246</v>
      </c>
      <c r="P218" s="15" t="n">
        <f aca="false">N218*$E$2*(1+$I$211)/($F$211-$I$211)/(1+$F$211)^$N$3</f>
        <v>10034.5113006139</v>
      </c>
      <c r="Q218" s="15" t="n">
        <f aca="false">O218+P218</f>
        <v>14854.2116081063</v>
      </c>
      <c r="R218" s="15" t="n">
        <f aca="false">Q218-$G$2+$I$2</f>
        <v>13301.5116081063</v>
      </c>
      <c r="S218" s="40" t="n">
        <f aca="false">R218/$K$2</f>
        <v>48.3006340393853</v>
      </c>
      <c r="T218" s="41" t="n">
        <f aca="false">S218-$M$2</f>
        <v>-6.20388682193864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-0.0078125</v>
      </c>
      <c r="C219" s="25" t="n">
        <f aca="false">IF(T218&gt;0,D218,C218)</f>
        <v>0.015625</v>
      </c>
      <c r="D219" s="39" t="n">
        <f aca="false">(B219+C219)/2</f>
        <v>0.00390625</v>
      </c>
      <c r="E219" s="15" t="n">
        <f aca="false">$C$2*(1+IF(E$3&lt;=$O$2,$D219,$D219-($D219-$I$211)*MIN(E$3-$O$2,$Q$2)/$Q$2))</f>
        <v>1857.2265625</v>
      </c>
      <c r="F219" s="15" t="n">
        <f aca="false">E219*(1+IF(F$3&lt;=$O$2,$D219,$D219-($D219-$I$211)*MIN(F$3-$O$2,$Q$2)/$Q$2))</f>
        <v>1864.48135375977</v>
      </c>
      <c r="G219" s="15" t="n">
        <f aca="false">F219*(1+IF(G$3&lt;=$O$2,$D219,$D219-($D219-$I$211)*MIN(G$3-$O$2,$Q$2)/$Q$2))</f>
        <v>1871.76448404789</v>
      </c>
      <c r="H219" s="15" t="n">
        <f aca="false">G219*(1+IF(H$3&lt;=$O$2,$D219,$D219-($D219-$I$211)*MIN(H$3-$O$2,$Q$2)/$Q$2))</f>
        <v>1879.0760640637</v>
      </c>
      <c r="I219" s="15" t="n">
        <f aca="false">H219*(1+IF(I$3&lt;=$O$2,$D219,$D219-($D219-$I$211)*MIN(I$3-$O$2,$Q$2)/$Q$2))</f>
        <v>1886.41620493895</v>
      </c>
      <c r="J219" s="15" t="n">
        <f aca="false">I219*(1+IF(J$3&lt;=$O$2,$D219,$D219-($D219-$I$211)*MIN(J$3-$O$2,$Q$2)/$Q$2))</f>
        <v>1899.85692039914</v>
      </c>
      <c r="K219" s="15" t="n">
        <f aca="false">J219*(1+IF(K$3&lt;=$O$2,$D219,$D219-($D219-$I$211)*MIN(K$3-$O$2,$Q$2)/$Q$2))</f>
        <v>1919.50856541952</v>
      </c>
      <c r="L219" s="15" t="n">
        <f aca="false">K219*(1+IF(L$3&lt;=$O$2,$D219,$D219-($D219-$I$211)*MIN(L$3-$O$2,$Q$2)/$Q$2))</f>
        <v>1945.54190033802</v>
      </c>
      <c r="M219" s="15" t="n">
        <f aca="false">L219*(1+IF(M$3&lt;=$O$2,$D219,$D219-($D219-$I$211)*MIN(M$3-$O$2,$Q$2)/$Q$2))</f>
        <v>1978.19052535307</v>
      </c>
      <c r="N219" s="15" t="n">
        <f aca="false">M219*(1+IF(N$3&lt;=$O$2,$D219,$D219-($D219-$I$211)*MIN(N$3-$O$2,$Q$2)/$Q$2))</f>
        <v>2017.75433586013</v>
      </c>
      <c r="O219" s="15" t="n">
        <f aca="false">SUMPRODUCT(E219:N219,1/(1+$F$211)^$E$3:$N$3)*$E$2</f>
        <v>5079.98328460847</v>
      </c>
      <c r="P219" s="15" t="n">
        <f aca="false">N219*$E$2*(1+$I$211)/($F$211-$I$211)/(1+$F$211)^$N$3</f>
        <v>10891.8899337208</v>
      </c>
      <c r="Q219" s="15" t="n">
        <f aca="false">O219+P219</f>
        <v>15971.8732183293</v>
      </c>
      <c r="R219" s="15" t="n">
        <f aca="false">Q219-$G$2+$I$2</f>
        <v>14419.1732183293</v>
      </c>
      <c r="S219" s="40" t="n">
        <f aca="false">R219/$K$2</f>
        <v>52.3591024304778</v>
      </c>
      <c r="T219" s="41" t="n">
        <f aca="false">S219-$M$2</f>
        <v>-2.14541843084619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0.00390625</v>
      </c>
      <c r="C220" s="25" t="n">
        <f aca="false">IF(T219&gt;0,D219,C219)</f>
        <v>0.015625</v>
      </c>
      <c r="D220" s="39" t="n">
        <f aca="false">(B220+C220)/2</f>
        <v>0.009765625</v>
      </c>
      <c r="E220" s="15" t="n">
        <f aca="false">$C$2*(1+IF(E$3&lt;=$O$2,$D220,$D220-($D220-$I$211)*MIN(E$3-$O$2,$Q$2)/$Q$2))</f>
        <v>1868.06640625</v>
      </c>
      <c r="F220" s="15" t="n">
        <f aca="false">E220*(1+IF(F$3&lt;=$O$2,$D220,$D220-($D220-$I$211)*MIN(F$3-$O$2,$Q$2)/$Q$2))</f>
        <v>1886.30924224854</v>
      </c>
      <c r="G220" s="15" t="n">
        <f aca="false">F220*(1+IF(G$3&lt;=$O$2,$D220,$D220-($D220-$I$211)*MIN(G$3-$O$2,$Q$2)/$Q$2))</f>
        <v>1904.73023094237</v>
      </c>
      <c r="H220" s="15" t="n">
        <f aca="false">G220*(1+IF(H$3&lt;=$O$2,$D220,$D220-($D220-$I$211)*MIN(H$3-$O$2,$Q$2)/$Q$2))</f>
        <v>1923.33111210392</v>
      </c>
      <c r="I220" s="15" t="n">
        <f aca="false">H220*(1+IF(I$3&lt;=$O$2,$D220,$D220-($D220-$I$211)*MIN(I$3-$O$2,$Q$2)/$Q$2))</f>
        <v>1942.11364249555</v>
      </c>
      <c r="J220" s="15" t="n">
        <f aca="false">I220*(1+IF(J$3&lt;=$O$2,$D220,$D220-($D220-$I$211)*MIN(J$3-$O$2,$Q$2)/$Q$2))</f>
        <v>1965.05485989753</v>
      </c>
      <c r="K220" s="15" t="n">
        <f aca="false">J220*(1+IF(K$3&lt;=$O$2,$D220,$D220-($D220-$I$211)*MIN(K$3-$O$2,$Q$2)/$Q$2))</f>
        <v>1992.28929209643</v>
      </c>
      <c r="L220" s="15" t="n">
        <f aca="false">K220*(1+IF(L$3&lt;=$O$2,$D220,$D220-($D220-$I$211)*MIN(L$3-$O$2,$Q$2)/$Q$2))</f>
        <v>2023.97914364883</v>
      </c>
      <c r="M220" s="15" t="n">
        <f aca="false">L220*(1+IF(M$3&lt;=$O$2,$D220,$D220-($D220-$I$211)*MIN(M$3-$O$2,$Q$2)/$Q$2))</f>
        <v>2060.31589421216</v>
      </c>
      <c r="N220" s="15" t="n">
        <f aca="false">M220*(1+IF(N$3&lt;=$O$2,$D220,$D220-($D220-$I$211)*MIN(N$3-$O$2,$Q$2)/$Q$2))</f>
        <v>2101.5222120964</v>
      </c>
      <c r="O220" s="15" t="n">
        <f aca="false">SUMPRODUCT(E220:N220,1/(1+$F$211)^$E$3:$N$3)*$E$2</f>
        <v>5215.4230652054</v>
      </c>
      <c r="P220" s="15" t="n">
        <f aca="false">N220*$E$2*(1+$I$211)/($F$211-$I$211)/(1+$F$211)^$N$3</f>
        <v>11344.0710896384</v>
      </c>
      <c r="Q220" s="15" t="n">
        <f aca="false">O220+P220</f>
        <v>16559.4941548438</v>
      </c>
      <c r="R220" s="15" t="n">
        <f aca="false">Q220-$G$2+$I$2</f>
        <v>15006.7941548438</v>
      </c>
      <c r="S220" s="40" t="n">
        <f aca="false">R220/$K$2</f>
        <v>54.492879751784</v>
      </c>
      <c r="T220" s="41" t="n">
        <f aca="false">S220-$M$2</f>
        <v>-0.0116411095399371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0.009765625</v>
      </c>
      <c r="C221" s="25" t="n">
        <f aca="false">IF(T220&gt;0,D220,C220)</f>
        <v>0.015625</v>
      </c>
      <c r="D221" s="39" t="n">
        <f aca="false">(B221+C221)/2</f>
        <v>0.0126953125</v>
      </c>
      <c r="E221" s="15" t="n">
        <f aca="false">$C$2*(1+IF(E$3&lt;=$O$2,$D221,$D221-($D221-$I$211)*MIN(E$3-$O$2,$Q$2)/$Q$2))</f>
        <v>1873.486328125</v>
      </c>
      <c r="F221" s="15" t="n">
        <f aca="false">E221*(1+IF(F$3&lt;=$O$2,$D221,$D221-($D221-$I$211)*MIN(F$3-$O$2,$Q$2)/$Q$2))</f>
        <v>1897.27082252502</v>
      </c>
      <c r="G221" s="15" t="n">
        <f aca="false">F221*(1+IF(G$3&lt;=$O$2,$D221,$D221-($D221-$I$211)*MIN(G$3-$O$2,$Q$2)/$Q$2))</f>
        <v>1921.35726851411</v>
      </c>
      <c r="H221" s="15" t="n">
        <f aca="false">G221*(1+IF(H$3&lt;=$O$2,$D221,$D221-($D221-$I$211)*MIN(H$3-$O$2,$Q$2)/$Q$2))</f>
        <v>1945.74949946204</v>
      </c>
      <c r="I221" s="15" t="n">
        <f aca="false">H221*(1+IF(I$3&lt;=$O$2,$D221,$D221-($D221-$I$211)*MIN(I$3-$O$2,$Q$2)/$Q$2))</f>
        <v>1970.45139740443</v>
      </c>
      <c r="J221" s="15" t="n">
        <f aca="false">I221*(1+IF(J$3&lt;=$O$2,$D221,$D221-($D221-$I$211)*MIN(J$3-$O$2,$Q$2)/$Q$2))</f>
        <v>1998.34559999894</v>
      </c>
      <c r="K221" s="15" t="n">
        <f aca="false">J221*(1+IF(K$3&lt;=$O$2,$D221,$D221-($D221-$I$211)*MIN(K$3-$O$2,$Q$2)/$Q$2))</f>
        <v>2029.55413792392</v>
      </c>
      <c r="L221" s="15" t="n">
        <f aca="false">K221*(1+IF(L$3&lt;=$O$2,$D221,$D221-($D221-$I$211)*MIN(L$3-$O$2,$Q$2)/$Q$2))</f>
        <v>2064.21511718566</v>
      </c>
      <c r="M221" s="15" t="n">
        <f aca="false">L221*(1+IF(M$3&lt;=$O$2,$D221,$D221-($D221-$I$211)*MIN(M$3-$O$2,$Q$2)/$Q$2))</f>
        <v>2102.48373025661</v>
      </c>
      <c r="N221" s="15" t="n">
        <f aca="false">M221*(1+IF(N$3&lt;=$O$2,$D221,$D221-($D221-$I$211)*MIN(N$3-$O$2,$Q$2)/$Q$2))</f>
        <v>2144.53340486174</v>
      </c>
      <c r="O221" s="15" t="n">
        <f aca="false">SUMPRODUCT(E221:N221,1/(1+$F$211)^$E$3:$N$3)*$E$2</f>
        <v>5284.50661552163</v>
      </c>
      <c r="P221" s="15" t="n">
        <f aca="false">N221*$E$2*(1+$I$211)/($F$211-$I$211)/(1+$F$211)^$N$3</f>
        <v>11576.2466172496</v>
      </c>
      <c r="Q221" s="15" t="n">
        <f aca="false">O221+P221</f>
        <v>16860.7532327712</v>
      </c>
      <c r="R221" s="15" t="n">
        <f aca="false">Q221-$G$2+$I$2</f>
        <v>15308.0532327712</v>
      </c>
      <c r="S221" s="40" t="n">
        <f aca="false">R221/$K$2</f>
        <v>55.5868159075175</v>
      </c>
      <c r="T221" s="41" t="n">
        <f aca="false">S221-$M$2</f>
        <v>1.08229504619354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0.009765625</v>
      </c>
      <c r="C222" s="25" t="n">
        <f aca="false">IF(T221&gt;0,D221,C221)</f>
        <v>0.0126953125</v>
      </c>
      <c r="D222" s="39" t="n">
        <f aca="false">(B222+C222)/2</f>
        <v>0.01123046875</v>
      </c>
      <c r="E222" s="15" t="n">
        <f aca="false">$C$2*(1+IF(E$3&lt;=$O$2,$D222,$D222-($D222-$I$211)*MIN(E$3-$O$2,$Q$2)/$Q$2))</f>
        <v>1870.7763671875</v>
      </c>
      <c r="F222" s="15" t="n">
        <f aca="false">E222*(1+IF(F$3&lt;=$O$2,$D222,$D222-($D222-$I$211)*MIN(F$3-$O$2,$Q$2)/$Q$2))</f>
        <v>1891.78606271744</v>
      </c>
      <c r="G222" s="15" t="n">
        <f aca="false">F222*(1+IF(G$3&lt;=$O$2,$D222,$D222-($D222-$I$211)*MIN(G$3-$O$2,$Q$2)/$Q$2))</f>
        <v>1913.03170697647</v>
      </c>
      <c r="H222" s="15" t="n">
        <f aca="false">G222*(1+IF(H$3&lt;=$O$2,$D222,$D222-($D222-$I$211)*MIN(H$3-$O$2,$Q$2)/$Q$2))</f>
        <v>1934.51594977943</v>
      </c>
      <c r="I222" s="15" t="n">
        <f aca="false">H222*(1+IF(I$3&lt;=$O$2,$D222,$D222-($D222-$I$211)*MIN(I$3-$O$2,$Q$2)/$Q$2))</f>
        <v>1956.2414706998</v>
      </c>
      <c r="J222" s="15" t="n">
        <f aca="false">I222*(1+IF(J$3&lt;=$O$2,$D222,$D222-($D222-$I$211)*MIN(J$3-$O$2,$Q$2)/$Q$2))</f>
        <v>1981.64204354592</v>
      </c>
      <c r="K222" s="15" t="n">
        <f aca="false">J222*(1+IF(K$3&lt;=$O$2,$D222,$D222-($D222-$I$211)*MIN(K$3-$O$2,$Q$2)/$Q$2))</f>
        <v>2010.84804132053</v>
      </c>
      <c r="L222" s="15" t="n">
        <f aca="false">K222*(1+IF(L$3&lt;=$O$2,$D222,$D222-($D222-$I$211)*MIN(L$3-$O$2,$Q$2)/$Q$2))</f>
        <v>2044.01132425199</v>
      </c>
      <c r="M222" s="15" t="n">
        <f aca="false">L222*(1+IF(M$3&lt;=$O$2,$D222,$D222-($D222-$I$211)*MIN(M$3-$O$2,$Q$2)/$Q$2))</f>
        <v>2081.30654650036</v>
      </c>
      <c r="N222" s="15" t="n">
        <f aca="false">M222*(1+IF(N$3&lt;=$O$2,$D222,$D222-($D222-$I$211)*MIN(N$3-$O$2,$Q$2)/$Q$2))</f>
        <v>2122.93267743036</v>
      </c>
      <c r="O222" s="15" t="n">
        <f aca="false">SUMPRODUCT(E222:N222,1/(1+$F$211)^$E$3:$N$3)*$E$2</f>
        <v>5249.85001807811</v>
      </c>
      <c r="P222" s="15" t="n">
        <f aca="false">N222*$E$2*(1+$I$211)/($F$211-$I$211)/(1+$F$211)^$N$3</f>
        <v>11459.6453335901</v>
      </c>
      <c r="Q222" s="15" t="n">
        <f aca="false">O222+P222</f>
        <v>16709.4953516682</v>
      </c>
      <c r="R222" s="15" t="n">
        <f aca="false">Q222-$G$2+$I$2</f>
        <v>15156.7953516682</v>
      </c>
      <c r="S222" s="40" t="n">
        <f aca="false">R222/$K$2</f>
        <v>55.0375661849312</v>
      </c>
      <c r="T222" s="41" t="n">
        <f aca="false">S222-$M$2</f>
        <v>0.533045323607276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0.009765625</v>
      </c>
      <c r="C223" s="25" t="n">
        <f aca="false">IF(T222&gt;0,D222,C222)</f>
        <v>0.01123046875</v>
      </c>
      <c r="D223" s="39" t="n">
        <f aca="false">(B223+C223)/2</f>
        <v>0.010498046875</v>
      </c>
      <c r="E223" s="15" t="n">
        <f aca="false">$C$2*(1+IF(E$3&lt;=$O$2,$D223,$D223-($D223-$I$211)*MIN(E$3-$O$2,$Q$2)/$Q$2))</f>
        <v>1869.42138671875</v>
      </c>
      <c r="F223" s="15" t="n">
        <f aca="false">E223*(1+IF(F$3&lt;=$O$2,$D223,$D223-($D223-$I$211)*MIN(F$3-$O$2,$Q$2)/$Q$2))</f>
        <v>1889.04666006565</v>
      </c>
      <c r="G223" s="15" t="n">
        <f aca="false">F223*(1+IF(G$3&lt;=$O$2,$D223,$D223-($D223-$I$211)*MIN(G$3-$O$2,$Q$2)/$Q$2))</f>
        <v>1908.87796045208</v>
      </c>
      <c r="H223" s="15" t="n">
        <f aca="false">G223*(1+IF(H$3&lt;=$O$2,$D223,$D223-($D223-$I$211)*MIN(H$3-$O$2,$Q$2)/$Q$2))</f>
        <v>1928.91745075956</v>
      </c>
      <c r="I223" s="15" t="n">
        <f aca="false">H223*(1+IF(I$3&lt;=$O$2,$D223,$D223-($D223-$I$211)*MIN(I$3-$O$2,$Q$2)/$Q$2))</f>
        <v>1949.16731657564</v>
      </c>
      <c r="J223" s="15" t="n">
        <f aca="false">I223*(1+IF(J$3&lt;=$O$2,$D223,$D223-($D223-$I$211)*MIN(J$3-$O$2,$Q$2)/$Q$2))</f>
        <v>1973.33394572725</v>
      </c>
      <c r="K223" s="15" t="n">
        <f aca="false">J223*(1+IF(K$3&lt;=$O$2,$D223,$D223-($D223-$I$211)*MIN(K$3-$O$2,$Q$2)/$Q$2))</f>
        <v>2001.55030865043</v>
      </c>
      <c r="L223" s="15" t="n">
        <f aca="false">K223*(1+IF(L$3&lt;=$O$2,$D223,$D223-($D223-$I$211)*MIN(L$3-$O$2,$Q$2)/$Q$2))</f>
        <v>2033.97385993939</v>
      </c>
      <c r="M223" s="15" t="n">
        <f aca="false">L223*(1+IF(M$3&lt;=$O$2,$D223,$D223-($D223-$I$211)*MIN(M$3-$O$2,$Q$2)/$Q$2))</f>
        <v>2070.78799228325</v>
      </c>
      <c r="N223" s="15" t="n">
        <f aca="false">M223*(1+IF(N$3&lt;=$O$2,$D223,$D223-($D223-$I$211)*MIN(N$3-$O$2,$Q$2)/$Q$2))</f>
        <v>2112.20375212892</v>
      </c>
      <c r="O223" s="15" t="n">
        <f aca="false">SUMPRODUCT(E223:N223,1/(1+$F$211)^$E$3:$N$3)*$E$2</f>
        <v>5232.60792540874</v>
      </c>
      <c r="P223" s="15" t="n">
        <f aca="false">N223*$E$2*(1+$I$211)/($F$211-$I$211)/(1+$F$211)^$N$3</f>
        <v>11401.7303181625</v>
      </c>
      <c r="Q223" s="15" t="n">
        <f aca="false">O223+P223</f>
        <v>16634.3382435712</v>
      </c>
      <c r="R223" s="15" t="n">
        <f aca="false">Q223-$G$2+$I$2</f>
        <v>15081.6382435712</v>
      </c>
      <c r="S223" s="40" t="n">
        <f aca="false">R223/$K$2</f>
        <v>54.7646546482124</v>
      </c>
      <c r="T223" s="41" t="n">
        <f aca="false">S223-$M$2</f>
        <v>0.260133786888481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0.009765625</v>
      </c>
      <c r="C224" s="25" t="n">
        <f aca="false">IF(T223&gt;0,D223,C223)</f>
        <v>0.010498046875</v>
      </c>
      <c r="D224" s="39" t="n">
        <f aca="false">(B224+C224)/2</f>
        <v>0.0101318359375</v>
      </c>
      <c r="E224" s="15" t="n">
        <f aca="false">$C$2*(1+IF(E$3&lt;=$O$2,$D224,$D224-($D224-$I$211)*MIN(E$3-$O$2,$Q$2)/$Q$2))</f>
        <v>1868.74389648438</v>
      </c>
      <c r="F224" s="15" t="n">
        <f aca="false">E224*(1+IF(F$3&lt;=$O$2,$D224,$D224-($D224-$I$211)*MIN(F$3-$O$2,$Q$2)/$Q$2))</f>
        <v>1887.67770305276</v>
      </c>
      <c r="G224" s="15" t="n">
        <f aca="false">F224*(1+IF(G$3&lt;=$O$2,$D224,$D224-($D224-$I$211)*MIN(G$3-$O$2,$Q$2)/$Q$2))</f>
        <v>1906.80334384297</v>
      </c>
      <c r="H224" s="15" t="n">
        <f aca="false">G224*(1+IF(H$3&lt;=$O$2,$D224,$D224-($D224-$I$211)*MIN(H$3-$O$2,$Q$2)/$Q$2))</f>
        <v>1926.12276248786</v>
      </c>
      <c r="I224" s="15" t="n">
        <f aca="false">H224*(1+IF(I$3&lt;=$O$2,$D224,$D224-($D224-$I$211)*MIN(I$3-$O$2,$Q$2)/$Q$2))</f>
        <v>1945.63792231287</v>
      </c>
      <c r="J224" s="15" t="n">
        <f aca="false">I224*(1+IF(J$3&lt;=$O$2,$D224,$D224-($D224-$I$211)*MIN(J$3-$O$2,$Q$2)/$Q$2))</f>
        <v>1969.19078138024</v>
      </c>
      <c r="K224" s="15" t="n">
        <f aca="false">J224*(1+IF(K$3&lt;=$O$2,$D224,$D224-($D224-$I$211)*MIN(K$3-$O$2,$Q$2)/$Q$2))</f>
        <v>1996.91521838724</v>
      </c>
      <c r="L224" s="15" t="n">
        <f aca="false">K224*(1+IF(L$3&lt;=$O$2,$D224,$D224-($D224-$I$211)*MIN(L$3-$O$2,$Q$2)/$Q$2))</f>
        <v>2028.9711679574</v>
      </c>
      <c r="M224" s="15" t="n">
        <f aca="false">L224*(1+IF(M$3&lt;=$O$2,$D224,$D224-($D224-$I$211)*MIN(M$3-$O$2,$Q$2)/$Q$2))</f>
        <v>2065.54614724385</v>
      </c>
      <c r="N224" s="15" t="n">
        <f aca="false">M224*(1+IF(N$3&lt;=$O$2,$D224,$D224-($D224-$I$211)*MIN(N$3-$O$2,$Q$2)/$Q$2))</f>
        <v>2106.85707018873</v>
      </c>
      <c r="O224" s="15" t="n">
        <f aca="false">SUMPRODUCT(E224:N224,1/(1+$F$211)^$E$3:$N$3)*$E$2</f>
        <v>5224.00835238966</v>
      </c>
      <c r="P224" s="15" t="n">
        <f aca="false">N224*$E$2*(1+$I$211)/($F$211-$I$211)/(1+$F$211)^$N$3</f>
        <v>11372.8687911826</v>
      </c>
      <c r="Q224" s="15" t="n">
        <f aca="false">O224+P224</f>
        <v>16596.8771435723</v>
      </c>
      <c r="R224" s="15" t="n">
        <f aca="false">Q224-$G$2+$I$2</f>
        <v>15044.1771435723</v>
      </c>
      <c r="S224" s="40" t="n">
        <f aca="false">R224/$K$2</f>
        <v>54.6286253806322</v>
      </c>
      <c r="T224" s="41" t="n">
        <f aca="false">S224-$M$2</f>
        <v>0.124104519308212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0.009765625</v>
      </c>
      <c r="C225" s="25" t="n">
        <f aca="false">IF(T224&gt;0,D224,C224)</f>
        <v>0.0101318359375</v>
      </c>
      <c r="D225" s="39" t="n">
        <f aca="false">(B225+C225)/2</f>
        <v>0.00994873046875</v>
      </c>
      <c r="E225" s="15" t="n">
        <f aca="false">$C$2*(1+IF(E$3&lt;=$O$2,$D225,$D225-($D225-$I$211)*MIN(E$3-$O$2,$Q$2)/$Q$2))</f>
        <v>1868.40515136719</v>
      </c>
      <c r="F225" s="15" t="n">
        <f aca="false">E225*(1+IF(F$3&lt;=$O$2,$D225,$D225-($D225-$I$211)*MIN(F$3-$O$2,$Q$2)/$Q$2))</f>
        <v>1886.99341062456</v>
      </c>
      <c r="G225" s="15" t="n">
        <f aca="false">F225*(1+IF(G$3&lt;=$O$2,$D225,$D225-($D225-$I$211)*MIN(G$3-$O$2,$Q$2)/$Q$2))</f>
        <v>1905.76659946317</v>
      </c>
      <c r="H225" s="15" t="n">
        <f aca="false">G225*(1+IF(H$3&lt;=$O$2,$D225,$D225-($D225-$I$211)*MIN(H$3-$O$2,$Q$2)/$Q$2))</f>
        <v>1924.72655769758</v>
      </c>
      <c r="I225" s="15" t="n">
        <f aca="false">H225*(1+IF(I$3&lt;=$O$2,$D225,$D225-($D225-$I$211)*MIN(I$3-$O$2,$Q$2)/$Q$2))</f>
        <v>1943.87514344616</v>
      </c>
      <c r="J225" s="15" t="n">
        <f aca="false">I225*(1+IF(J$3&lt;=$O$2,$D225,$D225-($D225-$I$211)*MIN(J$3-$O$2,$Q$2)/$Q$2))</f>
        <v>1967.12191591358</v>
      </c>
      <c r="K225" s="15" t="n">
        <f aca="false">J225*(1+IF(K$3&lt;=$O$2,$D225,$D225-($D225-$I$211)*MIN(K$3-$O$2,$Q$2)/$Q$2))</f>
        <v>1994.60111068525</v>
      </c>
      <c r="L225" s="15" t="n">
        <f aca="false">K225*(1+IF(L$3&lt;=$O$2,$D225,$D225-($D225-$I$211)*MIN(L$3-$O$2,$Q$2)/$Q$2))</f>
        <v>2026.47382355062</v>
      </c>
      <c r="M225" s="15" t="n">
        <f aca="false">L225*(1+IF(M$3&lt;=$O$2,$D225,$D225-($D225-$I$211)*MIN(M$3-$O$2,$Q$2)/$Q$2))</f>
        <v>2062.92957310193</v>
      </c>
      <c r="N225" s="15" t="n">
        <f aca="false">M225*(1+IF(N$3&lt;=$O$2,$D225,$D225-($D225-$I$211)*MIN(N$3-$O$2,$Q$2)/$Q$2))</f>
        <v>2104.18816456397</v>
      </c>
      <c r="O225" s="15" t="n">
        <f aca="false">SUMPRODUCT(E225:N225,1/(1+$F$211)^$E$3:$N$3)*$E$2</f>
        <v>5219.71392445913</v>
      </c>
      <c r="P225" s="15" t="n">
        <f aca="false">N225*$E$2*(1+$I$211)/($F$211-$I$211)/(1+$F$211)^$N$3</f>
        <v>11358.4619698012</v>
      </c>
      <c r="Q225" s="15" t="n">
        <f aca="false">O225+P225</f>
        <v>16578.1758942603</v>
      </c>
      <c r="R225" s="15" t="n">
        <f aca="false">Q225-$G$2+$I$2</f>
        <v>15025.4758942603</v>
      </c>
      <c r="S225" s="40" t="n">
        <f aca="false">R225/$K$2</f>
        <v>54.5607171439061</v>
      </c>
      <c r="T225" s="41" t="n">
        <f aca="false">S225-$M$2</f>
        <v>0.0561962825821709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0.009765625</v>
      </c>
      <c r="C226" s="25" t="n">
        <f aca="false">IF(T225&gt;0,D225,C225)</f>
        <v>0.00994873046875</v>
      </c>
      <c r="D226" s="39" t="n">
        <f aca="false">(B226+C226)/2</f>
        <v>0.009857177734375</v>
      </c>
      <c r="E226" s="15" t="n">
        <f aca="false">$C$2*(1+IF(E$3&lt;=$O$2,$D226,$D226-($D226-$I$211)*MIN(E$3-$O$2,$Q$2)/$Q$2))</f>
        <v>1868.23577880859</v>
      </c>
      <c r="F226" s="15" t="n">
        <f aca="false">E226*(1+IF(F$3&lt;=$O$2,$D226,$D226-($D226-$I$211)*MIN(F$3-$O$2,$Q$2)/$Q$2))</f>
        <v>1886.65131093003</v>
      </c>
      <c r="G226" s="15" t="n">
        <f aca="false">F226*(1+IF(G$3&lt;=$O$2,$D226,$D226-($D226-$I$211)*MIN(G$3-$O$2,$Q$2)/$Q$2))</f>
        <v>1905.24836822466</v>
      </c>
      <c r="H226" s="15" t="n">
        <f aca="false">G226*(1+IF(H$3&lt;=$O$2,$D226,$D226-($D226-$I$211)*MIN(H$3-$O$2,$Q$2)/$Q$2))</f>
        <v>1924.02874001838</v>
      </c>
      <c r="I226" s="15" t="n">
        <f aca="false">H226*(1+IF(I$3&lt;=$O$2,$D226,$D226-($D226-$I$211)*MIN(I$3-$O$2,$Q$2)/$Q$2))</f>
        <v>1942.99423327478</v>
      </c>
      <c r="J226" s="15" t="n">
        <f aca="false">I226*(1+IF(J$3&lt;=$O$2,$D226,$D226-($D226-$I$211)*MIN(J$3-$O$2,$Q$2)/$Q$2))</f>
        <v>1966.08816180329</v>
      </c>
      <c r="K226" s="15" t="n">
        <f aca="false">J226*(1+IF(K$3&lt;=$O$2,$D226,$D226-($D226-$I$211)*MIN(K$3-$O$2,$Q$2)/$Q$2))</f>
        <v>1993.44491536912</v>
      </c>
      <c r="L226" s="15" t="n">
        <f aca="false">K226*(1+IF(L$3&lt;=$O$2,$D226,$D226-($D226-$I$211)*MIN(L$3-$O$2,$Q$2)/$Q$2))</f>
        <v>2025.22615068734</v>
      </c>
      <c r="M226" s="15" t="n">
        <f aca="false">L226*(1+IF(M$3&lt;=$O$2,$D226,$D226-($D226-$I$211)*MIN(M$3-$O$2,$Q$2)/$Q$2))</f>
        <v>2061.62237192226</v>
      </c>
      <c r="N226" s="15" t="n">
        <f aca="false">M226*(1+IF(N$3&lt;=$O$2,$D226,$D226-($D226-$I$211)*MIN(N$3-$O$2,$Q$2)/$Q$2))</f>
        <v>2102.85481936071</v>
      </c>
      <c r="O226" s="15" t="n">
        <f aca="false">SUMPRODUCT(E226:N226,1/(1+$F$211)^$E$3:$N$3)*$E$2</f>
        <v>5217.56804892143</v>
      </c>
      <c r="P226" s="15" t="n">
        <f aca="false">N226*$E$2*(1+$I$211)/($F$211-$I$211)/(1+$F$211)^$N$3</f>
        <v>11351.2645380131</v>
      </c>
      <c r="Q226" s="15" t="n">
        <f aca="false">O226+P226</f>
        <v>16568.8325869345</v>
      </c>
      <c r="R226" s="15" t="n">
        <f aca="false">Q226-$G$2+$I$2</f>
        <v>15016.1325869345</v>
      </c>
      <c r="S226" s="40" t="n">
        <f aca="false">R226/$K$2</f>
        <v>54.5267895963343</v>
      </c>
      <c r="T226" s="41" t="n">
        <f aca="false">S226-$M$2</f>
        <v>0.0222687350103072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0.009765625</v>
      </c>
      <c r="C227" s="25" t="n">
        <f aca="false">IF(T226&gt;0,D226,C226)</f>
        <v>0.009857177734375</v>
      </c>
      <c r="D227" s="39" t="n">
        <f aca="false">(B227+C227)/2</f>
        <v>0.0098114013671875</v>
      </c>
      <c r="E227" s="15" t="n">
        <f aca="false">$C$2*(1+IF(E$3&lt;=$O$2,$D227,$D227-($D227-$I$211)*MIN(E$3-$O$2,$Q$2)/$Q$2))</f>
        <v>1868.1510925293</v>
      </c>
      <c r="F227" s="15" t="n">
        <f aca="false">E227*(1+IF(F$3&lt;=$O$2,$D227,$D227-($D227-$I$211)*MIN(F$3-$O$2,$Q$2)/$Q$2))</f>
        <v>1886.48027271265</v>
      </c>
      <c r="G227" s="15" t="n">
        <f aca="false">F227*(1+IF(G$3&lt;=$O$2,$D227,$D227-($D227-$I$211)*MIN(G$3-$O$2,$Q$2)/$Q$2))</f>
        <v>1904.98928783952</v>
      </c>
      <c r="H227" s="15" t="n">
        <f aca="false">G227*(1+IF(H$3&lt;=$O$2,$D227,$D227-($D227-$I$211)*MIN(H$3-$O$2,$Q$2)/$Q$2))</f>
        <v>1923.6799023427</v>
      </c>
      <c r="I227" s="15" t="n">
        <f aca="false">H227*(1+IF(I$3&lt;=$O$2,$D227,$D227-($D227-$I$211)*MIN(I$3-$O$2,$Q$2)/$Q$2))</f>
        <v>1942.55389796658</v>
      </c>
      <c r="J227" s="15" t="n">
        <f aca="false">I227*(1+IF(J$3&lt;=$O$2,$D227,$D227-($D227-$I$211)*MIN(J$3-$O$2,$Q$2)/$Q$2))</f>
        <v>1965.57145433472</v>
      </c>
      <c r="K227" s="15" t="n">
        <f aca="false">J227*(1+IF(K$3&lt;=$O$2,$D227,$D227-($D227-$I$211)*MIN(K$3-$O$2,$Q$2)/$Q$2))</f>
        <v>1992.86703224202</v>
      </c>
      <c r="L227" s="15" t="n">
        <f aca="false">K227*(1+IF(L$3&lt;=$O$2,$D227,$D227-($D227-$I$211)*MIN(L$3-$O$2,$Q$2)/$Q$2))</f>
        <v>2024.60256395883</v>
      </c>
      <c r="M227" s="15" t="n">
        <f aca="false">L227*(1+IF(M$3&lt;=$O$2,$D227,$D227-($D227-$I$211)*MIN(M$3-$O$2,$Q$2)/$Q$2))</f>
        <v>2060.96904265498</v>
      </c>
      <c r="N227" s="15" t="n">
        <f aca="false">M227*(1+IF(N$3&lt;=$O$2,$D227,$D227-($D227-$I$211)*MIN(N$3-$O$2,$Q$2)/$Q$2))</f>
        <v>2102.18842350808</v>
      </c>
      <c r="O227" s="15" t="n">
        <f aca="false">SUMPRODUCT(E227:N227,1/(1+$F$211)^$E$3:$N$3)*$E$2</f>
        <v>5216.49544560742</v>
      </c>
      <c r="P227" s="15" t="n">
        <f aca="false">N227*$E$2*(1+$I$211)/($F$211-$I$211)/(1+$F$211)^$N$3</f>
        <v>11347.6673160172</v>
      </c>
      <c r="Q227" s="15" t="n">
        <f aca="false">O227+P227</f>
        <v>16564.1627616246</v>
      </c>
      <c r="R227" s="15" t="n">
        <f aca="false">Q227-$G$2+$I$2</f>
        <v>15011.4627616246</v>
      </c>
      <c r="S227" s="40" t="n">
        <f aca="false">R227/$K$2</f>
        <v>54.5098324616893</v>
      </c>
      <c r="T227" s="41" t="n">
        <f aca="false">S227-$M$2</f>
        <v>0.00531160036539546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0.009765625</v>
      </c>
      <c r="C228" s="25" t="n">
        <f aca="false">IF(T227&gt;0,D227,C227)</f>
        <v>0.0098114013671875</v>
      </c>
      <c r="D228" s="39" t="n">
        <f aca="false">(B228+C228)/2</f>
        <v>0.00978851318359375</v>
      </c>
      <c r="E228" s="15" t="n">
        <f aca="false">$C$2*(1+IF(E$3&lt;=$O$2,$D228,$D228-($D228-$I$211)*MIN(E$3-$O$2,$Q$2)/$Q$2))</f>
        <v>1868.10874938965</v>
      </c>
      <c r="F228" s="15" t="n">
        <f aca="false">E228*(1+IF(F$3&lt;=$O$2,$D228,$D228-($D228-$I$211)*MIN(F$3-$O$2,$Q$2)/$Q$2))</f>
        <v>1886.39475651144</v>
      </c>
      <c r="G228" s="15" t="n">
        <f aca="false">F228*(1+IF(G$3&lt;=$O$2,$D228,$D228-($D228-$I$211)*MIN(G$3-$O$2,$Q$2)/$Q$2))</f>
        <v>1904.85975645501</v>
      </c>
      <c r="H228" s="15" t="n">
        <f aca="false">G228*(1+IF(H$3&lt;=$O$2,$D228,$D228-($D228-$I$211)*MIN(H$3-$O$2,$Q$2)/$Q$2))</f>
        <v>1923.50550129397</v>
      </c>
      <c r="I228" s="15" t="n">
        <f aca="false">H228*(1+IF(I$3&lt;=$O$2,$D228,$D228-($D228-$I$211)*MIN(I$3-$O$2,$Q$2)/$Q$2))</f>
        <v>1942.3337602521</v>
      </c>
      <c r="J228" s="15" t="n">
        <f aca="false">I228*(1+IF(J$3&lt;=$O$2,$D228,$D228-($D228-$I$211)*MIN(J$3-$O$2,$Q$2)/$Q$2))</f>
        <v>1965.31314298844</v>
      </c>
      <c r="K228" s="15" t="n">
        <f aca="false">J228*(1+IF(K$3&lt;=$O$2,$D228,$D228-($D228-$I$211)*MIN(K$3-$O$2,$Q$2)/$Q$2))</f>
        <v>1992.57814429837</v>
      </c>
      <c r="L228" s="15" t="n">
        <f aca="false">K228*(1+IF(L$3&lt;=$O$2,$D228,$D228-($D228-$I$211)*MIN(L$3-$O$2,$Q$2)/$Q$2))</f>
        <v>2024.29083300387</v>
      </c>
      <c r="M228" s="15" t="n">
        <f aca="false">L228*(1+IF(M$3&lt;=$O$2,$D228,$D228-($D228-$I$211)*MIN(M$3-$O$2,$Q$2)/$Q$2))</f>
        <v>2060.64244583319</v>
      </c>
      <c r="N228" s="15" t="n">
        <f aca="false">M228*(1+IF(N$3&lt;=$O$2,$D228,$D228-($D228-$I$211)*MIN(N$3-$O$2,$Q$2)/$Q$2))</f>
        <v>2101.85529474985</v>
      </c>
      <c r="O228" s="15" t="n">
        <f aca="false">SUMPRODUCT(E228:N228,1/(1+$F$211)^$E$3:$N$3)*$E$2</f>
        <v>5215.95922754513</v>
      </c>
      <c r="P228" s="15" t="n">
        <f aca="false">N228*$E$2*(1+$I$211)/($F$211-$I$211)/(1+$F$211)^$N$3</f>
        <v>11345.8690783904</v>
      </c>
      <c r="Q228" s="15" t="n">
        <f aca="false">O228+P228</f>
        <v>16561.8283059356</v>
      </c>
      <c r="R228" s="15" t="n">
        <f aca="false">Q228-$G$2+$I$2</f>
        <v>15009.1283059356</v>
      </c>
      <c r="S228" s="40" t="n">
        <f aca="false">R228/$K$2</f>
        <v>54.5013555537077</v>
      </c>
      <c r="T228" s="41" t="n">
        <f aca="false">S228-$M$2</f>
        <v>-0.00316530761622857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0.00978851318359375</v>
      </c>
      <c r="C229" s="25" t="n">
        <f aca="false">IF(T228&gt;0,D228,C228)</f>
        <v>0.0098114013671875</v>
      </c>
      <c r="D229" s="39" t="n">
        <f aca="false">(B229+C229)/2</f>
        <v>0.00979995727539063</v>
      </c>
      <c r="E229" s="15" t="n">
        <f aca="false">$C$2*(1+IF(E$3&lt;=$O$2,$D229,$D229-($D229-$I$211)*MIN(E$3-$O$2,$Q$2)/$Q$2))</f>
        <v>1868.12992095947</v>
      </c>
      <c r="F229" s="15" t="n">
        <f aca="false">E229*(1+IF(F$3&lt;=$O$2,$D229,$D229-($D229-$I$211)*MIN(F$3-$O$2,$Q$2)/$Q$2))</f>
        <v>1886.43751436975</v>
      </c>
      <c r="G229" s="15" t="n">
        <f aca="false">F229*(1+IF(G$3&lt;=$O$2,$D229,$D229-($D229-$I$211)*MIN(G$3-$O$2,$Q$2)/$Q$2))</f>
        <v>1904.92452141327</v>
      </c>
      <c r="H229" s="15" t="n">
        <f aca="false">G229*(1+IF(H$3&lt;=$O$2,$D229,$D229-($D229-$I$211)*MIN(H$3-$O$2,$Q$2)/$Q$2))</f>
        <v>1923.59270033597</v>
      </c>
      <c r="I229" s="15" t="n">
        <f aca="false">H229*(1+IF(I$3&lt;=$O$2,$D229,$D229-($D229-$I$211)*MIN(I$3-$O$2,$Q$2)/$Q$2))</f>
        <v>1942.44382661451</v>
      </c>
      <c r="J229" s="15" t="n">
        <f aca="false">I229*(1+IF(J$3&lt;=$O$2,$D229,$D229-($D229-$I$211)*MIN(J$3-$O$2,$Q$2)/$Q$2))</f>
        <v>1965.4422951295</v>
      </c>
      <c r="K229" s="15" t="n">
        <f aca="false">J229*(1+IF(K$3&lt;=$O$2,$D229,$D229-($D229-$I$211)*MIN(K$3-$O$2,$Q$2)/$Q$2))</f>
        <v>1992.72258380225</v>
      </c>
      <c r="L229" s="15" t="n">
        <f aca="false">K229*(1+IF(L$3&lt;=$O$2,$D229,$D229-($D229-$I$211)*MIN(L$3-$O$2,$Q$2)/$Q$2))</f>
        <v>2024.44669328106</v>
      </c>
      <c r="M229" s="15" t="n">
        <f aca="false">L229*(1+IF(M$3&lt;=$O$2,$D229,$D229-($D229-$I$211)*MIN(M$3-$O$2,$Q$2)/$Q$2))</f>
        <v>2060.80573859365</v>
      </c>
      <c r="N229" s="15" t="n">
        <f aca="false">M229*(1+IF(N$3&lt;=$O$2,$D229,$D229-($D229-$I$211)*MIN(N$3-$O$2,$Q$2)/$Q$2))</f>
        <v>2102.02185336553</v>
      </c>
      <c r="O229" s="15" t="n">
        <f aca="false">SUMPRODUCT(E229:N229,1/(1+$F$211)^$E$3:$N$3)*$E$2</f>
        <v>5216.22732961061</v>
      </c>
      <c r="P229" s="15" t="n">
        <f aca="false">N229*$E$2*(1+$I$211)/($F$211-$I$211)/(1+$F$211)^$N$3</f>
        <v>11346.7681660926</v>
      </c>
      <c r="Q229" s="15" t="n">
        <f aca="false">O229+P229</f>
        <v>16562.9954957033</v>
      </c>
      <c r="R229" s="15" t="n">
        <f aca="false">Q229-$G$2+$I$2</f>
        <v>15010.2954957032</v>
      </c>
      <c r="S229" s="40" t="n">
        <f aca="false">R229/$K$2</f>
        <v>54.5055938694334</v>
      </c>
      <c r="T229" s="41" t="n">
        <f aca="false">S229-$M$2</f>
        <v>0.00107300810940814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0.00978851318359375</v>
      </c>
      <c r="C230" s="25" t="n">
        <f aca="false">IF(T229&gt;0,D229,C229)</f>
        <v>0.00979995727539063</v>
      </c>
      <c r="D230" s="39" t="n">
        <f aca="false">(B230+C230)/2</f>
        <v>0.00979423522949219</v>
      </c>
      <c r="E230" s="15" t="n">
        <f aca="false">$C$2*(1+IF(E$3&lt;=$O$2,$D230,$D230-($D230-$I$211)*MIN(E$3-$O$2,$Q$2)/$Q$2))</f>
        <v>1868.11933517456</v>
      </c>
      <c r="F230" s="15" t="n">
        <f aca="false">E230*(1+IF(F$3&lt;=$O$2,$D230,$D230-($D230-$I$211)*MIN(F$3-$O$2,$Q$2)/$Q$2))</f>
        <v>1886.41613538002</v>
      </c>
      <c r="G230" s="15" t="n">
        <f aca="false">F230*(1+IF(G$3&lt;=$O$2,$D230,$D230-($D230-$I$211)*MIN(G$3-$O$2,$Q$2)/$Q$2))</f>
        <v>1904.89213875064</v>
      </c>
      <c r="H230" s="15" t="n">
        <f aca="false">G230*(1+IF(H$3&lt;=$O$2,$D230,$D230-($D230-$I$211)*MIN(H$3-$O$2,$Q$2)/$Q$2))</f>
        <v>1923.54910044438</v>
      </c>
      <c r="I230" s="15" t="n">
        <f aca="false">H230*(1+IF(I$3&lt;=$O$2,$D230,$D230-($D230-$I$211)*MIN(I$3-$O$2,$Q$2)/$Q$2))</f>
        <v>1942.38879280961</v>
      </c>
      <c r="J230" s="15" t="n">
        <f aca="false">I230*(1+IF(J$3&lt;=$O$2,$D230,$D230-($D230-$I$211)*MIN(J$3-$O$2,$Q$2)/$Q$2))</f>
        <v>1965.37771817597</v>
      </c>
      <c r="K230" s="15" t="n">
        <f aca="false">J230*(1+IF(K$3&lt;=$O$2,$D230,$D230-($D230-$I$211)*MIN(K$3-$O$2,$Q$2)/$Q$2))</f>
        <v>1992.65036293335</v>
      </c>
      <c r="L230" s="15" t="n">
        <f aca="false">K230*(1+IF(L$3&lt;=$O$2,$D230,$D230-($D230-$I$211)*MIN(L$3-$O$2,$Q$2)/$Q$2))</f>
        <v>2024.36876184243</v>
      </c>
      <c r="M230" s="15" t="n">
        <f aca="false">L230*(1+IF(M$3&lt;=$O$2,$D230,$D230-($D230-$I$211)*MIN(M$3-$O$2,$Q$2)/$Q$2))</f>
        <v>2060.72409080086</v>
      </c>
      <c r="N230" s="15" t="n">
        <f aca="false">M230*(1+IF(N$3&lt;=$O$2,$D230,$D230-($D230-$I$211)*MIN(N$3-$O$2,$Q$2)/$Q$2))</f>
        <v>2101.93857261687</v>
      </c>
      <c r="O230" s="15" t="n">
        <f aca="false">SUMPRODUCT(E230:N230,1/(1+$F$211)^$E$3:$N$3)*$E$2</f>
        <v>5216.0932768365</v>
      </c>
      <c r="P230" s="15" t="n">
        <f aca="false">N230*$E$2*(1+$I$211)/($F$211-$I$211)/(1+$F$211)^$N$3</f>
        <v>11346.318614464</v>
      </c>
      <c r="Q230" s="15" t="n">
        <f aca="false">O230+P230</f>
        <v>16562.4118913005</v>
      </c>
      <c r="R230" s="15" t="n">
        <f aca="false">Q230-$G$2+$I$2</f>
        <v>15009.7118913005</v>
      </c>
      <c r="S230" s="40" t="n">
        <f aca="false">R230/$K$2</f>
        <v>54.5034746770052</v>
      </c>
      <c r="T230" s="41" t="n">
        <f aca="false">S230-$M$2</f>
        <v>-0.00104618431873149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0.00979423522949219</v>
      </c>
      <c r="C231" s="25" t="n">
        <f aca="false">IF(T230&gt;0,D230,C230)</f>
        <v>0.00979995727539063</v>
      </c>
      <c r="D231" s="39" t="n">
        <f aca="false">(B231+C231)/2</f>
        <v>0.00979709625244141</v>
      </c>
      <c r="E231" s="15" t="n">
        <f aca="false">$C$2*(1+IF(E$3&lt;=$O$2,$D231,$D231-($D231-$I$211)*MIN(E$3-$O$2,$Q$2)/$Q$2))</f>
        <v>1868.12462806702</v>
      </c>
      <c r="F231" s="15" t="n">
        <f aca="false">E231*(1+IF(F$3&lt;=$O$2,$D231,$D231-($D231-$I$211)*MIN(F$3-$O$2,$Q$2)/$Q$2))</f>
        <v>1886.42682485975</v>
      </c>
      <c r="G231" s="15" t="n">
        <f aca="false">F231*(1+IF(G$3&lt;=$O$2,$D231,$D231-($D231-$I$211)*MIN(G$3-$O$2,$Q$2)/$Q$2))</f>
        <v>1904.90833003608</v>
      </c>
      <c r="H231" s="15" t="n">
        <f aca="false">G231*(1+IF(H$3&lt;=$O$2,$D231,$D231-($D231-$I$211)*MIN(H$3-$O$2,$Q$2)/$Q$2))</f>
        <v>1923.57090029752</v>
      </c>
      <c r="I231" s="15" t="n">
        <f aca="false">H231*(1+IF(I$3&lt;=$O$2,$D231,$D231-($D231-$I$211)*MIN(I$3-$O$2,$Q$2)/$Q$2))</f>
        <v>1942.41630955614</v>
      </c>
      <c r="J231" s="15" t="n">
        <f aca="false">I231*(1+IF(J$3&lt;=$O$2,$D231,$D231-($D231-$I$211)*MIN(J$3-$O$2,$Q$2)/$Q$2))</f>
        <v>1965.41000643199</v>
      </c>
      <c r="K231" s="15" t="n">
        <f aca="false">J231*(1+IF(K$3&lt;=$O$2,$D231,$D231-($D231-$I$211)*MIN(K$3-$O$2,$Q$2)/$Q$2))</f>
        <v>1992.68647308856</v>
      </c>
      <c r="L231" s="15" t="n">
        <f aca="false">K231*(1+IF(L$3&lt;=$O$2,$D231,$D231-($D231-$I$211)*MIN(L$3-$O$2,$Q$2)/$Q$2))</f>
        <v>2024.40772723673</v>
      </c>
      <c r="M231" s="15" t="n">
        <f aca="false">L231*(1+IF(M$3&lt;=$O$2,$D231,$D231-($D231-$I$211)*MIN(M$3-$O$2,$Q$2)/$Q$2))</f>
        <v>2060.76491434411</v>
      </c>
      <c r="N231" s="15" t="n">
        <f aca="false">M231*(1+IF(N$3&lt;=$O$2,$D231,$D231-($D231-$I$211)*MIN(N$3-$O$2,$Q$2)/$Q$2))</f>
        <v>2101.98021263099</v>
      </c>
      <c r="O231" s="15" t="n">
        <f aca="false">SUMPRODUCT(E231:N231,1/(1+$F$211)^$E$3:$N$3)*$E$2</f>
        <v>5216.16030278821</v>
      </c>
      <c r="P231" s="15" t="n">
        <f aca="false">N231*$E$2*(1+$I$211)/($F$211-$I$211)/(1+$F$211)^$N$3</f>
        <v>11346.5433883339</v>
      </c>
      <c r="Q231" s="15" t="n">
        <f aca="false">O231+P231</f>
        <v>16562.7036911221</v>
      </c>
      <c r="R231" s="15" t="n">
        <f aca="false">Q231-$G$2+$I$2</f>
        <v>15010.0036911221</v>
      </c>
      <c r="S231" s="40" t="n">
        <f aca="false">R231/$K$2</f>
        <v>54.5045342645778</v>
      </c>
      <c r="T231" s="41" t="n">
        <f aca="false">S231-$M$2</f>
        <v>1.34032538809947E-005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0.00979423522949219</v>
      </c>
      <c r="C232" s="25" t="n">
        <f aca="false">IF(T231&gt;0,D231,C231)</f>
        <v>0.00979709625244141</v>
      </c>
      <c r="D232" s="39" t="n">
        <f aca="false">(B232+C232)/2</f>
        <v>0.0097956657409668</v>
      </c>
      <c r="E232" s="15" t="n">
        <f aca="false">$C$2*(1+IF(E$3&lt;=$O$2,$D232,$D232-($D232-$I$211)*MIN(E$3-$O$2,$Q$2)/$Q$2))</f>
        <v>1868.12198162079</v>
      </c>
      <c r="F232" s="15" t="n">
        <f aca="false">E232*(1+IF(F$3&lt;=$O$2,$D232,$D232-($D232-$I$211)*MIN(F$3-$O$2,$Q$2)/$Q$2))</f>
        <v>1886.4214801161</v>
      </c>
      <c r="G232" s="15" t="n">
        <f aca="false">F232*(1+IF(G$3&lt;=$O$2,$D232,$D232-($D232-$I$211)*MIN(G$3-$O$2,$Q$2)/$Q$2))</f>
        <v>1904.9002343819</v>
      </c>
      <c r="H232" s="15" t="n">
        <f aca="false">G232*(1+IF(H$3&lt;=$O$2,$D232,$D232-($D232-$I$211)*MIN(H$3-$O$2,$Q$2)/$Q$2))</f>
        <v>1923.56000034779</v>
      </c>
      <c r="I232" s="15" t="n">
        <f aca="false">H232*(1+IF(I$3&lt;=$O$2,$D232,$D232-($D232-$I$211)*MIN(I$3-$O$2,$Q$2)/$Q$2))</f>
        <v>1942.40255114389</v>
      </c>
      <c r="J232" s="15" t="n">
        <f aca="false">I232*(1+IF(J$3&lt;=$O$2,$D232,$D232-($D232-$I$211)*MIN(J$3-$O$2,$Q$2)/$Q$2))</f>
        <v>1965.39386224879</v>
      </c>
      <c r="K232" s="15" t="n">
        <f aca="false">J232*(1+IF(K$3&lt;=$O$2,$D232,$D232-($D232-$I$211)*MIN(K$3-$O$2,$Q$2)/$Q$2))</f>
        <v>1992.66841794114</v>
      </c>
      <c r="L232" s="15" t="n">
        <f aca="false">K232*(1+IF(L$3&lt;=$O$2,$D232,$D232-($D232-$I$211)*MIN(L$3-$O$2,$Q$2)/$Q$2))</f>
        <v>2024.38824445833</v>
      </c>
      <c r="M232" s="15" t="n">
        <f aca="false">L232*(1+IF(M$3&lt;=$O$2,$D232,$D232-($D232-$I$211)*MIN(M$3-$O$2,$Q$2)/$Q$2))</f>
        <v>2060.7445024842</v>
      </c>
      <c r="N232" s="15" t="n">
        <f aca="false">M232*(1+IF(N$3&lt;=$O$2,$D232,$D232-($D232-$I$211)*MIN(N$3-$O$2,$Q$2)/$Q$2))</f>
        <v>2101.95939253388</v>
      </c>
      <c r="O232" s="15" t="n">
        <f aca="false">SUMPRODUCT(E232:N232,1/(1+$F$211)^$E$3:$N$3)*$E$2</f>
        <v>5216.12678970351</v>
      </c>
      <c r="P232" s="15" t="n">
        <f aca="false">N232*$E$2*(1+$I$211)/($F$211-$I$211)/(1+$F$211)^$N$3</f>
        <v>11346.4310009128</v>
      </c>
      <c r="Q232" s="15" t="n">
        <f aca="false">O232+P232</f>
        <v>16562.5577906163</v>
      </c>
      <c r="R232" s="15" t="n">
        <f aca="false">Q232-$G$2+$I$2</f>
        <v>15009.8577906163</v>
      </c>
      <c r="S232" s="40" t="n">
        <f aca="false">R232/$K$2</f>
        <v>54.5040044686312</v>
      </c>
      <c r="T232" s="41" t="n">
        <f aca="false">S232-$M$2</f>
        <v>-0.000516392692759382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0.0097956657409668</v>
      </c>
      <c r="C233" s="25" t="n">
        <f aca="false">IF(T232&gt;0,D232,C232)</f>
        <v>0.00979709625244141</v>
      </c>
      <c r="D233" s="39" t="n">
        <f aca="false">(B233+C233)/2</f>
        <v>0.0097963809967041</v>
      </c>
      <c r="E233" s="15" t="n">
        <f aca="false">$C$2*(1+IF(E$3&lt;=$O$2,$D233,$D233-($D233-$I$211)*MIN(E$3-$O$2,$Q$2)/$Q$2))</f>
        <v>1868.1233048439</v>
      </c>
      <c r="F233" s="15" t="n">
        <f aca="false">E233*(1+IF(F$3&lt;=$O$2,$D233,$D233-($D233-$I$211)*MIN(F$3-$O$2,$Q$2)/$Q$2))</f>
        <v>1886.42415248698</v>
      </c>
      <c r="G233" s="15" t="n">
        <f aca="false">F233*(1+IF(G$3&lt;=$O$2,$D233,$D233-($D233-$I$211)*MIN(G$3-$O$2,$Q$2)/$Q$2))</f>
        <v>1904.90428220612</v>
      </c>
      <c r="H233" s="15" t="n">
        <f aca="false">G233*(1+IF(H$3&lt;=$O$2,$D233,$D233-($D233-$I$211)*MIN(H$3-$O$2,$Q$2)/$Q$2))</f>
        <v>1923.56545031687</v>
      </c>
      <c r="I233" s="15" t="n">
        <f aca="false">H233*(1+IF(I$3&lt;=$O$2,$D233,$D233-($D233-$I$211)*MIN(I$3-$O$2,$Q$2)/$Q$2))</f>
        <v>1942.40943034027</v>
      </c>
      <c r="J233" s="15" t="n">
        <f aca="false">I233*(1+IF(J$3&lt;=$O$2,$D233,$D233-($D233-$I$211)*MIN(J$3-$O$2,$Q$2)/$Q$2))</f>
        <v>1965.40193432659</v>
      </c>
      <c r="K233" s="15" t="n">
        <f aca="false">J233*(1+IF(K$3&lt;=$O$2,$D233,$D233-($D233-$I$211)*MIN(K$3-$O$2,$Q$2)/$Q$2))</f>
        <v>1992.6774454974</v>
      </c>
      <c r="L233" s="15" t="n">
        <f aca="false">K233*(1+IF(L$3&lt;=$O$2,$D233,$D233-($D233-$I$211)*MIN(L$3-$O$2,$Q$2)/$Q$2))</f>
        <v>2024.39798582722</v>
      </c>
      <c r="M233" s="15" t="n">
        <f aca="false">L233*(1+IF(M$3&lt;=$O$2,$D233,$D233-($D233-$I$211)*MIN(M$3-$O$2,$Q$2)/$Q$2))</f>
        <v>2060.75470839208</v>
      </c>
      <c r="N233" s="15" t="n">
        <f aca="false">M233*(1+IF(N$3&lt;=$O$2,$D233,$D233-($D233-$I$211)*MIN(N$3-$O$2,$Q$2)/$Q$2))</f>
        <v>2101.96980255992</v>
      </c>
      <c r="O233" s="15" t="n">
        <f aca="false">SUMPRODUCT(E233:N233,1/(1+$F$211)^$E$3:$N$3)*$E$2</f>
        <v>5216.14354621865</v>
      </c>
      <c r="P233" s="15" t="n">
        <f aca="false">N233*$E$2*(1+$I$211)/($F$211-$I$211)/(1+$F$211)^$N$3</f>
        <v>11346.4871945018</v>
      </c>
      <c r="Q233" s="15" t="n">
        <f aca="false">O233+P233</f>
        <v>16562.6307407205</v>
      </c>
      <c r="R233" s="15" t="n">
        <f aca="false">Q233-$G$2+$I$2</f>
        <v>15009.9307407205</v>
      </c>
      <c r="S233" s="40" t="n">
        <f aca="false">R233/$K$2</f>
        <v>54.5042693660644</v>
      </c>
      <c r="T233" s="41" t="n">
        <f aca="false">S233-$M$2</f>
        <v>-0.000251495259519174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0.0097963809967041</v>
      </c>
      <c r="C234" s="25" t="n">
        <f aca="false">IF(T233&gt;0,D233,C233)</f>
        <v>0.00979709625244141</v>
      </c>
      <c r="D234" s="39" t="n">
        <f aca="false">(B234+C234)/2</f>
        <v>0.00979673862457275</v>
      </c>
      <c r="E234" s="15" t="n">
        <f aca="false">$C$2*(1+IF(E$3&lt;=$O$2,$D234,$D234-($D234-$I$211)*MIN(E$3-$O$2,$Q$2)/$Q$2))</f>
        <v>1868.12396645546</v>
      </c>
      <c r="F234" s="15" t="n">
        <f aca="false">E234*(1+IF(F$3&lt;=$O$2,$D234,$D234-($D234-$I$211)*MIN(F$3-$O$2,$Q$2)/$Q$2))</f>
        <v>1886.42548867312</v>
      </c>
      <c r="G234" s="15" t="n">
        <f aca="false">F234*(1+IF(G$3&lt;=$O$2,$D234,$D234-($D234-$I$211)*MIN(G$3-$O$2,$Q$2)/$Q$2))</f>
        <v>1904.90630612039</v>
      </c>
      <c r="H234" s="15" t="n">
        <f aca="false">G234*(1+IF(H$3&lt;=$O$2,$D234,$D234-($D234-$I$211)*MIN(H$3-$O$2,$Q$2)/$Q$2))</f>
        <v>1923.56817530575</v>
      </c>
      <c r="I234" s="15" t="n">
        <f aca="false">H234*(1+IF(I$3&lt;=$O$2,$D234,$D234-($D234-$I$211)*MIN(I$3-$O$2,$Q$2)/$Q$2))</f>
        <v>1942.41286994577</v>
      </c>
      <c r="J234" s="15" t="n">
        <f aca="false">I234*(1+IF(J$3&lt;=$O$2,$D234,$D234-($D234-$I$211)*MIN(J$3-$O$2,$Q$2)/$Q$2))</f>
        <v>1965.40597037584</v>
      </c>
      <c r="K234" s="15" t="n">
        <f aca="false">J234*(1+IF(K$3&lt;=$O$2,$D234,$D234-($D234-$I$211)*MIN(K$3-$O$2,$Q$2)/$Q$2))</f>
        <v>1992.68195928862</v>
      </c>
      <c r="L234" s="15" t="n">
        <f aca="false">K234*(1+IF(L$3&lt;=$O$2,$D234,$D234-($D234-$I$211)*MIN(L$3-$O$2,$Q$2)/$Q$2))</f>
        <v>2024.4028565269</v>
      </c>
      <c r="M234" s="15" t="n">
        <f aca="false">L234*(1+IF(M$3&lt;=$O$2,$D234,$D234-($D234-$I$211)*MIN(M$3-$O$2,$Q$2)/$Q$2))</f>
        <v>2060.75981136258</v>
      </c>
      <c r="N234" s="15" t="n">
        <f aca="false">M234*(1+IF(N$3&lt;=$O$2,$D234,$D234-($D234-$I$211)*MIN(N$3-$O$2,$Q$2)/$Q$2))</f>
        <v>2101.97500758983</v>
      </c>
      <c r="O234" s="15" t="n">
        <f aca="false">SUMPRODUCT(E234:N234,1/(1+$F$211)^$E$3:$N$3)*$E$2</f>
        <v>5216.15192449663</v>
      </c>
      <c r="P234" s="15" t="n">
        <f aca="false">N234*$E$2*(1+$I$211)/($F$211-$I$211)/(1+$F$211)^$N$3</f>
        <v>11346.5152913875</v>
      </c>
      <c r="Q234" s="15" t="n">
        <f aca="false">O234+P234</f>
        <v>16562.6672158841</v>
      </c>
      <c r="R234" s="15" t="n">
        <f aca="false">Q234-$G$2+$I$2</f>
        <v>15009.9672158841</v>
      </c>
      <c r="S234" s="40" t="n">
        <f aca="false">R234/$K$2</f>
        <v>54.5044018151861</v>
      </c>
      <c r="T234" s="41" t="n">
        <f aca="false">S234-$M$2</f>
        <v>-0.000119046137825762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0.00979673862457275</v>
      </c>
      <c r="C235" s="25" t="n">
        <f aca="false">IF(T234&gt;0,D234,C234)</f>
        <v>0.00979709625244141</v>
      </c>
      <c r="D235" s="39" t="n">
        <f aca="false">(B235+C235)/2</f>
        <v>0.00979691743850708</v>
      </c>
      <c r="E235" s="15" t="n">
        <f aca="false">$C$2*(1+IF(E$3&lt;=$O$2,$D235,$D235-($D235-$I$211)*MIN(E$3-$O$2,$Q$2)/$Q$2))</f>
        <v>1868.12429726124</v>
      </c>
      <c r="F235" s="15" t="n">
        <f aca="false">E235*(1+IF(F$3&lt;=$O$2,$D235,$D235-($D235-$I$211)*MIN(F$3-$O$2,$Q$2)/$Q$2))</f>
        <v>1886.42615676638</v>
      </c>
      <c r="G235" s="15" t="n">
        <f aca="false">F235*(1+IF(G$3&lt;=$O$2,$D235,$D235-($D235-$I$211)*MIN(G$3-$O$2,$Q$2)/$Q$2))</f>
        <v>1904.90731807806</v>
      </c>
      <c r="H235" s="15" t="n">
        <f aca="false">G235*(1+IF(H$3&lt;=$O$2,$D235,$D235-($D235-$I$211)*MIN(H$3-$O$2,$Q$2)/$Q$2))</f>
        <v>1923.56953780127</v>
      </c>
      <c r="I235" s="15" t="n">
        <f aca="false">H235*(1+IF(I$3&lt;=$O$2,$D235,$D235-($D235-$I$211)*MIN(I$3-$O$2,$Q$2)/$Q$2))</f>
        <v>1942.41458975034</v>
      </c>
      <c r="J235" s="15" t="n">
        <f aca="false">I235*(1+IF(J$3&lt;=$O$2,$D235,$D235-($D235-$I$211)*MIN(J$3-$O$2,$Q$2)/$Q$2))</f>
        <v>1965.40798840305</v>
      </c>
      <c r="K235" s="15" t="n">
        <f aca="false">J235*(1+IF(K$3&lt;=$O$2,$D235,$D235-($D235-$I$211)*MIN(K$3-$O$2,$Q$2)/$Q$2))</f>
        <v>1992.6842161875</v>
      </c>
      <c r="L235" s="15" t="n">
        <f aca="false">K235*(1+IF(L$3&lt;=$O$2,$D235,$D235-($D235-$I$211)*MIN(L$3-$O$2,$Q$2)/$Q$2))</f>
        <v>2024.40529188055</v>
      </c>
      <c r="M235" s="15" t="n">
        <f aca="false">L235*(1+IF(M$3&lt;=$O$2,$D235,$D235-($D235-$I$211)*MIN(M$3-$O$2,$Q$2)/$Q$2))</f>
        <v>2060.76236285196</v>
      </c>
      <c r="N235" s="15" t="n">
        <f aca="false">M235*(1+IF(N$3&lt;=$O$2,$D235,$D235-($D235-$I$211)*MIN(N$3-$O$2,$Q$2)/$Q$2))</f>
        <v>2101.977610109</v>
      </c>
      <c r="O235" s="15" t="n">
        <f aca="false">SUMPRODUCT(E235:N235,1/(1+$F$211)^$E$3:$N$3)*$E$2</f>
        <v>5216.15611364071</v>
      </c>
      <c r="P235" s="15" t="n">
        <f aca="false">N235*$E$2*(1+$I$211)/($F$211-$I$211)/(1+$F$211)^$N$3</f>
        <v>11346.5293398531</v>
      </c>
      <c r="Q235" s="15" t="n">
        <f aca="false">O235+P235</f>
        <v>16562.6854534938</v>
      </c>
      <c r="R235" s="15" t="n">
        <f aca="false">Q235-$G$2+$I$2</f>
        <v>15009.9854534938</v>
      </c>
      <c r="S235" s="40" t="n">
        <f aca="false">R235/$K$2</f>
        <v>54.5044680398482</v>
      </c>
      <c r="T235" s="41" t="n">
        <f aca="false">S235-$M$2</f>
        <v>-5.28214757267165E-005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0.00979691743850708</v>
      </c>
      <c r="C236" s="25" t="n">
        <f aca="false">IF(T235&gt;0,D235,C235)</f>
        <v>0.00979709625244141</v>
      </c>
      <c r="D236" s="39" t="n">
        <f aca="false">(B236+C236)/2</f>
        <v>0.00979700684547424</v>
      </c>
      <c r="E236" s="15" t="n">
        <f aca="false">$C$2*(1+IF(E$3&lt;=$O$2,$D236,$D236-($D236-$I$211)*MIN(E$3-$O$2,$Q$2)/$Q$2))</f>
        <v>1868.12446266413</v>
      </c>
      <c r="F236" s="15" t="n">
        <f aca="false">E236*(1+IF(F$3&lt;=$O$2,$D236,$D236-($D236-$I$211)*MIN(F$3-$O$2,$Q$2)/$Q$2))</f>
        <v>1886.42649081305</v>
      </c>
      <c r="G236" s="15" t="n">
        <f aca="false">F236*(1+IF(G$3&lt;=$O$2,$D236,$D236-($D236-$I$211)*MIN(G$3-$O$2,$Q$2)/$Q$2))</f>
        <v>1904.90782405703</v>
      </c>
      <c r="H236" s="15" t="n">
        <f aca="false">G236*(1+IF(H$3&lt;=$O$2,$D236,$D236-($D236-$I$211)*MIN(H$3-$O$2,$Q$2)/$Q$2))</f>
        <v>1923.57021904931</v>
      </c>
      <c r="I236" s="15" t="n">
        <f aca="false">H236*(1+IF(I$3&lt;=$O$2,$D236,$D236-($D236-$I$211)*MIN(I$3-$O$2,$Q$2)/$Q$2))</f>
        <v>1942.41544965309</v>
      </c>
      <c r="J236" s="15" t="n">
        <f aca="false">I236*(1+IF(J$3&lt;=$O$2,$D236,$D236-($D236-$I$211)*MIN(J$3-$O$2,$Q$2)/$Q$2))</f>
        <v>1965.4089974173</v>
      </c>
      <c r="K236" s="15" t="n">
        <f aca="false">J236*(1+IF(K$3&lt;=$O$2,$D236,$D236-($D236-$I$211)*MIN(K$3-$O$2,$Q$2)/$Q$2))</f>
        <v>1992.68534463775</v>
      </c>
      <c r="L236" s="15" t="n">
        <f aca="false">K236*(1+IF(L$3&lt;=$O$2,$D236,$D236-($D236-$I$211)*MIN(L$3-$O$2,$Q$2)/$Q$2))</f>
        <v>2024.40650955832</v>
      </c>
      <c r="M236" s="15" t="n">
        <f aca="false">L236*(1+IF(M$3&lt;=$O$2,$D236,$D236-($D236-$I$211)*MIN(M$3-$O$2,$Q$2)/$Q$2))</f>
        <v>2060.76363859769</v>
      </c>
      <c r="N236" s="15" t="n">
        <f aca="false">M236*(1+IF(N$3&lt;=$O$2,$D236,$D236-($D236-$I$211)*MIN(N$3-$O$2,$Q$2)/$Q$2))</f>
        <v>2101.97891136964</v>
      </c>
      <c r="O236" s="15" t="n">
        <f aca="false">SUMPRODUCT(E236:N236,1/(1+$F$211)^$E$3:$N$3)*$E$2</f>
        <v>5216.15820821404</v>
      </c>
      <c r="P236" s="15" t="n">
        <f aca="false">N236*$E$2*(1+$I$211)/($F$211-$I$211)/(1+$F$211)^$N$3</f>
        <v>11346.5363640916</v>
      </c>
      <c r="Q236" s="15" t="n">
        <f aca="false">O236+P236</f>
        <v>16562.6945723056</v>
      </c>
      <c r="R236" s="15" t="n">
        <f aca="false">Q236-$G$2+$I$2</f>
        <v>15009.9945723056</v>
      </c>
      <c r="S236" s="40" t="n">
        <f aca="false">R236/$K$2</f>
        <v>54.5045011522046</v>
      </c>
      <c r="T236" s="41" t="n">
        <f aca="false">S236-$M$2</f>
        <v>-1.97091193570031E-005</v>
      </c>
    </row>
    <row r="238" customFormat="false" ht="15" hidden="false" customHeight="false" outlineLevel="0" collapsed="false">
      <c r="A238" s="36" t="s">
        <v>183</v>
      </c>
      <c r="E238" s="5" t="s">
        <v>11</v>
      </c>
      <c r="F238" s="12" t="n">
        <f aca="false">Sensitivity!$B$11</f>
        <v>0.0585093056415221</v>
      </c>
      <c r="G238" s="5" t="s">
        <v>12</v>
      </c>
      <c r="I238" s="12" t="n">
        <f aca="false">Sensitivity!$E$9</f>
        <v>0.025</v>
      </c>
    </row>
    <row r="239" customFormat="false" ht="23.85" hidden="false" customHeight="false" outlineLevel="0" collapsed="false">
      <c r="A239" s="36" t="s">
        <v>156</v>
      </c>
      <c r="B239" s="28" t="s">
        <v>157</v>
      </c>
      <c r="C239" s="28" t="s">
        <v>158</v>
      </c>
      <c r="D239" s="28" t="s">
        <v>159</v>
      </c>
      <c r="E239" s="28" t="s">
        <v>160</v>
      </c>
      <c r="F239" s="28" t="s">
        <v>161</v>
      </c>
      <c r="G239" s="28" t="s">
        <v>162</v>
      </c>
      <c r="H239" s="28" t="s">
        <v>163</v>
      </c>
      <c r="I239" s="28" t="s">
        <v>164</v>
      </c>
      <c r="J239" s="28" t="s">
        <v>165</v>
      </c>
      <c r="K239" s="28" t="s">
        <v>166</v>
      </c>
      <c r="L239" s="28" t="s">
        <v>167</v>
      </c>
      <c r="M239" s="28" t="s">
        <v>168</v>
      </c>
      <c r="N239" s="28" t="s">
        <v>169</v>
      </c>
      <c r="O239" s="28" t="s">
        <v>170</v>
      </c>
      <c r="P239" s="28" t="s">
        <v>171</v>
      </c>
      <c r="Q239" s="28" t="s">
        <v>172</v>
      </c>
      <c r="R239" s="28" t="s">
        <v>173</v>
      </c>
      <c r="S239" s="28" t="s">
        <v>174</v>
      </c>
      <c r="T239" s="28" t="s">
        <v>175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39" t="n">
        <f aca="false">(B240+C240)/2</f>
        <v>0.25</v>
      </c>
      <c r="E240" s="15" t="n">
        <f aca="false">$C$2*(1+IF(E$3&lt;=$O$2,$D240,$D240-($D240-$I$238)*MIN(E$3-$O$2,$Q$2)/$Q$2))</f>
        <v>2312.5</v>
      </c>
      <c r="F240" s="15" t="n">
        <f aca="false">E240*(1+IF(F$3&lt;=$O$2,$D240,$D240-($D240-$I$238)*MIN(F$3-$O$2,$Q$2)/$Q$2))</f>
        <v>2890.625</v>
      </c>
      <c r="G240" s="15" t="n">
        <f aca="false">F240*(1+IF(G$3&lt;=$O$2,$D240,$D240-($D240-$I$238)*MIN(G$3-$O$2,$Q$2)/$Q$2))</f>
        <v>3613.28125</v>
      </c>
      <c r="H240" s="15" t="n">
        <f aca="false">G240*(1+IF(H$3&lt;=$O$2,$D240,$D240-($D240-$I$238)*MIN(H$3-$O$2,$Q$2)/$Q$2))</f>
        <v>4516.6015625</v>
      </c>
      <c r="I240" s="15" t="n">
        <f aca="false">H240*(1+IF(I$3&lt;=$O$2,$D240,$D240-($D240-$I$238)*MIN(I$3-$O$2,$Q$2)/$Q$2))</f>
        <v>5645.751953125</v>
      </c>
      <c r="J240" s="15" t="n">
        <f aca="false">I240*(1+IF(J$3&lt;=$O$2,$D240,$D240-($D240-$I$238)*MIN(J$3-$O$2,$Q$2)/$Q$2))</f>
        <v>6803.13110351563</v>
      </c>
      <c r="K240" s="15" t="n">
        <f aca="false">J240*(1+IF(K$3&lt;=$O$2,$D240,$D240-($D240-$I$238)*MIN(K$3-$O$2,$Q$2)/$Q$2))</f>
        <v>7891.63208007812</v>
      </c>
      <c r="L240" s="15" t="n">
        <f aca="false">K240*(1+IF(L$3&lt;=$O$2,$D240,$D240-($D240-$I$238)*MIN(L$3-$O$2,$Q$2)/$Q$2))</f>
        <v>8799.16976928711</v>
      </c>
      <c r="M240" s="15" t="n">
        <f aca="false">L240*(1+IF(M$3&lt;=$O$2,$D240,$D240-($D240-$I$238)*MIN(M$3-$O$2,$Q$2)/$Q$2))</f>
        <v>9415.11165313721</v>
      </c>
      <c r="N240" s="15" t="n">
        <f aca="false">M240*(1+IF(N$3&lt;=$O$2,$D240,$D240-($D240-$I$238)*MIN(N$3-$O$2,$Q$2)/$Q$2))</f>
        <v>9650.48944446564</v>
      </c>
      <c r="O240" s="15" t="n">
        <f aca="false">SUMPRODUCT(E240:N240,1/(1+$F$238)^$E$3:$N$3)*$E$2</f>
        <v>15289.7548044375</v>
      </c>
      <c r="P240" s="15" t="n">
        <f aca="false">N240*$E$2*(1+$I$238)/($F$238-$I$238)/(1+$F$238)^$N$3</f>
        <v>60160.058189987</v>
      </c>
      <c r="Q240" s="15" t="n">
        <f aca="false">O240+P240</f>
        <v>75449.8129944245</v>
      </c>
      <c r="R240" s="15" t="n">
        <f aca="false">Q240-$G$2+$I$2</f>
        <v>73897.1129944246</v>
      </c>
      <c r="S240" s="40" t="n">
        <f aca="false">R240/$K$2</f>
        <v>268.336224969769</v>
      </c>
      <c r="T240" s="41" t="n">
        <f aca="false">S240-$M$2</f>
        <v>213.831704108445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39" t="n">
        <f aca="false">(B241+C241)/2</f>
        <v>-0.125</v>
      </c>
      <c r="E241" s="15" t="n">
        <f aca="false">$C$2*(1+IF(E$3&lt;=$O$2,$D241,$D241-($D241-$I$238)*MIN(E$3-$O$2,$Q$2)/$Q$2))</f>
        <v>1618.75</v>
      </c>
      <c r="F241" s="15" t="n">
        <f aca="false">E241*(1+IF(F$3&lt;=$O$2,$D241,$D241-($D241-$I$238)*MIN(F$3-$O$2,$Q$2)/$Q$2))</f>
        <v>1416.40625</v>
      </c>
      <c r="G241" s="15" t="n">
        <f aca="false">F241*(1+IF(G$3&lt;=$O$2,$D241,$D241-($D241-$I$238)*MIN(G$3-$O$2,$Q$2)/$Q$2))</f>
        <v>1239.35546875</v>
      </c>
      <c r="H241" s="15" t="n">
        <f aca="false">G241*(1+IF(H$3&lt;=$O$2,$D241,$D241-($D241-$I$238)*MIN(H$3-$O$2,$Q$2)/$Q$2))</f>
        <v>1084.43603515625</v>
      </c>
      <c r="I241" s="15" t="n">
        <f aca="false">H241*(1+IF(I$3&lt;=$O$2,$D241,$D241-($D241-$I$238)*MIN(I$3-$O$2,$Q$2)/$Q$2))</f>
        <v>948.881530761719</v>
      </c>
      <c r="J241" s="15" t="n">
        <f aca="false">I241*(1+IF(J$3&lt;=$O$2,$D241,$D241-($D241-$I$238)*MIN(J$3-$O$2,$Q$2)/$Q$2))</f>
        <v>858.737785339356</v>
      </c>
      <c r="K241" s="15" t="n">
        <f aca="false">J241*(1+IF(K$3&lt;=$O$2,$D241,$D241-($D241-$I$238)*MIN(K$3-$O$2,$Q$2)/$Q$2))</f>
        <v>802.919829292297</v>
      </c>
      <c r="L241" s="15" t="n">
        <f aca="false">K241*(1+IF(L$3&lt;=$O$2,$D241,$D241-($D241-$I$238)*MIN(L$3-$O$2,$Q$2)/$Q$2))</f>
        <v>774.817635267067</v>
      </c>
      <c r="M241" s="15" t="n">
        <f aca="false">L241*(1+IF(M$3&lt;=$O$2,$D241,$D241-($D241-$I$238)*MIN(M$3-$O$2,$Q$2)/$Q$2))</f>
        <v>770.943547090732</v>
      </c>
      <c r="N241" s="15" t="n">
        <f aca="false">M241*(1+IF(N$3&lt;=$O$2,$D241,$D241-($D241-$I$238)*MIN(N$3-$O$2,$Q$2)/$Q$2))</f>
        <v>790.217135768</v>
      </c>
      <c r="O241" s="15" t="n">
        <f aca="false">SUMPRODUCT(E241:N241,1/(1+$F$238)^$E$3:$N$3)*$E$2</f>
        <v>2867.22592842493</v>
      </c>
      <c r="P241" s="15" t="n">
        <f aca="false">N241*$E$2*(1+$I$238)/($F$238-$I$238)/(1+$F$238)^$N$3</f>
        <v>4926.12412500909</v>
      </c>
      <c r="Q241" s="15" t="n">
        <f aca="false">O241+P241</f>
        <v>7793.35005343402</v>
      </c>
      <c r="R241" s="15" t="n">
        <f aca="false">Q241-$G$2+$I$2</f>
        <v>6240.65005343402</v>
      </c>
      <c r="S241" s="40" t="n">
        <f aca="false">R241/$K$2</f>
        <v>22.6611353115001</v>
      </c>
      <c r="T241" s="41" t="n">
        <f aca="false">S241-$M$2</f>
        <v>-31.8433855498238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39" t="n">
        <f aca="false">(B242+C242)/2</f>
        <v>0.0625</v>
      </c>
      <c r="E242" s="15" t="n">
        <f aca="false">$C$2*(1+IF(E$3&lt;=$O$2,$D242,$D242-($D242-$I$238)*MIN(E$3-$O$2,$Q$2)/$Q$2))</f>
        <v>1965.625</v>
      </c>
      <c r="F242" s="15" t="n">
        <f aca="false">E242*(1+IF(F$3&lt;=$O$2,$D242,$D242-($D242-$I$238)*MIN(F$3-$O$2,$Q$2)/$Q$2))</f>
        <v>2088.4765625</v>
      </c>
      <c r="G242" s="15" t="n">
        <f aca="false">F242*(1+IF(G$3&lt;=$O$2,$D242,$D242-($D242-$I$238)*MIN(G$3-$O$2,$Q$2)/$Q$2))</f>
        <v>2219.00634765625</v>
      </c>
      <c r="H242" s="15" t="n">
        <f aca="false">G242*(1+IF(H$3&lt;=$O$2,$D242,$D242-($D242-$I$238)*MIN(H$3-$O$2,$Q$2)/$Q$2))</f>
        <v>2357.69424438477</v>
      </c>
      <c r="I242" s="15" t="n">
        <f aca="false">H242*(1+IF(I$3&lt;=$O$2,$D242,$D242-($D242-$I$238)*MIN(I$3-$O$2,$Q$2)/$Q$2))</f>
        <v>2505.05013465881</v>
      </c>
      <c r="J242" s="15" t="n">
        <f aca="false">I242*(1+IF(J$3&lt;=$O$2,$D242,$D242-($D242-$I$238)*MIN(J$3-$O$2,$Q$2)/$Q$2))</f>
        <v>2642.82789206505</v>
      </c>
      <c r="K242" s="15" t="n">
        <f aca="false">J242*(1+IF(K$3&lt;=$O$2,$D242,$D242-($D242-$I$238)*MIN(K$3-$O$2,$Q$2)/$Q$2))</f>
        <v>2768.36221693814</v>
      </c>
      <c r="L242" s="15" t="n">
        <f aca="false">K242*(1+IF(L$3&lt;=$O$2,$D242,$D242-($D242-$I$238)*MIN(L$3-$O$2,$Q$2)/$Q$2))</f>
        <v>2879.09670561566</v>
      </c>
      <c r="M242" s="15" t="n">
        <f aca="false">L242*(1+IF(M$3&lt;=$O$2,$D242,$D242-($D242-$I$238)*MIN(M$3-$O$2,$Q$2)/$Q$2))</f>
        <v>2972.66734854817</v>
      </c>
      <c r="N242" s="15" t="n">
        <f aca="false">M242*(1+IF(N$3&lt;=$O$2,$D242,$D242-($D242-$I$238)*MIN(N$3-$O$2,$Q$2)/$Q$2))</f>
        <v>3046.98403226188</v>
      </c>
      <c r="O242" s="15" t="n">
        <f aca="false">SUMPRODUCT(E242:N242,1/(1+$F$238)^$E$3:$N$3)*$E$2</f>
        <v>6631.59843694292</v>
      </c>
      <c r="P242" s="15" t="n">
        <f aca="false">N242*$E$2*(1+$I$238)/($F$238-$I$238)/(1+$F$238)^$N$3</f>
        <v>18994.5533581158</v>
      </c>
      <c r="Q242" s="15" t="n">
        <f aca="false">O242+P242</f>
        <v>25626.1517950587</v>
      </c>
      <c r="R242" s="15" t="n">
        <f aca="false">Q242-$G$2+$I$2</f>
        <v>24073.4517950587</v>
      </c>
      <c r="S242" s="40" t="n">
        <f aca="false">R242/$K$2</f>
        <v>87.4158531357665</v>
      </c>
      <c r="T242" s="41" t="n">
        <f aca="false">S242-$M$2</f>
        <v>32.9113322744425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39" t="n">
        <f aca="false">(B243+C243)/2</f>
        <v>-0.03125</v>
      </c>
      <c r="E243" s="15" t="n">
        <f aca="false">$C$2*(1+IF(E$3&lt;=$O$2,$D243,$D243-($D243-$I$238)*MIN(E$3-$O$2,$Q$2)/$Q$2))</f>
        <v>1792.1875</v>
      </c>
      <c r="F243" s="15" t="n">
        <f aca="false">E243*(1+IF(F$3&lt;=$O$2,$D243,$D243-($D243-$I$238)*MIN(F$3-$O$2,$Q$2)/$Q$2))</f>
        <v>1736.181640625</v>
      </c>
      <c r="G243" s="15" t="n">
        <f aca="false">F243*(1+IF(G$3&lt;=$O$2,$D243,$D243-($D243-$I$238)*MIN(G$3-$O$2,$Q$2)/$Q$2))</f>
        <v>1681.92596435547</v>
      </c>
      <c r="H243" s="15" t="n">
        <f aca="false">G243*(1+IF(H$3&lt;=$O$2,$D243,$D243-($D243-$I$238)*MIN(H$3-$O$2,$Q$2)/$Q$2))</f>
        <v>1629.36577796936</v>
      </c>
      <c r="I243" s="15" t="n">
        <f aca="false">H243*(1+IF(I$3&lt;=$O$2,$D243,$D243-($D243-$I$238)*MIN(I$3-$O$2,$Q$2)/$Q$2))</f>
        <v>1578.44809740782</v>
      </c>
      <c r="J243" s="15" t="n">
        <f aca="false">I243*(1+IF(J$3&lt;=$O$2,$D243,$D243-($D243-$I$238)*MIN(J$3-$O$2,$Q$2)/$Q$2))</f>
        <v>1546.87913545966</v>
      </c>
      <c r="K243" s="15" t="n">
        <f aca="false">J243*(1+IF(K$3&lt;=$O$2,$D243,$D243-($D243-$I$238)*MIN(K$3-$O$2,$Q$2)/$Q$2))</f>
        <v>1533.34394302439</v>
      </c>
      <c r="L243" s="15" t="n">
        <f aca="false">K243*(1+IF(L$3&lt;=$O$2,$D243,$D243-($D243-$I$238)*MIN(L$3-$O$2,$Q$2)/$Q$2))</f>
        <v>1537.17730288195</v>
      </c>
      <c r="M243" s="15" t="n">
        <f aca="false">L243*(1+IF(M$3&lt;=$O$2,$D243,$D243-($D243-$I$238)*MIN(M$3-$O$2,$Q$2)/$Q$2))</f>
        <v>1558.31349079658</v>
      </c>
      <c r="N243" s="15" t="n">
        <f aca="false">M243*(1+IF(N$3&lt;=$O$2,$D243,$D243-($D243-$I$238)*MIN(N$3-$O$2,$Q$2)/$Q$2))</f>
        <v>1597.27132806649</v>
      </c>
      <c r="O243" s="15" t="n">
        <f aca="false">SUMPRODUCT(E243:N243,1/(1+$F$238)^$E$3:$N$3)*$E$2</f>
        <v>4350.91105241256</v>
      </c>
      <c r="P243" s="15" t="n">
        <f aca="false">N243*$E$2*(1+$I$238)/($F$238-$I$238)/(1+$F$238)^$N$3</f>
        <v>9957.20855347755</v>
      </c>
      <c r="Q243" s="15" t="n">
        <f aca="false">O243+P243</f>
        <v>14308.1196058901</v>
      </c>
      <c r="R243" s="15" t="n">
        <f aca="false">Q243-$G$2+$I$2</f>
        <v>12755.4196058901</v>
      </c>
      <c r="S243" s="40" t="n">
        <f aca="false">R243/$K$2</f>
        <v>46.3176571621704</v>
      </c>
      <c r="T243" s="41" t="n">
        <f aca="false">S243-$M$2</f>
        <v>-8.18686369915356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-0.03125</v>
      </c>
      <c r="C244" s="25" t="n">
        <f aca="false">IF(T243&gt;0,D243,C243)</f>
        <v>0.0625</v>
      </c>
      <c r="D244" s="39" t="n">
        <f aca="false">(B244+C244)/2</f>
        <v>0.015625</v>
      </c>
      <c r="E244" s="15" t="n">
        <f aca="false">$C$2*(1+IF(E$3&lt;=$O$2,$D244,$D244-($D244-$I$238)*MIN(E$3-$O$2,$Q$2)/$Q$2))</f>
        <v>1878.90625</v>
      </c>
      <c r="F244" s="15" t="n">
        <f aca="false">E244*(1+IF(F$3&lt;=$O$2,$D244,$D244-($D244-$I$238)*MIN(F$3-$O$2,$Q$2)/$Q$2))</f>
        <v>1908.26416015625</v>
      </c>
      <c r="G244" s="15" t="n">
        <f aca="false">F244*(1+IF(G$3&lt;=$O$2,$D244,$D244-($D244-$I$238)*MIN(G$3-$O$2,$Q$2)/$Q$2))</f>
        <v>1938.08078765869</v>
      </c>
      <c r="H244" s="15" t="n">
        <f aca="false">G244*(1+IF(H$3&lt;=$O$2,$D244,$D244-($D244-$I$238)*MIN(H$3-$O$2,$Q$2)/$Q$2))</f>
        <v>1968.36329996586</v>
      </c>
      <c r="I244" s="15" t="n">
        <f aca="false">H244*(1+IF(I$3&lt;=$O$2,$D244,$D244-($D244-$I$238)*MIN(I$3-$O$2,$Q$2)/$Q$2))</f>
        <v>1999.11897652783</v>
      </c>
      <c r="J244" s="15" t="n">
        <f aca="false">I244*(1+IF(J$3&lt;=$O$2,$D244,$D244-($D244-$I$238)*MIN(J$3-$O$2,$Q$2)/$Q$2))</f>
        <v>2034.10355861706</v>
      </c>
      <c r="K244" s="15" t="n">
        <f aca="false">J244*(1+IF(K$3&lt;=$O$2,$D244,$D244-($D244-$I$238)*MIN(K$3-$O$2,$Q$2)/$Q$2))</f>
        <v>2073.51431506527</v>
      </c>
      <c r="L244" s="15" t="n">
        <f aca="false">K244*(1+IF(L$3&lt;=$O$2,$D244,$D244-($D244-$I$238)*MIN(L$3-$O$2,$Q$2)/$Q$2))</f>
        <v>2117.5764942604</v>
      </c>
      <c r="M244" s="15" t="n">
        <f aca="false">L244*(1+IF(M$3&lt;=$O$2,$D244,$D244-($D244-$I$238)*MIN(M$3-$O$2,$Q$2)/$Q$2))</f>
        <v>2166.54545069018</v>
      </c>
      <c r="N244" s="15" t="n">
        <f aca="false">M244*(1+IF(N$3&lt;=$O$2,$D244,$D244-($D244-$I$238)*MIN(N$3-$O$2,$Q$2)/$Q$2))</f>
        <v>2220.70908695743</v>
      </c>
      <c r="O244" s="15" t="n">
        <f aca="false">SUMPRODUCT(E244:N244,1/(1+$F$238)^$E$3:$N$3)*$E$2</f>
        <v>5370.50347439395</v>
      </c>
      <c r="P244" s="15" t="n">
        <f aca="false">N244*$E$2*(1+$I$238)/($F$238-$I$238)/(1+$F$238)^$N$3</f>
        <v>13843.6489323355</v>
      </c>
      <c r="Q244" s="15" t="n">
        <f aca="false">O244+P244</f>
        <v>19214.1524067295</v>
      </c>
      <c r="R244" s="15" t="n">
        <f aca="false">Q244-$G$2+$I$2</f>
        <v>17661.4524067295</v>
      </c>
      <c r="S244" s="40" t="n">
        <f aca="false">R244/$K$2</f>
        <v>64.1325117351011</v>
      </c>
      <c r="T244" s="41" t="n">
        <f aca="false">S244-$M$2</f>
        <v>9.62799087377711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-0.03125</v>
      </c>
      <c r="C245" s="25" t="n">
        <f aca="false">IF(T244&gt;0,D244,C244)</f>
        <v>0.015625</v>
      </c>
      <c r="D245" s="39" t="n">
        <f aca="false">(B245+C245)/2</f>
        <v>-0.0078125</v>
      </c>
      <c r="E245" s="15" t="n">
        <f aca="false">$C$2*(1+IF(E$3&lt;=$O$2,$D245,$D245-($D245-$I$238)*MIN(E$3-$O$2,$Q$2)/$Q$2))</f>
        <v>1835.546875</v>
      </c>
      <c r="F245" s="15" t="n">
        <f aca="false">E245*(1+IF(F$3&lt;=$O$2,$D245,$D245-($D245-$I$238)*MIN(F$3-$O$2,$Q$2)/$Q$2))</f>
        <v>1821.20666503906</v>
      </c>
      <c r="G245" s="15" t="n">
        <f aca="false">F245*(1+IF(G$3&lt;=$O$2,$D245,$D245-($D245-$I$238)*MIN(G$3-$O$2,$Q$2)/$Q$2))</f>
        <v>1806.97848796844</v>
      </c>
      <c r="H245" s="15" t="n">
        <f aca="false">G245*(1+IF(H$3&lt;=$O$2,$D245,$D245-($D245-$I$238)*MIN(H$3-$O$2,$Q$2)/$Q$2))</f>
        <v>1792.86146853119</v>
      </c>
      <c r="I245" s="15" t="n">
        <f aca="false">H245*(1+IF(I$3&lt;=$O$2,$D245,$D245-($D245-$I$238)*MIN(I$3-$O$2,$Q$2)/$Q$2))</f>
        <v>1778.85473830829</v>
      </c>
      <c r="J245" s="15" t="n">
        <f aca="false">I245*(1+IF(J$3&lt;=$O$2,$D245,$D245-($D245-$I$238)*MIN(J$3-$O$2,$Q$2)/$Q$2))</f>
        <v>1776.63116988541</v>
      </c>
      <c r="K245" s="15" t="n">
        <f aca="false">J245*(1+IF(K$3&lt;=$O$2,$D245,$D245-($D245-$I$238)*MIN(K$3-$O$2,$Q$2)/$Q$2))</f>
        <v>1786.06952297542</v>
      </c>
      <c r="L245" s="15" t="n">
        <f aca="false">K245*(1+IF(L$3&lt;=$O$2,$D245,$D245-($D245-$I$238)*MIN(L$3-$O$2,$Q$2)/$Q$2))</f>
        <v>1807.27909856076</v>
      </c>
      <c r="M245" s="15" t="n">
        <f aca="false">L245*(1+IF(M$3&lt;=$O$2,$D245,$D245-($D245-$I$238)*MIN(M$3-$O$2,$Q$2)/$Q$2))</f>
        <v>1840.60080694047</v>
      </c>
      <c r="N245" s="15" t="n">
        <f aca="false">M245*(1+IF(N$3&lt;=$O$2,$D245,$D245-($D245-$I$238)*MIN(N$3-$O$2,$Q$2)/$Q$2))</f>
        <v>1886.61582711398</v>
      </c>
      <c r="O245" s="15" t="n">
        <f aca="false">SUMPRODUCT(E245:N245,1/(1+$F$238)^$E$3:$N$3)*$E$2</f>
        <v>4833.45331620514</v>
      </c>
      <c r="P245" s="15" t="n">
        <f aca="false">N245*$E$2*(1+$I$238)/($F$238-$I$238)/(1+$F$238)^$N$3</f>
        <v>11760.9493896102</v>
      </c>
      <c r="Q245" s="15" t="n">
        <f aca="false">O245+P245</f>
        <v>16594.4027058153</v>
      </c>
      <c r="R245" s="15" t="n">
        <f aca="false">Q245-$G$2+$I$2</f>
        <v>15041.7027058153</v>
      </c>
      <c r="S245" s="40" t="n">
        <f aca="false">R245/$K$2</f>
        <v>54.6196401678178</v>
      </c>
      <c r="T245" s="41" t="n">
        <f aca="false">S245-$M$2</f>
        <v>0.11511930649381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-0.03125</v>
      </c>
      <c r="C246" s="25" t="n">
        <f aca="false">IF(T245&gt;0,D245,C245)</f>
        <v>-0.0078125</v>
      </c>
      <c r="D246" s="39" t="n">
        <f aca="false">(B246+C246)/2</f>
        <v>-0.01953125</v>
      </c>
      <c r="E246" s="15" t="n">
        <f aca="false">$C$2*(1+IF(E$3&lt;=$O$2,$D246,$D246-($D246-$I$238)*MIN(E$3-$O$2,$Q$2)/$Q$2))</f>
        <v>1813.8671875</v>
      </c>
      <c r="F246" s="15" t="n">
        <f aca="false">E246*(1+IF(F$3&lt;=$O$2,$D246,$D246-($D246-$I$238)*MIN(F$3-$O$2,$Q$2)/$Q$2))</f>
        <v>1778.44009399414</v>
      </c>
      <c r="G246" s="15" t="n">
        <f aca="false">F246*(1+IF(G$3&lt;=$O$2,$D246,$D246-($D246-$I$238)*MIN(G$3-$O$2,$Q$2)/$Q$2))</f>
        <v>1743.70493590832</v>
      </c>
      <c r="H246" s="15" t="n">
        <f aca="false">G246*(1+IF(H$3&lt;=$O$2,$D246,$D246-($D246-$I$238)*MIN(H$3-$O$2,$Q$2)/$Q$2))</f>
        <v>1709.64819887886</v>
      </c>
      <c r="I246" s="15" t="n">
        <f aca="false">H246*(1+IF(I$3&lt;=$O$2,$D246,$D246-($D246-$I$238)*MIN(I$3-$O$2,$Q$2)/$Q$2))</f>
        <v>1676.25663249451</v>
      </c>
      <c r="J246" s="15" t="n">
        <f aca="false">I246*(1+IF(J$3&lt;=$O$2,$D246,$D246-($D246-$I$238)*MIN(J$3-$O$2,$Q$2)/$Q$2))</f>
        <v>1658.44640577425</v>
      </c>
      <c r="K246" s="15" t="n">
        <f aca="false">J246*(1+IF(K$3&lt;=$O$2,$D246,$D246-($D246-$I$238)*MIN(K$3-$O$2,$Q$2)/$Q$2))</f>
        <v>1655.59595101433</v>
      </c>
      <c r="L246" s="15" t="n">
        <f aca="false">K246*(1+IF(L$3&lt;=$O$2,$D246,$D246-($D246-$I$238)*MIN(L$3-$O$2,$Q$2)/$Q$2))</f>
        <v>1667.49554691224</v>
      </c>
      <c r="M246" s="15" t="n">
        <f aca="false">L246*(1+IF(M$3&lt;=$O$2,$D246,$D246-($D246-$I$238)*MIN(M$3-$O$2,$Q$2)/$Q$2))</f>
        <v>1694.33180337036</v>
      </c>
      <c r="N246" s="15" t="n">
        <f aca="false">M246*(1+IF(N$3&lt;=$O$2,$D246,$D246-($D246-$I$238)*MIN(N$3-$O$2,$Q$2)/$Q$2))</f>
        <v>1736.69009845462</v>
      </c>
      <c r="O246" s="15" t="n">
        <f aca="false">SUMPRODUCT(E246:N246,1/(1+$F$238)^$E$3:$N$3)*$E$2</f>
        <v>4585.70810577769</v>
      </c>
      <c r="P246" s="15" t="n">
        <f aca="false">N246*$E$2*(1+$I$238)/($F$238-$I$238)/(1+$F$238)^$N$3</f>
        <v>10826.3293776173</v>
      </c>
      <c r="Q246" s="15" t="n">
        <f aca="false">O246+P246</f>
        <v>15412.037483395</v>
      </c>
      <c r="R246" s="15" t="n">
        <f aca="false">Q246-$G$2+$I$2</f>
        <v>13859.337483395</v>
      </c>
      <c r="S246" s="40" t="n">
        <f aca="false">R246/$K$2</f>
        <v>50.3262191197757</v>
      </c>
      <c r="T246" s="41" t="n">
        <f aca="false">S246-$M$2</f>
        <v>-4.17830174154828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-0.01953125</v>
      </c>
      <c r="C247" s="25" t="n">
        <f aca="false">IF(T246&gt;0,D246,C246)</f>
        <v>-0.0078125</v>
      </c>
      <c r="D247" s="39" t="n">
        <f aca="false">(B247+C247)/2</f>
        <v>-0.013671875</v>
      </c>
      <c r="E247" s="15" t="n">
        <f aca="false">$C$2*(1+IF(E$3&lt;=$O$2,$D247,$D247-($D247-$I$238)*MIN(E$3-$O$2,$Q$2)/$Q$2))</f>
        <v>1824.70703125</v>
      </c>
      <c r="F247" s="15" t="n">
        <f aca="false">E247*(1+IF(F$3&lt;=$O$2,$D247,$D247-($D247-$I$238)*MIN(F$3-$O$2,$Q$2)/$Q$2))</f>
        <v>1799.75986480713</v>
      </c>
      <c r="G247" s="15" t="n">
        <f aca="false">F247*(1+IF(G$3&lt;=$O$2,$D247,$D247-($D247-$I$238)*MIN(G$3-$O$2,$Q$2)/$Q$2))</f>
        <v>1775.15377290547</v>
      </c>
      <c r="H247" s="15" t="n">
        <f aca="false">G247*(1+IF(H$3&lt;=$O$2,$D247,$D247-($D247-$I$238)*MIN(H$3-$O$2,$Q$2)/$Q$2))</f>
        <v>1750.88409241653</v>
      </c>
      <c r="I247" s="15" t="n">
        <f aca="false">H247*(1+IF(I$3&lt;=$O$2,$D247,$D247-($D247-$I$238)*MIN(I$3-$O$2,$Q$2)/$Q$2))</f>
        <v>1726.94622396552</v>
      </c>
      <c r="J247" s="15" t="n">
        <f aca="false">I247*(1+IF(J$3&lt;=$O$2,$D247,$D247-($D247-$I$238)*MIN(J$3-$O$2,$Q$2)/$Q$2))</f>
        <v>1716.69248076072</v>
      </c>
      <c r="K247" s="15" t="n">
        <f aca="false">J247*(1+IF(K$3&lt;=$O$2,$D247,$D247-($D247-$I$238)*MIN(K$3-$O$2,$Q$2)/$Q$2))</f>
        <v>1719.77716256209</v>
      </c>
      <c r="L247" s="15" t="n">
        <f aca="false">K247*(1+IF(L$3&lt;=$O$2,$D247,$D247-($D247-$I$238)*MIN(L$3-$O$2,$Q$2)/$Q$2))</f>
        <v>1736.16878864276</v>
      </c>
      <c r="M247" s="15" t="n">
        <f aca="false">L247*(1+IF(M$3&lt;=$O$2,$D247,$D247-($D247-$I$238)*MIN(M$3-$O$2,$Q$2)/$Q$2))</f>
        <v>1766.14482788417</v>
      </c>
      <c r="N247" s="15" t="n">
        <f aca="false">M247*(1+IF(N$3&lt;=$O$2,$D247,$D247-($D247-$I$238)*MIN(N$3-$O$2,$Q$2)/$Q$2))</f>
        <v>1810.29844858128</v>
      </c>
      <c r="O247" s="15" t="n">
        <f aca="false">SUMPRODUCT(E247:N247,1/(1+$F$238)^$E$3:$N$3)*$E$2</f>
        <v>4707.92092870462</v>
      </c>
      <c r="P247" s="15" t="n">
        <f aca="false">N247*$E$2*(1+$I$238)/($F$238-$I$238)/(1+$F$238)^$N$3</f>
        <v>11285.1954954833</v>
      </c>
      <c r="Q247" s="15" t="n">
        <f aca="false">O247+P247</f>
        <v>15993.1164241879</v>
      </c>
      <c r="R247" s="15" t="n">
        <f aca="false">Q247-$G$2+$I$2</f>
        <v>14440.4164241879</v>
      </c>
      <c r="S247" s="40" t="n">
        <f aca="false">R247/$K$2</f>
        <v>52.4362410551869</v>
      </c>
      <c r="T247" s="41" t="n">
        <f aca="false">S247-$M$2</f>
        <v>-2.06827980613703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-0.013671875</v>
      </c>
      <c r="C248" s="25" t="n">
        <f aca="false">IF(T247&gt;0,D247,C247)</f>
        <v>-0.0078125</v>
      </c>
      <c r="D248" s="39" t="n">
        <f aca="false">(B248+C248)/2</f>
        <v>-0.0107421875</v>
      </c>
      <c r="E248" s="15" t="n">
        <f aca="false">$C$2*(1+IF(E$3&lt;=$O$2,$D248,$D248-($D248-$I$238)*MIN(E$3-$O$2,$Q$2)/$Q$2))</f>
        <v>1830.126953125</v>
      </c>
      <c r="F248" s="15" t="n">
        <f aca="false">E248*(1+IF(F$3&lt;=$O$2,$D248,$D248-($D248-$I$238)*MIN(F$3-$O$2,$Q$2)/$Q$2))</f>
        <v>1810.46738624573</v>
      </c>
      <c r="G248" s="15" t="n">
        <f aca="false">F248*(1+IF(G$3&lt;=$O$2,$D248,$D248-($D248-$I$238)*MIN(G$3-$O$2,$Q$2)/$Q$2))</f>
        <v>1791.01900612004</v>
      </c>
      <c r="H248" s="15" t="n">
        <f aca="false">G248*(1+IF(H$3&lt;=$O$2,$D248,$D248-($D248-$I$238)*MIN(H$3-$O$2,$Q$2)/$Q$2))</f>
        <v>1771.77954414024</v>
      </c>
      <c r="I248" s="15" t="n">
        <f aca="false">H248*(1+IF(I$3&lt;=$O$2,$D248,$D248-($D248-$I$238)*MIN(I$3-$O$2,$Q$2)/$Q$2))</f>
        <v>1752.74675606842</v>
      </c>
      <c r="J248" s="15" t="n">
        <f aca="false">I248*(1+IF(J$3&lt;=$O$2,$D248,$D248-($D248-$I$238)*MIN(J$3-$O$2,$Q$2)/$Q$2))</f>
        <v>1746.4478224138</v>
      </c>
      <c r="K248" s="15" t="n">
        <f aca="false">J248*(1+IF(K$3&lt;=$O$2,$D248,$D248-($D248-$I$238)*MIN(K$3-$O$2,$Q$2)/$Q$2))</f>
        <v>1752.65589865753</v>
      </c>
      <c r="L248" s="15" t="n">
        <f aca="false">K248*(1+IF(L$3&lt;=$O$2,$D248,$D248-($D248-$I$238)*MIN(L$3-$O$2,$Q$2)/$Q$2))</f>
        <v>1771.41479382285</v>
      </c>
      <c r="M248" s="15" t="n">
        <f aca="false">L248*(1+IF(M$3&lt;=$O$2,$D248,$D248-($D248-$I$238)*MIN(M$3-$O$2,$Q$2)/$Q$2))</f>
        <v>1803.03731572821</v>
      </c>
      <c r="N248" s="15" t="n">
        <f aca="false">M248*(1+IF(N$3&lt;=$O$2,$D248,$D248-($D248-$I$238)*MIN(N$3-$O$2,$Q$2)/$Q$2))</f>
        <v>1848.11324862141</v>
      </c>
      <c r="O248" s="15" t="n">
        <f aca="false">SUMPRODUCT(E248:N248,1/(1+$F$238)^$E$3:$N$3)*$E$2</f>
        <v>4770.26691891756</v>
      </c>
      <c r="P248" s="15" t="n">
        <f aca="false">N248*$E$2*(1+$I$238)/($F$238-$I$238)/(1+$F$238)^$N$3</f>
        <v>11520.9286760591</v>
      </c>
      <c r="Q248" s="15" t="n">
        <f aca="false">O248+P248</f>
        <v>16291.1955949767</v>
      </c>
      <c r="R248" s="15" t="n">
        <f aca="false">Q248-$G$2+$I$2</f>
        <v>14738.4955949767</v>
      </c>
      <c r="S248" s="40" t="n">
        <f aca="false">R248/$K$2</f>
        <v>53.5186302878706</v>
      </c>
      <c r="T248" s="41" t="n">
        <f aca="false">S248-$M$2</f>
        <v>-0.985890573453354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-0.0107421875</v>
      </c>
      <c r="C249" s="25" t="n">
        <f aca="false">IF(T248&gt;0,D248,C248)</f>
        <v>-0.0078125</v>
      </c>
      <c r="D249" s="39" t="n">
        <f aca="false">(B249+C249)/2</f>
        <v>-0.00927734375</v>
      </c>
      <c r="E249" s="15" t="n">
        <f aca="false">$C$2*(1+IF(E$3&lt;=$O$2,$D249,$D249-($D249-$I$238)*MIN(E$3-$O$2,$Q$2)/$Q$2))</f>
        <v>1832.8369140625</v>
      </c>
      <c r="F249" s="15" t="n">
        <f aca="false">E249*(1+IF(F$3&lt;=$O$2,$D249,$D249-($D249-$I$238)*MIN(F$3-$O$2,$Q$2)/$Q$2))</f>
        <v>1815.83305597305</v>
      </c>
      <c r="G249" s="15" t="n">
        <f aca="false">F249*(1+IF(G$3&lt;=$O$2,$D249,$D249-($D249-$I$238)*MIN(G$3-$O$2,$Q$2)/$Q$2))</f>
        <v>1798.98694852018</v>
      </c>
      <c r="H249" s="15" t="n">
        <f aca="false">G249*(1+IF(H$3&lt;=$O$2,$D249,$D249-($D249-$I$238)*MIN(H$3-$O$2,$Q$2)/$Q$2))</f>
        <v>1782.29712819699</v>
      </c>
      <c r="I249" s="15" t="n">
        <f aca="false">H249*(1+IF(I$3&lt;=$O$2,$D249,$D249-($D249-$I$238)*MIN(I$3-$O$2,$Q$2)/$Q$2))</f>
        <v>1765.76214507407</v>
      </c>
      <c r="J249" s="15" t="n">
        <f aca="false">I249*(1+IF(J$3&lt;=$O$2,$D249,$D249-($D249-$I$238)*MIN(J$3-$O$2,$Q$2)/$Q$2))</f>
        <v>1761.48568987897</v>
      </c>
      <c r="K249" s="15" t="n">
        <f aca="false">J249*(1+IF(K$3&lt;=$O$2,$D249,$D249-($D249-$I$238)*MIN(K$3-$O$2,$Q$2)/$Q$2))</f>
        <v>1769.29540182433</v>
      </c>
      <c r="L249" s="15" t="n">
        <f aca="false">K249*(1+IF(L$3&lt;=$O$2,$D249,$D249-($D249-$I$238)*MIN(L$3-$O$2,$Q$2)/$Q$2))</f>
        <v>1789.26908819649</v>
      </c>
      <c r="M249" s="15" t="n">
        <f aca="false">L249*(1+IF(M$3&lt;=$O$2,$D249,$D249-($D249-$I$238)*MIN(M$3-$O$2,$Q$2)/$Q$2))</f>
        <v>1821.73453708193</v>
      </c>
      <c r="N249" s="15" t="n">
        <f aca="false">M249*(1+IF(N$3&lt;=$O$2,$D249,$D249-($D249-$I$238)*MIN(N$3-$O$2,$Q$2)/$Q$2))</f>
        <v>1867.27790050898</v>
      </c>
      <c r="O249" s="15" t="n">
        <f aca="false">SUMPRODUCT(E249:N249,1/(1+$F$238)^$E$3:$N$3)*$E$2</f>
        <v>4801.75440308726</v>
      </c>
      <c r="P249" s="15" t="n">
        <f aca="false">N249*$E$2*(1+$I$238)/($F$238-$I$238)/(1+$F$238)^$N$3</f>
        <v>11640.3989453529</v>
      </c>
      <c r="Q249" s="15" t="n">
        <f aca="false">O249+P249</f>
        <v>16442.1533484401</v>
      </c>
      <c r="R249" s="15" t="n">
        <f aca="false">Q249-$G$2+$I$2</f>
        <v>14889.4533484401</v>
      </c>
      <c r="S249" s="40" t="n">
        <f aca="false">R249/$K$2</f>
        <v>54.0667901827958</v>
      </c>
      <c r="T249" s="41" t="n">
        <f aca="false">S249-$M$2</f>
        <v>-0.437730678528105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-0.00927734375</v>
      </c>
      <c r="C250" s="25" t="n">
        <f aca="false">IF(T249&gt;0,D249,C249)</f>
        <v>-0.0078125</v>
      </c>
      <c r="D250" s="39" t="n">
        <f aca="false">(B250+C250)/2</f>
        <v>-0.008544921875</v>
      </c>
      <c r="E250" s="15" t="n">
        <f aca="false">$C$2*(1+IF(E$3&lt;=$O$2,$D250,$D250-($D250-$I$238)*MIN(E$3-$O$2,$Q$2)/$Q$2))</f>
        <v>1834.19189453125</v>
      </c>
      <c r="F250" s="15" t="n">
        <f aca="false">E250*(1+IF(F$3&lt;=$O$2,$D250,$D250-($D250-$I$238)*MIN(F$3-$O$2,$Q$2)/$Q$2))</f>
        <v>1818.51886808872</v>
      </c>
      <c r="G250" s="15" t="n">
        <f aca="false">F250*(1+IF(G$3&lt;=$O$2,$D250,$D250-($D250-$I$238)*MIN(G$3-$O$2,$Q$2)/$Q$2))</f>
        <v>1802.97976643269</v>
      </c>
      <c r="H250" s="15" t="n">
        <f aca="false">G250*(1+IF(H$3&lt;=$O$2,$D250,$D250-($D250-$I$238)*MIN(H$3-$O$2,$Q$2)/$Q$2))</f>
        <v>1787.57344518632</v>
      </c>
      <c r="I250" s="15" t="n">
        <f aca="false">H250*(1+IF(I$3&lt;=$O$2,$D250,$D250-($D250-$I$238)*MIN(I$3-$O$2,$Q$2)/$Q$2))</f>
        <v>1772.29876975138</v>
      </c>
      <c r="J250" s="15" t="n">
        <f aca="false">I250*(1+IF(J$3&lt;=$O$2,$D250,$D250-($D250-$I$238)*MIN(J$3-$O$2,$Q$2)/$Q$2))</f>
        <v>1769.04493997879</v>
      </c>
      <c r="K250" s="15" t="n">
        <f aca="false">J250*(1+IF(K$3&lt;=$O$2,$D250,$D250-($D250-$I$238)*MIN(K$3-$O$2,$Q$2)/$Q$2))</f>
        <v>1777.66557889528</v>
      </c>
      <c r="L250" s="15" t="n">
        <f aca="false">K250*(1+IF(L$3&lt;=$O$2,$D250,$D250-($D250-$I$238)*MIN(L$3-$O$2,$Q$2)/$Q$2))</f>
        <v>1798.2545571821</v>
      </c>
      <c r="M250" s="15" t="n">
        <f aca="false">L250*(1+IF(M$3&lt;=$O$2,$D250,$D250-($D250-$I$238)*MIN(M$3-$O$2,$Q$2)/$Q$2))</f>
        <v>1831.14645938524</v>
      </c>
      <c r="N250" s="15" t="n">
        <f aca="false">M250*(1+IF(N$3&lt;=$O$2,$D250,$D250-($D250-$I$238)*MIN(N$3-$O$2,$Q$2)/$Q$2))</f>
        <v>1876.92512086987</v>
      </c>
      <c r="O250" s="15" t="n">
        <f aca="false">SUMPRODUCT(E250:N250,1/(1+$F$238)^$E$3:$N$3)*$E$2</f>
        <v>4817.57734767976</v>
      </c>
      <c r="P250" s="15" t="n">
        <f aca="false">N250*$E$2*(1+$I$238)/($F$238-$I$238)/(1+$F$238)^$N$3</f>
        <v>11700.5386244462</v>
      </c>
      <c r="Q250" s="15" t="n">
        <f aca="false">O250+P250</f>
        <v>16518.1159721259</v>
      </c>
      <c r="R250" s="15" t="n">
        <f aca="false">Q250-$G$2+$I$2</f>
        <v>14965.4159721259</v>
      </c>
      <c r="S250" s="40" t="n">
        <f aca="false">R250/$K$2</f>
        <v>54.3426267189292</v>
      </c>
      <c r="T250" s="41" t="n">
        <f aca="false">S250-$M$2</f>
        <v>-0.16189414239475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-0.008544921875</v>
      </c>
      <c r="C251" s="25" t="n">
        <f aca="false">IF(T250&gt;0,D250,C250)</f>
        <v>-0.0078125</v>
      </c>
      <c r="D251" s="39" t="n">
        <f aca="false">(B251+C251)/2</f>
        <v>-0.0081787109375</v>
      </c>
      <c r="E251" s="15" t="n">
        <f aca="false">$C$2*(1+IF(E$3&lt;=$O$2,$D251,$D251-($D251-$I$238)*MIN(E$3-$O$2,$Q$2)/$Q$2))</f>
        <v>1834.86938476563</v>
      </c>
      <c r="F251" s="15" t="n">
        <f aca="false">E251*(1+IF(F$3&lt;=$O$2,$D251,$D251-($D251-$I$238)*MIN(F$3-$O$2,$Q$2)/$Q$2))</f>
        <v>1819.86251845956</v>
      </c>
      <c r="G251" s="15" t="n">
        <f aca="false">F251*(1+IF(G$3&lt;=$O$2,$D251,$D251-($D251-$I$238)*MIN(G$3-$O$2,$Q$2)/$Q$2))</f>
        <v>1804.97838897509</v>
      </c>
      <c r="H251" s="15" t="n">
        <f aca="false">G251*(1+IF(H$3&lt;=$O$2,$D251,$D251-($D251-$I$238)*MIN(H$3-$O$2,$Q$2)/$Q$2))</f>
        <v>1790.21599248323</v>
      </c>
      <c r="I251" s="15" t="n">
        <f aca="false">H251*(1+IF(I$3&lt;=$O$2,$D251,$D251-($D251-$I$238)*MIN(I$3-$O$2,$Q$2)/$Q$2))</f>
        <v>1775.57433336502</v>
      </c>
      <c r="J251" s="15" t="n">
        <f aca="false">I251*(1+IF(J$3&lt;=$O$2,$D251,$D251-($D251-$I$238)*MIN(J$3-$O$2,$Q$2)/$Q$2))</f>
        <v>1772.83467765533</v>
      </c>
      <c r="K251" s="15" t="n">
        <f aca="false">J251*(1+IF(K$3&lt;=$O$2,$D251,$D251-($D251-$I$238)*MIN(K$3-$O$2,$Q$2)/$Q$2))</f>
        <v>1781.86332301077</v>
      </c>
      <c r="L251" s="15" t="n">
        <f aca="false">K251*(1+IF(L$3&lt;=$O$2,$D251,$D251-($D251-$I$238)*MIN(L$3-$O$2,$Q$2)/$Q$2))</f>
        <v>1802.76193483632</v>
      </c>
      <c r="M251" s="15" t="n">
        <f aca="false">L251*(1+IF(M$3&lt;=$O$2,$D251,$D251-($D251-$I$238)*MIN(M$3-$O$2,$Q$2)/$Q$2))</f>
        <v>1835.86831978221</v>
      </c>
      <c r="N251" s="15" t="n">
        <f aca="false">M251*(1+IF(N$3&lt;=$O$2,$D251,$D251-($D251-$I$238)*MIN(N$3-$O$2,$Q$2)/$Q$2))</f>
        <v>1881.76502777677</v>
      </c>
      <c r="O251" s="15" t="n">
        <f aca="false">SUMPRODUCT(E251:N251,1/(1+$F$238)^$E$3:$N$3)*$E$2</f>
        <v>4825.50869350731</v>
      </c>
      <c r="P251" s="15" t="n">
        <f aca="false">N251*$E$2*(1+$I$238)/($F$238-$I$238)/(1+$F$238)^$N$3</f>
        <v>11730.7100559397</v>
      </c>
      <c r="Q251" s="15" t="n">
        <f aca="false">O251+P251</f>
        <v>16556.218749447</v>
      </c>
      <c r="R251" s="15" t="n">
        <f aca="false">Q251-$G$2+$I$2</f>
        <v>15003.518749447</v>
      </c>
      <c r="S251" s="40" t="n">
        <f aca="false">R251/$K$2</f>
        <v>54.4809860541306</v>
      </c>
      <c r="T251" s="41" t="n">
        <f aca="false">S251-$M$2</f>
        <v>-0.0235348071933501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-0.0081787109375</v>
      </c>
      <c r="C252" s="25" t="n">
        <f aca="false">IF(T251&gt;0,D251,C251)</f>
        <v>-0.0078125</v>
      </c>
      <c r="D252" s="39" t="n">
        <f aca="false">(B252+C252)/2</f>
        <v>-0.00799560546875</v>
      </c>
      <c r="E252" s="15" t="n">
        <f aca="false">$C$2*(1+IF(E$3&lt;=$O$2,$D252,$D252-($D252-$I$238)*MIN(E$3-$O$2,$Q$2)/$Q$2))</f>
        <v>1835.20812988281</v>
      </c>
      <c r="F252" s="15" t="n">
        <f aca="false">E252*(1+IF(F$3&lt;=$O$2,$D252,$D252-($D252-$I$238)*MIN(F$3-$O$2,$Q$2)/$Q$2))</f>
        <v>1820.53452972323</v>
      </c>
      <c r="G252" s="15" t="n">
        <f aca="false">F252*(1+IF(G$3&lt;=$O$2,$D252,$D252-($D252-$I$238)*MIN(G$3-$O$2,$Q$2)/$Q$2))</f>
        <v>1805.97825388132</v>
      </c>
      <c r="H252" s="15" t="n">
        <f aca="false">G252*(1+IF(H$3&lt;=$O$2,$D252,$D252-($D252-$I$238)*MIN(H$3-$O$2,$Q$2)/$Q$2))</f>
        <v>1791.53836427815</v>
      </c>
      <c r="I252" s="15" t="n">
        <f aca="false">H252*(1+IF(I$3&lt;=$O$2,$D252,$D252-($D252-$I$238)*MIN(I$3-$O$2,$Q$2)/$Q$2))</f>
        <v>1777.21393033525</v>
      </c>
      <c r="J252" s="15" t="n">
        <f aca="false">I252*(1+IF(J$3&lt;=$O$2,$D252,$D252-($D252-$I$238)*MIN(J$3-$O$2,$Q$2)/$Q$2))</f>
        <v>1774.7320788505</v>
      </c>
      <c r="K252" s="15" t="n">
        <f aca="false">J252*(1+IF(K$3&lt;=$O$2,$D252,$D252-($D252-$I$238)*MIN(K$3-$O$2,$Q$2)/$Q$2))</f>
        <v>1783.96536512987</v>
      </c>
      <c r="L252" s="15" t="n">
        <f aca="false">K252*(1+IF(L$3&lt;=$O$2,$D252,$D252-($D252-$I$238)*MIN(L$3-$O$2,$Q$2)/$Q$2))</f>
        <v>1805.01929231503</v>
      </c>
      <c r="M252" s="15" t="n">
        <f aca="false">L252*(1+IF(M$3&lt;=$O$2,$D252,$D252-($D252-$I$238)*MIN(M$3-$O$2,$Q$2)/$Q$2))</f>
        <v>1838.23323373636</v>
      </c>
      <c r="N252" s="15" t="n">
        <f aca="false">M252*(1+IF(N$3&lt;=$O$2,$D252,$D252-($D252-$I$238)*MIN(N$3-$O$2,$Q$2)/$Q$2))</f>
        <v>1884.18906457977</v>
      </c>
      <c r="O252" s="15" t="n">
        <f aca="false">SUMPRODUCT(E252:N252,1/(1+$F$238)^$E$3:$N$3)*$E$2</f>
        <v>4829.47934394044</v>
      </c>
      <c r="P252" s="15" t="n">
        <f aca="false">N252*$E$2*(1+$I$238)/($F$238-$I$238)/(1+$F$238)^$N$3</f>
        <v>11745.8212268251</v>
      </c>
      <c r="Q252" s="15" t="n">
        <f aca="false">O252+P252</f>
        <v>16575.3005707655</v>
      </c>
      <c r="R252" s="15" t="n">
        <f aca="false">Q252-$G$2+$I$2</f>
        <v>15022.6005707655</v>
      </c>
      <c r="S252" s="40" t="n">
        <f aca="false">R252/$K$2</f>
        <v>54.5502762292224</v>
      </c>
      <c r="T252" s="41" t="n">
        <f aca="false">S252-$M$2</f>
        <v>0.0457553678984226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-0.0081787109375</v>
      </c>
      <c r="C253" s="25" t="n">
        <f aca="false">IF(T252&gt;0,D252,C252)</f>
        <v>-0.00799560546875</v>
      </c>
      <c r="D253" s="39" t="n">
        <f aca="false">(B253+C253)/2</f>
        <v>-0.008087158203125</v>
      </c>
      <c r="E253" s="15" t="n">
        <f aca="false">$C$2*(1+IF(E$3&lt;=$O$2,$D253,$D253-($D253-$I$238)*MIN(E$3-$O$2,$Q$2)/$Q$2))</f>
        <v>1835.03875732422</v>
      </c>
      <c r="F253" s="15" t="n">
        <f aca="false">E253*(1+IF(F$3&lt;=$O$2,$D253,$D253-($D253-$I$238)*MIN(F$3-$O$2,$Q$2)/$Q$2))</f>
        <v>1820.19850858487</v>
      </c>
      <c r="G253" s="15" t="n">
        <f aca="false">F253*(1+IF(G$3&lt;=$O$2,$D253,$D253-($D253-$I$238)*MIN(G$3-$O$2,$Q$2)/$Q$2))</f>
        <v>1805.47827528485</v>
      </c>
      <c r="H253" s="15" t="n">
        <f aca="false">G253*(1+IF(H$3&lt;=$O$2,$D253,$D253-($D253-$I$238)*MIN(H$3-$O$2,$Q$2)/$Q$2))</f>
        <v>1790.87708684032</v>
      </c>
      <c r="I253" s="15" t="n">
        <f aca="false">H253*(1+IF(I$3&lt;=$O$2,$D253,$D253-($D253-$I$238)*MIN(I$3-$O$2,$Q$2)/$Q$2))</f>
        <v>1776.39398051669</v>
      </c>
      <c r="J253" s="15" t="n">
        <f aca="false">I253*(1+IF(J$3&lt;=$O$2,$D253,$D253-($D253-$I$238)*MIN(J$3-$O$2,$Q$2)/$Q$2))</f>
        <v>1773.78316709806</v>
      </c>
      <c r="K253" s="15" t="n">
        <f aca="false">J253*(1+IF(K$3&lt;=$O$2,$D253,$D253-($D253-$I$238)*MIN(K$3-$O$2,$Q$2)/$Q$2))</f>
        <v>1782.91407971482</v>
      </c>
      <c r="L253" s="15" t="n">
        <f aca="false">K253*(1+IF(L$3&lt;=$O$2,$D253,$D253-($D253-$I$238)*MIN(L$3-$O$2,$Q$2)/$Q$2))</f>
        <v>1803.89030762045</v>
      </c>
      <c r="M253" s="15" t="n">
        <f aca="false">L253*(1+IF(M$3&lt;=$O$2,$D253,$D253-($D253-$I$238)*MIN(M$3-$O$2,$Q$2)/$Q$2))</f>
        <v>1837.0504445131</v>
      </c>
      <c r="N253" s="15" t="n">
        <f aca="false">M253*(1+IF(N$3&lt;=$O$2,$D253,$D253-($D253-$I$238)*MIN(N$3-$O$2,$Q$2)/$Q$2))</f>
        <v>1882.97670562593</v>
      </c>
      <c r="O253" s="15" t="n">
        <f aca="false">SUMPRODUCT(E253:N253,1/(1+$F$238)^$E$3:$N$3)*$E$2</f>
        <v>4827.49360365837</v>
      </c>
      <c r="P253" s="15" t="n">
        <f aca="false">N253*$E$2*(1+$I$238)/($F$238-$I$238)/(1+$F$238)^$N$3</f>
        <v>11738.2635184177</v>
      </c>
      <c r="Q253" s="15" t="n">
        <f aca="false">O253+P253</f>
        <v>16565.7571220761</v>
      </c>
      <c r="R253" s="15" t="n">
        <f aca="false">Q253-$G$2+$I$2</f>
        <v>15013.0571220761</v>
      </c>
      <c r="S253" s="40" t="n">
        <f aca="false">R253/$K$2</f>
        <v>54.5156219255458</v>
      </c>
      <c r="T253" s="41" t="n">
        <f aca="false">S253-$M$2</f>
        <v>0.0111010642218332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-0.0081787109375</v>
      </c>
      <c r="C254" s="25" t="n">
        <f aca="false">IF(T253&gt;0,D253,C253)</f>
        <v>-0.008087158203125</v>
      </c>
      <c r="D254" s="39" t="n">
        <f aca="false">(B254+C254)/2</f>
        <v>-0.0081329345703125</v>
      </c>
      <c r="E254" s="15" t="n">
        <f aca="false">$C$2*(1+IF(E$3&lt;=$O$2,$D254,$D254-($D254-$I$238)*MIN(E$3-$O$2,$Q$2)/$Q$2))</f>
        <v>1834.95407104492</v>
      </c>
      <c r="F254" s="15" t="n">
        <f aca="false">E254*(1+IF(F$3&lt;=$O$2,$D254,$D254-($D254-$I$238)*MIN(F$3-$O$2,$Q$2)/$Q$2))</f>
        <v>1820.03050964559</v>
      </c>
      <c r="G254" s="15" t="n">
        <f aca="false">F254*(1+IF(G$3&lt;=$O$2,$D254,$D254-($D254-$I$238)*MIN(G$3-$O$2,$Q$2)/$Q$2))</f>
        <v>1805.22832059466</v>
      </c>
      <c r="H254" s="15" t="n">
        <f aca="false">G254*(1+IF(H$3&lt;=$O$2,$D254,$D254-($D254-$I$238)*MIN(H$3-$O$2,$Q$2)/$Q$2))</f>
        <v>1790.54651677879</v>
      </c>
      <c r="I254" s="15" t="n">
        <f aca="false">H254*(1+IF(I$3&lt;=$O$2,$D254,$D254-($D254-$I$238)*MIN(I$3-$O$2,$Q$2)/$Q$2))</f>
        <v>1775.98411911273</v>
      </c>
      <c r="J254" s="15" t="n">
        <f aca="false">I254*(1+IF(J$3&lt;=$O$2,$D254,$D254-($D254-$I$238)*MIN(J$3-$O$2,$Q$2)/$Q$2))</f>
        <v>1773.30886959737</v>
      </c>
      <c r="K254" s="15" t="n">
        <f aca="false">J254*(1+IF(K$3&lt;=$O$2,$D254,$D254-($D254-$I$238)*MIN(K$3-$O$2,$Q$2)/$Q$2))</f>
        <v>1782.38863528771</v>
      </c>
      <c r="L254" s="15" t="n">
        <f aca="false">K254*(1+IF(L$3&lt;=$O$2,$D254,$D254-($D254-$I$238)*MIN(L$3-$O$2,$Q$2)/$Q$2))</f>
        <v>1803.32604475716</v>
      </c>
      <c r="M254" s="15" t="n">
        <f aca="false">L254*(1+IF(M$3&lt;=$O$2,$D254,$D254-($D254-$I$238)*MIN(M$3-$O$2,$Q$2)/$Q$2))</f>
        <v>1836.45929910611</v>
      </c>
      <c r="N254" s="15" t="n">
        <f aca="false">M254*(1+IF(N$3&lt;=$O$2,$D254,$D254-($D254-$I$238)*MIN(N$3-$O$2,$Q$2)/$Q$2))</f>
        <v>1882.37078158376</v>
      </c>
      <c r="O254" s="15" t="n">
        <f aca="false">SUMPRODUCT(E254:N254,1/(1+$F$238)^$E$3:$N$3)*$E$2</f>
        <v>4826.50104483689</v>
      </c>
      <c r="P254" s="15" t="n">
        <f aca="false">N254*$E$2*(1+$I$238)/($F$238-$I$238)/(1+$F$238)^$N$3</f>
        <v>11734.4862565653</v>
      </c>
      <c r="Q254" s="15" t="n">
        <f aca="false">O254+P254</f>
        <v>16560.9873014022</v>
      </c>
      <c r="R254" s="15" t="n">
        <f aca="false">Q254-$G$2+$I$2</f>
        <v>15008.2873014022</v>
      </c>
      <c r="S254" s="40" t="n">
        <f aca="false">R254/$K$2</f>
        <v>54.4983016863437</v>
      </c>
      <c r="T254" s="41" t="n">
        <f aca="false">S254-$M$2</f>
        <v>-0.00621917498023095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-0.0081329345703125</v>
      </c>
      <c r="C255" s="25" t="n">
        <f aca="false">IF(T254&gt;0,D254,C254)</f>
        <v>-0.008087158203125</v>
      </c>
      <c r="D255" s="39" t="n">
        <f aca="false">(B255+C255)/2</f>
        <v>-0.00811004638671875</v>
      </c>
      <c r="E255" s="15" t="n">
        <f aca="false">$C$2*(1+IF(E$3&lt;=$O$2,$D255,$D255-($D255-$I$238)*MIN(E$3-$O$2,$Q$2)/$Q$2))</f>
        <v>1834.99641418457</v>
      </c>
      <c r="F255" s="15" t="n">
        <f aca="false">E255*(1+IF(F$3&lt;=$O$2,$D255,$D255-($D255-$I$238)*MIN(F$3-$O$2,$Q$2)/$Q$2))</f>
        <v>1820.11450814607</v>
      </c>
      <c r="G255" s="15" t="n">
        <f aca="false">F255*(1+IF(G$3&lt;=$O$2,$D255,$D255-($D255-$I$238)*MIN(G$3-$O$2,$Q$2)/$Q$2))</f>
        <v>1805.35329505587</v>
      </c>
      <c r="H255" s="15" t="n">
        <f aca="false">G255*(1+IF(H$3&lt;=$O$2,$D255,$D255-($D255-$I$238)*MIN(H$3-$O$2,$Q$2)/$Q$2))</f>
        <v>1790.71179608855</v>
      </c>
      <c r="I255" s="15" t="n">
        <f aca="false">H255*(1+IF(I$3&lt;=$O$2,$D255,$D255-($D255-$I$238)*MIN(I$3-$O$2,$Q$2)/$Q$2))</f>
        <v>1776.18904035703</v>
      </c>
      <c r="J255" s="15" t="n">
        <f aca="false">I255*(1+IF(J$3&lt;=$O$2,$D255,$D255-($D255-$I$238)*MIN(J$3-$O$2,$Q$2)/$Q$2))</f>
        <v>1773.54600515171</v>
      </c>
      <c r="K255" s="15" t="n">
        <f aca="false">J255*(1+IF(K$3&lt;=$O$2,$D255,$D255-($D255-$I$238)*MIN(K$3-$O$2,$Q$2)/$Q$2))</f>
        <v>1782.65134098077</v>
      </c>
      <c r="L255" s="15" t="n">
        <f aca="false">K255*(1+IF(L$3&lt;=$O$2,$D255,$D255-($D255-$I$238)*MIN(L$3-$O$2,$Q$2)/$Q$2))</f>
        <v>1803.6081570688</v>
      </c>
      <c r="M255" s="15" t="n">
        <f aca="false">L255*(1+IF(M$3&lt;=$O$2,$D255,$D255-($D255-$I$238)*MIN(M$3-$O$2,$Q$2)/$Q$2))</f>
        <v>1836.75485104672</v>
      </c>
      <c r="N255" s="15" t="n">
        <f aca="false">M255*(1+IF(N$3&lt;=$O$2,$D255,$D255-($D255-$I$238)*MIN(N$3-$O$2,$Q$2)/$Q$2))</f>
        <v>1882.67372232289</v>
      </c>
      <c r="O255" s="15" t="n">
        <f aca="false">SUMPRODUCT(E255:N255,1/(1+$F$238)^$E$3:$N$3)*$E$2</f>
        <v>4826.99729830859</v>
      </c>
      <c r="P255" s="15" t="n">
        <f aca="false">N255*$E$2*(1+$I$238)/($F$238-$I$238)/(1+$F$238)^$N$3</f>
        <v>11736.3747548222</v>
      </c>
      <c r="Q255" s="15" t="n">
        <f aca="false">O255+P255</f>
        <v>16563.3720531308</v>
      </c>
      <c r="R255" s="15" t="n">
        <f aca="false">Q255-$G$2+$I$2</f>
        <v>15010.6720531308</v>
      </c>
      <c r="S255" s="40" t="n">
        <f aca="false">R255/$K$2</f>
        <v>54.5069612300039</v>
      </c>
      <c r="T255" s="41" t="n">
        <f aca="false">S255-$M$2</f>
        <v>0.00244036867994879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-0.0081329345703125</v>
      </c>
      <c r="C256" s="25" t="n">
        <f aca="false">IF(T255&gt;0,D255,C255)</f>
        <v>-0.00811004638671875</v>
      </c>
      <c r="D256" s="39" t="n">
        <f aca="false">(B256+C256)/2</f>
        <v>-0.00812149047851563</v>
      </c>
      <c r="E256" s="15" t="n">
        <f aca="false">$C$2*(1+IF(E$3&lt;=$O$2,$D256,$D256-($D256-$I$238)*MIN(E$3-$O$2,$Q$2)/$Q$2))</f>
        <v>1834.97524261475</v>
      </c>
      <c r="F256" s="15" t="n">
        <f aca="false">E256*(1+IF(F$3&lt;=$O$2,$D256,$D256-($D256-$I$238)*MIN(F$3-$O$2,$Q$2)/$Q$2))</f>
        <v>1820.07250865354</v>
      </c>
      <c r="G256" s="15" t="n">
        <f aca="false">F256*(1+IF(G$3&lt;=$O$2,$D256,$D256-($D256-$I$238)*MIN(G$3-$O$2,$Q$2)/$Q$2))</f>
        <v>1805.2908071043</v>
      </c>
      <c r="H256" s="15" t="n">
        <f aca="false">G256*(1+IF(H$3&lt;=$O$2,$D256,$D256-($D256-$I$238)*MIN(H$3-$O$2,$Q$2)/$Q$2))</f>
        <v>1790.62915500345</v>
      </c>
      <c r="I256" s="15" t="n">
        <f aca="false">H256*(1+IF(I$3&lt;=$O$2,$D256,$D256-($D256-$I$238)*MIN(I$3-$O$2,$Q$2)/$Q$2))</f>
        <v>1776.08657737054</v>
      </c>
      <c r="J256" s="15" t="n">
        <f aca="false">I256*(1+IF(J$3&lt;=$O$2,$D256,$D256-($D256-$I$238)*MIN(J$3-$O$2,$Q$2)/$Q$2))</f>
        <v>1773.42743407568</v>
      </c>
      <c r="K256" s="15" t="n">
        <f aca="false">J256*(1+IF(K$3&lt;=$O$2,$D256,$D256-($D256-$I$238)*MIN(K$3-$O$2,$Q$2)/$Q$2))</f>
        <v>1782.51998400433</v>
      </c>
      <c r="L256" s="15" t="n">
        <f aca="false">K256*(1+IF(L$3&lt;=$O$2,$D256,$D256-($D256-$I$238)*MIN(L$3-$O$2,$Q$2)/$Q$2))</f>
        <v>1803.46709613325</v>
      </c>
      <c r="M256" s="15" t="n">
        <f aca="false">L256*(1+IF(M$3&lt;=$O$2,$D256,$D256-($D256-$I$238)*MIN(M$3-$O$2,$Q$2)/$Q$2))</f>
        <v>1836.60706988601</v>
      </c>
      <c r="N256" s="15" t="n">
        <f aca="false">M256*(1+IF(N$3&lt;=$O$2,$D256,$D256-($D256-$I$238)*MIN(N$3-$O$2,$Q$2)/$Q$2))</f>
        <v>1882.52224663316</v>
      </c>
      <c r="O256" s="15" t="n">
        <f aca="false">SUMPRODUCT(E256:N256,1/(1+$F$238)^$E$3:$N$3)*$E$2</f>
        <v>4826.7491650883</v>
      </c>
      <c r="P256" s="15" t="n">
        <f aca="false">N256*$E$2*(1+$I$238)/($F$238-$I$238)/(1+$F$238)^$N$3</f>
        <v>11735.4304725284</v>
      </c>
      <c r="Q256" s="15" t="n">
        <f aca="false">O256+P256</f>
        <v>16562.1796376167</v>
      </c>
      <c r="R256" s="15" t="n">
        <f aca="false">Q256-$G$2+$I$2</f>
        <v>15009.4796376167</v>
      </c>
      <c r="S256" s="40" t="n">
        <f aca="false">R256/$K$2</f>
        <v>54.502631314197</v>
      </c>
      <c r="T256" s="41" t="n">
        <f aca="false">S256-$M$2</f>
        <v>-0.00188954712695733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-0.00812149047851563</v>
      </c>
      <c r="C257" s="25" t="n">
        <f aca="false">IF(T256&gt;0,D256,C256)</f>
        <v>-0.00811004638671875</v>
      </c>
      <c r="D257" s="39" t="n">
        <f aca="false">(B257+C257)/2</f>
        <v>-0.00811576843261719</v>
      </c>
      <c r="E257" s="15" t="n">
        <f aca="false">$C$2*(1+IF(E$3&lt;=$O$2,$D257,$D257-($D257-$I$238)*MIN(E$3-$O$2,$Q$2)/$Q$2))</f>
        <v>1834.98582839966</v>
      </c>
      <c r="F257" s="15" t="n">
        <f aca="false">E257*(1+IF(F$3&lt;=$O$2,$D257,$D257-($D257-$I$238)*MIN(F$3-$O$2,$Q$2)/$Q$2))</f>
        <v>1820.09350833923</v>
      </c>
      <c r="G257" s="15" t="n">
        <f aca="false">F257*(1+IF(G$3&lt;=$O$2,$D257,$D257-($D257-$I$238)*MIN(G$3-$O$2,$Q$2)/$Q$2))</f>
        <v>1805.32205089984</v>
      </c>
      <c r="H257" s="15" t="n">
        <f aca="false">G257*(1+IF(H$3&lt;=$O$2,$D257,$D257-($D257-$I$238)*MIN(H$3-$O$2,$Q$2)/$Q$2))</f>
        <v>1790.67047518844</v>
      </c>
      <c r="I257" s="15" t="n">
        <f aca="false">H257*(1+IF(I$3&lt;=$O$2,$D257,$D257-($D257-$I$238)*MIN(I$3-$O$2,$Q$2)/$Q$2))</f>
        <v>1776.13780827269</v>
      </c>
      <c r="J257" s="15" t="n">
        <f aca="false">I257*(1+IF(J$3&lt;=$O$2,$D257,$D257-($D257-$I$238)*MIN(J$3-$O$2,$Q$2)/$Q$2))</f>
        <v>1773.48671878896</v>
      </c>
      <c r="K257" s="15" t="n">
        <f aca="false">J257*(1+IF(K$3&lt;=$O$2,$D257,$D257-($D257-$I$238)*MIN(K$3-$O$2,$Q$2)/$Q$2))</f>
        <v>1782.58566146005</v>
      </c>
      <c r="L257" s="15" t="n">
        <f aca="false">K257*(1+IF(L$3&lt;=$O$2,$D257,$D257-($D257-$I$238)*MIN(L$3-$O$2,$Q$2)/$Q$2))</f>
        <v>1803.53762540606</v>
      </c>
      <c r="M257" s="15" t="n">
        <f aca="false">L257*(1+IF(M$3&lt;=$O$2,$D257,$D257-($D257-$I$238)*MIN(M$3-$O$2,$Q$2)/$Q$2))</f>
        <v>1836.68095916872</v>
      </c>
      <c r="N257" s="15" t="n">
        <f aca="false">M257*(1+IF(N$3&lt;=$O$2,$D257,$D257-($D257-$I$238)*MIN(N$3-$O$2,$Q$2)/$Q$2))</f>
        <v>1882.59798314794</v>
      </c>
      <c r="O257" s="15" t="n">
        <f aca="false">SUMPRODUCT(E257:N257,1/(1+$F$238)^$E$3:$N$3)*$E$2</f>
        <v>4826.87323007729</v>
      </c>
      <c r="P257" s="15" t="n">
        <f aca="false">N257*$E$2*(1+$I$238)/($F$238-$I$238)/(1+$F$238)^$N$3</f>
        <v>11735.9026053837</v>
      </c>
      <c r="Q257" s="15" t="n">
        <f aca="false">O257+P257</f>
        <v>16562.775835461</v>
      </c>
      <c r="R257" s="15" t="n">
        <f aca="false">Q257-$G$2+$I$2</f>
        <v>15010.075835461</v>
      </c>
      <c r="S257" s="40" t="n">
        <f aca="false">R257/$K$2</f>
        <v>54.5047962361052</v>
      </c>
      <c r="T257" s="41" t="n">
        <f aca="false">S257-$M$2</f>
        <v>0.000275374781239179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-0.00812149047851563</v>
      </c>
      <c r="C258" s="25" t="n">
        <f aca="false">IF(T257&gt;0,D257,C257)</f>
        <v>-0.00811576843261719</v>
      </c>
      <c r="D258" s="39" t="n">
        <f aca="false">(B258+C258)/2</f>
        <v>-0.00811862945556641</v>
      </c>
      <c r="E258" s="15" t="n">
        <f aca="false">$C$2*(1+IF(E$3&lt;=$O$2,$D258,$D258-($D258-$I$238)*MIN(E$3-$O$2,$Q$2)/$Q$2))</f>
        <v>1834.9805355072</v>
      </c>
      <c r="F258" s="15" t="n">
        <f aca="false">E258*(1+IF(F$3&lt;=$O$2,$D258,$D258-($D258-$I$238)*MIN(F$3-$O$2,$Q$2)/$Q$2))</f>
        <v>1820.08300848124</v>
      </c>
      <c r="G258" s="15" t="n">
        <f aca="false">F258*(1+IF(G$3&lt;=$O$2,$D258,$D258-($D258-$I$238)*MIN(G$3-$O$2,$Q$2)/$Q$2))</f>
        <v>1805.30642895701</v>
      </c>
      <c r="H258" s="15" t="n">
        <f aca="false">G258*(1+IF(H$3&lt;=$O$2,$D258,$D258-($D258-$I$238)*MIN(H$3-$O$2,$Q$2)/$Q$2))</f>
        <v>1790.64981500656</v>
      </c>
      <c r="I258" s="15" t="n">
        <f aca="false">H258*(1+IF(I$3&lt;=$O$2,$D258,$D258-($D258-$I$238)*MIN(I$3-$O$2,$Q$2)/$Q$2))</f>
        <v>1776.11219267384</v>
      </c>
      <c r="J258" s="15" t="n">
        <f aca="false">I258*(1+IF(J$3&lt;=$O$2,$D258,$D258-($D258-$I$238)*MIN(J$3-$O$2,$Q$2)/$Q$2))</f>
        <v>1773.45707622614</v>
      </c>
      <c r="K258" s="15" t="n">
        <f aca="false">J258*(1+IF(K$3&lt;=$O$2,$D258,$D258-($D258-$I$238)*MIN(K$3-$O$2,$Q$2)/$Q$2))</f>
        <v>1782.55282247407</v>
      </c>
      <c r="L258" s="15" t="n">
        <f aca="false">K258*(1+IF(L$3&lt;=$O$2,$D258,$D258-($D258-$I$238)*MIN(L$3-$O$2,$Q$2)/$Q$2))</f>
        <v>1803.50236047092</v>
      </c>
      <c r="M258" s="15" t="n">
        <f aca="false">L258*(1+IF(M$3&lt;=$O$2,$D258,$D258-($D258-$I$238)*MIN(M$3-$O$2,$Q$2)/$Q$2))</f>
        <v>1836.64401420296</v>
      </c>
      <c r="N258" s="15" t="n">
        <f aca="false">M258*(1+IF(N$3&lt;=$O$2,$D258,$D258-($D258-$I$238)*MIN(N$3-$O$2,$Q$2)/$Q$2))</f>
        <v>1882.56011455803</v>
      </c>
      <c r="O258" s="15" t="n">
        <f aca="false">SUMPRODUCT(E258:N258,1/(1+$F$238)^$E$3:$N$3)*$E$2</f>
        <v>4826.81119717751</v>
      </c>
      <c r="P258" s="15" t="n">
        <f aca="false">N258*$E$2*(1+$I$238)/($F$238-$I$238)/(1+$F$238)^$N$3</f>
        <v>11735.6665368832</v>
      </c>
      <c r="Q258" s="15" t="n">
        <f aca="false">O258+P258</f>
        <v>16562.4777340607</v>
      </c>
      <c r="R258" s="15" t="n">
        <f aca="false">Q258-$G$2+$I$2</f>
        <v>15009.7777340607</v>
      </c>
      <c r="S258" s="40" t="n">
        <f aca="false">R258/$K$2</f>
        <v>54.5037137661524</v>
      </c>
      <c r="T258" s="41" t="n">
        <f aca="false">S258-$M$2</f>
        <v>-0.000807095171545313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-0.00811862945556641</v>
      </c>
      <c r="C259" s="25" t="n">
        <f aca="false">IF(T258&gt;0,D258,C258)</f>
        <v>-0.00811576843261719</v>
      </c>
      <c r="D259" s="39" t="n">
        <f aca="false">(B259+C259)/2</f>
        <v>-0.0081171989440918</v>
      </c>
      <c r="E259" s="15" t="n">
        <f aca="false">$C$2*(1+IF(E$3&lt;=$O$2,$D259,$D259-($D259-$I$238)*MIN(E$3-$O$2,$Q$2)/$Q$2))</f>
        <v>1834.98318195343</v>
      </c>
      <c r="F259" s="15" t="n">
        <f aca="false">E259*(1+IF(F$3&lt;=$O$2,$D259,$D259-($D259-$I$238)*MIN(F$3-$O$2,$Q$2)/$Q$2))</f>
        <v>1820.08825840645</v>
      </c>
      <c r="G259" s="15" t="n">
        <f aca="false">F259*(1+IF(G$3&lt;=$O$2,$D259,$D259-($D259-$I$238)*MIN(G$3-$O$2,$Q$2)/$Q$2))</f>
        <v>1805.31423991716</v>
      </c>
      <c r="H259" s="15" t="n">
        <f aca="false">G259*(1+IF(H$3&lt;=$O$2,$D259,$D259-($D259-$I$238)*MIN(H$3-$O$2,$Q$2)/$Q$2))</f>
        <v>1790.66014507515</v>
      </c>
      <c r="I259" s="15" t="n">
        <f aca="false">H259*(1+IF(I$3&lt;=$O$2,$D259,$D259-($D259-$I$238)*MIN(I$3-$O$2,$Q$2)/$Q$2))</f>
        <v>1776.12500043632</v>
      </c>
      <c r="J259" s="15" t="n">
        <f aca="false">I259*(1+IF(J$3&lt;=$O$2,$D259,$D259-($D259-$I$238)*MIN(J$3-$O$2,$Q$2)/$Q$2))</f>
        <v>1773.47189745601</v>
      </c>
      <c r="K259" s="15" t="n">
        <f aca="false">J259*(1+IF(K$3&lt;=$O$2,$D259,$D259-($D259-$I$238)*MIN(K$3-$O$2,$Q$2)/$Q$2))</f>
        <v>1782.56924190252</v>
      </c>
      <c r="L259" s="15" t="n">
        <f aca="false">K259*(1+IF(L$3&lt;=$O$2,$D259,$D259-($D259-$I$238)*MIN(L$3-$O$2,$Q$2)/$Q$2))</f>
        <v>1803.51999286381</v>
      </c>
      <c r="M259" s="15" t="n">
        <f aca="false">L259*(1+IF(M$3&lt;=$O$2,$D259,$D259-($D259-$I$238)*MIN(M$3-$O$2,$Q$2)/$Q$2))</f>
        <v>1836.66248660474</v>
      </c>
      <c r="N259" s="15" t="n">
        <f aca="false">M259*(1+IF(N$3&lt;=$O$2,$D259,$D259-($D259-$I$238)*MIN(N$3-$O$2,$Q$2)/$Q$2))</f>
        <v>1882.57904876986</v>
      </c>
      <c r="O259" s="15" t="n">
        <f aca="false">SUMPRODUCT(E259:N259,1/(1+$F$238)^$E$3:$N$3)*$E$2</f>
        <v>4826.84221352608</v>
      </c>
      <c r="P259" s="15" t="n">
        <f aca="false">N259*$E$2*(1+$I$238)/($F$238-$I$238)/(1+$F$238)^$N$3</f>
        <v>11735.7845706152</v>
      </c>
      <c r="Q259" s="15" t="n">
        <f aca="false">O259+P259</f>
        <v>16562.6267841413</v>
      </c>
      <c r="R259" s="15" t="n">
        <f aca="false">Q259-$G$2+$I$2</f>
        <v>15009.9267841413</v>
      </c>
      <c r="S259" s="40" t="n">
        <f aca="false">R259/$K$2</f>
        <v>54.5042549988791</v>
      </c>
      <c r="T259" s="41" t="n">
        <f aca="false">S259-$M$2</f>
        <v>-0.000265862444848608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-0.0081171989440918</v>
      </c>
      <c r="C260" s="25" t="n">
        <f aca="false">IF(T259&gt;0,D259,C259)</f>
        <v>-0.00811576843261719</v>
      </c>
      <c r="D260" s="39" t="n">
        <f aca="false">(B260+C260)/2</f>
        <v>-0.00811648368835449</v>
      </c>
      <c r="E260" s="15" t="n">
        <f aca="false">$C$2*(1+IF(E$3&lt;=$O$2,$D260,$D260-($D260-$I$238)*MIN(E$3-$O$2,$Q$2)/$Q$2))</f>
        <v>1834.98450517654</v>
      </c>
      <c r="F260" s="15" t="n">
        <f aca="false">E260*(1+IF(F$3&lt;=$O$2,$D260,$D260-($D260-$I$238)*MIN(F$3-$O$2,$Q$2)/$Q$2))</f>
        <v>1820.0908833719</v>
      </c>
      <c r="G260" s="15" t="n">
        <f aca="false">F260*(1+IF(G$3&lt;=$O$2,$D260,$D260-($D260-$I$238)*MIN(G$3-$O$2,$Q$2)/$Q$2))</f>
        <v>1805.31814540568</v>
      </c>
      <c r="H260" s="15" t="n">
        <f aca="false">G260*(1+IF(H$3&lt;=$O$2,$D260,$D260-($D260-$I$238)*MIN(H$3-$O$2,$Q$2)/$Q$2))</f>
        <v>1790.66531012621</v>
      </c>
      <c r="I260" s="15" t="n">
        <f aca="false">H260*(1+IF(I$3&lt;=$O$2,$D260,$D260-($D260-$I$238)*MIN(I$3-$O$2,$Q$2)/$Q$2))</f>
        <v>1776.13140434527</v>
      </c>
      <c r="J260" s="15" t="n">
        <f aca="false">I260*(1+IF(J$3&lt;=$O$2,$D260,$D260-($D260-$I$238)*MIN(J$3-$O$2,$Q$2)/$Q$2))</f>
        <v>1773.4793081096</v>
      </c>
      <c r="K260" s="15" t="n">
        <f aca="false">J260*(1+IF(K$3&lt;=$O$2,$D260,$D260-($D260-$I$238)*MIN(K$3-$O$2,$Q$2)/$Q$2))</f>
        <v>1782.57745166515</v>
      </c>
      <c r="L260" s="15" t="n">
        <f aca="false">K260*(1+IF(L$3&lt;=$O$2,$D260,$D260-($D260-$I$238)*MIN(L$3-$O$2,$Q$2)/$Q$2))</f>
        <v>1803.52880911626</v>
      </c>
      <c r="M260" s="15" t="n">
        <f aca="false">L260*(1+IF(M$3&lt;=$O$2,$D260,$D260-($D260-$I$238)*MIN(M$3-$O$2,$Q$2)/$Q$2))</f>
        <v>1836.67172286645</v>
      </c>
      <c r="N260" s="15" t="n">
        <f aca="false">M260*(1+IF(N$3&lt;=$O$2,$D260,$D260-($D260-$I$238)*MIN(N$3-$O$2,$Q$2)/$Q$2))</f>
        <v>1882.58851593812</v>
      </c>
      <c r="O260" s="15" t="n">
        <f aca="false">SUMPRODUCT(E260:N260,1/(1+$F$238)^$E$3:$N$3)*$E$2</f>
        <v>4826.85772177636</v>
      </c>
      <c r="P260" s="15" t="n">
        <f aca="false">N260*$E$2*(1+$I$238)/($F$238-$I$238)/(1+$F$238)^$N$3</f>
        <v>11735.8435878699</v>
      </c>
      <c r="Q260" s="15" t="n">
        <f aca="false">O260+P260</f>
        <v>16562.7013096463</v>
      </c>
      <c r="R260" s="15" t="n">
        <f aca="false">Q260-$G$2+$I$2</f>
        <v>15010.0013096463</v>
      </c>
      <c r="S260" s="40" t="n">
        <f aca="false">R260/$K$2</f>
        <v>54.5045256169297</v>
      </c>
      <c r="T260" s="41" t="n">
        <f aca="false">S260-$M$2</f>
        <v>4.75560577939405E-006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-0.0081171989440918</v>
      </c>
      <c r="C261" s="25" t="n">
        <f aca="false">IF(T260&gt;0,D260,C260)</f>
        <v>-0.00811648368835449</v>
      </c>
      <c r="D261" s="39" t="n">
        <f aca="false">(B261+C261)/2</f>
        <v>-0.00811684131622315</v>
      </c>
      <c r="E261" s="15" t="n">
        <f aca="false">$C$2*(1+IF(E$3&lt;=$O$2,$D261,$D261-($D261-$I$238)*MIN(E$3-$O$2,$Q$2)/$Q$2))</f>
        <v>1834.98384356499</v>
      </c>
      <c r="F261" s="15" t="n">
        <f aca="false">E261*(1+IF(F$3&lt;=$O$2,$D261,$D261-($D261-$I$238)*MIN(F$3-$O$2,$Q$2)/$Q$2))</f>
        <v>1820.08957088894</v>
      </c>
      <c r="G261" s="15" t="n">
        <f aca="false">F261*(1+IF(G$3&lt;=$O$2,$D261,$D261-($D261-$I$238)*MIN(G$3-$O$2,$Q$2)/$Q$2))</f>
        <v>1805.31619266072</v>
      </c>
      <c r="H261" s="15" t="n">
        <f aca="false">G261*(1+IF(H$3&lt;=$O$2,$D261,$D261-($D261-$I$238)*MIN(H$3-$O$2,$Q$2)/$Q$2))</f>
        <v>1790.66272759928</v>
      </c>
      <c r="I261" s="15" t="n">
        <f aca="false">H261*(1+IF(I$3&lt;=$O$2,$D261,$D261-($D261-$I$238)*MIN(I$3-$O$2,$Q$2)/$Q$2))</f>
        <v>1776.12820238849</v>
      </c>
      <c r="J261" s="15" t="n">
        <f aca="false">I261*(1+IF(J$3&lt;=$O$2,$D261,$D261-($D261-$I$238)*MIN(J$3-$O$2,$Q$2)/$Q$2))</f>
        <v>1773.47560277958</v>
      </c>
      <c r="K261" s="15" t="n">
        <f aca="false">J261*(1+IF(K$3&lt;=$O$2,$D261,$D261-($D261-$I$238)*MIN(K$3-$O$2,$Q$2)/$Q$2))</f>
        <v>1782.57334677981</v>
      </c>
      <c r="L261" s="15" t="n">
        <f aca="false">K261*(1+IF(L$3&lt;=$O$2,$D261,$D261-($D261-$I$238)*MIN(L$3-$O$2,$Q$2)/$Q$2))</f>
        <v>1803.52440098537</v>
      </c>
      <c r="M261" s="15" t="n">
        <f aca="false">L261*(1+IF(M$3&lt;=$O$2,$D261,$D261-($D261-$I$238)*MIN(M$3-$O$2,$Q$2)/$Q$2))</f>
        <v>1836.66710473053</v>
      </c>
      <c r="N261" s="15" t="n">
        <f aca="false">M261*(1+IF(N$3&lt;=$O$2,$D261,$D261-($D261-$I$238)*MIN(N$3-$O$2,$Q$2)/$Q$2))</f>
        <v>1882.58378234879</v>
      </c>
      <c r="O261" s="15" t="n">
        <f aca="false">SUMPRODUCT(E261:N261,1/(1+$F$238)^$E$3:$N$3)*$E$2</f>
        <v>4826.84996764489</v>
      </c>
      <c r="P261" s="15" t="n">
        <f aca="false">N261*$E$2*(1+$I$238)/($F$238-$I$238)/(1+$F$238)^$N$3</f>
        <v>11735.8140792102</v>
      </c>
      <c r="Q261" s="15" t="n">
        <f aca="false">O261+P261</f>
        <v>16562.6640468551</v>
      </c>
      <c r="R261" s="15" t="n">
        <f aca="false">Q261-$G$2+$I$2</f>
        <v>15009.9640468551</v>
      </c>
      <c r="S261" s="40" t="n">
        <f aca="false">R261/$K$2</f>
        <v>54.5043903077638</v>
      </c>
      <c r="T261" s="41" t="n">
        <f aca="false">S261-$M$2</f>
        <v>-0.000130553560154567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-0.00811684131622315</v>
      </c>
      <c r="C262" s="25" t="n">
        <f aca="false">IF(T261&gt;0,D261,C261)</f>
        <v>-0.00811648368835449</v>
      </c>
      <c r="D262" s="39" t="n">
        <f aca="false">(B262+C262)/2</f>
        <v>-0.00811666250228882</v>
      </c>
      <c r="E262" s="15" t="n">
        <f aca="false">$C$2*(1+IF(E$3&lt;=$O$2,$D262,$D262-($D262-$I$238)*MIN(E$3-$O$2,$Q$2)/$Q$2))</f>
        <v>1834.98417437077</v>
      </c>
      <c r="F262" s="15" t="n">
        <f aca="false">E262*(1+IF(F$3&lt;=$O$2,$D262,$D262-($D262-$I$238)*MIN(F$3-$O$2,$Q$2)/$Q$2))</f>
        <v>1820.09022713036</v>
      </c>
      <c r="G262" s="15" t="n">
        <f aca="false">F262*(1+IF(G$3&lt;=$O$2,$D262,$D262-($D262-$I$238)*MIN(G$3-$O$2,$Q$2)/$Q$2))</f>
        <v>1805.31716903303</v>
      </c>
      <c r="H262" s="15" t="n">
        <f aca="false">G262*(1+IF(H$3&lt;=$O$2,$D262,$D262-($D262-$I$238)*MIN(H$3-$O$2,$Q$2)/$Q$2))</f>
        <v>1790.6640188624</v>
      </c>
      <c r="I262" s="15" t="n">
        <f aca="false">H262*(1+IF(I$3&lt;=$O$2,$D262,$D262-($D262-$I$238)*MIN(I$3-$O$2,$Q$2)/$Q$2))</f>
        <v>1776.1298033663</v>
      </c>
      <c r="J262" s="15" t="n">
        <f aca="false">I262*(1+IF(J$3&lt;=$O$2,$D262,$D262-($D262-$I$238)*MIN(J$3-$O$2,$Q$2)/$Q$2))</f>
        <v>1773.47745544379</v>
      </c>
      <c r="K262" s="15" t="n">
        <f aca="false">J262*(1+IF(K$3&lt;=$O$2,$D262,$D262-($D262-$I$238)*MIN(K$3-$O$2,$Q$2)/$Q$2))</f>
        <v>1782.57539922147</v>
      </c>
      <c r="L262" s="15" t="n">
        <f aca="false">K262*(1+IF(L$3&lt;=$O$2,$D262,$D262-($D262-$I$238)*MIN(L$3-$O$2,$Q$2)/$Q$2))</f>
        <v>1803.52660504965</v>
      </c>
      <c r="M262" s="15" t="n">
        <f aca="false">L262*(1+IF(M$3&lt;=$O$2,$D262,$D262-($D262-$I$238)*MIN(M$3-$O$2,$Q$2)/$Q$2))</f>
        <v>1836.66941379722</v>
      </c>
      <c r="N262" s="15" t="n">
        <f aca="false">M262*(1+IF(N$3&lt;=$O$2,$D262,$D262-($D262-$I$238)*MIN(N$3-$O$2,$Q$2)/$Q$2))</f>
        <v>1882.58614914215</v>
      </c>
      <c r="O262" s="15" t="n">
        <f aca="false">SUMPRODUCT(E262:N262,1/(1+$F$238)^$E$3:$N$3)*$E$2</f>
        <v>4826.85384470904</v>
      </c>
      <c r="P262" s="15" t="n">
        <f aca="false">N262*$E$2*(1+$I$238)/($F$238-$I$238)/(1+$F$238)^$N$3</f>
        <v>11735.828833532</v>
      </c>
      <c r="Q262" s="15" t="n">
        <f aca="false">O262+P262</f>
        <v>16562.682678241</v>
      </c>
      <c r="R262" s="15" t="n">
        <f aca="false">Q262-$G$2+$I$2</f>
        <v>15009.982678241</v>
      </c>
      <c r="S262" s="40" t="n">
        <f aca="false">R262/$K$2</f>
        <v>54.5044579623116</v>
      </c>
      <c r="T262" s="41" t="n">
        <f aca="false">S262-$M$2</f>
        <v>-6.28990123416884E-005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-0.00811666250228882</v>
      </c>
      <c r="C263" s="25" t="n">
        <f aca="false">IF(T262&gt;0,D262,C262)</f>
        <v>-0.00811648368835449</v>
      </c>
      <c r="D263" s="39" t="n">
        <f aca="false">(B263+C263)/2</f>
        <v>-0.00811657309532166</v>
      </c>
      <c r="E263" s="15" t="n">
        <f aca="false">$C$2*(1+IF(E$3&lt;=$O$2,$D263,$D263-($D263-$I$238)*MIN(E$3-$O$2,$Q$2)/$Q$2))</f>
        <v>1834.98433977366</v>
      </c>
      <c r="F263" s="15" t="n">
        <f aca="false">E263*(1+IF(F$3&lt;=$O$2,$D263,$D263-($D263-$I$238)*MIN(F$3-$O$2,$Q$2)/$Q$2))</f>
        <v>1820.09055525111</v>
      </c>
      <c r="G263" s="15" t="n">
        <f aca="false">F263*(1+IF(G$3&lt;=$O$2,$D263,$D263-($D263-$I$238)*MIN(G$3-$O$2,$Q$2)/$Q$2))</f>
        <v>1805.31765721931</v>
      </c>
      <c r="H263" s="15" t="n">
        <f aca="false">G263*(1+IF(H$3&lt;=$O$2,$D263,$D263-($D263-$I$238)*MIN(H$3-$O$2,$Q$2)/$Q$2))</f>
        <v>1790.66466449422</v>
      </c>
      <c r="I263" s="15" t="n">
        <f aca="false">H263*(1+IF(I$3&lt;=$O$2,$D263,$D263-($D263-$I$238)*MIN(I$3-$O$2,$Q$2)/$Q$2))</f>
        <v>1776.13060385564</v>
      </c>
      <c r="J263" s="15" t="n">
        <f aca="false">I263*(1+IF(J$3&lt;=$O$2,$D263,$D263-($D263-$I$238)*MIN(J$3-$O$2,$Q$2)/$Q$2))</f>
        <v>1773.47838177649</v>
      </c>
      <c r="K263" s="15" t="n">
        <f aca="false">J263*(1+IF(K$3&lt;=$O$2,$D263,$D263-($D263-$I$238)*MIN(K$3-$O$2,$Q$2)/$Q$2))</f>
        <v>1782.57642544306</v>
      </c>
      <c r="L263" s="15" t="n">
        <f aca="false">K263*(1+IF(L$3&lt;=$O$2,$D263,$D263-($D263-$I$238)*MIN(L$3-$O$2,$Q$2)/$Q$2))</f>
        <v>1803.52770708266</v>
      </c>
      <c r="M263" s="15" t="n">
        <f aca="false">L263*(1+IF(M$3&lt;=$O$2,$D263,$D263-($D263-$I$238)*MIN(M$3-$O$2,$Q$2)/$Q$2))</f>
        <v>1836.67056833152</v>
      </c>
      <c r="N263" s="15" t="n">
        <f aca="false">M263*(1+IF(N$3&lt;=$O$2,$D263,$D263-($D263-$I$238)*MIN(N$3-$O$2,$Q$2)/$Q$2))</f>
        <v>1882.58733253981</v>
      </c>
      <c r="O263" s="15" t="n">
        <f aca="false">SUMPRODUCT(E263:N263,1/(1+$F$238)^$E$3:$N$3)*$E$2</f>
        <v>4826.8557832423</v>
      </c>
      <c r="P263" s="15" t="n">
        <f aca="false">N263*$E$2*(1+$I$238)/($F$238-$I$238)/(1+$F$238)^$N$3</f>
        <v>11735.8362106989</v>
      </c>
      <c r="Q263" s="15" t="n">
        <f aca="false">O263+P263</f>
        <v>16562.6919939412</v>
      </c>
      <c r="R263" s="15" t="n">
        <f aca="false">Q263-$G$2+$I$2</f>
        <v>15009.9919939412</v>
      </c>
      <c r="S263" s="40" t="n">
        <f aca="false">R263/$K$2</f>
        <v>54.5044917896119</v>
      </c>
      <c r="T263" s="41" t="n">
        <f aca="false">S263-$M$2</f>
        <v>-2.90717120776662E-005</v>
      </c>
    </row>
    <row r="265" customFormat="false" ht="15" hidden="false" customHeight="false" outlineLevel="0" collapsed="false">
      <c r="A265" s="36" t="s">
        <v>184</v>
      </c>
      <c r="E265" s="5" t="s">
        <v>11</v>
      </c>
      <c r="F265" s="12" t="n">
        <f aca="false">Sensitivity!$B$11</f>
        <v>0.0585093056415221</v>
      </c>
      <c r="G265" s="5" t="s">
        <v>12</v>
      </c>
      <c r="I265" s="12" t="n">
        <f aca="false">Sensitivity!$F$9</f>
        <v>0.03</v>
      </c>
    </row>
    <row r="266" customFormat="false" ht="23.85" hidden="false" customHeight="false" outlineLevel="0" collapsed="false">
      <c r="A266" s="36" t="s">
        <v>156</v>
      </c>
      <c r="B266" s="28" t="s">
        <v>157</v>
      </c>
      <c r="C266" s="28" t="s">
        <v>158</v>
      </c>
      <c r="D266" s="28" t="s">
        <v>159</v>
      </c>
      <c r="E266" s="28" t="s">
        <v>160</v>
      </c>
      <c r="F266" s="28" t="s">
        <v>161</v>
      </c>
      <c r="G266" s="28" t="s">
        <v>162</v>
      </c>
      <c r="H266" s="28" t="s">
        <v>163</v>
      </c>
      <c r="I266" s="28" t="s">
        <v>164</v>
      </c>
      <c r="J266" s="28" t="s">
        <v>165</v>
      </c>
      <c r="K266" s="28" t="s">
        <v>166</v>
      </c>
      <c r="L266" s="28" t="s">
        <v>167</v>
      </c>
      <c r="M266" s="28" t="s">
        <v>168</v>
      </c>
      <c r="N266" s="28" t="s">
        <v>169</v>
      </c>
      <c r="O266" s="28" t="s">
        <v>170</v>
      </c>
      <c r="P266" s="28" t="s">
        <v>171</v>
      </c>
      <c r="Q266" s="28" t="s">
        <v>172</v>
      </c>
      <c r="R266" s="28" t="s">
        <v>173</v>
      </c>
      <c r="S266" s="28" t="s">
        <v>174</v>
      </c>
      <c r="T266" s="28" t="s">
        <v>175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39" t="n">
        <f aca="false">(B267+C267)/2</f>
        <v>0.25</v>
      </c>
      <c r="E267" s="15" t="n">
        <f aca="false">$C$2*(1+IF(E$3&lt;=$O$2,$D267,$D267-($D267-$I$265)*MIN(E$3-$O$2,$Q$2)/$Q$2))</f>
        <v>2312.5</v>
      </c>
      <c r="F267" s="15" t="n">
        <f aca="false">E267*(1+IF(F$3&lt;=$O$2,$D267,$D267-($D267-$I$265)*MIN(F$3-$O$2,$Q$2)/$Q$2))</f>
        <v>2890.625</v>
      </c>
      <c r="G267" s="15" t="n">
        <f aca="false">F267*(1+IF(G$3&lt;=$O$2,$D267,$D267-($D267-$I$265)*MIN(G$3-$O$2,$Q$2)/$Q$2))</f>
        <v>3613.28125</v>
      </c>
      <c r="H267" s="15" t="n">
        <f aca="false">G267*(1+IF(H$3&lt;=$O$2,$D267,$D267-($D267-$I$265)*MIN(H$3-$O$2,$Q$2)/$Q$2))</f>
        <v>4516.6015625</v>
      </c>
      <c r="I267" s="15" t="n">
        <f aca="false">H267*(1+IF(I$3&lt;=$O$2,$D267,$D267-($D267-$I$265)*MIN(I$3-$O$2,$Q$2)/$Q$2))</f>
        <v>5645.751953125</v>
      </c>
      <c r="J267" s="15" t="n">
        <f aca="false">I267*(1+IF(J$3&lt;=$O$2,$D267,$D267-($D267-$I$265)*MIN(J$3-$O$2,$Q$2)/$Q$2))</f>
        <v>6808.77685546875</v>
      </c>
      <c r="K267" s="15" t="n">
        <f aca="false">J267*(1+IF(K$3&lt;=$O$2,$D267,$D267-($D267-$I$265)*MIN(K$3-$O$2,$Q$2)/$Q$2))</f>
        <v>7911.79870605469</v>
      </c>
      <c r="L267" s="15" t="n">
        <f aca="false">K267*(1+IF(L$3&lt;=$O$2,$D267,$D267-($D267-$I$265)*MIN(L$3-$O$2,$Q$2)/$Q$2))</f>
        <v>8845.39095336914</v>
      </c>
      <c r="M267" s="15" t="n">
        <f aca="false">L267*(1+IF(M$3&lt;=$O$2,$D267,$D267-($D267-$I$265)*MIN(M$3-$O$2,$Q$2)/$Q$2))</f>
        <v>9499.94988391846</v>
      </c>
      <c r="N267" s="15" t="n">
        <f aca="false">M267*(1+IF(N$3&lt;=$O$2,$D267,$D267-($D267-$I$265)*MIN(N$3-$O$2,$Q$2)/$Q$2))</f>
        <v>9784.94838043601</v>
      </c>
      <c r="O267" s="15" t="n">
        <f aca="false">SUMPRODUCT(E267:N267,1/(1+$F$265)^$E$3:$N$3)*$E$2</f>
        <v>15352.3319466949</v>
      </c>
      <c r="P267" s="15" t="n">
        <f aca="false">N267*$E$2*(1+$I$265)/($F$265-$I$265)/(1+$F$265)^$N$3</f>
        <v>72045.9536949954</v>
      </c>
      <c r="Q267" s="15" t="n">
        <f aca="false">O267+P267</f>
        <v>87398.2856416904</v>
      </c>
      <c r="R267" s="15" t="n">
        <f aca="false">Q267-$G$2+$I$2</f>
        <v>85845.5856416904</v>
      </c>
      <c r="S267" s="40" t="n">
        <f aca="false">R267/$K$2</f>
        <v>311.723685107267</v>
      </c>
      <c r="T267" s="41" t="n">
        <f aca="false">S267-$M$2</f>
        <v>257.219164245944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39" t="n">
        <f aca="false">(B268+C268)/2</f>
        <v>-0.125</v>
      </c>
      <c r="E268" s="15" t="n">
        <f aca="false">$C$2*(1+IF(E$3&lt;=$O$2,$D268,$D268-($D268-$I$265)*MIN(E$3-$O$2,$Q$2)/$Q$2))</f>
        <v>1618.75</v>
      </c>
      <c r="F268" s="15" t="n">
        <f aca="false">E268*(1+IF(F$3&lt;=$O$2,$D268,$D268-($D268-$I$265)*MIN(F$3-$O$2,$Q$2)/$Q$2))</f>
        <v>1416.40625</v>
      </c>
      <c r="G268" s="15" t="n">
        <f aca="false">F268*(1+IF(G$3&lt;=$O$2,$D268,$D268-($D268-$I$265)*MIN(G$3-$O$2,$Q$2)/$Q$2))</f>
        <v>1239.35546875</v>
      </c>
      <c r="H268" s="15" t="n">
        <f aca="false">G268*(1+IF(H$3&lt;=$O$2,$D268,$D268-($D268-$I$265)*MIN(H$3-$O$2,$Q$2)/$Q$2))</f>
        <v>1084.43603515625</v>
      </c>
      <c r="I268" s="15" t="n">
        <f aca="false">H268*(1+IF(I$3&lt;=$O$2,$D268,$D268-($D268-$I$265)*MIN(I$3-$O$2,$Q$2)/$Q$2))</f>
        <v>948.881530761719</v>
      </c>
      <c r="J268" s="15" t="n">
        <f aca="false">I268*(1+IF(J$3&lt;=$O$2,$D268,$D268-($D268-$I$265)*MIN(J$3-$O$2,$Q$2)/$Q$2))</f>
        <v>859.686666870117</v>
      </c>
      <c r="K268" s="15" t="n">
        <f aca="false">J268*(1+IF(K$3&lt;=$O$2,$D268,$D268-($D268-$I$265)*MIN(K$3-$O$2,$Q$2)/$Q$2))</f>
        <v>805.5264068573</v>
      </c>
      <c r="L268" s="15" t="n">
        <f aca="false">K268*(1+IF(L$3&lt;=$O$2,$D268,$D268-($D268-$I$265)*MIN(L$3-$O$2,$Q$2)/$Q$2))</f>
        <v>779.749561837866</v>
      </c>
      <c r="M268" s="15" t="n">
        <f aca="false">L268*(1+IF(M$3&lt;=$O$2,$D268,$D268-($D268-$I$265)*MIN(M$3-$O$2,$Q$2)/$Q$2))</f>
        <v>778.969812276028</v>
      </c>
      <c r="N268" s="15" t="n">
        <f aca="false">M268*(1+IF(N$3&lt;=$O$2,$D268,$D268-($D268-$I$265)*MIN(N$3-$O$2,$Q$2)/$Q$2))</f>
        <v>802.338906644309</v>
      </c>
      <c r="O268" s="15" t="n">
        <f aca="false">SUMPRODUCT(E268:N268,1/(1+$F$265)^$E$3:$N$3)*$E$2</f>
        <v>2873.42673454526</v>
      </c>
      <c r="P268" s="15" t="n">
        <f aca="false">N268*$E$2*(1+$I$265)/($F$265-$I$265)/(1+$F$265)^$N$3</f>
        <v>5907.57043045468</v>
      </c>
      <c r="Q268" s="15" t="n">
        <f aca="false">O268+P268</f>
        <v>8780.99716499994</v>
      </c>
      <c r="R268" s="15" t="n">
        <f aca="false">Q268-$G$2+$I$2</f>
        <v>7228.29716499994</v>
      </c>
      <c r="S268" s="40" t="n">
        <f aca="false">R268/$K$2</f>
        <v>26.2474932459419</v>
      </c>
      <c r="T268" s="41" t="n">
        <f aca="false">S268-$M$2</f>
        <v>-28.257027615382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39" t="n">
        <f aca="false">(B269+C269)/2</f>
        <v>0.0625</v>
      </c>
      <c r="E269" s="15" t="n">
        <f aca="false">$C$2*(1+IF(E$3&lt;=$O$2,$D269,$D269-($D269-$I$265)*MIN(E$3-$O$2,$Q$2)/$Q$2))</f>
        <v>1965.625</v>
      </c>
      <c r="F269" s="15" t="n">
        <f aca="false">E269*(1+IF(F$3&lt;=$O$2,$D269,$D269-($D269-$I$265)*MIN(F$3-$O$2,$Q$2)/$Q$2))</f>
        <v>2088.4765625</v>
      </c>
      <c r="G269" s="15" t="n">
        <f aca="false">F269*(1+IF(G$3&lt;=$O$2,$D269,$D269-($D269-$I$265)*MIN(G$3-$O$2,$Q$2)/$Q$2))</f>
        <v>2219.00634765625</v>
      </c>
      <c r="H269" s="15" t="n">
        <f aca="false">G269*(1+IF(H$3&lt;=$O$2,$D269,$D269-($D269-$I$265)*MIN(H$3-$O$2,$Q$2)/$Q$2))</f>
        <v>2357.69424438477</v>
      </c>
      <c r="I269" s="15" t="n">
        <f aca="false">H269*(1+IF(I$3&lt;=$O$2,$D269,$D269-($D269-$I$265)*MIN(I$3-$O$2,$Q$2)/$Q$2))</f>
        <v>2505.05013465881</v>
      </c>
      <c r="J269" s="15" t="n">
        <f aca="false">I269*(1+IF(J$3&lt;=$O$2,$D269,$D269-($D269-$I$265)*MIN(J$3-$O$2,$Q$2)/$Q$2))</f>
        <v>2645.33294219971</v>
      </c>
      <c r="K269" s="15" t="n">
        <f aca="false">J269*(1+IF(K$3&lt;=$O$2,$D269,$D269-($D269-$I$265)*MIN(K$3-$O$2,$Q$2)/$Q$2))</f>
        <v>2776.27692283859</v>
      </c>
      <c r="L269" s="15" t="n">
        <f aca="false">K269*(1+IF(L$3&lt;=$O$2,$D269,$D269-($D269-$I$265)*MIN(L$3-$O$2,$Q$2)/$Q$2))</f>
        <v>2895.65683052065</v>
      </c>
      <c r="M269" s="15" t="n">
        <f aca="false">L269*(1+IF(M$3&lt;=$O$2,$D269,$D269-($D269-$I$265)*MIN(M$3-$O$2,$Q$2)/$Q$2))</f>
        <v>3001.34830483466</v>
      </c>
      <c r="N269" s="15" t="n">
        <f aca="false">M269*(1+IF(N$3&lt;=$O$2,$D269,$D269-($D269-$I$265)*MIN(N$3-$O$2,$Q$2)/$Q$2))</f>
        <v>3091.3887539797</v>
      </c>
      <c r="O269" s="15" t="n">
        <f aca="false">SUMPRODUCT(E269:N269,1/(1+$F$265)^$E$3:$N$3)*$E$2</f>
        <v>6653.17049943268</v>
      </c>
      <c r="P269" s="15" t="n">
        <f aca="false">N269*$E$2*(1+$I$265)/($F$265-$I$265)/(1+$F$265)^$N$3</f>
        <v>22761.6991284042</v>
      </c>
      <c r="Q269" s="15" t="n">
        <f aca="false">O269+P269</f>
        <v>29414.8696278369</v>
      </c>
      <c r="R269" s="15" t="n">
        <f aca="false">Q269-$G$2+$I$2</f>
        <v>27862.1696278369</v>
      </c>
      <c r="S269" s="40" t="n">
        <f aca="false">R269/$K$2</f>
        <v>101.173498049446</v>
      </c>
      <c r="T269" s="41" t="n">
        <f aca="false">S269-$M$2</f>
        <v>46.668977188122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39" t="n">
        <f aca="false">(B270+C270)/2</f>
        <v>-0.03125</v>
      </c>
      <c r="E270" s="15" t="n">
        <f aca="false">$C$2*(1+IF(E$3&lt;=$O$2,$D270,$D270-($D270-$I$265)*MIN(E$3-$O$2,$Q$2)/$Q$2))</f>
        <v>1792.1875</v>
      </c>
      <c r="F270" s="15" t="n">
        <f aca="false">E270*(1+IF(F$3&lt;=$O$2,$D270,$D270-($D270-$I$265)*MIN(F$3-$O$2,$Q$2)/$Q$2))</f>
        <v>1736.181640625</v>
      </c>
      <c r="G270" s="15" t="n">
        <f aca="false">F270*(1+IF(G$3&lt;=$O$2,$D270,$D270-($D270-$I$265)*MIN(G$3-$O$2,$Q$2)/$Q$2))</f>
        <v>1681.92596435547</v>
      </c>
      <c r="H270" s="15" t="n">
        <f aca="false">G270*(1+IF(H$3&lt;=$O$2,$D270,$D270-($D270-$I$265)*MIN(H$3-$O$2,$Q$2)/$Q$2))</f>
        <v>1629.36577796936</v>
      </c>
      <c r="I270" s="15" t="n">
        <f aca="false">H270*(1+IF(I$3&lt;=$O$2,$D270,$D270-($D270-$I$265)*MIN(I$3-$O$2,$Q$2)/$Q$2))</f>
        <v>1578.44809740782</v>
      </c>
      <c r="J270" s="15" t="n">
        <f aca="false">I270*(1+IF(J$3&lt;=$O$2,$D270,$D270-($D270-$I$265)*MIN(J$3-$O$2,$Q$2)/$Q$2))</f>
        <v>1548.45758355707</v>
      </c>
      <c r="K270" s="15" t="n">
        <f aca="false">J270*(1+IF(K$3&lt;=$O$2,$D270,$D270-($D270-$I$265)*MIN(K$3-$O$2,$Q$2)/$Q$2))</f>
        <v>1538.00549486806</v>
      </c>
      <c r="L270" s="15" t="n">
        <f aca="false">K270*(1+IF(L$3&lt;=$O$2,$D270,$D270-($D270-$I$265)*MIN(L$3-$O$2,$Q$2)/$Q$2))</f>
        <v>1546.46452508983</v>
      </c>
      <c r="M270" s="15" t="n">
        <f aca="false">L270*(1+IF(M$3&lt;=$O$2,$D270,$D270-($D270-$I$265)*MIN(M$3-$O$2,$Q$2)/$Q$2))</f>
        <v>1573.91427041018</v>
      </c>
      <c r="N270" s="15" t="n">
        <f aca="false">M270*(1+IF(N$3&lt;=$O$2,$D270,$D270-($D270-$I$265)*MIN(N$3-$O$2,$Q$2)/$Q$2))</f>
        <v>1621.13169852248</v>
      </c>
      <c r="O270" s="15" t="n">
        <f aca="false">SUMPRODUCT(E270:N270,1/(1+$F$265)^$E$3:$N$3)*$E$2</f>
        <v>4362.79043150055</v>
      </c>
      <c r="P270" s="15" t="n">
        <f aca="false">N270*$E$2*(1+$I$265)/($F$265-$I$265)/(1+$F$265)^$N$3</f>
        <v>11936.2897732564</v>
      </c>
      <c r="Q270" s="15" t="n">
        <f aca="false">O270+P270</f>
        <v>16299.0802047569</v>
      </c>
      <c r="R270" s="15" t="n">
        <f aca="false">Q270-$G$2+$I$2</f>
        <v>14746.3802047569</v>
      </c>
      <c r="S270" s="40" t="n">
        <f aca="false">R270/$K$2</f>
        <v>53.5472609926176</v>
      </c>
      <c r="T270" s="41" t="n">
        <f aca="false">S270-$M$2</f>
        <v>-0.957259868706387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39" t="n">
        <f aca="false">(B271+C271)/2</f>
        <v>0.015625</v>
      </c>
      <c r="E271" s="15" t="n">
        <f aca="false">$C$2*(1+IF(E$3&lt;=$O$2,$D271,$D271-($D271-$I$265)*MIN(E$3-$O$2,$Q$2)/$Q$2))</f>
        <v>1878.90625</v>
      </c>
      <c r="F271" s="15" t="n">
        <f aca="false">E271*(1+IF(F$3&lt;=$O$2,$D271,$D271-($D271-$I$265)*MIN(F$3-$O$2,$Q$2)/$Q$2))</f>
        <v>1908.26416015625</v>
      </c>
      <c r="G271" s="15" t="n">
        <f aca="false">F271*(1+IF(G$3&lt;=$O$2,$D271,$D271-($D271-$I$265)*MIN(G$3-$O$2,$Q$2)/$Q$2))</f>
        <v>1938.08078765869</v>
      </c>
      <c r="H271" s="15" t="n">
        <f aca="false">G271*(1+IF(H$3&lt;=$O$2,$D271,$D271-($D271-$I$265)*MIN(H$3-$O$2,$Q$2)/$Q$2))</f>
        <v>1968.36329996586</v>
      </c>
      <c r="I271" s="15" t="n">
        <f aca="false">H271*(1+IF(I$3&lt;=$O$2,$D271,$D271-($D271-$I$265)*MIN(I$3-$O$2,$Q$2)/$Q$2))</f>
        <v>1999.11897652783</v>
      </c>
      <c r="J271" s="15" t="n">
        <f aca="false">I271*(1+IF(J$3&lt;=$O$2,$D271,$D271-($D271-$I$265)*MIN(J$3-$O$2,$Q$2)/$Q$2))</f>
        <v>2036.10267759359</v>
      </c>
      <c r="K271" s="15" t="n">
        <f aca="false">J271*(1+IF(K$3&lt;=$O$2,$D271,$D271-($D271-$I$265)*MIN(K$3-$O$2,$Q$2)/$Q$2))</f>
        <v>2079.62437232715</v>
      </c>
      <c r="L271" s="15" t="n">
        <f aca="false">K271*(1+IF(L$3&lt;=$O$2,$D271,$D271-($D271-$I$265)*MIN(L$3-$O$2,$Q$2)/$Q$2))</f>
        <v>2130.05526335609</v>
      </c>
      <c r="M271" s="15" t="n">
        <f aca="false">L271*(1+IF(M$3&lt;=$O$2,$D271,$D271-($D271-$I$265)*MIN(M$3-$O$2,$Q$2)/$Q$2))</f>
        <v>2187.83301237462</v>
      </c>
      <c r="N271" s="15" t="n">
        <f aca="false">M271*(1+IF(N$3&lt;=$O$2,$D271,$D271-($D271-$I$265)*MIN(N$3-$O$2,$Q$2)/$Q$2))</f>
        <v>2253.46800274586</v>
      </c>
      <c r="O271" s="15" t="n">
        <f aca="false">SUMPRODUCT(E271:N271,1/(1+$F$265)^$E$3:$N$3)*$E$2</f>
        <v>5386.60963571264</v>
      </c>
      <c r="P271" s="15" t="n">
        <f aca="false">N271*$E$2*(1+$I$265)/($F$265-$I$265)/(1+$F$265)^$N$3</f>
        <v>16592.1418352692</v>
      </c>
      <c r="Q271" s="15" t="n">
        <f aca="false">O271+P271</f>
        <v>21978.7514709819</v>
      </c>
      <c r="R271" s="15" t="n">
        <f aca="false">Q271-$G$2+$I$2</f>
        <v>20426.0514709819</v>
      </c>
      <c r="S271" s="40" t="n">
        <f aca="false">R271/$K$2</f>
        <v>74.1713623260897</v>
      </c>
      <c r="T271" s="41" t="n">
        <f aca="false">S271-$M$2</f>
        <v>19.6668414647658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-0.03125</v>
      </c>
      <c r="C272" s="25" t="n">
        <f aca="false">IF(T271&gt;0,D271,C271)</f>
        <v>0.015625</v>
      </c>
      <c r="D272" s="39" t="n">
        <f aca="false">(B272+C272)/2</f>
        <v>-0.0078125</v>
      </c>
      <c r="E272" s="15" t="n">
        <f aca="false">$C$2*(1+IF(E$3&lt;=$O$2,$D272,$D272-($D272-$I$265)*MIN(E$3-$O$2,$Q$2)/$Q$2))</f>
        <v>1835.546875</v>
      </c>
      <c r="F272" s="15" t="n">
        <f aca="false">E272*(1+IF(F$3&lt;=$O$2,$D272,$D272-($D272-$I$265)*MIN(F$3-$O$2,$Q$2)/$Q$2))</f>
        <v>1821.20666503906</v>
      </c>
      <c r="G272" s="15" t="n">
        <f aca="false">F272*(1+IF(G$3&lt;=$O$2,$D272,$D272-($D272-$I$265)*MIN(G$3-$O$2,$Q$2)/$Q$2))</f>
        <v>1806.97848796844</v>
      </c>
      <c r="H272" s="15" t="n">
        <f aca="false">G272*(1+IF(H$3&lt;=$O$2,$D272,$D272-($D272-$I$265)*MIN(H$3-$O$2,$Q$2)/$Q$2))</f>
        <v>1792.86146853119</v>
      </c>
      <c r="I272" s="15" t="n">
        <f aca="false">H272*(1+IF(I$3&lt;=$O$2,$D272,$D272-($D272-$I$265)*MIN(I$3-$O$2,$Q$2)/$Q$2))</f>
        <v>1778.85473830829</v>
      </c>
      <c r="J272" s="15" t="n">
        <f aca="false">I272*(1+IF(J$3&lt;=$O$2,$D272,$D272-($D272-$I$265)*MIN(J$3-$O$2,$Q$2)/$Q$2))</f>
        <v>1778.41002462371</v>
      </c>
      <c r="K272" s="15" t="n">
        <f aca="false">J272*(1+IF(K$3&lt;=$O$2,$D272,$D272-($D272-$I$265)*MIN(K$3-$O$2,$Q$2)/$Q$2))</f>
        <v>1791.41464792878</v>
      </c>
      <c r="L272" s="15" t="n">
        <f aca="false">K272*(1+IF(L$3&lt;=$O$2,$D272,$D272-($D272-$I$265)*MIN(L$3-$O$2,$Q$2)/$Q$2))</f>
        <v>1818.06194081672</v>
      </c>
      <c r="M272" s="15" t="n">
        <f aca="false">L272*(1+IF(M$3&lt;=$O$2,$D272,$D272-($D272-$I$265)*MIN(M$3-$O$2,$Q$2)/$Q$2))</f>
        <v>1858.85470561379</v>
      </c>
      <c r="N272" s="15" t="n">
        <f aca="false">M272*(1+IF(N$3&lt;=$O$2,$D272,$D272-($D272-$I$265)*MIN(N$3-$O$2,$Q$2)/$Q$2))</f>
        <v>1914.62034678221</v>
      </c>
      <c r="O272" s="15" t="n">
        <f aca="false">SUMPRODUCT(E272:N272,1/(1+$F$265)^$E$3:$N$3)*$E$2</f>
        <v>4847.30761473818</v>
      </c>
      <c r="P272" s="15" t="n">
        <f aca="false">N272*$E$2*(1+$I$265)/($F$265-$I$265)/(1+$F$265)^$N$3</f>
        <v>14097.2280572849</v>
      </c>
      <c r="Q272" s="15" t="n">
        <f aca="false">O272+P272</f>
        <v>18944.5356720231</v>
      </c>
      <c r="R272" s="15" t="n">
        <f aca="false">Q272-$G$2+$I$2</f>
        <v>17391.8356720231</v>
      </c>
      <c r="S272" s="40" t="n">
        <f aca="false">R272/$K$2</f>
        <v>63.153475696369</v>
      </c>
      <c r="T272" s="41" t="n">
        <f aca="false">S272-$M$2</f>
        <v>8.6489548350451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-0.03125</v>
      </c>
      <c r="C273" s="25" t="n">
        <f aca="false">IF(T272&gt;0,D272,C272)</f>
        <v>-0.0078125</v>
      </c>
      <c r="D273" s="39" t="n">
        <f aca="false">(B273+C273)/2</f>
        <v>-0.01953125</v>
      </c>
      <c r="E273" s="15" t="n">
        <f aca="false">$C$2*(1+IF(E$3&lt;=$O$2,$D273,$D273-($D273-$I$265)*MIN(E$3-$O$2,$Q$2)/$Q$2))</f>
        <v>1813.8671875</v>
      </c>
      <c r="F273" s="15" t="n">
        <f aca="false">E273*(1+IF(F$3&lt;=$O$2,$D273,$D273-($D273-$I$265)*MIN(F$3-$O$2,$Q$2)/$Q$2))</f>
        <v>1778.44009399414</v>
      </c>
      <c r="G273" s="15" t="n">
        <f aca="false">F273*(1+IF(G$3&lt;=$O$2,$D273,$D273-($D273-$I$265)*MIN(G$3-$O$2,$Q$2)/$Q$2))</f>
        <v>1743.70493590832</v>
      </c>
      <c r="H273" s="15" t="n">
        <f aca="false">G273*(1+IF(H$3&lt;=$O$2,$D273,$D273-($D273-$I$265)*MIN(H$3-$O$2,$Q$2)/$Q$2))</f>
        <v>1709.64819887886</v>
      </c>
      <c r="I273" s="15" t="n">
        <f aca="false">H273*(1+IF(I$3&lt;=$O$2,$D273,$D273-($D273-$I$265)*MIN(I$3-$O$2,$Q$2)/$Q$2))</f>
        <v>1676.25663249451</v>
      </c>
      <c r="J273" s="15" t="n">
        <f aca="false">I273*(1+IF(J$3&lt;=$O$2,$D273,$D273-($D273-$I$265)*MIN(J$3-$O$2,$Q$2)/$Q$2))</f>
        <v>1660.12266240675</v>
      </c>
      <c r="K273" s="15" t="n">
        <f aca="false">J273*(1+IF(K$3&lt;=$O$2,$D273,$D273-($D273-$I$265)*MIN(K$3-$O$2,$Q$2)/$Q$2))</f>
        <v>1660.58957190555</v>
      </c>
      <c r="L273" s="15" t="n">
        <f aca="false">K273*(1+IF(L$3&lt;=$O$2,$D273,$D273-($D273-$I$265)*MIN(L$3-$O$2,$Q$2)/$Q$2))</f>
        <v>1677.50682816934</v>
      </c>
      <c r="M273" s="15" t="n">
        <f aca="false">L273*(1+IF(M$3&lt;=$O$2,$D273,$D273-($D273-$I$265)*MIN(M$3-$O$2,$Q$2)/$Q$2))</f>
        <v>1711.21423099786</v>
      </c>
      <c r="N273" s="15" t="n">
        <f aca="false">M273*(1+IF(N$3&lt;=$O$2,$D273,$D273-($D273-$I$265)*MIN(N$3-$O$2,$Q$2)/$Q$2))</f>
        <v>1762.5506579278</v>
      </c>
      <c r="O273" s="15" t="n">
        <f aca="false">SUMPRODUCT(E273:N273,1/(1+$F$265)^$E$3:$N$3)*$E$2</f>
        <v>4598.54222115582</v>
      </c>
      <c r="P273" s="15" t="n">
        <f aca="false">N273*$E$2*(1+$I$265)/($F$265-$I$265)/(1+$F$265)^$N$3</f>
        <v>12977.5485929024</v>
      </c>
      <c r="Q273" s="15" t="n">
        <f aca="false">O273+P273</f>
        <v>17576.0908140582</v>
      </c>
      <c r="R273" s="15" t="n">
        <f aca="false">Q273-$G$2+$I$2</f>
        <v>16023.3908140582</v>
      </c>
      <c r="S273" s="40" t="n">
        <f aca="false">R273/$K$2</f>
        <v>58.1843596864745</v>
      </c>
      <c r="T273" s="41" t="n">
        <f aca="false">S273-$M$2</f>
        <v>3.67983882515059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-0.03125</v>
      </c>
      <c r="C274" s="25" t="n">
        <f aca="false">IF(T273&gt;0,D273,C273)</f>
        <v>-0.01953125</v>
      </c>
      <c r="D274" s="39" t="n">
        <f aca="false">(B274+C274)/2</f>
        <v>-0.025390625</v>
      </c>
      <c r="E274" s="15" t="n">
        <f aca="false">$C$2*(1+IF(E$3&lt;=$O$2,$D274,$D274-($D274-$I$265)*MIN(E$3-$O$2,$Q$2)/$Q$2))</f>
        <v>1803.02734375</v>
      </c>
      <c r="F274" s="15" t="n">
        <f aca="false">E274*(1+IF(F$3&lt;=$O$2,$D274,$D274-($D274-$I$265)*MIN(F$3-$O$2,$Q$2)/$Q$2))</f>
        <v>1757.2473526001</v>
      </c>
      <c r="G274" s="15" t="n">
        <f aca="false">F274*(1+IF(G$3&lt;=$O$2,$D274,$D274-($D274-$I$265)*MIN(G$3-$O$2,$Q$2)/$Q$2))</f>
        <v>1712.62974403799</v>
      </c>
      <c r="H274" s="15" t="n">
        <f aca="false">G274*(1+IF(H$3&lt;=$O$2,$D274,$D274-($D274-$I$265)*MIN(H$3-$O$2,$Q$2)/$Q$2))</f>
        <v>1669.14500444327</v>
      </c>
      <c r="I274" s="15" t="n">
        <f aca="false">H274*(1+IF(I$3&lt;=$O$2,$D274,$D274-($D274-$I$265)*MIN(I$3-$O$2,$Q$2)/$Q$2))</f>
        <v>1626.76436956483</v>
      </c>
      <c r="J274" s="15" t="n">
        <f aca="false">I274*(1+IF(J$3&lt;=$O$2,$D274,$D274-($D274-$I$265)*MIN(J$3-$O$2,$Q$2)/$Q$2))</f>
        <v>1603.48130452543</v>
      </c>
      <c r="K274" s="15" t="n">
        <f aca="false">J274*(1+IF(K$3&lt;=$O$2,$D274,$D274-($D274-$I$265)*MIN(K$3-$O$2,$Q$2)/$Q$2))</f>
        <v>1598.29504468111</v>
      </c>
      <c r="L274" s="15" t="n">
        <f aca="false">K274*(1+IF(L$3&lt;=$O$2,$D274,$D274-($D274-$I$265)*MIN(L$3-$O$2,$Q$2)/$Q$2))</f>
        <v>1610.83167143783</v>
      </c>
      <c r="M274" s="15" t="n">
        <f aca="false">L274*(1+IF(M$3&lt;=$O$2,$D274,$D274-($D274-$I$265)*MIN(M$3-$O$2,$Q$2)/$Q$2))</f>
        <v>1641.31162697081</v>
      </c>
      <c r="N274" s="15" t="n">
        <f aca="false">M274*(1+IF(N$3&lt;=$O$2,$D274,$D274-($D274-$I$265)*MIN(N$3-$O$2,$Q$2)/$Q$2))</f>
        <v>1690.55097577994</v>
      </c>
      <c r="O274" s="15" t="n">
        <f aca="false">SUMPRODUCT(E274:N274,1/(1+$F$265)^$E$3:$N$3)*$E$2</f>
        <v>4479.08066235479</v>
      </c>
      <c r="P274" s="15" t="n">
        <f aca="false">N274*$E$2*(1+$I$265)/($F$265-$I$265)/(1+$F$265)^$N$3</f>
        <v>12447.4195043882</v>
      </c>
      <c r="Q274" s="15" t="n">
        <f aca="false">O274+P274</f>
        <v>16926.500166743</v>
      </c>
      <c r="R274" s="15" t="n">
        <f aca="false">Q274-$G$2+$I$2</f>
        <v>15373.800166743</v>
      </c>
      <c r="S274" s="40" t="n">
        <f aca="false">R274/$K$2</f>
        <v>55.8255570890118</v>
      </c>
      <c r="T274" s="41" t="n">
        <f aca="false">S274-$M$2</f>
        <v>1.32103622768789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-0.03125</v>
      </c>
      <c r="C275" s="25" t="n">
        <f aca="false">IF(T274&gt;0,D274,C274)</f>
        <v>-0.025390625</v>
      </c>
      <c r="D275" s="39" t="n">
        <f aca="false">(B275+C275)/2</f>
        <v>-0.0283203125</v>
      </c>
      <c r="E275" s="15" t="n">
        <f aca="false">$C$2*(1+IF(E$3&lt;=$O$2,$D275,$D275-($D275-$I$265)*MIN(E$3-$O$2,$Q$2)/$Q$2))</f>
        <v>1797.607421875</v>
      </c>
      <c r="F275" s="15" t="n">
        <f aca="false">E275*(1+IF(F$3&lt;=$O$2,$D275,$D275-($D275-$I$265)*MIN(F$3-$O$2,$Q$2)/$Q$2))</f>
        <v>1746.69861793518</v>
      </c>
      <c r="G275" s="15" t="n">
        <f aca="false">F275*(1+IF(G$3&lt;=$O$2,$D275,$D275-($D275-$I$265)*MIN(G$3-$O$2,$Q$2)/$Q$2))</f>
        <v>1697.23156723194</v>
      </c>
      <c r="H275" s="15" t="n">
        <f aca="false">G275*(1+IF(H$3&lt;=$O$2,$D275,$D275-($D275-$I$265)*MIN(H$3-$O$2,$Q$2)/$Q$2))</f>
        <v>1649.16543886307</v>
      </c>
      <c r="I275" s="15" t="n">
        <f aca="false">H275*(1+IF(I$3&lt;=$O$2,$D275,$D275-($D275-$I$265)*MIN(I$3-$O$2,$Q$2)/$Q$2))</f>
        <v>1602.46055827026</v>
      </c>
      <c r="J275" s="15" t="n">
        <f aca="false">I275*(1+IF(J$3&lt;=$O$2,$D275,$D275-($D275-$I$265)*MIN(J$3-$O$2,$Q$2)/$Q$2))</f>
        <v>1575.76957459657</v>
      </c>
      <c r="K275" s="15" t="n">
        <f aca="false">J275*(1+IF(K$3&lt;=$O$2,$D275,$D275-($D275-$I$265)*MIN(K$3-$O$2,$Q$2)/$Q$2))</f>
        <v>1567.90303742339</v>
      </c>
      <c r="L275" s="15" t="n">
        <f aca="false">K275*(1+IF(L$3&lt;=$O$2,$D275,$D275-($D275-$I$265)*MIN(L$3-$O$2,$Q$2)/$Q$2))</f>
        <v>1578.3638905012</v>
      </c>
      <c r="M275" s="15" t="n">
        <f aca="false">L275*(1+IF(M$3&lt;=$O$2,$D275,$D275-($D275-$I$265)*MIN(M$3-$O$2,$Q$2)/$Q$2))</f>
        <v>1607.30467214969</v>
      </c>
      <c r="N275" s="15" t="n">
        <f aca="false">M275*(1+IF(N$3&lt;=$O$2,$D275,$D275-($D275-$I$265)*MIN(N$3-$O$2,$Q$2)/$Q$2))</f>
        <v>1655.52381231418</v>
      </c>
      <c r="O275" s="15" t="n">
        <f aca="false">SUMPRODUCT(E275:N275,1/(1+$F$265)^$E$3:$N$3)*$E$2</f>
        <v>4420.54416160657</v>
      </c>
      <c r="P275" s="15" t="n">
        <f aca="false">N275*$E$2*(1+$I$265)/($F$265-$I$265)/(1+$F$265)^$N$3</f>
        <v>12189.5167236064</v>
      </c>
      <c r="Q275" s="15" t="n">
        <f aca="false">O275+P275</f>
        <v>16610.0608852129</v>
      </c>
      <c r="R275" s="15" t="n">
        <f aca="false">Q275-$G$2+$I$2</f>
        <v>15057.3608852129</v>
      </c>
      <c r="S275" s="40" t="n">
        <f aca="false">R275/$K$2</f>
        <v>54.6764983667269</v>
      </c>
      <c r="T275" s="41" t="n">
        <f aca="false">S275-$M$2</f>
        <v>0.171977505402992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-0.03125</v>
      </c>
      <c r="C276" s="25" t="n">
        <f aca="false">IF(T275&gt;0,D275,C275)</f>
        <v>-0.0283203125</v>
      </c>
      <c r="D276" s="39" t="n">
        <f aca="false">(B276+C276)/2</f>
        <v>-0.02978515625</v>
      </c>
      <c r="E276" s="15" t="n">
        <f aca="false">$C$2*(1+IF(E$3&lt;=$O$2,$D276,$D276-($D276-$I$265)*MIN(E$3-$O$2,$Q$2)/$Q$2))</f>
        <v>1794.8974609375</v>
      </c>
      <c r="F276" s="15" t="n">
        <f aca="false">E276*(1+IF(F$3&lt;=$O$2,$D276,$D276-($D276-$I$265)*MIN(F$3-$O$2,$Q$2)/$Q$2))</f>
        <v>1741.43615961075</v>
      </c>
      <c r="G276" s="15" t="n">
        <f aca="false">F276*(1+IF(G$3&lt;=$O$2,$D276,$D276-($D276-$I$265)*MIN(G$3-$O$2,$Q$2)/$Q$2))</f>
        <v>1689.56721149734</v>
      </c>
      <c r="H276" s="15" t="n">
        <f aca="false">G276*(1+IF(H$3&lt;=$O$2,$D276,$D276-($D276-$I$265)*MIN(H$3-$O$2,$Q$2)/$Q$2))</f>
        <v>1639.24318810802</v>
      </c>
      <c r="I276" s="15" t="n">
        <f aca="false">H276*(1+IF(I$3&lt;=$O$2,$D276,$D276-($D276-$I$265)*MIN(I$3-$O$2,$Q$2)/$Q$2))</f>
        <v>1590.41807361847</v>
      </c>
      <c r="J276" s="15" t="n">
        <f aca="false">I276*(1+IF(J$3&lt;=$O$2,$D276,$D276-($D276-$I$265)*MIN(J$3-$O$2,$Q$2)/$Q$2))</f>
        <v>1562.06390139974</v>
      </c>
      <c r="K276" s="15" t="n">
        <f aca="false">J276*(1+IF(K$3&lt;=$O$2,$D276,$D276-($D276-$I$265)*MIN(K$3-$O$2,$Q$2)/$Q$2))</f>
        <v>1552.89287779113</v>
      </c>
      <c r="L276" s="15" t="n">
        <f aca="false">K276*(1+IF(L$3&lt;=$O$2,$D276,$D276-($D276-$I$265)*MIN(L$3-$O$2,$Q$2)/$Q$2))</f>
        <v>1562.34368678957</v>
      </c>
      <c r="M276" s="15" t="n">
        <f aca="false">L276*(1+IF(M$3&lt;=$O$2,$D276,$D276-($D276-$I$265)*MIN(M$3-$O$2,$Q$2)/$Q$2))</f>
        <v>1590.53300510707</v>
      </c>
      <c r="N276" s="15" t="n">
        <f aca="false">M276*(1+IF(N$3&lt;=$O$2,$D276,$D276-($D276-$I$265)*MIN(N$3-$O$2,$Q$2)/$Q$2))</f>
        <v>1638.24899526028</v>
      </c>
      <c r="O276" s="15" t="n">
        <f aca="false">SUMPRODUCT(E276:N276,1/(1+$F$265)^$E$3:$N$3)*$E$2</f>
        <v>4391.570072961</v>
      </c>
      <c r="P276" s="15" t="n">
        <f aca="false">N276*$E$2*(1+$I$265)/($F$265-$I$265)/(1+$F$265)^$N$3</f>
        <v>12062.323342388</v>
      </c>
      <c r="Q276" s="15" t="n">
        <f aca="false">O276+P276</f>
        <v>16453.893415349</v>
      </c>
      <c r="R276" s="15" t="n">
        <f aca="false">Q276-$G$2+$I$2</f>
        <v>14901.193415349</v>
      </c>
      <c r="S276" s="40" t="n">
        <f aca="false">R276/$K$2</f>
        <v>54.1094208771161</v>
      </c>
      <c r="T276" s="41" t="n">
        <f aca="false">S276-$M$2</f>
        <v>-0.395099984207796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-0.02978515625</v>
      </c>
      <c r="C277" s="25" t="n">
        <f aca="false">IF(T276&gt;0,D276,C276)</f>
        <v>-0.0283203125</v>
      </c>
      <c r="D277" s="39" t="n">
        <f aca="false">(B277+C277)/2</f>
        <v>-0.029052734375</v>
      </c>
      <c r="E277" s="15" t="n">
        <f aca="false">$C$2*(1+IF(E$3&lt;=$O$2,$D277,$D277-($D277-$I$265)*MIN(E$3-$O$2,$Q$2)/$Q$2))</f>
        <v>1796.25244140625</v>
      </c>
      <c r="F277" s="15" t="n">
        <f aca="false">E277*(1+IF(F$3&lt;=$O$2,$D277,$D277-($D277-$I$265)*MIN(F$3-$O$2,$Q$2)/$Q$2))</f>
        <v>1744.06639635563</v>
      </c>
      <c r="G277" s="15" t="n">
        <f aca="false">F277*(1+IF(G$3&lt;=$O$2,$D277,$D277-($D277-$I$265)*MIN(G$3-$O$2,$Q$2)/$Q$2))</f>
        <v>1693.39649860995</v>
      </c>
      <c r="H277" s="15" t="n">
        <f aca="false">G277*(1+IF(H$3&lt;=$O$2,$D277,$D277-($D277-$I$265)*MIN(H$3-$O$2,$Q$2)/$Q$2))</f>
        <v>1644.19869994428</v>
      </c>
      <c r="I277" s="15" t="n">
        <f aca="false">H277*(1+IF(I$3&lt;=$O$2,$D277,$D277-($D277-$I$265)*MIN(I$3-$O$2,$Q$2)/$Q$2))</f>
        <v>1596.43023185507</v>
      </c>
      <c r="J277" s="15" t="n">
        <f aca="false">I277*(1+IF(J$3&lt;=$O$2,$D277,$D277-($D277-$I$265)*MIN(J$3-$O$2,$Q$2)/$Q$2))</f>
        <v>1568.90428246676</v>
      </c>
      <c r="K277" s="15" t="n">
        <f aca="false">J277*(1+IF(K$3&lt;=$O$2,$D277,$D277-($D277-$I$265)*MIN(K$3-$O$2,$Q$2)/$Q$2))</f>
        <v>1560.38255822938</v>
      </c>
      <c r="L277" s="15" t="n">
        <f aca="false">K277*(1+IF(L$3&lt;=$O$2,$D277,$D277-($D277-$I$265)*MIN(L$3-$O$2,$Q$2)/$Q$2))</f>
        <v>1570.33609228246</v>
      </c>
      <c r="M277" s="15" t="n">
        <f aca="false">L277*(1+IF(M$3&lt;=$O$2,$D277,$D277-($D277-$I$265)*MIN(M$3-$O$2,$Q$2)/$Q$2))</f>
        <v>1598.89964702353</v>
      </c>
      <c r="N277" s="15" t="n">
        <f aca="false">M277*(1+IF(N$3&lt;=$O$2,$D277,$D277-($D277-$I$265)*MIN(N$3-$O$2,$Q$2)/$Q$2))</f>
        <v>1646.86663643423</v>
      </c>
      <c r="O277" s="15" t="n">
        <f aca="false">SUMPRODUCT(E277:N277,1/(1+$F$265)^$E$3:$N$3)*$E$2</f>
        <v>4406.03273381397</v>
      </c>
      <c r="P277" s="15" t="n">
        <f aca="false">N277*$E$2*(1+$I$265)/($F$265-$I$265)/(1+$F$265)^$N$3</f>
        <v>12125.774487232</v>
      </c>
      <c r="Q277" s="15" t="n">
        <f aca="false">O277+P277</f>
        <v>16531.807221046</v>
      </c>
      <c r="R277" s="15" t="n">
        <f aca="false">Q277-$G$2+$I$2</f>
        <v>14979.107221046</v>
      </c>
      <c r="S277" s="40" t="n">
        <f aca="false">R277/$K$2</f>
        <v>54.392342572519</v>
      </c>
      <c r="T277" s="41" t="n">
        <f aca="false">S277-$M$2</f>
        <v>-0.11217828880492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-0.029052734375</v>
      </c>
      <c r="C278" s="25" t="n">
        <f aca="false">IF(T277&gt;0,D277,C277)</f>
        <v>-0.0283203125</v>
      </c>
      <c r="D278" s="39" t="n">
        <f aca="false">(B278+C278)/2</f>
        <v>-0.0286865234375</v>
      </c>
      <c r="E278" s="15" t="n">
        <f aca="false">$C$2*(1+IF(E$3&lt;=$O$2,$D278,$D278-($D278-$I$265)*MIN(E$3-$O$2,$Q$2)/$Q$2))</f>
        <v>1796.92993164063</v>
      </c>
      <c r="F278" s="15" t="n">
        <f aca="false">E278*(1+IF(F$3&lt;=$O$2,$D278,$D278-($D278-$I$265)*MIN(F$3-$O$2,$Q$2)/$Q$2))</f>
        <v>1745.38225904107</v>
      </c>
      <c r="G278" s="15" t="n">
        <f aca="false">F278*(1+IF(G$3&lt;=$O$2,$D278,$D278-($D278-$I$265)*MIN(G$3-$O$2,$Q$2)/$Q$2))</f>
        <v>1695.31330995969</v>
      </c>
      <c r="H278" s="15" t="n">
        <f aca="false">G278*(1+IF(H$3&lt;=$O$2,$D278,$D278-($D278-$I$265)*MIN(H$3-$O$2,$Q$2)/$Q$2))</f>
        <v>1646.68066495963</v>
      </c>
      <c r="I278" s="15" t="n">
        <f aca="false">H278*(1+IF(I$3&lt;=$O$2,$D278,$D278-($D278-$I$265)*MIN(I$3-$O$2,$Q$2)/$Q$2))</f>
        <v>1599.44312147019</v>
      </c>
      <c r="J278" s="15" t="n">
        <f aca="false">I278*(1+IF(J$3&lt;=$O$2,$D278,$D278-($D278-$I$265)*MIN(J$3-$O$2,$Q$2)/$Q$2))</f>
        <v>1572.3338101262</v>
      </c>
      <c r="K278" s="15" t="n">
        <f aca="false">J278*(1+IF(K$3&lt;=$O$2,$D278,$D278-($D278-$I$265)*MIN(K$3-$O$2,$Q$2)/$Q$2))</f>
        <v>1564.13894143026</v>
      </c>
      <c r="L278" s="15" t="n">
        <f aca="false">K278*(1+IF(L$3&lt;=$O$2,$D278,$D278-($D278-$I$265)*MIN(L$3-$O$2,$Q$2)/$Q$2))</f>
        <v>1574.34555901487</v>
      </c>
      <c r="M278" s="15" t="n">
        <f aca="false">L278*(1+IF(M$3&lt;=$O$2,$D278,$D278-($D278-$I$265)*MIN(M$3-$O$2,$Q$2)/$Q$2))</f>
        <v>1603.09735227575</v>
      </c>
      <c r="N278" s="15" t="n">
        <f aca="false">M278*(1+IF(N$3&lt;=$O$2,$D278,$D278-($D278-$I$265)*MIN(N$3-$O$2,$Q$2)/$Q$2))</f>
        <v>1651.19027284402</v>
      </c>
      <c r="O278" s="15" t="n">
        <f aca="false">SUMPRODUCT(E278:N278,1/(1+$F$265)^$E$3:$N$3)*$E$2</f>
        <v>4413.28234212273</v>
      </c>
      <c r="P278" s="15" t="n">
        <f aca="false">N278*$E$2*(1+$I$265)/($F$265-$I$265)/(1+$F$265)^$N$3</f>
        <v>12157.6091476168</v>
      </c>
      <c r="Q278" s="15" t="n">
        <f aca="false">O278+P278</f>
        <v>16570.8914897395</v>
      </c>
      <c r="R278" s="15" t="n">
        <f aca="false">Q278-$G$2+$I$2</f>
        <v>15018.1914897395</v>
      </c>
      <c r="S278" s="40" t="n">
        <f aca="false">R278/$K$2</f>
        <v>54.5342659128492</v>
      </c>
      <c r="T278" s="41" t="n">
        <f aca="false">S278-$M$2</f>
        <v>0.0297450515252322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-0.029052734375</v>
      </c>
      <c r="C279" s="25" t="n">
        <f aca="false">IF(T278&gt;0,D278,C278)</f>
        <v>-0.0286865234375</v>
      </c>
      <c r="D279" s="39" t="n">
        <f aca="false">(B279+C279)/2</f>
        <v>-0.02886962890625</v>
      </c>
      <c r="E279" s="15" t="n">
        <f aca="false">$C$2*(1+IF(E$3&lt;=$O$2,$D279,$D279-($D279-$I$265)*MIN(E$3-$O$2,$Q$2)/$Q$2))</f>
        <v>1796.59118652344</v>
      </c>
      <c r="F279" s="15" t="n">
        <f aca="false">E279*(1+IF(F$3&lt;=$O$2,$D279,$D279-($D279-$I$265)*MIN(F$3-$O$2,$Q$2)/$Q$2))</f>
        <v>1744.72426567227</v>
      </c>
      <c r="G279" s="15" t="n">
        <f aca="false">F279*(1+IF(G$3&lt;=$O$2,$D279,$D279-($D279-$I$265)*MIN(G$3-$O$2,$Q$2)/$Q$2))</f>
        <v>1694.35472357858</v>
      </c>
      <c r="H279" s="15" t="n">
        <f aca="false">G279*(1+IF(H$3&lt;=$O$2,$D279,$D279-($D279-$I$265)*MIN(H$3-$O$2,$Q$2)/$Q$2))</f>
        <v>1645.43933147331</v>
      </c>
      <c r="I279" s="15" t="n">
        <f aca="false">H279*(1+IF(I$3&lt;=$O$2,$D279,$D279-($D279-$I$265)*MIN(I$3-$O$2,$Q$2)/$Q$2))</f>
        <v>1597.93610858593</v>
      </c>
      <c r="J279" s="15" t="n">
        <f aca="false">I279*(1+IF(J$3&lt;=$O$2,$D279,$D279-($D279-$I$265)*MIN(J$3-$O$2,$Q$2)/$Q$2))</f>
        <v>1570.61826726083</v>
      </c>
      <c r="K279" s="15" t="n">
        <f aca="false">J279*(1+IF(K$3&lt;=$O$2,$D279,$D279-($D279-$I$265)*MIN(K$3-$O$2,$Q$2)/$Q$2))</f>
        <v>1562.25978655044</v>
      </c>
      <c r="L279" s="15" t="n">
        <f aca="false">K279*(1+IF(L$3&lt;=$O$2,$D279,$D279-($D279-$I$265)*MIN(L$3-$O$2,$Q$2)/$Q$2))</f>
        <v>1572.3397185912</v>
      </c>
      <c r="M279" s="15" t="n">
        <f aca="false">L279*(1+IF(M$3&lt;=$O$2,$D279,$D279-($D279-$I$265)*MIN(M$3-$O$2,$Q$2)/$Q$2))</f>
        <v>1600.99729899933</v>
      </c>
      <c r="N279" s="15" t="n">
        <f aca="false">M279*(1+IF(N$3&lt;=$O$2,$D279,$D279-($D279-$I$265)*MIN(N$3-$O$2,$Q$2)/$Q$2))</f>
        <v>1649.02721796931</v>
      </c>
      <c r="O279" s="15" t="n">
        <f aca="false">SUMPRODUCT(E279:N279,1/(1+$F$265)^$E$3:$N$3)*$E$2</f>
        <v>4409.65601278753</v>
      </c>
      <c r="P279" s="15" t="n">
        <f aca="false">N279*$E$2*(1+$I$265)/($F$265-$I$265)/(1+$F$265)^$N$3</f>
        <v>12141.6827119031</v>
      </c>
      <c r="Q279" s="15" t="n">
        <f aca="false">O279+P279</f>
        <v>16551.3387246906</v>
      </c>
      <c r="R279" s="15" t="n">
        <f aca="false">Q279-$G$2+$I$2</f>
        <v>14998.6387246906</v>
      </c>
      <c r="S279" s="40" t="n">
        <f aca="false">R279/$K$2</f>
        <v>54.4632656403306</v>
      </c>
      <c r="T279" s="41" t="n">
        <f aca="false">S279-$M$2</f>
        <v>-0.0412552209933708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-0.02886962890625</v>
      </c>
      <c r="C280" s="25" t="n">
        <f aca="false">IF(T279&gt;0,D279,C279)</f>
        <v>-0.0286865234375</v>
      </c>
      <c r="D280" s="39" t="n">
        <f aca="false">(B280+C280)/2</f>
        <v>-0.028778076171875</v>
      </c>
      <c r="E280" s="15" t="n">
        <f aca="false">$C$2*(1+IF(E$3&lt;=$O$2,$D280,$D280-($D280-$I$265)*MIN(E$3-$O$2,$Q$2)/$Q$2))</f>
        <v>1796.76055908203</v>
      </c>
      <c r="F280" s="15" t="n">
        <f aca="false">E280*(1+IF(F$3&lt;=$O$2,$D280,$D280-($D280-$I$265)*MIN(F$3-$O$2,$Q$2)/$Q$2))</f>
        <v>1745.05324685015</v>
      </c>
      <c r="G280" s="15" t="n">
        <f aca="false">F280*(1+IF(G$3&lt;=$O$2,$D280,$D280-($D280-$I$265)*MIN(G$3-$O$2,$Q$2)/$Q$2))</f>
        <v>1694.83397158832</v>
      </c>
      <c r="H280" s="15" t="n">
        <f aca="false">G280*(1+IF(H$3&lt;=$O$2,$D280,$D280-($D280-$I$265)*MIN(H$3-$O$2,$Q$2)/$Q$2))</f>
        <v>1646.05991045527</v>
      </c>
      <c r="I280" s="15" t="n">
        <f aca="false">H280*(1+IF(I$3&lt;=$O$2,$D280,$D280-($D280-$I$265)*MIN(I$3-$O$2,$Q$2)/$Q$2))</f>
        <v>1598.68947296871</v>
      </c>
      <c r="J280" s="15" t="n">
        <f aca="false">I280*(1+IF(J$3&lt;=$O$2,$D280,$D280-($D280-$I$265)*MIN(J$3-$O$2,$Q$2)/$Q$2))</f>
        <v>1571.47584386391</v>
      </c>
      <c r="K280" s="15" t="n">
        <f aca="false">J280*(1+IF(K$3&lt;=$O$2,$D280,$D280-($D280-$I$265)*MIN(K$3-$O$2,$Q$2)/$Q$2))</f>
        <v>1563.19912306809</v>
      </c>
      <c r="L280" s="15" t="n">
        <f aca="false">K280*(1+IF(L$3&lt;=$O$2,$D280,$D280-($D280-$I$265)*MIN(L$3-$O$2,$Q$2)/$Q$2))</f>
        <v>1573.34236190913</v>
      </c>
      <c r="M280" s="15" t="n">
        <f aca="false">L280*(1+IF(M$3&lt;=$O$2,$D280,$D280-($D280-$I$265)*MIN(M$3-$O$2,$Q$2)/$Q$2))</f>
        <v>1602.04702532786</v>
      </c>
      <c r="N280" s="15" t="n">
        <f aca="false">M280*(1+IF(N$3&lt;=$O$2,$D280,$D280-($D280-$I$265)*MIN(N$3-$O$2,$Q$2)/$Q$2))</f>
        <v>1650.1084360877</v>
      </c>
      <c r="O280" s="15" t="n">
        <f aca="false">SUMPRODUCT(E280:N280,1/(1+$F$265)^$E$3:$N$3)*$E$2</f>
        <v>4411.46879600798</v>
      </c>
      <c r="P280" s="15" t="n">
        <f aca="false">N280*$E$2*(1+$I$265)/($F$265-$I$265)/(1+$F$265)^$N$3</f>
        <v>12149.643652264</v>
      </c>
      <c r="Q280" s="15" t="n">
        <f aca="false">O280+P280</f>
        <v>16561.112448272</v>
      </c>
      <c r="R280" s="15" t="n">
        <f aca="false">Q280-$G$2+$I$2</f>
        <v>15008.412448272</v>
      </c>
      <c r="S280" s="40" t="n">
        <f aca="false">R280/$K$2</f>
        <v>54.4987561213988</v>
      </c>
      <c r="T280" s="41" t="n">
        <f aca="false">S280-$M$2</f>
        <v>-0.00576473992512661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-0.028778076171875</v>
      </c>
      <c r="C281" s="25" t="n">
        <f aca="false">IF(T280&gt;0,D280,C280)</f>
        <v>-0.0286865234375</v>
      </c>
      <c r="D281" s="39" t="n">
        <f aca="false">(B281+C281)/2</f>
        <v>-0.0287322998046875</v>
      </c>
      <c r="E281" s="15" t="n">
        <f aca="false">$C$2*(1+IF(E$3&lt;=$O$2,$D281,$D281-($D281-$I$265)*MIN(E$3-$O$2,$Q$2)/$Q$2))</f>
        <v>1796.84524536133</v>
      </c>
      <c r="F281" s="15" t="n">
        <f aca="false">E281*(1+IF(F$3&lt;=$O$2,$D281,$D281-($D281-$I$265)*MIN(F$3-$O$2,$Q$2)/$Q$2))</f>
        <v>1745.21774906898</v>
      </c>
      <c r="G281" s="15" t="n">
        <f aca="false">F281*(1+IF(G$3&lt;=$O$2,$D281,$D281-($D281-$I$265)*MIN(G$3-$O$2,$Q$2)/$Q$2))</f>
        <v>1695.07362947827</v>
      </c>
      <c r="H281" s="15" t="n">
        <f aca="false">G281*(1+IF(H$3&lt;=$O$2,$D281,$D281-($D281-$I$265)*MIN(H$3-$O$2,$Q$2)/$Q$2))</f>
        <v>1646.37026576508</v>
      </c>
      <c r="I281" s="15" t="n">
        <f aca="false">H281*(1+IF(I$3&lt;=$O$2,$D281,$D281-($D281-$I$265)*MIN(I$3-$O$2,$Q$2)/$Q$2))</f>
        <v>1599.06626169959</v>
      </c>
      <c r="J281" s="15" t="n">
        <f aca="false">I281*(1+IF(J$3&lt;=$O$2,$D281,$D281-($D281-$I$265)*MIN(J$3-$O$2,$Q$2)/$Q$2))</f>
        <v>1571.90477827882</v>
      </c>
      <c r="K281" s="15" t="n">
        <f aca="false">J281*(1+IF(K$3&lt;=$O$2,$D281,$D281-($D281-$I$265)*MIN(K$3-$O$2,$Q$2)/$Q$2))</f>
        <v>1563.66897200581</v>
      </c>
      <c r="L281" s="15" t="n">
        <f aca="false">K281*(1+IF(L$3&lt;=$O$2,$D281,$D281-($D281-$I$265)*MIN(L$3-$O$2,$Q$2)/$Q$2))</f>
        <v>1573.84389122233</v>
      </c>
      <c r="M281" s="15" t="n">
        <f aca="false">L281*(1+IF(M$3&lt;=$O$2,$D281,$D281-($D281-$I$265)*MIN(M$3-$O$2,$Q$2)/$Q$2))</f>
        <v>1602.57211370599</v>
      </c>
      <c r="N281" s="15" t="n">
        <f aca="false">M281*(1+IF(N$3&lt;=$O$2,$D281,$D281-($D281-$I$265)*MIN(N$3-$O$2,$Q$2)/$Q$2))</f>
        <v>1650.64927711717</v>
      </c>
      <c r="O281" s="15" t="n">
        <f aca="false">SUMPRODUCT(E281:N281,1/(1+$F$265)^$E$3:$N$3)*$E$2</f>
        <v>4412.37547368457</v>
      </c>
      <c r="P281" s="15" t="n">
        <f aca="false">N281*$E$2*(1+$I$265)/($F$265-$I$265)/(1+$F$265)^$N$3</f>
        <v>12153.6258304269</v>
      </c>
      <c r="Q281" s="15" t="n">
        <f aca="false">O281+P281</f>
        <v>16566.0013041115</v>
      </c>
      <c r="R281" s="15" t="n">
        <f aca="false">Q281-$G$2+$I$2</f>
        <v>15013.3013041115</v>
      </c>
      <c r="S281" s="40" t="n">
        <f aca="false">R281/$K$2</f>
        <v>54.5165086027507</v>
      </c>
      <c r="T281" s="41" t="n">
        <f aca="false">S281-$M$2</f>
        <v>0.0119877414267364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-0.028778076171875</v>
      </c>
      <c r="C282" s="25" t="n">
        <f aca="false">IF(T281&gt;0,D281,C281)</f>
        <v>-0.0287322998046875</v>
      </c>
      <c r="D282" s="39" t="n">
        <f aca="false">(B282+C282)/2</f>
        <v>-0.0287551879882813</v>
      </c>
      <c r="E282" s="15" t="n">
        <f aca="false">$C$2*(1+IF(E$3&lt;=$O$2,$D282,$D282-($D282-$I$265)*MIN(E$3-$O$2,$Q$2)/$Q$2))</f>
        <v>1796.80290222168</v>
      </c>
      <c r="F282" s="15" t="n">
        <f aca="false">E282*(1+IF(F$3&lt;=$O$2,$D282,$D282-($D282-$I$265)*MIN(F$3-$O$2,$Q$2)/$Q$2))</f>
        <v>1745.13549699041</v>
      </c>
      <c r="G282" s="15" t="n">
        <f aca="false">F282*(1+IF(G$3&lt;=$O$2,$D282,$D282-($D282-$I$265)*MIN(G$3-$O$2,$Q$2)/$Q$2))</f>
        <v>1694.95379770942</v>
      </c>
      <c r="H282" s="15" t="n">
        <f aca="false">G282*(1+IF(H$3&lt;=$O$2,$D282,$D282-($D282-$I$265)*MIN(H$3-$O$2,$Q$2)/$Q$2))</f>
        <v>1646.21508262484</v>
      </c>
      <c r="I282" s="15" t="n">
        <f aca="false">H282*(1+IF(I$3&lt;=$O$2,$D282,$D282-($D282-$I$265)*MIN(I$3-$O$2,$Q$2)/$Q$2))</f>
        <v>1598.87785845482</v>
      </c>
      <c r="J282" s="15" t="n">
        <f aca="false">I282*(1+IF(J$3&lt;=$O$2,$D282,$D282-($D282-$I$265)*MIN(J$3-$O$2,$Q$2)/$Q$2))</f>
        <v>1571.69029889341</v>
      </c>
      <c r="K282" s="15" t="n">
        <f aca="false">J282*(1+IF(K$3&lt;=$O$2,$D282,$D282-($D282-$I$265)*MIN(K$3-$O$2,$Q$2)/$Q$2))</f>
        <v>1563.43403247771</v>
      </c>
      <c r="L282" s="15" t="n">
        <f aca="false">K282*(1+IF(L$3&lt;=$O$2,$D282,$D282-($D282-$I$265)*MIN(L$3-$O$2,$Q$2)/$Q$2))</f>
        <v>1573.59310925784</v>
      </c>
      <c r="M282" s="15" t="n">
        <f aca="false">L282*(1+IF(M$3&lt;=$O$2,$D282,$D282-($D282-$I$265)*MIN(M$3-$O$2,$Q$2)/$Q$2))</f>
        <v>1602.30955074527</v>
      </c>
      <c r="N282" s="15" t="n">
        <f aca="false">M282*(1+IF(N$3&lt;=$O$2,$D282,$D282-($D282-$I$265)*MIN(N$3-$O$2,$Q$2)/$Q$2))</f>
        <v>1650.37883726763</v>
      </c>
      <c r="O282" s="15" t="n">
        <f aca="false">SUMPRODUCT(E282:N282,1/(1+$F$265)^$E$3:$N$3)*$E$2</f>
        <v>4411.92211100346</v>
      </c>
      <c r="P282" s="15" t="n">
        <f aca="false">N282*$E$2*(1+$I$265)/($F$265-$I$265)/(1+$F$265)^$N$3</f>
        <v>12151.6345989846</v>
      </c>
      <c r="Q282" s="15" t="n">
        <f aca="false">O282+P282</f>
        <v>16563.556709988</v>
      </c>
      <c r="R282" s="15" t="n">
        <f aca="false">Q282-$G$2+$I$2</f>
        <v>15010.856709988</v>
      </c>
      <c r="S282" s="40" t="n">
        <f aca="false">R282/$K$2</f>
        <v>54.5076317585534</v>
      </c>
      <c r="T282" s="41" t="n">
        <f aca="false">S282-$M$2</f>
        <v>0.00311089722944757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-0.028778076171875</v>
      </c>
      <c r="C283" s="25" t="n">
        <f aca="false">IF(T282&gt;0,D282,C282)</f>
        <v>-0.0287551879882813</v>
      </c>
      <c r="D283" s="39" t="n">
        <f aca="false">(B283+C283)/2</f>
        <v>-0.0287666320800781</v>
      </c>
      <c r="E283" s="15" t="n">
        <f aca="false">$C$2*(1+IF(E$3&lt;=$O$2,$D283,$D283-($D283-$I$265)*MIN(E$3-$O$2,$Q$2)/$Q$2))</f>
        <v>1796.78173065186</v>
      </c>
      <c r="F283" s="15" t="n">
        <f aca="false">E283*(1+IF(F$3&lt;=$O$2,$D283,$D283-($D283-$I$265)*MIN(F$3-$O$2,$Q$2)/$Q$2))</f>
        <v>1745.09437167799</v>
      </c>
      <c r="G283" s="15" t="n">
        <f aca="false">F283*(1+IF(G$3&lt;=$O$2,$D283,$D283-($D283-$I$265)*MIN(G$3-$O$2,$Q$2)/$Q$2))</f>
        <v>1694.89388394291</v>
      </c>
      <c r="H283" s="15" t="n">
        <f aca="false">G283*(1+IF(H$3&lt;=$O$2,$D283,$D283-($D283-$I$265)*MIN(H$3-$O$2,$Q$2)/$Q$2))</f>
        <v>1646.13749516875</v>
      </c>
      <c r="I283" s="15" t="n">
        <f aca="false">H283*(1+IF(I$3&lt;=$O$2,$D283,$D283-($D283-$I$265)*MIN(I$3-$O$2,$Q$2)/$Q$2))</f>
        <v>1598.78366349201</v>
      </c>
      <c r="J283" s="15" t="n">
        <f aca="false">I283*(1+IF(J$3&lt;=$O$2,$D283,$D283-($D283-$I$265)*MIN(J$3-$O$2,$Q$2)/$Q$2))</f>
        <v>1571.58306833431</v>
      </c>
      <c r="K283" s="15" t="n">
        <f aca="false">J283*(1+IF(K$3&lt;=$O$2,$D283,$D283-($D283-$I$265)*MIN(K$3-$O$2,$Q$2)/$Q$2))</f>
        <v>1563.31657400829</v>
      </c>
      <c r="L283" s="15" t="n">
        <f aca="false">K283*(1+IF(L$3&lt;=$O$2,$D283,$D283-($D283-$I$265)*MIN(L$3-$O$2,$Q$2)/$Q$2))</f>
        <v>1573.46773125677</v>
      </c>
      <c r="M283" s="15" t="n">
        <f aca="false">L283*(1+IF(M$3&lt;=$O$2,$D283,$D283-($D283-$I$265)*MIN(M$3-$O$2,$Q$2)/$Q$2))</f>
        <v>1602.17828334394</v>
      </c>
      <c r="N283" s="15" t="n">
        <f aca="false">M283*(1+IF(N$3&lt;=$O$2,$D283,$D283-($D283-$I$265)*MIN(N$3-$O$2,$Q$2)/$Q$2))</f>
        <v>1650.24363184426</v>
      </c>
      <c r="O283" s="15" t="n">
        <f aca="false">SUMPRODUCT(E283:N283,1/(1+$F$265)^$E$3:$N$3)*$E$2</f>
        <v>4411.69544754531</v>
      </c>
      <c r="P283" s="15" t="n">
        <f aca="false">N283*$E$2*(1+$I$265)/($F$265-$I$265)/(1+$F$265)^$N$3</f>
        <v>12150.6390900362</v>
      </c>
      <c r="Q283" s="15" t="n">
        <f aca="false">O283+P283</f>
        <v>16562.3345375816</v>
      </c>
      <c r="R283" s="15" t="n">
        <f aca="false">Q283-$G$2+$I$2</f>
        <v>15009.6345375816</v>
      </c>
      <c r="S283" s="40" t="n">
        <f aca="false">R283/$K$2</f>
        <v>54.5031937891047</v>
      </c>
      <c r="T283" s="41" t="n">
        <f aca="false">S283-$M$2</f>
        <v>-0.00132707221919759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-0.0287666320800781</v>
      </c>
      <c r="C284" s="25" t="n">
        <f aca="false">IF(T283&gt;0,D283,C283)</f>
        <v>-0.0287551879882813</v>
      </c>
      <c r="D284" s="39" t="n">
        <f aca="false">(B284+C284)/2</f>
        <v>-0.0287609100341797</v>
      </c>
      <c r="E284" s="15" t="n">
        <f aca="false">$C$2*(1+IF(E$3&lt;=$O$2,$D284,$D284-($D284-$I$265)*MIN(E$3-$O$2,$Q$2)/$Q$2))</f>
        <v>1796.79231643677</v>
      </c>
      <c r="F284" s="15" t="n">
        <f aca="false">E284*(1+IF(F$3&lt;=$O$2,$D284,$D284-($D284-$I$265)*MIN(F$3-$O$2,$Q$2)/$Q$2))</f>
        <v>1745.11493427362</v>
      </c>
      <c r="G284" s="15" t="n">
        <f aca="false">F284*(1+IF(G$3&lt;=$O$2,$D284,$D284-($D284-$I$265)*MIN(G$3-$O$2,$Q$2)/$Q$2))</f>
        <v>1694.92384064968</v>
      </c>
      <c r="H284" s="15" t="n">
        <f aca="false">G284*(1+IF(H$3&lt;=$O$2,$D284,$D284-($D284-$I$265)*MIN(H$3-$O$2,$Q$2)/$Q$2))</f>
        <v>1646.17628855397</v>
      </c>
      <c r="I284" s="15" t="n">
        <f aca="false">H284*(1+IF(I$3&lt;=$O$2,$D284,$D284-($D284-$I$265)*MIN(I$3-$O$2,$Q$2)/$Q$2))</f>
        <v>1598.83076041847</v>
      </c>
      <c r="J284" s="15" t="n">
        <f aca="false">I284*(1+IF(J$3&lt;=$O$2,$D284,$D284-($D284-$I$265)*MIN(J$3-$O$2,$Q$2)/$Q$2))</f>
        <v>1571.63668285276</v>
      </c>
      <c r="K284" s="15" t="n">
        <f aca="false">J284*(1+IF(K$3&lt;=$O$2,$D284,$D284-($D284-$I$265)*MIN(K$3-$O$2,$Q$2)/$Q$2))</f>
        <v>1563.37530230182</v>
      </c>
      <c r="L284" s="15" t="n">
        <f aca="false">K284*(1+IF(L$3&lt;=$O$2,$D284,$D284-($D284-$I$265)*MIN(L$3-$O$2,$Q$2)/$Q$2))</f>
        <v>1573.53041917559</v>
      </c>
      <c r="M284" s="15" t="n">
        <f aca="false">L284*(1+IF(M$3&lt;=$O$2,$D284,$D284-($D284-$I$265)*MIN(M$3-$O$2,$Q$2)/$Q$2))</f>
        <v>1602.24391587141</v>
      </c>
      <c r="N284" s="15" t="n">
        <f aca="false">M284*(1+IF(N$3&lt;=$O$2,$D284,$D284-($D284-$I$265)*MIN(N$3-$O$2,$Q$2)/$Q$2))</f>
        <v>1650.31123334756</v>
      </c>
      <c r="O284" s="15" t="n">
        <f aca="false">SUMPRODUCT(E284:N284,1/(1+$F$265)^$E$3:$N$3)*$E$2</f>
        <v>4411.80877778424</v>
      </c>
      <c r="P284" s="15" t="n">
        <f aca="false">N284*$E$2*(1+$I$265)/($F$265-$I$265)/(1+$F$265)^$N$3</f>
        <v>12151.1368356131</v>
      </c>
      <c r="Q284" s="15" t="n">
        <f aca="false">O284+P284</f>
        <v>16562.9456133974</v>
      </c>
      <c r="R284" s="15" t="n">
        <f aca="false">Q284-$G$2+$I$2</f>
        <v>15010.2456133974</v>
      </c>
      <c r="S284" s="40" t="n">
        <f aca="false">R284/$K$2</f>
        <v>54.5054127361101</v>
      </c>
      <c r="T284" s="41" t="n">
        <f aca="false">S284-$M$2</f>
        <v>0.000891874786148605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-0.0287666320800781</v>
      </c>
      <c r="C285" s="25" t="n">
        <f aca="false">IF(T284&gt;0,D284,C284)</f>
        <v>-0.0287609100341797</v>
      </c>
      <c r="D285" s="39" t="n">
        <f aca="false">(B285+C285)/2</f>
        <v>-0.0287637710571289</v>
      </c>
      <c r="E285" s="15" t="n">
        <f aca="false">$C$2*(1+IF(E$3&lt;=$O$2,$D285,$D285-($D285-$I$265)*MIN(E$3-$O$2,$Q$2)/$Q$2))</f>
        <v>1796.78702354431</v>
      </c>
      <c r="F285" s="15" t="n">
        <f aca="false">E285*(1+IF(F$3&lt;=$O$2,$D285,$D285-($D285-$I$265)*MIN(F$3-$O$2,$Q$2)/$Q$2))</f>
        <v>1745.10465296066</v>
      </c>
      <c r="G285" s="15" t="n">
        <f aca="false">F285*(1+IF(G$3&lt;=$O$2,$D285,$D285-($D285-$I$265)*MIN(G$3-$O$2,$Q$2)/$Q$2))</f>
        <v>1694.90886225217</v>
      </c>
      <c r="H285" s="15" t="n">
        <f aca="false">G285*(1+IF(H$3&lt;=$O$2,$D285,$D285-($D285-$I$265)*MIN(H$3-$O$2,$Q$2)/$Q$2))</f>
        <v>1646.15689177565</v>
      </c>
      <c r="I285" s="15" t="n">
        <f aca="false">H285*(1+IF(I$3&lt;=$O$2,$D285,$D285-($D285-$I$265)*MIN(I$3-$O$2,$Q$2)/$Q$2))</f>
        <v>1598.8072118165</v>
      </c>
      <c r="J285" s="15" t="n">
        <f aca="false">I285*(1+IF(J$3&lt;=$O$2,$D285,$D285-($D285-$I$265)*MIN(J$3-$O$2,$Q$2)/$Q$2))</f>
        <v>1571.60987540326</v>
      </c>
      <c r="K285" s="15" t="n">
        <f aca="false">J285*(1+IF(K$3&lt;=$O$2,$D285,$D285-($D285-$I$265)*MIN(K$3-$O$2,$Q$2)/$Q$2))</f>
        <v>1563.34593791977</v>
      </c>
      <c r="L285" s="15" t="n">
        <f aca="false">K285*(1+IF(L$3&lt;=$O$2,$D285,$D285-($D285-$I$265)*MIN(L$3-$O$2,$Q$2)/$Q$2))</f>
        <v>1573.49907494575</v>
      </c>
      <c r="M285" s="15" t="n">
        <f aca="false">L285*(1+IF(M$3&lt;=$O$2,$D285,$D285-($D285-$I$265)*MIN(M$3-$O$2,$Q$2)/$Q$2))</f>
        <v>1602.21109931438</v>
      </c>
      <c r="N285" s="15" t="n">
        <f aca="false">M285*(1+IF(N$3&lt;=$O$2,$D285,$D285-($D285-$I$265)*MIN(N$3-$O$2,$Q$2)/$Q$2))</f>
        <v>1650.27743229382</v>
      </c>
      <c r="O285" s="15" t="n">
        <f aca="false">SUMPRODUCT(E285:N285,1/(1+$F$265)^$E$3:$N$3)*$E$2</f>
        <v>4411.75211229225</v>
      </c>
      <c r="P285" s="15" t="n">
        <f aca="false">N285*$E$2*(1+$I$265)/($F$265-$I$265)/(1+$F$265)^$N$3</f>
        <v>12150.8879606004</v>
      </c>
      <c r="Q285" s="15" t="n">
        <f aca="false">O285+P285</f>
        <v>16562.6400728926</v>
      </c>
      <c r="R285" s="15" t="n">
        <f aca="false">Q285-$G$2+$I$2</f>
        <v>15009.9400728926</v>
      </c>
      <c r="S285" s="40" t="n">
        <f aca="false">R285/$K$2</f>
        <v>54.5043032531778</v>
      </c>
      <c r="T285" s="41" t="n">
        <f aca="false">S285-$M$2</f>
        <v>-0.000217608146108716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-0.0287637710571289</v>
      </c>
      <c r="C286" s="25" t="n">
        <f aca="false">IF(T285&gt;0,D285,C285)</f>
        <v>-0.0287609100341797</v>
      </c>
      <c r="D286" s="39" t="n">
        <f aca="false">(B286+C286)/2</f>
        <v>-0.0287623405456543</v>
      </c>
      <c r="E286" s="15" t="n">
        <f aca="false">$C$2*(1+IF(E$3&lt;=$O$2,$D286,$D286-($D286-$I$265)*MIN(E$3-$O$2,$Q$2)/$Q$2))</f>
        <v>1796.78966999054</v>
      </c>
      <c r="F286" s="15" t="n">
        <f aca="false">E286*(1+IF(F$3&lt;=$O$2,$D286,$D286-($D286-$I$265)*MIN(F$3-$O$2,$Q$2)/$Q$2))</f>
        <v>1745.10979361336</v>
      </c>
      <c r="G286" s="15" t="n">
        <f aca="false">F286*(1+IF(G$3&lt;=$O$2,$D286,$D286-($D286-$I$265)*MIN(G$3-$O$2,$Q$2)/$Q$2))</f>
        <v>1694.91635143989</v>
      </c>
      <c r="H286" s="15" t="n">
        <f aca="false">G286*(1+IF(H$3&lt;=$O$2,$D286,$D286-($D286-$I$265)*MIN(H$3-$O$2,$Q$2)/$Q$2))</f>
        <v>1646.16659014338</v>
      </c>
      <c r="I286" s="15" t="n">
        <f aca="false">H286*(1+IF(I$3&lt;=$O$2,$D286,$D286-($D286-$I$265)*MIN(I$3-$O$2,$Q$2)/$Q$2))</f>
        <v>1598.8189860828</v>
      </c>
      <c r="J286" s="15" t="n">
        <f aca="false">I286*(1+IF(J$3&lt;=$O$2,$D286,$D286-($D286-$I$265)*MIN(J$3-$O$2,$Q$2)/$Q$2))</f>
        <v>1571.62327908044</v>
      </c>
      <c r="K286" s="15" t="n">
        <f aca="false">J286*(1+IF(K$3&lt;=$O$2,$D286,$D286-($D286-$I$265)*MIN(K$3-$O$2,$Q$2)/$Q$2))</f>
        <v>1563.36062005197</v>
      </c>
      <c r="L286" s="15" t="n">
        <f aca="false">K286*(1+IF(L$3&lt;=$O$2,$D286,$D286-($D286-$I$265)*MIN(L$3-$O$2,$Q$2)/$Q$2))</f>
        <v>1573.51474699307</v>
      </c>
      <c r="M286" s="15" t="n">
        <f aca="false">L286*(1+IF(M$3&lt;=$O$2,$D286,$D286-($D286-$I$265)*MIN(M$3-$O$2,$Q$2)/$Q$2))</f>
        <v>1602.22750751958</v>
      </c>
      <c r="N286" s="15" t="n">
        <f aca="false">M286*(1+IF(N$3&lt;=$O$2,$D286,$D286-($D286-$I$265)*MIN(N$3-$O$2,$Q$2)/$Q$2))</f>
        <v>1650.29433274516</v>
      </c>
      <c r="O286" s="15" t="n">
        <f aca="false">SUMPRODUCT(E286:N286,1/(1+$F$265)^$E$3:$N$3)*$E$2</f>
        <v>4411.78044494511</v>
      </c>
      <c r="P286" s="15" t="n">
        <f aca="false">N286*$E$2*(1+$I$265)/($F$265-$I$265)/(1+$F$265)^$N$3</f>
        <v>12151.0123975507</v>
      </c>
      <c r="Q286" s="15" t="n">
        <f aca="false">O286+P286</f>
        <v>16562.7928424958</v>
      </c>
      <c r="R286" s="15" t="n">
        <f aca="false">Q286-$G$2+$I$2</f>
        <v>15010.0928424958</v>
      </c>
      <c r="S286" s="40" t="n">
        <f aca="false">R286/$K$2</f>
        <v>54.5048579922866</v>
      </c>
      <c r="T286" s="41" t="n">
        <f aca="false">S286-$M$2</f>
        <v>0.00033713096261323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-0.0287637710571289</v>
      </c>
      <c r="C287" s="25" t="n">
        <f aca="false">IF(T286&gt;0,D286,C286)</f>
        <v>-0.0287623405456543</v>
      </c>
      <c r="D287" s="39" t="n">
        <f aca="false">(B287+C287)/2</f>
        <v>-0.0287630558013916</v>
      </c>
      <c r="E287" s="15" t="n">
        <f aca="false">$C$2*(1+IF(E$3&lt;=$O$2,$D287,$D287-($D287-$I$265)*MIN(E$3-$O$2,$Q$2)/$Q$2))</f>
        <v>1796.78834676743</v>
      </c>
      <c r="F287" s="15" t="n">
        <f aca="false">E287*(1+IF(F$3&lt;=$O$2,$D287,$D287-($D287-$I$265)*MIN(F$3-$O$2,$Q$2)/$Q$2))</f>
        <v>1745.10722328606</v>
      </c>
      <c r="G287" s="15" t="n">
        <f aca="false">F287*(1+IF(G$3&lt;=$O$2,$D287,$D287-($D287-$I$265)*MIN(G$3-$O$2,$Q$2)/$Q$2))</f>
        <v>1694.91260684328</v>
      </c>
      <c r="H287" s="15" t="n">
        <f aca="false">G287*(1+IF(H$3&lt;=$O$2,$D287,$D287-($D287-$I$265)*MIN(H$3-$O$2,$Q$2)/$Q$2))</f>
        <v>1646.16174095416</v>
      </c>
      <c r="I287" s="15" t="n">
        <f aca="false">H287*(1+IF(I$3&lt;=$O$2,$D287,$D287-($D287-$I$265)*MIN(I$3-$O$2,$Q$2)/$Q$2))</f>
        <v>1598.81309894098</v>
      </c>
      <c r="J287" s="15" t="n">
        <f aca="false">I287*(1+IF(J$3&lt;=$O$2,$D287,$D287-($D287-$I$265)*MIN(J$3-$O$2,$Q$2)/$Q$2))</f>
        <v>1571.61657722996</v>
      </c>
      <c r="K287" s="15" t="n">
        <f aca="false">J287*(1+IF(K$3&lt;=$O$2,$D287,$D287-($D287-$I$265)*MIN(K$3-$O$2,$Q$2)/$Q$2))</f>
        <v>1563.35327897116</v>
      </c>
      <c r="L287" s="15" t="n">
        <f aca="false">K287*(1+IF(L$3&lt;=$O$2,$D287,$D287-($D287-$I$265)*MIN(L$3-$O$2,$Q$2)/$Q$2))</f>
        <v>1573.50691095251</v>
      </c>
      <c r="M287" s="15" t="n">
        <f aca="false">L287*(1+IF(M$3&lt;=$O$2,$D287,$D287-($D287-$I$265)*MIN(M$3-$O$2,$Q$2)/$Q$2))</f>
        <v>1602.21930339865</v>
      </c>
      <c r="N287" s="15" t="n">
        <f aca="false">M287*(1+IF(N$3&lt;=$O$2,$D287,$D287-($D287-$I$265)*MIN(N$3-$O$2,$Q$2)/$Q$2))</f>
        <v>1650.28588250061</v>
      </c>
      <c r="O287" s="15" t="n">
        <f aca="false">SUMPRODUCT(E287:N287,1/(1+$F$265)^$E$3:$N$3)*$E$2</f>
        <v>4411.7662785954</v>
      </c>
      <c r="P287" s="15" t="n">
        <f aca="false">N287*$E$2*(1+$I$265)/($F$265-$I$265)/(1+$F$265)^$N$3</f>
        <v>12150.9501789365</v>
      </c>
      <c r="Q287" s="15" t="n">
        <f aca="false">O287+P287</f>
        <v>16562.7164575319</v>
      </c>
      <c r="R287" s="15" t="n">
        <f aca="false">Q287-$G$2+$I$2</f>
        <v>15010.0164575319</v>
      </c>
      <c r="S287" s="40" t="n">
        <f aca="false">R287/$K$2</f>
        <v>54.5045806221428</v>
      </c>
      <c r="T287" s="41" t="n">
        <f aca="false">S287-$M$2</f>
        <v>5.97608188783738E-005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-0.0287637710571289</v>
      </c>
      <c r="C288" s="25" t="n">
        <f aca="false">IF(T287&gt;0,D287,C287)</f>
        <v>-0.0287630558013916</v>
      </c>
      <c r="D288" s="39" t="n">
        <f aca="false">(B288+C288)/2</f>
        <v>-0.0287634134292603</v>
      </c>
      <c r="E288" s="15" t="n">
        <f aca="false">$C$2*(1+IF(E$3&lt;=$O$2,$D288,$D288-($D288-$I$265)*MIN(E$3-$O$2,$Q$2)/$Q$2))</f>
        <v>1796.78768515587</v>
      </c>
      <c r="F288" s="15" t="n">
        <f aca="false">E288*(1+IF(F$3&lt;=$O$2,$D288,$D288-($D288-$I$265)*MIN(F$3-$O$2,$Q$2)/$Q$2))</f>
        <v>1745.10593812313</v>
      </c>
      <c r="G288" s="15" t="n">
        <f aca="false">F288*(1+IF(G$3&lt;=$O$2,$D288,$D288-($D288-$I$265)*MIN(G$3-$O$2,$Q$2)/$Q$2))</f>
        <v>1694.91073454703</v>
      </c>
      <c r="H288" s="15" t="n">
        <f aca="false">G288*(1+IF(H$3&lt;=$O$2,$D288,$D288-($D288-$I$265)*MIN(H$3-$O$2,$Q$2)/$Q$2))</f>
        <v>1646.15931636357</v>
      </c>
      <c r="I288" s="15" t="n">
        <f aca="false">H288*(1+IF(I$3&lt;=$O$2,$D288,$D288-($D288-$I$265)*MIN(I$3-$O$2,$Q$2)/$Q$2))</f>
        <v>1598.81015537657</v>
      </c>
      <c r="J288" s="15" t="n">
        <f aca="false">I288*(1+IF(J$3&lt;=$O$2,$D288,$D288-($D288-$I$265)*MIN(J$3-$O$2,$Q$2)/$Q$2))</f>
        <v>1571.61322631364</v>
      </c>
      <c r="K288" s="15" t="n">
        <f aca="false">J288*(1+IF(K$3&lt;=$O$2,$D288,$D288-($D288-$I$265)*MIN(K$3-$O$2,$Q$2)/$Q$2))</f>
        <v>1563.34960844179</v>
      </c>
      <c r="L288" s="15" t="n">
        <f aca="false">K288*(1+IF(L$3&lt;=$O$2,$D288,$D288-($D288-$I$265)*MIN(L$3-$O$2,$Q$2)/$Q$2))</f>
        <v>1573.50299294491</v>
      </c>
      <c r="M288" s="15" t="n">
        <f aca="false">L288*(1+IF(M$3&lt;=$O$2,$D288,$D288-($D288-$I$265)*MIN(M$3-$O$2,$Q$2)/$Q$2))</f>
        <v>1602.21520135193</v>
      </c>
      <c r="N288" s="15" t="n">
        <f aca="false">M288*(1+IF(N$3&lt;=$O$2,$D288,$D288-($D288-$I$265)*MIN(N$3-$O$2,$Q$2)/$Q$2))</f>
        <v>1650.28165739249</v>
      </c>
      <c r="O288" s="15" t="n">
        <f aca="false">SUMPRODUCT(E288:N288,1/(1+$F$265)^$E$3:$N$3)*$E$2</f>
        <v>4411.759195438</v>
      </c>
      <c r="P288" s="15" t="n">
        <f aca="false">N288*$E$2*(1+$I$265)/($F$265-$I$265)/(1+$F$265)^$N$3</f>
        <v>12150.9190697337</v>
      </c>
      <c r="Q288" s="15" t="n">
        <f aca="false">O288+P288</f>
        <v>16562.6782651717</v>
      </c>
      <c r="R288" s="15" t="n">
        <f aca="false">Q288-$G$2+$I$2</f>
        <v>15009.9782651717</v>
      </c>
      <c r="S288" s="40" t="n">
        <f aca="false">R288/$K$2</f>
        <v>54.504441937513</v>
      </c>
      <c r="T288" s="41" t="n">
        <f aca="false">S288-$M$2</f>
        <v>-7.8923810953313E-005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-0.0287634134292603</v>
      </c>
      <c r="C289" s="25" t="n">
        <f aca="false">IF(T288&gt;0,D288,C288)</f>
        <v>-0.0287630558013916</v>
      </c>
      <c r="D289" s="39" t="n">
        <f aca="false">(B289+C289)/2</f>
        <v>-0.0287632346153259</v>
      </c>
      <c r="E289" s="15" t="n">
        <f aca="false">$C$2*(1+IF(E$3&lt;=$O$2,$D289,$D289-($D289-$I$265)*MIN(E$3-$O$2,$Q$2)/$Q$2))</f>
        <v>1796.78801596165</v>
      </c>
      <c r="F289" s="15" t="n">
        <f aca="false">E289*(1+IF(F$3&lt;=$O$2,$D289,$D289-($D289-$I$265)*MIN(F$3-$O$2,$Q$2)/$Q$2))</f>
        <v>1745.10658070454</v>
      </c>
      <c r="G289" s="15" t="n">
        <f aca="false">F289*(1+IF(G$3&lt;=$O$2,$D289,$D289-($D289-$I$265)*MIN(G$3-$O$2,$Q$2)/$Q$2))</f>
        <v>1694.91167069498</v>
      </c>
      <c r="H289" s="15" t="n">
        <f aca="false">G289*(1+IF(H$3&lt;=$O$2,$D289,$D289-($D289-$I$265)*MIN(H$3-$O$2,$Q$2)/$Q$2))</f>
        <v>1646.16052865853</v>
      </c>
      <c r="I289" s="15" t="n">
        <f aca="false">H289*(1+IF(I$3&lt;=$O$2,$D289,$D289-($D289-$I$265)*MIN(I$3-$O$2,$Q$2)/$Q$2))</f>
        <v>1598.81162715823</v>
      </c>
      <c r="J289" s="15" t="n">
        <f aca="false">I289*(1+IF(J$3&lt;=$O$2,$D289,$D289-($D289-$I$265)*MIN(J$3-$O$2,$Q$2)/$Q$2))</f>
        <v>1571.61490177105</v>
      </c>
      <c r="K289" s="15" t="n">
        <f aca="false">J289*(1+IF(K$3&lt;=$O$2,$D289,$D289-($D289-$I$265)*MIN(K$3-$O$2,$Q$2)/$Q$2))</f>
        <v>1563.35144370556</v>
      </c>
      <c r="L289" s="15" t="n">
        <f aca="false">K289*(1+IF(L$3&lt;=$O$2,$D289,$D289-($D289-$I$265)*MIN(L$3-$O$2,$Q$2)/$Q$2))</f>
        <v>1573.50495194765</v>
      </c>
      <c r="M289" s="15" t="n">
        <f aca="false">L289*(1+IF(M$3&lt;=$O$2,$D289,$D289-($D289-$I$265)*MIN(M$3-$O$2,$Q$2)/$Q$2))</f>
        <v>1602.21725237415</v>
      </c>
      <c r="N289" s="15" t="n">
        <f aca="false">M289*(1+IF(N$3&lt;=$O$2,$D289,$D289-($D289-$I$265)*MIN(N$3-$O$2,$Q$2)/$Q$2))</f>
        <v>1650.28376994537</v>
      </c>
      <c r="O289" s="15" t="n">
        <f aca="false">SUMPRODUCT(E289:N289,1/(1+$F$265)^$E$3:$N$3)*$E$2</f>
        <v>4411.76273701524</v>
      </c>
      <c r="P289" s="15" t="n">
        <f aca="false">N289*$E$2*(1+$I$265)/($F$265-$I$265)/(1+$F$265)^$N$3</f>
        <v>12150.9346243264</v>
      </c>
      <c r="Q289" s="15" t="n">
        <f aca="false">O289+P289</f>
        <v>16562.6973613417</v>
      </c>
      <c r="R289" s="15" t="n">
        <f aca="false">Q289-$G$2+$I$2</f>
        <v>15009.9973613417</v>
      </c>
      <c r="S289" s="40" t="n">
        <f aca="false">R289/$K$2</f>
        <v>54.5045112797911</v>
      </c>
      <c r="T289" s="41" t="n">
        <f aca="false">S289-$M$2</f>
        <v>-9.58153287200503E-006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-0.0287632346153259</v>
      </c>
      <c r="C290" s="25" t="n">
        <f aca="false">IF(T289&gt;0,D289,C289)</f>
        <v>-0.0287630558013916</v>
      </c>
      <c r="D290" s="39" t="n">
        <f aca="false">(B290+C290)/2</f>
        <v>-0.0287631452083588</v>
      </c>
      <c r="E290" s="15" t="n">
        <f aca="false">$C$2*(1+IF(E$3&lt;=$O$2,$D290,$D290-($D290-$I$265)*MIN(E$3-$O$2,$Q$2)/$Q$2))</f>
        <v>1796.78818136454</v>
      </c>
      <c r="F290" s="15" t="n">
        <f aca="false">E290*(1+IF(F$3&lt;=$O$2,$D290,$D290-($D290-$I$265)*MIN(F$3-$O$2,$Q$2)/$Q$2))</f>
        <v>1745.10690199529</v>
      </c>
      <c r="G290" s="15" t="n">
        <f aca="false">F290*(1+IF(G$3&lt;=$O$2,$D290,$D290-($D290-$I$265)*MIN(G$3-$O$2,$Q$2)/$Q$2))</f>
        <v>1694.91213876909</v>
      </c>
      <c r="H290" s="15" t="n">
        <f aca="false">G290*(1+IF(H$3&lt;=$O$2,$D290,$D290-($D290-$I$265)*MIN(H$3-$O$2,$Q$2)/$Q$2))</f>
        <v>1646.16113480626</v>
      </c>
      <c r="I290" s="15" t="n">
        <f aca="false">H290*(1+IF(I$3&lt;=$O$2,$D290,$D290-($D290-$I$265)*MIN(I$3-$O$2,$Q$2)/$Q$2))</f>
        <v>1598.81236304947</v>
      </c>
      <c r="J290" s="15" t="n">
        <f aca="false">I290*(1+IF(J$3&lt;=$O$2,$D290,$D290-($D290-$I$265)*MIN(J$3-$O$2,$Q$2)/$Q$2))</f>
        <v>1571.61573950032</v>
      </c>
      <c r="K290" s="15" t="n">
        <f aca="false">J290*(1+IF(K$3&lt;=$O$2,$D290,$D290-($D290-$I$265)*MIN(K$3-$O$2,$Q$2)/$Q$2))</f>
        <v>1563.35236133813</v>
      </c>
      <c r="L290" s="15" t="n">
        <f aca="false">K290*(1+IF(L$3&lt;=$O$2,$D290,$D290-($D290-$I$265)*MIN(L$3-$O$2,$Q$2)/$Q$2))</f>
        <v>1573.50593144982</v>
      </c>
      <c r="M290" s="15" t="n">
        <f aca="false">L290*(1+IF(M$3&lt;=$O$2,$D290,$D290-($D290-$I$265)*MIN(M$3-$O$2,$Q$2)/$Q$2))</f>
        <v>1602.21827788611</v>
      </c>
      <c r="N290" s="15" t="n">
        <f aca="false">M290*(1+IF(N$3&lt;=$O$2,$D290,$D290-($D290-$I$265)*MIN(N$3-$O$2,$Q$2)/$Q$2))</f>
        <v>1650.28482622269</v>
      </c>
      <c r="O290" s="15" t="n">
        <f aca="false">SUMPRODUCT(E290:N290,1/(1+$F$265)^$E$3:$N$3)*$E$2</f>
        <v>4411.76450780496</v>
      </c>
      <c r="P290" s="15" t="n">
        <f aca="false">N290*$E$2*(1+$I$265)/($F$265-$I$265)/(1+$F$265)^$N$3</f>
        <v>12150.9424016293</v>
      </c>
      <c r="Q290" s="15" t="n">
        <f aca="false">O290+P290</f>
        <v>16562.7069094343</v>
      </c>
      <c r="R290" s="15" t="n">
        <f aca="false">Q290-$G$2+$I$2</f>
        <v>15010.0069094343</v>
      </c>
      <c r="S290" s="40" t="n">
        <f aca="false">R290/$K$2</f>
        <v>54.5045459509577</v>
      </c>
      <c r="T290" s="41" t="n">
        <f aca="false">S290-$M$2</f>
        <v>2.5089633801656E-005</v>
      </c>
    </row>
    <row r="292" customFormat="false" ht="15" hidden="false" customHeight="false" outlineLevel="0" collapsed="false">
      <c r="A292" s="36" t="s">
        <v>185</v>
      </c>
      <c r="E292" s="5" t="s">
        <v>11</v>
      </c>
      <c r="F292" s="12" t="n">
        <f aca="false">Sensitivity!$B$11</f>
        <v>0.0585093056415221</v>
      </c>
      <c r="G292" s="5" t="s">
        <v>12</v>
      </c>
      <c r="I292" s="12" t="n">
        <f aca="false">Sensitivity!$G$9</f>
        <v>0.035</v>
      </c>
    </row>
    <row r="293" customFormat="false" ht="23.85" hidden="false" customHeight="false" outlineLevel="0" collapsed="false">
      <c r="A293" s="36" t="s">
        <v>156</v>
      </c>
      <c r="B293" s="28" t="s">
        <v>157</v>
      </c>
      <c r="C293" s="28" t="s">
        <v>158</v>
      </c>
      <c r="D293" s="28" t="s">
        <v>159</v>
      </c>
      <c r="E293" s="28" t="s">
        <v>160</v>
      </c>
      <c r="F293" s="28" t="s">
        <v>161</v>
      </c>
      <c r="G293" s="28" t="s">
        <v>162</v>
      </c>
      <c r="H293" s="28" t="s">
        <v>163</v>
      </c>
      <c r="I293" s="28" t="s">
        <v>164</v>
      </c>
      <c r="J293" s="28" t="s">
        <v>165</v>
      </c>
      <c r="K293" s="28" t="s">
        <v>166</v>
      </c>
      <c r="L293" s="28" t="s">
        <v>167</v>
      </c>
      <c r="M293" s="28" t="s">
        <v>168</v>
      </c>
      <c r="N293" s="28" t="s">
        <v>169</v>
      </c>
      <c r="O293" s="28" t="s">
        <v>170</v>
      </c>
      <c r="P293" s="28" t="s">
        <v>171</v>
      </c>
      <c r="Q293" s="28" t="s">
        <v>172</v>
      </c>
      <c r="R293" s="28" t="s">
        <v>173</v>
      </c>
      <c r="S293" s="28" t="s">
        <v>174</v>
      </c>
      <c r="T293" s="28" t="s">
        <v>175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39" t="n">
        <f aca="false">(B294+C294)/2</f>
        <v>0.25</v>
      </c>
      <c r="E294" s="15" t="n">
        <f aca="false">$C$2*(1+IF(E$3&lt;=$O$2,$D294,$D294-($D294-$I$292)*MIN(E$3-$O$2,$Q$2)/$Q$2))</f>
        <v>2312.5</v>
      </c>
      <c r="F294" s="15" t="n">
        <f aca="false">E294*(1+IF(F$3&lt;=$O$2,$D294,$D294-($D294-$I$292)*MIN(F$3-$O$2,$Q$2)/$Q$2))</f>
        <v>2890.625</v>
      </c>
      <c r="G294" s="15" t="n">
        <f aca="false">F294*(1+IF(G$3&lt;=$O$2,$D294,$D294-($D294-$I$292)*MIN(G$3-$O$2,$Q$2)/$Q$2))</f>
        <v>3613.28125</v>
      </c>
      <c r="H294" s="15" t="n">
        <f aca="false">G294*(1+IF(H$3&lt;=$O$2,$D294,$D294-($D294-$I$292)*MIN(H$3-$O$2,$Q$2)/$Q$2))</f>
        <v>4516.6015625</v>
      </c>
      <c r="I294" s="15" t="n">
        <f aca="false">H294*(1+IF(I$3&lt;=$O$2,$D294,$D294-($D294-$I$292)*MIN(I$3-$O$2,$Q$2)/$Q$2))</f>
        <v>5645.751953125</v>
      </c>
      <c r="J294" s="15" t="n">
        <f aca="false">I294*(1+IF(J$3&lt;=$O$2,$D294,$D294-($D294-$I$292)*MIN(J$3-$O$2,$Q$2)/$Q$2))</f>
        <v>6814.42260742188</v>
      </c>
      <c r="K294" s="15" t="n">
        <f aca="false">J294*(1+IF(K$3&lt;=$O$2,$D294,$D294-($D294-$I$292)*MIN(K$3-$O$2,$Q$2)/$Q$2))</f>
        <v>7931.98791503906</v>
      </c>
      <c r="L294" s="15" t="n">
        <f aca="false">K294*(1+IF(L$3&lt;=$O$2,$D294,$D294-($D294-$I$292)*MIN(L$3-$O$2,$Q$2)/$Q$2))</f>
        <v>8891.75845275879</v>
      </c>
      <c r="M294" s="15" t="n">
        <f aca="false">L294*(1+IF(M$3&lt;=$O$2,$D294,$D294-($D294-$I$292)*MIN(M$3-$O$2,$Q$2)/$Q$2))</f>
        <v>9585.31561207397</v>
      </c>
      <c r="N294" s="15" t="n">
        <f aca="false">M294*(1+IF(N$3&lt;=$O$2,$D294,$D294-($D294-$I$292)*MIN(N$3-$O$2,$Q$2)/$Q$2))</f>
        <v>9920.80165849656</v>
      </c>
      <c r="O294" s="15" t="n">
        <f aca="false">SUMPRODUCT(E294:N294,1/(1+$F$292)^$E$3:$N$3)*$E$2</f>
        <v>15415.345915071</v>
      </c>
      <c r="P294" s="15" t="n">
        <f aca="false">N294*$E$2*(1+$I$292)/($F$292-$I$292)/(1+$F$292)^$N$3</f>
        <v>89011.8414418465</v>
      </c>
      <c r="Q294" s="15" t="n">
        <f aca="false">O294+P294</f>
        <v>104427.187356918</v>
      </c>
      <c r="R294" s="15" t="n">
        <f aca="false">Q294-$G$2+$I$2</f>
        <v>102874.487356918</v>
      </c>
      <c r="S294" s="40" t="n">
        <f aca="false">R294/$K$2</f>
        <v>373.559269969562</v>
      </c>
      <c r="T294" s="41" t="n">
        <f aca="false">S294-$M$2</f>
        <v>319.054749108238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39" t="n">
        <f aca="false">(B295+C295)/2</f>
        <v>-0.125</v>
      </c>
      <c r="E295" s="15" t="n">
        <f aca="false">$C$2*(1+IF(E$3&lt;=$O$2,$D295,$D295-($D295-$I$292)*MIN(E$3-$O$2,$Q$2)/$Q$2))</f>
        <v>1618.75</v>
      </c>
      <c r="F295" s="15" t="n">
        <f aca="false">E295*(1+IF(F$3&lt;=$O$2,$D295,$D295-($D295-$I$292)*MIN(F$3-$O$2,$Q$2)/$Q$2))</f>
        <v>1416.40625</v>
      </c>
      <c r="G295" s="15" t="n">
        <f aca="false">F295*(1+IF(G$3&lt;=$O$2,$D295,$D295-($D295-$I$292)*MIN(G$3-$O$2,$Q$2)/$Q$2))</f>
        <v>1239.35546875</v>
      </c>
      <c r="H295" s="15" t="n">
        <f aca="false">G295*(1+IF(H$3&lt;=$O$2,$D295,$D295-($D295-$I$292)*MIN(H$3-$O$2,$Q$2)/$Q$2))</f>
        <v>1084.43603515625</v>
      </c>
      <c r="I295" s="15" t="n">
        <f aca="false">H295*(1+IF(I$3&lt;=$O$2,$D295,$D295-($D295-$I$292)*MIN(I$3-$O$2,$Q$2)/$Q$2))</f>
        <v>948.881530761719</v>
      </c>
      <c r="J295" s="15" t="n">
        <f aca="false">I295*(1+IF(J$3&lt;=$O$2,$D295,$D295-($D295-$I$292)*MIN(J$3-$O$2,$Q$2)/$Q$2))</f>
        <v>860.635548400879</v>
      </c>
      <c r="K295" s="15" t="n">
        <f aca="false">J295*(1+IF(K$3&lt;=$O$2,$D295,$D295-($D295-$I$292)*MIN(K$3-$O$2,$Q$2)/$Q$2))</f>
        <v>808.136779948425</v>
      </c>
      <c r="L295" s="15" t="n">
        <f aca="false">K295*(1+IF(L$3&lt;=$O$2,$D295,$D295-($D295-$I$292)*MIN(L$3-$O$2,$Q$2)/$Q$2))</f>
        <v>784.700813329921</v>
      </c>
      <c r="M295" s="15" t="n">
        <f aca="false">L295*(1+IF(M$3&lt;=$O$2,$D295,$D295-($D295-$I$292)*MIN(M$3-$O$2,$Q$2)/$Q$2))</f>
        <v>787.054915769911</v>
      </c>
      <c r="N295" s="15" t="n">
        <f aca="false">M295*(1+IF(N$3&lt;=$O$2,$D295,$D295-($D295-$I$292)*MIN(N$3-$O$2,$Q$2)/$Q$2))</f>
        <v>814.601837821858</v>
      </c>
      <c r="O295" s="15" t="n">
        <f aca="false">SUMPRODUCT(E295:N295,1/(1+$F$292)^$E$3:$N$3)*$E$2</f>
        <v>2879.67433175517</v>
      </c>
      <c r="P295" s="15" t="n">
        <f aca="false">N295*$E$2*(1+$I$292)/($F$292-$I$292)/(1+$F$292)^$N$3</f>
        <v>7308.80548996122</v>
      </c>
      <c r="Q295" s="15" t="n">
        <f aca="false">O295+P295</f>
        <v>10188.4798217164</v>
      </c>
      <c r="R295" s="15" t="n">
        <f aca="false">Q295-$G$2+$I$2</f>
        <v>8635.77982171638</v>
      </c>
      <c r="S295" s="40" t="n">
        <f aca="false">R295/$K$2</f>
        <v>31.3583638538668</v>
      </c>
      <c r="T295" s="41" t="n">
        <f aca="false">S295-$M$2</f>
        <v>-23.1461570074571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39" t="n">
        <f aca="false">(B296+C296)/2</f>
        <v>0.0625</v>
      </c>
      <c r="E296" s="15" t="n">
        <f aca="false">$C$2*(1+IF(E$3&lt;=$O$2,$D296,$D296-($D296-$I$292)*MIN(E$3-$O$2,$Q$2)/$Q$2))</f>
        <v>1965.625</v>
      </c>
      <c r="F296" s="15" t="n">
        <f aca="false">E296*(1+IF(F$3&lt;=$O$2,$D296,$D296-($D296-$I$292)*MIN(F$3-$O$2,$Q$2)/$Q$2))</f>
        <v>2088.4765625</v>
      </c>
      <c r="G296" s="15" t="n">
        <f aca="false">F296*(1+IF(G$3&lt;=$O$2,$D296,$D296-($D296-$I$292)*MIN(G$3-$O$2,$Q$2)/$Q$2))</f>
        <v>2219.00634765625</v>
      </c>
      <c r="H296" s="15" t="n">
        <f aca="false">G296*(1+IF(H$3&lt;=$O$2,$D296,$D296-($D296-$I$292)*MIN(H$3-$O$2,$Q$2)/$Q$2))</f>
        <v>2357.69424438477</v>
      </c>
      <c r="I296" s="15" t="n">
        <f aca="false">H296*(1+IF(I$3&lt;=$O$2,$D296,$D296-($D296-$I$292)*MIN(I$3-$O$2,$Q$2)/$Q$2))</f>
        <v>2505.05013465881</v>
      </c>
      <c r="J296" s="15" t="n">
        <f aca="false">I296*(1+IF(J$3&lt;=$O$2,$D296,$D296-($D296-$I$292)*MIN(J$3-$O$2,$Q$2)/$Q$2))</f>
        <v>2647.83799233437</v>
      </c>
      <c r="K296" s="15" t="n">
        <f aca="false">J296*(1+IF(K$3&lt;=$O$2,$D296,$D296-($D296-$I$292)*MIN(K$3-$O$2,$Q$2)/$Q$2))</f>
        <v>2784.20164893959</v>
      </c>
      <c r="L296" s="15" t="n">
        <f aca="false">K296*(1+IF(L$3&lt;=$O$2,$D296,$D296-($D296-$I$292)*MIN(L$3-$O$2,$Q$2)/$Q$2))</f>
        <v>2912.27492479081</v>
      </c>
      <c r="M296" s="15" t="n">
        <f aca="false">L296*(1+IF(M$3&lt;=$O$2,$D296,$D296-($D296-$I$292)*MIN(M$3-$O$2,$Q$2)/$Q$2))</f>
        <v>3030.22205924483</v>
      </c>
      <c r="N296" s="15" t="n">
        <f aca="false">M296*(1+IF(N$3&lt;=$O$2,$D296,$D296-($D296-$I$292)*MIN(N$3-$O$2,$Q$2)/$Q$2))</f>
        <v>3136.2798313184</v>
      </c>
      <c r="O296" s="15" t="n">
        <f aca="false">SUMPRODUCT(E296:N296,1/(1+$F$292)^$E$3:$N$3)*$E$2</f>
        <v>6674.89893010665</v>
      </c>
      <c r="P296" s="15" t="n">
        <f aca="false">N296*$E$2*(1+$I$292)/($F$292-$I$292)/(1+$F$292)^$N$3</f>
        <v>28139.4641957675</v>
      </c>
      <c r="Q296" s="15" t="n">
        <f aca="false">O296+P296</f>
        <v>34814.3631258742</v>
      </c>
      <c r="R296" s="15" t="n">
        <f aca="false">Q296-$G$2+$I$2</f>
        <v>33261.6631258742</v>
      </c>
      <c r="S296" s="40" t="n">
        <f aca="false">R296/$K$2</f>
        <v>120.780213972454</v>
      </c>
      <c r="T296" s="41" t="n">
        <f aca="false">S296-$M$2</f>
        <v>66.2756931111303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39" t="n">
        <f aca="false">(B297+C297)/2</f>
        <v>-0.03125</v>
      </c>
      <c r="E297" s="15" t="n">
        <f aca="false">$C$2*(1+IF(E$3&lt;=$O$2,$D297,$D297-($D297-$I$292)*MIN(E$3-$O$2,$Q$2)/$Q$2))</f>
        <v>1792.1875</v>
      </c>
      <c r="F297" s="15" t="n">
        <f aca="false">E297*(1+IF(F$3&lt;=$O$2,$D297,$D297-($D297-$I$292)*MIN(F$3-$O$2,$Q$2)/$Q$2))</f>
        <v>1736.181640625</v>
      </c>
      <c r="G297" s="15" t="n">
        <f aca="false">F297*(1+IF(G$3&lt;=$O$2,$D297,$D297-($D297-$I$292)*MIN(G$3-$O$2,$Q$2)/$Q$2))</f>
        <v>1681.92596435547</v>
      </c>
      <c r="H297" s="15" t="n">
        <f aca="false">G297*(1+IF(H$3&lt;=$O$2,$D297,$D297-($D297-$I$292)*MIN(H$3-$O$2,$Q$2)/$Q$2))</f>
        <v>1629.36577796936</v>
      </c>
      <c r="I297" s="15" t="n">
        <f aca="false">H297*(1+IF(I$3&lt;=$O$2,$D297,$D297-($D297-$I$292)*MIN(I$3-$O$2,$Q$2)/$Q$2))</f>
        <v>1578.44809740782</v>
      </c>
      <c r="J297" s="15" t="n">
        <f aca="false">I297*(1+IF(J$3&lt;=$O$2,$D297,$D297-($D297-$I$292)*MIN(J$3-$O$2,$Q$2)/$Q$2))</f>
        <v>1550.03603165448</v>
      </c>
      <c r="K297" s="15" t="n">
        <f aca="false">J297*(1+IF(K$3&lt;=$O$2,$D297,$D297-($D297-$I$292)*MIN(K$3-$O$2,$Q$2)/$Q$2))</f>
        <v>1542.67336050412</v>
      </c>
      <c r="L297" s="15" t="n">
        <f aca="false">K297*(1+IF(L$3&lt;=$O$2,$D297,$D297-($D297-$I$292)*MIN(L$3-$O$2,$Q$2)/$Q$2))</f>
        <v>1555.7860840684</v>
      </c>
      <c r="M297" s="15" t="n">
        <f aca="false">L297*(1+IF(M$3&lt;=$O$2,$D297,$D297-($D297-$I$292)*MIN(M$3-$O$2,$Q$2)/$Q$2))</f>
        <v>1589.62443139689</v>
      </c>
      <c r="N297" s="15" t="n">
        <f aca="false">M297*(1+IF(N$3&lt;=$O$2,$D297,$D297-($D297-$I$292)*MIN(N$3-$O$2,$Q$2)/$Q$2))</f>
        <v>1645.26128649578</v>
      </c>
      <c r="O297" s="15" t="n">
        <f aca="false">SUMPRODUCT(E297:N297,1/(1+$F$292)^$E$3:$N$3)*$E$2</f>
        <v>4374.75763932826</v>
      </c>
      <c r="P297" s="15" t="n">
        <f aca="false">N297*$E$2*(1+$I$292)/($F$292-$I$292)/(1+$F$292)^$N$3</f>
        <v>14761.6837635845</v>
      </c>
      <c r="Q297" s="15" t="n">
        <f aca="false">O297+P297</f>
        <v>19136.4414029128</v>
      </c>
      <c r="R297" s="15" t="n">
        <f aca="false">Q297-$G$2+$I$2</f>
        <v>17583.7414029128</v>
      </c>
      <c r="S297" s="40" t="n">
        <f aca="false">R297/$K$2</f>
        <v>63.8503264567079</v>
      </c>
      <c r="T297" s="41" t="n">
        <f aca="false">S297-$M$2</f>
        <v>9.34580559538392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-0.125</v>
      </c>
      <c r="C298" s="25" t="n">
        <f aca="false">IF(T297&gt;0,D297,C297)</f>
        <v>-0.03125</v>
      </c>
      <c r="D298" s="39" t="n">
        <f aca="false">(B298+C298)/2</f>
        <v>-0.078125</v>
      </c>
      <c r="E298" s="15" t="n">
        <f aca="false">$C$2*(1+IF(E$3&lt;=$O$2,$D298,$D298-($D298-$I$292)*MIN(E$3-$O$2,$Q$2)/$Q$2))</f>
        <v>1705.46875</v>
      </c>
      <c r="F298" s="15" t="n">
        <f aca="false">E298*(1+IF(F$3&lt;=$O$2,$D298,$D298-($D298-$I$292)*MIN(F$3-$O$2,$Q$2)/$Q$2))</f>
        <v>1572.22900390625</v>
      </c>
      <c r="G298" s="15" t="n">
        <f aca="false">F298*(1+IF(G$3&lt;=$O$2,$D298,$D298-($D298-$I$292)*MIN(G$3-$O$2,$Q$2)/$Q$2))</f>
        <v>1449.39861297607</v>
      </c>
      <c r="H298" s="15" t="n">
        <f aca="false">G298*(1+IF(H$3&lt;=$O$2,$D298,$D298-($D298-$I$292)*MIN(H$3-$O$2,$Q$2)/$Q$2))</f>
        <v>1336.16434633732</v>
      </c>
      <c r="I298" s="15" t="n">
        <f aca="false">H298*(1+IF(I$3&lt;=$O$2,$D298,$D298-($D298-$I$292)*MIN(I$3-$O$2,$Q$2)/$Q$2))</f>
        <v>1231.77650677972</v>
      </c>
      <c r="J298" s="15" t="n">
        <f aca="false">I298*(1+IF(J$3&lt;=$O$2,$D298,$D298-($D298-$I$292)*MIN(J$3-$O$2,$Q$2)/$Q$2))</f>
        <v>1163.41291065344</v>
      </c>
      <c r="K298" s="15" t="n">
        <f aca="false">J298*(1+IF(K$3&lt;=$O$2,$D298,$D298-($D298-$I$292)*MIN(K$3-$O$2,$Q$2)/$Q$2))</f>
        <v>1125.16571121571</v>
      </c>
      <c r="L298" s="15" t="n">
        <f aca="false">K298*(1+IF(L$3&lt;=$O$2,$D298,$D298-($D298-$I$292)*MIN(L$3-$O$2,$Q$2)/$Q$2))</f>
        <v>1113.63276267575</v>
      </c>
      <c r="M298" s="15" t="n">
        <f aca="false">L298*(1+IF(M$3&lt;=$O$2,$D298,$D298-($D298-$I$292)*MIN(M$3-$O$2,$Q$2)/$Q$2))</f>
        <v>1127.41396811386</v>
      </c>
      <c r="N298" s="15" t="n">
        <f aca="false">M298*(1+IF(N$3&lt;=$O$2,$D298,$D298-($D298-$I$292)*MIN(N$3-$O$2,$Q$2)/$Q$2))</f>
        <v>1166.87345699785</v>
      </c>
      <c r="O298" s="15" t="n">
        <f aca="false">SUMPRODUCT(E298:N298,1/(1+$F$292)^$E$3:$N$3)*$E$2</f>
        <v>3546.12915985777</v>
      </c>
      <c r="P298" s="15" t="n">
        <f aca="false">N298*$E$2*(1+$I$292)/($F$292-$I$292)/(1+$F$292)^$N$3</f>
        <v>10469.4719955455</v>
      </c>
      <c r="Q298" s="15" t="n">
        <f aca="false">O298+P298</f>
        <v>14015.6011554033</v>
      </c>
      <c r="R298" s="15" t="n">
        <f aca="false">Q298-$G$2+$I$2</f>
        <v>12462.9011554033</v>
      </c>
      <c r="S298" s="40" t="n">
        <f aca="false">R298/$K$2</f>
        <v>45.2554600944236</v>
      </c>
      <c r="T298" s="41" t="n">
        <f aca="false">S298-$M$2</f>
        <v>-9.24906076690033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-0.078125</v>
      </c>
      <c r="C299" s="25" t="n">
        <f aca="false">IF(T298&gt;0,D298,C298)</f>
        <v>-0.03125</v>
      </c>
      <c r="D299" s="39" t="n">
        <f aca="false">(B299+C299)/2</f>
        <v>-0.0546875</v>
      </c>
      <c r="E299" s="15" t="n">
        <f aca="false">$C$2*(1+IF(E$3&lt;=$O$2,$D299,$D299-($D299-$I$292)*MIN(E$3-$O$2,$Q$2)/$Q$2))</f>
        <v>1748.828125</v>
      </c>
      <c r="F299" s="15" t="n">
        <f aca="false">E299*(1+IF(F$3&lt;=$O$2,$D299,$D299-($D299-$I$292)*MIN(F$3-$O$2,$Q$2)/$Q$2))</f>
        <v>1653.18908691406</v>
      </c>
      <c r="G299" s="15" t="n">
        <f aca="false">F299*(1+IF(G$3&lt;=$O$2,$D299,$D299-($D299-$I$292)*MIN(G$3-$O$2,$Q$2)/$Q$2))</f>
        <v>1562.78030872345</v>
      </c>
      <c r="H299" s="15" t="n">
        <f aca="false">G299*(1+IF(H$3&lt;=$O$2,$D299,$D299-($D299-$I$292)*MIN(H$3-$O$2,$Q$2)/$Q$2))</f>
        <v>1477.31576059014</v>
      </c>
      <c r="I299" s="15" t="n">
        <f aca="false">H299*(1+IF(I$3&lt;=$O$2,$D299,$D299-($D299-$I$292)*MIN(I$3-$O$2,$Q$2)/$Q$2))</f>
        <v>1396.52505493286</v>
      </c>
      <c r="J299" s="15" t="n">
        <f aca="false">I299*(1+IF(J$3&lt;=$O$2,$D299,$D299-($D299-$I$292)*MIN(J$3-$O$2,$Q$2)/$Q$2))</f>
        <v>1345.20275916408</v>
      </c>
      <c r="K299" s="15" t="n">
        <f aca="false">J299*(1+IF(K$3&lt;=$O$2,$D299,$D299-($D299-$I$292)*MIN(K$3-$O$2,$Q$2)/$Q$2))</f>
        <v>1319.89613225731</v>
      </c>
      <c r="L299" s="15" t="n">
        <f aca="false">K299*(1+IF(L$3&lt;=$O$2,$D299,$D299-($D299-$I$292)*MIN(L$3-$O$2,$Q$2)/$Q$2))</f>
        <v>1318.74122314158</v>
      </c>
      <c r="M299" s="15" t="n">
        <f aca="false">L299*(1+IF(M$3&lt;=$O$2,$D299,$D299-($D299-$I$292)*MIN(M$3-$O$2,$Q$2)/$Q$2))</f>
        <v>1341.24224526143</v>
      </c>
      <c r="N299" s="15" t="n">
        <f aca="false">M299*(1+IF(N$3&lt;=$O$2,$D299,$D299-($D299-$I$292)*MIN(N$3-$O$2,$Q$2)/$Q$2))</f>
        <v>1388.18572384558</v>
      </c>
      <c r="O299" s="15" t="n">
        <f aca="false">SUMPRODUCT(E299:N299,1/(1+$F$292)^$E$3:$N$3)*$E$2</f>
        <v>3938.00002142624</v>
      </c>
      <c r="P299" s="15" t="n">
        <f aca="false">N299*$E$2*(1+$I$292)/($F$292-$I$292)/(1+$F$292)^$N$3</f>
        <v>12455.1393925865</v>
      </c>
      <c r="Q299" s="15" t="n">
        <f aca="false">O299+P299</f>
        <v>16393.1394140128</v>
      </c>
      <c r="R299" s="15" t="n">
        <f aca="false">Q299-$G$2+$I$2</f>
        <v>14840.4394140128</v>
      </c>
      <c r="S299" s="40" t="n">
        <f aca="false">R299/$K$2</f>
        <v>53.8888101020834</v>
      </c>
      <c r="T299" s="41" t="n">
        <f aca="false">S299-$M$2</f>
        <v>-0.615710759240521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-0.0546875</v>
      </c>
      <c r="C300" s="25" t="n">
        <f aca="false">IF(T299&gt;0,D299,C299)</f>
        <v>-0.03125</v>
      </c>
      <c r="D300" s="39" t="n">
        <f aca="false">(B300+C300)/2</f>
        <v>-0.04296875</v>
      </c>
      <c r="E300" s="15" t="n">
        <f aca="false">$C$2*(1+IF(E$3&lt;=$O$2,$D300,$D300-($D300-$I$292)*MIN(E$3-$O$2,$Q$2)/$Q$2))</f>
        <v>1770.5078125</v>
      </c>
      <c r="F300" s="15" t="n">
        <f aca="false">E300*(1+IF(F$3&lt;=$O$2,$D300,$D300-($D300-$I$292)*MIN(F$3-$O$2,$Q$2)/$Q$2))</f>
        <v>1694.43130493164</v>
      </c>
      <c r="G300" s="15" t="n">
        <f aca="false">F300*(1+IF(G$3&lt;=$O$2,$D300,$D300-($D300-$I$292)*MIN(G$3-$O$2,$Q$2)/$Q$2))</f>
        <v>1621.62370979786</v>
      </c>
      <c r="H300" s="15" t="n">
        <f aca="false">G300*(1+IF(H$3&lt;=$O$2,$D300,$D300-($D300-$I$292)*MIN(H$3-$O$2,$Q$2)/$Q$2))</f>
        <v>1551.94456601748</v>
      </c>
      <c r="I300" s="15" t="n">
        <f aca="false">H300*(1+IF(I$3&lt;=$O$2,$D300,$D300-($D300-$I$292)*MIN(I$3-$O$2,$Q$2)/$Q$2))</f>
        <v>1485.25944794642</v>
      </c>
      <c r="J300" s="15" t="n">
        <f aca="false">I300*(1+IF(J$3&lt;=$O$2,$D300,$D300-($D300-$I$292)*MIN(J$3-$O$2,$Q$2)/$Q$2))</f>
        <v>1444.60047055889</v>
      </c>
      <c r="K300" s="15" t="n">
        <f aca="false">J300*(1+IF(K$3&lt;=$O$2,$D300,$D300-($D300-$I$292)*MIN(K$3-$O$2,$Q$2)/$Q$2))</f>
        <v>1427.58127126511</v>
      </c>
      <c r="L300" s="15" t="n">
        <f aca="false">K300*(1+IF(L$3&lt;=$O$2,$D300,$D300-($D300-$I$292)*MIN(L$3-$O$2,$Q$2)/$Q$2))</f>
        <v>1433.02392486181</v>
      </c>
      <c r="M300" s="15" t="n">
        <f aca="false">L300*(1+IF(M$3&lt;=$O$2,$D300,$D300-($D300-$I$292)*MIN(M$3-$O$2,$Q$2)/$Q$2))</f>
        <v>1460.83354540366</v>
      </c>
      <c r="N300" s="15" t="n">
        <f aca="false">M300*(1+IF(N$3&lt;=$O$2,$D300,$D300-($D300-$I$292)*MIN(N$3-$O$2,$Q$2)/$Q$2))</f>
        <v>1511.96271949279</v>
      </c>
      <c r="O300" s="15" t="n">
        <f aca="false">SUMPRODUCT(E300:N300,1/(1+$F$292)^$E$3:$N$3)*$E$2</f>
        <v>4150.47435721707</v>
      </c>
      <c r="P300" s="15" t="n">
        <f aca="false">N300*$E$2*(1+$I$292)/($F$292-$I$292)/(1+$F$292)^$N$3</f>
        <v>13565.6966529729</v>
      </c>
      <c r="Q300" s="15" t="n">
        <f aca="false">O300+P300</f>
        <v>17716.17101019</v>
      </c>
      <c r="R300" s="15" t="n">
        <f aca="false">Q300-$G$2+$I$2</f>
        <v>16163.47101019</v>
      </c>
      <c r="S300" s="40" t="n">
        <f aca="false">R300/$K$2</f>
        <v>58.6930208438579</v>
      </c>
      <c r="T300" s="41" t="n">
        <f aca="false">S300-$M$2</f>
        <v>4.18849998253391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-0.0546875</v>
      </c>
      <c r="C301" s="25" t="n">
        <f aca="false">IF(T300&gt;0,D300,C300)</f>
        <v>-0.04296875</v>
      </c>
      <c r="D301" s="39" t="n">
        <f aca="false">(B301+C301)/2</f>
        <v>-0.048828125</v>
      </c>
      <c r="E301" s="15" t="n">
        <f aca="false">$C$2*(1+IF(E$3&lt;=$O$2,$D301,$D301-($D301-$I$292)*MIN(E$3-$O$2,$Q$2)/$Q$2))</f>
        <v>1759.66796875</v>
      </c>
      <c r="F301" s="15" t="n">
        <f aca="false">E301*(1+IF(F$3&lt;=$O$2,$D301,$D301-($D301-$I$292)*MIN(F$3-$O$2,$Q$2)/$Q$2))</f>
        <v>1673.74668121338</v>
      </c>
      <c r="G301" s="15" t="n">
        <f aca="false">F301*(1+IF(G$3&lt;=$O$2,$D301,$D301-($D301-$I$292)*MIN(G$3-$O$2,$Q$2)/$Q$2))</f>
        <v>1592.02076904476</v>
      </c>
      <c r="H301" s="15" t="n">
        <f aca="false">G301*(1+IF(H$3&lt;=$O$2,$D301,$D301-($D301-$I$292)*MIN(H$3-$O$2,$Q$2)/$Q$2))</f>
        <v>1514.28537993124</v>
      </c>
      <c r="I301" s="15" t="n">
        <f aca="false">H301*(1+IF(I$3&lt;=$O$2,$D301,$D301-($D301-$I$292)*MIN(I$3-$O$2,$Q$2)/$Q$2))</f>
        <v>1440.34566411429</v>
      </c>
      <c r="J301" s="15" t="n">
        <f aca="false">I301*(1+IF(J$3&lt;=$O$2,$D301,$D301-($D301-$I$292)*MIN(J$3-$O$2,$Q$2)/$Q$2))</f>
        <v>1394.16458125862</v>
      </c>
      <c r="K301" s="15" t="n">
        <f aca="false">J301*(1+IF(K$3&lt;=$O$2,$D301,$D301-($D301-$I$292)*MIN(K$3-$O$2,$Q$2)/$Q$2))</f>
        <v>1372.83821992968</v>
      </c>
      <c r="L301" s="15" t="n">
        <f aca="false">K301*(1+IF(L$3&lt;=$O$2,$D301,$D301-($D301-$I$292)*MIN(L$3-$O$2,$Q$2)/$Q$2))</f>
        <v>1374.85457606521</v>
      </c>
      <c r="M301" s="15" t="n">
        <f aca="false">L301*(1+IF(M$3&lt;=$O$2,$D301,$D301-($D301-$I$292)*MIN(M$3-$O$2,$Q$2)/$Q$2))</f>
        <v>1399.92418997564</v>
      </c>
      <c r="N301" s="15" t="n">
        <f aca="false">M301*(1+IF(N$3&lt;=$O$2,$D301,$D301-($D301-$I$292)*MIN(N$3-$O$2,$Q$2)/$Q$2))</f>
        <v>1448.92153662479</v>
      </c>
      <c r="O301" s="15" t="n">
        <f aca="false">SUMPRODUCT(E301:N301,1/(1+$F$292)^$E$3:$N$3)*$E$2</f>
        <v>4042.79881316225</v>
      </c>
      <c r="P301" s="15" t="n">
        <f aca="false">N301*$E$2*(1+$I$292)/($F$292-$I$292)/(1+$F$292)^$N$3</f>
        <v>13000.0758526673</v>
      </c>
      <c r="Q301" s="15" t="n">
        <f aca="false">O301+P301</f>
        <v>17042.8746658295</v>
      </c>
      <c r="R301" s="15" t="n">
        <f aca="false">Q301-$G$2+$I$2</f>
        <v>15490.1746658295</v>
      </c>
      <c r="S301" s="40" t="n">
        <f aca="false">R301/$K$2</f>
        <v>56.2481377894242</v>
      </c>
      <c r="T301" s="41" t="n">
        <f aca="false">S301-$M$2</f>
        <v>1.74361692810021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-0.0546875</v>
      </c>
      <c r="C302" s="25" t="n">
        <f aca="false">IF(T301&gt;0,D301,C301)</f>
        <v>-0.048828125</v>
      </c>
      <c r="D302" s="39" t="n">
        <f aca="false">(B302+C302)/2</f>
        <v>-0.0517578125</v>
      </c>
      <c r="E302" s="15" t="n">
        <f aca="false">$C$2*(1+IF(E$3&lt;=$O$2,$D302,$D302-($D302-$I$292)*MIN(E$3-$O$2,$Q$2)/$Q$2))</f>
        <v>1754.248046875</v>
      </c>
      <c r="F302" s="15" t="n">
        <f aca="false">E302*(1+IF(F$3&lt;=$O$2,$D302,$D302-($D302-$I$292)*MIN(F$3-$O$2,$Q$2)/$Q$2))</f>
        <v>1663.45200538635</v>
      </c>
      <c r="G302" s="15" t="n">
        <f aca="false">F302*(1+IF(G$3&lt;=$O$2,$D302,$D302-($D302-$I$292)*MIN(G$3-$O$2,$Q$2)/$Q$2))</f>
        <v>1577.35536838882</v>
      </c>
      <c r="H302" s="15" t="n">
        <f aca="false">G302*(1+IF(H$3&lt;=$O$2,$D302,$D302-($D302-$I$292)*MIN(H$3-$O$2,$Q$2)/$Q$2))</f>
        <v>1495.71490498588</v>
      </c>
      <c r="I302" s="15" t="n">
        <f aca="false">H302*(1+IF(I$3&lt;=$O$2,$D302,$D302-($D302-$I$292)*MIN(I$3-$O$2,$Q$2)/$Q$2))</f>
        <v>1418.29997338017</v>
      </c>
      <c r="J302" s="15" t="n">
        <f aca="false">I302*(1+IF(J$3&lt;=$O$2,$D302,$D302-($D302-$I$292)*MIN(J$3-$O$2,$Q$2)/$Q$2))</f>
        <v>1369.50158992105</v>
      </c>
      <c r="K302" s="15" t="n">
        <f aca="false">J302*(1+IF(K$3&lt;=$O$2,$D302,$D302-($D302-$I$292)*MIN(K$3-$O$2,$Q$2)/$Q$2))</f>
        <v>1346.1451682742</v>
      </c>
      <c r="L302" s="15" t="n">
        <f aca="false">K302*(1+IF(L$3&lt;=$O$2,$D302,$D302-($D302-$I$292)*MIN(L$3-$O$2,$Q$2)/$Q$2))</f>
        <v>1346.54480512103</v>
      </c>
      <c r="M302" s="15" t="n">
        <f aca="false">L302*(1+IF(M$3&lt;=$O$2,$D302,$D302-($D302-$I$292)*MIN(M$3-$O$2,$Q$2)/$Q$2))</f>
        <v>1370.30921695516</v>
      </c>
      <c r="N302" s="15" t="n">
        <f aca="false">M302*(1+IF(N$3&lt;=$O$2,$D302,$D302-($D302-$I$292)*MIN(N$3-$O$2,$Q$2)/$Q$2))</f>
        <v>1418.27003954859</v>
      </c>
      <c r="O302" s="15" t="n">
        <f aca="false">SUMPRODUCT(E302:N302,1/(1+$F$292)^$E$3:$N$3)*$E$2</f>
        <v>3990.04444862292</v>
      </c>
      <c r="P302" s="15" t="n">
        <f aca="false">N302*$E$2*(1+$I$292)/($F$292-$I$292)/(1+$F$292)^$N$3</f>
        <v>12725.0631781254</v>
      </c>
      <c r="Q302" s="15" t="n">
        <f aca="false">O302+P302</f>
        <v>16715.1076267483</v>
      </c>
      <c r="R302" s="15" t="n">
        <f aca="false">Q302-$G$2+$I$2</f>
        <v>15162.4076267483</v>
      </c>
      <c r="S302" s="40" t="n">
        <f aca="false">R302/$K$2</f>
        <v>55.057945556296</v>
      </c>
      <c r="T302" s="41" t="n">
        <f aca="false">S302-$M$2</f>
        <v>0.55342469497203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-0.0546875</v>
      </c>
      <c r="C303" s="25" t="n">
        <f aca="false">IF(T302&gt;0,D302,C302)</f>
        <v>-0.0517578125</v>
      </c>
      <c r="D303" s="39" t="n">
        <f aca="false">(B303+C303)/2</f>
        <v>-0.05322265625</v>
      </c>
      <c r="E303" s="15" t="n">
        <f aca="false">$C$2*(1+IF(E$3&lt;=$O$2,$D303,$D303-($D303-$I$292)*MIN(E$3-$O$2,$Q$2)/$Q$2))</f>
        <v>1751.5380859375</v>
      </c>
      <c r="F303" s="15" t="n">
        <f aca="false">E303*(1+IF(F$3&lt;=$O$2,$D303,$D303-($D303-$I$292)*MIN(F$3-$O$2,$Q$2)/$Q$2))</f>
        <v>1658.31657648087</v>
      </c>
      <c r="G303" s="15" t="n">
        <f aca="false">F303*(1+IF(G$3&lt;=$O$2,$D303,$D303-($D303-$I$292)*MIN(G$3-$O$2,$Q$2)/$Q$2))</f>
        <v>1570.05656337715</v>
      </c>
      <c r="H303" s="15" t="n">
        <f aca="false">G303*(1+IF(H$3&lt;=$O$2,$D303,$D303-($D303-$I$292)*MIN(H$3-$O$2,$Q$2)/$Q$2))</f>
        <v>1486.49398261147</v>
      </c>
      <c r="I303" s="15" t="n">
        <f aca="false">H303*(1+IF(I$3&lt;=$O$2,$D303,$D303-($D303-$I$292)*MIN(I$3-$O$2,$Q$2)/$Q$2))</f>
        <v>1407.37882435725</v>
      </c>
      <c r="J303" s="15" t="n">
        <f aca="false">I303*(1+IF(J$3&lt;=$O$2,$D303,$D303-($D303-$I$292)*MIN(J$3-$O$2,$Q$2)/$Q$2))</f>
        <v>1357.30692462191</v>
      </c>
      <c r="K303" s="15" t="n">
        <f aca="false">J303*(1+IF(K$3&lt;=$O$2,$D303,$D303-($D303-$I$292)*MIN(K$3-$O$2,$Q$2)/$Q$2))</f>
        <v>1332.96553364168</v>
      </c>
      <c r="L303" s="15" t="n">
        <f aca="false">K303*(1+IF(L$3&lt;=$O$2,$D303,$D303-($D303-$I$292)*MIN(L$3-$O$2,$Q$2)/$Q$2))</f>
        <v>1332.58022329211</v>
      </c>
      <c r="M303" s="15" t="n">
        <f aca="false">L303*(1+IF(M$3&lt;=$O$2,$D303,$D303-($D303-$I$292)*MIN(M$3-$O$2,$Q$2)/$Q$2))</f>
        <v>1355.70777771433</v>
      </c>
      <c r="N303" s="15" t="n">
        <f aca="false">M303*(1+IF(N$3&lt;=$O$2,$D303,$D303-($D303-$I$292)*MIN(N$3-$O$2,$Q$2)/$Q$2))</f>
        <v>1403.15754993433</v>
      </c>
      <c r="O303" s="15" t="n">
        <f aca="false">SUMPRODUCT(E303:N303,1/(1+$F$292)^$E$3:$N$3)*$E$2</f>
        <v>3963.93406533316</v>
      </c>
      <c r="P303" s="15" t="n">
        <f aca="false">N303*$E$2*(1+$I$292)/($F$292-$I$292)/(1+$F$292)^$N$3</f>
        <v>12589.4702517026</v>
      </c>
      <c r="Q303" s="15" t="n">
        <f aca="false">O303+P303</f>
        <v>16553.4043170357</v>
      </c>
      <c r="R303" s="15" t="n">
        <f aca="false">Q303-$G$2+$I$2</f>
        <v>15000.7043170357</v>
      </c>
      <c r="S303" s="40" t="n">
        <f aca="false">R303/$K$2</f>
        <v>54.4707662479965</v>
      </c>
      <c r="T303" s="41" t="n">
        <f aca="false">S303-$M$2</f>
        <v>-0.0337546133274742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-0.05322265625</v>
      </c>
      <c r="C304" s="25" t="n">
        <f aca="false">IF(T303&gt;0,D303,C303)</f>
        <v>-0.0517578125</v>
      </c>
      <c r="D304" s="39" t="n">
        <f aca="false">(B304+C304)/2</f>
        <v>-0.052490234375</v>
      </c>
      <c r="E304" s="15" t="n">
        <f aca="false">$C$2*(1+IF(E$3&lt;=$O$2,$D304,$D304-($D304-$I$292)*MIN(E$3-$O$2,$Q$2)/$Q$2))</f>
        <v>1752.89306640625</v>
      </c>
      <c r="F304" s="15" t="n">
        <f aca="false">E304*(1+IF(F$3&lt;=$O$2,$D304,$D304-($D304-$I$292)*MIN(F$3-$O$2,$Q$2)/$Q$2))</f>
        <v>1660.88329851627</v>
      </c>
      <c r="G304" s="15" t="n">
        <f aca="false">F304*(1+IF(G$3&lt;=$O$2,$D304,$D304-($D304-$I$292)*MIN(G$3-$O$2,$Q$2)/$Q$2))</f>
        <v>1573.70314490763</v>
      </c>
      <c r="H304" s="15" t="n">
        <f aca="false">G304*(1+IF(H$3&lt;=$O$2,$D304,$D304-($D304-$I$292)*MIN(H$3-$O$2,$Q$2)/$Q$2))</f>
        <v>1491.09909799476</v>
      </c>
      <c r="I304" s="15" t="n">
        <f aca="false">H304*(1+IF(I$3&lt;=$O$2,$D304,$D304-($D304-$I$292)*MIN(I$3-$O$2,$Q$2)/$Q$2))</f>
        <v>1412.83095686466</v>
      </c>
      <c r="J304" s="15" t="n">
        <f aca="false">I304*(1+IF(J$3&lt;=$O$2,$D304,$D304-($D304-$I$292)*MIN(J$3-$O$2,$Q$2)/$Q$2))</f>
        <v>1363.39291111625</v>
      </c>
      <c r="K304" s="15" t="n">
        <f aca="false">J304*(1+IF(K$3&lt;=$O$2,$D304,$D304-($D304-$I$292)*MIN(K$3-$O$2,$Q$2)/$Q$2))</f>
        <v>1339.54152380205</v>
      </c>
      <c r="L304" s="15" t="n">
        <f aca="false">K304*(1+IF(L$3&lt;=$O$2,$D304,$D304-($D304-$I$292)*MIN(L$3-$O$2,$Q$2)/$Q$2))</f>
        <v>1339.54675638613</v>
      </c>
      <c r="M304" s="15" t="n">
        <f aca="false">L304*(1+IF(M$3&lt;=$O$2,$D304,$D304-($D304-$I$292)*MIN(M$3-$O$2,$Q$2)/$Q$2))</f>
        <v>1362.99144092514</v>
      </c>
      <c r="N304" s="15" t="n">
        <f aca="false">M304*(1+IF(N$3&lt;=$O$2,$D304,$D304-($D304-$I$292)*MIN(N$3-$O$2,$Q$2)/$Q$2))</f>
        <v>1410.69614135752</v>
      </c>
      <c r="O304" s="15" t="n">
        <f aca="false">SUMPRODUCT(E304:N304,1/(1+$F$292)^$E$3:$N$3)*$E$2</f>
        <v>3976.96714324832</v>
      </c>
      <c r="P304" s="15" t="n">
        <f aca="false">N304*$E$2*(1+$I$292)/($F$292-$I$292)/(1+$F$292)^$N$3</f>
        <v>12657.1083244668</v>
      </c>
      <c r="Q304" s="15" t="n">
        <f aca="false">O304+P304</f>
        <v>16634.0754677151</v>
      </c>
      <c r="R304" s="15" t="n">
        <f aca="false">Q304-$G$2+$I$2</f>
        <v>15081.3754677151</v>
      </c>
      <c r="S304" s="40" t="n">
        <f aca="false">R304/$K$2</f>
        <v>54.7637004528672</v>
      </c>
      <c r="T304" s="41" t="n">
        <f aca="false">S304-$M$2</f>
        <v>0.259179591543258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-0.05322265625</v>
      </c>
      <c r="C305" s="25" t="n">
        <f aca="false">IF(T304&gt;0,D304,C304)</f>
        <v>-0.052490234375</v>
      </c>
      <c r="D305" s="39" t="n">
        <f aca="false">(B305+C305)/2</f>
        <v>-0.0528564453125</v>
      </c>
      <c r="E305" s="15" t="n">
        <f aca="false">$C$2*(1+IF(E$3&lt;=$O$2,$D305,$D305-($D305-$I$292)*MIN(E$3-$O$2,$Q$2)/$Q$2))</f>
        <v>1752.21557617188</v>
      </c>
      <c r="F305" s="15" t="n">
        <f aca="false">E305*(1+IF(F$3&lt;=$O$2,$D305,$D305-($D305-$I$292)*MIN(F$3-$O$2,$Q$2)/$Q$2))</f>
        <v>1659.59968939424</v>
      </c>
      <c r="G305" s="15" t="n">
        <f aca="false">F305*(1+IF(G$3&lt;=$O$2,$D305,$D305-($D305-$I$292)*MIN(G$3-$O$2,$Q$2)/$Q$2))</f>
        <v>1571.87914917113</v>
      </c>
      <c r="H305" s="15" t="n">
        <f aca="false">G305*(1+IF(H$3&lt;=$O$2,$D305,$D305-($D305-$I$292)*MIN(H$3-$O$2,$Q$2)/$Q$2))</f>
        <v>1488.7952048851</v>
      </c>
      <c r="I305" s="15" t="n">
        <f aca="false">H305*(1+IF(I$3&lt;=$O$2,$D305,$D305-($D305-$I$292)*MIN(I$3-$O$2,$Q$2)/$Q$2))</f>
        <v>1410.10278255658</v>
      </c>
      <c r="J305" s="15" t="n">
        <f aca="false">I305*(1+IF(J$3&lt;=$O$2,$D305,$D305-($D305-$I$292)*MIN(J$3-$O$2,$Q$2)/$Q$2))</f>
        <v>1360.34708554551</v>
      </c>
      <c r="K305" s="15" t="n">
        <f aca="false">J305*(1+IF(K$3&lt;=$O$2,$D305,$D305-($D305-$I$292)*MIN(K$3-$O$2,$Q$2)/$Q$2))</f>
        <v>1336.25007794326</v>
      </c>
      <c r="L305" s="15" t="n">
        <f aca="false">K305*(1+IF(L$3&lt;=$O$2,$D305,$D305-($D305-$I$292)*MIN(L$3-$O$2,$Q$2)/$Q$2))</f>
        <v>1336.05955791261</v>
      </c>
      <c r="M305" s="15" t="n">
        <f aca="false">L305*(1+IF(M$3&lt;=$O$2,$D305,$D305-($D305-$I$292)*MIN(M$3-$O$2,$Q$2)/$Q$2))</f>
        <v>1359.34535374276</v>
      </c>
      <c r="N305" s="15" t="n">
        <f aca="false">M305*(1+IF(N$3&lt;=$O$2,$D305,$D305-($D305-$I$292)*MIN(N$3-$O$2,$Q$2)/$Q$2))</f>
        <v>1406.92244112375</v>
      </c>
      <c r="O305" s="15" t="n">
        <f aca="false">SUMPRODUCT(E305:N305,1/(1+$F$292)^$E$3:$N$3)*$E$2</f>
        <v>3970.44508478742</v>
      </c>
      <c r="P305" s="15" t="n">
        <f aca="false">N305*$E$2*(1+$I$292)/($F$292-$I$292)/(1+$F$292)^$N$3</f>
        <v>12623.2497696422</v>
      </c>
      <c r="Q305" s="15" t="n">
        <f aca="false">O305+P305</f>
        <v>16593.6948544297</v>
      </c>
      <c r="R305" s="15" t="n">
        <f aca="false">Q305-$G$2+$I$2</f>
        <v>15040.9948544297</v>
      </c>
      <c r="S305" s="40" t="n">
        <f aca="false">R305/$K$2</f>
        <v>54.6170698080165</v>
      </c>
      <c r="T305" s="41" t="n">
        <f aca="false">S305-$M$2</f>
        <v>0.112548946692591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-0.05322265625</v>
      </c>
      <c r="C306" s="25" t="n">
        <f aca="false">IF(T305&gt;0,D305,C305)</f>
        <v>-0.0528564453125</v>
      </c>
      <c r="D306" s="39" t="n">
        <f aca="false">(B306+C306)/2</f>
        <v>-0.05303955078125</v>
      </c>
      <c r="E306" s="15" t="n">
        <f aca="false">$C$2*(1+IF(E$3&lt;=$O$2,$D306,$D306-($D306-$I$292)*MIN(E$3-$O$2,$Q$2)/$Q$2))</f>
        <v>1751.87683105469</v>
      </c>
      <c r="F306" s="15" t="n">
        <f aca="false">E306*(1+IF(F$3&lt;=$O$2,$D306,$D306-($D306-$I$292)*MIN(F$3-$O$2,$Q$2)/$Q$2))</f>
        <v>1658.95807091147</v>
      </c>
      <c r="G306" s="15" t="n">
        <f aca="false">F306*(1+IF(G$3&lt;=$O$2,$D306,$D306-($D306-$I$292)*MIN(G$3-$O$2,$Q$2)/$Q$2))</f>
        <v>1570.96768006539</v>
      </c>
      <c r="H306" s="15" t="n">
        <f aca="false">G306*(1+IF(H$3&lt;=$O$2,$D306,$D306-($D306-$I$292)*MIN(H$3-$O$2,$Q$2)/$Q$2))</f>
        <v>1487.64426002286</v>
      </c>
      <c r="I306" s="15" t="n">
        <f aca="false">H306*(1+IF(I$3&lt;=$O$2,$D306,$D306-($D306-$I$292)*MIN(I$3-$O$2,$Q$2)/$Q$2))</f>
        <v>1408.74027674895</v>
      </c>
      <c r="J306" s="15" t="n">
        <f aca="false">I306*(1+IF(J$3&lt;=$O$2,$D306,$D306-($D306-$I$292)*MIN(J$3-$O$2,$Q$2)/$Q$2))</f>
        <v>1358.82629752921</v>
      </c>
      <c r="K306" s="15" t="n">
        <f aca="false">J306*(1+IF(K$3&lt;=$O$2,$D306,$D306-($D306-$I$292)*MIN(K$3-$O$2,$Q$2)/$Q$2))</f>
        <v>1334.6069438482</v>
      </c>
      <c r="L306" s="15" t="n">
        <f aca="false">K306*(1+IF(L$3&lt;=$O$2,$D306,$D306-($D306-$I$292)*MIN(L$3-$O$2,$Q$2)/$Q$2))</f>
        <v>1334.31890856052</v>
      </c>
      <c r="M306" s="15" t="n">
        <f aca="false">L306*(1+IF(M$3&lt;=$O$2,$D306,$D306-($D306-$I$292)*MIN(M$3-$O$2,$Q$2)/$Q$2))</f>
        <v>1357.52550289842</v>
      </c>
      <c r="N306" s="15" t="n">
        <f aca="false">M306*(1+IF(N$3&lt;=$O$2,$D306,$D306-($D306-$I$292)*MIN(N$3-$O$2,$Q$2)/$Q$2))</f>
        <v>1405.03889549986</v>
      </c>
      <c r="O306" s="15" t="n">
        <f aca="false">SUMPRODUCT(E306:N306,1/(1+$F$292)^$E$3:$N$3)*$E$2</f>
        <v>3967.18819629922</v>
      </c>
      <c r="P306" s="15" t="n">
        <f aca="false">N306*$E$2*(1+$I$292)/($F$292-$I$292)/(1+$F$292)^$N$3</f>
        <v>12606.3501409435</v>
      </c>
      <c r="Q306" s="15" t="n">
        <f aca="false">O306+P306</f>
        <v>16573.5383372427</v>
      </c>
      <c r="R306" s="15" t="n">
        <f aca="false">Q306-$G$2+$I$2</f>
        <v>15020.8383372427</v>
      </c>
      <c r="S306" s="40" t="n">
        <f aca="false">R306/$K$2</f>
        <v>54.5438771823332</v>
      </c>
      <c r="T306" s="41" t="n">
        <f aca="false">S306-$M$2</f>
        <v>0.039356321009258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-0.05322265625</v>
      </c>
      <c r="C307" s="25" t="n">
        <f aca="false">IF(T306&gt;0,D306,C306)</f>
        <v>-0.05303955078125</v>
      </c>
      <c r="D307" s="39" t="n">
        <f aca="false">(B307+C307)/2</f>
        <v>-0.053131103515625</v>
      </c>
      <c r="E307" s="15" t="n">
        <f aca="false">$C$2*(1+IF(E$3&lt;=$O$2,$D307,$D307-($D307-$I$292)*MIN(E$3-$O$2,$Q$2)/$Q$2))</f>
        <v>1751.70745849609</v>
      </c>
      <c r="F307" s="15" t="n">
        <f aca="false">E307*(1+IF(F$3&lt;=$O$2,$D307,$D307-($D307-$I$292)*MIN(F$3-$O$2,$Q$2)/$Q$2))</f>
        <v>1658.63730818965</v>
      </c>
      <c r="G307" s="15" t="n">
        <f aca="false">F307*(1+IF(G$3&lt;=$O$2,$D307,$D307-($D307-$I$292)*MIN(G$3-$O$2,$Q$2)/$Q$2))</f>
        <v>1570.51207767334</v>
      </c>
      <c r="H307" s="15" t="n">
        <f aca="false">G307*(1+IF(H$3&lt;=$O$2,$D307,$D307-($D307-$I$292)*MIN(H$3-$O$2,$Q$2)/$Q$2))</f>
        <v>1487.06903790194</v>
      </c>
      <c r="I307" s="15" t="n">
        <f aca="false">H307*(1+IF(I$3&lt;=$O$2,$D307,$D307-($D307-$I$292)*MIN(I$3-$O$2,$Q$2)/$Q$2))</f>
        <v>1408.05941891429</v>
      </c>
      <c r="J307" s="15" t="n">
        <f aca="false">I307*(1+IF(J$3&lt;=$O$2,$D307,$D307-($D307-$I$292)*MIN(J$3-$O$2,$Q$2)/$Q$2))</f>
        <v>1358.0664342527</v>
      </c>
      <c r="K307" s="15" t="n">
        <f aca="false">J307*(1+IF(K$3&lt;=$O$2,$D307,$D307-($D307-$I$292)*MIN(K$3-$O$2,$Q$2)/$Q$2))</f>
        <v>1333.78602335262</v>
      </c>
      <c r="L307" s="15" t="n">
        <f aca="false">K307*(1+IF(L$3&lt;=$O$2,$D307,$D307-($D307-$I$292)*MIN(L$3-$O$2,$Q$2)/$Q$2))</f>
        <v>1333.44932053324</v>
      </c>
      <c r="M307" s="15" t="n">
        <f aca="false">L307*(1+IF(M$3&lt;=$O$2,$D307,$D307-($D307-$I$292)*MIN(M$3-$O$2,$Q$2)/$Q$2))</f>
        <v>1356.61637473176</v>
      </c>
      <c r="N307" s="15" t="n">
        <f aca="false">M307*(1+IF(N$3&lt;=$O$2,$D307,$D307-($D307-$I$292)*MIN(N$3-$O$2,$Q$2)/$Q$2))</f>
        <v>1404.09794784737</v>
      </c>
      <c r="O307" s="15" t="n">
        <f aca="false">SUMPRODUCT(E307:N307,1/(1+$F$292)^$E$3:$N$3)*$E$2</f>
        <v>3965.56078626518</v>
      </c>
      <c r="P307" s="15" t="n">
        <f aca="false">N307*$E$2*(1+$I$292)/($F$292-$I$292)/(1+$F$292)^$N$3</f>
        <v>12597.9077301251</v>
      </c>
      <c r="Q307" s="15" t="n">
        <f aca="false">O307+P307</f>
        <v>16563.4685163903</v>
      </c>
      <c r="R307" s="15" t="n">
        <f aca="false">Q307-$G$2+$I$2</f>
        <v>15010.7685163903</v>
      </c>
      <c r="S307" s="40" t="n">
        <f aca="false">R307/$K$2</f>
        <v>54.5073115087342</v>
      </c>
      <c r="T307" s="41" t="n">
        <f aca="false">S307-$M$2</f>
        <v>0.00279064741027923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-0.05322265625</v>
      </c>
      <c r="C308" s="25" t="n">
        <f aca="false">IF(T307&gt;0,D307,C307)</f>
        <v>-0.053131103515625</v>
      </c>
      <c r="D308" s="39" t="n">
        <f aca="false">(B308+C308)/2</f>
        <v>-0.0531768798828125</v>
      </c>
      <c r="E308" s="15" t="n">
        <f aca="false">$C$2*(1+IF(E$3&lt;=$O$2,$D308,$D308-($D308-$I$292)*MIN(E$3-$O$2,$Q$2)/$Q$2))</f>
        <v>1751.6227722168</v>
      </c>
      <c r="F308" s="15" t="n">
        <f aca="false">E308*(1+IF(F$3&lt;=$O$2,$D308,$D308-($D308-$I$292)*MIN(F$3-$O$2,$Q$2)/$Q$2))</f>
        <v>1658.47693845863</v>
      </c>
      <c r="G308" s="15" t="n">
        <f aca="false">F308*(1+IF(G$3&lt;=$O$2,$D308,$D308-($D308-$I$292)*MIN(G$3-$O$2,$Q$2)/$Q$2))</f>
        <v>1570.2843095138</v>
      </c>
      <c r="H308" s="15" t="n">
        <f aca="false">G308*(1+IF(H$3&lt;=$O$2,$D308,$D308-($D308-$I$292)*MIN(H$3-$O$2,$Q$2)/$Q$2))</f>
        <v>1486.78148940492</v>
      </c>
      <c r="I308" s="15" t="n">
        <f aca="false">H308*(1+IF(I$3&lt;=$O$2,$D308,$D308-($D308-$I$292)*MIN(I$3-$O$2,$Q$2)/$Q$2))</f>
        <v>1407.71908873084</v>
      </c>
      <c r="J308" s="15" t="n">
        <f aca="false">I308*(1+IF(J$3&lt;=$O$2,$D308,$D308-($D308-$I$292)*MIN(J$3-$O$2,$Q$2)/$Q$2))</f>
        <v>1357.68663523981</v>
      </c>
      <c r="K308" s="15" t="n">
        <f aca="false">J308*(1+IF(K$3&lt;=$O$2,$D308,$D308-($D308-$I$292)*MIN(K$3-$O$2,$Q$2)/$Q$2))</f>
        <v>1333.37572466078</v>
      </c>
      <c r="L308" s="15" t="n">
        <f aca="false">K308*(1+IF(L$3&lt;=$O$2,$D308,$D308-($D308-$I$292)*MIN(L$3-$O$2,$Q$2)/$Q$2))</f>
        <v>1333.01471057908</v>
      </c>
      <c r="M308" s="15" t="n">
        <f aca="false">L308*(1+IF(M$3&lt;=$O$2,$D308,$D308-($D308-$I$292)*MIN(M$3-$O$2,$Q$2)/$Q$2))</f>
        <v>1356.162009846</v>
      </c>
      <c r="N308" s="15" t="n">
        <f aca="false">M308*(1+IF(N$3&lt;=$O$2,$D308,$D308-($D308-$I$292)*MIN(N$3-$O$2,$Q$2)/$Q$2))</f>
        <v>1403.62768019061</v>
      </c>
      <c r="O308" s="15" t="n">
        <f aca="false">SUMPRODUCT(E308:N308,1/(1+$F$292)^$E$3:$N$3)*$E$2</f>
        <v>3964.74733967882</v>
      </c>
      <c r="P308" s="15" t="n">
        <f aca="false">N308*$E$2*(1+$I$292)/($F$292-$I$292)/(1+$F$292)^$N$3</f>
        <v>12593.6883745186</v>
      </c>
      <c r="Q308" s="15" t="n">
        <f aca="false">O308+P308</f>
        <v>16558.4357141974</v>
      </c>
      <c r="R308" s="15" t="n">
        <f aca="false">Q308-$G$2+$I$2</f>
        <v>15005.7357141974</v>
      </c>
      <c r="S308" s="40" t="n">
        <f aca="false">R308/$K$2</f>
        <v>54.4890363273809</v>
      </c>
      <c r="T308" s="41" t="n">
        <f aca="false">S308-$M$2</f>
        <v>-0.0154845339430025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-0.0531768798828125</v>
      </c>
      <c r="C309" s="25" t="n">
        <f aca="false">IF(T308&gt;0,D308,C308)</f>
        <v>-0.053131103515625</v>
      </c>
      <c r="D309" s="39" t="n">
        <f aca="false">(B309+C309)/2</f>
        <v>-0.0531539916992188</v>
      </c>
      <c r="E309" s="15" t="n">
        <f aca="false">$C$2*(1+IF(E$3&lt;=$O$2,$D309,$D309-($D309-$I$292)*MIN(E$3-$O$2,$Q$2)/$Q$2))</f>
        <v>1751.66511535645</v>
      </c>
      <c r="F309" s="15" t="n">
        <f aca="false">E309*(1+IF(F$3&lt;=$O$2,$D309,$D309-($D309-$I$292)*MIN(F$3-$O$2,$Q$2)/$Q$2))</f>
        <v>1658.55712235498</v>
      </c>
      <c r="G309" s="15" t="n">
        <f aca="false">F309*(1+IF(G$3&lt;=$O$2,$D309,$D309-($D309-$I$292)*MIN(G$3-$O$2,$Q$2)/$Q$2))</f>
        <v>1570.39819084064</v>
      </c>
      <c r="H309" s="15" t="n">
        <f aca="false">G309*(1+IF(H$3&lt;=$O$2,$D309,$D309-($D309-$I$292)*MIN(H$3-$O$2,$Q$2)/$Q$2))</f>
        <v>1486.92525844023</v>
      </c>
      <c r="I309" s="15" t="n">
        <f aca="false">H309*(1+IF(I$3&lt;=$O$2,$D309,$D309-($D309-$I$292)*MIN(I$3-$O$2,$Q$2)/$Q$2))</f>
        <v>1407.88924559574</v>
      </c>
      <c r="J309" s="15" t="n">
        <f aca="false">I309*(1+IF(J$3&lt;=$O$2,$D309,$D309-($D309-$I$292)*MIN(J$3-$O$2,$Q$2)/$Q$2))</f>
        <v>1357.87652369586</v>
      </c>
      <c r="K309" s="15" t="n">
        <f aca="false">J309*(1+IF(K$3&lt;=$O$2,$D309,$D309-($D309-$I$292)*MIN(K$3-$O$2,$Q$2)/$Q$2))</f>
        <v>1333.58086054614</v>
      </c>
      <c r="L309" s="15" t="n">
        <f aca="false">K309*(1+IF(L$3&lt;=$O$2,$D309,$D309-($D309-$I$292)*MIN(L$3-$O$2,$Q$2)/$Q$2))</f>
        <v>1333.23200022093</v>
      </c>
      <c r="M309" s="15" t="n">
        <f aca="false">L309*(1+IF(M$3&lt;=$O$2,$D309,$D309-($D309-$I$292)*MIN(M$3-$O$2,$Q$2)/$Q$2))</f>
        <v>1356.38917569254</v>
      </c>
      <c r="N309" s="15" t="n">
        <f aca="false">M309*(1+IF(N$3&lt;=$O$2,$D309,$D309-($D309-$I$292)*MIN(N$3-$O$2,$Q$2)/$Q$2))</f>
        <v>1403.86279684178</v>
      </c>
      <c r="O309" s="15" t="n">
        <f aca="false">SUMPRODUCT(E309:N309,1/(1+$F$292)^$E$3:$N$3)*$E$2</f>
        <v>3965.15404143974</v>
      </c>
      <c r="P309" s="15" t="n">
        <f aca="false">N309*$E$2*(1+$I$292)/($F$292-$I$292)/(1+$F$292)^$N$3</f>
        <v>12595.7978982038</v>
      </c>
      <c r="Q309" s="15" t="n">
        <f aca="false">O309+P309</f>
        <v>16560.9519396435</v>
      </c>
      <c r="R309" s="15" t="n">
        <f aca="false">Q309-$G$2+$I$2</f>
        <v>15008.2519396435</v>
      </c>
      <c r="S309" s="40" t="n">
        <f aca="false">R309/$K$2</f>
        <v>54.4981732802336</v>
      </c>
      <c r="T309" s="41" t="n">
        <f aca="false">S309-$M$2</f>
        <v>-0.00634758109037392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-0.0531539916992188</v>
      </c>
      <c r="C310" s="25" t="n">
        <f aca="false">IF(T309&gt;0,D309,C309)</f>
        <v>-0.053131103515625</v>
      </c>
      <c r="D310" s="39" t="n">
        <f aca="false">(B310+C310)/2</f>
        <v>-0.0531425476074219</v>
      </c>
      <c r="E310" s="15" t="n">
        <f aca="false">$C$2*(1+IF(E$3&lt;=$O$2,$D310,$D310-($D310-$I$292)*MIN(E$3-$O$2,$Q$2)/$Q$2))</f>
        <v>1751.68628692627</v>
      </c>
      <c r="F310" s="15" t="n">
        <f aca="false">E310*(1+IF(F$3&lt;=$O$2,$D310,$D310-($D310-$I$292)*MIN(F$3-$O$2,$Q$2)/$Q$2))</f>
        <v>1658.59721503002</v>
      </c>
      <c r="G310" s="15" t="n">
        <f aca="false">F310*(1+IF(G$3&lt;=$O$2,$D310,$D310-($D310-$I$292)*MIN(G$3-$O$2,$Q$2)/$Q$2))</f>
        <v>1570.45513356875</v>
      </c>
      <c r="H310" s="15" t="n">
        <f aca="false">G310*(1+IF(H$3&lt;=$O$2,$D310,$D310-($D310-$I$292)*MIN(H$3-$O$2,$Q$2)/$Q$2))</f>
        <v>1486.99714686775</v>
      </c>
      <c r="I310" s="15" t="n">
        <f aca="false">H310*(1+IF(I$3&lt;=$O$2,$D310,$D310-($D310-$I$292)*MIN(I$3-$O$2,$Q$2)/$Q$2))</f>
        <v>1407.97433019823</v>
      </c>
      <c r="J310" s="15" t="n">
        <f aca="false">I310*(1+IF(J$3&lt;=$O$2,$D310,$D310-($D310-$I$292)*MIN(J$3-$O$2,$Q$2)/$Q$2))</f>
        <v>1357.97147621155</v>
      </c>
      <c r="K310" s="15" t="n">
        <f aca="false">J310*(1+IF(K$3&lt;=$O$2,$D310,$D310-($D310-$I$292)*MIN(K$3-$O$2,$Q$2)/$Q$2))</f>
        <v>1333.68343858406</v>
      </c>
      <c r="L310" s="15" t="n">
        <f aca="false">K310*(1+IF(L$3&lt;=$O$2,$D310,$D310-($D310-$I$292)*MIN(L$3-$O$2,$Q$2)/$Q$2))</f>
        <v>1333.34065654305</v>
      </c>
      <c r="M310" s="15" t="n">
        <f aca="false">L310*(1+IF(M$3&lt;=$O$2,$D310,$D310-($D310-$I$292)*MIN(M$3-$O$2,$Q$2)/$Q$2))</f>
        <v>1356.5027710628</v>
      </c>
      <c r="N310" s="15" t="n">
        <f aca="false">M310*(1+IF(N$3&lt;=$O$2,$D310,$D310-($D310-$I$292)*MIN(N$3-$O$2,$Q$2)/$Q$2))</f>
        <v>1403.98036805</v>
      </c>
      <c r="O310" s="15" t="n">
        <f aca="false">SUMPRODUCT(E310:N310,1/(1+$F$292)^$E$3:$N$3)*$E$2</f>
        <v>3965.35740846912</v>
      </c>
      <c r="P310" s="15" t="n">
        <f aca="false">N310*$E$2*(1+$I$292)/($F$292-$I$292)/(1+$F$292)^$N$3</f>
        <v>12596.8527756325</v>
      </c>
      <c r="Q310" s="15" t="n">
        <f aca="false">O310+P310</f>
        <v>16562.2101841017</v>
      </c>
      <c r="R310" s="15" t="n">
        <f aca="false">Q310-$G$2+$I$2</f>
        <v>15009.5101841017</v>
      </c>
      <c r="S310" s="40" t="n">
        <f aca="false">R310/$K$2</f>
        <v>54.5027422350182</v>
      </c>
      <c r="T310" s="41" t="n">
        <f aca="false">S310-$M$2</f>
        <v>-0.00177862630577863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-0.0531425476074219</v>
      </c>
      <c r="C311" s="25" t="n">
        <f aca="false">IF(T310&gt;0,D310,C310)</f>
        <v>-0.053131103515625</v>
      </c>
      <c r="D311" s="39" t="n">
        <f aca="false">(B311+C311)/2</f>
        <v>-0.0531368255615234</v>
      </c>
      <c r="E311" s="15" t="n">
        <f aca="false">$C$2*(1+IF(E$3&lt;=$O$2,$D311,$D311-($D311-$I$292)*MIN(E$3-$O$2,$Q$2)/$Q$2))</f>
        <v>1751.69687271118</v>
      </c>
      <c r="F311" s="15" t="n">
        <f aca="false">E311*(1+IF(F$3&lt;=$O$2,$D311,$D311-($D311-$I$292)*MIN(F$3-$O$2,$Q$2)/$Q$2))</f>
        <v>1658.61726154926</v>
      </c>
      <c r="G311" s="15" t="n">
        <f aca="false">F311*(1+IF(G$3&lt;=$O$2,$D311,$D311-($D311-$I$292)*MIN(G$3-$O$2,$Q$2)/$Q$2))</f>
        <v>1570.48360544899</v>
      </c>
      <c r="H311" s="15" t="n">
        <f aca="false">G311*(1+IF(H$3&lt;=$O$2,$D311,$D311-($D311-$I$292)*MIN(H$3-$O$2,$Q$2)/$Q$2))</f>
        <v>1487.03309205901</v>
      </c>
      <c r="I311" s="15" t="n">
        <f aca="false">H311*(1+IF(I$3&lt;=$O$2,$D311,$D311-($D311-$I$292)*MIN(I$3-$O$2,$Q$2)/$Q$2))</f>
        <v>1408.01687404206</v>
      </c>
      <c r="J311" s="15" t="n">
        <f aca="false">I311*(1+IF(J$3&lt;=$O$2,$D311,$D311-($D311-$I$292)*MIN(J$3-$O$2,$Q$2)/$Q$2))</f>
        <v>1358.01895454143</v>
      </c>
      <c r="K311" s="15" t="n">
        <f aca="false">J311*(1+IF(K$3&lt;=$O$2,$D311,$D311-($D311-$I$292)*MIN(K$3-$O$2,$Q$2)/$Q$2))</f>
        <v>1333.73473012698</v>
      </c>
      <c r="L311" s="15" t="n">
        <f aca="false">K311*(1+IF(L$3&lt;=$O$2,$D311,$D311-($D311-$I$292)*MIN(L$3-$O$2,$Q$2)/$Q$2))</f>
        <v>1333.39498757961</v>
      </c>
      <c r="M311" s="15" t="n">
        <f aca="false">L311*(1+IF(M$3&lt;=$O$2,$D311,$D311-($D311-$I$292)*MIN(M$3-$O$2,$Q$2)/$Q$2))</f>
        <v>1356.55957185991</v>
      </c>
      <c r="N311" s="15" t="n">
        <f aca="false">M311*(1+IF(N$3&lt;=$O$2,$D311,$D311-($D311-$I$292)*MIN(N$3-$O$2,$Q$2)/$Q$2))</f>
        <v>1404.03915687501</v>
      </c>
      <c r="O311" s="15" t="n">
        <f aca="false">SUMPRODUCT(E311:N311,1/(1+$F$292)^$E$3:$N$3)*$E$2</f>
        <v>3965.45909602129</v>
      </c>
      <c r="P311" s="15" t="n">
        <f aca="false">N311*$E$2*(1+$I$292)/($F$292-$I$292)/(1+$F$292)^$N$3</f>
        <v>12597.3802432455</v>
      </c>
      <c r="Q311" s="15" t="n">
        <f aca="false">O311+P311</f>
        <v>16562.8393392668</v>
      </c>
      <c r="R311" s="15" t="n">
        <f aca="false">Q311-$G$2+$I$2</f>
        <v>15010.1393392668</v>
      </c>
      <c r="S311" s="40" t="n">
        <f aca="false">R311/$K$2</f>
        <v>54.5050268320085</v>
      </c>
      <c r="T311" s="41" t="n">
        <f aca="false">S311-$M$2</f>
        <v>0.000505970684578472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-0.0531425476074219</v>
      </c>
      <c r="C312" s="25" t="n">
        <f aca="false">IF(T311&gt;0,D311,C311)</f>
        <v>-0.0531368255615234</v>
      </c>
      <c r="D312" s="39" t="n">
        <f aca="false">(B312+C312)/2</f>
        <v>-0.0531396865844727</v>
      </c>
      <c r="E312" s="15" t="n">
        <f aca="false">$C$2*(1+IF(E$3&lt;=$O$2,$D312,$D312-($D312-$I$292)*MIN(E$3-$O$2,$Q$2)/$Q$2))</f>
        <v>1751.69157981873</v>
      </c>
      <c r="F312" s="15" t="n">
        <f aca="false">E312*(1+IF(F$3&lt;=$O$2,$D312,$D312-($D312-$I$292)*MIN(F$3-$O$2,$Q$2)/$Q$2))</f>
        <v>1658.6072382745</v>
      </c>
      <c r="G312" s="15" t="n">
        <f aca="false">F312*(1+IF(G$3&lt;=$O$2,$D312,$D312-($D312-$I$292)*MIN(G$3-$O$2,$Q$2)/$Q$2))</f>
        <v>1570.46936946585</v>
      </c>
      <c r="H312" s="15" t="n">
        <f aca="false">G312*(1+IF(H$3&lt;=$O$2,$D312,$D312-($D312-$I$292)*MIN(H$3-$O$2,$Q$2)/$Q$2))</f>
        <v>1487.01511938192</v>
      </c>
      <c r="I312" s="15" t="n">
        <f aca="false">H312*(1+IF(I$3&lt;=$O$2,$D312,$D312-($D312-$I$292)*MIN(I$3-$O$2,$Q$2)/$Q$2))</f>
        <v>1407.9956019916</v>
      </c>
      <c r="J312" s="15" t="n">
        <f aca="false">I312*(1+IF(J$3&lt;=$O$2,$D312,$D312-($D312-$I$292)*MIN(J$3-$O$2,$Q$2)/$Q$2))</f>
        <v>1357.99521520382</v>
      </c>
      <c r="K312" s="15" t="n">
        <f aca="false">J312*(1+IF(K$3&lt;=$O$2,$D312,$D312-($D312-$I$292)*MIN(K$3-$O$2,$Q$2)/$Q$2))</f>
        <v>1333.70908414519</v>
      </c>
      <c r="L312" s="15" t="n">
        <f aca="false">K312*(1+IF(L$3&lt;=$O$2,$D312,$D312-($D312-$I$292)*MIN(L$3-$O$2,$Q$2)/$Q$2))</f>
        <v>1333.3678218217</v>
      </c>
      <c r="M312" s="15" t="n">
        <f aca="false">L312*(1+IF(M$3&lt;=$O$2,$D312,$D312-($D312-$I$292)*MIN(M$3-$O$2,$Q$2)/$Q$2))</f>
        <v>1356.53117120202</v>
      </c>
      <c r="N312" s="15" t="n">
        <f aca="false">M312*(1+IF(N$3&lt;=$O$2,$D312,$D312-($D312-$I$292)*MIN(N$3-$O$2,$Q$2)/$Q$2))</f>
        <v>1404.00976219409</v>
      </c>
      <c r="O312" s="15" t="n">
        <f aca="false">SUMPRODUCT(E312:N312,1/(1+$F$292)^$E$3:$N$3)*$E$2</f>
        <v>3965.40825190874</v>
      </c>
      <c r="P312" s="15" t="n">
        <f aca="false">N312*$E$2*(1+$I$292)/($F$292-$I$292)/(1+$F$292)^$N$3</f>
        <v>12597.1165070308</v>
      </c>
      <c r="Q312" s="15" t="n">
        <f aca="false">O312+P312</f>
        <v>16562.5247589395</v>
      </c>
      <c r="R312" s="15" t="n">
        <f aca="false">Q312-$G$2+$I$2</f>
        <v>15009.8247589395</v>
      </c>
      <c r="S312" s="40" t="n">
        <f aca="false">R312/$K$2</f>
        <v>54.5038845235466</v>
      </c>
      <c r="T312" s="41" t="n">
        <f aca="false">S312-$M$2</f>
        <v>-0.000636337777343954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-0.0531396865844727</v>
      </c>
      <c r="C313" s="25" t="n">
        <f aca="false">IF(T312&gt;0,D312,C312)</f>
        <v>-0.0531368255615234</v>
      </c>
      <c r="D313" s="39" t="n">
        <f aca="false">(B313+C313)/2</f>
        <v>-0.0531382560729981</v>
      </c>
      <c r="E313" s="15" t="n">
        <f aca="false">$C$2*(1+IF(E$3&lt;=$O$2,$D313,$D313-($D313-$I$292)*MIN(E$3-$O$2,$Q$2)/$Q$2))</f>
        <v>1751.69422626495</v>
      </c>
      <c r="F313" s="15" t="n">
        <f aca="false">E313*(1+IF(F$3&lt;=$O$2,$D313,$D313-($D313-$I$292)*MIN(F$3-$O$2,$Q$2)/$Q$2))</f>
        <v>1658.61224990809</v>
      </c>
      <c r="G313" s="15" t="n">
        <f aca="false">F313*(1+IF(G$3&lt;=$O$2,$D313,$D313-($D313-$I$292)*MIN(G$3-$O$2,$Q$2)/$Q$2))</f>
        <v>1570.47648744667</v>
      </c>
      <c r="H313" s="15" t="n">
        <f aca="false">G313*(1+IF(H$3&lt;=$O$2,$D313,$D313-($D313-$I$292)*MIN(H$3-$O$2,$Q$2)/$Q$2))</f>
        <v>1487.0241057001</v>
      </c>
      <c r="I313" s="15" t="n">
        <f aca="false">H313*(1+IF(I$3&lt;=$O$2,$D313,$D313-($D313-$I$292)*MIN(I$3-$O$2,$Q$2)/$Q$2))</f>
        <v>1408.00623798469</v>
      </c>
      <c r="J313" s="15" t="n">
        <f aca="false">I313*(1+IF(J$3&lt;=$O$2,$D313,$D313-($D313-$I$292)*MIN(J$3-$O$2,$Q$2)/$Q$2))</f>
        <v>1358.00708482946</v>
      </c>
      <c r="K313" s="15" t="n">
        <f aca="false">J313*(1+IF(K$3&lt;=$O$2,$D313,$D313-($D313-$I$292)*MIN(K$3-$O$2,$Q$2)/$Q$2))</f>
        <v>1333.7219070835</v>
      </c>
      <c r="L313" s="15" t="n">
        <f aca="false">K313*(1+IF(L$3&lt;=$O$2,$D313,$D313-($D313-$I$292)*MIN(L$3-$O$2,$Q$2)/$Q$2))</f>
        <v>1333.38140464075</v>
      </c>
      <c r="M313" s="15" t="n">
        <f aca="false">L313*(1+IF(M$3&lt;=$O$2,$D313,$D313-($D313-$I$292)*MIN(M$3-$O$2,$Q$2)/$Q$2))</f>
        <v>1356.54537146613</v>
      </c>
      <c r="N313" s="15" t="n">
        <f aca="false">M313*(1+IF(N$3&lt;=$O$2,$D313,$D313-($D313-$I$292)*MIN(N$3-$O$2,$Q$2)/$Q$2))</f>
        <v>1404.02445946745</v>
      </c>
      <c r="O313" s="15" t="n">
        <f aca="false">SUMPRODUCT(E313:N313,1/(1+$F$292)^$E$3:$N$3)*$E$2</f>
        <v>3965.4336738809</v>
      </c>
      <c r="P313" s="15" t="n">
        <f aca="false">N313*$E$2*(1+$I$292)/($F$292-$I$292)/(1+$F$292)^$N$3</f>
        <v>12597.2483745361</v>
      </c>
      <c r="Q313" s="15" t="n">
        <f aca="false">O313+P313</f>
        <v>16562.682048417</v>
      </c>
      <c r="R313" s="15" t="n">
        <f aca="false">Q313-$G$2+$I$2</f>
        <v>15009.982048417</v>
      </c>
      <c r="S313" s="40" t="n">
        <f aca="false">R313/$K$2</f>
        <v>54.5044556752859</v>
      </c>
      <c r="T313" s="41" t="n">
        <f aca="false">S313-$M$2</f>
        <v>-6.51860380926905E-005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-0.0531382560729981</v>
      </c>
      <c r="C314" s="25" t="n">
        <f aca="false">IF(T313&gt;0,D313,C313)</f>
        <v>-0.0531368255615234</v>
      </c>
      <c r="D314" s="39" t="n">
        <f aca="false">(B314+C314)/2</f>
        <v>-0.0531375408172607</v>
      </c>
      <c r="E314" s="15" t="n">
        <f aca="false">$C$2*(1+IF(E$3&lt;=$O$2,$D314,$D314-($D314-$I$292)*MIN(E$3-$O$2,$Q$2)/$Q$2))</f>
        <v>1751.69554948807</v>
      </c>
      <c r="F314" s="15" t="n">
        <f aca="false">E314*(1+IF(F$3&lt;=$O$2,$D314,$D314-($D314-$I$292)*MIN(F$3-$O$2,$Q$2)/$Q$2))</f>
        <v>1658.61475572773</v>
      </c>
      <c r="G314" s="15" t="n">
        <f aca="false">F314*(1+IF(G$3&lt;=$O$2,$D314,$D314-($D314-$I$292)*MIN(G$3-$O$2,$Q$2)/$Q$2))</f>
        <v>1570.48004644514</v>
      </c>
      <c r="H314" s="15" t="n">
        <f aca="false">G314*(1+IF(H$3&lt;=$O$2,$D314,$D314-($D314-$I$292)*MIN(H$3-$O$2,$Q$2)/$Q$2))</f>
        <v>1487.02859887447</v>
      </c>
      <c r="I314" s="15" t="n">
        <f aca="false">H314*(1+IF(I$3&lt;=$O$2,$D314,$D314-($D314-$I$292)*MIN(I$3-$O$2,$Q$2)/$Q$2))</f>
        <v>1408.01155600534</v>
      </c>
      <c r="J314" s="15" t="n">
        <f aca="false">I314*(1+IF(J$3&lt;=$O$2,$D314,$D314-($D314-$I$292)*MIN(J$3-$O$2,$Q$2)/$Q$2))</f>
        <v>1358.01301967465</v>
      </c>
      <c r="K314" s="15" t="n">
        <f aca="false">J314*(1+IF(K$3&lt;=$O$2,$D314,$D314-($D314-$I$292)*MIN(K$3-$O$2,$Q$2)/$Q$2))</f>
        <v>1333.7283185921</v>
      </c>
      <c r="L314" s="15" t="n">
        <f aca="false">K314*(1+IF(L$3&lt;=$O$2,$D314,$D314-($D314-$I$292)*MIN(L$3-$O$2,$Q$2)/$Q$2))</f>
        <v>1333.3881960952</v>
      </c>
      <c r="M314" s="15" t="n">
        <f aca="false">L314*(1+IF(M$3&lt;=$O$2,$D314,$D314-($D314-$I$292)*MIN(M$3-$O$2,$Q$2)/$Q$2))</f>
        <v>1356.55247164681</v>
      </c>
      <c r="N314" s="15" t="n">
        <f aca="false">M314*(1+IF(N$3&lt;=$O$2,$D314,$D314-($D314-$I$292)*MIN(N$3-$O$2,$Q$2)/$Q$2))</f>
        <v>1404.03180815445</v>
      </c>
      <c r="O314" s="15" t="n">
        <f aca="false">SUMPRODUCT(E314:N314,1/(1+$F$292)^$E$3:$N$3)*$E$2</f>
        <v>3965.44638493006</v>
      </c>
      <c r="P314" s="15" t="n">
        <f aca="false">N314*$E$2*(1+$I$292)/($F$292-$I$292)/(1+$F$292)^$N$3</f>
        <v>12597.3143087403</v>
      </c>
      <c r="Q314" s="15" t="n">
        <f aca="false">O314+P314</f>
        <v>16562.7606936704</v>
      </c>
      <c r="R314" s="15" t="n">
        <f aca="false">Q314-$G$2+$I$2</f>
        <v>15010.0606936704</v>
      </c>
      <c r="S314" s="40" t="n">
        <f aca="false">R314/$K$2</f>
        <v>54.5047412530243</v>
      </c>
      <c r="T314" s="41" t="n">
        <f aca="false">S314-$M$2</f>
        <v>0.000220391700324285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-0.0531382560729981</v>
      </c>
      <c r="C315" s="25" t="n">
        <f aca="false">IF(T314&gt;0,D314,C314)</f>
        <v>-0.0531375408172607</v>
      </c>
      <c r="D315" s="39" t="n">
        <f aca="false">(B315+C315)/2</f>
        <v>-0.0531378984451294</v>
      </c>
      <c r="E315" s="15" t="n">
        <f aca="false">$C$2*(1+IF(E$3&lt;=$O$2,$D315,$D315-($D315-$I$292)*MIN(E$3-$O$2,$Q$2)/$Q$2))</f>
        <v>1751.69488787651</v>
      </c>
      <c r="F315" s="15" t="n">
        <f aca="false">E315*(1+IF(F$3&lt;=$O$2,$D315,$D315-($D315-$I$292)*MIN(F$3-$O$2,$Q$2)/$Q$2))</f>
        <v>1658.61350281768</v>
      </c>
      <c r="G315" s="15" t="n">
        <f aca="false">F315*(1+IF(G$3&lt;=$O$2,$D315,$D315-($D315-$I$292)*MIN(G$3-$O$2,$Q$2)/$Q$2))</f>
        <v>1570.47826694523</v>
      </c>
      <c r="H315" s="15" t="n">
        <f aca="false">G315*(1+IF(H$3&lt;=$O$2,$D315,$D315-($D315-$I$292)*MIN(H$3-$O$2,$Q$2)/$Q$2))</f>
        <v>1487.02635228601</v>
      </c>
      <c r="I315" s="15" t="n">
        <f aca="false">H315*(1+IF(I$3&lt;=$O$2,$D315,$D315-($D315-$I$292)*MIN(I$3-$O$2,$Q$2)/$Q$2))</f>
        <v>1408.00889699301</v>
      </c>
      <c r="J315" s="15" t="n">
        <f aca="false">I315*(1+IF(J$3&lt;=$O$2,$D315,$D315-($D315-$I$292)*MIN(J$3-$O$2,$Q$2)/$Q$2))</f>
        <v>1358.01005224936</v>
      </c>
      <c r="K315" s="15" t="n">
        <f aca="false">J315*(1+IF(K$3&lt;=$O$2,$D315,$D315-($D315-$I$292)*MIN(K$3-$O$2,$Q$2)/$Q$2))</f>
        <v>1333.72511283451</v>
      </c>
      <c r="L315" s="15" t="n">
        <f aca="false">K315*(1+IF(L$3&lt;=$O$2,$D315,$D315-($D315-$I$292)*MIN(L$3-$O$2,$Q$2)/$Q$2))</f>
        <v>1333.38480036423</v>
      </c>
      <c r="M315" s="15" t="n">
        <f aca="false">L315*(1+IF(M$3&lt;=$O$2,$D315,$D315-($D315-$I$292)*MIN(M$3-$O$2,$Q$2)/$Q$2))</f>
        <v>1356.54892155242</v>
      </c>
      <c r="N315" s="15" t="n">
        <f aca="false">M315*(1+IF(N$3&lt;=$O$2,$D315,$D315-($D315-$I$292)*MIN(N$3-$O$2,$Q$2)/$Q$2))</f>
        <v>1404.02813380676</v>
      </c>
      <c r="O315" s="15" t="n">
        <f aca="false">SUMPRODUCT(E315:N315,1/(1+$F$292)^$E$3:$N$3)*$E$2</f>
        <v>3965.44002940022</v>
      </c>
      <c r="P315" s="15" t="n">
        <f aca="false">N315*$E$2*(1+$I$292)/($F$292-$I$292)/(1+$F$292)^$N$3</f>
        <v>12597.2813416006</v>
      </c>
      <c r="Q315" s="15" t="n">
        <f aca="false">O315+P315</f>
        <v>16562.7213710008</v>
      </c>
      <c r="R315" s="15" t="n">
        <f aca="false">Q315-$G$2+$I$2</f>
        <v>15010.0213710008</v>
      </c>
      <c r="S315" s="40" t="n">
        <f aca="false">R315/$K$2</f>
        <v>54.5045984639993</v>
      </c>
      <c r="T315" s="41" t="n">
        <f aca="false">S315-$M$2</f>
        <v>7.76026753896986E-005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-0.0531382560729981</v>
      </c>
      <c r="C316" s="25" t="n">
        <f aca="false">IF(T315&gt;0,D315,C315)</f>
        <v>-0.0531378984451294</v>
      </c>
      <c r="D316" s="39" t="n">
        <f aca="false">(B316+C316)/2</f>
        <v>-0.0531380772590637</v>
      </c>
      <c r="E316" s="15" t="n">
        <f aca="false">$C$2*(1+IF(E$3&lt;=$O$2,$D316,$D316-($D316-$I$292)*MIN(E$3-$O$2,$Q$2)/$Q$2))</f>
        <v>1751.69455707073</v>
      </c>
      <c r="F316" s="15" t="n">
        <f aca="false">E316*(1+IF(F$3&lt;=$O$2,$D316,$D316-($D316-$I$292)*MIN(F$3-$O$2,$Q$2)/$Q$2))</f>
        <v>1658.61287636283</v>
      </c>
      <c r="G316" s="15" t="n">
        <f aca="false">F316*(1+IF(G$3&lt;=$O$2,$D316,$D316-($D316-$I$292)*MIN(G$3-$O$2,$Q$2)/$Q$2))</f>
        <v>1570.47737719578</v>
      </c>
      <c r="H316" s="15" t="n">
        <f aca="false">G316*(1+IF(H$3&lt;=$O$2,$D316,$D316-($D316-$I$292)*MIN(H$3-$O$2,$Q$2)/$Q$2))</f>
        <v>1487.02522899274</v>
      </c>
      <c r="I316" s="15" t="n">
        <f aca="false">H316*(1+IF(I$3&lt;=$O$2,$D316,$D316-($D316-$I$292)*MIN(I$3-$O$2,$Q$2)/$Q$2))</f>
        <v>1408.00756748835</v>
      </c>
      <c r="J316" s="15" t="n">
        <f aca="false">I316*(1+IF(J$3&lt;=$O$2,$D316,$D316-($D316-$I$292)*MIN(J$3-$O$2,$Q$2)/$Q$2))</f>
        <v>1358.00856853873</v>
      </c>
      <c r="K316" s="15" t="n">
        <f aca="false">J316*(1+IF(K$3&lt;=$O$2,$D316,$D316-($D316-$I$292)*MIN(K$3-$O$2,$Q$2)/$Q$2))</f>
        <v>1333.72350995818</v>
      </c>
      <c r="L316" s="15" t="n">
        <f aca="false">K316*(1+IF(L$3&lt;=$O$2,$D316,$D316-($D316-$I$292)*MIN(L$3-$O$2,$Q$2)/$Q$2))</f>
        <v>1333.38310250155</v>
      </c>
      <c r="M316" s="15" t="n">
        <f aca="false">L316*(1+IF(M$3&lt;=$O$2,$D316,$D316-($D316-$I$292)*MIN(M$3-$O$2,$Q$2)/$Q$2))</f>
        <v>1356.54714650826</v>
      </c>
      <c r="N316" s="15" t="n">
        <f aca="false">M316*(1+IF(N$3&lt;=$O$2,$D316,$D316-($D316-$I$292)*MIN(N$3-$O$2,$Q$2)/$Q$2))</f>
        <v>1404.02629663605</v>
      </c>
      <c r="O316" s="15" t="n">
        <f aca="false">SUMPRODUCT(E316:N316,1/(1+$F$292)^$E$3:$N$3)*$E$2</f>
        <v>3965.43685163925</v>
      </c>
      <c r="P316" s="15" t="n">
        <f aca="false">N316*$E$2*(1+$I$292)/($F$292-$I$292)/(1+$F$292)^$N$3</f>
        <v>12597.2648580589</v>
      </c>
      <c r="Q316" s="15" t="n">
        <f aca="false">O316+P316</f>
        <v>16562.7017096982</v>
      </c>
      <c r="R316" s="15" t="n">
        <f aca="false">Q316-$G$2+$I$2</f>
        <v>15010.0017096982</v>
      </c>
      <c r="S316" s="40" t="n">
        <f aca="false">R316/$K$2</f>
        <v>54.5045270696037</v>
      </c>
      <c r="T316" s="41" t="n">
        <f aca="false">S316-$M$2</f>
        <v>6.20827971431481E-006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-0.0531382560729981</v>
      </c>
      <c r="C317" s="25" t="n">
        <f aca="false">IF(T316&gt;0,D316,C316)</f>
        <v>-0.0531380772590637</v>
      </c>
      <c r="D317" s="39" t="n">
        <f aca="false">(B317+C317)/2</f>
        <v>-0.0531381666660309</v>
      </c>
      <c r="E317" s="15" t="n">
        <f aca="false">$C$2*(1+IF(E$3&lt;=$O$2,$D317,$D317-($D317-$I$292)*MIN(E$3-$O$2,$Q$2)/$Q$2))</f>
        <v>1751.69439166784</v>
      </c>
      <c r="F317" s="15" t="n">
        <f aca="false">E317*(1+IF(F$3&lt;=$O$2,$D317,$D317-($D317-$I$292)*MIN(F$3-$O$2,$Q$2)/$Q$2))</f>
        <v>1658.61256313545</v>
      </c>
      <c r="G317" s="15" t="n">
        <f aca="false">F317*(1+IF(G$3&lt;=$O$2,$D317,$D317-($D317-$I$292)*MIN(G$3-$O$2,$Q$2)/$Q$2))</f>
        <v>1570.47693232118</v>
      </c>
      <c r="H317" s="15" t="n">
        <f aca="false">G317*(1+IF(H$3&lt;=$O$2,$D317,$D317-($D317-$I$292)*MIN(H$3-$O$2,$Q$2)/$Q$2))</f>
        <v>1487.02466734634</v>
      </c>
      <c r="I317" s="15" t="n">
        <f aca="false">H317*(1+IF(I$3&lt;=$O$2,$D317,$D317-($D317-$I$292)*MIN(I$3-$O$2,$Q$2)/$Q$2))</f>
        <v>1408.00690273639</v>
      </c>
      <c r="J317" s="15" t="n">
        <f aca="false">I317*(1+IF(J$3&lt;=$O$2,$D317,$D317-($D317-$I$292)*MIN(J$3-$O$2,$Q$2)/$Q$2))</f>
        <v>1358.00782668392</v>
      </c>
      <c r="K317" s="15" t="n">
        <f aca="false">J317*(1+IF(K$3&lt;=$O$2,$D317,$D317-($D317-$I$292)*MIN(K$3-$O$2,$Q$2)/$Q$2))</f>
        <v>1333.72270852064</v>
      </c>
      <c r="L317" s="15" t="n">
        <f aca="false">K317*(1+IF(L$3&lt;=$O$2,$D317,$D317-($D317-$I$292)*MIN(L$3-$O$2,$Q$2)/$Q$2))</f>
        <v>1333.38225357091</v>
      </c>
      <c r="M317" s="15" t="n">
        <f aca="false">L317*(1+IF(M$3&lt;=$O$2,$D317,$D317-($D317-$I$292)*MIN(M$3-$O$2,$Q$2)/$Q$2))</f>
        <v>1356.54625898694</v>
      </c>
      <c r="N317" s="15" t="n">
        <f aca="false">M317*(1+IF(N$3&lt;=$O$2,$D317,$D317-($D317-$I$292)*MIN(N$3-$O$2,$Q$2)/$Q$2))</f>
        <v>1404.02537805149</v>
      </c>
      <c r="O317" s="15" t="n">
        <f aca="false">SUMPRODUCT(E317:N317,1/(1+$F$292)^$E$3:$N$3)*$E$2</f>
        <v>3965.43526275974</v>
      </c>
      <c r="P317" s="15" t="n">
        <f aca="false">N317*$E$2*(1+$I$292)/($F$292-$I$292)/(1+$F$292)^$N$3</f>
        <v>12597.2566162951</v>
      </c>
      <c r="Q317" s="15" t="n">
        <f aca="false">O317+P317</f>
        <v>16562.6918790549</v>
      </c>
      <c r="R317" s="15" t="n">
        <f aca="false">Q317-$G$2+$I$2</f>
        <v>15009.9918790549</v>
      </c>
      <c r="S317" s="40" t="n">
        <f aca="false">R317/$K$2</f>
        <v>54.504491372435</v>
      </c>
      <c r="T317" s="41" t="n">
        <f aca="false">S317-$M$2</f>
        <v>-2.94888889200706E-005</v>
      </c>
    </row>
    <row r="319" customFormat="false" ht="15" hidden="false" customHeight="false" outlineLevel="0" collapsed="false">
      <c r="A319" s="36" t="s">
        <v>186</v>
      </c>
      <c r="E319" s="5" t="s">
        <v>11</v>
      </c>
      <c r="F319" s="12" t="n">
        <f aca="false">Sensitivity!$B$12</f>
        <v>0.0635093056415221</v>
      </c>
      <c r="G319" s="5" t="s">
        <v>12</v>
      </c>
      <c r="I319" s="12" t="n">
        <f aca="false">Sensitivity!$C$9</f>
        <v>0.015</v>
      </c>
    </row>
    <row r="320" customFormat="false" ht="23.85" hidden="false" customHeight="false" outlineLevel="0" collapsed="false">
      <c r="A320" s="36" t="s">
        <v>156</v>
      </c>
      <c r="B320" s="28" t="s">
        <v>157</v>
      </c>
      <c r="C320" s="28" t="s">
        <v>158</v>
      </c>
      <c r="D320" s="28" t="s">
        <v>159</v>
      </c>
      <c r="E320" s="28" t="s">
        <v>160</v>
      </c>
      <c r="F320" s="28" t="s">
        <v>161</v>
      </c>
      <c r="G320" s="28" t="s">
        <v>162</v>
      </c>
      <c r="H320" s="28" t="s">
        <v>163</v>
      </c>
      <c r="I320" s="28" t="s">
        <v>164</v>
      </c>
      <c r="J320" s="28" t="s">
        <v>165</v>
      </c>
      <c r="K320" s="28" t="s">
        <v>166</v>
      </c>
      <c r="L320" s="28" t="s">
        <v>167</v>
      </c>
      <c r="M320" s="28" t="s">
        <v>168</v>
      </c>
      <c r="N320" s="28" t="s">
        <v>169</v>
      </c>
      <c r="O320" s="28" t="s">
        <v>170</v>
      </c>
      <c r="P320" s="28" t="s">
        <v>171</v>
      </c>
      <c r="Q320" s="28" t="s">
        <v>172</v>
      </c>
      <c r="R320" s="28" t="s">
        <v>173</v>
      </c>
      <c r="S320" s="28" t="s">
        <v>174</v>
      </c>
      <c r="T320" s="28" t="s">
        <v>175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39" t="n">
        <f aca="false">(B321+C321)/2</f>
        <v>0.25</v>
      </c>
      <c r="E321" s="15" t="n">
        <f aca="false">$C$2*(1+IF(E$3&lt;=$O$2,$D321,$D321-($D321-$I$319)*MIN(E$3-$O$2,$Q$2)/$Q$2))</f>
        <v>2312.5</v>
      </c>
      <c r="F321" s="15" t="n">
        <f aca="false">E321*(1+IF(F$3&lt;=$O$2,$D321,$D321-($D321-$I$319)*MIN(F$3-$O$2,$Q$2)/$Q$2))</f>
        <v>2890.625</v>
      </c>
      <c r="G321" s="15" t="n">
        <f aca="false">F321*(1+IF(G$3&lt;=$O$2,$D321,$D321-($D321-$I$319)*MIN(G$3-$O$2,$Q$2)/$Q$2))</f>
        <v>3613.28125</v>
      </c>
      <c r="H321" s="15" t="n">
        <f aca="false">G321*(1+IF(H$3&lt;=$O$2,$D321,$D321-($D321-$I$319)*MIN(H$3-$O$2,$Q$2)/$Q$2))</f>
        <v>4516.6015625</v>
      </c>
      <c r="I321" s="15" t="n">
        <f aca="false">H321*(1+IF(I$3&lt;=$O$2,$D321,$D321-($D321-$I$319)*MIN(I$3-$O$2,$Q$2)/$Q$2))</f>
        <v>5645.751953125</v>
      </c>
      <c r="J321" s="15" t="n">
        <f aca="false">I321*(1+IF(J$3&lt;=$O$2,$D321,$D321-($D321-$I$319)*MIN(J$3-$O$2,$Q$2)/$Q$2))</f>
        <v>6791.83959960938</v>
      </c>
      <c r="K321" s="15" t="n">
        <f aca="false">J321*(1+IF(K$3&lt;=$O$2,$D321,$D321-($D321-$I$319)*MIN(K$3-$O$2,$Q$2)/$Q$2))</f>
        <v>7851.36657714844</v>
      </c>
      <c r="L321" s="15" t="n">
        <f aca="false">K321*(1+IF(L$3&lt;=$O$2,$D321,$D321-($D321-$I$319)*MIN(L$3-$O$2,$Q$2)/$Q$2))</f>
        <v>8707.16553405762</v>
      </c>
      <c r="M321" s="15" t="n">
        <f aca="false">L321*(1+IF(M$3&lt;=$O$2,$D321,$D321-($D321-$I$319)*MIN(M$3-$O$2,$Q$2)/$Q$2))</f>
        <v>9247.00979716919</v>
      </c>
      <c r="N321" s="15" t="n">
        <f aca="false">M321*(1+IF(N$3&lt;=$O$2,$D321,$D321-($D321-$I$319)*MIN(N$3-$O$2,$Q$2)/$Q$2))</f>
        <v>9385.71494412673</v>
      </c>
      <c r="O321" s="15" t="n">
        <f aca="false">SUMPRODUCT(E321:N321,1/(1+$F$319)^$E$3:$N$3)*$E$2</f>
        <v>14723.8528532752</v>
      </c>
      <c r="P321" s="15" t="n">
        <f aca="false">N321*$E$2*(1+$I$319)/($F$319-$I$319)/(1+$F$319)^$N$3</f>
        <v>38180.5935591757</v>
      </c>
      <c r="Q321" s="15" t="n">
        <f aca="false">O321+P321</f>
        <v>52904.4464124509</v>
      </c>
      <c r="R321" s="15" t="n">
        <f aca="false">Q321-$G$2+$I$2</f>
        <v>51351.7464124509</v>
      </c>
      <c r="S321" s="40" t="n">
        <f aca="false">R321/$K$2</f>
        <v>186.469176122775</v>
      </c>
      <c r="T321" s="41" t="n">
        <f aca="false">S321-$M$2</f>
        <v>131.964655261451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39" t="n">
        <f aca="false">(B322+C322)/2</f>
        <v>-0.125</v>
      </c>
      <c r="E322" s="15" t="n">
        <f aca="false">$C$2*(1+IF(E$3&lt;=$O$2,$D322,$D322-($D322-$I$319)*MIN(E$3-$O$2,$Q$2)/$Q$2))</f>
        <v>1618.75</v>
      </c>
      <c r="F322" s="15" t="n">
        <f aca="false">E322*(1+IF(F$3&lt;=$O$2,$D322,$D322-($D322-$I$319)*MIN(F$3-$O$2,$Q$2)/$Q$2))</f>
        <v>1416.40625</v>
      </c>
      <c r="G322" s="15" t="n">
        <f aca="false">F322*(1+IF(G$3&lt;=$O$2,$D322,$D322-($D322-$I$319)*MIN(G$3-$O$2,$Q$2)/$Q$2))</f>
        <v>1239.35546875</v>
      </c>
      <c r="H322" s="15" t="n">
        <f aca="false">G322*(1+IF(H$3&lt;=$O$2,$D322,$D322-($D322-$I$319)*MIN(H$3-$O$2,$Q$2)/$Q$2))</f>
        <v>1084.43603515625</v>
      </c>
      <c r="I322" s="15" t="n">
        <f aca="false">H322*(1+IF(I$3&lt;=$O$2,$D322,$D322-($D322-$I$319)*MIN(I$3-$O$2,$Q$2)/$Q$2))</f>
        <v>948.881530761719</v>
      </c>
      <c r="J322" s="15" t="n">
        <f aca="false">I322*(1+IF(J$3&lt;=$O$2,$D322,$D322-($D322-$I$319)*MIN(J$3-$O$2,$Q$2)/$Q$2))</f>
        <v>856.840022277832</v>
      </c>
      <c r="K322" s="15" t="n">
        <f aca="false">J322*(1+IF(K$3&lt;=$O$2,$D322,$D322-($D322-$I$319)*MIN(K$3-$O$2,$Q$2)/$Q$2))</f>
        <v>797.718060740662</v>
      </c>
      <c r="L322" s="15" t="n">
        <f aca="false">K322*(1+IF(L$3&lt;=$O$2,$D322,$D322-($D322-$I$319)*MIN(L$3-$O$2,$Q$2)/$Q$2))</f>
        <v>765.011620250295</v>
      </c>
      <c r="M322" s="15" t="n">
        <f aca="false">L322*(1+IF(M$3&lt;=$O$2,$D322,$D322-($D322-$I$319)*MIN(M$3-$O$2,$Q$2)/$Q$2))</f>
        <v>755.066469187041</v>
      </c>
      <c r="N322" s="15" t="n">
        <f aca="false">M322*(1+IF(N$3&lt;=$O$2,$D322,$D322-($D322-$I$319)*MIN(N$3-$O$2,$Q$2)/$Q$2))</f>
        <v>766.392466224846</v>
      </c>
      <c r="O322" s="15" t="n">
        <f aca="false">SUMPRODUCT(E322:N322,1/(1+$F$319)^$E$3:$N$3)*$E$2</f>
        <v>2798.25537374791</v>
      </c>
      <c r="P322" s="15" t="n">
        <f aca="false">N322*$E$2*(1+$I$319)/($F$319-$I$319)/(1+$F$319)^$N$3</f>
        <v>3117.64414686981</v>
      </c>
      <c r="Q322" s="15" t="n">
        <f aca="false">O322+P322</f>
        <v>5915.89952061771</v>
      </c>
      <c r="R322" s="15" t="n">
        <f aca="false">Q322-$G$2+$I$2</f>
        <v>4363.19952061771</v>
      </c>
      <c r="S322" s="40" t="n">
        <f aca="false">R322/$K$2</f>
        <v>15.8437108123669</v>
      </c>
      <c r="T322" s="41" t="n">
        <f aca="false">S322-$M$2</f>
        <v>-38.6608100489571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39" t="n">
        <f aca="false">(B323+C323)/2</f>
        <v>0.0625</v>
      </c>
      <c r="E323" s="15" t="n">
        <f aca="false">$C$2*(1+IF(E$3&lt;=$O$2,$D323,$D323-($D323-$I$319)*MIN(E$3-$O$2,$Q$2)/$Q$2))</f>
        <v>1965.625</v>
      </c>
      <c r="F323" s="15" t="n">
        <f aca="false">E323*(1+IF(F$3&lt;=$O$2,$D323,$D323-($D323-$I$319)*MIN(F$3-$O$2,$Q$2)/$Q$2))</f>
        <v>2088.4765625</v>
      </c>
      <c r="G323" s="15" t="n">
        <f aca="false">F323*(1+IF(G$3&lt;=$O$2,$D323,$D323-($D323-$I$319)*MIN(G$3-$O$2,$Q$2)/$Q$2))</f>
        <v>2219.00634765625</v>
      </c>
      <c r="H323" s="15" t="n">
        <f aca="false">G323*(1+IF(H$3&lt;=$O$2,$D323,$D323-($D323-$I$319)*MIN(H$3-$O$2,$Q$2)/$Q$2))</f>
        <v>2357.69424438477</v>
      </c>
      <c r="I323" s="15" t="n">
        <f aca="false">H323*(1+IF(I$3&lt;=$O$2,$D323,$D323-($D323-$I$319)*MIN(I$3-$O$2,$Q$2)/$Q$2))</f>
        <v>2505.05013465881</v>
      </c>
      <c r="J323" s="15" t="n">
        <f aca="false">I323*(1+IF(J$3&lt;=$O$2,$D323,$D323-($D323-$I$319)*MIN(J$3-$O$2,$Q$2)/$Q$2))</f>
        <v>2637.81779179573</v>
      </c>
      <c r="K323" s="15" t="n">
        <f aca="false">J323*(1+IF(K$3&lt;=$O$2,$D323,$D323-($D323-$I$319)*MIN(K$3-$O$2,$Q$2)/$Q$2))</f>
        <v>2752.56286573885</v>
      </c>
      <c r="L323" s="15" t="n">
        <f aca="false">K323*(1+IF(L$3&lt;=$O$2,$D323,$D323-($D323-$I$319)*MIN(L$3-$O$2,$Q$2)/$Q$2))</f>
        <v>2846.15000317397</v>
      </c>
      <c r="M323" s="15" t="n">
        <f aca="false">L323*(1+IF(M$3&lt;=$O$2,$D323,$D323-($D323-$I$319)*MIN(M$3-$O$2,$Q$2)/$Q$2))</f>
        <v>2915.88067825173</v>
      </c>
      <c r="N323" s="15" t="n">
        <f aca="false">M323*(1+IF(N$3&lt;=$O$2,$D323,$D323-($D323-$I$319)*MIN(N$3-$O$2,$Q$2)/$Q$2))</f>
        <v>2959.6188884255</v>
      </c>
      <c r="O323" s="15" t="n">
        <f aca="false">SUMPRODUCT(E323:N323,1/(1+$F$319)^$E$3:$N$3)*$E$2</f>
        <v>6423.2802541891</v>
      </c>
      <c r="P323" s="15" t="n">
        <f aca="false">N323*$E$2*(1+$I$319)/($F$319-$I$319)/(1+$F$319)^$N$3</f>
        <v>12039.5736011294</v>
      </c>
      <c r="Q323" s="15" t="n">
        <f aca="false">O323+P323</f>
        <v>18462.8538553185</v>
      </c>
      <c r="R323" s="15" t="n">
        <f aca="false">Q323-$G$2+$I$2</f>
        <v>16910.1538553185</v>
      </c>
      <c r="S323" s="40" t="n">
        <f aca="false">R323/$K$2</f>
        <v>61.4043859810395</v>
      </c>
      <c r="T323" s="41" t="n">
        <f aca="false">S323-$M$2</f>
        <v>6.89986511971558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-0.125</v>
      </c>
      <c r="C324" s="25" t="n">
        <f aca="false">IF(T323&gt;0,D323,C323)</f>
        <v>0.0625</v>
      </c>
      <c r="D324" s="39" t="n">
        <f aca="false">(B324+C324)/2</f>
        <v>-0.03125</v>
      </c>
      <c r="E324" s="15" t="n">
        <f aca="false">$C$2*(1+IF(E$3&lt;=$O$2,$D324,$D324-($D324-$I$319)*MIN(E$3-$O$2,$Q$2)/$Q$2))</f>
        <v>1792.1875</v>
      </c>
      <c r="F324" s="15" t="n">
        <f aca="false">E324*(1+IF(F$3&lt;=$O$2,$D324,$D324-($D324-$I$319)*MIN(F$3-$O$2,$Q$2)/$Q$2))</f>
        <v>1736.181640625</v>
      </c>
      <c r="G324" s="15" t="n">
        <f aca="false">F324*(1+IF(G$3&lt;=$O$2,$D324,$D324-($D324-$I$319)*MIN(G$3-$O$2,$Q$2)/$Q$2))</f>
        <v>1681.92596435547</v>
      </c>
      <c r="H324" s="15" t="n">
        <f aca="false">G324*(1+IF(H$3&lt;=$O$2,$D324,$D324-($D324-$I$319)*MIN(H$3-$O$2,$Q$2)/$Q$2))</f>
        <v>1629.36577796936</v>
      </c>
      <c r="I324" s="15" t="n">
        <f aca="false">H324*(1+IF(I$3&lt;=$O$2,$D324,$D324-($D324-$I$319)*MIN(I$3-$O$2,$Q$2)/$Q$2))</f>
        <v>1578.44809740782</v>
      </c>
      <c r="J324" s="15" t="n">
        <f aca="false">I324*(1+IF(J$3&lt;=$O$2,$D324,$D324-($D324-$I$319)*MIN(J$3-$O$2,$Q$2)/$Q$2))</f>
        <v>1543.72223926485</v>
      </c>
      <c r="K324" s="15" t="n">
        <f aca="false">J324*(1+IF(K$3&lt;=$O$2,$D324,$D324-($D324-$I$319)*MIN(K$3-$O$2,$Q$2)/$Q$2))</f>
        <v>1524.03978071422</v>
      </c>
      <c r="L324" s="15" t="n">
        <f aca="false">K324*(1+IF(L$3&lt;=$O$2,$D324,$D324-($D324-$I$319)*MIN(L$3-$O$2,$Q$2)/$Q$2))</f>
        <v>1518.70564148172</v>
      </c>
      <c r="M324" s="15" t="n">
        <f aca="false">L324*(1+IF(M$3&lt;=$O$2,$D324,$D324-($D324-$I$319)*MIN(M$3-$O$2,$Q$2)/$Q$2))</f>
        <v>1527.43819892024</v>
      </c>
      <c r="N324" s="15" t="n">
        <f aca="false">M324*(1+IF(N$3&lt;=$O$2,$D324,$D324-($D324-$I$319)*MIN(N$3-$O$2,$Q$2)/$Q$2))</f>
        <v>1550.34977190404</v>
      </c>
      <c r="O324" s="15" t="n">
        <f aca="false">SUMPRODUCT(E324:N324,1/(1+$F$319)^$E$3:$N$3)*$E$2</f>
        <v>4229.45540419637</v>
      </c>
      <c r="P324" s="15" t="n">
        <f aca="false">N324*$E$2*(1+$I$319)/($F$319-$I$319)/(1+$F$319)^$N$3</f>
        <v>6306.74113458669</v>
      </c>
      <c r="Q324" s="15" t="n">
        <f aca="false">O324+P324</f>
        <v>10536.1965387831</v>
      </c>
      <c r="R324" s="15" t="n">
        <f aca="false">Q324-$G$2+$I$2</f>
        <v>8983.49653878306</v>
      </c>
      <c r="S324" s="40" t="n">
        <f aca="false">R324/$K$2</f>
        <v>32.620997635292</v>
      </c>
      <c r="T324" s="41" t="n">
        <f aca="false">S324-$M$2</f>
        <v>-21.883523226032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-0.03125</v>
      </c>
      <c r="C325" s="25" t="n">
        <f aca="false">IF(T324&gt;0,D324,C324)</f>
        <v>0.0625</v>
      </c>
      <c r="D325" s="39" t="n">
        <f aca="false">(B325+C325)/2</f>
        <v>0.015625</v>
      </c>
      <c r="E325" s="15" t="n">
        <f aca="false">$C$2*(1+IF(E$3&lt;=$O$2,$D325,$D325-($D325-$I$319)*MIN(E$3-$O$2,$Q$2)/$Q$2))</f>
        <v>1878.90625</v>
      </c>
      <c r="F325" s="15" t="n">
        <f aca="false">E325*(1+IF(F$3&lt;=$O$2,$D325,$D325-($D325-$I$319)*MIN(F$3-$O$2,$Q$2)/$Q$2))</f>
        <v>1908.26416015625</v>
      </c>
      <c r="G325" s="15" t="n">
        <f aca="false">F325*(1+IF(G$3&lt;=$O$2,$D325,$D325-($D325-$I$319)*MIN(G$3-$O$2,$Q$2)/$Q$2))</f>
        <v>1938.08078765869</v>
      </c>
      <c r="H325" s="15" t="n">
        <f aca="false">G325*(1+IF(H$3&lt;=$O$2,$D325,$D325-($D325-$I$319)*MIN(H$3-$O$2,$Q$2)/$Q$2))</f>
        <v>1968.36329996586</v>
      </c>
      <c r="I325" s="15" t="n">
        <f aca="false">H325*(1+IF(I$3&lt;=$O$2,$D325,$D325-($D325-$I$319)*MIN(I$3-$O$2,$Q$2)/$Q$2))</f>
        <v>1999.11897652783</v>
      </c>
      <c r="J325" s="15" t="n">
        <f aca="false">I325*(1+IF(J$3&lt;=$O$2,$D325,$D325-($D325-$I$319)*MIN(J$3-$O$2,$Q$2)/$Q$2))</f>
        <v>2030.10532066401</v>
      </c>
      <c r="K325" s="15" t="n">
        <f aca="false">J325*(1+IF(K$3&lt;=$O$2,$D325,$D325-($D325-$I$319)*MIN(K$3-$O$2,$Q$2)/$Q$2))</f>
        <v>2061.31818996922</v>
      </c>
      <c r="L325" s="15" t="n">
        <f aca="false">K325*(1+IF(L$3&lt;=$O$2,$D325,$D325-($D325-$I$319)*MIN(L$3-$O$2,$Q$2)/$Q$2))</f>
        <v>2092.75329236625</v>
      </c>
      <c r="M325" s="15" t="n">
        <f aca="false">L325*(1+IF(M$3&lt;=$O$2,$D325,$D325-($D325-$I$319)*MIN(M$3-$O$2,$Q$2)/$Q$2))</f>
        <v>2124.40618591329</v>
      </c>
      <c r="N325" s="15" t="n">
        <f aca="false">M325*(1+IF(N$3&lt;=$O$2,$D325,$D325-($D325-$I$319)*MIN(N$3-$O$2,$Q$2)/$Q$2))</f>
        <v>2156.27227870198</v>
      </c>
      <c r="O325" s="15" t="n">
        <f aca="false">SUMPRODUCT(E325:N325,1/(1+$F$319)^$E$3:$N$3)*$E$2</f>
        <v>5210.9030678405</v>
      </c>
      <c r="P325" s="15" t="n">
        <f aca="false">N325*$E$2*(1+$I$319)/($F$319-$I$319)/(1+$F$319)^$N$3</f>
        <v>8771.6019468028</v>
      </c>
      <c r="Q325" s="15" t="n">
        <f aca="false">O325+P325</f>
        <v>13982.5050146433</v>
      </c>
      <c r="R325" s="15" t="n">
        <f aca="false">Q325-$G$2+$I$2</f>
        <v>12429.8050146433</v>
      </c>
      <c r="S325" s="40" t="n">
        <f aca="false">R325/$K$2</f>
        <v>45.1352809275693</v>
      </c>
      <c r="T325" s="41" t="n">
        <f aca="false">S325-$M$2</f>
        <v>-9.36923993375468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0.015625</v>
      </c>
      <c r="C326" s="25" t="n">
        <f aca="false">IF(T325&gt;0,D325,C325)</f>
        <v>0.0625</v>
      </c>
      <c r="D326" s="39" t="n">
        <f aca="false">(B326+C326)/2</f>
        <v>0.0390625</v>
      </c>
      <c r="E326" s="15" t="n">
        <f aca="false">$C$2*(1+IF(E$3&lt;=$O$2,$D326,$D326-($D326-$I$319)*MIN(E$3-$O$2,$Q$2)/$Q$2))</f>
        <v>1922.265625</v>
      </c>
      <c r="F326" s="15" t="n">
        <f aca="false">E326*(1+IF(F$3&lt;=$O$2,$D326,$D326-($D326-$I$319)*MIN(F$3-$O$2,$Q$2)/$Q$2))</f>
        <v>1997.35412597656</v>
      </c>
      <c r="G326" s="15" t="n">
        <f aca="false">F326*(1+IF(G$3&lt;=$O$2,$D326,$D326-($D326-$I$319)*MIN(G$3-$O$2,$Q$2)/$Q$2))</f>
        <v>2075.37577152252</v>
      </c>
      <c r="H326" s="15" t="n">
        <f aca="false">G326*(1+IF(H$3&lt;=$O$2,$D326,$D326-($D326-$I$319)*MIN(H$3-$O$2,$Q$2)/$Q$2))</f>
        <v>2156.44513759762</v>
      </c>
      <c r="I326" s="15" t="n">
        <f aca="false">H326*(1+IF(I$3&lt;=$O$2,$D326,$D326-($D326-$I$319)*MIN(I$3-$O$2,$Q$2)/$Q$2))</f>
        <v>2240.68127578503</v>
      </c>
      <c r="J326" s="15" t="n">
        <f aca="false">I326*(1+IF(J$3&lt;=$O$2,$D326,$D326-($D326-$I$319)*MIN(J$3-$O$2,$Q$2)/$Q$2))</f>
        <v>2317.42460948067</v>
      </c>
      <c r="K326" s="15" t="n">
        <f aca="false">J326*(1+IF(K$3&lt;=$O$2,$D326,$D326-($D326-$I$319)*MIN(K$3-$O$2,$Q$2)/$Q$2))</f>
        <v>2385.64379642225</v>
      </c>
      <c r="L326" s="15" t="n">
        <f aca="false">K326*(1+IF(L$3&lt;=$O$2,$D326,$D326-($D326-$I$319)*MIN(L$3-$O$2,$Q$2)/$Q$2))</f>
        <v>2444.39027490915</v>
      </c>
      <c r="M326" s="15" t="n">
        <f aca="false">L326*(1+IF(M$3&lt;=$O$2,$D326,$D326-($D326-$I$319)*MIN(M$3-$O$2,$Q$2)/$Q$2))</f>
        <v>2492.81975723079</v>
      </c>
      <c r="N326" s="15" t="n">
        <f aca="false">M326*(1+IF(N$3&lt;=$O$2,$D326,$D326-($D326-$I$319)*MIN(N$3-$O$2,$Q$2)/$Q$2))</f>
        <v>2530.21205358925</v>
      </c>
      <c r="O326" s="15" t="n">
        <f aca="false">SUMPRODUCT(E326:N326,1/(1+$F$319)^$E$3:$N$3)*$E$2</f>
        <v>5785.30653269759</v>
      </c>
      <c r="P326" s="15" t="n">
        <f aca="false">N326*$E$2*(1+$I$319)/($F$319-$I$319)/(1+$F$319)^$N$3</f>
        <v>10292.7692361966</v>
      </c>
      <c r="Q326" s="15" t="n">
        <f aca="false">O326+P326</f>
        <v>16078.0757688942</v>
      </c>
      <c r="R326" s="15" t="n">
        <f aca="false">Q326-$G$2+$I$2</f>
        <v>14525.3757688942</v>
      </c>
      <c r="S326" s="40" t="n">
        <f aca="false">R326/$K$2</f>
        <v>52.7447466098776</v>
      </c>
      <c r="T326" s="41" t="n">
        <f aca="false">S326-$M$2</f>
        <v>-1.75977425144631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0.0390625</v>
      </c>
      <c r="C327" s="25" t="n">
        <f aca="false">IF(T326&gt;0,D326,C326)</f>
        <v>0.0625</v>
      </c>
      <c r="D327" s="39" t="n">
        <f aca="false">(B327+C327)/2</f>
        <v>0.05078125</v>
      </c>
      <c r="E327" s="15" t="n">
        <f aca="false">$C$2*(1+IF(E$3&lt;=$O$2,$D327,$D327-($D327-$I$319)*MIN(E$3-$O$2,$Q$2)/$Q$2))</f>
        <v>1943.9453125</v>
      </c>
      <c r="F327" s="15" t="n">
        <f aca="false">E327*(1+IF(F$3&lt;=$O$2,$D327,$D327-($D327-$I$319)*MIN(F$3-$O$2,$Q$2)/$Q$2))</f>
        <v>2042.66128540039</v>
      </c>
      <c r="G327" s="15" t="n">
        <f aca="false">F327*(1+IF(G$3&lt;=$O$2,$D327,$D327-($D327-$I$319)*MIN(G$3-$O$2,$Q$2)/$Q$2))</f>
        <v>2146.39017879963</v>
      </c>
      <c r="H327" s="15" t="n">
        <f aca="false">G327*(1+IF(H$3&lt;=$O$2,$D327,$D327-($D327-$I$319)*MIN(H$3-$O$2,$Q$2)/$Q$2))</f>
        <v>2255.3865550668</v>
      </c>
      <c r="I327" s="15" t="n">
        <f aca="false">H327*(1+IF(I$3&lt;=$O$2,$D327,$D327-($D327-$I$319)*MIN(I$3-$O$2,$Q$2)/$Q$2))</f>
        <v>2369.91790356628</v>
      </c>
      <c r="J327" s="15" t="n">
        <f aca="false">I327*(1+IF(J$3&lt;=$O$2,$D327,$D327-($D327-$I$319)*MIN(J$3-$O$2,$Q$2)/$Q$2))</f>
        <v>2473.30557210936</v>
      </c>
      <c r="K327" s="15" t="n">
        <f aca="false">J327*(1+IF(K$3&lt;=$O$2,$D327,$D327-($D327-$I$319)*MIN(K$3-$O$2,$Q$2)/$Q$2))</f>
        <v>2563.50393469223</v>
      </c>
      <c r="L327" s="15" t="n">
        <f aca="false">K327*(1+IF(L$3&lt;=$O$2,$D327,$D327-($D327-$I$319)*MIN(L$3-$O$2,$Q$2)/$Q$2))</f>
        <v>2638.64664377789</v>
      </c>
      <c r="M327" s="15" t="n">
        <f aca="false">L327*(1+IF(M$3&lt;=$O$2,$D327,$D327-($D327-$I$319)*MIN(M$3-$O$2,$Q$2)/$Q$2))</f>
        <v>2697.1091584791</v>
      </c>
      <c r="N327" s="15" t="n">
        <f aca="false">M327*(1+IF(N$3&lt;=$O$2,$D327,$D327-($D327-$I$319)*MIN(N$3-$O$2,$Q$2)/$Q$2))</f>
        <v>2737.56579585628</v>
      </c>
      <c r="O327" s="15" t="n">
        <f aca="false">SUMPRODUCT(E327:N327,1/(1+$F$319)^$E$3:$N$3)*$E$2</f>
        <v>6095.95434499061</v>
      </c>
      <c r="P327" s="15" t="n">
        <f aca="false">N327*$E$2*(1+$I$319)/($F$319-$I$319)/(1+$F$319)^$N$3</f>
        <v>11136.2733276378</v>
      </c>
      <c r="Q327" s="15" t="n">
        <f aca="false">O327+P327</f>
        <v>17232.2276726284</v>
      </c>
      <c r="R327" s="15" t="n">
        <f aca="false">Q327-$G$2+$I$2</f>
        <v>15679.5276726284</v>
      </c>
      <c r="S327" s="40" t="n">
        <f aca="false">R327/$K$2</f>
        <v>56.9357190625238</v>
      </c>
      <c r="T327" s="41" t="n">
        <f aca="false">S327-$M$2</f>
        <v>2.43119820119983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0.0390625</v>
      </c>
      <c r="C328" s="25" t="n">
        <f aca="false">IF(T327&gt;0,D327,C327)</f>
        <v>0.05078125</v>
      </c>
      <c r="D328" s="39" t="n">
        <f aca="false">(B328+C328)/2</f>
        <v>0.044921875</v>
      </c>
      <c r="E328" s="15" t="n">
        <f aca="false">$C$2*(1+IF(E$3&lt;=$O$2,$D328,$D328-($D328-$I$319)*MIN(E$3-$O$2,$Q$2)/$Q$2))</f>
        <v>1933.10546875</v>
      </c>
      <c r="F328" s="15" t="n">
        <f aca="false">E328*(1+IF(F$3&lt;=$O$2,$D328,$D328-($D328-$I$319)*MIN(F$3-$O$2,$Q$2)/$Q$2))</f>
        <v>2019.944190979</v>
      </c>
      <c r="G328" s="15" t="n">
        <f aca="false">F328*(1+IF(G$3&lt;=$O$2,$D328,$D328-($D328-$I$319)*MIN(G$3-$O$2,$Q$2)/$Q$2))</f>
        <v>2110.68387143314</v>
      </c>
      <c r="H328" s="15" t="n">
        <f aca="false">G328*(1+IF(H$3&lt;=$O$2,$D328,$D328-($D328-$I$319)*MIN(H$3-$O$2,$Q$2)/$Q$2))</f>
        <v>2205.49974847017</v>
      </c>
      <c r="I328" s="15" t="n">
        <f aca="false">H328*(1+IF(I$3&lt;=$O$2,$D328,$D328-($D328-$I$319)*MIN(I$3-$O$2,$Q$2)/$Q$2))</f>
        <v>2304.57493248348</v>
      </c>
      <c r="J328" s="15" t="n">
        <f aca="false">I328*(1+IF(J$3&lt;=$O$2,$D328,$D328-($D328-$I$319)*MIN(J$3-$O$2,$Q$2)/$Q$2))</f>
        <v>2394.30931891706</v>
      </c>
      <c r="K328" s="15" t="n">
        <f aca="false">J328*(1+IF(K$3&lt;=$O$2,$D328,$D328-($D328-$I$319)*MIN(K$3-$O$2,$Q$2)/$Q$2))</f>
        <v>2473.209293192</v>
      </c>
      <c r="L328" s="15" t="n">
        <f aca="false">K328*(1+IF(L$3&lt;=$O$2,$D328,$D328-($D328-$I$319)*MIN(L$3-$O$2,$Q$2)/$Q$2))</f>
        <v>2539.90865631777</v>
      </c>
      <c r="M328" s="15" t="n">
        <f aca="false">L328*(1+IF(M$3&lt;=$O$2,$D328,$D328-($D328-$I$319)*MIN(M$3-$O$2,$Q$2)/$Q$2))</f>
        <v>2593.20705202769</v>
      </c>
      <c r="N328" s="15" t="n">
        <f aca="false">M328*(1+IF(N$3&lt;=$O$2,$D328,$D328-($D328-$I$319)*MIN(N$3-$O$2,$Q$2)/$Q$2))</f>
        <v>2632.1051578081</v>
      </c>
      <c r="O328" s="15" t="n">
        <f aca="false">SUMPRODUCT(E328:N328,1/(1+$F$319)^$E$3:$N$3)*$E$2</f>
        <v>5938.59607553899</v>
      </c>
      <c r="P328" s="15" t="n">
        <f aca="false">N328*$E$2*(1+$I$319)/($F$319-$I$319)/(1+$F$319)^$N$3</f>
        <v>10707.2650121521</v>
      </c>
      <c r="Q328" s="15" t="n">
        <f aca="false">O328+P328</f>
        <v>16645.8610876911</v>
      </c>
      <c r="R328" s="15" t="n">
        <f aca="false">Q328-$G$2+$I$2</f>
        <v>15093.1610876911</v>
      </c>
      <c r="S328" s="40" t="n">
        <f aca="false">R328/$K$2</f>
        <v>54.8064965601187</v>
      </c>
      <c r="T328" s="41" t="n">
        <f aca="false">S328-$M$2</f>
        <v>0.301975698794735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0.0390625</v>
      </c>
      <c r="C329" s="25" t="n">
        <f aca="false">IF(T328&gt;0,D328,C328)</f>
        <v>0.044921875</v>
      </c>
      <c r="D329" s="39" t="n">
        <f aca="false">(B329+C329)/2</f>
        <v>0.0419921875</v>
      </c>
      <c r="E329" s="15" t="n">
        <f aca="false">$C$2*(1+IF(E$3&lt;=$O$2,$D329,$D329-($D329-$I$319)*MIN(E$3-$O$2,$Q$2)/$Q$2))</f>
        <v>1927.685546875</v>
      </c>
      <c r="F329" s="15" t="n">
        <f aca="false">E329*(1+IF(F$3&lt;=$O$2,$D329,$D329-($D329-$I$319)*MIN(F$3-$O$2,$Q$2)/$Q$2))</f>
        <v>2008.63327980042</v>
      </c>
      <c r="G329" s="15" t="n">
        <f aca="false">F329*(1+IF(G$3&lt;=$O$2,$D329,$D329-($D329-$I$319)*MIN(G$3-$O$2,$Q$2)/$Q$2))</f>
        <v>2092.98018510453</v>
      </c>
      <c r="H329" s="15" t="n">
        <f aca="false">G329*(1+IF(H$3&lt;=$O$2,$D329,$D329-($D329-$I$319)*MIN(H$3-$O$2,$Q$2)/$Q$2))</f>
        <v>2180.86900147123</v>
      </c>
      <c r="I329" s="15" t="n">
        <f aca="false">H329*(1+IF(I$3&lt;=$O$2,$D329,$D329-($D329-$I$319)*MIN(I$3-$O$2,$Q$2)/$Q$2))</f>
        <v>2272.44846149395</v>
      </c>
      <c r="J329" s="15" t="n">
        <f aca="false">I329*(1+IF(J$3&lt;=$O$2,$D329,$D329-($D329-$I$319)*MIN(J$3-$O$2,$Q$2)/$Q$2))</f>
        <v>2355.60587238174</v>
      </c>
      <c r="K329" s="15" t="n">
        <f aca="false">J329*(1+IF(K$3&lt;=$O$2,$D329,$D329-($D329-$I$319)*MIN(K$3-$O$2,$Q$2)/$Q$2))</f>
        <v>2429.08973369752</v>
      </c>
      <c r="L329" s="15" t="n">
        <f aca="false">K329*(1+IF(L$3&lt;=$O$2,$D329,$D329-($D329-$I$319)*MIN(L$3-$O$2,$Q$2)/$Q$2))</f>
        <v>2491.7526579215</v>
      </c>
      <c r="M329" s="15" t="n">
        <f aca="false">L329*(1+IF(M$3&lt;=$O$2,$D329,$D329-($D329-$I$319)*MIN(M$3-$O$2,$Q$2)/$Q$2))</f>
        <v>2542.58051877957</v>
      </c>
      <c r="N329" s="15" t="n">
        <f aca="false">M329*(1+IF(N$3&lt;=$O$2,$D329,$D329-($D329-$I$319)*MIN(N$3-$O$2,$Q$2)/$Q$2))</f>
        <v>2580.71922656127</v>
      </c>
      <c r="O329" s="15" t="n">
        <f aca="false">SUMPRODUCT(E329:N329,1/(1+$F$319)^$E$3:$N$3)*$E$2</f>
        <v>5861.44889733756</v>
      </c>
      <c r="P329" s="15" t="n">
        <f aca="false">N329*$E$2*(1+$I$319)/($F$319-$I$319)/(1+$F$319)^$N$3</f>
        <v>10498.2297530083</v>
      </c>
      <c r="Q329" s="15" t="n">
        <f aca="false">O329+P329</f>
        <v>16359.6786503459</v>
      </c>
      <c r="R329" s="15" t="n">
        <f aca="false">Q329-$G$2+$I$2</f>
        <v>14806.9786503459</v>
      </c>
      <c r="S329" s="40" t="n">
        <f aca="false">R329/$K$2</f>
        <v>53.767306911456</v>
      </c>
      <c r="T329" s="41" t="n">
        <f aca="false">S329-$M$2</f>
        <v>-0.737213949867908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0.0419921875</v>
      </c>
      <c r="C330" s="25" t="n">
        <f aca="false">IF(T329&gt;0,D329,C329)</f>
        <v>0.044921875</v>
      </c>
      <c r="D330" s="39" t="n">
        <f aca="false">(B330+C330)/2</f>
        <v>0.04345703125</v>
      </c>
      <c r="E330" s="15" t="n">
        <f aca="false">$C$2*(1+IF(E$3&lt;=$O$2,$D330,$D330-($D330-$I$319)*MIN(E$3-$O$2,$Q$2)/$Q$2))</f>
        <v>1930.3955078125</v>
      </c>
      <c r="F330" s="15" t="n">
        <f aca="false">E330*(1+IF(F$3&lt;=$O$2,$D330,$D330-($D330-$I$319)*MIN(F$3-$O$2,$Q$2)/$Q$2))</f>
        <v>2014.28476572037</v>
      </c>
      <c r="G330" s="15" t="n">
        <f aca="false">F330*(1+IF(G$3&lt;=$O$2,$D330,$D330-($D330-$I$319)*MIN(G$3-$O$2,$Q$2)/$Q$2))</f>
        <v>2101.81960173068</v>
      </c>
      <c r="H330" s="15" t="n">
        <f aca="false">G330*(1+IF(H$3&lt;=$O$2,$D330,$D330-($D330-$I$319)*MIN(H$3-$O$2,$Q$2)/$Q$2))</f>
        <v>2193.15844184495</v>
      </c>
      <c r="I330" s="15" t="n">
        <f aca="false">H330*(1+IF(I$3&lt;=$O$2,$D330,$D330-($D330-$I$319)*MIN(I$3-$O$2,$Q$2)/$Q$2))</f>
        <v>2288.46659678841</v>
      </c>
      <c r="J330" s="15" t="n">
        <f aca="false">I330*(1+IF(J$3&lt;=$O$2,$D330,$D330-($D330-$I$319)*MIN(J$3-$O$2,$Q$2)/$Q$2))</f>
        <v>2374.89196810774</v>
      </c>
      <c r="K330" s="15" t="n">
        <f aca="false">J330*(1+IF(K$3&lt;=$O$2,$D330,$D330-($D330-$I$319)*MIN(K$3-$O$2,$Q$2)/$Q$2))</f>
        <v>2451.06477260045</v>
      </c>
      <c r="L330" s="15" t="n">
        <f aca="false">K330*(1+IF(L$3&lt;=$O$2,$D330,$D330-($D330-$I$319)*MIN(L$3-$O$2,$Q$2)/$Q$2))</f>
        <v>2515.73075492132</v>
      </c>
      <c r="M330" s="15" t="n">
        <f aca="false">L330*(1+IF(M$3&lt;=$O$2,$D330,$D330-($D330-$I$319)*MIN(M$3-$O$2,$Q$2)/$Q$2))</f>
        <v>2567.78476198702</v>
      </c>
      <c r="N330" s="15" t="n">
        <f aca="false">M330*(1+IF(N$3&lt;=$O$2,$D330,$D330-($D330-$I$319)*MIN(N$3-$O$2,$Q$2)/$Q$2))</f>
        <v>2606.30153341682</v>
      </c>
      <c r="O330" s="15" t="n">
        <f aca="false">SUMPRODUCT(E330:N330,1/(1+$F$319)^$E$3:$N$3)*$E$2</f>
        <v>5899.89611684889</v>
      </c>
      <c r="P330" s="15" t="n">
        <f aca="false">N330*$E$2*(1+$I$319)/($F$319-$I$319)/(1+$F$319)^$N$3</f>
        <v>10602.2972285467</v>
      </c>
      <c r="Q330" s="15" t="n">
        <f aca="false">O330+P330</f>
        <v>16502.1933453956</v>
      </c>
      <c r="R330" s="15" t="n">
        <f aca="false">Q330-$G$2+$I$2</f>
        <v>14949.4933453956</v>
      </c>
      <c r="S330" s="40" t="n">
        <f aca="false">R330/$K$2</f>
        <v>54.2848082551857</v>
      </c>
      <c r="T330" s="41" t="n">
        <f aca="false">S330-$M$2</f>
        <v>-0.219712606138252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0.04345703125</v>
      </c>
      <c r="C331" s="25" t="n">
        <f aca="false">IF(T330&gt;0,D330,C330)</f>
        <v>0.044921875</v>
      </c>
      <c r="D331" s="39" t="n">
        <f aca="false">(B331+C331)/2</f>
        <v>0.044189453125</v>
      </c>
      <c r="E331" s="15" t="n">
        <f aca="false">$C$2*(1+IF(E$3&lt;=$O$2,$D331,$D331-($D331-$I$319)*MIN(E$3-$O$2,$Q$2)/$Q$2))</f>
        <v>1931.75048828125</v>
      </c>
      <c r="F331" s="15" t="n">
        <f aca="false">E331*(1+IF(F$3&lt;=$O$2,$D331,$D331-($D331-$I$319)*MIN(F$3-$O$2,$Q$2)/$Q$2))</f>
        <v>2017.11348593235</v>
      </c>
      <c r="G331" s="15" t="n">
        <f aca="false">F331*(1+IF(G$3&lt;=$O$2,$D331,$D331-($D331-$I$319)*MIN(G$3-$O$2,$Q$2)/$Q$2))</f>
        <v>2106.24862776676</v>
      </c>
      <c r="H331" s="15" t="n">
        <f aca="false">G331*(1+IF(H$3&lt;=$O$2,$D331,$D331-($D331-$I$319)*MIN(H$3-$O$2,$Q$2)/$Q$2))</f>
        <v>2199.32260277306</v>
      </c>
      <c r="I331" s="15" t="n">
        <f aca="false">H331*(1+IF(I$3&lt;=$O$2,$D331,$D331-($D331-$I$319)*MIN(I$3-$O$2,$Q$2)/$Q$2))</f>
        <v>2296.50946583505</v>
      </c>
      <c r="J331" s="15" t="n">
        <f aca="false">I331*(1+IF(J$3&lt;=$O$2,$D331,$D331-($D331-$I$319)*MIN(J$3-$O$2,$Q$2)/$Q$2))</f>
        <v>2384.58419214587</v>
      </c>
      <c r="K331" s="15" t="n">
        <f aca="false">J331*(1+IF(K$3&lt;=$O$2,$D331,$D331-($D331-$I$319)*MIN(K$3-$O$2,$Q$2)/$Q$2))</f>
        <v>2462.11578012761</v>
      </c>
      <c r="L331" s="15" t="n">
        <f aca="false">K331*(1+IF(L$3&lt;=$O$2,$D331,$D331-($D331-$I$319)*MIN(L$3-$O$2,$Q$2)/$Q$2))</f>
        <v>2527.79464209047</v>
      </c>
      <c r="M331" s="15" t="n">
        <f aca="false">L331*(1+IF(M$3&lt;=$O$2,$D331,$D331-($D331-$I$319)*MIN(M$3-$O$2,$Q$2)/$Q$2))</f>
        <v>2580.46855036481</v>
      </c>
      <c r="N331" s="15" t="n">
        <f aca="false">M331*(1+IF(N$3&lt;=$O$2,$D331,$D331-($D331-$I$319)*MIN(N$3-$O$2,$Q$2)/$Q$2))</f>
        <v>2619.17557862028</v>
      </c>
      <c r="O331" s="15" t="n">
        <f aca="false">SUMPRODUCT(E331:N331,1/(1+$F$319)^$E$3:$N$3)*$E$2</f>
        <v>5919.21440736432</v>
      </c>
      <c r="P331" s="15" t="n">
        <f aca="false">N331*$E$2*(1+$I$319)/($F$319-$I$319)/(1+$F$319)^$N$3</f>
        <v>10654.6681656891</v>
      </c>
      <c r="Q331" s="15" t="n">
        <f aca="false">O331+P331</f>
        <v>16573.8825730534</v>
      </c>
      <c r="R331" s="15" t="n">
        <f aca="false">Q331-$G$2+$I$2</f>
        <v>15021.1825730534</v>
      </c>
      <c r="S331" s="40" t="n">
        <f aca="false">R331/$K$2</f>
        <v>54.545127176199</v>
      </c>
      <c r="T331" s="41" t="n">
        <f aca="false">S331-$M$2</f>
        <v>0.0406063148750704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0.04345703125</v>
      </c>
      <c r="C332" s="25" t="n">
        <f aca="false">IF(T331&gt;0,D331,C331)</f>
        <v>0.044189453125</v>
      </c>
      <c r="D332" s="39" t="n">
        <f aca="false">(B332+C332)/2</f>
        <v>0.0438232421875</v>
      </c>
      <c r="E332" s="15" t="n">
        <f aca="false">$C$2*(1+IF(E$3&lt;=$O$2,$D332,$D332-($D332-$I$319)*MIN(E$3-$O$2,$Q$2)/$Q$2))</f>
        <v>1931.07299804688</v>
      </c>
      <c r="F332" s="15" t="n">
        <f aca="false">E332*(1+IF(F$3&lt;=$O$2,$D332,$D332-($D332-$I$319)*MIN(F$3-$O$2,$Q$2)/$Q$2))</f>
        <v>2015.69887772203</v>
      </c>
      <c r="G332" s="15" t="n">
        <f aca="false">F332*(1+IF(G$3&lt;=$O$2,$D332,$D332-($D332-$I$319)*MIN(G$3-$O$2,$Q$2)/$Q$2))</f>
        <v>2104.03333781751</v>
      </c>
      <c r="H332" s="15" t="n">
        <f aca="false">G332*(1+IF(H$3&lt;=$O$2,$D332,$D332-($D332-$I$319)*MIN(H$3-$O$2,$Q$2)/$Q$2))</f>
        <v>2196.23890035126</v>
      </c>
      <c r="I332" s="15" t="n">
        <f aca="false">H332*(1+IF(I$3&lt;=$O$2,$D332,$D332-($D332-$I$319)*MIN(I$3-$O$2,$Q$2)/$Q$2))</f>
        <v>2292.48520958296</v>
      </c>
      <c r="J332" s="15" t="n">
        <f aca="false">I332*(1+IF(J$3&lt;=$O$2,$D332,$D332-($D332-$I$319)*MIN(J$3-$O$2,$Q$2)/$Q$2))</f>
        <v>2379.73397285236</v>
      </c>
      <c r="K332" s="15" t="n">
        <f aca="false">J332*(1+IF(K$3&lt;=$O$2,$D332,$D332-($D332-$I$319)*MIN(K$3-$O$2,$Q$2)/$Q$2))</f>
        <v>2456.58497162996</v>
      </c>
      <c r="L332" s="15" t="n">
        <f aca="false">K332*(1+IF(L$3&lt;=$O$2,$D332,$D332-($D332-$I$319)*MIN(L$3-$O$2,$Q$2)/$Q$2))</f>
        <v>2521.75644364099</v>
      </c>
      <c r="M332" s="15" t="n">
        <f aca="false">L332*(1+IF(M$3&lt;=$O$2,$D332,$D332-($D332-$I$319)*MIN(M$3-$O$2,$Q$2)/$Q$2))</f>
        <v>2574.1198296382</v>
      </c>
      <c r="N332" s="15" t="n">
        <f aca="false">M332*(1+IF(N$3&lt;=$O$2,$D332,$D332-($D332-$I$319)*MIN(N$3-$O$2,$Q$2)/$Q$2))</f>
        <v>2612.73162708277</v>
      </c>
      <c r="O332" s="15" t="n">
        <f aca="false">SUMPRODUCT(E332:N332,1/(1+$F$319)^$E$3:$N$3)*$E$2</f>
        <v>5909.54735197318</v>
      </c>
      <c r="P332" s="15" t="n">
        <f aca="false">N332*$E$2*(1+$I$319)/($F$319-$I$319)/(1+$F$319)^$N$3</f>
        <v>10628.4545105725</v>
      </c>
      <c r="Q332" s="15" t="n">
        <f aca="false">O332+P332</f>
        <v>16538.0018625456</v>
      </c>
      <c r="R332" s="15" t="n">
        <f aca="false">Q332-$G$2+$I$2</f>
        <v>14985.3018625456</v>
      </c>
      <c r="S332" s="40" t="n">
        <f aca="false">R332/$K$2</f>
        <v>54.4148366409297</v>
      </c>
      <c r="T332" s="41" t="n">
        <f aca="false">S332-$M$2</f>
        <v>-0.0896842203942327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0.0438232421875</v>
      </c>
      <c r="C333" s="25" t="n">
        <f aca="false">IF(T332&gt;0,D332,C332)</f>
        <v>0.044189453125</v>
      </c>
      <c r="D333" s="39" t="n">
        <f aca="false">(B333+C333)/2</f>
        <v>0.04400634765625</v>
      </c>
      <c r="E333" s="15" t="n">
        <f aca="false">$C$2*(1+IF(E$3&lt;=$O$2,$D333,$D333-($D333-$I$319)*MIN(E$3-$O$2,$Q$2)/$Q$2))</f>
        <v>1931.41174316406</v>
      </c>
      <c r="F333" s="15" t="n">
        <f aca="false">E333*(1+IF(F$3&lt;=$O$2,$D333,$D333-($D333-$I$319)*MIN(F$3-$O$2,$Q$2)/$Q$2))</f>
        <v>2016.4061198011</v>
      </c>
      <c r="G333" s="15" t="n">
        <f aca="false">F333*(1+IF(G$3&lt;=$O$2,$D333,$D333-($D333-$I$319)*MIN(G$3-$O$2,$Q$2)/$Q$2))</f>
        <v>2105.14078852526</v>
      </c>
      <c r="H333" s="15" t="n">
        <f aca="false">G333*(1+IF(H$3&lt;=$O$2,$D333,$D333-($D333-$I$319)*MIN(H$3-$O$2,$Q$2)/$Q$2))</f>
        <v>2197.78034593046</v>
      </c>
      <c r="I333" s="15" t="n">
        <f aca="false">H333*(1+IF(I$3&lt;=$O$2,$D333,$D333-($D333-$I$319)*MIN(I$3-$O$2,$Q$2)/$Q$2))</f>
        <v>2294.49663190555</v>
      </c>
      <c r="J333" s="15" t="n">
        <f aca="false">I333*(1+IF(J$3&lt;=$O$2,$D333,$D333-($D333-$I$319)*MIN(J$3-$O$2,$Q$2)/$Q$2))</f>
        <v>2382.15805498505</v>
      </c>
      <c r="K333" s="15" t="n">
        <f aca="false">J333*(1+IF(K$3&lt;=$O$2,$D333,$D333-($D333-$I$319)*MIN(K$3-$O$2,$Q$2)/$Q$2))</f>
        <v>2459.34904863884</v>
      </c>
      <c r="L333" s="15" t="n">
        <f aca="false">K333*(1+IF(L$3&lt;=$O$2,$D333,$D333-($D333-$I$319)*MIN(L$3-$O$2,$Q$2)/$Q$2))</f>
        <v>2524.77397777358</v>
      </c>
      <c r="M333" s="15" t="n">
        <f aca="false">L333*(1+IF(M$3&lt;=$O$2,$D333,$D333-($D333-$I$319)*MIN(M$3-$O$2,$Q$2)/$Q$2))</f>
        <v>2577.29248179073</v>
      </c>
      <c r="N333" s="15" t="n">
        <f aca="false">M333*(1+IF(N$3&lt;=$O$2,$D333,$D333-($D333-$I$319)*MIN(N$3-$O$2,$Q$2)/$Q$2))</f>
        <v>2615.95186901759</v>
      </c>
      <c r="O333" s="15" t="n">
        <f aca="false">SUMPRODUCT(E333:N333,1/(1+$F$319)^$E$3:$N$3)*$E$2</f>
        <v>5914.37890062739</v>
      </c>
      <c r="P333" s="15" t="n">
        <f aca="false">N333*$E$2*(1+$I$319)/($F$319-$I$319)/(1+$F$319)^$N$3</f>
        <v>10641.5542849858</v>
      </c>
      <c r="Q333" s="15" t="n">
        <f aca="false">O333+P333</f>
        <v>16555.9331856132</v>
      </c>
      <c r="R333" s="15" t="n">
        <f aca="false">Q333-$G$2+$I$2</f>
        <v>15003.2331856132</v>
      </c>
      <c r="S333" s="40" t="n">
        <f aca="false">R333/$K$2</f>
        <v>54.4799491107635</v>
      </c>
      <c r="T333" s="41" t="n">
        <f aca="false">S333-$M$2</f>
        <v>-0.0245717505604262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0.04400634765625</v>
      </c>
      <c r="C334" s="25" t="n">
        <f aca="false">IF(T333&gt;0,D333,C333)</f>
        <v>0.044189453125</v>
      </c>
      <c r="D334" s="39" t="n">
        <f aca="false">(B334+C334)/2</f>
        <v>0.044097900390625</v>
      </c>
      <c r="E334" s="15" t="n">
        <f aca="false">$C$2*(1+IF(E$3&lt;=$O$2,$D334,$D334-($D334-$I$319)*MIN(E$3-$O$2,$Q$2)/$Q$2))</f>
        <v>1931.58111572266</v>
      </c>
      <c r="F334" s="15" t="n">
        <f aca="false">E334*(1+IF(F$3&lt;=$O$2,$D334,$D334-($D334-$I$319)*MIN(F$3-$O$2,$Q$2)/$Q$2))</f>
        <v>2016.75978736021</v>
      </c>
      <c r="G334" s="15" t="n">
        <f aca="false">F334*(1+IF(G$3&lt;=$O$2,$D334,$D334-($D334-$I$319)*MIN(G$3-$O$2,$Q$2)/$Q$2))</f>
        <v>2105.69465957503</v>
      </c>
      <c r="H334" s="15" t="n">
        <f aca="false">G334*(1+IF(H$3&lt;=$O$2,$D334,$D334-($D334-$I$319)*MIN(H$3-$O$2,$Q$2)/$Q$2))</f>
        <v>2198.55137292605</v>
      </c>
      <c r="I334" s="15" t="n">
        <f aca="false">H334*(1+IF(I$3&lt;=$O$2,$D334,$D334-($D334-$I$319)*MIN(I$3-$O$2,$Q$2)/$Q$2))</f>
        <v>2295.50287237301</v>
      </c>
      <c r="J334" s="15" t="n">
        <f aca="false">I334*(1+IF(J$3&lt;=$O$2,$D334,$D334-($D334-$I$319)*MIN(J$3-$O$2,$Q$2)/$Q$2))</f>
        <v>2383.37086659997</v>
      </c>
      <c r="K334" s="15" t="n">
        <f aca="false">J334*(1+IF(K$3&lt;=$O$2,$D334,$D334-($D334-$I$319)*MIN(K$3-$O$2,$Q$2)/$Q$2))</f>
        <v>2460.73208244111</v>
      </c>
      <c r="L334" s="15" t="n">
        <f aca="false">K334*(1+IF(L$3&lt;=$O$2,$D334,$D334-($D334-$I$319)*MIN(L$3-$O$2,$Q$2)/$Q$2))</f>
        <v>2526.28391848689</v>
      </c>
      <c r="M334" s="15" t="n">
        <f aca="false">L334*(1+IF(M$3&lt;=$O$2,$D334,$D334-($D334-$I$319)*MIN(M$3-$O$2,$Q$2)/$Q$2))</f>
        <v>2578.8800888279</v>
      </c>
      <c r="N334" s="15" t="n">
        <f aca="false">M334*(1+IF(N$3&lt;=$O$2,$D334,$D334-($D334-$I$319)*MIN(N$3-$O$2,$Q$2)/$Q$2))</f>
        <v>2617.56329016032</v>
      </c>
      <c r="O334" s="15" t="n">
        <f aca="false">SUMPRODUCT(E334:N334,1/(1+$F$319)^$E$3:$N$3)*$E$2</f>
        <v>5916.79615904691</v>
      </c>
      <c r="P334" s="15" t="n">
        <f aca="false">N334*$E$2*(1+$I$319)/($F$319-$I$319)/(1+$F$319)^$N$3</f>
        <v>10648.1094612371</v>
      </c>
      <c r="Q334" s="15" t="n">
        <f aca="false">O334+P334</f>
        <v>16564.905620284</v>
      </c>
      <c r="R334" s="15" t="n">
        <f aca="false">Q334-$G$2+$I$2</f>
        <v>15012.205620284</v>
      </c>
      <c r="S334" s="40" t="n">
        <f aca="false">R334/$K$2</f>
        <v>54.5125299403899</v>
      </c>
      <c r="T334" s="41" t="n">
        <f aca="false">S334-$M$2</f>
        <v>0.00800907906594972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0.04400634765625</v>
      </c>
      <c r="C335" s="25" t="n">
        <f aca="false">IF(T334&gt;0,D334,C334)</f>
        <v>0.044097900390625</v>
      </c>
      <c r="D335" s="39" t="n">
        <f aca="false">(B335+C335)/2</f>
        <v>0.0440521240234375</v>
      </c>
      <c r="E335" s="15" t="n">
        <f aca="false">$C$2*(1+IF(E$3&lt;=$O$2,$D335,$D335-($D335-$I$319)*MIN(E$3-$O$2,$Q$2)/$Q$2))</f>
        <v>1931.49642944336</v>
      </c>
      <c r="F335" s="15" t="n">
        <f aca="false">E335*(1+IF(F$3&lt;=$O$2,$D335,$D335-($D335-$I$319)*MIN(F$3-$O$2,$Q$2)/$Q$2))</f>
        <v>2016.58294970403</v>
      </c>
      <c r="G335" s="15" t="n">
        <f aca="false">F335*(1+IF(G$3&lt;=$O$2,$D335,$D335-($D335-$I$319)*MIN(G$3-$O$2,$Q$2)/$Q$2))</f>
        <v>2105.41771190794</v>
      </c>
      <c r="H335" s="15" t="n">
        <f aca="false">G335*(1+IF(H$3&lt;=$O$2,$D335,$D335-($D335-$I$319)*MIN(H$3-$O$2,$Q$2)/$Q$2))</f>
        <v>2198.16583407405</v>
      </c>
      <c r="I335" s="15" t="n">
        <f aca="false">H335*(1+IF(I$3&lt;=$O$2,$D335,$D335-($D335-$I$319)*MIN(I$3-$O$2,$Q$2)/$Q$2))</f>
        <v>2294.99970802076</v>
      </c>
      <c r="J335" s="15" t="n">
        <f aca="false">I335*(1+IF(J$3&lt;=$O$2,$D335,$D335-($D335-$I$319)*MIN(J$3-$O$2,$Q$2)/$Q$2))</f>
        <v>2382.76439656201</v>
      </c>
      <c r="K335" s="15" t="n">
        <f aca="false">J335*(1+IF(K$3&lt;=$O$2,$D335,$D335-($D335-$I$319)*MIN(K$3-$O$2,$Q$2)/$Q$2))</f>
        <v>2460.04048257097</v>
      </c>
      <c r="L335" s="15" t="n">
        <f aca="false">K335*(1+IF(L$3&lt;=$O$2,$D335,$D335-($D335-$I$319)*MIN(L$3-$O$2,$Q$2)/$Q$2))</f>
        <v>2525.52885029046</v>
      </c>
      <c r="M335" s="15" t="n">
        <f aca="false">L335*(1+IF(M$3&lt;=$O$2,$D335,$D335-($D335-$I$319)*MIN(M$3-$O$2,$Q$2)/$Q$2))</f>
        <v>2578.0861785215</v>
      </c>
      <c r="N335" s="15" t="n">
        <f aca="false">M335*(1+IF(N$3&lt;=$O$2,$D335,$D335-($D335-$I$319)*MIN(N$3-$O$2,$Q$2)/$Q$2))</f>
        <v>2616.75747119932</v>
      </c>
      <c r="O335" s="15" t="n">
        <f aca="false">SUMPRODUCT(E335:N335,1/(1+$F$319)^$E$3:$N$3)*$E$2</f>
        <v>5915.58740612349</v>
      </c>
      <c r="P335" s="15" t="n">
        <f aca="false">N335*$E$2*(1+$I$319)/($F$319-$I$319)/(1+$F$319)^$N$3</f>
        <v>10644.8314321881</v>
      </c>
      <c r="Q335" s="15" t="n">
        <f aca="false">O335+P335</f>
        <v>16560.4188383116</v>
      </c>
      <c r="R335" s="15" t="n">
        <f aca="false">Q335-$G$2+$I$2</f>
        <v>15007.7188383116</v>
      </c>
      <c r="S335" s="40" t="n">
        <f aca="false">R335/$K$2</f>
        <v>54.4962374752591</v>
      </c>
      <c r="T335" s="41" t="n">
        <f aca="false">S335-$M$2</f>
        <v>-0.00828338606484635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0.0440521240234375</v>
      </c>
      <c r="C336" s="25" t="n">
        <f aca="false">IF(T335&gt;0,D335,C335)</f>
        <v>0.044097900390625</v>
      </c>
      <c r="D336" s="39" t="n">
        <f aca="false">(B336+C336)/2</f>
        <v>0.0440750122070313</v>
      </c>
      <c r="E336" s="15" t="n">
        <f aca="false">$C$2*(1+IF(E$3&lt;=$O$2,$D336,$D336-($D336-$I$319)*MIN(E$3-$O$2,$Q$2)/$Q$2))</f>
        <v>1931.53877258301</v>
      </c>
      <c r="F336" s="15" t="n">
        <f aca="false">E336*(1+IF(F$3&lt;=$O$2,$D336,$D336-($D336-$I$319)*MIN(F$3-$O$2,$Q$2)/$Q$2))</f>
        <v>2016.67136756296</v>
      </c>
      <c r="G336" s="15" t="n">
        <f aca="false">F336*(1+IF(G$3&lt;=$O$2,$D336,$D336-($D336-$I$319)*MIN(G$3-$O$2,$Q$2)/$Q$2))</f>
        <v>2105.55618270587</v>
      </c>
      <c r="H336" s="15" t="n">
        <f aca="false">G336*(1+IF(H$3&lt;=$O$2,$D336,$D336-($D336-$I$319)*MIN(H$3-$O$2,$Q$2)/$Q$2))</f>
        <v>2198.35859716122</v>
      </c>
      <c r="I336" s="15" t="n">
        <f aca="false">H336*(1+IF(I$3&lt;=$O$2,$D336,$D336-($D336-$I$319)*MIN(I$3-$O$2,$Q$2)/$Q$2))</f>
        <v>2295.25127916653</v>
      </c>
      <c r="J336" s="15" t="n">
        <f aca="false">I336*(1+IF(J$3&lt;=$O$2,$D336,$D336-($D336-$I$319)*MIN(J$3-$O$2,$Q$2)/$Q$2))</f>
        <v>2383.067615522</v>
      </c>
      <c r="K336" s="15" t="n">
        <f aca="false">J336*(1+IF(K$3&lt;=$O$2,$D336,$D336-($D336-$I$319)*MIN(K$3-$O$2,$Q$2)/$Q$2))</f>
        <v>2460.38626176172</v>
      </c>
      <c r="L336" s="15" t="n">
        <f aca="false">K336*(1+IF(L$3&lt;=$O$2,$D336,$D336-($D336-$I$319)*MIN(L$3-$O$2,$Q$2)/$Q$2))</f>
        <v>2525.90635992604</v>
      </c>
      <c r="M336" s="15" t="n">
        <f aca="false">L336*(1+IF(M$3&lt;=$O$2,$D336,$D336-($D336-$I$319)*MIN(M$3-$O$2,$Q$2)/$Q$2))</f>
        <v>2578.48310697467</v>
      </c>
      <c r="N336" s="15" t="n">
        <f aca="false">M336*(1+IF(N$3&lt;=$O$2,$D336,$D336-($D336-$I$319)*MIN(N$3-$O$2,$Q$2)/$Q$2))</f>
        <v>2617.16035357929</v>
      </c>
      <c r="O336" s="15" t="n">
        <f aca="false">SUMPRODUCT(E336:N336,1/(1+$F$319)^$E$3:$N$3)*$E$2</f>
        <v>5916.19175165384</v>
      </c>
      <c r="P336" s="15" t="n">
        <f aca="false">N336*$E$2*(1+$I$319)/($F$319-$I$319)/(1+$F$319)^$N$3</f>
        <v>10646.470336469</v>
      </c>
      <c r="Q336" s="15" t="n">
        <f aca="false">O336+P336</f>
        <v>16562.6620881229</v>
      </c>
      <c r="R336" s="15" t="n">
        <f aca="false">Q336-$G$2+$I$2</f>
        <v>15009.9620881229</v>
      </c>
      <c r="S336" s="40" t="n">
        <f aca="false">R336/$K$2</f>
        <v>54.5043831951882</v>
      </c>
      <c r="T336" s="41" t="n">
        <f aca="false">S336-$M$2</f>
        <v>-0.00013766613574262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0.0440750122070313</v>
      </c>
      <c r="C337" s="25" t="n">
        <f aca="false">IF(T336&gt;0,D336,C336)</f>
        <v>0.044097900390625</v>
      </c>
      <c r="D337" s="39" t="n">
        <f aca="false">(B337+C337)/2</f>
        <v>0.0440864562988281</v>
      </c>
      <c r="E337" s="15" t="n">
        <f aca="false">$C$2*(1+IF(E$3&lt;=$O$2,$D337,$D337-($D337-$I$319)*MIN(E$3-$O$2,$Q$2)/$Q$2))</f>
        <v>1931.55994415283</v>
      </c>
      <c r="F337" s="15" t="n">
        <f aca="false">E337*(1+IF(F$3&lt;=$O$2,$D337,$D337-($D337-$I$319)*MIN(F$3-$O$2,$Q$2)/$Q$2))</f>
        <v>2016.71557721929</v>
      </c>
      <c r="G337" s="15" t="n">
        <f aca="false">F337*(1+IF(G$3&lt;=$O$2,$D337,$D337-($D337-$I$319)*MIN(G$3-$O$2,$Q$2)/$Q$2))</f>
        <v>2105.62542038154</v>
      </c>
      <c r="H337" s="15" t="n">
        <f aca="false">G337*(1+IF(H$3&lt;=$O$2,$D337,$D337-($D337-$I$319)*MIN(H$3-$O$2,$Q$2)/$Q$2))</f>
        <v>2198.45498345889</v>
      </c>
      <c r="I337" s="15" t="n">
        <f aca="false">H337*(1+IF(I$3&lt;=$O$2,$D337,$D337-($D337-$I$319)*MIN(I$3-$O$2,$Q$2)/$Q$2))</f>
        <v>2295.37707301209</v>
      </c>
      <c r="J337" s="15" t="n">
        <f aca="false">I337*(1+IF(J$3&lt;=$O$2,$D337,$D337-($D337-$I$319)*MIN(J$3-$O$2,$Q$2)/$Q$2))</f>
        <v>2383.21923704607</v>
      </c>
      <c r="K337" s="15" t="n">
        <f aca="false">J337*(1+IF(K$3&lt;=$O$2,$D337,$D337-($D337-$I$319)*MIN(K$3-$O$2,$Q$2)/$Q$2))</f>
        <v>2460.55916691508</v>
      </c>
      <c r="L337" s="15" t="n">
        <f aca="false">K337*(1+IF(L$3&lt;=$O$2,$D337,$D337-($D337-$I$319)*MIN(L$3-$O$2,$Q$2)/$Q$2))</f>
        <v>2526.09513309047</v>
      </c>
      <c r="M337" s="15" t="n">
        <f aca="false">L337*(1+IF(M$3&lt;=$O$2,$D337,$D337-($D337-$I$319)*MIN(M$3-$O$2,$Q$2)/$Q$2))</f>
        <v>2578.68159122589</v>
      </c>
      <c r="N337" s="15" t="n">
        <f aca="false">M337*(1+IF(N$3&lt;=$O$2,$D337,$D337-($D337-$I$319)*MIN(N$3-$O$2,$Q$2)/$Q$2))</f>
        <v>2617.36181509428</v>
      </c>
      <c r="O337" s="15" t="n">
        <f aca="false">SUMPRODUCT(E337:N337,1/(1+$F$319)^$E$3:$N$3)*$E$2</f>
        <v>5916.49394761716</v>
      </c>
      <c r="P337" s="15" t="n">
        <f aca="false">N337*$E$2*(1+$I$319)/($F$319-$I$319)/(1+$F$319)^$N$3</f>
        <v>10647.2898712906</v>
      </c>
      <c r="Q337" s="15" t="n">
        <f aca="false">O337+P337</f>
        <v>16563.7838189077</v>
      </c>
      <c r="R337" s="15" t="n">
        <f aca="false">Q337-$G$2+$I$2</f>
        <v>15011.0838189077</v>
      </c>
      <c r="S337" s="40" t="n">
        <f aca="false">R337/$K$2</f>
        <v>54.5084564396229</v>
      </c>
      <c r="T337" s="41" t="n">
        <f aca="false">S337-$M$2</f>
        <v>0.00393557829891478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0.0440750122070313</v>
      </c>
      <c r="C338" s="25" t="n">
        <f aca="false">IF(T337&gt;0,D337,C337)</f>
        <v>0.0440864562988281</v>
      </c>
      <c r="D338" s="39" t="n">
        <f aca="false">(B338+C338)/2</f>
        <v>0.0440807342529297</v>
      </c>
      <c r="E338" s="15" t="n">
        <f aca="false">$C$2*(1+IF(E$3&lt;=$O$2,$D338,$D338-($D338-$I$319)*MIN(E$3-$O$2,$Q$2)/$Q$2))</f>
        <v>1931.54935836792</v>
      </c>
      <c r="F338" s="15" t="n">
        <f aca="false">E338*(1+IF(F$3&lt;=$O$2,$D338,$D338-($D338-$I$319)*MIN(F$3-$O$2,$Q$2)/$Q$2))</f>
        <v>2016.69347233055</v>
      </c>
      <c r="G338" s="15" t="n">
        <f aca="false">F338*(1+IF(G$3&lt;=$O$2,$D338,$D338-($D338-$I$319)*MIN(G$3-$O$2,$Q$2)/$Q$2))</f>
        <v>2105.59080135397</v>
      </c>
      <c r="H338" s="15" t="n">
        <f aca="false">G338*(1+IF(H$3&lt;=$O$2,$D338,$D338-($D338-$I$319)*MIN(H$3-$O$2,$Q$2)/$Q$2))</f>
        <v>2198.40678991387</v>
      </c>
      <c r="I338" s="15" t="n">
        <f aca="false">H338*(1+IF(I$3&lt;=$O$2,$D338,$D338-($D338-$I$319)*MIN(I$3-$O$2,$Q$2)/$Q$2))</f>
        <v>2295.3141753999</v>
      </c>
      <c r="J338" s="15" t="n">
        <f aca="false">I338*(1+IF(J$3&lt;=$O$2,$D338,$D338-($D338-$I$319)*MIN(J$3-$O$2,$Q$2)/$Q$2))</f>
        <v>2383.14342528033</v>
      </c>
      <c r="K338" s="15" t="n">
        <f aca="false">J338*(1+IF(K$3&lt;=$O$2,$D338,$D338-($D338-$I$319)*MIN(K$3-$O$2,$Q$2)/$Q$2))</f>
        <v>2460.47271304185</v>
      </c>
      <c r="L338" s="15" t="n">
        <f aca="false">K338*(1+IF(L$3&lt;=$O$2,$D338,$D338-($D338-$I$319)*MIN(L$3-$O$2,$Q$2)/$Q$2))</f>
        <v>2526.0007449793</v>
      </c>
      <c r="M338" s="15" t="n">
        <f aca="false">L338*(1+IF(M$3&lt;=$O$2,$D338,$D338-($D338-$I$319)*MIN(M$3-$O$2,$Q$2)/$Q$2))</f>
        <v>2578.58234743148</v>
      </c>
      <c r="N338" s="15" t="n">
        <f aca="false">M338*(1+IF(N$3&lt;=$O$2,$D338,$D338-($D338-$I$319)*MIN(N$3-$O$2,$Q$2)/$Q$2))</f>
        <v>2617.26108264295</v>
      </c>
      <c r="O338" s="15" t="n">
        <f aca="false">SUMPRODUCT(E338:N338,1/(1+$F$319)^$E$3:$N$3)*$E$2</f>
        <v>5916.34284770225</v>
      </c>
      <c r="P338" s="15" t="n">
        <f aca="false">N338*$E$2*(1+$I$319)/($F$319-$I$319)/(1+$F$319)^$N$3</f>
        <v>10646.8800969894</v>
      </c>
      <c r="Q338" s="15" t="n">
        <f aca="false">O338+P338</f>
        <v>16563.2229446916</v>
      </c>
      <c r="R338" s="15" t="n">
        <f aca="false">Q338-$G$2+$I$2</f>
        <v>15010.5229446916</v>
      </c>
      <c r="S338" s="40" t="n">
        <f aca="false">R338/$K$2</f>
        <v>54.5064197853649</v>
      </c>
      <c r="T338" s="41" t="n">
        <f aca="false">S338-$M$2</f>
        <v>0.00189892404092973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0.0440750122070313</v>
      </c>
      <c r="C339" s="25" t="n">
        <f aca="false">IF(T338&gt;0,D338,C338)</f>
        <v>0.0440807342529297</v>
      </c>
      <c r="D339" s="39" t="n">
        <f aca="false">(B339+C339)/2</f>
        <v>0.0440778732299805</v>
      </c>
      <c r="E339" s="15" t="n">
        <f aca="false">$C$2*(1+IF(E$3&lt;=$O$2,$D339,$D339-($D339-$I$319)*MIN(E$3-$O$2,$Q$2)/$Q$2))</f>
        <v>1931.54406547546</v>
      </c>
      <c r="F339" s="15" t="n">
        <f aca="false">E339*(1+IF(F$3&lt;=$O$2,$D339,$D339-($D339-$I$319)*MIN(F$3-$O$2,$Q$2)/$Q$2))</f>
        <v>2016.68241993161</v>
      </c>
      <c r="G339" s="15" t="n">
        <f aca="false">F339*(1+IF(G$3&lt;=$O$2,$D339,$D339-($D339-$I$319)*MIN(G$3-$O$2,$Q$2)/$Q$2))</f>
        <v>2105.57349198249</v>
      </c>
      <c r="H339" s="15" t="n">
        <f aca="false">G339*(1+IF(H$3&lt;=$O$2,$D339,$D339-($D339-$I$319)*MIN(H$3-$O$2,$Q$2)/$Q$2))</f>
        <v>2198.3826934385</v>
      </c>
      <c r="I339" s="15" t="n">
        <f aca="false">H339*(1+IF(I$3&lt;=$O$2,$D339,$D339-($D339-$I$319)*MIN(I$3-$O$2,$Q$2)/$Q$2))</f>
        <v>2295.28272711087</v>
      </c>
      <c r="J339" s="15" t="n">
        <f aca="false">I339*(1+IF(J$3&lt;=$O$2,$D339,$D339-($D339-$I$319)*MIN(J$3-$O$2,$Q$2)/$Q$2))</f>
        <v>2383.10552015024</v>
      </c>
      <c r="K339" s="15" t="n">
        <f aca="false">J339*(1+IF(K$3&lt;=$O$2,$D339,$D339-($D339-$I$319)*MIN(K$3-$O$2,$Q$2)/$Q$2))</f>
        <v>2460.42948707765</v>
      </c>
      <c r="L339" s="15" t="n">
        <f aca="false">K339*(1+IF(L$3&lt;=$O$2,$D339,$D339-($D339-$I$319)*MIN(L$3-$O$2,$Q$2)/$Q$2))</f>
        <v>2525.95355207044</v>
      </c>
      <c r="M339" s="15" t="n">
        <f aca="false">L339*(1+IF(M$3&lt;=$O$2,$D339,$D339-($D339-$I$319)*MIN(M$3-$O$2,$Q$2)/$Q$2))</f>
        <v>2578.53272678588</v>
      </c>
      <c r="N339" s="15" t="n">
        <f aca="false">M339*(1+IF(N$3&lt;=$O$2,$D339,$D339-($D339-$I$319)*MIN(N$3-$O$2,$Q$2)/$Q$2))</f>
        <v>2617.21071768767</v>
      </c>
      <c r="O339" s="15" t="n">
        <f aca="false">SUMPRODUCT(E339:N339,1/(1+$F$319)^$E$3:$N$3)*$E$2</f>
        <v>5916.26729919473</v>
      </c>
      <c r="P339" s="15" t="n">
        <f aca="false">N339*$E$2*(1+$I$319)/($F$319-$I$319)/(1+$F$319)^$N$3</f>
        <v>10646.6752150066</v>
      </c>
      <c r="Q339" s="15" t="n">
        <f aca="false">O339+P339</f>
        <v>16562.9425142014</v>
      </c>
      <c r="R339" s="15" t="n">
        <f aca="false">Q339-$G$2+$I$2</f>
        <v>15010.2425142014</v>
      </c>
      <c r="S339" s="40" t="n">
        <f aca="false">R339/$K$2</f>
        <v>54.5054014822665</v>
      </c>
      <c r="T339" s="41" t="n">
        <f aca="false">S339-$M$2</f>
        <v>0.000880620942545818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0.0440750122070313</v>
      </c>
      <c r="C340" s="25" t="n">
        <f aca="false">IF(T339&gt;0,D339,C339)</f>
        <v>0.0440778732299805</v>
      </c>
      <c r="D340" s="39" t="n">
        <f aca="false">(B340+C340)/2</f>
        <v>0.0440764427185059</v>
      </c>
      <c r="E340" s="15" t="n">
        <f aca="false">$C$2*(1+IF(E$3&lt;=$O$2,$D340,$D340-($D340-$I$319)*MIN(E$3-$O$2,$Q$2)/$Q$2))</f>
        <v>1931.54141902924</v>
      </c>
      <c r="F340" s="15" t="n">
        <f aca="false">E340*(1+IF(F$3&lt;=$O$2,$D340,$D340-($D340-$I$319)*MIN(F$3-$O$2,$Q$2)/$Q$2))</f>
        <v>2016.6768937435</v>
      </c>
      <c r="G340" s="15" t="n">
        <f aca="false">F340*(1+IF(G$3&lt;=$O$2,$D340,$D340-($D340-$I$319)*MIN(G$3-$O$2,$Q$2)/$Q$2))</f>
        <v>2105.56483733232</v>
      </c>
      <c r="H340" s="15" t="n">
        <f aca="false">G340*(1+IF(H$3&lt;=$O$2,$D340,$D340-($D340-$I$319)*MIN(H$3-$O$2,$Q$2)/$Q$2))</f>
        <v>2198.3706452751</v>
      </c>
      <c r="I340" s="15" t="n">
        <f aca="false">H340*(1+IF(I$3&lt;=$O$2,$D340,$D340-($D340-$I$319)*MIN(I$3-$O$2,$Q$2)/$Q$2))</f>
        <v>2295.26700309561</v>
      </c>
      <c r="J340" s="15" t="n">
        <f aca="false">I340*(1+IF(J$3&lt;=$O$2,$D340,$D340-($D340-$I$319)*MIN(J$3-$O$2,$Q$2)/$Q$2))</f>
        <v>2383.08656777339</v>
      </c>
      <c r="K340" s="15" t="n">
        <f aca="false">J340*(1+IF(K$3&lt;=$O$2,$D340,$D340-($D340-$I$319)*MIN(K$3-$O$2,$Q$2)/$Q$2))</f>
        <v>2460.40787433866</v>
      </c>
      <c r="L340" s="15" t="n">
        <f aca="false">K340*(1+IF(L$3&lt;=$O$2,$D340,$D340-($D340-$I$319)*MIN(L$3-$O$2,$Q$2)/$Q$2))</f>
        <v>2525.92995590268</v>
      </c>
      <c r="M340" s="15" t="n">
        <f aca="false">L340*(1+IF(M$3&lt;=$O$2,$D340,$D340-($D340-$I$319)*MIN(M$3-$O$2,$Q$2)/$Q$2))</f>
        <v>2578.50791677598</v>
      </c>
      <c r="N340" s="15" t="n">
        <f aca="false">M340*(1+IF(N$3&lt;=$O$2,$D340,$D340-($D340-$I$319)*MIN(N$3-$O$2,$Q$2)/$Q$2))</f>
        <v>2617.18553552762</v>
      </c>
      <c r="O340" s="15" t="n">
        <f aca="false">SUMPRODUCT(E340:N340,1/(1+$F$319)^$E$3:$N$3)*$E$2</f>
        <v>5916.22952530346</v>
      </c>
      <c r="P340" s="15" t="n">
        <f aca="false">N340*$E$2*(1+$I$319)/($F$319-$I$319)/(1+$F$319)^$N$3</f>
        <v>10646.5727753072</v>
      </c>
      <c r="Q340" s="15" t="n">
        <f aca="false">O340+P340</f>
        <v>16562.8023006107</v>
      </c>
      <c r="R340" s="15" t="n">
        <f aca="false">Q340-$G$2+$I$2</f>
        <v>15010.1023006107</v>
      </c>
      <c r="S340" s="40" t="n">
        <f aca="false">R340/$K$2</f>
        <v>54.5048923367248</v>
      </c>
      <c r="T340" s="41" t="n">
        <f aca="false">S340-$M$2</f>
        <v>0.00037147540089677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0.0440750122070313</v>
      </c>
      <c r="C341" s="25" t="n">
        <f aca="false">IF(T340&gt;0,D340,C340)</f>
        <v>0.0440764427185059</v>
      </c>
      <c r="D341" s="39" t="n">
        <f aca="false">(B341+C341)/2</f>
        <v>0.0440757274627686</v>
      </c>
      <c r="E341" s="15" t="n">
        <f aca="false">$C$2*(1+IF(E$3&lt;=$O$2,$D341,$D341-($D341-$I$319)*MIN(E$3-$O$2,$Q$2)/$Q$2))</f>
        <v>1931.54009580612</v>
      </c>
      <c r="F341" s="15" t="n">
        <f aca="false">E341*(1+IF(F$3&lt;=$O$2,$D341,$D341-($D341-$I$319)*MIN(F$3-$O$2,$Q$2)/$Q$2))</f>
        <v>2016.67413065228</v>
      </c>
      <c r="G341" s="15" t="n">
        <f aca="false">F341*(1+IF(G$3&lt;=$O$2,$D341,$D341-($D341-$I$319)*MIN(G$3-$O$2,$Q$2)/$Q$2))</f>
        <v>2105.56051001613</v>
      </c>
      <c r="H341" s="15" t="n">
        <f aca="false">G341*(1+IF(H$3&lt;=$O$2,$D341,$D341-($D341-$I$319)*MIN(H$3-$O$2,$Q$2)/$Q$2))</f>
        <v>2198.36462121197</v>
      </c>
      <c r="I341" s="15" t="n">
        <f aca="false">H341*(1+IF(I$3&lt;=$O$2,$D341,$D341-($D341-$I$319)*MIN(I$3-$O$2,$Q$2)/$Q$2))</f>
        <v>2295.2591411203</v>
      </c>
      <c r="J341" s="15" t="n">
        <f aca="false">I341*(1+IF(J$3&lt;=$O$2,$D341,$D341-($D341-$I$319)*MIN(J$3-$O$2,$Q$2)/$Q$2))</f>
        <v>2383.07709163202</v>
      </c>
      <c r="K341" s="15" t="n">
        <f aca="false">J341*(1+IF(K$3&lt;=$O$2,$D341,$D341-($D341-$I$319)*MIN(K$3-$O$2,$Q$2)/$Q$2))</f>
        <v>2460.39706802993</v>
      </c>
      <c r="L341" s="15" t="n">
        <f aca="false">K341*(1+IF(L$3&lt;=$O$2,$D341,$D341-($D341-$I$319)*MIN(L$3-$O$2,$Q$2)/$Q$2))</f>
        <v>2525.91815789047</v>
      </c>
      <c r="M341" s="15" t="n">
        <f aca="false">L341*(1+IF(M$3&lt;=$O$2,$D341,$D341-($D341-$I$319)*MIN(M$3-$O$2,$Q$2)/$Q$2))</f>
        <v>2578.49551184925</v>
      </c>
      <c r="N341" s="15" t="n">
        <f aca="false">M341*(1+IF(N$3&lt;=$O$2,$D341,$D341-($D341-$I$319)*MIN(N$3-$O$2,$Q$2)/$Q$2))</f>
        <v>2617.17294452699</v>
      </c>
      <c r="O341" s="15" t="n">
        <f aca="false">SUMPRODUCT(E341:N341,1/(1+$F$319)^$E$3:$N$3)*$E$2</f>
        <v>5916.21063844844</v>
      </c>
      <c r="P341" s="15" t="n">
        <f aca="false">N341*$E$2*(1+$I$319)/($F$319-$I$319)/(1+$F$319)^$N$3</f>
        <v>10646.5215557805</v>
      </c>
      <c r="Q341" s="15" t="n">
        <f aca="false">O341+P341</f>
        <v>16562.7321942289</v>
      </c>
      <c r="R341" s="15" t="n">
        <f aca="false">Q341-$G$2+$I$2</f>
        <v>15010.0321942289</v>
      </c>
      <c r="S341" s="40" t="n">
        <f aca="false">R341/$K$2</f>
        <v>54.5046377654559</v>
      </c>
      <c r="T341" s="41" t="n">
        <f aca="false">S341-$M$2</f>
        <v>0.00011690413194998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0.0440750122070313</v>
      </c>
      <c r="C342" s="25" t="n">
        <f aca="false">IF(T341&gt;0,D341,C341)</f>
        <v>0.0440757274627686</v>
      </c>
      <c r="D342" s="39" t="n">
        <f aca="false">(B342+C342)/2</f>
        <v>0.0440753698348999</v>
      </c>
      <c r="E342" s="15" t="n">
        <f aca="false">$C$2*(1+IF(E$3&lt;=$O$2,$D342,$D342-($D342-$I$319)*MIN(E$3-$O$2,$Q$2)/$Q$2))</f>
        <v>1931.53943419456</v>
      </c>
      <c r="F342" s="15" t="n">
        <f aca="false">E342*(1+IF(F$3&lt;=$O$2,$D342,$D342-($D342-$I$319)*MIN(F$3-$O$2,$Q$2)/$Q$2))</f>
        <v>2016.67274910738</v>
      </c>
      <c r="G342" s="15" t="n">
        <f aca="false">F342*(1+IF(G$3&lt;=$O$2,$D342,$D342-($D342-$I$319)*MIN(G$3-$O$2,$Q$2)/$Q$2))</f>
        <v>2105.55834636026</v>
      </c>
      <c r="H342" s="15" t="n">
        <f aca="false">G342*(1+IF(H$3&lt;=$O$2,$D342,$D342-($D342-$I$319)*MIN(H$3-$O$2,$Q$2)/$Q$2))</f>
        <v>2198.36160918504</v>
      </c>
      <c r="I342" s="15" t="n">
        <f aca="false">H342*(1+IF(I$3&lt;=$O$2,$D342,$D342-($D342-$I$319)*MIN(I$3-$O$2,$Q$2)/$Q$2))</f>
        <v>2295.25521014072</v>
      </c>
      <c r="J342" s="15" t="n">
        <f aca="false">I342*(1+IF(J$3&lt;=$O$2,$D342,$D342-($D342-$I$319)*MIN(J$3-$O$2,$Q$2)/$Q$2))</f>
        <v>2383.07235357309</v>
      </c>
      <c r="K342" s="15" t="n">
        <f aca="false">J342*(1+IF(K$3&lt;=$O$2,$D342,$D342-($D342-$I$319)*MIN(K$3-$O$2,$Q$2)/$Q$2))</f>
        <v>2460.39166489076</v>
      </c>
      <c r="L342" s="15" t="n">
        <f aca="false">K342*(1+IF(L$3&lt;=$O$2,$D342,$D342-($D342-$I$319)*MIN(L$3-$O$2,$Q$2)/$Q$2))</f>
        <v>2525.91225890229</v>
      </c>
      <c r="M342" s="15" t="n">
        <f aca="false">L342*(1+IF(M$3&lt;=$O$2,$D342,$D342-($D342-$I$319)*MIN(M$3-$O$2,$Q$2)/$Q$2))</f>
        <v>2578.48930940544</v>
      </c>
      <c r="N342" s="15" t="n">
        <f aca="false">M342*(1+IF(N$3&lt;=$O$2,$D342,$D342-($D342-$I$319)*MIN(N$3-$O$2,$Q$2)/$Q$2))</f>
        <v>2617.16664904652</v>
      </c>
      <c r="O342" s="15" t="n">
        <f aca="false">SUMPRODUCT(E342:N342,1/(1+$F$319)^$E$3:$N$3)*$E$2</f>
        <v>5916.20119504359</v>
      </c>
      <c r="P342" s="15" t="n">
        <f aca="false">N342*$E$2*(1+$I$319)/($F$319-$I$319)/(1+$F$319)^$N$3</f>
        <v>10646.4959460978</v>
      </c>
      <c r="Q342" s="15" t="n">
        <f aca="false">O342+P342</f>
        <v>16562.6971411414</v>
      </c>
      <c r="R342" s="15" t="n">
        <f aca="false">Q342-$G$2+$I$2</f>
        <v>15009.9971411414</v>
      </c>
      <c r="S342" s="40" t="n">
        <f aca="false">R342/$K$2</f>
        <v>54.5045104801969</v>
      </c>
      <c r="T342" s="41" t="n">
        <f aca="false">S342-$M$2</f>
        <v>-1.03811270548704E-005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0.0440753698348999</v>
      </c>
      <c r="C343" s="25" t="n">
        <f aca="false">IF(T342&gt;0,D342,C342)</f>
        <v>0.0440757274627686</v>
      </c>
      <c r="D343" s="39" t="n">
        <f aca="false">(B343+C343)/2</f>
        <v>0.0440755486488342</v>
      </c>
      <c r="E343" s="15" t="n">
        <f aca="false">$C$2*(1+IF(E$3&lt;=$O$2,$D343,$D343-($D343-$I$319)*MIN(E$3-$O$2,$Q$2)/$Q$2))</f>
        <v>1931.53976500034</v>
      </c>
      <c r="F343" s="15" t="n">
        <f aca="false">E343*(1+IF(F$3&lt;=$O$2,$D343,$D343-($D343-$I$319)*MIN(F$3-$O$2,$Q$2)/$Q$2))</f>
        <v>2016.67343987977</v>
      </c>
      <c r="G343" s="15" t="n">
        <f aca="false">F343*(1+IF(G$3&lt;=$O$2,$D343,$D343-($D343-$I$319)*MIN(G$3-$O$2,$Q$2)/$Q$2))</f>
        <v>2105.55942818801</v>
      </c>
      <c r="H343" s="15" t="n">
        <f aca="false">G343*(1+IF(H$3&lt;=$O$2,$D343,$D343-($D343-$I$319)*MIN(H$3-$O$2,$Q$2)/$Q$2))</f>
        <v>2198.36311519812</v>
      </c>
      <c r="I343" s="15" t="n">
        <f aca="false">H343*(1+IF(I$3&lt;=$O$2,$D343,$D343-($D343-$I$319)*MIN(I$3-$O$2,$Q$2)/$Q$2))</f>
        <v>2295.25717562984</v>
      </c>
      <c r="J343" s="15" t="n">
        <f aca="false">I343*(1+IF(J$3&lt;=$O$2,$D343,$D343-($D343-$I$319)*MIN(J$3-$O$2,$Q$2)/$Q$2))</f>
        <v>2383.07472260157</v>
      </c>
      <c r="K343" s="15" t="n">
        <f aca="false">J343*(1+IF(K$3&lt;=$O$2,$D343,$D343-($D343-$I$319)*MIN(K$3-$O$2,$Q$2)/$Q$2))</f>
        <v>2460.39436645908</v>
      </c>
      <c r="L343" s="15" t="n">
        <f aca="false">K343*(1+IF(L$3&lt;=$O$2,$D343,$D343-($D343-$I$319)*MIN(L$3-$O$2,$Q$2)/$Q$2))</f>
        <v>2525.91520839489</v>
      </c>
      <c r="M343" s="15" t="n">
        <f aca="false">L343*(1+IF(M$3&lt;=$O$2,$D343,$D343-($D343-$I$319)*MIN(M$3-$O$2,$Q$2)/$Q$2))</f>
        <v>2578.49241062571</v>
      </c>
      <c r="N343" s="15" t="n">
        <f aca="false">M343*(1+IF(N$3&lt;=$O$2,$D343,$D343-($D343-$I$319)*MIN(N$3-$O$2,$Q$2)/$Q$2))</f>
        <v>2617.1697967851</v>
      </c>
      <c r="O343" s="15" t="n">
        <f aca="false">SUMPRODUCT(E343:N343,1/(1+$F$319)^$E$3:$N$3)*$E$2</f>
        <v>5916.20591674413</v>
      </c>
      <c r="P343" s="15" t="n">
        <f aca="false">N343*$E$2*(1+$I$319)/($F$319-$I$319)/(1+$F$319)^$N$3</f>
        <v>10646.5087509324</v>
      </c>
      <c r="Q343" s="15" t="n">
        <f aca="false">O343+P343</f>
        <v>16562.7146676765</v>
      </c>
      <c r="R343" s="15" t="n">
        <f aca="false">Q343-$G$2+$I$2</f>
        <v>15010.0146676765</v>
      </c>
      <c r="S343" s="40" t="n">
        <f aca="false">R343/$K$2</f>
        <v>54.5045741227951</v>
      </c>
      <c r="T343" s="41" t="n">
        <f aca="false">S343-$M$2</f>
        <v>5.32614711801216E-005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0.0440753698348999</v>
      </c>
      <c r="C344" s="25" t="n">
        <f aca="false">IF(T343&gt;0,D343,C343)</f>
        <v>0.0440755486488342</v>
      </c>
      <c r="D344" s="39" t="n">
        <f aca="false">(B344+C344)/2</f>
        <v>0.0440754592418671</v>
      </c>
      <c r="E344" s="15" t="n">
        <f aca="false">$C$2*(1+IF(E$3&lt;=$O$2,$D344,$D344-($D344-$I$319)*MIN(E$3-$O$2,$Q$2)/$Q$2))</f>
        <v>1931.53959959745</v>
      </c>
      <c r="F344" s="15" t="n">
        <f aca="false">E344*(1+IF(F$3&lt;=$O$2,$D344,$D344-($D344-$I$319)*MIN(F$3-$O$2,$Q$2)/$Q$2))</f>
        <v>2016.67309449356</v>
      </c>
      <c r="G344" s="15" t="n">
        <f aca="false">F344*(1+IF(G$3&lt;=$O$2,$D344,$D344-($D344-$I$319)*MIN(G$3-$O$2,$Q$2)/$Q$2))</f>
        <v>2105.55888727409</v>
      </c>
      <c r="H344" s="15" t="n">
        <f aca="false">G344*(1+IF(H$3&lt;=$O$2,$D344,$D344-($D344-$I$319)*MIN(H$3-$O$2,$Q$2)/$Q$2))</f>
        <v>2198.36236219149</v>
      </c>
      <c r="I344" s="15" t="n">
        <f aca="false">H344*(1+IF(I$3&lt;=$O$2,$D344,$D344-($D344-$I$319)*MIN(I$3-$O$2,$Q$2)/$Q$2))</f>
        <v>2295.25619288511</v>
      </c>
      <c r="J344" s="15" t="n">
        <f aca="false">I344*(1+IF(J$3&lt;=$O$2,$D344,$D344-($D344-$I$319)*MIN(J$3-$O$2,$Q$2)/$Q$2))</f>
        <v>2383.07353808709</v>
      </c>
      <c r="K344" s="15" t="n">
        <f aca="false">J344*(1+IF(K$3&lt;=$O$2,$D344,$D344-($D344-$I$319)*MIN(K$3-$O$2,$Q$2)/$Q$2))</f>
        <v>2460.39301567461</v>
      </c>
      <c r="L344" s="15" t="n">
        <f aca="false">K344*(1+IF(L$3&lt;=$O$2,$D344,$D344-($D344-$I$319)*MIN(L$3-$O$2,$Q$2)/$Q$2))</f>
        <v>2525.91373364821</v>
      </c>
      <c r="M344" s="15" t="n">
        <f aca="false">L344*(1+IF(M$3&lt;=$O$2,$D344,$D344-($D344-$I$319)*MIN(M$3-$O$2,$Q$2)/$Q$2))</f>
        <v>2578.49086001517</v>
      </c>
      <c r="N344" s="15" t="n">
        <f aca="false">M344*(1+IF(N$3&lt;=$O$2,$D344,$D344-($D344-$I$319)*MIN(N$3-$O$2,$Q$2)/$Q$2))</f>
        <v>2617.1682229154</v>
      </c>
      <c r="O344" s="15" t="n">
        <f aca="false">SUMPRODUCT(E344:N344,1/(1+$F$319)^$E$3:$N$3)*$E$2</f>
        <v>5916.20355589339</v>
      </c>
      <c r="P344" s="15" t="n">
        <f aca="false">N344*$E$2*(1+$I$319)/($F$319-$I$319)/(1+$F$319)^$N$3</f>
        <v>10646.5023485134</v>
      </c>
      <c r="Q344" s="15" t="n">
        <f aca="false">O344+P344</f>
        <v>16562.7059044068</v>
      </c>
      <c r="R344" s="15" t="n">
        <f aca="false">Q344-$G$2+$I$2</f>
        <v>15010.0059044068</v>
      </c>
      <c r="S344" s="40" t="n">
        <f aca="false">R344/$K$2</f>
        <v>54.5045423014882</v>
      </c>
      <c r="T344" s="41" t="n">
        <f aca="false">S344-$M$2</f>
        <v>2.14401642253392E-005</v>
      </c>
    </row>
    <row r="346" customFormat="false" ht="15" hidden="false" customHeight="false" outlineLevel="0" collapsed="false">
      <c r="A346" s="36" t="s">
        <v>187</v>
      </c>
      <c r="E346" s="5" t="s">
        <v>11</v>
      </c>
      <c r="F346" s="12" t="n">
        <f aca="false">Sensitivity!$B$12</f>
        <v>0.0635093056415221</v>
      </c>
      <c r="G346" s="5" t="s">
        <v>12</v>
      </c>
      <c r="I346" s="12" t="n">
        <f aca="false">Sensitivity!$D$9</f>
        <v>0.02</v>
      </c>
    </row>
    <row r="347" customFormat="false" ht="23.85" hidden="false" customHeight="false" outlineLevel="0" collapsed="false">
      <c r="A347" s="36" t="s">
        <v>156</v>
      </c>
      <c r="B347" s="28" t="s">
        <v>157</v>
      </c>
      <c r="C347" s="28" t="s">
        <v>158</v>
      </c>
      <c r="D347" s="28" t="s">
        <v>159</v>
      </c>
      <c r="E347" s="28" t="s">
        <v>160</v>
      </c>
      <c r="F347" s="28" t="s">
        <v>161</v>
      </c>
      <c r="G347" s="28" t="s">
        <v>162</v>
      </c>
      <c r="H347" s="28" t="s">
        <v>163</v>
      </c>
      <c r="I347" s="28" t="s">
        <v>164</v>
      </c>
      <c r="J347" s="28" t="s">
        <v>165</v>
      </c>
      <c r="K347" s="28" t="s">
        <v>166</v>
      </c>
      <c r="L347" s="28" t="s">
        <v>167</v>
      </c>
      <c r="M347" s="28" t="s">
        <v>168</v>
      </c>
      <c r="N347" s="28" t="s">
        <v>169</v>
      </c>
      <c r="O347" s="28" t="s">
        <v>170</v>
      </c>
      <c r="P347" s="28" t="s">
        <v>171</v>
      </c>
      <c r="Q347" s="28" t="s">
        <v>172</v>
      </c>
      <c r="R347" s="28" t="s">
        <v>173</v>
      </c>
      <c r="S347" s="28" t="s">
        <v>174</v>
      </c>
      <c r="T347" s="28" t="s">
        <v>175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39" t="n">
        <f aca="false">(B348+C348)/2</f>
        <v>0.25</v>
      </c>
      <c r="E348" s="15" t="n">
        <f aca="false">$C$2*(1+IF(E$3&lt;=$O$2,$D348,$D348-($D348-$I$346)*MIN(E$3-$O$2,$Q$2)/$Q$2))</f>
        <v>2312.5</v>
      </c>
      <c r="F348" s="15" t="n">
        <f aca="false">E348*(1+IF(F$3&lt;=$O$2,$D348,$D348-($D348-$I$346)*MIN(F$3-$O$2,$Q$2)/$Q$2))</f>
        <v>2890.625</v>
      </c>
      <c r="G348" s="15" t="n">
        <f aca="false">F348*(1+IF(G$3&lt;=$O$2,$D348,$D348-($D348-$I$346)*MIN(G$3-$O$2,$Q$2)/$Q$2))</f>
        <v>3613.28125</v>
      </c>
      <c r="H348" s="15" t="n">
        <f aca="false">G348*(1+IF(H$3&lt;=$O$2,$D348,$D348-($D348-$I$346)*MIN(H$3-$O$2,$Q$2)/$Q$2))</f>
        <v>4516.6015625</v>
      </c>
      <c r="I348" s="15" t="n">
        <f aca="false">H348*(1+IF(I$3&lt;=$O$2,$D348,$D348-($D348-$I$346)*MIN(I$3-$O$2,$Q$2)/$Q$2))</f>
        <v>5645.751953125</v>
      </c>
      <c r="J348" s="15" t="n">
        <f aca="false">I348*(1+IF(J$3&lt;=$O$2,$D348,$D348-($D348-$I$346)*MIN(J$3-$O$2,$Q$2)/$Q$2))</f>
        <v>6797.4853515625</v>
      </c>
      <c r="K348" s="15" t="n">
        <f aca="false">J348*(1+IF(K$3&lt;=$O$2,$D348,$D348-($D348-$I$346)*MIN(K$3-$O$2,$Q$2)/$Q$2))</f>
        <v>7871.48803710937</v>
      </c>
      <c r="L348" s="15" t="n">
        <f aca="false">K348*(1+IF(L$3&lt;=$O$2,$D348,$D348-($D348-$I$346)*MIN(L$3-$O$2,$Q$2)/$Q$2))</f>
        <v>8753.09469726563</v>
      </c>
      <c r="M348" s="15" t="n">
        <f aca="false">L348*(1+IF(M$3&lt;=$O$2,$D348,$D348-($D348-$I$346)*MIN(M$3-$O$2,$Q$2)/$Q$2))</f>
        <v>9330.79894728516</v>
      </c>
      <c r="N348" s="15" t="n">
        <f aca="false">M348*(1+IF(N$3&lt;=$O$2,$D348,$D348-($D348-$I$346)*MIN(N$3-$O$2,$Q$2)/$Q$2))</f>
        <v>9517.41492623086</v>
      </c>
      <c r="O348" s="15" t="n">
        <f aca="false">SUMPRODUCT(E348:N348,1/(1+$F$346)^$E$3:$N$3)*$E$2</f>
        <v>14782.9916162221</v>
      </c>
      <c r="P348" s="15" t="n">
        <f aca="false">N348*$E$2*(1+$I$346)/($F$346-$I$346)/(1+$F$346)^$N$3</f>
        <v>43378.1827772327</v>
      </c>
      <c r="Q348" s="15" t="n">
        <f aca="false">O348+P348</f>
        <v>58161.1743934548</v>
      </c>
      <c r="R348" s="15" t="n">
        <f aca="false">Q348-$G$2+$I$2</f>
        <v>56608.4743934548</v>
      </c>
      <c r="S348" s="40" t="n">
        <f aca="false">R348/$K$2</f>
        <v>205.557479913776</v>
      </c>
      <c r="T348" s="41" t="n">
        <f aca="false">S348-$M$2</f>
        <v>151.052959052452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39" t="n">
        <f aca="false">(B349+C349)/2</f>
        <v>-0.125</v>
      </c>
      <c r="E349" s="15" t="n">
        <f aca="false">$C$2*(1+IF(E$3&lt;=$O$2,$D349,$D349-($D349-$I$346)*MIN(E$3-$O$2,$Q$2)/$Q$2))</f>
        <v>1618.75</v>
      </c>
      <c r="F349" s="15" t="n">
        <f aca="false">E349*(1+IF(F$3&lt;=$O$2,$D349,$D349-($D349-$I$346)*MIN(F$3-$O$2,$Q$2)/$Q$2))</f>
        <v>1416.40625</v>
      </c>
      <c r="G349" s="15" t="n">
        <f aca="false">F349*(1+IF(G$3&lt;=$O$2,$D349,$D349-($D349-$I$346)*MIN(G$3-$O$2,$Q$2)/$Q$2))</f>
        <v>1239.35546875</v>
      </c>
      <c r="H349" s="15" t="n">
        <f aca="false">G349*(1+IF(H$3&lt;=$O$2,$D349,$D349-($D349-$I$346)*MIN(H$3-$O$2,$Q$2)/$Q$2))</f>
        <v>1084.43603515625</v>
      </c>
      <c r="I349" s="15" t="n">
        <f aca="false">H349*(1+IF(I$3&lt;=$O$2,$D349,$D349-($D349-$I$346)*MIN(I$3-$O$2,$Q$2)/$Q$2))</f>
        <v>948.881530761719</v>
      </c>
      <c r="J349" s="15" t="n">
        <f aca="false">I349*(1+IF(J$3&lt;=$O$2,$D349,$D349-($D349-$I$346)*MIN(J$3-$O$2,$Q$2)/$Q$2))</f>
        <v>857.788903808594</v>
      </c>
      <c r="K349" s="15" t="n">
        <f aca="false">J349*(1+IF(K$3&lt;=$O$2,$D349,$D349-($D349-$I$346)*MIN(K$3-$O$2,$Q$2)/$Q$2))</f>
        <v>800.317047253418</v>
      </c>
      <c r="L349" s="15" t="n">
        <f aca="false">K349*(1+IF(L$3&lt;=$O$2,$D349,$D349-($D349-$I$346)*MIN(L$3-$O$2,$Q$2)/$Q$2))</f>
        <v>769.904999457788</v>
      </c>
      <c r="M349" s="15" t="n">
        <f aca="false">L349*(1+IF(M$3&lt;=$O$2,$D349,$D349-($D349-$I$346)*MIN(M$3-$O$2,$Q$2)/$Q$2))</f>
        <v>762.975854462668</v>
      </c>
      <c r="N349" s="15" t="n">
        <f aca="false">M349*(1+IF(N$3&lt;=$O$2,$D349,$D349-($D349-$I$346)*MIN(N$3-$O$2,$Q$2)/$Q$2))</f>
        <v>778.235371551922</v>
      </c>
      <c r="O349" s="15" t="n">
        <f aca="false">SUMPRODUCT(E349:N349,1/(1+$F$346)^$E$3:$N$3)*$E$2</f>
        <v>2804.11305053825</v>
      </c>
      <c r="P349" s="15" t="n">
        <f aca="false">N349*$E$2*(1+$I$346)/($F$346-$I$346)/(1+$F$346)^$N$3</f>
        <v>3547.01738366429</v>
      </c>
      <c r="Q349" s="15" t="n">
        <f aca="false">O349+P349</f>
        <v>6351.13043420254</v>
      </c>
      <c r="R349" s="15" t="n">
        <f aca="false">Q349-$G$2+$I$2</f>
        <v>4798.43043420254</v>
      </c>
      <c r="S349" s="40" t="n">
        <f aca="false">R349/$K$2</f>
        <v>17.4241273619323</v>
      </c>
      <c r="T349" s="41" t="n">
        <f aca="false">S349-$M$2</f>
        <v>-37.0803934993916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39" t="n">
        <f aca="false">(B350+C350)/2</f>
        <v>0.0625</v>
      </c>
      <c r="E350" s="15" t="n">
        <f aca="false">$C$2*(1+IF(E$3&lt;=$O$2,$D350,$D350-($D350-$I$346)*MIN(E$3-$O$2,$Q$2)/$Q$2))</f>
        <v>1965.625</v>
      </c>
      <c r="F350" s="15" t="n">
        <f aca="false">E350*(1+IF(F$3&lt;=$O$2,$D350,$D350-($D350-$I$346)*MIN(F$3-$O$2,$Q$2)/$Q$2))</f>
        <v>2088.4765625</v>
      </c>
      <c r="G350" s="15" t="n">
        <f aca="false">F350*(1+IF(G$3&lt;=$O$2,$D350,$D350-($D350-$I$346)*MIN(G$3-$O$2,$Q$2)/$Q$2))</f>
        <v>2219.00634765625</v>
      </c>
      <c r="H350" s="15" t="n">
        <f aca="false">G350*(1+IF(H$3&lt;=$O$2,$D350,$D350-($D350-$I$346)*MIN(H$3-$O$2,$Q$2)/$Q$2))</f>
        <v>2357.69424438477</v>
      </c>
      <c r="I350" s="15" t="n">
        <f aca="false">H350*(1+IF(I$3&lt;=$O$2,$D350,$D350-($D350-$I$346)*MIN(I$3-$O$2,$Q$2)/$Q$2))</f>
        <v>2505.05013465881</v>
      </c>
      <c r="J350" s="15" t="n">
        <f aca="false">I350*(1+IF(J$3&lt;=$O$2,$D350,$D350-($D350-$I$346)*MIN(J$3-$O$2,$Q$2)/$Q$2))</f>
        <v>2640.32284193039</v>
      </c>
      <c r="K350" s="15" t="n">
        <f aca="false">J350*(1+IF(K$3&lt;=$O$2,$D350,$D350-($D350-$I$346)*MIN(K$3-$O$2,$Q$2)/$Q$2))</f>
        <v>2760.45753123822</v>
      </c>
      <c r="L350" s="15" t="n">
        <f aca="false">K350*(1+IF(L$3&lt;=$O$2,$D350,$D350-($D350-$I$346)*MIN(L$3-$O$2,$Q$2)/$Q$2))</f>
        <v>2862.59445989404</v>
      </c>
      <c r="M350" s="15" t="n">
        <f aca="false">L350*(1+IF(M$3&lt;=$O$2,$D350,$D350-($D350-$I$346)*MIN(M$3-$O$2,$Q$2)/$Q$2))</f>
        <v>2944.17840200102</v>
      </c>
      <c r="N350" s="15" t="n">
        <f aca="false">M350*(1+IF(N$3&lt;=$O$2,$D350,$D350-($D350-$I$346)*MIN(N$3-$O$2,$Q$2)/$Q$2))</f>
        <v>3003.06197004104</v>
      </c>
      <c r="O350" s="15" t="n">
        <f aca="false">SUMPRODUCT(E350:N350,1/(1+$F$346)^$E$3:$N$3)*$E$2</f>
        <v>6443.66265258364</v>
      </c>
      <c r="P350" s="15" t="n">
        <f aca="false">N350*$E$2*(1+$I$346)/($F$346-$I$346)/(1+$F$346)^$N$3</f>
        <v>13687.2640351917</v>
      </c>
      <c r="Q350" s="15" t="n">
        <f aca="false">O350+P350</f>
        <v>20130.9266877754</v>
      </c>
      <c r="R350" s="15" t="n">
        <f aca="false">Q350-$G$2+$I$2</f>
        <v>18578.2266877754</v>
      </c>
      <c r="S350" s="40" t="n">
        <f aca="false">R350/$K$2</f>
        <v>67.4615152611764</v>
      </c>
      <c r="T350" s="41" t="n">
        <f aca="false">S350-$M$2</f>
        <v>12.9569943998525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39" t="n">
        <f aca="false">(B351+C351)/2</f>
        <v>-0.03125</v>
      </c>
      <c r="E351" s="15" t="n">
        <f aca="false">$C$2*(1+IF(E$3&lt;=$O$2,$D351,$D351-($D351-$I$346)*MIN(E$3-$O$2,$Q$2)/$Q$2))</f>
        <v>1792.1875</v>
      </c>
      <c r="F351" s="15" t="n">
        <f aca="false">E351*(1+IF(F$3&lt;=$O$2,$D351,$D351-($D351-$I$346)*MIN(F$3-$O$2,$Q$2)/$Q$2))</f>
        <v>1736.181640625</v>
      </c>
      <c r="G351" s="15" t="n">
        <f aca="false">F351*(1+IF(G$3&lt;=$O$2,$D351,$D351-($D351-$I$346)*MIN(G$3-$O$2,$Q$2)/$Q$2))</f>
        <v>1681.92596435547</v>
      </c>
      <c r="H351" s="15" t="n">
        <f aca="false">G351*(1+IF(H$3&lt;=$O$2,$D351,$D351-($D351-$I$346)*MIN(H$3-$O$2,$Q$2)/$Q$2))</f>
        <v>1629.36577796936</v>
      </c>
      <c r="I351" s="15" t="n">
        <f aca="false">H351*(1+IF(I$3&lt;=$O$2,$D351,$D351-($D351-$I$346)*MIN(I$3-$O$2,$Q$2)/$Q$2))</f>
        <v>1578.44809740782</v>
      </c>
      <c r="J351" s="15" t="n">
        <f aca="false">I351*(1+IF(J$3&lt;=$O$2,$D351,$D351-($D351-$I$346)*MIN(J$3-$O$2,$Q$2)/$Q$2))</f>
        <v>1545.30068736225</v>
      </c>
      <c r="K351" s="15" t="n">
        <f aca="false">J351*(1+IF(K$3&lt;=$O$2,$D351,$D351-($D351-$I$346)*MIN(K$3-$O$2,$Q$2)/$Q$2))</f>
        <v>1528.68870497311</v>
      </c>
      <c r="L351" s="15" t="n">
        <f aca="false">K351*(1+IF(L$3&lt;=$O$2,$D351,$D351-($D351-$I$346)*MIN(L$3-$O$2,$Q$2)/$Q$2))</f>
        <v>1527.92436062062</v>
      </c>
      <c r="M351" s="15" t="n">
        <f aca="false">L351*(1+IF(M$3&lt;=$O$2,$D351,$D351-($D351-$I$346)*MIN(M$3-$O$2,$Q$2)/$Q$2))</f>
        <v>1542.82162313667</v>
      </c>
      <c r="N351" s="15" t="n">
        <f aca="false">M351*(1+IF(N$3&lt;=$O$2,$D351,$D351-($D351-$I$346)*MIN(N$3-$O$2,$Q$2)/$Q$2))</f>
        <v>1573.67805559941</v>
      </c>
      <c r="O351" s="15" t="n">
        <f aca="false">SUMPRODUCT(E351:N351,1/(1+$F$346)^$E$3:$N$3)*$E$2</f>
        <v>4240.67850571628</v>
      </c>
      <c r="P351" s="15" t="n">
        <f aca="false">N351*$E$2*(1+$I$346)/($F$346-$I$346)/(1+$F$346)^$N$3</f>
        <v>7172.46173014601</v>
      </c>
      <c r="Q351" s="15" t="n">
        <f aca="false">O351+P351</f>
        <v>11413.1402358623</v>
      </c>
      <c r="R351" s="15" t="n">
        <f aca="false">Q351-$G$2+$I$2</f>
        <v>9860.44023586229</v>
      </c>
      <c r="S351" s="40" t="n">
        <f aca="false">R351/$K$2</f>
        <v>35.8053677906325</v>
      </c>
      <c r="T351" s="41" t="n">
        <f aca="false">S351-$M$2</f>
        <v>-18.6991530706914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39" t="n">
        <f aca="false">(B352+C352)/2</f>
        <v>0.015625</v>
      </c>
      <c r="E352" s="15" t="n">
        <f aca="false">$C$2*(1+IF(E$3&lt;=$O$2,$D352,$D352-($D352-$I$346)*MIN(E$3-$O$2,$Q$2)/$Q$2))</f>
        <v>1878.90625</v>
      </c>
      <c r="F352" s="15" t="n">
        <f aca="false">E352*(1+IF(F$3&lt;=$O$2,$D352,$D352-($D352-$I$346)*MIN(F$3-$O$2,$Q$2)/$Q$2))</f>
        <v>1908.26416015625</v>
      </c>
      <c r="G352" s="15" t="n">
        <f aca="false">F352*(1+IF(G$3&lt;=$O$2,$D352,$D352-($D352-$I$346)*MIN(G$3-$O$2,$Q$2)/$Q$2))</f>
        <v>1938.08078765869</v>
      </c>
      <c r="H352" s="15" t="n">
        <f aca="false">G352*(1+IF(H$3&lt;=$O$2,$D352,$D352-($D352-$I$346)*MIN(H$3-$O$2,$Q$2)/$Q$2))</f>
        <v>1968.36329996586</v>
      </c>
      <c r="I352" s="15" t="n">
        <f aca="false">H352*(1+IF(I$3&lt;=$O$2,$D352,$D352-($D352-$I$346)*MIN(I$3-$O$2,$Q$2)/$Q$2))</f>
        <v>1999.11897652783</v>
      </c>
      <c r="J352" s="15" t="n">
        <f aca="false">I352*(1+IF(J$3&lt;=$O$2,$D352,$D352-($D352-$I$346)*MIN(J$3-$O$2,$Q$2)/$Q$2))</f>
        <v>2032.10443964053</v>
      </c>
      <c r="K352" s="15" t="n">
        <f aca="false">J352*(1+IF(K$3&lt;=$O$2,$D352,$D352-($D352-$I$346)*MIN(K$3-$O$2,$Q$2)/$Q$2))</f>
        <v>2067.41225427929</v>
      </c>
      <c r="L352" s="15" t="n">
        <f aca="false">K352*(1+IF(L$3&lt;=$O$2,$D352,$D352-($D352-$I$346)*MIN(L$3-$O$2,$Q$2)/$Q$2))</f>
        <v>2105.14252791989</v>
      </c>
      <c r="M352" s="15" t="n">
        <f aca="false">L352*(1+IF(M$3&lt;=$O$2,$D352,$D352-($D352-$I$346)*MIN(M$3-$O$2,$Q$2)/$Q$2))</f>
        <v>2145.40337876635</v>
      </c>
      <c r="N352" s="15" t="n">
        <f aca="false">M352*(1+IF(N$3&lt;=$O$2,$D352,$D352-($D352-$I$346)*MIN(N$3-$O$2,$Q$2)/$Q$2))</f>
        <v>2188.31144634168</v>
      </c>
      <c r="O352" s="15" t="n">
        <f aca="false">SUMPRODUCT(E352:N352,1/(1+$F$346)^$E$3:$N$3)*$E$2</f>
        <v>5226.12021278452</v>
      </c>
      <c r="P352" s="15" t="n">
        <f aca="false">N352*$E$2*(1+$I$346)/($F$346-$I$346)/(1+$F$346)^$N$3</f>
        <v>9973.81900743846</v>
      </c>
      <c r="Q352" s="15" t="n">
        <f aca="false">O352+P352</f>
        <v>15199.939220223</v>
      </c>
      <c r="R352" s="15" t="n">
        <f aca="false">Q352-$G$2+$I$2</f>
        <v>13647.239220223</v>
      </c>
      <c r="S352" s="40" t="n">
        <f aca="false">R352/$K$2</f>
        <v>49.5560449552379</v>
      </c>
      <c r="T352" s="41" t="n">
        <f aca="false">S352-$M$2</f>
        <v>-4.948475906086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0.015625</v>
      </c>
      <c r="C353" s="25" t="n">
        <f aca="false">IF(T352&gt;0,D352,C352)</f>
        <v>0.0625</v>
      </c>
      <c r="D353" s="39" t="n">
        <f aca="false">(B353+C353)/2</f>
        <v>0.0390625</v>
      </c>
      <c r="E353" s="15" t="n">
        <f aca="false">$C$2*(1+IF(E$3&lt;=$O$2,$D353,$D353-($D353-$I$346)*MIN(E$3-$O$2,$Q$2)/$Q$2))</f>
        <v>1922.265625</v>
      </c>
      <c r="F353" s="15" t="n">
        <f aca="false">E353*(1+IF(F$3&lt;=$O$2,$D353,$D353-($D353-$I$346)*MIN(F$3-$O$2,$Q$2)/$Q$2))</f>
        <v>1997.35412597656</v>
      </c>
      <c r="G353" s="15" t="n">
        <f aca="false">F353*(1+IF(G$3&lt;=$O$2,$D353,$D353-($D353-$I$346)*MIN(G$3-$O$2,$Q$2)/$Q$2))</f>
        <v>2075.37577152252</v>
      </c>
      <c r="H353" s="15" t="n">
        <f aca="false">G353*(1+IF(H$3&lt;=$O$2,$D353,$D353-($D353-$I$346)*MIN(H$3-$O$2,$Q$2)/$Q$2))</f>
        <v>2156.44513759762</v>
      </c>
      <c r="I353" s="15" t="n">
        <f aca="false">H353*(1+IF(I$3&lt;=$O$2,$D353,$D353-($D353-$I$346)*MIN(I$3-$O$2,$Q$2)/$Q$2))</f>
        <v>2240.68127578503</v>
      </c>
      <c r="J353" s="15" t="n">
        <f aca="false">I353*(1+IF(J$3&lt;=$O$2,$D353,$D353-($D353-$I$346)*MIN(J$3-$O$2,$Q$2)/$Q$2))</f>
        <v>2319.66529075645</v>
      </c>
      <c r="K353" s="15" t="n">
        <f aca="false">J353*(1+IF(K$3&lt;=$O$2,$D353,$D353-($D353-$I$346)*MIN(K$3-$O$2,$Q$2)/$Q$2))</f>
        <v>2392.58976833461</v>
      </c>
      <c r="L353" s="15" t="n">
        <f aca="false">K353*(1+IF(L$3&lt;=$O$2,$D353,$D353-($D353-$I$346)*MIN(L$3-$O$2,$Q$2)/$Q$2))</f>
        <v>2458.68506068485</v>
      </c>
      <c r="M353" s="15" t="n">
        <f aca="false">L353*(1+IF(M$3&lt;=$O$2,$D353,$D353-($D353-$I$346)*MIN(M$3-$O$2,$Q$2)/$Q$2))</f>
        <v>2517.23249869241</v>
      </c>
      <c r="N353" s="15" t="n">
        <f aca="false">M353*(1+IF(N$3&lt;=$O$2,$D353,$D353-($D353-$I$346)*MIN(N$3-$O$2,$Q$2)/$Q$2))</f>
        <v>2567.57714866626</v>
      </c>
      <c r="O353" s="15" t="n">
        <f aca="false">SUMPRODUCT(E353:N353,1/(1+$F$346)^$E$3:$N$3)*$E$2</f>
        <v>5802.94367278812</v>
      </c>
      <c r="P353" s="15" t="n">
        <f aca="false">N353*$E$2*(1+$I$346)/($F$346-$I$346)/(1+$F$346)^$N$3</f>
        <v>11702.4246302981</v>
      </c>
      <c r="Q353" s="15" t="n">
        <f aca="false">O353+P353</f>
        <v>17505.3683030862</v>
      </c>
      <c r="R353" s="15" t="n">
        <f aca="false">Q353-$G$2+$I$2</f>
        <v>15952.6683030862</v>
      </c>
      <c r="S353" s="40" t="n">
        <f aca="false">R353/$K$2</f>
        <v>57.9275511205426</v>
      </c>
      <c r="T353" s="41" t="n">
        <f aca="false">S353-$M$2</f>
        <v>3.42303025921862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0.015625</v>
      </c>
      <c r="C354" s="25" t="n">
        <f aca="false">IF(T353&gt;0,D353,C353)</f>
        <v>0.0390625</v>
      </c>
      <c r="D354" s="39" t="n">
        <f aca="false">(B354+C354)/2</f>
        <v>0.02734375</v>
      </c>
      <c r="E354" s="15" t="n">
        <f aca="false">$C$2*(1+IF(E$3&lt;=$O$2,$D354,$D354-($D354-$I$346)*MIN(E$3-$O$2,$Q$2)/$Q$2))</f>
        <v>1900.5859375</v>
      </c>
      <c r="F354" s="15" t="n">
        <f aca="false">E354*(1+IF(F$3&lt;=$O$2,$D354,$D354-($D354-$I$346)*MIN(F$3-$O$2,$Q$2)/$Q$2))</f>
        <v>1952.55508422852</v>
      </c>
      <c r="G354" s="15" t="n">
        <f aca="false">F354*(1+IF(G$3&lt;=$O$2,$D354,$D354-($D354-$I$346)*MIN(G$3-$O$2,$Q$2)/$Q$2))</f>
        <v>2005.94526231289</v>
      </c>
      <c r="H354" s="15" t="n">
        <f aca="false">G354*(1+IF(H$3&lt;=$O$2,$D354,$D354-($D354-$I$346)*MIN(H$3-$O$2,$Q$2)/$Q$2))</f>
        <v>2060.79532807926</v>
      </c>
      <c r="I354" s="15" t="n">
        <f aca="false">H354*(1+IF(I$3&lt;=$O$2,$D354,$D354-($D354-$I$346)*MIN(I$3-$O$2,$Q$2)/$Q$2))</f>
        <v>2117.14520033142</v>
      </c>
      <c r="J354" s="15" t="n">
        <f aca="false">I354*(1+IF(J$3&lt;=$O$2,$D354,$D354-($D354-$I$346)*MIN(J$3-$O$2,$Q$2)/$Q$2))</f>
        <v>2171.92633239</v>
      </c>
      <c r="K354" s="15" t="n">
        <f aca="false">J354*(1+IF(K$3&lt;=$O$2,$D354,$D354-($D354-$I$346)*MIN(K$3-$O$2,$Q$2)/$Q$2))</f>
        <v>2224.93490943989</v>
      </c>
      <c r="L354" s="15" t="n">
        <f aca="false">K354*(1+IF(L$3&lt;=$O$2,$D354,$D354-($D354-$I$346)*MIN(L$3-$O$2,$Q$2)/$Q$2))</f>
        <v>2275.96935392517</v>
      </c>
      <c r="M354" s="15" t="n">
        <f aca="false">L354*(1+IF(M$3&lt;=$O$2,$D354,$D354-($D354-$I$346)*MIN(M$3-$O$2,$Q$2)/$Q$2))</f>
        <v>2324.83157099225</v>
      </c>
      <c r="N354" s="15" t="n">
        <f aca="false">M354*(1+IF(N$3&lt;=$O$2,$D354,$D354-($D354-$I$346)*MIN(N$3-$O$2,$Q$2)/$Q$2))</f>
        <v>2371.3282024121</v>
      </c>
      <c r="O354" s="15" t="n">
        <f aca="false">SUMPRODUCT(E354:N354,1/(1+$F$346)^$E$3:$N$3)*$E$2</f>
        <v>5506.93165836969</v>
      </c>
      <c r="P354" s="15" t="n">
        <f aca="false">N354*$E$2*(1+$I$346)/($F$346-$I$346)/(1+$F$346)^$N$3</f>
        <v>10807.9671829308</v>
      </c>
      <c r="Q354" s="15" t="n">
        <f aca="false">O354+P354</f>
        <v>16314.8988413005</v>
      </c>
      <c r="R354" s="15" t="n">
        <f aca="false">Q354-$G$2+$I$2</f>
        <v>14762.1988413005</v>
      </c>
      <c r="S354" s="40" t="n">
        <f aca="false">R354/$K$2</f>
        <v>53.6047018457477</v>
      </c>
      <c r="T354" s="41" t="n">
        <f aca="false">S354-$M$2</f>
        <v>-0.899819015576242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0.02734375</v>
      </c>
      <c r="C355" s="25" t="n">
        <f aca="false">IF(T354&gt;0,D354,C354)</f>
        <v>0.0390625</v>
      </c>
      <c r="D355" s="39" t="n">
        <f aca="false">(B355+C355)/2</f>
        <v>0.033203125</v>
      </c>
      <c r="E355" s="15" t="n">
        <f aca="false">$C$2*(1+IF(E$3&lt;=$O$2,$D355,$D355-($D355-$I$346)*MIN(E$3-$O$2,$Q$2)/$Q$2))</f>
        <v>1911.42578125</v>
      </c>
      <c r="F355" s="15" t="n">
        <f aca="false">E355*(1+IF(F$3&lt;=$O$2,$D355,$D355-($D355-$I$346)*MIN(F$3-$O$2,$Q$2)/$Q$2))</f>
        <v>1974.89109039307</v>
      </c>
      <c r="G355" s="15" t="n">
        <f aca="false">F355*(1+IF(G$3&lt;=$O$2,$D355,$D355-($D355-$I$346)*MIN(G$3-$O$2,$Q$2)/$Q$2))</f>
        <v>2040.46364612877</v>
      </c>
      <c r="H355" s="15" t="n">
        <f aca="false">G355*(1+IF(H$3&lt;=$O$2,$D355,$D355-($D355-$I$346)*MIN(H$3-$O$2,$Q$2)/$Q$2))</f>
        <v>2108.21341562914</v>
      </c>
      <c r="I355" s="15" t="n">
        <f aca="false">H355*(1+IF(I$3&lt;=$O$2,$D355,$D355-($D355-$I$346)*MIN(I$3-$O$2,$Q$2)/$Q$2))</f>
        <v>2178.21268919495</v>
      </c>
      <c r="J355" s="15" t="n">
        <f aca="false">I355*(1+IF(J$3&lt;=$O$2,$D355,$D355-($D355-$I$346)*MIN(J$3-$O$2,$Q$2)/$Q$2))</f>
        <v>2244.78431450848</v>
      </c>
      <c r="K355" s="15" t="n">
        <f aca="false">J355*(1+IF(K$3&lt;=$O$2,$D355,$D355-($D355-$I$346)*MIN(K$3-$O$2,$Q$2)/$Q$2))</f>
        <v>2307.46290154014</v>
      </c>
      <c r="L355" s="15" t="n">
        <f aca="false">K355*(1+IF(L$3&lt;=$O$2,$D355,$D355-($D355-$I$346)*MIN(L$3-$O$2,$Q$2)/$Q$2))</f>
        <v>2365.7984480197</v>
      </c>
      <c r="M355" s="15" t="n">
        <f aca="false">L355*(1+IF(M$3&lt;=$O$2,$D355,$D355-($D355-$I$346)*MIN(M$3-$O$2,$Q$2)/$Q$2))</f>
        <v>2419.3616035069</v>
      </c>
      <c r="N355" s="15" t="n">
        <f aca="false">M355*(1+IF(N$3&lt;=$O$2,$D355,$D355-($D355-$I$346)*MIN(N$3-$O$2,$Q$2)/$Q$2))</f>
        <v>2467.74883557704</v>
      </c>
      <c r="O355" s="15" t="n">
        <f aca="false">SUMPRODUCT(E355:N355,1/(1+$F$346)^$E$3:$N$3)*$E$2</f>
        <v>5652.99054577202</v>
      </c>
      <c r="P355" s="15" t="n">
        <f aca="false">N355*$E$2*(1+$I$346)/($F$346-$I$346)/(1+$F$346)^$N$3</f>
        <v>11247.4301969261</v>
      </c>
      <c r="Q355" s="15" t="n">
        <f aca="false">O355+P355</f>
        <v>16900.4207426981</v>
      </c>
      <c r="R355" s="15" t="n">
        <f aca="false">Q355-$G$2+$I$2</f>
        <v>15347.7207426981</v>
      </c>
      <c r="S355" s="40" t="n">
        <f aca="false">R355/$K$2</f>
        <v>55.7308571215298</v>
      </c>
      <c r="T355" s="41" t="n">
        <f aca="false">S355-$M$2</f>
        <v>1.22633626020587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0.02734375</v>
      </c>
      <c r="C356" s="25" t="n">
        <f aca="false">IF(T355&gt;0,D355,C355)</f>
        <v>0.033203125</v>
      </c>
      <c r="D356" s="39" t="n">
        <f aca="false">(B356+C356)/2</f>
        <v>0.0302734375</v>
      </c>
      <c r="E356" s="15" t="n">
        <f aca="false">$C$2*(1+IF(E$3&lt;=$O$2,$D356,$D356-($D356-$I$346)*MIN(E$3-$O$2,$Q$2)/$Q$2))</f>
        <v>1906.005859375</v>
      </c>
      <c r="F356" s="15" t="n">
        <f aca="false">E356*(1+IF(F$3&lt;=$O$2,$D356,$D356-($D356-$I$346)*MIN(F$3-$O$2,$Q$2)/$Q$2))</f>
        <v>1963.70720863342</v>
      </c>
      <c r="G356" s="15" t="n">
        <f aca="false">F356*(1+IF(G$3&lt;=$O$2,$D356,$D356-($D356-$I$346)*MIN(G$3-$O$2,$Q$2)/$Q$2))</f>
        <v>2023.15537608229</v>
      </c>
      <c r="H356" s="15" t="n">
        <f aca="false">G356*(1+IF(H$3&lt;=$O$2,$D356,$D356-($D356-$I$346)*MIN(H$3-$O$2,$Q$2)/$Q$2))</f>
        <v>2084.4032439129</v>
      </c>
      <c r="I356" s="15" t="n">
        <f aca="false">H356*(1+IF(I$3&lt;=$O$2,$D356,$D356-($D356-$I$346)*MIN(I$3-$O$2,$Q$2)/$Q$2))</f>
        <v>2147.5052952423</v>
      </c>
      <c r="J356" s="15" t="n">
        <f aca="false">I356*(1+IF(J$3&lt;=$O$2,$D356,$D356-($D356-$I$346)*MIN(J$3-$O$2,$Q$2)/$Q$2))</f>
        <v>2208.10521029242</v>
      </c>
      <c r="K356" s="15" t="n">
        <f aca="false">J356*(1+IF(K$3&lt;=$O$2,$D356,$D356-($D356-$I$346)*MIN(K$3-$O$2,$Q$2)/$Q$2))</f>
        <v>2265.87821302108</v>
      </c>
      <c r="L356" s="15" t="n">
        <f aca="false">K356*(1+IF(L$3&lt;=$O$2,$D356,$D356-($D356-$I$346)*MIN(L$3-$O$2,$Q$2)/$Q$2))</f>
        <v>2320.50712056314</v>
      </c>
      <c r="M356" s="15" t="n">
        <f aca="false">L356*(1+IF(M$3&lt;=$O$2,$D356,$D356-($D356-$I$346)*MIN(M$3-$O$2,$Q$2)/$Q$2))</f>
        <v>2371.68517994868</v>
      </c>
      <c r="N356" s="15" t="n">
        <f aca="false">M356*(1+IF(N$3&lt;=$O$2,$D356,$D356-($D356-$I$346)*MIN(N$3-$O$2,$Q$2)/$Q$2))</f>
        <v>2419.11888354766</v>
      </c>
      <c r="O356" s="15" t="n">
        <f aca="false">SUMPRODUCT(E356:N356,1/(1+$F$346)^$E$3:$N$3)*$E$2</f>
        <v>5579.4802818647</v>
      </c>
      <c r="P356" s="15" t="n">
        <f aca="false">N356*$E$2*(1+$I$346)/($F$346-$I$346)/(1+$F$346)^$N$3</f>
        <v>11025.7860883179</v>
      </c>
      <c r="Q356" s="15" t="n">
        <f aca="false">O356+P356</f>
        <v>16605.2663701826</v>
      </c>
      <c r="R356" s="15" t="n">
        <f aca="false">Q356-$G$2+$I$2</f>
        <v>15052.5663701826</v>
      </c>
      <c r="S356" s="40" t="n">
        <f aca="false">R356/$K$2</f>
        <v>54.659088457034</v>
      </c>
      <c r="T356" s="41" t="n">
        <f aca="false">S356-$M$2</f>
        <v>0.15456759571007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0.02734375</v>
      </c>
      <c r="C357" s="25" t="n">
        <f aca="false">IF(T356&gt;0,D356,C356)</f>
        <v>0.0302734375</v>
      </c>
      <c r="D357" s="39" t="n">
        <f aca="false">(B357+C357)/2</f>
        <v>0.02880859375</v>
      </c>
      <c r="E357" s="15" t="n">
        <f aca="false">$C$2*(1+IF(E$3&lt;=$O$2,$D357,$D357-($D357-$I$346)*MIN(E$3-$O$2,$Q$2)/$Q$2))</f>
        <v>1903.2958984375</v>
      </c>
      <c r="F357" s="15" t="n">
        <f aca="false">E357*(1+IF(F$3&lt;=$O$2,$D357,$D357-($D357-$I$346)*MIN(F$3-$O$2,$Q$2)/$Q$2))</f>
        <v>1958.12717676163</v>
      </c>
      <c r="G357" s="15" t="n">
        <f aca="false">F357*(1+IF(G$3&lt;=$O$2,$D357,$D357-($D357-$I$346)*MIN(G$3-$O$2,$Q$2)/$Q$2))</f>
        <v>2014.53806710779</v>
      </c>
      <c r="H357" s="15" t="n">
        <f aca="false">G357*(1+IF(H$3&lt;=$O$2,$D357,$D357-($D357-$I$346)*MIN(H$3-$O$2,$Q$2)/$Q$2))</f>
        <v>2072.57407587701</v>
      </c>
      <c r="I357" s="15" t="n">
        <f aca="false">H357*(1+IF(I$3&lt;=$O$2,$D357,$D357-($D357-$I$346)*MIN(I$3-$O$2,$Q$2)/$Q$2))</f>
        <v>2132.28202044573</v>
      </c>
      <c r="J357" s="15" t="n">
        <f aca="false">I357*(1+IF(J$3&lt;=$O$2,$D357,$D357-($D357-$I$346)*MIN(J$3-$O$2,$Q$2)/$Q$2))</f>
        <v>2189.95358571747</v>
      </c>
      <c r="K357" s="15" t="n">
        <f aca="false">J357*(1+IF(K$3&lt;=$O$2,$D357,$D357-($D357-$I$346)*MIN(K$3-$O$2,$Q$2)/$Q$2))</f>
        <v>2245.32690431259</v>
      </c>
      <c r="L357" s="15" t="n">
        <f aca="false">K357*(1+IF(L$3&lt;=$O$2,$D357,$D357-($D357-$I$346)*MIN(L$3-$O$2,$Q$2)/$Q$2))</f>
        <v>2298.14471141325</v>
      </c>
      <c r="M357" s="15" t="n">
        <f aca="false">L357*(1+IF(M$3&lt;=$O$2,$D357,$D357-($D357-$I$346)*MIN(M$3-$O$2,$Q$2)/$Q$2))</f>
        <v>2348.15629026983</v>
      </c>
      <c r="N357" s="15" t="n">
        <f aca="false">M357*(1+IF(N$3&lt;=$O$2,$D357,$D357-($D357-$I$346)*MIN(N$3-$O$2,$Q$2)/$Q$2))</f>
        <v>2395.11941607522</v>
      </c>
      <c r="O357" s="15" t="n">
        <f aca="false">SUMPRODUCT(E357:N357,1/(1+$F$346)^$E$3:$N$3)*$E$2</f>
        <v>5543.08650309673</v>
      </c>
      <c r="P357" s="15" t="n">
        <f aca="false">N357*$E$2*(1+$I$346)/($F$346-$I$346)/(1+$F$346)^$N$3</f>
        <v>10916.4020492017</v>
      </c>
      <c r="Q357" s="15" t="n">
        <f aca="false">O357+P357</f>
        <v>16459.4885522985</v>
      </c>
      <c r="R357" s="15" t="n">
        <f aca="false">Q357-$G$2+$I$2</f>
        <v>14906.7885522985</v>
      </c>
      <c r="S357" s="40" t="n">
        <f aca="false">R357/$K$2</f>
        <v>54.1297380162623</v>
      </c>
      <c r="T357" s="41" t="n">
        <f aca="false">S357-$M$2</f>
        <v>-0.37478284506166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0.02880859375</v>
      </c>
      <c r="C358" s="25" t="n">
        <f aca="false">IF(T357&gt;0,D357,C357)</f>
        <v>0.0302734375</v>
      </c>
      <c r="D358" s="39" t="n">
        <f aca="false">(B358+C358)/2</f>
        <v>0.029541015625</v>
      </c>
      <c r="E358" s="15" t="n">
        <f aca="false">$C$2*(1+IF(E$3&lt;=$O$2,$D358,$D358-($D358-$I$346)*MIN(E$3-$O$2,$Q$2)/$Q$2))</f>
        <v>1904.65087890625</v>
      </c>
      <c r="F358" s="15" t="n">
        <f aca="false">E358*(1+IF(F$3&lt;=$O$2,$D358,$D358-($D358-$I$346)*MIN(F$3-$O$2,$Q$2)/$Q$2))</f>
        <v>1960.91620028019</v>
      </c>
      <c r="G358" s="15" t="n">
        <f aca="false">F358*(1+IF(G$3&lt;=$O$2,$D358,$D358-($D358-$I$346)*MIN(G$3-$O$2,$Q$2)/$Q$2))</f>
        <v>2018.84365639198</v>
      </c>
      <c r="H358" s="15" t="n">
        <f aca="false">G358*(1+IF(H$3&lt;=$O$2,$D358,$D358-($D358-$I$346)*MIN(H$3-$O$2,$Q$2)/$Q$2))</f>
        <v>2078.48234838989</v>
      </c>
      <c r="I358" s="15" t="n">
        <f aca="false">H358*(1+IF(I$3&lt;=$O$2,$D358,$D358-($D358-$I$346)*MIN(I$3-$O$2,$Q$2)/$Q$2))</f>
        <v>2139.88282791996</v>
      </c>
      <c r="J358" s="15" t="n">
        <f aca="false">I358*(1+IF(J$3&lt;=$O$2,$D358,$D358-($D358-$I$346)*MIN(J$3-$O$2,$Q$2)/$Q$2))</f>
        <v>2199.01380887584</v>
      </c>
      <c r="K358" s="15" t="n">
        <f aca="false">J358*(1+IF(K$3&lt;=$O$2,$D358,$D358-($D358-$I$346)*MIN(K$3-$O$2,$Q$2)/$Q$2))</f>
        <v>2255.58258011941</v>
      </c>
      <c r="L358" s="15" t="n">
        <f aca="false">K358*(1+IF(L$3&lt;=$O$2,$D358,$D358-($D358-$I$346)*MIN(L$3-$O$2,$Q$2)/$Q$2))</f>
        <v>2309.30245117795</v>
      </c>
      <c r="M358" s="15" t="n">
        <f aca="false">L358*(1+IF(M$3&lt;=$O$2,$D358,$D358-($D358-$I$346)*MIN(M$3-$O$2,$Q$2)/$Q$2))</f>
        <v>2359.89511835542</v>
      </c>
      <c r="N358" s="15" t="n">
        <f aca="false">M358*(1+IF(N$3&lt;=$O$2,$D358,$D358-($D358-$I$346)*MIN(N$3-$O$2,$Q$2)/$Q$2))</f>
        <v>2407.09302072253</v>
      </c>
      <c r="O358" s="15" t="n">
        <f aca="false">SUMPRODUCT(E358:N358,1/(1+$F$346)^$E$3:$N$3)*$E$2</f>
        <v>5561.25343377964</v>
      </c>
      <c r="P358" s="15" t="n">
        <f aca="false">N358*$E$2*(1+$I$346)/($F$346-$I$346)/(1+$F$346)^$N$3</f>
        <v>10970.9749783972</v>
      </c>
      <c r="Q358" s="15" t="n">
        <f aca="false">O358+P358</f>
        <v>16532.2284121769</v>
      </c>
      <c r="R358" s="15" t="n">
        <f aca="false">Q358-$G$2+$I$2</f>
        <v>14979.5284121769</v>
      </c>
      <c r="S358" s="40" t="n">
        <f aca="false">R358/$K$2</f>
        <v>54.3938720076142</v>
      </c>
      <c r="T358" s="41" t="n">
        <f aca="false">S358-$M$2</f>
        <v>-0.11064885370979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0.029541015625</v>
      </c>
      <c r="C359" s="25" t="n">
        <f aca="false">IF(T358&gt;0,D358,C358)</f>
        <v>0.0302734375</v>
      </c>
      <c r="D359" s="39" t="n">
        <f aca="false">(B359+C359)/2</f>
        <v>0.0299072265625</v>
      </c>
      <c r="E359" s="15" t="n">
        <f aca="false">$C$2*(1+IF(E$3&lt;=$O$2,$D359,$D359-($D359-$I$346)*MIN(E$3-$O$2,$Q$2)/$Q$2))</f>
        <v>1905.32836914063</v>
      </c>
      <c r="F359" s="15" t="n">
        <f aca="false">E359*(1+IF(F$3&lt;=$O$2,$D359,$D359-($D359-$I$346)*MIN(F$3-$O$2,$Q$2)/$Q$2))</f>
        <v>1962.31145635247</v>
      </c>
      <c r="G359" s="15" t="n">
        <f aca="false">F359*(1+IF(G$3&lt;=$O$2,$D359,$D359-($D359-$I$346)*MIN(G$3-$O$2,$Q$2)/$Q$2))</f>
        <v>2020.9987496638</v>
      </c>
      <c r="H359" s="15" t="n">
        <f aca="false">G359*(1+IF(H$3&lt;=$O$2,$D359,$D359-($D359-$I$346)*MIN(H$3-$O$2,$Q$2)/$Q$2))</f>
        <v>2081.44121715252</v>
      </c>
      <c r="I359" s="15" t="n">
        <f aca="false">H359*(1+IF(I$3&lt;=$O$2,$D359,$D359-($D359-$I$346)*MIN(I$3-$O$2,$Q$2)/$Q$2))</f>
        <v>2143.69135121043</v>
      </c>
      <c r="J359" s="15" t="n">
        <f aca="false">I359*(1+IF(J$3&lt;=$O$2,$D359,$D359-($D359-$I$346)*MIN(J$3-$O$2,$Q$2)/$Q$2))</f>
        <v>2203.55560695184</v>
      </c>
      <c r="K359" s="15" t="n">
        <f aca="false">J359*(1+IF(K$3&lt;=$O$2,$D359,$D359-($D359-$I$346)*MIN(K$3-$O$2,$Q$2)/$Q$2))</f>
        <v>2260.72539387557</v>
      </c>
      <c r="L359" s="15" t="n">
        <f aca="false">K359*(1+IF(L$3&lt;=$O$2,$D359,$D359-($D359-$I$346)*MIN(L$3-$O$2,$Q$2)/$Q$2))</f>
        <v>2314.89890922217</v>
      </c>
      <c r="M359" s="15" t="n">
        <f aca="false">L359*(1+IF(M$3&lt;=$O$2,$D359,$D359-($D359-$I$346)*MIN(M$3-$O$2,$Q$2)/$Q$2))</f>
        <v>2365.7837329992</v>
      </c>
      <c r="N359" s="15" t="n">
        <f aca="false">M359*(1+IF(N$3&lt;=$O$2,$D359,$D359-($D359-$I$346)*MIN(N$3-$O$2,$Q$2)/$Q$2))</f>
        <v>2413.09940765918</v>
      </c>
      <c r="O359" s="15" t="n">
        <f aca="false">SUMPRODUCT(E359:N359,1/(1+$F$346)^$E$3:$N$3)*$E$2</f>
        <v>5570.35935662677</v>
      </c>
      <c r="P359" s="15" t="n">
        <f aca="false">N359*$E$2*(1+$I$346)/($F$346-$I$346)/(1+$F$346)^$N$3</f>
        <v>10998.3507051453</v>
      </c>
      <c r="Q359" s="15" t="n">
        <f aca="false">O359+P359</f>
        <v>16568.7100617721</v>
      </c>
      <c r="R359" s="15" t="n">
        <f aca="false">Q359-$G$2+$I$2</f>
        <v>15016.0100617721</v>
      </c>
      <c r="S359" s="40" t="n">
        <f aca="false">R359/$K$2</f>
        <v>54.5263446812597</v>
      </c>
      <c r="T359" s="41" t="n">
        <f aca="false">S359-$M$2</f>
        <v>0.0218238199357472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0.029541015625</v>
      </c>
      <c r="C360" s="25" t="n">
        <f aca="false">IF(T359&gt;0,D359,C359)</f>
        <v>0.0299072265625</v>
      </c>
      <c r="D360" s="39" t="n">
        <f aca="false">(B360+C360)/2</f>
        <v>0.02972412109375</v>
      </c>
      <c r="E360" s="15" t="n">
        <f aca="false">$C$2*(1+IF(E$3&lt;=$O$2,$D360,$D360-($D360-$I$346)*MIN(E$3-$O$2,$Q$2)/$Q$2))</f>
        <v>1904.98962402344</v>
      </c>
      <c r="F360" s="15" t="n">
        <f aca="false">E360*(1+IF(F$3&lt;=$O$2,$D360,$D360-($D360-$I$346)*MIN(F$3-$O$2,$Q$2)/$Q$2))</f>
        <v>1961.61376629025</v>
      </c>
      <c r="G360" s="15" t="n">
        <f aca="false">F360*(1+IF(G$3&lt;=$O$2,$D360,$D360-($D360-$I$346)*MIN(G$3-$O$2,$Q$2)/$Q$2))</f>
        <v>2019.92101141863</v>
      </c>
      <c r="H360" s="15" t="n">
        <f aca="false">G360*(1+IF(H$3&lt;=$O$2,$D360,$D360-($D360-$I$346)*MIN(H$3-$O$2,$Q$2)/$Q$2))</f>
        <v>2079.96138816184</v>
      </c>
      <c r="I360" s="15" t="n">
        <f aca="false">H360*(1+IF(I$3&lt;=$O$2,$D360,$D360-($D360-$I$346)*MIN(I$3-$O$2,$Q$2)/$Q$2))</f>
        <v>2141.78641233389</v>
      </c>
      <c r="J360" s="15" t="n">
        <f aca="false">I360*(1+IF(J$3&lt;=$O$2,$D360,$D360-($D360-$I$346)*MIN(J$3-$O$2,$Q$2)/$Q$2))</f>
        <v>2201.28373292495</v>
      </c>
      <c r="K360" s="15" t="n">
        <f aca="false">J360*(1+IF(K$3&lt;=$O$2,$D360,$D360-($D360-$I$346)*MIN(K$3-$O$2,$Q$2)/$Q$2))</f>
        <v>2258.15273733185</v>
      </c>
      <c r="L360" s="15" t="n">
        <f aca="false">K360*(1+IF(L$3&lt;=$O$2,$D360,$D360-($D360-$I$346)*MIN(L$3-$O$2,$Q$2)/$Q$2))</f>
        <v>2312.09921234489</v>
      </c>
      <c r="M360" s="15" t="n">
        <f aca="false">L360*(1+IF(M$3&lt;=$O$2,$D360,$D360-($D360-$I$346)*MIN(M$3-$O$2,$Q$2)/$Q$2))</f>
        <v>2362.83782313611</v>
      </c>
      <c r="N360" s="15" t="n">
        <f aca="false">M360*(1+IF(N$3&lt;=$O$2,$D360,$D360-($D360-$I$346)*MIN(N$3-$O$2,$Q$2)/$Q$2))</f>
        <v>2410.09457959883</v>
      </c>
      <c r="O360" s="15" t="n">
        <f aca="false">SUMPRODUCT(E360:N360,1/(1+$F$346)^$E$3:$N$3)*$E$2</f>
        <v>5565.80452134557</v>
      </c>
      <c r="P360" s="15" t="n">
        <f aca="false">N360*$E$2*(1+$I$346)/($F$346-$I$346)/(1+$F$346)^$N$3</f>
        <v>10984.6553916777</v>
      </c>
      <c r="Q360" s="15" t="n">
        <f aca="false">O360+P360</f>
        <v>16550.4599130233</v>
      </c>
      <c r="R360" s="15" t="n">
        <f aca="false">Q360-$G$2+$I$2</f>
        <v>14997.7599130233</v>
      </c>
      <c r="S360" s="40" t="n">
        <f aca="false">R360/$K$2</f>
        <v>54.4600744871756</v>
      </c>
      <c r="T360" s="41" t="n">
        <f aca="false">S360-$M$2</f>
        <v>-0.0444463741483503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0.02972412109375</v>
      </c>
      <c r="C361" s="25" t="n">
        <f aca="false">IF(T360&gt;0,D360,C360)</f>
        <v>0.0299072265625</v>
      </c>
      <c r="D361" s="39" t="n">
        <f aca="false">(B361+C361)/2</f>
        <v>0.029815673828125</v>
      </c>
      <c r="E361" s="15" t="n">
        <f aca="false">$C$2*(1+IF(E$3&lt;=$O$2,$D361,$D361-($D361-$I$346)*MIN(E$3-$O$2,$Q$2)/$Q$2))</f>
        <v>1905.15899658203</v>
      </c>
      <c r="F361" s="15" t="n">
        <f aca="false">E361*(1+IF(F$3&lt;=$O$2,$D361,$D361-($D361-$I$346)*MIN(F$3-$O$2,$Q$2)/$Q$2))</f>
        <v>1961.96259581484</v>
      </c>
      <c r="G361" s="15" t="n">
        <f aca="false">F361*(1+IF(G$3&lt;=$O$2,$D361,$D361-($D361-$I$346)*MIN(G$3-$O$2,$Q$2)/$Q$2))</f>
        <v>2020.45983263464</v>
      </c>
      <c r="H361" s="15" t="n">
        <f aca="false">G361*(1+IF(H$3&lt;=$O$2,$D361,$D361-($D361-$I$346)*MIN(H$3-$O$2,$Q$2)/$Q$2))</f>
        <v>2080.7012039873</v>
      </c>
      <c r="I361" s="15" t="n">
        <f aca="false">H361*(1+IF(I$3&lt;=$O$2,$D361,$D361-($D361-$I$346)*MIN(I$3-$O$2,$Q$2)/$Q$2))</f>
        <v>2142.73871241917</v>
      </c>
      <c r="J361" s="15" t="n">
        <f aca="false">I361*(1+IF(J$3&lt;=$O$2,$D361,$D361-($D361-$I$346)*MIN(J$3-$O$2,$Q$2)/$Q$2))</f>
        <v>2202.41942610756</v>
      </c>
      <c r="K361" s="15" t="n">
        <f aca="false">J361*(1+IF(K$3&lt;=$O$2,$D361,$D361-($D361-$I$346)*MIN(K$3-$O$2,$Q$2)/$Q$2))</f>
        <v>2259.43875306135</v>
      </c>
      <c r="L361" s="15" t="n">
        <f aca="false">K361*(1+IF(L$3&lt;=$O$2,$D361,$D361-($D361-$I$346)*MIN(L$3-$O$2,$Q$2)/$Q$2))</f>
        <v>2313.49869365644</v>
      </c>
      <c r="M361" s="15" t="n">
        <f aca="false">L361*(1+IF(M$3&lt;=$O$2,$D361,$D361-($D361-$I$346)*MIN(M$3-$O$2,$Q$2)/$Q$2))</f>
        <v>2364.31037724532</v>
      </c>
      <c r="N361" s="15" t="n">
        <f aca="false">M361*(1+IF(N$3&lt;=$O$2,$D361,$D361-($D361-$I$346)*MIN(N$3-$O$2,$Q$2)/$Q$2))</f>
        <v>2411.59658479022</v>
      </c>
      <c r="O361" s="15" t="n">
        <f aca="false">SUMPRODUCT(E361:N361,1/(1+$F$346)^$E$3:$N$3)*$E$2</f>
        <v>5568.08147034168</v>
      </c>
      <c r="P361" s="15" t="n">
        <f aca="false">N361*$E$2*(1+$I$346)/($F$346-$I$346)/(1+$F$346)^$N$3</f>
        <v>10991.5011850186</v>
      </c>
      <c r="Q361" s="15" t="n">
        <f aca="false">O361+P361</f>
        <v>16559.5826553603</v>
      </c>
      <c r="R361" s="15" t="n">
        <f aca="false">Q361-$G$2+$I$2</f>
        <v>15006.8826553603</v>
      </c>
      <c r="S361" s="40" t="n">
        <f aca="false">R361/$K$2</f>
        <v>54.493201116091</v>
      </c>
      <c r="T361" s="41" t="n">
        <f aca="false">S361-$M$2</f>
        <v>-0.0113197452329032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0.029815673828125</v>
      </c>
      <c r="C362" s="25" t="n">
        <f aca="false">IF(T361&gt;0,D361,C361)</f>
        <v>0.0299072265625</v>
      </c>
      <c r="D362" s="39" t="n">
        <f aca="false">(B362+C362)/2</f>
        <v>0.0298614501953125</v>
      </c>
      <c r="E362" s="15" t="n">
        <f aca="false">$C$2*(1+IF(E$3&lt;=$O$2,$D362,$D362-($D362-$I$346)*MIN(E$3-$O$2,$Q$2)/$Q$2))</f>
        <v>1905.24368286133</v>
      </c>
      <c r="F362" s="15" t="n">
        <f aca="false">E362*(1+IF(F$3&lt;=$O$2,$D362,$D362-($D362-$I$346)*MIN(F$3-$O$2,$Q$2)/$Q$2))</f>
        <v>1962.13702220703</v>
      </c>
      <c r="G362" s="15" t="n">
        <f aca="false">F362*(1+IF(G$3&lt;=$O$2,$D362,$D362-($D362-$I$346)*MIN(G$3-$O$2,$Q$2)/$Q$2))</f>
        <v>2020.72927917204</v>
      </c>
      <c r="H362" s="15" t="n">
        <f aca="false">G362*(1+IF(H$3&lt;=$O$2,$D362,$D362-($D362-$I$346)*MIN(H$3-$O$2,$Q$2)/$Q$2))</f>
        <v>2081.07118590025</v>
      </c>
      <c r="I362" s="15" t="n">
        <f aca="false">H362*(1+IF(I$3&lt;=$O$2,$D362,$D362-($D362-$I$346)*MIN(I$3-$O$2,$Q$2)/$Q$2))</f>
        <v>2143.21498947091</v>
      </c>
      <c r="J362" s="15" t="n">
        <f aca="false">I362*(1+IF(J$3&lt;=$O$2,$D362,$D362-($D362-$I$346)*MIN(J$3-$O$2,$Q$2)/$Q$2))</f>
        <v>2202.98745556154</v>
      </c>
      <c r="K362" s="15" t="n">
        <f aca="false">J362*(1+IF(K$3&lt;=$O$2,$D362,$D362-($D362-$I$346)*MIN(K$3-$O$2,$Q$2)/$Q$2))</f>
        <v>2260.08199531712</v>
      </c>
      <c r="L362" s="15" t="n">
        <f aca="false">K362*(1+IF(L$3&lt;=$O$2,$D362,$D362-($D362-$I$346)*MIN(L$3-$O$2,$Q$2)/$Q$2))</f>
        <v>2314.19870963712</v>
      </c>
      <c r="M362" s="15" t="n">
        <f aca="false">L362*(1+IF(M$3&lt;=$O$2,$D362,$D362-($D362-$I$346)*MIN(M$3-$O$2,$Q$2)/$Q$2))</f>
        <v>2365.04695489329</v>
      </c>
      <c r="N362" s="15" t="n">
        <f aca="false">M362*(1+IF(N$3&lt;=$O$2,$D362,$D362-($D362-$I$346)*MIN(N$3-$O$2,$Q$2)/$Q$2))</f>
        <v>2412.34789399115</v>
      </c>
      <c r="O362" s="15" t="n">
        <f aca="false">SUMPRODUCT(E362:N362,1/(1+$F$346)^$E$3:$N$3)*$E$2</f>
        <v>5569.22029630059</v>
      </c>
      <c r="P362" s="15" t="n">
        <f aca="false">N362*$E$2*(1+$I$346)/($F$346-$I$346)/(1+$F$346)^$N$3</f>
        <v>10994.925479125</v>
      </c>
      <c r="Q362" s="15" t="n">
        <f aca="false">O362+P362</f>
        <v>16564.1457754256</v>
      </c>
      <c r="R362" s="15" t="n">
        <f aca="false">Q362-$G$2+$I$2</f>
        <v>15011.4457754256</v>
      </c>
      <c r="S362" s="40" t="n">
        <f aca="false">R362/$K$2</f>
        <v>54.5097707811671</v>
      </c>
      <c r="T362" s="41" t="n">
        <f aca="false">S362-$M$2</f>
        <v>0.00524991984320167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0.029815673828125</v>
      </c>
      <c r="C363" s="25" t="n">
        <f aca="false">IF(T362&gt;0,D362,C362)</f>
        <v>0.0298614501953125</v>
      </c>
      <c r="D363" s="39" t="n">
        <f aca="false">(B363+C363)/2</f>
        <v>0.0298385620117188</v>
      </c>
      <c r="E363" s="15" t="n">
        <f aca="false">$C$2*(1+IF(E$3&lt;=$O$2,$D363,$D363-($D363-$I$346)*MIN(E$3-$O$2,$Q$2)/$Q$2))</f>
        <v>1905.20133972168</v>
      </c>
      <c r="F363" s="15" t="n">
        <f aca="false">E363*(1+IF(F$3&lt;=$O$2,$D363,$D363-($D363-$I$346)*MIN(F$3-$O$2,$Q$2)/$Q$2))</f>
        <v>1962.04980804177</v>
      </c>
      <c r="G363" s="15" t="n">
        <f aca="false">F363*(1+IF(G$3&lt;=$O$2,$D363,$D363-($D363-$I$346)*MIN(G$3-$O$2,$Q$2)/$Q$2))</f>
        <v>2020.59455290911</v>
      </c>
      <c r="H363" s="15" t="n">
        <f aca="false">G363*(1+IF(H$3&lt;=$O$2,$D363,$D363-($D363-$I$346)*MIN(H$3-$O$2,$Q$2)/$Q$2))</f>
        <v>2080.88618877663</v>
      </c>
      <c r="I363" s="15" t="n">
        <f aca="false">H363*(1+IF(I$3&lt;=$O$2,$D363,$D363-($D363-$I$346)*MIN(I$3-$O$2,$Q$2)/$Q$2))</f>
        <v>2142.97684035977</v>
      </c>
      <c r="J363" s="15" t="n">
        <f aca="false">I363*(1+IF(J$3&lt;=$O$2,$D363,$D363-($D363-$I$346)*MIN(J$3-$O$2,$Q$2)/$Q$2))</f>
        <v>2202.70342559381</v>
      </c>
      <c r="K363" s="15" t="n">
        <f aca="false">J363*(1+IF(K$3&lt;=$O$2,$D363,$D363-($D363-$I$346)*MIN(K$3-$O$2,$Q$2)/$Q$2))</f>
        <v>2259.76035465337</v>
      </c>
      <c r="L363" s="15" t="n">
        <f aca="false">K363*(1+IF(L$3&lt;=$O$2,$D363,$D363-($D363-$I$346)*MIN(L$3-$O$2,$Q$2)/$Q$2))</f>
        <v>2313.84867869879</v>
      </c>
      <c r="M363" s="15" t="n">
        <f aca="false">L363*(1+IF(M$3&lt;=$O$2,$D363,$D363-($D363-$I$346)*MIN(M$3-$O$2,$Q$2)/$Q$2))</f>
        <v>2364.67864101498</v>
      </c>
      <c r="N363" s="15" t="n">
        <f aca="false">M363*(1+IF(N$3&lt;=$O$2,$D363,$D363-($D363-$I$346)*MIN(N$3-$O$2,$Q$2)/$Q$2))</f>
        <v>2411.97221383528</v>
      </c>
      <c r="O363" s="15" t="n">
        <f aca="false">SUMPRODUCT(E363:N363,1/(1+$F$346)^$E$3:$N$3)*$E$2</f>
        <v>5568.65085402804</v>
      </c>
      <c r="P363" s="15" t="n">
        <f aca="false">N363*$E$2*(1+$I$346)/($F$346-$I$346)/(1+$F$346)^$N$3</f>
        <v>10993.2132155962</v>
      </c>
      <c r="Q363" s="15" t="n">
        <f aca="false">O363+P363</f>
        <v>16561.8640696242</v>
      </c>
      <c r="R363" s="15" t="n">
        <f aca="false">Q363-$G$2+$I$2</f>
        <v>15009.1640696242</v>
      </c>
      <c r="S363" s="40" t="n">
        <f aca="false">R363/$K$2</f>
        <v>54.5014854193116</v>
      </c>
      <c r="T363" s="41" t="n">
        <f aca="false">S363-$M$2</f>
        <v>-0.00303544201232597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0.0298385620117188</v>
      </c>
      <c r="C364" s="25" t="n">
        <f aca="false">IF(T363&gt;0,D363,C363)</f>
        <v>0.0298614501953125</v>
      </c>
      <c r="D364" s="39" t="n">
        <f aca="false">(B364+C364)/2</f>
        <v>0.0298500061035156</v>
      </c>
      <c r="E364" s="15" t="n">
        <f aca="false">$C$2*(1+IF(E$3&lt;=$O$2,$D364,$D364-($D364-$I$346)*MIN(E$3-$O$2,$Q$2)/$Q$2))</f>
        <v>1905.2225112915</v>
      </c>
      <c r="F364" s="15" t="n">
        <f aca="false">E364*(1+IF(F$3&lt;=$O$2,$D364,$D364-($D364-$I$346)*MIN(F$3-$O$2,$Q$2)/$Q$2))</f>
        <v>1962.09341488211</v>
      </c>
      <c r="G364" s="15" t="n">
        <f aca="false">F364*(1+IF(G$3&lt;=$O$2,$D364,$D364-($D364-$I$346)*MIN(G$3-$O$2,$Q$2)/$Q$2))</f>
        <v>2020.66191529201</v>
      </c>
      <c r="H364" s="15" t="n">
        <f aca="false">G364*(1+IF(H$3&lt;=$O$2,$D364,$D364-($D364-$I$346)*MIN(H$3-$O$2,$Q$2)/$Q$2))</f>
        <v>2080.97868579662</v>
      </c>
      <c r="I364" s="15" t="n">
        <f aca="false">H364*(1+IF(I$3&lt;=$O$2,$D364,$D364-($D364-$I$346)*MIN(I$3-$O$2,$Q$2)/$Q$2))</f>
        <v>2143.09591226893</v>
      </c>
      <c r="J364" s="15" t="n">
        <f aca="false">I364*(1+IF(J$3&lt;=$O$2,$D364,$D364-($D364-$I$346)*MIN(J$3-$O$2,$Q$2)/$Q$2))</f>
        <v>2202.84543676733</v>
      </c>
      <c r="K364" s="15" t="n">
        <f aca="false">J364*(1+IF(K$3&lt;=$O$2,$D364,$D364-($D364-$I$346)*MIN(K$3-$O$2,$Q$2)/$Q$2))</f>
        <v>2259.92117010103</v>
      </c>
      <c r="L364" s="15" t="n">
        <f aca="false">K364*(1+IF(L$3&lt;=$O$2,$D364,$D364-($D364-$I$346)*MIN(L$3-$O$2,$Q$2)/$Q$2))</f>
        <v>2314.02368843063</v>
      </c>
      <c r="M364" s="15" t="n">
        <f aca="false">L364*(1+IF(M$3&lt;=$O$2,$D364,$D364-($D364-$I$346)*MIN(M$3-$O$2,$Q$2)/$Q$2))</f>
        <v>2364.86279169019</v>
      </c>
      <c r="N364" s="15" t="n">
        <f aca="false">M364*(1+IF(N$3&lt;=$O$2,$D364,$D364-($D364-$I$346)*MIN(N$3-$O$2,$Q$2)/$Q$2))</f>
        <v>2412.16004752399</v>
      </c>
      <c r="O364" s="15" t="n">
        <f aca="false">SUMPRODUCT(E364:N364,1/(1+$F$346)^$E$3:$N$3)*$E$2</f>
        <v>5568.93556784069</v>
      </c>
      <c r="P364" s="15" t="n">
        <f aca="false">N364*$E$2*(1+$I$346)/($F$346-$I$346)/(1+$F$346)^$N$3</f>
        <v>10994.06931824</v>
      </c>
      <c r="Q364" s="15" t="n">
        <f aca="false">O364+P364</f>
        <v>16563.0048860807</v>
      </c>
      <c r="R364" s="15" t="n">
        <f aca="false">Q364-$G$2+$I$2</f>
        <v>15010.3048860807</v>
      </c>
      <c r="S364" s="40" t="n">
        <f aca="false">R364/$K$2</f>
        <v>54.5056279679026</v>
      </c>
      <c r="T364" s="41" t="n">
        <f aca="false">S364-$M$2</f>
        <v>0.00110710657860835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0.0298385620117188</v>
      </c>
      <c r="C365" s="25" t="n">
        <f aca="false">IF(T364&gt;0,D364,C364)</f>
        <v>0.0298500061035156</v>
      </c>
      <c r="D365" s="39" t="n">
        <f aca="false">(B365+C365)/2</f>
        <v>0.0298442840576172</v>
      </c>
      <c r="E365" s="15" t="n">
        <f aca="false">$C$2*(1+IF(E$3&lt;=$O$2,$D365,$D365-($D365-$I$346)*MIN(E$3-$O$2,$Q$2)/$Q$2))</f>
        <v>1905.21192550659</v>
      </c>
      <c r="F365" s="15" t="n">
        <f aca="false">E365*(1+IF(F$3&lt;=$O$2,$D365,$D365-($D365-$I$346)*MIN(F$3-$O$2,$Q$2)/$Q$2))</f>
        <v>1962.07161140137</v>
      </c>
      <c r="G365" s="15" t="n">
        <f aca="false">F365*(1+IF(G$3&lt;=$O$2,$D365,$D365-($D365-$I$346)*MIN(G$3-$O$2,$Q$2)/$Q$2))</f>
        <v>2020.62823391342</v>
      </c>
      <c r="H365" s="15" t="n">
        <f aca="false">G365*(1+IF(H$3&lt;=$O$2,$D365,$D365-($D365-$I$346)*MIN(H$3-$O$2,$Q$2)/$Q$2))</f>
        <v>2080.93243690117</v>
      </c>
      <c r="I365" s="15" t="n">
        <f aca="false">H365*(1+IF(I$3&lt;=$O$2,$D365,$D365-($D365-$I$346)*MIN(I$3-$O$2,$Q$2)/$Q$2))</f>
        <v>2143.03637565276</v>
      </c>
      <c r="J365" s="15" t="n">
        <f aca="false">I365*(1+IF(J$3&lt;=$O$2,$D365,$D365-($D365-$I$346)*MIN(J$3-$O$2,$Q$2)/$Q$2))</f>
        <v>2202.774430228</v>
      </c>
      <c r="K365" s="15" t="n">
        <f aca="false">J365*(1+IF(K$3&lt;=$O$2,$D365,$D365-($D365-$I$346)*MIN(K$3-$O$2,$Q$2)/$Q$2))</f>
        <v>2259.84076115617</v>
      </c>
      <c r="L365" s="15" t="n">
        <f aca="false">K365*(1+IF(L$3&lt;=$O$2,$D365,$D365-($D365-$I$346)*MIN(L$3-$O$2,$Q$2)/$Q$2))</f>
        <v>2313.93618213042</v>
      </c>
      <c r="M365" s="15" t="n">
        <f aca="false">L365*(1+IF(M$3&lt;=$O$2,$D365,$D365-($D365-$I$346)*MIN(M$3-$O$2,$Q$2)/$Q$2))</f>
        <v>2364.77071478665</v>
      </c>
      <c r="N365" s="15" t="n">
        <f aca="false">M365*(1+IF(N$3&lt;=$O$2,$D365,$D365-($D365-$I$346)*MIN(N$3-$O$2,$Q$2)/$Q$2))</f>
        <v>2412.06612908238</v>
      </c>
      <c r="O365" s="15" t="n">
        <f aca="false">SUMPRODUCT(E365:N365,1/(1+$F$346)^$E$3:$N$3)*$E$2</f>
        <v>5568.7932091035</v>
      </c>
      <c r="P365" s="15" t="n">
        <f aca="false">N365*$E$2*(1+$I$346)/($F$346-$I$346)/(1+$F$346)^$N$3</f>
        <v>10993.6412596381</v>
      </c>
      <c r="Q365" s="15" t="n">
        <f aca="false">O365+P365</f>
        <v>16562.4344687416</v>
      </c>
      <c r="R365" s="15" t="n">
        <f aca="false">Q365-$G$2+$I$2</f>
        <v>15009.7344687416</v>
      </c>
      <c r="S365" s="40" t="n">
        <f aca="false">R365/$K$2</f>
        <v>54.5035566605238</v>
      </c>
      <c r="T365" s="41" t="n">
        <f aca="false">S365-$M$2</f>
        <v>-0.000964200800154913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0.0298442840576172</v>
      </c>
      <c r="C366" s="25" t="n">
        <f aca="false">IF(T365&gt;0,D365,C365)</f>
        <v>0.0298500061035156</v>
      </c>
      <c r="D366" s="39" t="n">
        <f aca="false">(B366+C366)/2</f>
        <v>0.0298471450805664</v>
      </c>
      <c r="E366" s="15" t="n">
        <f aca="false">$C$2*(1+IF(E$3&lt;=$O$2,$D366,$D366-($D366-$I$346)*MIN(E$3-$O$2,$Q$2)/$Q$2))</f>
        <v>1905.21721839905</v>
      </c>
      <c r="F366" s="15" t="n">
        <f aca="false">E366*(1+IF(F$3&lt;=$O$2,$D366,$D366-($D366-$I$346)*MIN(F$3-$O$2,$Q$2)/$Q$2))</f>
        <v>1962.0825131266</v>
      </c>
      <c r="G366" s="15" t="n">
        <f aca="false">F366*(1+IF(G$3&lt;=$O$2,$D366,$D366-($D366-$I$346)*MIN(G$3-$O$2,$Q$2)/$Q$2))</f>
        <v>2020.64507455593</v>
      </c>
      <c r="H366" s="15" t="n">
        <f aca="false">G366*(1+IF(H$3&lt;=$O$2,$D366,$D366-($D366-$I$346)*MIN(H$3-$O$2,$Q$2)/$Q$2))</f>
        <v>2080.95556125253</v>
      </c>
      <c r="I366" s="15" t="n">
        <f aca="false">H366*(1+IF(I$3&lt;=$O$2,$D366,$D366-($D366-$I$346)*MIN(I$3-$O$2,$Q$2)/$Q$2))</f>
        <v>2143.06614379545</v>
      </c>
      <c r="J366" s="15" t="n">
        <f aca="false">I366*(1+IF(J$3&lt;=$O$2,$D366,$D366-($D366-$I$346)*MIN(J$3-$O$2,$Q$2)/$Q$2))</f>
        <v>2202.80993325952</v>
      </c>
      <c r="K366" s="15" t="n">
        <f aca="false">J366*(1+IF(K$3&lt;=$O$2,$D366,$D366-($D366-$I$346)*MIN(K$3-$O$2,$Q$2)/$Q$2))</f>
        <v>2259.88096532334</v>
      </c>
      <c r="L366" s="15" t="n">
        <f aca="false">K366*(1+IF(L$3&lt;=$O$2,$D366,$D366-($D366-$I$346)*MIN(L$3-$O$2,$Q$2)/$Q$2))</f>
        <v>2313.97993492195</v>
      </c>
      <c r="M366" s="15" t="n">
        <f aca="false">L366*(1+IF(M$3&lt;=$O$2,$D366,$D366-($D366-$I$346)*MIN(M$3-$O$2,$Q$2)/$Q$2))</f>
        <v>2364.81675284693</v>
      </c>
      <c r="N366" s="15" t="n">
        <f aca="false">M366*(1+IF(N$3&lt;=$O$2,$D366,$D366-($D366-$I$346)*MIN(N$3-$O$2,$Q$2)/$Q$2))</f>
        <v>2412.11308790386</v>
      </c>
      <c r="O366" s="15" t="n">
        <f aca="false">SUMPRODUCT(E366:N366,1/(1+$F$346)^$E$3:$N$3)*$E$2</f>
        <v>5568.86438801437</v>
      </c>
      <c r="P366" s="15" t="n">
        <f aca="false">N366*$E$2*(1+$I$346)/($F$346-$I$346)/(1+$F$346)^$N$3</f>
        <v>10993.8552871191</v>
      </c>
      <c r="Q366" s="15" t="n">
        <f aca="false">O366+P366</f>
        <v>16562.7196751334</v>
      </c>
      <c r="R366" s="15" t="n">
        <f aca="false">Q366-$G$2+$I$2</f>
        <v>15010.0196751334</v>
      </c>
      <c r="S366" s="40" t="n">
        <f aca="false">R366/$K$2</f>
        <v>54.5045923059422</v>
      </c>
      <c r="T366" s="41" t="n">
        <f aca="false">S366-$M$2</f>
        <v>7.14446182925599E-005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0.0298442840576172</v>
      </c>
      <c r="C367" s="25" t="n">
        <f aca="false">IF(T366&gt;0,D366,C366)</f>
        <v>0.0298471450805664</v>
      </c>
      <c r="D367" s="39" t="n">
        <f aca="false">(B367+C367)/2</f>
        <v>0.0298457145690918</v>
      </c>
      <c r="E367" s="15" t="n">
        <f aca="false">$C$2*(1+IF(E$3&lt;=$O$2,$D367,$D367-($D367-$I$346)*MIN(E$3-$O$2,$Q$2)/$Q$2))</f>
        <v>1905.21457195282</v>
      </c>
      <c r="F367" s="15" t="n">
        <f aca="false">E367*(1+IF(F$3&lt;=$O$2,$D367,$D367-($D367-$I$346)*MIN(F$3-$O$2,$Q$2)/$Q$2))</f>
        <v>1962.0770622602</v>
      </c>
      <c r="G367" s="15" t="n">
        <f aca="false">F367*(1+IF(G$3&lt;=$O$2,$D367,$D367-($D367-$I$346)*MIN(G$3-$O$2,$Q$2)/$Q$2))</f>
        <v>2020.63665422298</v>
      </c>
      <c r="H367" s="15" t="n">
        <f aca="false">G367*(1+IF(H$3&lt;=$O$2,$D367,$D367-($D367-$I$346)*MIN(H$3-$O$2,$Q$2)/$Q$2))</f>
        <v>2080.94399905276</v>
      </c>
      <c r="I367" s="15" t="n">
        <f aca="false">H367*(1+IF(I$3&lt;=$O$2,$D367,$D367-($D367-$I$346)*MIN(I$3-$O$2,$Q$2)/$Q$2))</f>
        <v>2143.05125968276</v>
      </c>
      <c r="J367" s="15" t="n">
        <f aca="false">I367*(1+IF(J$3&lt;=$O$2,$D367,$D367-($D367-$I$346)*MIN(J$3-$O$2,$Q$2)/$Q$2))</f>
        <v>2202.79218168423</v>
      </c>
      <c r="K367" s="15" t="n">
        <f aca="false">J367*(1+IF(K$3&lt;=$O$2,$D367,$D367-($D367-$I$346)*MIN(K$3-$O$2,$Q$2)/$Q$2))</f>
        <v>2259.86086316344</v>
      </c>
      <c r="L367" s="15" t="n">
        <f aca="false">K367*(1+IF(L$3&lt;=$O$2,$D367,$D367-($D367-$I$346)*MIN(L$3-$O$2,$Q$2)/$Q$2))</f>
        <v>2313.95805843654</v>
      </c>
      <c r="M367" s="15" t="n">
        <f aca="false">L367*(1+IF(M$3&lt;=$O$2,$D367,$D367-($D367-$I$346)*MIN(M$3-$O$2,$Q$2)/$Q$2))</f>
        <v>2364.79373371891</v>
      </c>
      <c r="N367" s="15" t="n">
        <f aca="false">M367*(1+IF(N$3&lt;=$O$2,$D367,$D367-($D367-$I$346)*MIN(N$3-$O$2,$Q$2)/$Q$2))</f>
        <v>2412.08960839329</v>
      </c>
      <c r="O367" s="15" t="n">
        <f aca="false">SUMPRODUCT(E367:N367,1/(1+$F$346)^$E$3:$N$3)*$E$2</f>
        <v>5568.82879844451</v>
      </c>
      <c r="P367" s="15" t="n">
        <f aca="false">N367*$E$2*(1+$I$346)/($F$346-$I$346)/(1+$F$346)^$N$3</f>
        <v>10993.7482729236</v>
      </c>
      <c r="Q367" s="15" t="n">
        <f aca="false">O367+P367</f>
        <v>16562.5770713681</v>
      </c>
      <c r="R367" s="15" t="n">
        <f aca="false">Q367-$G$2+$I$2</f>
        <v>15009.8770713681</v>
      </c>
      <c r="S367" s="40" t="n">
        <f aca="false">R367/$K$2</f>
        <v>54.5040744811653</v>
      </c>
      <c r="T367" s="41" t="n">
        <f aca="false">S367-$M$2</f>
        <v>-0.000446380158635407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0.0298457145690918</v>
      </c>
      <c r="C368" s="25" t="n">
        <f aca="false">IF(T367&gt;0,D367,C367)</f>
        <v>0.0298471450805664</v>
      </c>
      <c r="D368" s="39" t="n">
        <f aca="false">(B368+C368)/2</f>
        <v>0.0298464298248291</v>
      </c>
      <c r="E368" s="15" t="n">
        <f aca="false">$C$2*(1+IF(E$3&lt;=$O$2,$D368,$D368-($D368-$I$346)*MIN(E$3-$O$2,$Q$2)/$Q$2))</f>
        <v>1905.21589517593</v>
      </c>
      <c r="F368" s="15" t="n">
        <f aca="false">E368*(1+IF(F$3&lt;=$O$2,$D368,$D368-($D368-$I$346)*MIN(F$3-$O$2,$Q$2)/$Q$2))</f>
        <v>1962.07978769245</v>
      </c>
      <c r="G368" s="15" t="n">
        <f aca="false">F368*(1+IF(G$3&lt;=$O$2,$D368,$D368-($D368-$I$346)*MIN(G$3-$O$2,$Q$2)/$Q$2))</f>
        <v>2020.64086438653</v>
      </c>
      <c r="H368" s="15" t="n">
        <f aca="false">G368*(1+IF(H$3&lt;=$O$2,$D368,$D368-($D368-$I$346)*MIN(H$3-$O$2,$Q$2)/$Q$2))</f>
        <v>2080.94978014662</v>
      </c>
      <c r="I368" s="15" t="n">
        <f aca="false">H368*(1+IF(I$3&lt;=$O$2,$D368,$D368-($D368-$I$346)*MIN(I$3-$O$2,$Q$2)/$Q$2))</f>
        <v>2143.05870172876</v>
      </c>
      <c r="J368" s="15" t="n">
        <f aca="false">I368*(1+IF(J$3&lt;=$O$2,$D368,$D368-($D368-$I$346)*MIN(J$3-$O$2,$Q$2)/$Q$2))</f>
        <v>2202.80105745699</v>
      </c>
      <c r="K368" s="15" t="n">
        <f aca="false">J368*(1+IF(K$3&lt;=$O$2,$D368,$D368-($D368-$I$346)*MIN(K$3-$O$2,$Q$2)/$Q$2))</f>
        <v>2259.87091422431</v>
      </c>
      <c r="L368" s="15" t="n">
        <f aca="false">K368*(1+IF(L$3&lt;=$O$2,$D368,$D368-($D368-$I$346)*MIN(L$3-$O$2,$Q$2)/$Q$2))</f>
        <v>2313.96899665683</v>
      </c>
      <c r="M368" s="15" t="n">
        <f aca="false">L368*(1+IF(M$3&lt;=$O$2,$D368,$D368-($D368-$I$346)*MIN(M$3-$O$2,$Q$2)/$Q$2))</f>
        <v>2364.80524325845</v>
      </c>
      <c r="N368" s="15" t="n">
        <f aca="false">M368*(1+IF(N$3&lt;=$O$2,$D368,$D368-($D368-$I$346)*MIN(N$3-$O$2,$Q$2)/$Q$2))</f>
        <v>2412.10134812362</v>
      </c>
      <c r="O368" s="15" t="n">
        <f aca="false">SUMPRODUCT(E368:N368,1/(1+$F$346)^$E$3:$N$3)*$E$2</f>
        <v>5568.84659320083</v>
      </c>
      <c r="P368" s="15" t="n">
        <f aca="false">N368*$E$2*(1+$I$346)/($F$346-$I$346)/(1+$F$346)^$N$3</f>
        <v>10993.8017799076</v>
      </c>
      <c r="Q368" s="15" t="n">
        <f aca="false">O368+P368</f>
        <v>16562.6483731084</v>
      </c>
      <c r="R368" s="15" t="n">
        <f aca="false">Q368-$G$2+$I$2</f>
        <v>15009.9483731084</v>
      </c>
      <c r="S368" s="40" t="n">
        <f aca="false">R368/$K$2</f>
        <v>54.5043333930368</v>
      </c>
      <c r="T368" s="41" t="n">
        <f aca="false">S368-$M$2</f>
        <v>-0.000187468287101922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0.0298464298248291</v>
      </c>
      <c r="C369" s="25" t="n">
        <f aca="false">IF(T368&gt;0,D368,C368)</f>
        <v>0.0298471450805664</v>
      </c>
      <c r="D369" s="39" t="n">
        <f aca="false">(B369+C369)/2</f>
        <v>0.0298467874526978</v>
      </c>
      <c r="E369" s="15" t="n">
        <f aca="false">$C$2*(1+IF(E$3&lt;=$O$2,$D369,$D369-($D369-$I$346)*MIN(E$3-$O$2,$Q$2)/$Q$2))</f>
        <v>1905.21655678749</v>
      </c>
      <c r="F369" s="15" t="n">
        <f aca="false">E369*(1+IF(F$3&lt;=$O$2,$D369,$D369-($D369-$I$346)*MIN(F$3-$O$2,$Q$2)/$Q$2))</f>
        <v>1962.08115040929</v>
      </c>
      <c r="G369" s="15" t="n">
        <f aca="false">F369*(1+IF(G$3&lt;=$O$2,$D369,$D369-($D369-$I$346)*MIN(G$3-$O$2,$Q$2)/$Q$2))</f>
        <v>2020.6429694705</v>
      </c>
      <c r="H369" s="15" t="n">
        <f aca="false">G369*(1+IF(H$3&lt;=$O$2,$D369,$D369-($D369-$I$346)*MIN(H$3-$O$2,$Q$2)/$Q$2))</f>
        <v>2080.95267069807</v>
      </c>
      <c r="I369" s="15" t="n">
        <f aca="false">H369*(1+IF(I$3&lt;=$O$2,$D369,$D369-($D369-$I$346)*MIN(I$3-$O$2,$Q$2)/$Q$2))</f>
        <v>2143.06242275952</v>
      </c>
      <c r="J369" s="15" t="n">
        <f aca="false">I369*(1+IF(J$3&lt;=$O$2,$D369,$D369-($D369-$I$346)*MIN(J$3-$O$2,$Q$2)/$Q$2))</f>
        <v>2202.80549535453</v>
      </c>
      <c r="K369" s="15" t="n">
        <f aca="false">J369*(1+IF(K$3&lt;=$O$2,$D369,$D369-($D369-$I$346)*MIN(K$3-$O$2,$Q$2)/$Q$2))</f>
        <v>2259.87593976906</v>
      </c>
      <c r="L369" s="15" t="n">
        <f aca="false">K369*(1+IF(L$3&lt;=$O$2,$D369,$D369-($D369-$I$346)*MIN(L$3-$O$2,$Q$2)/$Q$2))</f>
        <v>2313.97446578379</v>
      </c>
      <c r="M369" s="15" t="n">
        <f aca="false">L369*(1+IF(M$3&lt;=$O$2,$D369,$D369-($D369-$I$346)*MIN(M$3-$O$2,$Q$2)/$Q$2))</f>
        <v>2364.81099804657</v>
      </c>
      <c r="N369" s="15" t="n">
        <f aca="false">M369*(1+IF(N$3&lt;=$O$2,$D369,$D369-($D369-$I$346)*MIN(N$3-$O$2,$Q$2)/$Q$2))</f>
        <v>2412.1072180075</v>
      </c>
      <c r="O369" s="15" t="n">
        <f aca="false">SUMPRODUCT(E369:N369,1/(1+$F$346)^$E$3:$N$3)*$E$2</f>
        <v>5568.85549060045</v>
      </c>
      <c r="P369" s="15" t="n">
        <f aca="false">N369*$E$2*(1+$I$346)/($F$346-$I$346)/(1+$F$346)^$N$3</f>
        <v>10993.8285334849</v>
      </c>
      <c r="Q369" s="15" t="n">
        <f aca="false">O369+P369</f>
        <v>16562.6840240853</v>
      </c>
      <c r="R369" s="15" t="n">
        <f aca="false">Q369-$G$2+$I$2</f>
        <v>15009.9840240853</v>
      </c>
      <c r="S369" s="40" t="n">
        <f aca="false">R369/$K$2</f>
        <v>54.5044628493603</v>
      </c>
      <c r="T369" s="41" t="n">
        <f aca="false">S369-$M$2</f>
        <v>-5.80119636310883E-005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0.0298467874526978</v>
      </c>
      <c r="C370" s="25" t="n">
        <f aca="false">IF(T369&gt;0,D369,C369)</f>
        <v>0.0298471450805664</v>
      </c>
      <c r="D370" s="39" t="n">
        <f aca="false">(B370+C370)/2</f>
        <v>0.0298469662666321</v>
      </c>
      <c r="E370" s="15" t="n">
        <f aca="false">$C$2*(1+IF(E$3&lt;=$O$2,$D370,$D370-($D370-$I$346)*MIN(E$3-$O$2,$Q$2)/$Q$2))</f>
        <v>1905.21688759327</v>
      </c>
      <c r="F370" s="15" t="n">
        <f aca="false">E370*(1+IF(F$3&lt;=$O$2,$D370,$D370-($D370-$I$346)*MIN(F$3-$O$2,$Q$2)/$Q$2))</f>
        <v>1962.08183176788</v>
      </c>
      <c r="G370" s="15" t="n">
        <f aca="false">F370*(1+IF(G$3&lt;=$O$2,$D370,$D370-($D370-$I$346)*MIN(G$3-$O$2,$Q$2)/$Q$2))</f>
        <v>2020.64402201303</v>
      </c>
      <c r="H370" s="15" t="n">
        <f aca="false">G370*(1+IF(H$3&lt;=$O$2,$D370,$D370-($D370-$I$346)*MIN(H$3-$O$2,$Q$2)/$Q$2))</f>
        <v>2080.95411597493</v>
      </c>
      <c r="I370" s="15" t="n">
        <f aca="false">H370*(1+IF(I$3&lt;=$O$2,$D370,$D370-($D370-$I$346)*MIN(I$3-$O$2,$Q$2)/$Q$2))</f>
        <v>2143.06428327684</v>
      </c>
      <c r="J370" s="15" t="n">
        <f aca="false">I370*(1+IF(J$3&lt;=$O$2,$D370,$D370-($D370-$I$346)*MIN(J$3-$O$2,$Q$2)/$Q$2))</f>
        <v>2202.8077143061</v>
      </c>
      <c r="K370" s="15" t="n">
        <f aca="false">J370*(1+IF(K$3&lt;=$O$2,$D370,$D370-($D370-$I$346)*MIN(K$3-$O$2,$Q$2)/$Q$2))</f>
        <v>2259.87845254501</v>
      </c>
      <c r="L370" s="15" t="n">
        <f aca="false">K370*(1+IF(L$3&lt;=$O$2,$D370,$D370-($D370-$I$346)*MIN(L$3-$O$2,$Q$2)/$Q$2))</f>
        <v>2313.97720035147</v>
      </c>
      <c r="M370" s="15" t="n">
        <f aca="false">L370*(1+IF(M$3&lt;=$O$2,$D370,$D370-($D370-$I$346)*MIN(M$3-$O$2,$Q$2)/$Q$2))</f>
        <v>2364.81387544522</v>
      </c>
      <c r="N370" s="15" t="n">
        <f aca="false">M370*(1+IF(N$3&lt;=$O$2,$D370,$D370-($D370-$I$346)*MIN(N$3-$O$2,$Q$2)/$Q$2))</f>
        <v>2412.11015295413</v>
      </c>
      <c r="O370" s="15" t="n">
        <f aca="false">SUMPRODUCT(E370:N370,1/(1+$F$346)^$E$3:$N$3)*$E$2</f>
        <v>5568.85993930563</v>
      </c>
      <c r="P370" s="15" t="n">
        <f aca="false">N370*$E$2*(1+$I$346)/($F$346-$I$346)/(1+$F$346)^$N$3</f>
        <v>10993.8419102949</v>
      </c>
      <c r="Q370" s="15" t="n">
        <f aca="false">O370+P370</f>
        <v>16562.7018496005</v>
      </c>
      <c r="R370" s="15" t="n">
        <f aca="false">Q370-$G$2+$I$2</f>
        <v>15010.0018496005</v>
      </c>
      <c r="S370" s="40" t="n">
        <f aca="false">R370/$K$2</f>
        <v>54.504527577619</v>
      </c>
      <c r="T370" s="41" t="n">
        <f aca="false">S370-$M$2</f>
        <v>6.71629503301574E-006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0.0298467874526978</v>
      </c>
      <c r="C371" s="25" t="n">
        <f aca="false">IF(T370&gt;0,D370,C370)</f>
        <v>0.0298469662666321</v>
      </c>
      <c r="D371" s="39" t="n">
        <f aca="false">(B371+C371)/2</f>
        <v>0.0298468768596649</v>
      </c>
      <c r="E371" s="15" t="n">
        <f aca="false">$C$2*(1+IF(E$3&lt;=$O$2,$D371,$D371-($D371-$I$346)*MIN(E$3-$O$2,$Q$2)/$Q$2))</f>
        <v>1905.21672219038</v>
      </c>
      <c r="F371" s="15" t="n">
        <f aca="false">E371*(1+IF(F$3&lt;=$O$2,$D371,$D371-($D371-$I$346)*MIN(F$3-$O$2,$Q$2)/$Q$2))</f>
        <v>1962.08149108857</v>
      </c>
      <c r="G371" s="15" t="n">
        <f aca="false">F371*(1+IF(G$3&lt;=$O$2,$D371,$D371-($D371-$I$346)*MIN(G$3-$O$2,$Q$2)/$Q$2))</f>
        <v>2020.64349574172</v>
      </c>
      <c r="H371" s="15" t="n">
        <f aca="false">G371*(1+IF(H$3&lt;=$O$2,$D371,$D371-($D371-$I$346)*MIN(H$3-$O$2,$Q$2)/$Q$2))</f>
        <v>2080.95339333641</v>
      </c>
      <c r="I371" s="15" t="n">
        <f aca="false">H371*(1+IF(I$3&lt;=$O$2,$D371,$D371-($D371-$I$346)*MIN(I$3-$O$2,$Q$2)/$Q$2))</f>
        <v>2143.06335301802</v>
      </c>
      <c r="J371" s="15" t="n">
        <f aca="false">I371*(1+IF(J$3&lt;=$O$2,$D371,$D371-($D371-$I$346)*MIN(J$3-$O$2,$Q$2)/$Q$2))</f>
        <v>2202.80660483008</v>
      </c>
      <c r="K371" s="15" t="n">
        <f aca="false">J371*(1+IF(K$3&lt;=$O$2,$D371,$D371-($D371-$I$346)*MIN(K$3-$O$2,$Q$2)/$Q$2))</f>
        <v>2259.87719615674</v>
      </c>
      <c r="L371" s="15" t="n">
        <f aca="false">K371*(1+IF(L$3&lt;=$O$2,$D371,$D371-($D371-$I$346)*MIN(L$3-$O$2,$Q$2)/$Q$2))</f>
        <v>2313.97583306728</v>
      </c>
      <c r="M371" s="15" t="n">
        <f aca="false">L371*(1+IF(M$3&lt;=$O$2,$D371,$D371-($D371-$I$346)*MIN(M$3-$O$2,$Q$2)/$Q$2))</f>
        <v>2364.81243674551</v>
      </c>
      <c r="N371" s="15" t="n">
        <f aca="false">M371*(1+IF(N$3&lt;=$O$2,$D371,$D371-($D371-$I$346)*MIN(N$3-$O$2,$Q$2)/$Q$2))</f>
        <v>2412.10868548042</v>
      </c>
      <c r="O371" s="15" t="n">
        <f aca="false">SUMPRODUCT(E371:N371,1/(1+$F$346)^$E$3:$N$3)*$E$2</f>
        <v>5568.85771495259</v>
      </c>
      <c r="P371" s="15" t="n">
        <f aca="false">N371*$E$2*(1+$I$346)/($F$346-$I$346)/(1+$F$346)^$N$3</f>
        <v>10993.8352218881</v>
      </c>
      <c r="Q371" s="15" t="n">
        <f aca="false">O371+P371</f>
        <v>16562.6929368407</v>
      </c>
      <c r="R371" s="15" t="n">
        <f aca="false">Q371-$G$2+$I$2</f>
        <v>15009.9929368407</v>
      </c>
      <c r="S371" s="40" t="n">
        <f aca="false">R371/$K$2</f>
        <v>54.5044952134816</v>
      </c>
      <c r="T371" s="41" t="n">
        <f aca="false">S371-$M$2</f>
        <v>-2.56478423708018E-005</v>
      </c>
    </row>
    <row r="373" customFormat="false" ht="15" hidden="false" customHeight="false" outlineLevel="0" collapsed="false">
      <c r="A373" s="36" t="s">
        <v>188</v>
      </c>
      <c r="E373" s="5" t="s">
        <v>11</v>
      </c>
      <c r="F373" s="12" t="n">
        <f aca="false">Sensitivity!$B$12</f>
        <v>0.0635093056415221</v>
      </c>
      <c r="G373" s="5" t="s">
        <v>12</v>
      </c>
      <c r="I373" s="12" t="n">
        <f aca="false">Sensitivity!$E$9</f>
        <v>0.025</v>
      </c>
    </row>
    <row r="374" customFormat="false" ht="23.85" hidden="false" customHeight="false" outlineLevel="0" collapsed="false">
      <c r="A374" s="36" t="s">
        <v>156</v>
      </c>
      <c r="B374" s="28" t="s">
        <v>157</v>
      </c>
      <c r="C374" s="28" t="s">
        <v>158</v>
      </c>
      <c r="D374" s="28" t="s">
        <v>159</v>
      </c>
      <c r="E374" s="28" t="s">
        <v>160</v>
      </c>
      <c r="F374" s="28" t="s">
        <v>161</v>
      </c>
      <c r="G374" s="28" t="s">
        <v>162</v>
      </c>
      <c r="H374" s="28" t="s">
        <v>163</v>
      </c>
      <c r="I374" s="28" t="s">
        <v>164</v>
      </c>
      <c r="J374" s="28" t="s">
        <v>165</v>
      </c>
      <c r="K374" s="28" t="s">
        <v>166</v>
      </c>
      <c r="L374" s="28" t="s">
        <v>167</v>
      </c>
      <c r="M374" s="28" t="s">
        <v>168</v>
      </c>
      <c r="N374" s="28" t="s">
        <v>169</v>
      </c>
      <c r="O374" s="28" t="s">
        <v>170</v>
      </c>
      <c r="P374" s="28" t="s">
        <v>171</v>
      </c>
      <c r="Q374" s="28" t="s">
        <v>172</v>
      </c>
      <c r="R374" s="28" t="s">
        <v>173</v>
      </c>
      <c r="S374" s="28" t="s">
        <v>174</v>
      </c>
      <c r="T374" s="28" t="s">
        <v>175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39" t="n">
        <f aca="false">(B375+C375)/2</f>
        <v>0.25</v>
      </c>
      <c r="E375" s="15" t="n">
        <f aca="false">$C$2*(1+IF(E$3&lt;=$O$2,$D375,$D375-($D375-$I$373)*MIN(E$3-$O$2,$Q$2)/$Q$2))</f>
        <v>2312.5</v>
      </c>
      <c r="F375" s="15" t="n">
        <f aca="false">E375*(1+IF(F$3&lt;=$O$2,$D375,$D375-($D375-$I$373)*MIN(F$3-$O$2,$Q$2)/$Q$2))</f>
        <v>2890.625</v>
      </c>
      <c r="G375" s="15" t="n">
        <f aca="false">F375*(1+IF(G$3&lt;=$O$2,$D375,$D375-($D375-$I$373)*MIN(G$3-$O$2,$Q$2)/$Q$2))</f>
        <v>3613.28125</v>
      </c>
      <c r="H375" s="15" t="n">
        <f aca="false">G375*(1+IF(H$3&lt;=$O$2,$D375,$D375-($D375-$I$373)*MIN(H$3-$O$2,$Q$2)/$Q$2))</f>
        <v>4516.6015625</v>
      </c>
      <c r="I375" s="15" t="n">
        <f aca="false">H375*(1+IF(I$3&lt;=$O$2,$D375,$D375-($D375-$I$373)*MIN(I$3-$O$2,$Q$2)/$Q$2))</f>
        <v>5645.751953125</v>
      </c>
      <c r="J375" s="15" t="n">
        <f aca="false">I375*(1+IF(J$3&lt;=$O$2,$D375,$D375-($D375-$I$373)*MIN(J$3-$O$2,$Q$2)/$Q$2))</f>
        <v>6803.13110351563</v>
      </c>
      <c r="K375" s="15" t="n">
        <f aca="false">J375*(1+IF(K$3&lt;=$O$2,$D375,$D375-($D375-$I$373)*MIN(K$3-$O$2,$Q$2)/$Q$2))</f>
        <v>7891.63208007812</v>
      </c>
      <c r="L375" s="15" t="n">
        <f aca="false">K375*(1+IF(L$3&lt;=$O$2,$D375,$D375-($D375-$I$373)*MIN(L$3-$O$2,$Q$2)/$Q$2))</f>
        <v>8799.16976928711</v>
      </c>
      <c r="M375" s="15" t="n">
        <f aca="false">L375*(1+IF(M$3&lt;=$O$2,$D375,$D375-($D375-$I$373)*MIN(M$3-$O$2,$Q$2)/$Q$2))</f>
        <v>9415.11165313721</v>
      </c>
      <c r="N375" s="15" t="n">
        <f aca="false">M375*(1+IF(N$3&lt;=$O$2,$D375,$D375-($D375-$I$373)*MIN(N$3-$O$2,$Q$2)/$Q$2))</f>
        <v>9650.48944446564</v>
      </c>
      <c r="O375" s="15" t="n">
        <f aca="false">SUMPRODUCT(E375:N375,1/(1+$F$373)^$E$3:$N$3)*$E$2</f>
        <v>14842.5432310948</v>
      </c>
      <c r="P375" s="15" t="n">
        <f aca="false">N375*$E$2*(1+$I$373)/($F$373-$I$373)/(1+$F$373)^$N$3</f>
        <v>49939.2308423353</v>
      </c>
      <c r="Q375" s="15" t="n">
        <f aca="false">O375+P375</f>
        <v>64781.7740734301</v>
      </c>
      <c r="R375" s="15" t="n">
        <f aca="false">Q375-$G$2+$I$2</f>
        <v>63229.0740734301</v>
      </c>
      <c r="S375" s="40" t="n">
        <f aca="false">R375/$K$2</f>
        <v>229.598293596101</v>
      </c>
      <c r="T375" s="41" t="n">
        <f aca="false">S375-$M$2</f>
        <v>175.093772734777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39" t="n">
        <f aca="false">(B376+C376)/2</f>
        <v>-0.125</v>
      </c>
      <c r="E376" s="15" t="n">
        <f aca="false">$C$2*(1+IF(E$3&lt;=$O$2,$D376,$D376-($D376-$I$373)*MIN(E$3-$O$2,$Q$2)/$Q$2))</f>
        <v>1618.75</v>
      </c>
      <c r="F376" s="15" t="n">
        <f aca="false">E376*(1+IF(F$3&lt;=$O$2,$D376,$D376-($D376-$I$373)*MIN(F$3-$O$2,$Q$2)/$Q$2))</f>
        <v>1416.40625</v>
      </c>
      <c r="G376" s="15" t="n">
        <f aca="false">F376*(1+IF(G$3&lt;=$O$2,$D376,$D376-($D376-$I$373)*MIN(G$3-$O$2,$Q$2)/$Q$2))</f>
        <v>1239.35546875</v>
      </c>
      <c r="H376" s="15" t="n">
        <f aca="false">G376*(1+IF(H$3&lt;=$O$2,$D376,$D376-($D376-$I$373)*MIN(H$3-$O$2,$Q$2)/$Q$2))</f>
        <v>1084.43603515625</v>
      </c>
      <c r="I376" s="15" t="n">
        <f aca="false">H376*(1+IF(I$3&lt;=$O$2,$D376,$D376-($D376-$I$373)*MIN(I$3-$O$2,$Q$2)/$Q$2))</f>
        <v>948.881530761719</v>
      </c>
      <c r="J376" s="15" t="n">
        <f aca="false">I376*(1+IF(J$3&lt;=$O$2,$D376,$D376-($D376-$I$373)*MIN(J$3-$O$2,$Q$2)/$Q$2))</f>
        <v>858.737785339356</v>
      </c>
      <c r="K376" s="15" t="n">
        <f aca="false">J376*(1+IF(K$3&lt;=$O$2,$D376,$D376-($D376-$I$373)*MIN(K$3-$O$2,$Q$2)/$Q$2))</f>
        <v>802.919829292297</v>
      </c>
      <c r="L376" s="15" t="n">
        <f aca="false">K376*(1+IF(L$3&lt;=$O$2,$D376,$D376-($D376-$I$373)*MIN(L$3-$O$2,$Q$2)/$Q$2))</f>
        <v>774.817635267067</v>
      </c>
      <c r="M376" s="15" t="n">
        <f aca="false">L376*(1+IF(M$3&lt;=$O$2,$D376,$D376-($D376-$I$373)*MIN(M$3-$O$2,$Q$2)/$Q$2))</f>
        <v>770.943547090732</v>
      </c>
      <c r="N376" s="15" t="n">
        <f aca="false">M376*(1+IF(N$3&lt;=$O$2,$D376,$D376-($D376-$I$373)*MIN(N$3-$O$2,$Q$2)/$Q$2))</f>
        <v>790.217135768</v>
      </c>
      <c r="O376" s="15" t="n">
        <f aca="false">SUMPRODUCT(E376:N376,1/(1+$F$373)^$E$3:$N$3)*$E$2</f>
        <v>2810.01490181603</v>
      </c>
      <c r="P376" s="15" t="n">
        <f aca="false">N376*$E$2*(1+$I$373)/($F$373-$I$373)/(1+$F$373)^$N$3</f>
        <v>4089.20564970084</v>
      </c>
      <c r="Q376" s="15" t="n">
        <f aca="false">O376+P376</f>
        <v>6899.22055151687</v>
      </c>
      <c r="R376" s="15" t="n">
        <f aca="false">Q376-$G$2+$I$2</f>
        <v>5346.52055151687</v>
      </c>
      <c r="S376" s="40" t="n">
        <f aca="false">R376/$K$2</f>
        <v>19.4143598224949</v>
      </c>
      <c r="T376" s="41" t="n">
        <f aca="false">S376-$M$2</f>
        <v>-35.090161038829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39" t="n">
        <f aca="false">(B377+C377)/2</f>
        <v>0.0625</v>
      </c>
      <c r="E377" s="15" t="n">
        <f aca="false">$C$2*(1+IF(E$3&lt;=$O$2,$D377,$D377-($D377-$I$373)*MIN(E$3-$O$2,$Q$2)/$Q$2))</f>
        <v>1965.625</v>
      </c>
      <c r="F377" s="15" t="n">
        <f aca="false">E377*(1+IF(F$3&lt;=$O$2,$D377,$D377-($D377-$I$373)*MIN(F$3-$O$2,$Q$2)/$Q$2))</f>
        <v>2088.4765625</v>
      </c>
      <c r="G377" s="15" t="n">
        <f aca="false">F377*(1+IF(G$3&lt;=$O$2,$D377,$D377-($D377-$I$373)*MIN(G$3-$O$2,$Q$2)/$Q$2))</f>
        <v>2219.00634765625</v>
      </c>
      <c r="H377" s="15" t="n">
        <f aca="false">G377*(1+IF(H$3&lt;=$O$2,$D377,$D377-($D377-$I$373)*MIN(H$3-$O$2,$Q$2)/$Q$2))</f>
        <v>2357.69424438477</v>
      </c>
      <c r="I377" s="15" t="n">
        <f aca="false">H377*(1+IF(I$3&lt;=$O$2,$D377,$D377-($D377-$I$373)*MIN(I$3-$O$2,$Q$2)/$Q$2))</f>
        <v>2505.05013465881</v>
      </c>
      <c r="J377" s="15" t="n">
        <f aca="false">I377*(1+IF(J$3&lt;=$O$2,$D377,$D377-($D377-$I$373)*MIN(J$3-$O$2,$Q$2)/$Q$2))</f>
        <v>2642.82789206505</v>
      </c>
      <c r="K377" s="15" t="n">
        <f aca="false">J377*(1+IF(K$3&lt;=$O$2,$D377,$D377-($D377-$I$373)*MIN(K$3-$O$2,$Q$2)/$Q$2))</f>
        <v>2768.36221693814</v>
      </c>
      <c r="L377" s="15" t="n">
        <f aca="false">K377*(1+IF(L$3&lt;=$O$2,$D377,$D377-($D377-$I$373)*MIN(L$3-$O$2,$Q$2)/$Q$2))</f>
        <v>2879.09670561566</v>
      </c>
      <c r="M377" s="15" t="n">
        <f aca="false">L377*(1+IF(M$3&lt;=$O$2,$D377,$D377-($D377-$I$373)*MIN(M$3-$O$2,$Q$2)/$Q$2))</f>
        <v>2972.66734854817</v>
      </c>
      <c r="N377" s="15" t="n">
        <f aca="false">M377*(1+IF(N$3&lt;=$O$2,$D377,$D377-($D377-$I$373)*MIN(N$3-$O$2,$Q$2)/$Q$2))</f>
        <v>3046.98403226188</v>
      </c>
      <c r="O377" s="15" t="n">
        <f aca="false">SUMPRODUCT(E377:N377,1/(1+$F$373)^$E$3:$N$3)*$E$2</f>
        <v>6464.19276191976</v>
      </c>
      <c r="P377" s="15" t="n">
        <f aca="false">N377*$E$2*(1+$I$373)/($F$373-$I$373)/(1+$F$373)^$N$3</f>
        <v>15767.4944712052</v>
      </c>
      <c r="Q377" s="15" t="n">
        <f aca="false">O377+P377</f>
        <v>22231.6872331249</v>
      </c>
      <c r="R377" s="15" t="n">
        <f aca="false">Q377-$G$2+$I$2</f>
        <v>20678.9872331249</v>
      </c>
      <c r="S377" s="40" t="n">
        <f aca="false">R377/$K$2</f>
        <v>75.0898261851372</v>
      </c>
      <c r="T377" s="41" t="n">
        <f aca="false">S377-$M$2</f>
        <v>20.5853053238132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39" t="n">
        <f aca="false">(B378+C378)/2</f>
        <v>-0.03125</v>
      </c>
      <c r="E378" s="15" t="n">
        <f aca="false">$C$2*(1+IF(E$3&lt;=$O$2,$D378,$D378-($D378-$I$373)*MIN(E$3-$O$2,$Q$2)/$Q$2))</f>
        <v>1792.1875</v>
      </c>
      <c r="F378" s="15" t="n">
        <f aca="false">E378*(1+IF(F$3&lt;=$O$2,$D378,$D378-($D378-$I$373)*MIN(F$3-$O$2,$Q$2)/$Q$2))</f>
        <v>1736.181640625</v>
      </c>
      <c r="G378" s="15" t="n">
        <f aca="false">F378*(1+IF(G$3&lt;=$O$2,$D378,$D378-($D378-$I$373)*MIN(G$3-$O$2,$Q$2)/$Q$2))</f>
        <v>1681.92596435547</v>
      </c>
      <c r="H378" s="15" t="n">
        <f aca="false">G378*(1+IF(H$3&lt;=$O$2,$D378,$D378-($D378-$I$373)*MIN(H$3-$O$2,$Q$2)/$Q$2))</f>
        <v>1629.36577796936</v>
      </c>
      <c r="I378" s="15" t="n">
        <f aca="false">H378*(1+IF(I$3&lt;=$O$2,$D378,$D378-($D378-$I$373)*MIN(I$3-$O$2,$Q$2)/$Q$2))</f>
        <v>1578.44809740782</v>
      </c>
      <c r="J378" s="15" t="n">
        <f aca="false">I378*(1+IF(J$3&lt;=$O$2,$D378,$D378-($D378-$I$373)*MIN(J$3-$O$2,$Q$2)/$Q$2))</f>
        <v>1546.87913545966</v>
      </c>
      <c r="K378" s="15" t="n">
        <f aca="false">J378*(1+IF(K$3&lt;=$O$2,$D378,$D378-($D378-$I$373)*MIN(K$3-$O$2,$Q$2)/$Q$2))</f>
        <v>1533.34394302439</v>
      </c>
      <c r="L378" s="15" t="n">
        <f aca="false">K378*(1+IF(L$3&lt;=$O$2,$D378,$D378-($D378-$I$373)*MIN(L$3-$O$2,$Q$2)/$Q$2))</f>
        <v>1537.17730288195</v>
      </c>
      <c r="M378" s="15" t="n">
        <f aca="false">L378*(1+IF(M$3&lt;=$O$2,$D378,$D378-($D378-$I$373)*MIN(M$3-$O$2,$Q$2)/$Q$2))</f>
        <v>1558.31349079658</v>
      </c>
      <c r="N378" s="15" t="n">
        <f aca="false">M378*(1+IF(N$3&lt;=$O$2,$D378,$D378-($D378-$I$373)*MIN(N$3-$O$2,$Q$2)/$Q$2))</f>
        <v>1597.27132806649</v>
      </c>
      <c r="O378" s="15" t="n">
        <f aca="false">SUMPRODUCT(E378:N378,1/(1+$F$373)^$E$3:$N$3)*$E$2</f>
        <v>4251.98454987756</v>
      </c>
      <c r="P378" s="15" t="n">
        <f aca="false">N378*$E$2*(1+$I$373)/($F$373-$I$373)/(1+$F$373)^$N$3</f>
        <v>8265.5394867978</v>
      </c>
      <c r="Q378" s="15" t="n">
        <f aca="false">O378+P378</f>
        <v>12517.5240366754</v>
      </c>
      <c r="R378" s="15" t="n">
        <f aca="false">Q378-$G$2+$I$2</f>
        <v>10964.8240366754</v>
      </c>
      <c r="S378" s="40" t="n">
        <f aca="false">R378/$K$2</f>
        <v>39.8156216154376</v>
      </c>
      <c r="T378" s="41" t="n">
        <f aca="false">S378-$M$2</f>
        <v>-14.6888992458863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39" t="n">
        <f aca="false">(B379+C379)/2</f>
        <v>0.015625</v>
      </c>
      <c r="E379" s="15" t="n">
        <f aca="false">$C$2*(1+IF(E$3&lt;=$O$2,$D379,$D379-($D379-$I$373)*MIN(E$3-$O$2,$Q$2)/$Q$2))</f>
        <v>1878.90625</v>
      </c>
      <c r="F379" s="15" t="n">
        <f aca="false">E379*(1+IF(F$3&lt;=$O$2,$D379,$D379-($D379-$I$373)*MIN(F$3-$O$2,$Q$2)/$Q$2))</f>
        <v>1908.26416015625</v>
      </c>
      <c r="G379" s="15" t="n">
        <f aca="false">F379*(1+IF(G$3&lt;=$O$2,$D379,$D379-($D379-$I$373)*MIN(G$3-$O$2,$Q$2)/$Q$2))</f>
        <v>1938.08078765869</v>
      </c>
      <c r="H379" s="15" t="n">
        <f aca="false">G379*(1+IF(H$3&lt;=$O$2,$D379,$D379-($D379-$I$373)*MIN(H$3-$O$2,$Q$2)/$Q$2))</f>
        <v>1968.36329996586</v>
      </c>
      <c r="I379" s="15" t="n">
        <f aca="false">H379*(1+IF(I$3&lt;=$O$2,$D379,$D379-($D379-$I$373)*MIN(I$3-$O$2,$Q$2)/$Q$2))</f>
        <v>1999.11897652783</v>
      </c>
      <c r="J379" s="15" t="n">
        <f aca="false">I379*(1+IF(J$3&lt;=$O$2,$D379,$D379-($D379-$I$373)*MIN(J$3-$O$2,$Q$2)/$Q$2))</f>
        <v>2034.10355861706</v>
      </c>
      <c r="K379" s="15" t="n">
        <f aca="false">J379*(1+IF(K$3&lt;=$O$2,$D379,$D379-($D379-$I$373)*MIN(K$3-$O$2,$Q$2)/$Q$2))</f>
        <v>2073.51431506527</v>
      </c>
      <c r="L379" s="15" t="n">
        <f aca="false">K379*(1+IF(L$3&lt;=$O$2,$D379,$D379-($D379-$I$373)*MIN(L$3-$O$2,$Q$2)/$Q$2))</f>
        <v>2117.5764942604</v>
      </c>
      <c r="M379" s="15" t="n">
        <f aca="false">L379*(1+IF(M$3&lt;=$O$2,$D379,$D379-($D379-$I$373)*MIN(M$3-$O$2,$Q$2)/$Q$2))</f>
        <v>2166.54545069018</v>
      </c>
      <c r="N379" s="15" t="n">
        <f aca="false">M379*(1+IF(N$3&lt;=$O$2,$D379,$D379-($D379-$I$373)*MIN(N$3-$O$2,$Q$2)/$Q$2))</f>
        <v>2220.70908695743</v>
      </c>
      <c r="O379" s="15" t="n">
        <f aca="false">SUMPRODUCT(E379:N379,1/(1+$F$373)^$E$3:$N$3)*$E$2</f>
        <v>5241.44871298624</v>
      </c>
      <c r="P379" s="15" t="n">
        <f aca="false">N379*$E$2*(1+$I$373)/($F$373-$I$373)/(1+$F$373)^$N$3</f>
        <v>11491.6973243091</v>
      </c>
      <c r="Q379" s="15" t="n">
        <f aca="false">O379+P379</f>
        <v>16733.1460372953</v>
      </c>
      <c r="R379" s="15" t="n">
        <f aca="false">Q379-$G$2+$I$2</f>
        <v>15180.4460372953</v>
      </c>
      <c r="S379" s="40" t="n">
        <f aca="false">R379/$K$2</f>
        <v>55.1234468836753</v>
      </c>
      <c r="T379" s="41" t="n">
        <f aca="false">S379-$M$2</f>
        <v>0.618926022351317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-0.03125</v>
      </c>
      <c r="C380" s="25" t="n">
        <f aca="false">IF(T379&gt;0,D379,C379)</f>
        <v>0.015625</v>
      </c>
      <c r="D380" s="39" t="n">
        <f aca="false">(B380+C380)/2</f>
        <v>-0.0078125</v>
      </c>
      <c r="E380" s="15" t="n">
        <f aca="false">$C$2*(1+IF(E$3&lt;=$O$2,$D380,$D380-($D380-$I$373)*MIN(E$3-$O$2,$Q$2)/$Q$2))</f>
        <v>1835.546875</v>
      </c>
      <c r="F380" s="15" t="n">
        <f aca="false">E380*(1+IF(F$3&lt;=$O$2,$D380,$D380-($D380-$I$373)*MIN(F$3-$O$2,$Q$2)/$Q$2))</f>
        <v>1821.20666503906</v>
      </c>
      <c r="G380" s="15" t="n">
        <f aca="false">F380*(1+IF(G$3&lt;=$O$2,$D380,$D380-($D380-$I$373)*MIN(G$3-$O$2,$Q$2)/$Q$2))</f>
        <v>1806.97848796844</v>
      </c>
      <c r="H380" s="15" t="n">
        <f aca="false">G380*(1+IF(H$3&lt;=$O$2,$D380,$D380-($D380-$I$373)*MIN(H$3-$O$2,$Q$2)/$Q$2))</f>
        <v>1792.86146853119</v>
      </c>
      <c r="I380" s="15" t="n">
        <f aca="false">H380*(1+IF(I$3&lt;=$O$2,$D380,$D380-($D380-$I$373)*MIN(I$3-$O$2,$Q$2)/$Q$2))</f>
        <v>1778.85473830829</v>
      </c>
      <c r="J380" s="15" t="n">
        <f aca="false">I380*(1+IF(J$3&lt;=$O$2,$D380,$D380-($D380-$I$373)*MIN(J$3-$O$2,$Q$2)/$Q$2))</f>
        <v>1776.63116988541</v>
      </c>
      <c r="K380" s="15" t="n">
        <f aca="false">J380*(1+IF(K$3&lt;=$O$2,$D380,$D380-($D380-$I$373)*MIN(K$3-$O$2,$Q$2)/$Q$2))</f>
        <v>1786.06952297542</v>
      </c>
      <c r="L380" s="15" t="n">
        <f aca="false">K380*(1+IF(L$3&lt;=$O$2,$D380,$D380-($D380-$I$373)*MIN(L$3-$O$2,$Q$2)/$Q$2))</f>
        <v>1807.27909856076</v>
      </c>
      <c r="M380" s="15" t="n">
        <f aca="false">L380*(1+IF(M$3&lt;=$O$2,$D380,$D380-($D380-$I$373)*MIN(M$3-$O$2,$Q$2)/$Q$2))</f>
        <v>1840.60080694047</v>
      </c>
      <c r="N380" s="15" t="n">
        <f aca="false">M380*(1+IF(N$3&lt;=$O$2,$D380,$D380-($D380-$I$373)*MIN(N$3-$O$2,$Q$2)/$Q$2))</f>
        <v>1886.61582711398</v>
      </c>
      <c r="O380" s="15" t="n">
        <f aca="false">SUMPRODUCT(E380:N380,1/(1+$F$373)^$E$3:$N$3)*$E$2</f>
        <v>4720.3836296543</v>
      </c>
      <c r="P380" s="15" t="n">
        <f aca="false">N380*$E$2*(1+$I$373)/($F$373-$I$373)/(1+$F$373)^$N$3</f>
        <v>9762.83574457248</v>
      </c>
      <c r="Q380" s="15" t="n">
        <f aca="false">O380+P380</f>
        <v>14483.2193742268</v>
      </c>
      <c r="R380" s="15" t="n">
        <f aca="false">Q380-$G$2+$I$2</f>
        <v>12930.5193742268</v>
      </c>
      <c r="S380" s="40" t="n">
        <f aca="false">R380/$K$2</f>
        <v>46.9534818774348</v>
      </c>
      <c r="T380" s="41" t="n">
        <f aca="false">S380-$M$2</f>
        <v>-7.55103898388911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-0.0078125</v>
      </c>
      <c r="C381" s="25" t="n">
        <f aca="false">IF(T380&gt;0,D380,C380)</f>
        <v>0.015625</v>
      </c>
      <c r="D381" s="39" t="n">
        <f aca="false">(B381+C381)/2</f>
        <v>0.00390625</v>
      </c>
      <c r="E381" s="15" t="n">
        <f aca="false">$C$2*(1+IF(E$3&lt;=$O$2,$D381,$D381-($D381-$I$373)*MIN(E$3-$O$2,$Q$2)/$Q$2))</f>
        <v>1857.2265625</v>
      </c>
      <c r="F381" s="15" t="n">
        <f aca="false">E381*(1+IF(F$3&lt;=$O$2,$D381,$D381-($D381-$I$373)*MIN(F$3-$O$2,$Q$2)/$Q$2))</f>
        <v>1864.48135375977</v>
      </c>
      <c r="G381" s="15" t="n">
        <f aca="false">F381*(1+IF(G$3&lt;=$O$2,$D381,$D381-($D381-$I$373)*MIN(G$3-$O$2,$Q$2)/$Q$2))</f>
        <v>1871.76448404789</v>
      </c>
      <c r="H381" s="15" t="n">
        <f aca="false">G381*(1+IF(H$3&lt;=$O$2,$D381,$D381-($D381-$I$373)*MIN(H$3-$O$2,$Q$2)/$Q$2))</f>
        <v>1879.0760640637</v>
      </c>
      <c r="I381" s="15" t="n">
        <f aca="false">H381*(1+IF(I$3&lt;=$O$2,$D381,$D381-($D381-$I$373)*MIN(I$3-$O$2,$Q$2)/$Q$2))</f>
        <v>1886.41620493895</v>
      </c>
      <c r="J381" s="15" t="n">
        <f aca="false">I381*(1+IF(J$3&lt;=$O$2,$D381,$D381-($D381-$I$373)*MIN(J$3-$O$2,$Q$2)/$Q$2))</f>
        <v>1901.74333660408</v>
      </c>
      <c r="K381" s="15" t="n">
        <f aca="false">J381*(1+IF(K$3&lt;=$O$2,$D381,$D381-($D381-$I$373)*MIN(K$3-$O$2,$Q$2)/$Q$2))</f>
        <v>1925.21798091529</v>
      </c>
      <c r="L381" s="15" t="n">
        <f aca="false">K381*(1+IF(L$3&lt;=$O$2,$D381,$D381-($D381-$I$373)*MIN(L$3-$O$2,$Q$2)/$Q$2))</f>
        <v>1957.1044037242</v>
      </c>
      <c r="M381" s="15" t="n">
        <f aca="false">L381*(1+IF(M$3&lt;=$O$2,$D381,$D381-($D381-$I$373)*MIN(M$3-$O$2,$Q$2)/$Q$2))</f>
        <v>1997.77547961409</v>
      </c>
      <c r="N381" s="15" t="n">
        <f aca="false">M381*(1+IF(N$3&lt;=$O$2,$D381,$D381-($D381-$I$373)*MIN(N$3-$O$2,$Q$2)/$Q$2))</f>
        <v>2047.71986660444</v>
      </c>
      <c r="O381" s="15" t="n">
        <f aca="false">SUMPRODUCT(E381:N381,1/(1+$F$373)^$E$3:$N$3)*$E$2</f>
        <v>4973.99859084629</v>
      </c>
      <c r="P381" s="15" t="n">
        <f aca="false">N381*$E$2*(1+$I$373)/($F$373-$I$373)/(1+$F$373)^$N$3</f>
        <v>10596.5148925623</v>
      </c>
      <c r="Q381" s="15" t="n">
        <f aca="false">O381+P381</f>
        <v>15570.5134834086</v>
      </c>
      <c r="R381" s="15" t="n">
        <f aca="false">Q381-$G$2+$I$2</f>
        <v>14017.8134834086</v>
      </c>
      <c r="S381" s="40" t="n">
        <f aca="false">R381/$K$2</f>
        <v>50.9016793761886</v>
      </c>
      <c r="T381" s="41" t="n">
        <f aca="false">S381-$M$2</f>
        <v>-3.60284148513534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0.00390625</v>
      </c>
      <c r="C382" s="25" t="n">
        <f aca="false">IF(T381&gt;0,D381,C381)</f>
        <v>0.015625</v>
      </c>
      <c r="D382" s="39" t="n">
        <f aca="false">(B382+C382)/2</f>
        <v>0.009765625</v>
      </c>
      <c r="E382" s="15" t="n">
        <f aca="false">$C$2*(1+IF(E$3&lt;=$O$2,$D382,$D382-($D382-$I$373)*MIN(E$3-$O$2,$Q$2)/$Q$2))</f>
        <v>1868.06640625</v>
      </c>
      <c r="F382" s="15" t="n">
        <f aca="false">E382*(1+IF(F$3&lt;=$O$2,$D382,$D382-($D382-$I$373)*MIN(F$3-$O$2,$Q$2)/$Q$2))</f>
        <v>1886.30924224854</v>
      </c>
      <c r="G382" s="15" t="n">
        <f aca="false">F382*(1+IF(G$3&lt;=$O$2,$D382,$D382-($D382-$I$373)*MIN(G$3-$O$2,$Q$2)/$Q$2))</f>
        <v>1904.73023094237</v>
      </c>
      <c r="H382" s="15" t="n">
        <f aca="false">G382*(1+IF(H$3&lt;=$O$2,$D382,$D382-($D382-$I$373)*MIN(H$3-$O$2,$Q$2)/$Q$2))</f>
        <v>1923.33111210392</v>
      </c>
      <c r="I382" s="15" t="n">
        <f aca="false">H382*(1+IF(I$3&lt;=$O$2,$D382,$D382-($D382-$I$373)*MIN(I$3-$O$2,$Q$2)/$Q$2))</f>
        <v>1942.11364249555</v>
      </c>
      <c r="J382" s="15" t="n">
        <f aca="false">I382*(1+IF(J$3&lt;=$O$2,$D382,$D382-($D382-$I$373)*MIN(J$3-$O$2,$Q$2)/$Q$2))</f>
        <v>1966.99697354003</v>
      </c>
      <c r="K382" s="15" t="n">
        <f aca="false">J382*(1+IF(K$3&lt;=$O$2,$D382,$D382-($D382-$I$373)*MIN(K$3-$O$2,$Q$2)/$Q$2))</f>
        <v>1998.19231616727</v>
      </c>
      <c r="L382" s="15" t="n">
        <f aca="false">K382*(1+IF(L$3&lt;=$O$2,$D382,$D382-($D382-$I$373)*MIN(L$3-$O$2,$Q$2)/$Q$2))</f>
        <v>2035.9706396448</v>
      </c>
      <c r="M382" s="15" t="n">
        <f aca="false">L382*(1+IF(M$3&lt;=$O$2,$D382,$D382-($D382-$I$373)*MIN(M$3-$O$2,$Q$2)/$Q$2))</f>
        <v>2080.66655759325</v>
      </c>
      <c r="N382" s="15" t="n">
        <f aca="false">M382*(1+IF(N$3&lt;=$O$2,$D382,$D382-($D382-$I$373)*MIN(N$3-$O$2,$Q$2)/$Q$2))</f>
        <v>2132.68322153309</v>
      </c>
      <c r="O382" s="15" t="n">
        <f aca="false">SUMPRODUCT(E382:N382,1/(1+$F$373)^$E$3:$N$3)*$E$2</f>
        <v>5105.95085287692</v>
      </c>
      <c r="P382" s="15" t="n">
        <f aca="false">N382*$E$2*(1+$I$373)/($F$373-$I$373)/(1+$F$373)^$N$3</f>
        <v>11036.1821881267</v>
      </c>
      <c r="Q382" s="15" t="n">
        <f aca="false">O382+P382</f>
        <v>16142.1330410036</v>
      </c>
      <c r="R382" s="15" t="n">
        <f aca="false">Q382-$G$2+$I$2</f>
        <v>14589.4330410036</v>
      </c>
      <c r="S382" s="40" t="n">
        <f aca="false">R382/$K$2</f>
        <v>52.9773522677062</v>
      </c>
      <c r="T382" s="41" t="n">
        <f aca="false">S382-$M$2</f>
        <v>-1.52716859361778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0.009765625</v>
      </c>
      <c r="C383" s="25" t="n">
        <f aca="false">IF(T382&gt;0,D382,C382)</f>
        <v>0.015625</v>
      </c>
      <c r="D383" s="39" t="n">
        <f aca="false">(B383+C383)/2</f>
        <v>0.0126953125</v>
      </c>
      <c r="E383" s="15" t="n">
        <f aca="false">$C$2*(1+IF(E$3&lt;=$O$2,$D383,$D383-($D383-$I$373)*MIN(E$3-$O$2,$Q$2)/$Q$2))</f>
        <v>1873.486328125</v>
      </c>
      <c r="F383" s="15" t="n">
        <f aca="false">E383*(1+IF(F$3&lt;=$O$2,$D383,$D383-($D383-$I$373)*MIN(F$3-$O$2,$Q$2)/$Q$2))</f>
        <v>1897.27082252502</v>
      </c>
      <c r="G383" s="15" t="n">
        <f aca="false">F383*(1+IF(G$3&lt;=$O$2,$D383,$D383-($D383-$I$373)*MIN(G$3-$O$2,$Q$2)/$Q$2))</f>
        <v>1921.35726851411</v>
      </c>
      <c r="H383" s="15" t="n">
        <f aca="false">G383*(1+IF(H$3&lt;=$O$2,$D383,$D383-($D383-$I$373)*MIN(H$3-$O$2,$Q$2)/$Q$2))</f>
        <v>1945.74949946204</v>
      </c>
      <c r="I383" s="15" t="n">
        <f aca="false">H383*(1+IF(I$3&lt;=$O$2,$D383,$D383-($D383-$I$373)*MIN(I$3-$O$2,$Q$2)/$Q$2))</f>
        <v>1970.45139740443</v>
      </c>
      <c r="J383" s="15" t="n">
        <f aca="false">I383*(1+IF(J$3&lt;=$O$2,$D383,$D383-($D383-$I$373)*MIN(J$3-$O$2,$Q$2)/$Q$2))</f>
        <v>2000.31605139634</v>
      </c>
      <c r="K383" s="15" t="n">
        <f aca="false">J383*(1+IF(K$3&lt;=$O$2,$D383,$D383-($D383-$I$373)*MIN(K$3-$O$2,$Q$2)/$Q$2))</f>
        <v>2035.55599433305</v>
      </c>
      <c r="L383" s="15" t="n">
        <f aca="false">K383*(1+IF(L$3&lt;=$O$2,$D383,$D383-($D383-$I$373)*MIN(L$3-$O$2,$Q$2)/$Q$2))</f>
        <v>2076.42614203177</v>
      </c>
      <c r="M383" s="15" t="n">
        <f aca="false">L383*(1+IF(M$3&lt;=$O$2,$D383,$D383-($D383-$I$373)*MIN(M$3-$O$2,$Q$2)/$Q$2))</f>
        <v>2123.22684062366</v>
      </c>
      <c r="N383" s="15" t="n">
        <f aca="false">M383*(1+IF(N$3&lt;=$O$2,$D383,$D383-($D383-$I$373)*MIN(N$3-$O$2,$Q$2)/$Q$2))</f>
        <v>2176.30751163925</v>
      </c>
      <c r="O383" s="15" t="n">
        <f aca="false">SUMPRODUCT(E383:N383,1/(1+$F$373)^$E$3:$N$3)*$E$2</f>
        <v>5173.25105415372</v>
      </c>
      <c r="P383" s="15" t="n">
        <f aca="false">N383*$E$2*(1+$I$373)/($F$373-$I$373)/(1+$F$373)^$N$3</f>
        <v>11261.9286133709</v>
      </c>
      <c r="Q383" s="15" t="n">
        <f aca="false">O383+P383</f>
        <v>16435.1796675246</v>
      </c>
      <c r="R383" s="15" t="n">
        <f aca="false">Q383-$G$2+$I$2</f>
        <v>14882.4796675246</v>
      </c>
      <c r="S383" s="40" t="n">
        <f aca="false">R383/$K$2</f>
        <v>54.0414672556178</v>
      </c>
      <c r="T383" s="41" t="n">
        <f aca="false">S383-$M$2</f>
        <v>-0.463053605706165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0.0126953125</v>
      </c>
      <c r="C384" s="25" t="n">
        <f aca="false">IF(T383&gt;0,D383,C383)</f>
        <v>0.015625</v>
      </c>
      <c r="D384" s="39" t="n">
        <f aca="false">(B384+C384)/2</f>
        <v>0.01416015625</v>
      </c>
      <c r="E384" s="15" t="n">
        <f aca="false">$C$2*(1+IF(E$3&lt;=$O$2,$D384,$D384-($D384-$I$373)*MIN(E$3-$O$2,$Q$2)/$Q$2))</f>
        <v>1876.1962890625</v>
      </c>
      <c r="F384" s="15" t="n">
        <f aca="false">E384*(1+IF(F$3&lt;=$O$2,$D384,$D384-($D384-$I$373)*MIN(F$3-$O$2,$Q$2)/$Q$2))</f>
        <v>1902.7635216713</v>
      </c>
      <c r="G384" s="15" t="n">
        <f aca="false">F384*(1+IF(G$3&lt;=$O$2,$D384,$D384-($D384-$I$373)*MIN(G$3-$O$2,$Q$2)/$Q$2))</f>
        <v>1929.70695044496</v>
      </c>
      <c r="H384" s="15" t="n">
        <f aca="false">G384*(1+IF(H$3&lt;=$O$2,$D384,$D384-($D384-$I$373)*MIN(H$3-$O$2,$Q$2)/$Q$2))</f>
        <v>1957.03190237997</v>
      </c>
      <c r="I384" s="15" t="n">
        <f aca="false">H384*(1+IF(I$3&lt;=$O$2,$D384,$D384-($D384-$I$373)*MIN(I$3-$O$2,$Q$2)/$Q$2))</f>
        <v>1984.74377990391</v>
      </c>
      <c r="J384" s="15" t="n">
        <f aca="false">I384*(1+IF(J$3&lt;=$O$2,$D384,$D384-($D384-$I$373)*MIN(J$3-$O$2,$Q$2)/$Q$2))</f>
        <v>2017.15092443515</v>
      </c>
      <c r="K384" s="15" t="n">
        <f aca="false">J384*(1+IF(K$3&lt;=$O$2,$D384,$D384-($D384-$I$373)*MIN(K$3-$O$2,$Q$2)/$Q$2))</f>
        <v>2054.4603370414</v>
      </c>
      <c r="L384" s="15" t="n">
        <f aca="false">K384*(1+IF(L$3&lt;=$O$2,$D384,$D384-($D384-$I$373)*MIN(L$3-$O$2,$Q$2)/$Q$2))</f>
        <v>2096.9138338498</v>
      </c>
      <c r="M384" s="15" t="n">
        <f aca="false">L384*(1+IF(M$3&lt;=$O$2,$D384,$D384-($D384-$I$373)*MIN(M$3-$O$2,$Q$2)/$Q$2))</f>
        <v>2144.79063603281</v>
      </c>
      <c r="N384" s="15" t="n">
        <f aca="false">M384*(1+IF(N$3&lt;=$O$2,$D384,$D384-($D384-$I$373)*MIN(N$3-$O$2,$Q$2)/$Q$2))</f>
        <v>2198.41040193363</v>
      </c>
      <c r="O384" s="15" t="n">
        <f aca="false">SUMPRODUCT(E384:N384,1/(1+$F$373)^$E$3:$N$3)*$E$2</f>
        <v>5207.23700369071</v>
      </c>
      <c r="P384" s="15" t="n">
        <f aca="false">N384*$E$2*(1+$I$373)/($F$373-$I$373)/(1+$F$373)^$N$3</f>
        <v>11376.306370794</v>
      </c>
      <c r="Q384" s="15" t="n">
        <f aca="false">O384+P384</f>
        <v>16583.5433744847</v>
      </c>
      <c r="R384" s="15" t="n">
        <f aca="false">Q384-$G$2+$I$2</f>
        <v>15030.8433744847</v>
      </c>
      <c r="S384" s="40" t="n">
        <f aca="false">R384/$K$2</f>
        <v>54.5802076127846</v>
      </c>
      <c r="T384" s="41" t="n">
        <f aca="false">S384-$M$2</f>
        <v>0.0756867514606299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0.0126953125</v>
      </c>
      <c r="C385" s="25" t="n">
        <f aca="false">IF(T384&gt;0,D384,C384)</f>
        <v>0.01416015625</v>
      </c>
      <c r="D385" s="39" t="n">
        <f aca="false">(B385+C385)/2</f>
        <v>0.013427734375</v>
      </c>
      <c r="E385" s="15" t="n">
        <f aca="false">$C$2*(1+IF(E$3&lt;=$O$2,$D385,$D385-($D385-$I$373)*MIN(E$3-$O$2,$Q$2)/$Q$2))</f>
        <v>1874.84130859375</v>
      </c>
      <c r="F385" s="15" t="n">
        <f aca="false">E385*(1+IF(F$3&lt;=$O$2,$D385,$D385-($D385-$I$373)*MIN(F$3-$O$2,$Q$2)/$Q$2))</f>
        <v>1900.01617968082</v>
      </c>
      <c r="G385" s="15" t="n">
        <f aca="false">F385*(1+IF(G$3&lt;=$O$2,$D385,$D385-($D385-$I$373)*MIN(G$3-$O$2,$Q$2)/$Q$2))</f>
        <v>1925.52909224978</v>
      </c>
      <c r="H385" s="15" t="n">
        <f aca="false">G385*(1+IF(H$3&lt;=$O$2,$D385,$D385-($D385-$I$373)*MIN(H$3-$O$2,$Q$2)/$Q$2))</f>
        <v>1951.38458543185</v>
      </c>
      <c r="I385" s="15" t="n">
        <f aca="false">H385*(1+IF(I$3&lt;=$O$2,$D385,$D385-($D385-$I$373)*MIN(I$3-$O$2,$Q$2)/$Q$2))</f>
        <v>1977.58725930849</v>
      </c>
      <c r="J385" s="15" t="n">
        <f aca="false">I385*(1+IF(J$3&lt;=$O$2,$D385,$D385-($D385-$I$373)*MIN(J$3-$O$2,$Q$2)/$Q$2))</f>
        <v>2008.71880874214</v>
      </c>
      <c r="K385" s="15" t="n">
        <f aca="false">J385*(1+IF(K$3&lt;=$O$2,$D385,$D385-($D385-$I$373)*MIN(K$3-$O$2,$Q$2)/$Q$2))</f>
        <v>2044.98952238827</v>
      </c>
      <c r="L385" s="15" t="n">
        <f aca="false">K385*(1+IF(L$3&lt;=$O$2,$D385,$D385-($D385-$I$373)*MIN(L$3-$O$2,$Q$2)/$Q$2))</f>
        <v>2086.64819566661</v>
      </c>
      <c r="M385" s="15" t="n">
        <f aca="false">L385*(1+IF(M$3&lt;=$O$2,$D385,$D385-($D385-$I$373)*MIN(M$3-$O$2,$Q$2)/$Q$2))</f>
        <v>2133.98495112104</v>
      </c>
      <c r="N385" s="15" t="n">
        <f aca="false">M385*(1+IF(N$3&lt;=$O$2,$D385,$D385-($D385-$I$373)*MIN(N$3-$O$2,$Q$2)/$Q$2))</f>
        <v>2187.33457489907</v>
      </c>
      <c r="O385" s="15" t="n">
        <f aca="false">SUMPRODUCT(E385:N385,1/(1+$F$373)^$E$3:$N$3)*$E$2</f>
        <v>5190.21589645745</v>
      </c>
      <c r="P385" s="15" t="n">
        <f aca="false">N385*$E$2*(1+$I$373)/($F$373-$I$373)/(1+$F$373)^$N$3</f>
        <v>11318.9913209997</v>
      </c>
      <c r="Q385" s="15" t="n">
        <f aca="false">O385+P385</f>
        <v>16509.2072174572</v>
      </c>
      <c r="R385" s="15" t="n">
        <f aca="false">Q385-$G$2+$I$2</f>
        <v>14956.5072174572</v>
      </c>
      <c r="S385" s="40" t="n">
        <f aca="false">R385/$K$2</f>
        <v>54.3102771250124</v>
      </c>
      <c r="T385" s="41" t="n">
        <f aca="false">S385-$M$2</f>
        <v>-0.194243736311506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0.013427734375</v>
      </c>
      <c r="C386" s="25" t="n">
        <f aca="false">IF(T385&gt;0,D385,C385)</f>
        <v>0.01416015625</v>
      </c>
      <c r="D386" s="39" t="n">
        <f aca="false">(B386+C386)/2</f>
        <v>0.0137939453125</v>
      </c>
      <c r="E386" s="15" t="n">
        <f aca="false">$C$2*(1+IF(E$3&lt;=$O$2,$D386,$D386-($D386-$I$373)*MIN(E$3-$O$2,$Q$2)/$Q$2))</f>
        <v>1875.51879882813</v>
      </c>
      <c r="F386" s="15" t="n">
        <f aca="false">E386*(1+IF(F$3&lt;=$O$2,$D386,$D386-($D386-$I$373)*MIN(F$3-$O$2,$Q$2)/$Q$2))</f>
        <v>1901.38960257173</v>
      </c>
      <c r="G386" s="15" t="n">
        <f aca="false">F386*(1+IF(G$3&lt;=$O$2,$D386,$D386-($D386-$I$373)*MIN(G$3-$O$2,$Q$2)/$Q$2))</f>
        <v>1927.61726676736</v>
      </c>
      <c r="H386" s="15" t="n">
        <f aca="false">G386*(1+IF(H$3&lt;=$O$2,$D386,$D386-($D386-$I$373)*MIN(H$3-$O$2,$Q$2)/$Q$2))</f>
        <v>1954.20671392858</v>
      </c>
      <c r="I386" s="15" t="n">
        <f aca="false">H386*(1+IF(I$3&lt;=$O$2,$D386,$D386-($D386-$I$373)*MIN(I$3-$O$2,$Q$2)/$Q$2))</f>
        <v>1981.16293446983</v>
      </c>
      <c r="J386" s="15" t="n">
        <f aca="false">I386*(1+IF(J$3&lt;=$O$2,$D386,$D386-($D386-$I$373)*MIN(J$3-$O$2,$Q$2)/$Q$2))</f>
        <v>2012.93119168076</v>
      </c>
      <c r="K386" s="15" t="n">
        <f aca="false">J386*(1+IF(K$3&lt;=$O$2,$D386,$D386-($D386-$I$373)*MIN(K$3-$O$2,$Q$2)/$Q$2))</f>
        <v>2049.72026126309</v>
      </c>
      <c r="L386" s="15" t="n">
        <f aca="false">K386*(1+IF(L$3&lt;=$O$2,$D386,$D386-($D386-$I$373)*MIN(L$3-$O$2,$Q$2)/$Q$2))</f>
        <v>2091.77555685795</v>
      </c>
      <c r="M386" s="15" t="n">
        <f aca="false">L386*(1+IF(M$3&lt;=$O$2,$D386,$D386-($D386-$I$373)*MIN(M$3-$O$2,$Q$2)/$Q$2))</f>
        <v>2139.38183552257</v>
      </c>
      <c r="N386" s="15" t="n">
        <f aca="false">M386*(1+IF(N$3&lt;=$O$2,$D386,$D386-($D386-$I$373)*MIN(N$3-$O$2,$Q$2)/$Q$2))</f>
        <v>2192.86638141064</v>
      </c>
      <c r="O386" s="15" t="n">
        <f aca="false">SUMPRODUCT(E386:N386,1/(1+$F$373)^$E$3:$N$3)*$E$2</f>
        <v>5198.7194060382</v>
      </c>
      <c r="P386" s="15" t="n">
        <f aca="false">N386*$E$2*(1+$I$373)/($F$373-$I$373)/(1+$F$373)^$N$3</f>
        <v>11347.6172434409</v>
      </c>
      <c r="Q386" s="15" t="n">
        <f aca="false">O386+P386</f>
        <v>16546.3366494791</v>
      </c>
      <c r="R386" s="15" t="n">
        <f aca="false">Q386-$G$2+$I$2</f>
        <v>14993.6366494791</v>
      </c>
      <c r="S386" s="40" t="n">
        <f aca="false">R386/$K$2</f>
        <v>54.4451020352194</v>
      </c>
      <c r="T386" s="41" t="n">
        <f aca="false">S386-$M$2</f>
        <v>-0.059418826104519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0.0137939453125</v>
      </c>
      <c r="C387" s="25" t="n">
        <f aca="false">IF(T386&gt;0,D386,C386)</f>
        <v>0.01416015625</v>
      </c>
      <c r="D387" s="39" t="n">
        <f aca="false">(B387+C387)/2</f>
        <v>0.01397705078125</v>
      </c>
      <c r="E387" s="15" t="n">
        <f aca="false">$C$2*(1+IF(E$3&lt;=$O$2,$D387,$D387-($D387-$I$373)*MIN(E$3-$O$2,$Q$2)/$Q$2))</f>
        <v>1875.85754394531</v>
      </c>
      <c r="F387" s="15" t="n">
        <f aca="false">E387*(1+IF(F$3&lt;=$O$2,$D387,$D387-($D387-$I$373)*MIN(F$3-$O$2,$Q$2)/$Q$2))</f>
        <v>1902.07650009543</v>
      </c>
      <c r="G387" s="15" t="n">
        <f aca="false">F387*(1+IF(G$3&lt;=$O$2,$D387,$D387-($D387-$I$373)*MIN(G$3-$O$2,$Q$2)/$Q$2))</f>
        <v>1928.66191992708</v>
      </c>
      <c r="H387" s="15" t="n">
        <f aca="false">G387*(1+IF(H$3&lt;=$O$2,$D387,$D387-($D387-$I$373)*MIN(H$3-$O$2,$Q$2)/$Q$2))</f>
        <v>1955.61892552177</v>
      </c>
      <c r="I387" s="15" t="n">
        <f aca="false">H387*(1+IF(I$3&lt;=$O$2,$D387,$D387-($D387-$I$373)*MIN(I$3-$O$2,$Q$2)/$Q$2))</f>
        <v>1982.95271055256</v>
      </c>
      <c r="J387" s="15" t="n">
        <f aca="false">I387*(1+IF(J$3&lt;=$O$2,$D387,$D387-($D387-$I$373)*MIN(J$3-$O$2,$Q$2)/$Q$2))</f>
        <v>2015.04013869109</v>
      </c>
      <c r="K387" s="15" t="n">
        <f aca="false">J387*(1+IF(K$3&lt;=$O$2,$D387,$D387-($D387-$I$373)*MIN(K$3-$O$2,$Q$2)/$Q$2))</f>
        <v>2052.08913108485</v>
      </c>
      <c r="L387" s="15" t="n">
        <f aca="false">K387*(1+IF(L$3&lt;=$O$2,$D387,$D387-($D387-$I$373)*MIN(L$3-$O$2,$Q$2)/$Q$2))</f>
        <v>2094.34332964825</v>
      </c>
      <c r="M387" s="15" t="n">
        <f aca="false">L387*(1+IF(M$3&lt;=$O$2,$D387,$D387-($D387-$I$373)*MIN(M$3-$O$2,$Q$2)/$Q$2))</f>
        <v>2142.08474485559</v>
      </c>
      <c r="N387" s="15" t="n">
        <f aca="false">M387*(1+IF(N$3&lt;=$O$2,$D387,$D387-($D387-$I$373)*MIN(N$3-$O$2,$Q$2)/$Q$2))</f>
        <v>2195.63686347698</v>
      </c>
      <c r="O387" s="15" t="n">
        <f aca="false">SUMPRODUCT(E387:N387,1/(1+$F$373)^$E$3:$N$3)*$E$2</f>
        <v>5202.97644248892</v>
      </c>
      <c r="P387" s="15" t="n">
        <f aca="false">N387*$E$2*(1+$I$373)/($F$373-$I$373)/(1+$F$373)^$N$3</f>
        <v>11361.9538990324</v>
      </c>
      <c r="Q387" s="15" t="n">
        <f aca="false">O387+P387</f>
        <v>16564.9303415214</v>
      </c>
      <c r="R387" s="15" t="n">
        <f aca="false">Q387-$G$2+$I$2</f>
        <v>15012.2303415214</v>
      </c>
      <c r="S387" s="40" t="n">
        <f aca="false">R387/$K$2</f>
        <v>54.5126197084911</v>
      </c>
      <c r="T387" s="41" t="n">
        <f aca="false">S387-$M$2</f>
        <v>0.00809884716716169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0.0137939453125</v>
      </c>
      <c r="C388" s="25" t="n">
        <f aca="false">IF(T387&gt;0,D387,C387)</f>
        <v>0.01397705078125</v>
      </c>
      <c r="D388" s="39" t="n">
        <f aca="false">(B388+C388)/2</f>
        <v>0.013885498046875</v>
      </c>
      <c r="E388" s="15" t="n">
        <f aca="false">$C$2*(1+IF(E$3&lt;=$O$2,$D388,$D388-($D388-$I$373)*MIN(E$3-$O$2,$Q$2)/$Q$2))</f>
        <v>1875.68817138672</v>
      </c>
      <c r="F388" s="15" t="n">
        <f aca="false">E388*(1+IF(F$3&lt;=$O$2,$D388,$D388-($D388-$I$373)*MIN(F$3-$O$2,$Q$2)/$Q$2))</f>
        <v>1901.73303582706</v>
      </c>
      <c r="G388" s="15" t="n">
        <f aca="false">F388*(1+IF(G$3&lt;=$O$2,$D388,$D388-($D388-$I$373)*MIN(G$3-$O$2,$Q$2)/$Q$2))</f>
        <v>1928.13954618171</v>
      </c>
      <c r="H388" s="15" t="n">
        <f aca="false">G388*(1+IF(H$3&lt;=$O$2,$D388,$D388-($D388-$I$373)*MIN(H$3-$O$2,$Q$2)/$Q$2))</f>
        <v>1954.91272408432</v>
      </c>
      <c r="I388" s="15" t="n">
        <f aca="false">H388*(1+IF(I$3&lt;=$O$2,$D388,$D388-($D388-$I$373)*MIN(I$3-$O$2,$Q$2)/$Q$2))</f>
        <v>1982.0576608964</v>
      </c>
      <c r="J388" s="15" t="n">
        <f aca="false">I388*(1+IF(J$3&lt;=$O$2,$D388,$D388-($D388-$I$373)*MIN(J$3-$O$2,$Q$2)/$Q$2))</f>
        <v>2013.98543542422</v>
      </c>
      <c r="K388" s="15" t="n">
        <f aca="false">J388*(1+IF(K$3&lt;=$O$2,$D388,$D388-($D388-$I$373)*MIN(K$3-$O$2,$Q$2)/$Q$2))</f>
        <v>2050.90440427647</v>
      </c>
      <c r="L388" s="15" t="n">
        <f aca="false">K388*(1+IF(L$3&lt;=$O$2,$D388,$D388-($D388-$I$373)*MIN(L$3-$O$2,$Q$2)/$Q$2))</f>
        <v>2093.05910198058</v>
      </c>
      <c r="M388" s="15" t="n">
        <f aca="false">L388*(1+IF(M$3&lt;=$O$2,$D388,$D388-($D388-$I$373)*MIN(M$3-$O$2,$Q$2)/$Q$2))</f>
        <v>2140.7329176347</v>
      </c>
      <c r="N388" s="15" t="n">
        <f aca="false">M388*(1+IF(N$3&lt;=$O$2,$D388,$D388-($D388-$I$373)*MIN(N$3-$O$2,$Q$2)/$Q$2))</f>
        <v>2194.25124057557</v>
      </c>
      <c r="O388" s="15" t="n">
        <f aca="false">SUMPRODUCT(E388:N388,1/(1+$F$373)^$E$3:$N$3)*$E$2</f>
        <v>5200.84748384057</v>
      </c>
      <c r="P388" s="15" t="n">
        <f aca="false">N388*$E$2*(1+$I$373)/($F$373-$I$373)/(1+$F$373)^$N$3</f>
        <v>11354.7835951497</v>
      </c>
      <c r="Q388" s="15" t="n">
        <f aca="false">O388+P388</f>
        <v>16555.6310789903</v>
      </c>
      <c r="R388" s="15" t="n">
        <f aca="false">Q388-$G$2+$I$2</f>
        <v>15002.9310789903</v>
      </c>
      <c r="S388" s="40" t="n">
        <f aca="false">R388/$K$2</f>
        <v>54.4788520969909</v>
      </c>
      <c r="T388" s="41" t="n">
        <f aca="false">S388-$M$2</f>
        <v>-0.0256687643330835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0.013885498046875</v>
      </c>
      <c r="C389" s="25" t="n">
        <f aca="false">IF(T388&gt;0,D388,C388)</f>
        <v>0.01397705078125</v>
      </c>
      <c r="D389" s="39" t="n">
        <f aca="false">(B389+C389)/2</f>
        <v>0.0139312744140625</v>
      </c>
      <c r="E389" s="15" t="n">
        <f aca="false">$C$2*(1+IF(E$3&lt;=$O$2,$D389,$D389-($D389-$I$373)*MIN(E$3-$O$2,$Q$2)/$Q$2))</f>
        <v>1875.77285766602</v>
      </c>
      <c r="F389" s="15" t="n">
        <f aca="false">E389*(1+IF(F$3&lt;=$O$2,$D389,$D389-($D389-$I$373)*MIN(F$3-$O$2,$Q$2)/$Q$2))</f>
        <v>1901.90476408461</v>
      </c>
      <c r="G389" s="15" t="n">
        <f aca="false">F389*(1+IF(G$3&lt;=$O$2,$D389,$D389-($D389-$I$373)*MIN(G$3-$O$2,$Q$2)/$Q$2))</f>
        <v>1928.40072126249</v>
      </c>
      <c r="H389" s="15" t="n">
        <f aca="false">G389*(1+IF(H$3&lt;=$O$2,$D389,$D389-($D389-$I$373)*MIN(H$3-$O$2,$Q$2)/$Q$2))</f>
        <v>1955.26580089067</v>
      </c>
      <c r="I389" s="15" t="n">
        <f aca="false">H389*(1+IF(I$3&lt;=$O$2,$D389,$D389-($D389-$I$373)*MIN(I$3-$O$2,$Q$2)/$Q$2))</f>
        <v>1982.50514531531</v>
      </c>
      <c r="J389" s="15" t="n">
        <f aca="false">I389*(1+IF(J$3&lt;=$O$2,$D389,$D389-($D389-$I$373)*MIN(J$3-$O$2,$Q$2)/$Q$2))</f>
        <v>2014.51272960723</v>
      </c>
      <c r="K389" s="15" t="n">
        <f aca="false">J389*(1+IF(K$3&lt;=$O$2,$D389,$D389-($D389-$I$373)*MIN(K$3-$O$2,$Q$2)/$Q$2))</f>
        <v>2051.49669469137</v>
      </c>
      <c r="L389" s="15" t="n">
        <f aca="false">K389*(1+IF(L$3&lt;=$O$2,$D389,$D389-($D389-$I$373)*MIN(L$3-$O$2,$Q$2)/$Q$2))</f>
        <v>2093.70113047706</v>
      </c>
      <c r="M389" s="15" t="n">
        <f aca="false">L389*(1+IF(M$3&lt;=$O$2,$D389,$D389-($D389-$I$373)*MIN(M$3-$O$2,$Q$2)/$Q$2))</f>
        <v>2141.40873808454</v>
      </c>
      <c r="N389" s="15" t="n">
        <f aca="false">M389*(1+IF(N$3&lt;=$O$2,$D389,$D389-($D389-$I$373)*MIN(N$3-$O$2,$Q$2)/$Q$2))</f>
        <v>2194.94395653665</v>
      </c>
      <c r="O389" s="15" t="n">
        <f aca="false">SUMPRODUCT(E389:N389,1/(1+$F$373)^$E$3:$N$3)*$E$2</f>
        <v>5201.91185303764</v>
      </c>
      <c r="P389" s="15" t="n">
        <f aca="false">N389*$E$2*(1+$I$373)/($F$373-$I$373)/(1+$F$373)^$N$3</f>
        <v>11358.3682529526</v>
      </c>
      <c r="Q389" s="15" t="n">
        <f aca="false">O389+P389</f>
        <v>16560.2801059902</v>
      </c>
      <c r="R389" s="15" t="n">
        <f aca="false">Q389-$G$2+$I$2</f>
        <v>15007.5801059902</v>
      </c>
      <c r="S389" s="40" t="n">
        <f aca="false">R389/$K$2</f>
        <v>54.4957337085233</v>
      </c>
      <c r="T389" s="41" t="n">
        <f aca="false">S389-$M$2</f>
        <v>-0.00878715280059339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0.0139312744140625</v>
      </c>
      <c r="C390" s="25" t="n">
        <f aca="false">IF(T389&gt;0,D389,C389)</f>
        <v>0.01397705078125</v>
      </c>
      <c r="D390" s="39" t="n">
        <f aca="false">(B390+C390)/2</f>
        <v>0.0139541625976563</v>
      </c>
      <c r="E390" s="15" t="n">
        <f aca="false">$C$2*(1+IF(E$3&lt;=$O$2,$D390,$D390-($D390-$I$373)*MIN(E$3-$O$2,$Q$2)/$Q$2))</f>
        <v>1875.81520080566</v>
      </c>
      <c r="F390" s="15" t="n">
        <f aca="false">E390*(1+IF(F$3&lt;=$O$2,$D390,$D390-($D390-$I$373)*MIN(F$3-$O$2,$Q$2)/$Q$2))</f>
        <v>1901.99063112086</v>
      </c>
      <c r="G390" s="15" t="n">
        <f aca="false">F390*(1+IF(G$3&lt;=$O$2,$D390,$D390-($D390-$I$373)*MIN(G$3-$O$2,$Q$2)/$Q$2))</f>
        <v>1928.53131764674</v>
      </c>
      <c r="H390" s="15" t="n">
        <f aca="false">G390*(1+IF(H$3&lt;=$O$2,$D390,$D390-($D390-$I$373)*MIN(H$3-$O$2,$Q$2)/$Q$2))</f>
        <v>1955.44235722786</v>
      </c>
      <c r="I390" s="15" t="n">
        <f aca="false">H390*(1+IF(I$3&lt;=$O$2,$D390,$D390-($D390-$I$373)*MIN(I$3-$O$2,$Q$2)/$Q$2))</f>
        <v>1982.72891783096</v>
      </c>
      <c r="J390" s="15" t="n">
        <f aca="false">I390*(1+IF(J$3&lt;=$O$2,$D390,$D390-($D390-$I$373)*MIN(J$3-$O$2,$Q$2)/$Q$2))</f>
        <v>2014.7764197853</v>
      </c>
      <c r="K390" s="15" t="n">
        <f aca="false">J390*(1+IF(K$3&lt;=$O$2,$D390,$D390-($D390-$I$373)*MIN(K$3-$O$2,$Q$2)/$Q$2))</f>
        <v>2051.79289463892</v>
      </c>
      <c r="L390" s="15" t="n">
        <f aca="false">K390*(1+IF(L$3&lt;=$O$2,$D390,$D390-($D390-$I$373)*MIN(L$3-$O$2,$Q$2)/$Q$2))</f>
        <v>2094.02220872591</v>
      </c>
      <c r="M390" s="15" t="n">
        <f aca="false">L390*(1+IF(M$3&lt;=$O$2,$D390,$D390-($D390-$I$373)*MIN(M$3-$O$2,$Q$2)/$Q$2))</f>
        <v>2141.74671817716</v>
      </c>
      <c r="N390" s="15" t="n">
        <f aca="false">M390*(1+IF(N$3&lt;=$O$2,$D390,$D390-($D390-$I$373)*MIN(N$3-$O$2,$Q$2)/$Q$2))</f>
        <v>2195.29038613159</v>
      </c>
      <c r="O390" s="15" t="n">
        <f aca="false">SUMPRODUCT(E390:N390,1/(1+$F$373)^$E$3:$N$3)*$E$2</f>
        <v>5202.44412022883</v>
      </c>
      <c r="P390" s="15" t="n">
        <f aca="false">N390*$E$2*(1+$I$373)/($F$373-$I$373)/(1+$F$373)^$N$3</f>
        <v>11360.1609524433</v>
      </c>
      <c r="Q390" s="15" t="n">
        <f aca="false">O390+P390</f>
        <v>16562.6050726721</v>
      </c>
      <c r="R390" s="15" t="n">
        <f aca="false">Q390-$G$2+$I$2</f>
        <v>15009.9050726721</v>
      </c>
      <c r="S390" s="40" t="n">
        <f aca="false">R390/$K$2</f>
        <v>54.5041761598901</v>
      </c>
      <c r="T390" s="41" t="n">
        <f aca="false">S390-$M$2</f>
        <v>-0.00034470143384624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0.0139541625976563</v>
      </c>
      <c r="C391" s="25" t="n">
        <f aca="false">IF(T390&gt;0,D390,C390)</f>
        <v>0.01397705078125</v>
      </c>
      <c r="D391" s="39" t="n">
        <f aca="false">(B391+C391)/2</f>
        <v>0.0139656066894531</v>
      </c>
      <c r="E391" s="15" t="n">
        <f aca="false">$C$2*(1+IF(E$3&lt;=$O$2,$D391,$D391-($D391-$I$373)*MIN(E$3-$O$2,$Q$2)/$Q$2))</f>
        <v>1875.83637237549</v>
      </c>
      <c r="F391" s="15" t="n">
        <f aca="false">E391*(1+IF(F$3&lt;=$O$2,$D391,$D391-($D391-$I$373)*MIN(F$3-$O$2,$Q$2)/$Q$2))</f>
        <v>1902.03356536585</v>
      </c>
      <c r="G391" s="15" t="n">
        <f aca="false">F391*(1+IF(G$3&lt;=$O$2,$D391,$D391-($D391-$I$373)*MIN(G$3-$O$2,$Q$2)/$Q$2))</f>
        <v>1928.59661804989</v>
      </c>
      <c r="H391" s="15" t="n">
        <f aca="false">G391*(1+IF(H$3&lt;=$O$2,$D391,$D391-($D391-$I$373)*MIN(H$3-$O$2,$Q$2)/$Q$2))</f>
        <v>1955.53063988019</v>
      </c>
      <c r="I391" s="15" t="n">
        <f aca="false">H391*(1+IF(I$3&lt;=$O$2,$D391,$D391-($D391-$I$373)*MIN(I$3-$O$2,$Q$2)/$Q$2))</f>
        <v>1982.84081166593</v>
      </c>
      <c r="J391" s="15" t="n">
        <f aca="false">I391*(1+IF(J$3&lt;=$O$2,$D391,$D391-($D391-$I$373)*MIN(J$3-$O$2,$Q$2)/$Q$2))</f>
        <v>2014.90827564708</v>
      </c>
      <c r="K391" s="15" t="n">
        <f aca="false">J391*(1+IF(K$3&lt;=$O$2,$D391,$D391-($D391-$I$373)*MIN(K$3-$O$2,$Q$2)/$Q$2))</f>
        <v>2051.94100829935</v>
      </c>
      <c r="L391" s="15" t="n">
        <f aca="false">K391*(1+IF(L$3&lt;=$O$2,$D391,$D391-($D391-$I$373)*MIN(L$3-$O$2,$Q$2)/$Q$2))</f>
        <v>2094.18276385259</v>
      </c>
      <c r="M391" s="15" t="n">
        <f aca="false">L391*(1+IF(M$3&lt;=$O$2,$D391,$D391-($D391-$I$373)*MIN(M$3-$O$2,$Q$2)/$Q$2))</f>
        <v>2141.9157256928</v>
      </c>
      <c r="N391" s="15" t="n">
        <f aca="false">M391*(1+IF(N$3&lt;=$O$2,$D391,$D391-($D391-$I$373)*MIN(N$3-$O$2,$Q$2)/$Q$2))</f>
        <v>2195.46361883512</v>
      </c>
      <c r="O391" s="15" t="n">
        <f aca="false">SUMPRODUCT(E391:N391,1/(1+$F$373)^$E$3:$N$3)*$E$2</f>
        <v>5202.71027447493</v>
      </c>
      <c r="P391" s="15" t="n">
        <f aca="false">N391*$E$2*(1+$I$373)/($F$373-$I$373)/(1+$F$373)^$N$3</f>
        <v>11361.0573948487</v>
      </c>
      <c r="Q391" s="15" t="n">
        <f aca="false">O391+P391</f>
        <v>16563.7676693237</v>
      </c>
      <c r="R391" s="15" t="n">
        <f aca="false">Q391-$G$2+$I$2</f>
        <v>15011.0676693237</v>
      </c>
      <c r="S391" s="40" t="n">
        <f aca="false">R391/$K$2</f>
        <v>54.5083977970285</v>
      </c>
      <c r="T391" s="41" t="n">
        <f aca="false">S391-$M$2</f>
        <v>0.00387693570454672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0.0139541625976563</v>
      </c>
      <c r="C392" s="25" t="n">
        <f aca="false">IF(T391&gt;0,D391,C391)</f>
        <v>0.0139656066894531</v>
      </c>
      <c r="D392" s="39" t="n">
        <f aca="false">(B392+C392)/2</f>
        <v>0.0139598846435547</v>
      </c>
      <c r="E392" s="15" t="n">
        <f aca="false">$C$2*(1+IF(E$3&lt;=$O$2,$D392,$D392-($D392-$I$373)*MIN(E$3-$O$2,$Q$2)/$Q$2))</f>
        <v>1875.82578659058</v>
      </c>
      <c r="F392" s="15" t="n">
        <f aca="false">E392*(1+IF(F$3&lt;=$O$2,$D392,$D392-($D392-$I$373)*MIN(F$3-$O$2,$Q$2)/$Q$2))</f>
        <v>1902.01209818279</v>
      </c>
      <c r="G392" s="15" t="n">
        <f aca="false">F392*(1+IF(G$3&lt;=$O$2,$D392,$D392-($D392-$I$373)*MIN(G$3-$O$2,$Q$2)/$Q$2))</f>
        <v>1928.56396766406</v>
      </c>
      <c r="H392" s="15" t="n">
        <f aca="false">G392*(1+IF(H$3&lt;=$O$2,$D392,$D392-($D392-$I$373)*MIN(H$3-$O$2,$Q$2)/$Q$2))</f>
        <v>1955.48649818037</v>
      </c>
      <c r="I392" s="15" t="n">
        <f aca="false">H392*(1+IF(I$3&lt;=$O$2,$D392,$D392-($D392-$I$373)*MIN(I$3-$O$2,$Q$2)/$Q$2))</f>
        <v>1982.784864117</v>
      </c>
      <c r="J392" s="15" t="n">
        <f aca="false">I392*(1+IF(J$3&lt;=$O$2,$D392,$D392-($D392-$I$373)*MIN(J$3-$O$2,$Q$2)/$Q$2))</f>
        <v>2014.84234681843</v>
      </c>
      <c r="K392" s="15" t="n">
        <f aca="false">J392*(1+IF(K$3&lt;=$O$2,$D392,$D392-($D392-$I$373)*MIN(K$3-$O$2,$Q$2)/$Q$2))</f>
        <v>2051.86695032853</v>
      </c>
      <c r="L392" s="15" t="n">
        <f aca="false">K392*(1+IF(L$3&lt;=$O$2,$D392,$D392-($D392-$I$373)*MIN(L$3-$O$2,$Q$2)/$Q$2))</f>
        <v>2094.10248495567</v>
      </c>
      <c r="M392" s="15" t="n">
        <f aca="false">L392*(1+IF(M$3&lt;=$O$2,$D392,$D392-($D392-$I$373)*MIN(M$3-$O$2,$Q$2)/$Q$2))</f>
        <v>2141.83122047913</v>
      </c>
      <c r="N392" s="15" t="n">
        <f aca="false">M392*(1+IF(N$3&lt;=$O$2,$D392,$D392-($D392-$I$373)*MIN(N$3-$O$2,$Q$2)/$Q$2))</f>
        <v>2195.37700099111</v>
      </c>
      <c r="O392" s="15" t="n">
        <f aca="false">SUMPRODUCT(E392:N392,1/(1+$F$373)^$E$3:$N$3)*$E$2</f>
        <v>5202.57719563093</v>
      </c>
      <c r="P392" s="15" t="n">
        <f aca="false">N392*$E$2*(1+$I$373)/($F$373-$I$373)/(1+$F$373)^$N$3</f>
        <v>11360.609165924</v>
      </c>
      <c r="Q392" s="15" t="n">
        <f aca="false">O392+P392</f>
        <v>16563.1863615549</v>
      </c>
      <c r="R392" s="15" t="n">
        <f aca="false">Q392-$G$2+$I$2</f>
        <v>15010.4863615549</v>
      </c>
      <c r="S392" s="40" t="n">
        <f aca="false">R392/$K$2</f>
        <v>54.5062869441698</v>
      </c>
      <c r="T392" s="41" t="n">
        <f aca="false">S392-$M$2</f>
        <v>0.00176608284582613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0.0139541625976563</v>
      </c>
      <c r="C393" s="25" t="n">
        <f aca="false">IF(T392&gt;0,D392,C392)</f>
        <v>0.0139598846435547</v>
      </c>
      <c r="D393" s="39" t="n">
        <f aca="false">(B393+C393)/2</f>
        <v>0.0139570236206055</v>
      </c>
      <c r="E393" s="15" t="n">
        <f aca="false">$C$2*(1+IF(E$3&lt;=$O$2,$D393,$D393-($D393-$I$373)*MIN(E$3-$O$2,$Q$2)/$Q$2))</f>
        <v>1875.82049369812</v>
      </c>
      <c r="F393" s="15" t="n">
        <f aca="false">E393*(1+IF(F$3&lt;=$O$2,$D393,$D393-($D393-$I$373)*MIN(F$3-$O$2,$Q$2)/$Q$2))</f>
        <v>1902.00136463668</v>
      </c>
      <c r="G393" s="15" t="n">
        <f aca="false">F393*(1+IF(G$3&lt;=$O$2,$D393,$D393-($D393-$I$373)*MIN(G$3-$O$2,$Q$2)/$Q$2))</f>
        <v>1928.54764260934</v>
      </c>
      <c r="H393" s="15" t="n">
        <f aca="false">G393*(1+IF(H$3&lt;=$O$2,$D393,$D393-($D393-$I$373)*MIN(H$3-$O$2,$Q$2)/$Q$2))</f>
        <v>1955.4644276107</v>
      </c>
      <c r="I393" s="15" t="n">
        <f aca="false">H393*(1+IF(I$3&lt;=$O$2,$D393,$D393-($D393-$I$373)*MIN(I$3-$O$2,$Q$2)/$Q$2))</f>
        <v>1982.75689081612</v>
      </c>
      <c r="J393" s="15" t="n">
        <f aca="false">I393*(1+IF(J$3&lt;=$O$2,$D393,$D393-($D393-$I$373)*MIN(J$3-$O$2,$Q$2)/$Q$2))</f>
        <v>2014.80938307743</v>
      </c>
      <c r="K393" s="15" t="n">
        <f aca="false">J393*(1+IF(K$3&lt;=$O$2,$D393,$D393-($D393-$I$373)*MIN(K$3-$O$2,$Q$2)/$Q$2))</f>
        <v>2051.82992219858</v>
      </c>
      <c r="L393" s="15" t="n">
        <f aca="false">K393*(1+IF(L$3&lt;=$O$2,$D393,$D393-($D393-$I$373)*MIN(L$3-$O$2,$Q$2)/$Q$2))</f>
        <v>2094.06234650739</v>
      </c>
      <c r="M393" s="15" t="n">
        <f aca="false">L393*(1+IF(M$3&lt;=$O$2,$D393,$D393-($D393-$I$373)*MIN(M$3-$O$2,$Q$2)/$Q$2))</f>
        <v>2141.78896896419</v>
      </c>
      <c r="N393" s="15" t="n">
        <f aca="false">M393*(1+IF(N$3&lt;=$O$2,$D393,$D393-($D393-$I$373)*MIN(N$3-$O$2,$Q$2)/$Q$2))</f>
        <v>2195.33369318829</v>
      </c>
      <c r="O393" s="15" t="n">
        <f aca="false">SUMPRODUCT(E393:N393,1/(1+$F$373)^$E$3:$N$3)*$E$2</f>
        <v>5202.51065749965</v>
      </c>
      <c r="P393" s="15" t="n">
        <f aca="false">N393*$E$2*(1+$I$373)/($F$373-$I$373)/(1+$F$373)^$N$3</f>
        <v>11360.3850572532</v>
      </c>
      <c r="Q393" s="15" t="n">
        <f aca="false">O393+P393</f>
        <v>16562.8957147528</v>
      </c>
      <c r="R393" s="15" t="n">
        <f aca="false">Q393-$G$2+$I$2</f>
        <v>15010.1957147528</v>
      </c>
      <c r="S393" s="40" t="n">
        <f aca="false">R393/$K$2</f>
        <v>54.5052315434576</v>
      </c>
      <c r="T393" s="41" t="n">
        <f aca="false">S393-$M$2</f>
        <v>0.000710682133693297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0.0139541625976563</v>
      </c>
      <c r="C394" s="25" t="n">
        <f aca="false">IF(T393&gt;0,D393,C393)</f>
        <v>0.0139570236206055</v>
      </c>
      <c r="D394" s="39" t="n">
        <f aca="false">(B394+C394)/2</f>
        <v>0.0139555931091309</v>
      </c>
      <c r="E394" s="15" t="n">
        <f aca="false">$C$2*(1+IF(E$3&lt;=$O$2,$D394,$D394-($D394-$I$373)*MIN(E$3-$O$2,$Q$2)/$Q$2))</f>
        <v>1875.81784725189</v>
      </c>
      <c r="F394" s="15" t="n">
        <f aca="false">E394*(1+IF(F$3&lt;=$O$2,$D394,$D394-($D394-$I$373)*MIN(F$3-$O$2,$Q$2)/$Q$2))</f>
        <v>1901.99599787499</v>
      </c>
      <c r="G394" s="15" t="n">
        <f aca="false">F394*(1+IF(G$3&lt;=$O$2,$D394,$D394-($D394-$I$373)*MIN(G$3-$O$2,$Q$2)/$Q$2))</f>
        <v>1928.53948011652</v>
      </c>
      <c r="H394" s="15" t="n">
        <f aca="false">G394*(1+IF(H$3&lt;=$O$2,$D394,$D394-($D394-$I$373)*MIN(H$3-$O$2,$Q$2)/$Q$2))</f>
        <v>1955.45339239593</v>
      </c>
      <c r="I394" s="15" t="n">
        <f aca="false">H394*(1+IF(I$3&lt;=$O$2,$D394,$D394-($D394-$I$373)*MIN(I$3-$O$2,$Q$2)/$Q$2))</f>
        <v>1982.74290428407</v>
      </c>
      <c r="J394" s="15" t="n">
        <f aca="false">I394*(1+IF(J$3&lt;=$O$2,$D394,$D394-($D394-$I$373)*MIN(J$3-$O$2,$Q$2)/$Q$2))</f>
        <v>2014.79290137526</v>
      </c>
      <c r="K394" s="15" t="n">
        <f aca="false">J394*(1+IF(K$3&lt;=$O$2,$D394,$D394-($D394-$I$373)*MIN(K$3-$O$2,$Q$2)/$Q$2))</f>
        <v>2051.81140834746</v>
      </c>
      <c r="L394" s="15" t="n">
        <f aca="false">K394*(1+IF(L$3&lt;=$O$2,$D394,$D394-($D394-$I$373)*MIN(L$3-$O$2,$Q$2)/$Q$2))</f>
        <v>2094.0422775333</v>
      </c>
      <c r="M394" s="15" t="n">
        <f aca="false">L394*(1+IF(M$3&lt;=$O$2,$D394,$D394-($D394-$I$373)*MIN(M$3-$O$2,$Q$2)/$Q$2))</f>
        <v>2141.76784347969</v>
      </c>
      <c r="N394" s="15" t="n">
        <f aca="false">M394*(1+IF(N$3&lt;=$O$2,$D394,$D394-($D394-$I$373)*MIN(N$3-$O$2,$Q$2)/$Q$2))</f>
        <v>2195.31203956668</v>
      </c>
      <c r="O394" s="15" t="n">
        <f aca="false">SUMPRODUCT(E394:N394,1/(1+$F$373)^$E$3:$N$3)*$E$2</f>
        <v>5202.47738875668</v>
      </c>
      <c r="P394" s="15" t="n">
        <f aca="false">N394*$E$2*(1+$I$373)/($F$373-$I$373)/(1+$F$373)^$N$3</f>
        <v>11360.2730043656</v>
      </c>
      <c r="Q394" s="15" t="n">
        <f aca="false">O394+P394</f>
        <v>16562.7503931223</v>
      </c>
      <c r="R394" s="15" t="n">
        <f aca="false">Q394-$G$2+$I$2</f>
        <v>15010.0503931223</v>
      </c>
      <c r="S394" s="40" t="n">
        <f aca="false">R394/$K$2</f>
        <v>54.5047038495308</v>
      </c>
      <c r="T394" s="41" t="n">
        <f aca="false">S394-$M$2</f>
        <v>0.000182988206894663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0.0139541625976563</v>
      </c>
      <c r="C395" s="25" t="n">
        <f aca="false">IF(T394&gt;0,D394,C394)</f>
        <v>0.0139555931091309</v>
      </c>
      <c r="D395" s="39" t="n">
        <f aca="false">(B395+C395)/2</f>
        <v>0.0139548778533936</v>
      </c>
      <c r="E395" s="15" t="n">
        <f aca="false">$C$2*(1+IF(E$3&lt;=$O$2,$D395,$D395-($D395-$I$373)*MIN(E$3-$O$2,$Q$2)/$Q$2))</f>
        <v>1875.81652402878</v>
      </c>
      <c r="F395" s="15" t="n">
        <f aca="false">E395*(1+IF(F$3&lt;=$O$2,$D395,$D395-($D395-$I$373)*MIN(F$3-$O$2,$Q$2)/$Q$2))</f>
        <v>1901.99331449698</v>
      </c>
      <c r="G395" s="15" t="n">
        <f aca="false">F395*(1+IF(G$3&lt;=$O$2,$D395,$D395-($D395-$I$373)*MIN(G$3-$O$2,$Q$2)/$Q$2))</f>
        <v>1928.53539887875</v>
      </c>
      <c r="H395" s="15" t="n">
        <f aca="false">G395*(1+IF(H$3&lt;=$O$2,$D395,$D395-($D395-$I$373)*MIN(H$3-$O$2,$Q$2)/$Q$2))</f>
        <v>1955.44787480605</v>
      </c>
      <c r="I395" s="15" t="n">
        <f aca="false">H395*(1+IF(I$3&lt;=$O$2,$D395,$D395-($D395-$I$373)*MIN(I$3-$O$2,$Q$2)/$Q$2))</f>
        <v>1982.73591104765</v>
      </c>
      <c r="J395" s="15" t="n">
        <f aca="false">I395*(1+IF(J$3&lt;=$O$2,$D395,$D395-($D395-$I$373)*MIN(J$3-$O$2,$Q$2)/$Q$2))</f>
        <v>2014.78466056625</v>
      </c>
      <c r="K395" s="15" t="n">
        <f aca="false">J395*(1+IF(K$3&lt;=$O$2,$D395,$D395-($D395-$I$373)*MIN(K$3-$O$2,$Q$2)/$Q$2))</f>
        <v>2051.80215147537</v>
      </c>
      <c r="L395" s="15" t="n">
        <f aca="false">K395*(1+IF(L$3&lt;=$O$2,$D395,$D395-($D395-$I$373)*MIN(L$3-$O$2,$Q$2)/$Q$2))</f>
        <v>2094.03224310877</v>
      </c>
      <c r="M395" s="15" t="n">
        <f aca="false">L395*(1+IF(M$3&lt;=$O$2,$D395,$D395-($D395-$I$373)*MIN(M$3-$O$2,$Q$2)/$Q$2))</f>
        <v>2141.75728080567</v>
      </c>
      <c r="N395" s="15" t="n">
        <f aca="false">M395*(1+IF(N$3&lt;=$O$2,$D395,$D395-($D395-$I$373)*MIN(N$3-$O$2,$Q$2)/$Q$2))</f>
        <v>2195.30121282582</v>
      </c>
      <c r="O395" s="15" t="n">
        <f aca="false">SUMPRODUCT(E395:N395,1/(1+$F$373)^$E$3:$N$3)*$E$2</f>
        <v>5202.46075446587</v>
      </c>
      <c r="P395" s="15" t="n">
        <f aca="false">N395*$E$2*(1+$I$373)/($F$373-$I$373)/(1+$F$373)^$N$3</f>
        <v>11360.2169782838</v>
      </c>
      <c r="Q395" s="15" t="n">
        <f aca="false">O395+P395</f>
        <v>16562.6777327497</v>
      </c>
      <c r="R395" s="15" t="n">
        <f aca="false">Q395-$G$2+$I$2</f>
        <v>15009.9777327497</v>
      </c>
      <c r="S395" s="40" t="n">
        <f aca="false">R395/$K$2</f>
        <v>54.5044400041747</v>
      </c>
      <c r="T395" s="41" t="n">
        <f aca="false">S395-$M$2</f>
        <v>-8.085714924988E-005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0.0139548778533936</v>
      </c>
      <c r="C396" s="25" t="n">
        <f aca="false">IF(T395&gt;0,D395,C395)</f>
        <v>0.0139555931091309</v>
      </c>
      <c r="D396" s="39" t="n">
        <f aca="false">(B396+C396)/2</f>
        <v>0.0139552354812622</v>
      </c>
      <c r="E396" s="15" t="n">
        <f aca="false">$C$2*(1+IF(E$3&lt;=$O$2,$D396,$D396-($D396-$I$373)*MIN(E$3-$O$2,$Q$2)/$Q$2))</f>
        <v>1875.81718564034</v>
      </c>
      <c r="F396" s="15" t="n">
        <f aca="false">E396*(1+IF(F$3&lt;=$O$2,$D396,$D396-($D396-$I$373)*MIN(F$3-$O$2,$Q$2)/$Q$2))</f>
        <v>1901.99465618574</v>
      </c>
      <c r="G396" s="15" t="n">
        <f aca="false">F396*(1+IF(G$3&lt;=$O$2,$D396,$D396-($D396-$I$373)*MIN(G$3-$O$2,$Q$2)/$Q$2))</f>
        <v>1928.53743949692</v>
      </c>
      <c r="H396" s="15" t="n">
        <f aca="false">G396*(1+IF(H$3&lt;=$O$2,$D396,$D396-($D396-$I$373)*MIN(H$3-$O$2,$Q$2)/$Q$2))</f>
        <v>1955.45063359953</v>
      </c>
      <c r="I396" s="15" t="n">
        <f aca="false">H396*(1+IF(I$3&lt;=$O$2,$D396,$D396-($D396-$I$373)*MIN(I$3-$O$2,$Q$2)/$Q$2))</f>
        <v>1982.73940766339</v>
      </c>
      <c r="J396" s="15" t="n">
        <f aca="false">I396*(1+IF(J$3&lt;=$O$2,$D396,$D396-($D396-$I$373)*MIN(J$3-$O$2,$Q$2)/$Q$2))</f>
        <v>2014.78878096725</v>
      </c>
      <c r="K396" s="15" t="n">
        <f aca="false">J396*(1+IF(K$3&lt;=$O$2,$D396,$D396-($D396-$I$373)*MIN(K$3-$O$2,$Q$2)/$Q$2))</f>
        <v>2051.80677990696</v>
      </c>
      <c r="L396" s="15" t="n">
        <f aca="false">K396*(1+IF(L$3&lt;=$O$2,$D396,$D396-($D396-$I$373)*MIN(L$3-$O$2,$Q$2)/$Q$2))</f>
        <v>2094.03726031583</v>
      </c>
      <c r="M396" s="15" t="n">
        <f aca="false">L396*(1+IF(M$3&lt;=$O$2,$D396,$D396-($D396-$I$373)*MIN(M$3-$O$2,$Q$2)/$Q$2))</f>
        <v>2141.76256213699</v>
      </c>
      <c r="N396" s="15" t="n">
        <f aca="false">M396*(1+IF(N$3&lt;=$O$2,$D396,$D396-($D396-$I$373)*MIN(N$3-$O$2,$Q$2)/$Q$2))</f>
        <v>2195.30662619042</v>
      </c>
      <c r="O396" s="15" t="n">
        <f aca="false">SUMPRODUCT(E396:N396,1/(1+$F$373)^$E$3:$N$3)*$E$2</f>
        <v>5202.46907160455</v>
      </c>
      <c r="P396" s="15" t="n">
        <f aca="false">N396*$E$2*(1+$I$373)/($F$373-$I$373)/(1+$F$373)^$N$3</f>
        <v>11360.2449912945</v>
      </c>
      <c r="Q396" s="15" t="n">
        <f aca="false">O396+P396</f>
        <v>16562.7140628991</v>
      </c>
      <c r="R396" s="15" t="n">
        <f aca="false">Q396-$G$2+$I$2</f>
        <v>15010.0140628991</v>
      </c>
      <c r="S396" s="40" t="n">
        <f aca="false">R396/$K$2</f>
        <v>54.5045719267188</v>
      </c>
      <c r="T396" s="41" t="n">
        <f aca="false">S396-$M$2</f>
        <v>5.10653948850859E-005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0.0139548778533936</v>
      </c>
      <c r="C397" s="25" t="n">
        <f aca="false">IF(T396&gt;0,D396,C396)</f>
        <v>0.0139552354812622</v>
      </c>
      <c r="D397" s="39" t="n">
        <f aca="false">(B397+C397)/2</f>
        <v>0.0139550566673279</v>
      </c>
      <c r="E397" s="15" t="n">
        <f aca="false">$C$2*(1+IF(E$3&lt;=$O$2,$D397,$D397-($D397-$I$373)*MIN(E$3-$O$2,$Q$2)/$Q$2))</f>
        <v>1875.81685483456</v>
      </c>
      <c r="F397" s="15" t="n">
        <f aca="false">E397*(1+IF(F$3&lt;=$O$2,$D397,$D397-($D397-$I$373)*MIN(F$3-$O$2,$Q$2)/$Q$2))</f>
        <v>1901.9939853413</v>
      </c>
      <c r="G397" s="15" t="n">
        <f aca="false">F397*(1+IF(G$3&lt;=$O$2,$D397,$D397-($D397-$I$373)*MIN(G$3-$O$2,$Q$2)/$Q$2))</f>
        <v>1928.53641918766</v>
      </c>
      <c r="H397" s="15" t="n">
        <f aca="false">G397*(1+IF(H$3&lt;=$O$2,$D397,$D397-($D397-$I$373)*MIN(H$3-$O$2,$Q$2)/$Q$2))</f>
        <v>1955.44925420243</v>
      </c>
      <c r="I397" s="15" t="n">
        <f aca="false">H397*(1+IF(I$3&lt;=$O$2,$D397,$D397-($D397-$I$373)*MIN(I$3-$O$2,$Q$2)/$Q$2))</f>
        <v>1982.7376593549</v>
      </c>
      <c r="J397" s="15" t="n">
        <f aca="false">I397*(1+IF(J$3&lt;=$O$2,$D397,$D397-($D397-$I$373)*MIN(J$3-$O$2,$Q$2)/$Q$2))</f>
        <v>2014.78672076587</v>
      </c>
      <c r="K397" s="15" t="n">
        <f aca="false">J397*(1+IF(K$3&lt;=$O$2,$D397,$D397-($D397-$I$373)*MIN(K$3-$O$2,$Q$2)/$Q$2))</f>
        <v>2051.80446569005</v>
      </c>
      <c r="L397" s="15" t="n">
        <f aca="false">K397*(1+IF(L$3&lt;=$O$2,$D397,$D397-($D397-$I$373)*MIN(L$3-$O$2,$Q$2)/$Q$2))</f>
        <v>2094.034751711</v>
      </c>
      <c r="M397" s="15" t="n">
        <f aca="false">L397*(1+IF(M$3&lt;=$O$2,$D397,$D397-($D397-$I$373)*MIN(M$3-$O$2,$Q$2)/$Q$2))</f>
        <v>2141.75992146991</v>
      </c>
      <c r="N397" s="15" t="n">
        <f aca="false">M397*(1+IF(N$3&lt;=$O$2,$D397,$D397-($D397-$I$373)*MIN(N$3-$O$2,$Q$2)/$Q$2))</f>
        <v>2195.30391950666</v>
      </c>
      <c r="O397" s="15" t="n">
        <f aca="false">SUMPRODUCT(E397:N397,1/(1+$F$373)^$E$3:$N$3)*$E$2</f>
        <v>5202.46491303353</v>
      </c>
      <c r="P397" s="15" t="n">
        <f aca="false">N397*$E$2*(1+$I$373)/($F$373-$I$373)/(1+$F$373)^$N$3</f>
        <v>11360.2309847816</v>
      </c>
      <c r="Q397" s="15" t="n">
        <f aca="false">O397+P397</f>
        <v>16562.6958978152</v>
      </c>
      <c r="R397" s="15" t="n">
        <f aca="false">Q397-$G$2+$I$2</f>
        <v>15009.9958978152</v>
      </c>
      <c r="S397" s="40" t="n">
        <f aca="false">R397/$K$2</f>
        <v>54.5045059654133</v>
      </c>
      <c r="T397" s="41" t="n">
        <f aca="false">S397-$M$2</f>
        <v>-1.48959106738289E-005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0.0139550566673279</v>
      </c>
      <c r="C398" s="25" t="n">
        <f aca="false">IF(T397&gt;0,D397,C397)</f>
        <v>0.0139552354812622</v>
      </c>
      <c r="D398" s="39" t="n">
        <f aca="false">(B398+C398)/2</f>
        <v>0.013955146074295</v>
      </c>
      <c r="E398" s="15" t="n">
        <f aca="false">$C$2*(1+IF(E$3&lt;=$O$2,$D398,$D398-($D398-$I$373)*MIN(E$3-$O$2,$Q$2)/$Q$2))</f>
        <v>1875.81702023745</v>
      </c>
      <c r="F398" s="15" t="n">
        <f aca="false">E398*(1+IF(F$3&lt;=$O$2,$D398,$D398-($D398-$I$373)*MIN(F$3-$O$2,$Q$2)/$Q$2))</f>
        <v>1901.99432076351</v>
      </c>
      <c r="G398" s="15" t="n">
        <f aca="false">F398*(1+IF(G$3&lt;=$O$2,$D398,$D398-($D398-$I$373)*MIN(G$3-$O$2,$Q$2)/$Q$2))</f>
        <v>1928.53692934224</v>
      </c>
      <c r="H398" s="15" t="n">
        <f aca="false">G398*(1+IF(H$3&lt;=$O$2,$D398,$D398-($D398-$I$373)*MIN(H$3-$O$2,$Q$2)/$Q$2))</f>
        <v>1955.44994390089</v>
      </c>
      <c r="I398" s="15" t="n">
        <f aca="false">H398*(1+IF(I$3&lt;=$O$2,$D398,$D398-($D398-$I$373)*MIN(I$3-$O$2,$Q$2)/$Q$2))</f>
        <v>1982.738533509</v>
      </c>
      <c r="J398" s="15" t="n">
        <f aca="false">I398*(1+IF(J$3&lt;=$O$2,$D398,$D398-($D398-$I$373)*MIN(J$3-$O$2,$Q$2)/$Q$2))</f>
        <v>2014.78775086634</v>
      </c>
      <c r="K398" s="15" t="n">
        <f aca="false">J398*(1+IF(K$3&lt;=$O$2,$D398,$D398-($D398-$I$373)*MIN(K$3-$O$2,$Q$2)/$Q$2))</f>
        <v>2051.80562279823</v>
      </c>
      <c r="L398" s="15" t="n">
        <f aca="false">K398*(1+IF(L$3&lt;=$O$2,$D398,$D398-($D398-$I$373)*MIN(L$3-$O$2,$Q$2)/$Q$2))</f>
        <v>2094.03600601309</v>
      </c>
      <c r="M398" s="15" t="n">
        <f aca="false">L398*(1+IF(M$3&lt;=$O$2,$D398,$D398-($D398-$I$373)*MIN(M$3-$O$2,$Q$2)/$Q$2))</f>
        <v>2141.7612418031</v>
      </c>
      <c r="N398" s="15" t="n">
        <f aca="false">M398*(1+IF(N$3&lt;=$O$2,$D398,$D398-($D398-$I$373)*MIN(N$3-$O$2,$Q$2)/$Q$2))</f>
        <v>2195.30527284817</v>
      </c>
      <c r="O398" s="15" t="n">
        <f aca="false">SUMPRODUCT(E398:N398,1/(1+$F$373)^$E$3:$N$3)*$E$2</f>
        <v>5202.46699231862</v>
      </c>
      <c r="P398" s="15" t="n">
        <f aca="false">N398*$E$2*(1+$I$373)/($F$373-$I$373)/(1+$F$373)^$N$3</f>
        <v>11360.2379880362</v>
      </c>
      <c r="Q398" s="15" t="n">
        <f aca="false">O398+P398</f>
        <v>16562.7049803548</v>
      </c>
      <c r="R398" s="15" t="n">
        <f aca="false">Q398-$G$2+$I$2</f>
        <v>15010.0049803548</v>
      </c>
      <c r="S398" s="40" t="n">
        <f aca="false">R398/$K$2</f>
        <v>54.5045389460577</v>
      </c>
      <c r="T398" s="41" t="n">
        <f aca="false">S398-$M$2</f>
        <v>1.80847337531986E-005</v>
      </c>
    </row>
    <row r="400" customFormat="false" ht="15" hidden="false" customHeight="false" outlineLevel="0" collapsed="false">
      <c r="A400" s="36" t="s">
        <v>189</v>
      </c>
      <c r="E400" s="5" t="s">
        <v>11</v>
      </c>
      <c r="F400" s="12" t="n">
        <f aca="false">Sensitivity!$B$12</f>
        <v>0.0635093056415221</v>
      </c>
      <c r="G400" s="5" t="s">
        <v>12</v>
      </c>
      <c r="I400" s="12" t="n">
        <f aca="false">Sensitivity!$F$9</f>
        <v>0.03</v>
      </c>
    </row>
    <row r="401" customFormat="false" ht="23.85" hidden="false" customHeight="false" outlineLevel="0" collapsed="false">
      <c r="A401" s="36" t="s">
        <v>156</v>
      </c>
      <c r="B401" s="28" t="s">
        <v>157</v>
      </c>
      <c r="C401" s="28" t="s">
        <v>158</v>
      </c>
      <c r="D401" s="28" t="s">
        <v>159</v>
      </c>
      <c r="E401" s="28" t="s">
        <v>160</v>
      </c>
      <c r="F401" s="28" t="s">
        <v>161</v>
      </c>
      <c r="G401" s="28" t="s">
        <v>162</v>
      </c>
      <c r="H401" s="28" t="s">
        <v>163</v>
      </c>
      <c r="I401" s="28" t="s">
        <v>164</v>
      </c>
      <c r="J401" s="28" t="s">
        <v>165</v>
      </c>
      <c r="K401" s="28" t="s">
        <v>166</v>
      </c>
      <c r="L401" s="28" t="s">
        <v>167</v>
      </c>
      <c r="M401" s="28" t="s">
        <v>168</v>
      </c>
      <c r="N401" s="28" t="s">
        <v>169</v>
      </c>
      <c r="O401" s="28" t="s">
        <v>170</v>
      </c>
      <c r="P401" s="28" t="s">
        <v>171</v>
      </c>
      <c r="Q401" s="28" t="s">
        <v>172</v>
      </c>
      <c r="R401" s="28" t="s">
        <v>173</v>
      </c>
      <c r="S401" s="28" t="s">
        <v>174</v>
      </c>
      <c r="T401" s="28" t="s">
        <v>175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39" t="n">
        <f aca="false">(B402+C402)/2</f>
        <v>0.25</v>
      </c>
      <c r="E402" s="15" t="n">
        <f aca="false">$C$2*(1+IF(E$3&lt;=$O$2,$D402,$D402-($D402-$I$400)*MIN(E$3-$O$2,$Q$2)/$Q$2))</f>
        <v>2312.5</v>
      </c>
      <c r="F402" s="15" t="n">
        <f aca="false">E402*(1+IF(F$3&lt;=$O$2,$D402,$D402-($D402-$I$400)*MIN(F$3-$O$2,$Q$2)/$Q$2))</f>
        <v>2890.625</v>
      </c>
      <c r="G402" s="15" t="n">
        <f aca="false">F402*(1+IF(G$3&lt;=$O$2,$D402,$D402-($D402-$I$400)*MIN(G$3-$O$2,$Q$2)/$Q$2))</f>
        <v>3613.28125</v>
      </c>
      <c r="H402" s="15" t="n">
        <f aca="false">G402*(1+IF(H$3&lt;=$O$2,$D402,$D402-($D402-$I$400)*MIN(H$3-$O$2,$Q$2)/$Q$2))</f>
        <v>4516.6015625</v>
      </c>
      <c r="I402" s="15" t="n">
        <f aca="false">H402*(1+IF(I$3&lt;=$O$2,$D402,$D402-($D402-$I$400)*MIN(I$3-$O$2,$Q$2)/$Q$2))</f>
        <v>5645.751953125</v>
      </c>
      <c r="J402" s="15" t="n">
        <f aca="false">I402*(1+IF(J$3&lt;=$O$2,$D402,$D402-($D402-$I$400)*MIN(J$3-$O$2,$Q$2)/$Q$2))</f>
        <v>6808.77685546875</v>
      </c>
      <c r="K402" s="15" t="n">
        <f aca="false">J402*(1+IF(K$3&lt;=$O$2,$D402,$D402-($D402-$I$400)*MIN(K$3-$O$2,$Q$2)/$Q$2))</f>
        <v>7911.79870605469</v>
      </c>
      <c r="L402" s="15" t="n">
        <f aca="false">K402*(1+IF(L$3&lt;=$O$2,$D402,$D402-($D402-$I$400)*MIN(L$3-$O$2,$Q$2)/$Q$2))</f>
        <v>8845.39095336914</v>
      </c>
      <c r="M402" s="15" t="n">
        <f aca="false">L402*(1+IF(M$3&lt;=$O$2,$D402,$D402-($D402-$I$400)*MIN(M$3-$O$2,$Q$2)/$Q$2))</f>
        <v>9499.94988391846</v>
      </c>
      <c r="N402" s="15" t="n">
        <f aca="false">M402*(1+IF(N$3&lt;=$O$2,$D402,$D402-($D402-$I$400)*MIN(N$3-$O$2,$Q$2)/$Q$2))</f>
        <v>9784.94838043601</v>
      </c>
      <c r="O402" s="15" t="n">
        <f aca="false">SUMPRODUCT(E402:N402,1/(1+$F$400)^$E$3:$N$3)*$E$2</f>
        <v>14902.5100708978</v>
      </c>
      <c r="P402" s="15" t="n">
        <f aca="false">N402*$E$2*(1+$I$400)/($F$400-$I$400)/(1+$F$400)^$N$3</f>
        <v>58474.2508522558</v>
      </c>
      <c r="Q402" s="15" t="n">
        <f aca="false">O402+P402</f>
        <v>73376.7609231537</v>
      </c>
      <c r="R402" s="15" t="n">
        <f aca="false">Q402-$G$2+$I$2</f>
        <v>71824.0609231537</v>
      </c>
      <c r="S402" s="40" t="n">
        <f aca="false">R402/$K$2</f>
        <v>260.80852944244</v>
      </c>
      <c r="T402" s="41" t="n">
        <f aca="false">S402-$M$2</f>
        <v>206.304008581116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39" t="n">
        <f aca="false">(B403+C403)/2</f>
        <v>-0.125</v>
      </c>
      <c r="E403" s="15" t="n">
        <f aca="false">$C$2*(1+IF(E$3&lt;=$O$2,$D403,$D403-($D403-$I$400)*MIN(E$3-$O$2,$Q$2)/$Q$2))</f>
        <v>1618.75</v>
      </c>
      <c r="F403" s="15" t="n">
        <f aca="false">E403*(1+IF(F$3&lt;=$O$2,$D403,$D403-($D403-$I$400)*MIN(F$3-$O$2,$Q$2)/$Q$2))</f>
        <v>1416.40625</v>
      </c>
      <c r="G403" s="15" t="n">
        <f aca="false">F403*(1+IF(G$3&lt;=$O$2,$D403,$D403-($D403-$I$400)*MIN(G$3-$O$2,$Q$2)/$Q$2))</f>
        <v>1239.35546875</v>
      </c>
      <c r="H403" s="15" t="n">
        <f aca="false">G403*(1+IF(H$3&lt;=$O$2,$D403,$D403-($D403-$I$400)*MIN(H$3-$O$2,$Q$2)/$Q$2))</f>
        <v>1084.43603515625</v>
      </c>
      <c r="I403" s="15" t="n">
        <f aca="false">H403*(1+IF(I$3&lt;=$O$2,$D403,$D403-($D403-$I$400)*MIN(I$3-$O$2,$Q$2)/$Q$2))</f>
        <v>948.881530761719</v>
      </c>
      <c r="J403" s="15" t="n">
        <f aca="false">I403*(1+IF(J$3&lt;=$O$2,$D403,$D403-($D403-$I$400)*MIN(J$3-$O$2,$Q$2)/$Q$2))</f>
        <v>859.686666870117</v>
      </c>
      <c r="K403" s="15" t="n">
        <f aca="false">J403*(1+IF(K$3&lt;=$O$2,$D403,$D403-($D403-$I$400)*MIN(K$3-$O$2,$Q$2)/$Q$2))</f>
        <v>805.5264068573</v>
      </c>
      <c r="L403" s="15" t="n">
        <f aca="false">K403*(1+IF(L$3&lt;=$O$2,$D403,$D403-($D403-$I$400)*MIN(L$3-$O$2,$Q$2)/$Q$2))</f>
        <v>779.749561837866</v>
      </c>
      <c r="M403" s="15" t="n">
        <f aca="false">L403*(1+IF(M$3&lt;=$O$2,$D403,$D403-($D403-$I$400)*MIN(M$3-$O$2,$Q$2)/$Q$2))</f>
        <v>778.969812276028</v>
      </c>
      <c r="N403" s="15" t="n">
        <f aca="false">M403*(1+IF(N$3&lt;=$O$2,$D403,$D403-($D403-$I$400)*MIN(N$3-$O$2,$Q$2)/$Q$2))</f>
        <v>802.338906644309</v>
      </c>
      <c r="O403" s="15" t="n">
        <f aca="false">SUMPRODUCT(E403:N403,1/(1+$F$400)^$E$3:$N$3)*$E$2</f>
        <v>2815.96121307403</v>
      </c>
      <c r="P403" s="15" t="n">
        <f aca="false">N403*$E$2*(1+$I$400)/($F$400-$I$400)/(1+$F$400)^$N$3</f>
        <v>4794.72805287844</v>
      </c>
      <c r="Q403" s="15" t="n">
        <f aca="false">O403+P403</f>
        <v>7610.68926595247</v>
      </c>
      <c r="R403" s="15" t="n">
        <f aca="false">Q403-$G$2+$I$2</f>
        <v>6057.98926595247</v>
      </c>
      <c r="S403" s="40" t="n">
        <f aca="false">R403/$K$2</f>
        <v>21.9978549183067</v>
      </c>
      <c r="T403" s="41" t="n">
        <f aca="false">S403-$M$2</f>
        <v>-32.5066659430173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39" t="n">
        <f aca="false">(B404+C404)/2</f>
        <v>0.0625</v>
      </c>
      <c r="E404" s="15" t="n">
        <f aca="false">$C$2*(1+IF(E$3&lt;=$O$2,$D404,$D404-($D404-$I$400)*MIN(E$3-$O$2,$Q$2)/$Q$2))</f>
        <v>1965.625</v>
      </c>
      <c r="F404" s="15" t="n">
        <f aca="false">E404*(1+IF(F$3&lt;=$O$2,$D404,$D404-($D404-$I$400)*MIN(F$3-$O$2,$Q$2)/$Q$2))</f>
        <v>2088.4765625</v>
      </c>
      <c r="G404" s="15" t="n">
        <f aca="false">F404*(1+IF(G$3&lt;=$O$2,$D404,$D404-($D404-$I$400)*MIN(G$3-$O$2,$Q$2)/$Q$2))</f>
        <v>2219.00634765625</v>
      </c>
      <c r="H404" s="15" t="n">
        <f aca="false">G404*(1+IF(H$3&lt;=$O$2,$D404,$D404-($D404-$I$400)*MIN(H$3-$O$2,$Q$2)/$Q$2))</f>
        <v>2357.69424438477</v>
      </c>
      <c r="I404" s="15" t="n">
        <f aca="false">H404*(1+IF(I$3&lt;=$O$2,$D404,$D404-($D404-$I$400)*MIN(I$3-$O$2,$Q$2)/$Q$2))</f>
        <v>2505.05013465881</v>
      </c>
      <c r="J404" s="15" t="n">
        <f aca="false">I404*(1+IF(J$3&lt;=$O$2,$D404,$D404-($D404-$I$400)*MIN(J$3-$O$2,$Q$2)/$Q$2))</f>
        <v>2645.33294219971</v>
      </c>
      <c r="K404" s="15" t="n">
        <f aca="false">J404*(1+IF(K$3&lt;=$O$2,$D404,$D404-($D404-$I$400)*MIN(K$3-$O$2,$Q$2)/$Q$2))</f>
        <v>2776.27692283859</v>
      </c>
      <c r="L404" s="15" t="n">
        <f aca="false">K404*(1+IF(L$3&lt;=$O$2,$D404,$D404-($D404-$I$400)*MIN(L$3-$O$2,$Q$2)/$Q$2))</f>
        <v>2895.65683052065</v>
      </c>
      <c r="M404" s="15" t="n">
        <f aca="false">L404*(1+IF(M$3&lt;=$O$2,$D404,$D404-($D404-$I$400)*MIN(M$3-$O$2,$Q$2)/$Q$2))</f>
        <v>3001.34830483466</v>
      </c>
      <c r="N404" s="15" t="n">
        <f aca="false">M404*(1+IF(N$3&lt;=$O$2,$D404,$D404-($D404-$I$400)*MIN(N$3-$O$2,$Q$2)/$Q$2))</f>
        <v>3091.3887539797</v>
      </c>
      <c r="O404" s="15" t="n">
        <f aca="false">SUMPRODUCT(E404:N404,1/(1+$F$400)^$E$3:$N$3)*$E$2</f>
        <v>6484.87147997873</v>
      </c>
      <c r="P404" s="15" t="n">
        <f aca="false">N404*$E$2*(1+$I$400)/($F$400-$I$400)/(1+$F$400)^$N$3</f>
        <v>18473.9494225106</v>
      </c>
      <c r="Q404" s="15" t="n">
        <f aca="false">O404+P404</f>
        <v>24958.8209024893</v>
      </c>
      <c r="R404" s="15" t="n">
        <f aca="false">Q404-$G$2+$I$2</f>
        <v>23406.1209024893</v>
      </c>
      <c r="S404" s="40" t="n">
        <f aca="false">R404/$K$2</f>
        <v>84.9926319128846</v>
      </c>
      <c r="T404" s="41" t="n">
        <f aca="false">S404-$M$2</f>
        <v>30.4881110515606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39" t="n">
        <f aca="false">(B405+C405)/2</f>
        <v>-0.03125</v>
      </c>
      <c r="E405" s="15" t="n">
        <f aca="false">$C$2*(1+IF(E$3&lt;=$O$2,$D405,$D405-($D405-$I$400)*MIN(E$3-$O$2,$Q$2)/$Q$2))</f>
        <v>1792.1875</v>
      </c>
      <c r="F405" s="15" t="n">
        <f aca="false">E405*(1+IF(F$3&lt;=$O$2,$D405,$D405-($D405-$I$400)*MIN(F$3-$O$2,$Q$2)/$Q$2))</f>
        <v>1736.181640625</v>
      </c>
      <c r="G405" s="15" t="n">
        <f aca="false">F405*(1+IF(G$3&lt;=$O$2,$D405,$D405-($D405-$I$400)*MIN(G$3-$O$2,$Q$2)/$Q$2))</f>
        <v>1681.92596435547</v>
      </c>
      <c r="H405" s="15" t="n">
        <f aca="false">G405*(1+IF(H$3&lt;=$O$2,$D405,$D405-($D405-$I$400)*MIN(H$3-$O$2,$Q$2)/$Q$2))</f>
        <v>1629.36577796936</v>
      </c>
      <c r="I405" s="15" t="n">
        <f aca="false">H405*(1+IF(I$3&lt;=$O$2,$D405,$D405-($D405-$I$400)*MIN(I$3-$O$2,$Q$2)/$Q$2))</f>
        <v>1578.44809740782</v>
      </c>
      <c r="J405" s="15" t="n">
        <f aca="false">I405*(1+IF(J$3&lt;=$O$2,$D405,$D405-($D405-$I$400)*MIN(J$3-$O$2,$Q$2)/$Q$2))</f>
        <v>1548.45758355707</v>
      </c>
      <c r="K405" s="15" t="n">
        <f aca="false">J405*(1+IF(K$3&lt;=$O$2,$D405,$D405-($D405-$I$400)*MIN(K$3-$O$2,$Q$2)/$Q$2))</f>
        <v>1538.00549486806</v>
      </c>
      <c r="L405" s="15" t="n">
        <f aca="false">K405*(1+IF(L$3&lt;=$O$2,$D405,$D405-($D405-$I$400)*MIN(L$3-$O$2,$Q$2)/$Q$2))</f>
        <v>1546.46452508983</v>
      </c>
      <c r="M405" s="15" t="n">
        <f aca="false">L405*(1+IF(M$3&lt;=$O$2,$D405,$D405-($D405-$I$400)*MIN(M$3-$O$2,$Q$2)/$Q$2))</f>
        <v>1573.91427041018</v>
      </c>
      <c r="N405" s="15" t="n">
        <f aca="false">M405*(1+IF(N$3&lt;=$O$2,$D405,$D405-($D405-$I$400)*MIN(N$3-$O$2,$Q$2)/$Q$2))</f>
        <v>1621.13169852248</v>
      </c>
      <c r="O405" s="15" t="n">
        <f aca="false">SUMPRODUCT(E405:N405,1/(1+$F$400)^$E$3:$N$3)*$E$2</f>
        <v>4263.37405611458</v>
      </c>
      <c r="P405" s="15" t="n">
        <f aca="false">N405*$E$2*(1+$I$400)/($F$400-$I$400)/(1+$F$400)^$N$3</f>
        <v>9687.78351385879</v>
      </c>
      <c r="Q405" s="15" t="n">
        <f aca="false">O405+P405</f>
        <v>13951.1575699734</v>
      </c>
      <c r="R405" s="15" t="n">
        <f aca="false">Q405-$G$2+$I$2</f>
        <v>12398.4575699734</v>
      </c>
      <c r="S405" s="40" t="n">
        <f aca="false">R405/$K$2</f>
        <v>45.0214516502901</v>
      </c>
      <c r="T405" s="41" t="n">
        <f aca="false">S405-$M$2</f>
        <v>-9.48306921103389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39" t="n">
        <f aca="false">(B406+C406)/2</f>
        <v>0.015625</v>
      </c>
      <c r="E406" s="15" t="n">
        <f aca="false">$C$2*(1+IF(E$3&lt;=$O$2,$D406,$D406-($D406-$I$400)*MIN(E$3-$O$2,$Q$2)/$Q$2))</f>
        <v>1878.90625</v>
      </c>
      <c r="F406" s="15" t="n">
        <f aca="false">E406*(1+IF(F$3&lt;=$O$2,$D406,$D406-($D406-$I$400)*MIN(F$3-$O$2,$Q$2)/$Q$2))</f>
        <v>1908.26416015625</v>
      </c>
      <c r="G406" s="15" t="n">
        <f aca="false">F406*(1+IF(G$3&lt;=$O$2,$D406,$D406-($D406-$I$400)*MIN(G$3-$O$2,$Q$2)/$Q$2))</f>
        <v>1938.08078765869</v>
      </c>
      <c r="H406" s="15" t="n">
        <f aca="false">G406*(1+IF(H$3&lt;=$O$2,$D406,$D406-($D406-$I$400)*MIN(H$3-$O$2,$Q$2)/$Q$2))</f>
        <v>1968.36329996586</v>
      </c>
      <c r="I406" s="15" t="n">
        <f aca="false">H406*(1+IF(I$3&lt;=$O$2,$D406,$D406-($D406-$I$400)*MIN(I$3-$O$2,$Q$2)/$Q$2))</f>
        <v>1999.11897652783</v>
      </c>
      <c r="J406" s="15" t="n">
        <f aca="false">I406*(1+IF(J$3&lt;=$O$2,$D406,$D406-($D406-$I$400)*MIN(J$3-$O$2,$Q$2)/$Q$2))</f>
        <v>2036.10267759359</v>
      </c>
      <c r="K406" s="15" t="n">
        <f aca="false">J406*(1+IF(K$3&lt;=$O$2,$D406,$D406-($D406-$I$400)*MIN(K$3-$O$2,$Q$2)/$Q$2))</f>
        <v>2079.62437232715</v>
      </c>
      <c r="L406" s="15" t="n">
        <f aca="false">K406*(1+IF(L$3&lt;=$O$2,$D406,$D406-($D406-$I$400)*MIN(L$3-$O$2,$Q$2)/$Q$2))</f>
        <v>2130.05526335609</v>
      </c>
      <c r="M406" s="15" t="n">
        <f aca="false">L406*(1+IF(M$3&lt;=$O$2,$D406,$D406-($D406-$I$400)*MIN(M$3-$O$2,$Q$2)/$Q$2))</f>
        <v>2187.83301237462</v>
      </c>
      <c r="N406" s="15" t="n">
        <f aca="false">M406*(1+IF(N$3&lt;=$O$2,$D406,$D406-($D406-$I$400)*MIN(N$3-$O$2,$Q$2)/$Q$2))</f>
        <v>2253.46800274586</v>
      </c>
      <c r="O406" s="15" t="n">
        <f aca="false">SUMPRODUCT(E406:N406,1/(1+$F$400)^$E$3:$N$3)*$E$2</f>
        <v>5256.88925533484</v>
      </c>
      <c r="P406" s="15" t="n">
        <f aca="false">N406*$E$2*(1+$I$400)/($F$400-$I$400)/(1+$F$400)^$N$3</f>
        <v>13466.58645063</v>
      </c>
      <c r="Q406" s="15" t="n">
        <f aca="false">O406+P406</f>
        <v>18723.4757059648</v>
      </c>
      <c r="R406" s="15" t="n">
        <f aca="false">Q406-$G$2+$I$2</f>
        <v>17170.7757059648</v>
      </c>
      <c r="S406" s="40" t="n">
        <f aca="false">R406/$K$2</f>
        <v>62.3507596716105</v>
      </c>
      <c r="T406" s="41" t="n">
        <f aca="false">S406-$M$2</f>
        <v>7.84623881028659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-0.03125</v>
      </c>
      <c r="C407" s="25" t="n">
        <f aca="false">IF(T406&gt;0,D406,C406)</f>
        <v>0.015625</v>
      </c>
      <c r="D407" s="39" t="n">
        <f aca="false">(B407+C407)/2</f>
        <v>-0.0078125</v>
      </c>
      <c r="E407" s="15" t="n">
        <f aca="false">$C$2*(1+IF(E$3&lt;=$O$2,$D407,$D407-($D407-$I$400)*MIN(E$3-$O$2,$Q$2)/$Q$2))</f>
        <v>1835.546875</v>
      </c>
      <c r="F407" s="15" t="n">
        <f aca="false">E407*(1+IF(F$3&lt;=$O$2,$D407,$D407-($D407-$I$400)*MIN(F$3-$O$2,$Q$2)/$Q$2))</f>
        <v>1821.20666503906</v>
      </c>
      <c r="G407" s="15" t="n">
        <f aca="false">F407*(1+IF(G$3&lt;=$O$2,$D407,$D407-($D407-$I$400)*MIN(G$3-$O$2,$Q$2)/$Q$2))</f>
        <v>1806.97848796844</v>
      </c>
      <c r="H407" s="15" t="n">
        <f aca="false">G407*(1+IF(H$3&lt;=$O$2,$D407,$D407-($D407-$I$400)*MIN(H$3-$O$2,$Q$2)/$Q$2))</f>
        <v>1792.86146853119</v>
      </c>
      <c r="I407" s="15" t="n">
        <f aca="false">H407*(1+IF(I$3&lt;=$O$2,$D407,$D407-($D407-$I$400)*MIN(I$3-$O$2,$Q$2)/$Q$2))</f>
        <v>1778.85473830829</v>
      </c>
      <c r="J407" s="15" t="n">
        <f aca="false">I407*(1+IF(J$3&lt;=$O$2,$D407,$D407-($D407-$I$400)*MIN(J$3-$O$2,$Q$2)/$Q$2))</f>
        <v>1778.41002462371</v>
      </c>
      <c r="K407" s="15" t="n">
        <f aca="false">J407*(1+IF(K$3&lt;=$O$2,$D407,$D407-($D407-$I$400)*MIN(K$3-$O$2,$Q$2)/$Q$2))</f>
        <v>1791.41464792878</v>
      </c>
      <c r="L407" s="15" t="n">
        <f aca="false">K407*(1+IF(L$3&lt;=$O$2,$D407,$D407-($D407-$I$400)*MIN(L$3-$O$2,$Q$2)/$Q$2))</f>
        <v>1818.06194081672</v>
      </c>
      <c r="M407" s="15" t="n">
        <f aca="false">L407*(1+IF(M$3&lt;=$O$2,$D407,$D407-($D407-$I$400)*MIN(M$3-$O$2,$Q$2)/$Q$2))</f>
        <v>1858.85470561379</v>
      </c>
      <c r="N407" s="15" t="n">
        <f aca="false">M407*(1+IF(N$3&lt;=$O$2,$D407,$D407-($D407-$I$400)*MIN(N$3-$O$2,$Q$2)/$Q$2))</f>
        <v>1914.62034678221</v>
      </c>
      <c r="O407" s="15" t="n">
        <f aca="false">SUMPRODUCT(E407:N407,1/(1+$F$400)^$E$3:$N$3)*$E$2</f>
        <v>4733.6659851711</v>
      </c>
      <c r="P407" s="15" t="n">
        <f aca="false">N407*$E$2*(1+$I$400)/($F$400-$I$400)/(1+$F$400)^$N$3</f>
        <v>11441.6536594531</v>
      </c>
      <c r="Q407" s="15" t="n">
        <f aca="false">O407+P407</f>
        <v>16175.3196446242</v>
      </c>
      <c r="R407" s="15" t="n">
        <f aca="false">Q407-$G$2+$I$2</f>
        <v>14622.6196446242</v>
      </c>
      <c r="S407" s="40" t="n">
        <f aca="false">R407/$K$2</f>
        <v>53.0978599245588</v>
      </c>
      <c r="T407" s="41" t="n">
        <f aca="false">S407-$M$2</f>
        <v>-1.40666093676517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-0.0078125</v>
      </c>
      <c r="C408" s="25" t="n">
        <f aca="false">IF(T407&gt;0,D407,C407)</f>
        <v>0.015625</v>
      </c>
      <c r="D408" s="39" t="n">
        <f aca="false">(B408+C408)/2</f>
        <v>0.00390625</v>
      </c>
      <c r="E408" s="15" t="n">
        <f aca="false">$C$2*(1+IF(E$3&lt;=$O$2,$D408,$D408-($D408-$I$400)*MIN(E$3-$O$2,$Q$2)/$Q$2))</f>
        <v>1857.2265625</v>
      </c>
      <c r="F408" s="15" t="n">
        <f aca="false">E408*(1+IF(F$3&lt;=$O$2,$D408,$D408-($D408-$I$400)*MIN(F$3-$O$2,$Q$2)/$Q$2))</f>
        <v>1864.48135375977</v>
      </c>
      <c r="G408" s="15" t="n">
        <f aca="false">F408*(1+IF(G$3&lt;=$O$2,$D408,$D408-($D408-$I$400)*MIN(G$3-$O$2,$Q$2)/$Q$2))</f>
        <v>1871.76448404789</v>
      </c>
      <c r="H408" s="15" t="n">
        <f aca="false">G408*(1+IF(H$3&lt;=$O$2,$D408,$D408-($D408-$I$400)*MIN(H$3-$O$2,$Q$2)/$Q$2))</f>
        <v>1879.0760640637</v>
      </c>
      <c r="I408" s="15" t="n">
        <f aca="false">H408*(1+IF(I$3&lt;=$O$2,$D408,$D408-($D408-$I$400)*MIN(I$3-$O$2,$Q$2)/$Q$2))</f>
        <v>1886.41620493895</v>
      </c>
      <c r="J408" s="15" t="n">
        <f aca="false">I408*(1+IF(J$3&lt;=$O$2,$D408,$D408-($D408-$I$400)*MIN(J$3-$O$2,$Q$2)/$Q$2))</f>
        <v>1903.62975280902</v>
      </c>
      <c r="K408" s="15" t="n">
        <f aca="false">J408*(1+IF(K$3&lt;=$O$2,$D408,$D408-($D408-$I$400)*MIN(K$3-$O$2,$Q$2)/$Q$2))</f>
        <v>1930.93494207587</v>
      </c>
      <c r="L408" s="15" t="n">
        <f aca="false">K408*(1+IF(L$3&lt;=$O$2,$D408,$D408-($D408-$I$400)*MIN(L$3-$O$2,$Q$2)/$Q$2))</f>
        <v>1968.70885688023</v>
      </c>
      <c r="M408" s="15" t="n">
        <f aca="false">L408*(1+IF(M$3&lt;=$O$2,$D408,$D408-($D408-$I$400)*MIN(M$3-$O$2,$Q$2)/$Q$2))</f>
        <v>2017.4959232398</v>
      </c>
      <c r="N408" s="15" t="n">
        <f aca="false">M408*(1+IF(N$3&lt;=$O$2,$D408,$D408-($D408-$I$400)*MIN(N$3-$O$2,$Q$2)/$Q$2))</f>
        <v>2078.02080093699</v>
      </c>
      <c r="O408" s="15" t="n">
        <f aca="false">SUMPRODUCT(E408:N408,1/(1+$F$400)^$E$3:$N$3)*$E$2</f>
        <v>4988.32501654764</v>
      </c>
      <c r="P408" s="15" t="n">
        <f aca="false">N408*$E$2*(1+$I$400)/($F$400-$I$400)/(1+$F$400)^$N$3</f>
        <v>12418.1247428084</v>
      </c>
      <c r="Q408" s="15" t="n">
        <f aca="false">O408+P408</f>
        <v>17406.449759356</v>
      </c>
      <c r="R408" s="15" t="n">
        <f aca="false">Q408-$G$2+$I$2</f>
        <v>15853.749759356</v>
      </c>
      <c r="S408" s="40" t="n">
        <f aca="false">R408/$K$2</f>
        <v>57.5683567281166</v>
      </c>
      <c r="T408" s="41" t="n">
        <f aca="false">S408-$M$2</f>
        <v>3.06383586679261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-0.0078125</v>
      </c>
      <c r="C409" s="25" t="n">
        <f aca="false">IF(T408&gt;0,D408,C408)</f>
        <v>0.00390625</v>
      </c>
      <c r="D409" s="39" t="n">
        <f aca="false">(B409+C409)/2</f>
        <v>-0.001953125</v>
      </c>
      <c r="E409" s="15" t="n">
        <f aca="false">$C$2*(1+IF(E$3&lt;=$O$2,$D409,$D409-($D409-$I$400)*MIN(E$3-$O$2,$Q$2)/$Q$2))</f>
        <v>1846.38671875</v>
      </c>
      <c r="F409" s="15" t="n">
        <f aca="false">E409*(1+IF(F$3&lt;=$O$2,$D409,$D409-($D409-$I$400)*MIN(F$3-$O$2,$Q$2)/$Q$2))</f>
        <v>1842.78049468994</v>
      </c>
      <c r="G409" s="15" t="n">
        <f aca="false">F409*(1+IF(G$3&lt;=$O$2,$D409,$D409-($D409-$I$400)*MIN(G$3-$O$2,$Q$2)/$Q$2))</f>
        <v>1839.18131403625</v>
      </c>
      <c r="H409" s="15" t="n">
        <f aca="false">G409*(1+IF(H$3&lt;=$O$2,$D409,$D409-($D409-$I$400)*MIN(H$3-$O$2,$Q$2)/$Q$2))</f>
        <v>1835.58916303227</v>
      </c>
      <c r="I409" s="15" t="n">
        <f aca="false">H409*(1+IF(I$3&lt;=$O$2,$D409,$D409-($D409-$I$400)*MIN(I$3-$O$2,$Q$2)/$Q$2))</f>
        <v>1832.00402794823</v>
      </c>
      <c r="J409" s="15" t="n">
        <f aca="false">I409*(1+IF(J$3&lt;=$O$2,$D409,$D409-($D409-$I$400)*MIN(J$3-$O$2,$Q$2)/$Q$2))</f>
        <v>1840.13354582225</v>
      </c>
      <c r="K409" s="15" t="n">
        <f aca="false">J409*(1+IF(K$3&lt;=$O$2,$D409,$D409-($D409-$I$400)*MIN(K$3-$O$2,$Q$2)/$Q$2))</f>
        <v>1860.0587418731</v>
      </c>
      <c r="L409" s="15" t="n">
        <f aca="false">K409*(1+IF(L$3&lt;=$O$2,$D409,$D409-($D409-$I$400)*MIN(L$3-$O$2,$Q$2)/$Q$2))</f>
        <v>1892.08662833473</v>
      </c>
      <c r="M409" s="15" t="n">
        <f aca="false">L409*(1+IF(M$3&lt;=$O$2,$D409,$D409-($D409-$I$400)*MIN(M$3-$O$2,$Q$2)/$Q$2))</f>
        <v>1936.75761107557</v>
      </c>
      <c r="N409" s="15" t="n">
        <f aca="false">M409*(1+IF(N$3&lt;=$O$2,$D409,$D409-($D409-$I$400)*MIN(N$3-$O$2,$Q$2)/$Q$2))</f>
        <v>1994.86033940784</v>
      </c>
      <c r="O409" s="15" t="n">
        <f aca="false">SUMPRODUCT(E409:N409,1/(1+$F$400)^$E$3:$N$3)*$E$2</f>
        <v>4859.30052338068</v>
      </c>
      <c r="P409" s="15" t="n">
        <f aca="false">N409*$E$2*(1+$I$400)/($F$400-$I$400)/(1+$F$400)^$N$3</f>
        <v>11921.1629296865</v>
      </c>
      <c r="Q409" s="15" t="n">
        <f aca="false">O409+P409</f>
        <v>16780.4634530672</v>
      </c>
      <c r="R409" s="15" t="n">
        <f aca="false">Q409-$G$2+$I$2</f>
        <v>15227.7634530672</v>
      </c>
      <c r="S409" s="40" t="n">
        <f aca="false">R409/$K$2</f>
        <v>55.2952665422391</v>
      </c>
      <c r="T409" s="41" t="n">
        <f aca="false">S409-$M$2</f>
        <v>0.790745680915137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-0.0078125</v>
      </c>
      <c r="C410" s="25" t="n">
        <f aca="false">IF(T409&gt;0,D409,C409)</f>
        <v>-0.001953125</v>
      </c>
      <c r="D410" s="39" t="n">
        <f aca="false">(B410+C410)/2</f>
        <v>-0.0048828125</v>
      </c>
      <c r="E410" s="15" t="n">
        <f aca="false">$C$2*(1+IF(E$3&lt;=$O$2,$D410,$D410-($D410-$I$400)*MIN(E$3-$O$2,$Q$2)/$Q$2))</f>
        <v>1840.966796875</v>
      </c>
      <c r="F410" s="15" t="n">
        <f aca="false">E410*(1+IF(F$3&lt;=$O$2,$D410,$D410-($D410-$I$400)*MIN(F$3-$O$2,$Q$2)/$Q$2))</f>
        <v>1831.97770118713</v>
      </c>
      <c r="G410" s="15" t="n">
        <f aca="false">F410*(1+IF(G$3&lt;=$O$2,$D410,$D410-($D410-$I$400)*MIN(G$3-$O$2,$Q$2)/$Q$2))</f>
        <v>1823.03249756806</v>
      </c>
      <c r="H410" s="15" t="n">
        <f aca="false">G410*(1+IF(H$3&lt;=$O$2,$D410,$D410-($D410-$I$400)*MIN(H$3-$O$2,$Q$2)/$Q$2))</f>
        <v>1814.13097170102</v>
      </c>
      <c r="I410" s="15" t="n">
        <f aca="false">H410*(1+IF(I$3&lt;=$O$2,$D410,$D410-($D410-$I$400)*MIN(I$3-$O$2,$Q$2)/$Q$2))</f>
        <v>1805.27291031577</v>
      </c>
      <c r="J410" s="15" t="n">
        <f aca="false">I410*(1+IF(J$3&lt;=$O$2,$D410,$D410-($D410-$I$400)*MIN(J$3-$O$2,$Q$2)/$Q$2))</f>
        <v>1809.05270047174</v>
      </c>
      <c r="K410" s="15" t="n">
        <f aca="false">J410*(1+IF(K$3&lt;=$O$2,$D410,$D410-($D410-$I$400)*MIN(K$3-$O$2,$Q$2)/$Q$2))</f>
        <v>1825.46137379399</v>
      </c>
      <c r="L410" s="15" t="n">
        <f aca="false">K410*(1+IF(L$3&lt;=$O$2,$D410,$D410-($D410-$I$400)*MIN(L$3-$O$2,$Q$2)/$Q$2))</f>
        <v>1854.75432427659</v>
      </c>
      <c r="M410" s="15" t="n">
        <f aca="false">L410*(1+IF(M$3&lt;=$O$2,$D410,$D410-($D410-$I$400)*MIN(M$3-$O$2,$Q$2)/$Q$2))</f>
        <v>1897.45714453942</v>
      </c>
      <c r="N410" s="15" t="n">
        <f aca="false">M410*(1+IF(N$3&lt;=$O$2,$D410,$D410-($D410-$I$400)*MIN(N$3-$O$2,$Q$2)/$Q$2))</f>
        <v>1954.38085887561</v>
      </c>
      <c r="O410" s="15" t="n">
        <f aca="false">SUMPRODUCT(E410:N410,1/(1+$F$400)^$E$3:$N$3)*$E$2</f>
        <v>4796.06480431373</v>
      </c>
      <c r="P410" s="15" t="n">
        <f aca="false">N410*$E$2*(1+$I$400)/($F$400-$I$400)/(1+$F$400)^$N$3</f>
        <v>11679.2600389423</v>
      </c>
      <c r="Q410" s="15" t="n">
        <f aca="false">O410+P410</f>
        <v>16475.324843256</v>
      </c>
      <c r="R410" s="15" t="n">
        <f aca="false">Q410-$G$2+$I$2</f>
        <v>14922.624843256</v>
      </c>
      <c r="S410" s="40" t="n">
        <f aca="false">R410/$K$2</f>
        <v>54.1872429763464</v>
      </c>
      <c r="T410" s="41" t="n">
        <f aca="false">S410-$M$2</f>
        <v>-0.31727788497755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-0.0048828125</v>
      </c>
      <c r="C411" s="25" t="n">
        <f aca="false">IF(T410&gt;0,D410,C410)</f>
        <v>-0.001953125</v>
      </c>
      <c r="D411" s="39" t="n">
        <f aca="false">(B411+C411)/2</f>
        <v>-0.00341796875</v>
      </c>
      <c r="E411" s="15" t="n">
        <f aca="false">$C$2*(1+IF(E$3&lt;=$O$2,$D411,$D411-($D411-$I$400)*MIN(E$3-$O$2,$Q$2)/$Q$2))</f>
        <v>1843.6767578125</v>
      </c>
      <c r="F411" s="15" t="n">
        <f aca="false">E411*(1+IF(F$3&lt;=$O$2,$D411,$D411-($D411-$I$400)*MIN(F$3-$O$2,$Q$2)/$Q$2))</f>
        <v>1837.3751282692</v>
      </c>
      <c r="G411" s="15" t="n">
        <f aca="false">F411*(1+IF(G$3&lt;=$O$2,$D411,$D411-($D411-$I$400)*MIN(G$3-$O$2,$Q$2)/$Q$2))</f>
        <v>1831.09503749874</v>
      </c>
      <c r="H411" s="15" t="n">
        <f aca="false">G411*(1+IF(H$3&lt;=$O$2,$D411,$D411-($D411-$I$400)*MIN(H$3-$O$2,$Q$2)/$Q$2))</f>
        <v>1824.83641188229</v>
      </c>
      <c r="I411" s="15" t="n">
        <f aca="false">H411*(1+IF(I$3&lt;=$O$2,$D411,$D411-($D411-$I$400)*MIN(I$3-$O$2,$Q$2)/$Q$2))</f>
        <v>1818.59917805262</v>
      </c>
      <c r="J411" s="15" t="n">
        <f aca="false">I411*(1+IF(J$3&lt;=$O$2,$D411,$D411-($D411-$I$400)*MIN(J$3-$O$2,$Q$2)/$Q$2))</f>
        <v>1824.53804099345</v>
      </c>
      <c r="K411" s="15" t="n">
        <f aca="false">J411*(1+IF(K$3&lt;=$O$2,$D411,$D411-($D411-$I$400)*MIN(K$3-$O$2,$Q$2)/$Q$2))</f>
        <v>1842.69076908099</v>
      </c>
      <c r="L411" s="15" t="n">
        <f aca="false">K411*(1+IF(L$3&lt;=$O$2,$D411,$D411-($D411-$I$400)*MIN(L$3-$O$2,$Q$2)/$Q$2))</f>
        <v>1873.33989913859</v>
      </c>
      <c r="M411" s="15" t="n">
        <f aca="false">L411*(1+IF(M$3&lt;=$O$2,$D411,$D411-($D411-$I$400)*MIN(M$3-$O$2,$Q$2)/$Q$2))</f>
        <v>1917.01945327124</v>
      </c>
      <c r="N411" s="15" t="n">
        <f aca="false">M411*(1+IF(N$3&lt;=$O$2,$D411,$D411-($D411-$I$400)*MIN(N$3-$O$2,$Q$2)/$Q$2))</f>
        <v>1974.53003686938</v>
      </c>
      <c r="O411" s="15" t="n">
        <f aca="false">SUMPRODUCT(E411:N411,1/(1+$F$400)^$E$3:$N$3)*$E$2</f>
        <v>4827.5773940683</v>
      </c>
      <c r="P411" s="15" t="n">
        <f aca="false">N411*$E$2*(1+$I$400)/($F$400-$I$400)/(1+$F$400)^$N$3</f>
        <v>11799.6702897342</v>
      </c>
      <c r="Q411" s="15" t="n">
        <f aca="false">O411+P411</f>
        <v>16627.2476838025</v>
      </c>
      <c r="R411" s="15" t="n">
        <f aca="false">Q411-$G$2+$I$2</f>
        <v>15074.5476838025</v>
      </c>
      <c r="S411" s="40" t="n">
        <f aca="false">R411/$K$2</f>
        <v>54.7389073089166</v>
      </c>
      <c r="T411" s="41" t="n">
        <f aca="false">S411-$M$2</f>
        <v>0.234386447592662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-0.0048828125</v>
      </c>
      <c r="C412" s="25" t="n">
        <f aca="false">IF(T411&gt;0,D411,C411)</f>
        <v>-0.00341796875</v>
      </c>
      <c r="D412" s="39" t="n">
        <f aca="false">(B412+C412)/2</f>
        <v>-0.004150390625</v>
      </c>
      <c r="E412" s="15" t="n">
        <f aca="false">$C$2*(1+IF(E$3&lt;=$O$2,$D412,$D412-($D412-$I$400)*MIN(E$3-$O$2,$Q$2)/$Q$2))</f>
        <v>1842.32177734375</v>
      </c>
      <c r="F412" s="15" t="n">
        <f aca="false">E412*(1+IF(F$3&lt;=$O$2,$D412,$D412-($D412-$I$400)*MIN(F$3-$O$2,$Q$2)/$Q$2))</f>
        <v>1834.67542231083</v>
      </c>
      <c r="G412" s="15" t="n">
        <f aca="false">F412*(1+IF(G$3&lt;=$O$2,$D412,$D412-($D412-$I$400)*MIN(G$3-$O$2,$Q$2)/$Q$2))</f>
        <v>1827.06080263815</v>
      </c>
      <c r="H412" s="15" t="n">
        <f aca="false">G412*(1+IF(H$3&lt;=$O$2,$D412,$D412-($D412-$I$400)*MIN(H$3-$O$2,$Q$2)/$Q$2))</f>
        <v>1819.47778661158</v>
      </c>
      <c r="I412" s="15" t="n">
        <f aca="false">H412*(1+IF(I$3&lt;=$O$2,$D412,$D412-($D412-$I$400)*MIN(I$3-$O$2,$Q$2)/$Q$2))</f>
        <v>1811.92624306363</v>
      </c>
      <c r="J412" s="15" t="n">
        <f aca="false">I412*(1+IF(J$3&lt;=$O$2,$D412,$D412-($D412-$I$400)*MIN(J$3-$O$2,$Q$2)/$Q$2))</f>
        <v>1816.78163916809</v>
      </c>
      <c r="K412" s="15" t="n">
        <f aca="false">J412*(1+IF(K$3&lt;=$O$2,$D412,$D412-($D412-$I$400)*MIN(K$3-$O$2,$Q$2)/$Q$2))</f>
        <v>1834.05880674838</v>
      </c>
      <c r="L412" s="15" t="n">
        <f aca="false">K412*(1+IF(L$3&lt;=$O$2,$D412,$D412-($D412-$I$400)*MIN(L$3-$O$2,$Q$2)/$Q$2))</f>
        <v>1864.02704107896</v>
      </c>
      <c r="M412" s="15" t="n">
        <f aca="false">L412*(1+IF(M$3&lt;=$O$2,$D412,$D412-($D412-$I$400)*MIN(M$3-$O$2,$Q$2)/$Q$2))</f>
        <v>1907.21640199365</v>
      </c>
      <c r="N412" s="15" t="n">
        <f aca="false">M412*(1+IF(N$3&lt;=$O$2,$D412,$D412-($D412-$I$400)*MIN(N$3-$O$2,$Q$2)/$Q$2))</f>
        <v>1964.43289405346</v>
      </c>
      <c r="O412" s="15" t="n">
        <f aca="false">SUMPRODUCT(E412:N412,1/(1+$F$400)^$E$3:$N$3)*$E$2</f>
        <v>4811.79486418798</v>
      </c>
      <c r="P412" s="15" t="n">
        <f aca="false">N412*$E$2*(1+$I$400)/($F$400-$I$400)/(1+$F$400)^$N$3</f>
        <v>11739.3303841002</v>
      </c>
      <c r="Q412" s="15" t="n">
        <f aca="false">O412+P412</f>
        <v>16551.1252482882</v>
      </c>
      <c r="R412" s="15" t="n">
        <f aca="false">Q412-$G$2+$I$2</f>
        <v>14998.4252482882</v>
      </c>
      <c r="S412" s="40" t="n">
        <f aca="false">R412/$K$2</f>
        <v>54.4624904618476</v>
      </c>
      <c r="T412" s="41" t="n">
        <f aca="false">S412-$M$2</f>
        <v>-0.0420303994763316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-0.004150390625</v>
      </c>
      <c r="C413" s="25" t="n">
        <f aca="false">IF(T412&gt;0,D412,C412)</f>
        <v>-0.00341796875</v>
      </c>
      <c r="D413" s="39" t="n">
        <f aca="false">(B413+C413)/2</f>
        <v>-0.0037841796875</v>
      </c>
      <c r="E413" s="15" t="n">
        <f aca="false">$C$2*(1+IF(E$3&lt;=$O$2,$D413,$D413-($D413-$I$400)*MIN(E$3-$O$2,$Q$2)/$Q$2))</f>
        <v>1842.99926757813</v>
      </c>
      <c r="F413" s="15" t="n">
        <f aca="false">E413*(1+IF(F$3&lt;=$O$2,$D413,$D413-($D413-$I$400)*MIN(F$3-$O$2,$Q$2)/$Q$2))</f>
        <v>1836.02502718568</v>
      </c>
      <c r="G413" s="15" t="n">
        <f aca="false">F413*(1+IF(G$3&lt;=$O$2,$D413,$D413-($D413-$I$400)*MIN(G$3-$O$2,$Q$2)/$Q$2))</f>
        <v>1829.07717857206</v>
      </c>
      <c r="H413" s="15" t="n">
        <f aca="false">G413*(1+IF(H$3&lt;=$O$2,$D413,$D413-($D413-$I$400)*MIN(H$3-$O$2,$Q$2)/$Q$2))</f>
        <v>1822.15562186604</v>
      </c>
      <c r="I413" s="15" t="n">
        <f aca="false">H413*(1+IF(I$3&lt;=$O$2,$D413,$D413-($D413-$I$400)*MIN(I$3-$O$2,$Q$2)/$Q$2))</f>
        <v>1815.26025757431</v>
      </c>
      <c r="J413" s="15" t="n">
        <f aca="false">I413*(1+IF(J$3&lt;=$O$2,$D413,$D413-($D413-$I$400)*MIN(J$3-$O$2,$Q$2)/$Q$2))</f>
        <v>1820.65640232436</v>
      </c>
      <c r="K413" s="15" t="n">
        <f aca="false">J413*(1+IF(K$3&lt;=$O$2,$D413,$D413-($D413-$I$400)*MIN(K$3-$O$2,$Q$2)/$Q$2))</f>
        <v>1838.3704645669</v>
      </c>
      <c r="L413" s="15" t="n">
        <f aca="false">K413*(1+IF(L$3&lt;=$O$2,$D413,$D413-($D413-$I$400)*MIN(L$3-$O$2,$Q$2)/$Q$2))</f>
        <v>1868.67844326106</v>
      </c>
      <c r="M413" s="15" t="n">
        <f aca="false">L413*(1+IF(M$3&lt;=$O$2,$D413,$D413-($D413-$I$400)*MIN(M$3-$O$2,$Q$2)/$Q$2))</f>
        <v>1912.11244289783</v>
      </c>
      <c r="N413" s="15" t="n">
        <f aca="false">M413*(1+IF(N$3&lt;=$O$2,$D413,$D413-($D413-$I$400)*MIN(N$3-$O$2,$Q$2)/$Q$2))</f>
        <v>1969.47581618477</v>
      </c>
      <c r="O413" s="15" t="n">
        <f aca="false">SUMPRODUCT(E413:N413,1/(1+$F$400)^$E$3:$N$3)*$E$2</f>
        <v>4819.67956008976</v>
      </c>
      <c r="P413" s="15" t="n">
        <f aca="false">N413*$E$2*(1+$I$400)/($F$400-$I$400)/(1+$F$400)^$N$3</f>
        <v>11769.4665771868</v>
      </c>
      <c r="Q413" s="15" t="n">
        <f aca="false">O413+P413</f>
        <v>16589.1461372765</v>
      </c>
      <c r="R413" s="15" t="n">
        <f aca="false">Q413-$G$2+$I$2</f>
        <v>15036.4461372765</v>
      </c>
      <c r="S413" s="40" t="n">
        <f aca="false">R413/$K$2</f>
        <v>54.6005524429955</v>
      </c>
      <c r="T413" s="41" t="n">
        <f aca="false">S413-$M$2</f>
        <v>0.0960315816715536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-0.004150390625</v>
      </c>
      <c r="C414" s="25" t="n">
        <f aca="false">IF(T413&gt;0,D413,C413)</f>
        <v>-0.0037841796875</v>
      </c>
      <c r="D414" s="39" t="n">
        <f aca="false">(B414+C414)/2</f>
        <v>-0.00396728515625</v>
      </c>
      <c r="E414" s="15" t="n">
        <f aca="false">$C$2*(1+IF(E$3&lt;=$O$2,$D414,$D414-($D414-$I$400)*MIN(E$3-$O$2,$Q$2)/$Q$2))</f>
        <v>1842.66052246094</v>
      </c>
      <c r="F414" s="15" t="n">
        <f aca="false">E414*(1+IF(F$3&lt;=$O$2,$D414,$D414-($D414-$I$400)*MIN(F$3-$O$2,$Q$2)/$Q$2))</f>
        <v>1835.35016272217</v>
      </c>
      <c r="G414" s="15" t="n">
        <f aca="false">F414*(1+IF(G$3&lt;=$O$2,$D414,$D414-($D414-$I$400)*MIN(G$3-$O$2,$Q$2)/$Q$2))</f>
        <v>1828.06880526508</v>
      </c>
      <c r="H414" s="15" t="n">
        <f aca="false">G414*(1+IF(H$3&lt;=$O$2,$D414,$D414-($D414-$I$400)*MIN(H$3-$O$2,$Q$2)/$Q$2))</f>
        <v>1820.81633502935</v>
      </c>
      <c r="I414" s="15" t="n">
        <f aca="false">H414*(1+IF(I$3&lt;=$O$2,$D414,$D414-($D414-$I$400)*MIN(I$3-$O$2,$Q$2)/$Q$2))</f>
        <v>1813.59263741113</v>
      </c>
      <c r="J414" s="15" t="n">
        <f aca="false">I414*(1+IF(J$3&lt;=$O$2,$D414,$D414-($D414-$I$400)*MIN(J$3-$O$2,$Q$2)/$Q$2))</f>
        <v>1818.71816191569</v>
      </c>
      <c r="K414" s="15" t="n">
        <f aca="false">J414*(1+IF(K$3&lt;=$O$2,$D414,$D414-($D414-$I$400)*MIN(K$3-$O$2,$Q$2)/$Q$2))</f>
        <v>1836.21355571838</v>
      </c>
      <c r="L414" s="15" t="n">
        <f aca="false">K414*(1+IF(L$3&lt;=$O$2,$D414,$D414-($D414-$I$400)*MIN(L$3-$O$2,$Q$2)/$Q$2))</f>
        <v>1866.35148660798</v>
      </c>
      <c r="M414" s="15" t="n">
        <f aca="false">L414*(1+IF(M$3&lt;=$O$2,$D414,$D414-($D414-$I$400)*MIN(M$3-$O$2,$Q$2)/$Q$2))</f>
        <v>1909.66305257674</v>
      </c>
      <c r="N414" s="15" t="n">
        <f aca="false">M414*(1+IF(N$3&lt;=$O$2,$D414,$D414-($D414-$I$400)*MIN(N$3-$O$2,$Q$2)/$Q$2))</f>
        <v>1966.95294415404</v>
      </c>
      <c r="O414" s="15" t="n">
        <f aca="false">SUMPRODUCT(E414:N414,1/(1+$F$400)^$E$3:$N$3)*$E$2</f>
        <v>4815.73557116632</v>
      </c>
      <c r="P414" s="15" t="n">
        <f aca="false">N414*$E$2*(1+$I$400)/($F$400-$I$400)/(1+$F$400)^$N$3</f>
        <v>11754.3900488029</v>
      </c>
      <c r="Q414" s="15" t="n">
        <f aca="false">O414+P414</f>
        <v>16570.1256199692</v>
      </c>
      <c r="R414" s="15" t="n">
        <f aca="false">Q414-$G$2+$I$2</f>
        <v>15017.4256199692</v>
      </c>
      <c r="S414" s="40" t="n">
        <f aca="false">R414/$K$2</f>
        <v>54.5314848758822</v>
      </c>
      <c r="T414" s="41" t="n">
        <f aca="false">S414-$M$2</f>
        <v>0.0269640145582386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-0.004150390625</v>
      </c>
      <c r="C415" s="25" t="n">
        <f aca="false">IF(T414&gt;0,D414,C414)</f>
        <v>-0.00396728515625</v>
      </c>
      <c r="D415" s="39" t="n">
        <f aca="false">(B415+C415)/2</f>
        <v>-0.004058837890625</v>
      </c>
      <c r="E415" s="15" t="n">
        <f aca="false">$C$2*(1+IF(E$3&lt;=$O$2,$D415,$D415-($D415-$I$400)*MIN(E$3-$O$2,$Q$2)/$Q$2))</f>
        <v>1842.49114990234</v>
      </c>
      <c r="F415" s="15" t="n">
        <f aca="false">E415*(1+IF(F$3&lt;=$O$2,$D415,$D415-($D415-$I$400)*MIN(F$3-$O$2,$Q$2)/$Q$2))</f>
        <v>1835.01277700998</v>
      </c>
      <c r="G415" s="15" t="n">
        <f aca="false">F415*(1+IF(G$3&lt;=$O$2,$D415,$D415-($D415-$I$400)*MIN(G$3-$O$2,$Q$2)/$Q$2))</f>
        <v>1827.56475762087</v>
      </c>
      <c r="H415" s="15" t="n">
        <f aca="false">G415*(1+IF(H$3&lt;=$O$2,$D415,$D415-($D415-$I$400)*MIN(H$3-$O$2,$Q$2)/$Q$2))</f>
        <v>1820.14696853507</v>
      </c>
      <c r="I415" s="15" t="n">
        <f aca="false">H415*(1+IF(I$3&lt;=$O$2,$D415,$D415-($D415-$I$400)*MIN(I$3-$O$2,$Q$2)/$Q$2))</f>
        <v>1812.75928705267</v>
      </c>
      <c r="J415" s="15" t="n">
        <f aca="false">I415*(1+IF(J$3&lt;=$O$2,$D415,$D415-($D415-$I$400)*MIN(J$3-$O$2,$Q$2)/$Q$2))</f>
        <v>1817.74968591029</v>
      </c>
      <c r="K415" s="15" t="n">
        <f aca="false">J415*(1+IF(K$3&lt;=$O$2,$D415,$D415-($D415-$I$400)*MIN(K$3-$O$2,$Q$2)/$Q$2))</f>
        <v>1835.13591136071</v>
      </c>
      <c r="L415" s="15" t="n">
        <f aca="false">K415*(1+IF(L$3&lt;=$O$2,$D415,$D415-($D415-$I$400)*MIN(L$3-$O$2,$Q$2)/$Q$2))</f>
        <v>1865.18895009661</v>
      </c>
      <c r="M415" s="15" t="n">
        <f aca="false">L415*(1+IF(M$3&lt;=$O$2,$D415,$D415-($D415-$I$400)*MIN(M$3-$O$2,$Q$2)/$Q$2))</f>
        <v>1908.43938498216</v>
      </c>
      <c r="N415" s="15" t="n">
        <f aca="false">M415*(1+IF(N$3&lt;=$O$2,$D415,$D415-($D415-$I$400)*MIN(N$3-$O$2,$Q$2)/$Q$2))</f>
        <v>1965.69256653163</v>
      </c>
      <c r="O415" s="15" t="n">
        <f aca="false">SUMPRODUCT(E415:N415,1/(1+$F$400)^$E$3:$N$3)*$E$2</f>
        <v>4813.7648075948</v>
      </c>
      <c r="P415" s="15" t="n">
        <f aca="false">N415*$E$2*(1+$I$400)/($F$400-$I$400)/(1+$F$400)^$N$3</f>
        <v>11746.8581095022</v>
      </c>
      <c r="Q415" s="15" t="n">
        <f aca="false">O415+P415</f>
        <v>16560.622917097</v>
      </c>
      <c r="R415" s="15" t="n">
        <f aca="false">Q415-$G$2+$I$2</f>
        <v>15007.922917097</v>
      </c>
      <c r="S415" s="40" t="n">
        <f aca="false">R415/$K$2</f>
        <v>54.4969785289843</v>
      </c>
      <c r="T415" s="41" t="n">
        <f aca="false">S415-$M$2</f>
        <v>-0.00754233233968193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-0.004058837890625</v>
      </c>
      <c r="C416" s="25" t="n">
        <f aca="false">IF(T415&gt;0,D415,C415)</f>
        <v>-0.00396728515625</v>
      </c>
      <c r="D416" s="39" t="n">
        <f aca="false">(B416+C416)/2</f>
        <v>-0.0040130615234375</v>
      </c>
      <c r="E416" s="15" t="n">
        <f aca="false">$C$2*(1+IF(E$3&lt;=$O$2,$D416,$D416-($D416-$I$400)*MIN(E$3-$O$2,$Q$2)/$Q$2))</f>
        <v>1842.57583618164</v>
      </c>
      <c r="F416" s="15" t="n">
        <f aca="false">E416*(1+IF(F$3&lt;=$O$2,$D416,$D416-($D416-$I$400)*MIN(F$3-$O$2,$Q$2)/$Q$2))</f>
        <v>1835.18146598944</v>
      </c>
      <c r="G416" s="15" t="n">
        <f aca="false">F416*(1+IF(G$3&lt;=$O$2,$D416,$D416-($D416-$I$400)*MIN(G$3-$O$2,$Q$2)/$Q$2))</f>
        <v>1827.81676985976</v>
      </c>
      <c r="H416" s="15" t="n">
        <f aca="false">G416*(1+IF(H$3&lt;=$O$2,$D416,$D416-($D416-$I$400)*MIN(H$3-$O$2,$Q$2)/$Q$2))</f>
        <v>1820.48162870874</v>
      </c>
      <c r="I416" s="15" t="n">
        <f aca="false">H416*(1+IF(I$3&lt;=$O$2,$D416,$D416-($D416-$I$400)*MIN(I$3-$O$2,$Q$2)/$Q$2))</f>
        <v>1813.17592393044</v>
      </c>
      <c r="J416" s="15" t="n">
        <f aca="false">I416*(1+IF(J$3&lt;=$O$2,$D416,$D416-($D416-$I$400)*MIN(J$3-$O$2,$Q$2)/$Q$2))</f>
        <v>1818.23387024559</v>
      </c>
      <c r="K416" s="15" t="n">
        <f aca="false">J416*(1+IF(K$3&lt;=$O$2,$D416,$D416-($D416-$I$400)*MIN(K$3-$O$2,$Q$2)/$Q$2))</f>
        <v>1835.67466605736</v>
      </c>
      <c r="L416" s="15" t="n">
        <f aca="false">K416*(1+IF(L$3&lt;=$O$2,$D416,$D416-($D416-$I$400)*MIN(L$3-$O$2,$Q$2)/$Q$2))</f>
        <v>1865.77013989763</v>
      </c>
      <c r="M416" s="15" t="n">
        <f aca="false">L416*(1+IF(M$3&lt;=$O$2,$D416,$D416-($D416-$I$400)*MIN(M$3-$O$2,$Q$2)/$Q$2))</f>
        <v>1909.05113318317</v>
      </c>
      <c r="N416" s="15" t="n">
        <f aca="false">M416*(1+IF(N$3&lt;=$O$2,$D416,$D416-($D416-$I$400)*MIN(N$3-$O$2,$Q$2)/$Q$2))</f>
        <v>1966.32266717867</v>
      </c>
      <c r="O416" s="15" t="n">
        <f aca="false">SUMPRODUCT(E416:N416,1/(1+$F$400)^$E$3:$N$3)*$E$2</f>
        <v>4814.75008683988</v>
      </c>
      <c r="P416" s="15" t="n">
        <f aca="false">N416*$E$2*(1+$I$400)/($F$400-$I$400)/(1+$F$400)^$N$3</f>
        <v>11750.6235522889</v>
      </c>
      <c r="Q416" s="15" t="n">
        <f aca="false">O416+P416</f>
        <v>16565.3736391287</v>
      </c>
      <c r="R416" s="15" t="n">
        <f aca="false">Q416-$G$2+$I$2</f>
        <v>15012.6736391287</v>
      </c>
      <c r="S416" s="40" t="n">
        <f aca="false">R416/$K$2</f>
        <v>54.5142294169314</v>
      </c>
      <c r="T416" s="41" t="n">
        <f aca="false">S416-$M$2</f>
        <v>0.00970855560747452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-0.004058837890625</v>
      </c>
      <c r="C417" s="25" t="n">
        <f aca="false">IF(T416&gt;0,D416,C416)</f>
        <v>-0.0040130615234375</v>
      </c>
      <c r="D417" s="39" t="n">
        <f aca="false">(B417+C417)/2</f>
        <v>-0.00403594970703125</v>
      </c>
      <c r="E417" s="15" t="n">
        <f aca="false">$C$2*(1+IF(E$3&lt;=$O$2,$D417,$D417-($D417-$I$400)*MIN(E$3-$O$2,$Q$2)/$Q$2))</f>
        <v>1842.53349304199</v>
      </c>
      <c r="F417" s="15" t="n">
        <f aca="false">E417*(1+IF(F$3&lt;=$O$2,$D417,$D417-($D417-$I$400)*MIN(F$3-$O$2,$Q$2)/$Q$2))</f>
        <v>1835.09712053055</v>
      </c>
      <c r="G417" s="15" t="n">
        <f aca="false">F417*(1+IF(G$3&lt;=$O$2,$D417,$D417-($D417-$I$400)*MIN(G$3-$O$2,$Q$2)/$Q$2))</f>
        <v>1827.69076084458</v>
      </c>
      <c r="H417" s="15" t="n">
        <f aca="false">G417*(1+IF(H$3&lt;=$O$2,$D417,$D417-($D417-$I$400)*MIN(H$3-$O$2,$Q$2)/$Q$2))</f>
        <v>1820.3142928538</v>
      </c>
      <c r="I417" s="15" t="n">
        <f aca="false">H417*(1+IF(I$3&lt;=$O$2,$D417,$D417-($D417-$I$400)*MIN(I$3-$O$2,$Q$2)/$Q$2))</f>
        <v>1812.96759591685</v>
      </c>
      <c r="J417" s="15" t="n">
        <f aca="false">I417*(1+IF(J$3&lt;=$O$2,$D417,$D417-($D417-$I$400)*MIN(J$3-$O$2,$Q$2)/$Q$2))</f>
        <v>1817.99176466228</v>
      </c>
      <c r="K417" s="15" t="n">
        <f aca="false">J417*(1+IF(K$3&lt;=$O$2,$D417,$D417-($D417-$I$400)*MIN(K$3-$O$2,$Q$2)/$Q$2))</f>
        <v>1835.40527184024</v>
      </c>
      <c r="L417" s="15" t="n">
        <f aca="false">K417*(1+IF(L$3&lt;=$O$2,$D417,$D417-($D417-$I$400)*MIN(L$3-$O$2,$Q$2)/$Q$2))</f>
        <v>1865.4795253857</v>
      </c>
      <c r="M417" s="15" t="n">
        <f aca="false">L417*(1+IF(M$3&lt;=$O$2,$D417,$D417-($D417-$I$400)*MIN(M$3-$O$2,$Q$2)/$Q$2))</f>
        <v>1908.74523768616</v>
      </c>
      <c r="N417" s="15" t="n">
        <f aca="false">M417*(1+IF(N$3&lt;=$O$2,$D417,$D417-($D417-$I$400)*MIN(N$3-$O$2,$Q$2)/$Q$2))</f>
        <v>1966.00759481675</v>
      </c>
      <c r="O417" s="15" t="n">
        <f aca="false">SUMPRODUCT(E417:N417,1/(1+$F$400)^$E$3:$N$3)*$E$2</f>
        <v>4814.25742158468</v>
      </c>
      <c r="P417" s="15" t="n">
        <f aca="false">N417*$E$2*(1+$I$400)/($F$400-$I$400)/(1+$F$400)^$N$3</f>
        <v>11748.7406991954</v>
      </c>
      <c r="Q417" s="15" t="n">
        <f aca="false">O417+P417</f>
        <v>16562.9981207801</v>
      </c>
      <c r="R417" s="15" t="n">
        <f aca="false">Q417-$G$2+$I$2</f>
        <v>15010.2981207801</v>
      </c>
      <c r="S417" s="40" t="n">
        <f aca="false">R417/$K$2</f>
        <v>54.5056034016488</v>
      </c>
      <c r="T417" s="41" t="n">
        <f aca="false">S417-$M$2</f>
        <v>0.00108254032490152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-0.004058837890625</v>
      </c>
      <c r="C418" s="25" t="n">
        <f aca="false">IF(T417&gt;0,D417,C417)</f>
        <v>-0.00403594970703125</v>
      </c>
      <c r="D418" s="39" t="n">
        <f aca="false">(B418+C418)/2</f>
        <v>-0.00404739379882813</v>
      </c>
      <c r="E418" s="15" t="n">
        <f aca="false">$C$2*(1+IF(E$3&lt;=$O$2,$D418,$D418-($D418-$I$400)*MIN(E$3-$O$2,$Q$2)/$Q$2))</f>
        <v>1842.51232147217</v>
      </c>
      <c r="F418" s="15" t="n">
        <f aca="false">E418*(1+IF(F$3&lt;=$O$2,$D418,$D418-($D418-$I$400)*MIN(F$3-$O$2,$Q$2)/$Q$2))</f>
        <v>1835.05494852798</v>
      </c>
      <c r="G418" s="15" t="n">
        <f aca="false">F418*(1+IF(G$3&lt;=$O$2,$D418,$D418-($D418-$I$400)*MIN(G$3-$O$2,$Q$2)/$Q$2))</f>
        <v>1827.6277585088</v>
      </c>
      <c r="H418" s="15" t="n">
        <f aca="false">G418*(1+IF(H$3&lt;=$O$2,$D418,$D418-($D418-$I$400)*MIN(H$3-$O$2,$Q$2)/$Q$2))</f>
        <v>1820.23062925244</v>
      </c>
      <c r="I418" s="15" t="n">
        <f aca="false">H418*(1+IF(I$3&lt;=$O$2,$D418,$D418-($D418-$I$400)*MIN(I$3-$O$2,$Q$2)/$Q$2))</f>
        <v>1812.86343909117</v>
      </c>
      <c r="J418" s="15" t="n">
        <f aca="false">I418*(1+IF(J$3&lt;=$O$2,$D418,$D418-($D418-$I$400)*MIN(J$3-$O$2,$Q$2)/$Q$2))</f>
        <v>1817.87072193252</v>
      </c>
      <c r="K418" s="15" t="n">
        <f aca="false">J418*(1+IF(K$3&lt;=$O$2,$D418,$D418-($D418-$I$400)*MIN(K$3-$O$2,$Q$2)/$Q$2))</f>
        <v>1835.27058738349</v>
      </c>
      <c r="L418" s="15" t="n">
        <f aca="false">K418*(1+IF(L$3&lt;=$O$2,$D418,$D418-($D418-$I$400)*MIN(L$3-$O$2,$Q$2)/$Q$2))</f>
        <v>1865.33423283858</v>
      </c>
      <c r="M418" s="15" t="n">
        <f aca="false">L418*(1+IF(M$3&lt;=$O$2,$D418,$D418-($D418-$I$400)*MIN(M$3-$O$2,$Q$2)/$Q$2))</f>
        <v>1908.59230598536</v>
      </c>
      <c r="N418" s="15" t="n">
        <f aca="false">M418*(1+IF(N$3&lt;=$O$2,$D418,$D418-($D418-$I$400)*MIN(N$3-$O$2,$Q$2)/$Q$2))</f>
        <v>1965.85007516492</v>
      </c>
      <c r="O418" s="15" t="n">
        <f aca="false">SUMPRODUCT(E418:N418,1/(1+$F$400)^$E$3:$N$3)*$E$2</f>
        <v>4814.01110818189</v>
      </c>
      <c r="P418" s="15" t="n">
        <f aca="false">N418*$E$2*(1+$I$400)/($F$400-$I$400)/(1+$F$400)^$N$3</f>
        <v>11747.7993714257</v>
      </c>
      <c r="Q418" s="15" t="n">
        <f aca="false">O418+P418</f>
        <v>16561.8104796076</v>
      </c>
      <c r="R418" s="15" t="n">
        <f aca="false">Q418-$G$2+$I$2</f>
        <v>15009.1104796076</v>
      </c>
      <c r="S418" s="40" t="n">
        <f aca="false">R418/$K$2</f>
        <v>54.5012908224976</v>
      </c>
      <c r="T418" s="41" t="n">
        <f aca="false">S418-$M$2</f>
        <v>-0.00323003882632378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-0.00404739379882813</v>
      </c>
      <c r="C419" s="25" t="n">
        <f aca="false">IF(T418&gt;0,D418,C418)</f>
        <v>-0.00403594970703125</v>
      </c>
      <c r="D419" s="39" t="n">
        <f aca="false">(B419+C419)/2</f>
        <v>-0.00404167175292969</v>
      </c>
      <c r="E419" s="15" t="n">
        <f aca="false">$C$2*(1+IF(E$3&lt;=$O$2,$D419,$D419-($D419-$I$400)*MIN(E$3-$O$2,$Q$2)/$Q$2))</f>
        <v>1842.52290725708</v>
      </c>
      <c r="F419" s="15" t="n">
        <f aca="false">E419*(1+IF(F$3&lt;=$O$2,$D419,$D419-($D419-$I$400)*MIN(F$3-$O$2,$Q$2)/$Q$2))</f>
        <v>1835.07603446869</v>
      </c>
      <c r="G419" s="15" t="n">
        <f aca="false">F419*(1+IF(G$3&lt;=$O$2,$D419,$D419-($D419-$I$400)*MIN(G$3-$O$2,$Q$2)/$Q$2))</f>
        <v>1827.6592594957</v>
      </c>
      <c r="H419" s="15" t="n">
        <f aca="false">G419*(1+IF(H$3&lt;=$O$2,$D419,$D419-($D419-$I$400)*MIN(H$3-$O$2,$Q$2)/$Q$2))</f>
        <v>1820.27246069262</v>
      </c>
      <c r="I419" s="15" t="n">
        <f aca="false">H419*(1+IF(I$3&lt;=$O$2,$D419,$D419-($D419-$I$400)*MIN(I$3-$O$2,$Q$2)/$Q$2))</f>
        <v>1812.9155169056</v>
      </c>
      <c r="J419" s="15" t="n">
        <f aca="false">I419*(1+IF(J$3&lt;=$O$2,$D419,$D419-($D419-$I$400)*MIN(J$3-$O$2,$Q$2)/$Q$2))</f>
        <v>1817.93124245894</v>
      </c>
      <c r="K419" s="15" t="n">
        <f aca="false">J419*(1+IF(K$3&lt;=$O$2,$D419,$D419-($D419-$I$400)*MIN(K$3-$O$2,$Q$2)/$Q$2))</f>
        <v>1835.33792855759</v>
      </c>
      <c r="L419" s="15" t="n">
        <f aca="false">K419*(1+IF(L$3&lt;=$O$2,$D419,$D419-($D419-$I$400)*MIN(L$3-$O$2,$Q$2)/$Q$2))</f>
        <v>1865.40687788646</v>
      </c>
      <c r="M419" s="15" t="n">
        <f aca="false">L419*(1+IF(M$3&lt;=$O$2,$D419,$D419-($D419-$I$400)*MIN(M$3-$O$2,$Q$2)/$Q$2))</f>
        <v>1908.66877049852</v>
      </c>
      <c r="N419" s="15" t="n">
        <f aca="false">M419*(1+IF(N$3&lt;=$O$2,$D419,$D419-($D419-$I$400)*MIN(N$3-$O$2,$Q$2)/$Q$2))</f>
        <v>1965.92883361347</v>
      </c>
      <c r="O419" s="15" t="n">
        <f aca="false">SUMPRODUCT(E419:N419,1/(1+$F$400)^$E$3:$N$3)*$E$2</f>
        <v>4814.13426328128</v>
      </c>
      <c r="P419" s="15" t="n">
        <f aca="false">N419*$E$2*(1+$I$400)/($F$400-$I$400)/(1+$F$400)^$N$3</f>
        <v>11748.2700270796</v>
      </c>
      <c r="Q419" s="15" t="n">
        <f aca="false">O419+P419</f>
        <v>16562.4042903608</v>
      </c>
      <c r="R419" s="15" t="n">
        <f aca="false">Q419-$G$2+$I$2</f>
        <v>15009.7042903608</v>
      </c>
      <c r="S419" s="40" t="n">
        <f aca="false">R419/$K$2</f>
        <v>54.5034470763675</v>
      </c>
      <c r="T419" s="41" t="n">
        <f aca="false">S419-$M$2</f>
        <v>-0.00107378495647481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-0.00404167175292969</v>
      </c>
      <c r="C420" s="25" t="n">
        <f aca="false">IF(T419&gt;0,D419,C419)</f>
        <v>-0.00403594970703125</v>
      </c>
      <c r="D420" s="39" t="n">
        <f aca="false">(B420+C420)/2</f>
        <v>-0.00403881072998047</v>
      </c>
      <c r="E420" s="15" t="n">
        <f aca="false">$C$2*(1+IF(E$3&lt;=$O$2,$D420,$D420-($D420-$I$400)*MIN(E$3-$O$2,$Q$2)/$Q$2))</f>
        <v>1842.52820014954</v>
      </c>
      <c r="F420" s="15" t="n">
        <f aca="false">E420*(1+IF(F$3&lt;=$O$2,$D420,$D420-($D420-$I$400)*MIN(F$3-$O$2,$Q$2)/$Q$2))</f>
        <v>1835.08657748448</v>
      </c>
      <c r="G420" s="15" t="n">
        <f aca="false">F420*(1+IF(G$3&lt;=$O$2,$D420,$D420-($D420-$I$400)*MIN(G$3-$O$2,$Q$2)/$Q$2))</f>
        <v>1827.67501012489</v>
      </c>
      <c r="H420" s="15" t="n">
        <f aca="false">G420*(1+IF(H$3&lt;=$O$2,$D420,$D420-($D420-$I$400)*MIN(H$3-$O$2,$Q$2)/$Q$2))</f>
        <v>1820.29337668308</v>
      </c>
      <c r="I420" s="15" t="n">
        <f aca="false">H420*(1+IF(I$3&lt;=$O$2,$D420,$D420-($D420-$I$400)*MIN(I$3-$O$2,$Q$2)/$Q$2))</f>
        <v>1812.94155626162</v>
      </c>
      <c r="J420" s="15" t="n">
        <f aca="false">I420*(1+IF(J$3&lt;=$O$2,$D420,$D420-($D420-$I$400)*MIN(J$3-$O$2,$Q$2)/$Q$2))</f>
        <v>1817.96150335099</v>
      </c>
      <c r="K420" s="15" t="n">
        <f aca="false">J420*(1+IF(K$3&lt;=$O$2,$D420,$D420-($D420-$I$400)*MIN(K$3-$O$2,$Q$2)/$Q$2))</f>
        <v>1835.37159993534</v>
      </c>
      <c r="L420" s="15" t="n">
        <f aca="false">K420*(1+IF(L$3&lt;=$O$2,$D420,$D420-($D420-$I$400)*MIN(L$3-$O$2,$Q$2)/$Q$2))</f>
        <v>1865.44320132965</v>
      </c>
      <c r="M420" s="15" t="n">
        <f aca="false">L420*(1+IF(M$3&lt;=$O$2,$D420,$D420-($D420-$I$400)*MIN(M$3-$O$2,$Q$2)/$Q$2))</f>
        <v>1908.70700375802</v>
      </c>
      <c r="N420" s="15" t="n">
        <f aca="false">M420*(1+IF(N$3&lt;=$O$2,$D420,$D420-($D420-$I$400)*MIN(N$3-$O$2,$Q$2)/$Q$2))</f>
        <v>1965.96821387077</v>
      </c>
      <c r="O420" s="15" t="n">
        <f aca="false">SUMPRODUCT(E420:N420,1/(1+$F$400)^$E$3:$N$3)*$E$2</f>
        <v>4814.19584203248</v>
      </c>
      <c r="P420" s="15" t="n">
        <f aca="false">N420*$E$2*(1+$I$400)/($F$400-$I$400)/(1+$F$400)^$N$3</f>
        <v>11748.5053610797</v>
      </c>
      <c r="Q420" s="15" t="n">
        <f aca="false">O420+P420</f>
        <v>16562.7012031122</v>
      </c>
      <c r="R420" s="15" t="n">
        <f aca="false">Q420-$G$2+$I$2</f>
        <v>15010.0012031122</v>
      </c>
      <c r="S420" s="40" t="n">
        <f aca="false">R420/$K$2</f>
        <v>54.5045252300816</v>
      </c>
      <c r="T420" s="41" t="n">
        <f aca="false">S420-$M$2</f>
        <v>4.36875764364686E-006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-0.00404167175292969</v>
      </c>
      <c r="C421" s="25" t="n">
        <f aca="false">IF(T420&gt;0,D420,C420)</f>
        <v>-0.00403881072998047</v>
      </c>
      <c r="D421" s="39" t="n">
        <f aca="false">(B421+C421)/2</f>
        <v>-0.00404024124145508</v>
      </c>
      <c r="E421" s="15" t="n">
        <f aca="false">$C$2*(1+IF(E$3&lt;=$O$2,$D421,$D421-($D421-$I$400)*MIN(E$3-$O$2,$Q$2)/$Q$2))</f>
        <v>1842.52555370331</v>
      </c>
      <c r="F421" s="15" t="n">
        <f aca="false">E421*(1+IF(F$3&lt;=$O$2,$D421,$D421-($D421-$I$400)*MIN(F$3-$O$2,$Q$2)/$Q$2))</f>
        <v>1835.0813059728</v>
      </c>
      <c r="G421" s="15" t="n">
        <f aca="false">F421*(1+IF(G$3&lt;=$O$2,$D421,$D421-($D421-$I$400)*MIN(G$3-$O$2,$Q$2)/$Q$2))</f>
        <v>1827.66713479899</v>
      </c>
      <c r="H421" s="15" t="n">
        <f aca="false">G421*(1+IF(H$3&lt;=$O$2,$D421,$D421-($D421-$I$400)*MIN(H$3-$O$2,$Q$2)/$Q$2))</f>
        <v>1820.28291866532</v>
      </c>
      <c r="I421" s="15" t="n">
        <f aca="false">H421*(1+IF(I$3&lt;=$O$2,$D421,$D421-($D421-$I$400)*MIN(I$3-$O$2,$Q$2)/$Q$2))</f>
        <v>1812.92853654621</v>
      </c>
      <c r="J421" s="15" t="n">
        <f aca="false">I421*(1+IF(J$3&lt;=$O$2,$D421,$D421-($D421-$I$400)*MIN(J$3-$O$2,$Q$2)/$Q$2))</f>
        <v>1817.94637285256</v>
      </c>
      <c r="K421" s="15" t="n">
        <f aca="false">J421*(1+IF(K$3&lt;=$O$2,$D421,$D421-($D421-$I$400)*MIN(K$3-$O$2,$Q$2)/$Q$2))</f>
        <v>1835.35476418058</v>
      </c>
      <c r="L421" s="15" t="n">
        <f aca="false">K421*(1+IF(L$3&lt;=$O$2,$D421,$D421-($D421-$I$400)*MIN(L$3-$O$2,$Q$2)/$Q$2))</f>
        <v>1865.42503953145</v>
      </c>
      <c r="M421" s="15" t="n">
        <f aca="false">L421*(1+IF(M$3&lt;=$O$2,$D421,$D421-($D421-$I$400)*MIN(M$3-$O$2,$Q$2)/$Q$2))</f>
        <v>1908.68788704469</v>
      </c>
      <c r="N421" s="15" t="n">
        <f aca="false">M421*(1+IF(N$3&lt;=$O$2,$D421,$D421-($D421-$I$400)*MIN(N$3-$O$2,$Q$2)/$Q$2))</f>
        <v>1965.94852365603</v>
      </c>
      <c r="O421" s="15" t="n">
        <f aca="false">SUMPRODUCT(E421:N421,1/(1+$F$400)^$E$3:$N$3)*$E$2</f>
        <v>4814.16505255675</v>
      </c>
      <c r="P421" s="15" t="n">
        <f aca="false">N421*$E$2*(1+$I$400)/($F$400-$I$400)/(1+$F$400)^$N$3</f>
        <v>11748.3876935652</v>
      </c>
      <c r="Q421" s="15" t="n">
        <f aca="false">O421+P421</f>
        <v>16562.5527461219</v>
      </c>
      <c r="R421" s="15" t="n">
        <f aca="false">Q421-$G$2+$I$2</f>
        <v>15009.8527461219</v>
      </c>
      <c r="S421" s="40" t="n">
        <f aca="false">R421/$K$2</f>
        <v>54.5039861509929</v>
      </c>
      <c r="T421" s="41" t="n">
        <f aca="false">S421-$M$2</f>
        <v>-0.000534710331052679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-0.00404024124145508</v>
      </c>
      <c r="C422" s="25" t="n">
        <f aca="false">IF(T421&gt;0,D421,C421)</f>
        <v>-0.00403881072998047</v>
      </c>
      <c r="D422" s="39" t="n">
        <f aca="false">(B422+C422)/2</f>
        <v>-0.00403952598571777</v>
      </c>
      <c r="E422" s="15" t="n">
        <f aca="false">$C$2*(1+IF(E$3&lt;=$O$2,$D422,$D422-($D422-$I$400)*MIN(E$3-$O$2,$Q$2)/$Q$2))</f>
        <v>1842.52687692642</v>
      </c>
      <c r="F422" s="15" t="n">
        <f aca="false">E422*(1+IF(F$3&lt;=$O$2,$D422,$D422-($D422-$I$400)*MIN(F$3-$O$2,$Q$2)/$Q$2))</f>
        <v>1835.08394172769</v>
      </c>
      <c r="G422" s="15" t="n">
        <f aca="false">F422*(1+IF(G$3&lt;=$O$2,$D422,$D422-($D422-$I$400)*MIN(G$3-$O$2,$Q$2)/$Q$2))</f>
        <v>1827.67107245911</v>
      </c>
      <c r="H422" s="15" t="n">
        <f aca="false">G422*(1+IF(H$3&lt;=$O$2,$D422,$D422-($D422-$I$400)*MIN(H$3-$O$2,$Q$2)/$Q$2))</f>
        <v>1820.28814766857</v>
      </c>
      <c r="I422" s="15" t="n">
        <f aca="false">H422*(1+IF(I$3&lt;=$O$2,$D422,$D422-($D422-$I$400)*MIN(I$3-$O$2,$Q$2)/$Q$2))</f>
        <v>1812.93504639457</v>
      </c>
      <c r="J422" s="15" t="n">
        <f aca="false">I422*(1+IF(J$3&lt;=$O$2,$D422,$D422-($D422-$I$400)*MIN(J$3-$O$2,$Q$2)/$Q$2))</f>
        <v>1817.95393808867</v>
      </c>
      <c r="K422" s="15" t="n">
        <f aca="false">J422*(1+IF(K$3&lt;=$O$2,$D422,$D422-($D422-$I$400)*MIN(K$3-$O$2,$Q$2)/$Q$2))</f>
        <v>1835.36318204149</v>
      </c>
      <c r="L422" s="15" t="n">
        <f aca="false">K422*(1+IF(L$3&lt;=$O$2,$D422,$D422-($D422-$I$400)*MIN(L$3-$O$2,$Q$2)/$Q$2))</f>
        <v>1865.4341204114</v>
      </c>
      <c r="M422" s="15" t="n">
        <f aca="false">L422*(1+IF(M$3&lt;=$O$2,$D422,$D422-($D422-$I$400)*MIN(M$3-$O$2,$Q$2)/$Q$2))</f>
        <v>1908.69744538046</v>
      </c>
      <c r="N422" s="15" t="n">
        <f aca="false">M422*(1+IF(N$3&lt;=$O$2,$D422,$D422-($D422-$I$400)*MIN(N$3-$O$2,$Q$2)/$Q$2))</f>
        <v>1965.95836874188</v>
      </c>
      <c r="O422" s="15" t="n">
        <f aca="false">SUMPRODUCT(E422:N422,1/(1+$F$400)^$E$3:$N$3)*$E$2</f>
        <v>4814.18044726958</v>
      </c>
      <c r="P422" s="15" t="n">
        <f aca="false">N422*$E$2*(1+$I$400)/($F$400-$I$400)/(1+$F$400)^$N$3</f>
        <v>11748.4465271938</v>
      </c>
      <c r="Q422" s="15" t="n">
        <f aca="false">O422+P422</f>
        <v>16562.6269744634</v>
      </c>
      <c r="R422" s="15" t="n">
        <f aca="false">Q422-$G$2+$I$2</f>
        <v>15009.9269744634</v>
      </c>
      <c r="S422" s="40" t="n">
        <f aca="false">R422/$K$2</f>
        <v>54.5042556899793</v>
      </c>
      <c r="T422" s="41" t="n">
        <f aca="false">S422-$M$2</f>
        <v>-0.000265171344608461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-0.00403952598571777</v>
      </c>
      <c r="C423" s="25" t="n">
        <f aca="false">IF(T422&gt;0,D422,C422)</f>
        <v>-0.00403881072998047</v>
      </c>
      <c r="D423" s="39" t="n">
        <f aca="false">(B423+C423)/2</f>
        <v>-0.00403916835784912</v>
      </c>
      <c r="E423" s="15" t="n">
        <f aca="false">$C$2*(1+IF(E$3&lt;=$O$2,$D423,$D423-($D423-$I$400)*MIN(E$3-$O$2,$Q$2)/$Q$2))</f>
        <v>1842.52753853798</v>
      </c>
      <c r="F423" s="15" t="n">
        <f aca="false">E423*(1+IF(F$3&lt;=$O$2,$D423,$D423-($D423-$I$400)*MIN(F$3-$O$2,$Q$2)/$Q$2))</f>
        <v>1835.08525960585</v>
      </c>
      <c r="G423" s="15" t="n">
        <f aca="false">F423*(1+IF(G$3&lt;=$O$2,$D423,$D423-($D423-$I$400)*MIN(G$3-$O$2,$Q$2)/$Q$2))</f>
        <v>1827.6730412913</v>
      </c>
      <c r="H423" s="15" t="n">
        <f aca="false">G423*(1+IF(H$3&lt;=$O$2,$D423,$D423-($D423-$I$400)*MIN(H$3-$O$2,$Q$2)/$Q$2))</f>
        <v>1820.29076217442</v>
      </c>
      <c r="I423" s="15" t="n">
        <f aca="false">H423*(1+IF(I$3&lt;=$O$2,$D423,$D423-($D423-$I$400)*MIN(I$3-$O$2,$Q$2)/$Q$2))</f>
        <v>1812.93830132576</v>
      </c>
      <c r="J423" s="15" t="n">
        <f aca="false">I423*(1+IF(J$3&lt;=$O$2,$D423,$D423-($D423-$I$400)*MIN(J$3-$O$2,$Q$2)/$Q$2))</f>
        <v>1817.95772071655</v>
      </c>
      <c r="K423" s="15" t="n">
        <f aca="false">J423*(1+IF(K$3&lt;=$O$2,$D423,$D423-($D423-$I$400)*MIN(K$3-$O$2,$Q$2)/$Q$2))</f>
        <v>1835.3673909843</v>
      </c>
      <c r="L423" s="15" t="n">
        <f aca="false">K423*(1+IF(L$3&lt;=$O$2,$D423,$D423-($D423-$I$400)*MIN(L$3-$O$2,$Q$2)/$Q$2))</f>
        <v>1865.43866086574</v>
      </c>
      <c r="M423" s="15" t="n">
        <f aca="false">L423*(1+IF(M$3&lt;=$O$2,$D423,$D423-($D423-$I$400)*MIN(M$3-$O$2,$Q$2)/$Q$2))</f>
        <v>1908.70222456402</v>
      </c>
      <c r="N423" s="15" t="n">
        <f aca="false">M423*(1+IF(N$3&lt;=$O$2,$D423,$D423-($D423-$I$400)*MIN(N$3-$O$2,$Q$2)/$Q$2))</f>
        <v>1965.96329130094</v>
      </c>
      <c r="O423" s="15" t="n">
        <f aca="false">SUMPRODUCT(E423:N423,1/(1+$F$400)^$E$3:$N$3)*$E$2</f>
        <v>4814.18814464477</v>
      </c>
      <c r="P423" s="15" t="n">
        <f aca="false">N423*$E$2*(1+$I$400)/($F$400-$I$400)/(1+$F$400)^$N$3</f>
        <v>11748.4759441046</v>
      </c>
      <c r="Q423" s="15" t="n">
        <f aca="false">O423+P423</f>
        <v>16562.6640887494</v>
      </c>
      <c r="R423" s="15" t="n">
        <f aca="false">Q423-$G$2+$I$2</f>
        <v>15009.9640887494</v>
      </c>
      <c r="S423" s="40" t="n">
        <f aca="false">R423/$K$2</f>
        <v>54.504390459891</v>
      </c>
      <c r="T423" s="41" t="n">
        <f aca="false">S423-$M$2</f>
        <v>-0.000130401432969052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-0.00403916835784912</v>
      </c>
      <c r="C424" s="25" t="n">
        <f aca="false">IF(T423&gt;0,D423,C423)</f>
        <v>-0.00403881072998047</v>
      </c>
      <c r="D424" s="39" t="n">
        <f aca="false">(B424+C424)/2</f>
        <v>-0.0040389895439148</v>
      </c>
      <c r="E424" s="15" t="n">
        <f aca="false">$C$2*(1+IF(E$3&lt;=$O$2,$D424,$D424-($D424-$I$400)*MIN(E$3-$O$2,$Q$2)/$Q$2))</f>
        <v>1842.52786934376</v>
      </c>
      <c r="F424" s="15" t="n">
        <f aca="false">E424*(1+IF(F$3&lt;=$O$2,$D424,$D424-($D424-$I$400)*MIN(F$3-$O$2,$Q$2)/$Q$2))</f>
        <v>1835.08591854511</v>
      </c>
      <c r="G424" s="15" t="n">
        <f aca="false">F424*(1+IF(G$3&lt;=$O$2,$D424,$D424-($D424-$I$400)*MIN(G$3-$O$2,$Q$2)/$Q$2))</f>
        <v>1827.67402570792</v>
      </c>
      <c r="H424" s="15" t="n">
        <f aca="false">G424*(1+IF(H$3&lt;=$O$2,$D424,$D424-($D424-$I$400)*MIN(H$3-$O$2,$Q$2)/$Q$2))</f>
        <v>1820.2920694284</v>
      </c>
      <c r="I424" s="15" t="n">
        <f aca="false">H424*(1+IF(I$3&lt;=$O$2,$D424,$D424-($D424-$I$400)*MIN(I$3-$O$2,$Q$2)/$Q$2))</f>
        <v>1812.93992879311</v>
      </c>
      <c r="J424" s="15" t="n">
        <f aca="false">I424*(1+IF(J$3&lt;=$O$2,$D424,$D424-($D424-$I$400)*MIN(J$3-$O$2,$Q$2)/$Q$2))</f>
        <v>1817.95961203295</v>
      </c>
      <c r="K424" s="15" t="n">
        <f aca="false">J424*(1+IF(K$3&lt;=$O$2,$D424,$D424-($D424-$I$400)*MIN(K$3-$O$2,$Q$2)/$Q$2))</f>
        <v>1835.36949545879</v>
      </c>
      <c r="L424" s="15" t="n">
        <f aca="false">K424*(1+IF(L$3&lt;=$O$2,$D424,$D424-($D424-$I$400)*MIN(L$3-$O$2,$Q$2)/$Q$2))</f>
        <v>1865.4409310965</v>
      </c>
      <c r="M424" s="15" t="n">
        <f aca="false">L424*(1+IF(M$3&lt;=$O$2,$D424,$D424-($D424-$I$400)*MIN(M$3-$O$2,$Q$2)/$Q$2))</f>
        <v>1908.70461415972</v>
      </c>
      <c r="N424" s="15" t="n">
        <f aca="false">M424*(1+IF(N$3&lt;=$O$2,$D424,$D424-($D424-$I$400)*MIN(N$3-$O$2,$Q$2)/$Q$2))</f>
        <v>1965.96575258451</v>
      </c>
      <c r="O424" s="15" t="n">
        <f aca="false">SUMPRODUCT(E424:N424,1/(1+$F$400)^$E$3:$N$3)*$E$2</f>
        <v>4814.19199333706</v>
      </c>
      <c r="P424" s="15" t="n">
        <f aca="false">N424*$E$2*(1+$I$400)/($F$400-$I$400)/(1+$F$400)^$N$3</f>
        <v>11748.4906525841</v>
      </c>
      <c r="Q424" s="15" t="n">
        <f aca="false">O424+P424</f>
        <v>16562.6826459212</v>
      </c>
      <c r="R424" s="15" t="n">
        <f aca="false">Q424-$G$2+$I$2</f>
        <v>15009.9826459212</v>
      </c>
      <c r="S424" s="40" t="n">
        <f aca="false">R424/$K$2</f>
        <v>54.5044578449514</v>
      </c>
      <c r="T424" s="41" t="n">
        <f aca="false">S424-$M$2</f>
        <v>-6.30163725361399E-005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-0.0040389895439148</v>
      </c>
      <c r="C425" s="25" t="n">
        <f aca="false">IF(T424&gt;0,D424,C424)</f>
        <v>-0.00403881072998047</v>
      </c>
      <c r="D425" s="39" t="n">
        <f aca="false">(B425+C425)/2</f>
        <v>-0.00403890013694763</v>
      </c>
      <c r="E425" s="15" t="n">
        <f aca="false">$C$2*(1+IF(E$3&lt;=$O$2,$D425,$D425-($D425-$I$400)*MIN(E$3-$O$2,$Q$2)/$Q$2))</f>
        <v>1842.52803474665</v>
      </c>
      <c r="F425" s="15" t="n">
        <f aca="false">E425*(1+IF(F$3&lt;=$O$2,$D425,$D425-($D425-$I$400)*MIN(F$3-$O$2,$Q$2)/$Q$2))</f>
        <v>1835.08624801478</v>
      </c>
      <c r="G425" s="15" t="n">
        <f aca="false">F425*(1+IF(G$3&lt;=$O$2,$D425,$D425-($D425-$I$400)*MIN(G$3-$O$2,$Q$2)/$Q$2))</f>
        <v>1827.67451791636</v>
      </c>
      <c r="H425" s="15" t="n">
        <f aca="false">G425*(1+IF(H$3&lt;=$O$2,$D425,$D425-($D425-$I$400)*MIN(H$3-$O$2,$Q$2)/$Q$2))</f>
        <v>1820.29272305565</v>
      </c>
      <c r="I425" s="15" t="n">
        <f aca="false">H425*(1+IF(I$3&lt;=$O$2,$D425,$D425-($D425-$I$400)*MIN(I$3-$O$2,$Q$2)/$Q$2))</f>
        <v>1812.94074252722</v>
      </c>
      <c r="J425" s="15" t="n">
        <f aca="false">I425*(1+IF(J$3&lt;=$O$2,$D425,$D425-($D425-$I$400)*MIN(J$3-$O$2,$Q$2)/$Q$2))</f>
        <v>1817.96055769177</v>
      </c>
      <c r="K425" s="15" t="n">
        <f aca="false">J425*(1+IF(K$3&lt;=$O$2,$D425,$D425-($D425-$I$400)*MIN(K$3-$O$2,$Q$2)/$Q$2))</f>
        <v>1835.37054769681</v>
      </c>
      <c r="L425" s="15" t="n">
        <f aca="false">K425*(1+IF(L$3&lt;=$O$2,$D425,$D425-($D425-$I$400)*MIN(L$3-$O$2,$Q$2)/$Q$2))</f>
        <v>1865.44206621278</v>
      </c>
      <c r="M425" s="15" t="n">
        <f aca="false">L425*(1+IF(M$3&lt;=$O$2,$D425,$D425-($D425-$I$400)*MIN(M$3-$O$2,$Q$2)/$Q$2))</f>
        <v>1908.70580895854</v>
      </c>
      <c r="N425" s="15" t="n">
        <f aca="false">M425*(1+IF(N$3&lt;=$O$2,$D425,$D425-($D425-$I$400)*MIN(N$3-$O$2,$Q$2)/$Q$2))</f>
        <v>1965.9669832273</v>
      </c>
      <c r="O425" s="15" t="n">
        <f aca="false">SUMPRODUCT(E425:N425,1/(1+$F$400)^$E$3:$N$3)*$E$2</f>
        <v>4814.19391768438</v>
      </c>
      <c r="P425" s="15" t="n">
        <f aca="false">N425*$E$2*(1+$I$400)/($F$400-$I$400)/(1+$F$400)^$N$3</f>
        <v>11748.4980068299</v>
      </c>
      <c r="Q425" s="15" t="n">
        <f aca="false">O425+P425</f>
        <v>16562.6919245143</v>
      </c>
      <c r="R425" s="15" t="n">
        <f aca="false">Q425-$G$2+$I$2</f>
        <v>15009.9919245143</v>
      </c>
      <c r="S425" s="40" t="n">
        <f aca="false">R425/$K$2</f>
        <v>54.5044915375078</v>
      </c>
      <c r="T425" s="41" t="n">
        <f aca="false">S425-$M$2</f>
        <v>-2.93238161575005E-005</v>
      </c>
    </row>
    <row r="427" customFormat="false" ht="15" hidden="false" customHeight="false" outlineLevel="0" collapsed="false">
      <c r="A427" s="36" t="s">
        <v>190</v>
      </c>
      <c r="E427" s="5" t="s">
        <v>11</v>
      </c>
      <c r="F427" s="12" t="n">
        <f aca="false">Sensitivity!$B$12</f>
        <v>0.0635093056415221</v>
      </c>
      <c r="G427" s="5" t="s">
        <v>12</v>
      </c>
      <c r="I427" s="12" t="n">
        <f aca="false">Sensitivity!$G$9</f>
        <v>0.035</v>
      </c>
    </row>
    <row r="428" customFormat="false" ht="23.85" hidden="false" customHeight="false" outlineLevel="0" collapsed="false">
      <c r="A428" s="36" t="s">
        <v>156</v>
      </c>
      <c r="B428" s="28" t="s">
        <v>157</v>
      </c>
      <c r="C428" s="28" t="s">
        <v>158</v>
      </c>
      <c r="D428" s="28" t="s">
        <v>159</v>
      </c>
      <c r="E428" s="28" t="s">
        <v>160</v>
      </c>
      <c r="F428" s="28" t="s">
        <v>161</v>
      </c>
      <c r="G428" s="28" t="s">
        <v>162</v>
      </c>
      <c r="H428" s="28" t="s">
        <v>163</v>
      </c>
      <c r="I428" s="28" t="s">
        <v>164</v>
      </c>
      <c r="J428" s="28" t="s">
        <v>165</v>
      </c>
      <c r="K428" s="28" t="s">
        <v>166</v>
      </c>
      <c r="L428" s="28" t="s">
        <v>167</v>
      </c>
      <c r="M428" s="28" t="s">
        <v>168</v>
      </c>
      <c r="N428" s="28" t="s">
        <v>169</v>
      </c>
      <c r="O428" s="28" t="s">
        <v>170</v>
      </c>
      <c r="P428" s="28" t="s">
        <v>171</v>
      </c>
      <c r="Q428" s="28" t="s">
        <v>172</v>
      </c>
      <c r="R428" s="28" t="s">
        <v>173</v>
      </c>
      <c r="S428" s="28" t="s">
        <v>174</v>
      </c>
      <c r="T428" s="28" t="s">
        <v>175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39" t="n">
        <f aca="false">(B429+C429)/2</f>
        <v>0.25</v>
      </c>
      <c r="E429" s="15" t="n">
        <f aca="false">$C$2*(1+IF(E$3&lt;=$O$2,$D429,$D429-($D429-$I$427)*MIN(E$3-$O$2,$Q$2)/$Q$2))</f>
        <v>2312.5</v>
      </c>
      <c r="F429" s="15" t="n">
        <f aca="false">E429*(1+IF(F$3&lt;=$O$2,$D429,$D429-($D429-$I$427)*MIN(F$3-$O$2,$Q$2)/$Q$2))</f>
        <v>2890.625</v>
      </c>
      <c r="G429" s="15" t="n">
        <f aca="false">F429*(1+IF(G$3&lt;=$O$2,$D429,$D429-($D429-$I$427)*MIN(G$3-$O$2,$Q$2)/$Q$2))</f>
        <v>3613.28125</v>
      </c>
      <c r="H429" s="15" t="n">
        <f aca="false">G429*(1+IF(H$3&lt;=$O$2,$D429,$D429-($D429-$I$427)*MIN(H$3-$O$2,$Q$2)/$Q$2))</f>
        <v>4516.6015625</v>
      </c>
      <c r="I429" s="15" t="n">
        <f aca="false">H429*(1+IF(I$3&lt;=$O$2,$D429,$D429-($D429-$I$427)*MIN(I$3-$O$2,$Q$2)/$Q$2))</f>
        <v>5645.751953125</v>
      </c>
      <c r="J429" s="15" t="n">
        <f aca="false">I429*(1+IF(J$3&lt;=$O$2,$D429,$D429-($D429-$I$427)*MIN(J$3-$O$2,$Q$2)/$Q$2))</f>
        <v>6814.42260742188</v>
      </c>
      <c r="K429" s="15" t="n">
        <f aca="false">J429*(1+IF(K$3&lt;=$O$2,$D429,$D429-($D429-$I$427)*MIN(K$3-$O$2,$Q$2)/$Q$2))</f>
        <v>7931.98791503906</v>
      </c>
      <c r="L429" s="15" t="n">
        <f aca="false">K429*(1+IF(L$3&lt;=$O$2,$D429,$D429-($D429-$I$427)*MIN(L$3-$O$2,$Q$2)/$Q$2))</f>
        <v>8891.75845275879</v>
      </c>
      <c r="M429" s="15" t="n">
        <f aca="false">L429*(1+IF(M$3&lt;=$O$2,$D429,$D429-($D429-$I$427)*MIN(M$3-$O$2,$Q$2)/$Q$2))</f>
        <v>9585.31561207397</v>
      </c>
      <c r="N429" s="15" t="n">
        <f aca="false">M429*(1+IF(N$3&lt;=$O$2,$D429,$D429-($D429-$I$427)*MIN(N$3-$O$2,$Q$2)/$Q$2))</f>
        <v>9920.80165849656</v>
      </c>
      <c r="O429" s="15" t="n">
        <f aca="false">SUMPRODUCT(E429:N429,1/(1+$F$427)^$E$3:$N$3)*$E$2</f>
        <v>14962.8945176192</v>
      </c>
      <c r="P429" s="15" t="n">
        <f aca="false">N429*$E$2*(1+$I$427)/($F$427-$I$427)/(1+$F$427)^$N$3</f>
        <v>70022.0479555856</v>
      </c>
      <c r="Q429" s="15" t="n">
        <f aca="false">O429+P429</f>
        <v>84984.9424732049</v>
      </c>
      <c r="R429" s="15" t="n">
        <f aca="false">Q429-$G$2+$I$2</f>
        <v>83432.2424732049</v>
      </c>
      <c r="S429" s="40" t="n">
        <f aca="false">R429/$K$2</f>
        <v>302.960319812647</v>
      </c>
      <c r="T429" s="41" t="n">
        <f aca="false">S429-$M$2</f>
        <v>248.455798951323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39" t="n">
        <f aca="false">(B430+C430)/2</f>
        <v>-0.125</v>
      </c>
      <c r="E430" s="15" t="n">
        <f aca="false">$C$2*(1+IF(E$3&lt;=$O$2,$D430,$D430-($D430-$I$427)*MIN(E$3-$O$2,$Q$2)/$Q$2))</f>
        <v>1618.75</v>
      </c>
      <c r="F430" s="15" t="n">
        <f aca="false">E430*(1+IF(F$3&lt;=$O$2,$D430,$D430-($D430-$I$427)*MIN(F$3-$O$2,$Q$2)/$Q$2))</f>
        <v>1416.40625</v>
      </c>
      <c r="G430" s="15" t="n">
        <f aca="false">F430*(1+IF(G$3&lt;=$O$2,$D430,$D430-($D430-$I$427)*MIN(G$3-$O$2,$Q$2)/$Q$2))</f>
        <v>1239.35546875</v>
      </c>
      <c r="H430" s="15" t="n">
        <f aca="false">G430*(1+IF(H$3&lt;=$O$2,$D430,$D430-($D430-$I$427)*MIN(H$3-$O$2,$Q$2)/$Q$2))</f>
        <v>1084.43603515625</v>
      </c>
      <c r="I430" s="15" t="n">
        <f aca="false">H430*(1+IF(I$3&lt;=$O$2,$D430,$D430-($D430-$I$427)*MIN(I$3-$O$2,$Q$2)/$Q$2))</f>
        <v>948.881530761719</v>
      </c>
      <c r="J430" s="15" t="n">
        <f aca="false">I430*(1+IF(J$3&lt;=$O$2,$D430,$D430-($D430-$I$427)*MIN(J$3-$O$2,$Q$2)/$Q$2))</f>
        <v>860.635548400879</v>
      </c>
      <c r="K430" s="15" t="n">
        <f aca="false">J430*(1+IF(K$3&lt;=$O$2,$D430,$D430-($D430-$I$427)*MIN(K$3-$O$2,$Q$2)/$Q$2))</f>
        <v>808.136779948425</v>
      </c>
      <c r="L430" s="15" t="n">
        <f aca="false">K430*(1+IF(L$3&lt;=$O$2,$D430,$D430-($D430-$I$427)*MIN(L$3-$O$2,$Q$2)/$Q$2))</f>
        <v>784.700813329921</v>
      </c>
      <c r="M430" s="15" t="n">
        <f aca="false">L430*(1+IF(M$3&lt;=$O$2,$D430,$D430-($D430-$I$427)*MIN(M$3-$O$2,$Q$2)/$Q$2))</f>
        <v>787.054915769911</v>
      </c>
      <c r="N430" s="15" t="n">
        <f aca="false">M430*(1+IF(N$3&lt;=$O$2,$D430,$D430-($D430-$I$427)*MIN(N$3-$O$2,$Q$2)/$Q$2))</f>
        <v>814.601837821858</v>
      </c>
      <c r="O430" s="15" t="n">
        <f aca="false">SUMPRODUCT(E430:N430,1/(1+$F$427)^$E$3:$N$3)*$E$2</f>
        <v>2821.95227105919</v>
      </c>
      <c r="P430" s="15" t="n">
        <f aca="false">N430*$E$2*(1+$I$427)/($F$427-$I$427)/(1+$F$427)^$N$3</f>
        <v>5749.54433282304</v>
      </c>
      <c r="Q430" s="15" t="n">
        <f aca="false">O430+P430</f>
        <v>8571.49660388223</v>
      </c>
      <c r="R430" s="15" t="n">
        <f aca="false">Q430-$G$2+$I$2</f>
        <v>7018.79660388223</v>
      </c>
      <c r="S430" s="40" t="n">
        <f aca="false">R430/$K$2</f>
        <v>25.4867518932504</v>
      </c>
      <c r="T430" s="41" t="n">
        <f aca="false">S430-$M$2</f>
        <v>-29.0177689680735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39" t="n">
        <f aca="false">(B431+C431)/2</f>
        <v>0.0625</v>
      </c>
      <c r="E431" s="15" t="n">
        <f aca="false">$C$2*(1+IF(E$3&lt;=$O$2,$D431,$D431-($D431-$I$427)*MIN(E$3-$O$2,$Q$2)/$Q$2))</f>
        <v>1965.625</v>
      </c>
      <c r="F431" s="15" t="n">
        <f aca="false">E431*(1+IF(F$3&lt;=$O$2,$D431,$D431-($D431-$I$427)*MIN(F$3-$O$2,$Q$2)/$Q$2))</f>
        <v>2088.4765625</v>
      </c>
      <c r="G431" s="15" t="n">
        <f aca="false">F431*(1+IF(G$3&lt;=$O$2,$D431,$D431-($D431-$I$427)*MIN(G$3-$O$2,$Q$2)/$Q$2))</f>
        <v>2219.00634765625</v>
      </c>
      <c r="H431" s="15" t="n">
        <f aca="false">G431*(1+IF(H$3&lt;=$O$2,$D431,$D431-($D431-$I$427)*MIN(H$3-$O$2,$Q$2)/$Q$2))</f>
        <v>2357.69424438477</v>
      </c>
      <c r="I431" s="15" t="n">
        <f aca="false">H431*(1+IF(I$3&lt;=$O$2,$D431,$D431-($D431-$I$427)*MIN(I$3-$O$2,$Q$2)/$Q$2))</f>
        <v>2505.05013465881</v>
      </c>
      <c r="J431" s="15" t="n">
        <f aca="false">I431*(1+IF(J$3&lt;=$O$2,$D431,$D431-($D431-$I$427)*MIN(J$3-$O$2,$Q$2)/$Q$2))</f>
        <v>2647.83799233437</v>
      </c>
      <c r="K431" s="15" t="n">
        <f aca="false">J431*(1+IF(K$3&lt;=$O$2,$D431,$D431-($D431-$I$427)*MIN(K$3-$O$2,$Q$2)/$Q$2))</f>
        <v>2784.20164893959</v>
      </c>
      <c r="L431" s="15" t="n">
        <f aca="false">K431*(1+IF(L$3&lt;=$O$2,$D431,$D431-($D431-$I$427)*MIN(L$3-$O$2,$Q$2)/$Q$2))</f>
        <v>2912.27492479081</v>
      </c>
      <c r="M431" s="15" t="n">
        <f aca="false">L431*(1+IF(M$3&lt;=$O$2,$D431,$D431-($D431-$I$427)*MIN(M$3-$O$2,$Q$2)/$Q$2))</f>
        <v>3030.22205924483</v>
      </c>
      <c r="N431" s="15" t="n">
        <f aca="false">M431*(1+IF(N$3&lt;=$O$2,$D431,$D431-($D431-$I$427)*MIN(N$3-$O$2,$Q$2)/$Q$2))</f>
        <v>3136.2798313184</v>
      </c>
      <c r="O431" s="15" t="n">
        <f aca="false">SUMPRODUCT(E431:N431,1/(1+$F$427)^$E$3:$N$3)*$E$2</f>
        <v>6505.69970819037</v>
      </c>
      <c r="P431" s="15" t="n">
        <f aca="false">N431*$E$2*(1+$I$427)/($F$427-$I$427)/(1+$F$427)^$N$3</f>
        <v>22136.1886176438</v>
      </c>
      <c r="Q431" s="15" t="n">
        <f aca="false">O431+P431</f>
        <v>28641.8883258342</v>
      </c>
      <c r="R431" s="15" t="n">
        <f aca="false">Q431-$G$2+$I$2</f>
        <v>27089.1883258342</v>
      </c>
      <c r="S431" s="40" t="n">
        <f aca="false">R431/$K$2</f>
        <v>98.3666375897243</v>
      </c>
      <c r="T431" s="41" t="n">
        <f aca="false">S431-$M$2</f>
        <v>43.8621167284003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39" t="n">
        <f aca="false">(B432+C432)/2</f>
        <v>-0.03125</v>
      </c>
      <c r="E432" s="15" t="n">
        <f aca="false">$C$2*(1+IF(E$3&lt;=$O$2,$D432,$D432-($D432-$I$427)*MIN(E$3-$O$2,$Q$2)/$Q$2))</f>
        <v>1792.1875</v>
      </c>
      <c r="F432" s="15" t="n">
        <f aca="false">E432*(1+IF(F$3&lt;=$O$2,$D432,$D432-($D432-$I$427)*MIN(F$3-$O$2,$Q$2)/$Q$2))</f>
        <v>1736.181640625</v>
      </c>
      <c r="G432" s="15" t="n">
        <f aca="false">F432*(1+IF(G$3&lt;=$O$2,$D432,$D432-($D432-$I$427)*MIN(G$3-$O$2,$Q$2)/$Q$2))</f>
        <v>1681.92596435547</v>
      </c>
      <c r="H432" s="15" t="n">
        <f aca="false">G432*(1+IF(H$3&lt;=$O$2,$D432,$D432-($D432-$I$427)*MIN(H$3-$O$2,$Q$2)/$Q$2))</f>
        <v>1629.36577796936</v>
      </c>
      <c r="I432" s="15" t="n">
        <f aca="false">H432*(1+IF(I$3&lt;=$O$2,$D432,$D432-($D432-$I$427)*MIN(I$3-$O$2,$Q$2)/$Q$2))</f>
        <v>1578.44809740782</v>
      </c>
      <c r="J432" s="15" t="n">
        <f aca="false">I432*(1+IF(J$3&lt;=$O$2,$D432,$D432-($D432-$I$427)*MIN(J$3-$O$2,$Q$2)/$Q$2))</f>
        <v>1550.03603165448</v>
      </c>
      <c r="K432" s="15" t="n">
        <f aca="false">J432*(1+IF(K$3&lt;=$O$2,$D432,$D432-($D432-$I$427)*MIN(K$3-$O$2,$Q$2)/$Q$2))</f>
        <v>1542.67336050412</v>
      </c>
      <c r="L432" s="15" t="n">
        <f aca="false">K432*(1+IF(L$3&lt;=$O$2,$D432,$D432-($D432-$I$427)*MIN(L$3-$O$2,$Q$2)/$Q$2))</f>
        <v>1555.7860840684</v>
      </c>
      <c r="M432" s="15" t="n">
        <f aca="false">L432*(1+IF(M$3&lt;=$O$2,$D432,$D432-($D432-$I$427)*MIN(M$3-$O$2,$Q$2)/$Q$2))</f>
        <v>1589.62443139689</v>
      </c>
      <c r="N432" s="15" t="n">
        <f aca="false">M432*(1+IF(N$3&lt;=$O$2,$D432,$D432-($D432-$I$427)*MIN(N$3-$O$2,$Q$2)/$Q$2))</f>
        <v>1645.26128649578</v>
      </c>
      <c r="O432" s="15" t="n">
        <f aca="false">SUMPRODUCT(E432:N432,1/(1+$F$427)^$E$3:$N$3)*$E$2</f>
        <v>4274.84754605436</v>
      </c>
      <c r="P432" s="15" t="n">
        <f aca="false">N432*$E$2*(1+$I$427)/($F$427-$I$427)/(1+$F$427)^$N$3</f>
        <v>11612.4249499344</v>
      </c>
      <c r="Q432" s="15" t="n">
        <f aca="false">O432+P432</f>
        <v>15887.2724959888</v>
      </c>
      <c r="R432" s="15" t="n">
        <f aca="false">Q432-$G$2+$I$2</f>
        <v>14334.5724959888</v>
      </c>
      <c r="S432" s="40" t="n">
        <f aca="false">R432/$K$2</f>
        <v>52.0518991103118</v>
      </c>
      <c r="T432" s="41" t="n">
        <f aca="false">S432-$M$2</f>
        <v>-2.45262175101213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39" t="n">
        <f aca="false">(B433+C433)/2</f>
        <v>0.015625</v>
      </c>
      <c r="E433" s="15" t="n">
        <f aca="false">$C$2*(1+IF(E$3&lt;=$O$2,$D433,$D433-($D433-$I$427)*MIN(E$3-$O$2,$Q$2)/$Q$2))</f>
        <v>1878.90625</v>
      </c>
      <c r="F433" s="15" t="n">
        <f aca="false">E433*(1+IF(F$3&lt;=$O$2,$D433,$D433-($D433-$I$427)*MIN(F$3-$O$2,$Q$2)/$Q$2))</f>
        <v>1908.26416015625</v>
      </c>
      <c r="G433" s="15" t="n">
        <f aca="false">F433*(1+IF(G$3&lt;=$O$2,$D433,$D433-($D433-$I$427)*MIN(G$3-$O$2,$Q$2)/$Q$2))</f>
        <v>1938.08078765869</v>
      </c>
      <c r="H433" s="15" t="n">
        <f aca="false">G433*(1+IF(H$3&lt;=$O$2,$D433,$D433-($D433-$I$427)*MIN(H$3-$O$2,$Q$2)/$Q$2))</f>
        <v>1968.36329996586</v>
      </c>
      <c r="I433" s="15" t="n">
        <f aca="false">H433*(1+IF(I$3&lt;=$O$2,$D433,$D433-($D433-$I$427)*MIN(I$3-$O$2,$Q$2)/$Q$2))</f>
        <v>1999.11897652783</v>
      </c>
      <c r="J433" s="15" t="n">
        <f aca="false">I433*(1+IF(J$3&lt;=$O$2,$D433,$D433-($D433-$I$427)*MIN(J$3-$O$2,$Q$2)/$Q$2))</f>
        <v>2038.10179657012</v>
      </c>
      <c r="K433" s="15" t="n">
        <f aca="false">J433*(1+IF(K$3&lt;=$O$2,$D433,$D433-($D433-$I$427)*MIN(K$3-$O$2,$Q$2)/$Q$2))</f>
        <v>2085.74242606494</v>
      </c>
      <c r="L433" s="15" t="n">
        <f aca="false">K433*(1+IF(L$3&lt;=$O$2,$D433,$D433-($D433-$I$427)*MIN(L$3-$O$2,$Q$2)/$Q$2))</f>
        <v>2142.57890717521</v>
      </c>
      <c r="M433" s="15" t="n">
        <f aca="false">L433*(1+IF(M$3&lt;=$O$2,$D433,$D433-($D433-$I$427)*MIN(M$3-$O$2,$Q$2)/$Q$2))</f>
        <v>2209.26667566104</v>
      </c>
      <c r="N433" s="15" t="n">
        <f aca="false">M433*(1+IF(N$3&lt;=$O$2,$D433,$D433-($D433-$I$427)*MIN(N$3-$O$2,$Q$2)/$Q$2))</f>
        <v>2286.59100930918</v>
      </c>
      <c r="O433" s="15" t="n">
        <f aca="false">SUMPRODUCT(E433:N433,1/(1+$F$427)^$E$3:$N$3)*$E$2</f>
        <v>5272.44252956388</v>
      </c>
      <c r="P433" s="15" t="n">
        <f aca="false">N433*$E$2*(1+$I$427)/($F$427-$I$427)/(1+$F$427)^$N$3</f>
        <v>16138.9967081473</v>
      </c>
      <c r="Q433" s="15" t="n">
        <f aca="false">O433+P433</f>
        <v>21411.4392377112</v>
      </c>
      <c r="R433" s="15" t="n">
        <f aca="false">Q433-$G$2+$I$2</f>
        <v>19858.7392377112</v>
      </c>
      <c r="S433" s="40" t="n">
        <f aca="false">R433/$K$2</f>
        <v>72.1113302505944</v>
      </c>
      <c r="T433" s="41" t="n">
        <f aca="false">S433-$M$2</f>
        <v>17.6068093892704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-0.03125</v>
      </c>
      <c r="C434" s="25" t="n">
        <f aca="false">IF(T433&gt;0,D433,C433)</f>
        <v>0.015625</v>
      </c>
      <c r="D434" s="39" t="n">
        <f aca="false">(B434+C434)/2</f>
        <v>-0.0078125</v>
      </c>
      <c r="E434" s="15" t="n">
        <f aca="false">$C$2*(1+IF(E$3&lt;=$O$2,$D434,$D434-($D434-$I$427)*MIN(E$3-$O$2,$Q$2)/$Q$2))</f>
        <v>1835.546875</v>
      </c>
      <c r="F434" s="15" t="n">
        <f aca="false">E434*(1+IF(F$3&lt;=$O$2,$D434,$D434-($D434-$I$427)*MIN(F$3-$O$2,$Q$2)/$Q$2))</f>
        <v>1821.20666503906</v>
      </c>
      <c r="G434" s="15" t="n">
        <f aca="false">F434*(1+IF(G$3&lt;=$O$2,$D434,$D434-($D434-$I$427)*MIN(G$3-$O$2,$Q$2)/$Q$2))</f>
        <v>1806.97848796844</v>
      </c>
      <c r="H434" s="15" t="n">
        <f aca="false">G434*(1+IF(H$3&lt;=$O$2,$D434,$D434-($D434-$I$427)*MIN(H$3-$O$2,$Q$2)/$Q$2))</f>
        <v>1792.86146853119</v>
      </c>
      <c r="I434" s="15" t="n">
        <f aca="false">H434*(1+IF(I$3&lt;=$O$2,$D434,$D434-($D434-$I$427)*MIN(I$3-$O$2,$Q$2)/$Q$2))</f>
        <v>1778.85473830829</v>
      </c>
      <c r="J434" s="15" t="n">
        <f aca="false">I434*(1+IF(J$3&lt;=$O$2,$D434,$D434-($D434-$I$427)*MIN(J$3-$O$2,$Q$2)/$Q$2))</f>
        <v>1780.18887936202</v>
      </c>
      <c r="K434" s="15" t="n">
        <f aca="false">J434*(1+IF(K$3&lt;=$O$2,$D434,$D434-($D434-$I$427)*MIN(K$3-$O$2,$Q$2)/$Q$2))</f>
        <v>1796.76688830108</v>
      </c>
      <c r="L434" s="15" t="n">
        <f aca="false">K434*(1+IF(L$3&lt;=$O$2,$D434,$D434-($D434-$I$427)*MIN(L$3-$O$2,$Q$2)/$Q$2))</f>
        <v>1828.88409642946</v>
      </c>
      <c r="M434" s="15" t="n">
        <f aca="false">L434*(1+IF(M$3&lt;=$O$2,$D434,$D434-($D434-$I$427)*MIN(M$3-$O$2,$Q$2)/$Q$2))</f>
        <v>1877.23521972882</v>
      </c>
      <c r="N434" s="15" t="n">
        <f aca="false">M434*(1+IF(N$3&lt;=$O$2,$D434,$D434-($D434-$I$427)*MIN(N$3-$O$2,$Q$2)/$Q$2))</f>
        <v>1942.93845241933</v>
      </c>
      <c r="O434" s="15" t="n">
        <f aca="false">SUMPRODUCT(E434:N434,1/(1+$F$427)^$E$3:$N$3)*$E$2</f>
        <v>4747.04579556421</v>
      </c>
      <c r="P434" s="15" t="n">
        <f aca="false">N434*$E$2*(1+$I$427)/($F$427-$I$427)/(1+$F$427)^$N$3</f>
        <v>13713.4612880341</v>
      </c>
      <c r="Q434" s="15" t="n">
        <f aca="false">O434+P434</f>
        <v>18460.5070835983</v>
      </c>
      <c r="R434" s="15" t="n">
        <f aca="false">Q434-$G$2+$I$2</f>
        <v>16907.8070835983</v>
      </c>
      <c r="S434" s="40" t="n">
        <f aca="false">R434/$K$2</f>
        <v>61.3958643509145</v>
      </c>
      <c r="T434" s="41" t="n">
        <f aca="false">S434-$M$2</f>
        <v>6.89134348959053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-0.03125</v>
      </c>
      <c r="C435" s="25" t="n">
        <f aca="false">IF(T434&gt;0,D434,C434)</f>
        <v>-0.0078125</v>
      </c>
      <c r="D435" s="39" t="n">
        <f aca="false">(B435+C435)/2</f>
        <v>-0.01953125</v>
      </c>
      <c r="E435" s="15" t="n">
        <f aca="false">$C$2*(1+IF(E$3&lt;=$O$2,$D435,$D435-($D435-$I$427)*MIN(E$3-$O$2,$Q$2)/$Q$2))</f>
        <v>1813.8671875</v>
      </c>
      <c r="F435" s="15" t="n">
        <f aca="false">E435*(1+IF(F$3&lt;=$O$2,$D435,$D435-($D435-$I$427)*MIN(F$3-$O$2,$Q$2)/$Q$2))</f>
        <v>1778.44009399414</v>
      </c>
      <c r="G435" s="15" t="n">
        <f aca="false">F435*(1+IF(G$3&lt;=$O$2,$D435,$D435-($D435-$I$427)*MIN(G$3-$O$2,$Q$2)/$Q$2))</f>
        <v>1743.70493590832</v>
      </c>
      <c r="H435" s="15" t="n">
        <f aca="false">G435*(1+IF(H$3&lt;=$O$2,$D435,$D435-($D435-$I$427)*MIN(H$3-$O$2,$Q$2)/$Q$2))</f>
        <v>1709.64819887886</v>
      </c>
      <c r="I435" s="15" t="n">
        <f aca="false">H435*(1+IF(I$3&lt;=$O$2,$D435,$D435-($D435-$I$427)*MIN(I$3-$O$2,$Q$2)/$Q$2))</f>
        <v>1676.25663249451</v>
      </c>
      <c r="J435" s="15" t="n">
        <f aca="false">I435*(1+IF(J$3&lt;=$O$2,$D435,$D435-($D435-$I$427)*MIN(J$3-$O$2,$Q$2)/$Q$2))</f>
        <v>1661.79891903924</v>
      </c>
      <c r="K435" s="15" t="n">
        <f aca="false">J435*(1+IF(K$3&lt;=$O$2,$D435,$D435-($D435-$I$427)*MIN(K$3-$O$2,$Q$2)/$Q$2))</f>
        <v>1665.5898978233</v>
      </c>
      <c r="L435" s="15" t="n">
        <f aca="false">K435*(1+IF(L$3&lt;=$O$2,$D435,$D435-($D435-$I$427)*MIN(L$3-$O$2,$Q$2)/$Q$2))</f>
        <v>1687.55486460084</v>
      </c>
      <c r="M435" s="15" t="n">
        <f aca="false">L435*(1+IF(M$3&lt;=$O$2,$D435,$D435-($D435-$I$427)*MIN(M$3-$O$2,$Q$2)/$Q$2))</f>
        <v>1728.21438961982</v>
      </c>
      <c r="N435" s="15" t="n">
        <f aca="false">M435*(1+IF(N$3&lt;=$O$2,$D435,$D435-($D435-$I$427)*MIN(N$3-$O$2,$Q$2)/$Q$2))</f>
        <v>1788.70189325651</v>
      </c>
      <c r="O435" s="15" t="n">
        <f aca="false">SUMPRODUCT(E435:N435,1/(1+$F$427)^$E$3:$N$3)*$E$2</f>
        <v>4504.62759032498</v>
      </c>
      <c r="P435" s="15" t="n">
        <f aca="false">N435*$E$2*(1+$I$427)/($F$427-$I$427)/(1+$F$427)^$N$3</f>
        <v>12624.8436426089</v>
      </c>
      <c r="Q435" s="15" t="n">
        <f aca="false">O435+P435</f>
        <v>17129.4712329339</v>
      </c>
      <c r="R435" s="15" t="n">
        <f aca="false">Q435-$G$2+$I$2</f>
        <v>15576.7712329339</v>
      </c>
      <c r="S435" s="40" t="n">
        <f aca="false">R435/$K$2</f>
        <v>56.5625884488685</v>
      </c>
      <c r="T435" s="41" t="n">
        <f aca="false">S435-$M$2</f>
        <v>2.05806758754461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-0.03125</v>
      </c>
      <c r="C436" s="25" t="n">
        <f aca="false">IF(T435&gt;0,D435,C435)</f>
        <v>-0.01953125</v>
      </c>
      <c r="D436" s="39" t="n">
        <f aca="false">(B436+C436)/2</f>
        <v>-0.025390625</v>
      </c>
      <c r="E436" s="15" t="n">
        <f aca="false">$C$2*(1+IF(E$3&lt;=$O$2,$D436,$D436-($D436-$I$427)*MIN(E$3-$O$2,$Q$2)/$Q$2))</f>
        <v>1803.02734375</v>
      </c>
      <c r="F436" s="15" t="n">
        <f aca="false">E436*(1+IF(F$3&lt;=$O$2,$D436,$D436-($D436-$I$427)*MIN(F$3-$O$2,$Q$2)/$Q$2))</f>
        <v>1757.2473526001</v>
      </c>
      <c r="G436" s="15" t="n">
        <f aca="false">F436*(1+IF(G$3&lt;=$O$2,$D436,$D436-($D436-$I$427)*MIN(G$3-$O$2,$Q$2)/$Q$2))</f>
        <v>1712.62974403799</v>
      </c>
      <c r="H436" s="15" t="n">
        <f aca="false">G436*(1+IF(H$3&lt;=$O$2,$D436,$D436-($D436-$I$427)*MIN(H$3-$O$2,$Q$2)/$Q$2))</f>
        <v>1669.14500444327</v>
      </c>
      <c r="I436" s="15" t="n">
        <f aca="false">H436*(1+IF(I$3&lt;=$O$2,$D436,$D436-($D436-$I$427)*MIN(I$3-$O$2,$Q$2)/$Q$2))</f>
        <v>1626.76436956483</v>
      </c>
      <c r="J436" s="15" t="n">
        <f aca="false">I436*(1+IF(J$3&lt;=$O$2,$D436,$D436-($D436-$I$427)*MIN(J$3-$O$2,$Q$2)/$Q$2))</f>
        <v>1605.108068895</v>
      </c>
      <c r="K436" s="15" t="n">
        <f aca="false">J436*(1+IF(K$3&lt;=$O$2,$D436,$D436-($D436-$I$427)*MIN(K$3-$O$2,$Q$2)/$Q$2))</f>
        <v>1603.12676362245</v>
      </c>
      <c r="L436" s="15" t="n">
        <f aca="false">K436*(1+IF(L$3&lt;=$O$2,$D436,$D436-($D436-$I$427)*MIN(L$3-$O$2,$Q$2)/$Q$2))</f>
        <v>1620.51066946549</v>
      </c>
      <c r="M436" s="15" t="n">
        <f aca="false">L436*(1+IF(M$3&lt;=$O$2,$D436,$D436-($D436-$I$427)*MIN(M$3-$O$2,$Q$2)/$Q$2))</f>
        <v>1657.65581246714</v>
      </c>
      <c r="N436" s="15" t="n">
        <f aca="false">M436*(1+IF(N$3&lt;=$O$2,$D436,$D436-($D436-$I$427)*MIN(N$3-$O$2,$Q$2)/$Q$2))</f>
        <v>1715.67376590349</v>
      </c>
      <c r="O436" s="15" t="n">
        <f aca="false">SUMPRODUCT(E436:N436,1/(1+$F$427)^$E$3:$N$3)*$E$2</f>
        <v>4388.19756594319</v>
      </c>
      <c r="P436" s="15" t="n">
        <f aca="false">N436*$E$2*(1+$I$427)/($F$427-$I$427)/(1+$F$427)^$N$3</f>
        <v>12109.4035389112</v>
      </c>
      <c r="Q436" s="15" t="n">
        <f aca="false">O436+P436</f>
        <v>16497.6011048544</v>
      </c>
      <c r="R436" s="15" t="n">
        <f aca="false">Q436-$G$2+$I$2</f>
        <v>14944.9011048544</v>
      </c>
      <c r="S436" s="40" t="n">
        <f aca="false">R436/$K$2</f>
        <v>54.2681328474323</v>
      </c>
      <c r="T436" s="41" t="n">
        <f aca="false">S436-$M$2</f>
        <v>-0.236388013891627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-0.025390625</v>
      </c>
      <c r="C437" s="25" t="n">
        <f aca="false">IF(T436&gt;0,D436,C436)</f>
        <v>-0.01953125</v>
      </c>
      <c r="D437" s="39" t="n">
        <f aca="false">(B437+C437)/2</f>
        <v>-0.0224609375</v>
      </c>
      <c r="E437" s="15" t="n">
        <f aca="false">$C$2*(1+IF(E$3&lt;=$O$2,$D437,$D437-($D437-$I$427)*MIN(E$3-$O$2,$Q$2)/$Q$2))</f>
        <v>1808.447265625</v>
      </c>
      <c r="F437" s="15" t="n">
        <f aca="false">E437*(1+IF(F$3&lt;=$O$2,$D437,$D437-($D437-$I$427)*MIN(F$3-$O$2,$Q$2)/$Q$2))</f>
        <v>1767.82784461975</v>
      </c>
      <c r="G437" s="15" t="n">
        <f aca="false">F437*(1+IF(G$3&lt;=$O$2,$D437,$D437-($D437-$I$427)*MIN(G$3-$O$2,$Q$2)/$Q$2))</f>
        <v>1728.12077389099</v>
      </c>
      <c r="H437" s="15" t="n">
        <f aca="false">G437*(1+IF(H$3&lt;=$O$2,$D437,$D437-($D437-$I$427)*MIN(H$3-$O$2,$Q$2)/$Q$2))</f>
        <v>1689.30556119617</v>
      </c>
      <c r="I437" s="15" t="n">
        <f aca="false">H437*(1+IF(I$3&lt;=$O$2,$D437,$D437-($D437-$I$427)*MIN(I$3-$O$2,$Q$2)/$Q$2))</f>
        <v>1651.36217456774</v>
      </c>
      <c r="J437" s="15" t="n">
        <f aca="false">I437*(1+IF(J$3&lt;=$O$2,$D437,$D437-($D437-$I$427)*MIN(J$3-$O$2,$Q$2)/$Q$2))</f>
        <v>1633.24879571545</v>
      </c>
      <c r="K437" s="15" t="n">
        <f aca="false">J437*(1+IF(K$3&lt;=$O$2,$D437,$D437-($D437-$I$427)*MIN(K$3-$O$2,$Q$2)/$Q$2))</f>
        <v>1634.10369938196</v>
      </c>
      <c r="L437" s="15" t="n">
        <f aca="false">K437*(1+IF(L$3&lt;=$O$2,$D437,$D437-($D437-$I$427)*MIN(L$3-$O$2,$Q$2)/$Q$2))</f>
        <v>1653.73847664484</v>
      </c>
      <c r="M437" s="15" t="n">
        <f aca="false">L437*(1+IF(M$3&lt;=$O$2,$D437,$D437-($D437-$I$427)*MIN(M$3-$O$2,$Q$2)/$Q$2))</f>
        <v>1692.61425067785</v>
      </c>
      <c r="N437" s="15" t="n">
        <f aca="false">M437*(1+IF(N$3&lt;=$O$2,$D437,$D437-($D437-$I$427)*MIN(N$3-$O$2,$Q$2)/$Q$2))</f>
        <v>1751.85574945157</v>
      </c>
      <c r="O437" s="15" t="n">
        <f aca="false">SUMPRODUCT(E437:N437,1/(1+$F$427)^$E$3:$N$3)*$E$2</f>
        <v>4446.02267517841</v>
      </c>
      <c r="P437" s="15" t="n">
        <f aca="false">N437*$E$2*(1+$I$427)/($F$427-$I$427)/(1+$F$427)^$N$3</f>
        <v>12364.7797347413</v>
      </c>
      <c r="Q437" s="15" t="n">
        <f aca="false">O437+P437</f>
        <v>16810.8024099197</v>
      </c>
      <c r="R437" s="15" t="n">
        <f aca="false">Q437-$G$2+$I$2</f>
        <v>15258.1024099197</v>
      </c>
      <c r="S437" s="40" t="n">
        <f aca="false">R437/$K$2</f>
        <v>55.4054337845228</v>
      </c>
      <c r="T437" s="41" t="n">
        <f aca="false">S437-$M$2</f>
        <v>0.900912923198838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-0.025390625</v>
      </c>
      <c r="C438" s="25" t="n">
        <f aca="false">IF(T437&gt;0,D437,C437)</f>
        <v>-0.0224609375</v>
      </c>
      <c r="D438" s="39" t="n">
        <f aca="false">(B438+C438)/2</f>
        <v>-0.02392578125</v>
      </c>
      <c r="E438" s="15" t="n">
        <f aca="false">$C$2*(1+IF(E$3&lt;=$O$2,$D438,$D438-($D438-$I$427)*MIN(E$3-$O$2,$Q$2)/$Q$2))</f>
        <v>1805.7373046875</v>
      </c>
      <c r="F438" s="15" t="n">
        <f aca="false">E438*(1+IF(F$3&lt;=$O$2,$D438,$D438-($D438-$I$427)*MIN(F$3-$O$2,$Q$2)/$Q$2))</f>
        <v>1762.53362894058</v>
      </c>
      <c r="G438" s="15" t="n">
        <f aca="false">F438*(1+IF(G$3&lt;=$O$2,$D438,$D438-($D438-$I$427)*MIN(G$3-$O$2,$Q$2)/$Q$2))</f>
        <v>1720.36363488878</v>
      </c>
      <c r="H438" s="15" t="n">
        <f aca="false">G438*(1+IF(H$3&lt;=$O$2,$D438,$D438-($D438-$I$427)*MIN(H$3-$O$2,$Q$2)/$Q$2))</f>
        <v>1679.20259088998</v>
      </c>
      <c r="I438" s="15" t="n">
        <f aca="false">H438*(1+IF(I$3&lt;=$O$2,$D438,$D438-($D438-$I$427)*MIN(I$3-$O$2,$Q$2)/$Q$2))</f>
        <v>1639.02635702591</v>
      </c>
      <c r="J438" s="15" t="n">
        <f aca="false">I438*(1+IF(J$3&lt;=$O$2,$D438,$D438-($D438-$I$427)*MIN(J$3-$O$2,$Q$2)/$Q$2))</f>
        <v>1619.12755266014</v>
      </c>
      <c r="K438" s="15" t="n">
        <f aca="false">J438*(1+IF(K$3&lt;=$O$2,$D438,$D438-($D438-$I$427)*MIN(K$3-$O$2,$Q$2)/$Q$2))</f>
        <v>1618.55200341291</v>
      </c>
      <c r="L438" s="15" t="n">
        <f aca="false">K438*(1+IF(L$3&lt;=$O$2,$D438,$D438-($D438-$I$427)*MIN(L$3-$O$2,$Q$2)/$Q$2))</f>
        <v>1637.05154701442</v>
      </c>
      <c r="M438" s="15" t="n">
        <f aca="false">L438*(1+IF(M$3&lt;=$O$2,$D438,$D438-($D438-$I$427)*MIN(M$3-$O$2,$Q$2)/$Q$2))</f>
        <v>1675.05544288905</v>
      </c>
      <c r="N438" s="15" t="n">
        <f aca="false">M438*(1+IF(N$3&lt;=$O$2,$D438,$D438-($D438-$I$427)*MIN(N$3-$O$2,$Q$2)/$Q$2))</f>
        <v>1733.68238339017</v>
      </c>
      <c r="O438" s="15" t="n">
        <f aca="false">SUMPRODUCT(E438:N438,1/(1+$F$427)^$E$3:$N$3)*$E$2</f>
        <v>4417.01326186509</v>
      </c>
      <c r="P438" s="15" t="n">
        <f aca="false">N438*$E$2*(1+$I$427)/($F$427-$I$427)/(1+$F$427)^$N$3</f>
        <v>12236.510230555</v>
      </c>
      <c r="Q438" s="15" t="n">
        <f aca="false">O438+P438</f>
        <v>16653.5234924201</v>
      </c>
      <c r="R438" s="15" t="n">
        <f aca="false">Q438-$G$2+$I$2</f>
        <v>15100.8234924201</v>
      </c>
      <c r="S438" s="40" t="n">
        <f aca="false">R438/$K$2</f>
        <v>54.8343203907916</v>
      </c>
      <c r="T438" s="41" t="n">
        <f aca="false">S438-$M$2</f>
        <v>0.329799529467664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-0.025390625</v>
      </c>
      <c r="C439" s="25" t="n">
        <f aca="false">IF(T438&gt;0,D438,C438)</f>
        <v>-0.02392578125</v>
      </c>
      <c r="D439" s="39" t="n">
        <f aca="false">(B439+C439)/2</f>
        <v>-0.024658203125</v>
      </c>
      <c r="E439" s="15" t="n">
        <f aca="false">$C$2*(1+IF(E$3&lt;=$O$2,$D439,$D439-($D439-$I$427)*MIN(E$3-$O$2,$Q$2)/$Q$2))</f>
        <v>1804.38232421875</v>
      </c>
      <c r="F439" s="15" t="n">
        <f aca="false">E439*(1+IF(F$3&lt;=$O$2,$D439,$D439-($D439-$I$427)*MIN(F$3-$O$2,$Q$2)/$Q$2))</f>
        <v>1759.889498353</v>
      </c>
      <c r="G439" s="15" t="n">
        <f aca="false">F439*(1+IF(G$3&lt;=$O$2,$D439,$D439-($D439-$I$427)*MIN(G$3-$O$2,$Q$2)/$Q$2))</f>
        <v>1716.49378562506</v>
      </c>
      <c r="H439" s="15" t="n">
        <f aca="false">G439*(1+IF(H$3&lt;=$O$2,$D439,$D439-($D439-$I$427)*MIN(H$3-$O$2,$Q$2)/$Q$2))</f>
        <v>1674.16813319632</v>
      </c>
      <c r="I439" s="15" t="n">
        <f aca="false">H439*(1+IF(I$3&lt;=$O$2,$D439,$D439-($D439-$I$427)*MIN(I$3-$O$2,$Q$2)/$Q$2))</f>
        <v>1632.88615530256</v>
      </c>
      <c r="J439" s="15" t="n">
        <f aca="false">I439*(1+IF(J$3&lt;=$O$2,$D439,$D439-($D439-$I$427)*MIN(J$3-$O$2,$Q$2)/$Q$2))</f>
        <v>1612.10512759172</v>
      </c>
      <c r="K439" s="15" t="n">
        <f aca="false">J439*(1+IF(K$3&lt;=$O$2,$D439,$D439-($D439-$I$427)*MIN(K$3-$O$2,$Q$2)/$Q$2))</f>
        <v>1610.823629961</v>
      </c>
      <c r="L439" s="15" t="n">
        <f aca="false">K439*(1+IF(L$3&lt;=$O$2,$D439,$D439-($D439-$I$427)*MIN(L$3-$O$2,$Q$2)/$Q$2))</f>
        <v>1628.76291968373</v>
      </c>
      <c r="M439" s="15" t="n">
        <f aca="false">L439*(1+IF(M$3&lt;=$O$2,$D439,$D439-($D439-$I$427)*MIN(M$3-$O$2,$Q$2)/$Q$2))</f>
        <v>1666.33580805166</v>
      </c>
      <c r="N439" s="15" t="n">
        <f aca="false">M439*(1+IF(N$3&lt;=$O$2,$D439,$D439-($D439-$I$427)*MIN(N$3-$O$2,$Q$2)/$Q$2))</f>
        <v>1724.65756133347</v>
      </c>
      <c r="O439" s="15" t="n">
        <f aca="false">SUMPRODUCT(E439:N439,1/(1+$F$427)^$E$3:$N$3)*$E$2</f>
        <v>4402.58127598774</v>
      </c>
      <c r="P439" s="15" t="n">
        <f aca="false">N439*$E$2*(1+$I$427)/($F$427-$I$427)/(1+$F$427)^$N$3</f>
        <v>12172.812099638</v>
      </c>
      <c r="Q439" s="15" t="n">
        <f aca="false">O439+P439</f>
        <v>16575.3933756258</v>
      </c>
      <c r="R439" s="15" t="n">
        <f aca="false">Q439-$G$2+$I$2</f>
        <v>15022.6933756258</v>
      </c>
      <c r="S439" s="40" t="n">
        <f aca="false">R439/$K$2</f>
        <v>54.5506132235221</v>
      </c>
      <c r="T439" s="41" t="n">
        <f aca="false">S439-$M$2</f>
        <v>0.0460923621981593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-0.025390625</v>
      </c>
      <c r="C440" s="25" t="n">
        <f aca="false">IF(T439&gt;0,D439,C439)</f>
        <v>-0.024658203125</v>
      </c>
      <c r="D440" s="39" t="n">
        <f aca="false">(B440+C440)/2</f>
        <v>-0.0250244140625</v>
      </c>
      <c r="E440" s="15" t="n">
        <f aca="false">$C$2*(1+IF(E$3&lt;=$O$2,$D440,$D440-($D440-$I$427)*MIN(E$3-$O$2,$Q$2)/$Q$2))</f>
        <v>1803.70483398438</v>
      </c>
      <c r="F440" s="15" t="n">
        <f aca="false">E440*(1+IF(F$3&lt;=$O$2,$D440,$D440-($D440-$I$427)*MIN(F$3-$O$2,$Q$2)/$Q$2))</f>
        <v>1758.56817737222</v>
      </c>
      <c r="G440" s="15" t="n">
        <f aca="false">F440*(1+IF(G$3&lt;=$O$2,$D440,$D440-($D440-$I$427)*MIN(G$3-$O$2,$Q$2)/$Q$2))</f>
        <v>1714.56103914452</v>
      </c>
      <c r="H440" s="15" t="n">
        <f aca="false">G440*(1+IF(H$3&lt;=$O$2,$D440,$D440-($D440-$I$427)*MIN(H$3-$O$2,$Q$2)/$Q$2))</f>
        <v>1671.65515376554</v>
      </c>
      <c r="I440" s="15" t="n">
        <f aca="false">H440*(1+IF(I$3&lt;=$O$2,$D440,$D440-($D440-$I$427)*MIN(I$3-$O$2,$Q$2)/$Q$2))</f>
        <v>1629.822963028</v>
      </c>
      <c r="J440" s="15" t="n">
        <f aca="false">I440*(1+IF(J$3&lt;=$O$2,$D440,$D440-($D440-$I$427)*MIN(J$3-$O$2,$Q$2)/$Q$2))</f>
        <v>1608.60343202888</v>
      </c>
      <c r="K440" s="15" t="n">
        <f aca="false">J440*(1+IF(K$3&lt;=$O$2,$D440,$D440-($D440-$I$427)*MIN(K$3-$O$2,$Q$2)/$Q$2))</f>
        <v>1606.97126507002</v>
      </c>
      <c r="L440" s="15" t="n">
        <f aca="false">K440*(1+IF(L$3&lt;=$O$2,$D440,$D440-($D440-$I$427)*MIN(L$3-$O$2,$Q$2)/$Q$2))</f>
        <v>1624.63225590703</v>
      </c>
      <c r="M440" s="15" t="n">
        <f aca="false">L440*(1+IF(M$3&lt;=$O$2,$D440,$D440-($D440-$I$427)*MIN(M$3-$O$2,$Q$2)/$Q$2))</f>
        <v>1661.9908650182</v>
      </c>
      <c r="N440" s="15" t="n">
        <f aca="false">M440*(1+IF(N$3&lt;=$O$2,$D440,$D440-($D440-$I$427)*MIN(N$3-$O$2,$Q$2)/$Q$2))</f>
        <v>1720.16054529384</v>
      </c>
      <c r="O440" s="15" t="n">
        <f aca="false">SUMPRODUCT(E440:N440,1/(1+$F$427)^$E$3:$N$3)*$E$2</f>
        <v>4395.38339605783</v>
      </c>
      <c r="P440" s="15" t="n">
        <f aca="false">N440*$E$2*(1+$I$427)/($F$427-$I$427)/(1+$F$427)^$N$3</f>
        <v>12141.071693608</v>
      </c>
      <c r="Q440" s="15" t="n">
        <f aca="false">O440+P440</f>
        <v>16536.4550896658</v>
      </c>
      <c r="R440" s="15" t="n">
        <f aca="false">Q440-$G$2+$I$2</f>
        <v>14983.7550896658</v>
      </c>
      <c r="S440" s="40" t="n">
        <f aca="false">R440/$K$2</f>
        <v>54.4092199777254</v>
      </c>
      <c r="T440" s="41" t="n">
        <f aca="false">S440-$M$2</f>
        <v>-0.0953008835985187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-0.0250244140625</v>
      </c>
      <c r="C441" s="25" t="n">
        <f aca="false">IF(T440&gt;0,D440,C440)</f>
        <v>-0.024658203125</v>
      </c>
      <c r="D441" s="39" t="n">
        <f aca="false">(B441+C441)/2</f>
        <v>-0.02484130859375</v>
      </c>
      <c r="E441" s="15" t="n">
        <f aca="false">$C$2*(1+IF(E$3&lt;=$O$2,$D441,$D441-($D441-$I$427)*MIN(E$3-$O$2,$Q$2)/$Q$2))</f>
        <v>1804.04357910156</v>
      </c>
      <c r="F441" s="15" t="n">
        <f aca="false">E441*(1+IF(F$3&lt;=$O$2,$D441,$D441-($D441-$I$427)*MIN(F$3-$O$2,$Q$2)/$Q$2))</f>
        <v>1759.22877583653</v>
      </c>
      <c r="G441" s="15" t="n">
        <f aca="false">F441*(1+IF(G$3&lt;=$O$2,$D441,$D441-($D441-$I$427)*MIN(G$3-$O$2,$Q$2)/$Q$2))</f>
        <v>1715.52723092897</v>
      </c>
      <c r="H441" s="15" t="n">
        <f aca="false">G441*(1+IF(H$3&lt;=$O$2,$D441,$D441-($D441-$I$427)*MIN(H$3-$O$2,$Q$2)/$Q$2))</f>
        <v>1672.91128958448</v>
      </c>
      <c r="I441" s="15" t="n">
        <f aca="false">H441*(1+IF(I$3&lt;=$O$2,$D441,$D441-($D441-$I$427)*MIN(I$3-$O$2,$Q$2)/$Q$2))</f>
        <v>1631.35398398994</v>
      </c>
      <c r="J441" s="15" t="n">
        <f aca="false">I441*(1+IF(J$3&lt;=$O$2,$D441,$D441-($D441-$I$427)*MIN(J$3-$O$2,$Q$2)/$Q$2))</f>
        <v>1610.35348768432</v>
      </c>
      <c r="K441" s="15" t="n">
        <f aca="false">J441*(1+IF(K$3&lt;=$O$2,$D441,$D441-($D441-$I$427)*MIN(K$3-$O$2,$Q$2)/$Q$2))</f>
        <v>1608.89646375235</v>
      </c>
      <c r="L441" s="15" t="n">
        <f aca="false">K441*(1+IF(L$3&lt;=$O$2,$D441,$D441-($D441-$I$427)*MIN(L$3-$O$2,$Q$2)/$Q$2))</f>
        <v>1626.69645207056</v>
      </c>
      <c r="M441" s="15" t="n">
        <f aca="false">L441*(1+IF(M$3&lt;=$O$2,$D441,$D441-($D441-$I$427)*MIN(M$3-$O$2,$Q$2)/$Q$2))</f>
        <v>1664.16209901769</v>
      </c>
      <c r="N441" s="15" t="n">
        <f aca="false">M441*(1+IF(N$3&lt;=$O$2,$D441,$D441-($D441-$I$427)*MIN(N$3-$O$2,$Q$2)/$Q$2))</f>
        <v>1722.40777248331</v>
      </c>
      <c r="O441" s="15" t="n">
        <f aca="false">SUMPRODUCT(E441:N441,1/(1+$F$427)^$E$3:$N$3)*$E$2</f>
        <v>4398.98082860048</v>
      </c>
      <c r="P441" s="15" t="n">
        <f aca="false">N441*$E$2*(1+$I$427)/($F$427-$I$427)/(1+$F$427)^$N$3</f>
        <v>12156.9328563894</v>
      </c>
      <c r="Q441" s="15" t="n">
        <f aca="false">O441+P441</f>
        <v>16555.9136849899</v>
      </c>
      <c r="R441" s="15" t="n">
        <f aca="false">Q441-$G$2+$I$2</f>
        <v>15003.2136849899</v>
      </c>
      <c r="S441" s="40" t="n">
        <f aca="false">R441/$K$2</f>
        <v>54.479878299829</v>
      </c>
      <c r="T441" s="41" t="n">
        <f aca="false">S441-$M$2</f>
        <v>-0.0246425614949146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-0.02484130859375</v>
      </c>
      <c r="C442" s="25" t="n">
        <f aca="false">IF(T441&gt;0,D441,C441)</f>
        <v>-0.024658203125</v>
      </c>
      <c r="D442" s="39" t="n">
        <f aca="false">(B442+C442)/2</f>
        <v>-0.024749755859375</v>
      </c>
      <c r="E442" s="15" t="n">
        <f aca="false">$C$2*(1+IF(E$3&lt;=$O$2,$D442,$D442-($D442-$I$427)*MIN(E$3-$O$2,$Q$2)/$Q$2))</f>
        <v>1804.21295166016</v>
      </c>
      <c r="F442" s="15" t="n">
        <f aca="false">E442*(1+IF(F$3&lt;=$O$2,$D442,$D442-($D442-$I$427)*MIN(F$3-$O$2,$Q$2)/$Q$2))</f>
        <v>1759.55912158825</v>
      </c>
      <c r="G442" s="15" t="n">
        <f aca="false">F442*(1+IF(G$3&lt;=$O$2,$D442,$D442-($D442-$I$427)*MIN(G$3-$O$2,$Q$2)/$Q$2))</f>
        <v>1716.0104629088</v>
      </c>
      <c r="H442" s="15" t="n">
        <f aca="false">G442*(1+IF(H$3&lt;=$O$2,$D442,$D442-($D442-$I$427)*MIN(H$3-$O$2,$Q$2)/$Q$2))</f>
        <v>1673.53962289967</v>
      </c>
      <c r="I442" s="15" t="n">
        <f aca="false">H442*(1+IF(I$3&lt;=$O$2,$D442,$D442-($D442-$I$427)*MIN(I$3-$O$2,$Q$2)/$Q$2))</f>
        <v>1632.11992581192</v>
      </c>
      <c r="J442" s="15" t="n">
        <f aca="false">I442*(1+IF(J$3&lt;=$O$2,$D442,$D442-($D442-$I$427)*MIN(J$3-$O$2,$Q$2)/$Q$2))</f>
        <v>1611.22910953495</v>
      </c>
      <c r="K442" s="15" t="n">
        <f aca="false">J442*(1+IF(K$3&lt;=$O$2,$D442,$D442-($D442-$I$427)*MIN(K$3-$O$2,$Q$2)/$Q$2))</f>
        <v>1609.85980081173</v>
      </c>
      <c r="L442" s="15" t="n">
        <f aca="false">K442*(1+IF(L$3&lt;=$O$2,$D442,$D442-($D442-$I$427)*MIN(L$3-$O$2,$Q$2)/$Q$2))</f>
        <v>1627.72940181361</v>
      </c>
      <c r="M442" s="15" t="n">
        <f aca="false">L442*(1+IF(M$3&lt;=$O$2,$D442,$D442-($D442-$I$427)*MIN(M$3-$O$2,$Q$2)/$Q$2))</f>
        <v>1665.24864400439</v>
      </c>
      <c r="N442" s="15" t="n">
        <f aca="false">M442*(1+IF(N$3&lt;=$O$2,$D442,$D442-($D442-$I$427)*MIN(N$3-$O$2,$Q$2)/$Q$2))</f>
        <v>1723.53234654455</v>
      </c>
      <c r="O442" s="15" t="n">
        <f aca="false">SUMPRODUCT(E442:N442,1/(1+$F$427)^$E$3:$N$3)*$E$2</f>
        <v>4400.78067528902</v>
      </c>
      <c r="P442" s="15" t="n">
        <f aca="false">N442*$E$2*(1+$I$427)/($F$427-$I$427)/(1+$F$427)^$N$3</f>
        <v>12164.8702168524</v>
      </c>
      <c r="Q442" s="15" t="n">
        <f aca="false">O442+P442</f>
        <v>16565.6508921415</v>
      </c>
      <c r="R442" s="15" t="n">
        <f aca="false">Q442-$G$2+$I$2</f>
        <v>15012.9508921415</v>
      </c>
      <c r="S442" s="40" t="n">
        <f aca="false">R442/$K$2</f>
        <v>54.5152361819291</v>
      </c>
      <c r="T442" s="41" t="n">
        <f aca="false">S442-$M$2</f>
        <v>0.0107153206051791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-0.02484130859375</v>
      </c>
      <c r="C443" s="25" t="n">
        <f aca="false">IF(T442&gt;0,D442,C442)</f>
        <v>-0.024749755859375</v>
      </c>
      <c r="D443" s="39" t="n">
        <f aca="false">(B443+C443)/2</f>
        <v>-0.0247955322265625</v>
      </c>
      <c r="E443" s="15" t="n">
        <f aca="false">$C$2*(1+IF(E$3&lt;=$O$2,$D443,$D443-($D443-$I$427)*MIN(E$3-$O$2,$Q$2)/$Q$2))</f>
        <v>1804.12826538086</v>
      </c>
      <c r="F443" s="15" t="n">
        <f aca="false">E443*(1+IF(F$3&lt;=$O$2,$D443,$D443-($D443-$I$427)*MIN(F$3-$O$2,$Q$2)/$Q$2))</f>
        <v>1759.39394483576</v>
      </c>
      <c r="G443" s="15" t="n">
        <f aca="false">F443*(1+IF(G$3&lt;=$O$2,$D443,$D443-($D443-$I$427)*MIN(G$3-$O$2,$Q$2)/$Q$2))</f>
        <v>1715.76883557736</v>
      </c>
      <c r="H443" s="15" t="n">
        <f aca="false">G443*(1+IF(H$3&lt;=$O$2,$D443,$D443-($D443-$I$427)*MIN(H$3-$O$2,$Q$2)/$Q$2))</f>
        <v>1673.22543412147</v>
      </c>
      <c r="I443" s="15" t="n">
        <f aca="false">H443*(1+IF(I$3&lt;=$O$2,$D443,$D443-($D443-$I$427)*MIN(I$3-$O$2,$Q$2)/$Q$2))</f>
        <v>1631.73691894741</v>
      </c>
      <c r="J443" s="15" t="n">
        <f aca="false">I443*(1+IF(J$3&lt;=$O$2,$D443,$D443-($D443-$I$427)*MIN(J$3-$O$2,$Q$2)/$Q$2))</f>
        <v>1610.79124909282</v>
      </c>
      <c r="K443" s="15" t="n">
        <f aca="false">J443*(1+IF(K$3&lt;=$O$2,$D443,$D443-($D443-$I$427)*MIN(K$3-$O$2,$Q$2)/$Q$2))</f>
        <v>1609.37807078383</v>
      </c>
      <c r="L443" s="15" t="n">
        <f aca="false">K443*(1+IF(L$3&lt;=$O$2,$D443,$D443-($D443-$I$427)*MIN(L$3-$O$2,$Q$2)/$Q$2))</f>
        <v>1627.21285594275</v>
      </c>
      <c r="M443" s="15" t="n">
        <f aca="false">L443*(1+IF(M$3&lt;=$O$2,$D443,$D443-($D443-$I$427)*MIN(M$3-$O$2,$Q$2)/$Q$2))</f>
        <v>1664.70529414735</v>
      </c>
      <c r="N443" s="15" t="n">
        <f aca="false">M443*(1+IF(N$3&lt;=$O$2,$D443,$D443-($D443-$I$427)*MIN(N$3-$O$2,$Q$2)/$Q$2))</f>
        <v>1722.9699794425</v>
      </c>
      <c r="O443" s="15" t="n">
        <f aca="false">SUMPRODUCT(E443:N443,1/(1+$F$427)^$E$3:$N$3)*$E$2</f>
        <v>4399.88065771217</v>
      </c>
      <c r="P443" s="15" t="n">
        <f aca="false">N443*$E$2*(1+$I$427)/($F$427-$I$427)/(1+$F$427)^$N$3</f>
        <v>12160.9009714685</v>
      </c>
      <c r="Q443" s="15" t="n">
        <f aca="false">O443+P443</f>
        <v>16560.7816291807</v>
      </c>
      <c r="R443" s="15" t="n">
        <f aca="false">Q443-$G$2+$I$2</f>
        <v>15008.0816291807</v>
      </c>
      <c r="S443" s="40" t="n">
        <f aca="false">R443/$K$2</f>
        <v>54.4975548465111</v>
      </c>
      <c r="T443" s="41" t="n">
        <f aca="false">S443-$M$2</f>
        <v>-0.00696601481286763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-0.0247955322265625</v>
      </c>
      <c r="C444" s="25" t="n">
        <f aca="false">IF(T443&gt;0,D443,C443)</f>
        <v>-0.024749755859375</v>
      </c>
      <c r="D444" s="39" t="n">
        <f aca="false">(B444+C444)/2</f>
        <v>-0.0247726440429688</v>
      </c>
      <c r="E444" s="15" t="n">
        <f aca="false">$C$2*(1+IF(E$3&lt;=$O$2,$D444,$D444-($D444-$I$427)*MIN(E$3-$O$2,$Q$2)/$Q$2))</f>
        <v>1804.17060852051</v>
      </c>
      <c r="F444" s="15" t="n">
        <f aca="false">E444*(1+IF(F$3&lt;=$O$2,$D444,$D444-($D444-$I$427)*MIN(F$3-$O$2,$Q$2)/$Q$2))</f>
        <v>1759.47653224284</v>
      </c>
      <c r="G444" s="15" t="n">
        <f aca="false">F444*(1+IF(G$3&lt;=$O$2,$D444,$D444-($D444-$I$427)*MIN(G$3-$O$2,$Q$2)/$Q$2))</f>
        <v>1715.88964640763</v>
      </c>
      <c r="H444" s="15" t="n">
        <f aca="false">G444*(1+IF(H$3&lt;=$O$2,$D444,$D444-($D444-$I$427)*MIN(H$3-$O$2,$Q$2)/$Q$2))</f>
        <v>1673.38252298016</v>
      </c>
      <c r="I444" s="15" t="n">
        <f aca="false">H444*(1+IF(I$3&lt;=$O$2,$D444,$D444-($D444-$I$427)*MIN(I$3-$O$2,$Q$2)/$Q$2))</f>
        <v>1631.92841339065</v>
      </c>
      <c r="J444" s="15" t="n">
        <f aca="false">I444*(1+IF(J$3&lt;=$O$2,$D444,$D444-($D444-$I$427)*MIN(J$3-$O$2,$Q$2)/$Q$2))</f>
        <v>1611.01016693356</v>
      </c>
      <c r="K444" s="15" t="n">
        <f aca="false">J444*(1+IF(K$3&lt;=$O$2,$D444,$D444-($D444-$I$427)*MIN(K$3-$O$2,$Q$2)/$Q$2))</f>
        <v>1609.6189204216</v>
      </c>
      <c r="L444" s="15" t="n">
        <f aca="false">K444*(1+IF(L$3&lt;=$O$2,$D444,$D444-($D444-$I$427)*MIN(L$3-$O$2,$Q$2)/$Q$2))</f>
        <v>1627.47111112628</v>
      </c>
      <c r="M444" s="15" t="n">
        <f aca="false">L444*(1+IF(M$3&lt;=$O$2,$D444,$D444-($D444-$I$427)*MIN(M$3-$O$2,$Q$2)/$Q$2))</f>
        <v>1664.97694973259</v>
      </c>
      <c r="N444" s="15" t="n">
        <f aca="false">M444*(1+IF(N$3&lt;=$O$2,$D444,$D444-($D444-$I$427)*MIN(N$3-$O$2,$Q$2)/$Q$2))</f>
        <v>1723.25114297323</v>
      </c>
      <c r="O444" s="15" t="n">
        <f aca="false">SUMPRODUCT(E444:N444,1/(1+$F$427)^$E$3:$N$3)*$E$2</f>
        <v>4400.33064294011</v>
      </c>
      <c r="P444" s="15" t="n">
        <f aca="false">N444*$E$2*(1+$I$427)/($F$427-$I$427)/(1+$F$427)^$N$3</f>
        <v>12162.8854528551</v>
      </c>
      <c r="Q444" s="15" t="n">
        <f aca="false">O444+P444</f>
        <v>16563.2160957953</v>
      </c>
      <c r="R444" s="15" t="n">
        <f aca="false">Q444-$G$2+$I$2</f>
        <v>15010.5160957953</v>
      </c>
      <c r="S444" s="40" t="n">
        <f aca="false">R444/$K$2</f>
        <v>54.506394915557</v>
      </c>
      <c r="T444" s="41" t="n">
        <f aca="false">S444-$M$2</f>
        <v>0.00187405423309173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-0.0247955322265625</v>
      </c>
      <c r="C445" s="25" t="n">
        <f aca="false">IF(T444&gt;0,D444,C444)</f>
        <v>-0.0247726440429688</v>
      </c>
      <c r="D445" s="39" t="n">
        <f aca="false">(B445+C445)/2</f>
        <v>-0.0247840881347656</v>
      </c>
      <c r="E445" s="15" t="n">
        <f aca="false">$C$2*(1+IF(E$3&lt;=$O$2,$D445,$D445-($D445-$I$427)*MIN(E$3-$O$2,$Q$2)/$Q$2))</f>
        <v>1804.14943695068</v>
      </c>
      <c r="F445" s="15" t="n">
        <f aca="false">E445*(1+IF(F$3&lt;=$O$2,$D445,$D445-($D445-$I$427)*MIN(F$3-$O$2,$Q$2)/$Q$2))</f>
        <v>1759.43523829701</v>
      </c>
      <c r="G445" s="15" t="n">
        <f aca="false">F445*(1+IF(G$3&lt;=$O$2,$D445,$D445-($D445-$I$427)*MIN(G$3-$O$2,$Q$2)/$Q$2))</f>
        <v>1715.82924028364</v>
      </c>
      <c r="H445" s="15" t="n">
        <f aca="false">G445*(1+IF(H$3&lt;=$O$2,$D445,$D445-($D445-$I$427)*MIN(H$3-$O$2,$Q$2)/$Q$2))</f>
        <v>1673.30397716825</v>
      </c>
      <c r="I445" s="15" t="n">
        <f aca="false">H445*(1+IF(I$3&lt;=$O$2,$D445,$D445-($D445-$I$427)*MIN(I$3-$O$2,$Q$2)/$Q$2))</f>
        <v>1631.83266392186</v>
      </c>
      <c r="J445" s="15" t="n">
        <f aca="false">I445*(1+IF(J$3&lt;=$O$2,$D445,$D445-($D445-$I$427)*MIN(J$3-$O$2,$Q$2)/$Q$2))</f>
        <v>1610.90070491825</v>
      </c>
      <c r="K445" s="15" t="n">
        <f aca="false">J445*(1+IF(K$3&lt;=$O$2,$D445,$D445-($D445-$I$427)*MIN(K$3-$O$2,$Q$2)/$Q$2))</f>
        <v>1609.49849175887</v>
      </c>
      <c r="L445" s="15" t="n">
        <f aca="false">K445*(1+IF(L$3&lt;=$O$2,$D445,$D445-($D445-$I$427)*MIN(L$3-$O$2,$Q$2)/$Q$2))</f>
        <v>1627.3419790968</v>
      </c>
      <c r="M445" s="15" t="n">
        <f aca="false">L445*(1+IF(M$3&lt;=$O$2,$D445,$D445-($D445-$I$427)*MIN(M$3-$O$2,$Q$2)/$Q$2))</f>
        <v>1664.84111710444</v>
      </c>
      <c r="N445" s="15" t="n">
        <f aca="false">M445*(1+IF(N$3&lt;=$O$2,$D445,$D445-($D445-$I$427)*MIN(N$3-$O$2,$Q$2)/$Q$2))</f>
        <v>1723.11055620309</v>
      </c>
      <c r="O445" s="15" t="n">
        <f aca="false">SUMPRODUCT(E445:N445,1/(1+$F$427)^$E$3:$N$3)*$E$2</f>
        <v>4400.10564443631</v>
      </c>
      <c r="P445" s="15" t="n">
        <f aca="false">N445*$E$2*(1+$I$427)/($F$427-$I$427)/(1+$F$427)^$N$3</f>
        <v>12161.8931768376</v>
      </c>
      <c r="Q445" s="15" t="n">
        <f aca="false">O445+P445</f>
        <v>16561.998821274</v>
      </c>
      <c r="R445" s="15" t="n">
        <f aca="false">Q445-$G$2+$I$2</f>
        <v>15009.298821274</v>
      </c>
      <c r="S445" s="40" t="n">
        <f aca="false">R445/$K$2</f>
        <v>54.5019747313772</v>
      </c>
      <c r="T445" s="41" t="n">
        <f aca="false">S445-$M$2</f>
        <v>-0.00254612994677927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-0.0247840881347656</v>
      </c>
      <c r="C446" s="25" t="n">
        <f aca="false">IF(T445&gt;0,D445,C445)</f>
        <v>-0.0247726440429688</v>
      </c>
      <c r="D446" s="39" t="n">
        <f aca="false">(B446+C446)/2</f>
        <v>-0.0247783660888672</v>
      </c>
      <c r="E446" s="15" t="n">
        <f aca="false">$C$2*(1+IF(E$3&lt;=$O$2,$D446,$D446-($D446-$I$427)*MIN(E$3-$O$2,$Q$2)/$Q$2))</f>
        <v>1804.1600227356</v>
      </c>
      <c r="F446" s="15" t="n">
        <f aca="false">E446*(1+IF(F$3&lt;=$O$2,$D446,$D446-($D446-$I$427)*MIN(F$3-$O$2,$Q$2)/$Q$2))</f>
        <v>1759.45588520935</v>
      </c>
      <c r="G446" s="15" t="n">
        <f aca="false">F446*(1+IF(G$3&lt;=$O$2,$D446,$D446-($D446-$I$427)*MIN(G$3-$O$2,$Q$2)/$Q$2))</f>
        <v>1715.85944316842</v>
      </c>
      <c r="H446" s="15" t="n">
        <f aca="false">G446*(1+IF(H$3&lt;=$O$2,$D446,$D446-($D446-$I$427)*MIN(H$3-$O$2,$Q$2)/$Q$2))</f>
        <v>1673.34324972856</v>
      </c>
      <c r="I446" s="15" t="n">
        <f aca="false">H446*(1+IF(I$3&lt;=$O$2,$D446,$D446-($D446-$I$427)*MIN(I$3-$O$2,$Q$2)/$Q$2))</f>
        <v>1631.88053809445</v>
      </c>
      <c r="J446" s="15" t="n">
        <f aca="false">I446*(1+IF(J$3&lt;=$O$2,$D446,$D446-($D446-$I$427)*MIN(J$3-$O$2,$Q$2)/$Q$2))</f>
        <v>1610.95543515215</v>
      </c>
      <c r="K446" s="15" t="n">
        <f aca="false">J446*(1+IF(K$3&lt;=$O$2,$D446,$D446-($D446-$I$427)*MIN(K$3-$O$2,$Q$2)/$Q$2))</f>
        <v>1609.55870512925</v>
      </c>
      <c r="L446" s="15" t="n">
        <f aca="false">K446*(1+IF(L$3&lt;=$O$2,$D446,$D446-($D446-$I$427)*MIN(L$3-$O$2,$Q$2)/$Q$2))</f>
        <v>1627.40654400208</v>
      </c>
      <c r="M446" s="15" t="n">
        <f aca="false">L446*(1+IF(M$3&lt;=$O$2,$D446,$D446-($D446-$I$427)*MIN(M$3-$O$2,$Q$2)/$Q$2))</f>
        <v>1664.90903220959</v>
      </c>
      <c r="N446" s="15" t="n">
        <f aca="false">M446*(1+IF(N$3&lt;=$O$2,$D446,$D446-($D446-$I$427)*MIN(N$3-$O$2,$Q$2)/$Q$2))</f>
        <v>1723.18084833693</v>
      </c>
      <c r="O446" s="15" t="n">
        <f aca="false">SUMPRODUCT(E446:N446,1/(1+$F$427)^$E$3:$N$3)*$E$2</f>
        <v>4400.21814221572</v>
      </c>
      <c r="P446" s="15" t="n">
        <f aca="false">N446*$E$2*(1+$I$427)/($F$427-$I$427)/(1+$F$427)^$N$3</f>
        <v>12162.3893060151</v>
      </c>
      <c r="Q446" s="15" t="n">
        <f aca="false">O446+P446</f>
        <v>16562.6074482308</v>
      </c>
      <c r="R446" s="15" t="n">
        <f aca="false">Q446-$G$2+$I$2</f>
        <v>15009.9074482308</v>
      </c>
      <c r="S446" s="40" t="n">
        <f aca="false">R446/$K$2</f>
        <v>54.5041847860518</v>
      </c>
      <c r="T446" s="41" t="n">
        <f aca="false">S446-$M$2</f>
        <v>-0.000336075272173275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-0.0247783660888672</v>
      </c>
      <c r="C447" s="25" t="n">
        <f aca="false">IF(T446&gt;0,D446,C446)</f>
        <v>-0.0247726440429688</v>
      </c>
      <c r="D447" s="39" t="n">
        <f aca="false">(B447+C447)/2</f>
        <v>-0.024775505065918</v>
      </c>
      <c r="E447" s="15" t="n">
        <f aca="false">$C$2*(1+IF(E$3&lt;=$O$2,$D447,$D447-($D447-$I$427)*MIN(E$3-$O$2,$Q$2)/$Q$2))</f>
        <v>1804.16531562805</v>
      </c>
      <c r="F447" s="15" t="n">
        <f aca="false">E447*(1+IF(F$3&lt;=$O$2,$D447,$D447-($D447-$I$427)*MIN(F$3-$O$2,$Q$2)/$Q$2))</f>
        <v>1759.46620871096</v>
      </c>
      <c r="G447" s="15" t="n">
        <f aca="false">F447*(1+IF(G$3&lt;=$O$2,$D447,$D447-($D447-$I$427)*MIN(G$3-$O$2,$Q$2)/$Q$2))</f>
        <v>1715.87454474373</v>
      </c>
      <c r="H447" s="15" t="n">
        <f aca="false">G447*(1+IF(H$3&lt;=$O$2,$D447,$D447-($D447-$I$427)*MIN(H$3-$O$2,$Q$2)/$Q$2))</f>
        <v>1673.36288626795</v>
      </c>
      <c r="I447" s="15" t="n">
        <f aca="false">H447*(1+IF(I$3&lt;=$O$2,$D447,$D447-($D447-$I$427)*MIN(I$3-$O$2,$Q$2)/$Q$2))</f>
        <v>1631.9044756021</v>
      </c>
      <c r="J447" s="15" t="n">
        <f aca="false">I447*(1+IF(J$3&lt;=$O$2,$D447,$D447-($D447-$I$427)*MIN(J$3-$O$2,$Q$2)/$Q$2))</f>
        <v>1610.98280084941</v>
      </c>
      <c r="K447" s="15" t="n">
        <f aca="false">J447*(1+IF(K$3&lt;=$O$2,$D447,$D447-($D447-$I$427)*MIN(K$3-$O$2,$Q$2)/$Q$2))</f>
        <v>1609.58881253517</v>
      </c>
      <c r="L447" s="15" t="n">
        <f aca="false">K447*(1+IF(L$3&lt;=$O$2,$D447,$D447-($D447-$I$427)*MIN(L$3-$O$2,$Q$2)/$Q$2))</f>
        <v>1627.43882728681</v>
      </c>
      <c r="M447" s="15" t="n">
        <f aca="false">L447*(1+IF(M$3&lt;=$O$2,$D447,$D447-($D447-$I$427)*MIN(M$3-$O$2,$Q$2)/$Q$2))</f>
        <v>1664.94299066886</v>
      </c>
      <c r="N447" s="15" t="n">
        <f aca="false">M447*(1+IF(N$3&lt;=$O$2,$D447,$D447-($D447-$I$427)*MIN(N$3-$O$2,$Q$2)/$Q$2))</f>
        <v>1723.21599534227</v>
      </c>
      <c r="O447" s="15" t="n">
        <f aca="false">SUMPRODUCT(E447:N447,1/(1+$F$427)^$E$3:$N$3)*$E$2</f>
        <v>4400.27439220979</v>
      </c>
      <c r="P447" s="15" t="n">
        <f aca="false">N447*$E$2*(1+$I$427)/($F$427-$I$427)/(1+$F$427)^$N$3</f>
        <v>12162.6373772272</v>
      </c>
      <c r="Q447" s="15" t="n">
        <f aca="false">O447+P447</f>
        <v>16562.911769437</v>
      </c>
      <c r="R447" s="15" t="n">
        <f aca="false">Q447-$G$2+$I$2</f>
        <v>15010.211769437</v>
      </c>
      <c r="S447" s="40" t="n">
        <f aca="false">R447/$K$2</f>
        <v>54.5052898414504</v>
      </c>
      <c r="T447" s="41" t="n">
        <f aca="false">S447-$M$2</f>
        <v>0.000768980126473196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-0.0247783660888672</v>
      </c>
      <c r="C448" s="25" t="n">
        <f aca="false">IF(T447&gt;0,D447,C447)</f>
        <v>-0.024775505065918</v>
      </c>
      <c r="D448" s="39" t="n">
        <f aca="false">(B448+C448)/2</f>
        <v>-0.0247769355773926</v>
      </c>
      <c r="E448" s="15" t="n">
        <f aca="false">$C$2*(1+IF(E$3&lt;=$O$2,$D448,$D448-($D448-$I$427)*MIN(E$3-$O$2,$Q$2)/$Q$2))</f>
        <v>1804.16266918182</v>
      </c>
      <c r="F448" s="15" t="n">
        <f aca="false">E448*(1+IF(F$3&lt;=$O$2,$D448,$D448-($D448-$I$427)*MIN(F$3-$O$2,$Q$2)/$Q$2))</f>
        <v>1759.46104695637</v>
      </c>
      <c r="G448" s="15" t="n">
        <f aca="false">F448*(1+IF(G$3&lt;=$O$2,$D448,$D448-($D448-$I$427)*MIN(G$3-$O$2,$Q$2)/$Q$2))</f>
        <v>1715.866993945</v>
      </c>
      <c r="H448" s="15" t="n">
        <f aca="false">G448*(1+IF(H$3&lt;=$O$2,$D448,$D448-($D448-$I$427)*MIN(H$3-$O$2,$Q$2)/$Q$2))</f>
        <v>1673.35306797665</v>
      </c>
      <c r="I448" s="15" t="n">
        <f aca="false">H448*(1+IF(I$3&lt;=$O$2,$D448,$D448-($D448-$I$427)*MIN(I$3-$O$2,$Q$2)/$Q$2))</f>
        <v>1631.89250681316</v>
      </c>
      <c r="J448" s="15" t="n">
        <f aca="false">I448*(1+IF(J$3&lt;=$O$2,$D448,$D448-($D448-$I$427)*MIN(J$3-$O$2,$Q$2)/$Q$2))</f>
        <v>1610.96911795242</v>
      </c>
      <c r="K448" s="15" t="n">
        <f aca="false">J448*(1+IF(K$3&lt;=$O$2,$D448,$D448-($D448-$I$427)*MIN(K$3-$O$2,$Q$2)/$Q$2))</f>
        <v>1609.57375877215</v>
      </c>
      <c r="L448" s="15" t="n">
        <f aca="false">K448*(1+IF(L$3&lt;=$O$2,$D448,$D448-($D448-$I$427)*MIN(L$3-$O$2,$Q$2)/$Q$2))</f>
        <v>1627.4226855751</v>
      </c>
      <c r="M448" s="15" t="n">
        <f aca="false">L448*(1+IF(M$3&lt;=$O$2,$D448,$D448-($D448-$I$427)*MIN(M$3-$O$2,$Q$2)/$Q$2))</f>
        <v>1664.92601136367</v>
      </c>
      <c r="N448" s="15" t="n">
        <f aca="false">M448*(1+IF(N$3&lt;=$O$2,$D448,$D448-($D448-$I$427)*MIN(N$3-$O$2,$Q$2)/$Q$2))</f>
        <v>1723.1984217614</v>
      </c>
      <c r="O448" s="15" t="n">
        <f aca="false">SUMPRODUCT(E448:N448,1/(1+$F$427)^$E$3:$N$3)*$E$2</f>
        <v>4400.24626712072</v>
      </c>
      <c r="P448" s="15" t="n">
        <f aca="false">N448*$E$2*(1+$I$427)/($F$427-$I$427)/(1+$F$427)^$N$3</f>
        <v>12162.5133410692</v>
      </c>
      <c r="Q448" s="15" t="n">
        <f aca="false">O448+P448</f>
        <v>16562.7596081899</v>
      </c>
      <c r="R448" s="15" t="n">
        <f aca="false">Q448-$G$2+$I$2</f>
        <v>15010.0596081899</v>
      </c>
      <c r="S448" s="40" t="n">
        <f aca="false">R448/$K$2</f>
        <v>54.5047373114126</v>
      </c>
      <c r="T448" s="41" t="n">
        <f aca="false">S448-$M$2</f>
        <v>0.000216450088664999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-0.0247783660888672</v>
      </c>
      <c r="C449" s="25" t="n">
        <f aca="false">IF(T448&gt;0,D448,C448)</f>
        <v>-0.0247769355773926</v>
      </c>
      <c r="D449" s="39" t="n">
        <f aca="false">(B449+C449)/2</f>
        <v>-0.0247776508331299</v>
      </c>
      <c r="E449" s="15" t="n">
        <f aca="false">$C$2*(1+IF(E$3&lt;=$O$2,$D449,$D449-($D449-$I$427)*MIN(E$3-$O$2,$Q$2)/$Q$2))</f>
        <v>1804.16134595871</v>
      </c>
      <c r="F449" s="15" t="n">
        <f aca="false">E449*(1+IF(F$3&lt;=$O$2,$D449,$D449-($D449-$I$427)*MIN(F$3-$O$2,$Q$2)/$Q$2))</f>
        <v>1759.45846608192</v>
      </c>
      <c r="G449" s="15" t="n">
        <f aca="false">F449*(1+IF(G$3&lt;=$O$2,$D449,$D449-($D449-$I$427)*MIN(G$3-$O$2,$Q$2)/$Q$2))</f>
        <v>1715.86321855394</v>
      </c>
      <c r="H449" s="15" t="n">
        <f aca="false">G449*(1+IF(H$3&lt;=$O$2,$D449,$D449-($D449-$I$427)*MIN(H$3-$O$2,$Q$2)/$Q$2))</f>
        <v>1673.3481588472</v>
      </c>
      <c r="I449" s="15" t="n">
        <f aca="false">H449*(1+IF(I$3&lt;=$O$2,$D449,$D449-($D449-$I$427)*MIN(I$3-$O$2,$Q$2)/$Q$2))</f>
        <v>1631.88652244503</v>
      </c>
      <c r="J449" s="15" t="n">
        <f aca="false">I449*(1+IF(J$3&lt;=$O$2,$D449,$D449-($D449-$I$427)*MIN(J$3-$O$2,$Q$2)/$Q$2))</f>
        <v>1610.96227654019</v>
      </c>
      <c r="K449" s="15" t="n">
        <f aca="false">J449*(1+IF(K$3&lt;=$O$2,$D449,$D449-($D449-$I$427)*MIN(K$3-$O$2,$Q$2)/$Q$2))</f>
        <v>1609.56623193568</v>
      </c>
      <c r="L449" s="15" t="n">
        <f aca="false">K449*(1+IF(L$3&lt;=$O$2,$D449,$D449-($D449-$I$427)*MIN(L$3-$O$2,$Q$2)/$Q$2))</f>
        <v>1627.41461477125</v>
      </c>
      <c r="M449" s="15" t="n">
        <f aca="false">L449*(1+IF(M$3&lt;=$O$2,$D449,$D449-($D449-$I$427)*MIN(M$3-$O$2,$Q$2)/$Q$2))</f>
        <v>1664.91752176774</v>
      </c>
      <c r="N449" s="15" t="n">
        <f aca="false">M449*(1+IF(N$3&lt;=$O$2,$D449,$D449-($D449-$I$427)*MIN(N$3-$O$2,$Q$2)/$Q$2))</f>
        <v>1723.18963502961</v>
      </c>
      <c r="O449" s="15" t="n">
        <f aca="false">SUMPRODUCT(E449:N449,1/(1+$F$427)^$E$3:$N$3)*$E$2</f>
        <v>4400.23220464521</v>
      </c>
      <c r="P449" s="15" t="n">
        <f aca="false">N449*$E$2*(1+$I$427)/($F$427-$I$427)/(1+$F$427)^$N$3</f>
        <v>12162.4513234042</v>
      </c>
      <c r="Q449" s="15" t="n">
        <f aca="false">O449+P449</f>
        <v>16562.6835280494</v>
      </c>
      <c r="R449" s="15" t="n">
        <f aca="false">Q449-$G$2+$I$2</f>
        <v>15009.9835280494</v>
      </c>
      <c r="S449" s="40" t="n">
        <f aca="false">R449/$K$2</f>
        <v>54.5044610481476</v>
      </c>
      <c r="T449" s="41" t="n">
        <f aca="false">S449-$M$2</f>
        <v>-5.98131763638321E-005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-0.0247776508331299</v>
      </c>
      <c r="C450" s="25" t="n">
        <f aca="false">IF(T449&gt;0,D449,C449)</f>
        <v>-0.0247769355773926</v>
      </c>
      <c r="D450" s="39" t="n">
        <f aca="false">(B450+C450)/2</f>
        <v>-0.0247772932052612</v>
      </c>
      <c r="E450" s="15" t="n">
        <f aca="false">$C$2*(1+IF(E$3&lt;=$O$2,$D450,$D450-($D450-$I$427)*MIN(E$3-$O$2,$Q$2)/$Q$2))</f>
        <v>1804.16200757027</v>
      </c>
      <c r="F450" s="15" t="n">
        <f aca="false">E450*(1+IF(F$3&lt;=$O$2,$D450,$D450-($D450-$I$427)*MIN(F$3-$O$2,$Q$2)/$Q$2))</f>
        <v>1759.45975651891</v>
      </c>
      <c r="G450" s="15" t="n">
        <f aca="false">F450*(1+IF(G$3&lt;=$O$2,$D450,$D450-($D450-$I$427)*MIN(G$3-$O$2,$Q$2)/$Q$2))</f>
        <v>1715.86510624878</v>
      </c>
      <c r="H450" s="15" t="n">
        <f aca="false">G450*(1+IF(H$3&lt;=$O$2,$D450,$D450-($D450-$I$427)*MIN(H$3-$O$2,$Q$2)/$Q$2))</f>
        <v>1673.35061341058</v>
      </c>
      <c r="I450" s="15" t="n">
        <f aca="false">H450*(1+IF(I$3&lt;=$O$2,$D450,$D450-($D450-$I$427)*MIN(I$3-$O$2,$Q$2)/$Q$2))</f>
        <v>1631.8895146269</v>
      </c>
      <c r="J450" s="15" t="n">
        <f aca="false">I450*(1+IF(J$3&lt;=$O$2,$D450,$D450-($D450-$I$427)*MIN(J$3-$O$2,$Q$2)/$Q$2))</f>
        <v>1610.96569724329</v>
      </c>
      <c r="K450" s="15" t="n">
        <f aca="false">J450*(1+IF(K$3&lt;=$O$2,$D450,$D450-($D450-$I$427)*MIN(K$3-$O$2,$Q$2)/$Q$2))</f>
        <v>1609.56999535016</v>
      </c>
      <c r="L450" s="15" t="n">
        <f aca="false">K450*(1+IF(L$3&lt;=$O$2,$D450,$D450-($D450-$I$427)*MIN(L$3-$O$2,$Q$2)/$Q$2))</f>
        <v>1627.41865016884</v>
      </c>
      <c r="M450" s="15" t="n">
        <f aca="false">L450*(1+IF(M$3&lt;=$O$2,$D450,$D450-($D450-$I$427)*MIN(M$3-$O$2,$Q$2)/$Q$2))</f>
        <v>1664.92176656098</v>
      </c>
      <c r="N450" s="15" t="n">
        <f aca="false">M450*(1+IF(N$3&lt;=$O$2,$D450,$D450-($D450-$I$427)*MIN(N$3-$O$2,$Q$2)/$Q$2))</f>
        <v>1723.19402839062</v>
      </c>
      <c r="O450" s="15" t="n">
        <f aca="false">SUMPRODUCT(E450:N450,1/(1+$F$427)^$E$3:$N$3)*$E$2</f>
        <v>4400.23923587721</v>
      </c>
      <c r="P450" s="15" t="n">
        <f aca="false">N450*$E$2*(1+$I$427)/($F$427-$I$427)/(1+$F$427)^$N$3</f>
        <v>12162.4823322022</v>
      </c>
      <c r="Q450" s="15" t="n">
        <f aca="false">O450+P450</f>
        <v>16562.7215680794</v>
      </c>
      <c r="R450" s="15" t="n">
        <f aca="false">Q450-$G$2+$I$2</f>
        <v>15010.0215680794</v>
      </c>
      <c r="S450" s="40" t="n">
        <f aca="false">R450/$K$2</f>
        <v>54.504599179634</v>
      </c>
      <c r="T450" s="41" t="n">
        <f aca="false">S450-$M$2</f>
        <v>7.83183100097062E-005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-0.0247776508331299</v>
      </c>
      <c r="C451" s="25" t="n">
        <f aca="false">IF(T450&gt;0,D450,C450)</f>
        <v>-0.0247772932052612</v>
      </c>
      <c r="D451" s="39" t="n">
        <f aca="false">(B451+C451)/2</f>
        <v>-0.0247774720191956</v>
      </c>
      <c r="E451" s="15" t="n">
        <f aca="false">$C$2*(1+IF(E$3&lt;=$O$2,$D451,$D451-($D451-$I$427)*MIN(E$3-$O$2,$Q$2)/$Q$2))</f>
        <v>1804.16167676449</v>
      </c>
      <c r="F451" s="15" t="n">
        <f aca="false">E451*(1+IF(F$3&lt;=$O$2,$D451,$D451-($D451-$I$427)*MIN(F$3-$O$2,$Q$2)/$Q$2))</f>
        <v>1759.45911130035</v>
      </c>
      <c r="G451" s="15" t="n">
        <f aca="false">F451*(1+IF(G$3&lt;=$O$2,$D451,$D451-($D451-$I$427)*MIN(G$3-$O$2,$Q$2)/$Q$2))</f>
        <v>1715.86416240119</v>
      </c>
      <c r="H451" s="15" t="n">
        <f aca="false">G451*(1+IF(H$3&lt;=$O$2,$D451,$D451-($D451-$I$427)*MIN(H$3-$O$2,$Q$2)/$Q$2))</f>
        <v>1673.34938612855</v>
      </c>
      <c r="I451" s="15" t="n">
        <f aca="false">H451*(1+IF(I$3&lt;=$O$2,$D451,$D451-($D451-$I$427)*MIN(I$3-$O$2,$Q$2)/$Q$2))</f>
        <v>1631.88801853541</v>
      </c>
      <c r="J451" s="15" t="n">
        <f aca="false">I451*(1+IF(J$3&lt;=$O$2,$D451,$D451-($D451-$I$427)*MIN(J$3-$O$2,$Q$2)/$Q$2))</f>
        <v>1610.96398689098</v>
      </c>
      <c r="K451" s="15" t="n">
        <f aca="false">J451*(1+IF(K$3&lt;=$O$2,$D451,$D451-($D451-$I$427)*MIN(K$3-$O$2,$Q$2)/$Q$2))</f>
        <v>1609.56811364198</v>
      </c>
      <c r="L451" s="15" t="n">
        <f aca="false">K451*(1+IF(L$3&lt;=$O$2,$D451,$D451-($D451-$I$427)*MIN(L$3-$O$2,$Q$2)/$Q$2))</f>
        <v>1627.41663246897</v>
      </c>
      <c r="M451" s="15" t="n">
        <f aca="false">L451*(1+IF(M$3&lt;=$O$2,$D451,$D451-($D451-$I$427)*MIN(M$3-$O$2,$Q$2)/$Q$2))</f>
        <v>1664.91964416318</v>
      </c>
      <c r="N451" s="15" t="n">
        <f aca="false">M451*(1+IF(N$3&lt;=$O$2,$D451,$D451-($D451-$I$427)*MIN(N$3-$O$2,$Q$2)/$Q$2))</f>
        <v>1723.19183170889</v>
      </c>
      <c r="O451" s="15" t="n">
        <f aca="false">SUMPRODUCT(E451:N451,1/(1+$F$427)^$E$3:$N$3)*$E$2</f>
        <v>4400.23572025977</v>
      </c>
      <c r="P451" s="15" t="n">
        <f aca="false">N451*$E$2*(1+$I$427)/($F$427-$I$427)/(1+$F$427)^$N$3</f>
        <v>12162.4668277945</v>
      </c>
      <c r="Q451" s="15" t="n">
        <f aca="false">O451+P451</f>
        <v>16562.7025480543</v>
      </c>
      <c r="R451" s="15" t="n">
        <f aca="false">Q451-$G$2+$I$2</f>
        <v>15010.0025480543</v>
      </c>
      <c r="S451" s="40" t="n">
        <f aca="false">R451/$K$2</f>
        <v>54.5045301138542</v>
      </c>
      <c r="T451" s="41" t="n">
        <f aca="false">S451-$M$2</f>
        <v>9.25253030459317E-006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-0.0247776508331299</v>
      </c>
      <c r="C452" s="25" t="n">
        <f aca="false">IF(T451&gt;0,D451,C451)</f>
        <v>-0.0247774720191956</v>
      </c>
      <c r="D452" s="39" t="n">
        <f aca="false">(B452+C452)/2</f>
        <v>-0.0247775614261627</v>
      </c>
      <c r="E452" s="15" t="n">
        <f aca="false">$C$2*(1+IF(E$3&lt;=$O$2,$D452,$D452-($D452-$I$427)*MIN(E$3-$O$2,$Q$2)/$Q$2))</f>
        <v>1804.1615113616</v>
      </c>
      <c r="F452" s="15" t="n">
        <f aca="false">E452*(1+IF(F$3&lt;=$O$2,$D452,$D452-($D452-$I$427)*MIN(F$3-$O$2,$Q$2)/$Q$2))</f>
        <v>1759.45878869112</v>
      </c>
      <c r="G452" s="15" t="n">
        <f aca="false">F452*(1+IF(G$3&lt;=$O$2,$D452,$D452-($D452-$I$427)*MIN(G$3-$O$2,$Q$2)/$Q$2))</f>
        <v>1715.86369047752</v>
      </c>
      <c r="H452" s="15" t="n">
        <f aca="false">G452*(1+IF(H$3&lt;=$O$2,$D452,$D452-($D452-$I$427)*MIN(H$3-$O$2,$Q$2)/$Q$2))</f>
        <v>1673.34877248779</v>
      </c>
      <c r="I452" s="15" t="n">
        <f aca="false">H452*(1+IF(I$3&lt;=$O$2,$D452,$D452-($D452-$I$427)*MIN(I$3-$O$2,$Q$2)/$Q$2))</f>
        <v>1631.88727049008</v>
      </c>
      <c r="J452" s="15" t="n">
        <f aca="false">I452*(1+IF(J$3&lt;=$O$2,$D452,$D452-($D452-$I$427)*MIN(J$3-$O$2,$Q$2)/$Q$2))</f>
        <v>1610.9631317154</v>
      </c>
      <c r="K452" s="15" t="n">
        <f aca="false">J452*(1+IF(K$3&lt;=$O$2,$D452,$D452-($D452-$I$427)*MIN(K$3-$O$2,$Q$2)/$Q$2))</f>
        <v>1609.5671727886</v>
      </c>
      <c r="L452" s="15" t="n">
        <f aca="false">K452*(1+IF(L$3&lt;=$O$2,$D452,$D452-($D452-$I$427)*MIN(L$3-$O$2,$Q$2)/$Q$2))</f>
        <v>1627.41562361984</v>
      </c>
      <c r="M452" s="15" t="n">
        <f aca="false">L452*(1+IF(M$3&lt;=$O$2,$D452,$D452-($D452-$I$427)*MIN(M$3-$O$2,$Q$2)/$Q$2))</f>
        <v>1664.91858296517</v>
      </c>
      <c r="N452" s="15" t="n">
        <f aca="false">M452*(1+IF(N$3&lt;=$O$2,$D452,$D452-($D452-$I$427)*MIN(N$3-$O$2,$Q$2)/$Q$2))</f>
        <v>1723.19073336895</v>
      </c>
      <c r="O452" s="15" t="n">
        <f aca="false">SUMPRODUCT(E452:N452,1/(1+$F$427)^$E$3:$N$3)*$E$2</f>
        <v>4400.23396245213</v>
      </c>
      <c r="P452" s="15" t="n">
        <f aca="false">N452*$E$2*(1+$I$427)/($F$427-$I$427)/(1+$F$427)^$N$3</f>
        <v>12162.4590755972</v>
      </c>
      <c r="Q452" s="15" t="n">
        <f aca="false">O452+P452</f>
        <v>16562.6930380493</v>
      </c>
      <c r="R452" s="15" t="n">
        <f aca="false">Q452-$G$2+$I$2</f>
        <v>15009.9930380493</v>
      </c>
      <c r="S452" s="40" t="n">
        <f aca="false">R452/$K$2</f>
        <v>54.5044955809918</v>
      </c>
      <c r="T452" s="41" t="n">
        <f aca="false">S452-$M$2</f>
        <v>-2.52803321743045E-005</v>
      </c>
    </row>
    <row r="454" customFormat="false" ht="15" hidden="false" customHeight="false" outlineLevel="0" collapsed="false">
      <c r="A454" s="36" t="s">
        <v>191</v>
      </c>
      <c r="E454" s="5" t="s">
        <v>11</v>
      </c>
      <c r="F454" s="12" t="n">
        <f aca="false">Sensitivity!$B$13</f>
        <v>0.0685093056415221</v>
      </c>
      <c r="G454" s="5" t="s">
        <v>12</v>
      </c>
      <c r="I454" s="12" t="n">
        <f aca="false">Sensitivity!$C$9</f>
        <v>0.015</v>
      </c>
    </row>
    <row r="455" customFormat="false" ht="23.85" hidden="false" customHeight="false" outlineLevel="0" collapsed="false">
      <c r="A455" s="36" t="s">
        <v>156</v>
      </c>
      <c r="B455" s="28" t="s">
        <v>157</v>
      </c>
      <c r="C455" s="28" t="s">
        <v>158</v>
      </c>
      <c r="D455" s="28" t="s">
        <v>159</v>
      </c>
      <c r="E455" s="28" t="s">
        <v>160</v>
      </c>
      <c r="F455" s="28" t="s">
        <v>161</v>
      </c>
      <c r="G455" s="28" t="s">
        <v>162</v>
      </c>
      <c r="H455" s="28" t="s">
        <v>163</v>
      </c>
      <c r="I455" s="28" t="s">
        <v>164</v>
      </c>
      <c r="J455" s="28" t="s">
        <v>165</v>
      </c>
      <c r="K455" s="28" t="s">
        <v>166</v>
      </c>
      <c r="L455" s="28" t="s">
        <v>167</v>
      </c>
      <c r="M455" s="28" t="s">
        <v>168</v>
      </c>
      <c r="N455" s="28" t="s">
        <v>169</v>
      </c>
      <c r="O455" s="28" t="s">
        <v>170</v>
      </c>
      <c r="P455" s="28" t="s">
        <v>171</v>
      </c>
      <c r="Q455" s="28" t="s">
        <v>172</v>
      </c>
      <c r="R455" s="28" t="s">
        <v>173</v>
      </c>
      <c r="S455" s="28" t="s">
        <v>174</v>
      </c>
      <c r="T455" s="28" t="s">
        <v>175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39" t="n">
        <f aca="false">(B456+C456)/2</f>
        <v>0.25</v>
      </c>
      <c r="E456" s="15" t="n">
        <f aca="false">$C$2*(1+IF(E$3&lt;=$O$2,$D456,$D456-($D456-$I$454)*MIN(E$3-$O$2,$Q$2)/$Q$2))</f>
        <v>2312.5</v>
      </c>
      <c r="F456" s="15" t="n">
        <f aca="false">E456*(1+IF(F$3&lt;=$O$2,$D456,$D456-($D456-$I$454)*MIN(F$3-$O$2,$Q$2)/$Q$2))</f>
        <v>2890.625</v>
      </c>
      <c r="G456" s="15" t="n">
        <f aca="false">F456*(1+IF(G$3&lt;=$O$2,$D456,$D456-($D456-$I$454)*MIN(G$3-$O$2,$Q$2)/$Q$2))</f>
        <v>3613.28125</v>
      </c>
      <c r="H456" s="15" t="n">
        <f aca="false">G456*(1+IF(H$3&lt;=$O$2,$D456,$D456-($D456-$I$454)*MIN(H$3-$O$2,$Q$2)/$Q$2))</f>
        <v>4516.6015625</v>
      </c>
      <c r="I456" s="15" t="n">
        <f aca="false">H456*(1+IF(I$3&lt;=$O$2,$D456,$D456-($D456-$I$454)*MIN(I$3-$O$2,$Q$2)/$Q$2))</f>
        <v>5645.751953125</v>
      </c>
      <c r="J456" s="15" t="n">
        <f aca="false">I456*(1+IF(J$3&lt;=$O$2,$D456,$D456-($D456-$I$454)*MIN(J$3-$O$2,$Q$2)/$Q$2))</f>
        <v>6791.83959960938</v>
      </c>
      <c r="K456" s="15" t="n">
        <f aca="false">J456*(1+IF(K$3&lt;=$O$2,$D456,$D456-($D456-$I$454)*MIN(K$3-$O$2,$Q$2)/$Q$2))</f>
        <v>7851.36657714844</v>
      </c>
      <c r="L456" s="15" t="n">
        <f aca="false">K456*(1+IF(L$3&lt;=$O$2,$D456,$D456-($D456-$I$454)*MIN(L$3-$O$2,$Q$2)/$Q$2))</f>
        <v>8707.16553405762</v>
      </c>
      <c r="M456" s="15" t="n">
        <f aca="false">L456*(1+IF(M$3&lt;=$O$2,$D456,$D456-($D456-$I$454)*MIN(M$3-$O$2,$Q$2)/$Q$2))</f>
        <v>9247.00979716919</v>
      </c>
      <c r="N456" s="15" t="n">
        <f aca="false">M456*(1+IF(N$3&lt;=$O$2,$D456,$D456-($D456-$I$454)*MIN(N$3-$O$2,$Q$2)/$Q$2))</f>
        <v>9385.71494412673</v>
      </c>
      <c r="O456" s="15" t="n">
        <f aca="false">SUMPRODUCT(E456:N456,1/(1+$F$454)^$E$3:$N$3)*$E$2</f>
        <v>14298.9314908279</v>
      </c>
      <c r="P456" s="15" t="n">
        <f aca="false">N456*$E$2*(1+$I$454)/($F$454-$I$454)/(1+$F$454)^$N$3</f>
        <v>33026.9351500189</v>
      </c>
      <c r="Q456" s="15" t="n">
        <f aca="false">O456+P456</f>
        <v>47325.8666408468</v>
      </c>
      <c r="R456" s="15" t="n">
        <f aca="false">Q456-$G$2+$I$2</f>
        <v>45773.1666408468</v>
      </c>
      <c r="S456" s="40" t="n">
        <f aca="false">R456/$K$2</f>
        <v>166.212159631238</v>
      </c>
      <c r="T456" s="41" t="n">
        <f aca="false">S456-$M$2</f>
        <v>111.707638769915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39" t="n">
        <f aca="false">(B457+C457)/2</f>
        <v>-0.125</v>
      </c>
      <c r="E457" s="15" t="n">
        <f aca="false">$C$2*(1+IF(E$3&lt;=$O$2,$D457,$D457-($D457-$I$454)*MIN(E$3-$O$2,$Q$2)/$Q$2))</f>
        <v>1618.75</v>
      </c>
      <c r="F457" s="15" t="n">
        <f aca="false">E457*(1+IF(F$3&lt;=$O$2,$D457,$D457-($D457-$I$454)*MIN(F$3-$O$2,$Q$2)/$Q$2))</f>
        <v>1416.40625</v>
      </c>
      <c r="G457" s="15" t="n">
        <f aca="false">F457*(1+IF(G$3&lt;=$O$2,$D457,$D457-($D457-$I$454)*MIN(G$3-$O$2,$Q$2)/$Q$2))</f>
        <v>1239.35546875</v>
      </c>
      <c r="H457" s="15" t="n">
        <f aca="false">G457*(1+IF(H$3&lt;=$O$2,$D457,$D457-($D457-$I$454)*MIN(H$3-$O$2,$Q$2)/$Q$2))</f>
        <v>1084.43603515625</v>
      </c>
      <c r="I457" s="15" t="n">
        <f aca="false">H457*(1+IF(I$3&lt;=$O$2,$D457,$D457-($D457-$I$454)*MIN(I$3-$O$2,$Q$2)/$Q$2))</f>
        <v>948.881530761719</v>
      </c>
      <c r="J457" s="15" t="n">
        <f aca="false">I457*(1+IF(J$3&lt;=$O$2,$D457,$D457-($D457-$I$454)*MIN(J$3-$O$2,$Q$2)/$Q$2))</f>
        <v>856.840022277832</v>
      </c>
      <c r="K457" s="15" t="n">
        <f aca="false">J457*(1+IF(K$3&lt;=$O$2,$D457,$D457-($D457-$I$454)*MIN(K$3-$O$2,$Q$2)/$Q$2))</f>
        <v>797.718060740662</v>
      </c>
      <c r="L457" s="15" t="n">
        <f aca="false">K457*(1+IF(L$3&lt;=$O$2,$D457,$D457-($D457-$I$454)*MIN(L$3-$O$2,$Q$2)/$Q$2))</f>
        <v>765.011620250295</v>
      </c>
      <c r="M457" s="15" t="n">
        <f aca="false">L457*(1+IF(M$3&lt;=$O$2,$D457,$D457-($D457-$I$454)*MIN(M$3-$O$2,$Q$2)/$Q$2))</f>
        <v>755.066469187041</v>
      </c>
      <c r="N457" s="15" t="n">
        <f aca="false">M457*(1+IF(N$3&lt;=$O$2,$D457,$D457-($D457-$I$454)*MIN(N$3-$O$2,$Q$2)/$Q$2))</f>
        <v>766.392466224846</v>
      </c>
      <c r="O457" s="15" t="n">
        <f aca="false">SUMPRODUCT(E457:N457,1/(1+$F$454)^$E$3:$N$3)*$E$2</f>
        <v>2743.40051816921</v>
      </c>
      <c r="P457" s="15" t="n">
        <f aca="false">N457*$E$2*(1+$I$454)/($F$454-$I$454)/(1+$F$454)^$N$3</f>
        <v>2696.8211193448</v>
      </c>
      <c r="Q457" s="15" t="n">
        <f aca="false">O457+P457</f>
        <v>5440.221637514</v>
      </c>
      <c r="R457" s="15" t="n">
        <f aca="false">Q457-$G$2+$I$2</f>
        <v>3887.521637514</v>
      </c>
      <c r="S457" s="40" t="n">
        <f aca="false">R457/$K$2</f>
        <v>14.1164226642725</v>
      </c>
      <c r="T457" s="41" t="n">
        <f aca="false">S457-$M$2</f>
        <v>-40.3880981970514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39" t="n">
        <f aca="false">(B458+C458)/2</f>
        <v>0.0625</v>
      </c>
      <c r="E458" s="15" t="n">
        <f aca="false">$C$2*(1+IF(E$3&lt;=$O$2,$D458,$D458-($D458-$I$454)*MIN(E$3-$O$2,$Q$2)/$Q$2))</f>
        <v>1965.625</v>
      </c>
      <c r="F458" s="15" t="n">
        <f aca="false">E458*(1+IF(F$3&lt;=$O$2,$D458,$D458-($D458-$I$454)*MIN(F$3-$O$2,$Q$2)/$Q$2))</f>
        <v>2088.4765625</v>
      </c>
      <c r="G458" s="15" t="n">
        <f aca="false">F458*(1+IF(G$3&lt;=$O$2,$D458,$D458-($D458-$I$454)*MIN(G$3-$O$2,$Q$2)/$Q$2))</f>
        <v>2219.00634765625</v>
      </c>
      <c r="H458" s="15" t="n">
        <f aca="false">G458*(1+IF(H$3&lt;=$O$2,$D458,$D458-($D458-$I$454)*MIN(H$3-$O$2,$Q$2)/$Q$2))</f>
        <v>2357.69424438477</v>
      </c>
      <c r="I458" s="15" t="n">
        <f aca="false">H458*(1+IF(I$3&lt;=$O$2,$D458,$D458-($D458-$I$454)*MIN(I$3-$O$2,$Q$2)/$Q$2))</f>
        <v>2505.05013465881</v>
      </c>
      <c r="J458" s="15" t="n">
        <f aca="false">I458*(1+IF(J$3&lt;=$O$2,$D458,$D458-($D458-$I$454)*MIN(J$3-$O$2,$Q$2)/$Q$2))</f>
        <v>2637.81779179573</v>
      </c>
      <c r="K458" s="15" t="n">
        <f aca="false">J458*(1+IF(K$3&lt;=$O$2,$D458,$D458-($D458-$I$454)*MIN(K$3-$O$2,$Q$2)/$Q$2))</f>
        <v>2752.56286573885</v>
      </c>
      <c r="L458" s="15" t="n">
        <f aca="false">K458*(1+IF(L$3&lt;=$O$2,$D458,$D458-($D458-$I$454)*MIN(L$3-$O$2,$Q$2)/$Q$2))</f>
        <v>2846.15000317397</v>
      </c>
      <c r="M458" s="15" t="n">
        <f aca="false">L458*(1+IF(M$3&lt;=$O$2,$D458,$D458-($D458-$I$454)*MIN(M$3-$O$2,$Q$2)/$Q$2))</f>
        <v>2915.88067825173</v>
      </c>
      <c r="N458" s="15" t="n">
        <f aca="false">M458*(1+IF(N$3&lt;=$O$2,$D458,$D458-($D458-$I$454)*MIN(N$3-$O$2,$Q$2)/$Q$2))</f>
        <v>2959.6188884255</v>
      </c>
      <c r="O458" s="15" t="n">
        <f aca="false">SUMPRODUCT(E458:N458,1/(1+$F$454)^$E$3:$N$3)*$E$2</f>
        <v>6263.6684381815</v>
      </c>
      <c r="P458" s="15" t="n">
        <f aca="false">N458*$E$2*(1+$I$454)/($F$454-$I$454)/(1+$F$454)^$N$3</f>
        <v>10414.4587470097</v>
      </c>
      <c r="Q458" s="15" t="n">
        <f aca="false">O458+P458</f>
        <v>16678.1271851912</v>
      </c>
      <c r="R458" s="15" t="n">
        <f aca="false">Q458-$G$2+$I$2</f>
        <v>15125.4271851912</v>
      </c>
      <c r="S458" s="40" t="n">
        <f aca="false">R458/$K$2</f>
        <v>54.9236616623377</v>
      </c>
      <c r="T458" s="41" t="n">
        <f aca="false">S458-$M$2</f>
        <v>0.419140801013803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-0.125</v>
      </c>
      <c r="C459" s="25" t="n">
        <f aca="false">IF(T458&gt;0,D458,C458)</f>
        <v>0.0625</v>
      </c>
      <c r="D459" s="39" t="n">
        <f aca="false">(B459+C459)/2</f>
        <v>-0.03125</v>
      </c>
      <c r="E459" s="15" t="n">
        <f aca="false">$C$2*(1+IF(E$3&lt;=$O$2,$D459,$D459-($D459-$I$454)*MIN(E$3-$O$2,$Q$2)/$Q$2))</f>
        <v>1792.1875</v>
      </c>
      <c r="F459" s="15" t="n">
        <f aca="false">E459*(1+IF(F$3&lt;=$O$2,$D459,$D459-($D459-$I$454)*MIN(F$3-$O$2,$Q$2)/$Q$2))</f>
        <v>1736.181640625</v>
      </c>
      <c r="G459" s="15" t="n">
        <f aca="false">F459*(1+IF(G$3&lt;=$O$2,$D459,$D459-($D459-$I$454)*MIN(G$3-$O$2,$Q$2)/$Q$2))</f>
        <v>1681.92596435547</v>
      </c>
      <c r="H459" s="15" t="n">
        <f aca="false">G459*(1+IF(H$3&lt;=$O$2,$D459,$D459-($D459-$I$454)*MIN(H$3-$O$2,$Q$2)/$Q$2))</f>
        <v>1629.36577796936</v>
      </c>
      <c r="I459" s="15" t="n">
        <f aca="false">H459*(1+IF(I$3&lt;=$O$2,$D459,$D459-($D459-$I$454)*MIN(I$3-$O$2,$Q$2)/$Q$2))</f>
        <v>1578.44809740782</v>
      </c>
      <c r="J459" s="15" t="n">
        <f aca="false">I459*(1+IF(J$3&lt;=$O$2,$D459,$D459-($D459-$I$454)*MIN(J$3-$O$2,$Q$2)/$Q$2))</f>
        <v>1543.72223926485</v>
      </c>
      <c r="K459" s="15" t="n">
        <f aca="false">J459*(1+IF(K$3&lt;=$O$2,$D459,$D459-($D459-$I$454)*MIN(K$3-$O$2,$Q$2)/$Q$2))</f>
        <v>1524.03978071422</v>
      </c>
      <c r="L459" s="15" t="n">
        <f aca="false">K459*(1+IF(L$3&lt;=$O$2,$D459,$D459-($D459-$I$454)*MIN(L$3-$O$2,$Q$2)/$Q$2))</f>
        <v>1518.70564148172</v>
      </c>
      <c r="M459" s="15" t="n">
        <f aca="false">L459*(1+IF(M$3&lt;=$O$2,$D459,$D459-($D459-$I$454)*MIN(M$3-$O$2,$Q$2)/$Q$2))</f>
        <v>1527.43819892024</v>
      </c>
      <c r="N459" s="15" t="n">
        <f aca="false">M459*(1+IF(N$3&lt;=$O$2,$D459,$D459-($D459-$I$454)*MIN(N$3-$O$2,$Q$2)/$Q$2))</f>
        <v>1550.34977190404</v>
      </c>
      <c r="O459" s="15" t="n">
        <f aca="false">SUMPRODUCT(E459:N459,1/(1+$F$454)^$E$3:$N$3)*$E$2</f>
        <v>4134.90104234593</v>
      </c>
      <c r="P459" s="15" t="n">
        <f aca="false">N459*$E$2*(1+$I$454)/($F$454-$I$454)/(1+$F$454)^$N$3</f>
        <v>5455.45029668334</v>
      </c>
      <c r="Q459" s="15" t="n">
        <f aca="false">O459+P459</f>
        <v>9590.35133902927</v>
      </c>
      <c r="R459" s="15" t="n">
        <f aca="false">Q459-$G$2+$I$2</f>
        <v>8037.65133902927</v>
      </c>
      <c r="S459" s="40" t="n">
        <f aca="false">R459/$K$2</f>
        <v>29.1864313846882</v>
      </c>
      <c r="T459" s="41" t="n">
        <f aca="false">S459-$M$2</f>
        <v>-25.3180894766358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-0.03125</v>
      </c>
      <c r="C460" s="25" t="n">
        <f aca="false">IF(T459&gt;0,D459,C459)</f>
        <v>0.0625</v>
      </c>
      <c r="D460" s="39" t="n">
        <f aca="false">(B460+C460)/2</f>
        <v>0.015625</v>
      </c>
      <c r="E460" s="15" t="n">
        <f aca="false">$C$2*(1+IF(E$3&lt;=$O$2,$D460,$D460-($D460-$I$454)*MIN(E$3-$O$2,$Q$2)/$Q$2))</f>
        <v>1878.90625</v>
      </c>
      <c r="F460" s="15" t="n">
        <f aca="false">E460*(1+IF(F$3&lt;=$O$2,$D460,$D460-($D460-$I$454)*MIN(F$3-$O$2,$Q$2)/$Q$2))</f>
        <v>1908.26416015625</v>
      </c>
      <c r="G460" s="15" t="n">
        <f aca="false">F460*(1+IF(G$3&lt;=$O$2,$D460,$D460-($D460-$I$454)*MIN(G$3-$O$2,$Q$2)/$Q$2))</f>
        <v>1938.08078765869</v>
      </c>
      <c r="H460" s="15" t="n">
        <f aca="false">G460*(1+IF(H$3&lt;=$O$2,$D460,$D460-($D460-$I$454)*MIN(H$3-$O$2,$Q$2)/$Q$2))</f>
        <v>1968.36329996586</v>
      </c>
      <c r="I460" s="15" t="n">
        <f aca="false">H460*(1+IF(I$3&lt;=$O$2,$D460,$D460-($D460-$I$454)*MIN(I$3-$O$2,$Q$2)/$Q$2))</f>
        <v>1999.11897652783</v>
      </c>
      <c r="J460" s="15" t="n">
        <f aca="false">I460*(1+IF(J$3&lt;=$O$2,$D460,$D460-($D460-$I$454)*MIN(J$3-$O$2,$Q$2)/$Q$2))</f>
        <v>2030.10532066401</v>
      </c>
      <c r="K460" s="15" t="n">
        <f aca="false">J460*(1+IF(K$3&lt;=$O$2,$D460,$D460-($D460-$I$454)*MIN(K$3-$O$2,$Q$2)/$Q$2))</f>
        <v>2061.31818996922</v>
      </c>
      <c r="L460" s="15" t="n">
        <f aca="false">K460*(1+IF(L$3&lt;=$O$2,$D460,$D460-($D460-$I$454)*MIN(L$3-$O$2,$Q$2)/$Q$2))</f>
        <v>2092.75329236625</v>
      </c>
      <c r="M460" s="15" t="n">
        <f aca="false">L460*(1+IF(M$3&lt;=$O$2,$D460,$D460-($D460-$I$454)*MIN(M$3-$O$2,$Q$2)/$Q$2))</f>
        <v>2124.40618591329</v>
      </c>
      <c r="N460" s="15" t="n">
        <f aca="false">M460*(1+IF(N$3&lt;=$O$2,$D460,$D460-($D460-$I$454)*MIN(N$3-$O$2,$Q$2)/$Q$2))</f>
        <v>2156.27227870198</v>
      </c>
      <c r="O460" s="15" t="n">
        <f aca="false">SUMPRODUCT(E460:N460,1/(1+$F$454)^$E$3:$N$3)*$E$2</f>
        <v>5087.71374571192</v>
      </c>
      <c r="P460" s="15" t="n">
        <f aca="false">N460*$E$2*(1+$I$454)/($F$454-$I$454)/(1+$F$454)^$N$3</f>
        <v>7587.60149209922</v>
      </c>
      <c r="Q460" s="15" t="n">
        <f aca="false">O460+P460</f>
        <v>12675.3152378111</v>
      </c>
      <c r="R460" s="15" t="n">
        <f aca="false">Q460-$G$2+$I$2</f>
        <v>11122.6152378111</v>
      </c>
      <c r="S460" s="40" t="n">
        <f aca="false">R460/$K$2</f>
        <v>40.3885952206367</v>
      </c>
      <c r="T460" s="41" t="n">
        <f aca="false">S460-$M$2</f>
        <v>-14.1159256406872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0.015625</v>
      </c>
      <c r="C461" s="25" t="n">
        <f aca="false">IF(T460&gt;0,D460,C460)</f>
        <v>0.0625</v>
      </c>
      <c r="D461" s="39" t="n">
        <f aca="false">(B461+C461)/2</f>
        <v>0.0390625</v>
      </c>
      <c r="E461" s="15" t="n">
        <f aca="false">$C$2*(1+IF(E$3&lt;=$O$2,$D461,$D461-($D461-$I$454)*MIN(E$3-$O$2,$Q$2)/$Q$2))</f>
        <v>1922.265625</v>
      </c>
      <c r="F461" s="15" t="n">
        <f aca="false">E461*(1+IF(F$3&lt;=$O$2,$D461,$D461-($D461-$I$454)*MIN(F$3-$O$2,$Q$2)/$Q$2))</f>
        <v>1997.35412597656</v>
      </c>
      <c r="G461" s="15" t="n">
        <f aca="false">F461*(1+IF(G$3&lt;=$O$2,$D461,$D461-($D461-$I$454)*MIN(G$3-$O$2,$Q$2)/$Q$2))</f>
        <v>2075.37577152252</v>
      </c>
      <c r="H461" s="15" t="n">
        <f aca="false">G461*(1+IF(H$3&lt;=$O$2,$D461,$D461-($D461-$I$454)*MIN(H$3-$O$2,$Q$2)/$Q$2))</f>
        <v>2156.44513759762</v>
      </c>
      <c r="I461" s="15" t="n">
        <f aca="false">H461*(1+IF(I$3&lt;=$O$2,$D461,$D461-($D461-$I$454)*MIN(I$3-$O$2,$Q$2)/$Q$2))</f>
        <v>2240.68127578503</v>
      </c>
      <c r="J461" s="15" t="n">
        <f aca="false">I461*(1+IF(J$3&lt;=$O$2,$D461,$D461-($D461-$I$454)*MIN(J$3-$O$2,$Q$2)/$Q$2))</f>
        <v>2317.42460948067</v>
      </c>
      <c r="K461" s="15" t="n">
        <f aca="false">J461*(1+IF(K$3&lt;=$O$2,$D461,$D461-($D461-$I$454)*MIN(K$3-$O$2,$Q$2)/$Q$2))</f>
        <v>2385.64379642225</v>
      </c>
      <c r="L461" s="15" t="n">
        <f aca="false">K461*(1+IF(L$3&lt;=$O$2,$D461,$D461-($D461-$I$454)*MIN(L$3-$O$2,$Q$2)/$Q$2))</f>
        <v>2444.39027490915</v>
      </c>
      <c r="M461" s="15" t="n">
        <f aca="false">L461*(1+IF(M$3&lt;=$O$2,$D461,$D461-($D461-$I$454)*MIN(M$3-$O$2,$Q$2)/$Q$2))</f>
        <v>2492.81975723079</v>
      </c>
      <c r="N461" s="15" t="n">
        <f aca="false">M461*(1+IF(N$3&lt;=$O$2,$D461,$D461-($D461-$I$454)*MIN(N$3-$O$2,$Q$2)/$Q$2))</f>
        <v>2530.21205358925</v>
      </c>
      <c r="O461" s="15" t="n">
        <f aca="false">SUMPRODUCT(E461:N461,1/(1+$F$454)^$E$3:$N$3)*$E$2</f>
        <v>5644.98510553266</v>
      </c>
      <c r="P461" s="15" t="n">
        <f aca="false">N461*$E$2*(1+$I$454)/($F$454-$I$454)/(1+$F$454)^$N$3</f>
        <v>8903.43995179404</v>
      </c>
      <c r="Q461" s="15" t="n">
        <f aca="false">O461+P461</f>
        <v>14548.4250573267</v>
      </c>
      <c r="R461" s="15" t="n">
        <f aca="false">Q461-$G$2+$I$2</f>
        <v>12995.7250573267</v>
      </c>
      <c r="S461" s="40" t="n">
        <f aca="false">R461/$K$2</f>
        <v>47.1902576612321</v>
      </c>
      <c r="T461" s="41" t="n">
        <f aca="false">S461-$M$2</f>
        <v>-7.31426320009187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0.0390625</v>
      </c>
      <c r="C462" s="25" t="n">
        <f aca="false">IF(T461&gt;0,D461,C461)</f>
        <v>0.0625</v>
      </c>
      <c r="D462" s="39" t="n">
        <f aca="false">(B462+C462)/2</f>
        <v>0.05078125</v>
      </c>
      <c r="E462" s="15" t="n">
        <f aca="false">$C$2*(1+IF(E$3&lt;=$O$2,$D462,$D462-($D462-$I$454)*MIN(E$3-$O$2,$Q$2)/$Q$2))</f>
        <v>1943.9453125</v>
      </c>
      <c r="F462" s="15" t="n">
        <f aca="false">E462*(1+IF(F$3&lt;=$O$2,$D462,$D462-($D462-$I$454)*MIN(F$3-$O$2,$Q$2)/$Q$2))</f>
        <v>2042.66128540039</v>
      </c>
      <c r="G462" s="15" t="n">
        <f aca="false">F462*(1+IF(G$3&lt;=$O$2,$D462,$D462-($D462-$I$454)*MIN(G$3-$O$2,$Q$2)/$Q$2))</f>
        <v>2146.39017879963</v>
      </c>
      <c r="H462" s="15" t="n">
        <f aca="false">G462*(1+IF(H$3&lt;=$O$2,$D462,$D462-($D462-$I$454)*MIN(H$3-$O$2,$Q$2)/$Q$2))</f>
        <v>2255.3865550668</v>
      </c>
      <c r="I462" s="15" t="n">
        <f aca="false">H462*(1+IF(I$3&lt;=$O$2,$D462,$D462-($D462-$I$454)*MIN(I$3-$O$2,$Q$2)/$Q$2))</f>
        <v>2369.91790356628</v>
      </c>
      <c r="J462" s="15" t="n">
        <f aca="false">I462*(1+IF(J$3&lt;=$O$2,$D462,$D462-($D462-$I$454)*MIN(J$3-$O$2,$Q$2)/$Q$2))</f>
        <v>2473.30557210936</v>
      </c>
      <c r="K462" s="15" t="n">
        <f aca="false">J462*(1+IF(K$3&lt;=$O$2,$D462,$D462-($D462-$I$454)*MIN(K$3-$O$2,$Q$2)/$Q$2))</f>
        <v>2563.50393469223</v>
      </c>
      <c r="L462" s="15" t="n">
        <f aca="false">K462*(1+IF(L$3&lt;=$O$2,$D462,$D462-($D462-$I$454)*MIN(L$3-$O$2,$Q$2)/$Q$2))</f>
        <v>2638.64664377789</v>
      </c>
      <c r="M462" s="15" t="n">
        <f aca="false">L462*(1+IF(M$3&lt;=$O$2,$D462,$D462-($D462-$I$454)*MIN(M$3-$O$2,$Q$2)/$Q$2))</f>
        <v>2697.1091584791</v>
      </c>
      <c r="N462" s="15" t="n">
        <f aca="false">M462*(1+IF(N$3&lt;=$O$2,$D462,$D462-($D462-$I$454)*MIN(N$3-$O$2,$Q$2)/$Q$2))</f>
        <v>2737.56579585628</v>
      </c>
      <c r="O462" s="15" t="n">
        <f aca="false">SUMPRODUCT(E462:N462,1/(1+$F$454)^$E$3:$N$3)*$E$2</f>
        <v>5946.27178049239</v>
      </c>
      <c r="P462" s="15" t="n">
        <f aca="false">N462*$E$2*(1+$I$454)/($F$454-$I$454)/(1+$F$454)^$N$3</f>
        <v>9633.0869355065</v>
      </c>
      <c r="Q462" s="15" t="n">
        <f aca="false">O462+P462</f>
        <v>15579.3587159989</v>
      </c>
      <c r="R462" s="15" t="n">
        <f aca="false">Q462-$G$2+$I$2</f>
        <v>14026.6587159989</v>
      </c>
      <c r="S462" s="40" t="n">
        <f aca="false">R462/$K$2</f>
        <v>50.9337983078503</v>
      </c>
      <c r="T462" s="41" t="n">
        <f aca="false">S462-$M$2</f>
        <v>-3.57072255347363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0.05078125</v>
      </c>
      <c r="C463" s="25" t="n">
        <f aca="false">IF(T462&gt;0,D462,C462)</f>
        <v>0.0625</v>
      </c>
      <c r="D463" s="39" t="n">
        <f aca="false">(B463+C463)/2</f>
        <v>0.056640625</v>
      </c>
      <c r="E463" s="15" t="n">
        <f aca="false">$C$2*(1+IF(E$3&lt;=$O$2,$D463,$D463-($D463-$I$454)*MIN(E$3-$O$2,$Q$2)/$Q$2))</f>
        <v>1954.78515625</v>
      </c>
      <c r="F463" s="15" t="n">
        <f aca="false">E463*(1+IF(F$3&lt;=$O$2,$D463,$D463-($D463-$I$454)*MIN(F$3-$O$2,$Q$2)/$Q$2))</f>
        <v>2065.50540924072</v>
      </c>
      <c r="G463" s="15" t="n">
        <f aca="false">F463*(1+IF(G$3&lt;=$O$2,$D463,$D463-($D463-$I$454)*MIN(G$3-$O$2,$Q$2)/$Q$2))</f>
        <v>2182.496926561</v>
      </c>
      <c r="H463" s="15" t="n">
        <f aca="false">G463*(1+IF(H$3&lt;=$O$2,$D463,$D463-($D463-$I$454)*MIN(H$3-$O$2,$Q$2)/$Q$2))</f>
        <v>2306.11491654199</v>
      </c>
      <c r="I463" s="15" t="n">
        <f aca="false">H463*(1+IF(I$3&lt;=$O$2,$D463,$D463-($D463-$I$454)*MIN(I$3-$O$2,$Q$2)/$Q$2))</f>
        <v>2436.73470673675</v>
      </c>
      <c r="J463" s="15" t="n">
        <f aca="false">I463*(1+IF(J$3&lt;=$O$2,$D463,$D463-($D463-$I$454)*MIN(J$3-$O$2,$Q$2)/$Q$2))</f>
        <v>2554.45945225597</v>
      </c>
      <c r="K463" s="15" t="n">
        <f aca="false">J463*(1+IF(K$3&lt;=$O$2,$D463,$D463-($D463-$I$454)*MIN(K$3-$O$2,$Q$2)/$Q$2))</f>
        <v>2656.59791691727</v>
      </c>
      <c r="L463" s="15" t="n">
        <f aca="false">K463*(1+IF(L$3&lt;=$O$2,$D463,$D463-($D463-$I$454)*MIN(L$3-$O$2,$Q$2)/$Q$2))</f>
        <v>2740.69584472468</v>
      </c>
      <c r="M463" s="15" t="n">
        <f aca="false">L463*(1+IF(M$3&lt;=$O$2,$D463,$D463-($D463-$I$454)*MIN(M$3-$O$2,$Q$2)/$Q$2))</f>
        <v>2804.6311399774</v>
      </c>
      <c r="N463" s="15" t="n">
        <f aca="false">M463*(1+IF(N$3&lt;=$O$2,$D463,$D463-($D463-$I$454)*MIN(N$3-$O$2,$Q$2)/$Q$2))</f>
        <v>2846.70060707706</v>
      </c>
      <c r="O463" s="15" t="n">
        <f aca="false">SUMPRODUCT(E463:N463,1/(1+$F$454)^$E$3:$N$3)*$E$2</f>
        <v>6102.90728248396</v>
      </c>
      <c r="P463" s="15" t="n">
        <f aca="false">N463*$E$2*(1+$I$454)/($F$454-$I$454)/(1+$F$454)^$N$3</f>
        <v>10017.1161068861</v>
      </c>
      <c r="Q463" s="15" t="n">
        <f aca="false">O463+P463</f>
        <v>16120.0233893701</v>
      </c>
      <c r="R463" s="15" t="n">
        <f aca="false">Q463-$G$2+$I$2</f>
        <v>14567.3233893701</v>
      </c>
      <c r="S463" s="40" t="n">
        <f aca="false">R463/$K$2</f>
        <v>52.8970673930428</v>
      </c>
      <c r="T463" s="41" t="n">
        <f aca="false">S463-$M$2</f>
        <v>-1.6074534682811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0.056640625</v>
      </c>
      <c r="C464" s="25" t="n">
        <f aca="false">IF(T463&gt;0,D463,C463)</f>
        <v>0.0625</v>
      </c>
      <c r="D464" s="39" t="n">
        <f aca="false">(B464+C464)/2</f>
        <v>0.0595703125</v>
      </c>
      <c r="E464" s="15" t="n">
        <f aca="false">$C$2*(1+IF(E$3&lt;=$O$2,$D464,$D464-($D464-$I$454)*MIN(E$3-$O$2,$Q$2)/$Q$2))</f>
        <v>1960.205078125</v>
      </c>
      <c r="F464" s="15" t="n">
        <f aca="false">E464*(1+IF(F$3&lt;=$O$2,$D464,$D464-($D464-$I$454)*MIN(F$3-$O$2,$Q$2)/$Q$2))</f>
        <v>2076.97510719299</v>
      </c>
      <c r="G464" s="15" t="n">
        <f aca="false">F464*(1+IF(G$3&lt;=$O$2,$D464,$D464-($D464-$I$454)*MIN(G$3-$O$2,$Q$2)/$Q$2))</f>
        <v>2200.7011633832</v>
      </c>
      <c r="H464" s="15" t="n">
        <f aca="false">G464*(1+IF(H$3&lt;=$O$2,$D464,$D464-($D464-$I$454)*MIN(H$3-$O$2,$Q$2)/$Q$2))</f>
        <v>2331.79761940505</v>
      </c>
      <c r="I464" s="15" t="n">
        <f aca="false">H464*(1+IF(I$3&lt;=$O$2,$D464,$D464-($D464-$I$454)*MIN(I$3-$O$2,$Q$2)/$Q$2))</f>
        <v>2470.70353227977</v>
      </c>
      <c r="J464" s="15" t="n">
        <f aca="false">I464*(1+IF(J$3&lt;=$O$2,$D464,$D464-($D464-$I$454)*MIN(J$3-$O$2,$Q$2)/$Q$2))</f>
        <v>2595.86010808681</v>
      </c>
      <c r="K464" s="15" t="n">
        <f aca="false">J464*(1+IF(K$3&lt;=$O$2,$D464,$D464-($D464-$I$454)*MIN(K$3-$O$2,$Q$2)/$Q$2))</f>
        <v>2704.21698744234</v>
      </c>
      <c r="L464" s="15" t="n">
        <f aca="false">K464*(1+IF(L$3&lt;=$O$2,$D464,$D464-($D464-$I$454)*MIN(L$3-$O$2,$Q$2)/$Q$2))</f>
        <v>2792.99136073322</v>
      </c>
      <c r="M464" s="15" t="n">
        <f aca="false">L464*(1+IF(M$3&lt;=$O$2,$D464,$D464-($D464-$I$454)*MIN(M$3-$O$2,$Q$2)/$Q$2))</f>
        <v>2859.78313069576</v>
      </c>
      <c r="N464" s="15" t="n">
        <f aca="false">M464*(1+IF(N$3&lt;=$O$2,$D464,$D464-($D464-$I$454)*MIN(N$3-$O$2,$Q$2)/$Q$2))</f>
        <v>2902.67987765619</v>
      </c>
      <c r="O464" s="15" t="n">
        <f aca="false">SUMPRODUCT(E464:N464,1/(1+$F$454)^$E$3:$N$3)*$E$2</f>
        <v>6182.76590539337</v>
      </c>
      <c r="P464" s="15" t="n">
        <f aca="false">N464*$E$2*(1+$I$454)/($F$454-$I$454)/(1+$F$454)^$N$3</f>
        <v>10214.0988354442</v>
      </c>
      <c r="Q464" s="15" t="n">
        <f aca="false">O464+P464</f>
        <v>16396.8647408376</v>
      </c>
      <c r="R464" s="15" t="n">
        <f aca="false">Q464-$G$2+$I$2</f>
        <v>14844.1647408376</v>
      </c>
      <c r="S464" s="40" t="n">
        <f aca="false">R464/$K$2</f>
        <v>53.9023375606869</v>
      </c>
      <c r="T464" s="41" t="n">
        <f aca="false">S464-$M$2</f>
        <v>-0.602183300637051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0.0595703125</v>
      </c>
      <c r="C465" s="25" t="n">
        <f aca="false">IF(T464&gt;0,D464,C464)</f>
        <v>0.0625</v>
      </c>
      <c r="D465" s="39" t="n">
        <f aca="false">(B465+C465)/2</f>
        <v>0.06103515625</v>
      </c>
      <c r="E465" s="15" t="n">
        <f aca="false">$C$2*(1+IF(E$3&lt;=$O$2,$D465,$D465-($D465-$I$454)*MIN(E$3-$O$2,$Q$2)/$Q$2))</f>
        <v>1962.9150390625</v>
      </c>
      <c r="F465" s="15" t="n">
        <f aca="false">E465*(1+IF(F$3&lt;=$O$2,$D465,$D465-($D465-$I$454)*MIN(F$3-$O$2,$Q$2)/$Q$2))</f>
        <v>2082.72186517715</v>
      </c>
      <c r="G465" s="15" t="n">
        <f aca="false">F465*(1+IF(G$3&lt;=$O$2,$D465,$D465-($D465-$I$454)*MIN(G$3-$O$2,$Q$2)/$Q$2))</f>
        <v>2209.84111964353</v>
      </c>
      <c r="H465" s="15" t="n">
        <f aca="false">G465*(1+IF(H$3&lt;=$O$2,$D465,$D465-($D465-$I$454)*MIN(H$3-$O$2,$Q$2)/$Q$2))</f>
        <v>2344.71911766865</v>
      </c>
      <c r="I465" s="15" t="n">
        <f aca="false">H465*(1+IF(I$3&lt;=$O$2,$D465,$D465-($D465-$I$454)*MIN(I$3-$O$2,$Q$2)/$Q$2))</f>
        <v>2487.82941537792</v>
      </c>
      <c r="J465" s="15" t="n">
        <f aca="false">I465*(1+IF(J$3&lt;=$O$2,$D465,$D465-($D465-$I$454)*MIN(J$3-$O$2,$Q$2)/$Q$2))</f>
        <v>2616.7689492968</v>
      </c>
      <c r="K465" s="15" t="n">
        <f aca="false">J465*(1+IF(K$3&lt;=$O$2,$D465,$D465-($D465-$I$454)*MIN(K$3-$O$2,$Q$2)/$Q$2))</f>
        <v>2728.29850400687</v>
      </c>
      <c r="L465" s="15" t="n">
        <f aca="false">K465*(1+IF(L$3&lt;=$O$2,$D465,$D465-($D465-$I$454)*MIN(L$3-$O$2,$Q$2)/$Q$2))</f>
        <v>2819.46204073841</v>
      </c>
      <c r="M465" s="15" t="n">
        <f aca="false">L465*(1+IF(M$3&lt;=$O$2,$D465,$D465-($D465-$I$454)*MIN(M$3-$O$2,$Q$2)/$Q$2))</f>
        <v>2887.71284646676</v>
      </c>
      <c r="N465" s="15" t="n">
        <f aca="false">M465*(1+IF(N$3&lt;=$O$2,$D465,$D465-($D465-$I$454)*MIN(N$3-$O$2,$Q$2)/$Q$2))</f>
        <v>2931.02853916376</v>
      </c>
      <c r="O465" s="15" t="n">
        <f aca="false">SUMPRODUCT(E465:N465,1/(1+$F$454)^$E$3:$N$3)*$E$2</f>
        <v>6223.08589484771</v>
      </c>
      <c r="P465" s="15" t="n">
        <f aca="false">N465*$E$2*(1+$I$454)/($F$454-$I$454)/(1+$F$454)^$N$3</f>
        <v>10313.853559594</v>
      </c>
      <c r="Q465" s="15" t="n">
        <f aca="false">O465+P465</f>
        <v>16536.9394544417</v>
      </c>
      <c r="R465" s="15" t="n">
        <f aca="false">Q465-$G$2+$I$2</f>
        <v>14984.2394544417</v>
      </c>
      <c r="S465" s="40" t="n">
        <f aca="false">R465/$K$2</f>
        <v>54.4109788098395</v>
      </c>
      <c r="T465" s="41" t="n">
        <f aca="false">S465-$M$2</f>
        <v>-0.0935420514843983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0.06103515625</v>
      </c>
      <c r="C466" s="25" t="n">
        <f aca="false">IF(T465&gt;0,D465,C465)</f>
        <v>0.0625</v>
      </c>
      <c r="D466" s="39" t="n">
        <f aca="false">(B466+C466)/2</f>
        <v>0.061767578125</v>
      </c>
      <c r="E466" s="15" t="n">
        <f aca="false">$C$2*(1+IF(E$3&lt;=$O$2,$D466,$D466-($D466-$I$454)*MIN(E$3-$O$2,$Q$2)/$Q$2))</f>
        <v>1964.27001953125</v>
      </c>
      <c r="F466" s="15" t="n">
        <f aca="false">E466*(1+IF(F$3&lt;=$O$2,$D466,$D466-($D466-$I$454)*MIN(F$3-$O$2,$Q$2)/$Q$2))</f>
        <v>2085.59822142124</v>
      </c>
      <c r="G466" s="15" t="n">
        <f aca="false">F466*(1+IF(G$3&lt;=$O$2,$D466,$D466-($D466-$I$454)*MIN(G$3-$O$2,$Q$2)/$Q$2))</f>
        <v>2214.42057250024</v>
      </c>
      <c r="H466" s="15" t="n">
        <f aca="false">G466*(1+IF(H$3&lt;=$O$2,$D466,$D466-($D466-$I$454)*MIN(H$3-$O$2,$Q$2)/$Q$2))</f>
        <v>2351.19996821376</v>
      </c>
      <c r="I466" s="15" t="n">
        <f aca="false">H466*(1+IF(I$3&lt;=$O$2,$D466,$D466-($D466-$I$454)*MIN(I$3-$O$2,$Q$2)/$Q$2))</f>
        <v>2496.4278959379</v>
      </c>
      <c r="J466" s="15" t="n">
        <f aca="false">I466*(1+IF(J$3&lt;=$O$2,$D466,$D466-($D466-$I$454)*MIN(J$3-$O$2,$Q$2)/$Q$2))</f>
        <v>2627.27582370233</v>
      </c>
      <c r="K466" s="15" t="n">
        <f aca="false">J466*(1+IF(K$3&lt;=$O$2,$D466,$D466-($D466-$I$454)*MIN(K$3-$O$2,$Q$2)/$Q$2))</f>
        <v>2740.40775746242</v>
      </c>
      <c r="L466" s="15" t="n">
        <f aca="false">K466*(1+IF(L$3&lt;=$O$2,$D466,$D466-($D466-$I$454)*MIN(L$3-$O$2,$Q$2)/$Q$2))</f>
        <v>2832.77876738095</v>
      </c>
      <c r="M466" s="15" t="n">
        <f aca="false">L466*(1+IF(M$3&lt;=$O$2,$D466,$D466-($D466-$I$454)*MIN(M$3-$O$2,$Q$2)/$Q$2))</f>
        <v>2901.76688935453</v>
      </c>
      <c r="N466" s="15" t="n">
        <f aca="false">M466*(1+IF(N$3&lt;=$O$2,$D466,$D466-($D466-$I$454)*MIN(N$3-$O$2,$Q$2)/$Q$2))</f>
        <v>2945.29339269484</v>
      </c>
      <c r="O466" s="15" t="n">
        <f aca="false">SUMPRODUCT(E466:N466,1/(1+$F$454)^$E$3:$N$3)*$E$2</f>
        <v>6243.34424830262</v>
      </c>
      <c r="P466" s="15" t="n">
        <f aca="false">N466*$E$2*(1+$I$454)/($F$454-$I$454)/(1+$F$454)^$N$3</f>
        <v>10364.0494578607</v>
      </c>
      <c r="Q466" s="15" t="n">
        <f aca="false">O466+P466</f>
        <v>16607.3937061633</v>
      </c>
      <c r="R466" s="15" t="n">
        <f aca="false">Q466-$G$2+$I$2</f>
        <v>15054.6937061633</v>
      </c>
      <c r="S466" s="40" t="n">
        <f aca="false">R466/$K$2</f>
        <v>54.6668132690487</v>
      </c>
      <c r="T466" s="41" t="n">
        <f aca="false">S466-$M$2</f>
        <v>0.162292407724777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0.06103515625</v>
      </c>
      <c r="C467" s="25" t="n">
        <f aca="false">IF(T466&gt;0,D466,C466)</f>
        <v>0.061767578125</v>
      </c>
      <c r="D467" s="39" t="n">
        <f aca="false">(B467+C467)/2</f>
        <v>0.0614013671875</v>
      </c>
      <c r="E467" s="15" t="n">
        <f aca="false">$C$2*(1+IF(E$3&lt;=$O$2,$D467,$D467-($D467-$I$454)*MIN(E$3-$O$2,$Q$2)/$Q$2))</f>
        <v>1963.59252929688</v>
      </c>
      <c r="F467" s="15" t="n">
        <f aca="false">E467*(1+IF(F$3&lt;=$O$2,$D467,$D467-($D467-$I$454)*MIN(F$3-$O$2,$Q$2)/$Q$2))</f>
        <v>2084.15979519486</v>
      </c>
      <c r="G467" s="15" t="n">
        <f aca="false">F467*(1+IF(G$3&lt;=$O$2,$D467,$D467-($D467-$I$454)*MIN(G$3-$O$2,$Q$2)/$Q$2))</f>
        <v>2212.13005605705</v>
      </c>
      <c r="H467" s="15" t="n">
        <f aca="false">G467*(1+IF(H$3&lt;=$O$2,$D467,$D467-($D467-$I$454)*MIN(H$3-$O$2,$Q$2)/$Q$2))</f>
        <v>2347.95786589551</v>
      </c>
      <c r="I467" s="15" t="n">
        <f aca="false">H467*(1+IF(I$3&lt;=$O$2,$D467,$D467-($D467-$I$454)*MIN(I$3-$O$2,$Q$2)/$Q$2))</f>
        <v>2492.12568896014</v>
      </c>
      <c r="J467" s="15" t="n">
        <f aca="false">I467*(1+IF(J$3&lt;=$O$2,$D467,$D467-($D467-$I$454)*MIN(J$3-$O$2,$Q$2)/$Q$2))</f>
        <v>2622.01800563122</v>
      </c>
      <c r="K467" s="15" t="n">
        <f aca="false">J467*(1+IF(K$3&lt;=$O$2,$D467,$D467-($D467-$I$454)*MIN(K$3-$O$2,$Q$2)/$Q$2))</f>
        <v>2734.3474078666</v>
      </c>
      <c r="L467" s="15" t="n">
        <f aca="false">K467*(1+IF(L$3&lt;=$O$2,$D467,$D467-($D467-$I$454)*MIN(L$3-$O$2,$Q$2)/$Q$2))</f>
        <v>2826.11360222085</v>
      </c>
      <c r="M467" s="15" t="n">
        <f aca="false">L467*(1+IF(M$3&lt;=$O$2,$D467,$D467-($D467-$I$454)*MIN(M$3-$O$2,$Q$2)/$Q$2))</f>
        <v>2894.73241324821</v>
      </c>
      <c r="N467" s="15" t="n">
        <f aca="false">M467*(1+IF(N$3&lt;=$O$2,$D467,$D467-($D467-$I$454)*MIN(N$3-$O$2,$Q$2)/$Q$2))</f>
        <v>2938.15339944693</v>
      </c>
      <c r="O467" s="15" t="n">
        <f aca="false">SUMPRODUCT(E467:N467,1/(1+$F$454)^$E$3:$N$3)*$E$2</f>
        <v>6233.20685441451</v>
      </c>
      <c r="P467" s="15" t="n">
        <f aca="false">N467*$E$2*(1+$I$454)/($F$454-$I$454)/(1+$F$454)^$N$3</f>
        <v>10338.9248834011</v>
      </c>
      <c r="Q467" s="15" t="n">
        <f aca="false">O467+P467</f>
        <v>16572.1317378156</v>
      </c>
      <c r="R467" s="15" t="n">
        <f aca="false">Q467-$G$2+$I$2</f>
        <v>15019.4317378156</v>
      </c>
      <c r="S467" s="40" t="n">
        <f aca="false">R467/$K$2</f>
        <v>54.5387695189208</v>
      </c>
      <c r="T467" s="41" t="n">
        <f aca="false">S467-$M$2</f>
        <v>0.0342486575968692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0.06103515625</v>
      </c>
      <c r="C468" s="25" t="n">
        <f aca="false">IF(T467&gt;0,D467,C467)</f>
        <v>0.0614013671875</v>
      </c>
      <c r="D468" s="39" t="n">
        <f aca="false">(B468+C468)/2</f>
        <v>0.06121826171875</v>
      </c>
      <c r="E468" s="15" t="n">
        <f aca="false">$C$2*(1+IF(E$3&lt;=$O$2,$D468,$D468-($D468-$I$454)*MIN(E$3-$O$2,$Q$2)/$Q$2))</f>
        <v>1963.25378417969</v>
      </c>
      <c r="F468" s="15" t="n">
        <f aca="false">E468*(1+IF(F$3&lt;=$O$2,$D468,$D468-($D468-$I$454)*MIN(F$3-$O$2,$Q$2)/$Q$2))</f>
        <v>2083.44076815993</v>
      </c>
      <c r="G468" s="15" t="n">
        <f aca="false">F468*(1+IF(G$3&lt;=$O$2,$D468,$D468-($D468-$I$454)*MIN(G$3-$O$2,$Q$2)/$Q$2))</f>
        <v>2210.98539038065</v>
      </c>
      <c r="H468" s="15" t="n">
        <f aca="false">G468*(1+IF(H$3&lt;=$O$2,$D468,$D468-($D468-$I$454)*MIN(H$3-$O$2,$Q$2)/$Q$2))</f>
        <v>2346.33807266531</v>
      </c>
      <c r="I468" s="15" t="n">
        <f aca="false">H468*(1+IF(I$3&lt;=$O$2,$D468,$D468-($D468-$I$454)*MIN(I$3-$O$2,$Q$2)/$Q$2))</f>
        <v>2489.9768108784</v>
      </c>
      <c r="J468" s="15" t="n">
        <f aca="false">I468*(1+IF(J$3&lt;=$O$2,$D468,$D468-($D468-$I$454)*MIN(J$3-$O$2,$Q$2)/$Q$2))</f>
        <v>2619.39238297662</v>
      </c>
      <c r="K468" s="15" t="n">
        <f aca="false">J468*(1+IF(K$3&lt;=$O$2,$D468,$D468-($D468-$I$454)*MIN(K$3-$O$2,$Q$2)/$Q$2))</f>
        <v>2731.32152634157</v>
      </c>
      <c r="L468" s="15" t="n">
        <f aca="false">K468*(1+IF(L$3&lt;=$O$2,$D468,$D468-($D468-$I$454)*MIN(L$3-$O$2,$Q$2)/$Q$2))</f>
        <v>2822.7861224937</v>
      </c>
      <c r="M468" s="15" t="n">
        <f aca="false">L468*(1+IF(M$3&lt;=$O$2,$D468,$D468-($D468-$I$454)*MIN(M$3-$O$2,$Q$2)/$Q$2))</f>
        <v>2891.2207678882</v>
      </c>
      <c r="N468" s="15" t="n">
        <f aca="false">M468*(1+IF(N$3&lt;=$O$2,$D468,$D468-($D468-$I$454)*MIN(N$3-$O$2,$Q$2)/$Q$2))</f>
        <v>2934.58907940652</v>
      </c>
      <c r="O468" s="15" t="n">
        <f aca="false">SUMPRODUCT(E468:N468,1/(1+$F$454)^$E$3:$N$3)*$E$2</f>
        <v>6228.14432188822</v>
      </c>
      <c r="P468" s="15" t="n">
        <f aca="false">N468*$E$2*(1+$I$454)/($F$454-$I$454)/(1+$F$454)^$N$3</f>
        <v>10326.3825712246</v>
      </c>
      <c r="Q468" s="15" t="n">
        <f aca="false">O468+P468</f>
        <v>16554.5268931129</v>
      </c>
      <c r="R468" s="15" t="n">
        <f aca="false">Q468-$G$2+$I$2</f>
        <v>15001.8268931129</v>
      </c>
      <c r="S468" s="40" t="n">
        <f aca="false">R468/$K$2</f>
        <v>54.4748425618681</v>
      </c>
      <c r="T468" s="41" t="n">
        <f aca="false">S468-$M$2</f>
        <v>-0.0296782994558242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0.06121826171875</v>
      </c>
      <c r="C469" s="25" t="n">
        <f aca="false">IF(T468&gt;0,D468,C468)</f>
        <v>0.0614013671875</v>
      </c>
      <c r="D469" s="39" t="n">
        <f aca="false">(B469+C469)/2</f>
        <v>0.061309814453125</v>
      </c>
      <c r="E469" s="15" t="n">
        <f aca="false">$C$2*(1+IF(E$3&lt;=$O$2,$D469,$D469-($D469-$I$454)*MIN(E$3-$O$2,$Q$2)/$Q$2))</f>
        <v>1963.42315673828</v>
      </c>
      <c r="F469" s="15" t="n">
        <f aca="false">E469*(1+IF(F$3&lt;=$O$2,$D469,$D469-($D469-$I$454)*MIN(F$3-$O$2,$Q$2)/$Q$2))</f>
        <v>2083.80026617087</v>
      </c>
      <c r="G469" s="15" t="n">
        <f aca="false">F469*(1+IF(G$3&lt;=$O$2,$D469,$D469-($D469-$I$454)*MIN(G$3-$O$2,$Q$2)/$Q$2))</f>
        <v>2211.55767384718</v>
      </c>
      <c r="H469" s="15" t="n">
        <f aca="false">G469*(1+IF(H$3&lt;=$O$2,$D469,$D469-($D469-$I$454)*MIN(H$3-$O$2,$Q$2)/$Q$2))</f>
        <v>2347.14786448314</v>
      </c>
      <c r="I469" s="15" t="n">
        <f aca="false">H469*(1+IF(I$3&lt;=$O$2,$D469,$D469-($D469-$I$454)*MIN(I$3-$O$2,$Q$2)/$Q$2))</f>
        <v>2491.05106454865</v>
      </c>
      <c r="J469" s="15" t="n">
        <f aca="false">I469*(1+IF(J$3&lt;=$O$2,$D469,$D469-($D469-$I$454)*MIN(J$3-$O$2,$Q$2)/$Q$2))</f>
        <v>2620.70492059088</v>
      </c>
      <c r="K469" s="15" t="n">
        <f aca="false">J469*(1+IF(K$3&lt;=$O$2,$D469,$D469-($D469-$I$454)*MIN(K$3-$O$2,$Q$2)/$Q$2))</f>
        <v>2732.83410956512</v>
      </c>
      <c r="L469" s="15" t="n">
        <f aca="false">K469*(1+IF(L$3&lt;=$O$2,$D469,$D469-($D469-$I$454)*MIN(L$3-$O$2,$Q$2)/$Q$2))</f>
        <v>2824.44943742665</v>
      </c>
      <c r="M469" s="15" t="n">
        <f aca="false">L469*(1+IF(M$3&lt;=$O$2,$D469,$D469-($D469-$I$454)*MIN(M$3-$O$2,$Q$2)/$Q$2))</f>
        <v>2892.97612486394</v>
      </c>
      <c r="N469" s="15" t="n">
        <f aca="false">M469*(1+IF(N$3&lt;=$O$2,$D469,$D469-($D469-$I$454)*MIN(N$3-$O$2,$Q$2)/$Q$2))</f>
        <v>2936.3707667369</v>
      </c>
      <c r="O469" s="15" t="n">
        <f aca="false">SUMPRODUCT(E469:N469,1/(1+$F$454)^$E$3:$N$3)*$E$2</f>
        <v>6230.67507477231</v>
      </c>
      <c r="P469" s="15" t="n">
        <f aca="false">N469*$E$2*(1+$I$454)/($F$454-$I$454)/(1+$F$454)^$N$3</f>
        <v>10332.6520639877</v>
      </c>
      <c r="Q469" s="15" t="n">
        <f aca="false">O469+P469</f>
        <v>16563.32713876</v>
      </c>
      <c r="R469" s="15" t="n">
        <f aca="false">Q469-$G$2+$I$2</f>
        <v>15010.62713876</v>
      </c>
      <c r="S469" s="40" t="n">
        <f aca="false">R469/$K$2</f>
        <v>54.5067981363157</v>
      </c>
      <c r="T469" s="41" t="n">
        <f aca="false">S469-$M$2</f>
        <v>0.00227727499176211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0.06121826171875</v>
      </c>
      <c r="C470" s="25" t="n">
        <f aca="false">IF(T469&gt;0,D469,C469)</f>
        <v>0.061309814453125</v>
      </c>
      <c r="D470" s="39" t="n">
        <f aca="false">(B470+C470)/2</f>
        <v>0.0612640380859375</v>
      </c>
      <c r="E470" s="15" t="n">
        <f aca="false">$C$2*(1+IF(E$3&lt;=$O$2,$D470,$D470-($D470-$I$454)*MIN(E$3-$O$2,$Q$2)/$Q$2))</f>
        <v>1963.33847045898</v>
      </c>
      <c r="F470" s="15" t="n">
        <f aca="false">E470*(1+IF(F$3&lt;=$O$2,$D470,$D470-($D470-$I$454)*MIN(F$3-$O$2,$Q$2)/$Q$2))</f>
        <v>2083.62051328877</v>
      </c>
      <c r="G470" s="15" t="n">
        <f aca="false">F470*(1+IF(G$3&lt;=$O$2,$D470,$D470-($D470-$I$454)*MIN(G$3-$O$2,$Q$2)/$Q$2))</f>
        <v>2211.27151977153</v>
      </c>
      <c r="H470" s="15" t="n">
        <f aca="false">G470*(1+IF(H$3&lt;=$O$2,$D470,$D470-($D470-$I$454)*MIN(H$3-$O$2,$Q$2)/$Q$2))</f>
        <v>2346.74294237717</v>
      </c>
      <c r="I470" s="15" t="n">
        <f aca="false">H470*(1+IF(I$3&lt;=$O$2,$D470,$D470-($D470-$I$454)*MIN(I$3-$O$2,$Q$2)/$Q$2))</f>
        <v>2490.51389137687</v>
      </c>
      <c r="J470" s="15" t="n">
        <f aca="false">I470*(1+IF(J$3&lt;=$O$2,$D470,$D470-($D470-$I$454)*MIN(J$3-$O$2,$Q$2)/$Q$2))</f>
        <v>2620.04858336689</v>
      </c>
      <c r="K470" s="15" t="n">
        <f aca="false">J470*(1+IF(K$3&lt;=$O$2,$D470,$D470-($D470-$I$454)*MIN(K$3-$O$2,$Q$2)/$Q$2))</f>
        <v>2732.07772858613</v>
      </c>
      <c r="L470" s="15" t="n">
        <f aca="false">K470*(1+IF(L$3&lt;=$O$2,$D470,$D470-($D470-$I$454)*MIN(L$3-$O$2,$Q$2)/$Q$2))</f>
        <v>2823.61767375054</v>
      </c>
      <c r="M470" s="15" t="n">
        <f aca="false">L470*(1+IF(M$3&lt;=$O$2,$D470,$D470-($D470-$I$454)*MIN(M$3-$O$2,$Q$2)/$Q$2))</f>
        <v>2892.0983299765</v>
      </c>
      <c r="N470" s="15" t="n">
        <f aca="false">M470*(1+IF(N$3&lt;=$O$2,$D470,$D470-($D470-$I$454)*MIN(N$3-$O$2,$Q$2)/$Q$2))</f>
        <v>2935.47980492615</v>
      </c>
      <c r="O470" s="15" t="n">
        <f aca="false">SUMPRODUCT(E470:N470,1/(1+$F$454)^$E$3:$N$3)*$E$2</f>
        <v>6229.40957000967</v>
      </c>
      <c r="P470" s="15" t="n">
        <f aca="false">N470*$E$2*(1+$I$454)/($F$454-$I$454)/(1+$F$454)^$N$3</f>
        <v>10329.5169018695</v>
      </c>
      <c r="Q470" s="15" t="n">
        <f aca="false">O470+P470</f>
        <v>16558.9264718792</v>
      </c>
      <c r="R470" s="15" t="n">
        <f aca="false">Q470-$G$2+$I$2</f>
        <v>15006.2264718792</v>
      </c>
      <c r="S470" s="40" t="n">
        <f aca="false">R470/$K$2</f>
        <v>54.4908183735037</v>
      </c>
      <c r="T470" s="41" t="n">
        <f aca="false">S470-$M$2</f>
        <v>-0.0137024878202894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0.0612640380859375</v>
      </c>
      <c r="C471" s="25" t="n">
        <f aca="false">IF(T470&gt;0,D470,C470)</f>
        <v>0.061309814453125</v>
      </c>
      <c r="D471" s="39" t="n">
        <f aca="false">(B471+C471)/2</f>
        <v>0.0612869262695313</v>
      </c>
      <c r="E471" s="15" t="n">
        <f aca="false">$C$2*(1+IF(E$3&lt;=$O$2,$D471,$D471-($D471-$I$454)*MIN(E$3-$O$2,$Q$2)/$Q$2))</f>
        <v>1963.38081359863</v>
      </c>
      <c r="F471" s="15" t="n">
        <f aca="false">E471*(1+IF(F$3&lt;=$O$2,$D471,$D471-($D471-$I$454)*MIN(F$3-$O$2,$Q$2)/$Q$2))</f>
        <v>2083.71038876066</v>
      </c>
      <c r="G471" s="15" t="n">
        <f aca="false">F471*(1+IF(G$3&lt;=$O$2,$D471,$D471-($D471-$I$454)*MIN(G$3-$O$2,$Q$2)/$Q$2))</f>
        <v>2211.4145937237</v>
      </c>
      <c r="H471" s="15" t="n">
        <f aca="false">G471*(1+IF(H$3&lt;=$O$2,$D471,$D471-($D471-$I$454)*MIN(H$3-$O$2,$Q$2)/$Q$2))</f>
        <v>2346.94539688061</v>
      </c>
      <c r="I471" s="15" t="n">
        <f aca="false">H471*(1+IF(I$3&lt;=$O$2,$D471,$D471-($D471-$I$454)*MIN(I$3-$O$2,$Q$2)/$Q$2))</f>
        <v>2490.78246637784</v>
      </c>
      <c r="J471" s="15" t="n">
        <f aca="false">I471*(1+IF(J$3&lt;=$O$2,$D471,$D471-($D471-$I$454)*MIN(J$3-$O$2,$Q$2)/$Q$2))</f>
        <v>2620.37673487325</v>
      </c>
      <c r="K471" s="15" t="n">
        <f aca="false">J471*(1+IF(K$3&lt;=$O$2,$D471,$D471-($D471-$I$454)*MIN(K$3-$O$2,$Q$2)/$Q$2))</f>
        <v>2732.45589673163</v>
      </c>
      <c r="L471" s="15" t="n">
        <f aca="false">K471*(1+IF(L$3&lt;=$O$2,$D471,$D471-($D471-$I$454)*MIN(L$3-$O$2,$Q$2)/$Q$2))</f>
        <v>2824.03352903331</v>
      </c>
      <c r="M471" s="15" t="n">
        <f aca="false">L471*(1+IF(M$3&lt;=$O$2,$D471,$D471-($D471-$I$454)*MIN(M$3-$O$2,$Q$2)/$Q$2))</f>
        <v>2892.53719831702</v>
      </c>
      <c r="N471" s="15" t="n">
        <f aca="false">M471*(1+IF(N$3&lt;=$O$2,$D471,$D471-($D471-$I$454)*MIN(N$3-$O$2,$Q$2)/$Q$2))</f>
        <v>2935.92525629178</v>
      </c>
      <c r="O471" s="15" t="n">
        <f aca="false">SUMPRODUCT(E471:N471,1/(1+$F$454)^$E$3:$N$3)*$E$2</f>
        <v>6230.04229030783</v>
      </c>
      <c r="P471" s="15" t="n">
        <f aca="false">N471*$E$2*(1+$I$454)/($F$454-$I$454)/(1+$F$454)^$N$3</f>
        <v>10331.0843789826</v>
      </c>
      <c r="Q471" s="15" t="n">
        <f aca="false">O471+P471</f>
        <v>16561.1266692904</v>
      </c>
      <c r="R471" s="15" t="n">
        <f aca="false">Q471-$G$2+$I$2</f>
        <v>15008.4266692904</v>
      </c>
      <c r="S471" s="40" t="n">
        <f aca="false">R471/$K$2</f>
        <v>54.4988077609587</v>
      </c>
      <c r="T471" s="41" t="n">
        <f aca="false">S471-$M$2</f>
        <v>-0.00571310036523443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0.0612869262695313</v>
      </c>
      <c r="C472" s="25" t="n">
        <f aca="false">IF(T471&gt;0,D471,C471)</f>
        <v>0.061309814453125</v>
      </c>
      <c r="D472" s="39" t="n">
        <f aca="false">(B472+C472)/2</f>
        <v>0.0612983703613281</v>
      </c>
      <c r="E472" s="15" t="n">
        <f aca="false">$C$2*(1+IF(E$3&lt;=$O$2,$D472,$D472-($D472-$I$454)*MIN(E$3-$O$2,$Q$2)/$Q$2))</f>
        <v>1963.40198516846</v>
      </c>
      <c r="F472" s="15" t="n">
        <f aca="false">E472*(1+IF(F$3&lt;=$O$2,$D472,$D472-($D472-$I$454)*MIN(F$3-$O$2,$Q$2)/$Q$2))</f>
        <v>2083.75532722348</v>
      </c>
      <c r="G472" s="15" t="n">
        <f aca="false">F472*(1+IF(G$3&lt;=$O$2,$D472,$D472-($D472-$I$454)*MIN(G$3-$O$2,$Q$2)/$Q$2))</f>
        <v>2211.48613301402</v>
      </c>
      <c r="H472" s="15" t="n">
        <f aca="false">G472*(1+IF(H$3&lt;=$O$2,$D472,$D472-($D472-$I$454)*MIN(H$3-$O$2,$Q$2)/$Q$2))</f>
        <v>2347.04662904445</v>
      </c>
      <c r="I472" s="15" t="n">
        <f aca="false">H472*(1+IF(I$3&lt;=$O$2,$D472,$D472-($D472-$I$454)*MIN(I$3-$O$2,$Q$2)/$Q$2))</f>
        <v>2490.91676256692</v>
      </c>
      <c r="J472" s="15" t="n">
        <f aca="false">I472*(1+IF(J$3&lt;=$O$2,$D472,$D472-($D472-$I$454)*MIN(J$3-$O$2,$Q$2)/$Q$2))</f>
        <v>2620.54082345548</v>
      </c>
      <c r="K472" s="15" t="n">
        <f aca="false">J472*(1+IF(K$3&lt;=$O$2,$D472,$D472-($D472-$I$454)*MIN(K$3-$O$2,$Q$2)/$Q$2))</f>
        <v>2732.6449975621</v>
      </c>
      <c r="L472" s="15" t="n">
        <f aca="false">K472*(1+IF(L$3&lt;=$O$2,$D472,$D472-($D472-$I$454)*MIN(L$3-$O$2,$Q$2)/$Q$2))</f>
        <v>2824.2414765908</v>
      </c>
      <c r="M472" s="15" t="n">
        <f aca="false">L472*(1+IF(M$3&lt;=$O$2,$D472,$D472-($D472-$I$454)*MIN(M$3-$O$2,$Q$2)/$Q$2))</f>
        <v>2892.75665431427</v>
      </c>
      <c r="N472" s="15" t="n">
        <f aca="false">M472*(1+IF(N$3&lt;=$O$2,$D472,$D472-($D472-$I$454)*MIN(N$3-$O$2,$Q$2)/$Q$2))</f>
        <v>2936.14800412898</v>
      </c>
      <c r="O472" s="15" t="n">
        <f aca="false">SUMPRODUCT(E472:N472,1/(1+$F$454)^$E$3:$N$3)*$E$2</f>
        <v>6230.3586745189</v>
      </c>
      <c r="P472" s="15" t="n">
        <f aca="false">N472*$E$2*(1+$I$454)/($F$454-$I$454)/(1+$F$454)^$N$3</f>
        <v>10331.8681954971</v>
      </c>
      <c r="Q472" s="15" t="n">
        <f aca="false">O472+P472</f>
        <v>16562.226870016</v>
      </c>
      <c r="R472" s="15" t="n">
        <f aca="false">Q472-$G$2+$I$2</f>
        <v>15009.526870016</v>
      </c>
      <c r="S472" s="40" t="n">
        <f aca="false">R472/$K$2</f>
        <v>54.5028028251427</v>
      </c>
      <c r="T472" s="41" t="n">
        <f aca="false">S472-$M$2</f>
        <v>-0.00171803618125921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0.0612983703613281</v>
      </c>
      <c r="C473" s="25" t="n">
        <f aca="false">IF(T472&gt;0,D472,C472)</f>
        <v>0.061309814453125</v>
      </c>
      <c r="D473" s="39" t="n">
        <f aca="false">(B473+C473)/2</f>
        <v>0.0613040924072266</v>
      </c>
      <c r="E473" s="15" t="n">
        <f aca="false">$C$2*(1+IF(E$3&lt;=$O$2,$D473,$D473-($D473-$I$454)*MIN(E$3-$O$2,$Q$2)/$Q$2))</f>
        <v>1963.41257095337</v>
      </c>
      <c r="F473" s="15" t="n">
        <f aca="false">E473*(1+IF(F$3&lt;=$O$2,$D473,$D473-($D473-$I$454)*MIN(F$3-$O$2,$Q$2)/$Q$2))</f>
        <v>2083.7777966366</v>
      </c>
      <c r="G473" s="15" t="n">
        <f aca="false">F473*(1+IF(G$3&lt;=$O$2,$D473,$D473-($D473-$I$454)*MIN(G$3-$O$2,$Q$2)/$Q$2))</f>
        <v>2211.52190323774</v>
      </c>
      <c r="H473" s="15" t="n">
        <f aca="false">G473*(1+IF(H$3&lt;=$O$2,$D473,$D473-($D473-$I$454)*MIN(H$3-$O$2,$Q$2)/$Q$2))</f>
        <v>2347.09724635443</v>
      </c>
      <c r="I473" s="15" t="n">
        <f aca="false">H473*(1+IF(I$3&lt;=$O$2,$D473,$D473-($D473-$I$454)*MIN(I$3-$O$2,$Q$2)/$Q$2))</f>
        <v>2490.98391283369</v>
      </c>
      <c r="J473" s="15" t="n">
        <f aca="false">I473*(1+IF(J$3&lt;=$O$2,$D473,$D473-($D473-$I$454)*MIN(J$3-$O$2,$Q$2)/$Q$2))</f>
        <v>2620.62287095401</v>
      </c>
      <c r="K473" s="15" t="n">
        <f aca="false">J473*(1+IF(K$3&lt;=$O$2,$D473,$D473-($D473-$I$454)*MIN(K$3-$O$2,$Q$2)/$Q$2))</f>
        <v>2732.73955216701</v>
      </c>
      <c r="L473" s="15" t="n">
        <f aca="false">K473*(1+IF(L$3&lt;=$O$2,$D473,$D473-($D473-$I$454)*MIN(L$3-$O$2,$Q$2)/$Q$2))</f>
        <v>2824.34545534888</v>
      </c>
      <c r="M473" s="15" t="n">
        <f aca="false">L473*(1+IF(M$3&lt;=$O$2,$D473,$D473-($D473-$I$454)*MIN(M$3-$O$2,$Q$2)/$Q$2))</f>
        <v>2892.86638777</v>
      </c>
      <c r="N473" s="15" t="n">
        <f aca="false">M473*(1+IF(N$3&lt;=$O$2,$D473,$D473-($D473-$I$454)*MIN(N$3-$O$2,$Q$2)/$Q$2))</f>
        <v>2936.25938358655</v>
      </c>
      <c r="O473" s="15" t="n">
        <f aca="false">SUMPRODUCT(E473:N473,1/(1+$F$454)^$E$3:$N$3)*$E$2</f>
        <v>6230.51687264027</v>
      </c>
      <c r="P473" s="15" t="n">
        <f aca="false">N473*$E$2*(1+$I$454)/($F$454-$I$454)/(1+$F$454)^$N$3</f>
        <v>10332.2601232452</v>
      </c>
      <c r="Q473" s="15" t="n">
        <f aca="false">O473+P473</f>
        <v>16562.7769958855</v>
      </c>
      <c r="R473" s="15" t="n">
        <f aca="false">Q473-$G$2+$I$2</f>
        <v>15010.0769958855</v>
      </c>
      <c r="S473" s="40" t="n">
        <f aca="false">R473/$K$2</f>
        <v>54.5048004498547</v>
      </c>
      <c r="T473" s="41" t="n">
        <f aca="false">S473-$M$2</f>
        <v>0.000279588530794683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0.0612983703613281</v>
      </c>
      <c r="C474" s="25" t="n">
        <f aca="false">IF(T473&gt;0,D473,C473)</f>
        <v>0.0613040924072266</v>
      </c>
      <c r="D474" s="39" t="n">
        <f aca="false">(B474+C474)/2</f>
        <v>0.0613012313842773</v>
      </c>
      <c r="E474" s="15" t="n">
        <f aca="false">$C$2*(1+IF(E$3&lt;=$O$2,$D474,$D474-($D474-$I$454)*MIN(E$3-$O$2,$Q$2)/$Q$2))</f>
        <v>1963.40727806091</v>
      </c>
      <c r="F474" s="15" t="n">
        <f aca="false">E474*(1+IF(F$3&lt;=$O$2,$D474,$D474-($D474-$I$454)*MIN(F$3-$O$2,$Q$2)/$Q$2))</f>
        <v>2083.7665619149</v>
      </c>
      <c r="G474" s="15" t="n">
        <f aca="false">F474*(1+IF(G$3&lt;=$O$2,$D474,$D474-($D474-$I$454)*MIN(G$3-$O$2,$Q$2)/$Q$2))</f>
        <v>2211.50401807766</v>
      </c>
      <c r="H474" s="15" t="n">
        <f aca="false">G474*(1+IF(H$3&lt;=$O$2,$D474,$D474-($D474-$I$454)*MIN(H$3-$O$2,$Q$2)/$Q$2))</f>
        <v>2347.0719375971</v>
      </c>
      <c r="I474" s="15" t="n">
        <f aca="false">H474*(1+IF(I$3&lt;=$O$2,$D474,$D474-($D474-$I$454)*MIN(I$3-$O$2,$Q$2)/$Q$2))</f>
        <v>2490.95033751929</v>
      </c>
      <c r="J474" s="15" t="n">
        <f aca="false">I474*(1+IF(J$3&lt;=$O$2,$D474,$D474-($D474-$I$454)*MIN(J$3-$O$2,$Q$2)/$Q$2))</f>
        <v>2620.58184693746</v>
      </c>
      <c r="K474" s="15" t="n">
        <f aca="false">J474*(1+IF(K$3&lt;=$O$2,$D474,$D474-($D474-$I$454)*MIN(K$3-$O$2,$Q$2)/$Q$2))</f>
        <v>2732.69227451541</v>
      </c>
      <c r="L474" s="15" t="n">
        <f aca="false">K474*(1+IF(L$3&lt;=$O$2,$D474,$D474-($D474-$I$454)*MIN(L$3-$O$2,$Q$2)/$Q$2))</f>
        <v>2824.29346555489</v>
      </c>
      <c r="M474" s="15" t="n">
        <f aca="false">L474*(1+IF(M$3&lt;=$O$2,$D474,$D474-($D474-$I$454)*MIN(M$3-$O$2,$Q$2)/$Q$2))</f>
        <v>2892.81152058736</v>
      </c>
      <c r="N474" s="15" t="n">
        <f aca="false">M474*(1+IF(N$3&lt;=$O$2,$D474,$D474-($D474-$I$454)*MIN(N$3-$O$2,$Q$2)/$Q$2))</f>
        <v>2936.20369339617</v>
      </c>
      <c r="O474" s="15" t="n">
        <f aca="false">SUMPRODUCT(E474:N474,1/(1+$F$454)^$E$3:$N$3)*$E$2</f>
        <v>6230.43777307825</v>
      </c>
      <c r="P474" s="15" t="n">
        <f aca="false">N474*$E$2*(1+$I$454)/($F$454-$I$454)/(1+$F$454)^$N$3</f>
        <v>10332.0641577469</v>
      </c>
      <c r="Q474" s="15" t="n">
        <f aca="false">O474+P474</f>
        <v>16562.5019308252</v>
      </c>
      <c r="R474" s="15" t="n">
        <f aca="false">Q474-$G$2+$I$2</f>
        <v>15009.8019308252</v>
      </c>
      <c r="S474" s="40" t="n">
        <f aca="false">R474/$K$2</f>
        <v>54.5038016297802</v>
      </c>
      <c r="T474" s="41" t="n">
        <f aca="false">S474-$M$2</f>
        <v>-0.000719231543726551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0.0613012313842773</v>
      </c>
      <c r="C475" s="25" t="n">
        <f aca="false">IF(T474&gt;0,D474,C474)</f>
        <v>0.0613040924072266</v>
      </c>
      <c r="D475" s="39" t="n">
        <f aca="false">(B475+C475)/2</f>
        <v>0.061302661895752</v>
      </c>
      <c r="E475" s="15" t="n">
        <f aca="false">$C$2*(1+IF(E$3&lt;=$O$2,$D475,$D475-($D475-$I$454)*MIN(E$3-$O$2,$Q$2)/$Q$2))</f>
        <v>1963.40992450714</v>
      </c>
      <c r="F475" s="15" t="n">
        <f aca="false">E475*(1+IF(F$3&lt;=$O$2,$D475,$D475-($D475-$I$454)*MIN(F$3-$O$2,$Q$2)/$Q$2))</f>
        <v>2083.77217927197</v>
      </c>
      <c r="G475" s="15" t="n">
        <f aca="false">F475*(1+IF(G$3&lt;=$O$2,$D475,$D475-($D475-$I$454)*MIN(G$3-$O$2,$Q$2)/$Q$2))</f>
        <v>2211.51296064565</v>
      </c>
      <c r="H475" s="15" t="n">
        <f aca="false">G475*(1+IF(H$3&lt;=$O$2,$D475,$D475-($D475-$I$454)*MIN(H$3-$O$2,$Q$2)/$Q$2))</f>
        <v>2347.08459195018</v>
      </c>
      <c r="I475" s="15" t="n">
        <f aca="false">H475*(1+IF(I$3&lt;=$O$2,$D475,$D475-($D475-$I$454)*MIN(I$3-$O$2,$Q$2)/$Q$2))</f>
        <v>2490.96712513123</v>
      </c>
      <c r="J475" s="15" t="n">
        <f aca="false">I475*(1+IF(J$3&lt;=$O$2,$D475,$D475-($D475-$I$454)*MIN(J$3-$O$2,$Q$2)/$Q$2))</f>
        <v>2620.60235887891</v>
      </c>
      <c r="K475" s="15" t="n">
        <f aca="false">J475*(1+IF(K$3&lt;=$O$2,$D475,$D475-($D475-$I$454)*MIN(K$3-$O$2,$Q$2)/$Q$2))</f>
        <v>2732.71591325392</v>
      </c>
      <c r="L475" s="15" t="n">
        <f aca="false">K475*(1+IF(L$3&lt;=$O$2,$D475,$D475-($D475-$I$454)*MIN(L$3-$O$2,$Q$2)/$Q$2))</f>
        <v>2824.31946034815</v>
      </c>
      <c r="M475" s="15" t="n">
        <f aca="false">L475*(1+IF(M$3&lt;=$O$2,$D475,$D475-($D475-$I$454)*MIN(M$3-$O$2,$Q$2)/$Q$2))</f>
        <v>2892.83895406499</v>
      </c>
      <c r="N475" s="15" t="n">
        <f aca="false">M475*(1+IF(N$3&lt;=$O$2,$D475,$D475-($D475-$I$454)*MIN(N$3-$O$2,$Q$2)/$Q$2))</f>
        <v>2936.23153837596</v>
      </c>
      <c r="O475" s="15" t="n">
        <f aca="false">SUMPRODUCT(E475:N475,1/(1+$F$454)^$E$3:$N$3)*$E$2</f>
        <v>6230.47732273393</v>
      </c>
      <c r="P475" s="15" t="n">
        <f aca="false">N475*$E$2*(1+$I$454)/($F$454-$I$454)/(1+$F$454)^$N$3</f>
        <v>10332.16214009</v>
      </c>
      <c r="Q475" s="15" t="n">
        <f aca="false">O475+P475</f>
        <v>16562.6394628239</v>
      </c>
      <c r="R475" s="15" t="n">
        <f aca="false">Q475-$G$2+$I$2</f>
        <v>15009.9394628239</v>
      </c>
      <c r="S475" s="40" t="n">
        <f aca="false">R475/$K$2</f>
        <v>54.5043010378878</v>
      </c>
      <c r="T475" s="41" t="n">
        <f aca="false">S475-$M$2</f>
        <v>-0.000219823436097499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0.061302661895752</v>
      </c>
      <c r="C476" s="25" t="n">
        <f aca="false">IF(T475&gt;0,D475,C475)</f>
        <v>0.0613040924072266</v>
      </c>
      <c r="D476" s="39" t="n">
        <f aca="false">(B476+C476)/2</f>
        <v>0.0613033771514893</v>
      </c>
      <c r="E476" s="15" t="n">
        <f aca="false">$C$2*(1+IF(E$3&lt;=$O$2,$D476,$D476-($D476-$I$454)*MIN(E$3-$O$2,$Q$2)/$Q$2))</f>
        <v>1963.41124773026</v>
      </c>
      <c r="F476" s="15" t="n">
        <f aca="false">E476*(1+IF(F$3&lt;=$O$2,$D476,$D476-($D476-$I$454)*MIN(F$3-$O$2,$Q$2)/$Q$2))</f>
        <v>2083.77498795334</v>
      </c>
      <c r="G476" s="15" t="n">
        <f aca="false">F476*(1+IF(G$3&lt;=$O$2,$D476,$D476-($D476-$I$454)*MIN(G$3-$O$2,$Q$2)/$Q$2))</f>
        <v>2211.51743193868</v>
      </c>
      <c r="H476" s="15" t="n">
        <f aca="false">G476*(1+IF(H$3&lt;=$O$2,$D476,$D476-($D476-$I$454)*MIN(H$3-$O$2,$Q$2)/$Q$2))</f>
        <v>2347.09091914591</v>
      </c>
      <c r="I476" s="15" t="n">
        <f aca="false">H476*(1+IF(I$3&lt;=$O$2,$D476,$D476-($D476-$I$454)*MIN(I$3-$O$2,$Q$2)/$Q$2))</f>
        <v>2490.97551897115</v>
      </c>
      <c r="J476" s="15" t="n">
        <f aca="false">I476*(1+IF(J$3&lt;=$O$2,$D476,$D476-($D476-$I$454)*MIN(J$3-$O$2,$Q$2)/$Q$2))</f>
        <v>2620.61261489976</v>
      </c>
      <c r="K476" s="15" t="n">
        <f aca="false">J476*(1+IF(K$3&lt;=$O$2,$D476,$D476-($D476-$I$454)*MIN(K$3-$O$2,$Q$2)/$Q$2))</f>
        <v>2732.72773268864</v>
      </c>
      <c r="L476" s="15" t="n">
        <f aca="false">K476*(1+IF(L$3&lt;=$O$2,$D476,$D476-($D476-$I$454)*MIN(L$3-$O$2,$Q$2)/$Q$2))</f>
        <v>2824.33245782258</v>
      </c>
      <c r="M476" s="15" t="n">
        <f aca="false">L476*(1+IF(M$3&lt;=$O$2,$D476,$D476-($D476-$I$454)*MIN(M$3-$O$2,$Q$2)/$Q$2))</f>
        <v>2892.85267088907</v>
      </c>
      <c r="N476" s="15" t="n">
        <f aca="false">M476*(1+IF(N$3&lt;=$O$2,$D476,$D476-($D476-$I$454)*MIN(N$3-$O$2,$Q$2)/$Q$2))</f>
        <v>2936.2454609524</v>
      </c>
      <c r="O476" s="15" t="n">
        <f aca="false">SUMPRODUCT(E476:N476,1/(1+$F$454)^$E$3:$N$3)*$E$2</f>
        <v>6230.49709765576</v>
      </c>
      <c r="P476" s="15" t="n">
        <f aca="false">N476*$E$2*(1+$I$454)/($F$454-$I$454)/(1+$F$454)^$N$3</f>
        <v>10332.2111315661</v>
      </c>
      <c r="Q476" s="15" t="n">
        <f aca="false">O476+P476</f>
        <v>16562.7082292219</v>
      </c>
      <c r="R476" s="15" t="n">
        <f aca="false">Q476-$G$2+$I$2</f>
        <v>15010.0082292219</v>
      </c>
      <c r="S476" s="40" t="n">
        <f aca="false">R476/$K$2</f>
        <v>54.5045507433889</v>
      </c>
      <c r="T476" s="41" t="n">
        <f aca="false">S476-$M$2</f>
        <v>2.98820649220488E-005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0.061302661895752</v>
      </c>
      <c r="C477" s="25" t="n">
        <f aca="false">IF(T476&gt;0,D476,C476)</f>
        <v>0.0613033771514893</v>
      </c>
      <c r="D477" s="39" t="n">
        <f aca="false">(B477+C477)/2</f>
        <v>0.0613030195236206</v>
      </c>
      <c r="E477" s="15" t="n">
        <f aca="false">$C$2*(1+IF(E$3&lt;=$O$2,$D477,$D477-($D477-$I$454)*MIN(E$3-$O$2,$Q$2)/$Q$2))</f>
        <v>1963.4105861187</v>
      </c>
      <c r="F477" s="15" t="n">
        <f aca="false">E477*(1+IF(F$3&lt;=$O$2,$D477,$D477-($D477-$I$454)*MIN(F$3-$O$2,$Q$2)/$Q$2))</f>
        <v>2083.77358361242</v>
      </c>
      <c r="G477" s="15" t="n">
        <f aca="false">F477*(1+IF(G$3&lt;=$O$2,$D477,$D477-($D477-$I$454)*MIN(G$3-$O$2,$Q$2)/$Q$2))</f>
        <v>2211.51519629141</v>
      </c>
      <c r="H477" s="15" t="n">
        <f aca="false">G477*(1+IF(H$3&lt;=$O$2,$D477,$D477-($D477-$I$454)*MIN(H$3-$O$2,$Q$2)/$Q$2))</f>
        <v>2347.08775554645</v>
      </c>
      <c r="I477" s="15" t="n">
        <f aca="false">H477*(1+IF(I$3&lt;=$O$2,$D477,$D477-($D477-$I$454)*MIN(I$3-$O$2,$Q$2)/$Q$2))</f>
        <v>2490.97132204836</v>
      </c>
      <c r="J477" s="15" t="n">
        <f aca="false">I477*(1+IF(J$3&lt;=$O$2,$D477,$D477-($D477-$I$454)*MIN(J$3-$O$2,$Q$2)/$Q$2))</f>
        <v>2620.60748688516</v>
      </c>
      <c r="K477" s="15" t="n">
        <f aca="false">J477*(1+IF(K$3&lt;=$O$2,$D477,$D477-($D477-$I$454)*MIN(K$3-$O$2,$Q$2)/$Q$2))</f>
        <v>2732.72182296583</v>
      </c>
      <c r="L477" s="15" t="n">
        <f aca="false">K477*(1+IF(L$3&lt;=$O$2,$D477,$D477-($D477-$I$454)*MIN(L$3-$O$2,$Q$2)/$Q$2))</f>
        <v>2824.32595907888</v>
      </c>
      <c r="M477" s="15" t="n">
        <f aca="false">L477*(1+IF(M$3&lt;=$O$2,$D477,$D477-($D477-$I$454)*MIN(M$3-$O$2,$Q$2)/$Q$2))</f>
        <v>2892.84581246992</v>
      </c>
      <c r="N477" s="15" t="n">
        <f aca="false">M477*(1+IF(N$3&lt;=$O$2,$D477,$D477-($D477-$I$454)*MIN(N$3-$O$2,$Q$2)/$Q$2))</f>
        <v>2936.23849965697</v>
      </c>
      <c r="O477" s="15" t="n">
        <f aca="false">SUMPRODUCT(E477:N477,1/(1+$F$454)^$E$3:$N$3)*$E$2</f>
        <v>6230.48721018701</v>
      </c>
      <c r="P477" s="15" t="n">
        <f aca="false">N477*$E$2*(1+$I$454)/($F$454-$I$454)/(1+$F$454)^$N$3</f>
        <v>10332.1866358027</v>
      </c>
      <c r="Q477" s="15" t="n">
        <f aca="false">O477+P477</f>
        <v>16562.6738459897</v>
      </c>
      <c r="R477" s="15" t="n">
        <f aca="false">Q477-$G$2+$I$2</f>
        <v>15009.9738459897</v>
      </c>
      <c r="S477" s="40" t="n">
        <f aca="false">R477/$K$2</f>
        <v>54.5044258905177</v>
      </c>
      <c r="T477" s="41" t="n">
        <f aca="false">S477-$M$2</f>
        <v>-9.49708062023547E-005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0.0613030195236206</v>
      </c>
      <c r="C478" s="25" t="n">
        <f aca="false">IF(T477&gt;0,D477,C477)</f>
        <v>0.0613033771514893</v>
      </c>
      <c r="D478" s="39" t="n">
        <f aca="false">(B478+C478)/2</f>
        <v>0.0613031983375549</v>
      </c>
      <c r="E478" s="15" t="n">
        <f aca="false">$C$2*(1+IF(E$3&lt;=$O$2,$D478,$D478-($D478-$I$454)*MIN(E$3-$O$2,$Q$2)/$Q$2))</f>
        <v>1963.41091692448</v>
      </c>
      <c r="F478" s="15" t="n">
        <f aca="false">E478*(1+IF(F$3&lt;=$O$2,$D478,$D478-($D478-$I$454)*MIN(F$3-$O$2,$Q$2)/$Q$2))</f>
        <v>2083.77428578282</v>
      </c>
      <c r="G478" s="15" t="n">
        <f aca="false">F478*(1+IF(G$3&lt;=$O$2,$D478,$D478-($D478-$I$454)*MIN(G$3-$O$2,$Q$2)/$Q$2))</f>
        <v>2211.51631411486</v>
      </c>
      <c r="H478" s="15" t="n">
        <f aca="false">G478*(1+IF(H$3&lt;=$O$2,$D478,$D478-($D478-$I$454)*MIN(H$3-$O$2,$Q$2)/$Q$2))</f>
        <v>2347.08933734578</v>
      </c>
      <c r="I478" s="15" t="n">
        <f aca="false">H478*(1+IF(I$3&lt;=$O$2,$D478,$D478-($D478-$I$454)*MIN(I$3-$O$2,$Q$2)/$Q$2))</f>
        <v>2490.97342050905</v>
      </c>
      <c r="J478" s="15" t="n">
        <f aca="false">I478*(1+IF(J$3&lt;=$O$2,$D478,$D478-($D478-$I$454)*MIN(J$3-$O$2,$Q$2)/$Q$2))</f>
        <v>2620.61005089141</v>
      </c>
      <c r="K478" s="15" t="n">
        <f aca="false">J478*(1+IF(K$3&lt;=$O$2,$D478,$D478-($D478-$I$454)*MIN(K$3-$O$2,$Q$2)/$Q$2))</f>
        <v>2732.72477782587</v>
      </c>
      <c r="L478" s="15" t="n">
        <f aca="false">K478*(1+IF(L$3&lt;=$O$2,$D478,$D478-($D478-$I$454)*MIN(L$3-$O$2,$Q$2)/$Q$2))</f>
        <v>2824.32920844911</v>
      </c>
      <c r="M478" s="15" t="n">
        <f aca="false">L478*(1+IF(M$3&lt;=$O$2,$D478,$D478-($D478-$I$454)*MIN(M$3-$O$2,$Q$2)/$Q$2))</f>
        <v>2892.84924167772</v>
      </c>
      <c r="N478" s="15" t="n">
        <f aca="false">M478*(1+IF(N$3&lt;=$O$2,$D478,$D478-($D478-$I$454)*MIN(N$3-$O$2,$Q$2)/$Q$2))</f>
        <v>2936.24198030288</v>
      </c>
      <c r="O478" s="15" t="n">
        <f aca="false">SUMPRODUCT(E478:N478,1/(1+$F$454)^$E$3:$N$3)*$E$2</f>
        <v>6230.49215391943</v>
      </c>
      <c r="P478" s="15" t="n">
        <f aca="false">N478*$E$2*(1+$I$454)/($F$454-$I$454)/(1+$F$454)^$N$3</f>
        <v>10332.198883678</v>
      </c>
      <c r="Q478" s="15" t="n">
        <f aca="false">O478+P478</f>
        <v>16562.6910375975</v>
      </c>
      <c r="R478" s="15" t="n">
        <f aca="false">Q478-$G$2+$I$2</f>
        <v>15009.9910375975</v>
      </c>
      <c r="S478" s="40" t="n">
        <f aca="false">R478/$K$2</f>
        <v>54.5044883169231</v>
      </c>
      <c r="T478" s="41" t="n">
        <f aca="false">S478-$M$2</f>
        <v>-3.25444008026921E-005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0.0613031983375549</v>
      </c>
      <c r="C479" s="25" t="n">
        <f aca="false">IF(T478&gt;0,D478,C478)</f>
        <v>0.0613033771514893</v>
      </c>
      <c r="D479" s="39" t="n">
        <f aca="false">(B479+C479)/2</f>
        <v>0.0613032877445221</v>
      </c>
      <c r="E479" s="15" t="n">
        <f aca="false">$C$2*(1+IF(E$3&lt;=$O$2,$D479,$D479-($D479-$I$454)*MIN(E$3-$O$2,$Q$2)/$Q$2))</f>
        <v>1963.41108232737</v>
      </c>
      <c r="F479" s="15" t="n">
        <f aca="false">E479*(1+IF(F$3&lt;=$O$2,$D479,$D479-($D479-$I$454)*MIN(F$3-$O$2,$Q$2)/$Q$2))</f>
        <v>2083.77463686806</v>
      </c>
      <c r="G479" s="15" t="n">
        <f aca="false">F479*(1+IF(G$3&lt;=$O$2,$D479,$D479-($D479-$I$454)*MIN(G$3-$O$2,$Q$2)/$Q$2))</f>
        <v>2211.51687302672</v>
      </c>
      <c r="H479" s="15" t="n">
        <f aca="false">G479*(1+IF(H$3&lt;=$O$2,$D479,$D479-($D479-$I$454)*MIN(H$3-$O$2,$Q$2)/$Q$2))</f>
        <v>2347.09012824575</v>
      </c>
      <c r="I479" s="15" t="n">
        <f aca="false">H479*(1+IF(I$3&lt;=$O$2,$D479,$D479-($D479-$I$454)*MIN(I$3-$O$2,$Q$2)/$Q$2))</f>
        <v>2490.97446973992</v>
      </c>
      <c r="J479" s="15" t="n">
        <f aca="false">I479*(1+IF(J$3&lt;=$O$2,$D479,$D479-($D479-$I$454)*MIN(J$3-$O$2,$Q$2)/$Q$2))</f>
        <v>2620.61133289532</v>
      </c>
      <c r="K479" s="15" t="n">
        <f aca="false">J479*(1+IF(K$3&lt;=$O$2,$D479,$D479-($D479-$I$454)*MIN(K$3-$O$2,$Q$2)/$Q$2))</f>
        <v>2732.72625525692</v>
      </c>
      <c r="L479" s="15" t="n">
        <f aca="false">K479*(1+IF(L$3&lt;=$O$2,$D479,$D479-($D479-$I$454)*MIN(L$3-$O$2,$Q$2)/$Q$2))</f>
        <v>2824.33083313544</v>
      </c>
      <c r="M479" s="15" t="n">
        <f aca="false">L479*(1+IF(M$3&lt;=$O$2,$D479,$D479-($D479-$I$454)*MIN(M$3-$O$2,$Q$2)/$Q$2))</f>
        <v>2892.85095628295</v>
      </c>
      <c r="N479" s="15" t="n">
        <f aca="false">M479*(1+IF(N$3&lt;=$O$2,$D479,$D479-($D479-$I$454)*MIN(N$3-$O$2,$Q$2)/$Q$2))</f>
        <v>2936.24372062719</v>
      </c>
      <c r="O479" s="15" t="n">
        <f aca="false">SUMPRODUCT(E479:N479,1/(1+$F$454)^$E$3:$N$3)*$E$2</f>
        <v>6230.49462578711</v>
      </c>
      <c r="P479" s="15" t="n">
        <f aca="false">N479*$E$2*(1+$I$454)/($F$454-$I$454)/(1+$F$454)^$N$3</f>
        <v>10332.2050076205</v>
      </c>
      <c r="Q479" s="15" t="n">
        <f aca="false">O479+P479</f>
        <v>16562.6996334076</v>
      </c>
      <c r="R479" s="15" t="n">
        <f aca="false">Q479-$G$2+$I$2</f>
        <v>15009.9996334076</v>
      </c>
      <c r="S479" s="40" t="n">
        <f aca="false">R479/$K$2</f>
        <v>54.5045195301485</v>
      </c>
      <c r="T479" s="41" t="n">
        <f aca="false">S479-$M$2</f>
        <v>-1.33117546852191E-006</v>
      </c>
    </row>
    <row r="481" customFormat="false" ht="15" hidden="false" customHeight="false" outlineLevel="0" collapsed="false">
      <c r="A481" s="36" t="s">
        <v>192</v>
      </c>
      <c r="E481" s="5" t="s">
        <v>11</v>
      </c>
      <c r="F481" s="12" t="n">
        <f aca="false">Sensitivity!$B$13</f>
        <v>0.0685093056415221</v>
      </c>
      <c r="G481" s="5" t="s">
        <v>12</v>
      </c>
      <c r="I481" s="12" t="n">
        <f aca="false">Sensitivity!$D$9</f>
        <v>0.02</v>
      </c>
    </row>
    <row r="482" customFormat="false" ht="23.85" hidden="false" customHeight="false" outlineLevel="0" collapsed="false">
      <c r="A482" s="36" t="s">
        <v>156</v>
      </c>
      <c r="B482" s="28" t="s">
        <v>157</v>
      </c>
      <c r="C482" s="28" t="s">
        <v>158</v>
      </c>
      <c r="D482" s="28" t="s">
        <v>159</v>
      </c>
      <c r="E482" s="28" t="s">
        <v>160</v>
      </c>
      <c r="F482" s="28" t="s">
        <v>161</v>
      </c>
      <c r="G482" s="28" t="s">
        <v>162</v>
      </c>
      <c r="H482" s="28" t="s">
        <v>163</v>
      </c>
      <c r="I482" s="28" t="s">
        <v>164</v>
      </c>
      <c r="J482" s="28" t="s">
        <v>165</v>
      </c>
      <c r="K482" s="28" t="s">
        <v>166</v>
      </c>
      <c r="L482" s="28" t="s">
        <v>167</v>
      </c>
      <c r="M482" s="28" t="s">
        <v>168</v>
      </c>
      <c r="N482" s="28" t="s">
        <v>169</v>
      </c>
      <c r="O482" s="28" t="s">
        <v>170</v>
      </c>
      <c r="P482" s="28" t="s">
        <v>171</v>
      </c>
      <c r="Q482" s="28" t="s">
        <v>172</v>
      </c>
      <c r="R482" s="28" t="s">
        <v>173</v>
      </c>
      <c r="S482" s="28" t="s">
        <v>174</v>
      </c>
      <c r="T482" s="28" t="s">
        <v>175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39" t="n">
        <f aca="false">(B483+C483)/2</f>
        <v>0.25</v>
      </c>
      <c r="E483" s="15" t="n">
        <f aca="false">$C$2*(1+IF(E$3&lt;=$O$2,$D483,$D483-($D483-$I$481)*MIN(E$3-$O$2,$Q$2)/$Q$2))</f>
        <v>2312.5</v>
      </c>
      <c r="F483" s="15" t="n">
        <f aca="false">E483*(1+IF(F$3&lt;=$O$2,$D483,$D483-($D483-$I$481)*MIN(F$3-$O$2,$Q$2)/$Q$2))</f>
        <v>2890.625</v>
      </c>
      <c r="G483" s="15" t="n">
        <f aca="false">F483*(1+IF(G$3&lt;=$O$2,$D483,$D483-($D483-$I$481)*MIN(G$3-$O$2,$Q$2)/$Q$2))</f>
        <v>3613.28125</v>
      </c>
      <c r="H483" s="15" t="n">
        <f aca="false">G483*(1+IF(H$3&lt;=$O$2,$D483,$D483-($D483-$I$481)*MIN(H$3-$O$2,$Q$2)/$Q$2))</f>
        <v>4516.6015625</v>
      </c>
      <c r="I483" s="15" t="n">
        <f aca="false">H483*(1+IF(I$3&lt;=$O$2,$D483,$D483-($D483-$I$481)*MIN(I$3-$O$2,$Q$2)/$Q$2))</f>
        <v>5645.751953125</v>
      </c>
      <c r="J483" s="15" t="n">
        <f aca="false">I483*(1+IF(J$3&lt;=$O$2,$D483,$D483-($D483-$I$481)*MIN(J$3-$O$2,$Q$2)/$Q$2))</f>
        <v>6797.4853515625</v>
      </c>
      <c r="K483" s="15" t="n">
        <f aca="false">J483*(1+IF(K$3&lt;=$O$2,$D483,$D483-($D483-$I$481)*MIN(K$3-$O$2,$Q$2)/$Q$2))</f>
        <v>7871.48803710937</v>
      </c>
      <c r="L483" s="15" t="n">
        <f aca="false">K483*(1+IF(L$3&lt;=$O$2,$D483,$D483-($D483-$I$481)*MIN(L$3-$O$2,$Q$2)/$Q$2))</f>
        <v>8753.09469726563</v>
      </c>
      <c r="M483" s="15" t="n">
        <f aca="false">L483*(1+IF(M$3&lt;=$O$2,$D483,$D483-($D483-$I$481)*MIN(M$3-$O$2,$Q$2)/$Q$2))</f>
        <v>9330.79894728516</v>
      </c>
      <c r="N483" s="15" t="n">
        <f aca="false">M483*(1+IF(N$3&lt;=$O$2,$D483,$D483-($D483-$I$481)*MIN(N$3-$O$2,$Q$2)/$Q$2))</f>
        <v>9517.41492623086</v>
      </c>
      <c r="O483" s="15" t="n">
        <f aca="false">SUMPRODUCT(E483:N483,1/(1+$F$481)^$E$3:$N$3)*$E$2</f>
        <v>14355.6180026335</v>
      </c>
      <c r="P483" s="15" t="n">
        <f aca="false">N483*$E$2*(1+$I$481)/($F$481-$I$481)/(1+$F$481)^$N$3</f>
        <v>37124.3025924811</v>
      </c>
      <c r="Q483" s="15" t="n">
        <f aca="false">O483+P483</f>
        <v>51479.9205951146</v>
      </c>
      <c r="R483" s="15" t="n">
        <f aca="false">Q483-$G$2+$I$2</f>
        <v>49927.2205951146</v>
      </c>
      <c r="S483" s="40" t="n">
        <f aca="false">R483/$K$2</f>
        <v>181.296418152855</v>
      </c>
      <c r="T483" s="41" t="n">
        <f aca="false">S483-$M$2</f>
        <v>126.791897291531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39" t="n">
        <f aca="false">(B484+C484)/2</f>
        <v>-0.125</v>
      </c>
      <c r="E484" s="15" t="n">
        <f aca="false">$C$2*(1+IF(E$3&lt;=$O$2,$D484,$D484-($D484-$I$481)*MIN(E$3-$O$2,$Q$2)/$Q$2))</f>
        <v>1618.75</v>
      </c>
      <c r="F484" s="15" t="n">
        <f aca="false">E484*(1+IF(F$3&lt;=$O$2,$D484,$D484-($D484-$I$481)*MIN(F$3-$O$2,$Q$2)/$Q$2))</f>
        <v>1416.40625</v>
      </c>
      <c r="G484" s="15" t="n">
        <f aca="false">F484*(1+IF(G$3&lt;=$O$2,$D484,$D484-($D484-$I$481)*MIN(G$3-$O$2,$Q$2)/$Q$2))</f>
        <v>1239.35546875</v>
      </c>
      <c r="H484" s="15" t="n">
        <f aca="false">G484*(1+IF(H$3&lt;=$O$2,$D484,$D484-($D484-$I$481)*MIN(H$3-$O$2,$Q$2)/$Q$2))</f>
        <v>1084.43603515625</v>
      </c>
      <c r="I484" s="15" t="n">
        <f aca="false">H484*(1+IF(I$3&lt;=$O$2,$D484,$D484-($D484-$I$481)*MIN(I$3-$O$2,$Q$2)/$Q$2))</f>
        <v>948.881530761719</v>
      </c>
      <c r="J484" s="15" t="n">
        <f aca="false">I484*(1+IF(J$3&lt;=$O$2,$D484,$D484-($D484-$I$481)*MIN(J$3-$O$2,$Q$2)/$Q$2))</f>
        <v>857.788903808594</v>
      </c>
      <c r="K484" s="15" t="n">
        <f aca="false">J484*(1+IF(K$3&lt;=$O$2,$D484,$D484-($D484-$I$481)*MIN(K$3-$O$2,$Q$2)/$Q$2))</f>
        <v>800.317047253418</v>
      </c>
      <c r="L484" s="15" t="n">
        <f aca="false">K484*(1+IF(L$3&lt;=$O$2,$D484,$D484-($D484-$I$481)*MIN(L$3-$O$2,$Q$2)/$Q$2))</f>
        <v>769.904999457788</v>
      </c>
      <c r="M484" s="15" t="n">
        <f aca="false">L484*(1+IF(M$3&lt;=$O$2,$D484,$D484-($D484-$I$481)*MIN(M$3-$O$2,$Q$2)/$Q$2))</f>
        <v>762.975854462668</v>
      </c>
      <c r="N484" s="15" t="n">
        <f aca="false">M484*(1+IF(N$3&lt;=$O$2,$D484,$D484-($D484-$I$481)*MIN(N$3-$O$2,$Q$2)/$Q$2))</f>
        <v>778.235371551922</v>
      </c>
      <c r="O484" s="15" t="n">
        <f aca="false">SUMPRODUCT(E484:N484,1/(1+$F$481)^$E$3:$N$3)*$E$2</f>
        <v>2749.01928654808</v>
      </c>
      <c r="P484" s="15" t="n">
        <f aca="false">N484*$E$2*(1+$I$481)/($F$481-$I$481)/(1+$F$481)^$N$3</f>
        <v>3035.63999737345</v>
      </c>
      <c r="Q484" s="15" t="n">
        <f aca="false">O484+P484</f>
        <v>5784.65928392153</v>
      </c>
      <c r="R484" s="15" t="n">
        <f aca="false">Q484-$G$2+$I$2</f>
        <v>4231.95928392153</v>
      </c>
      <c r="S484" s="40" t="n">
        <f aca="false">R484/$K$2</f>
        <v>15.3671494386925</v>
      </c>
      <c r="T484" s="41" t="n">
        <f aca="false">S484-$M$2</f>
        <v>-39.1373714226314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39" t="n">
        <f aca="false">(B485+C485)/2</f>
        <v>0.0625</v>
      </c>
      <c r="E485" s="15" t="n">
        <f aca="false">$C$2*(1+IF(E$3&lt;=$O$2,$D485,$D485-($D485-$I$481)*MIN(E$3-$O$2,$Q$2)/$Q$2))</f>
        <v>1965.625</v>
      </c>
      <c r="F485" s="15" t="n">
        <f aca="false">E485*(1+IF(F$3&lt;=$O$2,$D485,$D485-($D485-$I$481)*MIN(F$3-$O$2,$Q$2)/$Q$2))</f>
        <v>2088.4765625</v>
      </c>
      <c r="G485" s="15" t="n">
        <f aca="false">F485*(1+IF(G$3&lt;=$O$2,$D485,$D485-($D485-$I$481)*MIN(G$3-$O$2,$Q$2)/$Q$2))</f>
        <v>2219.00634765625</v>
      </c>
      <c r="H485" s="15" t="n">
        <f aca="false">G485*(1+IF(H$3&lt;=$O$2,$D485,$D485-($D485-$I$481)*MIN(H$3-$O$2,$Q$2)/$Q$2))</f>
        <v>2357.69424438477</v>
      </c>
      <c r="I485" s="15" t="n">
        <f aca="false">H485*(1+IF(I$3&lt;=$O$2,$D485,$D485-($D485-$I$481)*MIN(I$3-$O$2,$Q$2)/$Q$2))</f>
        <v>2505.05013465881</v>
      </c>
      <c r="J485" s="15" t="n">
        <f aca="false">I485*(1+IF(J$3&lt;=$O$2,$D485,$D485-($D485-$I$481)*MIN(J$3-$O$2,$Q$2)/$Q$2))</f>
        <v>2640.32284193039</v>
      </c>
      <c r="K485" s="15" t="n">
        <f aca="false">J485*(1+IF(K$3&lt;=$O$2,$D485,$D485-($D485-$I$481)*MIN(K$3-$O$2,$Q$2)/$Q$2))</f>
        <v>2760.45753123822</v>
      </c>
      <c r="L485" s="15" t="n">
        <f aca="false">K485*(1+IF(L$3&lt;=$O$2,$D485,$D485-($D485-$I$481)*MIN(L$3-$O$2,$Q$2)/$Q$2))</f>
        <v>2862.59445989404</v>
      </c>
      <c r="M485" s="15" t="n">
        <f aca="false">L485*(1+IF(M$3&lt;=$O$2,$D485,$D485-($D485-$I$481)*MIN(M$3-$O$2,$Q$2)/$Q$2))</f>
        <v>2944.17840200102</v>
      </c>
      <c r="N485" s="15" t="n">
        <f aca="false">M485*(1+IF(N$3&lt;=$O$2,$D485,$D485-($D485-$I$481)*MIN(N$3-$O$2,$Q$2)/$Q$2))</f>
        <v>3003.06197004104</v>
      </c>
      <c r="O485" s="15" t="n">
        <f aca="false">SUMPRODUCT(E485:N485,1/(1+$F$481)^$E$3:$N$3)*$E$2</f>
        <v>6283.21188444678</v>
      </c>
      <c r="P485" s="15" t="n">
        <f aca="false">N485*$E$2*(1+$I$481)/($F$481-$I$481)/(1+$F$481)^$N$3</f>
        <v>11713.9561681302</v>
      </c>
      <c r="Q485" s="15" t="n">
        <f aca="false">O485+P485</f>
        <v>17997.1680525769</v>
      </c>
      <c r="R485" s="15" t="n">
        <f aca="false">Q485-$G$2+$I$2</f>
        <v>16444.4680525769</v>
      </c>
      <c r="S485" s="40" t="n">
        <f aca="false">R485/$K$2</f>
        <v>59.7133812141942</v>
      </c>
      <c r="T485" s="41" t="n">
        <f aca="false">S485-$M$2</f>
        <v>5.20886035287021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-0.125</v>
      </c>
      <c r="C486" s="25" t="n">
        <f aca="false">IF(T485&gt;0,D485,C485)</f>
        <v>0.0625</v>
      </c>
      <c r="D486" s="39" t="n">
        <f aca="false">(B486+C486)/2</f>
        <v>-0.03125</v>
      </c>
      <c r="E486" s="15" t="n">
        <f aca="false">$C$2*(1+IF(E$3&lt;=$O$2,$D486,$D486-($D486-$I$481)*MIN(E$3-$O$2,$Q$2)/$Q$2))</f>
        <v>1792.1875</v>
      </c>
      <c r="F486" s="15" t="n">
        <f aca="false">E486*(1+IF(F$3&lt;=$O$2,$D486,$D486-($D486-$I$481)*MIN(F$3-$O$2,$Q$2)/$Q$2))</f>
        <v>1736.181640625</v>
      </c>
      <c r="G486" s="15" t="n">
        <f aca="false">F486*(1+IF(G$3&lt;=$O$2,$D486,$D486-($D486-$I$481)*MIN(G$3-$O$2,$Q$2)/$Q$2))</f>
        <v>1681.92596435547</v>
      </c>
      <c r="H486" s="15" t="n">
        <f aca="false">G486*(1+IF(H$3&lt;=$O$2,$D486,$D486-($D486-$I$481)*MIN(H$3-$O$2,$Q$2)/$Q$2))</f>
        <v>1629.36577796936</v>
      </c>
      <c r="I486" s="15" t="n">
        <f aca="false">H486*(1+IF(I$3&lt;=$O$2,$D486,$D486-($D486-$I$481)*MIN(I$3-$O$2,$Q$2)/$Q$2))</f>
        <v>1578.44809740782</v>
      </c>
      <c r="J486" s="15" t="n">
        <f aca="false">I486*(1+IF(J$3&lt;=$O$2,$D486,$D486-($D486-$I$481)*MIN(J$3-$O$2,$Q$2)/$Q$2))</f>
        <v>1545.30068736225</v>
      </c>
      <c r="K486" s="15" t="n">
        <f aca="false">J486*(1+IF(K$3&lt;=$O$2,$D486,$D486-($D486-$I$481)*MIN(K$3-$O$2,$Q$2)/$Q$2))</f>
        <v>1528.68870497311</v>
      </c>
      <c r="L486" s="15" t="n">
        <f aca="false">K486*(1+IF(L$3&lt;=$O$2,$D486,$D486-($D486-$I$481)*MIN(L$3-$O$2,$Q$2)/$Q$2))</f>
        <v>1527.92436062062</v>
      </c>
      <c r="M486" s="15" t="n">
        <f aca="false">L486*(1+IF(M$3&lt;=$O$2,$D486,$D486-($D486-$I$481)*MIN(M$3-$O$2,$Q$2)/$Q$2))</f>
        <v>1542.82162313667</v>
      </c>
      <c r="N486" s="15" t="n">
        <f aca="false">M486*(1+IF(N$3&lt;=$O$2,$D486,$D486-($D486-$I$481)*MIN(N$3-$O$2,$Q$2)/$Q$2))</f>
        <v>1573.67805559941</v>
      </c>
      <c r="O486" s="15" t="n">
        <f aca="false">SUMPRODUCT(E486:N486,1/(1+$F$481)^$E$3:$N$3)*$E$2</f>
        <v>4145.66418408805</v>
      </c>
      <c r="P486" s="15" t="n">
        <f aca="false">N486*$E$2*(1+$I$481)/($F$481-$I$481)/(1+$F$481)^$N$3</f>
        <v>6138.40005632246</v>
      </c>
      <c r="Q486" s="15" t="n">
        <f aca="false">O486+P486</f>
        <v>10284.0642404105</v>
      </c>
      <c r="R486" s="15" t="n">
        <f aca="false">Q486-$G$2+$I$2</f>
        <v>8731.36424041051</v>
      </c>
      <c r="S486" s="40" t="n">
        <f aca="false">R486/$K$2</f>
        <v>31.7054513250681</v>
      </c>
      <c r="T486" s="41" t="n">
        <f aca="false">S486-$M$2</f>
        <v>-22.7990695362558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-0.03125</v>
      </c>
      <c r="C487" s="25" t="n">
        <f aca="false">IF(T486&gt;0,D486,C486)</f>
        <v>0.0625</v>
      </c>
      <c r="D487" s="39" t="n">
        <f aca="false">(B487+C487)/2</f>
        <v>0.015625</v>
      </c>
      <c r="E487" s="15" t="n">
        <f aca="false">$C$2*(1+IF(E$3&lt;=$O$2,$D487,$D487-($D487-$I$481)*MIN(E$3-$O$2,$Q$2)/$Q$2))</f>
        <v>1878.90625</v>
      </c>
      <c r="F487" s="15" t="n">
        <f aca="false">E487*(1+IF(F$3&lt;=$O$2,$D487,$D487-($D487-$I$481)*MIN(F$3-$O$2,$Q$2)/$Q$2))</f>
        <v>1908.26416015625</v>
      </c>
      <c r="G487" s="15" t="n">
        <f aca="false">F487*(1+IF(G$3&lt;=$O$2,$D487,$D487-($D487-$I$481)*MIN(G$3-$O$2,$Q$2)/$Q$2))</f>
        <v>1938.08078765869</v>
      </c>
      <c r="H487" s="15" t="n">
        <f aca="false">G487*(1+IF(H$3&lt;=$O$2,$D487,$D487-($D487-$I$481)*MIN(H$3-$O$2,$Q$2)/$Q$2))</f>
        <v>1968.36329996586</v>
      </c>
      <c r="I487" s="15" t="n">
        <f aca="false">H487*(1+IF(I$3&lt;=$O$2,$D487,$D487-($D487-$I$481)*MIN(I$3-$O$2,$Q$2)/$Q$2))</f>
        <v>1999.11897652783</v>
      </c>
      <c r="J487" s="15" t="n">
        <f aca="false">I487*(1+IF(J$3&lt;=$O$2,$D487,$D487-($D487-$I$481)*MIN(J$3-$O$2,$Q$2)/$Q$2))</f>
        <v>2032.10443964053</v>
      </c>
      <c r="K487" s="15" t="n">
        <f aca="false">J487*(1+IF(K$3&lt;=$O$2,$D487,$D487-($D487-$I$481)*MIN(K$3-$O$2,$Q$2)/$Q$2))</f>
        <v>2067.41225427929</v>
      </c>
      <c r="L487" s="15" t="n">
        <f aca="false">K487*(1+IF(L$3&lt;=$O$2,$D487,$D487-($D487-$I$481)*MIN(L$3-$O$2,$Q$2)/$Q$2))</f>
        <v>2105.14252791989</v>
      </c>
      <c r="M487" s="15" t="n">
        <f aca="false">L487*(1+IF(M$3&lt;=$O$2,$D487,$D487-($D487-$I$481)*MIN(M$3-$O$2,$Q$2)/$Q$2))</f>
        <v>2145.40337876635</v>
      </c>
      <c r="N487" s="15" t="n">
        <f aca="false">M487*(1+IF(N$3&lt;=$O$2,$D487,$D487-($D487-$I$481)*MIN(N$3-$O$2,$Q$2)/$Q$2))</f>
        <v>2188.31144634168</v>
      </c>
      <c r="O487" s="15" t="n">
        <f aca="false">SUMPRODUCT(E487:N487,1/(1+$F$481)^$E$3:$N$3)*$E$2</f>
        <v>5102.30585706096</v>
      </c>
      <c r="P487" s="15" t="n">
        <f aca="false">N487*$E$2*(1+$I$481)/($F$481-$I$481)/(1+$F$481)^$N$3</f>
        <v>8535.88258264069</v>
      </c>
      <c r="Q487" s="15" t="n">
        <f aca="false">O487+P487</f>
        <v>13638.1884397017</v>
      </c>
      <c r="R487" s="15" t="n">
        <f aca="false">Q487-$G$2+$I$2</f>
        <v>12085.4884397017</v>
      </c>
      <c r="S487" s="40" t="n">
        <f aca="false">R487/$K$2</f>
        <v>43.8849937895409</v>
      </c>
      <c r="T487" s="41" t="n">
        <f aca="false">S487-$M$2</f>
        <v>-10.6195270717831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0.015625</v>
      </c>
      <c r="C488" s="25" t="n">
        <f aca="false">IF(T487&gt;0,D487,C487)</f>
        <v>0.0625</v>
      </c>
      <c r="D488" s="39" t="n">
        <f aca="false">(B488+C488)/2</f>
        <v>0.0390625</v>
      </c>
      <c r="E488" s="15" t="n">
        <f aca="false">$C$2*(1+IF(E$3&lt;=$O$2,$D488,$D488-($D488-$I$481)*MIN(E$3-$O$2,$Q$2)/$Q$2))</f>
        <v>1922.265625</v>
      </c>
      <c r="F488" s="15" t="n">
        <f aca="false">E488*(1+IF(F$3&lt;=$O$2,$D488,$D488-($D488-$I$481)*MIN(F$3-$O$2,$Q$2)/$Q$2))</f>
        <v>1997.35412597656</v>
      </c>
      <c r="G488" s="15" t="n">
        <f aca="false">F488*(1+IF(G$3&lt;=$O$2,$D488,$D488-($D488-$I$481)*MIN(G$3-$O$2,$Q$2)/$Q$2))</f>
        <v>2075.37577152252</v>
      </c>
      <c r="H488" s="15" t="n">
        <f aca="false">G488*(1+IF(H$3&lt;=$O$2,$D488,$D488-($D488-$I$481)*MIN(H$3-$O$2,$Q$2)/$Q$2))</f>
        <v>2156.44513759762</v>
      </c>
      <c r="I488" s="15" t="n">
        <f aca="false">H488*(1+IF(I$3&lt;=$O$2,$D488,$D488-($D488-$I$481)*MIN(I$3-$O$2,$Q$2)/$Q$2))</f>
        <v>2240.68127578503</v>
      </c>
      <c r="J488" s="15" t="n">
        <f aca="false">I488*(1+IF(J$3&lt;=$O$2,$D488,$D488-($D488-$I$481)*MIN(J$3-$O$2,$Q$2)/$Q$2))</f>
        <v>2319.66529075645</v>
      </c>
      <c r="K488" s="15" t="n">
        <f aca="false">J488*(1+IF(K$3&lt;=$O$2,$D488,$D488-($D488-$I$481)*MIN(K$3-$O$2,$Q$2)/$Q$2))</f>
        <v>2392.58976833461</v>
      </c>
      <c r="L488" s="15" t="n">
        <f aca="false">K488*(1+IF(L$3&lt;=$O$2,$D488,$D488-($D488-$I$481)*MIN(L$3-$O$2,$Q$2)/$Q$2))</f>
        <v>2458.68506068485</v>
      </c>
      <c r="M488" s="15" t="n">
        <f aca="false">L488*(1+IF(M$3&lt;=$O$2,$D488,$D488-($D488-$I$481)*MIN(M$3-$O$2,$Q$2)/$Q$2))</f>
        <v>2517.23249869241</v>
      </c>
      <c r="N488" s="15" t="n">
        <f aca="false">M488*(1+IF(N$3&lt;=$O$2,$D488,$D488-($D488-$I$481)*MIN(N$3-$O$2,$Q$2)/$Q$2))</f>
        <v>2567.57714866626</v>
      </c>
      <c r="O488" s="15" t="n">
        <f aca="false">SUMPRODUCT(E488:N488,1/(1+$F$481)^$E$3:$N$3)*$E$2</f>
        <v>5661.89704133681</v>
      </c>
      <c r="P488" s="15" t="n">
        <f aca="false">N488*$E$2*(1+$I$481)/($F$481-$I$481)/(1+$F$481)^$N$3</f>
        <v>10015.2732370548</v>
      </c>
      <c r="Q488" s="15" t="n">
        <f aca="false">O488+P488</f>
        <v>15677.1702783916</v>
      </c>
      <c r="R488" s="15" t="n">
        <f aca="false">Q488-$G$2+$I$2</f>
        <v>14124.4702783916</v>
      </c>
      <c r="S488" s="40" t="n">
        <f aca="false">R488/$K$2</f>
        <v>51.2889730142403</v>
      </c>
      <c r="T488" s="41" t="n">
        <f aca="false">S488-$M$2</f>
        <v>-3.21554784708368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0.0390625</v>
      </c>
      <c r="C489" s="25" t="n">
        <f aca="false">IF(T488&gt;0,D488,C488)</f>
        <v>0.0625</v>
      </c>
      <c r="D489" s="39" t="n">
        <f aca="false">(B489+C489)/2</f>
        <v>0.05078125</v>
      </c>
      <c r="E489" s="15" t="n">
        <f aca="false">$C$2*(1+IF(E$3&lt;=$O$2,$D489,$D489-($D489-$I$481)*MIN(E$3-$O$2,$Q$2)/$Q$2))</f>
        <v>1943.9453125</v>
      </c>
      <c r="F489" s="15" t="n">
        <f aca="false">E489*(1+IF(F$3&lt;=$O$2,$D489,$D489-($D489-$I$481)*MIN(F$3-$O$2,$Q$2)/$Q$2))</f>
        <v>2042.66128540039</v>
      </c>
      <c r="G489" s="15" t="n">
        <f aca="false">F489*(1+IF(G$3&lt;=$O$2,$D489,$D489-($D489-$I$481)*MIN(G$3-$O$2,$Q$2)/$Q$2))</f>
        <v>2146.39017879963</v>
      </c>
      <c r="H489" s="15" t="n">
        <f aca="false">G489*(1+IF(H$3&lt;=$O$2,$D489,$D489-($D489-$I$481)*MIN(H$3-$O$2,$Q$2)/$Q$2))</f>
        <v>2255.3865550668</v>
      </c>
      <c r="I489" s="15" t="n">
        <f aca="false">H489*(1+IF(I$3&lt;=$O$2,$D489,$D489-($D489-$I$481)*MIN(I$3-$O$2,$Q$2)/$Q$2))</f>
        <v>2369.91790356628</v>
      </c>
      <c r="J489" s="15" t="n">
        <f aca="false">I489*(1+IF(J$3&lt;=$O$2,$D489,$D489-($D489-$I$481)*MIN(J$3-$O$2,$Q$2)/$Q$2))</f>
        <v>2475.67549001293</v>
      </c>
      <c r="K489" s="15" t="n">
        <f aca="false">J489*(1+IF(K$3&lt;=$O$2,$D489,$D489-($D489-$I$481)*MIN(K$3-$O$2,$Q$2)/$Q$2))</f>
        <v>2570.91163151936</v>
      </c>
      <c r="L489" s="15" t="n">
        <f aca="false">K489*(1+IF(L$3&lt;=$O$2,$D489,$D489-($D489-$I$481)*MIN(L$3-$O$2,$Q$2)/$Q$2))</f>
        <v>2653.98421361283</v>
      </c>
      <c r="M489" s="15" t="n">
        <f aca="false">L489*(1+IF(M$3&lt;=$O$2,$D489,$D489-($D489-$I$481)*MIN(M$3-$O$2,$Q$2)/$Q$2))</f>
        <v>2723.40248820014</v>
      </c>
      <c r="N489" s="15" t="n">
        <f aca="false">M489*(1+IF(N$3&lt;=$O$2,$D489,$D489-($D489-$I$481)*MIN(N$3-$O$2,$Q$2)/$Q$2))</f>
        <v>2777.87053796415</v>
      </c>
      <c r="O489" s="15" t="n">
        <f aca="false">SUMPRODUCT(E489:N489,1/(1+$F$481)^$E$3:$N$3)*$E$2</f>
        <v>5964.45841404168</v>
      </c>
      <c r="P489" s="15" t="n">
        <f aca="false">N489*$E$2*(1+$I$481)/($F$481-$I$481)/(1+$F$481)^$N$3</f>
        <v>10835.558522293</v>
      </c>
      <c r="Q489" s="15" t="n">
        <f aca="false">O489+P489</f>
        <v>16800.0169363347</v>
      </c>
      <c r="R489" s="15" t="n">
        <f aca="false">Q489-$G$2+$I$2</f>
        <v>15247.3169363347</v>
      </c>
      <c r="S489" s="40" t="n">
        <f aca="false">R489/$K$2</f>
        <v>55.3662694227629</v>
      </c>
      <c r="T489" s="41" t="n">
        <f aca="false">S489-$M$2</f>
        <v>0.861748561438951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0.0390625</v>
      </c>
      <c r="C490" s="25" t="n">
        <f aca="false">IF(T489&gt;0,D489,C489)</f>
        <v>0.05078125</v>
      </c>
      <c r="D490" s="39" t="n">
        <f aca="false">(B490+C490)/2</f>
        <v>0.044921875</v>
      </c>
      <c r="E490" s="15" t="n">
        <f aca="false">$C$2*(1+IF(E$3&lt;=$O$2,$D490,$D490-($D490-$I$481)*MIN(E$3-$O$2,$Q$2)/$Q$2))</f>
        <v>1933.10546875</v>
      </c>
      <c r="F490" s="15" t="n">
        <f aca="false">E490*(1+IF(F$3&lt;=$O$2,$D490,$D490-($D490-$I$481)*MIN(F$3-$O$2,$Q$2)/$Q$2))</f>
        <v>2019.944190979</v>
      </c>
      <c r="G490" s="15" t="n">
        <f aca="false">F490*(1+IF(G$3&lt;=$O$2,$D490,$D490-($D490-$I$481)*MIN(G$3-$O$2,$Q$2)/$Q$2))</f>
        <v>2110.68387143314</v>
      </c>
      <c r="H490" s="15" t="n">
        <f aca="false">G490*(1+IF(H$3&lt;=$O$2,$D490,$D490-($D490-$I$481)*MIN(H$3-$O$2,$Q$2)/$Q$2))</f>
        <v>2205.49974847017</v>
      </c>
      <c r="I490" s="15" t="n">
        <f aca="false">H490*(1+IF(I$3&lt;=$O$2,$D490,$D490-($D490-$I$481)*MIN(I$3-$O$2,$Q$2)/$Q$2))</f>
        <v>2304.57493248348</v>
      </c>
      <c r="J490" s="15" t="n">
        <f aca="false">I490*(1+IF(J$3&lt;=$O$2,$D490,$D490-($D490-$I$481)*MIN(J$3-$O$2,$Q$2)/$Q$2))</f>
        <v>2396.61389384954</v>
      </c>
      <c r="K490" s="15" t="n">
        <f aca="false">J490*(1+IF(K$3&lt;=$O$2,$D490,$D490-($D490-$I$481)*MIN(K$3-$O$2,$Q$2)/$Q$2))</f>
        <v>2480.383038858</v>
      </c>
      <c r="L490" s="15" t="n">
        <f aca="false">K490*(1+IF(L$3&lt;=$O$2,$D490,$D490-($D490-$I$481)*MIN(L$3-$O$2,$Q$2)/$Q$2))</f>
        <v>2554.71701805378</v>
      </c>
      <c r="M490" s="15" t="n">
        <f aca="false">L490*(1+IF(M$3&lt;=$O$2,$D490,$D490-($D490-$I$481)*MIN(M$3-$O$2,$Q$2)/$Q$2))</f>
        <v>2618.54502605172</v>
      </c>
      <c r="N490" s="15" t="n">
        <f aca="false">M490*(1+IF(N$3&lt;=$O$2,$D490,$D490-($D490-$I$481)*MIN(N$3-$O$2,$Q$2)/$Q$2))</f>
        <v>2670.91592657275</v>
      </c>
      <c r="O490" s="15" t="n">
        <f aca="false">SUMPRODUCT(E490:N490,1/(1+$F$481)^$E$3:$N$3)*$E$2</f>
        <v>5811.20255003831</v>
      </c>
      <c r="P490" s="15" t="n">
        <f aca="false">N490*$E$2*(1+$I$481)/($F$481-$I$481)/(1+$F$481)^$N$3</f>
        <v>10418.3637916091</v>
      </c>
      <c r="Q490" s="15" t="n">
        <f aca="false">O490+P490</f>
        <v>16229.5663416474</v>
      </c>
      <c r="R490" s="15" t="n">
        <f aca="false">Q490-$G$2+$I$2</f>
        <v>14676.8663416474</v>
      </c>
      <c r="S490" s="40" t="n">
        <f aca="false">R490/$K$2</f>
        <v>53.294841285622</v>
      </c>
      <c r="T490" s="41" t="n">
        <f aca="false">S490-$M$2</f>
        <v>-1.20967957570198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0.044921875</v>
      </c>
      <c r="C491" s="25" t="n">
        <f aca="false">IF(T490&gt;0,D490,C490)</f>
        <v>0.05078125</v>
      </c>
      <c r="D491" s="39" t="n">
        <f aca="false">(B491+C491)/2</f>
        <v>0.0478515625</v>
      </c>
      <c r="E491" s="15" t="n">
        <f aca="false">$C$2*(1+IF(E$3&lt;=$O$2,$D491,$D491-($D491-$I$481)*MIN(E$3-$O$2,$Q$2)/$Q$2))</f>
        <v>1938.525390625</v>
      </c>
      <c r="F491" s="15" t="n">
        <f aca="false">E491*(1+IF(F$3&lt;=$O$2,$D491,$D491-($D491-$I$481)*MIN(F$3-$O$2,$Q$2)/$Q$2))</f>
        <v>2031.28685951233</v>
      </c>
      <c r="G491" s="15" t="n">
        <f aca="false">F491*(1+IF(G$3&lt;=$O$2,$D491,$D491-($D491-$I$481)*MIN(G$3-$O$2,$Q$2)/$Q$2))</f>
        <v>2128.48710962571</v>
      </c>
      <c r="H491" s="15" t="n">
        <f aca="false">G491*(1+IF(H$3&lt;=$O$2,$D491,$D491-($D491-$I$481)*MIN(H$3-$O$2,$Q$2)/$Q$2))</f>
        <v>2230.33854358241</v>
      </c>
      <c r="I491" s="15" t="n">
        <f aca="false">H491*(1+IF(I$3&lt;=$O$2,$D491,$D491-($D491-$I$481)*MIN(I$3-$O$2,$Q$2)/$Q$2))</f>
        <v>2337.0637277968</v>
      </c>
      <c r="J491" s="15" t="n">
        <f aca="false">I491*(1+IF(J$3&lt;=$O$2,$D491,$D491-($D491-$I$481)*MIN(J$3-$O$2,$Q$2)/$Q$2))</f>
        <v>2435.87770353771</v>
      </c>
      <c r="K491" s="15" t="n">
        <f aca="false">J491*(1+IF(K$3&lt;=$O$2,$D491,$D491-($D491-$I$481)*MIN(K$3-$O$2,$Q$2)/$Q$2))</f>
        <v>2525.30105766993</v>
      </c>
      <c r="L491" s="15" t="n">
        <f aca="false">K491*(1+IF(L$3&lt;=$O$2,$D491,$D491-($D491-$I$481)*MIN(L$3-$O$2,$Q$2)/$Q$2))</f>
        <v>2603.94051091893</v>
      </c>
      <c r="M491" s="15" t="n">
        <f aca="false">L491*(1+IF(M$3&lt;=$O$2,$D491,$D491-($D491-$I$481)*MIN(M$3-$O$2,$Q$2)/$Q$2))</f>
        <v>2670.52408351454</v>
      </c>
      <c r="N491" s="15" t="n">
        <f aca="false">M491*(1+IF(N$3&lt;=$O$2,$D491,$D491-($D491-$I$481)*MIN(N$3-$O$2,$Q$2)/$Q$2))</f>
        <v>2723.93456518483</v>
      </c>
      <c r="O491" s="15" t="n">
        <f aca="false">SUMPRODUCT(E491:N491,1/(1+$F$481)^$E$3:$N$3)*$E$2</f>
        <v>5887.33066361082</v>
      </c>
      <c r="P491" s="15" t="n">
        <f aca="false">N491*$E$2*(1+$I$481)/($F$481-$I$481)/(1+$F$481)^$N$3</f>
        <v>10625.1720476463</v>
      </c>
      <c r="Q491" s="15" t="n">
        <f aca="false">O491+P491</f>
        <v>16512.5027112571</v>
      </c>
      <c r="R491" s="15" t="n">
        <f aca="false">Q491-$G$2+$I$2</f>
        <v>14959.8027112571</v>
      </c>
      <c r="S491" s="40" t="n">
        <f aca="false">R491/$K$2</f>
        <v>54.3222437679551</v>
      </c>
      <c r="T491" s="41" t="n">
        <f aca="false">S491-$M$2</f>
        <v>-0.182277093368867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0.0478515625</v>
      </c>
      <c r="C492" s="25" t="n">
        <f aca="false">IF(T491&gt;0,D491,C491)</f>
        <v>0.05078125</v>
      </c>
      <c r="D492" s="39" t="n">
        <f aca="false">(B492+C492)/2</f>
        <v>0.04931640625</v>
      </c>
      <c r="E492" s="15" t="n">
        <f aca="false">$C$2*(1+IF(E$3&lt;=$O$2,$D492,$D492-($D492-$I$481)*MIN(E$3-$O$2,$Q$2)/$Q$2))</f>
        <v>1941.2353515625</v>
      </c>
      <c r="F492" s="15" t="n">
        <f aca="false">E492*(1+IF(F$3&lt;=$O$2,$D492,$D492-($D492-$I$481)*MIN(F$3-$O$2,$Q$2)/$Q$2))</f>
        <v>2036.97010278702</v>
      </c>
      <c r="G492" s="15" t="n">
        <f aca="false">F492*(1+IF(G$3&lt;=$O$2,$D492,$D492-($D492-$I$481)*MIN(G$3-$O$2,$Q$2)/$Q$2))</f>
        <v>2137.42614789517</v>
      </c>
      <c r="H492" s="15" t="n">
        <f aca="false">G492*(1+IF(H$3&lt;=$O$2,$D492,$D492-($D492-$I$481)*MIN(H$3-$O$2,$Q$2)/$Q$2))</f>
        <v>2242.83632413414</v>
      </c>
      <c r="I492" s="15" t="n">
        <f aca="false">H492*(1+IF(I$3&lt;=$O$2,$D492,$D492-($D492-$I$481)*MIN(I$3-$O$2,$Q$2)/$Q$2))</f>
        <v>2353.44495144739</v>
      </c>
      <c r="J492" s="15" t="n">
        <f aca="false">I492*(1+IF(J$3&lt;=$O$2,$D492,$D492-($D492-$I$481)*MIN(J$3-$O$2,$Q$2)/$Q$2))</f>
        <v>2455.70948910326</v>
      </c>
      <c r="K492" s="15" t="n">
        <f aca="false">J492*(1+IF(K$3&lt;=$O$2,$D492,$D492-($D492-$I$481)*MIN(K$3-$O$2,$Q$2)/$Q$2))</f>
        <v>2548.01922509404</v>
      </c>
      <c r="L492" s="15" t="n">
        <f aca="false">K492*(1+IF(L$3&lt;=$O$2,$D492,$D492-($D492-$I$481)*MIN(L$3-$O$2,$Q$2)/$Q$2))</f>
        <v>2628.85911629019</v>
      </c>
      <c r="M492" s="15" t="n">
        <f aca="false">L492*(1+IF(M$3&lt;=$O$2,$D492,$D492-($D492-$I$481)*MIN(M$3-$O$2,$Q$2)/$Q$2))</f>
        <v>2696.85003898143</v>
      </c>
      <c r="N492" s="15" t="n">
        <f aca="false">M492*(1+IF(N$3&lt;=$O$2,$D492,$D492-($D492-$I$481)*MIN(N$3-$O$2,$Q$2)/$Q$2))</f>
        <v>2750.78703976106</v>
      </c>
      <c r="O492" s="15" t="n">
        <f aca="false">SUMPRODUCT(E492:N492,1/(1+$F$481)^$E$3:$N$3)*$E$2</f>
        <v>5925.76882424525</v>
      </c>
      <c r="P492" s="15" t="n">
        <f aca="false">N492*$E$2*(1+$I$481)/($F$481-$I$481)/(1+$F$481)^$N$3</f>
        <v>10729.9147114108</v>
      </c>
      <c r="Q492" s="15" t="n">
        <f aca="false">O492+P492</f>
        <v>16655.683535656</v>
      </c>
      <c r="R492" s="15" t="n">
        <f aca="false">Q492-$G$2+$I$2</f>
        <v>15102.983535656</v>
      </c>
      <c r="S492" s="40" t="n">
        <f aca="false">R492/$K$2</f>
        <v>54.8421639698464</v>
      </c>
      <c r="T492" s="41" t="n">
        <f aca="false">S492-$M$2</f>
        <v>0.337643108522464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0.0478515625</v>
      </c>
      <c r="C493" s="25" t="n">
        <f aca="false">IF(T492&gt;0,D492,C492)</f>
        <v>0.04931640625</v>
      </c>
      <c r="D493" s="39" t="n">
        <f aca="false">(B493+C493)/2</f>
        <v>0.048583984375</v>
      </c>
      <c r="E493" s="15" t="n">
        <f aca="false">$C$2*(1+IF(E$3&lt;=$O$2,$D493,$D493-($D493-$I$481)*MIN(E$3-$O$2,$Q$2)/$Q$2))</f>
        <v>1939.88037109375</v>
      </c>
      <c r="F493" s="15" t="n">
        <f aca="false">E493*(1+IF(F$3&lt;=$O$2,$D493,$D493-($D493-$I$481)*MIN(F$3-$O$2,$Q$2)/$Q$2))</f>
        <v>2034.12748873234</v>
      </c>
      <c r="G493" s="15" t="n">
        <f aca="false">F493*(1+IF(G$3&lt;=$O$2,$D493,$D493-($D493-$I$481)*MIN(G$3-$O$2,$Q$2)/$Q$2))</f>
        <v>2132.95350686167</v>
      </c>
      <c r="H493" s="15" t="n">
        <f aca="false">G493*(1+IF(H$3&lt;=$O$2,$D493,$D493-($D493-$I$481)*MIN(H$3-$O$2,$Q$2)/$Q$2))</f>
        <v>2236.58088671164</v>
      </c>
      <c r="I493" s="15" t="n">
        <f aca="false">H493*(1+IF(I$3&lt;=$O$2,$D493,$D493-($D493-$I$481)*MIN(I$3-$O$2,$Q$2)/$Q$2))</f>
        <v>2345.24289756506</v>
      </c>
      <c r="J493" s="15" t="n">
        <f aca="false">I493*(1+IF(J$3&lt;=$O$2,$D493,$D493-($D493-$I$481)*MIN(J$3-$O$2,$Q$2)/$Q$2))</f>
        <v>2445.77686458802</v>
      </c>
      <c r="K493" s="15" t="n">
        <f aca="false">J493*(1+IF(K$3&lt;=$O$2,$D493,$D493-($D493-$I$481)*MIN(K$3-$O$2,$Q$2)/$Q$2))</f>
        <v>2536.63843048906</v>
      </c>
      <c r="L493" s="15" t="n">
        <f aca="false">K493*(1+IF(L$3&lt;=$O$2,$D493,$D493-($D493-$I$481)*MIN(L$3-$O$2,$Q$2)/$Q$2))</f>
        <v>2616.37409240369</v>
      </c>
      <c r="M493" s="15" t="n">
        <f aca="false">L493*(1+IF(M$3&lt;=$O$2,$D493,$D493-($D493-$I$481)*MIN(M$3-$O$2,$Q$2)/$Q$2))</f>
        <v>2683.65885348704</v>
      </c>
      <c r="N493" s="15" t="n">
        <f aca="false">M493*(1+IF(N$3&lt;=$O$2,$D493,$D493-($D493-$I$481)*MIN(N$3-$O$2,$Q$2)/$Q$2))</f>
        <v>2737.33203055679</v>
      </c>
      <c r="O493" s="15" t="n">
        <f aca="false">SUMPRODUCT(E493:N493,1/(1+$F$481)^$E$3:$N$3)*$E$2</f>
        <v>5906.51841059249</v>
      </c>
      <c r="P493" s="15" t="n">
        <f aca="false">N493*$E$2*(1+$I$481)/($F$481-$I$481)/(1+$F$481)^$N$3</f>
        <v>10677.431149755</v>
      </c>
      <c r="Q493" s="15" t="n">
        <f aca="false">O493+P493</f>
        <v>16583.9495603475</v>
      </c>
      <c r="R493" s="15" t="n">
        <f aca="false">Q493-$G$2+$I$2</f>
        <v>15031.2495603475</v>
      </c>
      <c r="S493" s="40" t="n">
        <f aca="false">R493/$K$2</f>
        <v>54.5816825605415</v>
      </c>
      <c r="T493" s="41" t="n">
        <f aca="false">S493-$M$2</f>
        <v>0.0771616992175552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0.0478515625</v>
      </c>
      <c r="C494" s="25" t="n">
        <f aca="false">IF(T493&gt;0,D493,C493)</f>
        <v>0.048583984375</v>
      </c>
      <c r="D494" s="39" t="n">
        <f aca="false">(B494+C494)/2</f>
        <v>0.0482177734375</v>
      </c>
      <c r="E494" s="15" t="n">
        <f aca="false">$C$2*(1+IF(E$3&lt;=$O$2,$D494,$D494-($D494-$I$481)*MIN(E$3-$O$2,$Q$2)/$Q$2))</f>
        <v>1939.20288085938</v>
      </c>
      <c r="F494" s="15" t="n">
        <f aca="false">E494*(1+IF(F$3&lt;=$O$2,$D494,$D494-($D494-$I$481)*MIN(F$3-$O$2,$Q$2)/$Q$2))</f>
        <v>2032.706926018</v>
      </c>
      <c r="G494" s="15" t="n">
        <f aca="false">F494*(1+IF(G$3&lt;=$O$2,$D494,$D494-($D494-$I$481)*MIN(G$3-$O$2,$Q$2)/$Q$2))</f>
        <v>2130.71952804157</v>
      </c>
      <c r="H494" s="15" t="n">
        <f aca="false">G494*(1+IF(H$3&lt;=$O$2,$D494,$D494-($D494-$I$481)*MIN(H$3-$O$2,$Q$2)/$Q$2))</f>
        <v>2233.45807950354</v>
      </c>
      <c r="I494" s="15" t="n">
        <f aca="false">H494*(1+IF(I$3&lt;=$O$2,$D494,$D494-($D494-$I$481)*MIN(I$3-$O$2,$Q$2)/$Q$2))</f>
        <v>2341.15045516319</v>
      </c>
      <c r="J494" s="15" t="n">
        <f aca="false">I494*(1+IF(J$3&lt;=$O$2,$D494,$D494-($D494-$I$481)*MIN(J$3-$O$2,$Q$2)/$Q$2))</f>
        <v>2440.82310676797</v>
      </c>
      <c r="K494" s="15" t="n">
        <f aca="false">J494*(1+IF(K$3&lt;=$O$2,$D494,$D494-($D494-$I$481)*MIN(K$3-$O$2,$Q$2)/$Q$2))</f>
        <v>2530.96432496001</v>
      </c>
      <c r="L494" s="15" t="n">
        <f aca="false">K494*(1+IF(L$3&lt;=$O$2,$D494,$D494-($D494-$I$481)*MIN(L$3-$O$2,$Q$2)/$Q$2))</f>
        <v>2610.15088261926</v>
      </c>
      <c r="M494" s="15" t="n">
        <f aca="false">L494*(1+IF(M$3&lt;=$O$2,$D494,$D494-($D494-$I$481)*MIN(M$3-$O$2,$Q$2)/$Q$2))</f>
        <v>2677.08442952033</v>
      </c>
      <c r="N494" s="15" t="n">
        <f aca="false">M494*(1+IF(N$3&lt;=$O$2,$D494,$D494-($D494-$I$481)*MIN(N$3-$O$2,$Q$2)/$Q$2))</f>
        <v>2730.62611811074</v>
      </c>
      <c r="O494" s="15" t="n">
        <f aca="false">SUMPRODUCT(E494:N494,1/(1+$F$481)^$E$3:$N$3)*$E$2</f>
        <v>5896.91671565404</v>
      </c>
      <c r="P494" s="15" t="n">
        <f aca="false">N494*$E$2*(1+$I$481)/($F$481-$I$481)/(1+$F$481)^$N$3</f>
        <v>10651.2735928201</v>
      </c>
      <c r="Q494" s="15" t="n">
        <f aca="false">O494+P494</f>
        <v>16548.1903084742</v>
      </c>
      <c r="R494" s="15" t="n">
        <f aca="false">Q494-$G$2+$I$2</f>
        <v>14995.4903084742</v>
      </c>
      <c r="S494" s="40" t="n">
        <f aca="false">R494/$K$2</f>
        <v>54.4518330675558</v>
      </c>
      <c r="T494" s="41" t="n">
        <f aca="false">S494-$M$2</f>
        <v>-0.0526877937681576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0.0482177734375</v>
      </c>
      <c r="C495" s="25" t="n">
        <f aca="false">IF(T494&gt;0,D494,C494)</f>
        <v>0.048583984375</v>
      </c>
      <c r="D495" s="39" t="n">
        <f aca="false">(B495+C495)/2</f>
        <v>0.04840087890625</v>
      </c>
      <c r="E495" s="15" t="n">
        <f aca="false">$C$2*(1+IF(E$3&lt;=$O$2,$D495,$D495-($D495-$I$481)*MIN(E$3-$O$2,$Q$2)/$Q$2))</f>
        <v>1939.54162597656</v>
      </c>
      <c r="F495" s="15" t="n">
        <f aca="false">E495*(1+IF(F$3&lt;=$O$2,$D495,$D495-($D495-$I$481)*MIN(F$3-$O$2,$Q$2)/$Q$2))</f>
        <v>2033.41714534909</v>
      </c>
      <c r="G495" s="15" t="n">
        <f aca="false">F495*(1+IF(G$3&lt;=$O$2,$D495,$D495-($D495-$I$481)*MIN(G$3-$O$2,$Q$2)/$Q$2))</f>
        <v>2131.83632236702</v>
      </c>
      <c r="H495" s="15" t="n">
        <f aca="false">G495*(1+IF(H$3&lt;=$O$2,$D495,$D495-($D495-$I$481)*MIN(H$3-$O$2,$Q$2)/$Q$2))</f>
        <v>2235.01907405385</v>
      </c>
      <c r="I495" s="15" t="n">
        <f aca="false">H495*(1+IF(I$3&lt;=$O$2,$D495,$D495-($D495-$I$481)*MIN(I$3-$O$2,$Q$2)/$Q$2))</f>
        <v>2343.19596161029</v>
      </c>
      <c r="J495" s="15" t="n">
        <f aca="false">I495*(1+IF(J$3&lt;=$O$2,$D495,$D495-($D495-$I$481)*MIN(J$3-$O$2,$Q$2)/$Q$2))</f>
        <v>2443.29894064994</v>
      </c>
      <c r="K495" s="15" t="n">
        <f aca="false">J495*(1+IF(K$3&lt;=$O$2,$D495,$D495-($D495-$I$481)*MIN(K$3-$O$2,$Q$2)/$Q$2))</f>
        <v>2533.80002187004</v>
      </c>
      <c r="L495" s="15" t="n">
        <f aca="false">K495*(1+IF(L$3&lt;=$O$2,$D495,$D495-($D495-$I$481)*MIN(L$3-$O$2,$Q$2)/$Q$2))</f>
        <v>2613.26088134496</v>
      </c>
      <c r="M495" s="15" t="n">
        <f aca="false">L495*(1+IF(M$3&lt;=$O$2,$D495,$D495-($D495-$I$481)*MIN(M$3-$O$2,$Q$2)/$Q$2))</f>
        <v>2680.36988014016</v>
      </c>
      <c r="N495" s="15" t="n">
        <f aca="false">M495*(1+IF(N$3&lt;=$O$2,$D495,$D495-($D495-$I$481)*MIN(N$3-$O$2,$Q$2)/$Q$2))</f>
        <v>2733.97727774296</v>
      </c>
      <c r="O495" s="15" t="n">
        <f aca="false">SUMPRODUCT(E495:N495,1/(1+$F$481)^$E$3:$N$3)*$E$2</f>
        <v>5901.7156062768</v>
      </c>
      <c r="P495" s="15" t="n">
        <f aca="false">N495*$E$2*(1+$I$481)/($F$481-$I$481)/(1+$F$481)^$N$3</f>
        <v>10664.3453633783</v>
      </c>
      <c r="Q495" s="15" t="n">
        <f aca="false">O495+P495</f>
        <v>16566.0609696551</v>
      </c>
      <c r="R495" s="15" t="n">
        <f aca="false">Q495-$G$2+$I$2</f>
        <v>15013.3609696551</v>
      </c>
      <c r="S495" s="40" t="n">
        <f aca="false">R495/$K$2</f>
        <v>54.5167252611028</v>
      </c>
      <c r="T495" s="41" t="n">
        <f aca="false">S495-$M$2</f>
        <v>0.0122043997788737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0.0482177734375</v>
      </c>
      <c r="C496" s="25" t="n">
        <f aca="false">IF(T495&gt;0,D495,C495)</f>
        <v>0.04840087890625</v>
      </c>
      <c r="D496" s="39" t="n">
        <f aca="false">(B496+C496)/2</f>
        <v>0.048309326171875</v>
      </c>
      <c r="E496" s="15" t="n">
        <f aca="false">$C$2*(1+IF(E$3&lt;=$O$2,$D496,$D496-($D496-$I$481)*MIN(E$3-$O$2,$Q$2)/$Q$2))</f>
        <v>1939.37225341797</v>
      </c>
      <c r="F496" s="15" t="n">
        <f aca="false">E496*(1+IF(F$3&lt;=$O$2,$D496,$D496-($D496-$I$481)*MIN(F$3-$O$2,$Q$2)/$Q$2))</f>
        <v>2033.06202017702</v>
      </c>
      <c r="G496" s="15" t="n">
        <f aca="false">F496*(1+IF(G$3&lt;=$O$2,$D496,$D496-($D496-$I$481)*MIN(G$3-$O$2,$Q$2)/$Q$2))</f>
        <v>2131.2778764374</v>
      </c>
      <c r="H496" s="15" t="n">
        <f aca="false">G496*(1+IF(H$3&lt;=$O$2,$D496,$D496-($D496-$I$481)*MIN(H$3-$O$2,$Q$2)/$Q$2))</f>
        <v>2234.23847453312</v>
      </c>
      <c r="I496" s="15" t="n">
        <f aca="false">H496*(1+IF(I$3&lt;=$O$2,$D496,$D496-($D496-$I$481)*MIN(I$3-$O$2,$Q$2)/$Q$2))</f>
        <v>2342.17302974509</v>
      </c>
      <c r="J496" s="15" t="n">
        <f aca="false">I496*(1+IF(J$3&lt;=$O$2,$D496,$D496-($D496-$I$481)*MIN(J$3-$O$2,$Q$2)/$Q$2))</f>
        <v>2442.06076254001</v>
      </c>
      <c r="K496" s="15" t="n">
        <f aca="false">J496*(1+IF(K$3&lt;=$O$2,$D496,$D496-($D496-$I$481)*MIN(K$3-$O$2,$Q$2)/$Q$2))</f>
        <v>2532.38183458578</v>
      </c>
      <c r="L496" s="15" t="n">
        <f aca="false">K496*(1+IF(L$3&lt;=$O$2,$D496,$D496-($D496-$I$481)*MIN(L$3-$O$2,$Q$2)/$Q$2))</f>
        <v>2611.70548061631</v>
      </c>
      <c r="M496" s="15" t="n">
        <f aca="false">L496*(1+IF(M$3&lt;=$O$2,$D496,$D496-($D496-$I$481)*MIN(M$3-$O$2,$Q$2)/$Q$2))</f>
        <v>2678.72671469176</v>
      </c>
      <c r="N496" s="15" t="n">
        <f aca="false">M496*(1+IF(N$3&lt;=$O$2,$D496,$D496-($D496-$I$481)*MIN(N$3-$O$2,$Q$2)/$Q$2))</f>
        <v>2732.3012489856</v>
      </c>
      <c r="O496" s="15" t="n">
        <f aca="false">SUMPRODUCT(E496:N496,1/(1+$F$481)^$E$3:$N$3)*$E$2</f>
        <v>5899.31567193945</v>
      </c>
      <c r="P496" s="15" t="n">
        <f aca="false">N496*$E$2*(1+$I$481)/($F$481-$I$481)/(1+$F$481)^$N$3</f>
        <v>10657.8077269272</v>
      </c>
      <c r="Q496" s="15" t="n">
        <f aca="false">O496+P496</f>
        <v>16557.1233988666</v>
      </c>
      <c r="R496" s="15" t="n">
        <f aca="false">Q496-$G$2+$I$2</f>
        <v>15004.4233988666</v>
      </c>
      <c r="S496" s="40" t="n">
        <f aca="false">R496/$K$2</f>
        <v>54.4842710296911</v>
      </c>
      <c r="T496" s="41" t="n">
        <f aca="false">S496-$M$2</f>
        <v>-0.0202498316328246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0.048309326171875</v>
      </c>
      <c r="C497" s="25" t="n">
        <f aca="false">IF(T496&gt;0,D496,C496)</f>
        <v>0.04840087890625</v>
      </c>
      <c r="D497" s="39" t="n">
        <f aca="false">(B497+C497)/2</f>
        <v>0.0483551025390625</v>
      </c>
      <c r="E497" s="15" t="n">
        <f aca="false">$C$2*(1+IF(E$3&lt;=$O$2,$D497,$D497-($D497-$I$481)*MIN(E$3-$O$2,$Q$2)/$Q$2))</f>
        <v>1939.45693969727</v>
      </c>
      <c r="F497" s="15" t="n">
        <f aca="false">E497*(1+IF(F$3&lt;=$O$2,$D497,$D497-($D497-$I$481)*MIN(F$3-$O$2,$Q$2)/$Q$2))</f>
        <v>2033.23957888642</v>
      </c>
      <c r="G497" s="15" t="n">
        <f aca="false">F497*(1+IF(G$3&lt;=$O$2,$D497,$D497-($D497-$I$481)*MIN(G$3-$O$2,$Q$2)/$Q$2))</f>
        <v>2131.55708720996</v>
      </c>
      <c r="H497" s="15" t="n">
        <f aca="false">G497*(1+IF(H$3&lt;=$O$2,$D497,$D497-($D497-$I$481)*MIN(H$3-$O$2,$Q$2)/$Q$2))</f>
        <v>2234.62874872986</v>
      </c>
      <c r="I497" s="15" t="n">
        <f aca="false">H497*(1+IF(I$3&lt;=$O$2,$D497,$D497-($D497-$I$481)*MIN(I$3-$O$2,$Q$2)/$Q$2))</f>
        <v>2342.68445101143</v>
      </c>
      <c r="J497" s="15" t="n">
        <f aca="false">I497*(1+IF(J$3&lt;=$O$2,$D497,$D497-($D497-$I$481)*MIN(J$3-$O$2,$Q$2)/$Q$2))</f>
        <v>2442.67978629173</v>
      </c>
      <c r="K497" s="15" t="n">
        <f aca="false">J497*(1+IF(K$3&lt;=$O$2,$D497,$D497-($D497-$I$481)*MIN(K$3-$O$2,$Q$2)/$Q$2))</f>
        <v>2533.09084350381</v>
      </c>
      <c r="L497" s="15" t="n">
        <f aca="false">K497*(1+IF(L$3&lt;=$O$2,$D497,$D497-($D497-$I$481)*MIN(L$3-$O$2,$Q$2)/$Q$2))</f>
        <v>2612.48308061721</v>
      </c>
      <c r="M497" s="15" t="n">
        <f aca="false">L497*(1+IF(M$3&lt;=$O$2,$D497,$D497-($D497-$I$481)*MIN(M$3-$O$2,$Q$2)/$Q$2))</f>
        <v>2679.54818735605</v>
      </c>
      <c r="N497" s="15" t="n">
        <f aca="false">M497*(1+IF(N$3&lt;=$O$2,$D497,$D497-($D497-$I$481)*MIN(N$3-$O$2,$Q$2)/$Q$2))</f>
        <v>2733.13915110317</v>
      </c>
      <c r="O497" s="15" t="n">
        <f aca="false">SUMPRODUCT(E497:N497,1/(1+$F$481)^$E$3:$N$3)*$E$2</f>
        <v>5900.51551682843</v>
      </c>
      <c r="P497" s="15" t="n">
        <f aca="false">N497*$E$2*(1+$I$481)/($F$481-$I$481)/(1+$F$481)^$N$3</f>
        <v>10661.0761072591</v>
      </c>
      <c r="Q497" s="15" t="n">
        <f aca="false">O497+P497</f>
        <v>16561.5916240875</v>
      </c>
      <c r="R497" s="15" t="n">
        <f aca="false">Q497-$G$2+$I$2</f>
        <v>15008.8916240875</v>
      </c>
      <c r="S497" s="40" t="n">
        <f aca="false">R497/$K$2</f>
        <v>54.5004961112877</v>
      </c>
      <c r="T497" s="41" t="n">
        <f aca="false">S497-$M$2</f>
        <v>-0.0040247500362014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0.0483551025390625</v>
      </c>
      <c r="C498" s="25" t="n">
        <f aca="false">IF(T497&gt;0,D497,C497)</f>
        <v>0.04840087890625</v>
      </c>
      <c r="D498" s="39" t="n">
        <f aca="false">(B498+C498)/2</f>
        <v>0.0483779907226563</v>
      </c>
      <c r="E498" s="15" t="n">
        <f aca="false">$C$2*(1+IF(E$3&lt;=$O$2,$D498,$D498-($D498-$I$481)*MIN(E$3-$O$2,$Q$2)/$Q$2))</f>
        <v>1939.49928283691</v>
      </c>
      <c r="F498" s="15" t="n">
        <f aca="false">E498*(1+IF(F$3&lt;=$O$2,$D498,$D498-($D498-$I$481)*MIN(F$3-$O$2,$Q$2)/$Q$2))</f>
        <v>2033.3283611486</v>
      </c>
      <c r="G498" s="15" t="n">
        <f aca="false">F498*(1+IF(G$3&lt;=$O$2,$D498,$D498-($D498-$I$481)*MIN(G$3-$O$2,$Q$2)/$Q$2))</f>
        <v>2131.69670174036</v>
      </c>
      <c r="H498" s="15" t="n">
        <f aca="false">G498*(1+IF(H$3&lt;=$O$2,$D498,$D498-($D498-$I$481)*MIN(H$3-$O$2,$Q$2)/$Q$2))</f>
        <v>2234.82390500067</v>
      </c>
      <c r="I498" s="15" t="n">
        <f aca="false">H498*(1+IF(I$3&lt;=$O$2,$D498,$D498-($D498-$I$481)*MIN(I$3-$O$2,$Q$2)/$Q$2))</f>
        <v>2342.94019514356</v>
      </c>
      <c r="J498" s="15" t="n">
        <f aca="false">I498*(1+IF(J$3&lt;=$O$2,$D498,$D498-($D498-$I$481)*MIN(J$3-$O$2,$Q$2)/$Q$2))</f>
        <v>2442.98934714365</v>
      </c>
      <c r="K498" s="15" t="n">
        <f aca="false">J498*(1+IF(K$3&lt;=$O$2,$D498,$D498-($D498-$I$481)*MIN(K$3-$O$2,$Q$2)/$Q$2))</f>
        <v>2533.4454115038</v>
      </c>
      <c r="L498" s="15" t="n">
        <f aca="false">K498*(1+IF(L$3&lt;=$O$2,$D498,$D498-($D498-$I$481)*MIN(L$3-$O$2,$Q$2)/$Q$2))</f>
        <v>2612.87195588748</v>
      </c>
      <c r="M498" s="15" t="n">
        <f aca="false">L498*(1+IF(M$3&lt;=$O$2,$D498,$D498-($D498-$I$481)*MIN(M$3-$O$2,$Q$2)/$Q$2))</f>
        <v>2679.95900622996</v>
      </c>
      <c r="N498" s="15" t="n">
        <f aca="false">M498*(1+IF(N$3&lt;=$O$2,$D498,$D498-($D498-$I$481)*MIN(N$3-$O$2,$Q$2)/$Q$2))</f>
        <v>2733.55818635456</v>
      </c>
      <c r="O498" s="15" t="n">
        <f aca="false">SUMPRODUCT(E498:N498,1/(1+$F$481)^$E$3:$N$3)*$E$2</f>
        <v>5901.11553097979</v>
      </c>
      <c r="P498" s="15" t="n">
        <f aca="false">N498*$E$2*(1+$I$481)/($F$481-$I$481)/(1+$F$481)^$N$3</f>
        <v>10662.7106258327</v>
      </c>
      <c r="Q498" s="15" t="n">
        <f aca="false">O498+P498</f>
        <v>16563.8261568125</v>
      </c>
      <c r="R498" s="15" t="n">
        <f aca="false">Q498-$G$2+$I$2</f>
        <v>15011.1261568125</v>
      </c>
      <c r="S498" s="40" t="n">
        <f aca="false">R498/$K$2</f>
        <v>54.5086101776118</v>
      </c>
      <c r="T498" s="41" t="n">
        <f aca="false">S498-$M$2</f>
        <v>0.00408931628781772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0.0483551025390625</v>
      </c>
      <c r="C499" s="25" t="n">
        <f aca="false">IF(T498&gt;0,D498,C498)</f>
        <v>0.0483779907226563</v>
      </c>
      <c r="D499" s="39" t="n">
        <f aca="false">(B499+C499)/2</f>
        <v>0.0483665466308594</v>
      </c>
      <c r="E499" s="15" t="n">
        <f aca="false">$C$2*(1+IF(E$3&lt;=$O$2,$D499,$D499-($D499-$I$481)*MIN(E$3-$O$2,$Q$2)/$Q$2))</f>
        <v>1939.47811126709</v>
      </c>
      <c r="F499" s="15" t="n">
        <f aca="false">E499*(1+IF(F$3&lt;=$O$2,$D499,$D499-($D499-$I$481)*MIN(F$3-$O$2,$Q$2)/$Q$2))</f>
        <v>2033.28396977522</v>
      </c>
      <c r="G499" s="15" t="n">
        <f aca="false">F499*(1+IF(G$3&lt;=$O$2,$D499,$D499-($D499-$I$481)*MIN(G$3-$O$2,$Q$2)/$Q$2))</f>
        <v>2131.62689371313</v>
      </c>
      <c r="H499" s="15" t="n">
        <f aca="false">G499*(1+IF(H$3&lt;=$O$2,$D499,$D499-($D499-$I$481)*MIN(H$3-$O$2,$Q$2)/$Q$2))</f>
        <v>2234.7263252675</v>
      </c>
      <c r="I499" s="15" t="n">
        <f aca="false">H499*(1+IF(I$3&lt;=$O$2,$D499,$D499-($D499-$I$481)*MIN(I$3-$O$2,$Q$2)/$Q$2))</f>
        <v>2342.81232028576</v>
      </c>
      <c r="J499" s="15" t="n">
        <f aca="false">I499*(1+IF(J$3&lt;=$O$2,$D499,$D499-($D499-$I$481)*MIN(J$3-$O$2,$Q$2)/$Q$2))</f>
        <v>2442.83456263607</v>
      </c>
      <c r="K499" s="15" t="n">
        <f aca="false">J499*(1+IF(K$3&lt;=$O$2,$D499,$D499-($D499-$I$481)*MIN(K$3-$O$2,$Q$2)/$Q$2))</f>
        <v>2533.26812220828</v>
      </c>
      <c r="L499" s="15" t="n">
        <f aca="false">K499*(1+IF(L$3&lt;=$O$2,$D499,$D499-($D499-$I$481)*MIN(L$3-$O$2,$Q$2)/$Q$2))</f>
        <v>2612.67751197929</v>
      </c>
      <c r="M499" s="15" t="n">
        <f aca="false">L499*(1+IF(M$3&lt;=$O$2,$D499,$D499-($D499-$I$481)*MIN(M$3-$O$2,$Q$2)/$Q$2))</f>
        <v>2679.75358991386</v>
      </c>
      <c r="N499" s="15" t="n">
        <f aca="false">M499*(1+IF(N$3&lt;=$O$2,$D499,$D499-($D499-$I$481)*MIN(N$3-$O$2,$Q$2)/$Q$2))</f>
        <v>2733.34866171214</v>
      </c>
      <c r="O499" s="15" t="n">
        <f aca="false">SUMPRODUCT(E499:N499,1/(1+$F$481)^$E$3:$N$3)*$E$2</f>
        <v>5900.81551626127</v>
      </c>
      <c r="P499" s="15" t="n">
        <f aca="false">N499*$E$2*(1+$I$481)/($F$481-$I$481)/(1+$F$481)^$N$3</f>
        <v>10661.893339176</v>
      </c>
      <c r="Q499" s="15" t="n">
        <f aca="false">O499+P499</f>
        <v>16562.7088554373</v>
      </c>
      <c r="R499" s="15" t="n">
        <f aca="false">Q499-$G$2+$I$2</f>
        <v>15010.0088554372</v>
      </c>
      <c r="S499" s="40" t="n">
        <f aca="false">R499/$K$2</f>
        <v>54.5045530173109</v>
      </c>
      <c r="T499" s="41" t="n">
        <f aca="false">S499-$M$2</f>
        <v>3.21559869647103E-005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0.0483551025390625</v>
      </c>
      <c r="C500" s="25" t="n">
        <f aca="false">IF(T499&gt;0,D499,C499)</f>
        <v>0.0483665466308594</v>
      </c>
      <c r="D500" s="39" t="n">
        <f aca="false">(B500+C500)/2</f>
        <v>0.0483608245849609</v>
      </c>
      <c r="E500" s="15" t="n">
        <f aca="false">$C$2*(1+IF(E$3&lt;=$O$2,$D500,$D500-($D500-$I$481)*MIN(E$3-$O$2,$Q$2)/$Q$2))</f>
        <v>1939.46752548218</v>
      </c>
      <c r="F500" s="15" t="n">
        <f aca="false">E500*(1+IF(F$3&lt;=$O$2,$D500,$D500-($D500-$I$481)*MIN(F$3-$O$2,$Q$2)/$Q$2))</f>
        <v>2033.26177427025</v>
      </c>
      <c r="G500" s="15" t="n">
        <f aca="false">F500*(1+IF(G$3&lt;=$O$2,$D500,$D500-($D500-$I$481)*MIN(G$3-$O$2,$Q$2)/$Q$2))</f>
        <v>2131.59199027104</v>
      </c>
      <c r="H500" s="15" t="n">
        <f aca="false">G500*(1+IF(H$3&lt;=$O$2,$D500,$D500-($D500-$I$481)*MIN(H$3-$O$2,$Q$2)/$Q$2))</f>
        <v>2234.67753659925</v>
      </c>
      <c r="I500" s="15" t="n">
        <f aca="false">H500*(1+IF(I$3&lt;=$O$2,$D500,$D500-($D500-$I$481)*MIN(I$3-$O$2,$Q$2)/$Q$2))</f>
        <v>2342.74838495067</v>
      </c>
      <c r="J500" s="15" t="n">
        <f aca="false">I500*(1+IF(J$3&lt;=$O$2,$D500,$D500-($D500-$I$481)*MIN(J$3-$O$2,$Q$2)/$Q$2))</f>
        <v>2442.75717344352</v>
      </c>
      <c r="K500" s="15" t="n">
        <f aca="false">J500*(1+IF(K$3&lt;=$O$2,$D500,$D500-($D500-$I$481)*MIN(K$3-$O$2,$Q$2)/$Q$2))</f>
        <v>2533.1794815322</v>
      </c>
      <c r="L500" s="15" t="n">
        <f aca="false">K500*(1+IF(L$3&lt;=$O$2,$D500,$D500-($D500-$I$481)*MIN(L$3-$O$2,$Q$2)/$Q$2))</f>
        <v>2612.58029473003</v>
      </c>
      <c r="M500" s="15" t="n">
        <f aca="false">L500*(1+IF(M$3&lt;=$O$2,$D500,$D500-($D500-$I$481)*MIN(M$3-$O$2,$Q$2)/$Q$2))</f>
        <v>2679.65088691522</v>
      </c>
      <c r="N500" s="15" t="n">
        <f aca="false">M500*(1+IF(N$3&lt;=$O$2,$D500,$D500-($D500-$I$481)*MIN(N$3-$O$2,$Q$2)/$Q$2))</f>
        <v>2733.24390465352</v>
      </c>
      <c r="O500" s="15" t="n">
        <f aca="false">SUMPRODUCT(E500:N500,1/(1+$F$481)^$E$3:$N$3)*$E$2</f>
        <v>5900.66551463419</v>
      </c>
      <c r="P500" s="15" t="n">
        <f aca="false">N500*$E$2*(1+$I$481)/($F$481-$I$481)/(1+$F$481)^$N$3</f>
        <v>10661.4847163753</v>
      </c>
      <c r="Q500" s="15" t="n">
        <f aca="false">O500+P500</f>
        <v>16562.1502310094</v>
      </c>
      <c r="R500" s="15" t="n">
        <f aca="false">Q500-$G$2+$I$2</f>
        <v>15009.4502310094</v>
      </c>
      <c r="S500" s="40" t="n">
        <f aca="false">R500/$K$2</f>
        <v>54.5025245325155</v>
      </c>
      <c r="T500" s="41" t="n">
        <f aca="false">S500-$M$2</f>
        <v>-0.00199632880846679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0.0483608245849609</v>
      </c>
      <c r="C501" s="25" t="n">
        <f aca="false">IF(T500&gt;0,D500,C500)</f>
        <v>0.0483665466308594</v>
      </c>
      <c r="D501" s="39" t="n">
        <f aca="false">(B501+C501)/2</f>
        <v>0.0483636856079102</v>
      </c>
      <c r="E501" s="15" t="n">
        <f aca="false">$C$2*(1+IF(E$3&lt;=$O$2,$D501,$D501-($D501-$I$481)*MIN(E$3-$O$2,$Q$2)/$Q$2))</f>
        <v>1939.47281837463</v>
      </c>
      <c r="F501" s="15" t="n">
        <f aca="false">E501*(1+IF(F$3&lt;=$O$2,$D501,$D501-($D501-$I$481)*MIN(F$3-$O$2,$Q$2)/$Q$2))</f>
        <v>2033.27287200759</v>
      </c>
      <c r="G501" s="15" t="n">
        <f aca="false">F501*(1+IF(G$3&lt;=$O$2,$D501,$D501-($D501-$I$481)*MIN(G$3-$O$2,$Q$2)/$Q$2))</f>
        <v>2131.60944194446</v>
      </c>
      <c r="H501" s="15" t="n">
        <f aca="false">G501*(1+IF(H$3&lt;=$O$2,$D501,$D501-($D501-$I$481)*MIN(H$3-$O$2,$Q$2)/$Q$2))</f>
        <v>2234.70193083351</v>
      </c>
      <c r="I501" s="15" t="n">
        <f aca="false">H501*(1+IF(I$3&lt;=$O$2,$D501,$D501-($D501-$I$481)*MIN(I$3-$O$2,$Q$2)/$Q$2))</f>
        <v>2342.78035244374</v>
      </c>
      <c r="J501" s="15" t="n">
        <f aca="false">I501*(1+IF(J$3&lt;=$O$2,$D501,$D501-($D501-$I$481)*MIN(J$3-$O$2,$Q$2)/$Q$2))</f>
        <v>2442.79586778469</v>
      </c>
      <c r="K501" s="15" t="n">
        <f aca="false">J501*(1+IF(K$3&lt;=$O$2,$D501,$D501-($D501-$I$481)*MIN(K$3-$O$2,$Q$2)/$Q$2))</f>
        <v>2533.22380153928</v>
      </c>
      <c r="L501" s="15" t="n">
        <f aca="false">K501*(1+IF(L$3&lt;=$O$2,$D501,$D501-($D501-$I$481)*MIN(L$3-$O$2,$Q$2)/$Q$2))</f>
        <v>2612.6289029626</v>
      </c>
      <c r="M501" s="15" t="n">
        <f aca="false">L501*(1+IF(M$3&lt;=$O$2,$D501,$D501-($D501-$I$481)*MIN(M$3-$O$2,$Q$2)/$Q$2))</f>
        <v>2679.7022379846</v>
      </c>
      <c r="N501" s="15" t="n">
        <f aca="false">M501*(1+IF(N$3&lt;=$O$2,$D501,$D501-($D501-$I$481)*MIN(N$3-$O$2,$Q$2)/$Q$2))</f>
        <v>2733.29628274429</v>
      </c>
      <c r="O501" s="15" t="n">
        <f aca="false">SUMPRODUCT(E501:N501,1/(1+$F$481)^$E$3:$N$3)*$E$2</f>
        <v>5900.74051497006</v>
      </c>
      <c r="P501" s="15" t="n">
        <f aca="false">N501*$E$2*(1+$I$481)/($F$481-$I$481)/(1+$F$481)^$N$3</f>
        <v>10661.689026065</v>
      </c>
      <c r="Q501" s="15" t="n">
        <f aca="false">O501+P501</f>
        <v>16562.4295410351</v>
      </c>
      <c r="R501" s="15" t="n">
        <f aca="false">Q501-$G$2+$I$2</f>
        <v>15009.7295410351</v>
      </c>
      <c r="S501" s="40" t="n">
        <f aca="false">R501/$K$2</f>
        <v>54.5035387669671</v>
      </c>
      <c r="T501" s="41" t="n">
        <f aca="false">S501-$M$2</f>
        <v>-0.000982094356821506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0.0483636856079102</v>
      </c>
      <c r="C502" s="25" t="n">
        <f aca="false">IF(T501&gt;0,D501,C501)</f>
        <v>0.0483665466308594</v>
      </c>
      <c r="D502" s="39" t="n">
        <f aca="false">(B502+C502)/2</f>
        <v>0.0483651161193848</v>
      </c>
      <c r="E502" s="15" t="n">
        <f aca="false">$C$2*(1+IF(E$3&lt;=$O$2,$D502,$D502-($D502-$I$481)*MIN(E$3-$O$2,$Q$2)/$Q$2))</f>
        <v>1939.47546482086</v>
      </c>
      <c r="F502" s="15" t="n">
        <f aca="false">E502*(1+IF(F$3&lt;=$O$2,$D502,$D502-($D502-$I$481)*MIN(F$3-$O$2,$Q$2)/$Q$2))</f>
        <v>2033.27842088762</v>
      </c>
      <c r="G502" s="15" t="n">
        <f aca="false">F502*(1+IF(G$3&lt;=$O$2,$D502,$D502-($D502-$I$481)*MIN(G$3-$O$2,$Q$2)/$Q$2))</f>
        <v>2131.61816781689</v>
      </c>
      <c r="H502" s="15" t="n">
        <f aca="false">G502*(1+IF(H$3&lt;=$O$2,$D502,$D502-($D502-$I$481)*MIN(H$3-$O$2,$Q$2)/$Q$2))</f>
        <v>2234.71412802554</v>
      </c>
      <c r="I502" s="15" t="n">
        <f aca="false">H502*(1+IF(I$3&lt;=$O$2,$D502,$D502-($D502-$I$481)*MIN(I$3-$O$2,$Q$2)/$Q$2))</f>
        <v>2342.79633632113</v>
      </c>
      <c r="J502" s="15" t="n">
        <f aca="false">I502*(1+IF(J$3&lt;=$O$2,$D502,$D502-($D502-$I$481)*MIN(J$3-$O$2,$Q$2)/$Q$2))</f>
        <v>2442.81521514661</v>
      </c>
      <c r="K502" s="15" t="n">
        <f aca="false">J502*(1+IF(K$3&lt;=$O$2,$D502,$D502-($D502-$I$481)*MIN(K$3-$O$2,$Q$2)/$Q$2))</f>
        <v>2533.24596179104</v>
      </c>
      <c r="L502" s="15" t="n">
        <f aca="false">K502*(1+IF(L$3&lt;=$O$2,$D502,$D502-($D502-$I$481)*MIN(L$3-$O$2,$Q$2)/$Q$2))</f>
        <v>2612.65320737293</v>
      </c>
      <c r="M502" s="15" t="n">
        <f aca="false">L502*(1+IF(M$3&lt;=$O$2,$D502,$D502-($D502-$I$481)*MIN(M$3-$O$2,$Q$2)/$Q$2))</f>
        <v>2679.72791384175</v>
      </c>
      <c r="N502" s="15" t="n">
        <f aca="false">M502*(1+IF(N$3&lt;=$O$2,$D502,$D502-($D502-$I$481)*MIN(N$3-$O$2,$Q$2)/$Q$2))</f>
        <v>2733.32247211858</v>
      </c>
      <c r="O502" s="15" t="n">
        <f aca="false">SUMPRODUCT(E502:N502,1/(1+$F$481)^$E$3:$N$3)*$E$2</f>
        <v>5900.77801549624</v>
      </c>
      <c r="P502" s="15" t="n">
        <f aca="false">N502*$E$2*(1+$I$481)/($F$481-$I$481)/(1+$F$481)^$N$3</f>
        <v>10661.7911821928</v>
      </c>
      <c r="Q502" s="15" t="n">
        <f aca="false">O502+P502</f>
        <v>16562.5691976891</v>
      </c>
      <c r="R502" s="15" t="n">
        <f aca="false">Q502-$G$2+$I$2</f>
        <v>15009.8691976891</v>
      </c>
      <c r="S502" s="40" t="n">
        <f aca="false">R502/$K$2</f>
        <v>54.5040458901525</v>
      </c>
      <c r="T502" s="41" t="n">
        <f aca="false">S502-$M$2</f>
        <v>-0.000474971171470884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0.0483651161193848</v>
      </c>
      <c r="C503" s="25" t="n">
        <f aca="false">IF(T502&gt;0,D502,C502)</f>
        <v>0.0483665466308594</v>
      </c>
      <c r="D503" s="39" t="n">
        <f aca="false">(B503+C503)/2</f>
        <v>0.0483658313751221</v>
      </c>
      <c r="E503" s="15" t="n">
        <f aca="false">$C$2*(1+IF(E$3&lt;=$O$2,$D503,$D503-($D503-$I$481)*MIN(E$3-$O$2,$Q$2)/$Q$2))</f>
        <v>1939.47678804398</v>
      </c>
      <c r="F503" s="15" t="n">
        <f aca="false">E503*(1+IF(F$3&lt;=$O$2,$D503,$D503-($D503-$I$481)*MIN(F$3-$O$2,$Q$2)/$Q$2))</f>
        <v>2033.28119533047</v>
      </c>
      <c r="G503" s="15" t="n">
        <f aca="false">F503*(1+IF(G$3&lt;=$O$2,$D503,$D503-($D503-$I$481)*MIN(G$3-$O$2,$Q$2)/$Q$2))</f>
        <v>2131.62253076203</v>
      </c>
      <c r="H503" s="15" t="n">
        <f aca="false">G503*(1+IF(H$3&lt;=$O$2,$D503,$D503-($D503-$I$481)*MIN(H$3-$O$2,$Q$2)/$Q$2))</f>
        <v>2234.72022664028</v>
      </c>
      <c r="I503" s="15" t="n">
        <f aca="false">H503*(1+IF(I$3&lt;=$O$2,$D503,$D503-($D503-$I$481)*MIN(I$3-$O$2,$Q$2)/$Q$2))</f>
        <v>2342.80432829254</v>
      </c>
      <c r="J503" s="15" t="n">
        <f aca="false">I503*(1+IF(J$3&lt;=$O$2,$D503,$D503-($D503-$I$481)*MIN(J$3-$O$2,$Q$2)/$Q$2))</f>
        <v>2442.82488887539</v>
      </c>
      <c r="K503" s="15" t="n">
        <f aca="false">J503*(1+IF(K$3&lt;=$O$2,$D503,$D503-($D503-$I$481)*MIN(K$3-$O$2,$Q$2)/$Q$2))</f>
        <v>2533.25704197898</v>
      </c>
      <c r="L503" s="15" t="n">
        <f aca="false">K503*(1+IF(L$3&lt;=$O$2,$D503,$D503-($D503-$I$481)*MIN(L$3-$O$2,$Q$2)/$Q$2))</f>
        <v>2612.6653596516</v>
      </c>
      <c r="M503" s="15" t="n">
        <f aca="false">L503*(1+IF(M$3&lt;=$O$2,$D503,$D503-($D503-$I$481)*MIN(M$3-$O$2,$Q$2)/$Q$2))</f>
        <v>2679.74075185093</v>
      </c>
      <c r="N503" s="15" t="n">
        <f aca="false">M503*(1+IF(N$3&lt;=$O$2,$D503,$D503-($D503-$I$481)*MIN(N$3-$O$2,$Q$2)/$Q$2))</f>
        <v>2733.33556688795</v>
      </c>
      <c r="O503" s="15" t="n">
        <f aca="false">SUMPRODUCT(E503:N503,1/(1+$F$481)^$E$3:$N$3)*$E$2</f>
        <v>5900.7967658489</v>
      </c>
      <c r="P503" s="15" t="n">
        <f aca="false">N503*$E$2*(1+$I$481)/($F$481-$I$481)/(1+$F$481)^$N$3</f>
        <v>10661.8422605775</v>
      </c>
      <c r="Q503" s="15" t="n">
        <f aca="false">O503+P503</f>
        <v>16562.6390264264</v>
      </c>
      <c r="R503" s="15" t="n">
        <f aca="false">Q503-$G$2+$I$2</f>
        <v>15009.9390264264</v>
      </c>
      <c r="S503" s="40" t="n">
        <f aca="false">R503/$K$2</f>
        <v>54.5042994532351</v>
      </c>
      <c r="T503" s="41" t="n">
        <f aca="false">S503-$M$2</f>
        <v>-0.000221408088890485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0.0483658313751221</v>
      </c>
      <c r="C504" s="25" t="n">
        <f aca="false">IF(T503&gt;0,D503,C503)</f>
        <v>0.0483665466308594</v>
      </c>
      <c r="D504" s="39" t="n">
        <f aca="false">(B504+C504)/2</f>
        <v>0.0483661890029907</v>
      </c>
      <c r="E504" s="15" t="n">
        <f aca="false">$C$2*(1+IF(E$3&lt;=$O$2,$D504,$D504-($D504-$I$481)*MIN(E$3-$O$2,$Q$2)/$Q$2))</f>
        <v>1939.47744965553</v>
      </c>
      <c r="F504" s="15" t="n">
        <f aca="false">E504*(1+IF(F$3&lt;=$O$2,$D504,$D504-($D504-$I$481)*MIN(F$3-$O$2,$Q$2)/$Q$2))</f>
        <v>2033.28258255261</v>
      </c>
      <c r="G504" s="15" t="n">
        <f aca="false">F504*(1+IF(G$3&lt;=$O$2,$D504,$D504-($D504-$I$481)*MIN(G$3-$O$2,$Q$2)/$Q$2))</f>
        <v>2131.62471223684</v>
      </c>
      <c r="H504" s="15" t="n">
        <f aca="false">G504*(1+IF(H$3&lt;=$O$2,$D504,$D504-($D504-$I$481)*MIN(H$3-$O$2,$Q$2)/$Q$2))</f>
        <v>2234.72327595233</v>
      </c>
      <c r="I504" s="15" t="n">
        <f aca="false">H504*(1+IF(I$3&lt;=$O$2,$D504,$D504-($D504-$I$481)*MIN(I$3-$O$2,$Q$2)/$Q$2))</f>
        <v>2342.80832428643</v>
      </c>
      <c r="J504" s="15" t="n">
        <f aca="false">I504*(1+IF(J$3&lt;=$O$2,$D504,$D504-($D504-$I$481)*MIN(J$3-$O$2,$Q$2)/$Q$2))</f>
        <v>2442.82972575174</v>
      </c>
      <c r="K504" s="15" t="n">
        <f aca="false">J504*(1+IF(K$3&lt;=$O$2,$D504,$D504-($D504-$I$481)*MIN(K$3-$O$2,$Q$2)/$Q$2))</f>
        <v>2533.26258208846</v>
      </c>
      <c r="L504" s="15" t="n">
        <f aca="false">K504*(1+IF(L$3&lt;=$O$2,$D504,$D504-($D504-$I$481)*MIN(L$3-$O$2,$Q$2)/$Q$2))</f>
        <v>2612.67143580932</v>
      </c>
      <c r="M504" s="15" t="n">
        <f aca="false">L504*(1+IF(M$3&lt;=$O$2,$D504,$D504-($D504-$I$481)*MIN(M$3-$O$2,$Q$2)/$Q$2))</f>
        <v>2679.74717087568</v>
      </c>
      <c r="N504" s="15" t="n">
        <f aca="false">M504*(1+IF(N$3&lt;=$O$2,$D504,$D504-($D504-$I$481)*MIN(N$3-$O$2,$Q$2)/$Q$2))</f>
        <v>2733.34211429319</v>
      </c>
      <c r="O504" s="15" t="n">
        <f aca="false">SUMPRODUCT(E504:N504,1/(1+$F$481)^$E$3:$N$3)*$E$2</f>
        <v>5900.80614104762</v>
      </c>
      <c r="P504" s="15" t="n">
        <f aca="false">N504*$E$2*(1+$I$481)/($F$481-$I$481)/(1+$F$481)^$N$3</f>
        <v>10661.86779985</v>
      </c>
      <c r="Q504" s="15" t="n">
        <f aca="false">O504+P504</f>
        <v>16562.6739408976</v>
      </c>
      <c r="R504" s="15" t="n">
        <f aca="false">Q504-$G$2+$I$2</f>
        <v>15009.9739408976</v>
      </c>
      <c r="S504" s="40" t="n">
        <f aca="false">R504/$K$2</f>
        <v>54.5044262351488</v>
      </c>
      <c r="T504" s="41" t="n">
        <f aca="false">S504-$M$2</f>
        <v>-9.46261751266775E-005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0.0483661890029907</v>
      </c>
      <c r="C505" s="25" t="n">
        <f aca="false">IF(T504&gt;0,D504,C504)</f>
        <v>0.0483665466308594</v>
      </c>
      <c r="D505" s="39" t="n">
        <f aca="false">(B505+C505)/2</f>
        <v>0.0483663678169251</v>
      </c>
      <c r="E505" s="15" t="n">
        <f aca="false">$C$2*(1+IF(E$3&lt;=$O$2,$D505,$D505-($D505-$I$481)*MIN(E$3-$O$2,$Q$2)/$Q$2))</f>
        <v>1939.47778046131</v>
      </c>
      <c r="F505" s="15" t="n">
        <f aca="false">E505*(1+IF(F$3&lt;=$O$2,$D505,$D505-($D505-$I$481)*MIN(F$3-$O$2,$Q$2)/$Q$2))</f>
        <v>2033.28327616386</v>
      </c>
      <c r="G505" s="15" t="n">
        <f aca="false">F505*(1+IF(G$3&lt;=$O$2,$D505,$D505-($D505-$I$481)*MIN(G$3-$O$2,$Q$2)/$Q$2))</f>
        <v>2131.6258029748</v>
      </c>
      <c r="H505" s="15" t="n">
        <f aca="false">G505*(1+IF(H$3&lt;=$O$2,$D505,$D505-($D505-$I$481)*MIN(H$3-$O$2,$Q$2)/$Q$2))</f>
        <v>2234.72480060953</v>
      </c>
      <c r="I505" s="15" t="n">
        <f aca="false">H505*(1+IF(I$3&lt;=$O$2,$D505,$D505-($D505-$I$481)*MIN(I$3-$O$2,$Q$2)/$Q$2))</f>
        <v>2342.81032228541</v>
      </c>
      <c r="J505" s="15" t="n">
        <f aca="false">I505*(1+IF(J$3&lt;=$O$2,$D505,$D505-($D505-$I$481)*MIN(J$3-$O$2,$Q$2)/$Q$2))</f>
        <v>2442.83214419291</v>
      </c>
      <c r="K505" s="15" t="n">
        <f aca="false">J505*(1+IF(K$3&lt;=$O$2,$D505,$D505-($D505-$I$481)*MIN(K$3-$O$2,$Q$2)/$Q$2))</f>
        <v>2533.26535214708</v>
      </c>
      <c r="L505" s="15" t="n">
        <f aca="false">K505*(1+IF(L$3&lt;=$O$2,$D505,$D505-($D505-$I$481)*MIN(L$3-$O$2,$Q$2)/$Q$2))</f>
        <v>2612.67447389277</v>
      </c>
      <c r="M505" s="15" t="n">
        <f aca="false">L505*(1+IF(M$3&lt;=$O$2,$D505,$D505-($D505-$I$481)*MIN(M$3-$O$2,$Q$2)/$Q$2))</f>
        <v>2679.75038039309</v>
      </c>
      <c r="N505" s="15" t="n">
        <f aca="false">M505*(1+IF(N$3&lt;=$O$2,$D505,$D505-($D505-$I$481)*MIN(N$3-$O$2,$Q$2)/$Q$2))</f>
        <v>2733.34538800095</v>
      </c>
      <c r="O505" s="15" t="n">
        <f aca="false">SUMPRODUCT(E505:N505,1/(1+$F$481)^$E$3:$N$3)*$E$2</f>
        <v>5900.81082865258</v>
      </c>
      <c r="P505" s="15" t="n">
        <f aca="false">N505*$E$2*(1+$I$481)/($F$481-$I$481)/(1+$F$481)^$N$3</f>
        <v>10661.8805695063</v>
      </c>
      <c r="Q505" s="15" t="n">
        <f aca="false">O505+P505</f>
        <v>16562.6913981589</v>
      </c>
      <c r="R505" s="15" t="n">
        <f aca="false">Q505-$G$2+$I$2</f>
        <v>15009.9913981589</v>
      </c>
      <c r="S505" s="40" t="n">
        <f aca="false">R505/$K$2</f>
        <v>54.5044896261988</v>
      </c>
      <c r="T505" s="41" t="n">
        <f aca="false">S505-$M$2</f>
        <v>-3.12351251139376E-005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0.0483663678169251</v>
      </c>
      <c r="C506" s="25" t="n">
        <f aca="false">IF(T505&gt;0,D505,C505)</f>
        <v>0.0483665466308594</v>
      </c>
      <c r="D506" s="39" t="n">
        <f aca="false">(B506+C506)/2</f>
        <v>0.0483664572238922</v>
      </c>
      <c r="E506" s="15" t="n">
        <f aca="false">$C$2*(1+IF(E$3&lt;=$O$2,$D506,$D506-($D506-$I$481)*MIN(E$3-$O$2,$Q$2)/$Q$2))</f>
        <v>1939.4779458642</v>
      </c>
      <c r="F506" s="15" t="n">
        <f aca="false">E506*(1+IF(F$3&lt;=$O$2,$D506,$D506-($D506-$I$481)*MIN(F$3-$O$2,$Q$2)/$Q$2))</f>
        <v>2033.28362296952</v>
      </c>
      <c r="G506" s="15" t="n">
        <f aca="false">F506*(1+IF(G$3&lt;=$O$2,$D506,$D506-($D506-$I$481)*MIN(G$3-$O$2,$Q$2)/$Q$2))</f>
        <v>2131.62634834392</v>
      </c>
      <c r="H506" s="15" t="n">
        <f aca="false">G506*(1+IF(H$3&lt;=$O$2,$D506,$D506-($D506-$I$481)*MIN(H$3-$O$2,$Q$2)/$Q$2))</f>
        <v>2234.72556293842</v>
      </c>
      <c r="I506" s="15" t="n">
        <f aca="false">H506*(1+IF(I$3&lt;=$O$2,$D506,$D506-($D506-$I$481)*MIN(I$3-$O$2,$Q$2)/$Q$2))</f>
        <v>2342.81132128542</v>
      </c>
      <c r="J506" s="15" t="n">
        <f aca="false">I506*(1+IF(J$3&lt;=$O$2,$D506,$D506-($D506-$I$481)*MIN(J$3-$O$2,$Q$2)/$Q$2))</f>
        <v>2442.83335341424</v>
      </c>
      <c r="K506" s="15" t="n">
        <f aca="false">J506*(1+IF(K$3&lt;=$O$2,$D506,$D506-($D506-$I$481)*MIN(K$3-$O$2,$Q$2)/$Q$2))</f>
        <v>2533.26673717736</v>
      </c>
      <c r="L506" s="15" t="n">
        <f aca="false">K506*(1+IF(L$3&lt;=$O$2,$D506,$D506-($D506-$I$481)*MIN(L$3-$O$2,$Q$2)/$Q$2))</f>
        <v>2612.67599293565</v>
      </c>
      <c r="M506" s="15" t="n">
        <f aca="false">L506*(1+IF(M$3&lt;=$O$2,$D506,$D506-($D506-$I$481)*MIN(M$3-$O$2,$Q$2)/$Q$2))</f>
        <v>2679.75198515306</v>
      </c>
      <c r="N506" s="15" t="n">
        <f aca="false">M506*(1+IF(N$3&lt;=$O$2,$D506,$D506-($D506-$I$481)*MIN(N$3-$O$2,$Q$2)/$Q$2))</f>
        <v>2733.34702485612</v>
      </c>
      <c r="O506" s="15" t="n">
        <f aca="false">SUMPRODUCT(E506:N506,1/(1+$F$481)^$E$3:$N$3)*$E$2</f>
        <v>5900.81317245646</v>
      </c>
      <c r="P506" s="15" t="n">
        <f aca="false">N506*$E$2*(1+$I$481)/($F$481-$I$481)/(1+$F$481)^$N$3</f>
        <v>10661.8869543395</v>
      </c>
      <c r="Q506" s="15" t="n">
        <f aca="false">O506+P506</f>
        <v>16562.7001267959</v>
      </c>
      <c r="R506" s="15" t="n">
        <f aca="false">Q506-$G$2+$I$2</f>
        <v>15010.0001267959</v>
      </c>
      <c r="S506" s="40" t="n">
        <f aca="false">R506/$K$2</f>
        <v>54.5045213217471</v>
      </c>
      <c r="T506" s="41" t="n">
        <f aca="false">S506-$M$2</f>
        <v>4.60423137838006E-007</v>
      </c>
    </row>
    <row r="508" customFormat="false" ht="15" hidden="false" customHeight="false" outlineLevel="0" collapsed="false">
      <c r="A508" s="36" t="s">
        <v>193</v>
      </c>
      <c r="E508" s="5" t="s">
        <v>11</v>
      </c>
      <c r="F508" s="12" t="n">
        <f aca="false">Sensitivity!$B$13</f>
        <v>0.0685093056415221</v>
      </c>
      <c r="G508" s="5" t="s">
        <v>12</v>
      </c>
      <c r="I508" s="12" t="n">
        <f aca="false">Sensitivity!$E$9</f>
        <v>0.025</v>
      </c>
    </row>
    <row r="509" customFormat="false" ht="23.85" hidden="false" customHeight="false" outlineLevel="0" collapsed="false">
      <c r="A509" s="36" t="s">
        <v>156</v>
      </c>
      <c r="B509" s="28" t="s">
        <v>157</v>
      </c>
      <c r="C509" s="28" t="s">
        <v>158</v>
      </c>
      <c r="D509" s="28" t="s">
        <v>159</v>
      </c>
      <c r="E509" s="28" t="s">
        <v>160</v>
      </c>
      <c r="F509" s="28" t="s">
        <v>161</v>
      </c>
      <c r="G509" s="28" t="s">
        <v>162</v>
      </c>
      <c r="H509" s="28" t="s">
        <v>163</v>
      </c>
      <c r="I509" s="28" t="s">
        <v>164</v>
      </c>
      <c r="J509" s="28" t="s">
        <v>165</v>
      </c>
      <c r="K509" s="28" t="s">
        <v>166</v>
      </c>
      <c r="L509" s="28" t="s">
        <v>167</v>
      </c>
      <c r="M509" s="28" t="s">
        <v>168</v>
      </c>
      <c r="N509" s="28" t="s">
        <v>169</v>
      </c>
      <c r="O509" s="28" t="s">
        <v>170</v>
      </c>
      <c r="P509" s="28" t="s">
        <v>171</v>
      </c>
      <c r="Q509" s="28" t="s">
        <v>172</v>
      </c>
      <c r="R509" s="28" t="s">
        <v>173</v>
      </c>
      <c r="S509" s="28" t="s">
        <v>174</v>
      </c>
      <c r="T509" s="28" t="s">
        <v>175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39" t="n">
        <f aca="false">(B510+C510)/2</f>
        <v>0.25</v>
      </c>
      <c r="E510" s="15" t="n">
        <f aca="false">$C$2*(1+IF(E$3&lt;=$O$2,$D510,$D510-($D510-$I$508)*MIN(E$3-$O$2,$Q$2)/$Q$2))</f>
        <v>2312.5</v>
      </c>
      <c r="F510" s="15" t="n">
        <f aca="false">E510*(1+IF(F$3&lt;=$O$2,$D510,$D510-($D510-$I$508)*MIN(F$3-$O$2,$Q$2)/$Q$2))</f>
        <v>2890.625</v>
      </c>
      <c r="G510" s="15" t="n">
        <f aca="false">F510*(1+IF(G$3&lt;=$O$2,$D510,$D510-($D510-$I$508)*MIN(G$3-$O$2,$Q$2)/$Q$2))</f>
        <v>3613.28125</v>
      </c>
      <c r="H510" s="15" t="n">
        <f aca="false">G510*(1+IF(H$3&lt;=$O$2,$D510,$D510-($D510-$I$508)*MIN(H$3-$O$2,$Q$2)/$Q$2))</f>
        <v>4516.6015625</v>
      </c>
      <c r="I510" s="15" t="n">
        <f aca="false">H510*(1+IF(I$3&lt;=$O$2,$D510,$D510-($D510-$I$508)*MIN(I$3-$O$2,$Q$2)/$Q$2))</f>
        <v>5645.751953125</v>
      </c>
      <c r="J510" s="15" t="n">
        <f aca="false">I510*(1+IF(J$3&lt;=$O$2,$D510,$D510-($D510-$I$508)*MIN(J$3-$O$2,$Q$2)/$Q$2))</f>
        <v>6803.13110351563</v>
      </c>
      <c r="K510" s="15" t="n">
        <f aca="false">J510*(1+IF(K$3&lt;=$O$2,$D510,$D510-($D510-$I$508)*MIN(K$3-$O$2,$Q$2)/$Q$2))</f>
        <v>7891.63208007812</v>
      </c>
      <c r="L510" s="15" t="n">
        <f aca="false">K510*(1+IF(L$3&lt;=$O$2,$D510,$D510-($D510-$I$508)*MIN(L$3-$O$2,$Q$2)/$Q$2))</f>
        <v>8799.16976928711</v>
      </c>
      <c r="M510" s="15" t="n">
        <f aca="false">L510*(1+IF(M$3&lt;=$O$2,$D510,$D510-($D510-$I$508)*MIN(M$3-$O$2,$Q$2)/$Q$2))</f>
        <v>9415.11165313721</v>
      </c>
      <c r="N510" s="15" t="n">
        <f aca="false">M510*(1+IF(N$3&lt;=$O$2,$D510,$D510-($D510-$I$508)*MIN(N$3-$O$2,$Q$2)/$Q$2))</f>
        <v>9650.48944446564</v>
      </c>
      <c r="O510" s="15" t="n">
        <f aca="false">SUMPRODUCT(E510:N510,1/(1+$F$508)^$E$3:$N$3)*$E$2</f>
        <v>14412.699294649</v>
      </c>
      <c r="P510" s="15" t="n">
        <f aca="false">N510*$E$2*(1+$I$508)/($F$508-$I$508)/(1+$F$508)^$N$3</f>
        <v>42175.0144229521</v>
      </c>
      <c r="Q510" s="15" t="n">
        <f aca="false">O510+P510</f>
        <v>56587.7137176011</v>
      </c>
      <c r="R510" s="15" t="n">
        <f aca="false">Q510-$G$2+$I$2</f>
        <v>55035.0137176011</v>
      </c>
      <c r="S510" s="40" t="n">
        <f aca="false">R510/$K$2</f>
        <v>199.843907613207</v>
      </c>
      <c r="T510" s="41" t="n">
        <f aca="false">S510-$M$2</f>
        <v>145.339386751883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39" t="n">
        <f aca="false">(B511+C511)/2</f>
        <v>-0.125</v>
      </c>
      <c r="E511" s="15" t="n">
        <f aca="false">$C$2*(1+IF(E$3&lt;=$O$2,$D511,$D511-($D511-$I$508)*MIN(E$3-$O$2,$Q$2)/$Q$2))</f>
        <v>1618.75</v>
      </c>
      <c r="F511" s="15" t="n">
        <f aca="false">E511*(1+IF(F$3&lt;=$O$2,$D511,$D511-($D511-$I$508)*MIN(F$3-$O$2,$Q$2)/$Q$2))</f>
        <v>1416.40625</v>
      </c>
      <c r="G511" s="15" t="n">
        <f aca="false">F511*(1+IF(G$3&lt;=$O$2,$D511,$D511-($D511-$I$508)*MIN(G$3-$O$2,$Q$2)/$Q$2))</f>
        <v>1239.35546875</v>
      </c>
      <c r="H511" s="15" t="n">
        <f aca="false">G511*(1+IF(H$3&lt;=$O$2,$D511,$D511-($D511-$I$508)*MIN(H$3-$O$2,$Q$2)/$Q$2))</f>
        <v>1084.43603515625</v>
      </c>
      <c r="I511" s="15" t="n">
        <f aca="false">H511*(1+IF(I$3&lt;=$O$2,$D511,$D511-($D511-$I$508)*MIN(I$3-$O$2,$Q$2)/$Q$2))</f>
        <v>948.881530761719</v>
      </c>
      <c r="J511" s="15" t="n">
        <f aca="false">I511*(1+IF(J$3&lt;=$O$2,$D511,$D511-($D511-$I$508)*MIN(J$3-$O$2,$Q$2)/$Q$2))</f>
        <v>858.737785339356</v>
      </c>
      <c r="K511" s="15" t="n">
        <f aca="false">J511*(1+IF(K$3&lt;=$O$2,$D511,$D511-($D511-$I$508)*MIN(K$3-$O$2,$Q$2)/$Q$2))</f>
        <v>802.919829292297</v>
      </c>
      <c r="L511" s="15" t="n">
        <f aca="false">K511*(1+IF(L$3&lt;=$O$2,$D511,$D511-($D511-$I$508)*MIN(L$3-$O$2,$Q$2)/$Q$2))</f>
        <v>774.817635267067</v>
      </c>
      <c r="M511" s="15" t="n">
        <f aca="false">L511*(1+IF(M$3&lt;=$O$2,$D511,$D511-($D511-$I$508)*MIN(M$3-$O$2,$Q$2)/$Q$2))</f>
        <v>770.943547090732</v>
      </c>
      <c r="N511" s="15" t="n">
        <f aca="false">M511*(1+IF(N$3&lt;=$O$2,$D511,$D511-($D511-$I$508)*MIN(N$3-$O$2,$Q$2)/$Q$2))</f>
        <v>790.217135768</v>
      </c>
      <c r="O511" s="15" t="n">
        <f aca="false">SUMPRODUCT(E511:N511,1/(1+$F$508)^$E$3:$N$3)*$E$2</f>
        <v>2754.6803094605</v>
      </c>
      <c r="P511" s="15" t="n">
        <f aca="false">N511*$E$2*(1+$I$508)/($F$508-$I$508)/(1+$F$508)^$N$3</f>
        <v>3453.44340202267</v>
      </c>
      <c r="Q511" s="15" t="n">
        <f aca="false">O511+P511</f>
        <v>6208.12371148317</v>
      </c>
      <c r="R511" s="15" t="n">
        <f aca="false">Q511-$G$2+$I$2</f>
        <v>4655.42371148317</v>
      </c>
      <c r="S511" s="40" t="n">
        <f aca="false">R511/$K$2</f>
        <v>16.9048393604821</v>
      </c>
      <c r="T511" s="41" t="n">
        <f aca="false">S511-$M$2</f>
        <v>-37.5996815008418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39" t="n">
        <f aca="false">(B512+C512)/2</f>
        <v>0.0625</v>
      </c>
      <c r="E512" s="15" t="n">
        <f aca="false">$C$2*(1+IF(E$3&lt;=$O$2,$D512,$D512-($D512-$I$508)*MIN(E$3-$O$2,$Q$2)/$Q$2))</f>
        <v>1965.625</v>
      </c>
      <c r="F512" s="15" t="n">
        <f aca="false">E512*(1+IF(F$3&lt;=$O$2,$D512,$D512-($D512-$I$508)*MIN(F$3-$O$2,$Q$2)/$Q$2))</f>
        <v>2088.4765625</v>
      </c>
      <c r="G512" s="15" t="n">
        <f aca="false">F512*(1+IF(G$3&lt;=$O$2,$D512,$D512-($D512-$I$508)*MIN(G$3-$O$2,$Q$2)/$Q$2))</f>
        <v>2219.00634765625</v>
      </c>
      <c r="H512" s="15" t="n">
        <f aca="false">G512*(1+IF(H$3&lt;=$O$2,$D512,$D512-($D512-$I$508)*MIN(H$3-$O$2,$Q$2)/$Q$2))</f>
        <v>2357.69424438477</v>
      </c>
      <c r="I512" s="15" t="n">
        <f aca="false">H512*(1+IF(I$3&lt;=$O$2,$D512,$D512-($D512-$I$508)*MIN(I$3-$O$2,$Q$2)/$Q$2))</f>
        <v>2505.05013465881</v>
      </c>
      <c r="J512" s="15" t="n">
        <f aca="false">I512*(1+IF(J$3&lt;=$O$2,$D512,$D512-($D512-$I$508)*MIN(J$3-$O$2,$Q$2)/$Q$2))</f>
        <v>2642.82789206505</v>
      </c>
      <c r="K512" s="15" t="n">
        <f aca="false">J512*(1+IF(K$3&lt;=$O$2,$D512,$D512-($D512-$I$508)*MIN(K$3-$O$2,$Q$2)/$Q$2))</f>
        <v>2768.36221693814</v>
      </c>
      <c r="L512" s="15" t="n">
        <f aca="false">K512*(1+IF(L$3&lt;=$O$2,$D512,$D512-($D512-$I$508)*MIN(L$3-$O$2,$Q$2)/$Q$2))</f>
        <v>2879.09670561566</v>
      </c>
      <c r="M512" s="15" t="n">
        <f aca="false">L512*(1+IF(M$3&lt;=$O$2,$D512,$D512-($D512-$I$508)*MIN(M$3-$O$2,$Q$2)/$Q$2))</f>
        <v>2972.66734854817</v>
      </c>
      <c r="N512" s="15" t="n">
        <f aca="false">M512*(1+IF(N$3&lt;=$O$2,$D512,$D512-($D512-$I$508)*MIN(N$3-$O$2,$Q$2)/$Q$2))</f>
        <v>3046.98403226188</v>
      </c>
      <c r="O512" s="15" t="n">
        <f aca="false">SUMPRODUCT(E512:N512,1/(1+$F$508)^$E$3:$N$3)*$E$2</f>
        <v>6302.89659672344</v>
      </c>
      <c r="P512" s="15" t="n">
        <f aca="false">N512*$E$2*(1+$I$508)/($F$508-$I$508)/(1+$F$508)^$N$3</f>
        <v>13316.0702622026</v>
      </c>
      <c r="Q512" s="15" t="n">
        <f aca="false">O512+P512</f>
        <v>19618.9668589261</v>
      </c>
      <c r="R512" s="15" t="n">
        <f aca="false">Q512-$G$2+$I$2</f>
        <v>18066.2668589261</v>
      </c>
      <c r="S512" s="40" t="n">
        <f aca="false">R512/$K$2</f>
        <v>65.6024796068343</v>
      </c>
      <c r="T512" s="41" t="n">
        <f aca="false">S512-$M$2</f>
        <v>11.0979587455103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-0.125</v>
      </c>
      <c r="C513" s="25" t="n">
        <f aca="false">IF(T512&gt;0,D512,C512)</f>
        <v>0.0625</v>
      </c>
      <c r="D513" s="39" t="n">
        <f aca="false">(B513+C513)/2</f>
        <v>-0.03125</v>
      </c>
      <c r="E513" s="15" t="n">
        <f aca="false">$C$2*(1+IF(E$3&lt;=$O$2,$D513,$D513-($D513-$I$508)*MIN(E$3-$O$2,$Q$2)/$Q$2))</f>
        <v>1792.1875</v>
      </c>
      <c r="F513" s="15" t="n">
        <f aca="false">E513*(1+IF(F$3&lt;=$O$2,$D513,$D513-($D513-$I$508)*MIN(F$3-$O$2,$Q$2)/$Q$2))</f>
        <v>1736.181640625</v>
      </c>
      <c r="G513" s="15" t="n">
        <f aca="false">F513*(1+IF(G$3&lt;=$O$2,$D513,$D513-($D513-$I$508)*MIN(G$3-$O$2,$Q$2)/$Q$2))</f>
        <v>1681.92596435547</v>
      </c>
      <c r="H513" s="15" t="n">
        <f aca="false">G513*(1+IF(H$3&lt;=$O$2,$D513,$D513-($D513-$I$508)*MIN(H$3-$O$2,$Q$2)/$Q$2))</f>
        <v>1629.36577796936</v>
      </c>
      <c r="I513" s="15" t="n">
        <f aca="false">H513*(1+IF(I$3&lt;=$O$2,$D513,$D513-($D513-$I$508)*MIN(I$3-$O$2,$Q$2)/$Q$2))</f>
        <v>1578.44809740782</v>
      </c>
      <c r="J513" s="15" t="n">
        <f aca="false">I513*(1+IF(J$3&lt;=$O$2,$D513,$D513-($D513-$I$508)*MIN(J$3-$O$2,$Q$2)/$Q$2))</f>
        <v>1546.87913545966</v>
      </c>
      <c r="K513" s="15" t="n">
        <f aca="false">J513*(1+IF(K$3&lt;=$O$2,$D513,$D513-($D513-$I$508)*MIN(K$3-$O$2,$Q$2)/$Q$2))</f>
        <v>1533.34394302439</v>
      </c>
      <c r="L513" s="15" t="n">
        <f aca="false">K513*(1+IF(L$3&lt;=$O$2,$D513,$D513-($D513-$I$508)*MIN(L$3-$O$2,$Q$2)/$Q$2))</f>
        <v>1537.17730288195</v>
      </c>
      <c r="M513" s="15" t="n">
        <f aca="false">L513*(1+IF(M$3&lt;=$O$2,$D513,$D513-($D513-$I$508)*MIN(M$3-$O$2,$Q$2)/$Q$2))</f>
        <v>1558.31349079658</v>
      </c>
      <c r="N513" s="15" t="n">
        <f aca="false">M513*(1+IF(N$3&lt;=$O$2,$D513,$D513-($D513-$I$508)*MIN(N$3-$O$2,$Q$2)/$Q$2))</f>
        <v>1597.27132806649</v>
      </c>
      <c r="O513" s="15" t="n">
        <f aca="false">SUMPRODUCT(E513:N513,1/(1+$F$508)^$E$3:$N$3)*$E$2</f>
        <v>4156.50665618549</v>
      </c>
      <c r="P513" s="15" t="n">
        <f aca="false">N513*$E$2*(1+$I$508)/($F$508-$I$508)/(1+$F$508)^$N$3</f>
        <v>6980.46888566927</v>
      </c>
      <c r="Q513" s="15" t="n">
        <f aca="false">O513+P513</f>
        <v>11136.9755418548</v>
      </c>
      <c r="R513" s="15" t="n">
        <f aca="false">Q513-$G$2+$I$2</f>
        <v>9584.27554185476</v>
      </c>
      <c r="S513" s="40" t="n">
        <f aca="false">R513/$K$2</f>
        <v>34.8025547109727</v>
      </c>
      <c r="T513" s="41" t="n">
        <f aca="false">S513-$M$2</f>
        <v>-19.7019661503513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-0.03125</v>
      </c>
      <c r="C514" s="25" t="n">
        <f aca="false">IF(T513&gt;0,D513,C513)</f>
        <v>0.0625</v>
      </c>
      <c r="D514" s="39" t="n">
        <f aca="false">(B514+C514)/2</f>
        <v>0.015625</v>
      </c>
      <c r="E514" s="15" t="n">
        <f aca="false">$C$2*(1+IF(E$3&lt;=$O$2,$D514,$D514-($D514-$I$508)*MIN(E$3-$O$2,$Q$2)/$Q$2))</f>
        <v>1878.90625</v>
      </c>
      <c r="F514" s="15" t="n">
        <f aca="false">E514*(1+IF(F$3&lt;=$O$2,$D514,$D514-($D514-$I$508)*MIN(F$3-$O$2,$Q$2)/$Q$2))</f>
        <v>1908.26416015625</v>
      </c>
      <c r="G514" s="15" t="n">
        <f aca="false">F514*(1+IF(G$3&lt;=$O$2,$D514,$D514-($D514-$I$508)*MIN(G$3-$O$2,$Q$2)/$Q$2))</f>
        <v>1938.08078765869</v>
      </c>
      <c r="H514" s="15" t="n">
        <f aca="false">G514*(1+IF(H$3&lt;=$O$2,$D514,$D514-($D514-$I$508)*MIN(H$3-$O$2,$Q$2)/$Q$2))</f>
        <v>1968.36329996586</v>
      </c>
      <c r="I514" s="15" t="n">
        <f aca="false">H514*(1+IF(I$3&lt;=$O$2,$D514,$D514-($D514-$I$508)*MIN(I$3-$O$2,$Q$2)/$Q$2))</f>
        <v>1999.11897652783</v>
      </c>
      <c r="J514" s="15" t="n">
        <f aca="false">I514*(1+IF(J$3&lt;=$O$2,$D514,$D514-($D514-$I$508)*MIN(J$3-$O$2,$Q$2)/$Q$2))</f>
        <v>2034.10355861706</v>
      </c>
      <c r="K514" s="15" t="n">
        <f aca="false">J514*(1+IF(K$3&lt;=$O$2,$D514,$D514-($D514-$I$508)*MIN(K$3-$O$2,$Q$2)/$Q$2))</f>
        <v>2073.51431506527</v>
      </c>
      <c r="L514" s="15" t="n">
        <f aca="false">K514*(1+IF(L$3&lt;=$O$2,$D514,$D514-($D514-$I$508)*MIN(L$3-$O$2,$Q$2)/$Q$2))</f>
        <v>2117.5764942604</v>
      </c>
      <c r="M514" s="15" t="n">
        <f aca="false">L514*(1+IF(M$3&lt;=$O$2,$D514,$D514-($D514-$I$508)*MIN(M$3-$O$2,$Q$2)/$Q$2))</f>
        <v>2166.54545069018</v>
      </c>
      <c r="N514" s="15" t="n">
        <f aca="false">M514*(1+IF(N$3&lt;=$O$2,$D514,$D514-($D514-$I$508)*MIN(N$3-$O$2,$Q$2)/$Q$2))</f>
        <v>2220.70908695743</v>
      </c>
      <c r="O514" s="15" t="n">
        <f aca="false">SUMPRODUCT(E514:N514,1/(1+$F$508)^$E$3:$N$3)*$E$2</f>
        <v>5117.00446938301</v>
      </c>
      <c r="P514" s="15" t="n">
        <f aca="false">N514*$E$2*(1+$I$508)/($F$508-$I$508)/(1+$F$508)^$N$3</f>
        <v>9705.04535656704</v>
      </c>
      <c r="Q514" s="15" t="n">
        <f aca="false">O514+P514</f>
        <v>14822.0498259501</v>
      </c>
      <c r="R514" s="15" t="n">
        <f aca="false">Q514-$G$2+$I$2</f>
        <v>13269.34982595</v>
      </c>
      <c r="S514" s="40" t="n">
        <f aca="false">R514/$K$2</f>
        <v>48.1838477284943</v>
      </c>
      <c r="T514" s="41" t="n">
        <f aca="false">S514-$M$2</f>
        <v>-6.32067313282963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0.015625</v>
      </c>
      <c r="C515" s="25" t="n">
        <f aca="false">IF(T514&gt;0,D514,C514)</f>
        <v>0.0625</v>
      </c>
      <c r="D515" s="39" t="n">
        <f aca="false">(B515+C515)/2</f>
        <v>0.0390625</v>
      </c>
      <c r="E515" s="15" t="n">
        <f aca="false">$C$2*(1+IF(E$3&lt;=$O$2,$D515,$D515-($D515-$I$508)*MIN(E$3-$O$2,$Q$2)/$Q$2))</f>
        <v>1922.265625</v>
      </c>
      <c r="F515" s="15" t="n">
        <f aca="false">E515*(1+IF(F$3&lt;=$O$2,$D515,$D515-($D515-$I$508)*MIN(F$3-$O$2,$Q$2)/$Q$2))</f>
        <v>1997.35412597656</v>
      </c>
      <c r="G515" s="15" t="n">
        <f aca="false">F515*(1+IF(G$3&lt;=$O$2,$D515,$D515-($D515-$I$508)*MIN(G$3-$O$2,$Q$2)/$Q$2))</f>
        <v>2075.37577152252</v>
      </c>
      <c r="H515" s="15" t="n">
        <f aca="false">G515*(1+IF(H$3&lt;=$O$2,$D515,$D515-($D515-$I$508)*MIN(H$3-$O$2,$Q$2)/$Q$2))</f>
        <v>2156.44513759762</v>
      </c>
      <c r="I515" s="15" t="n">
        <f aca="false">H515*(1+IF(I$3&lt;=$O$2,$D515,$D515-($D515-$I$508)*MIN(I$3-$O$2,$Q$2)/$Q$2))</f>
        <v>2240.68127578503</v>
      </c>
      <c r="J515" s="15" t="n">
        <f aca="false">I515*(1+IF(J$3&lt;=$O$2,$D515,$D515-($D515-$I$508)*MIN(J$3-$O$2,$Q$2)/$Q$2))</f>
        <v>2321.90597203223</v>
      </c>
      <c r="K515" s="15" t="n">
        <f aca="false">J515*(1+IF(K$3&lt;=$O$2,$D515,$D515-($D515-$I$508)*MIN(K$3-$O$2,$Q$2)/$Q$2))</f>
        <v>2399.54470297206</v>
      </c>
      <c r="L515" s="15" t="n">
        <f aca="false">K515*(1+IF(L$3&lt;=$O$2,$D515,$D515-($D515-$I$508)*MIN(L$3-$O$2,$Q$2)/$Q$2))</f>
        <v>2473.03075950058</v>
      </c>
      <c r="M515" s="15" t="n">
        <f aca="false">L515*(1+IF(M$3&lt;=$O$2,$D515,$D515-($D515-$I$508)*MIN(M$3-$O$2,$Q$2)/$Q$2))</f>
        <v>2541.81192749919</v>
      </c>
      <c r="N515" s="15" t="n">
        <f aca="false">M515*(1+IF(N$3&lt;=$O$2,$D515,$D515-($D515-$I$508)*MIN(N$3-$O$2,$Q$2)/$Q$2))</f>
        <v>2605.35722568667</v>
      </c>
      <c r="O515" s="15" t="n">
        <f aca="false">SUMPRODUCT(E515:N515,1/(1+$F$508)^$E$3:$N$3)*$E$2</f>
        <v>5678.93181185858</v>
      </c>
      <c r="P515" s="15" t="n">
        <f aca="false">N515*$E$2*(1+$I$508)/($F$508-$I$508)/(1+$F$508)^$N$3</f>
        <v>11386.0524072478</v>
      </c>
      <c r="Q515" s="15" t="n">
        <f aca="false">O515+P515</f>
        <v>17064.9842191064</v>
      </c>
      <c r="R515" s="15" t="n">
        <f aca="false">Q515-$G$2+$I$2</f>
        <v>15512.2842191064</v>
      </c>
      <c r="S515" s="40" t="n">
        <f aca="false">R515/$K$2</f>
        <v>56.3284223069335</v>
      </c>
      <c r="T515" s="41" t="n">
        <f aca="false">S515-$M$2</f>
        <v>1.82390144560956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0.015625</v>
      </c>
      <c r="C516" s="25" t="n">
        <f aca="false">IF(T515&gt;0,D515,C515)</f>
        <v>0.0390625</v>
      </c>
      <c r="D516" s="39" t="n">
        <f aca="false">(B516+C516)/2</f>
        <v>0.02734375</v>
      </c>
      <c r="E516" s="15" t="n">
        <f aca="false">$C$2*(1+IF(E$3&lt;=$O$2,$D516,$D516-($D516-$I$508)*MIN(E$3-$O$2,$Q$2)/$Q$2))</f>
        <v>1900.5859375</v>
      </c>
      <c r="F516" s="15" t="n">
        <f aca="false">E516*(1+IF(F$3&lt;=$O$2,$D516,$D516-($D516-$I$508)*MIN(F$3-$O$2,$Q$2)/$Q$2))</f>
        <v>1952.55508422852</v>
      </c>
      <c r="G516" s="15" t="n">
        <f aca="false">F516*(1+IF(G$3&lt;=$O$2,$D516,$D516-($D516-$I$508)*MIN(G$3-$O$2,$Q$2)/$Q$2))</f>
        <v>2005.94526231289</v>
      </c>
      <c r="H516" s="15" t="n">
        <f aca="false">G516*(1+IF(H$3&lt;=$O$2,$D516,$D516-($D516-$I$508)*MIN(H$3-$O$2,$Q$2)/$Q$2))</f>
        <v>2060.79532807926</v>
      </c>
      <c r="I516" s="15" t="n">
        <f aca="false">H516*(1+IF(I$3&lt;=$O$2,$D516,$D516-($D516-$I$508)*MIN(I$3-$O$2,$Q$2)/$Q$2))</f>
        <v>2117.14520033142</v>
      </c>
      <c r="J516" s="15" t="n">
        <f aca="false">I516*(1+IF(J$3&lt;=$O$2,$D516,$D516-($D516-$I$508)*MIN(J$3-$O$2,$Q$2)/$Q$2))</f>
        <v>2174.04347759033</v>
      </c>
      <c r="K516" s="15" t="n">
        <f aca="false">J516*(1+IF(K$3&lt;=$O$2,$D516,$D516-($D516-$I$508)*MIN(K$3-$O$2,$Q$2)/$Q$2))</f>
        <v>2231.45181317045</v>
      </c>
      <c r="L516" s="15" t="n">
        <f aca="false">K516*(1+IF(L$3&lt;=$O$2,$D516,$D516-($D516-$I$508)*MIN(L$3-$O$2,$Q$2)/$Q$2))</f>
        <v>2289.33009457456</v>
      </c>
      <c r="M516" s="15" t="n">
        <f aca="false">L516*(1+IF(M$3&lt;=$O$2,$D516,$D516-($D516-$I$508)*MIN(M$3-$O$2,$Q$2)/$Q$2))</f>
        <v>2347.63647042076</v>
      </c>
      <c r="N516" s="15" t="n">
        <f aca="false">M516*(1+IF(N$3&lt;=$O$2,$D516,$D516-($D516-$I$508)*MIN(N$3-$O$2,$Q$2)/$Q$2))</f>
        <v>2406.32738218127</v>
      </c>
      <c r="O516" s="15" t="n">
        <f aca="false">SUMPRODUCT(E516:N516,1/(1+$F$508)^$E$3:$N$3)*$E$2</f>
        <v>5390.58813223814</v>
      </c>
      <c r="P516" s="15" t="n">
        <f aca="false">N516*$E$2*(1+$I$508)/($F$508-$I$508)/(1+$F$508)^$N$3</f>
        <v>10516.2429982285</v>
      </c>
      <c r="Q516" s="15" t="n">
        <f aca="false">O516+P516</f>
        <v>15906.8311304666</v>
      </c>
      <c r="R516" s="15" t="n">
        <f aca="false">Q516-$G$2+$I$2</f>
        <v>14354.1311304666</v>
      </c>
      <c r="S516" s="40" t="n">
        <f aca="false">R516/$K$2</f>
        <v>52.1229206959826</v>
      </c>
      <c r="T516" s="41" t="n">
        <f aca="false">S516-$M$2</f>
        <v>-2.38160016534139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0.02734375</v>
      </c>
      <c r="C517" s="25" t="n">
        <f aca="false">IF(T516&gt;0,D516,C516)</f>
        <v>0.0390625</v>
      </c>
      <c r="D517" s="39" t="n">
        <f aca="false">(B517+C517)/2</f>
        <v>0.033203125</v>
      </c>
      <c r="E517" s="15" t="n">
        <f aca="false">$C$2*(1+IF(E$3&lt;=$O$2,$D517,$D517-($D517-$I$508)*MIN(E$3-$O$2,$Q$2)/$Q$2))</f>
        <v>1911.42578125</v>
      </c>
      <c r="F517" s="15" t="n">
        <f aca="false">E517*(1+IF(F$3&lt;=$O$2,$D517,$D517-($D517-$I$508)*MIN(F$3-$O$2,$Q$2)/$Q$2))</f>
        <v>1974.89109039307</v>
      </c>
      <c r="G517" s="15" t="n">
        <f aca="false">F517*(1+IF(G$3&lt;=$O$2,$D517,$D517-($D517-$I$508)*MIN(G$3-$O$2,$Q$2)/$Q$2))</f>
        <v>2040.46364612877</v>
      </c>
      <c r="H517" s="15" t="n">
        <f aca="false">G517*(1+IF(H$3&lt;=$O$2,$D517,$D517-($D517-$I$508)*MIN(H$3-$O$2,$Q$2)/$Q$2))</f>
        <v>2108.21341562914</v>
      </c>
      <c r="I517" s="15" t="n">
        <f aca="false">H517*(1+IF(I$3&lt;=$O$2,$D517,$D517-($D517-$I$508)*MIN(I$3-$O$2,$Q$2)/$Q$2))</f>
        <v>2178.21268919495</v>
      </c>
      <c r="J517" s="15" t="n">
        <f aca="false">I517*(1+IF(J$3&lt;=$O$2,$D517,$D517-($D517-$I$508)*MIN(J$3-$O$2,$Q$2)/$Q$2))</f>
        <v>2246.96252719767</v>
      </c>
      <c r="K517" s="15" t="n">
        <f aca="false">J517*(1+IF(K$3&lt;=$O$2,$D517,$D517-($D517-$I$508)*MIN(K$3-$O$2,$Q$2)/$Q$2))</f>
        <v>2314.19585906616</v>
      </c>
      <c r="L517" s="15" t="n">
        <f aca="false">K517*(1+IF(L$3&lt;=$O$2,$D517,$D517-($D517-$I$508)*MIN(L$3-$O$2,$Q$2)/$Q$2))</f>
        <v>2379.64421070538</v>
      </c>
      <c r="M517" s="15" t="n">
        <f aca="false">L517*(1+IF(M$3&lt;=$O$2,$D517,$D517-($D517-$I$508)*MIN(M$3-$O$2,$Q$2)/$Q$2))</f>
        <v>2443.0394197562</v>
      </c>
      <c r="N517" s="15" t="n">
        <f aca="false">M517*(1+IF(N$3&lt;=$O$2,$D517,$D517-($D517-$I$508)*MIN(N$3-$O$2,$Q$2)/$Q$2))</f>
        <v>2504.11540525011</v>
      </c>
      <c r="O517" s="15" t="n">
        <f aca="false">SUMPRODUCT(E517:N517,1/(1+$F$508)^$E$3:$N$3)*$E$2</f>
        <v>5532.86937746826</v>
      </c>
      <c r="P517" s="15" t="n">
        <f aca="false">N517*$E$2*(1+$I$508)/($F$508-$I$508)/(1+$F$508)^$N$3</f>
        <v>10943.6007303988</v>
      </c>
      <c r="Q517" s="15" t="n">
        <f aca="false">O517+P517</f>
        <v>16476.470107867</v>
      </c>
      <c r="R517" s="15" t="n">
        <f aca="false">Q517-$G$2+$I$2</f>
        <v>14923.770107867</v>
      </c>
      <c r="S517" s="40" t="n">
        <f aca="false">R517/$K$2</f>
        <v>54.191401677138</v>
      </c>
      <c r="T517" s="41" t="n">
        <f aca="false">S517-$M$2</f>
        <v>-0.313119184185965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0.033203125</v>
      </c>
      <c r="C518" s="25" t="n">
        <f aca="false">IF(T517&gt;0,D517,C517)</f>
        <v>0.0390625</v>
      </c>
      <c r="D518" s="39" t="n">
        <f aca="false">(B518+C518)/2</f>
        <v>0.0361328125</v>
      </c>
      <c r="E518" s="15" t="n">
        <f aca="false">$C$2*(1+IF(E$3&lt;=$O$2,$D518,$D518-($D518-$I$508)*MIN(E$3-$O$2,$Q$2)/$Q$2))</f>
        <v>1916.845703125</v>
      </c>
      <c r="F518" s="15" t="n">
        <f aca="false">E518*(1+IF(F$3&lt;=$O$2,$D518,$D518-($D518-$I$508)*MIN(F$3-$O$2,$Q$2)/$Q$2))</f>
        <v>1986.10672950745</v>
      </c>
      <c r="G518" s="15" t="n">
        <f aca="false">F518*(1+IF(G$3&lt;=$O$2,$D518,$D518-($D518-$I$508)*MIN(G$3-$O$2,$Q$2)/$Q$2))</f>
        <v>2057.87035156973</v>
      </c>
      <c r="H518" s="15" t="n">
        <f aca="false">G518*(1+IF(H$3&lt;=$O$2,$D518,$D518-($D518-$I$508)*MIN(H$3-$O$2,$Q$2)/$Q$2))</f>
        <v>2132.22699513231</v>
      </c>
      <c r="I518" s="15" t="n">
        <f aca="false">H518*(1+IF(I$3&lt;=$O$2,$D518,$D518-($D518-$I$508)*MIN(I$3-$O$2,$Q$2)/$Q$2))</f>
        <v>2209.27035335486</v>
      </c>
      <c r="J518" s="15" t="n">
        <f aca="false">I518*(1+IF(J$3&lt;=$O$2,$D518,$D518-($D518-$I$508)*MIN(J$3-$O$2,$Q$2)/$Q$2))</f>
        <v>2284.1784262733</v>
      </c>
      <c r="K518" s="15" t="n">
        <f aca="false">J518*(1+IF(K$3&lt;=$O$2,$D518,$D518-($D518-$I$508)*MIN(K$3-$O$2,$Q$2)/$Q$2))</f>
        <v>2356.54048501188</v>
      </c>
      <c r="L518" s="15" t="n">
        <f aca="false">K518*(1+IF(L$3&lt;=$O$2,$D518,$D518-($D518-$I$508)*MIN(L$3-$O$2,$Q$2)/$Q$2))</f>
        <v>2425.94796648449</v>
      </c>
      <c r="M518" s="15" t="n">
        <f aca="false">L518*(1+IF(M$3&lt;=$O$2,$D518,$D518-($D518-$I$508)*MIN(M$3-$O$2,$Q$2)/$Q$2))</f>
        <v>2491.99819041573</v>
      </c>
      <c r="N518" s="15" t="n">
        <f aca="false">M518*(1+IF(N$3&lt;=$O$2,$D518,$D518-($D518-$I$508)*MIN(N$3-$O$2,$Q$2)/$Q$2))</f>
        <v>2554.29814517612</v>
      </c>
      <c r="O518" s="15" t="n">
        <f aca="false">SUMPRODUCT(E518:N518,1/(1+$F$508)^$E$3:$N$3)*$E$2</f>
        <v>5605.42214003956</v>
      </c>
      <c r="P518" s="15" t="n">
        <f aca="false">N518*$E$2*(1+$I$508)/($F$508-$I$508)/(1+$F$508)^$N$3</f>
        <v>11162.9116567867</v>
      </c>
      <c r="Q518" s="15" t="n">
        <f aca="false">O518+P518</f>
        <v>16768.3337968263</v>
      </c>
      <c r="R518" s="15" t="n">
        <f aca="false">Q518-$G$2+$I$2</f>
        <v>15215.6337968263</v>
      </c>
      <c r="S518" s="40" t="n">
        <f aca="false">R518/$K$2</f>
        <v>55.2512211657152</v>
      </c>
      <c r="T518" s="41" t="n">
        <f aca="false">S518-$M$2</f>
        <v>0.746700304391233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0.033203125</v>
      </c>
      <c r="C519" s="25" t="n">
        <f aca="false">IF(T518&gt;0,D518,C518)</f>
        <v>0.0361328125</v>
      </c>
      <c r="D519" s="39" t="n">
        <f aca="false">(B519+C519)/2</f>
        <v>0.03466796875</v>
      </c>
      <c r="E519" s="15" t="n">
        <f aca="false">$C$2*(1+IF(E$3&lt;=$O$2,$D519,$D519-($D519-$I$508)*MIN(E$3-$O$2,$Q$2)/$Q$2))</f>
        <v>1914.1357421875</v>
      </c>
      <c r="F519" s="15" t="n">
        <f aca="false">E519*(1+IF(F$3&lt;=$O$2,$D519,$D519-($D519-$I$508)*MIN(F$3-$O$2,$Q$2)/$Q$2))</f>
        <v>1980.49494028091</v>
      </c>
      <c r="G519" s="15" t="n">
        <f aca="false">F519*(1+IF(G$3&lt;=$O$2,$D519,$D519-($D519-$I$508)*MIN(G$3-$O$2,$Q$2)/$Q$2))</f>
        <v>2049.15467698011</v>
      </c>
      <c r="H519" s="15" t="n">
        <f aca="false">G519*(1+IF(H$3&lt;=$O$2,$D519,$D519-($D519-$I$508)*MIN(H$3-$O$2,$Q$2)/$Q$2))</f>
        <v>2120.19470728557</v>
      </c>
      <c r="I519" s="15" t="n">
        <f aca="false">H519*(1+IF(I$3&lt;=$O$2,$D519,$D519-($D519-$I$508)*MIN(I$3-$O$2,$Q$2)/$Q$2))</f>
        <v>2193.69755114166</v>
      </c>
      <c r="J519" s="15" t="n">
        <f aca="false">I519*(1+IF(J$3&lt;=$O$2,$D519,$D519-($D519-$I$508)*MIN(J$3-$O$2,$Q$2)/$Q$2))</f>
        <v>2265.50686941731</v>
      </c>
      <c r="K519" s="15" t="n">
        <f aca="false">J519*(1+IF(K$3&lt;=$O$2,$D519,$D519-($D519-$I$508)*MIN(K$3-$O$2,$Q$2)/$Q$2))</f>
        <v>2335.28625092261</v>
      </c>
      <c r="L519" s="15" t="n">
        <f aca="false">K519*(1+IF(L$3&lt;=$O$2,$D519,$D519-($D519-$I$508)*MIN(L$3-$O$2,$Q$2)/$Q$2))</f>
        <v>2402.69939699416</v>
      </c>
      <c r="M519" s="15" t="n">
        <f aca="false">L519*(1+IF(M$3&lt;=$O$2,$D519,$D519-($D519-$I$508)*MIN(M$3-$O$2,$Q$2)/$Q$2))</f>
        <v>2467.41272645617</v>
      </c>
      <c r="N519" s="15" t="n">
        <f aca="false">M519*(1+IF(N$3&lt;=$O$2,$D519,$D519-($D519-$I$508)*MIN(N$3-$O$2,$Q$2)/$Q$2))</f>
        <v>2529.09804461758</v>
      </c>
      <c r="O519" s="15" t="n">
        <f aca="false">SUMPRODUCT(E519:N519,1/(1+$F$508)^$E$3:$N$3)*$E$2</f>
        <v>5569.02687567308</v>
      </c>
      <c r="P519" s="15" t="n">
        <f aca="false">N519*$E$2*(1+$I$508)/($F$508-$I$508)/(1+$F$508)^$N$3</f>
        <v>11052.7810141253</v>
      </c>
      <c r="Q519" s="15" t="n">
        <f aca="false">O519+P519</f>
        <v>16621.8078897984</v>
      </c>
      <c r="R519" s="15" t="n">
        <f aca="false">Q519-$G$2+$I$2</f>
        <v>15069.1078897984</v>
      </c>
      <c r="S519" s="40" t="n">
        <f aca="false">R519/$K$2</f>
        <v>54.719154253235</v>
      </c>
      <c r="T519" s="41" t="n">
        <f aca="false">S519-$M$2</f>
        <v>0.214633391911008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0.033203125</v>
      </c>
      <c r="C520" s="25" t="n">
        <f aca="false">IF(T519&gt;0,D519,C519)</f>
        <v>0.03466796875</v>
      </c>
      <c r="D520" s="39" t="n">
        <f aca="false">(B520+C520)/2</f>
        <v>0.033935546875</v>
      </c>
      <c r="E520" s="15" t="n">
        <f aca="false">$C$2*(1+IF(E$3&lt;=$O$2,$D520,$D520-($D520-$I$508)*MIN(E$3-$O$2,$Q$2)/$Q$2))</f>
        <v>1912.78076171875</v>
      </c>
      <c r="F520" s="15" t="n">
        <f aca="false">E520*(1+IF(F$3&lt;=$O$2,$D520,$D520-($D520-$I$508)*MIN(F$3-$O$2,$Q$2)/$Q$2))</f>
        <v>1977.69202291965</v>
      </c>
      <c r="G520" s="15" t="n">
        <f aca="false">F520*(1+IF(G$3&lt;=$O$2,$D520,$D520-($D520-$I$508)*MIN(G$3-$O$2,$Q$2)/$Q$2))</f>
        <v>2044.80608326776</v>
      </c>
      <c r="H520" s="15" t="n">
        <f aca="false">G520*(1+IF(H$3&lt;=$O$2,$D520,$D520-($D520-$I$508)*MIN(H$3-$O$2,$Q$2)/$Q$2))</f>
        <v>2114.19769595678</v>
      </c>
      <c r="I520" s="15" t="n">
        <f aca="false">H520*(1+IF(I$3&lt;=$O$2,$D520,$D520-($D520-$I$508)*MIN(I$3-$O$2,$Q$2)/$Q$2))</f>
        <v>2185.94415097093</v>
      </c>
      <c r="J520" s="15" t="n">
        <f aca="false">I520*(1+IF(J$3&lt;=$O$2,$D520,$D520-($D520-$I$508)*MIN(J$3-$O$2,$Q$2)/$Q$2))</f>
        <v>2256.21883988691</v>
      </c>
      <c r="K520" s="15" t="n">
        <f aca="false">J520*(1+IF(K$3&lt;=$O$2,$D520,$D520-($D520-$I$508)*MIN(K$3-$O$2,$Q$2)/$Q$2))</f>
        <v>2324.72064040653</v>
      </c>
      <c r="L520" s="15" t="n">
        <f aca="false">K520*(1+IF(L$3&lt;=$O$2,$D520,$D520-($D520-$I$508)*MIN(L$3-$O$2,$Q$2)/$Q$2))</f>
        <v>2391.14771651814</v>
      </c>
      <c r="M520" s="15" t="n">
        <f aca="false">L520*(1+IF(M$3&lt;=$O$2,$D520,$D520-($D520-$I$508)*MIN(M$3-$O$2,$Q$2)/$Q$2))</f>
        <v>2455.1996519323</v>
      </c>
      <c r="N520" s="15" t="n">
        <f aca="false">M520*(1+IF(N$3&lt;=$O$2,$D520,$D520-($D520-$I$508)*MIN(N$3-$O$2,$Q$2)/$Q$2))</f>
        <v>2516.5796432306</v>
      </c>
      <c r="O520" s="15" t="n">
        <f aca="false">SUMPRODUCT(E520:N520,1/(1+$F$508)^$E$3:$N$3)*$E$2</f>
        <v>5550.91849669826</v>
      </c>
      <c r="P520" s="15" t="n">
        <f aca="false">N520*$E$2*(1+$I$508)/($F$508-$I$508)/(1+$F$508)^$N$3</f>
        <v>10998.0725185525</v>
      </c>
      <c r="Q520" s="15" t="n">
        <f aca="false">O520+P520</f>
        <v>16548.9910152507</v>
      </c>
      <c r="R520" s="15" t="n">
        <f aca="false">Q520-$G$2+$I$2</f>
        <v>14996.2910152507</v>
      </c>
      <c r="S520" s="40" t="n">
        <f aca="false">R520/$K$2</f>
        <v>54.4547406051445</v>
      </c>
      <c r="T520" s="41" t="n">
        <f aca="false">S520-$M$2</f>
        <v>-0.0497802561794387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0.033935546875</v>
      </c>
      <c r="C521" s="25" t="n">
        <f aca="false">IF(T520&gt;0,D520,C520)</f>
        <v>0.03466796875</v>
      </c>
      <c r="D521" s="39" t="n">
        <f aca="false">(B521+C521)/2</f>
        <v>0.0343017578125</v>
      </c>
      <c r="E521" s="15" t="n">
        <f aca="false">$C$2*(1+IF(E$3&lt;=$O$2,$D521,$D521-($D521-$I$508)*MIN(E$3-$O$2,$Q$2)/$Q$2))</f>
        <v>1913.45825195313</v>
      </c>
      <c r="F521" s="15" t="n">
        <f aca="false">E521*(1+IF(F$3&lt;=$O$2,$D521,$D521-($D521-$I$508)*MIN(F$3-$O$2,$Q$2)/$Q$2))</f>
        <v>1979.09323349595</v>
      </c>
      <c r="G521" s="15" t="n">
        <f aca="false">F521*(1+IF(G$3&lt;=$O$2,$D521,$D521-($D521-$I$508)*MIN(G$3-$O$2,$Q$2)/$Q$2))</f>
        <v>2046.97961027969</v>
      </c>
      <c r="H521" s="15" t="n">
        <f aca="false">G521*(1+IF(H$3&lt;=$O$2,$D521,$D521-($D521-$I$508)*MIN(H$3-$O$2,$Q$2)/$Q$2))</f>
        <v>2117.19460911863</v>
      </c>
      <c r="I521" s="15" t="n">
        <f aca="false">H521*(1+IF(I$3&lt;=$O$2,$D521,$D521-($D521-$I$508)*MIN(I$3-$O$2,$Q$2)/$Q$2))</f>
        <v>2189.81810584254</v>
      </c>
      <c r="J521" s="15" t="n">
        <f aca="false">I521*(1+IF(J$3&lt;=$O$2,$D521,$D521-($D521-$I$508)*MIN(J$3-$O$2,$Q$2)/$Q$2))</f>
        <v>2260.85888462779</v>
      </c>
      <c r="K521" s="15" t="n">
        <f aca="false">J521*(1+IF(K$3&lt;=$O$2,$D521,$D521-($D521-$I$508)*MIN(K$3-$O$2,$Q$2)/$Q$2))</f>
        <v>2329.99833381931</v>
      </c>
      <c r="L521" s="15" t="n">
        <f aca="false">K521*(1+IF(L$3&lt;=$O$2,$D521,$D521-($D521-$I$508)*MIN(L$3-$O$2,$Q$2)/$Q$2))</f>
        <v>2396.91752424668</v>
      </c>
      <c r="M521" s="15" t="n">
        <f aca="false">L521*(1+IF(M$3&lt;=$O$2,$D521,$D521-($D521-$I$508)*MIN(M$3-$O$2,$Q$2)/$Q$2))</f>
        <v>2461.29957161426</v>
      </c>
      <c r="N521" s="15" t="n">
        <f aca="false">M521*(1+IF(N$3&lt;=$O$2,$D521,$D521-($D521-$I$508)*MIN(N$3-$O$2,$Q$2)/$Q$2))</f>
        <v>2522.83206090462</v>
      </c>
      <c r="O521" s="15" t="n">
        <f aca="false">SUMPRODUCT(E521:N521,1/(1+$F$508)^$E$3:$N$3)*$E$2</f>
        <v>5559.96526737422</v>
      </c>
      <c r="P521" s="15" t="n">
        <f aca="false">N521*$E$2*(1+$I$508)/($F$508-$I$508)/(1+$F$508)^$N$3</f>
        <v>11025.3971228741</v>
      </c>
      <c r="Q521" s="15" t="n">
        <f aca="false">O521+P521</f>
        <v>16585.3623902483</v>
      </c>
      <c r="R521" s="15" t="n">
        <f aca="false">Q521-$G$2+$I$2</f>
        <v>15032.6623902483</v>
      </c>
      <c r="S521" s="40" t="n">
        <f aca="false">R521/$K$2</f>
        <v>54.5868128481365</v>
      </c>
      <c r="T521" s="41" t="n">
        <f aca="false">S521-$M$2</f>
        <v>0.082291986812578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0.033935546875</v>
      </c>
      <c r="C522" s="25" t="n">
        <f aca="false">IF(T521&gt;0,D521,C521)</f>
        <v>0.0343017578125</v>
      </c>
      <c r="D522" s="39" t="n">
        <f aca="false">(B522+C522)/2</f>
        <v>0.03411865234375</v>
      </c>
      <c r="E522" s="15" t="n">
        <f aca="false">$C$2*(1+IF(E$3&lt;=$O$2,$D522,$D522-($D522-$I$508)*MIN(E$3-$O$2,$Q$2)/$Q$2))</f>
        <v>1913.11950683594</v>
      </c>
      <c r="F522" s="15" t="n">
        <f aca="false">E522*(1+IF(F$3&lt;=$O$2,$D522,$D522-($D522-$I$508)*MIN(F$3-$O$2,$Q$2)/$Q$2))</f>
        <v>1978.39256618172</v>
      </c>
      <c r="G522" s="15" t="n">
        <f aca="false">F522*(1+IF(G$3&lt;=$O$2,$D522,$D522-($D522-$I$508)*MIN(G$3-$O$2,$Q$2)/$Q$2))</f>
        <v>2045.89265434673</v>
      </c>
      <c r="H522" s="15" t="n">
        <f aca="false">G522*(1+IF(H$3&lt;=$O$2,$D522,$D522-($D522-$I$508)*MIN(H$3-$O$2,$Q$2)/$Q$2))</f>
        <v>2115.69575455302</v>
      </c>
      <c r="I522" s="15" t="n">
        <f aca="false">H522*(1+IF(I$3&lt;=$O$2,$D522,$D522-($D522-$I$508)*MIN(I$3-$O$2,$Q$2)/$Q$2))</f>
        <v>2187.88044246776</v>
      </c>
      <c r="J522" s="15" t="n">
        <f aca="false">I522*(1+IF(J$3&lt;=$O$2,$D522,$D522-($D522-$I$508)*MIN(J$3-$O$2,$Q$2)/$Q$2))</f>
        <v>2258.5378704291</v>
      </c>
      <c r="K522" s="15" t="n">
        <f aca="false">J522*(1+IF(K$3&lt;=$O$2,$D522,$D522-($D522-$I$508)*MIN(K$3-$O$2,$Q$2)/$Q$2))</f>
        <v>2327.35821017721</v>
      </c>
      <c r="L522" s="15" t="n">
        <f aca="false">K522*(1+IF(L$3&lt;=$O$2,$D522,$D522-($D522-$I$508)*MIN(L$3-$O$2,$Q$2)/$Q$2))</f>
        <v>2394.03111359083</v>
      </c>
      <c r="M522" s="15" t="n">
        <f aca="false">L522*(1+IF(M$3&lt;=$O$2,$D522,$D522-($D522-$I$508)*MIN(M$3-$O$2,$Q$2)/$Q$2))</f>
        <v>2458.24795891559</v>
      </c>
      <c r="N522" s="15" t="n">
        <f aca="false">M522*(1+IF(N$3&lt;=$O$2,$D522,$D522-($D522-$I$508)*MIN(N$3-$O$2,$Q$2)/$Q$2))</f>
        <v>2519.70415788848</v>
      </c>
      <c r="O522" s="15" t="n">
        <f aca="false">SUMPRODUCT(E522:N522,1/(1+$F$508)^$E$3:$N$3)*$E$2</f>
        <v>5555.44002875247</v>
      </c>
      <c r="P522" s="15" t="n">
        <f aca="false">N522*$E$2*(1+$I$508)/($F$508-$I$508)/(1+$F$508)^$N$3</f>
        <v>11011.7274167335</v>
      </c>
      <c r="Q522" s="15" t="n">
        <f aca="false">O522+P522</f>
        <v>16567.1674454859</v>
      </c>
      <c r="R522" s="15" t="n">
        <f aca="false">Q522-$G$2+$I$2</f>
        <v>15014.4674454859</v>
      </c>
      <c r="S522" s="40" t="n">
        <f aca="false">R522/$K$2</f>
        <v>54.5207431115361</v>
      </c>
      <c r="T522" s="41" t="n">
        <f aca="false">S522-$M$2</f>
        <v>0.0162222502121878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0.033935546875</v>
      </c>
      <c r="C523" s="25" t="n">
        <f aca="false">IF(T522&gt;0,D522,C522)</f>
        <v>0.03411865234375</v>
      </c>
      <c r="D523" s="39" t="n">
        <f aca="false">(B523+C523)/2</f>
        <v>0.034027099609375</v>
      </c>
      <c r="E523" s="15" t="n">
        <f aca="false">$C$2*(1+IF(E$3&lt;=$O$2,$D523,$D523-($D523-$I$508)*MIN(E$3-$O$2,$Q$2)/$Q$2))</f>
        <v>1912.95013427734</v>
      </c>
      <c r="F523" s="15" t="n">
        <f aca="false">E523*(1+IF(F$3&lt;=$O$2,$D523,$D523-($D523-$I$508)*MIN(F$3-$O$2,$Q$2)/$Q$2))</f>
        <v>1978.04227904417</v>
      </c>
      <c r="G523" s="15" t="n">
        <f aca="false">F523*(1+IF(G$3&lt;=$O$2,$D523,$D523-($D523-$I$508)*MIN(G$3-$O$2,$Q$2)/$Q$2))</f>
        <v>2045.34932070476</v>
      </c>
      <c r="H523" s="15" t="n">
        <f aca="false">G523*(1+IF(H$3&lt;=$O$2,$D523,$D523-($D523-$I$508)*MIN(H$3-$O$2,$Q$2)/$Q$2))</f>
        <v>2114.94662577635</v>
      </c>
      <c r="I523" s="15" t="n">
        <f aca="false">H523*(1+IF(I$3&lt;=$O$2,$D523,$D523-($D523-$I$508)*MIN(I$3-$O$2,$Q$2)/$Q$2))</f>
        <v>2186.91212528015</v>
      </c>
      <c r="J523" s="15" t="n">
        <f aca="false">I523*(1+IF(J$3&lt;=$O$2,$D523,$D523-($D523-$I$508)*MIN(J$3-$O$2,$Q$2)/$Q$2))</f>
        <v>2257.37810728564</v>
      </c>
      <c r="K523" s="15" t="n">
        <f aca="false">J523*(1+IF(K$3&lt;=$O$2,$D523,$D523-($D523-$I$508)*MIN(K$3-$O$2,$Q$2)/$Q$2))</f>
        <v>2326.03910618607</v>
      </c>
      <c r="L523" s="15" t="n">
        <f aca="false">K523*(1+IF(L$3&lt;=$O$2,$D523,$D523-($D523-$I$508)*MIN(L$3-$O$2,$Q$2)/$Q$2))</f>
        <v>2392.58903852346</v>
      </c>
      <c r="M523" s="15" t="n">
        <f aca="false">L523*(1+IF(M$3&lt;=$O$2,$D523,$D523-($D523-$I$508)*MIN(M$3-$O$2,$Q$2)/$Q$2))</f>
        <v>2456.72339240156</v>
      </c>
      <c r="N523" s="15" t="n">
        <f aca="false">M523*(1+IF(N$3&lt;=$O$2,$D523,$D523-($D523-$I$508)*MIN(N$3-$O$2,$Q$2)/$Q$2))</f>
        <v>2518.14147721159</v>
      </c>
      <c r="O523" s="15" t="n">
        <f aca="false">SUMPRODUCT(E523:N523,1/(1+$F$508)^$E$3:$N$3)*$E$2</f>
        <v>5553.17879958171</v>
      </c>
      <c r="P523" s="15" t="n">
        <f aca="false">N523*$E$2*(1+$I$508)/($F$508-$I$508)/(1+$F$508)^$N$3</f>
        <v>11004.8981175082</v>
      </c>
      <c r="Q523" s="15" t="n">
        <f aca="false">O523+P523</f>
        <v>16558.0769170899</v>
      </c>
      <c r="R523" s="15" t="n">
        <f aca="false">Q523-$G$2+$I$2</f>
        <v>15005.3769170899</v>
      </c>
      <c r="S523" s="40" t="n">
        <f aca="false">R523/$K$2</f>
        <v>54.4877334583316</v>
      </c>
      <c r="T523" s="41" t="n">
        <f aca="false">S523-$M$2</f>
        <v>-0.0167874029923638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0.034027099609375</v>
      </c>
      <c r="C524" s="25" t="n">
        <f aca="false">IF(T523&gt;0,D523,C523)</f>
        <v>0.03411865234375</v>
      </c>
      <c r="D524" s="39" t="n">
        <f aca="false">(B524+C524)/2</f>
        <v>0.0340728759765625</v>
      </c>
      <c r="E524" s="15" t="n">
        <f aca="false">$C$2*(1+IF(E$3&lt;=$O$2,$D524,$D524-($D524-$I$508)*MIN(E$3-$O$2,$Q$2)/$Q$2))</f>
        <v>1913.03482055664</v>
      </c>
      <c r="F524" s="15" t="n">
        <f aca="false">E524*(1+IF(F$3&lt;=$O$2,$D524,$D524-($D524-$I$508)*MIN(F$3-$O$2,$Q$2)/$Q$2))</f>
        <v>1978.21741873631</v>
      </c>
      <c r="G524" s="15" t="n">
        <f aca="false">F524*(1+IF(G$3&lt;=$O$2,$D524,$D524-($D524-$I$508)*MIN(G$3-$O$2,$Q$2)/$Q$2))</f>
        <v>2045.62097549959</v>
      </c>
      <c r="H524" s="15" t="n">
        <f aca="false">G524*(1+IF(H$3&lt;=$O$2,$D524,$D524-($D524-$I$508)*MIN(H$3-$O$2,$Q$2)/$Q$2))</f>
        <v>2115.32116529284</v>
      </c>
      <c r="I524" s="15" t="n">
        <f aca="false">H524*(1+IF(I$3&lt;=$O$2,$D524,$D524-($D524-$I$508)*MIN(I$3-$O$2,$Q$2)/$Q$2))</f>
        <v>2187.39624100846</v>
      </c>
      <c r="J524" s="15" t="n">
        <f aca="false">I524*(1+IF(J$3&lt;=$O$2,$D524,$D524-($D524-$I$508)*MIN(J$3-$O$2,$Q$2)/$Q$2))</f>
        <v>2257.95792687869</v>
      </c>
      <c r="K524" s="15" t="n">
        <f aca="false">J524*(1+IF(K$3&lt;=$O$2,$D524,$D524-($D524-$I$508)*MIN(K$3-$O$2,$Q$2)/$Q$2))</f>
        <v>2326.69857838918</v>
      </c>
      <c r="L524" s="15" t="n">
        <f aca="false">K524*(1+IF(L$3&lt;=$O$2,$D524,$D524-($D524-$I$508)*MIN(L$3-$O$2,$Q$2)/$Q$2))</f>
        <v>2393.30998190353</v>
      </c>
      <c r="M524" s="15" t="n">
        <f aca="false">L524*(1+IF(M$3&lt;=$O$2,$D524,$D524-($D524-$I$508)*MIN(M$3-$O$2,$Q$2)/$Q$2))</f>
        <v>2457.48557237898</v>
      </c>
      <c r="N524" s="15" t="n">
        <f aca="false">M524*(1+IF(N$3&lt;=$O$2,$D524,$D524-($D524-$I$508)*MIN(N$3-$O$2,$Q$2)/$Q$2))</f>
        <v>2518.92271168845</v>
      </c>
      <c r="O524" s="15" t="n">
        <f aca="false">SUMPRODUCT(E524:N524,1/(1+$F$508)^$E$3:$N$3)*$E$2</f>
        <v>5554.30929835902</v>
      </c>
      <c r="P524" s="15" t="n">
        <f aca="false">N524*$E$2*(1+$I$508)/($F$508-$I$508)/(1+$F$508)^$N$3</f>
        <v>11008.3123044797</v>
      </c>
      <c r="Q524" s="15" t="n">
        <f aca="false">O524+P524</f>
        <v>16562.6216028387</v>
      </c>
      <c r="R524" s="15" t="n">
        <f aca="false">Q524-$G$2+$I$2</f>
        <v>15009.9216028387</v>
      </c>
      <c r="S524" s="40" t="n">
        <f aca="false">R524/$K$2</f>
        <v>54.5042361844609</v>
      </c>
      <c r="T524" s="41" t="n">
        <f aca="false">S524-$M$2</f>
        <v>-0.000284676863074651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0.0340728759765625</v>
      </c>
      <c r="C525" s="25" t="n">
        <f aca="false">IF(T524&gt;0,D524,C524)</f>
        <v>0.03411865234375</v>
      </c>
      <c r="D525" s="39" t="n">
        <f aca="false">(B525+C525)/2</f>
        <v>0.0340957641601563</v>
      </c>
      <c r="E525" s="15" t="n">
        <f aca="false">$C$2*(1+IF(E$3&lt;=$O$2,$D525,$D525-($D525-$I$508)*MIN(E$3-$O$2,$Q$2)/$Q$2))</f>
        <v>1913.07716369629</v>
      </c>
      <c r="F525" s="15" t="n">
        <f aca="false">E525*(1+IF(F$3&lt;=$O$2,$D525,$D525-($D525-$I$508)*MIN(F$3-$O$2,$Q$2)/$Q$2))</f>
        <v>1978.30499148986</v>
      </c>
      <c r="G525" s="15" t="n">
        <f aca="false">F525*(1+IF(G$3&lt;=$O$2,$D525,$D525-($D525-$I$508)*MIN(G$3-$O$2,$Q$2)/$Q$2))</f>
        <v>2045.75681191656</v>
      </c>
      <c r="H525" s="15" t="n">
        <f aca="false">G525*(1+IF(H$3&lt;=$O$2,$D525,$D525-($D525-$I$508)*MIN(H$3-$O$2,$Q$2)/$Q$2))</f>
        <v>2115.5084537047</v>
      </c>
      <c r="I525" s="15" t="n">
        <f aca="false">H525*(1+IF(I$3&lt;=$O$2,$D525,$D525-($D525-$I$508)*MIN(I$3-$O$2,$Q$2)/$Q$2))</f>
        <v>2187.63833102103</v>
      </c>
      <c r="J525" s="15" t="n">
        <f aca="false">I525*(1+IF(J$3&lt;=$O$2,$D525,$D525-($D525-$I$508)*MIN(J$3-$O$2,$Q$2)/$Q$2))</f>
        <v>2258.2478831579</v>
      </c>
      <c r="K525" s="15" t="n">
        <f aca="false">J525*(1+IF(K$3&lt;=$O$2,$D525,$D525-($D525-$I$508)*MIN(K$3-$O$2,$Q$2)/$Q$2))</f>
        <v>2327.02837433308</v>
      </c>
      <c r="L525" s="15" t="n">
        <f aca="false">K525*(1+IF(L$3&lt;=$O$2,$D525,$D525-($D525-$I$508)*MIN(L$3-$O$2,$Q$2)/$Q$2))</f>
        <v>2393.67052420617</v>
      </c>
      <c r="M525" s="15" t="n">
        <f aca="false">L525*(1+IF(M$3&lt;=$O$2,$D525,$D525-($D525-$I$508)*MIN(M$3-$O$2,$Q$2)/$Q$2))</f>
        <v>2457.86673982439</v>
      </c>
      <c r="N525" s="15" t="n">
        <f aca="false">M525*(1+IF(N$3&lt;=$O$2,$D525,$D525-($D525-$I$508)*MIN(N$3-$O$2,$Q$2)/$Q$2))</f>
        <v>2519.31340832</v>
      </c>
      <c r="O525" s="15" t="n">
        <f aca="false">SUMPRODUCT(E525:N525,1/(1+$F$508)^$E$3:$N$3)*$E$2</f>
        <v>5554.87463460096</v>
      </c>
      <c r="P525" s="15" t="n">
        <f aca="false">N525*$E$2*(1+$I$508)/($F$508-$I$508)/(1+$F$508)^$N$3</f>
        <v>11010.0197449328</v>
      </c>
      <c r="Q525" s="15" t="n">
        <f aca="false">O525+P525</f>
        <v>16564.8943795338</v>
      </c>
      <c r="R525" s="15" t="n">
        <f aca="false">Q525-$G$2+$I$2</f>
        <v>15012.1943795338</v>
      </c>
      <c r="S525" s="40" t="n">
        <f aca="false">R525/$K$2</f>
        <v>54.5124891228214</v>
      </c>
      <c r="T525" s="41" t="n">
        <f aca="false">S525-$M$2</f>
        <v>0.00796826149742458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0.0340728759765625</v>
      </c>
      <c r="C526" s="25" t="n">
        <f aca="false">IF(T525&gt;0,D525,C525)</f>
        <v>0.0340957641601563</v>
      </c>
      <c r="D526" s="39" t="n">
        <f aca="false">(B526+C526)/2</f>
        <v>0.0340843200683594</v>
      </c>
      <c r="E526" s="15" t="n">
        <f aca="false">$C$2*(1+IF(E$3&lt;=$O$2,$D526,$D526-($D526-$I$508)*MIN(E$3-$O$2,$Q$2)/$Q$2))</f>
        <v>1913.05599212646</v>
      </c>
      <c r="F526" s="15" t="n">
        <f aca="false">E526*(1+IF(F$3&lt;=$O$2,$D526,$D526-($D526-$I$508)*MIN(F$3-$O$2,$Q$2)/$Q$2))</f>
        <v>1978.2612048708</v>
      </c>
      <c r="G526" s="15" t="n">
        <f aca="false">F526*(1+IF(G$3&lt;=$O$2,$D526,$D526-($D526-$I$508)*MIN(G$3-$O$2,$Q$2)/$Q$2))</f>
        <v>2045.68889295643</v>
      </c>
      <c r="H526" s="15" t="n">
        <f aca="false">G526*(1+IF(H$3&lt;=$O$2,$D526,$D526-($D526-$I$508)*MIN(H$3-$O$2,$Q$2)/$Q$2))</f>
        <v>2115.41480794425</v>
      </c>
      <c r="I526" s="15" t="n">
        <f aca="false">H526*(1+IF(I$3&lt;=$O$2,$D526,$D526-($D526-$I$508)*MIN(I$3-$O$2,$Q$2)/$Q$2))</f>
        <v>2187.51728333556</v>
      </c>
      <c r="J526" s="15" t="n">
        <f aca="false">I526*(1+IF(J$3&lt;=$O$2,$D526,$D526-($D526-$I$508)*MIN(J$3-$O$2,$Q$2)/$Q$2))</f>
        <v>2258.10290114446</v>
      </c>
      <c r="K526" s="15" t="n">
        <f aca="false">J526*(1+IF(K$3&lt;=$O$2,$D526,$D526-($D526-$I$508)*MIN(K$3-$O$2,$Q$2)/$Q$2))</f>
        <v>2326.86347137385</v>
      </c>
      <c r="L526" s="15" t="n">
        <f aca="false">K526*(1+IF(L$3&lt;=$O$2,$D526,$D526-($D526-$I$508)*MIN(L$3-$O$2,$Q$2)/$Q$2))</f>
        <v>2393.49024716993</v>
      </c>
      <c r="M526" s="15" t="n">
        <f aca="false">L526*(1+IF(M$3&lt;=$O$2,$D526,$D526-($D526-$I$508)*MIN(M$3-$O$2,$Q$2)/$Q$2))</f>
        <v>2457.67614964633</v>
      </c>
      <c r="N526" s="15" t="n">
        <f aca="false">M526*(1+IF(N$3&lt;=$O$2,$D526,$D526-($D526-$I$508)*MIN(N$3-$O$2,$Q$2)/$Q$2))</f>
        <v>2519.11805338749</v>
      </c>
      <c r="O526" s="15" t="n">
        <f aca="false">SUMPRODUCT(E526:N526,1/(1+$F$508)^$E$3:$N$3)*$E$2</f>
        <v>5554.59195924164</v>
      </c>
      <c r="P526" s="15" t="n">
        <f aca="false">N526*$E$2*(1+$I$508)/($F$508-$I$508)/(1+$F$508)^$N$3</f>
        <v>11009.1659957895</v>
      </c>
      <c r="Q526" s="15" t="n">
        <f aca="false">O526+P526</f>
        <v>16563.7579550311</v>
      </c>
      <c r="R526" s="15" t="n">
        <f aca="false">Q526-$G$2+$I$2</f>
        <v>15011.0579550311</v>
      </c>
      <c r="S526" s="40" t="n">
        <f aca="false">R526/$K$2</f>
        <v>54.5083625223542</v>
      </c>
      <c r="T526" s="41" t="n">
        <f aca="false">S526-$M$2</f>
        <v>0.00384166103025052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0.0340728759765625</v>
      </c>
      <c r="C527" s="25" t="n">
        <f aca="false">IF(T526&gt;0,D526,C526)</f>
        <v>0.0340843200683594</v>
      </c>
      <c r="D527" s="39" t="n">
        <f aca="false">(B527+C527)/2</f>
        <v>0.0340785980224609</v>
      </c>
      <c r="E527" s="15" t="n">
        <f aca="false">$C$2*(1+IF(E$3&lt;=$O$2,$D527,$D527-($D527-$I$508)*MIN(E$3-$O$2,$Q$2)/$Q$2))</f>
        <v>1913.04540634155</v>
      </c>
      <c r="F527" s="15" t="n">
        <f aca="false">E527*(1+IF(F$3&lt;=$O$2,$D527,$D527-($D527-$I$508)*MIN(F$3-$O$2,$Q$2)/$Q$2))</f>
        <v>1978.23931174298</v>
      </c>
      <c r="G527" s="15" t="n">
        <f aca="false">F527*(1+IF(G$3&lt;=$O$2,$D527,$D527-($D527-$I$508)*MIN(G$3-$O$2,$Q$2)/$Q$2))</f>
        <v>2045.6549340401</v>
      </c>
      <c r="H527" s="15" t="n">
        <f aca="false">G527*(1+IF(H$3&lt;=$O$2,$D527,$D527-($D527-$I$508)*MIN(H$3-$O$2,$Q$2)/$Q$2))</f>
        <v>2115.36798622992</v>
      </c>
      <c r="I527" s="15" t="n">
        <f aca="false">H527*(1+IF(I$3&lt;=$O$2,$D527,$D527-($D527-$I$508)*MIN(I$3-$O$2,$Q$2)/$Q$2))</f>
        <v>2187.45676150223</v>
      </c>
      <c r="J527" s="15" t="n">
        <f aca="false">I527*(1+IF(J$3&lt;=$O$2,$D527,$D527-($D527-$I$508)*MIN(J$3-$O$2,$Q$2)/$Q$2))</f>
        <v>2258.03041304314</v>
      </c>
      <c r="K527" s="15" t="n">
        <f aca="false">J527*(1+IF(K$3&lt;=$O$2,$D527,$D527-($D527-$I$508)*MIN(K$3-$O$2,$Q$2)/$Q$2))</f>
        <v>2326.78102363472</v>
      </c>
      <c r="L527" s="15" t="n">
        <f aca="false">K527*(1+IF(L$3&lt;=$O$2,$D527,$D527-($D527-$I$508)*MIN(L$3-$O$2,$Q$2)/$Q$2))</f>
        <v>2393.40011306554</v>
      </c>
      <c r="M527" s="15" t="n">
        <f aca="false">L527*(1+IF(M$3&lt;=$O$2,$D527,$D527-($D527-$I$508)*MIN(M$3-$O$2,$Q$2)/$Q$2))</f>
        <v>2457.58085939887</v>
      </c>
      <c r="N527" s="15" t="n">
        <f aca="false">M527*(1+IF(N$3&lt;=$O$2,$D527,$D527-($D527-$I$508)*MIN(N$3-$O$2,$Q$2)/$Q$2))</f>
        <v>2519.02038088384</v>
      </c>
      <c r="O527" s="15" t="n">
        <f aca="false">SUMPRODUCT(E527:N527,1/(1+$F$508)^$E$3:$N$3)*$E$2</f>
        <v>5554.45062699079</v>
      </c>
      <c r="P527" s="15" t="n">
        <f aca="false">N527*$E$2*(1+$I$508)/($F$508-$I$508)/(1+$F$508)^$N$3</f>
        <v>11008.7391429056</v>
      </c>
      <c r="Q527" s="15" t="n">
        <f aca="false">O527+P527</f>
        <v>16563.1897698964</v>
      </c>
      <c r="R527" s="15" t="n">
        <f aca="false">Q527-$G$2+$I$2</f>
        <v>15010.4897698964</v>
      </c>
      <c r="S527" s="40" t="n">
        <f aca="false">R527/$K$2</f>
        <v>54.5062993205867</v>
      </c>
      <c r="T527" s="41" t="n">
        <f aca="false">S527-$M$2</f>
        <v>0.00177845926279474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0.0340728759765625</v>
      </c>
      <c r="C528" s="25" t="n">
        <f aca="false">IF(T527&gt;0,D527,C527)</f>
        <v>0.0340785980224609</v>
      </c>
      <c r="D528" s="39" t="n">
        <f aca="false">(B528+C528)/2</f>
        <v>0.0340757369995117</v>
      </c>
      <c r="E528" s="15" t="n">
        <f aca="false">$C$2*(1+IF(E$3&lt;=$O$2,$D528,$D528-($D528-$I$508)*MIN(E$3-$O$2,$Q$2)/$Q$2))</f>
        <v>1913.0401134491</v>
      </c>
      <c r="F528" s="15" t="n">
        <f aca="false">E528*(1+IF(F$3&lt;=$O$2,$D528,$D528-($D528-$I$508)*MIN(F$3-$O$2,$Q$2)/$Q$2))</f>
        <v>1978.2283652245</v>
      </c>
      <c r="G528" s="15" t="n">
        <f aca="false">F528*(1+IF(G$3&lt;=$O$2,$D528,$D528-($D528-$I$508)*MIN(G$3-$O$2,$Q$2)/$Q$2))</f>
        <v>2045.63795472287</v>
      </c>
      <c r="H528" s="15" t="n">
        <f aca="false">G528*(1+IF(H$3&lt;=$O$2,$D528,$D528-($D528-$I$508)*MIN(H$3-$O$2,$Q$2)/$Q$2))</f>
        <v>2115.34457566422</v>
      </c>
      <c r="I528" s="15" t="n">
        <f aca="false">H528*(1+IF(I$3&lt;=$O$2,$D528,$D528-($D528-$I$508)*MIN(I$3-$O$2,$Q$2)/$Q$2))</f>
        <v>2187.4265010879</v>
      </c>
      <c r="J528" s="15" t="n">
        <f aca="false">I528*(1+IF(J$3&lt;=$O$2,$D528,$D528-($D528-$I$508)*MIN(J$3-$O$2,$Q$2)/$Q$2))</f>
        <v>2257.99416971881</v>
      </c>
      <c r="K528" s="15" t="n">
        <f aca="false">J528*(1+IF(K$3&lt;=$O$2,$D528,$D528-($D528-$I$508)*MIN(K$3-$O$2,$Q$2)/$Q$2))</f>
        <v>2326.73980070026</v>
      </c>
      <c r="L528" s="15" t="n">
        <f aca="false">K528*(1+IF(L$3&lt;=$O$2,$D528,$D528-($D528-$I$508)*MIN(L$3-$O$2,$Q$2)/$Q$2))</f>
        <v>2393.35504711675</v>
      </c>
      <c r="M528" s="15" t="n">
        <f aca="false">L528*(1+IF(M$3&lt;=$O$2,$D528,$D528-($D528-$I$508)*MIN(M$3-$O$2,$Q$2)/$Q$2))</f>
        <v>2457.53321548548</v>
      </c>
      <c r="N528" s="15" t="n">
        <f aca="false">M528*(1+IF(N$3&lt;=$O$2,$D528,$D528-($D528-$I$508)*MIN(N$3-$O$2,$Q$2)/$Q$2))</f>
        <v>2518.97154587262</v>
      </c>
      <c r="O528" s="15" t="n">
        <f aca="false">SUMPRODUCT(E528:N528,1/(1+$F$508)^$E$3:$N$3)*$E$2</f>
        <v>5554.37996222252</v>
      </c>
      <c r="P528" s="15" t="n">
        <f aca="false">N528*$E$2*(1+$I$508)/($F$508-$I$508)/(1+$F$508)^$N$3</f>
        <v>11008.5257218854</v>
      </c>
      <c r="Q528" s="15" t="n">
        <f aca="false">O528+P528</f>
        <v>16562.9056841079</v>
      </c>
      <c r="R528" s="15" t="n">
        <f aca="false">Q528-$G$2+$I$2</f>
        <v>15010.2056841079</v>
      </c>
      <c r="S528" s="40" t="n">
        <f aca="false">R528/$K$2</f>
        <v>54.5052677443187</v>
      </c>
      <c r="T528" s="41" t="n">
        <f aca="false">S528-$M$2</f>
        <v>0.000746882994768328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0.0340728759765625</v>
      </c>
      <c r="C529" s="25" t="n">
        <f aca="false">IF(T528&gt;0,D528,C528)</f>
        <v>0.0340757369995117</v>
      </c>
      <c r="D529" s="39" t="n">
        <f aca="false">(B529+C529)/2</f>
        <v>0.0340743064880371</v>
      </c>
      <c r="E529" s="15" t="n">
        <f aca="false">$C$2*(1+IF(E$3&lt;=$O$2,$D529,$D529-($D529-$I$508)*MIN(E$3-$O$2,$Q$2)/$Q$2))</f>
        <v>1913.03746700287</v>
      </c>
      <c r="F529" s="15" t="n">
        <f aca="false">E529*(1+IF(F$3&lt;=$O$2,$D529,$D529-($D529-$I$508)*MIN(F$3-$O$2,$Q$2)/$Q$2))</f>
        <v>1978.22289197662</v>
      </c>
      <c r="G529" s="15" t="n">
        <f aca="false">F529*(1+IF(G$3&lt;=$O$2,$D529,$D529-($D529-$I$508)*MIN(G$3-$O$2,$Q$2)/$Q$2))</f>
        <v>2045.62946509949</v>
      </c>
      <c r="H529" s="15" t="n">
        <f aca="false">G529*(1+IF(H$3&lt;=$O$2,$D529,$D529-($D529-$I$508)*MIN(H$3-$O$2,$Q$2)/$Q$2))</f>
        <v>2115.33287045424</v>
      </c>
      <c r="I529" s="15" t="n">
        <f aca="false">H529*(1+IF(I$3&lt;=$O$2,$D529,$D529-($D529-$I$508)*MIN(I$3-$O$2,$Q$2)/$Q$2))</f>
        <v>2187.41137100632</v>
      </c>
      <c r="J529" s="15" t="n">
        <f aca="false">I529*(1+IF(J$3&lt;=$O$2,$D529,$D529-($D529-$I$508)*MIN(J$3-$O$2,$Q$2)/$Q$2))</f>
        <v>2257.97604823822</v>
      </c>
      <c r="K529" s="15" t="n">
        <f aca="false">J529*(1+IF(K$3&lt;=$O$2,$D529,$D529-($D529-$I$508)*MIN(K$3-$O$2,$Q$2)/$Q$2))</f>
        <v>2326.71918946679</v>
      </c>
      <c r="L529" s="15" t="n">
        <f aca="false">K529*(1+IF(L$3&lt;=$O$2,$D529,$D529-($D529-$I$508)*MIN(L$3-$O$2,$Q$2)/$Q$2))</f>
        <v>2393.33251441819</v>
      </c>
      <c r="M529" s="15" t="n">
        <f aca="false">L529*(1+IF(M$3&lt;=$O$2,$D529,$D529-($D529-$I$508)*MIN(M$3-$O$2,$Q$2)/$Q$2))</f>
        <v>2457.50939383137</v>
      </c>
      <c r="N529" s="15" t="n">
        <f aca="false">M529*(1+IF(N$3&lt;=$O$2,$D529,$D529-($D529-$I$508)*MIN(N$3-$O$2,$Q$2)/$Q$2))</f>
        <v>2518.94712867715</v>
      </c>
      <c r="O529" s="15" t="n">
        <f aca="false">SUMPRODUCT(E529:N529,1/(1+$F$508)^$E$3:$N$3)*$E$2</f>
        <v>5554.34463017768</v>
      </c>
      <c r="P529" s="15" t="n">
        <f aca="false">N529*$E$2*(1+$I$508)/($F$508-$I$508)/(1+$F$508)^$N$3</f>
        <v>11008.4190127307</v>
      </c>
      <c r="Q529" s="15" t="n">
        <f aca="false">O529+P529</f>
        <v>16562.7636429084</v>
      </c>
      <c r="R529" s="15" t="n">
        <f aca="false">Q529-$G$2+$I$2</f>
        <v>15010.0636429084</v>
      </c>
      <c r="S529" s="40" t="n">
        <f aca="false">R529/$K$2</f>
        <v>54.5047519623385</v>
      </c>
      <c r="T529" s="41" t="n">
        <f aca="false">S529-$M$2</f>
        <v>0.000231101014570356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0.0340728759765625</v>
      </c>
      <c r="C530" s="25" t="n">
        <f aca="false">IF(T529&gt;0,D529,C529)</f>
        <v>0.0340743064880371</v>
      </c>
      <c r="D530" s="39" t="n">
        <f aca="false">(B530+C530)/2</f>
        <v>0.0340735912322998</v>
      </c>
      <c r="E530" s="15" t="n">
        <f aca="false">$C$2*(1+IF(E$3&lt;=$O$2,$D530,$D530-($D530-$I$508)*MIN(E$3-$O$2,$Q$2)/$Q$2))</f>
        <v>1913.03614377975</v>
      </c>
      <c r="F530" s="15" t="n">
        <f aca="false">E530*(1+IF(F$3&lt;=$O$2,$D530,$D530-($D530-$I$508)*MIN(F$3-$O$2,$Q$2)/$Q$2))</f>
        <v>1978.22015535552</v>
      </c>
      <c r="G530" s="15" t="n">
        <f aca="false">F530*(1+IF(G$3&lt;=$O$2,$D530,$D530-($D530-$I$508)*MIN(G$3-$O$2,$Q$2)/$Q$2))</f>
        <v>2045.6252202966</v>
      </c>
      <c r="H530" s="15" t="n">
        <f aca="false">G530*(1+IF(H$3&lt;=$O$2,$D530,$D530-($D530-$I$508)*MIN(H$3-$O$2,$Q$2)/$Q$2))</f>
        <v>2115.32701786747</v>
      </c>
      <c r="I530" s="15" t="n">
        <f aca="false">H530*(1+IF(I$3&lt;=$O$2,$D530,$D530-($D530-$I$508)*MIN(I$3-$O$2,$Q$2)/$Q$2))</f>
        <v>2187.40380599693</v>
      </c>
      <c r="J530" s="15" t="n">
        <f aca="false">I530*(1+IF(J$3&lt;=$O$2,$D530,$D530-($D530-$I$508)*MIN(J$3-$O$2,$Q$2)/$Q$2))</f>
        <v>2257.96698754332</v>
      </c>
      <c r="K530" s="15" t="n">
        <f aca="false">J530*(1+IF(K$3&lt;=$O$2,$D530,$D530-($D530-$I$508)*MIN(K$3-$O$2,$Q$2)/$Q$2))</f>
        <v>2326.7088839085</v>
      </c>
      <c r="L530" s="15" t="n">
        <f aca="false">K530*(1+IF(L$3&lt;=$O$2,$D530,$D530-($D530-$I$508)*MIN(L$3-$O$2,$Q$2)/$Q$2))</f>
        <v>2393.32124813788</v>
      </c>
      <c r="M530" s="15" t="n">
        <f aca="false">L530*(1+IF(M$3&lt;=$O$2,$D530,$D530-($D530-$I$508)*MIN(M$3-$O$2,$Q$2)/$Q$2))</f>
        <v>2457.49748307996</v>
      </c>
      <c r="N530" s="15" t="n">
        <f aca="false">M530*(1+IF(N$3&lt;=$O$2,$D530,$D530-($D530-$I$508)*MIN(N$3-$O$2,$Q$2)/$Q$2))</f>
        <v>2518.93492015696</v>
      </c>
      <c r="O530" s="15" t="n">
        <f aca="false">SUMPRODUCT(E530:N530,1/(1+$F$508)^$E$3:$N$3)*$E$2</f>
        <v>5554.32696424008</v>
      </c>
      <c r="P530" s="15" t="n">
        <f aca="false">N530*$E$2*(1+$I$508)/($F$508-$I$508)/(1+$F$508)^$N$3</f>
        <v>11008.3656584922</v>
      </c>
      <c r="Q530" s="15" t="n">
        <f aca="false">O530+P530</f>
        <v>16562.6926227323</v>
      </c>
      <c r="R530" s="15" t="n">
        <f aca="false">Q530-$G$2+$I$2</f>
        <v>15009.9926227323</v>
      </c>
      <c r="S530" s="40" t="n">
        <f aca="false">R530/$K$2</f>
        <v>54.5044940728869</v>
      </c>
      <c r="T530" s="41" t="n">
        <f aca="false">S530-$M$2</f>
        <v>-2.67884370757088E-005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0.0340735912322998</v>
      </c>
      <c r="C531" s="25" t="n">
        <f aca="false">IF(T530&gt;0,D530,C530)</f>
        <v>0.0340743064880371</v>
      </c>
      <c r="D531" s="39" t="n">
        <f aca="false">(B531+C531)/2</f>
        <v>0.0340739488601685</v>
      </c>
      <c r="E531" s="15" t="n">
        <f aca="false">$C$2*(1+IF(E$3&lt;=$O$2,$D531,$D531-($D531-$I$508)*MIN(E$3-$O$2,$Q$2)/$Q$2))</f>
        <v>1913.03680539131</v>
      </c>
      <c r="F531" s="15" t="n">
        <f aca="false">E531*(1+IF(F$3&lt;=$O$2,$D531,$D531-($D531-$I$508)*MIN(F$3-$O$2,$Q$2)/$Q$2))</f>
        <v>1978.22152366584</v>
      </c>
      <c r="G531" s="15" t="n">
        <f aca="false">F531*(1+IF(G$3&lt;=$O$2,$D531,$D531-($D531-$I$508)*MIN(G$3-$O$2,$Q$2)/$Q$2))</f>
        <v>2045.62734269731</v>
      </c>
      <c r="H531" s="15" t="n">
        <f aca="false">G531*(1+IF(H$3&lt;=$O$2,$D531,$D531-($D531-$I$508)*MIN(H$3-$O$2,$Q$2)/$Q$2))</f>
        <v>2115.32994415934</v>
      </c>
      <c r="I531" s="15" t="n">
        <f aca="false">H531*(1+IF(I$3&lt;=$O$2,$D531,$D531-($D531-$I$508)*MIN(I$3-$O$2,$Q$2)/$Q$2))</f>
        <v>2187.40758849901</v>
      </c>
      <c r="J531" s="15" t="n">
        <f aca="false">I531*(1+IF(J$3&lt;=$O$2,$D531,$D531-($D531-$I$508)*MIN(J$3-$O$2,$Q$2)/$Q$2))</f>
        <v>2257.97151788699</v>
      </c>
      <c r="K531" s="15" t="n">
        <f aca="false">J531*(1+IF(K$3&lt;=$O$2,$D531,$D531-($D531-$I$508)*MIN(K$3-$O$2,$Q$2)/$Q$2))</f>
        <v>2326.71403668278</v>
      </c>
      <c r="L531" s="15" t="n">
        <f aca="false">K531*(1+IF(L$3&lt;=$O$2,$D531,$D531-($D531-$I$508)*MIN(L$3-$O$2,$Q$2)/$Q$2))</f>
        <v>2393.32688127229</v>
      </c>
      <c r="M531" s="15" t="n">
        <f aca="false">L531*(1+IF(M$3&lt;=$O$2,$D531,$D531-($D531-$I$508)*MIN(M$3-$O$2,$Q$2)/$Q$2))</f>
        <v>2457.50343844936</v>
      </c>
      <c r="N531" s="15" t="n">
        <f aca="false">M531*(1+IF(N$3&lt;=$O$2,$D531,$D531-($D531-$I$508)*MIN(N$3-$O$2,$Q$2)/$Q$2))</f>
        <v>2518.9410244106</v>
      </c>
      <c r="O531" s="15" t="n">
        <f aca="false">SUMPRODUCT(E531:N531,1/(1+$F$508)^$E$3:$N$3)*$E$2</f>
        <v>5554.33579720181</v>
      </c>
      <c r="P531" s="15" t="n">
        <f aca="false">N531*$E$2*(1+$I$508)/($F$508-$I$508)/(1+$F$508)^$N$3</f>
        <v>11008.3923355833</v>
      </c>
      <c r="Q531" s="15" t="n">
        <f aca="false">O531+P531</f>
        <v>16562.7281327851</v>
      </c>
      <c r="R531" s="15" t="n">
        <f aca="false">Q531-$G$2+$I$2</f>
        <v>15010.0281327851</v>
      </c>
      <c r="S531" s="40" t="n">
        <f aca="false">R531/$K$2</f>
        <v>54.5046230174845</v>
      </c>
      <c r="T531" s="41" t="n">
        <f aca="false">S531-$M$2</f>
        <v>0.000102156160579625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0.0340735912322998</v>
      </c>
      <c r="C532" s="25" t="n">
        <f aca="false">IF(T531&gt;0,D531,C531)</f>
        <v>0.0340739488601685</v>
      </c>
      <c r="D532" s="39" t="n">
        <f aca="false">(B532+C532)/2</f>
        <v>0.0340737700462341</v>
      </c>
      <c r="E532" s="15" t="n">
        <f aca="false">$C$2*(1+IF(E$3&lt;=$O$2,$D532,$D532-($D532-$I$508)*MIN(E$3-$O$2,$Q$2)/$Q$2))</f>
        <v>1913.03647458553</v>
      </c>
      <c r="F532" s="15" t="n">
        <f aca="false">E532*(1+IF(F$3&lt;=$O$2,$D532,$D532-($D532-$I$508)*MIN(F$3-$O$2,$Q$2)/$Q$2))</f>
        <v>1978.22083951062</v>
      </c>
      <c r="G532" s="15" t="n">
        <f aca="false">F532*(1+IF(G$3&lt;=$O$2,$D532,$D532-($D532-$I$508)*MIN(G$3-$O$2,$Q$2)/$Q$2))</f>
        <v>2045.62628149677</v>
      </c>
      <c r="H532" s="15" t="n">
        <f aca="false">G532*(1+IF(H$3&lt;=$O$2,$D532,$D532-($D532-$I$508)*MIN(H$3-$O$2,$Q$2)/$Q$2))</f>
        <v>2115.32848101303</v>
      </c>
      <c r="I532" s="15" t="n">
        <f aca="false">H532*(1+IF(I$3&lt;=$O$2,$D532,$D532-($D532-$I$508)*MIN(I$3-$O$2,$Q$2)/$Q$2))</f>
        <v>2187.40569724731</v>
      </c>
      <c r="J532" s="15" t="n">
        <f aca="false">I532*(1+IF(J$3&lt;=$O$2,$D532,$D532-($D532-$I$508)*MIN(J$3-$O$2,$Q$2)/$Q$2))</f>
        <v>2257.96925271421</v>
      </c>
      <c r="K532" s="15" t="n">
        <f aca="false">J532*(1+IF(K$3&lt;=$O$2,$D532,$D532-($D532-$I$508)*MIN(K$3-$O$2,$Q$2)/$Q$2))</f>
        <v>2326.71146029443</v>
      </c>
      <c r="L532" s="15" t="n">
        <f aca="false">K532*(1+IF(L$3&lt;=$O$2,$D532,$D532-($D532-$I$508)*MIN(L$3-$O$2,$Q$2)/$Q$2))</f>
        <v>2393.32406470365</v>
      </c>
      <c r="M532" s="15" t="n">
        <f aca="false">L532*(1+IF(M$3&lt;=$O$2,$D532,$D532-($D532-$I$508)*MIN(M$3-$O$2,$Q$2)/$Q$2))</f>
        <v>2457.50046076309</v>
      </c>
      <c r="N532" s="15" t="n">
        <f aca="false">M532*(1+IF(N$3&lt;=$O$2,$D532,$D532-($D532-$I$508)*MIN(N$3-$O$2,$Q$2)/$Q$2))</f>
        <v>2518.93797228216</v>
      </c>
      <c r="O532" s="15" t="n">
        <f aca="false">SUMPRODUCT(E532:N532,1/(1+$F$508)^$E$3:$N$3)*$E$2</f>
        <v>5554.33138071918</v>
      </c>
      <c r="P532" s="15" t="n">
        <f aca="false">N532*$E$2*(1+$I$508)/($F$508-$I$508)/(1+$F$508)^$N$3</f>
        <v>11008.3789970307</v>
      </c>
      <c r="Q532" s="15" t="n">
        <f aca="false">O532+P532</f>
        <v>16562.7103777499</v>
      </c>
      <c r="R532" s="15" t="n">
        <f aca="false">Q532-$G$2+$I$2</f>
        <v>15010.0103777499</v>
      </c>
      <c r="S532" s="40" t="n">
        <f aca="false">R532/$K$2</f>
        <v>54.5045585451537</v>
      </c>
      <c r="T532" s="41" t="n">
        <f aca="false">S532-$M$2</f>
        <v>3.76838297100335E-005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0.0340735912322998</v>
      </c>
      <c r="C533" s="25" t="n">
        <f aca="false">IF(T532&gt;0,D532,C532)</f>
        <v>0.0340737700462341</v>
      </c>
      <c r="D533" s="39" t="n">
        <f aca="false">(B533+C533)/2</f>
        <v>0.034073680639267</v>
      </c>
      <c r="E533" s="15" t="n">
        <f aca="false">$C$2*(1+IF(E$3&lt;=$O$2,$D533,$D533-($D533-$I$508)*MIN(E$3-$O$2,$Q$2)/$Q$2))</f>
        <v>1913.03630918264</v>
      </c>
      <c r="F533" s="15" t="n">
        <f aca="false">E533*(1+IF(F$3&lt;=$O$2,$D533,$D533-($D533-$I$508)*MIN(F$3-$O$2,$Q$2)/$Q$2))</f>
        <v>1978.22049743306</v>
      </c>
      <c r="G533" s="15" t="n">
        <f aca="false">F533*(1+IF(G$3&lt;=$O$2,$D533,$D533-($D533-$I$508)*MIN(G$3-$O$2,$Q$2)/$Q$2))</f>
        <v>2045.62575089664</v>
      </c>
      <c r="H533" s="15" t="n">
        <f aca="false">G533*(1+IF(H$3&lt;=$O$2,$D533,$D533-($D533-$I$508)*MIN(H$3-$O$2,$Q$2)/$Q$2))</f>
        <v>2115.32774944015</v>
      </c>
      <c r="I533" s="15" t="n">
        <f aca="false">H533*(1+IF(I$3&lt;=$O$2,$D533,$D533-($D533-$I$508)*MIN(I$3-$O$2,$Q$2)/$Q$2))</f>
        <v>2187.40475162196</v>
      </c>
      <c r="J533" s="15" t="n">
        <f aca="false">I533*(1+IF(J$3&lt;=$O$2,$D533,$D533-($D533-$I$508)*MIN(J$3-$O$2,$Q$2)/$Q$2))</f>
        <v>2257.96812012853</v>
      </c>
      <c r="K533" s="15" t="n">
        <f aca="false">J533*(1+IF(K$3&lt;=$O$2,$D533,$D533-($D533-$I$508)*MIN(K$3-$O$2,$Q$2)/$Q$2))</f>
        <v>2326.71017210116</v>
      </c>
      <c r="L533" s="15" t="n">
        <f aca="false">K533*(1+IF(L$3&lt;=$O$2,$D533,$D533-($D533-$I$508)*MIN(L$3-$O$2,$Q$2)/$Q$2))</f>
        <v>2393.3226564204</v>
      </c>
      <c r="M533" s="15" t="n">
        <f aca="false">L533*(1+IF(M$3&lt;=$O$2,$D533,$D533-($D533-$I$508)*MIN(M$3-$O$2,$Q$2)/$Q$2))</f>
        <v>2457.49897192113</v>
      </c>
      <c r="N533" s="15" t="n">
        <f aca="false">M533*(1+IF(N$3&lt;=$O$2,$D533,$D533-($D533-$I$508)*MIN(N$3-$O$2,$Q$2)/$Q$2))</f>
        <v>2518.93644621916</v>
      </c>
      <c r="O533" s="15" t="n">
        <f aca="false">SUMPRODUCT(E533:N533,1/(1+$F$508)^$E$3:$N$3)*$E$2</f>
        <v>5554.32917247918</v>
      </c>
      <c r="P533" s="15" t="n">
        <f aca="false">N533*$E$2*(1+$I$508)/($F$508-$I$508)/(1+$F$508)^$N$3</f>
        <v>11008.3723277597</v>
      </c>
      <c r="Q533" s="15" t="n">
        <f aca="false">O533+P533</f>
        <v>16562.7015002389</v>
      </c>
      <c r="R533" s="15" t="n">
        <f aca="false">Q533-$G$2+$I$2</f>
        <v>15010.0015002389</v>
      </c>
      <c r="S533" s="40" t="n">
        <f aca="false">R533/$K$2</f>
        <v>54.5045263090123</v>
      </c>
      <c r="T533" s="41" t="n">
        <f aca="false">S533-$M$2</f>
        <v>5.44768830934572E-006</v>
      </c>
    </row>
    <row r="535" customFormat="false" ht="15" hidden="false" customHeight="false" outlineLevel="0" collapsed="false">
      <c r="A535" s="36" t="s">
        <v>194</v>
      </c>
      <c r="E535" s="5" t="s">
        <v>11</v>
      </c>
      <c r="F535" s="12" t="n">
        <f aca="false">Sensitivity!$B$13</f>
        <v>0.0685093056415221</v>
      </c>
      <c r="G535" s="5" t="s">
        <v>12</v>
      </c>
      <c r="I535" s="12" t="n">
        <f aca="false">Sensitivity!$F$9</f>
        <v>0.03</v>
      </c>
    </row>
    <row r="536" customFormat="false" ht="23.85" hidden="false" customHeight="false" outlineLevel="0" collapsed="false">
      <c r="A536" s="36" t="s">
        <v>156</v>
      </c>
      <c r="B536" s="28" t="s">
        <v>157</v>
      </c>
      <c r="C536" s="28" t="s">
        <v>158</v>
      </c>
      <c r="D536" s="28" t="s">
        <v>159</v>
      </c>
      <c r="E536" s="28" t="s">
        <v>160</v>
      </c>
      <c r="F536" s="28" t="s">
        <v>161</v>
      </c>
      <c r="G536" s="28" t="s">
        <v>162</v>
      </c>
      <c r="H536" s="28" t="s">
        <v>163</v>
      </c>
      <c r="I536" s="28" t="s">
        <v>164</v>
      </c>
      <c r="J536" s="28" t="s">
        <v>165</v>
      </c>
      <c r="K536" s="28" t="s">
        <v>166</v>
      </c>
      <c r="L536" s="28" t="s">
        <v>167</v>
      </c>
      <c r="M536" s="28" t="s">
        <v>168</v>
      </c>
      <c r="N536" s="28" t="s">
        <v>169</v>
      </c>
      <c r="O536" s="28" t="s">
        <v>170</v>
      </c>
      <c r="P536" s="28" t="s">
        <v>171</v>
      </c>
      <c r="Q536" s="28" t="s">
        <v>172</v>
      </c>
      <c r="R536" s="28" t="s">
        <v>173</v>
      </c>
      <c r="S536" s="28" t="s">
        <v>174</v>
      </c>
      <c r="T536" s="28" t="s">
        <v>175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39" t="n">
        <f aca="false">(B537+C537)/2</f>
        <v>0.25</v>
      </c>
      <c r="E537" s="15" t="n">
        <f aca="false">$C$2*(1+IF(E$3&lt;=$O$2,$D537,$D537-($D537-$I$535)*MIN(E$3-$O$2,$Q$2)/$Q$2))</f>
        <v>2312.5</v>
      </c>
      <c r="F537" s="15" t="n">
        <f aca="false">E537*(1+IF(F$3&lt;=$O$2,$D537,$D537-($D537-$I$535)*MIN(F$3-$O$2,$Q$2)/$Q$2))</f>
        <v>2890.625</v>
      </c>
      <c r="G537" s="15" t="n">
        <f aca="false">F537*(1+IF(G$3&lt;=$O$2,$D537,$D537-($D537-$I$535)*MIN(G$3-$O$2,$Q$2)/$Q$2))</f>
        <v>3613.28125</v>
      </c>
      <c r="H537" s="15" t="n">
        <f aca="false">G537*(1+IF(H$3&lt;=$O$2,$D537,$D537-($D537-$I$535)*MIN(H$3-$O$2,$Q$2)/$Q$2))</f>
        <v>4516.6015625</v>
      </c>
      <c r="I537" s="15" t="n">
        <f aca="false">H537*(1+IF(I$3&lt;=$O$2,$D537,$D537-($D537-$I$535)*MIN(I$3-$O$2,$Q$2)/$Q$2))</f>
        <v>5645.751953125</v>
      </c>
      <c r="J537" s="15" t="n">
        <f aca="false">I537*(1+IF(J$3&lt;=$O$2,$D537,$D537-($D537-$I$535)*MIN(J$3-$O$2,$Q$2)/$Q$2))</f>
        <v>6808.77685546875</v>
      </c>
      <c r="K537" s="15" t="n">
        <f aca="false">J537*(1+IF(K$3&lt;=$O$2,$D537,$D537-($D537-$I$535)*MIN(K$3-$O$2,$Q$2)/$Q$2))</f>
        <v>7911.79870605469</v>
      </c>
      <c r="L537" s="15" t="n">
        <f aca="false">K537*(1+IF(L$3&lt;=$O$2,$D537,$D537-($D537-$I$535)*MIN(L$3-$O$2,$Q$2)/$Q$2))</f>
        <v>8845.39095336914</v>
      </c>
      <c r="M537" s="15" t="n">
        <f aca="false">L537*(1+IF(M$3&lt;=$O$2,$D537,$D537-($D537-$I$535)*MIN(M$3-$O$2,$Q$2)/$Q$2))</f>
        <v>9499.94988391846</v>
      </c>
      <c r="N537" s="15" t="n">
        <f aca="false">M537*(1+IF(N$3&lt;=$O$2,$D537,$D537-($D537-$I$535)*MIN(N$3-$O$2,$Q$2)/$Q$2))</f>
        <v>9784.94838043601</v>
      </c>
      <c r="O537" s="15" t="n">
        <f aca="false">SUMPRODUCT(E537:N537,1/(1+$F$535)^$E$3:$N$3)*$E$2</f>
        <v>14470.1776333738</v>
      </c>
      <c r="P537" s="15" t="n">
        <f aca="false">N537*$E$2*(1+$I$535)/($F$535-$I$535)/(1+$F$535)^$N$3</f>
        <v>48550.5621166511</v>
      </c>
      <c r="Q537" s="15" t="n">
        <f aca="false">O537+P537</f>
        <v>63020.739750025</v>
      </c>
      <c r="R537" s="15" t="n">
        <f aca="false">Q537-$G$2+$I$2</f>
        <v>61468.039750025</v>
      </c>
      <c r="S537" s="40" t="n">
        <f aca="false">R537/$K$2</f>
        <v>223.203601256491</v>
      </c>
      <c r="T537" s="41" t="n">
        <f aca="false">S537-$M$2</f>
        <v>168.699080395167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39" t="n">
        <f aca="false">(B538+C538)/2</f>
        <v>-0.125</v>
      </c>
      <c r="E538" s="15" t="n">
        <f aca="false">$C$2*(1+IF(E$3&lt;=$O$2,$D538,$D538-($D538-$I$535)*MIN(E$3-$O$2,$Q$2)/$Q$2))</f>
        <v>1618.75</v>
      </c>
      <c r="F538" s="15" t="n">
        <f aca="false">E538*(1+IF(F$3&lt;=$O$2,$D538,$D538-($D538-$I$535)*MIN(F$3-$O$2,$Q$2)/$Q$2))</f>
        <v>1416.40625</v>
      </c>
      <c r="G538" s="15" t="n">
        <f aca="false">F538*(1+IF(G$3&lt;=$O$2,$D538,$D538-($D538-$I$535)*MIN(G$3-$O$2,$Q$2)/$Q$2))</f>
        <v>1239.35546875</v>
      </c>
      <c r="H538" s="15" t="n">
        <f aca="false">G538*(1+IF(H$3&lt;=$O$2,$D538,$D538-($D538-$I$535)*MIN(H$3-$O$2,$Q$2)/$Q$2))</f>
        <v>1084.43603515625</v>
      </c>
      <c r="I538" s="15" t="n">
        <f aca="false">H538*(1+IF(I$3&lt;=$O$2,$D538,$D538-($D538-$I$535)*MIN(I$3-$O$2,$Q$2)/$Q$2))</f>
        <v>948.881530761719</v>
      </c>
      <c r="J538" s="15" t="n">
        <f aca="false">I538*(1+IF(J$3&lt;=$O$2,$D538,$D538-($D538-$I$535)*MIN(J$3-$O$2,$Q$2)/$Q$2))</f>
        <v>859.686666870117</v>
      </c>
      <c r="K538" s="15" t="n">
        <f aca="false">J538*(1+IF(K$3&lt;=$O$2,$D538,$D538-($D538-$I$535)*MIN(K$3-$O$2,$Q$2)/$Q$2))</f>
        <v>805.5264068573</v>
      </c>
      <c r="L538" s="15" t="n">
        <f aca="false">K538*(1+IF(L$3&lt;=$O$2,$D538,$D538-($D538-$I$535)*MIN(L$3-$O$2,$Q$2)/$Q$2))</f>
        <v>779.749561837866</v>
      </c>
      <c r="M538" s="15" t="n">
        <f aca="false">L538*(1+IF(M$3&lt;=$O$2,$D538,$D538-($D538-$I$535)*MIN(M$3-$O$2,$Q$2)/$Q$2))</f>
        <v>778.969812276028</v>
      </c>
      <c r="N538" s="15" t="n">
        <f aca="false">M538*(1+IF(N$3&lt;=$O$2,$D538,$D538-($D538-$I$535)*MIN(N$3-$O$2,$Q$2)/$Q$2))</f>
        <v>802.338906644309</v>
      </c>
      <c r="O538" s="15" t="n">
        <f aca="false">SUMPRODUCT(E538:N538,1/(1+$F$535)^$E$3:$N$3)*$E$2</f>
        <v>2760.38385963122</v>
      </c>
      <c r="P538" s="15" t="n">
        <f aca="false">N538*$E$2*(1+$I$535)/($F$535-$I$535)/(1+$F$535)^$N$3</f>
        <v>3981.01281796488</v>
      </c>
      <c r="Q538" s="15" t="n">
        <f aca="false">O538+P538</f>
        <v>6741.3966775961</v>
      </c>
      <c r="R538" s="15" t="n">
        <f aca="false">Q538-$G$2+$I$2</f>
        <v>5188.6966775961</v>
      </c>
      <c r="S538" s="40" t="n">
        <f aca="false">R538/$K$2</f>
        <v>18.8412675754243</v>
      </c>
      <c r="T538" s="41" t="n">
        <f aca="false">S538-$M$2</f>
        <v>-35.6632532858996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39" t="n">
        <f aca="false">(B539+C539)/2</f>
        <v>0.0625</v>
      </c>
      <c r="E539" s="15" t="n">
        <f aca="false">$C$2*(1+IF(E$3&lt;=$O$2,$D539,$D539-($D539-$I$535)*MIN(E$3-$O$2,$Q$2)/$Q$2))</f>
        <v>1965.625</v>
      </c>
      <c r="F539" s="15" t="n">
        <f aca="false">E539*(1+IF(F$3&lt;=$O$2,$D539,$D539-($D539-$I$535)*MIN(F$3-$O$2,$Q$2)/$Q$2))</f>
        <v>2088.4765625</v>
      </c>
      <c r="G539" s="15" t="n">
        <f aca="false">F539*(1+IF(G$3&lt;=$O$2,$D539,$D539-($D539-$I$535)*MIN(G$3-$O$2,$Q$2)/$Q$2))</f>
        <v>2219.00634765625</v>
      </c>
      <c r="H539" s="15" t="n">
        <f aca="false">G539*(1+IF(H$3&lt;=$O$2,$D539,$D539-($D539-$I$535)*MIN(H$3-$O$2,$Q$2)/$Q$2))</f>
        <v>2357.69424438477</v>
      </c>
      <c r="I539" s="15" t="n">
        <f aca="false">H539*(1+IF(I$3&lt;=$O$2,$D539,$D539-($D539-$I$535)*MIN(I$3-$O$2,$Q$2)/$Q$2))</f>
        <v>2505.05013465881</v>
      </c>
      <c r="J539" s="15" t="n">
        <f aca="false">I539*(1+IF(J$3&lt;=$O$2,$D539,$D539-($D539-$I$535)*MIN(J$3-$O$2,$Q$2)/$Q$2))</f>
        <v>2645.33294219971</v>
      </c>
      <c r="K539" s="15" t="n">
        <f aca="false">J539*(1+IF(K$3&lt;=$O$2,$D539,$D539-($D539-$I$535)*MIN(K$3-$O$2,$Q$2)/$Q$2))</f>
        <v>2776.27692283859</v>
      </c>
      <c r="L539" s="15" t="n">
        <f aca="false">K539*(1+IF(L$3&lt;=$O$2,$D539,$D539-($D539-$I$535)*MIN(L$3-$O$2,$Q$2)/$Q$2))</f>
        <v>2895.65683052065</v>
      </c>
      <c r="M539" s="15" t="n">
        <f aca="false">L539*(1+IF(M$3&lt;=$O$2,$D539,$D539-($D539-$I$535)*MIN(M$3-$O$2,$Q$2)/$Q$2))</f>
        <v>3001.34830483466</v>
      </c>
      <c r="N539" s="15" t="n">
        <f aca="false">M539*(1+IF(N$3&lt;=$O$2,$D539,$D539-($D539-$I$535)*MIN(N$3-$O$2,$Q$2)/$Q$2))</f>
        <v>3091.3887539797</v>
      </c>
      <c r="O539" s="15" t="n">
        <f aca="false">SUMPRODUCT(E539:N539,1/(1+$F$535)^$E$3:$N$3)*$E$2</f>
        <v>6322.72343256378</v>
      </c>
      <c r="P539" s="15" t="n">
        <f aca="false">N539*$E$2*(1+$I$535)/($F$535-$I$535)/(1+$F$535)^$N$3</f>
        <v>15338.7280025815</v>
      </c>
      <c r="Q539" s="15" t="n">
        <f aca="false">O539+P539</f>
        <v>21661.4514351452</v>
      </c>
      <c r="R539" s="15" t="n">
        <f aca="false">Q539-$G$2+$I$2</f>
        <v>20108.7514351452</v>
      </c>
      <c r="S539" s="40" t="n">
        <f aca="false">R539/$K$2</f>
        <v>73.0191780207896</v>
      </c>
      <c r="T539" s="41" t="n">
        <f aca="false">S539-$M$2</f>
        <v>18.5146571594657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39" t="n">
        <f aca="false">(B540+C540)/2</f>
        <v>-0.03125</v>
      </c>
      <c r="E540" s="15" t="n">
        <f aca="false">$C$2*(1+IF(E$3&lt;=$O$2,$D540,$D540-($D540-$I$535)*MIN(E$3-$O$2,$Q$2)/$Q$2))</f>
        <v>1792.1875</v>
      </c>
      <c r="F540" s="15" t="n">
        <f aca="false">E540*(1+IF(F$3&lt;=$O$2,$D540,$D540-($D540-$I$535)*MIN(F$3-$O$2,$Q$2)/$Q$2))</f>
        <v>1736.181640625</v>
      </c>
      <c r="G540" s="15" t="n">
        <f aca="false">F540*(1+IF(G$3&lt;=$O$2,$D540,$D540-($D540-$I$535)*MIN(G$3-$O$2,$Q$2)/$Q$2))</f>
        <v>1681.92596435547</v>
      </c>
      <c r="H540" s="15" t="n">
        <f aca="false">G540*(1+IF(H$3&lt;=$O$2,$D540,$D540-($D540-$I$535)*MIN(H$3-$O$2,$Q$2)/$Q$2))</f>
        <v>1629.36577796936</v>
      </c>
      <c r="I540" s="15" t="n">
        <f aca="false">H540*(1+IF(I$3&lt;=$O$2,$D540,$D540-($D540-$I$535)*MIN(I$3-$O$2,$Q$2)/$Q$2))</f>
        <v>1578.44809740782</v>
      </c>
      <c r="J540" s="15" t="n">
        <f aca="false">I540*(1+IF(J$3&lt;=$O$2,$D540,$D540-($D540-$I$535)*MIN(J$3-$O$2,$Q$2)/$Q$2))</f>
        <v>1548.45758355707</v>
      </c>
      <c r="K540" s="15" t="n">
        <f aca="false">J540*(1+IF(K$3&lt;=$O$2,$D540,$D540-($D540-$I$535)*MIN(K$3-$O$2,$Q$2)/$Q$2))</f>
        <v>1538.00549486806</v>
      </c>
      <c r="L540" s="15" t="n">
        <f aca="false">K540*(1+IF(L$3&lt;=$O$2,$D540,$D540-($D540-$I$535)*MIN(L$3-$O$2,$Q$2)/$Q$2))</f>
        <v>1546.46452508983</v>
      </c>
      <c r="M540" s="15" t="n">
        <f aca="false">L540*(1+IF(M$3&lt;=$O$2,$D540,$D540-($D540-$I$535)*MIN(M$3-$O$2,$Q$2)/$Q$2))</f>
        <v>1573.91427041018</v>
      </c>
      <c r="N540" s="15" t="n">
        <f aca="false">M540*(1+IF(N$3&lt;=$O$2,$D540,$D540-($D540-$I$535)*MIN(N$3-$O$2,$Q$2)/$Q$2))</f>
        <v>1621.13169852248</v>
      </c>
      <c r="O540" s="15" t="n">
        <f aca="false">SUMPRODUCT(E540:N540,1/(1+$F$535)^$E$3:$N$3)*$E$2</f>
        <v>4167.42895481855</v>
      </c>
      <c r="P540" s="15" t="n">
        <f aca="false">N540*$E$2*(1+$I$535)/($F$535-$I$535)/(1+$F$535)^$N$3</f>
        <v>8043.66585987865</v>
      </c>
      <c r="Q540" s="15" t="n">
        <f aca="false">O540+P540</f>
        <v>12211.0948146972</v>
      </c>
      <c r="R540" s="15" t="n">
        <f aca="false">Q540-$G$2+$I$2</f>
        <v>10658.3948146972</v>
      </c>
      <c r="S540" s="40" t="n">
        <f aca="false">R540/$K$2</f>
        <v>38.7029115606856</v>
      </c>
      <c r="T540" s="41" t="n">
        <f aca="false">S540-$M$2</f>
        <v>-15.8016093006384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39" t="n">
        <f aca="false">(B541+C541)/2</f>
        <v>0.015625</v>
      </c>
      <c r="E541" s="15" t="n">
        <f aca="false">$C$2*(1+IF(E$3&lt;=$O$2,$D541,$D541-($D541-$I$535)*MIN(E$3-$O$2,$Q$2)/$Q$2))</f>
        <v>1878.90625</v>
      </c>
      <c r="F541" s="15" t="n">
        <f aca="false">E541*(1+IF(F$3&lt;=$O$2,$D541,$D541-($D541-$I$535)*MIN(F$3-$O$2,$Q$2)/$Q$2))</f>
        <v>1908.26416015625</v>
      </c>
      <c r="G541" s="15" t="n">
        <f aca="false">F541*(1+IF(G$3&lt;=$O$2,$D541,$D541-($D541-$I$535)*MIN(G$3-$O$2,$Q$2)/$Q$2))</f>
        <v>1938.08078765869</v>
      </c>
      <c r="H541" s="15" t="n">
        <f aca="false">G541*(1+IF(H$3&lt;=$O$2,$D541,$D541-($D541-$I$535)*MIN(H$3-$O$2,$Q$2)/$Q$2))</f>
        <v>1968.36329996586</v>
      </c>
      <c r="I541" s="15" t="n">
        <f aca="false">H541*(1+IF(I$3&lt;=$O$2,$D541,$D541-($D541-$I$535)*MIN(I$3-$O$2,$Q$2)/$Q$2))</f>
        <v>1999.11897652783</v>
      </c>
      <c r="J541" s="15" t="n">
        <f aca="false">I541*(1+IF(J$3&lt;=$O$2,$D541,$D541-($D541-$I$535)*MIN(J$3-$O$2,$Q$2)/$Q$2))</f>
        <v>2036.10267759359</v>
      </c>
      <c r="K541" s="15" t="n">
        <f aca="false">J541*(1+IF(K$3&lt;=$O$2,$D541,$D541-($D541-$I$535)*MIN(K$3-$O$2,$Q$2)/$Q$2))</f>
        <v>2079.62437232715</v>
      </c>
      <c r="L541" s="15" t="n">
        <f aca="false">K541*(1+IF(L$3&lt;=$O$2,$D541,$D541-($D541-$I$535)*MIN(L$3-$O$2,$Q$2)/$Q$2))</f>
        <v>2130.05526335609</v>
      </c>
      <c r="M541" s="15" t="n">
        <f aca="false">L541*(1+IF(M$3&lt;=$O$2,$D541,$D541-($D541-$I$535)*MIN(M$3-$O$2,$Q$2)/$Q$2))</f>
        <v>2187.83301237462</v>
      </c>
      <c r="N541" s="15" t="n">
        <f aca="false">M541*(1+IF(N$3&lt;=$O$2,$D541,$D541-($D541-$I$535)*MIN(N$3-$O$2,$Q$2)/$Q$2))</f>
        <v>2253.46800274586</v>
      </c>
      <c r="O541" s="15" t="n">
        <f aca="false">SUMPRODUCT(E541:N541,1/(1+$F$535)^$E$3:$N$3)*$E$2</f>
        <v>5131.81023880207</v>
      </c>
      <c r="P541" s="15" t="n">
        <f aca="false">N541*$E$2*(1+$I$535)/($F$535-$I$535)/(1+$F$535)^$N$3</f>
        <v>11181.1666236223</v>
      </c>
      <c r="Q541" s="15" t="n">
        <f aca="false">O541+P541</f>
        <v>16312.9768624244</v>
      </c>
      <c r="R541" s="15" t="n">
        <f aca="false">Q541-$G$2+$I$2</f>
        <v>14760.2768624244</v>
      </c>
      <c r="S541" s="40" t="n">
        <f aca="false">R541/$K$2</f>
        <v>53.597722729309</v>
      </c>
      <c r="T541" s="41" t="n">
        <f aca="false">S541-$M$2</f>
        <v>-0.906798132014913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0.015625</v>
      </c>
      <c r="C542" s="25" t="n">
        <f aca="false">IF(T541&gt;0,D541,C541)</f>
        <v>0.0625</v>
      </c>
      <c r="D542" s="39" t="n">
        <f aca="false">(B542+C542)/2</f>
        <v>0.0390625</v>
      </c>
      <c r="E542" s="15" t="n">
        <f aca="false">$C$2*(1+IF(E$3&lt;=$O$2,$D542,$D542-($D542-$I$535)*MIN(E$3-$O$2,$Q$2)/$Q$2))</f>
        <v>1922.265625</v>
      </c>
      <c r="F542" s="15" t="n">
        <f aca="false">E542*(1+IF(F$3&lt;=$O$2,$D542,$D542-($D542-$I$535)*MIN(F$3-$O$2,$Q$2)/$Q$2))</f>
        <v>1997.35412597656</v>
      </c>
      <c r="G542" s="15" t="n">
        <f aca="false">F542*(1+IF(G$3&lt;=$O$2,$D542,$D542-($D542-$I$535)*MIN(G$3-$O$2,$Q$2)/$Q$2))</f>
        <v>2075.37577152252</v>
      </c>
      <c r="H542" s="15" t="n">
        <f aca="false">G542*(1+IF(H$3&lt;=$O$2,$D542,$D542-($D542-$I$535)*MIN(H$3-$O$2,$Q$2)/$Q$2))</f>
        <v>2156.44513759762</v>
      </c>
      <c r="I542" s="15" t="n">
        <f aca="false">H542*(1+IF(I$3&lt;=$O$2,$D542,$D542-($D542-$I$535)*MIN(I$3-$O$2,$Q$2)/$Q$2))</f>
        <v>2240.68127578503</v>
      </c>
      <c r="J542" s="15" t="n">
        <f aca="false">I542*(1+IF(J$3&lt;=$O$2,$D542,$D542-($D542-$I$535)*MIN(J$3-$O$2,$Q$2)/$Q$2))</f>
        <v>2324.14665330802</v>
      </c>
      <c r="K542" s="15" t="n">
        <f aca="false">J542*(1+IF(K$3&lt;=$O$2,$D542,$D542-($D542-$I$535)*MIN(K$3-$O$2,$Q$2)/$Q$2))</f>
        <v>2406.50860033462</v>
      </c>
      <c r="L542" s="15" t="n">
        <f aca="false">K542*(1+IF(L$3&lt;=$O$2,$D542,$D542-($D542-$I$535)*MIN(L$3-$O$2,$Q$2)/$Q$2))</f>
        <v>2487.42745202087</v>
      </c>
      <c r="M542" s="15" t="n">
        <f aca="false">L542*(1+IF(M$3&lt;=$O$2,$D542,$D542-($D542-$I$535)*MIN(M$3-$O$2,$Q$2)/$Q$2))</f>
        <v>2566.55873783829</v>
      </c>
      <c r="N542" s="15" t="n">
        <f aca="false">M542*(1+IF(N$3&lt;=$O$2,$D542,$D542-($D542-$I$535)*MIN(N$3-$O$2,$Q$2)/$Q$2))</f>
        <v>2643.55549997344</v>
      </c>
      <c r="O542" s="15" t="n">
        <f aca="false">SUMPRODUCT(E542:N542,1/(1+$F$535)^$E$3:$N$3)*$E$2</f>
        <v>5696.09016825296</v>
      </c>
      <c r="P542" s="15" t="n">
        <f aca="false">N542*$E$2*(1+$I$535)/($F$535-$I$535)/(1+$F$535)^$N$3</f>
        <v>13116.6870299377</v>
      </c>
      <c r="Q542" s="15" t="n">
        <f aca="false">O542+P542</f>
        <v>18812.7771981907</v>
      </c>
      <c r="R542" s="15" t="n">
        <f aca="false">Q542-$G$2+$I$2</f>
        <v>17260.0771981907</v>
      </c>
      <c r="S542" s="40" t="n">
        <f aca="false">R542/$K$2</f>
        <v>62.6750324927945</v>
      </c>
      <c r="T542" s="41" t="n">
        <f aca="false">S542-$M$2</f>
        <v>8.17051163147059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0.015625</v>
      </c>
      <c r="C543" s="25" t="n">
        <f aca="false">IF(T542&gt;0,D542,C542)</f>
        <v>0.0390625</v>
      </c>
      <c r="D543" s="39" t="n">
        <f aca="false">(B543+C543)/2</f>
        <v>0.02734375</v>
      </c>
      <c r="E543" s="15" t="n">
        <f aca="false">$C$2*(1+IF(E$3&lt;=$O$2,$D543,$D543-($D543-$I$535)*MIN(E$3-$O$2,$Q$2)/$Q$2))</f>
        <v>1900.5859375</v>
      </c>
      <c r="F543" s="15" t="n">
        <f aca="false">E543*(1+IF(F$3&lt;=$O$2,$D543,$D543-($D543-$I$535)*MIN(F$3-$O$2,$Q$2)/$Q$2))</f>
        <v>1952.55508422852</v>
      </c>
      <c r="G543" s="15" t="n">
        <f aca="false">F543*(1+IF(G$3&lt;=$O$2,$D543,$D543-($D543-$I$535)*MIN(G$3-$O$2,$Q$2)/$Q$2))</f>
        <v>2005.94526231289</v>
      </c>
      <c r="H543" s="15" t="n">
        <f aca="false">G543*(1+IF(H$3&lt;=$O$2,$D543,$D543-($D543-$I$535)*MIN(H$3-$O$2,$Q$2)/$Q$2))</f>
        <v>2060.79532807926</v>
      </c>
      <c r="I543" s="15" t="n">
        <f aca="false">H543*(1+IF(I$3&lt;=$O$2,$D543,$D543-($D543-$I$535)*MIN(I$3-$O$2,$Q$2)/$Q$2))</f>
        <v>2117.14520033142</v>
      </c>
      <c r="J543" s="15" t="n">
        <f aca="false">I543*(1+IF(J$3&lt;=$O$2,$D543,$D543-($D543-$I$535)*MIN(J$3-$O$2,$Q$2)/$Q$2))</f>
        <v>2176.16062279066</v>
      </c>
      <c r="K543" s="15" t="n">
        <f aca="false">J543*(1+IF(K$3&lt;=$O$2,$D543,$D543-($D543-$I$535)*MIN(K$3-$O$2,$Q$2)/$Q$2))</f>
        <v>2237.97718548181</v>
      </c>
      <c r="L543" s="15" t="n">
        <f aca="false">K543*(1+IF(L$3&lt;=$O$2,$D543,$D543-($D543-$I$535)*MIN(L$3-$O$2,$Q$2)/$Q$2))</f>
        <v>2302.73865028669</v>
      </c>
      <c r="M543" s="15" t="n">
        <f aca="false">L543*(1+IF(M$3&lt;=$O$2,$D543,$D543-($D543-$I$535)*MIN(M$3-$O$2,$Q$2)/$Q$2))</f>
        <v>2370.59747988733</v>
      </c>
      <c r="N543" s="15" t="n">
        <f aca="false">M543*(1+IF(N$3&lt;=$O$2,$D543,$D543-($D543-$I$535)*MIN(N$3-$O$2,$Q$2)/$Q$2))</f>
        <v>2441.71540428395</v>
      </c>
      <c r="O543" s="15" t="n">
        <f aca="false">SUMPRODUCT(E543:N543,1/(1+$F$535)^$E$3:$N$3)*$E$2</f>
        <v>5406.53278620871</v>
      </c>
      <c r="P543" s="15" t="n">
        <f aca="false">N543*$E$2*(1+$I$535)/($F$535-$I$535)/(1+$F$535)^$N$3</f>
        <v>12115.2049860471</v>
      </c>
      <c r="Q543" s="15" t="n">
        <f aca="false">O543+P543</f>
        <v>17521.7377722558</v>
      </c>
      <c r="R543" s="15" t="n">
        <f aca="false">Q543-$G$2+$I$2</f>
        <v>15969.0377722558</v>
      </c>
      <c r="S543" s="40" t="n">
        <f aca="false">R543/$K$2</f>
        <v>57.9869921647692</v>
      </c>
      <c r="T543" s="41" t="n">
        <f aca="false">S543-$M$2</f>
        <v>3.48247130344527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0.015625</v>
      </c>
      <c r="C544" s="25" t="n">
        <f aca="false">IF(T543&gt;0,D543,C543)</f>
        <v>0.02734375</v>
      </c>
      <c r="D544" s="39" t="n">
        <f aca="false">(B544+C544)/2</f>
        <v>0.021484375</v>
      </c>
      <c r="E544" s="15" t="n">
        <f aca="false">$C$2*(1+IF(E$3&lt;=$O$2,$D544,$D544-($D544-$I$535)*MIN(E$3-$O$2,$Q$2)/$Q$2))</f>
        <v>1889.74609375</v>
      </c>
      <c r="F544" s="15" t="n">
        <f aca="false">E544*(1+IF(F$3&lt;=$O$2,$D544,$D544-($D544-$I$535)*MIN(F$3-$O$2,$Q$2)/$Q$2))</f>
        <v>1930.34610748291</v>
      </c>
      <c r="G544" s="15" t="n">
        <f aca="false">F544*(1+IF(G$3&lt;=$O$2,$D544,$D544-($D544-$I$535)*MIN(G$3-$O$2,$Q$2)/$Q$2))</f>
        <v>1971.81838713586</v>
      </c>
      <c r="H544" s="15" t="n">
        <f aca="false">G544*(1+IF(H$3&lt;=$O$2,$D544,$D544-($D544-$I$535)*MIN(H$3-$O$2,$Q$2)/$Q$2))</f>
        <v>2014.18167279699</v>
      </c>
      <c r="I544" s="15" t="n">
        <f aca="false">H544*(1+IF(I$3&lt;=$O$2,$D544,$D544-($D544-$I$535)*MIN(I$3-$O$2,$Q$2)/$Q$2))</f>
        <v>2057.45510717348</v>
      </c>
      <c r="J544" s="15" t="n">
        <f aca="false">I544*(1+IF(J$3&lt;=$O$2,$D544,$D544-($D544-$I$535)*MIN(J$3-$O$2,$Q$2)/$Q$2))</f>
        <v>2105.16234747107</v>
      </c>
      <c r="K544" s="15" t="n">
        <f aca="false">J544*(1+IF(K$3&lt;=$O$2,$D544,$D544-($D544-$I$535)*MIN(K$3-$O$2,$Q$2)/$Q$2))</f>
        <v>2157.56115402609</v>
      </c>
      <c r="L544" s="15" t="n">
        <f aca="false">K544*(1+IF(L$3&lt;=$O$2,$D544,$D544-($D544-$I$535)*MIN(L$3-$O$2,$Q$2)/$Q$2))</f>
        <v>2214.93879596597</v>
      </c>
      <c r="M544" s="15" t="n">
        <f aca="false">L544*(1+IF(M$3&lt;=$O$2,$D544,$D544-($D544-$I$535)*MIN(M$3-$O$2,$Q$2)/$Q$2))</f>
        <v>2277.61464220807</v>
      </c>
      <c r="N544" s="15" t="n">
        <f aca="false">M544*(1+IF(N$3&lt;=$O$2,$D544,$D544-($D544-$I$535)*MIN(N$3-$O$2,$Q$2)/$Q$2))</f>
        <v>2345.94308147431</v>
      </c>
      <c r="O544" s="15" t="n">
        <f aca="false">SUMPRODUCT(E544:N544,1/(1+$F$535)^$E$3:$N$3)*$E$2</f>
        <v>5267.36251601461</v>
      </c>
      <c r="P544" s="15" t="n">
        <f aca="false">N544*$E$2*(1+$I$535)/($F$535-$I$535)/(1+$F$535)^$N$3</f>
        <v>11640.0057385046</v>
      </c>
      <c r="Q544" s="15" t="n">
        <f aca="false">O544+P544</f>
        <v>16907.3682545192</v>
      </c>
      <c r="R544" s="15" t="n">
        <f aca="false">Q544-$G$2+$I$2</f>
        <v>15354.6682545192</v>
      </c>
      <c r="S544" s="40" t="n">
        <f aca="false">R544/$K$2</f>
        <v>55.756085023128</v>
      </c>
      <c r="T544" s="41" t="n">
        <f aca="false">S544-$M$2</f>
        <v>1.2515641618041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0.015625</v>
      </c>
      <c r="C545" s="25" t="n">
        <f aca="false">IF(T544&gt;0,D544,C544)</f>
        <v>0.021484375</v>
      </c>
      <c r="D545" s="39" t="n">
        <f aca="false">(B545+C545)/2</f>
        <v>0.0185546875</v>
      </c>
      <c r="E545" s="15" t="n">
        <f aca="false">$C$2*(1+IF(E$3&lt;=$O$2,$D545,$D545-($D545-$I$535)*MIN(E$3-$O$2,$Q$2)/$Q$2))</f>
        <v>1884.326171875</v>
      </c>
      <c r="F545" s="15" t="n">
        <f aca="false">E545*(1+IF(F$3&lt;=$O$2,$D545,$D545-($D545-$I$535)*MIN(F$3-$O$2,$Q$2)/$Q$2))</f>
        <v>1919.28925514221</v>
      </c>
      <c r="G545" s="15" t="n">
        <f aca="false">F545*(1+IF(G$3&lt;=$O$2,$D545,$D545-($D545-$I$535)*MIN(G$3-$O$2,$Q$2)/$Q$2))</f>
        <v>1954.90106749348</v>
      </c>
      <c r="H545" s="15" t="n">
        <f aca="false">G545*(1+IF(H$3&lt;=$O$2,$D545,$D545-($D545-$I$535)*MIN(H$3-$O$2,$Q$2)/$Q$2))</f>
        <v>1991.17364589424</v>
      </c>
      <c r="I545" s="15" t="n">
        <f aca="false">H545*(1+IF(I$3&lt;=$O$2,$D545,$D545-($D545-$I$535)*MIN(I$3-$O$2,$Q$2)/$Q$2))</f>
        <v>2028.11925065204</v>
      </c>
      <c r="J545" s="15" t="n">
        <f aca="false">I545*(1+IF(J$3&lt;=$O$2,$D545,$D545-($D545-$I$535)*MIN(J$3-$O$2,$Q$2)/$Q$2))</f>
        <v>2070.39286128282</v>
      </c>
      <c r="K545" s="15" t="n">
        <f aca="false">J545*(1+IF(K$3&lt;=$O$2,$D545,$D545-($D545-$I$535)*MIN(K$3-$O$2,$Q$2)/$Q$2))</f>
        <v>2118.28687114422</v>
      </c>
      <c r="L545" s="15" t="n">
        <f aca="false">K545*(1+IF(L$3&lt;=$O$2,$D545,$D545-($D545-$I$535)*MIN(L$3-$O$2,$Q$2)/$Q$2))</f>
        <v>2172.13769519659</v>
      </c>
      <c r="M545" s="15" t="n">
        <f aca="false">L545*(1+IF(M$3&lt;=$O$2,$D545,$D545-($D545-$I$535)*MIN(M$3-$O$2,$Q$2)/$Q$2))</f>
        <v>2232.32966710957</v>
      </c>
      <c r="N545" s="15" t="n">
        <f aca="false">M545*(1+IF(N$3&lt;=$O$2,$D545,$D545-($D545-$I$535)*MIN(N$3-$O$2,$Q$2)/$Q$2))</f>
        <v>2299.29955712286</v>
      </c>
      <c r="O545" s="15" t="n">
        <f aca="false">SUMPRODUCT(E545:N545,1/(1+$F$535)^$E$3:$N$3)*$E$2</f>
        <v>5199.13969236399</v>
      </c>
      <c r="P545" s="15" t="n">
        <f aca="false">N545*$E$2*(1+$I$535)/($F$535-$I$535)/(1+$F$535)^$N$3</f>
        <v>11408.5717811327</v>
      </c>
      <c r="Q545" s="15" t="n">
        <f aca="false">O545+P545</f>
        <v>16607.7114734966</v>
      </c>
      <c r="R545" s="15" t="n">
        <f aca="false">Q545-$G$2+$I$2</f>
        <v>15055.0114734966</v>
      </c>
      <c r="S545" s="40" t="n">
        <f aca="false">R545/$K$2</f>
        <v>54.6679671502111</v>
      </c>
      <c r="T545" s="41" t="n">
        <f aca="false">S545-$M$2</f>
        <v>0.163446288887172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0.015625</v>
      </c>
      <c r="C546" s="25" t="n">
        <f aca="false">IF(T545&gt;0,D545,C545)</f>
        <v>0.0185546875</v>
      </c>
      <c r="D546" s="39" t="n">
        <f aca="false">(B546+C546)/2</f>
        <v>0.01708984375</v>
      </c>
      <c r="E546" s="15" t="n">
        <f aca="false">$C$2*(1+IF(E$3&lt;=$O$2,$D546,$D546-($D546-$I$535)*MIN(E$3-$O$2,$Q$2)/$Q$2))</f>
        <v>1881.6162109375</v>
      </c>
      <c r="F546" s="15" t="n">
        <f aca="false">E546*(1+IF(F$3&lt;=$O$2,$D546,$D546-($D546-$I$535)*MIN(F$3-$O$2,$Q$2)/$Q$2))</f>
        <v>1913.77273797989</v>
      </c>
      <c r="G546" s="15" t="n">
        <f aca="false">F546*(1+IF(G$3&lt;=$O$2,$D546,$D546-($D546-$I$535)*MIN(G$3-$O$2,$Q$2)/$Q$2))</f>
        <v>1946.47881504498</v>
      </c>
      <c r="H546" s="15" t="n">
        <f aca="false">G546*(1+IF(H$3&lt;=$O$2,$D546,$D546-($D546-$I$535)*MIN(H$3-$O$2,$Q$2)/$Q$2))</f>
        <v>1979.74383385678</v>
      </c>
      <c r="I546" s="15" t="n">
        <f aca="false">H546*(1+IF(I$3&lt;=$O$2,$D546,$D546-($D546-$I$535)*MIN(I$3-$O$2,$Q$2)/$Q$2))</f>
        <v>2013.57734664242</v>
      </c>
      <c r="J546" s="15" t="n">
        <f aca="false">I546*(1+IF(J$3&lt;=$O$2,$D546,$D546-($D546-$I$535)*MIN(J$3-$O$2,$Q$2)/$Q$2))</f>
        <v>2053.1881885084</v>
      </c>
      <c r="K546" s="15" t="n">
        <f aca="false">J546*(1+IF(K$3&lt;=$O$2,$D546,$D546-($D546-$I$535)*MIN(K$3-$O$2,$Q$2)/$Q$2))</f>
        <v>2098.87964596907</v>
      </c>
      <c r="L546" s="15" t="n">
        <f aca="false">K546*(1+IF(L$3&lt;=$O$2,$D546,$D546-($D546-$I$535)*MIN(L$3-$O$2,$Q$2)/$Q$2))</f>
        <v>2151.00728967638</v>
      </c>
      <c r="M546" s="15" t="n">
        <f aca="false">L546*(1+IF(M$3&lt;=$O$2,$D546,$D546-($D546-$I$535)*MIN(M$3-$O$2,$Q$2)/$Q$2))</f>
        <v>2209.98354032575</v>
      </c>
      <c r="N546" s="15" t="n">
        <f aca="false">M546*(1+IF(N$3&lt;=$O$2,$D546,$D546-($D546-$I$535)*MIN(N$3-$O$2,$Q$2)/$Q$2))</f>
        <v>2276.28304653552</v>
      </c>
      <c r="O546" s="15" t="n">
        <f aca="false">SUMPRODUCT(E546:N546,1/(1+$F$535)^$E$3:$N$3)*$E$2</f>
        <v>5165.36398331568</v>
      </c>
      <c r="P546" s="15" t="n">
        <f aca="false">N546*$E$2*(1+$I$535)/($F$535-$I$535)/(1+$F$535)^$N$3</f>
        <v>11294.3693874631</v>
      </c>
      <c r="Q546" s="15" t="n">
        <f aca="false">O546+P546</f>
        <v>16459.7333707787</v>
      </c>
      <c r="R546" s="15" t="n">
        <f aca="false">Q546-$G$2+$I$2</f>
        <v>14907.0333707787</v>
      </c>
      <c r="S546" s="40" t="n">
        <f aca="false">R546/$K$2</f>
        <v>54.1306270045345</v>
      </c>
      <c r="T546" s="41" t="n">
        <f aca="false">S546-$M$2</f>
        <v>-0.373893856789472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0.01708984375</v>
      </c>
      <c r="C547" s="25" t="n">
        <f aca="false">IF(T546&gt;0,D546,C546)</f>
        <v>0.0185546875</v>
      </c>
      <c r="D547" s="39" t="n">
        <f aca="false">(B547+C547)/2</f>
        <v>0.017822265625</v>
      </c>
      <c r="E547" s="15" t="n">
        <f aca="false">$C$2*(1+IF(E$3&lt;=$O$2,$D547,$D547-($D547-$I$535)*MIN(E$3-$O$2,$Q$2)/$Q$2))</f>
        <v>1882.97119140625</v>
      </c>
      <c r="F547" s="15" t="n">
        <f aca="false">E547*(1+IF(F$3&lt;=$O$2,$D547,$D547-($D547-$I$535)*MIN(F$3-$O$2,$Q$2)/$Q$2))</f>
        <v>1916.53000414372</v>
      </c>
      <c r="G547" s="15" t="n">
        <f aca="false">F547*(1+IF(G$3&lt;=$O$2,$D547,$D547-($D547-$I$535)*MIN(G$3-$O$2,$Q$2)/$Q$2))</f>
        <v>1950.68691095585</v>
      </c>
      <c r="H547" s="15" t="n">
        <f aca="false">G547*(1+IF(H$3&lt;=$O$2,$D547,$D547-($D547-$I$535)*MIN(H$3-$O$2,$Q$2)/$Q$2))</f>
        <v>1985.45257123411</v>
      </c>
      <c r="I547" s="15" t="n">
        <f aca="false">H547*(1+IF(I$3&lt;=$O$2,$D547,$D547-($D547-$I$535)*MIN(I$3-$O$2,$Q$2)/$Q$2))</f>
        <v>2020.83783434449</v>
      </c>
      <c r="J547" s="15" t="n">
        <f aca="false">I547*(1+IF(J$3&lt;=$O$2,$D547,$D547-($D547-$I$535)*MIN(J$3-$O$2,$Q$2)/$Q$2))</f>
        <v>2061.77558828554</v>
      </c>
      <c r="K547" s="15" t="n">
        <f aca="false">J547*(1+IF(K$3&lt;=$O$2,$D547,$D547-($D547-$I$535)*MIN(K$3-$O$2,$Q$2)/$Q$2))</f>
        <v>2108.56420266111</v>
      </c>
      <c r="L547" s="15" t="n">
        <f aca="false">K547*(1+IF(L$3&lt;=$O$2,$D547,$D547-($D547-$I$535)*MIN(L$3-$O$2,$Q$2)/$Q$2))</f>
        <v>2161.55011483189</v>
      </c>
      <c r="M547" s="15" t="n">
        <f aca="false">L547*(1+IF(M$3&lt;=$O$2,$D547,$D547-($D547-$I$535)*MIN(M$3-$O$2,$Q$2)/$Q$2))</f>
        <v>2221.13206164951</v>
      </c>
      <c r="N547" s="15" t="n">
        <f aca="false">M547*(1+IF(N$3&lt;=$O$2,$D547,$D547-($D547-$I$535)*MIN(N$3-$O$2,$Q$2)/$Q$2))</f>
        <v>2287.76602349899</v>
      </c>
      <c r="O547" s="15" t="n">
        <f aca="false">SUMPRODUCT(E547:N547,1/(1+$F$535)^$E$3:$N$3)*$E$2</f>
        <v>5182.224006438</v>
      </c>
      <c r="P547" s="15" t="n">
        <f aca="false">N547*$E$2*(1+$I$535)/($F$535-$I$535)/(1+$F$535)^$N$3</f>
        <v>11351.3451592989</v>
      </c>
      <c r="Q547" s="15" t="n">
        <f aca="false">O547+P547</f>
        <v>16533.5691657369</v>
      </c>
      <c r="R547" s="15" t="n">
        <f aca="false">Q547-$G$2+$I$2</f>
        <v>14980.8691657369</v>
      </c>
      <c r="S547" s="40" t="n">
        <f aca="false">R547/$K$2</f>
        <v>54.3987405705977</v>
      </c>
      <c r="T547" s="41" t="n">
        <f aca="false">S547-$M$2</f>
        <v>-0.105780290726287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0.017822265625</v>
      </c>
      <c r="C548" s="25" t="n">
        <f aca="false">IF(T547&gt;0,D547,C547)</f>
        <v>0.0185546875</v>
      </c>
      <c r="D548" s="39" t="n">
        <f aca="false">(B548+C548)/2</f>
        <v>0.0181884765625</v>
      </c>
      <c r="E548" s="15" t="n">
        <f aca="false">$C$2*(1+IF(E$3&lt;=$O$2,$D548,$D548-($D548-$I$535)*MIN(E$3-$O$2,$Q$2)/$Q$2))</f>
        <v>1883.64868164063</v>
      </c>
      <c r="F548" s="15" t="n">
        <f aca="false">E548*(1+IF(F$3&lt;=$O$2,$D548,$D548-($D548-$I$535)*MIN(F$3-$O$2,$Q$2)/$Q$2))</f>
        <v>1917.90938153863</v>
      </c>
      <c r="G548" s="15" t="n">
        <f aca="false">F548*(1+IF(G$3&lt;=$O$2,$D548,$D548-($D548-$I$535)*MIN(G$3-$O$2,$Q$2)/$Q$2))</f>
        <v>1952.79323137374</v>
      </c>
      <c r="H548" s="15" t="n">
        <f aca="false">G548*(1+IF(H$3&lt;=$O$2,$D548,$D548-($D548-$I$535)*MIN(H$3-$O$2,$Q$2)/$Q$2))</f>
        <v>1988.31156529399</v>
      </c>
      <c r="I548" s="15" t="n">
        <f aca="false">H548*(1+IF(I$3&lt;=$O$2,$D548,$D548-($D548-$I$535)*MIN(I$3-$O$2,$Q$2)/$Q$2))</f>
        <v>2024.47592359829</v>
      </c>
      <c r="J548" s="15" t="n">
        <f aca="false">I548*(1+IF(J$3&lt;=$O$2,$D548,$D548-($D548-$I$535)*MIN(J$3-$O$2,$Q$2)/$Q$2))</f>
        <v>2066.08048545005</v>
      </c>
      <c r="K548" s="15" t="n">
        <f aca="false">J548*(1+IF(K$3&lt;=$O$2,$D548,$D548-($D548-$I$535)*MIN(K$3-$O$2,$Q$2)/$Q$2))</f>
        <v>2113.42076516696</v>
      </c>
      <c r="L548" s="15" t="n">
        <f aca="false">K548*(1+IF(L$3&lt;=$O$2,$D548,$D548-($D548-$I$535)*MIN(L$3-$O$2,$Q$2)/$Q$2))</f>
        <v>2166.83830056154</v>
      </c>
      <c r="M548" s="15" t="n">
        <f aca="false">L548*(1+IF(M$3&lt;=$O$2,$D548,$D548-($D548-$I$535)*MIN(M$3-$O$2,$Q$2)/$Q$2))</f>
        <v>2226.72471730392</v>
      </c>
      <c r="N548" s="15" t="n">
        <f aca="false">M548*(1+IF(N$3&lt;=$O$2,$D548,$D548-($D548-$I$535)*MIN(N$3-$O$2,$Q$2)/$Q$2))</f>
        <v>2293.52645882303</v>
      </c>
      <c r="O548" s="15" t="n">
        <f aca="false">SUMPRODUCT(E548:N548,1/(1+$F$535)^$E$3:$N$3)*$E$2</f>
        <v>5190.6748807959</v>
      </c>
      <c r="P548" s="15" t="n">
        <f aca="false">N548*$E$2*(1+$I$535)/($F$535-$I$535)/(1+$F$535)^$N$3</f>
        <v>11379.9270548946</v>
      </c>
      <c r="Q548" s="15" t="n">
        <f aca="false">O548+P548</f>
        <v>16570.6019356905</v>
      </c>
      <c r="R548" s="15" t="n">
        <f aca="false">Q548-$G$2+$I$2</f>
        <v>15017.9019356905</v>
      </c>
      <c r="S548" s="40" t="n">
        <f aca="false">R548/$K$2</f>
        <v>54.5332144801572</v>
      </c>
      <c r="T548" s="41" t="n">
        <f aca="false">S548-$M$2</f>
        <v>0.0286936188332305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0.017822265625</v>
      </c>
      <c r="C549" s="25" t="n">
        <f aca="false">IF(T548&gt;0,D548,C548)</f>
        <v>0.0181884765625</v>
      </c>
      <c r="D549" s="39" t="n">
        <f aca="false">(B549+C549)/2</f>
        <v>0.01800537109375</v>
      </c>
      <c r="E549" s="15" t="n">
        <f aca="false">$C$2*(1+IF(E$3&lt;=$O$2,$D549,$D549-($D549-$I$535)*MIN(E$3-$O$2,$Q$2)/$Q$2))</f>
        <v>1883.30993652344</v>
      </c>
      <c r="F549" s="15" t="n">
        <f aca="false">E549*(1+IF(F$3&lt;=$O$2,$D549,$D549-($D549-$I$535)*MIN(F$3-$O$2,$Q$2)/$Q$2))</f>
        <v>1917.21963081509</v>
      </c>
      <c r="G549" s="15" t="n">
        <f aca="false">F549*(1+IF(G$3&lt;=$O$2,$D549,$D549-($D549-$I$535)*MIN(G$3-$O$2,$Q$2)/$Q$2))</f>
        <v>1951.73988173614</v>
      </c>
      <c r="H549" s="15" t="n">
        <f aca="false">G549*(1+IF(H$3&lt;=$O$2,$D549,$D549-($D549-$I$535)*MIN(H$3-$O$2,$Q$2)/$Q$2))</f>
        <v>1986.88168258527</v>
      </c>
      <c r="I549" s="15" t="n">
        <f aca="false">H549*(1+IF(I$3&lt;=$O$2,$D549,$D549-($D549-$I$535)*MIN(I$3-$O$2,$Q$2)/$Q$2))</f>
        <v>2022.65622459959</v>
      </c>
      <c r="J549" s="15" t="n">
        <f aca="false">I549*(1+IF(J$3&lt;=$O$2,$D549,$D549-($D549-$I$535)*MIN(J$3-$O$2,$Q$2)/$Q$2))</f>
        <v>2063.92710268239</v>
      </c>
      <c r="K549" s="15" t="n">
        <f aca="false">J549*(1+IF(K$3&lt;=$O$2,$D549,$D549-($D549-$I$535)*MIN(K$3-$O$2,$Q$2)/$Q$2))</f>
        <v>2110.99129195112</v>
      </c>
      <c r="L549" s="15" t="n">
        <f aca="false">K549*(1+IF(L$3&lt;=$O$2,$D549,$D549-($D549-$I$535)*MIN(L$3-$O$2,$Q$2)/$Q$2))</f>
        <v>2164.19280784114</v>
      </c>
      <c r="M549" s="15" t="n">
        <f aca="false">L549*(1+IF(M$3&lt;=$O$2,$D549,$D549-($D549-$I$535)*MIN(M$3-$O$2,$Q$2)/$Q$2))</f>
        <v>2223.92685415405</v>
      </c>
      <c r="N549" s="15" t="n">
        <f aca="false">M549*(1+IF(N$3&lt;=$O$2,$D549,$D549-($D549-$I$535)*MIN(N$3-$O$2,$Q$2)/$Q$2))</f>
        <v>2290.64465977867</v>
      </c>
      <c r="O549" s="15" t="n">
        <f aca="false">SUMPRODUCT(E549:N549,1/(1+$F$535)^$E$3:$N$3)*$E$2</f>
        <v>5186.44770281114</v>
      </c>
      <c r="P549" s="15" t="n">
        <f aca="false">N549*$E$2*(1+$I$535)/($F$535-$I$535)/(1+$F$535)^$N$3</f>
        <v>11365.6282606576</v>
      </c>
      <c r="Q549" s="15" t="n">
        <f aca="false">O549+P549</f>
        <v>16552.0759634688</v>
      </c>
      <c r="R549" s="15" t="n">
        <f aca="false">Q549-$G$2+$I$2</f>
        <v>14999.3759634688</v>
      </c>
      <c r="S549" s="40" t="n">
        <f aca="false">R549/$K$2</f>
        <v>54.4659427120403</v>
      </c>
      <c r="T549" s="41" t="n">
        <f aca="false">S549-$M$2</f>
        <v>-0.0385781492836372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0.01800537109375</v>
      </c>
      <c r="C550" s="25" t="n">
        <f aca="false">IF(T549&gt;0,D549,C549)</f>
        <v>0.0181884765625</v>
      </c>
      <c r="D550" s="39" t="n">
        <f aca="false">(B550+C550)/2</f>
        <v>0.018096923828125</v>
      </c>
      <c r="E550" s="15" t="n">
        <f aca="false">$C$2*(1+IF(E$3&lt;=$O$2,$D550,$D550-($D550-$I$535)*MIN(E$3-$O$2,$Q$2)/$Q$2))</f>
        <v>1883.47930908203</v>
      </c>
      <c r="F550" s="15" t="n">
        <f aca="false">E550*(1+IF(F$3&lt;=$O$2,$D550,$D550-($D550-$I$535)*MIN(F$3-$O$2,$Q$2)/$Q$2))</f>
        <v>1917.56449067034</v>
      </c>
      <c r="G550" s="15" t="n">
        <f aca="false">F550*(1+IF(G$3&lt;=$O$2,$D550,$D550-($D550-$I$535)*MIN(G$3-$O$2,$Q$2)/$Q$2))</f>
        <v>1952.26650919352</v>
      </c>
      <c r="H550" s="15" t="n">
        <f aca="false">G550*(1+IF(H$3&lt;=$O$2,$D550,$D550-($D550-$I$535)*MIN(H$3-$O$2,$Q$2)/$Q$2))</f>
        <v>1987.59652750259</v>
      </c>
      <c r="I550" s="15" t="n">
        <f aca="false">H550*(1+IF(I$3&lt;=$O$2,$D550,$D550-($D550-$I$535)*MIN(I$3-$O$2,$Q$2)/$Q$2))</f>
        <v>2023.56591046185</v>
      </c>
      <c r="J550" s="15" t="n">
        <f aca="false">I550*(1+IF(J$3&lt;=$O$2,$D550,$D550-($D550-$I$535)*MIN(J$3-$O$2,$Q$2)/$Q$2))</f>
        <v>2065.00356043888</v>
      </c>
      <c r="K550" s="15" t="n">
        <f aca="false">J550*(1+IF(K$3&lt;=$O$2,$D550,$D550-($D550-$I$535)*MIN(K$3-$O$2,$Q$2)/$Q$2))</f>
        <v>2112.20573044699</v>
      </c>
      <c r="L550" s="15" t="n">
        <f aca="false">K550*(1+IF(L$3&lt;=$O$2,$D550,$D550-($D550-$I$535)*MIN(L$3-$O$2,$Q$2)/$Q$2))</f>
        <v>2165.51520408032</v>
      </c>
      <c r="M550" s="15" t="n">
        <f aca="false">L550*(1+IF(M$3&lt;=$O$2,$D550,$D550-($D550-$I$535)*MIN(M$3-$O$2,$Q$2)/$Q$2))</f>
        <v>2225.32540171763</v>
      </c>
      <c r="N550" s="15" t="n">
        <f aca="false">M550*(1+IF(N$3&lt;=$O$2,$D550,$D550-($D550-$I$535)*MIN(N$3-$O$2,$Q$2)/$Q$2))</f>
        <v>2292.08516376916</v>
      </c>
      <c r="O550" s="15" t="n">
        <f aca="false">SUMPRODUCT(E550:N550,1/(1+$F$535)^$E$3:$N$3)*$E$2</f>
        <v>5188.56085643396</v>
      </c>
      <c r="P550" s="15" t="n">
        <f aca="false">N550*$E$2*(1+$I$535)/($F$535-$I$535)/(1+$F$535)^$N$3</f>
        <v>11372.7756952429</v>
      </c>
      <c r="Q550" s="15" t="n">
        <f aca="false">O550+P550</f>
        <v>16561.3365516768</v>
      </c>
      <c r="R550" s="15" t="n">
        <f aca="false">Q550-$G$2+$I$2</f>
        <v>15008.6365516768</v>
      </c>
      <c r="S550" s="40" t="n">
        <f aca="false">R550/$K$2</f>
        <v>54.4995698888008</v>
      </c>
      <c r="T550" s="41" t="n">
        <f aca="false">S550-$M$2</f>
        <v>-0.00495097252316157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0.018096923828125</v>
      </c>
      <c r="C551" s="25" t="n">
        <f aca="false">IF(T550&gt;0,D550,C550)</f>
        <v>0.0181884765625</v>
      </c>
      <c r="D551" s="39" t="n">
        <f aca="false">(B551+C551)/2</f>
        <v>0.0181427001953125</v>
      </c>
      <c r="E551" s="15" t="n">
        <f aca="false">$C$2*(1+IF(E$3&lt;=$O$2,$D551,$D551-($D551-$I$535)*MIN(E$3-$O$2,$Q$2)/$Q$2))</f>
        <v>1883.56399536133</v>
      </c>
      <c r="F551" s="15" t="n">
        <f aca="false">E551*(1+IF(F$3&lt;=$O$2,$D551,$D551-($D551-$I$535)*MIN(F$3-$O$2,$Q$2)/$Q$2))</f>
        <v>1917.73693222785</v>
      </c>
      <c r="G551" s="15" t="n">
        <f aca="false">F551*(1+IF(G$3&lt;=$O$2,$D551,$D551-($D551-$I$535)*MIN(G$3-$O$2,$Q$2)/$Q$2))</f>
        <v>1952.52985844274</v>
      </c>
      <c r="H551" s="15" t="n">
        <f aca="false">G551*(1+IF(H$3&lt;=$O$2,$D551,$D551-($D551-$I$535)*MIN(H$3-$O$2,$Q$2)/$Q$2))</f>
        <v>1987.95402228686</v>
      </c>
      <c r="I551" s="15" t="n">
        <f aca="false">H551*(1+IF(I$3&lt;=$O$2,$D551,$D551-($D551-$I$535)*MIN(I$3-$O$2,$Q$2)/$Q$2))</f>
        <v>2024.02087611528</v>
      </c>
      <c r="J551" s="15" t="n">
        <f aca="false">I551*(1+IF(J$3&lt;=$O$2,$D551,$D551-($D551-$I$535)*MIN(J$3-$O$2,$Q$2)/$Q$2))</f>
        <v>2065.5419645275</v>
      </c>
      <c r="K551" s="15" t="n">
        <f aca="false">J551*(1+IF(K$3&lt;=$O$2,$D551,$D551-($D551-$I$535)*MIN(K$3-$O$2,$Q$2)/$Q$2))</f>
        <v>2112.81317326379</v>
      </c>
      <c r="L551" s="15" t="n">
        <f aca="false">K551*(1+IF(L$3&lt;=$O$2,$D551,$D551-($D551-$I$535)*MIN(L$3-$O$2,$Q$2)/$Q$2))</f>
        <v>2166.17666477103</v>
      </c>
      <c r="M551" s="15" t="n">
        <f aca="false">L551*(1+IF(M$3&lt;=$O$2,$D551,$D551-($D551-$I$535)*MIN(M$3-$O$2,$Q$2)/$Q$2))</f>
        <v>2226.02496348534</v>
      </c>
      <c r="N551" s="15" t="n">
        <f aca="false">M551*(1+IF(N$3&lt;=$O$2,$D551,$D551-($D551-$I$535)*MIN(N$3-$O$2,$Q$2)/$Q$2))</f>
        <v>2292.8057123899</v>
      </c>
      <c r="O551" s="15" t="n">
        <f aca="false">SUMPRODUCT(E551:N551,1/(1+$F$535)^$E$3:$N$3)*$E$2</f>
        <v>5189.61775975152</v>
      </c>
      <c r="P551" s="15" t="n">
        <f aca="false">N551*$E$2*(1+$I$535)/($F$535-$I$535)/(1+$F$535)^$N$3</f>
        <v>11376.35088432</v>
      </c>
      <c r="Q551" s="15" t="n">
        <f aca="false">O551+P551</f>
        <v>16565.9686440715</v>
      </c>
      <c r="R551" s="15" t="n">
        <f aca="false">Q551-$G$2+$I$2</f>
        <v>15013.2686440715</v>
      </c>
      <c r="S551" s="40" t="n">
        <f aca="false">R551/$K$2</f>
        <v>54.5163900071589</v>
      </c>
      <c r="T551" s="41" t="n">
        <f aca="false">S551-$M$2</f>
        <v>0.0118691458349218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0.018096923828125</v>
      </c>
      <c r="C552" s="25" t="n">
        <f aca="false">IF(T551&gt;0,D551,C551)</f>
        <v>0.0181427001953125</v>
      </c>
      <c r="D552" s="39" t="n">
        <f aca="false">(B552+C552)/2</f>
        <v>0.0181198120117188</v>
      </c>
      <c r="E552" s="15" t="n">
        <f aca="false">$C$2*(1+IF(E$3&lt;=$O$2,$D552,$D552-($D552-$I$535)*MIN(E$3-$O$2,$Q$2)/$Q$2))</f>
        <v>1883.52165222168</v>
      </c>
      <c r="F552" s="15" t="n">
        <f aca="false">E552*(1+IF(F$3&lt;=$O$2,$D552,$D552-($D552-$I$535)*MIN(F$3-$O$2,$Q$2)/$Q$2))</f>
        <v>1917.65071047994</v>
      </c>
      <c r="G552" s="15" t="n">
        <f aca="false">F552*(1+IF(G$3&lt;=$O$2,$D552,$D552-($D552-$I$535)*MIN(G$3-$O$2,$Q$2)/$Q$2))</f>
        <v>1952.39818085797</v>
      </c>
      <c r="H552" s="15" t="n">
        <f aca="false">G552*(1+IF(H$3&lt;=$O$2,$D552,$D552-($D552-$I$535)*MIN(H$3-$O$2,$Q$2)/$Q$2))</f>
        <v>1987.77526886714</v>
      </c>
      <c r="I552" s="15" t="n">
        <f aca="false">H552*(1+IF(I$3&lt;=$O$2,$D552,$D552-($D552-$I$535)*MIN(I$3-$O$2,$Q$2)/$Q$2))</f>
        <v>2023.79338306056</v>
      </c>
      <c r="J552" s="15" t="n">
        <f aca="false">I552*(1+IF(J$3&lt;=$O$2,$D552,$D552-($D552-$I$535)*MIN(J$3-$O$2,$Q$2)/$Q$2))</f>
        <v>2065.27274788022</v>
      </c>
      <c r="K552" s="15" t="n">
        <f aca="false">J552*(1+IF(K$3&lt;=$O$2,$D552,$D552-($D552-$I$535)*MIN(K$3-$O$2,$Q$2)/$Q$2))</f>
        <v>2112.50943322149</v>
      </c>
      <c r="L552" s="15" t="n">
        <f aca="false">K552*(1+IF(L$3&lt;=$O$2,$D552,$D552-($D552-$I$535)*MIN(L$3-$O$2,$Q$2)/$Q$2))</f>
        <v>2165.84591254066</v>
      </c>
      <c r="M552" s="15" t="n">
        <f aca="false">L552*(1+IF(M$3&lt;=$O$2,$D552,$D552-($D552-$I$535)*MIN(M$3-$O$2,$Q$2)/$Q$2))</f>
        <v>2225.67515859795</v>
      </c>
      <c r="N552" s="15" t="n">
        <f aca="false">M552*(1+IF(N$3&lt;=$O$2,$D552,$D552-($D552-$I$535)*MIN(N$3-$O$2,$Q$2)/$Q$2))</f>
        <v>2292.44541335589</v>
      </c>
      <c r="O552" s="15" t="n">
        <f aca="false">SUMPRODUCT(E552:N552,1/(1+$F$535)^$E$3:$N$3)*$E$2</f>
        <v>5189.08928087951</v>
      </c>
      <c r="P552" s="15" t="n">
        <f aca="false">N552*$E$2*(1+$I$535)/($F$535-$I$535)/(1+$F$535)^$N$3</f>
        <v>11374.5631671087</v>
      </c>
      <c r="Q552" s="15" t="n">
        <f aca="false">O552+P552</f>
        <v>16563.6524479882</v>
      </c>
      <c r="R552" s="15" t="n">
        <f aca="false">Q552-$G$2+$I$2</f>
        <v>15010.9524479882</v>
      </c>
      <c r="S552" s="40" t="n">
        <f aca="false">R552/$K$2</f>
        <v>54.5079794037117</v>
      </c>
      <c r="T552" s="41" t="n">
        <f aca="false">S552-$M$2</f>
        <v>0.00345854238780419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0.018096923828125</v>
      </c>
      <c r="C553" s="25" t="n">
        <f aca="false">IF(T552&gt;0,D552,C552)</f>
        <v>0.0181198120117188</v>
      </c>
      <c r="D553" s="39" t="n">
        <f aca="false">(B553+C553)/2</f>
        <v>0.0181083679199219</v>
      </c>
      <c r="E553" s="15" t="n">
        <f aca="false">$C$2*(1+IF(E$3&lt;=$O$2,$D553,$D553-($D553-$I$535)*MIN(E$3-$O$2,$Q$2)/$Q$2))</f>
        <v>1883.50048065186</v>
      </c>
      <c r="F553" s="15" t="n">
        <f aca="false">E553*(1+IF(F$3&lt;=$O$2,$D553,$D553-($D553-$I$535)*MIN(F$3-$O$2,$Q$2)/$Q$2))</f>
        <v>1917.60760033285</v>
      </c>
      <c r="G553" s="15" t="n">
        <f aca="false">F553*(1+IF(G$3&lt;=$O$2,$D553,$D553-($D553-$I$535)*MIN(G$3-$O$2,$Q$2)/$Q$2))</f>
        <v>1952.33234428571</v>
      </c>
      <c r="H553" s="15" t="n">
        <f aca="false">G553*(1+IF(H$3&lt;=$O$2,$D553,$D553-($D553-$I$535)*MIN(H$3-$O$2,$Q$2)/$Q$2))</f>
        <v>1987.685896678</v>
      </c>
      <c r="I553" s="15" t="n">
        <f aca="false">H553*(1+IF(I$3&lt;=$O$2,$D553,$D553-($D553-$I$535)*MIN(I$3-$O$2,$Q$2)/$Q$2))</f>
        <v>2023.67964420429</v>
      </c>
      <c r="J553" s="15" t="n">
        <f aca="false">I553*(1+IF(J$3&lt;=$O$2,$D553,$D553-($D553-$I$535)*MIN(J$3-$O$2,$Q$2)/$Q$2))</f>
        <v>2065.13815050896</v>
      </c>
      <c r="K553" s="15" t="n">
        <f aca="false">J553*(1+IF(K$3&lt;=$O$2,$D553,$D553-($D553-$I$535)*MIN(K$3-$O$2,$Q$2)/$Q$2))</f>
        <v>2112.357577176</v>
      </c>
      <c r="L553" s="15" t="n">
        <f aca="false">K553*(1+IF(L$3&lt;=$O$2,$D553,$D553-($D553-$I$535)*MIN(L$3-$O$2,$Q$2)/$Q$2))</f>
        <v>2165.68055283954</v>
      </c>
      <c r="M553" s="15" t="n">
        <f aca="false">L553*(1+IF(M$3&lt;=$O$2,$D553,$D553-($D553-$I$535)*MIN(M$3-$O$2,$Q$2)/$Q$2))</f>
        <v>2225.50027415726</v>
      </c>
      <c r="N553" s="15" t="n">
        <f aca="false">M553*(1+IF(N$3&lt;=$O$2,$D553,$D553-($D553-$I$535)*MIN(N$3-$O$2,$Q$2)/$Q$2))</f>
        <v>2292.26528238198</v>
      </c>
      <c r="O553" s="15" t="n">
        <f aca="false">SUMPRODUCT(E553:N553,1/(1+$F$535)^$E$3:$N$3)*$E$2</f>
        <v>5188.82506185376</v>
      </c>
      <c r="P553" s="15" t="n">
        <f aca="false">N553*$E$2*(1+$I$535)/($F$535-$I$535)/(1+$F$535)^$N$3</f>
        <v>11373.6694005094</v>
      </c>
      <c r="Q553" s="15" t="n">
        <f aca="false">O553+P553</f>
        <v>16562.4944623631</v>
      </c>
      <c r="R553" s="15" t="n">
        <f aca="false">Q553-$G$2+$I$2</f>
        <v>15009.7944623631</v>
      </c>
      <c r="S553" s="40" t="n">
        <f aca="false">R553/$K$2</f>
        <v>54.503774510197</v>
      </c>
      <c r="T553" s="41" t="n">
        <f aca="false">S553-$M$2</f>
        <v>-0.000746351126963418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0.0181083679199219</v>
      </c>
      <c r="C554" s="25" t="n">
        <f aca="false">IF(T553&gt;0,D553,C553)</f>
        <v>0.0181198120117188</v>
      </c>
      <c r="D554" s="39" t="n">
        <f aca="false">(B554+C554)/2</f>
        <v>0.0181140899658203</v>
      </c>
      <c r="E554" s="15" t="n">
        <f aca="false">$C$2*(1+IF(E$3&lt;=$O$2,$D554,$D554-($D554-$I$535)*MIN(E$3-$O$2,$Q$2)/$Q$2))</f>
        <v>1883.51106643677</v>
      </c>
      <c r="F554" s="15" t="n">
        <f aca="false">E554*(1+IF(F$3&lt;=$O$2,$D554,$D554-($D554-$I$535)*MIN(F$3-$O$2,$Q$2)/$Q$2))</f>
        <v>1917.62915534582</v>
      </c>
      <c r="G554" s="15" t="n">
        <f aca="false">F554*(1+IF(G$3&lt;=$O$2,$D554,$D554-($D554-$I$535)*MIN(G$3-$O$2,$Q$2)/$Q$2))</f>
        <v>1952.36526238684</v>
      </c>
      <c r="H554" s="15" t="n">
        <f aca="false">G554*(1+IF(H$3&lt;=$O$2,$D554,$D554-($D554-$I$535)*MIN(H$3-$O$2,$Q$2)/$Q$2))</f>
        <v>1987.73058239585</v>
      </c>
      <c r="I554" s="15" t="n">
        <f aca="false">H554*(1+IF(I$3&lt;=$O$2,$D554,$D554-($D554-$I$535)*MIN(I$3-$O$2,$Q$2)/$Q$2))</f>
        <v>2023.73651299318</v>
      </c>
      <c r="J554" s="15" t="n">
        <f aca="false">I554*(1+IF(J$3&lt;=$O$2,$D554,$D554-($D554-$I$535)*MIN(J$3-$O$2,$Q$2)/$Q$2))</f>
        <v>2065.20544828192</v>
      </c>
      <c r="K554" s="15" t="n">
        <f aca="false">J554*(1+IF(K$3&lt;=$O$2,$D554,$D554-($D554-$I$535)*MIN(K$3-$O$2,$Q$2)/$Q$2))</f>
        <v>2112.43350403415</v>
      </c>
      <c r="L554" s="15" t="n">
        <f aca="false">K554*(1+IF(L$3&lt;=$O$2,$D554,$D554-($D554-$I$535)*MIN(L$3-$O$2,$Q$2)/$Q$2))</f>
        <v>2165.76323132232</v>
      </c>
      <c r="M554" s="15" t="n">
        <f aca="false">L554*(1+IF(M$3&lt;=$O$2,$D554,$D554-($D554-$I$535)*MIN(M$3-$O$2,$Q$2)/$Q$2))</f>
        <v>2225.58771487743</v>
      </c>
      <c r="N554" s="15" t="n">
        <f aca="false">M554*(1+IF(N$3&lt;=$O$2,$D554,$D554-($D554-$I$535)*MIN(N$3-$O$2,$Q$2)/$Q$2))</f>
        <v>2292.35534632375</v>
      </c>
      <c r="O554" s="15" t="n">
        <f aca="false">SUMPRODUCT(E554:N554,1/(1+$F$535)^$E$3:$N$3)*$E$2</f>
        <v>5188.95716966585</v>
      </c>
      <c r="P554" s="15" t="n">
        <f aca="false">N554*$E$2*(1+$I$535)/($F$535-$I$535)/(1+$F$535)^$N$3</f>
        <v>11374.1162761422</v>
      </c>
      <c r="Q554" s="15" t="n">
        <f aca="false">O554+P554</f>
        <v>16563.0734458081</v>
      </c>
      <c r="R554" s="15" t="n">
        <f aca="false">Q554-$G$2+$I$2</f>
        <v>15010.3734458081</v>
      </c>
      <c r="S554" s="40" t="n">
        <f aca="false">R554/$K$2</f>
        <v>54.5058769229386</v>
      </c>
      <c r="T554" s="41" t="n">
        <f aca="false">S554-$M$2</f>
        <v>0.00135606161463642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0.0181083679199219</v>
      </c>
      <c r="C555" s="25" t="n">
        <f aca="false">IF(T554&gt;0,D554,C554)</f>
        <v>0.0181140899658203</v>
      </c>
      <c r="D555" s="39" t="n">
        <f aca="false">(B555+C555)/2</f>
        <v>0.0181112289428711</v>
      </c>
      <c r="E555" s="15" t="n">
        <f aca="false">$C$2*(1+IF(E$3&lt;=$O$2,$D555,$D555-($D555-$I$535)*MIN(E$3-$O$2,$Q$2)/$Q$2))</f>
        <v>1883.50577354431</v>
      </c>
      <c r="F555" s="15" t="n">
        <f aca="false">E555*(1+IF(F$3&lt;=$O$2,$D555,$D555-($D555-$I$535)*MIN(F$3-$O$2,$Q$2)/$Q$2))</f>
        <v>1917.61837782419</v>
      </c>
      <c r="G555" s="15" t="n">
        <f aca="false">F555*(1+IF(G$3&lt;=$O$2,$D555,$D555-($D555-$I$535)*MIN(G$3-$O$2,$Q$2)/$Q$2))</f>
        <v>1952.34880329002</v>
      </c>
      <c r="H555" s="15" t="n">
        <f aca="false">G555*(1+IF(H$3&lt;=$O$2,$D555,$D555-($D555-$I$535)*MIN(H$3-$O$2,$Q$2)/$Q$2))</f>
        <v>1987.70823944275</v>
      </c>
      <c r="I555" s="15" t="n">
        <f aca="false">H555*(1+IF(I$3&lt;=$O$2,$D555,$D555-($D555-$I$535)*MIN(I$3-$O$2,$Q$2)/$Q$2))</f>
        <v>2023.70807843893</v>
      </c>
      <c r="J555" s="15" t="n">
        <f aca="false">I555*(1+IF(J$3&lt;=$O$2,$D555,$D555-($D555-$I$535)*MIN(J$3-$O$2,$Q$2)/$Q$2))</f>
        <v>2065.17179916728</v>
      </c>
      <c r="K555" s="15" t="n">
        <f aca="false">J555*(1+IF(K$3&lt;=$O$2,$D555,$D555-($D555-$I$535)*MIN(K$3-$O$2,$Q$2)/$Q$2))</f>
        <v>2112.39554031393</v>
      </c>
      <c r="L555" s="15" t="n">
        <f aca="false">K555*(1+IF(L$3&lt;=$O$2,$D555,$D555-($D555-$I$535)*MIN(L$3-$O$2,$Q$2)/$Q$2))</f>
        <v>2165.72189173899</v>
      </c>
      <c r="M555" s="15" t="n">
        <f aca="false">L555*(1+IF(M$3&lt;=$O$2,$D555,$D555-($D555-$I$535)*MIN(M$3-$O$2,$Q$2)/$Q$2))</f>
        <v>2225.5439941423</v>
      </c>
      <c r="N555" s="15" t="n">
        <f aca="false">M555*(1+IF(N$3&lt;=$O$2,$D555,$D555-($D555-$I$535)*MIN(N$3-$O$2,$Q$2)/$Q$2))</f>
        <v>2292.31031396657</v>
      </c>
      <c r="O555" s="15" t="n">
        <f aca="false">SUMPRODUCT(E555:N555,1/(1+$F$535)^$E$3:$N$3)*$E$2</f>
        <v>5188.89111533461</v>
      </c>
      <c r="P555" s="15" t="n">
        <f aca="false">N555*$E$2*(1+$I$535)/($F$535-$I$535)/(1+$F$535)^$N$3</f>
        <v>11373.8928364091</v>
      </c>
      <c r="Q555" s="15" t="n">
        <f aca="false">O555+P555</f>
        <v>16562.7839517437</v>
      </c>
      <c r="R555" s="15" t="n">
        <f aca="false">Q555-$G$2+$I$2</f>
        <v>15010.0839517437</v>
      </c>
      <c r="S555" s="40" t="n">
        <f aca="false">R555/$K$2</f>
        <v>54.504825708064</v>
      </c>
      <c r="T555" s="41" t="n">
        <f aca="false">S555-$M$2</f>
        <v>0.000304846740021958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0.0181083679199219</v>
      </c>
      <c r="C556" s="25" t="n">
        <f aca="false">IF(T555&gt;0,D555,C555)</f>
        <v>0.0181112289428711</v>
      </c>
      <c r="D556" s="39" t="n">
        <f aca="false">(B556+C556)/2</f>
        <v>0.0181097984313965</v>
      </c>
      <c r="E556" s="15" t="n">
        <f aca="false">$C$2*(1+IF(E$3&lt;=$O$2,$D556,$D556-($D556-$I$535)*MIN(E$3-$O$2,$Q$2)/$Q$2))</f>
        <v>1883.50312709808</v>
      </c>
      <c r="F556" s="15" t="n">
        <f aca="false">E556*(1+IF(F$3&lt;=$O$2,$D556,$D556-($D556-$I$535)*MIN(F$3-$O$2,$Q$2)/$Q$2))</f>
        <v>1917.61298907473</v>
      </c>
      <c r="G556" s="15" t="n">
        <f aca="false">F556*(1+IF(G$3&lt;=$O$2,$D556,$D556-($D556-$I$535)*MIN(G$3-$O$2,$Q$2)/$Q$2))</f>
        <v>1952.34057377631</v>
      </c>
      <c r="H556" s="15" t="n">
        <f aca="false">G556*(1+IF(H$3&lt;=$O$2,$D556,$D556-($D556-$I$535)*MIN(H$3-$O$2,$Q$2)/$Q$2))</f>
        <v>1987.69706803683</v>
      </c>
      <c r="I556" s="15" t="n">
        <f aca="false">H556*(1+IF(I$3&lt;=$O$2,$D556,$D556-($D556-$I$535)*MIN(I$3-$O$2,$Q$2)/$Q$2))</f>
        <v>2023.69386128166</v>
      </c>
      <c r="J556" s="15" t="n">
        <f aca="false">I556*(1+IF(J$3&lt;=$O$2,$D556,$D556-($D556-$I$535)*MIN(J$3-$O$2,$Q$2)/$Q$2))</f>
        <v>2065.15497478108</v>
      </c>
      <c r="K556" s="15" t="n">
        <f aca="false">J556*(1+IF(K$3&lt;=$O$2,$D556,$D556-($D556-$I$535)*MIN(K$3-$O$2,$Q$2)/$Q$2))</f>
        <v>2112.37655867218</v>
      </c>
      <c r="L556" s="15" t="n">
        <f aca="false">K556*(1+IF(L$3&lt;=$O$2,$D556,$D556-($D556-$I$535)*MIN(L$3-$O$2,$Q$2)/$Q$2))</f>
        <v>2165.70122220378</v>
      </c>
      <c r="M556" s="15" t="n">
        <f aca="false">L556*(1+IF(M$3&lt;=$O$2,$D556,$D556-($D556-$I$535)*MIN(M$3-$O$2,$Q$2)/$Q$2))</f>
        <v>2225.52213405602</v>
      </c>
      <c r="N556" s="15" t="n">
        <f aca="false">M556*(1+IF(N$3&lt;=$O$2,$D556,$D556-($D556-$I$535)*MIN(N$3-$O$2,$Q$2)/$Q$2))</f>
        <v>2292.2877980777</v>
      </c>
      <c r="O556" s="15" t="n">
        <f aca="false">SUMPRODUCT(E556:N556,1/(1+$F$535)^$E$3:$N$3)*$E$2</f>
        <v>5188.85808848789</v>
      </c>
      <c r="P556" s="15" t="n">
        <f aca="false">N556*$E$2*(1+$I$535)/($F$535-$I$535)/(1+$F$535)^$N$3</f>
        <v>11373.7811179801</v>
      </c>
      <c r="Q556" s="15" t="n">
        <f aca="false">O556+P556</f>
        <v>16562.639206468</v>
      </c>
      <c r="R556" s="15" t="n">
        <f aca="false">Q556-$G$2+$I$2</f>
        <v>15009.939206468</v>
      </c>
      <c r="S556" s="40" t="n">
        <f aca="false">R556/$K$2</f>
        <v>54.5043001070045</v>
      </c>
      <c r="T556" s="41" t="n">
        <f aca="false">S556-$M$2</f>
        <v>-0.000220754319393279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0.0181097984313965</v>
      </c>
      <c r="C557" s="25" t="n">
        <f aca="false">IF(T556&gt;0,D556,C556)</f>
        <v>0.0181112289428711</v>
      </c>
      <c r="D557" s="39" t="n">
        <f aca="false">(B557+C557)/2</f>
        <v>0.0181105136871338</v>
      </c>
      <c r="E557" s="15" t="n">
        <f aca="false">$C$2*(1+IF(E$3&lt;=$O$2,$D557,$D557-($D557-$I$535)*MIN(E$3-$O$2,$Q$2)/$Q$2))</f>
        <v>1883.5044503212</v>
      </c>
      <c r="F557" s="15" t="n">
        <f aca="false">E557*(1+IF(F$3&lt;=$O$2,$D557,$D557-($D557-$I$535)*MIN(F$3-$O$2,$Q$2)/$Q$2))</f>
        <v>1917.61568344852</v>
      </c>
      <c r="G557" s="15" t="n">
        <f aca="false">F557*(1+IF(G$3&lt;=$O$2,$D557,$D557-($D557-$I$535)*MIN(G$3-$O$2,$Q$2)/$Q$2))</f>
        <v>1952.34468853027</v>
      </c>
      <c r="H557" s="15" t="n">
        <f aca="false">G557*(1+IF(H$3&lt;=$O$2,$D557,$D557-($D557-$I$535)*MIN(H$3-$O$2,$Q$2)/$Q$2))</f>
        <v>1987.7026537339</v>
      </c>
      <c r="I557" s="15" t="n">
        <f aca="false">H557*(1+IF(I$3&lt;=$O$2,$D557,$D557-($D557-$I$535)*MIN(I$3-$O$2,$Q$2)/$Q$2))</f>
        <v>2023.7009698503</v>
      </c>
      <c r="J557" s="15" t="n">
        <f aca="false">I557*(1+IF(J$3&lt;=$O$2,$D557,$D557-($D557-$I$535)*MIN(J$3-$O$2,$Q$2)/$Q$2))</f>
        <v>2065.16338695992</v>
      </c>
      <c r="K557" s="15" t="n">
        <f aca="false">J557*(1+IF(K$3&lt;=$O$2,$D557,$D557-($D557-$I$535)*MIN(K$3-$O$2,$Q$2)/$Q$2))</f>
        <v>2112.38604947486</v>
      </c>
      <c r="L557" s="15" t="n">
        <f aca="false">K557*(1+IF(L$3&lt;=$O$2,$D557,$D557-($D557-$I$535)*MIN(L$3-$O$2,$Q$2)/$Q$2))</f>
        <v>2165.71155695002</v>
      </c>
      <c r="M557" s="15" t="n">
        <f aca="false">L557*(1+IF(M$3&lt;=$O$2,$D557,$D557-($D557-$I$535)*MIN(M$3-$O$2,$Q$2)/$Q$2))</f>
        <v>2225.53306407572</v>
      </c>
      <c r="N557" s="15" t="n">
        <f aca="false">M557*(1+IF(N$3&lt;=$O$2,$D557,$D557-($D557-$I$535)*MIN(N$3-$O$2,$Q$2)/$Q$2))</f>
        <v>2292.299055998</v>
      </c>
      <c r="O557" s="15" t="n">
        <f aca="false">SUMPRODUCT(E557:N557,1/(1+$F$535)^$E$3:$N$3)*$E$2</f>
        <v>5188.87460188467</v>
      </c>
      <c r="P557" s="15" t="n">
        <f aca="false">N557*$E$2*(1+$I$535)/($F$535-$I$535)/(1+$F$535)^$N$3</f>
        <v>11373.8369770748</v>
      </c>
      <c r="Q557" s="15" t="n">
        <f aca="false">O557+P557</f>
        <v>16562.7115789595</v>
      </c>
      <c r="R557" s="15" t="n">
        <f aca="false">Q557-$G$2+$I$2</f>
        <v>15010.0115789595</v>
      </c>
      <c r="S557" s="40" t="n">
        <f aca="false">R557/$K$2</f>
        <v>54.5045629070028</v>
      </c>
      <c r="T557" s="41" t="n">
        <f aca="false">S557-$M$2</f>
        <v>4.20456788177148E-005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0.0181097984313965</v>
      </c>
      <c r="C558" s="25" t="n">
        <f aca="false">IF(T557&gt;0,D557,C557)</f>
        <v>0.0181105136871338</v>
      </c>
      <c r="D558" s="39" t="n">
        <f aca="false">(B558+C558)/2</f>
        <v>0.0181101560592651</v>
      </c>
      <c r="E558" s="15" t="n">
        <f aca="false">$C$2*(1+IF(E$3&lt;=$O$2,$D558,$D558-($D558-$I$535)*MIN(E$3-$O$2,$Q$2)/$Q$2))</f>
        <v>1883.50378870964</v>
      </c>
      <c r="F558" s="15" t="n">
        <f aca="false">E558*(1+IF(F$3&lt;=$O$2,$D558,$D558-($D558-$I$535)*MIN(F$3-$O$2,$Q$2)/$Q$2))</f>
        <v>1917.61433626139</v>
      </c>
      <c r="G558" s="15" t="n">
        <f aca="false">F558*(1+IF(G$3&lt;=$O$2,$D558,$D558-($D558-$I$535)*MIN(G$3-$O$2,$Q$2)/$Q$2))</f>
        <v>1952.34263115257</v>
      </c>
      <c r="H558" s="15" t="n">
        <f aca="false">G558*(1+IF(H$3&lt;=$O$2,$D558,$D558-($D558-$I$535)*MIN(H$3-$O$2,$Q$2)/$Q$2))</f>
        <v>1987.6998608839</v>
      </c>
      <c r="I558" s="15" t="n">
        <f aca="false">H558*(1+IF(I$3&lt;=$O$2,$D558,$D558-($D558-$I$535)*MIN(I$3-$O$2,$Q$2)/$Q$2))</f>
        <v>2023.69741556348</v>
      </c>
      <c r="J558" s="15" t="n">
        <f aca="false">I558*(1+IF(J$3&lt;=$O$2,$D558,$D558-($D558-$I$535)*MIN(J$3-$O$2,$Q$2)/$Q$2))</f>
        <v>2065.15918086693</v>
      </c>
      <c r="K558" s="15" t="n">
        <f aca="false">J558*(1+IF(K$3&lt;=$O$2,$D558,$D558-($D558-$I$535)*MIN(K$3-$O$2,$Q$2)/$Q$2))</f>
        <v>2112.38130406897</v>
      </c>
      <c r="L558" s="15" t="n">
        <f aca="false">K558*(1+IF(L$3&lt;=$O$2,$D558,$D558-($D558-$I$535)*MIN(L$3-$O$2,$Q$2)/$Q$2))</f>
        <v>2165.70638957156</v>
      </c>
      <c r="M558" s="15" t="n">
        <f aca="false">L558*(1+IF(M$3&lt;=$O$2,$D558,$D558-($D558-$I$535)*MIN(M$3-$O$2,$Q$2)/$Q$2))</f>
        <v>2225.52759906001</v>
      </c>
      <c r="N558" s="15" t="n">
        <f aca="false">M558*(1+IF(N$3&lt;=$O$2,$D558,$D558-($D558-$I$535)*MIN(N$3-$O$2,$Q$2)/$Q$2))</f>
        <v>2292.29342703181</v>
      </c>
      <c r="O558" s="15" t="n">
        <f aca="false">SUMPRODUCT(E558:N558,1/(1+$F$535)^$E$3:$N$3)*$E$2</f>
        <v>5188.86634517964</v>
      </c>
      <c r="P558" s="15" t="n">
        <f aca="false">N558*$E$2*(1+$I$535)/($F$535-$I$535)/(1+$F$535)^$N$3</f>
        <v>11373.8090474975</v>
      </c>
      <c r="Q558" s="15" t="n">
        <f aca="false">O558+P558</f>
        <v>16562.6753926771</v>
      </c>
      <c r="R558" s="15" t="n">
        <f aca="false">Q558-$G$2+$I$2</f>
        <v>15009.9753926771</v>
      </c>
      <c r="S558" s="40" t="n">
        <f aca="false">R558/$K$2</f>
        <v>54.5044315068708</v>
      </c>
      <c r="T558" s="41" t="n">
        <f aca="false">S558-$M$2</f>
        <v>-8.93544531663792E-005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0.0181101560592651</v>
      </c>
      <c r="C559" s="25" t="n">
        <f aca="false">IF(T558&gt;0,D558,C558)</f>
        <v>0.0181105136871338</v>
      </c>
      <c r="D559" s="39" t="n">
        <f aca="false">(B559+C559)/2</f>
        <v>0.0181103348731995</v>
      </c>
      <c r="E559" s="15" t="n">
        <f aca="false">$C$2*(1+IF(E$3&lt;=$O$2,$D559,$D559-($D559-$I$535)*MIN(E$3-$O$2,$Q$2)/$Q$2))</f>
        <v>1883.50411951542</v>
      </c>
      <c r="F559" s="15" t="n">
        <f aca="false">E559*(1+IF(F$3&lt;=$O$2,$D559,$D559-($D559-$I$535)*MIN(F$3-$O$2,$Q$2)/$Q$2))</f>
        <v>1917.61500985489</v>
      </c>
      <c r="G559" s="15" t="n">
        <f aca="false">F559*(1+IF(G$3&lt;=$O$2,$D559,$D559-($D559-$I$535)*MIN(G$3-$O$2,$Q$2)/$Q$2))</f>
        <v>1952.34365984124</v>
      </c>
      <c r="H559" s="15" t="n">
        <f aca="false">G559*(1+IF(H$3&lt;=$O$2,$D559,$D559-($D559-$I$535)*MIN(H$3-$O$2,$Q$2)/$Q$2))</f>
        <v>1987.70125730853</v>
      </c>
      <c r="I559" s="15" t="n">
        <f aca="false">H559*(1+IF(I$3&lt;=$O$2,$D559,$D559-($D559-$I$535)*MIN(I$3-$O$2,$Q$2)/$Q$2))</f>
        <v>2023.69919270627</v>
      </c>
      <c r="J559" s="15" t="n">
        <f aca="false">I559*(1+IF(J$3&lt;=$O$2,$D559,$D559-($D559-$I$535)*MIN(J$3-$O$2,$Q$2)/$Q$2))</f>
        <v>2065.16128391253</v>
      </c>
      <c r="K559" s="15" t="n">
        <f aca="false">J559*(1+IF(K$3&lt;=$O$2,$D559,$D559-($D559-$I$535)*MIN(K$3-$O$2,$Q$2)/$Q$2))</f>
        <v>2112.38367677078</v>
      </c>
      <c r="L559" s="15" t="n">
        <f aca="false">K559*(1+IF(L$3&lt;=$O$2,$D559,$D559-($D559-$I$535)*MIN(L$3-$O$2,$Q$2)/$Q$2))</f>
        <v>2165.70897325945</v>
      </c>
      <c r="M559" s="15" t="n">
        <f aca="false">L559*(1+IF(M$3&lt;=$O$2,$D559,$D559-($D559-$I$535)*MIN(M$3-$O$2,$Q$2)/$Q$2))</f>
        <v>2225.5303315664</v>
      </c>
      <c r="N559" s="15" t="n">
        <f aca="false">M559*(1+IF(N$3&lt;=$O$2,$D559,$D559-($D559-$I$535)*MIN(N$3-$O$2,$Q$2)/$Q$2))</f>
        <v>2292.2962415134</v>
      </c>
      <c r="O559" s="15" t="n">
        <f aca="false">SUMPRODUCT(E559:N559,1/(1+$F$535)^$E$3:$N$3)*$E$2</f>
        <v>5188.8704735305</v>
      </c>
      <c r="P559" s="15" t="n">
        <f aca="false">N559*$E$2*(1+$I$535)/($F$535-$I$535)/(1+$F$535)^$N$3</f>
        <v>11373.8230122787</v>
      </c>
      <c r="Q559" s="15" t="n">
        <f aca="false">O559+P559</f>
        <v>16562.6934858092</v>
      </c>
      <c r="R559" s="15" t="n">
        <f aca="false">Q559-$G$2+$I$2</f>
        <v>15009.9934858092</v>
      </c>
      <c r="S559" s="40" t="n">
        <f aca="false">R559/$K$2</f>
        <v>54.5044972069036</v>
      </c>
      <c r="T559" s="41" t="n">
        <f aca="false">S559-$M$2</f>
        <v>-2.3654420381547E-005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0.0181103348731995</v>
      </c>
      <c r="C560" s="25" t="n">
        <f aca="false">IF(T559&gt;0,D559,C559)</f>
        <v>0.0181105136871338</v>
      </c>
      <c r="D560" s="39" t="n">
        <f aca="false">(B560+C560)/2</f>
        <v>0.0181104242801666</v>
      </c>
      <c r="E560" s="15" t="n">
        <f aca="false">$C$2*(1+IF(E$3&lt;=$O$2,$D560,$D560-($D560-$I$535)*MIN(E$3-$O$2,$Q$2)/$Q$2))</f>
        <v>1883.50428491831</v>
      </c>
      <c r="F560" s="15" t="n">
        <f aca="false">E560*(1+IF(F$3&lt;=$O$2,$D560,$D560-($D560-$I$535)*MIN(F$3-$O$2,$Q$2)/$Q$2))</f>
        <v>1917.61534665169</v>
      </c>
      <c r="G560" s="15" t="n">
        <f aca="false">F560*(1+IF(G$3&lt;=$O$2,$D560,$D560-($D560-$I$535)*MIN(G$3-$O$2,$Q$2)/$Q$2))</f>
        <v>1952.34417418571</v>
      </c>
      <c r="H560" s="15" t="n">
        <f aca="false">G560*(1+IF(H$3&lt;=$O$2,$D560,$D560-($D560-$I$535)*MIN(H$3-$O$2,$Q$2)/$Q$2))</f>
        <v>1987.70195552113</v>
      </c>
      <c r="I560" s="15" t="n">
        <f aca="false">H560*(1+IF(I$3&lt;=$O$2,$D560,$D560-($D560-$I$535)*MIN(I$3-$O$2,$Q$2)/$Q$2))</f>
        <v>2023.70008127813</v>
      </c>
      <c r="J560" s="15" t="n">
        <f aca="false">I560*(1+IF(J$3&lt;=$O$2,$D560,$D560-($D560-$I$535)*MIN(J$3-$O$2,$Q$2)/$Q$2))</f>
        <v>2065.162335436</v>
      </c>
      <c r="K560" s="15" t="n">
        <f aca="false">J560*(1+IF(K$3&lt;=$O$2,$D560,$D560-($D560-$I$535)*MIN(K$3-$O$2,$Q$2)/$Q$2))</f>
        <v>2112.38486312254</v>
      </c>
      <c r="L560" s="15" t="n">
        <f aca="false">K560*(1+IF(L$3&lt;=$O$2,$D560,$D560-($D560-$I$535)*MIN(L$3-$O$2,$Q$2)/$Q$2))</f>
        <v>2165.7102651044</v>
      </c>
      <c r="M560" s="15" t="n">
        <f aca="false">L560*(1+IF(M$3&lt;=$O$2,$D560,$D560-($D560-$I$535)*MIN(M$3-$O$2,$Q$2)/$Q$2))</f>
        <v>2225.5316978207</v>
      </c>
      <c r="N560" s="15" t="n">
        <f aca="false">M560*(1+IF(N$3&lt;=$O$2,$D560,$D560-($D560-$I$535)*MIN(N$3-$O$2,$Q$2)/$Q$2))</f>
        <v>2292.29764875532</v>
      </c>
      <c r="O560" s="15" t="n">
        <f aca="false">SUMPRODUCT(E560:N560,1/(1+$F$535)^$E$3:$N$3)*$E$2</f>
        <v>5188.87253770717</v>
      </c>
      <c r="P560" s="15" t="n">
        <f aca="false">N560*$E$2*(1+$I$535)/($F$535-$I$535)/(1+$F$535)^$N$3</f>
        <v>11373.8299946749</v>
      </c>
      <c r="Q560" s="15" t="n">
        <f aca="false">O560+P560</f>
        <v>16562.702532382</v>
      </c>
      <c r="R560" s="15" t="n">
        <f aca="false">Q560-$G$2+$I$2</f>
        <v>15010.002532382</v>
      </c>
      <c r="S560" s="40" t="n">
        <f aca="false">R560/$K$2</f>
        <v>54.5045300569449</v>
      </c>
      <c r="T560" s="41" t="n">
        <f aca="false">S560-$M$2</f>
        <v>9.19562091894477E-006</v>
      </c>
    </row>
    <row r="562" customFormat="false" ht="15" hidden="false" customHeight="false" outlineLevel="0" collapsed="false">
      <c r="A562" s="36" t="s">
        <v>195</v>
      </c>
      <c r="E562" s="5" t="s">
        <v>11</v>
      </c>
      <c r="F562" s="12" t="n">
        <f aca="false">Sensitivity!$B$13</f>
        <v>0.0685093056415221</v>
      </c>
      <c r="G562" s="5" t="s">
        <v>12</v>
      </c>
      <c r="I562" s="12" t="n">
        <f aca="false">Sensitivity!$G$9</f>
        <v>0.035</v>
      </c>
    </row>
    <row r="563" customFormat="false" ht="23.85" hidden="false" customHeight="false" outlineLevel="0" collapsed="false">
      <c r="A563" s="36" t="s">
        <v>156</v>
      </c>
      <c r="B563" s="28" t="s">
        <v>157</v>
      </c>
      <c r="C563" s="28" t="s">
        <v>158</v>
      </c>
      <c r="D563" s="28" t="s">
        <v>159</v>
      </c>
      <c r="E563" s="28" t="s">
        <v>160</v>
      </c>
      <c r="F563" s="28" t="s">
        <v>161</v>
      </c>
      <c r="G563" s="28" t="s">
        <v>162</v>
      </c>
      <c r="H563" s="28" t="s">
        <v>163</v>
      </c>
      <c r="I563" s="28" t="s">
        <v>164</v>
      </c>
      <c r="J563" s="28" t="s">
        <v>165</v>
      </c>
      <c r="K563" s="28" t="s">
        <v>166</v>
      </c>
      <c r="L563" s="28" t="s">
        <v>167</v>
      </c>
      <c r="M563" s="28" t="s">
        <v>168</v>
      </c>
      <c r="N563" s="28" t="s">
        <v>169</v>
      </c>
      <c r="O563" s="28" t="s">
        <v>170</v>
      </c>
      <c r="P563" s="28" t="s">
        <v>171</v>
      </c>
      <c r="Q563" s="28" t="s">
        <v>172</v>
      </c>
      <c r="R563" s="28" t="s">
        <v>173</v>
      </c>
      <c r="S563" s="28" t="s">
        <v>174</v>
      </c>
      <c r="T563" s="28" t="s">
        <v>175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39" t="n">
        <f aca="false">(B564+C564)/2</f>
        <v>0.25</v>
      </c>
      <c r="E564" s="15" t="n">
        <f aca="false">$C$2*(1+IF(E$3&lt;=$O$2,$D564,$D564-($D564-$I$562)*MIN(E$3-$O$2,$Q$2)/$Q$2))</f>
        <v>2312.5</v>
      </c>
      <c r="F564" s="15" t="n">
        <f aca="false">E564*(1+IF(F$3&lt;=$O$2,$D564,$D564-($D564-$I$562)*MIN(F$3-$O$2,$Q$2)/$Q$2))</f>
        <v>2890.625</v>
      </c>
      <c r="G564" s="15" t="n">
        <f aca="false">F564*(1+IF(G$3&lt;=$O$2,$D564,$D564-($D564-$I$562)*MIN(G$3-$O$2,$Q$2)/$Q$2))</f>
        <v>3613.28125</v>
      </c>
      <c r="H564" s="15" t="n">
        <f aca="false">G564*(1+IF(H$3&lt;=$O$2,$D564,$D564-($D564-$I$562)*MIN(H$3-$O$2,$Q$2)/$Q$2))</f>
        <v>4516.6015625</v>
      </c>
      <c r="I564" s="15" t="n">
        <f aca="false">H564*(1+IF(I$3&lt;=$O$2,$D564,$D564-($D564-$I$562)*MIN(I$3-$O$2,$Q$2)/$Q$2))</f>
        <v>5645.751953125</v>
      </c>
      <c r="J564" s="15" t="n">
        <f aca="false">I564*(1+IF(J$3&lt;=$O$2,$D564,$D564-($D564-$I$562)*MIN(J$3-$O$2,$Q$2)/$Q$2))</f>
        <v>6814.42260742188</v>
      </c>
      <c r="K564" s="15" t="n">
        <f aca="false">J564*(1+IF(K$3&lt;=$O$2,$D564,$D564-($D564-$I$562)*MIN(K$3-$O$2,$Q$2)/$Q$2))</f>
        <v>7931.98791503906</v>
      </c>
      <c r="L564" s="15" t="n">
        <f aca="false">K564*(1+IF(L$3&lt;=$O$2,$D564,$D564-($D564-$I$562)*MIN(L$3-$O$2,$Q$2)/$Q$2))</f>
        <v>8891.75845275879</v>
      </c>
      <c r="M564" s="15" t="n">
        <f aca="false">L564*(1+IF(M$3&lt;=$O$2,$D564,$D564-($D564-$I$562)*MIN(M$3-$O$2,$Q$2)/$Q$2))</f>
        <v>9585.31561207397</v>
      </c>
      <c r="N564" s="15" t="n">
        <f aca="false">M564*(1+IF(N$3&lt;=$O$2,$D564,$D564-($D564-$I$562)*MIN(N$3-$O$2,$Q$2)/$Q$2))</f>
        <v>9920.80165849656</v>
      </c>
      <c r="O564" s="15" t="n">
        <f aca="false">SUMPRODUCT(E564:N564,1/(1+$F$562)^$E$3:$N$3)*$E$2</f>
        <v>14528.0552938826</v>
      </c>
      <c r="P564" s="15" t="n">
        <f aca="false">N564*$E$2*(1+$I$562)/($F$562-$I$562)/(1+$F$562)^$N$3</f>
        <v>56844.1628525267</v>
      </c>
      <c r="Q564" s="15" t="n">
        <f aca="false">O564+P564</f>
        <v>71372.2181464093</v>
      </c>
      <c r="R564" s="15" t="n">
        <f aca="false">Q564-$G$2+$I$2</f>
        <v>69819.5181464093</v>
      </c>
      <c r="S564" s="40" t="n">
        <f aca="false">R564/$K$2</f>
        <v>253.529605818691</v>
      </c>
      <c r="T564" s="41" t="n">
        <f aca="false">S564-$M$2</f>
        <v>199.025084957367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39" t="n">
        <f aca="false">(B565+C565)/2</f>
        <v>-0.125</v>
      </c>
      <c r="E565" s="15" t="n">
        <f aca="false">$C$2*(1+IF(E$3&lt;=$O$2,$D565,$D565-($D565-$I$562)*MIN(E$3-$O$2,$Q$2)/$Q$2))</f>
        <v>1618.75</v>
      </c>
      <c r="F565" s="15" t="n">
        <f aca="false">E565*(1+IF(F$3&lt;=$O$2,$D565,$D565-($D565-$I$562)*MIN(F$3-$O$2,$Q$2)/$Q$2))</f>
        <v>1416.40625</v>
      </c>
      <c r="G565" s="15" t="n">
        <f aca="false">F565*(1+IF(G$3&lt;=$O$2,$D565,$D565-($D565-$I$562)*MIN(G$3-$O$2,$Q$2)/$Q$2))</f>
        <v>1239.35546875</v>
      </c>
      <c r="H565" s="15" t="n">
        <f aca="false">G565*(1+IF(H$3&lt;=$O$2,$D565,$D565-($D565-$I$562)*MIN(H$3-$O$2,$Q$2)/$Q$2))</f>
        <v>1084.43603515625</v>
      </c>
      <c r="I565" s="15" t="n">
        <f aca="false">H565*(1+IF(I$3&lt;=$O$2,$D565,$D565-($D565-$I$562)*MIN(I$3-$O$2,$Q$2)/$Q$2))</f>
        <v>948.881530761719</v>
      </c>
      <c r="J565" s="15" t="n">
        <f aca="false">I565*(1+IF(J$3&lt;=$O$2,$D565,$D565-($D565-$I$562)*MIN(J$3-$O$2,$Q$2)/$Q$2))</f>
        <v>860.635548400879</v>
      </c>
      <c r="K565" s="15" t="n">
        <f aca="false">J565*(1+IF(K$3&lt;=$O$2,$D565,$D565-($D565-$I$562)*MIN(K$3-$O$2,$Q$2)/$Q$2))</f>
        <v>808.136779948425</v>
      </c>
      <c r="L565" s="15" t="n">
        <f aca="false">K565*(1+IF(L$3&lt;=$O$2,$D565,$D565-($D565-$I$562)*MIN(L$3-$O$2,$Q$2)/$Q$2))</f>
        <v>784.700813329921</v>
      </c>
      <c r="M565" s="15" t="n">
        <f aca="false">L565*(1+IF(M$3&lt;=$O$2,$D565,$D565-($D565-$I$562)*MIN(M$3-$O$2,$Q$2)/$Q$2))</f>
        <v>787.054915769911</v>
      </c>
      <c r="N565" s="15" t="n">
        <f aca="false">M565*(1+IF(N$3&lt;=$O$2,$D565,$D565-($D565-$I$562)*MIN(N$3-$O$2,$Q$2)/$Q$2))</f>
        <v>814.601837821858</v>
      </c>
      <c r="O565" s="15" t="n">
        <f aca="false">SUMPRODUCT(E565:N565,1/(1+$F$562)^$E$3:$N$3)*$E$2</f>
        <v>2766.13021098219</v>
      </c>
      <c r="P565" s="15" t="n">
        <f aca="false">N565*$E$2*(1+$I$562)/($F$562-$I$562)/(1+$F$562)^$N$3</f>
        <v>4667.50179300838</v>
      </c>
      <c r="Q565" s="15" t="n">
        <f aca="false">O565+P565</f>
        <v>7433.63200399057</v>
      </c>
      <c r="R565" s="15" t="n">
        <f aca="false">Q565-$G$2+$I$2</f>
        <v>5880.93200399057</v>
      </c>
      <c r="S565" s="40" t="n">
        <f aca="false">R565/$K$2</f>
        <v>21.3549221249522</v>
      </c>
      <c r="T565" s="41" t="n">
        <f aca="false">S565-$M$2</f>
        <v>-33.1495987363718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39" t="n">
        <f aca="false">(B566+C566)/2</f>
        <v>0.0625</v>
      </c>
      <c r="E566" s="15" t="n">
        <f aca="false">$C$2*(1+IF(E$3&lt;=$O$2,$D566,$D566-($D566-$I$562)*MIN(E$3-$O$2,$Q$2)/$Q$2))</f>
        <v>1965.625</v>
      </c>
      <c r="F566" s="15" t="n">
        <f aca="false">E566*(1+IF(F$3&lt;=$O$2,$D566,$D566-($D566-$I$562)*MIN(F$3-$O$2,$Q$2)/$Q$2))</f>
        <v>2088.4765625</v>
      </c>
      <c r="G566" s="15" t="n">
        <f aca="false">F566*(1+IF(G$3&lt;=$O$2,$D566,$D566-($D566-$I$562)*MIN(G$3-$O$2,$Q$2)/$Q$2))</f>
        <v>2219.00634765625</v>
      </c>
      <c r="H566" s="15" t="n">
        <f aca="false">G566*(1+IF(H$3&lt;=$O$2,$D566,$D566-($D566-$I$562)*MIN(H$3-$O$2,$Q$2)/$Q$2))</f>
        <v>2357.69424438477</v>
      </c>
      <c r="I566" s="15" t="n">
        <f aca="false">H566*(1+IF(I$3&lt;=$O$2,$D566,$D566-($D566-$I$562)*MIN(I$3-$O$2,$Q$2)/$Q$2))</f>
        <v>2505.05013465881</v>
      </c>
      <c r="J566" s="15" t="n">
        <f aca="false">I566*(1+IF(J$3&lt;=$O$2,$D566,$D566-($D566-$I$562)*MIN(J$3-$O$2,$Q$2)/$Q$2))</f>
        <v>2647.83799233437</v>
      </c>
      <c r="K566" s="15" t="n">
        <f aca="false">J566*(1+IF(K$3&lt;=$O$2,$D566,$D566-($D566-$I$562)*MIN(K$3-$O$2,$Q$2)/$Q$2))</f>
        <v>2784.20164893959</v>
      </c>
      <c r="L566" s="15" t="n">
        <f aca="false">K566*(1+IF(L$3&lt;=$O$2,$D566,$D566-($D566-$I$562)*MIN(L$3-$O$2,$Q$2)/$Q$2))</f>
        <v>2912.27492479081</v>
      </c>
      <c r="M566" s="15" t="n">
        <f aca="false">L566*(1+IF(M$3&lt;=$O$2,$D566,$D566-($D566-$I$562)*MIN(M$3-$O$2,$Q$2)/$Q$2))</f>
        <v>3030.22205924483</v>
      </c>
      <c r="N566" s="15" t="n">
        <f aca="false">M566*(1+IF(N$3&lt;=$O$2,$D566,$D566-($D566-$I$562)*MIN(N$3-$O$2,$Q$2)/$Q$2))</f>
        <v>3136.2798313184</v>
      </c>
      <c r="O566" s="15" t="n">
        <f aca="false">SUMPRODUCT(E566:N566,1/(1+$F$562)^$E$3:$N$3)*$E$2</f>
        <v>6342.69325300283</v>
      </c>
      <c r="P566" s="15" t="n">
        <f aca="false">N566*$E$2*(1+$I$562)/($F$562-$I$562)/(1+$F$562)^$N$3</f>
        <v>17970.2414804224</v>
      </c>
      <c r="Q566" s="15" t="n">
        <f aca="false">O566+P566</f>
        <v>24312.9347334252</v>
      </c>
      <c r="R566" s="15" t="n">
        <f aca="false">Q566-$G$2+$I$2</f>
        <v>22760.2347334252</v>
      </c>
      <c r="S566" s="40" t="n">
        <f aca="false">R566/$K$2</f>
        <v>82.6472810683948</v>
      </c>
      <c r="T566" s="41" t="n">
        <f aca="false">S566-$M$2</f>
        <v>28.1427602070708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39" t="n">
        <f aca="false">(B567+C567)/2</f>
        <v>-0.03125</v>
      </c>
      <c r="E567" s="15" t="n">
        <f aca="false">$C$2*(1+IF(E$3&lt;=$O$2,$D567,$D567-($D567-$I$562)*MIN(E$3-$O$2,$Q$2)/$Q$2))</f>
        <v>1792.1875</v>
      </c>
      <c r="F567" s="15" t="n">
        <f aca="false">E567*(1+IF(F$3&lt;=$O$2,$D567,$D567-($D567-$I$562)*MIN(F$3-$O$2,$Q$2)/$Q$2))</f>
        <v>1736.181640625</v>
      </c>
      <c r="G567" s="15" t="n">
        <f aca="false">F567*(1+IF(G$3&lt;=$O$2,$D567,$D567-($D567-$I$562)*MIN(G$3-$O$2,$Q$2)/$Q$2))</f>
        <v>1681.92596435547</v>
      </c>
      <c r="H567" s="15" t="n">
        <f aca="false">G567*(1+IF(H$3&lt;=$O$2,$D567,$D567-($D567-$I$562)*MIN(H$3-$O$2,$Q$2)/$Q$2))</f>
        <v>1629.36577796936</v>
      </c>
      <c r="I567" s="15" t="n">
        <f aca="false">H567*(1+IF(I$3&lt;=$O$2,$D567,$D567-($D567-$I$562)*MIN(I$3-$O$2,$Q$2)/$Q$2))</f>
        <v>1578.44809740782</v>
      </c>
      <c r="J567" s="15" t="n">
        <f aca="false">I567*(1+IF(J$3&lt;=$O$2,$D567,$D567-($D567-$I$562)*MIN(J$3-$O$2,$Q$2)/$Q$2))</f>
        <v>1550.03603165448</v>
      </c>
      <c r="K567" s="15" t="n">
        <f aca="false">J567*(1+IF(K$3&lt;=$O$2,$D567,$D567-($D567-$I$562)*MIN(K$3-$O$2,$Q$2)/$Q$2))</f>
        <v>1542.67336050412</v>
      </c>
      <c r="L567" s="15" t="n">
        <f aca="false">K567*(1+IF(L$3&lt;=$O$2,$D567,$D567-($D567-$I$562)*MIN(L$3-$O$2,$Q$2)/$Q$2))</f>
        <v>1555.7860840684</v>
      </c>
      <c r="M567" s="15" t="n">
        <f aca="false">L567*(1+IF(M$3&lt;=$O$2,$D567,$D567-($D567-$I$562)*MIN(M$3-$O$2,$Q$2)/$Q$2))</f>
        <v>1589.62443139689</v>
      </c>
      <c r="N567" s="15" t="n">
        <f aca="false">M567*(1+IF(N$3&lt;=$O$2,$D567,$D567-($D567-$I$562)*MIN(N$3-$O$2,$Q$2)/$Q$2))</f>
        <v>1645.26128649578</v>
      </c>
      <c r="O567" s="15" t="n">
        <f aca="false">SUMPRODUCT(E567:N567,1/(1+$F$562)^$E$3:$N$3)*$E$2</f>
        <v>4178.43157826056</v>
      </c>
      <c r="P567" s="15" t="n">
        <f aca="false">N567*$E$2*(1+$I$562)/($F$562-$I$562)/(1+$F$562)^$N$3</f>
        <v>9427.01040942863</v>
      </c>
      <c r="Q567" s="15" t="n">
        <f aca="false">O567+P567</f>
        <v>13605.4419876892</v>
      </c>
      <c r="R567" s="15" t="n">
        <f aca="false">Q567-$G$2+$I$2</f>
        <v>12052.7419876892</v>
      </c>
      <c r="S567" s="40" t="n">
        <f aca="false">R567/$K$2</f>
        <v>43.7660844173324</v>
      </c>
      <c r="T567" s="41" t="n">
        <f aca="false">S567-$M$2</f>
        <v>-10.7384364439915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39" t="n">
        <f aca="false">(B568+C568)/2</f>
        <v>0.015625</v>
      </c>
      <c r="E568" s="15" t="n">
        <f aca="false">$C$2*(1+IF(E$3&lt;=$O$2,$D568,$D568-($D568-$I$562)*MIN(E$3-$O$2,$Q$2)/$Q$2))</f>
        <v>1878.90625</v>
      </c>
      <c r="F568" s="15" t="n">
        <f aca="false">E568*(1+IF(F$3&lt;=$O$2,$D568,$D568-($D568-$I$562)*MIN(F$3-$O$2,$Q$2)/$Q$2))</f>
        <v>1908.26416015625</v>
      </c>
      <c r="G568" s="15" t="n">
        <f aca="false">F568*(1+IF(G$3&lt;=$O$2,$D568,$D568-($D568-$I$562)*MIN(G$3-$O$2,$Q$2)/$Q$2))</f>
        <v>1938.08078765869</v>
      </c>
      <c r="H568" s="15" t="n">
        <f aca="false">G568*(1+IF(H$3&lt;=$O$2,$D568,$D568-($D568-$I$562)*MIN(H$3-$O$2,$Q$2)/$Q$2))</f>
        <v>1968.36329996586</v>
      </c>
      <c r="I568" s="15" t="n">
        <f aca="false">H568*(1+IF(I$3&lt;=$O$2,$D568,$D568-($D568-$I$562)*MIN(I$3-$O$2,$Q$2)/$Q$2))</f>
        <v>1999.11897652783</v>
      </c>
      <c r="J568" s="15" t="n">
        <f aca="false">I568*(1+IF(J$3&lt;=$O$2,$D568,$D568-($D568-$I$562)*MIN(J$3-$O$2,$Q$2)/$Q$2))</f>
        <v>2038.10179657012</v>
      </c>
      <c r="K568" s="15" t="n">
        <f aca="false">J568*(1+IF(K$3&lt;=$O$2,$D568,$D568-($D568-$I$562)*MIN(K$3-$O$2,$Q$2)/$Q$2))</f>
        <v>2085.74242606494</v>
      </c>
      <c r="L568" s="15" t="n">
        <f aca="false">K568*(1+IF(L$3&lt;=$O$2,$D568,$D568-($D568-$I$562)*MIN(L$3-$O$2,$Q$2)/$Q$2))</f>
        <v>2142.57890717521</v>
      </c>
      <c r="M568" s="15" t="n">
        <f aca="false">L568*(1+IF(M$3&lt;=$O$2,$D568,$D568-($D568-$I$562)*MIN(M$3-$O$2,$Q$2)/$Q$2))</f>
        <v>2209.26667566104</v>
      </c>
      <c r="N568" s="15" t="n">
        <f aca="false">M568*(1+IF(N$3&lt;=$O$2,$D568,$D568-($D568-$I$562)*MIN(N$3-$O$2,$Q$2)/$Q$2))</f>
        <v>2286.59100930918</v>
      </c>
      <c r="O568" s="15" t="n">
        <f aca="false">SUMPRODUCT(E568:N568,1/(1+$F$562)^$E$3:$N$3)*$E$2</f>
        <v>5146.72382415724</v>
      </c>
      <c r="P568" s="15" t="n">
        <f aca="false">N568*$E$2*(1+$I$562)/($F$562-$I$562)/(1+$F$562)^$N$3</f>
        <v>13101.69844984</v>
      </c>
      <c r="Q568" s="15" t="n">
        <f aca="false">O568+P568</f>
        <v>18248.4222739972</v>
      </c>
      <c r="R568" s="15" t="n">
        <f aca="false">Q568-$G$2+$I$2</f>
        <v>16695.7222739972</v>
      </c>
      <c r="S568" s="40" t="n">
        <f aca="false">R568/$K$2</f>
        <v>60.6257390391707</v>
      </c>
      <c r="T568" s="41" t="n">
        <f aca="false">S568-$M$2</f>
        <v>6.12121817784679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-0.03125</v>
      </c>
      <c r="C569" s="25" t="n">
        <f aca="false">IF(T568&gt;0,D568,C568)</f>
        <v>0.015625</v>
      </c>
      <c r="D569" s="39" t="n">
        <f aca="false">(B569+C569)/2</f>
        <v>-0.0078125</v>
      </c>
      <c r="E569" s="15" t="n">
        <f aca="false">$C$2*(1+IF(E$3&lt;=$O$2,$D569,$D569-($D569-$I$562)*MIN(E$3-$O$2,$Q$2)/$Q$2))</f>
        <v>1835.546875</v>
      </c>
      <c r="F569" s="15" t="n">
        <f aca="false">E569*(1+IF(F$3&lt;=$O$2,$D569,$D569-($D569-$I$562)*MIN(F$3-$O$2,$Q$2)/$Q$2))</f>
        <v>1821.20666503906</v>
      </c>
      <c r="G569" s="15" t="n">
        <f aca="false">F569*(1+IF(G$3&lt;=$O$2,$D569,$D569-($D569-$I$562)*MIN(G$3-$O$2,$Q$2)/$Q$2))</f>
        <v>1806.97848796844</v>
      </c>
      <c r="H569" s="15" t="n">
        <f aca="false">G569*(1+IF(H$3&lt;=$O$2,$D569,$D569-($D569-$I$562)*MIN(H$3-$O$2,$Q$2)/$Q$2))</f>
        <v>1792.86146853119</v>
      </c>
      <c r="I569" s="15" t="n">
        <f aca="false">H569*(1+IF(I$3&lt;=$O$2,$D569,$D569-($D569-$I$562)*MIN(I$3-$O$2,$Q$2)/$Q$2))</f>
        <v>1778.85473830829</v>
      </c>
      <c r="J569" s="15" t="n">
        <f aca="false">I569*(1+IF(J$3&lt;=$O$2,$D569,$D569-($D569-$I$562)*MIN(J$3-$O$2,$Q$2)/$Q$2))</f>
        <v>1780.18887936202</v>
      </c>
      <c r="K569" s="15" t="n">
        <f aca="false">J569*(1+IF(K$3&lt;=$O$2,$D569,$D569-($D569-$I$562)*MIN(K$3-$O$2,$Q$2)/$Q$2))</f>
        <v>1796.76688830108</v>
      </c>
      <c r="L569" s="15" t="n">
        <f aca="false">K569*(1+IF(L$3&lt;=$O$2,$D569,$D569-($D569-$I$562)*MIN(L$3-$O$2,$Q$2)/$Q$2))</f>
        <v>1828.88409642946</v>
      </c>
      <c r="M569" s="15" t="n">
        <f aca="false">L569*(1+IF(M$3&lt;=$O$2,$D569,$D569-($D569-$I$562)*MIN(M$3-$O$2,$Q$2)/$Q$2))</f>
        <v>1877.23521972882</v>
      </c>
      <c r="N569" s="15" t="n">
        <f aca="false">M569*(1+IF(N$3&lt;=$O$2,$D569,$D569-($D569-$I$562)*MIN(N$3-$O$2,$Q$2)/$Q$2))</f>
        <v>1942.93845241933</v>
      </c>
      <c r="O569" s="15" t="n">
        <f aca="false">SUMPRODUCT(E569:N569,1/(1+$F$562)^$E$3:$N$3)*$E$2</f>
        <v>4636.87291404347</v>
      </c>
      <c r="P569" s="15" t="n">
        <f aca="false">N569*$E$2*(1+$I$562)/($F$562-$I$562)/(1+$F$562)^$N$3</f>
        <v>11132.6396397786</v>
      </c>
      <c r="Q569" s="15" t="n">
        <f aca="false">O569+P569</f>
        <v>15769.5125538221</v>
      </c>
      <c r="R569" s="15" t="n">
        <f aca="false">Q569-$G$2+$I$2</f>
        <v>14216.8125538221</v>
      </c>
      <c r="S569" s="40" t="n">
        <f aca="false">R569/$K$2</f>
        <v>51.6242875697088</v>
      </c>
      <c r="T569" s="41" t="n">
        <f aca="false">S569-$M$2</f>
        <v>-2.88023329161516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-0.0078125</v>
      </c>
      <c r="C570" s="25" t="n">
        <f aca="false">IF(T569&gt;0,D569,C569)</f>
        <v>0.015625</v>
      </c>
      <c r="D570" s="39" t="n">
        <f aca="false">(B570+C570)/2</f>
        <v>0.00390625</v>
      </c>
      <c r="E570" s="15" t="n">
        <f aca="false">$C$2*(1+IF(E$3&lt;=$O$2,$D570,$D570-($D570-$I$562)*MIN(E$3-$O$2,$Q$2)/$Q$2))</f>
        <v>1857.2265625</v>
      </c>
      <c r="F570" s="15" t="n">
        <f aca="false">E570*(1+IF(F$3&lt;=$O$2,$D570,$D570-($D570-$I$562)*MIN(F$3-$O$2,$Q$2)/$Q$2))</f>
        <v>1864.48135375977</v>
      </c>
      <c r="G570" s="15" t="n">
        <f aca="false">F570*(1+IF(G$3&lt;=$O$2,$D570,$D570-($D570-$I$562)*MIN(G$3-$O$2,$Q$2)/$Q$2))</f>
        <v>1871.76448404789</v>
      </c>
      <c r="H570" s="15" t="n">
        <f aca="false">G570*(1+IF(H$3&lt;=$O$2,$D570,$D570-($D570-$I$562)*MIN(H$3-$O$2,$Q$2)/$Q$2))</f>
        <v>1879.0760640637</v>
      </c>
      <c r="I570" s="15" t="n">
        <f aca="false">H570*(1+IF(I$3&lt;=$O$2,$D570,$D570-($D570-$I$562)*MIN(I$3-$O$2,$Q$2)/$Q$2))</f>
        <v>1886.41620493895</v>
      </c>
      <c r="J570" s="15" t="n">
        <f aca="false">I570*(1+IF(J$3&lt;=$O$2,$D570,$D570-($D570-$I$562)*MIN(J$3-$O$2,$Q$2)/$Q$2))</f>
        <v>1905.51616901396</v>
      </c>
      <c r="K570" s="15" t="n">
        <f aca="false">J570*(1+IF(K$3&lt;=$O$2,$D570,$D570-($D570-$I$562)*MIN(K$3-$O$2,$Q$2)/$Q$2))</f>
        <v>1936.65944890128</v>
      </c>
      <c r="L570" s="15" t="n">
        <f aca="false">K570*(1+IF(L$3&lt;=$O$2,$D570,$D570-($D570-$I$562)*MIN(L$3-$O$2,$Q$2)/$Q$2))</f>
        <v>1980.35532771711</v>
      </c>
      <c r="M570" s="15" t="n">
        <f aca="false">L570*(1+IF(M$3&lt;=$O$2,$D570,$D570-($D570-$I$562)*MIN(M$3-$O$2,$Q$2)/$Q$2))</f>
        <v>2037.35242949297</v>
      </c>
      <c r="N570" s="15" t="n">
        <f aca="false">M570*(1+IF(N$3&lt;=$O$2,$D570,$D570-($D570-$I$562)*MIN(N$3-$O$2,$Q$2)/$Q$2))</f>
        <v>2108.65976452523</v>
      </c>
      <c r="O570" s="15" t="n">
        <f aca="false">SUMPRODUCT(E570:N570,1/(1+$F$562)^$E$3:$N$3)*$E$2</f>
        <v>4885.04634545404</v>
      </c>
      <c r="P570" s="15" t="n">
        <f aca="false">N570*$E$2*(1+$I$562)/($F$562-$I$562)/(1+$F$562)^$N$3</f>
        <v>12082.1888372887</v>
      </c>
      <c r="Q570" s="15" t="n">
        <f aca="false">O570+P570</f>
        <v>16967.2351827428</v>
      </c>
      <c r="R570" s="15" t="n">
        <f aca="false">Q570-$G$2+$I$2</f>
        <v>15414.5351827428</v>
      </c>
      <c r="S570" s="40" t="n">
        <f aca="false">R570/$K$2</f>
        <v>55.9734746459304</v>
      </c>
      <c r="T570" s="41" t="n">
        <f aca="false">S570-$M$2</f>
        <v>1.46895378460643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-0.0078125</v>
      </c>
      <c r="C571" s="25" t="n">
        <f aca="false">IF(T570&gt;0,D570,C570)</f>
        <v>0.00390625</v>
      </c>
      <c r="D571" s="39" t="n">
        <f aca="false">(B571+C571)/2</f>
        <v>-0.001953125</v>
      </c>
      <c r="E571" s="15" t="n">
        <f aca="false">$C$2*(1+IF(E$3&lt;=$O$2,$D571,$D571-($D571-$I$562)*MIN(E$3-$O$2,$Q$2)/$Q$2))</f>
        <v>1846.38671875</v>
      </c>
      <c r="F571" s="15" t="n">
        <f aca="false">E571*(1+IF(F$3&lt;=$O$2,$D571,$D571-($D571-$I$562)*MIN(F$3-$O$2,$Q$2)/$Q$2))</f>
        <v>1842.78049468994</v>
      </c>
      <c r="G571" s="15" t="n">
        <f aca="false">F571*(1+IF(G$3&lt;=$O$2,$D571,$D571-($D571-$I$562)*MIN(G$3-$O$2,$Q$2)/$Q$2))</f>
        <v>1839.18131403625</v>
      </c>
      <c r="H571" s="15" t="n">
        <f aca="false">G571*(1+IF(H$3&lt;=$O$2,$D571,$D571-($D571-$I$562)*MIN(H$3-$O$2,$Q$2)/$Q$2))</f>
        <v>1835.58916303227</v>
      </c>
      <c r="I571" s="15" t="n">
        <f aca="false">H571*(1+IF(I$3&lt;=$O$2,$D571,$D571-($D571-$I$562)*MIN(I$3-$O$2,$Q$2)/$Q$2))</f>
        <v>1832.00402794823</v>
      </c>
      <c r="J571" s="15" t="n">
        <f aca="false">I571*(1+IF(J$3&lt;=$O$2,$D571,$D571-($D571-$I$562)*MIN(J$3-$O$2,$Q$2)/$Q$2))</f>
        <v>1841.96554985019</v>
      </c>
      <c r="K571" s="15" t="n">
        <f aca="false">J571*(1+IF(K$3&lt;=$O$2,$D571,$D571-($D571-$I$562)*MIN(K$3-$O$2,$Q$2)/$Q$2))</f>
        <v>1865.59451416937</v>
      </c>
      <c r="L571" s="15" t="n">
        <f aca="false">K571*(1+IF(L$3&lt;=$O$2,$D571,$D571-($D571-$I$562)*MIN(L$3-$O$2,$Q$2)/$Q$2))</f>
        <v>1903.31450325273</v>
      </c>
      <c r="M571" s="15" t="n">
        <f aca="false">L571*(1+IF(M$3&lt;=$O$2,$D571,$D571-($D571-$I$562)*MIN(M$3-$O$2,$Q$2)/$Q$2))</f>
        <v>1955.86382711597</v>
      </c>
      <c r="N571" s="15" t="n">
        <f aca="false">M571*(1+IF(N$3&lt;=$O$2,$D571,$D571-($D571-$I$562)*MIN(N$3-$O$2,$Q$2)/$Q$2))</f>
        <v>2024.31906106503</v>
      </c>
      <c r="O571" s="15" t="n">
        <f aca="false">SUMPRODUCT(E571:N571,1/(1+$F$562)^$E$3:$N$3)*$E$2</f>
        <v>4759.31346511768</v>
      </c>
      <c r="P571" s="15" t="n">
        <f aca="false">N571*$E$2*(1+$I$562)/($F$562-$I$562)/(1+$F$562)^$N$3</f>
        <v>11598.9338698354</v>
      </c>
      <c r="Q571" s="15" t="n">
        <f aca="false">O571+P571</f>
        <v>16358.247334953</v>
      </c>
      <c r="R571" s="15" t="n">
        <f aca="false">Q571-$G$2+$I$2</f>
        <v>14805.547334953</v>
      </c>
      <c r="S571" s="40" t="n">
        <f aca="false">R571/$K$2</f>
        <v>53.762109499085</v>
      </c>
      <c r="T571" s="41" t="n">
        <f aca="false">S571-$M$2</f>
        <v>-0.742411362238897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-0.001953125</v>
      </c>
      <c r="C572" s="25" t="n">
        <f aca="false">IF(T571&gt;0,D571,C571)</f>
        <v>0.00390625</v>
      </c>
      <c r="D572" s="39" t="n">
        <f aca="false">(B572+C572)/2</f>
        <v>0.0009765625</v>
      </c>
      <c r="E572" s="15" t="n">
        <f aca="false">$C$2*(1+IF(E$3&lt;=$O$2,$D572,$D572-($D572-$I$562)*MIN(E$3-$O$2,$Q$2)/$Q$2))</f>
        <v>1851.806640625</v>
      </c>
      <c r="F572" s="15" t="n">
        <f aca="false">E572*(1+IF(F$3&lt;=$O$2,$D572,$D572-($D572-$I$562)*MIN(F$3-$O$2,$Q$2)/$Q$2))</f>
        <v>1853.61504554749</v>
      </c>
      <c r="G572" s="15" t="n">
        <f aca="false">F572*(1+IF(G$3&lt;=$O$2,$D572,$D572-($D572-$I$562)*MIN(G$3-$O$2,$Q$2)/$Q$2))</f>
        <v>1855.4252164904</v>
      </c>
      <c r="H572" s="15" t="n">
        <f aca="false">G572*(1+IF(H$3&lt;=$O$2,$D572,$D572-($D572-$I$562)*MIN(H$3-$O$2,$Q$2)/$Q$2))</f>
        <v>1857.23715517838</v>
      </c>
      <c r="I572" s="15" t="n">
        <f aca="false">H572*(1+IF(I$3&lt;=$O$2,$D572,$D572-($D572-$I$562)*MIN(I$3-$O$2,$Q$2)/$Q$2))</f>
        <v>1859.05086333774</v>
      </c>
      <c r="J572" s="15" t="n">
        <f aca="false">I572*(1+IF(J$3&lt;=$O$2,$D572,$D572-($D572-$I$562)*MIN(J$3-$O$2,$Q$2)/$Q$2))</f>
        <v>1873.51660286808</v>
      </c>
      <c r="K572" s="15" t="n">
        <f aca="false">J572*(1+IF(K$3&lt;=$O$2,$D572,$D572-($D572-$I$562)*MIN(K$3-$O$2,$Q$2)/$Q$2))</f>
        <v>1900.84359894273</v>
      </c>
      <c r="L572" s="15" t="n">
        <f aca="false">K572*(1+IF(L$3&lt;=$O$2,$D572,$D572-($D572-$I$562)*MIN(L$3-$O$2,$Q$2)/$Q$2))</f>
        <v>1941.50383155136</v>
      </c>
      <c r="M572" s="15" t="n">
        <f aca="false">L572*(1+IF(M$3&lt;=$O$2,$D572,$D572-($D572-$I$562)*MIN(M$3-$O$2,$Q$2)/$Q$2))</f>
        <v>1996.2451388019</v>
      </c>
      <c r="N572" s="15" t="n">
        <f aca="false">M572*(1+IF(N$3&lt;=$O$2,$D572,$D572-($D572-$I$562)*MIN(N$3-$O$2,$Q$2)/$Q$2))</f>
        <v>2066.11371865997</v>
      </c>
      <c r="O572" s="15" t="n">
        <f aca="false">SUMPRODUCT(E572:N572,1/(1+$F$562)^$E$3:$N$3)*$E$2</f>
        <v>4821.76320490538</v>
      </c>
      <c r="P572" s="15" t="n">
        <f aca="false">N572*$E$2*(1+$I$562)/($F$562-$I$562)/(1+$F$562)^$N$3</f>
        <v>11838.408703067</v>
      </c>
      <c r="Q572" s="15" t="n">
        <f aca="false">O572+P572</f>
        <v>16660.1719079723</v>
      </c>
      <c r="R572" s="15" t="n">
        <f aca="false">Q572-$G$2+$I$2</f>
        <v>15107.4719079723</v>
      </c>
      <c r="S572" s="40" t="n">
        <f aca="false">R572/$K$2</f>
        <v>54.8584622098563</v>
      </c>
      <c r="T572" s="41" t="n">
        <f aca="false">S572-$M$2</f>
        <v>0.353941348532402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-0.001953125</v>
      </c>
      <c r="C573" s="25" t="n">
        <f aca="false">IF(T572&gt;0,D572,C572)</f>
        <v>0.0009765625</v>
      </c>
      <c r="D573" s="39" t="n">
        <f aca="false">(B573+C573)/2</f>
        <v>-0.00048828125</v>
      </c>
      <c r="E573" s="15" t="n">
        <f aca="false">$C$2*(1+IF(E$3&lt;=$O$2,$D573,$D573-($D573-$I$562)*MIN(E$3-$O$2,$Q$2)/$Q$2))</f>
        <v>1849.0966796875</v>
      </c>
      <c r="F573" s="15" t="n">
        <f aca="false">E573*(1+IF(F$3&lt;=$O$2,$D573,$D573-($D573-$I$562)*MIN(F$3-$O$2,$Q$2)/$Q$2))</f>
        <v>1848.19380044937</v>
      </c>
      <c r="G573" s="15" t="n">
        <f aca="false">F573*(1+IF(G$3&lt;=$O$2,$D573,$D573-($D573-$I$562)*MIN(G$3-$O$2,$Q$2)/$Q$2))</f>
        <v>1847.29136207025</v>
      </c>
      <c r="H573" s="15" t="n">
        <f aca="false">G573*(1+IF(H$3&lt;=$O$2,$D573,$D573-($D573-$I$562)*MIN(H$3-$O$2,$Q$2)/$Q$2))</f>
        <v>1846.38936433486</v>
      </c>
      <c r="I573" s="15" t="n">
        <f aca="false">H573*(1+IF(I$3&lt;=$O$2,$D573,$D573-($D573-$I$562)*MIN(I$3-$O$2,$Q$2)/$Q$2))</f>
        <v>1845.48780702806</v>
      </c>
      <c r="J573" s="15" t="n">
        <f aca="false">I573*(1+IF(J$3&lt;=$O$2,$D573,$D573-($D573-$I$562)*MIN(J$3-$O$2,$Q$2)/$Q$2))</f>
        <v>1857.68532800263</v>
      </c>
      <c r="K573" s="15" t="n">
        <f aca="false">J573*(1+IF(K$3&lt;=$O$2,$D573,$D573-($D573-$I$562)*MIN(K$3-$O$2,$Q$2)/$Q$2))</f>
        <v>1883.14867884623</v>
      </c>
      <c r="L573" s="15" t="n">
        <f aca="false">K573*(1+IF(L$3&lt;=$O$2,$D573,$D573-($D573-$I$562)*MIN(L$3-$O$2,$Q$2)/$Q$2))</f>
        <v>1922.32699862566</v>
      </c>
      <c r="M573" s="15" t="n">
        <f aca="false">L573*(1+IF(M$3&lt;=$O$2,$D573,$D573-($D573-$I$562)*MIN(M$3-$O$2,$Q$2)/$Q$2))</f>
        <v>1975.96442734122</v>
      </c>
      <c r="N573" s="15" t="n">
        <f aca="false">M573*(1+IF(N$3&lt;=$O$2,$D573,$D573-($D573-$I$562)*MIN(N$3-$O$2,$Q$2)/$Q$2))</f>
        <v>2045.12318229817</v>
      </c>
      <c r="O573" s="15" t="n">
        <f aca="false">SUMPRODUCT(E573:N573,1/(1+$F$562)^$E$3:$N$3)*$E$2</f>
        <v>4790.43480920919</v>
      </c>
      <c r="P573" s="15" t="n">
        <f aca="false">N573*$E$2*(1+$I$562)/($F$562-$I$562)/(1+$F$562)^$N$3</f>
        <v>11718.1372261858</v>
      </c>
      <c r="Q573" s="15" t="n">
        <f aca="false">O573+P573</f>
        <v>16508.572035395</v>
      </c>
      <c r="R573" s="15" t="n">
        <f aca="false">Q573-$G$2+$I$2</f>
        <v>14955.872035395</v>
      </c>
      <c r="S573" s="40" t="n">
        <f aca="false">R573/$K$2</f>
        <v>54.3079706430699</v>
      </c>
      <c r="T573" s="41" t="n">
        <f aca="false">S573-$M$2</f>
        <v>-0.196550218254039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-0.00048828125</v>
      </c>
      <c r="C574" s="25" t="n">
        <f aca="false">IF(T573&gt;0,D573,C573)</f>
        <v>0.0009765625</v>
      </c>
      <c r="D574" s="39" t="n">
        <f aca="false">(B574+C574)/2</f>
        <v>0.000244140625</v>
      </c>
      <c r="E574" s="15" t="n">
        <f aca="false">$C$2*(1+IF(E$3&lt;=$O$2,$D574,$D574-($D574-$I$562)*MIN(E$3-$O$2,$Q$2)/$Q$2))</f>
        <v>1850.45166015625</v>
      </c>
      <c r="F574" s="15" t="n">
        <f aca="false">E574*(1+IF(F$3&lt;=$O$2,$D574,$D574-($D574-$I$562)*MIN(F$3-$O$2,$Q$2)/$Q$2))</f>
        <v>1850.90343058109</v>
      </c>
      <c r="G574" s="15" t="n">
        <f aca="false">F574*(1+IF(G$3&lt;=$O$2,$D574,$D574-($D574-$I$562)*MIN(G$3-$O$2,$Q$2)/$Q$2))</f>
        <v>1851.35531130145</v>
      </c>
      <c r="H574" s="15" t="n">
        <f aca="false">G574*(1+IF(H$3&lt;=$O$2,$D574,$D574-($D574-$I$562)*MIN(H$3-$O$2,$Q$2)/$Q$2))</f>
        <v>1851.80730234425</v>
      </c>
      <c r="I574" s="15" t="n">
        <f aca="false">H574*(1+IF(I$3&lt;=$O$2,$D574,$D574-($D574-$I$562)*MIN(I$3-$O$2,$Q$2)/$Q$2))</f>
        <v>1852.25940373642</v>
      </c>
      <c r="J574" s="15" t="n">
        <f aca="false">I574*(1+IF(J$3&lt;=$O$2,$D574,$D574-($D574-$I$562)*MIN(J$3-$O$2,$Q$2)/$Q$2))</f>
        <v>1865.58698897737</v>
      </c>
      <c r="K574" s="15" t="n">
        <f aca="false">J574*(1+IF(K$3&lt;=$O$2,$D574,$D574-($D574-$I$562)*MIN(K$3-$O$2,$Q$2)/$Q$2))</f>
        <v>1891.97848616714</v>
      </c>
      <c r="L574" s="15" t="n">
        <f aca="false">K574*(1+IF(L$3&lt;=$O$2,$D574,$D574-($D574-$I$562)*MIN(L$3-$O$2,$Q$2)/$Q$2))</f>
        <v>1931.89479790069</v>
      </c>
      <c r="M574" s="15" t="n">
        <f aca="false">L574*(1+IF(M$3&lt;=$O$2,$D574,$D574-($D574-$I$562)*MIN(M$3-$O$2,$Q$2)/$Q$2))</f>
        <v>1986.08218304259</v>
      </c>
      <c r="N574" s="15" t="n">
        <f aca="false">M574*(1+IF(N$3&lt;=$O$2,$D574,$D574-($D574-$I$562)*MIN(N$3-$O$2,$Q$2)/$Q$2))</f>
        <v>2055.59505944908</v>
      </c>
      <c r="O574" s="15" t="n">
        <f aca="false">SUMPRODUCT(E574:N574,1/(1+$F$562)^$E$3:$N$3)*$E$2</f>
        <v>4806.07304472083</v>
      </c>
      <c r="P574" s="15" t="n">
        <f aca="false">N574*$E$2*(1+$I$562)/($F$562-$I$562)/(1+$F$562)^$N$3</f>
        <v>11778.1389388124</v>
      </c>
      <c r="Q574" s="15" t="n">
        <f aca="false">O574+P574</f>
        <v>16584.2119835332</v>
      </c>
      <c r="R574" s="15" t="n">
        <f aca="false">Q574-$G$2+$I$2</f>
        <v>15031.5119835332</v>
      </c>
      <c r="S574" s="40" t="n">
        <f aca="false">R574/$K$2</f>
        <v>54.5826354752649</v>
      </c>
      <c r="T574" s="41" t="n">
        <f aca="false">S574-$M$2</f>
        <v>0.0781146139410041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-0.00048828125</v>
      </c>
      <c r="C575" s="25" t="n">
        <f aca="false">IF(T574&gt;0,D574,C574)</f>
        <v>0.000244140625</v>
      </c>
      <c r="D575" s="39" t="n">
        <f aca="false">(B575+C575)/2</f>
        <v>-0.0001220703125</v>
      </c>
      <c r="E575" s="15" t="n">
        <f aca="false">$C$2*(1+IF(E$3&lt;=$O$2,$D575,$D575-($D575-$I$562)*MIN(E$3-$O$2,$Q$2)/$Q$2))</f>
        <v>1849.77416992188</v>
      </c>
      <c r="F575" s="15" t="n">
        <f aca="false">E575*(1+IF(F$3&lt;=$O$2,$D575,$D575-($D575-$I$562)*MIN(F$3-$O$2,$Q$2)/$Q$2))</f>
        <v>1849.5483674109</v>
      </c>
      <c r="G575" s="15" t="n">
        <f aca="false">F575*(1+IF(G$3&lt;=$O$2,$D575,$D575-($D575-$I$562)*MIN(G$3-$O$2,$Q$2)/$Q$2))</f>
        <v>1849.3225924637</v>
      </c>
      <c r="H575" s="15" t="n">
        <f aca="false">G575*(1+IF(H$3&lt;=$O$2,$D575,$D575-($D575-$I$562)*MIN(H$3-$O$2,$Q$2)/$Q$2))</f>
        <v>1849.09684507693</v>
      </c>
      <c r="I575" s="15" t="n">
        <f aca="false">H575*(1+IF(I$3&lt;=$O$2,$D575,$D575-($D575-$I$562)*MIN(I$3-$O$2,$Q$2)/$Q$2))</f>
        <v>1848.87112524721</v>
      </c>
      <c r="J575" s="15" t="n">
        <f aca="false">I575*(1+IF(J$3&lt;=$O$2,$D575,$D575-($D575-$I$562)*MIN(J$3-$O$2,$Q$2)/$Q$2))</f>
        <v>1861.63266930311</v>
      </c>
      <c r="K575" s="15" t="n">
        <f aca="false">J575*(1+IF(K$3&lt;=$O$2,$D575,$D575-($D575-$I$562)*MIN(K$3-$O$2,$Q$2)/$Q$2))</f>
        <v>1887.55917662434</v>
      </c>
      <c r="L575" s="15" t="n">
        <f aca="false">K575*(1+IF(L$3&lt;=$O$2,$D575,$D575-($D575-$I$562)*MIN(L$3-$O$2,$Q$2)/$Q$2))</f>
        <v>1927.10575335803</v>
      </c>
      <c r="M575" s="15" t="n">
        <f aca="false">L575*(1+IF(M$3&lt;=$O$2,$D575,$D575-($D575-$I$562)*MIN(M$3-$O$2,$Q$2)/$Q$2))</f>
        <v>1981.01766597174</v>
      </c>
      <c r="N575" s="15" t="n">
        <f aca="false">M575*(1+IF(N$3&lt;=$O$2,$D575,$D575-($D575-$I$562)*MIN(N$3-$O$2,$Q$2)/$Q$2))</f>
        <v>2050.35328428075</v>
      </c>
      <c r="O575" s="15" t="n">
        <f aca="false">SUMPRODUCT(E575:N575,1/(1+$F$562)^$E$3:$N$3)*$E$2</f>
        <v>4798.24744650882</v>
      </c>
      <c r="P575" s="15" t="n">
        <f aca="false">N575*$E$2*(1+$I$562)/($F$562-$I$562)/(1+$F$562)^$N$3</f>
        <v>11748.1046400166</v>
      </c>
      <c r="Q575" s="15" t="n">
        <f aca="false">O575+P575</f>
        <v>16546.3520865255</v>
      </c>
      <c r="R575" s="15" t="n">
        <f aca="false">Q575-$G$2+$I$2</f>
        <v>14993.6520865255</v>
      </c>
      <c r="S575" s="40" t="n">
        <f aca="false">R575/$K$2</f>
        <v>54.4451580904371</v>
      </c>
      <c r="T575" s="41" t="n">
        <f aca="false">S575-$M$2</f>
        <v>-0.0593627708868851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-0.0001220703125</v>
      </c>
      <c r="C576" s="25" t="n">
        <f aca="false">IF(T575&gt;0,D575,C575)</f>
        <v>0.000244140625</v>
      </c>
      <c r="D576" s="39" t="n">
        <f aca="false">(B576+C576)/2</f>
        <v>6.103515625E-005</v>
      </c>
      <c r="E576" s="15" t="n">
        <f aca="false">$C$2*(1+IF(E$3&lt;=$O$2,$D576,$D576-($D576-$I$562)*MIN(E$3-$O$2,$Q$2)/$Q$2))</f>
        <v>1850.11291503906</v>
      </c>
      <c r="F576" s="15" t="n">
        <f aca="false">E576*(1+IF(F$3&lt;=$O$2,$D576,$D576-($D576-$I$562)*MIN(F$3-$O$2,$Q$2)/$Q$2))</f>
        <v>1850.22583696991</v>
      </c>
      <c r="G576" s="15" t="n">
        <f aca="false">F576*(1+IF(G$3&lt;=$O$2,$D576,$D576-($D576-$I$562)*MIN(G$3-$O$2,$Q$2)/$Q$2))</f>
        <v>1850.33876579297</v>
      </c>
      <c r="H576" s="15" t="n">
        <f aca="false">G576*(1+IF(H$3&lt;=$O$2,$D576,$D576-($D576-$I$562)*MIN(H$3-$O$2,$Q$2)/$Q$2))</f>
        <v>1850.45170150865</v>
      </c>
      <c r="I576" s="15" t="n">
        <f aca="false">H576*(1+IF(I$3&lt;=$O$2,$D576,$D576-($D576-$I$562)*MIN(I$3-$O$2,$Q$2)/$Q$2))</f>
        <v>1850.56464411739</v>
      </c>
      <c r="J576" s="15" t="n">
        <f aca="false">I576*(1+IF(J$3&lt;=$O$2,$D576,$D576-($D576-$I$562)*MIN(J$3-$O$2,$Q$2)/$Q$2))</f>
        <v>1863.60895622797</v>
      </c>
      <c r="K576" s="15" t="n">
        <f aca="false">J576*(1+IF(K$3&lt;=$O$2,$D576,$D576-($D576-$I$562)*MIN(K$3-$O$2,$Q$2)/$Q$2))</f>
        <v>1889.76772901347</v>
      </c>
      <c r="L576" s="15" t="n">
        <f aca="false">K576*(1+IF(L$3&lt;=$O$2,$D576,$D576-($D576-$I$562)*MIN(L$3-$O$2,$Q$2)/$Q$2))</f>
        <v>1929.4989882302</v>
      </c>
      <c r="M576" s="15" t="n">
        <f aca="false">L576*(1+IF(M$3&lt;=$O$2,$D576,$D576-($D576-$I$562)*MIN(M$3-$O$2,$Q$2)/$Q$2))</f>
        <v>1983.54851335509</v>
      </c>
      <c r="N576" s="15" t="n">
        <f aca="false">M576*(1+IF(N$3&lt;=$O$2,$D576,$D576-($D576-$I$562)*MIN(N$3-$O$2,$Q$2)/$Q$2))</f>
        <v>2052.97271132251</v>
      </c>
      <c r="O576" s="15" t="n">
        <f aca="false">SUMPRODUCT(E576:N576,1/(1+$F$562)^$E$3:$N$3)*$E$2</f>
        <v>4802.15862423587</v>
      </c>
      <c r="P576" s="15" t="n">
        <f aca="false">N576*$E$2*(1+$I$562)/($F$562-$I$562)/(1+$F$562)^$N$3</f>
        <v>11763.1134208055</v>
      </c>
      <c r="Q576" s="15" t="n">
        <f aca="false">O576+P576</f>
        <v>16565.2720450414</v>
      </c>
      <c r="R576" s="15" t="n">
        <f aca="false">Q576-$G$2+$I$2</f>
        <v>15012.5720450414</v>
      </c>
      <c r="S576" s="40" t="n">
        <f aca="false">R576/$K$2</f>
        <v>54.5138605070677</v>
      </c>
      <c r="T576" s="41" t="n">
        <f aca="false">S576-$M$2</f>
        <v>0.00933964574371515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-0.0001220703125</v>
      </c>
      <c r="C577" s="25" t="n">
        <f aca="false">IF(T576&gt;0,D576,C576)</f>
        <v>6.103515625E-005</v>
      </c>
      <c r="D577" s="39" t="n">
        <f aca="false">(B577+C577)/2</f>
        <v>-3.0517578125E-005</v>
      </c>
      <c r="E577" s="15" t="n">
        <f aca="false">$C$2*(1+IF(E$3&lt;=$O$2,$D577,$D577-($D577-$I$562)*MIN(E$3-$O$2,$Q$2)/$Q$2))</f>
        <v>1849.94354248047</v>
      </c>
      <c r="F577" s="15" t="n">
        <f aca="false">E577*(1+IF(F$3&lt;=$O$2,$D577,$D577-($D577-$I$562)*MIN(F$3-$O$2,$Q$2)/$Q$2))</f>
        <v>1849.88708668388</v>
      </c>
      <c r="G577" s="15" t="n">
        <f aca="false">F577*(1+IF(G$3&lt;=$O$2,$D577,$D577-($D577-$I$562)*MIN(G$3-$O$2,$Q$2)/$Q$2))</f>
        <v>1849.83063261019</v>
      </c>
      <c r="H577" s="15" t="n">
        <f aca="false">G577*(1+IF(H$3&lt;=$O$2,$D577,$D577-($D577-$I$562)*MIN(H$3-$O$2,$Q$2)/$Q$2))</f>
        <v>1849.77418025935</v>
      </c>
      <c r="I577" s="15" t="n">
        <f aca="false">H577*(1+IF(I$3&lt;=$O$2,$D577,$D577-($D577-$I$562)*MIN(I$3-$O$2,$Q$2)/$Q$2))</f>
        <v>1849.71772963129</v>
      </c>
      <c r="J577" s="15" t="n">
        <f aca="false">I577*(1+IF(J$3&lt;=$O$2,$D577,$D577-($D577-$I$562)*MIN(J$3-$O$2,$Q$2)/$Q$2))</f>
        <v>1862.62059461445</v>
      </c>
      <c r="K577" s="15" t="n">
        <f aca="false">J577*(1+IF(K$3&lt;=$O$2,$D577,$D577-($D577-$I$562)*MIN(K$3-$O$2,$Q$2)/$Q$2))</f>
        <v>1888.66317733734</v>
      </c>
      <c r="L577" s="15" t="n">
        <f aca="false">K577*(1+IF(L$3&lt;=$O$2,$D577,$D577-($D577-$I$562)*MIN(L$3-$O$2,$Q$2)/$Q$2))</f>
        <v>1928.302049091</v>
      </c>
      <c r="M577" s="15" t="n">
        <f aca="false">L577*(1+IF(M$3&lt;=$O$2,$D577,$D577-($D577-$I$562)*MIN(M$3-$O$2,$Q$2)/$Q$2))</f>
        <v>1982.28273704386</v>
      </c>
      <c r="N577" s="15" t="n">
        <f aca="false">M577*(1+IF(N$3&lt;=$O$2,$D577,$D577-($D577-$I$562)*MIN(N$3-$O$2,$Q$2)/$Q$2))</f>
        <v>2051.6626328404</v>
      </c>
      <c r="O577" s="15" t="n">
        <f aca="false">SUMPRODUCT(E577:N577,1/(1+$F$562)^$E$3:$N$3)*$E$2</f>
        <v>4800.20263018579</v>
      </c>
      <c r="P577" s="15" t="n">
        <f aca="false">N577*$E$2*(1+$I$562)/($F$562-$I$562)/(1+$F$562)^$N$3</f>
        <v>11755.6069392579</v>
      </c>
      <c r="Q577" s="15" t="n">
        <f aca="false">O577+P577</f>
        <v>16555.8095694437</v>
      </c>
      <c r="R577" s="15" t="n">
        <f aca="false">Q577-$G$2+$I$2</f>
        <v>15003.1095694437</v>
      </c>
      <c r="S577" s="40" t="n">
        <f aca="false">R577/$K$2</f>
        <v>54.4795002340087</v>
      </c>
      <c r="T577" s="41" t="n">
        <f aca="false">S577-$M$2</f>
        <v>-0.0250206273152358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-3.0517578125E-005</v>
      </c>
      <c r="C578" s="25" t="n">
        <f aca="false">IF(T577&gt;0,D577,C577)</f>
        <v>6.103515625E-005</v>
      </c>
      <c r="D578" s="39" t="n">
        <f aca="false">(B578+C578)/2</f>
        <v>1.52587890625E-005</v>
      </c>
      <c r="E578" s="15" t="n">
        <f aca="false">$C$2*(1+IF(E$3&lt;=$O$2,$D578,$D578-($D578-$I$562)*MIN(E$3-$O$2,$Q$2)/$Q$2))</f>
        <v>1850.02822875977</v>
      </c>
      <c r="F578" s="15" t="n">
        <f aca="false">E578*(1+IF(F$3&lt;=$O$2,$D578,$D578-($D578-$I$562)*MIN(F$3-$O$2,$Q$2)/$Q$2))</f>
        <v>1850.05645795027</v>
      </c>
      <c r="G578" s="15" t="n">
        <f aca="false">F578*(1+IF(G$3&lt;=$O$2,$D578,$D578-($D578-$I$562)*MIN(G$3-$O$2,$Q$2)/$Q$2))</f>
        <v>1850.08468757151</v>
      </c>
      <c r="H578" s="15" t="n">
        <f aca="false">G578*(1+IF(H$3&lt;=$O$2,$D578,$D578-($D578-$I$562)*MIN(H$3-$O$2,$Q$2)/$Q$2))</f>
        <v>1850.11291762351</v>
      </c>
      <c r="I578" s="15" t="n">
        <f aca="false">H578*(1+IF(I$3&lt;=$O$2,$D578,$D578-($D578-$I$562)*MIN(I$3-$O$2,$Q$2)/$Q$2))</f>
        <v>1850.14114810626</v>
      </c>
      <c r="J578" s="15" t="n">
        <f aca="false">I578*(1+IF(J$3&lt;=$O$2,$D578,$D578-($D578-$I$562)*MIN(J$3-$O$2,$Q$2)/$Q$2))</f>
        <v>1863.11472087382</v>
      </c>
      <c r="K578" s="15" t="n">
        <f aca="false">J578*(1+IF(K$3&lt;=$O$2,$D578,$D578-($D578-$I$562)*MIN(K$3-$O$2,$Q$2)/$Q$2))</f>
        <v>1889.21538429077</v>
      </c>
      <c r="L578" s="15" t="n">
        <f aca="false">K578*(1+IF(L$3&lt;=$O$2,$D578,$D578-($D578-$I$562)*MIN(L$3-$O$2,$Q$2)/$Q$2))</f>
        <v>1928.90043821649</v>
      </c>
      <c r="M578" s="15" t="n">
        <f aca="false">L578*(1+IF(M$3&lt;=$O$2,$D578,$D578-($D578-$I$562)*MIN(M$3-$O$2,$Q$2)/$Q$2))</f>
        <v>1982.91553702353</v>
      </c>
      <c r="N578" s="15" t="n">
        <f aca="false">M578*(1+IF(N$3&lt;=$O$2,$D578,$D578-($D578-$I$562)*MIN(N$3-$O$2,$Q$2)/$Q$2))</f>
        <v>2052.31758081936</v>
      </c>
      <c r="O578" s="15" t="n">
        <f aca="false">SUMPRODUCT(E578:N578,1/(1+$F$562)^$E$3:$N$3)*$E$2</f>
        <v>4801.18052589442</v>
      </c>
      <c r="P578" s="15" t="n">
        <f aca="false">N578*$E$2*(1+$I$562)/($F$562-$I$562)/(1+$F$562)^$N$3</f>
        <v>11759.3596571185</v>
      </c>
      <c r="Q578" s="15" t="n">
        <f aca="false">O578+P578</f>
        <v>16560.540183013</v>
      </c>
      <c r="R578" s="15" t="n">
        <f aca="false">Q578-$G$2+$I$2</f>
        <v>15007.840183013</v>
      </c>
      <c r="S578" s="40" t="n">
        <f aca="false">R578/$K$2</f>
        <v>54.4966781038271</v>
      </c>
      <c r="T578" s="41" t="n">
        <f aca="false">S578-$M$2</f>
        <v>-0.00784275749681029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1.52587890625E-005</v>
      </c>
      <c r="C579" s="25" t="n">
        <f aca="false">IF(T578&gt;0,D578,C578)</f>
        <v>6.103515625E-005</v>
      </c>
      <c r="D579" s="39" t="n">
        <f aca="false">(B579+C579)/2</f>
        <v>3.814697265625E-005</v>
      </c>
      <c r="E579" s="15" t="n">
        <f aca="false">$C$2*(1+IF(E$3&lt;=$O$2,$D579,$D579-($D579-$I$562)*MIN(E$3-$O$2,$Q$2)/$Q$2))</f>
        <v>1850.07057189941</v>
      </c>
      <c r="F579" s="15" t="n">
        <f aca="false">E579*(1+IF(F$3&lt;=$O$2,$D579,$D579-($D579-$I$562)*MIN(F$3-$O$2,$Q$2)/$Q$2))</f>
        <v>1850.14114649093</v>
      </c>
      <c r="G579" s="15" t="n">
        <f aca="false">F579*(1+IF(G$3&lt;=$O$2,$D579,$D579-($D579-$I$562)*MIN(G$3-$O$2,$Q$2)/$Q$2))</f>
        <v>1850.21172377466</v>
      </c>
      <c r="H579" s="15" t="n">
        <f aca="false">G579*(1+IF(H$3&lt;=$O$2,$D579,$D579-($D579-$I$562)*MIN(H$3-$O$2,$Q$2)/$Q$2))</f>
        <v>1850.28230375069</v>
      </c>
      <c r="I579" s="15" t="n">
        <f aca="false">H579*(1+IF(I$3&lt;=$O$2,$D579,$D579-($D579-$I$562)*MIN(I$3-$O$2,$Q$2)/$Q$2))</f>
        <v>1850.35288641914</v>
      </c>
      <c r="J579" s="15" t="n">
        <f aca="false">I579*(1+IF(J$3&lt;=$O$2,$D579,$D579-($D579-$I$562)*MIN(J$3-$O$2,$Q$2)/$Q$2))</f>
        <v>1863.36182491284</v>
      </c>
      <c r="K579" s="15" t="n">
        <f aca="false">J579*(1+IF(K$3&lt;=$O$2,$D579,$D579-($D579-$I$562)*MIN(K$3-$O$2,$Q$2)/$Q$2))</f>
        <v>1889.49153942917</v>
      </c>
      <c r="L579" s="15" t="n">
        <f aca="false">K579*(1+IF(L$3&lt;=$O$2,$D579,$D579-($D579-$I$562)*MIN(L$3-$O$2,$Q$2)/$Q$2))</f>
        <v>1929.19969311002</v>
      </c>
      <c r="M579" s="15" t="n">
        <f aca="false">L579*(1+IF(M$3&lt;=$O$2,$D579,$D579-($D579-$I$562)*MIN(M$3-$O$2,$Q$2)/$Q$2))</f>
        <v>1983.23200314269</v>
      </c>
      <c r="N579" s="15" t="n">
        <f aca="false">M579*(1+IF(N$3&lt;=$O$2,$D579,$D579-($D579-$I$562)*MIN(N$3-$O$2,$Q$2)/$Q$2))</f>
        <v>2052.64512325269</v>
      </c>
      <c r="O579" s="15" t="n">
        <f aca="false">SUMPRODUCT(E579:N579,1/(1+$F$562)^$E$3:$N$3)*$E$2</f>
        <v>4801.66954973357</v>
      </c>
      <c r="P579" s="15" t="n">
        <f aca="false">N579*$E$2*(1+$I$562)/($F$562-$I$562)/(1+$F$562)^$N$3</f>
        <v>11761.2364082181</v>
      </c>
      <c r="Q579" s="15" t="n">
        <f aca="false">O579+P579</f>
        <v>16562.9059579517</v>
      </c>
      <c r="R579" s="15" t="n">
        <f aca="false">Q579-$G$2+$I$2</f>
        <v>15010.2059579517</v>
      </c>
      <c r="S579" s="40" t="n">
        <f aca="false">R579/$K$2</f>
        <v>54.505268738704</v>
      </c>
      <c r="T579" s="41" t="n">
        <f aca="false">S579-$M$2</f>
        <v>0.000747877380035789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1.52587890625E-005</v>
      </c>
      <c r="C580" s="25" t="n">
        <f aca="false">IF(T579&gt;0,D579,C579)</f>
        <v>3.814697265625E-005</v>
      </c>
      <c r="D580" s="39" t="n">
        <f aca="false">(B580+C580)/2</f>
        <v>2.6702880859375E-005</v>
      </c>
      <c r="E580" s="15" t="n">
        <f aca="false">$C$2*(1+IF(E$3&lt;=$O$2,$D580,$D580-($D580-$I$562)*MIN(E$3-$O$2,$Q$2)/$Q$2))</f>
        <v>1850.04940032959</v>
      </c>
      <c r="F580" s="15" t="n">
        <f aca="false">E580*(1+IF(F$3&lt;=$O$2,$D580,$D580-($D580-$I$562)*MIN(F$3-$O$2,$Q$2)/$Q$2))</f>
        <v>1850.09880197831</v>
      </c>
      <c r="G580" s="15" t="n">
        <f aca="false">F580*(1+IF(G$3&lt;=$O$2,$D580,$D580-($D580-$I$562)*MIN(G$3-$O$2,$Q$2)/$Q$2))</f>
        <v>1850.1482049462</v>
      </c>
      <c r="H580" s="15" t="n">
        <f aca="false">G580*(1+IF(H$3&lt;=$O$2,$D580,$D580-($D580-$I$562)*MIN(H$3-$O$2,$Q$2)/$Q$2))</f>
        <v>1850.19760923329</v>
      </c>
      <c r="I580" s="15" t="n">
        <f aca="false">H580*(1+IF(I$3&lt;=$O$2,$D580,$D580-($D580-$I$562)*MIN(I$3-$O$2,$Q$2)/$Q$2))</f>
        <v>1850.24701483961</v>
      </c>
      <c r="J580" s="15" t="n">
        <f aca="false">I580*(1+IF(J$3&lt;=$O$2,$D580,$D580-($D580-$I$562)*MIN(J$3-$O$2,$Q$2)/$Q$2))</f>
        <v>1863.23826948397</v>
      </c>
      <c r="K580" s="15" t="n">
        <f aca="false">J580*(1+IF(K$3&lt;=$O$2,$D580,$D580-($D580-$I$562)*MIN(K$3-$O$2,$Q$2)/$Q$2))</f>
        <v>1889.35345755446</v>
      </c>
      <c r="L580" s="15" t="n">
        <f aca="false">K580*(1+IF(L$3&lt;=$O$2,$D580,$D580-($D580-$I$562)*MIN(L$3-$O$2,$Q$2)/$Q$2))</f>
        <v>1929.05006063521</v>
      </c>
      <c r="M580" s="15" t="n">
        <f aca="false">L580*(1+IF(M$3&lt;=$O$2,$D580,$D580-($D580-$I$562)*MIN(M$3-$O$2,$Q$2)/$Q$2))</f>
        <v>1983.07376457179</v>
      </c>
      <c r="N580" s="15" t="n">
        <f aca="false">M580*(1+IF(N$3&lt;=$O$2,$D580,$D580-($D580-$I$562)*MIN(N$3-$O$2,$Q$2)/$Q$2))</f>
        <v>2052.4813463318</v>
      </c>
      <c r="O580" s="15" t="n">
        <f aca="false">SUMPRODUCT(E580:N580,1/(1+$F$562)^$E$3:$N$3)*$E$2</f>
        <v>4801.42503148141</v>
      </c>
      <c r="P580" s="15" t="n">
        <f aca="false">N580*$E$2*(1+$I$562)/($F$562-$I$562)/(1+$F$562)^$N$3</f>
        <v>11760.2979999843</v>
      </c>
      <c r="Q580" s="15" t="n">
        <f aca="false">O580+P580</f>
        <v>16561.7230314657</v>
      </c>
      <c r="R580" s="15" t="n">
        <f aca="false">Q580-$G$2+$I$2</f>
        <v>15009.0230314657</v>
      </c>
      <c r="S580" s="40" t="n">
        <f aca="false">R580/$K$2</f>
        <v>54.5009732795879</v>
      </c>
      <c r="T580" s="41" t="n">
        <f aca="false">S580-$M$2</f>
        <v>-0.00354758173603642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2.6702880859375E-005</v>
      </c>
      <c r="C581" s="25" t="n">
        <f aca="false">IF(T580&gt;0,D580,C580)</f>
        <v>3.814697265625E-005</v>
      </c>
      <c r="D581" s="39" t="n">
        <f aca="false">(B581+C581)/2</f>
        <v>3.24249267578125E-005</v>
      </c>
      <c r="E581" s="15" t="n">
        <f aca="false">$C$2*(1+IF(E$3&lt;=$O$2,$D581,$D581-($D581-$I$562)*MIN(E$3-$O$2,$Q$2)/$Q$2))</f>
        <v>1850.0599861145</v>
      </c>
      <c r="F581" s="15" t="n">
        <f aca="false">E581*(1+IF(F$3&lt;=$O$2,$D581,$D581-($D581-$I$562)*MIN(F$3-$O$2,$Q$2)/$Q$2))</f>
        <v>1850.11997417405</v>
      </c>
      <c r="G581" s="15" t="n">
        <f aca="false">F581*(1+IF(G$3&lt;=$O$2,$D581,$D581-($D581-$I$562)*MIN(G$3-$O$2,$Q$2)/$Q$2))</f>
        <v>1850.17996417871</v>
      </c>
      <c r="H581" s="15" t="n">
        <f aca="false">G581*(1+IF(H$3&lt;=$O$2,$D581,$D581-($D581-$I$562)*MIN(H$3-$O$2,$Q$2)/$Q$2))</f>
        <v>1850.23995612853</v>
      </c>
      <c r="I581" s="15" t="n">
        <f aca="false">H581*(1+IF(I$3&lt;=$O$2,$D581,$D581-($D581-$I$562)*MIN(I$3-$O$2,$Q$2)/$Q$2))</f>
        <v>1850.29995002359</v>
      </c>
      <c r="J581" s="15" t="n">
        <f aca="false">I581*(1+IF(J$3&lt;=$O$2,$D581,$D581-($D581-$I$562)*MIN(J$3-$O$2,$Q$2)/$Q$2))</f>
        <v>1863.30004634605</v>
      </c>
      <c r="K581" s="15" t="n">
        <f aca="false">J581*(1+IF(K$3&lt;=$O$2,$D581,$D581-($D581-$I$562)*MIN(K$3-$O$2,$Q$2)/$Q$2))</f>
        <v>1889.42249741541</v>
      </c>
      <c r="L581" s="15" t="n">
        <f aca="false">K581*(1+IF(L$3&lt;=$O$2,$D581,$D581-($D581-$I$562)*MIN(L$3-$O$2,$Q$2)/$Q$2))</f>
        <v>1929.12487561557</v>
      </c>
      <c r="M581" s="15" t="n">
        <f aca="false">L581*(1+IF(M$3&lt;=$O$2,$D581,$D581-($D581-$I$562)*MIN(M$3-$O$2,$Q$2)/$Q$2))</f>
        <v>1983.15288247937</v>
      </c>
      <c r="N581" s="15" t="n">
        <f aca="false">M581*(1+IF(N$3&lt;=$O$2,$D581,$D581-($D581-$I$562)*MIN(N$3-$O$2,$Q$2)/$Q$2))</f>
        <v>2052.56323336614</v>
      </c>
      <c r="O581" s="15" t="n">
        <f aca="false">SUMPRODUCT(E581:N581,1/(1+$F$562)^$E$3:$N$3)*$E$2</f>
        <v>4801.5472890243</v>
      </c>
      <c r="P581" s="15" t="n">
        <f aca="false">N581*$E$2*(1+$I$562)/($F$562-$I$562)/(1+$F$562)^$N$3</f>
        <v>11760.76719593</v>
      </c>
      <c r="Q581" s="15" t="n">
        <f aca="false">O581+P581</f>
        <v>16562.3144849543</v>
      </c>
      <c r="R581" s="15" t="n">
        <f aca="false">Q581-$G$2+$I$2</f>
        <v>15009.6144849543</v>
      </c>
      <c r="S581" s="40" t="n">
        <f aca="false">R581/$K$2</f>
        <v>54.5031209737255</v>
      </c>
      <c r="T581" s="41" t="n">
        <f aca="false">S581-$M$2</f>
        <v>-0.00139988759845266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3.24249267578125E-005</v>
      </c>
      <c r="C582" s="25" t="n">
        <f aca="false">IF(T581&gt;0,D581,C581)</f>
        <v>3.814697265625E-005</v>
      </c>
      <c r="D582" s="39" t="n">
        <f aca="false">(B582+C582)/2</f>
        <v>3.52859497070313E-005</v>
      </c>
      <c r="E582" s="15" t="n">
        <f aca="false">$C$2*(1+IF(E$3&lt;=$O$2,$D582,$D582-($D582-$I$562)*MIN(E$3-$O$2,$Q$2)/$Q$2))</f>
        <v>1850.06527900696</v>
      </c>
      <c r="F582" s="15" t="n">
        <f aca="false">E582*(1+IF(F$3&lt;=$O$2,$D582,$D582-($D582-$I$562)*MIN(F$3-$O$2,$Q$2)/$Q$2))</f>
        <v>1850.13056031735</v>
      </c>
      <c r="G582" s="15" t="n">
        <f aca="false">F582*(1+IF(G$3&lt;=$O$2,$D582,$D582-($D582-$I$562)*MIN(G$3-$O$2,$Q$2)/$Q$2))</f>
        <v>1850.19584393125</v>
      </c>
      <c r="H582" s="15" t="n">
        <f aca="false">G582*(1+IF(H$3&lt;=$O$2,$D582,$D582-($D582-$I$562)*MIN(H$3-$O$2,$Q$2)/$Q$2))</f>
        <v>1850.26112984875</v>
      </c>
      <c r="I582" s="15" t="n">
        <f aca="false">H582*(1+IF(I$3&lt;=$O$2,$D582,$D582-($D582-$I$562)*MIN(I$3-$O$2,$Q$2)/$Q$2))</f>
        <v>1850.32641806992</v>
      </c>
      <c r="J582" s="15" t="n">
        <f aca="false">I582*(1+IF(J$3&lt;=$O$2,$D582,$D582-($D582-$I$562)*MIN(J$3-$O$2,$Q$2)/$Q$2))</f>
        <v>1863.33093541635</v>
      </c>
      <c r="K582" s="15" t="n">
        <f aca="false">J582*(1+IF(K$3&lt;=$O$2,$D582,$D582-($D582-$I$562)*MIN(K$3-$O$2,$Q$2)/$Q$2))</f>
        <v>1889.45701815319</v>
      </c>
      <c r="L582" s="15" t="n">
        <f aca="false">K582*(1+IF(L$3&lt;=$O$2,$D582,$D582-($D582-$I$562)*MIN(L$3-$O$2,$Q$2)/$Q$2))</f>
        <v>1929.16228404853</v>
      </c>
      <c r="M582" s="15" t="n">
        <f aca="false">L582*(1+IF(M$3&lt;=$O$2,$D582,$D582-($D582-$I$562)*MIN(M$3-$O$2,$Q$2)/$Q$2))</f>
        <v>1983.19244246656</v>
      </c>
      <c r="N582" s="15" t="n">
        <f aca="false">M582*(1+IF(N$3&lt;=$O$2,$D582,$D582-($D582-$I$562)*MIN(N$3-$O$2,$Q$2)/$Q$2))</f>
        <v>2052.60417795289</v>
      </c>
      <c r="O582" s="15" t="n">
        <f aca="false">SUMPRODUCT(E582:N582,1/(1+$F$562)^$E$3:$N$3)*$E$2</f>
        <v>4801.60841898314</v>
      </c>
      <c r="P582" s="15" t="n">
        <f aca="false">N582*$E$2*(1+$I$562)/($F$562-$I$562)/(1+$F$562)^$N$3</f>
        <v>11761.0018000312</v>
      </c>
      <c r="Q582" s="15" t="n">
        <f aca="false">O582+P582</f>
        <v>16562.6102190143</v>
      </c>
      <c r="R582" s="15" t="n">
        <f aca="false">Q582-$G$2+$I$2</f>
        <v>15009.9102190143</v>
      </c>
      <c r="S582" s="40" t="n">
        <f aca="false">R582/$K$2</f>
        <v>54.5041948473595</v>
      </c>
      <c r="T582" s="41" t="n">
        <f aca="false">S582-$M$2</f>
        <v>-0.000326013964439653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3.52859497070313E-005</v>
      </c>
      <c r="C583" s="25" t="n">
        <f aca="false">IF(T582&gt;0,D582,C582)</f>
        <v>3.814697265625E-005</v>
      </c>
      <c r="D583" s="39" t="n">
        <f aca="false">(B583+C583)/2</f>
        <v>3.67164611816406E-005</v>
      </c>
      <c r="E583" s="15" t="n">
        <f aca="false">$C$2*(1+IF(E$3&lt;=$O$2,$D583,$D583-($D583-$I$562)*MIN(E$3-$O$2,$Q$2)/$Q$2))</f>
        <v>1850.06792545319</v>
      </c>
      <c r="F583" s="15" t="n">
        <f aca="false">E583*(1+IF(F$3&lt;=$O$2,$D583,$D583-($D583-$I$562)*MIN(F$3-$O$2,$Q$2)/$Q$2))</f>
        <v>1850.13585340035</v>
      </c>
      <c r="G583" s="15" t="n">
        <f aca="false">F583*(1+IF(G$3&lt;=$O$2,$D583,$D583-($D583-$I$562)*MIN(G$3-$O$2,$Q$2)/$Q$2))</f>
        <v>1850.2037838416</v>
      </c>
      <c r="H583" s="15" t="n">
        <f aca="false">G583*(1+IF(H$3&lt;=$O$2,$D583,$D583-($D583-$I$562)*MIN(H$3-$O$2,$Q$2)/$Q$2))</f>
        <v>1850.271716777</v>
      </c>
      <c r="I583" s="15" t="n">
        <f aca="false">H583*(1+IF(I$3&lt;=$O$2,$D583,$D583-($D583-$I$562)*MIN(I$3-$O$2,$Q$2)/$Q$2))</f>
        <v>1850.33965220667</v>
      </c>
      <c r="J583" s="15" t="n">
        <f aca="false">I583*(1+IF(J$3&lt;=$O$2,$D583,$D583-($D583-$I$562)*MIN(J$3-$O$2,$Q$2)/$Q$2))</f>
        <v>1863.34638011133</v>
      </c>
      <c r="K583" s="15" t="n">
        <f aca="false">J583*(1+IF(K$3&lt;=$O$2,$D583,$D583-($D583-$I$562)*MIN(K$3-$O$2,$Q$2)/$Q$2))</f>
        <v>1889.4742787239</v>
      </c>
      <c r="L583" s="15" t="n">
        <f aca="false">K583*(1+IF(L$3&lt;=$O$2,$D583,$D583-($D583-$I$562)*MIN(L$3-$O$2,$Q$2)/$Q$2))</f>
        <v>1929.18098850071</v>
      </c>
      <c r="M583" s="15" t="n">
        <f aca="false">L583*(1+IF(M$3&lt;=$O$2,$D583,$D583-($D583-$I$562)*MIN(M$3-$O$2,$Q$2)/$Q$2))</f>
        <v>1983.2122227185</v>
      </c>
      <c r="N583" s="15" t="n">
        <f aca="false">M583*(1+IF(N$3&lt;=$O$2,$D583,$D583-($D583-$I$562)*MIN(N$3-$O$2,$Q$2)/$Q$2))</f>
        <v>2052.62465051365</v>
      </c>
      <c r="O583" s="15" t="n">
        <f aca="false">SUMPRODUCT(E583:N583,1/(1+$F$562)^$E$3:$N$3)*$E$2</f>
        <v>4801.6389842594</v>
      </c>
      <c r="P583" s="15" t="n">
        <f aca="false">N583*$E$2*(1+$I$562)/($F$562-$I$562)/(1+$F$562)^$N$3</f>
        <v>11761.1191036139</v>
      </c>
      <c r="Q583" s="15" t="n">
        <f aca="false">O583+P583</f>
        <v>16562.7580878733</v>
      </c>
      <c r="R583" s="15" t="n">
        <f aca="false">Q583-$G$2+$I$2</f>
        <v>15010.0580878733</v>
      </c>
      <c r="S583" s="40" t="n">
        <f aca="false">R583/$K$2</f>
        <v>54.5047317908179</v>
      </c>
      <c r="T583" s="41" t="n">
        <f aca="false">S583-$M$2</f>
        <v>0.000210929493967171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3.52859497070313E-005</v>
      </c>
      <c r="C584" s="25" t="n">
        <f aca="false">IF(T583&gt;0,D583,C583)</f>
        <v>3.67164611816406E-005</v>
      </c>
      <c r="D584" s="39" t="n">
        <f aca="false">(B584+C584)/2</f>
        <v>3.60012054443359E-005</v>
      </c>
      <c r="E584" s="15" t="n">
        <f aca="false">$C$2*(1+IF(E$3&lt;=$O$2,$D584,$D584-($D584-$I$562)*MIN(E$3-$O$2,$Q$2)/$Q$2))</f>
        <v>1850.06660223007</v>
      </c>
      <c r="F584" s="15" t="n">
        <f aca="false">E584*(1+IF(F$3&lt;=$O$2,$D584,$D584-($D584-$I$562)*MIN(F$3-$O$2,$Q$2)/$Q$2))</f>
        <v>1850.1332068579</v>
      </c>
      <c r="G584" s="15" t="n">
        <f aca="false">F584*(1+IF(G$3&lt;=$O$2,$D584,$D584-($D584-$I$562)*MIN(G$3-$O$2,$Q$2)/$Q$2))</f>
        <v>1850.19981388358</v>
      </c>
      <c r="H584" s="15" t="n">
        <f aca="false">G584*(1+IF(H$3&lt;=$O$2,$D584,$D584-($D584-$I$562)*MIN(H$3-$O$2,$Q$2)/$Q$2))</f>
        <v>1850.2664233072</v>
      </c>
      <c r="I584" s="15" t="n">
        <f aca="false">H584*(1+IF(I$3&lt;=$O$2,$D584,$D584-($D584-$I$562)*MIN(I$3-$O$2,$Q$2)/$Q$2))</f>
        <v>1850.33303512883</v>
      </c>
      <c r="J584" s="15" t="n">
        <f aca="false">I584*(1+IF(J$3&lt;=$O$2,$D584,$D584-($D584-$I$562)*MIN(J$3-$O$2,$Q$2)/$Q$2))</f>
        <v>1863.33865775052</v>
      </c>
      <c r="K584" s="15" t="n">
        <f aca="false">J584*(1+IF(K$3&lt;=$O$2,$D584,$D584-($D584-$I$562)*MIN(K$3-$O$2,$Q$2)/$Q$2))</f>
        <v>1889.46564842173</v>
      </c>
      <c r="L584" s="15" t="n">
        <f aca="false">K584*(1+IF(L$3&lt;=$O$2,$D584,$D584-($D584-$I$562)*MIN(L$3-$O$2,$Q$2)/$Q$2))</f>
        <v>1929.17163625498</v>
      </c>
      <c r="M584" s="15" t="n">
        <f aca="false">L584*(1+IF(M$3&lt;=$O$2,$D584,$D584-($D584-$I$562)*MIN(M$3-$O$2,$Q$2)/$Q$2))</f>
        <v>1983.202332571</v>
      </c>
      <c r="N584" s="15" t="n">
        <f aca="false">M584*(1+IF(N$3&lt;=$O$2,$D584,$D584-($D584-$I$562)*MIN(N$3-$O$2,$Q$2)/$Q$2))</f>
        <v>2052.61441421099</v>
      </c>
      <c r="O584" s="15" t="n">
        <f aca="false">SUMPRODUCT(E584:N584,1/(1+$F$562)^$E$3:$N$3)*$E$2</f>
        <v>4801.62370159653</v>
      </c>
      <c r="P584" s="15" t="n">
        <f aca="false">N584*$E$2*(1+$I$562)/($F$562-$I$562)/(1+$F$562)^$N$3</f>
        <v>11761.0604516949</v>
      </c>
      <c r="Q584" s="15" t="n">
        <f aca="false">O584+P584</f>
        <v>16562.6841532914</v>
      </c>
      <c r="R584" s="15" t="n">
        <f aca="false">Q584-$G$2+$I$2</f>
        <v>15009.9841532914</v>
      </c>
      <c r="S584" s="40" t="n">
        <f aca="false">R584/$K$2</f>
        <v>54.5044633185353</v>
      </c>
      <c r="T584" s="41" t="n">
        <f aca="false">S584-$M$2</f>
        <v>-5.75427886744251E-005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3.60012054443359E-005</v>
      </c>
      <c r="C585" s="25" t="n">
        <f aca="false">IF(T584&gt;0,D584,C584)</f>
        <v>3.67164611816406E-005</v>
      </c>
      <c r="D585" s="39" t="n">
        <f aca="false">(B585+C585)/2</f>
        <v>3.63588333129883E-005</v>
      </c>
      <c r="E585" s="15" t="n">
        <f aca="false">$C$2*(1+IF(E$3&lt;=$O$2,$D585,$D585-($D585-$I$562)*MIN(E$3-$O$2,$Q$2)/$Q$2))</f>
        <v>1850.06726384163</v>
      </c>
      <c r="F585" s="15" t="n">
        <f aca="false">E585*(1+IF(F$3&lt;=$O$2,$D585,$D585-($D585-$I$562)*MIN(F$3-$O$2,$Q$2)/$Q$2))</f>
        <v>1850.13453012889</v>
      </c>
      <c r="G585" s="15" t="n">
        <f aca="false">F585*(1+IF(G$3&lt;=$O$2,$D585,$D585-($D585-$I$562)*MIN(G$3-$O$2,$Q$2)/$Q$2))</f>
        <v>1850.20179886188</v>
      </c>
      <c r="H585" s="15" t="n">
        <f aca="false">G585*(1+IF(H$3&lt;=$O$2,$D585,$D585-($D585-$I$562)*MIN(H$3-$O$2,$Q$2)/$Q$2))</f>
        <v>1850.26907004068</v>
      </c>
      <c r="I585" s="15" t="n">
        <f aca="false">H585*(1+IF(I$3&lt;=$O$2,$D585,$D585-($D585-$I$562)*MIN(I$3-$O$2,$Q$2)/$Q$2))</f>
        <v>1850.33634366538</v>
      </c>
      <c r="J585" s="15" t="n">
        <f aca="false">I585*(1+IF(J$3&lt;=$O$2,$D585,$D585-($D585-$I$562)*MIN(J$3-$O$2,$Q$2)/$Q$2))</f>
        <v>1863.34251892759</v>
      </c>
      <c r="K585" s="15" t="n">
        <f aca="false">J585*(1+IF(K$3&lt;=$O$2,$D585,$D585-($D585-$I$562)*MIN(K$3-$O$2,$Q$2)/$Q$2))</f>
        <v>1889.46996356861</v>
      </c>
      <c r="L585" s="15" t="n">
        <f aca="false">K585*(1+IF(L$3&lt;=$O$2,$D585,$D585-($D585-$I$562)*MIN(L$3-$O$2,$Q$2)/$Q$2))</f>
        <v>1929.17631237293</v>
      </c>
      <c r="M585" s="15" t="n">
        <f aca="false">L585*(1+IF(M$3&lt;=$O$2,$D585,$D585-($D585-$I$562)*MIN(M$3-$O$2,$Q$2)/$Q$2))</f>
        <v>1983.20727763937</v>
      </c>
      <c r="N585" s="15" t="n">
        <f aca="false">M585*(1+IF(N$3&lt;=$O$2,$D585,$D585-($D585-$I$562)*MIN(N$3-$O$2,$Q$2)/$Q$2))</f>
        <v>2052.61953235675</v>
      </c>
      <c r="O585" s="15" t="n">
        <f aca="false">SUMPRODUCT(E585:N585,1/(1+$F$562)^$E$3:$N$3)*$E$2</f>
        <v>4801.63134292178</v>
      </c>
      <c r="P585" s="15" t="n">
        <f aca="false">N585*$E$2*(1+$I$562)/($F$562-$I$562)/(1+$F$562)^$N$3</f>
        <v>11761.0897776225</v>
      </c>
      <c r="Q585" s="15" t="n">
        <f aca="false">O585+P585</f>
        <v>16562.7211205443</v>
      </c>
      <c r="R585" s="15" t="n">
        <f aca="false">Q585-$G$2+$I$2</f>
        <v>15010.0211205443</v>
      </c>
      <c r="S585" s="40" t="n">
        <f aca="false">R585/$K$2</f>
        <v>54.5045975545382</v>
      </c>
      <c r="T585" s="41" t="n">
        <f aca="false">S585-$M$2</f>
        <v>7.66932142823862E-005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3.60012054443359E-005</v>
      </c>
      <c r="C586" s="25" t="n">
        <f aca="false">IF(T585&gt;0,D585,C585)</f>
        <v>3.63588333129883E-005</v>
      </c>
      <c r="D586" s="39" t="n">
        <f aca="false">(B586+C586)/2</f>
        <v>3.61800193786621E-005</v>
      </c>
      <c r="E586" s="15" t="n">
        <f aca="false">$C$2*(1+IF(E$3&lt;=$O$2,$D586,$D586-($D586-$I$562)*MIN(E$3-$O$2,$Q$2)/$Q$2))</f>
        <v>1850.06693303585</v>
      </c>
      <c r="F586" s="15" t="n">
        <f aca="false">E586*(1+IF(F$3&lt;=$O$2,$D586,$D586-($D586-$I$562)*MIN(F$3-$O$2,$Q$2)/$Q$2))</f>
        <v>1850.13386849334</v>
      </c>
      <c r="G586" s="15" t="n">
        <f aca="false">F586*(1+IF(G$3&lt;=$O$2,$D586,$D586-($D586-$I$562)*MIN(G$3-$O$2,$Q$2)/$Q$2))</f>
        <v>1850.20080637255</v>
      </c>
      <c r="H586" s="15" t="n">
        <f aca="false">G586*(1+IF(H$3&lt;=$O$2,$D586,$D586-($D586-$I$562)*MIN(H$3-$O$2,$Q$2)/$Q$2))</f>
        <v>1850.26774667358</v>
      </c>
      <c r="I586" s="15" t="n">
        <f aca="false">H586*(1+IF(I$3&lt;=$O$2,$D586,$D586-($D586-$I$562)*MIN(I$3-$O$2,$Q$2)/$Q$2))</f>
        <v>1850.33468939651</v>
      </c>
      <c r="J586" s="15" t="n">
        <f aca="false">I586*(1+IF(J$3&lt;=$O$2,$D586,$D586-($D586-$I$562)*MIN(J$3-$O$2,$Q$2)/$Q$2))</f>
        <v>1863.34058833823</v>
      </c>
      <c r="K586" s="15" t="n">
        <f aca="false">J586*(1+IF(K$3&lt;=$O$2,$D586,$D586-($D586-$I$562)*MIN(K$3-$O$2,$Q$2)/$Q$2))</f>
        <v>1889.46780599412</v>
      </c>
      <c r="L586" s="15" t="n">
        <f aca="false">K586*(1+IF(L$3&lt;=$O$2,$D586,$D586-($D586-$I$562)*MIN(L$3-$O$2,$Q$2)/$Q$2))</f>
        <v>1929.17397431273</v>
      </c>
      <c r="M586" s="15" t="n">
        <f aca="false">L586*(1+IF(M$3&lt;=$O$2,$D586,$D586-($D586-$I$562)*MIN(M$3-$O$2,$Q$2)/$Q$2))</f>
        <v>1983.20480510384</v>
      </c>
      <c r="N586" s="15" t="n">
        <f aca="false">M586*(1+IF(N$3&lt;=$O$2,$D586,$D586-($D586-$I$562)*MIN(N$3-$O$2,$Q$2)/$Q$2))</f>
        <v>2052.61697328247</v>
      </c>
      <c r="O586" s="15" t="n">
        <f aca="false">SUMPRODUCT(E586:N586,1/(1+$F$562)^$E$3:$N$3)*$E$2</f>
        <v>4801.62752225761</v>
      </c>
      <c r="P586" s="15" t="n">
        <f aca="false">N586*$E$2*(1+$I$562)/($F$562-$I$562)/(1+$F$562)^$N$3</f>
        <v>11761.0751146507</v>
      </c>
      <c r="Q586" s="15" t="n">
        <f aca="false">O586+P586</f>
        <v>16562.7026369083</v>
      </c>
      <c r="R586" s="15" t="n">
        <f aca="false">Q586-$G$2+$I$2</f>
        <v>15010.0026369083</v>
      </c>
      <c r="S586" s="40" t="n">
        <f aca="false">R586/$K$2</f>
        <v>54.5045304365021</v>
      </c>
      <c r="T586" s="41" t="n">
        <f aca="false">S586-$M$2</f>
        <v>9.57517820410203E-006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3.60012054443359E-005</v>
      </c>
      <c r="C587" s="25" t="n">
        <f aca="false">IF(T586&gt;0,D586,C586)</f>
        <v>3.61800193786621E-005</v>
      </c>
      <c r="D587" s="39" t="n">
        <f aca="false">(B587+C587)/2</f>
        <v>3.6090612411499E-005</v>
      </c>
      <c r="E587" s="15" t="n">
        <f aca="false">$C$2*(1+IF(E$3&lt;=$O$2,$D587,$D587-($D587-$I$562)*MIN(E$3-$O$2,$Q$2)/$Q$2))</f>
        <v>1850.06676763296</v>
      </c>
      <c r="F587" s="15" t="n">
        <f aca="false">E587*(1+IF(F$3&lt;=$O$2,$D587,$D587-($D587-$I$562)*MIN(F$3-$O$2,$Q$2)/$Q$2))</f>
        <v>1850.13353767561</v>
      </c>
      <c r="G587" s="15" t="n">
        <f aca="false">F587*(1+IF(G$3&lt;=$O$2,$D587,$D587-($D587-$I$562)*MIN(G$3-$O$2,$Q$2)/$Q$2))</f>
        <v>1850.20031012803</v>
      </c>
      <c r="H587" s="15" t="n">
        <f aca="false">G587*(1+IF(H$3&lt;=$O$2,$D587,$D587-($D587-$I$562)*MIN(H$3-$O$2,$Q$2)/$Q$2))</f>
        <v>1850.2670849903</v>
      </c>
      <c r="I587" s="15" t="n">
        <f aca="false">H587*(1+IF(I$3&lt;=$O$2,$D587,$D587-($D587-$I$562)*MIN(I$3-$O$2,$Q$2)/$Q$2))</f>
        <v>1850.33386226252</v>
      </c>
      <c r="J587" s="15" t="n">
        <f aca="false">I587*(1+IF(J$3&lt;=$O$2,$D587,$D587-($D587-$I$562)*MIN(J$3-$O$2,$Q$2)/$Q$2))</f>
        <v>1863.33962304417</v>
      </c>
      <c r="K587" s="15" t="n">
        <f aca="false">J587*(1+IF(K$3&lt;=$O$2,$D587,$D587-($D587-$I$562)*MIN(K$3-$O$2,$Q$2)/$Q$2))</f>
        <v>1889.46672720766</v>
      </c>
      <c r="L587" s="15" t="n">
        <f aca="false">K587*(1+IF(L$3&lt;=$O$2,$D587,$D587-($D587-$I$562)*MIN(L$3-$O$2,$Q$2)/$Q$2))</f>
        <v>1929.17280528355</v>
      </c>
      <c r="M587" s="15" t="n">
        <f aca="false">L587*(1+IF(M$3&lt;=$O$2,$D587,$D587-($D587-$I$562)*MIN(M$3-$O$2,$Q$2)/$Q$2))</f>
        <v>1983.20356883708</v>
      </c>
      <c r="N587" s="15" t="n">
        <f aca="false">M587*(1+IF(N$3&lt;=$O$2,$D587,$D587-($D587-$I$562)*MIN(N$3-$O$2,$Q$2)/$Q$2))</f>
        <v>2052.61569374638</v>
      </c>
      <c r="O587" s="15" t="n">
        <f aca="false">SUMPRODUCT(E587:N587,1/(1+$F$562)^$E$3:$N$3)*$E$2</f>
        <v>4801.62561192668</v>
      </c>
      <c r="P587" s="15" t="n">
        <f aca="false">N587*$E$2*(1+$I$562)/($F$562-$I$562)/(1+$F$562)^$N$3</f>
        <v>11761.0677831708</v>
      </c>
      <c r="Q587" s="15" t="n">
        <f aca="false">O587+P587</f>
        <v>16562.6933950975</v>
      </c>
      <c r="R587" s="15" t="n">
        <f aca="false">Q587-$G$2+$I$2</f>
        <v>15009.9933950975</v>
      </c>
      <c r="S587" s="40" t="n">
        <f aca="false">R587/$K$2</f>
        <v>54.5044968775101</v>
      </c>
      <c r="T587" s="41" t="n">
        <f aca="false">S587-$M$2</f>
        <v>-2.39838138611503E-005</v>
      </c>
    </row>
    <row r="589" customFormat="false" ht="15" hidden="false" customHeight="false" outlineLevel="0" collapsed="false">
      <c r="A589" s="36" t="s">
        <v>196</v>
      </c>
      <c r="E589" s="5" t="s">
        <v>11</v>
      </c>
      <c r="F589" s="12" t="n">
        <f aca="false">Sensitivity!$B$14</f>
        <v>0.0735093056415221</v>
      </c>
      <c r="G589" s="5" t="s">
        <v>12</v>
      </c>
      <c r="I589" s="12" t="n">
        <f aca="false">Sensitivity!$C$9</f>
        <v>0.015</v>
      </c>
    </row>
    <row r="590" customFormat="false" ht="23.85" hidden="false" customHeight="false" outlineLevel="0" collapsed="false">
      <c r="A590" s="36" t="s">
        <v>156</v>
      </c>
      <c r="B590" s="28" t="s">
        <v>157</v>
      </c>
      <c r="C590" s="28" t="s">
        <v>158</v>
      </c>
      <c r="D590" s="28" t="s">
        <v>159</v>
      </c>
      <c r="E590" s="28" t="s">
        <v>160</v>
      </c>
      <c r="F590" s="28" t="s">
        <v>161</v>
      </c>
      <c r="G590" s="28" t="s">
        <v>162</v>
      </c>
      <c r="H590" s="28" t="s">
        <v>163</v>
      </c>
      <c r="I590" s="28" t="s">
        <v>164</v>
      </c>
      <c r="J590" s="28" t="s">
        <v>165</v>
      </c>
      <c r="K590" s="28" t="s">
        <v>166</v>
      </c>
      <c r="L590" s="28" t="s">
        <v>167</v>
      </c>
      <c r="M590" s="28" t="s">
        <v>168</v>
      </c>
      <c r="N590" s="28" t="s">
        <v>169</v>
      </c>
      <c r="O590" s="28" t="s">
        <v>170</v>
      </c>
      <c r="P590" s="28" t="s">
        <v>171</v>
      </c>
      <c r="Q590" s="28" t="s">
        <v>172</v>
      </c>
      <c r="R590" s="28" t="s">
        <v>173</v>
      </c>
      <c r="S590" s="28" t="s">
        <v>174</v>
      </c>
      <c r="T590" s="28" t="s">
        <v>175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39" t="n">
        <f aca="false">(B591+C591)/2</f>
        <v>0.25</v>
      </c>
      <c r="E591" s="15" t="n">
        <f aca="false">$C$2*(1+IF(E$3&lt;=$O$2,$D591,$D591-($D591-$I$589)*MIN(E$3-$O$2,$Q$2)/$Q$2))</f>
        <v>2312.5</v>
      </c>
      <c r="F591" s="15" t="n">
        <f aca="false">E591*(1+IF(F$3&lt;=$O$2,$D591,$D591-($D591-$I$589)*MIN(F$3-$O$2,$Q$2)/$Q$2))</f>
        <v>2890.625</v>
      </c>
      <c r="G591" s="15" t="n">
        <f aca="false">F591*(1+IF(G$3&lt;=$O$2,$D591,$D591-($D591-$I$589)*MIN(G$3-$O$2,$Q$2)/$Q$2))</f>
        <v>3613.28125</v>
      </c>
      <c r="H591" s="15" t="n">
        <f aca="false">G591*(1+IF(H$3&lt;=$O$2,$D591,$D591-($D591-$I$589)*MIN(H$3-$O$2,$Q$2)/$Q$2))</f>
        <v>4516.6015625</v>
      </c>
      <c r="I591" s="15" t="n">
        <f aca="false">H591*(1+IF(I$3&lt;=$O$2,$D591,$D591-($D591-$I$589)*MIN(I$3-$O$2,$Q$2)/$Q$2))</f>
        <v>5645.751953125</v>
      </c>
      <c r="J591" s="15" t="n">
        <f aca="false">I591*(1+IF(J$3&lt;=$O$2,$D591,$D591-($D591-$I$589)*MIN(J$3-$O$2,$Q$2)/$Q$2))</f>
        <v>6791.83959960938</v>
      </c>
      <c r="K591" s="15" t="n">
        <f aca="false">J591*(1+IF(K$3&lt;=$O$2,$D591,$D591-($D591-$I$589)*MIN(K$3-$O$2,$Q$2)/$Q$2))</f>
        <v>7851.36657714844</v>
      </c>
      <c r="L591" s="15" t="n">
        <f aca="false">K591*(1+IF(L$3&lt;=$O$2,$D591,$D591-($D591-$I$589)*MIN(L$3-$O$2,$Q$2)/$Q$2))</f>
        <v>8707.16553405762</v>
      </c>
      <c r="M591" s="15" t="n">
        <f aca="false">L591*(1+IF(M$3&lt;=$O$2,$D591,$D591-($D591-$I$589)*MIN(M$3-$O$2,$Q$2)/$Q$2))</f>
        <v>9247.00979716919</v>
      </c>
      <c r="N591" s="15" t="n">
        <f aca="false">M591*(1+IF(N$3&lt;=$O$2,$D591,$D591-($D591-$I$589)*MIN(N$3-$O$2,$Q$2)/$Q$2))</f>
        <v>9385.71494412673</v>
      </c>
      <c r="O591" s="15" t="n">
        <f aca="false">SUMPRODUCT(E591:N591,1/(1+$F$589)^$E$3:$N$3)*$E$2</f>
        <v>13890.3543780803</v>
      </c>
      <c r="P591" s="15" t="n">
        <f aca="false">N591*$E$2*(1+$I$589)/($F$589-$I$589)/(1+$F$589)^$N$3</f>
        <v>28826.8772233209</v>
      </c>
      <c r="Q591" s="15" t="n">
        <f aca="false">O591+P591</f>
        <v>42717.2316014012</v>
      </c>
      <c r="R591" s="15" t="n">
        <f aca="false">Q591-$G$2+$I$2</f>
        <v>41164.5316014012</v>
      </c>
      <c r="S591" s="40" t="n">
        <f aca="false">R591/$K$2</f>
        <v>149.477219947715</v>
      </c>
      <c r="T591" s="41" t="n">
        <f aca="false">S591-$M$2</f>
        <v>94.9726990863911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39" t="n">
        <f aca="false">(B592+C592)/2</f>
        <v>-0.125</v>
      </c>
      <c r="E592" s="15" t="n">
        <f aca="false">$C$2*(1+IF(E$3&lt;=$O$2,$D592,$D592-($D592-$I$589)*MIN(E$3-$O$2,$Q$2)/$Q$2))</f>
        <v>1618.75</v>
      </c>
      <c r="F592" s="15" t="n">
        <f aca="false">E592*(1+IF(F$3&lt;=$O$2,$D592,$D592-($D592-$I$589)*MIN(F$3-$O$2,$Q$2)/$Q$2))</f>
        <v>1416.40625</v>
      </c>
      <c r="G592" s="15" t="n">
        <f aca="false">F592*(1+IF(G$3&lt;=$O$2,$D592,$D592-($D592-$I$589)*MIN(G$3-$O$2,$Q$2)/$Q$2))</f>
        <v>1239.35546875</v>
      </c>
      <c r="H592" s="15" t="n">
        <f aca="false">G592*(1+IF(H$3&lt;=$O$2,$D592,$D592-($D592-$I$589)*MIN(H$3-$O$2,$Q$2)/$Q$2))</f>
        <v>1084.43603515625</v>
      </c>
      <c r="I592" s="15" t="n">
        <f aca="false">H592*(1+IF(I$3&lt;=$O$2,$D592,$D592-($D592-$I$589)*MIN(I$3-$O$2,$Q$2)/$Q$2))</f>
        <v>948.881530761719</v>
      </c>
      <c r="J592" s="15" t="n">
        <f aca="false">I592*(1+IF(J$3&lt;=$O$2,$D592,$D592-($D592-$I$589)*MIN(J$3-$O$2,$Q$2)/$Q$2))</f>
        <v>856.840022277832</v>
      </c>
      <c r="K592" s="15" t="n">
        <f aca="false">J592*(1+IF(K$3&lt;=$O$2,$D592,$D592-($D592-$I$589)*MIN(K$3-$O$2,$Q$2)/$Q$2))</f>
        <v>797.718060740662</v>
      </c>
      <c r="L592" s="15" t="n">
        <f aca="false">K592*(1+IF(L$3&lt;=$O$2,$D592,$D592-($D592-$I$589)*MIN(L$3-$O$2,$Q$2)/$Q$2))</f>
        <v>765.011620250295</v>
      </c>
      <c r="M592" s="15" t="n">
        <f aca="false">L592*(1+IF(M$3&lt;=$O$2,$D592,$D592-($D592-$I$589)*MIN(M$3-$O$2,$Q$2)/$Q$2))</f>
        <v>755.066469187041</v>
      </c>
      <c r="N592" s="15" t="n">
        <f aca="false">M592*(1+IF(N$3&lt;=$O$2,$D592,$D592-($D592-$I$589)*MIN(N$3-$O$2,$Q$2)/$Q$2))</f>
        <v>766.392466224846</v>
      </c>
      <c r="O592" s="15" t="n">
        <f aca="false">SUMPRODUCT(E592:N592,1/(1+$F$589)^$E$3:$N$3)*$E$2</f>
        <v>2690.32151542373</v>
      </c>
      <c r="P592" s="15" t="n">
        <f aca="false">N592*$E$2*(1+$I$589)/($F$589-$I$589)/(1+$F$589)^$N$3</f>
        <v>2353.86453352354</v>
      </c>
      <c r="Q592" s="15" t="n">
        <f aca="false">O592+P592</f>
        <v>5044.18604894727</v>
      </c>
      <c r="R592" s="15" t="n">
        <f aca="false">Q592-$G$2+$I$2</f>
        <v>3491.48604894727</v>
      </c>
      <c r="S592" s="40" t="n">
        <f aca="false">R592/$K$2</f>
        <v>12.6783327243083</v>
      </c>
      <c r="T592" s="41" t="n">
        <f aca="false">S592-$M$2</f>
        <v>-41.8261881370156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39" t="n">
        <f aca="false">(B593+C593)/2</f>
        <v>0.0625</v>
      </c>
      <c r="E593" s="15" t="n">
        <f aca="false">$C$2*(1+IF(E$3&lt;=$O$2,$D593,$D593-($D593-$I$589)*MIN(E$3-$O$2,$Q$2)/$Q$2))</f>
        <v>1965.625</v>
      </c>
      <c r="F593" s="15" t="n">
        <f aca="false">E593*(1+IF(F$3&lt;=$O$2,$D593,$D593-($D593-$I$589)*MIN(F$3-$O$2,$Q$2)/$Q$2))</f>
        <v>2088.4765625</v>
      </c>
      <c r="G593" s="15" t="n">
        <f aca="false">F593*(1+IF(G$3&lt;=$O$2,$D593,$D593-($D593-$I$589)*MIN(G$3-$O$2,$Q$2)/$Q$2))</f>
        <v>2219.00634765625</v>
      </c>
      <c r="H593" s="15" t="n">
        <f aca="false">G593*(1+IF(H$3&lt;=$O$2,$D593,$D593-($D593-$I$589)*MIN(H$3-$O$2,$Q$2)/$Q$2))</f>
        <v>2357.69424438477</v>
      </c>
      <c r="I593" s="15" t="n">
        <f aca="false">H593*(1+IF(I$3&lt;=$O$2,$D593,$D593-($D593-$I$589)*MIN(I$3-$O$2,$Q$2)/$Q$2))</f>
        <v>2505.05013465881</v>
      </c>
      <c r="J593" s="15" t="n">
        <f aca="false">I593*(1+IF(J$3&lt;=$O$2,$D593,$D593-($D593-$I$589)*MIN(J$3-$O$2,$Q$2)/$Q$2))</f>
        <v>2637.81779179573</v>
      </c>
      <c r="K593" s="15" t="n">
        <f aca="false">J593*(1+IF(K$3&lt;=$O$2,$D593,$D593-($D593-$I$589)*MIN(K$3-$O$2,$Q$2)/$Q$2))</f>
        <v>2752.56286573885</v>
      </c>
      <c r="L593" s="15" t="n">
        <f aca="false">K593*(1+IF(L$3&lt;=$O$2,$D593,$D593-($D593-$I$589)*MIN(L$3-$O$2,$Q$2)/$Q$2))</f>
        <v>2846.15000317397</v>
      </c>
      <c r="M593" s="15" t="n">
        <f aca="false">L593*(1+IF(M$3&lt;=$O$2,$D593,$D593-($D593-$I$589)*MIN(M$3-$O$2,$Q$2)/$Q$2))</f>
        <v>2915.88067825173</v>
      </c>
      <c r="N593" s="15" t="n">
        <f aca="false">M593*(1+IF(N$3&lt;=$O$2,$D593,$D593-($D593-$I$589)*MIN(N$3-$O$2,$Q$2)/$Q$2))</f>
        <v>2959.6188884255</v>
      </c>
      <c r="O593" s="15" t="n">
        <f aca="false">SUMPRODUCT(E593:N593,1/(1+$F$589)^$E$3:$N$3)*$E$2</f>
        <v>6109.81778952484</v>
      </c>
      <c r="P593" s="15" t="n">
        <f aca="false">N593*$E$2*(1+$I$589)/($F$589-$I$589)/(1+$F$589)^$N$3</f>
        <v>9090.0449067923</v>
      </c>
      <c r="Q593" s="15" t="n">
        <f aca="false">O593+P593</f>
        <v>15199.8626963171</v>
      </c>
      <c r="R593" s="15" t="n">
        <f aca="false">Q593-$G$2+$I$2</f>
        <v>13647.1626963171</v>
      </c>
      <c r="S593" s="40" t="n">
        <f aca="false">R593/$K$2</f>
        <v>49.5557670805662</v>
      </c>
      <c r="T593" s="41" t="n">
        <f aca="false">S593-$M$2</f>
        <v>-4.94875378075773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39" t="n">
        <f aca="false">(B594+C594)/2</f>
        <v>0.15625</v>
      </c>
      <c r="E594" s="15" t="n">
        <f aca="false">$C$2*(1+IF(E$3&lt;=$O$2,$D594,$D594-($D594-$I$589)*MIN(E$3-$O$2,$Q$2)/$Q$2))</f>
        <v>2139.0625</v>
      </c>
      <c r="F594" s="15" t="n">
        <f aca="false">E594*(1+IF(F$3&lt;=$O$2,$D594,$D594-($D594-$I$589)*MIN(F$3-$O$2,$Q$2)/$Q$2))</f>
        <v>2473.291015625</v>
      </c>
      <c r="G594" s="15" t="n">
        <f aca="false">F594*(1+IF(G$3&lt;=$O$2,$D594,$D594-($D594-$I$589)*MIN(G$3-$O$2,$Q$2)/$Q$2))</f>
        <v>2859.74273681641</v>
      </c>
      <c r="H594" s="15" t="n">
        <f aca="false">G594*(1+IF(H$3&lt;=$O$2,$D594,$D594-($D594-$I$589)*MIN(H$3-$O$2,$Q$2)/$Q$2))</f>
        <v>3306.57753944397</v>
      </c>
      <c r="I594" s="15" t="n">
        <f aca="false">H594*(1+IF(I$3&lt;=$O$2,$D594,$D594-($D594-$I$589)*MIN(I$3-$O$2,$Q$2)/$Q$2))</f>
        <v>3823.23027998209</v>
      </c>
      <c r="J594" s="15" t="n">
        <f aca="false">I594*(1+IF(J$3&lt;=$O$2,$D594,$D594-($D594-$I$589)*MIN(J$3-$O$2,$Q$2)/$Q$2))</f>
        <v>4312.6037558198</v>
      </c>
      <c r="K594" s="15" t="n">
        <f aca="false">J594*(1+IF(K$3&lt;=$O$2,$D594,$D594-($D594-$I$589)*MIN(K$3-$O$2,$Q$2)/$Q$2))</f>
        <v>4742.78598046282</v>
      </c>
      <c r="L594" s="15" t="n">
        <f aca="false">K594*(1+IF(L$3&lt;=$O$2,$D594,$D594-($D594-$I$589)*MIN(L$3-$O$2,$Q$2)/$Q$2))</f>
        <v>5081.89517806591</v>
      </c>
      <c r="M594" s="15" t="n">
        <f aca="false">L594*(1+IF(M$3&lt;=$O$2,$D594,$D594-($D594-$I$589)*MIN(M$3-$O$2,$Q$2)/$Q$2))</f>
        <v>5301.68714451727</v>
      </c>
      <c r="N594" s="15" t="n">
        <f aca="false">M594*(1+IF(N$3&lt;=$O$2,$D594,$D594-($D594-$I$589)*MIN(N$3-$O$2,$Q$2)/$Q$2))</f>
        <v>5381.21245168502</v>
      </c>
      <c r="O594" s="15" t="n">
        <f aca="false">SUMPRODUCT(E594:N594,1/(1+$F$589)^$E$3:$N$3)*$E$2</f>
        <v>9232.43347359403</v>
      </c>
      <c r="P594" s="15" t="n">
        <f aca="false">N594*$E$2*(1+$I$589)/($F$589-$I$589)/(1+$F$589)^$N$3</f>
        <v>16527.6221982856</v>
      </c>
      <c r="Q594" s="15" t="n">
        <f aca="false">O594+P594</f>
        <v>25760.0556718796</v>
      </c>
      <c r="R594" s="15" t="n">
        <f aca="false">Q594-$G$2+$I$2</f>
        <v>24207.3556718796</v>
      </c>
      <c r="S594" s="40" t="n">
        <f aca="false">R594/$K$2</f>
        <v>87.9020867565258</v>
      </c>
      <c r="T594" s="41" t="n">
        <f aca="false">S594-$M$2</f>
        <v>33.3975658952018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39" t="n">
        <f aca="false">(B595+C595)/2</f>
        <v>0.109375</v>
      </c>
      <c r="E595" s="15" t="n">
        <f aca="false">$C$2*(1+IF(E$3&lt;=$O$2,$D595,$D595-($D595-$I$589)*MIN(E$3-$O$2,$Q$2)/$Q$2))</f>
        <v>2052.34375</v>
      </c>
      <c r="F595" s="15" t="n">
        <f aca="false">E595*(1+IF(F$3&lt;=$O$2,$D595,$D595-($D595-$I$589)*MIN(F$3-$O$2,$Q$2)/$Q$2))</f>
        <v>2276.81884765625</v>
      </c>
      <c r="G595" s="15" t="n">
        <f aca="false">F595*(1+IF(G$3&lt;=$O$2,$D595,$D595-($D595-$I$589)*MIN(G$3-$O$2,$Q$2)/$Q$2))</f>
        <v>2525.84590911865</v>
      </c>
      <c r="H595" s="15" t="n">
        <f aca="false">G595*(1+IF(H$3&lt;=$O$2,$D595,$D595-($D595-$I$589)*MIN(H$3-$O$2,$Q$2)/$Q$2))</f>
        <v>2802.11030542851</v>
      </c>
      <c r="I595" s="15" t="n">
        <f aca="false">H595*(1+IF(I$3&lt;=$O$2,$D595,$D595-($D595-$I$589)*MIN(I$3-$O$2,$Q$2)/$Q$2))</f>
        <v>3108.59112008475</v>
      </c>
      <c r="J595" s="15" t="n">
        <f aca="false">I595*(1+IF(J$3&lt;=$O$2,$D595,$D595-($D595-$I$589)*MIN(J$3-$O$2,$Q$2)/$Q$2))</f>
        <v>3389.91861645242</v>
      </c>
      <c r="K595" s="15" t="n">
        <f aca="false">J595*(1+IF(K$3&lt;=$O$2,$D595,$D595-($D595-$I$589)*MIN(K$3-$O$2,$Q$2)/$Q$2))</f>
        <v>3632.72153735582</v>
      </c>
      <c r="L595" s="15" t="n">
        <f aca="false">K595*(1+IF(L$3&lt;=$O$2,$D595,$D595-($D595-$I$589)*MIN(L$3-$O$2,$Q$2)/$Q$2))</f>
        <v>3824.34759845134</v>
      </c>
      <c r="M595" s="15" t="n">
        <f aca="false">L595*(1+IF(M$3&lt;=$O$2,$D595,$D595-($D595-$I$589)*MIN(M$3-$O$2,$Q$2)/$Q$2))</f>
        <v>3953.89737334888</v>
      </c>
      <c r="N595" s="15" t="n">
        <f aca="false">M595*(1+IF(N$3&lt;=$O$2,$D595,$D595-($D595-$I$589)*MIN(N$3-$O$2,$Q$2)/$Q$2))</f>
        <v>4013.20583394911</v>
      </c>
      <c r="O595" s="15" t="n">
        <f aca="false">SUMPRODUCT(E595:N595,1/(1+$F$589)^$E$3:$N$3)*$E$2</f>
        <v>7512.76012785284</v>
      </c>
      <c r="P595" s="15" t="n">
        <f aca="false">N595*$E$2*(1+$I$589)/($F$589-$I$589)/(1+$F$589)^$N$3</f>
        <v>12325.9860901231</v>
      </c>
      <c r="Q595" s="15" t="n">
        <f aca="false">O595+P595</f>
        <v>19838.7462179759</v>
      </c>
      <c r="R595" s="15" t="n">
        <f aca="false">Q595-$G$2+$I$2</f>
        <v>18286.0462179759</v>
      </c>
      <c r="S595" s="40" t="n">
        <f aca="false">R595/$K$2</f>
        <v>66.4005454736044</v>
      </c>
      <c r="T595" s="41" t="n">
        <f aca="false">S595-$M$2</f>
        <v>11.8960246122804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0.0625</v>
      </c>
      <c r="C596" s="25" t="n">
        <f aca="false">IF(T595&gt;0,D595,C595)</f>
        <v>0.109375</v>
      </c>
      <c r="D596" s="39" t="n">
        <f aca="false">(B596+C596)/2</f>
        <v>0.0859375</v>
      </c>
      <c r="E596" s="15" t="n">
        <f aca="false">$C$2*(1+IF(E$3&lt;=$O$2,$D596,$D596-($D596-$I$589)*MIN(E$3-$O$2,$Q$2)/$Q$2))</f>
        <v>2008.984375</v>
      </c>
      <c r="F596" s="15" t="n">
        <f aca="false">E596*(1+IF(F$3&lt;=$O$2,$D596,$D596-($D596-$I$589)*MIN(F$3-$O$2,$Q$2)/$Q$2))</f>
        <v>2181.63146972656</v>
      </c>
      <c r="G596" s="15" t="n">
        <f aca="false">F596*(1+IF(G$3&lt;=$O$2,$D596,$D596-($D596-$I$589)*MIN(G$3-$O$2,$Q$2)/$Q$2))</f>
        <v>2369.11542415619</v>
      </c>
      <c r="H596" s="15" t="n">
        <f aca="false">G596*(1+IF(H$3&lt;=$O$2,$D596,$D596-($D596-$I$589)*MIN(H$3-$O$2,$Q$2)/$Q$2))</f>
        <v>2572.71128091961</v>
      </c>
      <c r="I596" s="15" t="n">
        <f aca="false">H596*(1+IF(I$3&lt;=$O$2,$D596,$D596-($D596-$I$589)*MIN(I$3-$O$2,$Q$2)/$Q$2))</f>
        <v>2793.80365662364</v>
      </c>
      <c r="J596" s="15" t="n">
        <f aca="false">I596*(1+IF(J$3&lt;=$O$2,$D596,$D596-($D596-$I$589)*MIN(J$3-$O$2,$Q$2)/$Q$2))</f>
        <v>2994.25906898639</v>
      </c>
      <c r="K596" s="15" t="n">
        <f aca="false">J596*(1+IF(K$3&lt;=$O$2,$D596,$D596-($D596-$I$589)*MIN(K$3-$O$2,$Q$2)/$Q$2))</f>
        <v>3166.61610664492</v>
      </c>
      <c r="L596" s="15" t="n">
        <f aca="false">K596*(1+IF(L$3&lt;=$O$2,$D596,$D596-($D596-$I$589)*MIN(L$3-$O$2,$Q$2)/$Q$2))</f>
        <v>3303.96808027064</v>
      </c>
      <c r="M596" s="15" t="n">
        <f aca="false">L596*(1+IF(M$3&lt;=$O$2,$D596,$D596-($D596-$I$589)*MIN(M$3-$O$2,$Q$2)/$Q$2))</f>
        <v>3400.40264861354</v>
      </c>
      <c r="N596" s="15" t="n">
        <f aca="false">M596*(1+IF(N$3&lt;=$O$2,$D596,$D596-($D596-$I$589)*MIN(N$3-$O$2,$Q$2)/$Q$2))</f>
        <v>3451.40868834274</v>
      </c>
      <c r="O596" s="15" t="n">
        <f aca="false">SUMPRODUCT(E596:N596,1/(1+$F$589)^$E$3:$N$3)*$E$2</f>
        <v>6775.3288746515</v>
      </c>
      <c r="P596" s="15" t="n">
        <f aca="false">N596*$E$2*(1+$I$589)/($F$589-$I$589)/(1+$F$589)^$N$3</f>
        <v>10600.5067380209</v>
      </c>
      <c r="Q596" s="15" t="n">
        <f aca="false">O596+P596</f>
        <v>17375.8356126724</v>
      </c>
      <c r="R596" s="15" t="n">
        <f aca="false">Q596-$G$2+$I$2</f>
        <v>15823.1356126724</v>
      </c>
      <c r="S596" s="40" t="n">
        <f aca="false">R596/$K$2</f>
        <v>57.4571902126891</v>
      </c>
      <c r="T596" s="41" t="n">
        <f aca="false">S596-$M$2</f>
        <v>2.95266935136512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0.0625</v>
      </c>
      <c r="C597" s="25" t="n">
        <f aca="false">IF(T596&gt;0,D596,C596)</f>
        <v>0.0859375</v>
      </c>
      <c r="D597" s="39" t="n">
        <f aca="false">(B597+C597)/2</f>
        <v>0.07421875</v>
      </c>
      <c r="E597" s="15" t="n">
        <f aca="false">$C$2*(1+IF(E$3&lt;=$O$2,$D597,$D597-($D597-$I$589)*MIN(E$3-$O$2,$Q$2)/$Q$2))</f>
        <v>1987.3046875</v>
      </c>
      <c r="F597" s="15" t="n">
        <f aca="false">E597*(1+IF(F$3&lt;=$O$2,$D597,$D597-($D597-$I$589)*MIN(F$3-$O$2,$Q$2)/$Q$2))</f>
        <v>2134.79995727539</v>
      </c>
      <c r="G597" s="15" t="n">
        <f aca="false">F597*(1+IF(G$3&lt;=$O$2,$D597,$D597-($D597-$I$589)*MIN(G$3-$O$2,$Q$2)/$Q$2))</f>
        <v>2293.24214160442</v>
      </c>
      <c r="H597" s="15" t="n">
        <f aca="false">G597*(1+IF(H$3&lt;=$O$2,$D597,$D597-($D597-$I$589)*MIN(H$3-$O$2,$Q$2)/$Q$2))</f>
        <v>2463.44370680163</v>
      </c>
      <c r="I597" s="15" t="n">
        <f aca="false">H597*(1+IF(I$3&lt;=$O$2,$D597,$D597-($D597-$I$589)*MIN(I$3-$O$2,$Q$2)/$Q$2))</f>
        <v>2646.27741941581</v>
      </c>
      <c r="J597" s="15" t="n">
        <f aca="false">I597*(1+IF(J$3&lt;=$O$2,$D597,$D597-($D597-$I$589)*MIN(J$3-$O$2,$Q$2)/$Q$2))</f>
        <v>2811.33897345187</v>
      </c>
      <c r="K597" s="15" t="n">
        <f aca="false">J597*(1+IF(K$3&lt;=$O$2,$D597,$D597-($D597-$I$589)*MIN(K$3-$O$2,$Q$2)/$Q$2))</f>
        <v>2953.39944595411</v>
      </c>
      <c r="L597" s="15" t="n">
        <f aca="false">K597*(1+IF(L$3&lt;=$O$2,$D597,$D597-($D597-$I$589)*MIN(L$3-$O$2,$Q$2)/$Q$2))</f>
        <v>3067.65908701946</v>
      </c>
      <c r="M597" s="15" t="n">
        <f aca="false">L597*(1+IF(M$3&lt;=$O$2,$D597,$D597-($D597-$I$589)*MIN(M$3-$O$2,$Q$2)/$Q$2))</f>
        <v>3150.00656063664</v>
      </c>
      <c r="N597" s="15" t="n">
        <f aca="false">M597*(1+IF(N$3&lt;=$O$2,$D597,$D597-($D597-$I$589)*MIN(N$3-$O$2,$Q$2)/$Q$2))</f>
        <v>3197.25665904619</v>
      </c>
      <c r="O597" s="15" t="n">
        <f aca="false">SUMPRODUCT(E597:N597,1/(1+$F$589)^$E$3:$N$3)*$E$2</f>
        <v>6434.00547703028</v>
      </c>
      <c r="P597" s="15" t="n">
        <f aca="false">N597*$E$2*(1+$I$589)/($F$589-$I$589)/(1+$F$589)^$N$3</f>
        <v>9819.91523399554</v>
      </c>
      <c r="Q597" s="15" t="n">
        <f aca="false">O597+P597</f>
        <v>16253.9207110258</v>
      </c>
      <c r="R597" s="15" t="n">
        <f aca="false">Q597-$G$2+$I$2</f>
        <v>14701.2207110258</v>
      </c>
      <c r="S597" s="40" t="n">
        <f aca="false">R597/$K$2</f>
        <v>53.3832772105952</v>
      </c>
      <c r="T597" s="41" t="n">
        <f aca="false">S597-$M$2</f>
        <v>-1.12124365072872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0.07421875</v>
      </c>
      <c r="C598" s="25" t="n">
        <f aca="false">IF(T597&gt;0,D597,C597)</f>
        <v>0.0859375</v>
      </c>
      <c r="D598" s="39" t="n">
        <f aca="false">(B598+C598)/2</f>
        <v>0.080078125</v>
      </c>
      <c r="E598" s="15" t="n">
        <f aca="false">$C$2*(1+IF(E$3&lt;=$O$2,$D598,$D598-($D598-$I$589)*MIN(E$3-$O$2,$Q$2)/$Q$2))</f>
        <v>1998.14453125</v>
      </c>
      <c r="F598" s="15" t="n">
        <f aca="false">E598*(1+IF(F$3&lt;=$O$2,$D598,$D598-($D598-$I$589)*MIN(F$3-$O$2,$Q$2)/$Q$2))</f>
        <v>2158.1521987915</v>
      </c>
      <c r="G598" s="15" t="n">
        <f aca="false">F598*(1+IF(G$3&lt;=$O$2,$D598,$D598-($D598-$I$589)*MIN(G$3-$O$2,$Q$2)/$Q$2))</f>
        <v>2330.97298033536</v>
      </c>
      <c r="H598" s="15" t="n">
        <f aca="false">G598*(1+IF(H$3&lt;=$O$2,$D598,$D598-($D598-$I$589)*MIN(H$3-$O$2,$Q$2)/$Q$2))</f>
        <v>2517.63292602627</v>
      </c>
      <c r="I598" s="15" t="n">
        <f aca="false">H598*(1+IF(I$3&lt;=$O$2,$D598,$D598-($D598-$I$589)*MIN(I$3-$O$2,$Q$2)/$Q$2))</f>
        <v>2719.24025018072</v>
      </c>
      <c r="J598" s="15" t="n">
        <f aca="false">I598*(1+IF(J$3&lt;=$O$2,$D598,$D598-($D598-$I$589)*MIN(J$3-$O$2,$Q$2)/$Q$2))</f>
        <v>2901.59929945846</v>
      </c>
      <c r="K598" s="15" t="n">
        <f aca="false">J598*(1+IF(K$3&lt;=$O$2,$D598,$D598-($D598-$I$589)*MIN(K$3-$O$2,$Q$2)/$Q$2))</f>
        <v>3058.42167409638</v>
      </c>
      <c r="L598" s="15" t="n">
        <f aca="false">K598*(1+IF(L$3&lt;=$O$2,$D598,$D598-($D598-$I$589)*MIN(L$3-$O$2,$Q$2)/$Q$2))</f>
        <v>3183.91253841165</v>
      </c>
      <c r="M598" s="15" t="n">
        <f aca="false">L598*(1+IF(M$3&lt;=$O$2,$D598,$D598-($D598-$I$589)*MIN(M$3-$O$2,$Q$2)/$Q$2))</f>
        <v>3273.11183812059</v>
      </c>
      <c r="N598" s="15" t="n">
        <f aca="false">M598*(1+IF(N$3&lt;=$O$2,$D598,$D598-($D598-$I$589)*MIN(N$3-$O$2,$Q$2)/$Q$2))</f>
        <v>3322.2085156924</v>
      </c>
      <c r="O598" s="15" t="n">
        <f aca="false">SUMPRODUCT(E598:N598,1/(1+$F$589)^$E$3:$N$3)*$E$2</f>
        <v>6602.47379701716</v>
      </c>
      <c r="P598" s="15" t="n">
        <f aca="false">N598*$E$2*(1+$I$589)/($F$589-$I$589)/(1+$F$589)^$N$3</f>
        <v>10203.6869393807</v>
      </c>
      <c r="Q598" s="15" t="n">
        <f aca="false">O598+P598</f>
        <v>16806.1607363978</v>
      </c>
      <c r="R598" s="15" t="n">
        <f aca="false">Q598-$G$2+$I$2</f>
        <v>15253.4607363978</v>
      </c>
      <c r="S598" s="40" t="n">
        <f aca="false">R598/$K$2</f>
        <v>55.3885788750421</v>
      </c>
      <c r="T598" s="41" t="n">
        <f aca="false">S598-$M$2</f>
        <v>0.884058013718146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0.07421875</v>
      </c>
      <c r="C599" s="25" t="n">
        <f aca="false">IF(T598&gt;0,D598,C598)</f>
        <v>0.080078125</v>
      </c>
      <c r="D599" s="39" t="n">
        <f aca="false">(B599+C599)/2</f>
        <v>0.0771484375</v>
      </c>
      <c r="E599" s="15" t="n">
        <f aca="false">$C$2*(1+IF(E$3&lt;=$O$2,$D599,$D599-($D599-$I$589)*MIN(E$3-$O$2,$Q$2)/$Q$2))</f>
        <v>1992.724609375</v>
      </c>
      <c r="F599" s="15" t="n">
        <f aca="false">E599*(1+IF(F$3&lt;=$O$2,$D599,$D599-($D599-$I$589)*MIN(F$3-$O$2,$Q$2)/$Q$2))</f>
        <v>2146.46019935608</v>
      </c>
      <c r="G599" s="15" t="n">
        <f aca="false">F599*(1+IF(G$3&lt;=$O$2,$D599,$D599-($D599-$I$589)*MIN(G$3-$O$2,$Q$2)/$Q$2))</f>
        <v>2312.05624989234</v>
      </c>
      <c r="H599" s="15" t="n">
        <f aca="false">G599*(1+IF(H$3&lt;=$O$2,$D599,$D599-($D599-$I$589)*MIN(H$3-$O$2,$Q$2)/$Q$2))</f>
        <v>2490.42777698364</v>
      </c>
      <c r="I599" s="15" t="n">
        <f aca="false">H599*(1+IF(I$3&lt;=$O$2,$D599,$D599-($D599-$I$589)*MIN(I$3-$O$2,$Q$2)/$Q$2))</f>
        <v>2682.56038868453</v>
      </c>
      <c r="J599" s="15" t="n">
        <f aca="false">I599*(1+IF(J$3&lt;=$O$2,$D599,$D599-($D599-$I$589)*MIN(J$3-$O$2,$Q$2)/$Q$2))</f>
        <v>2856.17234383971</v>
      </c>
      <c r="K599" s="15" t="n">
        <f aca="false">J599*(1+IF(K$3&lt;=$O$2,$D599,$D599-($D599-$I$589)*MIN(K$3-$O$2,$Q$2)/$Q$2))</f>
        <v>3005.51891803751</v>
      </c>
      <c r="L599" s="15" t="n">
        <f aca="false">K599*(1+IF(L$3&lt;=$O$2,$D599,$D599-($D599-$I$589)*MIN(L$3-$O$2,$Q$2)/$Q$2))</f>
        <v>3125.31702366116</v>
      </c>
      <c r="M599" s="15" t="n">
        <f aca="false">L599*(1+IF(M$3&lt;=$O$2,$D599,$D599-($D599-$I$589)*MIN(M$3-$O$2,$Q$2)/$Q$2))</f>
        <v>3211.04349295862</v>
      </c>
      <c r="N599" s="15" t="n">
        <f aca="false">M599*(1+IF(N$3&lt;=$O$2,$D599,$D599-($D599-$I$589)*MIN(N$3-$O$2,$Q$2)/$Q$2))</f>
        <v>3259.209145353</v>
      </c>
      <c r="O599" s="15" t="n">
        <f aca="false">SUMPRODUCT(E599:N599,1/(1+$F$589)^$E$3:$N$3)*$E$2</f>
        <v>6517.69780235146</v>
      </c>
      <c r="P599" s="15" t="n">
        <f aca="false">N599*$E$2*(1+$I$589)/($F$589-$I$589)/(1+$F$589)^$N$3</f>
        <v>10010.1934096143</v>
      </c>
      <c r="Q599" s="15" t="n">
        <f aca="false">O599+P599</f>
        <v>16527.8912119657</v>
      </c>
      <c r="R599" s="15" t="n">
        <f aca="false">Q599-$G$2+$I$2</f>
        <v>14975.1912119657</v>
      </c>
      <c r="S599" s="40" t="n">
        <f aca="false">R599/$K$2</f>
        <v>54.3781227058562</v>
      </c>
      <c r="T599" s="41" t="n">
        <f aca="false">S599-$M$2</f>
        <v>-0.126398155467761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0.0771484375</v>
      </c>
      <c r="C600" s="25" t="n">
        <f aca="false">IF(T599&gt;0,D599,C599)</f>
        <v>0.080078125</v>
      </c>
      <c r="D600" s="39" t="n">
        <f aca="false">(B600+C600)/2</f>
        <v>0.07861328125</v>
      </c>
      <c r="E600" s="15" t="n">
        <f aca="false">$C$2*(1+IF(E$3&lt;=$O$2,$D600,$D600-($D600-$I$589)*MIN(E$3-$O$2,$Q$2)/$Q$2))</f>
        <v>1995.4345703125</v>
      </c>
      <c r="F600" s="15" t="n">
        <f aca="false">E600*(1+IF(F$3&lt;=$O$2,$D600,$D600-($D600-$I$589)*MIN(F$3-$O$2,$Q$2)/$Q$2))</f>
        <v>2152.30222940445</v>
      </c>
      <c r="G600" s="15" t="n">
        <f aca="false">F600*(1+IF(G$3&lt;=$O$2,$D600,$D600-($D600-$I$589)*MIN(G$3-$O$2,$Q$2)/$Q$2))</f>
        <v>2321.50176989962</v>
      </c>
      <c r="H600" s="15" t="n">
        <f aca="false">G600*(1+IF(H$3&lt;=$O$2,$D600,$D600-($D600-$I$589)*MIN(H$3-$O$2,$Q$2)/$Q$2))</f>
        <v>2504.00264145912</v>
      </c>
      <c r="I600" s="15" t="n">
        <f aca="false">H600*(1+IF(I$3&lt;=$O$2,$D600,$D600-($D600-$I$589)*MIN(I$3-$O$2,$Q$2)/$Q$2))</f>
        <v>2700.85050536288</v>
      </c>
      <c r="J600" s="15" t="n">
        <f aca="false">I600*(1+IF(J$3&lt;=$O$2,$D600,$D600-($D600-$I$589)*MIN(J$3-$O$2,$Q$2)/$Q$2))</f>
        <v>2878.81123319281</v>
      </c>
      <c r="K600" s="15" t="n">
        <f aca="false">J600*(1+IF(K$3&lt;=$O$2,$D600,$D600-($D600-$I$589)*MIN(K$3-$O$2,$Q$2)/$Q$2))</f>
        <v>3031.87177887635</v>
      </c>
      <c r="L600" s="15" t="n">
        <f aca="false">K600*(1+IF(L$3&lt;=$O$2,$D600,$D600-($D600-$I$589)*MIN(L$3-$O$2,$Q$2)/$Q$2))</f>
        <v>3154.49678043294</v>
      </c>
      <c r="M600" s="15" t="n">
        <f aca="false">L600*(1+IF(M$3&lt;=$O$2,$D600,$D600-($D600-$I$589)*MIN(M$3-$O$2,$Q$2)/$Q$2))</f>
        <v>3241.94781031861</v>
      </c>
      <c r="N600" s="15" t="n">
        <f aca="false">M600*(1+IF(N$3&lt;=$O$2,$D600,$D600-($D600-$I$589)*MIN(N$3-$O$2,$Q$2)/$Q$2))</f>
        <v>3290.57702747339</v>
      </c>
      <c r="O600" s="15" t="n">
        <f aca="false">SUMPRODUCT(E600:N600,1/(1+$F$589)^$E$3:$N$3)*$E$2</f>
        <v>6559.94953250777</v>
      </c>
      <c r="P600" s="15" t="n">
        <f aca="false">N600*$E$2*(1+$I$589)/($F$589-$I$589)/(1+$F$589)^$N$3</f>
        <v>10106.5353603365</v>
      </c>
      <c r="Q600" s="15" t="n">
        <f aca="false">O600+P600</f>
        <v>16666.4848928443</v>
      </c>
      <c r="R600" s="15" t="n">
        <f aca="false">Q600-$G$2+$I$2</f>
        <v>15113.7848928443</v>
      </c>
      <c r="S600" s="40" t="n">
        <f aca="false">R600/$K$2</f>
        <v>54.8813860083674</v>
      </c>
      <c r="T600" s="41" t="n">
        <f aca="false">S600-$M$2</f>
        <v>0.376865147043425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0.0771484375</v>
      </c>
      <c r="C601" s="25" t="n">
        <f aca="false">IF(T600&gt;0,D600,C600)</f>
        <v>0.07861328125</v>
      </c>
      <c r="D601" s="39" t="n">
        <f aca="false">(B601+C601)/2</f>
        <v>0.077880859375</v>
      </c>
      <c r="E601" s="15" t="n">
        <f aca="false">$C$2*(1+IF(E$3&lt;=$O$2,$D601,$D601-($D601-$I$589)*MIN(E$3-$O$2,$Q$2)/$Q$2))</f>
        <v>1994.07958984375</v>
      </c>
      <c r="F601" s="15" t="n">
        <f aca="false">E601*(1+IF(F$3&lt;=$O$2,$D601,$D601-($D601-$I$589)*MIN(F$3-$O$2,$Q$2)/$Q$2))</f>
        <v>2149.38022196293</v>
      </c>
      <c r="G601" s="15" t="n">
        <f aca="false">F601*(1+IF(G$3&lt;=$O$2,$D601,$D601-($D601-$I$589)*MIN(G$3-$O$2,$Q$2)/$Q$2))</f>
        <v>2316.77580077303</v>
      </c>
      <c r="H601" s="15" t="n">
        <f aca="false">G601*(1+IF(H$3&lt;=$O$2,$D601,$D601-($D601-$I$589)*MIN(H$3-$O$2,$Q$2)/$Q$2))</f>
        <v>2497.20829111644</v>
      </c>
      <c r="I601" s="15" t="n">
        <f aca="false">H601*(1+IF(I$3&lt;=$O$2,$D601,$D601-($D601-$I$589)*MIN(I$3-$O$2,$Q$2)/$Q$2))</f>
        <v>2691.69301886696</v>
      </c>
      <c r="J601" s="15" t="n">
        <f aca="false">I601*(1+IF(J$3&lt;=$O$2,$D601,$D601-($D601-$I$589)*MIN(J$3-$O$2,$Q$2)/$Q$2))</f>
        <v>2867.47319031</v>
      </c>
      <c r="K601" s="15" t="n">
        <f aca="false">J601*(1+IF(K$3&lt;=$O$2,$D601,$D601-($D601-$I$589)*MIN(K$3-$O$2,$Q$2)/$Q$2))</f>
        <v>3018.67079522953</v>
      </c>
      <c r="L601" s="15" t="n">
        <f aca="false">K601*(1+IF(L$3&lt;=$O$2,$D601,$D601-($D601-$I$589)*MIN(L$3-$O$2,$Q$2)/$Q$2))</f>
        <v>3139.87750266767</v>
      </c>
      <c r="M601" s="15" t="n">
        <f aca="false">L601*(1+IF(M$3&lt;=$O$2,$D601,$D601-($D601-$I$589)*MIN(M$3-$O$2,$Q$2)/$Q$2))</f>
        <v>3226.46330434768</v>
      </c>
      <c r="N601" s="15" t="n">
        <f aca="false">M601*(1+IF(N$3&lt;=$O$2,$D601,$D601-($D601-$I$589)*MIN(N$3-$O$2,$Q$2)/$Q$2))</f>
        <v>3274.86025391289</v>
      </c>
      <c r="O601" s="15" t="n">
        <f aca="false">SUMPRODUCT(E601:N601,1/(1+$F$589)^$E$3:$N$3)*$E$2</f>
        <v>6538.78970202536</v>
      </c>
      <c r="P601" s="15" t="n">
        <f aca="false">N601*$E$2*(1+$I$589)/($F$589-$I$589)/(1+$F$589)^$N$3</f>
        <v>10058.26354466</v>
      </c>
      <c r="Q601" s="15" t="n">
        <f aca="false">O601+P601</f>
        <v>16597.0532466854</v>
      </c>
      <c r="R601" s="15" t="n">
        <f aca="false">Q601-$G$2+$I$2</f>
        <v>15044.3532466854</v>
      </c>
      <c r="S601" s="40" t="n">
        <f aca="false">R601/$K$2</f>
        <v>54.6292648487068</v>
      </c>
      <c r="T601" s="41" t="n">
        <f aca="false">S601-$M$2</f>
        <v>0.124743987382871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0.0771484375</v>
      </c>
      <c r="C602" s="25" t="n">
        <f aca="false">IF(T601&gt;0,D601,C601)</f>
        <v>0.077880859375</v>
      </c>
      <c r="D602" s="39" t="n">
        <f aca="false">(B602+C602)/2</f>
        <v>0.0775146484375</v>
      </c>
      <c r="E602" s="15" t="n">
        <f aca="false">$C$2*(1+IF(E$3&lt;=$O$2,$D602,$D602-($D602-$I$589)*MIN(E$3-$O$2,$Q$2)/$Q$2))</f>
        <v>1993.40209960938</v>
      </c>
      <c r="F602" s="15" t="n">
        <f aca="false">E602*(1+IF(F$3&lt;=$O$2,$D602,$D602-($D602-$I$589)*MIN(F$3-$O$2,$Q$2)/$Q$2))</f>
        <v>2147.91996255517</v>
      </c>
      <c r="G602" s="15" t="n">
        <f aca="false">F602*(1+IF(G$3&lt;=$O$2,$D602,$D602-($D602-$I$589)*MIN(G$3-$O$2,$Q$2)/$Q$2))</f>
        <v>2314.41522332452</v>
      </c>
      <c r="H602" s="15" t="n">
        <f aca="false">G602*(1+IF(H$3&lt;=$O$2,$D602,$D602-($D602-$I$589)*MIN(H$3-$O$2,$Q$2)/$Q$2))</f>
        <v>2493.81630569892</v>
      </c>
      <c r="I602" s="15" t="n">
        <f aca="false">H602*(1+IF(I$3&lt;=$O$2,$D602,$D602-($D602-$I$589)*MIN(I$3-$O$2,$Q$2)/$Q$2))</f>
        <v>2687.12359990288</v>
      </c>
      <c r="J602" s="15" t="n">
        <f aca="false">I602*(1+IF(J$3&lt;=$O$2,$D602,$D602-($D602-$I$589)*MIN(J$3-$O$2,$Q$2)/$Q$2))</f>
        <v>2861.81812362625</v>
      </c>
      <c r="K602" s="15" t="n">
        <f aca="false">J602*(1+IF(K$3&lt;=$O$2,$D602,$D602-($D602-$I$589)*MIN(K$3-$O$2,$Q$2)/$Q$2))</f>
        <v>3012.08872781498</v>
      </c>
      <c r="L602" s="15" t="n">
        <f aca="false">K602*(1+IF(L$3&lt;=$O$2,$D602,$D602-($D602-$I$589)*MIN(L$3-$O$2,$Q$2)/$Q$2))</f>
        <v>3132.58992588497</v>
      </c>
      <c r="M602" s="15" t="n">
        <f aca="false">L602*(1+IF(M$3&lt;=$O$2,$D602,$D602-($D602-$I$589)*MIN(M$3-$O$2,$Q$2)/$Q$2))</f>
        <v>3218.74532635636</v>
      </c>
      <c r="N602" s="15" t="n">
        <f aca="false">M602*(1+IF(N$3&lt;=$O$2,$D602,$D602-($D602-$I$589)*MIN(N$3-$O$2,$Q$2)/$Q$2))</f>
        <v>3267.0265062517</v>
      </c>
      <c r="O602" s="15" t="n">
        <f aca="false">SUMPRODUCT(E602:N602,1/(1+$F$589)^$E$3:$N$3)*$E$2</f>
        <v>6528.23527348247</v>
      </c>
      <c r="P602" s="15" t="n">
        <f aca="false">N602*$E$2*(1+$I$589)/($F$589-$I$589)/(1+$F$589)^$N$3</f>
        <v>10034.2033123418</v>
      </c>
      <c r="Q602" s="15" t="n">
        <f aca="false">O602+P602</f>
        <v>16562.4385858243</v>
      </c>
      <c r="R602" s="15" t="n">
        <f aca="false">Q602-$G$2+$I$2</f>
        <v>15009.7385858243</v>
      </c>
      <c r="S602" s="40" t="n">
        <f aca="false">R602/$K$2</f>
        <v>54.5035716105317</v>
      </c>
      <c r="T602" s="41" t="n">
        <f aca="false">S602-$M$2</f>
        <v>-0.000949250792260159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0.0775146484375</v>
      </c>
      <c r="C603" s="25" t="n">
        <f aca="false">IF(T602&gt;0,D602,C602)</f>
        <v>0.077880859375</v>
      </c>
      <c r="D603" s="39" t="n">
        <f aca="false">(B603+C603)/2</f>
        <v>0.07769775390625</v>
      </c>
      <c r="E603" s="15" t="n">
        <f aca="false">$C$2*(1+IF(E$3&lt;=$O$2,$D603,$D603-($D603-$I$589)*MIN(E$3-$O$2,$Q$2)/$Q$2))</f>
        <v>1993.74084472656</v>
      </c>
      <c r="F603" s="15" t="n">
        <f aca="false">E603*(1+IF(F$3&lt;=$O$2,$D603,$D603-($D603-$I$589)*MIN(F$3-$O$2,$Q$2)/$Q$2))</f>
        <v>2148.65003023297</v>
      </c>
      <c r="G603" s="15" t="n">
        <f aca="false">F603*(1+IF(G$3&lt;=$O$2,$D603,$D603-($D603-$I$589)*MIN(G$3-$O$2,$Q$2)/$Q$2))</f>
        <v>2315.59531151266</v>
      </c>
      <c r="H603" s="15" t="n">
        <f aca="false">G603*(1+IF(H$3&lt;=$O$2,$D603,$D603-($D603-$I$589)*MIN(H$3-$O$2,$Q$2)/$Q$2))</f>
        <v>2495.51186617304</v>
      </c>
      <c r="I603" s="15" t="n">
        <f aca="false">H603*(1+IF(I$3&lt;=$O$2,$D603,$D603-($D603-$I$589)*MIN(I$3-$O$2,$Q$2)/$Q$2))</f>
        <v>2689.40753302108</v>
      </c>
      <c r="J603" s="15" t="n">
        <f aca="false">I603*(1+IF(J$3&lt;=$O$2,$D603,$D603-($D603-$I$589)*MIN(J$3-$O$2,$Q$2)/$Q$2))</f>
        <v>2864.64449534357</v>
      </c>
      <c r="K603" s="15" t="n">
        <f aca="false">J603*(1+IF(K$3&lt;=$O$2,$D603,$D603-($D603-$I$589)*MIN(K$3-$O$2,$Q$2)/$Q$2))</f>
        <v>3015.37822813249</v>
      </c>
      <c r="L603" s="15" t="n">
        <f aca="false">K603*(1+IF(L$3&lt;=$O$2,$D603,$D603-($D603-$I$589)*MIN(L$3-$O$2,$Q$2)/$Q$2))</f>
        <v>3136.23187838717</v>
      </c>
      <c r="M603" s="15" t="n">
        <f aca="false">L603*(1+IF(M$3&lt;=$O$2,$D603,$D603-($D603-$I$589)*MIN(M$3-$O$2,$Q$2)/$Q$2))</f>
        <v>3222.60229546379</v>
      </c>
      <c r="N603" s="15" t="n">
        <f aca="false">M603*(1+IF(N$3&lt;=$O$2,$D603,$D603-($D603-$I$589)*MIN(N$3-$O$2,$Q$2)/$Q$2))</f>
        <v>3270.94132989574</v>
      </c>
      <c r="O603" s="15" t="n">
        <f aca="false">SUMPRODUCT(E603:N603,1/(1+$F$589)^$E$3:$N$3)*$E$2</f>
        <v>6533.51036649807</v>
      </c>
      <c r="P603" s="15" t="n">
        <f aca="false">N603*$E$2*(1+$I$589)/($F$589-$I$589)/(1+$F$589)^$N$3</f>
        <v>10046.227131647</v>
      </c>
      <c r="Q603" s="15" t="n">
        <f aca="false">O603+P603</f>
        <v>16579.7374981451</v>
      </c>
      <c r="R603" s="15" t="n">
        <f aca="false">Q603-$G$2+$I$2</f>
        <v>15027.0374981451</v>
      </c>
      <c r="S603" s="40" t="n">
        <f aca="false">R603/$K$2</f>
        <v>54.5663876616618</v>
      </c>
      <c r="T603" s="41" t="n">
        <f aca="false">S603-$M$2</f>
        <v>0.0618668003379028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0.0775146484375</v>
      </c>
      <c r="C604" s="25" t="n">
        <f aca="false">IF(T603&gt;0,D603,C603)</f>
        <v>0.07769775390625</v>
      </c>
      <c r="D604" s="39" t="n">
        <f aca="false">(B604+C604)/2</f>
        <v>0.077606201171875</v>
      </c>
      <c r="E604" s="15" t="n">
        <f aca="false">$C$2*(1+IF(E$3&lt;=$O$2,$D604,$D604-($D604-$I$589)*MIN(E$3-$O$2,$Q$2)/$Q$2))</f>
        <v>1993.57147216797</v>
      </c>
      <c r="F604" s="15" t="n">
        <f aca="false">E604*(1+IF(F$3&lt;=$O$2,$D604,$D604-($D604-$I$589)*MIN(F$3-$O$2,$Q$2)/$Q$2))</f>
        <v>2148.28498088755</v>
      </c>
      <c r="G604" s="15" t="n">
        <f aca="false">F604*(1+IF(G$3&lt;=$O$2,$D604,$D604-($D604-$I$589)*MIN(G$3-$O$2,$Q$2)/$Q$2))</f>
        <v>2315.00521728882</v>
      </c>
      <c r="H604" s="15" t="n">
        <f aca="false">G604*(1+IF(H$3&lt;=$O$2,$D604,$D604-($D604-$I$589)*MIN(H$3-$O$2,$Q$2)/$Q$2))</f>
        <v>2494.66397789568</v>
      </c>
      <c r="I604" s="15" t="n">
        <f aca="false">H604*(1+IF(I$3&lt;=$O$2,$D604,$D604-($D604-$I$589)*MIN(I$3-$O$2,$Q$2)/$Q$2))</f>
        <v>2688.26537242048</v>
      </c>
      <c r="J604" s="15" t="n">
        <f aca="false">I604*(1+IF(J$3&lt;=$O$2,$D604,$D604-($D604-$I$589)*MIN(J$3-$O$2,$Q$2)/$Q$2))</f>
        <v>2863.2310191741</v>
      </c>
      <c r="K604" s="15" t="n">
        <f aca="false">J604*(1+IF(K$3&lt;=$O$2,$D604,$D604-($D604-$I$589)*MIN(K$3-$O$2,$Q$2)/$Q$2))</f>
        <v>3013.73309477449</v>
      </c>
      <c r="L604" s="15" t="n">
        <f aca="false">K604*(1+IF(L$3&lt;=$O$2,$D604,$D604-($D604-$I$589)*MIN(L$3-$O$2,$Q$2)/$Q$2))</f>
        <v>3134.41044336003</v>
      </c>
      <c r="M604" s="15" t="n">
        <f aca="false">L604*(1+IF(M$3&lt;=$O$2,$D604,$D604-($D604-$I$589)*MIN(M$3-$O$2,$Q$2)/$Q$2))</f>
        <v>3220.67330616487</v>
      </c>
      <c r="N604" s="15" t="n">
        <f aca="false">M604*(1+IF(N$3&lt;=$O$2,$D604,$D604-($D604-$I$589)*MIN(N$3-$O$2,$Q$2)/$Q$2))</f>
        <v>3268.98340575735</v>
      </c>
      <c r="O604" s="15" t="n">
        <f aca="false">SUMPRODUCT(E604:N604,1/(1+$F$589)^$E$3:$N$3)*$E$2</f>
        <v>6530.87228987381</v>
      </c>
      <c r="P604" s="15" t="n">
        <f aca="false">N604*$E$2*(1+$I$589)/($F$589-$I$589)/(1+$F$589)^$N$3</f>
        <v>10040.2136484882</v>
      </c>
      <c r="Q604" s="15" t="n">
        <f aca="false">O604+P604</f>
        <v>16571.085938362</v>
      </c>
      <c r="R604" s="15" t="n">
        <f aca="false">Q604-$G$2+$I$2</f>
        <v>15018.385938362</v>
      </c>
      <c r="S604" s="40" t="n">
        <f aca="false">R604/$K$2</f>
        <v>54.5349719973927</v>
      </c>
      <c r="T604" s="41" t="n">
        <f aca="false">S604-$M$2</f>
        <v>0.0304511360687201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0.0775146484375</v>
      </c>
      <c r="C605" s="25" t="n">
        <f aca="false">IF(T604&gt;0,D604,C604)</f>
        <v>0.077606201171875</v>
      </c>
      <c r="D605" s="39" t="n">
        <f aca="false">(B605+C605)/2</f>
        <v>0.0775604248046875</v>
      </c>
      <c r="E605" s="15" t="n">
        <f aca="false">$C$2*(1+IF(E$3&lt;=$O$2,$D605,$D605-($D605-$I$589)*MIN(E$3-$O$2,$Q$2)/$Q$2))</f>
        <v>1993.48678588867</v>
      </c>
      <c r="F605" s="15" t="n">
        <f aca="false">E605*(1+IF(F$3&lt;=$O$2,$D605,$D605-($D605-$I$589)*MIN(F$3-$O$2,$Q$2)/$Q$2))</f>
        <v>2148.10246784473</v>
      </c>
      <c r="G605" s="15" t="n">
        <f aca="false">F605*(1+IF(G$3&lt;=$O$2,$D605,$D605-($D605-$I$589)*MIN(G$3-$O$2,$Q$2)/$Q$2))</f>
        <v>2314.71020777476</v>
      </c>
      <c r="H605" s="15" t="n">
        <f aca="false">G605*(1+IF(H$3&lt;=$O$2,$D605,$D605-($D605-$I$589)*MIN(H$3-$O$2,$Q$2)/$Q$2))</f>
        <v>2494.24011478952</v>
      </c>
      <c r="I605" s="15" t="n">
        <f aca="false">H605*(1+IF(I$3&lt;=$O$2,$D605,$D605-($D605-$I$589)*MIN(I$3-$O$2,$Q$2)/$Q$2))</f>
        <v>2687.69443765749</v>
      </c>
      <c r="J605" s="15" t="n">
        <f aca="false">I605*(1+IF(J$3&lt;=$O$2,$D605,$D605-($D605-$I$589)*MIN(J$3-$O$2,$Q$2)/$Q$2))</f>
        <v>2862.52449883439</v>
      </c>
      <c r="K605" s="15" t="n">
        <f aca="false">J605*(1+IF(K$3&lt;=$O$2,$D605,$D605-($D605-$I$589)*MIN(K$3-$O$2,$Q$2)/$Q$2))</f>
        <v>3012.91081551345</v>
      </c>
      <c r="L605" s="15" t="n">
        <f aca="false">K605*(1+IF(L$3&lt;=$O$2,$D605,$D605-($D605-$I$589)*MIN(L$3-$O$2,$Q$2)/$Q$2))</f>
        <v>3133.50006995301</v>
      </c>
      <c r="M605" s="15" t="n">
        <f aca="false">L605*(1+IF(M$3&lt;=$O$2,$D605,$D605-($D605-$I$589)*MIN(M$3-$O$2,$Q$2)/$Q$2))</f>
        <v>3219.70919010266</v>
      </c>
      <c r="N605" s="15" t="n">
        <f aca="false">M605*(1+IF(N$3&lt;=$O$2,$D605,$D605-($D605-$I$589)*MIN(N$3-$O$2,$Q$2)/$Q$2))</f>
        <v>3268.0048279542</v>
      </c>
      <c r="O605" s="15" t="n">
        <f aca="false">SUMPRODUCT(E605:N605,1/(1+$F$589)^$E$3:$N$3)*$E$2</f>
        <v>6529.55364917371</v>
      </c>
      <c r="P605" s="15" t="n">
        <f aca="false">N605*$E$2*(1+$I$589)/($F$589-$I$589)/(1+$F$589)^$N$3</f>
        <v>10037.2080871268</v>
      </c>
      <c r="Q605" s="15" t="n">
        <f aca="false">O605+P605</f>
        <v>16566.7617363005</v>
      </c>
      <c r="R605" s="15" t="n">
        <f aca="false">Q605-$G$2+$I$2</f>
        <v>15014.0617363005</v>
      </c>
      <c r="S605" s="40" t="n">
        <f aca="false">R605/$K$2</f>
        <v>54.5192698946967</v>
      </c>
      <c r="T605" s="41" t="n">
        <f aca="false">S605-$M$2</f>
        <v>0.014749033372766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0.0775146484375</v>
      </c>
      <c r="C606" s="25" t="n">
        <f aca="false">IF(T605&gt;0,D605,C605)</f>
        <v>0.0775604248046875</v>
      </c>
      <c r="D606" s="39" t="n">
        <f aca="false">(B606+C606)/2</f>
        <v>0.0775375366210938</v>
      </c>
      <c r="E606" s="15" t="n">
        <f aca="false">$C$2*(1+IF(E$3&lt;=$O$2,$D606,$D606-($D606-$I$589)*MIN(E$3-$O$2,$Q$2)/$Q$2))</f>
        <v>1993.44444274902</v>
      </c>
      <c r="F606" s="15" t="n">
        <f aca="false">E606*(1+IF(F$3&lt;=$O$2,$D606,$D606-($D606-$I$589)*MIN(F$3-$O$2,$Q$2)/$Q$2))</f>
        <v>2148.01121423079</v>
      </c>
      <c r="G606" s="15" t="n">
        <f aca="false">F606*(1+IF(G$3&lt;=$O$2,$D606,$D606-($D606-$I$589)*MIN(G$3-$O$2,$Q$2)/$Q$2))</f>
        <v>2314.56271241673</v>
      </c>
      <c r="H606" s="15" t="n">
        <f aca="false">G606*(1+IF(H$3&lt;=$O$2,$D606,$D606-($D606-$I$589)*MIN(H$3-$O$2,$Q$2)/$Q$2))</f>
        <v>2494.02820349256</v>
      </c>
      <c r="I606" s="15" t="n">
        <f aca="false">H606*(1+IF(I$3&lt;=$O$2,$D606,$D606-($D606-$I$589)*MIN(I$3-$O$2,$Q$2)/$Q$2))</f>
        <v>2687.40900665491</v>
      </c>
      <c r="J606" s="15" t="n">
        <f aca="false">I606*(1+IF(J$3&lt;=$O$2,$D606,$D606-($D606-$I$589)*MIN(J$3-$O$2,$Q$2)/$Q$2))</f>
        <v>2862.17129309036</v>
      </c>
      <c r="K606" s="15" t="n">
        <f aca="false">J606*(1+IF(K$3&lt;=$O$2,$D606,$D606-($D606-$I$589)*MIN(K$3-$O$2,$Q$2)/$Q$2))</f>
        <v>3012.49974772121</v>
      </c>
      <c r="L606" s="15" t="n">
        <f aca="false">K606*(1+IF(L$3&lt;=$O$2,$D606,$D606-($D606-$I$589)*MIN(L$3-$O$2,$Q$2)/$Q$2))</f>
        <v>3133.04496925468</v>
      </c>
      <c r="M606" s="15" t="n">
        <f aca="false">L606*(1+IF(M$3&lt;=$O$2,$D606,$D606-($D606-$I$589)*MIN(M$3-$O$2,$Q$2)/$Q$2))</f>
        <v>3219.22722669356</v>
      </c>
      <c r="N606" s="15" t="n">
        <f aca="false">M606*(1+IF(N$3&lt;=$O$2,$D606,$D606-($D606-$I$589)*MIN(N$3-$O$2,$Q$2)/$Q$2))</f>
        <v>3267.51563509397</v>
      </c>
      <c r="O606" s="15" t="n">
        <f aca="false">SUMPRODUCT(E606:N606,1/(1+$F$589)^$E$3:$N$3)*$E$2</f>
        <v>6528.89442820507</v>
      </c>
      <c r="P606" s="15" t="n">
        <f aca="false">N606*$E$2*(1+$I$589)/($F$589-$I$589)/(1+$F$589)^$N$3</f>
        <v>10035.7056014233</v>
      </c>
      <c r="Q606" s="15" t="n">
        <f aca="false">O606+P606</f>
        <v>16564.6000296284</v>
      </c>
      <c r="R606" s="15" t="n">
        <f aca="false">Q606-$G$2+$I$2</f>
        <v>15011.9000296284</v>
      </c>
      <c r="S606" s="40" t="n">
        <f aca="false">R606/$K$2</f>
        <v>54.5114202753491</v>
      </c>
      <c r="T606" s="41" t="n">
        <f aca="false">S606-$M$2</f>
        <v>0.00689941402517746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0.0775146484375</v>
      </c>
      <c r="C607" s="25" t="n">
        <f aca="false">IF(T606&gt;0,D606,C606)</f>
        <v>0.0775375366210938</v>
      </c>
      <c r="D607" s="39" t="n">
        <f aca="false">(B607+C607)/2</f>
        <v>0.0775260925292969</v>
      </c>
      <c r="E607" s="15" t="n">
        <f aca="false">$C$2*(1+IF(E$3&lt;=$O$2,$D607,$D607-($D607-$I$589)*MIN(E$3-$O$2,$Q$2)/$Q$2))</f>
        <v>1993.4232711792</v>
      </c>
      <c r="F607" s="15" t="n">
        <f aca="false">E607*(1+IF(F$3&lt;=$O$2,$D607,$D607-($D607-$I$589)*MIN(F$3-$O$2,$Q$2)/$Q$2))</f>
        <v>2147.96558815069</v>
      </c>
      <c r="G607" s="15" t="n">
        <f aca="false">F607*(1+IF(G$3&lt;=$O$2,$D607,$D607-($D607-$I$589)*MIN(G$3-$O$2,$Q$2)/$Q$2))</f>
        <v>2314.48896708741</v>
      </c>
      <c r="H607" s="15" t="n">
        <f aca="false">G607*(1+IF(H$3&lt;=$O$2,$D607,$D607-($D607-$I$589)*MIN(H$3-$O$2,$Q$2)/$Q$2))</f>
        <v>2493.92225290786</v>
      </c>
      <c r="I607" s="15" t="n">
        <f aca="false">H607*(1+IF(I$3&lt;=$O$2,$D607,$D607-($D607-$I$589)*MIN(I$3-$O$2,$Q$2)/$Q$2))</f>
        <v>2687.26630024767</v>
      </c>
      <c r="J607" s="15" t="n">
        <f aca="false">I607*(1+IF(J$3&lt;=$O$2,$D607,$D607-($D607-$I$589)*MIN(J$3-$O$2,$Q$2)/$Q$2))</f>
        <v>2861.9947038235</v>
      </c>
      <c r="K607" s="15" t="n">
        <f aca="false">J607*(1+IF(K$3&lt;=$O$2,$D607,$D607-($D607-$I$589)*MIN(K$3-$O$2,$Q$2)/$Q$2))</f>
        <v>3012.29423178263</v>
      </c>
      <c r="L607" s="15" t="n">
        <f aca="false">K607*(1+IF(L$3&lt;=$O$2,$D607,$D607-($D607-$I$589)*MIN(L$3-$O$2,$Q$2)/$Q$2))</f>
        <v>3132.81744040413</v>
      </c>
      <c r="M607" s="15" t="n">
        <f aca="false">L607*(1+IF(M$3&lt;=$O$2,$D607,$D607-($D607-$I$589)*MIN(M$3-$O$2,$Q$2)/$Q$2))</f>
        <v>3218.98626864142</v>
      </c>
      <c r="N607" s="15" t="n">
        <f aca="false">M607*(1+IF(N$3&lt;=$O$2,$D607,$D607-($D607-$I$589)*MIN(N$3-$O$2,$Q$2)/$Q$2))</f>
        <v>3267.27106267104</v>
      </c>
      <c r="O607" s="15" t="n">
        <f aca="false">SUMPRODUCT(E607:N607,1/(1+$F$589)^$E$3:$N$3)*$E$2</f>
        <v>6528.5648425634</v>
      </c>
      <c r="P607" s="15" t="n">
        <f aca="false">N607*$E$2*(1+$I$589)/($F$589-$I$589)/(1+$F$589)^$N$3</f>
        <v>10034.9544323062</v>
      </c>
      <c r="Q607" s="15" t="n">
        <f aca="false">O607+P607</f>
        <v>16563.5192748696</v>
      </c>
      <c r="R607" s="15" t="n">
        <f aca="false">Q607-$G$2+$I$2</f>
        <v>15010.8192748696</v>
      </c>
      <c r="S607" s="40" t="n">
        <f aca="false">R607/$K$2</f>
        <v>54.5074958236305</v>
      </c>
      <c r="T607" s="41" t="n">
        <f aca="false">S607-$M$2</f>
        <v>0.00297496230659533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0.0775146484375</v>
      </c>
      <c r="C608" s="25" t="n">
        <f aca="false">IF(T607&gt;0,D607,C607)</f>
        <v>0.0775260925292969</v>
      </c>
      <c r="D608" s="39" t="n">
        <f aca="false">(B608+C608)/2</f>
        <v>0.0775203704833984</v>
      </c>
      <c r="E608" s="15" t="n">
        <f aca="false">$C$2*(1+IF(E$3&lt;=$O$2,$D608,$D608-($D608-$I$589)*MIN(E$3-$O$2,$Q$2)/$Q$2))</f>
        <v>1993.41268539429</v>
      </c>
      <c r="F608" s="15" t="n">
        <f aca="false">E608*(1+IF(F$3&lt;=$O$2,$D608,$D608-($D608-$I$589)*MIN(F$3-$O$2,$Q$2)/$Q$2))</f>
        <v>2147.94277529236</v>
      </c>
      <c r="G608" s="15" t="n">
        <f aca="false">F608*(1+IF(G$3&lt;=$O$2,$D608,$D608-($D608-$I$589)*MIN(G$3-$O$2,$Q$2)/$Q$2))</f>
        <v>2314.45209501016</v>
      </c>
      <c r="H608" s="15" t="n">
        <f aca="false">G608*(1+IF(H$3&lt;=$O$2,$D608,$D608-($D608-$I$589)*MIN(H$3-$O$2,$Q$2)/$Q$2))</f>
        <v>2493.86927888143</v>
      </c>
      <c r="I608" s="15" t="n">
        <f aca="false">H608*(1+IF(I$3&lt;=$O$2,$D608,$D608-($D608-$I$589)*MIN(I$3-$O$2,$Q$2)/$Q$2))</f>
        <v>2687.19494931748</v>
      </c>
      <c r="J608" s="15" t="n">
        <f aca="false">I608*(1+IF(J$3&lt;=$O$2,$D608,$D608-($D608-$I$589)*MIN(J$3-$O$2,$Q$2)/$Q$2))</f>
        <v>2861.9064125912</v>
      </c>
      <c r="K608" s="15" t="n">
        <f aca="false">J608*(1+IF(K$3&lt;=$O$2,$D608,$D608-($D608-$I$589)*MIN(K$3-$O$2,$Q$2)/$Q$2))</f>
        <v>3012.19147830248</v>
      </c>
      <c r="L608" s="15" t="n">
        <f aca="false">K608*(1+IF(L$3&lt;=$O$2,$D608,$D608-($D608-$I$589)*MIN(L$3-$O$2,$Q$2)/$Q$2))</f>
        <v>3132.70368135318</v>
      </c>
      <c r="M608" s="15" t="n">
        <f aca="false">L608*(1+IF(M$3&lt;=$O$2,$D608,$D608-($D608-$I$589)*MIN(M$3-$O$2,$Q$2)/$Q$2))</f>
        <v>3218.86579552806</v>
      </c>
      <c r="N608" s="15" t="n">
        <f aca="false">M608*(1+IF(N$3&lt;=$O$2,$D608,$D608-($D608-$I$589)*MIN(N$3-$O$2,$Q$2)/$Q$2))</f>
        <v>3267.14878246098</v>
      </c>
      <c r="O608" s="15" t="n">
        <f aca="false">SUMPRODUCT(E608:N608,1/(1+$F$589)^$E$3:$N$3)*$E$2</f>
        <v>6528.40005595289</v>
      </c>
      <c r="P608" s="15" t="n">
        <f aca="false">N608*$E$2*(1+$I$589)/($F$589-$I$589)/(1+$F$589)^$N$3</f>
        <v>10034.5788661801</v>
      </c>
      <c r="Q608" s="15" t="n">
        <f aca="false">O608+P608</f>
        <v>16562.978922133</v>
      </c>
      <c r="R608" s="15" t="n">
        <f aca="false">Q608-$G$2+$I$2</f>
        <v>15010.278922133</v>
      </c>
      <c r="S608" s="40" t="n">
        <f aca="false">R608/$K$2</f>
        <v>54.5055336872545</v>
      </c>
      <c r="T608" s="41" t="n">
        <f aca="false">S608-$M$2</f>
        <v>0.00101282593052332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0.0775146484375</v>
      </c>
      <c r="C609" s="25" t="n">
        <f aca="false">IF(T608&gt;0,D608,C608)</f>
        <v>0.0775203704833984</v>
      </c>
      <c r="D609" s="39" t="n">
        <f aca="false">(B609+C609)/2</f>
        <v>0.0775175094604492</v>
      </c>
      <c r="E609" s="15" t="n">
        <f aca="false">$C$2*(1+IF(E$3&lt;=$O$2,$D609,$D609-($D609-$I$589)*MIN(E$3-$O$2,$Q$2)/$Q$2))</f>
        <v>1993.40739250183</v>
      </c>
      <c r="F609" s="15" t="n">
        <f aca="false">E609*(1+IF(F$3&lt;=$O$2,$D609,$D609-($D609-$I$589)*MIN(F$3-$O$2,$Q$2)/$Q$2))</f>
        <v>2147.93136890862</v>
      </c>
      <c r="G609" s="15" t="n">
        <f aca="false">F609*(1+IF(G$3&lt;=$O$2,$D609,$D609-($D609-$I$589)*MIN(G$3-$O$2,$Q$2)/$Q$2))</f>
        <v>2314.43365911839</v>
      </c>
      <c r="H609" s="15" t="n">
        <f aca="false">G609*(1+IF(H$3&lt;=$O$2,$D609,$D609-($D609-$I$589)*MIN(H$3-$O$2,$Q$2)/$Q$2))</f>
        <v>2493.84279218468</v>
      </c>
      <c r="I609" s="15" t="n">
        <f aca="false">H609*(1+IF(I$3&lt;=$O$2,$D609,$D609-($D609-$I$589)*MIN(I$3-$O$2,$Q$2)/$Q$2))</f>
        <v>2687.15927442073</v>
      </c>
      <c r="J609" s="15" t="n">
        <f aca="false">I609*(1+IF(J$3&lt;=$O$2,$D609,$D609-($D609-$I$589)*MIN(J$3-$O$2,$Q$2)/$Q$2))</f>
        <v>2861.86226782531</v>
      </c>
      <c r="K609" s="15" t="n">
        <f aca="false">J609*(1+IF(K$3&lt;=$O$2,$D609,$D609-($D609-$I$589)*MIN(K$3-$O$2,$Q$2)/$Q$2))</f>
        <v>3012.14010268465</v>
      </c>
      <c r="L609" s="15" t="n">
        <f aca="false">K609*(1+IF(L$3&lt;=$O$2,$D609,$D609-($D609-$I$589)*MIN(L$3-$O$2,$Q$2)/$Q$2))</f>
        <v>3132.64680317124</v>
      </c>
      <c r="M609" s="15" t="n">
        <f aca="false">L609*(1+IF(M$3&lt;=$O$2,$D609,$D609-($D609-$I$589)*MIN(M$3-$O$2,$Q$2)/$Q$2))</f>
        <v>3218.80556044951</v>
      </c>
      <c r="N609" s="15" t="n">
        <f aca="false">M609*(1+IF(N$3&lt;=$O$2,$D609,$D609-($D609-$I$589)*MIN(N$3-$O$2,$Q$2)/$Q$2))</f>
        <v>3267.08764385625</v>
      </c>
      <c r="O609" s="15" t="n">
        <f aca="false">SUMPRODUCT(E609:N609,1/(1+$F$589)^$E$3:$N$3)*$E$2</f>
        <v>6528.31766420018</v>
      </c>
      <c r="P609" s="15" t="n">
        <f aca="false">N609*$E$2*(1+$I$589)/($F$589-$I$589)/(1+$F$589)^$N$3</f>
        <v>10034.391087725</v>
      </c>
      <c r="Q609" s="15" t="n">
        <f aca="false">O609+P609</f>
        <v>16562.7087519252</v>
      </c>
      <c r="R609" s="15" t="n">
        <f aca="false">Q609-$G$2+$I$2</f>
        <v>15010.0087519252</v>
      </c>
      <c r="S609" s="40" t="n">
        <f aca="false">R609/$K$2</f>
        <v>54.5045526414365</v>
      </c>
      <c r="T609" s="41" t="n">
        <f aca="false">S609-$M$2</f>
        <v>3.17801125859774E-005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0.0775146484375</v>
      </c>
      <c r="C610" s="25" t="n">
        <f aca="false">IF(T609&gt;0,D609,C609)</f>
        <v>0.0775175094604492</v>
      </c>
      <c r="D610" s="39" t="n">
        <f aca="false">(B610+C610)/2</f>
        <v>0.0775160789489746</v>
      </c>
      <c r="E610" s="15" t="n">
        <f aca="false">$C$2*(1+IF(E$3&lt;=$O$2,$D610,$D610-($D610-$I$589)*MIN(E$3-$O$2,$Q$2)/$Q$2))</f>
        <v>1993.4047460556</v>
      </c>
      <c r="F610" s="15" t="n">
        <f aca="false">E610*(1+IF(F$3&lt;=$O$2,$D610,$D610-($D610-$I$589)*MIN(F$3-$O$2,$Q$2)/$Q$2))</f>
        <v>2147.92566572811</v>
      </c>
      <c r="G610" s="15" t="n">
        <f aca="false">F610*(1+IF(G$3&lt;=$O$2,$D610,$D610-($D610-$I$589)*MIN(G$3-$O$2,$Q$2)/$Q$2))</f>
        <v>2314.42444120922</v>
      </c>
      <c r="H610" s="15" t="n">
        <f aca="false">G610*(1+IF(H$3&lt;=$O$2,$D610,$D610-($D610-$I$589)*MIN(H$3-$O$2,$Q$2)/$Q$2))</f>
        <v>2493.82954891543</v>
      </c>
      <c r="I610" s="15" t="n">
        <f aca="false">H610*(1+IF(I$3&lt;=$O$2,$D610,$D610-($D610-$I$589)*MIN(I$3-$O$2,$Q$2)/$Q$2))</f>
        <v>2687.14143711444</v>
      </c>
      <c r="J610" s="15" t="n">
        <f aca="false">I610*(1+IF(J$3&lt;=$O$2,$D610,$D610-($D610-$I$589)*MIN(J$3-$O$2,$Q$2)/$Q$2))</f>
        <v>2861.84019565493</v>
      </c>
      <c r="K610" s="15" t="n">
        <f aca="false">J610*(1+IF(K$3&lt;=$O$2,$D610,$D610-($D610-$I$589)*MIN(K$3-$O$2,$Q$2)/$Q$2))</f>
        <v>3012.1144151563</v>
      </c>
      <c r="L610" s="15" t="n">
        <f aca="false">K610*(1+IF(L$3&lt;=$O$2,$D610,$D610-($D610-$I$589)*MIN(L$3-$O$2,$Q$2)/$Q$2))</f>
        <v>3132.61836441614</v>
      </c>
      <c r="M610" s="15" t="n">
        <f aca="false">L610*(1+IF(M$3&lt;=$O$2,$D610,$D610-($D610-$I$589)*MIN(M$3-$O$2,$Q$2)/$Q$2))</f>
        <v>3218.77544327976</v>
      </c>
      <c r="N610" s="15" t="n">
        <f aca="false">M610*(1+IF(N$3&lt;=$O$2,$D610,$D610-($D610-$I$589)*MIN(N$3-$O$2,$Q$2)/$Q$2))</f>
        <v>3267.05707492895</v>
      </c>
      <c r="O610" s="15" t="n">
        <f aca="false">SUMPRODUCT(E610:N610,1/(1+$F$589)^$E$3:$N$3)*$E$2</f>
        <v>6528.27646871195</v>
      </c>
      <c r="P610" s="15" t="n">
        <f aca="false">N610*$E$2*(1+$I$589)/($F$589-$I$589)/(1+$F$589)^$N$3</f>
        <v>10034.2971996495</v>
      </c>
      <c r="Q610" s="15" t="n">
        <f aca="false">O610+P610</f>
        <v>16562.5736683614</v>
      </c>
      <c r="R610" s="15" t="n">
        <f aca="false">Q610-$G$2+$I$2</f>
        <v>15009.8736683614</v>
      </c>
      <c r="S610" s="40" t="n">
        <f aca="false">R610/$K$2</f>
        <v>54.50406212412</v>
      </c>
      <c r="T610" s="41" t="n">
        <f aca="false">S610-$M$2</f>
        <v>-0.000458737203956616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0.0775160789489746</v>
      </c>
      <c r="C611" s="25" t="n">
        <f aca="false">IF(T610&gt;0,D610,C610)</f>
        <v>0.0775175094604492</v>
      </c>
      <c r="D611" s="39" t="n">
        <f aca="false">(B611+C611)/2</f>
        <v>0.0775167942047119</v>
      </c>
      <c r="E611" s="15" t="n">
        <f aca="false">$C$2*(1+IF(E$3&lt;=$O$2,$D611,$D611-($D611-$I$589)*MIN(E$3-$O$2,$Q$2)/$Q$2))</f>
        <v>1993.40606927872</v>
      </c>
      <c r="F611" s="15" t="n">
        <f aca="false">E611*(1+IF(F$3&lt;=$O$2,$D611,$D611-($D611-$I$589)*MIN(F$3-$O$2,$Q$2)/$Q$2))</f>
        <v>2147.92851731742</v>
      </c>
      <c r="G611" s="15" t="n">
        <f aca="false">F611*(1+IF(G$3&lt;=$O$2,$D611,$D611-($D611-$I$589)*MIN(G$3-$O$2,$Q$2)/$Q$2))</f>
        <v>2314.42905016075</v>
      </c>
      <c r="H611" s="15" t="n">
        <f aca="false">G611*(1+IF(H$3&lt;=$O$2,$D611,$D611-($D611-$I$589)*MIN(H$3-$O$2,$Q$2)/$Q$2))</f>
        <v>2493.83617054346</v>
      </c>
      <c r="I611" s="15" t="n">
        <f aca="false">H611*(1+IF(I$3&lt;=$O$2,$D611,$D611-($D611-$I$589)*MIN(I$3-$O$2,$Q$2)/$Q$2))</f>
        <v>2687.15035575575</v>
      </c>
      <c r="J611" s="15" t="n">
        <f aca="false">I611*(1+IF(J$3&lt;=$O$2,$D611,$D611-($D611-$I$589)*MIN(J$3-$O$2,$Q$2)/$Q$2))</f>
        <v>2861.8512317224</v>
      </c>
      <c r="K611" s="15" t="n">
        <f aca="false">J611*(1+IF(K$3&lt;=$O$2,$D611,$D611-($D611-$I$589)*MIN(K$3-$O$2,$Q$2)/$Q$2))</f>
        <v>3012.12725889709</v>
      </c>
      <c r="L611" s="15" t="n">
        <f aca="false">K611*(1+IF(L$3&lt;=$O$2,$D611,$D611-($D611-$I$589)*MIN(L$3-$O$2,$Q$2)/$Q$2))</f>
        <v>3132.6325837657</v>
      </c>
      <c r="M611" s="15" t="n">
        <f aca="false">L611*(1+IF(M$3&lt;=$O$2,$D611,$D611-($D611-$I$589)*MIN(M$3-$O$2,$Q$2)/$Q$2))</f>
        <v>3218.79050183384</v>
      </c>
      <c r="N611" s="15" t="n">
        <f aca="false">M611*(1+IF(N$3&lt;=$O$2,$D611,$D611-($D611-$I$589)*MIN(N$3-$O$2,$Q$2)/$Q$2))</f>
        <v>3267.07235936134</v>
      </c>
      <c r="O611" s="15" t="n">
        <f aca="false">SUMPRODUCT(E611:N611,1/(1+$F$589)^$E$3:$N$3)*$E$2</f>
        <v>6528.29706642372</v>
      </c>
      <c r="P611" s="15" t="n">
        <f aca="false">N611*$E$2*(1+$I$589)/($F$589-$I$589)/(1+$F$589)^$N$3</f>
        <v>10034.3441435912</v>
      </c>
      <c r="Q611" s="15" t="n">
        <f aca="false">O611+P611</f>
        <v>16562.641210015</v>
      </c>
      <c r="R611" s="15" t="n">
        <f aca="false">Q611-$G$2+$I$2</f>
        <v>15009.941210015</v>
      </c>
      <c r="S611" s="40" t="n">
        <f aca="false">R611/$K$2</f>
        <v>54.5043073823122</v>
      </c>
      <c r="T611" s="41" t="n">
        <f aca="false">S611-$M$2</f>
        <v>-0.000213479011726747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0.0775167942047119</v>
      </c>
      <c r="C612" s="25" t="n">
        <f aca="false">IF(T611&gt;0,D611,C611)</f>
        <v>0.0775175094604492</v>
      </c>
      <c r="D612" s="39" t="n">
        <f aca="false">(B612+C612)/2</f>
        <v>0.0775171518325806</v>
      </c>
      <c r="E612" s="15" t="n">
        <f aca="false">$C$2*(1+IF(E$3&lt;=$O$2,$D612,$D612-($D612-$I$589)*MIN(E$3-$O$2,$Q$2)/$Q$2))</f>
        <v>1993.40673089027</v>
      </c>
      <c r="F612" s="15" t="n">
        <f aca="false">E612*(1+IF(F$3&lt;=$O$2,$D612,$D612-($D612-$I$589)*MIN(F$3-$O$2,$Q$2)/$Q$2))</f>
        <v>2147.92994311278</v>
      </c>
      <c r="G612" s="15" t="n">
        <f aca="false">F612*(1+IF(G$3&lt;=$O$2,$D612,$D612-($D612-$I$589)*MIN(G$3-$O$2,$Q$2)/$Q$2))</f>
        <v>2314.4313546388</v>
      </c>
      <c r="H612" s="15" t="n">
        <f aca="false">G612*(1+IF(H$3&lt;=$O$2,$D612,$D612-($D612-$I$589)*MIN(H$3-$O$2,$Q$2)/$Q$2))</f>
        <v>2493.83948136242</v>
      </c>
      <c r="I612" s="15" t="n">
        <f aca="false">H612*(1+IF(I$3&lt;=$O$2,$D612,$D612-($D612-$I$589)*MIN(I$3-$O$2,$Q$2)/$Q$2))</f>
        <v>2687.15481508528</v>
      </c>
      <c r="J612" s="15" t="n">
        <f aca="false">I612*(1+IF(J$3&lt;=$O$2,$D612,$D612-($D612-$I$589)*MIN(J$3-$O$2,$Q$2)/$Q$2))</f>
        <v>2861.85674976943</v>
      </c>
      <c r="K612" s="15" t="n">
        <f aca="false">J612*(1+IF(K$3&lt;=$O$2,$D612,$D612-($D612-$I$589)*MIN(K$3-$O$2,$Q$2)/$Q$2))</f>
        <v>3012.13368078503</v>
      </c>
      <c r="L612" s="15" t="n">
        <f aca="false">K612*(1+IF(L$3&lt;=$O$2,$D612,$D612-($D612-$I$589)*MIN(L$3-$O$2,$Q$2)/$Q$2))</f>
        <v>3132.63969346147</v>
      </c>
      <c r="M612" s="15" t="n">
        <f aca="false">L612*(1+IF(M$3&lt;=$O$2,$D612,$D612-($D612-$I$589)*MIN(M$3-$O$2,$Q$2)/$Q$2))</f>
        <v>3218.79803113397</v>
      </c>
      <c r="N612" s="15" t="n">
        <f aca="false">M612*(1+IF(N$3&lt;=$O$2,$D612,$D612-($D612-$I$589)*MIN(N$3-$O$2,$Q$2)/$Q$2))</f>
        <v>3267.08000160098</v>
      </c>
      <c r="O612" s="15" t="n">
        <f aca="false">SUMPRODUCT(E612:N612,1/(1+$F$589)^$E$3:$N$3)*$E$2</f>
        <v>6528.30736530386</v>
      </c>
      <c r="P612" s="15" t="n">
        <f aca="false">N612*$E$2*(1+$I$589)/($F$589-$I$589)/(1+$F$589)^$N$3</f>
        <v>10034.3676156341</v>
      </c>
      <c r="Q612" s="15" t="n">
        <f aca="false">O612+P612</f>
        <v>16562.674980938</v>
      </c>
      <c r="R612" s="15" t="n">
        <f aca="false">Q612-$G$2+$I$2</f>
        <v>15009.974980938</v>
      </c>
      <c r="S612" s="40" t="n">
        <f aca="false">R612/$K$2</f>
        <v>54.5044300117578</v>
      </c>
      <c r="T612" s="41" t="n">
        <f aca="false">S612-$M$2</f>
        <v>-9.08495660993935E-005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0.0775171518325806</v>
      </c>
      <c r="C613" s="25" t="n">
        <f aca="false">IF(T612&gt;0,D612,C612)</f>
        <v>0.0775175094604492</v>
      </c>
      <c r="D613" s="39" t="n">
        <f aca="false">(B613+C613)/2</f>
        <v>0.0775173306465149</v>
      </c>
      <c r="E613" s="15" t="n">
        <f aca="false">$C$2*(1+IF(E$3&lt;=$O$2,$D613,$D613-($D613-$I$589)*MIN(E$3-$O$2,$Q$2)/$Q$2))</f>
        <v>1993.40706169605</v>
      </c>
      <c r="F613" s="15" t="n">
        <f aca="false">E613*(1+IF(F$3&lt;=$O$2,$D613,$D613-($D613-$I$589)*MIN(F$3-$O$2,$Q$2)/$Q$2))</f>
        <v>2147.93065601064</v>
      </c>
      <c r="G613" s="15" t="n">
        <f aca="false">F613*(1+IF(G$3&lt;=$O$2,$D613,$D613-($D613-$I$589)*MIN(G$3-$O$2,$Q$2)/$Q$2))</f>
        <v>2314.43250687841</v>
      </c>
      <c r="H613" s="15" t="n">
        <f aca="false">G613*(1+IF(H$3&lt;=$O$2,$D613,$D613-($D613-$I$589)*MIN(H$3-$O$2,$Q$2)/$Q$2))</f>
        <v>2493.84113677314</v>
      </c>
      <c r="I613" s="15" t="n">
        <f aca="false">H613*(1+IF(I$3&lt;=$O$2,$D613,$D613-($D613-$I$589)*MIN(I$3-$O$2,$Q$2)/$Q$2))</f>
        <v>2687.15704475227</v>
      </c>
      <c r="J613" s="15" t="n">
        <f aca="false">I613*(1+IF(J$3&lt;=$O$2,$D613,$D613-($D613-$I$589)*MIN(J$3-$O$2,$Q$2)/$Q$2))</f>
        <v>2861.85950879626</v>
      </c>
      <c r="K613" s="15" t="n">
        <f aca="false">J613*(1+IF(K$3&lt;=$O$2,$D613,$D613-($D613-$I$589)*MIN(K$3-$O$2,$Q$2)/$Q$2))</f>
        <v>3012.13689173338</v>
      </c>
      <c r="L613" s="15" t="n">
        <f aca="false">K613*(1+IF(L$3&lt;=$O$2,$D613,$D613-($D613-$I$589)*MIN(L$3-$O$2,$Q$2)/$Q$2))</f>
        <v>3132.6432483146</v>
      </c>
      <c r="M613" s="15" t="n">
        <f aca="false">L613*(1+IF(M$3&lt;=$O$2,$D613,$D613-($D613-$I$589)*MIN(M$3-$O$2,$Q$2)/$Q$2))</f>
        <v>3218.80179578981</v>
      </c>
      <c r="N613" s="15" t="n">
        <f aca="false">M613*(1+IF(N$3&lt;=$O$2,$D613,$D613-($D613-$I$589)*MIN(N$3-$O$2,$Q$2)/$Q$2))</f>
        <v>3267.08382272666</v>
      </c>
      <c r="O613" s="15" t="n">
        <f aca="false">SUMPRODUCT(E613:N613,1/(1+$F$589)^$E$3:$N$3)*$E$2</f>
        <v>6528.31251475</v>
      </c>
      <c r="P613" s="15" t="n">
        <f aca="false">N613*$E$2*(1+$I$589)/($F$589-$I$589)/(1+$F$589)^$N$3</f>
        <v>10034.3793516736</v>
      </c>
      <c r="Q613" s="15" t="n">
        <f aca="false">O613+P613</f>
        <v>16562.6918664236</v>
      </c>
      <c r="R613" s="15" t="n">
        <f aca="false">Q613-$G$2+$I$2</f>
        <v>15009.9918664236</v>
      </c>
      <c r="S613" s="40" t="n">
        <f aca="false">R613/$K$2</f>
        <v>54.5044913265681</v>
      </c>
      <c r="T613" s="41" t="n">
        <f aca="false">S613-$M$2</f>
        <v>-2.95347558818548E-005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0.0775173306465149</v>
      </c>
      <c r="C614" s="25" t="n">
        <f aca="false">IF(T613&gt;0,D613,C613)</f>
        <v>0.0775175094604492</v>
      </c>
      <c r="D614" s="39" t="n">
        <f aca="false">(B614+C614)/2</f>
        <v>0.0775174200534821</v>
      </c>
      <c r="E614" s="15" t="n">
        <f aca="false">$C$2*(1+IF(E$3&lt;=$O$2,$D614,$D614-($D614-$I$589)*MIN(E$3-$O$2,$Q$2)/$Q$2))</f>
        <v>1993.40722709894</v>
      </c>
      <c r="F614" s="15" t="n">
        <f aca="false">E614*(1+IF(F$3&lt;=$O$2,$D614,$D614-($D614-$I$589)*MIN(F$3-$O$2,$Q$2)/$Q$2))</f>
        <v>2147.93101245962</v>
      </c>
      <c r="G614" s="15" t="n">
        <f aca="false">F614*(1+IF(G$3&lt;=$O$2,$D614,$D614-($D614-$I$589)*MIN(G$3-$O$2,$Q$2)/$Q$2))</f>
        <v>2314.43308299835</v>
      </c>
      <c r="H614" s="15" t="n">
        <f aca="false">G614*(1+IF(H$3&lt;=$O$2,$D614,$D614-($D614-$I$589)*MIN(H$3-$O$2,$Q$2)/$Q$2))</f>
        <v>2493.84196447881</v>
      </c>
      <c r="I614" s="15" t="n">
        <f aca="false">H614*(1+IF(I$3&lt;=$O$2,$D614,$D614-($D614-$I$589)*MIN(I$3-$O$2,$Q$2)/$Q$2))</f>
        <v>2687.15815958631</v>
      </c>
      <c r="J614" s="15" t="n">
        <f aca="false">I614*(1+IF(J$3&lt;=$O$2,$D614,$D614-($D614-$I$589)*MIN(J$3-$O$2,$Q$2)/$Q$2))</f>
        <v>2861.86088831051</v>
      </c>
      <c r="K614" s="15" t="n">
        <f aca="false">J614*(1+IF(K$3&lt;=$O$2,$D614,$D614-($D614-$I$589)*MIN(K$3-$O$2,$Q$2)/$Q$2))</f>
        <v>3012.13849720865</v>
      </c>
      <c r="L614" s="15" t="n">
        <f aca="false">K614*(1+IF(L$3&lt;=$O$2,$D614,$D614-($D614-$I$589)*MIN(L$3-$O$2,$Q$2)/$Q$2))</f>
        <v>3132.64502574248</v>
      </c>
      <c r="M614" s="15" t="n">
        <f aca="false">L614*(1+IF(M$3&lt;=$O$2,$D614,$D614-($D614-$I$589)*MIN(M$3-$O$2,$Q$2)/$Q$2))</f>
        <v>3218.80367811918</v>
      </c>
      <c r="N614" s="15" t="n">
        <f aca="false">M614*(1+IF(N$3&lt;=$O$2,$D614,$D614-($D614-$I$589)*MIN(N$3-$O$2,$Q$2)/$Q$2))</f>
        <v>3267.08573329097</v>
      </c>
      <c r="O614" s="15" t="n">
        <f aca="false">SUMPRODUCT(E614:N614,1/(1+$F$589)^$E$3:$N$3)*$E$2</f>
        <v>6528.31508947459</v>
      </c>
      <c r="P614" s="15" t="n">
        <f aca="false">N614*$E$2*(1+$I$589)/($F$589-$I$589)/(1+$F$589)^$N$3</f>
        <v>10034.3852196978</v>
      </c>
      <c r="Q614" s="15" t="n">
        <f aca="false">O614+P614</f>
        <v>16562.7003091724</v>
      </c>
      <c r="R614" s="15" t="n">
        <f aca="false">Q614-$G$2+$I$2</f>
        <v>15010.0003091724</v>
      </c>
      <c r="S614" s="40" t="n">
        <f aca="false">R614/$K$2</f>
        <v>54.504521983995</v>
      </c>
      <c r="T614" s="41" t="n">
        <f aca="false">S614-$M$2</f>
        <v>1.12267105834007E-006</v>
      </c>
    </row>
    <row r="616" customFormat="false" ht="15" hidden="false" customHeight="false" outlineLevel="0" collapsed="false">
      <c r="A616" s="36" t="s">
        <v>197</v>
      </c>
      <c r="E616" s="5" t="s">
        <v>11</v>
      </c>
      <c r="F616" s="12" t="n">
        <f aca="false">Sensitivity!$B$14</f>
        <v>0.0735093056415221</v>
      </c>
      <c r="G616" s="5" t="s">
        <v>12</v>
      </c>
      <c r="I616" s="12" t="n">
        <f aca="false">Sensitivity!$D$9</f>
        <v>0.02</v>
      </c>
    </row>
    <row r="617" customFormat="false" ht="23.85" hidden="false" customHeight="false" outlineLevel="0" collapsed="false">
      <c r="A617" s="36" t="s">
        <v>156</v>
      </c>
      <c r="B617" s="28" t="s">
        <v>157</v>
      </c>
      <c r="C617" s="28" t="s">
        <v>158</v>
      </c>
      <c r="D617" s="28" t="s">
        <v>159</v>
      </c>
      <c r="E617" s="28" t="s">
        <v>160</v>
      </c>
      <c r="F617" s="28" t="s">
        <v>161</v>
      </c>
      <c r="G617" s="28" t="s">
        <v>162</v>
      </c>
      <c r="H617" s="28" t="s">
        <v>163</v>
      </c>
      <c r="I617" s="28" t="s">
        <v>164</v>
      </c>
      <c r="J617" s="28" t="s">
        <v>165</v>
      </c>
      <c r="K617" s="28" t="s">
        <v>166</v>
      </c>
      <c r="L617" s="28" t="s">
        <v>167</v>
      </c>
      <c r="M617" s="28" t="s">
        <v>168</v>
      </c>
      <c r="N617" s="28" t="s">
        <v>169</v>
      </c>
      <c r="O617" s="28" t="s">
        <v>170</v>
      </c>
      <c r="P617" s="28" t="s">
        <v>171</v>
      </c>
      <c r="Q617" s="28" t="s">
        <v>172</v>
      </c>
      <c r="R617" s="28" t="s">
        <v>173</v>
      </c>
      <c r="S617" s="28" t="s">
        <v>174</v>
      </c>
      <c r="T617" s="28" t="s">
        <v>175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39" t="n">
        <f aca="false">(B618+C618)/2</f>
        <v>0.25</v>
      </c>
      <c r="E618" s="15" t="n">
        <f aca="false">$C$2*(1+IF(E$3&lt;=$O$2,$D618,$D618-($D618-$I$616)*MIN(E$3-$O$2,$Q$2)/$Q$2))</f>
        <v>2312.5</v>
      </c>
      <c r="F618" s="15" t="n">
        <f aca="false">E618*(1+IF(F$3&lt;=$O$2,$D618,$D618-($D618-$I$616)*MIN(F$3-$O$2,$Q$2)/$Q$2))</f>
        <v>2890.625</v>
      </c>
      <c r="G618" s="15" t="n">
        <f aca="false">F618*(1+IF(G$3&lt;=$O$2,$D618,$D618-($D618-$I$616)*MIN(G$3-$O$2,$Q$2)/$Q$2))</f>
        <v>3613.28125</v>
      </c>
      <c r="H618" s="15" t="n">
        <f aca="false">G618*(1+IF(H$3&lt;=$O$2,$D618,$D618-($D618-$I$616)*MIN(H$3-$O$2,$Q$2)/$Q$2))</f>
        <v>4516.6015625</v>
      </c>
      <c r="I618" s="15" t="n">
        <f aca="false">H618*(1+IF(I$3&lt;=$O$2,$D618,$D618-($D618-$I$616)*MIN(I$3-$O$2,$Q$2)/$Q$2))</f>
        <v>5645.751953125</v>
      </c>
      <c r="J618" s="15" t="n">
        <f aca="false">I618*(1+IF(J$3&lt;=$O$2,$D618,$D618-($D618-$I$616)*MIN(J$3-$O$2,$Q$2)/$Q$2))</f>
        <v>6797.4853515625</v>
      </c>
      <c r="K618" s="15" t="n">
        <f aca="false">J618*(1+IF(K$3&lt;=$O$2,$D618,$D618-($D618-$I$616)*MIN(K$3-$O$2,$Q$2)/$Q$2))</f>
        <v>7871.48803710937</v>
      </c>
      <c r="L618" s="15" t="n">
        <f aca="false">K618*(1+IF(L$3&lt;=$O$2,$D618,$D618-($D618-$I$616)*MIN(L$3-$O$2,$Q$2)/$Q$2))</f>
        <v>8753.09469726563</v>
      </c>
      <c r="M618" s="15" t="n">
        <f aca="false">L618*(1+IF(M$3&lt;=$O$2,$D618,$D618-($D618-$I$616)*MIN(M$3-$O$2,$Q$2)/$Q$2))</f>
        <v>9330.79894728516</v>
      </c>
      <c r="N618" s="15" t="n">
        <f aca="false">M618*(1+IF(N$3&lt;=$O$2,$D618,$D618-($D618-$I$616)*MIN(N$3-$O$2,$Q$2)/$Q$2))</f>
        <v>9517.41492623086</v>
      </c>
      <c r="O618" s="15" t="n">
        <f aca="false">SUMPRODUCT(E618:N618,1/(1+$F$616)^$E$3:$N$3)*$E$2</f>
        <v>13944.7024213445</v>
      </c>
      <c r="P618" s="15" t="n">
        <f aca="false">N618*$E$2*(1+$I$616)/($F$616-$I$616)/(1+$F$616)^$N$3</f>
        <v>32120.2561565533</v>
      </c>
      <c r="Q618" s="15" t="n">
        <f aca="false">O618+P618</f>
        <v>46064.9585778978</v>
      </c>
      <c r="R618" s="15" t="n">
        <f aca="false">Q618-$G$2+$I$2</f>
        <v>44512.2585778978</v>
      </c>
      <c r="S618" s="40" t="n">
        <f aca="false">R618/$K$2</f>
        <v>161.63353272776</v>
      </c>
      <c r="T618" s="41" t="n">
        <f aca="false">S618-$M$2</f>
        <v>107.129011866436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39" t="n">
        <f aca="false">(B619+C619)/2</f>
        <v>-0.125</v>
      </c>
      <c r="E619" s="15" t="n">
        <f aca="false">$C$2*(1+IF(E$3&lt;=$O$2,$D619,$D619-($D619-$I$616)*MIN(E$3-$O$2,$Q$2)/$Q$2))</f>
        <v>1618.75</v>
      </c>
      <c r="F619" s="15" t="n">
        <f aca="false">E619*(1+IF(F$3&lt;=$O$2,$D619,$D619-($D619-$I$616)*MIN(F$3-$O$2,$Q$2)/$Q$2))</f>
        <v>1416.40625</v>
      </c>
      <c r="G619" s="15" t="n">
        <f aca="false">F619*(1+IF(G$3&lt;=$O$2,$D619,$D619-($D619-$I$616)*MIN(G$3-$O$2,$Q$2)/$Q$2))</f>
        <v>1239.35546875</v>
      </c>
      <c r="H619" s="15" t="n">
        <f aca="false">G619*(1+IF(H$3&lt;=$O$2,$D619,$D619-($D619-$I$616)*MIN(H$3-$O$2,$Q$2)/$Q$2))</f>
        <v>1084.43603515625</v>
      </c>
      <c r="I619" s="15" t="n">
        <f aca="false">H619*(1+IF(I$3&lt;=$O$2,$D619,$D619-($D619-$I$616)*MIN(I$3-$O$2,$Q$2)/$Q$2))</f>
        <v>948.881530761719</v>
      </c>
      <c r="J619" s="15" t="n">
        <f aca="false">I619*(1+IF(J$3&lt;=$O$2,$D619,$D619-($D619-$I$616)*MIN(J$3-$O$2,$Q$2)/$Q$2))</f>
        <v>857.788903808594</v>
      </c>
      <c r="K619" s="15" t="n">
        <f aca="false">J619*(1+IF(K$3&lt;=$O$2,$D619,$D619-($D619-$I$616)*MIN(K$3-$O$2,$Q$2)/$Q$2))</f>
        <v>800.317047253418</v>
      </c>
      <c r="L619" s="15" t="n">
        <f aca="false">K619*(1+IF(L$3&lt;=$O$2,$D619,$D619-($D619-$I$616)*MIN(L$3-$O$2,$Q$2)/$Q$2))</f>
        <v>769.904999457788</v>
      </c>
      <c r="M619" s="15" t="n">
        <f aca="false">L619*(1+IF(M$3&lt;=$O$2,$D619,$D619-($D619-$I$616)*MIN(M$3-$O$2,$Q$2)/$Q$2))</f>
        <v>762.975854462668</v>
      </c>
      <c r="N619" s="15" t="n">
        <f aca="false">M619*(1+IF(N$3&lt;=$O$2,$D619,$D619-($D619-$I$616)*MIN(N$3-$O$2,$Q$2)/$Q$2))</f>
        <v>778.235371551922</v>
      </c>
      <c r="O619" s="15" t="n">
        <f aca="false">SUMPRODUCT(E619:N619,1/(1+$F$616)^$E$3:$N$3)*$E$2</f>
        <v>2695.71232574573</v>
      </c>
      <c r="P619" s="15" t="n">
        <f aca="false">N619*$E$2*(1+$I$616)/($F$616-$I$616)/(1+$F$616)^$N$3</f>
        <v>2626.46103780175</v>
      </c>
      <c r="Q619" s="15" t="n">
        <f aca="false">O619+P619</f>
        <v>5322.17336354748</v>
      </c>
      <c r="R619" s="15" t="n">
        <f aca="false">Q619-$G$2+$I$2</f>
        <v>3769.47336354748</v>
      </c>
      <c r="S619" s="40" t="n">
        <f aca="false">R619/$K$2</f>
        <v>13.6877641292257</v>
      </c>
      <c r="T619" s="41" t="n">
        <f aca="false">S619-$M$2</f>
        <v>-40.8167567320982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39" t="n">
        <f aca="false">(B620+C620)/2</f>
        <v>0.0625</v>
      </c>
      <c r="E620" s="15" t="n">
        <f aca="false">$C$2*(1+IF(E$3&lt;=$O$2,$D620,$D620-($D620-$I$616)*MIN(E$3-$O$2,$Q$2)/$Q$2))</f>
        <v>1965.625</v>
      </c>
      <c r="F620" s="15" t="n">
        <f aca="false">E620*(1+IF(F$3&lt;=$O$2,$D620,$D620-($D620-$I$616)*MIN(F$3-$O$2,$Q$2)/$Q$2))</f>
        <v>2088.4765625</v>
      </c>
      <c r="G620" s="15" t="n">
        <f aca="false">F620*(1+IF(G$3&lt;=$O$2,$D620,$D620-($D620-$I$616)*MIN(G$3-$O$2,$Q$2)/$Q$2))</f>
        <v>2219.00634765625</v>
      </c>
      <c r="H620" s="15" t="n">
        <f aca="false">G620*(1+IF(H$3&lt;=$O$2,$D620,$D620-($D620-$I$616)*MIN(H$3-$O$2,$Q$2)/$Q$2))</f>
        <v>2357.69424438477</v>
      </c>
      <c r="I620" s="15" t="n">
        <f aca="false">H620*(1+IF(I$3&lt;=$O$2,$D620,$D620-($D620-$I$616)*MIN(I$3-$O$2,$Q$2)/$Q$2))</f>
        <v>2505.05013465881</v>
      </c>
      <c r="J620" s="15" t="n">
        <f aca="false">I620*(1+IF(J$3&lt;=$O$2,$D620,$D620-($D620-$I$616)*MIN(J$3-$O$2,$Q$2)/$Q$2))</f>
        <v>2640.32284193039</v>
      </c>
      <c r="K620" s="15" t="n">
        <f aca="false">J620*(1+IF(K$3&lt;=$O$2,$D620,$D620-($D620-$I$616)*MIN(K$3-$O$2,$Q$2)/$Q$2))</f>
        <v>2760.45753123822</v>
      </c>
      <c r="L620" s="15" t="n">
        <f aca="false">K620*(1+IF(L$3&lt;=$O$2,$D620,$D620-($D620-$I$616)*MIN(L$3-$O$2,$Q$2)/$Q$2))</f>
        <v>2862.59445989404</v>
      </c>
      <c r="M620" s="15" t="n">
        <f aca="false">L620*(1+IF(M$3&lt;=$O$2,$D620,$D620-($D620-$I$616)*MIN(M$3-$O$2,$Q$2)/$Q$2))</f>
        <v>2944.17840200102</v>
      </c>
      <c r="N620" s="15" t="n">
        <f aca="false">M620*(1+IF(N$3&lt;=$O$2,$D620,$D620-($D620-$I$616)*MIN(N$3-$O$2,$Q$2)/$Q$2))</f>
        <v>3003.06197004104</v>
      </c>
      <c r="O620" s="15" t="n">
        <f aca="false">SUMPRODUCT(E620:N620,1/(1+$F$616)^$E$3:$N$3)*$E$2</f>
        <v>6128.56099793646</v>
      </c>
      <c r="P620" s="15" t="n">
        <f aca="false">N620*$E$2*(1+$I$616)/($F$616-$I$616)/(1+$F$616)^$N$3</f>
        <v>10135.0125511363</v>
      </c>
      <c r="Q620" s="15" t="n">
        <f aca="false">O620+P620</f>
        <v>16263.5735490728</v>
      </c>
      <c r="R620" s="15" t="n">
        <f aca="false">Q620-$G$2+$I$2</f>
        <v>14710.8735490728</v>
      </c>
      <c r="S620" s="40" t="n">
        <f aca="false">R620/$K$2</f>
        <v>53.4183287304287</v>
      </c>
      <c r="T620" s="41" t="n">
        <f aca="false">S620-$M$2</f>
        <v>-1.08619213089525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39" t="n">
        <f aca="false">(B621+C621)/2</f>
        <v>0.15625</v>
      </c>
      <c r="E621" s="15" t="n">
        <f aca="false">$C$2*(1+IF(E$3&lt;=$O$2,$D621,$D621-($D621-$I$616)*MIN(E$3-$O$2,$Q$2)/$Q$2))</f>
        <v>2139.0625</v>
      </c>
      <c r="F621" s="15" t="n">
        <f aca="false">E621*(1+IF(F$3&lt;=$O$2,$D621,$D621-($D621-$I$616)*MIN(F$3-$O$2,$Q$2)/$Q$2))</f>
        <v>2473.291015625</v>
      </c>
      <c r="G621" s="15" t="n">
        <f aca="false">F621*(1+IF(G$3&lt;=$O$2,$D621,$D621-($D621-$I$616)*MIN(G$3-$O$2,$Q$2)/$Q$2))</f>
        <v>2859.74273681641</v>
      </c>
      <c r="H621" s="15" t="n">
        <f aca="false">G621*(1+IF(H$3&lt;=$O$2,$D621,$D621-($D621-$I$616)*MIN(H$3-$O$2,$Q$2)/$Q$2))</f>
        <v>3306.57753944397</v>
      </c>
      <c r="I621" s="15" t="n">
        <f aca="false">H621*(1+IF(I$3&lt;=$O$2,$D621,$D621-($D621-$I$616)*MIN(I$3-$O$2,$Q$2)/$Q$2))</f>
        <v>3823.23027998209</v>
      </c>
      <c r="J621" s="15" t="n">
        <f aca="false">I621*(1+IF(J$3&lt;=$O$2,$D621,$D621-($D621-$I$616)*MIN(J$3-$O$2,$Q$2)/$Q$2))</f>
        <v>4316.42698609978</v>
      </c>
      <c r="K621" s="15" t="n">
        <f aca="false">J621*(1+IF(K$3&lt;=$O$2,$D621,$D621-($D621-$I$616)*MIN(K$3-$O$2,$Q$2)/$Q$2))</f>
        <v>4755.62343193543</v>
      </c>
      <c r="L621" s="15" t="n">
        <f aca="false">K621*(1+IF(L$3&lt;=$O$2,$D621,$D621-($D621-$I$616)*MIN(L$3-$O$2,$Q$2)/$Q$2))</f>
        <v>5109.91737761462</v>
      </c>
      <c r="M621" s="15" t="n">
        <f aca="false">L621*(1+IF(M$3&lt;=$O$2,$D621,$D621-($D621-$I$616)*MIN(M$3-$O$2,$Q$2)/$Q$2))</f>
        <v>5351.36097370691</v>
      </c>
      <c r="N621" s="15" t="n">
        <f aca="false">M621*(1+IF(N$3&lt;=$O$2,$D621,$D621-($D621-$I$616)*MIN(N$3-$O$2,$Q$2)/$Q$2))</f>
        <v>5458.38819318105</v>
      </c>
      <c r="O621" s="15" t="n">
        <f aca="false">SUMPRODUCT(E621:N621,1/(1+$F$616)^$E$3:$N$3)*$E$2</f>
        <v>9264.9665543648</v>
      </c>
      <c r="P621" s="15" t="n">
        <f aca="false">N621*$E$2*(1+$I$616)/($F$616-$I$616)/(1+$F$616)^$N$3</f>
        <v>18421.4756134747</v>
      </c>
      <c r="Q621" s="15" t="n">
        <f aca="false">O621+P621</f>
        <v>27686.4421678395</v>
      </c>
      <c r="R621" s="15" t="n">
        <f aca="false">Q621-$G$2+$I$2</f>
        <v>26133.7421678395</v>
      </c>
      <c r="S621" s="40" t="n">
        <f aca="false">R621/$K$2</f>
        <v>94.8972082059605</v>
      </c>
      <c r="T621" s="41" t="n">
        <f aca="false">S621-$M$2</f>
        <v>40.3926873446365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39" t="n">
        <f aca="false">(B622+C622)/2</f>
        <v>0.109375</v>
      </c>
      <c r="E622" s="15" t="n">
        <f aca="false">$C$2*(1+IF(E$3&lt;=$O$2,$D622,$D622-($D622-$I$616)*MIN(E$3-$O$2,$Q$2)/$Q$2))</f>
        <v>2052.34375</v>
      </c>
      <c r="F622" s="15" t="n">
        <f aca="false">E622*(1+IF(F$3&lt;=$O$2,$D622,$D622-($D622-$I$616)*MIN(F$3-$O$2,$Q$2)/$Q$2))</f>
        <v>2276.81884765625</v>
      </c>
      <c r="G622" s="15" t="n">
        <f aca="false">F622*(1+IF(G$3&lt;=$O$2,$D622,$D622-($D622-$I$616)*MIN(G$3-$O$2,$Q$2)/$Q$2))</f>
        <v>2525.84590911865</v>
      </c>
      <c r="H622" s="15" t="n">
        <f aca="false">G622*(1+IF(H$3&lt;=$O$2,$D622,$D622-($D622-$I$616)*MIN(H$3-$O$2,$Q$2)/$Q$2))</f>
        <v>2802.11030542851</v>
      </c>
      <c r="I622" s="15" t="n">
        <f aca="false">H622*(1+IF(I$3&lt;=$O$2,$D622,$D622-($D622-$I$616)*MIN(I$3-$O$2,$Q$2)/$Q$2))</f>
        <v>3108.59112008475</v>
      </c>
      <c r="J622" s="15" t="n">
        <f aca="false">I622*(1+IF(J$3&lt;=$O$2,$D622,$D622-($D622-$I$616)*MIN(J$3-$O$2,$Q$2)/$Q$2))</f>
        <v>3393.0272075725</v>
      </c>
      <c r="K622" s="15" t="n">
        <f aca="false">J622*(1+IF(K$3&lt;=$O$2,$D622,$D622-($D622-$I$616)*MIN(K$3-$O$2,$Q$2)/$Q$2))</f>
        <v>3642.83883573003</v>
      </c>
      <c r="L622" s="15" t="n">
        <f aca="false">K622*(1+IF(L$3&lt;=$O$2,$D622,$D622-($D622-$I$616)*MIN(L$3-$O$2,$Q$2)/$Q$2))</f>
        <v>3845.92710082198</v>
      </c>
      <c r="M622" s="15" t="n">
        <f aca="false">L622*(1+IF(M$3&lt;=$O$2,$D622,$D622-($D622-$I$616)*MIN(M$3-$O$2,$Q$2)/$Q$2))</f>
        <v>3991.59158976561</v>
      </c>
      <c r="N622" s="15" t="n">
        <f aca="false">M622*(1+IF(N$3&lt;=$O$2,$D622,$D622-($D622-$I$616)*MIN(N$3-$O$2,$Q$2)/$Q$2))</f>
        <v>4071.42342156092</v>
      </c>
      <c r="O622" s="15" t="n">
        <f aca="false">SUMPRODUCT(E622:N622,1/(1+$F$616)^$E$3:$N$3)*$E$2</f>
        <v>7537.5814946832</v>
      </c>
      <c r="P622" s="15" t="n">
        <f aca="false">N622*$E$2*(1+$I$616)/($F$616-$I$616)/(1+$F$616)^$N$3</f>
        <v>13740.6180392429</v>
      </c>
      <c r="Q622" s="15" t="n">
        <f aca="false">O622+P622</f>
        <v>21278.1995339261</v>
      </c>
      <c r="R622" s="15" t="n">
        <f aca="false">Q622-$G$2+$I$2</f>
        <v>19725.4995339261</v>
      </c>
      <c r="S622" s="40" t="n">
        <f aca="false">R622/$K$2</f>
        <v>71.6275083842046</v>
      </c>
      <c r="T622" s="41" t="n">
        <f aca="false">S622-$M$2</f>
        <v>17.1229875228807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0.0625</v>
      </c>
      <c r="C623" s="25" t="n">
        <f aca="false">IF(T622&gt;0,D622,C622)</f>
        <v>0.109375</v>
      </c>
      <c r="D623" s="39" t="n">
        <f aca="false">(B623+C623)/2</f>
        <v>0.0859375</v>
      </c>
      <c r="E623" s="15" t="n">
        <f aca="false">$C$2*(1+IF(E$3&lt;=$O$2,$D623,$D623-($D623-$I$616)*MIN(E$3-$O$2,$Q$2)/$Q$2))</f>
        <v>2008.984375</v>
      </c>
      <c r="F623" s="15" t="n">
        <f aca="false">E623*(1+IF(F$3&lt;=$O$2,$D623,$D623-($D623-$I$616)*MIN(F$3-$O$2,$Q$2)/$Q$2))</f>
        <v>2181.63146972656</v>
      </c>
      <c r="G623" s="15" t="n">
        <f aca="false">F623*(1+IF(G$3&lt;=$O$2,$D623,$D623-($D623-$I$616)*MIN(G$3-$O$2,$Q$2)/$Q$2))</f>
        <v>2369.11542415619</v>
      </c>
      <c r="H623" s="15" t="n">
        <f aca="false">G623*(1+IF(H$3&lt;=$O$2,$D623,$D623-($D623-$I$616)*MIN(H$3-$O$2,$Q$2)/$Q$2))</f>
        <v>2572.71128091961</v>
      </c>
      <c r="I623" s="15" t="n">
        <f aca="false">H623*(1+IF(I$3&lt;=$O$2,$D623,$D623-($D623-$I$616)*MIN(I$3-$O$2,$Q$2)/$Q$2))</f>
        <v>2793.80365662364</v>
      </c>
      <c r="J623" s="15" t="n">
        <f aca="false">I623*(1+IF(J$3&lt;=$O$2,$D623,$D623-($D623-$I$616)*MIN(J$3-$O$2,$Q$2)/$Q$2))</f>
        <v>2997.05287264301</v>
      </c>
      <c r="K623" s="15" t="n">
        <f aca="false">J623*(1+IF(K$3&lt;=$O$2,$D623,$D623-($D623-$I$616)*MIN(K$3-$O$2,$Q$2)/$Q$2))</f>
        <v>3175.56483436981</v>
      </c>
      <c r="L623" s="15" t="n">
        <f aca="false">K623*(1+IF(L$3&lt;=$O$2,$D623,$D623-($D623-$I$616)*MIN(L$3-$O$2,$Q$2)/$Q$2))</f>
        <v>3322.83165356371</v>
      </c>
      <c r="M623" s="15" t="n">
        <f aca="false">L623*(1+IF(M$3&lt;=$O$2,$D623,$D623-($D623-$I$616)*MIN(M$3-$O$2,$Q$2)/$Q$2))</f>
        <v>3433.10812906636</v>
      </c>
      <c r="N623" s="15" t="n">
        <f aca="false">M623*(1+IF(N$3&lt;=$O$2,$D623,$D623-($D623-$I$616)*MIN(N$3-$O$2,$Q$2)/$Q$2))</f>
        <v>3501.77029164768</v>
      </c>
      <c r="O623" s="15" t="n">
        <f aca="false">SUMPRODUCT(E623:N623,1/(1+$F$616)^$E$3:$N$3)*$E$2</f>
        <v>6796.9270827108</v>
      </c>
      <c r="P623" s="15" t="n">
        <f aca="false">N623*$E$2*(1+$I$616)/($F$616-$I$616)/(1+$F$616)^$N$3</f>
        <v>11818.0997299102</v>
      </c>
      <c r="Q623" s="15" t="n">
        <f aca="false">O623+P623</f>
        <v>18615.026812621</v>
      </c>
      <c r="R623" s="15" t="n">
        <f aca="false">Q623-$G$2+$I$2</f>
        <v>17062.326812621</v>
      </c>
      <c r="S623" s="40" t="n">
        <f aca="false">R623/$K$2</f>
        <v>61.9569585410544</v>
      </c>
      <c r="T623" s="41" t="n">
        <f aca="false">S623-$M$2</f>
        <v>7.45243767973044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0.0625</v>
      </c>
      <c r="C624" s="25" t="n">
        <f aca="false">IF(T623&gt;0,D623,C623)</f>
        <v>0.0859375</v>
      </c>
      <c r="D624" s="39" t="n">
        <f aca="false">(B624+C624)/2</f>
        <v>0.07421875</v>
      </c>
      <c r="E624" s="15" t="n">
        <f aca="false">$C$2*(1+IF(E$3&lt;=$O$2,$D624,$D624-($D624-$I$616)*MIN(E$3-$O$2,$Q$2)/$Q$2))</f>
        <v>1987.3046875</v>
      </c>
      <c r="F624" s="15" t="n">
        <f aca="false">E624*(1+IF(F$3&lt;=$O$2,$D624,$D624-($D624-$I$616)*MIN(F$3-$O$2,$Q$2)/$Q$2))</f>
        <v>2134.79995727539</v>
      </c>
      <c r="G624" s="15" t="n">
        <f aca="false">F624*(1+IF(G$3&lt;=$O$2,$D624,$D624-($D624-$I$616)*MIN(G$3-$O$2,$Q$2)/$Q$2))</f>
        <v>2293.24214160442</v>
      </c>
      <c r="H624" s="15" t="n">
        <f aca="false">G624*(1+IF(H$3&lt;=$O$2,$D624,$D624-($D624-$I$616)*MIN(H$3-$O$2,$Q$2)/$Q$2))</f>
        <v>2463.44370680163</v>
      </c>
      <c r="I624" s="15" t="n">
        <f aca="false">H624*(1+IF(I$3&lt;=$O$2,$D624,$D624-($D624-$I$616)*MIN(I$3-$O$2,$Q$2)/$Q$2))</f>
        <v>2646.27741941581</v>
      </c>
      <c r="J624" s="15" t="n">
        <f aca="false">I624*(1+IF(J$3&lt;=$O$2,$D624,$D624-($D624-$I$616)*MIN(J$3-$O$2,$Q$2)/$Q$2))</f>
        <v>2813.98525087129</v>
      </c>
      <c r="K624" s="15" t="n">
        <f aca="false">J624*(1+IF(K$3&lt;=$O$2,$D624,$D624-($D624-$I$616)*MIN(K$3-$O$2,$Q$2)/$Q$2))</f>
        <v>2961.80741358112</v>
      </c>
      <c r="L624" s="15" t="n">
        <f aca="false">K624*(1+IF(L$3&lt;=$O$2,$D624,$D624-($D624-$I$616)*MIN(L$3-$O$2,$Q$2)/$Q$2))</f>
        <v>3085.27776013478</v>
      </c>
      <c r="M624" s="15" t="n">
        <f aca="false">L624*(1+IF(M$3&lt;=$O$2,$D624,$D624-($D624-$I$616)*MIN(M$3-$O$2,$Q$2)/$Q$2))</f>
        <v>3180.43929604894</v>
      </c>
      <c r="N624" s="15" t="n">
        <f aca="false">M624*(1+IF(N$3&lt;=$O$2,$D624,$D624-($D624-$I$616)*MIN(N$3-$O$2,$Q$2)/$Q$2))</f>
        <v>3244.04808196992</v>
      </c>
      <c r="O624" s="15" t="n">
        <f aca="false">SUMPRODUCT(E624:N624,1/(1+$F$616)^$E$3:$N$3)*$E$2</f>
        <v>6454.13249979663</v>
      </c>
      <c r="P624" s="15" t="n">
        <f aca="false">N624*$E$2*(1+$I$616)/($F$616-$I$616)/(1+$F$616)^$N$3</f>
        <v>10948.3148717059</v>
      </c>
      <c r="Q624" s="15" t="n">
        <f aca="false">O624+P624</f>
        <v>17402.4473715025</v>
      </c>
      <c r="R624" s="15" t="n">
        <f aca="false">Q624-$G$2+$I$2</f>
        <v>15849.7473715025</v>
      </c>
      <c r="S624" s="40" t="n">
        <f aca="false">R624/$K$2</f>
        <v>57.5538232016506</v>
      </c>
      <c r="T624" s="41" t="n">
        <f aca="false">S624-$M$2</f>
        <v>3.04930234032661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0.0625</v>
      </c>
      <c r="C625" s="25" t="n">
        <f aca="false">IF(T624&gt;0,D624,C624)</f>
        <v>0.07421875</v>
      </c>
      <c r="D625" s="39" t="n">
        <f aca="false">(B625+C625)/2</f>
        <v>0.068359375</v>
      </c>
      <c r="E625" s="15" t="n">
        <f aca="false">$C$2*(1+IF(E$3&lt;=$O$2,$D625,$D625-($D625-$I$616)*MIN(E$3-$O$2,$Q$2)/$Q$2))</f>
        <v>1976.46484375</v>
      </c>
      <c r="F625" s="15" t="n">
        <f aca="false">E625*(1+IF(F$3&lt;=$O$2,$D625,$D625-($D625-$I$616)*MIN(F$3-$O$2,$Q$2)/$Q$2))</f>
        <v>2111.57474517822</v>
      </c>
      <c r="G625" s="15" t="n">
        <f aca="false">F625*(1+IF(G$3&lt;=$O$2,$D625,$D625-($D625-$I$616)*MIN(G$3-$O$2,$Q$2)/$Q$2))</f>
        <v>2255.92067502439</v>
      </c>
      <c r="H625" s="15" t="n">
        <f aca="false">G625*(1+IF(H$3&lt;=$O$2,$D625,$D625-($D625-$I$616)*MIN(H$3-$O$2,$Q$2)/$Q$2))</f>
        <v>2410.13400241864</v>
      </c>
      <c r="I625" s="15" t="n">
        <f aca="false">H625*(1+IF(I$3&lt;=$O$2,$D625,$D625-($D625-$I$616)*MIN(I$3-$O$2,$Q$2)/$Q$2))</f>
        <v>2574.88925649022</v>
      </c>
      <c r="J625" s="15" t="n">
        <f aca="false">I625*(1+IF(J$3&lt;=$O$2,$D625,$D625-($D625-$I$616)*MIN(J$3-$O$2,$Q$2)/$Q$2))</f>
        <v>2726.00306973049</v>
      </c>
      <c r="K625" s="15" t="n">
        <f aca="false">J625*(1+IF(K$3&lt;=$O$2,$D625,$D625-($D625-$I$616)*MIN(K$3-$O$2,$Q$2)/$Q$2))</f>
        <v>2859.61981394525</v>
      </c>
      <c r="L625" s="15" t="n">
        <f aca="false">K625*(1+IF(L$3&lt;=$O$2,$D625,$D625-($D625-$I$616)*MIN(L$3-$O$2,$Q$2)/$Q$2))</f>
        <v>2972.12798100016</v>
      </c>
      <c r="M625" s="15" t="n">
        <f aca="false">L625*(1+IF(M$3&lt;=$O$2,$D625,$D625-($D625-$I$616)*MIN(M$3-$O$2,$Q$2)/$Q$2))</f>
        <v>3060.3165909364</v>
      </c>
      <c r="N625" s="15" t="n">
        <f aca="false">M625*(1+IF(N$3&lt;=$O$2,$D625,$D625-($D625-$I$616)*MIN(N$3-$O$2,$Q$2)/$Q$2))</f>
        <v>3121.52292275513</v>
      </c>
      <c r="O625" s="15" t="n">
        <f aca="false">SUMPRODUCT(E625:N625,1/(1+$F$616)^$E$3:$N$3)*$E$2</f>
        <v>6289.24503044748</v>
      </c>
      <c r="P625" s="15" t="n">
        <f aca="false">N625*$E$2*(1+$I$616)/($F$616-$I$616)/(1+$F$616)^$N$3</f>
        <v>10534.805580569</v>
      </c>
      <c r="Q625" s="15" t="n">
        <f aca="false">O625+P625</f>
        <v>16824.0506110165</v>
      </c>
      <c r="R625" s="15" t="n">
        <f aca="false">Q625-$G$2+$I$2</f>
        <v>15271.3506110165</v>
      </c>
      <c r="S625" s="40" t="n">
        <f aca="false">R625/$K$2</f>
        <v>55.4535408366915</v>
      </c>
      <c r="T625" s="41" t="n">
        <f aca="false">S625-$M$2</f>
        <v>0.949019975367584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0.0625</v>
      </c>
      <c r="C626" s="25" t="n">
        <f aca="false">IF(T625&gt;0,D625,C625)</f>
        <v>0.068359375</v>
      </c>
      <c r="D626" s="39" t="n">
        <f aca="false">(B626+C626)/2</f>
        <v>0.0654296875</v>
      </c>
      <c r="E626" s="15" t="n">
        <f aca="false">$C$2*(1+IF(E$3&lt;=$O$2,$D626,$D626-($D626-$I$616)*MIN(E$3-$O$2,$Q$2)/$Q$2))</f>
        <v>1971.044921875</v>
      </c>
      <c r="F626" s="15" t="n">
        <f aca="false">E626*(1+IF(F$3&lt;=$O$2,$D626,$D626-($D626-$I$616)*MIN(F$3-$O$2,$Q$2)/$Q$2))</f>
        <v>2100.00977516174</v>
      </c>
      <c r="G626" s="15" t="n">
        <f aca="false">F626*(1+IF(G$3&lt;=$O$2,$D626,$D626-($D626-$I$616)*MIN(G$3-$O$2,$Q$2)/$Q$2))</f>
        <v>2237.41275849752</v>
      </c>
      <c r="H626" s="15" t="n">
        <f aca="false">G626*(1+IF(H$3&lt;=$O$2,$D626,$D626-($D626-$I$616)*MIN(H$3-$O$2,$Q$2)/$Q$2))</f>
        <v>2383.80597609453</v>
      </c>
      <c r="I626" s="15" t="n">
        <f aca="false">H626*(1+IF(I$3&lt;=$O$2,$D626,$D626-($D626-$I$616)*MIN(I$3-$O$2,$Q$2)/$Q$2))</f>
        <v>2539.77765617102</v>
      </c>
      <c r="J626" s="15" t="n">
        <f aca="false">I626*(1+IF(J$3&lt;=$O$2,$D626,$D626-($D626-$I$616)*MIN(J$3-$O$2,$Q$2)/$Q$2))</f>
        <v>2682.87825348591</v>
      </c>
      <c r="K626" s="15" t="n">
        <f aca="false">J626*(1+IF(K$3&lt;=$O$2,$D626,$D626-($D626-$I$616)*MIN(K$3-$O$2,$Q$2)/$Q$2))</f>
        <v>2809.66521094948</v>
      </c>
      <c r="L626" s="15" t="n">
        <f aca="false">K626*(1+IF(L$3&lt;=$O$2,$D626,$D626-($D626-$I$616)*MIN(L$3-$O$2,$Q$2)/$Q$2))</f>
        <v>2916.91540017369</v>
      </c>
      <c r="M626" s="15" t="n">
        <f aca="false">L626*(1+IF(M$3&lt;=$O$2,$D626,$D626-($D626-$I$616)*MIN(M$3-$O$2,$Q$2)/$Q$2))</f>
        <v>3001.75661919593</v>
      </c>
      <c r="N626" s="15" t="n">
        <f aca="false">M626*(1+IF(N$3&lt;=$O$2,$D626,$D626-($D626-$I$616)*MIN(N$3-$O$2,$Q$2)/$Q$2))</f>
        <v>3061.79175157985</v>
      </c>
      <c r="O626" s="15" t="n">
        <f aca="false">SUMPRODUCT(E626:N626,1/(1+$F$616)^$E$3:$N$3)*$E$2</f>
        <v>6208.38386494137</v>
      </c>
      <c r="P626" s="15" t="n">
        <f aca="false">N626*$E$2*(1+$I$616)/($F$616-$I$616)/(1+$F$616)^$N$3</f>
        <v>10333.2192744605</v>
      </c>
      <c r="Q626" s="15" t="n">
        <f aca="false">O626+P626</f>
        <v>16541.6031394019</v>
      </c>
      <c r="R626" s="15" t="n">
        <f aca="false">Q626-$G$2+$I$2</f>
        <v>14988.9031394019</v>
      </c>
      <c r="S626" s="40" t="n">
        <f aca="false">R626/$K$2</f>
        <v>54.4279136475611</v>
      </c>
      <c r="T626" s="41" t="n">
        <f aca="false">S626-$M$2</f>
        <v>-0.0766072137628413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0.0654296875</v>
      </c>
      <c r="C627" s="25" t="n">
        <f aca="false">IF(T626&gt;0,D626,C626)</f>
        <v>0.068359375</v>
      </c>
      <c r="D627" s="39" t="n">
        <f aca="false">(B627+C627)/2</f>
        <v>0.06689453125</v>
      </c>
      <c r="E627" s="15" t="n">
        <f aca="false">$C$2*(1+IF(E$3&lt;=$O$2,$D627,$D627-($D627-$I$616)*MIN(E$3-$O$2,$Q$2)/$Q$2))</f>
        <v>1973.7548828125</v>
      </c>
      <c r="F627" s="15" t="n">
        <f aca="false">E627*(1+IF(F$3&lt;=$O$2,$D627,$D627-($D627-$I$616)*MIN(F$3-$O$2,$Q$2)/$Q$2))</f>
        <v>2105.78829050064</v>
      </c>
      <c r="G627" s="15" t="n">
        <f aca="false">F627*(1+IF(G$3&lt;=$O$2,$D627,$D627-($D627-$I$616)*MIN(G$3-$O$2,$Q$2)/$Q$2))</f>
        <v>2246.65401110542</v>
      </c>
      <c r="H627" s="15" t="n">
        <f aca="false">G627*(1+IF(H$3&lt;=$O$2,$D627,$D627-($D627-$I$616)*MIN(H$3-$O$2,$Q$2)/$Q$2))</f>
        <v>2396.94287805925</v>
      </c>
      <c r="I627" s="15" t="n">
        <f aca="false">H627*(1+IF(I$3&lt;=$O$2,$D627,$D627-($D627-$I$616)*MIN(I$3-$O$2,$Q$2)/$Q$2))</f>
        <v>2557.28524832005</v>
      </c>
      <c r="J627" s="15" t="n">
        <f aca="false">I627*(1+IF(J$3&lt;=$O$2,$D627,$D627-($D627-$I$616)*MIN(J$3-$O$2,$Q$2)/$Q$2))</f>
        <v>2704.36910768046</v>
      </c>
      <c r="K627" s="15" t="n">
        <f aca="false">J627*(1+IF(K$3&lt;=$O$2,$D627,$D627-($D627-$I$616)*MIN(K$3-$O$2,$Q$2)/$Q$2))</f>
        <v>2834.54856281306</v>
      </c>
      <c r="L627" s="15" t="n">
        <f aca="false">K627*(1+IF(L$3&lt;=$O$2,$D627,$D627-($D627-$I$616)*MIN(L$3-$O$2,$Q$2)/$Q$2))</f>
        <v>2944.40946453271</v>
      </c>
      <c r="M627" s="15" t="n">
        <f aca="false">L627*(1+IF(M$3&lt;=$O$2,$D627,$D627-($D627-$I$616)*MIN(M$3-$O$2,$Q$2)/$Q$2))</f>
        <v>3030.91299415283</v>
      </c>
      <c r="N627" s="15" t="n">
        <f aca="false">M627*(1+IF(N$3&lt;=$O$2,$D627,$D627-($D627-$I$616)*MIN(N$3-$O$2,$Q$2)/$Q$2))</f>
        <v>3091.53125403589</v>
      </c>
      <c r="O627" s="15" t="n">
        <f aca="false">SUMPRODUCT(E627:N627,1/(1+$F$616)^$E$3:$N$3)*$E$2</f>
        <v>6248.68388043588</v>
      </c>
      <c r="P627" s="15" t="n">
        <f aca="false">N627*$E$2*(1+$I$616)/($F$616-$I$616)/(1+$F$616)^$N$3</f>
        <v>10433.5869104478</v>
      </c>
      <c r="Q627" s="15" t="n">
        <f aca="false">O627+P627</f>
        <v>16682.2707908837</v>
      </c>
      <c r="R627" s="15" t="n">
        <f aca="false">Q627-$G$2+$I$2</f>
        <v>15129.5707908837</v>
      </c>
      <c r="S627" s="40" t="n">
        <f aca="false">R627/$K$2</f>
        <v>54.9387079809859</v>
      </c>
      <c r="T627" s="41" t="n">
        <f aca="false">S627-$M$2</f>
        <v>0.434187119661999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0.0654296875</v>
      </c>
      <c r="C628" s="25" t="n">
        <f aca="false">IF(T627&gt;0,D627,C627)</f>
        <v>0.06689453125</v>
      </c>
      <c r="D628" s="39" t="n">
        <f aca="false">(B628+C628)/2</f>
        <v>0.066162109375</v>
      </c>
      <c r="E628" s="15" t="n">
        <f aca="false">$C$2*(1+IF(E$3&lt;=$O$2,$D628,$D628-($D628-$I$616)*MIN(E$3-$O$2,$Q$2)/$Q$2))</f>
        <v>1972.39990234375</v>
      </c>
      <c r="F628" s="15" t="n">
        <f aca="false">E628*(1+IF(F$3&lt;=$O$2,$D628,$D628-($D628-$I$616)*MIN(F$3-$O$2,$Q$2)/$Q$2))</f>
        <v>2102.89804041386</v>
      </c>
      <c r="G628" s="15" t="n">
        <f aca="false">F628*(1+IF(G$3&lt;=$O$2,$D628,$D628-($D628-$I$616)*MIN(G$3-$O$2,$Q$2)/$Q$2))</f>
        <v>2242.03021056819</v>
      </c>
      <c r="H628" s="15" t="n">
        <f aca="false">G628*(1+IF(H$3&lt;=$O$2,$D628,$D628-($D628-$I$616)*MIN(H$3-$O$2,$Q$2)/$Q$2))</f>
        <v>2390.36765858186</v>
      </c>
      <c r="I628" s="15" t="n">
        <f aca="false">H628*(1+IF(I$3&lt;=$O$2,$D628,$D628-($D628-$I$616)*MIN(I$3-$O$2,$Q$2)/$Q$2))</f>
        <v>2548.51942505541</v>
      </c>
      <c r="J628" s="15" t="n">
        <f aca="false">I628*(1+IF(J$3&lt;=$O$2,$D628,$D628-($D628-$I$616)*MIN(J$3-$O$2,$Q$2)/$Q$2))</f>
        <v>2693.6058395115</v>
      </c>
      <c r="K628" s="15" t="n">
        <f aca="false">J628*(1+IF(K$3&lt;=$O$2,$D628,$D628-($D628-$I$616)*MIN(K$3-$O$2,$Q$2)/$Q$2))</f>
        <v>2822.08347272773</v>
      </c>
      <c r="L628" s="15" t="n">
        <f aca="false">K628*(1+IF(L$3&lt;=$O$2,$D628,$D628-($D628-$I$616)*MIN(L$3-$O$2,$Q$2)/$Q$2))</f>
        <v>2930.63447255566</v>
      </c>
      <c r="M628" s="15" t="n">
        <f aca="false">L628*(1+IF(M$3&lt;=$O$2,$D628,$D628-($D628-$I$616)*MIN(M$3-$O$2,$Q$2)/$Q$2))</f>
        <v>3016.30401581882</v>
      </c>
      <c r="N628" s="15" t="n">
        <f aca="false">M628*(1+IF(N$3&lt;=$O$2,$D628,$D628-($D628-$I$616)*MIN(N$3-$O$2,$Q$2)/$Q$2))</f>
        <v>3076.6300961352</v>
      </c>
      <c r="O628" s="15" t="n">
        <f aca="false">SUMPRODUCT(E628:N628,1/(1+$F$616)^$E$3:$N$3)*$E$2</f>
        <v>6228.50132868438</v>
      </c>
      <c r="P628" s="15" t="n">
        <f aca="false">N628*$E$2*(1+$I$616)/($F$616-$I$616)/(1+$F$616)^$N$3</f>
        <v>10383.2970982973</v>
      </c>
      <c r="Q628" s="15" t="n">
        <f aca="false">O628+P628</f>
        <v>16611.7984269816</v>
      </c>
      <c r="R628" s="15" t="n">
        <f aca="false">Q628-$G$2+$I$2</f>
        <v>15059.0984269816</v>
      </c>
      <c r="S628" s="40" t="n">
        <f aca="false">R628/$K$2</f>
        <v>54.682807752575</v>
      </c>
      <c r="T628" s="41" t="n">
        <f aca="false">S628-$M$2</f>
        <v>0.178286891251048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0.0654296875</v>
      </c>
      <c r="C629" s="25" t="n">
        <f aca="false">IF(T628&gt;0,D628,C628)</f>
        <v>0.066162109375</v>
      </c>
      <c r="D629" s="39" t="n">
        <f aca="false">(B629+C629)/2</f>
        <v>0.0657958984375</v>
      </c>
      <c r="E629" s="15" t="n">
        <f aca="false">$C$2*(1+IF(E$3&lt;=$O$2,$D629,$D629-($D629-$I$616)*MIN(E$3-$O$2,$Q$2)/$Q$2))</f>
        <v>1971.72241210938</v>
      </c>
      <c r="F629" s="15" t="n">
        <f aca="false">E629*(1+IF(F$3&lt;=$O$2,$D629,$D629-($D629-$I$616)*MIN(F$3-$O$2,$Q$2)/$Q$2))</f>
        <v>2101.45365968347</v>
      </c>
      <c r="G629" s="15" t="n">
        <f aca="false">F629*(1+IF(G$3&lt;=$O$2,$D629,$D629-($D629-$I$616)*MIN(G$3-$O$2,$Q$2)/$Q$2))</f>
        <v>2239.72069124711</v>
      </c>
      <c r="H629" s="15" t="n">
        <f aca="false">G629*(1+IF(H$3&lt;=$O$2,$D629,$D629-($D629-$I$616)*MIN(H$3-$O$2,$Q$2)/$Q$2))</f>
        <v>2387.08512637677</v>
      </c>
      <c r="I629" s="15" t="n">
        <f aca="false">H629*(1+IF(I$3&lt;=$O$2,$D629,$D629-($D629-$I$616)*MIN(I$3-$O$2,$Q$2)/$Q$2))</f>
        <v>2544.14553691353</v>
      </c>
      <c r="J629" s="15" t="n">
        <f aca="false">I629*(1+IF(J$3&lt;=$O$2,$D629,$D629-($D629-$I$616)*MIN(J$3-$O$2,$Q$2)/$Q$2))</f>
        <v>2688.23759214677</v>
      </c>
      <c r="K629" s="15" t="n">
        <f aca="false">J629*(1+IF(K$3&lt;=$O$2,$D629,$D629-($D629-$I$616)*MIN(K$3-$O$2,$Q$2)/$Q$2))</f>
        <v>2815.8684974372</v>
      </c>
      <c r="L629" s="15" t="n">
        <f aca="false">K629*(1+IF(L$3&lt;=$O$2,$D629,$D629-($D629-$I$616)*MIN(L$3-$O$2,$Q$2)/$Q$2))</f>
        <v>2923.76795847474</v>
      </c>
      <c r="M629" s="15" t="n">
        <f aca="false">L629*(1+IF(M$3&lt;=$O$2,$D629,$D629-($D629-$I$616)*MIN(M$3-$O$2,$Q$2)/$Q$2))</f>
        <v>3009.02263374045</v>
      </c>
      <c r="N629" s="15" t="n">
        <f aca="false">M629*(1+IF(N$3&lt;=$O$2,$D629,$D629-($D629-$I$616)*MIN(N$3-$O$2,$Q$2)/$Q$2))</f>
        <v>3069.20308641526</v>
      </c>
      <c r="O629" s="15" t="n">
        <f aca="false">SUMPRODUCT(E629:N629,1/(1+$F$616)^$E$3:$N$3)*$E$2</f>
        <v>6218.4344730103</v>
      </c>
      <c r="P629" s="15" t="n">
        <f aca="false">N629*$E$2*(1+$I$616)/($F$616-$I$616)/(1+$F$616)^$N$3</f>
        <v>10358.2317358506</v>
      </c>
      <c r="Q629" s="15" t="n">
        <f aca="false">O629+P629</f>
        <v>16576.6662088609</v>
      </c>
      <c r="R629" s="15" t="n">
        <f aca="false">Q629-$G$2+$I$2</f>
        <v>15023.9662088609</v>
      </c>
      <c r="S629" s="40" t="n">
        <f aca="false">R629/$K$2</f>
        <v>54.5552351532767</v>
      </c>
      <c r="T629" s="41" t="n">
        <f aca="false">S629-$M$2</f>
        <v>0.0507142919527155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0.0654296875</v>
      </c>
      <c r="C630" s="25" t="n">
        <f aca="false">IF(T629&gt;0,D629,C629)</f>
        <v>0.0657958984375</v>
      </c>
      <c r="D630" s="39" t="n">
        <f aca="false">(B630+C630)/2</f>
        <v>0.06561279296875</v>
      </c>
      <c r="E630" s="15" t="n">
        <f aca="false">$C$2*(1+IF(E$3&lt;=$O$2,$D630,$D630-($D630-$I$616)*MIN(E$3-$O$2,$Q$2)/$Q$2))</f>
        <v>1971.38366699219</v>
      </c>
      <c r="F630" s="15" t="n">
        <f aca="false">E630*(1+IF(F$3&lt;=$O$2,$D630,$D630-($D630-$I$616)*MIN(F$3-$O$2,$Q$2)/$Q$2))</f>
        <v>2100.73165539652</v>
      </c>
      <c r="G630" s="15" t="n">
        <f aca="false">F630*(1+IF(G$3&lt;=$O$2,$D630,$D630-($D630-$I$616)*MIN(G$3-$O$2,$Q$2)/$Q$2))</f>
        <v>2238.56652658495</v>
      </c>
      <c r="H630" s="15" t="n">
        <f aca="false">G630*(1+IF(H$3&lt;=$O$2,$D630,$D630-($D630-$I$616)*MIN(H$3-$O$2,$Q$2)/$Q$2))</f>
        <v>2385.44512864054</v>
      </c>
      <c r="I630" s="15" t="n">
        <f aca="false">H630*(1+IF(I$3&lt;=$O$2,$D630,$D630-($D630-$I$616)*MIN(I$3-$O$2,$Q$2)/$Q$2))</f>
        <v>2541.96084600435</v>
      </c>
      <c r="J630" s="15" t="n">
        <f aca="false">I630*(1+IF(J$3&lt;=$O$2,$D630,$D630-($D630-$I$616)*MIN(J$3-$O$2,$Q$2)/$Q$2))</f>
        <v>2685.55680996721</v>
      </c>
      <c r="K630" s="15" t="n">
        <f aca="false">J630*(1+IF(K$3&lt;=$O$2,$D630,$D630-($D630-$I$616)*MIN(K$3-$O$2,$Q$2)/$Q$2))</f>
        <v>2812.76539423386</v>
      </c>
      <c r="L630" s="15" t="n">
        <f aca="false">K630*(1+IF(L$3&lt;=$O$2,$D630,$D630-($D630-$I$616)*MIN(L$3-$O$2,$Q$2)/$Q$2))</f>
        <v>2920.33993635728</v>
      </c>
      <c r="M630" s="15" t="n">
        <f aca="false">L630*(1+IF(M$3&lt;=$O$2,$D630,$D630-($D630-$I$616)*MIN(M$3-$O$2,$Q$2)/$Q$2))</f>
        <v>3005.38770726752</v>
      </c>
      <c r="N630" s="15" t="n">
        <f aca="false">M630*(1+IF(N$3&lt;=$O$2,$D630,$D630-($D630-$I$616)*MIN(N$3-$O$2,$Q$2)/$Q$2))</f>
        <v>3065.49546141287</v>
      </c>
      <c r="O630" s="15" t="n">
        <f aca="false">SUMPRODUCT(E630:N630,1/(1+$F$616)^$E$3:$N$3)*$E$2</f>
        <v>6213.40713954827</v>
      </c>
      <c r="P630" s="15" t="n">
        <f aca="false">N630*$E$2*(1+$I$616)/($F$616-$I$616)/(1+$F$616)^$N$3</f>
        <v>10345.7188985168</v>
      </c>
      <c r="Q630" s="15" t="n">
        <f aca="false">O630+P630</f>
        <v>16559.1260380651</v>
      </c>
      <c r="R630" s="15" t="n">
        <f aca="false">Q630-$G$2+$I$2</f>
        <v>15006.4260380651</v>
      </c>
      <c r="S630" s="40" t="n">
        <f aca="false">R630/$K$2</f>
        <v>54.4915430410149</v>
      </c>
      <c r="T630" s="41" t="n">
        <f aca="false">S630-$M$2</f>
        <v>-0.0129778203090041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0.06561279296875</v>
      </c>
      <c r="C631" s="25" t="n">
        <f aca="false">IF(T630&gt;0,D630,C630)</f>
        <v>0.0657958984375</v>
      </c>
      <c r="D631" s="39" t="n">
        <f aca="false">(B631+C631)/2</f>
        <v>0.065704345703125</v>
      </c>
      <c r="E631" s="15" t="n">
        <f aca="false">$C$2*(1+IF(E$3&lt;=$O$2,$D631,$D631-($D631-$I$616)*MIN(E$3-$O$2,$Q$2)/$Q$2))</f>
        <v>1971.55303955078</v>
      </c>
      <c r="F631" s="15" t="n">
        <f aca="false">E631*(1+IF(F$3&lt;=$O$2,$D631,$D631-($D631-$I$616)*MIN(F$3-$O$2,$Q$2)/$Q$2))</f>
        <v>2101.09264203347</v>
      </c>
      <c r="G631" s="15" t="n">
        <f aca="false">F631*(1+IF(G$3&lt;=$O$2,$D631,$D631-($D631-$I$616)*MIN(G$3-$O$2,$Q$2)/$Q$2))</f>
        <v>2239.14355933993</v>
      </c>
      <c r="H631" s="15" t="n">
        <f aca="false">G631*(1+IF(H$3&lt;=$O$2,$D631,$D631-($D631-$I$616)*MIN(H$3-$O$2,$Q$2)/$Q$2))</f>
        <v>2386.26502184173</v>
      </c>
      <c r="I631" s="15" t="n">
        <f aca="false">H631*(1+IF(I$3&lt;=$O$2,$D631,$D631-($D631-$I$616)*MIN(I$3-$O$2,$Q$2)/$Q$2))</f>
        <v>2543.05300377609</v>
      </c>
      <c r="J631" s="15" t="n">
        <f aca="false">I631*(1+IF(J$3&lt;=$O$2,$D631,$D631-($D631-$I$616)*MIN(J$3-$O$2,$Q$2)/$Q$2))</f>
        <v>2686.89692275238</v>
      </c>
      <c r="K631" s="15" t="n">
        <f aca="false">J631*(1+IF(K$3&lt;=$O$2,$D631,$D631-($D631-$I$616)*MIN(K$3-$O$2,$Q$2)/$Q$2))</f>
        <v>2814.31658070311</v>
      </c>
      <c r="L631" s="15" t="n">
        <f aca="false">K631*(1+IF(L$3&lt;=$O$2,$D631,$D631-($D631-$I$616)*MIN(L$3-$O$2,$Q$2)/$Q$2))</f>
        <v>2922.05351148617</v>
      </c>
      <c r="M631" s="15" t="n">
        <f aca="false">L631*(1+IF(M$3&lt;=$O$2,$D631,$D631-($D631-$I$616)*MIN(M$3-$O$2,$Q$2)/$Q$2))</f>
        <v>3007.20469048629</v>
      </c>
      <c r="N631" s="15" t="n">
        <f aca="false">M631*(1+IF(N$3&lt;=$O$2,$D631,$D631-($D631-$I$616)*MIN(N$3-$O$2,$Q$2)/$Q$2))</f>
        <v>3067.34878429601</v>
      </c>
      <c r="O631" s="15" t="n">
        <f aca="false">SUMPRODUCT(E631:N631,1/(1+$F$616)^$E$3:$N$3)*$E$2</f>
        <v>6215.92029873209</v>
      </c>
      <c r="P631" s="15" t="n">
        <f aca="false">N631*$E$2*(1+$I$616)/($F$616-$I$616)/(1+$F$616)^$N$3</f>
        <v>10351.9736647752</v>
      </c>
      <c r="Q631" s="15" t="n">
        <f aca="false">O631+P631</f>
        <v>16567.8939635073</v>
      </c>
      <c r="R631" s="15" t="n">
        <f aca="false">Q631-$G$2+$I$2</f>
        <v>15015.1939635073</v>
      </c>
      <c r="S631" s="40" t="n">
        <f aca="false">R631/$K$2</f>
        <v>54.5233812538846</v>
      </c>
      <c r="T631" s="41" t="n">
        <f aca="false">S631-$M$2</f>
        <v>0.018860392560704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0.06561279296875</v>
      </c>
      <c r="C632" s="25" t="n">
        <f aca="false">IF(T631&gt;0,D631,C631)</f>
        <v>0.065704345703125</v>
      </c>
      <c r="D632" s="39" t="n">
        <f aca="false">(B632+C632)/2</f>
        <v>0.0656585693359375</v>
      </c>
      <c r="E632" s="15" t="n">
        <f aca="false">$C$2*(1+IF(E$3&lt;=$O$2,$D632,$D632-($D632-$I$616)*MIN(E$3-$O$2,$Q$2)/$Q$2))</f>
        <v>1971.46835327148</v>
      </c>
      <c r="F632" s="15" t="n">
        <f aca="false">E632*(1+IF(F$3&lt;=$O$2,$D632,$D632-($D632-$I$616)*MIN(F$3-$O$2,$Q$2)/$Q$2))</f>
        <v>2100.91214483837</v>
      </c>
      <c r="G632" s="15" t="n">
        <f aca="false">F632*(1+IF(G$3&lt;=$O$2,$D632,$D632-($D632-$I$616)*MIN(G$3-$O$2,$Q$2)/$Q$2))</f>
        <v>2238.85503056895</v>
      </c>
      <c r="H632" s="15" t="n">
        <f aca="false">G632*(1+IF(H$3&lt;=$O$2,$D632,$D632-($D632-$I$616)*MIN(H$3-$O$2,$Q$2)/$Q$2))</f>
        <v>2385.85504882667</v>
      </c>
      <c r="I632" s="15" t="n">
        <f aca="false">H632*(1+IF(I$3&lt;=$O$2,$D632,$D632-($D632-$I$616)*MIN(I$3-$O$2,$Q$2)/$Q$2))</f>
        <v>2542.50687797556</v>
      </c>
      <c r="J632" s="15" t="n">
        <f aca="false">I632*(1+IF(J$3&lt;=$O$2,$D632,$D632-($D632-$I$616)*MIN(J$3-$O$2,$Q$2)/$Q$2))</f>
        <v>2686.22679679518</v>
      </c>
      <c r="K632" s="15" t="n">
        <f aca="false">J632*(1+IF(K$3&lt;=$O$2,$D632,$D632-($D632-$I$616)*MIN(K$3-$O$2,$Q$2)/$Q$2))</f>
        <v>2813.5408962032</v>
      </c>
      <c r="L632" s="15" t="n">
        <f aca="false">K632*(1+IF(L$3&lt;=$O$2,$D632,$D632-($D632-$I$616)*MIN(L$3-$O$2,$Q$2)/$Q$2))</f>
        <v>2921.19661496278</v>
      </c>
      <c r="M632" s="15" t="n">
        <f aca="false">L632*(1+IF(M$3&lt;=$O$2,$D632,$D632-($D632-$I$616)*MIN(M$3-$O$2,$Q$2)/$Q$2))</f>
        <v>3006.29607889968</v>
      </c>
      <c r="N632" s="15" t="n">
        <f aca="false">M632*(1+IF(N$3&lt;=$O$2,$D632,$D632-($D632-$I$616)*MIN(N$3-$O$2,$Q$2)/$Q$2))</f>
        <v>3066.42200047767</v>
      </c>
      <c r="O632" s="15" t="n">
        <f aca="false">SUMPRODUCT(E632:N632,1/(1+$F$616)^$E$3:$N$3)*$E$2</f>
        <v>6214.66359227717</v>
      </c>
      <c r="P632" s="15" t="n">
        <f aca="false">N632*$E$2*(1+$I$616)/($F$616-$I$616)/(1+$F$616)^$N$3</f>
        <v>10348.8458686375</v>
      </c>
      <c r="Q632" s="15" t="n">
        <f aca="false">O632+P632</f>
        <v>16563.5094609147</v>
      </c>
      <c r="R632" s="15" t="n">
        <f aca="false">Q632-$G$2+$I$2</f>
        <v>15010.8094609147</v>
      </c>
      <c r="S632" s="40" t="n">
        <f aca="false">R632/$K$2</f>
        <v>54.5074601870609</v>
      </c>
      <c r="T632" s="41" t="n">
        <f aca="false">S632-$M$2</f>
        <v>0.00293932573694633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0.06561279296875</v>
      </c>
      <c r="C633" s="25" t="n">
        <f aca="false">IF(T632&gt;0,D632,C632)</f>
        <v>0.0656585693359375</v>
      </c>
      <c r="D633" s="39" t="n">
        <f aca="false">(B633+C633)/2</f>
        <v>0.0656356811523438</v>
      </c>
      <c r="E633" s="15" t="n">
        <f aca="false">$C$2*(1+IF(E$3&lt;=$O$2,$D633,$D633-($D633-$I$616)*MIN(E$3-$O$2,$Q$2)/$Q$2))</f>
        <v>1971.42601013184</v>
      </c>
      <c r="F633" s="15" t="n">
        <f aca="false">E633*(1+IF(F$3&lt;=$O$2,$D633,$D633-($D633-$I$616)*MIN(F$3-$O$2,$Q$2)/$Q$2))</f>
        <v>2100.82189914829</v>
      </c>
      <c r="G633" s="15" t="n">
        <f aca="false">F633*(1+IF(G$3&lt;=$O$2,$D633,$D633-($D633-$I$616)*MIN(G$3-$O$2,$Q$2)/$Q$2))</f>
        <v>2238.71077547864</v>
      </c>
      <c r="H633" s="15" t="n">
        <f aca="false">G633*(1+IF(H$3&lt;=$O$2,$D633,$D633-($D633-$I$616)*MIN(H$3-$O$2,$Q$2)/$Q$2))</f>
        <v>2385.65008213028</v>
      </c>
      <c r="I633" s="15" t="n">
        <f aca="false">H633*(1+IF(I$3&lt;=$O$2,$D633,$D633-($D633-$I$616)*MIN(I$3-$O$2,$Q$2)/$Q$2))</f>
        <v>2542.23385026204</v>
      </c>
      <c r="J633" s="15" t="n">
        <f aca="false">I633*(1+IF(J$3&lt;=$O$2,$D633,$D633-($D633-$I$616)*MIN(J$3-$O$2,$Q$2)/$Q$2))</f>
        <v>2685.89178599149</v>
      </c>
      <c r="K633" s="15" t="n">
        <f aca="false">J633*(1+IF(K$3&lt;=$O$2,$D633,$D633-($D633-$I$616)*MIN(K$3-$O$2,$Q$2)/$Q$2))</f>
        <v>2813.15312240444</v>
      </c>
      <c r="L633" s="15" t="n">
        <f aca="false">K633*(1+IF(L$3&lt;=$O$2,$D633,$D633-($D633-$I$616)*MIN(L$3-$O$2,$Q$2)/$Q$2))</f>
        <v>2920.76824842324</v>
      </c>
      <c r="M633" s="15" t="n">
        <f aca="false">L633*(1+IF(M$3&lt;=$O$2,$D633,$D633-($D633-$I$616)*MIN(M$3-$O$2,$Q$2)/$Q$2))</f>
        <v>3005.84186309269</v>
      </c>
      <c r="N633" s="15" t="n">
        <f aca="false">M633*(1+IF(N$3&lt;=$O$2,$D633,$D633-($D633-$I$616)*MIN(N$3-$O$2,$Q$2)/$Q$2))</f>
        <v>3065.95870035454</v>
      </c>
      <c r="O633" s="15" t="n">
        <f aca="false">SUMPRODUCT(E633:N633,1/(1+$F$616)^$E$3:$N$3)*$E$2</f>
        <v>6214.03533419994</v>
      </c>
      <c r="P633" s="15" t="n">
        <f aca="false">N633*$E$2*(1+$I$616)/($F$616-$I$616)/(1+$F$616)^$N$3</f>
        <v>10347.2822803368</v>
      </c>
      <c r="Q633" s="15" t="n">
        <f aca="false">O633+P633</f>
        <v>16561.3176145367</v>
      </c>
      <c r="R633" s="15" t="n">
        <f aca="false">Q633-$G$2+$I$2</f>
        <v>15008.6176145367</v>
      </c>
      <c r="S633" s="40" t="n">
        <f aca="false">R633/$K$2</f>
        <v>54.499501123994</v>
      </c>
      <c r="T633" s="41" t="n">
        <f aca="false">S633-$M$2</f>
        <v>-0.00501973732998096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0.0656356811523438</v>
      </c>
      <c r="C634" s="25" t="n">
        <f aca="false">IF(T633&gt;0,D633,C633)</f>
        <v>0.0656585693359375</v>
      </c>
      <c r="D634" s="39" t="n">
        <f aca="false">(B634+C634)/2</f>
        <v>0.0656471252441406</v>
      </c>
      <c r="E634" s="15" t="n">
        <f aca="false">$C$2*(1+IF(E$3&lt;=$O$2,$D634,$D634-($D634-$I$616)*MIN(E$3-$O$2,$Q$2)/$Q$2))</f>
        <v>1971.44718170166</v>
      </c>
      <c r="F634" s="15" t="n">
        <f aca="false">E634*(1+IF(F$3&lt;=$O$2,$D634,$D634-($D634-$I$616)*MIN(F$3-$O$2,$Q$2)/$Q$2))</f>
        <v>2100.86702175104</v>
      </c>
      <c r="G634" s="15" t="n">
        <f aca="false">F634*(1+IF(G$3&lt;=$O$2,$D634,$D634-($D634-$I$616)*MIN(G$3-$O$2,$Q$2)/$Q$2))</f>
        <v>2238.78290224921</v>
      </c>
      <c r="H634" s="15" t="n">
        <f aca="false">G634*(1+IF(H$3&lt;=$O$2,$D634,$D634-($D634-$I$616)*MIN(H$3-$O$2,$Q$2)/$Q$2))</f>
        <v>2385.75256382761</v>
      </c>
      <c r="I634" s="15" t="n">
        <f aca="false">H634*(1+IF(I$3&lt;=$O$2,$D634,$D634-($D634-$I$616)*MIN(I$3-$O$2,$Q$2)/$Q$2))</f>
        <v>2542.37036118673</v>
      </c>
      <c r="J634" s="15" t="n">
        <f aca="false">I634*(1+IF(J$3&lt;=$O$2,$D634,$D634-($D634-$I$616)*MIN(J$3-$O$2,$Q$2)/$Q$2))</f>
        <v>2686.05928704573</v>
      </c>
      <c r="K634" s="15" t="n">
        <f aca="false">J634*(1+IF(K$3&lt;=$O$2,$D634,$D634-($D634-$I$616)*MIN(K$3-$O$2,$Q$2)/$Q$2))</f>
        <v>2813.34700360002</v>
      </c>
      <c r="L634" s="15" t="n">
        <f aca="false">K634*(1+IF(L$3&lt;=$O$2,$D634,$D634-($D634-$I$616)*MIN(L$3-$O$2,$Q$2)/$Q$2))</f>
        <v>2920.98242488344</v>
      </c>
      <c r="M634" s="15" t="n">
        <f aca="false">L634*(1+IF(M$3&lt;=$O$2,$D634,$D634-($D634-$I$616)*MIN(M$3-$O$2,$Q$2)/$Q$2))</f>
        <v>3006.06896349803</v>
      </c>
      <c r="N634" s="15" t="n">
        <f aca="false">M634*(1+IF(N$3&lt;=$O$2,$D634,$D634-($D634-$I$616)*MIN(N$3-$O$2,$Q$2)/$Q$2))</f>
        <v>3066.19034276799</v>
      </c>
      <c r="O634" s="15" t="n">
        <f aca="false">SUMPRODUCT(E634:N634,1/(1+$F$616)^$E$3:$N$3)*$E$2</f>
        <v>6214.34945530999</v>
      </c>
      <c r="P634" s="15" t="n">
        <f aca="false">N634*$E$2*(1+$I$616)/($F$616-$I$616)/(1+$F$616)^$N$3</f>
        <v>10348.0640486756</v>
      </c>
      <c r="Q634" s="15" t="n">
        <f aca="false">O634+P634</f>
        <v>16562.4135039856</v>
      </c>
      <c r="R634" s="15" t="n">
        <f aca="false">Q634-$G$2+$I$2</f>
        <v>15009.7135039856</v>
      </c>
      <c r="S634" s="40" t="n">
        <f aca="false">R634/$K$2</f>
        <v>54.5034805330098</v>
      </c>
      <c r="T634" s="41" t="n">
        <f aca="false">S634-$M$2</f>
        <v>-0.00104032831415424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0.0656471252441406</v>
      </c>
      <c r="C635" s="25" t="n">
        <f aca="false">IF(T634&gt;0,D634,C634)</f>
        <v>0.0656585693359375</v>
      </c>
      <c r="D635" s="39" t="n">
        <f aca="false">(B635+C635)/2</f>
        <v>0.0656528472900391</v>
      </c>
      <c r="E635" s="15" t="n">
        <f aca="false">$C$2*(1+IF(E$3&lt;=$O$2,$D635,$D635-($D635-$I$616)*MIN(E$3-$O$2,$Q$2)/$Q$2))</f>
        <v>1971.45776748657</v>
      </c>
      <c r="F635" s="15" t="n">
        <f aca="false">E635*(1+IF(F$3&lt;=$O$2,$D635,$D635-($D635-$I$616)*MIN(F$3-$O$2,$Q$2)/$Q$2))</f>
        <v>2100.88958323413</v>
      </c>
      <c r="G635" s="15" t="n">
        <f aca="false">F635*(1+IF(G$3&lt;=$O$2,$D635,$D635-($D635-$I$616)*MIN(G$3-$O$2,$Q$2)/$Q$2))</f>
        <v>2238.81896621543</v>
      </c>
      <c r="H635" s="15" t="n">
        <f aca="false">G635*(1+IF(H$3&lt;=$O$2,$D635,$D635-($D635-$I$616)*MIN(H$3-$O$2,$Q$2)/$Q$2))</f>
        <v>2385.80380591442</v>
      </c>
      <c r="I635" s="15" t="n">
        <f aca="false">H635*(1+IF(I$3&lt;=$O$2,$D635,$D635-($D635-$I$616)*MIN(I$3-$O$2,$Q$2)/$Q$2))</f>
        <v>2542.43861884811</v>
      </c>
      <c r="J635" s="15" t="n">
        <f aca="false">I635*(1+IF(J$3&lt;=$O$2,$D635,$D635-($D635-$I$616)*MIN(J$3-$O$2,$Q$2)/$Q$2))</f>
        <v>2686.14304083353</v>
      </c>
      <c r="K635" s="15" t="n">
        <f aca="false">J635*(1+IF(K$3&lt;=$O$2,$D635,$D635-($D635-$I$616)*MIN(K$3-$O$2,$Q$2)/$Q$2))</f>
        <v>2813.44394847563</v>
      </c>
      <c r="L635" s="15" t="n">
        <f aca="false">K635*(1+IF(L$3&lt;=$O$2,$D635,$D635-($D635-$I$616)*MIN(L$3-$O$2,$Q$2)/$Q$2))</f>
        <v>2921.08951822068</v>
      </c>
      <c r="M635" s="15" t="n">
        <f aca="false">L635*(1+IF(M$3&lt;=$O$2,$D635,$D635-($D635-$I$616)*MIN(M$3-$O$2,$Q$2)/$Q$2))</f>
        <v>3006.18251932426</v>
      </c>
      <c r="N635" s="15" t="n">
        <f aca="false">M635*(1+IF(N$3&lt;=$O$2,$D635,$D635-($D635-$I$616)*MIN(N$3-$O$2,$Q$2)/$Q$2))</f>
        <v>3066.30616971075</v>
      </c>
      <c r="O635" s="15" t="n">
        <f aca="false">SUMPRODUCT(E635:N635,1/(1+$F$616)^$E$3:$N$3)*$E$2</f>
        <v>6214.5065218114</v>
      </c>
      <c r="P635" s="15" t="n">
        <f aca="false">N635*$E$2*(1+$I$616)/($F$616-$I$616)/(1+$F$616)^$N$3</f>
        <v>10348.4549522035</v>
      </c>
      <c r="Q635" s="15" t="n">
        <f aca="false">O635+P635</f>
        <v>16562.9614740149</v>
      </c>
      <c r="R635" s="15" t="n">
        <f aca="false">Q635-$G$2+$I$2</f>
        <v>15010.2614740149</v>
      </c>
      <c r="S635" s="40" t="n">
        <f aca="false">R635/$K$2</f>
        <v>54.5054703294051</v>
      </c>
      <c r="T635" s="41" t="n">
        <f aca="false">S635-$M$2</f>
        <v>0.000949468081152816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0.0656471252441406</v>
      </c>
      <c r="C636" s="25" t="n">
        <f aca="false">IF(T635&gt;0,D635,C635)</f>
        <v>0.0656528472900391</v>
      </c>
      <c r="D636" s="39" t="n">
        <f aca="false">(B636+C636)/2</f>
        <v>0.0656499862670898</v>
      </c>
      <c r="E636" s="15" t="n">
        <f aca="false">$C$2*(1+IF(E$3&lt;=$O$2,$D636,$D636-($D636-$I$616)*MIN(E$3-$O$2,$Q$2)/$Q$2))</f>
        <v>1971.45247459412</v>
      </c>
      <c r="F636" s="15" t="n">
        <f aca="false">E636*(1+IF(F$3&lt;=$O$2,$D636,$D636-($D636-$I$616)*MIN(F$3-$O$2,$Q$2)/$Q$2))</f>
        <v>2100.87830247744</v>
      </c>
      <c r="G636" s="15" t="n">
        <f aca="false">F636*(1+IF(G$3&lt;=$O$2,$D636,$D636-($D636-$I$616)*MIN(G$3-$O$2,$Q$2)/$Q$2))</f>
        <v>2238.80093418391</v>
      </c>
      <c r="H636" s="15" t="n">
        <f aca="false">G636*(1+IF(H$3&lt;=$O$2,$D636,$D636-($D636-$I$616)*MIN(H$3-$O$2,$Q$2)/$Q$2))</f>
        <v>2385.77818476783</v>
      </c>
      <c r="I636" s="15" t="n">
        <f aca="false">H636*(1+IF(I$3&lt;=$O$2,$D636,$D636-($D636-$I$616)*MIN(I$3-$O$2,$Q$2)/$Q$2))</f>
        <v>2542.40448983416</v>
      </c>
      <c r="J636" s="15" t="n">
        <f aca="false">I636*(1+IF(J$3&lt;=$O$2,$D636,$D636-($D636-$I$616)*MIN(J$3-$O$2,$Q$2)/$Q$2))</f>
        <v>2686.1011636679</v>
      </c>
      <c r="K636" s="15" t="n">
        <f aca="false">J636*(1+IF(K$3&lt;=$O$2,$D636,$D636-($D636-$I$616)*MIN(K$3-$O$2,$Q$2)/$Q$2))</f>
        <v>2813.39547568133</v>
      </c>
      <c r="L636" s="15" t="n">
        <f aca="false">K636*(1+IF(L$3&lt;=$O$2,$D636,$D636-($D636-$I$616)*MIN(L$3-$O$2,$Q$2)/$Q$2))</f>
        <v>2921.03597112646</v>
      </c>
      <c r="M636" s="15" t="n">
        <f aca="false">L636*(1+IF(M$3&lt;=$O$2,$D636,$D636-($D636-$I$616)*MIN(M$3-$O$2,$Q$2)/$Q$2))</f>
        <v>3006.1257409425</v>
      </c>
      <c r="N636" s="15" t="n">
        <f aca="false">M636*(1+IF(N$3&lt;=$O$2,$D636,$D636-($D636-$I$616)*MIN(N$3-$O$2,$Q$2)/$Q$2))</f>
        <v>3066.24825576135</v>
      </c>
      <c r="O636" s="15" t="n">
        <f aca="false">SUMPRODUCT(E636:N636,1/(1+$F$616)^$E$3:$N$3)*$E$2</f>
        <v>6214.42798806515</v>
      </c>
      <c r="P636" s="15" t="n">
        <f aca="false">N636*$E$2*(1+$I$616)/($F$616-$I$616)/(1+$F$616)^$N$3</f>
        <v>10348.2594988263</v>
      </c>
      <c r="Q636" s="15" t="n">
        <f aca="false">O636+P636</f>
        <v>16562.6874868914</v>
      </c>
      <c r="R636" s="15" t="n">
        <f aca="false">Q636-$G$2+$I$2</f>
        <v>15009.9874868914</v>
      </c>
      <c r="S636" s="40" t="n">
        <f aca="false">R636/$K$2</f>
        <v>54.50447542355</v>
      </c>
      <c r="T636" s="41" t="n">
        <f aca="false">S636-$M$2</f>
        <v>-4.54377739629308E-005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0.0656499862670898</v>
      </c>
      <c r="C637" s="25" t="n">
        <f aca="false">IF(T636&gt;0,D636,C636)</f>
        <v>0.0656528472900391</v>
      </c>
      <c r="D637" s="39" t="n">
        <f aca="false">(B637+C637)/2</f>
        <v>0.0656514167785645</v>
      </c>
      <c r="E637" s="15" t="n">
        <f aca="false">$C$2*(1+IF(E$3&lt;=$O$2,$D637,$D637-($D637-$I$616)*MIN(E$3-$O$2,$Q$2)/$Q$2))</f>
        <v>1971.45512104034</v>
      </c>
      <c r="F637" s="15" t="n">
        <f aca="false">E637*(1+IF(F$3&lt;=$O$2,$D637,$D637-($D637-$I$616)*MIN(F$3-$O$2,$Q$2)/$Q$2))</f>
        <v>2100.883942852</v>
      </c>
      <c r="G637" s="15" t="n">
        <f aca="false">F637*(1+IF(G$3&lt;=$O$2,$D637,$D637-($D637-$I$616)*MIN(G$3-$O$2,$Q$2)/$Q$2))</f>
        <v>2238.80995018757</v>
      </c>
      <c r="H637" s="15" t="n">
        <f aca="false">G637*(1+IF(H$3&lt;=$O$2,$D637,$D637-($D637-$I$616)*MIN(H$3-$O$2,$Q$2)/$Q$2))</f>
        <v>2385.79099531533</v>
      </c>
      <c r="I637" s="15" t="n">
        <f aca="false">H637*(1+IF(I$3&lt;=$O$2,$D637,$D637-($D637-$I$616)*MIN(I$3-$O$2,$Q$2)/$Q$2))</f>
        <v>2542.42155429532</v>
      </c>
      <c r="J637" s="15" t="n">
        <f aca="false">I637*(1+IF(J$3&lt;=$O$2,$D637,$D637-($D637-$I$616)*MIN(J$3-$O$2,$Q$2)/$Q$2))</f>
        <v>2686.12210218278</v>
      </c>
      <c r="K637" s="15" t="n">
        <f aca="false">J637*(1+IF(K$3&lt;=$O$2,$D637,$D637-($D637-$I$616)*MIN(K$3-$O$2,$Q$2)/$Q$2))</f>
        <v>2813.41971198936</v>
      </c>
      <c r="L637" s="15" t="n">
        <f aca="false">K637*(1+IF(L$3&lt;=$O$2,$D637,$D637-($D637-$I$616)*MIN(L$3-$O$2,$Q$2)/$Q$2))</f>
        <v>2921.06274456716</v>
      </c>
      <c r="M637" s="15" t="n">
        <f aca="false">L637*(1+IF(M$3&lt;=$O$2,$D637,$D637-($D637-$I$616)*MIN(M$3-$O$2,$Q$2)/$Q$2))</f>
        <v>3006.15413001622</v>
      </c>
      <c r="N637" s="15" t="n">
        <f aca="false">M637*(1+IF(N$3&lt;=$O$2,$D637,$D637-($D637-$I$616)*MIN(N$3-$O$2,$Q$2)/$Q$2))</f>
        <v>3066.27721261655</v>
      </c>
      <c r="O637" s="15" t="n">
        <f aca="false">SUMPRODUCT(E637:N637,1/(1+$F$616)^$E$3:$N$3)*$E$2</f>
        <v>6214.46725481439</v>
      </c>
      <c r="P637" s="15" t="n">
        <f aca="false">N637*$E$2*(1+$I$616)/($F$616-$I$616)/(1+$F$616)^$N$3</f>
        <v>10348.3572251116</v>
      </c>
      <c r="Q637" s="15" t="n">
        <f aca="false">O637+P637</f>
        <v>16562.824479926</v>
      </c>
      <c r="R637" s="15" t="n">
        <f aca="false">Q637-$G$2+$I$2</f>
        <v>15010.1244799259</v>
      </c>
      <c r="S637" s="40" t="n">
        <f aca="false">R637/$K$2</f>
        <v>54.5049728745632</v>
      </c>
      <c r="T637" s="41" t="n">
        <f aca="false">S637-$M$2</f>
        <v>0.000452013239218729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0.0656499862670898</v>
      </c>
      <c r="C638" s="25" t="n">
        <f aca="false">IF(T637&gt;0,D637,C637)</f>
        <v>0.0656514167785645</v>
      </c>
      <c r="D638" s="39" t="n">
        <f aca="false">(B638+C638)/2</f>
        <v>0.0656507015228272</v>
      </c>
      <c r="E638" s="15" t="n">
        <f aca="false">$C$2*(1+IF(E$3&lt;=$O$2,$D638,$D638-($D638-$I$616)*MIN(E$3-$O$2,$Q$2)/$Q$2))</f>
        <v>1971.45379781723</v>
      </c>
      <c r="F638" s="15" t="n">
        <f aca="false">E638*(1+IF(F$3&lt;=$O$2,$D638,$D638-($D638-$I$616)*MIN(F$3-$O$2,$Q$2)/$Q$2))</f>
        <v>2100.88112266377</v>
      </c>
      <c r="G638" s="15" t="n">
        <f aca="false">F638*(1+IF(G$3&lt;=$O$2,$D638,$D638-($D638-$I$616)*MIN(G$3-$O$2,$Q$2)/$Q$2))</f>
        <v>2238.80544218271</v>
      </c>
      <c r="H638" s="15" t="n">
        <f aca="false">G638*(1+IF(H$3&lt;=$O$2,$D638,$D638-($D638-$I$616)*MIN(H$3-$O$2,$Q$2)/$Q$2))</f>
        <v>2385.78459003513</v>
      </c>
      <c r="I638" s="15" t="n">
        <f aca="false">H638*(1+IF(I$3&lt;=$O$2,$D638,$D638-($D638-$I$616)*MIN(I$3-$O$2,$Q$2)/$Q$2))</f>
        <v>2542.41302205329</v>
      </c>
      <c r="J638" s="15" t="n">
        <f aca="false">I638*(1+IF(J$3&lt;=$O$2,$D638,$D638-($D638-$I$616)*MIN(J$3-$O$2,$Q$2)/$Q$2))</f>
        <v>2686.11163290836</v>
      </c>
      <c r="K638" s="15" t="n">
        <f aca="false">J638*(1+IF(K$3&lt;=$O$2,$D638,$D638-($D638-$I$616)*MIN(K$3-$O$2,$Q$2)/$Q$2))</f>
        <v>2813.40759381306</v>
      </c>
      <c r="L638" s="15" t="n">
        <f aca="false">K638*(1+IF(L$3&lt;=$O$2,$D638,$D638-($D638-$I$616)*MIN(L$3-$O$2,$Q$2)/$Q$2))</f>
        <v>2921.04935782021</v>
      </c>
      <c r="M638" s="15" t="n">
        <f aca="false">L638*(1+IF(M$3&lt;=$O$2,$D638,$D638-($D638-$I$616)*MIN(M$3-$O$2,$Q$2)/$Q$2))</f>
        <v>3006.13993545007</v>
      </c>
      <c r="N638" s="15" t="n">
        <f aca="false">M638*(1+IF(N$3&lt;=$O$2,$D638,$D638-($D638-$I$616)*MIN(N$3-$O$2,$Q$2)/$Q$2))</f>
        <v>3066.26273415907</v>
      </c>
      <c r="O638" s="15" t="n">
        <f aca="false">SUMPRODUCT(E638:N638,1/(1+$F$616)^$E$3:$N$3)*$E$2</f>
        <v>6214.4476214088</v>
      </c>
      <c r="P638" s="15" t="n">
        <f aca="false">N638*$E$2*(1+$I$616)/($F$616-$I$616)/(1+$F$616)^$N$3</f>
        <v>10348.3083618681</v>
      </c>
      <c r="Q638" s="15" t="n">
        <f aca="false">O638+P638</f>
        <v>16562.7559832769</v>
      </c>
      <c r="R638" s="15" t="n">
        <f aca="false">Q638-$G$2+$I$2</f>
        <v>15010.0559832769</v>
      </c>
      <c r="S638" s="40" t="n">
        <f aca="false">R638/$K$2</f>
        <v>54.504724148578</v>
      </c>
      <c r="T638" s="41" t="n">
        <f aca="false">S638-$M$2</f>
        <v>0.000203287254038287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0.0656499862670898</v>
      </c>
      <c r="C639" s="25" t="n">
        <f aca="false">IF(T638&gt;0,D638,C638)</f>
        <v>0.0656507015228272</v>
      </c>
      <c r="D639" s="39" t="n">
        <f aca="false">(B639+C639)/2</f>
        <v>0.0656503438949585</v>
      </c>
      <c r="E639" s="15" t="n">
        <f aca="false">$C$2*(1+IF(E$3&lt;=$O$2,$D639,$D639-($D639-$I$616)*MIN(E$3-$O$2,$Q$2)/$Q$2))</f>
        <v>1971.45313620567</v>
      </c>
      <c r="F639" s="15" t="n">
        <f aca="false">E639*(1+IF(F$3&lt;=$O$2,$D639,$D639-($D639-$I$616)*MIN(F$3-$O$2,$Q$2)/$Q$2))</f>
        <v>2100.87971257037</v>
      </c>
      <c r="G639" s="15" t="n">
        <f aca="false">F639*(1+IF(G$3&lt;=$O$2,$D639,$D639-($D639-$I$616)*MIN(G$3-$O$2,$Q$2)/$Q$2))</f>
        <v>2238.80318818256</v>
      </c>
      <c r="H639" s="15" t="n">
        <f aca="false">G639*(1+IF(H$3&lt;=$O$2,$D639,$D639-($D639-$I$616)*MIN(H$3-$O$2,$Q$2)/$Q$2))</f>
        <v>2385.78138739987</v>
      </c>
      <c r="I639" s="15" t="n">
        <f aca="false">H639*(1+IF(I$3&lt;=$O$2,$D639,$D639-($D639-$I$616)*MIN(I$3-$O$2,$Q$2)/$Q$2))</f>
        <v>2542.40875594086</v>
      </c>
      <c r="J639" s="15" t="n">
        <f aca="false">I639*(1+IF(J$3&lt;=$O$2,$D639,$D639-($D639-$I$616)*MIN(J$3-$O$2,$Q$2)/$Q$2))</f>
        <v>2686.10639828388</v>
      </c>
      <c r="K639" s="15" t="n">
        <f aca="false">J639*(1+IF(K$3&lt;=$O$2,$D639,$D639-($D639-$I$616)*MIN(K$3-$O$2,$Q$2)/$Q$2))</f>
        <v>2813.40153474163</v>
      </c>
      <c r="L639" s="15" t="n">
        <f aca="false">K639*(1+IF(L$3&lt;=$O$2,$D639,$D639-($D639-$I$616)*MIN(L$3-$O$2,$Q$2)/$Q$2))</f>
        <v>2921.04266446668</v>
      </c>
      <c r="M639" s="15" t="n">
        <f aca="false">L639*(1+IF(M$3&lt;=$O$2,$D639,$D639-($D639-$I$616)*MIN(M$3-$O$2,$Q$2)/$Q$2))</f>
        <v>3006.13283818897</v>
      </c>
      <c r="N639" s="15" t="n">
        <f aca="false">M639*(1+IF(N$3&lt;=$O$2,$D639,$D639-($D639-$I$616)*MIN(N$3-$O$2,$Q$2)/$Q$2))</f>
        <v>3066.25549495275</v>
      </c>
      <c r="O639" s="15" t="n">
        <f aca="false">SUMPRODUCT(E639:N639,1/(1+$F$616)^$E$3:$N$3)*$E$2</f>
        <v>6214.43780472923</v>
      </c>
      <c r="P639" s="15" t="n">
        <f aca="false">N639*$E$2*(1+$I$616)/($F$616-$I$616)/(1+$F$616)^$N$3</f>
        <v>10348.283930322</v>
      </c>
      <c r="Q639" s="15" t="n">
        <f aca="false">O639+P639</f>
        <v>16562.7217350512</v>
      </c>
      <c r="R639" s="15" t="n">
        <f aca="false">Q639-$G$2+$I$2</f>
        <v>15010.0217350512</v>
      </c>
      <c r="S639" s="40" t="n">
        <f aca="false">R639/$K$2</f>
        <v>54.5045997859443</v>
      </c>
      <c r="T639" s="41" t="n">
        <f aca="false">S639-$M$2</f>
        <v>7.89246203822813E-005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0.0656499862670898</v>
      </c>
      <c r="C640" s="25" t="n">
        <f aca="false">IF(T639&gt;0,D639,C639)</f>
        <v>0.0656503438949585</v>
      </c>
      <c r="D640" s="39" t="n">
        <f aca="false">(B640+C640)/2</f>
        <v>0.0656501650810242</v>
      </c>
      <c r="E640" s="15" t="n">
        <f aca="false">$C$2*(1+IF(E$3&lt;=$O$2,$D640,$D640-($D640-$I$616)*MIN(E$3-$O$2,$Q$2)/$Q$2))</f>
        <v>1971.45280539989</v>
      </c>
      <c r="F640" s="15" t="n">
        <f aca="false">E640*(1+IF(F$3&lt;=$O$2,$D640,$D640-($D640-$I$616)*MIN(F$3-$O$2,$Q$2)/$Q$2))</f>
        <v>2100.87900752385</v>
      </c>
      <c r="G640" s="15" t="n">
        <f aca="false">F640*(1+IF(G$3&lt;=$O$2,$D640,$D640-($D640-$I$616)*MIN(G$3-$O$2,$Q$2)/$Q$2))</f>
        <v>2238.80206118304</v>
      </c>
      <c r="H640" s="15" t="n">
        <f aca="false">G640*(1+IF(H$3&lt;=$O$2,$D640,$D640-($D640-$I$616)*MIN(H$3-$O$2,$Q$2)/$Q$2))</f>
        <v>2385.77978608345</v>
      </c>
      <c r="I640" s="15" t="n">
        <f aca="false">H640*(1+IF(I$3&lt;=$O$2,$D640,$D640-($D640-$I$616)*MIN(I$3-$O$2,$Q$2)/$Q$2))</f>
        <v>2542.4066228868</v>
      </c>
      <c r="J640" s="15" t="n">
        <f aca="false">I640*(1+IF(J$3&lt;=$O$2,$D640,$D640-($D640-$I$616)*MIN(J$3-$O$2,$Q$2)/$Q$2))</f>
        <v>2686.10378097483</v>
      </c>
      <c r="K640" s="15" t="n">
        <f aca="false">J640*(1+IF(K$3&lt;=$O$2,$D640,$D640-($D640-$I$616)*MIN(K$3-$O$2,$Q$2)/$Q$2))</f>
        <v>2813.39850521009</v>
      </c>
      <c r="L640" s="15" t="n">
        <f aca="false">K640*(1+IF(L$3&lt;=$O$2,$D640,$D640-($D640-$I$616)*MIN(L$3-$O$2,$Q$2)/$Q$2))</f>
        <v>2921.03931779491</v>
      </c>
      <c r="M640" s="15" t="n">
        <f aca="false">L640*(1+IF(M$3&lt;=$O$2,$D640,$D640-($D640-$I$616)*MIN(M$3-$O$2,$Q$2)/$Q$2))</f>
        <v>3006.12928956391</v>
      </c>
      <c r="N640" s="15" t="n">
        <f aca="false">M640*(1+IF(N$3&lt;=$O$2,$D640,$D640-($D640-$I$616)*MIN(N$3-$O$2,$Q$2)/$Q$2))</f>
        <v>3066.25187535518</v>
      </c>
      <c r="O640" s="15" t="n">
        <f aca="false">SUMPRODUCT(E640:N640,1/(1+$F$616)^$E$3:$N$3)*$E$2</f>
        <v>6214.43289639526</v>
      </c>
      <c r="P640" s="15" t="n">
        <f aca="false">N640*$E$2*(1+$I$616)/($F$616-$I$616)/(1+$F$616)^$N$3</f>
        <v>10348.2717145678</v>
      </c>
      <c r="Q640" s="15" t="n">
        <f aca="false">O640+P640</f>
        <v>16562.7046109631</v>
      </c>
      <c r="R640" s="15" t="n">
        <f aca="false">Q640-$G$2+$I$2</f>
        <v>15010.0046109631</v>
      </c>
      <c r="S640" s="40" t="n">
        <f aca="false">R640/$K$2</f>
        <v>54.5045376047173</v>
      </c>
      <c r="T640" s="41" t="n">
        <f aca="false">S640-$M$2</f>
        <v>1.67433933100369E-005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0.0656499862670898</v>
      </c>
      <c r="C641" s="25" t="n">
        <f aca="false">IF(T640&gt;0,D640,C640)</f>
        <v>0.0656501650810242</v>
      </c>
      <c r="D641" s="39" t="n">
        <f aca="false">(B641+C641)/2</f>
        <v>0.065650075674057</v>
      </c>
      <c r="E641" s="15" t="n">
        <f aca="false">$C$2*(1+IF(E$3&lt;=$O$2,$D641,$D641-($D641-$I$616)*MIN(E$3-$O$2,$Q$2)/$Q$2))</f>
        <v>1971.45263999701</v>
      </c>
      <c r="F641" s="15" t="n">
        <f aca="false">E641*(1+IF(F$3&lt;=$O$2,$D641,$D641-($D641-$I$616)*MIN(F$3-$O$2,$Q$2)/$Q$2))</f>
        <v>2100.87865500063</v>
      </c>
      <c r="G641" s="15" t="n">
        <f aca="false">F641*(1+IF(G$3&lt;=$O$2,$D641,$D641-($D641-$I$616)*MIN(G$3-$O$2,$Q$2)/$Q$2))</f>
        <v>2238.80149768343</v>
      </c>
      <c r="H641" s="15" t="n">
        <f aca="false">G641*(1+IF(H$3&lt;=$O$2,$D641,$D641-($D641-$I$616)*MIN(H$3-$O$2,$Q$2)/$Q$2))</f>
        <v>2385.77898542554</v>
      </c>
      <c r="I641" s="15" t="n">
        <f aca="false">H641*(1+IF(I$3&lt;=$O$2,$D641,$D641-($D641-$I$616)*MIN(I$3-$O$2,$Q$2)/$Q$2))</f>
        <v>2542.4055563603</v>
      </c>
      <c r="J641" s="15" t="n">
        <f aca="false">I641*(1+IF(J$3&lt;=$O$2,$D641,$D641-($D641-$I$616)*MIN(J$3-$O$2,$Q$2)/$Q$2))</f>
        <v>2686.1024723211</v>
      </c>
      <c r="K641" s="15" t="n">
        <f aca="false">J641*(1+IF(K$3&lt;=$O$2,$D641,$D641-($D641-$I$616)*MIN(K$3-$O$2,$Q$2)/$Q$2))</f>
        <v>2813.39699044536</v>
      </c>
      <c r="L641" s="15" t="n">
        <f aca="false">K641*(1+IF(L$3&lt;=$O$2,$D641,$D641-($D641-$I$616)*MIN(L$3-$O$2,$Q$2)/$Q$2))</f>
        <v>2921.03764446027</v>
      </c>
      <c r="M641" s="15" t="n">
        <f aca="false">L641*(1+IF(M$3&lt;=$O$2,$D641,$D641-($D641-$I$616)*MIN(M$3-$O$2,$Q$2)/$Q$2))</f>
        <v>3006.12751525275</v>
      </c>
      <c r="N641" s="15" t="n">
        <f aca="false">M641*(1+IF(N$3&lt;=$O$2,$D641,$D641-($D641-$I$616)*MIN(N$3-$O$2,$Q$2)/$Q$2))</f>
        <v>3066.2500655578</v>
      </c>
      <c r="O641" s="15" t="n">
        <f aca="false">SUMPRODUCT(E641:N641,1/(1+$F$616)^$E$3:$N$3)*$E$2</f>
        <v>6214.43044222972</v>
      </c>
      <c r="P641" s="15" t="n">
        <f aca="false">N641*$E$2*(1+$I$616)/($F$616-$I$616)/(1+$F$616)^$N$3</f>
        <v>10348.2656066955</v>
      </c>
      <c r="Q641" s="15" t="n">
        <f aca="false">O641+P641</f>
        <v>16562.6960489252</v>
      </c>
      <c r="R641" s="15" t="n">
        <f aca="false">Q641-$G$2+$I$2</f>
        <v>15009.9960489252</v>
      </c>
      <c r="S641" s="40" t="n">
        <f aca="false">R641/$K$2</f>
        <v>54.5045065141261</v>
      </c>
      <c r="T641" s="41" t="n">
        <f aca="false">S641-$M$2</f>
        <v>-1.43471978120147E-005</v>
      </c>
    </row>
    <row r="643" customFormat="false" ht="15" hidden="false" customHeight="false" outlineLevel="0" collapsed="false">
      <c r="A643" s="36" t="s">
        <v>198</v>
      </c>
      <c r="E643" s="5" t="s">
        <v>11</v>
      </c>
      <c r="F643" s="12" t="n">
        <f aca="false">Sensitivity!$B$14</f>
        <v>0.0735093056415221</v>
      </c>
      <c r="G643" s="5" t="s">
        <v>12</v>
      </c>
      <c r="I643" s="12" t="n">
        <f aca="false">Sensitivity!$E$9</f>
        <v>0.025</v>
      </c>
    </row>
    <row r="644" customFormat="false" ht="23.85" hidden="false" customHeight="false" outlineLevel="0" collapsed="false">
      <c r="A644" s="36" t="s">
        <v>156</v>
      </c>
      <c r="B644" s="28" t="s">
        <v>157</v>
      </c>
      <c r="C644" s="28" t="s">
        <v>158</v>
      </c>
      <c r="D644" s="28" t="s">
        <v>159</v>
      </c>
      <c r="E644" s="28" t="s">
        <v>160</v>
      </c>
      <c r="F644" s="28" t="s">
        <v>161</v>
      </c>
      <c r="G644" s="28" t="s">
        <v>162</v>
      </c>
      <c r="H644" s="28" t="s">
        <v>163</v>
      </c>
      <c r="I644" s="28" t="s">
        <v>164</v>
      </c>
      <c r="J644" s="28" t="s">
        <v>165</v>
      </c>
      <c r="K644" s="28" t="s">
        <v>166</v>
      </c>
      <c r="L644" s="28" t="s">
        <v>167</v>
      </c>
      <c r="M644" s="28" t="s">
        <v>168</v>
      </c>
      <c r="N644" s="28" t="s">
        <v>169</v>
      </c>
      <c r="O644" s="28" t="s">
        <v>170</v>
      </c>
      <c r="P644" s="28" t="s">
        <v>171</v>
      </c>
      <c r="Q644" s="28" t="s">
        <v>172</v>
      </c>
      <c r="R644" s="28" t="s">
        <v>173</v>
      </c>
      <c r="S644" s="28" t="s">
        <v>174</v>
      </c>
      <c r="T644" s="28" t="s">
        <v>175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39" t="n">
        <f aca="false">(B645+C645)/2</f>
        <v>0.25</v>
      </c>
      <c r="E645" s="15" t="n">
        <f aca="false">$C$2*(1+IF(E$3&lt;=$O$2,$D645,$D645-($D645-$I$643)*MIN(E$3-$O$2,$Q$2)/$Q$2))</f>
        <v>2312.5</v>
      </c>
      <c r="F645" s="15" t="n">
        <f aca="false">E645*(1+IF(F$3&lt;=$O$2,$D645,$D645-($D645-$I$643)*MIN(F$3-$O$2,$Q$2)/$Q$2))</f>
        <v>2890.625</v>
      </c>
      <c r="G645" s="15" t="n">
        <f aca="false">F645*(1+IF(G$3&lt;=$O$2,$D645,$D645-($D645-$I$643)*MIN(G$3-$O$2,$Q$2)/$Q$2))</f>
        <v>3613.28125</v>
      </c>
      <c r="H645" s="15" t="n">
        <f aca="false">G645*(1+IF(H$3&lt;=$O$2,$D645,$D645-($D645-$I$643)*MIN(H$3-$O$2,$Q$2)/$Q$2))</f>
        <v>4516.6015625</v>
      </c>
      <c r="I645" s="15" t="n">
        <f aca="false">H645*(1+IF(I$3&lt;=$O$2,$D645,$D645-($D645-$I$643)*MIN(I$3-$O$2,$Q$2)/$Q$2))</f>
        <v>5645.751953125</v>
      </c>
      <c r="J645" s="15" t="n">
        <f aca="false">I645*(1+IF(J$3&lt;=$O$2,$D645,$D645-($D645-$I$643)*MIN(J$3-$O$2,$Q$2)/$Q$2))</f>
        <v>6803.13110351563</v>
      </c>
      <c r="K645" s="15" t="n">
        <f aca="false">J645*(1+IF(K$3&lt;=$O$2,$D645,$D645-($D645-$I$643)*MIN(K$3-$O$2,$Q$2)/$Q$2))</f>
        <v>7891.63208007812</v>
      </c>
      <c r="L645" s="15" t="n">
        <f aca="false">K645*(1+IF(L$3&lt;=$O$2,$D645,$D645-($D645-$I$643)*MIN(L$3-$O$2,$Q$2)/$Q$2))</f>
        <v>8799.16976928711</v>
      </c>
      <c r="M645" s="15" t="n">
        <f aca="false">L645*(1+IF(M$3&lt;=$O$2,$D645,$D645-($D645-$I$643)*MIN(M$3-$O$2,$Q$2)/$Q$2))</f>
        <v>9415.11165313721</v>
      </c>
      <c r="N645" s="15" t="n">
        <f aca="false">M645*(1+IF(N$3&lt;=$O$2,$D645,$D645-($D645-$I$643)*MIN(N$3-$O$2,$Q$2)/$Q$2))</f>
        <v>9650.48944446564</v>
      </c>
      <c r="O645" s="15" t="n">
        <f aca="false">SUMPRODUCT(E645:N645,1/(1+$F$643)^$E$3:$N$3)*$E$2</f>
        <v>13999.4280470246</v>
      </c>
      <c r="P645" s="15" t="n">
        <f aca="false">N645*$E$2*(1+$I$643)/($F$643-$I$643)/(1+$F$643)^$N$3</f>
        <v>36102.5009027429</v>
      </c>
      <c r="Q645" s="15" t="n">
        <f aca="false">O645+P645</f>
        <v>50101.9289497675</v>
      </c>
      <c r="R645" s="15" t="n">
        <f aca="false">Q645-$G$2+$I$2</f>
        <v>48549.2289497675</v>
      </c>
      <c r="S645" s="40" t="n">
        <f aca="false">R645/$K$2</f>
        <v>176.292635715776</v>
      </c>
      <c r="T645" s="41" t="n">
        <f aca="false">S645-$M$2</f>
        <v>121.788114854452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39" t="n">
        <f aca="false">(B646+C646)/2</f>
        <v>-0.125</v>
      </c>
      <c r="E646" s="15" t="n">
        <f aca="false">$C$2*(1+IF(E$3&lt;=$O$2,$D646,$D646-($D646-$I$643)*MIN(E$3-$O$2,$Q$2)/$Q$2))</f>
        <v>1618.75</v>
      </c>
      <c r="F646" s="15" t="n">
        <f aca="false">E646*(1+IF(F$3&lt;=$O$2,$D646,$D646-($D646-$I$643)*MIN(F$3-$O$2,$Q$2)/$Q$2))</f>
        <v>1416.40625</v>
      </c>
      <c r="G646" s="15" t="n">
        <f aca="false">F646*(1+IF(G$3&lt;=$O$2,$D646,$D646-($D646-$I$643)*MIN(G$3-$O$2,$Q$2)/$Q$2))</f>
        <v>1239.35546875</v>
      </c>
      <c r="H646" s="15" t="n">
        <f aca="false">G646*(1+IF(H$3&lt;=$O$2,$D646,$D646-($D646-$I$643)*MIN(H$3-$O$2,$Q$2)/$Q$2))</f>
        <v>1084.43603515625</v>
      </c>
      <c r="I646" s="15" t="n">
        <f aca="false">H646*(1+IF(I$3&lt;=$O$2,$D646,$D646-($D646-$I$643)*MIN(I$3-$O$2,$Q$2)/$Q$2))</f>
        <v>948.881530761719</v>
      </c>
      <c r="J646" s="15" t="n">
        <f aca="false">I646*(1+IF(J$3&lt;=$O$2,$D646,$D646-($D646-$I$643)*MIN(J$3-$O$2,$Q$2)/$Q$2))</f>
        <v>858.737785339356</v>
      </c>
      <c r="K646" s="15" t="n">
        <f aca="false">J646*(1+IF(K$3&lt;=$O$2,$D646,$D646-($D646-$I$643)*MIN(K$3-$O$2,$Q$2)/$Q$2))</f>
        <v>802.919829292297</v>
      </c>
      <c r="L646" s="15" t="n">
        <f aca="false">K646*(1+IF(L$3&lt;=$O$2,$D646,$D646-($D646-$I$643)*MIN(L$3-$O$2,$Q$2)/$Q$2))</f>
        <v>774.817635267067</v>
      </c>
      <c r="M646" s="15" t="n">
        <f aca="false">L646*(1+IF(M$3&lt;=$O$2,$D646,$D646-($D646-$I$643)*MIN(M$3-$O$2,$Q$2)/$Q$2))</f>
        <v>770.943547090732</v>
      </c>
      <c r="N646" s="15" t="n">
        <f aca="false">M646*(1+IF(N$3&lt;=$O$2,$D646,$D646-($D646-$I$643)*MIN(N$3-$O$2,$Q$2)/$Q$2))</f>
        <v>790.217135768</v>
      </c>
      <c r="O646" s="15" t="n">
        <f aca="false">SUMPRODUCT(E646:N646,1/(1+$F$643)^$E$3:$N$3)*$E$2</f>
        <v>2701.14356297812</v>
      </c>
      <c r="P646" s="15" t="n">
        <f aca="false">N646*$E$2*(1+$I$643)/($F$643-$I$643)/(1+$F$643)^$N$3</f>
        <v>2956.20393365518</v>
      </c>
      <c r="Q646" s="15" t="n">
        <f aca="false">O646+P646</f>
        <v>5657.3474966333</v>
      </c>
      <c r="R646" s="15" t="n">
        <f aca="false">Q646-$G$2+$I$2</f>
        <v>4104.6474966333</v>
      </c>
      <c r="S646" s="40" t="n">
        <f aca="false">R646/$K$2</f>
        <v>14.9048531051719</v>
      </c>
      <c r="T646" s="41" t="n">
        <f aca="false">S646-$M$2</f>
        <v>-39.599667756152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39" t="n">
        <f aca="false">(B647+C647)/2</f>
        <v>0.0625</v>
      </c>
      <c r="E647" s="15" t="n">
        <f aca="false">$C$2*(1+IF(E$3&lt;=$O$2,$D647,$D647-($D647-$I$643)*MIN(E$3-$O$2,$Q$2)/$Q$2))</f>
        <v>1965.625</v>
      </c>
      <c r="F647" s="15" t="n">
        <f aca="false">E647*(1+IF(F$3&lt;=$O$2,$D647,$D647-($D647-$I$643)*MIN(F$3-$O$2,$Q$2)/$Q$2))</f>
        <v>2088.4765625</v>
      </c>
      <c r="G647" s="15" t="n">
        <f aca="false">F647*(1+IF(G$3&lt;=$O$2,$D647,$D647-($D647-$I$643)*MIN(G$3-$O$2,$Q$2)/$Q$2))</f>
        <v>2219.00634765625</v>
      </c>
      <c r="H647" s="15" t="n">
        <f aca="false">G647*(1+IF(H$3&lt;=$O$2,$D647,$D647-($D647-$I$643)*MIN(H$3-$O$2,$Q$2)/$Q$2))</f>
        <v>2357.69424438477</v>
      </c>
      <c r="I647" s="15" t="n">
        <f aca="false">H647*(1+IF(I$3&lt;=$O$2,$D647,$D647-($D647-$I$643)*MIN(I$3-$O$2,$Q$2)/$Q$2))</f>
        <v>2505.05013465881</v>
      </c>
      <c r="J647" s="15" t="n">
        <f aca="false">I647*(1+IF(J$3&lt;=$O$2,$D647,$D647-($D647-$I$643)*MIN(J$3-$O$2,$Q$2)/$Q$2))</f>
        <v>2642.82789206505</v>
      </c>
      <c r="K647" s="15" t="n">
        <f aca="false">J647*(1+IF(K$3&lt;=$O$2,$D647,$D647-($D647-$I$643)*MIN(K$3-$O$2,$Q$2)/$Q$2))</f>
        <v>2768.36221693814</v>
      </c>
      <c r="L647" s="15" t="n">
        <f aca="false">K647*(1+IF(L$3&lt;=$O$2,$D647,$D647-($D647-$I$643)*MIN(L$3-$O$2,$Q$2)/$Q$2))</f>
        <v>2879.09670561566</v>
      </c>
      <c r="M647" s="15" t="n">
        <f aca="false">L647*(1+IF(M$3&lt;=$O$2,$D647,$D647-($D647-$I$643)*MIN(M$3-$O$2,$Q$2)/$Q$2))</f>
        <v>2972.66734854817</v>
      </c>
      <c r="N647" s="15" t="n">
        <f aca="false">M647*(1+IF(N$3&lt;=$O$2,$D647,$D647-($D647-$I$643)*MIN(N$3-$O$2,$Q$2)/$Q$2))</f>
        <v>3046.98403226188</v>
      </c>
      <c r="O647" s="15" t="n">
        <f aca="false">SUMPRODUCT(E647:N647,1/(1+$F$643)^$E$3:$N$3)*$E$2</f>
        <v>6147.43933830958</v>
      </c>
      <c r="P647" s="15" t="n">
        <f aca="false">N647*$E$2*(1+$I$643)/($F$643-$I$643)/(1+$F$643)^$N$3</f>
        <v>11398.7735449483</v>
      </c>
      <c r="Q647" s="15" t="n">
        <f aca="false">O647+P647</f>
        <v>17546.2128832579</v>
      </c>
      <c r="R647" s="15" t="n">
        <f aca="false">Q647-$G$2+$I$2</f>
        <v>15993.5128832579</v>
      </c>
      <c r="S647" s="40" t="n">
        <f aca="false">R647/$K$2</f>
        <v>58.0758665284065</v>
      </c>
      <c r="T647" s="41" t="n">
        <f aca="false">S647-$M$2</f>
        <v>3.57134566708255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-0.125</v>
      </c>
      <c r="C648" s="25" t="n">
        <f aca="false">IF(T647&gt;0,D647,C647)</f>
        <v>0.0625</v>
      </c>
      <c r="D648" s="39" t="n">
        <f aca="false">(B648+C648)/2</f>
        <v>-0.03125</v>
      </c>
      <c r="E648" s="15" t="n">
        <f aca="false">$C$2*(1+IF(E$3&lt;=$O$2,$D648,$D648-($D648-$I$643)*MIN(E$3-$O$2,$Q$2)/$Q$2))</f>
        <v>1792.1875</v>
      </c>
      <c r="F648" s="15" t="n">
        <f aca="false">E648*(1+IF(F$3&lt;=$O$2,$D648,$D648-($D648-$I$643)*MIN(F$3-$O$2,$Q$2)/$Q$2))</f>
        <v>1736.181640625</v>
      </c>
      <c r="G648" s="15" t="n">
        <f aca="false">F648*(1+IF(G$3&lt;=$O$2,$D648,$D648-($D648-$I$643)*MIN(G$3-$O$2,$Q$2)/$Q$2))</f>
        <v>1681.92596435547</v>
      </c>
      <c r="H648" s="15" t="n">
        <f aca="false">G648*(1+IF(H$3&lt;=$O$2,$D648,$D648-($D648-$I$643)*MIN(H$3-$O$2,$Q$2)/$Q$2))</f>
        <v>1629.36577796936</v>
      </c>
      <c r="I648" s="15" t="n">
        <f aca="false">H648*(1+IF(I$3&lt;=$O$2,$D648,$D648-($D648-$I$643)*MIN(I$3-$O$2,$Q$2)/$Q$2))</f>
        <v>1578.44809740782</v>
      </c>
      <c r="J648" s="15" t="n">
        <f aca="false">I648*(1+IF(J$3&lt;=$O$2,$D648,$D648-($D648-$I$643)*MIN(J$3-$O$2,$Q$2)/$Q$2))</f>
        <v>1546.87913545966</v>
      </c>
      <c r="K648" s="15" t="n">
        <f aca="false">J648*(1+IF(K$3&lt;=$O$2,$D648,$D648-($D648-$I$643)*MIN(K$3-$O$2,$Q$2)/$Q$2))</f>
        <v>1533.34394302439</v>
      </c>
      <c r="L648" s="15" t="n">
        <f aca="false">K648*(1+IF(L$3&lt;=$O$2,$D648,$D648-($D648-$I$643)*MIN(L$3-$O$2,$Q$2)/$Q$2))</f>
        <v>1537.17730288195</v>
      </c>
      <c r="M648" s="15" t="n">
        <f aca="false">L648*(1+IF(M$3&lt;=$O$2,$D648,$D648-($D648-$I$643)*MIN(M$3-$O$2,$Q$2)/$Q$2))</f>
        <v>1558.31349079658</v>
      </c>
      <c r="N648" s="15" t="n">
        <f aca="false">M648*(1+IF(N$3&lt;=$O$2,$D648,$D648-($D648-$I$643)*MIN(N$3-$O$2,$Q$2)/$Q$2))</f>
        <v>1597.27132806649</v>
      </c>
      <c r="O648" s="15" t="n">
        <f aca="false">SUMPRODUCT(E648:N648,1/(1+$F$643)^$E$3:$N$3)*$E$2</f>
        <v>4064.32823635908</v>
      </c>
      <c r="P648" s="15" t="n">
        <f aca="false">N648*$E$2*(1+$I$643)/($F$643-$I$643)/(1+$F$643)^$N$3</f>
        <v>5975.39533049444</v>
      </c>
      <c r="Q648" s="15" t="n">
        <f aca="false">O648+P648</f>
        <v>10039.7235668535</v>
      </c>
      <c r="R648" s="15" t="n">
        <f aca="false">Q648-$G$2+$I$2</f>
        <v>8487.02356685351</v>
      </c>
      <c r="S648" s="40" t="n">
        <f aca="false">R648/$K$2</f>
        <v>30.8181980712935</v>
      </c>
      <c r="T648" s="41" t="n">
        <f aca="false">S648-$M$2</f>
        <v>-23.6863227900305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-0.03125</v>
      </c>
      <c r="C649" s="25" t="n">
        <f aca="false">IF(T648&gt;0,D648,C648)</f>
        <v>0.0625</v>
      </c>
      <c r="D649" s="39" t="n">
        <f aca="false">(B649+C649)/2</f>
        <v>0.015625</v>
      </c>
      <c r="E649" s="15" t="n">
        <f aca="false">$C$2*(1+IF(E$3&lt;=$O$2,$D649,$D649-($D649-$I$643)*MIN(E$3-$O$2,$Q$2)/$Q$2))</f>
        <v>1878.90625</v>
      </c>
      <c r="F649" s="15" t="n">
        <f aca="false">E649*(1+IF(F$3&lt;=$O$2,$D649,$D649-($D649-$I$643)*MIN(F$3-$O$2,$Q$2)/$Q$2))</f>
        <v>1908.26416015625</v>
      </c>
      <c r="G649" s="15" t="n">
        <f aca="false">F649*(1+IF(G$3&lt;=$O$2,$D649,$D649-($D649-$I$643)*MIN(G$3-$O$2,$Q$2)/$Q$2))</f>
        <v>1938.08078765869</v>
      </c>
      <c r="H649" s="15" t="n">
        <f aca="false">G649*(1+IF(H$3&lt;=$O$2,$D649,$D649-($D649-$I$643)*MIN(H$3-$O$2,$Q$2)/$Q$2))</f>
        <v>1968.36329996586</v>
      </c>
      <c r="I649" s="15" t="n">
        <f aca="false">H649*(1+IF(I$3&lt;=$O$2,$D649,$D649-($D649-$I$643)*MIN(I$3-$O$2,$Q$2)/$Q$2))</f>
        <v>1999.11897652783</v>
      </c>
      <c r="J649" s="15" t="n">
        <f aca="false">I649*(1+IF(J$3&lt;=$O$2,$D649,$D649-($D649-$I$643)*MIN(J$3-$O$2,$Q$2)/$Q$2))</f>
        <v>2034.10355861706</v>
      </c>
      <c r="K649" s="15" t="n">
        <f aca="false">J649*(1+IF(K$3&lt;=$O$2,$D649,$D649-($D649-$I$643)*MIN(K$3-$O$2,$Q$2)/$Q$2))</f>
        <v>2073.51431506527</v>
      </c>
      <c r="L649" s="15" t="n">
        <f aca="false">K649*(1+IF(L$3&lt;=$O$2,$D649,$D649-($D649-$I$643)*MIN(L$3-$O$2,$Q$2)/$Q$2))</f>
        <v>2117.5764942604</v>
      </c>
      <c r="M649" s="15" t="n">
        <f aca="false">L649*(1+IF(M$3&lt;=$O$2,$D649,$D649-($D649-$I$643)*MIN(M$3-$O$2,$Q$2)/$Q$2))</f>
        <v>2166.54545069018</v>
      </c>
      <c r="N649" s="15" t="n">
        <f aca="false">M649*(1+IF(N$3&lt;=$O$2,$D649,$D649-($D649-$I$643)*MIN(N$3-$O$2,$Q$2)/$Q$2))</f>
        <v>2220.70908695743</v>
      </c>
      <c r="O649" s="15" t="n">
        <f aca="false">SUMPRODUCT(E649:N649,1/(1+$F$643)^$E$3:$N$3)*$E$2</f>
        <v>4996.96879542754</v>
      </c>
      <c r="P649" s="15" t="n">
        <f aca="false">N649*$E$2*(1+$I$643)/($F$643-$I$643)/(1+$F$643)^$N$3</f>
        <v>8307.67727149711</v>
      </c>
      <c r="Q649" s="15" t="n">
        <f aca="false">O649+P649</f>
        <v>13304.6460669247</v>
      </c>
      <c r="R649" s="15" t="n">
        <f aca="false">Q649-$G$2+$I$2</f>
        <v>11751.9460669247</v>
      </c>
      <c r="S649" s="40" t="n">
        <f aca="false">R649/$K$2</f>
        <v>42.6738300843337</v>
      </c>
      <c r="T649" s="41" t="n">
        <f aca="false">S649-$M$2</f>
        <v>-11.8306907769902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0.015625</v>
      </c>
      <c r="C650" s="25" t="n">
        <f aca="false">IF(T649&gt;0,D649,C649)</f>
        <v>0.0625</v>
      </c>
      <c r="D650" s="39" t="n">
        <f aca="false">(B650+C650)/2</f>
        <v>0.0390625</v>
      </c>
      <c r="E650" s="15" t="n">
        <f aca="false">$C$2*(1+IF(E$3&lt;=$O$2,$D650,$D650-($D650-$I$643)*MIN(E$3-$O$2,$Q$2)/$Q$2))</f>
        <v>1922.265625</v>
      </c>
      <c r="F650" s="15" t="n">
        <f aca="false">E650*(1+IF(F$3&lt;=$O$2,$D650,$D650-($D650-$I$643)*MIN(F$3-$O$2,$Q$2)/$Q$2))</f>
        <v>1997.35412597656</v>
      </c>
      <c r="G650" s="15" t="n">
        <f aca="false">F650*(1+IF(G$3&lt;=$O$2,$D650,$D650-($D650-$I$643)*MIN(G$3-$O$2,$Q$2)/$Q$2))</f>
        <v>2075.37577152252</v>
      </c>
      <c r="H650" s="15" t="n">
        <f aca="false">G650*(1+IF(H$3&lt;=$O$2,$D650,$D650-($D650-$I$643)*MIN(H$3-$O$2,$Q$2)/$Q$2))</f>
        <v>2156.44513759762</v>
      </c>
      <c r="I650" s="15" t="n">
        <f aca="false">H650*(1+IF(I$3&lt;=$O$2,$D650,$D650-($D650-$I$643)*MIN(I$3-$O$2,$Q$2)/$Q$2))</f>
        <v>2240.68127578503</v>
      </c>
      <c r="J650" s="15" t="n">
        <f aca="false">I650*(1+IF(J$3&lt;=$O$2,$D650,$D650-($D650-$I$643)*MIN(J$3-$O$2,$Q$2)/$Q$2))</f>
        <v>2321.90597203223</v>
      </c>
      <c r="K650" s="15" t="n">
        <f aca="false">J650*(1+IF(K$3&lt;=$O$2,$D650,$D650-($D650-$I$643)*MIN(K$3-$O$2,$Q$2)/$Q$2))</f>
        <v>2399.54470297206</v>
      </c>
      <c r="L650" s="15" t="n">
        <f aca="false">K650*(1+IF(L$3&lt;=$O$2,$D650,$D650-($D650-$I$643)*MIN(L$3-$O$2,$Q$2)/$Q$2))</f>
        <v>2473.03075950058</v>
      </c>
      <c r="M650" s="15" t="n">
        <f aca="false">L650*(1+IF(M$3&lt;=$O$2,$D650,$D650-($D650-$I$643)*MIN(M$3-$O$2,$Q$2)/$Q$2))</f>
        <v>2541.81192749919</v>
      </c>
      <c r="N650" s="15" t="n">
        <f aca="false">M650*(1+IF(N$3&lt;=$O$2,$D650,$D650-($D650-$I$643)*MIN(N$3-$O$2,$Q$2)/$Q$2))</f>
        <v>2605.35722568667</v>
      </c>
      <c r="O650" s="15" t="n">
        <f aca="false">SUMPRODUCT(E650:N650,1/(1+$F$643)^$E$3:$N$3)*$E$2</f>
        <v>5542.23342734547</v>
      </c>
      <c r="P650" s="15" t="n">
        <f aca="false">N650*$E$2*(1+$I$643)/($F$643-$I$643)/(1+$F$643)^$N$3</f>
        <v>9746.64675129635</v>
      </c>
      <c r="Q650" s="15" t="n">
        <f aca="false">O650+P650</f>
        <v>15288.8801786418</v>
      </c>
      <c r="R650" s="15" t="n">
        <f aca="false">Q650-$G$2+$I$2</f>
        <v>13736.1801786418</v>
      </c>
      <c r="S650" s="40" t="n">
        <f aca="false">R650/$K$2</f>
        <v>49.8790086010451</v>
      </c>
      <c r="T650" s="41" t="n">
        <f aca="false">S650-$M$2</f>
        <v>-4.62551226027881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0.0390625</v>
      </c>
      <c r="C651" s="25" t="n">
        <f aca="false">IF(T650&gt;0,D650,C650)</f>
        <v>0.0625</v>
      </c>
      <c r="D651" s="39" t="n">
        <f aca="false">(B651+C651)/2</f>
        <v>0.05078125</v>
      </c>
      <c r="E651" s="15" t="n">
        <f aca="false">$C$2*(1+IF(E$3&lt;=$O$2,$D651,$D651-($D651-$I$643)*MIN(E$3-$O$2,$Q$2)/$Q$2))</f>
        <v>1943.9453125</v>
      </c>
      <c r="F651" s="15" t="n">
        <f aca="false">E651*(1+IF(F$3&lt;=$O$2,$D651,$D651-($D651-$I$643)*MIN(F$3-$O$2,$Q$2)/$Q$2))</f>
        <v>2042.66128540039</v>
      </c>
      <c r="G651" s="15" t="n">
        <f aca="false">F651*(1+IF(G$3&lt;=$O$2,$D651,$D651-($D651-$I$643)*MIN(G$3-$O$2,$Q$2)/$Q$2))</f>
        <v>2146.39017879963</v>
      </c>
      <c r="H651" s="15" t="n">
        <f aca="false">G651*(1+IF(H$3&lt;=$O$2,$D651,$D651-($D651-$I$643)*MIN(H$3-$O$2,$Q$2)/$Q$2))</f>
        <v>2255.3865550668</v>
      </c>
      <c r="I651" s="15" t="n">
        <f aca="false">H651*(1+IF(I$3&lt;=$O$2,$D651,$D651-($D651-$I$643)*MIN(I$3-$O$2,$Q$2)/$Q$2))</f>
        <v>2369.91790356628</v>
      </c>
      <c r="J651" s="15" t="n">
        <f aca="false">I651*(1+IF(J$3&lt;=$O$2,$D651,$D651-($D651-$I$643)*MIN(J$3-$O$2,$Q$2)/$Q$2))</f>
        <v>2478.0454079165</v>
      </c>
      <c r="K651" s="15" t="n">
        <f aca="false">J651*(1+IF(K$3&lt;=$O$2,$D651,$D651-($D651-$I$643)*MIN(K$3-$O$2,$Q$2)/$Q$2))</f>
        <v>2578.32880801812</v>
      </c>
      <c r="L651" s="15" t="n">
        <f aca="false">K651*(1+IF(L$3&lt;=$O$2,$D651,$D651-($D651-$I$643)*MIN(L$3-$O$2,$Q$2)/$Q$2))</f>
        <v>2669.37604405126</v>
      </c>
      <c r="M651" s="15" t="n">
        <f aca="false">L651*(1+IF(M$3&lt;=$O$2,$D651,$D651-($D651-$I$643)*MIN(M$3-$O$2,$Q$2)/$Q$2))</f>
        <v>2749.87441537968</v>
      </c>
      <c r="N651" s="15" t="n">
        <f aca="false">M651*(1+IF(N$3&lt;=$O$2,$D651,$D651-($D651-$I$643)*MIN(N$3-$O$2,$Q$2)/$Q$2))</f>
        <v>2818.62127576417</v>
      </c>
      <c r="O651" s="15" t="n">
        <f aca="false">SUMPRODUCT(E651:N651,1/(1+$F$643)^$E$3:$N$3)*$E$2</f>
        <v>5836.97486495499</v>
      </c>
      <c r="P651" s="15" t="n">
        <f aca="false">N651*$E$2*(1+$I$643)/($F$643-$I$643)/(1+$F$643)^$N$3</f>
        <v>10544.4680022031</v>
      </c>
      <c r="Q651" s="15" t="n">
        <f aca="false">O651+P651</f>
        <v>16381.442867158</v>
      </c>
      <c r="R651" s="15" t="n">
        <f aca="false">Q651-$G$2+$I$2</f>
        <v>14828.742867158</v>
      </c>
      <c r="S651" s="40" t="n">
        <f aca="false">R651/$K$2</f>
        <v>53.8463374383893</v>
      </c>
      <c r="T651" s="41" t="n">
        <f aca="false">S651-$M$2</f>
        <v>-0.65818342293462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0.05078125</v>
      </c>
      <c r="C652" s="25" t="n">
        <f aca="false">IF(T651&gt;0,D651,C651)</f>
        <v>0.0625</v>
      </c>
      <c r="D652" s="39" t="n">
        <f aca="false">(B652+C652)/2</f>
        <v>0.056640625</v>
      </c>
      <c r="E652" s="15" t="n">
        <f aca="false">$C$2*(1+IF(E$3&lt;=$O$2,$D652,$D652-($D652-$I$643)*MIN(E$3-$O$2,$Q$2)/$Q$2))</f>
        <v>1954.78515625</v>
      </c>
      <c r="F652" s="15" t="n">
        <f aca="false">E652*(1+IF(F$3&lt;=$O$2,$D652,$D652-($D652-$I$643)*MIN(F$3-$O$2,$Q$2)/$Q$2))</f>
        <v>2065.50540924072</v>
      </c>
      <c r="G652" s="15" t="n">
        <f aca="false">F652*(1+IF(G$3&lt;=$O$2,$D652,$D652-($D652-$I$643)*MIN(G$3-$O$2,$Q$2)/$Q$2))</f>
        <v>2182.496926561</v>
      </c>
      <c r="H652" s="15" t="n">
        <f aca="false">G652*(1+IF(H$3&lt;=$O$2,$D652,$D652-($D652-$I$643)*MIN(H$3-$O$2,$Q$2)/$Q$2))</f>
        <v>2306.11491654199</v>
      </c>
      <c r="I652" s="15" t="n">
        <f aca="false">H652*(1+IF(I$3&lt;=$O$2,$D652,$D652-($D652-$I$643)*MIN(I$3-$O$2,$Q$2)/$Q$2))</f>
        <v>2436.73470673675</v>
      </c>
      <c r="J652" s="15" t="n">
        <f aca="false">I652*(1+IF(J$3&lt;=$O$2,$D652,$D652-($D652-$I$643)*MIN(J$3-$O$2,$Q$2)/$Q$2))</f>
        <v>2559.33292166945</v>
      </c>
      <c r="K652" s="15" t="n">
        <f aca="false">J652*(1+IF(K$3&lt;=$O$2,$D652,$D652-($D652-$I$643)*MIN(K$3-$O$2,$Q$2)/$Q$2))</f>
        <v>2671.903580646</v>
      </c>
      <c r="L652" s="15" t="n">
        <f aca="false">K652*(1+IF(L$3&lt;=$O$2,$D652,$D652-($D652-$I$643)*MIN(L$3-$O$2,$Q$2)/$Q$2))</f>
        <v>2772.5174498547</v>
      </c>
      <c r="M652" s="15" t="n">
        <f aca="false">L652*(1+IF(M$3&lt;=$O$2,$D652,$D652-($D652-$I$643)*MIN(M$3-$O$2,$Q$2)/$Q$2))</f>
        <v>2859.37522308843</v>
      </c>
      <c r="N652" s="15" t="n">
        <f aca="false">M652*(1+IF(N$3&lt;=$O$2,$D652,$D652-($D652-$I$643)*MIN(N$3-$O$2,$Q$2)/$Q$2))</f>
        <v>2930.85960366564</v>
      </c>
      <c r="O652" s="15" t="n">
        <f aca="false">SUMPRODUCT(E652:N652,1/(1+$F$643)^$E$3:$N$3)*$E$2</f>
        <v>5990.19389519198</v>
      </c>
      <c r="P652" s="15" t="n">
        <f aca="false">N652*$E$2*(1+$I$643)/($F$643-$I$643)/(1+$F$643)^$N$3</f>
        <v>10964.3518182212</v>
      </c>
      <c r="Q652" s="15" t="n">
        <f aca="false">O652+P652</f>
        <v>16954.5457134132</v>
      </c>
      <c r="R652" s="15" t="n">
        <f aca="false">Q652-$G$2+$I$2</f>
        <v>15401.8457134132</v>
      </c>
      <c r="S652" s="40" t="n">
        <f aca="false">R652/$K$2</f>
        <v>55.9273964683293</v>
      </c>
      <c r="T652" s="41" t="n">
        <f aca="false">S652-$M$2</f>
        <v>1.42287560700533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0.05078125</v>
      </c>
      <c r="C653" s="25" t="n">
        <f aca="false">IF(T652&gt;0,D652,C652)</f>
        <v>0.056640625</v>
      </c>
      <c r="D653" s="39" t="n">
        <f aca="false">(B653+C653)/2</f>
        <v>0.0537109375</v>
      </c>
      <c r="E653" s="15" t="n">
        <f aca="false">$C$2*(1+IF(E$3&lt;=$O$2,$D653,$D653-($D653-$I$643)*MIN(E$3-$O$2,$Q$2)/$Q$2))</f>
        <v>1949.365234375</v>
      </c>
      <c r="F653" s="15" t="n">
        <f aca="false">E653*(1+IF(F$3&lt;=$O$2,$D653,$D653-($D653-$I$643)*MIN(F$3-$O$2,$Q$2)/$Q$2))</f>
        <v>2054.06746864319</v>
      </c>
      <c r="G653" s="15" t="n">
        <f aca="false">F653*(1+IF(G$3&lt;=$O$2,$D653,$D653-($D653-$I$643)*MIN(G$3-$O$2,$Q$2)/$Q$2))</f>
        <v>2164.39335807227</v>
      </c>
      <c r="H653" s="15" t="n">
        <f aca="false">G653*(1+IF(H$3&lt;=$O$2,$D653,$D653-($D653-$I$643)*MIN(H$3-$O$2,$Q$2)/$Q$2))</f>
        <v>2280.6449544531</v>
      </c>
      <c r="I653" s="15" t="n">
        <f aca="false">H653*(1+IF(I$3&lt;=$O$2,$D653,$D653-($D653-$I$643)*MIN(I$3-$O$2,$Q$2)/$Q$2))</f>
        <v>2403.14053306142</v>
      </c>
      <c r="J653" s="15" t="n">
        <f aca="false">I653*(1+IF(J$3&lt;=$O$2,$D653,$D653-($D653-$I$643)*MIN(J$3-$O$2,$Q$2)/$Q$2))</f>
        <v>2518.41618050671</v>
      </c>
      <c r="K653" s="15" t="n">
        <f aca="false">J653*(1+IF(K$3&lt;=$O$2,$D653,$D653-($D653-$I$643)*MIN(K$3-$O$2,$Q$2)/$Q$2))</f>
        <v>2624.76023875389</v>
      </c>
      <c r="L653" s="15" t="n">
        <f aca="false">K653*(1+IF(L$3&lt;=$O$2,$D653,$D653-($D653-$I$643)*MIN(L$3-$O$2,$Q$2)/$Q$2))</f>
        <v>2720.52297558968</v>
      </c>
      <c r="M653" s="15" t="n">
        <f aca="false">L653*(1+IF(M$3&lt;=$O$2,$D653,$D653-($D653-$I$643)*MIN(M$3-$O$2,$Q$2)/$Q$2))</f>
        <v>2804.15780300331</v>
      </c>
      <c r="N653" s="15" t="n">
        <f aca="false">M653*(1+IF(N$3&lt;=$O$2,$D653,$D653-($D653-$I$643)*MIN(N$3-$O$2,$Q$2)/$Q$2))</f>
        <v>2874.26174807839</v>
      </c>
      <c r="O653" s="15" t="n">
        <f aca="false">SUMPRODUCT(E653:N653,1/(1+$F$643)^$E$3:$N$3)*$E$2</f>
        <v>5913.08713534969</v>
      </c>
      <c r="P653" s="15" t="n">
        <f aca="false">N653*$E$2*(1+$I$643)/($F$643-$I$643)/(1+$F$643)^$N$3</f>
        <v>10752.6191238133</v>
      </c>
      <c r="Q653" s="15" t="n">
        <f aca="false">O653+P653</f>
        <v>16665.706259163</v>
      </c>
      <c r="R653" s="15" t="n">
        <f aca="false">Q653-$G$2+$I$2</f>
        <v>15113.006259163</v>
      </c>
      <c r="S653" s="40" t="n">
        <f aca="false">R653/$K$2</f>
        <v>54.8785586229093</v>
      </c>
      <c r="T653" s="41" t="n">
        <f aca="false">S653-$M$2</f>
        <v>0.374037761585342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0.05078125</v>
      </c>
      <c r="C654" s="25" t="n">
        <f aca="false">IF(T653&gt;0,D653,C653)</f>
        <v>0.0537109375</v>
      </c>
      <c r="D654" s="39" t="n">
        <f aca="false">(B654+C654)/2</f>
        <v>0.05224609375</v>
      </c>
      <c r="E654" s="15" t="n">
        <f aca="false">$C$2*(1+IF(E$3&lt;=$O$2,$D654,$D654-($D654-$I$643)*MIN(E$3-$O$2,$Q$2)/$Q$2))</f>
        <v>1946.6552734375</v>
      </c>
      <c r="F654" s="15" t="n">
        <f aca="false">E654*(1+IF(F$3&lt;=$O$2,$D654,$D654-($D654-$I$643)*MIN(F$3-$O$2,$Q$2)/$Q$2))</f>
        <v>2048.36040735245</v>
      </c>
      <c r="G654" s="15" t="n">
        <f aca="false">F654*(1+IF(G$3&lt;=$O$2,$D654,$D654-($D654-$I$643)*MIN(G$3-$O$2,$Q$2)/$Q$2))</f>
        <v>2155.37923722877</v>
      </c>
      <c r="H654" s="15" t="n">
        <f aca="false">G654*(1+IF(H$3&lt;=$O$2,$D654,$D654-($D654-$I$643)*MIN(H$3-$O$2,$Q$2)/$Q$2))</f>
        <v>2267.98938292383</v>
      </c>
      <c r="I654" s="15" t="n">
        <f aca="false">H654*(1+IF(I$3&lt;=$O$2,$D654,$D654-($D654-$I$643)*MIN(I$3-$O$2,$Q$2)/$Q$2))</f>
        <v>2386.48296884807</v>
      </c>
      <c r="J654" s="15" t="n">
        <f aca="false">I654*(1+IF(J$3&lt;=$O$2,$D654,$D654-($D654-$I$643)*MIN(J$3-$O$2,$Q$2)/$Q$2))</f>
        <v>2498.16291403089</v>
      </c>
      <c r="K654" s="15" t="n">
        <f aca="false">J654*(1+IF(K$3&lt;=$O$2,$D654,$D654-($D654-$I$643)*MIN(K$3-$O$2,$Q$2)/$Q$2))</f>
        <v>2601.45609545673</v>
      </c>
      <c r="L654" s="15" t="n">
        <f aca="false">K654*(1+IF(L$3&lt;=$O$2,$D654,$D654-($D654-$I$643)*MIN(L$3-$O$2,$Q$2)/$Q$2))</f>
        <v>2694.84430450848</v>
      </c>
      <c r="M654" s="15" t="n">
        <f aca="false">L654*(1+IF(M$3&lt;=$O$2,$D654,$D654-($D654-$I$643)*MIN(M$3-$O$2,$Q$2)/$Q$2))</f>
        <v>2776.90020823365</v>
      </c>
      <c r="N654" s="15" t="n">
        <f aca="false">M654*(1+IF(N$3&lt;=$O$2,$D654,$D654-($D654-$I$643)*MIN(N$3-$O$2,$Q$2)/$Q$2))</f>
        <v>2846.32271343949</v>
      </c>
      <c r="O654" s="15" t="n">
        <f aca="false">SUMPRODUCT(E654:N654,1/(1+$F$643)^$E$3:$N$3)*$E$2</f>
        <v>5874.90743915865</v>
      </c>
      <c r="P654" s="15" t="n">
        <f aca="false">N654*$E$2*(1+$I$643)/($F$643-$I$643)/(1+$F$643)^$N$3</f>
        <v>10648.0991376429</v>
      </c>
      <c r="Q654" s="15" t="n">
        <f aca="false">O654+P654</f>
        <v>16523.0065768016</v>
      </c>
      <c r="R654" s="15" t="n">
        <f aca="false">Q654-$G$2+$I$2</f>
        <v>14970.3065768016</v>
      </c>
      <c r="S654" s="40" t="n">
        <f aca="false">R654/$K$2</f>
        <v>54.3603855506793</v>
      </c>
      <c r="T654" s="41" t="n">
        <f aca="false">S654-$M$2</f>
        <v>-0.144135310644607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0.05224609375</v>
      </c>
      <c r="C655" s="25" t="n">
        <f aca="false">IF(T654&gt;0,D654,C654)</f>
        <v>0.0537109375</v>
      </c>
      <c r="D655" s="39" t="n">
        <f aca="false">(B655+C655)/2</f>
        <v>0.052978515625</v>
      </c>
      <c r="E655" s="15" t="n">
        <f aca="false">$C$2*(1+IF(E$3&lt;=$O$2,$D655,$D655-($D655-$I$643)*MIN(E$3-$O$2,$Q$2)/$Q$2))</f>
        <v>1948.01025390625</v>
      </c>
      <c r="F655" s="15" t="n">
        <f aca="false">E655*(1+IF(F$3&lt;=$O$2,$D655,$D655-($D655-$I$643)*MIN(F$3-$O$2,$Q$2)/$Q$2))</f>
        <v>2051.21294558048</v>
      </c>
      <c r="G655" s="15" t="n">
        <f aca="false">F655*(1+IF(G$3&lt;=$O$2,$D655,$D655-($D655-$I$643)*MIN(G$3-$O$2,$Q$2)/$Q$2))</f>
        <v>2159.88316266812</v>
      </c>
      <c r="H655" s="15" t="n">
        <f aca="false">G655*(1+IF(H$3&lt;=$O$2,$D655,$D655-($D655-$I$643)*MIN(H$3-$O$2,$Q$2)/$Q$2))</f>
        <v>2274.31056654971</v>
      </c>
      <c r="I655" s="15" t="n">
        <f aca="false">H655*(1+IF(I$3&lt;=$O$2,$D655,$D655-($D655-$I$643)*MIN(I$3-$O$2,$Q$2)/$Q$2))</f>
        <v>2394.80016443576</v>
      </c>
      <c r="J655" s="15" t="n">
        <f aca="false">I655*(1+IF(J$3&lt;=$O$2,$D655,$D655-($D655-$I$643)*MIN(J$3-$O$2,$Q$2)/$Q$2))</f>
        <v>2508.27253160219</v>
      </c>
      <c r="K655" s="15" t="n">
        <f aca="false">J655*(1+IF(K$3&lt;=$O$2,$D655,$D655-($D655-$I$643)*MIN(K$3-$O$2,$Q$2)/$Q$2))</f>
        <v>2613.08599022256</v>
      </c>
      <c r="L655" s="15" t="n">
        <f aca="false">K655*(1+IF(L$3&lt;=$O$2,$D655,$D655-($D655-$I$643)*MIN(L$3-$O$2,$Q$2)/$Q$2))</f>
        <v>2707.65724686089</v>
      </c>
      <c r="M655" s="15" t="n">
        <f aca="false">L655*(1+IF(M$3&lt;=$O$2,$D655,$D655-($D655-$I$643)*MIN(M$3-$O$2,$Q$2)/$Q$2))</f>
        <v>2790.4999241501</v>
      </c>
      <c r="N655" s="15" t="n">
        <f aca="false">M655*(1+IF(N$3&lt;=$O$2,$D655,$D655-($D655-$I$643)*MIN(N$3-$O$2,$Q$2)/$Q$2))</f>
        <v>2860.26242225385</v>
      </c>
      <c r="O655" s="15" t="n">
        <f aca="false">SUMPRODUCT(E655:N655,1/(1+$F$643)^$E$3:$N$3)*$E$2</f>
        <v>5893.96630353969</v>
      </c>
      <c r="P655" s="15" t="n">
        <f aca="false">N655*$E$2*(1+$I$643)/($F$643-$I$643)/(1+$F$643)^$N$3</f>
        <v>10700.2476170491</v>
      </c>
      <c r="Q655" s="15" t="n">
        <f aca="false">O655+P655</f>
        <v>16594.2139205888</v>
      </c>
      <c r="R655" s="15" t="n">
        <f aca="false">Q655-$G$2+$I$2</f>
        <v>15041.5139205888</v>
      </c>
      <c r="S655" s="40" t="n">
        <f aca="false">R655/$K$2</f>
        <v>54.6189546482764</v>
      </c>
      <c r="T655" s="41" t="n">
        <f aca="false">S655-$M$2</f>
        <v>0.114433786952411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0.05224609375</v>
      </c>
      <c r="C656" s="25" t="n">
        <f aca="false">IF(T655&gt;0,D655,C655)</f>
        <v>0.052978515625</v>
      </c>
      <c r="D656" s="39" t="n">
        <f aca="false">(B656+C656)/2</f>
        <v>0.0526123046875</v>
      </c>
      <c r="E656" s="15" t="n">
        <f aca="false">$C$2*(1+IF(E$3&lt;=$O$2,$D656,$D656-($D656-$I$643)*MIN(E$3-$O$2,$Q$2)/$Q$2))</f>
        <v>1947.33276367188</v>
      </c>
      <c r="F656" s="15" t="n">
        <f aca="false">E656*(1+IF(F$3&lt;=$O$2,$D656,$D656-($D656-$I$643)*MIN(F$3-$O$2,$Q$2)/$Q$2))</f>
        <v>2049.78642836213</v>
      </c>
      <c r="G656" s="15" t="n">
        <f aca="false">F656*(1+IF(G$3&lt;=$O$2,$D656,$D656-($D656-$I$643)*MIN(G$3-$O$2,$Q$2)/$Q$2))</f>
        <v>2157.63041647542</v>
      </c>
      <c r="H656" s="15" t="n">
        <f aca="false">G656*(1+IF(H$3&lt;=$O$2,$D656,$D656-($D656-$I$643)*MIN(H$3-$O$2,$Q$2)/$Q$2))</f>
        <v>2271.14832535004</v>
      </c>
      <c r="I656" s="15" t="n">
        <f aca="false">H656*(1+IF(I$3&lt;=$O$2,$D656,$D656-($D656-$I$643)*MIN(I$3-$O$2,$Q$2)/$Q$2))</f>
        <v>2390.63867303387</v>
      </c>
      <c r="J656" s="15" t="n">
        <f aca="false">I656*(1+IF(J$3&lt;=$O$2,$D656,$D656-($D656-$I$643)*MIN(J$3-$O$2,$Q$2)/$Q$2))</f>
        <v>2503.21347460974</v>
      </c>
      <c r="K656" s="15" t="n">
        <f aca="false">J656*(1+IF(K$3&lt;=$O$2,$D656,$D656-($D656-$I$643)*MIN(K$3-$O$2,$Q$2)/$Q$2))</f>
        <v>2607.26550737025</v>
      </c>
      <c r="L656" s="15" t="n">
        <f aca="false">K656*(1+IF(L$3&lt;=$O$2,$D656,$D656-($D656-$I$643)*MIN(L$3-$O$2,$Q$2)/$Q$2))</f>
        <v>2701.24418889079</v>
      </c>
      <c r="M656" s="15" t="n">
        <f aca="false">L656*(1+IF(M$3&lt;=$O$2,$D656,$D656-($D656-$I$643)*MIN(M$3-$O$2,$Q$2)/$Q$2))</f>
        <v>2783.69280912886</v>
      </c>
      <c r="N656" s="15" t="n">
        <f aca="false">M656*(1+IF(N$3&lt;=$O$2,$D656,$D656-($D656-$I$643)*MIN(N$3-$O$2,$Q$2)/$Q$2))</f>
        <v>2853.28512935708</v>
      </c>
      <c r="O656" s="15" t="n">
        <f aca="false">SUMPRODUCT(E656:N656,1/(1+$F$643)^$E$3:$N$3)*$E$2</f>
        <v>5884.42913712297</v>
      </c>
      <c r="P656" s="15" t="n">
        <f aca="false">N656*$E$2*(1+$I$643)/($F$643-$I$643)/(1+$F$643)^$N$3</f>
        <v>10674.1455499411</v>
      </c>
      <c r="Q656" s="15" t="n">
        <f aca="false">O656+P656</f>
        <v>16558.5746870641</v>
      </c>
      <c r="R656" s="15" t="n">
        <f aca="false">Q656-$G$2+$I$2</f>
        <v>15005.8746870641</v>
      </c>
      <c r="S656" s="40" t="n">
        <f aca="false">R656/$K$2</f>
        <v>54.4895409675882</v>
      </c>
      <c r="T656" s="41" t="n">
        <f aca="false">S656-$M$2</f>
        <v>-0.0149798937357346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0.0526123046875</v>
      </c>
      <c r="C657" s="25" t="n">
        <f aca="false">IF(T656&gt;0,D656,C656)</f>
        <v>0.052978515625</v>
      </c>
      <c r="D657" s="39" t="n">
        <f aca="false">(B657+C657)/2</f>
        <v>0.05279541015625</v>
      </c>
      <c r="E657" s="15" t="n">
        <f aca="false">$C$2*(1+IF(E$3&lt;=$O$2,$D657,$D657-($D657-$I$643)*MIN(E$3-$O$2,$Q$2)/$Q$2))</f>
        <v>1947.67150878906</v>
      </c>
      <c r="F657" s="15" t="n">
        <f aca="false">E657*(1+IF(F$3&lt;=$O$2,$D657,$D657-($D657-$I$643)*MIN(F$3-$O$2,$Q$2)/$Q$2))</f>
        <v>2050.49962494522</v>
      </c>
      <c r="G657" s="15" t="n">
        <f aca="false">F657*(1+IF(G$3&lt;=$O$2,$D657,$D657-($D657-$I$643)*MIN(G$3-$O$2,$Q$2)/$Q$2))</f>
        <v>2158.75659366944</v>
      </c>
      <c r="H657" s="15" t="n">
        <f aca="false">G657*(1+IF(H$3&lt;=$O$2,$D657,$D657-($D657-$I$643)*MIN(H$3-$O$2,$Q$2)/$Q$2))</f>
        <v>2272.72903345973</v>
      </c>
      <c r="I657" s="15" t="n">
        <f aca="false">H657*(1+IF(I$3&lt;=$O$2,$D657,$D657-($D657-$I$643)*MIN(I$3-$O$2,$Q$2)/$Q$2))</f>
        <v>2392.71869495525</v>
      </c>
      <c r="J657" s="15" t="n">
        <f aca="false">I657*(1+IF(J$3&lt;=$O$2,$D657,$D657-($D657-$I$643)*MIN(J$3-$O$2,$Q$2)/$Q$2))</f>
        <v>2505.74194034098</v>
      </c>
      <c r="K657" s="15" t="n">
        <f aca="false">J657*(1+IF(K$3&lt;=$O$2,$D657,$D657-($D657-$I$643)*MIN(K$3-$O$2,$Q$2)/$Q$2))</f>
        <v>2610.174363836</v>
      </c>
      <c r="L657" s="15" t="n">
        <f aca="false">K657*(1+IF(L$3&lt;=$O$2,$D657,$D657-($D657-$I$643)*MIN(L$3-$O$2,$Q$2)/$Q$2))</f>
        <v>2704.44906974076</v>
      </c>
      <c r="M657" s="15" t="n">
        <f aca="false">L657*(1+IF(M$3&lt;=$O$2,$D657,$D657-($D657-$I$643)*MIN(M$3-$O$2,$Q$2)/$Q$2))</f>
        <v>2787.09455071231</v>
      </c>
      <c r="N657" s="15" t="n">
        <f aca="false">M657*(1+IF(N$3&lt;=$O$2,$D657,$D657-($D657-$I$643)*MIN(N$3-$O$2,$Q$2)/$Q$2))</f>
        <v>2856.77191448012</v>
      </c>
      <c r="O657" s="15" t="n">
        <f aca="false">SUMPRODUCT(E657:N657,1/(1+$F$643)^$E$3:$N$3)*$E$2</f>
        <v>5889.19578531318</v>
      </c>
      <c r="P657" s="15" t="n">
        <f aca="false">N657*$E$2*(1+$I$643)/($F$643-$I$643)/(1+$F$643)^$N$3</f>
        <v>10687.1896202732</v>
      </c>
      <c r="Q657" s="15" t="n">
        <f aca="false">O657+P657</f>
        <v>16576.3854055864</v>
      </c>
      <c r="R657" s="15" t="n">
        <f aca="false">Q657-$G$2+$I$2</f>
        <v>15023.6854055863</v>
      </c>
      <c r="S657" s="40" t="n">
        <f aca="false">R657/$K$2</f>
        <v>54.5542154965189</v>
      </c>
      <c r="T657" s="41" t="n">
        <f aca="false">S657-$M$2</f>
        <v>0.0496946351949887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0.0526123046875</v>
      </c>
      <c r="C658" s="25" t="n">
        <f aca="false">IF(T657&gt;0,D657,C657)</f>
        <v>0.05279541015625</v>
      </c>
      <c r="D658" s="39" t="n">
        <f aca="false">(B658+C658)/2</f>
        <v>0.052703857421875</v>
      </c>
      <c r="E658" s="15" t="n">
        <f aca="false">$C$2*(1+IF(E$3&lt;=$O$2,$D658,$D658-($D658-$I$643)*MIN(E$3-$O$2,$Q$2)/$Q$2))</f>
        <v>1947.50213623047</v>
      </c>
      <c r="F658" s="15" t="n">
        <f aca="false">E658*(1+IF(F$3&lt;=$O$2,$D658,$D658-($D658-$I$643)*MIN(F$3-$O$2,$Q$2)/$Q$2))</f>
        <v>2050.14301114716</v>
      </c>
      <c r="G658" s="15" t="n">
        <f aca="false">F658*(1+IF(G$3&lt;=$O$2,$D658,$D658-($D658-$I$643)*MIN(G$3-$O$2,$Q$2)/$Q$2))</f>
        <v>2158.19345610111</v>
      </c>
      <c r="H658" s="15" t="n">
        <f aca="false">G658*(1+IF(H$3&lt;=$O$2,$D658,$D658-($D658-$I$643)*MIN(H$3-$O$2,$Q$2)/$Q$2))</f>
        <v>2271.93857630029</v>
      </c>
      <c r="I658" s="15" t="n">
        <f aca="false">H658*(1+IF(I$3&lt;=$O$2,$D658,$D658-($D658-$I$643)*MIN(I$3-$O$2,$Q$2)/$Q$2))</f>
        <v>2391.67850309687</v>
      </c>
      <c r="J658" s="15" t="n">
        <f aca="false">I658*(1+IF(J$3&lt;=$O$2,$D658,$D658-($D658-$I$643)*MIN(J$3-$O$2,$Q$2)/$Q$2))</f>
        <v>2504.4774418733</v>
      </c>
      <c r="K658" s="15" t="n">
        <f aca="false">J658*(1+IF(K$3&lt;=$O$2,$D658,$D658-($D658-$I$643)*MIN(K$3-$O$2,$Q$2)/$Q$2))</f>
        <v>2608.71958949971</v>
      </c>
      <c r="L658" s="15" t="n">
        <f aca="false">K658*(1+IF(L$3&lt;=$O$2,$D658,$D658-($D658-$I$643)*MIN(L$3-$O$2,$Q$2)/$Q$2))</f>
        <v>2702.84621746167</v>
      </c>
      <c r="M658" s="15" t="n">
        <f aca="false">L658*(1+IF(M$3&lt;=$O$2,$D658,$D658-($D658-$I$643)*MIN(M$3-$O$2,$Q$2)/$Q$2))</f>
        <v>2785.39322614657</v>
      </c>
      <c r="N658" s="15" t="n">
        <f aca="false">M658*(1+IF(N$3&lt;=$O$2,$D658,$D658-($D658-$I$643)*MIN(N$3-$O$2,$Q$2)/$Q$2))</f>
        <v>2855.02805680023</v>
      </c>
      <c r="O658" s="15" t="n">
        <f aca="false">SUMPRODUCT(E658:N658,1/(1+$F$643)^$E$3:$N$3)*$E$2</f>
        <v>5886.81197764631</v>
      </c>
      <c r="P658" s="15" t="n">
        <f aca="false">N658*$E$2*(1+$I$643)/($F$643-$I$643)/(1+$F$643)^$N$3</f>
        <v>10680.6658450984</v>
      </c>
      <c r="Q658" s="15" t="n">
        <f aca="false">O658+P658</f>
        <v>16567.4778227447</v>
      </c>
      <c r="R658" s="15" t="n">
        <f aca="false">Q658-$G$2+$I$2</f>
        <v>15014.7778227447</v>
      </c>
      <c r="S658" s="40" t="n">
        <f aca="false">R658/$K$2</f>
        <v>54.521870157757</v>
      </c>
      <c r="T658" s="41" t="n">
        <f aca="false">S658-$M$2</f>
        <v>0.0173492964330819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0.0526123046875</v>
      </c>
      <c r="C659" s="25" t="n">
        <f aca="false">IF(T658&gt;0,D658,C658)</f>
        <v>0.052703857421875</v>
      </c>
      <c r="D659" s="39" t="n">
        <f aca="false">(B659+C659)/2</f>
        <v>0.0526580810546875</v>
      </c>
      <c r="E659" s="15" t="n">
        <f aca="false">$C$2*(1+IF(E$3&lt;=$O$2,$D659,$D659-($D659-$I$643)*MIN(E$3-$O$2,$Q$2)/$Q$2))</f>
        <v>1947.41744995117</v>
      </c>
      <c r="F659" s="15" t="n">
        <f aca="false">E659*(1+IF(F$3&lt;=$O$2,$D659,$D659-($D659-$I$643)*MIN(F$3-$O$2,$Q$2)/$Q$2))</f>
        <v>2049.96471587801</v>
      </c>
      <c r="G659" s="15" t="n">
        <f aca="false">F659*(1+IF(G$3&lt;=$O$2,$D659,$D659-($D659-$I$643)*MIN(G$3-$O$2,$Q$2)/$Q$2))</f>
        <v>2157.91192404597</v>
      </c>
      <c r="H659" s="15" t="n">
        <f aca="false">G659*(1+IF(H$3&lt;=$O$2,$D659,$D659-($D659-$I$643)*MIN(H$3-$O$2,$Q$2)/$Q$2))</f>
        <v>2271.54342505126</v>
      </c>
      <c r="I659" s="15" t="n">
        <f aca="false">H659*(1+IF(I$3&lt;=$O$2,$D659,$D659-($D659-$I$643)*MIN(I$3-$O$2,$Q$2)/$Q$2))</f>
        <v>2391.15854284685</v>
      </c>
      <c r="J659" s="15" t="n">
        <f aca="false">I659*(1+IF(J$3&lt;=$O$2,$D659,$D659-($D659-$I$643)*MIN(J$3-$O$2,$Q$2)/$Q$2))</f>
        <v>2503.84539185215</v>
      </c>
      <c r="K659" s="15" t="n">
        <f aca="false">J659*(1+IF(K$3&lt;=$O$2,$D659,$D659-($D659-$I$643)*MIN(K$3-$O$2,$Q$2)/$Q$2))</f>
        <v>2607.99246192621</v>
      </c>
      <c r="L659" s="15" t="n">
        <f aca="false">K659*(1+IF(L$3&lt;=$O$2,$D659,$D659-($D659-$I$643)*MIN(L$3-$O$2,$Q$2)/$Q$2))</f>
        <v>2702.04510023515</v>
      </c>
      <c r="M659" s="15" t="n">
        <f aca="false">L659*(1+IF(M$3&lt;=$O$2,$D659,$D659-($D659-$I$643)*MIN(M$3-$O$2,$Q$2)/$Q$2))</f>
        <v>2784.54290422017</v>
      </c>
      <c r="N659" s="15" t="n">
        <f aca="false">M659*(1+IF(N$3&lt;=$O$2,$D659,$D659-($D659-$I$643)*MIN(N$3-$O$2,$Q$2)/$Q$2))</f>
        <v>2854.15647682568</v>
      </c>
      <c r="O659" s="15" t="n">
        <f aca="false">SUMPRODUCT(E659:N659,1/(1+$F$643)^$E$3:$N$3)*$E$2</f>
        <v>5885.62043651454</v>
      </c>
      <c r="P659" s="15" t="n">
        <f aca="false">N659*$E$2*(1+$I$643)/($F$643-$I$643)/(1+$F$643)^$N$3</f>
        <v>10677.4052626171</v>
      </c>
      <c r="Q659" s="15" t="n">
        <f aca="false">O659+P659</f>
        <v>16563.0256991317</v>
      </c>
      <c r="R659" s="15" t="n">
        <f aca="false">Q659-$G$2+$I$2</f>
        <v>15010.3256991317</v>
      </c>
      <c r="S659" s="40" t="n">
        <f aca="false">R659/$K$2</f>
        <v>54.5057035445429</v>
      </c>
      <c r="T659" s="41" t="n">
        <f aca="false">S659-$M$2</f>
        <v>0.0011826832189783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0.0526123046875</v>
      </c>
      <c r="C660" s="25" t="n">
        <f aca="false">IF(T659&gt;0,D659,C659)</f>
        <v>0.0526580810546875</v>
      </c>
      <c r="D660" s="39" t="n">
        <f aca="false">(B660+C660)/2</f>
        <v>0.0526351928710938</v>
      </c>
      <c r="E660" s="15" t="n">
        <f aca="false">$C$2*(1+IF(E$3&lt;=$O$2,$D660,$D660-($D660-$I$643)*MIN(E$3-$O$2,$Q$2)/$Q$2))</f>
        <v>1947.37510681152</v>
      </c>
      <c r="F660" s="15" t="n">
        <f aca="false">E660*(1+IF(F$3&lt;=$O$2,$D660,$D660-($D660-$I$643)*MIN(F$3-$O$2,$Q$2)/$Q$2))</f>
        <v>2049.87557115091</v>
      </c>
      <c r="G660" s="15" t="n">
        <f aca="false">F660*(1+IF(G$3&lt;=$O$2,$D660,$D660-($D660-$I$643)*MIN(G$3-$O$2,$Q$2)/$Q$2))</f>
        <v>2157.77116720019</v>
      </c>
      <c r="H660" s="15" t="n">
        <f aca="false">G660*(1+IF(H$3&lt;=$O$2,$D660,$D660-($D660-$I$643)*MIN(H$3-$O$2,$Q$2)/$Q$2))</f>
        <v>2271.34586875745</v>
      </c>
      <c r="I660" s="15" t="n">
        <f aca="false">H660*(1+IF(I$3&lt;=$O$2,$D660,$D660-($D660-$I$643)*MIN(I$3-$O$2,$Q$2)/$Q$2))</f>
        <v>2390.89859663646</v>
      </c>
      <c r="J660" s="15" t="n">
        <f aca="false">I660*(1+IF(J$3&lt;=$O$2,$D660,$D660-($D660-$I$643)*MIN(J$3-$O$2,$Q$2)/$Q$2))</f>
        <v>2503.529416635</v>
      </c>
      <c r="K660" s="15" t="n">
        <f aca="false">J660*(1+IF(K$3&lt;=$O$2,$D660,$D660-($D660-$I$643)*MIN(K$3-$O$2,$Q$2)/$Q$2))</f>
        <v>2607.62896302317</v>
      </c>
      <c r="L660" s="15" t="n">
        <f aca="false">K660*(1+IF(L$3&lt;=$O$2,$D660,$D660-($D660-$I$643)*MIN(L$3-$O$2,$Q$2)/$Q$2))</f>
        <v>2701.64461883051</v>
      </c>
      <c r="M660" s="15" t="n">
        <f aca="false">L660*(1+IF(M$3&lt;=$O$2,$D660,$D660-($D660-$I$643)*MIN(M$3-$O$2,$Q$2)/$Q$2))</f>
        <v>2784.11782832338</v>
      </c>
      <c r="N660" s="15" t="n">
        <f aca="false">M660*(1+IF(N$3&lt;=$O$2,$D660,$D660-($D660-$I$643)*MIN(N$3-$O$2,$Q$2)/$Q$2))</f>
        <v>2853.72077403146</v>
      </c>
      <c r="O660" s="15" t="n">
        <f aca="false">SUMPRODUCT(E660:N660,1/(1+$F$643)^$E$3:$N$3)*$E$2</f>
        <v>5885.02475660408</v>
      </c>
      <c r="P660" s="15" t="n">
        <f aca="false">N660*$E$2*(1+$I$643)/($F$643-$I$643)/(1+$F$643)^$N$3</f>
        <v>10675.7752975659</v>
      </c>
      <c r="Q660" s="15" t="n">
        <f aca="false">O660+P660</f>
        <v>16560.80005417</v>
      </c>
      <c r="R660" s="15" t="n">
        <f aca="false">Q660-$G$2+$I$2</f>
        <v>15008.10005417</v>
      </c>
      <c r="S660" s="40" t="n">
        <f aca="false">R660/$K$2</f>
        <v>54.4976217515887</v>
      </c>
      <c r="T660" s="41" t="n">
        <f aca="false">S660-$M$2</f>
        <v>-0.0068991097352793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0.0526351928710938</v>
      </c>
      <c r="C661" s="25" t="n">
        <f aca="false">IF(T660&gt;0,D660,C660)</f>
        <v>0.0526580810546875</v>
      </c>
      <c r="D661" s="39" t="n">
        <f aca="false">(B661+C661)/2</f>
        <v>0.0526466369628906</v>
      </c>
      <c r="E661" s="15" t="n">
        <f aca="false">$C$2*(1+IF(E$3&lt;=$O$2,$D661,$D661-($D661-$I$643)*MIN(E$3-$O$2,$Q$2)/$Q$2))</f>
        <v>1947.39627838135</v>
      </c>
      <c r="F661" s="15" t="n">
        <f aca="false">E661*(1+IF(F$3&lt;=$O$2,$D661,$D661-($D661-$I$643)*MIN(F$3-$O$2,$Q$2)/$Q$2))</f>
        <v>2049.92014327217</v>
      </c>
      <c r="G661" s="15" t="n">
        <f aca="false">F661*(1+IF(G$3&lt;=$O$2,$D661,$D661-($D661-$I$643)*MIN(G$3-$O$2,$Q$2)/$Q$2))</f>
        <v>2157.84154485794</v>
      </c>
      <c r="H661" s="15" t="n">
        <f aca="false">G661*(1+IF(H$3&lt;=$O$2,$D661,$D661-($D661-$I$643)*MIN(H$3-$O$2,$Q$2)/$Q$2))</f>
        <v>2271.44464529352</v>
      </c>
      <c r="I661" s="15" t="n">
        <f aca="false">H661*(1+IF(I$3&lt;=$O$2,$D661,$D661-($D661-$I$643)*MIN(I$3-$O$2,$Q$2)/$Q$2))</f>
        <v>2391.02856691559</v>
      </c>
      <c r="J661" s="15" t="n">
        <f aca="false">I661*(1+IF(J$3&lt;=$O$2,$D661,$D661-($D661-$I$643)*MIN(J$3-$O$2,$Q$2)/$Q$2))</f>
        <v>2503.68740009441</v>
      </c>
      <c r="K661" s="15" t="n">
        <f aca="false">J661*(1+IF(K$3&lt;=$O$2,$D661,$D661-($D661-$I$643)*MIN(K$3-$O$2,$Q$2)/$Q$2))</f>
        <v>2607.81070706816</v>
      </c>
      <c r="L661" s="15" t="n">
        <f aca="false">K661*(1+IF(L$3&lt;=$O$2,$D661,$D661-($D661-$I$643)*MIN(L$3-$O$2,$Q$2)/$Q$2))</f>
        <v>2701.84485309936</v>
      </c>
      <c r="M661" s="15" t="n">
        <f aca="false">L661*(1+IF(M$3&lt;=$O$2,$D661,$D661-($D661-$I$643)*MIN(M$3-$O$2,$Q$2)/$Q$2))</f>
        <v>2784.33035918359</v>
      </c>
      <c r="N661" s="15" t="n">
        <f aca="false">M661*(1+IF(N$3&lt;=$O$2,$D661,$D661-($D661-$I$643)*MIN(N$3-$O$2,$Q$2)/$Q$2))</f>
        <v>2853.93861816317</v>
      </c>
      <c r="O661" s="15" t="n">
        <f aca="false">SUMPRODUCT(E661:N661,1/(1+$F$643)^$E$3:$N$3)*$E$2</f>
        <v>5885.32258900529</v>
      </c>
      <c r="P661" s="15" t="n">
        <f aca="false">N661*$E$2*(1+$I$643)/($F$643-$I$643)/(1+$F$643)^$N$3</f>
        <v>10676.5902529117</v>
      </c>
      <c r="Q661" s="15" t="n">
        <f aca="false">O661+P661</f>
        <v>16561.912841917</v>
      </c>
      <c r="R661" s="15" t="n">
        <f aca="false">Q661-$G$2+$I$2</f>
        <v>15009.212841917</v>
      </c>
      <c r="S661" s="40" t="n">
        <f aca="false">R661/$K$2</f>
        <v>54.5016625219396</v>
      </c>
      <c r="T661" s="41" t="n">
        <f aca="false">S661-$M$2</f>
        <v>-0.00285833938429647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0.0526466369628906</v>
      </c>
      <c r="C662" s="25" t="n">
        <f aca="false">IF(T661&gt;0,D661,C661)</f>
        <v>0.0526580810546875</v>
      </c>
      <c r="D662" s="39" t="n">
        <f aca="false">(B662+C662)/2</f>
        <v>0.0526523590087891</v>
      </c>
      <c r="E662" s="15" t="n">
        <f aca="false">$C$2*(1+IF(E$3&lt;=$O$2,$D662,$D662-($D662-$I$643)*MIN(E$3-$O$2,$Q$2)/$Q$2))</f>
        <v>1947.40686416626</v>
      </c>
      <c r="F662" s="15" t="n">
        <f aca="false">E662*(1+IF(F$3&lt;=$O$2,$D662,$D662-($D662-$I$643)*MIN(F$3-$O$2,$Q$2)/$Q$2))</f>
        <v>2049.94242951452</v>
      </c>
      <c r="G662" s="15" t="n">
        <f aca="false">F662*(1+IF(G$3&lt;=$O$2,$D662,$D662-($D662-$I$643)*MIN(G$3-$O$2,$Q$2)/$Q$2))</f>
        <v>2157.87673426067</v>
      </c>
      <c r="H662" s="15" t="n">
        <f aca="false">G662*(1+IF(H$3&lt;=$O$2,$D662,$D662-($D662-$I$643)*MIN(H$3-$O$2,$Q$2)/$Q$2))</f>
        <v>2271.49403476968</v>
      </c>
      <c r="I662" s="15" t="n">
        <f aca="false">H662*(1+IF(I$3&lt;=$O$2,$D662,$D662-($D662-$I$643)*MIN(I$3-$O$2,$Q$2)/$Q$2))</f>
        <v>2391.09355417469</v>
      </c>
      <c r="J662" s="15" t="n">
        <f aca="false">I662*(1+IF(J$3&lt;=$O$2,$D662,$D662-($D662-$I$643)*MIN(J$3-$O$2,$Q$2)/$Q$2))</f>
        <v>2503.76639493597</v>
      </c>
      <c r="K662" s="15" t="n">
        <f aca="false">J662*(1+IF(K$3&lt;=$O$2,$D662,$D662-($D662-$I$643)*MIN(K$3-$O$2,$Q$2)/$Q$2))</f>
        <v>2607.90158314552</v>
      </c>
      <c r="L662" s="15" t="n">
        <f aca="false">K662*(1+IF(L$3&lt;=$O$2,$D662,$D662-($D662-$I$643)*MIN(L$3-$O$2,$Q$2)/$Q$2))</f>
        <v>2701.94497505885</v>
      </c>
      <c r="M662" s="15" t="n">
        <f aca="false">L662*(1+IF(M$3&lt;=$O$2,$D662,$D662-($D662-$I$643)*MIN(M$3-$O$2,$Q$2)/$Q$2))</f>
        <v>2784.43662992978</v>
      </c>
      <c r="N662" s="15" t="n">
        <f aca="false">M662*(1+IF(N$3&lt;=$O$2,$D662,$D662-($D662-$I$643)*MIN(N$3-$O$2,$Q$2)/$Q$2))</f>
        <v>2854.04754567803</v>
      </c>
      <c r="O662" s="15" t="n">
        <f aca="false">SUMPRODUCT(E662:N662,1/(1+$F$643)^$E$3:$N$3)*$E$2</f>
        <v>5885.47151087136</v>
      </c>
      <c r="P662" s="15" t="n">
        <f aca="false">N662*$E$2*(1+$I$643)/($F$643-$I$643)/(1+$F$643)^$N$3</f>
        <v>10676.9977509692</v>
      </c>
      <c r="Q662" s="15" t="n">
        <f aca="false">O662+P662</f>
        <v>16562.4692618406</v>
      </c>
      <c r="R662" s="15" t="n">
        <f aca="false">Q662-$G$2+$I$2</f>
        <v>15009.7692618406</v>
      </c>
      <c r="S662" s="40" t="n">
        <f aca="false">R662/$K$2</f>
        <v>54.5036830017089</v>
      </c>
      <c r="T662" s="41" t="n">
        <f aca="false">S662-$M$2</f>
        <v>-0.000837859615089087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0.0526523590087891</v>
      </c>
      <c r="C663" s="25" t="n">
        <f aca="false">IF(T662&gt;0,D662,C662)</f>
        <v>0.0526580810546875</v>
      </c>
      <c r="D663" s="39" t="n">
        <f aca="false">(B663+C663)/2</f>
        <v>0.0526552200317383</v>
      </c>
      <c r="E663" s="15" t="n">
        <f aca="false">$C$2*(1+IF(E$3&lt;=$O$2,$D663,$D663-($D663-$I$643)*MIN(E$3-$O$2,$Q$2)/$Q$2))</f>
        <v>1947.41215705872</v>
      </c>
      <c r="F663" s="15" t="n">
        <f aca="false">E663*(1+IF(F$3&lt;=$O$2,$D663,$D663-($D663-$I$643)*MIN(F$3-$O$2,$Q$2)/$Q$2))</f>
        <v>2049.95357268112</v>
      </c>
      <c r="G663" s="15" t="n">
        <f aca="false">F663*(1+IF(G$3&lt;=$O$2,$D663,$D663-($D663-$I$643)*MIN(G$3-$O$2,$Q$2)/$Q$2))</f>
        <v>2157.8943291055</v>
      </c>
      <c r="H663" s="15" t="n">
        <f aca="false">G663*(1+IF(H$3&lt;=$O$2,$D663,$D663-($D663-$I$643)*MIN(H$3-$O$2,$Q$2)/$Q$2))</f>
        <v>2271.51872980979</v>
      </c>
      <c r="I663" s="15" t="n">
        <f aca="false">H663*(1+IF(I$3&lt;=$O$2,$D663,$D663-($D663-$I$643)*MIN(I$3-$O$2,$Q$2)/$Q$2))</f>
        <v>2391.12604833414</v>
      </c>
      <c r="J663" s="15" t="n">
        <f aca="false">I663*(1+IF(J$3&lt;=$O$2,$D663,$D663-($D663-$I$643)*MIN(J$3-$O$2,$Q$2)/$Q$2))</f>
        <v>2503.80589313473</v>
      </c>
      <c r="K663" s="15" t="n">
        <f aca="false">J663*(1+IF(K$3&lt;=$O$2,$D663,$D663-($D663-$I$643)*MIN(K$3-$O$2,$Q$2)/$Q$2))</f>
        <v>2607.94702219794</v>
      </c>
      <c r="L663" s="15" t="n">
        <f aca="false">K663*(1+IF(L$3&lt;=$O$2,$D663,$D663-($D663-$I$643)*MIN(L$3-$O$2,$Q$2)/$Q$2))</f>
        <v>2701.99503724489</v>
      </c>
      <c r="M663" s="15" t="n">
        <f aca="false">L663*(1+IF(M$3&lt;=$O$2,$D663,$D663-($D663-$I$643)*MIN(M$3-$O$2,$Q$2)/$Q$2))</f>
        <v>2784.48976663195</v>
      </c>
      <c r="N663" s="15" t="n">
        <f aca="false">M663*(1+IF(N$3&lt;=$O$2,$D663,$D663-($D663-$I$643)*MIN(N$3-$O$2,$Q$2)/$Q$2))</f>
        <v>2854.10201079775</v>
      </c>
      <c r="O663" s="15" t="n">
        <f aca="false">SUMPRODUCT(E663:N663,1/(1+$F$643)^$E$3:$N$3)*$E$2</f>
        <v>5885.54597322081</v>
      </c>
      <c r="P663" s="15" t="n">
        <f aca="false">N663*$E$2*(1+$I$643)/($F$643-$I$643)/(1+$F$643)^$N$3</f>
        <v>10677.2015050944</v>
      </c>
      <c r="Q663" s="15" t="n">
        <f aca="false">O663+P663</f>
        <v>16562.7474783152</v>
      </c>
      <c r="R663" s="15" t="n">
        <f aca="false">Q663-$G$2+$I$2</f>
        <v>15010.0474783152</v>
      </c>
      <c r="S663" s="40" t="n">
        <f aca="false">R663/$K$2</f>
        <v>54.5046932652427</v>
      </c>
      <c r="T663" s="41" t="n">
        <f aca="false">S663-$M$2</f>
        <v>0.000172403918753616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0.0526523590087891</v>
      </c>
      <c r="C664" s="25" t="n">
        <f aca="false">IF(T663&gt;0,D663,C663)</f>
        <v>0.0526552200317383</v>
      </c>
      <c r="D664" s="39" t="n">
        <f aca="false">(B664+C664)/2</f>
        <v>0.0526537895202637</v>
      </c>
      <c r="E664" s="15" t="n">
        <f aca="false">$C$2*(1+IF(E$3&lt;=$O$2,$D664,$D664-($D664-$I$643)*MIN(E$3-$O$2,$Q$2)/$Q$2))</f>
        <v>1947.40951061249</v>
      </c>
      <c r="F664" s="15" t="n">
        <f aca="false">E664*(1+IF(F$3&lt;=$O$2,$D664,$D664-($D664-$I$643)*MIN(F$3-$O$2,$Q$2)/$Q$2))</f>
        <v>2049.94800109404</v>
      </c>
      <c r="G664" s="15" t="n">
        <f aca="false">F664*(1+IF(G$3&lt;=$O$2,$D664,$D664-($D664-$I$643)*MIN(G$3-$O$2,$Q$2)/$Q$2))</f>
        <v>2157.88553167113</v>
      </c>
      <c r="H664" s="15" t="n">
        <f aca="false">G664*(1+IF(H$3&lt;=$O$2,$D664,$D664-($D664-$I$643)*MIN(H$3-$O$2,$Q$2)/$Q$2))</f>
        <v>2271.50638226456</v>
      </c>
      <c r="I664" s="15" t="n">
        <f aca="false">H664*(1+IF(I$3&lt;=$O$2,$D664,$D664-($D664-$I$643)*MIN(I$3-$O$2,$Q$2)/$Q$2))</f>
        <v>2391.10980121026</v>
      </c>
      <c r="J664" s="15" t="n">
        <f aca="false">I664*(1+IF(J$3&lt;=$O$2,$D664,$D664-($D664-$I$643)*MIN(J$3-$O$2,$Q$2)/$Q$2))</f>
        <v>2503.78614397052</v>
      </c>
      <c r="K664" s="15" t="n">
        <f aca="false">J664*(1+IF(K$3&lt;=$O$2,$D664,$D664-($D664-$I$643)*MIN(K$3-$O$2,$Q$2)/$Q$2))</f>
        <v>2607.92430258725</v>
      </c>
      <c r="L664" s="15" t="n">
        <f aca="false">K664*(1+IF(L$3&lt;=$O$2,$D664,$D664-($D664-$I$643)*MIN(L$3-$O$2,$Q$2)/$Q$2))</f>
        <v>2701.97000605134</v>
      </c>
      <c r="M664" s="15" t="n">
        <f aca="false">L664*(1+IF(M$3&lt;=$O$2,$D664,$D664-($D664-$I$643)*MIN(M$3-$O$2,$Q$2)/$Q$2))</f>
        <v>2784.46319817011</v>
      </c>
      <c r="N664" s="15" t="n">
        <f aca="false">M664*(1+IF(N$3&lt;=$O$2,$D664,$D664-($D664-$I$643)*MIN(N$3-$O$2,$Q$2)/$Q$2))</f>
        <v>2854.07477812436</v>
      </c>
      <c r="O664" s="15" t="n">
        <f aca="false">SUMPRODUCT(E664:N664,1/(1+$F$643)^$E$3:$N$3)*$E$2</f>
        <v>5885.50874192805</v>
      </c>
      <c r="P664" s="15" t="n">
        <f aca="false">N664*$E$2*(1+$I$643)/($F$643-$I$643)/(1+$F$643)^$N$3</f>
        <v>10677.0996276071</v>
      </c>
      <c r="Q664" s="15" t="n">
        <f aca="false">O664+P664</f>
        <v>16562.6083695352</v>
      </c>
      <c r="R664" s="15" t="n">
        <f aca="false">Q664-$G$2+$I$2</f>
        <v>15009.9083695352</v>
      </c>
      <c r="S664" s="40" t="n">
        <f aca="false">R664/$K$2</f>
        <v>54.504188131505</v>
      </c>
      <c r="T664" s="41" t="n">
        <f aca="false">S664-$M$2</f>
        <v>-0.000332729818950384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0.0526537895202637</v>
      </c>
      <c r="C665" s="25" t="n">
        <f aca="false">IF(T664&gt;0,D664,C664)</f>
        <v>0.0526552200317383</v>
      </c>
      <c r="D665" s="39" t="n">
        <f aca="false">(B665+C665)/2</f>
        <v>0.052654504776001</v>
      </c>
      <c r="E665" s="15" t="n">
        <f aca="false">$C$2*(1+IF(E$3&lt;=$O$2,$D665,$D665-($D665-$I$643)*MIN(E$3-$O$2,$Q$2)/$Q$2))</f>
        <v>1947.4108338356</v>
      </c>
      <c r="F665" s="15" t="n">
        <f aca="false">E665*(1+IF(F$3&lt;=$O$2,$D665,$D665-($D665-$I$643)*MIN(F$3-$O$2,$Q$2)/$Q$2))</f>
        <v>2049.95078688663</v>
      </c>
      <c r="G665" s="15" t="n">
        <f aca="false">F665*(1+IF(G$3&lt;=$O$2,$D665,$D665-($D665-$I$643)*MIN(G$3-$O$2,$Q$2)/$Q$2))</f>
        <v>2157.88993038532</v>
      </c>
      <c r="H665" s="15" t="n">
        <f aca="false">G665*(1+IF(H$3&lt;=$O$2,$D665,$D665-($D665-$I$643)*MIN(H$3-$O$2,$Q$2)/$Q$2))</f>
        <v>2271.51255603088</v>
      </c>
      <c r="I665" s="15" t="n">
        <f aca="false">H665*(1+IF(I$3&lt;=$O$2,$D665,$D665-($D665-$I$643)*MIN(I$3-$O$2,$Q$2)/$Q$2))</f>
        <v>2391.11792476116</v>
      </c>
      <c r="J665" s="15" t="n">
        <f aca="false">I665*(1+IF(J$3&lt;=$O$2,$D665,$D665-($D665-$I$643)*MIN(J$3-$O$2,$Q$2)/$Q$2))</f>
        <v>2503.79601853642</v>
      </c>
      <c r="K665" s="15" t="n">
        <f aca="false">J665*(1+IF(K$3&lt;=$O$2,$D665,$D665-($D665-$I$643)*MIN(K$3-$O$2,$Q$2)/$Q$2))</f>
        <v>2607.93566237148</v>
      </c>
      <c r="L665" s="15" t="n">
        <f aca="false">K665*(1+IF(L$3&lt;=$O$2,$D665,$D665-($D665-$I$643)*MIN(L$3-$O$2,$Q$2)/$Q$2))</f>
        <v>2701.98252162298</v>
      </c>
      <c r="M665" s="15" t="n">
        <f aca="false">L665*(1+IF(M$3&lt;=$O$2,$D665,$D665-($D665-$I$643)*MIN(M$3-$O$2,$Q$2)/$Q$2))</f>
        <v>2784.47648237334</v>
      </c>
      <c r="N665" s="15" t="n">
        <f aca="false">M665*(1+IF(N$3&lt;=$O$2,$D665,$D665-($D665-$I$643)*MIN(N$3-$O$2,$Q$2)/$Q$2))</f>
        <v>2854.08839443267</v>
      </c>
      <c r="O665" s="15" t="n">
        <f aca="false">SUMPRODUCT(E665:N665,1/(1+$F$643)^$E$3:$N$3)*$E$2</f>
        <v>5885.52735754492</v>
      </c>
      <c r="P665" s="15" t="n">
        <f aca="false">N665*$E$2*(1+$I$643)/($F$643-$I$643)/(1+$F$643)^$N$3</f>
        <v>10677.1505662446</v>
      </c>
      <c r="Q665" s="15" t="n">
        <f aca="false">O665+P665</f>
        <v>16562.6779237895</v>
      </c>
      <c r="R665" s="15" t="n">
        <f aca="false">Q665-$G$2+$I$2</f>
        <v>15009.9779237895</v>
      </c>
      <c r="S665" s="40" t="n">
        <f aca="false">R665/$K$2</f>
        <v>54.5044406978811</v>
      </c>
      <c r="T665" s="41" t="n">
        <f aca="false">S665-$M$2</f>
        <v>-8.01634428100329E-005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0.052654504776001</v>
      </c>
      <c r="C666" s="25" t="n">
        <f aca="false">IF(T665&gt;0,D665,C665)</f>
        <v>0.0526552200317383</v>
      </c>
      <c r="D666" s="39" t="n">
        <f aca="false">(B666+C666)/2</f>
        <v>0.0526548624038696</v>
      </c>
      <c r="E666" s="15" t="n">
        <f aca="false">$C$2*(1+IF(E$3&lt;=$O$2,$D666,$D666-($D666-$I$643)*MIN(E$3-$O$2,$Q$2)/$Q$2))</f>
        <v>1947.41149544716</v>
      </c>
      <c r="F666" s="15" t="n">
        <f aca="false">E666*(1+IF(F$3&lt;=$O$2,$D666,$D666-($D666-$I$643)*MIN(F$3-$O$2,$Q$2)/$Q$2))</f>
        <v>2049.95217978364</v>
      </c>
      <c r="G666" s="15" t="n">
        <f aca="false">F666*(1+IF(G$3&lt;=$O$2,$D666,$D666-($D666-$I$643)*MIN(G$3-$O$2,$Q$2)/$Q$2))</f>
        <v>2157.89212974466</v>
      </c>
      <c r="H666" s="15" t="n">
        <f aca="false">G666*(1+IF(H$3&lt;=$O$2,$D666,$D666-($D666-$I$643)*MIN(H$3-$O$2,$Q$2)/$Q$2))</f>
        <v>2271.51564291876</v>
      </c>
      <c r="I666" s="15" t="n">
        <f aca="false">H666*(1+IF(I$3&lt;=$O$2,$D666,$D666-($D666-$I$643)*MIN(I$3-$O$2,$Q$2)/$Q$2))</f>
        <v>2391.12198654489</v>
      </c>
      <c r="J666" s="15" t="n">
        <f aca="false">I666*(1+IF(J$3&lt;=$O$2,$D666,$D666-($D666-$I$643)*MIN(J$3-$O$2,$Q$2)/$Q$2))</f>
        <v>2503.80095583152</v>
      </c>
      <c r="K666" s="15" t="n">
        <f aca="false">J666*(1+IF(K$3&lt;=$O$2,$D666,$D666-($D666-$I$643)*MIN(K$3-$O$2,$Q$2)/$Q$2))</f>
        <v>2607.94134227943</v>
      </c>
      <c r="L666" s="15" t="n">
        <f aca="false">K666*(1+IF(L$3&lt;=$O$2,$D666,$D666-($D666-$I$643)*MIN(L$3-$O$2,$Q$2)/$Q$2))</f>
        <v>2701.98877942765</v>
      </c>
      <c r="M666" s="15" t="n">
        <f aca="false">L666*(1+IF(M$3&lt;=$O$2,$D666,$D666-($D666-$I$643)*MIN(M$3-$O$2,$Q$2)/$Q$2))</f>
        <v>2784.48312449572</v>
      </c>
      <c r="N666" s="15" t="n">
        <f aca="false">M666*(1+IF(N$3&lt;=$O$2,$D666,$D666-($D666-$I$643)*MIN(N$3-$O$2,$Q$2)/$Q$2))</f>
        <v>2854.09520260811</v>
      </c>
      <c r="O666" s="15" t="n">
        <f aca="false">SUMPRODUCT(E666:N666,1/(1+$F$643)^$E$3:$N$3)*$E$2</f>
        <v>5885.53666537548</v>
      </c>
      <c r="P666" s="15" t="n">
        <f aca="false">N666*$E$2*(1+$I$643)/($F$643-$I$643)/(1+$F$643)^$N$3</f>
        <v>10677.1760356429</v>
      </c>
      <c r="Q666" s="15" t="n">
        <f aca="false">O666+P666</f>
        <v>16562.7127010184</v>
      </c>
      <c r="R666" s="15" t="n">
        <f aca="false">Q666-$G$2+$I$2</f>
        <v>15010.0127010184</v>
      </c>
      <c r="S666" s="40" t="n">
        <f aca="false">R666/$K$2</f>
        <v>54.5045669814387</v>
      </c>
      <c r="T666" s="41" t="n">
        <f aca="false">S666-$M$2</f>
        <v>4.6120114781445E-005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0.052654504776001</v>
      </c>
      <c r="C667" s="25" t="n">
        <f aca="false">IF(T666&gt;0,D666,C666)</f>
        <v>0.0526548624038696</v>
      </c>
      <c r="D667" s="39" t="n">
        <f aca="false">(B667+C667)/2</f>
        <v>0.0526546835899353</v>
      </c>
      <c r="E667" s="15" t="n">
        <f aca="false">$C$2*(1+IF(E$3&lt;=$O$2,$D667,$D667-($D667-$I$643)*MIN(E$3-$O$2,$Q$2)/$Q$2))</f>
        <v>1947.41116464138</v>
      </c>
      <c r="F667" s="15" t="n">
        <f aca="false">E667*(1+IF(F$3&lt;=$O$2,$D667,$D667-($D667-$I$643)*MIN(F$3-$O$2,$Q$2)/$Q$2))</f>
        <v>2049.95148333508</v>
      </c>
      <c r="G667" s="15" t="n">
        <f aca="false">F667*(1+IF(G$3&lt;=$O$2,$D667,$D667-($D667-$I$643)*MIN(G$3-$O$2,$Q$2)/$Q$2))</f>
        <v>2157.89103006481</v>
      </c>
      <c r="H667" s="15" t="n">
        <f aca="false">G667*(1+IF(H$3&lt;=$O$2,$D667,$D667-($D667-$I$643)*MIN(H$3-$O$2,$Q$2)/$Q$2))</f>
        <v>2271.51409947443</v>
      </c>
      <c r="I667" s="15" t="n">
        <f aca="false">H667*(1+IF(I$3&lt;=$O$2,$D667,$D667-($D667-$I$643)*MIN(I$3-$O$2,$Q$2)/$Q$2))</f>
        <v>2391.11995565233</v>
      </c>
      <c r="J667" s="15" t="n">
        <f aca="false">I667*(1+IF(J$3&lt;=$O$2,$D667,$D667-($D667-$I$643)*MIN(J$3-$O$2,$Q$2)/$Q$2))</f>
        <v>2503.79848718296</v>
      </c>
      <c r="K667" s="15" t="n">
        <f aca="false">J667*(1+IF(K$3&lt;=$O$2,$D667,$D667-($D667-$I$643)*MIN(K$3-$O$2,$Q$2)/$Q$2))</f>
        <v>2607.93850232413</v>
      </c>
      <c r="L667" s="15" t="n">
        <f aca="false">K667*(1+IF(L$3&lt;=$O$2,$D667,$D667-($D667-$I$643)*MIN(L$3-$O$2,$Q$2)/$Q$2))</f>
        <v>2701.98565052375</v>
      </c>
      <c r="M667" s="15" t="n">
        <f aca="false">L667*(1+IF(M$3&lt;=$O$2,$D667,$D667-($D667-$I$643)*MIN(M$3-$O$2,$Q$2)/$Q$2))</f>
        <v>2784.4798034328</v>
      </c>
      <c r="N667" s="15" t="n">
        <f aca="false">M667*(1+IF(N$3&lt;=$O$2,$D667,$D667-($D667-$I$643)*MIN(N$3-$O$2,$Q$2)/$Q$2))</f>
        <v>2854.09179851862</v>
      </c>
      <c r="O667" s="15" t="n">
        <f aca="false">SUMPRODUCT(E667:N667,1/(1+$F$643)^$E$3:$N$3)*$E$2</f>
        <v>5885.53201145836</v>
      </c>
      <c r="P667" s="15" t="n">
        <f aca="false">N667*$E$2*(1+$I$643)/($F$643-$I$643)/(1+$F$643)^$N$3</f>
        <v>10677.1633009371</v>
      </c>
      <c r="Q667" s="15" t="n">
        <f aca="false">O667+P667</f>
        <v>16562.6953123955</v>
      </c>
      <c r="R667" s="15" t="n">
        <f aca="false">Q667-$G$2+$I$2</f>
        <v>15009.9953123955</v>
      </c>
      <c r="S667" s="40" t="n">
        <f aca="false">R667/$K$2</f>
        <v>54.5045038396292</v>
      </c>
      <c r="T667" s="41" t="n">
        <f aca="false">S667-$M$2</f>
        <v>-1.70216947807944E-005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0.0526546835899353</v>
      </c>
      <c r="C668" s="25" t="n">
        <f aca="false">IF(T667&gt;0,D667,C667)</f>
        <v>0.0526548624038696</v>
      </c>
      <c r="D668" s="39" t="n">
        <f aca="false">(B668+C668)/2</f>
        <v>0.0526547729969025</v>
      </c>
      <c r="E668" s="15" t="n">
        <f aca="false">$C$2*(1+IF(E$3&lt;=$O$2,$D668,$D668-($D668-$I$643)*MIN(E$3-$O$2,$Q$2)/$Q$2))</f>
        <v>1947.41133004427</v>
      </c>
      <c r="F668" s="15" t="n">
        <f aca="false">E668*(1+IF(F$3&lt;=$O$2,$D668,$D668-($D668-$I$643)*MIN(F$3-$O$2,$Q$2)/$Q$2))</f>
        <v>2049.95183155935</v>
      </c>
      <c r="G668" s="15" t="n">
        <f aca="false">F668*(1+IF(G$3&lt;=$O$2,$D668,$D668-($D668-$I$643)*MIN(G$3-$O$2,$Q$2)/$Q$2))</f>
        <v>2157.89157990469</v>
      </c>
      <c r="H668" s="15" t="n">
        <f aca="false">G668*(1+IF(H$3&lt;=$O$2,$D668,$D668-($D668-$I$643)*MIN(H$3-$O$2,$Q$2)/$Q$2))</f>
        <v>2271.5148711965</v>
      </c>
      <c r="I668" s="15" t="n">
        <f aca="false">H668*(1+IF(I$3&lt;=$O$2,$D668,$D668-($D668-$I$643)*MIN(I$3-$O$2,$Q$2)/$Q$2))</f>
        <v>2391.12097109844</v>
      </c>
      <c r="J668" s="15" t="n">
        <f aca="false">I668*(1+IF(J$3&lt;=$O$2,$D668,$D668-($D668-$I$643)*MIN(J$3-$O$2,$Q$2)/$Q$2))</f>
        <v>2503.79972150699</v>
      </c>
      <c r="K668" s="15" t="n">
        <f aca="false">J668*(1+IF(K$3&lt;=$O$2,$D668,$D668-($D668-$I$643)*MIN(K$3-$O$2,$Q$2)/$Q$2))</f>
        <v>2607.93992230145</v>
      </c>
      <c r="L668" s="15" t="n">
        <f aca="false">K668*(1+IF(L$3&lt;=$O$2,$D668,$D668-($D668-$I$643)*MIN(L$3-$O$2,$Q$2)/$Q$2))</f>
        <v>2701.98721497531</v>
      </c>
      <c r="M668" s="15" t="n">
        <f aca="false">L668*(1+IF(M$3&lt;=$O$2,$D668,$D668-($D668-$I$643)*MIN(M$3-$O$2,$Q$2)/$Q$2))</f>
        <v>2784.48146396383</v>
      </c>
      <c r="N668" s="15" t="n">
        <f aca="false">M668*(1+IF(N$3&lt;=$O$2,$D668,$D668-($D668-$I$643)*MIN(N$3-$O$2,$Q$2)/$Q$2))</f>
        <v>2854.09350056292</v>
      </c>
      <c r="O668" s="15" t="n">
        <f aca="false">SUMPRODUCT(E668:N668,1/(1+$F$643)^$E$3:$N$3)*$E$2</f>
        <v>5885.53433841646</v>
      </c>
      <c r="P668" s="15" t="n">
        <f aca="false">N668*$E$2*(1+$I$643)/($F$643-$I$643)/(1+$F$643)^$N$3</f>
        <v>10677.1696682884</v>
      </c>
      <c r="Q668" s="15" t="n">
        <f aca="false">O668+P668</f>
        <v>16562.7040067048</v>
      </c>
      <c r="R668" s="15" t="n">
        <f aca="false">Q668-$G$2+$I$2</f>
        <v>15010.0040067048</v>
      </c>
      <c r="S668" s="40" t="n">
        <f aca="false">R668/$K$2</f>
        <v>54.5045354105262</v>
      </c>
      <c r="T668" s="41" t="n">
        <f aca="false">S668-$M$2</f>
        <v>1.45492023051474E-005</v>
      </c>
    </row>
    <row r="670" customFormat="false" ht="15" hidden="false" customHeight="false" outlineLevel="0" collapsed="false">
      <c r="A670" s="36" t="s">
        <v>199</v>
      </c>
      <c r="E670" s="5" t="s">
        <v>11</v>
      </c>
      <c r="F670" s="12" t="n">
        <f aca="false">Sensitivity!$B$14</f>
        <v>0.0735093056415221</v>
      </c>
      <c r="G670" s="5" t="s">
        <v>12</v>
      </c>
      <c r="I670" s="12" t="n">
        <f aca="false">Sensitivity!$F$9</f>
        <v>0.03</v>
      </c>
    </row>
    <row r="671" customFormat="false" ht="23.85" hidden="false" customHeight="false" outlineLevel="0" collapsed="false">
      <c r="A671" s="36" t="s">
        <v>156</v>
      </c>
      <c r="B671" s="28" t="s">
        <v>157</v>
      </c>
      <c r="C671" s="28" t="s">
        <v>158</v>
      </c>
      <c r="D671" s="28" t="s">
        <v>159</v>
      </c>
      <c r="E671" s="28" t="s">
        <v>160</v>
      </c>
      <c r="F671" s="28" t="s">
        <v>161</v>
      </c>
      <c r="G671" s="28" t="s">
        <v>162</v>
      </c>
      <c r="H671" s="28" t="s">
        <v>163</v>
      </c>
      <c r="I671" s="28" t="s">
        <v>164</v>
      </c>
      <c r="J671" s="28" t="s">
        <v>165</v>
      </c>
      <c r="K671" s="28" t="s">
        <v>166</v>
      </c>
      <c r="L671" s="28" t="s">
        <v>167</v>
      </c>
      <c r="M671" s="28" t="s">
        <v>168</v>
      </c>
      <c r="N671" s="28" t="s">
        <v>169</v>
      </c>
      <c r="O671" s="28" t="s">
        <v>170</v>
      </c>
      <c r="P671" s="28" t="s">
        <v>171</v>
      </c>
      <c r="Q671" s="28" t="s">
        <v>172</v>
      </c>
      <c r="R671" s="28" t="s">
        <v>173</v>
      </c>
      <c r="S671" s="28" t="s">
        <v>174</v>
      </c>
      <c r="T671" s="28" t="s">
        <v>175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39" t="n">
        <f aca="false">(B672+C672)/2</f>
        <v>0.25</v>
      </c>
      <c r="E672" s="15" t="n">
        <f aca="false">$C$2*(1+IF(E$3&lt;=$O$2,$D672,$D672-($D672-$I$670)*MIN(E$3-$O$2,$Q$2)/$Q$2))</f>
        <v>2312.5</v>
      </c>
      <c r="F672" s="15" t="n">
        <f aca="false">E672*(1+IF(F$3&lt;=$O$2,$D672,$D672-($D672-$I$670)*MIN(F$3-$O$2,$Q$2)/$Q$2))</f>
        <v>2890.625</v>
      </c>
      <c r="G672" s="15" t="n">
        <f aca="false">F672*(1+IF(G$3&lt;=$O$2,$D672,$D672-($D672-$I$670)*MIN(G$3-$O$2,$Q$2)/$Q$2))</f>
        <v>3613.28125</v>
      </c>
      <c r="H672" s="15" t="n">
        <f aca="false">G672*(1+IF(H$3&lt;=$O$2,$D672,$D672-($D672-$I$670)*MIN(H$3-$O$2,$Q$2)/$Q$2))</f>
        <v>4516.6015625</v>
      </c>
      <c r="I672" s="15" t="n">
        <f aca="false">H672*(1+IF(I$3&lt;=$O$2,$D672,$D672-($D672-$I$670)*MIN(I$3-$O$2,$Q$2)/$Q$2))</f>
        <v>5645.751953125</v>
      </c>
      <c r="J672" s="15" t="n">
        <f aca="false">I672*(1+IF(J$3&lt;=$O$2,$D672,$D672-($D672-$I$670)*MIN(J$3-$O$2,$Q$2)/$Q$2))</f>
        <v>6808.77685546875</v>
      </c>
      <c r="K672" s="15" t="n">
        <f aca="false">J672*(1+IF(K$3&lt;=$O$2,$D672,$D672-($D672-$I$670)*MIN(K$3-$O$2,$Q$2)/$Q$2))</f>
        <v>7911.79870605469</v>
      </c>
      <c r="L672" s="15" t="n">
        <f aca="false">K672*(1+IF(L$3&lt;=$O$2,$D672,$D672-($D672-$I$670)*MIN(L$3-$O$2,$Q$2)/$Q$2))</f>
        <v>8845.39095336914</v>
      </c>
      <c r="M672" s="15" t="n">
        <f aca="false">L672*(1+IF(M$3&lt;=$O$2,$D672,$D672-($D672-$I$670)*MIN(M$3-$O$2,$Q$2)/$Q$2))</f>
        <v>9499.94988391846</v>
      </c>
      <c r="N672" s="15" t="n">
        <f aca="false">M672*(1+IF(N$3&lt;=$O$2,$D672,$D672-($D672-$I$670)*MIN(N$3-$O$2,$Q$2)/$Q$2))</f>
        <v>9784.94838043601</v>
      </c>
      <c r="O672" s="15" t="n">
        <f aca="false">SUMPRODUCT(E672:N672,1/(1+$F$670)^$E$3:$N$3)*$E$2</f>
        <v>14054.5334203691</v>
      </c>
      <c r="P672" s="15" t="n">
        <f aca="false">N672*$E$2*(1+$I$670)/($F$670-$I$670)/(1+$F$670)^$N$3</f>
        <v>41011.2259079328</v>
      </c>
      <c r="Q672" s="15" t="n">
        <f aca="false">O672+P672</f>
        <v>55065.7593283019</v>
      </c>
      <c r="R672" s="15" t="n">
        <f aca="false">Q672-$G$2+$I$2</f>
        <v>53513.0593283019</v>
      </c>
      <c r="S672" s="40" t="n">
        <f aca="false">R672/$K$2</f>
        <v>194.317365657075</v>
      </c>
      <c r="T672" s="41" t="n">
        <f aca="false">S672-$M$2</f>
        <v>139.812844795751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39" t="n">
        <f aca="false">(B673+C673)/2</f>
        <v>-0.125</v>
      </c>
      <c r="E673" s="15" t="n">
        <f aca="false">$C$2*(1+IF(E$3&lt;=$O$2,$D673,$D673-($D673-$I$670)*MIN(E$3-$O$2,$Q$2)/$Q$2))</f>
        <v>1618.75</v>
      </c>
      <c r="F673" s="15" t="n">
        <f aca="false">E673*(1+IF(F$3&lt;=$O$2,$D673,$D673-($D673-$I$670)*MIN(F$3-$O$2,$Q$2)/$Q$2))</f>
        <v>1416.40625</v>
      </c>
      <c r="G673" s="15" t="n">
        <f aca="false">F673*(1+IF(G$3&lt;=$O$2,$D673,$D673-($D673-$I$670)*MIN(G$3-$O$2,$Q$2)/$Q$2))</f>
        <v>1239.35546875</v>
      </c>
      <c r="H673" s="15" t="n">
        <f aca="false">G673*(1+IF(H$3&lt;=$O$2,$D673,$D673-($D673-$I$670)*MIN(H$3-$O$2,$Q$2)/$Q$2))</f>
        <v>1084.43603515625</v>
      </c>
      <c r="I673" s="15" t="n">
        <f aca="false">H673*(1+IF(I$3&lt;=$O$2,$D673,$D673-($D673-$I$670)*MIN(I$3-$O$2,$Q$2)/$Q$2))</f>
        <v>948.881530761719</v>
      </c>
      <c r="J673" s="15" t="n">
        <f aca="false">I673*(1+IF(J$3&lt;=$O$2,$D673,$D673-($D673-$I$670)*MIN(J$3-$O$2,$Q$2)/$Q$2))</f>
        <v>859.686666870117</v>
      </c>
      <c r="K673" s="15" t="n">
        <f aca="false">J673*(1+IF(K$3&lt;=$O$2,$D673,$D673-($D673-$I$670)*MIN(K$3-$O$2,$Q$2)/$Q$2))</f>
        <v>805.5264068573</v>
      </c>
      <c r="L673" s="15" t="n">
        <f aca="false">K673*(1+IF(L$3&lt;=$O$2,$D673,$D673-($D673-$I$670)*MIN(L$3-$O$2,$Q$2)/$Q$2))</f>
        <v>779.749561837866</v>
      </c>
      <c r="M673" s="15" t="n">
        <f aca="false">L673*(1+IF(M$3&lt;=$O$2,$D673,$D673-($D673-$I$670)*MIN(M$3-$O$2,$Q$2)/$Q$2))</f>
        <v>778.969812276028</v>
      </c>
      <c r="N673" s="15" t="n">
        <f aca="false">M673*(1+IF(N$3&lt;=$O$2,$D673,$D673-($D673-$I$670)*MIN(N$3-$O$2,$Q$2)/$Q$2))</f>
        <v>802.338906644309</v>
      </c>
      <c r="O673" s="15" t="n">
        <f aca="false">SUMPRODUCT(E673:N673,1/(1+$F$670)^$E$3:$N$3)*$E$2</f>
        <v>2706.61548770566</v>
      </c>
      <c r="P673" s="15" t="n">
        <f aca="false">N673*$E$2*(1+$I$670)/($F$670-$I$670)/(1+$F$670)^$N$3</f>
        <v>3362.80794499678</v>
      </c>
      <c r="Q673" s="15" t="n">
        <f aca="false">O673+P673</f>
        <v>6069.42343270244</v>
      </c>
      <c r="R673" s="15" t="n">
        <f aca="false">Q673-$G$2+$I$2</f>
        <v>4516.72343270244</v>
      </c>
      <c r="S673" s="40" t="n">
        <f aca="false">R673/$K$2</f>
        <v>16.4011889781853</v>
      </c>
      <c r="T673" s="41" t="n">
        <f aca="false">S673-$M$2</f>
        <v>-38.1033318831387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39" t="n">
        <f aca="false">(B674+C674)/2</f>
        <v>0.0625</v>
      </c>
      <c r="E674" s="15" t="n">
        <f aca="false">$C$2*(1+IF(E$3&lt;=$O$2,$D674,$D674-($D674-$I$670)*MIN(E$3-$O$2,$Q$2)/$Q$2))</f>
        <v>1965.625</v>
      </c>
      <c r="F674" s="15" t="n">
        <f aca="false">E674*(1+IF(F$3&lt;=$O$2,$D674,$D674-($D674-$I$670)*MIN(F$3-$O$2,$Q$2)/$Q$2))</f>
        <v>2088.4765625</v>
      </c>
      <c r="G674" s="15" t="n">
        <f aca="false">F674*(1+IF(G$3&lt;=$O$2,$D674,$D674-($D674-$I$670)*MIN(G$3-$O$2,$Q$2)/$Q$2))</f>
        <v>2219.00634765625</v>
      </c>
      <c r="H674" s="15" t="n">
        <f aca="false">G674*(1+IF(H$3&lt;=$O$2,$D674,$D674-($D674-$I$670)*MIN(H$3-$O$2,$Q$2)/$Q$2))</f>
        <v>2357.69424438477</v>
      </c>
      <c r="I674" s="15" t="n">
        <f aca="false">H674*(1+IF(I$3&lt;=$O$2,$D674,$D674-($D674-$I$670)*MIN(I$3-$O$2,$Q$2)/$Q$2))</f>
        <v>2505.05013465881</v>
      </c>
      <c r="J674" s="15" t="n">
        <f aca="false">I674*(1+IF(J$3&lt;=$O$2,$D674,$D674-($D674-$I$670)*MIN(J$3-$O$2,$Q$2)/$Q$2))</f>
        <v>2645.33294219971</v>
      </c>
      <c r="K674" s="15" t="n">
        <f aca="false">J674*(1+IF(K$3&lt;=$O$2,$D674,$D674-($D674-$I$670)*MIN(K$3-$O$2,$Q$2)/$Q$2))</f>
        <v>2776.27692283859</v>
      </c>
      <c r="L674" s="15" t="n">
        <f aca="false">K674*(1+IF(L$3&lt;=$O$2,$D674,$D674-($D674-$I$670)*MIN(L$3-$O$2,$Q$2)/$Q$2))</f>
        <v>2895.65683052065</v>
      </c>
      <c r="M674" s="15" t="n">
        <f aca="false">L674*(1+IF(M$3&lt;=$O$2,$D674,$D674-($D674-$I$670)*MIN(M$3-$O$2,$Q$2)/$Q$2))</f>
        <v>3001.34830483466</v>
      </c>
      <c r="N674" s="15" t="n">
        <f aca="false">M674*(1+IF(N$3&lt;=$O$2,$D674,$D674-($D674-$I$670)*MIN(N$3-$O$2,$Q$2)/$Q$2))</f>
        <v>3091.3887539797</v>
      </c>
      <c r="O674" s="15" t="n">
        <f aca="false">SUMPRODUCT(E674:N674,1/(1+$F$670)^$E$3:$N$3)*$E$2</f>
        <v>6166.4536299494</v>
      </c>
      <c r="P674" s="15" t="n">
        <f aca="false">N674*$E$2*(1+$I$670)/($F$670-$I$670)/(1+$F$670)^$N$3</f>
        <v>12956.8023896979</v>
      </c>
      <c r="Q674" s="15" t="n">
        <f aca="false">O674+P674</f>
        <v>19123.2560196473</v>
      </c>
      <c r="R674" s="15" t="n">
        <f aca="false">Q674-$G$2+$I$2</f>
        <v>17570.5560196473</v>
      </c>
      <c r="S674" s="40" t="n">
        <f aca="false">R674/$K$2</f>
        <v>63.8024475095223</v>
      </c>
      <c r="T674" s="41" t="n">
        <f aca="false">S674-$M$2</f>
        <v>9.29792664819835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-0.125</v>
      </c>
      <c r="C675" s="25" t="n">
        <f aca="false">IF(T674&gt;0,D674,C674)</f>
        <v>0.0625</v>
      </c>
      <c r="D675" s="39" t="n">
        <f aca="false">(B675+C675)/2</f>
        <v>-0.03125</v>
      </c>
      <c r="E675" s="15" t="n">
        <f aca="false">$C$2*(1+IF(E$3&lt;=$O$2,$D675,$D675-($D675-$I$670)*MIN(E$3-$O$2,$Q$2)/$Q$2))</f>
        <v>1792.1875</v>
      </c>
      <c r="F675" s="15" t="n">
        <f aca="false">E675*(1+IF(F$3&lt;=$O$2,$D675,$D675-($D675-$I$670)*MIN(F$3-$O$2,$Q$2)/$Q$2))</f>
        <v>1736.181640625</v>
      </c>
      <c r="G675" s="15" t="n">
        <f aca="false">F675*(1+IF(G$3&lt;=$O$2,$D675,$D675-($D675-$I$670)*MIN(G$3-$O$2,$Q$2)/$Q$2))</f>
        <v>1681.92596435547</v>
      </c>
      <c r="H675" s="15" t="n">
        <f aca="false">G675*(1+IF(H$3&lt;=$O$2,$D675,$D675-($D675-$I$670)*MIN(H$3-$O$2,$Q$2)/$Q$2))</f>
        <v>1629.36577796936</v>
      </c>
      <c r="I675" s="15" t="n">
        <f aca="false">H675*(1+IF(I$3&lt;=$O$2,$D675,$D675-($D675-$I$670)*MIN(I$3-$O$2,$Q$2)/$Q$2))</f>
        <v>1578.44809740782</v>
      </c>
      <c r="J675" s="15" t="n">
        <f aca="false">I675*(1+IF(J$3&lt;=$O$2,$D675,$D675-($D675-$I$670)*MIN(J$3-$O$2,$Q$2)/$Q$2))</f>
        <v>1548.45758355707</v>
      </c>
      <c r="K675" s="15" t="n">
        <f aca="false">J675*(1+IF(K$3&lt;=$O$2,$D675,$D675-($D675-$I$670)*MIN(K$3-$O$2,$Q$2)/$Q$2))</f>
        <v>1538.00549486806</v>
      </c>
      <c r="L675" s="15" t="n">
        <f aca="false">K675*(1+IF(L$3&lt;=$O$2,$D675,$D675-($D675-$I$670)*MIN(L$3-$O$2,$Q$2)/$Q$2))</f>
        <v>1546.46452508983</v>
      </c>
      <c r="M675" s="15" t="n">
        <f aca="false">L675*(1+IF(M$3&lt;=$O$2,$D675,$D675-($D675-$I$670)*MIN(M$3-$O$2,$Q$2)/$Q$2))</f>
        <v>1573.91427041018</v>
      </c>
      <c r="N675" s="15" t="n">
        <f aca="false">M675*(1+IF(N$3&lt;=$O$2,$D675,$D675-($D675-$I$670)*MIN(N$3-$O$2,$Q$2)/$Q$2))</f>
        <v>1621.13169852248</v>
      </c>
      <c r="O675" s="15" t="n">
        <f aca="false">SUMPRODUCT(E675:N675,1/(1+$F$670)^$E$3:$N$3)*$E$2</f>
        <v>4074.80483420162</v>
      </c>
      <c r="P675" s="15" t="n">
        <f aca="false">N675*$E$2*(1+$I$670)/($F$670-$I$670)/(1+$F$670)^$N$3</f>
        <v>6794.57833906876</v>
      </c>
      <c r="Q675" s="15" t="n">
        <f aca="false">O675+P675</f>
        <v>10869.3831732704</v>
      </c>
      <c r="R675" s="15" t="n">
        <f aca="false">Q675-$G$2+$I$2</f>
        <v>9316.68317327038</v>
      </c>
      <c r="S675" s="40" t="n">
        <f aca="false">R675/$K$2</f>
        <v>33.8308695786716</v>
      </c>
      <c r="T675" s="41" t="n">
        <f aca="false">S675-$M$2</f>
        <v>-20.6736512826523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-0.03125</v>
      </c>
      <c r="C676" s="25" t="n">
        <f aca="false">IF(T675&gt;0,D675,C675)</f>
        <v>0.0625</v>
      </c>
      <c r="D676" s="39" t="n">
        <f aca="false">(B676+C676)/2</f>
        <v>0.015625</v>
      </c>
      <c r="E676" s="15" t="n">
        <f aca="false">$C$2*(1+IF(E$3&lt;=$O$2,$D676,$D676-($D676-$I$670)*MIN(E$3-$O$2,$Q$2)/$Q$2))</f>
        <v>1878.90625</v>
      </c>
      <c r="F676" s="15" t="n">
        <f aca="false">E676*(1+IF(F$3&lt;=$O$2,$D676,$D676-($D676-$I$670)*MIN(F$3-$O$2,$Q$2)/$Q$2))</f>
        <v>1908.26416015625</v>
      </c>
      <c r="G676" s="15" t="n">
        <f aca="false">F676*(1+IF(G$3&lt;=$O$2,$D676,$D676-($D676-$I$670)*MIN(G$3-$O$2,$Q$2)/$Q$2))</f>
        <v>1938.08078765869</v>
      </c>
      <c r="H676" s="15" t="n">
        <f aca="false">G676*(1+IF(H$3&lt;=$O$2,$D676,$D676-($D676-$I$670)*MIN(H$3-$O$2,$Q$2)/$Q$2))</f>
        <v>1968.36329996586</v>
      </c>
      <c r="I676" s="15" t="n">
        <f aca="false">H676*(1+IF(I$3&lt;=$O$2,$D676,$D676-($D676-$I$670)*MIN(I$3-$O$2,$Q$2)/$Q$2))</f>
        <v>1999.11897652783</v>
      </c>
      <c r="J676" s="15" t="n">
        <f aca="false">I676*(1+IF(J$3&lt;=$O$2,$D676,$D676-($D676-$I$670)*MIN(J$3-$O$2,$Q$2)/$Q$2))</f>
        <v>2036.10267759359</v>
      </c>
      <c r="K676" s="15" t="n">
        <f aca="false">J676*(1+IF(K$3&lt;=$O$2,$D676,$D676-($D676-$I$670)*MIN(K$3-$O$2,$Q$2)/$Q$2))</f>
        <v>2079.62437232715</v>
      </c>
      <c r="L676" s="15" t="n">
        <f aca="false">K676*(1+IF(L$3&lt;=$O$2,$D676,$D676-($D676-$I$670)*MIN(L$3-$O$2,$Q$2)/$Q$2))</f>
        <v>2130.05526335609</v>
      </c>
      <c r="M676" s="15" t="n">
        <f aca="false">L676*(1+IF(M$3&lt;=$O$2,$D676,$D676-($D676-$I$670)*MIN(M$3-$O$2,$Q$2)/$Q$2))</f>
        <v>2187.83301237462</v>
      </c>
      <c r="N676" s="15" t="n">
        <f aca="false">M676*(1+IF(N$3&lt;=$O$2,$D676,$D676-($D676-$I$670)*MIN(N$3-$O$2,$Q$2)/$Q$2))</f>
        <v>2253.46800274586</v>
      </c>
      <c r="O676" s="15" t="n">
        <f aca="false">SUMPRODUCT(E676:N676,1/(1+$F$670)^$E$3:$N$3)*$E$2</f>
        <v>5011.16905947644</v>
      </c>
      <c r="P676" s="15" t="n">
        <f aca="false">N676*$E$2*(1+$I$670)/($F$670-$I$670)/(1+$F$670)^$N$3</f>
        <v>9444.86181671513</v>
      </c>
      <c r="Q676" s="15" t="n">
        <f aca="false">O676+P676</f>
        <v>14456.0308761916</v>
      </c>
      <c r="R676" s="15" t="n">
        <f aca="false">Q676-$G$2+$I$2</f>
        <v>12903.3308761916</v>
      </c>
      <c r="S676" s="40" t="n">
        <f aca="false">R676/$K$2</f>
        <v>46.8547546250466</v>
      </c>
      <c r="T676" s="41" t="n">
        <f aca="false">S676-$M$2</f>
        <v>-7.64976623627738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0.015625</v>
      </c>
      <c r="C677" s="25" t="n">
        <f aca="false">IF(T676&gt;0,D676,C676)</f>
        <v>0.0625</v>
      </c>
      <c r="D677" s="39" t="n">
        <f aca="false">(B677+C677)/2</f>
        <v>0.0390625</v>
      </c>
      <c r="E677" s="15" t="n">
        <f aca="false">$C$2*(1+IF(E$3&lt;=$O$2,$D677,$D677-($D677-$I$670)*MIN(E$3-$O$2,$Q$2)/$Q$2))</f>
        <v>1922.265625</v>
      </c>
      <c r="F677" s="15" t="n">
        <f aca="false">E677*(1+IF(F$3&lt;=$O$2,$D677,$D677-($D677-$I$670)*MIN(F$3-$O$2,$Q$2)/$Q$2))</f>
        <v>1997.35412597656</v>
      </c>
      <c r="G677" s="15" t="n">
        <f aca="false">F677*(1+IF(G$3&lt;=$O$2,$D677,$D677-($D677-$I$670)*MIN(G$3-$O$2,$Q$2)/$Q$2))</f>
        <v>2075.37577152252</v>
      </c>
      <c r="H677" s="15" t="n">
        <f aca="false">G677*(1+IF(H$3&lt;=$O$2,$D677,$D677-($D677-$I$670)*MIN(H$3-$O$2,$Q$2)/$Q$2))</f>
        <v>2156.44513759762</v>
      </c>
      <c r="I677" s="15" t="n">
        <f aca="false">H677*(1+IF(I$3&lt;=$O$2,$D677,$D677-($D677-$I$670)*MIN(I$3-$O$2,$Q$2)/$Q$2))</f>
        <v>2240.68127578503</v>
      </c>
      <c r="J677" s="15" t="n">
        <f aca="false">I677*(1+IF(J$3&lt;=$O$2,$D677,$D677-($D677-$I$670)*MIN(J$3-$O$2,$Q$2)/$Q$2))</f>
        <v>2324.14665330802</v>
      </c>
      <c r="K677" s="15" t="n">
        <f aca="false">J677*(1+IF(K$3&lt;=$O$2,$D677,$D677-($D677-$I$670)*MIN(K$3-$O$2,$Q$2)/$Q$2))</f>
        <v>2406.50860033462</v>
      </c>
      <c r="L677" s="15" t="n">
        <f aca="false">K677*(1+IF(L$3&lt;=$O$2,$D677,$D677-($D677-$I$670)*MIN(L$3-$O$2,$Q$2)/$Q$2))</f>
        <v>2487.42745202087</v>
      </c>
      <c r="M677" s="15" t="n">
        <f aca="false">L677*(1+IF(M$3&lt;=$O$2,$D677,$D677-($D677-$I$670)*MIN(M$3-$O$2,$Q$2)/$Q$2))</f>
        <v>2566.55873783829</v>
      </c>
      <c r="N677" s="15" t="n">
        <f aca="false">M677*(1+IF(N$3&lt;=$O$2,$D677,$D677-($D677-$I$670)*MIN(N$3-$O$2,$Q$2)/$Q$2))</f>
        <v>2643.55549997344</v>
      </c>
      <c r="O677" s="15" t="n">
        <f aca="false">SUMPRODUCT(E677:N677,1/(1+$F$670)^$E$3:$N$3)*$E$2</f>
        <v>5558.68932293833</v>
      </c>
      <c r="P677" s="15" t="n">
        <f aca="false">N677*$E$2*(1+$I$670)/($F$670-$I$670)/(1+$F$670)^$N$3</f>
        <v>11079.818471637</v>
      </c>
      <c r="Q677" s="15" t="n">
        <f aca="false">O677+P677</f>
        <v>16638.5077945753</v>
      </c>
      <c r="R677" s="15" t="n">
        <f aca="false">Q677-$G$2+$I$2</f>
        <v>15085.8077945753</v>
      </c>
      <c r="S677" s="40" t="n">
        <f aca="false">R677/$K$2</f>
        <v>54.7797951798369</v>
      </c>
      <c r="T677" s="41" t="n">
        <f aca="false">S677-$M$2</f>
        <v>0.275274318512963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0.015625</v>
      </c>
      <c r="C678" s="25" t="n">
        <f aca="false">IF(T677&gt;0,D677,C677)</f>
        <v>0.0390625</v>
      </c>
      <c r="D678" s="39" t="n">
        <f aca="false">(B678+C678)/2</f>
        <v>0.02734375</v>
      </c>
      <c r="E678" s="15" t="n">
        <f aca="false">$C$2*(1+IF(E$3&lt;=$O$2,$D678,$D678-($D678-$I$670)*MIN(E$3-$O$2,$Q$2)/$Q$2))</f>
        <v>1900.5859375</v>
      </c>
      <c r="F678" s="15" t="n">
        <f aca="false">E678*(1+IF(F$3&lt;=$O$2,$D678,$D678-($D678-$I$670)*MIN(F$3-$O$2,$Q$2)/$Q$2))</f>
        <v>1952.55508422852</v>
      </c>
      <c r="G678" s="15" t="n">
        <f aca="false">F678*(1+IF(G$3&lt;=$O$2,$D678,$D678-($D678-$I$670)*MIN(G$3-$O$2,$Q$2)/$Q$2))</f>
        <v>2005.94526231289</v>
      </c>
      <c r="H678" s="15" t="n">
        <f aca="false">G678*(1+IF(H$3&lt;=$O$2,$D678,$D678-($D678-$I$670)*MIN(H$3-$O$2,$Q$2)/$Q$2))</f>
        <v>2060.79532807926</v>
      </c>
      <c r="I678" s="15" t="n">
        <f aca="false">H678*(1+IF(I$3&lt;=$O$2,$D678,$D678-($D678-$I$670)*MIN(I$3-$O$2,$Q$2)/$Q$2))</f>
        <v>2117.14520033142</v>
      </c>
      <c r="J678" s="15" t="n">
        <f aca="false">I678*(1+IF(J$3&lt;=$O$2,$D678,$D678-($D678-$I$670)*MIN(J$3-$O$2,$Q$2)/$Q$2))</f>
        <v>2176.16062279066</v>
      </c>
      <c r="K678" s="15" t="n">
        <f aca="false">J678*(1+IF(K$3&lt;=$O$2,$D678,$D678-($D678-$I$670)*MIN(K$3-$O$2,$Q$2)/$Q$2))</f>
        <v>2237.97718548181</v>
      </c>
      <c r="L678" s="15" t="n">
        <f aca="false">K678*(1+IF(L$3&lt;=$O$2,$D678,$D678-($D678-$I$670)*MIN(L$3-$O$2,$Q$2)/$Q$2))</f>
        <v>2302.73865028669</v>
      </c>
      <c r="M678" s="15" t="n">
        <f aca="false">L678*(1+IF(M$3&lt;=$O$2,$D678,$D678-($D678-$I$670)*MIN(M$3-$O$2,$Q$2)/$Q$2))</f>
        <v>2370.59747988733</v>
      </c>
      <c r="N678" s="15" t="n">
        <f aca="false">M678*(1+IF(N$3&lt;=$O$2,$D678,$D678-($D678-$I$670)*MIN(N$3-$O$2,$Q$2)/$Q$2))</f>
        <v>2441.71540428395</v>
      </c>
      <c r="O678" s="15" t="n">
        <f aca="false">SUMPRODUCT(E678:N678,1/(1+$F$670)^$E$3:$N$3)*$E$2</f>
        <v>5277.76180848393</v>
      </c>
      <c r="P678" s="15" t="n">
        <f aca="false">N678*$E$2*(1+$I$670)/($F$670-$I$670)/(1+$F$670)^$N$3</f>
        <v>10233.8549121203</v>
      </c>
      <c r="Q678" s="15" t="n">
        <f aca="false">O678+P678</f>
        <v>15511.6167206042</v>
      </c>
      <c r="R678" s="15" t="n">
        <f aca="false">Q678-$G$2+$I$2</f>
        <v>13958.9167206042</v>
      </c>
      <c r="S678" s="40" t="n">
        <f aca="false">R678/$K$2</f>
        <v>50.687812631556</v>
      </c>
      <c r="T678" s="41" t="n">
        <f aca="false">S678-$M$2</f>
        <v>-3.81670822976793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0.02734375</v>
      </c>
      <c r="C679" s="25" t="n">
        <f aca="false">IF(T678&gt;0,D678,C678)</f>
        <v>0.0390625</v>
      </c>
      <c r="D679" s="39" t="n">
        <f aca="false">(B679+C679)/2</f>
        <v>0.033203125</v>
      </c>
      <c r="E679" s="15" t="n">
        <f aca="false">$C$2*(1+IF(E$3&lt;=$O$2,$D679,$D679-($D679-$I$670)*MIN(E$3-$O$2,$Q$2)/$Q$2))</f>
        <v>1911.42578125</v>
      </c>
      <c r="F679" s="15" t="n">
        <f aca="false">E679*(1+IF(F$3&lt;=$O$2,$D679,$D679-($D679-$I$670)*MIN(F$3-$O$2,$Q$2)/$Q$2))</f>
        <v>1974.89109039307</v>
      </c>
      <c r="G679" s="15" t="n">
        <f aca="false">F679*(1+IF(G$3&lt;=$O$2,$D679,$D679-($D679-$I$670)*MIN(G$3-$O$2,$Q$2)/$Q$2))</f>
        <v>2040.46364612877</v>
      </c>
      <c r="H679" s="15" t="n">
        <f aca="false">G679*(1+IF(H$3&lt;=$O$2,$D679,$D679-($D679-$I$670)*MIN(H$3-$O$2,$Q$2)/$Q$2))</f>
        <v>2108.21341562914</v>
      </c>
      <c r="I679" s="15" t="n">
        <f aca="false">H679*(1+IF(I$3&lt;=$O$2,$D679,$D679-($D679-$I$670)*MIN(I$3-$O$2,$Q$2)/$Q$2))</f>
        <v>2178.21268919495</v>
      </c>
      <c r="J679" s="15" t="n">
        <f aca="false">I679*(1+IF(J$3&lt;=$O$2,$D679,$D679-($D679-$I$670)*MIN(J$3-$O$2,$Q$2)/$Q$2))</f>
        <v>2249.14073988687</v>
      </c>
      <c r="K679" s="15" t="n">
        <f aca="false">J679*(1+IF(K$3&lt;=$O$2,$D679,$D679-($D679-$I$670)*MIN(K$3-$O$2,$Q$2)/$Q$2))</f>
        <v>2320.93752944294</v>
      </c>
      <c r="L679" s="15" t="n">
        <f aca="false">K679*(1+IF(L$3&lt;=$O$2,$D679,$D679-($D679-$I$670)*MIN(L$3-$O$2,$Q$2)/$Q$2))</f>
        <v>2393.53935653583</v>
      </c>
      <c r="M679" s="15" t="n">
        <f aca="false">L679*(1+IF(M$3&lt;=$O$2,$D679,$D679-($D679-$I$670)*MIN(M$3-$O$2,$Q$2)/$Q$2))</f>
        <v>2466.87889838218</v>
      </c>
      <c r="N679" s="15" t="n">
        <f aca="false">M679*(1+IF(N$3&lt;=$O$2,$D679,$D679-($D679-$I$670)*MIN(N$3-$O$2,$Q$2)/$Q$2))</f>
        <v>2540.88526533365</v>
      </c>
      <c r="O679" s="15" t="n">
        <f aca="false">SUMPRODUCT(E679:N679,1/(1+$F$670)^$E$3:$N$3)*$E$2</f>
        <v>5416.38953102576</v>
      </c>
      <c r="P679" s="15" t="n">
        <f aca="false">N679*$E$2*(1+$I$670)/($F$670-$I$670)/(1+$F$670)^$N$3</f>
        <v>10649.5012105616</v>
      </c>
      <c r="Q679" s="15" t="n">
        <f aca="false">O679+P679</f>
        <v>16065.8907415874</v>
      </c>
      <c r="R679" s="15" t="n">
        <f aca="false">Q679-$G$2+$I$2</f>
        <v>14513.1907415874</v>
      </c>
      <c r="S679" s="40" t="n">
        <f aca="false">R679/$K$2</f>
        <v>52.7005001691687</v>
      </c>
      <c r="T679" s="41" t="n">
        <f aca="false">S679-$M$2</f>
        <v>-1.80402069215523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0.033203125</v>
      </c>
      <c r="C680" s="25" t="n">
        <f aca="false">IF(T679&gt;0,D679,C679)</f>
        <v>0.0390625</v>
      </c>
      <c r="D680" s="39" t="n">
        <f aca="false">(B680+C680)/2</f>
        <v>0.0361328125</v>
      </c>
      <c r="E680" s="15" t="n">
        <f aca="false">$C$2*(1+IF(E$3&lt;=$O$2,$D680,$D680-($D680-$I$670)*MIN(E$3-$O$2,$Q$2)/$Q$2))</f>
        <v>1916.845703125</v>
      </c>
      <c r="F680" s="15" t="n">
        <f aca="false">E680*(1+IF(F$3&lt;=$O$2,$D680,$D680-($D680-$I$670)*MIN(F$3-$O$2,$Q$2)/$Q$2))</f>
        <v>1986.10672950745</v>
      </c>
      <c r="G680" s="15" t="n">
        <f aca="false">F680*(1+IF(G$3&lt;=$O$2,$D680,$D680-($D680-$I$670)*MIN(G$3-$O$2,$Q$2)/$Q$2))</f>
        <v>2057.87035156973</v>
      </c>
      <c r="H680" s="15" t="n">
        <f aca="false">G680*(1+IF(H$3&lt;=$O$2,$D680,$D680-($D680-$I$670)*MIN(H$3-$O$2,$Q$2)/$Q$2))</f>
        <v>2132.22699513231</v>
      </c>
      <c r="I680" s="15" t="n">
        <f aca="false">H680*(1+IF(I$3&lt;=$O$2,$D680,$D680-($D680-$I$670)*MIN(I$3-$O$2,$Q$2)/$Q$2))</f>
        <v>2209.27035335486</v>
      </c>
      <c r="J680" s="15" t="n">
        <f aca="false">I680*(1+IF(J$3&lt;=$O$2,$D680,$D680-($D680-$I$670)*MIN(J$3-$O$2,$Q$2)/$Q$2))</f>
        <v>2286.38769662665</v>
      </c>
      <c r="K680" s="15" t="n">
        <f aca="false">J680*(1+IF(K$3&lt;=$O$2,$D680,$D680-($D680-$I$670)*MIN(K$3-$O$2,$Q$2)/$Q$2))</f>
        <v>2363.39251975288</v>
      </c>
      <c r="L680" s="15" t="n">
        <f aca="false">K680*(1+IF(L$3&lt;=$O$2,$D680,$D680-($D680-$I$670)*MIN(L$3-$O$2,$Q$2)/$Q$2))</f>
        <v>2440.09199262049</v>
      </c>
      <c r="M680" s="15" t="n">
        <f aca="false">L680*(1+IF(M$3&lt;=$O$2,$D680,$D680-($D680-$I$670)*MIN(M$3-$O$2,$Q$2)/$Q$2))</f>
        <v>2516.2876777338</v>
      </c>
      <c r="N680" s="15" t="n">
        <f aca="false">M680*(1+IF(N$3&lt;=$O$2,$D680,$D680-($D680-$I$670)*MIN(N$3-$O$2,$Q$2)/$Q$2))</f>
        <v>2591.77630806582</v>
      </c>
      <c r="O680" s="15" t="n">
        <f aca="false">SUMPRODUCT(E680:N680,1/(1+$F$670)^$E$3:$N$3)*$E$2</f>
        <v>5487.07479122381</v>
      </c>
      <c r="P680" s="15" t="n">
        <f aca="false">N680*$E$2*(1+$I$670)/($F$670-$I$670)/(1+$F$670)^$N$3</f>
        <v>10862.7986107147</v>
      </c>
      <c r="Q680" s="15" t="n">
        <f aca="false">O680+P680</f>
        <v>16349.8734019385</v>
      </c>
      <c r="R680" s="15" t="n">
        <f aca="false">Q680-$G$2+$I$2</f>
        <v>14797.1734019385</v>
      </c>
      <c r="S680" s="40" t="n">
        <f aca="false">R680/$K$2</f>
        <v>53.731701957001</v>
      </c>
      <c r="T680" s="41" t="n">
        <f aca="false">S680-$M$2</f>
        <v>-0.772818904322946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0.0361328125</v>
      </c>
      <c r="C681" s="25" t="n">
        <f aca="false">IF(T680&gt;0,D680,C680)</f>
        <v>0.0390625</v>
      </c>
      <c r="D681" s="39" t="n">
        <f aca="false">(B681+C681)/2</f>
        <v>0.03759765625</v>
      </c>
      <c r="E681" s="15" t="n">
        <f aca="false">$C$2*(1+IF(E$3&lt;=$O$2,$D681,$D681-($D681-$I$670)*MIN(E$3-$O$2,$Q$2)/$Q$2))</f>
        <v>1919.5556640625</v>
      </c>
      <c r="F681" s="15" t="n">
        <f aca="false">E681*(1+IF(F$3&lt;=$O$2,$D681,$D681-($D681-$I$670)*MIN(F$3-$O$2,$Q$2)/$Q$2))</f>
        <v>1991.72645807266</v>
      </c>
      <c r="G681" s="15" t="n">
        <f aca="false">F681*(1+IF(G$3&lt;=$O$2,$D681,$D681-($D681-$I$670)*MIN(G$3-$O$2,$Q$2)/$Q$2))</f>
        <v>2066.61070478731</v>
      </c>
      <c r="H681" s="15" t="n">
        <f aca="false">G681*(1+IF(H$3&lt;=$O$2,$D681,$D681-($D681-$I$670)*MIN(H$3-$O$2,$Q$2)/$Q$2))</f>
        <v>2144.31042366847</v>
      </c>
      <c r="I681" s="15" t="n">
        <f aca="false">H681*(1+IF(I$3&lt;=$O$2,$D681,$D681-($D681-$I$670)*MIN(I$3-$O$2,$Q$2)/$Q$2))</f>
        <v>2224.93146987085</v>
      </c>
      <c r="J681" s="15" t="n">
        <f aca="false">I681*(1+IF(J$3&lt;=$O$2,$D681,$D681-($D681-$I$670)*MIN(J$3-$O$2,$Q$2)/$Q$2))</f>
        <v>2305.20282555729</v>
      </c>
      <c r="K681" s="15" t="n">
        <f aca="false">J681*(1+IF(K$3&lt;=$O$2,$D681,$D681-($D681-$I$670)*MIN(K$3-$O$2,$Q$2)/$Q$2))</f>
        <v>2384.86739351707</v>
      </c>
      <c r="L681" s="15" t="n">
        <f aca="false">K681*(1+IF(L$3&lt;=$O$2,$D681,$D681-($D681-$I$670)*MIN(L$3-$O$2,$Q$2)/$Q$2))</f>
        <v>2463.66117638569</v>
      </c>
      <c r="M681" s="15" t="n">
        <f aca="false">L681*(1+IF(M$3&lt;=$O$2,$D681,$D681-($D681-$I$670)*MIN(M$3-$O$2,$Q$2)/$Q$2))</f>
        <v>2541.31462182419</v>
      </c>
      <c r="N681" s="15" t="n">
        <f aca="false">M681*(1+IF(N$3&lt;=$O$2,$D681,$D681-($D681-$I$670)*MIN(N$3-$O$2,$Q$2)/$Q$2))</f>
        <v>2617.55406047892</v>
      </c>
      <c r="O681" s="15" t="n">
        <f aca="false">SUMPRODUCT(E681:N681,1/(1+$F$670)^$E$3:$N$3)*$E$2</f>
        <v>5522.76518820392</v>
      </c>
      <c r="P681" s="15" t="n">
        <f aca="false">N681*$E$2*(1+$I$670)/($F$670-$I$670)/(1+$F$670)^$N$3</f>
        <v>10970.8397762385</v>
      </c>
      <c r="Q681" s="15" t="n">
        <f aca="false">O681+P681</f>
        <v>16493.6049644424</v>
      </c>
      <c r="R681" s="15" t="n">
        <f aca="false">Q681-$G$2+$I$2</f>
        <v>14940.9049644424</v>
      </c>
      <c r="S681" s="40" t="n">
        <f aca="false">R681/$K$2</f>
        <v>54.2536220067629</v>
      </c>
      <c r="T681" s="41" t="n">
        <f aca="false">S681-$M$2</f>
        <v>-0.250898854561065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0.03759765625</v>
      </c>
      <c r="C682" s="25" t="n">
        <f aca="false">IF(T681&gt;0,D681,C681)</f>
        <v>0.0390625</v>
      </c>
      <c r="D682" s="39" t="n">
        <f aca="false">(B682+C682)/2</f>
        <v>0.038330078125</v>
      </c>
      <c r="E682" s="15" t="n">
        <f aca="false">$C$2*(1+IF(E$3&lt;=$O$2,$D682,$D682-($D682-$I$670)*MIN(E$3-$O$2,$Q$2)/$Q$2))</f>
        <v>1920.91064453125</v>
      </c>
      <c r="F682" s="15" t="n">
        <f aca="false">E682*(1+IF(F$3&lt;=$O$2,$D682,$D682-($D682-$I$670)*MIN(F$3-$O$2,$Q$2)/$Q$2))</f>
        <v>1994.53929960728</v>
      </c>
      <c r="G682" s="15" t="n">
        <f aca="false">F682*(1+IF(G$3&lt;=$O$2,$D682,$D682-($D682-$I$670)*MIN(G$3-$O$2,$Q$2)/$Q$2))</f>
        <v>2070.99014678461</v>
      </c>
      <c r="H682" s="15" t="n">
        <f aca="false">G682*(1+IF(H$3&lt;=$O$2,$D682,$D682-($D682-$I$670)*MIN(H$3-$O$2,$Q$2)/$Q$2))</f>
        <v>2150.37136090697</v>
      </c>
      <c r="I682" s="15" t="n">
        <f aca="false">H682*(1+IF(I$3&lt;=$O$2,$D682,$D682-($D682-$I$670)*MIN(I$3-$O$2,$Q$2)/$Q$2))</f>
        <v>2232.79526316829</v>
      </c>
      <c r="J682" s="15" t="n">
        <f aca="false">I682*(1+IF(J$3&lt;=$O$2,$D682,$D682-($D682-$I$670)*MIN(J$3-$O$2,$Q$2)/$Q$2))</f>
        <v>2314.6586082468</v>
      </c>
      <c r="K682" s="15" t="n">
        <f aca="false">J682*(1+IF(K$3&lt;=$O$2,$D682,$D682-($D682-$I$670)*MIN(K$3-$O$2,$Q$2)/$Q$2))</f>
        <v>2395.66713871784</v>
      </c>
      <c r="L682" s="15" t="n">
        <f aca="false">K682*(1+IF(L$3&lt;=$O$2,$D682,$D682-($D682-$I$670)*MIN(L$3-$O$2,$Q$2)/$Q$2))</f>
        <v>2475.51959065018</v>
      </c>
      <c r="M682" s="15" t="n">
        <f aca="false">L682*(1+IF(M$3&lt;=$O$2,$D682,$D682-($D682-$I$670)*MIN(M$3-$O$2,$Q$2)/$Q$2))</f>
        <v>2553.90943268771</v>
      </c>
      <c r="N682" s="15" t="n">
        <f aca="false">M682*(1+IF(N$3&lt;=$O$2,$D682,$D682-($D682-$I$670)*MIN(N$3-$O$2,$Q$2)/$Q$2))</f>
        <v>2630.52671566834</v>
      </c>
      <c r="O682" s="15" t="n">
        <f aca="false">SUMPRODUCT(E682:N682,1/(1+$F$670)^$E$3:$N$3)*$E$2</f>
        <v>5540.69794919747</v>
      </c>
      <c r="P682" s="15" t="n">
        <f aca="false">N682*$E$2*(1+$I$670)/($F$670-$I$670)/(1+$F$670)^$N$3</f>
        <v>11025.2114981847</v>
      </c>
      <c r="Q682" s="15" t="n">
        <f aca="false">O682+P682</f>
        <v>16565.9094473822</v>
      </c>
      <c r="R682" s="15" t="n">
        <f aca="false">Q682-$G$2+$I$2</f>
        <v>15013.2094473822</v>
      </c>
      <c r="S682" s="40" t="n">
        <f aca="false">R682/$K$2</f>
        <v>54.5161750513169</v>
      </c>
      <c r="T682" s="41" t="n">
        <f aca="false">S682-$M$2</f>
        <v>0.0116541899929743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0.03759765625</v>
      </c>
      <c r="C683" s="25" t="n">
        <f aca="false">IF(T682&gt;0,D682,C682)</f>
        <v>0.038330078125</v>
      </c>
      <c r="D683" s="39" t="n">
        <f aca="false">(B683+C683)/2</f>
        <v>0.0379638671875</v>
      </c>
      <c r="E683" s="15" t="n">
        <f aca="false">$C$2*(1+IF(E$3&lt;=$O$2,$D683,$D683-($D683-$I$670)*MIN(E$3-$O$2,$Q$2)/$Q$2))</f>
        <v>1920.23315429688</v>
      </c>
      <c r="F683" s="15" t="n">
        <f aca="false">E683*(1+IF(F$3&lt;=$O$2,$D683,$D683-($D683-$I$670)*MIN(F$3-$O$2,$Q$2)/$Q$2))</f>
        <v>1993.13263073564</v>
      </c>
      <c r="G683" s="15" t="n">
        <f aca="false">F683*(1+IF(G$3&lt;=$O$2,$D683,$D683-($D683-$I$670)*MIN(G$3-$O$2,$Q$2)/$Q$2))</f>
        <v>2068.79965321596</v>
      </c>
      <c r="H683" s="15" t="n">
        <f aca="false">G683*(1+IF(H$3&lt;=$O$2,$D683,$D683-($D683-$I$670)*MIN(H$3-$O$2,$Q$2)/$Q$2))</f>
        <v>2147.33928848819</v>
      </c>
      <c r="I683" s="15" t="n">
        <f aca="false">H683*(1+IF(I$3&lt;=$O$2,$D683,$D683-($D683-$I$670)*MIN(I$3-$O$2,$Q$2)/$Q$2))</f>
        <v>2228.86059204286</v>
      </c>
      <c r="J683" s="15" t="n">
        <f aca="false">I683*(1+IF(J$3&lt;=$O$2,$D683,$D683-($D683-$I$670)*MIN(J$3-$O$2,$Q$2)/$Q$2))</f>
        <v>2309.92668959173</v>
      </c>
      <c r="K683" s="15" t="n">
        <f aca="false">J683*(1+IF(K$3&lt;=$O$2,$D683,$D683-($D683-$I$670)*MIN(K$3-$O$2,$Q$2)/$Q$2))</f>
        <v>2390.26205990074</v>
      </c>
      <c r="L683" s="15" t="n">
        <f aca="false">K683*(1+IF(L$3&lt;=$O$2,$D683,$D683-($D683-$I$670)*MIN(L$3-$O$2,$Q$2)/$Q$2))</f>
        <v>2469.58421353312</v>
      </c>
      <c r="M683" s="15" t="n">
        <f aca="false">L683*(1+IF(M$3&lt;=$O$2,$D683,$D683-($D683-$I$670)*MIN(M$3-$O$2,$Q$2)/$Q$2))</f>
        <v>2547.60522807609</v>
      </c>
      <c r="N683" s="15" t="n">
        <f aca="false">M683*(1+IF(N$3&lt;=$O$2,$D683,$D683-($D683-$I$670)*MIN(N$3-$O$2,$Q$2)/$Q$2))</f>
        <v>2624.03338491838</v>
      </c>
      <c r="O683" s="15" t="n">
        <f aca="false">SUMPRODUCT(E683:N683,1/(1+$F$670)^$E$3:$N$3)*$E$2</f>
        <v>5531.72425327003</v>
      </c>
      <c r="P683" s="15" t="n">
        <f aca="false">N683*$E$2*(1+$I$670)/($F$670-$I$670)/(1+$F$670)^$N$3</f>
        <v>10997.9962851935</v>
      </c>
      <c r="Q683" s="15" t="n">
        <f aca="false">O683+P683</f>
        <v>16529.7205384635</v>
      </c>
      <c r="R683" s="15" t="n">
        <f aca="false">Q683-$G$2+$I$2</f>
        <v>14977.0205384635</v>
      </c>
      <c r="S683" s="40" t="n">
        <f aca="false">R683/$K$2</f>
        <v>54.3847653816897</v>
      </c>
      <c r="T683" s="41" t="n">
        <f aca="false">S683-$M$2</f>
        <v>-0.119755479634279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0.0379638671875</v>
      </c>
      <c r="C684" s="25" t="n">
        <f aca="false">IF(T683&gt;0,D683,C683)</f>
        <v>0.038330078125</v>
      </c>
      <c r="D684" s="39" t="n">
        <f aca="false">(B684+C684)/2</f>
        <v>0.03814697265625</v>
      </c>
      <c r="E684" s="15" t="n">
        <f aca="false">$C$2*(1+IF(E$3&lt;=$O$2,$D684,$D684-($D684-$I$670)*MIN(E$3-$O$2,$Q$2)/$Q$2))</f>
        <v>1920.57189941406</v>
      </c>
      <c r="F684" s="15" t="n">
        <f aca="false">E684*(1+IF(F$3&lt;=$O$2,$D684,$D684-($D684-$I$670)*MIN(F$3-$O$2,$Q$2)/$Q$2))</f>
        <v>1993.83590314537</v>
      </c>
      <c r="G684" s="15" t="n">
        <f aca="false">F684*(1+IF(G$3&lt;=$O$2,$D684,$D684-($D684-$I$670)*MIN(G$3-$O$2,$Q$2)/$Q$2))</f>
        <v>2069.89470682371</v>
      </c>
      <c r="H684" s="15" t="n">
        <f aca="false">G684*(1+IF(H$3&lt;=$O$2,$D684,$D684-($D684-$I$670)*MIN(H$3-$O$2,$Q$2)/$Q$2))</f>
        <v>2148.85492360623</v>
      </c>
      <c r="I684" s="15" t="n">
        <f aca="false">H684*(1+IF(I$3&lt;=$O$2,$D684,$D684-($D684-$I$670)*MIN(I$3-$O$2,$Q$2)/$Q$2))</f>
        <v>2230.82723361928</v>
      </c>
      <c r="J684" s="15" t="n">
        <f aca="false">I684*(1+IF(J$3&lt;=$O$2,$D684,$D684-($D684-$I$670)*MIN(J$3-$O$2,$Q$2)/$Q$2))</f>
        <v>2312.29164140635</v>
      </c>
      <c r="K684" s="15" t="n">
        <f aca="false">J684*(1+IF(K$3&lt;=$O$2,$D684,$D684-($D684-$I$670)*MIN(K$3-$O$2,$Q$2)/$Q$2))</f>
        <v>2392.96329671403</v>
      </c>
      <c r="L684" s="15" t="n">
        <f aca="false">K684*(1+IF(L$3&lt;=$O$2,$D684,$D684-($D684-$I$670)*MIN(L$3-$O$2,$Q$2)/$Q$2))</f>
        <v>2472.55035823375</v>
      </c>
      <c r="M684" s="15" t="n">
        <f aca="false">L684*(1+IF(M$3&lt;=$O$2,$D684,$D684-($D684-$I$670)*MIN(M$3-$O$2,$Q$2)/$Q$2))</f>
        <v>2550.75562901271</v>
      </c>
      <c r="N684" s="15" t="n">
        <f aca="false">M684*(1+IF(N$3&lt;=$O$2,$D684,$D684-($D684-$I$670)*MIN(N$3-$O$2,$Q$2)/$Q$2))</f>
        <v>2627.27829788309</v>
      </c>
      <c r="O684" s="15" t="n">
        <f aca="false">SUMPRODUCT(E684:N684,1/(1+$F$670)^$E$3:$N$3)*$E$2</f>
        <v>5536.20927098189</v>
      </c>
      <c r="P684" s="15" t="n">
        <f aca="false">N684*$E$2*(1+$I$670)/($F$670-$I$670)/(1+$F$670)^$N$3</f>
        <v>11011.5965468886</v>
      </c>
      <c r="Q684" s="15" t="n">
        <f aca="false">O684+P684</f>
        <v>16547.8058178705</v>
      </c>
      <c r="R684" s="15" t="n">
        <f aca="false">Q684-$G$2+$I$2</f>
        <v>14995.1058178705</v>
      </c>
      <c r="S684" s="40" t="n">
        <f aca="false">R684/$K$2</f>
        <v>54.4504368999257</v>
      </c>
      <c r="T684" s="41" t="n">
        <f aca="false">S684-$M$2</f>
        <v>-0.0540839613982911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0.03814697265625</v>
      </c>
      <c r="C685" s="25" t="n">
        <f aca="false">IF(T684&gt;0,D684,C684)</f>
        <v>0.038330078125</v>
      </c>
      <c r="D685" s="39" t="n">
        <f aca="false">(B685+C685)/2</f>
        <v>0.038238525390625</v>
      </c>
      <c r="E685" s="15" t="n">
        <f aca="false">$C$2*(1+IF(E$3&lt;=$O$2,$D685,$D685-($D685-$I$670)*MIN(E$3-$O$2,$Q$2)/$Q$2))</f>
        <v>1920.74127197266</v>
      </c>
      <c r="F685" s="15" t="n">
        <f aca="false">E685*(1+IF(F$3&lt;=$O$2,$D685,$D685-($D685-$I$670)*MIN(F$3-$O$2,$Q$2)/$Q$2))</f>
        <v>1994.1875858698</v>
      </c>
      <c r="G685" s="15" t="n">
        <f aca="false">F685*(1+IF(G$3&lt;=$O$2,$D685,$D685-($D685-$I$670)*MIN(G$3-$O$2,$Q$2)/$Q$2))</f>
        <v>2070.44237850576</v>
      </c>
      <c r="H685" s="15" t="n">
        <f aca="false">G685*(1+IF(H$3&lt;=$O$2,$D685,$D685-($D685-$I$670)*MIN(H$3-$O$2,$Q$2)/$Q$2))</f>
        <v>2149.61304196607</v>
      </c>
      <c r="I685" s="15" t="n">
        <f aca="false">H685*(1+IF(I$3&lt;=$O$2,$D685,$D685-($D685-$I$670)*MIN(I$3-$O$2,$Q$2)/$Q$2))</f>
        <v>2231.81107485131</v>
      </c>
      <c r="J685" s="15" t="n">
        <f aca="false">I685*(1+IF(J$3&lt;=$O$2,$D685,$D685-($D685-$I$670)*MIN(J$3-$O$2,$Q$2)/$Q$2))</f>
        <v>2313.47487286264</v>
      </c>
      <c r="K685" s="15" t="n">
        <f aca="false">J685*(1+IF(K$3&lt;=$O$2,$D685,$D685-($D685-$I$670)*MIN(K$3-$O$2,$Q$2)/$Q$2))</f>
        <v>2394.31489193691</v>
      </c>
      <c r="L685" s="15" t="n">
        <f aca="false">K685*(1+IF(L$3&lt;=$O$2,$D685,$D685-($D685-$I$670)*MIN(L$3-$O$2,$Q$2)/$Q$2))</f>
        <v>2474.03458830717</v>
      </c>
      <c r="M685" s="15" t="n">
        <f aca="false">L685*(1+IF(M$3&lt;=$O$2,$D685,$D685-($D685-$I$670)*MIN(M$3-$O$2,$Q$2)/$Q$2))</f>
        <v>2552.332105311</v>
      </c>
      <c r="N685" s="15" t="n">
        <f aca="false">M685*(1+IF(N$3&lt;=$O$2,$D685,$D685-($D685-$I$670)*MIN(N$3-$O$2,$Q$2)/$Q$2))</f>
        <v>2628.90206847033</v>
      </c>
      <c r="O685" s="15" t="n">
        <f aca="false">SUMPRODUCT(E685:N685,1/(1+$F$670)^$E$3:$N$3)*$E$2</f>
        <v>5538.45315235234</v>
      </c>
      <c r="P685" s="15" t="n">
        <f aca="false">N685*$E$2*(1+$I$670)/($F$670-$I$670)/(1+$F$670)^$N$3</f>
        <v>11018.4021854865</v>
      </c>
      <c r="Q685" s="15" t="n">
        <f aca="false">O685+P685</f>
        <v>16556.8553378388</v>
      </c>
      <c r="R685" s="15" t="n">
        <f aca="false">Q685-$G$2+$I$2</f>
        <v>15004.1553378388</v>
      </c>
      <c r="S685" s="40" t="n">
        <f aca="false">R685/$K$2</f>
        <v>54.4832976427569</v>
      </c>
      <c r="T685" s="41" t="n">
        <f aca="false">S685-$M$2</f>
        <v>-0.0212232185670374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0.038238525390625</v>
      </c>
      <c r="C686" s="25" t="n">
        <f aca="false">IF(T685&gt;0,D685,C685)</f>
        <v>0.038330078125</v>
      </c>
      <c r="D686" s="39" t="n">
        <f aca="false">(B686+C686)/2</f>
        <v>0.0382843017578125</v>
      </c>
      <c r="E686" s="15" t="n">
        <f aca="false">$C$2*(1+IF(E$3&lt;=$O$2,$D686,$D686-($D686-$I$670)*MIN(E$3-$O$2,$Q$2)/$Q$2))</f>
        <v>1920.82595825195</v>
      </c>
      <c r="F686" s="15" t="n">
        <f aca="false">E686*(1+IF(F$3&lt;=$O$2,$D686,$D686-($D686-$I$670)*MIN(F$3-$O$2,$Q$2)/$Q$2))</f>
        <v>1994.36343886191</v>
      </c>
      <c r="G686" s="15" t="n">
        <f aca="false">F686*(1+IF(G$3&lt;=$O$2,$D686,$D686-($D686-$I$670)*MIN(G$3-$O$2,$Q$2)/$Q$2))</f>
        <v>2070.71625057005</v>
      </c>
      <c r="H686" s="15" t="n">
        <f aca="false">G686*(1+IF(H$3&lt;=$O$2,$D686,$D686-($D686-$I$670)*MIN(H$3-$O$2,$Q$2)/$Q$2))</f>
        <v>2149.99217636168</v>
      </c>
      <c r="I686" s="15" t="n">
        <f aca="false">H686*(1+IF(I$3&lt;=$O$2,$D686,$D686-($D686-$I$670)*MIN(I$3-$O$2,$Q$2)/$Q$2))</f>
        <v>2232.30312561845</v>
      </c>
      <c r="J686" s="15" t="n">
        <f aca="false">I686*(1+IF(J$3&lt;=$O$2,$D686,$D686-($D686-$I$670)*MIN(J$3-$O$2,$Q$2)/$Q$2))</f>
        <v>2314.06667755302</v>
      </c>
      <c r="K686" s="15" t="n">
        <f aca="false">J686*(1+IF(K$3&lt;=$O$2,$D686,$D686-($D686-$I$670)*MIN(K$3-$O$2,$Q$2)/$Q$2))</f>
        <v>2394.99093386634</v>
      </c>
      <c r="L686" s="15" t="n">
        <f aca="false">K686*(1+IF(L$3&lt;=$O$2,$D686,$D686-($D686-$I$670)*MIN(L$3-$O$2,$Q$2)/$Q$2))</f>
        <v>2474.77699292368</v>
      </c>
      <c r="M686" s="15" t="n">
        <f aca="false">L686*(1+IF(M$3&lt;=$O$2,$D686,$D686-($D686-$I$670)*MIN(M$3-$O$2,$Q$2)/$Q$2))</f>
        <v>2553.12066258993</v>
      </c>
      <c r="N686" s="15" t="n">
        <f aca="false">M686*(1+IF(N$3&lt;=$O$2,$D686,$D686-($D686-$I$670)*MIN(N$3-$O$2,$Q$2)/$Q$2))</f>
        <v>2629.71428246763</v>
      </c>
      <c r="O686" s="15" t="n">
        <f aca="false">SUMPRODUCT(E686:N686,1/(1+$F$670)^$E$3:$N$3)*$E$2</f>
        <v>5539.57543631877</v>
      </c>
      <c r="P686" s="15" t="n">
        <f aca="false">N686*$E$2*(1+$I$670)/($F$670-$I$670)/(1+$F$670)^$N$3</f>
        <v>11021.8063824667</v>
      </c>
      <c r="Q686" s="15" t="n">
        <f aca="false">O686+P686</f>
        <v>16561.3818187855</v>
      </c>
      <c r="R686" s="15" t="n">
        <f aca="false">Q686-$G$2+$I$2</f>
        <v>15008.6818187855</v>
      </c>
      <c r="S686" s="40" t="n">
        <f aca="false">R686/$K$2</f>
        <v>54.4997342633557</v>
      </c>
      <c r="T686" s="41" t="n">
        <f aca="false">S686-$M$2</f>
        <v>-0.00478659796828396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0.0382843017578125</v>
      </c>
      <c r="C687" s="25" t="n">
        <f aca="false">IF(T686&gt;0,D686,C686)</f>
        <v>0.038330078125</v>
      </c>
      <c r="D687" s="39" t="n">
        <f aca="false">(B687+C687)/2</f>
        <v>0.0383071899414063</v>
      </c>
      <c r="E687" s="15" t="n">
        <f aca="false">$C$2*(1+IF(E$3&lt;=$O$2,$D687,$D687-($D687-$I$670)*MIN(E$3-$O$2,$Q$2)/$Q$2))</f>
        <v>1920.8683013916</v>
      </c>
      <c r="F687" s="15" t="n">
        <f aca="false">E687*(1+IF(F$3&lt;=$O$2,$D687,$D687-($D687-$I$670)*MIN(F$3-$O$2,$Q$2)/$Q$2))</f>
        <v>1994.45136826544</v>
      </c>
      <c r="G687" s="15" t="n">
        <f aca="false">F687*(1+IF(G$3&lt;=$O$2,$D687,$D687-($D687-$I$670)*MIN(G$3-$O$2,$Q$2)/$Q$2))</f>
        <v>2070.85319565848</v>
      </c>
      <c r="H687" s="15" t="n">
        <f aca="false">G687*(1+IF(H$3&lt;=$O$2,$D687,$D687-($D687-$I$670)*MIN(H$3-$O$2,$Q$2)/$Q$2))</f>
        <v>2150.18176236534</v>
      </c>
      <c r="I687" s="15" t="n">
        <f aca="false">H687*(1+IF(I$3&lt;=$O$2,$D687,$D687-($D687-$I$670)*MIN(I$3-$O$2,$Q$2)/$Q$2))</f>
        <v>2232.54918354481</v>
      </c>
      <c r="J687" s="15" t="n">
        <f aca="false">I687*(1+IF(J$3&lt;=$O$2,$D687,$D687-($D687-$I$670)*MIN(J$3-$O$2,$Q$2)/$Q$2))</f>
        <v>2314.36262714815</v>
      </c>
      <c r="K687" s="15" t="n">
        <f aca="false">J687*(1+IF(K$3&lt;=$O$2,$D687,$D687-($D687-$I$670)*MIN(K$3-$O$2,$Q$2)/$Q$2))</f>
        <v>2395.3290159248</v>
      </c>
      <c r="L687" s="15" t="n">
        <f aca="false">K687*(1+IF(L$3&lt;=$O$2,$D687,$D687-($D687-$I$670)*MIN(L$3-$O$2,$Q$2)/$Q$2))</f>
        <v>2475.14826764552</v>
      </c>
      <c r="M687" s="15" t="n">
        <f aca="false">L687*(1+IF(M$3&lt;=$O$2,$D687,$D687-($D687-$I$670)*MIN(M$3-$O$2,$Q$2)/$Q$2))</f>
        <v>2553.51502103338</v>
      </c>
      <c r="N687" s="15" t="n">
        <f aca="false">M687*(1+IF(N$3&lt;=$O$2,$D687,$D687-($D687-$I$670)*MIN(N$3-$O$2,$Q$2)/$Q$2))</f>
        <v>2630.12047166438</v>
      </c>
      <c r="O687" s="15" t="n">
        <f aca="false">SUMPRODUCT(E687:N687,1/(1+$F$670)^$E$3:$N$3)*$E$2</f>
        <v>5540.13666414136</v>
      </c>
      <c r="P687" s="15" t="n">
        <f aca="false">N687*$E$2*(1+$I$670)/($F$670-$I$670)/(1+$F$670)^$N$3</f>
        <v>11023.5088254702</v>
      </c>
      <c r="Q687" s="15" t="n">
        <f aca="false">O687+P687</f>
        <v>16563.6454896116</v>
      </c>
      <c r="R687" s="15" t="n">
        <f aca="false">Q687-$G$2+$I$2</f>
        <v>15010.9454896116</v>
      </c>
      <c r="S687" s="40" t="n">
        <f aca="false">R687/$K$2</f>
        <v>54.5079541363578</v>
      </c>
      <c r="T687" s="41" t="n">
        <f aca="false">S687-$M$2</f>
        <v>0.00343327503386348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0.0382843017578125</v>
      </c>
      <c r="C688" s="25" t="n">
        <f aca="false">IF(T687&gt;0,D687,C687)</f>
        <v>0.0383071899414063</v>
      </c>
      <c r="D688" s="39" t="n">
        <f aca="false">(B688+C688)/2</f>
        <v>0.0382957458496094</v>
      </c>
      <c r="E688" s="15" t="n">
        <f aca="false">$C$2*(1+IF(E$3&lt;=$O$2,$D688,$D688-($D688-$I$670)*MIN(E$3-$O$2,$Q$2)/$Q$2))</f>
        <v>1920.84712982178</v>
      </c>
      <c r="F688" s="15" t="n">
        <f aca="false">E688*(1+IF(F$3&lt;=$O$2,$D688,$D688-($D688-$I$670)*MIN(F$3-$O$2,$Q$2)/$Q$2))</f>
        <v>1994.40740332138</v>
      </c>
      <c r="G688" s="15" t="n">
        <f aca="false">F688*(1+IF(G$3&lt;=$O$2,$D688,$D688-($D688-$I$670)*MIN(G$3-$O$2,$Q$2)/$Q$2))</f>
        <v>2070.78472235956</v>
      </c>
      <c r="H688" s="15" t="n">
        <f aca="false">G688*(1+IF(H$3&lt;=$O$2,$D688,$D688-($D688-$I$670)*MIN(H$3-$O$2,$Q$2)/$Q$2))</f>
        <v>2150.08696779629</v>
      </c>
      <c r="I688" s="15" t="n">
        <f aca="false">H688*(1+IF(I$3&lt;=$O$2,$D688,$D688-($D688-$I$670)*MIN(I$3-$O$2,$Q$2)/$Q$2))</f>
        <v>2232.42615186958</v>
      </c>
      <c r="J688" s="15" t="n">
        <f aca="false">I688*(1+IF(J$3&lt;=$O$2,$D688,$D688-($D688-$I$670)*MIN(J$3-$O$2,$Q$2)/$Q$2))</f>
        <v>2314.21464841281</v>
      </c>
      <c r="K688" s="15" t="n">
        <f aca="false">J688*(1+IF(K$3&lt;=$O$2,$D688,$D688-($D688-$I$670)*MIN(K$3-$O$2,$Q$2)/$Q$2))</f>
        <v>2395.159969804</v>
      </c>
      <c r="L688" s="15" t="n">
        <f aca="false">K688*(1+IF(L$3&lt;=$O$2,$D688,$D688-($D688-$I$670)*MIN(L$3-$O$2,$Q$2)/$Q$2))</f>
        <v>2474.96262424958</v>
      </c>
      <c r="M688" s="15" t="n">
        <f aca="false">L688*(1+IF(M$3&lt;=$O$2,$D688,$D688-($D688-$I$670)*MIN(M$3-$O$2,$Q$2)/$Q$2))</f>
        <v>2553.31783516068</v>
      </c>
      <c r="N688" s="15" t="n">
        <f aca="false">M688*(1+IF(N$3&lt;=$O$2,$D688,$D688-($D688-$I$670)*MIN(N$3-$O$2,$Q$2)/$Q$2))</f>
        <v>2629.9173702155</v>
      </c>
      <c r="O688" s="15" t="n">
        <f aca="false">SUMPRODUCT(E688:N688,1/(1+$F$670)^$E$3:$N$3)*$E$2</f>
        <v>5539.85604307621</v>
      </c>
      <c r="P688" s="15" t="n">
        <f aca="false">N688*$E$2*(1+$I$670)/($F$670-$I$670)/(1+$F$670)^$N$3</f>
        <v>11022.6575752563</v>
      </c>
      <c r="Q688" s="15" t="n">
        <f aca="false">O688+P688</f>
        <v>16562.5136183325</v>
      </c>
      <c r="R688" s="15" t="n">
        <f aca="false">Q688-$G$2+$I$2</f>
        <v>15009.8136183325</v>
      </c>
      <c r="S688" s="40" t="n">
        <f aca="false">R688/$K$2</f>
        <v>54.5038440696194</v>
      </c>
      <c r="T688" s="41" t="n">
        <f aca="false">S688-$M$2</f>
        <v>-0.000676791704542268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0.0382957458496094</v>
      </c>
      <c r="C689" s="25" t="n">
        <f aca="false">IF(T688&gt;0,D688,C688)</f>
        <v>0.0383071899414063</v>
      </c>
      <c r="D689" s="39" t="n">
        <f aca="false">(B689+C689)/2</f>
        <v>0.0383014678955078</v>
      </c>
      <c r="E689" s="15" t="n">
        <f aca="false">$C$2*(1+IF(E$3&lt;=$O$2,$D689,$D689-($D689-$I$670)*MIN(E$3-$O$2,$Q$2)/$Q$2))</f>
        <v>1920.85771560669</v>
      </c>
      <c r="F689" s="15" t="n">
        <f aca="false">E689*(1+IF(F$3&lt;=$O$2,$D689,$D689-($D689-$I$670)*MIN(F$3-$O$2,$Q$2)/$Q$2))</f>
        <v>1994.42938573284</v>
      </c>
      <c r="G689" s="15" t="n">
        <f aca="false">F689*(1+IF(G$3&lt;=$O$2,$D689,$D689-($D689-$I$670)*MIN(G$3-$O$2,$Q$2)/$Q$2))</f>
        <v>2070.81895882034</v>
      </c>
      <c r="H689" s="15" t="n">
        <f aca="false">G689*(1+IF(H$3&lt;=$O$2,$D689,$D689-($D689-$I$670)*MIN(H$3-$O$2,$Q$2)/$Q$2))</f>
        <v>2150.13436468901</v>
      </c>
      <c r="I689" s="15" t="n">
        <f aca="false">H689*(1+IF(I$3&lt;=$O$2,$D689,$D689-($D689-$I$670)*MIN(I$3-$O$2,$Q$2)/$Q$2))</f>
        <v>2232.48766702917</v>
      </c>
      <c r="J689" s="15" t="n">
        <f aca="false">I689*(1+IF(J$3&lt;=$O$2,$D689,$D689-($D689-$I$670)*MIN(J$3-$O$2,$Q$2)/$Q$2))</f>
        <v>2314.28863679602</v>
      </c>
      <c r="K689" s="15" t="n">
        <f aca="false">J689*(1+IF(K$3&lt;=$O$2,$D689,$D689-($D689-$I$670)*MIN(K$3-$O$2,$Q$2)/$Q$2))</f>
        <v>2395.24449159148</v>
      </c>
      <c r="L689" s="15" t="n">
        <f aca="false">K689*(1+IF(L$3&lt;=$O$2,$D689,$D689-($D689-$I$670)*MIN(L$3-$O$2,$Q$2)/$Q$2))</f>
        <v>2475.05544443876</v>
      </c>
      <c r="M689" s="15" t="n">
        <f aca="false">L689*(1+IF(M$3&lt;=$O$2,$D689,$D689-($D689-$I$670)*MIN(M$3-$O$2,$Q$2)/$Q$2))</f>
        <v>2553.41642643424</v>
      </c>
      <c r="N689" s="15" t="n">
        <f aca="false">M689*(1+IF(N$3&lt;=$O$2,$D689,$D689-($D689-$I$670)*MIN(N$3-$O$2,$Q$2)/$Q$2))</f>
        <v>2630.01891922727</v>
      </c>
      <c r="O689" s="15" t="n">
        <f aca="false">SUMPRODUCT(E689:N689,1/(1+$F$670)^$E$3:$N$3)*$E$2</f>
        <v>5539.99635182028</v>
      </c>
      <c r="P689" s="15" t="n">
        <f aca="false">N689*$E$2*(1+$I$670)/($F$670-$I$670)/(1+$F$670)^$N$3</f>
        <v>11023.083193185</v>
      </c>
      <c r="Q689" s="15" t="n">
        <f aca="false">O689+P689</f>
        <v>16563.0795450053</v>
      </c>
      <c r="R689" s="15" t="n">
        <f aca="false">Q689-$G$2+$I$2</f>
        <v>15010.3795450053</v>
      </c>
      <c r="S689" s="40" t="n">
        <f aca="false">R689/$K$2</f>
        <v>54.5058990704284</v>
      </c>
      <c r="T689" s="41" t="n">
        <f aca="false">S689-$M$2</f>
        <v>0.00137820910441633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0.0382957458496094</v>
      </c>
      <c r="C690" s="25" t="n">
        <f aca="false">IF(T689&gt;0,D689,C689)</f>
        <v>0.0383014678955078</v>
      </c>
      <c r="D690" s="39" t="n">
        <f aca="false">(B690+C690)/2</f>
        <v>0.0382986068725586</v>
      </c>
      <c r="E690" s="15" t="n">
        <f aca="false">$C$2*(1+IF(E$3&lt;=$O$2,$D690,$D690-($D690-$I$670)*MIN(E$3-$O$2,$Q$2)/$Q$2))</f>
        <v>1920.85242271423</v>
      </c>
      <c r="F690" s="15" t="n">
        <f aca="false">E690*(1+IF(F$3&lt;=$O$2,$D690,$D690-($D690-$I$670)*MIN(F$3-$O$2,$Q$2)/$Q$2))</f>
        <v>1994.41839451197</v>
      </c>
      <c r="G690" s="15" t="n">
        <f aca="false">F690*(1+IF(G$3&lt;=$O$2,$D690,$D690-($D690-$I$670)*MIN(G$3-$O$2,$Q$2)/$Q$2))</f>
        <v>2070.80184054278</v>
      </c>
      <c r="H690" s="15" t="n">
        <f aca="false">G690*(1+IF(H$3&lt;=$O$2,$D690,$D690-($D690-$I$670)*MIN(H$3-$O$2,$Q$2)/$Q$2))</f>
        <v>2150.1106661447</v>
      </c>
      <c r="I690" s="15" t="n">
        <f aca="false">H690*(1+IF(I$3&lt;=$O$2,$D690,$D690-($D690-$I$670)*MIN(I$3-$O$2,$Q$2)/$Q$2))</f>
        <v>2232.45690927987</v>
      </c>
      <c r="J690" s="15" t="n">
        <f aca="false">I690*(1+IF(J$3&lt;=$O$2,$D690,$D690-($D690-$I$670)*MIN(J$3-$O$2,$Q$2)/$Q$2))</f>
        <v>2314.2516423583</v>
      </c>
      <c r="K690" s="15" t="n">
        <f aca="false">J690*(1+IF(K$3&lt;=$O$2,$D690,$D690-($D690-$I$670)*MIN(K$3-$O$2,$Q$2)/$Q$2))</f>
        <v>2395.20223037951</v>
      </c>
      <c r="L690" s="15" t="n">
        <f aca="false">K690*(1+IF(L$3&lt;=$O$2,$D690,$D690-($D690-$I$670)*MIN(L$3-$O$2,$Q$2)/$Q$2))</f>
        <v>2475.00903396697</v>
      </c>
      <c r="M690" s="15" t="n">
        <f aca="false">L690*(1+IF(M$3&lt;=$O$2,$D690,$D690-($D690-$I$670)*MIN(M$3-$O$2,$Q$2)/$Q$2))</f>
        <v>2553.36713038177</v>
      </c>
      <c r="N690" s="15" t="n">
        <f aca="false">M690*(1+IF(N$3&lt;=$O$2,$D690,$D690-($D690-$I$670)*MIN(N$3-$O$2,$Q$2)/$Q$2))</f>
        <v>2629.96814429322</v>
      </c>
      <c r="O690" s="15" t="n">
        <f aca="false">SUMPRODUCT(E690:N690,1/(1+$F$670)^$E$3:$N$3)*$E$2</f>
        <v>5539.92619700113</v>
      </c>
      <c r="P690" s="15" t="n">
        <f aca="false">N690*$E$2*(1+$I$670)/($F$670-$I$670)/(1+$F$670)^$N$3</f>
        <v>11022.8703824261</v>
      </c>
      <c r="Q690" s="15" t="n">
        <f aca="false">O690+P690</f>
        <v>16562.7965794272</v>
      </c>
      <c r="R690" s="15" t="n">
        <f aca="false">Q690-$G$2+$I$2</f>
        <v>15010.0965794272</v>
      </c>
      <c r="S690" s="40" t="n">
        <f aca="false">R690/$K$2</f>
        <v>54.5048715618839</v>
      </c>
      <c r="T690" s="41" t="n">
        <f aca="false">S690-$M$2</f>
        <v>0.000350700559984318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0.0382957458496094</v>
      </c>
      <c r="C691" s="25" t="n">
        <f aca="false">IF(T690&gt;0,D690,C690)</f>
        <v>0.0382986068725586</v>
      </c>
      <c r="D691" s="39" t="n">
        <f aca="false">(B691+C691)/2</f>
        <v>0.038297176361084</v>
      </c>
      <c r="E691" s="15" t="n">
        <f aca="false">$C$2*(1+IF(E$3&lt;=$O$2,$D691,$D691-($D691-$I$670)*MIN(E$3-$O$2,$Q$2)/$Q$2))</f>
        <v>1920.84977626801</v>
      </c>
      <c r="F691" s="15" t="n">
        <f aca="false">E691*(1+IF(F$3&lt;=$O$2,$D691,$D691-($D691-$I$670)*MIN(F$3-$O$2,$Q$2)/$Q$2))</f>
        <v>1994.41289891289</v>
      </c>
      <c r="G691" s="15" t="n">
        <f aca="false">F691*(1+IF(G$3&lt;=$O$2,$D691,$D691-($D691-$I$670)*MIN(G$3-$O$2,$Q$2)/$Q$2))</f>
        <v>2070.79328143938</v>
      </c>
      <c r="H691" s="15" t="n">
        <f aca="false">G691*(1+IF(H$3&lt;=$O$2,$D691,$D691-($D691-$I$670)*MIN(H$3-$O$2,$Q$2)/$Q$2))</f>
        <v>2150.09881694601</v>
      </c>
      <c r="I691" s="15" t="n">
        <f aca="false">H691*(1+IF(I$3&lt;=$O$2,$D691,$D691-($D691-$I$670)*MIN(I$3-$O$2,$Q$2)/$Q$2))</f>
        <v>2232.44153053235</v>
      </c>
      <c r="J691" s="15" t="n">
        <f aca="false">I691*(1+IF(J$3&lt;=$O$2,$D691,$D691-($D691-$I$670)*MIN(J$3-$O$2,$Q$2)/$Q$2))</f>
        <v>2314.23314532403</v>
      </c>
      <c r="K691" s="15" t="n">
        <f aca="false">J691*(1+IF(K$3&lt;=$O$2,$D691,$D691-($D691-$I$670)*MIN(K$3-$O$2,$Q$2)/$Q$2))</f>
        <v>2395.1811000122</v>
      </c>
      <c r="L691" s="15" t="n">
        <f aca="false">K691*(1+IF(L$3&lt;=$O$2,$D691,$D691-($D691-$I$670)*MIN(L$3-$O$2,$Q$2)/$Q$2))</f>
        <v>2474.98582901398</v>
      </c>
      <c r="M691" s="15" t="n">
        <f aca="false">L691*(1+IF(M$3&lt;=$O$2,$D691,$D691-($D691-$I$670)*MIN(M$3-$O$2,$Q$2)/$Q$2))</f>
        <v>2553.3424826673</v>
      </c>
      <c r="N691" s="15" t="n">
        <f aca="false">M691*(1+IF(N$3&lt;=$O$2,$D691,$D691-($D691-$I$670)*MIN(N$3-$O$2,$Q$2)/$Q$2))</f>
        <v>2629.94275714732</v>
      </c>
      <c r="O691" s="15" t="n">
        <f aca="false">SUMPRODUCT(E691:N691,1/(1+$F$670)^$E$3:$N$3)*$E$2</f>
        <v>5539.89111992689</v>
      </c>
      <c r="P691" s="15" t="n">
        <f aca="false">N691*$E$2*(1+$I$670)/($F$670-$I$670)/(1+$F$670)^$N$3</f>
        <v>11022.7639783925</v>
      </c>
      <c r="Q691" s="15" t="n">
        <f aca="false">O691+P691</f>
        <v>16562.6550983194</v>
      </c>
      <c r="R691" s="15" t="n">
        <f aca="false">Q691-$G$2+$I$2</f>
        <v>15009.9550983194</v>
      </c>
      <c r="S691" s="40" t="n">
        <f aca="false">R691/$K$2</f>
        <v>54.5043578137167</v>
      </c>
      <c r="T691" s="41" t="n">
        <f aca="false">S691-$M$2</f>
        <v>-0.000163047607252054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0.038297176361084</v>
      </c>
      <c r="C692" s="25" t="n">
        <f aca="false">IF(T691&gt;0,D691,C691)</f>
        <v>0.0382986068725586</v>
      </c>
      <c r="D692" s="39" t="n">
        <f aca="false">(B692+C692)/2</f>
        <v>0.0382978916168213</v>
      </c>
      <c r="E692" s="15" t="n">
        <f aca="false">$C$2*(1+IF(E$3&lt;=$O$2,$D692,$D692-($D692-$I$670)*MIN(E$3-$O$2,$Q$2)/$Q$2))</f>
        <v>1920.85109949112</v>
      </c>
      <c r="F692" s="15" t="n">
        <f aca="false">E692*(1+IF(F$3&lt;=$O$2,$D692,$D692-($D692-$I$670)*MIN(F$3-$O$2,$Q$2)/$Q$2))</f>
        <v>1994.41564671148</v>
      </c>
      <c r="G692" s="15" t="n">
        <f aca="false">F692*(1+IF(G$3&lt;=$O$2,$D692,$D692-($D692-$I$670)*MIN(G$3-$O$2,$Q$2)/$Q$2))</f>
        <v>2070.79756098813</v>
      </c>
      <c r="H692" s="15" t="n">
        <f aca="false">G692*(1+IF(H$3&lt;=$O$2,$D692,$D692-($D692-$I$670)*MIN(H$3-$O$2,$Q$2)/$Q$2))</f>
        <v>2150.10474153923</v>
      </c>
      <c r="I692" s="15" t="n">
        <f aca="false">H692*(1+IF(I$3&lt;=$O$2,$D692,$D692-($D692-$I$670)*MIN(I$3-$O$2,$Q$2)/$Q$2))</f>
        <v>2232.44921989552</v>
      </c>
      <c r="J692" s="15" t="n">
        <f aca="false">I692*(1+IF(J$3&lt;=$O$2,$D692,$D692-($D692-$I$670)*MIN(J$3-$O$2,$Q$2)/$Q$2))</f>
        <v>2314.24239382578</v>
      </c>
      <c r="K692" s="15" t="n">
        <f aca="false">J692*(1+IF(K$3&lt;=$O$2,$D692,$D692-($D692-$I$670)*MIN(K$3-$O$2,$Q$2)/$Q$2))</f>
        <v>2395.19166517597</v>
      </c>
      <c r="L692" s="15" t="n">
        <f aca="false">K692*(1+IF(L$3&lt;=$O$2,$D692,$D692-($D692-$I$670)*MIN(L$3-$O$2,$Q$2)/$Q$2))</f>
        <v>2474.9974314669</v>
      </c>
      <c r="M692" s="15" t="n">
        <f aca="false">L692*(1+IF(M$3&lt;=$O$2,$D692,$D692-($D692-$I$670)*MIN(M$3-$O$2,$Q$2)/$Q$2))</f>
        <v>2553.35480649856</v>
      </c>
      <c r="N692" s="15" t="n">
        <f aca="false">M692*(1+IF(N$3&lt;=$O$2,$D692,$D692-($D692-$I$670)*MIN(N$3-$O$2,$Q$2)/$Q$2))</f>
        <v>2629.95545069351</v>
      </c>
      <c r="O692" s="15" t="n">
        <f aca="false">SUMPRODUCT(E692:N692,1/(1+$F$670)^$E$3:$N$3)*$E$2</f>
        <v>5539.90865843606</v>
      </c>
      <c r="P692" s="15" t="n">
        <f aca="false">N692*$E$2*(1+$I$670)/($F$670-$I$670)/(1+$F$670)^$N$3</f>
        <v>11022.8171802972</v>
      </c>
      <c r="Q692" s="15" t="n">
        <f aca="false">O692+P692</f>
        <v>16562.7258387332</v>
      </c>
      <c r="R692" s="15" t="n">
        <f aca="false">Q692-$G$2+$I$2</f>
        <v>15010.0258387332</v>
      </c>
      <c r="S692" s="40" t="n">
        <f aca="false">R692/$K$2</f>
        <v>54.5046146872916</v>
      </c>
      <c r="T692" s="41" t="n">
        <f aca="false">S692-$M$2</f>
        <v>9.38259676175335E-005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0.038297176361084</v>
      </c>
      <c r="C693" s="25" t="n">
        <f aca="false">IF(T692&gt;0,D692,C692)</f>
        <v>0.0382978916168213</v>
      </c>
      <c r="D693" s="39" t="n">
        <f aca="false">(B693+C693)/2</f>
        <v>0.0382975339889526</v>
      </c>
      <c r="E693" s="15" t="n">
        <f aca="false">$C$2*(1+IF(E$3&lt;=$O$2,$D693,$D693-($D693-$I$670)*MIN(E$3-$O$2,$Q$2)/$Q$2))</f>
        <v>1920.85043787956</v>
      </c>
      <c r="F693" s="15" t="n">
        <f aca="false">E693*(1+IF(F$3&lt;=$O$2,$D693,$D693-($D693-$I$670)*MIN(F$3-$O$2,$Q$2)/$Q$2))</f>
        <v>1994.41427281195</v>
      </c>
      <c r="G693" s="15" t="n">
        <f aca="false">F693*(1+IF(G$3&lt;=$O$2,$D693,$D693-($D693-$I$670)*MIN(G$3-$O$2,$Q$2)/$Q$2))</f>
        <v>2070.79542121302</v>
      </c>
      <c r="H693" s="15" t="n">
        <f aca="false">G693*(1+IF(H$3&lt;=$O$2,$D693,$D693-($D693-$I$670)*MIN(H$3-$O$2,$Q$2)/$Q$2))</f>
        <v>2150.10177924109</v>
      </c>
      <c r="I693" s="15" t="n">
        <f aca="false">H693*(1+IF(I$3&lt;=$O$2,$D693,$D693-($D693-$I$670)*MIN(I$3-$O$2,$Q$2)/$Q$2))</f>
        <v>2232.44537521128</v>
      </c>
      <c r="J693" s="15" t="n">
        <f aca="false">I693*(1+IF(J$3&lt;=$O$2,$D693,$D693-($D693-$I$670)*MIN(J$3-$O$2,$Q$2)/$Q$2))</f>
        <v>2314.23776957106</v>
      </c>
      <c r="K693" s="15" t="n">
        <f aca="false">J693*(1+IF(K$3&lt;=$O$2,$D693,$D693-($D693-$I$670)*MIN(K$3-$O$2,$Q$2)/$Q$2))</f>
        <v>2395.18638258911</v>
      </c>
      <c r="L693" s="15" t="n">
        <f aca="false">K693*(1+IF(L$3&lt;=$O$2,$D693,$D693-($D693-$I$670)*MIN(L$3-$O$2,$Q$2)/$Q$2))</f>
        <v>2474.99163023455</v>
      </c>
      <c r="M693" s="15" t="n">
        <f aca="false">L693*(1+IF(M$3&lt;=$O$2,$D693,$D693-($D693-$I$670)*MIN(M$3-$O$2,$Q$2)/$Q$2))</f>
        <v>2553.34864457643</v>
      </c>
      <c r="N693" s="15" t="n">
        <f aca="false">M693*(1+IF(N$3&lt;=$O$2,$D693,$D693-($D693-$I$670)*MIN(N$3-$O$2,$Q$2)/$Q$2))</f>
        <v>2629.94910391373</v>
      </c>
      <c r="O693" s="15" t="n">
        <f aca="false">SUMPRODUCT(E693:N693,1/(1+$F$670)^$E$3:$N$3)*$E$2</f>
        <v>5539.89988917449</v>
      </c>
      <c r="P693" s="15" t="n">
        <f aca="false">N693*$E$2*(1+$I$670)/($F$670-$I$670)/(1+$F$670)^$N$3</f>
        <v>11022.7905793168</v>
      </c>
      <c r="Q693" s="15" t="n">
        <f aca="false">O693+P693</f>
        <v>16562.6904684913</v>
      </c>
      <c r="R693" s="15" t="n">
        <f aca="false">Q693-$G$2+$I$2</f>
        <v>15009.9904684913</v>
      </c>
      <c r="S693" s="40" t="n">
        <f aca="false">R693/$K$2</f>
        <v>54.5044862503769</v>
      </c>
      <c r="T693" s="41" t="n">
        <f aca="false">S693-$M$2</f>
        <v>-3.46109469973044E-005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0.0382975339889526</v>
      </c>
      <c r="C694" s="25" t="n">
        <f aca="false">IF(T693&gt;0,D693,C693)</f>
        <v>0.0382978916168213</v>
      </c>
      <c r="D694" s="39" t="n">
        <f aca="false">(B694+C694)/2</f>
        <v>0.038297712802887</v>
      </c>
      <c r="E694" s="15" t="n">
        <f aca="false">$C$2*(1+IF(E$3&lt;=$O$2,$D694,$D694-($D694-$I$670)*MIN(E$3-$O$2,$Q$2)/$Q$2))</f>
        <v>1920.85076868534</v>
      </c>
      <c r="F694" s="15" t="n">
        <f aca="false">E694*(1+IF(F$3&lt;=$O$2,$D694,$D694-($D694-$I$670)*MIN(F$3-$O$2,$Q$2)/$Q$2))</f>
        <v>1994.41495976166</v>
      </c>
      <c r="G694" s="15" t="n">
        <f aca="false">F694*(1+IF(G$3&lt;=$O$2,$D694,$D694-($D694-$I$670)*MIN(G$3-$O$2,$Q$2)/$Q$2))</f>
        <v>2070.79649110039</v>
      </c>
      <c r="H694" s="15" t="n">
        <f aca="false">G694*(1+IF(H$3&lt;=$O$2,$D694,$D694-($D694-$I$670)*MIN(H$3-$O$2,$Q$2)/$Q$2))</f>
        <v>2150.10326038978</v>
      </c>
      <c r="I694" s="15" t="n">
        <f aca="false">H694*(1+IF(I$3&lt;=$O$2,$D694,$D694-($D694-$I$670)*MIN(I$3-$O$2,$Q$2)/$Q$2))</f>
        <v>2232.44729755274</v>
      </c>
      <c r="J694" s="15" t="n">
        <f aca="false">I694*(1+IF(J$3&lt;=$O$2,$D694,$D694-($D694-$I$670)*MIN(J$3-$O$2,$Q$2)/$Q$2))</f>
        <v>2314.24008169746</v>
      </c>
      <c r="K694" s="15" t="n">
        <f aca="false">J694*(1+IF(K$3&lt;=$O$2,$D694,$D694-($D694-$I$670)*MIN(K$3-$O$2,$Q$2)/$Q$2))</f>
        <v>2395.1890238813</v>
      </c>
      <c r="L694" s="15" t="n">
        <f aca="false">K694*(1+IF(L$3&lt;=$O$2,$D694,$D694-($D694-$I$670)*MIN(L$3-$O$2,$Q$2)/$Q$2))</f>
        <v>2474.99453084925</v>
      </c>
      <c r="M694" s="15" t="n">
        <f aca="false">L694*(1+IF(M$3&lt;=$O$2,$D694,$D694-($D694-$I$670)*MIN(M$3-$O$2,$Q$2)/$Q$2))</f>
        <v>2553.35172553587</v>
      </c>
      <c r="N694" s="15" t="n">
        <f aca="false">M694*(1+IF(N$3&lt;=$O$2,$D694,$D694-($D694-$I$670)*MIN(N$3-$O$2,$Q$2)/$Q$2))</f>
        <v>2629.95227730195</v>
      </c>
      <c r="O694" s="15" t="n">
        <f aca="false">SUMPRODUCT(E694:N694,1/(1+$F$670)^$E$3:$N$3)*$E$2</f>
        <v>5539.90427380353</v>
      </c>
      <c r="P694" s="15" t="n">
        <f aca="false">N694*$E$2*(1+$I$670)/($F$670-$I$670)/(1+$F$670)^$N$3</f>
        <v>11022.8038798</v>
      </c>
      <c r="Q694" s="15" t="n">
        <f aca="false">O694+P694</f>
        <v>16562.7081536035</v>
      </c>
      <c r="R694" s="15" t="n">
        <f aca="false">Q694-$G$2+$I$2</f>
        <v>15010.0081536035</v>
      </c>
      <c r="S694" s="40" t="n">
        <f aca="false">R694/$K$2</f>
        <v>54.5045504688024</v>
      </c>
      <c r="T694" s="41" t="n">
        <f aca="false">S694-$M$2</f>
        <v>2.9607478502669E-005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0.0382975339889526</v>
      </c>
      <c r="C695" s="25" t="n">
        <f aca="false">IF(T694&gt;0,D694,C694)</f>
        <v>0.038297712802887</v>
      </c>
      <c r="D695" s="39" t="n">
        <f aca="false">(B695+C695)/2</f>
        <v>0.0382976233959198</v>
      </c>
      <c r="E695" s="15" t="n">
        <f aca="false">$C$2*(1+IF(E$3&lt;=$O$2,$D695,$D695-($D695-$I$670)*MIN(E$3-$O$2,$Q$2)/$Q$2))</f>
        <v>1920.85060328245</v>
      </c>
      <c r="F695" s="15" t="n">
        <f aca="false">E695*(1+IF(F$3&lt;=$O$2,$D695,$D695-($D695-$I$670)*MIN(F$3-$O$2,$Q$2)/$Q$2))</f>
        <v>1994.41461628679</v>
      </c>
      <c r="G695" s="15" t="n">
        <f aca="false">F695*(1+IF(G$3&lt;=$O$2,$D695,$D695-($D695-$I$670)*MIN(G$3-$O$2,$Q$2)/$Q$2))</f>
        <v>2070.79595615666</v>
      </c>
      <c r="H695" s="15" t="n">
        <f aca="false">G695*(1+IF(H$3&lt;=$O$2,$D695,$D695-($D695-$I$670)*MIN(H$3-$O$2,$Q$2)/$Q$2))</f>
        <v>2150.10251981534</v>
      </c>
      <c r="I695" s="15" t="n">
        <f aca="false">H695*(1+IF(I$3&lt;=$O$2,$D695,$D695-($D695-$I$670)*MIN(I$3-$O$2,$Q$2)/$Q$2))</f>
        <v>2232.44633638185</v>
      </c>
      <c r="J695" s="15" t="n">
        <f aca="false">I695*(1+IF(J$3&lt;=$O$2,$D695,$D695-($D695-$I$670)*MIN(J$3-$O$2,$Q$2)/$Q$2))</f>
        <v>2314.23892563402</v>
      </c>
      <c r="K695" s="15" t="n">
        <f aca="false">J695*(1+IF(K$3&lt;=$O$2,$D695,$D695-($D695-$I$670)*MIN(K$3-$O$2,$Q$2)/$Q$2))</f>
        <v>2395.18770323489</v>
      </c>
      <c r="L695" s="15" t="n">
        <f aca="false">K695*(1+IF(L$3&lt;=$O$2,$D695,$D695-($D695-$I$670)*MIN(L$3-$O$2,$Q$2)/$Q$2))</f>
        <v>2474.99308054153</v>
      </c>
      <c r="M695" s="15" t="n">
        <f aca="false">L695*(1+IF(M$3&lt;=$O$2,$D695,$D695-($D695-$I$670)*MIN(M$3-$O$2,$Q$2)/$Q$2))</f>
        <v>2553.35018505575</v>
      </c>
      <c r="N695" s="15" t="n">
        <f aca="false">M695*(1+IF(N$3&lt;=$O$2,$D695,$D695-($D695-$I$670)*MIN(N$3-$O$2,$Q$2)/$Q$2))</f>
        <v>2629.95069060742</v>
      </c>
      <c r="O695" s="15" t="n">
        <f aca="false">SUMPRODUCT(E695:N695,1/(1+$F$670)^$E$3:$N$3)*$E$2</f>
        <v>5539.90208148857</v>
      </c>
      <c r="P695" s="15" t="n">
        <f aca="false">N695*$E$2*(1+$I$670)/($F$670-$I$670)/(1+$F$670)^$N$3</f>
        <v>11022.7972295566</v>
      </c>
      <c r="Q695" s="15" t="n">
        <f aca="false">O695+P695</f>
        <v>16562.6993110452</v>
      </c>
      <c r="R695" s="15" t="n">
        <f aca="false">Q695-$G$2+$I$2</f>
        <v>15009.9993110452</v>
      </c>
      <c r="S695" s="40" t="n">
        <f aca="false">R695/$K$2</f>
        <v>54.5045183595817</v>
      </c>
      <c r="T695" s="41" t="n">
        <f aca="false">S695-$M$2</f>
        <v>-2.5017421947382E-006</v>
      </c>
    </row>
    <row r="697" customFormat="false" ht="15" hidden="false" customHeight="false" outlineLevel="0" collapsed="false">
      <c r="A697" s="36" t="s">
        <v>200</v>
      </c>
      <c r="E697" s="5" t="s">
        <v>11</v>
      </c>
      <c r="F697" s="12" t="n">
        <f aca="false">Sensitivity!$B$14</f>
        <v>0.0735093056415221</v>
      </c>
      <c r="G697" s="5" t="s">
        <v>12</v>
      </c>
      <c r="I697" s="12" t="n">
        <f aca="false">Sensitivity!$G$9</f>
        <v>0.035</v>
      </c>
    </row>
    <row r="698" customFormat="false" ht="23.85" hidden="false" customHeight="false" outlineLevel="0" collapsed="false">
      <c r="A698" s="36" t="s">
        <v>156</v>
      </c>
      <c r="B698" s="28" t="s">
        <v>157</v>
      </c>
      <c r="C698" s="28" t="s">
        <v>158</v>
      </c>
      <c r="D698" s="28" t="s">
        <v>159</v>
      </c>
      <c r="E698" s="28" t="s">
        <v>160</v>
      </c>
      <c r="F698" s="28" t="s">
        <v>161</v>
      </c>
      <c r="G698" s="28" t="s">
        <v>162</v>
      </c>
      <c r="H698" s="28" t="s">
        <v>163</v>
      </c>
      <c r="I698" s="28" t="s">
        <v>164</v>
      </c>
      <c r="J698" s="28" t="s">
        <v>165</v>
      </c>
      <c r="K698" s="28" t="s">
        <v>166</v>
      </c>
      <c r="L698" s="28" t="s">
        <v>167</v>
      </c>
      <c r="M698" s="28" t="s">
        <v>168</v>
      </c>
      <c r="N698" s="28" t="s">
        <v>169</v>
      </c>
      <c r="O698" s="28" t="s">
        <v>170</v>
      </c>
      <c r="P698" s="28" t="s">
        <v>171</v>
      </c>
      <c r="Q698" s="28" t="s">
        <v>172</v>
      </c>
      <c r="R698" s="28" t="s">
        <v>173</v>
      </c>
      <c r="S698" s="28" t="s">
        <v>174</v>
      </c>
      <c r="T698" s="28" t="s">
        <v>175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39" t="n">
        <f aca="false">(B699+C699)/2</f>
        <v>0.25</v>
      </c>
      <c r="E699" s="15" t="n">
        <f aca="false">$C$2*(1+IF(E$3&lt;=$O$2,$D699,$D699-($D699-$I$697)*MIN(E$3-$O$2,$Q$2)/$Q$2))</f>
        <v>2312.5</v>
      </c>
      <c r="F699" s="15" t="n">
        <f aca="false">E699*(1+IF(F$3&lt;=$O$2,$D699,$D699-($D699-$I$697)*MIN(F$3-$O$2,$Q$2)/$Q$2))</f>
        <v>2890.625</v>
      </c>
      <c r="G699" s="15" t="n">
        <f aca="false">F699*(1+IF(G$3&lt;=$O$2,$D699,$D699-($D699-$I$697)*MIN(G$3-$O$2,$Q$2)/$Q$2))</f>
        <v>3613.28125</v>
      </c>
      <c r="H699" s="15" t="n">
        <f aca="false">G699*(1+IF(H$3&lt;=$O$2,$D699,$D699-($D699-$I$697)*MIN(H$3-$O$2,$Q$2)/$Q$2))</f>
        <v>4516.6015625</v>
      </c>
      <c r="I699" s="15" t="n">
        <f aca="false">H699*(1+IF(I$3&lt;=$O$2,$D699,$D699-($D699-$I$697)*MIN(I$3-$O$2,$Q$2)/$Q$2))</f>
        <v>5645.751953125</v>
      </c>
      <c r="J699" s="15" t="n">
        <f aca="false">I699*(1+IF(J$3&lt;=$O$2,$D699,$D699-($D699-$I$697)*MIN(J$3-$O$2,$Q$2)/$Q$2))</f>
        <v>6814.42260742188</v>
      </c>
      <c r="K699" s="15" t="n">
        <f aca="false">J699*(1+IF(K$3&lt;=$O$2,$D699,$D699-($D699-$I$697)*MIN(K$3-$O$2,$Q$2)/$Q$2))</f>
        <v>7931.98791503906</v>
      </c>
      <c r="L699" s="15" t="n">
        <f aca="false">K699*(1+IF(L$3&lt;=$O$2,$D699,$D699-($D699-$I$697)*MIN(L$3-$O$2,$Q$2)/$Q$2))</f>
        <v>8891.75845275879</v>
      </c>
      <c r="M699" s="15" t="n">
        <f aca="false">L699*(1+IF(M$3&lt;=$O$2,$D699,$D699-($D699-$I$697)*MIN(M$3-$O$2,$Q$2)/$Q$2))</f>
        <v>9585.31561207397</v>
      </c>
      <c r="N699" s="15" t="n">
        <f aca="false">M699*(1+IF(N$3&lt;=$O$2,$D699,$D699-($D699-$I$697)*MIN(N$3-$O$2,$Q$2)/$Q$2))</f>
        <v>9920.80165849656</v>
      </c>
      <c r="O699" s="15" t="n">
        <f aca="false">SUMPRODUCT(E699:N699,1/(1+$F$697)^$E$3:$N$3)*$E$2</f>
        <v>14110.0207148132</v>
      </c>
      <c r="P699" s="15" t="n">
        <f aca="false">N699*$E$2*(1+$I$697)/($F$697-$I$697)/(1+$F$697)^$N$3</f>
        <v>47207.4529781672</v>
      </c>
      <c r="Q699" s="15" t="n">
        <f aca="false">O699+P699</f>
        <v>61317.4736929804</v>
      </c>
      <c r="R699" s="15" t="n">
        <f aca="false">Q699-$G$2+$I$2</f>
        <v>59764.7736929804</v>
      </c>
      <c r="S699" s="40" t="n">
        <f aca="false">R699/$K$2</f>
        <v>217.018677849524</v>
      </c>
      <c r="T699" s="41" t="n">
        <f aca="false">S699-$M$2</f>
        <v>162.5141569882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39" t="n">
        <f aca="false">(B700+C700)/2</f>
        <v>-0.125</v>
      </c>
      <c r="E700" s="15" t="n">
        <f aca="false">$C$2*(1+IF(E$3&lt;=$O$2,$D700,$D700-($D700-$I$697)*MIN(E$3-$O$2,$Q$2)/$Q$2))</f>
        <v>1618.75</v>
      </c>
      <c r="F700" s="15" t="n">
        <f aca="false">E700*(1+IF(F$3&lt;=$O$2,$D700,$D700-($D700-$I$697)*MIN(F$3-$O$2,$Q$2)/$Q$2))</f>
        <v>1416.40625</v>
      </c>
      <c r="G700" s="15" t="n">
        <f aca="false">F700*(1+IF(G$3&lt;=$O$2,$D700,$D700-($D700-$I$697)*MIN(G$3-$O$2,$Q$2)/$Q$2))</f>
        <v>1239.35546875</v>
      </c>
      <c r="H700" s="15" t="n">
        <f aca="false">G700*(1+IF(H$3&lt;=$O$2,$D700,$D700-($D700-$I$697)*MIN(H$3-$O$2,$Q$2)/$Q$2))</f>
        <v>1084.43603515625</v>
      </c>
      <c r="I700" s="15" t="n">
        <f aca="false">H700*(1+IF(I$3&lt;=$O$2,$D700,$D700-($D700-$I$697)*MIN(I$3-$O$2,$Q$2)/$Q$2))</f>
        <v>948.881530761719</v>
      </c>
      <c r="J700" s="15" t="n">
        <f aca="false">I700*(1+IF(J$3&lt;=$O$2,$D700,$D700-($D700-$I$697)*MIN(J$3-$O$2,$Q$2)/$Q$2))</f>
        <v>860.635548400879</v>
      </c>
      <c r="K700" s="15" t="n">
        <f aca="false">J700*(1+IF(K$3&lt;=$O$2,$D700,$D700-($D700-$I$697)*MIN(K$3-$O$2,$Q$2)/$Q$2))</f>
        <v>808.136779948425</v>
      </c>
      <c r="L700" s="15" t="n">
        <f aca="false">K700*(1+IF(L$3&lt;=$O$2,$D700,$D700-($D700-$I$697)*MIN(L$3-$O$2,$Q$2)/$Q$2))</f>
        <v>784.700813329921</v>
      </c>
      <c r="M700" s="15" t="n">
        <f aca="false">L700*(1+IF(M$3&lt;=$O$2,$D700,$D700-($D700-$I$697)*MIN(M$3-$O$2,$Q$2)/$Q$2))</f>
        <v>787.054915769911</v>
      </c>
      <c r="N700" s="15" t="n">
        <f aca="false">M700*(1+IF(N$3&lt;=$O$2,$D700,$D700-($D700-$I$697)*MIN(N$3-$O$2,$Q$2)/$Q$2))</f>
        <v>814.601837821858</v>
      </c>
      <c r="O700" s="15" t="n">
        <f aca="false">SUMPRODUCT(E700:N700,1/(1+$F$697)^$E$3:$N$3)*$E$2</f>
        <v>2712.12836165621</v>
      </c>
      <c r="P700" s="15" t="n">
        <f aca="false">N700*$E$2*(1+$I$697)/($F$697-$I$697)/(1+$F$697)^$N$3</f>
        <v>3876.22686942535</v>
      </c>
      <c r="Q700" s="15" t="n">
        <f aca="false">O700+P700</f>
        <v>6588.35523108156</v>
      </c>
      <c r="R700" s="15" t="n">
        <f aca="false">Q700-$G$2+$I$2</f>
        <v>5035.65523108156</v>
      </c>
      <c r="S700" s="40" t="n">
        <f aca="false">R700/$K$2</f>
        <v>18.2855413452978</v>
      </c>
      <c r="T700" s="41" t="n">
        <f aca="false">S700-$M$2</f>
        <v>-36.2189795160262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39" t="n">
        <f aca="false">(B701+C701)/2</f>
        <v>0.0625</v>
      </c>
      <c r="E701" s="15" t="n">
        <f aca="false">$C$2*(1+IF(E$3&lt;=$O$2,$D701,$D701-($D701-$I$697)*MIN(E$3-$O$2,$Q$2)/$Q$2))</f>
        <v>1965.625</v>
      </c>
      <c r="F701" s="15" t="n">
        <f aca="false">E701*(1+IF(F$3&lt;=$O$2,$D701,$D701-($D701-$I$697)*MIN(F$3-$O$2,$Q$2)/$Q$2))</f>
        <v>2088.4765625</v>
      </c>
      <c r="G701" s="15" t="n">
        <f aca="false">F701*(1+IF(G$3&lt;=$O$2,$D701,$D701-($D701-$I$697)*MIN(G$3-$O$2,$Q$2)/$Q$2))</f>
        <v>2219.00634765625</v>
      </c>
      <c r="H701" s="15" t="n">
        <f aca="false">G701*(1+IF(H$3&lt;=$O$2,$D701,$D701-($D701-$I$697)*MIN(H$3-$O$2,$Q$2)/$Q$2))</f>
        <v>2357.69424438477</v>
      </c>
      <c r="I701" s="15" t="n">
        <f aca="false">H701*(1+IF(I$3&lt;=$O$2,$D701,$D701-($D701-$I$697)*MIN(I$3-$O$2,$Q$2)/$Q$2))</f>
        <v>2505.05013465881</v>
      </c>
      <c r="J701" s="15" t="n">
        <f aca="false">I701*(1+IF(J$3&lt;=$O$2,$D701,$D701-($D701-$I$697)*MIN(J$3-$O$2,$Q$2)/$Q$2))</f>
        <v>2647.83799233437</v>
      </c>
      <c r="K701" s="15" t="n">
        <f aca="false">J701*(1+IF(K$3&lt;=$O$2,$D701,$D701-($D701-$I$697)*MIN(K$3-$O$2,$Q$2)/$Q$2))</f>
        <v>2784.20164893959</v>
      </c>
      <c r="L701" s="15" t="n">
        <f aca="false">K701*(1+IF(L$3&lt;=$O$2,$D701,$D701-($D701-$I$697)*MIN(L$3-$O$2,$Q$2)/$Q$2))</f>
        <v>2912.27492479081</v>
      </c>
      <c r="M701" s="15" t="n">
        <f aca="false">L701*(1+IF(M$3&lt;=$O$2,$D701,$D701-($D701-$I$697)*MIN(M$3-$O$2,$Q$2)/$Q$2))</f>
        <v>3030.22205924483</v>
      </c>
      <c r="N701" s="15" t="n">
        <f aca="false">M701*(1+IF(N$3&lt;=$O$2,$D701,$D701-($D701-$I$697)*MIN(N$3-$O$2,$Q$2)/$Q$2))</f>
        <v>3136.2798313184</v>
      </c>
      <c r="O701" s="15" t="n">
        <f aca="false">SUMPRODUCT(E701:N701,1/(1+$F$697)^$E$3:$N$3)*$E$2</f>
        <v>6185.6046954863</v>
      </c>
      <c r="P701" s="15" t="n">
        <f aca="false">N701*$E$2*(1+$I$697)/($F$697-$I$697)/(1+$F$697)^$N$3</f>
        <v>14923.772065994</v>
      </c>
      <c r="Q701" s="15" t="n">
        <f aca="false">O701+P701</f>
        <v>21109.3767614803</v>
      </c>
      <c r="R701" s="15" t="n">
        <f aca="false">Q701-$G$2+$I$2</f>
        <v>19556.6767614803</v>
      </c>
      <c r="S701" s="40" t="n">
        <f aca="false">R701/$K$2</f>
        <v>71.0144767837622</v>
      </c>
      <c r="T701" s="41" t="n">
        <f aca="false">S701-$M$2</f>
        <v>16.5099559224382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39" t="n">
        <f aca="false">(B702+C702)/2</f>
        <v>-0.03125</v>
      </c>
      <c r="E702" s="15" t="n">
        <f aca="false">$C$2*(1+IF(E$3&lt;=$O$2,$D702,$D702-($D702-$I$697)*MIN(E$3-$O$2,$Q$2)/$Q$2))</f>
        <v>1792.1875</v>
      </c>
      <c r="F702" s="15" t="n">
        <f aca="false">E702*(1+IF(F$3&lt;=$O$2,$D702,$D702-($D702-$I$697)*MIN(F$3-$O$2,$Q$2)/$Q$2))</f>
        <v>1736.181640625</v>
      </c>
      <c r="G702" s="15" t="n">
        <f aca="false">F702*(1+IF(G$3&lt;=$O$2,$D702,$D702-($D702-$I$697)*MIN(G$3-$O$2,$Q$2)/$Q$2))</f>
        <v>1681.92596435547</v>
      </c>
      <c r="H702" s="15" t="n">
        <f aca="false">G702*(1+IF(H$3&lt;=$O$2,$D702,$D702-($D702-$I$697)*MIN(H$3-$O$2,$Q$2)/$Q$2))</f>
        <v>1629.36577796936</v>
      </c>
      <c r="I702" s="15" t="n">
        <f aca="false">H702*(1+IF(I$3&lt;=$O$2,$D702,$D702-($D702-$I$697)*MIN(I$3-$O$2,$Q$2)/$Q$2))</f>
        <v>1578.44809740782</v>
      </c>
      <c r="J702" s="15" t="n">
        <f aca="false">I702*(1+IF(J$3&lt;=$O$2,$D702,$D702-($D702-$I$697)*MIN(J$3-$O$2,$Q$2)/$Q$2))</f>
        <v>1550.03603165448</v>
      </c>
      <c r="K702" s="15" t="n">
        <f aca="false">J702*(1+IF(K$3&lt;=$O$2,$D702,$D702-($D702-$I$697)*MIN(K$3-$O$2,$Q$2)/$Q$2))</f>
        <v>1542.67336050412</v>
      </c>
      <c r="L702" s="15" t="n">
        <f aca="false">K702*(1+IF(L$3&lt;=$O$2,$D702,$D702-($D702-$I$697)*MIN(L$3-$O$2,$Q$2)/$Q$2))</f>
        <v>1555.7860840684</v>
      </c>
      <c r="M702" s="15" t="n">
        <f aca="false">L702*(1+IF(M$3&lt;=$O$2,$D702,$D702-($D702-$I$697)*MIN(M$3-$O$2,$Q$2)/$Q$2))</f>
        <v>1589.62443139689</v>
      </c>
      <c r="N702" s="15" t="n">
        <f aca="false">M702*(1+IF(N$3&lt;=$O$2,$D702,$D702-($D702-$I$697)*MIN(N$3-$O$2,$Q$2)/$Q$2))</f>
        <v>1645.26128649578</v>
      </c>
      <c r="O702" s="15" t="n">
        <f aca="false">SUMPRODUCT(E702:N702,1/(1+$F$697)^$E$3:$N$3)*$E$2</f>
        <v>4085.35827424595</v>
      </c>
      <c r="P702" s="15" t="n">
        <f aca="false">N702*$E$2*(1+$I$697)/($F$697-$I$697)/(1+$F$697)^$N$3</f>
        <v>7828.86277668197</v>
      </c>
      <c r="Q702" s="15" t="n">
        <f aca="false">O702+P702</f>
        <v>11914.2210509279</v>
      </c>
      <c r="R702" s="15" t="n">
        <f aca="false">Q702-$G$2+$I$2</f>
        <v>10361.5210509279</v>
      </c>
      <c r="S702" s="40" t="n">
        <f aca="false">R702/$K$2</f>
        <v>37.624899418744</v>
      </c>
      <c r="T702" s="41" t="n">
        <f aca="false">S702-$M$2</f>
        <v>-16.8796214425799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39" t="n">
        <f aca="false">(B703+C703)/2</f>
        <v>0.015625</v>
      </c>
      <c r="E703" s="15" t="n">
        <f aca="false">$C$2*(1+IF(E$3&lt;=$O$2,$D703,$D703-($D703-$I$697)*MIN(E$3-$O$2,$Q$2)/$Q$2))</f>
        <v>1878.90625</v>
      </c>
      <c r="F703" s="15" t="n">
        <f aca="false">E703*(1+IF(F$3&lt;=$O$2,$D703,$D703-($D703-$I$697)*MIN(F$3-$O$2,$Q$2)/$Q$2))</f>
        <v>1908.26416015625</v>
      </c>
      <c r="G703" s="15" t="n">
        <f aca="false">F703*(1+IF(G$3&lt;=$O$2,$D703,$D703-($D703-$I$697)*MIN(G$3-$O$2,$Q$2)/$Q$2))</f>
        <v>1938.08078765869</v>
      </c>
      <c r="H703" s="15" t="n">
        <f aca="false">G703*(1+IF(H$3&lt;=$O$2,$D703,$D703-($D703-$I$697)*MIN(H$3-$O$2,$Q$2)/$Q$2))</f>
        <v>1968.36329996586</v>
      </c>
      <c r="I703" s="15" t="n">
        <f aca="false">H703*(1+IF(I$3&lt;=$O$2,$D703,$D703-($D703-$I$697)*MIN(I$3-$O$2,$Q$2)/$Q$2))</f>
        <v>1999.11897652783</v>
      </c>
      <c r="J703" s="15" t="n">
        <f aca="false">I703*(1+IF(J$3&lt;=$O$2,$D703,$D703-($D703-$I$697)*MIN(J$3-$O$2,$Q$2)/$Q$2))</f>
        <v>2038.10179657012</v>
      </c>
      <c r="K703" s="15" t="n">
        <f aca="false">J703*(1+IF(K$3&lt;=$O$2,$D703,$D703-($D703-$I$697)*MIN(K$3-$O$2,$Q$2)/$Q$2))</f>
        <v>2085.74242606494</v>
      </c>
      <c r="L703" s="15" t="n">
        <f aca="false">K703*(1+IF(L$3&lt;=$O$2,$D703,$D703-($D703-$I$697)*MIN(L$3-$O$2,$Q$2)/$Q$2))</f>
        <v>2142.57890717521</v>
      </c>
      <c r="M703" s="15" t="n">
        <f aca="false">L703*(1+IF(M$3&lt;=$O$2,$D703,$D703-($D703-$I$697)*MIN(M$3-$O$2,$Q$2)/$Q$2))</f>
        <v>2209.26667566104</v>
      </c>
      <c r="N703" s="15" t="n">
        <f aca="false">M703*(1+IF(N$3&lt;=$O$2,$D703,$D703-($D703-$I$697)*MIN(N$3-$O$2,$Q$2)/$Q$2))</f>
        <v>2286.59100930918</v>
      </c>
      <c r="O703" s="15" t="n">
        <f aca="false">SUMPRODUCT(E703:N703,1/(1+$F$697)^$E$3:$N$3)*$E$2</f>
        <v>5025.47246054193</v>
      </c>
      <c r="P703" s="15" t="n">
        <f aca="false">N703*$E$2*(1+$I$697)/($F$697-$I$697)/(1+$F$697)^$N$3</f>
        <v>10880.586193336</v>
      </c>
      <c r="Q703" s="15" t="n">
        <f aca="false">O703+P703</f>
        <v>15906.058653878</v>
      </c>
      <c r="R703" s="15" t="n">
        <f aca="false">Q703-$G$2+$I$2</f>
        <v>14353.358653878</v>
      </c>
      <c r="S703" s="40" t="n">
        <f aca="false">R703/$K$2</f>
        <v>52.1201156682449</v>
      </c>
      <c r="T703" s="41" t="n">
        <f aca="false">S703-$M$2</f>
        <v>-2.38440519307902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0.015625</v>
      </c>
      <c r="C704" s="25" t="n">
        <f aca="false">IF(T703&gt;0,D703,C703)</f>
        <v>0.0625</v>
      </c>
      <c r="D704" s="39" t="n">
        <f aca="false">(B704+C704)/2</f>
        <v>0.0390625</v>
      </c>
      <c r="E704" s="15" t="n">
        <f aca="false">$C$2*(1+IF(E$3&lt;=$O$2,$D704,$D704-($D704-$I$697)*MIN(E$3-$O$2,$Q$2)/$Q$2))</f>
        <v>1922.265625</v>
      </c>
      <c r="F704" s="15" t="n">
        <f aca="false">E704*(1+IF(F$3&lt;=$O$2,$D704,$D704-($D704-$I$697)*MIN(F$3-$O$2,$Q$2)/$Q$2))</f>
        <v>1997.35412597656</v>
      </c>
      <c r="G704" s="15" t="n">
        <f aca="false">F704*(1+IF(G$3&lt;=$O$2,$D704,$D704-($D704-$I$697)*MIN(G$3-$O$2,$Q$2)/$Q$2))</f>
        <v>2075.37577152252</v>
      </c>
      <c r="H704" s="15" t="n">
        <f aca="false">G704*(1+IF(H$3&lt;=$O$2,$D704,$D704-($D704-$I$697)*MIN(H$3-$O$2,$Q$2)/$Q$2))</f>
        <v>2156.44513759762</v>
      </c>
      <c r="I704" s="15" t="n">
        <f aca="false">H704*(1+IF(I$3&lt;=$O$2,$D704,$D704-($D704-$I$697)*MIN(I$3-$O$2,$Q$2)/$Q$2))</f>
        <v>2240.68127578503</v>
      </c>
      <c r="J704" s="15" t="n">
        <f aca="false">I704*(1+IF(J$3&lt;=$O$2,$D704,$D704-($D704-$I$697)*MIN(J$3-$O$2,$Q$2)/$Q$2))</f>
        <v>2326.3873345838</v>
      </c>
      <c r="K704" s="15" t="n">
        <f aca="false">J704*(1+IF(K$3&lt;=$O$2,$D704,$D704-($D704-$I$697)*MIN(K$3-$O$2,$Q$2)/$Q$2))</f>
        <v>2413.48146042229</v>
      </c>
      <c r="L704" s="15" t="n">
        <f aca="false">K704*(1+IF(L$3&lt;=$O$2,$D704,$D704-($D704-$I$697)*MIN(L$3-$O$2,$Q$2)/$Q$2))</f>
        <v>2501.87521891025</v>
      </c>
      <c r="M704" s="15" t="n">
        <f aca="false">L704*(1+IF(M$3&lt;=$O$2,$D704,$D704-($D704-$I$697)*MIN(M$3-$O$2,$Q$2)/$Q$2))</f>
        <v>2591.47362518748</v>
      </c>
      <c r="N704" s="15" t="n">
        <f aca="false">M704*(1+IF(N$3&lt;=$O$2,$D704,$D704-($D704-$I$697)*MIN(N$3-$O$2,$Q$2)/$Q$2))</f>
        <v>2682.17520206904</v>
      </c>
      <c r="O704" s="15" t="n">
        <f aca="false">SUMPRODUCT(E704:N704,1/(1+$F$697)^$E$3:$N$3)*$E$2</f>
        <v>5575.26416016999</v>
      </c>
      <c r="P704" s="15" t="n">
        <f aca="false">N704*$E$2*(1+$I$697)/($F$697-$I$697)/(1+$F$697)^$N$3</f>
        <v>12762.9463917806</v>
      </c>
      <c r="Q704" s="15" t="n">
        <f aca="false">O704+P704</f>
        <v>18338.2105519506</v>
      </c>
      <c r="R704" s="15" t="n">
        <f aca="false">Q704-$G$2+$I$2</f>
        <v>16785.5105519506</v>
      </c>
      <c r="S704" s="40" t="n">
        <f aca="false">R704/$K$2</f>
        <v>60.9517794834621</v>
      </c>
      <c r="T704" s="41" t="n">
        <f aca="false">S704-$M$2</f>
        <v>6.44725862213817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0.015625</v>
      </c>
      <c r="C705" s="25" t="n">
        <f aca="false">IF(T704&gt;0,D704,C704)</f>
        <v>0.0390625</v>
      </c>
      <c r="D705" s="39" t="n">
        <f aca="false">(B705+C705)/2</f>
        <v>0.02734375</v>
      </c>
      <c r="E705" s="15" t="n">
        <f aca="false">$C$2*(1+IF(E$3&lt;=$O$2,$D705,$D705-($D705-$I$697)*MIN(E$3-$O$2,$Q$2)/$Q$2))</f>
        <v>1900.5859375</v>
      </c>
      <c r="F705" s="15" t="n">
        <f aca="false">E705*(1+IF(F$3&lt;=$O$2,$D705,$D705-($D705-$I$697)*MIN(F$3-$O$2,$Q$2)/$Q$2))</f>
        <v>1952.55508422852</v>
      </c>
      <c r="G705" s="15" t="n">
        <f aca="false">F705*(1+IF(G$3&lt;=$O$2,$D705,$D705-($D705-$I$697)*MIN(G$3-$O$2,$Q$2)/$Q$2))</f>
        <v>2005.94526231289</v>
      </c>
      <c r="H705" s="15" t="n">
        <f aca="false">G705*(1+IF(H$3&lt;=$O$2,$D705,$D705-($D705-$I$697)*MIN(H$3-$O$2,$Q$2)/$Q$2))</f>
        <v>2060.79532807926</v>
      </c>
      <c r="I705" s="15" t="n">
        <f aca="false">H705*(1+IF(I$3&lt;=$O$2,$D705,$D705-($D705-$I$697)*MIN(I$3-$O$2,$Q$2)/$Q$2))</f>
        <v>2117.14520033142</v>
      </c>
      <c r="J705" s="15" t="n">
        <f aca="false">I705*(1+IF(J$3&lt;=$O$2,$D705,$D705-($D705-$I$697)*MIN(J$3-$O$2,$Q$2)/$Q$2))</f>
        <v>2178.27776799099</v>
      </c>
      <c r="K705" s="15" t="n">
        <f aca="false">J705*(1+IF(K$3&lt;=$O$2,$D705,$D705-($D705-$I$697)*MIN(K$3-$O$2,$Q$2)/$Q$2))</f>
        <v>2244.51102637397</v>
      </c>
      <c r="L705" s="15" t="n">
        <f aca="false">K705*(1+IF(L$3&lt;=$O$2,$D705,$D705-($D705-$I$697)*MIN(L$3-$O$2,$Q$2)/$Q$2))</f>
        <v>2316.19509727879</v>
      </c>
      <c r="M705" s="15" t="n">
        <f aca="false">L705*(1+IF(M$3&lt;=$O$2,$D705,$D705-($D705-$I$697)*MIN(M$3-$O$2,$Q$2)/$Q$2))</f>
        <v>2393.71525194084</v>
      </c>
      <c r="N705" s="15" t="n">
        <f aca="false">M705*(1+IF(N$3&lt;=$O$2,$D705,$D705-($D705-$I$697)*MIN(N$3-$O$2,$Q$2)/$Q$2))</f>
        <v>2477.49528575877</v>
      </c>
      <c r="O705" s="15" t="n">
        <f aca="false">SUMPRODUCT(E705:N705,1/(1+$F$697)^$E$3:$N$3)*$E$2</f>
        <v>5293.16483177897</v>
      </c>
      <c r="P705" s="15" t="n">
        <f aca="false">N705*$E$2*(1+$I$697)/($F$697-$I$697)/(1+$F$697)^$N$3</f>
        <v>11788.9910747205</v>
      </c>
      <c r="Q705" s="15" t="n">
        <f aca="false">O705+P705</f>
        <v>17082.1559064994</v>
      </c>
      <c r="R705" s="15" t="n">
        <f aca="false">Q705-$G$2+$I$2</f>
        <v>15529.4559064994</v>
      </c>
      <c r="S705" s="40" t="n">
        <f aca="false">R705/$K$2</f>
        <v>56.3907763771358</v>
      </c>
      <c r="T705" s="41" t="n">
        <f aca="false">S705-$M$2</f>
        <v>1.88625551581186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0.015625</v>
      </c>
      <c r="C706" s="25" t="n">
        <f aca="false">IF(T705&gt;0,D705,C705)</f>
        <v>0.02734375</v>
      </c>
      <c r="D706" s="39" t="n">
        <f aca="false">(B706+C706)/2</f>
        <v>0.021484375</v>
      </c>
      <c r="E706" s="15" t="n">
        <f aca="false">$C$2*(1+IF(E$3&lt;=$O$2,$D706,$D706-($D706-$I$697)*MIN(E$3-$O$2,$Q$2)/$Q$2))</f>
        <v>1889.74609375</v>
      </c>
      <c r="F706" s="15" t="n">
        <f aca="false">E706*(1+IF(F$3&lt;=$O$2,$D706,$D706-($D706-$I$697)*MIN(F$3-$O$2,$Q$2)/$Q$2))</f>
        <v>1930.34610748291</v>
      </c>
      <c r="G706" s="15" t="n">
        <f aca="false">F706*(1+IF(G$3&lt;=$O$2,$D706,$D706-($D706-$I$697)*MIN(G$3-$O$2,$Q$2)/$Q$2))</f>
        <v>1971.81838713586</v>
      </c>
      <c r="H706" s="15" t="n">
        <f aca="false">G706*(1+IF(H$3&lt;=$O$2,$D706,$D706-($D706-$I$697)*MIN(H$3-$O$2,$Q$2)/$Q$2))</f>
        <v>2014.18167279699</v>
      </c>
      <c r="I706" s="15" t="n">
        <f aca="false">H706*(1+IF(I$3&lt;=$O$2,$D706,$D706-($D706-$I$697)*MIN(I$3-$O$2,$Q$2)/$Q$2))</f>
        <v>2057.45510717348</v>
      </c>
      <c r="J706" s="15" t="n">
        <f aca="false">I706*(1+IF(J$3&lt;=$O$2,$D706,$D706-($D706-$I$697)*MIN(J$3-$O$2,$Q$2)/$Q$2))</f>
        <v>2107.21980257824</v>
      </c>
      <c r="K706" s="15" t="n">
        <f aca="false">J706*(1+IF(K$3&lt;=$O$2,$D706,$D706-($D706-$I$697)*MIN(K$3-$O$2,$Q$2)/$Q$2))</f>
        <v>2163.88426008195</v>
      </c>
      <c r="L706" s="15" t="n">
        <f aca="false">K706*(1+IF(L$3&lt;=$O$2,$D706,$D706-($D706-$I$697)*MIN(L$3-$O$2,$Q$2)/$Q$2))</f>
        <v>2227.92170990375</v>
      </c>
      <c r="M706" s="15" t="n">
        <f aca="false">L706*(1+IF(M$3&lt;=$O$2,$D706,$D706-($D706-$I$697)*MIN(M$3-$O$2,$Q$2)/$Q$2))</f>
        <v>2299.8766188783</v>
      </c>
      <c r="N706" s="15" t="n">
        <f aca="false">M706*(1+IF(N$3&lt;=$O$2,$D706,$D706-($D706-$I$697)*MIN(N$3-$O$2,$Q$2)/$Q$2))</f>
        <v>2380.37230053904</v>
      </c>
      <c r="O706" s="15" t="n">
        <f aca="false">SUMPRODUCT(E706:N706,1/(1+$F$697)^$E$3:$N$3)*$E$2</f>
        <v>5157.56173758806</v>
      </c>
      <c r="P706" s="15" t="n">
        <f aca="false">N706*$E$2*(1+$I$697)/($F$697-$I$697)/(1+$F$697)^$N$3</f>
        <v>11326.8380234161</v>
      </c>
      <c r="Q706" s="15" t="n">
        <f aca="false">O706+P706</f>
        <v>16484.3997610041</v>
      </c>
      <c r="R706" s="15" t="n">
        <f aca="false">Q706-$G$2+$I$2</f>
        <v>14931.6997610041</v>
      </c>
      <c r="S706" s="40" t="n">
        <f aca="false">R706/$K$2</f>
        <v>54.2201959439491</v>
      </c>
      <c r="T706" s="41" t="n">
        <f aca="false">S706-$M$2</f>
        <v>-0.284324917374846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0.021484375</v>
      </c>
      <c r="C707" s="25" t="n">
        <f aca="false">IF(T706&gt;0,D706,C706)</f>
        <v>0.02734375</v>
      </c>
      <c r="D707" s="39" t="n">
        <f aca="false">(B707+C707)/2</f>
        <v>0.0244140625</v>
      </c>
      <c r="E707" s="15" t="n">
        <f aca="false">$C$2*(1+IF(E$3&lt;=$O$2,$D707,$D707-($D707-$I$697)*MIN(E$3-$O$2,$Q$2)/$Q$2))</f>
        <v>1895.166015625</v>
      </c>
      <c r="F707" s="15" t="n">
        <f aca="false">E707*(1+IF(F$3&lt;=$O$2,$D707,$D707-($D707-$I$697)*MIN(F$3-$O$2,$Q$2)/$Q$2))</f>
        <v>1941.43471717834</v>
      </c>
      <c r="G707" s="15" t="n">
        <f aca="false">F707*(1+IF(G$3&lt;=$O$2,$D707,$D707-($D707-$I$697)*MIN(G$3-$O$2,$Q$2)/$Q$2))</f>
        <v>1988.83302570321</v>
      </c>
      <c r="H707" s="15" t="n">
        <f aca="false">G707*(1+IF(H$3&lt;=$O$2,$D707,$D707-($D707-$I$697)*MIN(H$3-$O$2,$Q$2)/$Q$2))</f>
        <v>2037.38851949479</v>
      </c>
      <c r="I707" s="15" t="n">
        <f aca="false">H707*(1+IF(I$3&lt;=$O$2,$D707,$D707-($D707-$I$697)*MIN(I$3-$O$2,$Q$2)/$Q$2))</f>
        <v>2087.12945014652</v>
      </c>
      <c r="J707" s="15" t="n">
        <f aca="false">I707*(1+IF(J$3&lt;=$O$2,$D707,$D707-($D707-$I$697)*MIN(J$3-$O$2,$Q$2)/$Q$2))</f>
        <v>2142.50360337072</v>
      </c>
      <c r="K707" s="15" t="n">
        <f aca="false">J707*(1+IF(K$3&lt;=$O$2,$D707,$D707-($D707-$I$697)*MIN(K$3-$O$2,$Q$2)/$Q$2))</f>
        <v>2203.88298394541</v>
      </c>
      <c r="L707" s="15" t="n">
        <f aca="false">K707*(1+IF(L$3&lt;=$O$2,$D707,$D707-($D707-$I$697)*MIN(L$3-$O$2,$Q$2)/$Q$2))</f>
        <v>2271.68682137335</v>
      </c>
      <c r="M707" s="15" t="n">
        <f aca="false">L707*(1+IF(M$3&lt;=$O$2,$D707,$D707-($D707-$I$697)*MIN(M$3-$O$2,$Q$2)/$Q$2))</f>
        <v>2346.38627317929</v>
      </c>
      <c r="N707" s="15" t="n">
        <f aca="false">M707*(1+IF(N$3&lt;=$O$2,$D707,$D707-($D707-$I$697)*MIN(N$3-$O$2,$Q$2)/$Q$2))</f>
        <v>2428.50979274057</v>
      </c>
      <c r="O707" s="15" t="n">
        <f aca="false">SUMPRODUCT(E707:N707,1/(1+$F$697)^$E$3:$N$3)*$E$2</f>
        <v>5224.91863568928</v>
      </c>
      <c r="P707" s="15" t="n">
        <f aca="false">N707*$E$2*(1+$I$697)/($F$697-$I$697)/(1+$F$697)^$N$3</f>
        <v>11555.8969722607</v>
      </c>
      <c r="Q707" s="15" t="n">
        <f aca="false">O707+P707</f>
        <v>16780.8156079499</v>
      </c>
      <c r="R707" s="15" t="n">
        <f aca="false">Q707-$G$2+$I$2</f>
        <v>15228.1156079499</v>
      </c>
      <c r="S707" s="40" t="n">
        <f aca="false">R707/$K$2</f>
        <v>55.2965452919494</v>
      </c>
      <c r="T707" s="41" t="n">
        <f aca="false">S707-$M$2</f>
        <v>0.792024430625446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0.021484375</v>
      </c>
      <c r="C708" s="25" t="n">
        <f aca="false">IF(T707&gt;0,D707,C707)</f>
        <v>0.0244140625</v>
      </c>
      <c r="D708" s="39" t="n">
        <f aca="false">(B708+C708)/2</f>
        <v>0.02294921875</v>
      </c>
      <c r="E708" s="15" t="n">
        <f aca="false">$C$2*(1+IF(E$3&lt;=$O$2,$D708,$D708-($D708-$I$697)*MIN(E$3-$O$2,$Q$2)/$Q$2))</f>
        <v>1892.4560546875</v>
      </c>
      <c r="F708" s="15" t="n">
        <f aca="false">E708*(1+IF(F$3&lt;=$O$2,$D708,$D708-($D708-$I$697)*MIN(F$3-$O$2,$Q$2)/$Q$2))</f>
        <v>1935.88644266129</v>
      </c>
      <c r="G708" s="15" t="n">
        <f aca="false">F708*(1+IF(G$3&lt;=$O$2,$D708,$D708-($D708-$I$697)*MIN(G$3-$O$2,$Q$2)/$Q$2))</f>
        <v>1980.31352410908</v>
      </c>
      <c r="H708" s="15" t="n">
        <f aca="false">G708*(1+IF(H$3&lt;=$O$2,$D708,$D708-($D708-$I$697)*MIN(H$3-$O$2,$Q$2)/$Q$2))</f>
        <v>2025.76017236744</v>
      </c>
      <c r="I708" s="15" t="n">
        <f aca="false">H708*(1+IF(I$3&lt;=$O$2,$D708,$D708-($D708-$I$697)*MIN(I$3-$O$2,$Q$2)/$Q$2))</f>
        <v>2072.24978569814</v>
      </c>
      <c r="J708" s="15" t="n">
        <f aca="false">I708*(1+IF(J$3&lt;=$O$2,$D708,$D708-($D708-$I$697)*MIN(J$3-$O$2,$Q$2)/$Q$2))</f>
        <v>2124.80074510733</v>
      </c>
      <c r="K708" s="15" t="n">
        <f aca="false">J708*(1+IF(K$3&lt;=$O$2,$D708,$D708-($D708-$I$697)*MIN(K$3-$O$2,$Q$2)/$Q$2))</f>
        <v>2183.80546579861</v>
      </c>
      <c r="L708" s="15" t="n">
        <f aca="false">K708*(1+IF(L$3&lt;=$O$2,$D708,$D708-($D708-$I$697)*MIN(L$3-$O$2,$Q$2)/$Q$2))</f>
        <v>2249.7120323172</v>
      </c>
      <c r="M708" s="15" t="n">
        <f aca="false">L708*(1+IF(M$3&lt;=$O$2,$D708,$D708-($D708-$I$697)*MIN(M$3-$O$2,$Q$2)/$Q$2))</f>
        <v>2323.02979593292</v>
      </c>
      <c r="N708" s="15" t="n">
        <f aca="false">M708*(1+IF(N$3&lt;=$O$2,$D708,$D708-($D708-$I$697)*MIN(N$3-$O$2,$Q$2)/$Q$2))</f>
        <v>2404.33583879057</v>
      </c>
      <c r="O708" s="15" t="n">
        <f aca="false">SUMPRODUCT(E708:N708,1/(1+$F$697)^$E$3:$N$3)*$E$2</f>
        <v>5191.12970665736</v>
      </c>
      <c r="P708" s="15" t="n">
        <f aca="false">N708*$E$2*(1+$I$697)/($F$697-$I$697)/(1+$F$697)^$N$3</f>
        <v>11440.8668735172</v>
      </c>
      <c r="Q708" s="15" t="n">
        <f aca="false">O708+P708</f>
        <v>16631.9965801746</v>
      </c>
      <c r="R708" s="15" t="n">
        <f aca="false">Q708-$G$2+$I$2</f>
        <v>15079.2965801746</v>
      </c>
      <c r="S708" s="40" t="n">
        <f aca="false">R708/$K$2</f>
        <v>54.7561515675027</v>
      </c>
      <c r="T708" s="41" t="n">
        <f aca="false">S708-$M$2</f>
        <v>0.251630706178773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0.021484375</v>
      </c>
      <c r="C709" s="25" t="n">
        <f aca="false">IF(T708&gt;0,D708,C708)</f>
        <v>0.02294921875</v>
      </c>
      <c r="D709" s="39" t="n">
        <f aca="false">(B709+C709)/2</f>
        <v>0.022216796875</v>
      </c>
      <c r="E709" s="15" t="n">
        <f aca="false">$C$2*(1+IF(E$3&lt;=$O$2,$D709,$D709-($D709-$I$697)*MIN(E$3-$O$2,$Q$2)/$Q$2))</f>
        <v>1891.10107421875</v>
      </c>
      <c r="F709" s="15" t="n">
        <f aca="false">E709*(1+IF(F$3&lt;=$O$2,$D709,$D709-($D709-$I$697)*MIN(F$3-$O$2,$Q$2)/$Q$2))</f>
        <v>1933.11528265476</v>
      </c>
      <c r="G709" s="15" t="n">
        <f aca="false">F709*(1+IF(G$3&lt;=$O$2,$D709,$D709-($D709-$I$697)*MIN(G$3-$O$2,$Q$2)/$Q$2))</f>
        <v>1976.06291222546</v>
      </c>
      <c r="H709" s="15" t="n">
        <f aca="false">G709*(1+IF(H$3&lt;=$O$2,$D709,$D709-($D709-$I$697)*MIN(H$3-$O$2,$Q$2)/$Q$2))</f>
        <v>2019.9647005586</v>
      </c>
      <c r="I709" s="15" t="n">
        <f aca="false">H709*(1+IF(I$3&lt;=$O$2,$D709,$D709-($D709-$I$697)*MIN(I$3-$O$2,$Q$2)/$Q$2))</f>
        <v>2064.84184600558</v>
      </c>
      <c r="J709" s="15" t="n">
        <f aca="false">I709*(1+IF(J$3&lt;=$O$2,$D709,$D709-($D709-$I$697)*MIN(J$3-$O$2,$Q$2)/$Q$2))</f>
        <v>2115.99507642498</v>
      </c>
      <c r="K709" s="15" t="n">
        <f aca="false">J709*(1+IF(K$3&lt;=$O$2,$D709,$D709-($D709-$I$697)*MIN(K$3-$O$2,$Q$2)/$Q$2))</f>
        <v>2173.82538717579</v>
      </c>
      <c r="L709" s="15" t="n">
        <f aca="false">K709*(1+IF(L$3&lt;=$O$2,$D709,$D709-($D709-$I$697)*MIN(L$3-$O$2,$Q$2)/$Q$2))</f>
        <v>2238.79389513392</v>
      </c>
      <c r="M709" s="15" t="n">
        <f aca="false">L709*(1+IF(M$3&lt;=$O$2,$D709,$D709-($D709-$I$697)*MIN(M$3-$O$2,$Q$2)/$Q$2))</f>
        <v>2311.42789004031</v>
      </c>
      <c r="N709" s="15" t="n">
        <f aca="false">M709*(1+IF(N$3&lt;=$O$2,$D709,$D709-($D709-$I$697)*MIN(N$3-$O$2,$Q$2)/$Q$2))</f>
        <v>2392.32786619172</v>
      </c>
      <c r="O709" s="15" t="n">
        <f aca="false">SUMPRODUCT(E709:N709,1/(1+$F$697)^$E$3:$N$3)*$E$2</f>
        <v>5174.31818701233</v>
      </c>
      <c r="P709" s="15" t="n">
        <f aca="false">N709*$E$2*(1+$I$697)/($F$697-$I$697)/(1+$F$697)^$N$3</f>
        <v>11383.7277610406</v>
      </c>
      <c r="Q709" s="15" t="n">
        <f aca="false">O709+P709</f>
        <v>16558.0459480529</v>
      </c>
      <c r="R709" s="15" t="n">
        <f aca="false">Q709-$G$2+$I$2</f>
        <v>15005.3459480529</v>
      </c>
      <c r="S709" s="40" t="n">
        <f aca="false">R709/$K$2</f>
        <v>54.4876210031334</v>
      </c>
      <c r="T709" s="41" t="n">
        <f aca="false">S709-$M$2</f>
        <v>-0.0168998581905697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0.022216796875</v>
      </c>
      <c r="C710" s="25" t="n">
        <f aca="false">IF(T709&gt;0,D709,C709)</f>
        <v>0.02294921875</v>
      </c>
      <c r="D710" s="39" t="n">
        <f aca="false">(B710+C710)/2</f>
        <v>0.0225830078125</v>
      </c>
      <c r="E710" s="15" t="n">
        <f aca="false">$C$2*(1+IF(E$3&lt;=$O$2,$D710,$D710-($D710-$I$697)*MIN(E$3-$O$2,$Q$2)/$Q$2))</f>
        <v>1891.77856445313</v>
      </c>
      <c r="F710" s="15" t="n">
        <f aca="false">E710*(1+IF(F$3&lt;=$O$2,$D710,$D710-($D710-$I$697)*MIN(F$3-$O$2,$Q$2)/$Q$2))</f>
        <v>1934.50061455369</v>
      </c>
      <c r="G710" s="15" t="n">
        <f aca="false">F710*(1+IF(G$3&lt;=$O$2,$D710,$D710-($D710-$I$697)*MIN(G$3-$O$2,$Q$2)/$Q$2))</f>
        <v>1978.18745704544</v>
      </c>
      <c r="H710" s="15" t="n">
        <f aca="false">G710*(1+IF(H$3&lt;=$O$2,$D710,$D710-($D710-$I$697)*MIN(H$3-$O$2,$Q$2)/$Q$2))</f>
        <v>2022.86087984249</v>
      </c>
      <c r="I710" s="15" t="n">
        <f aca="false">H710*(1+IF(I$3&lt;=$O$2,$D710,$D710-($D710-$I$697)*MIN(I$3-$O$2,$Q$2)/$Q$2))</f>
        <v>2068.54316289557</v>
      </c>
      <c r="J710" s="15" t="n">
        <f aca="false">I710*(1+IF(J$3&lt;=$O$2,$D710,$D710-($D710-$I$697)*MIN(J$3-$O$2,$Q$2)/$Q$2))</f>
        <v>2120.39410616237</v>
      </c>
      <c r="K710" s="15" t="n">
        <f aca="false">J710*(1+IF(K$3&lt;=$O$2,$D710,$D710-($D710-$I$697)*MIN(K$3-$O$2,$Q$2)/$Q$2))</f>
        <v>2178.81054964767</v>
      </c>
      <c r="L710" s="15" t="n">
        <f aca="false">K710*(1+IF(L$3&lt;=$O$2,$D710,$D710-($D710-$I$697)*MIN(L$3-$O$2,$Q$2)/$Q$2))</f>
        <v>2244.24720945613</v>
      </c>
      <c r="M710" s="15" t="n">
        <f aca="false">L710*(1+IF(M$3&lt;=$O$2,$D710,$D710-($D710-$I$697)*MIN(M$3-$O$2,$Q$2)/$Q$2))</f>
        <v>2317.22250177377</v>
      </c>
      <c r="N710" s="15" t="n">
        <f aca="false">M710*(1+IF(N$3&lt;=$O$2,$D710,$D710-($D710-$I$697)*MIN(N$3-$O$2,$Q$2)/$Q$2))</f>
        <v>2398.32528933585</v>
      </c>
      <c r="O710" s="15" t="n">
        <f aca="false">SUMPRODUCT(E710:N710,1/(1+$F$697)^$E$3:$N$3)*$E$2</f>
        <v>5182.71705246437</v>
      </c>
      <c r="P710" s="15" t="n">
        <f aca="false">N710*$E$2*(1+$I$697)/($F$697-$I$697)/(1+$F$697)^$N$3</f>
        <v>11412.2660869554</v>
      </c>
      <c r="Q710" s="15" t="n">
        <f aca="false">O710+P710</f>
        <v>16594.9831394198</v>
      </c>
      <c r="R710" s="15" t="n">
        <f aca="false">Q710-$G$2+$I$2</f>
        <v>15042.2831394198</v>
      </c>
      <c r="S710" s="40" t="n">
        <f aca="false">R710/$K$2</f>
        <v>54.6217478463989</v>
      </c>
      <c r="T710" s="41" t="n">
        <f aca="false">S710-$M$2</f>
        <v>0.117226985074964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0.022216796875</v>
      </c>
      <c r="C711" s="25" t="n">
        <f aca="false">IF(T710&gt;0,D710,C710)</f>
        <v>0.0225830078125</v>
      </c>
      <c r="D711" s="39" t="n">
        <f aca="false">(B711+C711)/2</f>
        <v>0.02239990234375</v>
      </c>
      <c r="E711" s="15" t="n">
        <f aca="false">$C$2*(1+IF(E$3&lt;=$O$2,$D711,$D711-($D711-$I$697)*MIN(E$3-$O$2,$Q$2)/$Q$2))</f>
        <v>1891.43981933594</v>
      </c>
      <c r="F711" s="15" t="n">
        <f aca="false">E711*(1+IF(F$3&lt;=$O$2,$D711,$D711-($D711-$I$697)*MIN(F$3-$O$2,$Q$2)/$Q$2))</f>
        <v>1933.80788657814</v>
      </c>
      <c r="G711" s="15" t="n">
        <f aca="false">F711*(1+IF(G$3&lt;=$O$2,$D711,$D711-($D711-$I$697)*MIN(G$3-$O$2,$Q$2)/$Q$2))</f>
        <v>1977.12499438907</v>
      </c>
      <c r="H711" s="15" t="n">
        <f aca="false">G711*(1+IF(H$3&lt;=$O$2,$D711,$D711-($D711-$I$697)*MIN(H$3-$O$2,$Q$2)/$Q$2))</f>
        <v>2021.41240118477</v>
      </c>
      <c r="I711" s="15" t="n">
        <f aca="false">H711*(1+IF(I$3&lt;=$O$2,$D711,$D711-($D711-$I$697)*MIN(I$3-$O$2,$Q$2)/$Q$2))</f>
        <v>2066.69184156775</v>
      </c>
      <c r="J711" s="15" t="n">
        <f aca="false">I711*(1+IF(J$3&lt;=$O$2,$D711,$D711-($D711-$I$697)*MIN(J$3-$O$2,$Q$2)/$Q$2))</f>
        <v>2118.19364079932</v>
      </c>
      <c r="K711" s="15" t="n">
        <f aca="false">J711*(1+IF(K$3&lt;=$O$2,$D711,$D711-($D711-$I$697)*MIN(K$3-$O$2,$Q$2)/$Q$2))</f>
        <v>2176.31675018995</v>
      </c>
      <c r="L711" s="15" t="n">
        <f aca="false">K711*(1+IF(L$3&lt;=$O$2,$D711,$D711-($D711-$I$697)*MIN(L$3-$O$2,$Q$2)/$Q$2))</f>
        <v>2241.51911501326</v>
      </c>
      <c r="M711" s="15" t="n">
        <f aca="false">L711*(1+IF(M$3&lt;=$O$2,$D711,$D711-($D711-$I$697)*MIN(M$3-$O$2,$Q$2)/$Q$2))</f>
        <v>2314.32361208923</v>
      </c>
      <c r="N711" s="15" t="n">
        <f aca="false">M711*(1+IF(N$3&lt;=$O$2,$D711,$D711-($D711-$I$697)*MIN(N$3-$O$2,$Q$2)/$Q$2))</f>
        <v>2395.32493851235</v>
      </c>
      <c r="O711" s="15" t="n">
        <f aca="false">SUMPRODUCT(E711:N711,1/(1+$F$697)^$E$3:$N$3)*$E$2</f>
        <v>5178.51589747095</v>
      </c>
      <c r="P711" s="15" t="n">
        <f aca="false">N711*$E$2*(1+$I$697)/($F$697-$I$697)/(1+$F$697)^$N$3</f>
        <v>11397.9891237327</v>
      </c>
      <c r="Q711" s="15" t="n">
        <f aca="false">O711+P711</f>
        <v>16576.5050212036</v>
      </c>
      <c r="R711" s="15" t="n">
        <f aca="false">Q711-$G$2+$I$2</f>
        <v>15023.8050212036</v>
      </c>
      <c r="S711" s="40" t="n">
        <f aca="false">R711/$K$2</f>
        <v>54.5546498464128</v>
      </c>
      <c r="T711" s="41" t="n">
        <f aca="false">S711-$M$2</f>
        <v>0.0501289850888682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0.022216796875</v>
      </c>
      <c r="C712" s="25" t="n">
        <f aca="false">IF(T711&gt;0,D711,C711)</f>
        <v>0.02239990234375</v>
      </c>
      <c r="D712" s="39" t="n">
        <f aca="false">(B712+C712)/2</f>
        <v>0.022308349609375</v>
      </c>
      <c r="E712" s="15" t="n">
        <f aca="false">$C$2*(1+IF(E$3&lt;=$O$2,$D712,$D712-($D712-$I$697)*MIN(E$3-$O$2,$Q$2)/$Q$2))</f>
        <v>1891.27044677734</v>
      </c>
      <c r="F712" s="15" t="n">
        <f aca="false">E712*(1+IF(F$3&lt;=$O$2,$D712,$D712-($D712-$I$697)*MIN(F$3-$O$2,$Q$2)/$Q$2))</f>
        <v>1933.46156910993</v>
      </c>
      <c r="G712" s="15" t="n">
        <f aca="false">F712*(1+IF(G$3&lt;=$O$2,$D712,$D712-($D712-$I$697)*MIN(G$3-$O$2,$Q$2)/$Q$2))</f>
        <v>1976.59390574993</v>
      </c>
      <c r="H712" s="15" t="n">
        <f aca="false">G712*(1+IF(H$3&lt;=$O$2,$D712,$D712-($D712-$I$697)*MIN(H$3-$O$2,$Q$2)/$Q$2))</f>
        <v>2020.68845363516</v>
      </c>
      <c r="I712" s="15" t="n">
        <f aca="false">H712*(1+IF(I$3&lt;=$O$2,$D712,$D712-($D712-$I$697)*MIN(I$3-$O$2,$Q$2)/$Q$2))</f>
        <v>2065.76667811048</v>
      </c>
      <c r="J712" s="15" t="n">
        <f aca="false">I712*(1+IF(J$3&lt;=$O$2,$D712,$D712-($D712-$I$697)*MIN(J$3-$O$2,$Q$2)/$Q$2))</f>
        <v>2117.0941210706</v>
      </c>
      <c r="K712" s="15" t="n">
        <f aca="false">J712*(1+IF(K$3&lt;=$O$2,$D712,$D712-($D712-$I$697)*MIN(K$3-$O$2,$Q$2)/$Q$2))</f>
        <v>2175.07076425086</v>
      </c>
      <c r="L712" s="15" t="n">
        <f aca="false">K712*(1+IF(L$3&lt;=$O$2,$D712,$D712-($D712-$I$697)*MIN(L$3-$O$2,$Q$2)/$Q$2))</f>
        <v>2240.15614591375</v>
      </c>
      <c r="M712" s="15" t="n">
        <f aca="false">L712*(1+IF(M$3&lt;=$O$2,$D712,$D712-($D712-$I$697)*MIN(M$3-$O$2,$Q$2)/$Q$2))</f>
        <v>2312.87535529586</v>
      </c>
      <c r="N712" s="15" t="n">
        <f aca="false">M712*(1+IF(N$3&lt;=$O$2,$D712,$D712-($D712-$I$697)*MIN(N$3-$O$2,$Q$2)/$Q$2))</f>
        <v>2393.82599273121</v>
      </c>
      <c r="O712" s="15" t="n">
        <f aca="false">SUMPRODUCT(E712:N712,1/(1+$F$697)^$E$3:$N$3)*$E$2</f>
        <v>5176.41661184034</v>
      </c>
      <c r="P712" s="15" t="n">
        <f aca="false">N712*$E$2*(1+$I$697)/($F$697-$I$697)/(1+$F$697)^$N$3</f>
        <v>11390.8564932341</v>
      </c>
      <c r="Q712" s="15" t="n">
        <f aca="false">O712+P712</f>
        <v>16567.2731050744</v>
      </c>
      <c r="R712" s="15" t="n">
        <f aca="false">Q712-$G$2+$I$2</f>
        <v>15014.5731050744</v>
      </c>
      <c r="S712" s="40" t="n">
        <f aca="false">R712/$K$2</f>
        <v>54.5211267841042</v>
      </c>
      <c r="T712" s="41" t="n">
        <f aca="false">S712-$M$2</f>
        <v>0.016605922780208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0.022216796875</v>
      </c>
      <c r="C713" s="25" t="n">
        <f aca="false">IF(T712&gt;0,D712,C712)</f>
        <v>0.022308349609375</v>
      </c>
      <c r="D713" s="39" t="n">
        <f aca="false">(B713+C713)/2</f>
        <v>0.0222625732421875</v>
      </c>
      <c r="E713" s="15" t="n">
        <f aca="false">$C$2*(1+IF(E$3&lt;=$O$2,$D713,$D713-($D713-$I$697)*MIN(E$3-$O$2,$Q$2)/$Q$2))</f>
        <v>1891.18576049805</v>
      </c>
      <c r="F713" s="15" t="n">
        <f aca="false">E713*(1+IF(F$3&lt;=$O$2,$D713,$D713-($D713-$I$697)*MIN(F$3-$O$2,$Q$2)/$Q$2))</f>
        <v>1933.28842200572</v>
      </c>
      <c r="G713" s="15" t="n">
        <f aca="false">F713*(1+IF(G$3&lt;=$O$2,$D713,$D713-($D713-$I$697)*MIN(G$3-$O$2,$Q$2)/$Q$2))</f>
        <v>1976.32839709889</v>
      </c>
      <c r="H713" s="15" t="n">
        <f aca="false">G713*(1+IF(H$3&lt;=$O$2,$D713,$D713-($D713-$I$697)*MIN(H$3-$O$2,$Q$2)/$Q$2))</f>
        <v>2020.32655278992</v>
      </c>
      <c r="I713" s="15" t="n">
        <f aca="false">H713*(1+IF(I$3&lt;=$O$2,$D713,$D713-($D713-$I$697)*MIN(I$3-$O$2,$Q$2)/$Q$2))</f>
        <v>2065.30422064454</v>
      </c>
      <c r="J713" s="15" t="n">
        <f aca="false">I713*(1+IF(J$3&lt;=$O$2,$D713,$D713-($D713-$I$697)*MIN(J$3-$O$2,$Q$2)/$Q$2))</f>
        <v>2116.54453937265</v>
      </c>
      <c r="K713" s="15" t="n">
        <f aca="false">J713*(1+IF(K$3&lt;=$O$2,$D713,$D713-($D713-$I$697)*MIN(K$3-$O$2,$Q$2)/$Q$2))</f>
        <v>2174.44799962075</v>
      </c>
      <c r="L713" s="15" t="n">
        <f aca="false">K713*(1+IF(L$3&lt;=$O$2,$D713,$D713-($D713-$I$697)*MIN(L$3-$O$2,$Q$2)/$Q$2))</f>
        <v>2239.47493075394</v>
      </c>
      <c r="M713" s="15" t="n">
        <f aca="false">L713*(1+IF(M$3&lt;=$O$2,$D713,$D713-($D713-$I$697)*MIN(M$3-$O$2,$Q$2)/$Q$2))</f>
        <v>2312.15152374904</v>
      </c>
      <c r="N713" s="15" t="n">
        <f aca="false">M713*(1+IF(N$3&lt;=$O$2,$D713,$D713-($D713-$I$697)*MIN(N$3-$O$2,$Q$2)/$Q$2))</f>
        <v>2393.07682708026</v>
      </c>
      <c r="O713" s="15" t="n">
        <f aca="false">SUMPRODUCT(E713:N713,1/(1+$F$697)^$E$3:$N$3)*$E$2</f>
        <v>5175.3672918467</v>
      </c>
      <c r="P713" s="15" t="n">
        <f aca="false">N713*$E$2*(1+$I$697)/($F$697-$I$697)/(1+$F$697)^$N$3</f>
        <v>11387.2916399634</v>
      </c>
      <c r="Q713" s="15" t="n">
        <f aca="false">O713+P713</f>
        <v>16562.6589318101</v>
      </c>
      <c r="R713" s="15" t="n">
        <f aca="false">Q713-$G$2+$I$2</f>
        <v>15009.9589318101</v>
      </c>
      <c r="S713" s="40" t="n">
        <f aca="false">R713/$K$2</f>
        <v>54.5043717339413</v>
      </c>
      <c r="T713" s="41" t="n">
        <f aca="false">S713-$M$2</f>
        <v>-0.000149127382634617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0.0222625732421875</v>
      </c>
      <c r="C714" s="25" t="n">
        <f aca="false">IF(T713&gt;0,D713,C713)</f>
        <v>0.022308349609375</v>
      </c>
      <c r="D714" s="39" t="n">
        <f aca="false">(B714+C714)/2</f>
        <v>0.0222854614257813</v>
      </c>
      <c r="E714" s="15" t="n">
        <f aca="false">$C$2*(1+IF(E$3&lt;=$O$2,$D714,$D714-($D714-$I$697)*MIN(E$3-$O$2,$Q$2)/$Q$2))</f>
        <v>1891.2281036377</v>
      </c>
      <c r="F714" s="15" t="n">
        <f aca="false">E714*(1+IF(F$3&lt;=$O$2,$D714,$D714-($D714-$I$697)*MIN(F$3-$O$2,$Q$2)/$Q$2))</f>
        <v>1933.37499458867</v>
      </c>
      <c r="G714" s="15" t="n">
        <f aca="false">F714*(1+IF(G$3&lt;=$O$2,$D714,$D714-($D714-$I$697)*MIN(G$3-$O$2,$Q$2)/$Q$2))</f>
        <v>1976.46114845214</v>
      </c>
      <c r="H714" s="15" t="n">
        <f aca="false">G714*(1+IF(H$3&lt;=$O$2,$D714,$D714-($D714-$I$697)*MIN(H$3-$O$2,$Q$2)/$Q$2))</f>
        <v>2020.50749713553</v>
      </c>
      <c r="I714" s="15" t="n">
        <f aca="false">H714*(1+IF(I$3&lt;=$O$2,$D714,$D714-($D714-$I$697)*MIN(I$3-$O$2,$Q$2)/$Q$2))</f>
        <v>2065.53543902344</v>
      </c>
      <c r="J714" s="15" t="n">
        <f aca="false">I714*(1+IF(J$3&lt;=$O$2,$D714,$D714-($D714-$I$697)*MIN(J$3-$O$2,$Q$2)/$Q$2))</f>
        <v>2116.81931537656</v>
      </c>
      <c r="K714" s="15" t="n">
        <f aca="false">J714*(1+IF(K$3&lt;=$O$2,$D714,$D714-($D714-$I$697)*MIN(K$3-$O$2,$Q$2)/$Q$2))</f>
        <v>2174.75936291074</v>
      </c>
      <c r="L714" s="15" t="n">
        <f aca="false">K714*(1+IF(L$3&lt;=$O$2,$D714,$D714-($D714-$I$697)*MIN(L$3-$O$2,$Q$2)/$Q$2))</f>
        <v>2239.81551588886</v>
      </c>
      <c r="M714" s="15" t="n">
        <f aca="false">L714*(1+IF(M$3&lt;=$O$2,$D714,$D714-($D714-$I$697)*MIN(M$3-$O$2,$Q$2)/$Q$2))</f>
        <v>2312.51341478979</v>
      </c>
      <c r="N714" s="15" t="n">
        <f aca="false">M714*(1+IF(N$3&lt;=$O$2,$D714,$D714-($D714-$I$697)*MIN(N$3-$O$2,$Q$2)/$Q$2))</f>
        <v>2393.45138430744</v>
      </c>
      <c r="O714" s="15" t="n">
        <f aca="false">SUMPRODUCT(E714:N714,1/(1+$F$697)^$E$3:$N$3)*$E$2</f>
        <v>5175.89192494603</v>
      </c>
      <c r="P714" s="15" t="n">
        <f aca="false">N714*$E$2*(1+$I$697)/($F$697-$I$697)/(1+$F$697)^$N$3</f>
        <v>11389.073944791</v>
      </c>
      <c r="Q714" s="15" t="n">
        <f aca="false">O714+P714</f>
        <v>16564.965869737</v>
      </c>
      <c r="R714" s="15" t="n">
        <f aca="false">Q714-$G$2+$I$2</f>
        <v>15012.265869737</v>
      </c>
      <c r="S714" s="40" t="n">
        <f aca="false">R714/$K$2</f>
        <v>54.5127487190422</v>
      </c>
      <c r="T714" s="41" t="n">
        <f aca="false">S714-$M$2</f>
        <v>0.00822785771821089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0.0222625732421875</v>
      </c>
      <c r="C715" s="25" t="n">
        <f aca="false">IF(T714&gt;0,D714,C714)</f>
        <v>0.0222854614257813</v>
      </c>
      <c r="D715" s="39" t="n">
        <f aca="false">(B715+C715)/2</f>
        <v>0.0222740173339844</v>
      </c>
      <c r="E715" s="15" t="n">
        <f aca="false">$C$2*(1+IF(E$3&lt;=$O$2,$D715,$D715-($D715-$I$697)*MIN(E$3-$O$2,$Q$2)/$Q$2))</f>
        <v>1891.20693206787</v>
      </c>
      <c r="F715" s="15" t="n">
        <f aca="false">E715*(1+IF(F$3&lt;=$O$2,$D715,$D715-($D715-$I$697)*MIN(F$3-$O$2,$Q$2)/$Q$2))</f>
        <v>1933.3317080549</v>
      </c>
      <c r="G715" s="15" t="n">
        <f aca="false">F715*(1+IF(G$3&lt;=$O$2,$D715,$D715-($D715-$I$697)*MIN(G$3-$O$2,$Q$2)/$Q$2))</f>
        <v>1976.39477203246</v>
      </c>
      <c r="H715" s="15" t="n">
        <f aca="false">G715*(1+IF(H$3&lt;=$O$2,$D715,$D715-($D715-$I$697)*MIN(H$3-$O$2,$Q$2)/$Q$2))</f>
        <v>2020.41702344351</v>
      </c>
      <c r="I715" s="15" t="n">
        <f aca="false">H715*(1+IF(I$3&lt;=$O$2,$D715,$D715-($D715-$I$697)*MIN(I$3-$O$2,$Q$2)/$Q$2))</f>
        <v>2065.41982724556</v>
      </c>
      <c r="J715" s="15" t="n">
        <f aca="false">I715*(1+IF(J$3&lt;=$O$2,$D715,$D715-($D715-$I$697)*MIN(J$3-$O$2,$Q$2)/$Q$2))</f>
        <v>2116.6819236635</v>
      </c>
      <c r="K715" s="15" t="n">
        <f aca="false">J715*(1+IF(K$3&lt;=$O$2,$D715,$D715-($D715-$I$697)*MIN(K$3-$O$2,$Q$2)/$Q$2))</f>
        <v>2174.60367650972</v>
      </c>
      <c r="L715" s="15" t="n">
        <f aca="false">K715*(1+IF(L$3&lt;=$O$2,$D715,$D715-($D715-$I$697)*MIN(L$3-$O$2,$Q$2)/$Q$2))</f>
        <v>2239.64521771047</v>
      </c>
      <c r="M715" s="15" t="n">
        <f aca="false">L715*(1+IF(M$3&lt;=$O$2,$D715,$D715-($D715-$I$697)*MIN(M$3-$O$2,$Q$2)/$Q$2))</f>
        <v>2312.33246308662</v>
      </c>
      <c r="N715" s="15" t="n">
        <f aca="false">M715*(1+IF(N$3&lt;=$O$2,$D715,$D715-($D715-$I$697)*MIN(N$3-$O$2,$Q$2)/$Q$2))</f>
        <v>2393.26409929465</v>
      </c>
      <c r="O715" s="15" t="n">
        <f aca="false">SUMPRODUCT(E715:N715,1/(1+$F$697)^$E$3:$N$3)*$E$2</f>
        <v>5175.62960167231</v>
      </c>
      <c r="P715" s="15" t="n">
        <f aca="false">N715*$E$2*(1+$I$697)/($F$697-$I$697)/(1+$F$697)^$N$3</f>
        <v>11388.182761927</v>
      </c>
      <c r="Q715" s="15" t="n">
        <f aca="false">O715+P715</f>
        <v>16563.8123635993</v>
      </c>
      <c r="R715" s="15" t="n">
        <f aca="false">Q715-$G$2+$I$2</f>
        <v>15011.1123635993</v>
      </c>
      <c r="S715" s="40" t="n">
        <f aca="false">R715/$K$2</f>
        <v>54.5085600915042</v>
      </c>
      <c r="T715" s="41" t="n">
        <f aca="false">S715-$M$2</f>
        <v>0.00403923018028252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0.0222625732421875</v>
      </c>
      <c r="C716" s="25" t="n">
        <f aca="false">IF(T715&gt;0,D715,C715)</f>
        <v>0.0222740173339844</v>
      </c>
      <c r="D716" s="39" t="n">
        <f aca="false">(B716+C716)/2</f>
        <v>0.0222682952880859</v>
      </c>
      <c r="E716" s="15" t="n">
        <f aca="false">$C$2*(1+IF(E$3&lt;=$O$2,$D716,$D716-($D716-$I$697)*MIN(E$3-$O$2,$Q$2)/$Q$2))</f>
        <v>1891.19634628296</v>
      </c>
      <c r="F716" s="15" t="n">
        <f aca="false">E716*(1+IF(F$3&lt;=$O$2,$D716,$D716-($D716-$I$697)*MIN(F$3-$O$2,$Q$2)/$Q$2))</f>
        <v>1933.31006496974</v>
      </c>
      <c r="G716" s="15" t="n">
        <f aca="false">F716*(1+IF(G$3&lt;=$O$2,$D716,$D716-($D716-$I$697)*MIN(G$3-$O$2,$Q$2)/$Q$2))</f>
        <v>1976.36158437991</v>
      </c>
      <c r="H716" s="15" t="n">
        <f aca="false">G716*(1+IF(H$3&lt;=$O$2,$D716,$D716-($D716-$I$697)*MIN(H$3-$O$2,$Q$2)/$Q$2))</f>
        <v>2020.37178773691</v>
      </c>
      <c r="I716" s="15" t="n">
        <f aca="false">H716*(1+IF(I$3&lt;=$O$2,$D716,$D716-($D716-$I$697)*MIN(I$3-$O$2,$Q$2)/$Q$2))</f>
        <v>2065.36202329796</v>
      </c>
      <c r="J716" s="15" t="n">
        <f aca="false">I716*(1+IF(J$3&lt;=$O$2,$D716,$D716-($D716-$I$697)*MIN(J$3-$O$2,$Q$2)/$Q$2))</f>
        <v>2116.61323059032</v>
      </c>
      <c r="K716" s="15" t="n">
        <f aca="false">J716*(1+IF(K$3&lt;=$O$2,$D716,$D716-($D716-$I$697)*MIN(K$3-$O$2,$Q$2)/$Q$2))</f>
        <v>2174.52583687626</v>
      </c>
      <c r="L716" s="15" t="n">
        <f aca="false">K716*(1+IF(L$3&lt;=$O$2,$D716,$D716-($D716-$I$697)*MIN(L$3-$O$2,$Q$2)/$Q$2))</f>
        <v>2239.56007282951</v>
      </c>
      <c r="M716" s="15" t="n">
        <f aca="false">L716*(1+IF(M$3&lt;=$O$2,$D716,$D716-($D716-$I$697)*MIN(M$3-$O$2,$Q$2)/$Q$2))</f>
        <v>2312.24199187217</v>
      </c>
      <c r="N716" s="15" t="n">
        <f aca="false">M716*(1+IF(N$3&lt;=$O$2,$D716,$D716-($D716-$I$697)*MIN(N$3-$O$2,$Q$2)/$Q$2))</f>
        <v>2393.1704615877</v>
      </c>
      <c r="O716" s="15" t="n">
        <f aca="false">SUMPRODUCT(E716:N716,1/(1+$F$697)^$E$3:$N$3)*$E$2</f>
        <v>5175.49844507853</v>
      </c>
      <c r="P716" s="15" t="n">
        <f aca="false">N716*$E$2*(1+$I$697)/($F$697-$I$697)/(1+$F$697)^$N$3</f>
        <v>11387.7371933329</v>
      </c>
      <c r="Q716" s="15" t="n">
        <f aca="false">O716+P716</f>
        <v>16563.2356384114</v>
      </c>
      <c r="R716" s="15" t="n">
        <f aca="false">Q716-$G$2+$I$2</f>
        <v>15010.5356384114</v>
      </c>
      <c r="S716" s="40" t="n">
        <f aca="false">R716/$K$2</f>
        <v>54.5064658789768</v>
      </c>
      <c r="T716" s="41" t="n">
        <f aca="false">S716-$M$2</f>
        <v>0.00194501765290056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0.0222625732421875</v>
      </c>
      <c r="C717" s="25" t="n">
        <f aca="false">IF(T716&gt;0,D716,C716)</f>
        <v>0.0222682952880859</v>
      </c>
      <c r="D717" s="39" t="n">
        <f aca="false">(B717+C717)/2</f>
        <v>0.0222654342651367</v>
      </c>
      <c r="E717" s="15" t="n">
        <f aca="false">$C$2*(1+IF(E$3&lt;=$O$2,$D717,$D717-($D717-$I$697)*MIN(E$3-$O$2,$Q$2)/$Q$2))</f>
        <v>1891.1910533905</v>
      </c>
      <c r="F717" s="15" t="n">
        <f aca="false">E717*(1+IF(F$3&lt;=$O$2,$D717,$D717-($D717-$I$697)*MIN(F$3-$O$2,$Q$2)/$Q$2))</f>
        <v>1933.29924347258</v>
      </c>
      <c r="G717" s="15" t="n">
        <f aca="false">F717*(1+IF(G$3&lt;=$O$2,$D717,$D717-($D717-$I$697)*MIN(G$3-$O$2,$Q$2)/$Q$2))</f>
        <v>1976.34499069296</v>
      </c>
      <c r="H717" s="15" t="n">
        <f aca="false">G717*(1+IF(H$3&lt;=$O$2,$D717,$D717-($D717-$I$697)*MIN(H$3-$O$2,$Q$2)/$Q$2))</f>
        <v>2020.34917016847</v>
      </c>
      <c r="I717" s="15" t="n">
        <f aca="false">H717*(1+IF(I$3&lt;=$O$2,$D717,$D717-($D717-$I$697)*MIN(I$3-$O$2,$Q$2)/$Q$2))</f>
        <v>2065.33312180948</v>
      </c>
      <c r="J717" s="15" t="n">
        <f aca="false">I717*(1+IF(J$3&lt;=$O$2,$D717,$D717-($D717-$I$697)*MIN(J$3-$O$2,$Q$2)/$Q$2))</f>
        <v>2116.57888474955</v>
      </c>
      <c r="K717" s="15" t="n">
        <f aca="false">J717*(1+IF(K$3&lt;=$O$2,$D717,$D717-($D717-$I$697)*MIN(K$3-$O$2,$Q$2)/$Q$2))</f>
        <v>2174.48691795127</v>
      </c>
      <c r="L717" s="15" t="n">
        <f aca="false">K717*(1+IF(L$3&lt;=$O$2,$D717,$D717-($D717-$I$697)*MIN(L$3-$O$2,$Q$2)/$Q$2))</f>
        <v>2239.51750144106</v>
      </c>
      <c r="M717" s="15" t="n">
        <f aca="false">L717*(1+IF(M$3&lt;=$O$2,$D717,$D717-($D717-$I$697)*MIN(M$3-$O$2,$Q$2)/$Q$2))</f>
        <v>2312.1967574242</v>
      </c>
      <c r="N717" s="15" t="n">
        <f aca="false">M717*(1+IF(N$3&lt;=$O$2,$D717,$D717-($D717-$I$697)*MIN(N$3-$O$2,$Q$2)/$Q$2))</f>
        <v>2393.12364393405</v>
      </c>
      <c r="O717" s="15" t="n">
        <f aca="false">SUMPRODUCT(E717:N717,1/(1+$F$697)^$E$3:$N$3)*$E$2</f>
        <v>5175.43286804238</v>
      </c>
      <c r="P717" s="15" t="n">
        <f aca="false">N717*$E$2*(1+$I$697)/($F$697-$I$697)/(1+$F$697)^$N$3</f>
        <v>11387.5144147451</v>
      </c>
      <c r="Q717" s="15" t="n">
        <f aca="false">O717+P717</f>
        <v>16562.9472827875</v>
      </c>
      <c r="R717" s="15" t="n">
        <f aca="false">Q717-$G$2+$I$2</f>
        <v>15010.2472827875</v>
      </c>
      <c r="S717" s="40" t="n">
        <f aca="false">R717/$K$2</f>
        <v>54.5054187980227</v>
      </c>
      <c r="T717" s="41" t="n">
        <f aca="false">S717-$M$2</f>
        <v>0.000897936698784463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0.0222625732421875</v>
      </c>
      <c r="C718" s="25" t="n">
        <f aca="false">IF(T717&gt;0,D717,C717)</f>
        <v>0.0222654342651367</v>
      </c>
      <c r="D718" s="39" t="n">
        <f aca="false">(B718+C718)/2</f>
        <v>0.0222640037536621</v>
      </c>
      <c r="E718" s="15" t="n">
        <f aca="false">$C$2*(1+IF(E$3&lt;=$O$2,$D718,$D718-($D718-$I$697)*MIN(E$3-$O$2,$Q$2)/$Q$2))</f>
        <v>1891.18840694428</v>
      </c>
      <c r="F718" s="15" t="n">
        <f aca="false">E718*(1+IF(F$3&lt;=$O$2,$D718,$D718-($D718-$I$697)*MIN(F$3-$O$2,$Q$2)/$Q$2))</f>
        <v>1933.29383273536</v>
      </c>
      <c r="G718" s="15" t="n">
        <f aca="false">F718*(1+IF(G$3&lt;=$O$2,$D718,$D718-($D718-$I$697)*MIN(G$3-$O$2,$Q$2)/$Q$2))</f>
        <v>1976.33669388432</v>
      </c>
      <c r="H718" s="15" t="n">
        <f aca="false">G718*(1+IF(H$3&lt;=$O$2,$D718,$D718-($D718-$I$697)*MIN(H$3-$O$2,$Q$2)/$Q$2))</f>
        <v>2020.33786145546</v>
      </c>
      <c r="I718" s="15" t="n">
        <f aca="false">H718*(1+IF(I$3&lt;=$O$2,$D718,$D718-($D718-$I$697)*MIN(I$3-$O$2,$Q$2)/$Q$2))</f>
        <v>2065.31867118657</v>
      </c>
      <c r="J718" s="15" t="n">
        <f aca="false">I718*(1+IF(J$3&lt;=$O$2,$D718,$D718-($D718-$I$697)*MIN(J$3-$O$2,$Q$2)/$Q$2))</f>
        <v>2116.56171200312</v>
      </c>
      <c r="K718" s="15" t="n">
        <f aca="false">J718*(1+IF(K$3&lt;=$O$2,$D718,$D718-($D718-$I$697)*MIN(K$3-$O$2,$Q$2)/$Q$2))</f>
        <v>2174.4674587117</v>
      </c>
      <c r="L718" s="15" t="n">
        <f aca="false">K718*(1+IF(L$3&lt;=$O$2,$D718,$D718-($D718-$I$697)*MIN(L$3-$O$2,$Q$2)/$Q$2))</f>
        <v>2239.49621600983</v>
      </c>
      <c r="M718" s="15" t="n">
        <f aca="false">L718*(1+IF(M$3&lt;=$O$2,$D718,$D718-($D718-$I$697)*MIN(M$3-$O$2,$Q$2)/$Q$2))</f>
        <v>2312.17414049002</v>
      </c>
      <c r="N718" s="15" t="n">
        <f aca="false">M718*(1+IF(N$3&lt;=$O$2,$D718,$D718-($D718-$I$697)*MIN(N$3-$O$2,$Q$2)/$Q$2))</f>
        <v>2393.10023540717</v>
      </c>
      <c r="O718" s="15" t="n">
        <f aca="false">SUMPRODUCT(E718:N718,1/(1+$F$697)^$E$3:$N$3)*$E$2</f>
        <v>5175.40007983948</v>
      </c>
      <c r="P718" s="15" t="n">
        <f aca="false">N718*$E$2*(1+$I$697)/($F$697-$I$697)/(1+$F$697)^$N$3</f>
        <v>11387.4030268785</v>
      </c>
      <c r="Q718" s="15" t="n">
        <f aca="false">O718+P718</f>
        <v>16562.803106718</v>
      </c>
      <c r="R718" s="15" t="n">
        <f aca="false">Q718-$G$2+$I$2</f>
        <v>15010.103106718</v>
      </c>
      <c r="S718" s="40" t="n">
        <f aca="false">R718/$K$2</f>
        <v>54.5048952638729</v>
      </c>
      <c r="T718" s="41" t="n">
        <f aca="false">S718-$M$2</f>
        <v>0.000374402548999342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0.0222625732421875</v>
      </c>
      <c r="C719" s="25" t="n">
        <f aca="false">IF(T718&gt;0,D718,C718)</f>
        <v>0.0222640037536621</v>
      </c>
      <c r="D719" s="39" t="n">
        <f aca="false">(B719+C719)/2</f>
        <v>0.0222632884979248</v>
      </c>
      <c r="E719" s="15" t="n">
        <f aca="false">$C$2*(1+IF(E$3&lt;=$O$2,$D719,$D719-($D719-$I$697)*MIN(E$3-$O$2,$Q$2)/$Q$2))</f>
        <v>1891.18708372116</v>
      </c>
      <c r="F719" s="15" t="n">
        <f aca="false">E719*(1+IF(F$3&lt;=$O$2,$D719,$D719-($D719-$I$697)*MIN(F$3-$O$2,$Q$2)/$Q$2))</f>
        <v>1933.29112736959</v>
      </c>
      <c r="G719" s="15" t="n">
        <f aca="false">F719*(1+IF(G$3&lt;=$O$2,$D719,$D719-($D719-$I$697)*MIN(G$3-$O$2,$Q$2)/$Q$2))</f>
        <v>1976.3325454887</v>
      </c>
      <c r="H719" s="15" t="n">
        <f aca="false">G719*(1+IF(H$3&lt;=$O$2,$D719,$D719-($D719-$I$697)*MIN(H$3-$O$2,$Q$2)/$Q$2))</f>
        <v>2020.33220711675</v>
      </c>
      <c r="I719" s="15" t="n">
        <f aca="false">H719*(1+IF(I$3&lt;=$O$2,$D719,$D719-($D719-$I$697)*MIN(I$3-$O$2,$Q$2)/$Q$2))</f>
        <v>2065.31144590544</v>
      </c>
      <c r="J719" s="15" t="n">
        <f aca="false">I719*(1+IF(J$3&lt;=$O$2,$D719,$D719-($D719-$I$697)*MIN(J$3-$O$2,$Q$2)/$Q$2))</f>
        <v>2116.55312567339</v>
      </c>
      <c r="K719" s="15" t="n">
        <f aca="false">J719*(1+IF(K$3&lt;=$O$2,$D719,$D719-($D719-$I$697)*MIN(K$3-$O$2,$Q$2)/$Q$2))</f>
        <v>2174.45772914765</v>
      </c>
      <c r="L719" s="15" t="n">
        <f aca="false">K719*(1+IF(L$3&lt;=$O$2,$D719,$D719-($D719-$I$697)*MIN(L$3-$O$2,$Q$2)/$Q$2))</f>
        <v>2239.48557335997</v>
      </c>
      <c r="M719" s="15" t="n">
        <f aca="false">L719*(1+IF(M$3&lt;=$O$2,$D719,$D719-($D719-$I$697)*MIN(M$3-$O$2,$Q$2)/$Q$2))</f>
        <v>2312.16283209538</v>
      </c>
      <c r="N719" s="15" t="n">
        <f aca="false">M719*(1+IF(N$3&lt;=$O$2,$D719,$D719-($D719-$I$697)*MIN(N$3-$O$2,$Q$2)/$Q$2))</f>
        <v>2393.08853121872</v>
      </c>
      <c r="O719" s="15" t="n">
        <f aca="false">SUMPRODUCT(E719:N719,1/(1+$F$697)^$E$3:$N$3)*$E$2</f>
        <v>5175.38368581683</v>
      </c>
      <c r="P719" s="15" t="n">
        <f aca="false">N719*$E$2*(1+$I$697)/($F$697-$I$697)/(1+$F$697)^$N$3</f>
        <v>11387.347333302</v>
      </c>
      <c r="Q719" s="15" t="n">
        <f aca="false">O719+P719</f>
        <v>16562.7310191188</v>
      </c>
      <c r="R719" s="15" t="n">
        <f aca="false">Q719-$G$2+$I$2</f>
        <v>15010.0310191188</v>
      </c>
      <c r="S719" s="40" t="n">
        <f aca="false">R719/$K$2</f>
        <v>54.5046334983798</v>
      </c>
      <c r="T719" s="41" t="n">
        <f aca="false">S719-$M$2</f>
        <v>0.000112637055892151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0.0222625732421875</v>
      </c>
      <c r="C720" s="25" t="n">
        <f aca="false">IF(T719&gt;0,D719,C719)</f>
        <v>0.0222632884979248</v>
      </c>
      <c r="D720" s="39" t="n">
        <f aca="false">(B720+C720)/2</f>
        <v>0.0222629308700562</v>
      </c>
      <c r="E720" s="15" t="n">
        <f aca="false">$C$2*(1+IF(E$3&lt;=$O$2,$D720,$D720-($D720-$I$697)*MIN(E$3-$O$2,$Q$2)/$Q$2))</f>
        <v>1891.1864221096</v>
      </c>
      <c r="F720" s="15" t="n">
        <f aca="false">E720*(1+IF(F$3&lt;=$O$2,$D720,$D720-($D720-$I$697)*MIN(F$3-$O$2,$Q$2)/$Q$2))</f>
        <v>1933.28977468742</v>
      </c>
      <c r="G720" s="15" t="n">
        <f aca="false">F720*(1+IF(G$3&lt;=$O$2,$D720,$D720-($D720-$I$697)*MIN(G$3-$O$2,$Q$2)/$Q$2))</f>
        <v>1976.33047129307</v>
      </c>
      <c r="H720" s="15" t="n">
        <f aca="false">G720*(1+IF(H$3&lt;=$O$2,$D720,$D720-($D720-$I$697)*MIN(H$3-$O$2,$Q$2)/$Q$2))</f>
        <v>2020.32937995185</v>
      </c>
      <c r="I720" s="15" t="n">
        <f aca="false">H720*(1+IF(I$3&lt;=$O$2,$D720,$D720-($D720-$I$697)*MIN(I$3-$O$2,$Q$2)/$Q$2))</f>
        <v>2065.30783327247</v>
      </c>
      <c r="J720" s="15" t="n">
        <f aca="false">I720*(1+IF(J$3&lt;=$O$2,$D720,$D720-($D720-$I$697)*MIN(J$3-$O$2,$Q$2)/$Q$2))</f>
        <v>2116.5488325194</v>
      </c>
      <c r="K720" s="15" t="n">
        <f aca="false">J720*(1+IF(K$3&lt;=$O$2,$D720,$D720-($D720-$I$697)*MIN(K$3-$O$2,$Q$2)/$Q$2))</f>
        <v>2174.45286437956</v>
      </c>
      <c r="L720" s="15" t="n">
        <f aca="false">K720*(1+IF(L$3&lt;=$O$2,$D720,$D720-($D720-$I$697)*MIN(L$3-$O$2,$Q$2)/$Q$2))</f>
        <v>2239.48025205148</v>
      </c>
      <c r="M720" s="15" t="n">
        <f aca="false">L720*(1+IF(M$3&lt;=$O$2,$D720,$D720-($D720-$I$697)*MIN(M$3-$O$2,$Q$2)/$Q$2))</f>
        <v>2312.15717791617</v>
      </c>
      <c r="N720" s="15" t="n">
        <f aca="false">M720*(1+IF(N$3&lt;=$O$2,$D720,$D720-($D720-$I$697)*MIN(N$3-$O$2,$Q$2)/$Q$2))</f>
        <v>2393.08267914324</v>
      </c>
      <c r="O720" s="15" t="n">
        <f aca="false">SUMPRODUCT(E720:N720,1/(1+$F$697)^$E$3:$N$3)*$E$2</f>
        <v>5175.3754888252</v>
      </c>
      <c r="P720" s="15" t="n">
        <f aca="false">N720*$E$2*(1+$I$697)/($F$697-$I$697)/(1+$F$697)^$N$3</f>
        <v>11387.319486603</v>
      </c>
      <c r="Q720" s="15" t="n">
        <f aca="false">O720+P720</f>
        <v>16562.6949754282</v>
      </c>
      <c r="R720" s="15" t="n">
        <f aca="false">Q720-$G$2+$I$2</f>
        <v>15009.9949754282</v>
      </c>
      <c r="S720" s="40" t="n">
        <f aca="false">R720/$K$2</f>
        <v>54.5045026160287</v>
      </c>
      <c r="T720" s="41" t="n">
        <f aca="false">S720-$M$2</f>
        <v>-1.82452952088852E-005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0.0222629308700562</v>
      </c>
      <c r="C721" s="25" t="n">
        <f aca="false">IF(T720&gt;0,D720,C720)</f>
        <v>0.0222632884979248</v>
      </c>
      <c r="D721" s="39" t="n">
        <f aca="false">(B721+C721)/2</f>
        <v>0.0222631096839905</v>
      </c>
      <c r="E721" s="15" t="n">
        <f aca="false">$C$2*(1+IF(E$3&lt;=$O$2,$D721,$D721-($D721-$I$697)*MIN(E$3-$O$2,$Q$2)/$Q$2))</f>
        <v>1891.18675291538</v>
      </c>
      <c r="F721" s="15" t="n">
        <f aca="false">E721*(1+IF(F$3&lt;=$O$2,$D721,$D721-($D721-$I$697)*MIN(F$3-$O$2,$Q$2)/$Q$2))</f>
        <v>1933.29045102845</v>
      </c>
      <c r="G721" s="15" t="n">
        <f aca="false">F721*(1+IF(G$3&lt;=$O$2,$D721,$D721-($D721-$I$697)*MIN(G$3-$O$2,$Q$2)/$Q$2))</f>
        <v>1976.33150839071</v>
      </c>
      <c r="H721" s="15" t="n">
        <f aca="false">G721*(1+IF(H$3&lt;=$O$2,$D721,$D721-($D721-$I$697)*MIN(H$3-$O$2,$Q$2)/$Q$2))</f>
        <v>2020.33079353393</v>
      </c>
      <c r="I721" s="15" t="n">
        <f aca="false">H721*(1+IF(I$3&lt;=$O$2,$D721,$D721-($D721-$I$697)*MIN(I$3-$O$2,$Q$2)/$Q$2))</f>
        <v>2065.30963958832</v>
      </c>
      <c r="J721" s="15" t="n">
        <f aca="false">I721*(1+IF(J$3&lt;=$O$2,$D721,$D721-($D721-$I$697)*MIN(J$3-$O$2,$Q$2)/$Q$2))</f>
        <v>2116.55097909549</v>
      </c>
      <c r="K721" s="15" t="n">
        <f aca="false">J721*(1+IF(K$3&lt;=$O$2,$D721,$D721-($D721-$I$697)*MIN(K$3-$O$2,$Q$2)/$Q$2))</f>
        <v>2174.45529676244</v>
      </c>
      <c r="L721" s="15" t="n">
        <f aca="false">K721*(1+IF(L$3&lt;=$O$2,$D721,$D721-($D721-$I$697)*MIN(L$3-$O$2,$Q$2)/$Q$2))</f>
        <v>2239.48291270435</v>
      </c>
      <c r="M721" s="15" t="n">
        <f aca="false">L721*(1+IF(M$3&lt;=$O$2,$D721,$D721-($D721-$I$697)*MIN(M$3-$O$2,$Q$2)/$Q$2))</f>
        <v>2312.16000500427</v>
      </c>
      <c r="N721" s="15" t="n">
        <f aca="false">M721*(1+IF(N$3&lt;=$O$2,$D721,$D721-($D721-$I$697)*MIN(N$3-$O$2,$Q$2)/$Q$2))</f>
        <v>2393.08560517942</v>
      </c>
      <c r="O721" s="15" t="n">
        <f aca="false">SUMPRODUCT(E721:N721,1/(1+$F$697)^$E$3:$N$3)*$E$2</f>
        <v>5175.37958731937</v>
      </c>
      <c r="P721" s="15" t="n">
        <f aca="false">N721*$E$2*(1+$I$697)/($F$697-$I$697)/(1+$F$697)^$N$3</f>
        <v>11387.333409945</v>
      </c>
      <c r="Q721" s="15" t="n">
        <f aca="false">O721+P721</f>
        <v>16562.7129972644</v>
      </c>
      <c r="R721" s="15" t="n">
        <f aca="false">Q721-$G$2+$I$2</f>
        <v>15010.0129972644</v>
      </c>
      <c r="S721" s="40" t="n">
        <f aca="false">R721/$K$2</f>
        <v>54.5045680571714</v>
      </c>
      <c r="T721" s="41" t="n">
        <f aca="false">S721-$M$2</f>
        <v>4.7195847407977E-005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0.0222629308700562</v>
      </c>
      <c r="C722" s="25" t="n">
        <f aca="false">IF(T721&gt;0,D721,C721)</f>
        <v>0.0222631096839905</v>
      </c>
      <c r="D722" s="39" t="n">
        <f aca="false">(B722+C722)/2</f>
        <v>0.0222630202770233</v>
      </c>
      <c r="E722" s="15" t="n">
        <f aca="false">$C$2*(1+IF(E$3&lt;=$O$2,$D722,$D722-($D722-$I$697)*MIN(E$3-$O$2,$Q$2)/$Q$2))</f>
        <v>1891.18658751249</v>
      </c>
      <c r="F722" s="15" t="n">
        <f aca="false">E722*(1+IF(F$3&lt;=$O$2,$D722,$D722-($D722-$I$697)*MIN(F$3-$O$2,$Q$2)/$Q$2))</f>
        <v>1933.29011285792</v>
      </c>
      <c r="G722" s="15" t="n">
        <f aca="false">F722*(1+IF(G$3&lt;=$O$2,$D722,$D722-($D722-$I$697)*MIN(G$3-$O$2,$Q$2)/$Q$2))</f>
        <v>1976.33098984184</v>
      </c>
      <c r="H722" s="15" t="n">
        <f aca="false">G722*(1+IF(H$3&lt;=$O$2,$D722,$D722-($D722-$I$697)*MIN(H$3-$O$2,$Q$2)/$Q$2))</f>
        <v>2020.3300867428</v>
      </c>
      <c r="I722" s="15" t="n">
        <f aca="false">H722*(1+IF(I$3&lt;=$O$2,$D722,$D722-($D722-$I$697)*MIN(I$3-$O$2,$Q$2)/$Q$2))</f>
        <v>2065.30873643024</v>
      </c>
      <c r="J722" s="15" t="n">
        <f aca="false">I722*(1+IF(J$3&lt;=$O$2,$D722,$D722-($D722-$I$697)*MIN(J$3-$O$2,$Q$2)/$Q$2))</f>
        <v>2116.54990580722</v>
      </c>
      <c r="K722" s="15" t="n">
        <f aca="false">J722*(1+IF(K$3&lt;=$O$2,$D722,$D722-($D722-$I$697)*MIN(K$3-$O$2,$Q$2)/$Q$2))</f>
        <v>2174.45408057071</v>
      </c>
      <c r="L722" s="15" t="n">
        <f aca="false">K722*(1+IF(L$3&lt;=$O$2,$D722,$D722-($D722-$I$697)*MIN(L$3-$O$2,$Q$2)/$Q$2))</f>
        <v>2239.48158237757</v>
      </c>
      <c r="M722" s="15" t="n">
        <f aca="false">L722*(1+IF(M$3&lt;=$O$2,$D722,$D722-($D722-$I$697)*MIN(M$3-$O$2,$Q$2)/$Q$2))</f>
        <v>2312.15859145984</v>
      </c>
      <c r="N722" s="15" t="n">
        <f aca="false">M722*(1+IF(N$3&lt;=$O$2,$D722,$D722-($D722-$I$697)*MIN(N$3-$O$2,$Q$2)/$Q$2))</f>
        <v>2393.08414216094</v>
      </c>
      <c r="O722" s="15" t="n">
        <f aca="false">SUMPRODUCT(E722:N722,1/(1+$F$697)^$E$3:$N$3)*$E$2</f>
        <v>5175.37753807187</v>
      </c>
      <c r="P722" s="15" t="n">
        <f aca="false">N722*$E$2*(1+$I$697)/($F$697-$I$697)/(1+$F$697)^$N$3</f>
        <v>11387.3264482721</v>
      </c>
      <c r="Q722" s="15" t="n">
        <f aca="false">O722+P722</f>
        <v>16562.703986344</v>
      </c>
      <c r="R722" s="15" t="n">
        <f aca="false">Q722-$G$2+$I$2</f>
        <v>15010.003986344</v>
      </c>
      <c r="S722" s="40" t="n">
        <f aca="false">R722/$K$2</f>
        <v>54.5045353365918</v>
      </c>
      <c r="T722" s="41" t="n">
        <f aca="false">S722-$M$2</f>
        <v>1.44752678608029E-005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201</v>
      </c>
    </row>
    <row r="3" customFormat="false" ht="15" hidden="false" customHeight="false" outlineLevel="0" collapsed="false">
      <c r="B3" s="2" t="s">
        <v>202</v>
      </c>
    </row>
    <row r="5" customFormat="false" ht="15" hidden="false" customHeight="false" outlineLevel="0" collapsed="false">
      <c r="B5" s="3" t="s">
        <v>203</v>
      </c>
    </row>
    <row r="6" customFormat="false" ht="15" hidden="false" customHeight="false" outlineLevel="0" collapsed="false">
      <c r="B6" s="28" t="s">
        <v>152</v>
      </c>
      <c r="C6" s="42" t="n">
        <v>1</v>
      </c>
      <c r="D6" s="42" t="n">
        <v>2</v>
      </c>
      <c r="E6" s="42" t="n">
        <v>3</v>
      </c>
      <c r="F6" s="42" t="n">
        <v>4</v>
      </c>
      <c r="G6" s="42" t="n">
        <v>5</v>
      </c>
      <c r="H6" s="42" t="n">
        <v>6</v>
      </c>
      <c r="I6" s="42" t="n">
        <v>7</v>
      </c>
      <c r="J6" s="42" t="n">
        <v>8</v>
      </c>
      <c r="K6" s="42" t="n">
        <v>9</v>
      </c>
      <c r="L6" s="42" t="n">
        <v>10</v>
      </c>
    </row>
    <row r="7" customFormat="false" ht="15" hidden="false" customHeight="false" outlineLevel="0" collapsed="false">
      <c r="B7" s="5" t="s">
        <v>204</v>
      </c>
      <c r="C7" s="23" t="n">
        <f aca="false">IF(C$6&lt;=Inputs!$C$46,Solver!$W$7,Solver!$W$7-(Solver!$W$7-Inputs!$C$37)*MIN(C$6-Inputs!$C$46,Inputs!$C$47)/Inputs!$C$47)</f>
        <v>0.0139550970475284</v>
      </c>
      <c r="D7" s="23" t="n">
        <f aca="false">IF(D$6&lt;=Inputs!$C$46,Solver!$W$7,Solver!$W$7-(Solver!$W$7-Inputs!$C$37)*MIN(D$6-Inputs!$C$46,Inputs!$C$47)/Inputs!$C$47)</f>
        <v>0.0139550970475284</v>
      </c>
      <c r="E7" s="23" t="n">
        <f aca="false">IF(E$6&lt;=Inputs!$C$46,Solver!$W$7,Solver!$W$7-(Solver!$W$7-Inputs!$C$37)*MIN(E$6-Inputs!$C$46,Inputs!$C$47)/Inputs!$C$47)</f>
        <v>0.0139550970475284</v>
      </c>
      <c r="F7" s="23" t="n">
        <f aca="false">IF(F$6&lt;=Inputs!$C$46,Solver!$W$7,Solver!$W$7-(Solver!$W$7-Inputs!$C$37)*MIN(F$6-Inputs!$C$46,Inputs!$C$47)/Inputs!$C$47)</f>
        <v>0.0139550970475284</v>
      </c>
      <c r="G7" s="23" t="n">
        <f aca="false">IF(G$6&lt;=Inputs!$C$46,Solver!$W$7,Solver!$W$7-(Solver!$W$7-Inputs!$C$37)*MIN(G$6-Inputs!$C$46,Inputs!$C$47)/Inputs!$C$47)</f>
        <v>0.0139550970475284</v>
      </c>
      <c r="H7" s="23" t="n">
        <f aca="false">IF(H$6&lt;=Inputs!$C$46,Solver!$W$7,Solver!$W$7-(Solver!$W$7-Inputs!$C$37)*MIN(H$6-Inputs!$C$46,Inputs!$C$47)/Inputs!$C$47)</f>
        <v>0.0161640776380227</v>
      </c>
      <c r="I7" s="23" t="n">
        <f aca="false">IF(I$6&lt;=Inputs!$C$46,Solver!$W$7,Solver!$W$7-(Solver!$W$7-Inputs!$C$37)*MIN(I$6-Inputs!$C$46,Inputs!$C$47)/Inputs!$C$47)</f>
        <v>0.018373058228517</v>
      </c>
      <c r="J7" s="23" t="n">
        <f aca="false">IF(J$6&lt;=Inputs!$C$46,Solver!$W$7,Solver!$W$7-(Solver!$W$7-Inputs!$C$37)*MIN(J$6-Inputs!$C$46,Inputs!$C$47)/Inputs!$C$47)</f>
        <v>0.0205820388190114</v>
      </c>
      <c r="K7" s="23" t="n">
        <f aca="false">IF(K$6&lt;=Inputs!$C$46,Solver!$W$7,Solver!$W$7-(Solver!$W$7-Inputs!$C$37)*MIN(K$6-Inputs!$C$46,Inputs!$C$47)/Inputs!$C$47)</f>
        <v>0.0227910194095057</v>
      </c>
      <c r="L7" s="23" t="n">
        <f aca="false">IF(L$6&lt;=Inputs!$C$46,Solver!$W$7,Solver!$W$7-(Solver!$W$7-Inputs!$C$37)*MIN(L$6-Inputs!$C$46,Inputs!$C$47)/Inputs!$C$47)</f>
        <v>0.025</v>
      </c>
    </row>
    <row r="8" customFormat="false" ht="15" hidden="false" customHeight="false" outlineLevel="0" collapsed="false">
      <c r="B8" s="5" t="s">
        <v>104</v>
      </c>
      <c r="C8" s="15" t="n">
        <f aca="false">Inputs!$C$12*(1+C7)</f>
        <v>1875.81692953793</v>
      </c>
      <c r="D8" s="15" t="n">
        <f aca="false">C8*(1+D7)</f>
        <v>1901.99413683303</v>
      </c>
      <c r="E8" s="15" t="n">
        <f aca="false">D8*(1+E7)</f>
        <v>1928.53664959636</v>
      </c>
      <c r="F8" s="15" t="n">
        <f aca="false">E8*(1+F7)</f>
        <v>1955.44956570119</v>
      </c>
      <c r="G8" s="15" t="n">
        <f aca="false">F8*(1+G7)</f>
        <v>1982.7380541621</v>
      </c>
      <c r="H8" s="15" t="n">
        <f aca="false">G8*(1+H7)</f>
        <v>2014.78718600544</v>
      </c>
      <c r="I8" s="15" t="n">
        <f aca="false">H8*(1+I7)</f>
        <v>2051.80498829199</v>
      </c>
      <c r="J8" s="15" t="n">
        <f aca="false">I8*(1+J7)</f>
        <v>2094.03531821005</v>
      </c>
      <c r="K8" s="15" t="n">
        <f aca="false">J8*(1+K7)</f>
        <v>2141.76051779157</v>
      </c>
      <c r="L8" s="15" t="n">
        <f aca="false">K8*(1+L7)</f>
        <v>2195.30453073636</v>
      </c>
    </row>
    <row r="9" customFormat="false" ht="15" hidden="false" customHeight="false" outlineLevel="0" collapsed="false">
      <c r="B9" s="5" t="s">
        <v>60</v>
      </c>
      <c r="C9" s="15" t="n">
        <f aca="false">C8*Inputs!$C$23</f>
        <v>675.052773320557</v>
      </c>
      <c r="D9" s="15" t="n">
        <f aca="false">D8*Inputs!$C$23</f>
        <v>684.473200284448</v>
      </c>
      <c r="E9" s="15" t="n">
        <f aca="false">E8*Inputs!$C$23</f>
        <v>694.02509022085</v>
      </c>
      <c r="F9" s="15" t="n">
        <f aca="false">F8*Inputs!$C$23</f>
        <v>703.710277708302</v>
      </c>
      <c r="G9" s="15" t="n">
        <f aca="false">G8*Inputs!$C$23</f>
        <v>713.530622927064</v>
      </c>
      <c r="H9" s="15" t="n">
        <f aca="false">H8*Inputs!$C$23</f>
        <v>725.064187313164</v>
      </c>
      <c r="I9" s="15" t="n">
        <f aca="false">I8*Inputs!$C$23</f>
        <v>738.385833846081</v>
      </c>
      <c r="J9" s="15" t="n">
        <f aca="false">J8*Inputs!$C$23</f>
        <v>753.583319741709</v>
      </c>
      <c r="K9" s="15" t="n">
        <f aca="false">K8*Inputs!$C$23</f>
        <v>770.758251808622</v>
      </c>
      <c r="L9" s="15" t="n">
        <f aca="false">L8*Inputs!$C$23</f>
        <v>790.027208103838</v>
      </c>
    </row>
    <row r="10" customFormat="false" ht="15" hidden="false" customHeight="false" outlineLevel="0" collapsed="false">
      <c r="B10" s="5" t="s">
        <v>205</v>
      </c>
      <c r="C10" s="43" t="n">
        <f aca="false">1/(1+WACC!$C$37)^C$6</f>
        <v>0.940283262868854</v>
      </c>
      <c r="D10" s="43" t="n">
        <f aca="false">1/(1+WACC!$C$37)^D$6</f>
        <v>0.884132614431299</v>
      </c>
      <c r="E10" s="43" t="n">
        <f aca="false">1/(1+WACC!$C$37)^E$6</f>
        <v>0.831335099506232</v>
      </c>
      <c r="F10" s="43" t="n">
        <f aca="false">1/(1+WACC!$C$37)^F$6</f>
        <v>0.781690479901124</v>
      </c>
      <c r="G10" s="43" t="n">
        <f aca="false">1/(1+WACC!$C$37)^G$6</f>
        <v>0.735010474994949</v>
      </c>
      <c r="H10" s="43" t="n">
        <f aca="false">1/(1+WACC!$C$37)^H$6</f>
        <v>0.691118047671037</v>
      </c>
      <c r="I10" s="43" t="n">
        <f aca="false">1/(1+WACC!$C$37)^I$6</f>
        <v>0.649846732891675</v>
      </c>
      <c r="J10" s="43" t="n">
        <f aca="false">1/(1+WACC!$C$37)^J$6</f>
        <v>0.611040006368049</v>
      </c>
      <c r="K10" s="43" t="n">
        <f aca="false">1/(1+WACC!$C$37)^K$6</f>
        <v>0.574550690931155</v>
      </c>
      <c r="L10" s="43" t="n">
        <f aca="false">1/(1+WACC!$C$37)^L$6</f>
        <v>0.540240398352301</v>
      </c>
    </row>
    <row r="11" customFormat="false" ht="15" hidden="false" customHeight="false" outlineLevel="0" collapsed="false">
      <c r="B11" s="5" t="s">
        <v>206</v>
      </c>
      <c r="C11" s="15" t="n">
        <f aca="false">C9*C10</f>
        <v>634.740824306522</v>
      </c>
      <c r="D11" s="15" t="n">
        <f aca="false">D9*D10</f>
        <v>605.165080075647</v>
      </c>
      <c r="E11" s="15" t="n">
        <f aca="false">E9*E10</f>
        <v>576.967417438572</v>
      </c>
      <c r="F11" s="15" t="n">
        <f aca="false">F9*F10</f>
        <v>550.083624693155</v>
      </c>
      <c r="G11" s="15" t="n">
        <f aca="false">G9*G10</f>
        <v>524.452482081063</v>
      </c>
      <c r="H11" s="15" t="n">
        <f aca="false">H9*H10</f>
        <v>501.104945572061</v>
      </c>
      <c r="I11" s="15" t="n">
        <f aca="false">I9*I10</f>
        <v>479.837621738371</v>
      </c>
      <c r="J11" s="15" t="n">
        <f aca="false">J9*J10</f>
        <v>460.46955649383</v>
      </c>
      <c r="K11" s="15" t="n">
        <f aca="false">K9*K10</f>
        <v>442.839686117533</v>
      </c>
      <c r="L11" s="15" t="n">
        <f aca="false">L9*L10</f>
        <v>426.804613615173</v>
      </c>
    </row>
    <row r="13" customFormat="false" ht="15" hidden="false" customHeight="false" outlineLevel="0" collapsed="false">
      <c r="B13" s="5" t="s">
        <v>207</v>
      </c>
      <c r="C13" s="15" t="n">
        <f aca="false">SUM(C11:L11)</f>
        <v>5202.46585213193</v>
      </c>
    </row>
    <row r="14" customFormat="false" ht="15" hidden="false" customHeight="false" outlineLevel="0" collapsed="false">
      <c r="B14" s="5" t="s">
        <v>208</v>
      </c>
      <c r="C14" s="15" t="n">
        <f aca="false">L9*(1+Inputs!$C$37)/(WACC!$C$37-Inputs!$C$37)</f>
        <v>21028.1093054377</v>
      </c>
    </row>
    <row r="15" customFormat="false" ht="15" hidden="false" customHeight="false" outlineLevel="0" collapsed="false">
      <c r="B15" s="5" t="s">
        <v>209</v>
      </c>
      <c r="C15" s="15" t="n">
        <f aca="false">C14*L10</f>
        <v>11360.2341477654</v>
      </c>
    </row>
    <row r="16" customFormat="false" ht="15" hidden="false" customHeight="false" outlineLevel="0" collapsed="false">
      <c r="B16" s="7" t="s">
        <v>210</v>
      </c>
      <c r="C16" s="15" t="n">
        <f aca="false">C13+C15</f>
        <v>16562.6999998973</v>
      </c>
    </row>
    <row r="17" customFormat="false" ht="15" hidden="false" customHeight="false" outlineLevel="0" collapsed="false">
      <c r="B17" s="5" t="s">
        <v>211</v>
      </c>
      <c r="C17" s="16" t="n">
        <f aca="false">-Inputs!$C$27</f>
        <v>-2070</v>
      </c>
    </row>
    <row r="18" customFormat="false" ht="15" hidden="false" customHeight="false" outlineLevel="0" collapsed="false">
      <c r="B18" s="5" t="s">
        <v>212</v>
      </c>
      <c r="C18" s="16" t="n">
        <f aca="false">Inputs!$C$28</f>
        <v>517.3</v>
      </c>
    </row>
    <row r="19" customFormat="false" ht="15" hidden="false" customHeight="false" outlineLevel="0" collapsed="false">
      <c r="B19" s="5" t="s">
        <v>213</v>
      </c>
      <c r="C19" s="15" t="n">
        <f aca="false">SUM(C16:C18)</f>
        <v>15009.9999998973</v>
      </c>
    </row>
    <row r="20" customFormat="false" ht="15" hidden="false" customHeight="false" outlineLevel="0" collapsed="false">
      <c r="B20" s="5" t="s">
        <v>214</v>
      </c>
      <c r="C20" s="34" t="n">
        <f aca="false">Inputs!$C$7</f>
        <v>275.39</v>
      </c>
    </row>
    <row r="21" customFormat="false" ht="15" hidden="false" customHeight="false" outlineLevel="0" collapsed="false">
      <c r="B21" s="7" t="s">
        <v>215</v>
      </c>
      <c r="C21" s="44" t="n">
        <f aca="false">C19/C20</f>
        <v>54.504520860951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54.5045208613239</v>
      </c>
    </row>
    <row r="23" customFormat="false" ht="15" hidden="false" customHeight="false" outlineLevel="0" collapsed="false">
      <c r="B23" s="5" t="s">
        <v>216</v>
      </c>
      <c r="C23" s="23" t="n">
        <f aca="false">C21/C22-1</f>
        <v>-6.84285961227715E-012</v>
      </c>
    </row>
    <row r="24" customFormat="false" ht="15" hidden="false" customHeight="false" outlineLevel="0" collapsed="false">
      <c r="B24" s="5" t="s">
        <v>217</v>
      </c>
      <c r="C24" s="23" t="n">
        <f aca="false">C15/C16</f>
        <v>0.685892647203403</v>
      </c>
    </row>
    <row r="25" customFormat="false" ht="15" hidden="false" customHeight="false" outlineLevel="0" collapsed="false">
      <c r="B25" s="3" t="s">
        <v>218</v>
      </c>
    </row>
    <row r="26" customFormat="false" ht="15" hidden="false" customHeight="false" outlineLevel="0" collapsed="false">
      <c r="B26" s="28" t="s">
        <v>152</v>
      </c>
      <c r="C26" s="42" t="n">
        <v>1</v>
      </c>
      <c r="D26" s="42" t="n">
        <v>2</v>
      </c>
      <c r="E26" s="42" t="n">
        <v>3</v>
      </c>
      <c r="F26" s="42" t="n">
        <v>4</v>
      </c>
      <c r="G26" s="42" t="n">
        <v>5</v>
      </c>
      <c r="H26" s="42" t="n">
        <v>6</v>
      </c>
      <c r="I26" s="42" t="n">
        <v>7</v>
      </c>
      <c r="J26" s="42" t="n">
        <v>8</v>
      </c>
      <c r="K26" s="42" t="n">
        <v>9</v>
      </c>
      <c r="L26" s="42" t="n">
        <v>10</v>
      </c>
    </row>
    <row r="27" customFormat="false" ht="15" hidden="false" customHeight="false" outlineLevel="0" collapsed="false">
      <c r="B27" s="5" t="s">
        <v>204</v>
      </c>
      <c r="C27" s="23" t="n">
        <f aca="false">IF(C$26&lt;=Inputs!$C$46,Inputs!$C$45,Inputs!$C$45-(Inputs!$C$45-Inputs!$C$37)*MIN(C$26-Inputs!$C$46,Inputs!$C$47)/Inputs!$C$47)</f>
        <v>0.1503</v>
      </c>
      <c r="D27" s="23" t="n">
        <f aca="false">IF(D$26&lt;=Inputs!$C$46,Inputs!$C$45,Inputs!$C$45-(Inputs!$C$45-Inputs!$C$37)*MIN(D$26-Inputs!$C$46,Inputs!$C$47)/Inputs!$C$47)</f>
        <v>0.1503</v>
      </c>
      <c r="E27" s="23" t="n">
        <f aca="false">IF(E$26&lt;=Inputs!$C$46,Inputs!$C$45,Inputs!$C$45-(Inputs!$C$45-Inputs!$C$37)*MIN(E$26-Inputs!$C$46,Inputs!$C$47)/Inputs!$C$47)</f>
        <v>0.1503</v>
      </c>
      <c r="F27" s="23" t="n">
        <f aca="false">IF(F$26&lt;=Inputs!$C$46,Inputs!$C$45,Inputs!$C$45-(Inputs!$C$45-Inputs!$C$37)*MIN(F$26-Inputs!$C$46,Inputs!$C$47)/Inputs!$C$47)</f>
        <v>0.1503</v>
      </c>
      <c r="G27" s="23" t="n">
        <f aca="false">IF(G$26&lt;=Inputs!$C$46,Inputs!$C$45,Inputs!$C$45-(Inputs!$C$45-Inputs!$C$37)*MIN(G$26-Inputs!$C$46,Inputs!$C$47)/Inputs!$C$47)</f>
        <v>0.1503</v>
      </c>
      <c r="H27" s="23" t="n">
        <f aca="false">IF(H$26&lt;=Inputs!$C$46,Inputs!$C$45,Inputs!$C$45-(Inputs!$C$45-Inputs!$C$37)*MIN(H$26-Inputs!$C$46,Inputs!$C$47)/Inputs!$C$47)</f>
        <v>0.12524</v>
      </c>
      <c r="I27" s="23" t="n">
        <f aca="false">IF(I$26&lt;=Inputs!$C$46,Inputs!$C$45,Inputs!$C$45-(Inputs!$C$45-Inputs!$C$37)*MIN(I$26-Inputs!$C$46,Inputs!$C$47)/Inputs!$C$47)</f>
        <v>0.10018</v>
      </c>
      <c r="J27" s="23" t="n">
        <f aca="false">IF(J$26&lt;=Inputs!$C$46,Inputs!$C$45,Inputs!$C$45-(Inputs!$C$45-Inputs!$C$37)*MIN(J$26-Inputs!$C$46,Inputs!$C$47)/Inputs!$C$47)</f>
        <v>0.07512</v>
      </c>
      <c r="K27" s="23" t="n">
        <f aca="false">IF(K$26&lt;=Inputs!$C$46,Inputs!$C$45,Inputs!$C$45-(Inputs!$C$45-Inputs!$C$37)*MIN(K$26-Inputs!$C$46,Inputs!$C$47)/Inputs!$C$47)</f>
        <v>0.05006</v>
      </c>
      <c r="L27" s="23" t="n">
        <f aca="false">IF(L$26&lt;=Inputs!$C$46,Inputs!$C$45,Inputs!$C$45-(Inputs!$C$45-Inputs!$C$37)*MIN(L$26-Inputs!$C$46,Inputs!$C$47)/Inputs!$C$47)</f>
        <v>0.025</v>
      </c>
    </row>
    <row r="28" customFormat="false" ht="15" hidden="false" customHeight="false" outlineLevel="0" collapsed="false">
      <c r="B28" s="5" t="s">
        <v>104</v>
      </c>
      <c r="C28" s="15" t="n">
        <f aca="false">Inputs!$C$12*(1+C27)</f>
        <v>2128.055</v>
      </c>
      <c r="D28" s="15" t="n">
        <f aca="false">C28*(1+D27)</f>
        <v>2447.9016665</v>
      </c>
      <c r="E28" s="15" t="n">
        <f aca="false">D28*(1+E27)</f>
        <v>2815.82128697495</v>
      </c>
      <c r="F28" s="15" t="n">
        <f aca="false">E28*(1+F27)</f>
        <v>3239.03922640729</v>
      </c>
      <c r="G28" s="15" t="n">
        <f aca="false">F28*(1+G27)</f>
        <v>3725.8668221363</v>
      </c>
      <c r="H28" s="15" t="n">
        <f aca="false">G28*(1+H27)</f>
        <v>4192.49438294065</v>
      </c>
      <c r="I28" s="15" t="n">
        <f aca="false">H28*(1+I27)</f>
        <v>4612.49847022365</v>
      </c>
      <c r="J28" s="15" t="n">
        <f aca="false">I28*(1+J27)</f>
        <v>4958.98935530685</v>
      </c>
      <c r="K28" s="15" t="n">
        <f aca="false">J28*(1+K27)</f>
        <v>5207.23636243351</v>
      </c>
      <c r="L28" s="15" t="n">
        <f aca="false">K28*(1+L27)</f>
        <v>5337.41727149434</v>
      </c>
    </row>
    <row r="29" customFormat="false" ht="15" hidden="false" customHeight="false" outlineLevel="0" collapsed="false">
      <c r="B29" s="5" t="s">
        <v>60</v>
      </c>
      <c r="C29" s="15" t="n">
        <f aca="false">C28*Inputs!$C$23</f>
        <v>765.8260286</v>
      </c>
      <c r="D29" s="15" t="n">
        <f aca="false">D28*Inputs!$C$23</f>
        <v>880.92968069858</v>
      </c>
      <c r="E29" s="15" t="n">
        <f aca="false">E28*Inputs!$C$23</f>
        <v>1013.33341170758</v>
      </c>
      <c r="F29" s="15" t="n">
        <f aca="false">F28*Inputs!$C$23</f>
        <v>1165.63742348723</v>
      </c>
      <c r="G29" s="15" t="n">
        <f aca="false">G28*Inputs!$C$23</f>
        <v>1340.83272823736</v>
      </c>
      <c r="H29" s="15" t="n">
        <f aca="false">H28*Inputs!$C$23</f>
        <v>1508.7586191218</v>
      </c>
      <c r="I29" s="15" t="n">
        <f aca="false">I28*Inputs!$C$23</f>
        <v>1659.90605758542</v>
      </c>
      <c r="J29" s="15" t="n">
        <f aca="false">J28*Inputs!$C$23</f>
        <v>1784.59820063124</v>
      </c>
      <c r="K29" s="15" t="n">
        <f aca="false">K28*Inputs!$C$23</f>
        <v>1873.93518655484</v>
      </c>
      <c r="L29" s="15" t="n">
        <f aca="false">L28*Inputs!$C$23</f>
        <v>1920.78356621871</v>
      </c>
    </row>
    <row r="30" customFormat="false" ht="15" hidden="false" customHeight="false" outlineLevel="0" collapsed="false">
      <c r="B30" s="5" t="s">
        <v>205</v>
      </c>
      <c r="C30" s="43" t="n">
        <f aca="false">1/(1+WACC!$C$37)^C$26</f>
        <v>0.940283262868854</v>
      </c>
      <c r="D30" s="43" t="n">
        <f aca="false">1/(1+WACC!$C$37)^D$26</f>
        <v>0.884132614431299</v>
      </c>
      <c r="E30" s="43" t="n">
        <f aca="false">1/(1+WACC!$C$37)^E$26</f>
        <v>0.831335099506232</v>
      </c>
      <c r="F30" s="43" t="n">
        <f aca="false">1/(1+WACC!$C$37)^F$26</f>
        <v>0.781690479901124</v>
      </c>
      <c r="G30" s="43" t="n">
        <f aca="false">1/(1+WACC!$C$37)^G$26</f>
        <v>0.735010474994949</v>
      </c>
      <c r="H30" s="43" t="n">
        <f aca="false">1/(1+WACC!$C$37)^H$26</f>
        <v>0.691118047671037</v>
      </c>
      <c r="I30" s="43" t="n">
        <f aca="false">1/(1+WACC!$C$37)^I$26</f>
        <v>0.649846732891675</v>
      </c>
      <c r="J30" s="43" t="n">
        <f aca="false">1/(1+WACC!$C$37)^J$26</f>
        <v>0.611040006368049</v>
      </c>
      <c r="K30" s="43" t="n">
        <f aca="false">1/(1+WACC!$C$37)^K$26</f>
        <v>0.574550690931155</v>
      </c>
      <c r="L30" s="43" t="n">
        <f aca="false">1/(1+WACC!$C$37)^L$26</f>
        <v>0.540240398352301</v>
      </c>
    </row>
    <row r="31" customFormat="false" ht="15" hidden="false" customHeight="false" outlineLevel="0" collapsed="false">
      <c r="B31" s="5" t="s">
        <v>206</v>
      </c>
      <c r="C31" s="15" t="n">
        <f aca="false">C29*C30</f>
        <v>720.093396961905</v>
      </c>
      <c r="D31" s="15" t="n">
        <f aca="false">D29*D30</f>
        <v>778.858661726165</v>
      </c>
      <c r="E31" s="15" t="n">
        <f aca="false">E29*E30</f>
        <v>842.419632654908</v>
      </c>
      <c r="F31" s="15" t="n">
        <f aca="false">F29*F30</f>
        <v>911.167676956439</v>
      </c>
      <c r="G31" s="15" t="n">
        <f aca="false">G29*G30</f>
        <v>985.526100470512</v>
      </c>
      <c r="H31" s="15" t="n">
        <f aca="false">H29*H30</f>
        <v>1042.73031125431</v>
      </c>
      <c r="I31" s="15" t="n">
        <f aca="false">I29*I30</f>
        <v>1078.68452842899</v>
      </c>
      <c r="J31" s="15" t="n">
        <f aca="false">J29*J30</f>
        <v>1090.46089587812</v>
      </c>
      <c r="K31" s="15" t="n">
        <f aca="false">K29*K30</f>
        <v>1076.67075619529</v>
      </c>
      <c r="L31" s="15" t="n">
        <f aca="false">L29*L30</f>
        <v>1037.68487896255</v>
      </c>
    </row>
    <row r="33" customFormat="false" ht="15" hidden="false" customHeight="false" outlineLevel="0" collapsed="false">
      <c r="B33" s="5" t="s">
        <v>207</v>
      </c>
      <c r="C33" s="15" t="n">
        <f aca="false">SUM(C31:L31)</f>
        <v>9564.29683948919</v>
      </c>
    </row>
    <row r="34" customFormat="false" ht="15" hidden="false" customHeight="false" outlineLevel="0" collapsed="false">
      <c r="B34" s="5" t="s">
        <v>208</v>
      </c>
      <c r="C34" s="15" t="n">
        <f aca="false">L29*(1+Inputs!$C$37)/(WACC!$C$37-Inputs!$C$37)</f>
        <v>51125.3870350585</v>
      </c>
    </row>
    <row r="35" customFormat="false" ht="15" hidden="false" customHeight="false" outlineLevel="0" collapsed="false">
      <c r="B35" s="5" t="s">
        <v>209</v>
      </c>
      <c r="C35" s="15" t="n">
        <f aca="false">C34*L30</f>
        <v>27619.9994577356</v>
      </c>
    </row>
    <row r="36" customFormat="false" ht="15" hidden="false" customHeight="false" outlineLevel="0" collapsed="false">
      <c r="B36" s="7" t="s">
        <v>210</v>
      </c>
      <c r="C36" s="15" t="n">
        <f aca="false">C33+C35</f>
        <v>37184.2962972248</v>
      </c>
    </row>
    <row r="37" customFormat="false" ht="15" hidden="false" customHeight="false" outlineLevel="0" collapsed="false">
      <c r="B37" s="5" t="s">
        <v>211</v>
      </c>
      <c r="C37" s="16" t="n">
        <f aca="false">-Inputs!$C$27</f>
        <v>-2070</v>
      </c>
    </row>
    <row r="38" customFormat="false" ht="15" hidden="false" customHeight="false" outlineLevel="0" collapsed="false">
      <c r="B38" s="5" t="s">
        <v>212</v>
      </c>
      <c r="C38" s="16" t="n">
        <f aca="false">Inputs!$C$28</f>
        <v>517.3</v>
      </c>
    </row>
    <row r="39" customFormat="false" ht="15" hidden="false" customHeight="false" outlineLevel="0" collapsed="false">
      <c r="B39" s="5" t="s">
        <v>213</v>
      </c>
      <c r="C39" s="15" t="n">
        <f aca="false">SUM(C36:C38)</f>
        <v>35631.5962972248</v>
      </c>
    </row>
    <row r="40" customFormat="false" ht="15" hidden="false" customHeight="false" outlineLevel="0" collapsed="false">
      <c r="B40" s="5" t="s">
        <v>214</v>
      </c>
      <c r="C40" s="34" t="n">
        <f aca="false">Inputs!$C$7</f>
        <v>275.39</v>
      </c>
    </row>
    <row r="41" customFormat="false" ht="15" hidden="false" customHeight="false" outlineLevel="0" collapsed="false">
      <c r="B41" s="7" t="s">
        <v>215</v>
      </c>
      <c r="C41" s="44" t="n">
        <f aca="false">C39/C40</f>
        <v>129.385948281436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54.5045208613239</v>
      </c>
    </row>
    <row r="43" customFormat="false" ht="15" hidden="false" customHeight="false" outlineLevel="0" collapsed="false">
      <c r="B43" s="5" t="s">
        <v>216</v>
      </c>
      <c r="C43" s="23" t="n">
        <f aca="false">C41/C42-1</f>
        <v>1.37385718169385</v>
      </c>
    </row>
    <row r="44" customFormat="false" ht="15" hidden="false" customHeight="false" outlineLevel="0" collapsed="false">
      <c r="B44" s="5" t="s">
        <v>217</v>
      </c>
      <c r="C44" s="23" t="n">
        <f aca="false">C35/C36</f>
        <v>0.742786665557981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219</v>
      </c>
    </row>
    <row r="3" customFormat="false" ht="15" hidden="false" customHeight="false" outlineLevel="0" collapsed="false">
      <c r="B3" s="2" t="s">
        <v>220</v>
      </c>
    </row>
    <row r="5" customFormat="false" ht="15" hidden="false" customHeight="false" outlineLevel="0" collapsed="false">
      <c r="B5" s="5" t="s">
        <v>221</v>
      </c>
      <c r="C5" s="24" t="n">
        <v>0.005</v>
      </c>
      <c r="D5" s="5" t="s">
        <v>222</v>
      </c>
      <c r="F5" s="24" t="n">
        <v>0.005</v>
      </c>
    </row>
    <row r="6" customFormat="false" ht="15" hidden="false" customHeight="false" outlineLevel="0" collapsed="false">
      <c r="B6" s="5" t="s">
        <v>223</v>
      </c>
      <c r="C6" s="24" t="n">
        <v>0.02</v>
      </c>
    </row>
    <row r="8" customFormat="false" ht="15" hidden="false" customHeight="false" outlineLevel="0" collapsed="false">
      <c r="B8" s="3" t="s">
        <v>224</v>
      </c>
    </row>
    <row r="9" customFormat="false" ht="15" hidden="false" customHeight="false" outlineLevel="0" collapsed="false">
      <c r="C9" s="45" t="n">
        <f aca="false">Inputs!$C$37+(0-2)*$F$5</f>
        <v>0.015</v>
      </c>
      <c r="D9" s="45" t="n">
        <f aca="false">Inputs!$C$37+(1-2)*$F$5</f>
        <v>0.02</v>
      </c>
      <c r="E9" s="45" t="n">
        <f aca="false">Inputs!$C$37+(2-2)*$F$5</f>
        <v>0.025</v>
      </c>
      <c r="F9" s="45" t="n">
        <f aca="false">Inputs!$C$37+(3-2)*$F$5</f>
        <v>0.03</v>
      </c>
      <c r="G9" s="45" t="n">
        <f aca="false">Inputs!$C$37+(4-2)*$F$5</f>
        <v>0.035</v>
      </c>
    </row>
    <row r="10" customFormat="false" ht="15" hidden="false" customHeight="false" outlineLevel="0" collapsed="false">
      <c r="B10" s="45" t="n">
        <f aca="false">WACC!$C$37+(0-2)*$C$5</f>
        <v>0.0535093056415221</v>
      </c>
      <c r="C10" s="9" t="n">
        <f aca="false">Solver!$D$74</f>
        <v>0.00563618540763855</v>
      </c>
      <c r="D10" s="9" t="n">
        <f aca="false">Solver!$D$101</f>
        <v>-0.0121969282627106</v>
      </c>
      <c r="E10" s="9" t="n">
        <f aca="false">Solver!$D$128</f>
        <v>-0.032751590013504</v>
      </c>
      <c r="F10" s="9" t="n">
        <f aca="false">Solver!$D$155</f>
        <v>-0.0570187866687775</v>
      </c>
      <c r="G10" s="9" t="n">
        <f aca="false">Solver!$D$182</f>
        <v>-0.0866704285144806</v>
      </c>
      <c r="I10" s="19" t="s">
        <v>225</v>
      </c>
    </row>
    <row r="11" customFormat="false" ht="15" hidden="false" customHeight="false" outlineLevel="0" collapsed="false">
      <c r="B11" s="45" t="n">
        <f aca="false">WACC!$C$37+(1-2)*$C$5</f>
        <v>0.0585093056415221</v>
      </c>
      <c r="C11" s="9" t="n">
        <f aca="false">Solver!$D$209</f>
        <v>0.025617390871048</v>
      </c>
      <c r="D11" s="9" t="n">
        <f aca="false">Solver!$D$236</f>
        <v>0.00979700684547424</v>
      </c>
      <c r="E11" s="9" t="n">
        <f aca="false">Solver!$D$263</f>
        <v>-0.00811657309532166</v>
      </c>
      <c r="F11" s="9" t="n">
        <f aca="false">Solver!$D$290</f>
        <v>-0.0287631452083588</v>
      </c>
      <c r="G11" s="9" t="n">
        <f aca="false">Solver!$D$317</f>
        <v>-0.0531381666660309</v>
      </c>
    </row>
    <row r="12" customFormat="false" ht="15" hidden="false" customHeight="false" outlineLevel="0" collapsed="false">
      <c r="B12" s="45" t="n">
        <f aca="false">WACC!$C$37+(2-2)*$C$5</f>
        <v>0.0635093056415221</v>
      </c>
      <c r="C12" s="9" t="n">
        <f aca="false">Solver!$D$344</f>
        <v>0.0440754592418671</v>
      </c>
      <c r="D12" s="9" t="n">
        <f aca="false">Solver!$D$371</f>
        <v>0.0298468768596649</v>
      </c>
      <c r="E12" s="8" t="n">
        <f aca="false">Solver!$D$398</f>
        <v>0.013955146074295</v>
      </c>
      <c r="F12" s="9" t="n">
        <f aca="false">Solver!$D$425</f>
        <v>-0.00403890013694763</v>
      </c>
      <c r="G12" s="9" t="n">
        <f aca="false">Solver!$D$452</f>
        <v>-0.0247775614261627</v>
      </c>
    </row>
    <row r="13" customFormat="false" ht="15" hidden="false" customHeight="false" outlineLevel="0" collapsed="false">
      <c r="B13" s="45" t="n">
        <f aca="false">WACC!$C$37+(3-2)*$C$5</f>
        <v>0.0685093056415221</v>
      </c>
      <c r="C13" s="9" t="n">
        <f aca="false">Solver!$D$479</f>
        <v>0.0613032877445221</v>
      </c>
      <c r="D13" s="9" t="n">
        <f aca="false">Solver!$D$506</f>
        <v>0.0483664572238922</v>
      </c>
      <c r="E13" s="9" t="n">
        <f aca="false">Solver!$D$533</f>
        <v>0.034073680639267</v>
      </c>
      <c r="F13" s="9" t="n">
        <f aca="false">Solver!$D$560</f>
        <v>0.0181104242801666</v>
      </c>
      <c r="G13" s="9" t="n">
        <f aca="false">Solver!$D$587</f>
        <v>3.6090612411499E-005</v>
      </c>
    </row>
    <row r="14" customFormat="false" ht="15" hidden="false" customHeight="false" outlineLevel="0" collapsed="false">
      <c r="B14" s="45" t="n">
        <f aca="false">WACC!$C$37+(4-2)*$C$5</f>
        <v>0.0735093056415221</v>
      </c>
      <c r="C14" s="9" t="n">
        <f aca="false">Solver!$D$614</f>
        <v>0.0775174200534821</v>
      </c>
      <c r="D14" s="9" t="n">
        <f aca="false">Solver!$D$641</f>
        <v>0.065650075674057</v>
      </c>
      <c r="E14" s="9" t="n">
        <f aca="false">Solver!$D$668</f>
        <v>0.0526547729969025</v>
      </c>
      <c r="F14" s="9" t="n">
        <f aca="false">Solver!$D$695</f>
        <v>0.0382976233959198</v>
      </c>
      <c r="G14" s="9" t="n">
        <f aca="false">Solver!$D$722</f>
        <v>0.0222630202770233</v>
      </c>
    </row>
    <row r="17" customFormat="false" ht="15" hidden="false" customHeight="false" outlineLevel="0" collapsed="false">
      <c r="B17" s="3" t="s">
        <v>226</v>
      </c>
    </row>
    <row r="18" customFormat="false" ht="15" hidden="false" customHeight="false" outlineLevel="0" collapsed="false">
      <c r="C18" s="46" t="n">
        <f aca="false">Inputs!$C$45+(0-2)*$C$6</f>
        <v>0.1103</v>
      </c>
      <c r="D18" s="46" t="n">
        <f aca="false">Inputs!$C$45+(1-2)*$C$6</f>
        <v>0.1303</v>
      </c>
      <c r="E18" s="46" t="n">
        <f aca="false">Inputs!$C$45+(2-2)*$C$6</f>
        <v>0.1503</v>
      </c>
      <c r="F18" s="46" t="n">
        <f aca="false">Inputs!$C$45+(3-2)*$C$6</f>
        <v>0.1703</v>
      </c>
      <c r="G18" s="46" t="n">
        <f aca="false">Inputs!$C$45+(4-2)*$C$6</f>
        <v>0.1903</v>
      </c>
    </row>
    <row r="19" customFormat="false" ht="15" hidden="false" customHeight="false" outlineLevel="0" collapsed="false">
      <c r="B19" s="45" t="n">
        <f aca="false">WACC!$C$37+(0-2)*$C$5</f>
        <v>0.0535093056415221</v>
      </c>
      <c r="C19" s="40" t="n">
        <f aca="false">(SUMPRODUCT($C28:$L28,1/(1+$B19)^$C$27:$L$27)*Inputs!$C$23+$L28*Inputs!$C$23*(1+Inputs!$C$37)/($B19-Inputs!$C$37)/(1+$B19)^$L$27-Inputs!$C$27+Inputs!$C$28)/Inputs!$C$7</f>
        <v>140.93235008557</v>
      </c>
      <c r="D19" s="40" t="n">
        <f aca="false">(SUMPRODUCT($C29:$L29,1/(1+$B19)^$C$27:$L$27)*Inputs!$C$23+$L29*Inputs!$C$23*(1+Inputs!$C$37)/($B19-Inputs!$C$37)/(1+$B19)^$L$27-Inputs!$C$27+Inputs!$C$28)/Inputs!$C$7</f>
        <v>159.418803681876</v>
      </c>
      <c r="E19" s="40" t="n">
        <f aca="false">(SUMPRODUCT($C30:$L30,1/(1+$B19)^$C$27:$L$27)*Inputs!$C$23+$L30*Inputs!$C$23*(1+Inputs!$C$37)/($B19-Inputs!$C$37)/(1+$B19)^$L$27-Inputs!$C$27+Inputs!$C$28)/Inputs!$C$7</f>
        <v>179.975069947233</v>
      </c>
      <c r="F19" s="40" t="n">
        <f aca="false">(SUMPRODUCT($C31:$L31,1/(1+$B19)^$C$27:$L$27)*Inputs!$C$23+$L31*Inputs!$C$23*(1+Inputs!$C$37)/($B19-Inputs!$C$37)/(1+$B19)^$L$27-Inputs!$C$27+Inputs!$C$28)/Inputs!$C$7</f>
        <v>202.799673820657</v>
      </c>
      <c r="G19" s="40" t="n">
        <f aca="false">(SUMPRODUCT($C32:$L32,1/(1+$B19)^$C$27:$L$27)*Inputs!$C$23+$L32*Inputs!$C$23*(1+Inputs!$C$37)/($B19-Inputs!$C$37)/(1+$B19)^$L$27-Inputs!$C$27+Inputs!$C$28)/Inputs!$C$7</f>
        <v>228.106961948243</v>
      </c>
      <c r="I19" s="19" t="s">
        <v>227</v>
      </c>
    </row>
    <row r="20" customFormat="false" ht="15" hidden="false" customHeight="false" outlineLevel="0" collapsed="false">
      <c r="B20" s="45" t="n">
        <f aca="false">WACC!$C$37+(1-2)*$C$5</f>
        <v>0.0585093056415221</v>
      </c>
      <c r="C20" s="40" t="n">
        <f aca="false">(SUMPRODUCT($C28:$L28,1/(1+$B20)^$C$27:$L$27)*Inputs!$C$23+$L28*Inputs!$C$23*(1+Inputs!$C$37)/($B20-Inputs!$C$37)/(1+$B20)^$L$27-Inputs!$C$27+Inputs!$C$28)/Inputs!$C$7</f>
        <v>118.259836943161</v>
      </c>
      <c r="D20" s="40" t="n">
        <f aca="false">(SUMPRODUCT($C29:$L29,1/(1+$B20)^$C$27:$L$27)*Inputs!$C$23+$L29*Inputs!$C$23*(1+Inputs!$C$37)/($B20-Inputs!$C$37)/(1+$B20)^$L$27-Inputs!$C$27+Inputs!$C$28)/Inputs!$C$7</f>
        <v>133.713349565298</v>
      </c>
      <c r="E20" s="40" t="n">
        <f aca="false">(SUMPRODUCT($C30:$L30,1/(1+$B20)^$C$27:$L$27)*Inputs!$C$23+$L30*Inputs!$C$23*(1+Inputs!$C$37)/($B20-Inputs!$C$37)/(1+$B20)^$L$27-Inputs!$C$27+Inputs!$C$28)/Inputs!$C$7</f>
        <v>150.88693170404</v>
      </c>
      <c r="F20" s="40" t="n">
        <f aca="false">(SUMPRODUCT($C31:$L31,1/(1+$B20)^$C$27:$L$27)*Inputs!$C$23+$L31*Inputs!$C$23*(1+Inputs!$C$37)/($B20-Inputs!$C$37)/(1+$B20)^$L$27-Inputs!$C$27+Inputs!$C$28)/Inputs!$C$7</f>
        <v>169.944977613939</v>
      </c>
      <c r="G20" s="40" t="n">
        <f aca="false">(SUMPRODUCT($C32:$L32,1/(1+$B20)^$C$27:$L$27)*Inputs!$C$23+$L32*Inputs!$C$23*(1+Inputs!$C$37)/($B20-Inputs!$C$37)/(1+$B20)^$L$27-Inputs!$C$27+Inputs!$C$28)/Inputs!$C$7</f>
        <v>191.064949630238</v>
      </c>
    </row>
    <row r="21" customFormat="false" ht="15" hidden="false" customHeight="false" outlineLevel="0" collapsed="false">
      <c r="B21" s="45" t="n">
        <f aca="false">WACC!$C$37+(2-2)*$C$5</f>
        <v>0.0635093056415221</v>
      </c>
      <c r="C21" s="40" t="n">
        <f aca="false">(SUMPRODUCT($C28:$L28,1/(1+$B21)^$C$27:$L$27)*Inputs!$C$23+$L28*Inputs!$C$23*(1+Inputs!$C$37)/($B21-Inputs!$C$37)/(1+$B21)^$L$27-Inputs!$C$27+Inputs!$C$28)/Inputs!$C$7</f>
        <v>101.493908312145</v>
      </c>
      <c r="D21" s="40" t="n">
        <f aca="false">(SUMPRODUCT($C29:$L29,1/(1+$B21)^$C$27:$L$27)*Inputs!$C$23+$L29*Inputs!$C$23*(1+Inputs!$C$37)/($B21-Inputs!$C$37)/(1+$B21)^$L$27-Inputs!$C$27+Inputs!$C$28)/Inputs!$C$7</f>
        <v>114.7088075508</v>
      </c>
      <c r="E21" s="44" t="n">
        <f aca="false">(SUMPRODUCT($C30:$L30,1/(1+$B21)^$C$27:$L$27)*Inputs!$C$23+$L30*Inputs!$C$23*(1+Inputs!$C$37)/($B21-Inputs!$C$37)/(1+$B21)^$L$27-Inputs!$C$27+Inputs!$C$28)/Inputs!$C$7</f>
        <v>129.385948281436</v>
      </c>
      <c r="F21" s="40" t="n">
        <f aca="false">(SUMPRODUCT($C31:$L31,1/(1+$B21)^$C$27:$L$27)*Inputs!$C$23+$L31*Inputs!$C$23*(1+Inputs!$C$37)/($B21-Inputs!$C$37)/(1+$B21)^$L$27-Inputs!$C$27+Inputs!$C$28)/Inputs!$C$7</f>
        <v>145.664586498906</v>
      </c>
      <c r="G21" s="40" t="n">
        <f aca="false">(SUMPRODUCT($C32:$L32,1/(1+$B21)^$C$27:$L$27)*Inputs!$C$23+$L32*Inputs!$C$23*(1+Inputs!$C$37)/($B21-Inputs!$C$37)/(1+$B21)^$L$27-Inputs!$C$27+Inputs!$C$28)/Inputs!$C$7</f>
        <v>163.695019617844</v>
      </c>
    </row>
    <row r="22" customFormat="false" ht="15" hidden="false" customHeight="false" outlineLevel="0" collapsed="false">
      <c r="B22" s="45" t="n">
        <f aca="false">WACC!$C$37+(3-2)*$C$5</f>
        <v>0.0685093056415221</v>
      </c>
      <c r="C22" s="40" t="n">
        <f aca="false">(SUMPRODUCT($C28:$L28,1/(1+$B22)^$C$27:$L$27)*Inputs!$C$23+$L28*Inputs!$C$23*(1+Inputs!$C$37)/($B22-Inputs!$C$37)/(1+$B22)^$L$27-Inputs!$C$27+Inputs!$C$28)/Inputs!$C$7</f>
        <v>88.5976662364226</v>
      </c>
      <c r="D22" s="40" t="n">
        <f aca="false">(SUMPRODUCT($C29:$L29,1/(1+$B22)^$C$27:$L$27)*Inputs!$C$23+$L29*Inputs!$C$23*(1+Inputs!$C$37)/($B22-Inputs!$C$37)/(1+$B22)^$L$27-Inputs!$C$27+Inputs!$C$28)/Inputs!$C$7</f>
        <v>100.094222377748</v>
      </c>
      <c r="E22" s="40" t="n">
        <f aca="false">(SUMPRODUCT($C30:$L30,1/(1+$B22)^$C$27:$L$27)*Inputs!$C$23+$L30*Inputs!$C$23*(1+Inputs!$C$37)/($B22-Inputs!$C$37)/(1+$B22)^$L$27-Inputs!$C$27+Inputs!$C$28)/Inputs!$C$7</f>
        <v>112.85538317204</v>
      </c>
      <c r="F22" s="40" t="n">
        <f aca="false">(SUMPRODUCT($C31:$L31,1/(1+$B22)^$C$27:$L$27)*Inputs!$C$23+$L31*Inputs!$C$23*(1+Inputs!$C$37)/($B22-Inputs!$C$37)/(1+$B22)^$L$27-Inputs!$C$27+Inputs!$C$28)/Inputs!$C$7</f>
        <v>127.001154174727</v>
      </c>
      <c r="G22" s="40" t="n">
        <f aca="false">(SUMPRODUCT($C32:$L32,1/(1+$B22)^$C$27:$L$27)*Inputs!$C$23+$L32*Inputs!$C$23*(1+Inputs!$C$37)/($B22-Inputs!$C$37)/(1+$B22)^$L$27-Inputs!$C$27+Inputs!$C$28)/Inputs!$C$7</f>
        <v>142.6610316183</v>
      </c>
    </row>
    <row r="23" customFormat="false" ht="15" hidden="false" customHeight="false" outlineLevel="0" collapsed="false">
      <c r="B23" s="45" t="n">
        <f aca="false">WACC!$C$37+(4-2)*$C$5</f>
        <v>0.0735093056415221</v>
      </c>
      <c r="C23" s="40" t="n">
        <f aca="false">(SUMPRODUCT($C28:$L28,1/(1+$B23)^$C$27:$L$27)*Inputs!$C$23+$L28*Inputs!$C$23*(1+Inputs!$C$37)/($B23-Inputs!$C$37)/(1+$B23)^$L$27-Inputs!$C$27+Inputs!$C$28)/Inputs!$C$7</f>
        <v>78.3740306987807</v>
      </c>
      <c r="D23" s="40" t="n">
        <f aca="false">(SUMPRODUCT($C29:$L29,1/(1+$B23)^$C$27:$L$27)*Inputs!$C$23+$L29*Inputs!$C$23*(1+Inputs!$C$37)/($B23-Inputs!$C$37)/(1+$B23)^$L$27-Inputs!$C$27+Inputs!$C$28)/Inputs!$C$7</f>
        <v>88.5114561257289</v>
      </c>
      <c r="E23" s="40" t="n">
        <f aca="false">(SUMPRODUCT($C30:$L30,1/(1+$B23)^$C$27:$L$27)*Inputs!$C$23+$L30*Inputs!$C$23*(1+Inputs!$C$37)/($B23-Inputs!$C$37)/(1+$B23)^$L$27-Inputs!$C$27+Inputs!$C$28)/Inputs!$C$7</f>
        <v>99.7573975098403</v>
      </c>
      <c r="F23" s="40" t="n">
        <f aca="false">(SUMPRODUCT($C31:$L31,1/(1+$B23)^$C$27:$L$27)*Inputs!$C$23+$L31*Inputs!$C$23*(1+Inputs!$C$37)/($B23-Inputs!$C$37)/(1+$B23)^$L$27-Inputs!$C$27+Inputs!$C$28)/Inputs!$C$7</f>
        <v>112.216673361417</v>
      </c>
      <c r="G23" s="40" t="n">
        <f aca="false">(SUMPRODUCT($C32:$L32,1/(1+$B23)^$C$27:$L$27)*Inputs!$C$23+$L32*Inputs!$C$23*(1+Inputs!$C$37)/($B23-Inputs!$C$37)/(1+$B23)^$L$27-Inputs!$C$27+Inputs!$C$28)/Inputs!$C$7</f>
        <v>126.002370517947</v>
      </c>
    </row>
    <row r="26" customFormat="false" ht="15" hidden="false" customHeight="false" outlineLevel="0" collapsed="false">
      <c r="B26" s="19" t="s">
        <v>228</v>
      </c>
    </row>
    <row r="27" customFormat="false" ht="15" hidden="false" customHeight="false" outlineLevel="0" collapsed="false"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B28" s="23" t="n">
        <f aca="false">C$18</f>
        <v>0.1103</v>
      </c>
      <c r="C28" s="15" t="n">
        <f aca="false">Inputs!$C$12*(1+IF(C$27&lt;=Inputs!$C$46,$B28,$B28-($B28-Inputs!$C$37)*MIN(C$27-Inputs!$C$46,Inputs!$C$47)/Inputs!$C$47))</f>
        <v>2054.055</v>
      </c>
      <c r="D28" s="15" t="n">
        <f aca="false">C28*(1+IF(D$27&lt;=Inputs!$C$46,$B28,$B28-($B28-Inputs!$C$37)*MIN(D$27-Inputs!$C$46,Inputs!$C$47)/Inputs!$C$47))</f>
        <v>2280.6172665</v>
      </c>
      <c r="E28" s="15" t="n">
        <f aca="false">D28*(1+IF(E$27&lt;=Inputs!$C$46,$B28,$B28-($B28-Inputs!$C$37)*MIN(E$27-Inputs!$C$46,Inputs!$C$47)/Inputs!$C$47))</f>
        <v>2532.16935099495</v>
      </c>
      <c r="F28" s="15" t="n">
        <f aca="false">E28*(1+IF(F$27&lt;=Inputs!$C$46,$B28,$B28-($B28-Inputs!$C$37)*MIN(F$27-Inputs!$C$46,Inputs!$C$47)/Inputs!$C$47))</f>
        <v>2811.46763040969</v>
      </c>
      <c r="G28" s="15" t="n">
        <f aca="false">F28*(1+IF(G$27&lt;=Inputs!$C$46,$B28,$B28-($B28-Inputs!$C$37)*MIN(G$27-Inputs!$C$46,Inputs!$C$47)/Inputs!$C$47))</f>
        <v>3121.57251004388</v>
      </c>
      <c r="H28" s="15" t="n">
        <f aca="false">G28*(1+IF(H$27&lt;=Inputs!$C$46,$B28,$B28-($B28-Inputs!$C$37)*MIN(H$27-Inputs!$C$46,Inputs!$C$47)/Inputs!$C$47))</f>
        <v>3412.62793088037</v>
      </c>
      <c r="I28" s="15" t="n">
        <f aca="false">H28*(1+IF(I$27&lt;=Inputs!$C$46,$B28,$B28-($B28-Inputs!$C$37)*MIN(I$27-Inputs!$C$46,Inputs!$C$47)/Inputs!$C$47))</f>
        <v>3672.60192665484</v>
      </c>
      <c r="J28" s="15" t="n">
        <f aca="false">I28*(1+IF(J$27&lt;=Inputs!$C$46,$B28,$B28-($B28-Inputs!$C$37)*MIN(J$27-Inputs!$C$46,Inputs!$C$47)/Inputs!$C$47))</f>
        <v>3889.72615255868</v>
      </c>
      <c r="K28" s="15" t="n">
        <f aca="false">J28*(1+IF(K$27&lt;=Inputs!$C$46,$B28,$B28-($B28-Inputs!$C$37)*MIN(K$27-Inputs!$C$46,Inputs!$C$47)/Inputs!$C$47))</f>
        <v>4053.32803453529</v>
      </c>
      <c r="L28" s="15" t="n">
        <f aca="false">K28*(1+IF(L$27&lt;=Inputs!$C$46,$B28,$B28-($B28-Inputs!$C$37)*MIN(L$27-Inputs!$C$46,Inputs!$C$47)/Inputs!$C$47))</f>
        <v>4154.66123539868</v>
      </c>
    </row>
    <row r="29" customFormat="false" ht="15" hidden="false" customHeight="false" outlineLevel="0" collapsed="false">
      <c r="B29" s="23" t="n">
        <f aca="false">D$18</f>
        <v>0.1303</v>
      </c>
      <c r="C29" s="15" t="n">
        <f aca="false">Inputs!$C$12*(1+IF(C$27&lt;=Inputs!$C$46,$B29,$B29-($B29-Inputs!$C$37)*MIN(C$27-Inputs!$C$46,Inputs!$C$47)/Inputs!$C$47))</f>
        <v>2091.055</v>
      </c>
      <c r="D29" s="15" t="n">
        <f aca="false">C29*(1+IF(D$27&lt;=Inputs!$C$46,$B29,$B29-($B29-Inputs!$C$37)*MIN(D$27-Inputs!$C$46,Inputs!$C$47)/Inputs!$C$47))</f>
        <v>2363.5194665</v>
      </c>
      <c r="E29" s="15" t="n">
        <f aca="false">D29*(1+IF(E$27&lt;=Inputs!$C$46,$B29,$B29-($B29-Inputs!$C$37)*MIN(E$27-Inputs!$C$46,Inputs!$C$47)/Inputs!$C$47))</f>
        <v>2671.48605298495</v>
      </c>
      <c r="F29" s="15" t="n">
        <f aca="false">E29*(1+IF(F$27&lt;=Inputs!$C$46,$B29,$B29-($B29-Inputs!$C$37)*MIN(F$27-Inputs!$C$46,Inputs!$C$47)/Inputs!$C$47))</f>
        <v>3019.58068568889</v>
      </c>
      <c r="G29" s="15" t="n">
        <f aca="false">F29*(1+IF(G$27&lt;=Inputs!$C$46,$B29,$B29-($B29-Inputs!$C$37)*MIN(G$27-Inputs!$C$46,Inputs!$C$47)/Inputs!$C$47))</f>
        <v>3413.03204903415</v>
      </c>
      <c r="H29" s="15" t="n">
        <f aca="false">G29*(1+IF(H$27&lt;=Inputs!$C$46,$B29,$B29-($B29-Inputs!$C$37)*MIN(H$27-Inputs!$C$46,Inputs!$C$47)/Inputs!$C$47))</f>
        <v>3785.87167007064</v>
      </c>
      <c r="I29" s="15" t="n">
        <f aca="false">H29*(1+IF(I$27&lt;=Inputs!$C$46,$B29,$B29-($B29-Inputs!$C$37)*MIN(I$27-Inputs!$C$46,Inputs!$C$47)/Inputs!$C$47))</f>
        <v>4119.70983393747</v>
      </c>
      <c r="J29" s="15" t="n">
        <f aca="false">I29*(1+IF(J$27&lt;=Inputs!$C$46,$B29,$B29-($B29-Inputs!$C$37)*MIN(J$27-Inputs!$C$46,Inputs!$C$47)/Inputs!$C$47))</f>
        <v>4396.22475799136</v>
      </c>
      <c r="K29" s="15" t="n">
        <f aca="false">J29*(1+IF(K$27&lt;=Inputs!$C$46,$B29,$B29-($B29-Inputs!$C$37)*MIN(K$27-Inputs!$C$46,Inputs!$C$47)/Inputs!$C$47))</f>
        <v>4598.71487034444</v>
      </c>
      <c r="L29" s="15" t="n">
        <f aca="false">K29*(1+IF(L$27&lt;=Inputs!$C$46,$B29,$B29-($B29-Inputs!$C$37)*MIN(L$27-Inputs!$C$46,Inputs!$C$47)/Inputs!$C$47))</f>
        <v>4713.68274210305</v>
      </c>
    </row>
    <row r="30" customFormat="false" ht="15" hidden="false" customHeight="false" outlineLevel="0" collapsed="false">
      <c r="B30" s="23" t="n">
        <f aca="false">E$18</f>
        <v>0.1503</v>
      </c>
      <c r="C30" s="15" t="n">
        <f aca="false">Inputs!$C$12*(1+IF(C$27&lt;=Inputs!$C$46,$B30,$B30-($B30-Inputs!$C$37)*MIN(C$27-Inputs!$C$46,Inputs!$C$47)/Inputs!$C$47))</f>
        <v>2128.055</v>
      </c>
      <c r="D30" s="15" t="n">
        <f aca="false">C30*(1+IF(D$27&lt;=Inputs!$C$46,$B30,$B30-($B30-Inputs!$C$37)*MIN(D$27-Inputs!$C$46,Inputs!$C$47)/Inputs!$C$47))</f>
        <v>2447.9016665</v>
      </c>
      <c r="E30" s="15" t="n">
        <f aca="false">D30*(1+IF(E$27&lt;=Inputs!$C$46,$B30,$B30-($B30-Inputs!$C$37)*MIN(E$27-Inputs!$C$46,Inputs!$C$47)/Inputs!$C$47))</f>
        <v>2815.82128697495</v>
      </c>
      <c r="F30" s="15" t="n">
        <f aca="false">E30*(1+IF(F$27&lt;=Inputs!$C$46,$B30,$B30-($B30-Inputs!$C$37)*MIN(F$27-Inputs!$C$46,Inputs!$C$47)/Inputs!$C$47))</f>
        <v>3239.03922640729</v>
      </c>
      <c r="G30" s="15" t="n">
        <f aca="false">F30*(1+IF(G$27&lt;=Inputs!$C$46,$B30,$B30-($B30-Inputs!$C$37)*MIN(G$27-Inputs!$C$46,Inputs!$C$47)/Inputs!$C$47))</f>
        <v>3725.8668221363</v>
      </c>
      <c r="H30" s="15" t="n">
        <f aca="false">G30*(1+IF(H$27&lt;=Inputs!$C$46,$B30,$B30-($B30-Inputs!$C$37)*MIN(H$27-Inputs!$C$46,Inputs!$C$47)/Inputs!$C$47))</f>
        <v>4192.49438294065</v>
      </c>
      <c r="I30" s="15" t="n">
        <f aca="false">H30*(1+IF(I$27&lt;=Inputs!$C$46,$B30,$B30-($B30-Inputs!$C$37)*MIN(I$27-Inputs!$C$46,Inputs!$C$47)/Inputs!$C$47))</f>
        <v>4612.49847022365</v>
      </c>
      <c r="J30" s="15" t="n">
        <f aca="false">I30*(1+IF(J$27&lt;=Inputs!$C$46,$B30,$B30-($B30-Inputs!$C$37)*MIN(J$27-Inputs!$C$46,Inputs!$C$47)/Inputs!$C$47))</f>
        <v>4958.98935530685</v>
      </c>
      <c r="K30" s="15" t="n">
        <f aca="false">J30*(1+IF(K$27&lt;=Inputs!$C$46,$B30,$B30-($B30-Inputs!$C$37)*MIN(K$27-Inputs!$C$46,Inputs!$C$47)/Inputs!$C$47))</f>
        <v>5207.23636243351</v>
      </c>
      <c r="L30" s="15" t="n">
        <f aca="false">K30*(1+IF(L$27&lt;=Inputs!$C$46,$B30,$B30-($B30-Inputs!$C$37)*MIN(L$27-Inputs!$C$46,Inputs!$C$47)/Inputs!$C$47))</f>
        <v>5337.41727149434</v>
      </c>
    </row>
    <row r="31" customFormat="false" ht="15" hidden="false" customHeight="false" outlineLevel="0" collapsed="false">
      <c r="B31" s="23" t="n">
        <f aca="false">F$18</f>
        <v>0.1703</v>
      </c>
      <c r="C31" s="15" t="n">
        <f aca="false">Inputs!$C$12*(1+IF(C$27&lt;=Inputs!$C$46,$B31,$B31-($B31-Inputs!$C$37)*MIN(C$27-Inputs!$C$46,Inputs!$C$47)/Inputs!$C$47))</f>
        <v>2165.055</v>
      </c>
      <c r="D31" s="15" t="n">
        <f aca="false">C31*(1+IF(D$27&lt;=Inputs!$C$46,$B31,$B31-($B31-Inputs!$C$37)*MIN(D$27-Inputs!$C$46,Inputs!$C$47)/Inputs!$C$47))</f>
        <v>2533.7638665</v>
      </c>
      <c r="E31" s="15" t="n">
        <f aca="false">D31*(1+IF(E$27&lt;=Inputs!$C$46,$B31,$B31-($B31-Inputs!$C$37)*MIN(E$27-Inputs!$C$46,Inputs!$C$47)/Inputs!$C$47))</f>
        <v>2965.26385296495</v>
      </c>
      <c r="F31" s="15" t="n">
        <f aca="false">E31*(1+IF(F$27&lt;=Inputs!$C$46,$B31,$B31-($B31-Inputs!$C$37)*MIN(F$27-Inputs!$C$46,Inputs!$C$47)/Inputs!$C$47))</f>
        <v>3470.24828712488</v>
      </c>
      <c r="G31" s="15" t="n">
        <f aca="false">F31*(1+IF(G$27&lt;=Inputs!$C$46,$B31,$B31-($B31-Inputs!$C$37)*MIN(G$27-Inputs!$C$46,Inputs!$C$47)/Inputs!$C$47))</f>
        <v>4061.23157042225</v>
      </c>
      <c r="H31" s="15" t="n">
        <f aca="false">G31*(1+IF(H$27&lt;=Inputs!$C$46,$B31,$B31-($B31-Inputs!$C$37)*MIN(H$27-Inputs!$C$46,Inputs!$C$47)/Inputs!$C$47))</f>
        <v>4634.83991742869</v>
      </c>
      <c r="I31" s="15" t="n">
        <f aca="false">H31*(1+IF(I$27&lt;=Inputs!$C$46,$B31,$B31-($B31-Inputs!$C$37)*MIN(I$27-Inputs!$C$46,Inputs!$C$47)/Inputs!$C$47))</f>
        <v>5154.77625936583</v>
      </c>
      <c r="J31" s="15" t="n">
        <f aca="false">I31*(1+IF(J$27&lt;=Inputs!$C$46,$B31,$B31-($B31-Inputs!$C$37)*MIN(J$27-Inputs!$C$46,Inputs!$C$47)/Inputs!$C$47))</f>
        <v>5583.24126204432</v>
      </c>
      <c r="K31" s="15" t="n">
        <f aca="false">J31*(1+IF(K$27&lt;=Inputs!$C$46,$B31,$B31-($B31-Inputs!$C$37)*MIN(K$27-Inputs!$C$46,Inputs!$C$47)/Inputs!$C$47))</f>
        <v>5885.07128467044</v>
      </c>
      <c r="L31" s="15" t="n">
        <f aca="false">K31*(1+IF(L$27&lt;=Inputs!$C$46,$B31,$B31-($B31-Inputs!$C$37)*MIN(L$27-Inputs!$C$46,Inputs!$C$47)/Inputs!$C$47))</f>
        <v>6032.1980667872</v>
      </c>
    </row>
    <row r="32" customFormat="false" ht="15" hidden="false" customHeight="false" outlineLevel="0" collapsed="false">
      <c r="B32" s="23" t="n">
        <f aca="false">G$18</f>
        <v>0.1903</v>
      </c>
      <c r="C32" s="15" t="n">
        <f aca="false">Inputs!$C$12*(1+IF(C$27&lt;=Inputs!$C$46,$B32,$B32-($B32-Inputs!$C$37)*MIN(C$27-Inputs!$C$46,Inputs!$C$47)/Inputs!$C$47))</f>
        <v>2202.055</v>
      </c>
      <c r="D32" s="15" t="n">
        <f aca="false">C32*(1+IF(D$27&lt;=Inputs!$C$46,$B32,$B32-($B32-Inputs!$C$37)*MIN(D$27-Inputs!$C$46,Inputs!$C$47)/Inputs!$C$47))</f>
        <v>2621.1060665</v>
      </c>
      <c r="E32" s="15" t="n">
        <f aca="false">D32*(1+IF(E$27&lt;=Inputs!$C$46,$B32,$B32-($B32-Inputs!$C$37)*MIN(E$27-Inputs!$C$46,Inputs!$C$47)/Inputs!$C$47))</f>
        <v>3119.90255095495</v>
      </c>
      <c r="F32" s="15" t="n">
        <f aca="false">E32*(1+IF(F$27&lt;=Inputs!$C$46,$B32,$B32-($B32-Inputs!$C$37)*MIN(F$27-Inputs!$C$46,Inputs!$C$47)/Inputs!$C$47))</f>
        <v>3713.62000640168</v>
      </c>
      <c r="G32" s="15" t="n">
        <f aca="false">F32*(1+IF(G$27&lt;=Inputs!$C$46,$B32,$B32-($B32-Inputs!$C$37)*MIN(G$27-Inputs!$C$46,Inputs!$C$47)/Inputs!$C$47))</f>
        <v>4420.32189361992</v>
      </c>
      <c r="H32" s="15" t="n">
        <f aca="false">G32*(1+IF(H$27&lt;=Inputs!$C$46,$B32,$B32-($B32-Inputs!$C$37)*MIN(H$27-Inputs!$C$46,Inputs!$C$47)/Inputs!$C$47))</f>
        <v>5115.37330817271</v>
      </c>
      <c r="I32" s="15" t="n">
        <f aca="false">H32*(1+IF(I$27&lt;=Inputs!$C$46,$B32,$B32-($B32-Inputs!$C$37)*MIN(I$27-Inputs!$C$46,Inputs!$C$47)/Inputs!$C$47))</f>
        <v>5750.6003655816</v>
      </c>
      <c r="J32" s="15" t="n">
        <f aca="false">I32*(1+IF(J$27&lt;=Inputs!$C$46,$B32,$B32-($B32-Inputs!$C$37)*MIN(J$27-Inputs!$C$46,Inputs!$C$47)/Inputs!$C$47))</f>
        <v>6274.59507089339</v>
      </c>
      <c r="K32" s="15" t="n">
        <f aca="false">J32*(1+IF(K$27&lt;=Inputs!$C$46,$B32,$B32-($B32-Inputs!$C$37)*MIN(K$27-Inputs!$C$46,Inputs!$C$47)/Inputs!$C$47))</f>
        <v>6638.89806070946</v>
      </c>
      <c r="L32" s="15" t="n">
        <f aca="false">K32*(1+IF(L$27&lt;=Inputs!$C$46,$B32,$B32-($B32-Inputs!$C$37)*MIN(L$27-Inputs!$C$46,Inputs!$C$47)/Inputs!$C$47))</f>
        <v>6804.8705122272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229</v>
      </c>
    </row>
    <row r="3" customFormat="false" ht="15" hidden="false" customHeight="false" outlineLevel="0" collapsed="false">
      <c r="B3" s="2" t="s">
        <v>230</v>
      </c>
    </row>
    <row r="5" customFormat="false" ht="15" hidden="false" customHeight="false" outlineLevel="0" collapsed="false">
      <c r="B5" s="28" t="s">
        <v>231</v>
      </c>
      <c r="C5" s="28" t="s">
        <v>232</v>
      </c>
      <c r="D5" s="28" t="s">
        <v>233</v>
      </c>
      <c r="E5" s="28" t="s">
        <v>234</v>
      </c>
      <c r="F5" s="28" t="s">
        <v>235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0.359871351351351</v>
      </c>
      <c r="D6" s="24" t="n">
        <v>0.35987135</v>
      </c>
      <c r="E6" s="47" t="n">
        <f aca="false">C6-D6</f>
        <v>1.35135136414277E-009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124</v>
      </c>
      <c r="C7" s="48" t="n">
        <f aca="false">WACC!$C$14</f>
        <v>0.609131529999621</v>
      </c>
      <c r="D7" s="49" t="n">
        <v>0.60913153</v>
      </c>
      <c r="E7" s="47" t="n">
        <f aca="false">C7-D7</f>
        <v>-3.78919118304566E-013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WACC!$C$37</f>
        <v>0.0635093056415221</v>
      </c>
      <c r="D8" s="24" t="n">
        <v>0.06350931</v>
      </c>
      <c r="E8" s="47" t="n">
        <f aca="false">C8-D8</f>
        <v>-4.35847789803656E-009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0.025</v>
      </c>
      <c r="D9" s="24" t="n">
        <v>0.025</v>
      </c>
      <c r="E9" s="47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236</v>
      </c>
      <c r="C10" s="12" t="n">
        <f aca="false">Inputs!$C$43</f>
        <v>0.1503</v>
      </c>
      <c r="D10" s="24" t="n">
        <v>0.1503</v>
      </c>
      <c r="E10" s="47" t="n">
        <f aca="false">C10-D10</f>
        <v>0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237</v>
      </c>
      <c r="C11" s="12" t="n">
        <f aca="false">Solver!$W$7</f>
        <v>0.0139550970475284</v>
      </c>
      <c r="D11" s="24" t="n">
        <v>0.0139551</v>
      </c>
      <c r="E11" s="47" t="n">
        <f aca="false">C11-D11</f>
        <v>-2.95247160227163E-009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238</v>
      </c>
      <c r="C12" s="12" t="n">
        <f aca="false">Sensitivity!$E$14</f>
        <v>0.0526547729969025</v>
      </c>
      <c r="D12" s="24" t="n">
        <v>0.05265473</v>
      </c>
      <c r="E12" s="47" t="n">
        <f aca="false">C12-D12</f>
        <v>4.29969024690058E-008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239</v>
      </c>
      <c r="C13" s="6" t="n">
        <f aca="false">DCF!$C$41</f>
        <v>129.385948281436</v>
      </c>
      <c r="D13" s="20" t="n">
        <v>129.38594828</v>
      </c>
      <c r="E13" s="47" t="n">
        <f aca="false">C13-D13</f>
        <v>1.43634792948433E-009</v>
      </c>
      <c r="F13" s="5" t="str">
        <f aca="false">IF(ABS(E13)&lt;=0.02,"Pass","Check")</f>
        <v>Pass</v>
      </c>
    </row>
    <row r="14" customFormat="false" ht="15" hidden="false" customHeight="false" outlineLevel="0" collapsed="false">
      <c r="B14" s="5" t="s">
        <v>240</v>
      </c>
      <c r="C14" s="6" t="n">
        <f aca="false">DCF!$C$21-DCF!$C$22</f>
        <v>-3.72963882000477E-010</v>
      </c>
      <c r="D14" s="20" t="n">
        <v>0</v>
      </c>
      <c r="E14" s="47" t="n">
        <f aca="false">C14-D14</f>
        <v>-3.72963882000477E-010</v>
      </c>
      <c r="F14" s="5" t="str">
        <f aca="false">IF(ABS(E14)&lt;=0.01,"Pass","Check")</f>
        <v>Pass</v>
      </c>
      <c r="G14" s="19" t="s">
        <v>241</v>
      </c>
    </row>
    <row r="16" customFormat="false" ht="15" hidden="false" customHeight="false" outlineLevel="0" collapsed="false">
      <c r="B16" s="36" t="s">
        <v>242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2026-10-14T16:48:45Z</dcterms:created>
  <dc:creator>openpyxl</dc:creator>
  <dc:description/>
  <dc:language>en-US</dc:language>
  <cp:lastModifiedBy/>
  <dcterms:modified xsi:type="dcterms:W3CDTF">2026-10-14T16:48:45Z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